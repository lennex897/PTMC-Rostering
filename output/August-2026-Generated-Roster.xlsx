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2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3.xml" ContentType="application/vnd.openxmlformats-officedocument.spreadsheetml.worksheet+xml"/>
  <Override PartName="/xl/tables/table25.xml" ContentType="application/vnd.openxmlformats-officedocument.spreadsheetml.table+xml"/>
  <Override PartName="/xl/worksheets/sheet14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5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16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8" activeTab="15" autoFilterDateGrouping="1"/>
  </bookViews>
  <sheets>
    <sheet name="Nov-2024-Roster" sheetId="1" state="visible" r:id="rId1"/>
    <sheet name="Dec-2024-Roster" sheetId="2" state="visible" r:id="rId2"/>
    <sheet name="Jan-2025-Roster" sheetId="3" state="visible" r:id="rId3"/>
    <sheet name="Feb-2025-Roster" sheetId="4" state="visible" r:id="rId4"/>
    <sheet name="Mar-2025-Roster" sheetId="5" state="visible" r:id="rId5"/>
    <sheet name="Apr-2025-Roster" sheetId="6" state="visible" r:id="rId6"/>
    <sheet name="May-2025-Roster" sheetId="7" state="visible" r:id="rId7"/>
    <sheet name="Jun-2025-Roster" sheetId="8" state="visible" r:id="rId8"/>
    <sheet name="Jul-2025-Roster" sheetId="9" state="visible" r:id="rId9"/>
    <sheet name="Feb-2026-Roster" sheetId="10" state="visible" r:id="rId10"/>
    <sheet name="Mar-2026-Roster" sheetId="11" state="visible" r:id="rId11"/>
    <sheet name="Apr-2026-Roster" sheetId="12" state="visible" r:id="rId12"/>
    <sheet name="May-2026-Roster" sheetId="13" state="visible" r:id="rId13"/>
    <sheet name="Jun-2026 Roster" sheetId="14" state="visible" r:id="rId14"/>
    <sheet name="Jul-2026 Roster" sheetId="15" state="visible" r:id="rId15"/>
    <sheet name="Aug-2026 Roster" sheetId="16" state="visible" r:id="rId16"/>
    <sheet name="Personnel" sheetId="17" state="visible" r:id="rId17"/>
    <sheet name="Setting key Duty" sheetId="18" state="visible" r:id="rId18"/>
    <sheet name="GPGX ROLES" sheetId="19" state="visible" r:id="rId1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d/m/yyyy;@"/>
    <numFmt numFmtId="165" formatCode="[$£-809]#,##0.00"/>
    <numFmt numFmtId="166" formatCode="m&quot;/&quot;d"/>
    <numFmt numFmtId="167" formatCode="d&quot;/&quot;m"/>
    <numFmt numFmtId="168" formatCode="ddd"/>
    <numFmt numFmtId="169" formatCode="_ * #,##0.00_ ;_ * \-#,##0.00_ ;_ * &quot;-&quot;??_ ;_ @_ "/>
    <numFmt numFmtId="170" formatCode="_ * #,##0_ ;_ * \-#,##0_ ;_ * &quot;-&quot;_ ;_ @_ "/>
  </numFmts>
  <fonts count="66">
    <font>
      <name val="Arial"/>
      <charset val="134"/>
      <color rgb="FF000000"/>
      <sz val="10"/>
    </font>
    <font>
      <name val="Arial"/>
      <charset val="134"/>
      <sz val="10"/>
    </font>
    <font>
      <name val="Arial"/>
      <charset val="134"/>
      <b val="1"/>
      <sz val="11"/>
    </font>
    <font>
      <name val="Arial"/>
      <charset val="134"/>
      <b val="1"/>
      <sz val="10"/>
    </font>
    <font>
      <name val="Arial"/>
      <charset val="134"/>
      <b val="1"/>
      <color rgb="FF000000"/>
      <sz val="10"/>
    </font>
    <font>
      <name val="Arial"/>
      <charset val="134"/>
      <color rgb="FFFFFFFF"/>
      <sz val="10"/>
    </font>
    <font>
      <name val="Arial"/>
      <charset val="134"/>
      <b val="1"/>
      <color rgb="FFFFFFFF"/>
      <sz val="10"/>
    </font>
    <font>
      <name val="Roboto"/>
      <charset val="134"/>
      <sz val="10"/>
    </font>
    <font>
      <name val="Roboto"/>
      <charset val="134"/>
      <color rgb="FFC5CAE9"/>
      <sz val="12"/>
    </font>
    <font>
      <name val="Roboto Condensed"/>
      <charset val="134"/>
      <color rgb="FFC5CAE9"/>
      <sz val="12"/>
    </font>
    <font>
      <name val="Roboto"/>
      <charset val="134"/>
      <color rgb="FFFFFFFF"/>
      <sz val="18"/>
    </font>
    <font>
      <name val="Roboto"/>
      <charset val="134"/>
      <color rgb="FFFFFFFF"/>
      <sz val="20"/>
    </font>
    <font>
      <name val="Roboto"/>
      <charset val="134"/>
      <color rgb="FF303F9F"/>
      <sz val="10"/>
    </font>
    <font>
      <name val="Roboto Condensed"/>
      <charset val="134"/>
      <i val="1"/>
      <color rgb="FF303F9F"/>
      <sz val="10"/>
    </font>
    <font>
      <name val="Roboto"/>
      <charset val="134"/>
      <color rgb="FF434343"/>
      <sz val="10"/>
    </font>
    <font>
      <name val="Roboto"/>
      <charset val="134"/>
      <b val="1"/>
      <color rgb="FF303F9F"/>
      <sz val="10"/>
    </font>
    <font>
      <name val="Roboto"/>
      <charset val="134"/>
      <b val="1"/>
      <color rgb="FF434343"/>
      <sz val="10"/>
    </font>
    <font>
      <name val="Roboto"/>
      <charset val="134"/>
      <b val="1"/>
      <color rgb="FF000000"/>
      <sz val="10"/>
    </font>
    <font>
      <name val="Roboto"/>
      <charset val="134"/>
      <b val="1"/>
      <color rgb="FF434343"/>
      <sz val="11"/>
    </font>
    <font>
      <name val="Roboto"/>
      <charset val="134"/>
      <color rgb="FF434343"/>
      <sz val="11"/>
    </font>
    <font>
      <name val="Roboto"/>
      <charset val="134"/>
      <color rgb="FFFFFFFF"/>
      <sz val="13"/>
    </font>
    <font>
      <name val="Roboto"/>
      <charset val="134"/>
      <color rgb="FFFFFFFF"/>
      <sz val="12"/>
    </font>
    <font>
      <name val="Roboto Condensed"/>
      <charset val="134"/>
      <i val="1"/>
      <color rgb="FFC5CAE9"/>
      <sz val="10"/>
    </font>
    <font>
      <name val="Roboto"/>
      <charset val="134"/>
      <i val="1"/>
      <color rgb="FFC5CAE9"/>
      <sz val="10"/>
    </font>
    <font>
      <name val="Roboto"/>
      <charset val="134"/>
      <b val="1"/>
      <color rgb="FF1C4587"/>
      <sz val="10"/>
    </font>
    <font>
      <name val="Roboto"/>
      <charset val="134"/>
      <b val="1"/>
      <color rgb="FF303F9F"/>
      <sz val="9"/>
    </font>
    <font>
      <name val="Roboto"/>
      <charset val="134"/>
      <b val="1"/>
      <color rgb="FF303F9F"/>
      <sz val="12"/>
    </font>
    <font>
      <name val="Roboto"/>
      <charset val="134"/>
      <i val="1"/>
      <color rgb="FF6772AD"/>
      <sz val="10"/>
    </font>
    <font>
      <name val="Roboto"/>
      <charset val="134"/>
      <color rgb="FF6772AD"/>
      <sz val="10"/>
    </font>
    <font>
      <name val="Roboto"/>
      <charset val="134"/>
      <color rgb="FF1C4587"/>
      <sz val="10"/>
    </font>
    <font>
      <name val="Times New Roman"/>
      <charset val="134"/>
      <b val="1"/>
      <color rgb="FF000000"/>
      <sz val="10"/>
    </font>
    <font>
      <name val="Roboto"/>
      <charset val="134"/>
      <color rgb="FF666666"/>
      <sz val="10"/>
    </font>
    <font>
      <name val="Arial"/>
      <charset val="134"/>
      <strike val="1"/>
      <sz val="10"/>
    </font>
    <font>
      <name val="Roboto"/>
      <charset val="134"/>
      <b val="1"/>
      <sz val="10"/>
    </font>
    <font>
      <name val="Times New Roman"/>
      <charset val="134"/>
      <b val="1"/>
      <sz val="10"/>
    </font>
    <font>
      <name val="Times New Roman"/>
      <charset val="134"/>
      <b val="1"/>
      <color rgb="FF000000"/>
      <sz val="9"/>
    </font>
    <font>
      <name val="Times New Roman"/>
      <charset val="134"/>
      <b val="1"/>
      <sz val="9"/>
    </font>
    <font>
      <name val="Arial"/>
      <charset val="134"/>
      <color rgb="FF000000"/>
      <sz val="9"/>
    </font>
    <font>
      <name val="Roboto"/>
      <charset val="134"/>
      <sz val="24"/>
    </font>
    <font>
      <name val="Times New Roman"/>
      <charset val="134"/>
      <sz val="10"/>
    </font>
    <font>
      <name val="Times New Roman"/>
      <charset val="134"/>
      <sz val="9"/>
    </font>
    <font>
      <name val="Roboto"/>
      <charset val="134"/>
      <i val="1"/>
      <sz val="10"/>
    </font>
    <font>
      <name val="Roboto"/>
      <charset val="134"/>
      <b val="1"/>
      <color rgb="FF303F9F"/>
      <sz val="11"/>
    </font>
    <font>
      <name val="Times New Roman"/>
      <charset val="134"/>
      <b val="1"/>
      <i val="1"/>
      <color rgb="FF000000"/>
      <sz val="9"/>
    </font>
    <font>
      <name val="Arial"/>
      <charset val="134"/>
      <b val="1"/>
      <sz val="6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imes New Roman"/>
      <charset val="134"/>
      <b val="1"/>
      <color rgb="FF000000"/>
      <sz val="1"/>
    </font>
  </fonts>
  <fills count="62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2A3990"/>
        <bgColor rgb="FF2A3990"/>
      </patternFill>
    </fill>
    <fill>
      <patternFill patternType="solid">
        <fgColor rgb="FFE8EAF6"/>
        <bgColor rgb="FFE8EAF6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1155CC"/>
        <bgColor rgb="FF1155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76A5B0"/>
        <bgColor rgb="FF76A5B0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4C1130"/>
        <bgColor rgb="FF4C113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303F9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E8EAF6"/>
      </right>
      <top/>
      <bottom/>
      <diagonal/>
    </border>
    <border>
      <left style="thin">
        <color rgb="FFE8EAF6"/>
      </left>
      <right style="thin">
        <color rgb="FFE8EAF6"/>
      </right>
      <top/>
      <bottom/>
      <diagonal/>
    </border>
    <border>
      <left style="thin">
        <color rgb="FFE8EAF6"/>
      </left>
      <right/>
      <top/>
      <bottom/>
      <diagonal/>
    </border>
    <border>
      <left/>
      <right/>
      <top/>
      <bottom style="thin">
        <color rgb="FFC5CAE9"/>
      </bottom>
      <diagonal/>
    </border>
    <border>
      <left/>
      <right style="thin">
        <color rgb="FFE8EAF6"/>
      </right>
      <top/>
      <bottom style="thin">
        <color rgb="FFC5CAE9"/>
      </bottom>
      <diagonal/>
    </border>
    <border>
      <left style="thin">
        <color rgb="FFE8EAF6"/>
      </left>
      <right style="thin">
        <color rgb="FFE8EAF6"/>
      </right>
      <top/>
      <bottom style="thin">
        <color rgb="FFC5CAE9"/>
      </bottom>
      <diagonal/>
    </border>
    <border>
      <left style="thin">
        <color rgb="FFE8EAF6"/>
      </left>
      <right/>
      <top/>
      <bottom style="thin">
        <color rgb="FFC5CAE9"/>
      </bottom>
      <diagonal/>
    </border>
    <border>
      <left style="thin">
        <color rgb="FFC5CAE9"/>
      </left>
      <right/>
      <top/>
      <bottom/>
      <diagonal/>
    </border>
    <border>
      <left style="thin">
        <color rgb="FFC5CAE9"/>
      </left>
      <right style="thin">
        <color rgb="FFC5CAE9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9" fontId="45" fillId="0" borderId="0" applyAlignment="1">
      <alignment vertical="center"/>
    </xf>
    <xf numFmtId="44" fontId="45" fillId="0" borderId="0" applyAlignment="1">
      <alignment vertical="center"/>
    </xf>
    <xf numFmtId="9" fontId="45" fillId="0" borderId="0" applyAlignment="1">
      <alignment vertical="center"/>
    </xf>
    <xf numFmtId="170" fontId="45" fillId="0" borderId="0" applyAlignment="1">
      <alignment vertical="center"/>
    </xf>
    <xf numFmtId="42" fontId="45" fillId="0" borderId="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5" fillId="31" borderId="28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1" fillId="0" borderId="29" applyAlignment="1">
      <alignment vertical="center"/>
    </xf>
    <xf numFmtId="0" fontId="52" fillId="0" borderId="29" applyAlignment="1">
      <alignment vertical="center"/>
    </xf>
    <xf numFmtId="0" fontId="53" fillId="0" borderId="30" applyAlignment="1">
      <alignment vertical="center"/>
    </xf>
    <xf numFmtId="0" fontId="53" fillId="0" borderId="0" applyAlignment="1">
      <alignment vertical="center"/>
    </xf>
    <xf numFmtId="0" fontId="54" fillId="32" borderId="31" applyAlignment="1">
      <alignment vertical="center"/>
    </xf>
    <xf numFmtId="0" fontId="55" fillId="33" borderId="32" applyAlignment="1">
      <alignment vertical="center"/>
    </xf>
    <xf numFmtId="0" fontId="56" fillId="33" borderId="31" applyAlignment="1">
      <alignment vertical="center"/>
    </xf>
    <xf numFmtId="0" fontId="57" fillId="34" borderId="33" applyAlignment="1">
      <alignment vertical="center"/>
    </xf>
    <xf numFmtId="0" fontId="58" fillId="0" borderId="34" applyAlignment="1">
      <alignment vertical="center"/>
    </xf>
    <xf numFmtId="0" fontId="59" fillId="0" borderId="35" applyAlignment="1">
      <alignment vertical="center"/>
    </xf>
    <xf numFmtId="0" fontId="60" fillId="35" borderId="0" applyAlignment="1">
      <alignment vertical="center"/>
    </xf>
    <xf numFmtId="0" fontId="61" fillId="36" borderId="0" applyAlignment="1">
      <alignment vertical="center"/>
    </xf>
    <xf numFmtId="0" fontId="62" fillId="37" borderId="0" applyAlignment="1">
      <alignment vertical="center"/>
    </xf>
    <xf numFmtId="0" fontId="63" fillId="38" borderId="0" applyAlignment="1">
      <alignment vertical="center"/>
    </xf>
    <xf numFmtId="0" fontId="64" fillId="39" borderId="0" applyAlignment="1">
      <alignment vertical="center"/>
    </xf>
    <xf numFmtId="0" fontId="64" fillId="40" borderId="0" applyAlignment="1">
      <alignment vertical="center"/>
    </xf>
    <xf numFmtId="0" fontId="63" fillId="41" borderId="0" applyAlignment="1">
      <alignment vertical="center"/>
    </xf>
    <xf numFmtId="0" fontId="63" fillId="42" borderId="0" applyAlignment="1">
      <alignment vertical="center"/>
    </xf>
    <xf numFmtId="0" fontId="64" fillId="43" borderId="0" applyAlignment="1">
      <alignment vertical="center"/>
    </xf>
    <xf numFmtId="0" fontId="64" fillId="44" borderId="0" applyAlignment="1">
      <alignment vertical="center"/>
    </xf>
    <xf numFmtId="0" fontId="63" fillId="45" borderId="0" applyAlignment="1">
      <alignment vertical="center"/>
    </xf>
    <xf numFmtId="0" fontId="63" fillId="46" borderId="0" applyAlignment="1">
      <alignment vertical="center"/>
    </xf>
    <xf numFmtId="0" fontId="64" fillId="47" borderId="0" applyAlignment="1">
      <alignment vertical="center"/>
    </xf>
    <xf numFmtId="0" fontId="64" fillId="48" borderId="0" applyAlignment="1">
      <alignment vertical="center"/>
    </xf>
    <xf numFmtId="0" fontId="63" fillId="49" borderId="0" applyAlignment="1">
      <alignment vertical="center"/>
    </xf>
    <xf numFmtId="0" fontId="63" fillId="50" borderId="0" applyAlignment="1">
      <alignment vertical="center"/>
    </xf>
    <xf numFmtId="0" fontId="64" fillId="51" borderId="0" applyAlignment="1">
      <alignment vertical="center"/>
    </xf>
    <xf numFmtId="0" fontId="64" fillId="52" borderId="0" applyAlignment="1">
      <alignment vertical="center"/>
    </xf>
    <xf numFmtId="0" fontId="63" fillId="53" borderId="0" applyAlignment="1">
      <alignment vertical="center"/>
    </xf>
    <xf numFmtId="0" fontId="63" fillId="54" borderId="0" applyAlignment="1">
      <alignment vertical="center"/>
    </xf>
    <xf numFmtId="0" fontId="64" fillId="55" borderId="0" applyAlignment="1">
      <alignment vertical="center"/>
    </xf>
    <xf numFmtId="0" fontId="64" fillId="56" borderId="0" applyAlignment="1">
      <alignment vertical="center"/>
    </xf>
    <xf numFmtId="0" fontId="63" fillId="57" borderId="0" applyAlignment="1">
      <alignment vertical="center"/>
    </xf>
    <xf numFmtId="0" fontId="63" fillId="58" borderId="0" applyAlignment="1">
      <alignment vertical="center"/>
    </xf>
    <xf numFmtId="0" fontId="64" fillId="59" borderId="0" applyAlignment="1">
      <alignment vertical="center"/>
    </xf>
    <xf numFmtId="0" fontId="64" fillId="60" borderId="0" applyAlignment="1">
      <alignment vertical="center"/>
    </xf>
    <xf numFmtId="0" fontId="63" fillId="61" borderId="0" applyAlignment="1">
      <alignment vertical="center"/>
    </xf>
  </cellStyleXfs>
  <cellXfs count="45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right"/>
    </xf>
    <xf numFmtId="0" fontId="1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1" fillId="2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7" fillId="4" borderId="2" applyAlignment="1" pivotButton="0" quotePrefix="0" xfId="0">
      <alignment wrapText="1"/>
    </xf>
    <xf numFmtId="0" fontId="8" fillId="5" borderId="0" pivotButton="0" quotePrefix="0" xfId="0"/>
    <xf numFmtId="0" fontId="9" fillId="5" borderId="0" applyAlignment="1" pivotButton="0" quotePrefix="0" xfId="0">
      <alignment horizontal="left"/>
    </xf>
    <xf numFmtId="0" fontId="10" fillId="5" borderId="3" applyAlignment="1" pivotButton="0" quotePrefix="0" xfId="0">
      <alignment vertical="top"/>
    </xf>
    <xf numFmtId="0" fontId="11" fillId="5" borderId="3" applyAlignment="1" pivotButton="0" quotePrefix="0" xfId="0">
      <alignment horizontal="left" vertical="top"/>
    </xf>
    <xf numFmtId="0" fontId="1" fillId="0" borderId="3" pivotButton="0" quotePrefix="0" xfId="0"/>
    <xf numFmtId="0" fontId="10" fillId="5" borderId="0" applyAlignment="1" pivotButton="0" quotePrefix="0" xfId="0">
      <alignment vertical="top"/>
    </xf>
    <xf numFmtId="0" fontId="12" fillId="6" borderId="0" pivotButton="0" quotePrefix="0" xfId="0"/>
    <xf numFmtId="0" fontId="13" fillId="6" borderId="0" applyAlignment="1" pivotButton="0" quotePrefix="0" xfId="0">
      <alignment horizontal="left"/>
    </xf>
    <xf numFmtId="0" fontId="12" fillId="6" borderId="0" applyAlignment="1" pivotButton="0" quotePrefix="0" xfId="0">
      <alignment vertical="top"/>
    </xf>
    <xf numFmtId="0" fontId="13" fillId="6" borderId="0" applyAlignment="1" pivotButton="0" quotePrefix="0" xfId="0">
      <alignment horizontal="left" vertical="top"/>
    </xf>
    <xf numFmtId="0" fontId="14" fillId="0" borderId="0" pivotButton="0" quotePrefix="0" xfId="0"/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14" fillId="0" borderId="0" pivotButton="0" quotePrefix="0" xfId="0"/>
    <xf numFmtId="0" fontId="16" fillId="0" borderId="1" applyAlignment="1" pivotButton="0" quotePrefix="0" xfId="0">
      <alignment horizontal="left"/>
    </xf>
    <xf numFmtId="0" fontId="14" fillId="0" borderId="1" pivotButton="0" quotePrefix="0" xfId="0"/>
    <xf numFmtId="0" fontId="17" fillId="7" borderId="1" applyAlignment="1" pivotButton="0" quotePrefix="0" xfId="0">
      <alignment horizontal="left"/>
    </xf>
    <xf numFmtId="0" fontId="16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/>
    </xf>
    <xf numFmtId="0" fontId="19" fillId="0" borderId="1" pivotButton="0" quotePrefix="0" xfId="0"/>
    <xf numFmtId="0" fontId="16" fillId="0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7" fillId="8" borderId="2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7" fillId="9" borderId="4" applyAlignment="1" pivotButton="0" quotePrefix="0" xfId="0">
      <alignment horizontal="left"/>
    </xf>
    <xf numFmtId="0" fontId="7" fillId="4" borderId="1" applyAlignment="1" pivotButton="0" quotePrefix="0" xfId="0">
      <alignment horizontal="left"/>
    </xf>
    <xf numFmtId="0" fontId="7" fillId="8" borderId="1" applyAlignment="1" pivotButton="0" quotePrefix="0" xfId="0">
      <alignment horizontal="left"/>
    </xf>
    <xf numFmtId="0" fontId="7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165" fontId="20" fillId="5" borderId="1" applyAlignment="1" pivotButton="0" quotePrefix="0" xfId="0">
      <alignment horizontal="left" wrapText="1"/>
    </xf>
    <xf numFmtId="0" fontId="21" fillId="5" borderId="1" applyAlignment="1" pivotButton="0" quotePrefix="0" xfId="0">
      <alignment horizontal="left" wrapText="1"/>
    </xf>
    <xf numFmtId="0" fontId="22" fillId="5" borderId="5" applyAlignment="1" pivotButton="0" quotePrefix="0" xfId="0">
      <alignment horizontal="left" wrapText="1"/>
    </xf>
    <xf numFmtId="0" fontId="1" fillId="0" borderId="6" pivotButton="0" quotePrefix="0" xfId="0"/>
    <xf numFmtId="0" fontId="1" fillId="0" borderId="7" pivotButton="0" quotePrefix="0" xfId="0"/>
    <xf numFmtId="0" fontId="23" fillId="5" borderId="1" applyAlignment="1" pivotButton="0" quotePrefix="0" xfId="0">
      <alignment horizontal="left" wrapText="1"/>
    </xf>
    <xf numFmtId="0" fontId="1" fillId="5" borderId="1" applyAlignment="1" pivotButton="0" quotePrefix="0" xfId="0">
      <alignment horizontal="left" wrapText="1"/>
    </xf>
    <xf numFmtId="166" fontId="7" fillId="0" borderId="1" applyAlignment="1" pivotButton="0" quotePrefix="0" xfId="0">
      <alignment horizontal="left" wrapText="1"/>
    </xf>
    <xf numFmtId="0" fontId="15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1" fillId="10" borderId="1" applyAlignment="1" pivotButton="0" quotePrefix="0" xfId="0">
      <alignment horizontal="left" wrapText="1"/>
    </xf>
    <xf numFmtId="0" fontId="15" fillId="4" borderId="1" applyAlignment="1" pivotButton="0" quotePrefix="0" xfId="0">
      <alignment horizontal="left" wrapText="1"/>
    </xf>
    <xf numFmtId="0" fontId="15" fillId="10" borderId="1" applyAlignment="1" pivotButton="0" quotePrefix="0" xfId="0">
      <alignment horizontal="left" wrapText="1"/>
    </xf>
    <xf numFmtId="0" fontId="15" fillId="7" borderId="1" applyAlignment="1" pivotButton="0" quotePrefix="0" xfId="0">
      <alignment horizontal="left" wrapText="1"/>
    </xf>
    <xf numFmtId="0" fontId="24" fillId="0" borderId="1" applyAlignment="1" pivotButton="0" quotePrefix="0" xfId="0">
      <alignment horizontal="left" wrapText="1"/>
    </xf>
    <xf numFmtId="0" fontId="25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wrapText="1"/>
    </xf>
    <xf numFmtId="167" fontId="26" fillId="10" borderId="1" applyAlignment="1" pivotButton="0" quotePrefix="0" xfId="0">
      <alignment horizontal="left" wrapText="1"/>
    </xf>
    <xf numFmtId="167" fontId="15" fillId="0" borderId="1" applyAlignment="1" pivotButton="0" quotePrefix="0" xfId="0">
      <alignment horizontal="left" wrapText="1"/>
    </xf>
    <xf numFmtId="167" fontId="15" fillId="10" borderId="1" applyAlignment="1" pivotButton="0" quotePrefix="0" xfId="0">
      <alignment horizontal="left" wrapText="1"/>
    </xf>
    <xf numFmtId="167" fontId="24" fillId="0" borderId="1" applyAlignment="1" pivotButton="0" quotePrefix="0" xfId="0">
      <alignment horizontal="left" wrapText="1"/>
    </xf>
    <xf numFmtId="0" fontId="25" fillId="8" borderId="8" applyAlignment="1" pivotButton="0" quotePrefix="0" xfId="0">
      <alignment horizontal="left" wrapText="1"/>
    </xf>
    <xf numFmtId="0" fontId="25" fillId="8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27" fillId="0" borderId="1" applyAlignment="1" pivotButton="0" quotePrefix="0" xfId="0">
      <alignment horizontal="left" wrapText="1"/>
    </xf>
    <xf numFmtId="168" fontId="28" fillId="10" borderId="1" applyAlignment="1" pivotButton="0" quotePrefix="0" xfId="0">
      <alignment horizontal="left" wrapText="1"/>
    </xf>
    <xf numFmtId="168" fontId="28" fillId="0" borderId="1" applyAlignment="1" pivotButton="0" quotePrefix="0" xfId="0">
      <alignment horizontal="left" wrapText="1"/>
    </xf>
    <xf numFmtId="168" fontId="29" fillId="0" borderId="1" applyAlignment="1" pivotButton="0" quotePrefix="0" xfId="0">
      <alignment horizontal="left" wrapText="1"/>
    </xf>
    <xf numFmtId="0" fontId="1" fillId="0" borderId="4" pivotButton="0" quotePrefix="0" xfId="0"/>
    <xf numFmtId="0" fontId="27" fillId="8" borderId="1" applyAlignment="1" pivotButton="0" quotePrefix="0" xfId="0">
      <alignment horizontal="left" wrapText="1"/>
    </xf>
    <xf numFmtId="0" fontId="7" fillId="4" borderId="1" applyAlignment="1" pivotButton="0" quotePrefix="0" xfId="0">
      <alignment horizontal="left" wrapText="1"/>
    </xf>
    <xf numFmtId="0" fontId="1" fillId="9" borderId="1" applyAlignment="1" pivotButton="0" quotePrefix="0" xfId="0">
      <alignment wrapText="1"/>
    </xf>
    <xf numFmtId="0" fontId="7" fillId="8" borderId="1" applyAlignment="1" pivotButton="0" quotePrefix="0" xfId="0">
      <alignment horizontal="left" wrapText="1"/>
    </xf>
    <xf numFmtId="0" fontId="7" fillId="9" borderId="1" applyAlignment="1" pivotButton="0" quotePrefix="0" xfId="0">
      <alignment horizontal="left" wrapText="1"/>
    </xf>
    <xf numFmtId="0" fontId="1" fillId="4" borderId="4" applyAlignment="1" pivotButton="0" quotePrefix="0" xfId="0">
      <alignment wrapText="1"/>
    </xf>
    <xf numFmtId="0" fontId="1" fillId="9" borderId="4" pivotButton="0" quotePrefix="0" xfId="0"/>
    <xf numFmtId="0" fontId="1" fillId="7" borderId="9" pivotButton="0" quotePrefix="0" xfId="0"/>
    <xf numFmtId="0" fontId="1" fillId="11" borderId="4" applyAlignment="1" pivotButton="0" quotePrefix="0" xfId="0">
      <alignment wrapText="1"/>
    </xf>
    <xf numFmtId="0" fontId="1" fillId="12" borderId="4" applyAlignment="1" pivotButton="0" quotePrefix="0" xfId="0">
      <alignment wrapText="1"/>
    </xf>
    <xf numFmtId="0" fontId="1" fillId="9" borderId="4" applyAlignment="1" pivotButton="0" quotePrefix="0" xfId="0">
      <alignment wrapText="1"/>
    </xf>
    <xf numFmtId="0" fontId="1" fillId="4" borderId="4" pivotButton="0" quotePrefix="0" xfId="0"/>
    <xf numFmtId="0" fontId="30" fillId="0" borderId="1" applyAlignment="1" pivotButton="0" quotePrefix="0" xfId="0">
      <alignment horizontal="left" wrapText="1"/>
    </xf>
    <xf numFmtId="0" fontId="1" fillId="9" borderId="0" pivotButton="0" quotePrefix="0" xfId="0"/>
    <xf numFmtId="0" fontId="1" fillId="13" borderId="1" applyAlignment="1" pivotButton="0" quotePrefix="0" xfId="0">
      <alignment wrapText="1"/>
    </xf>
    <xf numFmtId="0" fontId="1" fillId="14" borderId="4" applyAlignment="1" pivotButton="0" quotePrefix="0" xfId="0">
      <alignment wrapText="1"/>
    </xf>
    <xf numFmtId="0" fontId="1" fillId="4" borderId="1" pivotButton="0" quotePrefix="0" xfId="0"/>
    <xf numFmtId="0" fontId="1" fillId="9" borderId="1" pivotButton="0" quotePrefix="0" xfId="0"/>
    <xf numFmtId="0" fontId="1" fillId="15" borderId="1" applyAlignment="1" pivotButton="0" quotePrefix="0" xfId="0">
      <alignment wrapText="1"/>
    </xf>
    <xf numFmtId="0" fontId="1" fillId="16" borderId="1" applyAlignment="1" pivotButton="0" quotePrefix="0" xfId="0">
      <alignment wrapText="1"/>
    </xf>
    <xf numFmtId="0" fontId="1" fillId="17" borderId="4" pivotButton="0" quotePrefix="0" xfId="0"/>
    <xf numFmtId="0" fontId="1" fillId="18" borderId="1" applyAlignment="1" pivotButton="0" quotePrefix="0" xfId="0">
      <alignment wrapText="1"/>
    </xf>
    <xf numFmtId="0" fontId="1" fillId="18" borderId="4" applyAlignment="1" pivotButton="0" quotePrefix="0" xfId="0">
      <alignment wrapText="1"/>
    </xf>
    <xf numFmtId="0" fontId="1" fillId="17" borderId="1" applyAlignment="1" pivotButton="0" quotePrefix="0" xfId="0">
      <alignment wrapText="1"/>
    </xf>
    <xf numFmtId="0" fontId="1" fillId="14" borderId="1" applyAlignment="1" pivotButton="0" quotePrefix="0" xfId="0">
      <alignment wrapText="1"/>
    </xf>
    <xf numFmtId="0" fontId="1" fillId="13" borderId="4" applyAlignment="1" pivotButton="0" quotePrefix="0" xfId="0">
      <alignment wrapText="1"/>
    </xf>
    <xf numFmtId="0" fontId="1" fillId="11" borderId="1" applyAlignment="1" pivotButton="0" quotePrefix="0" xfId="0">
      <alignment wrapText="1"/>
    </xf>
    <xf numFmtId="0" fontId="1" fillId="9" borderId="2" pivotButton="0" quotePrefix="0" xfId="0"/>
    <xf numFmtId="0" fontId="1" fillId="19" borderId="4" applyAlignment="1" pivotButton="0" quotePrefix="0" xfId="0">
      <alignment wrapText="1"/>
    </xf>
    <xf numFmtId="0" fontId="1" fillId="20" borderId="1" applyAlignment="1" pivotButton="0" quotePrefix="0" xfId="0">
      <alignment horizontal="left" wrapText="1"/>
    </xf>
    <xf numFmtId="0" fontId="31" fillId="9" borderId="1" applyAlignment="1" pivotButton="0" quotePrefix="0" xfId="0">
      <alignment horizontal="left" wrapText="1"/>
    </xf>
    <xf numFmtId="0" fontId="1" fillId="7" borderId="1" applyAlignment="1" pivotButton="0" quotePrefix="0" xfId="0">
      <alignment horizontal="left" wrapText="1"/>
    </xf>
    <xf numFmtId="0" fontId="7" fillId="20" borderId="1" applyAlignment="1" pivotButton="0" quotePrefix="0" xfId="0">
      <alignment horizontal="left" wrapText="1"/>
    </xf>
    <xf numFmtId="0" fontId="1" fillId="0" borderId="1" pivotButton="0" quotePrefix="0" xfId="0"/>
    <xf numFmtId="0" fontId="1" fillId="9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10" borderId="1" applyAlignment="1" pivotButton="0" quotePrefix="0" xfId="0">
      <alignment horizontal="left" wrapText="1"/>
    </xf>
    <xf numFmtId="0" fontId="1" fillId="4" borderId="1" applyAlignment="1" pivotButton="0" quotePrefix="0" xfId="0">
      <alignment horizontal="left" wrapText="1"/>
    </xf>
    <xf numFmtId="0" fontId="1" fillId="21" borderId="1" applyAlignment="1" pivotButton="0" quotePrefix="0" xfId="0">
      <alignment horizontal="left" wrapText="1"/>
    </xf>
    <xf numFmtId="0" fontId="32" fillId="0" borderId="1" applyAlignment="1" pivotButton="0" quotePrefix="0" xfId="0">
      <alignment horizontal="left" wrapText="1"/>
    </xf>
    <xf numFmtId="0" fontId="1" fillId="22" borderId="1" applyAlignment="1" pivotButton="0" quotePrefix="0" xfId="0">
      <alignment wrapText="1"/>
    </xf>
    <xf numFmtId="0" fontId="0" fillId="4" borderId="1" applyAlignment="1" pivotButton="0" quotePrefix="0" xfId="0">
      <alignment horizontal="left" wrapText="1"/>
    </xf>
    <xf numFmtId="0" fontId="33" fillId="23" borderId="1" applyAlignment="1" pivotButton="0" quotePrefix="0" xfId="0">
      <alignment horizontal="left" wrapText="1"/>
    </xf>
    <xf numFmtId="0" fontId="30" fillId="10" borderId="1" applyAlignment="1" pivotButton="0" quotePrefix="0" xfId="0">
      <alignment horizontal="left" wrapText="1"/>
    </xf>
    <xf numFmtId="0" fontId="30" fillId="4" borderId="1" applyAlignment="1" pivotButton="0" quotePrefix="0" xfId="0">
      <alignment horizontal="left" wrapText="1"/>
    </xf>
    <xf numFmtId="0" fontId="34" fillId="0" borderId="1" applyAlignment="1" pivotButton="0" quotePrefix="0" xfId="0">
      <alignment horizontal="left" wrapText="1"/>
    </xf>
    <xf numFmtId="0" fontId="35" fillId="10" borderId="1" applyAlignment="1" pivotButton="0" quotePrefix="0" xfId="0">
      <alignment horizontal="left" wrapText="1"/>
    </xf>
    <xf numFmtId="0" fontId="35" fillId="0" borderId="1" applyAlignment="1" pivotButton="0" quotePrefix="0" xfId="0">
      <alignment horizontal="left" wrapText="1"/>
    </xf>
    <xf numFmtId="0" fontId="35" fillId="4" borderId="1" applyAlignment="1" pivotButton="0" quotePrefix="0" xfId="0">
      <alignment horizontal="left" wrapText="1"/>
    </xf>
    <xf numFmtId="0" fontId="36" fillId="0" borderId="1" applyAlignment="1" pivotButton="0" quotePrefix="0" xfId="0">
      <alignment horizontal="left" wrapText="1"/>
    </xf>
    <xf numFmtId="0" fontId="31" fillId="20" borderId="1" applyAlignment="1" pivotButton="0" quotePrefix="0" xfId="0">
      <alignment horizontal="left" wrapText="1"/>
    </xf>
    <xf numFmtId="0" fontId="7" fillId="24" borderId="1" applyAlignment="1" pivotButton="0" quotePrefix="0" xfId="0">
      <alignment horizontal="left" wrapText="1"/>
    </xf>
    <xf numFmtId="0" fontId="31" fillId="0" borderId="1" applyAlignment="1" pivotButton="0" quotePrefix="0" xfId="0">
      <alignment horizontal="left" wrapText="1"/>
    </xf>
    <xf numFmtId="0" fontId="7" fillId="12" borderId="1" applyAlignment="1" pivotButton="0" quotePrefix="0" xfId="0">
      <alignment horizontal="left" wrapText="1"/>
    </xf>
    <xf numFmtId="0" fontId="7" fillId="25" borderId="1" applyAlignment="1" pivotButton="0" quotePrefix="0" xfId="0">
      <alignment horizontal="left" wrapText="1"/>
    </xf>
    <xf numFmtId="0" fontId="7" fillId="26" borderId="1" applyAlignment="1" pivotButton="0" quotePrefix="0" xfId="0">
      <alignment horizontal="left" wrapText="1"/>
    </xf>
    <xf numFmtId="0" fontId="7" fillId="19" borderId="1" applyAlignment="1" pivotButton="0" quotePrefix="0" xfId="0">
      <alignment horizontal="left" wrapText="1"/>
    </xf>
    <xf numFmtId="0" fontId="1" fillId="27" borderId="9" pivotButton="0" quotePrefix="0" xfId="0"/>
    <xf numFmtId="0" fontId="1" fillId="4" borderId="9" pivotButton="0" quotePrefix="0" xfId="0"/>
    <xf numFmtId="0" fontId="1" fillId="7" borderId="4" applyAlignment="1" pivotButton="0" quotePrefix="0" xfId="0">
      <alignment wrapText="1"/>
    </xf>
    <xf numFmtId="0" fontId="1" fillId="10" borderId="9" pivotButton="0" quotePrefix="0" xfId="0"/>
    <xf numFmtId="0" fontId="1" fillId="27" borderId="9" applyAlignment="1" pivotButton="0" quotePrefix="0" xfId="0">
      <alignment wrapText="1"/>
    </xf>
    <xf numFmtId="0" fontId="1" fillId="27" borderId="1" pivotButton="0" quotePrefix="0" xfId="0"/>
    <xf numFmtId="0" fontId="1" fillId="0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1" fillId="19" borderId="1" applyAlignment="1" pivotButton="0" quotePrefix="0" xfId="0">
      <alignment wrapText="1"/>
    </xf>
    <xf numFmtId="0" fontId="37" fillId="10" borderId="1" applyAlignment="1" pivotButton="0" quotePrefix="0" xfId="0">
      <alignment horizontal="left" wrapText="1"/>
    </xf>
    <xf numFmtId="0" fontId="1" fillId="9" borderId="7" applyAlignment="1" pivotButton="0" quotePrefix="0" xfId="0">
      <alignment horizontal="left" wrapText="1"/>
    </xf>
    <xf numFmtId="0" fontId="1" fillId="9" borderId="0" pivotButton="0" quotePrefix="0" xfId="0"/>
    <xf numFmtId="0" fontId="1" fillId="4" borderId="0" applyAlignment="1" pivotButton="0" quotePrefix="0" xfId="0">
      <alignment horizontal="left" wrapText="1"/>
    </xf>
    <xf numFmtId="0" fontId="1" fillId="4" borderId="0" applyAlignment="1" pivotButton="0" quotePrefix="0" xfId="0">
      <alignment wrapText="1"/>
    </xf>
    <xf numFmtId="0" fontId="1" fillId="4" borderId="0" pivotButton="0" quotePrefix="0" xfId="0"/>
    <xf numFmtId="0" fontId="1" fillId="9" borderId="0" applyAlignment="1" pivotButton="0" quotePrefix="0" xfId="0">
      <alignment wrapText="1"/>
    </xf>
    <xf numFmtId="0" fontId="38" fillId="8" borderId="1" applyAlignment="1" pivotButton="0" quotePrefix="0" xfId="0">
      <alignment horizontal="left" wrapText="1"/>
    </xf>
    <xf numFmtId="0" fontId="1" fillId="4" borderId="0" pivotButton="0" quotePrefix="0" xfId="0"/>
    <xf numFmtId="0" fontId="1" fillId="9" borderId="0" applyAlignment="1" pivotButton="0" quotePrefix="0" xfId="0">
      <alignment horizontal="left" wrapText="1"/>
    </xf>
    <xf numFmtId="0" fontId="1" fillId="4" borderId="9" applyAlignment="1" pivotButton="0" quotePrefix="0" xfId="0">
      <alignment wrapText="1"/>
    </xf>
    <xf numFmtId="0" fontId="31" fillId="4" borderId="1" applyAlignment="1" pivotButton="0" quotePrefix="0" xfId="0">
      <alignment horizontal="left" wrapText="1"/>
    </xf>
    <xf numFmtId="0" fontId="33" fillId="4" borderId="1" applyAlignment="1" pivotButton="0" quotePrefix="0" xfId="0">
      <alignment horizontal="left" wrapText="1"/>
    </xf>
    <xf numFmtId="0" fontId="37" fillId="4" borderId="1" applyAlignment="1" pivotButton="0" quotePrefix="0" xfId="0">
      <alignment horizontal="left" wrapText="1"/>
    </xf>
    <xf numFmtId="0" fontId="1" fillId="4" borderId="5" applyAlignment="1" pivotButton="0" quotePrefix="0" xfId="0">
      <alignment horizontal="left" wrapText="1"/>
    </xf>
    <xf numFmtId="0" fontId="1" fillId="4" borderId="7" pivotButton="0" quotePrefix="0" xfId="0"/>
    <xf numFmtId="0" fontId="1" fillId="4" borderId="1" pivotButton="0" quotePrefix="0" xfId="0"/>
    <xf numFmtId="0" fontId="36" fillId="4" borderId="1" applyAlignment="1" pivotButton="0" quotePrefix="0" xfId="0">
      <alignment horizontal="left" wrapText="1"/>
    </xf>
    <xf numFmtId="0" fontId="35" fillId="9" borderId="1" applyAlignment="1" pivotButton="0" quotePrefix="0" xfId="0">
      <alignment horizontal="left" wrapText="1"/>
    </xf>
    <xf numFmtId="0" fontId="36" fillId="9" borderId="1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7" fillId="9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165" fontId="20" fillId="5" borderId="1" applyAlignment="1" pivotButton="0" quotePrefix="0" xfId="0">
      <alignment wrapText="1"/>
    </xf>
    <xf numFmtId="0" fontId="21" fillId="5" borderId="1" applyAlignment="1" pivotButton="0" quotePrefix="0" xfId="0">
      <alignment wrapText="1"/>
    </xf>
    <xf numFmtId="0" fontId="22" fillId="5" borderId="5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wrapText="1"/>
    </xf>
    <xf numFmtId="0" fontId="15" fillId="0" borderId="1" applyAlignment="1" pivotButton="0" quotePrefix="0" xfId="0">
      <alignment horizontal="center" wrapText="1"/>
    </xf>
    <xf numFmtId="0" fontId="15" fillId="10" borderId="1" applyAlignment="1" pivotButton="0" quotePrefix="0" xfId="0">
      <alignment horizontal="center" wrapText="1"/>
    </xf>
    <xf numFmtId="0" fontId="24" fillId="0" borderId="1" applyAlignment="1" pivotButton="0" quotePrefix="0" xfId="0">
      <alignment horizontal="center" wrapText="1"/>
    </xf>
    <xf numFmtId="0" fontId="25" fillId="0" borderId="1" applyAlignment="1" pivotButton="0" quotePrefix="0" xfId="0">
      <alignment horizontal="center" wrapText="1"/>
    </xf>
    <xf numFmtId="167" fontId="26" fillId="10" borderId="1" applyAlignment="1" pivotButton="0" quotePrefix="0" xfId="0">
      <alignment horizontal="center" wrapText="1"/>
    </xf>
    <xf numFmtId="167" fontId="15" fillId="0" borderId="1" applyAlignment="1" pivotButton="0" quotePrefix="0" xfId="0">
      <alignment horizontal="center" wrapText="1"/>
    </xf>
    <xf numFmtId="167" fontId="15" fillId="10" borderId="1" applyAlignment="1" pivotButton="0" quotePrefix="0" xfId="0">
      <alignment horizontal="center" wrapText="1"/>
    </xf>
    <xf numFmtId="167" fontId="24" fillId="0" borderId="1" applyAlignment="1" pivotButton="0" quotePrefix="0" xfId="0">
      <alignment horizontal="center" wrapText="1"/>
    </xf>
    <xf numFmtId="0" fontId="25" fillId="8" borderId="8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left" vertical="top" wrapText="1"/>
    </xf>
    <xf numFmtId="0" fontId="27" fillId="0" borderId="1" applyAlignment="1" pivotButton="0" quotePrefix="0" xfId="0">
      <alignment horizontal="left" vertical="top" wrapText="1"/>
    </xf>
    <xf numFmtId="168" fontId="28" fillId="10" borderId="1" applyAlignment="1" pivotButton="0" quotePrefix="0" xfId="0">
      <alignment horizontal="center" vertical="top" wrapText="1"/>
    </xf>
    <xf numFmtId="168" fontId="28" fillId="0" borderId="1" applyAlignment="1" pivotButton="0" quotePrefix="0" xfId="0">
      <alignment horizontal="center" vertical="top" wrapText="1"/>
    </xf>
    <xf numFmtId="168" fontId="29" fillId="0" borderId="1" applyAlignment="1" pivotButton="0" quotePrefix="0" xfId="0">
      <alignment horizontal="center" vertical="top" wrapText="1"/>
    </xf>
    <xf numFmtId="0" fontId="27" fillId="0" borderId="1" applyAlignment="1" pivotButton="0" quotePrefix="0" xfId="0">
      <alignment horizontal="center" vertical="top" wrapText="1"/>
    </xf>
    <xf numFmtId="0" fontId="27" fillId="8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center" wrapText="1"/>
    </xf>
    <xf numFmtId="0" fontId="7" fillId="9" borderId="1" applyAlignment="1" pivotButton="0" quotePrefix="0" xfId="0">
      <alignment wrapText="1"/>
    </xf>
    <xf numFmtId="0" fontId="7" fillId="8" borderId="1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7" fillId="4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38" fillId="8" borderId="1" applyAlignment="1" pivotButton="0" quotePrefix="0" xfId="0">
      <alignment wrapText="1"/>
    </xf>
    <xf numFmtId="0" fontId="7" fillId="0" borderId="1" applyAlignment="1" pivotButton="0" quotePrefix="0" xfId="0">
      <alignment horizontal="center" wrapText="1"/>
    </xf>
    <xf numFmtId="0" fontId="33" fillId="0" borderId="1" applyAlignment="1" pivotButton="0" quotePrefix="0" xfId="0">
      <alignment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center" vertical="center" wrapText="1"/>
    </xf>
    <xf numFmtId="0" fontId="33" fillId="23" borderId="1" applyAlignment="1" pivotButton="0" quotePrefix="0" xfId="0">
      <alignment vertical="center" wrapText="1"/>
    </xf>
    <xf numFmtId="0" fontId="36" fillId="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vertical="center" wrapText="1"/>
    </xf>
    <xf numFmtId="0" fontId="31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wrapText="1"/>
    </xf>
    <xf numFmtId="0" fontId="7" fillId="24" borderId="1" applyAlignment="1" pivotButton="0" quotePrefix="0" xfId="0">
      <alignment vertical="center" wrapText="1"/>
    </xf>
    <xf numFmtId="0" fontId="31" fillId="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7" fillId="16" borderId="1" applyAlignment="1" pivotButton="0" quotePrefix="0" xfId="0">
      <alignment vertical="center" wrapText="1"/>
    </xf>
    <xf numFmtId="0" fontId="7" fillId="25" borderId="1" applyAlignment="1" pivotButton="0" quotePrefix="0" xfId="0">
      <alignment vertical="center" wrapText="1"/>
    </xf>
    <xf numFmtId="0" fontId="7" fillId="26" borderId="1" applyAlignment="1" pivotButton="0" quotePrefix="0" xfId="0">
      <alignment vertical="center" wrapText="1"/>
    </xf>
    <xf numFmtId="0" fontId="7" fillId="19" borderId="1" applyAlignment="1" pivotButton="0" quotePrefix="0" xfId="0">
      <alignment vertical="center" wrapText="1"/>
    </xf>
    <xf numFmtId="165" fontId="20" fillId="5" borderId="0" applyAlignment="1" pivotButton="0" quotePrefix="0" xfId="0">
      <alignment wrapText="1"/>
    </xf>
    <xf numFmtId="0" fontId="23" fillId="5" borderId="0" applyAlignment="1" pivotButton="0" quotePrefix="0" xfId="0">
      <alignment horizontal="left" vertical="center" wrapText="1"/>
    </xf>
    <xf numFmtId="0" fontId="1" fillId="5" borderId="3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166" fontId="7" fillId="0" borderId="0" applyAlignment="1" pivotButton="0" quotePrefix="0" xfId="0">
      <alignment horizontal="left" wrapText="1"/>
    </xf>
    <xf numFmtId="0" fontId="25" fillId="0" borderId="10" applyAlignment="1" pivotButton="0" quotePrefix="0" xfId="0">
      <alignment horizontal="center" wrapText="1"/>
    </xf>
    <xf numFmtId="0" fontId="25" fillId="0" borderId="10" applyAlignment="1" pivotButton="0" quotePrefix="0" xfId="0">
      <alignment horizontal="left" wrapText="1"/>
    </xf>
    <xf numFmtId="0" fontId="25" fillId="0" borderId="0" applyAlignment="1" pivotButton="0" quotePrefix="0" xfId="0">
      <alignment horizontal="center" wrapText="1"/>
    </xf>
    <xf numFmtId="0" fontId="25" fillId="0" borderId="11" applyAlignment="1" pivotButton="0" quotePrefix="0" xfId="0">
      <alignment horizontal="center" wrapText="1"/>
    </xf>
    <xf numFmtId="0" fontId="25" fillId="0" borderId="12" applyAlignment="1" pivotButton="0" quotePrefix="0" xfId="0">
      <alignment horizontal="center" wrapText="1"/>
    </xf>
    <xf numFmtId="0" fontId="25" fillId="0" borderId="13" applyAlignment="1" pivotButton="0" quotePrefix="0" xfId="0">
      <alignment horizontal="center" wrapText="1"/>
    </xf>
    <xf numFmtId="0" fontId="25" fillId="8" borderId="13" applyAlignment="1" pivotButton="0" quotePrefix="0" xfId="0">
      <alignment horizontal="center" vertical="center" wrapText="1"/>
    </xf>
    <xf numFmtId="0" fontId="25" fillId="8" borderId="13" applyAlignment="1" pivotButton="0" quotePrefix="0" xfId="0">
      <alignment horizontal="center" wrapText="1"/>
    </xf>
    <xf numFmtId="0" fontId="7" fillId="0" borderId="14" applyAlignment="1" pivotButton="0" quotePrefix="0" xfId="0">
      <alignment horizontal="left" vertical="top" wrapText="1"/>
    </xf>
    <xf numFmtId="0" fontId="27" fillId="0" borderId="15" applyAlignment="1" pivotButton="0" quotePrefix="0" xfId="0">
      <alignment horizontal="center" vertical="top" wrapText="1"/>
    </xf>
    <xf numFmtId="0" fontId="27" fillId="0" borderId="16" applyAlignment="1" pivotButton="0" quotePrefix="0" xfId="0">
      <alignment horizontal="center" vertical="top" wrapText="1"/>
    </xf>
    <xf numFmtId="0" fontId="27" fillId="0" borderId="17" applyAlignment="1" pivotButton="0" quotePrefix="0" xfId="0">
      <alignment horizontal="center" vertical="top" wrapText="1"/>
    </xf>
    <xf numFmtId="0" fontId="1" fillId="0" borderId="17" pivotButton="0" quotePrefix="0" xfId="0"/>
    <xf numFmtId="0" fontId="27" fillId="8" borderId="17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center" wrapText="1"/>
    </xf>
    <xf numFmtId="0" fontId="39" fillId="0" borderId="1" applyAlignment="1" pivotButton="0" quotePrefix="0" xfId="0">
      <alignment horizontal="center" vertical="top" wrapText="1"/>
    </xf>
    <xf numFmtId="0" fontId="39" fillId="27" borderId="1" applyAlignment="1" pivotButton="0" quotePrefix="0" xfId="0">
      <alignment horizontal="center" vertical="top" wrapText="1"/>
    </xf>
    <xf numFmtId="168" fontId="1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 wrapText="1"/>
    </xf>
    <xf numFmtId="0" fontId="7" fillId="9" borderId="18" applyAlignment="1" pivotButton="0" quotePrefix="0" xfId="0">
      <alignment horizontal="center" wrapText="1"/>
    </xf>
    <xf numFmtId="0" fontId="7" fillId="8" borderId="18" applyAlignment="1" pivotButton="0" quotePrefix="0" xfId="0">
      <alignment horizontal="center" wrapText="1"/>
    </xf>
    <xf numFmtId="0" fontId="7" fillId="9" borderId="0" applyAlignment="1" pivotButton="0" quotePrefix="0" xfId="0">
      <alignment horizontal="center" wrapText="1"/>
    </xf>
    <xf numFmtId="0" fontId="39" fillId="9" borderId="1" applyAlignment="1" pivotButton="0" quotePrefix="0" xfId="0">
      <alignment wrapText="1"/>
    </xf>
    <xf numFmtId="0" fontId="39" fillId="27" borderId="1" applyAlignment="1" pivotButton="0" quotePrefix="0" xfId="0">
      <alignment wrapText="1"/>
    </xf>
    <xf numFmtId="168" fontId="1" fillId="4" borderId="1" applyAlignment="1" pivotButton="0" quotePrefix="0" xfId="0">
      <alignment wrapText="1"/>
    </xf>
    <xf numFmtId="0" fontId="39" fillId="4" borderId="1" applyAlignment="1" pivotButton="0" quotePrefix="0" xfId="0">
      <alignment wrapText="1"/>
    </xf>
    <xf numFmtId="0" fontId="1" fillId="28" borderId="1" applyAlignment="1" pivotButton="0" quotePrefix="0" xfId="0">
      <alignment wrapText="1"/>
    </xf>
    <xf numFmtId="0" fontId="7" fillId="0" borderId="18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19" applyAlignment="1" pivotButton="0" quotePrefix="0" xfId="0">
      <alignment horizontal="center" vertical="center" wrapText="1"/>
    </xf>
    <xf numFmtId="0" fontId="31" fillId="20" borderId="4" applyAlignment="1" pivotButton="0" quotePrefix="0" xfId="0">
      <alignment horizontal="center" vertical="center" wrapText="1"/>
    </xf>
    <xf numFmtId="0" fontId="31" fillId="20" borderId="0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7" fillId="20" borderId="19" applyAlignment="1" pivotButton="0" quotePrefix="0" xfId="0">
      <alignment horizontal="center" vertical="center" wrapText="1"/>
    </xf>
    <xf numFmtId="0" fontId="7" fillId="20" borderId="18" applyAlignment="1" pivotButton="0" quotePrefix="0" xfId="0">
      <alignment horizontal="center" wrapText="1"/>
    </xf>
    <xf numFmtId="0" fontId="7" fillId="20" borderId="0" applyAlignment="1" pivotButton="0" quotePrefix="0" xfId="0">
      <alignment horizontal="center" wrapText="1"/>
    </xf>
    <xf numFmtId="0" fontId="21" fillId="5" borderId="0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15" fillId="0" borderId="0" applyAlignment="1" pivotButton="0" quotePrefix="0" xfId="0">
      <alignment horizontal="left" wrapText="1"/>
    </xf>
    <xf numFmtId="0" fontId="15" fillId="0" borderId="10" applyAlignment="1" pivotButton="0" quotePrefix="0" xfId="0">
      <alignment horizontal="center" wrapText="1"/>
    </xf>
    <xf numFmtId="0" fontId="25" fillId="4" borderId="10" applyAlignment="1" pivotButton="0" quotePrefix="0" xfId="0">
      <alignment horizontal="center" wrapText="1"/>
    </xf>
    <xf numFmtId="0" fontId="27" fillId="0" borderId="0" applyAlignment="1" pivotButton="0" quotePrefix="0" xfId="0">
      <alignment horizontal="left" vertical="top" wrapText="1"/>
    </xf>
    <xf numFmtId="0" fontId="7" fillId="9" borderId="20" applyAlignment="1" pivotButton="0" quotePrefix="0" xfId="0">
      <alignment wrapText="1"/>
    </xf>
    <xf numFmtId="0" fontId="7" fillId="4" borderId="21" applyAlignment="1" pivotButton="0" quotePrefix="0" xfId="0">
      <alignment wrapText="1"/>
    </xf>
    <xf numFmtId="0" fontId="7" fillId="9" borderId="22" applyAlignment="1" pivotButton="0" quotePrefix="0" xfId="0">
      <alignment wrapText="1"/>
    </xf>
    <xf numFmtId="0" fontId="7" fillId="4" borderId="23" applyAlignment="1" pivotButton="0" quotePrefix="0" xfId="0">
      <alignment wrapText="1"/>
    </xf>
    <xf numFmtId="0" fontId="1" fillId="9" borderId="1" applyAlignment="1" pivotButton="0" quotePrefix="0" xfId="0">
      <alignment vertical="top" wrapText="1"/>
    </xf>
    <xf numFmtId="0" fontId="36" fillId="9" borderId="1" applyAlignment="1" pivotButton="0" quotePrefix="0" xfId="0">
      <alignment horizontal="center" wrapText="1"/>
    </xf>
    <xf numFmtId="0" fontId="7" fillId="9" borderId="24" applyAlignment="1" pivotButton="0" quotePrefix="0" xfId="0">
      <alignment wrapText="1"/>
    </xf>
    <xf numFmtId="0" fontId="7" fillId="9" borderId="4" applyAlignment="1" pivotButton="0" quotePrefix="0" xfId="0">
      <alignment wrapText="1"/>
    </xf>
    <xf numFmtId="0" fontId="7" fillId="4" borderId="4" applyAlignment="1" pivotButton="0" quotePrefix="0" xfId="0">
      <alignment wrapText="1"/>
    </xf>
    <xf numFmtId="0" fontId="7" fillId="8" borderId="4" applyAlignment="1" pivotButton="0" quotePrefix="0" xfId="0">
      <alignment wrapText="1"/>
    </xf>
    <xf numFmtId="0" fontId="7" fillId="8" borderId="24" applyAlignment="1" pivotButton="0" quotePrefix="0" xfId="0">
      <alignment wrapText="1"/>
    </xf>
    <xf numFmtId="0" fontId="7" fillId="8" borderId="25" applyAlignment="1" pivotButton="0" quotePrefix="0" xfId="0">
      <alignment wrapText="1"/>
    </xf>
    <xf numFmtId="0" fontId="7" fillId="8" borderId="2" applyAlignment="1" pivotButton="0" quotePrefix="0" xfId="0">
      <alignment wrapText="1"/>
    </xf>
    <xf numFmtId="0" fontId="7" fillId="8" borderId="22" applyAlignment="1" pivotButton="0" quotePrefix="0" xfId="0">
      <alignment wrapText="1"/>
    </xf>
    <xf numFmtId="0" fontId="40" fillId="9" borderId="1" applyAlignment="1" pivotButton="0" quotePrefix="0" xfId="0">
      <alignment wrapText="1"/>
    </xf>
    <xf numFmtId="0" fontId="7" fillId="8" borderId="23" applyAlignment="1" pivotButton="0" quotePrefix="0" xfId="0">
      <alignment wrapText="1"/>
    </xf>
    <xf numFmtId="0" fontId="7" fillId="8" borderId="5" applyAlignment="1" pivotButton="0" quotePrefix="0" xfId="0">
      <alignment wrapText="1"/>
    </xf>
    <xf numFmtId="0" fontId="7" fillId="8" borderId="8" applyAlignment="1" pivotButton="0" quotePrefix="0" xfId="0">
      <alignment wrapText="1"/>
    </xf>
    <xf numFmtId="0" fontId="7" fillId="8" borderId="26" applyAlignment="1" pivotButton="0" quotePrefix="0" xfId="0">
      <alignment wrapText="1"/>
    </xf>
    <xf numFmtId="0" fontId="40" fillId="4" borderId="1" applyAlignment="1" pivotButton="0" quotePrefix="0" xfId="0">
      <alignment wrapText="1"/>
    </xf>
    <xf numFmtId="0" fontId="35" fillId="10" borderId="5" applyAlignment="1" pivotButton="0" quotePrefix="0" xfId="0">
      <alignment horizontal="center" vertical="center" wrapText="1"/>
    </xf>
    <xf numFmtId="0" fontId="35" fillId="0" borderId="4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165" fontId="20" fillId="5" borderId="0" pivotButton="0" quotePrefix="0" xfId="0"/>
    <xf numFmtId="0" fontId="21" fillId="5" borderId="0" pivotButton="0" quotePrefix="0" xfId="0"/>
    <xf numFmtId="0" fontId="22" fillId="5" borderId="5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" fillId="5" borderId="3" pivotButton="0" quotePrefix="0" xfId="0"/>
    <xf numFmtId="0" fontId="1" fillId="5" borderId="0" pivotButton="0" quotePrefix="0" xfId="0"/>
    <xf numFmtId="166" fontId="7" fillId="0" borderId="0" applyAlignment="1" pivotButton="0" quotePrefix="0" xfId="0">
      <alignment horizontal="left"/>
    </xf>
    <xf numFmtId="0" fontId="33" fillId="0" borderId="1" applyAlignment="1" pivotButton="0" quotePrefix="0" xfId="0">
      <alignment horizontal="center" wrapText="1"/>
    </xf>
    <xf numFmtId="0" fontId="15" fillId="0" borderId="1" applyAlignment="1" pivotButton="0" quotePrefix="0" xfId="0">
      <alignment horizontal="center"/>
    </xf>
    <xf numFmtId="0" fontId="25" fillId="0" borderId="10" applyAlignment="1" pivotButton="0" quotePrefix="0" xfId="0">
      <alignment horizontal="center"/>
    </xf>
    <xf numFmtId="0" fontId="25" fillId="0" borderId="10" applyAlignment="1" pivotButton="0" quotePrefix="0" xfId="0">
      <alignment horizontal="left"/>
    </xf>
    <xf numFmtId="0" fontId="25" fillId="0" borderId="0" applyAlignment="1" pivotButton="0" quotePrefix="0" xfId="0">
      <alignment horizontal="center"/>
    </xf>
    <xf numFmtId="167" fontId="26" fillId="10" borderId="1" applyAlignment="1" pivotButton="0" quotePrefix="0" xfId="0">
      <alignment horizontal="center"/>
    </xf>
    <xf numFmtId="167" fontId="15" fillId="0" borderId="1" applyAlignment="1" pivotButton="0" quotePrefix="0" xfId="0">
      <alignment horizontal="center"/>
    </xf>
    <xf numFmtId="167" fontId="15" fillId="10" borderId="1" applyAlignment="1" pivotButton="0" quotePrefix="0" xfId="0">
      <alignment horizontal="center"/>
    </xf>
    <xf numFmtId="167" fontId="33" fillId="0" borderId="1" applyAlignment="1" pivotButton="0" quotePrefix="0" xfId="0">
      <alignment horizontal="center"/>
    </xf>
    <xf numFmtId="0" fontId="25" fillId="0" borderId="13" applyAlignment="1" pivotButton="0" quotePrefix="0" xfId="0">
      <alignment horizontal="center"/>
    </xf>
    <xf numFmtId="0" fontId="7" fillId="0" borderId="14" applyAlignment="1" pivotButton="0" quotePrefix="0" xfId="0">
      <alignment horizontal="left" vertical="top"/>
    </xf>
    <xf numFmtId="168" fontId="28" fillId="10" borderId="1" applyAlignment="1" pivotButton="0" quotePrefix="0" xfId="0">
      <alignment horizontal="center" vertical="top"/>
    </xf>
    <xf numFmtId="168" fontId="28" fillId="0" borderId="1" applyAlignment="1" pivotButton="0" quotePrefix="0" xfId="0">
      <alignment horizontal="center" vertical="top"/>
    </xf>
    <xf numFmtId="168" fontId="7" fillId="0" borderId="1" applyAlignment="1" pivotButton="0" quotePrefix="0" xfId="0">
      <alignment horizontal="center" vertical="top"/>
    </xf>
    <xf numFmtId="0" fontId="27" fillId="0" borderId="17" applyAlignment="1" pivotButton="0" quotePrefix="0" xfId="0">
      <alignment horizontal="center" vertical="top"/>
    </xf>
    <xf numFmtId="0" fontId="2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center"/>
    </xf>
    <xf numFmtId="0" fontId="7" fillId="4" borderId="2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9" borderId="18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10" borderId="1" applyAlignment="1" pivotButton="0" quotePrefix="0" xfId="0">
      <alignment vertical="center"/>
    </xf>
    <xf numFmtId="0" fontId="35" fillId="0" borderId="7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/>
    </xf>
    <xf numFmtId="0" fontId="35" fillId="10" borderId="1" applyAlignment="1" pivotButton="0" quotePrefix="0" xfId="0">
      <alignment horizontal="center" wrapText="1"/>
    </xf>
    <xf numFmtId="0" fontId="7" fillId="0" borderId="21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 wrapText="1"/>
    </xf>
    <xf numFmtId="0" fontId="7" fillId="10" borderId="23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35" fillId="4" borderId="1" applyAlignment="1" pivotButton="0" quotePrefix="0" xfId="0">
      <alignment horizontal="center" vertical="center"/>
    </xf>
    <xf numFmtId="0" fontId="35" fillId="11" borderId="1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 wrapText="1"/>
    </xf>
    <xf numFmtId="0" fontId="7" fillId="10" borderId="4" applyAlignment="1" pivotButton="0" quotePrefix="0" xfId="0">
      <alignment vertical="center"/>
    </xf>
    <xf numFmtId="0" fontId="7" fillId="10" borderId="24" applyAlignment="1" pivotButton="0" quotePrefix="0" xfId="0">
      <alignment vertical="center"/>
    </xf>
    <xf numFmtId="0" fontId="7" fillId="10" borderId="5" applyAlignment="1" pivotButton="0" quotePrefix="0" xfId="0">
      <alignment vertical="center"/>
    </xf>
    <xf numFmtId="0" fontId="35" fillId="7" borderId="1" applyAlignment="1" pivotButton="0" quotePrefix="0" xfId="0">
      <alignment horizontal="center" wrapText="1"/>
    </xf>
    <xf numFmtId="0" fontId="3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/>
    </xf>
    <xf numFmtId="0" fontId="7" fillId="4" borderId="22" applyAlignment="1" pivotButton="0" quotePrefix="0" xfId="0">
      <alignment vertical="center"/>
    </xf>
    <xf numFmtId="0" fontId="7" fillId="4" borderId="23" applyAlignment="1" pivotButton="0" quotePrefix="0" xfId="0">
      <alignment vertical="center"/>
    </xf>
    <xf numFmtId="0" fontId="7" fillId="4" borderId="24" applyAlignment="1" pivotButton="0" quotePrefix="0" xfId="0">
      <alignment vertical="center"/>
    </xf>
    <xf numFmtId="0" fontId="7" fillId="10" borderId="8" applyAlignment="1" pivotButton="0" quotePrefix="0" xfId="0">
      <alignment vertical="center"/>
    </xf>
    <xf numFmtId="0" fontId="7" fillId="10" borderId="26" applyAlignment="1" pivotButton="0" quotePrefix="0" xfId="0">
      <alignment vertical="center"/>
    </xf>
    <xf numFmtId="0" fontId="35" fillId="10" borderId="0" applyAlignment="1" pivotButton="0" quotePrefix="0" xfId="0">
      <alignment horizontal="center" wrapText="1"/>
    </xf>
    <xf numFmtId="0" fontId="7" fillId="10" borderId="2" applyAlignment="1" pivotButton="0" quotePrefix="0" xfId="0">
      <alignment vertical="center"/>
    </xf>
    <xf numFmtId="0" fontId="35" fillId="4" borderId="1" applyAlignment="1" pivotButton="0" quotePrefix="0" xfId="0">
      <alignment horizontal="center" wrapText="1"/>
    </xf>
    <xf numFmtId="0" fontId="7" fillId="10" borderId="22" applyAlignment="1" pivotButton="0" quotePrefix="0" xfId="0">
      <alignment vertical="center"/>
    </xf>
    <xf numFmtId="0" fontId="35" fillId="4" borderId="0" applyAlignment="1" pivotButton="0" quotePrefix="0" xfId="0">
      <alignment horizontal="center" wrapText="1"/>
    </xf>
    <xf numFmtId="0" fontId="7" fillId="0" borderId="4" applyAlignment="1" pivotButton="0" quotePrefix="0" xfId="0">
      <alignment vertical="center"/>
    </xf>
    <xf numFmtId="0" fontId="7" fillId="0" borderId="18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10" borderId="25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29" borderId="1" applyAlignment="1" pivotButton="0" quotePrefix="0" xfId="0">
      <alignment vertical="center"/>
    </xf>
    <xf numFmtId="0" fontId="35" fillId="0" borderId="5" applyAlignment="1" pivotButton="0" quotePrefix="0" xfId="0">
      <alignment horizontal="center" vertical="center"/>
    </xf>
    <xf numFmtId="0" fontId="35" fillId="1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7" fillId="0" borderId="22" applyAlignment="1" pivotButton="0" quotePrefix="0" xfId="0">
      <alignment vertical="center"/>
    </xf>
    <xf numFmtId="0" fontId="35" fillId="4" borderId="0" applyAlignment="1" pivotButton="0" quotePrefix="0" xfId="0">
      <alignment horizontal="center" vertical="center"/>
    </xf>
    <xf numFmtId="0" fontId="33" fillId="0" borderId="1" applyAlignment="1" pivotButton="0" quotePrefix="0" xfId="0">
      <alignment vertical="center"/>
    </xf>
    <xf numFmtId="0" fontId="35" fillId="10" borderId="5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/>
    </xf>
    <xf numFmtId="0" fontId="7" fillId="20" borderId="1" applyAlignment="1" pivotButton="0" quotePrefix="0" xfId="0">
      <alignment vertical="center"/>
    </xf>
    <xf numFmtId="0" fontId="31" fillId="20" borderId="1" applyAlignment="1" pivotButton="0" quotePrefix="0" xfId="0">
      <alignment horizontal="center" vertical="center"/>
    </xf>
    <xf numFmtId="0" fontId="31" fillId="20" borderId="4" applyAlignment="1" pivotButton="0" quotePrefix="0" xfId="0">
      <alignment horizontal="center" vertical="center"/>
    </xf>
    <xf numFmtId="0" fontId="31" fillId="20" borderId="0" applyAlignment="1" pivotButton="0" quotePrefix="0" xfId="0">
      <alignment horizontal="center" vertical="center"/>
    </xf>
    <xf numFmtId="0" fontId="7" fillId="20" borderId="0" applyAlignment="1" pivotButton="0" quotePrefix="0" xfId="0">
      <alignment horizontal="center" vertical="center"/>
    </xf>
    <xf numFmtId="0" fontId="7" fillId="20" borderId="19" applyAlignment="1" pivotButton="0" quotePrefix="0" xfId="0">
      <alignment horizontal="center" vertical="center"/>
    </xf>
    <xf numFmtId="0" fontId="7" fillId="20" borderId="18" applyAlignment="1" pivotButton="0" quotePrefix="0" xfId="0">
      <alignment horizontal="center"/>
    </xf>
    <xf numFmtId="0" fontId="7" fillId="20" borderId="0" applyAlignment="1" pivotButton="0" quotePrefix="0" xfId="0">
      <alignment horizontal="center"/>
    </xf>
    <xf numFmtId="0" fontId="7" fillId="24" borderId="1" applyAlignment="1" pivotButton="0" quotePrefix="0" xfId="0">
      <alignment vertical="center"/>
    </xf>
    <xf numFmtId="0" fontId="3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12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7" fillId="25" borderId="1" applyAlignment="1" pivotButton="0" quotePrefix="0" xfId="0">
      <alignment vertical="center"/>
    </xf>
    <xf numFmtId="0" fontId="7" fillId="26" borderId="1" applyAlignment="1" pivotButton="0" quotePrefix="0" xfId="0">
      <alignment vertical="center"/>
    </xf>
    <xf numFmtId="0" fontId="7" fillId="19" borderId="1" applyAlignment="1" pivotButton="0" quotePrefix="0" xfId="0">
      <alignment vertical="center"/>
    </xf>
    <xf numFmtId="0" fontId="7" fillId="4" borderId="5" applyAlignment="1" pivotButton="0" quotePrefix="0" xfId="0">
      <alignment vertical="center"/>
    </xf>
    <xf numFmtId="0" fontId="7" fillId="10" borderId="21" applyAlignment="1" pivotButton="0" quotePrefix="0" xfId="0">
      <alignment vertical="center"/>
    </xf>
    <xf numFmtId="0" fontId="7" fillId="4" borderId="21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30" fillId="0" borderId="1" applyAlignment="1" pivotButton="0" quotePrefix="0" xfId="0">
      <alignment horizontal="center" vertical="center"/>
    </xf>
    <xf numFmtId="0" fontId="1" fillId="10" borderId="0" pivotButton="0" quotePrefix="0" xfId="0"/>
    <xf numFmtId="0" fontId="30" fillId="10" borderId="1" applyAlignment="1" pivotButton="0" quotePrefix="0" xfId="0">
      <alignment horizontal="center" vertical="center" wrapText="1"/>
    </xf>
    <xf numFmtId="167" fontId="26" fillId="4" borderId="1" applyAlignment="1" pivotButton="0" quotePrefix="0" xfId="0">
      <alignment horizontal="center"/>
    </xf>
    <xf numFmtId="0" fontId="1" fillId="10" borderId="1" pivotButton="0" quotePrefix="0" xfId="0"/>
    <xf numFmtId="0" fontId="35" fillId="7" borderId="1" applyAlignment="1" pivotButton="0" quotePrefix="0" xfId="0">
      <alignment horizontal="center" vertical="center"/>
    </xf>
    <xf numFmtId="0" fontId="35" fillId="4" borderId="5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5" fillId="30" borderId="1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167" fontId="42" fillId="4" borderId="1" applyAlignment="1" pivotButton="0" quotePrefix="0" xfId="0">
      <alignment horizontal="center"/>
    </xf>
    <xf numFmtId="0" fontId="1" fillId="0" borderId="8" pivotButton="0" quotePrefix="0" xfId="0"/>
    <xf numFmtId="0" fontId="7" fillId="4" borderId="2" applyAlignment="1" pivotButton="0" quotePrefix="0" xfId="0">
      <alignment vertical="center"/>
    </xf>
    <xf numFmtId="0" fontId="35" fillId="15" borderId="1" applyAlignment="1" pivotButton="0" quotePrefix="0" xfId="0">
      <alignment horizontal="center" vertical="center" wrapText="1"/>
    </xf>
    <xf numFmtId="0" fontId="7" fillId="4" borderId="27" applyAlignment="1" pivotButton="0" quotePrefix="0" xfId="0">
      <alignment vertical="center"/>
    </xf>
    <xf numFmtId="0" fontId="35" fillId="0" borderId="7" applyAlignment="1" pivotButton="0" quotePrefix="0" xfId="0">
      <alignment horizontal="center" vertical="center"/>
    </xf>
    <xf numFmtId="0" fontId="7" fillId="4" borderId="4" applyAlignment="1" pivotButton="0" quotePrefix="0" xfId="0">
      <alignment vertical="center"/>
    </xf>
    <xf numFmtId="0" fontId="35" fillId="15" borderId="1" applyAlignment="1" pivotButton="0" quotePrefix="0" xfId="0">
      <alignment horizontal="center" wrapText="1"/>
    </xf>
    <xf numFmtId="0" fontId="35" fillId="29" borderId="1" applyAlignment="1" pivotButton="0" quotePrefix="0" xfId="0">
      <alignment horizontal="center" vertical="center" wrapText="1"/>
    </xf>
    <xf numFmtId="0" fontId="1" fillId="29" borderId="0" pivotButton="0" quotePrefix="0" xfId="0"/>
    <xf numFmtId="0" fontId="35" fillId="27" borderId="1" applyAlignment="1" pivotButton="0" quotePrefix="0" xfId="0">
      <alignment horizontal="center" vertical="center"/>
    </xf>
    <xf numFmtId="0" fontId="35" fillId="29" borderId="1" applyAlignment="1" pivotButton="0" quotePrefix="0" xfId="0">
      <alignment horizontal="center" vertical="center"/>
    </xf>
    <xf numFmtId="0" fontId="1" fillId="29" borderId="1" pivotButton="0" quotePrefix="0" xfId="0"/>
    <xf numFmtId="0" fontId="1" fillId="0" borderId="1" applyAlignment="1" pivotButton="0" quotePrefix="0" xfId="0">
      <alignment horizontal="center"/>
    </xf>
    <xf numFmtId="0" fontId="43" fillId="0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wrapText="1"/>
    </xf>
    <xf numFmtId="0" fontId="35" fillId="4" borderId="1" applyAlignment="1" pivotButton="0" quotePrefix="0" xfId="0">
      <alignment horizontal="center" vertical="top" wrapText="1"/>
    </xf>
    <xf numFmtId="0" fontId="35" fillId="4" borderId="23" applyAlignment="1" pivotButton="0" quotePrefix="0" xfId="0">
      <alignment horizontal="center" vertical="center"/>
    </xf>
    <xf numFmtId="0" fontId="35" fillId="4" borderId="4" applyAlignment="1" pivotButton="0" quotePrefix="0" xfId="0">
      <alignment horizontal="center" vertical="center"/>
    </xf>
    <xf numFmtId="0" fontId="7" fillId="4" borderId="21" applyAlignment="1" pivotButton="0" quotePrefix="1" xfId="0">
      <alignment vertical="center"/>
    </xf>
    <xf numFmtId="165" fontId="20" fillId="5" borderId="0" pivotButton="0" quotePrefix="0" xfId="0"/>
    <xf numFmtId="0" fontId="22" fillId="5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6" fontId="7" fillId="0" borderId="0" applyAlignment="1" pivotButton="0" quotePrefix="0" xfId="0">
      <alignment horizontal="left"/>
    </xf>
    <xf numFmtId="167" fontId="42" fillId="4" borderId="1" applyAlignment="1" pivotButton="0" quotePrefix="0" xfId="0">
      <alignment horizontal="center"/>
    </xf>
    <xf numFmtId="167" fontId="15" fillId="0" borderId="1" applyAlignment="1" pivotButton="0" quotePrefix="0" xfId="0">
      <alignment horizontal="center"/>
    </xf>
    <xf numFmtId="168" fontId="28" fillId="0" borderId="1" applyAlignment="1" pivotButton="0" quotePrefix="0" xfId="0">
      <alignment horizontal="center" vertical="top"/>
    </xf>
    <xf numFmtId="167" fontId="26" fillId="4" borderId="1" applyAlignment="1" pivotButton="0" quotePrefix="0" xfId="0">
      <alignment horizontal="center"/>
    </xf>
    <xf numFmtId="167" fontId="15" fillId="10" borderId="1" applyAlignment="1" pivotButton="0" quotePrefix="0" xfId="0">
      <alignment horizontal="center"/>
    </xf>
    <xf numFmtId="168" fontId="28" fillId="10" borderId="1" applyAlignment="1" pivotButton="0" quotePrefix="0" xfId="0">
      <alignment horizontal="center" vertical="top"/>
    </xf>
    <xf numFmtId="167" fontId="26" fillId="10" borderId="1" applyAlignment="1" pivotButton="0" quotePrefix="0" xfId="0">
      <alignment horizontal="center"/>
    </xf>
    <xf numFmtId="167" fontId="33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 vertical="top"/>
    </xf>
    <xf numFmtId="165" fontId="20" fillId="5" borderId="0" applyAlignment="1" pivotButton="0" quotePrefix="0" xfId="0">
      <alignment wrapText="1"/>
    </xf>
    <xf numFmtId="0" fontId="22" fillId="5" borderId="1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wrapText="1"/>
    </xf>
    <xf numFmtId="167" fontId="26" fillId="10" borderId="1" applyAlignment="1" pivotButton="0" quotePrefix="0" xfId="0">
      <alignment horizontal="center" wrapText="1"/>
    </xf>
    <xf numFmtId="167" fontId="15" fillId="0" borderId="1" applyAlignment="1" pivotButton="0" quotePrefix="0" xfId="0">
      <alignment horizontal="center" wrapText="1"/>
    </xf>
    <xf numFmtId="167" fontId="15" fillId="10" borderId="1" applyAlignment="1" pivotButton="0" quotePrefix="0" xfId="0">
      <alignment horizontal="center" wrapText="1"/>
    </xf>
    <xf numFmtId="167" fontId="24" fillId="0" borderId="1" applyAlignment="1" pivotButton="0" quotePrefix="0" xfId="0">
      <alignment horizontal="center" wrapText="1"/>
    </xf>
    <xf numFmtId="0" fontId="25" fillId="8" borderId="17" applyAlignment="1" pivotButton="0" quotePrefix="0" xfId="0">
      <alignment horizontal="center" vertical="center" wrapText="1"/>
    </xf>
    <xf numFmtId="168" fontId="28" fillId="10" borderId="1" applyAlignment="1" pivotButton="0" quotePrefix="0" xfId="0">
      <alignment horizontal="center" vertical="top" wrapText="1"/>
    </xf>
    <xf numFmtId="168" fontId="28" fillId="0" borderId="1" applyAlignment="1" pivotButton="0" quotePrefix="0" xfId="0">
      <alignment horizontal="center" vertical="top" wrapText="1"/>
    </xf>
    <xf numFmtId="168" fontId="29" fillId="0" borderId="1" applyAlignment="1" pivotButton="0" quotePrefix="0" xfId="0">
      <alignment horizontal="center" vertical="top" wrapText="1"/>
    </xf>
    <xf numFmtId="0" fontId="0" fillId="0" borderId="17" pivotButton="0" quotePrefix="0" xfId="0"/>
    <xf numFmtId="168" fontId="1" fillId="0" borderId="1" applyAlignment="1" pivotButton="0" quotePrefix="0" xfId="0">
      <alignment vertical="top" wrapText="1"/>
    </xf>
    <xf numFmtId="168" fontId="1" fillId="4" borderId="1" applyAlignment="1" pivotButton="0" quotePrefix="0" xfId="0">
      <alignment wrapText="1"/>
    </xf>
    <xf numFmtId="165" fontId="20" fillId="5" borderId="1" applyAlignment="1" pivotButton="0" quotePrefix="0" xfId="0">
      <alignment wrapText="1"/>
    </xf>
    <xf numFmtId="166" fontId="7" fillId="0" borderId="1" applyAlignment="1" pivotButton="0" quotePrefix="0" xfId="0">
      <alignment horizontal="left" wrapText="1"/>
    </xf>
    <xf numFmtId="0" fontId="2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165" fontId="20" fillId="5" borderId="1" applyAlignment="1" pivotButton="0" quotePrefix="0" xfId="0">
      <alignment horizontal="left" wrapText="1"/>
    </xf>
    <xf numFmtId="0" fontId="22" fillId="5" borderId="1" applyAlignment="1" pivotButton="0" quotePrefix="0" xfId="0">
      <alignment horizontal="left" wrapText="1"/>
    </xf>
    <xf numFmtId="167" fontId="26" fillId="10" borderId="1" applyAlignment="1" pivotButton="0" quotePrefix="0" xfId="0">
      <alignment horizontal="left" wrapText="1"/>
    </xf>
    <xf numFmtId="167" fontId="15" fillId="0" borderId="1" applyAlignment="1" pivotButton="0" quotePrefix="0" xfId="0">
      <alignment horizontal="left" wrapText="1"/>
    </xf>
    <xf numFmtId="167" fontId="15" fillId="10" borderId="1" applyAlignment="1" pivotButton="0" quotePrefix="0" xfId="0">
      <alignment horizontal="left" wrapText="1"/>
    </xf>
    <xf numFmtId="167" fontId="24" fillId="0" borderId="1" applyAlignment="1" pivotButton="0" quotePrefix="0" xfId="0">
      <alignment horizontal="left" wrapText="1"/>
    </xf>
    <xf numFmtId="168" fontId="28" fillId="10" borderId="1" applyAlignment="1" pivotButton="0" quotePrefix="0" xfId="0">
      <alignment horizontal="left" wrapText="1"/>
    </xf>
    <xf numFmtId="168" fontId="28" fillId="0" borderId="1" applyAlignment="1" pivotButton="0" quotePrefix="0" xfId="0">
      <alignment horizontal="left" wrapText="1"/>
    </xf>
    <xf numFmtId="168" fontId="29" fillId="0" borderId="1" applyAlignment="1" pivotButton="0" quotePrefix="0" xfId="0">
      <alignment horizontal="left" wrapText="1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74"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38761D"/>
          <bgColor rgb="FF38761D"/>
        </patternFill>
      </fill>
    </dxf>
    <dxf>
      <font>
        <b val="1"/>
        <color rgb="FFFFFF00"/>
      </font>
      <fill>
        <patternFill patternType="solid">
          <fgColor rgb="FFFF0000"/>
          <bgColor rgb="FFFF0000"/>
        </patternFill>
      </fill>
    </dxf>
    <dxf>
      <font>
        <b val="1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875EAC"/>
          <bgColor rgb="FF875EAC"/>
        </patternFill>
      </fill>
    </dxf>
    <dxf>
      <fill>
        <patternFill patternType="solid">
          <fgColor rgb="FFFF0000"/>
          <bgColor rgb="FFFF0000"/>
        </patternFill>
      </fill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ill>
        <patternFill patternType="solid">
          <fgColor rgb="FFB7E1CD"/>
          <bgColor rgb="FFB7E1CD"/>
        </patternFill>
      </fill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ill>
        <patternFill patternType="solid">
          <fgColor rgb="FFB4A7D6"/>
          <bgColor rgb="FFB4A7D6"/>
        </patternFill>
      </fill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ill>
        <patternFill patternType="solid">
          <fgColor rgb="FF0000FF"/>
          <bgColor rgb="FF0000FF"/>
        </patternFill>
      </fill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ill>
        <patternFill patternType="solid">
          <fgColor rgb="FF00FFFF"/>
          <bgColor rgb="FF00FFFF"/>
        </patternFill>
      </fill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ont>
        <name val="Arial"/>
        <charset val="134"/>
        <family val="0"/>
        <strike val="0"/>
        <color rgb="FF000000"/>
        <sz val="1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14" defaultTableStyle="TableStyleMedium9" defaultPivotStyle="PivotStyleLight16">
    <tableStyle name="Dec-2022-Roster-style" pivot="0" count="2">
      <tableStyleElement type="firstRowStripe" dxfId="2144"/>
      <tableStyleElement type="secondRowStripe" dxfId="2143"/>
    </tableStyle>
    <tableStyle name="Dec-2022-Roster-style 2" pivot="0" count="2">
      <tableStyleElement type="firstRowStripe" dxfId="2146"/>
      <tableStyleElement type="secondRowStripe" dxfId="2145"/>
    </tableStyle>
    <tableStyle name="OFFs calculation 0123-style" pivot="0" count="2">
      <tableStyleElement type="firstRowStripe" dxfId="2148"/>
      <tableStyleElement type="secondRowStripe" dxfId="2147"/>
    </tableStyle>
    <tableStyle name="OFFs calculation 0123-style 2" pivot="0" count="2">
      <tableStyleElement type="firstRowStripe" dxfId="2150"/>
      <tableStyleElement type="secondRowStripe" dxfId="2149"/>
    </tableStyle>
    <tableStyle name="Jan-2023-Roster-style" pivot="0" count="2">
      <tableStyleElement type="firstRowStripe" dxfId="2152"/>
      <tableStyleElement type="secondRowStripe" dxfId="2151"/>
    </tableStyle>
    <tableStyle name="Jan-2023-Roster-style 2" pivot="0" count="2">
      <tableStyleElement type="firstRowStripe" dxfId="2154"/>
      <tableStyleElement type="secondRowStripe" dxfId="2153"/>
    </tableStyle>
    <tableStyle name="Copy of Jan-2023-Roster-style" pivot="0" count="2">
      <tableStyleElement type="firstRowStripe" dxfId="2156"/>
      <tableStyleElement type="secondRowStripe" dxfId="2155"/>
    </tableStyle>
    <tableStyle name="Feb-2023-Roster-style" pivot="0" count="2">
      <tableStyleElement type="firstRowStripe" dxfId="2158"/>
      <tableStyleElement type="secondRowStripe" dxfId="2157"/>
    </tableStyle>
    <tableStyle name="Feb-2023-Roster-style 2" pivot="0" count="2">
      <tableStyleElement type="firstRowStripe" dxfId="2160"/>
      <tableStyleElement type="secondRowStripe" dxfId="2159"/>
    </tableStyle>
    <tableStyle name="Copy of Feb-2023-Roster-style" pivot="0" count="2">
      <tableStyleElement type="firstRowStripe" dxfId="2162"/>
      <tableStyleElement type="secondRowStripe" dxfId="2161"/>
    </tableStyle>
    <tableStyle name="Copy of Feb-2023-Roster-style 2" pivot="0" count="2">
      <tableStyleElement type="firstRowStripe" dxfId="2164"/>
      <tableStyleElement type="secondRowStripe" dxfId="2163"/>
    </tableStyle>
    <tableStyle name="Mar-2023-Roster-style" pivot="0" count="2">
      <tableStyleElement type="firstRowStripe" dxfId="2166"/>
      <tableStyleElement type="secondRowStripe" dxfId="2165"/>
    </tableStyle>
    <tableStyle name="Mar-2023-Roster-style 2" pivot="0" count="2">
      <tableStyleElement type="firstRowStripe" dxfId="2168"/>
      <tableStyleElement type="secondRowStripe" dxfId="2167"/>
    </tableStyle>
    <tableStyle name="Apr-2023-Roster-style" pivot="0" count="2">
      <tableStyleElement type="firstRowStripe" dxfId="2170"/>
      <tableStyleElement type="secondRowStripe" dxfId="2169"/>
    </tableStyle>
    <tableStyle name="Apr-2023-Roster-style 2" pivot="0" count="2">
      <tableStyleElement type="firstRowStripe" dxfId="2172"/>
      <tableStyleElement type="secondRowStripe" dxfId="2171"/>
    </tableStyle>
    <tableStyle name="May-2023-Roster-style" pivot="0" count="2">
      <tableStyleElement type="firstRowStripe" dxfId="2174"/>
      <tableStyleElement type="secondRowStripe" dxfId="2173"/>
    </tableStyle>
    <tableStyle name="May-2023-Roster-style 2" pivot="0" count="2">
      <tableStyleElement type="firstRowStripe" dxfId="2176"/>
      <tableStyleElement type="secondRowStripe" dxfId="2175"/>
    </tableStyle>
    <tableStyle name="Jun-2023-Roster-style" pivot="0" count="2">
      <tableStyleElement type="firstRowStripe" dxfId="2178"/>
      <tableStyleElement type="secondRowStripe" dxfId="2177"/>
    </tableStyle>
    <tableStyle name="Jun-2023-Roster-style 2" pivot="0" count="2">
      <tableStyleElement type="firstRowStripe" dxfId="2180"/>
      <tableStyleElement type="secondRowStripe" dxfId="2179"/>
    </tableStyle>
    <tableStyle name="Jul-2023-Roster-style" pivot="0" count="2">
      <tableStyleElement type="firstRowStripe" dxfId="2182"/>
      <tableStyleElement type="secondRowStripe" dxfId="2181"/>
    </tableStyle>
    <tableStyle name="Jul-2023-Roster-style 2" pivot="0" count="2">
      <tableStyleElement type="firstRowStripe" dxfId="2184"/>
      <tableStyleElement type="secondRowStripe" dxfId="2183"/>
    </tableStyle>
    <tableStyle name="Aug-2023-Roster-style" pivot="0" count="2">
      <tableStyleElement type="firstRowStripe" dxfId="2186"/>
      <tableStyleElement type="secondRowStripe" dxfId="2185"/>
    </tableStyle>
    <tableStyle name="Aug-2023-Roster-style 2" pivot="0" count="2">
      <tableStyleElement type="firstRowStripe" dxfId="2188"/>
      <tableStyleElement type="secondRowStripe" dxfId="2187"/>
    </tableStyle>
    <tableStyle name="Copy of Oct-2023-Roster-style" pivot="0" count="2">
      <tableStyleElement type="firstRowStripe" dxfId="2190"/>
      <tableStyleElement type="secondRowStripe" dxfId="2189"/>
    </tableStyle>
    <tableStyle name="Copy of Oct-2023-Roster-style 2" pivot="0" count="2">
      <tableStyleElement type="firstRowStripe" dxfId="2192"/>
      <tableStyleElement type="secondRowStripe" dxfId="2191"/>
    </tableStyle>
    <tableStyle name="Sep-2023-Roster-style" pivot="0" count="2">
      <tableStyleElement type="firstRowStripe" dxfId="2194"/>
      <tableStyleElement type="secondRowStripe" dxfId="2193"/>
    </tableStyle>
    <tableStyle name="Sep-2023-Roster-style 2" pivot="0" count="2">
      <tableStyleElement type="firstRowStripe" dxfId="2196"/>
      <tableStyleElement type="secondRowStripe" dxfId="2195"/>
    </tableStyle>
    <tableStyle name="Oct-2023-Roster-style" pivot="0" count="2">
      <tableStyleElement type="firstRowStripe" dxfId="2198"/>
      <tableStyleElement type="secondRowStripe" dxfId="2197"/>
    </tableStyle>
    <tableStyle name="Oct-2023-Roster-style 2" pivot="0" count="2">
      <tableStyleElement type="firstRowStripe" dxfId="2200"/>
      <tableStyleElement type="secondRowStripe" dxfId="2199"/>
    </tableStyle>
    <tableStyle name="Nov-2023-Roster-style" pivot="0" count="2">
      <tableStyleElement type="firstRowStripe" dxfId="2202"/>
      <tableStyleElement type="secondRowStripe" dxfId="2201"/>
    </tableStyle>
    <tableStyle name="Nov-2023-Roster-style 2" pivot="0" count="2">
      <tableStyleElement type="firstRowStripe" dxfId="2204"/>
      <tableStyleElement type="secondRowStripe" dxfId="2203"/>
    </tableStyle>
    <tableStyle name="Oct-2022-Roster-style" pivot="0" count="2">
      <tableStyleElement type="firstRowStripe" dxfId="2206"/>
      <tableStyleElement type="secondRowStripe" dxfId="2205"/>
    </tableStyle>
    <tableStyle name="Oct-2022-Roster-style 2" pivot="0" count="2">
      <tableStyleElement type="firstRowStripe" dxfId="2208"/>
      <tableStyleElement type="secondRowStripe" dxfId="2207"/>
    </tableStyle>
    <tableStyle name="Nov-2022-Roster-style" pivot="0" count="2">
      <tableStyleElement type="firstRowStripe" dxfId="2210"/>
      <tableStyleElement type="secondRowStripe" dxfId="2209"/>
    </tableStyle>
    <tableStyle name="Nov-2022-Roster-style 2" pivot="0" count="2">
      <tableStyleElement type="firstRowStripe" dxfId="2212"/>
      <tableStyleElement type="secondRowStripe" dxfId="2211"/>
    </tableStyle>
    <tableStyle name="Dec-2023-Roster-style" pivot="0" count="2">
      <tableStyleElement type="firstRowStripe" dxfId="2214"/>
      <tableStyleElement type="secondRowStripe" dxfId="2213"/>
    </tableStyle>
    <tableStyle name="Dec-2023-Roster-style 2" pivot="0" count="2">
      <tableStyleElement type="firstRowStripe" dxfId="2216"/>
      <tableStyleElement type="secondRowStripe" dxfId="2215"/>
    </tableStyle>
    <tableStyle name="Jan-2024-Roster-style" pivot="0" count="2">
      <tableStyleElement type="firstRowStripe" dxfId="2218"/>
      <tableStyleElement type="secondRowStripe" dxfId="2217"/>
    </tableStyle>
    <tableStyle name="Jan-2024-Roster-style 2" pivot="0" count="2">
      <tableStyleElement type="firstRowStripe" dxfId="2220"/>
      <tableStyleElement type="secondRowStripe" dxfId="2219"/>
    </tableStyle>
    <tableStyle name="Feb-2024-Roster-style" pivot="0" count="2">
      <tableStyleElement type="firstRowStripe" dxfId="2222"/>
      <tableStyleElement type="secondRowStripe" dxfId="2221"/>
    </tableStyle>
    <tableStyle name="Feb-2024-Roster-style 2" pivot="0" count="2">
      <tableStyleElement type="firstRowStripe" dxfId="2224"/>
      <tableStyleElement type="secondRowStripe" dxfId="2223"/>
    </tableStyle>
    <tableStyle name="Mar-2024-Roster-style" pivot="0" count="2">
      <tableStyleElement type="firstRowStripe" dxfId="2226"/>
      <tableStyleElement type="secondRowStripe" dxfId="2225"/>
    </tableStyle>
    <tableStyle name="Mar-2024-Roster-style 2" pivot="0" count="2">
      <tableStyleElement type="firstRowStripe" dxfId="2228"/>
      <tableStyleElement type="secondRowStripe" dxfId="2227"/>
    </tableStyle>
    <tableStyle name="Apr-2024-Roster-style" pivot="0" count="2">
      <tableStyleElement type="firstRowStripe" dxfId="2230"/>
      <tableStyleElement type="secondRowStripe" dxfId="2229"/>
    </tableStyle>
    <tableStyle name="Apr-2024-Roster-style 2" pivot="0" count="2">
      <tableStyleElement type="firstRowStripe" dxfId="2232"/>
      <tableStyleElement type="secondRowStripe" dxfId="2231"/>
    </tableStyle>
    <tableStyle name="May-2024-Roster-style" pivot="0" count="2">
      <tableStyleElement type="firstRowStripe" dxfId="2234"/>
      <tableStyleElement type="secondRowStripe" dxfId="2233"/>
    </tableStyle>
    <tableStyle name="May-2024-Roster-style 2" pivot="0" count="2">
      <tableStyleElement type="firstRowStripe" dxfId="2236"/>
      <tableStyleElement type="secondRowStripe" dxfId="2235"/>
    </tableStyle>
    <tableStyle name="Jun-2024-Roster-style" pivot="0" count="2">
      <tableStyleElement type="firstRowStripe" dxfId="2238"/>
      <tableStyleElement type="secondRowStripe" dxfId="2237"/>
    </tableStyle>
    <tableStyle name="Jun-2024-Roster-style 2" pivot="0" count="2">
      <tableStyleElement type="firstRowStripe" dxfId="2240"/>
      <tableStyleElement type="secondRowStripe" dxfId="2239"/>
    </tableStyle>
    <tableStyle name="Jul-2024-Roster-style" pivot="0" count="2">
      <tableStyleElement type="firstRowStripe" dxfId="2242"/>
      <tableStyleElement type="secondRowStripe" dxfId="2241"/>
    </tableStyle>
    <tableStyle name="Jul-2024-Roster-style 2" pivot="0" count="2">
      <tableStyleElement type="firstRowStripe" dxfId="2244"/>
      <tableStyleElement type="secondRowStripe" dxfId="2243"/>
    </tableStyle>
    <tableStyle name="Aug-2024-Roster-style" pivot="0" count="2">
      <tableStyleElement type="firstRowStripe" dxfId="2246"/>
      <tableStyleElement type="secondRowStripe" dxfId="2245"/>
    </tableStyle>
    <tableStyle name="Aug-2024-Roster-style 2" pivot="0" count="2">
      <tableStyleElement type="firstRowStripe" dxfId="2248"/>
      <tableStyleElement type="secondRowStripe" dxfId="2247"/>
    </tableStyle>
    <tableStyle name="Sep-2024-Roster-style" pivot="0" count="2">
      <tableStyleElement type="firstRowStripe" dxfId="2250"/>
      <tableStyleElement type="secondRowStripe" dxfId="2249"/>
    </tableStyle>
    <tableStyle name="Sep-2024-Roster-style 2" pivot="0" count="2">
      <tableStyleElement type="firstRowStripe" dxfId="2252"/>
      <tableStyleElement type="secondRowStripe" dxfId="2251"/>
    </tableStyle>
    <tableStyle name="Oct-2024-Roster-style" pivot="0" count="2">
      <tableStyleElement type="firstRowStripe" dxfId="2254"/>
      <tableStyleElement type="secondRowStripe" dxfId="2253"/>
    </tableStyle>
    <tableStyle name="Oct-2024-Roster-style 2" pivot="0" count="2">
      <tableStyleElement type="firstRowStripe" dxfId="2256"/>
      <tableStyleElement type="secondRowStripe" dxfId="2255"/>
    </tableStyle>
    <tableStyle name="Nov-2024-Roster-style" pivot="0" count="2">
      <tableStyleElement type="firstRowStripe" dxfId="2258"/>
      <tableStyleElement type="secondRowStripe" dxfId="2257"/>
    </tableStyle>
    <tableStyle name="Nov-2024-Roster-style 2" pivot="0" count="2">
      <tableStyleElement type="firstRowStripe" dxfId="2260"/>
      <tableStyleElement type="secondRowStripe" dxfId="2259"/>
    </tableStyle>
    <tableStyle name="Dec-2024-Roster-style" pivot="0" count="2">
      <tableStyleElement type="firstRowStripe" dxfId="2262"/>
      <tableStyleElement type="secondRowStripe" dxfId="2261"/>
    </tableStyle>
    <tableStyle name="Dec-2024-Roster-style 2" pivot="0" count="2">
      <tableStyleElement type="firstRowStripe" dxfId="2264"/>
      <tableStyleElement type="secondRowStripe" dxfId="2263"/>
    </tableStyle>
    <tableStyle name="Jan-2025-Roster-style" pivot="0" count="2">
      <tableStyleElement type="firstRowStripe" dxfId="2266"/>
      <tableStyleElement type="secondRowStripe" dxfId="2265"/>
    </tableStyle>
    <tableStyle name="Jan-2025-Roster-style 2" pivot="0" count="2">
      <tableStyleElement type="firstRowStripe" dxfId="2268"/>
      <tableStyleElement type="secondRowStripe" dxfId="2267"/>
    </tableStyle>
    <tableStyle name="Feb-2025-Roster-style" pivot="0" count="2">
      <tableStyleElement type="firstRowStripe" dxfId="2270"/>
      <tableStyleElement type="secondRowStripe" dxfId="2269"/>
    </tableStyle>
    <tableStyle name="Feb-2025-Roster-style 2" pivot="0" count="2">
      <tableStyleElement type="firstRowStripe" dxfId="2272"/>
      <tableStyleElement type="secondRowStripe" dxfId="2271"/>
    </tableStyle>
    <tableStyle name="Mar-2025-Roster-style" pivot="0" count="2">
      <tableStyleElement type="firstRowStripe" dxfId="2274"/>
      <tableStyleElement type="secondRowStripe" dxfId="2273"/>
    </tableStyle>
    <tableStyle name="Mar-2025-Roster-style 2" pivot="0" count="2">
      <tableStyleElement type="firstRowStripe" dxfId="2276"/>
      <tableStyleElement type="secondRowStripe" dxfId="2275"/>
    </tableStyle>
    <tableStyle name="April 2025 Cover Roster-style" pivot="0" count="2">
      <tableStyleElement type="firstRowStripe" dxfId="2278"/>
      <tableStyleElement type="secondRowStripe" dxfId="2277"/>
    </tableStyle>
    <tableStyle name="April 2025 Cover Roster-style 2" pivot="0" count="2">
      <tableStyleElement type="firstRowStripe" dxfId="2280"/>
      <tableStyleElement type="secondRowStripe" dxfId="2279"/>
    </tableStyle>
    <tableStyle name="Apr-2025-Roster-style" pivot="0" count="2">
      <tableStyleElement type="firstRowStripe" dxfId="2282"/>
      <tableStyleElement type="secondRowStripe" dxfId="2281"/>
    </tableStyle>
    <tableStyle name="Apr-2025-Roster-style 2" pivot="0" count="2">
      <tableStyleElement type="firstRowStripe" dxfId="2284"/>
      <tableStyleElement type="secondRowStripe" dxfId="2283"/>
    </tableStyle>
    <tableStyle name="May-2025-Roster-style" pivot="0" count="2">
      <tableStyleElement type="firstRowStripe" dxfId="2286"/>
      <tableStyleElement type="secondRowStripe" dxfId="2285"/>
    </tableStyle>
    <tableStyle name="May-2025-Roster-style 2" pivot="0" count="2">
      <tableStyleElement type="firstRowStripe" dxfId="2288"/>
      <tableStyleElement type="secondRowStripe" dxfId="2287"/>
    </tableStyle>
    <tableStyle name="Jun-2025-Roster-style" pivot="0" count="2">
      <tableStyleElement type="firstRowStripe" dxfId="2290"/>
      <tableStyleElement type="secondRowStripe" dxfId="2289"/>
    </tableStyle>
    <tableStyle name="Jun-2025-Roster-style 2" pivot="0" count="2">
      <tableStyleElement type="firstRowStripe" dxfId="2292"/>
      <tableStyleElement type="secondRowStripe" dxfId="2291"/>
    </tableStyle>
    <tableStyle name="Copy of Jun-2025-Roster 1-style" pivot="0" count="2">
      <tableStyleElement type="firstRowStripe" dxfId="2294"/>
      <tableStyleElement type="secondRowStripe" dxfId="2293"/>
    </tableStyle>
    <tableStyle name="Copy of Jun-2025-Roster 1-style 2" pivot="0" count="2">
      <tableStyleElement type="firstRowStripe" dxfId="2296"/>
      <tableStyleElement type="secondRowStripe" dxfId="2295"/>
    </tableStyle>
    <tableStyle name="Copy of Jun-2025-Roster-style" pivot="0" count="2">
      <tableStyleElement type="firstRowStripe" dxfId="2298"/>
      <tableStyleElement type="secondRowStripe" dxfId="2297"/>
    </tableStyle>
    <tableStyle name="Copy of Jun-2025-Roster-style 2" pivot="0" count="2">
      <tableStyleElement type="firstRowStripe" dxfId="2300"/>
      <tableStyleElement type="secondRowStripe" dxfId="2299"/>
    </tableStyle>
    <tableStyle name="Jul-2025-Roster-style" pivot="0" count="2">
      <tableStyleElement type="firstRowStripe" dxfId="2302"/>
      <tableStyleElement type="secondRowStripe" dxfId="2301"/>
    </tableStyle>
    <tableStyle name="Jul-2025-Roster-style 2" pivot="0" count="2">
      <tableStyleElement type="firstRowStripe" dxfId="2304"/>
      <tableStyleElement type="secondRowStripe" dxfId="2303"/>
    </tableStyle>
    <tableStyle name="Feb-2026-Roster-style" pivot="0" count="2">
      <tableStyleElement type="firstRowStripe" dxfId="2306"/>
      <tableStyleElement type="secondRowStripe" dxfId="2305"/>
    </tableStyle>
    <tableStyle name="Feb-2026-Roster-style 2" pivot="0" count="2">
      <tableStyleElement type="firstRowStripe" dxfId="2308"/>
      <tableStyleElement type="secondRowStripe" dxfId="2307"/>
    </tableStyle>
    <tableStyle name="Mar-2026-Roster-style" pivot="0" count="2">
      <tableStyleElement type="firstRowStripe" dxfId="2310"/>
      <tableStyleElement type="secondRowStripe" dxfId="2309"/>
    </tableStyle>
    <tableStyle name="Mar-2026-Roster-style 2" pivot="0" count="2">
      <tableStyleElement type="firstRowStripe" dxfId="2312"/>
      <tableStyleElement type="secondRowStripe" dxfId="2311"/>
    </tableStyle>
    <tableStyle name="Apr-2026-Roster-style" pivot="0" count="2">
      <tableStyleElement type="firstRowStripe" dxfId="2314"/>
      <tableStyleElement type="secondRowStripe" dxfId="2313"/>
    </tableStyle>
    <tableStyle name="Apr-2026-Roster-style 2" pivot="0" count="2">
      <tableStyleElement type="firstRowStripe" dxfId="2316"/>
      <tableStyleElement type="secondRowStripe" dxfId="2315"/>
    </tableStyle>
    <tableStyle name="May-2026-Roster-style" pivot="0" count="2">
      <tableStyleElement type="firstRowStripe" dxfId="2318"/>
      <tableStyleElement type="secondRowStripe" dxfId="2317"/>
    </tableStyle>
    <tableStyle name="June 2026 Roster New-style" pivot="0" count="2">
      <tableStyleElement type="firstRowStripe" dxfId="2320"/>
      <tableStyleElement type="secondRowStripe" dxfId="2319"/>
    </tableStyle>
    <tableStyle name="June 2026 Roster New-style 2" pivot="0" count="2">
      <tableStyleElement type="firstRowStripe" dxfId="2322"/>
      <tableStyleElement type="secondRowStripe" dxfId="2321"/>
    </tableStyle>
    <tableStyle name="July 2026 Roster-style" pivot="0" count="2">
      <tableStyleElement type="firstRowStripe" dxfId="2324"/>
      <tableStyleElement type="secondRowStripe" dxfId="2323"/>
    </tableStyle>
    <tableStyle name="July 2026 Roster-style 2" pivot="0" count="2">
      <tableStyleElement type="firstRowStripe" dxfId="2326"/>
      <tableStyleElement type="secondRowStripe" dxfId="2325"/>
    </tableStyle>
    <tableStyle name="August 2026 Roster-style" pivot="0" count="2">
      <tableStyleElement type="firstRowStripe" dxfId="2328"/>
      <tableStyleElement type="secondRowStripe" dxfId="2327"/>
    </tableStyle>
    <tableStyle name="August 2026 Roster-style 2" pivot="0" count="2">
      <tableStyleElement type="firstRowStripe" dxfId="2330"/>
      <tableStyleElement type="secondRowStripe" dxfId="2329"/>
    </tableStyle>
    <tableStyle name="Copy of Apr-2026-Roster-style" pivot="0" count="2">
      <tableStyleElement type="firstRowStripe" dxfId="2332"/>
      <tableStyleElement type="secondRowStripe" dxfId="2331"/>
    </tableStyle>
    <tableStyle name="Copy of Apr-2026-Roster-style 2" pivot="0" count="2">
      <tableStyleElement type="firstRowStripe" dxfId="2334"/>
      <tableStyleElement type="secondRowStripe" dxfId="2333"/>
    </tableStyle>
    <tableStyle name="Jan-2025-Cover-Roster-style" pivot="0" count="2">
      <tableStyleElement type="firstRowStripe" dxfId="2336"/>
      <tableStyleElement type="secondRowStripe" dxfId="2335"/>
    </tableStyle>
    <tableStyle name="Jan-2025-Cover-Roster-style 2" pivot="0" count="2">
      <tableStyleElement type="firstRowStripe" dxfId="2338"/>
      <tableStyleElement type="secondRowStripe" dxfId="2337"/>
    </tableStyle>
    <tableStyle name="Nov-2024- AMPT FAIL-style" pivot="0" count="2">
      <tableStyleElement type="firstRowStripe" dxfId="2340"/>
      <tableStyleElement type="secondRowStripe" dxfId="2339"/>
    </tableStyle>
    <tableStyle name="Nov-2024- AMPT FAIL-style 2" pivot="0" count="2">
      <tableStyleElement type="firstRowStripe" dxfId="2342"/>
      <tableStyleElement type="secondRowStripe" dxfId="2341"/>
    </tableStyle>
    <tableStyle name="Copy of Oct-2024-Roster-style" pivot="0" count="2">
      <tableStyleElement type="firstRowStripe" dxfId="2344"/>
      <tableStyleElement type="secondRowStripe" dxfId="2343"/>
    </tableStyle>
    <tableStyle name="Copy of Oct-2024-Roster-style 2" pivot="0" count="2">
      <tableStyleElement type="firstRowStripe" dxfId="2346"/>
      <tableStyleElement type="secondRowStripe" dxfId="2345"/>
    </tableStyle>
    <tableStyle name="Copy of Sep-2024 IF AMPT GUYS F-style" pivot="0" count="2">
      <tableStyleElement type="firstRowStripe" dxfId="2348"/>
      <tableStyleElement type="secondRowStripe" dxfId="2347"/>
    </tableStyle>
    <tableStyle name="Copy of Sep-2024 IF AMPT GUYS F-style 2" pivot="0" count="2">
      <tableStyleElement type="firstRowStripe" dxfId="2350"/>
      <tableStyleElement type="secondRowStripe" dxfId="2349"/>
    </tableStyle>
    <tableStyle name="RMGP 0323-style" pivot="0" count="2">
      <tableStyleElement type="firstRowStripe" dxfId="2352"/>
      <tableStyleElement type="secondRowStripe" dxfId="2351"/>
    </tableStyle>
    <tableStyle name="0423 OFFs calculation-style" pivot="0" count="2">
      <tableStyleElement type="firstRowStripe" dxfId="2354"/>
      <tableStyleElement type="secondRowStripe" dxfId="2353"/>
    </tableStyle>
    <tableStyle name="0423 OFFs calculation-style 2" pivot="0" count="2">
      <tableStyleElement type="firstRowStripe" dxfId="2356"/>
      <tableStyleElement type="secondRowStripe" dxfId="2355"/>
    </tableStyle>
    <tableStyle name="0423 OFFs calculation-style 3" pivot="0" count="3">
      <tableStyleElement type="headerRow" dxfId="2359"/>
      <tableStyleElement type="firstRowStripe" dxfId="2358"/>
      <tableStyleElement type="secondRowStripe" dxfId="2357"/>
    </tableStyle>
    <tableStyle name="0323 OFFs calculation-style" pivot="0" count="2">
      <tableStyleElement type="firstRowStripe" dxfId="2361"/>
      <tableStyleElement type="secondRowStripe" dxfId="2360"/>
    </tableStyle>
    <tableStyle name="0323 OFFs calculation-style 2" pivot="0" count="2">
      <tableStyleElement type="firstRowStripe" dxfId="2363"/>
      <tableStyleElement type="secondRowStripe" dxfId="2362"/>
    </tableStyle>
    <tableStyle name="0323 OFFs calculation-style 3" pivot="0" count="3">
      <tableStyleElement type="headerRow" dxfId="2366"/>
      <tableStyleElement type="firstRowStripe" dxfId="2365"/>
      <tableStyleElement type="secondRowStripe" dxfId="2364"/>
    </tableStyle>
    <tableStyle name="0223 OFFs calculation-style" pivot="0" count="2">
      <tableStyleElement type="firstRowStripe" dxfId="2368"/>
      <tableStyleElement type="secondRowStripe" dxfId="2367"/>
    </tableStyle>
    <tableStyle name="0223 OFFs calculation-style 2" pivot="0" count="2">
      <tableStyleElement type="firstRowStripe" dxfId="2370"/>
      <tableStyleElement type="secondRowStripe" dxfId="2369"/>
    </tableStyle>
    <tableStyle name="0223 OFFs calculation-style 3" pivot="0" count="3">
      <tableStyleElement type="headerRow" dxfId="2373"/>
      <tableStyleElement type="firstRowStripe" dxfId="2372"/>
      <tableStyleElement type="secondRowStripe" dxfId="237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Table_58" displayName="Table_58" ref="A5:BP33" headerRowCount="0">
  <tableColumns count="68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  <tableColumn id="27" name="Column27" dataDxfId="26"/>
    <tableColumn id="28" name="Column28" dataDxfId="27"/>
    <tableColumn id="29" name="Column29" dataDxfId="28"/>
    <tableColumn id="30" name="Column30" dataDxfId="29"/>
    <tableColumn id="31" name="Column31" dataDxfId="30"/>
    <tableColumn id="32" name="Column32" dataDxfId="31"/>
    <tableColumn id="33" name="Column33" dataDxfId="32"/>
    <tableColumn id="34" name="Column34" dataDxfId="33"/>
    <tableColumn id="35" name="Column35" dataDxfId="34"/>
    <tableColumn id="36" name="Column36" dataDxfId="35"/>
    <tableColumn id="37" name="Column37" dataDxfId="36"/>
    <tableColumn id="38" name="Column38" dataDxfId="37"/>
    <tableColumn id="39" name="Column39" dataDxfId="38"/>
    <tableColumn id="40" name="Column40" dataDxfId="39"/>
    <tableColumn id="41" name="Column41" dataDxfId="40"/>
    <tableColumn id="42" name="Column42" dataDxfId="41"/>
    <tableColumn id="43" name="Column43" dataDxfId="42"/>
    <tableColumn id="44" name="Column44" dataDxfId="43"/>
    <tableColumn id="45" name="Column45" dataDxfId="44"/>
    <tableColumn id="46" name="Column46" dataDxfId="45"/>
    <tableColumn id="47" name="Column47" dataDxfId="46"/>
    <tableColumn id="48" name="Column48" dataDxfId="47"/>
    <tableColumn id="49" name="Column49" dataDxfId="48"/>
    <tableColumn id="50" name="Column50" dataDxfId="49"/>
    <tableColumn id="51" name="Column51" dataDxfId="50"/>
    <tableColumn id="52" name="Column52" dataDxfId="51"/>
    <tableColumn id="53" name="Column53" dataDxfId="52"/>
    <tableColumn id="54" name="Column54" dataDxfId="53"/>
    <tableColumn id="55" name="Column55" dataDxfId="54"/>
    <tableColumn id="56" name="Column56" dataDxfId="55"/>
    <tableColumn id="57" name="Column57" dataDxfId="56"/>
    <tableColumn id="58" name="Column58" dataDxfId="57"/>
    <tableColumn id="59" name="Column59" dataDxfId="58"/>
    <tableColumn id="60" name="Column60" dataDxfId="59"/>
    <tableColumn id="61" name="Column61" dataDxfId="60"/>
    <tableColumn id="62" name="Column62" dataDxfId="61"/>
    <tableColumn id="63" name="Column63" dataDxfId="62"/>
    <tableColumn id="64" name="Column64" dataDxfId="63"/>
    <tableColumn id="65" name="Column65" dataDxfId="64"/>
    <tableColumn id="66" name="Column66" dataDxfId="65"/>
    <tableColumn id="67" name="Column67" dataDxfId="66"/>
    <tableColumn id="68" name="Column68" dataDxfId="67"/>
  </tableColumns>
  <tableStyleInfo name="Nov-2024-Roster-style" showFirstColumn="1" showLastColumn="1" showRowStripes="1" showColumnStripes="0"/>
</table>
</file>

<file path=xl/tables/table2.xml><?xml version="1.0" encoding="utf-8"?>
<table xmlns="http://schemas.openxmlformats.org/spreadsheetml/2006/main" id="2" name="Table_59" displayName="Table_59" ref="B34:BP40" headerRowCount="0">
  <tableColumns count="67">
    <tableColumn id="1" name="Column1" dataDxfId="68"/>
    <tableColumn id="2" name="Column2" dataDxfId="69"/>
    <tableColumn id="3" name="Column3" dataDxfId="70"/>
    <tableColumn id="4" name="Column4" dataDxfId="71"/>
    <tableColumn id="5" name="Column5" dataDxfId="72"/>
    <tableColumn id="6" name="Column6" dataDxfId="73"/>
    <tableColumn id="7" name="Column7" dataDxfId="74"/>
    <tableColumn id="8" name="Column8" dataDxfId="75"/>
    <tableColumn id="9" name="Column9" dataDxfId="76"/>
    <tableColumn id="10" name="Column10" dataDxfId="77"/>
    <tableColumn id="11" name="Column11" dataDxfId="78"/>
    <tableColumn id="12" name="Column12" dataDxfId="79"/>
    <tableColumn id="13" name="Column13" dataDxfId="80"/>
    <tableColumn id="14" name="Column14" dataDxfId="81"/>
    <tableColumn id="15" name="Column15" dataDxfId="82"/>
    <tableColumn id="16" name="Column16" dataDxfId="83"/>
    <tableColumn id="17" name="Column17" dataDxfId="84"/>
    <tableColumn id="18" name="Column18" dataDxfId="85"/>
    <tableColumn id="19" name="Column19" dataDxfId="86"/>
    <tableColumn id="20" name="Column20" dataDxfId="87"/>
    <tableColumn id="21" name="Column21" dataDxfId="88"/>
    <tableColumn id="22" name="Column22" dataDxfId="89"/>
    <tableColumn id="23" name="Column23" dataDxfId="90"/>
    <tableColumn id="24" name="Column24" dataDxfId="91"/>
    <tableColumn id="25" name="Column25" dataDxfId="92"/>
    <tableColumn id="26" name="Column26" dataDxfId="93"/>
    <tableColumn id="27" name="Column27" dataDxfId="94"/>
    <tableColumn id="28" name="Column28" dataDxfId="95"/>
    <tableColumn id="29" name="Column29" dataDxfId="96"/>
    <tableColumn id="30" name="Column30" dataDxfId="97"/>
    <tableColumn id="31" name="Column31" dataDxfId="98"/>
    <tableColumn id="32" name="Column32" dataDxfId="99"/>
    <tableColumn id="33" name="Column33" dataDxfId="100"/>
    <tableColumn id="34" name="Column34" dataDxfId="101"/>
    <tableColumn id="35" name="Column35" dataDxfId="102"/>
    <tableColumn id="36" name="Column36" dataDxfId="103"/>
    <tableColumn id="37" name="Column37" dataDxfId="104"/>
    <tableColumn id="38" name="Column38" dataDxfId="105"/>
    <tableColumn id="39" name="Column39" dataDxfId="106"/>
    <tableColumn id="40" name="Column40" dataDxfId="107"/>
    <tableColumn id="41" name="Column41" dataDxfId="108"/>
    <tableColumn id="42" name="Column42" dataDxfId="109"/>
    <tableColumn id="43" name="Column43" dataDxfId="110"/>
    <tableColumn id="44" name="Column44" dataDxfId="111"/>
    <tableColumn id="45" name="Column45" dataDxfId="112"/>
    <tableColumn id="46" name="Column46" dataDxfId="113"/>
    <tableColumn id="47" name="Column47" dataDxfId="114"/>
    <tableColumn id="48" name="Column48" dataDxfId="115"/>
    <tableColumn id="49" name="Column49" dataDxfId="116"/>
    <tableColumn id="50" name="Column50" dataDxfId="117"/>
    <tableColumn id="51" name="Column51" dataDxfId="118"/>
    <tableColumn id="52" name="Column52" dataDxfId="119"/>
    <tableColumn id="53" name="Column53" dataDxfId="120"/>
    <tableColumn id="54" name="Column54" dataDxfId="121"/>
    <tableColumn id="55" name="Column55" dataDxfId="122"/>
    <tableColumn id="56" name="Column56" dataDxfId="123"/>
    <tableColumn id="57" name="Column57" dataDxfId="124"/>
    <tableColumn id="58" name="Column58" dataDxfId="125"/>
    <tableColumn id="59" name="Column59" dataDxfId="126"/>
    <tableColumn id="60" name="Column60" dataDxfId="127"/>
    <tableColumn id="61" name="Column61" dataDxfId="128"/>
    <tableColumn id="62" name="Column62" dataDxfId="129"/>
    <tableColumn id="63" name="Column63" dataDxfId="130"/>
    <tableColumn id="64" name="Column64" dataDxfId="131"/>
    <tableColumn id="65" name="Column65" dataDxfId="132"/>
    <tableColumn id="66" name="Column66" dataDxfId="133"/>
    <tableColumn id="67" name="Column67" dataDxfId="134"/>
  </tableColumns>
  <tableStyleInfo name="Nov-2024-Roster-style 2" showFirstColumn="1" showLastColumn="1" showRowStripes="1" showColumnStripes="0"/>
</table>
</file>

<file path=xl/tables/table3.xml><?xml version="1.0" encoding="utf-8"?>
<table xmlns="http://schemas.openxmlformats.org/spreadsheetml/2006/main" id="3" name="Table_60" displayName="Table_60" ref="A5:BP39" headerRowCount="0">
  <tableColumns count="68">
    <tableColumn id="1" name="Column1" dataDxfId="156"/>
    <tableColumn id="2" name="Column2" dataDxfId="157"/>
    <tableColumn id="3" name="Column3" dataDxfId="158"/>
    <tableColumn id="4" name="Column4" dataDxfId="159"/>
    <tableColumn id="5" name="Column5" dataDxfId="160"/>
    <tableColumn id="6" name="Column6" dataDxfId="161"/>
    <tableColumn id="7" name="Column7" dataDxfId="162"/>
    <tableColumn id="8" name="Column8" dataDxfId="163"/>
    <tableColumn id="9" name="Column9" dataDxfId="164"/>
    <tableColumn id="10" name="Column10" dataDxfId="165"/>
    <tableColumn id="11" name="Column11" dataDxfId="166"/>
    <tableColumn id="12" name="Column12" dataDxfId="167"/>
    <tableColumn id="13" name="Column13" dataDxfId="168"/>
    <tableColumn id="14" name="Column14" dataDxfId="169"/>
    <tableColumn id="15" name="Column15" dataDxfId="170"/>
    <tableColumn id="16" name="Column16" dataDxfId="171"/>
    <tableColumn id="17" name="Column17" dataDxfId="172"/>
    <tableColumn id="18" name="Column18" dataDxfId="173"/>
    <tableColumn id="19" name="Column19" dataDxfId="174"/>
    <tableColumn id="20" name="Column20" dataDxfId="175"/>
    <tableColumn id="21" name="Column21" dataDxfId="176"/>
    <tableColumn id="22" name="Column22" dataDxfId="177"/>
    <tableColumn id="23" name="Column23" dataDxfId="178"/>
    <tableColumn id="24" name="Column24" dataDxfId="179"/>
    <tableColumn id="25" name="Column25" dataDxfId="180"/>
    <tableColumn id="26" name="Column26" dataDxfId="181"/>
    <tableColumn id="27" name="Column27" dataDxfId="182"/>
    <tableColumn id="28" name="Column28" dataDxfId="183"/>
    <tableColumn id="29" name="Column29" dataDxfId="184"/>
    <tableColumn id="30" name="Column30" dataDxfId="185"/>
    <tableColumn id="31" name="Column31" dataDxfId="186"/>
    <tableColumn id="32" name="Column32" dataDxfId="187"/>
    <tableColumn id="33" name="Column33" dataDxfId="188"/>
    <tableColumn id="34" name="Column34" dataDxfId="189"/>
    <tableColumn id="35" name="Column35" dataDxfId="190"/>
    <tableColumn id="36" name="Column36" dataDxfId="191"/>
    <tableColumn id="37" name="Column37" dataDxfId="192"/>
    <tableColumn id="38" name="Column38" dataDxfId="193"/>
    <tableColumn id="39" name="Column39" dataDxfId="194"/>
    <tableColumn id="40" name="Column40" dataDxfId="195"/>
    <tableColumn id="41" name="Column41" dataDxfId="196"/>
    <tableColumn id="42" name="Column42" dataDxfId="197"/>
    <tableColumn id="43" name="Column43" dataDxfId="198"/>
    <tableColumn id="44" name="Column44" dataDxfId="199"/>
    <tableColumn id="45" name="Column45" dataDxfId="200"/>
    <tableColumn id="46" name="Column46" dataDxfId="201"/>
    <tableColumn id="47" name="Column47" dataDxfId="202"/>
    <tableColumn id="48" name="Column48" dataDxfId="203"/>
    <tableColumn id="49" name="Column49" dataDxfId="204"/>
    <tableColumn id="50" name="Column50" dataDxfId="205"/>
    <tableColumn id="51" name="Column51" dataDxfId="206"/>
    <tableColumn id="52" name="Column52" dataDxfId="207"/>
    <tableColumn id="53" name="Column53" dataDxfId="208"/>
    <tableColumn id="54" name="Column54" dataDxfId="209"/>
    <tableColumn id="55" name="Column55" dataDxfId="210"/>
    <tableColumn id="56" name="Column56" dataDxfId="211"/>
    <tableColumn id="57" name="Column57" dataDxfId="212"/>
    <tableColumn id="58" name="Column58" dataDxfId="213"/>
    <tableColumn id="59" name="Column59" dataDxfId="214"/>
    <tableColumn id="60" name="Column60" dataDxfId="215"/>
    <tableColumn id="61" name="Column61" dataDxfId="216"/>
    <tableColumn id="62" name="Column62" dataDxfId="217"/>
    <tableColumn id="63" name="Column63" dataDxfId="218"/>
    <tableColumn id="64" name="Column64" dataDxfId="219"/>
    <tableColumn id="65" name="Column65" dataDxfId="220"/>
    <tableColumn id="66" name="Column66" dataDxfId="221"/>
    <tableColumn id="67" name="Column67" dataDxfId="222"/>
    <tableColumn id="68" name="Column68" dataDxfId="223"/>
  </tableColumns>
  <tableStyleInfo name="Dec-2024-Roster-style" showFirstColumn="1" showLastColumn="1" showRowStripes="1" showColumnStripes="0"/>
</table>
</file>

<file path=xl/tables/table4.xml><?xml version="1.0" encoding="utf-8"?>
<table xmlns="http://schemas.openxmlformats.org/spreadsheetml/2006/main" id="4" name="Table_61" displayName="Table_61" ref="B40:BP46" headerRowCount="0">
  <tableColumns count="67">
    <tableColumn id="1" name="Column1" dataDxfId="224"/>
    <tableColumn id="2" name="Column2" dataDxfId="225"/>
    <tableColumn id="3" name="Column3" dataDxfId="226"/>
    <tableColumn id="4" name="Column4" dataDxfId="227"/>
    <tableColumn id="5" name="Column5" dataDxfId="228"/>
    <tableColumn id="6" name="Column6" dataDxfId="229"/>
    <tableColumn id="7" name="Column7" dataDxfId="230"/>
    <tableColumn id="8" name="Column8" dataDxfId="231"/>
    <tableColumn id="9" name="Column9" dataDxfId="232"/>
    <tableColumn id="10" name="Column10" dataDxfId="233"/>
    <tableColumn id="11" name="Column11" dataDxfId="234"/>
    <tableColumn id="12" name="Column12" dataDxfId="235"/>
    <tableColumn id="13" name="Column13" dataDxfId="236"/>
    <tableColumn id="14" name="Column14" dataDxfId="237"/>
    <tableColumn id="15" name="Column15" dataDxfId="238"/>
    <tableColumn id="16" name="Column16" dataDxfId="239"/>
    <tableColumn id="17" name="Column17" dataDxfId="240"/>
    <tableColumn id="18" name="Column18" dataDxfId="241"/>
    <tableColumn id="19" name="Column19" dataDxfId="242"/>
    <tableColumn id="20" name="Column20" dataDxfId="243"/>
    <tableColumn id="21" name="Column21" dataDxfId="244"/>
    <tableColumn id="22" name="Column22" dataDxfId="245"/>
    <tableColumn id="23" name="Column23" dataDxfId="246"/>
    <tableColumn id="24" name="Column24" dataDxfId="247"/>
    <tableColumn id="25" name="Column25" dataDxfId="248"/>
    <tableColumn id="26" name="Column26" dataDxfId="249"/>
    <tableColumn id="27" name="Column27" dataDxfId="250"/>
    <tableColumn id="28" name="Column28" dataDxfId="251"/>
    <tableColumn id="29" name="Column29" dataDxfId="252"/>
    <tableColumn id="30" name="Column30" dataDxfId="253"/>
    <tableColumn id="31" name="Column31" dataDxfId="254"/>
    <tableColumn id="32" name="Column32" dataDxfId="255"/>
    <tableColumn id="33" name="Column33" dataDxfId="256"/>
    <tableColumn id="34" name="Column34" dataDxfId="257"/>
    <tableColumn id="35" name="Column35" dataDxfId="258"/>
    <tableColumn id="36" name="Column36" dataDxfId="259"/>
    <tableColumn id="37" name="Column37" dataDxfId="260"/>
    <tableColumn id="38" name="Column38" dataDxfId="261"/>
    <tableColumn id="39" name="Column39" dataDxfId="262"/>
    <tableColumn id="40" name="Column40" dataDxfId="263"/>
    <tableColumn id="41" name="Column41" dataDxfId="264"/>
    <tableColumn id="42" name="Column42" dataDxfId="265"/>
    <tableColumn id="43" name="Column43" dataDxfId="266"/>
    <tableColumn id="44" name="Column44" dataDxfId="267"/>
    <tableColumn id="45" name="Column45" dataDxfId="268"/>
    <tableColumn id="46" name="Column46" dataDxfId="269"/>
    <tableColumn id="47" name="Column47" dataDxfId="270"/>
    <tableColumn id="48" name="Column48" dataDxfId="271"/>
    <tableColumn id="49" name="Column49" dataDxfId="272"/>
    <tableColumn id="50" name="Column50" dataDxfId="273"/>
    <tableColumn id="51" name="Column51" dataDxfId="274"/>
    <tableColumn id="52" name="Column52" dataDxfId="275"/>
    <tableColumn id="53" name="Column53" dataDxfId="276"/>
    <tableColumn id="54" name="Column54" dataDxfId="277"/>
    <tableColumn id="55" name="Column55" dataDxfId="278"/>
    <tableColumn id="56" name="Column56" dataDxfId="279"/>
    <tableColumn id="57" name="Column57" dataDxfId="280"/>
    <tableColumn id="58" name="Column58" dataDxfId="281"/>
    <tableColumn id="59" name="Column59" dataDxfId="282"/>
    <tableColumn id="60" name="Column60" dataDxfId="283"/>
    <tableColumn id="61" name="Column61" dataDxfId="284"/>
    <tableColumn id="62" name="Column62" dataDxfId="285"/>
    <tableColumn id="63" name="Column63" dataDxfId="286"/>
    <tableColumn id="64" name="Column64" dataDxfId="287"/>
    <tableColumn id="65" name="Column65" dataDxfId="288"/>
    <tableColumn id="66" name="Column66" dataDxfId="289"/>
    <tableColumn id="67" name="Column67" dataDxfId="290"/>
  </tableColumns>
  <tableStyleInfo name="Dec-2024-Roster-style 2" showFirstColumn="1" showLastColumn="1" showRowStripes="1" showColumnStripes="0"/>
</table>
</file>

<file path=xl/tables/table5.xml><?xml version="1.0" encoding="utf-8"?>
<table xmlns="http://schemas.openxmlformats.org/spreadsheetml/2006/main" id="5" name="Table_62" displayName="Table_62" ref="A5:BP39" headerRowCount="0">
  <tableColumns count="68">
    <tableColumn id="1" name="Column1" dataDxfId="291"/>
    <tableColumn id="2" name="Column2" dataDxfId="292"/>
    <tableColumn id="3" name="Column3" dataDxfId="293"/>
    <tableColumn id="4" name="Column4" dataDxfId="294"/>
    <tableColumn id="5" name="Column5" dataDxfId="295"/>
    <tableColumn id="6" name="Column6" dataDxfId="296"/>
    <tableColumn id="7" name="Column7" dataDxfId="297"/>
    <tableColumn id="8" name="Column8" dataDxfId="298"/>
    <tableColumn id="9" name="Column9" dataDxfId="299"/>
    <tableColumn id="10" name="Column10" dataDxfId="300"/>
    <tableColumn id="11" name="Column11" dataDxfId="301"/>
    <tableColumn id="12" name="Column12" dataDxfId="302"/>
    <tableColumn id="13" name="Column13" dataDxfId="303"/>
    <tableColumn id="14" name="Column14" dataDxfId="304"/>
    <tableColumn id="15" name="Column15" dataDxfId="305"/>
    <tableColumn id="16" name="Column16" dataDxfId="306"/>
    <tableColumn id="17" name="Column17" dataDxfId="307"/>
    <tableColumn id="18" name="Column18" dataDxfId="308"/>
    <tableColumn id="19" name="Column19" dataDxfId="309"/>
    <tableColumn id="20" name="Column20" dataDxfId="310"/>
    <tableColumn id="21" name="Column21" dataDxfId="311"/>
    <tableColumn id="22" name="Column22" dataDxfId="312"/>
    <tableColumn id="23" name="Column23" dataDxfId="313"/>
    <tableColumn id="24" name="Column24" dataDxfId="314"/>
    <tableColumn id="25" name="Column25" dataDxfId="315"/>
    <tableColumn id="26" name="Column26" dataDxfId="316"/>
    <tableColumn id="27" name="Column27" dataDxfId="317"/>
    <tableColumn id="28" name="Column28" dataDxfId="318"/>
    <tableColumn id="29" name="Column29" dataDxfId="319"/>
    <tableColumn id="30" name="Column30" dataDxfId="320"/>
    <tableColumn id="31" name="Column31" dataDxfId="321"/>
    <tableColumn id="32" name="Column32" dataDxfId="322"/>
    <tableColumn id="33" name="Column33" dataDxfId="323"/>
    <tableColumn id="34" name="Column34" dataDxfId="324"/>
    <tableColumn id="35" name="Column35" dataDxfId="325"/>
    <tableColumn id="36" name="Column36" dataDxfId="326"/>
    <tableColumn id="37" name="Column37" dataDxfId="327"/>
    <tableColumn id="38" name="Column38" dataDxfId="328"/>
    <tableColumn id="39" name="Column39" dataDxfId="329"/>
    <tableColumn id="40" name="Column40" dataDxfId="330"/>
    <tableColumn id="41" name="Column41" dataDxfId="331"/>
    <tableColumn id="42" name="Column42" dataDxfId="332"/>
    <tableColumn id="43" name="Column43" dataDxfId="333"/>
    <tableColumn id="44" name="Column44" dataDxfId="334"/>
    <tableColumn id="45" name="Column45" dataDxfId="335"/>
    <tableColumn id="46" name="Column46" dataDxfId="336"/>
    <tableColumn id="47" name="Column47" dataDxfId="337"/>
    <tableColumn id="48" name="Column48" dataDxfId="338"/>
    <tableColumn id="49" name="Column49" dataDxfId="339"/>
    <tableColumn id="50" name="Column50" dataDxfId="340"/>
    <tableColumn id="51" name="Column51" dataDxfId="341"/>
    <tableColumn id="52" name="Column52" dataDxfId="342"/>
    <tableColumn id="53" name="Column53" dataDxfId="343"/>
    <tableColumn id="54" name="Column54" dataDxfId="344"/>
    <tableColumn id="55" name="Column55" dataDxfId="345"/>
    <tableColumn id="56" name="Column56" dataDxfId="346"/>
    <tableColumn id="57" name="Column57" dataDxfId="347"/>
    <tableColumn id="58" name="Column58" dataDxfId="348"/>
    <tableColumn id="59" name="Column59" dataDxfId="349"/>
    <tableColumn id="60" name="Column60" dataDxfId="350"/>
    <tableColumn id="61" name="Column61" dataDxfId="351"/>
    <tableColumn id="62" name="Column62" dataDxfId="352"/>
    <tableColumn id="63" name="Column63" dataDxfId="353"/>
    <tableColumn id="64" name="Column64" dataDxfId="354"/>
    <tableColumn id="65" name="Column65" dataDxfId="355"/>
    <tableColumn id="66" name="Column66" dataDxfId="356"/>
    <tableColumn id="67" name="Column67" dataDxfId="357"/>
    <tableColumn id="68" name="Column68" dataDxfId="358"/>
  </tableColumns>
  <tableStyleInfo name="Jan-2025-Roster-style" showFirstColumn="1" showLastColumn="1" showRowStripes="1" showColumnStripes="0"/>
</table>
</file>

<file path=xl/tables/table6.xml><?xml version="1.0" encoding="utf-8"?>
<table xmlns="http://schemas.openxmlformats.org/spreadsheetml/2006/main" id="6" name="Table_63" displayName="Table_63" ref="B40:BP46" headerRowCount="0">
  <tableColumns count="67">
    <tableColumn id="1" name="Column1" dataDxfId="359"/>
    <tableColumn id="2" name="Column2" dataDxfId="360"/>
    <tableColumn id="3" name="Column3" dataDxfId="361"/>
    <tableColumn id="4" name="Column4" dataDxfId="362"/>
    <tableColumn id="5" name="Column5" dataDxfId="363"/>
    <tableColumn id="6" name="Column6" dataDxfId="364"/>
    <tableColumn id="7" name="Column7" dataDxfId="365"/>
    <tableColumn id="8" name="Column8" dataDxfId="366"/>
    <tableColumn id="9" name="Column9" dataDxfId="367"/>
    <tableColumn id="10" name="Column10" dataDxfId="368"/>
    <tableColumn id="11" name="Column11" dataDxfId="369"/>
    <tableColumn id="12" name="Column12" dataDxfId="370"/>
    <tableColumn id="13" name="Column13" dataDxfId="371"/>
    <tableColumn id="14" name="Column14" dataDxfId="372"/>
    <tableColumn id="15" name="Column15" dataDxfId="373"/>
    <tableColumn id="16" name="Column16" dataDxfId="374"/>
    <tableColumn id="17" name="Column17" dataDxfId="375"/>
    <tableColumn id="18" name="Column18" dataDxfId="376"/>
    <tableColumn id="19" name="Column19" dataDxfId="377"/>
    <tableColumn id="20" name="Column20" dataDxfId="378"/>
    <tableColumn id="21" name="Column21" dataDxfId="379"/>
    <tableColumn id="22" name="Column22" dataDxfId="380"/>
    <tableColumn id="23" name="Column23" dataDxfId="381"/>
    <tableColumn id="24" name="Column24" dataDxfId="382"/>
    <tableColumn id="25" name="Column25" dataDxfId="383"/>
    <tableColumn id="26" name="Column26" dataDxfId="384"/>
    <tableColumn id="27" name="Column27" dataDxfId="385"/>
    <tableColumn id="28" name="Column28" dataDxfId="386"/>
    <tableColumn id="29" name="Column29" dataDxfId="387"/>
    <tableColumn id="30" name="Column30" dataDxfId="388"/>
    <tableColumn id="31" name="Column31" dataDxfId="389"/>
    <tableColumn id="32" name="Column32" dataDxfId="390"/>
    <tableColumn id="33" name="Column33" dataDxfId="391"/>
    <tableColumn id="34" name="Column34" dataDxfId="392"/>
    <tableColumn id="35" name="Column35" dataDxfId="393"/>
    <tableColumn id="36" name="Column36" dataDxfId="394"/>
    <tableColumn id="37" name="Column37" dataDxfId="395"/>
    <tableColumn id="38" name="Column38" dataDxfId="396"/>
    <tableColumn id="39" name="Column39" dataDxfId="397"/>
    <tableColumn id="40" name="Column40" dataDxfId="398"/>
    <tableColumn id="41" name="Column41" dataDxfId="399"/>
    <tableColumn id="42" name="Column42" dataDxfId="400"/>
    <tableColumn id="43" name="Column43" dataDxfId="401"/>
    <tableColumn id="44" name="Column44" dataDxfId="402"/>
    <tableColumn id="45" name="Column45" dataDxfId="403"/>
    <tableColumn id="46" name="Column46" dataDxfId="404"/>
    <tableColumn id="47" name="Column47" dataDxfId="405"/>
    <tableColumn id="48" name="Column48" dataDxfId="406"/>
    <tableColumn id="49" name="Column49" dataDxfId="407"/>
    <tableColumn id="50" name="Column50" dataDxfId="408"/>
    <tableColumn id="51" name="Column51" dataDxfId="409"/>
    <tableColumn id="52" name="Column52" dataDxfId="410"/>
    <tableColumn id="53" name="Column53" dataDxfId="411"/>
    <tableColumn id="54" name="Column54" dataDxfId="412"/>
    <tableColumn id="55" name="Column55" dataDxfId="413"/>
    <tableColumn id="56" name="Column56" dataDxfId="414"/>
    <tableColumn id="57" name="Column57" dataDxfId="415"/>
    <tableColumn id="58" name="Column58" dataDxfId="416"/>
    <tableColumn id="59" name="Column59" dataDxfId="417"/>
    <tableColumn id="60" name="Column60" dataDxfId="418"/>
    <tableColumn id="61" name="Column61" dataDxfId="419"/>
    <tableColumn id="62" name="Column62" dataDxfId="420"/>
    <tableColumn id="63" name="Column63" dataDxfId="421"/>
    <tableColumn id="64" name="Column64" dataDxfId="422"/>
    <tableColumn id="65" name="Column65" dataDxfId="423"/>
    <tableColumn id="66" name="Column66" dataDxfId="424"/>
    <tableColumn id="67" name="Column67" dataDxfId="425"/>
  </tableColumns>
  <tableStyleInfo name="Jan-2025-Roster-style 2" showFirstColumn="1" showLastColumn="1" showRowStripes="1" showColumnStripes="0"/>
</table>
</file>

<file path=xl/tables/table7.xml><?xml version="1.0" encoding="utf-8"?>
<table xmlns="http://schemas.openxmlformats.org/spreadsheetml/2006/main" id="7" name="Table_64" displayName="Table_64" ref="A5:BQ35" headerRowCount="0">
  <tableColumns count="69">
    <tableColumn id="1" name="Column1" dataDxfId="426"/>
    <tableColumn id="2" name="Column2" dataDxfId="427"/>
    <tableColumn id="3" name="Column3" dataDxfId="428"/>
    <tableColumn id="4" name="Column4" dataDxfId="429"/>
    <tableColumn id="5" name="Column5" dataDxfId="430"/>
    <tableColumn id="6" name="Column6" dataDxfId="431"/>
    <tableColumn id="7" name="Column7" dataDxfId="432"/>
    <tableColumn id="8" name="Column8" dataDxfId="433"/>
    <tableColumn id="9" name="Column9" dataDxfId="434"/>
    <tableColumn id="10" name="Column10" dataDxfId="435"/>
    <tableColumn id="11" name="Column11" dataDxfId="436"/>
    <tableColumn id="12" name="Column12" dataDxfId="437"/>
    <tableColumn id="13" name="Column13" dataDxfId="438"/>
    <tableColumn id="14" name="Column14" dataDxfId="439"/>
    <tableColumn id="15" name="Column15" dataDxfId="440"/>
    <tableColumn id="16" name="Column16" dataDxfId="441"/>
    <tableColumn id="17" name="Column17" dataDxfId="442"/>
    <tableColumn id="18" name="Column18" dataDxfId="443"/>
    <tableColumn id="19" name="Column19" dataDxfId="444"/>
    <tableColumn id="20" name="Column20" dataDxfId="445"/>
    <tableColumn id="21" name="Column21" dataDxfId="446"/>
    <tableColumn id="22" name="Column22" dataDxfId="447"/>
    <tableColumn id="23" name="Column23" dataDxfId="448"/>
    <tableColumn id="24" name="Column24" dataDxfId="449"/>
    <tableColumn id="25" name="Column25" dataDxfId="450"/>
    <tableColumn id="26" name="Column26" dataDxfId="451"/>
    <tableColumn id="27" name="Column27" dataDxfId="452"/>
    <tableColumn id="28" name="Column28" dataDxfId="453"/>
    <tableColumn id="29" name="Column29" dataDxfId="454"/>
    <tableColumn id="30" name="Column30" dataDxfId="455"/>
    <tableColumn id="31" name="Column31" dataDxfId="456"/>
    <tableColumn id="32" name="Column32" dataDxfId="457"/>
    <tableColumn id="33" name="Column33" dataDxfId="458"/>
    <tableColumn id="34" name="Column34" dataDxfId="459"/>
    <tableColumn id="35" name="Column35" dataDxfId="460"/>
    <tableColumn id="36" name="Column36" dataDxfId="461"/>
    <tableColumn id="37" name="Column37" dataDxfId="462"/>
    <tableColumn id="38" name="Column38" dataDxfId="463"/>
    <tableColumn id="39" name="Column39" dataDxfId="464"/>
    <tableColumn id="40" name="Column40" dataDxfId="465"/>
    <tableColumn id="41" name="Column41" dataDxfId="466"/>
    <tableColumn id="42" name="Column42" dataDxfId="467"/>
    <tableColumn id="43" name="Column43" dataDxfId="468"/>
    <tableColumn id="44" name="Column44" dataDxfId="469"/>
    <tableColumn id="45" name="Column45" dataDxfId="470"/>
    <tableColumn id="46" name="Column46" dataDxfId="471"/>
    <tableColumn id="47" name="Column47" dataDxfId="472"/>
    <tableColumn id="48" name="Column48" dataDxfId="473"/>
    <tableColumn id="49" name="Column49" dataDxfId="474"/>
    <tableColumn id="50" name="Column50" dataDxfId="475"/>
    <tableColumn id="51" name="Column51" dataDxfId="476"/>
    <tableColumn id="52" name="Column52" dataDxfId="477"/>
    <tableColumn id="53" name="Column53" dataDxfId="478"/>
    <tableColumn id="54" name="Column54" dataDxfId="479"/>
    <tableColumn id="55" name="Column55" dataDxfId="480"/>
    <tableColumn id="56" name="Column56" dataDxfId="481"/>
    <tableColumn id="57" name="Column57" dataDxfId="482"/>
    <tableColumn id="58" name="Column58" dataDxfId="483"/>
    <tableColumn id="59" name="Column59" dataDxfId="484"/>
    <tableColumn id="60" name="Column60" dataDxfId="485"/>
    <tableColumn id="61" name="Column61" dataDxfId="486"/>
    <tableColumn id="62" name="Column62" dataDxfId="487"/>
    <tableColumn id="63" name="Column63" dataDxfId="488"/>
    <tableColumn id="64" name="Column64" dataDxfId="489"/>
    <tableColumn id="65" name="Column65" dataDxfId="490"/>
    <tableColumn id="66" name="Column66" dataDxfId="491"/>
    <tableColumn id="67" name="Column67" dataDxfId="492"/>
    <tableColumn id="68" name="Column68" dataDxfId="493"/>
    <tableColumn id="69" name="Column69" dataDxfId="494"/>
  </tableColumns>
  <tableStyleInfo name="Feb-2025-Roster-style" showFirstColumn="1" showLastColumn="1" showRowStripes="1" showColumnStripes="0"/>
</table>
</file>

<file path=xl/tables/table8.xml><?xml version="1.0" encoding="utf-8"?>
<table xmlns="http://schemas.openxmlformats.org/spreadsheetml/2006/main" id="8" name="Table_65" displayName="Table_65" ref="B36:BQ42" headerRowCount="0">
  <tableColumns count="68">
    <tableColumn id="1" name="Column1" dataDxfId="495"/>
    <tableColumn id="2" name="Column2" dataDxfId="496"/>
    <tableColumn id="3" name="Column3" dataDxfId="497"/>
    <tableColumn id="4" name="Column4" dataDxfId="498"/>
    <tableColumn id="5" name="Column5" dataDxfId="499"/>
    <tableColumn id="6" name="Column6" dataDxfId="500"/>
    <tableColumn id="7" name="Column7" dataDxfId="501"/>
    <tableColumn id="8" name="Column8" dataDxfId="502"/>
    <tableColumn id="9" name="Column9" dataDxfId="503"/>
    <tableColumn id="10" name="Column10" dataDxfId="504"/>
    <tableColumn id="11" name="Column11" dataDxfId="505"/>
    <tableColumn id="12" name="Column12" dataDxfId="506"/>
    <tableColumn id="13" name="Column13" dataDxfId="507"/>
    <tableColumn id="14" name="Column14" dataDxfId="508"/>
    <tableColumn id="15" name="Column15" dataDxfId="509"/>
    <tableColumn id="16" name="Column16" dataDxfId="510"/>
    <tableColumn id="17" name="Column17" dataDxfId="511"/>
    <tableColumn id="18" name="Column18" dataDxfId="512"/>
    <tableColumn id="19" name="Column19" dataDxfId="513"/>
    <tableColumn id="20" name="Column20" dataDxfId="514"/>
    <tableColumn id="21" name="Column21" dataDxfId="515"/>
    <tableColumn id="22" name="Column22" dataDxfId="516"/>
    <tableColumn id="23" name="Column23" dataDxfId="517"/>
    <tableColumn id="24" name="Column24" dataDxfId="518"/>
    <tableColumn id="25" name="Column25" dataDxfId="519"/>
    <tableColumn id="26" name="Column26" dataDxfId="520"/>
    <tableColumn id="27" name="Column27" dataDxfId="521"/>
    <tableColumn id="28" name="Column28" dataDxfId="522"/>
    <tableColumn id="29" name="Column29" dataDxfId="523"/>
    <tableColumn id="30" name="Column30" dataDxfId="524"/>
    <tableColumn id="31" name="Column31" dataDxfId="525"/>
    <tableColumn id="32" name="Column32" dataDxfId="526"/>
    <tableColumn id="33" name="Column33" dataDxfId="527"/>
    <tableColumn id="34" name="Column34" dataDxfId="528"/>
    <tableColumn id="35" name="Column35" dataDxfId="529"/>
    <tableColumn id="36" name="Column36" dataDxfId="530"/>
    <tableColumn id="37" name="Column37" dataDxfId="531"/>
    <tableColumn id="38" name="Column38" dataDxfId="532"/>
    <tableColumn id="39" name="Column39" dataDxfId="533"/>
    <tableColumn id="40" name="Column40" dataDxfId="534"/>
    <tableColumn id="41" name="Column41" dataDxfId="535"/>
    <tableColumn id="42" name="Column42" dataDxfId="536"/>
    <tableColumn id="43" name="Column43" dataDxfId="537"/>
    <tableColumn id="44" name="Column44" dataDxfId="538"/>
    <tableColumn id="45" name="Column45" dataDxfId="539"/>
    <tableColumn id="46" name="Column46" dataDxfId="540"/>
    <tableColumn id="47" name="Column47" dataDxfId="541"/>
    <tableColumn id="48" name="Column48" dataDxfId="542"/>
    <tableColumn id="49" name="Column49" dataDxfId="543"/>
    <tableColumn id="50" name="Column50" dataDxfId="544"/>
    <tableColumn id="51" name="Column51" dataDxfId="545"/>
    <tableColumn id="52" name="Column52" dataDxfId="546"/>
    <tableColumn id="53" name="Column53" dataDxfId="547"/>
    <tableColumn id="54" name="Column54" dataDxfId="548"/>
    <tableColumn id="55" name="Column55" dataDxfId="549"/>
    <tableColumn id="56" name="Column56" dataDxfId="550"/>
    <tableColumn id="57" name="Column57" dataDxfId="551"/>
    <tableColumn id="58" name="Column58" dataDxfId="552"/>
    <tableColumn id="59" name="Column59" dataDxfId="553"/>
    <tableColumn id="60" name="Column60" dataDxfId="554"/>
    <tableColumn id="61" name="Column61" dataDxfId="555"/>
    <tableColumn id="62" name="Column62" dataDxfId="556"/>
    <tableColumn id="63" name="Column63" dataDxfId="557"/>
    <tableColumn id="64" name="Column64" dataDxfId="558"/>
    <tableColumn id="65" name="Column65" dataDxfId="559"/>
    <tableColumn id="66" name="Column66" dataDxfId="560"/>
    <tableColumn id="67" name="Column67" dataDxfId="561"/>
    <tableColumn id="68" name="Column68" dataDxfId="562"/>
  </tableColumns>
  <tableStyleInfo name="Feb-2025-Roster-style 2" showFirstColumn="1" showLastColumn="1" showRowStripes="1" showColumnStripes="0"/>
</table>
</file>

<file path=xl/tables/table9.xml><?xml version="1.0" encoding="utf-8"?>
<table xmlns="http://schemas.openxmlformats.org/spreadsheetml/2006/main" id="9" name="Table_66" displayName="Table_66" ref="A5:BQ40" headerRowCount="0">
  <tableColumns count="69">
    <tableColumn id="1" name="Column1" dataDxfId="563"/>
    <tableColumn id="2" name="Column2" dataDxfId="564"/>
    <tableColumn id="3" name="Column3" dataDxfId="565"/>
    <tableColumn id="4" name="Column4" dataDxfId="566"/>
    <tableColumn id="5" name="Column5" dataDxfId="567"/>
    <tableColumn id="6" name="Column6" dataDxfId="568"/>
    <tableColumn id="7" name="Column7" dataDxfId="569"/>
    <tableColumn id="8" name="Column8" dataDxfId="570"/>
    <tableColumn id="9" name="Column9" dataDxfId="571"/>
    <tableColumn id="10" name="Column10" dataDxfId="572"/>
    <tableColumn id="11" name="Column11" dataDxfId="573"/>
    <tableColumn id="12" name="Column12" dataDxfId="574"/>
    <tableColumn id="13" name="Column13" dataDxfId="575"/>
    <tableColumn id="14" name="Column14" dataDxfId="576"/>
    <tableColumn id="15" name="Column15" dataDxfId="577"/>
    <tableColumn id="16" name="Column16" dataDxfId="578"/>
    <tableColumn id="17" name="Column17" dataDxfId="579"/>
    <tableColumn id="18" name="Column18" dataDxfId="580"/>
    <tableColumn id="19" name="Column19" dataDxfId="581"/>
    <tableColumn id="20" name="Column20" dataDxfId="582"/>
    <tableColumn id="21" name="Column21" dataDxfId="583"/>
    <tableColumn id="22" name="Column22" dataDxfId="584"/>
    <tableColumn id="23" name="Column23" dataDxfId="585"/>
    <tableColumn id="24" name="Column24" dataDxfId="586"/>
    <tableColumn id="25" name="Column25" dataDxfId="587"/>
    <tableColumn id="26" name="Column26" dataDxfId="588"/>
    <tableColumn id="27" name="Column27" dataDxfId="589"/>
    <tableColumn id="28" name="Column28" dataDxfId="590"/>
    <tableColumn id="29" name="Column29" dataDxfId="591"/>
    <tableColumn id="30" name="Column30" dataDxfId="592"/>
    <tableColumn id="31" name="Column31" dataDxfId="593"/>
    <tableColumn id="32" name="Column32" dataDxfId="594"/>
    <tableColumn id="33" name="Column33" dataDxfId="595"/>
    <tableColumn id="34" name="Column34" dataDxfId="596"/>
    <tableColumn id="35" name="Column35" dataDxfId="597"/>
    <tableColumn id="36" name="Column36" dataDxfId="598"/>
    <tableColumn id="37" name="Column37" dataDxfId="599"/>
    <tableColumn id="38" name="Column38" dataDxfId="600"/>
    <tableColumn id="39" name="Column39" dataDxfId="601"/>
    <tableColumn id="40" name="Column40" dataDxfId="602"/>
    <tableColumn id="41" name="Column41" dataDxfId="603"/>
    <tableColumn id="42" name="Column42" dataDxfId="604"/>
    <tableColumn id="43" name="Column43" dataDxfId="605"/>
    <tableColumn id="44" name="Column44" dataDxfId="606"/>
    <tableColumn id="45" name="Column45" dataDxfId="607"/>
    <tableColumn id="46" name="Column46" dataDxfId="608"/>
    <tableColumn id="47" name="Column47" dataDxfId="609"/>
    <tableColumn id="48" name="Column48" dataDxfId="610"/>
    <tableColumn id="49" name="Column49" dataDxfId="611"/>
    <tableColumn id="50" name="Column50" dataDxfId="612"/>
    <tableColumn id="51" name="Column51" dataDxfId="613"/>
    <tableColumn id="52" name="Column52" dataDxfId="614"/>
    <tableColumn id="53" name="Column53" dataDxfId="615"/>
    <tableColumn id="54" name="Column54" dataDxfId="616"/>
    <tableColumn id="55" name="Column55" dataDxfId="617"/>
    <tableColumn id="56" name="Column56" dataDxfId="618"/>
    <tableColumn id="57" name="Column57" dataDxfId="619"/>
    <tableColumn id="58" name="Column58" dataDxfId="620"/>
    <tableColumn id="59" name="Column59" dataDxfId="621"/>
    <tableColumn id="60" name="Column60" dataDxfId="622"/>
    <tableColumn id="61" name="Column61" dataDxfId="623"/>
    <tableColumn id="62" name="Column62" dataDxfId="624"/>
    <tableColumn id="63" name="Column63" dataDxfId="625"/>
    <tableColumn id="64" name="Column64" dataDxfId="626"/>
    <tableColumn id="65" name="Column65" dataDxfId="627"/>
    <tableColumn id="66" name="Column66" dataDxfId="628"/>
    <tableColumn id="67" name="Column67" dataDxfId="629"/>
    <tableColumn id="68" name="Column68" dataDxfId="630"/>
    <tableColumn id="69" name="Column69" dataDxfId="631"/>
  </tableColumns>
  <tableStyleInfo name="Mar-2025-Roster-style" showFirstColumn="1" showLastColumn="1" showRowStripes="1" showColumnStripes="0"/>
</table>
</file>

<file path=xl/tables/table10.xml><?xml version="1.0" encoding="utf-8"?>
<table xmlns="http://schemas.openxmlformats.org/spreadsheetml/2006/main" id="10" name="Table_67" displayName="Table_67" ref="B41:BQ47" headerRowCount="0">
  <tableColumns count="68">
    <tableColumn id="1" name="Column1" dataDxfId="632"/>
    <tableColumn id="2" name="Column2" dataDxfId="633"/>
    <tableColumn id="3" name="Column3" dataDxfId="634"/>
    <tableColumn id="4" name="Column4" dataDxfId="635"/>
    <tableColumn id="5" name="Column5" dataDxfId="636"/>
    <tableColumn id="6" name="Column6" dataDxfId="637"/>
    <tableColumn id="7" name="Column7" dataDxfId="638"/>
    <tableColumn id="8" name="Column8" dataDxfId="639"/>
    <tableColumn id="9" name="Column9" dataDxfId="640"/>
    <tableColumn id="10" name="Column10" dataDxfId="641"/>
    <tableColumn id="11" name="Column11" dataDxfId="642"/>
    <tableColumn id="12" name="Column12" dataDxfId="643"/>
    <tableColumn id="13" name="Column13" dataDxfId="644"/>
    <tableColumn id="14" name="Column14" dataDxfId="645"/>
    <tableColumn id="15" name="Column15" dataDxfId="646"/>
    <tableColumn id="16" name="Column16" dataDxfId="647"/>
    <tableColumn id="17" name="Column17" dataDxfId="648"/>
    <tableColumn id="18" name="Column18" dataDxfId="649"/>
    <tableColumn id="19" name="Column19" dataDxfId="650"/>
    <tableColumn id="20" name="Column20" dataDxfId="651"/>
    <tableColumn id="21" name="Column21" dataDxfId="652"/>
    <tableColumn id="22" name="Column22" dataDxfId="653"/>
    <tableColumn id="23" name="Column23" dataDxfId="654"/>
    <tableColumn id="24" name="Column24" dataDxfId="655"/>
    <tableColumn id="25" name="Column25" dataDxfId="656"/>
    <tableColumn id="26" name="Column26" dataDxfId="657"/>
    <tableColumn id="27" name="Column27" dataDxfId="658"/>
    <tableColumn id="28" name="Column28" dataDxfId="659"/>
    <tableColumn id="29" name="Column29" dataDxfId="660"/>
    <tableColumn id="30" name="Column30" dataDxfId="661"/>
    <tableColumn id="31" name="Column31" dataDxfId="662"/>
    <tableColumn id="32" name="Column32" dataDxfId="663"/>
    <tableColumn id="33" name="Column33" dataDxfId="664"/>
    <tableColumn id="34" name="Column34" dataDxfId="665"/>
    <tableColumn id="35" name="Column35" dataDxfId="666"/>
    <tableColumn id="36" name="Column36" dataDxfId="667"/>
    <tableColumn id="37" name="Column37" dataDxfId="668"/>
    <tableColumn id="38" name="Column38" dataDxfId="669"/>
    <tableColumn id="39" name="Column39" dataDxfId="670"/>
    <tableColumn id="40" name="Column40" dataDxfId="671"/>
    <tableColumn id="41" name="Column41" dataDxfId="672"/>
    <tableColumn id="42" name="Column42" dataDxfId="673"/>
    <tableColumn id="43" name="Column43" dataDxfId="674"/>
    <tableColumn id="44" name="Column44" dataDxfId="675"/>
    <tableColumn id="45" name="Column45" dataDxfId="676"/>
    <tableColumn id="46" name="Column46" dataDxfId="677"/>
    <tableColumn id="47" name="Column47" dataDxfId="678"/>
    <tableColumn id="48" name="Column48" dataDxfId="679"/>
    <tableColumn id="49" name="Column49" dataDxfId="680"/>
    <tableColumn id="50" name="Column50" dataDxfId="681"/>
    <tableColumn id="51" name="Column51" dataDxfId="682"/>
    <tableColumn id="52" name="Column52" dataDxfId="683"/>
    <tableColumn id="53" name="Column53" dataDxfId="684"/>
    <tableColumn id="54" name="Column54" dataDxfId="685"/>
    <tableColumn id="55" name="Column55" dataDxfId="686"/>
    <tableColumn id="56" name="Column56" dataDxfId="687"/>
    <tableColumn id="57" name="Column57" dataDxfId="688"/>
    <tableColumn id="58" name="Column58" dataDxfId="689"/>
    <tableColumn id="59" name="Column59" dataDxfId="690"/>
    <tableColumn id="60" name="Column60" dataDxfId="691"/>
    <tableColumn id="61" name="Column61" dataDxfId="692"/>
    <tableColumn id="62" name="Column62" dataDxfId="693"/>
    <tableColumn id="63" name="Column63" dataDxfId="694"/>
    <tableColumn id="64" name="Column64" dataDxfId="695"/>
    <tableColumn id="65" name="Column65" dataDxfId="696"/>
    <tableColumn id="66" name="Column66" dataDxfId="697"/>
    <tableColumn id="67" name="Column67" dataDxfId="698"/>
    <tableColumn id="68" name="Column68" dataDxfId="699"/>
  </tableColumns>
  <tableStyleInfo name="Mar-2025-Roster-style 2" showFirstColumn="1" showLastColumn="1" showRowStripes="1" showColumnStripes="0"/>
</table>
</file>

<file path=xl/tables/table11.xml><?xml version="1.0" encoding="utf-8"?>
<table xmlns="http://schemas.openxmlformats.org/spreadsheetml/2006/main" id="11" name="Table_70" displayName="Table_70" ref="A5:BQ41" headerRowCount="0">
  <tableColumns count="69">
    <tableColumn id="1" name="Column1" dataDxfId="700"/>
    <tableColumn id="2" name="Column2" dataDxfId="701"/>
    <tableColumn id="3" name="Column3" dataDxfId="702"/>
    <tableColumn id="4" name="Column4" dataDxfId="703"/>
    <tableColumn id="5" name="Column5" dataDxfId="704"/>
    <tableColumn id="6" name="Column6" dataDxfId="705"/>
    <tableColumn id="7" name="Column7" dataDxfId="706"/>
    <tableColumn id="8" name="Column8" dataDxfId="707"/>
    <tableColumn id="9" name="Column9" dataDxfId="708"/>
    <tableColumn id="10" name="Column10" dataDxfId="709"/>
    <tableColumn id="11" name="Column11" dataDxfId="710"/>
    <tableColumn id="12" name="Column12" dataDxfId="711"/>
    <tableColumn id="13" name="Column13" dataDxfId="712"/>
    <tableColumn id="14" name="Column14" dataDxfId="713"/>
    <tableColumn id="15" name="Column15" dataDxfId="714"/>
    <tableColumn id="16" name="Column16" dataDxfId="715"/>
    <tableColumn id="17" name="Column17" dataDxfId="716"/>
    <tableColumn id="18" name="Column18" dataDxfId="717"/>
    <tableColumn id="19" name="Column19" dataDxfId="718"/>
    <tableColumn id="20" name="Column20" dataDxfId="719"/>
    <tableColumn id="21" name="Column21" dataDxfId="720"/>
    <tableColumn id="22" name="Column22" dataDxfId="721"/>
    <tableColumn id="23" name="Column23" dataDxfId="722"/>
    <tableColumn id="24" name="Column24" dataDxfId="723"/>
    <tableColumn id="25" name="Column25" dataDxfId="724"/>
    <tableColumn id="26" name="Column26" dataDxfId="725"/>
    <tableColumn id="27" name="Column27" dataDxfId="726"/>
    <tableColumn id="28" name="Column28" dataDxfId="727"/>
    <tableColumn id="29" name="Column29" dataDxfId="728"/>
    <tableColumn id="30" name="Column30" dataDxfId="729"/>
    <tableColumn id="31" name="Column31" dataDxfId="730"/>
    <tableColumn id="32" name="Column32" dataDxfId="731"/>
    <tableColumn id="33" name="Column33" dataDxfId="732"/>
    <tableColumn id="34" name="Column34" dataDxfId="733"/>
    <tableColumn id="35" name="Column35" dataDxfId="734"/>
    <tableColumn id="36" name="Column36" dataDxfId="735"/>
    <tableColumn id="37" name="Column37" dataDxfId="736"/>
    <tableColumn id="38" name="Column38" dataDxfId="737"/>
    <tableColumn id="39" name="Column39" dataDxfId="738"/>
    <tableColumn id="40" name="Column40" dataDxfId="739"/>
    <tableColumn id="41" name="Column41" dataDxfId="740"/>
    <tableColumn id="42" name="Column42" dataDxfId="741"/>
    <tableColumn id="43" name="Column43" dataDxfId="742"/>
    <tableColumn id="44" name="Column44" dataDxfId="743"/>
    <tableColumn id="45" name="Column45" dataDxfId="744"/>
    <tableColumn id="46" name="Column46" dataDxfId="745"/>
    <tableColumn id="47" name="Column47" dataDxfId="746"/>
    <tableColumn id="48" name="Column48" dataDxfId="747"/>
    <tableColumn id="49" name="Column49" dataDxfId="748"/>
    <tableColumn id="50" name="Column50" dataDxfId="749"/>
    <tableColumn id="51" name="Column51" dataDxfId="750"/>
    <tableColumn id="52" name="Column52" dataDxfId="751"/>
    <tableColumn id="53" name="Column53" dataDxfId="752"/>
    <tableColumn id="54" name="Column54" dataDxfId="753"/>
    <tableColumn id="55" name="Column55" dataDxfId="754"/>
    <tableColumn id="56" name="Column56" dataDxfId="755"/>
    <tableColumn id="57" name="Column57" dataDxfId="756"/>
    <tableColumn id="58" name="Column58" dataDxfId="757"/>
    <tableColumn id="59" name="Column59" dataDxfId="758"/>
    <tableColumn id="60" name="Column60" dataDxfId="759"/>
    <tableColumn id="61" name="Column61" dataDxfId="760"/>
    <tableColumn id="62" name="Column62" dataDxfId="761"/>
    <tableColumn id="63" name="Column63" dataDxfId="762"/>
    <tableColumn id="64" name="Column64" dataDxfId="763"/>
    <tableColumn id="65" name="Column65" dataDxfId="764"/>
    <tableColumn id="66" name="Column66" dataDxfId="765"/>
    <tableColumn id="67" name="Column67" dataDxfId="766"/>
    <tableColumn id="68" name="Column68" dataDxfId="767"/>
    <tableColumn id="69" name="Column69" dataDxfId="768"/>
  </tableColumns>
  <tableStyleInfo name="Apr-2025-Roster-style" showFirstColumn="1" showLastColumn="1" showRowStripes="1" showColumnStripes="0"/>
</table>
</file>

<file path=xl/tables/table12.xml><?xml version="1.0" encoding="utf-8"?>
<table xmlns="http://schemas.openxmlformats.org/spreadsheetml/2006/main" id="12" name="Table_71" displayName="Table_71" ref="B42:BQ48" headerRowCount="0">
  <tableColumns count="68">
    <tableColumn id="1" name="Column1" dataDxfId="769"/>
    <tableColumn id="2" name="Column2" dataDxfId="770"/>
    <tableColumn id="3" name="Column3" dataDxfId="771"/>
    <tableColumn id="4" name="Column4" dataDxfId="772"/>
    <tableColumn id="5" name="Column5" dataDxfId="773"/>
    <tableColumn id="6" name="Column6" dataDxfId="774"/>
    <tableColumn id="7" name="Column7" dataDxfId="775"/>
    <tableColumn id="8" name="Column8" dataDxfId="776"/>
    <tableColumn id="9" name="Column9" dataDxfId="777"/>
    <tableColumn id="10" name="Column10" dataDxfId="778"/>
    <tableColumn id="11" name="Column11" dataDxfId="779"/>
    <tableColumn id="12" name="Column12" dataDxfId="780"/>
    <tableColumn id="13" name="Column13" dataDxfId="781"/>
    <tableColumn id="14" name="Column14" dataDxfId="782"/>
    <tableColumn id="15" name="Column15" dataDxfId="783"/>
    <tableColumn id="16" name="Column16" dataDxfId="784"/>
    <tableColumn id="17" name="Column17" dataDxfId="785"/>
    <tableColumn id="18" name="Column18" dataDxfId="786"/>
    <tableColumn id="19" name="Column19" dataDxfId="787"/>
    <tableColumn id="20" name="Column20" dataDxfId="788"/>
    <tableColumn id="21" name="Column21" dataDxfId="789"/>
    <tableColumn id="22" name="Column22" dataDxfId="790"/>
    <tableColumn id="23" name="Column23" dataDxfId="791"/>
    <tableColumn id="24" name="Column24" dataDxfId="792"/>
    <tableColumn id="25" name="Column25" dataDxfId="793"/>
    <tableColumn id="26" name="Column26" dataDxfId="794"/>
    <tableColumn id="27" name="Column27" dataDxfId="795"/>
    <tableColumn id="28" name="Column28" dataDxfId="796"/>
    <tableColumn id="29" name="Column29" dataDxfId="797"/>
    <tableColumn id="30" name="Column30" dataDxfId="798"/>
    <tableColumn id="31" name="Column31" dataDxfId="799"/>
    <tableColumn id="32" name="Column32" dataDxfId="800"/>
    <tableColumn id="33" name="Column33" dataDxfId="801"/>
    <tableColumn id="34" name="Column34" dataDxfId="802"/>
    <tableColumn id="35" name="Column35" dataDxfId="803"/>
    <tableColumn id="36" name="Column36" dataDxfId="804"/>
    <tableColumn id="37" name="Column37" dataDxfId="805"/>
    <tableColumn id="38" name="Column38" dataDxfId="806"/>
    <tableColumn id="39" name="Column39" dataDxfId="807"/>
    <tableColumn id="40" name="Column40" dataDxfId="808"/>
    <tableColumn id="41" name="Column41" dataDxfId="809"/>
    <tableColumn id="42" name="Column42" dataDxfId="810"/>
    <tableColumn id="43" name="Column43" dataDxfId="811"/>
    <tableColumn id="44" name="Column44" dataDxfId="812"/>
    <tableColumn id="45" name="Column45" dataDxfId="813"/>
    <tableColumn id="46" name="Column46" dataDxfId="814"/>
    <tableColumn id="47" name="Column47" dataDxfId="815"/>
    <tableColumn id="48" name="Column48" dataDxfId="816"/>
    <tableColumn id="49" name="Column49" dataDxfId="817"/>
    <tableColumn id="50" name="Column50" dataDxfId="818"/>
    <tableColumn id="51" name="Column51" dataDxfId="819"/>
    <tableColumn id="52" name="Column52" dataDxfId="820"/>
    <tableColumn id="53" name="Column53" dataDxfId="821"/>
    <tableColumn id="54" name="Column54" dataDxfId="822"/>
    <tableColumn id="55" name="Column55" dataDxfId="823"/>
    <tableColumn id="56" name="Column56" dataDxfId="824"/>
    <tableColumn id="57" name="Column57" dataDxfId="825"/>
    <tableColumn id="58" name="Column58" dataDxfId="826"/>
    <tableColumn id="59" name="Column59" dataDxfId="827"/>
    <tableColumn id="60" name="Column60" dataDxfId="828"/>
    <tableColumn id="61" name="Column61" dataDxfId="829"/>
    <tableColumn id="62" name="Column62" dataDxfId="830"/>
    <tableColumn id="63" name="Column63" dataDxfId="831"/>
    <tableColumn id="64" name="Column64" dataDxfId="832"/>
    <tableColumn id="65" name="Column65" dataDxfId="833"/>
    <tableColumn id="66" name="Column66" dataDxfId="834"/>
    <tableColumn id="67" name="Column67" dataDxfId="835"/>
    <tableColumn id="68" name="Column68" dataDxfId="836"/>
  </tableColumns>
  <tableStyleInfo name="Apr-2025-Roster-style 2" showFirstColumn="1" showLastColumn="1" showRowStripes="1" showColumnStripes="0"/>
</table>
</file>

<file path=xl/tables/table13.xml><?xml version="1.0" encoding="utf-8"?>
<table xmlns="http://schemas.openxmlformats.org/spreadsheetml/2006/main" id="13" name="Table_72" displayName="Table_72" ref="A5:BQ41" headerRowCount="0">
  <tableColumns count="69">
    <tableColumn id="1" name="Column1" dataDxfId="838"/>
    <tableColumn id="2" name="Column2" dataDxfId="839"/>
    <tableColumn id="3" name="Column3" dataDxfId="840"/>
    <tableColumn id="4" name="Column4" dataDxfId="841"/>
    <tableColumn id="5" name="Column5" dataDxfId="842"/>
    <tableColumn id="6" name="Column6" dataDxfId="843"/>
    <tableColumn id="7" name="Column7" dataDxfId="844"/>
    <tableColumn id="8" name="Column8" dataDxfId="845"/>
    <tableColumn id="9" name="Column9" dataDxfId="846"/>
    <tableColumn id="10" name="Column10" dataDxfId="847"/>
    <tableColumn id="11" name="Column11" dataDxfId="848"/>
    <tableColumn id="12" name="Column12" dataDxfId="849"/>
    <tableColumn id="13" name="Column13" dataDxfId="850"/>
    <tableColumn id="14" name="Column14" dataDxfId="851"/>
    <tableColumn id="15" name="Column15" dataDxfId="852"/>
    <tableColumn id="16" name="Column16" dataDxfId="853"/>
    <tableColumn id="17" name="Column17" dataDxfId="854"/>
    <tableColumn id="18" name="Column18" dataDxfId="855"/>
    <tableColumn id="19" name="Column19" dataDxfId="856"/>
    <tableColumn id="20" name="Column20" dataDxfId="857"/>
    <tableColumn id="21" name="Column21" dataDxfId="858"/>
    <tableColumn id="22" name="Column22" dataDxfId="859"/>
    <tableColumn id="23" name="Column23" dataDxfId="860"/>
    <tableColumn id="24" name="Column24" dataDxfId="861"/>
    <tableColumn id="25" name="Column25" dataDxfId="862"/>
    <tableColumn id="26" name="Column26" dataDxfId="863"/>
    <tableColumn id="27" name="Column27" dataDxfId="864"/>
    <tableColumn id="28" name="Column28" dataDxfId="865"/>
    <tableColumn id="29" name="Column29" dataDxfId="866"/>
    <tableColumn id="30" name="Column30" dataDxfId="867"/>
    <tableColumn id="31" name="Column31" dataDxfId="868"/>
    <tableColumn id="32" name="Column32" dataDxfId="869"/>
    <tableColumn id="33" name="Column33" dataDxfId="870"/>
    <tableColumn id="34" name="Column34" dataDxfId="871"/>
    <tableColumn id="35" name="Column35" dataDxfId="872"/>
    <tableColumn id="36" name="Column36" dataDxfId="873"/>
    <tableColumn id="37" name="Column37" dataDxfId="874"/>
    <tableColumn id="38" name="Column38" dataDxfId="875"/>
    <tableColumn id="39" name="Column39" dataDxfId="876"/>
    <tableColumn id="40" name="Column40" dataDxfId="877"/>
    <tableColumn id="41" name="Column41" dataDxfId="878"/>
    <tableColumn id="42" name="Column42" dataDxfId="879"/>
    <tableColumn id="43" name="Column43" dataDxfId="880"/>
    <tableColumn id="44" name="Column44" dataDxfId="881"/>
    <tableColumn id="45" name="Column45" dataDxfId="882"/>
    <tableColumn id="46" name="Column46" dataDxfId="883"/>
    <tableColumn id="47" name="Column47" dataDxfId="884"/>
    <tableColumn id="48" name="Column48" dataDxfId="885"/>
    <tableColumn id="49" name="Column49" dataDxfId="886"/>
    <tableColumn id="50" name="Column50" dataDxfId="887"/>
    <tableColumn id="51" name="Column51" dataDxfId="888"/>
    <tableColumn id="52" name="Column52" dataDxfId="889"/>
    <tableColumn id="53" name="Column53" dataDxfId="890"/>
    <tableColumn id="54" name="Column54" dataDxfId="891"/>
    <tableColumn id="55" name="Column55" dataDxfId="892"/>
    <tableColumn id="56" name="Column56" dataDxfId="893"/>
    <tableColumn id="57" name="Column57" dataDxfId="894"/>
    <tableColumn id="58" name="Column58" dataDxfId="895"/>
    <tableColumn id="59" name="Column59" dataDxfId="896"/>
    <tableColumn id="60" name="Column60" dataDxfId="897"/>
    <tableColumn id="61" name="Column61" dataDxfId="898"/>
    <tableColumn id="62" name="Column62" dataDxfId="899"/>
    <tableColumn id="63" name="Column63" dataDxfId="900"/>
    <tableColumn id="64" name="Column64" dataDxfId="901"/>
    <tableColumn id="65" name="Column65" dataDxfId="902"/>
    <tableColumn id="66" name="Column66" dataDxfId="903"/>
    <tableColumn id="67" name="Column67" dataDxfId="904"/>
    <tableColumn id="68" name="Column68" dataDxfId="905"/>
    <tableColumn id="69" name="Column69" dataDxfId="906"/>
  </tableColumns>
  <tableStyleInfo name="May-2025-Roster-style" showFirstColumn="1" showLastColumn="1" showRowStripes="1" showColumnStripes="0"/>
</table>
</file>

<file path=xl/tables/table14.xml><?xml version="1.0" encoding="utf-8"?>
<table xmlns="http://schemas.openxmlformats.org/spreadsheetml/2006/main" id="14" name="Table_73" displayName="Table_73" ref="B42:BQ48" headerRowCount="0">
  <tableColumns count="68">
    <tableColumn id="1" name="Column1" dataDxfId="907"/>
    <tableColumn id="2" name="Column2" dataDxfId="908"/>
    <tableColumn id="3" name="Column3" dataDxfId="909"/>
    <tableColumn id="4" name="Column4" dataDxfId="910"/>
    <tableColumn id="5" name="Column5" dataDxfId="911"/>
    <tableColumn id="6" name="Column6" dataDxfId="912"/>
    <tableColumn id="7" name="Column7" dataDxfId="913"/>
    <tableColumn id="8" name="Column8" dataDxfId="914"/>
    <tableColumn id="9" name="Column9" dataDxfId="915"/>
    <tableColumn id="10" name="Column10" dataDxfId="916"/>
    <tableColumn id="11" name="Column11" dataDxfId="917"/>
    <tableColumn id="12" name="Column12" dataDxfId="918"/>
    <tableColumn id="13" name="Column13" dataDxfId="919"/>
    <tableColumn id="14" name="Column14" dataDxfId="920"/>
    <tableColumn id="15" name="Column15" dataDxfId="921"/>
    <tableColumn id="16" name="Column16" dataDxfId="922"/>
    <tableColumn id="17" name="Column17" dataDxfId="923"/>
    <tableColumn id="18" name="Column18" dataDxfId="924"/>
    <tableColumn id="19" name="Column19" dataDxfId="925"/>
    <tableColumn id="20" name="Column20" dataDxfId="926"/>
    <tableColumn id="21" name="Column21" dataDxfId="927"/>
    <tableColumn id="22" name="Column22" dataDxfId="928"/>
    <tableColumn id="23" name="Column23" dataDxfId="929"/>
    <tableColumn id="24" name="Column24" dataDxfId="930"/>
    <tableColumn id="25" name="Column25" dataDxfId="931"/>
    <tableColumn id="26" name="Column26" dataDxfId="932"/>
    <tableColumn id="27" name="Column27" dataDxfId="933"/>
    <tableColumn id="28" name="Column28" dataDxfId="934"/>
    <tableColumn id="29" name="Column29" dataDxfId="935"/>
    <tableColumn id="30" name="Column30" dataDxfId="936"/>
    <tableColumn id="31" name="Column31" dataDxfId="937"/>
    <tableColumn id="32" name="Column32" dataDxfId="938"/>
    <tableColumn id="33" name="Column33" dataDxfId="939"/>
    <tableColumn id="34" name="Column34" dataDxfId="940"/>
    <tableColumn id="35" name="Column35" dataDxfId="941"/>
    <tableColumn id="36" name="Column36" dataDxfId="942"/>
    <tableColumn id="37" name="Column37" dataDxfId="943"/>
    <tableColumn id="38" name="Column38" dataDxfId="944"/>
    <tableColumn id="39" name="Column39" dataDxfId="945"/>
    <tableColumn id="40" name="Column40" dataDxfId="946"/>
    <tableColumn id="41" name="Column41" dataDxfId="947"/>
    <tableColumn id="42" name="Column42" dataDxfId="948"/>
    <tableColumn id="43" name="Column43" dataDxfId="949"/>
    <tableColumn id="44" name="Column44" dataDxfId="950"/>
    <tableColumn id="45" name="Column45" dataDxfId="951"/>
    <tableColumn id="46" name="Column46" dataDxfId="952"/>
    <tableColumn id="47" name="Column47" dataDxfId="953"/>
    <tableColumn id="48" name="Column48" dataDxfId="954"/>
    <tableColumn id="49" name="Column49" dataDxfId="955"/>
    <tableColumn id="50" name="Column50" dataDxfId="956"/>
    <tableColumn id="51" name="Column51" dataDxfId="957"/>
    <tableColumn id="52" name="Column52" dataDxfId="958"/>
    <tableColumn id="53" name="Column53" dataDxfId="959"/>
    <tableColumn id="54" name="Column54" dataDxfId="960"/>
    <tableColumn id="55" name="Column55" dataDxfId="961"/>
    <tableColumn id="56" name="Column56" dataDxfId="962"/>
    <tableColumn id="57" name="Column57" dataDxfId="963"/>
    <tableColumn id="58" name="Column58" dataDxfId="964"/>
    <tableColumn id="59" name="Column59" dataDxfId="965"/>
    <tableColumn id="60" name="Column60" dataDxfId="966"/>
    <tableColumn id="61" name="Column61" dataDxfId="967"/>
    <tableColumn id="62" name="Column62" dataDxfId="968"/>
    <tableColumn id="63" name="Column63" dataDxfId="969"/>
    <tableColumn id="64" name="Column64" dataDxfId="970"/>
    <tableColumn id="65" name="Column65" dataDxfId="971"/>
    <tableColumn id="66" name="Column66" dataDxfId="972"/>
    <tableColumn id="67" name="Column67" dataDxfId="973"/>
    <tableColumn id="68" name="Column68" dataDxfId="974"/>
  </tableColumns>
  <tableStyleInfo name="May-2025-Roster-style 2" showFirstColumn="1" showLastColumn="1" showRowStripes="1" showColumnStripes="0"/>
</table>
</file>

<file path=xl/tables/table15.xml><?xml version="1.0" encoding="utf-8"?>
<table xmlns="http://schemas.openxmlformats.org/spreadsheetml/2006/main" id="15" name="Table_74" displayName="Table_74" ref="A5:BQ37" headerRowCount="0">
  <tableColumns count="69">
    <tableColumn id="1" name="Column1" dataDxfId="975"/>
    <tableColumn id="2" name="Column2" dataDxfId="976"/>
    <tableColumn id="3" name="Column3" dataDxfId="977"/>
    <tableColumn id="4" name="Column4" dataDxfId="978"/>
    <tableColumn id="5" name="Column5" dataDxfId="979"/>
    <tableColumn id="6" name="Column6" dataDxfId="980"/>
    <tableColumn id="7" name="Column7" dataDxfId="981"/>
    <tableColumn id="8" name="Column8" dataDxfId="982"/>
    <tableColumn id="9" name="Column9" dataDxfId="983"/>
    <tableColumn id="10" name="Column10" dataDxfId="984"/>
    <tableColumn id="11" name="Column11" dataDxfId="985"/>
    <tableColumn id="12" name="Column12" dataDxfId="986"/>
    <tableColumn id="13" name="Column13" dataDxfId="987"/>
    <tableColumn id="14" name="Column14" dataDxfId="988"/>
    <tableColumn id="15" name="Column15" dataDxfId="989"/>
    <tableColumn id="16" name="Column16" dataDxfId="990"/>
    <tableColumn id="17" name="Column17" dataDxfId="991"/>
    <tableColumn id="18" name="Column18" dataDxfId="992"/>
    <tableColumn id="19" name="Column19" dataDxfId="993"/>
    <tableColumn id="20" name="Column20" dataDxfId="994"/>
    <tableColumn id="21" name="Column21" dataDxfId="995"/>
    <tableColumn id="22" name="Column22" dataDxfId="996"/>
    <tableColumn id="23" name="Column23" dataDxfId="997"/>
    <tableColumn id="24" name="Column24" dataDxfId="998"/>
    <tableColumn id="25" name="Column25" dataDxfId="999"/>
    <tableColumn id="26" name="Column26" dataDxfId="1000"/>
    <tableColumn id="27" name="Column27" dataDxfId="1001"/>
    <tableColumn id="28" name="Column28" dataDxfId="1002"/>
    <tableColumn id="29" name="Column29" dataDxfId="1003"/>
    <tableColumn id="30" name="Column30" dataDxfId="1004"/>
    <tableColumn id="31" name="Column31" dataDxfId="1005"/>
    <tableColumn id="32" name="Column32" dataDxfId="1006"/>
    <tableColumn id="33" name="Column33" dataDxfId="1007"/>
    <tableColumn id="34" name="Column34" dataDxfId="1008"/>
    <tableColumn id="35" name="Column35" dataDxfId="1009"/>
    <tableColumn id="36" name="Column36" dataDxfId="1010"/>
    <tableColumn id="37" name="Column37" dataDxfId="1011"/>
    <tableColumn id="38" name="Column38" dataDxfId="1012"/>
    <tableColumn id="39" name="Column39" dataDxfId="1013"/>
    <tableColumn id="40" name="Column40" dataDxfId="1014"/>
    <tableColumn id="41" name="Column41" dataDxfId="1015"/>
    <tableColumn id="42" name="Column42" dataDxfId="1016"/>
    <tableColumn id="43" name="Column43" dataDxfId="1017"/>
    <tableColumn id="44" name="Column44" dataDxfId="1018"/>
    <tableColumn id="45" name="Column45" dataDxfId="1019"/>
    <tableColumn id="46" name="Column46" dataDxfId="1020"/>
    <tableColumn id="47" name="Column47" dataDxfId="1021"/>
    <tableColumn id="48" name="Column48" dataDxfId="1022"/>
    <tableColumn id="49" name="Column49" dataDxfId="1023"/>
    <tableColumn id="50" name="Column50" dataDxfId="1024"/>
    <tableColumn id="51" name="Column51" dataDxfId="1025"/>
    <tableColumn id="52" name="Column52" dataDxfId="1026"/>
    <tableColumn id="53" name="Column53" dataDxfId="1027"/>
    <tableColumn id="54" name="Column54" dataDxfId="1028"/>
    <tableColumn id="55" name="Column55" dataDxfId="1029"/>
    <tableColumn id="56" name="Column56" dataDxfId="1030"/>
    <tableColumn id="57" name="Column57" dataDxfId="1031"/>
    <tableColumn id="58" name="Column58" dataDxfId="1032"/>
    <tableColumn id="59" name="Column59" dataDxfId="1033"/>
    <tableColumn id="60" name="Column60" dataDxfId="1034"/>
    <tableColumn id="61" name="Column61" dataDxfId="1035"/>
    <tableColumn id="62" name="Column62" dataDxfId="1036"/>
    <tableColumn id="63" name="Column63" dataDxfId="1037"/>
    <tableColumn id="64" name="Column64" dataDxfId="1038"/>
    <tableColumn id="65" name="Column65" dataDxfId="1039"/>
    <tableColumn id="66" name="Column66" dataDxfId="1040"/>
    <tableColumn id="67" name="Column67" dataDxfId="1041"/>
    <tableColumn id="68" name="Column68" dataDxfId="1042"/>
    <tableColumn id="69" name="Column69" dataDxfId="1043"/>
  </tableColumns>
  <tableStyleInfo name="Jun-2025-Roster-style" showFirstColumn="1" showLastColumn="1" showRowStripes="1" showColumnStripes="0"/>
</table>
</file>

<file path=xl/tables/table16.xml><?xml version="1.0" encoding="utf-8"?>
<table xmlns="http://schemas.openxmlformats.org/spreadsheetml/2006/main" id="16" name="Table_75" displayName="Table_75" ref="B38:BQ44" headerRowCount="0">
  <tableColumns count="68">
    <tableColumn id="1" name="Column1" dataDxfId="1044"/>
    <tableColumn id="2" name="Column2" dataDxfId="1045"/>
    <tableColumn id="3" name="Column3" dataDxfId="1046"/>
    <tableColumn id="4" name="Column4" dataDxfId="1047"/>
    <tableColumn id="5" name="Column5" dataDxfId="1048"/>
    <tableColumn id="6" name="Column6" dataDxfId="1049"/>
    <tableColumn id="7" name="Column7" dataDxfId="1050"/>
    <tableColumn id="8" name="Column8" dataDxfId="1051"/>
    <tableColumn id="9" name="Column9" dataDxfId="1052"/>
    <tableColumn id="10" name="Column10" dataDxfId="1053"/>
    <tableColumn id="11" name="Column11" dataDxfId="1054"/>
    <tableColumn id="12" name="Column12" dataDxfId="1055"/>
    <tableColumn id="13" name="Column13" dataDxfId="1056"/>
    <tableColumn id="14" name="Column14" dataDxfId="1057"/>
    <tableColumn id="15" name="Column15" dataDxfId="1058"/>
    <tableColumn id="16" name="Column16" dataDxfId="1059"/>
    <tableColumn id="17" name="Column17" dataDxfId="1060"/>
    <tableColumn id="18" name="Column18" dataDxfId="1061"/>
    <tableColumn id="19" name="Column19" dataDxfId="1062"/>
    <tableColumn id="20" name="Column20" dataDxfId="1063"/>
    <tableColumn id="21" name="Column21" dataDxfId="1064"/>
    <tableColumn id="22" name="Column22" dataDxfId="1065"/>
    <tableColumn id="23" name="Column23" dataDxfId="1066"/>
    <tableColumn id="24" name="Column24" dataDxfId="1067"/>
    <tableColumn id="25" name="Column25" dataDxfId="1068"/>
    <tableColumn id="26" name="Column26" dataDxfId="1069"/>
    <tableColumn id="27" name="Column27" dataDxfId="1070"/>
    <tableColumn id="28" name="Column28" dataDxfId="1071"/>
    <tableColumn id="29" name="Column29" dataDxfId="1072"/>
    <tableColumn id="30" name="Column30" dataDxfId="1073"/>
    <tableColumn id="31" name="Column31" dataDxfId="1074"/>
    <tableColumn id="32" name="Column32" dataDxfId="1075"/>
    <tableColumn id="33" name="Column33" dataDxfId="1076"/>
    <tableColumn id="34" name="Column34" dataDxfId="1077"/>
    <tableColumn id="35" name="Column35" dataDxfId="1078"/>
    <tableColumn id="36" name="Column36" dataDxfId="1079"/>
    <tableColumn id="37" name="Column37" dataDxfId="1080"/>
    <tableColumn id="38" name="Column38" dataDxfId="1081"/>
    <tableColumn id="39" name="Column39" dataDxfId="1082"/>
    <tableColumn id="40" name="Column40" dataDxfId="1083"/>
    <tableColumn id="41" name="Column41" dataDxfId="1084"/>
    <tableColumn id="42" name="Column42" dataDxfId="1085"/>
    <tableColumn id="43" name="Column43" dataDxfId="1086"/>
    <tableColumn id="44" name="Column44" dataDxfId="1087"/>
    <tableColumn id="45" name="Column45" dataDxfId="1088"/>
    <tableColumn id="46" name="Column46" dataDxfId="1089"/>
    <tableColumn id="47" name="Column47" dataDxfId="1090"/>
    <tableColumn id="48" name="Column48" dataDxfId="1091"/>
    <tableColumn id="49" name="Column49" dataDxfId="1092"/>
    <tableColumn id="50" name="Column50" dataDxfId="1093"/>
    <tableColumn id="51" name="Column51" dataDxfId="1094"/>
    <tableColumn id="52" name="Column52" dataDxfId="1095"/>
    <tableColumn id="53" name="Column53" dataDxfId="1096"/>
    <tableColumn id="54" name="Column54" dataDxfId="1097"/>
    <tableColumn id="55" name="Column55" dataDxfId="1098"/>
    <tableColumn id="56" name="Column56" dataDxfId="1099"/>
    <tableColumn id="57" name="Column57" dataDxfId="1100"/>
    <tableColumn id="58" name="Column58" dataDxfId="1101"/>
    <tableColumn id="59" name="Column59" dataDxfId="1102"/>
    <tableColumn id="60" name="Column60" dataDxfId="1103"/>
    <tableColumn id="61" name="Column61" dataDxfId="1104"/>
    <tableColumn id="62" name="Column62" dataDxfId="1105"/>
    <tableColumn id="63" name="Column63" dataDxfId="1106"/>
    <tableColumn id="64" name="Column64" dataDxfId="1107"/>
    <tableColumn id="65" name="Column65" dataDxfId="1108"/>
    <tableColumn id="66" name="Column66" dataDxfId="1109"/>
    <tableColumn id="67" name="Column67" dataDxfId="1110"/>
    <tableColumn id="68" name="Column68" dataDxfId="1111"/>
  </tableColumns>
  <tableStyleInfo name="Jun-2025-Roster-style 2" showFirstColumn="1" showLastColumn="1" showRowStripes="1" showColumnStripes="0"/>
</table>
</file>

<file path=xl/tables/table17.xml><?xml version="1.0" encoding="utf-8"?>
<table xmlns="http://schemas.openxmlformats.org/spreadsheetml/2006/main" id="17" name="Table_80" displayName="Table_80" ref="A5:BQ42" headerRowCount="0">
  <tableColumns count="69">
    <tableColumn id="1" name="Column1" dataDxfId="1112"/>
    <tableColumn id="2" name="Column2" dataDxfId="1113"/>
    <tableColumn id="3" name="Column3" dataDxfId="1114"/>
    <tableColumn id="4" name="Column4" dataDxfId="1115"/>
    <tableColumn id="5" name="Column5" dataDxfId="1116"/>
    <tableColumn id="6" name="Column6" dataDxfId="1117"/>
    <tableColumn id="7" name="Column7" dataDxfId="1118"/>
    <tableColumn id="8" name="Column8" dataDxfId="1119"/>
    <tableColumn id="9" name="Column9" dataDxfId="1120"/>
    <tableColumn id="10" name="Column10" dataDxfId="1121"/>
    <tableColumn id="11" name="Column11" dataDxfId="1122"/>
    <tableColumn id="12" name="Column12" dataDxfId="1123"/>
    <tableColumn id="13" name="Column13" dataDxfId="1124"/>
    <tableColumn id="14" name="Column14" dataDxfId="1125"/>
    <tableColumn id="15" name="Column15" dataDxfId="1126"/>
    <tableColumn id="16" name="Column16" dataDxfId="1127"/>
    <tableColumn id="17" name="Column17" dataDxfId="1128"/>
    <tableColumn id="18" name="Column18" dataDxfId="1129"/>
    <tableColumn id="19" name="Column19" dataDxfId="1130"/>
    <tableColumn id="20" name="Column20" dataDxfId="1131"/>
    <tableColumn id="21" name="Column21" dataDxfId="1132"/>
    <tableColumn id="22" name="Column22" dataDxfId="1133"/>
    <tableColumn id="23" name="Column23" dataDxfId="1134"/>
    <tableColumn id="24" name="Column24" dataDxfId="1135"/>
    <tableColumn id="25" name="Column25" dataDxfId="1136"/>
    <tableColumn id="26" name="Column26" dataDxfId="1137"/>
    <tableColumn id="27" name="Column27" dataDxfId="1138"/>
    <tableColumn id="28" name="Column28" dataDxfId="1139"/>
    <tableColumn id="29" name="Column29" dataDxfId="1140"/>
    <tableColumn id="30" name="Column30" dataDxfId="1141"/>
    <tableColumn id="31" name="Column31" dataDxfId="1142"/>
    <tableColumn id="32" name="Column32" dataDxfId="1143"/>
    <tableColumn id="33" name="Column33" dataDxfId="1144"/>
    <tableColumn id="34" name="Column34" dataDxfId="1145"/>
    <tableColumn id="35" name="Column35" dataDxfId="1146"/>
    <tableColumn id="36" name="Column36" dataDxfId="1147"/>
    <tableColumn id="37" name="Column37" dataDxfId="1148"/>
    <tableColumn id="38" name="Column38" dataDxfId="1149"/>
    <tableColumn id="39" name="Column39" dataDxfId="1150"/>
    <tableColumn id="40" name="Column40" dataDxfId="1151"/>
    <tableColumn id="41" name="Column41" dataDxfId="1152"/>
    <tableColumn id="42" name="Column42" dataDxfId="1153"/>
    <tableColumn id="43" name="Column43" dataDxfId="1154"/>
    <tableColumn id="44" name="Column44" dataDxfId="1155"/>
    <tableColumn id="45" name="Column45" dataDxfId="1156"/>
    <tableColumn id="46" name="Column46" dataDxfId="1157"/>
    <tableColumn id="47" name="Column47" dataDxfId="1158"/>
    <tableColumn id="48" name="Column48" dataDxfId="1159"/>
    <tableColumn id="49" name="Column49" dataDxfId="1160"/>
    <tableColumn id="50" name="Column50" dataDxfId="1161"/>
    <tableColumn id="51" name="Column51" dataDxfId="1162"/>
    <tableColumn id="52" name="Column52" dataDxfId="1163"/>
    <tableColumn id="53" name="Column53" dataDxfId="1164"/>
    <tableColumn id="54" name="Column54" dataDxfId="1165"/>
    <tableColumn id="55" name="Column55" dataDxfId="1166"/>
    <tableColumn id="56" name="Column56" dataDxfId="1167"/>
    <tableColumn id="57" name="Column57" dataDxfId="1168"/>
    <tableColumn id="58" name="Column58" dataDxfId="1169"/>
    <tableColumn id="59" name="Column59" dataDxfId="1170"/>
    <tableColumn id="60" name="Column60" dataDxfId="1171"/>
    <tableColumn id="61" name="Column61" dataDxfId="1172"/>
    <tableColumn id="62" name="Column62" dataDxfId="1173"/>
    <tableColumn id="63" name="Column63" dataDxfId="1174"/>
    <tableColumn id="64" name="Column64" dataDxfId="1175"/>
    <tableColumn id="65" name="Column65" dataDxfId="1176"/>
    <tableColumn id="66" name="Column66" dataDxfId="1177"/>
    <tableColumn id="67" name="Column67" dataDxfId="1178"/>
    <tableColumn id="68" name="Column68" dataDxfId="1179"/>
    <tableColumn id="69" name="Column69" dataDxfId="1180"/>
  </tableColumns>
  <tableStyleInfo name="Jul-2025-Roster-style" showFirstColumn="1" showLastColumn="1" showRowStripes="1" showColumnStripes="0"/>
</table>
</file>

<file path=xl/tables/table18.xml><?xml version="1.0" encoding="utf-8"?>
<table xmlns="http://schemas.openxmlformats.org/spreadsheetml/2006/main" id="18" name="Table_81" displayName="Table_81" ref="B43:BQ49" headerRowCount="0">
  <tableColumns count="68">
    <tableColumn id="1" name="Column1" dataDxfId="1181"/>
    <tableColumn id="2" name="Column2" dataDxfId="1182"/>
    <tableColumn id="3" name="Column3" dataDxfId="1183"/>
    <tableColumn id="4" name="Column4" dataDxfId="1184"/>
    <tableColumn id="5" name="Column5" dataDxfId="1185"/>
    <tableColumn id="6" name="Column6" dataDxfId="1186"/>
    <tableColumn id="7" name="Column7" dataDxfId="1187"/>
    <tableColumn id="8" name="Column8" dataDxfId="1188"/>
    <tableColumn id="9" name="Column9" dataDxfId="1189"/>
    <tableColumn id="10" name="Column10" dataDxfId="1190"/>
    <tableColumn id="11" name="Column11" dataDxfId="1191"/>
    <tableColumn id="12" name="Column12" dataDxfId="1192"/>
    <tableColumn id="13" name="Column13" dataDxfId="1193"/>
    <tableColumn id="14" name="Column14" dataDxfId="1194"/>
    <tableColumn id="15" name="Column15" dataDxfId="1195"/>
    <tableColumn id="16" name="Column16" dataDxfId="1196"/>
    <tableColumn id="17" name="Column17" dataDxfId="1197"/>
    <tableColumn id="18" name="Column18" dataDxfId="1198"/>
    <tableColumn id="19" name="Column19" dataDxfId="1199"/>
    <tableColumn id="20" name="Column20" dataDxfId="1200"/>
    <tableColumn id="21" name="Column21" dataDxfId="1201"/>
    <tableColumn id="22" name="Column22" dataDxfId="1202"/>
    <tableColumn id="23" name="Column23" dataDxfId="1203"/>
    <tableColumn id="24" name="Column24" dataDxfId="1204"/>
    <tableColumn id="25" name="Column25" dataDxfId="1205"/>
    <tableColumn id="26" name="Column26" dataDxfId="1206"/>
    <tableColumn id="27" name="Column27" dataDxfId="1207"/>
    <tableColumn id="28" name="Column28" dataDxfId="1208"/>
    <tableColumn id="29" name="Column29" dataDxfId="1209"/>
    <tableColumn id="30" name="Column30" dataDxfId="1210"/>
    <tableColumn id="31" name="Column31" dataDxfId="1211"/>
    <tableColumn id="32" name="Column32" dataDxfId="1212"/>
    <tableColumn id="33" name="Column33" dataDxfId="1213"/>
    <tableColumn id="34" name="Column34" dataDxfId="1214"/>
    <tableColumn id="35" name="Column35" dataDxfId="1215"/>
    <tableColumn id="36" name="Column36" dataDxfId="1216"/>
    <tableColumn id="37" name="Column37" dataDxfId="1217"/>
    <tableColumn id="38" name="Column38" dataDxfId="1218"/>
    <tableColumn id="39" name="Column39" dataDxfId="1219"/>
    <tableColumn id="40" name="Column40" dataDxfId="1220"/>
    <tableColumn id="41" name="Column41" dataDxfId="1221"/>
    <tableColumn id="42" name="Column42" dataDxfId="1222"/>
    <tableColumn id="43" name="Column43" dataDxfId="1223"/>
    <tableColumn id="44" name="Column44" dataDxfId="1224"/>
    <tableColumn id="45" name="Column45" dataDxfId="1225"/>
    <tableColumn id="46" name="Column46" dataDxfId="1226"/>
    <tableColumn id="47" name="Column47" dataDxfId="1227"/>
    <tableColumn id="48" name="Column48" dataDxfId="1228"/>
    <tableColumn id="49" name="Column49" dataDxfId="1229"/>
    <tableColumn id="50" name="Column50" dataDxfId="1230"/>
    <tableColumn id="51" name="Column51" dataDxfId="1231"/>
    <tableColumn id="52" name="Column52" dataDxfId="1232"/>
    <tableColumn id="53" name="Column53" dataDxfId="1233"/>
    <tableColumn id="54" name="Column54" dataDxfId="1234"/>
    <tableColumn id="55" name="Column55" dataDxfId="1235"/>
    <tableColumn id="56" name="Column56" dataDxfId="1236"/>
    <tableColumn id="57" name="Column57" dataDxfId="1237"/>
    <tableColumn id="58" name="Column58" dataDxfId="1238"/>
    <tableColumn id="59" name="Column59" dataDxfId="1239"/>
    <tableColumn id="60" name="Column60" dataDxfId="1240"/>
    <tableColumn id="61" name="Column61" dataDxfId="1241"/>
    <tableColumn id="62" name="Column62" dataDxfId="1242"/>
    <tableColumn id="63" name="Column63" dataDxfId="1243"/>
    <tableColumn id="64" name="Column64" dataDxfId="1244"/>
    <tableColumn id="65" name="Column65" dataDxfId="1245"/>
    <tableColumn id="66" name="Column66" dataDxfId="1246"/>
    <tableColumn id="67" name="Column67" dataDxfId="1247"/>
    <tableColumn id="68" name="Column68" dataDxfId="1248"/>
  </tableColumns>
  <tableStyleInfo name="Jul-2025-Roster-style 2" showFirstColumn="1" showLastColumn="1" showRowStripes="1" showColumnStripes="0"/>
</table>
</file>

<file path=xl/tables/table19.xml><?xml version="1.0" encoding="utf-8"?>
<table xmlns="http://schemas.openxmlformats.org/spreadsheetml/2006/main" id="19" name="Table_82" displayName="Table_82" ref="A5:BR46" headerRowCount="0">
  <tableColumns count="70">
    <tableColumn id="1" name="Column1" dataDxfId="1249"/>
    <tableColumn id="2" name="Column2" dataDxfId="1250"/>
    <tableColumn id="3" name="Column3" dataDxfId="1251"/>
    <tableColumn id="4" name="Column4" dataDxfId="1252"/>
    <tableColumn id="5" name="Column5" dataDxfId="1253"/>
    <tableColumn id="6" name="Column6" dataDxfId="1254"/>
    <tableColumn id="7" name="Column7" dataDxfId="1255"/>
    <tableColumn id="8" name="Column8" dataDxfId="1256"/>
    <tableColumn id="9" name="Column9" dataDxfId="1257"/>
    <tableColumn id="10" name="Column10" dataDxfId="1258"/>
    <tableColumn id="11" name="Column11" dataDxfId="1259"/>
    <tableColumn id="12" name="Column12" dataDxfId="1260"/>
    <tableColumn id="13" name="Column13" dataDxfId="1261"/>
    <tableColumn id="14" name="Column14" dataDxfId="1262"/>
    <tableColumn id="15" name="Column15" dataDxfId="1263"/>
    <tableColumn id="16" name="Column16" dataDxfId="1264"/>
    <tableColumn id="17" name="Column17" dataDxfId="1265"/>
    <tableColumn id="18" name="Column18" dataDxfId="1266"/>
    <tableColumn id="19" name="Column19" dataDxfId="1267"/>
    <tableColumn id="20" name="Column20" dataDxfId="1268"/>
    <tableColumn id="21" name="Column21" dataDxfId="1269"/>
    <tableColumn id="22" name="Column22" dataDxfId="1270"/>
    <tableColumn id="23" name="Column23" dataDxfId="1271"/>
    <tableColumn id="24" name="Column24" dataDxfId="1272"/>
    <tableColumn id="25" name="Column25" dataDxfId="1273"/>
    <tableColumn id="26" name="Column26" dataDxfId="1274"/>
    <tableColumn id="27" name="Column27" dataDxfId="1275"/>
    <tableColumn id="28" name="Column28" dataDxfId="1276"/>
    <tableColumn id="29" name="Column29" dataDxfId="1277"/>
    <tableColumn id="30" name="Column30" dataDxfId="1278"/>
    <tableColumn id="31" name="Column31" dataDxfId="1279"/>
    <tableColumn id="32" name="Column32" dataDxfId="1280"/>
    <tableColumn id="33" name="Column33" dataDxfId="1281"/>
    <tableColumn id="34" name="Column34" dataDxfId="1282"/>
    <tableColumn id="35" name="Column35" dataDxfId="1283"/>
    <tableColumn id="36" name="Column36" dataDxfId="1284"/>
    <tableColumn id="37" name="Column37" dataDxfId="1285"/>
    <tableColumn id="38" name="Column38" dataDxfId="1286"/>
    <tableColumn id="39" name="Column39" dataDxfId="1287"/>
    <tableColumn id="40" name="Column40" dataDxfId="1288"/>
    <tableColumn id="41" name="Column41" dataDxfId="1289"/>
    <tableColumn id="42" name="Column42" dataDxfId="1290"/>
    <tableColumn id="43" name="Column43" dataDxfId="1291"/>
    <tableColumn id="44" name="Column44" dataDxfId="1292"/>
    <tableColumn id="45" name="Column45" dataDxfId="1293"/>
    <tableColumn id="46" name="Column46" dataDxfId="1294"/>
    <tableColumn id="47" name="Column47" dataDxfId="1295"/>
    <tableColumn id="48" name="Column48" dataDxfId="1296"/>
    <tableColumn id="49" name="Column49" dataDxfId="1297"/>
    <tableColumn id="50" name="Column50" dataDxfId="1298"/>
    <tableColumn id="51" name="Column51" dataDxfId="1299"/>
    <tableColumn id="52" name="Column52" dataDxfId="1300"/>
    <tableColumn id="53" name="Column53" dataDxfId="1301"/>
    <tableColumn id="54" name="Column54" dataDxfId="1302"/>
    <tableColumn id="55" name="Column55" dataDxfId="1303"/>
    <tableColumn id="56" name="Column56" dataDxfId="1304"/>
    <tableColumn id="57" name="Column57" dataDxfId="1305"/>
    <tableColumn id="58" name="Column58" dataDxfId="1306"/>
    <tableColumn id="59" name="Column59" dataDxfId="1307"/>
    <tableColumn id="60" name="Column60" dataDxfId="1308"/>
    <tableColumn id="61" name="Column61" dataDxfId="1309"/>
    <tableColumn id="62" name="Column62" dataDxfId="1310"/>
    <tableColumn id="63" name="Column63" dataDxfId="1311"/>
    <tableColumn id="64" name="Column64" dataDxfId="1312"/>
    <tableColumn id="65" name="Column65" dataDxfId="1313"/>
    <tableColumn id="66" name="Column66" dataDxfId="1314"/>
    <tableColumn id="67" name="Column67" dataDxfId="1315"/>
    <tableColumn id="68" name="Column68" dataDxfId="1316"/>
    <tableColumn id="69" name="Column69" dataDxfId="1317"/>
    <tableColumn id="70" name="Column70" dataDxfId="1318"/>
  </tableColumns>
  <tableStyleInfo name="Feb-2026-Roster-style" showFirstColumn="1" showLastColumn="1" showRowStripes="1" showColumnStripes="0"/>
</table>
</file>

<file path=xl/tables/table20.xml><?xml version="1.0" encoding="utf-8"?>
<table xmlns="http://schemas.openxmlformats.org/spreadsheetml/2006/main" id="20" name="Table_83" displayName="Table_83" ref="B47:BR54" headerRowCount="0">
  <tableColumns count="69">
    <tableColumn id="1" name="Column1" dataDxfId="1319"/>
    <tableColumn id="2" name="Column2" dataDxfId="1320"/>
    <tableColumn id="3" name="Column3" dataDxfId="1321"/>
    <tableColumn id="4" name="Column4" dataDxfId="1322"/>
    <tableColumn id="5" name="Column5" dataDxfId="1323"/>
    <tableColumn id="6" name="Column6" dataDxfId="1324"/>
    <tableColumn id="7" name="Column7" dataDxfId="1325"/>
    <tableColumn id="8" name="Column8" dataDxfId="1326"/>
    <tableColumn id="9" name="Column9" dataDxfId="1327"/>
    <tableColumn id="10" name="Column10" dataDxfId="1328"/>
    <tableColumn id="11" name="Column11" dataDxfId="1329"/>
    <tableColumn id="12" name="Column12" dataDxfId="1330"/>
    <tableColumn id="13" name="Column13" dataDxfId="1331"/>
    <tableColumn id="14" name="Column14" dataDxfId="1332"/>
    <tableColumn id="15" name="Column15" dataDxfId="1333"/>
    <tableColumn id="16" name="Column16" dataDxfId="1334"/>
    <tableColumn id="17" name="Column17" dataDxfId="1335"/>
    <tableColumn id="18" name="Column18" dataDxfId="1336"/>
    <tableColumn id="19" name="Column19" dataDxfId="1337"/>
    <tableColumn id="20" name="Column20" dataDxfId="1338"/>
    <tableColumn id="21" name="Column21" dataDxfId="1339"/>
    <tableColumn id="22" name="Column22" dataDxfId="1340"/>
    <tableColumn id="23" name="Column23" dataDxfId="1341"/>
    <tableColumn id="24" name="Column24" dataDxfId="1342"/>
    <tableColumn id="25" name="Column25" dataDxfId="1343"/>
    <tableColumn id="26" name="Column26" dataDxfId="1344"/>
    <tableColumn id="27" name="Column27" dataDxfId="1345"/>
    <tableColumn id="28" name="Column28" dataDxfId="1346"/>
    <tableColumn id="29" name="Column29" dataDxfId="1347"/>
    <tableColumn id="30" name="Column30" dataDxfId="1348"/>
    <tableColumn id="31" name="Column31" dataDxfId="1349"/>
    <tableColumn id="32" name="Column32" dataDxfId="1350"/>
    <tableColumn id="33" name="Column33" dataDxfId="1351"/>
    <tableColumn id="34" name="Column34" dataDxfId="1352"/>
    <tableColumn id="35" name="Column35" dataDxfId="1353"/>
    <tableColumn id="36" name="Column36" dataDxfId="1354"/>
    <tableColumn id="37" name="Column37" dataDxfId="1355"/>
    <tableColumn id="38" name="Column38" dataDxfId="1356"/>
    <tableColumn id="39" name="Column39" dataDxfId="1357"/>
    <tableColumn id="40" name="Column40" dataDxfId="1358"/>
    <tableColumn id="41" name="Column41" dataDxfId="1359"/>
    <tableColumn id="42" name="Column42" dataDxfId="1360"/>
    <tableColumn id="43" name="Column43" dataDxfId="1361"/>
    <tableColumn id="44" name="Column44" dataDxfId="1362"/>
    <tableColumn id="45" name="Column45" dataDxfId="1363"/>
    <tableColumn id="46" name="Column46" dataDxfId="1364"/>
    <tableColumn id="47" name="Column47" dataDxfId="1365"/>
    <tableColumn id="48" name="Column48" dataDxfId="1366"/>
    <tableColumn id="49" name="Column49" dataDxfId="1367"/>
    <tableColumn id="50" name="Column50" dataDxfId="1368"/>
    <tableColumn id="51" name="Column51" dataDxfId="1369"/>
    <tableColumn id="52" name="Column52" dataDxfId="1370"/>
    <tableColumn id="53" name="Column53" dataDxfId="1371"/>
    <tableColumn id="54" name="Column54" dataDxfId="1372"/>
    <tableColumn id="55" name="Column55" dataDxfId="1373"/>
    <tableColumn id="56" name="Column56" dataDxfId="1374"/>
    <tableColumn id="57" name="Column57" dataDxfId="1375"/>
    <tableColumn id="58" name="Column58" dataDxfId="1376"/>
    <tableColumn id="59" name="Column59" dataDxfId="1377"/>
    <tableColumn id="60" name="Column60" dataDxfId="1378"/>
    <tableColumn id="61" name="Column61" dataDxfId="1379"/>
    <tableColumn id="62" name="Column62" dataDxfId="1380"/>
    <tableColumn id="63" name="Column63" dataDxfId="1381"/>
    <tableColumn id="64" name="Column64" dataDxfId="1382"/>
    <tableColumn id="65" name="Column65" dataDxfId="1383"/>
    <tableColumn id="66" name="Column66" dataDxfId="1384"/>
    <tableColumn id="67" name="Column67" dataDxfId="1385"/>
    <tableColumn id="68" name="Column68" dataDxfId="1386"/>
    <tableColumn id="69" name="Column69" dataDxfId="1387"/>
  </tableColumns>
  <tableStyleInfo name="Feb-2026-Roster-style 2" showFirstColumn="1" showLastColumn="1" showRowStripes="1" showColumnStripes="0"/>
</table>
</file>

<file path=xl/tables/table21.xml><?xml version="1.0" encoding="utf-8"?>
<table xmlns="http://schemas.openxmlformats.org/spreadsheetml/2006/main" id="21" name="Table_84" displayName="Table_84" ref="A5:BR43" headerRowCount="0">
  <tableColumns count="70">
    <tableColumn id="1" name="Column1" dataDxfId="1389"/>
    <tableColumn id="2" name="Column2" dataDxfId="1390"/>
    <tableColumn id="3" name="Column3" dataDxfId="1391"/>
    <tableColumn id="4" name="Column4" dataDxfId="1392"/>
    <tableColumn id="5" name="Column5" dataDxfId="1393"/>
    <tableColumn id="6" name="Column6" dataDxfId="1394"/>
    <tableColumn id="7" name="Column7" dataDxfId="1395"/>
    <tableColumn id="8" name="Column8" dataDxfId="1396"/>
    <tableColumn id="9" name="Column9" dataDxfId="1397"/>
    <tableColumn id="10" name="Column10" dataDxfId="1398"/>
    <tableColumn id="11" name="Column11" dataDxfId="1399"/>
    <tableColumn id="12" name="Column12" dataDxfId="1400"/>
    <tableColumn id="13" name="Column13" dataDxfId="1401"/>
    <tableColumn id="14" name="Column14" dataDxfId="1402"/>
    <tableColumn id="15" name="Column15" dataDxfId="1403"/>
    <tableColumn id="16" name="Column16" dataDxfId="1404"/>
    <tableColumn id="17" name="Column17" dataDxfId="1405"/>
    <tableColumn id="18" name="Column18" dataDxfId="1406"/>
    <tableColumn id="19" name="Column19" dataDxfId="1407"/>
    <tableColumn id="20" name="Column20" dataDxfId="1408"/>
    <tableColumn id="21" name="Column21" dataDxfId="1409"/>
    <tableColumn id="22" name="Column22" dataDxfId="1410"/>
    <tableColumn id="23" name="Column23" dataDxfId="1411"/>
    <tableColumn id="24" name="Column24" dataDxfId="1412"/>
    <tableColumn id="25" name="Column25" dataDxfId="1413"/>
    <tableColumn id="26" name="Column26" dataDxfId="1414"/>
    <tableColumn id="27" name="Column27" dataDxfId="1415"/>
    <tableColumn id="28" name="Column28" dataDxfId="1416"/>
    <tableColumn id="29" name="Column29" dataDxfId="1417"/>
    <tableColumn id="30" name="Column30" dataDxfId="1418"/>
    <tableColumn id="31" name="Column31" dataDxfId="1419"/>
    <tableColumn id="32" name="Column32" dataDxfId="1420"/>
    <tableColumn id="33" name="Column33" dataDxfId="1421"/>
    <tableColumn id="34" name="Column34" dataDxfId="1422"/>
    <tableColumn id="35" name="Column35" dataDxfId="1423"/>
    <tableColumn id="36" name="Column36" dataDxfId="1424"/>
    <tableColumn id="37" name="Column37" dataDxfId="1425"/>
    <tableColumn id="38" name="Column38" dataDxfId="1426"/>
    <tableColumn id="39" name="Column39" dataDxfId="1427"/>
    <tableColumn id="40" name="Column40" dataDxfId="1428"/>
    <tableColumn id="41" name="Column41" dataDxfId="1429"/>
    <tableColumn id="42" name="Column42" dataDxfId="1430"/>
    <tableColumn id="43" name="Column43" dataDxfId="1431"/>
    <tableColumn id="44" name="Column44" dataDxfId="1432"/>
    <tableColumn id="45" name="Column45" dataDxfId="1433"/>
    <tableColumn id="46" name="Column46" dataDxfId="1434"/>
    <tableColumn id="47" name="Column47" dataDxfId="1435"/>
    <tableColumn id="48" name="Column48" dataDxfId="1436"/>
    <tableColumn id="49" name="Column49" dataDxfId="1437"/>
    <tableColumn id="50" name="Column50" dataDxfId="1438"/>
    <tableColumn id="51" name="Column51" dataDxfId="1439"/>
    <tableColumn id="52" name="Column52" dataDxfId="1440"/>
    <tableColumn id="53" name="Column53" dataDxfId="1441"/>
    <tableColumn id="54" name="Column54" dataDxfId="1442"/>
    <tableColumn id="55" name="Column55" dataDxfId="1443"/>
    <tableColumn id="56" name="Column56" dataDxfId="1444"/>
    <tableColumn id="57" name="Column57" dataDxfId="1445"/>
    <tableColumn id="58" name="Column58" dataDxfId="1446"/>
    <tableColumn id="59" name="Column59" dataDxfId="1447"/>
    <tableColumn id="60" name="Column60" dataDxfId="1448"/>
    <tableColumn id="61" name="Column61" dataDxfId="1449"/>
    <tableColumn id="62" name="Column62" dataDxfId="1450"/>
    <tableColumn id="63" name="Column63" dataDxfId="1451"/>
    <tableColumn id="64" name="Column64" dataDxfId="1452"/>
    <tableColumn id="65" name="Column65" dataDxfId="1453"/>
    <tableColumn id="66" name="Column66" dataDxfId="1454"/>
    <tableColumn id="67" name="Column67" dataDxfId="1455"/>
    <tableColumn id="68" name="Column68" dataDxfId="1456"/>
    <tableColumn id="69" name="Column69" dataDxfId="1457"/>
    <tableColumn id="70" name="Column70" dataDxfId="1458"/>
  </tableColumns>
  <tableStyleInfo name="Mar-2026-Roster-style" showFirstColumn="1" showLastColumn="1" showRowStripes="1" showColumnStripes="0"/>
</table>
</file>

<file path=xl/tables/table22.xml><?xml version="1.0" encoding="utf-8"?>
<table xmlns="http://schemas.openxmlformats.org/spreadsheetml/2006/main" id="22" name="Table_85" displayName="Table_85" ref="B44:BR52" headerRowCount="0">
  <tableColumns count="69">
    <tableColumn id="1" name="Column1" dataDxfId="1459"/>
    <tableColumn id="2" name="Column2" dataDxfId="1460"/>
    <tableColumn id="3" name="Column3" dataDxfId="1461"/>
    <tableColumn id="4" name="Column4" dataDxfId="1462"/>
    <tableColumn id="5" name="Column5" dataDxfId="1463"/>
    <tableColumn id="6" name="Column6" dataDxfId="1464"/>
    <tableColumn id="7" name="Column7" dataDxfId="1465"/>
    <tableColumn id="8" name="Column8" dataDxfId="1466"/>
    <tableColumn id="9" name="Column9" dataDxfId="1467"/>
    <tableColumn id="10" name="Column10" dataDxfId="1468"/>
    <tableColumn id="11" name="Column11" dataDxfId="1469"/>
    <tableColumn id="12" name="Column12" dataDxfId="1470"/>
    <tableColumn id="13" name="Column13" dataDxfId="1471"/>
    <tableColumn id="14" name="Column14" dataDxfId="1472"/>
    <tableColumn id="15" name="Column15" dataDxfId="1473"/>
    <tableColumn id="16" name="Column16" dataDxfId="1474"/>
    <tableColumn id="17" name="Column17" dataDxfId="1475"/>
    <tableColumn id="18" name="Column18" dataDxfId="1476"/>
    <tableColumn id="19" name="Column19" dataDxfId="1477"/>
    <tableColumn id="20" name="Column20" dataDxfId="1478"/>
    <tableColumn id="21" name="Column21" dataDxfId="1479"/>
    <tableColumn id="22" name="Column22" dataDxfId="1480"/>
    <tableColumn id="23" name="Column23" dataDxfId="1481"/>
    <tableColumn id="24" name="Column24" dataDxfId="1482"/>
    <tableColumn id="25" name="Column25" dataDxfId="1483"/>
    <tableColumn id="26" name="Column26" dataDxfId="1484"/>
    <tableColumn id="27" name="Column27" dataDxfId="1485"/>
    <tableColumn id="28" name="Column28" dataDxfId="1486"/>
    <tableColumn id="29" name="Column29" dataDxfId="1487"/>
    <tableColumn id="30" name="Column30" dataDxfId="1488"/>
    <tableColumn id="31" name="Column31" dataDxfId="1489"/>
    <tableColumn id="32" name="Column32" dataDxfId="1490"/>
    <tableColumn id="33" name="Column33" dataDxfId="1491"/>
    <tableColumn id="34" name="Column34" dataDxfId="1492"/>
    <tableColumn id="35" name="Column35" dataDxfId="1493"/>
    <tableColumn id="36" name="Column36" dataDxfId="1494"/>
    <tableColumn id="37" name="Column37" dataDxfId="1495"/>
    <tableColumn id="38" name="Column38" dataDxfId="1496"/>
    <tableColumn id="39" name="Column39" dataDxfId="1497"/>
    <tableColumn id="40" name="Column40" dataDxfId="1498"/>
    <tableColumn id="41" name="Column41" dataDxfId="1499"/>
    <tableColumn id="42" name="Column42" dataDxfId="1500"/>
    <tableColumn id="43" name="Column43" dataDxfId="1501"/>
    <tableColumn id="44" name="Column44" dataDxfId="1502"/>
    <tableColumn id="45" name="Column45" dataDxfId="1503"/>
    <tableColumn id="46" name="Column46" dataDxfId="1504"/>
    <tableColumn id="47" name="Column47" dataDxfId="1505"/>
    <tableColumn id="48" name="Column48" dataDxfId="1506"/>
    <tableColumn id="49" name="Column49" dataDxfId="1507"/>
    <tableColumn id="50" name="Column50" dataDxfId="1508"/>
    <tableColumn id="51" name="Column51" dataDxfId="1509"/>
    <tableColumn id="52" name="Column52" dataDxfId="1510"/>
    <tableColumn id="53" name="Column53" dataDxfId="1511"/>
    <tableColumn id="54" name="Column54" dataDxfId="1512"/>
    <tableColumn id="55" name="Column55" dataDxfId="1513"/>
    <tableColumn id="56" name="Column56" dataDxfId="1514"/>
    <tableColumn id="57" name="Column57" dataDxfId="1515"/>
    <tableColumn id="58" name="Column58" dataDxfId="1516"/>
    <tableColumn id="59" name="Column59" dataDxfId="1517"/>
    <tableColumn id="60" name="Column60" dataDxfId="1518"/>
    <tableColumn id="61" name="Column61" dataDxfId="1519"/>
    <tableColumn id="62" name="Column62" dataDxfId="1520"/>
    <tableColumn id="63" name="Column63" dataDxfId="1521"/>
    <tableColumn id="64" name="Column64" dataDxfId="1522"/>
    <tableColumn id="65" name="Column65" dataDxfId="1523"/>
    <tableColumn id="66" name="Column66" dataDxfId="1524"/>
    <tableColumn id="67" name="Column67" dataDxfId="1525"/>
    <tableColumn id="68" name="Column68" dataDxfId="1526"/>
    <tableColumn id="69" name="Column69" dataDxfId="1527"/>
  </tableColumns>
  <tableStyleInfo name="Mar-2026-Roster-style 2" showFirstColumn="1" showLastColumn="1" showRowStripes="1" showColumnStripes="0"/>
</table>
</file>

<file path=xl/tables/table23.xml><?xml version="1.0" encoding="utf-8"?>
<table xmlns="http://schemas.openxmlformats.org/spreadsheetml/2006/main" id="23" name="Table_86" displayName="Table_86" ref="A5:BQ46" headerRowCount="0">
  <tableColumns count="69">
    <tableColumn id="1" name="Column1" dataDxfId="1528"/>
    <tableColumn id="2" name="Column2" dataDxfId="1529"/>
    <tableColumn id="3" name="Column3" dataDxfId="1530"/>
    <tableColumn id="4" name="Column4" dataDxfId="1531"/>
    <tableColumn id="5" name="Column5" dataDxfId="1532"/>
    <tableColumn id="6" name="Column6" dataDxfId="1533"/>
    <tableColumn id="7" name="Column7" dataDxfId="1534"/>
    <tableColumn id="8" name="Column8" dataDxfId="1535"/>
    <tableColumn id="9" name="Column9" dataDxfId="1536"/>
    <tableColumn id="10" name="Column10" dataDxfId="1537"/>
    <tableColumn id="11" name="Column11" dataDxfId="1538"/>
    <tableColumn id="12" name="Column12" dataDxfId="1539"/>
    <tableColumn id="13" name="Column13" dataDxfId="1540"/>
    <tableColumn id="14" name="Column14" dataDxfId="1541"/>
    <tableColumn id="15" name="Column15" dataDxfId="1542"/>
    <tableColumn id="16" name="Column16" dataDxfId="1543"/>
    <tableColumn id="17" name="Column17" dataDxfId="1544"/>
    <tableColumn id="18" name="Column18" dataDxfId="1545"/>
    <tableColumn id="19" name="Column19" dataDxfId="1546"/>
    <tableColumn id="20" name="Column20" dataDxfId="1547"/>
    <tableColumn id="21" name="Column21" dataDxfId="1548"/>
    <tableColumn id="22" name="Column22" dataDxfId="1549"/>
    <tableColumn id="23" name="Column23" dataDxfId="1550"/>
    <tableColumn id="24" name="Column24" dataDxfId="1551"/>
    <tableColumn id="25" name="Column25" dataDxfId="1552"/>
    <tableColumn id="26" name="Column26" dataDxfId="1553"/>
    <tableColumn id="27" name="Column27" dataDxfId="1554"/>
    <tableColumn id="28" name="Column28" dataDxfId="1555"/>
    <tableColumn id="29" name="Column29" dataDxfId="1556"/>
    <tableColumn id="30" name="Column30" dataDxfId="1557"/>
    <tableColumn id="31" name="Column31" dataDxfId="1558"/>
    <tableColumn id="32" name="Column32" dataDxfId="1559"/>
    <tableColumn id="33" name="Column33" dataDxfId="1560"/>
    <tableColumn id="34" name="Column34" dataDxfId="1561"/>
    <tableColumn id="35" name="Column35" dataDxfId="1562"/>
    <tableColumn id="36" name="Column36" dataDxfId="1563"/>
    <tableColumn id="37" name="Column37" dataDxfId="1564"/>
    <tableColumn id="38" name="Column38" dataDxfId="1565"/>
    <tableColumn id="39" name="Column39" dataDxfId="1566"/>
    <tableColumn id="40" name="Column40" dataDxfId="1567"/>
    <tableColumn id="41" name="Column41" dataDxfId="1568"/>
    <tableColumn id="42" name="Column42" dataDxfId="1569"/>
    <tableColumn id="43" name="Column43" dataDxfId="1570"/>
    <tableColumn id="44" name="Column44" dataDxfId="1571"/>
    <tableColumn id="45" name="Column45" dataDxfId="1572"/>
    <tableColumn id="46" name="Column46" dataDxfId="1573"/>
    <tableColumn id="47" name="Column47" dataDxfId="1574"/>
    <tableColumn id="48" name="Column48" dataDxfId="1575"/>
    <tableColumn id="49" name="Column49" dataDxfId="1576"/>
    <tableColumn id="50" name="Column50" dataDxfId="1577"/>
    <tableColumn id="51" name="Column51" dataDxfId="1578"/>
    <tableColumn id="52" name="Column52" dataDxfId="1579"/>
    <tableColumn id="53" name="Column53" dataDxfId="1580"/>
    <tableColumn id="54" name="Column54" dataDxfId="1581"/>
    <tableColumn id="55" name="Column55" dataDxfId="1582"/>
    <tableColumn id="56" name="Column56" dataDxfId="1583"/>
    <tableColumn id="57" name="Column57" dataDxfId="1584"/>
    <tableColumn id="58" name="Column58" dataDxfId="1585"/>
    <tableColumn id="59" name="Column59" dataDxfId="1586"/>
    <tableColumn id="60" name="Column60" dataDxfId="1587"/>
    <tableColumn id="61" name="Column61" dataDxfId="1588"/>
    <tableColumn id="62" name="Column62" dataDxfId="1589"/>
    <tableColumn id="63" name="Column63" dataDxfId="1590"/>
    <tableColumn id="64" name="Column64" dataDxfId="1591"/>
    <tableColumn id="65" name="Column65" dataDxfId="1592"/>
    <tableColumn id="66" name="Column66" dataDxfId="1593"/>
    <tableColumn id="67" name="Column67" dataDxfId="1594"/>
    <tableColumn id="68" name="Column68" dataDxfId="1595"/>
    <tableColumn id="69" name="Column69" dataDxfId="1596"/>
  </tableColumns>
  <tableStyleInfo name="Apr-2026-Roster-style" showFirstColumn="1" showLastColumn="1" showRowStripes="1" showColumnStripes="0"/>
</table>
</file>

<file path=xl/tables/table24.xml><?xml version="1.0" encoding="utf-8"?>
<table xmlns="http://schemas.openxmlformats.org/spreadsheetml/2006/main" id="24" name="Table_87" displayName="Table_87" ref="B47:BQ56" headerRowCount="0">
  <tableColumns count="68">
    <tableColumn id="1" name="Column1" dataDxfId="1597"/>
    <tableColumn id="2" name="Column2" dataDxfId="1598"/>
    <tableColumn id="3" name="Column3" dataDxfId="1599"/>
    <tableColumn id="4" name="Column4" dataDxfId="1600"/>
    <tableColumn id="5" name="Column5" dataDxfId="1601"/>
    <tableColumn id="6" name="Column6" dataDxfId="1602"/>
    <tableColumn id="7" name="Column7" dataDxfId="1603"/>
    <tableColumn id="8" name="Column8" dataDxfId="1604"/>
    <tableColumn id="9" name="Column9" dataDxfId="1605"/>
    <tableColumn id="10" name="Column10" dataDxfId="1606"/>
    <tableColumn id="11" name="Column11" dataDxfId="1607"/>
    <tableColumn id="12" name="Column12" dataDxfId="1608"/>
    <tableColumn id="13" name="Column13" dataDxfId="1609"/>
    <tableColumn id="14" name="Column14" dataDxfId="1610"/>
    <tableColumn id="15" name="Column15" dataDxfId="1611"/>
    <tableColumn id="16" name="Column16" dataDxfId="1612"/>
    <tableColumn id="17" name="Column17" dataDxfId="1613"/>
    <tableColumn id="18" name="Column18" dataDxfId="1614"/>
    <tableColumn id="19" name="Column19" dataDxfId="1615"/>
    <tableColumn id="20" name="Column20" dataDxfId="1616"/>
    <tableColumn id="21" name="Column21" dataDxfId="1617"/>
    <tableColumn id="22" name="Column22" dataDxfId="1618"/>
    <tableColumn id="23" name="Column23" dataDxfId="1619"/>
    <tableColumn id="24" name="Column24" dataDxfId="1620"/>
    <tableColumn id="25" name="Column25" dataDxfId="1621"/>
    <tableColumn id="26" name="Column26" dataDxfId="1622"/>
    <tableColumn id="27" name="Column27" dataDxfId="1623"/>
    <tableColumn id="28" name="Column28" dataDxfId="1624"/>
    <tableColumn id="29" name="Column29" dataDxfId="1625"/>
    <tableColumn id="30" name="Column30" dataDxfId="1626"/>
    <tableColumn id="31" name="Column31" dataDxfId="1627"/>
    <tableColumn id="32" name="Column32" dataDxfId="1628"/>
    <tableColumn id="33" name="Column33" dataDxfId="1629"/>
    <tableColumn id="34" name="Column34" dataDxfId="1630"/>
    <tableColumn id="35" name="Column35" dataDxfId="1631"/>
    <tableColumn id="36" name="Column36" dataDxfId="1632"/>
    <tableColumn id="37" name="Column37" dataDxfId="1633"/>
    <tableColumn id="38" name="Column38" dataDxfId="1634"/>
    <tableColumn id="39" name="Column39" dataDxfId="1635"/>
    <tableColumn id="40" name="Column40" dataDxfId="1636"/>
    <tableColumn id="41" name="Column41" dataDxfId="1637"/>
    <tableColumn id="42" name="Column42" dataDxfId="1638"/>
    <tableColumn id="43" name="Column43" dataDxfId="1639"/>
    <tableColumn id="44" name="Column44" dataDxfId="1640"/>
    <tableColumn id="45" name="Column45" dataDxfId="1641"/>
    <tableColumn id="46" name="Column46" dataDxfId="1642"/>
    <tableColumn id="47" name="Column47" dataDxfId="1643"/>
    <tableColumn id="48" name="Column48" dataDxfId="1644"/>
    <tableColumn id="49" name="Column49" dataDxfId="1645"/>
    <tableColumn id="50" name="Column50" dataDxfId="1646"/>
    <tableColumn id="51" name="Column51" dataDxfId="1647"/>
    <tableColumn id="52" name="Column52" dataDxfId="1648"/>
    <tableColumn id="53" name="Column53" dataDxfId="1649"/>
    <tableColumn id="54" name="Column54" dataDxfId="1650"/>
    <tableColumn id="55" name="Column55" dataDxfId="1651"/>
    <tableColumn id="56" name="Column56" dataDxfId="1652"/>
    <tableColumn id="57" name="Column57" dataDxfId="1653"/>
    <tableColumn id="58" name="Column58" dataDxfId="1654"/>
    <tableColumn id="59" name="Column59" dataDxfId="1655"/>
    <tableColumn id="60" name="Column60" dataDxfId="1656"/>
    <tableColumn id="61" name="Column61" dataDxfId="1657"/>
    <tableColumn id="62" name="Column62" dataDxfId="1658"/>
    <tableColumn id="63" name="Column63" dataDxfId="1659"/>
    <tableColumn id="64" name="Column64" dataDxfId="1660"/>
    <tableColumn id="65" name="Column65" dataDxfId="1661"/>
    <tableColumn id="66" name="Column66" dataDxfId="1662"/>
    <tableColumn id="67" name="Column67" dataDxfId="1663"/>
    <tableColumn id="68" name="Column68" dataDxfId="1664"/>
  </tableColumns>
  <tableStyleInfo name="Apr-2026-Roster-style 2" showFirstColumn="1" showLastColumn="1" showRowStripes="1" showColumnStripes="0"/>
</table>
</file>

<file path=xl/tables/table25.xml><?xml version="1.0" encoding="utf-8"?>
<table xmlns="http://schemas.openxmlformats.org/spreadsheetml/2006/main" id="25" name="Table_88" displayName="Table_88" ref="B72:BR87" headerRowCount="0">
  <tableColumns count="69">
    <tableColumn id="1" name="Column1" dataDxfId="1666"/>
    <tableColumn id="2" name="Column2" dataDxfId="1667"/>
    <tableColumn id="3" name="Column3" dataDxfId="1668"/>
    <tableColumn id="4" name="Column4" dataDxfId="1669"/>
    <tableColumn id="5" name="Column5" dataDxfId="1670"/>
    <tableColumn id="6" name="Column6" dataDxfId="1671"/>
    <tableColumn id="7" name="Column7" dataDxfId="1672"/>
    <tableColumn id="8" name="Column8" dataDxfId="1673"/>
    <tableColumn id="9" name="Column9" dataDxfId="1674"/>
    <tableColumn id="10" name="Column10" dataDxfId="1675"/>
    <tableColumn id="11" name="Column11" dataDxfId="1676"/>
    <tableColumn id="12" name="Column12" dataDxfId="1677"/>
    <tableColumn id="13" name="Column13" dataDxfId="1678"/>
    <tableColumn id="14" name="Column14" dataDxfId="1679"/>
    <tableColumn id="15" name="Column15" dataDxfId="1680"/>
    <tableColumn id="16" name="Column16" dataDxfId="1681"/>
    <tableColumn id="17" name="Column17" dataDxfId="1682"/>
    <tableColumn id="18" name="Column18" dataDxfId="1683"/>
    <tableColumn id="19" name="Column19" dataDxfId="1684"/>
    <tableColumn id="20" name="Column20" dataDxfId="1685"/>
    <tableColumn id="21" name="Column21" dataDxfId="1686"/>
    <tableColumn id="22" name="Column22" dataDxfId="1687"/>
    <tableColumn id="23" name="Column23" dataDxfId="1688"/>
    <tableColumn id="24" name="Column24" dataDxfId="1689"/>
    <tableColumn id="25" name="Column25" dataDxfId="1690"/>
    <tableColumn id="26" name="Column26" dataDxfId="1691"/>
    <tableColumn id="27" name="Column27" dataDxfId="1692"/>
    <tableColumn id="28" name="Column28" dataDxfId="1693"/>
    <tableColumn id="29" name="Column29" dataDxfId="1694"/>
    <tableColumn id="30" name="Column30" dataDxfId="1695"/>
    <tableColumn id="31" name="Column31" dataDxfId="1696"/>
    <tableColumn id="32" name="Column32" dataDxfId="1697"/>
    <tableColumn id="33" name="Column33" dataDxfId="1698"/>
    <tableColumn id="34" name="Column34" dataDxfId="1699"/>
    <tableColumn id="35" name="Column35" dataDxfId="1700"/>
    <tableColumn id="36" name="Column36" dataDxfId="1701"/>
    <tableColumn id="37" name="Column37" dataDxfId="1702"/>
    <tableColumn id="38" name="Column38" dataDxfId="1703"/>
    <tableColumn id="39" name="Column39" dataDxfId="1704"/>
    <tableColumn id="40" name="Column40" dataDxfId="1705"/>
    <tableColumn id="41" name="Column41" dataDxfId="1706"/>
    <tableColumn id="42" name="Column42" dataDxfId="1707"/>
    <tableColumn id="43" name="Column43" dataDxfId="1708"/>
    <tableColumn id="44" name="Column44" dataDxfId="1709"/>
    <tableColumn id="45" name="Column45" dataDxfId="1710"/>
    <tableColumn id="46" name="Column46" dataDxfId="1711"/>
    <tableColumn id="47" name="Column47" dataDxfId="1712"/>
    <tableColumn id="48" name="Column48" dataDxfId="1713"/>
    <tableColumn id="49" name="Column49" dataDxfId="1714"/>
    <tableColumn id="50" name="Column50" dataDxfId="1715"/>
    <tableColumn id="51" name="Column51" dataDxfId="1716"/>
    <tableColumn id="52" name="Column52" dataDxfId="1717"/>
    <tableColumn id="53" name="Column53" dataDxfId="1718"/>
    <tableColumn id="54" name="Column54" dataDxfId="1719"/>
    <tableColumn id="55" name="Column55" dataDxfId="1720"/>
    <tableColumn id="56" name="Column56" dataDxfId="1721"/>
    <tableColumn id="57" name="Column57" dataDxfId="1722"/>
    <tableColumn id="58" name="Column58" dataDxfId="1723"/>
    <tableColumn id="59" name="Column59" dataDxfId="1724"/>
    <tableColumn id="60" name="Column60" dataDxfId="1725"/>
    <tableColumn id="61" name="Column61" dataDxfId="1726"/>
    <tableColumn id="62" name="Column62" dataDxfId="1727"/>
    <tableColumn id="63" name="Column63" dataDxfId="1728"/>
    <tableColumn id="64" name="Column64" dataDxfId="1729"/>
    <tableColumn id="65" name="Column65" dataDxfId="1730"/>
    <tableColumn id="66" name="Column66" dataDxfId="1731"/>
    <tableColumn id="67" name="Column67" dataDxfId="1732"/>
    <tableColumn id="68" name="Column68" dataDxfId="1733"/>
    <tableColumn id="69" name="Column69" dataDxfId="1734"/>
  </tableColumns>
  <tableStyleInfo name="May-2026-Roster-style" showFirstColumn="1" showLastColumn="1" showRowStripes="1" showColumnStripes="0"/>
</table>
</file>

<file path=xl/tables/table26.xml><?xml version="1.0" encoding="utf-8"?>
<table xmlns="http://schemas.openxmlformats.org/spreadsheetml/2006/main" id="26" name="Table_89" displayName="Table_89" ref="A5:BQ65" headerRowCount="0">
  <tableColumns count="69">
    <tableColumn id="1" name="Column1" dataDxfId="1736"/>
    <tableColumn id="2" name="Column2" dataDxfId="1737"/>
    <tableColumn id="3" name="Column3" dataDxfId="1738"/>
    <tableColumn id="4" name="Column4" dataDxfId="1739"/>
    <tableColumn id="5" name="Column5" dataDxfId="1740"/>
    <tableColumn id="6" name="Column6" dataDxfId="1741"/>
    <tableColumn id="7" name="Column7" dataDxfId="1742"/>
    <tableColumn id="8" name="Column8" dataDxfId="1743"/>
    <tableColumn id="9" name="Column9" dataDxfId="1744"/>
    <tableColumn id="10" name="Column10" dataDxfId="1745"/>
    <tableColumn id="11" name="Column11" dataDxfId="1746"/>
    <tableColumn id="12" name="Column12" dataDxfId="1747"/>
    <tableColumn id="13" name="Column13" dataDxfId="1748"/>
    <tableColumn id="14" name="Column14" dataDxfId="1749"/>
    <tableColumn id="15" name="Column15" dataDxfId="1750"/>
    <tableColumn id="16" name="Column16" dataDxfId="1751"/>
    <tableColumn id="17" name="Column17" dataDxfId="1752"/>
    <tableColumn id="18" name="Column18" dataDxfId="1753"/>
    <tableColumn id="19" name="Column19" dataDxfId="1754"/>
    <tableColumn id="20" name="Column20" dataDxfId="1755"/>
    <tableColumn id="21" name="Column21" dataDxfId="1756"/>
    <tableColumn id="22" name="Column22" dataDxfId="1757"/>
    <tableColumn id="23" name="Column23" dataDxfId="1758"/>
    <tableColumn id="24" name="Column24" dataDxfId="1759"/>
    <tableColumn id="25" name="Column25" dataDxfId="1760"/>
    <tableColumn id="26" name="Column26" dataDxfId="1761"/>
    <tableColumn id="27" name="Column27" dataDxfId="1762"/>
    <tableColumn id="28" name="Column28" dataDxfId="1763"/>
    <tableColumn id="29" name="Column29" dataDxfId="1764"/>
    <tableColumn id="30" name="Column30" dataDxfId="1765"/>
    <tableColumn id="31" name="Column31" dataDxfId="1766"/>
    <tableColumn id="32" name="Column32" dataDxfId="1767"/>
    <tableColumn id="33" name="Column33" dataDxfId="1768"/>
    <tableColumn id="34" name="Column34" dataDxfId="1769"/>
    <tableColumn id="35" name="Column35" dataDxfId="1770"/>
    <tableColumn id="36" name="Column36" dataDxfId="1771"/>
    <tableColumn id="37" name="Column37" dataDxfId="1772"/>
    <tableColumn id="38" name="Column38" dataDxfId="1773"/>
    <tableColumn id="39" name="Column39" dataDxfId="1774"/>
    <tableColumn id="40" name="Column40" dataDxfId="1775"/>
    <tableColumn id="41" name="Column41" dataDxfId="1776"/>
    <tableColumn id="42" name="Column42" dataDxfId="1777"/>
    <tableColumn id="43" name="Column43" dataDxfId="1778"/>
    <tableColumn id="44" name="Column44" dataDxfId="1779"/>
    <tableColumn id="45" name="Column45" dataDxfId="1780"/>
    <tableColumn id="46" name="Column46" dataDxfId="1781"/>
    <tableColumn id="47" name="Column47" dataDxfId="1782"/>
    <tableColumn id="48" name="Column48" dataDxfId="1783"/>
    <tableColumn id="49" name="Column49" dataDxfId="1784"/>
    <tableColumn id="50" name="Column50" dataDxfId="1785"/>
    <tableColumn id="51" name="Column51" dataDxfId="1786"/>
    <tableColumn id="52" name="Column52" dataDxfId="1787"/>
    <tableColumn id="53" name="Column53" dataDxfId="1788"/>
    <tableColumn id="54" name="Column54" dataDxfId="1789"/>
    <tableColumn id="55" name="Column55" dataDxfId="1790"/>
    <tableColumn id="56" name="Column56" dataDxfId="1791"/>
    <tableColumn id="57" name="Column57" dataDxfId="1792"/>
    <tableColumn id="58" name="Column58" dataDxfId="1793"/>
    <tableColumn id="59" name="Column59" dataDxfId="1794"/>
    <tableColumn id="60" name="Column60" dataDxfId="1795"/>
    <tableColumn id="61" name="Column61" dataDxfId="1796"/>
    <tableColumn id="62" name="Column62" dataDxfId="1797"/>
    <tableColumn id="63" name="Column63" dataDxfId="1798"/>
    <tableColumn id="64" name="Column64" dataDxfId="1799"/>
    <tableColumn id="65" name="Column65" dataDxfId="1800"/>
    <tableColumn id="66" name="Column66" dataDxfId="1801"/>
    <tableColumn id="67" name="Column67" dataDxfId="1802"/>
    <tableColumn id="68" name="Column68" dataDxfId="1803"/>
    <tableColumn id="69" name="Column69" dataDxfId="1804"/>
  </tableColumns>
  <tableStyleInfo name="June 2026 Roster New-style" showFirstColumn="1" showLastColumn="1" showRowStripes="1" showColumnStripes="0"/>
</table>
</file>

<file path=xl/tables/table27.xml><?xml version="1.0" encoding="utf-8"?>
<table xmlns="http://schemas.openxmlformats.org/spreadsheetml/2006/main" id="27" name="Table_90" displayName="Table_90" ref="B66:BQ81" headerRowCount="0">
  <tableColumns count="68">
    <tableColumn id="1" name="Column1" dataDxfId="1805"/>
    <tableColumn id="2" name="Column2" dataDxfId="1806"/>
    <tableColumn id="3" name="Column3" dataDxfId="1807"/>
    <tableColumn id="4" name="Column4" dataDxfId="1808"/>
    <tableColumn id="5" name="Column5" dataDxfId="1809"/>
    <tableColumn id="6" name="Column6" dataDxfId="1810"/>
    <tableColumn id="7" name="Column7" dataDxfId="1811"/>
    <tableColumn id="8" name="Column8" dataDxfId="1812"/>
    <tableColumn id="9" name="Column9" dataDxfId="1813"/>
    <tableColumn id="10" name="Column10" dataDxfId="1814"/>
    <tableColumn id="11" name="Column11" dataDxfId="1815"/>
    <tableColumn id="12" name="Column12" dataDxfId="1816"/>
    <tableColumn id="13" name="Column13" dataDxfId="1817"/>
    <tableColumn id="14" name="Column14" dataDxfId="1818"/>
    <tableColumn id="15" name="Column15" dataDxfId="1819"/>
    <tableColumn id="16" name="Column16" dataDxfId="1820"/>
    <tableColumn id="17" name="Column17" dataDxfId="1821"/>
    <tableColumn id="18" name="Column18" dataDxfId="1822"/>
    <tableColumn id="19" name="Column19" dataDxfId="1823"/>
    <tableColumn id="20" name="Column20" dataDxfId="1824"/>
    <tableColumn id="21" name="Column21" dataDxfId="1825"/>
    <tableColumn id="22" name="Column22" dataDxfId="1826"/>
    <tableColumn id="23" name="Column23" dataDxfId="1827"/>
    <tableColumn id="24" name="Column24" dataDxfId="1828"/>
    <tableColumn id="25" name="Column25" dataDxfId="1829"/>
    <tableColumn id="26" name="Column26" dataDxfId="1830"/>
    <tableColumn id="27" name="Column27" dataDxfId="1831"/>
    <tableColumn id="28" name="Column28" dataDxfId="1832"/>
    <tableColumn id="29" name="Column29" dataDxfId="1833"/>
    <tableColumn id="30" name="Column30" dataDxfId="1834"/>
    <tableColumn id="31" name="Column31" dataDxfId="1835"/>
    <tableColumn id="32" name="Column32" dataDxfId="1836"/>
    <tableColumn id="33" name="Column33" dataDxfId="1837"/>
    <tableColumn id="34" name="Column34" dataDxfId="1838"/>
    <tableColumn id="35" name="Column35" dataDxfId="1839"/>
    <tableColumn id="36" name="Column36" dataDxfId="1840"/>
    <tableColumn id="37" name="Column37" dataDxfId="1841"/>
    <tableColumn id="38" name="Column38" dataDxfId="1842"/>
    <tableColumn id="39" name="Column39" dataDxfId="1843"/>
    <tableColumn id="40" name="Column40" dataDxfId="1844"/>
    <tableColumn id="41" name="Column41" dataDxfId="1845"/>
    <tableColumn id="42" name="Column42" dataDxfId="1846"/>
    <tableColumn id="43" name="Column43" dataDxfId="1847"/>
    <tableColumn id="44" name="Column44" dataDxfId="1848"/>
    <tableColumn id="45" name="Column45" dataDxfId="1849"/>
    <tableColumn id="46" name="Column46" dataDxfId="1850"/>
    <tableColumn id="47" name="Column47" dataDxfId="1851"/>
    <tableColumn id="48" name="Column48" dataDxfId="1852"/>
    <tableColumn id="49" name="Column49" dataDxfId="1853"/>
    <tableColumn id="50" name="Column50" dataDxfId="1854"/>
    <tableColumn id="51" name="Column51" dataDxfId="1855"/>
    <tableColumn id="52" name="Column52" dataDxfId="1856"/>
    <tableColumn id="53" name="Column53" dataDxfId="1857"/>
    <tableColumn id="54" name="Column54" dataDxfId="1858"/>
    <tableColumn id="55" name="Column55" dataDxfId="1859"/>
    <tableColumn id="56" name="Column56" dataDxfId="1860"/>
    <tableColumn id="57" name="Column57" dataDxfId="1861"/>
    <tableColumn id="58" name="Column58" dataDxfId="1862"/>
    <tableColumn id="59" name="Column59" dataDxfId="1863"/>
    <tableColumn id="60" name="Column60" dataDxfId="1864"/>
    <tableColumn id="61" name="Column61" dataDxfId="1865"/>
    <tableColumn id="62" name="Column62" dataDxfId="1866"/>
    <tableColumn id="63" name="Column63" dataDxfId="1867"/>
    <tableColumn id="64" name="Column64" dataDxfId="1868"/>
    <tableColumn id="65" name="Column65" dataDxfId="1869"/>
    <tableColumn id="66" name="Column66" dataDxfId="1870"/>
    <tableColumn id="67" name="Column67" dataDxfId="1871"/>
    <tableColumn id="68" name="Column68" dataDxfId="1872"/>
  </tableColumns>
  <tableStyleInfo name="June 2026 Roster New-style 2" showFirstColumn="1" showLastColumn="1" showRowStripes="1" showColumnStripes="0"/>
</table>
</file>

<file path=xl/tables/table28.xml><?xml version="1.0" encoding="utf-8"?>
<table xmlns="http://schemas.openxmlformats.org/spreadsheetml/2006/main" id="28" name="Table_91" displayName="Table_91" ref="A5:BP79" headerRowCount="0">
  <tableColumns count="68">
    <tableColumn id="1" name="Column1" dataDxfId="1873"/>
    <tableColumn id="2" name="Column2" dataDxfId="1874"/>
    <tableColumn id="3" name="Column3" dataDxfId="1875"/>
    <tableColumn id="4" name="Column4" dataDxfId="1876"/>
    <tableColumn id="5" name="Column5" dataDxfId="1877"/>
    <tableColumn id="6" name="Column6" dataDxfId="1878"/>
    <tableColumn id="7" name="Column7" dataDxfId="1879"/>
    <tableColumn id="8" name="Column8" dataDxfId="1880"/>
    <tableColumn id="9" name="Column9" dataDxfId="1881"/>
    <tableColumn id="10" name="Column10" dataDxfId="1882"/>
    <tableColumn id="11" name="Column11" dataDxfId="1883"/>
    <tableColumn id="12" name="Column12" dataDxfId="1884"/>
    <tableColumn id="13" name="Column13" dataDxfId="1885"/>
    <tableColumn id="14" name="Column14" dataDxfId="1886"/>
    <tableColumn id="15" name="Column15" dataDxfId="1887"/>
    <tableColumn id="16" name="Column16" dataDxfId="1888"/>
    <tableColumn id="17" name="Column17" dataDxfId="1889"/>
    <tableColumn id="18" name="Column18" dataDxfId="1890"/>
    <tableColumn id="19" name="Column19" dataDxfId="1891"/>
    <tableColumn id="20" name="Column20" dataDxfId="1892"/>
    <tableColumn id="21" name="Column21" dataDxfId="1893"/>
    <tableColumn id="22" name="Column22" dataDxfId="1894"/>
    <tableColumn id="23" name="Column23" dataDxfId="1895"/>
    <tableColumn id="24" name="Column24" dataDxfId="1896"/>
    <tableColumn id="25" name="Column25" dataDxfId="1897"/>
    <tableColumn id="26" name="Column26" dataDxfId="1898"/>
    <tableColumn id="27" name="Column27" dataDxfId="1899"/>
    <tableColumn id="28" name="Column28" dataDxfId="1900"/>
    <tableColumn id="29" name="Column29" dataDxfId="1901"/>
    <tableColumn id="30" name="Column30" dataDxfId="1902"/>
    <tableColumn id="31" name="Column31" dataDxfId="1903"/>
    <tableColumn id="32" name="Column32" dataDxfId="1904"/>
    <tableColumn id="33" name="Column33" dataDxfId="1905"/>
    <tableColumn id="34" name="Column34" dataDxfId="1906"/>
    <tableColumn id="35" name="Column35" dataDxfId="1907"/>
    <tableColumn id="36" name="Column36" dataDxfId="1908"/>
    <tableColumn id="37" name="Column37" dataDxfId="1909"/>
    <tableColumn id="38" name="Column38" dataDxfId="1910"/>
    <tableColumn id="39" name="Column39" dataDxfId="1911"/>
    <tableColumn id="40" name="Column40" dataDxfId="1912"/>
    <tableColumn id="41" name="Column41" dataDxfId="1913"/>
    <tableColumn id="42" name="Column42" dataDxfId="1914"/>
    <tableColumn id="43" name="Column43" dataDxfId="1915"/>
    <tableColumn id="44" name="Column44" dataDxfId="1916"/>
    <tableColumn id="45" name="Column45" dataDxfId="1917"/>
    <tableColumn id="46" name="Column46" dataDxfId="1918"/>
    <tableColumn id="47" name="Column47" dataDxfId="1919"/>
    <tableColumn id="48" name="Column48" dataDxfId="1920"/>
    <tableColumn id="49" name="Column49" dataDxfId="1921"/>
    <tableColumn id="50" name="Column50" dataDxfId="1922"/>
    <tableColumn id="51" name="Column51" dataDxfId="1923"/>
    <tableColumn id="52" name="Column52" dataDxfId="1924"/>
    <tableColumn id="53" name="Column53" dataDxfId="1925"/>
    <tableColumn id="54" name="Column54" dataDxfId="1926"/>
    <tableColumn id="55" name="Column55" dataDxfId="1927"/>
    <tableColumn id="56" name="Column56" dataDxfId="1928"/>
    <tableColumn id="57" name="Column57" dataDxfId="1929"/>
    <tableColumn id="58" name="Column58" dataDxfId="1930"/>
    <tableColumn id="59" name="Column59" dataDxfId="1931"/>
    <tableColumn id="60" name="Column60" dataDxfId="1932"/>
    <tableColumn id="61" name="Column61" dataDxfId="1933"/>
    <tableColumn id="62" name="Column62" dataDxfId="1934"/>
    <tableColumn id="63" name="Column63" dataDxfId="1935"/>
    <tableColumn id="64" name="Column64" dataDxfId="1936"/>
    <tableColumn id="65" name="Column65" dataDxfId="1937"/>
    <tableColumn id="66" name="Column66" dataDxfId="1938"/>
    <tableColumn id="67" name="Column67" dataDxfId="1939"/>
    <tableColumn id="68" name="Column68" dataDxfId="1940"/>
  </tableColumns>
  <tableStyleInfo name="July 2026 Roster-style" showFirstColumn="1" showLastColumn="1" showRowStripes="1" showColumnStripes="0"/>
</table>
</file>

<file path=xl/tables/table29.xml><?xml version="1.0" encoding="utf-8"?>
<table xmlns="http://schemas.openxmlformats.org/spreadsheetml/2006/main" id="29" name="Table_92" displayName="Table_92" ref="B80:BP95" headerRowCount="0">
  <tableColumns count="67">
    <tableColumn id="1" name="Column1" dataDxfId="1941"/>
    <tableColumn id="2" name="Column2" dataDxfId="1942"/>
    <tableColumn id="3" name="Column3" dataDxfId="1943"/>
    <tableColumn id="4" name="Column4" dataDxfId="1944"/>
    <tableColumn id="5" name="Column5" dataDxfId="1945"/>
    <tableColumn id="6" name="Column6" dataDxfId="1946"/>
    <tableColumn id="7" name="Column7" dataDxfId="1947"/>
    <tableColumn id="8" name="Column8" dataDxfId="1948"/>
    <tableColumn id="9" name="Column9" dataDxfId="1949"/>
    <tableColumn id="10" name="Column10" dataDxfId="1950"/>
    <tableColumn id="11" name="Column11" dataDxfId="1951"/>
    <tableColumn id="12" name="Column12" dataDxfId="1952"/>
    <tableColumn id="13" name="Column13" dataDxfId="1953"/>
    <tableColumn id="14" name="Column14" dataDxfId="1954"/>
    <tableColumn id="15" name="Column15" dataDxfId="1955"/>
    <tableColumn id="16" name="Column16" dataDxfId="1956"/>
    <tableColumn id="17" name="Column17" dataDxfId="1957"/>
    <tableColumn id="18" name="Column18" dataDxfId="1958"/>
    <tableColumn id="19" name="Column19" dataDxfId="1959"/>
    <tableColumn id="20" name="Column20" dataDxfId="1960"/>
    <tableColumn id="21" name="Column21" dataDxfId="1961"/>
    <tableColumn id="22" name="Column22" dataDxfId="1962"/>
    <tableColumn id="23" name="Column23" dataDxfId="1963"/>
    <tableColumn id="24" name="Column24" dataDxfId="1964"/>
    <tableColumn id="25" name="Column25" dataDxfId="1965"/>
    <tableColumn id="26" name="Column26" dataDxfId="1966"/>
    <tableColumn id="27" name="Column27" dataDxfId="1967"/>
    <tableColumn id="28" name="Column28" dataDxfId="1968"/>
    <tableColumn id="29" name="Column29" dataDxfId="1969"/>
    <tableColumn id="30" name="Column30" dataDxfId="1970"/>
    <tableColumn id="31" name="Column31" dataDxfId="1971"/>
    <tableColumn id="32" name="Column32" dataDxfId="1972"/>
    <tableColumn id="33" name="Column33" dataDxfId="1973"/>
    <tableColumn id="34" name="Column34" dataDxfId="1974"/>
    <tableColumn id="35" name="Column35" dataDxfId="1975"/>
    <tableColumn id="36" name="Column36" dataDxfId="1976"/>
    <tableColumn id="37" name="Column37" dataDxfId="1977"/>
    <tableColumn id="38" name="Column38" dataDxfId="1978"/>
    <tableColumn id="39" name="Column39" dataDxfId="1979"/>
    <tableColumn id="40" name="Column40" dataDxfId="1980"/>
    <tableColumn id="41" name="Column41" dataDxfId="1981"/>
    <tableColumn id="42" name="Column42" dataDxfId="1982"/>
    <tableColumn id="43" name="Column43" dataDxfId="1983"/>
    <tableColumn id="44" name="Column44" dataDxfId="1984"/>
    <tableColumn id="45" name="Column45" dataDxfId="1985"/>
    <tableColumn id="46" name="Column46" dataDxfId="1986"/>
    <tableColumn id="47" name="Column47" dataDxfId="1987"/>
    <tableColumn id="48" name="Column48" dataDxfId="1988"/>
    <tableColumn id="49" name="Column49" dataDxfId="1989"/>
    <tableColumn id="50" name="Column50" dataDxfId="1990"/>
    <tableColumn id="51" name="Column51" dataDxfId="1991"/>
    <tableColumn id="52" name="Column52" dataDxfId="1992"/>
    <tableColumn id="53" name="Column53" dataDxfId="1993"/>
    <tableColumn id="54" name="Column54" dataDxfId="1994"/>
    <tableColumn id="55" name="Column55" dataDxfId="1995"/>
    <tableColumn id="56" name="Column56" dataDxfId="1996"/>
    <tableColumn id="57" name="Column57" dataDxfId="1997"/>
    <tableColumn id="58" name="Column58" dataDxfId="1998"/>
    <tableColumn id="59" name="Column59" dataDxfId="1999"/>
    <tableColumn id="60" name="Column60" dataDxfId="2000"/>
    <tableColumn id="61" name="Column61" dataDxfId="2001"/>
    <tableColumn id="62" name="Column62" dataDxfId="2002"/>
    <tableColumn id="63" name="Column63" dataDxfId="2003"/>
    <tableColumn id="64" name="Column64" dataDxfId="2004"/>
    <tableColumn id="65" name="Column65" dataDxfId="2005"/>
    <tableColumn id="66" name="Column66" dataDxfId="2006"/>
    <tableColumn id="67" name="Column67" dataDxfId="2007"/>
  </tableColumns>
  <tableStyleInfo name="July 2026 Roster-style 2" showFirstColumn="1" showLastColumn="1" showRowStripes="1" showColumnStripes="0"/>
</table>
</file>

<file path=xl/tables/table30.xml><?xml version="1.0" encoding="utf-8"?>
<table xmlns="http://schemas.openxmlformats.org/spreadsheetml/2006/main" id="30" name="Table_93" displayName="Table_93" ref="A5:BP79" headerRowCount="0">
  <tableColumns count="68">
    <tableColumn id="1" name="Column1" dataDxfId="2008"/>
    <tableColumn id="2" name="Column2" dataDxfId="2009"/>
    <tableColumn id="3" name="Column3" dataDxfId="2010"/>
    <tableColumn id="4" name="Column4" dataDxfId="2011"/>
    <tableColumn id="5" name="Column5" dataDxfId="2012"/>
    <tableColumn id="6" name="Column6" dataDxfId="2013"/>
    <tableColumn id="7" name="Column7" dataDxfId="2014"/>
    <tableColumn id="8" name="Column8" dataDxfId="2015"/>
    <tableColumn id="9" name="Column9" dataDxfId="2016"/>
    <tableColumn id="10" name="Column10" dataDxfId="2017"/>
    <tableColumn id="11" name="Column11" dataDxfId="2018"/>
    <tableColumn id="12" name="Column12" dataDxfId="2019"/>
    <tableColumn id="13" name="Column13" dataDxfId="2020"/>
    <tableColumn id="14" name="Column14" dataDxfId="2021"/>
    <tableColumn id="15" name="Column15" dataDxfId="2022"/>
    <tableColumn id="16" name="Column16" dataDxfId="2023"/>
    <tableColumn id="17" name="Column17" dataDxfId="2024"/>
    <tableColumn id="18" name="Column18" dataDxfId="2025"/>
    <tableColumn id="19" name="Column19" dataDxfId="2026"/>
    <tableColumn id="20" name="Column20" dataDxfId="2027"/>
    <tableColumn id="21" name="Column21" dataDxfId="2028"/>
    <tableColumn id="22" name="Column22" dataDxfId="2029"/>
    <tableColumn id="23" name="Column23" dataDxfId="2030"/>
    <tableColumn id="24" name="Column24" dataDxfId="2031"/>
    <tableColumn id="25" name="Column25" dataDxfId="2032"/>
    <tableColumn id="26" name="Column26" dataDxfId="2033"/>
    <tableColumn id="27" name="Column27" dataDxfId="2034"/>
    <tableColumn id="28" name="Column28" dataDxfId="2035"/>
    <tableColumn id="29" name="Column29" dataDxfId="2036"/>
    <tableColumn id="30" name="Column30" dataDxfId="2037"/>
    <tableColumn id="31" name="Column31" dataDxfId="2038"/>
    <tableColumn id="32" name="Column32" dataDxfId="2039"/>
    <tableColumn id="33" name="Column33" dataDxfId="2040"/>
    <tableColumn id="34" name="Column34" dataDxfId="2041"/>
    <tableColumn id="35" name="Column35" dataDxfId="2042"/>
    <tableColumn id="36" name="Column36" dataDxfId="2043"/>
    <tableColumn id="37" name="Column37" dataDxfId="2044"/>
    <tableColumn id="38" name="Column38" dataDxfId="2045"/>
    <tableColumn id="39" name="Column39" dataDxfId="2046"/>
    <tableColumn id="40" name="Column40" dataDxfId="2047"/>
    <tableColumn id="41" name="Column41" dataDxfId="2048"/>
    <tableColumn id="42" name="Column42" dataDxfId="2049"/>
    <tableColumn id="43" name="Column43" dataDxfId="2050"/>
    <tableColumn id="44" name="Column44" dataDxfId="2051"/>
    <tableColumn id="45" name="Column45" dataDxfId="2052"/>
    <tableColumn id="46" name="Column46" dataDxfId="2053"/>
    <tableColumn id="47" name="Column47" dataDxfId="2054"/>
    <tableColumn id="48" name="Column48" dataDxfId="2055"/>
    <tableColumn id="49" name="Column49" dataDxfId="2056"/>
    <tableColumn id="50" name="Column50" dataDxfId="2057"/>
    <tableColumn id="51" name="Column51" dataDxfId="2058"/>
    <tableColumn id="52" name="Column52" dataDxfId="2059"/>
    <tableColumn id="53" name="Column53" dataDxfId="2060"/>
    <tableColumn id="54" name="Column54" dataDxfId="2061"/>
    <tableColumn id="55" name="Column55" dataDxfId="2062"/>
    <tableColumn id="56" name="Column56" dataDxfId="2063"/>
    <tableColumn id="57" name="Column57" dataDxfId="2064"/>
    <tableColumn id="58" name="Column58" dataDxfId="2065"/>
    <tableColumn id="59" name="Column59" dataDxfId="2066"/>
    <tableColumn id="60" name="Column60" dataDxfId="2067"/>
    <tableColumn id="61" name="Column61" dataDxfId="2068"/>
    <tableColumn id="62" name="Column62" dataDxfId="2069"/>
    <tableColumn id="63" name="Column63" dataDxfId="2070"/>
    <tableColumn id="64" name="Column64" dataDxfId="2071"/>
    <tableColumn id="65" name="Column65" dataDxfId="2072"/>
    <tableColumn id="66" name="Column66" dataDxfId="2073"/>
    <tableColumn id="67" name="Column67" dataDxfId="2074"/>
    <tableColumn id="68" name="Column68" dataDxfId="2075"/>
  </tableColumns>
  <tableStyleInfo name="August 2026 Roster-style" showFirstColumn="1" showLastColumn="1" showRowStripes="1" showColumnStripes="0"/>
</table>
</file>

<file path=xl/tables/table31.xml><?xml version="1.0" encoding="utf-8"?>
<table xmlns="http://schemas.openxmlformats.org/spreadsheetml/2006/main" id="31" name="Table_94" displayName="Table_94" ref="B80:BP95" headerRowCount="0">
  <tableColumns count="67">
    <tableColumn id="1" name="Column1" dataDxfId="2076"/>
    <tableColumn id="2" name="Column2" dataDxfId="2077"/>
    <tableColumn id="3" name="Column3" dataDxfId="2078"/>
    <tableColumn id="4" name="Column4" dataDxfId="2079"/>
    <tableColumn id="5" name="Column5" dataDxfId="2080"/>
    <tableColumn id="6" name="Column6" dataDxfId="2081"/>
    <tableColumn id="7" name="Column7" dataDxfId="2082"/>
    <tableColumn id="8" name="Column8" dataDxfId="2083"/>
    <tableColumn id="9" name="Column9" dataDxfId="2084"/>
    <tableColumn id="10" name="Column10" dataDxfId="2085"/>
    <tableColumn id="11" name="Column11" dataDxfId="2086"/>
    <tableColumn id="12" name="Column12" dataDxfId="2087"/>
    <tableColumn id="13" name="Column13" dataDxfId="2088"/>
    <tableColumn id="14" name="Column14" dataDxfId="2089"/>
    <tableColumn id="15" name="Column15" dataDxfId="2090"/>
    <tableColumn id="16" name="Column16" dataDxfId="2091"/>
    <tableColumn id="17" name="Column17" dataDxfId="2092"/>
    <tableColumn id="18" name="Column18" dataDxfId="2093"/>
    <tableColumn id="19" name="Column19" dataDxfId="2094"/>
    <tableColumn id="20" name="Column20" dataDxfId="2095"/>
    <tableColumn id="21" name="Column21" dataDxfId="2096"/>
    <tableColumn id="22" name="Column22" dataDxfId="2097"/>
    <tableColumn id="23" name="Column23" dataDxfId="2098"/>
    <tableColumn id="24" name="Column24" dataDxfId="2099"/>
    <tableColumn id="25" name="Column25" dataDxfId="2100"/>
    <tableColumn id="26" name="Column26" dataDxfId="2101"/>
    <tableColumn id="27" name="Column27" dataDxfId="2102"/>
    <tableColumn id="28" name="Column28" dataDxfId="2103"/>
    <tableColumn id="29" name="Column29" dataDxfId="2104"/>
    <tableColumn id="30" name="Column30" dataDxfId="2105"/>
    <tableColumn id="31" name="Column31" dataDxfId="2106"/>
    <tableColumn id="32" name="Column32" dataDxfId="2107"/>
    <tableColumn id="33" name="Column33" dataDxfId="2108"/>
    <tableColumn id="34" name="Column34" dataDxfId="2109"/>
    <tableColumn id="35" name="Column35" dataDxfId="2110"/>
    <tableColumn id="36" name="Column36" dataDxfId="2111"/>
    <tableColumn id="37" name="Column37" dataDxfId="2112"/>
    <tableColumn id="38" name="Column38" dataDxfId="2113"/>
    <tableColumn id="39" name="Column39" dataDxfId="2114"/>
    <tableColumn id="40" name="Column40" dataDxfId="2115"/>
    <tableColumn id="41" name="Column41" dataDxfId="2116"/>
    <tableColumn id="42" name="Column42" dataDxfId="2117"/>
    <tableColumn id="43" name="Column43" dataDxfId="2118"/>
    <tableColumn id="44" name="Column44" dataDxfId="2119"/>
    <tableColumn id="45" name="Column45" dataDxfId="2120"/>
    <tableColumn id="46" name="Column46" dataDxfId="2121"/>
    <tableColumn id="47" name="Column47" dataDxfId="2122"/>
    <tableColumn id="48" name="Column48" dataDxfId="2123"/>
    <tableColumn id="49" name="Column49" dataDxfId="2124"/>
    <tableColumn id="50" name="Column50" dataDxfId="2125"/>
    <tableColumn id="51" name="Column51" dataDxfId="2126"/>
    <tableColumn id="52" name="Column52" dataDxfId="2127"/>
    <tableColumn id="53" name="Column53" dataDxfId="2128"/>
    <tableColumn id="54" name="Column54" dataDxfId="2129"/>
    <tableColumn id="55" name="Column55" dataDxfId="2130"/>
    <tableColumn id="56" name="Column56" dataDxfId="2131"/>
    <tableColumn id="57" name="Column57" dataDxfId="2132"/>
    <tableColumn id="58" name="Column58" dataDxfId="2133"/>
    <tableColumn id="59" name="Column59" dataDxfId="2134"/>
    <tableColumn id="60" name="Column60" dataDxfId="2135"/>
    <tableColumn id="61" name="Column61" dataDxfId="2136"/>
    <tableColumn id="62" name="Column62" dataDxfId="2137"/>
    <tableColumn id="63" name="Column63" dataDxfId="2138"/>
    <tableColumn id="64" name="Column64" dataDxfId="2139"/>
    <tableColumn id="65" name="Column65" dataDxfId="2140"/>
    <tableColumn id="66" name="Column66" dataDxfId="2141"/>
    <tableColumn id="67" name="Column67" dataDxfId="2142"/>
  </tableColumns>
  <tableStyleInfo name="August 2026 Roster-style 2"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7.xml" Id="rId1" /><Relationship Type="http://schemas.openxmlformats.org/officeDocument/2006/relationships/table" Target="/xl/tables/table18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table" Target="/xl/tables/table20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1.xml" Id="rId1" /><Relationship Type="http://schemas.openxmlformats.org/officeDocument/2006/relationships/table" Target="/xl/tables/table22.xml" Id="rId2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3.xml" Id="rId1" /><Relationship Type="http://schemas.openxmlformats.org/officeDocument/2006/relationships/table" Target="/xl/tables/table24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6.xml" Id="rId1" /><Relationship Type="http://schemas.openxmlformats.org/officeDocument/2006/relationships/table" Target="/xl/tables/table27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8.xml" Id="rId1" /><Relationship Type="http://schemas.openxmlformats.org/officeDocument/2006/relationships/table" Target="/xl/tables/table29.xml" Id="rId2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30.xml" Id="rId1" /><Relationship Type="http://schemas.openxmlformats.org/officeDocument/2006/relationships/table" Target="/xl/tables/table31.xml" Id="rId2" /></Relationships>
</file>

<file path=xl/worksheets/sheet1.xml><?xml version="1.0" encoding="utf-8"?>
<worksheet xmlns="http://schemas.openxmlformats.org/spreadsheetml/2006/main">
  <sheetPr>
    <outlinePr summaryBelow="0"/>
    <pageSetUpPr fitToPage="1"/>
  </sheetPr>
  <dimension ref="A1:BP40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9.24761904761905" customWidth="1" min="16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3"/>
    <col hidden="1" outlineLevel="1" width="9.38095238095238" customWidth="1" min="34" max="40"/>
    <col collapsed="1" width="6.75238095238095" customWidth="1" min="41" max="41"/>
    <col outlineLevel="1" width="8.87619047619048" customWidth="1" min="42" max="42"/>
    <col outlineLevel="1" width="7.87619047619048" customWidth="1" min="43" max="43"/>
    <col outlineLevel="1" width="9.133333333333329" customWidth="1" min="44" max="44"/>
    <col outlineLevel="1" width="8.24761904761905" customWidth="1" min="45" max="45"/>
    <col outlineLevel="1" width="5.5047619047619" customWidth="1" min="46" max="46"/>
    <col width="9.38095238095238" customWidth="1" min="47" max="49"/>
    <col outlineLevel="1" width="9.38095238095238" customWidth="1" min="50" max="57"/>
    <col outlineLevel="1" width="10" customWidth="1" min="58" max="58"/>
    <col outlineLevel="1" width="9.38095238095238" customWidth="1" min="59" max="64"/>
    <col width="9.38095238095238" customWidth="1" min="65" max="65"/>
    <col width="9.504761904761899" customWidth="1" min="66" max="66"/>
    <col width="9.38095238095238" customWidth="1" min="67" max="68"/>
  </cols>
  <sheetData>
    <row r="1" ht="3" customHeight="1">
      <c r="A1" s="408" t="n"/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90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1" t="n"/>
    </row>
    <row r="2" ht="26.25" customHeight="1">
      <c r="A2" s="412" t="n"/>
      <c r="B2" s="24" t="inlineStr">
        <is>
          <t>Event Log</t>
        </is>
      </c>
      <c r="C2" s="167" t="n"/>
      <c r="D2" s="167" t="n"/>
      <c r="E2" s="167" t="n"/>
      <c r="F2" s="167" t="n"/>
      <c r="G2" s="401" t="n"/>
      <c r="I2" s="167" t="inlineStr">
        <is>
          <t>C VACC 2</t>
        </is>
      </c>
      <c r="J2" s="167" t="n"/>
      <c r="L2" s="167" t="n"/>
      <c r="M2" s="167" t="inlineStr">
        <is>
          <t>F VACC 2</t>
        </is>
      </c>
      <c r="N2" s="167" t="inlineStr">
        <is>
          <t>E VACC 1</t>
        </is>
      </c>
      <c r="O2" s="167" t="inlineStr">
        <is>
          <t>T VACC 1</t>
        </is>
      </c>
      <c r="P2" s="167" t="inlineStr">
        <is>
          <t>B VACC 1</t>
        </is>
      </c>
      <c r="Q2" s="167" t="inlineStr">
        <is>
          <t>U VACC 2</t>
        </is>
      </c>
      <c r="R2" s="167" t="n"/>
      <c r="S2" s="167" t="n"/>
      <c r="T2" s="167" t="inlineStr">
        <is>
          <t>A VACC 1</t>
        </is>
      </c>
      <c r="U2" s="167" t="inlineStr">
        <is>
          <t>V VACC 2</t>
        </is>
      </c>
      <c r="V2" s="167" t="inlineStr">
        <is>
          <t>W VACC 2</t>
        </is>
      </c>
      <c r="W2" s="167" t="inlineStr">
        <is>
          <t>O VACC 2</t>
        </is>
      </c>
      <c r="X2" s="167" t="inlineStr">
        <is>
          <t>N VACC 1</t>
        </is>
      </c>
      <c r="Y2" s="167" t="n"/>
      <c r="Z2" s="167" t="n"/>
      <c r="AA2" s="294" t="inlineStr">
        <is>
          <t>R VACC 2</t>
        </is>
      </c>
      <c r="AB2" s="167" t="inlineStr">
        <is>
          <t>P VACC 1</t>
        </is>
      </c>
      <c r="AC2" s="167" t="n"/>
      <c r="AD2" s="167" t="n"/>
      <c r="AE2" s="167" t="inlineStr">
        <is>
          <t>S VACC 1</t>
        </is>
      </c>
      <c r="AF2" s="167" t="n"/>
      <c r="AG2" s="167" t="n"/>
      <c r="AH2" s="218" t="n"/>
      <c r="AI2" s="218" t="n"/>
      <c r="AJ2" s="218" t="n"/>
      <c r="AK2" s="295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6" t="inlineStr">
        <is>
          <t>0.3125+0.0625+0.5
long+stay+pass12</t>
        </is>
      </c>
      <c r="BA2" s="296" t="n"/>
      <c r="BB2" s="296" t="inlineStr">
        <is>
          <t>0.3125+0.125
Long hr+aft 1730</t>
        </is>
      </c>
      <c r="BC2" s="296" t="n"/>
      <c r="BD2" s="296" t="inlineStr">
        <is>
          <t>0.125+0.125+0.0625
Bef 0730+Aft1730+stay</t>
        </is>
      </c>
      <c r="BE2" s="296" t="n"/>
      <c r="BF2" s="296" t="n"/>
      <c r="BG2" s="296" t="inlineStr">
        <is>
          <t>0.125
after 1730</t>
        </is>
      </c>
      <c r="BH2" s="296" t="n"/>
      <c r="BI2" s="296" t="inlineStr">
        <is>
          <t>stay in+ bef 0730</t>
        </is>
      </c>
      <c r="BJ2" s="296" t="n"/>
      <c r="BK2" s="296" t="n"/>
      <c r="BL2" s="296" t="n"/>
      <c r="BM2" s="295" t="n"/>
      <c r="BN2" s="295" t="n"/>
      <c r="BO2" s="295" t="n"/>
      <c r="BP2" s="297" t="n"/>
    </row>
    <row r="3" ht="26.25" customHeight="1">
      <c r="A3" s="412" t="n"/>
      <c r="B3" s="24" t="inlineStr">
        <is>
          <t>Rostering</t>
        </is>
      </c>
      <c r="C3" s="413" t="n">
        <v>45597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4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4">
        <f>S3+1</f>
        <v/>
      </c>
      <c r="U3" s="414">
        <f>T3+1</f>
        <v/>
      </c>
      <c r="V3" s="414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4">
        <f>AF3+1</f>
        <v/>
      </c>
      <c r="AH3" s="221">
        <f>'Setting key Duty'!$C7</f>
        <v/>
      </c>
      <c r="AI3" s="222">
        <f>'Setting key Duty'!$C8</f>
        <v/>
      </c>
      <c r="AJ3" s="223">
        <f>'Setting key Duty'!$C9</f>
        <v/>
      </c>
      <c r="AK3" s="302">
        <f>'Setting key Duty'!$C11</f>
        <v/>
      </c>
      <c r="AL3" s="302">
        <f>'Setting key Duty'!$C12</f>
        <v/>
      </c>
      <c r="AM3" s="302">
        <f>'Setting key Duty'!$C13</f>
        <v/>
      </c>
      <c r="AN3" s="302">
        <f>'Setting key Duty'!C14</f>
        <v/>
      </c>
      <c r="AO3" s="223" t="n"/>
      <c r="AP3" s="223" t="inlineStr">
        <is>
          <t>Weekday Duty</t>
        </is>
      </c>
      <c r="AQ3" s="223" t="inlineStr">
        <is>
          <t>Weekday Extra</t>
        </is>
      </c>
      <c r="AR3" s="223" t="inlineStr">
        <is>
          <t>Weekend Duty</t>
        </is>
      </c>
      <c r="AS3" s="223" t="inlineStr">
        <is>
          <t>Weekend Extra</t>
        </is>
      </c>
      <c r="AT3" s="223" t="inlineStr">
        <is>
          <t>Duty Point</t>
        </is>
      </c>
      <c r="AU3" s="223" t="inlineStr">
        <is>
          <t>Total Duty</t>
        </is>
      </c>
      <c r="AV3" s="223" t="inlineStr">
        <is>
          <t>Total Cover</t>
        </is>
      </c>
      <c r="AW3" s="223" t="inlineStr">
        <is>
          <t>Total Point</t>
        </is>
      </c>
      <c r="AX3" s="223" t="inlineStr">
        <is>
          <t>Total Cover
Point</t>
        </is>
      </c>
      <c r="AY3" s="223" t="inlineStr">
        <is>
          <t>Bedok RT</t>
        </is>
      </c>
      <c r="AZ3" s="302" t="inlineStr">
        <is>
          <t>BTP</t>
        </is>
      </c>
      <c r="BA3" s="302" t="inlineStr">
        <is>
          <t>$BTP
Point</t>
        </is>
      </c>
      <c r="BB3" s="302" t="inlineStr">
        <is>
          <t>Long Cover</t>
        </is>
      </c>
      <c r="BC3" s="302" t="inlineStr">
        <is>
          <t>$L
Point</t>
        </is>
      </c>
      <c r="BD3" s="302" t="inlineStr">
        <is>
          <t>Mid Cover</t>
        </is>
      </c>
      <c r="BE3" s="302" t="inlineStr">
        <is>
          <t>$M 
Point</t>
        </is>
      </c>
      <c r="BF3" s="302" t="inlineStr">
        <is>
          <t>Cover
 Normal Hour</t>
        </is>
      </c>
      <c r="BG3" s="302" t="inlineStr">
        <is>
          <t>Cover
After Hour</t>
        </is>
      </c>
      <c r="BH3" s="302" t="inlineStr">
        <is>
          <t>$PM
Point</t>
        </is>
      </c>
      <c r="BI3" s="302" t="inlineStr">
        <is>
          <t>Cover
Early</t>
        </is>
      </c>
      <c r="BJ3" s="302" t="inlineStr">
        <is>
          <t>$AM
Point</t>
        </is>
      </c>
      <c r="BK3" s="302">
        <f>'Setting key Duty'!C52</f>
        <v/>
      </c>
      <c r="BL3" s="302" t="inlineStr">
        <is>
          <t>$FC
Point</t>
        </is>
      </c>
      <c r="BM3" s="302">
        <f>'Setting key Duty'!$C15</f>
        <v/>
      </c>
      <c r="BN3" s="302">
        <f>'Setting key Duty'!C17</f>
        <v/>
      </c>
      <c r="BO3" s="302">
        <f>'Setting key Duty'!$C22</f>
        <v/>
      </c>
      <c r="BP3" s="297" t="n"/>
    </row>
    <row r="4" ht="18" customHeight="1">
      <c r="A4" s="303" t="n"/>
      <c r="B4" s="260" t="inlineStr">
        <is>
          <t>Updated on: 26/10/1018</t>
        </is>
      </c>
      <c r="C4" s="415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5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5">
        <f>TEXT(T3,"ddd")</f>
        <v/>
      </c>
      <c r="U4" s="415">
        <f>TEXT(U3,"ddd")</f>
        <v/>
      </c>
      <c r="V4" s="415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5">
        <f>TEXT(AG3,"ddd")</f>
        <v/>
      </c>
      <c r="AH4" s="227">
        <f>'Setting key Duty'!$B7</f>
        <v/>
      </c>
      <c r="AI4" s="228">
        <f>'Setting key Duty'!$B8</f>
        <v/>
      </c>
      <c r="AJ4" s="229">
        <f>'Setting key Duty'!$B9</f>
        <v/>
      </c>
      <c r="AK4" s="307">
        <f>'Setting key Duty'!$B11</f>
        <v/>
      </c>
      <c r="AL4" s="307">
        <f>'Setting key Duty'!$B12</f>
        <v/>
      </c>
      <c r="AM4" s="307">
        <f>'Setting key Duty'!$B13</f>
        <v/>
      </c>
      <c r="AN4" s="307">
        <f>'Setting key Duty'!B14</f>
        <v/>
      </c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inlineStr">
        <is>
          <t>BRT</t>
        </is>
      </c>
      <c r="AZ4" s="307" t="inlineStr">
        <is>
          <t>$BTP</t>
        </is>
      </c>
      <c r="BA4" s="307" t="n"/>
      <c r="BB4" s="307" t="inlineStr">
        <is>
          <t>$L</t>
        </is>
      </c>
      <c r="BC4" s="307" t="n"/>
      <c r="BD4" s="307" t="inlineStr">
        <is>
          <t>$M</t>
        </is>
      </c>
      <c r="BE4" s="307" t="n"/>
      <c r="BF4" s="307" t="inlineStr">
        <is>
          <t>$N</t>
        </is>
      </c>
      <c r="BG4" s="307" t="inlineStr">
        <is>
          <t>$PM</t>
        </is>
      </c>
      <c r="BH4" s="307" t="n"/>
      <c r="BI4" s="307" t="inlineStr">
        <is>
          <t>$AM</t>
        </is>
      </c>
      <c r="BJ4" s="307" t="n"/>
      <c r="BK4" s="307">
        <f>'Setting key Duty'!B52</f>
        <v/>
      </c>
      <c r="BL4" s="307" t="n"/>
      <c r="BM4" s="307">
        <f>'Setting key Duty'!$B15</f>
        <v/>
      </c>
      <c r="BN4" s="307">
        <f>'Setting key Duty'!B17</f>
        <v/>
      </c>
      <c r="BO4" s="307">
        <f>'Setting key Duty'!$B22</f>
        <v/>
      </c>
      <c r="BP4" s="308" t="n"/>
    </row>
    <row r="5" ht="19.5" customHeight="1">
      <c r="A5" s="309" t="inlineStr">
        <is>
          <t>X</t>
        </is>
      </c>
      <c r="B5" s="332" t="inlineStr">
        <is>
          <t>CFC MUHAMAD HAZMI BIN MOHD ZULKIFLI</t>
        </is>
      </c>
      <c r="C5" s="197" t="inlineStr">
        <is>
          <t>OL</t>
        </is>
      </c>
      <c r="D5" s="197" t="inlineStr">
        <is>
          <t>AL</t>
        </is>
      </c>
      <c r="E5" s="197" t="inlineStr">
        <is>
          <t>AL</t>
        </is>
      </c>
      <c r="F5" s="106" t="n"/>
      <c r="G5" s="106" t="n"/>
      <c r="H5" s="197" t="inlineStr">
        <is>
          <t>CS1</t>
        </is>
      </c>
      <c r="I5" s="197" t="n"/>
      <c r="J5" s="106" t="n"/>
      <c r="K5" s="197" t="inlineStr">
        <is>
          <t>DM</t>
        </is>
      </c>
      <c r="L5" s="106" t="n"/>
      <c r="M5" s="197" t="inlineStr">
        <is>
          <t>CS1</t>
        </is>
      </c>
      <c r="N5" s="197" t="n"/>
      <c r="O5" s="197" t="inlineStr">
        <is>
          <t>SB1</t>
        </is>
      </c>
      <c r="P5" s="106" t="n"/>
      <c r="Q5" s="197" t="inlineStr">
        <is>
          <t>AL</t>
        </is>
      </c>
      <c r="R5" s="197" t="n"/>
      <c r="S5" s="197" t="n"/>
      <c r="T5" s="197" t="inlineStr">
        <is>
          <t>CS2</t>
        </is>
      </c>
      <c r="U5" s="197" t="inlineStr">
        <is>
          <t>AL</t>
        </is>
      </c>
      <c r="V5" s="197" t="inlineStr">
        <is>
          <t>CS2</t>
        </is>
      </c>
      <c r="W5" s="197" t="n"/>
      <c r="X5" s="197" t="inlineStr">
        <is>
          <t>CS1</t>
        </is>
      </c>
      <c r="Y5" s="198" t="n"/>
      <c r="Z5" s="106" t="n"/>
      <c r="AA5" s="106" t="n"/>
      <c r="AD5" s="197" t="inlineStr">
        <is>
          <t>DM</t>
        </is>
      </c>
      <c r="AE5" s="197" t="n"/>
      <c r="AF5" s="197" t="inlineStr">
        <is>
          <t>DM</t>
        </is>
      </c>
      <c r="AG5" s="197" t="n"/>
      <c r="AH5" s="311">
        <f>COUNTIF($C5:$AE5,AH$4)</f>
        <v/>
      </c>
      <c r="AI5" s="312">
        <f>COUNTIF($C5:$AE5,AI$4)</f>
        <v/>
      </c>
      <c r="AJ5" s="311">
        <f>COUNTIF($C5:$AE5,AJ$4)</f>
        <v/>
      </c>
      <c r="AK5" s="313">
        <f>COUNTIF($C5:$AE5,AK$4)</f>
        <v/>
      </c>
      <c r="AL5" s="313">
        <f>COUNTIF($C5:$AE5,AL$4)</f>
        <v/>
      </c>
      <c r="AM5" s="313">
        <f>COUNTIF($C5:$AE5,AM$4)</f>
        <v/>
      </c>
      <c r="AN5" s="313">
        <f>COUNTIF($C5:$AE5,AN$4)</f>
        <v/>
      </c>
      <c r="AO5" s="238" t="n"/>
      <c r="AP5" s="313">
        <f>SUMPRODUCT(--WEEKDAY(C$3:AG$3,2)&lt;6,--((C5:AG5="DM"))+(C5:AG5="CS1")+((C5:AG5="CS2"))+(C5:AG5="SB1")+(C5:AG5="AE")+(C5:AG5="EM"))</f>
        <v/>
      </c>
      <c r="AQ5" s="238" t="n"/>
      <c r="AR5" s="238">
        <f>SUMPRODUCT(--WEEKDAY(C$3:AG$3,2)&gt;5,--((C5:AG5="DM"))+(C5:AG5="CS1")+((C5:AG5="CS2"))+(C5:AG5="SB1")+(C5:AG5="AE")+(C5:AG5="EM"))</f>
        <v/>
      </c>
      <c r="AS5" s="238" t="n"/>
      <c r="AT5" s="238">
        <f>(AP5-AQ5)/2+(AR5-AS5)</f>
        <v/>
      </c>
      <c r="AU5" s="238">
        <f>AH5+AI5+AJ5+AK5+AM5+AN5</f>
        <v/>
      </c>
      <c r="AV5" s="238">
        <f>BF5+BG5+BI5+BD5+BB5+AZ5+BK5</f>
        <v/>
      </c>
      <c r="AW5" s="238">
        <f>AT5+AX5</f>
        <v/>
      </c>
      <c r="AX5" s="313">
        <f>(BI5*('Setting key Duty'!$I$8+'Setting key Duty'!$I$12))+(BG5*'Setting key Duty'!$I$9)+(BB5*('Setting key Duty'!$I$13+'Setting key Duty'!$I$9))+(AZ5*('Setting key Duty'!$I$13+'Setting key Duty'!$I$12+'Setting key Duty'!$I$11))+(BD5*('Setting key Duty'!$I$8+'Setting key Duty'!$I$9+'Setting key Duty'!$I$12))</f>
        <v/>
      </c>
      <c r="AY5" s="313">
        <f>COUNTIF(C5:AE5,"*BRT*")</f>
        <v/>
      </c>
      <c r="AZ5" s="313">
        <f>COUNTIF(A5:AH5,"*$BTP*")</f>
        <v/>
      </c>
      <c r="BA5" s="313">
        <f>AZ5*('Setting key Duty'!$I$13+'Setting key Duty'!$I$12+'Setting key Duty'!$I$11)</f>
        <v/>
      </c>
      <c r="BB5" s="313">
        <f>COUNTIF(A5:AH5,"*$L*")</f>
        <v/>
      </c>
      <c r="BC5" s="313">
        <f>BB5*('Setting key Duty'!$I$13+'Setting key Duty'!$I$9)</f>
        <v/>
      </c>
      <c r="BD5" s="313">
        <f>COUNTIF(A5:AH5,"*$M*")</f>
        <v/>
      </c>
      <c r="BE5" s="313">
        <f>BD5*('Setting key Duty'!$I$8+'Setting key Duty'!$I$9+'Setting key Duty'!$I$12)</f>
        <v/>
      </c>
      <c r="BF5" s="313">
        <f>COUNTIF(AF5:AH5,"*$N*")</f>
        <v/>
      </c>
      <c r="BG5" s="313">
        <f>COUNTIF(AF5:AH5,"*$PM*")</f>
        <v/>
      </c>
      <c r="BH5" s="313">
        <f>BG5*('Setting key Duty'!$I$9)</f>
        <v/>
      </c>
      <c r="BI5" s="313">
        <f>COUNTIF(A5:AH5,"*$AM*")</f>
        <v/>
      </c>
      <c r="BJ5" s="313">
        <f>BI5*('Setting key Duty'!$I$12+'Setting key Duty'!$I$8)</f>
        <v/>
      </c>
      <c r="BK5" s="313">
        <f>COUNTIF(C5:AH5,"*$FC*")</f>
        <v/>
      </c>
      <c r="BL5" s="313">
        <f>BK5*('Setting key Duty'!$J$11+'Setting key Duty'!$I$8)</f>
        <v/>
      </c>
      <c r="BM5" s="313">
        <f>COUNTIF($C5:$AE5,BM$4)</f>
        <v/>
      </c>
      <c r="BN5" s="313">
        <f>COUNTIF($C5:$AE5,BN$4)</f>
        <v/>
      </c>
      <c r="BO5" s="313">
        <f>COUNTIF($C5:$AE5,BO$4)</f>
        <v/>
      </c>
      <c r="BP5" s="314" t="n"/>
    </row>
    <row r="6" ht="36" customHeight="1">
      <c r="A6" s="309" t="n"/>
      <c r="B6" s="375" t="inlineStr">
        <is>
          <t>CPL MUHAMMAD IZZAN RIZAL</t>
        </is>
      </c>
      <c r="C6" s="197" t="n"/>
      <c r="E6" s="197" t="inlineStr">
        <is>
          <t>SB1</t>
        </is>
      </c>
      <c r="F6" s="197" t="n"/>
      <c r="G6" s="106" t="n"/>
      <c r="H6" s="197" t="inlineStr">
        <is>
          <t>SB1</t>
        </is>
      </c>
      <c r="I6" s="106" t="n"/>
      <c r="J6" s="197" t="inlineStr">
        <is>
          <t>CS1</t>
        </is>
      </c>
      <c r="K6" s="197" t="n"/>
      <c r="L6" s="197" t="n"/>
      <c r="M6" s="197" t="n"/>
      <c r="N6" s="197" t="n"/>
      <c r="O6" s="197" t="inlineStr">
        <is>
          <t>AMPT</t>
        </is>
      </c>
      <c r="P6" s="197" t="n"/>
      <c r="Q6" s="106" t="n"/>
      <c r="R6" s="106" t="n"/>
      <c r="S6" s="197" t="inlineStr">
        <is>
          <t>CS2</t>
        </is>
      </c>
      <c r="T6" s="197" t="n"/>
      <c r="U6" s="197" t="inlineStr">
        <is>
          <t>CS2</t>
        </is>
      </c>
      <c r="V6" s="106" t="n"/>
      <c r="W6" s="197" t="inlineStr">
        <is>
          <t>CS1</t>
        </is>
      </c>
      <c r="Y6" s="197" t="n"/>
      <c r="Z6" s="198" t="n"/>
      <c r="AA6" s="197" t="inlineStr">
        <is>
          <t>CS2</t>
        </is>
      </c>
      <c r="AD6" s="197" t="inlineStr">
        <is>
          <t>AL</t>
        </is>
      </c>
      <c r="AE6" s="197" t="inlineStr">
        <is>
          <t>AL</t>
        </is>
      </c>
      <c r="AF6" s="197" t="inlineStr">
        <is>
          <t>AL</t>
        </is>
      </c>
      <c r="AG6" s="197" t="inlineStr">
        <is>
          <t>AL</t>
        </is>
      </c>
      <c r="AH6" s="311">
        <f>COUNTIF($C6:$AE6,AH$4)</f>
        <v/>
      </c>
      <c r="AI6" s="312">
        <f>COUNTIF($C6:$AE6,AI$4)</f>
        <v/>
      </c>
      <c r="AJ6" s="311">
        <f>COUNTIF($C6:$AE6,AJ$4)</f>
        <v/>
      </c>
      <c r="AK6" s="313">
        <f>COUNTIF($C6:$AE6,AK$4)</f>
        <v/>
      </c>
      <c r="AL6" s="313">
        <f>COUNTIF($C6:$AE6,AL$4)</f>
        <v/>
      </c>
      <c r="AM6" s="313">
        <f>COUNTIF($C6:$AE6,AM$4)</f>
        <v/>
      </c>
      <c r="AN6" s="313">
        <f>COUNTIF($C6:$AE6,AN$4)</f>
        <v/>
      </c>
      <c r="AO6" s="238" t="n"/>
      <c r="AP6" s="313">
        <f>SUMPRODUCT(--WEEKDAY(C$3:AG$3,2)&lt;6,--((C6:AG6="DM"))+(C6:AG6="CS1")+((C6:AG6="CS2"))+(C6:AG6="SB1")+(C6:AG6="AE")+(C6:AG6="EM"))</f>
        <v/>
      </c>
      <c r="AQ6" s="238" t="n"/>
      <c r="AR6" s="238">
        <f>SUMPRODUCT(--WEEKDAY(C$3:AG$3,2)&gt;5,--((C6:AG6="DM"))+(C6:AG6="CS1")+((C6:AG6="CS2"))+(C6:AG6="SB1")+(C6:AG6="AE")+(C6:AG6="EM"))</f>
        <v/>
      </c>
      <c r="AS6" s="238" t="n"/>
      <c r="AT6" s="238">
        <f>(AP6-AQ6)/2+(AR6-AS6)</f>
        <v/>
      </c>
      <c r="AU6" s="238">
        <f>AH6+AI6+AJ6+AK6+AM6+AN6</f>
        <v/>
      </c>
      <c r="AV6" s="238">
        <f>AT6+AX6</f>
        <v/>
      </c>
      <c r="AW6" s="238">
        <f>AT6+AX6</f>
        <v/>
      </c>
      <c r="AX6" s="313">
        <f>(BI6*('Setting key Duty'!$I$8+'Setting key Duty'!$I$12))+(BG6*'Setting key Duty'!$I$9)+(BB6*('Setting key Duty'!$I$13+'Setting key Duty'!$I$9))+(AZ6*('Setting key Duty'!$I$13+'Setting key Duty'!$I$12+'Setting key Duty'!$I$11))+(BD6*('Setting key Duty'!$I$8+'Setting key Duty'!$I$9+'Setting key Duty'!$I$12))</f>
        <v/>
      </c>
      <c r="AY6" s="313">
        <f>COUNTIF(C6:AE6,"*BRT*")</f>
        <v/>
      </c>
      <c r="AZ6" s="313">
        <f>COUNTIF(A6:AH6,"*$BTP*")</f>
        <v/>
      </c>
      <c r="BA6" s="313">
        <f>AZ6*('Setting key Duty'!$I$13+'Setting key Duty'!$I$12+'Setting key Duty'!$I$11)</f>
        <v/>
      </c>
      <c r="BB6" s="313">
        <f>COUNTIF(A6:AH6,"*$L*")</f>
        <v/>
      </c>
      <c r="BC6" s="313">
        <f>BB6*('Setting key Duty'!$I$13+'Setting key Duty'!$I$9)</f>
        <v/>
      </c>
      <c r="BD6" s="313">
        <f>COUNTIF(A6:AH6,"*$M*")</f>
        <v/>
      </c>
      <c r="BE6" s="313">
        <f>BD6*('Setting key Duty'!$I$8+'Setting key Duty'!$I$9+'Setting key Duty'!$I$12)</f>
        <v/>
      </c>
      <c r="BF6" s="313">
        <f>COUNTIF(AF6:AH6,"*$N*")</f>
        <v/>
      </c>
      <c r="BG6" s="313">
        <f>COUNTIF(AF6:AH6,"*$PM*")</f>
        <v/>
      </c>
      <c r="BH6" s="313">
        <f>BG6*('Setting key Duty'!$I$9)</f>
        <v/>
      </c>
      <c r="BI6" s="313">
        <f>COUNTIF(A6:AH6,"*$AM*")</f>
        <v/>
      </c>
      <c r="BJ6" s="313">
        <f>BI6*('Setting key Duty'!$I$12+'Setting key Duty'!$I$8)</f>
        <v/>
      </c>
      <c r="BK6" s="313">
        <f>COUNTIF(C6:AH6,"*$FC*")</f>
        <v/>
      </c>
      <c r="BL6" s="313">
        <f>BK6*('Setting key Duty'!$J$11+'Setting key Duty'!$I$8)</f>
        <v/>
      </c>
      <c r="BM6" s="313">
        <f>COUNTIF($C6:$AE6,BM$4)</f>
        <v/>
      </c>
      <c r="BN6" s="313">
        <f>COUNTIF($C6:$AE6,BN$4)</f>
        <v/>
      </c>
      <c r="BO6" s="313">
        <f>COUNTIF($C6:$AE6,BO$4)</f>
        <v/>
      </c>
      <c r="BP6" s="314" t="n"/>
    </row>
    <row r="7" ht="19.5" customHeight="1">
      <c r="A7" s="309" t="n"/>
      <c r="B7" s="334" t="inlineStr">
        <is>
          <t>LCP KARTHIKRAM KRISHNAN</t>
        </is>
      </c>
      <c r="C7" s="197" t="inlineStr">
        <is>
          <t>SB1</t>
        </is>
      </c>
      <c r="D7" s="197" t="n"/>
      <c r="E7" s="197" t="n"/>
      <c r="F7" s="106" t="n"/>
      <c r="G7" s="317" t="inlineStr">
        <is>
          <t>CS2</t>
        </is>
      </c>
      <c r="H7" s="106" t="n"/>
      <c r="I7" s="197" t="inlineStr">
        <is>
          <t>CS1</t>
        </is>
      </c>
      <c r="J7" s="197" t="n"/>
      <c r="K7" s="197" t="n"/>
      <c r="L7" s="197" t="inlineStr">
        <is>
          <t>DM</t>
        </is>
      </c>
      <c r="M7" s="106" t="n"/>
      <c r="N7" s="197" t="n"/>
      <c r="O7" s="197" t="inlineStr">
        <is>
          <t>AMPT</t>
        </is>
      </c>
      <c r="P7" s="197" t="inlineStr">
        <is>
          <t>CS2</t>
        </is>
      </c>
      <c r="Q7" s="106" t="n"/>
      <c r="R7" s="197" t="n"/>
      <c r="S7" s="197" t="n"/>
      <c r="T7" s="197" t="n"/>
      <c r="U7" s="197" t="n"/>
      <c r="V7" s="197" t="inlineStr">
        <is>
          <t>CS1</t>
        </is>
      </c>
      <c r="W7" s="106" t="n"/>
      <c r="X7" s="106" t="n"/>
      <c r="Y7" s="197" t="n"/>
      <c r="Z7" s="197" t="inlineStr">
        <is>
          <t>DM</t>
        </is>
      </c>
      <c r="AA7" s="197" t="n"/>
      <c r="AB7" s="106" t="n"/>
      <c r="AC7" s="106" t="n"/>
      <c r="AD7" s="197" t="n"/>
      <c r="AE7" s="197" t="n"/>
      <c r="AF7" s="197" t="n"/>
      <c r="AG7" s="197" t="inlineStr">
        <is>
          <t>DM</t>
        </is>
      </c>
      <c r="AH7" s="311">
        <f>COUNTIF($C7:$D7,AH$4)</f>
        <v/>
      </c>
      <c r="AI7" s="312">
        <f>COUNTIF($C7:$D7,AI$4)</f>
        <v/>
      </c>
      <c r="AJ7" s="311">
        <f>COUNTIF($C7:$D7,AJ$4)</f>
        <v/>
      </c>
      <c r="AK7" s="313">
        <f>COUNTIF($C7:$D7,AK$4)</f>
        <v/>
      </c>
      <c r="AL7" s="313">
        <f>COUNTIF($C7:$D7,AL$4)</f>
        <v/>
      </c>
      <c r="AM7" s="313">
        <f>COUNTIF($C7:$D7,AM$4)</f>
        <v/>
      </c>
      <c r="AN7" s="313">
        <f>COUNTIF($C7:$D7,AN$4)</f>
        <v/>
      </c>
      <c r="AO7" s="238" t="n"/>
      <c r="AP7" s="313">
        <f>SUMPRODUCT(--WEEKDAY(C$3:AG$3,2)&lt;6,--((C7:AG7="DM"))+(C7:AG7="CS1")+((C7:AG7="CS2"))+(C7:AG7="SB1")+(C7:AG7="AE")+(C7:AG7="EM"))</f>
        <v/>
      </c>
      <c r="AQ7" s="238" t="n"/>
      <c r="AR7" s="238">
        <f>SUMPRODUCT(--WEEKDAY(C$3:AG$3,2)&gt;5,--((C7:AG7="DM"))+(C7:AG7="CS1")+((C7:AG7="CS2"))+(C7:AG7="SB1")+(C7:AG7="AE")+(C7:AG7="EM"))</f>
        <v/>
      </c>
      <c r="AS7" s="238" t="n"/>
      <c r="AT7" s="238">
        <f>(AP7-AQ7)/2+(AR7-AS7)</f>
        <v/>
      </c>
      <c r="AU7" s="238">
        <f>AH7+AI7+AJ7+AK7+AM7+AN7</f>
        <v/>
      </c>
      <c r="AV7" s="238">
        <f>BF7+BG7+BI7+BD7+BB7+AZ7+BK7</f>
        <v/>
      </c>
      <c r="AW7" s="238">
        <f>AT7+AX7</f>
        <v/>
      </c>
      <c r="AX7" s="313">
        <f>(BI7*('Setting key Duty'!$I$8+'Setting key Duty'!$I$12))+(BG7*'Setting key Duty'!$I$9)+(BB7*('Setting key Duty'!$I$13+'Setting key Duty'!$I$9))+(AZ7*('Setting key Duty'!$I$13+'Setting key Duty'!$I$12+'Setting key Duty'!$I$11))+(BD7*('Setting key Duty'!$I$8+'Setting key Duty'!$I$9+'Setting key Duty'!$I$12))</f>
        <v/>
      </c>
      <c r="AY7" s="313">
        <f>COUNTIF(C7:D7,"*BRT*")</f>
        <v/>
      </c>
      <c r="AZ7" s="313">
        <f>COUNTIF(A7:AH7,"*$BTP*")</f>
        <v/>
      </c>
      <c r="BA7" s="313">
        <f>AZ7*('Setting key Duty'!$I$13+'Setting key Duty'!$I$12+'Setting key Duty'!$I$11)</f>
        <v/>
      </c>
      <c r="BB7" s="313">
        <f>COUNTIF(A7:AH7,"*$L*")</f>
        <v/>
      </c>
      <c r="BC7" s="313">
        <f>BB7*('Setting key Duty'!$I$13+'Setting key Duty'!$I$9)</f>
        <v/>
      </c>
      <c r="BD7" s="313">
        <f>COUNTIF(A7:AH7,"*$M*")</f>
        <v/>
      </c>
      <c r="BE7" s="313">
        <f>BD7*('Setting key Duty'!$I$8+'Setting key Duty'!$I$9+'Setting key Duty'!$I$12)</f>
        <v/>
      </c>
      <c r="BF7" s="313">
        <f>COUNTIF(A7:AH7,"*$N*")</f>
        <v/>
      </c>
      <c r="BG7" s="313">
        <f>COUNTIF(AG7:AH7,"*$PM*")</f>
        <v/>
      </c>
      <c r="BH7" s="313">
        <f>BG7*('Setting key Duty'!$I$9)</f>
        <v/>
      </c>
      <c r="BI7" s="313">
        <f>COUNTIF(A7:AH7,"*$AM*")</f>
        <v/>
      </c>
      <c r="BJ7" s="313">
        <f>BI7*('Setting key Duty'!$I$12+'Setting key Duty'!$I$8)</f>
        <v/>
      </c>
      <c r="BK7" s="313">
        <f>COUNTIF(C7:AH7,"*$FC*")</f>
        <v/>
      </c>
      <c r="BL7" s="313">
        <f>BK7*('Setting key Duty'!$J$11+'Setting key Duty'!$I$8)</f>
        <v/>
      </c>
      <c r="BM7" s="313">
        <f>COUNTIF($C7:$D7,BM$4)</f>
        <v/>
      </c>
      <c r="BN7" s="313">
        <f>COUNTIF($C7:$D7,BN$4)</f>
        <v/>
      </c>
      <c r="BO7" s="313">
        <f>COUNTIF($C7:$D7,BO$4)</f>
        <v/>
      </c>
      <c r="BP7" s="314" t="n"/>
    </row>
    <row r="8" ht="19.5" customHeight="1">
      <c r="A8" s="309" t="n"/>
      <c r="B8" s="334" t="inlineStr">
        <is>
          <t>CPL MUHAMMAD AQIL BIN ABDULLAH</t>
        </is>
      </c>
      <c r="C8" s="197" t="n"/>
      <c r="D8" s="197" t="n"/>
      <c r="F8" s="197" t="n"/>
      <c r="G8" s="106" t="n"/>
      <c r="H8" s="106" t="n"/>
      <c r="I8" s="197" t="n"/>
      <c r="J8" s="197" t="n"/>
      <c r="K8" s="197" t="n"/>
      <c r="M8" s="197" t="n"/>
      <c r="N8" s="197" t="n"/>
      <c r="O8" s="197" t="n"/>
      <c r="P8" s="197" t="n"/>
      <c r="Q8" s="197" t="n"/>
      <c r="R8" s="197" t="n"/>
      <c r="S8" s="106" t="n"/>
      <c r="T8" s="197" t="n"/>
      <c r="U8" s="106" t="n"/>
      <c r="V8" s="197" t="inlineStr">
        <is>
          <t>SB1</t>
        </is>
      </c>
      <c r="X8" s="197" t="n"/>
      <c r="AA8" s="197" t="inlineStr">
        <is>
          <t>DM</t>
        </is>
      </c>
      <c r="AB8" s="198" t="n"/>
      <c r="AC8" s="197" t="inlineStr">
        <is>
          <t>SB1</t>
        </is>
      </c>
      <c r="AD8" s="197" t="n"/>
      <c r="AE8" s="197" t="n"/>
      <c r="AG8" s="197" t="inlineStr">
        <is>
          <t>CS1</t>
        </is>
      </c>
      <c r="AH8" s="311" t="n"/>
      <c r="AI8" s="312" t="n"/>
      <c r="AJ8" s="311" t="n"/>
      <c r="AK8" s="313" t="n"/>
      <c r="AL8" s="313" t="n"/>
      <c r="AM8" s="313" t="n"/>
      <c r="AN8" s="313" t="n"/>
      <c r="AO8" s="238" t="n"/>
      <c r="AP8" s="313">
        <f>SUMPRODUCT(--WEEKDAY(C$3:AG$3,2)&lt;6,--((C8:AG8="DM"))+(C8:AG8="CS1")+((C8:AG8="CS2"))+(C8:AG8="SB1")+(C8:AG8="AE")+(C8:AG8="EM"))</f>
        <v/>
      </c>
      <c r="AQ8" s="238" t="n"/>
      <c r="AR8" s="238">
        <f>SUMPRODUCT(--WEEKDAY(C$3:AG$3,2)&gt;5,--((C8:AG8="DM"))+(C8:AG8="CS1")+((C8:AG8="CS2"))+(C8:AG8="SB1")+(C8:AG8="AE")+(C8:AG8="EM"))</f>
        <v/>
      </c>
      <c r="AS8" s="238" t="n"/>
      <c r="AT8" s="238" t="n"/>
      <c r="AU8" s="238" t="n"/>
      <c r="AV8" s="238" t="n"/>
      <c r="AW8" s="238" t="n"/>
      <c r="AX8" s="313" t="n"/>
      <c r="AY8" s="313" t="n"/>
      <c r="AZ8" s="313" t="n"/>
      <c r="BA8" s="313" t="n"/>
      <c r="BB8" s="313" t="n"/>
      <c r="BC8" s="313" t="n"/>
      <c r="BD8" s="313" t="n"/>
      <c r="BE8" s="313" t="n"/>
      <c r="BF8" s="313" t="n"/>
      <c r="BG8" s="313" t="n"/>
      <c r="BH8" s="313" t="n"/>
      <c r="BI8" s="313" t="n"/>
      <c r="BJ8" s="313" t="n"/>
      <c r="BK8" s="313" t="n"/>
      <c r="BL8" s="313" t="n"/>
      <c r="BM8" s="313" t="n"/>
      <c r="BN8" s="313" t="n"/>
      <c r="BO8" s="313" t="n"/>
      <c r="BP8" s="314" t="n"/>
    </row>
    <row r="9" ht="19.5" customHeight="1">
      <c r="A9" s="309" t="n"/>
      <c r="B9" s="394" t="inlineStr">
        <is>
          <t>LCP FARABI BIN ZULKIFLI</t>
        </is>
      </c>
      <c r="C9" s="197" t="inlineStr">
        <is>
          <t>AE</t>
        </is>
      </c>
      <c r="D9" s="197" t="n"/>
      <c r="F9" s="197" t="n"/>
      <c r="G9" s="106" t="n"/>
      <c r="H9" s="106" t="n"/>
      <c r="I9" s="197" t="inlineStr">
        <is>
          <t>SB1</t>
        </is>
      </c>
      <c r="J9" s="197" t="n"/>
      <c r="K9" s="197" t="inlineStr">
        <is>
          <t>CS2</t>
        </is>
      </c>
      <c r="M9" s="197" t="n"/>
      <c r="N9" s="197" t="inlineStr">
        <is>
          <t>SB1</t>
        </is>
      </c>
      <c r="O9" s="197" t="n"/>
      <c r="P9" s="197" t="n"/>
      <c r="Q9" s="197" t="inlineStr">
        <is>
          <t>CS1</t>
        </is>
      </c>
      <c r="R9" s="197" t="n"/>
      <c r="S9" s="106" t="n"/>
      <c r="T9" s="197" t="n"/>
      <c r="U9" s="106" t="n"/>
      <c r="V9" s="197" t="inlineStr">
        <is>
          <t>AE</t>
        </is>
      </c>
      <c r="W9" s="197" t="n"/>
      <c r="X9" s="197" t="inlineStr">
        <is>
          <t>AL</t>
        </is>
      </c>
      <c r="Y9" s="197" t="n"/>
      <c r="Z9" s="197" t="n"/>
      <c r="AA9" s="197" t="inlineStr">
        <is>
          <t>AL</t>
        </is>
      </c>
      <c r="AB9" s="198" t="inlineStr">
        <is>
          <t>SB1</t>
        </is>
      </c>
      <c r="AD9" s="197" t="n"/>
      <c r="AE9" s="197" t="inlineStr">
        <is>
          <t>AL</t>
        </is>
      </c>
      <c r="AF9" s="197" t="n"/>
      <c r="AG9" s="197" t="inlineStr">
        <is>
          <t>CS2</t>
        </is>
      </c>
      <c r="AH9" s="311" t="n"/>
      <c r="AI9" s="312" t="n"/>
      <c r="AJ9" s="311" t="n"/>
      <c r="AK9" s="313" t="n"/>
      <c r="AL9" s="313" t="n"/>
      <c r="AM9" s="313" t="n"/>
      <c r="AN9" s="313" t="n"/>
      <c r="AO9" s="238" t="n"/>
      <c r="AP9" s="313">
        <f>SUMPRODUCT(--WEEKDAY(C$3:AG$3,2)&lt;6,--((C9:AG9="DM"))+(C9:AG9="CS1")+((C9:AG9="CS2"))+(C9:AG9="SB1")+(C9:AG9="AE")+(C9:AG9="EM"))</f>
        <v/>
      </c>
      <c r="AQ9" s="238" t="n"/>
      <c r="AR9" s="238">
        <f>SUMPRODUCT(--WEEKDAY(C$3:AG$3,2)&gt;5,--((C9:AG9="DM"))+(C9:AG9="CS1")+((C9:AG9="CS2"))+(C9:AG9="SB1")+(C9:AG9="AE")+(C9:AG9="EM"))</f>
        <v/>
      </c>
      <c r="AS9" s="238" t="n"/>
      <c r="AT9" s="238">
        <f>(AP9-AQ9)/2+(AR9-AS9)</f>
        <v/>
      </c>
      <c r="AU9" s="238">
        <f>AH9+AI9+AJ9+AK9+AM9+AN9</f>
        <v/>
      </c>
      <c r="AV9" s="238">
        <f>BF9+BG9+BI9+BD9+BB9+AZ9+BK9</f>
        <v/>
      </c>
      <c r="AW9" s="238">
        <f>AT9+AX9</f>
        <v/>
      </c>
      <c r="AX9" s="313">
        <f>(BI9*('Setting key Duty'!$I$8+'Setting key Duty'!$I$12))+(BG9*'Setting key Duty'!$I$9)+(BB9*('Setting key Duty'!$I$13+'Setting key Duty'!$I$9))+(AZ9*('Setting key Duty'!$I$13+'Setting key Duty'!$I$12+'Setting key Duty'!$I$11))+(BD9*('Setting key Duty'!$I$8+'Setting key Duty'!$I$9+'Setting key Duty'!$I$12))</f>
        <v/>
      </c>
      <c r="AY9" s="313">
        <f>COUNTIF(D9:Z9,"*BRT*")</f>
        <v/>
      </c>
      <c r="AZ9" s="313">
        <f>COUNTIF(A9:AH9,"*$BTP*")</f>
        <v/>
      </c>
      <c r="BA9" s="313">
        <f>AZ9*('Setting key Duty'!$I$13+'Setting key Duty'!$I$12+'Setting key Duty'!$I$11)</f>
        <v/>
      </c>
      <c r="BB9" s="313">
        <f>COUNTIF(A9:AH9,"*$L*")</f>
        <v/>
      </c>
      <c r="BC9" s="313">
        <f>BB9*('Setting key Duty'!$I$13+'Setting key Duty'!$I$9)</f>
        <v/>
      </c>
      <c r="BD9" s="313">
        <f>COUNTIF(A9:AH9,"*$M*")</f>
        <v/>
      </c>
      <c r="BE9" s="313">
        <f>BD9*('Setting key Duty'!$I$8+'Setting key Duty'!$I$9+'Setting key Duty'!$I$12)</f>
        <v/>
      </c>
      <c r="BF9" s="313">
        <f>COUNTIF(AH9,"*$N*")</f>
        <v/>
      </c>
      <c r="BG9" s="313">
        <f>COUNTIF(AH9,"*$PM*")</f>
        <v/>
      </c>
      <c r="BH9" s="313">
        <f>BG9*('Setting key Duty'!$I$9)</f>
        <v/>
      </c>
      <c r="BI9" s="313">
        <f>COUNTIF(A9:AH9,"*$AM*")</f>
        <v/>
      </c>
      <c r="BJ9" s="313">
        <f>BI9*('Setting key Duty'!$I$12+'Setting key Duty'!$I$8)</f>
        <v/>
      </c>
      <c r="BK9" s="313">
        <f>COUNTIF(D9:AH9,"*$FC*")</f>
        <v/>
      </c>
      <c r="BL9" s="313">
        <f>BK9*('Setting key Duty'!$J$11+'Setting key Duty'!$I$8)</f>
        <v/>
      </c>
      <c r="BM9" s="313">
        <f>COUNTIF($D9:$Z9,BM$4)</f>
        <v/>
      </c>
      <c r="BN9" s="313">
        <f>COUNTIF($D9:$Z9,BN$4)</f>
        <v/>
      </c>
      <c r="BO9" s="313">
        <f>COUNTIF($D9:$Z9,BO$4)</f>
        <v/>
      </c>
      <c r="BP9" s="314" t="n"/>
    </row>
    <row r="10" ht="13.5" customHeight="1">
      <c r="A10" s="309" t="n"/>
      <c r="B10" s="375" t="inlineStr">
        <is>
          <t>CFC MOHAMAD HIDAYAT BIN MOHAMAD YUSOFF</t>
        </is>
      </c>
      <c r="C10" s="197" t="inlineStr">
        <is>
          <t>AL</t>
        </is>
      </c>
      <c r="D10" s="197" t="n"/>
      <c r="E10" s="197" t="inlineStr">
        <is>
          <t>DM</t>
        </is>
      </c>
      <c r="F10" s="106" t="n"/>
      <c r="G10" s="197" t="n"/>
      <c r="H10" s="106" t="n"/>
      <c r="I10" s="197" t="n"/>
      <c r="J10" s="197" t="inlineStr">
        <is>
          <t>SB1</t>
        </is>
      </c>
      <c r="K10" s="197" t="n"/>
      <c r="L10" s="197" t="n"/>
      <c r="M10" s="197" t="inlineStr">
        <is>
          <t>DM</t>
        </is>
      </c>
      <c r="N10" s="197" t="n"/>
      <c r="O10" s="197" t="inlineStr">
        <is>
          <t>DA</t>
        </is>
      </c>
      <c r="P10" s="106" t="n"/>
      <c r="Q10" s="197" t="inlineStr">
        <is>
          <t>DM</t>
        </is>
      </c>
      <c r="R10" s="402" t="n"/>
      <c r="S10" s="197" t="n"/>
      <c r="T10" s="197" t="n"/>
      <c r="U10" s="197" t="n"/>
      <c r="V10" s="197" t="inlineStr">
        <is>
          <t>DM</t>
        </is>
      </c>
      <c r="W10" s="197" t="n"/>
      <c r="X10" s="197" t="inlineStr">
        <is>
          <t>AL</t>
        </is>
      </c>
      <c r="Y10" s="197" t="n"/>
      <c r="Z10" s="197" t="n"/>
      <c r="AA10" s="197" t="inlineStr">
        <is>
          <t>CS1</t>
        </is>
      </c>
      <c r="AB10" s="197" t="n"/>
      <c r="AD10" s="197" t="inlineStr">
        <is>
          <t>CS1</t>
        </is>
      </c>
      <c r="AE10" s="197" t="n"/>
      <c r="AF10" s="197" t="n"/>
      <c r="AG10" s="197" t="n"/>
      <c r="AH10" s="311">
        <f>COUNTIF($C10:$AE10,AH$4)</f>
        <v/>
      </c>
      <c r="AI10" s="312">
        <f>COUNTIF($C10:$AE10,AI$4)</f>
        <v/>
      </c>
      <c r="AJ10" s="311">
        <f>COUNTIF($C10:$AE10,AJ$4)</f>
        <v/>
      </c>
      <c r="AK10" s="313">
        <f>COUNTIF($C10:$AE10,AK$4)</f>
        <v/>
      </c>
      <c r="AL10" s="313">
        <f>COUNTIF($C10:$AE10,AL$4)</f>
        <v/>
      </c>
      <c r="AM10" s="313">
        <f>COUNTIF($C10:$AE10,AM$4)</f>
        <v/>
      </c>
      <c r="AN10" s="313">
        <f>COUNTIF($C10:$AE10,AN$4)</f>
        <v/>
      </c>
      <c r="AO10" s="238" t="n"/>
      <c r="AP10" s="313">
        <f>SUMPRODUCT(--WEEKDAY(C$3:AG$3,2)&lt;6,--((C10:AG10="DM"))+(C10:AG10="CS1")+((C10:AG10="CS2"))+(C10:AG10="SB1")+(C10:AG10="AE")+(C10:AG10="EM"))</f>
        <v/>
      </c>
      <c r="AQ10" s="238" t="n"/>
      <c r="AR10" s="238">
        <f>SUMPRODUCT(--WEEKDAY(C$3:AG$3,2)&gt;5,--((C10:AG10="DM"))+(C10:AG10="CS1")+((C10:AG10="CS2"))+(C10:AG10="SB1")+(C10:AG10="AE")+(C10:AG10="EM"))</f>
        <v/>
      </c>
      <c r="AS10" s="238" t="n"/>
      <c r="AT10" s="238">
        <f>(AP10-AQ10)/2+(AR10-AS10)</f>
        <v/>
      </c>
      <c r="AU10" s="238">
        <f>AH10+AI10+AJ10+AK10+AM10+AN10</f>
        <v/>
      </c>
      <c r="AV10" s="238">
        <f>BF10+BG10+BI10+BD10+BB10+AZ10+BK10</f>
        <v/>
      </c>
      <c r="AW10" s="238">
        <f>AT10+AX10</f>
        <v/>
      </c>
      <c r="AX10" s="313">
        <f>(BI10*('Setting key Duty'!$I$8+'Setting key Duty'!$I$12))+(BG10*'Setting key Duty'!$I$9)+(BB10*('Setting key Duty'!$I$13+'Setting key Duty'!$I$9))+(AZ10*('Setting key Duty'!$I$13+'Setting key Duty'!$I$12+'Setting key Duty'!$I$11))+(BD10*('Setting key Duty'!$I$8+'Setting key Duty'!$I$9+'Setting key Duty'!$I$12))</f>
        <v/>
      </c>
      <c r="AY10" s="313">
        <f>COUNTIF(C10:AE10,"*BRT*")</f>
        <v/>
      </c>
      <c r="AZ10" s="313">
        <f>COUNTIF(A10:AH10,"*$BTP*")</f>
        <v/>
      </c>
      <c r="BA10" s="313">
        <f>AZ10*('Setting key Duty'!$I$13+'Setting key Duty'!$I$12+'Setting key Duty'!$I$11)</f>
        <v/>
      </c>
      <c r="BB10" s="313">
        <f>COUNTIF(A10:AH10,"*$L*")</f>
        <v/>
      </c>
      <c r="BC10" s="313">
        <f>BB10*('Setting key Duty'!$I$13+'Setting key Duty'!$I$9)</f>
        <v/>
      </c>
      <c r="BD10" s="313">
        <f>COUNTIF(A10:AH10,"*$M*")</f>
        <v/>
      </c>
      <c r="BE10" s="313">
        <f>BD10*('Setting key Duty'!$I$8+'Setting key Duty'!$I$9+'Setting key Duty'!$I$12)</f>
        <v/>
      </c>
      <c r="BF10" s="313">
        <f>COUNTIF(A10:AH10,"*$N*")</f>
        <v/>
      </c>
      <c r="BG10" s="313">
        <f>COUNTIF(AF10:AH10,"*$PM*")</f>
        <v/>
      </c>
      <c r="BH10" s="313">
        <f>BG10*('Setting key Duty'!$I$9)</f>
        <v/>
      </c>
      <c r="BI10" s="313">
        <f>COUNTIF(A10:AH10,"*$AM*")</f>
        <v/>
      </c>
      <c r="BJ10" s="313">
        <f>BI10*('Setting key Duty'!$I$12+'Setting key Duty'!$I$8)</f>
        <v/>
      </c>
      <c r="BK10" s="313">
        <f>COUNTIF(C10:AH10,"*$FC*")</f>
        <v/>
      </c>
      <c r="BL10" s="313">
        <f>BK10*('Setting key Duty'!$J$11+'Setting key Duty'!$I$8)</f>
        <v/>
      </c>
      <c r="BM10" s="313">
        <f>COUNTIF($C10:$AE10,BM$4)</f>
        <v/>
      </c>
      <c r="BN10" s="313">
        <f>COUNTIF($C10:$AE10,BN$4)</f>
        <v/>
      </c>
      <c r="BO10" s="313">
        <f>COUNTIF($C10:$AE10,BO$4)</f>
        <v/>
      </c>
      <c r="BP10" s="314" t="n"/>
    </row>
    <row r="11" ht="19.5" customHeight="1">
      <c r="A11" s="309" t="n"/>
      <c r="B11" s="334" t="inlineStr">
        <is>
          <t>LCP MUHAMMAD KHIDIR BIN ZAKARIA</t>
        </is>
      </c>
      <c r="C11" s="106" t="n"/>
      <c r="E11" s="324" t="inlineStr">
        <is>
          <t>CS2</t>
        </is>
      </c>
      <c r="F11" s="106" t="n"/>
      <c r="G11" s="197" t="inlineStr">
        <is>
          <t>SB1</t>
        </is>
      </c>
      <c r="H11" s="106" t="n"/>
      <c r="I11" s="106" t="n"/>
      <c r="J11" s="106" t="n"/>
      <c r="L11" s="197" t="inlineStr">
        <is>
          <t>CS1</t>
        </is>
      </c>
      <c r="M11" s="106" t="n"/>
      <c r="N11" s="197" t="inlineStr">
        <is>
          <t>CS1</t>
        </is>
      </c>
      <c r="O11" s="197" t="n"/>
      <c r="P11" s="106" t="n"/>
      <c r="Q11" s="317" t="inlineStr">
        <is>
          <t>CS2</t>
        </is>
      </c>
      <c r="R11" s="197" t="n"/>
      <c r="S11" s="106" t="n"/>
      <c r="T11" s="106" t="n"/>
      <c r="U11" s="197" t="inlineStr">
        <is>
          <t>CS1</t>
        </is>
      </c>
      <c r="V11" s="106" t="n"/>
      <c r="W11" s="197" t="inlineStr">
        <is>
          <t>MA</t>
        </is>
      </c>
      <c r="X11" s="197" t="inlineStr">
        <is>
          <t>AL</t>
        </is>
      </c>
      <c r="Y11" s="197" t="inlineStr">
        <is>
          <t>OL</t>
        </is>
      </c>
      <c r="Z11" s="197" t="inlineStr">
        <is>
          <t>OL</t>
        </is>
      </c>
      <c r="AA11" s="197" t="inlineStr">
        <is>
          <t>AL</t>
        </is>
      </c>
      <c r="AB11" s="197" t="n"/>
      <c r="AC11" s="197" t="inlineStr">
        <is>
          <t>CS2</t>
        </is>
      </c>
      <c r="AD11" s="197" t="n"/>
      <c r="AE11" s="197" t="inlineStr">
        <is>
          <t>CS1</t>
        </is>
      </c>
      <c r="AF11" s="197" t="n"/>
      <c r="AG11" s="197" t="n"/>
      <c r="AH11" s="311" t="n"/>
      <c r="AI11" s="312" t="n"/>
      <c r="AJ11" s="311" t="n"/>
      <c r="AK11" s="313" t="n"/>
      <c r="AL11" s="313" t="n"/>
      <c r="AM11" s="313" t="n"/>
      <c r="AN11" s="313" t="n"/>
      <c r="AO11" s="238" t="n"/>
      <c r="AP11" s="313">
        <f>SUMPRODUCT(--WEEKDAY(C$3:AG$3,2)&lt;6,--((C11:AG11="DM"))+(C11:AG11="CS1")+((C11:AG11="CS2"))+(C11:AG11="SB1")+(C11:AG11="AE")+(C11:AG11="EM"))</f>
        <v/>
      </c>
      <c r="AQ11" s="238" t="n"/>
      <c r="AR11" s="238">
        <f>SUMPRODUCT(--WEEKDAY(C$3:AG$3,2)&gt;5,--((C11:AG11="DM"))+(C11:AG11="CS1")+((C11:AG11="CS2"))+(C11:AG11="SB1")+(C11:AG11="AE")+(C11:AG11="EM"))</f>
        <v/>
      </c>
      <c r="AS11" s="238" t="n"/>
      <c r="AT11" s="238">
        <f>(AP11-AQ11)/2+(AR11-AS11)</f>
        <v/>
      </c>
      <c r="AU11" s="238">
        <f>AH11+AI11+AJ11+AK11+AM11+AN11</f>
        <v/>
      </c>
      <c r="AV11" s="238">
        <f>BF11+BG11+BI11+BD11+BB11+AZ11+BK11</f>
        <v/>
      </c>
      <c r="AW11" s="238">
        <f>AT11+AX11</f>
        <v/>
      </c>
      <c r="AX11" s="313">
        <f>(BI11*('Setting key Duty'!$I$8+'Setting key Duty'!$I$12))+(BG11*'Setting key Duty'!$I$9)+(BB11*('Setting key Duty'!$I$13+'Setting key Duty'!$I$9))+(AZ11*('Setting key Duty'!$I$13+'Setting key Duty'!$I$12+'Setting key Duty'!$I$11))+(BD11*('Setting key Duty'!$I$8+'Setting key Duty'!$I$9+'Setting key Duty'!$I$12))</f>
        <v/>
      </c>
      <c r="AY11" s="313">
        <f>COUNTIF(#REF!,"*BRT*")</f>
        <v/>
      </c>
      <c r="AZ11" s="313">
        <f>COUNTIF(A11:AH11,"*$BTP*")</f>
        <v/>
      </c>
      <c r="BA11" s="313">
        <f>AZ11*('Setting key Duty'!$I$13+'Setting key Duty'!$I$12+'Setting key Duty'!$I$11)</f>
        <v/>
      </c>
      <c r="BB11" s="313">
        <f>COUNTIF(A11:AH11,"*$L*")</f>
        <v/>
      </c>
      <c r="BC11" s="313">
        <f>BB11*('Setting key Duty'!$I$13+'Setting key Duty'!$I$9)</f>
        <v/>
      </c>
      <c r="BD11" s="313">
        <f>COUNTIF(A11:AH11,"*$M*")</f>
        <v/>
      </c>
      <c r="BE11" s="313">
        <f>BD11*('Setting key Duty'!$I$8+'Setting key Duty'!$I$9+'Setting key Duty'!$I$12)</f>
        <v/>
      </c>
      <c r="BF11" s="313">
        <f>COUNTIF(AH11,"*$N*")</f>
        <v/>
      </c>
      <c r="BG11" s="313">
        <f>COUNTIF(AH11,"*$PM*")</f>
        <v/>
      </c>
      <c r="BH11" s="313">
        <f>BG11*('Setting key Duty'!$I$9)</f>
        <v/>
      </c>
      <c r="BI11" s="313">
        <f>COUNTIF(A11:AH11,"*$AM*")</f>
        <v/>
      </c>
      <c r="BJ11" s="313">
        <f>BI11*('Setting key Duty'!$I$12+'Setting key Duty'!$I$8)</f>
        <v/>
      </c>
      <c r="BK11" s="313">
        <f>COUNTIF(E11:AH11,"*$FC*")</f>
        <v/>
      </c>
      <c r="BL11" s="313">
        <f>BK11*('Setting key Duty'!$J$11+'Setting key Duty'!$I$8)</f>
        <v/>
      </c>
      <c r="BM11" s="313">
        <f>COUNTIF(#REF!,BM$4)</f>
        <v/>
      </c>
      <c r="BN11" s="313">
        <f>COUNTIF(#REF!,BN$4)</f>
        <v/>
      </c>
      <c r="BO11" s="313">
        <f>COUNTIF(#REF!,BO$4)</f>
        <v/>
      </c>
      <c r="BP11" s="314" t="n"/>
    </row>
    <row r="12" ht="19.5" customHeight="1">
      <c r="A12" s="309" t="n"/>
      <c r="B12" s="332" t="inlineStr">
        <is>
          <t>CPL MOHD AMEER KHAN S/O BASHIR ISMAIL</t>
        </is>
      </c>
      <c r="C12" s="197" t="n"/>
      <c r="D12" s="317" t="inlineStr">
        <is>
          <t>CS2</t>
        </is>
      </c>
      <c r="E12" s="197" t="n"/>
      <c r="F12" s="197" t="n"/>
      <c r="G12" s="197" t="n"/>
      <c r="H12" s="197" t="inlineStr">
        <is>
          <t>AE</t>
        </is>
      </c>
      <c r="I12" s="197" t="n"/>
      <c r="J12" s="197" t="inlineStr">
        <is>
          <t>AL</t>
        </is>
      </c>
      <c r="L12" s="317" t="inlineStr">
        <is>
          <t>CS2</t>
        </is>
      </c>
      <c r="N12" s="197" t="n"/>
      <c r="O12" s="197" t="n"/>
      <c r="P12" s="197" t="n"/>
      <c r="Q12" s="197" t="inlineStr">
        <is>
          <t>SB1</t>
        </is>
      </c>
      <c r="R12" s="106" t="n"/>
      <c r="S12" s="197" t="n"/>
      <c r="T12" s="197" t="inlineStr">
        <is>
          <t>SB1</t>
        </is>
      </c>
      <c r="U12" s="106" t="n"/>
      <c r="V12" s="1" t="inlineStr">
        <is>
          <t>MC</t>
        </is>
      </c>
      <c r="W12" s="106" t="inlineStr">
        <is>
          <t>MC</t>
        </is>
      </c>
      <c r="X12" s="197" t="inlineStr">
        <is>
          <t>AL</t>
        </is>
      </c>
      <c r="Y12" s="197" t="inlineStr">
        <is>
          <t>AL</t>
        </is>
      </c>
      <c r="Z12" s="197" t="inlineStr">
        <is>
          <t>AL</t>
        </is>
      </c>
      <c r="AA12" s="197" t="n"/>
      <c r="AB12" s="197" t="inlineStr">
        <is>
          <t>AE</t>
        </is>
      </c>
      <c r="AD12" s="197" t="n"/>
      <c r="AE12" s="197" t="inlineStr">
        <is>
          <t>CS2</t>
        </is>
      </c>
      <c r="AF12" s="106" t="n"/>
      <c r="AG12" s="198" t="n"/>
      <c r="AH12" s="311" t="n"/>
      <c r="AI12" s="312" t="n"/>
      <c r="AJ12" s="311" t="n"/>
      <c r="AK12" s="313" t="n"/>
      <c r="AL12" s="313" t="n"/>
      <c r="AM12" s="313" t="n"/>
      <c r="AN12" s="313" t="n"/>
      <c r="AO12" s="238" t="n"/>
      <c r="AP12" s="313">
        <f>SUMPRODUCT(--WEEKDAY(C$3:AG$3,2)&lt;6,--((C12:AG12="DM"))+(C12:AG12="CS1")+((C12:AG12="CS2"))+(C12:AG12="SB1")+(C12:AG12="AE")+(C12:AG12="EM"))</f>
        <v/>
      </c>
      <c r="AQ12" s="238" t="n"/>
      <c r="AR12" s="238">
        <f>SUMPRODUCT(--WEEKDAY(C$3:AG$3,2)&gt;5,--((C12:AG12="DM"))+(C12:AG12="CS1")+((C12:AG12="CS2"))+(C12:AG12="SB1")+(C12:AG12="AE")+(C12:AG12="EM"))</f>
        <v/>
      </c>
      <c r="AS12" s="238" t="n"/>
      <c r="AT12" s="238">
        <f>(AP12-AQ12)/2+(AR12-AS12)</f>
        <v/>
      </c>
      <c r="AU12" s="238">
        <f>AH12+AI12+AJ12+AK12+AM12+AN12</f>
        <v/>
      </c>
      <c r="AV12" s="238">
        <f>BF12+BG12+BI12+BD12+BB12+AZ12+BK12</f>
        <v/>
      </c>
      <c r="AW12" s="238">
        <f>AT12+AX12</f>
        <v/>
      </c>
      <c r="AX12" s="313">
        <f>(BI12*('Setting key Duty'!$I$8+'Setting key Duty'!$I$12))+(BG12*'Setting key Duty'!$I$9)+(BB12*('Setting key Duty'!$I$13+'Setting key Duty'!$I$9))+(AZ12*('Setting key Duty'!$I$13+'Setting key Duty'!$I$12+'Setting key Duty'!$I$11))+(BD12*('Setting key Duty'!$I$8+'Setting key Duty'!$I$9+'Setting key Duty'!$I$12))</f>
        <v/>
      </c>
      <c r="AY12" s="313">
        <f>COUNTIF(D12:AC12,"*BRT*")</f>
        <v/>
      </c>
      <c r="AZ12" s="313">
        <f>COUNTIF(A12:AH12,"*$BTP*")</f>
        <v/>
      </c>
      <c r="BA12" s="313">
        <f>AZ12*('Setting key Duty'!$I$13+'Setting key Duty'!$I$12+'Setting key Duty'!$I$11)</f>
        <v/>
      </c>
      <c r="BB12" s="313">
        <f>COUNTIF(A12:AH12,"*$L*")</f>
        <v/>
      </c>
      <c r="BC12" s="313">
        <f>BB12*('Setting key Duty'!$I$13+'Setting key Duty'!$I$9)</f>
        <v/>
      </c>
      <c r="BD12" s="313">
        <f>COUNTIF(A12:AH12,"*$M*")</f>
        <v/>
      </c>
      <c r="BE12" s="313">
        <f>BD12*('Setting key Duty'!$I$8+'Setting key Duty'!$I$9+'Setting key Duty'!$I$12)</f>
        <v/>
      </c>
      <c r="BF12" s="313">
        <f>COUNTIF(AF12:AH12,"*$N*")</f>
        <v/>
      </c>
      <c r="BG12" s="313">
        <f>COUNTIF(AF12:AH12,"*$PM*")</f>
        <v/>
      </c>
      <c r="BH12" s="313">
        <f>BG12*('Setting key Duty'!$I$9)</f>
        <v/>
      </c>
      <c r="BI12" s="313">
        <f>COUNTIF(A12:AH12,"*$AM*")</f>
        <v/>
      </c>
      <c r="BJ12" s="313">
        <f>BI12*('Setting key Duty'!$I$12+'Setting key Duty'!$I$8)</f>
        <v/>
      </c>
      <c r="BK12" s="313">
        <f>COUNTIF(D12:AH12,"*$FC*")</f>
        <v/>
      </c>
      <c r="BL12" s="313">
        <f>BK12*('Setting key Duty'!$J$11+'Setting key Duty'!$I$8)</f>
        <v/>
      </c>
      <c r="BM12" s="313">
        <f>COUNTIF($D12:$AE12,BM$4)</f>
        <v/>
      </c>
      <c r="BN12" s="313">
        <f>COUNTIF($D12:$AE12,BN$4)</f>
        <v/>
      </c>
      <c r="BO12" s="313">
        <f>COUNTIF($D12:$AE12,BO$4)</f>
        <v/>
      </c>
      <c r="BP12" s="314" t="n"/>
    </row>
    <row r="13" ht="19.5" customHeight="1">
      <c r="A13" s="309" t="n"/>
      <c r="B13" s="373" t="inlineStr">
        <is>
          <t>LCP ALPHA KELVIN ISAAC BIN MUHAMMAD MCKEVIN LAWRENCE</t>
        </is>
      </c>
      <c r="C13" s="197" t="n"/>
      <c r="D13" s="197" t="n"/>
      <c r="E13" s="197" t="inlineStr">
        <is>
          <t>R $FC</t>
        </is>
      </c>
      <c r="F13" s="197" t="inlineStr">
        <is>
          <t>R $FC</t>
        </is>
      </c>
      <c r="G13" s="197" t="inlineStr">
        <is>
          <t>R $FC</t>
        </is>
      </c>
      <c r="H13" s="197" t="inlineStr">
        <is>
          <t>R $FC</t>
        </is>
      </c>
      <c r="I13" s="197" t="inlineStr">
        <is>
          <t>R $FC</t>
        </is>
      </c>
      <c r="J13" s="197" t="n"/>
      <c r="K13" s="197" t="n"/>
      <c r="L13" s="197" t="n"/>
      <c r="M13" s="106" t="n"/>
      <c r="N13" s="197" t="inlineStr">
        <is>
          <t>CS2</t>
        </is>
      </c>
      <c r="P13" s="197" t="inlineStr">
        <is>
          <t>SB1</t>
        </is>
      </c>
      <c r="Q13" s="106" t="n"/>
      <c r="R13" s="197" t="inlineStr">
        <is>
          <t>CS2</t>
        </is>
      </c>
      <c r="S13" s="106" t="n"/>
      <c r="T13" s="197" t="n"/>
      <c r="U13" s="197" t="inlineStr">
        <is>
          <t>SB1</t>
        </is>
      </c>
      <c r="V13" s="197" t="inlineStr">
        <is>
          <t>C $M 12 KM RM (1400-2359)</t>
        </is>
      </c>
      <c r="W13" s="106" t="n"/>
      <c r="X13" s="197" t="inlineStr">
        <is>
          <t>CS2</t>
        </is>
      </c>
      <c r="Y13" s="197" t="n"/>
      <c r="Z13" s="197" t="n"/>
      <c r="AA13" s="197" t="n"/>
      <c r="AB13" s="198" t="inlineStr">
        <is>
          <t>E $M ISAD (0530-2000)</t>
        </is>
      </c>
      <c r="AC13" s="197" t="inlineStr">
        <is>
          <t>AE</t>
        </is>
      </c>
      <c r="AD13" s="106" t="n"/>
      <c r="AE13" s="197" t="n"/>
      <c r="AF13" s="197" t="n"/>
      <c r="AG13" s="197" t="n"/>
      <c r="AH13" s="311" t="n"/>
      <c r="AI13" s="312" t="n"/>
      <c r="AJ13" s="311" t="n"/>
      <c r="AK13" s="313" t="n"/>
      <c r="AL13" s="313" t="n"/>
      <c r="AM13" s="313" t="n"/>
      <c r="AN13" s="313" t="n"/>
      <c r="AO13" s="238" t="n"/>
      <c r="AP13" s="313">
        <f>SUMPRODUCT(--WEEKDAY(C$3:AG$3,2)&lt;6,--((C13:AG13="DM"))+(C13:AG13="CS1")+((C13:AG13="CS2"))+(C13:AG13="SB1")+(C13:AG13="AE")+(C13:AG13="EM"))</f>
        <v/>
      </c>
      <c r="AQ13" s="238" t="n"/>
      <c r="AR13" s="238">
        <f>SUMPRODUCT(--WEEKDAY(C$3:AG$3,2)&gt;5,--((C13:AG13="DM"))+(C13:AG13="CS1")+((C13:AG13="CS2"))+(C13:AG13="SB1")+(C13:AG13="AE")+(C13:AG13="EM"))</f>
        <v/>
      </c>
      <c r="AS13" s="238" t="n"/>
      <c r="AT13" s="238">
        <f>(AP13-AQ13)/2+(AR13-AS13)</f>
        <v/>
      </c>
      <c r="AU13" s="238">
        <f>AH13+AI13+AJ13+AK13+AM13+AN13</f>
        <v/>
      </c>
      <c r="AV13" s="238">
        <f>BF13+BG13+BI13+BD13+BB13+AZ13+BK13</f>
        <v/>
      </c>
      <c r="AW13" s="238">
        <f>AT13+AX13</f>
        <v/>
      </c>
      <c r="AX13" s="313">
        <f>(BI13*('Setting key Duty'!$I$8+'Setting key Duty'!$I$12))+(BG13*'Setting key Duty'!$I$9)+(BB13*('Setting key Duty'!$I$13+'Setting key Duty'!$I$9))+(AZ13*('Setting key Duty'!$I$13+'Setting key Duty'!$I$12+'Setting key Duty'!$I$11))+(BD13*('Setting key Duty'!$I$8+'Setting key Duty'!$I$9+'Setting key Duty'!$I$12))</f>
        <v/>
      </c>
      <c r="AY13" s="313">
        <f>COUNTIF(D13:X13,"*BRT*")</f>
        <v/>
      </c>
      <c r="AZ13" s="313">
        <f>COUNTIF(A13:AH13,"*$BTP*")</f>
        <v/>
      </c>
      <c r="BA13" s="313">
        <f>AZ13*('Setting key Duty'!$I$13+'Setting key Duty'!$I$12+'Setting key Duty'!$I$11)</f>
        <v/>
      </c>
      <c r="BB13" s="313">
        <f>COUNTIF(A13:AH13,"*$L*")</f>
        <v/>
      </c>
      <c r="BC13" s="313">
        <f>BB13*('Setting key Duty'!$I$13+'Setting key Duty'!$I$9)</f>
        <v/>
      </c>
      <c r="BD13" s="313">
        <f>COUNTIF(A13:AH13,"*$M*")</f>
        <v/>
      </c>
      <c r="BE13" s="313">
        <f>BD13*('Setting key Duty'!$I$8+'Setting key Duty'!$I$9+'Setting key Duty'!$I$12)</f>
        <v/>
      </c>
      <c r="BF13" s="313">
        <f>COUNTIF(AH13,"*$N*")</f>
        <v/>
      </c>
      <c r="BG13" s="313">
        <f>COUNTIF(AH13,"*$PM*")</f>
        <v/>
      </c>
      <c r="BH13" s="313">
        <f>BG13*('Setting key Duty'!$I$9)</f>
        <v/>
      </c>
      <c r="BI13" s="313">
        <f>COUNTIF(A13:AH13,"*$AM*")</f>
        <v/>
      </c>
      <c r="BJ13" s="313">
        <f>BI13*('Setting key Duty'!$I$12+'Setting key Duty'!$I$8)</f>
        <v/>
      </c>
      <c r="BK13" s="313">
        <f>COUNTIF(D13:AH13,"*$FC*")</f>
        <v/>
      </c>
      <c r="BL13" s="313">
        <f>BK13*('Setting key Duty'!$J$11+'Setting key Duty'!$I$8)</f>
        <v/>
      </c>
      <c r="BM13" s="313">
        <f>COUNTIF($D13:$X13,BM$4)</f>
        <v/>
      </c>
      <c r="BN13" s="313">
        <f>COUNTIF($D13:$X13,BN$4)</f>
        <v/>
      </c>
      <c r="BO13" s="313">
        <f>COUNTIF($D13:$X13,BO$4)</f>
        <v/>
      </c>
      <c r="BP13" s="314" t="n"/>
    </row>
    <row r="14" ht="24" customHeight="1">
      <c r="A14" s="309" t="n"/>
      <c r="B14" s="335" t="inlineStr">
        <is>
          <t>LCP RAZIN HILMANSYAH BIN ROSLI</t>
        </is>
      </c>
      <c r="C14" s="197" t="n"/>
      <c r="D14" s="200" t="inlineStr">
        <is>
          <t>B (MALAYSIA)</t>
        </is>
      </c>
      <c r="E14" s="197" t="inlineStr">
        <is>
          <t>CS1</t>
        </is>
      </c>
      <c r="F14" s="197" t="n"/>
      <c r="G14" s="197" t="n"/>
      <c r="H14" s="197" t="inlineStr">
        <is>
          <t>CS2</t>
        </is>
      </c>
      <c r="I14" s="197" t="n"/>
      <c r="J14" s="197" t="inlineStr">
        <is>
          <t>DM</t>
        </is>
      </c>
      <c r="K14" s="197" t="n"/>
      <c r="L14" s="197" t="n"/>
      <c r="M14" s="197" t="n"/>
      <c r="O14" s="197" t="inlineStr">
        <is>
          <t>AMPT</t>
        </is>
      </c>
      <c r="P14" s="197" t="inlineStr">
        <is>
          <t>DM</t>
        </is>
      </c>
      <c r="Q14" s="197" t="n"/>
      <c r="R14" s="197" t="inlineStr">
        <is>
          <t>SB1</t>
        </is>
      </c>
      <c r="S14" s="197" t="n"/>
      <c r="T14" s="197" t="n"/>
      <c r="U14" s="197" t="inlineStr">
        <is>
          <t>DM</t>
        </is>
      </c>
      <c r="V14" s="106" t="n"/>
      <c r="X14" s="197" t="inlineStr">
        <is>
          <t>AL</t>
        </is>
      </c>
      <c r="Y14" s="197" t="inlineStr">
        <is>
          <t>OL</t>
        </is>
      </c>
      <c r="Z14" s="197" t="inlineStr">
        <is>
          <t>OL</t>
        </is>
      </c>
      <c r="AA14" s="197" t="inlineStr">
        <is>
          <t>AL</t>
        </is>
      </c>
      <c r="AB14" s="197" t="inlineStr">
        <is>
          <t>AL</t>
        </is>
      </c>
      <c r="AC14" s="197" t="inlineStr">
        <is>
          <t>AL</t>
        </is>
      </c>
      <c r="AD14" s="198" t="inlineStr">
        <is>
          <t>MA</t>
        </is>
      </c>
      <c r="AE14" s="197" t="inlineStr">
        <is>
          <t>DM</t>
        </is>
      </c>
      <c r="AF14" s="106" t="n"/>
      <c r="AG14" s="197" t="n"/>
      <c r="AH14" s="311">
        <f>COUNTIF($C14:$AA14,AH$4)</f>
        <v/>
      </c>
      <c r="AI14" s="312">
        <f>COUNTIF($C14:$AA14,AI$4)</f>
        <v/>
      </c>
      <c r="AJ14" s="311">
        <f>COUNTIF($C14:$AA14,AJ$4)</f>
        <v/>
      </c>
      <c r="AK14" s="313">
        <f>COUNTIF($C14:$AA14,AK$4)</f>
        <v/>
      </c>
      <c r="AL14" s="313">
        <f>COUNTIF($C14:$AA14,AL$4)</f>
        <v/>
      </c>
      <c r="AM14" s="313">
        <f>COUNTIF($C14:$AA14,AM$4)</f>
        <v/>
      </c>
      <c r="AN14" s="313">
        <f>COUNTIF($C14:$AA14,AN$4)</f>
        <v/>
      </c>
      <c r="AO14" s="238" t="n"/>
      <c r="AP14" s="313">
        <f>SUMPRODUCT(--WEEKDAY(C$3:AG$3,2)&lt;6,--((C14:AG14="DM"))+(C14:AG14="CS1")+((C14:AG14="CS2"))+(C14:AG14="SB1")+(C14:AG14="AE")+(C14:AG14="EM"))</f>
        <v/>
      </c>
      <c r="AQ14" s="238" t="n"/>
      <c r="AR14" s="238">
        <f>SUMPRODUCT(--WEEKDAY(C$3:AG$3,2)&gt;5,--((C14:AG14="DM"))+(C14:AG14="CS1")+((C14:AG14="CS2"))+(C14:AG14="SB1")+(C14:AG14="AE")+(C14:AG14="EM"))</f>
        <v/>
      </c>
      <c r="AS14" s="238" t="n"/>
      <c r="AT14" s="238">
        <f>(AP14-AQ14)/2+(AR14-AS14)</f>
        <v/>
      </c>
      <c r="AU14" s="238">
        <f>AH14+AI14+AJ14+AK14+AM14+AN14</f>
        <v/>
      </c>
      <c r="AV14" s="238">
        <f>BF14+BG14+BI14+BD14+BB14+AZ14+BK14</f>
        <v/>
      </c>
      <c r="AW14" s="238">
        <f>AT14+AX14</f>
        <v/>
      </c>
      <c r="AX14" s="313">
        <f>(BI14*('Setting key Duty'!$I$8+'Setting key Duty'!$I$12))+(BG14*'Setting key Duty'!$I$9)+(BB14*('Setting key Duty'!$I$13+'Setting key Duty'!$I$9))+(AZ14*('Setting key Duty'!$I$13+'Setting key Duty'!$I$12+'Setting key Duty'!$I$11))+(BD14*('Setting key Duty'!$I$8+'Setting key Duty'!$I$9+'Setting key Duty'!$I$12))</f>
        <v/>
      </c>
      <c r="AY14" s="313">
        <f>COUNTIF(C14:AA14,"*BRT*")</f>
        <v/>
      </c>
      <c r="AZ14" s="313">
        <f>COUNTIF(A14:AH14,"*$BTP*")</f>
        <v/>
      </c>
      <c r="BA14" s="313">
        <f>AZ14*('Setting key Duty'!$I$13+'Setting key Duty'!$I$12+'Setting key Duty'!$I$11)</f>
        <v/>
      </c>
      <c r="BB14" s="313">
        <f>COUNTIF(A14:AH14,"*$L*")</f>
        <v/>
      </c>
      <c r="BC14" s="313">
        <f>BB14*('Setting key Duty'!$I$13+'Setting key Duty'!$I$9)</f>
        <v/>
      </c>
      <c r="BD14" s="313">
        <f>COUNTIF(A14:AH14,"*$M*")</f>
        <v/>
      </c>
      <c r="BE14" s="313">
        <f>BD14*('Setting key Duty'!$I$8+'Setting key Duty'!$I$9+'Setting key Duty'!$I$12)</f>
        <v/>
      </c>
      <c r="BF14" s="313">
        <f>COUNTIF(A14:AH14,"*$N*")</f>
        <v/>
      </c>
      <c r="BG14" s="313">
        <f>COUNTIF(AH14,"*$PM*")</f>
        <v/>
      </c>
      <c r="BH14" s="313">
        <f>BG14*('Setting key Duty'!$I$9)</f>
        <v/>
      </c>
      <c r="BI14" s="313">
        <f>COUNTIF(A14:AH14,"*$AM*")</f>
        <v/>
      </c>
      <c r="BJ14" s="313">
        <f>BI14*('Setting key Duty'!$I$12+'Setting key Duty'!$I$8)</f>
        <v/>
      </c>
      <c r="BK14" s="313">
        <f>COUNTIF(C14:AH14,"*$FC*")</f>
        <v/>
      </c>
      <c r="BL14" s="313">
        <f>BK14*('Setting key Duty'!$J$11+'Setting key Duty'!$I$8)</f>
        <v/>
      </c>
      <c r="BM14" s="313">
        <f>COUNTIF($C14:$AA14,BM$4)</f>
        <v/>
      </c>
      <c r="BN14" s="313">
        <f>COUNTIF($C14:$AA14,BN$4)</f>
        <v/>
      </c>
      <c r="BO14" s="313">
        <f>COUNTIF($C14:$AA14,BO$4)</f>
        <v/>
      </c>
      <c r="BP14" s="314" t="n"/>
    </row>
    <row r="15" ht="37.5" customHeight="1">
      <c r="A15" s="309" t="n"/>
      <c r="B15" s="373" t="inlineStr">
        <is>
          <t>LCP RICKY NG RUIQI</t>
        </is>
      </c>
      <c r="C15" s="197" t="inlineStr">
        <is>
          <t>CS1</t>
        </is>
      </c>
      <c r="D15" s="197" t="n"/>
      <c r="F15" s="106" t="n"/>
      <c r="G15" s="106" t="n"/>
      <c r="H15" s="197" t="inlineStr">
        <is>
          <t>AMPT</t>
        </is>
      </c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7" t="n"/>
      <c r="U15" s="197" t="n"/>
      <c r="V15" s="197" t="inlineStr">
        <is>
          <t>AMPT</t>
        </is>
      </c>
      <c r="X15" s="106" t="n"/>
      <c r="Y15" s="197" t="inlineStr">
        <is>
          <t>CS1</t>
        </is>
      </c>
      <c r="AA15" s="198" t="n"/>
      <c r="AB15" s="198" t="inlineStr">
        <is>
          <t>DM</t>
        </is>
      </c>
      <c r="AC15" s="197" t="n"/>
      <c r="AF15" s="197" t="n"/>
      <c r="AG15" s="197" t="inlineStr">
        <is>
          <t>SB1</t>
        </is>
      </c>
      <c r="AH15" s="311">
        <f>COUNTIF($D15:$AC15,AH$4)</f>
        <v/>
      </c>
      <c r="AI15" s="312">
        <f>COUNTIF($D15:$AC15,AI$4)</f>
        <v/>
      </c>
      <c r="AJ15" s="311">
        <f>COUNTIF($D15:$AC15,AJ$4)</f>
        <v/>
      </c>
      <c r="AK15" s="313">
        <f>COUNTIF($D15:$AC15,AK$4)</f>
        <v/>
      </c>
      <c r="AL15" s="313">
        <f>COUNTIF($D15:$AC15,AL$4)</f>
        <v/>
      </c>
      <c r="AM15" s="313">
        <f>COUNTIF($D15:$AC15,AM$4)</f>
        <v/>
      </c>
      <c r="AN15" s="313">
        <f>COUNTIF($D15:$AC15,AN$4)</f>
        <v/>
      </c>
      <c r="AO15" s="238" t="n"/>
      <c r="AP15" s="313">
        <f>SUMPRODUCT(--WEEKDAY(C$3:AG$3,2)&lt;6,--((C15:AG15="DM"))+(C15:AG15="CS1")+((C15:AG15="CS2"))+(C15:AG15="SB1")+(C15:AG15="AE")+(C15:AG15="EM"))</f>
        <v/>
      </c>
      <c r="AQ15" s="238" t="n"/>
      <c r="AR15" s="238">
        <f>SUMPRODUCT(--WEEKDAY(C$3:AG$3,2)&gt;5,--((C15:AG15="DM"))+(C15:AG15="CS1")+((C15:AG15="CS2"))+(C15:AG15="SB1")+(C15:AG15="AE")+(C15:AG15="EM"))</f>
        <v/>
      </c>
      <c r="AS15" s="238" t="n"/>
      <c r="AT15" s="238">
        <f>(AP15-AQ15)/2+(AR15-AS15)</f>
        <v/>
      </c>
      <c r="AU15" s="238">
        <f>AH15+AI15+AJ15+AK15+AM15+AN15</f>
        <v/>
      </c>
      <c r="AV15" s="238">
        <f>BF15+BG15+BI15+BD15+BB15+AZ15+BK15</f>
        <v/>
      </c>
      <c r="AW15" s="238">
        <f>AT15+AX15</f>
        <v/>
      </c>
      <c r="AX15" s="313">
        <f>(BI15*('Setting key Duty'!$I$8+'Setting key Duty'!$I$12))+(BG15*'Setting key Duty'!$I$9)+(BB15*('Setting key Duty'!$I$13+'Setting key Duty'!$I$9))+(AZ15*('Setting key Duty'!$I$13+'Setting key Duty'!$I$12+'Setting key Duty'!$I$11))+(BD15*('Setting key Duty'!$I$8+'Setting key Duty'!$I$9+'Setting key Duty'!$I$12))</f>
        <v/>
      </c>
      <c r="AY15" s="313">
        <f>COUNTIF(C15:AC15,"*BRT*")</f>
        <v/>
      </c>
      <c r="AZ15" s="313">
        <f>COUNTIF(A15:AH15,"*$BTP*")</f>
        <v/>
      </c>
      <c r="BA15" s="313">
        <f>AZ15*('Setting key Duty'!$I$13+'Setting key Duty'!$I$12+'Setting key Duty'!$I$11)</f>
        <v/>
      </c>
      <c r="BB15" s="313">
        <f>COUNTIF(A15:AH15,"*$L*")</f>
        <v/>
      </c>
      <c r="BC15" s="313">
        <f>BB15*('Setting key Duty'!$I$13+'Setting key Duty'!$I$9)</f>
        <v/>
      </c>
      <c r="BD15" s="313">
        <f>COUNTIF(A15:AH15,"*$M*")</f>
        <v/>
      </c>
      <c r="BE15" s="313">
        <f>BD15*('Setting key Duty'!$I$8+'Setting key Duty'!$I$9+'Setting key Duty'!$I$12)</f>
        <v/>
      </c>
      <c r="BF15" s="313">
        <f>COUNTIF(AH15,"*$N*")</f>
        <v/>
      </c>
      <c r="BG15" s="313">
        <f>COUNTIF(AH15,"*$PM*")</f>
        <v/>
      </c>
      <c r="BH15" s="313">
        <f>BG15*('Setting key Duty'!$I$9)</f>
        <v/>
      </c>
      <c r="BI15" s="313">
        <f>COUNTIF(A15:AH15,"*$AM*")</f>
        <v/>
      </c>
      <c r="BJ15" s="313">
        <f>BI15*('Setting key Duty'!$I$12+'Setting key Duty'!$I$8)</f>
        <v/>
      </c>
      <c r="BK15" s="313">
        <f>COUNTIF(C15:AH15,"*$FC*")</f>
        <v/>
      </c>
      <c r="BL15" s="313">
        <f>BK15*('Setting key Duty'!$J$11+'Setting key Duty'!$I$8)</f>
        <v/>
      </c>
      <c r="BM15" s="313">
        <f>COUNTIF($C15:$AC15,BM$4)</f>
        <v/>
      </c>
      <c r="BN15" s="313">
        <f>COUNTIF($C15:$AC15,BN$4)</f>
        <v/>
      </c>
      <c r="BO15" s="313">
        <f>COUNTIF($C15:$AC15,BO$4)</f>
        <v/>
      </c>
      <c r="BP15" s="314" t="n"/>
    </row>
    <row r="16" ht="19.5" customHeight="1">
      <c r="A16" s="309" t="n"/>
      <c r="B16" s="332" t="inlineStr">
        <is>
          <t>LCP MUHAMED AMIR BIN AHMAD FAIZAL</t>
        </is>
      </c>
      <c r="C16" s="197" t="n"/>
      <c r="D16" s="197" t="inlineStr">
        <is>
          <t>SB1</t>
        </is>
      </c>
      <c r="E16" s="197" t="n"/>
      <c r="F16" s="197" t="inlineStr">
        <is>
          <t>BAIL</t>
        </is>
      </c>
      <c r="G16" s="197" t="n"/>
      <c r="H16" s="197" t="inlineStr">
        <is>
          <t>DM</t>
        </is>
      </c>
      <c r="J16" s="198" t="n"/>
      <c r="K16" s="197" t="inlineStr">
        <is>
          <t>CS1</t>
        </is>
      </c>
      <c r="L16" s="197" t="n"/>
      <c r="M16" s="106" t="n"/>
      <c r="N16" s="197" t="n"/>
      <c r="O16" s="197" t="inlineStr">
        <is>
          <t>AMPT</t>
        </is>
      </c>
      <c r="P16" s="106" t="n"/>
      <c r="Q16" s="197" t="n"/>
      <c r="S16" s="403" t="n"/>
      <c r="T16" s="106" t="n"/>
      <c r="U16" s="197" t="n"/>
      <c r="V16" s="197" t="inlineStr">
        <is>
          <t>AMPT</t>
        </is>
      </c>
      <c r="W16" s="197" t="inlineStr">
        <is>
          <t>AL</t>
        </is>
      </c>
      <c r="X16" s="197" t="inlineStr">
        <is>
          <t>AL</t>
        </is>
      </c>
      <c r="Y16" s="197" t="inlineStr">
        <is>
          <t>AL</t>
        </is>
      </c>
      <c r="Z16" s="197" t="inlineStr">
        <is>
          <t>AL</t>
        </is>
      </c>
      <c r="AA16" s="197" t="n"/>
      <c r="AC16" s="197" t="n"/>
      <c r="AD16" s="197" t="inlineStr">
        <is>
          <t>SB1</t>
        </is>
      </c>
      <c r="AE16" s="197" t="n"/>
      <c r="AF16" s="196" t="inlineStr">
        <is>
          <t>CS2</t>
        </is>
      </c>
      <c r="AG16" s="197" t="n"/>
      <c r="AH16" s="311">
        <f>COUNTIF($C16:$AA16,AH$4)</f>
        <v/>
      </c>
      <c r="AI16" s="312">
        <f>COUNTIF($C16:$AA16,AI$4)</f>
        <v/>
      </c>
      <c r="AJ16" s="311">
        <f>COUNTIF($C16:$AA16,AJ$4)</f>
        <v/>
      </c>
      <c r="AK16" s="313">
        <f>COUNTIF($C16:$AA16,AK$4)</f>
        <v/>
      </c>
      <c r="AL16" s="313">
        <f>COUNTIF($C16:$AA16,AL$4)</f>
        <v/>
      </c>
      <c r="AM16" s="313">
        <f>COUNTIF($C16:$AA16,AM$4)</f>
        <v/>
      </c>
      <c r="AN16" s="313">
        <f>COUNTIF($C16:$AA16,AN$4)</f>
        <v/>
      </c>
      <c r="AO16" s="238" t="n"/>
      <c r="AP16" s="313">
        <f>SUMPRODUCT(--WEEKDAY(C$3:AG$3,2)&lt;6,--((C16:AG16="DM"))+(C16:AG16="CS1")+((C16:AG16="CS2"))+(C16:AG16="SB1")+(C16:AG16="AE")+(C16:AG16="EM"))</f>
        <v/>
      </c>
      <c r="AQ16" s="238" t="n"/>
      <c r="AR16" s="238">
        <f>SUMPRODUCT(--WEEKDAY(C$3:AG$3,2)&gt;5,--((C16:AG16="DM"))+(C16:AG16="CS1")+((C16:AG16="CS2"))+(C16:AG16="SB1")+(C16:AG16="AE")+(C16:AG16="EM"))</f>
        <v/>
      </c>
      <c r="AS16" s="238" t="n"/>
      <c r="AT16" s="238">
        <f>(AP16-AQ16)/2+(AR16-AS16)</f>
        <v/>
      </c>
      <c r="AU16" s="238">
        <f>AH16+AI16+AJ16+AK16+AM16+AN16</f>
        <v/>
      </c>
      <c r="AV16" s="238">
        <f>BF16+BG16+BI16+BD16+BB16+AZ16+BK16</f>
        <v/>
      </c>
      <c r="AW16" s="238">
        <f>AT16+AX16</f>
        <v/>
      </c>
      <c r="AX16" s="313">
        <f>(BI16*('Setting key Duty'!$I$8+'Setting key Duty'!$I$12))+(BG16*'Setting key Duty'!$I$9)+(BB16*('Setting key Duty'!$I$13+'Setting key Duty'!$I$9))+(AZ16*('Setting key Duty'!$I$13+'Setting key Duty'!$I$12+'Setting key Duty'!$I$11))+(BD16*('Setting key Duty'!$I$8+'Setting key Duty'!$I$9+'Setting key Duty'!$I$12))</f>
        <v/>
      </c>
      <c r="AY16" s="313">
        <f>COUNTIF(C16:AA16,"*BRT*")</f>
        <v/>
      </c>
      <c r="AZ16" s="313">
        <f>COUNTIF(A16:AH16,"*$BTP*")</f>
        <v/>
      </c>
      <c r="BA16" s="313">
        <f>AZ16*('Setting key Duty'!$I$13+'Setting key Duty'!$I$12+'Setting key Duty'!$I$11)</f>
        <v/>
      </c>
      <c r="BB16" s="313">
        <f>COUNTIF(A16:AH16,"*$L*")</f>
        <v/>
      </c>
      <c r="BC16" s="313">
        <f>BB16*('Setting key Duty'!$I$13+'Setting key Duty'!$I$9)</f>
        <v/>
      </c>
      <c r="BD16" s="313">
        <f>COUNTIF(A16:AH16,"*$M*")</f>
        <v/>
      </c>
      <c r="BE16" s="313">
        <f>BD16*('Setting key Duty'!$I$8+'Setting key Duty'!$I$9+'Setting key Duty'!$I$12)</f>
        <v/>
      </c>
      <c r="BF16" s="313">
        <f>COUNTIF(A16:AH16,"*$N*")</f>
        <v/>
      </c>
      <c r="BG16" s="313">
        <f>COUNTIF(AH16,"*$PM*")</f>
        <v/>
      </c>
      <c r="BH16" s="313">
        <f>BG16*('Setting key Duty'!$I$9)</f>
        <v/>
      </c>
      <c r="BI16" s="313">
        <f>COUNTIF(A16:AH16,"*$AM*")</f>
        <v/>
      </c>
      <c r="BJ16" s="313">
        <f>BI16*('Setting key Duty'!$I$12+'Setting key Duty'!$I$8)</f>
        <v/>
      </c>
      <c r="BK16" s="313">
        <f>COUNTIF(C16:AH16,"*$FC*")</f>
        <v/>
      </c>
      <c r="BL16" s="313">
        <f>BK16*('Setting key Duty'!$J$11+'Setting key Duty'!$I$8)</f>
        <v/>
      </c>
      <c r="BM16" s="313">
        <f>COUNTIF($C16:$AA16,BM$4)</f>
        <v/>
      </c>
      <c r="BN16" s="313">
        <f>COUNTIF($C16:$AA16,BN$4)</f>
        <v/>
      </c>
      <c r="BO16" s="313">
        <f>COUNTIF($C16:$AA16,BO$4)</f>
        <v/>
      </c>
      <c r="BP16" s="314" t="n"/>
    </row>
    <row r="17" ht="19.5" customHeight="1">
      <c r="A17" s="309" t="n"/>
      <c r="B17" s="333" t="inlineStr">
        <is>
          <t>LCP MARK TAN YIH</t>
        </is>
      </c>
      <c r="C17" s="197" t="inlineStr">
        <is>
          <t>CS2</t>
        </is>
      </c>
      <c r="D17" s="197" t="n"/>
      <c r="E17" s="197" t="n"/>
      <c r="F17" s="197" t="inlineStr">
        <is>
          <t>CS1</t>
        </is>
      </c>
      <c r="G17" s="197" t="n"/>
      <c r="H17" s="197" t="inlineStr">
        <is>
          <t>AMPT</t>
        </is>
      </c>
      <c r="I17" s="106" t="n"/>
      <c r="J17" s="198" t="inlineStr">
        <is>
          <t>OL</t>
        </is>
      </c>
      <c r="K17" s="198" t="inlineStr">
        <is>
          <t>OL</t>
        </is>
      </c>
      <c r="L17" s="198" t="inlineStr">
        <is>
          <t>OL</t>
        </is>
      </c>
      <c r="M17" s="197" t="inlineStr">
        <is>
          <t>SB1</t>
        </is>
      </c>
      <c r="N17" s="197" t="n"/>
      <c r="O17" s="197" t="n"/>
      <c r="P17" s="197" t="inlineStr">
        <is>
          <t>CS1</t>
        </is>
      </c>
      <c r="Q17" s="106" t="n"/>
      <c r="R17" s="197" t="n"/>
      <c r="S17" s="197" t="n"/>
      <c r="T17" s="197" t="inlineStr">
        <is>
          <t>AL</t>
        </is>
      </c>
      <c r="U17" s="197" t="inlineStr">
        <is>
          <t>AL</t>
        </is>
      </c>
      <c r="V17" s="106" t="n"/>
      <c r="W17" s="197" t="inlineStr">
        <is>
          <t>SB1</t>
        </is>
      </c>
      <c r="X17" s="106" t="n"/>
      <c r="Z17" s="197" t="inlineStr">
        <is>
          <t>CS1</t>
        </is>
      </c>
      <c r="AA17" s="198" t="n"/>
      <c r="AB17" s="197" t="inlineStr">
        <is>
          <t>CS1</t>
        </is>
      </c>
      <c r="AD17" s="196" t="inlineStr">
        <is>
          <t>CS2</t>
        </is>
      </c>
      <c r="AE17" s="197" t="n"/>
      <c r="AF17" s="106" t="n"/>
      <c r="AG17" s="106" t="n"/>
      <c r="AH17" s="311" t="n"/>
      <c r="AI17" s="312" t="n"/>
      <c r="AJ17" s="311" t="n"/>
      <c r="AK17" s="313" t="n"/>
      <c r="AL17" s="313" t="n"/>
      <c r="AM17" s="313" t="n"/>
      <c r="AN17" s="313" t="n"/>
      <c r="AO17" s="238" t="n"/>
      <c r="AP17" s="313">
        <f>SUMPRODUCT(--WEEKDAY(C$3:AG$3,2)&lt;6,--((C17:AG17="DM"))+(C17:AG17="CS1")+((C17:AG17="CS2"))+(C17:AG17="SB1")+(C17:AG17="AE")+(C17:AG17="EM"))</f>
        <v/>
      </c>
      <c r="AQ17" s="238" t="n"/>
      <c r="AR17" s="238">
        <f>SUMPRODUCT(--WEEKDAY(C$3:AG$3,2)&gt;5,--((C17:AG17="DM"))+(C17:AG17="CS1")+((C17:AG17="CS2"))+(C17:AG17="SB1")+(C17:AG17="AE")+(C17:AG17="EM"))</f>
        <v/>
      </c>
      <c r="AS17" s="238" t="n"/>
      <c r="AT17" s="238">
        <f>(AP17-AQ17)/2+(AR17-AS17)</f>
        <v/>
      </c>
      <c r="AU17" s="238">
        <f>AH17+AI17+AJ17+AK17+AM17+AN17</f>
        <v/>
      </c>
      <c r="AV17" s="238">
        <f>BF17+BG17+BI17+BD17+BB17+AZ17+BK17</f>
        <v/>
      </c>
      <c r="AW17" s="238">
        <f>AT17+AX17</f>
        <v/>
      </c>
      <c r="AX17" s="313">
        <f>(BI17*('Setting key Duty'!$I$8+'Setting key Duty'!$I$12))+(BG17*'Setting key Duty'!$I$9)+(BB17*('Setting key Duty'!$I$13+'Setting key Duty'!$I$9))+(AZ17*('Setting key Duty'!$I$13+'Setting key Duty'!$I$12+'Setting key Duty'!$I$11))+(BD17*('Setting key Duty'!$I$8+'Setting key Duty'!$I$9+'Setting key Duty'!$I$12))</f>
        <v/>
      </c>
      <c r="AY17" s="313">
        <f>COUNTIF(E17:AA17,"*BRT*")</f>
        <v/>
      </c>
      <c r="AZ17" s="313">
        <f>COUNTIF(A17:AH17,"*$BTP*")</f>
        <v/>
      </c>
      <c r="BA17" s="313">
        <f>AZ17*('Setting key Duty'!$I$13+'Setting key Duty'!$I$12+'Setting key Duty'!$I$11)</f>
        <v/>
      </c>
      <c r="BB17" s="313">
        <f>COUNTIF(A17:AH17,"*$L*")</f>
        <v/>
      </c>
      <c r="BC17" s="313">
        <f>BB17*('Setting key Duty'!$I$13+'Setting key Duty'!$I$9)</f>
        <v/>
      </c>
      <c r="BD17" s="313">
        <f>COUNTIF(A17:AH17,"*$M*")</f>
        <v/>
      </c>
      <c r="BE17" s="313">
        <f>BD17*('Setting key Duty'!$I$8+'Setting key Duty'!$I$9+'Setting key Duty'!$I$12)</f>
        <v/>
      </c>
      <c r="BF17" s="313">
        <f>COUNTIF(AG17:AH17,"*$N*")</f>
        <v/>
      </c>
      <c r="BG17" s="313">
        <f>COUNTIF(AG17:AH17,"*$PM*")</f>
        <v/>
      </c>
      <c r="BH17" s="313">
        <f>BG17*('Setting key Duty'!$I$9)</f>
        <v/>
      </c>
      <c r="BI17" s="313">
        <f>COUNTIF(A17:AH17,"*$AM*")</f>
        <v/>
      </c>
      <c r="BJ17" s="313">
        <f>BI17*('Setting key Duty'!$I$12+'Setting key Duty'!$I$8)</f>
        <v/>
      </c>
      <c r="BK17" s="313">
        <f>COUNTIF(E17:AH17,"*$FC*")</f>
        <v/>
      </c>
      <c r="BL17" s="313">
        <f>BK17*('Setting key Duty'!$J$11+'Setting key Duty'!$I$8)</f>
        <v/>
      </c>
      <c r="BM17" s="313">
        <f>COUNTIF($E17:$AA17,BM$4)</f>
        <v/>
      </c>
      <c r="BN17" s="313">
        <f>COUNTIF($E17:$AA17,BN$4)</f>
        <v/>
      </c>
      <c r="BO17" s="313">
        <f>COUNTIF($E17:$AA17,BO$4)</f>
        <v/>
      </c>
      <c r="BP17" s="314" t="n"/>
    </row>
    <row r="18" ht="19.5" customHeight="1">
      <c r="A18" s="309" t="n"/>
      <c r="B18" s="390" t="inlineStr">
        <is>
          <t>CFC MOK CHENGXUN</t>
        </is>
      </c>
      <c r="C18" s="198" t="n"/>
      <c r="D18" s="197" t="inlineStr">
        <is>
          <t>DM</t>
        </is>
      </c>
      <c r="F18" s="197" t="inlineStr">
        <is>
          <t>DM</t>
        </is>
      </c>
      <c r="H18" s="197" t="inlineStr">
        <is>
          <t>AMPT</t>
        </is>
      </c>
      <c r="I18" s="197" t="n"/>
      <c r="J18" s="197" t="n"/>
      <c r="K18" s="197" t="n"/>
      <c r="L18" s="198" t="n"/>
      <c r="M18" s="198" t="n"/>
      <c r="N18" s="197" t="n"/>
      <c r="O18" s="197" t="inlineStr">
        <is>
          <t>DM</t>
        </is>
      </c>
      <c r="P18" s="197" t="n"/>
      <c r="Q18" s="197" t="n"/>
      <c r="R18" s="197" t="inlineStr">
        <is>
          <t>DM</t>
        </is>
      </c>
      <c r="S18" s="106" t="n"/>
      <c r="T18" s="197" t="n"/>
      <c r="U18" s="197" t="n"/>
      <c r="V18" s="197" t="inlineStr">
        <is>
          <t>MA</t>
        </is>
      </c>
      <c r="W18" s="197" t="n"/>
      <c r="Y18" s="197" t="n"/>
      <c r="Z18" s="197" t="n"/>
      <c r="AA18" s="197" t="n"/>
      <c r="AB18" s="197" t="inlineStr">
        <is>
          <t>MA</t>
        </is>
      </c>
      <c r="AC18" s="197" t="inlineStr">
        <is>
          <t>DM</t>
        </is>
      </c>
      <c r="AE18" s="197" t="n"/>
      <c r="AF18" s="197" t="n"/>
      <c r="AG18" s="197" t="n"/>
      <c r="AH18" s="311" t="n"/>
      <c r="AI18" s="312" t="n"/>
      <c r="AJ18" s="311" t="n"/>
      <c r="AK18" s="313" t="n"/>
      <c r="AL18" s="313" t="n"/>
      <c r="AM18" s="313" t="n"/>
      <c r="AN18" s="313" t="n"/>
      <c r="AO18" s="238" t="n"/>
      <c r="AP18" s="313">
        <f>SUMPRODUCT(--WEEKDAY(C$3:AG$3,2)&lt;6,--((C18:AG18="DM"))+(C18:AG18="CS1")+((C18:AG18="CS2"))+(C18:AG18="SB1")+(C18:AG18="AE")+(C18:AG18="EM"))</f>
        <v/>
      </c>
      <c r="AQ18" s="238" t="n"/>
      <c r="AR18" s="238">
        <f>SUMPRODUCT(--WEEKDAY(C$3:AG$3,2)&gt;5,--((C18:AG18="DM"))+(C18:AG18="CS1")+((C18:AG18="CS2"))+(C18:AG18="SB1")+(C18:AG18="AE")+(C18:AG18="EM"))</f>
        <v/>
      </c>
      <c r="AS18" s="238" t="n"/>
      <c r="AT18" s="238">
        <f>(AP18-AQ18)/2+(AR18-AS18)</f>
        <v/>
      </c>
      <c r="AU18" s="238">
        <f>AH18+AI18+AJ18+AK18+AM18+AN18</f>
        <v/>
      </c>
      <c r="AV18" s="238">
        <f>BF18+BG18+BI18+BD18+BB18+AZ18+BK18</f>
        <v/>
      </c>
      <c r="AW18" s="238">
        <f>AT18+AX18</f>
        <v/>
      </c>
      <c r="AX18" s="313">
        <f>(BI18*('Setting key Duty'!$I$8+'Setting key Duty'!$I$12))+(BG18*'Setting key Duty'!$I$9)+(BB18*('Setting key Duty'!$I$13+'Setting key Duty'!$I$9))+(AZ18*('Setting key Duty'!$I$13+'Setting key Duty'!$I$12+'Setting key Duty'!$I$11))+(BD18*('Setting key Duty'!$I$8+'Setting key Duty'!$I$9+'Setting key Duty'!$I$12))</f>
        <v/>
      </c>
      <c r="AY18" s="313">
        <f>COUNTIF(C18:AC18,"*BRT*")</f>
        <v/>
      </c>
      <c r="AZ18" s="313">
        <f>COUNTIF(A18:AH18,"*$BTP*")</f>
        <v/>
      </c>
      <c r="BA18" s="313">
        <f>AZ18*('Setting key Duty'!$I$13+'Setting key Duty'!$I$12+'Setting key Duty'!$I$11)</f>
        <v/>
      </c>
      <c r="BB18" s="313">
        <f>COUNTIF(A18:AH18,"*$L*")</f>
        <v/>
      </c>
      <c r="BC18" s="313">
        <f>BB18*('Setting key Duty'!$I$13+'Setting key Duty'!$I$9)</f>
        <v/>
      </c>
      <c r="BD18" s="313">
        <f>COUNTIF(A18:AH18,"*$M*")</f>
        <v/>
      </c>
      <c r="BE18" s="313">
        <f>BD18*('Setting key Duty'!$I$8+'Setting key Duty'!$I$9+'Setting key Duty'!$I$12)</f>
        <v/>
      </c>
      <c r="BF18" s="313">
        <f>COUNTIF(AH18,"*$N*")</f>
        <v/>
      </c>
      <c r="BG18" s="313">
        <f>COUNTIF(AH18,"*$PM*")</f>
        <v/>
      </c>
      <c r="BH18" s="313">
        <f>BG18*('Setting key Duty'!$I$9)</f>
        <v/>
      </c>
      <c r="BI18" s="313">
        <f>COUNTIF(A18:AH18,"*$AM*")</f>
        <v/>
      </c>
      <c r="BJ18" s="313">
        <f>BI18*('Setting key Duty'!$I$12+'Setting key Duty'!$I$8)</f>
        <v/>
      </c>
      <c r="BK18" s="313">
        <f>COUNTIF(C18:AH18,"*$FC*")</f>
        <v/>
      </c>
      <c r="BL18" s="313">
        <f>BK18*('Setting key Duty'!$J$11+'Setting key Duty'!$I$8)</f>
        <v/>
      </c>
      <c r="BM18" s="313">
        <f>COUNTIF($C18:$AC18,BM$4)</f>
        <v/>
      </c>
      <c r="BN18" s="313">
        <f>COUNTIF($C18:$AC18,BN$4)</f>
        <v/>
      </c>
      <c r="BO18" s="313">
        <f>COUNTIF($C18:$AC18,BO$4)</f>
        <v/>
      </c>
      <c r="BP18" s="314" t="n"/>
    </row>
    <row r="19" ht="19.5" customHeight="1">
      <c r="A19" s="309" t="n"/>
      <c r="B19" s="373" t="inlineStr">
        <is>
          <t>CPL PANG JUN YUAN</t>
        </is>
      </c>
      <c r="C19" s="197" t="inlineStr">
        <is>
          <t>DM</t>
        </is>
      </c>
      <c r="D19" s="106" t="n"/>
      <c r="F19" s="197" t="inlineStr">
        <is>
          <t>CS2</t>
        </is>
      </c>
      <c r="H19" s="197" t="n"/>
      <c r="I19" s="197" t="inlineStr">
        <is>
          <t>DM</t>
        </is>
      </c>
      <c r="J19" s="197" t="n"/>
      <c r="K19" s="197" t="n"/>
      <c r="L19" s="197" t="inlineStr">
        <is>
          <t>SB1</t>
        </is>
      </c>
      <c r="M19" s="198" t="n"/>
      <c r="N19" s="197" t="n"/>
      <c r="O19" s="197" t="inlineStr">
        <is>
          <t>CS2</t>
        </is>
      </c>
      <c r="P19" s="197" t="n"/>
      <c r="Q19" s="197" t="inlineStr">
        <is>
          <t>AL</t>
        </is>
      </c>
      <c r="R19" s="197" t="n"/>
      <c r="S19" s="197" t="n"/>
      <c r="T19" s="197" t="inlineStr">
        <is>
          <t>CS1</t>
        </is>
      </c>
      <c r="U19" s="197" t="n"/>
      <c r="X19" s="197" t="n"/>
      <c r="Y19" s="197" t="inlineStr">
        <is>
          <t>DM</t>
        </is>
      </c>
      <c r="AB19" s="197" t="inlineStr">
        <is>
          <t>CS2</t>
        </is>
      </c>
      <c r="AC19" s="198" t="n"/>
      <c r="AD19" s="197" t="inlineStr">
        <is>
          <t>AL</t>
        </is>
      </c>
      <c r="AE19" s="106" t="n"/>
      <c r="AF19" s="197" t="n"/>
      <c r="AG19" s="197" t="n"/>
      <c r="AH19" s="311" t="n"/>
      <c r="AI19" s="312" t="n"/>
      <c r="AJ19" s="311" t="n"/>
      <c r="AK19" s="313" t="n"/>
      <c r="AL19" s="313" t="n"/>
      <c r="AM19" s="313" t="n"/>
      <c r="AN19" s="313" t="n"/>
      <c r="AO19" s="238" t="n"/>
      <c r="AP19" s="313">
        <f>SUMPRODUCT(--WEEKDAY(C$3:AG$3,2)&lt;6,--((C19:AG19="DM"))+(C19:AG19="CS1")+((C19:AG19="CS2"))+(C19:AG19="SB1")+(C19:AG19="AE")+(C19:AG19="EM"))</f>
        <v/>
      </c>
      <c r="AQ19" s="238" t="n"/>
      <c r="AR19" s="238">
        <f>SUMPRODUCT(--WEEKDAY(C$3:AG$3,2)&gt;5,--((C19:AG19="DM"))+(C19:AG19="CS1")+((C19:AG19="CS2"))+(C19:AG19="SB1")+(C19:AG19="AE")+(C19:AG19="EM"))</f>
        <v/>
      </c>
      <c r="AS19" s="238" t="n"/>
      <c r="AT19" s="238">
        <f>(AP19-AQ19)/2+(AR19-AS19)</f>
        <v/>
      </c>
      <c r="AU19" s="238">
        <f>AH19+AI19+AJ19+AK19+AM19+AN19</f>
        <v/>
      </c>
      <c r="AV19" s="238">
        <f>BF19+BG19+BI19+BD19+BB19+AZ19+BK19</f>
        <v/>
      </c>
      <c r="AW19" s="238">
        <f>AT19+AX19</f>
        <v/>
      </c>
      <c r="AX19" s="313">
        <f>(BI19*('Setting key Duty'!$I$8+'Setting key Duty'!$I$12))+(BG19*'Setting key Duty'!$I$9)+(BB19*('Setting key Duty'!$I$13+'Setting key Duty'!$I$9))+(AZ19*('Setting key Duty'!$I$13+'Setting key Duty'!$I$12+'Setting key Duty'!$I$11))+(BD19*('Setting key Duty'!$I$8+'Setting key Duty'!$I$9+'Setting key Duty'!$I$12))</f>
        <v/>
      </c>
      <c r="AY19" s="313">
        <f>COUNTIF(D19:AC19,"*BRT*")</f>
        <v/>
      </c>
      <c r="AZ19" s="313">
        <f>COUNTIF(A19:AH19,"*$BTP*")</f>
        <v/>
      </c>
      <c r="BA19" s="313">
        <f>AZ19*('Setting key Duty'!$I$13+'Setting key Duty'!$I$12+'Setting key Duty'!$I$11)</f>
        <v/>
      </c>
      <c r="BB19" s="313">
        <f>COUNTIF(A19:AH19,"*$L*")</f>
        <v/>
      </c>
      <c r="BC19" s="313">
        <f>BB19*('Setting key Duty'!$I$13+'Setting key Duty'!$I$9)</f>
        <v/>
      </c>
      <c r="BD19" s="313">
        <f>COUNTIF(A19:AH19,"*$M*")</f>
        <v/>
      </c>
      <c r="BE19" s="313">
        <f>BD19*('Setting key Duty'!$I$8+'Setting key Duty'!$I$9+'Setting key Duty'!$I$12)</f>
        <v/>
      </c>
      <c r="BF19" s="313">
        <f>COUNTIF(AF19:AH19,"*$N*")</f>
        <v/>
      </c>
      <c r="BG19" s="313">
        <f>COUNTIF(AF19:AH19,"*$PM*")</f>
        <v/>
      </c>
      <c r="BH19" s="313">
        <f>BG19*('Setting key Duty'!$I$9)</f>
        <v/>
      </c>
      <c r="BI19" s="313">
        <f>COUNTIF(A19:AH19,"*$AM*")</f>
        <v/>
      </c>
      <c r="BJ19" s="313">
        <f>BI19*('Setting key Duty'!$I$12+'Setting key Duty'!$I$8)</f>
        <v/>
      </c>
      <c r="BK19" s="313">
        <f>COUNTIF(D19:AH19,"*$FC*")</f>
        <v/>
      </c>
      <c r="BL19" s="313">
        <f>BK19*('Setting key Duty'!$J$11+'Setting key Duty'!$I$8)</f>
        <v/>
      </c>
      <c r="BM19" s="313">
        <f>COUNTIF($D19:$AE19,BM$4)</f>
        <v/>
      </c>
      <c r="BN19" s="313">
        <f>COUNTIF($D19:$AE19,BN$4)</f>
        <v/>
      </c>
      <c r="BO19" s="313">
        <f>COUNTIF($D19:$AE19,BO$4)</f>
        <v/>
      </c>
      <c r="BP19" s="314" t="n"/>
    </row>
    <row r="20" ht="19.5" customHeight="1">
      <c r="A20" s="309" t="n"/>
      <c r="B20" s="407" t="inlineStr">
        <is>
          <t>LCP SEE WEI ZHI</t>
        </is>
      </c>
      <c r="C20" s="198" t="inlineStr">
        <is>
          <t>OL</t>
        </is>
      </c>
      <c r="D20" s="198" t="inlineStr">
        <is>
          <t>OL</t>
        </is>
      </c>
      <c r="E20" s="198" t="inlineStr">
        <is>
          <t>OL</t>
        </is>
      </c>
      <c r="F20" s="197" t="inlineStr">
        <is>
          <t>SB1</t>
        </is>
      </c>
      <c r="H20" s="197" t="inlineStr">
        <is>
          <t>AMPT</t>
        </is>
      </c>
      <c r="I20" s="106" t="n"/>
      <c r="J20" s="106" t="n"/>
      <c r="K20" s="197" t="inlineStr">
        <is>
          <t>SB1</t>
        </is>
      </c>
      <c r="M20" s="106" t="n"/>
      <c r="N20" s="197" t="n"/>
      <c r="O20" s="197" t="inlineStr">
        <is>
          <t>CS1</t>
        </is>
      </c>
      <c r="P20" s="197" t="n"/>
      <c r="Q20" s="106" t="n"/>
      <c r="R20" s="197" t="inlineStr">
        <is>
          <t>CS1</t>
        </is>
      </c>
      <c r="S20" s="197" t="n"/>
      <c r="T20" s="197" t="inlineStr">
        <is>
          <t>DM</t>
        </is>
      </c>
      <c r="U20" s="197" t="n"/>
      <c r="V20" s="106" t="n"/>
      <c r="W20" s="197" t="inlineStr">
        <is>
          <t>DM</t>
        </is>
      </c>
      <c r="X20" s="197" t="n"/>
      <c r="Y20" s="197" t="inlineStr">
        <is>
          <t>AL</t>
        </is>
      </c>
      <c r="Z20" s="197" t="inlineStr">
        <is>
          <t>AL</t>
        </is>
      </c>
      <c r="AA20" s="197" t="inlineStr">
        <is>
          <t>AL</t>
        </is>
      </c>
      <c r="AB20" s="197" t="inlineStr">
        <is>
          <t>AL</t>
        </is>
      </c>
      <c r="AC20" s="197" t="inlineStr">
        <is>
          <t>AL</t>
        </is>
      </c>
      <c r="AD20" s="197" t="inlineStr">
        <is>
          <t>AL</t>
        </is>
      </c>
      <c r="AE20" s="197" t="inlineStr">
        <is>
          <t>AL</t>
        </is>
      </c>
      <c r="AF20" s="197" t="inlineStr">
        <is>
          <t>AL</t>
        </is>
      </c>
      <c r="AG20" s="197" t="inlineStr">
        <is>
          <t>AL</t>
        </is>
      </c>
      <c r="AH20" s="311" t="n"/>
      <c r="AI20" s="312" t="n"/>
      <c r="AJ20" s="311" t="n"/>
      <c r="AK20" s="313" t="n"/>
      <c r="AL20" s="313" t="n"/>
      <c r="AM20" s="313" t="n"/>
      <c r="AN20" s="313" t="n"/>
      <c r="AO20" s="238" t="n"/>
      <c r="AP20" s="313">
        <f>SUMPRODUCT(--WEEKDAY(C$3:AG$3,2)&lt;6,--((C20:AG20="DM"))+(C20:AG20="CS1")+((C20:AG20="CS2"))+(C20:AG20="SB1")+(C20:AG20="AE")+(C20:AG20="EM"))</f>
        <v/>
      </c>
      <c r="AQ20" s="238" t="n"/>
      <c r="AR20" s="238">
        <f>SUMPRODUCT(--WEEKDAY(C$3:AG$3,2)&gt;5,--((C20:AG20="DM"))+(C20:AG20="CS1")+((C20:AG20="CS2"))+(C20:AG20="SB1")+(C20:AG20="AE")+(C20:AG20="EM"))</f>
        <v/>
      </c>
      <c r="AS20" s="238" t="n"/>
      <c r="AT20" s="238">
        <f>(AP20-AQ20)/2+(AR20-AS20)</f>
        <v/>
      </c>
      <c r="AU20" s="238">
        <f>AH20+AI20+AJ20+AK20+AM20+AN20</f>
        <v/>
      </c>
      <c r="AV20" s="238">
        <f>BF20+BG20+BI20+BD20+BB20+AZ20+BK20</f>
        <v/>
      </c>
      <c r="AW20" s="238">
        <f>AT20+AX20</f>
        <v/>
      </c>
      <c r="AX20" s="313">
        <f>(BI20*('Setting key Duty'!$I$8+'Setting key Duty'!$I$12))+(BG20*'Setting key Duty'!$I$9)+(BB20*('Setting key Duty'!$I$13+'Setting key Duty'!$I$9))+(AZ20*('Setting key Duty'!$I$13+'Setting key Duty'!$I$12+'Setting key Duty'!$I$11))+(BD20*('Setting key Duty'!$I$8+'Setting key Duty'!$I$9+'Setting key Duty'!$I$12))</f>
        <v/>
      </c>
      <c r="AY20" s="313">
        <f>COUNTIF(D20:AB20,"*BRT*")</f>
        <v/>
      </c>
      <c r="AZ20" s="313">
        <f>COUNTIF(A20:AH20,"*$BTP*")</f>
        <v/>
      </c>
      <c r="BA20" s="313">
        <f>AZ20*('Setting key Duty'!$I$13+'Setting key Duty'!$I$12+'Setting key Duty'!$I$11)</f>
        <v/>
      </c>
      <c r="BB20" s="313">
        <f>COUNTIF(A20:AH20,"*$L*")</f>
        <v/>
      </c>
      <c r="BC20" s="313">
        <f>BB20*('Setting key Duty'!$I$13+'Setting key Duty'!$I$9)</f>
        <v/>
      </c>
      <c r="BD20" s="313">
        <f>COUNTIF(A20:AH20,"*$M*")</f>
        <v/>
      </c>
      <c r="BE20" s="313">
        <f>BD20*('Setting key Duty'!$I$8+'Setting key Duty'!$I$9+'Setting key Duty'!$I$12)</f>
        <v/>
      </c>
      <c r="BF20" s="313">
        <f>COUNTIF(AF20:AH20,"*$N*")</f>
        <v/>
      </c>
      <c r="BG20" s="313">
        <f>COUNTIF(AF20:AH20,"*$PM*")</f>
        <v/>
      </c>
      <c r="BH20" s="313">
        <f>BG20*('Setting key Duty'!$I$9)</f>
        <v/>
      </c>
      <c r="BI20" s="313">
        <f>COUNTIF(A20:AH20,"*$AM*")</f>
        <v/>
      </c>
      <c r="BJ20" s="313">
        <f>BI20*('Setting key Duty'!$I$12+'Setting key Duty'!$I$8)</f>
        <v/>
      </c>
      <c r="BK20" s="313">
        <f>COUNTIF(D20:AH20,"*$FC*")</f>
        <v/>
      </c>
      <c r="BL20" s="313">
        <f>BK20*('Setting key Duty'!$J$11+'Setting key Duty'!$I$8)</f>
        <v/>
      </c>
      <c r="BM20" s="313">
        <f>COUNTIF($D20:$AE20,BM$4)</f>
        <v/>
      </c>
      <c r="BN20" s="313">
        <f>COUNTIF($D20:$AE20,BN$4)</f>
        <v/>
      </c>
      <c r="BO20" s="313">
        <f>COUNTIF($D20:$AE20,BO$4)</f>
        <v/>
      </c>
      <c r="BP20" s="314" t="n"/>
    </row>
    <row r="21" ht="19.5" customHeight="1">
      <c r="A21" s="309" t="inlineStr">
        <is>
          <t>AL</t>
        </is>
      </c>
      <c r="B21" s="333" t="inlineStr">
        <is>
          <t>LCP ESWARAN SENTHILKUMAR</t>
        </is>
      </c>
      <c r="C21" s="197" t="inlineStr">
        <is>
          <t>AL</t>
        </is>
      </c>
      <c r="D21" s="197" t="inlineStr">
        <is>
          <t>AL</t>
        </is>
      </c>
      <c r="E21" s="197" t="inlineStr">
        <is>
          <t>AL</t>
        </is>
      </c>
      <c r="F21" s="197" t="inlineStr">
        <is>
          <t>AL</t>
        </is>
      </c>
      <c r="G21" s="198" t="inlineStr">
        <is>
          <t>CS1</t>
        </is>
      </c>
      <c r="H21" s="197" t="n"/>
      <c r="J21" s="197" t="inlineStr">
        <is>
          <t>CS2</t>
        </is>
      </c>
      <c r="K21" s="197" t="n"/>
      <c r="L21" s="197" t="n"/>
      <c r="M21" s="197" t="n"/>
      <c r="N21" s="197" t="inlineStr">
        <is>
          <t>DM</t>
        </is>
      </c>
      <c r="O21" s="106" t="n"/>
      <c r="P21" s="197" t="n"/>
      <c r="Q21" s="197" t="n"/>
      <c r="R21" s="197" t="n"/>
      <c r="S21" s="197" t="inlineStr">
        <is>
          <t>DM</t>
        </is>
      </c>
      <c r="T21" s="197" t="n"/>
      <c r="U21" s="197" t="n"/>
      <c r="V21" s="197" t="n"/>
      <c r="W21" s="197" t="inlineStr">
        <is>
          <t>CS2</t>
        </is>
      </c>
      <c r="X21" s="197" t="n"/>
      <c r="Y21" s="106" t="n"/>
      <c r="Z21" s="197" t="inlineStr">
        <is>
          <t>CS2</t>
        </is>
      </c>
      <c r="AA21" s="106" t="n"/>
      <c r="AB21" s="197" t="inlineStr">
        <is>
          <t>MC</t>
        </is>
      </c>
      <c r="AC21" s="197" t="inlineStr">
        <is>
          <t>MC</t>
        </is>
      </c>
      <c r="AD21" s="106" t="n"/>
      <c r="AE21" s="197" t="n"/>
      <c r="AF21" s="197" t="n"/>
      <c r="AG21" s="197" t="n"/>
      <c r="AH21" s="311" t="n"/>
      <c r="AI21" s="312" t="n"/>
      <c r="AJ21" s="311" t="n"/>
      <c r="AK21" s="313" t="n"/>
      <c r="AL21" s="313" t="n"/>
      <c r="AM21" s="313" t="n"/>
      <c r="AN21" s="313" t="n"/>
      <c r="AO21" s="238" t="n"/>
      <c r="AP21" s="313">
        <f>SUMPRODUCT(--WEEKDAY(C$3:AG$3,2)&lt;6,--((C21:AG21="DM"))+(C21:AG21="CS1")+((C21:AG21="CS2"))+(C21:AG21="SB1")+(C21:AG21="AE")+(C21:AG21="EM"))</f>
        <v/>
      </c>
      <c r="AQ21" s="238" t="n"/>
      <c r="AR21" s="238">
        <f>SUMPRODUCT(--WEEKDAY(C$3:AG$3,2)&gt;5,--((C21:AG21="DM"))+(C21:AG21="CS1")+((C21:AG21="CS2"))+(C21:AG21="SB1")+(C21:AG21="AE")+(C21:AG21="EM"))</f>
        <v/>
      </c>
      <c r="AS21" s="238" t="n"/>
      <c r="AT21" s="238">
        <f>(AP21-AQ21)/2+(AR21-AS21)</f>
        <v/>
      </c>
      <c r="AU21" s="238">
        <f>AH21+AI21+AJ21+AK21+AM21+AN21</f>
        <v/>
      </c>
      <c r="AV21" s="238">
        <f>BF21+BG21+BI21+BD21+BB21+AZ21+BK21</f>
        <v/>
      </c>
      <c r="AW21" s="238">
        <f>AT21+AX21</f>
        <v/>
      </c>
      <c r="AX21" s="313">
        <f>(BI21*('Setting key Duty'!$I$8+'Setting key Duty'!$I$12))+(BG21*'Setting key Duty'!$I$9)+(BB21*('Setting key Duty'!$I$13+'Setting key Duty'!$I$9))+(AZ21*('Setting key Duty'!$I$13+'Setting key Duty'!$I$12+'Setting key Duty'!$I$11))+(BD21*('Setting key Duty'!$I$8+'Setting key Duty'!$I$9+'Setting key Duty'!$I$12))</f>
        <v/>
      </c>
      <c r="AY21" s="313">
        <f>COUNTIF(D21:AC21,"*BRT*")</f>
        <v/>
      </c>
      <c r="AZ21" s="313">
        <f>COUNTIF(A21:AH21,"*$BTP*")</f>
        <v/>
      </c>
      <c r="BA21" s="313">
        <f>AZ21*('Setting key Duty'!$I$13+'Setting key Duty'!$I$12+'Setting key Duty'!$I$11)</f>
        <v/>
      </c>
      <c r="BB21" s="313">
        <f>COUNTIF(A21:AH21,"*$L*")</f>
        <v/>
      </c>
      <c r="BC21" s="313">
        <f>BB21*('Setting key Duty'!$I$13+'Setting key Duty'!$I$9)</f>
        <v/>
      </c>
      <c r="BD21" s="313">
        <f>COUNTIF(A21:AH21,"*$M*")</f>
        <v/>
      </c>
      <c r="BE21" s="313">
        <f>BD21*('Setting key Duty'!$I$8+'Setting key Duty'!$I$9+'Setting key Duty'!$I$12)</f>
        <v/>
      </c>
      <c r="BF21" s="313">
        <f>COUNTIF(AH21,"*$N*")</f>
        <v/>
      </c>
      <c r="BG21" s="313">
        <f>COUNTIF(AH21,"*$PM*")</f>
        <v/>
      </c>
      <c r="BH21" s="313">
        <f>BG21*('Setting key Duty'!$I$9)</f>
        <v/>
      </c>
      <c r="BI21" s="313">
        <f>COUNTIF(A21:AH21,"*$AM*")</f>
        <v/>
      </c>
      <c r="BJ21" s="313">
        <f>BI21*('Setting key Duty'!$I$12+'Setting key Duty'!$I$8)</f>
        <v/>
      </c>
      <c r="BK21" s="313">
        <f>COUNTIF(D21:AH21,"*$FC*")</f>
        <v/>
      </c>
      <c r="BL21" s="313">
        <f>BK21*('Setting key Duty'!$J$11+'Setting key Duty'!$I$8)</f>
        <v/>
      </c>
      <c r="BM21" s="313">
        <f>COUNTIF($D21:$AC21,BM$4)</f>
        <v/>
      </c>
      <c r="BN21" s="313">
        <f>COUNTIF($D21:$AC21,BN$4)</f>
        <v/>
      </c>
      <c r="BO21" s="313">
        <f>COUNTIF($D21:$AC21,BO$4)</f>
        <v/>
      </c>
      <c r="BP21" s="314" t="n"/>
    </row>
    <row r="22" ht="19.5" customHeight="1">
      <c r="A22" s="309" t="n"/>
      <c r="B22" s="392" t="inlineStr">
        <is>
          <t>CFC TAN WAI KEAT</t>
        </is>
      </c>
      <c r="C22" s="198" t="n"/>
      <c r="D22" s="197" t="inlineStr">
        <is>
          <t>CS1</t>
        </is>
      </c>
      <c r="F22" s="197" t="n"/>
      <c r="G22" s="197" t="inlineStr">
        <is>
          <t>DM</t>
        </is>
      </c>
      <c r="H22" s="197" t="n"/>
      <c r="I22" s="197" t="inlineStr">
        <is>
          <t>CS2</t>
        </is>
      </c>
      <c r="J22" s="198" t="n"/>
      <c r="K22" s="197" t="inlineStr">
        <is>
          <t>AL</t>
        </is>
      </c>
      <c r="L22" s="197" t="inlineStr">
        <is>
          <t>AL</t>
        </is>
      </c>
      <c r="M22" s="197" t="inlineStr">
        <is>
          <t>AL</t>
        </is>
      </c>
      <c r="N22" s="197" t="inlineStr">
        <is>
          <t>AL</t>
        </is>
      </c>
      <c r="O22" s="197" t="inlineStr">
        <is>
          <t>AL</t>
        </is>
      </c>
      <c r="P22" s="197" t="inlineStr">
        <is>
          <t>AL</t>
        </is>
      </c>
      <c r="Q22" s="197" t="inlineStr">
        <is>
          <t>AL</t>
        </is>
      </c>
      <c r="R22" s="197" t="inlineStr">
        <is>
          <t>AL</t>
        </is>
      </c>
      <c r="S22" s="197" t="inlineStr">
        <is>
          <t>AL</t>
        </is>
      </c>
      <c r="T22" s="197" t="inlineStr">
        <is>
          <t>AL</t>
        </is>
      </c>
      <c r="U22" s="197" t="inlineStr">
        <is>
          <t>AL</t>
        </is>
      </c>
      <c r="V22" s="197" t="inlineStr">
        <is>
          <t>AL</t>
        </is>
      </c>
      <c r="W22" s="197" t="inlineStr">
        <is>
          <t>AL</t>
        </is>
      </c>
      <c r="X22" s="197" t="inlineStr">
        <is>
          <t>DM</t>
        </is>
      </c>
      <c r="Z22" s="106" t="n"/>
      <c r="AA22" s="197" t="inlineStr">
        <is>
          <t>SB1</t>
        </is>
      </c>
      <c r="AB22" s="198" t="n"/>
      <c r="AC22" s="197" t="inlineStr">
        <is>
          <t>CS1</t>
        </is>
      </c>
      <c r="AE22" s="197" t="n"/>
      <c r="AF22" s="106" t="n"/>
      <c r="AG22" s="197" t="n"/>
      <c r="AH22" s="311" t="n"/>
      <c r="AI22" s="312" t="n"/>
      <c r="AJ22" s="311" t="n"/>
      <c r="AK22" s="313" t="n"/>
      <c r="AL22" s="313" t="n"/>
      <c r="AM22" s="313" t="n"/>
      <c r="AN22" s="313" t="n"/>
      <c r="AO22" s="238" t="n"/>
      <c r="AP22" s="313">
        <f>SUMPRODUCT(--WEEKDAY(C$3:AG$3,2)&lt;6,--((C22:AG22="DM"))+(C22:AG22="CS1")+((C22:AG22="CS2"))+(C22:AG22="SB1")+(C22:AG22="AE")+(C22:AG22="EM"))</f>
        <v/>
      </c>
      <c r="AQ22" s="238" t="n"/>
      <c r="AR22" s="238">
        <f>SUMPRODUCT(--WEEKDAY(C$3:AG$3,2)&gt;5,--((C22:AG22="DM"))+(C22:AG22="CS1")+((C22:AG22="CS2"))+(C22:AG22="SB1")+(C22:AG22="AE")+(C22:AG22="EM"))</f>
        <v/>
      </c>
      <c r="AS22" s="238" t="n"/>
      <c r="AT22" s="238">
        <f>(AP22-AQ22)/2+(AR22-AS22)</f>
        <v/>
      </c>
      <c r="AU22" s="238">
        <f>AH22+AI22+AJ22+AK22+AM22+AN22</f>
        <v/>
      </c>
      <c r="AV22" s="238">
        <f>BF22+BG22+BI22+BD22+BB22+AZ22+BK22</f>
        <v/>
      </c>
      <c r="AW22" s="238">
        <f>AT22+AX22</f>
        <v/>
      </c>
      <c r="AX22" s="313">
        <f>(BI22*('Setting key Duty'!$I$8+'Setting key Duty'!$I$12))+(BG22*'Setting key Duty'!$I$9)+(BB22*('Setting key Duty'!$I$13+'Setting key Duty'!$I$9))+(AZ22*('Setting key Duty'!$I$13+'Setting key Duty'!$I$12+'Setting key Duty'!$I$11))+(BD22*('Setting key Duty'!$I$8+'Setting key Duty'!$I$9+'Setting key Duty'!$I$12))</f>
        <v/>
      </c>
      <c r="AY22" s="313">
        <f>COUNTIF(D22:AC22,"*BRT*")</f>
        <v/>
      </c>
      <c r="AZ22" s="313">
        <f>COUNTIF(A22:AH22,"*$BTP*")</f>
        <v/>
      </c>
      <c r="BA22" s="313">
        <f>AZ22*('Setting key Duty'!$I$13+'Setting key Duty'!$I$12+'Setting key Duty'!$I$11)</f>
        <v/>
      </c>
      <c r="BB22" s="313">
        <f>COUNTIF(A22:AH22,"*$L*")</f>
        <v/>
      </c>
      <c r="BC22" s="313">
        <f>BB22*('Setting key Duty'!$I$13+'Setting key Duty'!$I$9)</f>
        <v/>
      </c>
      <c r="BD22" s="313">
        <f>COUNTIF(A22:AH22,"*$M*")</f>
        <v/>
      </c>
      <c r="BE22" s="313">
        <f>BD22*('Setting key Duty'!$I$8+'Setting key Duty'!$I$9+'Setting key Duty'!$I$12)</f>
        <v/>
      </c>
      <c r="BF22" s="313">
        <f>COUNTIF(AE22:AH22,"*$N*")</f>
        <v/>
      </c>
      <c r="BG22" s="313">
        <f>COUNTIF(AE22:AH22,"*$PM*")</f>
        <v/>
      </c>
      <c r="BH22" s="313">
        <f>BG22*('Setting key Duty'!$I$9)</f>
        <v/>
      </c>
      <c r="BI22" s="313">
        <f>COUNTIF(A22:AH22,"*$AM*")</f>
        <v/>
      </c>
      <c r="BJ22" s="313">
        <f>BI22*('Setting key Duty'!$I$12+'Setting key Duty'!$I$8)</f>
        <v/>
      </c>
      <c r="BK22" s="313">
        <f>COUNTIF(D22:AH22,"*$FC*")</f>
        <v/>
      </c>
      <c r="BL22" s="313">
        <f>BK22*('Setting key Duty'!$J$11+'Setting key Duty'!$I$8)</f>
        <v/>
      </c>
      <c r="BM22" s="313">
        <f>COUNTIF($D22:$AE22,BM$4)</f>
        <v/>
      </c>
      <c r="BN22" s="313">
        <f>COUNTIF($D22:$AE22,BN$4)</f>
        <v/>
      </c>
      <c r="BO22" s="313">
        <f>COUNTIF($D22:$AE22,BO$4)</f>
        <v/>
      </c>
      <c r="BP22" s="314" t="n"/>
    </row>
    <row r="23" ht="19.5" customHeight="1">
      <c r="A23" s="309" t="n"/>
      <c r="B23" s="335" t="inlineStr">
        <is>
          <t>LCP WAN FARID BIN ABDULLAH</t>
        </is>
      </c>
      <c r="C23" s="198" t="inlineStr">
        <is>
          <t>AL</t>
        </is>
      </c>
      <c r="D23" s="197" t="n"/>
      <c r="E23" s="197" t="n"/>
      <c r="F23" s="324" t="inlineStr">
        <is>
          <t>K $FC</t>
        </is>
      </c>
      <c r="G23" s="324" t="inlineStr">
        <is>
          <t>K $FC</t>
        </is>
      </c>
      <c r="H23" s="324" t="inlineStr">
        <is>
          <t>K $FC</t>
        </is>
      </c>
      <c r="I23" s="324" t="inlineStr">
        <is>
          <t>K $FC</t>
        </is>
      </c>
      <c r="J23" s="197" t="n"/>
      <c r="K23" s="197" t="n"/>
      <c r="L23" s="197" t="n"/>
      <c r="M23" s="197" t="inlineStr">
        <is>
          <t>CS2</t>
        </is>
      </c>
      <c r="O23" s="197" t="inlineStr">
        <is>
          <t>AE</t>
        </is>
      </c>
      <c r="Q23" s="197" t="n"/>
      <c r="R23" s="106" t="n"/>
      <c r="S23" s="197" t="inlineStr">
        <is>
          <t>CS1</t>
        </is>
      </c>
      <c r="T23" s="197" t="n"/>
      <c r="U23" s="198" t="n"/>
      <c r="V23" s="198" t="n"/>
      <c r="W23" s="331" t="inlineStr">
        <is>
          <t>R $M 12KM RM (1600-2359)</t>
        </is>
      </c>
      <c r="X23" s="198" t="n"/>
      <c r="Y23" s="197" t="inlineStr">
        <is>
          <t>CS2</t>
        </is>
      </c>
      <c r="AA23" s="198" t="n"/>
      <c r="AB23" s="198" t="n"/>
      <c r="AC23" s="197" t="inlineStr">
        <is>
          <t>H $M RE 12 KM RM (1700 - 2359)</t>
        </is>
      </c>
      <c r="AD23" s="198" t="n"/>
      <c r="AE23" s="198" t="n"/>
      <c r="AF23" s="197" t="inlineStr">
        <is>
          <t>CS1</t>
        </is>
      </c>
      <c r="AH23" s="311" t="n"/>
      <c r="AI23" s="312" t="n"/>
      <c r="AJ23" s="311" t="n"/>
      <c r="AK23" s="313" t="n"/>
      <c r="AL23" s="313" t="n"/>
      <c r="AM23" s="313" t="n"/>
      <c r="AN23" s="313" t="n"/>
      <c r="AO23" s="238" t="n"/>
      <c r="AP23" s="313">
        <f>SUMPRODUCT(--WEEKDAY(C$3:AG$3,2)&lt;6,--((C23:AG23="DM"))+(C23:AG23="CS1")+((C23:AG23="CS2"))+(C23:AG23="SB1")+(C23:AG23="AE")+(C23:AG23="EM"))</f>
        <v/>
      </c>
      <c r="AQ23" s="238" t="n"/>
      <c r="AR23" s="238">
        <f>SUMPRODUCT(--WEEKDAY(C$3:AG$3,2)&gt;5,--((C23:AG23="DM"))+(C23:AG23="CS1")+((C23:AG23="CS2"))+(C23:AG23="SB1")+(C23:AG23="AE")+(C23:AG23="EM"))</f>
        <v/>
      </c>
      <c r="AS23" s="238" t="n"/>
      <c r="AT23" s="238">
        <f>(AP23-AQ23)/2+(AR23-AS23)</f>
        <v/>
      </c>
      <c r="AU23" s="238">
        <f>AH23+AI23+AJ23+AK23+AM23+AN23</f>
        <v/>
      </c>
      <c r="AV23" s="238">
        <f>BF23+BG23+BI23+BD23+BB23+AZ23+BK23</f>
        <v/>
      </c>
      <c r="AW23" s="238">
        <f>AT23+AX23</f>
        <v/>
      </c>
      <c r="AX23" s="313">
        <f>(BI23*('Setting key Duty'!$I$8+'Setting key Duty'!$I$12))+(BG23*'Setting key Duty'!$I$9)+(BB23*('Setting key Duty'!$I$13+'Setting key Duty'!$I$9))+(AZ23*('Setting key Duty'!$I$13+'Setting key Duty'!$I$12+'Setting key Duty'!$I$11))+(BD23*('Setting key Duty'!$I$8+'Setting key Duty'!$I$9+'Setting key Duty'!$I$12))</f>
        <v/>
      </c>
      <c r="AY23" s="313">
        <f>COUNTIF(D23:AA23,"*BRT*")</f>
        <v/>
      </c>
      <c r="AZ23" s="313">
        <f>COUNTIF(A23:AH23,"*$BTP*")</f>
        <v/>
      </c>
      <c r="BA23" s="313">
        <f>AZ23*('Setting key Duty'!$I$13+'Setting key Duty'!$I$12+'Setting key Duty'!$I$11)</f>
        <v/>
      </c>
      <c r="BB23" s="313">
        <f>COUNTIF(A23:AH23,"*$L*")</f>
        <v/>
      </c>
      <c r="BC23" s="313">
        <f>BB23*('Setting key Duty'!$I$13+'Setting key Duty'!$I$9)</f>
        <v/>
      </c>
      <c r="BD23" s="313">
        <f>COUNTIF(A23:AH23,"*$M*")</f>
        <v/>
      </c>
      <c r="BE23" s="313">
        <f>BD23*('Setting key Duty'!$I$8+'Setting key Duty'!$I$9+'Setting key Duty'!$I$12)</f>
        <v/>
      </c>
      <c r="BF23" s="313">
        <f>COUNTIF(AH23,"*$N*")</f>
        <v/>
      </c>
      <c r="BG23" s="313">
        <f>COUNTIF(AH23,"*$PM*")</f>
        <v/>
      </c>
      <c r="BH23" s="313">
        <f>BG23*('Setting key Duty'!$I$9)</f>
        <v/>
      </c>
      <c r="BI23" s="313">
        <f>COUNTIF(A23:AH23,"*$AM*")</f>
        <v/>
      </c>
      <c r="BJ23" s="313">
        <f>BI23*('Setting key Duty'!$I$12+'Setting key Duty'!$I$8)</f>
        <v/>
      </c>
      <c r="BK23" s="313">
        <f>COUNTIF(D23:AH23,"*$FC*")</f>
        <v/>
      </c>
      <c r="BL23" s="313">
        <f>BK23*('Setting key Duty'!$J$11+'Setting key Duty'!$I$8)</f>
        <v/>
      </c>
      <c r="BM23" s="313">
        <f>COUNTIF($D23:$AA23,BM$4)</f>
        <v/>
      </c>
      <c r="BN23" s="313">
        <f>COUNTIF($D23:$AA23,BN$4)</f>
        <v/>
      </c>
      <c r="BO23" s="313">
        <f>COUNTIF($D23:$AA23,BO$4)</f>
        <v/>
      </c>
      <c r="BP23" s="314" t="n"/>
    </row>
    <row r="24" ht="19.5" customHeight="1">
      <c r="A24" s="309" t="n"/>
      <c r="B24" s="334" t="inlineStr">
        <is>
          <t>PTE JAY DEOL FROST</t>
        </is>
      </c>
      <c r="C24" s="197" t="n"/>
      <c r="D24" s="197" t="inlineStr">
        <is>
          <t>D $FC</t>
        </is>
      </c>
      <c r="E24" s="197" t="inlineStr">
        <is>
          <t>D $FC</t>
        </is>
      </c>
      <c r="F24" s="197" t="inlineStr">
        <is>
          <t>D $FC</t>
        </is>
      </c>
      <c r="G24" s="197" t="inlineStr">
        <is>
          <t>D $FC</t>
        </is>
      </c>
      <c r="H24" s="197" t="inlineStr">
        <is>
          <t>D $FC</t>
        </is>
      </c>
      <c r="I24" s="197" t="n"/>
      <c r="J24" s="324" t="inlineStr">
        <is>
          <t>SB2</t>
        </is>
      </c>
      <c r="K24" s="197" t="n"/>
      <c r="L24" s="197" t="n"/>
      <c r="N24" s="197" t="inlineStr">
        <is>
          <t>R $PM PERSMTAFF SOC (1530 -2000)</t>
        </is>
      </c>
      <c r="Q24" s="197" t="inlineStr">
        <is>
          <t>O $FC</t>
        </is>
      </c>
      <c r="R24" s="197" t="inlineStr">
        <is>
          <t>O $FC</t>
        </is>
      </c>
      <c r="S24" s="197" t="inlineStr">
        <is>
          <t>O $FC</t>
        </is>
      </c>
      <c r="T24" s="197" t="inlineStr">
        <is>
          <t>O $FC</t>
        </is>
      </c>
      <c r="U24" s="197" t="inlineStr">
        <is>
          <t>OFF</t>
        </is>
      </c>
      <c r="V24" s="197" t="inlineStr">
        <is>
          <t>L $PM ER (1530-2000)</t>
        </is>
      </c>
      <c r="W24" s="197" t="inlineStr">
        <is>
          <t>H $M 12KM RM (1400-2359)</t>
        </is>
      </c>
      <c r="X24" s="198" t="n"/>
      <c r="Y24" s="197" t="n"/>
      <c r="Z24" s="197" t="inlineStr">
        <is>
          <t>SB1</t>
        </is>
      </c>
      <c r="AA24" s="197" t="n"/>
      <c r="AB24" s="404" t="n"/>
      <c r="AC24" s="197" t="n"/>
      <c r="AD24" s="1" t="inlineStr">
        <is>
          <t>MC</t>
        </is>
      </c>
      <c r="AE24" s="197" t="n"/>
      <c r="AF24" s="197" t="n"/>
      <c r="AH24" s="311">
        <f>COUNTIF($C24:$AF24,AH$4)</f>
        <v/>
      </c>
      <c r="AI24" s="312">
        <f>COUNTIF($C24:$AF24,AI$4)</f>
        <v/>
      </c>
      <c r="AJ24" s="311">
        <f>COUNTIF($C24:$AF24,AJ$4)</f>
        <v/>
      </c>
      <c r="AK24" s="313">
        <f>COUNTIF($C24:$AF24,AK$4)</f>
        <v/>
      </c>
      <c r="AL24" s="313">
        <f>COUNTIF($C24:$AF24,AL$4)</f>
        <v/>
      </c>
      <c r="AM24" s="313">
        <f>COUNTIF($C24:$AF24,AM$4)</f>
        <v/>
      </c>
      <c r="AN24" s="313">
        <f>COUNTIF($C24:$AF24,AN$4)</f>
        <v/>
      </c>
      <c r="AO24" s="238" t="n"/>
      <c r="AP24" s="313">
        <f>SUMPRODUCT(--WEEKDAY(C$3:AG$3,2)&lt;6,--((C24:AG24="DM"))+(C24:AG24="CS1")+((C24:AG24="CS2"))+(C24:AG24="SB1")+(C24:AG24="AE")+(C24:AG24="EM"))</f>
        <v/>
      </c>
      <c r="AQ24" s="238" t="n"/>
      <c r="AR24" s="238">
        <f>SUMPRODUCT(--WEEKDAY(C$3:AG$3,2)&gt;5,--((C24:AG24="DM"))+(C24:AG24="CS1")+((C24:AG24="CS2"))+(C24:AG24="SB1")+(C24:AG24="AE")+(C24:AG24="EM"))</f>
        <v/>
      </c>
      <c r="AS24" s="238" t="n"/>
      <c r="AT24" s="238">
        <f>(AP24-AQ24)/2+(AR24-AS24)</f>
        <v/>
      </c>
      <c r="AU24" s="238">
        <f>AH24+AI24+AJ24+AK24+AM24+AN24</f>
        <v/>
      </c>
      <c r="AV24" s="238">
        <f>BF24+BG24+BI24+BD24+BB24+AZ24+BK24</f>
        <v/>
      </c>
      <c r="AW24" s="238">
        <f>AT24+AX24</f>
        <v/>
      </c>
      <c r="AX24" s="313">
        <f>(BI24*('Setting key Duty'!$I$8+'Setting key Duty'!$I$12))+(BG24*'Setting key Duty'!$I$9)+(BB24*('Setting key Duty'!$I$13+'Setting key Duty'!$I$9))+(AZ24*('Setting key Duty'!$I$13+'Setting key Duty'!$I$12+'Setting key Duty'!$I$11))+(BD24*('Setting key Duty'!$I$8+'Setting key Duty'!$I$9+'Setting key Duty'!$I$12))</f>
        <v/>
      </c>
      <c r="AY24" s="313">
        <f>COUNTIF(C24:AC24,"*BRT*")</f>
        <v/>
      </c>
      <c r="AZ24" s="313">
        <f>COUNTIF(A24:AH24,"*$BTP*")</f>
        <v/>
      </c>
      <c r="BA24" s="313">
        <f>AZ24*('Setting key Duty'!$I$13+'Setting key Duty'!$I$12+'Setting key Duty'!$I$11)</f>
        <v/>
      </c>
      <c r="BB24" s="313">
        <f>COUNTIF(I24:AH24,"*$L*")</f>
        <v/>
      </c>
      <c r="BC24" s="313">
        <f>BB24*('Setting key Duty'!$I$13+'Setting key Duty'!$I$9)</f>
        <v/>
      </c>
      <c r="BD24" s="313">
        <f>COUNTIF(I24:AH24,"*$M*")</f>
        <v/>
      </c>
      <c r="BE24" s="313">
        <f>BD24*('Setting key Duty'!$I$8+'Setting key Duty'!$I$9+'Setting key Duty'!$I$12)</f>
        <v/>
      </c>
      <c r="BF24" s="313">
        <f>COUNTIF(I24:AH24,"*$N*")</f>
        <v/>
      </c>
      <c r="BG24" s="313">
        <f>COUNTIF(I24:AH24,"*$PM*")</f>
        <v/>
      </c>
      <c r="BH24" s="313">
        <f>BG24*('Setting key Duty'!$I$9)</f>
        <v/>
      </c>
      <c r="BI24" s="313">
        <f>COUNTIF(I24:AH24,"*$AM*")</f>
        <v/>
      </c>
      <c r="BJ24" s="313">
        <f>BI24*('Setting key Duty'!$I$12+'Setting key Duty'!$I$8)</f>
        <v/>
      </c>
      <c r="BK24" s="313">
        <f>COUNTIF(C24:AH24,"*$FC*")</f>
        <v/>
      </c>
      <c r="BL24" s="313">
        <f>BK24*('Setting key Duty'!$J$11+'Setting key Duty'!$I$8)</f>
        <v/>
      </c>
      <c r="BM24" s="313">
        <f>COUNTIF($C24:$AF24,BM$4)</f>
        <v/>
      </c>
      <c r="BN24" s="313">
        <f>COUNTIF($C24:$AF24,BN$4)</f>
        <v/>
      </c>
      <c r="BO24" s="313">
        <f>COUNTIF($I24:$AE24,BO$4)</f>
        <v/>
      </c>
      <c r="BP24" s="314" t="n"/>
    </row>
    <row r="25" ht="19.5" customHeight="1">
      <c r="A25" s="309" t="n"/>
      <c r="B25" s="373" t="inlineStr">
        <is>
          <t>LCP MUHAMMAD AQIL HAMZAH BIN SYELDRICK</t>
        </is>
      </c>
      <c r="C25" s="197" t="inlineStr">
        <is>
          <t>O $BTP (0530-2359)</t>
        </is>
      </c>
      <c r="D25" s="197" t="n"/>
      <c r="E25" s="197" t="n"/>
      <c r="F25" s="197" t="inlineStr">
        <is>
          <t>AE</t>
        </is>
      </c>
      <c r="G25" s="324" t="inlineStr">
        <is>
          <t>SB2</t>
        </is>
      </c>
      <c r="H25" s="197" t="n"/>
      <c r="I25" s="197" t="inlineStr">
        <is>
          <t xml:space="preserve">C $AM 8KM (0600-1100) </t>
        </is>
      </c>
      <c r="J25" s="197" t="inlineStr">
        <is>
          <t>HQ NSMEN $AM IPPT (0530-1000)</t>
        </is>
      </c>
      <c r="K25" s="106" t="n"/>
      <c r="L25" s="197" t="n"/>
      <c r="M25" s="198" t="inlineStr">
        <is>
          <t>R $AM 8KM (0600-1000)</t>
        </is>
      </c>
      <c r="N25" s="197" t="n"/>
      <c r="O25" s="197" t="n"/>
      <c r="P25" s="197" t="inlineStr">
        <is>
          <t>C $AM IPPT (0500-1100)</t>
        </is>
      </c>
      <c r="Q25" s="197" t="inlineStr">
        <is>
          <t>HQ NSMEN $AM IPPT (0530-1000)</t>
        </is>
      </c>
      <c r="S25" s="197" t="inlineStr">
        <is>
          <t>SB1</t>
        </is>
      </c>
      <c r="T25" s="197" t="n"/>
      <c r="V25" s="197" t="inlineStr">
        <is>
          <t>F $M 12 KM RM (1400-2359)</t>
        </is>
      </c>
      <c r="W25" s="197" t="inlineStr">
        <is>
          <t>N $AM IPPT (0500-1100)</t>
        </is>
      </c>
      <c r="X25" s="197" t="inlineStr">
        <is>
          <t>SB2</t>
        </is>
      </c>
      <c r="Y25" s="197" t="n"/>
      <c r="Z25" s="197" t="n"/>
      <c r="AA25" s="197" t="inlineStr">
        <is>
          <t>AE</t>
        </is>
      </c>
      <c r="AB25" s="197" t="n"/>
      <c r="AC25" s="197" t="inlineStr">
        <is>
          <t>N $M ISAD (0530-2000)</t>
        </is>
      </c>
      <c r="AE25" s="197" t="n"/>
      <c r="AF25" s="106" t="n"/>
      <c r="AG25" s="197" t="n"/>
      <c r="AH25" s="311" t="n"/>
      <c r="AI25" s="312" t="n"/>
      <c r="AJ25" s="311" t="n"/>
      <c r="AK25" s="313" t="n"/>
      <c r="AL25" s="313" t="n"/>
      <c r="AM25" s="313" t="n"/>
      <c r="AN25" s="313" t="n"/>
      <c r="AO25" s="238" t="n"/>
      <c r="AP25" s="313">
        <f>SUMPRODUCT(--WEEKDAY(C$3:AG$3,2)&lt;6,--((C25:AG25="DM"))+(C25:AG25="CS1")+((C25:AG25="CS2"))+(C25:AG25="SB1")+(C25:AG25="AE")+(C25:AG25="EM"))</f>
        <v/>
      </c>
      <c r="AQ25" s="238" t="n"/>
      <c r="AR25" s="238">
        <f>SUMPRODUCT(--WEEKDAY(C$3:AG$3,2)&gt;5,--((C25:AG25="DM"))+(C25:AG25="CS1")+((C25:AG25="CS2"))+(C25:AG25="SB1")+(C25:AG25="AE")+(C25:AG25="EM"))</f>
        <v/>
      </c>
      <c r="AS25" s="238" t="n"/>
      <c r="AT25" s="238">
        <f>(AP25-AQ25)/2+(AR25-AS25)</f>
        <v/>
      </c>
      <c r="AU25" s="238">
        <f>AH25+AI25+AJ25+AK25+AM25+AN25</f>
        <v/>
      </c>
      <c r="AV25" s="238">
        <f>BF25+BG25+BI25+BD25+BB25+AZ25+BK25</f>
        <v/>
      </c>
      <c r="AW25" s="238">
        <f>AT25+$AX$25</f>
        <v/>
      </c>
      <c r="AX25" s="313">
        <f>(BI25*('Setting key Duty'!$I$8+'Setting key Duty'!$I$12))+(BG25*'Setting key Duty'!$I$9)+(BB25*('Setting key Duty'!$I$13+'Setting key Duty'!$I$9))+(AZ25*('Setting key Duty'!$I$13+'Setting key Duty'!$I$12+'Setting key Duty'!$I$11))+(BD25*('Setting key Duty'!$I$8+'Setting key Duty'!$I$9+'Setting key Duty'!$I$12))</f>
        <v/>
      </c>
      <c r="AY25" s="313">
        <f>COUNTIF(C25:AC25,"*BRT*")</f>
        <v/>
      </c>
      <c r="AZ25" s="313">
        <f>COUNTIF(A25:AH25,"*$BTP*")</f>
        <v/>
      </c>
      <c r="BA25" s="313">
        <f>AZ25*('Setting key Duty'!$I$13+'Setting key Duty'!$I$12+'Setting key Duty'!$I$11)</f>
        <v/>
      </c>
      <c r="BB25" s="313">
        <f>COUNTIF(D25:AH25,"*$L*")</f>
        <v/>
      </c>
      <c r="BC25" s="313">
        <f>BB25*('Setting key Duty'!$I$13+'Setting key Duty'!$I$9)</f>
        <v/>
      </c>
      <c r="BD25" s="313">
        <f>COUNTIF(D25:AH25,"*$M*")</f>
        <v/>
      </c>
      <c r="BE25" s="313">
        <f>BD25*('Setting key Duty'!$I$8+'Setting key Duty'!$I$9+'Setting key Duty'!$I$12)</f>
        <v/>
      </c>
      <c r="BF25" s="313">
        <f>COUNTIF(D25:AH25,"*$N*")</f>
        <v/>
      </c>
      <c r="BG25" s="313">
        <f>COUNTIF(D25:AH25,"*$PM*")</f>
        <v/>
      </c>
      <c r="BH25" s="313">
        <f>BG25*('Setting key Duty'!$I$9)</f>
        <v/>
      </c>
      <c r="BI25" s="313">
        <f>COUNTIF(D25:AH25,"*$AM*")</f>
        <v/>
      </c>
      <c r="BJ25" s="313">
        <f>BI25*('Setting key Duty'!$I$12+'Setting key Duty'!$I$8)</f>
        <v/>
      </c>
      <c r="BK25" s="313">
        <f>COUNTIF(C25:AH25,"*$FC*")</f>
        <v/>
      </c>
      <c r="BL25" s="313">
        <f>BK25*('Setting key Duty'!$J$11+'Setting key Duty'!$I$8)</f>
        <v/>
      </c>
      <c r="BM25" s="313">
        <f>COUNTIF($C25:$AG25,BM$4)</f>
        <v/>
      </c>
      <c r="BN25" s="313">
        <f>COUNTIF($C25:$AG25,BN$4)</f>
        <v/>
      </c>
      <c r="BO25" s="313">
        <f>COUNTIF($D25:$AE25,BO$4)</f>
        <v/>
      </c>
      <c r="BP25" s="314" t="n"/>
    </row>
    <row r="26" ht="19.5" customHeight="1">
      <c r="A26" s="309" t="n"/>
      <c r="B26" s="373" t="inlineStr">
        <is>
          <t>PTE JASON TAN JIAN CHEN</t>
        </is>
      </c>
      <c r="C26" s="324" t="inlineStr">
        <is>
          <t>AL</t>
        </is>
      </c>
      <c r="D26" s="324" t="inlineStr">
        <is>
          <t>AL</t>
        </is>
      </c>
      <c r="E26" s="324" t="inlineStr">
        <is>
          <t>AL</t>
        </is>
      </c>
      <c r="F26" s="324" t="inlineStr">
        <is>
          <t>AL</t>
        </is>
      </c>
      <c r="G26" s="324" t="n"/>
      <c r="H26" s="197" t="inlineStr">
        <is>
          <t>L $M BIC (0530-2000)</t>
        </is>
      </c>
      <c r="I26" s="197" t="inlineStr">
        <is>
          <t>F $AM 8KM (0600-1100)</t>
        </is>
      </c>
      <c r="J26" s="197" t="inlineStr">
        <is>
          <t>L $AM 8KM (0600-1100)</t>
        </is>
      </c>
      <c r="K26" s="317" t="n"/>
      <c r="L26" s="324" t="n"/>
      <c r="M26" s="197" t="inlineStr">
        <is>
          <t>K $M HG (0530-2000)</t>
        </is>
      </c>
      <c r="N26" s="317" t="inlineStr">
        <is>
          <t>SB2</t>
        </is>
      </c>
      <c r="O26" s="197" t="inlineStr">
        <is>
          <t>O $PM ER (1530 - 20000)</t>
        </is>
      </c>
      <c r="P26" s="197" t="inlineStr">
        <is>
          <t>K $BTP (0530 -2359)</t>
        </is>
      </c>
      <c r="Q26" s="317" t="inlineStr">
        <is>
          <t>SB2</t>
        </is>
      </c>
      <c r="T26" s="317" t="inlineStr">
        <is>
          <t>SB2</t>
        </is>
      </c>
      <c r="U26" s="197" t="inlineStr">
        <is>
          <t>C $M RE-IFC (0600-1500)</t>
        </is>
      </c>
      <c r="V26" s="197" t="inlineStr">
        <is>
          <t>R $AM IPPT (0530-1000)</t>
        </is>
      </c>
      <c r="W26" s="197" t="inlineStr">
        <is>
          <t>L $M 12KM RM (1400-2359)</t>
        </is>
      </c>
      <c r="X26" s="317" t="inlineStr">
        <is>
          <t>AL</t>
        </is>
      </c>
      <c r="Y26" s="106" t="n"/>
      <c r="Z26" s="106" t="n"/>
      <c r="AA26" s="197" t="inlineStr">
        <is>
          <t>OFF</t>
        </is>
      </c>
      <c r="AB26" s="197" t="inlineStr">
        <is>
          <t>H $M RE IFC (0700-1400)</t>
        </is>
      </c>
      <c r="AD26" s="197" t="inlineStr">
        <is>
          <t>AE</t>
        </is>
      </c>
      <c r="AE26" s="197" t="n"/>
      <c r="AF26" s="317" t="n"/>
      <c r="AG26" s="317" t="n"/>
      <c r="AH26" s="311" t="n"/>
      <c r="AI26" s="312" t="n"/>
      <c r="AJ26" s="311" t="n"/>
      <c r="AK26" s="313" t="n"/>
      <c r="AL26" s="313" t="n"/>
      <c r="AM26" s="313" t="n"/>
      <c r="AN26" s="313" t="n"/>
      <c r="AO26" s="238" t="n"/>
      <c r="AP26" s="313">
        <f>SUMPRODUCT(--WEEKDAY(C$3:AG$3,2)&lt;6,--((C26:AG26="DM"))+(C26:AG26="CS1")+((C26:AG26="CS2"))+(C26:AG26="SB1")+(C26:AG26="AE")+(C26:AG26="EM"))</f>
        <v/>
      </c>
      <c r="AQ26" s="238" t="n"/>
      <c r="AR26" s="238">
        <f>SUMPRODUCT(--WEEKDAY(C$3:AG$3,2)&gt;5,--((C26:AG26="DM"))+(C26:AG26="CS1")+((C26:AG26="CS2"))+(C26:AG26="SB1")+(C26:AG26="AE")+(C26:AG26="EM"))</f>
        <v/>
      </c>
      <c r="AS26" s="238" t="n"/>
      <c r="AT26" s="238">
        <f>(AP26-AQ26)/2+(AR26-AS26)</f>
        <v/>
      </c>
      <c r="AU26" s="238">
        <f>AH26+AI26+AJ26+AK26+AM26+AN26</f>
        <v/>
      </c>
      <c r="AV26" s="238">
        <f>BF26+BG26+BI26+BD26+BB26+AZ26+BK26</f>
        <v/>
      </c>
      <c r="AW26" s="238">
        <f>AT26+$AX$25</f>
        <v/>
      </c>
      <c r="AX26" s="313">
        <f>(BI26*('Setting key Duty'!$I$8+'Setting key Duty'!$I$12))+(BG26*'Setting key Duty'!$I$9)+(BB26*('Setting key Duty'!$I$13+'Setting key Duty'!$I$9))+(AZ26*('Setting key Duty'!$I$13+'Setting key Duty'!$I$12+'Setting key Duty'!$I$11))+(BD26*('Setting key Duty'!$I$8+'Setting key Duty'!$I$9+'Setting key Duty'!$I$12))</f>
        <v/>
      </c>
      <c r="AY26" s="313" t="n"/>
      <c r="AZ26" s="313" t="n"/>
      <c r="BA26" s="313" t="n"/>
      <c r="BB26" s="313" t="n"/>
      <c r="BC26" s="313" t="n"/>
      <c r="BD26" s="313" t="n"/>
      <c r="BE26" s="313" t="n"/>
      <c r="BF26" s="313" t="n"/>
      <c r="BG26" s="313" t="n"/>
      <c r="BH26" s="313" t="n"/>
      <c r="BI26" s="313" t="n"/>
      <c r="BJ26" s="313" t="n"/>
      <c r="BK26" s="313" t="n"/>
      <c r="BL26" s="313" t="n"/>
      <c r="BM26" s="313" t="n"/>
      <c r="BN26" s="313" t="n"/>
      <c r="BO26" s="313" t="n"/>
      <c r="BP26" s="314" t="n"/>
    </row>
    <row r="27" ht="19.5" customHeight="1">
      <c r="A27" s="309" t="n"/>
      <c r="B27" s="373" t="inlineStr">
        <is>
          <t>PTE MUHAMAD LUTFIL AL-HADI</t>
        </is>
      </c>
      <c r="C27" s="324" t="inlineStr">
        <is>
          <t>SB2</t>
        </is>
      </c>
      <c r="E27" s="317" t="inlineStr">
        <is>
          <t>AE</t>
        </is>
      </c>
      <c r="G27" s="317" t="inlineStr">
        <is>
          <t>AE</t>
        </is>
      </c>
      <c r="I27" s="317" t="inlineStr">
        <is>
          <t>SB2</t>
        </is>
      </c>
      <c r="K27" s="317" t="inlineStr">
        <is>
          <t>AE</t>
        </is>
      </c>
      <c r="M27" s="197" t="inlineStr">
        <is>
          <t>AE</t>
        </is>
      </c>
      <c r="N27" s="106" t="n"/>
      <c r="P27" s="197" t="inlineStr">
        <is>
          <t>AE</t>
        </is>
      </c>
      <c r="R27" s="197" t="inlineStr">
        <is>
          <t>AE</t>
        </is>
      </c>
      <c r="S27" s="197" t="n"/>
      <c r="U27" s="317" t="inlineStr">
        <is>
          <t>AE</t>
        </is>
      </c>
      <c r="V27" s="317" t="inlineStr">
        <is>
          <t>SB2</t>
        </is>
      </c>
      <c r="W27" s="197" t="inlineStr">
        <is>
          <t>AE</t>
        </is>
      </c>
      <c r="Y27" s="197" t="inlineStr">
        <is>
          <t>WEDDING</t>
        </is>
      </c>
      <c r="Z27" s="197" t="n"/>
      <c r="AC27" s="197" t="inlineStr">
        <is>
          <t>SB2</t>
        </is>
      </c>
      <c r="AD27" s="197" t="inlineStr">
        <is>
          <t>SB2</t>
        </is>
      </c>
      <c r="AE27" s="197" t="inlineStr">
        <is>
          <t>AE</t>
        </is>
      </c>
      <c r="AF27" s="106" t="n"/>
      <c r="AG27" s="317" t="n"/>
      <c r="AH27" s="311" t="n"/>
      <c r="AI27" s="312" t="n"/>
      <c r="AJ27" s="311" t="n"/>
      <c r="AK27" s="313" t="n"/>
      <c r="AL27" s="313" t="n"/>
      <c r="AM27" s="313" t="n"/>
      <c r="AN27" s="313" t="n"/>
      <c r="AO27" s="238" t="n"/>
      <c r="AP27" s="313">
        <f>SUMPRODUCT(--WEEKDAY(C$3:AG$3,2)&lt;6,--((C27:AG27="DM"))+(C27:AG27="CS1")+((C27:AG27="CS2"))+(C27:AG27="SB1")+(C27:AG27="AE")+(C27:AG27="EM"))</f>
        <v/>
      </c>
      <c r="AQ27" s="238" t="n"/>
      <c r="AR27" s="238">
        <f>SUMPRODUCT(--WEEKDAY(C$3:AG$3,2)&gt;5,--((C27:AG27="DM"))+(C27:AG27="CS1")+((C27:AG27="CS2"))+(C27:AG27="SB1")+(C27:AG27="AE")+(C27:AG27="EM"))</f>
        <v/>
      </c>
      <c r="AS27" s="238" t="n"/>
      <c r="AT27" s="238">
        <f>(AP27-AQ27)/2+(AR27-AS27)</f>
        <v/>
      </c>
      <c r="AU27" s="238">
        <f>AH27+AI27+AJ27+AK27+AM27+AN27</f>
        <v/>
      </c>
      <c r="AV27" s="238">
        <f>BF27+BG27+BI27+BD27+BB27+AZ27+BK27</f>
        <v/>
      </c>
      <c r="AW27" s="238">
        <f>AT27+$AX$25</f>
        <v/>
      </c>
      <c r="AX27" s="313">
        <f>(BI27*('Setting key Duty'!$I$8+'Setting key Duty'!$I$12))+(BG27*'Setting key Duty'!$I$9)+(BB27*('Setting key Duty'!$I$13+'Setting key Duty'!$I$9))+(AZ27*('Setting key Duty'!$I$13+'Setting key Duty'!$I$12+'Setting key Duty'!$I$11))+(BD27*('Setting key Duty'!$I$8+'Setting key Duty'!$I$9+'Setting key Duty'!$I$12))</f>
        <v/>
      </c>
      <c r="AY27" s="313" t="n"/>
      <c r="AZ27" s="313" t="n"/>
      <c r="BA27" s="313" t="n"/>
      <c r="BB27" s="313" t="n"/>
      <c r="BC27" s="313" t="n"/>
      <c r="BD27" s="313" t="n"/>
      <c r="BE27" s="313" t="n"/>
      <c r="BF27" s="313" t="n"/>
      <c r="BG27" s="313" t="n"/>
      <c r="BH27" s="313" t="n"/>
      <c r="BI27" s="313" t="n"/>
      <c r="BJ27" s="313" t="n"/>
      <c r="BK27" s="313" t="n"/>
      <c r="BL27" s="313" t="n"/>
      <c r="BM27" s="313" t="n"/>
      <c r="BN27" s="313" t="n"/>
      <c r="BO27" s="313" t="n"/>
      <c r="BP27" s="314" t="n"/>
    </row>
    <row r="28" ht="19.5" customHeight="1">
      <c r="A28" s="309" t="n"/>
      <c r="B28" s="373" t="inlineStr">
        <is>
          <t>PTE JARRETT TSING KEE JIN</t>
        </is>
      </c>
      <c r="C28" s="197" t="inlineStr">
        <is>
          <t>AL</t>
        </is>
      </c>
      <c r="D28" s="197" t="inlineStr">
        <is>
          <t>AL</t>
        </is>
      </c>
      <c r="E28" s="197" t="inlineStr">
        <is>
          <t>AL</t>
        </is>
      </c>
      <c r="F28" s="197" t="inlineStr">
        <is>
          <t>L $PM ER (1530-2000)</t>
        </is>
      </c>
      <c r="G28" s="197" t="inlineStr">
        <is>
          <t xml:space="preserve"> F $M BIC (0530 -2000)</t>
        </is>
      </c>
      <c r="H28" s="324" t="n"/>
      <c r="I28" s="317" t="inlineStr">
        <is>
          <t>AE</t>
        </is>
      </c>
      <c r="J28" s="106" t="n"/>
      <c r="L28" s="324" t="inlineStr">
        <is>
          <t>AE</t>
        </is>
      </c>
      <c r="N28" s="197" t="inlineStr">
        <is>
          <t>D $AM 8KM (0600-1100)</t>
        </is>
      </c>
      <c r="O28" s="106" t="n"/>
      <c r="P28" s="317" t="inlineStr">
        <is>
          <t>SB2</t>
        </is>
      </c>
      <c r="Q28" s="197" t="inlineStr">
        <is>
          <t>K $BTP (0530 -2359)</t>
        </is>
      </c>
      <c r="R28" s="324" t="n"/>
      <c r="S28" s="324" t="n"/>
      <c r="T28" s="317" t="inlineStr">
        <is>
          <t>OFF</t>
        </is>
      </c>
      <c r="U28" s="197" t="inlineStr">
        <is>
          <t>K $PM ER (1530-2000)</t>
        </is>
      </c>
      <c r="V28" s="197" t="inlineStr">
        <is>
          <t>K $M BIC (0530-2000)</t>
        </is>
      </c>
      <c r="W28" s="317" t="inlineStr">
        <is>
          <t>SB2</t>
        </is>
      </c>
      <c r="X28" s="197" t="inlineStr">
        <is>
          <t>F $AM RE-IPPT (0500-1100)</t>
        </is>
      </c>
      <c r="Y28" s="197" t="inlineStr">
        <is>
          <t>AE</t>
        </is>
      </c>
      <c r="AA28" s="197" t="n"/>
      <c r="AB28" s="197" t="inlineStr">
        <is>
          <t>SB2</t>
        </is>
      </c>
      <c r="AC28" s="197" t="inlineStr">
        <is>
          <t>O $M HG (0530-2000)</t>
        </is>
      </c>
      <c r="AD28" s="197" t="inlineStr">
        <is>
          <t>OFF</t>
        </is>
      </c>
      <c r="AE28" s="197" t="inlineStr">
        <is>
          <t>COURSE</t>
        </is>
      </c>
      <c r="AF28" s="198" t="n"/>
      <c r="AG28" s="106" t="n"/>
      <c r="AH28" s="311" t="n"/>
      <c r="AI28" s="312" t="n"/>
      <c r="AJ28" s="311" t="n"/>
      <c r="AK28" s="313" t="n"/>
      <c r="AL28" s="313" t="n"/>
      <c r="AM28" s="313" t="n"/>
      <c r="AN28" s="313" t="n"/>
      <c r="AO28" s="238" t="n"/>
      <c r="AP28" s="313">
        <f>SUMPRODUCT(--WEEKDAY(C$3:AG$3,2)&lt;6,--((C28:AG28="DM"))+(C28:AG28="CS1")+((C28:AG28="CS2"))+(C28:AG28="SB1")+(C28:AG28="AE")+(C28:AG28="EM"))</f>
        <v/>
      </c>
      <c r="AQ28" s="238" t="n"/>
      <c r="AR28" s="238">
        <f>SUMPRODUCT(--WEEKDAY(C$3:AG$3,2)&gt;5,--((C28:AG28="DM"))+(C28:AG28="CS1")+((C28:AG28="CS2"))+(C28:AG28="SB1")+(C28:AG28="AE")+(C28:AG28="EM"))</f>
        <v/>
      </c>
      <c r="AS28" s="238" t="n"/>
      <c r="AT28" s="238">
        <f>(AP28-AQ28)/2+(AR28-AS28)</f>
        <v/>
      </c>
      <c r="AU28" s="238">
        <f>AH28+AI28+AJ28+AK28+AM28+AN28</f>
        <v/>
      </c>
      <c r="AV28" s="238">
        <f>BF28+BG28+BI28+BD28+BB28+AZ28+BK28</f>
        <v/>
      </c>
      <c r="AW28" s="238">
        <f>AT28+$AX$25</f>
        <v/>
      </c>
      <c r="AX28" s="313">
        <f>(BI28*('Setting key Duty'!$I$8+'Setting key Duty'!$I$12))+(BG28*'Setting key Duty'!$I$9)+(BB28*('Setting key Duty'!$I$13+'Setting key Duty'!$I$9))+(AZ28*('Setting key Duty'!$I$13+'Setting key Duty'!$I$12+'Setting key Duty'!$I$11))+(BD28*('Setting key Duty'!$I$8+'Setting key Duty'!$I$9+'Setting key Duty'!$I$12))</f>
        <v/>
      </c>
      <c r="AY28" s="313" t="n"/>
      <c r="AZ28" s="313" t="n"/>
      <c r="BA28" s="313" t="n"/>
      <c r="BB28" s="313" t="n"/>
      <c r="BC28" s="313" t="n"/>
      <c r="BD28" s="313" t="n"/>
      <c r="BE28" s="313" t="n"/>
      <c r="BF28" s="313" t="n"/>
      <c r="BG28" s="313" t="n"/>
      <c r="BH28" s="313" t="n"/>
      <c r="BI28" s="313" t="n"/>
      <c r="BJ28" s="313" t="n"/>
      <c r="BK28" s="313" t="n"/>
      <c r="BL28" s="313" t="n"/>
      <c r="BM28" s="313" t="n"/>
      <c r="BN28" s="313" t="n"/>
      <c r="BO28" s="313" t="n"/>
      <c r="BP28" s="314" t="n"/>
    </row>
    <row r="29" ht="19.5" customHeight="1">
      <c r="A29" s="309" t="n"/>
      <c r="B29" s="373" t="inlineStr">
        <is>
          <t>PTE CHEN DENG FENG</t>
        </is>
      </c>
      <c r="C29" s="317" t="n"/>
      <c r="D29" s="317" t="n"/>
      <c r="E29" s="317" t="n"/>
      <c r="F29" s="317" t="inlineStr">
        <is>
          <t>EXAM</t>
        </is>
      </c>
      <c r="G29" s="317" t="inlineStr">
        <is>
          <t>EXAM</t>
        </is>
      </c>
      <c r="H29" s="317" t="inlineStr">
        <is>
          <t>EXAM</t>
        </is>
      </c>
      <c r="I29" s="317" t="inlineStr">
        <is>
          <t>EXAM</t>
        </is>
      </c>
      <c r="J29" s="317" t="inlineStr">
        <is>
          <t>EXAM</t>
        </is>
      </c>
      <c r="K29" s="317" t="n"/>
      <c r="L29" s="317" t="n"/>
      <c r="M29" s="317" t="inlineStr">
        <is>
          <t>EXAM</t>
        </is>
      </c>
      <c r="N29" s="197" t="inlineStr">
        <is>
          <t>L $AM ER (0600-1100)</t>
        </is>
      </c>
      <c r="O29" s="317" t="inlineStr">
        <is>
          <t>SB2</t>
        </is>
      </c>
      <c r="P29" s="197" t="inlineStr">
        <is>
          <t>L $AM IPPT (0500-1100)</t>
        </is>
      </c>
      <c r="Q29" s="197" t="inlineStr">
        <is>
          <t>F $AM IPPT (0500-1100)</t>
        </is>
      </c>
      <c r="R29" s="197" t="n"/>
      <c r="S29" s="197" t="n"/>
      <c r="T29" s="317" t="inlineStr">
        <is>
          <t>AL</t>
        </is>
      </c>
      <c r="U29" s="317" t="inlineStr">
        <is>
          <t>EXAM</t>
        </is>
      </c>
      <c r="V29" s="317" t="inlineStr">
        <is>
          <t>EXAM</t>
        </is>
      </c>
      <c r="W29" s="197" t="inlineStr">
        <is>
          <t>OFF</t>
        </is>
      </c>
      <c r="X29" s="317" t="inlineStr">
        <is>
          <t>EXAM</t>
        </is>
      </c>
      <c r="Y29" s="197" t="n"/>
      <c r="Z29" s="197" t="n"/>
      <c r="AA29" s="197" t="inlineStr">
        <is>
          <t>SB2</t>
        </is>
      </c>
      <c r="AB29" s="317" t="n"/>
      <c r="AC29" s="317" t="inlineStr">
        <is>
          <t>EXAM</t>
        </is>
      </c>
      <c r="AD29" s="317" t="n"/>
      <c r="AE29" s="197" t="inlineStr">
        <is>
          <t>N $AM IPPT (0500-1100)</t>
        </is>
      </c>
      <c r="AG29" s="317" t="inlineStr">
        <is>
          <t>AE</t>
        </is>
      </c>
      <c r="AH29" s="311" t="n"/>
      <c r="AI29" s="312" t="n"/>
      <c r="AJ29" s="311" t="n"/>
      <c r="AK29" s="313" t="n"/>
      <c r="AL29" s="313" t="n"/>
      <c r="AM29" s="313" t="n"/>
      <c r="AN29" s="313" t="n"/>
      <c r="AO29" s="238" t="n"/>
      <c r="AP29" s="313">
        <f>SUMPRODUCT(--WEEKDAY(C$3:AG$3,2)&lt;6,--((C29:AG29="DM"))+(C29:AG29="CS1")+((C29:AG29="CS2"))+(C29:AG29="SB1")+(C29:AG29="AE")+(C29:AG29="EM"))</f>
        <v/>
      </c>
      <c r="AQ29" s="238" t="n"/>
      <c r="AR29" s="238">
        <f>SUMPRODUCT(--WEEKDAY(C$3:AG$3,2)&gt;5,--((C29:AG29="DM"))+(C29:AG29="CS1")+((C29:AG29="CS2"))+(C29:AG29="SB1")+(C29:AG29="AE")+(C29:AG29="EM"))</f>
        <v/>
      </c>
      <c r="AS29" s="238" t="n"/>
      <c r="AT29" s="238">
        <f>(AP29-AQ29)/2+(AR29-AS29)</f>
        <v/>
      </c>
      <c r="AU29" s="238">
        <f>AH29+AI29+AJ29+AK29+AM29+AN29</f>
        <v/>
      </c>
      <c r="AV29" s="238">
        <f>BF29+BG29+BI29+BD29+BB29+AZ29+BK29</f>
        <v/>
      </c>
      <c r="AW29" s="238">
        <f>AT29+$AX$25</f>
        <v/>
      </c>
      <c r="AX29" s="313">
        <f>(BI29*('Setting key Duty'!$I$8+'Setting key Duty'!$I$12))+(BG29*'Setting key Duty'!$I$9)+(BB29*('Setting key Duty'!$I$13+'Setting key Duty'!$I$9))+(AZ29*('Setting key Duty'!$I$13+'Setting key Duty'!$I$12+'Setting key Duty'!$I$11))+(BD29*('Setting key Duty'!$I$8+'Setting key Duty'!$I$9+'Setting key Duty'!$I$12))</f>
        <v/>
      </c>
      <c r="AY29" s="313" t="n"/>
      <c r="AZ29" s="313" t="n"/>
      <c r="BA29" s="313" t="n"/>
      <c r="BB29" s="313" t="n"/>
      <c r="BC29" s="313" t="n"/>
      <c r="BD29" s="313" t="n"/>
      <c r="BE29" s="313" t="n"/>
      <c r="BF29" s="313" t="n"/>
      <c r="BG29" s="313" t="n"/>
      <c r="BH29" s="313" t="n"/>
      <c r="BI29" s="313" t="n"/>
      <c r="BJ29" s="313" t="n"/>
      <c r="BK29" s="313" t="n"/>
      <c r="BL29" s="313" t="n"/>
      <c r="BM29" s="313" t="n"/>
      <c r="BN29" s="313" t="n"/>
      <c r="BO29" s="313" t="n"/>
      <c r="BP29" s="314" t="n"/>
    </row>
    <row r="30" ht="19.5" customHeight="1">
      <c r="A30" s="309" t="n"/>
      <c r="B30" s="373" t="inlineStr">
        <is>
          <t>PTE MARK WU</t>
        </is>
      </c>
      <c r="C30" s="324" t="inlineStr">
        <is>
          <t>OFF</t>
        </is>
      </c>
      <c r="D30" s="197" t="n"/>
      <c r="F30" s="198" t="inlineStr">
        <is>
          <t>OFF</t>
        </is>
      </c>
      <c r="G30" s="324" t="n"/>
      <c r="H30" s="317" t="inlineStr">
        <is>
          <t>SB2</t>
        </is>
      </c>
      <c r="I30" s="197" t="inlineStr">
        <is>
          <t>H $AM 8KM (0600-1100)</t>
        </is>
      </c>
      <c r="J30" s="317" t="inlineStr">
        <is>
          <t>AE</t>
        </is>
      </c>
      <c r="K30" s="324" t="n"/>
      <c r="L30" s="197" t="n"/>
      <c r="M30" s="317" t="inlineStr">
        <is>
          <t>SB2</t>
        </is>
      </c>
      <c r="O30" s="197" t="inlineStr">
        <is>
          <t>D $M BIC (0530-2000)</t>
        </is>
      </c>
      <c r="Q30" s="197" t="inlineStr">
        <is>
          <t>D $M HG (0530-2000)</t>
        </is>
      </c>
      <c r="R30" s="197" t="inlineStr">
        <is>
          <t>WEDDING</t>
        </is>
      </c>
      <c r="S30" s="197" t="inlineStr">
        <is>
          <t>AE</t>
        </is>
      </c>
      <c r="T30" s="197" t="inlineStr">
        <is>
          <t>H $PM ER (1530-2000)</t>
        </is>
      </c>
      <c r="V30" s="197" t="inlineStr">
        <is>
          <t>H $PM IPPT (1530-2000)</t>
        </is>
      </c>
      <c r="W30" s="197" t="inlineStr">
        <is>
          <t>L $AM PERSMTAFF SOC(0540-1100)</t>
        </is>
      </c>
      <c r="Y30" s="106" t="n"/>
      <c r="Z30" s="398" t="inlineStr">
        <is>
          <t>AE</t>
        </is>
      </c>
      <c r="AA30" s="197" t="n"/>
      <c r="AB30" s="197" t="inlineStr">
        <is>
          <t>MC</t>
        </is>
      </c>
      <c r="AC30" s="197" t="inlineStr">
        <is>
          <t>MC</t>
        </is>
      </c>
      <c r="AD30" s="197" t="inlineStr">
        <is>
          <t>SCH1 $M HQ GP REHEARSAL(0800 - 1700)</t>
        </is>
      </c>
      <c r="AE30" s="197" t="inlineStr">
        <is>
          <t>OFF</t>
        </is>
      </c>
      <c r="AF30" s="197" t="n"/>
      <c r="AG30" s="317" t="n"/>
      <c r="AH30" s="311" t="n"/>
      <c r="AI30" s="312" t="n"/>
      <c r="AJ30" s="311" t="n"/>
      <c r="AK30" s="313" t="n"/>
      <c r="AL30" s="313" t="n"/>
      <c r="AM30" s="313" t="n"/>
      <c r="AN30" s="313" t="n"/>
      <c r="AO30" s="238" t="n"/>
      <c r="AP30" s="313">
        <f>SUMPRODUCT(--WEEKDAY(C$3:AG$3,2)&lt;6,--((C30:AG30="DM"))+(C30:AG30="CS1")+((C30:AG30="CS2"))+(C30:AG30="SB1")+(C30:AG30="AE")+(C30:AG30="EM"))</f>
        <v/>
      </c>
      <c r="AQ30" s="238" t="n"/>
      <c r="AR30" s="238">
        <f>SUMPRODUCT(--WEEKDAY(C$3:AG$3,2)&gt;5,--((C30:AG30="DM"))+(C30:AG30="CS1")+((C30:AG30="CS2"))+(C30:AG30="SB1")+(C30:AG30="AE")+(C30:AG30="EM"))</f>
        <v/>
      </c>
      <c r="AS30" s="238" t="n"/>
      <c r="AT30" s="238">
        <f>(AP30-AQ30)/2+(AR30-AS30)</f>
        <v/>
      </c>
      <c r="AU30" s="238">
        <f>AH30+AI30+AJ30+AK30+AM30+AN30</f>
        <v/>
      </c>
      <c r="AV30" s="238">
        <f>BF30+BG30+BI30+BD30+BB30+AZ30+BK30</f>
        <v/>
      </c>
      <c r="AW30" s="238">
        <f>AT30+$AX$25</f>
        <v/>
      </c>
      <c r="AX30" s="313">
        <f>(BI30*('Setting key Duty'!$I$8+'Setting key Duty'!$I$12))+(BG30*'Setting key Duty'!$I$9)+(BB30*('Setting key Duty'!$I$13+'Setting key Duty'!$I$9))+(AZ30*('Setting key Duty'!$I$13+'Setting key Duty'!$I$12+'Setting key Duty'!$I$11))+(BD30*('Setting key Duty'!$I$8+'Setting key Duty'!$I$9+'Setting key Duty'!$I$12))</f>
        <v/>
      </c>
      <c r="AY30" s="313" t="n"/>
      <c r="AZ30" s="313" t="n"/>
      <c r="BA30" s="313" t="n"/>
      <c r="BB30" s="313" t="n"/>
      <c r="BC30" s="313" t="n"/>
      <c r="BD30" s="313" t="n"/>
      <c r="BE30" s="313" t="n"/>
      <c r="BF30" s="313" t="n"/>
      <c r="BG30" s="313" t="n"/>
      <c r="BH30" s="313" t="n"/>
      <c r="BI30" s="313" t="n"/>
      <c r="BJ30" s="313" t="n"/>
      <c r="BK30" s="313" t="n"/>
      <c r="BL30" s="313" t="n"/>
      <c r="BM30" s="313" t="n"/>
      <c r="BN30" s="313" t="n"/>
      <c r="BO30" s="313" t="n"/>
      <c r="BP30" s="314" t="n"/>
    </row>
    <row r="31" ht="43.5" customHeight="1">
      <c r="A31" s="309" t="n"/>
      <c r="B31" s="373" t="inlineStr">
        <is>
          <t>PTE EUAN TING</t>
        </is>
      </c>
      <c r="C31" s="197" t="inlineStr">
        <is>
          <t>HQ NSMEN $AM IPPT (0530-1000)</t>
        </is>
      </c>
      <c r="D31" s="317" t="inlineStr">
        <is>
          <t>AE</t>
        </is>
      </c>
      <c r="F31" s="324" t="inlineStr">
        <is>
          <t>SB2</t>
        </is>
      </c>
      <c r="H31" s="197" t="inlineStr">
        <is>
          <t>C $AM IPPT (0500-1100)</t>
        </is>
      </c>
      <c r="I31" s="197" t="n"/>
      <c r="J31" s="197" t="inlineStr">
        <is>
          <t>F $AM IPPT (0500-1100)</t>
        </is>
      </c>
      <c r="K31" s="106" t="n"/>
      <c r="L31" s="198" t="n"/>
      <c r="M31" s="197" t="inlineStr">
        <is>
          <t>L $PM PERSMTAFF SOC (1530 -2000)</t>
        </is>
      </c>
      <c r="N31" s="317" t="inlineStr">
        <is>
          <t>AE</t>
        </is>
      </c>
      <c r="O31" s="317" t="n"/>
      <c r="P31" s="197" t="inlineStr">
        <is>
          <t>D $AM IPPT (0500-1100)</t>
        </is>
      </c>
      <c r="Q31" s="317" t="inlineStr">
        <is>
          <t>AE</t>
        </is>
      </c>
      <c r="R31" s="317" t="n"/>
      <c r="S31" s="198" t="n"/>
      <c r="T31" s="317" t="inlineStr">
        <is>
          <t>AE</t>
        </is>
      </c>
      <c r="U31" s="317" t="inlineStr">
        <is>
          <t>SB2</t>
        </is>
      </c>
      <c r="V31" s="197" t="inlineStr">
        <is>
          <t>D $M 12 KM RM (1400-2359)</t>
        </is>
      </c>
      <c r="X31" s="317" t="inlineStr">
        <is>
          <t>AE</t>
        </is>
      </c>
      <c r="Y31" s="197" t="n"/>
      <c r="Z31" s="317" t="n"/>
      <c r="AA31" s="324" t="n"/>
      <c r="AB31" s="197" t="inlineStr">
        <is>
          <t>C $M RE-12KM RM (1400-2359)</t>
        </is>
      </c>
      <c r="AC31" s="197" t="inlineStr">
        <is>
          <t>L $AM PERSMTAFF SOC(0600-1100)</t>
        </is>
      </c>
      <c r="AD31" s="317" t="n"/>
      <c r="AE31" s="317" t="inlineStr">
        <is>
          <t>SB2</t>
        </is>
      </c>
      <c r="AF31" s="317" t="inlineStr">
        <is>
          <t>AE</t>
        </is>
      </c>
      <c r="AH31" s="311" t="n"/>
      <c r="AI31" s="312" t="n"/>
      <c r="AJ31" s="311" t="n"/>
      <c r="AK31" s="313" t="n"/>
      <c r="AL31" s="313" t="n"/>
      <c r="AM31" s="313" t="n"/>
      <c r="AN31" s="313" t="n"/>
      <c r="AO31" s="238" t="n"/>
      <c r="AP31" s="313">
        <f>SUMPRODUCT(--WEEKDAY(C$3:AG$3,2)&lt;6,--((C31:AG31="DM"))+(C31:AG31="CS1")+((C31:AG31="CS2"))+(C31:AG31="SB1")+(C31:AG31="AE")+(C31:AG31="EM"))</f>
        <v/>
      </c>
      <c r="AQ31" s="238" t="n"/>
      <c r="AR31" s="238">
        <f>SUMPRODUCT(--WEEKDAY(C$3:AG$3,2)&gt;5,--((C31:AG31="DM"))+(C31:AG31="CS1")+((C31:AG31="CS2"))+(C31:AG31="SB1")+(C31:AG31="AE")+(C31:AG31="EM"))</f>
        <v/>
      </c>
      <c r="AS31" s="238" t="n"/>
      <c r="AT31" s="238">
        <f>(AP31-AQ31)/2+(AR31-AS31)</f>
        <v/>
      </c>
      <c r="AU31" s="238">
        <f>AH31+AI31+AJ31+AK31+AM31+AN31</f>
        <v/>
      </c>
      <c r="AV31" s="238">
        <f>BF31+BG31+BI31+BD31+BB31+AZ31+BK31</f>
        <v/>
      </c>
      <c r="AW31" s="238">
        <f>AT31+$AX$25</f>
        <v/>
      </c>
      <c r="AX31" s="313">
        <f>(BI31*('Setting key Duty'!$I$8+'Setting key Duty'!$I$12))+(BG31*'Setting key Duty'!$I$9)+(BB31*('Setting key Duty'!$I$13+'Setting key Duty'!$I$9))+(AZ31*('Setting key Duty'!$I$13+'Setting key Duty'!$I$12+'Setting key Duty'!$I$11))+(BD31*('Setting key Duty'!$I$8+'Setting key Duty'!$I$9+'Setting key Duty'!$I$12))</f>
        <v/>
      </c>
      <c r="AY31" s="313" t="n"/>
      <c r="AZ31" s="313" t="n"/>
      <c r="BA31" s="313" t="n"/>
      <c r="BB31" s="313" t="n"/>
      <c r="BC31" s="313" t="n"/>
      <c r="BD31" s="313" t="n"/>
      <c r="BE31" s="313" t="n"/>
      <c r="BF31" s="313" t="n"/>
      <c r="BG31" s="313" t="n"/>
      <c r="BH31" s="313" t="n"/>
      <c r="BI31" s="313" t="n"/>
      <c r="BJ31" s="313" t="n"/>
      <c r="BK31" s="313" t="n"/>
      <c r="BL31" s="313" t="n"/>
      <c r="BM31" s="313" t="n"/>
      <c r="BN31" s="313" t="n"/>
      <c r="BO31" s="313" t="n"/>
      <c r="BP31" s="314" t="n"/>
    </row>
    <row r="32" ht="19.5" customHeight="1">
      <c r="A32" s="309" t="n"/>
      <c r="B32" s="347" t="n"/>
      <c r="C32" s="405" t="n"/>
      <c r="D32" s="406" t="n"/>
      <c r="E32" s="356" t="n"/>
      <c r="F32" s="406" t="n"/>
      <c r="G32" s="406" t="n"/>
      <c r="H32" s="356" t="n"/>
      <c r="I32" s="356" t="n"/>
      <c r="K32" s="406" t="n"/>
      <c r="L32" s="406" t="n"/>
      <c r="M32" s="356" t="n"/>
      <c r="O32" s="317" t="n"/>
      <c r="P32" s="317" t="n"/>
      <c r="Q32" s="106" t="n"/>
      <c r="S32" s="317" t="n"/>
      <c r="T32" s="317" t="n"/>
      <c r="U32" s="317" t="n"/>
      <c r="V32" s="317" t="n"/>
      <c r="X32" s="155" t="n"/>
      <c r="Y32" s="324" t="n"/>
      <c r="AF32" s="317" t="n"/>
      <c r="AG32" s="317" t="n"/>
      <c r="AH32" s="311" t="n"/>
      <c r="AI32" s="312" t="n"/>
      <c r="AJ32" s="311" t="n"/>
      <c r="AK32" s="313" t="n"/>
      <c r="AL32" s="313" t="n"/>
      <c r="AM32" s="313" t="n"/>
      <c r="AN32" s="313" t="n"/>
      <c r="AO32" s="238" t="n"/>
      <c r="AP32" s="313">
        <f>SUMPRODUCT(--WEEKDAY(C$3:AG$3,2)&lt;6,--((C32:AG32="DM"))+(C32:AG32="CS1")+((C32:AG32="CS2"))+(C32:AG32="SB1")+(C32:AG32="AE")+(C32:AG32="EM"))</f>
        <v/>
      </c>
      <c r="AQ32" s="238" t="n"/>
      <c r="AR32" s="238">
        <f>SUMPRODUCT(--WEEKDAY(C$3:AG$3,2)&gt;5,--((C32:AG32="DM"))+(C32:AG32="CS1")+((C32:AG32="CS2"))+(C32:AG32="SB1")+(C32:AG32="AE")+(C32:AG32="EM"))</f>
        <v/>
      </c>
      <c r="AS32" s="238" t="n"/>
      <c r="AT32" s="238">
        <f>(AP32-AQ32)/2+(AR32-AS32)</f>
        <v/>
      </c>
      <c r="AU32" s="238">
        <f>AH32+AI32+AJ32+AK32+AM32+AN32</f>
        <v/>
      </c>
      <c r="AV32" s="238">
        <f>BF32+BG32+BI32+BD32+BB32+AZ32+BK32</f>
        <v/>
      </c>
      <c r="AW32" s="238">
        <f>AT32+AX32</f>
        <v/>
      </c>
      <c r="AX32" s="313">
        <f>(BI32*('Setting key Duty'!$I$8+'Setting key Duty'!$I$12))+(BG32*'Setting key Duty'!$I$9)+(BB32*('Setting key Duty'!$I$13+'Setting key Duty'!$I$9))+(AZ32*('Setting key Duty'!$I$13+'Setting key Duty'!$I$12+'Setting key Duty'!$I$11))+(BD32*('Setting key Duty'!$I$8+'Setting key Duty'!$I$9+'Setting key Duty'!$I$12))</f>
        <v/>
      </c>
      <c r="AY32" s="313">
        <f>COUNTIF(C32:Y32,"*BRT*")</f>
        <v/>
      </c>
      <c r="AZ32" s="313">
        <f>COUNTIF(A32:AH32,"*$BTP*")</f>
        <v/>
      </c>
      <c r="BA32" s="313">
        <f>AZ32*('Setting key Duty'!$I$13+'Setting key Duty'!$I$12+'Setting key Duty'!$I$11)</f>
        <v/>
      </c>
      <c r="BB32" s="313">
        <f>COUNTIF(D32:AH32,"*$L*")</f>
        <v/>
      </c>
      <c r="BC32" s="313">
        <f>BB32*('Setting key Duty'!$I$13+'Setting key Duty'!$I$9)</f>
        <v/>
      </c>
      <c r="BD32" s="313">
        <f>COUNTIF(D32:AH32,"*$M*")</f>
        <v/>
      </c>
      <c r="BE32" s="313">
        <f>BD32*('Setting key Duty'!$I$8+'Setting key Duty'!$I$9+'Setting key Duty'!$I$12)</f>
        <v/>
      </c>
      <c r="BF32" s="313">
        <f>COUNTIF(D32:AH32,"*$N*")</f>
        <v/>
      </c>
      <c r="BG32" s="313">
        <f>COUNTIF(D32:AH32,"*$PM*")</f>
        <v/>
      </c>
      <c r="BH32" s="313">
        <f>BG32*('Setting key Duty'!$I$9)</f>
        <v/>
      </c>
      <c r="BI32" s="313">
        <f>COUNTIF(D32:AH32,"*$AM*")</f>
        <v/>
      </c>
      <c r="BJ32" s="313">
        <f>BI32*('Setting key Duty'!$I$12+'Setting key Duty'!$I$8)</f>
        <v/>
      </c>
      <c r="BK32" s="313">
        <f>COUNTIF(C32:AH32,"*$FC*")</f>
        <v/>
      </c>
      <c r="BL32" s="313">
        <f>BK32*('Setting key Duty'!$J$11+'Setting key Duty'!$I$8)</f>
        <v/>
      </c>
      <c r="BM32" s="313">
        <f>COUNTIF($C32:$AG32,BM$4)</f>
        <v/>
      </c>
      <c r="BN32" s="313">
        <f>COUNTIF($C32:$AG32,BN$4)</f>
        <v/>
      </c>
      <c r="BO32" s="313">
        <f>COUNTIF($D32:$AE32,BO$4)</f>
        <v/>
      </c>
      <c r="BP32" s="314" t="n"/>
    </row>
    <row r="33" ht="19.5" customHeight="1">
      <c r="A33" s="309" t="n"/>
      <c r="B33" s="354" t="inlineStr">
        <is>
          <t>Leave a blank row after the last name ^</t>
        </is>
      </c>
      <c r="C33" s="349" t="n"/>
      <c r="D33" s="317" t="n"/>
      <c r="E33" s="317" t="n"/>
      <c r="F33" s="317" t="n"/>
      <c r="G33" s="317" t="n"/>
      <c r="H33" s="317" t="n"/>
      <c r="I33" s="317" t="n"/>
      <c r="J33" s="317" t="n"/>
      <c r="K33" s="317" t="n"/>
      <c r="L33" s="317" t="n"/>
      <c r="N33" s="317" t="n"/>
      <c r="O33" s="317" t="n"/>
      <c r="P33" s="317" t="n"/>
      <c r="Q33" s="106" t="n"/>
      <c r="R33" s="106" t="n"/>
      <c r="S33" s="317" t="n"/>
      <c r="T33" s="317" t="n"/>
      <c r="U33" s="317" t="n"/>
      <c r="V33" s="317" t="n"/>
      <c r="W33" s="317" t="n"/>
      <c r="X33" s="317" t="n"/>
      <c r="Y33" s="317" t="n"/>
      <c r="Z33" s="317" t="n"/>
      <c r="AA33" s="317" t="n"/>
      <c r="AB33" s="317" t="n"/>
      <c r="AC33" s="317" t="n"/>
      <c r="AD33" s="317" t="n"/>
      <c r="AE33" s="317" t="n"/>
      <c r="AF33" s="317" t="n"/>
      <c r="AG33" s="317" t="n"/>
      <c r="AH33" s="311">
        <f>COUNTIF($C33:$AG33,AH$4)</f>
        <v/>
      </c>
      <c r="AI33" s="312">
        <f>COUNTIF($C33:$AG33,AI$4)</f>
        <v/>
      </c>
      <c r="AJ33" s="311">
        <f>COUNTIF($C33:$AG33,AJ$4)</f>
        <v/>
      </c>
      <c r="AK33" s="344">
        <f>COUNTIF($C33:$AG33,AK$4)</f>
        <v/>
      </c>
      <c r="AL33" s="344">
        <f>COUNTIF($C33:$AG33,AL$4)</f>
        <v/>
      </c>
      <c r="AM33" s="344">
        <f>COUNTIF($C33:$AG33,AM$4)</f>
        <v/>
      </c>
      <c r="AN33" s="344">
        <f>COUNTIF($C33:$AG33,AN$4)</f>
        <v/>
      </c>
      <c r="AO33" s="246" t="n"/>
      <c r="AP33" s="313">
        <f>SUMPRODUCT(--WEEKDAY(C$3:AG$3,2)&lt;6,--((C33:AG33="DM"))+(C33:AG33="CS1")+((C33:AG33="CS2"))+(C33:AG33="SB1")+(C33:AG33="AE")+(C33:AG33="EM"))</f>
        <v/>
      </c>
      <c r="AQ33" s="246" t="n"/>
      <c r="AR33" s="238">
        <f>SUMPRODUCT(--WEEKDAY(C$3:AG$3,2)&gt;5,--((C33:AG33="DM"))+(C33:AG33="CS1")+((C33:AG33="CS2"))+(C33:AG33="SB1")+(C33:AG33="AE")+(C33:AG33="EM"))</f>
        <v/>
      </c>
      <c r="AS33" s="246" t="n"/>
      <c r="AT33" s="246">
        <f>(AP33-AQ33)/2+(AR33-AS33)</f>
        <v/>
      </c>
      <c r="AU33" s="238">
        <f>AH33+AI33+AJ33+AK33+AM33+AN33</f>
        <v/>
      </c>
      <c r="AV33" s="238">
        <f>BF33+BG33+BI33+BD33+BB33+AZ33+BK33</f>
        <v/>
      </c>
      <c r="AW33" s="238">
        <f>AT33+AX33</f>
        <v/>
      </c>
      <c r="AX33" s="313">
        <f>(BI33*('Setting key Duty'!$I$8+'Setting key Duty'!$I$12))+(BG33*'Setting key Duty'!$I$9)+(BB33*('Setting key Duty'!$I$13+'Setting key Duty'!$I$9))+(AZ33*('Setting key Duty'!$I$13+'Setting key Duty'!$I$12+'Setting key Duty'!$I$11))+(BD33*('Setting key Duty'!$I$8+'Setting key Duty'!$I$9+'Setting key Duty'!$I$12))</f>
        <v/>
      </c>
      <c r="AY33" s="313">
        <f>COUNTIF(C33:AG33,"*BRT*")</f>
        <v/>
      </c>
      <c r="AZ33" s="313">
        <f>COUNTIF(D33:AH33,"*$BTP*")</f>
        <v/>
      </c>
      <c r="BA33" s="313">
        <f>AZ33*('Setting key Duty'!$I$13+'Setting key Duty'!$I$12+'Setting key Duty'!$I$11)</f>
        <v/>
      </c>
      <c r="BB33" s="313">
        <f>COUNTIF(D33:AH33,"*$L*")</f>
        <v/>
      </c>
      <c r="BC33" s="313">
        <f>BB33*('Setting key Duty'!$I$13+'Setting key Duty'!$I$9)</f>
        <v/>
      </c>
      <c r="BD33" s="313">
        <f>COUNTIF(D33:AH33,"*$M*")</f>
        <v/>
      </c>
      <c r="BE33" s="313">
        <f>BD33*('Setting key Duty'!$I$8+'Setting key Duty'!$I$9+'Setting key Duty'!$I$12)</f>
        <v/>
      </c>
      <c r="BF33" s="313">
        <f>COUNTIF(D33:AH33,"*$N*")</f>
        <v/>
      </c>
      <c r="BG33" s="313">
        <f>COUNTIF(D33:AH33,"*$PM*")</f>
        <v/>
      </c>
      <c r="BH33" s="313">
        <f>BG33*('Setting key Duty'!$I$9)</f>
        <v/>
      </c>
      <c r="BI33" s="313">
        <f>COUNTIF(D33:AH33,"*$AM*")</f>
        <v/>
      </c>
      <c r="BJ33" s="313">
        <f>BI33*('Setting key Duty'!$I$12+'Setting key Duty'!$I$8)</f>
        <v/>
      </c>
      <c r="BK33" s="313">
        <f>COUNTIF(C33:AH33,"*$FC*")</f>
        <v/>
      </c>
      <c r="BL33" s="313">
        <f>BK33*('Setting key Duty'!$J$11+'Setting key Duty'!$I$8)</f>
        <v/>
      </c>
      <c r="BM33" s="344">
        <f>COUNTIF($C33:$AG33,BM$4)</f>
        <v/>
      </c>
      <c r="BN33" s="344">
        <f>COUNTIF($C33:$AG33,BN$4)</f>
        <v/>
      </c>
      <c r="BO33" s="344">
        <f>COUNTIF($C33:$AG33,BO$4)</f>
        <v/>
      </c>
      <c r="BP33" s="345" t="n"/>
    </row>
    <row r="34" ht="19.5" customHeight="1">
      <c r="A34" s="309" t="n"/>
      <c r="B34" s="357" t="n"/>
      <c r="C34" s="358" t="n"/>
      <c r="D34" s="359" t="n"/>
      <c r="E34" s="359" t="n"/>
      <c r="F34" s="359" t="n"/>
      <c r="G34" s="359" t="n"/>
      <c r="H34" s="358" t="n"/>
      <c r="I34" s="358" t="n"/>
      <c r="J34" s="358" t="n"/>
      <c r="K34" s="358" t="n"/>
      <c r="L34" s="358" t="n"/>
      <c r="M34" s="358" t="n"/>
      <c r="N34" s="358" t="n"/>
      <c r="O34" s="358" t="n"/>
      <c r="P34" s="358" t="n"/>
      <c r="Q34" s="358" t="n"/>
      <c r="R34" s="358" t="n"/>
      <c r="S34" s="358" t="n"/>
      <c r="T34" s="358" t="n"/>
      <c r="U34" s="358" t="n"/>
      <c r="V34" s="358" t="n"/>
      <c r="W34" s="358" t="n"/>
      <c r="X34" s="358" t="n"/>
      <c r="Y34" s="358" t="n"/>
      <c r="Z34" s="358" t="n"/>
      <c r="AA34" s="358" t="n"/>
      <c r="AB34" s="358" t="n"/>
      <c r="AC34" s="358" t="n"/>
      <c r="AD34" s="358" t="n"/>
      <c r="AE34" s="358" t="n"/>
      <c r="AF34" s="358" t="n"/>
      <c r="AG34" s="358" t="n"/>
      <c r="AH34" s="361" t="n"/>
      <c r="AI34" s="362" t="n"/>
      <c r="AJ34" s="361" t="n"/>
      <c r="AK34" s="363" t="n"/>
      <c r="AL34" s="363" t="n"/>
      <c r="AM34" s="363" t="n"/>
      <c r="AN34" s="363" t="n"/>
      <c r="AO34" s="253" t="n"/>
      <c r="AP34" s="253" t="n"/>
      <c r="AQ34" s="253" t="n"/>
      <c r="AR34" s="253">
        <f>SUMPRODUCT(--WEEKDAY(C$3:AG$3,2)&gt;5,--((C34:AG34="DM"))+(C34:AG34="CS1")+((C34:AG34="CS2"))+(C34:AG34="SB1")+(C34:AG34="AE")+(C34:AG34="EM"))</f>
        <v/>
      </c>
      <c r="AS34" s="253" t="n"/>
      <c r="AT34" s="253">
        <f>(AP34-AQ34)/2+(AR34-AS34)</f>
        <v/>
      </c>
      <c r="AU34" s="253" t="n"/>
      <c r="AV34" s="253" t="n"/>
      <c r="AW34" s="253" t="n"/>
      <c r="AX34" s="363" t="n"/>
      <c r="AY34" s="363" t="n"/>
      <c r="AZ34" s="363" t="n"/>
      <c r="BA34" s="363" t="n"/>
      <c r="BB34" s="363" t="n"/>
      <c r="BC34" s="363" t="n"/>
      <c r="BD34" s="363" t="n"/>
      <c r="BE34" s="363" t="n"/>
      <c r="BF34" s="363" t="n"/>
      <c r="BG34" s="363" t="n"/>
      <c r="BH34" s="363" t="n"/>
      <c r="BI34" s="363" t="n"/>
      <c r="BJ34" s="363" t="n"/>
      <c r="BK34" s="363" t="n"/>
      <c r="BL34" s="363" t="n"/>
      <c r="BM34" s="363" t="n"/>
      <c r="BN34" s="363" t="n"/>
      <c r="BO34" s="363" t="n"/>
      <c r="BP34" s="364" t="n"/>
    </row>
    <row r="35" ht="19.5" customHeight="1">
      <c r="A35" s="309" t="n"/>
      <c r="B35" s="365" t="inlineStr">
        <is>
          <t>DM</t>
        </is>
      </c>
      <c r="C35" s="366">
        <f>VLOOKUP("DM",C4:C33,1,FALSE)</f>
        <v/>
      </c>
      <c r="D35" s="366">
        <f>VLOOKUP("DM",D4:D33,1,FALSE)</f>
        <v/>
      </c>
      <c r="E35" s="366">
        <f>VLOOKUP("DM",E4:E33,1,FALSE)</f>
        <v/>
      </c>
      <c r="F35" s="366">
        <f>VLOOKUP("DM",F4:F33,1,FALSE)</f>
        <v/>
      </c>
      <c r="G35" s="366">
        <f>VLOOKUP("DM",G4:G33,1,FALSE)</f>
        <v/>
      </c>
      <c r="H35" s="366">
        <f>VLOOKUP("DM",H4:H33,1,FALSE)</f>
        <v/>
      </c>
      <c r="I35" s="366">
        <f>VLOOKUP("DM",I4:I33,1,FALSE)</f>
        <v/>
      </c>
      <c r="J35" s="366">
        <f>VLOOKUP("DM",J4:J33,1,FALSE)</f>
        <v/>
      </c>
      <c r="K35" s="366">
        <f>VLOOKUP("DM",K4:K33,1,FALSE)</f>
        <v/>
      </c>
      <c r="L35" s="366">
        <f>VLOOKUP("DM",L4:L33,1,FALSE)</f>
        <v/>
      </c>
      <c r="M35" s="366">
        <f>VLOOKUP("DM",M4:M32,1,FALSE)</f>
        <v/>
      </c>
      <c r="N35" s="366">
        <f>VLOOKUP("DM",N4:N33,1,FALSE)</f>
        <v/>
      </c>
      <c r="O35" s="366">
        <f>VLOOKUP("DM",O4:O33,1,FALSE)</f>
        <v/>
      </c>
      <c r="P35" s="366">
        <f>VLOOKUP("DM",P4:P33,1,FALSE)</f>
        <v/>
      </c>
      <c r="Q35" s="366">
        <f>VLOOKUP("DM",Q4:Q32,1,FALSE)</f>
        <v/>
      </c>
      <c r="R35" s="366">
        <f>VLOOKUP("DM",R4:R31,1,FALSE)</f>
        <v/>
      </c>
      <c r="S35" s="366">
        <f>VLOOKUP("DM",S4:S33,1,FALSE)</f>
        <v/>
      </c>
      <c r="T35" s="366">
        <f>VLOOKUP("DM",T4:T33,1,FALSE)</f>
        <v/>
      </c>
      <c r="U35" s="366">
        <f>VLOOKUP("DM",U4:U33,1,FALSE)</f>
        <v/>
      </c>
      <c r="V35" s="366">
        <f>VLOOKUP("DM",V4:V30,1,FALSE)</f>
        <v/>
      </c>
      <c r="W35" s="366">
        <f>VLOOKUP("DM",W4:W30,1,FALSE)</f>
        <v/>
      </c>
      <c r="X35" s="366">
        <f>VLOOKUP("DM",X4:X33,1,FALSE)</f>
        <v/>
      </c>
      <c r="Y35" s="366">
        <f>VLOOKUP("DM",Y4:Y33,1,FALSE)</f>
        <v/>
      </c>
      <c r="Z35" s="366">
        <f>VLOOKUP("DM",Z4:Z33,1,FALSE)</f>
        <v/>
      </c>
      <c r="AA35" s="366">
        <f>VLOOKUP("DM",AA5:AA33,1,FALSE)</f>
        <v/>
      </c>
      <c r="AB35" s="366">
        <f>VLOOKUP("DM",AB4:AB33,1,FALSE)</f>
        <v/>
      </c>
      <c r="AC35" s="366">
        <f>VLOOKUP("DM",AC4:AC33,1,FALSE)</f>
        <v/>
      </c>
      <c r="AD35" s="366">
        <f>VLOOKUP("DM",AD4:AD33,1,FALSE)</f>
        <v/>
      </c>
      <c r="AE35" s="366">
        <f>VLOOKUP("DM",AE4:AE33,1,FALSE)</f>
        <v/>
      </c>
      <c r="AF35" s="366">
        <f>VLOOKUP("DM",AF4:AF33,1,FALSE)</f>
        <v/>
      </c>
      <c r="AG35" s="366">
        <f>VLOOKUP("DM",AG4:AG33,1,FALSE)</f>
        <v/>
      </c>
      <c r="AH35" s="311" t="n"/>
      <c r="AI35" s="312" t="n"/>
      <c r="AJ35" s="311" t="n"/>
      <c r="AK35" s="313" t="n"/>
      <c r="AL35" s="313" t="n"/>
      <c r="AM35" s="313" t="n"/>
      <c r="AN35" s="313" t="n"/>
      <c r="AO35" s="313" t="n"/>
      <c r="AP35" s="313" t="n"/>
      <c r="AQ35" s="313" t="n"/>
      <c r="AR35" s="313" t="n"/>
      <c r="AS35" s="313" t="n"/>
      <c r="AT35" s="313" t="n"/>
      <c r="AU35" s="313" t="n"/>
      <c r="AV35" s="313" t="n"/>
      <c r="AW35" s="313" t="n"/>
      <c r="AX35" s="313" t="n"/>
      <c r="AY35" s="313" t="n"/>
      <c r="AZ35" s="313" t="n"/>
      <c r="BA35" s="313" t="n"/>
      <c r="BB35" s="313" t="n"/>
      <c r="BC35" s="313" t="n"/>
      <c r="BD35" s="313" t="n"/>
      <c r="BE35" s="313" t="n"/>
      <c r="BF35" s="313" t="n"/>
      <c r="BG35" s="313" t="n"/>
      <c r="BH35" s="313" t="n"/>
      <c r="BI35" s="313" t="n"/>
      <c r="BJ35" s="313" t="n"/>
      <c r="BK35" s="313" t="n"/>
      <c r="BL35" s="313" t="n"/>
      <c r="BM35" s="313" t="n"/>
      <c r="BN35" s="313" t="n"/>
      <c r="BO35" s="313" t="n"/>
      <c r="BP35" s="314" t="n"/>
    </row>
    <row r="36" ht="19.5" customHeight="1">
      <c r="A36" s="309">
        <f>LTE()</f>
        <v/>
      </c>
      <c r="B36" s="368" t="inlineStr">
        <is>
          <t>CS1</t>
        </is>
      </c>
      <c r="C36" s="366">
        <f>VLOOKUP("CS1",C5:C33,1,FALSE)</f>
        <v/>
      </c>
      <c r="D36" s="366">
        <f>VLOOKUP("CS1",D7:D33,1,FALSE)</f>
        <v/>
      </c>
      <c r="E36" s="366">
        <f>VLOOKUP("CS1",E6:E33,1,FALSE)</f>
        <v/>
      </c>
      <c r="F36" s="366">
        <f>VLOOKUP("CS1",F6:F33,1,FALSE)</f>
        <v/>
      </c>
      <c r="G36" s="366">
        <f>VLOOKUP("CS1",G6:G33,1,FALSE)</f>
        <v/>
      </c>
      <c r="H36" s="366">
        <f>VLOOKUP("CS1",H5:H33,1,FALSE)</f>
        <v/>
      </c>
      <c r="I36" s="366">
        <f>VLOOKUP("CS1",I6:I33,1,FALSE)</f>
        <v/>
      </c>
      <c r="J36" s="366">
        <f>VLOOKUP("CS1",J4:J33,1,FALSE)</f>
        <v/>
      </c>
      <c r="K36" s="366">
        <f>VLOOKUP("CS1",K6:K33,1,FALSE)</f>
        <v/>
      </c>
      <c r="L36" s="366">
        <f>VLOOKUP("CS1",L10:L33,1,FALSE)</f>
        <v/>
      </c>
      <c r="M36" s="366">
        <f>VLOOKUP("CS1",M5:M32,1,FALSE)</f>
        <v/>
      </c>
      <c r="N36" s="366">
        <f>VLOOKUP("CS1",N5:N33,1,FALSE)</f>
        <v/>
      </c>
      <c r="O36" s="366">
        <f>VLOOKUP("CS1",O5:O33,1,FALSE)</f>
        <v/>
      </c>
      <c r="P36" s="366">
        <f>VLOOKUP("CS1",P12:P33,1,FALSE)</f>
        <v/>
      </c>
      <c r="Q36" s="366">
        <f>VLOOKUP("CS1",Q7:Q32,1,FALSE)</f>
        <v/>
      </c>
      <c r="R36" s="366">
        <f>VLOOKUP("CS1",R6:R31,1,FALSE)</f>
        <v/>
      </c>
      <c r="S36" s="366">
        <f>VLOOKUP("CS1",S5:S33,1,FALSE)</f>
        <v/>
      </c>
      <c r="T36" s="366">
        <f>VLOOKUP("CS1",T6:T33,1,FALSE)</f>
        <v/>
      </c>
      <c r="U36" s="366">
        <f>VLOOKUP("CS1",U7:U33,1,FALSE)</f>
        <v/>
      </c>
      <c r="V36" s="366">
        <f>VLOOKUP("CS1",V7:V30,1,FALSE)</f>
        <v/>
      </c>
      <c r="W36" s="366">
        <f>VLOOKUP("CS1",W1:W30,1,FALSE)</f>
        <v/>
      </c>
      <c r="X36" s="366">
        <f>VLOOKUP("CS1",X1:X33,1,FALSE)</f>
        <v/>
      </c>
      <c r="Y36" s="366">
        <f>VLOOKUP("CS1",Y5:Y33,1,FALSE)</f>
        <v/>
      </c>
      <c r="Z36" s="366">
        <f>VLOOKUP("CS1",Z6:Z33,1,FALSE)</f>
        <v/>
      </c>
      <c r="AA36" s="366">
        <f>VLOOKUP("CS1",AA5:AA33,1,FALSE)</f>
        <v/>
      </c>
      <c r="AB36" s="366">
        <f>VLOOKUP("CS1",AB7:AB33,1,FALSE)</f>
        <v/>
      </c>
      <c r="AC36" s="366">
        <f>VLOOKUP("CS1",AC6:AC33,1,FALSE)</f>
        <v/>
      </c>
      <c r="AD36" s="366">
        <f>VLOOKUP("CS1",AD6:AD33,1,FALSE)</f>
        <v/>
      </c>
      <c r="AE36" s="366">
        <f>VLOOKUP("CS1",AE6:AE33,1,FALSE)</f>
        <v/>
      </c>
      <c r="AF36" s="366">
        <f>VLOOKUP("CS1",AF5:AF33,1,FALSE)</f>
        <v/>
      </c>
      <c r="AG36" s="366">
        <f>VLOOKUP("CS1",AG6:AG33,1,FALSE)</f>
        <v/>
      </c>
      <c r="AH36" s="311" t="n"/>
      <c r="AI36" s="312" t="n"/>
      <c r="AJ36" s="311" t="n"/>
      <c r="AK36" s="313" t="n"/>
      <c r="AL36" s="313" t="n"/>
      <c r="AM36" s="313" t="n"/>
      <c r="AN36" s="313" t="n"/>
      <c r="AO36" s="313" t="n"/>
      <c r="AP36" s="313" t="n"/>
      <c r="AQ36" s="313" t="n"/>
      <c r="AR36" s="313" t="n"/>
      <c r="AS36" s="313" t="n"/>
      <c r="AT36" s="313" t="n"/>
      <c r="AU36" s="313" t="n"/>
      <c r="AV36" s="313" t="n"/>
      <c r="AW36" s="313" t="n"/>
      <c r="AX36" s="313" t="n"/>
      <c r="AY36" s="313" t="n"/>
      <c r="AZ36" s="313" t="n"/>
      <c r="BA36" s="313" t="n"/>
      <c r="BB36" s="313" t="n"/>
      <c r="BC36" s="313" t="n"/>
      <c r="BD36" s="313" t="n"/>
      <c r="BE36" s="313" t="n"/>
      <c r="BF36" s="313" t="n"/>
      <c r="BG36" s="313" t="n"/>
      <c r="BH36" s="313" t="n"/>
      <c r="BI36" s="313" t="n"/>
      <c r="BJ36" s="313" t="n"/>
      <c r="BK36" s="313" t="n"/>
      <c r="BL36" s="313" t="n"/>
      <c r="BM36" s="313" t="n"/>
      <c r="BN36" s="313" t="n"/>
      <c r="BO36" s="313" t="n"/>
      <c r="BP36" s="314" t="n"/>
    </row>
    <row r="37" ht="19.5" customHeight="1">
      <c r="A37" s="309" t="n"/>
      <c r="B37" s="369" t="inlineStr">
        <is>
          <t>CS2</t>
        </is>
      </c>
      <c r="C37" s="366">
        <f>VLOOKUP("CS2",C6:C33,1,FALSE)</f>
        <v/>
      </c>
      <c r="D37" s="366">
        <f>VLOOKUP("CS2",D7:D33,1,FALSE)</f>
        <v/>
      </c>
      <c r="E37" s="366">
        <f>VLOOKUP("CS2",E6:E33,1,FALSE)</f>
        <v/>
      </c>
      <c r="F37" s="366">
        <f>VLOOKUP("CS2",F6:F33,1,FALSE)</f>
        <v/>
      </c>
      <c r="G37" s="366">
        <f>VLOOKUP("CS2",G6:G33,1,FALSE)</f>
        <v/>
      </c>
      <c r="H37" s="366">
        <f>VLOOKUP("CS2",H6:H33,1,FALSE)</f>
        <v/>
      </c>
      <c r="I37" s="366">
        <f>VLOOKUP("CS2",I6:I33,1,FALSE)</f>
        <v/>
      </c>
      <c r="J37" s="366">
        <f>VLOOKUP("CS2",J4:J33,1,FALSE)</f>
        <v/>
      </c>
      <c r="K37" s="366">
        <f>VLOOKUP("CS2",K6:K33,1,FALSE)</f>
        <v/>
      </c>
      <c r="L37" s="366">
        <f>VLOOKUP("CS2",L4:L33,1,FALSE)</f>
        <v/>
      </c>
      <c r="M37" s="366">
        <f>VLOOKUP("CS2",M6:M32,1,FALSE)</f>
        <v/>
      </c>
      <c r="N37" s="366">
        <f>VLOOKUP("CS2",N5:N33,1,FALSE)</f>
        <v/>
      </c>
      <c r="O37" s="366">
        <f>VLOOKUP("CS2",O10:O33,1,FALSE)</f>
        <v/>
      </c>
      <c r="P37" s="366">
        <f>VLOOKUP("CS2",P6:P33,1,FALSE)</f>
        <v/>
      </c>
      <c r="Q37" s="366">
        <f>VLOOKUP("CS2",Q7:Q32,1,FALSE)</f>
        <v/>
      </c>
      <c r="R37" s="366">
        <f>VLOOKUP("CS2",R6:R31,1,FALSE)</f>
        <v/>
      </c>
      <c r="S37" s="366">
        <f>VLOOKUP("CS2",S5:S33,1,FALSE)</f>
        <v/>
      </c>
      <c r="T37" s="366">
        <f>VLOOKUP("CS2",T1:T33,1,FALSE)</f>
        <v/>
      </c>
      <c r="U37" s="366">
        <f>VLOOKUP("CS2",U1:U33,1,FALSE)</f>
        <v/>
      </c>
      <c r="V37" s="366">
        <f>VLOOKUP("CS2",V1:V30,1,FALSE)</f>
        <v/>
      </c>
      <c r="W37" s="366">
        <f>VLOOKUP("CS2",W9:W30,1,FALSE)</f>
        <v/>
      </c>
      <c r="X37" s="366">
        <f>VLOOKUP("CS2",X7:X33,1,FALSE)</f>
        <v/>
      </c>
      <c r="Y37" s="366">
        <f>VLOOKUP("CS2",Y5:Y33,1,FALSE)</f>
        <v/>
      </c>
      <c r="Z37" s="366">
        <f>VLOOKUP("CS2",Z6:Z33,1,FALSE)</f>
        <v/>
      </c>
      <c r="AA37" s="366">
        <f>VLOOKUP("CS2",AA5:AA33,1,FALSE)</f>
        <v/>
      </c>
      <c r="AB37" s="366">
        <f>VLOOKUP("CS2",AB1:AB33,1,FALSE)</f>
        <v/>
      </c>
      <c r="AC37" s="366">
        <f>VLOOKUP("CS2",AC6:AC33,1,FALSE)</f>
        <v/>
      </c>
      <c r="AD37" s="366">
        <f>VLOOKUP("CS2",AD6:AD33,1,FALSE)</f>
        <v/>
      </c>
      <c r="AE37" s="366">
        <f>VLOOKUP("CS2",AE6:AE33,1,FALSE)</f>
        <v/>
      </c>
      <c r="AF37" s="366">
        <f>VLOOKUP("CS2",AF5:AF33,1,FALSE)</f>
        <v/>
      </c>
      <c r="AG37" s="366">
        <f>VLOOKUP("CS2",AG6:AG33,1,FALSE)</f>
        <v/>
      </c>
      <c r="AH37" s="311" t="n"/>
      <c r="AI37" s="312" t="n"/>
      <c r="AJ37" s="311" t="n"/>
      <c r="AK37" s="313" t="n"/>
      <c r="AL37" s="313" t="n"/>
      <c r="AM37" s="313" t="n"/>
      <c r="AN37" s="313" t="n"/>
      <c r="AO37" s="313" t="n"/>
      <c r="AP37" s="313" t="n"/>
      <c r="AQ37" s="313" t="n"/>
      <c r="AR37" s="313" t="n"/>
      <c r="AS37" s="313" t="n"/>
      <c r="AT37" s="313" t="n"/>
      <c r="AU37" s="313" t="n"/>
      <c r="AV37" s="313" t="n"/>
      <c r="AW37" s="313" t="n"/>
      <c r="AX37" s="313" t="n"/>
      <c r="AY37" s="313" t="n"/>
      <c r="AZ37" s="313" t="n"/>
      <c r="BA37" s="313" t="n"/>
      <c r="BB37" s="313" t="n"/>
      <c r="BC37" s="313" t="n"/>
      <c r="BD37" s="313" t="n"/>
      <c r="BE37" s="313" t="n"/>
      <c r="BF37" s="313" t="n"/>
      <c r="BG37" s="313" t="n"/>
      <c r="BH37" s="313" t="n"/>
      <c r="BI37" s="313" t="n"/>
      <c r="BJ37" s="313" t="n"/>
      <c r="BK37" s="313" t="n"/>
      <c r="BL37" s="313" t="n"/>
      <c r="BM37" s="313" t="n"/>
      <c r="BN37" s="313" t="n"/>
      <c r="BO37" s="313" t="n"/>
      <c r="BP37" s="314" t="n"/>
    </row>
    <row r="38" ht="19.5" customHeight="1">
      <c r="A38" s="309" t="n"/>
      <c r="B38" s="370" t="inlineStr">
        <is>
          <t>SB1</t>
        </is>
      </c>
      <c r="C38" s="366">
        <f>VLOOKUP("SB1",C6:C33,1,FALSE)</f>
        <v/>
      </c>
      <c r="D38" s="366">
        <f>VLOOKUP("SB1",D3:D33,1,FALSE)</f>
        <v/>
      </c>
      <c r="E38" s="366">
        <f>VLOOKUP("SB1",E6:E33,1,FALSE)</f>
        <v/>
      </c>
      <c r="F38" s="366">
        <f>VLOOKUP("SB1",F6:F33,1,FALSE)</f>
        <v/>
      </c>
      <c r="G38" s="366">
        <f>VLOOKUP("SB1",G6:G33,1,FALSE)</f>
        <v/>
      </c>
      <c r="H38" s="366">
        <f>VLOOKUP("SB1",H6:H33,1,FALSE)</f>
        <v/>
      </c>
      <c r="I38" s="366">
        <f>VLOOKUP("SB1",I6:I33,1,FALSE)</f>
        <v/>
      </c>
      <c r="J38" s="366">
        <f>VLOOKUP("SB1",J4:J33,1,FALSE)</f>
        <v/>
      </c>
      <c r="K38" s="366">
        <f>VLOOKUP("SB1",K6:K33,1,FALSE)</f>
        <v/>
      </c>
      <c r="L38" s="366">
        <f>VLOOKUP("SB1",L5:L33,1,FALSE)</f>
        <v/>
      </c>
      <c r="M38" s="366">
        <f>VLOOKUP("SB1",M6:M32,1,FALSE)</f>
        <v/>
      </c>
      <c r="N38" s="366">
        <f>VLOOKUP("SB1",N5:N33,1,FALSE)</f>
        <v/>
      </c>
      <c r="O38" s="366">
        <f>VLOOKUP("SB1",O5:O33,1,FALSE)</f>
        <v/>
      </c>
      <c r="P38" s="366">
        <f>VLOOKUP("SB1",P6:P33,1,FALSE)</f>
        <v/>
      </c>
      <c r="Q38" s="366">
        <f>VLOOKUP("SB1",Q7:Q32,1,FALSE)</f>
        <v/>
      </c>
      <c r="R38" s="366">
        <f>VLOOKUP("SB1",R6:R31,1,FALSE)</f>
        <v/>
      </c>
      <c r="S38" s="366">
        <f>VLOOKUP("SB1",S5:S33,1,FALSE)</f>
        <v/>
      </c>
      <c r="T38" s="366">
        <f>VLOOKUP("SB1",T6:T33,1,FALSE)</f>
        <v/>
      </c>
      <c r="U38" s="366">
        <f>VLOOKUP("SB1",U7:U33,1,FALSE)</f>
        <v/>
      </c>
      <c r="V38" s="366">
        <f>VLOOKUP("SB1",V6:V30,1,FALSE)</f>
        <v/>
      </c>
      <c r="W38" s="366">
        <f>VLOOKUP("SB1",W9:W30,1,FALSE)</f>
        <v/>
      </c>
      <c r="X38" s="366">
        <f>VLOOKUP("SB1",X7:X33,1,FALSE)</f>
        <v/>
      </c>
      <c r="Y38" s="366">
        <f>VLOOKUP("SB1",Y5:Y33,1,FALSE)</f>
        <v/>
      </c>
      <c r="Z38" s="366">
        <f>VLOOKUP("SB1",Z6:Z33,1,FALSE)</f>
        <v/>
      </c>
      <c r="AA38" s="366">
        <f>VLOOKUP("SB1",AA5:AA33,1,FALSE)</f>
        <v/>
      </c>
      <c r="AB38" s="366">
        <f>VLOOKUP("SB1",AB7:AB33,1,FALSE)</f>
        <v/>
      </c>
      <c r="AC38" s="366">
        <f>VLOOKUP("SB1",AC1:AC33,1,FALSE)</f>
        <v/>
      </c>
      <c r="AD38" s="366">
        <f>VLOOKUP("SB1",AD6:AD33,1,FALSE)</f>
        <v/>
      </c>
      <c r="AE38" s="366">
        <f>VLOOKUP("SB1",AE6:AE33,1,FALSE)</f>
        <v/>
      </c>
      <c r="AF38" s="366">
        <f>VLOOKUP("SB1",AF5:AF33,1,FALSE)</f>
        <v/>
      </c>
      <c r="AG38" s="366">
        <f>VLOOKUP("SB1",AG6:AG33,1,FALSE)</f>
        <v/>
      </c>
      <c r="AH38" s="311" t="n"/>
      <c r="AI38" s="312" t="n"/>
      <c r="AJ38" s="311" t="n"/>
      <c r="AK38" s="313" t="n"/>
      <c r="AL38" s="313" t="n"/>
      <c r="AM38" s="313" t="n"/>
      <c r="AN38" s="313" t="n"/>
      <c r="AO38" s="313" t="n"/>
      <c r="AP38" s="313" t="n"/>
      <c r="AQ38" s="313" t="n"/>
      <c r="AR38" s="313" t="n"/>
      <c r="AS38" s="313" t="n"/>
      <c r="AT38" s="313" t="n"/>
      <c r="AU38" s="313" t="n"/>
      <c r="AV38" s="313" t="n"/>
      <c r="AW38" s="313" t="n"/>
      <c r="AX38" s="313" t="n"/>
      <c r="AY38" s="313" t="n"/>
      <c r="AZ38" s="313" t="n"/>
      <c r="BA38" s="313" t="n"/>
      <c r="BB38" s="313" t="n"/>
      <c r="BC38" s="313" t="n"/>
      <c r="BD38" s="313" t="n"/>
      <c r="BE38" s="313" t="n"/>
      <c r="BF38" s="313" t="n"/>
      <c r="BG38" s="313" t="n"/>
      <c r="BH38" s="313" t="n"/>
      <c r="BI38" s="313" t="n"/>
      <c r="BJ38" s="313" t="n"/>
      <c r="BK38" s="313" t="n"/>
      <c r="BL38" s="313" t="n"/>
      <c r="BM38" s="313" t="n"/>
      <c r="BN38" s="313" t="n"/>
      <c r="BO38" s="313" t="n"/>
      <c r="BP38" s="314" t="n"/>
    </row>
    <row r="39" ht="19.5" customHeight="1">
      <c r="A39" s="309" t="n"/>
      <c r="B39" s="371" t="inlineStr">
        <is>
          <t>SB2</t>
        </is>
      </c>
      <c r="C39" s="366">
        <f>VLOOKUP("SB2",C6:C33,1,FALSE)</f>
        <v/>
      </c>
      <c r="D39" s="366">
        <f>VLOOKUP("SB2",D7:D33,1,FALSE)</f>
        <v/>
      </c>
      <c r="E39" s="366">
        <f>VLOOKUP("SB2",E6:E33,1,FALSE)</f>
        <v/>
      </c>
      <c r="F39" s="366">
        <f>VLOOKUP("SB2",F9:F33,1,FALSE)</f>
        <v/>
      </c>
      <c r="G39" s="366">
        <f>VLOOKUP("SB2",G6:G33,1,FALSE)</f>
        <v/>
      </c>
      <c r="H39" s="366">
        <f>VLOOKUP("SB2",H6:H33,1,FALSE)</f>
        <v/>
      </c>
      <c r="I39" s="366">
        <f>VLOOKUP("SB2",I6:I33,1,FALSE)</f>
        <v/>
      </c>
      <c r="J39" s="366">
        <f>VLOOKUP("SB2",J4:J33,1,FALSE)</f>
        <v/>
      </c>
      <c r="K39" s="366">
        <f>VLOOKUP("SB2",K6:K33,1,FALSE)</f>
        <v/>
      </c>
      <c r="L39" s="366">
        <f>VLOOKUP("SB2",L11:L33,1,FALSE)</f>
        <v/>
      </c>
      <c r="M39" s="366">
        <f>VLOOKUP("SB2",M6:M32,1,FALSE)</f>
        <v/>
      </c>
      <c r="N39" s="366">
        <f>VLOOKUP("SB2",N5:N33,1,FALSE)</f>
        <v/>
      </c>
      <c r="O39" s="366">
        <f>VLOOKUP("SB2",O5:O33,1,FALSE)</f>
        <v/>
      </c>
      <c r="P39" s="366">
        <f>VLOOKUP("SB2",P6:P33,1,FALSE)</f>
        <v/>
      </c>
      <c r="Q39" s="366">
        <f>VLOOKUP("SB2",Q9:Q32,1,FALSE)</f>
        <v/>
      </c>
      <c r="R39" s="366">
        <f>VLOOKUP("SB2",R6:R31,1,FALSE)</f>
        <v/>
      </c>
      <c r="S39" s="366">
        <f>VLOOKUP("SB2",S10:S33,1,FALSE)</f>
        <v/>
      </c>
      <c r="T39" s="366">
        <f>VLOOKUP("SB2",T6:T33,1,FALSE)</f>
        <v/>
      </c>
      <c r="U39" s="366">
        <f>VLOOKUP("SB2",U7:U33,1,FALSE)</f>
        <v/>
      </c>
      <c r="V39" s="366">
        <f>VLOOKUP("SB2",V7:V30,1,FALSE)</f>
        <v/>
      </c>
      <c r="W39" s="366">
        <f>VLOOKUP("SB2",W9:W30,1,FALSE)</f>
        <v/>
      </c>
      <c r="X39" s="366">
        <f>VLOOKUP("SB2",X7:X33,1,FALSE)</f>
        <v/>
      </c>
      <c r="Y39" s="366">
        <f>VLOOKUP("SB2",Y5:Y33,1,FALSE)</f>
        <v/>
      </c>
      <c r="Z39" s="366">
        <f>VLOOKUP("SB2",Z6:Z33,1,FALSE)</f>
        <v/>
      </c>
      <c r="AA39" s="366">
        <f>VLOOKUP("SB2",AA10:AA33,1,FALSE)</f>
        <v/>
      </c>
      <c r="AB39" s="366">
        <f>VLOOKUP("SB2",AB7:AB33,1,FALSE)</f>
        <v/>
      </c>
      <c r="AC39" s="366">
        <f>VLOOKUP("SB2",AC10:AC33,1,FALSE)</f>
        <v/>
      </c>
      <c r="AD39" s="366">
        <f>VLOOKUP("SB2",AD6:AD33,1,FALSE)</f>
        <v/>
      </c>
      <c r="AE39" s="366">
        <f>VLOOKUP("SB2",AE6:AE33,1,FALSE)</f>
        <v/>
      </c>
      <c r="AF39" s="366">
        <f>VLOOKUP("SB2",AF5:AF33,1,FALSE)</f>
        <v/>
      </c>
      <c r="AG39" s="366">
        <f>VLOOKUP("SB2",AG6:AG33,1,FALSE)</f>
        <v/>
      </c>
      <c r="AH39" s="311" t="n"/>
      <c r="AI39" s="312" t="n"/>
      <c r="AJ39" s="311" t="n"/>
      <c r="AK39" s="313" t="n"/>
      <c r="AL39" s="313" t="n"/>
      <c r="AM39" s="313" t="n"/>
      <c r="AN39" s="313" t="n"/>
      <c r="AO39" s="313" t="n"/>
      <c r="AP39" s="313" t="n"/>
      <c r="AQ39" s="313" t="n"/>
      <c r="AR39" s="313" t="n"/>
      <c r="AS39" s="313" t="n"/>
      <c r="AT39" s="313" t="n"/>
      <c r="AU39" s="313" t="n"/>
      <c r="AV39" s="313" t="n"/>
      <c r="AW39" s="313" t="n"/>
      <c r="AX39" s="313" t="n"/>
      <c r="AY39" s="313" t="n"/>
      <c r="AZ39" s="313" t="n"/>
      <c r="BA39" s="313" t="n"/>
      <c r="BB39" s="313" t="n"/>
      <c r="BC39" s="313" t="n"/>
      <c r="BD39" s="313" t="n"/>
      <c r="BE39" s="313" t="n"/>
      <c r="BF39" s="313" t="n"/>
      <c r="BG39" s="313" t="n"/>
      <c r="BH39" s="313" t="n"/>
      <c r="BI39" s="313" t="n"/>
      <c r="BJ39" s="313" t="n"/>
      <c r="BK39" s="313" t="n"/>
      <c r="BL39" s="313" t="n"/>
      <c r="BM39" s="313" t="n"/>
      <c r="BN39" s="313" t="n"/>
      <c r="BO39" s="313" t="n"/>
      <c r="BP39" s="314" t="n"/>
    </row>
    <row r="40" ht="19.5" customHeight="1">
      <c r="A40" s="309" t="n"/>
      <c r="B40" s="372" t="inlineStr">
        <is>
          <t>AE</t>
        </is>
      </c>
      <c r="C40" s="366">
        <f>VLOOKUP("AE",C6:C33,1,FALSE)</f>
        <v/>
      </c>
      <c r="D40" s="366">
        <f>VLOOKUP("AE",D7:D33,1,FALSE)</f>
        <v/>
      </c>
      <c r="E40" s="366">
        <f>VLOOKUP("AE",E6:E33,1,FALSE)</f>
        <v/>
      </c>
      <c r="F40" s="366">
        <f>VLOOKUP("AE",F9:F33,1,FALSE)</f>
        <v/>
      </c>
      <c r="G40" s="366">
        <f>VLOOKUP("AE",G6:G33,1,FALSE)</f>
        <v/>
      </c>
      <c r="H40" s="366">
        <f>VLOOKUP("AE",H6:H33,1,FALSE)</f>
        <v/>
      </c>
      <c r="I40" s="366">
        <f>VLOOKUP("AE",I6:I33,1,FALSE)</f>
        <v/>
      </c>
      <c r="J40" s="366">
        <f>VLOOKUP("AE",J4:J33,1,FALSE)</f>
        <v/>
      </c>
      <c r="K40" s="366">
        <f>VLOOKUP("AE",K6:K33,1,FALSE)</f>
        <v/>
      </c>
      <c r="L40" s="366">
        <f>VLOOKUP("AE",L11:L33,1,FALSE)</f>
        <v/>
      </c>
      <c r="M40" s="366">
        <f>VLOOKUP("AE",M6:M32,1,FALSE)</f>
        <v/>
      </c>
      <c r="N40" s="366">
        <f>VLOOKUP("AE",N5:N33,1,FALSE)</f>
        <v/>
      </c>
      <c r="O40" s="366">
        <f>VLOOKUP("AE",O5:O33,1,FALSE)</f>
        <v/>
      </c>
      <c r="P40" s="366">
        <f>VLOOKUP("AE",P6:P33,1,FALSE)</f>
        <v/>
      </c>
      <c r="Q40" s="366">
        <f>VLOOKUP("AE",Q9:Q32,1,FALSE)</f>
        <v/>
      </c>
      <c r="R40" s="366">
        <f>VLOOKUP("AE",R6:R31,1,FALSE)</f>
        <v/>
      </c>
      <c r="S40" s="366">
        <f>VLOOKUP("AE",S10:S33,1,FALSE)</f>
        <v/>
      </c>
      <c r="T40" s="366">
        <f>VLOOKUP("AE",T6:T33,1,FALSE)</f>
        <v/>
      </c>
      <c r="U40" s="366">
        <f>VLOOKUP("AE",U7:U33,1,FALSE)</f>
        <v/>
      </c>
      <c r="V40" s="366">
        <f>VLOOKUP("AE",V7:V30,1,FALSE)</f>
        <v/>
      </c>
      <c r="W40" s="366">
        <f>VLOOKUP("AE",W9:W30,1,FALSE)</f>
        <v/>
      </c>
      <c r="X40" s="366">
        <f>VLOOKUP("AE",X7:X33,1,FALSE)</f>
        <v/>
      </c>
      <c r="Y40" s="366">
        <f>VLOOKUP("AE",Y5:Y33,1,FALSE)</f>
        <v/>
      </c>
      <c r="Z40" s="366">
        <f>VLOOKUP("AE",Z6:Z33,1,FALSE)</f>
        <v/>
      </c>
      <c r="AA40" s="366">
        <f>VLOOKUP("AE",AA10:AA33,1,FALSE)</f>
        <v/>
      </c>
      <c r="AB40" s="366">
        <f>VLOOKUP("AE",AB7:AB33,1,FALSE)</f>
        <v/>
      </c>
      <c r="AC40" s="366">
        <f>VLOOKUP("AE",AC10:AC33,1,FALSE)</f>
        <v/>
      </c>
      <c r="AD40" s="366">
        <f>VLOOKUP("AE",AD6:AD33,1,FALSE)</f>
        <v/>
      </c>
      <c r="AE40" s="366">
        <f>VLOOKUP("AE",AE6:AE33,1,FALSE)</f>
        <v/>
      </c>
      <c r="AF40" s="366">
        <f>VLOOKUP("AE",AF5:AF33,1,FALSE)</f>
        <v/>
      </c>
      <c r="AG40" s="366">
        <f>VLOOKUP("AE",AG6:AG33,1,FALSE)</f>
        <v/>
      </c>
      <c r="AH40" s="311" t="n"/>
      <c r="AI40" s="312" t="n"/>
      <c r="AJ40" s="311" t="n"/>
      <c r="AK40" s="313" t="n"/>
      <c r="AL40" s="313" t="n"/>
      <c r="AM40" s="313" t="n"/>
      <c r="AN40" s="313" t="n"/>
      <c r="AO40" s="313" t="n"/>
      <c r="AP40" s="313" t="n"/>
      <c r="AQ40" s="313" t="n"/>
      <c r="AR40" s="313" t="n"/>
      <c r="AS40" s="313" t="n"/>
      <c r="AT40" s="313" t="n"/>
      <c r="AU40" s="313" t="n"/>
      <c r="AV40" s="313" t="n"/>
      <c r="AW40" s="313" t="n"/>
      <c r="AX40" s="313" t="n"/>
      <c r="AY40" s="313" t="n"/>
      <c r="AZ40" s="313" t="n"/>
      <c r="BA40" s="313" t="n"/>
      <c r="BB40" s="313" t="n"/>
      <c r="BC40" s="313" t="n"/>
      <c r="BD40" s="313" t="n"/>
      <c r="BE40" s="313" t="n"/>
      <c r="BF40" s="313" t="n"/>
      <c r="BG40" s="313" t="n"/>
      <c r="BH40" s="313" t="n"/>
      <c r="BI40" s="313" t="n"/>
      <c r="BJ40" s="313" t="n"/>
      <c r="BK40" s="313" t="n"/>
      <c r="BL40" s="313" t="n"/>
      <c r="BM40" s="313" t="n"/>
      <c r="BN40" s="313" t="n"/>
      <c r="BO40" s="313" t="n"/>
      <c r="BP40" s="314" t="n"/>
    </row>
  </sheetData>
  <mergeCells count="1">
    <mergeCell ref="C1:S1"/>
  </mergeCells>
  <conditionalFormatting sqref="D14">
    <cfRule type="expression" priority="6" dxfId="135">
      <formula>WEEKDAY($A14,2)&gt;5</formula>
    </cfRule>
  </conditionalFormatting>
  <conditionalFormatting sqref="F25">
    <cfRule type="expression" priority="2" dxfId="136">
      <formula>WEEKDAY(I$3,2)&gt;5</formula>
    </cfRule>
    <cfRule type="expression" priority="3" dxfId="136">
      <formula>WEEKDAY(H$3,2)&gt;5</formula>
    </cfRule>
  </conditionalFormatting>
  <conditionalFormatting sqref="K26">
    <cfRule type="expression" priority="4" dxfId="136">
      <formula>WEEKDAY(M$3,2)&gt;5</formula>
    </cfRule>
  </conditionalFormatting>
  <conditionalFormatting sqref="N31">
    <cfRule type="expression" priority="5" dxfId="136">
      <formula>WEEKDAY(O$3,2)&gt;5</formula>
    </cfRule>
  </conditionalFormatting>
  <conditionalFormatting sqref="Q31">
    <cfRule type="expression" priority="1" dxfId="136">
      <formula>WEEKDAY(R$3,2)&gt;5</formula>
    </cfRule>
  </conditionalFormatting>
  <conditionalFormatting sqref="O8:O9">
    <cfRule type="expression" priority="7" dxfId="136">
      <formula>WEEKDAY(J$3,2)&gt;5</formula>
    </cfRule>
    <cfRule type="expression" priority="8" dxfId="136">
      <formula>WEEKDAY(I$3,2)&gt;5</formula>
    </cfRule>
  </conditionalFormatting>
  <conditionalFormatting sqref="C3:S33 T2:X33 Y3:Y33 Z2:Z33 AA3:AG33">
    <cfRule type="expression" priority="68" dxfId="136">
      <formula>WEEKDAY(T$3,2)&gt;5</formula>
    </cfRule>
  </conditionalFormatting>
  <conditionalFormatting sqref="C5:I40 J4:J40 K5:Z40 AA4:AA40 AB5:AG40">
    <cfRule type="cellIs" priority="53" operator="equal" dxfId="137">
      <formula>"B"</formula>
    </cfRule>
    <cfRule type="cellIs" priority="54" operator="equal" dxfId="137">
      <formula>"AL"</formula>
    </cfRule>
    <cfRule type="cellIs" priority="55" operator="equal" dxfId="138">
      <formula>"DM"</formula>
    </cfRule>
    <cfRule type="cellIs" priority="56" operator="equal" dxfId="139">
      <formula>"CS1"</formula>
    </cfRule>
    <cfRule type="cellIs" priority="57" operator="equal" dxfId="140">
      <formula>"CS2"</formula>
    </cfRule>
    <cfRule type="cellIs" priority="58" operator="equal" dxfId="141">
      <formula>"SB1"</formula>
    </cfRule>
    <cfRule type="cellIs" priority="59" operator="equal" dxfId="142">
      <formula>"SB2"</formula>
    </cfRule>
    <cfRule type="cellIs" priority="60" operator="equal" dxfId="143">
      <formula>"AE"</formula>
    </cfRule>
  </conditionalFormatting>
  <conditionalFormatting sqref="C5:I33 J4:J33 K5:Z33 AA4:AA33 AB5:AG33">
    <cfRule type="cellIs" priority="62" operator="equal" dxfId="137">
      <formula>"DB"</formula>
    </cfRule>
    <cfRule type="containsText" priority="63" operator="between" dxfId="144" text="$AM">
      <formula>NOT(ISERROR(SEARCH("$AM",C4)))</formula>
    </cfRule>
    <cfRule type="containsText" priority="64" operator="between" dxfId="145" text="$PM">
      <formula>NOT(ISERROR(SEARCH("$PM",C4)))</formula>
    </cfRule>
    <cfRule type="containsText" priority="65" operator="between" dxfId="146" text="$L">
      <formula>NOT(ISERROR(SEARCH("$L",C4)))</formula>
    </cfRule>
    <cfRule type="containsText" priority="66" operator="between" dxfId="147" text="$BTP">
      <formula>NOT(ISERROR(SEARCH("$BTP",C4)))</formula>
    </cfRule>
    <cfRule type="containsText" priority="67" operator="between" dxfId="148" text="$M">
      <formula>NOT(ISERROR(SEARCH("$M",C4)))</formula>
    </cfRule>
    <cfRule type="containsText" priority="69" operator="between" dxfId="149" text="$N">
      <formula>NOT(ISERROR(SEARCH("$N",C4)))</formula>
    </cfRule>
    <cfRule type="containsText" priority="70" operator="between" dxfId="150" text="$FC">
      <formula>NOT(ISERROR(SEARCH("$FC",C4)))</formula>
    </cfRule>
    <cfRule type="containsText" priority="71" operator="between" dxfId="151" text="OAL">
      <formula>NOT(ISERROR(SEARCH("OAL",C4)))</formula>
    </cfRule>
    <cfRule type="containsText" priority="72" operator="between" dxfId="152" text="S+">
      <formula>NOT(ISERROR(SEARCH("S+",C4)))</formula>
    </cfRule>
    <cfRule type="containsText" priority="73" operator="between" dxfId="153" text="EX-D">
      <formula>NOT(ISERROR(SEARCH("EX-D",C4)))</formula>
    </cfRule>
  </conditionalFormatting>
  <conditionalFormatting sqref="C5:D10 C12:D23 C25:D26 C28:G28 C31 D30 E5:E18 E20:E21 E23:E24 F5:F25 G5:G24 H5:H6 H8:H26 H31 I5:I26 I30 J4:J10 J12:J19 J21:J26 J30:J31 K5:K10 K12:K24 K26 K29 L5:L25 L30 M5:M15 M17:M19 M21:M23 M25:M27 M29:M30 M32 N5:N23 N25:N29 N31 O5:O13 O15:O20 O22:O23 O26 O29:O30 P5:P9 P12:P29 P31 Q5:Q6 Q8:Q18 Q21:Q26 Q28:Q32 R5:R16 R18 R20:R31 S5:S17 S20:S25 S27 S29:S30 S32 T5:T15 T17:T26 T28:U28 T30:T31 U5:U7 U10:U18 U20:U24 U26 U31 V5 V7:V10 V12:V17 V19:V28 V30:V31 W5:X6 W8:W30 X8:X14 X16:X28 X31:Y31 Y5:Y25 Y27:Y29 Z5:Z7 Z9:Z13 Z15:Z21 Z23:Z29 Z32:AA32 AA5:AA26 AA28:AA30 AB6:AC28 AB30:AB32 AC30:AD30 AC32:AE32 AD5:AD28 AE5:AE30 AF5:AF18 AF20:AF23 AF27:AF28 AF30 AG5:AG23 AG25">
    <cfRule type="containsText" priority="74" operator="between" dxfId="154" text="VACC">
      <formula>NOT(ISERROR(SEARCH("VACC",C4)))</formula>
    </cfRule>
  </conditionalFormatting>
  <conditionalFormatting sqref="C5:C26 C28:G28 C31 D5:D10 D12:D26 D30 E5:E21 E23:E25 F5:F25 G5:G24 H5:H6 H8:H26 H31 I5:I26 I29:I30 J5:J10 J12:J19 J21:J26 J30:J31 K5:K26 K29 L5:L25 L30 M5:M15 M17:M19 M21:M23 M25:M30 M32 N5:N23 N25:N29 N31 O5:O13 O15:O23 O25:O26 O29:O30 P5:P9 P11:P29 P31 Q5:Q6 Q8:Q19 Q21:Q26 Q28:Q32 R5:R31 S5:S25 S27 S29:S30 T5:T15 T17:T26 T30:T31 U5:U7 U10:U24 U26 U28 U31 V5 V7:V10 V12:V28 V30:V31 W5:X6 W8:W27 W29:W30 X8:X28 X31:Y31 Y5:Y25 Y27:Y29 Z5:Z29 Z31:Z32 AA5:AA26 AA28:AA30 AA32 AB6:AB28 AB30:AB32 AC5:AD28 AC30:AD30 AC32:AE32 AE5:AE30 AF5:AF24 AF27:AF28 AF30 AG5:AG25">
    <cfRule type="cellIs" priority="32" operator="equal" dxfId="137">
      <formula>"B"</formula>
    </cfRule>
    <cfRule type="cellIs" priority="33" operator="equal" dxfId="137">
      <formula>"AL"</formula>
    </cfRule>
    <cfRule type="cellIs" priority="34" operator="equal" dxfId="138">
      <formula>"DM"</formula>
    </cfRule>
    <cfRule type="cellIs" priority="35" operator="equal" dxfId="139">
      <formula>"CS1"</formula>
    </cfRule>
    <cfRule type="cellIs" priority="36" operator="equal" dxfId="140">
      <formula>"CS2"</formula>
    </cfRule>
    <cfRule type="cellIs" priority="37" operator="equal" dxfId="141">
      <formula>"SB1"</formula>
    </cfRule>
    <cfRule type="cellIs" priority="38" operator="equal" dxfId="142">
      <formula>"SB2"</formula>
    </cfRule>
    <cfRule type="cellIs" priority="39" operator="equal" dxfId="143">
      <formula>"AE"</formula>
    </cfRule>
    <cfRule type="cellIs" priority="41" operator="equal" dxfId="137">
      <formula>"DB"</formula>
    </cfRule>
    <cfRule type="containsText" priority="42" operator="between" dxfId="144" text="$AM">
      <formula>NOT(ISERROR(SEARCH("$AM",C5)))</formula>
    </cfRule>
    <cfRule type="containsText" priority="43" operator="between" dxfId="145" text="$PM">
      <formula>NOT(ISERROR(SEARCH("$PM",C5)))</formula>
    </cfRule>
    <cfRule type="containsText" priority="44" operator="between" dxfId="146" text="$L">
      <formula>NOT(ISERROR(SEARCH("$L",C5)))</formula>
    </cfRule>
    <cfRule type="containsText" priority="45" operator="between" dxfId="147" text="$BTP">
      <formula>NOT(ISERROR(SEARCH("$BTP",C5)))</formula>
    </cfRule>
    <cfRule type="containsText" priority="46" operator="between" dxfId="148" text="$M">
      <formula>NOT(ISERROR(SEARCH("$M",C5)))</formula>
    </cfRule>
    <cfRule type="containsText" priority="47" operator="between" dxfId="149" text="$N">
      <formula>NOT(ISERROR(SEARCH("$N",C5)))</formula>
    </cfRule>
    <cfRule type="containsText" priority="48" operator="between" dxfId="150" text="$FC">
      <formula>NOT(ISERROR(SEARCH("$FC",C5)))</formula>
    </cfRule>
    <cfRule type="containsText" priority="49" operator="between" dxfId="151" text="OAL">
      <formula>NOT(ISERROR(SEARCH("OAL",C5)))</formula>
    </cfRule>
    <cfRule type="containsText" priority="50" operator="between" dxfId="152" text="S+">
      <formula>NOT(ISERROR(SEARCH("S+",C5)))</formula>
    </cfRule>
    <cfRule type="containsText" priority="51" operator="between" dxfId="153" text="EX-D">
      <formula>NOT(ISERROR(SEARCH("EX-D",C5)))</formula>
    </cfRule>
  </conditionalFormatting>
  <conditionalFormatting sqref="C5:C26 C28:G28 C31 D5:D10 D12:D26 D30 E5:E18 E20:E21 E23:E25 F5:F25 G5:G24 H5:H6 H8:H26 H31 I5:I26 I29:I30 J5:J10 J12:J19 J21:J26 J30:J31 K5:K26 K29 L5:L25 L30 M5:M15 M17:M19 M21:M23 M25:M27 M29:M30 M32 N5:N23 N25:N29 N31 O5:O13 O15:O23 O26 O29:O30 P5:P9 P11:P29 P31 Q5:Q6 Q8:Q19 Q21:Q26 Q28:Q32 R5:R18 R20:R31 S5:S25 S29:S30 T5:T15 T17:T26 T30:T31 U5:U7 U10:U24 U26 U28 U31 V5 V7:V10 V12:V28 V30:V31 W5:X6 W8:W30 X8:X28 X31:Y31 Y5:Y25 Y27:Y29 Z5:Z29 Z31:Z32 AA5:AA26 AA28:AA30 AA32 AB6:AB28 AB30:AB32 AC5:AD28 AC30:AD30 AC32:AE32 AE5:AE30 AF5:AG23 AF27:AF28 AF30 AG25">
    <cfRule type="containsText" priority="40" operator="between" dxfId="154" text="VACC">
      <formula>NOT(ISERROR(SEARCH("VACC",C5)))</formula>
    </cfRule>
  </conditionalFormatting>
  <conditionalFormatting sqref="C5:C10 C12:C23 C26 C28:G28 C31 D5:D7 D10 D12:D13 D16:D23 D25:D26 D30 E5:E14 E17 E20:F21 E23 E25 F6:F9 F12:F14 F16:F18 F23:F25 G5:G14 G16:G19 G21:G24 H5:H6 H8:H19 H21:J26 H31 I5:I19 I29:I30 J5:J10 J12:J19 J30:J31 K5:K26 K29 L5:L25 L30:M30 M5:M11 M13:M15 M17:M19 M21:M23 M25:M27 M32 N5:N23 N25:N29 N31 O5:O13 O15:O23 O26 O29:O30 P5:P9 P11:P29 P31 Q5 Q8:Q19 Q21:Q26 Q28 Q30:Q32 R5:R18 R20:R25 R27:R31 S5:S17 S19:S25 S29:S30 T5:T15 T17:T26 T30:T31 U5:U7 U10:U24 U26 U28 U31 V7:V10 V12:V18 V20:V28 V30:V31 W5:W6 W8:W27 W29:W30 X5 X8:X25 X27:X28 X31:Y31 Y5:Y25 Y27:Y29 Z5:Z7 Z9:Z13 Z15:Z21 Z23:Z29 Z32:AA32 AA6:AA17 AA19:AA20 AA22:AA26 AA28:AA30 AB6:AB14 AB17:AB28 AB30:AB32 AC5:AD28 AC30:AD30 AC32:AE32 AE5:AE30 AF5:AF11 AF13 AF15:AF18 AF20:AF23 AF27:AF28 AF30 AG5:AG15 AG18:AG23">
    <cfRule type="expression" priority="52" dxfId="136">
      <formula>WEEKDAY(#REF!,2)&gt;5</formula>
    </cfRule>
  </conditionalFormatting>
  <conditionalFormatting sqref="BO5:BP33">
    <cfRule type="cellIs" priority="61" operator="lessThan" dxfId="155">
      <formula>1</formula>
    </cfRule>
  </conditionalFormatting>
  <conditionalFormatting sqref="C13 C17 E6 E23 F8:F9 G22 H19 H25 O16 P17 T7 T13:T14 T20 U13 U24 X13:Z13 AB26 AE24">
    <cfRule type="expression" priority="29" dxfId="136">
      <formula>WEEKDAY(G$3,2)&gt;5</formula>
    </cfRule>
  </conditionalFormatting>
  <conditionalFormatting sqref="E6 E23 F12 F28 G21:G22 H19 H25 O16 P17 T7 T13:T14 T20 U13 U24 X13:Z13 AB26 AE24">
    <cfRule type="expression" priority="30" dxfId="136">
      <formula>WEEKDAY(F$3,2)&gt;5</formula>
    </cfRule>
  </conditionalFormatting>
  <conditionalFormatting sqref="C8:C9 C12:C13 C17 E12 F8:F9 I12">
    <cfRule type="expression" priority="31" dxfId="136">
      <formula>WEEKDAY(E$3,2)&gt;5</formula>
    </cfRule>
  </conditionalFormatting>
  <conditionalFormatting sqref="C24:C25 C28:E28 D30 I29 K29 R28:R30 S29 Y28:AA29">
    <cfRule type="expression" priority="28" dxfId="136">
      <formula>WEEKDAY(#REF!,2)&gt;5</formula>
    </cfRule>
  </conditionalFormatting>
  <conditionalFormatting sqref="C28:E29 F29:G29 H28:H29 I29:M29 O27 O29 P28 Q26 R28:R30 S28:T29 T26 U29:V29 U31 V27 W28 X29 X31 Y28:AA29 AB29:AC29">
    <cfRule type="cellIs" priority="9" operator="equal" dxfId="137">
      <formula>"B"</formula>
    </cfRule>
    <cfRule type="cellIs" priority="10" operator="equal" dxfId="137">
      <formula>"AL"</formula>
    </cfRule>
    <cfRule type="cellIs" priority="11" operator="equal" dxfId="138">
      <formula>"DM"</formula>
    </cfRule>
    <cfRule type="cellIs" priority="12" operator="equal" dxfId="139">
      <formula>"CS1"</formula>
    </cfRule>
    <cfRule type="cellIs" priority="13" operator="equal" dxfId="140">
      <formula>"CS2"</formula>
    </cfRule>
    <cfRule type="cellIs" priority="14" operator="equal" dxfId="141">
      <formula>"SB1"</formula>
    </cfRule>
    <cfRule type="cellIs" priority="15" operator="equal" dxfId="142">
      <formula>"SB2"</formula>
    </cfRule>
    <cfRule type="cellIs" priority="16" operator="equal" dxfId="143">
      <formula>"AE"</formula>
    </cfRule>
    <cfRule type="cellIs" priority="17" operator="equal" dxfId="137">
      <formula>"DB"</formula>
    </cfRule>
    <cfRule type="containsText" priority="18" operator="between" dxfId="144" text="$AM">
      <formula>NOT(ISERROR(SEARCH("$AM",C26)))</formula>
    </cfRule>
    <cfRule type="containsText" priority="19" operator="between" dxfId="145" text="$PM">
      <formula>NOT(ISERROR(SEARCH("$PM",C26)))</formula>
    </cfRule>
    <cfRule type="containsText" priority="20" operator="between" dxfId="146" text="$L">
      <formula>NOT(ISERROR(SEARCH("$L",C26)))</formula>
    </cfRule>
    <cfRule type="containsText" priority="21" operator="between" dxfId="147" text="$BTP">
      <formula>NOT(ISERROR(SEARCH("$BTP",C26)))</formula>
    </cfRule>
    <cfRule type="containsText" priority="22" operator="between" dxfId="148" text="$M">
      <formula>NOT(ISERROR(SEARCH("$M",C26)))</formula>
    </cfRule>
    <cfRule type="containsText" priority="23" operator="between" dxfId="149" text="$N">
      <formula>NOT(ISERROR(SEARCH("$N",C26)))</formula>
    </cfRule>
    <cfRule type="containsText" priority="24" operator="between" dxfId="150" text="$FC">
      <formula>NOT(ISERROR(SEARCH("$FC",C26)))</formula>
    </cfRule>
    <cfRule type="containsText" priority="25" operator="between" dxfId="151" text="OAL">
      <formula>NOT(ISERROR(SEARCH("OAL",C26)))</formula>
    </cfRule>
    <cfRule type="containsText" priority="26" operator="between" dxfId="152" text="S+">
      <formula>NOT(ISERROR(SEARCH("S+",C26)))</formula>
    </cfRule>
    <cfRule type="containsText" priority="27" operator="between" dxfId="153" text="EX-D">
      <formula>NOT(ISERROR(SEARCH("EX-D",C26)))</formula>
    </cfRule>
  </conditionalFormatting>
  <dataValidations count="2">
    <dataValidation sqref="C5:E5 C6 C7:E7 C8:D9 C10:E10 C12:J12 C13:L13 C14:M14 C15:D15 C16:H17 C18:D18 C19 C20:F20 C21:H21 C22:D22 C23:M23 C24:L24 C25:J25 C26:Q26 C27 C28:I28 C29:AE29 C30:D31 C32:I32 C33:L33 E6:F6 E11 E27 F8:F9 F18:F19 F22:X22 F30:M30 F31 G7 G10:G11 G27 H5:I5 H6 H15:V15 H18:R18 H19:U19 H20 H31:J31 I7:L7 I8:K9 I10:O10 I27 J6:P6 J16:L16 J17:P17 J21:N21 K5 K20 K27 K32:M32 L11:L12 L25:Q25 L28 L31:V31 M5:O5 M8:R9 M27 N7:P7 N11:O11 N12:Q12 N13 N16:O16 N20:P20 N24 N28 N33:P33 O14:U14 O23 O30 O32:P32 P13 P21:X21 P27 P28:Y28 Q5:Y5 Q10:AB10 Q11:R11 Q16 Q23 Q24:AC24 Q30:T30 R7:V7 R13 R17:U17 R20:U20 R27:S27 S6:U6 S12:T12 S23:Y23 S25:T25 S32:V32 S33:AG33 T8:T9 T13:V13 T18:W18 T26:X26 U11 U16:AA16 U27:W27 V8 V9:AB9 V25:AC25 V30:W30 W6 W11:AG11 W17 W20:AG20 X8 X12:AB12 X13:AC13 X14:AE14 X19:Y19 X31:AF31 Y6:AA7 Y15 Y18:AC18 Y27:Z27 Y32 Z17:AB17 Z21 Z30:AG30 AA8:AE8 AA15:AC15 AA22:AC22 AA23:AF23 AA26:AB26 AA28:AF28 AB19:AD19 AB21:AC21 AC16:AG16 AC27:AE27 AD5:AG7 AD9:AG10 AD12:AE12 AD17:AE17 AD26:AG26 AE13:AG13 AE18:AG18 AE21:AG21 AE22 AE24:AF24 AE25 AF15:AG15 AF19:AG19 AF32:AG32 AG8 AG12 AG14 AG22 AG25 AG27 AG29" showDropDown="1" showInputMessage="0" showErrorMessage="0" allowBlank="1" type="list">
      <formula1>'Setting key Duty'!$B$7:$B$56</formula1>
    </dataValidation>
    <dataValidation sqref="C34:AG40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/>
    <pageSetUpPr fitToPage="1"/>
  </sheetPr>
  <dimension ref="A1:BP46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9.24761904761905" customWidth="1" min="16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3"/>
    <col hidden="1" outlineLevel="1" width="9.38095238095238" customWidth="1" min="34" max="40"/>
    <col collapsed="1" width="6.75238095238095" customWidth="1" min="41" max="41"/>
    <col outlineLevel="1" width="8.87619047619048" customWidth="1" min="42" max="42"/>
    <col outlineLevel="1" width="7.87619047619048" customWidth="1" min="43" max="43"/>
    <col outlineLevel="1" width="9.133333333333329" customWidth="1" min="44" max="44"/>
    <col outlineLevel="1" width="8.24761904761905" customWidth="1" min="45" max="45"/>
    <col outlineLevel="1" width="5.5047619047619" customWidth="1" min="46" max="46"/>
    <col width="9.38095238095238" customWidth="1" min="47" max="49"/>
    <col outlineLevel="1" width="9.38095238095238" customWidth="1" min="50" max="57"/>
    <col outlineLevel="1" width="10" customWidth="1" min="58" max="58"/>
    <col outlineLevel="1" width="9.38095238095238" customWidth="1" min="59" max="64"/>
    <col width="9.38095238095238" customWidth="1" min="65" max="65"/>
    <col width="9.504761904761899" customWidth="1" min="66" max="66"/>
    <col width="9.38095238095238" customWidth="1" min="67" max="68"/>
  </cols>
  <sheetData>
    <row r="1" ht="3" customHeight="1">
      <c r="A1" s="408" t="n">
        <v>65</v>
      </c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90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1" t="n"/>
    </row>
    <row r="2" ht="26.25" customHeight="1">
      <c r="A2" s="412" t="n"/>
      <c r="B2" s="24" t="inlineStr">
        <is>
          <t>Event Log</t>
        </is>
      </c>
      <c r="C2" s="167" t="n"/>
      <c r="D2" s="167" t="n"/>
      <c r="E2" s="167" t="n"/>
      <c r="F2" s="167" t="inlineStr">
        <is>
          <t>GX24</t>
        </is>
      </c>
      <c r="G2" s="167" t="inlineStr">
        <is>
          <t>GX24</t>
        </is>
      </c>
      <c r="H2" s="167" t="n"/>
      <c r="I2" s="167" t="inlineStr">
        <is>
          <t>GP</t>
        </is>
      </c>
      <c r="J2" s="167" t="inlineStr">
        <is>
          <t>GP</t>
        </is>
      </c>
      <c r="K2" s="167" t="inlineStr">
        <is>
          <t>LULL PERIOD (NO MORE SB1)</t>
        </is>
      </c>
      <c r="M2" s="167" t="n"/>
      <c r="N2" s="167" t="n"/>
      <c r="O2" s="167" t="n"/>
      <c r="P2" s="167" t="n"/>
      <c r="Q2" s="167" t="n"/>
      <c r="R2" s="167" t="n"/>
      <c r="S2" s="167" t="n"/>
      <c r="T2" s="167" t="n"/>
      <c r="U2" s="167" t="n"/>
      <c r="V2" s="167" t="n"/>
      <c r="W2" s="167" t="n"/>
      <c r="X2" s="167" t="n"/>
      <c r="Y2" s="167" t="inlineStr">
        <is>
          <t>CST?</t>
        </is>
      </c>
      <c r="Z2" s="167" t="inlineStr">
        <is>
          <t>CST?</t>
        </is>
      </c>
      <c r="AA2" s="294" t="inlineStr">
        <is>
          <t>CHRISTMAS</t>
        </is>
      </c>
      <c r="AB2" s="167" t="inlineStr">
        <is>
          <t>CST?</t>
        </is>
      </c>
      <c r="AC2" s="167" t="inlineStr">
        <is>
          <t>CST?</t>
        </is>
      </c>
      <c r="AD2" s="167" t="n"/>
      <c r="AE2" s="167" t="n"/>
      <c r="AF2" s="167" t="inlineStr">
        <is>
          <t>P VACC 2 (42SAR)</t>
        </is>
      </c>
      <c r="AG2" s="167" t="inlineStr">
        <is>
          <t>S VACC 2 (42SAR) / NEW YEARS EVE</t>
        </is>
      </c>
      <c r="AH2" s="218" t="n"/>
      <c r="AI2" s="218" t="n"/>
      <c r="AJ2" s="218" t="n"/>
      <c r="AK2" s="295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6" t="inlineStr">
        <is>
          <t>0.3125+0.0625+0.5
long+stay+pass12</t>
        </is>
      </c>
      <c r="BA2" s="296" t="n"/>
      <c r="BB2" s="296" t="inlineStr">
        <is>
          <t>0.3125+0.125
Long hr+aft 1730</t>
        </is>
      </c>
      <c r="BC2" s="296" t="n"/>
      <c r="BD2" s="296" t="inlineStr">
        <is>
          <t>0.125+0.125+0.0625
Bef 0730+Aft1730+stay</t>
        </is>
      </c>
      <c r="BE2" s="296" t="n"/>
      <c r="BF2" s="296" t="n"/>
      <c r="BG2" s="296" t="inlineStr">
        <is>
          <t>0.125
after 1730</t>
        </is>
      </c>
      <c r="BH2" s="296" t="n"/>
      <c r="BI2" s="296" t="inlineStr">
        <is>
          <t>stay in+ bef 0730</t>
        </is>
      </c>
      <c r="BJ2" s="296" t="n"/>
      <c r="BK2" s="296" t="n"/>
      <c r="BL2" s="296" t="n"/>
      <c r="BM2" s="295" t="n"/>
      <c r="BN2" s="295" t="n"/>
      <c r="BO2" s="295" t="n"/>
      <c r="BP2" s="297" t="n"/>
    </row>
    <row r="3" ht="26.25" customHeight="1">
      <c r="A3" s="412" t="n"/>
      <c r="B3" s="24" t="inlineStr">
        <is>
          <t>Rostering</t>
        </is>
      </c>
      <c r="C3" s="413" t="n">
        <v>45627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4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4">
        <f>S3+1</f>
        <v/>
      </c>
      <c r="U3" s="414">
        <f>T3+1</f>
        <v/>
      </c>
      <c r="V3" s="414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4">
        <f>AF3+1</f>
        <v/>
      </c>
      <c r="AH3" s="221">
        <f>'Setting key Duty'!$C7</f>
        <v/>
      </c>
      <c r="AI3" s="222">
        <f>'Setting key Duty'!$C8</f>
        <v/>
      </c>
      <c r="AJ3" s="223">
        <f>'Setting key Duty'!$C9</f>
        <v/>
      </c>
      <c r="AK3" s="302">
        <f>'Setting key Duty'!$C11</f>
        <v/>
      </c>
      <c r="AL3" s="302">
        <f>'Setting key Duty'!$C12</f>
        <v/>
      </c>
      <c r="AM3" s="302">
        <f>'Setting key Duty'!$C13</f>
        <v/>
      </c>
      <c r="AN3" s="302">
        <f>'Setting key Duty'!C14</f>
        <v/>
      </c>
      <c r="AO3" s="223" t="n"/>
      <c r="AP3" s="223" t="inlineStr">
        <is>
          <t>Weekday Duty</t>
        </is>
      </c>
      <c r="AQ3" s="223" t="inlineStr">
        <is>
          <t>Weekday Extra</t>
        </is>
      </c>
      <c r="AR3" s="223" t="inlineStr">
        <is>
          <t>Weekend Duty</t>
        </is>
      </c>
      <c r="AS3" s="223" t="inlineStr">
        <is>
          <t>Weekend Extra</t>
        </is>
      </c>
      <c r="AT3" s="223" t="inlineStr">
        <is>
          <t>Duty Point</t>
        </is>
      </c>
      <c r="AU3" s="223" t="inlineStr">
        <is>
          <t>Total Duty</t>
        </is>
      </c>
      <c r="AV3" s="223" t="inlineStr">
        <is>
          <t>Total Cover</t>
        </is>
      </c>
      <c r="AW3" s="223" t="inlineStr">
        <is>
          <t>Total Point</t>
        </is>
      </c>
      <c r="AX3" s="223" t="inlineStr">
        <is>
          <t>Total Cover
Point</t>
        </is>
      </c>
      <c r="AY3" s="223" t="inlineStr">
        <is>
          <t>Bedok RT</t>
        </is>
      </c>
      <c r="AZ3" s="302" t="inlineStr">
        <is>
          <t>BTP</t>
        </is>
      </c>
      <c r="BA3" s="302" t="inlineStr">
        <is>
          <t>$BTP
Point</t>
        </is>
      </c>
      <c r="BB3" s="302" t="inlineStr">
        <is>
          <t>Long Cover</t>
        </is>
      </c>
      <c r="BC3" s="302" t="inlineStr">
        <is>
          <t>$L
Point</t>
        </is>
      </c>
      <c r="BD3" s="302" t="inlineStr">
        <is>
          <t>Mid Cover</t>
        </is>
      </c>
      <c r="BE3" s="302" t="inlineStr">
        <is>
          <t>$M 
Point</t>
        </is>
      </c>
      <c r="BF3" s="302" t="inlineStr">
        <is>
          <t>Cover
 Normal Hour</t>
        </is>
      </c>
      <c r="BG3" s="302" t="inlineStr">
        <is>
          <t>Cover
After Hour</t>
        </is>
      </c>
      <c r="BH3" s="302" t="inlineStr">
        <is>
          <t>$PM
Point</t>
        </is>
      </c>
      <c r="BI3" s="302" t="inlineStr">
        <is>
          <t>Cover
Early</t>
        </is>
      </c>
      <c r="BJ3" s="302" t="inlineStr">
        <is>
          <t>$AM
Point</t>
        </is>
      </c>
      <c r="BK3" s="302">
        <f>'Setting key Duty'!C52</f>
        <v/>
      </c>
      <c r="BL3" s="302" t="inlineStr">
        <is>
          <t>$FC
Point</t>
        </is>
      </c>
      <c r="BM3" s="302">
        <f>'Setting key Duty'!$C15</f>
        <v/>
      </c>
      <c r="BN3" s="302">
        <f>'Setting key Duty'!C17</f>
        <v/>
      </c>
      <c r="BO3" s="302">
        <f>'Setting key Duty'!$C22</f>
        <v/>
      </c>
      <c r="BP3" s="297" t="n"/>
    </row>
    <row r="4" ht="18" customHeight="1">
      <c r="A4" s="303" t="n"/>
      <c r="B4" s="260" t="inlineStr">
        <is>
          <t>Updated on: 26/10/2022</t>
        </is>
      </c>
      <c r="C4" s="415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5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5">
        <f>TEXT(T3,"ddd")</f>
        <v/>
      </c>
      <c r="U4" s="415">
        <f>TEXT(U3,"ddd")</f>
        <v/>
      </c>
      <c r="V4" s="415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5">
        <f>TEXT(AG3,"ddd")</f>
        <v/>
      </c>
      <c r="AH4" s="227">
        <f>'Setting key Duty'!$B7</f>
        <v/>
      </c>
      <c r="AI4" s="228">
        <f>'Setting key Duty'!$B8</f>
        <v/>
      </c>
      <c r="AJ4" s="229">
        <f>'Setting key Duty'!$B9</f>
        <v/>
      </c>
      <c r="AK4" s="307">
        <f>'Setting key Duty'!$B11</f>
        <v/>
      </c>
      <c r="AL4" s="307">
        <f>'Setting key Duty'!$B12</f>
        <v/>
      </c>
      <c r="AM4" s="307">
        <f>'Setting key Duty'!$B13</f>
        <v/>
      </c>
      <c r="AN4" s="307">
        <f>'Setting key Duty'!B14</f>
        <v/>
      </c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inlineStr">
        <is>
          <t>BRT</t>
        </is>
      </c>
      <c r="AZ4" s="307" t="inlineStr">
        <is>
          <t>$BTP</t>
        </is>
      </c>
      <c r="BA4" s="307" t="n"/>
      <c r="BB4" s="307" t="inlineStr">
        <is>
          <t>$L</t>
        </is>
      </c>
      <c r="BC4" s="307" t="n"/>
      <c r="BD4" s="307" t="inlineStr">
        <is>
          <t>$M</t>
        </is>
      </c>
      <c r="BE4" s="307" t="n"/>
      <c r="BF4" s="307" t="inlineStr">
        <is>
          <t>$N</t>
        </is>
      </c>
      <c r="BG4" s="307" t="inlineStr">
        <is>
          <t>$PM</t>
        </is>
      </c>
      <c r="BH4" s="307" t="n"/>
      <c r="BI4" s="307" t="inlineStr">
        <is>
          <t>$AM</t>
        </is>
      </c>
      <c r="BJ4" s="307" t="n"/>
      <c r="BK4" s="307">
        <f>'Setting key Duty'!B52</f>
        <v/>
      </c>
      <c r="BL4" s="307" t="n"/>
      <c r="BM4" s="307">
        <f>'Setting key Duty'!$B15</f>
        <v/>
      </c>
      <c r="BN4" s="307">
        <f>'Setting key Duty'!B17</f>
        <v/>
      </c>
      <c r="BO4" s="307">
        <f>'Setting key Duty'!$B22</f>
        <v/>
      </c>
      <c r="BP4" s="308" t="n"/>
    </row>
    <row r="5" ht="19.5" customHeight="1">
      <c r="A5" s="309" t="inlineStr">
        <is>
          <t>X</t>
        </is>
      </c>
      <c r="B5" s="332" t="inlineStr">
        <is>
          <t>CFC MUHAMAD HAZMI BIN MOHD ZULKIFLI</t>
        </is>
      </c>
      <c r="C5" s="197" t="n"/>
      <c r="D5" s="197" t="inlineStr">
        <is>
          <t>CAREER FAIR</t>
        </is>
      </c>
      <c r="E5" s="197" t="inlineStr">
        <is>
          <t>DM</t>
        </is>
      </c>
      <c r="F5" s="197" t="inlineStr">
        <is>
          <t>DENTAL</t>
        </is>
      </c>
      <c r="G5" s="197" t="inlineStr">
        <is>
          <t>GP STORES</t>
        </is>
      </c>
      <c r="H5" s="197" t="inlineStr">
        <is>
          <t>GP REHEARSAL</t>
        </is>
      </c>
      <c r="I5" s="197" t="inlineStr">
        <is>
          <t>GP</t>
        </is>
      </c>
      <c r="J5" s="197" t="inlineStr">
        <is>
          <t>GP B</t>
        </is>
      </c>
      <c r="K5" s="197" t="inlineStr">
        <is>
          <t>DENTAL</t>
        </is>
      </c>
      <c r="L5" s="197" t="inlineStr">
        <is>
          <t>MC</t>
        </is>
      </c>
      <c r="M5" s="197" t="inlineStr">
        <is>
          <t>MSP</t>
        </is>
      </c>
      <c r="N5" s="197" t="n"/>
      <c r="O5" s="197" t="inlineStr">
        <is>
          <t>AL</t>
        </is>
      </c>
      <c r="P5" s="197" t="n"/>
      <c r="Q5" s="197" t="n"/>
      <c r="R5" s="197" t="inlineStr">
        <is>
          <t>DENTAL</t>
        </is>
      </c>
      <c r="S5" s="197" t="inlineStr">
        <is>
          <t>MC</t>
        </is>
      </c>
      <c r="T5" s="197" t="inlineStr">
        <is>
          <t>MC</t>
        </is>
      </c>
      <c r="U5" s="197" t="inlineStr">
        <is>
          <t>MC</t>
        </is>
      </c>
      <c r="V5" s="197" t="inlineStr">
        <is>
          <t>OL</t>
        </is>
      </c>
      <c r="W5" s="197" t="inlineStr">
        <is>
          <t>OL</t>
        </is>
      </c>
      <c r="X5" s="197" t="inlineStr">
        <is>
          <t>OL</t>
        </is>
      </c>
      <c r="Y5" s="197" t="inlineStr">
        <is>
          <t>OL</t>
        </is>
      </c>
      <c r="Z5" s="197" t="inlineStr">
        <is>
          <t>DM</t>
        </is>
      </c>
      <c r="AA5" s="396" t="n"/>
      <c r="AB5" s="197" t="inlineStr">
        <is>
          <t>DM</t>
        </is>
      </c>
      <c r="AC5" s="197" t="n"/>
      <c r="AD5" s="197" t="inlineStr">
        <is>
          <t>OL</t>
        </is>
      </c>
      <c r="AE5" s="197" t="inlineStr">
        <is>
          <t>OL</t>
        </is>
      </c>
      <c r="AF5" s="197" t="inlineStr">
        <is>
          <t>OL</t>
        </is>
      </c>
      <c r="AG5" s="197" t="inlineStr">
        <is>
          <t>OL</t>
        </is>
      </c>
      <c r="AH5" s="311">
        <f>COUNTIF($C5:$AE5,AH$4)</f>
        <v/>
      </c>
      <c r="AI5" s="312">
        <f>COUNTIF($C5:$AE5,AI$4)</f>
        <v/>
      </c>
      <c r="AJ5" s="311">
        <f>COUNTIF($C5:$AE5,AJ$4)</f>
        <v/>
      </c>
      <c r="AK5" s="313">
        <f>COUNTIF($C5:$AE5,AK$4)</f>
        <v/>
      </c>
      <c r="AL5" s="313">
        <f>COUNTIF($C5:$AE5,AL$4)</f>
        <v/>
      </c>
      <c r="AM5" s="313">
        <f>COUNTIF($C5:$AE5,AM$4)</f>
        <v/>
      </c>
      <c r="AN5" s="313">
        <f>COUNTIF($C5:$AE5,AN$4)</f>
        <v/>
      </c>
      <c r="AO5" s="238" t="n"/>
      <c r="AP5" s="313">
        <f>SUMPRODUCT(--WEEKDAY(C$3:AG$3,2)&lt;6,--((C5:AG5="DM"))+(C5:AG5="CS1")+((C5:AG5="CS2"))+(C5:AG5="SB1")+(C5:AG5="AE")+(C5:AG5="EM"))</f>
        <v/>
      </c>
      <c r="AQ5" s="238" t="n"/>
      <c r="AR5" s="238">
        <f>SUMPRODUCT(--WEEKDAY(C$3:AG$3,2)&gt;5,--((C5:AG5="DM"))+(C5:AG5="CS1")+((C5:AG5="CS2"))+(C5:AG5="SB1")+(C5:AG5="AE")+(C5:AG5="EM"))</f>
        <v/>
      </c>
      <c r="AS5" s="238" t="n"/>
      <c r="AT5" s="238">
        <f>(AP5-AQ5)/2+(AR5-AS5)</f>
        <v/>
      </c>
      <c r="AU5" s="238">
        <f>AH5+AI5+AJ5+AK5+AM5+AN5</f>
        <v/>
      </c>
      <c r="AV5" s="238">
        <f>BF5+BG5+BI5+BD5+BB5+AZ5+BK5</f>
        <v/>
      </c>
      <c r="AW5" s="238">
        <f>AT5+AX5</f>
        <v/>
      </c>
      <c r="AX5" s="313">
        <f>(BI5*('Setting key Duty'!$I$8+'Setting key Duty'!$I$12))+(BG5*'Setting key Duty'!$I$9)+(BB5*('Setting key Duty'!$I$13+'Setting key Duty'!$I$9))+(AZ5*('Setting key Duty'!$I$13+'Setting key Duty'!$I$12+'Setting key Duty'!$I$11))+(BD5*('Setting key Duty'!$I$8+'Setting key Duty'!$I$9+'Setting key Duty'!$I$12))</f>
        <v/>
      </c>
      <c r="AY5" s="313">
        <f>COUNTIF(C5:AE5,"*BRT*")</f>
        <v/>
      </c>
      <c r="AZ5" s="313">
        <f>COUNTIF(A5:AH5,"*$BTP*")</f>
        <v/>
      </c>
      <c r="BA5" s="313">
        <f>AZ5*('Setting key Duty'!$I$13+'Setting key Duty'!$I$12+'Setting key Duty'!$I$11)</f>
        <v/>
      </c>
      <c r="BB5" s="313">
        <f>COUNTIF(A5:AH5,"*$L*")</f>
        <v/>
      </c>
      <c r="BC5" s="313">
        <f>BB5*('Setting key Duty'!$I$13+'Setting key Duty'!$I$9)</f>
        <v/>
      </c>
      <c r="BD5" s="313">
        <f>COUNTIF(A5:AH5,"*$M*")</f>
        <v/>
      </c>
      <c r="BE5" s="313">
        <f>BD5*('Setting key Duty'!$I$8+'Setting key Duty'!$I$9+'Setting key Duty'!$I$12)</f>
        <v/>
      </c>
      <c r="BF5" s="313">
        <f>COUNTIF(AF5:AH5,"*$N*")</f>
        <v/>
      </c>
      <c r="BG5" s="313">
        <f>COUNTIF(AF5:AH5,"*$PM*")</f>
        <v/>
      </c>
      <c r="BH5" s="313">
        <f>BG5*('Setting key Duty'!$I$9)</f>
        <v/>
      </c>
      <c r="BI5" s="313">
        <f>COUNTIF(A5:AH5,"*$AM*")</f>
        <v/>
      </c>
      <c r="BJ5" s="313">
        <f>BI5*('Setting key Duty'!$I$12+'Setting key Duty'!$I$8)</f>
        <v/>
      </c>
      <c r="BK5" s="313">
        <f>COUNTIF(C5:AH5,"*$FC*")</f>
        <v/>
      </c>
      <c r="BL5" s="313">
        <f>BK5*('Setting key Duty'!$J$11+'Setting key Duty'!$I$8)</f>
        <v/>
      </c>
      <c r="BM5" s="313">
        <f>COUNTIF($C5:$AE5,BM$4)</f>
        <v/>
      </c>
      <c r="BN5" s="313">
        <f>COUNTIF($C5:$AE5,BN$4)</f>
        <v/>
      </c>
      <c r="BO5" s="313">
        <f>COUNTIF($C5:$AE5,BO$4)</f>
        <v/>
      </c>
      <c r="BP5" s="314" t="n"/>
    </row>
    <row r="6" ht="36" customHeight="1">
      <c r="A6" s="309" t="n"/>
      <c r="B6" s="375" t="inlineStr">
        <is>
          <t>CPL MUHAMMAD IZZAN RIZAL</t>
        </is>
      </c>
      <c r="D6" s="197" t="inlineStr">
        <is>
          <t>OL</t>
        </is>
      </c>
      <c r="E6" s="197" t="inlineStr">
        <is>
          <t>MC</t>
        </is>
      </c>
      <c r="F6" s="197" t="inlineStr">
        <is>
          <t>MC</t>
        </is>
      </c>
      <c r="G6" s="197" t="inlineStr">
        <is>
          <t>MC</t>
        </is>
      </c>
      <c r="H6" s="197" t="inlineStr">
        <is>
          <t>MC</t>
        </is>
      </c>
      <c r="I6" s="197" t="inlineStr">
        <is>
          <t>MC</t>
        </is>
      </c>
      <c r="J6" s="197" t="inlineStr">
        <is>
          <t>MC</t>
        </is>
      </c>
      <c r="K6" s="197" t="inlineStr">
        <is>
          <t>MC</t>
        </is>
      </c>
      <c r="L6" s="197" t="inlineStr">
        <is>
          <t>MC</t>
        </is>
      </c>
      <c r="M6" s="197" t="inlineStr">
        <is>
          <t>MC</t>
        </is>
      </c>
      <c r="N6" s="197" t="inlineStr">
        <is>
          <t>CS1</t>
        </is>
      </c>
      <c r="O6" s="197" t="n"/>
      <c r="P6" s="197" t="inlineStr">
        <is>
          <t>CS2</t>
        </is>
      </c>
      <c r="Q6" s="106" t="n"/>
      <c r="R6" s="197" t="inlineStr">
        <is>
          <t>CS1</t>
        </is>
      </c>
      <c r="T6" s="197" t="inlineStr">
        <is>
          <t>CS1</t>
        </is>
      </c>
      <c r="U6" s="197" t="inlineStr">
        <is>
          <t>AL</t>
        </is>
      </c>
      <c r="W6" s="197" t="inlineStr">
        <is>
          <t>CS2</t>
        </is>
      </c>
      <c r="Y6" s="197" t="inlineStr">
        <is>
          <t>AL</t>
        </is>
      </c>
      <c r="Z6" s="198" t="inlineStr">
        <is>
          <t>AL</t>
        </is>
      </c>
      <c r="AA6" s="396" t="n"/>
      <c r="AC6" s="197" t="n"/>
      <c r="AD6" s="197" t="inlineStr">
        <is>
          <t>OL</t>
        </is>
      </c>
      <c r="AE6" s="197" t="inlineStr">
        <is>
          <t>OL</t>
        </is>
      </c>
      <c r="AF6" s="197" t="inlineStr">
        <is>
          <t>OL</t>
        </is>
      </c>
      <c r="AG6" s="197" t="inlineStr">
        <is>
          <t>OL</t>
        </is>
      </c>
      <c r="AH6" s="311">
        <f>COUNTIF($D6:$AE6,AH$4)</f>
        <v/>
      </c>
      <c r="AI6" s="312">
        <f>COUNTIF($D6:$AE6,AI$4)</f>
        <v/>
      </c>
      <c r="AJ6" s="311">
        <f>COUNTIF($D6:$AE6,AJ$4)</f>
        <v/>
      </c>
      <c r="AK6" s="313">
        <f>COUNTIF($D6:$AE6,AK$4)</f>
        <v/>
      </c>
      <c r="AL6" s="313">
        <f>COUNTIF($D6:$AE6,AL$4)</f>
        <v/>
      </c>
      <c r="AM6" s="313">
        <f>COUNTIF($D6:$AE6,AM$4)</f>
        <v/>
      </c>
      <c r="AN6" s="313">
        <f>COUNTIF($D6:$AE6,AN$4)</f>
        <v/>
      </c>
      <c r="AO6" s="238" t="n"/>
      <c r="AP6" s="313">
        <f>SUMPRODUCT(--WEEKDAY(C$3:AG$3,2)&lt;6,--((C6:AG6="DM"))+(C6:AG6="CS1")+((C6:AG6="CS2"))+(C6:AG6="SB1")+(C6:AG6="AE")+(C6:AG6="EM"))</f>
        <v/>
      </c>
      <c r="AQ6" s="238" t="n"/>
      <c r="AR6" s="238">
        <f>SUMPRODUCT(--WEEKDAY(C$3:AG$3,2)&gt;5,--((C6:AG6="DM"))+(C6:AG6="CS1")+((C6:AG6="CS2"))+(C6:AG6="SB1")+(C6:AG6="AE")+(C6:AG6="EM"))</f>
        <v/>
      </c>
      <c r="AS6" s="238" t="n"/>
      <c r="AT6" s="238">
        <f>(AP6-AQ6)/2+(AR6-AS6)</f>
        <v/>
      </c>
      <c r="AU6" s="238">
        <f>AH6+AI6+AJ6+AK6+AM6+AN6</f>
        <v/>
      </c>
      <c r="AV6" s="238">
        <f>AT6+AX6</f>
        <v/>
      </c>
      <c r="AW6" s="238">
        <f>AT6+AX6</f>
        <v/>
      </c>
      <c r="AX6" s="313">
        <f>(BI6*('Setting key Duty'!$I$8+'Setting key Duty'!$I$12))+(BG6*'Setting key Duty'!$I$9)+(BB6*('Setting key Duty'!$I$13+'Setting key Duty'!$I$9))+(AZ6*('Setting key Duty'!$I$13+'Setting key Duty'!$I$12+'Setting key Duty'!$I$11))+(BD6*('Setting key Duty'!$I$8+'Setting key Duty'!$I$9+'Setting key Duty'!$I$12))</f>
        <v/>
      </c>
      <c r="AY6" s="313">
        <f>COUNTIF(D6:AE6,"*BRT*")</f>
        <v/>
      </c>
      <c r="AZ6" s="313">
        <f>COUNTIF(A6:AH6,"*$BTP*")</f>
        <v/>
      </c>
      <c r="BA6" s="313">
        <f>AZ6*('Setting key Duty'!$I$13+'Setting key Duty'!$I$12+'Setting key Duty'!$I$11)</f>
        <v/>
      </c>
      <c r="BB6" s="313">
        <f>COUNTIF(A6:AH6,"*$L*")</f>
        <v/>
      </c>
      <c r="BC6" s="313">
        <f>BB6*('Setting key Duty'!$I$13+'Setting key Duty'!$I$9)</f>
        <v/>
      </c>
      <c r="BD6" s="313">
        <f>COUNTIF(A6:AH6,"*$M*")</f>
        <v/>
      </c>
      <c r="BE6" s="313">
        <f>BD6*('Setting key Duty'!$I$8+'Setting key Duty'!$I$9+'Setting key Duty'!$I$12)</f>
        <v/>
      </c>
      <c r="BF6" s="313">
        <f>COUNTIF(AF6:AH6,"*$N*")</f>
        <v/>
      </c>
      <c r="BG6" s="313">
        <f>COUNTIF(AF6:AH6,"*$PM*")</f>
        <v/>
      </c>
      <c r="BH6" s="313">
        <f>BG6*('Setting key Duty'!$I$9)</f>
        <v/>
      </c>
      <c r="BI6" s="313">
        <f>COUNTIF(A6:AH6,"*$AM*")</f>
        <v/>
      </c>
      <c r="BJ6" s="313">
        <f>BI6*('Setting key Duty'!$I$12+'Setting key Duty'!$I$8)</f>
        <v/>
      </c>
      <c r="BK6" s="313">
        <f>COUNTIF(D6:AH6,"*$FC*")</f>
        <v/>
      </c>
      <c r="BL6" s="313">
        <f>BK6*('Setting key Duty'!$J$11+'Setting key Duty'!$I$8)</f>
        <v/>
      </c>
      <c r="BM6" s="313">
        <f>COUNTIF($D6:$AE6,BM$4)</f>
        <v/>
      </c>
      <c r="BN6" s="313">
        <f>COUNTIF($D6:$AE6,BN$4)</f>
        <v/>
      </c>
      <c r="BO6" s="313">
        <f>COUNTIF($D6:$AE6,BO$4)</f>
        <v/>
      </c>
      <c r="BP6" s="314" t="n"/>
    </row>
    <row r="7" ht="19.5" customHeight="1">
      <c r="A7" s="309" t="n"/>
      <c r="B7" s="334" t="inlineStr">
        <is>
          <t>LCP KARTHIKRAM KRISHNAN</t>
        </is>
      </c>
      <c r="C7" s="197" t="inlineStr">
        <is>
          <t>DM</t>
        </is>
      </c>
      <c r="D7" s="106" t="n"/>
      <c r="E7" s="197" t="inlineStr">
        <is>
          <t>SB1</t>
        </is>
      </c>
      <c r="F7" s="197" t="inlineStr">
        <is>
          <t>SB2</t>
        </is>
      </c>
      <c r="G7" s="197" t="inlineStr">
        <is>
          <t>MC</t>
        </is>
      </c>
      <c r="H7" s="317" t="inlineStr">
        <is>
          <t>CS2</t>
        </is>
      </c>
      <c r="J7" s="197" t="n"/>
      <c r="K7" s="197" t="n"/>
      <c r="L7" s="197" t="inlineStr">
        <is>
          <t>CS2</t>
        </is>
      </c>
      <c r="M7" s="106" t="n"/>
      <c r="N7" s="197" t="n"/>
      <c r="O7" s="197" t="n"/>
      <c r="P7" s="197" t="n"/>
      <c r="Q7" s="197" t="inlineStr">
        <is>
          <t>DM</t>
        </is>
      </c>
      <c r="R7" s="197" t="n"/>
      <c r="S7" s="197" t="inlineStr">
        <is>
          <t>CS1</t>
        </is>
      </c>
      <c r="T7" s="197" t="n"/>
      <c r="U7" s="197" t="n"/>
      <c r="V7" s="197" t="n"/>
      <c r="W7" s="197" t="inlineStr">
        <is>
          <t>OL</t>
        </is>
      </c>
      <c r="X7" s="197" t="inlineStr">
        <is>
          <t>OL</t>
        </is>
      </c>
      <c r="Y7" s="197" t="inlineStr">
        <is>
          <t>OL</t>
        </is>
      </c>
      <c r="Z7" s="197" t="inlineStr">
        <is>
          <t>OL</t>
        </is>
      </c>
      <c r="AA7" s="396" t="inlineStr">
        <is>
          <t>OL</t>
        </is>
      </c>
      <c r="AB7" s="197" t="inlineStr">
        <is>
          <t>OL</t>
        </is>
      </c>
      <c r="AC7" s="197" t="inlineStr">
        <is>
          <t>OL</t>
        </is>
      </c>
      <c r="AD7" s="197" t="inlineStr">
        <is>
          <t>OL</t>
        </is>
      </c>
      <c r="AE7" s="197" t="inlineStr">
        <is>
          <t>OL</t>
        </is>
      </c>
      <c r="AF7" s="197" t="inlineStr">
        <is>
          <t>OL</t>
        </is>
      </c>
      <c r="AG7" s="197" t="inlineStr">
        <is>
          <t>OL</t>
        </is>
      </c>
      <c r="AH7" s="311">
        <f>COUNTIF($C7:$D7,AH$4)</f>
        <v/>
      </c>
      <c r="AI7" s="312">
        <f>COUNTIF($C7:$D7,AI$4)</f>
        <v/>
      </c>
      <c r="AJ7" s="311">
        <f>COUNTIF($C7:$D7,AJ$4)</f>
        <v/>
      </c>
      <c r="AK7" s="313">
        <f>COUNTIF($C7:$D7,AK$4)</f>
        <v/>
      </c>
      <c r="AL7" s="313">
        <f>COUNTIF($C7:$D7,AL$4)</f>
        <v/>
      </c>
      <c r="AM7" s="313">
        <f>COUNTIF($C7:$D7,AM$4)</f>
        <v/>
      </c>
      <c r="AN7" s="313">
        <f>COUNTIF($C7:$D7,AN$4)</f>
        <v/>
      </c>
      <c r="AO7" s="238" t="n"/>
      <c r="AP7" s="313">
        <f>SUMPRODUCT(--WEEKDAY(C$3:AG$3,2)&lt;6,--((C7:AG7="DM"))+(C7:AG7="CS1")+((C7:AG7="CS2"))+(C7:AG7="SB1")+(C7:AG7="AE")+(C7:AG7="EM"))</f>
        <v/>
      </c>
      <c r="AQ7" s="238" t="n"/>
      <c r="AR7" s="238">
        <f>SUMPRODUCT(--WEEKDAY(C$3:AG$3,2)&gt;5,--((C7:AG7="DM"))+(C7:AG7="CS1")+((C7:AG7="CS2"))+(C7:AG7="SB1")+(C7:AG7="AE")+(C7:AG7="EM"))</f>
        <v/>
      </c>
      <c r="AS7" s="238" t="n"/>
      <c r="AT7" s="238">
        <f>(AP7-AQ7)/2+(AR7-AS7)</f>
        <v/>
      </c>
      <c r="AU7" s="238">
        <f>AH7+AI7+AJ7+AK7+AM7+AN7</f>
        <v/>
      </c>
      <c r="AV7" s="238">
        <f>BF7+BG7+BI7+BD7+BB7+AZ7+BK7</f>
        <v/>
      </c>
      <c r="AW7" s="238">
        <f>AT7+AX7</f>
        <v/>
      </c>
      <c r="AX7" s="313">
        <f>(BI7*('Setting key Duty'!$I$8+'Setting key Duty'!$I$12))+(BG7*'Setting key Duty'!$I$9)+(BB7*('Setting key Duty'!$I$13+'Setting key Duty'!$I$9))+(AZ7*('Setting key Duty'!$I$13+'Setting key Duty'!$I$12+'Setting key Duty'!$I$11))+(BD7*('Setting key Duty'!$I$8+'Setting key Duty'!$I$9+'Setting key Duty'!$I$12))</f>
        <v/>
      </c>
      <c r="AY7" s="313">
        <f>COUNTIF(C7:D7,"*BRT*")</f>
        <v/>
      </c>
      <c r="AZ7" s="313">
        <f>COUNTIF(A7:AH7,"*$BTP*")</f>
        <v/>
      </c>
      <c r="BA7" s="313">
        <f>AZ7*('Setting key Duty'!$I$13+'Setting key Duty'!$I$12+'Setting key Duty'!$I$11)</f>
        <v/>
      </c>
      <c r="BB7" s="313">
        <f>COUNTIF(A7:AH7,"*$L*")</f>
        <v/>
      </c>
      <c r="BC7" s="313">
        <f>BB7*('Setting key Duty'!$I$13+'Setting key Duty'!$I$9)</f>
        <v/>
      </c>
      <c r="BD7" s="313">
        <f>COUNTIF(A7:AH7,"*$M*")</f>
        <v/>
      </c>
      <c r="BE7" s="313">
        <f>BD7*('Setting key Duty'!$I$8+'Setting key Duty'!$I$9+'Setting key Duty'!$I$12)</f>
        <v/>
      </c>
      <c r="BF7" s="313">
        <f>COUNTIF(A7:AH7,"*$N*")</f>
        <v/>
      </c>
      <c r="BG7" s="313">
        <f>COUNTIF(AG7:AH7,"*$PM*")</f>
        <v/>
      </c>
      <c r="BH7" s="313">
        <f>BG7*('Setting key Duty'!$I$9)</f>
        <v/>
      </c>
      <c r="BI7" s="313">
        <f>COUNTIF(A7:AH7,"*$AM*")</f>
        <v/>
      </c>
      <c r="BJ7" s="313">
        <f>BI7*('Setting key Duty'!$I$12+'Setting key Duty'!$I$8)</f>
        <v/>
      </c>
      <c r="BK7" s="313">
        <f>COUNTIF(C7:AH7,"*$FC*")</f>
        <v/>
      </c>
      <c r="BL7" s="313">
        <f>BK7*('Setting key Duty'!$J$11+'Setting key Duty'!$I$8)</f>
        <v/>
      </c>
      <c r="BM7" s="313">
        <f>COUNTIF($C7:$D7,BM$4)</f>
        <v/>
      </c>
      <c r="BN7" s="313">
        <f>COUNTIF($C7:$D7,BN$4)</f>
        <v/>
      </c>
      <c r="BO7" s="313">
        <f>COUNTIF($C7:$D7,BO$4)</f>
        <v/>
      </c>
      <c r="BP7" s="314" t="n"/>
    </row>
    <row r="8" ht="19.5" customHeight="1">
      <c r="A8" s="309" t="n"/>
      <c r="B8" s="334" t="inlineStr">
        <is>
          <t>CPL MUHAMMAD AQIL BIN ABDULLAH</t>
        </is>
      </c>
      <c r="C8" s="197" t="inlineStr">
        <is>
          <t>CS1</t>
        </is>
      </c>
      <c r="D8" s="106" t="n"/>
      <c r="E8" s="106" t="n"/>
      <c r="F8" s="324" t="inlineStr">
        <is>
          <t>DM</t>
        </is>
      </c>
      <c r="J8" s="197" t="inlineStr">
        <is>
          <t>DM</t>
        </is>
      </c>
      <c r="K8" s="197" t="n"/>
      <c r="M8" s="106" t="n"/>
      <c r="N8" s="197" t="inlineStr">
        <is>
          <t>DM</t>
        </is>
      </c>
      <c r="O8" s="197" t="n"/>
      <c r="P8" s="197" t="n"/>
      <c r="Q8" s="197" t="n"/>
      <c r="R8" s="197" t="inlineStr">
        <is>
          <t>AL</t>
        </is>
      </c>
      <c r="S8" s="106" t="n"/>
      <c r="T8" s="197" t="n"/>
      <c r="U8" s="197" t="inlineStr">
        <is>
          <t>CS2</t>
        </is>
      </c>
      <c r="V8" s="197" t="inlineStr">
        <is>
          <t>BAND</t>
        </is>
      </c>
      <c r="W8" s="197" t="n"/>
      <c r="X8" s="197" t="n"/>
      <c r="Y8" s="197" t="inlineStr">
        <is>
          <t>AL</t>
        </is>
      </c>
      <c r="Z8" s="197" t="n"/>
      <c r="AA8" s="396" t="n"/>
      <c r="AC8" s="197" t="n"/>
      <c r="AD8" s="197" t="n"/>
      <c r="AE8" s="197" t="n"/>
      <c r="AF8" s="197" t="inlineStr">
        <is>
          <t>DM</t>
        </is>
      </c>
      <c r="AG8" s="197" t="n"/>
      <c r="AH8" s="311" t="n"/>
      <c r="AI8" s="312" t="n"/>
      <c r="AJ8" s="311" t="n"/>
      <c r="AK8" s="313" t="n"/>
      <c r="AL8" s="313" t="n"/>
      <c r="AM8" s="313" t="n"/>
      <c r="AN8" s="313" t="n"/>
      <c r="AO8" s="238" t="n"/>
      <c r="AP8" s="313">
        <f>SUMPRODUCT(--WEEKDAY(C$3:AG$3,2)&lt;6,--((C8:AG8="DM"))+(C8:AG8="CS1")+((C8:AG8="CS2"))+(C8:AG8="SB1")+(C8:AG8="AE")+(C8:AG8="EM"))</f>
        <v/>
      </c>
      <c r="AQ8" s="238" t="n"/>
      <c r="AR8" s="238">
        <f>SUMPRODUCT(--WEEKDAY(C$3:AG$3,2)&gt;5,--((C8:AG8="DM"))+(C8:AG8="CS1")+((C8:AG8="CS2"))+(C8:AG8="SB1")+(C8:AG8="AE")+(C8:AG8="EM"))</f>
        <v/>
      </c>
      <c r="AS8" s="238" t="n"/>
      <c r="AT8" s="238" t="n"/>
      <c r="AU8" s="238" t="n"/>
      <c r="AV8" s="238" t="n"/>
      <c r="AW8" s="238" t="n"/>
      <c r="AX8" s="313" t="n"/>
      <c r="AY8" s="313" t="n"/>
      <c r="AZ8" s="313" t="n"/>
      <c r="BA8" s="313" t="n"/>
      <c r="BB8" s="313" t="n"/>
      <c r="BC8" s="313" t="n"/>
      <c r="BD8" s="313" t="n"/>
      <c r="BE8" s="313" t="n"/>
      <c r="BF8" s="313" t="n"/>
      <c r="BG8" s="313" t="n"/>
      <c r="BH8" s="313" t="n"/>
      <c r="BI8" s="313" t="n"/>
      <c r="BJ8" s="313" t="n"/>
      <c r="BK8" s="313" t="n"/>
      <c r="BL8" s="313" t="n"/>
      <c r="BM8" s="313" t="n"/>
      <c r="BN8" s="313" t="n"/>
      <c r="BO8" s="313" t="n"/>
      <c r="BP8" s="314" t="n"/>
    </row>
    <row r="9" ht="19.5" customHeight="1">
      <c r="A9" s="309" t="n"/>
      <c r="B9" s="394" t="inlineStr">
        <is>
          <t>LCP FARABI BIN ZULKIFLI</t>
        </is>
      </c>
      <c r="C9" s="197" t="inlineStr">
        <is>
          <t>CS2</t>
        </is>
      </c>
      <c r="D9" s="197" t="n"/>
      <c r="E9" s="106" t="n"/>
      <c r="F9" s="197" t="inlineStr">
        <is>
          <t>AE</t>
        </is>
      </c>
      <c r="G9" s="106" t="n"/>
      <c r="H9" s="197" t="inlineStr">
        <is>
          <t>CS1</t>
        </is>
      </c>
      <c r="I9" s="197" t="n"/>
      <c r="J9" s="197" t="inlineStr">
        <is>
          <t>CS1</t>
        </is>
      </c>
      <c r="K9" s="197" t="inlineStr">
        <is>
          <t>AL</t>
        </is>
      </c>
      <c r="L9" s="197" t="inlineStr">
        <is>
          <t>CS1</t>
        </is>
      </c>
      <c r="M9" s="106" t="n"/>
      <c r="N9" s="197" t="inlineStr">
        <is>
          <t>PM AL</t>
        </is>
      </c>
      <c r="O9" s="197" t="inlineStr">
        <is>
          <t>OL</t>
        </is>
      </c>
      <c r="P9" s="197" t="inlineStr">
        <is>
          <t>OL</t>
        </is>
      </c>
      <c r="Q9" s="197" t="inlineStr">
        <is>
          <t>OL</t>
        </is>
      </c>
      <c r="R9" s="197" t="inlineStr">
        <is>
          <t>OL</t>
        </is>
      </c>
      <c r="S9" s="197" t="inlineStr">
        <is>
          <t>AL</t>
        </is>
      </c>
      <c r="T9" s="197" t="n"/>
      <c r="U9" s="106" t="n"/>
      <c r="V9" s="197" t="inlineStr">
        <is>
          <t>AL</t>
        </is>
      </c>
      <c r="W9" s="197" t="n"/>
      <c r="X9" s="197" t="n"/>
      <c r="Y9" s="197" t="n"/>
      <c r="Z9" s="197" t="n"/>
      <c r="AA9" s="396" t="inlineStr">
        <is>
          <t>CS1</t>
        </is>
      </c>
      <c r="AB9" s="198" t="n"/>
      <c r="AD9" s="197" t="inlineStr">
        <is>
          <t>DM</t>
        </is>
      </c>
      <c r="AE9" s="197" t="n"/>
      <c r="AG9" s="197" t="inlineStr">
        <is>
          <t>DM</t>
        </is>
      </c>
      <c r="AH9" s="311" t="n"/>
      <c r="AI9" s="312" t="n"/>
      <c r="AJ9" s="311" t="n"/>
      <c r="AK9" s="313" t="n"/>
      <c r="AL9" s="313" t="n"/>
      <c r="AM9" s="313" t="n"/>
      <c r="AN9" s="313" t="n"/>
      <c r="AO9" s="238" t="n"/>
      <c r="AP9" s="313">
        <f>SUMPRODUCT(--WEEKDAY(C$3:AG$3,2)&lt;6,--((C9:AG9="DM"))+(C9:AG9="CS1")+((C9:AG9="CS2"))+(C9:AG9="SB1")+(C9:AG9="AE")+(C9:AG9="EM"))</f>
        <v/>
      </c>
      <c r="AQ9" s="238" t="n"/>
      <c r="AR9" s="238">
        <f>SUMPRODUCT(--WEEKDAY(C$3:AG$3,2)&gt;5,--((C9:AG9="DM"))+(C9:AG9="CS1")+((C9:AG9="CS2"))+(C9:AG9="SB1")+(C9:AG9="AE")+(C9:AG9="EM"))</f>
        <v/>
      </c>
      <c r="AS9" s="238" t="n"/>
      <c r="AT9" s="238">
        <f>(AP9-AQ9)/2+(AR9-AS9)</f>
        <v/>
      </c>
      <c r="AU9" s="238">
        <f>AH9+AI9+AJ9+AK9+AM9+AN9</f>
        <v/>
      </c>
      <c r="AV9" s="238">
        <f>BF9+BG9+BI9+BD9+BB9+AZ9+BK9</f>
        <v/>
      </c>
      <c r="AW9" s="238">
        <f>AT9+AX9</f>
        <v/>
      </c>
      <c r="AX9" s="313">
        <f>(BI9*('Setting key Duty'!$I$8+'Setting key Duty'!$I$12))+(BG9*'Setting key Duty'!$I$9)+(BB9*('Setting key Duty'!$I$13+'Setting key Duty'!$I$9))+(AZ9*('Setting key Duty'!$I$13+'Setting key Duty'!$I$12+'Setting key Duty'!$I$11))+(BD9*('Setting key Duty'!$I$8+'Setting key Duty'!$I$9+'Setting key Duty'!$I$12))</f>
        <v/>
      </c>
      <c r="AY9" s="313">
        <f>COUNTIF(D9:Z9,"*BRT*")</f>
        <v/>
      </c>
      <c r="AZ9" s="313">
        <f>COUNTIF(A9:AH9,"*$BTP*")</f>
        <v/>
      </c>
      <c r="BA9" s="313">
        <f>AZ9*('Setting key Duty'!$I$13+'Setting key Duty'!$I$12+'Setting key Duty'!$I$11)</f>
        <v/>
      </c>
      <c r="BB9" s="313">
        <f>COUNTIF(A9:AH9,"*$L*")</f>
        <v/>
      </c>
      <c r="BC9" s="313">
        <f>BB9*('Setting key Duty'!$I$13+'Setting key Duty'!$I$9)</f>
        <v/>
      </c>
      <c r="BD9" s="313">
        <f>COUNTIF(A9:AH9,"*$M*")</f>
        <v/>
      </c>
      <c r="BE9" s="313">
        <f>BD9*('Setting key Duty'!$I$8+'Setting key Duty'!$I$9+'Setting key Duty'!$I$12)</f>
        <v/>
      </c>
      <c r="BF9" s="313">
        <f>COUNTIF(AH9,"*$N*")</f>
        <v/>
      </c>
      <c r="BG9" s="313">
        <f>COUNTIF(AH9,"*$PM*")</f>
        <v/>
      </c>
      <c r="BH9" s="313">
        <f>BG9*('Setting key Duty'!$I$9)</f>
        <v/>
      </c>
      <c r="BI9" s="313">
        <f>COUNTIF(A9:AH9,"*$AM*")</f>
        <v/>
      </c>
      <c r="BJ9" s="313">
        <f>BI9*('Setting key Duty'!$I$12+'Setting key Duty'!$I$8)</f>
        <v/>
      </c>
      <c r="BK9" s="313">
        <f>COUNTIF(D9:AH9,"*$FC*")</f>
        <v/>
      </c>
      <c r="BL9" s="313">
        <f>BK9*('Setting key Duty'!$J$11+'Setting key Duty'!$I$8)</f>
        <v/>
      </c>
      <c r="BM9" s="313">
        <f>COUNTIF($D9:$Z9,BM$4)</f>
        <v/>
      </c>
      <c r="BN9" s="313">
        <f>COUNTIF($D9:$Z9,BN$4)</f>
        <v/>
      </c>
      <c r="BO9" s="313">
        <f>COUNTIF($D9:$Z9,BO$4)</f>
        <v/>
      </c>
      <c r="BP9" s="314" t="n"/>
    </row>
    <row r="10" ht="36.75" customHeight="1">
      <c r="A10" s="309" t="n"/>
      <c r="B10" s="375" t="inlineStr">
        <is>
          <t>CFC MOHAMAD HIDAYAT BIN MOHAMAD YUSOFF</t>
        </is>
      </c>
      <c r="C10" s="197" t="n"/>
      <c r="D10" s="197" t="inlineStr">
        <is>
          <t>DM</t>
        </is>
      </c>
      <c r="E10" s="197" t="n"/>
      <c r="F10" s="197" t="inlineStr">
        <is>
          <t>SB1</t>
        </is>
      </c>
      <c r="G10" s="197" t="inlineStr">
        <is>
          <t>GP STORES</t>
        </is>
      </c>
      <c r="H10" s="197" t="inlineStr">
        <is>
          <t>GP REHEARSAL</t>
        </is>
      </c>
      <c r="I10" s="197" t="inlineStr">
        <is>
          <t>GP</t>
        </is>
      </c>
      <c r="J10" s="197" t="inlineStr">
        <is>
          <t>GP B</t>
        </is>
      </c>
      <c r="K10" s="197" t="inlineStr">
        <is>
          <t>AL</t>
        </is>
      </c>
      <c r="L10" s="197" t="n"/>
      <c r="M10" s="197" t="n"/>
      <c r="N10" s="197" t="n"/>
      <c r="O10" s="197" t="n"/>
      <c r="P10" s="197" t="n"/>
      <c r="Q10" s="197" t="n"/>
      <c r="R10" s="197" t="n"/>
      <c r="S10" s="197" t="n"/>
      <c r="T10" s="197" t="n"/>
      <c r="U10" s="197" t="n"/>
      <c r="V10" s="197" t="n"/>
      <c r="W10" s="197" t="n"/>
      <c r="X10" s="197" t="n"/>
      <c r="Y10" s="197" t="n"/>
      <c r="Z10" s="197" t="n"/>
      <c r="AA10" s="396" t="n"/>
      <c r="AB10" s="197" t="n"/>
      <c r="AC10" s="197" t="n"/>
      <c r="AD10" s="197" t="n"/>
      <c r="AE10" s="197" t="n"/>
      <c r="AF10" s="197" t="n"/>
      <c r="AG10" s="197" t="n"/>
      <c r="AH10" s="311">
        <f>COUNTIF($C10:$AE10,AH$4)</f>
        <v/>
      </c>
      <c r="AI10" s="312">
        <f>COUNTIF($C10:$AE10,AI$4)</f>
        <v/>
      </c>
      <c r="AJ10" s="311">
        <f>COUNTIF($C10:$AE10,AJ$4)</f>
        <v/>
      </c>
      <c r="AK10" s="313">
        <f>COUNTIF($C10:$AE10,AK$4)</f>
        <v/>
      </c>
      <c r="AL10" s="313">
        <f>COUNTIF($C10:$AE10,AL$4)</f>
        <v/>
      </c>
      <c r="AM10" s="313">
        <f>COUNTIF($C10:$AE10,AM$4)</f>
        <v/>
      </c>
      <c r="AN10" s="313">
        <f>COUNTIF($C10:$AE10,AN$4)</f>
        <v/>
      </c>
      <c r="AO10" s="238" t="n"/>
      <c r="AP10" s="313">
        <f>SUMPRODUCT(--WEEKDAY(C$3:AG$3,2)&lt;6,--((C10:AG10="DM"))+(C10:AG10="CS1")+((C10:AG10="CS2"))+(C10:AG10="SB1")+(C10:AG10="AE")+(C10:AG10="EM"))</f>
        <v/>
      </c>
      <c r="AQ10" s="238" t="n"/>
      <c r="AR10" s="238">
        <f>SUMPRODUCT(--WEEKDAY(C$3:AG$3,2)&gt;5,--((C10:AG10="DM"))+(C10:AG10="CS1")+((C10:AG10="CS2"))+(C10:AG10="SB1")+(C10:AG10="AE")+(C10:AG10="EM"))</f>
        <v/>
      </c>
      <c r="AS10" s="238" t="n"/>
      <c r="AT10" s="238">
        <f>(AP10-AQ10)/2+(AR10-AS10)</f>
        <v/>
      </c>
      <c r="AU10" s="238">
        <f>AH10+AI10+AJ10+AK10+AM10+AN10</f>
        <v/>
      </c>
      <c r="AV10" s="238">
        <f>BF10+BG10+BI10+BD10+BB10+AZ10+BK10</f>
        <v/>
      </c>
      <c r="AW10" s="238">
        <f>AT10+AX10</f>
        <v/>
      </c>
      <c r="AX10" s="313">
        <f>(BI10*('Setting key Duty'!$I$8+'Setting key Duty'!$I$12))+(BG10*'Setting key Duty'!$I$9)+(BB10*('Setting key Duty'!$I$13+'Setting key Duty'!$I$9))+(AZ10*('Setting key Duty'!$I$13+'Setting key Duty'!$I$12+'Setting key Duty'!$I$11))+(BD10*('Setting key Duty'!$I$8+'Setting key Duty'!$I$9+'Setting key Duty'!$I$12))</f>
        <v/>
      </c>
      <c r="AY10" s="313">
        <f>COUNTIF(C10:AE10,"*BRT*")</f>
        <v/>
      </c>
      <c r="AZ10" s="313">
        <f>COUNTIF(A10:AH10,"*$BTP*")</f>
        <v/>
      </c>
      <c r="BA10" s="313">
        <f>AZ10*('Setting key Duty'!$I$13+'Setting key Duty'!$I$12+'Setting key Duty'!$I$11)</f>
        <v/>
      </c>
      <c r="BB10" s="313">
        <f>COUNTIF(A10:AH10,"*$L*")</f>
        <v/>
      </c>
      <c r="BC10" s="313">
        <f>BB10*('Setting key Duty'!$I$13+'Setting key Duty'!$I$9)</f>
        <v/>
      </c>
      <c r="BD10" s="313">
        <f>COUNTIF(A10:AH10,"*$M*")</f>
        <v/>
      </c>
      <c r="BE10" s="313">
        <f>BD10*('Setting key Duty'!$I$8+'Setting key Duty'!$I$9+'Setting key Duty'!$I$12)</f>
        <v/>
      </c>
      <c r="BF10" s="313">
        <f>COUNTIF(A10:AH10,"*$N*")</f>
        <v/>
      </c>
      <c r="BG10" s="313">
        <f>COUNTIF(AF10:AH10,"*$PM*")</f>
        <v/>
      </c>
      <c r="BH10" s="313">
        <f>BG10*('Setting key Duty'!$I$9)</f>
        <v/>
      </c>
      <c r="BI10" s="313">
        <f>COUNTIF(A10:AH10,"*$AM*")</f>
        <v/>
      </c>
      <c r="BJ10" s="313">
        <f>BI10*('Setting key Duty'!$I$12+'Setting key Duty'!$I$8)</f>
        <v/>
      </c>
      <c r="BK10" s="313">
        <f>COUNTIF(C10:AH10,"*$FC*")</f>
        <v/>
      </c>
      <c r="BL10" s="313">
        <f>BK10*('Setting key Duty'!$J$11+'Setting key Duty'!$I$8)</f>
        <v/>
      </c>
      <c r="BM10" s="313">
        <f>COUNTIF($C10:$AE10,BM$4)</f>
        <v/>
      </c>
      <c r="BN10" s="313">
        <f>COUNTIF($C10:$AE10,BN$4)</f>
        <v/>
      </c>
      <c r="BO10" s="313">
        <f>COUNTIF($C10:$AE10,BO$4)</f>
        <v/>
      </c>
      <c r="BP10" s="314" t="n"/>
    </row>
    <row r="11" ht="19.5" customHeight="1">
      <c r="A11" s="309" t="n"/>
      <c r="B11" s="334" t="inlineStr">
        <is>
          <t>LCP MUHAMMAD KHIDIR BIN ZAKARIA</t>
        </is>
      </c>
      <c r="C11" s="197" t="n"/>
      <c r="D11" s="197" t="inlineStr">
        <is>
          <t>CAREER FAIR</t>
        </is>
      </c>
      <c r="E11" s="324" t="inlineStr">
        <is>
          <t>CS2</t>
        </is>
      </c>
      <c r="F11" s="106" t="n"/>
      <c r="G11" s="197" t="inlineStr">
        <is>
          <t>CS1</t>
        </is>
      </c>
      <c r="H11" s="197" t="inlineStr">
        <is>
          <t>DENTAL</t>
        </is>
      </c>
      <c r="K11" s="197" t="inlineStr">
        <is>
          <t>CS2</t>
        </is>
      </c>
      <c r="L11" s="197" t="n"/>
      <c r="M11" s="197" t="inlineStr">
        <is>
          <t>CS2</t>
        </is>
      </c>
      <c r="N11" s="197" t="n"/>
      <c r="O11" s="317" t="inlineStr">
        <is>
          <t>OL</t>
        </is>
      </c>
      <c r="P11" s="317" t="inlineStr">
        <is>
          <t>OL</t>
        </is>
      </c>
      <c r="Q11" s="317" t="inlineStr">
        <is>
          <t>OL</t>
        </is>
      </c>
      <c r="R11" s="317" t="inlineStr">
        <is>
          <t>AL</t>
        </is>
      </c>
      <c r="S11" s="197" t="n"/>
      <c r="V11" s="106" t="n"/>
      <c r="W11" s="197" t="n"/>
      <c r="X11" s="197" t="inlineStr">
        <is>
          <t>CS2</t>
        </is>
      </c>
      <c r="Y11" s="197" t="n"/>
      <c r="Z11" s="197" t="inlineStr">
        <is>
          <t>CS2</t>
        </is>
      </c>
      <c r="AA11" s="396" t="n"/>
      <c r="AB11" s="197" t="n"/>
      <c r="AC11" s="197" t="n"/>
      <c r="AD11" s="197" t="n"/>
      <c r="AE11" s="197" t="inlineStr">
        <is>
          <t>CS2</t>
        </is>
      </c>
      <c r="AF11" s="198" t="n"/>
      <c r="AG11" s="197" t="inlineStr">
        <is>
          <t>CS1</t>
        </is>
      </c>
      <c r="AH11" s="311" t="n"/>
      <c r="AI11" s="312" t="n"/>
      <c r="AJ11" s="311" t="n"/>
      <c r="AK11" s="313" t="n"/>
      <c r="AL11" s="313" t="n"/>
      <c r="AM11" s="313" t="n"/>
      <c r="AN11" s="313" t="n"/>
      <c r="AO11" s="238" t="n"/>
      <c r="AP11" s="313">
        <f>SUMPRODUCT(--WEEKDAY(C$3:AG$3,2)&lt;6,--((C11:AG11="DM"))+(C11:AG11="CS1")+((C11:AG11="CS2"))+(C11:AG11="SB1")+(C11:AG11="AE")+(C11:AG11="EM"))</f>
        <v/>
      </c>
      <c r="AQ11" s="238" t="n"/>
      <c r="AR11" s="238">
        <f>SUMPRODUCT(--WEEKDAY(C$3:AG$3,2)&gt;5,--((C11:AG11="DM"))+(C11:AG11="CS1")+((C11:AG11="CS2"))+(C11:AG11="SB1")+(C11:AG11="AE")+(C11:AG11="EM"))</f>
        <v/>
      </c>
      <c r="AS11" s="238" t="n"/>
      <c r="AT11" s="238">
        <f>(AP11-AQ11)/2+(AR11-AS11)</f>
        <v/>
      </c>
      <c r="AU11" s="238">
        <f>AH11+AI11+AJ11+AK11+AM11+AN11</f>
        <v/>
      </c>
      <c r="AV11" s="238">
        <f>BF11+BG11+BI11+BD11+BB11+AZ11+BK11</f>
        <v/>
      </c>
      <c r="AW11" s="238">
        <f>AT11+AX11</f>
        <v/>
      </c>
      <c r="AX11" s="313">
        <f>(BI11*('Setting key Duty'!$I$8+'Setting key Duty'!$I$12))+(BG11*'Setting key Duty'!$I$9)+(BB11*('Setting key Duty'!$I$13+'Setting key Duty'!$I$9))+(AZ11*('Setting key Duty'!$I$13+'Setting key Duty'!$I$12+'Setting key Duty'!$I$11))+(BD11*('Setting key Duty'!$I$8+'Setting key Duty'!$I$9+'Setting key Duty'!$I$12))</f>
        <v/>
      </c>
      <c r="AY11" s="313">
        <f>COUNTIF(#REF!,"*BRT*")</f>
        <v/>
      </c>
      <c r="AZ11" s="313">
        <f>COUNTIF(A11:AH11,"*$BTP*")</f>
        <v/>
      </c>
      <c r="BA11" s="313">
        <f>AZ11*('Setting key Duty'!$I$13+'Setting key Duty'!$I$12+'Setting key Duty'!$I$11)</f>
        <v/>
      </c>
      <c r="BB11" s="313">
        <f>COUNTIF(A11:AH11,"*$L*")</f>
        <v/>
      </c>
      <c r="BC11" s="313">
        <f>BB11*('Setting key Duty'!$I$13+'Setting key Duty'!$I$9)</f>
        <v/>
      </c>
      <c r="BD11" s="313">
        <f>COUNTIF(A11:AH11,"*$M*")</f>
        <v/>
      </c>
      <c r="BE11" s="313">
        <f>BD11*('Setting key Duty'!$I$8+'Setting key Duty'!$I$9+'Setting key Duty'!$I$12)</f>
        <v/>
      </c>
      <c r="BF11" s="313">
        <f>COUNTIF(AH11,"*$N*")</f>
        <v/>
      </c>
      <c r="BG11" s="313">
        <f>COUNTIF(AH11,"*$PM*")</f>
        <v/>
      </c>
      <c r="BH11" s="313">
        <f>BG11*('Setting key Duty'!$I$9)</f>
        <v/>
      </c>
      <c r="BI11" s="313">
        <f>COUNTIF(A11:AH11,"*$AM*")</f>
        <v/>
      </c>
      <c r="BJ11" s="313">
        <f>BI11*('Setting key Duty'!$I$12+'Setting key Duty'!$I$8)</f>
        <v/>
      </c>
      <c r="BK11" s="313">
        <f>COUNTIF(E11:AH11,"*$FC*")</f>
        <v/>
      </c>
      <c r="BL11" s="313">
        <f>BK11*('Setting key Duty'!$J$11+'Setting key Duty'!$I$8)</f>
        <v/>
      </c>
      <c r="BM11" s="313">
        <f>COUNTIF(#REF!,BM$4)</f>
        <v/>
      </c>
      <c r="BN11" s="313">
        <f>COUNTIF(#REF!,BN$4)</f>
        <v/>
      </c>
      <c r="BO11" s="313">
        <f>COUNTIF(#REF!,BO$4)</f>
        <v/>
      </c>
      <c r="BP11" s="314" t="n"/>
    </row>
    <row r="12" ht="19.5" customHeight="1">
      <c r="A12" s="309" t="n"/>
      <c r="B12" s="332" t="inlineStr">
        <is>
          <t>CPL MOHD AMEER KHAN S/O BASHIR ISMAIL</t>
        </is>
      </c>
      <c r="C12" s="198" t="n"/>
      <c r="D12" s="197" t="inlineStr">
        <is>
          <t>CS1</t>
        </is>
      </c>
      <c r="E12" s="197" t="n"/>
      <c r="F12" s="197" t="inlineStr">
        <is>
          <t>SCH2 $AM TEKONG 8 KM (0515-1100</t>
        </is>
      </c>
      <c r="G12" s="197" t="inlineStr">
        <is>
          <t>AE</t>
        </is>
      </c>
      <c r="H12" s="197" t="n"/>
      <c r="J12" s="197" t="inlineStr">
        <is>
          <t>PERFORMANCE</t>
        </is>
      </c>
      <c r="K12" s="106" t="n"/>
      <c r="L12" s="106" t="n"/>
      <c r="M12" s="197" t="inlineStr">
        <is>
          <t>CS1</t>
        </is>
      </c>
      <c r="O12" s="317" t="inlineStr">
        <is>
          <t>OL</t>
        </is>
      </c>
      <c r="P12" s="317" t="inlineStr">
        <is>
          <t>OL</t>
        </is>
      </c>
      <c r="Q12" s="317" t="inlineStr">
        <is>
          <t>OL</t>
        </is>
      </c>
      <c r="R12" s="317" t="inlineStr">
        <is>
          <t>OL</t>
        </is>
      </c>
      <c r="S12" s="197" t="inlineStr">
        <is>
          <t>AE</t>
        </is>
      </c>
      <c r="T12" s="197" t="n"/>
      <c r="U12" s="106" t="n"/>
      <c r="V12" s="197" t="inlineStr">
        <is>
          <t>MA</t>
        </is>
      </c>
      <c r="X12" s="197" t="inlineStr">
        <is>
          <t>CS1</t>
        </is>
      </c>
      <c r="Y12" s="197" t="n"/>
      <c r="AA12" s="396" t="n"/>
      <c r="AB12" s="197" t="n"/>
      <c r="AC12" s="197" t="inlineStr">
        <is>
          <t>DM</t>
        </is>
      </c>
      <c r="AD12" s="197" t="n"/>
      <c r="AE12" s="197" t="n"/>
      <c r="AF12" s="198" t="inlineStr">
        <is>
          <t>AL</t>
        </is>
      </c>
      <c r="AG12" s="198" t="inlineStr">
        <is>
          <t>AL</t>
        </is>
      </c>
      <c r="AH12" s="311" t="n"/>
      <c r="AI12" s="312" t="n"/>
      <c r="AJ12" s="311" t="n"/>
      <c r="AK12" s="313" t="n"/>
      <c r="AL12" s="313" t="n"/>
      <c r="AM12" s="313" t="n"/>
      <c r="AN12" s="313" t="n"/>
      <c r="AO12" s="238" t="n"/>
      <c r="AP12" s="313">
        <f>SUMPRODUCT(--WEEKDAY(C$3:AG$3,2)&lt;6,--((C12:AG12="DM"))+(C12:AG12="CS1")+((C12:AG12="CS2"))+(C12:AG12="SB1")+(C12:AG12="AE")+(C12:AG12="EM"))</f>
        <v/>
      </c>
      <c r="AQ12" s="238" t="n"/>
      <c r="AR12" s="238">
        <f>SUMPRODUCT(--WEEKDAY(C$3:AG$3,2)&gt;5,--((C12:AG12="DM"))+(C12:AG12="CS1")+((C12:AG12="CS2"))+(C12:AG12="SB1")+(C12:AG12="AE")+(C12:AG12="EM"))</f>
        <v/>
      </c>
      <c r="AS12" s="238" t="n"/>
      <c r="AT12" s="238">
        <f>(AP12-AQ12)/2+(AR12-AS12)</f>
        <v/>
      </c>
      <c r="AU12" s="238">
        <f>AH12+AI12+AJ12+AK12+AM12+AN12</f>
        <v/>
      </c>
      <c r="AV12" s="238">
        <f>BF12+BG12+BI12+BD12+BB12+AZ12+BK12</f>
        <v/>
      </c>
      <c r="AW12" s="238">
        <f>AT12+AX12</f>
        <v/>
      </c>
      <c r="AX12" s="313">
        <f>(BI12*('Setting key Duty'!$I$8+'Setting key Duty'!$I$12))+(BG12*'Setting key Duty'!$I$9)+(BB12*('Setting key Duty'!$I$13+'Setting key Duty'!$I$9))+(AZ12*('Setting key Duty'!$I$13+'Setting key Duty'!$I$12+'Setting key Duty'!$I$11))+(BD12*('Setting key Duty'!$I$8+'Setting key Duty'!$I$9+'Setting key Duty'!$I$12))</f>
        <v/>
      </c>
      <c r="AY12" s="313">
        <f>COUNTIF(D12:AC12,"*BRT*")</f>
        <v/>
      </c>
      <c r="AZ12" s="313">
        <f>COUNTIF(A12:AH12,"*$BTP*")</f>
        <v/>
      </c>
      <c r="BA12" s="313">
        <f>AZ12*('Setting key Duty'!$I$13+'Setting key Duty'!$I$12+'Setting key Duty'!$I$11)</f>
        <v/>
      </c>
      <c r="BB12" s="313">
        <f>COUNTIF(A12:AH12,"*$L*")</f>
        <v/>
      </c>
      <c r="BC12" s="313">
        <f>BB12*('Setting key Duty'!$I$13+'Setting key Duty'!$I$9)</f>
        <v/>
      </c>
      <c r="BD12" s="313">
        <f>COUNTIF(A12:AH12,"*$M*")</f>
        <v/>
      </c>
      <c r="BE12" s="313">
        <f>BD12*('Setting key Duty'!$I$8+'Setting key Duty'!$I$9+'Setting key Duty'!$I$12)</f>
        <v/>
      </c>
      <c r="BF12" s="313">
        <f>COUNTIF(AF12:AH12,"*$N*")</f>
        <v/>
      </c>
      <c r="BG12" s="313">
        <f>COUNTIF(AF12:AH12,"*$PM*")</f>
        <v/>
      </c>
      <c r="BH12" s="313">
        <f>BG12*('Setting key Duty'!$I$9)</f>
        <v/>
      </c>
      <c r="BI12" s="313">
        <f>COUNTIF(A12:AH12,"*$AM*")</f>
        <v/>
      </c>
      <c r="BJ12" s="313">
        <f>BI12*('Setting key Duty'!$I$12+'Setting key Duty'!$I$8)</f>
        <v/>
      </c>
      <c r="BK12" s="313">
        <f>COUNTIF(D12:AH12,"*$FC*")</f>
        <v/>
      </c>
      <c r="BL12" s="313">
        <f>BK12*('Setting key Duty'!$J$11+'Setting key Duty'!$I$8)</f>
        <v/>
      </c>
      <c r="BM12" s="313">
        <f>COUNTIF($D12:$AE12,BM$4)</f>
        <v/>
      </c>
      <c r="BN12" s="313">
        <f>COUNTIF($D12:$AE12,BN$4)</f>
        <v/>
      </c>
      <c r="BO12" s="313">
        <f>COUNTIF($D12:$AE12,BO$4)</f>
        <v/>
      </c>
      <c r="BP12" s="314" t="n"/>
    </row>
    <row r="13" ht="19.5" customHeight="1">
      <c r="A13" s="309" t="n"/>
      <c r="B13" s="373" t="inlineStr">
        <is>
          <t>LCP ALPHA KELVIN ISAAC BIN MUHAMMAD MCKEVIN LAWRENCE</t>
        </is>
      </c>
      <c r="C13" s="197" t="n"/>
      <c r="D13" s="197" t="inlineStr">
        <is>
          <t>MC</t>
        </is>
      </c>
      <c r="E13" s="197" t="inlineStr">
        <is>
          <t>MC</t>
        </is>
      </c>
      <c r="F13" s="197" t="inlineStr">
        <is>
          <t>MC</t>
        </is>
      </c>
      <c r="G13" s="197" t="inlineStr">
        <is>
          <t>MC</t>
        </is>
      </c>
      <c r="H13" s="197" t="inlineStr">
        <is>
          <t>HL</t>
        </is>
      </c>
      <c r="I13" s="197" t="inlineStr">
        <is>
          <t>HL</t>
        </is>
      </c>
      <c r="J13" s="197" t="inlineStr">
        <is>
          <t>HL</t>
        </is>
      </c>
      <c r="K13" s="197" t="inlineStr">
        <is>
          <t>HL</t>
        </is>
      </c>
      <c r="L13" s="197" t="inlineStr">
        <is>
          <t>HL</t>
        </is>
      </c>
      <c r="M13" s="197" t="inlineStr">
        <is>
          <t>HL</t>
        </is>
      </c>
      <c r="N13" s="197" t="inlineStr">
        <is>
          <t>AL</t>
        </is>
      </c>
      <c r="O13" s="197" t="inlineStr">
        <is>
          <t>AL</t>
        </is>
      </c>
      <c r="P13" s="197" t="inlineStr">
        <is>
          <t>AL</t>
        </is>
      </c>
      <c r="Q13" s="197" t="inlineStr">
        <is>
          <t>AL</t>
        </is>
      </c>
      <c r="R13" s="197" t="inlineStr">
        <is>
          <t>AL</t>
        </is>
      </c>
      <c r="S13" s="197" t="inlineStr">
        <is>
          <t>AL</t>
        </is>
      </c>
      <c r="T13" s="197" t="inlineStr">
        <is>
          <t>AL</t>
        </is>
      </c>
      <c r="U13" s="197" t="inlineStr">
        <is>
          <t>AE</t>
        </is>
      </c>
      <c r="V13" s="197" t="inlineStr">
        <is>
          <t>AL</t>
        </is>
      </c>
      <c r="X13" s="197" t="inlineStr">
        <is>
          <t>AE</t>
        </is>
      </c>
      <c r="Y13" s="197" t="n"/>
      <c r="Z13" s="197" t="inlineStr">
        <is>
          <t>CS1</t>
        </is>
      </c>
      <c r="AA13" s="396" t="n"/>
      <c r="AB13" s="198" t="n"/>
      <c r="AC13" s="197" t="n"/>
      <c r="AD13" s="197" t="n"/>
      <c r="AE13" s="197" t="inlineStr">
        <is>
          <t>AE</t>
        </is>
      </c>
      <c r="AF13" s="198" t="inlineStr">
        <is>
          <t>AL</t>
        </is>
      </c>
      <c r="AG13" s="197" t="n"/>
      <c r="AH13" s="311" t="n"/>
      <c r="AI13" s="312" t="n"/>
      <c r="AJ13" s="311" t="n"/>
      <c r="AK13" s="313" t="n"/>
      <c r="AL13" s="313" t="n"/>
      <c r="AM13" s="313" t="n"/>
      <c r="AN13" s="313" t="n"/>
      <c r="AO13" s="238" t="n"/>
      <c r="AP13" s="313">
        <f>SUMPRODUCT(--WEEKDAY(C$3:AG$3,2)&lt;6,--((C13:AG13="DM"))+(C13:AG13="CS1")+((C13:AG13="CS2"))+(C13:AG13="SB1")+(C13:AG13="AE")+(C13:AG13="EM"))</f>
        <v/>
      </c>
      <c r="AQ13" s="238" t="n"/>
      <c r="AR13" s="238">
        <f>SUMPRODUCT(--WEEKDAY(C$3:AG$3,2)&gt;5,--((C13:AG13="DM"))+(C13:AG13="CS1")+((C13:AG13="CS2"))+(C13:AG13="SB1")+(C13:AG13="AE")+(C13:AG13="EM"))</f>
        <v/>
      </c>
      <c r="AS13" s="238" t="n"/>
      <c r="AT13" s="238">
        <f>(AP13-AQ13)/2+(AR13-AS13)</f>
        <v/>
      </c>
      <c r="AU13" s="238">
        <f>AH13+AI13+AJ13+AK13+AM13+AN13</f>
        <v/>
      </c>
      <c r="AV13" s="238">
        <f>BF13+BG13+BI13+BD13+BB13+AZ13+BK13</f>
        <v/>
      </c>
      <c r="AW13" s="238">
        <f>AT13+AX13</f>
        <v/>
      </c>
      <c r="AX13" s="313">
        <f>(BI13*('Setting key Duty'!$I$8+'Setting key Duty'!$I$12))+(BG13*'Setting key Duty'!$I$9)+(BB13*('Setting key Duty'!$I$13+'Setting key Duty'!$I$9))+(AZ13*('Setting key Duty'!$I$13+'Setting key Duty'!$I$12+'Setting key Duty'!$I$11))+(BD13*('Setting key Duty'!$I$8+'Setting key Duty'!$I$9+'Setting key Duty'!$I$12))</f>
        <v/>
      </c>
      <c r="AY13" s="313">
        <f>COUNTIF(D13:X13,"*BRT*")</f>
        <v/>
      </c>
      <c r="AZ13" s="313">
        <f>COUNTIF(A13:AH13,"*$BTP*")</f>
        <v/>
      </c>
      <c r="BA13" s="313">
        <f>AZ13*('Setting key Duty'!$I$13+'Setting key Duty'!$I$12+'Setting key Duty'!$I$11)</f>
        <v/>
      </c>
      <c r="BB13" s="313">
        <f>COUNTIF(A13:AH13,"*$L*")</f>
        <v/>
      </c>
      <c r="BC13" s="313">
        <f>BB13*('Setting key Duty'!$I$13+'Setting key Duty'!$I$9)</f>
        <v/>
      </c>
      <c r="BD13" s="313">
        <f>COUNTIF(A13:AH13,"*$M*")</f>
        <v/>
      </c>
      <c r="BE13" s="313">
        <f>BD13*('Setting key Duty'!$I$8+'Setting key Duty'!$I$9+'Setting key Duty'!$I$12)</f>
        <v/>
      </c>
      <c r="BF13" s="313">
        <f>COUNTIF(AH13,"*$N*")</f>
        <v/>
      </c>
      <c r="BG13" s="313">
        <f>COUNTIF(AH13,"*$PM*")</f>
        <v/>
      </c>
      <c r="BH13" s="313">
        <f>BG13*('Setting key Duty'!$I$9)</f>
        <v/>
      </c>
      <c r="BI13" s="313">
        <f>COUNTIF(A13:AH13,"*$AM*")</f>
        <v/>
      </c>
      <c r="BJ13" s="313">
        <f>BI13*('Setting key Duty'!$I$12+'Setting key Duty'!$I$8)</f>
        <v/>
      </c>
      <c r="BK13" s="313">
        <f>COUNTIF(D13:AH13,"*$FC*")</f>
        <v/>
      </c>
      <c r="BL13" s="313">
        <f>BK13*('Setting key Duty'!$J$11+'Setting key Duty'!$I$8)</f>
        <v/>
      </c>
      <c r="BM13" s="313">
        <f>COUNTIF($D13:$X13,BM$4)</f>
        <v/>
      </c>
      <c r="BN13" s="313">
        <f>COUNTIF($D13:$X13,BN$4)</f>
        <v/>
      </c>
      <c r="BO13" s="313">
        <f>COUNTIF($D13:$X13,BO$4)</f>
        <v/>
      </c>
      <c r="BP13" s="314" t="n"/>
    </row>
    <row r="14" ht="24" customHeight="1">
      <c r="A14" s="309" t="n"/>
      <c r="B14" s="335" t="inlineStr">
        <is>
          <t>LCP RAZIN HILMANSYAH BIN ROSLI</t>
        </is>
      </c>
      <c r="C14" s="197" t="n"/>
      <c r="E14" s="197" t="inlineStr">
        <is>
          <t>CS1</t>
        </is>
      </c>
      <c r="G14" s="197" t="inlineStr">
        <is>
          <t>GP STORES</t>
        </is>
      </c>
      <c r="H14" s="197" t="inlineStr">
        <is>
          <t>GP REHEARSAL</t>
        </is>
      </c>
      <c r="I14" s="197" t="inlineStr">
        <is>
          <t>GP</t>
        </is>
      </c>
      <c r="J14" s="197" t="inlineStr">
        <is>
          <t>GP B</t>
        </is>
      </c>
      <c r="K14" s="197" t="n"/>
      <c r="L14" s="197" t="n"/>
      <c r="M14" s="197" t="inlineStr">
        <is>
          <t>DM</t>
        </is>
      </c>
      <c r="O14" s="197" t="n"/>
      <c r="P14" s="197" t="inlineStr">
        <is>
          <t>CS1</t>
        </is>
      </c>
      <c r="R14" s="197" t="inlineStr">
        <is>
          <t>DM</t>
        </is>
      </c>
      <c r="T14" s="197" t="n"/>
      <c r="V14" s="197" t="inlineStr">
        <is>
          <t>CS2</t>
        </is>
      </c>
      <c r="W14" s="197" t="n"/>
      <c r="X14" s="197" t="n"/>
      <c r="Y14" s="197" t="inlineStr">
        <is>
          <t>CS2</t>
        </is>
      </c>
      <c r="Z14" s="197" t="n"/>
      <c r="AA14" s="396" t="n"/>
      <c r="AB14" s="197" t="n"/>
      <c r="AC14" s="197" t="n"/>
      <c r="AD14" s="198" t="n"/>
      <c r="AE14" s="197" t="n"/>
      <c r="AG14" s="197" t="n"/>
      <c r="AH14" s="311">
        <f>COUNTIF($C14:$AA14,AH$4)</f>
        <v/>
      </c>
      <c r="AI14" s="312">
        <f>COUNTIF($C14:$AA14,AI$4)</f>
        <v/>
      </c>
      <c r="AJ14" s="311">
        <f>COUNTIF($C14:$AA14,AJ$4)</f>
        <v/>
      </c>
      <c r="AK14" s="313">
        <f>COUNTIF($C14:$AA14,AK$4)</f>
        <v/>
      </c>
      <c r="AL14" s="313">
        <f>COUNTIF($C14:$AA14,AL$4)</f>
        <v/>
      </c>
      <c r="AM14" s="313">
        <f>COUNTIF($C14:$AA14,AM$4)</f>
        <v/>
      </c>
      <c r="AN14" s="313">
        <f>COUNTIF($C14:$AA14,AN$4)</f>
        <v/>
      </c>
      <c r="AO14" s="238" t="n"/>
      <c r="AP14" s="313">
        <f>SUMPRODUCT(--WEEKDAY(C$3:AG$3,2)&lt;6,--((C14:AG14="DM"))+(C14:AG14="CS1")+((C14:AG14="CS2"))+(C14:AG14="SB1")+(C14:AG14="AE")+(C14:AG14="EM"))</f>
        <v/>
      </c>
      <c r="AQ14" s="238" t="n"/>
      <c r="AR14" s="238">
        <f>SUMPRODUCT(--WEEKDAY(C$3:AG$3,2)&gt;5,--((C14:AG14="DM"))+(C14:AG14="CS1")+((C14:AG14="CS2"))+(C14:AG14="SB1")+(C14:AG14="AE")+(C14:AG14="EM"))</f>
        <v/>
      </c>
      <c r="AS14" s="238" t="n"/>
      <c r="AT14" s="238">
        <f>(AP14-AQ14)/2+(AR14-AS14)</f>
        <v/>
      </c>
      <c r="AU14" s="238">
        <f>AH14+AI14+AJ14+AK14+AM14+AN14</f>
        <v/>
      </c>
      <c r="AV14" s="238">
        <f>BF14+BG14+BI14+BD14+BB14+AZ14+BK14</f>
        <v/>
      </c>
      <c r="AW14" s="238">
        <f>AT14+AX14</f>
        <v/>
      </c>
      <c r="AX14" s="313">
        <f>(BI14*('Setting key Duty'!$I$8+'Setting key Duty'!$I$12))+(BG14*'Setting key Duty'!$I$9)+(BB14*('Setting key Duty'!$I$13+'Setting key Duty'!$I$9))+(AZ14*('Setting key Duty'!$I$13+'Setting key Duty'!$I$12+'Setting key Duty'!$I$11))+(BD14*('Setting key Duty'!$I$8+'Setting key Duty'!$I$9+'Setting key Duty'!$I$12))</f>
        <v/>
      </c>
      <c r="AY14" s="313">
        <f>COUNTIF(C14:AA14,"*BRT*")</f>
        <v/>
      </c>
      <c r="AZ14" s="313">
        <f>COUNTIF(A14:AH14,"*$BTP*")</f>
        <v/>
      </c>
      <c r="BA14" s="313">
        <f>AZ14*('Setting key Duty'!$I$13+'Setting key Duty'!$I$12+'Setting key Duty'!$I$11)</f>
        <v/>
      </c>
      <c r="BB14" s="313">
        <f>COUNTIF(A14:AH14,"*$L*")</f>
        <v/>
      </c>
      <c r="BC14" s="313">
        <f>BB14*('Setting key Duty'!$I$13+'Setting key Duty'!$I$9)</f>
        <v/>
      </c>
      <c r="BD14" s="313">
        <f>COUNTIF(A14:AH14,"*$M*")</f>
        <v/>
      </c>
      <c r="BE14" s="313">
        <f>BD14*('Setting key Duty'!$I$8+'Setting key Duty'!$I$9+'Setting key Duty'!$I$12)</f>
        <v/>
      </c>
      <c r="BF14" s="313">
        <f>COUNTIF(A14:AH14,"*$N*")</f>
        <v/>
      </c>
      <c r="BG14" s="313">
        <f>COUNTIF(AH14,"*$PM*")</f>
        <v/>
      </c>
      <c r="BH14" s="313">
        <f>BG14*('Setting key Duty'!$I$9)</f>
        <v/>
      </c>
      <c r="BI14" s="313">
        <f>COUNTIF(A14:AH14,"*$AM*")</f>
        <v/>
      </c>
      <c r="BJ14" s="313">
        <f>BI14*('Setting key Duty'!$I$12+'Setting key Duty'!$I$8)</f>
        <v/>
      </c>
      <c r="BK14" s="313">
        <f>COUNTIF(C14:AH14,"*$FC*")</f>
        <v/>
      </c>
      <c r="BL14" s="313">
        <f>BK14*('Setting key Duty'!$J$11+'Setting key Duty'!$I$8)</f>
        <v/>
      </c>
      <c r="BM14" s="313">
        <f>COUNTIF($C14:$AA14,BM$4)</f>
        <v/>
      </c>
      <c r="BN14" s="313">
        <f>COUNTIF($C14:$AA14,BN$4)</f>
        <v/>
      </c>
      <c r="BO14" s="313">
        <f>COUNTIF($C14:$AA14,BO$4)</f>
        <v/>
      </c>
      <c r="BP14" s="314" t="n"/>
    </row>
    <row r="15" ht="37.5" customHeight="1">
      <c r="A15" s="309" t="n"/>
      <c r="B15" s="373" t="inlineStr">
        <is>
          <t>LCP RICKY NG RUIQI</t>
        </is>
      </c>
      <c r="C15" s="197" t="inlineStr">
        <is>
          <t>SB1</t>
        </is>
      </c>
      <c r="D15" s="197" t="inlineStr">
        <is>
          <t>TX B</t>
        </is>
      </c>
      <c r="E15" s="197" t="inlineStr">
        <is>
          <t>AE</t>
        </is>
      </c>
      <c r="F15" s="197" t="inlineStr">
        <is>
          <t>TX B</t>
        </is>
      </c>
      <c r="G15" s="197" t="inlineStr">
        <is>
          <t>GP STORES</t>
        </is>
      </c>
      <c r="H15" s="197" t="inlineStr">
        <is>
          <t>GP REHEARSAL</t>
        </is>
      </c>
      <c r="I15" s="197" t="inlineStr">
        <is>
          <t>GP</t>
        </is>
      </c>
      <c r="J15" s="197" t="inlineStr">
        <is>
          <t>CS2</t>
        </is>
      </c>
      <c r="K15" s="197" t="n"/>
      <c r="L15" s="197" t="inlineStr">
        <is>
          <t>N $FC</t>
        </is>
      </c>
      <c r="M15" s="197" t="inlineStr">
        <is>
          <t>N $FC</t>
        </is>
      </c>
      <c r="N15" s="197" t="inlineStr">
        <is>
          <t>N $FC</t>
        </is>
      </c>
      <c r="O15" s="197" t="n"/>
      <c r="P15" s="197" t="n"/>
      <c r="R15" s="197" t="inlineStr">
        <is>
          <t>CS2</t>
        </is>
      </c>
      <c r="T15" s="197" t="n"/>
      <c r="U15" s="197" t="n"/>
      <c r="V15" s="197" t="inlineStr">
        <is>
          <t>OL</t>
        </is>
      </c>
      <c r="W15" s="197" t="inlineStr">
        <is>
          <t>OL</t>
        </is>
      </c>
      <c r="X15" s="197" t="inlineStr">
        <is>
          <t>OL</t>
        </is>
      </c>
      <c r="Y15" s="197" t="inlineStr">
        <is>
          <t>OL</t>
        </is>
      </c>
      <c r="Z15" s="197" t="inlineStr">
        <is>
          <t>OL</t>
        </is>
      </c>
      <c r="AA15" s="396" t="inlineStr">
        <is>
          <t>OL</t>
        </is>
      </c>
      <c r="AB15" s="198" t="n"/>
      <c r="AC15" s="197" t="n"/>
      <c r="AD15" s="197" t="n"/>
      <c r="AE15" s="197" t="inlineStr">
        <is>
          <t>OL</t>
        </is>
      </c>
      <c r="AF15" s="197" t="inlineStr">
        <is>
          <t>OL</t>
        </is>
      </c>
      <c r="AG15" s="197" t="inlineStr">
        <is>
          <t>OL</t>
        </is>
      </c>
      <c r="AH15" s="311">
        <f>COUNTIF($D15:$AC15,AH$4)</f>
        <v/>
      </c>
      <c r="AI15" s="312">
        <f>COUNTIF($D15:$AC15,AI$4)</f>
        <v/>
      </c>
      <c r="AJ15" s="311">
        <f>COUNTIF($D15:$AC15,AJ$4)</f>
        <v/>
      </c>
      <c r="AK15" s="313">
        <f>COUNTIF($D15:$AC15,AK$4)</f>
        <v/>
      </c>
      <c r="AL15" s="313">
        <f>COUNTIF($D15:$AC15,AL$4)</f>
        <v/>
      </c>
      <c r="AM15" s="313">
        <f>COUNTIF($D15:$AC15,AM$4)</f>
        <v/>
      </c>
      <c r="AN15" s="313">
        <f>COUNTIF($D15:$AC15,AN$4)</f>
        <v/>
      </c>
      <c r="AO15" s="238" t="n"/>
      <c r="AP15" s="313">
        <f>SUMPRODUCT(--WEEKDAY(C$3:AG$3,2)&lt;6,--((C15:AG15="DM"))+(C15:AG15="CS1")+((C15:AG15="CS2"))+(C15:AG15="SB1")+(C15:AG15="AE")+(C15:AG15="EM"))</f>
        <v/>
      </c>
      <c r="AQ15" s="238" t="n"/>
      <c r="AR15" s="238">
        <f>SUMPRODUCT(--WEEKDAY(C$3:AG$3,2)&gt;5,--((C15:AG15="DM"))+(C15:AG15="CS1")+((C15:AG15="CS2"))+(C15:AG15="SB1")+(C15:AG15="AE")+(C15:AG15="EM"))</f>
        <v/>
      </c>
      <c r="AS15" s="238" t="n"/>
      <c r="AT15" s="238">
        <f>(AP15-AQ15)/2+(AR15-AS15)</f>
        <v/>
      </c>
      <c r="AU15" s="238">
        <f>AH15+AI15+AJ15+AK15+AM15+AN15</f>
        <v/>
      </c>
      <c r="AV15" s="238">
        <f>BF15+BG15+BI15+BD15+BB15+AZ15+BK15</f>
        <v/>
      </c>
      <c r="AW15" s="238">
        <f>AT15+AX15</f>
        <v/>
      </c>
      <c r="AX15" s="313">
        <f>(BI15*('Setting key Duty'!$I$8+'Setting key Duty'!$I$12))+(BG15*'Setting key Duty'!$I$9)+(BB15*('Setting key Duty'!$I$13+'Setting key Duty'!$I$9))+(AZ15*('Setting key Duty'!$I$13+'Setting key Duty'!$I$12+'Setting key Duty'!$I$11))+(BD15*('Setting key Duty'!$I$8+'Setting key Duty'!$I$9+'Setting key Duty'!$I$12))</f>
        <v/>
      </c>
      <c r="AY15" s="313">
        <f>COUNTIF(C15:AC15,"*BRT*")</f>
        <v/>
      </c>
      <c r="AZ15" s="313">
        <f>COUNTIF(A15:AH15,"*$BTP*")</f>
        <v/>
      </c>
      <c r="BA15" s="313">
        <f>AZ15*('Setting key Duty'!$I$13+'Setting key Duty'!$I$12+'Setting key Duty'!$I$11)</f>
        <v/>
      </c>
      <c r="BB15" s="313">
        <f>COUNTIF(A15:AH15,"*$L*")</f>
        <v/>
      </c>
      <c r="BC15" s="313">
        <f>BB15*('Setting key Duty'!$I$13+'Setting key Duty'!$I$9)</f>
        <v/>
      </c>
      <c r="BD15" s="313">
        <f>COUNTIF(A15:AH15,"*$M*")</f>
        <v/>
      </c>
      <c r="BE15" s="313">
        <f>BD15*('Setting key Duty'!$I$8+'Setting key Duty'!$I$9+'Setting key Duty'!$I$12)</f>
        <v/>
      </c>
      <c r="BF15" s="313">
        <f>COUNTIF(AH15,"*$N*")</f>
        <v/>
      </c>
      <c r="BG15" s="313">
        <f>COUNTIF(AH15,"*$PM*")</f>
        <v/>
      </c>
      <c r="BH15" s="313">
        <f>BG15*('Setting key Duty'!$I$9)</f>
        <v/>
      </c>
      <c r="BI15" s="313">
        <f>COUNTIF(A15:AH15,"*$AM*")</f>
        <v/>
      </c>
      <c r="BJ15" s="313">
        <f>BI15*('Setting key Duty'!$I$12+'Setting key Duty'!$I$8)</f>
        <v/>
      </c>
      <c r="BK15" s="313">
        <f>COUNTIF(C15:AH15,"*$FC*")</f>
        <v/>
      </c>
      <c r="BL15" s="313">
        <f>BK15*('Setting key Duty'!$J$11+'Setting key Duty'!$I$8)</f>
        <v/>
      </c>
      <c r="BM15" s="313">
        <f>COUNTIF($C15:$AC15,BM$4)</f>
        <v/>
      </c>
      <c r="BN15" s="313">
        <f>COUNTIF($C15:$AC15,BN$4)</f>
        <v/>
      </c>
      <c r="BO15" s="313">
        <f>COUNTIF($C15:$AC15,BO$4)</f>
        <v/>
      </c>
      <c r="BP15" s="314" t="n"/>
    </row>
    <row r="16" ht="19.5" customHeight="1">
      <c r="A16" s="309" t="n"/>
      <c r="B16" s="332" t="inlineStr">
        <is>
          <t>LCP MUHAMED AMIR BIN AHMAD FAIZAL</t>
        </is>
      </c>
      <c r="C16" s="197" t="n"/>
      <c r="D16" s="197" t="inlineStr">
        <is>
          <t>TX B</t>
        </is>
      </c>
      <c r="E16" s="197" t="n"/>
      <c r="F16" s="197" t="inlineStr">
        <is>
          <t>SCH1 $AM TEKONG 8KM (0515-1100)</t>
        </is>
      </c>
      <c r="G16" s="197" t="inlineStr">
        <is>
          <t>TX B</t>
        </is>
      </c>
      <c r="H16" s="197" t="inlineStr">
        <is>
          <t>TX B</t>
        </is>
      </c>
      <c r="I16" s="197" t="n"/>
      <c r="J16" s="197" t="n"/>
      <c r="K16" s="197" t="inlineStr">
        <is>
          <t>AL</t>
        </is>
      </c>
      <c r="L16" s="197" t="n"/>
      <c r="M16" s="197" t="inlineStr">
        <is>
          <t>AL</t>
        </is>
      </c>
      <c r="N16" s="197" t="n"/>
      <c r="O16" s="197" t="inlineStr">
        <is>
          <t>DM</t>
        </is>
      </c>
      <c r="P16" s="197" t="n"/>
      <c r="Q16" s="197" t="n"/>
      <c r="R16" s="197" t="inlineStr">
        <is>
          <t>AL</t>
        </is>
      </c>
      <c r="S16" s="197" t="inlineStr">
        <is>
          <t>AL</t>
        </is>
      </c>
      <c r="T16" s="197" t="inlineStr">
        <is>
          <t>AL</t>
        </is>
      </c>
      <c r="U16" s="197" t="inlineStr">
        <is>
          <t>AL</t>
        </is>
      </c>
      <c r="V16" s="197" t="inlineStr">
        <is>
          <t>AL</t>
        </is>
      </c>
      <c r="W16" s="197" t="n"/>
      <c r="X16" s="197" t="inlineStr">
        <is>
          <t>DM</t>
        </is>
      </c>
      <c r="Y16" s="197" t="n"/>
      <c r="Z16" s="197" t="n"/>
      <c r="AA16" s="396" t="inlineStr">
        <is>
          <t>CS2</t>
        </is>
      </c>
      <c r="AC16" s="197" t="n"/>
      <c r="AD16" s="197" t="n"/>
      <c r="AE16" s="197" t="inlineStr">
        <is>
          <t>DM</t>
        </is>
      </c>
      <c r="AF16" s="196" t="inlineStr">
        <is>
          <t>BAIL</t>
        </is>
      </c>
      <c r="AG16" s="197" t="inlineStr">
        <is>
          <t>CS2</t>
        </is>
      </c>
      <c r="AH16" s="311">
        <f>COUNTIF($C16:$AA16,AH$4)</f>
        <v/>
      </c>
      <c r="AI16" s="312">
        <f>COUNTIF($C16:$AA16,AI$4)</f>
        <v/>
      </c>
      <c r="AJ16" s="311">
        <f>COUNTIF($C16:$AA16,AJ$4)</f>
        <v/>
      </c>
      <c r="AK16" s="313">
        <f>COUNTIF($C16:$AA16,AK$4)</f>
        <v/>
      </c>
      <c r="AL16" s="313">
        <f>COUNTIF($C16:$AA16,AL$4)</f>
        <v/>
      </c>
      <c r="AM16" s="313">
        <f>COUNTIF($C16:$AA16,AM$4)</f>
        <v/>
      </c>
      <c r="AN16" s="313">
        <f>COUNTIF($C16:$AA16,AN$4)</f>
        <v/>
      </c>
      <c r="AO16" s="238" t="n"/>
      <c r="AP16" s="313">
        <f>SUMPRODUCT(--WEEKDAY(C$3:AG$3,2)&lt;6,--((C16:AG16="DM"))+(C16:AG16="CS1")+((C16:AG16="CS2"))+(C16:AG16="SB1")+(C16:AG16="AE")+(C16:AG16="EM"))</f>
        <v/>
      </c>
      <c r="AQ16" s="238" t="n"/>
      <c r="AR16" s="238">
        <f>SUMPRODUCT(--WEEKDAY(C$3:AG$3,2)&gt;5,--((C16:AG16="DM"))+(C16:AG16="CS1")+((C16:AG16="CS2"))+(C16:AG16="SB1")+(C16:AG16="AE")+(C16:AG16="EM"))</f>
        <v/>
      </c>
      <c r="AS16" s="238" t="n"/>
      <c r="AT16" s="238">
        <f>(AP16-AQ16)/2+(AR16-AS16)</f>
        <v/>
      </c>
      <c r="AU16" s="238">
        <f>AH16+AI16+AJ16+AK16+AM16+AN16</f>
        <v/>
      </c>
      <c r="AV16" s="238">
        <f>BF16+BG16+BI16+BD16+BB16+AZ16+BK16</f>
        <v/>
      </c>
      <c r="AW16" s="238">
        <f>AT16+AX16</f>
        <v/>
      </c>
      <c r="AX16" s="313">
        <f>(BI16*('Setting key Duty'!$I$8+'Setting key Duty'!$I$12))+(BG16*'Setting key Duty'!$I$9)+(BB16*('Setting key Duty'!$I$13+'Setting key Duty'!$I$9))+(AZ16*('Setting key Duty'!$I$13+'Setting key Duty'!$I$12+'Setting key Duty'!$I$11))+(BD16*('Setting key Duty'!$I$8+'Setting key Duty'!$I$9+'Setting key Duty'!$I$12))</f>
        <v/>
      </c>
      <c r="AY16" s="313">
        <f>COUNTIF(C16:AA16,"*BRT*")</f>
        <v/>
      </c>
      <c r="AZ16" s="313">
        <f>COUNTIF(A16:AH16,"*$BTP*")</f>
        <v/>
      </c>
      <c r="BA16" s="313">
        <f>AZ16*('Setting key Duty'!$I$13+'Setting key Duty'!$I$12+'Setting key Duty'!$I$11)</f>
        <v/>
      </c>
      <c r="BB16" s="313">
        <f>COUNTIF(A16:AH16,"*$L*")</f>
        <v/>
      </c>
      <c r="BC16" s="313">
        <f>BB16*('Setting key Duty'!$I$13+'Setting key Duty'!$I$9)</f>
        <v/>
      </c>
      <c r="BD16" s="313">
        <f>COUNTIF(A16:AH16,"*$M*")</f>
        <v/>
      </c>
      <c r="BE16" s="313">
        <f>BD16*('Setting key Duty'!$I$8+'Setting key Duty'!$I$9+'Setting key Duty'!$I$12)</f>
        <v/>
      </c>
      <c r="BF16" s="313">
        <f>COUNTIF(A16:AH16,"*$N*")</f>
        <v/>
      </c>
      <c r="BG16" s="313">
        <f>COUNTIF(AH16,"*$PM*")</f>
        <v/>
      </c>
      <c r="BH16" s="313">
        <f>BG16*('Setting key Duty'!$I$9)</f>
        <v/>
      </c>
      <c r="BI16" s="313">
        <f>COUNTIF(A16:AH16,"*$AM*")</f>
        <v/>
      </c>
      <c r="BJ16" s="313">
        <f>BI16*('Setting key Duty'!$I$12+'Setting key Duty'!$I$8)</f>
        <v/>
      </c>
      <c r="BK16" s="313">
        <f>COUNTIF(C16:AH16,"*$FC*")</f>
        <v/>
      </c>
      <c r="BL16" s="313">
        <f>BK16*('Setting key Duty'!$J$11+'Setting key Duty'!$I$8)</f>
        <v/>
      </c>
      <c r="BM16" s="313">
        <f>COUNTIF($C16:$AA16,BM$4)</f>
        <v/>
      </c>
      <c r="BN16" s="313">
        <f>COUNTIF($C16:$AA16,BN$4)</f>
        <v/>
      </c>
      <c r="BO16" s="313">
        <f>COUNTIF($C16:$AA16,BO$4)</f>
        <v/>
      </c>
      <c r="BP16" s="314" t="n"/>
    </row>
    <row r="17" ht="26.25" customHeight="1">
      <c r="A17" s="309" t="n"/>
      <c r="B17" s="333" t="inlineStr">
        <is>
          <t>CPL MARK TAN YIH</t>
        </is>
      </c>
      <c r="C17" s="106" t="n"/>
      <c r="D17" s="197" t="inlineStr">
        <is>
          <t>TX B</t>
        </is>
      </c>
      <c r="E17" s="197" t="inlineStr">
        <is>
          <t>TX B</t>
        </is>
      </c>
      <c r="F17" s="197" t="inlineStr">
        <is>
          <t>TX B</t>
        </is>
      </c>
      <c r="G17" s="197" t="inlineStr">
        <is>
          <t>TX B</t>
        </is>
      </c>
      <c r="H17" s="197" t="inlineStr">
        <is>
          <t>TX B</t>
        </is>
      </c>
      <c r="I17" s="106" t="n"/>
      <c r="K17" s="198" t="n"/>
      <c r="L17" s="197" t="inlineStr">
        <is>
          <t>PTT</t>
        </is>
      </c>
      <c r="M17" s="197" t="inlineStr">
        <is>
          <t>AL</t>
        </is>
      </c>
      <c r="N17" s="197" t="inlineStr">
        <is>
          <t>AL</t>
        </is>
      </c>
      <c r="O17" s="197" t="inlineStr">
        <is>
          <t>AL</t>
        </is>
      </c>
      <c r="P17" s="197" t="inlineStr">
        <is>
          <t>AL</t>
        </is>
      </c>
      <c r="Q17" s="197" t="inlineStr">
        <is>
          <t>CS2</t>
        </is>
      </c>
      <c r="S17" s="197" t="n"/>
      <c r="T17" s="197" t="inlineStr">
        <is>
          <t>CS2</t>
        </is>
      </c>
      <c r="V17" s="197" t="n"/>
      <c r="W17" s="197" t="n"/>
      <c r="X17" s="197" t="n"/>
      <c r="Y17" s="197" t="inlineStr">
        <is>
          <t>DM</t>
        </is>
      </c>
      <c r="Z17" s="197" t="n"/>
      <c r="AA17" s="396" t="n"/>
      <c r="AB17" s="197" t="n"/>
      <c r="AC17" s="197" t="inlineStr">
        <is>
          <t>CS1</t>
        </is>
      </c>
      <c r="AD17" s="196" t="n"/>
      <c r="AE17" s="197" t="n"/>
      <c r="AF17" s="197" t="inlineStr">
        <is>
          <t>CS1</t>
        </is>
      </c>
      <c r="AG17" s="197" t="inlineStr">
        <is>
          <t>AL</t>
        </is>
      </c>
      <c r="AH17" s="311" t="n"/>
      <c r="AI17" s="312" t="n"/>
      <c r="AJ17" s="311" t="n"/>
      <c r="AK17" s="313" t="n"/>
      <c r="AL17" s="313" t="n"/>
      <c r="AM17" s="313" t="n"/>
      <c r="AN17" s="313" t="n"/>
      <c r="AO17" s="238" t="n"/>
      <c r="AP17" s="313">
        <f>SUMPRODUCT(--WEEKDAY(C$3:AG$3,2)&lt;6,--((C17:AG17="DM"))+(C17:AG17="CS1")+((C17:AG17="CS2"))+(C17:AG17="SB1")+(C17:AG17="AE")+(C17:AG17="EM"))</f>
        <v/>
      </c>
      <c r="AQ17" s="238" t="n"/>
      <c r="AR17" s="238">
        <f>SUMPRODUCT(--WEEKDAY(C$3:AG$3,2)&gt;5,--((C17:AG17="DM"))+(C17:AG17="CS1")+((C17:AG17="CS2"))+(C17:AG17="SB1")+(C17:AG17="AE")+(C17:AG17="EM"))</f>
        <v/>
      </c>
      <c r="AS17" s="238" t="n"/>
      <c r="AT17" s="238">
        <f>(AP17-AQ17)/2+(AR17-AS17)</f>
        <v/>
      </c>
      <c r="AU17" s="238">
        <f>AH17+AI17+AJ17+AK17+AM17+AN17</f>
        <v/>
      </c>
      <c r="AV17" s="238">
        <f>BF17+BG17+BI17+BD17+BB17+AZ17+BK17</f>
        <v/>
      </c>
      <c r="AW17" s="238">
        <f>AT17+AX17</f>
        <v/>
      </c>
      <c r="AX17" s="313">
        <f>(BI17*('Setting key Duty'!$I$8+'Setting key Duty'!$I$12))+(BG17*'Setting key Duty'!$I$9)+(BB17*('Setting key Duty'!$I$13+'Setting key Duty'!$I$9))+(AZ17*('Setting key Duty'!$I$13+'Setting key Duty'!$I$12+'Setting key Duty'!$I$11))+(BD17*('Setting key Duty'!$I$8+'Setting key Duty'!$I$9+'Setting key Duty'!$I$12))</f>
        <v/>
      </c>
      <c r="AY17" s="313">
        <f>COUNTIF(E17:AA17,"*BRT*")</f>
        <v/>
      </c>
      <c r="AZ17" s="313">
        <f>COUNTIF(A17:AH17,"*$BTP*")</f>
        <v/>
      </c>
      <c r="BA17" s="313">
        <f>AZ17*('Setting key Duty'!$I$13+'Setting key Duty'!$I$12+'Setting key Duty'!$I$11)</f>
        <v/>
      </c>
      <c r="BB17" s="313">
        <f>COUNTIF(A17:AH17,"*$L*")</f>
        <v/>
      </c>
      <c r="BC17" s="313">
        <f>BB17*('Setting key Duty'!$I$13+'Setting key Duty'!$I$9)</f>
        <v/>
      </c>
      <c r="BD17" s="313">
        <f>COUNTIF(A17:AH17,"*$M*")</f>
        <v/>
      </c>
      <c r="BE17" s="313">
        <f>BD17*('Setting key Duty'!$I$8+'Setting key Duty'!$I$9+'Setting key Duty'!$I$12)</f>
        <v/>
      </c>
      <c r="BF17" s="313">
        <f>COUNTIF(AG17:AH17,"*$N*")</f>
        <v/>
      </c>
      <c r="BG17" s="313">
        <f>COUNTIF(AG17:AH17,"*$PM*")</f>
        <v/>
      </c>
      <c r="BH17" s="313">
        <f>BG17*('Setting key Duty'!$I$9)</f>
        <v/>
      </c>
      <c r="BI17" s="313">
        <f>COUNTIF(A17:AH17,"*$AM*")</f>
        <v/>
      </c>
      <c r="BJ17" s="313">
        <f>BI17*('Setting key Duty'!$I$12+'Setting key Duty'!$I$8)</f>
        <v/>
      </c>
      <c r="BK17" s="313">
        <f>COUNTIF(E17:AH17,"*$FC*")</f>
        <v/>
      </c>
      <c r="BL17" s="313">
        <f>BK17*('Setting key Duty'!$J$11+'Setting key Duty'!$I$8)</f>
        <v/>
      </c>
      <c r="BM17" s="313">
        <f>COUNTIF($E17:$AA17,BM$4)</f>
        <v/>
      </c>
      <c r="BN17" s="313">
        <f>COUNTIF($E17:$AA17,BN$4)</f>
        <v/>
      </c>
      <c r="BO17" s="313">
        <f>COUNTIF($E17:$AA17,BO$4)</f>
        <v/>
      </c>
      <c r="BP17" s="314" t="n"/>
    </row>
    <row r="18" ht="19.5" customHeight="1">
      <c r="A18" s="309" t="n"/>
      <c r="B18" s="390" t="inlineStr">
        <is>
          <t>CFC MOK CHENGXUN</t>
        </is>
      </c>
      <c r="C18" s="197" t="n"/>
      <c r="D18" s="197" t="n"/>
      <c r="E18" s="197" t="n"/>
      <c r="F18" s="197" t="n"/>
      <c r="G18" s="197" t="inlineStr">
        <is>
          <t>DM</t>
        </is>
      </c>
      <c r="H18" s="197" t="n"/>
      <c r="I18" s="197" t="inlineStr">
        <is>
          <t>DM</t>
        </is>
      </c>
      <c r="K18" s="197" t="n"/>
      <c r="L18" s="198" t="inlineStr">
        <is>
          <t>DM</t>
        </is>
      </c>
      <c r="M18" s="198" t="n"/>
      <c r="N18" s="197" t="n"/>
      <c r="O18" s="197" t="inlineStr">
        <is>
          <t>OL</t>
        </is>
      </c>
      <c r="P18" s="197" t="inlineStr">
        <is>
          <t>OL</t>
        </is>
      </c>
      <c r="Q18" s="197" t="inlineStr">
        <is>
          <t>OL</t>
        </is>
      </c>
      <c r="R18" s="197" t="inlineStr">
        <is>
          <t>OL</t>
        </is>
      </c>
      <c r="S18" s="197" t="inlineStr">
        <is>
          <t>OL</t>
        </is>
      </c>
      <c r="T18" s="197" t="inlineStr">
        <is>
          <t>OL</t>
        </is>
      </c>
      <c r="U18" s="197" t="inlineStr">
        <is>
          <t>OL</t>
        </is>
      </c>
      <c r="V18" s="197" t="inlineStr">
        <is>
          <t>OL</t>
        </is>
      </c>
      <c r="W18" s="197" t="inlineStr">
        <is>
          <t>OL</t>
        </is>
      </c>
      <c r="X18" s="197" t="inlineStr">
        <is>
          <t>OL</t>
        </is>
      </c>
      <c r="Y18" s="197" t="inlineStr">
        <is>
          <t>OL</t>
        </is>
      </c>
      <c r="Z18" s="197" t="inlineStr">
        <is>
          <t>OL</t>
        </is>
      </c>
      <c r="AA18" s="396" t="n"/>
      <c r="AB18" s="197" t="inlineStr">
        <is>
          <t>MA</t>
        </is>
      </c>
      <c r="AC18" s="197" t="n"/>
      <c r="AD18" s="197" t="n"/>
      <c r="AE18" s="197" t="n"/>
      <c r="AF18" s="197" t="n"/>
      <c r="AG18" s="197" t="n"/>
      <c r="AH18" s="311" t="n"/>
      <c r="AI18" s="312" t="n"/>
      <c r="AJ18" s="311" t="n"/>
      <c r="AK18" s="313" t="n"/>
      <c r="AL18" s="313" t="n"/>
      <c r="AM18" s="313" t="n"/>
      <c r="AN18" s="313" t="n"/>
      <c r="AO18" s="238" t="n"/>
      <c r="AP18" s="313">
        <f>SUMPRODUCT(--WEEKDAY(C$3:AG$3,2)&lt;6,--((C18:AG18="DM"))+(C18:AG18="CS1")+((C18:AG18="CS2"))+(C18:AG18="SB1")+(C18:AG18="AE")+(C18:AG18="EM"))</f>
        <v/>
      </c>
      <c r="AQ18" s="238" t="n"/>
      <c r="AR18" s="238">
        <f>SUMPRODUCT(--WEEKDAY(C$3:AG$3,2)&gt;5,--((C18:AG18="DM"))+(C18:AG18="CS1")+((C18:AG18="CS2"))+(C18:AG18="SB1")+(C18:AG18="AE")+(C18:AG18="EM"))</f>
        <v/>
      </c>
      <c r="AS18" s="238" t="n"/>
      <c r="AT18" s="238">
        <f>(AP18-AQ18)/2+(AR18-AS18)</f>
        <v/>
      </c>
      <c r="AU18" s="238">
        <f>AH18+AI18+AJ18+AK18+AM18+AN18</f>
        <v/>
      </c>
      <c r="AV18" s="238">
        <f>BF18+BG18+BI18+BD18+BB18+AZ18+BK18</f>
        <v/>
      </c>
      <c r="AW18" s="238">
        <f>AT18+AX18</f>
        <v/>
      </c>
      <c r="AX18" s="313">
        <f>(BI18*('Setting key Duty'!$I$8+'Setting key Duty'!$I$12))+(BG18*'Setting key Duty'!$I$9)+(BB18*('Setting key Duty'!$I$13+'Setting key Duty'!$I$9))+(AZ18*('Setting key Duty'!$I$13+'Setting key Duty'!$I$12+'Setting key Duty'!$I$11))+(BD18*('Setting key Duty'!$I$8+'Setting key Duty'!$I$9+'Setting key Duty'!$I$12))</f>
        <v/>
      </c>
      <c r="AY18" s="313">
        <f>COUNTIF(C18:AB18,"*BRT*")</f>
        <v/>
      </c>
      <c r="AZ18" s="313">
        <f>COUNTIF(A18:AH18,"*$BTP*")</f>
        <v/>
      </c>
      <c r="BA18" s="313">
        <f>AZ18*('Setting key Duty'!$I$13+'Setting key Duty'!$I$12+'Setting key Duty'!$I$11)</f>
        <v/>
      </c>
      <c r="BB18" s="313">
        <f>COUNTIF(A18:AH18,"*$L*")</f>
        <v/>
      </c>
      <c r="BC18" s="313">
        <f>BB18*('Setting key Duty'!$I$13+'Setting key Duty'!$I$9)</f>
        <v/>
      </c>
      <c r="BD18" s="313">
        <f>COUNTIF(A18:AH18,"*$M*")</f>
        <v/>
      </c>
      <c r="BE18" s="313">
        <f>BD18*('Setting key Duty'!$I$8+'Setting key Duty'!$I$9+'Setting key Duty'!$I$12)</f>
        <v/>
      </c>
      <c r="BF18" s="313">
        <f>COUNTIF(AH18,"*$N*")</f>
        <v/>
      </c>
      <c r="BG18" s="313">
        <f>COUNTIF(AH18,"*$PM*")</f>
        <v/>
      </c>
      <c r="BH18" s="313">
        <f>BG18*('Setting key Duty'!$I$9)</f>
        <v/>
      </c>
      <c r="BI18" s="313">
        <f>COUNTIF(A18:AH18,"*$AM*")</f>
        <v/>
      </c>
      <c r="BJ18" s="313">
        <f>BI18*('Setting key Duty'!$I$12+'Setting key Duty'!$I$8)</f>
        <v/>
      </c>
      <c r="BK18" s="313">
        <f>COUNTIF(C18:AH18,"*$FC*")</f>
        <v/>
      </c>
      <c r="BL18" s="313">
        <f>BK18*('Setting key Duty'!$J$11+'Setting key Duty'!$I$8)</f>
        <v/>
      </c>
      <c r="BM18" s="313">
        <f>COUNTIF($C18:$AB18,BM$4)</f>
        <v/>
      </c>
      <c r="BN18" s="313">
        <f>COUNTIF($C18:$AB18,BN$4)</f>
        <v/>
      </c>
      <c r="BO18" s="313">
        <f>COUNTIF($C18:$AB18,BO$4)</f>
        <v/>
      </c>
      <c r="BP18" s="314" t="n"/>
    </row>
    <row r="19" ht="19.5" customHeight="1">
      <c r="A19" s="309" t="n"/>
      <c r="B19" s="373" t="inlineStr">
        <is>
          <t>CPL PANG JUN YUAN</t>
        </is>
      </c>
      <c r="C19" s="197" t="n"/>
      <c r="D19" s="197" t="n"/>
      <c r="F19" s="197" t="inlineStr">
        <is>
          <t>CS2</t>
        </is>
      </c>
      <c r="H19" s="197" t="inlineStr">
        <is>
          <t>DM</t>
        </is>
      </c>
      <c r="I19" s="197" t="n"/>
      <c r="J19" s="197" t="inlineStr">
        <is>
          <t>OL</t>
        </is>
      </c>
      <c r="K19" s="197" t="inlineStr">
        <is>
          <t>OL</t>
        </is>
      </c>
      <c r="L19" s="197" t="inlineStr">
        <is>
          <t>OL</t>
        </is>
      </c>
      <c r="M19" s="197" t="inlineStr">
        <is>
          <t>OL</t>
        </is>
      </c>
      <c r="N19" s="197" t="inlineStr">
        <is>
          <t>OL</t>
        </is>
      </c>
      <c r="O19" s="197" t="inlineStr">
        <is>
          <t>OL</t>
        </is>
      </c>
      <c r="P19" s="197" t="inlineStr">
        <is>
          <t>OL</t>
        </is>
      </c>
      <c r="Q19" s="197" t="inlineStr">
        <is>
          <t>OL</t>
        </is>
      </c>
      <c r="S19" s="197" t="n"/>
      <c r="U19" s="197" t="inlineStr">
        <is>
          <t>CS1</t>
        </is>
      </c>
      <c r="W19" s="197" t="inlineStr">
        <is>
          <t>DM</t>
        </is>
      </c>
      <c r="X19" s="197" t="n"/>
      <c r="Y19" s="197" t="n"/>
      <c r="Z19" s="197" t="inlineStr">
        <is>
          <t>MA</t>
        </is>
      </c>
      <c r="AA19" s="396" t="n"/>
      <c r="AB19" s="197" t="inlineStr">
        <is>
          <t>MA</t>
        </is>
      </c>
      <c r="AC19" s="198" t="n"/>
      <c r="AF19" s="197" t="n"/>
      <c r="AG19" s="197" t="inlineStr">
        <is>
          <t>AL</t>
        </is>
      </c>
      <c r="AH19" s="311" t="n"/>
      <c r="AI19" s="312" t="n"/>
      <c r="AJ19" s="311" t="n"/>
      <c r="AK19" s="313" t="n"/>
      <c r="AL19" s="313" t="n"/>
      <c r="AM19" s="313" t="n"/>
      <c r="AN19" s="313" t="n"/>
      <c r="AO19" s="238" t="n"/>
      <c r="AP19" s="313">
        <f>SUMPRODUCT(--WEEKDAY(C$3:AG$3,2)&lt;6,--((C19:AG19="DM"))+(C19:AG19="CS1")+((C19:AG19="CS2"))+(C19:AG19="SB1")+(C19:AG19="AE")+(C19:AG19="EM"))</f>
        <v/>
      </c>
      <c r="AQ19" s="238" t="n"/>
      <c r="AR19" s="238">
        <f>SUMPRODUCT(--WEEKDAY(C$3:AG$3,2)&gt;5,--((C19:AG19="DM"))+(C19:AG19="CS1")+((C19:AG19="CS2"))+(C19:AG19="SB1")+(C19:AG19="AE")+(C19:AG19="EM"))</f>
        <v/>
      </c>
      <c r="AS19" s="238" t="n"/>
      <c r="AT19" s="238">
        <f>(AP19-AQ19)/2+(AR19-AS19)</f>
        <v/>
      </c>
      <c r="AU19" s="238">
        <f>AH19+AI19+AJ19+AK19+AM19+AN19</f>
        <v/>
      </c>
      <c r="AV19" s="238">
        <f>BF19+BG19+BI19+BD19+BB19+AZ19+BK19</f>
        <v/>
      </c>
      <c r="AW19" s="238">
        <f>AT19+AX19</f>
        <v/>
      </c>
      <c r="AX19" s="313">
        <f>(BI19*('Setting key Duty'!$I$8+'Setting key Duty'!$I$12))+(BG19*'Setting key Duty'!$I$9)+(BB19*('Setting key Duty'!$I$13+'Setting key Duty'!$I$9))+(AZ19*('Setting key Duty'!$I$13+'Setting key Duty'!$I$12+'Setting key Duty'!$I$11))+(BD19*('Setting key Duty'!$I$8+'Setting key Duty'!$I$9+'Setting key Duty'!$I$12))</f>
        <v/>
      </c>
      <c r="AY19" s="313">
        <f>COUNTIF(D19:AB19,"*BRT*")</f>
        <v/>
      </c>
      <c r="AZ19" s="313">
        <f>COUNTIF(A19:AH19,"*$BTP*")</f>
        <v/>
      </c>
      <c r="BA19" s="313">
        <f>AZ19*('Setting key Duty'!$I$13+'Setting key Duty'!$I$12+'Setting key Duty'!$I$11)</f>
        <v/>
      </c>
      <c r="BB19" s="313">
        <f>COUNTIF(A19:AH19,"*$L*")</f>
        <v/>
      </c>
      <c r="BC19" s="313">
        <f>BB19*('Setting key Duty'!$I$13+'Setting key Duty'!$I$9)</f>
        <v/>
      </c>
      <c r="BD19" s="313">
        <f>COUNTIF(A19:AH19,"*$M*")</f>
        <v/>
      </c>
      <c r="BE19" s="313">
        <f>BD19*('Setting key Duty'!$I$8+'Setting key Duty'!$I$9+'Setting key Duty'!$I$12)</f>
        <v/>
      </c>
      <c r="BF19" s="313">
        <f>COUNTIF(AH19,"*$N*")</f>
        <v/>
      </c>
      <c r="BG19" s="313">
        <f>COUNTIF(AH19,"*$PM*")</f>
        <v/>
      </c>
      <c r="BH19" s="313">
        <f>BG19*('Setting key Duty'!$I$9)</f>
        <v/>
      </c>
      <c r="BI19" s="313">
        <f>COUNTIF(A19:AH19,"*$AM*")</f>
        <v/>
      </c>
      <c r="BJ19" s="313">
        <f>BI19*('Setting key Duty'!$I$12+'Setting key Duty'!$I$8)</f>
        <v/>
      </c>
      <c r="BK19" s="313">
        <f>COUNTIF(D19:AH19,"*$FC*")</f>
        <v/>
      </c>
      <c r="BL19" s="313">
        <f>BK19*('Setting key Duty'!$J$11+'Setting key Duty'!$I$8)</f>
        <v/>
      </c>
      <c r="BM19" s="313">
        <f>COUNTIF($D19:$AB19,BM$4)</f>
        <v/>
      </c>
      <c r="BN19" s="313">
        <f>COUNTIF($D19:$AB19,BN$4)</f>
        <v/>
      </c>
      <c r="BO19" s="313">
        <f>COUNTIF($D19:$AB19,BO$4)</f>
        <v/>
      </c>
      <c r="BP19" s="314" t="n"/>
    </row>
    <row r="20" ht="19.5" customHeight="1">
      <c r="A20" s="309" t="n"/>
      <c r="B20" s="407" t="inlineStr">
        <is>
          <t>LCP SEE WEI ZHI</t>
        </is>
      </c>
      <c r="C20" s="197" t="n"/>
      <c r="D20" s="197" t="n"/>
      <c r="E20" s="198" t="n"/>
      <c r="F20" s="197" t="inlineStr">
        <is>
          <t>CS1</t>
        </is>
      </c>
      <c r="G20" s="197" t="inlineStr">
        <is>
          <t>GP STORES</t>
        </is>
      </c>
      <c r="H20" s="197" t="inlineStr">
        <is>
          <t>GP REHEARSAL</t>
        </is>
      </c>
      <c r="I20" s="197" t="inlineStr">
        <is>
          <t>GP</t>
        </is>
      </c>
      <c r="J20" s="197" t="inlineStr">
        <is>
          <t>GP B</t>
        </is>
      </c>
      <c r="K20" s="197" t="inlineStr">
        <is>
          <t>DM</t>
        </is>
      </c>
      <c r="L20" s="317" t="n"/>
      <c r="M20" s="106" t="n"/>
      <c r="N20" s="197" t="inlineStr">
        <is>
          <t>CS2</t>
        </is>
      </c>
      <c r="O20" s="197" t="n"/>
      <c r="P20" s="197" t="inlineStr">
        <is>
          <t>DM</t>
        </is>
      </c>
      <c r="Q20" s="106" t="n"/>
      <c r="R20" s="197" t="n"/>
      <c r="S20" s="197" t="inlineStr">
        <is>
          <t>DM</t>
        </is>
      </c>
      <c r="T20" s="197" t="n"/>
      <c r="U20" s="197" t="inlineStr">
        <is>
          <t>DM</t>
        </is>
      </c>
      <c r="V20" s="106" t="n"/>
      <c r="W20" s="197" t="inlineStr">
        <is>
          <t>CS1</t>
        </is>
      </c>
      <c r="X20" s="197" t="n"/>
      <c r="Y20" s="197" t="n"/>
      <c r="Z20" s="197" t="n"/>
      <c r="AA20" s="396" t="n"/>
      <c r="AB20" s="197" t="n"/>
      <c r="AC20" s="197" t="n"/>
      <c r="AD20" s="197" t="inlineStr">
        <is>
          <t>CS1</t>
        </is>
      </c>
      <c r="AE20" s="197" t="n"/>
      <c r="AF20" s="197" t="n"/>
      <c r="AG20" s="197" t="n"/>
      <c r="AH20" s="311" t="n"/>
      <c r="AI20" s="312" t="n"/>
      <c r="AJ20" s="311" t="n"/>
      <c r="AK20" s="313" t="n"/>
      <c r="AL20" s="313" t="n"/>
      <c r="AM20" s="313" t="n"/>
      <c r="AN20" s="313" t="n"/>
      <c r="AO20" s="238" t="n"/>
      <c r="AP20" s="313">
        <f>SUMPRODUCT(--WEEKDAY(C$3:AG$3,2)&lt;6,--((C20:AG20="DM"))+(C20:AG20="CS1")+((C20:AG20="CS2"))+(C20:AG20="SB1")+(C20:AG20="AE")+(C20:AG20="EM"))</f>
        <v/>
      </c>
      <c r="AQ20" s="238" t="n"/>
      <c r="AR20" s="238">
        <f>SUMPRODUCT(--WEEKDAY(C$3:AG$3,2)&gt;5,--((C20:AG20="DM"))+(C20:AG20="CS1")+((C20:AG20="CS2"))+(C20:AG20="SB1")+(C20:AG20="AE")+(C20:AG20="EM"))</f>
        <v/>
      </c>
      <c r="AS20" s="238" t="n"/>
      <c r="AT20" s="238">
        <f>(AP20-AQ20)/2+(AR20-AS20)</f>
        <v/>
      </c>
      <c r="AU20" s="238">
        <f>AH20+AI20+AJ20+AK20+AM20+AN20</f>
        <v/>
      </c>
      <c r="AV20" s="238">
        <f>BF20+BG20+BI20+BD20+BB20+AZ20+BK20</f>
        <v/>
      </c>
      <c r="AW20" s="238">
        <f>AT20+AX20</f>
        <v/>
      </c>
      <c r="AX20" s="313">
        <f>(BI20*('Setting key Duty'!$I$8+'Setting key Duty'!$I$12))+(BG20*'Setting key Duty'!$I$9)+(BB20*('Setting key Duty'!$I$13+'Setting key Duty'!$I$9))+(AZ20*('Setting key Duty'!$I$13+'Setting key Duty'!$I$12+'Setting key Duty'!$I$11))+(BD20*('Setting key Duty'!$I$8+'Setting key Duty'!$I$9+'Setting key Duty'!$I$12))</f>
        <v/>
      </c>
      <c r="AY20" s="313">
        <f>COUNTIF(D20:AB20,"*BRT*")</f>
        <v/>
      </c>
      <c r="AZ20" s="313">
        <f>COUNTIF(A20:AH20,"*$BTP*")</f>
        <v/>
      </c>
      <c r="BA20" s="313">
        <f>AZ20*('Setting key Duty'!$I$13+'Setting key Duty'!$I$12+'Setting key Duty'!$I$11)</f>
        <v/>
      </c>
      <c r="BB20" s="313">
        <f>COUNTIF(A20:AH20,"*$L*")</f>
        <v/>
      </c>
      <c r="BC20" s="313">
        <f>BB20*('Setting key Duty'!$I$13+'Setting key Duty'!$I$9)</f>
        <v/>
      </c>
      <c r="BD20" s="313">
        <f>COUNTIF(A20:AH20,"*$M*")</f>
        <v/>
      </c>
      <c r="BE20" s="313">
        <f>BD20*('Setting key Duty'!$I$8+'Setting key Duty'!$I$9+'Setting key Duty'!$I$12)</f>
        <v/>
      </c>
      <c r="BF20" s="313">
        <f>COUNTIF(AF20:AH20,"*$N*")</f>
        <v/>
      </c>
      <c r="BG20" s="313">
        <f>COUNTIF(AF20:AH20,"*$PM*")</f>
        <v/>
      </c>
      <c r="BH20" s="313">
        <f>BG20*('Setting key Duty'!$I$9)</f>
        <v/>
      </c>
      <c r="BI20" s="313">
        <f>COUNTIF(A20:AH20,"*$AM*")</f>
        <v/>
      </c>
      <c r="BJ20" s="313">
        <f>BI20*('Setting key Duty'!$I$12+'Setting key Duty'!$I$8)</f>
        <v/>
      </c>
      <c r="BK20" s="313">
        <f>COUNTIF(D20:AH20,"*$FC*")</f>
        <v/>
      </c>
      <c r="BL20" s="313">
        <f>BK20*('Setting key Duty'!$J$11+'Setting key Duty'!$I$8)</f>
        <v/>
      </c>
      <c r="BM20" s="313">
        <f>COUNTIF($D20:$AE20,BM$4)</f>
        <v/>
      </c>
      <c r="BN20" s="313">
        <f>COUNTIF($D20:$AE20,BN$4)</f>
        <v/>
      </c>
      <c r="BO20" s="313">
        <f>COUNTIF($D20:$AE20,BO$4)</f>
        <v/>
      </c>
      <c r="BP20" s="314" t="n"/>
    </row>
    <row r="21" ht="19.5" customHeight="1">
      <c r="A21" s="309" t="inlineStr">
        <is>
          <t>AL</t>
        </is>
      </c>
      <c r="B21" s="333" t="inlineStr">
        <is>
          <t>LCP ESWARAN SENTHILKUMAR</t>
        </is>
      </c>
      <c r="C21" s="197" t="n"/>
      <c r="D21" s="197" t="inlineStr">
        <is>
          <t>CAREER FAIR</t>
        </is>
      </c>
      <c r="F21" s="197" t="inlineStr">
        <is>
          <t>RM</t>
        </is>
      </c>
      <c r="G21" s="198" t="inlineStr">
        <is>
          <t>RM OFF</t>
        </is>
      </c>
      <c r="H21" s="197" t="n"/>
      <c r="I21" s="197" t="n"/>
      <c r="J21" s="197" t="inlineStr">
        <is>
          <t>OL</t>
        </is>
      </c>
      <c r="K21" s="197" t="inlineStr">
        <is>
          <t>OL</t>
        </is>
      </c>
      <c r="L21" s="197" t="inlineStr">
        <is>
          <t>OL</t>
        </is>
      </c>
      <c r="M21" s="197" t="inlineStr">
        <is>
          <t>OL</t>
        </is>
      </c>
      <c r="N21" s="197" t="inlineStr">
        <is>
          <t>OL</t>
        </is>
      </c>
      <c r="O21" s="197" t="inlineStr">
        <is>
          <t>OL</t>
        </is>
      </c>
      <c r="P21" s="197" t="inlineStr">
        <is>
          <t>OL</t>
        </is>
      </c>
      <c r="Q21" s="197" t="inlineStr">
        <is>
          <t>OL</t>
        </is>
      </c>
      <c r="R21" s="197" t="inlineStr">
        <is>
          <t>OL</t>
        </is>
      </c>
      <c r="S21" s="197" t="n"/>
      <c r="T21" s="197" t="inlineStr">
        <is>
          <t>DM</t>
        </is>
      </c>
      <c r="U21" s="197" t="n"/>
      <c r="V21" s="197" t="inlineStr">
        <is>
          <t>CS1</t>
        </is>
      </c>
      <c r="W21" s="197" t="n"/>
      <c r="X21" s="197" t="inlineStr">
        <is>
          <t>OL</t>
        </is>
      </c>
      <c r="Y21" s="106" t="n"/>
      <c r="Z21" s="197" t="n"/>
      <c r="AA21" s="396" t="n"/>
      <c r="AC21" s="197" t="inlineStr">
        <is>
          <t>CS2</t>
        </is>
      </c>
      <c r="AE21" s="197" t="inlineStr">
        <is>
          <t>CS1</t>
        </is>
      </c>
      <c r="AF21" s="197" t="n"/>
      <c r="AG21" s="197" t="n"/>
      <c r="AH21" s="311" t="n"/>
      <c r="AI21" s="312" t="n"/>
      <c r="AJ21" s="311" t="n"/>
      <c r="AK21" s="313" t="n"/>
      <c r="AL21" s="313" t="n"/>
      <c r="AM21" s="313" t="n"/>
      <c r="AN21" s="313" t="n"/>
      <c r="AO21" s="238" t="n"/>
      <c r="AP21" s="313">
        <f>SUMPRODUCT(--WEEKDAY(C$3:AG$3,2)&lt;6,--((C21:AG21="DM"))+(C21:AG21="CS1")+((C21:AG21="CS2"))+(C21:AG21="SB1")+(C21:AG21="AE")+(C21:AG21="EM"))</f>
        <v/>
      </c>
      <c r="AQ21" s="238" t="n"/>
      <c r="AR21" s="238">
        <f>SUMPRODUCT(--WEEKDAY(C$3:AG$3,2)&gt;5,--((C21:AG21="DM"))+(C21:AG21="CS1")+((C21:AG21="CS2"))+(C21:AG21="SB1")+(C21:AG21="AE")+(C21:AG21="EM"))</f>
        <v/>
      </c>
      <c r="AS21" s="238" t="n"/>
      <c r="AT21" s="238">
        <f>(AP21-AQ21)/2+(AR21-AS21)</f>
        <v/>
      </c>
      <c r="AU21" s="238">
        <f>AH21+AI21+AJ21+AK21+AM21+AN21</f>
        <v/>
      </c>
      <c r="AV21" s="238">
        <f>BF21+BG21+BI21+BD21+BB21+AZ21+BK21</f>
        <v/>
      </c>
      <c r="AW21" s="238">
        <f>AT21+AX21</f>
        <v/>
      </c>
      <c r="AX21" s="313">
        <f>(BI21*('Setting key Duty'!$I$8+'Setting key Duty'!$I$12))+(BG21*'Setting key Duty'!$I$9)+(BB21*('Setting key Duty'!$I$13+'Setting key Duty'!$I$9))+(AZ21*('Setting key Duty'!$I$13+'Setting key Duty'!$I$12+'Setting key Duty'!$I$11))+(BD21*('Setting key Duty'!$I$8+'Setting key Duty'!$I$9+'Setting key Duty'!$I$12))</f>
        <v/>
      </c>
      <c r="AY21" s="313">
        <f>COUNTIF(D21:AC21,"*BRT*")</f>
        <v/>
      </c>
      <c r="AZ21" s="313">
        <f>COUNTIF(A21:AH21,"*$BTP*")</f>
        <v/>
      </c>
      <c r="BA21" s="313">
        <f>AZ21*('Setting key Duty'!$I$13+'Setting key Duty'!$I$12+'Setting key Duty'!$I$11)</f>
        <v/>
      </c>
      <c r="BB21" s="313">
        <f>COUNTIF(A21:AH21,"*$L*")</f>
        <v/>
      </c>
      <c r="BC21" s="313">
        <f>BB21*('Setting key Duty'!$I$13+'Setting key Duty'!$I$9)</f>
        <v/>
      </c>
      <c r="BD21" s="313">
        <f>COUNTIF(A21:AH21,"*$M*")</f>
        <v/>
      </c>
      <c r="BE21" s="313">
        <f>BD21*('Setting key Duty'!$I$8+'Setting key Duty'!$I$9+'Setting key Duty'!$I$12)</f>
        <v/>
      </c>
      <c r="BF21" s="313">
        <f>COUNTIF(AH21,"*$N*")</f>
        <v/>
      </c>
      <c r="BG21" s="313">
        <f>COUNTIF(AH21,"*$PM*")</f>
        <v/>
      </c>
      <c r="BH21" s="313">
        <f>BG21*('Setting key Duty'!$I$9)</f>
        <v/>
      </c>
      <c r="BI21" s="313">
        <f>COUNTIF(A21:AH21,"*$AM*")</f>
        <v/>
      </c>
      <c r="BJ21" s="313">
        <f>BI21*('Setting key Duty'!$I$12+'Setting key Duty'!$I$8)</f>
        <v/>
      </c>
      <c r="BK21" s="313">
        <f>COUNTIF(D21:AH21,"*$FC*")</f>
        <v/>
      </c>
      <c r="BL21" s="313">
        <f>BK21*('Setting key Duty'!$J$11+'Setting key Duty'!$I$8)</f>
        <v/>
      </c>
      <c r="BM21" s="313">
        <f>COUNTIF($D21:$AC21,BM$4)</f>
        <v/>
      </c>
      <c r="BN21" s="313">
        <f>COUNTIF($D21:$AC21,BN$4)</f>
        <v/>
      </c>
      <c r="BO21" s="313">
        <f>COUNTIF($D21:$AC21,BO$4)</f>
        <v/>
      </c>
      <c r="BP21" s="314" t="n"/>
    </row>
    <row r="22" ht="19.5" customHeight="1">
      <c r="A22" s="309" t="n"/>
      <c r="B22" s="392" t="inlineStr">
        <is>
          <t>CFC TAN WAI KEAT</t>
        </is>
      </c>
      <c r="C22" s="197" t="n"/>
      <c r="D22" s="198" t="inlineStr">
        <is>
          <t>CS2</t>
        </is>
      </c>
      <c r="E22" s="197" t="n"/>
      <c r="F22" s="106" t="n"/>
      <c r="G22" s="197" t="inlineStr">
        <is>
          <t>CS2</t>
        </is>
      </c>
      <c r="H22" s="324" t="n"/>
      <c r="I22" s="198" t="inlineStr">
        <is>
          <t>CS1</t>
        </is>
      </c>
      <c r="K22" s="197" t="n"/>
      <c r="L22" s="197" t="n"/>
      <c r="M22" s="197" t="n"/>
      <c r="N22" s="197" t="n"/>
      <c r="O22" s="197" t="inlineStr">
        <is>
          <t>CS2</t>
        </is>
      </c>
      <c r="P22" s="197" t="n"/>
      <c r="Q22" s="197" t="n"/>
      <c r="R22" s="197" t="n"/>
      <c r="S22" s="197" t="n"/>
      <c r="T22" s="197" t="n"/>
      <c r="U22" s="197" t="n"/>
      <c r="V22" s="197" t="inlineStr">
        <is>
          <t>DM</t>
        </is>
      </c>
      <c r="W22" s="197" t="n"/>
      <c r="X22" s="197" t="n"/>
      <c r="Y22" s="197" t="inlineStr">
        <is>
          <t>CS1</t>
        </is>
      </c>
      <c r="Z22" s="106" t="n"/>
      <c r="AA22" s="396" t="n"/>
      <c r="AB22" s="197" t="inlineStr">
        <is>
          <t>CS2</t>
        </is>
      </c>
      <c r="AE22" s="197" t="n"/>
      <c r="AF22" s="106" t="n"/>
      <c r="AH22" s="311" t="n"/>
      <c r="AI22" s="312" t="n"/>
      <c r="AJ22" s="311" t="n"/>
      <c r="AK22" s="313" t="n"/>
      <c r="AL22" s="313" t="n"/>
      <c r="AM22" s="313" t="n"/>
      <c r="AN22" s="313" t="n"/>
      <c r="AO22" s="238" t="n"/>
      <c r="AP22" s="313">
        <f>SUMPRODUCT(--WEEKDAY(C$3:AG$3,2)&lt;6,--((C22:AG22="DM"))+(C22:AG22="CS1")+((C22:AG22="CS2"))+(C22:AG22="SB1")+(C22:AG22="AE")+(C22:AG22="EM"))</f>
        <v/>
      </c>
      <c r="AQ22" s="238" t="n"/>
      <c r="AR22" s="238">
        <f>SUMPRODUCT(--WEEKDAY(C$3:AG$3,2)&gt;5,--((C22:AG22="DM"))+(C22:AG22="CS1")+((C22:AG22="CS2"))+(C22:AG22="SB1")+(C22:AG22="AE")+(C22:AG22="EM"))</f>
        <v/>
      </c>
      <c r="AS22" s="238" t="n"/>
      <c r="AT22" s="238">
        <f>(AP22-AQ22)/2+(AR22-AS22)</f>
        <v/>
      </c>
      <c r="AU22" s="238">
        <f>AH22+AI22+AJ22+AK22+AM22+AN22</f>
        <v/>
      </c>
      <c r="AV22" s="238">
        <f>BF22+BG22+BI22+BD22+BB22+AZ22+BK22</f>
        <v/>
      </c>
      <c r="AW22" s="238">
        <f>AT22+AX22</f>
        <v/>
      </c>
      <c r="AX22" s="313">
        <f>(BI22*('Setting key Duty'!$I$8+'Setting key Duty'!$I$12))+(BG22*'Setting key Duty'!$I$9)+(BB22*('Setting key Duty'!$I$13+'Setting key Duty'!$I$9))+(AZ22*('Setting key Duty'!$I$13+'Setting key Duty'!$I$12+'Setting key Duty'!$I$11))+(BD22*('Setting key Duty'!$I$8+'Setting key Duty'!$I$9+'Setting key Duty'!$I$12))</f>
        <v/>
      </c>
      <c r="AY22" s="313">
        <f>COUNTIF(D22:AB22,"*BRT*")</f>
        <v/>
      </c>
      <c r="AZ22" s="313">
        <f>COUNTIF(A22:AH22,"*$BTP*")</f>
        <v/>
      </c>
      <c r="BA22" s="313">
        <f>AZ22*('Setting key Duty'!$I$13+'Setting key Duty'!$I$12+'Setting key Duty'!$I$11)</f>
        <v/>
      </c>
      <c r="BB22" s="313">
        <f>COUNTIF(A22:AH22,"*$L*")</f>
        <v/>
      </c>
      <c r="BC22" s="313">
        <f>BB22*('Setting key Duty'!$I$13+'Setting key Duty'!$I$9)</f>
        <v/>
      </c>
      <c r="BD22" s="313">
        <f>COUNTIF(A22:AH22,"*$M*")</f>
        <v/>
      </c>
      <c r="BE22" s="313">
        <f>BD22*('Setting key Duty'!$I$8+'Setting key Duty'!$I$9+'Setting key Duty'!$I$12)</f>
        <v/>
      </c>
      <c r="BF22" s="313">
        <f>COUNTIF(AE22:AH22,"*$N*")</f>
        <v/>
      </c>
      <c r="BG22" s="313">
        <f>COUNTIF(AE22:AH22,"*$PM*")</f>
        <v/>
      </c>
      <c r="BH22" s="313">
        <f>BG22*('Setting key Duty'!$I$9)</f>
        <v/>
      </c>
      <c r="BI22" s="313">
        <f>COUNTIF(A22:AH22,"*$AM*")</f>
        <v/>
      </c>
      <c r="BJ22" s="313">
        <f>BI22*('Setting key Duty'!$I$12+'Setting key Duty'!$I$8)</f>
        <v/>
      </c>
      <c r="BK22" s="313">
        <f>COUNTIF(D22:AH22,"*$FC*")</f>
        <v/>
      </c>
      <c r="BL22" s="313">
        <f>BK22*('Setting key Duty'!$J$11+'Setting key Duty'!$I$8)</f>
        <v/>
      </c>
      <c r="BM22" s="313">
        <f>COUNTIF($D22:$AE22,BM$4)</f>
        <v/>
      </c>
      <c r="BN22" s="313">
        <f>COUNTIF($D22:$AE22,BN$4)</f>
        <v/>
      </c>
      <c r="BO22" s="313">
        <f>COUNTIF($D22:$AE22,BO$4)</f>
        <v/>
      </c>
      <c r="BP22" s="314" t="n"/>
    </row>
    <row r="23" ht="19.5" customHeight="1">
      <c r="A23" s="309" t="n"/>
      <c r="B23" s="335" t="inlineStr">
        <is>
          <t>LCP WAN FARID BIN ABDULLAH</t>
        </is>
      </c>
      <c r="D23" s="197" t="inlineStr">
        <is>
          <t>RM RECCE</t>
        </is>
      </c>
      <c r="E23" s="197" t="n"/>
      <c r="F23" s="197" t="inlineStr">
        <is>
          <t>RM</t>
        </is>
      </c>
      <c r="G23" s="198" t="inlineStr">
        <is>
          <t>RM OFF</t>
        </is>
      </c>
      <c r="H23" s="324" t="inlineStr">
        <is>
          <t>SB1</t>
        </is>
      </c>
      <c r="I23" s="324" t="n"/>
      <c r="J23" s="197" t="n"/>
      <c r="K23" s="197" t="inlineStr">
        <is>
          <t>CS1</t>
        </is>
      </c>
      <c r="L23" s="197" t="n"/>
      <c r="M23" s="106" t="n"/>
      <c r="N23" s="106" t="n"/>
      <c r="O23" s="197" t="inlineStr">
        <is>
          <t>AL</t>
        </is>
      </c>
      <c r="Q23" s="197" t="inlineStr">
        <is>
          <t>CS1</t>
        </is>
      </c>
      <c r="R23" s="106" t="n"/>
      <c r="S23" s="197" t="n"/>
      <c r="T23" s="197" t="inlineStr">
        <is>
          <t>AL</t>
        </is>
      </c>
      <c r="U23" s="197" t="inlineStr">
        <is>
          <t>AL</t>
        </is>
      </c>
      <c r="V23" s="197" t="inlineStr">
        <is>
          <t>BAND</t>
        </is>
      </c>
      <c r="X23" s="198" t="n"/>
      <c r="Y23" s="197" t="inlineStr">
        <is>
          <t>AL</t>
        </is>
      </c>
      <c r="Z23" s="197" t="inlineStr">
        <is>
          <t>AL</t>
        </is>
      </c>
      <c r="AA23" s="396" t="inlineStr">
        <is>
          <t>DM</t>
        </is>
      </c>
      <c r="AB23" s="198" t="n"/>
      <c r="AC23" s="197" t="n"/>
      <c r="AD23" s="198" t="n"/>
      <c r="AE23" s="198" t="n"/>
      <c r="AF23" s="197" t="inlineStr">
        <is>
          <t>AL</t>
        </is>
      </c>
      <c r="AG23" s="197" t="inlineStr">
        <is>
          <t>AL</t>
        </is>
      </c>
      <c r="AH23" s="311" t="n"/>
      <c r="AI23" s="312" t="n"/>
      <c r="AJ23" s="311" t="n"/>
      <c r="AK23" s="313" t="n"/>
      <c r="AL23" s="313" t="n"/>
      <c r="AM23" s="313" t="n"/>
      <c r="AN23" s="313" t="n"/>
      <c r="AO23" s="238" t="n"/>
      <c r="AP23" s="313">
        <f>SUMPRODUCT(--WEEKDAY(C$3:AG$3,2)&lt;6,--((C23:AG23="DM"))+(C23:AG23="CS1")+((C23:AG23="CS2"))+(C23:AG23="SB1")+(C23:AG23="AE")+(C23:AG23="EM"))</f>
        <v/>
      </c>
      <c r="AQ23" s="238" t="n"/>
      <c r="AR23" s="238">
        <f>SUMPRODUCT(--WEEKDAY(C$3:AG$3,2)&gt;5,--((C23:AG23="DM"))+(C23:AG23="CS1")+((C23:AG23="CS2"))+(C23:AG23="SB1")+(C23:AG23="AE")+(C23:AG23="EM"))</f>
        <v/>
      </c>
      <c r="AS23" s="238" t="n"/>
      <c r="AT23" s="238">
        <f>(AP23-AQ23)/2+(AR23-AS23)</f>
        <v/>
      </c>
      <c r="AU23" s="238">
        <f>AH23+AI23+AJ23+AK23+AM23+AN23</f>
        <v/>
      </c>
      <c r="AV23" s="238">
        <f>BF23+BG23+BI23+BD23+BB23+AZ23+BK23</f>
        <v/>
      </c>
      <c r="AW23" s="238">
        <f>AT23+AX23</f>
        <v/>
      </c>
      <c r="AX23" s="313">
        <f>(BI23*('Setting key Duty'!$I$8+'Setting key Duty'!$I$12))+(BG23*'Setting key Duty'!$I$9)+(BB23*('Setting key Duty'!$I$13+'Setting key Duty'!$I$9))+(AZ23*('Setting key Duty'!$I$13+'Setting key Duty'!$I$12+'Setting key Duty'!$I$11))+(BD23*('Setting key Duty'!$I$8+'Setting key Duty'!$I$9+'Setting key Duty'!$I$12))</f>
        <v/>
      </c>
      <c r="AY23" s="313">
        <f>COUNTIF(D23:AA23,"*BRT*")</f>
        <v/>
      </c>
      <c r="AZ23" s="313">
        <f>COUNTIF(A23:AH23,"*$BTP*")</f>
        <v/>
      </c>
      <c r="BA23" s="313">
        <f>AZ23*('Setting key Duty'!$I$13+'Setting key Duty'!$I$12+'Setting key Duty'!$I$11)</f>
        <v/>
      </c>
      <c r="BB23" s="313">
        <f>COUNTIF(A23:AH23,"*$L*")</f>
        <v/>
      </c>
      <c r="BC23" s="313">
        <f>BB23*('Setting key Duty'!$I$13+'Setting key Duty'!$I$9)</f>
        <v/>
      </c>
      <c r="BD23" s="313">
        <f>COUNTIF(A23:AH23,"*$M*")</f>
        <v/>
      </c>
      <c r="BE23" s="313">
        <f>BD23*('Setting key Duty'!$I$8+'Setting key Duty'!$I$9+'Setting key Duty'!$I$12)</f>
        <v/>
      </c>
      <c r="BF23" s="313">
        <f>COUNTIF(AH23,"*$N*")</f>
        <v/>
      </c>
      <c r="BG23" s="313">
        <f>COUNTIF(AH23,"*$PM*")</f>
        <v/>
      </c>
      <c r="BH23" s="313">
        <f>BG23*('Setting key Duty'!$I$9)</f>
        <v/>
      </c>
      <c r="BI23" s="313">
        <f>COUNTIF(A23:AH23,"*$AM*")</f>
        <v/>
      </c>
      <c r="BJ23" s="313">
        <f>BI23*('Setting key Duty'!$I$12+'Setting key Duty'!$I$8)</f>
        <v/>
      </c>
      <c r="BK23" s="313">
        <f>COUNTIF(D23:AH23,"*$FC*")</f>
        <v/>
      </c>
      <c r="BL23" s="313">
        <f>BK23*('Setting key Duty'!$J$11+'Setting key Duty'!$I$8)</f>
        <v/>
      </c>
      <c r="BM23" s="313">
        <f>COUNTIF($D23:$AA23,BM$4)</f>
        <v/>
      </c>
      <c r="BN23" s="313">
        <f>COUNTIF($D23:$AA23,BN$4)</f>
        <v/>
      </c>
      <c r="BO23" s="313">
        <f>COUNTIF($D23:$AA23,BO$4)</f>
        <v/>
      </c>
      <c r="BP23" s="314" t="n"/>
    </row>
    <row r="24" ht="19.5" customHeight="1">
      <c r="A24" s="309" t="n"/>
      <c r="B24" s="334" t="inlineStr">
        <is>
          <t>PTE JAY DEOL FROST</t>
        </is>
      </c>
      <c r="D24" s="324" t="inlineStr">
        <is>
          <t>PHLEBO</t>
        </is>
      </c>
      <c r="E24" s="324" t="inlineStr">
        <is>
          <t>PHLEBO</t>
        </is>
      </c>
      <c r="F24" s="324" t="inlineStr">
        <is>
          <t>PHLEBO</t>
        </is>
      </c>
      <c r="G24" s="324" t="inlineStr">
        <is>
          <t>PHLEBO</t>
        </is>
      </c>
      <c r="H24" s="324" t="n"/>
      <c r="I24" s="317" t="inlineStr">
        <is>
          <t>CS2</t>
        </is>
      </c>
      <c r="K24" s="197" t="n"/>
      <c r="L24" s="317" t="inlineStr">
        <is>
          <t>AE</t>
        </is>
      </c>
      <c r="N24" s="395" t="inlineStr">
        <is>
          <t>N $AM IPPPT (0500-1100)</t>
        </is>
      </c>
      <c r="O24" s="197" t="n"/>
      <c r="P24" s="197" t="n"/>
      <c r="S24" s="197" t="n"/>
      <c r="T24" s="197" t="inlineStr">
        <is>
          <t>PHLEBO</t>
        </is>
      </c>
      <c r="U24" s="197" t="n"/>
      <c r="V24" s="197" t="inlineStr">
        <is>
          <t>AL</t>
        </is>
      </c>
      <c r="W24" s="197" t="n"/>
      <c r="X24" s="198" t="n"/>
      <c r="Y24" s="197" t="inlineStr">
        <is>
          <t>AL</t>
        </is>
      </c>
      <c r="Z24" s="197" t="inlineStr">
        <is>
          <t>AL</t>
        </is>
      </c>
      <c r="AA24" s="396" t="n"/>
      <c r="AB24" s="197" t="inlineStr">
        <is>
          <t>CS1</t>
        </is>
      </c>
      <c r="AC24" s="197" t="n"/>
      <c r="AD24" s="197" t="inlineStr">
        <is>
          <t>CS2</t>
        </is>
      </c>
      <c r="AE24" s="197" t="n"/>
      <c r="AF24" s="197" t="n"/>
      <c r="AG24" s="197" t="inlineStr">
        <is>
          <t>AL</t>
        </is>
      </c>
      <c r="AH24" s="311">
        <f>COUNTIF($C24:$AF24,AH$4)</f>
        <v/>
      </c>
      <c r="AI24" s="312">
        <f>COUNTIF($C24:$AF24,AI$4)</f>
        <v/>
      </c>
      <c r="AJ24" s="311">
        <f>COUNTIF($C24:$AF24,AJ$4)</f>
        <v/>
      </c>
      <c r="AK24" s="313">
        <f>COUNTIF($C24:$AF24,AK$4)</f>
        <v/>
      </c>
      <c r="AL24" s="313">
        <f>COUNTIF($C24:$AF24,AL$4)</f>
        <v/>
      </c>
      <c r="AM24" s="313">
        <f>COUNTIF($C24:$AF24,AM$4)</f>
        <v/>
      </c>
      <c r="AN24" s="313">
        <f>COUNTIF($C24:$AF24,AN$4)</f>
        <v/>
      </c>
      <c r="AO24" s="238" t="n"/>
      <c r="AP24" s="313">
        <f>SUMPRODUCT(--WEEKDAY(C$3:AG$3,2)&lt;6,--((C24:AG24="DM"))+(C24:AG24="CS1")+((C24:AG24="CS2"))+(C24:AG24="SB1")+(C24:AG24="AE")+(C24:AG24="EM"))</f>
        <v/>
      </c>
      <c r="AQ24" s="238" t="n"/>
      <c r="AR24" s="238">
        <f>SUMPRODUCT(--WEEKDAY(C$3:AG$3,2)&gt;5,--((C24:AG24="DM"))+(C24:AG24="CS1")+((C24:AG24="CS2"))+(C24:AG24="SB1")+(C24:AG24="AE")+(C24:AG24="EM"))</f>
        <v/>
      </c>
      <c r="AS24" s="238" t="n"/>
      <c r="AT24" s="238">
        <f>(AP24-AQ24)/2+(AR24-AS24)</f>
        <v/>
      </c>
      <c r="AU24" s="238">
        <f>AH24+AI24+AJ24+AK24+AM24+AN24</f>
        <v/>
      </c>
      <c r="AV24" s="238">
        <f>BF24+BG24+BI24+BD24+BB24+AZ24+BK24</f>
        <v/>
      </c>
      <c r="AW24" s="238">
        <f>AT24+AX24</f>
        <v/>
      </c>
      <c r="AX24" s="313">
        <f>(BI24*('Setting key Duty'!$I$8+'Setting key Duty'!$I$12))+(BG24*'Setting key Duty'!$I$9)+(BB24*('Setting key Duty'!$I$13+'Setting key Duty'!$I$9))+(AZ24*('Setting key Duty'!$I$13+'Setting key Duty'!$I$12+'Setting key Duty'!$I$11))+(BD24*('Setting key Duty'!$I$8+'Setting key Duty'!$I$9+'Setting key Duty'!$I$12))</f>
        <v/>
      </c>
      <c r="AY24" s="313">
        <f>COUNTIF(C24:AC24,"*BRT*")</f>
        <v/>
      </c>
      <c r="AZ24" s="313">
        <f>COUNTIF(A24:AH24,"*$BTP*")</f>
        <v/>
      </c>
      <c r="BA24" s="313">
        <f>AZ24*('Setting key Duty'!$I$13+'Setting key Duty'!$I$12+'Setting key Duty'!$I$11)</f>
        <v/>
      </c>
      <c r="BB24" s="313">
        <f>COUNTIF(I24:AH24,"*$L*")</f>
        <v/>
      </c>
      <c r="BC24" s="313">
        <f>BB24*('Setting key Duty'!$I$13+'Setting key Duty'!$I$9)</f>
        <v/>
      </c>
      <c r="BD24" s="313">
        <f>COUNTIF(I24:AH24,"*$M*")</f>
        <v/>
      </c>
      <c r="BE24" s="313">
        <f>BD24*('Setting key Duty'!$I$8+'Setting key Duty'!$I$9+'Setting key Duty'!$I$12)</f>
        <v/>
      </c>
      <c r="BF24" s="313">
        <f>COUNTIF(I24:AH24,"*$N*")</f>
        <v/>
      </c>
      <c r="BG24" s="313">
        <f>COUNTIF(I24:AH24,"*$PM*")</f>
        <v/>
      </c>
      <c r="BH24" s="313">
        <f>BG24*('Setting key Duty'!$I$9)</f>
        <v/>
      </c>
      <c r="BI24" s="313">
        <f>COUNTIF(I24:AH24,"*$AM*")</f>
        <v/>
      </c>
      <c r="BJ24" s="313">
        <f>BI24*('Setting key Duty'!$I$12+'Setting key Duty'!$I$8)</f>
        <v/>
      </c>
      <c r="BK24" s="313">
        <f>COUNTIF(C24:AH24,"*$FC*")</f>
        <v/>
      </c>
      <c r="BL24" s="313">
        <f>BK24*('Setting key Duty'!$J$11+'Setting key Duty'!$I$8)</f>
        <v/>
      </c>
      <c r="BM24" s="313">
        <f>COUNTIF($C24:$AF24,BM$4)</f>
        <v/>
      </c>
      <c r="BN24" s="313">
        <f>COUNTIF($C24:$AF24,BN$4)</f>
        <v/>
      </c>
      <c r="BO24" s="313">
        <f>COUNTIF($I24:$AE24,BO$4)</f>
        <v/>
      </c>
      <c r="BP24" s="314" t="n"/>
    </row>
    <row r="25" ht="19.5" customHeight="1">
      <c r="A25" s="309" t="n"/>
      <c r="B25" s="373" t="inlineStr">
        <is>
          <t>LCP MUHAMMAD AQIL HAMZAH BIN SYELDRICK</t>
        </is>
      </c>
      <c r="C25" s="197" t="n"/>
      <c r="D25" s="197" t="inlineStr">
        <is>
          <t>AL</t>
        </is>
      </c>
      <c r="F25" s="197" t="inlineStr">
        <is>
          <t>RM</t>
        </is>
      </c>
      <c r="G25" s="198" t="inlineStr">
        <is>
          <t>RM OFF</t>
        </is>
      </c>
      <c r="I25" s="197" t="n"/>
      <c r="J25" s="197" t="n"/>
      <c r="K25" s="106" t="n"/>
      <c r="L25" s="197" t="n"/>
      <c r="M25" s="197" t="inlineStr">
        <is>
          <t>R $L ATP/CS (0600-2359)</t>
        </is>
      </c>
      <c r="N25" s="197" t="n"/>
      <c r="O25" s="197" t="inlineStr">
        <is>
          <t>CS1</t>
        </is>
      </c>
      <c r="P25" s="197" t="n"/>
      <c r="Q25" s="197" t="n"/>
      <c r="S25" s="197" t="inlineStr">
        <is>
          <t>CS2</t>
        </is>
      </c>
      <c r="T25" s="197" t="n"/>
      <c r="U25" s="197" t="n"/>
      <c r="V25" s="197" t="inlineStr">
        <is>
          <t>AE</t>
        </is>
      </c>
      <c r="W25" s="197" t="inlineStr">
        <is>
          <t>AL</t>
        </is>
      </c>
      <c r="X25" s="197" t="inlineStr">
        <is>
          <t>AL</t>
        </is>
      </c>
      <c r="Y25" s="197" t="inlineStr">
        <is>
          <t>AL</t>
        </is>
      </c>
      <c r="Z25" s="197" t="inlineStr">
        <is>
          <t>AL</t>
        </is>
      </c>
      <c r="AA25" s="397" t="n"/>
      <c r="AB25" s="197" t="n"/>
      <c r="AC25" s="197" t="n"/>
      <c r="AD25" s="197" t="n"/>
      <c r="AE25" s="197" t="n"/>
      <c r="AF25" s="197" t="inlineStr">
        <is>
          <t>CS2</t>
        </is>
      </c>
      <c r="AG25" s="197" t="n"/>
      <c r="AH25" s="311" t="n"/>
      <c r="AI25" s="312" t="n"/>
      <c r="AJ25" s="311" t="n"/>
      <c r="AK25" s="313" t="n"/>
      <c r="AL25" s="313" t="n"/>
      <c r="AM25" s="313" t="n"/>
      <c r="AN25" s="313" t="n"/>
      <c r="AO25" s="238" t="n"/>
      <c r="AP25" s="313">
        <f>SUMPRODUCT(--WEEKDAY(C$3:AG$3,2)&lt;6,--((C25:AG25="DM"))+(C25:AG25="CS1")+((C25:AG25="CS2"))+(C25:AG25="SB1")+(C25:AG25="AE")+(C25:AG25="EM"))</f>
        <v/>
      </c>
      <c r="AQ25" s="238" t="n"/>
      <c r="AR25" s="238">
        <f>SUMPRODUCT(--WEEKDAY(C$3:AG$3,2)&gt;5,--((C25:AG25="DM"))+(C25:AG25="CS1")+((C25:AG25="CS2"))+(C25:AG25="SB1")+(C25:AG25="AE")+(C25:AG25="EM"))</f>
        <v/>
      </c>
      <c r="AS25" s="238" t="n"/>
      <c r="AT25" s="238">
        <f>(AP25-AQ25)/2+(AR25-AS25)</f>
        <v/>
      </c>
      <c r="AU25" s="238">
        <f>AH25+AI25+AJ25+AK25+AM25+AN25</f>
        <v/>
      </c>
      <c r="AV25" s="238">
        <f>BF25+BG25+BI25+BD25+BB25+AZ25+BK25</f>
        <v/>
      </c>
      <c r="AW25" s="238">
        <f>AT25+$AX$25</f>
        <v/>
      </c>
      <c r="AX25" s="313">
        <f>(BI25*('Setting key Duty'!$I$8+'Setting key Duty'!$I$12))+(BG25*'Setting key Duty'!$I$9)+(BB25*('Setting key Duty'!$I$13+'Setting key Duty'!$I$9))+(AZ25*('Setting key Duty'!$I$13+'Setting key Duty'!$I$12+'Setting key Duty'!$I$11))+(BD25*('Setting key Duty'!$I$8+'Setting key Duty'!$I$9+'Setting key Duty'!$I$12))</f>
        <v/>
      </c>
      <c r="AY25" s="313">
        <f>COUNTIF(C25:AC25,"*BRT*")</f>
        <v/>
      </c>
      <c r="AZ25" s="313">
        <f>COUNTIF(A25:AH25,"*$BTP*")</f>
        <v/>
      </c>
      <c r="BA25" s="313">
        <f>AZ25*('Setting key Duty'!$I$13+'Setting key Duty'!$I$12+'Setting key Duty'!$I$11)</f>
        <v/>
      </c>
      <c r="BB25" s="313">
        <f>COUNTIF(D25:AH25,"*$L*")</f>
        <v/>
      </c>
      <c r="BC25" s="313">
        <f>BB25*('Setting key Duty'!$I$13+'Setting key Duty'!$I$9)</f>
        <v/>
      </c>
      <c r="BD25" s="313">
        <f>COUNTIF(D25:AH25,"*$M*")</f>
        <v/>
      </c>
      <c r="BE25" s="313">
        <f>BD25*('Setting key Duty'!$I$8+'Setting key Duty'!$I$9+'Setting key Duty'!$I$12)</f>
        <v/>
      </c>
      <c r="BF25" s="313">
        <f>COUNTIF(D25:AH25,"*$N*")</f>
        <v/>
      </c>
      <c r="BG25" s="313">
        <f>COUNTIF(D25:AH25,"*$PM*")</f>
        <v/>
      </c>
      <c r="BH25" s="313">
        <f>BG25*('Setting key Duty'!$I$9)</f>
        <v/>
      </c>
      <c r="BI25" s="313">
        <f>COUNTIF(D25:AH25,"*$AM*")</f>
        <v/>
      </c>
      <c r="BJ25" s="313">
        <f>BI25*('Setting key Duty'!$I$12+'Setting key Duty'!$I$8)</f>
        <v/>
      </c>
      <c r="BK25" s="313">
        <f>COUNTIF(C25:AH25,"*$FC*")</f>
        <v/>
      </c>
      <c r="BL25" s="313">
        <f>BK25*('Setting key Duty'!$J$11+'Setting key Duty'!$I$8)</f>
        <v/>
      </c>
      <c r="BM25" s="313">
        <f>COUNTIF($C25:$AG25,BM$4)</f>
        <v/>
      </c>
      <c r="BN25" s="313">
        <f>COUNTIF($C25:$AG25,BN$4)</f>
        <v/>
      </c>
      <c r="BO25" s="313">
        <f>COUNTIF($D25:$AE25,BO$4)</f>
        <v/>
      </c>
      <c r="BP25" s="314" t="n"/>
    </row>
    <row r="26" ht="19.5" customHeight="1">
      <c r="A26" s="309" t="n"/>
      <c r="B26" s="373" t="inlineStr">
        <is>
          <t>PTE JASON TAN JIAN CHEN</t>
        </is>
      </c>
      <c r="C26" s="317" t="n"/>
      <c r="D26" s="324" t="inlineStr">
        <is>
          <t>PHLEBO</t>
        </is>
      </c>
      <c r="E26" s="324" t="inlineStr">
        <is>
          <t>PHLEBO</t>
        </is>
      </c>
      <c r="F26" s="324" t="inlineStr">
        <is>
          <t>PHLEBO</t>
        </is>
      </c>
      <c r="G26" s="324" t="inlineStr">
        <is>
          <t>PHLEBO</t>
        </is>
      </c>
      <c r="H26" s="197" t="inlineStr">
        <is>
          <t>SCH 2 $M RE GX (0600-1300)</t>
        </is>
      </c>
      <c r="I26" s="197" t="n"/>
      <c r="J26" s="197" t="n"/>
      <c r="K26" s="317" t="inlineStr">
        <is>
          <t>OL</t>
        </is>
      </c>
      <c r="L26" s="317" t="inlineStr">
        <is>
          <t>OL</t>
        </is>
      </c>
      <c r="M26" s="317" t="inlineStr">
        <is>
          <t>OL</t>
        </is>
      </c>
      <c r="N26" s="317" t="inlineStr">
        <is>
          <t>AE</t>
        </is>
      </c>
      <c r="O26" s="317" t="n"/>
      <c r="P26" s="317" t="n"/>
      <c r="Q26" s="317" t="n"/>
      <c r="S26" s="317" t="inlineStr">
        <is>
          <t>OL</t>
        </is>
      </c>
      <c r="T26" s="197" t="inlineStr">
        <is>
          <t>OL</t>
        </is>
      </c>
      <c r="U26" s="197" t="inlineStr">
        <is>
          <t>PHLEBO</t>
        </is>
      </c>
      <c r="V26" s="197" t="inlineStr">
        <is>
          <t>E $AM IPPT (0500-1100)</t>
        </is>
      </c>
      <c r="W26" s="197" t="n"/>
      <c r="X26" s="317" t="n"/>
      <c r="Y26" s="197" t="inlineStr">
        <is>
          <t>AE</t>
        </is>
      </c>
      <c r="AA26" s="397" t="n"/>
      <c r="AB26" s="198" t="inlineStr">
        <is>
          <t>N $AM ER (0600-1100)</t>
        </is>
      </c>
      <c r="AC26" s="197" t="n"/>
      <c r="AD26" s="197" t="n"/>
      <c r="AE26" s="197" t="n"/>
      <c r="AF26" s="197" t="inlineStr">
        <is>
          <t>N $AM ER (0600-1100)</t>
        </is>
      </c>
      <c r="AG26" s="317" t="n"/>
      <c r="AH26" s="311" t="n"/>
      <c r="AI26" s="312" t="n"/>
      <c r="AJ26" s="311" t="n"/>
      <c r="AK26" s="313" t="n"/>
      <c r="AL26" s="313" t="n"/>
      <c r="AM26" s="313" t="n"/>
      <c r="AN26" s="313" t="n"/>
      <c r="AO26" s="238" t="n"/>
      <c r="AP26" s="313">
        <f>SUMPRODUCT(--WEEKDAY(C$3:AG$3,2)&lt;6,--((C26:AG26="DM"))+(C26:AG26="CS1")+((C26:AG26="CS2"))+(C26:AG26="SB1")+(C26:AG26="AE")+(C26:AG26="EM"))</f>
        <v/>
      </c>
      <c r="AQ26" s="238" t="n"/>
      <c r="AR26" s="238">
        <f>SUMPRODUCT(--WEEKDAY(C$3:AG$3,2)&gt;5,--((C26:AG26="DM"))+(C26:AG26="CS1")+((C26:AG26="CS2"))+(C26:AG26="SB1")+(C26:AG26="AE")+(C26:AG26="EM"))</f>
        <v/>
      </c>
      <c r="AS26" s="238" t="n"/>
      <c r="AT26" s="238">
        <f>(AP26-AQ26)/2+(AR26-AS26)</f>
        <v/>
      </c>
      <c r="AU26" s="238">
        <f>AH26+AI26+AJ26+AK26+AM26+AN26</f>
        <v/>
      </c>
      <c r="AV26" s="238">
        <f>BF26+BG26+BI26+BD26+BB26+AZ26+BK26</f>
        <v/>
      </c>
      <c r="AW26" s="238">
        <f>AT26+$AX$25</f>
        <v/>
      </c>
      <c r="AX26" s="313">
        <f>(BI26*('Setting key Duty'!$I$8+'Setting key Duty'!$I$12))+(BG26*'Setting key Duty'!$I$9)+(BB26*('Setting key Duty'!$I$13+'Setting key Duty'!$I$9))+(AZ26*('Setting key Duty'!$I$13+'Setting key Duty'!$I$12+'Setting key Duty'!$I$11))+(BD26*('Setting key Duty'!$I$8+'Setting key Duty'!$I$9+'Setting key Duty'!$I$12))</f>
        <v/>
      </c>
      <c r="AY26" s="313" t="n"/>
      <c r="AZ26" s="313" t="n"/>
      <c r="BA26" s="313" t="n"/>
      <c r="BB26" s="313" t="n"/>
      <c r="BC26" s="313" t="n"/>
      <c r="BD26" s="313" t="n"/>
      <c r="BE26" s="313" t="n"/>
      <c r="BF26" s="313" t="n"/>
      <c r="BG26" s="313" t="n"/>
      <c r="BH26" s="313" t="n"/>
      <c r="BI26" s="313" t="n"/>
      <c r="BJ26" s="313" t="n"/>
      <c r="BK26" s="313" t="n"/>
      <c r="BL26" s="313" t="n"/>
      <c r="BM26" s="313" t="n"/>
      <c r="BN26" s="313" t="n"/>
      <c r="BO26" s="313" t="n"/>
      <c r="BP26" s="314" t="n"/>
    </row>
    <row r="27" ht="19.5" customHeight="1">
      <c r="A27" s="309" t="n"/>
      <c r="B27" s="373" t="inlineStr">
        <is>
          <t>PTE MUHAMAD LUTFIL AL-HADI</t>
        </is>
      </c>
      <c r="C27" s="317" t="n"/>
      <c r="D27" s="197" t="inlineStr">
        <is>
          <t>AE</t>
        </is>
      </c>
      <c r="F27" s="197" t="inlineStr">
        <is>
          <t>RM</t>
        </is>
      </c>
      <c r="G27" s="198" t="inlineStr">
        <is>
          <t>RM OFF</t>
        </is>
      </c>
      <c r="H27" s="324" t="inlineStr">
        <is>
          <t>AE</t>
        </is>
      </c>
      <c r="I27" s="317" t="n"/>
      <c r="K27" s="317" t="inlineStr">
        <is>
          <t>SB2</t>
        </is>
      </c>
      <c r="L27" s="197" t="inlineStr">
        <is>
          <t>MA</t>
        </is>
      </c>
      <c r="M27" s="317" t="inlineStr">
        <is>
          <t>AE</t>
        </is>
      </c>
      <c r="O27" s="197" t="inlineStr">
        <is>
          <t>AE</t>
        </is>
      </c>
      <c r="P27" s="197" t="n"/>
      <c r="R27" s="197" t="inlineStr">
        <is>
          <t>SB2</t>
        </is>
      </c>
      <c r="S27" s="317" t="inlineStr">
        <is>
          <t>OL</t>
        </is>
      </c>
      <c r="T27" s="317" t="inlineStr">
        <is>
          <t>OL</t>
        </is>
      </c>
      <c r="U27" s="317" t="inlineStr">
        <is>
          <t>OL</t>
        </is>
      </c>
      <c r="V27" s="317" t="inlineStr">
        <is>
          <t>OL</t>
        </is>
      </c>
      <c r="W27" s="317" t="inlineStr">
        <is>
          <t>OL</t>
        </is>
      </c>
      <c r="X27" s="317" t="inlineStr">
        <is>
          <t>OL</t>
        </is>
      </c>
      <c r="Y27" s="197" t="inlineStr">
        <is>
          <t>SB2</t>
        </is>
      </c>
      <c r="Z27" s="197" t="n"/>
      <c r="AA27" s="396" t="inlineStr">
        <is>
          <t>AE</t>
        </is>
      </c>
      <c r="AB27" s="197" t="n"/>
      <c r="AC27" s="197" t="n"/>
      <c r="AD27" s="197" t="inlineStr">
        <is>
          <t>AE</t>
        </is>
      </c>
      <c r="AE27" s="197" t="n"/>
      <c r="AF27" s="197" t="n"/>
      <c r="AG27" s="197" t="inlineStr">
        <is>
          <t>AE</t>
        </is>
      </c>
      <c r="AH27" s="311" t="n"/>
      <c r="AI27" s="312" t="n"/>
      <c r="AJ27" s="311" t="n"/>
      <c r="AK27" s="313" t="n"/>
      <c r="AL27" s="313" t="n"/>
      <c r="AM27" s="313" t="n"/>
      <c r="AN27" s="313" t="n"/>
      <c r="AO27" s="238" t="n"/>
      <c r="AP27" s="313">
        <f>SUMPRODUCT(--WEEKDAY(C$3:AG$3,2)&lt;6,--((C27:AG27="DM"))+(C27:AG27="CS1")+((C27:AG27="CS2"))+(C27:AG27="SB1")+(C27:AG27="AE")+(C27:AG27="EM"))</f>
        <v/>
      </c>
      <c r="AQ27" s="238" t="n"/>
      <c r="AR27" s="238">
        <f>SUMPRODUCT(--WEEKDAY(C$3:AG$3,2)&gt;5,--((C27:AG27="DM"))+(C27:AG27="CS1")+((C27:AG27="CS2"))+(C27:AG27="SB1")+(C27:AG27="AE")+(C27:AG27="EM"))</f>
        <v/>
      </c>
      <c r="AS27" s="238" t="n"/>
      <c r="AT27" s="238">
        <f>(AP27-AQ27)/2+(AR27-AS27)</f>
        <v/>
      </c>
      <c r="AU27" s="238">
        <f>AH27+AI27+AJ27+AK27+AM27+AN27</f>
        <v/>
      </c>
      <c r="AV27" s="238">
        <f>BF27+BG27+BI27+BD27+BB27+AZ27+BK27</f>
        <v/>
      </c>
      <c r="AW27" s="238">
        <f>AT27+$AX$25</f>
        <v/>
      </c>
      <c r="AX27" s="313">
        <f>(BI27*('Setting key Duty'!$I$8+'Setting key Duty'!$I$12))+(BG27*'Setting key Duty'!$I$9)+(BB27*('Setting key Duty'!$I$13+'Setting key Duty'!$I$9))+(AZ27*('Setting key Duty'!$I$13+'Setting key Duty'!$I$12+'Setting key Duty'!$I$11))+(BD27*('Setting key Duty'!$I$8+'Setting key Duty'!$I$9+'Setting key Duty'!$I$12))</f>
        <v/>
      </c>
      <c r="AY27" s="313" t="n"/>
      <c r="AZ27" s="313" t="n"/>
      <c r="BA27" s="313" t="n"/>
      <c r="BB27" s="313" t="n"/>
      <c r="BC27" s="313" t="n"/>
      <c r="BD27" s="313" t="n"/>
      <c r="BE27" s="313" t="n"/>
      <c r="BF27" s="313" t="n"/>
      <c r="BG27" s="313" t="n"/>
      <c r="BH27" s="313" t="n"/>
      <c r="BI27" s="313" t="n"/>
      <c r="BJ27" s="313" t="n"/>
      <c r="BK27" s="313" t="n"/>
      <c r="BL27" s="313" t="n"/>
      <c r="BM27" s="313" t="n"/>
      <c r="BN27" s="313" t="n"/>
      <c r="BO27" s="313" t="n"/>
      <c r="BP27" s="314" t="n"/>
    </row>
    <row r="28" ht="19.5" customHeight="1">
      <c r="A28" s="309" t="n"/>
      <c r="B28" s="373" t="inlineStr">
        <is>
          <t>PTE JARRETT TSING KEE JIN</t>
        </is>
      </c>
      <c r="C28" s="106" t="n"/>
      <c r="D28" s="197" t="inlineStr">
        <is>
          <t>42SAR $M ISAD (1000-2200)</t>
        </is>
      </c>
      <c r="E28" s="197" t="n"/>
      <c r="F28" s="197" t="inlineStr">
        <is>
          <t>RM</t>
        </is>
      </c>
      <c r="G28" s="198" t="inlineStr">
        <is>
          <t>RM OFF</t>
        </is>
      </c>
      <c r="H28" s="317" t="inlineStr">
        <is>
          <t>SB2</t>
        </is>
      </c>
      <c r="I28" s="317" t="n"/>
      <c r="J28" s="106" t="n"/>
      <c r="K28" s="317" t="inlineStr">
        <is>
          <t>OL</t>
        </is>
      </c>
      <c r="L28" s="317" t="inlineStr">
        <is>
          <t>OL</t>
        </is>
      </c>
      <c r="M28" s="317" t="inlineStr">
        <is>
          <t>OL</t>
        </is>
      </c>
      <c r="N28" s="317" t="inlineStr">
        <is>
          <t>SB2</t>
        </is>
      </c>
      <c r="O28" s="106" t="n"/>
      <c r="P28" s="317" t="inlineStr">
        <is>
          <t>AE</t>
        </is>
      </c>
      <c r="Q28" s="197" t="n"/>
      <c r="R28" s="197" t="inlineStr">
        <is>
          <t>AE</t>
        </is>
      </c>
      <c r="S28" s="197" t="inlineStr">
        <is>
          <t>N $PM PS SOC TEST (1600-2000)</t>
        </is>
      </c>
      <c r="U28" s="197" t="n"/>
      <c r="V28" s="197" t="inlineStr">
        <is>
          <t>SB2</t>
        </is>
      </c>
      <c r="W28" s="197" t="n"/>
      <c r="X28" s="197" t="n"/>
      <c r="Y28" s="197" t="n"/>
      <c r="Z28" s="197" t="inlineStr">
        <is>
          <t>AE</t>
        </is>
      </c>
      <c r="AA28" s="396" t="n"/>
      <c r="AB28" s="197" t="inlineStr">
        <is>
          <t>SB2</t>
        </is>
      </c>
      <c r="AC28" s="197" t="inlineStr">
        <is>
          <t>SB2</t>
        </is>
      </c>
      <c r="AD28" s="197" t="n"/>
      <c r="AE28" s="197" t="n"/>
      <c r="AF28" s="197" t="inlineStr">
        <is>
          <t>AE</t>
        </is>
      </c>
      <c r="AG28" s="106" t="n"/>
      <c r="AH28" s="311" t="n"/>
      <c r="AI28" s="312" t="n"/>
      <c r="AJ28" s="311" t="n"/>
      <c r="AK28" s="313" t="n"/>
      <c r="AL28" s="313" t="n"/>
      <c r="AM28" s="313" t="n"/>
      <c r="AN28" s="313" t="n"/>
      <c r="AO28" s="238" t="n"/>
      <c r="AP28" s="313">
        <f>SUMPRODUCT(--WEEKDAY(C$3:AG$3,2)&lt;6,--((C28:AG28="DM"))+(C28:AG28="CS1")+((C28:AG28="CS2"))+(C28:AG28="SB1")+(C28:AG28="AE")+(C28:AG28="EM"))</f>
        <v/>
      </c>
      <c r="AQ28" s="238" t="n"/>
      <c r="AR28" s="238">
        <f>SUMPRODUCT(--WEEKDAY(C$3:AG$3,2)&gt;5,--((C28:AG28="DM"))+(C28:AG28="CS1")+((C28:AG28="CS2"))+(C28:AG28="SB1")+(C28:AG28="AE")+(C28:AG28="EM"))</f>
        <v/>
      </c>
      <c r="AS28" s="238" t="n"/>
      <c r="AT28" s="238">
        <f>(AP28-AQ28)/2+(AR28-AS28)</f>
        <v/>
      </c>
      <c r="AU28" s="238">
        <f>AH28+AI28+AJ28+AK28+AM28+AN28</f>
        <v/>
      </c>
      <c r="AV28" s="238">
        <f>BF28+BG28+BI28+BD28+BB28+AZ28+BK28</f>
        <v/>
      </c>
      <c r="AW28" s="238">
        <f>AT28+$AX$25</f>
        <v/>
      </c>
      <c r="AX28" s="313">
        <f>(BI28*('Setting key Duty'!$I$8+'Setting key Duty'!$I$12))+(BG28*'Setting key Duty'!$I$9)+(BB28*('Setting key Duty'!$I$13+'Setting key Duty'!$I$9))+(AZ28*('Setting key Duty'!$I$13+'Setting key Duty'!$I$12+'Setting key Duty'!$I$11))+(BD28*('Setting key Duty'!$I$8+'Setting key Duty'!$I$9+'Setting key Duty'!$I$12))</f>
        <v/>
      </c>
      <c r="AY28" s="313" t="n"/>
      <c r="AZ28" s="313" t="n"/>
      <c r="BA28" s="313" t="n"/>
      <c r="BB28" s="313" t="n"/>
      <c r="BC28" s="313" t="n"/>
      <c r="BD28" s="313" t="n"/>
      <c r="BE28" s="313" t="n"/>
      <c r="BF28" s="313" t="n"/>
      <c r="BG28" s="313" t="n"/>
      <c r="BH28" s="313" t="n"/>
      <c r="BI28" s="313" t="n"/>
      <c r="BJ28" s="313" t="n"/>
      <c r="BK28" s="313" t="n"/>
      <c r="BL28" s="313" t="n"/>
      <c r="BM28" s="313" t="n"/>
      <c r="BN28" s="313" t="n"/>
      <c r="BO28" s="313" t="n"/>
      <c r="BP28" s="314" t="n"/>
    </row>
    <row r="29" ht="19.5" customHeight="1">
      <c r="A29" s="309" t="n"/>
      <c r="B29" s="373" t="inlineStr">
        <is>
          <t>PTE CHEN DENG FENG</t>
        </is>
      </c>
      <c r="C29" s="317" t="inlineStr">
        <is>
          <t>AE</t>
        </is>
      </c>
      <c r="D29" s="197" t="inlineStr">
        <is>
          <t>SB2</t>
        </is>
      </c>
      <c r="E29" s="197" t="inlineStr">
        <is>
          <t>HQBMTC $M GP REHEARSAL  (0800-1700)</t>
        </is>
      </c>
      <c r="F29" s="197" t="inlineStr">
        <is>
          <t>SCH2 $AM TEKONG 8 KM (0515-1100</t>
        </is>
      </c>
      <c r="G29" s="317" t="inlineStr">
        <is>
          <t>SB2</t>
        </is>
      </c>
      <c r="H29" s="197" t="inlineStr">
        <is>
          <t>MC</t>
        </is>
      </c>
      <c r="I29" s="197" t="inlineStr">
        <is>
          <t>MC</t>
        </is>
      </c>
      <c r="J29" s="317" t="inlineStr">
        <is>
          <t>AE</t>
        </is>
      </c>
      <c r="K29" s="317" t="n"/>
      <c r="L29" s="197" t="inlineStr">
        <is>
          <t>PTT</t>
        </is>
      </c>
      <c r="M29" s="317" t="inlineStr">
        <is>
          <t>SB2</t>
        </is>
      </c>
      <c r="N29" s="197" t="inlineStr">
        <is>
          <t>B $AM IPPT (0530-1100)</t>
        </is>
      </c>
      <c r="O29" s="317" t="n"/>
      <c r="P29" s="197" t="n"/>
      <c r="S29" s="197" t="n"/>
      <c r="T29" s="197" t="inlineStr">
        <is>
          <t>AE</t>
        </is>
      </c>
      <c r="U29" s="197" t="inlineStr">
        <is>
          <t>SB2</t>
        </is>
      </c>
      <c r="V29" s="197" t="inlineStr">
        <is>
          <t>N $AM ER (0600-1100)</t>
        </is>
      </c>
      <c r="W29" s="197" t="n"/>
      <c r="X29" s="197" t="n"/>
      <c r="Y29" s="197" t="inlineStr">
        <is>
          <t>N $AM ER (0600-1100)</t>
        </is>
      </c>
      <c r="Z29" s="197" t="inlineStr">
        <is>
          <t>SB2</t>
        </is>
      </c>
      <c r="AA29" s="396" t="n"/>
      <c r="AB29" s="197" t="inlineStr">
        <is>
          <t>AE</t>
        </is>
      </c>
      <c r="AC29" s="197" t="n"/>
      <c r="AD29" s="317" t="n"/>
      <c r="AE29" s="197" t="n"/>
      <c r="AF29" s="197" t="inlineStr">
        <is>
          <t>SB2</t>
        </is>
      </c>
      <c r="AH29" s="311" t="n"/>
      <c r="AI29" s="312" t="n"/>
      <c r="AJ29" s="311" t="n"/>
      <c r="AK29" s="313" t="n"/>
      <c r="AL29" s="313" t="n"/>
      <c r="AM29" s="313" t="n"/>
      <c r="AN29" s="313" t="n"/>
      <c r="AO29" s="238" t="n"/>
      <c r="AP29" s="313">
        <f>SUMPRODUCT(--WEEKDAY(C$3:AG$3,2)&lt;6,--((C29:AG29="DM"))+(C29:AG29="CS1")+((C29:AG29="CS2"))+(C29:AG29="SB1")+(C29:AG29="AE")+(C29:AG29="EM"))</f>
        <v/>
      </c>
      <c r="AQ29" s="238" t="n"/>
      <c r="AR29" s="238">
        <f>SUMPRODUCT(--WEEKDAY(C$3:AG$3,2)&gt;5,--((C29:AG29="DM"))+(C29:AG29="CS1")+((C29:AG29="CS2"))+(C29:AG29="SB1")+(C29:AG29="AE")+(C29:AG29="EM"))</f>
        <v/>
      </c>
      <c r="AS29" s="238" t="n"/>
      <c r="AT29" s="238">
        <f>(AP29-AQ29)/2+(AR29-AS29)</f>
        <v/>
      </c>
      <c r="AU29" s="238">
        <f>AH29+AI29+AJ29+AK29+AM29+AN29</f>
        <v/>
      </c>
      <c r="AV29" s="238">
        <f>BF29+BG29+BI29+BD29+BB29+AZ29+BK29</f>
        <v/>
      </c>
      <c r="AW29" s="238">
        <f>AT29+$AX$25</f>
        <v/>
      </c>
      <c r="AX29" s="313">
        <f>(BI29*('Setting key Duty'!$I$8+'Setting key Duty'!$I$12))+(BG29*'Setting key Duty'!$I$9)+(BB29*('Setting key Duty'!$I$13+'Setting key Duty'!$I$9))+(AZ29*('Setting key Duty'!$I$13+'Setting key Duty'!$I$12+'Setting key Duty'!$I$11))+(BD29*('Setting key Duty'!$I$8+'Setting key Duty'!$I$9+'Setting key Duty'!$I$12))</f>
        <v/>
      </c>
      <c r="AY29" s="313" t="n"/>
      <c r="AZ29" s="313" t="n"/>
      <c r="BA29" s="313" t="n"/>
      <c r="BB29" s="313" t="n"/>
      <c r="BC29" s="313" t="n"/>
      <c r="BD29" s="313" t="n"/>
      <c r="BE29" s="313" t="n"/>
      <c r="BF29" s="313" t="n"/>
      <c r="BG29" s="313" t="n"/>
      <c r="BH29" s="313" t="n"/>
      <c r="BI29" s="313" t="n"/>
      <c r="BJ29" s="313" t="n"/>
      <c r="BK29" s="313" t="n"/>
      <c r="BL29" s="313" t="n"/>
      <c r="BM29" s="313" t="n"/>
      <c r="BN29" s="313" t="n"/>
      <c r="BO29" s="313" t="n"/>
      <c r="BP29" s="314" t="n"/>
    </row>
    <row r="30" ht="19.5" customHeight="1">
      <c r="A30" s="309" t="n"/>
      <c r="B30" s="373" t="inlineStr">
        <is>
          <t>PTE MARK WU</t>
        </is>
      </c>
      <c r="C30" s="317" t="n"/>
      <c r="D30" s="197" t="inlineStr">
        <is>
          <t>HQBMTC $M GP REHEARSAL  (0800-1700)</t>
        </is>
      </c>
      <c r="F30" s="197" t="inlineStr">
        <is>
          <t>RM</t>
        </is>
      </c>
      <c r="G30" s="198" t="inlineStr">
        <is>
          <t>RM OFF</t>
        </is>
      </c>
      <c r="H30" s="317" t="n"/>
      <c r="L30" s="197" t="inlineStr">
        <is>
          <t>OIL</t>
        </is>
      </c>
      <c r="M30" s="197" t="inlineStr">
        <is>
          <t>H $L ATP/CS (0515-2359)</t>
        </is>
      </c>
      <c r="O30" s="317" t="inlineStr">
        <is>
          <t>SB2</t>
        </is>
      </c>
      <c r="Q30" s="197" t="inlineStr">
        <is>
          <t>AE</t>
        </is>
      </c>
      <c r="R30" s="197" t="n"/>
      <c r="S30" s="197" t="inlineStr">
        <is>
          <t>SB2</t>
        </is>
      </c>
      <c r="T30" s="197" t="inlineStr">
        <is>
          <t>SB2</t>
        </is>
      </c>
      <c r="V30" s="197" t="inlineStr">
        <is>
          <t>PM AL</t>
        </is>
      </c>
      <c r="W30" s="317" t="inlineStr">
        <is>
          <t>AE</t>
        </is>
      </c>
      <c r="Z30" s="398" t="n"/>
      <c r="AA30" s="396" t="n"/>
      <c r="AC30" s="197" t="inlineStr">
        <is>
          <t>AE</t>
        </is>
      </c>
      <c r="AD30" s="197" t="n"/>
      <c r="AG30" s="317" t="n"/>
      <c r="AH30" s="311" t="n"/>
      <c r="AI30" s="312" t="n"/>
      <c r="AJ30" s="311" t="n"/>
      <c r="AK30" s="313" t="n"/>
      <c r="AL30" s="313" t="n"/>
      <c r="AM30" s="313" t="n"/>
      <c r="AN30" s="313" t="n"/>
      <c r="AO30" s="238" t="n"/>
      <c r="AP30" s="313">
        <f>SUMPRODUCT(--WEEKDAY(C$3:AG$3,2)&lt;6,--((C30:AG30="DM"))+(C30:AG30="CS1")+((C30:AG30="CS2"))+(C30:AG30="SB1")+(C30:AG30="AE")+(C30:AG30="EM"))</f>
        <v/>
      </c>
      <c r="AQ30" s="238" t="n"/>
      <c r="AR30" s="238">
        <f>SUMPRODUCT(--WEEKDAY(C$3:AG$3,2)&gt;5,--((C30:AG30="DM"))+(C30:AG30="CS1")+((C30:AG30="CS2"))+(C30:AG30="SB1")+(C30:AG30="AE")+(C30:AG30="EM"))</f>
        <v/>
      </c>
      <c r="AS30" s="238" t="n"/>
      <c r="AT30" s="238">
        <f>(AP30-AQ30)/2+(AR30-AS30)</f>
        <v/>
      </c>
      <c r="AU30" s="238">
        <f>AH30+AI30+AJ30+AK30+AM30+AN30</f>
        <v/>
      </c>
      <c r="AV30" s="238">
        <f>BF30+BG30+BI30+BD30+BB30+AZ30+BK30</f>
        <v/>
      </c>
      <c r="AW30" s="238">
        <f>AT30+$AX$25</f>
        <v/>
      </c>
      <c r="AX30" s="313">
        <f>(BI30*('Setting key Duty'!$I$8+'Setting key Duty'!$I$12))+(BG30*'Setting key Duty'!$I$9)+(BB30*('Setting key Duty'!$I$13+'Setting key Duty'!$I$9))+(AZ30*('Setting key Duty'!$I$13+'Setting key Duty'!$I$12+'Setting key Duty'!$I$11))+(BD30*('Setting key Duty'!$I$8+'Setting key Duty'!$I$9+'Setting key Duty'!$I$12))</f>
        <v/>
      </c>
      <c r="AY30" s="313" t="n"/>
      <c r="AZ30" s="313" t="n"/>
      <c r="BA30" s="313" t="n"/>
      <c r="BB30" s="313" t="n"/>
      <c r="BC30" s="313" t="n"/>
      <c r="BD30" s="313" t="n"/>
      <c r="BE30" s="313" t="n"/>
      <c r="BF30" s="313" t="n"/>
      <c r="BG30" s="313" t="n"/>
      <c r="BH30" s="313" t="n"/>
      <c r="BI30" s="313" t="n"/>
      <c r="BJ30" s="313" t="n"/>
      <c r="BK30" s="313" t="n"/>
      <c r="BL30" s="313" t="n"/>
      <c r="BM30" s="313" t="n"/>
      <c r="BN30" s="313" t="n"/>
      <c r="BO30" s="313" t="n"/>
      <c r="BP30" s="314" t="n"/>
    </row>
    <row r="31" ht="43.5" customHeight="1">
      <c r="A31" s="309" t="n"/>
      <c r="B31" s="373" t="inlineStr">
        <is>
          <t>PTE EUAN TING</t>
        </is>
      </c>
      <c r="D31" s="197" t="inlineStr">
        <is>
          <t>RM RECCE</t>
        </is>
      </c>
      <c r="E31" s="197" t="inlineStr">
        <is>
          <t>SB2</t>
        </is>
      </c>
      <c r="F31" s="197" t="inlineStr">
        <is>
          <t>RM</t>
        </is>
      </c>
      <c r="G31" s="198" t="inlineStr">
        <is>
          <t>RM OFF</t>
        </is>
      </c>
      <c r="H31" s="197" t="n"/>
      <c r="I31" s="317" t="inlineStr">
        <is>
          <t>AE</t>
        </is>
      </c>
      <c r="J31" s="197" t="n"/>
      <c r="K31" s="317" t="inlineStr">
        <is>
          <t>AE</t>
        </is>
      </c>
      <c r="L31" s="197" t="inlineStr">
        <is>
          <t>PTT</t>
        </is>
      </c>
      <c r="M31" s="197" t="inlineStr">
        <is>
          <t>A $AM IPPT (0500-1100)</t>
        </is>
      </c>
      <c r="N31" s="317" t="n"/>
      <c r="O31" s="317" t="inlineStr">
        <is>
          <t>PM AL</t>
        </is>
      </c>
      <c r="P31" s="317" t="inlineStr">
        <is>
          <t>OL</t>
        </is>
      </c>
      <c r="Q31" s="317" t="inlineStr">
        <is>
          <t>OL</t>
        </is>
      </c>
      <c r="R31" s="317" t="inlineStr">
        <is>
          <t>OL</t>
        </is>
      </c>
      <c r="S31" s="317" t="inlineStr">
        <is>
          <t>OL</t>
        </is>
      </c>
      <c r="T31" s="317" t="inlineStr">
        <is>
          <t>OL</t>
        </is>
      </c>
      <c r="U31" s="317" t="inlineStr">
        <is>
          <t>OL</t>
        </is>
      </c>
      <c r="V31" s="317" t="inlineStr">
        <is>
          <t>OL</t>
        </is>
      </c>
      <c r="W31" s="317" t="inlineStr">
        <is>
          <t>OL</t>
        </is>
      </c>
      <c r="X31" s="317" t="inlineStr">
        <is>
          <t>OL</t>
        </is>
      </c>
      <c r="Y31" s="317" t="inlineStr">
        <is>
          <t>OL</t>
        </is>
      </c>
      <c r="Z31" s="317" t="inlineStr">
        <is>
          <t>OL</t>
        </is>
      </c>
      <c r="AA31" s="399" t="inlineStr">
        <is>
          <t>OL</t>
        </is>
      </c>
      <c r="AD31" s="317" t="n"/>
      <c r="AE31" s="317" t="n"/>
      <c r="AF31" s="317" t="n"/>
      <c r="AG31" s="197" t="inlineStr">
        <is>
          <t>SB2</t>
        </is>
      </c>
      <c r="AH31" s="311" t="n"/>
      <c r="AI31" s="312" t="n"/>
      <c r="AJ31" s="311" t="n"/>
      <c r="AK31" s="313" t="n"/>
      <c r="AL31" s="313" t="n"/>
      <c r="AM31" s="313" t="n"/>
      <c r="AN31" s="313" t="n"/>
      <c r="AO31" s="238" t="n"/>
      <c r="AP31" s="313">
        <f>SUMPRODUCT(--WEEKDAY(C$3:AG$3,2)&lt;6,--((C31:AG31="DM"))+(C31:AG31="CS1")+((C31:AG31="CS2"))+(C31:AG31="SB1")+(C31:AG31="AE")+(C31:AG31="EM"))</f>
        <v/>
      </c>
      <c r="AQ31" s="238" t="n"/>
      <c r="AR31" s="238">
        <f>SUMPRODUCT(--WEEKDAY(C$3:AG$3,2)&gt;5,--((C31:AG31="DM"))+(C31:AG31="CS1")+((C31:AG31="CS2"))+(C31:AG31="SB1")+(C31:AG31="AE")+(C31:AG31="EM"))</f>
        <v/>
      </c>
      <c r="AS31" s="238" t="n"/>
      <c r="AT31" s="238">
        <f>(AP31-AQ31)/2+(AR31-AS31)</f>
        <v/>
      </c>
      <c r="AU31" s="238">
        <f>AH31+AI31+AJ31+AK31+AM31+AN31</f>
        <v/>
      </c>
      <c r="AV31" s="238">
        <f>BF31+BG31+BI31+BD31+BB31+AZ31+BK31</f>
        <v/>
      </c>
      <c r="AW31" s="238">
        <f>AT31+$AX$25</f>
        <v/>
      </c>
      <c r="AX31" s="313">
        <f>(BI31*('Setting key Duty'!$I$8+'Setting key Duty'!$I$12))+(BG31*'Setting key Duty'!$I$9)+(BB31*('Setting key Duty'!$I$13+'Setting key Duty'!$I$9))+(AZ31*('Setting key Duty'!$I$13+'Setting key Duty'!$I$12+'Setting key Duty'!$I$11))+(BD31*('Setting key Duty'!$I$8+'Setting key Duty'!$I$9+'Setting key Duty'!$I$12))</f>
        <v/>
      </c>
      <c r="AY31" s="313" t="n"/>
      <c r="AZ31" s="313" t="n"/>
      <c r="BA31" s="313" t="n"/>
      <c r="BB31" s="313" t="n"/>
      <c r="BC31" s="313" t="n"/>
      <c r="BD31" s="313" t="n"/>
      <c r="BE31" s="313" t="n"/>
      <c r="BF31" s="313" t="n"/>
      <c r="BG31" s="313" t="n"/>
      <c r="BH31" s="313" t="n"/>
      <c r="BI31" s="313" t="n"/>
      <c r="BJ31" s="313" t="n"/>
      <c r="BK31" s="313" t="n"/>
      <c r="BL31" s="313" t="n"/>
      <c r="BM31" s="313" t="n"/>
      <c r="BN31" s="313" t="n"/>
      <c r="BO31" s="313" t="n"/>
      <c r="BP31" s="314" t="n"/>
    </row>
    <row r="32" ht="19.5" customHeight="1">
      <c r="A32" s="309" t="n"/>
      <c r="B32" s="376" t="inlineStr">
        <is>
          <t>PTE GERALD TAN</t>
        </is>
      </c>
      <c r="C32" s="324" t="n"/>
      <c r="D32" s="324" t="inlineStr">
        <is>
          <t>GP</t>
        </is>
      </c>
      <c r="E32" s="324" t="inlineStr">
        <is>
          <t>GP</t>
        </is>
      </c>
      <c r="F32" s="324" t="inlineStr">
        <is>
          <t>GP</t>
        </is>
      </c>
      <c r="G32" s="324" t="n"/>
      <c r="H32" s="317" t="n"/>
      <c r="I32" s="317" t="n"/>
      <c r="J32" s="106" t="n"/>
      <c r="K32" s="317" t="inlineStr">
        <is>
          <t>MA</t>
        </is>
      </c>
      <c r="L32" s="324" t="n"/>
      <c r="M32" s="317" t="n"/>
      <c r="N32" s="106" t="n"/>
      <c r="O32" s="317" t="inlineStr">
        <is>
          <t>MA</t>
        </is>
      </c>
      <c r="P32" s="317" t="n"/>
      <c r="Q32" s="106" t="n"/>
      <c r="R32" s="317" t="inlineStr">
        <is>
          <t>UIP</t>
        </is>
      </c>
      <c r="S32" s="317" t="inlineStr">
        <is>
          <t>UIP</t>
        </is>
      </c>
      <c r="T32" s="317" t="inlineStr">
        <is>
          <t>UIP</t>
        </is>
      </c>
      <c r="U32" s="317" t="inlineStr">
        <is>
          <t>UIP</t>
        </is>
      </c>
      <c r="V32" s="317" t="inlineStr">
        <is>
          <t>UIP</t>
        </is>
      </c>
      <c r="W32" s="106" t="n"/>
      <c r="X32" s="155" t="n"/>
      <c r="Y32" s="324" t="n"/>
      <c r="Z32" s="106" t="n"/>
      <c r="AA32" s="400" t="n"/>
      <c r="AB32" s="106" t="n"/>
      <c r="AC32" s="106" t="n"/>
      <c r="AD32" s="106" t="n"/>
      <c r="AE32" s="106" t="n"/>
      <c r="AF32" s="317" t="n"/>
      <c r="AG32" s="317" t="n"/>
      <c r="AH32" s="311" t="n"/>
      <c r="AI32" s="312" t="n"/>
      <c r="AJ32" s="311" t="n"/>
      <c r="AK32" s="313" t="n"/>
      <c r="AL32" s="313" t="n"/>
      <c r="AM32" s="313" t="n"/>
      <c r="AN32" s="313" t="n"/>
      <c r="AO32" s="238" t="n"/>
      <c r="AP32" s="313" t="n"/>
      <c r="AQ32" s="238" t="n"/>
      <c r="AR32" s="238" t="n"/>
      <c r="AS32" s="238" t="n"/>
      <c r="AT32" s="238" t="n"/>
      <c r="AU32" s="238" t="n"/>
      <c r="AV32" s="238" t="n"/>
      <c r="AW32" s="238" t="n"/>
      <c r="AX32" s="313" t="n"/>
      <c r="AY32" s="313" t="n"/>
      <c r="AZ32" s="313" t="n"/>
      <c r="BA32" s="313" t="n"/>
      <c r="BB32" s="313" t="n"/>
      <c r="BC32" s="313" t="n"/>
      <c r="BD32" s="313" t="n"/>
      <c r="BE32" s="313" t="n"/>
      <c r="BF32" s="313" t="n"/>
      <c r="BG32" s="313" t="n"/>
      <c r="BH32" s="313" t="n"/>
      <c r="BI32" s="313" t="n"/>
      <c r="BJ32" s="313" t="n"/>
      <c r="BK32" s="313" t="n"/>
      <c r="BL32" s="313" t="n"/>
      <c r="BM32" s="313" t="n"/>
      <c r="BN32" s="313" t="n"/>
      <c r="BO32" s="313" t="n"/>
      <c r="BP32" s="314" t="n"/>
    </row>
    <row r="33" ht="19.5" customHeight="1">
      <c r="A33" s="309" t="n"/>
      <c r="B33" s="347" t="inlineStr">
        <is>
          <t>PTE FANG JIANGRUI</t>
        </is>
      </c>
      <c r="C33" s="324" t="n"/>
      <c r="D33" s="324" t="inlineStr">
        <is>
          <t>GP</t>
        </is>
      </c>
      <c r="E33" s="324" t="inlineStr">
        <is>
          <t>GP</t>
        </is>
      </c>
      <c r="F33" s="324" t="inlineStr">
        <is>
          <t>GP</t>
        </is>
      </c>
      <c r="G33" s="324" t="n"/>
      <c r="H33" s="317" t="n"/>
      <c r="I33" s="317" t="n"/>
      <c r="J33" s="106" t="n"/>
      <c r="K33" s="324" t="n"/>
      <c r="M33" s="324" t="n"/>
      <c r="N33" s="106" t="n"/>
      <c r="O33" s="317" t="n"/>
      <c r="P33" s="317" t="n"/>
      <c r="Q33" s="106" t="n"/>
      <c r="R33" s="317" t="inlineStr">
        <is>
          <t>UIP</t>
        </is>
      </c>
      <c r="S33" s="317" t="inlineStr">
        <is>
          <t>UIP</t>
        </is>
      </c>
      <c r="T33" s="317" t="inlineStr">
        <is>
          <t>UIP</t>
        </is>
      </c>
      <c r="U33" s="317" t="inlineStr">
        <is>
          <t>UIP</t>
        </is>
      </c>
      <c r="V33" s="317" t="inlineStr">
        <is>
          <t>UIP</t>
        </is>
      </c>
      <c r="W33" s="106" t="n"/>
      <c r="X33" s="155" t="n"/>
      <c r="Y33" s="324" t="n">
        <v>1</v>
      </c>
      <c r="Z33" s="106" t="n"/>
      <c r="AA33" s="400" t="n"/>
      <c r="AB33" s="317" t="inlineStr">
        <is>
          <t>AL</t>
        </is>
      </c>
      <c r="AC33" s="317" t="n"/>
      <c r="AD33" s="106" t="n"/>
      <c r="AE33" s="106" t="n"/>
      <c r="AF33" s="317" t="n">
        <v>2</v>
      </c>
      <c r="AG33" s="317" t="n"/>
      <c r="AH33" s="311" t="n"/>
      <c r="AI33" s="312" t="n"/>
      <c r="AJ33" s="311" t="n"/>
      <c r="AK33" s="313" t="n"/>
      <c r="AL33" s="313" t="n"/>
      <c r="AM33" s="313" t="n"/>
      <c r="AN33" s="313" t="n"/>
      <c r="AO33" s="238" t="n"/>
      <c r="AP33" s="313">
        <f>SUMPRODUCT(--WEEKDAY(C$3:AG$3,2)&lt;6,--((C33:AG33="DM"))+(C33:AG33="CS1")+((C33:AG33="CS2"))+(C33:AG33="SB1")+(C33:AG33="AE")+(C33:AG33="EM"))</f>
        <v/>
      </c>
      <c r="AQ33" s="238" t="n"/>
      <c r="AR33" s="238">
        <f>SUMPRODUCT(--WEEKDAY(C$3:AG$3,2)&gt;5,--((C33:AG33="DM"))+(C33:AG33="CS1")+((C33:AG33="CS2"))+(C33:AG33="SB1")+(C33:AG33="AE")+(C33:AG33="EM"))</f>
        <v/>
      </c>
      <c r="AS33" s="238" t="n"/>
      <c r="AT33" s="238">
        <f>(AP33-AQ33)/2+(AR33-AS33)</f>
        <v/>
      </c>
      <c r="AU33" s="238">
        <f>AH33+AI33+AJ33+AK33+AM33+AN33</f>
        <v/>
      </c>
      <c r="AV33" s="238">
        <f>BF33+BG33+BI33+BD33+BB33+AZ33+BK33</f>
        <v/>
      </c>
      <c r="AW33" s="238">
        <f>AT33+AX33</f>
        <v/>
      </c>
      <c r="AX33" s="313">
        <f>(BI33*('Setting key Duty'!$I$8+'Setting key Duty'!$I$12))+(BG33*'Setting key Duty'!$I$9)+(BB33*('Setting key Duty'!$I$13+'Setting key Duty'!$I$9))+(AZ33*('Setting key Duty'!$I$13+'Setting key Duty'!$I$12+'Setting key Duty'!$I$11))+(BD33*('Setting key Duty'!$I$8+'Setting key Duty'!$I$9+'Setting key Duty'!$I$12))</f>
        <v/>
      </c>
      <c r="AY33" s="313">
        <f>COUNTIF(C33:Y33,"*BRT*")</f>
        <v/>
      </c>
      <c r="AZ33" s="313">
        <f>COUNTIF(A33:AH33,"*$BTP*")</f>
        <v/>
      </c>
      <c r="BA33" s="313">
        <f>AZ33*('Setting key Duty'!$I$13+'Setting key Duty'!$I$12+'Setting key Duty'!$I$11)</f>
        <v/>
      </c>
      <c r="BB33" s="313">
        <f>COUNTIF(D33:AH33,"*$L*")</f>
        <v/>
      </c>
      <c r="BC33" s="313">
        <f>BB33*('Setting key Duty'!$I$13+'Setting key Duty'!$I$9)</f>
        <v/>
      </c>
      <c r="BD33" s="313">
        <f>COUNTIF(D33:AH33,"*$M*")</f>
        <v/>
      </c>
      <c r="BE33" s="313">
        <f>BD33*('Setting key Duty'!$I$8+'Setting key Duty'!$I$9+'Setting key Duty'!$I$12)</f>
        <v/>
      </c>
      <c r="BF33" s="313">
        <f>COUNTIF(D33:AH33,"*$N*")</f>
        <v/>
      </c>
      <c r="BG33" s="313">
        <f>COUNTIF(D33:AH33,"*$PM*")</f>
        <v/>
      </c>
      <c r="BH33" s="313">
        <f>BG33*('Setting key Duty'!$I$9)</f>
        <v/>
      </c>
      <c r="BI33" s="313">
        <f>COUNTIF(D33:AH33,"*$AM*")</f>
        <v/>
      </c>
      <c r="BJ33" s="313">
        <f>BI33*('Setting key Duty'!$I$12+'Setting key Duty'!$I$8)</f>
        <v/>
      </c>
      <c r="BK33" s="313">
        <f>COUNTIF(C33:AH33,"*$FC*")</f>
        <v/>
      </c>
      <c r="BL33" s="313">
        <f>BK33*('Setting key Duty'!$J$11+'Setting key Duty'!$I$8)</f>
        <v/>
      </c>
      <c r="BM33" s="313">
        <f>COUNTIF($C33:$AG33,BM$4)</f>
        <v/>
      </c>
      <c r="BN33" s="313">
        <f>COUNTIF($C33:$AG33,BN$4)</f>
        <v/>
      </c>
      <c r="BO33" s="313">
        <f>COUNTIF($D33:$AE33,BO$4)</f>
        <v/>
      </c>
      <c r="BP33" s="314" t="n"/>
    </row>
    <row r="34" ht="19.5" customHeight="1">
      <c r="A34" s="309" t="n"/>
      <c r="B34" s="347" t="inlineStr">
        <is>
          <t>PTE HO SHENGHUI HAYDEN</t>
        </is>
      </c>
      <c r="C34" s="317" t="n"/>
      <c r="D34" s="317" t="n"/>
      <c r="E34" s="317" t="n"/>
      <c r="F34" s="317" t="n"/>
      <c r="G34" s="324" t="n"/>
      <c r="H34" s="317" t="n"/>
      <c r="I34" s="317" t="n"/>
      <c r="J34" s="317" t="n"/>
      <c r="L34" s="317" t="n"/>
      <c r="M34" s="106" t="n"/>
      <c r="N34" s="317" t="inlineStr">
        <is>
          <t>MA</t>
        </is>
      </c>
      <c r="O34" s="317" t="n"/>
      <c r="P34" s="317" t="n"/>
      <c r="Q34" s="106" t="n"/>
      <c r="R34" s="317" t="inlineStr">
        <is>
          <t>UIP</t>
        </is>
      </c>
      <c r="S34" s="317" t="inlineStr">
        <is>
          <t>UIP</t>
        </is>
      </c>
      <c r="T34" s="317" t="inlineStr">
        <is>
          <t>UIP</t>
        </is>
      </c>
      <c r="U34" s="317" t="inlineStr">
        <is>
          <t>UIP</t>
        </is>
      </c>
      <c r="V34" s="317" t="inlineStr">
        <is>
          <t>UIP</t>
        </is>
      </c>
      <c r="W34" s="320" t="n"/>
      <c r="X34" s="317" t="n"/>
      <c r="Y34" s="324" t="n"/>
      <c r="Z34" s="317" t="n"/>
      <c r="AA34" s="399" t="n"/>
      <c r="AB34" s="317" t="inlineStr">
        <is>
          <t>AL</t>
        </is>
      </c>
      <c r="AC34" s="317" t="inlineStr">
        <is>
          <t>AL</t>
        </is>
      </c>
      <c r="AD34" s="317" t="n"/>
      <c r="AE34" s="317" t="n"/>
      <c r="AF34" s="317" t="n">
        <v>1</v>
      </c>
      <c r="AG34" s="317" t="n"/>
      <c r="AH34" s="311" t="n"/>
      <c r="AI34" s="312" t="n"/>
      <c r="AJ34" s="311" t="n"/>
      <c r="AK34" s="344" t="n"/>
      <c r="AL34" s="344" t="n"/>
      <c r="AM34" s="344" t="n"/>
      <c r="AN34" s="344" t="n"/>
      <c r="AO34" s="246" t="n"/>
      <c r="AP34" s="313" t="n"/>
      <c r="AQ34" s="246" t="n"/>
      <c r="AR34" s="238" t="n"/>
      <c r="AS34" s="246" t="n"/>
      <c r="AT34" s="246" t="n"/>
      <c r="AU34" s="238" t="n"/>
      <c r="AV34" s="238" t="n"/>
      <c r="AW34" s="238" t="n"/>
      <c r="AX34" s="313" t="n"/>
      <c r="AY34" s="313" t="n"/>
      <c r="AZ34" s="313" t="n"/>
      <c r="BA34" s="313" t="n"/>
      <c r="BB34" s="313" t="n"/>
      <c r="BC34" s="313" t="n"/>
      <c r="BD34" s="313" t="n"/>
      <c r="BE34" s="313" t="n"/>
      <c r="BF34" s="313" t="n"/>
      <c r="BG34" s="313" t="n"/>
      <c r="BH34" s="313" t="n"/>
      <c r="BI34" s="313" t="n"/>
      <c r="BJ34" s="313" t="n"/>
      <c r="BK34" s="313" t="n"/>
      <c r="BL34" s="313" t="n"/>
      <c r="BM34" s="344" t="n"/>
      <c r="BN34" s="344" t="n"/>
      <c r="BO34" s="344" t="n"/>
      <c r="BP34" s="345" t="n"/>
    </row>
    <row r="35" ht="19.5" customHeight="1">
      <c r="A35" s="309" t="n"/>
      <c r="B35" s="347" t="inlineStr">
        <is>
          <t>PTE CHIA TECK IAN</t>
        </is>
      </c>
      <c r="C35" s="349" t="n"/>
      <c r="D35" s="317" t="n"/>
      <c r="E35" s="317" t="n"/>
      <c r="F35" s="317" t="n"/>
      <c r="G35" s="324" t="n"/>
      <c r="H35" s="317" t="n"/>
      <c r="I35" s="317" t="n"/>
      <c r="J35" s="317" t="n"/>
      <c r="K35" s="317" t="n"/>
      <c r="L35" s="317" t="inlineStr">
        <is>
          <t>MA</t>
        </is>
      </c>
      <c r="M35" s="106" t="n"/>
      <c r="N35" s="317" t="n"/>
      <c r="O35" s="317" t="n"/>
      <c r="P35" s="317" t="n"/>
      <c r="Q35" s="106" t="n"/>
      <c r="R35" s="317" t="inlineStr">
        <is>
          <t>AL</t>
        </is>
      </c>
      <c r="S35" s="317" t="inlineStr">
        <is>
          <t>AL</t>
        </is>
      </c>
      <c r="T35" s="317" t="inlineStr">
        <is>
          <t>AL</t>
        </is>
      </c>
      <c r="U35" s="317" t="inlineStr">
        <is>
          <t>AL</t>
        </is>
      </c>
      <c r="V35" s="317" t="inlineStr">
        <is>
          <t>AL</t>
        </is>
      </c>
      <c r="W35" s="320" t="n"/>
      <c r="X35" s="317" t="n"/>
      <c r="Y35" s="317" t="n"/>
      <c r="Z35" s="317" t="n"/>
      <c r="AA35" s="399" t="n"/>
      <c r="AB35" s="317" t="n"/>
      <c r="AC35" s="317" t="n"/>
      <c r="AD35" s="317" t="n"/>
      <c r="AE35" s="317" t="n"/>
      <c r="AF35" s="317" t="n"/>
      <c r="AG35" s="317" t="n"/>
      <c r="AH35" s="311" t="n"/>
      <c r="AI35" s="312" t="n"/>
      <c r="AJ35" s="311" t="n"/>
      <c r="AK35" s="344" t="n"/>
      <c r="AL35" s="344" t="n"/>
      <c r="AM35" s="344" t="n"/>
      <c r="AN35" s="344" t="n"/>
      <c r="AO35" s="246" t="n"/>
      <c r="AP35" s="313" t="n"/>
      <c r="AQ35" s="246" t="n"/>
      <c r="AR35" s="238" t="n"/>
      <c r="AS35" s="246" t="n"/>
      <c r="AT35" s="246" t="n"/>
      <c r="AU35" s="238" t="n"/>
      <c r="AV35" s="238" t="n"/>
      <c r="AW35" s="238" t="n"/>
      <c r="AX35" s="313" t="n"/>
      <c r="AY35" s="313" t="n"/>
      <c r="AZ35" s="313" t="n"/>
      <c r="BA35" s="313" t="n"/>
      <c r="BB35" s="313" t="n"/>
      <c r="BC35" s="313" t="n"/>
      <c r="BD35" s="313" t="n"/>
      <c r="BE35" s="313" t="n"/>
      <c r="BF35" s="313" t="n"/>
      <c r="BG35" s="313" t="n"/>
      <c r="BH35" s="313" t="n"/>
      <c r="BI35" s="313" t="n"/>
      <c r="BJ35" s="313" t="n"/>
      <c r="BK35" s="313" t="n"/>
      <c r="BL35" s="313" t="n"/>
      <c r="BM35" s="344" t="n"/>
      <c r="BN35" s="344" t="n"/>
      <c r="BO35" s="344" t="n"/>
      <c r="BP35" s="345" t="n"/>
    </row>
    <row r="36" ht="19.5" customHeight="1">
      <c r="A36" s="309" t="n"/>
      <c r="B36" s="347" t="inlineStr">
        <is>
          <t>PTE ADBEEL YEO</t>
        </is>
      </c>
      <c r="C36" s="349" t="n"/>
      <c r="D36" s="317" t="n"/>
      <c r="E36" s="317" t="n"/>
      <c r="F36" s="317" t="n"/>
      <c r="G36" s="324" t="n"/>
      <c r="H36" s="317" t="n"/>
      <c r="I36" s="317" t="n"/>
      <c r="J36" s="317" t="n"/>
      <c r="K36" s="317" t="n"/>
      <c r="L36" s="317" t="n"/>
      <c r="M36" s="106" t="n"/>
      <c r="N36" s="317" t="n"/>
      <c r="O36" s="317" t="n"/>
      <c r="P36" s="317" t="n"/>
      <c r="Q36" s="106" t="n"/>
      <c r="R36" s="317" t="inlineStr">
        <is>
          <t>UIP</t>
        </is>
      </c>
      <c r="S36" s="317" t="inlineStr">
        <is>
          <t>UIP</t>
        </is>
      </c>
      <c r="T36" s="317" t="inlineStr">
        <is>
          <t>UIP</t>
        </is>
      </c>
      <c r="U36" s="317" t="inlineStr">
        <is>
          <t>UIP</t>
        </is>
      </c>
      <c r="V36" s="317" t="inlineStr">
        <is>
          <t>UIP</t>
        </is>
      </c>
      <c r="W36" s="320" t="n"/>
      <c r="X36" s="317" t="n"/>
      <c r="Y36" s="317" t="n"/>
      <c r="Z36" s="317" t="n"/>
      <c r="AA36" s="399" t="n"/>
      <c r="AB36" s="317" t="n"/>
      <c r="AC36" s="317" t="inlineStr">
        <is>
          <t>AL</t>
        </is>
      </c>
      <c r="AD36" s="317" t="n"/>
      <c r="AE36" s="317" t="n"/>
      <c r="AF36" s="317" t="n"/>
      <c r="AG36" s="317" t="n"/>
      <c r="AH36" s="311" t="n"/>
      <c r="AI36" s="312" t="n"/>
      <c r="AJ36" s="311" t="n"/>
      <c r="AK36" s="344" t="n"/>
      <c r="AL36" s="344" t="n"/>
      <c r="AM36" s="344" t="n"/>
      <c r="AN36" s="344" t="n"/>
      <c r="AO36" s="246" t="n"/>
      <c r="AP36" s="313" t="n"/>
      <c r="AQ36" s="246" t="n"/>
      <c r="AR36" s="238" t="n"/>
      <c r="AS36" s="246" t="n"/>
      <c r="AT36" s="246" t="n"/>
      <c r="AU36" s="238" t="n"/>
      <c r="AV36" s="238" t="n"/>
      <c r="AW36" s="238" t="n"/>
      <c r="AX36" s="313" t="n"/>
      <c r="AY36" s="313" t="n"/>
      <c r="AZ36" s="313" t="n"/>
      <c r="BA36" s="313" t="n"/>
      <c r="BB36" s="313" t="n"/>
      <c r="BC36" s="313" t="n"/>
      <c r="BD36" s="313" t="n"/>
      <c r="BE36" s="313" t="n"/>
      <c r="BF36" s="313" t="n"/>
      <c r="BG36" s="313" t="n"/>
      <c r="BH36" s="313" t="n"/>
      <c r="BI36" s="313" t="n"/>
      <c r="BJ36" s="313" t="n"/>
      <c r="BK36" s="313" t="n"/>
      <c r="BL36" s="313" t="n"/>
      <c r="BM36" s="344" t="n"/>
      <c r="BN36" s="344" t="n"/>
      <c r="BO36" s="344" t="n"/>
      <c r="BP36" s="345" t="n"/>
    </row>
    <row r="37" ht="19.5" customHeight="1">
      <c r="A37" s="309" t="n"/>
      <c r="B37" s="347" t="inlineStr">
        <is>
          <t>PTE QUEK ZI YI</t>
        </is>
      </c>
      <c r="C37" s="349" t="n"/>
      <c r="D37" s="317" t="n"/>
      <c r="E37" s="317" t="n"/>
      <c r="F37" s="317" t="n"/>
      <c r="G37" s="317" t="n"/>
      <c r="H37" s="317" t="n"/>
      <c r="I37" s="317" t="n"/>
      <c r="J37" s="317" t="n"/>
      <c r="K37" s="317" t="n"/>
      <c r="L37" s="317" t="n"/>
      <c r="N37" s="317" t="n"/>
      <c r="O37" s="317" t="n"/>
      <c r="P37" s="317" t="n"/>
      <c r="Q37" s="106" t="n"/>
      <c r="R37" s="317" t="inlineStr">
        <is>
          <t>UIP</t>
        </is>
      </c>
      <c r="S37" s="317" t="inlineStr">
        <is>
          <t>UIP</t>
        </is>
      </c>
      <c r="T37" s="317" t="inlineStr">
        <is>
          <t>UIP</t>
        </is>
      </c>
      <c r="U37" s="317" t="inlineStr">
        <is>
          <t>UIP</t>
        </is>
      </c>
      <c r="V37" s="317" t="inlineStr">
        <is>
          <t>UIP</t>
        </is>
      </c>
      <c r="W37" s="320" t="n"/>
      <c r="X37" s="317" t="n"/>
      <c r="Y37" s="324" t="n">
        <v>1</v>
      </c>
      <c r="Z37" s="317" t="n"/>
      <c r="AA37" s="399" t="n"/>
      <c r="AB37" s="317" t="n"/>
      <c r="AC37" s="317" t="inlineStr">
        <is>
          <t>AL</t>
        </is>
      </c>
      <c r="AD37" s="317" t="n"/>
      <c r="AE37" s="317" t="n"/>
      <c r="AF37" s="317" t="n">
        <v>2</v>
      </c>
      <c r="AG37" s="317" t="n"/>
      <c r="AH37" s="311" t="n"/>
      <c r="AI37" s="312" t="n"/>
      <c r="AJ37" s="311" t="n"/>
      <c r="AK37" s="344" t="n"/>
      <c r="AL37" s="344" t="n"/>
      <c r="AM37" s="344" t="n"/>
      <c r="AN37" s="344" t="n"/>
      <c r="AO37" s="246" t="n"/>
      <c r="AP37" s="313" t="n"/>
      <c r="AQ37" s="246" t="n"/>
      <c r="AR37" s="238" t="n"/>
      <c r="AS37" s="246" t="n"/>
      <c r="AT37" s="246" t="n"/>
      <c r="AU37" s="238" t="n"/>
      <c r="AV37" s="238" t="n"/>
      <c r="AW37" s="238" t="n"/>
      <c r="AX37" s="313" t="n"/>
      <c r="AY37" s="313" t="n"/>
      <c r="AZ37" s="313" t="n"/>
      <c r="BA37" s="313" t="n"/>
      <c r="BB37" s="313" t="n"/>
      <c r="BC37" s="313" t="n"/>
      <c r="BD37" s="313" t="n"/>
      <c r="BE37" s="313" t="n"/>
      <c r="BF37" s="313" t="n"/>
      <c r="BG37" s="313" t="n"/>
      <c r="BH37" s="313" t="n"/>
      <c r="BI37" s="313" t="n"/>
      <c r="BJ37" s="313" t="n"/>
      <c r="BK37" s="313" t="n"/>
      <c r="BL37" s="313" t="n"/>
      <c r="BM37" s="344" t="n"/>
      <c r="BN37" s="344" t="n"/>
      <c r="BO37" s="344" t="n"/>
      <c r="BP37" s="345" t="n"/>
    </row>
    <row r="38" ht="19.5" customHeight="1">
      <c r="A38" s="309" t="n"/>
      <c r="B38" s="354" t="n"/>
      <c r="C38" s="349" t="n"/>
      <c r="D38" s="317" t="n"/>
      <c r="E38" s="317" t="n"/>
      <c r="F38" s="317" t="n"/>
      <c r="G38" s="317" t="n"/>
      <c r="H38" s="317" t="n"/>
      <c r="I38" s="317" t="n"/>
      <c r="J38" s="317" t="n"/>
      <c r="K38" s="317" t="n"/>
      <c r="L38" s="317" t="n"/>
      <c r="N38" s="317" t="n"/>
      <c r="O38" s="317" t="n"/>
      <c r="P38" s="317" t="n"/>
      <c r="Q38" s="106" t="n"/>
      <c r="R38" s="106" t="n"/>
      <c r="S38" s="317" t="n"/>
      <c r="T38" s="317" t="n"/>
      <c r="U38" s="317" t="n"/>
      <c r="V38" s="317" t="n"/>
      <c r="W38" s="320" t="n"/>
      <c r="X38" s="317" t="n"/>
      <c r="Y38" s="317" t="n"/>
      <c r="Z38" s="317" t="n"/>
      <c r="AA38" s="399" t="n"/>
      <c r="AB38" s="317" t="n"/>
      <c r="AC38" s="317" t="n"/>
      <c r="AD38" s="317" t="n"/>
      <c r="AE38" s="317" t="n"/>
      <c r="AF38" s="317" t="n"/>
      <c r="AG38" s="317" t="n"/>
      <c r="AH38" s="311" t="n"/>
      <c r="AI38" s="312" t="n"/>
      <c r="AJ38" s="311" t="n"/>
      <c r="AK38" s="344" t="n"/>
      <c r="AL38" s="344" t="n"/>
      <c r="AM38" s="344" t="n"/>
      <c r="AN38" s="344" t="n"/>
      <c r="AO38" s="246" t="n"/>
      <c r="AP38" s="313" t="n"/>
      <c r="AQ38" s="246" t="n"/>
      <c r="AR38" s="238" t="n"/>
      <c r="AS38" s="246" t="n"/>
      <c r="AT38" s="246" t="n"/>
      <c r="AU38" s="238" t="n"/>
      <c r="AV38" s="238" t="n"/>
      <c r="AW38" s="238" t="n"/>
      <c r="AX38" s="313" t="n"/>
      <c r="AY38" s="313" t="n"/>
      <c r="AZ38" s="313" t="n"/>
      <c r="BA38" s="313" t="n"/>
      <c r="BB38" s="313" t="n"/>
      <c r="BC38" s="313" t="n"/>
      <c r="BD38" s="313" t="n"/>
      <c r="BE38" s="313" t="n"/>
      <c r="BF38" s="313" t="n"/>
      <c r="BG38" s="313" t="n"/>
      <c r="BH38" s="313" t="n"/>
      <c r="BI38" s="313" t="n"/>
      <c r="BJ38" s="313" t="n"/>
      <c r="BK38" s="313" t="n"/>
      <c r="BL38" s="313" t="n"/>
      <c r="BM38" s="344" t="n"/>
      <c r="BN38" s="344" t="n"/>
      <c r="BO38" s="344" t="n"/>
      <c r="BP38" s="345" t="n"/>
    </row>
    <row r="39" ht="19.5" customHeight="1">
      <c r="A39" s="309" t="n"/>
      <c r="B39" s="354" t="inlineStr">
        <is>
          <t>Leave a blank row after the last name ^</t>
        </is>
      </c>
      <c r="C39" s="349" t="n"/>
      <c r="D39" s="317" t="n"/>
      <c r="E39" s="317" t="n"/>
      <c r="F39" s="317" t="n"/>
      <c r="G39" s="317" t="n"/>
      <c r="H39" s="317" t="n"/>
      <c r="I39" s="317" t="n"/>
      <c r="J39" s="317" t="n"/>
      <c r="K39" s="317" t="n"/>
      <c r="L39" s="317" t="n"/>
      <c r="N39" s="317" t="n"/>
      <c r="O39" s="317" t="n"/>
      <c r="P39" s="317" t="n"/>
      <c r="Q39" s="106" t="n"/>
      <c r="R39" s="106" t="n"/>
      <c r="S39" s="317" t="n"/>
      <c r="T39" s="317" t="n"/>
      <c r="U39" s="317" t="n"/>
      <c r="V39" s="317" t="n"/>
      <c r="W39" s="317" t="n"/>
      <c r="X39" s="317" t="n"/>
      <c r="Y39" s="317" t="n"/>
      <c r="Z39" s="317" t="n"/>
      <c r="AA39" s="399" t="n"/>
      <c r="AB39" s="317" t="n"/>
      <c r="AC39" s="317" t="n"/>
      <c r="AD39" s="317" t="n"/>
      <c r="AE39" s="317" t="n"/>
      <c r="AF39" s="317" t="n"/>
      <c r="AG39" s="317" t="n"/>
      <c r="AH39" s="311">
        <f>COUNTIF($C39:$AG39,AH$4)</f>
        <v/>
      </c>
      <c r="AI39" s="312">
        <f>COUNTIF($C39:$AG39,AI$4)</f>
        <v/>
      </c>
      <c r="AJ39" s="311">
        <f>COUNTIF($C39:$AG39,AJ$4)</f>
        <v/>
      </c>
      <c r="AK39" s="344">
        <f>COUNTIF($C39:$AG39,AK$4)</f>
        <v/>
      </c>
      <c r="AL39" s="344">
        <f>COUNTIF($C39:$AG39,AL$4)</f>
        <v/>
      </c>
      <c r="AM39" s="344">
        <f>COUNTIF($C39:$AG39,AM$4)</f>
        <v/>
      </c>
      <c r="AN39" s="344">
        <f>COUNTIF($C39:$AG39,AN$4)</f>
        <v/>
      </c>
      <c r="AO39" s="246" t="n"/>
      <c r="AP39" s="313">
        <f>SUMPRODUCT(--WEEKDAY(C$3:AG$3,2)&lt;6,--((C39:AG39="DM"))+(C39:AG39="CS1")+((C39:AG39="CS2"))+(C39:AG39="SB1")+(C39:AG39="AE")+(C39:AG39="EM"))</f>
        <v/>
      </c>
      <c r="AQ39" s="246" t="n"/>
      <c r="AR39" s="238">
        <f>SUMPRODUCT(--WEEKDAY(C$3:AG$3,2)&gt;5,--((C39:AG39="DM"))+(C39:AG39="CS1")+((C39:AG39="CS2"))+(C39:AG39="SB1")+(C39:AG39="AE")+(C39:AG39="EM"))</f>
        <v/>
      </c>
      <c r="AS39" s="246" t="n"/>
      <c r="AT39" s="246">
        <f>(AP39-AQ39)/2+(AR39-AS39)</f>
        <v/>
      </c>
      <c r="AU39" s="238">
        <f>AH39+AI39+AJ39+AK39+AM39+AN39</f>
        <v/>
      </c>
      <c r="AV39" s="238">
        <f>BF39+BG39+BI39+BD39+BB39+AZ39+BK39</f>
        <v/>
      </c>
      <c r="AW39" s="238">
        <f>AT39+AX39</f>
        <v/>
      </c>
      <c r="AX39" s="313">
        <f>(BI39*('Setting key Duty'!$I$8+'Setting key Duty'!$I$12))+(BG39*'Setting key Duty'!$I$9)+(BB39*('Setting key Duty'!$I$13+'Setting key Duty'!$I$9))+(AZ39*('Setting key Duty'!$I$13+'Setting key Duty'!$I$12+'Setting key Duty'!$I$11))+(BD39*('Setting key Duty'!$I$8+'Setting key Duty'!$I$9+'Setting key Duty'!$I$12))</f>
        <v/>
      </c>
      <c r="AY39" s="313">
        <f>COUNTIF(C39:AG39,"*BRT*")</f>
        <v/>
      </c>
      <c r="AZ39" s="313">
        <f>COUNTIF(D39:AH39,"*$BTP*")</f>
        <v/>
      </c>
      <c r="BA39" s="313">
        <f>AZ39*('Setting key Duty'!$I$13+'Setting key Duty'!$I$12+'Setting key Duty'!$I$11)</f>
        <v/>
      </c>
      <c r="BB39" s="313">
        <f>COUNTIF(D39:AH39,"*$L*")</f>
        <v/>
      </c>
      <c r="BC39" s="313">
        <f>BB39*('Setting key Duty'!$I$13+'Setting key Duty'!$I$9)</f>
        <v/>
      </c>
      <c r="BD39" s="313">
        <f>COUNTIF(D39:AH39,"*$M*")</f>
        <v/>
      </c>
      <c r="BE39" s="313">
        <f>BD39*('Setting key Duty'!$I$8+'Setting key Duty'!$I$9+'Setting key Duty'!$I$12)</f>
        <v/>
      </c>
      <c r="BF39" s="313">
        <f>COUNTIF(D39:AH39,"*$N*")</f>
        <v/>
      </c>
      <c r="BG39" s="313">
        <f>COUNTIF(D39:AH39,"*$PM*")</f>
        <v/>
      </c>
      <c r="BH39" s="313">
        <f>BG39*('Setting key Duty'!$I$9)</f>
        <v/>
      </c>
      <c r="BI39" s="313">
        <f>COUNTIF(D39:AH39,"*$AM*")</f>
        <v/>
      </c>
      <c r="BJ39" s="313">
        <f>BI39*('Setting key Duty'!$I$12+'Setting key Duty'!$I$8)</f>
        <v/>
      </c>
      <c r="BK39" s="313">
        <f>COUNTIF(C39:AH39,"*$FC*")</f>
        <v/>
      </c>
      <c r="BL39" s="313">
        <f>BK39*('Setting key Duty'!$J$11+'Setting key Duty'!$I$8)</f>
        <v/>
      </c>
      <c r="BM39" s="344">
        <f>COUNTIF($C39:$AG39,BM$4)</f>
        <v/>
      </c>
      <c r="BN39" s="344">
        <f>COUNTIF($C39:$AG39,BN$4)</f>
        <v/>
      </c>
      <c r="BO39" s="344">
        <f>COUNTIF($C39:$AG39,BO$4)</f>
        <v/>
      </c>
      <c r="BP39" s="345" t="n"/>
    </row>
    <row r="40" ht="19.5" customHeight="1">
      <c r="A40" s="309" t="n"/>
      <c r="B40" s="357" t="n"/>
      <c r="C40" s="358" t="n"/>
      <c r="D40" s="359" t="n"/>
      <c r="E40" s="359" t="n"/>
      <c r="F40" s="359" t="n"/>
      <c r="G40" s="359" t="n"/>
      <c r="H40" s="358" t="n"/>
      <c r="I40" s="358" t="n"/>
      <c r="J40" s="358" t="n"/>
      <c r="K40" s="358" t="n"/>
      <c r="L40" s="358" t="n"/>
      <c r="M40" s="358" t="n"/>
      <c r="N40" s="358" t="n"/>
      <c r="O40" s="358" t="n"/>
      <c r="P40" s="358" t="n"/>
      <c r="Q40" s="358" t="n"/>
      <c r="R40" s="358" t="n"/>
      <c r="S40" s="358" t="n"/>
      <c r="T40" s="358" t="n"/>
      <c r="U40" s="358" t="n"/>
      <c r="V40" s="358" t="n"/>
      <c r="W40" s="358" t="n"/>
      <c r="X40" s="358" t="n"/>
      <c r="Y40" s="358" t="n"/>
      <c r="Z40" s="358" t="n"/>
      <c r="AA40" s="358" t="n"/>
      <c r="AB40" s="358" t="n"/>
      <c r="AC40" s="358" t="n"/>
      <c r="AD40" s="358" t="n"/>
      <c r="AE40" s="358" t="n"/>
      <c r="AF40" s="358" t="n"/>
      <c r="AG40" s="358" t="n"/>
      <c r="AH40" s="361" t="n"/>
      <c r="AI40" s="362" t="n"/>
      <c r="AJ40" s="361" t="n"/>
      <c r="AK40" s="363" t="n"/>
      <c r="AL40" s="363" t="n"/>
      <c r="AM40" s="363" t="n"/>
      <c r="AN40" s="363" t="n"/>
      <c r="AO40" s="253" t="n"/>
      <c r="AP40" s="253" t="n"/>
      <c r="AQ40" s="253" t="n"/>
      <c r="AR40" s="253">
        <f>SUMPRODUCT(--WEEKDAY(C$3:AG$3,2)&gt;5,--((C40:AG40="DM"))+(C40:AG40="CS1")+((C40:AG40="CS2"))+(C40:AG40="SB1")+(C40:AG40="AE")+(C40:AG40="EM"))</f>
        <v/>
      </c>
      <c r="AS40" s="253" t="n"/>
      <c r="AT40" s="253">
        <f>(AP40-AQ40)/2+(AR40-AS40)</f>
        <v/>
      </c>
      <c r="AU40" s="253" t="n"/>
      <c r="AV40" s="253" t="n"/>
      <c r="AW40" s="253" t="n"/>
      <c r="AX40" s="363" t="n"/>
      <c r="AY40" s="363" t="n"/>
      <c r="AZ40" s="363" t="n"/>
      <c r="BA40" s="363" t="n"/>
      <c r="BB40" s="363" t="n"/>
      <c r="BC40" s="363" t="n"/>
      <c r="BD40" s="363" t="n"/>
      <c r="BE40" s="363" t="n"/>
      <c r="BF40" s="363" t="n"/>
      <c r="BG40" s="363" t="n"/>
      <c r="BH40" s="363" t="n"/>
      <c r="BI40" s="363" t="n"/>
      <c r="BJ40" s="363" t="n"/>
      <c r="BK40" s="363" t="n"/>
      <c r="BL40" s="363" t="n"/>
      <c r="BM40" s="363" t="n"/>
      <c r="BN40" s="363" t="n"/>
      <c r="BO40" s="363" t="n"/>
      <c r="BP40" s="364" t="n"/>
    </row>
    <row r="41" ht="19.5" customHeight="1">
      <c r="A41" s="309" t="n"/>
      <c r="B41" s="365" t="inlineStr">
        <is>
          <t>DM</t>
        </is>
      </c>
      <c r="C41" s="366">
        <f>VLOOKUP("DM",C4:C39,1,FALSE)</f>
        <v/>
      </c>
      <c r="D41" s="366">
        <f>VLOOKUP("DM",D4:D39,1,FALSE)</f>
        <v/>
      </c>
      <c r="E41" s="366">
        <f>VLOOKUP("DM",E4:E39,1,FALSE)</f>
        <v/>
      </c>
      <c r="F41" s="366">
        <f>VLOOKUP("DM",F4:F39,1,FALSE)</f>
        <v/>
      </c>
      <c r="G41" s="366">
        <f>VLOOKUP("DM",G4:G39,1,FALSE)</f>
        <v/>
      </c>
      <c r="H41" s="366">
        <f>VLOOKUP("DM",H4:H39,1,FALSE)</f>
        <v/>
      </c>
      <c r="I41" s="366">
        <f>VLOOKUP("DM",I4:I39,1,FALSE)</f>
        <v/>
      </c>
      <c r="J41" s="366">
        <f>VLOOKUP("DM",J4:J39,1,FALSE)</f>
        <v/>
      </c>
      <c r="K41" s="366">
        <f>VLOOKUP("DM",K4:K39,1,FALSE)</f>
        <v/>
      </c>
      <c r="L41" s="366">
        <f>VLOOKUP("DM",L4:L39,1,FALSE)</f>
        <v/>
      </c>
      <c r="M41" s="366">
        <f>VLOOKUP("DM",M4:M33,1,FALSE)</f>
        <v/>
      </c>
      <c r="N41" s="366">
        <f>VLOOKUP("DM",N4:N39,1,FALSE)</f>
        <v/>
      </c>
      <c r="O41" s="366">
        <f>VLOOKUP("DM",O4:O39,1,FALSE)</f>
        <v/>
      </c>
      <c r="P41" s="366">
        <f>VLOOKUP("DM",P4:P39,1,FALSE)</f>
        <v/>
      </c>
      <c r="Q41" s="366">
        <f>VLOOKUP("DM",Q4:Q33,1,FALSE)</f>
        <v/>
      </c>
      <c r="R41" s="366">
        <f>VLOOKUP("DM",R4:R31,1,FALSE)</f>
        <v/>
      </c>
      <c r="S41" s="366">
        <f>VLOOKUP("DM",S4:S39,1,FALSE)</f>
        <v/>
      </c>
      <c r="T41" s="366">
        <f>VLOOKUP("DM",T4:T39,1,FALSE)</f>
        <v/>
      </c>
      <c r="U41" s="366">
        <f>VLOOKUP("DM",U4:U39,1,FALSE)</f>
        <v/>
      </c>
      <c r="V41" s="366">
        <f>VLOOKUP("DM",V4:V30,1,FALSE)</f>
        <v/>
      </c>
      <c r="W41" s="366">
        <f>VLOOKUP("DM",W4:W30,1,FALSE)</f>
        <v/>
      </c>
      <c r="X41" s="366">
        <f>VLOOKUP("DM",X4:X39,1,FALSE)</f>
        <v/>
      </c>
      <c r="Y41" s="366">
        <f>VLOOKUP("DM",Y4:Y39,1,FALSE)</f>
        <v/>
      </c>
      <c r="Z41" s="366">
        <f>VLOOKUP("DM",Z4:Z39,1,FALSE)</f>
        <v/>
      </c>
      <c r="AA41" s="366">
        <f>VLOOKUP("DM",AA5:AA39,1,FALSE)</f>
        <v/>
      </c>
      <c r="AB41" s="366">
        <f>VLOOKUP("DM",AB4:AB39,1,FALSE)</f>
        <v/>
      </c>
      <c r="AC41" s="366">
        <f>VLOOKUP("DM",AC4:AC39,1,FALSE)</f>
        <v/>
      </c>
      <c r="AD41" s="366">
        <f>VLOOKUP("DM",AD4:AD39,1,FALSE)</f>
        <v/>
      </c>
      <c r="AE41" s="366">
        <f>VLOOKUP("DM",AE4:AE39,1,FALSE)</f>
        <v/>
      </c>
      <c r="AF41" s="366">
        <f>VLOOKUP("DM",AF4:AF39,1,FALSE)</f>
        <v/>
      </c>
      <c r="AG41" s="366">
        <f>VLOOKUP("DM",AG4:AG39,1,FALSE)</f>
        <v/>
      </c>
      <c r="AH41" s="311" t="n"/>
      <c r="AI41" s="312" t="n"/>
      <c r="AJ41" s="311" t="n"/>
      <c r="AK41" s="313" t="n"/>
      <c r="AL41" s="313" t="n"/>
      <c r="AM41" s="313" t="n"/>
      <c r="AN41" s="313" t="n"/>
      <c r="AO41" s="313" t="n"/>
      <c r="AP41" s="313" t="n"/>
      <c r="AQ41" s="313" t="n"/>
      <c r="AR41" s="313" t="n"/>
      <c r="AS41" s="313" t="n"/>
      <c r="AT41" s="313" t="n"/>
      <c r="AU41" s="313" t="n"/>
      <c r="AV41" s="313" t="n"/>
      <c r="AW41" s="313" t="n"/>
      <c r="AX41" s="313" t="n"/>
      <c r="AY41" s="313" t="n"/>
      <c r="AZ41" s="313" t="n"/>
      <c r="BA41" s="313" t="n"/>
      <c r="BB41" s="313" t="n"/>
      <c r="BC41" s="313" t="n"/>
      <c r="BD41" s="313" t="n"/>
      <c r="BE41" s="313" t="n"/>
      <c r="BF41" s="313" t="n"/>
      <c r="BG41" s="313" t="n"/>
      <c r="BH41" s="313" t="n"/>
      <c r="BI41" s="313" t="n"/>
      <c r="BJ41" s="313" t="n"/>
      <c r="BK41" s="313" t="n"/>
      <c r="BL41" s="313" t="n"/>
      <c r="BM41" s="313" t="n"/>
      <c r="BN41" s="313" t="n"/>
      <c r="BO41" s="313" t="n"/>
      <c r="BP41" s="314" t="n"/>
    </row>
    <row r="42" ht="19.5" customHeight="1">
      <c r="A42" s="309">
        <f>LTE()</f>
        <v/>
      </c>
      <c r="B42" s="368" t="inlineStr">
        <is>
          <t>CS1</t>
        </is>
      </c>
      <c r="C42" s="366">
        <f>VLOOKUP("CS1",C5:C39,1,FALSE)</f>
        <v/>
      </c>
      <c r="D42" s="366">
        <f>VLOOKUP("CS1",D9:D39,1,FALSE)</f>
        <v/>
      </c>
      <c r="E42" s="366">
        <f>VLOOKUP("CS1",E7:E39,1,FALSE)</f>
        <v/>
      </c>
      <c r="F42" s="366">
        <f>VLOOKUP("CS1",F7:F39,1,FALSE)</f>
        <v/>
      </c>
      <c r="G42" s="366">
        <f>VLOOKUP("CS1",G6:G39,1,FALSE)</f>
        <v/>
      </c>
      <c r="H42" s="366">
        <f>VLOOKUP("CS1",H5:H39,1,FALSE)</f>
        <v/>
      </c>
      <c r="I42" s="366">
        <f>VLOOKUP("CS1",I7:I39,1,FALSE)</f>
        <v/>
      </c>
      <c r="J42" s="366">
        <f>VLOOKUP("CS1",J4:J39,1,FALSE)</f>
        <v/>
      </c>
      <c r="K42" s="366">
        <f>VLOOKUP("CS1",K6:K39,1,FALSE)</f>
        <v/>
      </c>
      <c r="L42" s="366">
        <f>VLOOKUP("CS1",L1:L39,1,FALSE)</f>
        <v/>
      </c>
      <c r="M42" s="366">
        <f>VLOOKUP("CS1",M5:M33,1,FALSE)</f>
        <v/>
      </c>
      <c r="N42" s="366">
        <f>VLOOKUP("CS1",N5:N39,1,FALSE)</f>
        <v/>
      </c>
      <c r="O42" s="366">
        <f>VLOOKUP("CS1",O5:O39,1,FALSE)</f>
        <v/>
      </c>
      <c r="P42" s="366">
        <f>VLOOKUP("CS1",P12:P39,1,FALSE)</f>
        <v/>
      </c>
      <c r="Q42" s="366">
        <f>VLOOKUP("CS1",Q7:Q33,1,FALSE)</f>
        <v/>
      </c>
      <c r="R42" s="366">
        <f>VLOOKUP("CS1",R6:R31,1,FALSE)</f>
        <v/>
      </c>
      <c r="S42" s="366">
        <f>VLOOKUP("CS1",S5:S39,1,FALSE)</f>
        <v/>
      </c>
      <c r="T42" s="366">
        <f>VLOOKUP("CS1",T6:T39,1,FALSE)</f>
        <v/>
      </c>
      <c r="U42" s="366">
        <f>VLOOKUP("CS1",U7:U39,1,FALSE)</f>
        <v/>
      </c>
      <c r="V42" s="366">
        <f>VLOOKUP("CS1",V8:V30,1,FALSE)</f>
        <v/>
      </c>
      <c r="W42" s="366">
        <f>VLOOKUP("CS1",W1:W30,1,FALSE)</f>
        <v/>
      </c>
      <c r="X42" s="366">
        <f>VLOOKUP("CS1",X1:X39,1,FALSE)</f>
        <v/>
      </c>
      <c r="Y42" s="366">
        <f>VLOOKUP("CS1",Y5:Y39,1,FALSE)</f>
        <v/>
      </c>
      <c r="Z42" s="366">
        <f>VLOOKUP("CS1",Z6:Z39,1,FALSE)</f>
        <v/>
      </c>
      <c r="AA42" s="366">
        <f>VLOOKUP("CS1",AA5:AA39,1,FALSE)</f>
        <v/>
      </c>
      <c r="AB42" s="366">
        <f>VLOOKUP("CS1",AB1:AB39,1,FALSE)</f>
        <v/>
      </c>
      <c r="AC42" s="366">
        <f>VLOOKUP("CS1",AC6:AC39,1,FALSE)</f>
        <v/>
      </c>
      <c r="AD42" s="366">
        <f>VLOOKUP("CS1",AD6:AD39,1,FALSE)</f>
        <v/>
      </c>
      <c r="AE42" s="366">
        <f>VLOOKUP("CS1",AE6:AE39,1,FALSE)</f>
        <v/>
      </c>
      <c r="AF42" s="366">
        <f>VLOOKUP("CS1",AF5:AF39,1,FALSE)</f>
        <v/>
      </c>
      <c r="AG42" s="366">
        <f>VLOOKUP("CS1",AG6:AG39,1,FALSE)</f>
        <v/>
      </c>
      <c r="AH42" s="311" t="n"/>
      <c r="AI42" s="312" t="n"/>
      <c r="AJ42" s="311" t="n"/>
      <c r="AK42" s="313" t="n"/>
      <c r="AL42" s="313" t="n"/>
      <c r="AM42" s="313" t="n"/>
      <c r="AN42" s="313" t="n"/>
      <c r="AO42" s="313" t="n"/>
      <c r="AP42" s="313" t="n"/>
      <c r="AQ42" s="313" t="n"/>
      <c r="AR42" s="313" t="n"/>
      <c r="AS42" s="313" t="n"/>
      <c r="AT42" s="313" t="n"/>
      <c r="AU42" s="313" t="n"/>
      <c r="AV42" s="313" t="n"/>
      <c r="AW42" s="313" t="n"/>
      <c r="AX42" s="313" t="n"/>
      <c r="AY42" s="313" t="n"/>
      <c r="AZ42" s="313" t="n"/>
      <c r="BA42" s="313" t="n"/>
      <c r="BB42" s="313" t="n"/>
      <c r="BC42" s="313" t="n"/>
      <c r="BD42" s="313" t="n"/>
      <c r="BE42" s="313" t="n"/>
      <c r="BF42" s="313" t="n"/>
      <c r="BG42" s="313" t="n"/>
      <c r="BH42" s="313" t="n"/>
      <c r="BI42" s="313" t="n"/>
      <c r="BJ42" s="313" t="n"/>
      <c r="BK42" s="313" t="n"/>
      <c r="BL42" s="313" t="n"/>
      <c r="BM42" s="313" t="n"/>
      <c r="BN42" s="313" t="n"/>
      <c r="BO42" s="313" t="n"/>
      <c r="BP42" s="314" t="n"/>
    </row>
    <row r="43" ht="19.5" customHeight="1">
      <c r="A43" s="309" t="n"/>
      <c r="B43" s="369" t="inlineStr">
        <is>
          <t>CS2</t>
        </is>
      </c>
      <c r="C43" s="366">
        <f>VLOOKUP("CS2",C6:C39,1,FALSE)</f>
        <v/>
      </c>
      <c r="D43" s="366">
        <f>VLOOKUP("CS2",D9:D39,1,FALSE)</f>
        <v/>
      </c>
      <c r="E43" s="366">
        <f>VLOOKUP("CS2",E7:E39,1,FALSE)</f>
        <v/>
      </c>
      <c r="F43" s="366">
        <f>VLOOKUP("CS2",F7:F39,1,FALSE)</f>
        <v/>
      </c>
      <c r="G43" s="366">
        <f>VLOOKUP("CS2",G6:G39,1,FALSE)</f>
        <v/>
      </c>
      <c r="H43" s="366">
        <f>VLOOKUP("CS2",H6:H39,1,FALSE)</f>
        <v/>
      </c>
      <c r="I43" s="366">
        <f>VLOOKUP("CS2",I7:I39,1,FALSE)</f>
        <v/>
      </c>
      <c r="J43" s="366">
        <f>VLOOKUP("CS2",J4:J39,1,FALSE)</f>
        <v/>
      </c>
      <c r="K43" s="366">
        <f>VLOOKUP("CS2",K6:K39,1,FALSE)</f>
        <v/>
      </c>
      <c r="L43" s="366">
        <f>VLOOKUP("CS2",L4:L39,1,FALSE)</f>
        <v/>
      </c>
      <c r="M43" s="366">
        <f>VLOOKUP("CS2",M7:M33,1,FALSE)</f>
        <v/>
      </c>
      <c r="N43" s="366">
        <f>VLOOKUP("CS2",N5:N39,1,FALSE)</f>
        <v/>
      </c>
      <c r="O43" s="366">
        <f>VLOOKUP("CS2",O10:O39,1,FALSE)</f>
        <v/>
      </c>
      <c r="P43" s="366">
        <f>VLOOKUP("CS2",P6:P39,1,FALSE)</f>
        <v/>
      </c>
      <c r="Q43" s="366">
        <f>VLOOKUP("CS2",Q7:Q33,1,FALSE)</f>
        <v/>
      </c>
      <c r="R43" s="366">
        <f>VLOOKUP("CS2",R6:R31,1,FALSE)</f>
        <v/>
      </c>
      <c r="S43" s="366">
        <f>VLOOKUP("CS2",S5:S39,1,FALSE)</f>
        <v/>
      </c>
      <c r="T43" s="366">
        <f>VLOOKUP("CS2",T1:T39,1,FALSE)</f>
        <v/>
      </c>
      <c r="U43" s="366">
        <f>VLOOKUP("CS2",U1:U39,1,FALSE)</f>
        <v/>
      </c>
      <c r="V43" s="366">
        <f>VLOOKUP("CS2",V1:V30,1,FALSE)</f>
        <v/>
      </c>
      <c r="W43" s="366">
        <f>VLOOKUP("CS2",W1:W30,1,FALSE)</f>
        <v/>
      </c>
      <c r="X43" s="366">
        <f>VLOOKUP("CS2",X7:X39,1,FALSE)</f>
        <v/>
      </c>
      <c r="Y43" s="366">
        <f>VLOOKUP("CS2",Y5:Y39,1,FALSE)</f>
        <v/>
      </c>
      <c r="Z43" s="366">
        <f>VLOOKUP("CS2",Z6:Z39,1,FALSE)</f>
        <v/>
      </c>
      <c r="AA43" s="366">
        <f>VLOOKUP("CS2",AA5:AA39,1,FALSE)</f>
        <v/>
      </c>
      <c r="AB43" s="366">
        <f>VLOOKUP("CS2",AB1:AB39,1,FALSE)</f>
        <v/>
      </c>
      <c r="AC43" s="366">
        <f>VLOOKUP("CS2",AC6:AC39,1,FALSE)</f>
        <v/>
      </c>
      <c r="AD43" s="366">
        <f>VLOOKUP("CS2",AD6:AD39,1,FALSE)</f>
        <v/>
      </c>
      <c r="AE43" s="366">
        <f>VLOOKUP("CS2",AE6:AE39,1,FALSE)</f>
        <v/>
      </c>
      <c r="AF43" s="366">
        <f>VLOOKUP("CS2",AF5:AF39,1,FALSE)</f>
        <v/>
      </c>
      <c r="AG43" s="366">
        <f>VLOOKUP("CS2",AG6:AG39,1,FALSE)</f>
        <v/>
      </c>
      <c r="AH43" s="311" t="n"/>
      <c r="AI43" s="312" t="n"/>
      <c r="AJ43" s="311" t="n"/>
      <c r="AK43" s="313" t="n"/>
      <c r="AL43" s="313" t="n"/>
      <c r="AM43" s="313" t="n"/>
      <c r="AN43" s="313" t="n"/>
      <c r="AO43" s="313" t="n"/>
      <c r="AP43" s="313" t="n"/>
      <c r="AQ43" s="313" t="n"/>
      <c r="AR43" s="313" t="n"/>
      <c r="AS43" s="313" t="n"/>
      <c r="AT43" s="313" t="n"/>
      <c r="AU43" s="313" t="n"/>
      <c r="AV43" s="313" t="n"/>
      <c r="AW43" s="313" t="n"/>
      <c r="AX43" s="313" t="n"/>
      <c r="AY43" s="313" t="n"/>
      <c r="AZ43" s="313" t="n"/>
      <c r="BA43" s="313" t="n"/>
      <c r="BB43" s="313" t="n"/>
      <c r="BC43" s="313" t="n"/>
      <c r="BD43" s="313" t="n"/>
      <c r="BE43" s="313" t="n"/>
      <c r="BF43" s="313" t="n"/>
      <c r="BG43" s="313" t="n"/>
      <c r="BH43" s="313" t="n"/>
      <c r="BI43" s="313" t="n"/>
      <c r="BJ43" s="313" t="n"/>
      <c r="BK43" s="313" t="n"/>
      <c r="BL43" s="313" t="n"/>
      <c r="BM43" s="313" t="n"/>
      <c r="BN43" s="313" t="n"/>
      <c r="BO43" s="313" t="n"/>
      <c r="BP43" s="314" t="n"/>
    </row>
    <row r="44" ht="19.5" customHeight="1">
      <c r="A44" s="309" t="n"/>
      <c r="B44" s="370" t="inlineStr">
        <is>
          <t>SB1</t>
        </is>
      </c>
      <c r="C44" s="366">
        <f>VLOOKUP("SB1",C6:C39,1,FALSE)</f>
        <v/>
      </c>
      <c r="D44" s="366">
        <f>VLOOKUP("SB1",D3:D39,1,FALSE)</f>
        <v/>
      </c>
      <c r="E44" s="366">
        <f>VLOOKUP("SB1",E7:E39,1,FALSE)</f>
        <v/>
      </c>
      <c r="F44" s="366">
        <f>VLOOKUP("SB1",F7:F39,1,FALSE)</f>
        <v/>
      </c>
      <c r="G44" s="366">
        <f>VLOOKUP("SB1",G6:G39,1,FALSE)</f>
        <v/>
      </c>
      <c r="H44" s="366">
        <f>VLOOKUP("SB1",H6:H39,1,FALSE)</f>
        <v/>
      </c>
      <c r="I44" s="366">
        <f>VLOOKUP("SB1",I7:I39,1,FALSE)</f>
        <v/>
      </c>
      <c r="J44" s="366">
        <f>VLOOKUP("SB1",J4:J39,1,FALSE)</f>
        <v/>
      </c>
      <c r="K44" s="366">
        <f>VLOOKUP("SB1",K6:K39,1,FALSE)</f>
        <v/>
      </c>
      <c r="L44" s="366">
        <f>VLOOKUP("SB1",L5:L39,1,FALSE)</f>
        <v/>
      </c>
      <c r="M44" s="366">
        <f>VLOOKUP("SB1",M7:M33,1,FALSE)</f>
        <v/>
      </c>
      <c r="N44" s="366">
        <f>VLOOKUP("SB1",N5:N39,1,FALSE)</f>
        <v/>
      </c>
      <c r="O44" s="366">
        <f>VLOOKUP("SB1",O5:O39,1,FALSE)</f>
        <v/>
      </c>
      <c r="P44" s="366">
        <f>VLOOKUP("SB1",P6:P39,1,FALSE)</f>
        <v/>
      </c>
      <c r="Q44" s="366">
        <f>VLOOKUP("SB1",Q7:Q33,1,FALSE)</f>
        <v/>
      </c>
      <c r="R44" s="366">
        <f>VLOOKUP("SB1",R6:R31,1,FALSE)</f>
        <v/>
      </c>
      <c r="S44" s="366">
        <f>VLOOKUP("SB1",S5:S39,1,FALSE)</f>
        <v/>
      </c>
      <c r="T44" s="366">
        <f>VLOOKUP("SB1",T6:T39,1,FALSE)</f>
        <v/>
      </c>
      <c r="U44" s="366">
        <f>VLOOKUP("SB1",U7:U39,1,FALSE)</f>
        <v/>
      </c>
      <c r="V44" s="366">
        <f>VLOOKUP("SB1",V7:V30,1,FALSE)</f>
        <v/>
      </c>
      <c r="W44" s="366">
        <f>VLOOKUP("SB1",W9:W30,1,FALSE)</f>
        <v/>
      </c>
      <c r="X44" s="366">
        <f>VLOOKUP("SB1",X7:X39,1,FALSE)</f>
        <v/>
      </c>
      <c r="Y44" s="366">
        <f>VLOOKUP("SB1",Y5:Y39,1,FALSE)</f>
        <v/>
      </c>
      <c r="Z44" s="366">
        <f>VLOOKUP("SB1",Z6:Z39,1,FALSE)</f>
        <v/>
      </c>
      <c r="AA44" s="366">
        <f>VLOOKUP("SB1",AA5:AA39,1,FALSE)</f>
        <v/>
      </c>
      <c r="AB44" s="366">
        <f>VLOOKUP("SB1",AB8:AB39,1,FALSE)</f>
        <v/>
      </c>
      <c r="AC44" s="366">
        <f>VLOOKUP("SB1",AC1:AC39,1,FALSE)</f>
        <v/>
      </c>
      <c r="AD44" s="366">
        <f>VLOOKUP("SB1",AD6:AD39,1,FALSE)</f>
        <v/>
      </c>
      <c r="AE44" s="366">
        <f>VLOOKUP("SB1",AE6:AE39,1,FALSE)</f>
        <v/>
      </c>
      <c r="AF44" s="366">
        <f>VLOOKUP("SB1",AF5:AF39,1,FALSE)</f>
        <v/>
      </c>
      <c r="AG44" s="366">
        <f>VLOOKUP("SB1",AG6:AG39,1,FALSE)</f>
        <v/>
      </c>
      <c r="AH44" s="311" t="n"/>
      <c r="AI44" s="312" t="n"/>
      <c r="AJ44" s="311" t="n"/>
      <c r="AK44" s="313" t="n"/>
      <c r="AL44" s="313" t="n"/>
      <c r="AM44" s="313" t="n"/>
      <c r="AN44" s="313" t="n"/>
      <c r="AO44" s="313" t="n"/>
      <c r="AP44" s="313" t="n"/>
      <c r="AQ44" s="313" t="n"/>
      <c r="AR44" s="313" t="n"/>
      <c r="AS44" s="313" t="n"/>
      <c r="AT44" s="313" t="n"/>
      <c r="AU44" s="313" t="n"/>
      <c r="AV44" s="313" t="n"/>
      <c r="AW44" s="313" t="n"/>
      <c r="AX44" s="313" t="n"/>
      <c r="AY44" s="313" t="n"/>
      <c r="AZ44" s="313" t="n"/>
      <c r="BA44" s="313" t="n"/>
      <c r="BB44" s="313" t="n"/>
      <c r="BC44" s="313" t="n"/>
      <c r="BD44" s="313" t="n"/>
      <c r="BE44" s="313" t="n"/>
      <c r="BF44" s="313" t="n"/>
      <c r="BG44" s="313" t="n"/>
      <c r="BH44" s="313" t="n"/>
      <c r="BI44" s="313" t="n"/>
      <c r="BJ44" s="313" t="n"/>
      <c r="BK44" s="313" t="n"/>
      <c r="BL44" s="313" t="n"/>
      <c r="BM44" s="313" t="n"/>
      <c r="BN44" s="313" t="n"/>
      <c r="BO44" s="313" t="n"/>
      <c r="BP44" s="314" t="n"/>
    </row>
    <row r="45" ht="19.5" customHeight="1">
      <c r="A45" s="309" t="n"/>
      <c r="B45" s="371" t="inlineStr">
        <is>
          <t>SB2</t>
        </is>
      </c>
      <c r="C45" s="366">
        <f>VLOOKUP("SB2",C6:C39,1,FALSE)</f>
        <v/>
      </c>
      <c r="D45" s="366">
        <f>VLOOKUP("SB2",D9:D39,1,FALSE)</f>
        <v/>
      </c>
      <c r="E45" s="366">
        <f>VLOOKUP("SB2",E7:E39,1,FALSE)</f>
        <v/>
      </c>
      <c r="F45" s="366">
        <f>VLOOKUP("SB2",F1:F39,1,FALSE)</f>
        <v/>
      </c>
      <c r="G45" s="366">
        <f>VLOOKUP("SB2",G6:G39,1,FALSE)</f>
        <v/>
      </c>
      <c r="H45" s="366">
        <f>VLOOKUP("SB2",H6:H39,1,FALSE)</f>
        <v/>
      </c>
      <c r="I45" s="366">
        <f>VLOOKUP("SB2",I7:I39,1,FALSE)</f>
        <v/>
      </c>
      <c r="J45" s="366">
        <f>VLOOKUP("SB2",J4:J39,1,FALSE)</f>
        <v/>
      </c>
      <c r="K45" s="366">
        <f>VLOOKUP("SB2",K6:K39,1,FALSE)</f>
        <v/>
      </c>
      <c r="L45" s="366">
        <f>VLOOKUP("SB2",L11:L39,1,FALSE)</f>
        <v/>
      </c>
      <c r="M45" s="366">
        <f>VLOOKUP("SB2",M7:M33,1,FALSE)</f>
        <v/>
      </c>
      <c r="N45" s="366">
        <f>VLOOKUP("SB2",N5:N39,1,FALSE)</f>
        <v/>
      </c>
      <c r="O45" s="366">
        <f>VLOOKUP("SB2",O5:O39,1,FALSE)</f>
        <v/>
      </c>
      <c r="P45" s="366">
        <f>VLOOKUP("SB2",P6:P39,1,FALSE)</f>
        <v/>
      </c>
      <c r="Q45" s="366">
        <f>VLOOKUP("SB2",Q9:Q33,1,FALSE)</f>
        <v/>
      </c>
      <c r="R45" s="366">
        <f>VLOOKUP("SB2",R6:R31,1,FALSE)</f>
        <v/>
      </c>
      <c r="S45" s="366">
        <f>VLOOKUP("SB2",S11:S39,1,FALSE)</f>
        <v/>
      </c>
      <c r="T45" s="366">
        <f>VLOOKUP("SB2",T6:T39,1,FALSE)</f>
        <v/>
      </c>
      <c r="U45" s="366">
        <f>VLOOKUP("SB2",U7:U39,1,FALSE)</f>
        <v/>
      </c>
      <c r="V45" s="366">
        <f>VLOOKUP("SB2",V8:V30,1,FALSE)</f>
        <v/>
      </c>
      <c r="W45" s="366">
        <f>VLOOKUP("SB2",W9:W30,1,FALSE)</f>
        <v/>
      </c>
      <c r="X45" s="366">
        <f>VLOOKUP("SB2",X7:X39,1,FALSE)</f>
        <v/>
      </c>
      <c r="Y45" s="366">
        <f>VLOOKUP("SB2",Y5:Y39,1,FALSE)</f>
        <v/>
      </c>
      <c r="Z45" s="366">
        <f>VLOOKUP("SB2",Z6:Z39,1,FALSE)</f>
        <v/>
      </c>
      <c r="AA45" s="366">
        <f>VLOOKUP("SB2",AA10:AA39,1,FALSE)</f>
        <v/>
      </c>
      <c r="AB45" s="366">
        <f>VLOOKUP("SB2",AB8:AB39,1,FALSE)</f>
        <v/>
      </c>
      <c r="AC45" s="366">
        <f>VLOOKUP("SB2",AC10:AC39,1,FALSE)</f>
        <v/>
      </c>
      <c r="AD45" s="366">
        <f>VLOOKUP("SB2",AD6:AD39,1,FALSE)</f>
        <v/>
      </c>
      <c r="AE45" s="366">
        <f>VLOOKUP("SB2",AE6:AE39,1,FALSE)</f>
        <v/>
      </c>
      <c r="AF45" s="366">
        <f>VLOOKUP("SB2",AF5:AF39,1,FALSE)</f>
        <v/>
      </c>
      <c r="AG45" s="366">
        <f>VLOOKUP("SB2",AG6:AG39,1,FALSE)</f>
        <v/>
      </c>
      <c r="AH45" s="311" t="n"/>
      <c r="AI45" s="312" t="n"/>
      <c r="AJ45" s="311" t="n"/>
      <c r="AK45" s="313" t="n"/>
      <c r="AL45" s="313" t="n"/>
      <c r="AM45" s="313" t="n"/>
      <c r="AN45" s="313" t="n"/>
      <c r="AO45" s="313" t="n"/>
      <c r="AP45" s="313" t="n"/>
      <c r="AQ45" s="313" t="n"/>
      <c r="AR45" s="313" t="n"/>
      <c r="AS45" s="313" t="n"/>
      <c r="AT45" s="313" t="n"/>
      <c r="AU45" s="313" t="n"/>
      <c r="AV45" s="313" t="n"/>
      <c r="AW45" s="313" t="n"/>
      <c r="AX45" s="313" t="n"/>
      <c r="AY45" s="313" t="n"/>
      <c r="AZ45" s="313" t="n"/>
      <c r="BA45" s="313" t="n"/>
      <c r="BB45" s="313" t="n"/>
      <c r="BC45" s="313" t="n"/>
      <c r="BD45" s="313" t="n"/>
      <c r="BE45" s="313" t="n"/>
      <c r="BF45" s="313" t="n"/>
      <c r="BG45" s="313" t="n"/>
      <c r="BH45" s="313" t="n"/>
      <c r="BI45" s="313" t="n"/>
      <c r="BJ45" s="313" t="n"/>
      <c r="BK45" s="313" t="n"/>
      <c r="BL45" s="313" t="n"/>
      <c r="BM45" s="313" t="n"/>
      <c r="BN45" s="313" t="n"/>
      <c r="BO45" s="313" t="n"/>
      <c r="BP45" s="314" t="n"/>
    </row>
    <row r="46" ht="19.5" customHeight="1">
      <c r="A46" s="309" t="n"/>
      <c r="B46" s="372" t="inlineStr">
        <is>
          <t>AE</t>
        </is>
      </c>
      <c r="C46" s="366">
        <f>VLOOKUP("AE",C6:C39,1,FALSE)</f>
        <v/>
      </c>
      <c r="D46" s="366">
        <f>VLOOKUP("AE",D9:D39,1,FALSE)</f>
        <v/>
      </c>
      <c r="E46" s="366">
        <f>VLOOKUP("AE",E7:E39,1,FALSE)</f>
        <v/>
      </c>
      <c r="F46" s="366">
        <f>VLOOKUP("AE",F1:F39,1,FALSE)</f>
        <v/>
      </c>
      <c r="G46" s="366">
        <f>VLOOKUP("AE",G6:G39,1,FALSE)</f>
        <v/>
      </c>
      <c r="H46" s="366">
        <f>VLOOKUP("AE",H6:H39,1,FALSE)</f>
        <v/>
      </c>
      <c r="I46" s="366">
        <f>VLOOKUP("AE",I7:I39,1,FALSE)</f>
        <v/>
      </c>
      <c r="J46" s="366">
        <f>VLOOKUP("AE",J4:J39,1,FALSE)</f>
        <v/>
      </c>
      <c r="K46" s="366">
        <f>VLOOKUP("AE",K6:K39,1,FALSE)</f>
        <v/>
      </c>
      <c r="L46" s="366">
        <f>VLOOKUP("AE",L11:L39,1,FALSE)</f>
        <v/>
      </c>
      <c r="M46" s="366">
        <f>VLOOKUP("AE",M7:M33,1,FALSE)</f>
        <v/>
      </c>
      <c r="N46" s="366">
        <f>VLOOKUP("AE",N5:N39,1,FALSE)</f>
        <v/>
      </c>
      <c r="O46" s="366">
        <f>VLOOKUP("AE",O5:O39,1,FALSE)</f>
        <v/>
      </c>
      <c r="P46" s="366">
        <f>VLOOKUP("AE",P6:P39,1,FALSE)</f>
        <v/>
      </c>
      <c r="Q46" s="366">
        <f>VLOOKUP("AE",Q9:Q33,1,FALSE)</f>
        <v/>
      </c>
      <c r="R46" s="366">
        <f>VLOOKUP("AE",R6:R31,1,FALSE)</f>
        <v/>
      </c>
      <c r="S46" s="366">
        <f>VLOOKUP("AE",S11:S39,1,FALSE)</f>
        <v/>
      </c>
      <c r="T46" s="366">
        <f>VLOOKUP("AE",T6:T39,1,FALSE)</f>
        <v/>
      </c>
      <c r="U46" s="366">
        <f>VLOOKUP("AE",U7:U39,1,FALSE)</f>
        <v/>
      </c>
      <c r="V46" s="366">
        <f>VLOOKUP("AE",V8:V30,1,FALSE)</f>
        <v/>
      </c>
      <c r="W46" s="366">
        <f>VLOOKUP("AE",W9:W30,1,FALSE)</f>
        <v/>
      </c>
      <c r="X46" s="366">
        <f>VLOOKUP("AE",X7:X39,1,FALSE)</f>
        <v/>
      </c>
      <c r="Y46" s="366">
        <f>VLOOKUP("AE",Y5:Y39,1,FALSE)</f>
        <v/>
      </c>
      <c r="Z46" s="366">
        <f>VLOOKUP("AE",Z6:Z39,1,FALSE)</f>
        <v/>
      </c>
      <c r="AA46" s="366">
        <f>VLOOKUP("AE",AA10:AA39,1,FALSE)</f>
        <v/>
      </c>
      <c r="AB46" s="366">
        <f>VLOOKUP("AE",AB8:AB39,1,FALSE)</f>
        <v/>
      </c>
      <c r="AC46" s="366">
        <f>VLOOKUP("AE",AC10:AC39,1,FALSE)</f>
        <v/>
      </c>
      <c r="AD46" s="366">
        <f>VLOOKUP("AE",AD6:AD39,1,FALSE)</f>
        <v/>
      </c>
      <c r="AE46" s="366">
        <f>VLOOKUP("AE",AE6:AE39,1,FALSE)</f>
        <v/>
      </c>
      <c r="AF46" s="366">
        <f>VLOOKUP("AE",AF5:AF39,1,FALSE)</f>
        <v/>
      </c>
      <c r="AG46" s="366">
        <f>VLOOKUP("AE",AG6:AG39,1,FALSE)</f>
        <v/>
      </c>
      <c r="AH46" s="311" t="n"/>
      <c r="AI46" s="312" t="n"/>
      <c r="AJ46" s="311" t="n"/>
      <c r="AK46" s="313" t="n"/>
      <c r="AL46" s="313" t="n"/>
      <c r="AM46" s="313" t="n"/>
      <c r="AN46" s="313" t="n"/>
      <c r="AO46" s="313" t="n"/>
      <c r="AP46" s="313" t="n"/>
      <c r="AQ46" s="313" t="n"/>
      <c r="AR46" s="313" t="n"/>
      <c r="AS46" s="313" t="n"/>
      <c r="AT46" s="313" t="n"/>
      <c r="AU46" s="313" t="n"/>
      <c r="AV46" s="313" t="n"/>
      <c r="AW46" s="313" t="n"/>
      <c r="AX46" s="313" t="n"/>
      <c r="AY46" s="313" t="n"/>
      <c r="AZ46" s="313" t="n"/>
      <c r="BA46" s="313" t="n"/>
      <c r="BB46" s="313" t="n"/>
      <c r="BC46" s="313" t="n"/>
      <c r="BD46" s="313" t="n"/>
      <c r="BE46" s="313" t="n"/>
      <c r="BF46" s="313" t="n"/>
      <c r="BG46" s="313" t="n"/>
      <c r="BH46" s="313" t="n"/>
      <c r="BI46" s="313" t="n"/>
      <c r="BJ46" s="313" t="n"/>
      <c r="BK46" s="313" t="n"/>
      <c r="BL46" s="313" t="n"/>
      <c r="BM46" s="313" t="n"/>
      <c r="BN46" s="313" t="n"/>
      <c r="BO46" s="313" t="n"/>
      <c r="BP46" s="314" t="n"/>
    </row>
  </sheetData>
  <mergeCells count="1">
    <mergeCell ref="C1:S1"/>
  </mergeCells>
  <conditionalFormatting sqref="J12">
    <cfRule type="expression" priority="3" dxfId="136">
      <formula>WEEKDAY(K$3,2)&gt;5</formula>
    </cfRule>
  </conditionalFormatting>
  <conditionalFormatting sqref="X13">
    <cfRule type="expression" priority="1" dxfId="136">
      <formula>WEEKDAY(Z$3,2)&gt;5</formula>
    </cfRule>
    <cfRule type="expression" priority="2" dxfId="136">
      <formula>WEEKDAY(Y$3,2)&gt;5</formula>
    </cfRule>
  </conditionalFormatting>
  <conditionalFormatting sqref="F25">
    <cfRule type="expression" priority="5" dxfId="136">
      <formula>WEEKDAY(I$3,2)&gt;5</formula>
    </cfRule>
    <cfRule type="expression" priority="6" dxfId="136">
      <formula>WEEKDAY(H$3,2)&gt;5</formula>
    </cfRule>
  </conditionalFormatting>
  <conditionalFormatting sqref="K26">
    <cfRule type="expression" priority="7" dxfId="136">
      <formula>WEEKDAY(M$3,2)&gt;5</formula>
    </cfRule>
  </conditionalFormatting>
  <conditionalFormatting sqref="N31">
    <cfRule type="expression" priority="8" dxfId="136">
      <formula>WEEKDAY(O$3,2)&gt;5</formula>
    </cfRule>
  </conditionalFormatting>
  <conditionalFormatting sqref="Q31">
    <cfRule type="expression" priority="4" dxfId="136">
      <formula>WEEKDAY(R$3,2)&gt;5</formula>
    </cfRule>
  </conditionalFormatting>
  <conditionalFormatting sqref="C3:S39 T2:X39 Y3:AG39">
    <cfRule type="expression" priority="70" dxfId="136">
      <formula>WEEKDAY(T$3,2)&gt;5</formula>
    </cfRule>
  </conditionalFormatting>
  <conditionalFormatting sqref="C5:I46 J4:J46 K5:Z46 AA4:AA46 AB5:AG46">
    <cfRule type="cellIs" priority="55" operator="equal" dxfId="137">
      <formula>"B"</formula>
    </cfRule>
    <cfRule type="cellIs" priority="56" operator="equal" dxfId="137">
      <formula>"AL"</formula>
    </cfRule>
    <cfRule type="cellIs" priority="57" operator="equal" dxfId="138">
      <formula>"DM"</formula>
    </cfRule>
    <cfRule type="cellIs" priority="58" operator="equal" dxfId="139">
      <formula>"CS1"</formula>
    </cfRule>
    <cfRule type="cellIs" priority="59" operator="equal" dxfId="140">
      <formula>"CS2"</formula>
    </cfRule>
    <cfRule type="cellIs" priority="60" operator="equal" dxfId="141">
      <formula>"SB1"</formula>
    </cfRule>
    <cfRule type="cellIs" priority="61" operator="equal" dxfId="142">
      <formula>"SB2"</formula>
    </cfRule>
    <cfRule type="cellIs" priority="62" operator="equal" dxfId="143">
      <formula>"AE"</formula>
    </cfRule>
  </conditionalFormatting>
  <conditionalFormatting sqref="C5:I39 J4:J39 K5:Z39 AA4:AA39 AB5:AG39">
    <cfRule type="cellIs" priority="64" operator="equal" dxfId="137">
      <formula>"DB"</formula>
    </cfRule>
    <cfRule type="containsText" priority="65" operator="between" dxfId="144" text="$AM">
      <formula>NOT(ISERROR(SEARCH("$AM",C4)))</formula>
    </cfRule>
    <cfRule type="containsText" priority="66" operator="between" dxfId="145" text="$PM">
      <formula>NOT(ISERROR(SEARCH("$PM",C4)))</formula>
    </cfRule>
    <cfRule type="containsText" priority="67" operator="between" dxfId="146" text="$L">
      <formula>NOT(ISERROR(SEARCH("$L",C4)))</formula>
    </cfRule>
    <cfRule type="containsText" priority="68" operator="between" dxfId="147" text="$BTP">
      <formula>NOT(ISERROR(SEARCH("$BTP",C4)))</formula>
    </cfRule>
    <cfRule type="containsText" priority="69" operator="between" dxfId="148" text="$M">
      <formula>NOT(ISERROR(SEARCH("$M",C4)))</formula>
    </cfRule>
    <cfRule type="containsText" priority="71" operator="between" dxfId="149" text="$N">
      <formula>NOT(ISERROR(SEARCH("$N",C4)))</formula>
    </cfRule>
    <cfRule type="containsText" priority="72" operator="between" dxfId="150" text="$FC">
      <formula>NOT(ISERROR(SEARCH("$FC",C4)))</formula>
    </cfRule>
    <cfRule type="containsText" priority="73" operator="between" dxfId="151" text="OAL">
      <formula>NOT(ISERROR(SEARCH("OAL",C4)))</formula>
    </cfRule>
    <cfRule type="containsText" priority="74" operator="between" dxfId="152" text="S+">
      <formula>NOT(ISERROR(SEARCH("S+",C4)))</formula>
    </cfRule>
    <cfRule type="containsText" priority="75" operator="between" dxfId="153" text="EX-D">
      <formula>NOT(ISERROR(SEARCH("EX-D",C4)))</formula>
    </cfRule>
  </conditionalFormatting>
  <conditionalFormatting sqref="C5:C10 C12:C23 C25:C26 C28:C29 D5:D31 E5:E7 E9:E20 E22:E26 E28:E29 E31 F5:F31 G5:G28 G30:G31 H5:I26 H29:I29 H31:I31 J4:J26 J30:J31 K5:K24 K26 K28:K29 K31 L5:M19 L21:L31 M21:M28 M30:M32 N5:N23 N25:N29 N31 O5:O13 O15:O24 O26:O27 O29 P5:P29 P31 Q5:Q19 Q21:Q26 Q28:Q33 R5:R14 R16 R18 R20:S37 S5 S7:S18 T5:T37 U5:U8 U10:U18 U20:U37 V5:V10 V12:V37 W5:W31 X5:Y29 X31:Y31 Z5:Z13 Z15:Z21 Z23:Z29 Z31:Z33 AA6:AA24 AA26:AA33 AB5:AB34 AB36:AC37 AC5:AC30 AC32:AC34 AD5:AD28 AD30 AD32:AE33 AE5:AE30 AF5:AF18 AF20:AF23 AF25:AF30 AG5:AG25 AG27 AG31">
    <cfRule type="containsText" priority="76" operator="between" dxfId="154" text="VACC">
      <formula>NOT(ISERROR(SEARCH("VACC",C4)))</formula>
    </cfRule>
  </conditionalFormatting>
  <conditionalFormatting sqref="C5 C7:C31 D6 E5 E28 G29 H27:H29 I29:K29 O29 P28 Q26 R28:R30 T29:T30 U29 U31 V27 W30 X29 X31 Y28 Z28:AA29 AC29">
    <cfRule type="cellIs" priority="11" operator="equal" dxfId="137">
      <formula>"B"</formula>
    </cfRule>
    <cfRule type="cellIs" priority="12" operator="equal" dxfId="137">
      <formula>"AL"</formula>
    </cfRule>
    <cfRule type="cellIs" priority="13" operator="equal" dxfId="138">
      <formula>"DM"</formula>
    </cfRule>
    <cfRule type="cellIs" priority="14" operator="equal" dxfId="139">
      <formula>"CS1"</formula>
    </cfRule>
    <cfRule type="cellIs" priority="15" operator="equal" dxfId="140">
      <formula>"CS2"</formula>
    </cfRule>
    <cfRule type="cellIs" priority="16" operator="equal" dxfId="141">
      <formula>"SB1"</formula>
    </cfRule>
    <cfRule type="cellIs" priority="17" operator="equal" dxfId="142">
      <formula>"SB2"</formula>
    </cfRule>
    <cfRule type="cellIs" priority="18" operator="equal" dxfId="143">
      <formula>"AE"</formula>
    </cfRule>
    <cfRule type="cellIs" priority="19" operator="equal" dxfId="137">
      <formula>"DB"</formula>
    </cfRule>
    <cfRule type="containsText" priority="20" operator="between" dxfId="144" text="$AM">
      <formula>NOT(ISERROR(SEARCH("$AM",C5)))</formula>
    </cfRule>
    <cfRule type="containsText" priority="21" operator="between" dxfId="145" text="$PM">
      <formula>NOT(ISERROR(SEARCH("$PM",C5)))</formula>
    </cfRule>
    <cfRule type="containsText" priority="22" operator="between" dxfId="146" text="$L">
      <formula>NOT(ISERROR(SEARCH("$L",C5)))</formula>
    </cfRule>
    <cfRule type="containsText" priority="23" operator="between" dxfId="147" text="$BTP">
      <formula>NOT(ISERROR(SEARCH("$BTP",C5)))</formula>
    </cfRule>
    <cfRule type="containsText" priority="24" operator="between" dxfId="148" text="$M">
      <formula>NOT(ISERROR(SEARCH("$M",C5)))</formula>
    </cfRule>
    <cfRule type="containsText" priority="25" operator="between" dxfId="149" text="$N">
      <formula>NOT(ISERROR(SEARCH("$N",C5)))</formula>
    </cfRule>
    <cfRule type="containsText" priority="26" operator="between" dxfId="150" text="$FC">
      <formula>NOT(ISERROR(SEARCH("$FC",C5)))</formula>
    </cfRule>
    <cfRule type="containsText" priority="27" operator="between" dxfId="151" text="OAL">
      <formula>NOT(ISERROR(SEARCH("OAL",C5)))</formula>
    </cfRule>
    <cfRule type="containsText" priority="28" operator="between" dxfId="152" text="S+">
      <formula>NOT(ISERROR(SEARCH("S+",C5)))</formula>
    </cfRule>
    <cfRule type="containsText" priority="29" operator="between" dxfId="153" text="EX-D">
      <formula>NOT(ISERROR(SEARCH("EX-D",C5)))</formula>
    </cfRule>
  </conditionalFormatting>
  <conditionalFormatting sqref="C5 C7:C15 C18:C25 C28 D6 E5 E28 J29:K29 R30 T29 Y28 Z28:AA29">
    <cfRule type="expression" priority="30" dxfId="136">
      <formula>WEEKDAY(#REF!,2)&gt;5</formula>
    </cfRule>
  </conditionalFormatting>
  <conditionalFormatting sqref="C5:C26 C28:C29 D5:D31 E5:E7 E9:E20 E22:E26 E28:E31 F5:F31 G5:G28 G30:G31 H5:K26 H29:I29 H31:I31 J29:J31 K28:K29 K31 L5:M19 L21:L31 M21:M28 M30:M32 N5:N23 N25:N29 N31 O5:O13 O15:O27 O29 P5:P29 P31 Q5:Q19 Q21:Q26 Q28:Q33 R5:R31 S5 S7:S31 T5:T31 U5:U8 U10:U31 V5:V10 V12:V31 W5:Z29 W31:Y31 Z31:Z33 AA6:AA24 AA26:AA33 AB5:AB34 AB36:AC37 AC5:AC30 AC32:AC34 AD5:AD28 AD30 AD32:AE33 AE5:AE30 AF5:AF31 AG5:AG25 AG27 AG31">
    <cfRule type="cellIs" priority="34" operator="equal" dxfId="137">
      <formula>"B"</formula>
    </cfRule>
    <cfRule type="cellIs" priority="35" operator="equal" dxfId="137">
      <formula>"AL"</formula>
    </cfRule>
    <cfRule type="cellIs" priority="36" operator="equal" dxfId="138">
      <formula>"DM"</formula>
    </cfRule>
    <cfRule type="cellIs" priority="37" operator="equal" dxfId="139">
      <formula>"CS1"</formula>
    </cfRule>
    <cfRule type="cellIs" priority="38" operator="equal" dxfId="140">
      <formula>"CS2"</formula>
    </cfRule>
    <cfRule type="cellIs" priority="39" operator="equal" dxfId="141">
      <formula>"SB1"</formula>
    </cfRule>
    <cfRule type="cellIs" priority="40" operator="equal" dxfId="142">
      <formula>"SB2"</formula>
    </cfRule>
    <cfRule type="cellIs" priority="41" operator="equal" dxfId="143">
      <formula>"AE"</formula>
    </cfRule>
    <cfRule type="cellIs" priority="43" operator="equal" dxfId="137">
      <formula>"DB"</formula>
    </cfRule>
    <cfRule type="containsText" priority="44" operator="between" dxfId="144" text="$AM">
      <formula>NOT(ISERROR(SEARCH("$AM",C5)))</formula>
    </cfRule>
    <cfRule type="containsText" priority="45" operator="between" dxfId="145" text="$PM">
      <formula>NOT(ISERROR(SEARCH("$PM",C5)))</formula>
    </cfRule>
    <cfRule type="containsText" priority="46" operator="between" dxfId="146" text="$L">
      <formula>NOT(ISERROR(SEARCH("$L",C5)))</formula>
    </cfRule>
    <cfRule type="containsText" priority="47" operator="between" dxfId="147" text="$BTP">
      <formula>NOT(ISERROR(SEARCH("$BTP",C5)))</formula>
    </cfRule>
    <cfRule type="containsText" priority="48" operator="between" dxfId="148" text="$M">
      <formula>NOT(ISERROR(SEARCH("$M",C5)))</formula>
    </cfRule>
    <cfRule type="containsText" priority="49" operator="between" dxfId="149" text="$N">
      <formula>NOT(ISERROR(SEARCH("$N",C5)))</formula>
    </cfRule>
    <cfRule type="containsText" priority="50" operator="between" dxfId="150" text="$FC">
      <formula>NOT(ISERROR(SEARCH("$FC",C5)))</formula>
    </cfRule>
    <cfRule type="containsText" priority="51" operator="between" dxfId="151" text="OAL">
      <formula>NOT(ISERROR(SEARCH("OAL",C5)))</formula>
    </cfRule>
    <cfRule type="containsText" priority="52" operator="between" dxfId="152" text="S+">
      <formula>NOT(ISERROR(SEARCH("S+",C5)))</formula>
    </cfRule>
    <cfRule type="containsText" priority="53" operator="between" dxfId="153" text="EX-D">
      <formula>NOT(ISERROR(SEARCH("EX-D",C5)))</formula>
    </cfRule>
  </conditionalFormatting>
  <conditionalFormatting sqref="C5:C26 C28:C29 D5:D31 E5:E7 E9:E20 E22:E26 E28:E31 F5:F31 G5:G28 G30:G31 H5:K26 H29:I29 H31:I31 J29:J31 K28:K29 K31 L5:M19 L21:L31 M21:M28 M30:M32 N5:N23 N25:N29 N31 O5:O13 O15:O24 O26:O27 O29 P5:P29 P31 Q5:Q19 Q21:Q26 Q28:Q33 R5:R14 R16 R18 R20:R31 S5 S7:S31 T5:T31 U5:U8 U10:U31 V5:V10 V12:V31 W5:W31 X5:Z29 X31:Y31 Z31:Z33 AA6:AA24 AA26:AA33 AB5:AB34 AB36:AC37 AC5:AC30 AC32:AC34 AD5:AD28 AD30 AD32:AE33 AE5:AE30 AF5:AF23 AF25:AF30 AG5:AG25 AG27 AG31">
    <cfRule type="containsText" priority="42" operator="between" dxfId="154" text="VACC">
      <formula>NOT(ISERROR(SEARCH("VACC",C5)))</formula>
    </cfRule>
  </conditionalFormatting>
  <conditionalFormatting sqref="C5:C10 C12:C23 C26 C28:C29 D5:E7 D10:D31 E9:E18 E20 E22:E26 E28:E31 F5:F10 F12:F21 F23:F31 G5:G21 G23:G28 G30:G31 H5:K26 H29:I29 H31:I31 J29:J31 K28:K29 K31 L5:M19 L21:L31 M21:M28 M30:M32 N5:N11 N13:N23 N25:N29 N31 O5:O13 O15:O24 O26:O27 O29 P5:P29 P31 Q5 Q7:Q19 Q21:Q26 Q28 Q31:Q33 R5:R14 R16 R18 R20:R25 R27 R30:R31 S5 S7:S31 T5:T27 T29:T31 U5:U8 U10:U31 V5 V7:V10 V12:V18 V20:V25 V27:V31 W5:W29 W31:Y31 X5 X7:X25 X27:X28 Y5:Y29 Z5:Z13 Z15:Z21 Z23:Z29 Z31:Z33 AA6:AA24 AA26:AA33 AB5:AB14 AB17:AB34 AB36:AC37 AC5:AD28 AC30:AD30 AC32:AC34 AD32:AE33 AE5:AE30 AF5:AF18 AF20:AF23 AF25:AF30 AG5:AG15 AG17:AG24 AG27 AG31">
    <cfRule type="expression" priority="54" dxfId="136">
      <formula>WEEKDAY(#REF!,2)&gt;5</formula>
    </cfRule>
  </conditionalFormatting>
  <conditionalFormatting sqref="BO5:BP39">
    <cfRule type="cellIs" priority="63" operator="lessThan" dxfId="155">
      <formula>1</formula>
    </cfRule>
  </conditionalFormatting>
  <conditionalFormatting sqref="C13 C17 E23 E29:F29 F12 F16 H16 H19 O16 P17 T7:T10 T13:T14 T20 U13 U24 Y13 AE24">
    <cfRule type="expression" priority="31" dxfId="136">
      <formula>WEEKDAY(V$3,2)&gt;5</formula>
    </cfRule>
  </conditionalFormatting>
  <conditionalFormatting sqref="E23 E29 F28 G21 G23 G25 G27:G28 G30:G31 H16 H19 O16 P17 T7:T10 T13:T14 T20 U13 U24 Y13 AE24">
    <cfRule type="expression" priority="32" dxfId="136">
      <formula>WEEKDAY(U$3,2)&gt;5</formula>
    </cfRule>
  </conditionalFormatting>
  <conditionalFormatting sqref="C8:C9 C12:C13 C17 E12:F12 F16 F29">
    <cfRule type="expression" priority="33" dxfId="136">
      <formula>WEEKDAY(E$3,2)&gt;5</formula>
    </cfRule>
  </conditionalFormatting>
  <conditionalFormatting sqref="O8:O9 P9:Q9">
    <cfRule type="expression" priority="9" dxfId="136">
      <formula>WEEKDAY(J$3,2)&gt;5</formula>
    </cfRule>
    <cfRule type="expression" priority="10" dxfId="136">
      <formula>WEEKDAY(I$3,2)&gt;5</formula>
    </cfRule>
  </conditionalFormatting>
  <dataValidations count="2">
    <dataValidation sqref="C5:AG5 C7:C8 C9:D9 C10:AG10 C11:E11 C12:H12 C13:V13 C14 C15:P15 C16:AA16 C18:I18 C19:D19 C20:L20 C21:D21 C22:E22 C25:D25 C26:Q26 C27:D27 C29:P29 C30:D30 C32:I33 C34:J34 C35:L39 D6:P6 D17:H17 D23:L23 D24:I24 D28:I28 D31:AA31 E7:H7 E14 F8:F9 F19 F21:X21 F25:G25 F27:I27 F30:H30 G11:H11 G14:M14 G22:I22 H9:L9 H19:Q19 I25:J25 J7:L7 J8:K8 J12 K11:S11 K17:Q17 K18:AG18 K22:Y22 K24:L24 K27:M27 K28:N28 K32:M32 K33 L25:Q25 L30:M30 L34 M12 M33 N7:AG7 N8:R8 N9:T9 N20:P20 N24:P24 N34:P39 O12:T12 O14:P14 O23 O27:P27 O30 O32:P33 P28:S28 Q23 Q30:T30 R6 R14:R15 R20:U20 R27:AG27 R32:V33 R34:AG37 S17:T17 S19 S23:V23 S24:AG24 S25:Z25 S26:Y26 S29:AF29 S38:AG39 T6:U6 T8:AA8 T14 T15:AG15 U19 U28:AF28 V9:AB9 V12 V14:AE14 V17:AG17 V30:W30 W6 W11:AG11 W19:AC19 W20:AG20 X12:Y12 X13:AG13 X23:AG23 Y6:AA6 Y32:Y33 Z21:AA21 Z30:AA30 AA12:AG12 AA22:AB22 AB25:AG26 AB33:AC33 AC6:AG6 AC8:AG8 AC16:AG16 AC21 AC30:AD30 AD9:AE9 AD31:AG31 AE21:AG21 AE22 AF19:AG19 AF32:AG33 AG9 AG14 AG30" showDropDown="1" showInputMessage="0" showErrorMessage="0" allowBlank="1" type="list">
      <formula1>'Setting key Duty'!$B$7:$B$56</formula1>
    </dataValidation>
    <dataValidation sqref="C40:AG46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0"/>
    <pageSetUpPr fitToPage="1"/>
  </sheetPr>
  <dimension ref="A1:BP46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9.24761904761905" customWidth="1" min="16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3"/>
    <col hidden="1" outlineLevel="1" width="9.38095238095238" customWidth="1" min="34" max="40"/>
    <col collapsed="1" width="6.75238095238095" customWidth="1" min="41" max="41"/>
    <col outlineLevel="1" width="8.87619047619048" customWidth="1" min="42" max="42"/>
    <col outlineLevel="1" width="7.87619047619048" customWidth="1" min="43" max="43"/>
    <col outlineLevel="1" width="9.133333333333329" customWidth="1" min="44" max="44"/>
    <col outlineLevel="1" width="8.24761904761905" customWidth="1" min="45" max="45"/>
    <col outlineLevel="1" width="5.5047619047619" customWidth="1" min="46" max="46"/>
    <col width="9.38095238095238" customWidth="1" min="47" max="49"/>
    <col outlineLevel="1" width="9.38095238095238" customWidth="1" min="50" max="57"/>
    <col outlineLevel="1" width="10" customWidth="1" min="58" max="58"/>
    <col outlineLevel="1" width="9.38095238095238" customWidth="1" min="59" max="64"/>
    <col width="9.38095238095238" customWidth="1" min="65" max="65"/>
    <col width="9.504761904761899" customWidth="1" min="66" max="66"/>
    <col width="9.38095238095238" customWidth="1" min="67" max="68"/>
  </cols>
  <sheetData>
    <row r="1" ht="3" customHeight="1">
      <c r="A1" s="408" t="n"/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90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1" t="n"/>
    </row>
    <row r="2" ht="26.25" customHeight="1">
      <c r="A2" s="412" t="n"/>
      <c r="B2" s="24" t="inlineStr">
        <is>
          <t>Event Log</t>
        </is>
      </c>
      <c r="C2" s="167" t="inlineStr">
        <is>
          <t>NEW YEARS</t>
        </is>
      </c>
      <c r="D2" s="167" t="inlineStr">
        <is>
          <t>DE</t>
        </is>
      </c>
      <c r="E2" s="167" t="inlineStr">
        <is>
          <t>DE</t>
        </is>
      </c>
      <c r="F2" s="167" t="n"/>
      <c r="G2" s="167" t="n"/>
      <c r="H2" s="167" t="inlineStr">
        <is>
          <t>DE</t>
        </is>
      </c>
      <c r="I2" s="167" t="inlineStr">
        <is>
          <t>DE</t>
        </is>
      </c>
      <c r="J2" s="167" t="n"/>
      <c r="K2" s="167" t="inlineStr">
        <is>
          <t>U VACC 1 (42SAR)</t>
        </is>
      </c>
      <c r="L2" s="167" t="inlineStr">
        <is>
          <t>N VACC 2</t>
        </is>
      </c>
      <c r="M2" s="167" t="n"/>
      <c r="N2" s="167" t="n"/>
      <c r="O2" s="167" t="inlineStr">
        <is>
          <t>P VACC 1 (BMT)</t>
        </is>
      </c>
      <c r="P2" s="167" t="n"/>
      <c r="Q2" s="167" t="inlineStr">
        <is>
          <t>T VACC 1 (42SAR)</t>
        </is>
      </c>
      <c r="R2" s="167" t="inlineStr">
        <is>
          <t>F VACC 1</t>
        </is>
      </c>
      <c r="S2" s="167" t="inlineStr">
        <is>
          <t>MSP / L VACC 1</t>
        </is>
      </c>
      <c r="U2" s="167" t="n"/>
      <c r="V2" s="167" t="inlineStr">
        <is>
          <t>M VACC 1</t>
        </is>
      </c>
      <c r="W2" s="167" t="inlineStr">
        <is>
          <t>R VACC 1</t>
        </is>
      </c>
      <c r="X2" s="167" t="n"/>
      <c r="Y2" s="167" t="inlineStr">
        <is>
          <t>K VACC 1</t>
        </is>
      </c>
      <c r="Z2" s="167" t="inlineStr">
        <is>
          <t>CONFINEMENT ENDS</t>
        </is>
      </c>
      <c r="AA2" s="294" t="n"/>
      <c r="AB2" s="167" t="n"/>
      <c r="AC2" s="167" t="n"/>
      <c r="AD2" s="167" t="inlineStr">
        <is>
          <t>CNY EVE</t>
        </is>
      </c>
      <c r="AE2" s="167" t="inlineStr">
        <is>
          <t>CNY</t>
        </is>
      </c>
      <c r="AF2" s="167" t="inlineStr">
        <is>
          <t>CNY</t>
        </is>
      </c>
      <c r="AG2" s="167" t="n"/>
      <c r="AH2" s="218" t="n"/>
      <c r="AI2" s="218" t="n"/>
      <c r="AJ2" s="218" t="n"/>
      <c r="AK2" s="295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6" t="inlineStr">
        <is>
          <t>0.3125+0.0625+0.5
long+stay+pass12</t>
        </is>
      </c>
      <c r="BA2" s="296" t="n"/>
      <c r="BB2" s="296" t="inlineStr">
        <is>
          <t>0.3125+0.125
Long hr+aft 1730</t>
        </is>
      </c>
      <c r="BC2" s="296" t="n"/>
      <c r="BD2" s="296" t="inlineStr">
        <is>
          <t>0.125+0.125+0.0625
Bef 0730+Aft1730+stay</t>
        </is>
      </c>
      <c r="BE2" s="296" t="n"/>
      <c r="BF2" s="296" t="n"/>
      <c r="BG2" s="296" t="inlineStr">
        <is>
          <t>0.125
after 1730</t>
        </is>
      </c>
      <c r="BH2" s="296" t="n"/>
      <c r="BI2" s="296" t="inlineStr">
        <is>
          <t>stay in+ bef 0730</t>
        </is>
      </c>
      <c r="BJ2" s="296" t="n"/>
      <c r="BK2" s="296" t="n"/>
      <c r="BL2" s="296" t="n"/>
      <c r="BM2" s="295" t="n"/>
      <c r="BN2" s="295" t="n"/>
      <c r="BO2" s="295" t="n"/>
      <c r="BP2" s="297" t="n"/>
    </row>
    <row r="3" ht="26.25" customHeight="1">
      <c r="A3" s="412" t="n"/>
      <c r="B3" s="24" t="inlineStr">
        <is>
          <t>Rostering</t>
        </is>
      </c>
      <c r="C3" s="413" t="n">
        <v>45658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4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4">
        <f>S3+1</f>
        <v/>
      </c>
      <c r="U3" s="414">
        <f>T3+1</f>
        <v/>
      </c>
      <c r="V3" s="414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4">
        <f>AF3+1</f>
        <v/>
      </c>
      <c r="AH3" s="221">
        <f>'Setting key Duty'!$C7</f>
        <v/>
      </c>
      <c r="AI3" s="222">
        <f>'Setting key Duty'!$C8</f>
        <v/>
      </c>
      <c r="AJ3" s="223">
        <f>'Setting key Duty'!$C9</f>
        <v/>
      </c>
      <c r="AK3" s="302">
        <f>'Setting key Duty'!$C11</f>
        <v/>
      </c>
      <c r="AL3" s="302">
        <f>'Setting key Duty'!$C12</f>
        <v/>
      </c>
      <c r="AM3" s="302">
        <f>'Setting key Duty'!$C13</f>
        <v/>
      </c>
      <c r="AN3" s="302">
        <f>'Setting key Duty'!C14</f>
        <v/>
      </c>
      <c r="AO3" s="223" t="n"/>
      <c r="AP3" s="223" t="inlineStr">
        <is>
          <t>Weekday Duty</t>
        </is>
      </c>
      <c r="AQ3" s="223" t="inlineStr">
        <is>
          <t>Weekday Extra</t>
        </is>
      </c>
      <c r="AR3" s="223" t="inlineStr">
        <is>
          <t>Weekend Duty</t>
        </is>
      </c>
      <c r="AS3" s="223" t="inlineStr">
        <is>
          <t>Weekend Extra</t>
        </is>
      </c>
      <c r="AT3" s="223" t="inlineStr">
        <is>
          <t>Duty Point</t>
        </is>
      </c>
      <c r="AU3" s="223" t="inlineStr">
        <is>
          <t>Total Duty</t>
        </is>
      </c>
      <c r="AV3" s="223" t="inlineStr">
        <is>
          <t>Total Cover</t>
        </is>
      </c>
      <c r="AW3" s="223" t="inlineStr">
        <is>
          <t>Total Point</t>
        </is>
      </c>
      <c r="AX3" s="223" t="inlineStr">
        <is>
          <t>Total Cover
Point</t>
        </is>
      </c>
      <c r="AY3" s="223" t="inlineStr">
        <is>
          <t>Bedok RT</t>
        </is>
      </c>
      <c r="AZ3" s="302" t="inlineStr">
        <is>
          <t>BTP</t>
        </is>
      </c>
      <c r="BA3" s="302" t="inlineStr">
        <is>
          <t>$BTP
Point</t>
        </is>
      </c>
      <c r="BB3" s="302" t="inlineStr">
        <is>
          <t>Long Cover</t>
        </is>
      </c>
      <c r="BC3" s="302" t="inlineStr">
        <is>
          <t>$L
Point</t>
        </is>
      </c>
      <c r="BD3" s="302" t="inlineStr">
        <is>
          <t>Mid Cover</t>
        </is>
      </c>
      <c r="BE3" s="302" t="inlineStr">
        <is>
          <t>$M 
Point</t>
        </is>
      </c>
      <c r="BF3" s="302" t="inlineStr">
        <is>
          <t>Cover
 Normal Hour</t>
        </is>
      </c>
      <c r="BG3" s="302" t="inlineStr">
        <is>
          <t>Cover
After Hour</t>
        </is>
      </c>
      <c r="BH3" s="302" t="inlineStr">
        <is>
          <t>$PM
Point</t>
        </is>
      </c>
      <c r="BI3" s="302" t="inlineStr">
        <is>
          <t>Cover
Early</t>
        </is>
      </c>
      <c r="BJ3" s="302" t="inlineStr">
        <is>
          <t>$AM
Point</t>
        </is>
      </c>
      <c r="BK3" s="302">
        <f>'Setting key Duty'!C52</f>
        <v/>
      </c>
      <c r="BL3" s="302" t="inlineStr">
        <is>
          <t>$FC
Point</t>
        </is>
      </c>
      <c r="BM3" s="302">
        <f>'Setting key Duty'!$C15</f>
        <v/>
      </c>
      <c r="BN3" s="302">
        <f>'Setting key Duty'!C17</f>
        <v/>
      </c>
      <c r="BO3" s="302">
        <f>'Setting key Duty'!$C22</f>
        <v/>
      </c>
      <c r="BP3" s="297" t="n"/>
    </row>
    <row r="4" ht="18" customHeight="1">
      <c r="A4" s="303" t="n"/>
      <c r="B4" s="260" t="inlineStr">
        <is>
          <t>Updated on: 26/10/2022</t>
        </is>
      </c>
      <c r="C4" s="415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5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5">
        <f>TEXT(T3,"ddd")</f>
        <v/>
      </c>
      <c r="U4" s="415">
        <f>TEXT(U3,"ddd")</f>
        <v/>
      </c>
      <c r="V4" s="415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5">
        <f>TEXT(AG3,"ddd")</f>
        <v/>
      </c>
      <c r="AH4" s="227">
        <f>'Setting key Duty'!$B7</f>
        <v/>
      </c>
      <c r="AI4" s="228">
        <f>'Setting key Duty'!$B8</f>
        <v/>
      </c>
      <c r="AJ4" s="229">
        <f>'Setting key Duty'!$B9</f>
        <v/>
      </c>
      <c r="AK4" s="307">
        <f>'Setting key Duty'!$B11</f>
        <v/>
      </c>
      <c r="AL4" s="307">
        <f>'Setting key Duty'!$B12</f>
        <v/>
      </c>
      <c r="AM4" s="307">
        <f>'Setting key Duty'!$B13</f>
        <v/>
      </c>
      <c r="AN4" s="307">
        <f>'Setting key Duty'!B14</f>
        <v/>
      </c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inlineStr">
        <is>
          <t>BRT</t>
        </is>
      </c>
      <c r="AZ4" s="307" t="inlineStr">
        <is>
          <t>$BTP</t>
        </is>
      </c>
      <c r="BA4" s="307" t="n"/>
      <c r="BB4" s="307" t="inlineStr">
        <is>
          <t>$L</t>
        </is>
      </c>
      <c r="BC4" s="307" t="n"/>
      <c r="BD4" s="307" t="inlineStr">
        <is>
          <t>$M</t>
        </is>
      </c>
      <c r="BE4" s="307" t="n"/>
      <c r="BF4" s="307" t="inlineStr">
        <is>
          <t>$N</t>
        </is>
      </c>
      <c r="BG4" s="307" t="inlineStr">
        <is>
          <t>$PM</t>
        </is>
      </c>
      <c r="BH4" s="307" t="n"/>
      <c r="BI4" s="307" t="inlineStr">
        <is>
          <t>$AM</t>
        </is>
      </c>
      <c r="BJ4" s="307" t="n"/>
      <c r="BK4" s="307">
        <f>'Setting key Duty'!B52</f>
        <v/>
      </c>
      <c r="BL4" s="307" t="n"/>
      <c r="BM4" s="307">
        <f>'Setting key Duty'!$B15</f>
        <v/>
      </c>
      <c r="BN4" s="307">
        <f>'Setting key Duty'!B17</f>
        <v/>
      </c>
      <c r="BO4" s="307">
        <f>'Setting key Duty'!$B22</f>
        <v/>
      </c>
      <c r="BP4" s="308" t="n"/>
    </row>
    <row r="5" ht="19.5" customHeight="1">
      <c r="A5" s="309" t="inlineStr">
        <is>
          <t>X</t>
        </is>
      </c>
      <c r="B5" s="332" t="inlineStr">
        <is>
          <t>CFC MUHAMAD HAZMI BIN MOHD ZULKIFLI</t>
        </is>
      </c>
      <c r="C5" s="197" t="n"/>
      <c r="D5" s="197" t="n"/>
      <c r="E5" s="197" t="inlineStr">
        <is>
          <t>DENTAL</t>
        </is>
      </c>
      <c r="F5" s="197" t="inlineStr">
        <is>
          <t>MC</t>
        </is>
      </c>
      <c r="G5" s="197" t="inlineStr">
        <is>
          <t>MC</t>
        </is>
      </c>
      <c r="H5" s="197" t="inlineStr">
        <is>
          <t>MC</t>
        </is>
      </c>
      <c r="I5" s="197" t="inlineStr">
        <is>
          <t>MSP</t>
        </is>
      </c>
      <c r="J5" s="197" t="inlineStr">
        <is>
          <t>MSP</t>
        </is>
      </c>
      <c r="K5" s="197" t="inlineStr">
        <is>
          <t>CS2</t>
        </is>
      </c>
      <c r="L5" s="197" t="inlineStr">
        <is>
          <t>DENTAL</t>
        </is>
      </c>
      <c r="N5" s="197" t="n"/>
      <c r="O5" s="197" t="inlineStr">
        <is>
          <t>MSP</t>
        </is>
      </c>
      <c r="P5" s="197" t="inlineStr">
        <is>
          <t>MSP</t>
        </is>
      </c>
      <c r="Q5" s="197" t="inlineStr">
        <is>
          <t>DM</t>
        </is>
      </c>
      <c r="R5" s="106" t="n"/>
      <c r="S5" s="197" t="inlineStr">
        <is>
          <t>MSP</t>
        </is>
      </c>
      <c r="T5" s="197" t="inlineStr">
        <is>
          <t>DM</t>
        </is>
      </c>
      <c r="U5" s="197" t="n"/>
      <c r="V5" s="197" t="n"/>
      <c r="W5" s="197" t="n"/>
      <c r="X5" s="197" t="n"/>
      <c r="Y5" s="197" t="n"/>
      <c r="AA5" s="197" t="n"/>
      <c r="AB5" s="197" t="n"/>
      <c r="AC5" s="197" t="n"/>
      <c r="AD5" s="197" t="n"/>
      <c r="AE5" s="197" t="n"/>
      <c r="AF5" s="197" t="n"/>
      <c r="AG5" s="197" t="n"/>
      <c r="AH5" s="311">
        <f>COUNTIF($C5:$AE5,AH$4)</f>
        <v/>
      </c>
      <c r="AI5" s="312">
        <f>COUNTIF($C5:$AE5,AI$4)</f>
        <v/>
      </c>
      <c r="AJ5" s="311">
        <f>COUNTIF($C5:$AE5,AJ$4)</f>
        <v/>
      </c>
      <c r="AK5" s="313">
        <f>COUNTIF($C5:$AE5,AK$4)</f>
        <v/>
      </c>
      <c r="AL5" s="313">
        <f>COUNTIF($C5:$AE5,AL$4)</f>
        <v/>
      </c>
      <c r="AM5" s="313">
        <f>COUNTIF($C5:$AE5,AM$4)</f>
        <v/>
      </c>
      <c r="AN5" s="313">
        <f>COUNTIF($C5:$AE5,AN$4)</f>
        <v/>
      </c>
      <c r="AO5" s="238" t="n"/>
      <c r="AP5" s="313">
        <f>SUMPRODUCT(--WEEKDAY(C$3:AG$3,2)&lt;6,--((C5:AG5="DM"))+(C5:AG5="CS1")+((C5:AG5="CS2"))+(C5:AG5="SB1")+(C5:AG5="AE")+(C5:AG5="EM"))</f>
        <v/>
      </c>
      <c r="AQ5" s="238" t="n"/>
      <c r="AR5" s="238">
        <f>SUMPRODUCT(--WEEKDAY(C$3:AG$3,2)&gt;5,--((C5:AG5="DM"))+(C5:AG5="CS1")+((C5:AG5="CS2"))+(C5:AG5="SB1")+(C5:AG5="AE")+(C5:AG5="EM"))</f>
        <v/>
      </c>
      <c r="AS5" s="238" t="n"/>
      <c r="AT5" s="238">
        <f>(AP5-AQ5)/2+(AR5-AS5)</f>
        <v/>
      </c>
      <c r="AU5" s="238">
        <f>AH5+AI5+AJ5+AK5+AM5+AN5</f>
        <v/>
      </c>
      <c r="AV5" s="238">
        <f>BF5+BG5+BI5+BD5+BB5+AZ5+BK5</f>
        <v/>
      </c>
      <c r="AW5" s="238">
        <f>AT5+AX5</f>
        <v/>
      </c>
      <c r="AX5" s="313">
        <f>(BI5*('Setting key Duty'!$I$8+'Setting key Duty'!$I$12))+(BG5*'Setting key Duty'!$I$9)+(BB5*('Setting key Duty'!$I$13+'Setting key Duty'!$I$9))+(AZ5*('Setting key Duty'!$I$13+'Setting key Duty'!$I$12+'Setting key Duty'!$I$11))+(BD5*('Setting key Duty'!$I$8+'Setting key Duty'!$I$9+'Setting key Duty'!$I$12))</f>
        <v/>
      </c>
      <c r="AY5" s="313">
        <f>COUNTIF(C5:AE5,"*BRT*")</f>
        <v/>
      </c>
      <c r="AZ5" s="313">
        <f>COUNTIF(A5:AH5,"*$BTP*")</f>
        <v/>
      </c>
      <c r="BA5" s="313">
        <f>AZ5*('Setting key Duty'!$I$13+'Setting key Duty'!$I$12+'Setting key Duty'!$I$11)</f>
        <v/>
      </c>
      <c r="BB5" s="313">
        <f>COUNTIF(A5:AH5,"*$L*")</f>
        <v/>
      </c>
      <c r="BC5" s="313">
        <f>BB5*('Setting key Duty'!$I$13+'Setting key Duty'!$I$9)</f>
        <v/>
      </c>
      <c r="BD5" s="313">
        <f>COUNTIF(A5:AH5,"*$M*")</f>
        <v/>
      </c>
      <c r="BE5" s="313">
        <f>BD5*('Setting key Duty'!$I$8+'Setting key Duty'!$I$9+'Setting key Duty'!$I$12)</f>
        <v/>
      </c>
      <c r="BF5" s="313">
        <f>COUNTIF(AF5:AH5,"*$N*")</f>
        <v/>
      </c>
      <c r="BG5" s="313">
        <f>COUNTIF(AF5:AH5,"*$PM*")</f>
        <v/>
      </c>
      <c r="BH5" s="313">
        <f>BG5*('Setting key Duty'!$I$9)</f>
        <v/>
      </c>
      <c r="BI5" s="313">
        <f>COUNTIF(A5:AH5,"*$AM*")</f>
        <v/>
      </c>
      <c r="BJ5" s="313">
        <f>BI5*('Setting key Duty'!$I$12+'Setting key Duty'!$I$8)</f>
        <v/>
      </c>
      <c r="BK5" s="313">
        <f>COUNTIF(C5:AH5,"*$FC*")</f>
        <v/>
      </c>
      <c r="BL5" s="313">
        <f>BK5*('Setting key Duty'!$J$11+'Setting key Duty'!$I$8)</f>
        <v/>
      </c>
      <c r="BM5" s="313">
        <f>COUNTIF($C5:$AE5,BM$4)</f>
        <v/>
      </c>
      <c r="BN5" s="313">
        <f>COUNTIF($C5:$AE5,BN$4)</f>
        <v/>
      </c>
      <c r="BO5" s="313">
        <f>COUNTIF($C5:$AE5,BO$4)</f>
        <v/>
      </c>
      <c r="BP5" s="314" t="n"/>
    </row>
    <row r="6" ht="36" customHeight="1">
      <c r="A6" s="309" t="n"/>
      <c r="B6" s="375" t="inlineStr">
        <is>
          <t>CPL MUHAMMAD IZZAN RIZAL</t>
        </is>
      </c>
      <c r="C6" s="197" t="n"/>
      <c r="D6" s="197" t="inlineStr">
        <is>
          <t>CS1</t>
        </is>
      </c>
      <c r="E6" s="197" t="n"/>
      <c r="F6" s="197" t="n"/>
      <c r="G6" s="197" t="n"/>
      <c r="H6" s="197" t="inlineStr">
        <is>
          <t>CS2</t>
        </is>
      </c>
      <c r="I6" s="106" t="n"/>
      <c r="K6" s="197" t="inlineStr">
        <is>
          <t>CS1</t>
        </is>
      </c>
      <c r="L6" s="197" t="n"/>
      <c r="M6" s="197" t="inlineStr">
        <is>
          <t>DENTAL</t>
        </is>
      </c>
      <c r="N6" s="197" t="inlineStr">
        <is>
          <t>DENTAL</t>
        </is>
      </c>
      <c r="P6" s="197" t="inlineStr">
        <is>
          <t>CS1</t>
        </is>
      </c>
      <c r="Q6" s="106" t="n"/>
      <c r="R6" s="197" t="inlineStr">
        <is>
          <t>CS2</t>
        </is>
      </c>
      <c r="S6" s="197" t="n"/>
      <c r="T6" s="197" t="inlineStr">
        <is>
          <t>d</t>
        </is>
      </c>
      <c r="U6" s="197" t="inlineStr">
        <is>
          <t>CS1</t>
        </is>
      </c>
      <c r="V6" s="106" t="n"/>
      <c r="W6" s="197" t="inlineStr">
        <is>
          <t>CS1</t>
        </is>
      </c>
      <c r="Y6" s="106" t="n"/>
      <c r="Z6" s="106" t="n"/>
      <c r="AA6" s="197" t="inlineStr">
        <is>
          <t>CS1</t>
        </is>
      </c>
      <c r="AB6" s="106" t="n"/>
      <c r="AD6" s="197" t="n"/>
      <c r="AE6" s="197" t="inlineStr">
        <is>
          <t>CS2</t>
        </is>
      </c>
      <c r="AG6" s="197" t="n"/>
      <c r="AH6" s="311">
        <f>COUNTIF($D6:$AE6,AH$4)</f>
        <v/>
      </c>
      <c r="AI6" s="312">
        <f>COUNTIF($D6:$AE6,AI$4)</f>
        <v/>
      </c>
      <c r="AJ6" s="311">
        <f>COUNTIF($D6:$AE6,AJ$4)</f>
        <v/>
      </c>
      <c r="AK6" s="313">
        <f>COUNTIF($D6:$AE6,AK$4)</f>
        <v/>
      </c>
      <c r="AL6" s="313">
        <f>COUNTIF($D6:$AE6,AL$4)</f>
        <v/>
      </c>
      <c r="AM6" s="313">
        <f>COUNTIF($D6:$AE6,AM$4)</f>
        <v/>
      </c>
      <c r="AN6" s="313">
        <f>COUNTIF($D6:$AE6,AN$4)</f>
        <v/>
      </c>
      <c r="AO6" s="238" t="n"/>
      <c r="AP6" s="313">
        <f>SUMPRODUCT(--WEEKDAY(C$3:AG$3,2)&lt;6,--((C6:AG6="DM"))+(C6:AG6="CS1")+((C6:AG6="CS2"))+(C6:AG6="SB1")+(C6:AG6="AE")+(C6:AG6="EM"))</f>
        <v/>
      </c>
      <c r="AQ6" s="238" t="n"/>
      <c r="AR6" s="238">
        <f>SUMPRODUCT(--WEEKDAY(C$3:AG$3,2)&gt;5,--((C6:AG6="DM"))+(C6:AG6="CS1")+((C6:AG6="CS2"))+(C6:AG6="SB1")+(C6:AG6="AE")+(C6:AG6="EM"))</f>
        <v/>
      </c>
      <c r="AS6" s="238" t="n"/>
      <c r="AT6" s="238">
        <f>(AP6-AQ6)/2+(AR6-AS6)</f>
        <v/>
      </c>
      <c r="AU6" s="238">
        <f>AH6+AI6+AJ6+AK6+AM6+AN6</f>
        <v/>
      </c>
      <c r="AV6" s="238">
        <f>AT6+AX6</f>
        <v/>
      </c>
      <c r="AW6" s="238">
        <f>AT6+AX6</f>
        <v/>
      </c>
      <c r="AX6" s="313">
        <f>(BI6*('Setting key Duty'!$I$8+'Setting key Duty'!$I$12))+(BG6*'Setting key Duty'!$I$9)+(BB6*('Setting key Duty'!$I$13+'Setting key Duty'!$I$9))+(AZ6*('Setting key Duty'!$I$13+'Setting key Duty'!$I$12+'Setting key Duty'!$I$11))+(BD6*('Setting key Duty'!$I$8+'Setting key Duty'!$I$9+'Setting key Duty'!$I$12))</f>
        <v/>
      </c>
      <c r="AY6" s="313">
        <f>COUNTIF(D6:AE6,"*BRT*")</f>
        <v/>
      </c>
      <c r="AZ6" s="313">
        <f>COUNTIF(A6:AH6,"*$BTP*")</f>
        <v/>
      </c>
      <c r="BA6" s="313">
        <f>AZ6*('Setting key Duty'!$I$13+'Setting key Duty'!$I$12+'Setting key Duty'!$I$11)</f>
        <v/>
      </c>
      <c r="BB6" s="313">
        <f>COUNTIF(A6:AH6,"*$L*")</f>
        <v/>
      </c>
      <c r="BC6" s="313">
        <f>BB6*('Setting key Duty'!$I$13+'Setting key Duty'!$I$9)</f>
        <v/>
      </c>
      <c r="BD6" s="313">
        <f>COUNTIF(A6:AH6,"*$M*")</f>
        <v/>
      </c>
      <c r="BE6" s="313">
        <f>BD6*('Setting key Duty'!$I$8+'Setting key Duty'!$I$9+'Setting key Duty'!$I$12)</f>
        <v/>
      </c>
      <c r="BF6" s="313">
        <f>COUNTIF(AF6:AH6,"*$N*")</f>
        <v/>
      </c>
      <c r="BG6" s="313">
        <f>COUNTIF(AF6:AH6,"*$PM*")</f>
        <v/>
      </c>
      <c r="BH6" s="313">
        <f>BG6*('Setting key Duty'!$I$9)</f>
        <v/>
      </c>
      <c r="BI6" s="313">
        <f>COUNTIF(A6:AH6,"*$AM*")</f>
        <v/>
      </c>
      <c r="BJ6" s="313">
        <f>BI6*('Setting key Duty'!$I$12+'Setting key Duty'!$I$8)</f>
        <v/>
      </c>
      <c r="BK6" s="313">
        <f>COUNTIF(D6:AH6,"*$FC*")</f>
        <v/>
      </c>
      <c r="BL6" s="313">
        <f>BK6*('Setting key Duty'!$J$11+'Setting key Duty'!$I$8)</f>
        <v/>
      </c>
      <c r="BM6" s="313">
        <f>COUNTIF($D6:$AE6,BM$4)</f>
        <v/>
      </c>
      <c r="BN6" s="313">
        <f>COUNTIF($D6:$AE6,BN$4)</f>
        <v/>
      </c>
      <c r="BO6" s="313">
        <f>COUNTIF($D6:$AE6,BO$4)</f>
        <v/>
      </c>
      <c r="BP6" s="314" t="n"/>
    </row>
    <row r="7" ht="19.5" customHeight="1">
      <c r="A7" s="309" t="n"/>
      <c r="B7" s="334" t="inlineStr">
        <is>
          <t>CPL KARTHIKRAM KRISHNAN</t>
        </is>
      </c>
      <c r="C7" s="197" t="inlineStr">
        <is>
          <t>OL</t>
        </is>
      </c>
      <c r="D7" s="197" t="n"/>
      <c r="E7" s="324" t="inlineStr">
        <is>
          <t>CS1</t>
        </is>
      </c>
      <c r="F7" s="197" t="n"/>
      <c r="G7" s="197" t="inlineStr">
        <is>
          <t>DM</t>
        </is>
      </c>
      <c r="H7" s="317" t="n"/>
      <c r="I7" s="106" t="n"/>
      <c r="J7" s="106" t="n"/>
      <c r="K7" s="197" t="n"/>
      <c r="M7" s="197" t="n"/>
      <c r="N7" s="197" t="n"/>
      <c r="O7" s="197" t="inlineStr">
        <is>
          <t>DM</t>
        </is>
      </c>
      <c r="P7" s="106" t="n"/>
      <c r="Q7" s="197" t="n"/>
      <c r="R7" s="197" t="inlineStr">
        <is>
          <t>SB1</t>
        </is>
      </c>
      <c r="S7" s="197" t="n"/>
      <c r="T7" s="197" t="n"/>
      <c r="U7" s="106" t="n"/>
      <c r="V7" s="197" t="inlineStr">
        <is>
          <t>SB1</t>
        </is>
      </c>
      <c r="W7" s="197" t="n"/>
      <c r="Y7" s="197" t="inlineStr">
        <is>
          <t>CS2</t>
        </is>
      </c>
      <c r="Z7" s="106" t="inlineStr">
        <is>
          <t>AMEER/WAN BACK UP</t>
        </is>
      </c>
      <c r="AA7" s="106" t="n"/>
      <c r="AB7" s="197" t="inlineStr">
        <is>
          <t>SB1</t>
        </is>
      </c>
      <c r="AC7" s="197" t="n"/>
      <c r="AD7" s="324" t="inlineStr">
        <is>
          <t>CS2</t>
        </is>
      </c>
      <c r="AE7" s="197" t="n"/>
      <c r="AF7" s="198" t="inlineStr">
        <is>
          <t>DM</t>
        </is>
      </c>
      <c r="AG7" s="197" t="n"/>
      <c r="AH7" s="311">
        <f>COUNTIF($C7:$D7,AH$4)</f>
        <v/>
      </c>
      <c r="AI7" s="312">
        <f>COUNTIF($C7:$D7,AI$4)</f>
        <v/>
      </c>
      <c r="AJ7" s="311">
        <f>COUNTIF($C7:$D7,AJ$4)</f>
        <v/>
      </c>
      <c r="AK7" s="313">
        <f>COUNTIF($C7:$D7,AK$4)</f>
        <v/>
      </c>
      <c r="AL7" s="313">
        <f>COUNTIF($C7:$D7,AL$4)</f>
        <v/>
      </c>
      <c r="AM7" s="313">
        <f>COUNTIF($C7:$D7,AM$4)</f>
        <v/>
      </c>
      <c r="AN7" s="313">
        <f>COUNTIF($C7:$D7,AN$4)</f>
        <v/>
      </c>
      <c r="AO7" s="238" t="n"/>
      <c r="AP7" s="313">
        <f>SUMPRODUCT(--WEEKDAY(C$3:AG$3,2)&lt;6,--((C7:AG7="DM"))+(C7:AG7="CS1")+((C7:AG7="CS2"))+(C7:AG7="SB1")+(C7:AG7="AE")+(C7:AG7="EM"))</f>
        <v/>
      </c>
      <c r="AQ7" s="238" t="n"/>
      <c r="AR7" s="238">
        <f>SUMPRODUCT(--WEEKDAY(C$3:AG$3,2)&gt;5,--((C7:AG7="DM"))+(C7:AG7="CS1")+((C7:AG7="CS2"))+(C7:AG7="SB1")+(C7:AG7="AE")+(C7:AG7="EM"))</f>
        <v/>
      </c>
      <c r="AS7" s="238" t="n"/>
      <c r="AT7" s="238">
        <f>(AP7-AQ7)/2+(AR7-AS7)</f>
        <v/>
      </c>
      <c r="AU7" s="238">
        <f>AH7+AI7+AJ7+AK7+AM7+AN7</f>
        <v/>
      </c>
      <c r="AV7" s="238">
        <f>BF7+BG7+BI7+BD7+BB7+AZ7+BK7</f>
        <v/>
      </c>
      <c r="AW7" s="238">
        <f>AT7+AX7</f>
        <v/>
      </c>
      <c r="AX7" s="313">
        <f>(BI7*('Setting key Duty'!$I$8+'Setting key Duty'!$I$12))+(BG7*'Setting key Duty'!$I$9)+(BB7*('Setting key Duty'!$I$13+'Setting key Duty'!$I$9))+(AZ7*('Setting key Duty'!$I$13+'Setting key Duty'!$I$12+'Setting key Duty'!$I$11))+(BD7*('Setting key Duty'!$I$8+'Setting key Duty'!$I$9+'Setting key Duty'!$I$12))</f>
        <v/>
      </c>
      <c r="AY7" s="313">
        <f>COUNTIF(C7:D7,"*BRT*")</f>
        <v/>
      </c>
      <c r="AZ7" s="313">
        <f>COUNTIF(A7:AH7,"*$BTP*")</f>
        <v/>
      </c>
      <c r="BA7" s="313">
        <f>AZ7*('Setting key Duty'!$I$13+'Setting key Duty'!$I$12+'Setting key Duty'!$I$11)</f>
        <v/>
      </c>
      <c r="BB7" s="313">
        <f>COUNTIF(A7:AH7,"*$L*")</f>
        <v/>
      </c>
      <c r="BC7" s="313">
        <f>BB7*('Setting key Duty'!$I$13+'Setting key Duty'!$I$9)</f>
        <v/>
      </c>
      <c r="BD7" s="313">
        <f>COUNTIF(A7:AH7,"*$M*")</f>
        <v/>
      </c>
      <c r="BE7" s="313">
        <f>BD7*('Setting key Duty'!$I$8+'Setting key Duty'!$I$9+'Setting key Duty'!$I$12)</f>
        <v/>
      </c>
      <c r="BF7" s="313">
        <f>COUNTIF(A7:AH7,"*$N*")</f>
        <v/>
      </c>
      <c r="BG7" s="313">
        <f>COUNTIF(AG7:AH7,"*$PM*")</f>
        <v/>
      </c>
      <c r="BH7" s="313">
        <f>BG7*('Setting key Duty'!$I$9)</f>
        <v/>
      </c>
      <c r="BI7" s="313">
        <f>COUNTIF(A7:AH7,"*$AM*")</f>
        <v/>
      </c>
      <c r="BJ7" s="313">
        <f>BI7*('Setting key Duty'!$I$12+'Setting key Duty'!$I$8)</f>
        <v/>
      </c>
      <c r="BK7" s="313">
        <f>COUNTIF(C7:AH7,"*$FC*")</f>
        <v/>
      </c>
      <c r="BL7" s="313">
        <f>BK7*('Setting key Duty'!$J$11+'Setting key Duty'!$I$8)</f>
        <v/>
      </c>
      <c r="BM7" s="313">
        <f>COUNTIF($C7:$D7,BM$4)</f>
        <v/>
      </c>
      <c r="BN7" s="313">
        <f>COUNTIF($C7:$D7,BN$4)</f>
        <v/>
      </c>
      <c r="BO7" s="313">
        <f>COUNTIF($C7:$D7,BO$4)</f>
        <v/>
      </c>
      <c r="BP7" s="314" t="n"/>
    </row>
    <row r="8" ht="19.5" customHeight="1">
      <c r="A8" s="309" t="n"/>
      <c r="B8" s="334" t="inlineStr">
        <is>
          <t>CPL MUHAMMAD AQIL BIN ABDULLAH</t>
        </is>
      </c>
      <c r="C8" s="197" t="n"/>
      <c r="D8" s="106" t="n"/>
      <c r="E8" s="106" t="n"/>
      <c r="F8" s="324" t="n"/>
      <c r="G8" s="197" t="inlineStr">
        <is>
          <t>SB1</t>
        </is>
      </c>
      <c r="H8" s="106" t="n"/>
      <c r="I8" s="197" t="inlineStr">
        <is>
          <t>CS1</t>
        </is>
      </c>
      <c r="J8" s="197" t="n"/>
      <c r="K8" s="197" t="n"/>
      <c r="L8" s="106" t="n"/>
      <c r="M8" s="197" t="n"/>
      <c r="N8" s="197" t="n"/>
      <c r="O8" s="197" t="n"/>
      <c r="P8" s="197" t="inlineStr">
        <is>
          <t>DM</t>
        </is>
      </c>
      <c r="Q8" s="197" t="n"/>
      <c r="R8" s="197" t="n"/>
      <c r="S8" s="197" t="inlineStr">
        <is>
          <t>FARABI BACK UP</t>
        </is>
      </c>
      <c r="T8" s="197" t="n"/>
      <c r="U8" s="197" t="inlineStr">
        <is>
          <t>DM</t>
        </is>
      </c>
      <c r="W8" s="197" t="inlineStr">
        <is>
          <t>SB1</t>
        </is>
      </c>
      <c r="Y8" s="197" t="inlineStr">
        <is>
          <t>BCLS COURSE</t>
        </is>
      </c>
      <c r="Z8" s="198" t="inlineStr">
        <is>
          <t>CS1</t>
        </is>
      </c>
      <c r="AA8" s="197" t="inlineStr">
        <is>
          <t>WEDDING</t>
        </is>
      </c>
      <c r="AB8" s="197" t="inlineStr">
        <is>
          <t>WEDDING</t>
        </is>
      </c>
      <c r="AC8" s="197" t="inlineStr">
        <is>
          <t>DM</t>
        </is>
      </c>
      <c r="AD8" s="197" t="n"/>
      <c r="AE8" s="197" t="n"/>
      <c r="AF8" s="197" t="n"/>
      <c r="AG8" s="197" t="inlineStr">
        <is>
          <t>DM</t>
        </is>
      </c>
      <c r="AH8" s="311" t="n"/>
      <c r="AI8" s="312" t="n"/>
      <c r="AJ8" s="311" t="n"/>
      <c r="AK8" s="313" t="n"/>
      <c r="AL8" s="313" t="n"/>
      <c r="AM8" s="313" t="n"/>
      <c r="AN8" s="313" t="n"/>
      <c r="AO8" s="238" t="n"/>
      <c r="AP8" s="313">
        <f>SUMPRODUCT(--WEEKDAY(C$3:AG$3,2)&lt;6,--((C8:AG8="DM"))+(C8:AG8="CS1")+((C8:AG8="CS2"))+(C8:AG8="SB1")+(C8:AG8="AE")+(C8:AG8="EM"))</f>
        <v/>
      </c>
      <c r="AQ8" s="238" t="n"/>
      <c r="AR8" s="238">
        <f>SUMPRODUCT(--WEEKDAY(C$3:AG$3,2)&gt;5,--((C8:AG8="DM"))+(C8:AG8="CS1")+((C8:AG8="CS2"))+(C8:AG8="SB1")+(C8:AG8="AE")+(C8:AG8="EM"))</f>
        <v/>
      </c>
      <c r="AS8" s="238" t="n"/>
      <c r="AT8" s="238" t="n"/>
      <c r="AU8" s="238" t="n"/>
      <c r="AV8" s="238" t="n"/>
      <c r="AW8" s="238" t="n"/>
      <c r="AX8" s="313" t="n"/>
      <c r="AY8" s="313" t="n"/>
      <c r="AZ8" s="313" t="n"/>
      <c r="BA8" s="313" t="n"/>
      <c r="BB8" s="313" t="n"/>
      <c r="BC8" s="313" t="n"/>
      <c r="BD8" s="313" t="n"/>
      <c r="BE8" s="313" t="n"/>
      <c r="BF8" s="313" t="n"/>
      <c r="BG8" s="313" t="n"/>
      <c r="BH8" s="313" t="n"/>
      <c r="BI8" s="313" t="n"/>
      <c r="BJ8" s="313" t="n"/>
      <c r="BK8" s="313" t="n"/>
      <c r="BL8" s="313" t="n"/>
      <c r="BM8" s="313" t="n"/>
      <c r="BN8" s="313" t="n"/>
      <c r="BO8" s="313" t="n"/>
      <c r="BP8" s="314" t="n"/>
    </row>
    <row r="9" ht="19.5" customHeight="1">
      <c r="A9" s="309" t="n"/>
      <c r="B9" s="394" t="inlineStr">
        <is>
          <t>CPL FARABI BIN ZULKIFLI</t>
        </is>
      </c>
      <c r="C9" s="197" t="n"/>
      <c r="D9" s="197" t="inlineStr">
        <is>
          <t>CS2</t>
        </is>
      </c>
      <c r="E9" s="106" t="inlineStr">
        <is>
          <t>PM OFF</t>
        </is>
      </c>
      <c r="F9" s="197" t="n"/>
      <c r="G9" s="197" t="inlineStr">
        <is>
          <t>CS1</t>
        </is>
      </c>
      <c r="H9" s="106" t="n"/>
      <c r="I9" s="197" t="n"/>
      <c r="J9" s="197" t="n"/>
      <c r="K9" s="197" t="n"/>
      <c r="L9" s="106" t="inlineStr">
        <is>
          <t>OFF</t>
        </is>
      </c>
      <c r="M9" s="106" t="n"/>
      <c r="N9" s="197" t="n"/>
      <c r="O9" s="197" t="inlineStr">
        <is>
          <t>CS2</t>
        </is>
      </c>
      <c r="P9" s="106" t="n"/>
      <c r="Q9" s="197" t="inlineStr">
        <is>
          <t>AMPT</t>
        </is>
      </c>
      <c r="R9" s="106" t="n"/>
      <c r="S9" s="197" t="inlineStr">
        <is>
          <t>CS1</t>
        </is>
      </c>
      <c r="T9" s="197" t="n"/>
      <c r="U9" s="197" t="n"/>
      <c r="V9" s="197" t="inlineStr">
        <is>
          <t>CS2</t>
        </is>
      </c>
      <c r="W9" s="106" t="n"/>
      <c r="X9" s="197" t="inlineStr">
        <is>
          <t>CS2</t>
        </is>
      </c>
      <c r="Z9" s="106" t="inlineStr">
        <is>
          <t>AMEER/WAN BACK UP</t>
        </is>
      </c>
      <c r="AA9" s="197" t="n"/>
      <c r="AB9" s="197" t="n"/>
      <c r="AC9" s="197" t="inlineStr">
        <is>
          <t>CS1</t>
        </is>
      </c>
      <c r="AD9" s="197" t="n"/>
      <c r="AE9" s="197" t="n"/>
      <c r="AF9" s="198" t="inlineStr">
        <is>
          <t>CS2</t>
        </is>
      </c>
      <c r="AG9" s="197" t="n"/>
      <c r="AH9" s="311" t="n"/>
      <c r="AI9" s="312" t="n"/>
      <c r="AJ9" s="311" t="n"/>
      <c r="AK9" s="313" t="n"/>
      <c r="AL9" s="313" t="n"/>
      <c r="AM9" s="313" t="n"/>
      <c r="AN9" s="313" t="n"/>
      <c r="AO9" s="238" t="n"/>
      <c r="AP9" s="313">
        <f>SUMPRODUCT(--WEEKDAY(C$3:AG$3,2)&lt;6,--((C9:AG9="DM"))+(C9:AG9="CS1")+((C9:AG9="CS2"))+(C9:AG9="SB1")+(C9:AG9="AE")+(C9:AG9="EM"))</f>
        <v/>
      </c>
      <c r="AQ9" s="238" t="n"/>
      <c r="AR9" s="238">
        <f>SUMPRODUCT(--WEEKDAY(C$3:AG$3,2)&gt;5,--((C9:AG9="DM"))+(C9:AG9="CS1")+((C9:AG9="CS2"))+(C9:AG9="SB1")+(C9:AG9="AE")+(C9:AG9="EM"))</f>
        <v/>
      </c>
      <c r="AS9" s="238" t="n"/>
      <c r="AT9" s="238">
        <f>(AP9-AQ9)/2+(AR9-AS9)</f>
        <v/>
      </c>
      <c r="AU9" s="238">
        <f>AH9+AI9+AJ9+AK9+AM9+AN9</f>
        <v/>
      </c>
      <c r="AV9" s="238">
        <f>BF9+BG9+BI9+BD9+BB9+AZ9+BK9</f>
        <v/>
      </c>
      <c r="AW9" s="238">
        <f>AT9+AX9</f>
        <v/>
      </c>
      <c r="AX9" s="313">
        <f>(BI9*('Setting key Duty'!$I$8+'Setting key Duty'!$I$12))+(BG9*'Setting key Duty'!$I$9)+(BB9*('Setting key Duty'!$I$13+'Setting key Duty'!$I$9))+(AZ9*('Setting key Duty'!$I$13+'Setting key Duty'!$I$12+'Setting key Duty'!$I$11))+(BD9*('Setting key Duty'!$I$8+'Setting key Duty'!$I$9+'Setting key Duty'!$I$12))</f>
        <v/>
      </c>
      <c r="AY9" s="313">
        <f>COUNTIF(D9:Z9,"*BRT*")</f>
        <v/>
      </c>
      <c r="AZ9" s="313">
        <f>COUNTIF(A9:AH9,"*$BTP*")</f>
        <v/>
      </c>
      <c r="BA9" s="313">
        <f>AZ9*('Setting key Duty'!$I$13+'Setting key Duty'!$I$12+'Setting key Duty'!$I$11)</f>
        <v/>
      </c>
      <c r="BB9" s="313">
        <f>COUNTIF(A9:AH9,"*$L*")</f>
        <v/>
      </c>
      <c r="BC9" s="313">
        <f>BB9*('Setting key Duty'!$I$13+'Setting key Duty'!$I$9)</f>
        <v/>
      </c>
      <c r="BD9" s="313">
        <f>COUNTIF(A9:AH9,"*$M*")</f>
        <v/>
      </c>
      <c r="BE9" s="313">
        <f>BD9*('Setting key Duty'!$I$8+'Setting key Duty'!$I$9+'Setting key Duty'!$I$12)</f>
        <v/>
      </c>
      <c r="BF9" s="313">
        <f>COUNTIF(AH9,"*$N*")</f>
        <v/>
      </c>
      <c r="BG9" s="313">
        <f>COUNTIF(AH9,"*$PM*")</f>
        <v/>
      </c>
      <c r="BH9" s="313">
        <f>BG9*('Setting key Duty'!$I$9)</f>
        <v/>
      </c>
      <c r="BI9" s="313">
        <f>COUNTIF(A9:AH9,"*$AM*")</f>
        <v/>
      </c>
      <c r="BJ9" s="313">
        <f>BI9*('Setting key Duty'!$I$12+'Setting key Duty'!$I$8)</f>
        <v/>
      </c>
      <c r="BK9" s="313">
        <f>COUNTIF(D9:AH9,"*$FC*")</f>
        <v/>
      </c>
      <c r="BL9" s="313">
        <f>BK9*('Setting key Duty'!$J$11+'Setting key Duty'!$I$8)</f>
        <v/>
      </c>
      <c r="BM9" s="313">
        <f>COUNTIF($D9:$Z9,BM$4)</f>
        <v/>
      </c>
      <c r="BN9" s="313">
        <f>COUNTIF($D9:$Z9,BN$4)</f>
        <v/>
      </c>
      <c r="BO9" s="313">
        <f>COUNTIF($D9:$Z9,BO$4)</f>
        <v/>
      </c>
      <c r="BP9" s="314" t="n"/>
    </row>
    <row r="10" ht="19.5" customHeight="1">
      <c r="A10" s="309" t="n"/>
      <c r="B10" s="373" t="inlineStr">
        <is>
          <t>LCP MUHAMMAD AQIL HAMZAH BIN SYELDRICK</t>
        </is>
      </c>
      <c r="C10" s="197" t="inlineStr">
        <is>
          <t>CS2</t>
        </is>
      </c>
      <c r="D10" s="197" t="n"/>
      <c r="E10" s="106" t="n"/>
      <c r="F10" s="197" t="n"/>
      <c r="G10" s="197" t="inlineStr">
        <is>
          <t>CS2</t>
        </is>
      </c>
      <c r="H10" s="106" t="n"/>
      <c r="J10" s="197" t="n"/>
      <c r="K10" s="197" t="inlineStr">
        <is>
          <t>N $PM CC (1530-2000)</t>
        </is>
      </c>
      <c r="L10" s="197" t="n"/>
      <c r="M10" s="197" t="n"/>
      <c r="N10" s="197" t="n"/>
      <c r="O10" s="197" t="inlineStr">
        <is>
          <t>DISPENSE COURSE</t>
        </is>
      </c>
      <c r="P10" s="197" t="inlineStr">
        <is>
          <t>DISPENSE COURSE</t>
        </is>
      </c>
      <c r="Q10" s="197" t="inlineStr">
        <is>
          <t>DISPENSE COURSE</t>
        </is>
      </c>
      <c r="R10" s="197" t="inlineStr">
        <is>
          <t>DISPENSE COURSE</t>
        </is>
      </c>
      <c r="S10" s="197" t="inlineStr">
        <is>
          <t>DISPENSE COURSE</t>
        </is>
      </c>
      <c r="T10" s="197" t="inlineStr">
        <is>
          <t>CS1</t>
        </is>
      </c>
      <c r="U10" s="197" t="n"/>
      <c r="V10" s="197" t="inlineStr">
        <is>
          <t>DISPENSE COURSE</t>
        </is>
      </c>
      <c r="W10" s="197" t="inlineStr">
        <is>
          <t>DISPENSE COURSE</t>
        </is>
      </c>
      <c r="X10" s="197" t="inlineStr">
        <is>
          <t>DISPENSE COURSE</t>
        </is>
      </c>
      <c r="Y10" s="197" t="inlineStr">
        <is>
          <t>DISPENSE COURSE</t>
        </is>
      </c>
      <c r="Z10" s="197" t="inlineStr">
        <is>
          <t>DISPENSE COURSE</t>
        </is>
      </c>
      <c r="AA10" s="197" t="inlineStr">
        <is>
          <t>CS2</t>
        </is>
      </c>
      <c r="AB10" s="197" t="n"/>
      <c r="AC10" s="197" t="inlineStr">
        <is>
          <t>N $PM SOC (1530-2000)</t>
        </is>
      </c>
      <c r="AD10" s="197" t="inlineStr">
        <is>
          <t>CS1</t>
        </is>
      </c>
      <c r="AE10" s="197" t="n"/>
      <c r="AF10" s="106" t="n"/>
      <c r="AG10" s="197" t="inlineStr">
        <is>
          <t>OFF</t>
        </is>
      </c>
      <c r="AH10" s="311" t="n"/>
      <c r="AI10" s="312" t="n"/>
      <c r="AJ10" s="311" t="n"/>
      <c r="AK10" s="313" t="n"/>
      <c r="AL10" s="313" t="n"/>
      <c r="AM10" s="313" t="n"/>
      <c r="AN10" s="313" t="n"/>
      <c r="AO10" s="238" t="n"/>
      <c r="AP10" s="313">
        <f>SUMPRODUCT(--WEEKDAY(C$3:AG$3,2)&lt;6,--((C10:AG10="DM"))+(C10:AG10="CS1")+((C10:AG10="CS2"))+(C10:AG10="SB1")+(C10:AG10="AE")+(C10:AG10="EM"))</f>
        <v/>
      </c>
      <c r="AQ10" s="238" t="n"/>
      <c r="AR10" s="238">
        <f>SUMPRODUCT(--WEEKDAY(C$3:AG$3,2)&gt;5,--((C10:AG10="DM"))+(C10:AG10="CS1")+((C10:AG10="CS2"))+(C10:AG10="SB1")+(C10:AG10="AE")+(C10:AG10="EM"))</f>
        <v/>
      </c>
      <c r="AS10" s="238" t="n"/>
      <c r="AT10" s="238">
        <f>(AP10-AQ10)/2+(AR10-AS10)</f>
        <v/>
      </c>
      <c r="AU10" s="238">
        <f>AH10+AI10+AJ10+AK10+AM10+AN10</f>
        <v/>
      </c>
      <c r="AV10" s="238">
        <f>BF10+BG10+BI10+BD10+BB10+AZ10+BK10</f>
        <v/>
      </c>
      <c r="AW10" s="238">
        <f>AT10+$AX$10</f>
        <v/>
      </c>
      <c r="AX10" s="313">
        <f>(BI10*('Setting key Duty'!$I$8+'Setting key Duty'!$I$12))+(BG10*'Setting key Duty'!$I$9)+(BB10*('Setting key Duty'!$I$13+'Setting key Duty'!$I$9))+(AZ10*('Setting key Duty'!$I$13+'Setting key Duty'!$I$12+'Setting key Duty'!$I$11))+(BD10*('Setting key Duty'!$I$8+'Setting key Duty'!$I$9+'Setting key Duty'!$I$12))</f>
        <v/>
      </c>
      <c r="AY10" s="313">
        <f>COUNTIF(C10:AC10,"*BRT*")</f>
        <v/>
      </c>
      <c r="AZ10" s="313">
        <f>COUNTIF(A10:AH10,"*$BTP*")</f>
        <v/>
      </c>
      <c r="BA10" s="313">
        <f>AZ10*('Setting key Duty'!$I$13+'Setting key Duty'!$I$12+'Setting key Duty'!$I$11)</f>
        <v/>
      </c>
      <c r="BB10" s="313">
        <f>COUNTIF(D10:AH10,"*$L*")</f>
        <v/>
      </c>
      <c r="BC10" s="313">
        <f>BB10*('Setting key Duty'!$I$13+'Setting key Duty'!$I$9)</f>
        <v/>
      </c>
      <c r="BD10" s="313">
        <f>COUNTIF(D10:AH10,"*$M*")</f>
        <v/>
      </c>
      <c r="BE10" s="313">
        <f>BD10*('Setting key Duty'!$I$8+'Setting key Duty'!$I$9+'Setting key Duty'!$I$12)</f>
        <v/>
      </c>
      <c r="BF10" s="313">
        <f>COUNTIF(D10:AH10,"*$N*")</f>
        <v/>
      </c>
      <c r="BG10" s="313">
        <f>COUNTIF(D10:AH10,"*$PM*")</f>
        <v/>
      </c>
      <c r="BH10" s="313">
        <f>BG10*('Setting key Duty'!$I$9)</f>
        <v/>
      </c>
      <c r="BI10" s="313">
        <f>COUNTIF(D10:AH10,"*$AM*")</f>
        <v/>
      </c>
      <c r="BJ10" s="313">
        <f>BI10*('Setting key Duty'!$I$12+'Setting key Duty'!$I$8)</f>
        <v/>
      </c>
      <c r="BK10" s="313">
        <f>COUNTIF(C10:AH10,"*$FC*")</f>
        <v/>
      </c>
      <c r="BL10" s="313">
        <f>BK10*('Setting key Duty'!$J$11+'Setting key Duty'!$I$8)</f>
        <v/>
      </c>
      <c r="BM10" s="313">
        <f>COUNTIF($C10:$AG10,BM$4)</f>
        <v/>
      </c>
      <c r="BN10" s="313">
        <f>COUNTIF($C10:$AG10,BN$4)</f>
        <v/>
      </c>
      <c r="BO10" s="313">
        <f>COUNTIF($D10:$AE10,BO$4)</f>
        <v/>
      </c>
      <c r="BP10" s="314" t="n"/>
    </row>
    <row r="11" ht="13.5" customHeight="1">
      <c r="A11" s="309" t="n"/>
      <c r="B11" s="375" t="inlineStr">
        <is>
          <t>CFC MOHAMAD HIDAYAT BIN MOHAMAD YUSOFF</t>
        </is>
      </c>
      <c r="C11" s="197" t="n"/>
      <c r="D11" s="197" t="n"/>
      <c r="E11" s="197" t="n"/>
      <c r="F11" s="197" t="n"/>
      <c r="G11" s="197" t="n"/>
      <c r="H11" s="197" t="n"/>
      <c r="I11" s="197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  <c r="T11" s="197" t="n"/>
      <c r="U11" s="197" t="n"/>
      <c r="V11" s="197" t="n"/>
      <c r="W11" s="197" t="n"/>
      <c r="X11" s="197" t="n"/>
      <c r="Y11" s="197" t="n"/>
      <c r="Z11" s="197" t="n"/>
      <c r="AA11" s="197" t="n"/>
      <c r="AB11" s="197" t="n"/>
      <c r="AC11" s="197" t="n"/>
      <c r="AD11" s="197" t="n"/>
      <c r="AE11" s="197" t="n"/>
      <c r="AF11" s="197" t="n"/>
      <c r="AG11" s="197" t="n"/>
      <c r="AH11" s="311">
        <f>COUNTIF($C11:$AE11,AH$4)</f>
        <v/>
      </c>
      <c r="AI11" s="312">
        <f>COUNTIF($C11:$AE11,AI$4)</f>
        <v/>
      </c>
      <c r="AJ11" s="311">
        <f>COUNTIF($C11:$AE11,AJ$4)</f>
        <v/>
      </c>
      <c r="AK11" s="313">
        <f>COUNTIF($C11:$AE11,AK$4)</f>
        <v/>
      </c>
      <c r="AL11" s="313">
        <f>COUNTIF($C11:$AE11,AL$4)</f>
        <v/>
      </c>
      <c r="AM11" s="313">
        <f>COUNTIF($C11:$AE11,AM$4)</f>
        <v/>
      </c>
      <c r="AN11" s="313">
        <f>COUNTIF($C11:$AE11,AN$4)</f>
        <v/>
      </c>
      <c r="AO11" s="238" t="n"/>
      <c r="AP11" s="313">
        <f>SUMPRODUCT(--WEEKDAY(C$3:AG$3,2)&lt;6,--((C11:AG11="DM"))+(C11:AG11="CS1")+((C11:AG11="CS2"))+(C11:AG11="SB1")+(C11:AG11="AE")+(C11:AG11="EM"))</f>
        <v/>
      </c>
      <c r="AQ11" s="238" t="n"/>
      <c r="AR11" s="238">
        <f>SUMPRODUCT(--WEEKDAY(C$3:AG$3,2)&gt;5,--((C11:AG11="DM"))+(C11:AG11="CS1")+((C11:AG11="CS2"))+(C11:AG11="SB1")+(C11:AG11="AE")+(C11:AG11="EM"))</f>
        <v/>
      </c>
      <c r="AS11" s="238" t="n"/>
      <c r="AT11" s="238">
        <f>(AP11-AQ11)/2+(AR11-AS11)</f>
        <v/>
      </c>
      <c r="AU11" s="238">
        <f>AH11+AI11+AJ11+AK11+AM11+AN11</f>
        <v/>
      </c>
      <c r="AV11" s="238">
        <f>BF11+BG11+BI11+BD11+BB11+AZ11+BK11</f>
        <v/>
      </c>
      <c r="AW11" s="238">
        <f>AT11+AX11</f>
        <v/>
      </c>
      <c r="AX11" s="313">
        <f>(BI11*('Setting key Duty'!$I$8+'Setting key Duty'!$I$12))+(BG11*'Setting key Duty'!$I$9)+(BB11*('Setting key Duty'!$I$13+'Setting key Duty'!$I$9))+(AZ11*('Setting key Duty'!$I$13+'Setting key Duty'!$I$12+'Setting key Duty'!$I$11))+(BD11*('Setting key Duty'!$I$8+'Setting key Duty'!$I$9+'Setting key Duty'!$I$12))</f>
        <v/>
      </c>
      <c r="AY11" s="313">
        <f>COUNTIF(C11:AE11,"*BRT*")</f>
        <v/>
      </c>
      <c r="AZ11" s="313">
        <f>COUNTIF(A11:AH11,"*$BTP*")</f>
        <v/>
      </c>
      <c r="BA11" s="313">
        <f>AZ11*('Setting key Duty'!$I$13+'Setting key Duty'!$I$12+'Setting key Duty'!$I$11)</f>
        <v/>
      </c>
      <c r="BB11" s="313">
        <f>COUNTIF(A11:AH11,"*$L*")</f>
        <v/>
      </c>
      <c r="BC11" s="313">
        <f>BB11*('Setting key Duty'!$I$13+'Setting key Duty'!$I$9)</f>
        <v/>
      </c>
      <c r="BD11" s="313">
        <f>COUNTIF(A11:AH11,"*$M*")</f>
        <v/>
      </c>
      <c r="BE11" s="313">
        <f>BD11*('Setting key Duty'!$I$8+'Setting key Duty'!$I$9+'Setting key Duty'!$I$12)</f>
        <v/>
      </c>
      <c r="BF11" s="313">
        <f>COUNTIF(A11:AH11,"*$N*")</f>
        <v/>
      </c>
      <c r="BG11" s="313">
        <f>COUNTIF(AF11:AH11,"*$PM*")</f>
        <v/>
      </c>
      <c r="BH11" s="313">
        <f>BG11*('Setting key Duty'!$I$9)</f>
        <v/>
      </c>
      <c r="BI11" s="313">
        <f>COUNTIF(A11:AH11,"*$AM*")</f>
        <v/>
      </c>
      <c r="BJ11" s="313">
        <f>BI11*('Setting key Duty'!$I$12+'Setting key Duty'!$I$8)</f>
        <v/>
      </c>
      <c r="BK11" s="313">
        <f>COUNTIF(C11:AH11,"*$FC*")</f>
        <v/>
      </c>
      <c r="BL11" s="313">
        <f>BK11*('Setting key Duty'!$J$11+'Setting key Duty'!$I$8)</f>
        <v/>
      </c>
      <c r="BM11" s="313">
        <f>COUNTIF($C11:$AE11,BM$4)</f>
        <v/>
      </c>
      <c r="BN11" s="313">
        <f>COUNTIF($C11:$AE11,BN$4)</f>
        <v/>
      </c>
      <c r="BO11" s="313">
        <f>COUNTIF($C11:$AE11,BO$4)</f>
        <v/>
      </c>
      <c r="BP11" s="314" t="n"/>
    </row>
    <row r="12" ht="19.5" customHeight="1">
      <c r="A12" s="309" t="n"/>
      <c r="B12" s="334" t="inlineStr">
        <is>
          <t>LCP MUHAMMAD KHIDIR BIN ZAKARIA</t>
        </is>
      </c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7" t="n"/>
      <c r="U12" s="197" t="n"/>
      <c r="V12" s="197" t="n"/>
      <c r="W12" s="197" t="n"/>
      <c r="X12" s="197" t="n"/>
      <c r="Y12" s="197" t="n"/>
      <c r="Z12" s="197" t="n"/>
      <c r="AA12" s="197" t="n"/>
      <c r="AB12" s="197" t="n"/>
      <c r="AC12" s="197" t="n"/>
      <c r="AD12" s="197" t="n"/>
      <c r="AE12" s="197" t="n"/>
      <c r="AF12" s="197" t="n"/>
      <c r="AG12" s="197" t="n"/>
      <c r="AH12" s="311" t="n"/>
      <c r="AI12" s="312" t="n"/>
      <c r="AJ12" s="311" t="n"/>
      <c r="AK12" s="313" t="n"/>
      <c r="AL12" s="313" t="n"/>
      <c r="AM12" s="313" t="n"/>
      <c r="AN12" s="313" t="n"/>
      <c r="AO12" s="238" t="n"/>
      <c r="AP12" s="313">
        <f>SUMPRODUCT(--WEEKDAY(C$3:AG$3,2)&lt;6,--((C12:AG12="DM"))+(C12:AG12="CS1")+((C12:AG12="CS2"))+(C12:AG12="SB1")+(C12:AG12="AE")+(C12:AG12="EM"))</f>
        <v/>
      </c>
      <c r="AQ12" s="238" t="n"/>
      <c r="AR12" s="238">
        <f>SUMPRODUCT(--WEEKDAY(C$3:AG$3,2)&gt;5,--((C12:AG12="DM"))+(C12:AG12="CS1")+((C12:AG12="CS2"))+(C12:AG12="SB1")+(C12:AG12="AE")+(C12:AG12="EM"))</f>
        <v/>
      </c>
      <c r="AS12" s="238" t="n"/>
      <c r="AT12" s="238">
        <f>(AP12-AQ12)/2+(AR12-AS12)</f>
        <v/>
      </c>
      <c r="AU12" s="238">
        <f>AH12+AI12+AJ12+AK12+AM12+AN12</f>
        <v/>
      </c>
      <c r="AV12" s="238">
        <f>BF12+BG12+BI12+BD12+BB12+AZ12+BK12</f>
        <v/>
      </c>
      <c r="AW12" s="238">
        <f>AT12+AX12</f>
        <v/>
      </c>
      <c r="AX12" s="313">
        <f>(BI12*('Setting key Duty'!$I$8+'Setting key Duty'!$I$12))+(BG12*'Setting key Duty'!$I$9)+(BB12*('Setting key Duty'!$I$13+'Setting key Duty'!$I$9))+(AZ12*('Setting key Duty'!$I$13+'Setting key Duty'!$I$12+'Setting key Duty'!$I$11))+(BD12*('Setting key Duty'!$I$8+'Setting key Duty'!$I$9+'Setting key Duty'!$I$12))</f>
        <v/>
      </c>
      <c r="AY12" s="313">
        <f>COUNTIF(#REF!,"*BRT*")</f>
        <v/>
      </c>
      <c r="AZ12" s="313">
        <f>COUNTIF(A12:AH12,"*$BTP*")</f>
        <v/>
      </c>
      <c r="BA12" s="313">
        <f>AZ12*('Setting key Duty'!$I$13+'Setting key Duty'!$I$12+'Setting key Duty'!$I$11)</f>
        <v/>
      </c>
      <c r="BB12" s="313">
        <f>COUNTIF(A12:AH12,"*$L*")</f>
        <v/>
      </c>
      <c r="BC12" s="313">
        <f>BB12*('Setting key Duty'!$I$13+'Setting key Duty'!$I$9)</f>
        <v/>
      </c>
      <c r="BD12" s="313">
        <f>COUNTIF(A12:AH12,"*$M*")</f>
        <v/>
      </c>
      <c r="BE12" s="313">
        <f>BD12*('Setting key Duty'!$I$8+'Setting key Duty'!$I$9+'Setting key Duty'!$I$12)</f>
        <v/>
      </c>
      <c r="BF12" s="313">
        <f>COUNTIF(AH12,"*$N*")</f>
        <v/>
      </c>
      <c r="BG12" s="313">
        <f>COUNTIF(AH12,"*$PM*")</f>
        <v/>
      </c>
      <c r="BH12" s="313">
        <f>BG12*('Setting key Duty'!$I$9)</f>
        <v/>
      </c>
      <c r="BI12" s="313">
        <f>COUNTIF(A12:AH12,"*$AM*")</f>
        <v/>
      </c>
      <c r="BJ12" s="313">
        <f>BI12*('Setting key Duty'!$I$12+'Setting key Duty'!$I$8)</f>
        <v/>
      </c>
      <c r="BK12" s="313">
        <f>COUNTIF(E12:AH12,"*$FC*")</f>
        <v/>
      </c>
      <c r="BL12" s="313">
        <f>BK12*('Setting key Duty'!$J$11+'Setting key Duty'!$I$8)</f>
        <v/>
      </c>
      <c r="BM12" s="313">
        <f>COUNTIF(#REF!,BM$4)</f>
        <v/>
      </c>
      <c r="BN12" s="313">
        <f>COUNTIF(#REF!,BN$4)</f>
        <v/>
      </c>
      <c r="BO12" s="313">
        <f>COUNTIF(#REF!,BO$4)</f>
        <v/>
      </c>
      <c r="BP12" s="314" t="n"/>
    </row>
    <row r="13" ht="19.5" customHeight="1">
      <c r="A13" s="309" t="n"/>
      <c r="B13" s="332" t="inlineStr">
        <is>
          <t>CPL MOHD AMEER KHAN S/O BASHIR ISMAIL</t>
        </is>
      </c>
      <c r="C13" s="198" t="n"/>
      <c r="D13" s="197" t="inlineStr">
        <is>
          <t>DM</t>
        </is>
      </c>
      <c r="E13" s="197" t="n"/>
      <c r="F13" s="197" t="n"/>
      <c r="G13" s="106" t="n"/>
      <c r="H13" s="197" t="inlineStr">
        <is>
          <t>CS1</t>
        </is>
      </c>
      <c r="I13" s="106" t="n"/>
      <c r="J13" s="106" t="n"/>
      <c r="K13" s="317" t="inlineStr">
        <is>
          <t>SB1</t>
        </is>
      </c>
      <c r="L13" s="197" t="n"/>
      <c r="M13" s="197" t="inlineStr">
        <is>
          <t>d</t>
        </is>
      </c>
      <c r="N13" s="197" t="inlineStr">
        <is>
          <t>DM</t>
        </is>
      </c>
      <c r="O13" s="317" t="n"/>
      <c r="P13" s="317" t="n"/>
      <c r="Q13" s="106" t="n"/>
      <c r="R13" s="197" t="inlineStr">
        <is>
          <t>A $AM IPPT (0500-1000)</t>
        </is>
      </c>
      <c r="S13" s="106" t="n"/>
      <c r="T13" s="106" t="n"/>
      <c r="U13" s="197" t="inlineStr">
        <is>
          <t>CS2</t>
        </is>
      </c>
      <c r="V13" s="106" t="n"/>
      <c r="W13" s="197" t="inlineStr">
        <is>
          <t>B $AM IPPT(0500-1100)</t>
        </is>
      </c>
      <c r="X13" s="197" t="inlineStr">
        <is>
          <t>AMPT</t>
        </is>
      </c>
      <c r="Y13" s="198" t="n"/>
      <c r="Z13" s="197" t="inlineStr">
        <is>
          <t>DM</t>
        </is>
      </c>
      <c r="AA13" s="197" t="n"/>
      <c r="AB13" s="197" t="n"/>
      <c r="AD13" s="197" t="inlineStr">
        <is>
          <t>DM</t>
        </is>
      </c>
      <c r="AE13" s="197" t="n"/>
      <c r="AF13" s="197" t="inlineStr">
        <is>
          <t>CS1</t>
        </is>
      </c>
      <c r="AG13" s="197" t="n"/>
      <c r="AH13" s="311" t="n"/>
      <c r="AI13" s="312" t="n"/>
      <c r="AJ13" s="311" t="n"/>
      <c r="AK13" s="313" t="n"/>
      <c r="AL13" s="313" t="n"/>
      <c r="AM13" s="313" t="n"/>
      <c r="AN13" s="313" t="n"/>
      <c r="AO13" s="238" t="n"/>
      <c r="AP13" s="313">
        <f>SUMPRODUCT(--WEEKDAY(C$3:AG$3,2)&lt;6,--((C13:AG13="DM"))+(C13:AG13="CS1")+((C13:AG13="CS2"))+(C13:AG13="SB1")+(C13:AG13="AE")+(C13:AG13="EM"))</f>
        <v/>
      </c>
      <c r="AQ13" s="238" t="n"/>
      <c r="AR13" s="238">
        <f>SUMPRODUCT(--WEEKDAY(C$3:AG$3,2)&gt;5,--((C13:AG13="DM"))+(C13:AG13="CS1")+((C13:AG13="CS2"))+(C13:AG13="SB1")+(C13:AG13="AE")+(C13:AG13="EM"))</f>
        <v/>
      </c>
      <c r="AS13" s="238" t="n"/>
      <c r="AT13" s="238">
        <f>(AP13-AQ13)/2+(AR13-AS13)</f>
        <v/>
      </c>
      <c r="AU13" s="238">
        <f>AH13+AI13+AJ13+AK13+AM13+AN13</f>
        <v/>
      </c>
      <c r="AV13" s="238">
        <f>BF13+BG13+BI13+BD13+BB13+AZ13+BK13</f>
        <v/>
      </c>
      <c r="AW13" s="238">
        <f>AT13+AX13</f>
        <v/>
      </c>
      <c r="AX13" s="313">
        <f>(BI13*('Setting key Duty'!$I$8+'Setting key Duty'!$I$12))+(BG13*'Setting key Duty'!$I$9)+(BB13*('Setting key Duty'!$I$13+'Setting key Duty'!$I$9))+(AZ13*('Setting key Duty'!$I$13+'Setting key Duty'!$I$12+'Setting key Duty'!$I$11))+(BD13*('Setting key Duty'!$I$8+'Setting key Duty'!$I$9+'Setting key Duty'!$I$12))</f>
        <v/>
      </c>
      <c r="AY13" s="313">
        <f>COUNTIF(D13:AC13,"*BRT*")</f>
        <v/>
      </c>
      <c r="AZ13" s="313">
        <f>COUNTIF(A13:AH13,"*$BTP*")</f>
        <v/>
      </c>
      <c r="BA13" s="313">
        <f>AZ13*('Setting key Duty'!$I$13+'Setting key Duty'!$I$12+'Setting key Duty'!$I$11)</f>
        <v/>
      </c>
      <c r="BB13" s="313">
        <f>COUNTIF(A13:AH13,"*$L*")</f>
        <v/>
      </c>
      <c r="BC13" s="313">
        <f>BB13*('Setting key Duty'!$I$13+'Setting key Duty'!$I$9)</f>
        <v/>
      </c>
      <c r="BD13" s="313">
        <f>COUNTIF(A13:AH13,"*$M*")</f>
        <v/>
      </c>
      <c r="BE13" s="313">
        <f>BD13*('Setting key Duty'!$I$8+'Setting key Duty'!$I$9+'Setting key Duty'!$I$12)</f>
        <v/>
      </c>
      <c r="BF13" s="313">
        <f>COUNTIF(AF13:AH13,"*$N*")</f>
        <v/>
      </c>
      <c r="BG13" s="313">
        <f>COUNTIF(AF13:AH13,"*$PM*")</f>
        <v/>
      </c>
      <c r="BH13" s="313">
        <f>BG13*('Setting key Duty'!$I$9)</f>
        <v/>
      </c>
      <c r="BI13" s="313">
        <f>COUNTIF(A13:AH13,"*$AM*")</f>
        <v/>
      </c>
      <c r="BJ13" s="313">
        <f>BI13*('Setting key Duty'!$I$12+'Setting key Duty'!$I$8)</f>
        <v/>
      </c>
      <c r="BK13" s="313">
        <f>COUNTIF(D13:AH13,"*$FC*")</f>
        <v/>
      </c>
      <c r="BL13" s="313">
        <f>BK13*('Setting key Duty'!$J$11+'Setting key Duty'!$I$8)</f>
        <v/>
      </c>
      <c r="BM13" s="313">
        <f>COUNTIF($D13:$AE13,BM$4)</f>
        <v/>
      </c>
      <c r="BN13" s="313">
        <f>COUNTIF($D13:$AE13,BN$4)</f>
        <v/>
      </c>
      <c r="BO13" s="313">
        <f>COUNTIF($D13:$AE13,BO$4)</f>
        <v/>
      </c>
      <c r="BP13" s="314" t="n"/>
    </row>
    <row r="14" ht="19.5" customHeight="1">
      <c r="A14" s="309" t="n"/>
      <c r="B14" s="373" t="inlineStr">
        <is>
          <t>LCP ALPHA KELVIN ISAAC BIN MUHAMMAD MCKEVIN LAWRENCE</t>
        </is>
      </c>
      <c r="C14" s="197" t="inlineStr">
        <is>
          <t>CS1</t>
        </is>
      </c>
      <c r="D14" s="197" t="n"/>
      <c r="F14" s="197" t="n"/>
      <c r="G14" s="197" t="n"/>
      <c r="H14" s="106" t="n"/>
      <c r="I14" s="106" t="n"/>
      <c r="J14" s="106" t="n"/>
      <c r="K14" s="106" t="n"/>
      <c r="L14" s="197" t="n"/>
      <c r="M14" s="197" t="n"/>
      <c r="N14" s="106" t="n"/>
      <c r="O14" s="317" t="inlineStr">
        <is>
          <t>SB1</t>
        </is>
      </c>
      <c r="P14" s="106" t="n"/>
      <c r="Q14" s="197" t="inlineStr">
        <is>
          <t xml:space="preserve">AMPT </t>
        </is>
      </c>
      <c r="R14" s="197" t="n"/>
      <c r="S14" s="197" t="inlineStr">
        <is>
          <t>SB1</t>
        </is>
      </c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n"/>
      <c r="AG14" s="197" t="n"/>
      <c r="AH14" s="311" t="n"/>
      <c r="AI14" s="312" t="n"/>
      <c r="AJ14" s="311" t="n"/>
      <c r="AK14" s="313" t="n"/>
      <c r="AL14" s="313" t="n"/>
      <c r="AM14" s="313" t="n"/>
      <c r="AN14" s="313" t="n"/>
      <c r="AO14" s="238" t="n"/>
      <c r="AP14" s="313">
        <f>SUMPRODUCT(--WEEKDAY(C$3:AG$3,2)&lt;6,--((C14:AG14="DM"))+(C14:AG14="CS1")+((C14:AG14="CS2"))+(C14:AG14="SB1")+(C14:AG14="AE")+(C14:AG14="EM"))</f>
        <v/>
      </c>
      <c r="AQ14" s="238" t="n"/>
      <c r="AR14" s="238">
        <f>SUMPRODUCT(--WEEKDAY(C$3:AG$3,2)&gt;5,--((C14:AG14="DM"))+(C14:AG14="CS1")+((C14:AG14="CS2"))+(C14:AG14="SB1")+(C14:AG14="AE")+(C14:AG14="EM"))</f>
        <v/>
      </c>
      <c r="AS14" s="238" t="n"/>
      <c r="AT14" s="238">
        <f>(AP14-AQ14)/2+(AR14-AS14)</f>
        <v/>
      </c>
      <c r="AU14" s="238">
        <f>AH14+AI14+AJ14+AK14+AM14+AN14</f>
        <v/>
      </c>
      <c r="AV14" s="238">
        <f>BF14+BG14+BI14+BD14+BB14+AZ14+BK14</f>
        <v/>
      </c>
      <c r="AW14" s="238">
        <f>AT14+AX14</f>
        <v/>
      </c>
      <c r="AX14" s="313">
        <f>(BI14*('Setting key Duty'!$I$8+'Setting key Duty'!$I$12))+(BG14*'Setting key Duty'!$I$9)+(BB14*('Setting key Duty'!$I$13+'Setting key Duty'!$I$9))+(AZ14*('Setting key Duty'!$I$13+'Setting key Duty'!$I$12+'Setting key Duty'!$I$11))+(BD14*('Setting key Duty'!$I$8+'Setting key Duty'!$I$9+'Setting key Duty'!$I$12))</f>
        <v/>
      </c>
      <c r="AY14" s="313">
        <f>COUNTIF(D14:X14,"*BRT*")</f>
        <v/>
      </c>
      <c r="AZ14" s="313">
        <f>COUNTIF(A14:AH14,"*$BTP*")</f>
        <v/>
      </c>
      <c r="BA14" s="313">
        <f>AZ14*('Setting key Duty'!$I$13+'Setting key Duty'!$I$12+'Setting key Duty'!$I$11)</f>
        <v/>
      </c>
      <c r="BB14" s="313">
        <f>COUNTIF(A14:AH14,"*$L*")</f>
        <v/>
      </c>
      <c r="BC14" s="313">
        <f>BB14*('Setting key Duty'!$I$13+'Setting key Duty'!$I$9)</f>
        <v/>
      </c>
      <c r="BD14" s="313">
        <f>COUNTIF(A14:AH14,"*$M*")</f>
        <v/>
      </c>
      <c r="BE14" s="313">
        <f>BD14*('Setting key Duty'!$I$8+'Setting key Duty'!$I$9+'Setting key Duty'!$I$12)</f>
        <v/>
      </c>
      <c r="BF14" s="313">
        <f>COUNTIF(AH14,"*$N*")</f>
        <v/>
      </c>
      <c r="BG14" s="313">
        <f>COUNTIF(AH14,"*$PM*")</f>
        <v/>
      </c>
      <c r="BH14" s="313">
        <f>BG14*('Setting key Duty'!$I$9)</f>
        <v/>
      </c>
      <c r="BI14" s="313">
        <f>COUNTIF(A14:AH14,"*$AM*")</f>
        <v/>
      </c>
      <c r="BJ14" s="313">
        <f>BI14*('Setting key Duty'!$I$12+'Setting key Duty'!$I$8)</f>
        <v/>
      </c>
      <c r="BK14" s="313">
        <f>COUNTIF(D14:AH14,"*$FC*")</f>
        <v/>
      </c>
      <c r="BL14" s="313">
        <f>BK14*('Setting key Duty'!$J$11+'Setting key Duty'!$I$8)</f>
        <v/>
      </c>
      <c r="BM14" s="313">
        <f>COUNTIF($D14:$X14,BM$4)</f>
        <v/>
      </c>
      <c r="BN14" s="313">
        <f>COUNTIF($D14:$X14,BN$4)</f>
        <v/>
      </c>
      <c r="BO14" s="313">
        <f>COUNTIF($D14:$X14,BO$4)</f>
        <v/>
      </c>
      <c r="BP14" s="314" t="n"/>
    </row>
    <row r="15" ht="24" customHeight="1">
      <c r="A15" s="309" t="n"/>
      <c r="B15" s="335" t="inlineStr">
        <is>
          <t>LCP RAZIN HILMANSYAH BIN ROSLI</t>
        </is>
      </c>
      <c r="C15" s="197" t="n"/>
      <c r="D15" s="106" t="n"/>
      <c r="F15" s="106" t="n"/>
      <c r="G15" s="106" t="n"/>
      <c r="H15" s="197" t="n"/>
      <c r="I15" s="197" t="n"/>
      <c r="J15" s="317" t="inlineStr">
        <is>
          <t>CS1</t>
        </is>
      </c>
      <c r="L15" s="197" t="inlineStr">
        <is>
          <t>CS1</t>
        </is>
      </c>
      <c r="M15" s="197" t="n"/>
      <c r="N15" s="197" t="inlineStr">
        <is>
          <t>CS1</t>
        </is>
      </c>
      <c r="O15" s="197" t="n"/>
      <c r="P15" s="197" t="n"/>
      <c r="Q15" s="197" t="n"/>
      <c r="R15" s="197" t="inlineStr">
        <is>
          <t>CS1</t>
        </is>
      </c>
      <c r="S15" s="197" t="n"/>
      <c r="T15" s="197" t="n"/>
      <c r="U15" s="197" t="n"/>
      <c r="V15" s="197" t="inlineStr">
        <is>
          <t>MM</t>
        </is>
      </c>
      <c r="W15" s="197" t="inlineStr">
        <is>
          <t>DM</t>
        </is>
      </c>
      <c r="X15" s="197" t="n"/>
      <c r="Y15" s="197" t="inlineStr">
        <is>
          <t>SB1</t>
        </is>
      </c>
      <c r="Z15" s="53" t="inlineStr">
        <is>
          <t>AMEER/WAN BACK UP</t>
        </is>
      </c>
      <c r="AA15" s="106" t="n"/>
      <c r="AB15" s="197" t="inlineStr">
        <is>
          <t>CS2</t>
        </is>
      </c>
      <c r="AC15" s="197" t="n"/>
      <c r="AD15" s="198" t="n"/>
      <c r="AE15" s="197" t="inlineStr">
        <is>
          <t>CS1</t>
        </is>
      </c>
      <c r="AF15" s="106" t="n"/>
      <c r="AH15" s="311">
        <f>COUNTIF($C15:$AB15,AH$4)</f>
        <v/>
      </c>
      <c r="AI15" s="312">
        <f>COUNTIF($C15:$AB15,AI$4)</f>
        <v/>
      </c>
      <c r="AJ15" s="311">
        <f>COUNTIF($C15:$AB15,AJ$4)</f>
        <v/>
      </c>
      <c r="AK15" s="313">
        <f>COUNTIF($C15:$AB15,AK$4)</f>
        <v/>
      </c>
      <c r="AL15" s="313">
        <f>COUNTIF($C15:$AB15,AL$4)</f>
        <v/>
      </c>
      <c r="AM15" s="313">
        <f>COUNTIF($C15:$AB15,AM$4)</f>
        <v/>
      </c>
      <c r="AN15" s="313">
        <f>COUNTIF($C15:$AB15,AN$4)</f>
        <v/>
      </c>
      <c r="AO15" s="238" t="n"/>
      <c r="AP15" s="313">
        <f>SUMPRODUCT(--WEEKDAY(C$3:AG$3,2)&lt;6,--((C15:AG15="DM"))+(C15:AG15="CS1")+((C15:AG15="CS2"))+(C15:AG15="SB1")+(C15:AG15="AE")+(C15:AG15="EM"))</f>
        <v/>
      </c>
      <c r="AQ15" s="238" t="n"/>
      <c r="AR15" s="238">
        <f>SUMPRODUCT(--WEEKDAY(C$3:AG$3,2)&gt;5,--((C15:AG15="DM"))+(C15:AG15="CS1")+((C15:AG15="CS2"))+(C15:AG15="SB1")+(C15:AG15="AE")+(C15:AG15="EM"))</f>
        <v/>
      </c>
      <c r="AS15" s="238" t="n"/>
      <c r="AT15" s="238">
        <f>(AP15-AQ15)/2+(AR15-AS15)</f>
        <v/>
      </c>
      <c r="AU15" s="238">
        <f>AH15+AI15+AJ15+AK15+AM15+AN15</f>
        <v/>
      </c>
      <c r="AV15" s="238">
        <f>BF15+BG15+BI15+BD15+BB15+AZ15+BK15</f>
        <v/>
      </c>
      <c r="AW15" s="238">
        <f>AT15+AX15</f>
        <v/>
      </c>
      <c r="AX15" s="313">
        <f>(BI15*('Setting key Duty'!$I$8+'Setting key Duty'!$I$12))+(BG15*'Setting key Duty'!$I$9)+(BB15*('Setting key Duty'!$I$13+'Setting key Duty'!$I$9))+(AZ15*('Setting key Duty'!$I$13+'Setting key Duty'!$I$12+'Setting key Duty'!$I$11))+(BD15*('Setting key Duty'!$I$8+'Setting key Duty'!$I$9+'Setting key Duty'!$I$12))</f>
        <v/>
      </c>
      <c r="AY15" s="313">
        <f>COUNTIF(C15:AB15,"*BRT*")</f>
        <v/>
      </c>
      <c r="AZ15" s="313">
        <f>COUNTIF(A15:AH15,"*$BTP*")</f>
        <v/>
      </c>
      <c r="BA15" s="313">
        <f>AZ15*('Setting key Duty'!$I$13+'Setting key Duty'!$I$12+'Setting key Duty'!$I$11)</f>
        <v/>
      </c>
      <c r="BB15" s="313">
        <f>COUNTIF(A15:AH15,"*$L*")</f>
        <v/>
      </c>
      <c r="BC15" s="313">
        <f>BB15*('Setting key Duty'!$I$13+'Setting key Duty'!$I$9)</f>
        <v/>
      </c>
      <c r="BD15" s="313">
        <f>COUNTIF(A15:AH15,"*$M*")</f>
        <v/>
      </c>
      <c r="BE15" s="313">
        <f>BD15*('Setting key Duty'!$I$8+'Setting key Duty'!$I$9+'Setting key Duty'!$I$12)</f>
        <v/>
      </c>
      <c r="BF15" s="313">
        <f>COUNTIF(A15:AH15,"*$N*")</f>
        <v/>
      </c>
      <c r="BG15" s="313">
        <f>COUNTIF(AH15,"*$PM*")</f>
        <v/>
      </c>
      <c r="BH15" s="313">
        <f>BG15*('Setting key Duty'!$I$9)</f>
        <v/>
      </c>
      <c r="BI15" s="313">
        <f>COUNTIF(A15:AH15,"*$AM*")</f>
        <v/>
      </c>
      <c r="BJ15" s="313">
        <f>BI15*('Setting key Duty'!$I$12+'Setting key Duty'!$I$8)</f>
        <v/>
      </c>
      <c r="BK15" s="313">
        <f>COUNTIF(C15:AH15,"*$FC*")</f>
        <v/>
      </c>
      <c r="BL15" s="313">
        <f>BK15*('Setting key Duty'!$J$11+'Setting key Duty'!$I$8)</f>
        <v/>
      </c>
      <c r="BM15" s="313">
        <f>COUNTIF($C15:$AB15,BM$4)</f>
        <v/>
      </c>
      <c r="BN15" s="313">
        <f>COUNTIF($C15:$AB15,BN$4)</f>
        <v/>
      </c>
      <c r="BO15" s="313">
        <f>COUNTIF($C15:$AB15,BO$4)</f>
        <v/>
      </c>
      <c r="BP15" s="314" t="n"/>
    </row>
    <row r="16" ht="37.5" customHeight="1">
      <c r="A16" s="309" t="n"/>
      <c r="B16" s="373" t="inlineStr">
        <is>
          <t>CPL RICKY NG RUIQI</t>
        </is>
      </c>
      <c r="C16" s="197" t="n"/>
      <c r="D16" s="197" t="n"/>
      <c r="E16" s="197" t="inlineStr">
        <is>
          <t>DM</t>
        </is>
      </c>
      <c r="F16" s="197" t="n"/>
      <c r="G16" s="106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inlineStr">
        <is>
          <t>RC $FC</t>
        </is>
      </c>
      <c r="Q16" s="197" t="inlineStr">
        <is>
          <t>RC $FC</t>
        </is>
      </c>
      <c r="R16" s="197" t="inlineStr">
        <is>
          <t>RC $FC</t>
        </is>
      </c>
      <c r="S16" s="197" t="inlineStr">
        <is>
          <t>OFF</t>
        </is>
      </c>
      <c r="T16" s="197" t="n"/>
      <c r="U16" s="197" t="n"/>
      <c r="V16" s="197" t="n"/>
      <c r="X16" s="197" t="inlineStr">
        <is>
          <t>SB1</t>
        </is>
      </c>
      <c r="AA16" s="197" t="inlineStr">
        <is>
          <t>DM</t>
        </is>
      </c>
      <c r="AB16" s="198" t="n"/>
      <c r="AD16" s="197" t="n"/>
      <c r="AE16" s="197" t="n"/>
      <c r="AF16" s="197" t="n"/>
      <c r="AG16" s="197" t="inlineStr">
        <is>
          <t>CS2</t>
        </is>
      </c>
      <c r="AH16" s="311">
        <f>COUNTIF($D16:$AC16,AH$4)</f>
        <v/>
      </c>
      <c r="AI16" s="312">
        <f>COUNTIF($D16:$AC16,AI$4)</f>
        <v/>
      </c>
      <c r="AJ16" s="311">
        <f>COUNTIF($D16:$AC16,AJ$4)</f>
        <v/>
      </c>
      <c r="AK16" s="313">
        <f>COUNTIF($D16:$AC16,AK$4)</f>
        <v/>
      </c>
      <c r="AL16" s="313">
        <f>COUNTIF($D16:$AC16,AL$4)</f>
        <v/>
      </c>
      <c r="AM16" s="313">
        <f>COUNTIF($D16:$AC16,AM$4)</f>
        <v/>
      </c>
      <c r="AN16" s="313">
        <f>COUNTIF($D16:$AC16,AN$4)</f>
        <v/>
      </c>
      <c r="AO16" s="238" t="n"/>
      <c r="AP16" s="313">
        <f>SUMPRODUCT(--WEEKDAY(C$3:AG$3,2)&lt;6,--((C16:AG16="DM"))+(C16:AG16="CS1")+((C16:AG16="CS2"))+(C16:AG16="SB1")+(C16:AG16="AE")+(C16:AG16="EM"))</f>
        <v/>
      </c>
      <c r="AQ16" s="238" t="n"/>
      <c r="AR16" s="238">
        <f>SUMPRODUCT(--WEEKDAY(C$3:AG$3,2)&gt;5,--((C16:AG16="DM"))+(C16:AG16="CS1")+((C16:AG16="CS2"))+(C16:AG16="SB1")+(C16:AG16="AE")+(C16:AG16="EM"))</f>
        <v/>
      </c>
      <c r="AS16" s="238" t="n"/>
      <c r="AT16" s="238">
        <f>(AP16-AQ16)/2+(AR16-AS16)</f>
        <v/>
      </c>
      <c r="AU16" s="238">
        <f>AH16+AI16+AJ16+AK16+AM16+AN16</f>
        <v/>
      </c>
      <c r="AV16" s="238">
        <f>BF16+BG16+BI16+BD16+BB16+AZ16+BK16</f>
        <v/>
      </c>
      <c r="AW16" s="238">
        <f>AT16+AX16</f>
        <v/>
      </c>
      <c r="AX16" s="313">
        <f>(BI16*('Setting key Duty'!$I$8+'Setting key Duty'!$I$12))+(BG16*'Setting key Duty'!$I$9)+(BB16*('Setting key Duty'!$I$13+'Setting key Duty'!$I$9))+(AZ16*('Setting key Duty'!$I$13+'Setting key Duty'!$I$12+'Setting key Duty'!$I$11))+(BD16*('Setting key Duty'!$I$8+'Setting key Duty'!$I$9+'Setting key Duty'!$I$12))</f>
        <v/>
      </c>
      <c r="AY16" s="313">
        <f>COUNTIF(C16:AC16,"*BRT*")</f>
        <v/>
      </c>
      <c r="AZ16" s="313">
        <f>COUNTIF(A16:AH16,"*$BTP*")</f>
        <v/>
      </c>
      <c r="BA16" s="313">
        <f>AZ16*('Setting key Duty'!$I$13+'Setting key Duty'!$I$12+'Setting key Duty'!$I$11)</f>
        <v/>
      </c>
      <c r="BB16" s="313">
        <f>COUNTIF(A16:AH16,"*$L*")</f>
        <v/>
      </c>
      <c r="BC16" s="313">
        <f>BB16*('Setting key Duty'!$I$13+'Setting key Duty'!$I$9)</f>
        <v/>
      </c>
      <c r="BD16" s="313">
        <f>COUNTIF(A16:AH16,"*$M*")</f>
        <v/>
      </c>
      <c r="BE16" s="313">
        <f>BD16*('Setting key Duty'!$I$8+'Setting key Duty'!$I$9+'Setting key Duty'!$I$12)</f>
        <v/>
      </c>
      <c r="BF16" s="313">
        <f>COUNTIF(AH16,"*$N*")</f>
        <v/>
      </c>
      <c r="BG16" s="313">
        <f>COUNTIF(AH16,"*$PM*")</f>
        <v/>
      </c>
      <c r="BH16" s="313">
        <f>BG16*('Setting key Duty'!$I$9)</f>
        <v/>
      </c>
      <c r="BI16" s="313">
        <f>COUNTIF(A16:AH16,"*$AM*")</f>
        <v/>
      </c>
      <c r="BJ16" s="313">
        <f>BI16*('Setting key Duty'!$I$12+'Setting key Duty'!$I$8)</f>
        <v/>
      </c>
      <c r="BK16" s="313">
        <f>COUNTIF(C16:AH16,"*$FC*")</f>
        <v/>
      </c>
      <c r="BL16" s="313">
        <f>BK16*('Setting key Duty'!$J$11+'Setting key Duty'!$I$8)</f>
        <v/>
      </c>
      <c r="BM16" s="313">
        <f>COUNTIF($C16:$AC16,BM$4)</f>
        <v/>
      </c>
      <c r="BN16" s="313">
        <f>COUNTIF($C16:$AC16,BN$4)</f>
        <v/>
      </c>
      <c r="BO16" s="313">
        <f>COUNTIF($C16:$AC16,BO$4)</f>
        <v/>
      </c>
      <c r="BP16" s="314" t="n"/>
    </row>
    <row r="17" ht="19.5" customHeight="1">
      <c r="A17" s="309" t="n"/>
      <c r="B17" s="332" t="inlineStr">
        <is>
          <t>CPL MUHAMED AMIR BIN AHMAD FAIZAL</t>
        </is>
      </c>
      <c r="C17" s="197" t="n"/>
      <c r="D17" s="197" t="n"/>
      <c r="E17" s="197" t="n"/>
      <c r="F17" s="197" t="n"/>
      <c r="G17" s="197" t="n"/>
      <c r="H17" s="197" t="inlineStr">
        <is>
          <t>DM</t>
        </is>
      </c>
      <c r="I17" s="197" t="n"/>
      <c r="J17" s="106" t="n"/>
      <c r="K17" s="197" t="n"/>
      <c r="L17" s="197" t="n"/>
      <c r="M17" s="197" t="n"/>
      <c r="N17" s="197" t="inlineStr">
        <is>
          <t>CS2</t>
        </is>
      </c>
      <c r="O17" s="197" t="n"/>
      <c r="P17" s="197" t="n"/>
      <c r="Q17" s="197" t="inlineStr">
        <is>
          <t>CS2</t>
        </is>
      </c>
      <c r="R17" s="106" t="n"/>
      <c r="S17" s="197" t="n"/>
      <c r="T17" s="197" t="inlineStr">
        <is>
          <t>CS2</t>
        </is>
      </c>
      <c r="U17" s="197" t="n"/>
      <c r="V17" s="197" t="inlineStr">
        <is>
          <t>MM</t>
        </is>
      </c>
      <c r="W17" s="197" t="n"/>
      <c r="X17" s="197" t="inlineStr">
        <is>
          <t>MA</t>
        </is>
      </c>
      <c r="Y17" s="197" t="n"/>
      <c r="Z17" s="197" t="inlineStr">
        <is>
          <t>CS2</t>
        </is>
      </c>
      <c r="AA17" s="197" t="n"/>
      <c r="AB17" s="106" t="n"/>
      <c r="AC17" s="197" t="inlineStr">
        <is>
          <t>BAIL</t>
        </is>
      </c>
      <c r="AD17" s="197" t="n"/>
      <c r="AE17" s="197" t="inlineStr">
        <is>
          <t>DM</t>
        </is>
      </c>
      <c r="AF17" s="196" t="n"/>
      <c r="AG17" s="197" t="n"/>
      <c r="AH17" s="311">
        <f>COUNTIF($C17:$AA17,AH$4)</f>
        <v/>
      </c>
      <c r="AI17" s="312">
        <f>COUNTIF($C17:$AA17,AI$4)</f>
        <v/>
      </c>
      <c r="AJ17" s="311">
        <f>COUNTIF($C17:$AA17,AJ$4)</f>
        <v/>
      </c>
      <c r="AK17" s="313">
        <f>COUNTIF($C17:$AA17,AK$4)</f>
        <v/>
      </c>
      <c r="AL17" s="313">
        <f>COUNTIF($C17:$AA17,AL$4)</f>
        <v/>
      </c>
      <c r="AM17" s="313">
        <f>COUNTIF($C17:$AA17,AM$4)</f>
        <v/>
      </c>
      <c r="AN17" s="313">
        <f>COUNTIF($C17:$AA17,AN$4)</f>
        <v/>
      </c>
      <c r="AO17" s="238" t="n"/>
      <c r="AP17" s="313">
        <f>SUMPRODUCT(--WEEKDAY(C$3:AG$3,2)&lt;6,--((C17:AG17="DM"))+(C17:AG17="CS1")+((C17:AG17="CS2"))+(C17:AG17="SB1")+(C17:AG17="AE")+(C17:AG17="EM"))</f>
        <v/>
      </c>
      <c r="AQ17" s="238" t="n"/>
      <c r="AR17" s="238">
        <f>SUMPRODUCT(--WEEKDAY(C$3:AG$3,2)&gt;5,--((C17:AG17="DM"))+(C17:AG17="CS1")+((C17:AG17="CS2"))+(C17:AG17="SB1")+(C17:AG17="AE")+(C17:AG17="EM"))</f>
        <v/>
      </c>
      <c r="AS17" s="238" t="n"/>
      <c r="AT17" s="238">
        <f>(AP17-AQ17)/2+(AR17-AS17)</f>
        <v/>
      </c>
      <c r="AU17" s="238">
        <f>AH17+AI17+AJ17+AK17+AM17+AN17</f>
        <v/>
      </c>
      <c r="AV17" s="238">
        <f>BF17+BG17+BI17+BD17+BB17+AZ17+BK17</f>
        <v/>
      </c>
      <c r="AW17" s="238">
        <f>AT17+AX17</f>
        <v/>
      </c>
      <c r="AX17" s="313">
        <f>(BI17*('Setting key Duty'!$I$8+'Setting key Duty'!$I$12))+(BG17*'Setting key Duty'!$I$9)+(BB17*('Setting key Duty'!$I$13+'Setting key Duty'!$I$9))+(AZ17*('Setting key Duty'!$I$13+'Setting key Duty'!$I$12+'Setting key Duty'!$I$11))+(BD17*('Setting key Duty'!$I$8+'Setting key Duty'!$I$9+'Setting key Duty'!$I$12))</f>
        <v/>
      </c>
      <c r="AY17" s="313">
        <f>COUNTIF(C17:AA17,"*BRT*")</f>
        <v/>
      </c>
      <c r="AZ17" s="313">
        <f>COUNTIF(A17:AH17,"*$BTP*")</f>
        <v/>
      </c>
      <c r="BA17" s="313">
        <f>AZ17*('Setting key Duty'!$I$13+'Setting key Duty'!$I$12+'Setting key Duty'!$I$11)</f>
        <v/>
      </c>
      <c r="BB17" s="313">
        <f>COUNTIF(A17:AH17,"*$L*")</f>
        <v/>
      </c>
      <c r="BC17" s="313">
        <f>BB17*('Setting key Duty'!$I$13+'Setting key Duty'!$I$9)</f>
        <v/>
      </c>
      <c r="BD17" s="313">
        <f>COUNTIF(A17:AH17,"*$M*")</f>
        <v/>
      </c>
      <c r="BE17" s="313">
        <f>BD17*('Setting key Duty'!$I$8+'Setting key Duty'!$I$9+'Setting key Duty'!$I$12)</f>
        <v/>
      </c>
      <c r="BF17" s="313">
        <f>COUNTIF(A17:AH17,"*$N*")</f>
        <v/>
      </c>
      <c r="BG17" s="313">
        <f>COUNTIF(AH17,"*$PM*")</f>
        <v/>
      </c>
      <c r="BH17" s="313">
        <f>BG17*('Setting key Duty'!$I$9)</f>
        <v/>
      </c>
      <c r="BI17" s="313">
        <f>COUNTIF(A17:AH17,"*$AM*")</f>
        <v/>
      </c>
      <c r="BJ17" s="313">
        <f>BI17*('Setting key Duty'!$I$12+'Setting key Duty'!$I$8)</f>
        <v/>
      </c>
      <c r="BK17" s="313">
        <f>COUNTIF(C17:AH17,"*$FC*")</f>
        <v/>
      </c>
      <c r="BL17" s="313">
        <f>BK17*('Setting key Duty'!$J$11+'Setting key Duty'!$I$8)</f>
        <v/>
      </c>
      <c r="BM17" s="313">
        <f>COUNTIF($C17:$AA17,BM$4)</f>
        <v/>
      </c>
      <c r="BN17" s="313">
        <f>COUNTIF($C17:$AA17,BN$4)</f>
        <v/>
      </c>
      <c r="BO17" s="313">
        <f>COUNTIF($C17:$AA17,BO$4)</f>
        <v/>
      </c>
      <c r="BP17" s="314" t="n"/>
    </row>
    <row r="18" ht="19.5" customHeight="1">
      <c r="A18" s="309" t="n"/>
      <c r="B18" s="334" t="inlineStr">
        <is>
          <t>PTE JAY DEOL FROST</t>
        </is>
      </c>
      <c r="C18" s="197" t="n"/>
      <c r="D18" s="197" t="n"/>
      <c r="F18" s="324" t="n"/>
      <c r="G18" s="324" t="n"/>
      <c r="H18" s="324" t="n"/>
      <c r="I18" s="197" t="inlineStr">
        <is>
          <t>CS2</t>
        </is>
      </c>
      <c r="J18" s="106" t="n"/>
      <c r="K18" s="197" t="n"/>
      <c r="L18" s="317" t="n"/>
      <c r="M18" s="197" t="inlineStr">
        <is>
          <t>CS2</t>
        </is>
      </c>
      <c r="N18" s="395" t="n"/>
      <c r="O18" s="197" t="n"/>
      <c r="P18" s="197" t="n"/>
      <c r="Q18" s="197" t="inlineStr">
        <is>
          <t>N $M HG (0515-2000)</t>
        </is>
      </c>
      <c r="R18" s="106" t="n"/>
      <c r="S18" s="197" t="n"/>
      <c r="T18" s="197" t="n"/>
      <c r="U18" s="197" t="n"/>
      <c r="V18" s="197" t="inlineStr">
        <is>
          <t>MM</t>
        </is>
      </c>
      <c r="W18" s="197" t="n"/>
      <c r="X18" s="197" t="inlineStr">
        <is>
          <t xml:space="preserve"> M $AM IPPT (0500-1100)</t>
        </is>
      </c>
      <c r="Y18" s="197" t="inlineStr">
        <is>
          <t>L $AM IPPT (0500-1100)</t>
        </is>
      </c>
      <c r="AB18" s="106" t="n"/>
      <c r="AC18" s="197" t="n"/>
      <c r="AD18" s="197" t="inlineStr">
        <is>
          <t>AE</t>
        </is>
      </c>
      <c r="AE18" s="197" t="n"/>
      <c r="AF18" s="197" t="inlineStr">
        <is>
          <t>AE</t>
        </is>
      </c>
      <c r="AG18" s="197" t="n"/>
      <c r="AH18" s="311">
        <f>COUNTIF($C18:$AF18,AH$4)</f>
        <v/>
      </c>
      <c r="AI18" s="312">
        <f>COUNTIF($C18:$AF18,AI$4)</f>
        <v/>
      </c>
      <c r="AJ18" s="311">
        <f>COUNTIF($C18:$AF18,AJ$4)</f>
        <v/>
      </c>
      <c r="AK18" s="313">
        <f>COUNTIF($C18:$AF18,AK$4)</f>
        <v/>
      </c>
      <c r="AL18" s="313">
        <f>COUNTIF($C18:$AF18,AL$4)</f>
        <v/>
      </c>
      <c r="AM18" s="313">
        <f>COUNTIF($C18:$AF18,AM$4)</f>
        <v/>
      </c>
      <c r="AN18" s="313">
        <f>COUNTIF($C18:$AF18,AN$4)</f>
        <v/>
      </c>
      <c r="AO18" s="238" t="n"/>
      <c r="AP18" s="313">
        <f>SUMPRODUCT(--WEEKDAY(C$3:AG$3,2)&lt;6,--((C18:AG18="DM"))+(C18:AG18="CS1")+((C18:AG18="CS2"))+(C18:AG18="SB1")+(C18:AG18="AE")+(C18:AG18="EM"))</f>
        <v/>
      </c>
      <c r="AQ18" s="238" t="n"/>
      <c r="AR18" s="238">
        <f>SUMPRODUCT(--WEEKDAY(C$3:AG$3,2)&gt;5,--((C18:AG18="DM"))+(C18:AG18="CS1")+((C18:AG18="CS2"))+(C18:AG18="SB1")+(C18:AG18="AE")+(C18:AG18="EM"))</f>
        <v/>
      </c>
      <c r="AS18" s="238" t="n"/>
      <c r="AT18" s="238">
        <f>(AP18-AQ18)/2+(AR18-AS18)</f>
        <v/>
      </c>
      <c r="AU18" s="238">
        <f>AH18+AI18+AJ18+AK18+AM18+AN18</f>
        <v/>
      </c>
      <c r="AV18" s="238">
        <f>BF18+BG18+BI18+BD18+BB18+AZ18+BK18</f>
        <v/>
      </c>
      <c r="AW18" s="238">
        <f>AT18+AX18</f>
        <v/>
      </c>
      <c r="AX18" s="313">
        <f>(BI18*('Setting key Duty'!$I$8+'Setting key Duty'!$I$12))+(BG18*'Setting key Duty'!$I$9)+(BB18*('Setting key Duty'!$I$13+'Setting key Duty'!$I$9))+(AZ18*('Setting key Duty'!$I$13+'Setting key Duty'!$I$12+'Setting key Duty'!$I$11))+(BD18*('Setting key Duty'!$I$8+'Setting key Duty'!$I$9+'Setting key Duty'!$I$12))</f>
        <v/>
      </c>
      <c r="AY18" s="313">
        <f>COUNTIF(C18:AC18,"*BRT*")</f>
        <v/>
      </c>
      <c r="AZ18" s="313">
        <f>COUNTIF(A18:AH18,"*$BTP*")</f>
        <v/>
      </c>
      <c r="BA18" s="313">
        <f>AZ18*('Setting key Duty'!$I$13+'Setting key Duty'!$I$12+'Setting key Duty'!$I$11)</f>
        <v/>
      </c>
      <c r="BB18" s="313">
        <f>COUNTIF(I18:AH18,"*$L*")</f>
        <v/>
      </c>
      <c r="BC18" s="313">
        <f>BB18*('Setting key Duty'!$I$13+'Setting key Duty'!$I$9)</f>
        <v/>
      </c>
      <c r="BD18" s="313">
        <f>COUNTIF(I18:AH18,"*$M*")</f>
        <v/>
      </c>
      <c r="BE18" s="313">
        <f>BD18*('Setting key Duty'!$I$8+'Setting key Duty'!$I$9+'Setting key Duty'!$I$12)</f>
        <v/>
      </c>
      <c r="BF18" s="313">
        <f>COUNTIF(I18:AH18,"*$N*")</f>
        <v/>
      </c>
      <c r="BG18" s="313">
        <f>COUNTIF(I18:AH18,"*$PM*")</f>
        <v/>
      </c>
      <c r="BH18" s="313">
        <f>BG18*('Setting key Duty'!$I$9)</f>
        <v/>
      </c>
      <c r="BI18" s="313">
        <f>COUNTIF(I18:AH18,"*$AM*")</f>
        <v/>
      </c>
      <c r="BJ18" s="313">
        <f>BI18*('Setting key Duty'!$I$12+'Setting key Duty'!$I$8)</f>
        <v/>
      </c>
      <c r="BK18" s="313">
        <f>COUNTIF(C18:AH18,"*$FC*")</f>
        <v/>
      </c>
      <c r="BL18" s="313">
        <f>BK18*('Setting key Duty'!$J$11+'Setting key Duty'!$I$8)</f>
        <v/>
      </c>
      <c r="BM18" s="313">
        <f>COUNTIF($C18:$AF18,BM$4)</f>
        <v/>
      </c>
      <c r="BN18" s="313">
        <f>COUNTIF($C18:$AF18,BN$4)</f>
        <v/>
      </c>
      <c r="BO18" s="313">
        <f>COUNTIF($I18:$AE18,BO$4)</f>
        <v/>
      </c>
      <c r="BP18" s="314" t="n"/>
    </row>
    <row r="19" ht="26.25" customHeight="1">
      <c r="A19" s="309" t="n"/>
      <c r="B19" s="333" t="inlineStr">
        <is>
          <t>CPL MARK TAN YIH</t>
        </is>
      </c>
      <c r="C19" s="197" t="n"/>
      <c r="D19" s="197" t="n"/>
      <c r="E19" s="197" t="inlineStr">
        <is>
          <t>CS2</t>
        </is>
      </c>
      <c r="F19" s="197" t="n"/>
      <c r="G19" s="197" t="n"/>
      <c r="H19" s="106" t="n"/>
      <c r="I19" s="197" t="inlineStr">
        <is>
          <t>DM</t>
        </is>
      </c>
      <c r="J19" s="106" t="n"/>
      <c r="K19" s="198" t="n"/>
      <c r="L19" s="197" t="n"/>
      <c r="M19" s="197" t="inlineStr">
        <is>
          <t>DM</t>
        </is>
      </c>
      <c r="N19" s="197" t="n"/>
      <c r="O19" s="197" t="n"/>
      <c r="P19" s="106" t="n"/>
      <c r="Q19" s="197" t="n"/>
      <c r="R19" s="197" t="inlineStr">
        <is>
          <t>DM</t>
        </is>
      </c>
      <c r="S19" s="197" t="n"/>
      <c r="U19" s="197" t="n"/>
      <c r="V19" s="197" t="inlineStr">
        <is>
          <t>MM</t>
        </is>
      </c>
      <c r="W19" s="197" t="n"/>
      <c r="X19" s="197" t="n"/>
      <c r="Y19" s="197" t="n"/>
      <c r="Z19" s="197" t="n"/>
      <c r="AA19" s="197" t="n"/>
      <c r="AB19" s="197" t="n"/>
      <c r="AC19" s="197" t="inlineStr">
        <is>
          <t>SB1</t>
        </is>
      </c>
      <c r="AD19" s="197" t="n"/>
      <c r="AE19" s="197" t="n"/>
      <c r="AF19" s="197" t="n"/>
      <c r="AG19" s="197" t="n"/>
      <c r="AH19" s="311" t="n"/>
      <c r="AI19" s="312" t="n"/>
      <c r="AJ19" s="311" t="n"/>
      <c r="AK19" s="313" t="n"/>
      <c r="AL19" s="313" t="n"/>
      <c r="AM19" s="313" t="n"/>
      <c r="AN19" s="313" t="n"/>
      <c r="AO19" s="238" t="n"/>
      <c r="AP19" s="313">
        <f>SUMPRODUCT(--WEEKDAY(C$3:AG$3,2)&lt;6,--((C19:AG19="DM"))+(C19:AG19="CS1")+((C19:AG19="CS2"))+(C19:AG19="SB1")+(C19:AG19="AE")+(C19:AG19="EM"))</f>
        <v/>
      </c>
      <c r="AQ19" s="238" t="n"/>
      <c r="AR19" s="238">
        <f>SUMPRODUCT(--WEEKDAY(C$3:AG$3,2)&gt;5,--((C19:AG19="DM"))+(C19:AG19="CS1")+((C19:AG19="CS2"))+(C19:AG19="SB1")+(C19:AG19="AE")+(C19:AG19="EM"))</f>
        <v/>
      </c>
      <c r="AS19" s="238" t="n"/>
      <c r="AT19" s="238">
        <f>(AP19-AQ19)/2+(AR19-AS19)</f>
        <v/>
      </c>
      <c r="AU19" s="238">
        <f>AH19+AI19+AJ19+AK19+AM19+AN19</f>
        <v/>
      </c>
      <c r="AV19" s="238">
        <f>BF19+BG19+BI19+BD19+BB19+AZ19+BK19</f>
        <v/>
      </c>
      <c r="AW19" s="238">
        <f>AT19+AX19</f>
        <v/>
      </c>
      <c r="AX19" s="313">
        <f>(BI19*('Setting key Duty'!$I$8+'Setting key Duty'!$I$12))+(BG19*'Setting key Duty'!$I$9)+(BB19*('Setting key Duty'!$I$13+'Setting key Duty'!$I$9))+(AZ19*('Setting key Duty'!$I$13+'Setting key Duty'!$I$12+'Setting key Duty'!$I$11))+(BD19*('Setting key Duty'!$I$8+'Setting key Duty'!$I$9+'Setting key Duty'!$I$12))</f>
        <v/>
      </c>
      <c r="AY19" s="313">
        <f>COUNTIF(E19:AA19,"*BRT*")</f>
        <v/>
      </c>
      <c r="AZ19" s="313">
        <f>COUNTIF(A19:AH19,"*$BTP*")</f>
        <v/>
      </c>
      <c r="BA19" s="313">
        <f>AZ19*('Setting key Duty'!$I$13+'Setting key Duty'!$I$12+'Setting key Duty'!$I$11)</f>
        <v/>
      </c>
      <c r="BB19" s="313">
        <f>COUNTIF(A19:AH19,"*$L*")</f>
        <v/>
      </c>
      <c r="BC19" s="313">
        <f>BB19*('Setting key Duty'!$I$13+'Setting key Duty'!$I$9)</f>
        <v/>
      </c>
      <c r="BD19" s="313">
        <f>COUNTIF(A19:AH19,"*$M*")</f>
        <v/>
      </c>
      <c r="BE19" s="313">
        <f>BD19*('Setting key Duty'!$I$8+'Setting key Duty'!$I$9+'Setting key Duty'!$I$12)</f>
        <v/>
      </c>
      <c r="BF19" s="313">
        <f>COUNTIF(AG19:AH19,"*$N*")</f>
        <v/>
      </c>
      <c r="BG19" s="313">
        <f>COUNTIF(AG19:AH19,"*$PM*")</f>
        <v/>
      </c>
      <c r="BH19" s="313">
        <f>BG19*('Setting key Duty'!$I$9)</f>
        <v/>
      </c>
      <c r="BI19" s="313">
        <f>COUNTIF(A19:AH19,"*$AM*")</f>
        <v/>
      </c>
      <c r="BJ19" s="313">
        <f>BI19*('Setting key Duty'!$I$12+'Setting key Duty'!$I$8)</f>
        <v/>
      </c>
      <c r="BK19" s="313">
        <f>COUNTIF(E19:AH19,"*$FC*")</f>
        <v/>
      </c>
      <c r="BL19" s="313">
        <f>BK19*('Setting key Duty'!$J$11+'Setting key Duty'!$I$8)</f>
        <v/>
      </c>
      <c r="BM19" s="313">
        <f>COUNTIF($E19:$AA19,BM$4)</f>
        <v/>
      </c>
      <c r="BN19" s="313">
        <f>COUNTIF($E19:$AA19,BN$4)</f>
        <v/>
      </c>
      <c r="BO19" s="313">
        <f>COUNTIF($E19:$AA19,BO$4)</f>
        <v/>
      </c>
      <c r="BP19" s="314" t="n"/>
    </row>
    <row r="20" ht="19.5" customHeight="1">
      <c r="A20" s="309" t="n"/>
      <c r="B20" s="390" t="inlineStr">
        <is>
          <t>CFC MOK CHENGXUN</t>
        </is>
      </c>
      <c r="C20" s="197" t="n"/>
      <c r="D20" s="197" t="n"/>
      <c r="E20" s="197" t="n"/>
      <c r="G20" s="197" t="n"/>
      <c r="H20" s="197" t="n"/>
      <c r="I20" s="197" t="n"/>
      <c r="J20" s="197" t="inlineStr">
        <is>
          <t>DM</t>
        </is>
      </c>
      <c r="K20" s="197" t="n"/>
      <c r="L20" s="198" t="inlineStr">
        <is>
          <t>DM</t>
        </is>
      </c>
      <c r="M20" s="198" t="n"/>
      <c r="N20" s="197" t="n"/>
      <c r="O20" s="197" t="n"/>
      <c r="P20" s="197" t="n"/>
      <c r="Q20" s="106" t="n"/>
      <c r="R20" s="197" t="n"/>
      <c r="S20" s="197" t="inlineStr">
        <is>
          <t>DM</t>
        </is>
      </c>
      <c r="T20" s="197" t="n"/>
      <c r="U20" s="197" t="n"/>
      <c r="V20" s="197" t="inlineStr">
        <is>
          <t>DM</t>
        </is>
      </c>
      <c r="W20" s="197" t="n"/>
      <c r="X20" s="197" t="inlineStr">
        <is>
          <t>DM</t>
        </is>
      </c>
      <c r="Y20" s="197" t="n"/>
      <c r="Z20" s="197" t="n"/>
      <c r="AA20" s="197" t="n"/>
      <c r="AB20" s="197" t="inlineStr">
        <is>
          <t>DM</t>
        </is>
      </c>
      <c r="AC20" s="197" t="n"/>
      <c r="AD20" s="197" t="n"/>
      <c r="AE20" s="197" t="n"/>
      <c r="AF20" s="197" t="n"/>
      <c r="AG20" s="197" t="n"/>
      <c r="AH20" s="311" t="n"/>
      <c r="AI20" s="312" t="n"/>
      <c r="AJ20" s="311" t="n"/>
      <c r="AK20" s="313" t="n"/>
      <c r="AL20" s="313" t="n"/>
      <c r="AM20" s="313" t="n"/>
      <c r="AN20" s="313" t="n"/>
      <c r="AO20" s="238" t="n"/>
      <c r="AP20" s="313">
        <f>SUMPRODUCT(--WEEKDAY(C$3:AG$3,2)&lt;6,--((C20:AG20="DM"))+(C20:AG20="CS1")+((C20:AG20="CS2"))+(C20:AG20="SB1")+(C20:AG20="AE")+(C20:AG20="EM"))</f>
        <v/>
      </c>
      <c r="AQ20" s="238" t="n"/>
      <c r="AR20" s="238">
        <f>SUMPRODUCT(--WEEKDAY(C$3:AG$3,2)&gt;5,--((C20:AG20="DM"))+(C20:AG20="CS1")+((C20:AG20="CS2"))+(C20:AG20="SB1")+(C20:AG20="AE")+(C20:AG20="EM"))</f>
        <v/>
      </c>
      <c r="AS20" s="238" t="n"/>
      <c r="AT20" s="238">
        <f>(AP20-AQ20)/2+(AR20-AS20)</f>
        <v/>
      </c>
      <c r="AU20" s="238">
        <f>AH20+AI20+AJ20+AK20+AM20+AN20</f>
        <v/>
      </c>
      <c r="AV20" s="238">
        <f>BF20+BG20+BI20+BD20+BB20+AZ20+BK20</f>
        <v/>
      </c>
      <c r="AW20" s="238">
        <f>AT20+AX20</f>
        <v/>
      </c>
      <c r="AX20" s="313">
        <f>(BI20*('Setting key Duty'!$I$8+'Setting key Duty'!$I$12))+(BG20*'Setting key Duty'!$I$9)+(BB20*('Setting key Duty'!$I$13+'Setting key Duty'!$I$9))+(AZ20*('Setting key Duty'!$I$13+'Setting key Duty'!$I$12+'Setting key Duty'!$I$11))+(BD20*('Setting key Duty'!$I$8+'Setting key Duty'!$I$9+'Setting key Duty'!$I$12))</f>
        <v/>
      </c>
      <c r="AY20" s="313">
        <f>COUNTIF(C20:AC20,"*BRT*")</f>
        <v/>
      </c>
      <c r="AZ20" s="313">
        <f>COUNTIF(A20:AH20,"*$BTP*")</f>
        <v/>
      </c>
      <c r="BA20" s="313">
        <f>AZ20*('Setting key Duty'!$I$13+'Setting key Duty'!$I$12+'Setting key Duty'!$I$11)</f>
        <v/>
      </c>
      <c r="BB20" s="313">
        <f>COUNTIF(A20:AH20,"*$L*")</f>
        <v/>
      </c>
      <c r="BC20" s="313">
        <f>BB20*('Setting key Duty'!$I$13+'Setting key Duty'!$I$9)</f>
        <v/>
      </c>
      <c r="BD20" s="313">
        <f>COUNTIF(A20:AH20,"*$M*")</f>
        <v/>
      </c>
      <c r="BE20" s="313">
        <f>BD20*('Setting key Duty'!$I$8+'Setting key Duty'!$I$9+'Setting key Duty'!$I$12)</f>
        <v/>
      </c>
      <c r="BF20" s="313">
        <f>COUNTIF(AH20,"*$N*")</f>
        <v/>
      </c>
      <c r="BG20" s="313">
        <f>COUNTIF(AH20,"*$PM*")</f>
        <v/>
      </c>
      <c r="BH20" s="313">
        <f>BG20*('Setting key Duty'!$I$9)</f>
        <v/>
      </c>
      <c r="BI20" s="313">
        <f>COUNTIF(A20:AH20,"*$AM*")</f>
        <v/>
      </c>
      <c r="BJ20" s="313">
        <f>BI20*('Setting key Duty'!$I$12+'Setting key Duty'!$I$8)</f>
        <v/>
      </c>
      <c r="BK20" s="313">
        <f>COUNTIF(C20:AH20,"*$FC*")</f>
        <v/>
      </c>
      <c r="BL20" s="313">
        <f>BK20*('Setting key Duty'!$J$11+'Setting key Duty'!$I$8)</f>
        <v/>
      </c>
      <c r="BM20" s="313">
        <f>COUNTIF($C20:$AC20,BM$4)</f>
        <v/>
      </c>
      <c r="BN20" s="313">
        <f>COUNTIF($C20:$AC20,BN$4)</f>
        <v/>
      </c>
      <c r="BO20" s="313">
        <f>COUNTIF($C20:$AC20,BO$4)</f>
        <v/>
      </c>
      <c r="BP20" s="314" t="n"/>
    </row>
    <row r="21" ht="19.5" customHeight="1">
      <c r="A21" s="309" t="n"/>
      <c r="B21" s="373" t="inlineStr">
        <is>
          <t>CPL PANG JUN YUAN</t>
        </is>
      </c>
      <c r="C21" s="197" t="n"/>
      <c r="D21" s="197" t="n"/>
      <c r="E21" s="106" t="n"/>
      <c r="F21" s="197" t="inlineStr">
        <is>
          <t>CS1</t>
        </is>
      </c>
      <c r="G21" s="106" t="n"/>
      <c r="H21" s="197" t="inlineStr">
        <is>
          <t>SB1</t>
        </is>
      </c>
      <c r="I21" s="197" t="n"/>
      <c r="J21" s="197" t="n"/>
      <c r="K21" s="197" t="n"/>
      <c r="L21" s="197" t="n"/>
      <c r="M21" s="197" t="inlineStr">
        <is>
          <t>BIRTHDAY</t>
        </is>
      </c>
      <c r="N21" s="197" t="n"/>
      <c r="O21" s="197" t="n"/>
      <c r="P21" s="197" t="n"/>
      <c r="Q21" s="197" t="inlineStr">
        <is>
          <t>CS1</t>
        </is>
      </c>
      <c r="R21" s="197" t="n"/>
      <c r="S21" s="197" t="n"/>
      <c r="T21" s="197" t="n"/>
      <c r="U21" s="197" t="n"/>
      <c r="X21" s="197" t="inlineStr">
        <is>
          <t>CS1</t>
        </is>
      </c>
      <c r="Z21" s="197" t="n"/>
      <c r="AA21" s="197" t="n"/>
      <c r="AB21" s="197" t="n"/>
      <c r="AC21" s="197" t="inlineStr">
        <is>
          <t>CS2</t>
        </is>
      </c>
      <c r="AD21" s="197" t="n"/>
      <c r="AE21" s="197" t="n"/>
      <c r="AF21" s="197" t="n"/>
      <c r="AG21" s="197" t="n"/>
      <c r="AH21" s="311" t="n"/>
      <c r="AI21" s="312" t="n"/>
      <c r="AJ21" s="311" t="n"/>
      <c r="AK21" s="313" t="n"/>
      <c r="AL21" s="313" t="n"/>
      <c r="AM21" s="313" t="n"/>
      <c r="AN21" s="313" t="n"/>
      <c r="AO21" s="238" t="n"/>
      <c r="AP21" s="313">
        <f>SUMPRODUCT(--WEEKDAY(C$3:AG$3,2)&lt;6,--((C21:AG21="DM"))+(C21:AG21="CS1")+((C21:AG21="CS2"))+(C21:AG21="SB1")+(C21:AG21="AE")+(C21:AG21="EM"))</f>
        <v/>
      </c>
      <c r="AQ21" s="238" t="n"/>
      <c r="AR21" s="238">
        <f>SUMPRODUCT(--WEEKDAY(C$3:AG$3,2)&gt;5,--((C21:AG21="DM"))+(C21:AG21="CS1")+((C21:AG21="CS2"))+(C21:AG21="SB1")+(C21:AG21="AE")+(C21:AG21="EM"))</f>
        <v/>
      </c>
      <c r="AS21" s="238" t="n"/>
      <c r="AT21" s="238">
        <f>(AP21-AQ21)/2+(AR21-AS21)</f>
        <v/>
      </c>
      <c r="AU21" s="238">
        <f>AH21+AI21+AJ21+AK21+AM21+AN21</f>
        <v/>
      </c>
      <c r="AV21" s="238">
        <f>BF21+BG21+BI21+BD21+BB21+AZ21+BK21</f>
        <v/>
      </c>
      <c r="AW21" s="238">
        <f>AT21+AX21</f>
        <v/>
      </c>
      <c r="AX21" s="313">
        <f>(BI21*('Setting key Duty'!$I$8+'Setting key Duty'!$I$12))+(BG21*'Setting key Duty'!$I$9)+(BB21*('Setting key Duty'!$I$13+'Setting key Duty'!$I$9))+(AZ21*('Setting key Duty'!$I$13+'Setting key Duty'!$I$12+'Setting key Duty'!$I$11))+(BD21*('Setting key Duty'!$I$8+'Setting key Duty'!$I$9+'Setting key Duty'!$I$12))</f>
        <v/>
      </c>
      <c r="AY21" s="313">
        <f>COUNTIF(D21:AC21,"*BRT*")</f>
        <v/>
      </c>
      <c r="AZ21" s="313">
        <f>COUNTIF(A21:AH21,"*$BTP*")</f>
        <v/>
      </c>
      <c r="BA21" s="313">
        <f>AZ21*('Setting key Duty'!$I$13+'Setting key Duty'!$I$12+'Setting key Duty'!$I$11)</f>
        <v/>
      </c>
      <c r="BB21" s="313">
        <f>COUNTIF(A21:AH21,"*$L*")</f>
        <v/>
      </c>
      <c r="BC21" s="313">
        <f>BB21*('Setting key Duty'!$I$13+'Setting key Duty'!$I$9)</f>
        <v/>
      </c>
      <c r="BD21" s="313">
        <f>COUNTIF(A21:AH21,"*$M*")</f>
        <v/>
      </c>
      <c r="BE21" s="313">
        <f>BD21*('Setting key Duty'!$I$8+'Setting key Duty'!$I$9+'Setting key Duty'!$I$12)</f>
        <v/>
      </c>
      <c r="BF21" s="313">
        <f>COUNTIF(AF21:AH21,"*$N*")</f>
        <v/>
      </c>
      <c r="BG21" s="313">
        <f>COUNTIF(AF21:AH21,"*$PM*")</f>
        <v/>
      </c>
      <c r="BH21" s="313">
        <f>BG21*('Setting key Duty'!$I$9)</f>
        <v/>
      </c>
      <c r="BI21" s="313">
        <f>COUNTIF(A21:AH21,"*$AM*")</f>
        <v/>
      </c>
      <c r="BJ21" s="313">
        <f>BI21*('Setting key Duty'!$I$12+'Setting key Duty'!$I$8)</f>
        <v/>
      </c>
      <c r="BK21" s="313">
        <f>COUNTIF(D21:AH21,"*$FC*")</f>
        <v/>
      </c>
      <c r="BL21" s="313">
        <f>BK21*('Setting key Duty'!$J$11+'Setting key Duty'!$I$8)</f>
        <v/>
      </c>
      <c r="BM21" s="313">
        <f>COUNTIF($D21:$AE21,BM$4)</f>
        <v/>
      </c>
      <c r="BN21" s="313">
        <f>COUNTIF($D21:$AE21,BN$4)</f>
        <v/>
      </c>
      <c r="BO21" s="313">
        <f>COUNTIF($D21:$AE21,BO$4)</f>
        <v/>
      </c>
      <c r="BP21" s="314" t="n"/>
    </row>
    <row r="22" ht="19.5" customHeight="1">
      <c r="A22" s="309" t="n"/>
      <c r="B22" s="407" t="inlineStr">
        <is>
          <t>LCP SEE WEI ZHI</t>
        </is>
      </c>
      <c r="C22" s="197" t="inlineStr">
        <is>
          <t>DM</t>
        </is>
      </c>
      <c r="D22" s="197" t="n"/>
      <c r="E22" s="198" t="n"/>
      <c r="F22" s="197" t="n"/>
      <c r="G22" s="197" t="n"/>
      <c r="H22" s="106" t="n"/>
      <c r="I22" s="197" t="n"/>
      <c r="J22" s="197" t="inlineStr">
        <is>
          <t>CS2</t>
        </is>
      </c>
      <c r="K22" s="197" t="n"/>
      <c r="L22" s="317" t="inlineStr">
        <is>
          <t>CS2</t>
        </is>
      </c>
      <c r="M22" s="106" t="n"/>
      <c r="N22" s="197" t="n"/>
      <c r="O22" s="197" t="inlineStr">
        <is>
          <t>CS1</t>
        </is>
      </c>
      <c r="P22" s="197" t="n"/>
      <c r="Q22" s="197" t="n"/>
      <c r="R22" s="197" t="n"/>
      <c r="S22" s="197" t="n"/>
      <c r="T22" s="197" t="n"/>
      <c r="U22" s="197" t="n"/>
      <c r="V22" s="197" t="inlineStr">
        <is>
          <t>MM</t>
        </is>
      </c>
      <c r="W22" s="197" t="inlineStr">
        <is>
          <t>CS2</t>
        </is>
      </c>
      <c r="X22" s="197" t="n"/>
      <c r="Y22" s="197" t="inlineStr">
        <is>
          <t>DM</t>
        </is>
      </c>
      <c r="Z22" s="197" t="n"/>
      <c r="AA22" s="106" t="n"/>
      <c r="AB22" s="197" t="inlineStr">
        <is>
          <t>CS1</t>
        </is>
      </c>
      <c r="AC22" s="197" t="n"/>
      <c r="AD22" s="197" t="n"/>
      <c r="AE22" s="197" t="n"/>
      <c r="AF22" s="197" t="n"/>
      <c r="AG22" s="197" t="inlineStr">
        <is>
          <t>MA</t>
        </is>
      </c>
      <c r="AH22" s="311" t="n"/>
      <c r="AI22" s="312" t="n"/>
      <c r="AJ22" s="311" t="n"/>
      <c r="AK22" s="313" t="n"/>
      <c r="AL22" s="313" t="n"/>
      <c r="AM22" s="313" t="n"/>
      <c r="AN22" s="313" t="n"/>
      <c r="AO22" s="238" t="n"/>
      <c r="AP22" s="313">
        <f>SUMPRODUCT(--WEEKDAY(C$3:AG$3,2)&lt;6,--((C22:AG22="DM"))+(C22:AG22="CS1")+((C22:AG22="CS2"))+(C22:AG22="SB1")+(C22:AG22="AE")+(C22:AG22="EM"))</f>
        <v/>
      </c>
      <c r="AQ22" s="238" t="n"/>
      <c r="AR22" s="238">
        <f>SUMPRODUCT(--WEEKDAY(C$3:AG$3,2)&gt;5,--((C22:AG22="DM"))+(C22:AG22="CS1")+((C22:AG22="CS2"))+(C22:AG22="SB1")+(C22:AG22="AE")+(C22:AG22="EM"))</f>
        <v/>
      </c>
      <c r="AS22" s="238" t="n"/>
      <c r="AT22" s="238">
        <f>(AP22-AQ22)/2+(AR22-AS22)</f>
        <v/>
      </c>
      <c r="AU22" s="238">
        <f>AH22+AI22+AJ22+AK22+AM22+AN22</f>
        <v/>
      </c>
      <c r="AV22" s="238">
        <f>BF22+BG22+BI22+BD22+BB22+AZ22+BK22</f>
        <v/>
      </c>
      <c r="AW22" s="238">
        <f>AT22+AX22</f>
        <v/>
      </c>
      <c r="AX22" s="313">
        <f>(BI22*('Setting key Duty'!$I$8+'Setting key Duty'!$I$12))+(BG22*'Setting key Duty'!$I$9)+(BB22*('Setting key Duty'!$I$13+'Setting key Duty'!$I$9))+(AZ22*('Setting key Duty'!$I$13+'Setting key Duty'!$I$12+'Setting key Duty'!$I$11))+(BD22*('Setting key Duty'!$I$8+'Setting key Duty'!$I$9+'Setting key Duty'!$I$12))</f>
        <v/>
      </c>
      <c r="AY22" s="313">
        <f>COUNTIF(D22:AB22,"*BRT*")</f>
        <v/>
      </c>
      <c r="AZ22" s="313">
        <f>COUNTIF(A22:AH22,"*$BTP*")</f>
        <v/>
      </c>
      <c r="BA22" s="313">
        <f>AZ22*('Setting key Duty'!$I$13+'Setting key Duty'!$I$12+'Setting key Duty'!$I$11)</f>
        <v/>
      </c>
      <c r="BB22" s="313">
        <f>COUNTIF(A22:AH22,"*$L*")</f>
        <v/>
      </c>
      <c r="BC22" s="313">
        <f>BB22*('Setting key Duty'!$I$13+'Setting key Duty'!$I$9)</f>
        <v/>
      </c>
      <c r="BD22" s="313">
        <f>COUNTIF(A22:AH22,"*$M*")</f>
        <v/>
      </c>
      <c r="BE22" s="313">
        <f>BD22*('Setting key Duty'!$I$8+'Setting key Duty'!$I$9+'Setting key Duty'!$I$12)</f>
        <v/>
      </c>
      <c r="BF22" s="313">
        <f>COUNTIF(AF22:AH22,"*$N*")</f>
        <v/>
      </c>
      <c r="BG22" s="313">
        <f>COUNTIF(AF22:AH22,"*$PM*")</f>
        <v/>
      </c>
      <c r="BH22" s="313">
        <f>BG22*('Setting key Duty'!$I$9)</f>
        <v/>
      </c>
      <c r="BI22" s="313">
        <f>COUNTIF(A22:AH22,"*$AM*")</f>
        <v/>
      </c>
      <c r="BJ22" s="313">
        <f>BI22*('Setting key Duty'!$I$12+'Setting key Duty'!$I$8)</f>
        <v/>
      </c>
      <c r="BK22" s="313">
        <f>COUNTIF(D22:AH22,"*$FC*")</f>
        <v/>
      </c>
      <c r="BL22" s="313">
        <f>BK22*('Setting key Duty'!$J$11+'Setting key Duty'!$I$8)</f>
        <v/>
      </c>
      <c r="BM22" s="313">
        <f>COUNTIF($D22:$AE22,BM$4)</f>
        <v/>
      </c>
      <c r="BN22" s="313">
        <f>COUNTIF($D22:$AE22,BN$4)</f>
        <v/>
      </c>
      <c r="BO22" s="313">
        <f>COUNTIF($D22:$AE22,BO$4)</f>
        <v/>
      </c>
      <c r="BP22" s="314" t="n"/>
    </row>
    <row r="23" ht="19.5" customHeight="1">
      <c r="A23" s="309" t="n"/>
      <c r="B23" s="373" t="inlineStr">
        <is>
          <t>PTE MARK WU</t>
        </is>
      </c>
      <c r="C23" s="317" t="n"/>
      <c r="D23" s="317" t="inlineStr">
        <is>
          <t>AE</t>
        </is>
      </c>
      <c r="E23" s="106" t="n"/>
      <c r="F23" s="197" t="inlineStr">
        <is>
          <t>SB1</t>
        </is>
      </c>
      <c r="G23" s="324" t="n"/>
      <c r="H23" s="317" t="n"/>
      <c r="I23" s="197" t="inlineStr">
        <is>
          <t>N $BTP (0515-2359)</t>
        </is>
      </c>
      <c r="J23" s="106" t="n"/>
      <c r="K23" s="106" t="n"/>
      <c r="L23" s="197" t="n"/>
      <c r="M23" s="197" t="n"/>
      <c r="O23" s="106" t="n"/>
      <c r="P23" s="197" t="inlineStr">
        <is>
          <t>SB1</t>
        </is>
      </c>
      <c r="Q23" s="197" t="n"/>
      <c r="R23" s="197" t="inlineStr">
        <is>
          <t>L $AM IPPT (0500-1100)</t>
        </is>
      </c>
      <c r="T23" s="317" t="inlineStr">
        <is>
          <t>AE</t>
        </is>
      </c>
      <c r="U23" s="106" t="n"/>
      <c r="V23" s="197" t="n"/>
      <c r="Y23" s="198" t="inlineStr">
        <is>
          <t>E $FC</t>
        </is>
      </c>
      <c r="Z23" s="198" t="inlineStr">
        <is>
          <t>E $FC</t>
        </is>
      </c>
      <c r="AA23" s="198" t="inlineStr">
        <is>
          <t>E $FC</t>
        </is>
      </c>
      <c r="AB23" s="198" t="inlineStr">
        <is>
          <t>E $FC</t>
        </is>
      </c>
      <c r="AC23" s="198" t="inlineStr">
        <is>
          <t>E $FC</t>
        </is>
      </c>
      <c r="AD23" s="197" t="inlineStr">
        <is>
          <t>OFF</t>
        </is>
      </c>
      <c r="AE23" s="197" t="n"/>
      <c r="AF23" s="197" t="n"/>
      <c r="AG23" s="197" t="inlineStr">
        <is>
          <t>OFF</t>
        </is>
      </c>
      <c r="AH23" s="311" t="n"/>
      <c r="AI23" s="312" t="n"/>
      <c r="AJ23" s="311" t="n"/>
      <c r="AK23" s="313" t="n"/>
      <c r="AL23" s="313" t="n"/>
      <c r="AM23" s="313" t="n"/>
      <c r="AN23" s="313" t="n"/>
      <c r="AO23" s="238" t="n"/>
      <c r="AP23" s="313">
        <f>SUMPRODUCT(--WEEKDAY(C$3:AG$3,2)&lt;6,--((C23:AG23="DM"))+(C23:AG23="CS1")+((C23:AG23="CS2"))+(C23:AG23="SB1")+(C23:AG23="AE")+(C23:AG23="EM"))</f>
        <v/>
      </c>
      <c r="AQ23" s="238" t="n"/>
      <c r="AR23" s="238">
        <f>SUMPRODUCT(--WEEKDAY(C$3:AG$3,2)&gt;5,--((C23:AG23="DM"))+(C23:AG23="CS1")+((C23:AG23="CS2"))+(C23:AG23="SB1")+(C23:AG23="AE")+(C23:AG23="EM"))</f>
        <v/>
      </c>
      <c r="AS23" s="238" t="n"/>
      <c r="AT23" s="238">
        <f>(AP23-AQ23)/2+(AR23-AS23)</f>
        <v/>
      </c>
      <c r="AU23" s="238">
        <f>AH23+AI23+AJ23+AK23+AM23+AN23</f>
        <v/>
      </c>
      <c r="AV23" s="238">
        <f>BF23+BG23+BI23+BD23+BB23+AZ23+BK23</f>
        <v/>
      </c>
      <c r="AW23" s="238">
        <f>AT23+$AX$10</f>
        <v/>
      </c>
      <c r="AX23" s="313">
        <f>(BI23*('Setting key Duty'!$I$8+'Setting key Duty'!$I$12))+(BG23*'Setting key Duty'!$I$9)+(BB23*('Setting key Duty'!$I$13+'Setting key Duty'!$I$9))+(AZ23*('Setting key Duty'!$I$13+'Setting key Duty'!$I$12+'Setting key Duty'!$I$11))+(BD23*('Setting key Duty'!$I$8+'Setting key Duty'!$I$9+'Setting key Duty'!$I$12))</f>
        <v/>
      </c>
      <c r="AY23" s="313" t="n"/>
      <c r="AZ23" s="313" t="n"/>
      <c r="BA23" s="313" t="n"/>
      <c r="BB23" s="313" t="n"/>
      <c r="BC23" s="313" t="n"/>
      <c r="BD23" s="313" t="n"/>
      <c r="BE23" s="313" t="n"/>
      <c r="BF23" s="313" t="n"/>
      <c r="BG23" s="313" t="n"/>
      <c r="BH23" s="313" t="n"/>
      <c r="BI23" s="313" t="n"/>
      <c r="BJ23" s="313" t="n"/>
      <c r="BK23" s="313" t="n"/>
      <c r="BL23" s="313" t="n"/>
      <c r="BM23" s="313" t="n"/>
      <c r="BN23" s="313" t="n"/>
      <c r="BO23" s="313" t="n"/>
      <c r="BP23" s="314" t="n"/>
    </row>
    <row r="24" ht="19.5" customHeight="1">
      <c r="A24" s="309" t="n"/>
      <c r="B24" s="333" t="inlineStr">
        <is>
          <t>LCP ESWARAN SENTHILKUMAR</t>
        </is>
      </c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  <c r="T24" s="197" t="n"/>
      <c r="U24" s="197" t="n"/>
      <c r="V24" s="197" t="n"/>
      <c r="W24" s="197" t="n"/>
      <c r="X24" s="197" t="n"/>
      <c r="Y24" s="197" t="n"/>
      <c r="Z24" s="197" t="n"/>
      <c r="AA24" s="197" t="n"/>
      <c r="AB24" s="197" t="n"/>
      <c r="AC24" s="197" t="n"/>
      <c r="AD24" s="197" t="n"/>
      <c r="AE24" s="197" t="n"/>
      <c r="AF24" s="197" t="n"/>
      <c r="AG24" s="197" t="n"/>
      <c r="AH24" s="311" t="n"/>
      <c r="AI24" s="312" t="n"/>
      <c r="AJ24" s="311" t="n"/>
      <c r="AK24" s="313" t="n"/>
      <c r="AL24" s="313" t="n"/>
      <c r="AM24" s="313" t="n"/>
      <c r="AN24" s="313" t="n"/>
      <c r="AO24" s="238" t="n"/>
      <c r="AP24" s="313">
        <f>SUMPRODUCT(--WEEKDAY(C$3:AG$3,2)&lt;6,--((C24:AG24="DM"))+(C24:AG24="CS1")+((C24:AG24="CS2"))+(C24:AG24="SB1")+(C24:AG24="AE")+(C24:AG24="EM"))</f>
        <v/>
      </c>
      <c r="AQ24" s="238" t="n"/>
      <c r="AR24" s="238">
        <f>SUMPRODUCT(--WEEKDAY(C$3:AG$3,2)&gt;5,--((C24:AG24="DM"))+(C24:AG24="CS1")+((C24:AG24="CS2"))+(C24:AG24="SB1")+(C24:AG24="AE")+(C24:AG24="EM"))</f>
        <v/>
      </c>
      <c r="AS24" s="238" t="n"/>
      <c r="AT24" s="238">
        <f>(AP24-AQ24)/2+(AR24-AS24)</f>
        <v/>
      </c>
      <c r="AU24" s="238">
        <f>AH24+AI24+AJ24+AK24+AM24+AN24</f>
        <v/>
      </c>
      <c r="AV24" s="238">
        <f>BF24+BG24+BI24+BD24+BB24+AZ24+BK24</f>
        <v/>
      </c>
      <c r="AW24" s="238">
        <f>AT24+AX24</f>
        <v/>
      </c>
      <c r="AX24" s="313">
        <f>(BI24*('Setting key Duty'!$I$8+'Setting key Duty'!$I$12))+(BG24*'Setting key Duty'!$I$9)+(BB24*('Setting key Duty'!$I$13+'Setting key Duty'!$I$9))+(AZ24*('Setting key Duty'!$I$13+'Setting key Duty'!$I$12+'Setting key Duty'!$I$11))+(BD24*('Setting key Duty'!$I$8+'Setting key Duty'!$I$9+'Setting key Duty'!$I$12))</f>
        <v/>
      </c>
      <c r="AY24" s="313">
        <f>COUNTIF(D24:AC24,"*BRT*")</f>
        <v/>
      </c>
      <c r="AZ24" s="313">
        <f>COUNTIF(A24:AH24,"*$BTP*")</f>
        <v/>
      </c>
      <c r="BA24" s="313">
        <f>AZ24*('Setting key Duty'!$I$13+'Setting key Duty'!$I$12+'Setting key Duty'!$I$11)</f>
        <v/>
      </c>
      <c r="BB24" s="313">
        <f>COUNTIF(A24:AH24,"*$L*")</f>
        <v/>
      </c>
      <c r="BC24" s="313">
        <f>BB24*('Setting key Duty'!$I$13+'Setting key Duty'!$I$9)</f>
        <v/>
      </c>
      <c r="BD24" s="313">
        <f>COUNTIF(A24:AH24,"*$M*")</f>
        <v/>
      </c>
      <c r="BE24" s="313">
        <f>BD24*('Setting key Duty'!$I$8+'Setting key Duty'!$I$9+'Setting key Duty'!$I$12)</f>
        <v/>
      </c>
      <c r="BF24" s="313">
        <f>COUNTIF(AH24,"*$N*")</f>
        <v/>
      </c>
      <c r="BG24" s="313">
        <f>COUNTIF(AH24,"*$PM*")</f>
        <v/>
      </c>
      <c r="BH24" s="313">
        <f>BG24*('Setting key Duty'!$I$9)</f>
        <v/>
      </c>
      <c r="BI24" s="313">
        <f>COUNTIF(A24:AH24,"*$AM*")</f>
        <v/>
      </c>
      <c r="BJ24" s="313">
        <f>BI24*('Setting key Duty'!$I$12+'Setting key Duty'!$I$8)</f>
        <v/>
      </c>
      <c r="BK24" s="313">
        <f>COUNTIF(D24:AH24,"*$FC*")</f>
        <v/>
      </c>
      <c r="BL24" s="313">
        <f>BK24*('Setting key Duty'!$J$11+'Setting key Duty'!$I$8)</f>
        <v/>
      </c>
      <c r="BM24" s="313">
        <f>COUNTIF($D24:$AC24,BM$4)</f>
        <v/>
      </c>
      <c r="BN24" s="313">
        <f>COUNTIF($D24:$AC24,BN$4)</f>
        <v/>
      </c>
      <c r="BO24" s="313">
        <f>COUNTIF($D24:$AC24,BO$4)</f>
        <v/>
      </c>
      <c r="BP24" s="314" t="n"/>
    </row>
    <row r="25" ht="19.5" customHeight="1">
      <c r="A25" s="309" t="n"/>
      <c r="B25" s="392" t="inlineStr">
        <is>
          <t>CFC TAN WAI KEAT</t>
        </is>
      </c>
      <c r="C25" s="197" t="n"/>
      <c r="D25" s="198" t="n"/>
      <c r="E25" s="197" t="n"/>
      <c r="F25" s="197" t="inlineStr">
        <is>
          <t>DM</t>
        </is>
      </c>
      <c r="G25" s="197" t="n"/>
      <c r="H25" s="324" t="n"/>
      <c r="I25" s="198" t="n"/>
      <c r="J25" s="317" t="inlineStr">
        <is>
          <t>SB1</t>
        </is>
      </c>
      <c r="K25" s="197" t="n"/>
      <c r="L25" s="197" t="n"/>
      <c r="M25" s="197" t="n"/>
      <c r="N25" s="197" t="n"/>
      <c r="O25" s="197" t="n"/>
      <c r="P25" s="197" t="inlineStr">
        <is>
          <t>CS2</t>
        </is>
      </c>
      <c r="Q25" s="197" t="n"/>
      <c r="R25" s="197" t="n"/>
      <c r="S25" s="197" t="inlineStr">
        <is>
          <t>CS2</t>
        </is>
      </c>
      <c r="T25" s="197" t="n"/>
      <c r="U25" s="197" t="n"/>
      <c r="V25" s="197" t="inlineStr">
        <is>
          <t>CS1</t>
        </is>
      </c>
      <c r="X25" s="136" t="inlineStr">
        <is>
          <t>STAY IN</t>
        </is>
      </c>
      <c r="Y25" s="197" t="inlineStr">
        <is>
          <t>CS1</t>
        </is>
      </c>
      <c r="AA25" s="197" t="n"/>
      <c r="AB25" s="197" t="n"/>
      <c r="AC25" s="197" t="n"/>
      <c r="AD25" s="197" t="n"/>
      <c r="AE25" s="197" t="n"/>
      <c r="AF25" s="197" t="n"/>
      <c r="AG25" s="197" t="n"/>
      <c r="AH25" s="311" t="n"/>
      <c r="AI25" s="312" t="n"/>
      <c r="AJ25" s="311" t="n"/>
      <c r="AK25" s="313" t="n"/>
      <c r="AL25" s="313" t="n"/>
      <c r="AM25" s="313" t="n"/>
      <c r="AN25" s="313" t="n"/>
      <c r="AO25" s="238" t="n"/>
      <c r="AP25" s="313">
        <f>SUMPRODUCT(--WEEKDAY(C$3:AG$3,2)&lt;6,--((C25:AG25="DM"))+(C25:AG25="CS1")+((C25:AG25="CS2"))+(C25:AG25="SB1")+(C25:AG25="AE")+(C25:AG25="EM"))</f>
        <v/>
      </c>
      <c r="AQ25" s="238" t="n"/>
      <c r="AR25" s="238">
        <f>SUMPRODUCT(--WEEKDAY(C$3:AG$3,2)&gt;5,--((C25:AG25="DM"))+(C25:AG25="CS1")+((C25:AG25="CS2"))+(C25:AG25="SB1")+(C25:AG25="AE")+(C25:AG25="EM"))</f>
        <v/>
      </c>
      <c r="AS25" s="238" t="n"/>
      <c r="AT25" s="238">
        <f>(AP25-AQ25)/2+(AR25-AS25)</f>
        <v/>
      </c>
      <c r="AU25" s="238">
        <f>AH25+AI25+AJ25+AK25+AM25+AN25</f>
        <v/>
      </c>
      <c r="AV25" s="238">
        <f>BF25+BG25+BI25+BD25+BB25+AZ25+BK25</f>
        <v/>
      </c>
      <c r="AW25" s="238">
        <f>AT25+AX25</f>
        <v/>
      </c>
      <c r="AX25" s="313">
        <f>(BI25*('Setting key Duty'!$I$8+'Setting key Duty'!$I$12))+(BG25*'Setting key Duty'!$I$9)+(BB25*('Setting key Duty'!$I$13+'Setting key Duty'!$I$9))+(AZ25*('Setting key Duty'!$I$13+'Setting key Duty'!$I$12+'Setting key Duty'!$I$11))+(BD25*('Setting key Duty'!$I$8+'Setting key Duty'!$I$9+'Setting key Duty'!$I$12))</f>
        <v/>
      </c>
      <c r="AY25" s="313">
        <f>COUNTIF(D25:AC25,"*BRT*")</f>
        <v/>
      </c>
      <c r="AZ25" s="313">
        <f>COUNTIF(A25:AH25,"*$BTP*")</f>
        <v/>
      </c>
      <c r="BA25" s="313">
        <f>AZ25*('Setting key Duty'!$I$13+'Setting key Duty'!$I$12+'Setting key Duty'!$I$11)</f>
        <v/>
      </c>
      <c r="BB25" s="313">
        <f>COUNTIF(A25:AH25,"*$L*")</f>
        <v/>
      </c>
      <c r="BC25" s="313">
        <f>BB25*('Setting key Duty'!$I$13+'Setting key Duty'!$I$9)</f>
        <v/>
      </c>
      <c r="BD25" s="313">
        <f>COUNTIF(A25:AH25,"*$M*")</f>
        <v/>
      </c>
      <c r="BE25" s="313">
        <f>BD25*('Setting key Duty'!$I$8+'Setting key Duty'!$I$9+'Setting key Duty'!$I$12)</f>
        <v/>
      </c>
      <c r="BF25" s="313">
        <f>COUNTIF(AE25:AH25,"*$N*")</f>
        <v/>
      </c>
      <c r="BG25" s="313">
        <f>COUNTIF(AE25:AH25,"*$PM*")</f>
        <v/>
      </c>
      <c r="BH25" s="313">
        <f>BG25*('Setting key Duty'!$I$9)</f>
        <v/>
      </c>
      <c r="BI25" s="313">
        <f>COUNTIF(A25:AH25,"*$AM*")</f>
        <v/>
      </c>
      <c r="BJ25" s="313">
        <f>BI25*('Setting key Duty'!$I$12+'Setting key Duty'!$I$8)</f>
        <v/>
      </c>
      <c r="BK25" s="313">
        <f>COUNTIF(D25:AH25,"*$FC*")</f>
        <v/>
      </c>
      <c r="BL25" s="313">
        <f>BK25*('Setting key Duty'!$J$11+'Setting key Duty'!$I$8)</f>
        <v/>
      </c>
      <c r="BM25" s="313">
        <f>COUNTIF($D25:$AE25,BM$4)</f>
        <v/>
      </c>
      <c r="BN25" s="313">
        <f>COUNTIF($D25:$AE25,BN$4)</f>
        <v/>
      </c>
      <c r="BO25" s="313">
        <f>COUNTIF($D25:$AE25,BO$4)</f>
        <v/>
      </c>
      <c r="BP25" s="314" t="n"/>
    </row>
    <row r="26" ht="19.5" customHeight="1">
      <c r="A26" s="309" t="n"/>
      <c r="B26" s="335" t="inlineStr">
        <is>
          <t>CPL WAN FARID BIN ABDULLAH</t>
        </is>
      </c>
      <c r="C26" s="197" t="n"/>
      <c r="D26" s="197" t="n"/>
      <c r="E26" s="197" t="n"/>
      <c r="F26" s="197" t="inlineStr">
        <is>
          <t>CS2</t>
        </is>
      </c>
      <c r="G26" s="198" t="n"/>
      <c r="H26" s="324" t="n"/>
      <c r="I26" s="324" t="n"/>
      <c r="K26" s="197" t="inlineStr">
        <is>
          <t>DM</t>
        </is>
      </c>
      <c r="L26" s="197" t="n"/>
      <c r="M26" s="197" t="inlineStr">
        <is>
          <t>CS1</t>
        </is>
      </c>
      <c r="N26" s="106" t="n"/>
      <c r="O26" s="197" t="n"/>
      <c r="P26" s="197" t="n"/>
      <c r="Q26" s="197" t="n"/>
      <c r="R26" s="197" t="inlineStr">
        <is>
          <t>N $PM CC (1530-20000</t>
        </is>
      </c>
      <c r="S26" s="197" t="inlineStr">
        <is>
          <t>R $AM CC (0600-1000)</t>
        </is>
      </c>
      <c r="U26" s="197" t="n"/>
      <c r="V26" s="197" t="n"/>
      <c r="W26" s="106" t="n"/>
      <c r="X26" s="197" t="inlineStr">
        <is>
          <t>AMPT</t>
        </is>
      </c>
      <c r="Z26" s="197" t="inlineStr">
        <is>
          <t>L $AM CC (0600-1100)</t>
        </is>
      </c>
      <c r="AB26" s="198" t="n"/>
      <c r="AG26" s="197" t="n"/>
      <c r="AH26" s="311" t="n"/>
      <c r="AI26" s="312" t="n"/>
      <c r="AJ26" s="311" t="n"/>
      <c r="AK26" s="313" t="n"/>
      <c r="AL26" s="313" t="n"/>
      <c r="AM26" s="313" t="n"/>
      <c r="AN26" s="313" t="n"/>
      <c r="AO26" s="238" t="n"/>
      <c r="AP26" s="313">
        <f>SUMPRODUCT(--WEEKDAY(C$3:AG$3,2)&lt;6,--((C26:AG26="DM"))+(C26:AG26="CS1")+((C26:AG26="CS2"))+(C26:AG26="SB1")+(C26:AG26="AE")+(C26:AG26="EM"))</f>
        <v/>
      </c>
      <c r="AQ26" s="238" t="n"/>
      <c r="AR26" s="238">
        <f>SUMPRODUCT(--WEEKDAY(C$3:AG$3,2)&gt;5,--((C26:AG26="DM"))+(C26:AG26="CS1")+((C26:AG26="CS2"))+(C26:AG26="SB1")+(C26:AG26="AE")+(C26:AG26="EM"))</f>
        <v/>
      </c>
      <c r="AS26" s="238" t="n"/>
      <c r="AT26" s="238">
        <f>(AP26-AQ26)/2+(AR26-AS26)</f>
        <v/>
      </c>
      <c r="AU26" s="238">
        <f>AH26+AI26+AJ26+AK26+AM26+AN26</f>
        <v/>
      </c>
      <c r="AV26" s="238">
        <f>BF26+BG26+BI26+BD26+BB26+AZ26+BK26</f>
        <v/>
      </c>
      <c r="AW26" s="238">
        <f>AT26+AX26</f>
        <v/>
      </c>
      <c r="AX26" s="313">
        <f>(BI26*('Setting key Duty'!$I$8+'Setting key Duty'!$I$12))+(BG26*'Setting key Duty'!$I$9)+(BB26*('Setting key Duty'!$I$13+'Setting key Duty'!$I$9))+(AZ26*('Setting key Duty'!$I$13+'Setting key Duty'!$I$12+'Setting key Duty'!$I$11))+(BD26*('Setting key Duty'!$I$8+'Setting key Duty'!$I$9+'Setting key Duty'!$I$12))</f>
        <v/>
      </c>
      <c r="AY26" s="313">
        <f>COUNTIF(D26:AA26,"*BRT*")</f>
        <v/>
      </c>
      <c r="AZ26" s="313">
        <f>COUNTIF(A26:AH26,"*$BTP*")</f>
        <v/>
      </c>
      <c r="BA26" s="313">
        <f>AZ26*('Setting key Duty'!$I$13+'Setting key Duty'!$I$12+'Setting key Duty'!$I$11)</f>
        <v/>
      </c>
      <c r="BB26" s="313">
        <f>COUNTIF(A26:AH26,"*$L*")</f>
        <v/>
      </c>
      <c r="BC26" s="313">
        <f>BB26*('Setting key Duty'!$I$13+'Setting key Duty'!$I$9)</f>
        <v/>
      </c>
      <c r="BD26" s="313">
        <f>COUNTIF(A26:AH26,"*$M*")</f>
        <v/>
      </c>
      <c r="BE26" s="313">
        <f>BD26*('Setting key Duty'!$I$8+'Setting key Duty'!$I$9+'Setting key Duty'!$I$12)</f>
        <v/>
      </c>
      <c r="BF26" s="313">
        <f>COUNTIF(AH26,"*$N*")</f>
        <v/>
      </c>
      <c r="BG26" s="313">
        <f>COUNTIF(AH26,"*$PM*")</f>
        <v/>
      </c>
      <c r="BH26" s="313">
        <f>BG26*('Setting key Duty'!$I$9)</f>
        <v/>
      </c>
      <c r="BI26" s="313">
        <f>COUNTIF(A26:AH26,"*$AM*")</f>
        <v/>
      </c>
      <c r="BJ26" s="313">
        <f>BI26*('Setting key Duty'!$I$12+'Setting key Duty'!$I$8)</f>
        <v/>
      </c>
      <c r="BK26" s="313">
        <f>COUNTIF(D26:AH26,"*$FC*")</f>
        <v/>
      </c>
      <c r="BL26" s="313">
        <f>BK26*('Setting key Duty'!$J$11+'Setting key Duty'!$I$8)</f>
        <v/>
      </c>
      <c r="BM26" s="313">
        <f>COUNTIF($D26:$AA26,BM$4)</f>
        <v/>
      </c>
      <c r="BN26" s="313">
        <f>COUNTIF($D26:$AA26,BN$4)</f>
        <v/>
      </c>
      <c r="BO26" s="313">
        <f>COUNTIF($D26:$AA26,BO$4)</f>
        <v/>
      </c>
      <c r="BP26" s="314" t="n"/>
    </row>
    <row r="27" ht="19.5" customHeight="1">
      <c r="A27" s="309" t="n"/>
      <c r="B27" s="373" t="inlineStr">
        <is>
          <t>PTE JASON TAN JIAN CHEN</t>
        </is>
      </c>
      <c r="C27" s="317" t="inlineStr">
        <is>
          <t>AE</t>
        </is>
      </c>
      <c r="D27" s="324" t="n"/>
      <c r="E27" s="197" t="inlineStr">
        <is>
          <t>N $AM IPPT (0500-1100)</t>
        </is>
      </c>
      <c r="F27" s="324" t="n"/>
      <c r="G27" s="324" t="n"/>
      <c r="H27" s="197" t="n"/>
      <c r="I27" s="197" t="n"/>
      <c r="J27" s="197" t="inlineStr">
        <is>
          <t>A $BTP (0530-2359)</t>
        </is>
      </c>
      <c r="L27" s="197" t="inlineStr">
        <is>
          <t>E $AM IPPT (0500-1100)</t>
        </is>
      </c>
      <c r="M27" s="317" t="n"/>
      <c r="N27" s="317" t="n"/>
      <c r="O27" s="317" t="n"/>
      <c r="P27" s="197" t="inlineStr">
        <is>
          <t>B $BTP (0630-2359)</t>
        </is>
      </c>
      <c r="Q27" s="317" t="n"/>
      <c r="S27" s="197" t="inlineStr">
        <is>
          <t>L $AM CC (0600-1100)</t>
        </is>
      </c>
      <c r="T27" s="197" t="n"/>
      <c r="U27" s="197" t="n"/>
      <c r="V27" s="197" t="inlineStr">
        <is>
          <t>MM</t>
        </is>
      </c>
      <c r="W27" s="197" t="inlineStr">
        <is>
          <t>N $FC</t>
        </is>
      </c>
      <c r="X27" s="197" t="inlineStr">
        <is>
          <t>N $FC</t>
        </is>
      </c>
      <c r="Y27" s="197" t="inlineStr">
        <is>
          <t>N $FC</t>
        </is>
      </c>
      <c r="Z27" s="197" t="inlineStr">
        <is>
          <t>N $FC</t>
        </is>
      </c>
      <c r="AA27" s="197" t="inlineStr">
        <is>
          <t>N $FC</t>
        </is>
      </c>
      <c r="AB27" s="197" t="n"/>
      <c r="AC27" s="197" t="inlineStr">
        <is>
          <t>OL</t>
        </is>
      </c>
      <c r="AD27" s="197" t="inlineStr">
        <is>
          <t>OL</t>
        </is>
      </c>
      <c r="AE27" s="197" t="n"/>
      <c r="AF27" s="197" t="n"/>
      <c r="AG27" s="317" t="inlineStr">
        <is>
          <t>OL</t>
        </is>
      </c>
      <c r="AH27" s="311" t="n"/>
      <c r="AI27" s="312" t="n"/>
      <c r="AJ27" s="311" t="n"/>
      <c r="AK27" s="313" t="n"/>
      <c r="AL27" s="313" t="n"/>
      <c r="AM27" s="313" t="n"/>
      <c r="AN27" s="313" t="n"/>
      <c r="AO27" s="238" t="n"/>
      <c r="AP27" s="313">
        <f>SUMPRODUCT(--WEEKDAY(C$3:AG$3,2)&lt;6,--((C27:AG27="DM"))+(C27:AG27="CS1")+((C27:AG27="CS2"))+(C27:AG27="SB1")+(C27:AG27="AE")+(C27:AG27="EM"))</f>
        <v/>
      </c>
      <c r="AQ27" s="238" t="n"/>
      <c r="AR27" s="238">
        <f>SUMPRODUCT(--WEEKDAY(C$3:AG$3,2)&gt;5,--((C27:AG27="DM"))+(C27:AG27="CS1")+((C27:AG27="CS2"))+(C27:AG27="SB1")+(C27:AG27="AE")+(C27:AG27="EM"))</f>
        <v/>
      </c>
      <c r="AS27" s="238" t="n"/>
      <c r="AT27" s="238">
        <f>(AP27-AQ27)/2+(AR27-AS27)</f>
        <v/>
      </c>
      <c r="AU27" s="238">
        <f>AH27+AI27+AJ27+AK27+AM27+AN27</f>
        <v/>
      </c>
      <c r="AV27" s="238">
        <f>BF27+BG27+BI27+BD27+BB27+AZ27+BK27</f>
        <v/>
      </c>
      <c r="AW27" s="238">
        <f>AT27+$AX$10</f>
        <v/>
      </c>
      <c r="AX27" s="313">
        <f>(BI27*('Setting key Duty'!$I$8+'Setting key Duty'!$I$12))+(BG27*'Setting key Duty'!$I$9)+(BB27*('Setting key Duty'!$I$13+'Setting key Duty'!$I$9))+(AZ27*('Setting key Duty'!$I$13+'Setting key Duty'!$I$12+'Setting key Duty'!$I$11))+(BD27*('Setting key Duty'!$I$8+'Setting key Duty'!$I$9+'Setting key Duty'!$I$12))</f>
        <v/>
      </c>
      <c r="AY27" s="313">
        <f>COUNTIF(D27:AA27,"*BRT*")</f>
        <v/>
      </c>
      <c r="AZ27" s="313">
        <f>COUNTIF(A27:AH27,"*$BTP*")</f>
        <v/>
      </c>
      <c r="BA27" s="313">
        <f>AZ27*('Setting key Duty'!$I$13+'Setting key Duty'!$I$12+'Setting key Duty'!$I$11)</f>
        <v/>
      </c>
      <c r="BB27" s="313">
        <f>COUNTIF(A27:AH27,"*$L*")</f>
        <v/>
      </c>
      <c r="BC27" s="313">
        <f>BB27*('Setting key Duty'!$I$13+'Setting key Duty'!$I$9)</f>
        <v/>
      </c>
      <c r="BD27" s="313">
        <f>COUNTIF(A27:AH27,"*$M*")</f>
        <v/>
      </c>
      <c r="BE27" s="313">
        <f>BD27*('Setting key Duty'!$I$8+'Setting key Duty'!$I$9+'Setting key Duty'!$I$12)</f>
        <v/>
      </c>
      <c r="BF27" s="313">
        <f>COUNTIF(AH27,"*$N*")</f>
        <v/>
      </c>
      <c r="BG27" s="313">
        <f>COUNTIF(AH27,"*$PM*")</f>
        <v/>
      </c>
      <c r="BH27" s="313">
        <f>BG27*('Setting key Duty'!$I$9)</f>
        <v/>
      </c>
      <c r="BI27" s="313">
        <f>COUNTIF(A27:AH27,"*$AM*")</f>
        <v/>
      </c>
      <c r="BJ27" s="313">
        <f>BI27*('Setting key Duty'!$I$12+'Setting key Duty'!$I$8)</f>
        <v/>
      </c>
      <c r="BK27" s="313">
        <f>COUNTIF(D27:AH27,"*$FC*")</f>
        <v/>
      </c>
      <c r="BL27" s="313">
        <f>BK27*('Setting key Duty'!$J$11+'Setting key Duty'!$I$8)</f>
        <v/>
      </c>
      <c r="BM27" s="313">
        <f>COUNTIF($D27:$AA27,BM$4)</f>
        <v/>
      </c>
      <c r="BN27" s="313">
        <f>COUNTIF($D27:$AA27,BN$4)</f>
        <v/>
      </c>
      <c r="BO27" s="313">
        <f>COUNTIF($D27:$AA27,BO$4)</f>
        <v/>
      </c>
      <c r="BP27" s="314" t="n"/>
    </row>
    <row r="28" ht="19.5" customHeight="1">
      <c r="A28" s="309" t="n"/>
      <c r="B28" s="373" t="inlineStr">
        <is>
          <t>PTE MUHAMAD LUTFIL AL-HADI</t>
        </is>
      </c>
      <c r="C28" s="317" t="n"/>
      <c r="D28" s="197" t="n"/>
      <c r="E28" s="197" t="inlineStr">
        <is>
          <t>OFF</t>
        </is>
      </c>
      <c r="F28" s="197" t="n"/>
      <c r="G28" s="198" t="n"/>
      <c r="H28" s="324" t="n"/>
      <c r="I28" s="317" t="inlineStr">
        <is>
          <t>SB1</t>
        </is>
      </c>
      <c r="J28" s="106" t="n"/>
      <c r="K28" s="317" t="n"/>
      <c r="L28" s="317" t="inlineStr">
        <is>
          <t>SB2</t>
        </is>
      </c>
      <c r="M28" s="317" t="n"/>
      <c r="N28" s="317" t="inlineStr">
        <is>
          <t>SB1</t>
        </is>
      </c>
      <c r="O28" s="197" t="n"/>
      <c r="P28" s="106" t="n"/>
      <c r="Q28" s="317" t="inlineStr">
        <is>
          <t>SB1</t>
        </is>
      </c>
      <c r="R28" s="197" t="n"/>
      <c r="S28" s="197" t="inlineStr">
        <is>
          <t>ALPHA BACK UP</t>
        </is>
      </c>
      <c r="T28" s="317" t="n"/>
      <c r="U28" s="317" t="inlineStr">
        <is>
          <t>SB1</t>
        </is>
      </c>
      <c r="V28" s="317" t="n"/>
      <c r="W28" s="317" t="n"/>
      <c r="X28" s="317" t="inlineStr">
        <is>
          <t>AE</t>
        </is>
      </c>
      <c r="Y28" s="197" t="n"/>
      <c r="Z28" s="197" t="inlineStr">
        <is>
          <t>SB1</t>
        </is>
      </c>
      <c r="AA28" s="197" t="inlineStr">
        <is>
          <t>WEDDING</t>
        </is>
      </c>
      <c r="AB28" s="197" t="inlineStr">
        <is>
          <t>WEDDING</t>
        </is>
      </c>
      <c r="AC28" s="197" t="n"/>
      <c r="AD28" s="197" t="inlineStr">
        <is>
          <t>SB2</t>
        </is>
      </c>
      <c r="AE28" s="198" t="inlineStr">
        <is>
          <t>AE</t>
        </is>
      </c>
      <c r="AG28" s="197" t="inlineStr">
        <is>
          <t>CS1</t>
        </is>
      </c>
      <c r="AH28" s="311" t="n"/>
      <c r="AI28" s="312" t="n"/>
      <c r="AJ28" s="311" t="n"/>
      <c r="AK28" s="313" t="n"/>
      <c r="AL28" s="313" t="n"/>
      <c r="AM28" s="313" t="n"/>
      <c r="AN28" s="313" t="n"/>
      <c r="AO28" s="238" t="n"/>
      <c r="AP28" s="313">
        <f>SUMPRODUCT(--WEEKDAY(C$3:AG$3,2)&lt;6,--((C28:AG28="DM"))+(C28:AG28="CS1")+((C28:AG28="CS2"))+(C28:AG28="SB1")+(C28:AG28="AE")+(C28:AG28="EM"))</f>
        <v/>
      </c>
      <c r="AQ28" s="238" t="n"/>
      <c r="AR28" s="238">
        <f>SUMPRODUCT(--WEEKDAY(C$3:AG$3,2)&gt;5,--((C28:AG28="DM"))+(C28:AG28="CS1")+((C28:AG28="CS2"))+(C28:AG28="SB1")+(C28:AG28="AE")+(C28:AG28="EM"))</f>
        <v/>
      </c>
      <c r="AS28" s="238" t="n"/>
      <c r="AT28" s="238">
        <f>(AP28-AQ28)/2+(AR28-AS28)</f>
        <v/>
      </c>
      <c r="AU28" s="238">
        <f>AH28+AI28+AJ28+AK28+AM28+AN28</f>
        <v/>
      </c>
      <c r="AV28" s="238">
        <f>BF28+BG28+BI28+BD28+BB28+AZ28+BK28</f>
        <v/>
      </c>
      <c r="AW28" s="238">
        <f>AT28+$AX$10</f>
        <v/>
      </c>
      <c r="AX28" s="313">
        <f>(BI28*('Setting key Duty'!$I$8+'Setting key Duty'!$I$12))+(BG28*'Setting key Duty'!$I$9)+(BB28*('Setting key Duty'!$I$13+'Setting key Duty'!$I$9))+(AZ28*('Setting key Duty'!$I$13+'Setting key Duty'!$I$12+'Setting key Duty'!$I$11))+(BD28*('Setting key Duty'!$I$8+'Setting key Duty'!$I$9+'Setting key Duty'!$I$12))</f>
        <v/>
      </c>
      <c r="AY28" s="313">
        <f>COUNTIF(D28:AA28,"*BRT*")</f>
        <v/>
      </c>
      <c r="AZ28" s="313">
        <f>COUNTIF(A28:AH28,"*$BTP*")</f>
        <v/>
      </c>
      <c r="BA28" s="313">
        <f>AZ28*('Setting key Duty'!$I$13+'Setting key Duty'!$I$12+'Setting key Duty'!$I$11)</f>
        <v/>
      </c>
      <c r="BB28" s="313">
        <f>COUNTIF(A28:AH28,"*$L*")</f>
        <v/>
      </c>
      <c r="BC28" s="313">
        <f>BB28*('Setting key Duty'!$I$13+'Setting key Duty'!$I$9)</f>
        <v/>
      </c>
      <c r="BD28" s="313">
        <f>COUNTIF(A28:AH28,"*$M*")</f>
        <v/>
      </c>
      <c r="BE28" s="313">
        <f>BD28*('Setting key Duty'!$I$8+'Setting key Duty'!$I$9+'Setting key Duty'!$I$12)</f>
        <v/>
      </c>
      <c r="BF28" s="313">
        <f>COUNTIF(AH28,"*$N*")</f>
        <v/>
      </c>
      <c r="BG28" s="313">
        <f>COUNTIF(AH28,"*$PM*")</f>
        <v/>
      </c>
      <c r="BH28" s="313">
        <f>BG28*('Setting key Duty'!$I$9)</f>
        <v/>
      </c>
      <c r="BI28" s="313">
        <f>COUNTIF(A28:AH28,"*$AM*")</f>
        <v/>
      </c>
      <c r="BJ28" s="313">
        <f>BI28*('Setting key Duty'!$I$12+'Setting key Duty'!$I$8)</f>
        <v/>
      </c>
      <c r="BK28" s="313">
        <f>COUNTIF(D28:AH28,"*$FC*")</f>
        <v/>
      </c>
      <c r="BL28" s="313">
        <f>BK28*('Setting key Duty'!$J$11+'Setting key Duty'!$I$8)</f>
        <v/>
      </c>
      <c r="BM28" s="313">
        <f>COUNTIF($D28:$AA28,BM$4)</f>
        <v/>
      </c>
      <c r="BN28" s="313">
        <f>COUNTIF($D28:$AA28,BN$4)</f>
        <v/>
      </c>
      <c r="BO28" s="313">
        <f>COUNTIF($D28:$AA28,BO$4)</f>
        <v/>
      </c>
      <c r="BP28" s="314" t="n"/>
    </row>
    <row r="29" ht="19.5" customHeight="1">
      <c r="A29" s="309" t="n"/>
      <c r="B29" s="373" t="inlineStr">
        <is>
          <t>PTE JARRETT TSING KEE JIN</t>
        </is>
      </c>
      <c r="C29" s="106" t="n"/>
      <c r="D29" s="197" t="n"/>
      <c r="E29" s="197" t="n"/>
      <c r="F29" s="197" t="n"/>
      <c r="G29" s="198" t="n"/>
      <c r="H29" s="197" t="inlineStr">
        <is>
          <t>N $BTP (0515-2359)</t>
        </is>
      </c>
      <c r="I29" s="317" t="n"/>
      <c r="J29" s="197" t="inlineStr">
        <is>
          <t>N $PM SOC (1530-2000)</t>
        </is>
      </c>
      <c r="K29" s="317" t="n"/>
      <c r="M29" s="317" t="inlineStr">
        <is>
          <t>SB1</t>
        </is>
      </c>
      <c r="N29" s="317" t="n"/>
      <c r="O29" s="106" t="n"/>
      <c r="P29" s="197" t="inlineStr">
        <is>
          <t>A $M HG (0530-2000)</t>
        </is>
      </c>
      <c r="Q29" s="197" t="n"/>
      <c r="R29" s="197" t="inlineStr">
        <is>
          <t>M $AM IPPT (0500-1100</t>
        </is>
      </c>
      <c r="S29" s="197" t="n"/>
      <c r="T29" s="317" t="n"/>
      <c r="U29" s="197" t="n"/>
      <c r="V29" s="197" t="inlineStr">
        <is>
          <t>MM</t>
        </is>
      </c>
      <c r="W29" s="317" t="n"/>
      <c r="X29" s="197" t="inlineStr">
        <is>
          <t>A $FC</t>
        </is>
      </c>
      <c r="Y29" s="197" t="inlineStr">
        <is>
          <t>A $FC</t>
        </is>
      </c>
      <c r="Z29" s="197" t="inlineStr">
        <is>
          <t>A $FC</t>
        </is>
      </c>
      <c r="AA29" s="197" t="inlineStr">
        <is>
          <t>A $FC</t>
        </is>
      </c>
      <c r="AB29" s="197" t="inlineStr">
        <is>
          <t>A $FC</t>
        </is>
      </c>
      <c r="AC29" s="197" t="inlineStr">
        <is>
          <t>FC OFF?</t>
        </is>
      </c>
      <c r="AD29" s="197" t="inlineStr">
        <is>
          <t>FC OFF?</t>
        </is>
      </c>
      <c r="AE29" s="197" t="n"/>
      <c r="AF29" s="198" t="n"/>
      <c r="AG29" s="197" t="inlineStr">
        <is>
          <t>OFF</t>
        </is>
      </c>
      <c r="AH29" s="311" t="n"/>
      <c r="AI29" s="312" t="n"/>
      <c r="AJ29" s="311" t="n"/>
      <c r="AK29" s="313" t="n"/>
      <c r="AL29" s="313" t="n"/>
      <c r="AM29" s="313" t="n"/>
      <c r="AN29" s="313" t="n"/>
      <c r="AO29" s="238" t="n"/>
      <c r="AP29" s="313">
        <f>SUMPRODUCT(--WEEKDAY(C$3:AG$3,2)&lt;6,--((C29:AG29="DM"))+(C29:AG29="CS1")+((C29:AG29="CS2"))+(C29:AG29="SB1")+(C29:AG29="AE")+(C29:AG29="EM"))</f>
        <v/>
      </c>
      <c r="AQ29" s="238" t="n"/>
      <c r="AR29" s="238">
        <f>SUMPRODUCT(--WEEKDAY(C$3:AG$3,2)&gt;5,--((C29:AG29="DM"))+(C29:AG29="CS1")+((C29:AG29="CS2"))+(C29:AG29="SB1")+(C29:AG29="AE")+(C29:AG29="EM"))</f>
        <v/>
      </c>
      <c r="AS29" s="238" t="n"/>
      <c r="AT29" s="238">
        <f>(AP29-AQ29)/2+(AR29-AS29)</f>
        <v/>
      </c>
      <c r="AU29" s="238">
        <f>AH29+AI29+AJ29+AK29+AM29+AN29</f>
        <v/>
      </c>
      <c r="AV29" s="238">
        <f>BF29+BG29+BI29+BD29+BB29+AZ29+BK29</f>
        <v/>
      </c>
      <c r="AW29" s="238">
        <f>AT29+$AX$10</f>
        <v/>
      </c>
      <c r="AX29" s="313">
        <f>(BI29*('Setting key Duty'!$I$8+'Setting key Duty'!$I$12))+(BG29*'Setting key Duty'!$I$9)+(BB29*('Setting key Duty'!$I$13+'Setting key Duty'!$I$9))+(AZ29*('Setting key Duty'!$I$13+'Setting key Duty'!$I$12+'Setting key Duty'!$I$11))+(BD29*('Setting key Duty'!$I$8+'Setting key Duty'!$I$9+'Setting key Duty'!$I$12))</f>
        <v/>
      </c>
      <c r="AY29" s="313">
        <f>COUNTIF(D29:AA29,"*BRT*")</f>
        <v/>
      </c>
      <c r="AZ29" s="313">
        <f>COUNTIF(A29:AH29,"*$BTP*")</f>
        <v/>
      </c>
      <c r="BA29" s="313">
        <f>AZ29*('Setting key Duty'!$I$13+'Setting key Duty'!$I$12+'Setting key Duty'!$I$11)</f>
        <v/>
      </c>
      <c r="BB29" s="313">
        <f>COUNTIF(A29:AH29,"*$L*")</f>
        <v/>
      </c>
      <c r="BC29" s="313">
        <f>BB29*('Setting key Duty'!$I$13+'Setting key Duty'!$I$9)</f>
        <v/>
      </c>
      <c r="BD29" s="313">
        <f>COUNTIF(A29:AH29,"*$M*")</f>
        <v/>
      </c>
      <c r="BE29" s="313">
        <f>BD29*('Setting key Duty'!$I$8+'Setting key Duty'!$I$9+'Setting key Duty'!$I$12)</f>
        <v/>
      </c>
      <c r="BF29" s="313">
        <f>COUNTIF(AH29,"*$N*")</f>
        <v/>
      </c>
      <c r="BG29" s="313">
        <f>COUNTIF(AH29,"*$PM*")</f>
        <v/>
      </c>
      <c r="BH29" s="313">
        <f>BG29*('Setting key Duty'!$I$9)</f>
        <v/>
      </c>
      <c r="BI29" s="313">
        <f>COUNTIF(A29:AH29,"*$AM*")</f>
        <v/>
      </c>
      <c r="BJ29" s="313">
        <f>BI29*('Setting key Duty'!$I$12+'Setting key Duty'!$I$8)</f>
        <v/>
      </c>
      <c r="BK29" s="313">
        <f>COUNTIF(D29:AH29,"*$FC*")</f>
        <v/>
      </c>
      <c r="BL29" s="313">
        <f>BK29*('Setting key Duty'!$J$11+'Setting key Duty'!$I$8)</f>
        <v/>
      </c>
      <c r="BM29" s="313">
        <f>COUNTIF($D29:$AA29,BM$4)</f>
        <v/>
      </c>
      <c r="BN29" s="313">
        <f>COUNTIF($D29:$AA29,BN$4)</f>
        <v/>
      </c>
      <c r="BO29" s="313">
        <f>COUNTIF($D29:$AA29,BO$4)</f>
        <v/>
      </c>
      <c r="BP29" s="314" t="n"/>
    </row>
    <row r="30" ht="19.5" customHeight="1">
      <c r="A30" s="309" t="n"/>
      <c r="B30" s="373" t="inlineStr">
        <is>
          <t>PTE CHEN DENG FENG</t>
        </is>
      </c>
      <c r="C30" s="317" t="n"/>
      <c r="D30" s="317" t="n"/>
      <c r="E30" s="197" t="inlineStr">
        <is>
          <t>SB1</t>
        </is>
      </c>
      <c r="F30" s="197" t="n"/>
      <c r="G30" s="317" t="n"/>
      <c r="H30" s="197" t="n"/>
      <c r="I30" s="197" t="inlineStr">
        <is>
          <t>B $AM IPPT (0500-1100)</t>
        </is>
      </c>
      <c r="J30" s="317" t="n"/>
      <c r="K30" s="197" t="inlineStr">
        <is>
          <t>A $BTP (0530-2359)</t>
        </is>
      </c>
      <c r="M30" s="317" t="n"/>
      <c r="O30" s="317" t="n"/>
      <c r="P30" s="317" t="inlineStr">
        <is>
          <t>SB2</t>
        </is>
      </c>
      <c r="Q30" s="197" t="inlineStr">
        <is>
          <t>R $AM IPPT (0500-1000)</t>
        </is>
      </c>
      <c r="S30" s="197" t="inlineStr">
        <is>
          <t>K $AM ER (0600-1100)</t>
        </is>
      </c>
      <c r="T30" s="197" t="n"/>
      <c r="U30" s="197" t="n"/>
      <c r="V30" s="197" t="inlineStr">
        <is>
          <t>AE</t>
        </is>
      </c>
      <c r="W30" s="197" t="inlineStr">
        <is>
          <t>R $PM SOC (1530-2000)</t>
        </is>
      </c>
      <c r="X30" s="197" t="inlineStr">
        <is>
          <t>R $PM IPPT (1500-2000)</t>
        </is>
      </c>
      <c r="Y30" s="197" t="inlineStr">
        <is>
          <t>F $AM IPPT (0500-1100)</t>
        </is>
      </c>
      <c r="Z30" s="197" t="inlineStr">
        <is>
          <t>BACKUP</t>
        </is>
      </c>
      <c r="AA30" s="197" t="n"/>
      <c r="AB30" s="106" t="n"/>
      <c r="AC30" s="197" t="inlineStr">
        <is>
          <t>F $AM CC (0600-1100)</t>
        </is>
      </c>
      <c r="AD30" s="197" t="n"/>
      <c r="AE30" s="197" t="n"/>
      <c r="AF30" s="197" t="n"/>
      <c r="AG30" s="106" t="n"/>
      <c r="AH30" s="311" t="n"/>
      <c r="AI30" s="312" t="n"/>
      <c r="AJ30" s="311" t="n"/>
      <c r="AK30" s="313" t="n"/>
      <c r="AL30" s="313" t="n"/>
      <c r="AM30" s="313" t="n"/>
      <c r="AN30" s="313" t="n"/>
      <c r="AO30" s="238" t="n"/>
      <c r="AP30" s="313">
        <f>SUMPRODUCT(--WEEKDAY(C$3:AG$3,2)&lt;6,--((C30:AG30="DM"))+(C30:AG30="CS1")+((C30:AG30="CS2"))+(C30:AG30="SB1")+(C30:AG30="AE")+(C30:AG30="EM"))</f>
        <v/>
      </c>
      <c r="AQ30" s="238" t="n"/>
      <c r="AR30" s="238">
        <f>SUMPRODUCT(--WEEKDAY(C$3:AG$3,2)&gt;5,--((C30:AG30="DM"))+(C30:AG30="CS1")+((C30:AG30="CS2"))+(C30:AG30="SB1")+(C30:AG30="AE")+(C30:AG30="EM"))</f>
        <v/>
      </c>
      <c r="AS30" s="238" t="n"/>
      <c r="AT30" s="238">
        <f>(AP30-AQ30)/2+(AR30-AS30)</f>
        <v/>
      </c>
      <c r="AU30" s="238">
        <f>AH30+AI30+AJ30+AK30+AM30+AN30</f>
        <v/>
      </c>
      <c r="AV30" s="238">
        <f>BF30+BG30+BI30+BD30+BB30+AZ30+BK30</f>
        <v/>
      </c>
      <c r="AW30" s="238">
        <f>AT30+$AX$10</f>
        <v/>
      </c>
      <c r="AX30" s="313">
        <f>(BI30*('Setting key Duty'!$I$8+'Setting key Duty'!$I$12))+(BG30*'Setting key Duty'!$I$9)+(BB30*('Setting key Duty'!$I$13+'Setting key Duty'!$I$9))+(AZ30*('Setting key Duty'!$I$13+'Setting key Duty'!$I$12+'Setting key Duty'!$I$11))+(BD30*('Setting key Duty'!$I$8+'Setting key Duty'!$I$9+'Setting key Duty'!$I$12))</f>
        <v/>
      </c>
      <c r="AY30" s="313">
        <f>COUNTIF(D30:AA30,"*BRT*")</f>
        <v/>
      </c>
      <c r="AZ30" s="313">
        <f>COUNTIF(A30:AH30,"*$BTP*")</f>
        <v/>
      </c>
      <c r="BA30" s="313">
        <f>AZ30*('Setting key Duty'!$I$13+'Setting key Duty'!$I$12+'Setting key Duty'!$I$11)</f>
        <v/>
      </c>
      <c r="BB30" s="313">
        <f>COUNTIF(A30:AH30,"*$L*")</f>
        <v/>
      </c>
      <c r="BC30" s="313">
        <f>BB30*('Setting key Duty'!$I$13+'Setting key Duty'!$I$9)</f>
        <v/>
      </c>
      <c r="BD30" s="313">
        <f>COUNTIF(A30:AH30,"*$M*")</f>
        <v/>
      </c>
      <c r="BE30" s="313">
        <f>BD30*('Setting key Duty'!$I$8+'Setting key Duty'!$I$9+'Setting key Duty'!$I$12)</f>
        <v/>
      </c>
      <c r="BF30" s="313">
        <f>COUNTIF(AH30,"*$N*")</f>
        <v/>
      </c>
      <c r="BG30" s="313">
        <f>COUNTIF(AH30,"*$PM*")</f>
        <v/>
      </c>
      <c r="BH30" s="313">
        <f>BG30*('Setting key Duty'!$I$9)</f>
        <v/>
      </c>
      <c r="BI30" s="313">
        <f>COUNTIF(A30:AH30,"*$AM*")</f>
        <v/>
      </c>
      <c r="BJ30" s="313">
        <f>BI30*('Setting key Duty'!$I$12+'Setting key Duty'!$I$8)</f>
        <v/>
      </c>
      <c r="BK30" s="313">
        <f>COUNTIF(D30:AH30,"*$FC*")</f>
        <v/>
      </c>
      <c r="BL30" s="313">
        <f>BK30*('Setting key Duty'!$J$11+'Setting key Duty'!$I$8)</f>
        <v/>
      </c>
      <c r="BM30" s="313">
        <f>COUNTIF($D30:$AA30,BM$4)</f>
        <v/>
      </c>
      <c r="BN30" s="313">
        <f>COUNTIF($D30:$AA30,BN$4)</f>
        <v/>
      </c>
      <c r="BO30" s="313">
        <f>COUNTIF($D30:$AA30,BO$4)</f>
        <v/>
      </c>
      <c r="BP30" s="314" t="n"/>
    </row>
    <row r="31" ht="43.5" customHeight="1">
      <c r="A31" s="309" t="n"/>
      <c r="B31" s="373" t="inlineStr">
        <is>
          <t>PTE EUAN TING</t>
        </is>
      </c>
      <c r="D31" s="317" t="inlineStr">
        <is>
          <t>SB1</t>
        </is>
      </c>
      <c r="E31" s="106" t="n"/>
      <c r="H31" s="197" t="n"/>
      <c r="I31" s="197" t="inlineStr">
        <is>
          <t>F $AM IPPT(0500-1100)</t>
        </is>
      </c>
      <c r="K31" s="317" t="n"/>
      <c r="L31" s="197" t="inlineStr">
        <is>
          <t>SB1</t>
        </is>
      </c>
      <c r="N31" s="317" t="n"/>
      <c r="O31" s="197" t="inlineStr">
        <is>
          <t>DISPENSE COURSE</t>
        </is>
      </c>
      <c r="P31" s="197" t="inlineStr">
        <is>
          <t>DISPENSE COURSE</t>
        </is>
      </c>
      <c r="Q31" s="197" t="inlineStr">
        <is>
          <t>DISPENSE COURSE</t>
        </is>
      </c>
      <c r="R31" s="197" t="inlineStr">
        <is>
          <t>DISPENSE COURSE</t>
        </is>
      </c>
      <c r="S31" s="197" t="inlineStr">
        <is>
          <t>DISPENSE COURSE</t>
        </is>
      </c>
      <c r="T31" s="317" t="inlineStr">
        <is>
          <t>SB1</t>
        </is>
      </c>
      <c r="U31" s="317" t="inlineStr">
        <is>
          <t>d</t>
        </is>
      </c>
      <c r="V31" s="197" t="inlineStr">
        <is>
          <t>DISPENSE COURSE</t>
        </is>
      </c>
      <c r="W31" s="197" t="inlineStr">
        <is>
          <t>DISPENSE COURSE</t>
        </is>
      </c>
      <c r="X31" s="197" t="inlineStr">
        <is>
          <t>DISPENSE COURSE</t>
        </is>
      </c>
      <c r="Y31" s="197" t="inlineStr">
        <is>
          <t>DISPENSE COURSE</t>
        </is>
      </c>
      <c r="Z31" s="197" t="inlineStr">
        <is>
          <t>DISPENSE COURSE</t>
        </is>
      </c>
      <c r="AA31" s="317" t="inlineStr">
        <is>
          <t>SB1</t>
        </is>
      </c>
      <c r="AC31" s="197" t="inlineStr">
        <is>
          <t>L $M HG (0515-2000)</t>
        </is>
      </c>
      <c r="AD31" s="197" t="n"/>
      <c r="AE31" s="197" t="n"/>
      <c r="AF31" s="197" t="n"/>
      <c r="AG31" s="317" t="n"/>
      <c r="AH31" s="311" t="n"/>
      <c r="AI31" s="312" t="n"/>
      <c r="AJ31" s="311" t="n"/>
      <c r="AK31" s="313" t="n"/>
      <c r="AL31" s="313" t="n"/>
      <c r="AM31" s="313" t="n"/>
      <c r="AN31" s="313" t="n"/>
      <c r="AO31" s="238" t="n"/>
      <c r="AP31" s="313">
        <f>SUMPRODUCT(--WEEKDAY(C$3:AG$3,2)&lt;6,--((C31:AG31="DM"))+(C31:AG31="CS1")+((C31:AG31="CS2"))+(C31:AG31="SB1")+(C31:AG31="AE")+(C31:AG31="EM"))</f>
        <v/>
      </c>
      <c r="AQ31" s="238" t="n"/>
      <c r="AR31" s="238">
        <f>SUMPRODUCT(--WEEKDAY(C$3:AG$3,2)&gt;5,--((C31:AG31="DM"))+(C31:AG31="CS1")+((C31:AG31="CS2"))+(C31:AG31="SB1")+(C31:AG31="AE")+(C31:AG31="EM"))</f>
        <v/>
      </c>
      <c r="AS31" s="238" t="n"/>
      <c r="AT31" s="238">
        <f>(AP31-AQ31)/2+(AR31-AS31)</f>
        <v/>
      </c>
      <c r="AU31" s="238">
        <f>AH31+AI31+AJ31+AK31+AM31+AN31</f>
        <v/>
      </c>
      <c r="AV31" s="238">
        <f>BF31+BG31+BI31+BD31+BB31+AZ31+BK31</f>
        <v/>
      </c>
      <c r="AW31" s="238">
        <f>AT31+$AX$10</f>
        <v/>
      </c>
      <c r="AX31" s="313">
        <f>(BI31*('Setting key Duty'!$I$8+'Setting key Duty'!$I$12))+(BG31*'Setting key Duty'!$I$9)+(BB31*('Setting key Duty'!$I$13+'Setting key Duty'!$I$9))+(AZ31*('Setting key Duty'!$I$13+'Setting key Duty'!$I$12+'Setting key Duty'!$I$11))+(BD31*('Setting key Duty'!$I$8+'Setting key Duty'!$I$9+'Setting key Duty'!$I$12))</f>
        <v/>
      </c>
      <c r="AY31" s="313">
        <f>COUNTIF(D31:AA31,"*BRT*")</f>
        <v/>
      </c>
      <c r="AZ31" s="313">
        <f>COUNTIF(A31:AH31,"*$BTP*")</f>
        <v/>
      </c>
      <c r="BA31" s="313">
        <f>AZ31*('Setting key Duty'!$I$13+'Setting key Duty'!$I$12+'Setting key Duty'!$I$11)</f>
        <v/>
      </c>
      <c r="BB31" s="313">
        <f>COUNTIF(A31:AH31,"*$L*")</f>
        <v/>
      </c>
      <c r="BC31" s="313">
        <f>BB31*('Setting key Duty'!$I$13+'Setting key Duty'!$I$9)</f>
        <v/>
      </c>
      <c r="BD31" s="313">
        <f>COUNTIF(A31:AH31,"*$M*")</f>
        <v/>
      </c>
      <c r="BE31" s="313">
        <f>BD31*('Setting key Duty'!$I$8+'Setting key Duty'!$I$9+'Setting key Duty'!$I$12)</f>
        <v/>
      </c>
      <c r="BF31" s="313">
        <f>COUNTIF(AH31,"*$N*")</f>
        <v/>
      </c>
      <c r="BG31" s="313">
        <f>COUNTIF(AH31,"*$PM*")</f>
        <v/>
      </c>
      <c r="BH31" s="313">
        <f>BG31*('Setting key Duty'!$I$9)</f>
        <v/>
      </c>
      <c r="BI31" s="313">
        <f>COUNTIF(A31:AH31,"*$AM*")</f>
        <v/>
      </c>
      <c r="BJ31" s="313">
        <f>BI31*('Setting key Duty'!$I$12+'Setting key Duty'!$I$8)</f>
        <v/>
      </c>
      <c r="BK31" s="313">
        <f>COUNTIF(D31:AH31,"*$FC*")</f>
        <v/>
      </c>
      <c r="BL31" s="313">
        <f>BK31*('Setting key Duty'!$J$11+'Setting key Duty'!$I$8)</f>
        <v/>
      </c>
      <c r="BM31" s="313">
        <f>COUNTIF($D31:$AA31,BM$4)</f>
        <v/>
      </c>
      <c r="BN31" s="313">
        <f>COUNTIF($D31:$AA31,BN$4)</f>
        <v/>
      </c>
      <c r="BO31" s="313">
        <f>COUNTIF($D31:$AA31,BO$4)</f>
        <v/>
      </c>
      <c r="BP31" s="314" t="n"/>
    </row>
    <row r="32" ht="19.5" customHeight="1">
      <c r="A32" s="309" t="n"/>
      <c r="B32" s="376" t="inlineStr">
        <is>
          <t>PTE GERALD TAN</t>
        </is>
      </c>
      <c r="C32" s="324" t="n"/>
      <c r="D32" s="324" t="n"/>
      <c r="E32" s="324" t="inlineStr">
        <is>
          <t>AE</t>
        </is>
      </c>
      <c r="F32" s="324" t="n"/>
      <c r="G32" s="324" t="n"/>
      <c r="H32" s="317" t="inlineStr">
        <is>
          <t>AE</t>
        </is>
      </c>
      <c r="J32" s="317" t="inlineStr">
        <is>
          <t>AE</t>
        </is>
      </c>
      <c r="L32" s="324" t="inlineStr">
        <is>
          <t>PM MA</t>
        </is>
      </c>
      <c r="M32" s="317" t="inlineStr">
        <is>
          <t>AE</t>
        </is>
      </c>
      <c r="O32" s="317" t="n"/>
      <c r="P32" s="317" t="inlineStr">
        <is>
          <t>AE</t>
        </is>
      </c>
      <c r="Q32" s="106" t="n"/>
      <c r="R32" s="317" t="inlineStr">
        <is>
          <t>AE</t>
        </is>
      </c>
      <c r="S32" s="317" t="n"/>
      <c r="T32" s="317" t="n"/>
      <c r="U32" s="317" t="inlineStr">
        <is>
          <t>AE</t>
        </is>
      </c>
      <c r="V32" s="317" t="n"/>
      <c r="W32" s="317" t="inlineStr">
        <is>
          <t>PM MA</t>
        </is>
      </c>
      <c r="X32" s="317" t="inlineStr">
        <is>
          <t>SB2</t>
        </is>
      </c>
      <c r="Z32" s="324" t="inlineStr">
        <is>
          <t>AE</t>
        </is>
      </c>
      <c r="AA32" s="106" t="n"/>
      <c r="AB32" s="317" t="inlineStr">
        <is>
          <t>AE</t>
        </is>
      </c>
      <c r="AC32" s="324" t="n"/>
      <c r="AD32" s="197" t="n"/>
      <c r="AE32" s="197" t="n"/>
      <c r="AF32" s="197" t="n"/>
      <c r="AG32" s="317" t="inlineStr">
        <is>
          <t>PM MA</t>
        </is>
      </c>
      <c r="AH32" s="311" t="n"/>
      <c r="AI32" s="312" t="n"/>
      <c r="AJ32" s="311" t="n"/>
      <c r="AK32" s="313" t="n"/>
      <c r="AL32" s="313" t="n"/>
      <c r="AM32" s="313" t="n"/>
      <c r="AN32" s="313" t="n"/>
      <c r="AO32" s="238" t="n"/>
      <c r="AP32" s="313">
        <f>SUMPRODUCT(--WEEKDAY(C$3:AG$3,2)&lt;6,--((C32:AG32="DM"))+(C32:AG32="CS1")+((C32:AG32="CS2"))+(C32:AG32="SB1")+(C32:AG32="AE")+(C32:AG32="EM"))</f>
        <v/>
      </c>
      <c r="AQ32" s="238" t="n"/>
      <c r="AR32" s="238">
        <f>SUMPRODUCT(--WEEKDAY(C$3:AG$3,2)&gt;5,--((C32:AG32="DM"))+(C32:AG32="CS1")+((C32:AG32="CS2"))+(C32:AG32="SB1")+(C32:AG32="AE")+(C32:AG32="EM"))</f>
        <v/>
      </c>
      <c r="AS32" s="238" t="n"/>
      <c r="AT32" s="238">
        <f>(AP32-AQ32)/2+(AR32-AS32)</f>
        <v/>
      </c>
      <c r="AU32" s="238">
        <f>AH32+AI32+AJ32+AK32+AM32+AN32</f>
        <v/>
      </c>
      <c r="AV32" s="238">
        <f>BF32+BG32+BI32+BD32+BB32+AZ32+BK32</f>
        <v/>
      </c>
      <c r="AW32" s="238">
        <f>AT32+$AX$10</f>
        <v/>
      </c>
      <c r="AX32" s="313">
        <f>(BI32*('Setting key Duty'!$I$8+'Setting key Duty'!$I$12))+(BG32*'Setting key Duty'!$I$9)+(BB32*('Setting key Duty'!$I$13+'Setting key Duty'!$I$9))+(AZ32*('Setting key Duty'!$I$13+'Setting key Duty'!$I$12+'Setting key Duty'!$I$11))+(BD32*('Setting key Duty'!$I$8+'Setting key Duty'!$I$9+'Setting key Duty'!$I$12))</f>
        <v/>
      </c>
      <c r="AY32" s="313">
        <f>COUNTIF(D32:AA32,"*BRT*")</f>
        <v/>
      </c>
      <c r="AZ32" s="313">
        <f>COUNTIF(A32:AH32,"*$BTP*")</f>
        <v/>
      </c>
      <c r="BA32" s="313">
        <f>AZ32*('Setting key Duty'!$I$13+'Setting key Duty'!$I$12+'Setting key Duty'!$I$11)</f>
        <v/>
      </c>
      <c r="BB32" s="313">
        <f>COUNTIF(A32:AH32,"*$L*")</f>
        <v/>
      </c>
      <c r="BC32" s="313">
        <f>BB32*('Setting key Duty'!$I$13+'Setting key Duty'!$I$9)</f>
        <v/>
      </c>
      <c r="BD32" s="313">
        <f>COUNTIF(A32:AH32,"*$M*")</f>
        <v/>
      </c>
      <c r="BE32" s="313">
        <f>BD32*('Setting key Duty'!$I$8+'Setting key Duty'!$I$9+'Setting key Duty'!$I$12)</f>
        <v/>
      </c>
      <c r="BF32" s="313">
        <f>COUNTIF(AH32,"*$N*")</f>
        <v/>
      </c>
      <c r="BG32" s="313">
        <f>COUNTIF(AH32,"*$PM*")</f>
        <v/>
      </c>
      <c r="BH32" s="313">
        <f>BG32*('Setting key Duty'!$I$9)</f>
        <v/>
      </c>
      <c r="BI32" s="313">
        <f>COUNTIF(A32:AH32,"*$AM*")</f>
        <v/>
      </c>
      <c r="BJ32" s="313">
        <f>BI32*('Setting key Duty'!$I$12+'Setting key Duty'!$I$8)</f>
        <v/>
      </c>
      <c r="BK32" s="313">
        <f>COUNTIF(D32:AH32,"*$FC*")</f>
        <v/>
      </c>
      <c r="BL32" s="313">
        <f>BK32*('Setting key Duty'!$J$11+'Setting key Duty'!$I$8)</f>
        <v/>
      </c>
      <c r="BM32" s="313">
        <f>COUNTIF($D32:$AA32,BM$4)</f>
        <v/>
      </c>
      <c r="BN32" s="313">
        <f>COUNTIF($D32:$AA32,BN$4)</f>
        <v/>
      </c>
      <c r="BO32" s="313">
        <f>COUNTIF($D32:$AA32,BO$4)</f>
        <v/>
      </c>
      <c r="BP32" s="314" t="n"/>
    </row>
    <row r="33" ht="19.5" customHeight="1">
      <c r="A33" s="309" t="n"/>
      <c r="B33" s="347" t="inlineStr">
        <is>
          <t>PTE FANG JIANGRUI</t>
        </is>
      </c>
      <c r="C33" s="324" t="n"/>
      <c r="D33" s="324" t="n"/>
      <c r="E33" s="324" t="n">
        <v>3</v>
      </c>
      <c r="F33" s="324" t="n"/>
      <c r="G33" s="197" t="inlineStr">
        <is>
          <t>AE</t>
        </is>
      </c>
      <c r="H33" s="317" t="n"/>
      <c r="I33" s="317" t="n">
        <v>4</v>
      </c>
      <c r="J33" s="317" t="inlineStr">
        <is>
          <t>SHADOW?</t>
        </is>
      </c>
      <c r="K33" s="324" t="inlineStr">
        <is>
          <t>SB2</t>
        </is>
      </c>
      <c r="L33" s="317" t="inlineStr">
        <is>
          <t>AE</t>
        </is>
      </c>
      <c r="M33" s="324" t="n"/>
      <c r="N33" s="197" t="inlineStr">
        <is>
          <t>AE</t>
        </is>
      </c>
      <c r="P33" s="197" t="inlineStr">
        <is>
          <t>F $AM CC (0600-1100)</t>
        </is>
      </c>
      <c r="Q33" s="106" t="n"/>
      <c r="R33" s="197" t="inlineStr">
        <is>
          <t>E $BTP (0530-2359)</t>
        </is>
      </c>
      <c r="S33" s="317" t="n"/>
      <c r="U33" s="317" t="n"/>
      <c r="V33" s="317" t="inlineStr">
        <is>
          <t>SB2</t>
        </is>
      </c>
      <c r="Y33" s="197" t="inlineStr">
        <is>
          <t>B $FC</t>
        </is>
      </c>
      <c r="Z33" s="197" t="inlineStr">
        <is>
          <t>B $FC</t>
        </is>
      </c>
      <c r="AA33" s="197" t="inlineStr">
        <is>
          <t>B $FC</t>
        </is>
      </c>
      <c r="AB33" s="197" t="inlineStr">
        <is>
          <t>B $FC</t>
        </is>
      </c>
      <c r="AC33" s="197" t="inlineStr">
        <is>
          <t>B $FC</t>
        </is>
      </c>
      <c r="AD33" s="197" t="n"/>
      <c r="AE33" s="197" t="n"/>
      <c r="AF33" s="197" t="n"/>
      <c r="AH33" s="311" t="n"/>
      <c r="AI33" s="312" t="n"/>
      <c r="AJ33" s="311" t="n"/>
      <c r="AK33" s="313" t="n"/>
      <c r="AL33" s="313" t="n"/>
      <c r="AM33" s="313" t="n"/>
      <c r="AN33" s="313" t="n"/>
      <c r="AO33" s="238" t="n"/>
      <c r="AP33" s="313">
        <f>SUMPRODUCT(--WEEKDAY(C$3:AG$3,2)&lt;6,--((C33:AG33="DM"))+(C33:AG33="CS1")+((C33:AG33="CS2"))+(C33:AG33="SB1")+(C33:AG33="AE")+(C33:AG33="EM"))</f>
        <v/>
      </c>
      <c r="AQ33" s="238" t="n"/>
      <c r="AR33" s="238">
        <f>SUMPRODUCT(--WEEKDAY(C$3:AG$3,2)&gt;5,--((C33:AG33="DM"))+(C33:AG33="CS1")+((C33:AG33="CS2"))+(C33:AG33="SB1")+(C33:AG33="AE")+(C33:AG33="EM"))</f>
        <v/>
      </c>
      <c r="AS33" s="238" t="n"/>
      <c r="AT33" s="238">
        <f>(AP33-AQ33)/2+(AR33-AS33)</f>
        <v/>
      </c>
      <c r="AU33" s="238">
        <f>AH33+AI33+AJ33+AK33+AM33+AN33</f>
        <v/>
      </c>
      <c r="AV33" s="238">
        <f>BF33+BG33+BI33+BD33+BB33+AZ33+BK33</f>
        <v/>
      </c>
      <c r="AW33" s="238">
        <f>AT33+AX33</f>
        <v/>
      </c>
      <c r="AX33" s="313">
        <f>(BI33*('Setting key Duty'!$I$8+'Setting key Duty'!$I$12))+(BG33*'Setting key Duty'!$I$9)+(BB33*('Setting key Duty'!$I$13+'Setting key Duty'!$I$9))+(AZ33*('Setting key Duty'!$I$13+'Setting key Duty'!$I$12+'Setting key Duty'!$I$11))+(BD33*('Setting key Duty'!$I$8+'Setting key Duty'!$I$9+'Setting key Duty'!$I$12))</f>
        <v/>
      </c>
      <c r="AY33" s="313">
        <f>COUNTIF(C33:X33,"*BRT*")</f>
        <v/>
      </c>
      <c r="AZ33" s="313">
        <f>COUNTIF(A33:AH33,"*$BTP*")</f>
        <v/>
      </c>
      <c r="BA33" s="313">
        <f>AZ33*('Setting key Duty'!$I$13+'Setting key Duty'!$I$12+'Setting key Duty'!$I$11)</f>
        <v/>
      </c>
      <c r="BB33" s="313">
        <f>COUNTIF(D33:AH33,"*$L*")</f>
        <v/>
      </c>
      <c r="BC33" s="313">
        <f>BB33*('Setting key Duty'!$I$13+'Setting key Duty'!$I$9)</f>
        <v/>
      </c>
      <c r="BD33" s="313">
        <f>COUNTIF(D33:AH33,"*$M*")</f>
        <v/>
      </c>
      <c r="BE33" s="313">
        <f>BD33*('Setting key Duty'!$I$8+'Setting key Duty'!$I$9+'Setting key Duty'!$I$12)</f>
        <v/>
      </c>
      <c r="BF33" s="313">
        <f>COUNTIF(D33:AH33,"*$N*")</f>
        <v/>
      </c>
      <c r="BG33" s="313">
        <f>COUNTIF(D33:AH33,"*$PM*")</f>
        <v/>
      </c>
      <c r="BH33" s="313">
        <f>BG33*('Setting key Duty'!$I$9)</f>
        <v/>
      </c>
      <c r="BI33" s="313">
        <f>COUNTIF(D33:AH33,"*$AM*")</f>
        <v/>
      </c>
      <c r="BJ33" s="313">
        <f>BI33*('Setting key Duty'!$I$12+'Setting key Duty'!$I$8)</f>
        <v/>
      </c>
      <c r="BK33" s="313">
        <f>COUNTIF(C33:AH33,"*$FC*")</f>
        <v/>
      </c>
      <c r="BL33" s="313">
        <f>BK33*('Setting key Duty'!$J$11+'Setting key Duty'!$I$8)</f>
        <v/>
      </c>
      <c r="BM33" s="313">
        <f>COUNTIF($C33:$AG33,BM$4)</f>
        <v/>
      </c>
      <c r="BN33" s="313">
        <f>COUNTIF($C33:$AG33,BN$4)</f>
        <v/>
      </c>
      <c r="BO33" s="313">
        <f>COUNTIF($D33:$AE33,BO$4)</f>
        <v/>
      </c>
      <c r="BP33" s="314" t="n"/>
    </row>
    <row r="34" ht="19.5" customHeight="1">
      <c r="A34" s="309" t="n"/>
      <c r="B34" s="347" t="inlineStr">
        <is>
          <t>PTE HO SHENGHUI HAYDEN</t>
        </is>
      </c>
      <c r="C34" s="317" t="n"/>
      <c r="D34" s="317" t="n"/>
      <c r="E34" s="317" t="n">
        <v>2</v>
      </c>
      <c r="F34" s="317" t="n"/>
      <c r="G34" s="324" t="n"/>
      <c r="H34" s="317" t="inlineStr">
        <is>
          <t>SB2</t>
        </is>
      </c>
      <c r="I34" s="317" t="n">
        <v>3</v>
      </c>
      <c r="J34" s="317" t="n">
        <v>4</v>
      </c>
      <c r="L34" s="317" t="inlineStr">
        <is>
          <t>SHADOW?</t>
        </is>
      </c>
      <c r="M34" s="197" t="inlineStr">
        <is>
          <t>F $M ISAD (0530-2000)</t>
        </is>
      </c>
      <c r="N34" s="317" t="n"/>
      <c r="O34" s="197" t="inlineStr">
        <is>
          <t>M $AM CC (0600-1100)</t>
        </is>
      </c>
      <c r="Q34" s="106" t="n"/>
      <c r="R34" s="317" t="inlineStr">
        <is>
          <t>SB2</t>
        </is>
      </c>
      <c r="S34" s="197" t="inlineStr">
        <is>
          <t>E $BTP (0530-2359)</t>
        </is>
      </c>
      <c r="T34" s="317" t="n"/>
      <c r="U34" s="317" t="n"/>
      <c r="W34" s="197" t="inlineStr">
        <is>
          <t>F $M HG (0530-2000)</t>
        </is>
      </c>
      <c r="X34" s="317" t="n"/>
      <c r="Y34" s="317" t="inlineStr">
        <is>
          <t>MA</t>
        </is>
      </c>
      <c r="Z34" s="197" t="inlineStr">
        <is>
          <t>R $BTP (0530-2359)</t>
        </is>
      </c>
      <c r="AA34" s="197" t="n"/>
      <c r="AC34" s="136" t="inlineStr">
        <is>
          <t>K $AM ER (0600-1100)</t>
        </is>
      </c>
      <c r="AD34" s="197" t="n"/>
      <c r="AE34" s="197" t="n"/>
      <c r="AF34" s="197" t="n"/>
      <c r="AG34" s="317" t="inlineStr">
        <is>
          <t>AE</t>
        </is>
      </c>
      <c r="AH34" s="311" t="n"/>
      <c r="AI34" s="312" t="n"/>
      <c r="AJ34" s="311" t="n"/>
      <c r="AK34" s="344" t="n"/>
      <c r="AL34" s="344" t="n"/>
      <c r="AM34" s="344" t="n"/>
      <c r="AN34" s="344" t="n"/>
      <c r="AO34" s="246" t="n"/>
      <c r="AP34" s="313">
        <f>SUMPRODUCT(--WEEKDAY(C$3:AG$3,2)&lt;6,--((C34:AG34="DM"))+(C34:AG34="CS1")+((C34:AG34="CS2"))+(C34:AG34="SB1")+(C34:AG34="AE")+(C34:AG34="EM"))</f>
        <v/>
      </c>
      <c r="AQ34" s="238" t="n"/>
      <c r="AR34" s="238">
        <f>SUMPRODUCT(--WEEKDAY(C$3:AG$3,2)&gt;5,--((C34:AG34="DM"))+(C34:AG34="CS1")+((C34:AG34="CS2"))+(C34:AG34="SB1")+(C34:AG34="AE")+(C34:AG34="EM"))</f>
        <v/>
      </c>
      <c r="AS34" s="246" t="n"/>
      <c r="AT34" s="238">
        <f>(AP34-AQ34)/2+(AR34-AS34)</f>
        <v/>
      </c>
      <c r="AU34" s="238">
        <f>AH34+AI34+AJ34+AK34+AM34+AN34</f>
        <v/>
      </c>
      <c r="AV34" s="238">
        <f>BF34+BG34+BI34+BD34+BB34+AZ34+BK34</f>
        <v/>
      </c>
      <c r="AW34" s="238">
        <f>AT34+AX34</f>
        <v/>
      </c>
      <c r="AX34" s="313">
        <f>(BI34*('Setting key Duty'!$I$8+'Setting key Duty'!$I$12))+(BG34*'Setting key Duty'!$I$9)+(BB34*('Setting key Duty'!$I$13+'Setting key Duty'!$I$9))+(AZ34*('Setting key Duty'!$I$13+'Setting key Duty'!$I$12+'Setting key Duty'!$I$11))+(BD34*('Setting key Duty'!$I$8+'Setting key Duty'!$I$9+'Setting key Duty'!$I$12))</f>
        <v/>
      </c>
      <c r="AY34" s="313">
        <f>COUNTIF(C34:Y34,"*BRT*")</f>
        <v/>
      </c>
      <c r="AZ34" s="313">
        <f>COUNTIF(A34:AH34,"*$BTP*")</f>
        <v/>
      </c>
      <c r="BA34" s="313">
        <f>AZ34*('Setting key Duty'!$I$13+'Setting key Duty'!$I$12+'Setting key Duty'!$I$11)</f>
        <v/>
      </c>
      <c r="BB34" s="313">
        <f>COUNTIF(D34:AH34,"*$L*")</f>
        <v/>
      </c>
      <c r="BC34" s="313">
        <f>BB34*('Setting key Duty'!$I$13+'Setting key Duty'!$I$9)</f>
        <v/>
      </c>
      <c r="BD34" s="313">
        <f>COUNTIF(D34:AH34,"*$M*")</f>
        <v/>
      </c>
      <c r="BE34" s="313">
        <f>BD34*('Setting key Duty'!$I$8+'Setting key Duty'!$I$9+'Setting key Duty'!$I$12)</f>
        <v/>
      </c>
      <c r="BF34" s="313">
        <f>COUNTIF(D34:AH34,"*$N*")</f>
        <v/>
      </c>
      <c r="BG34" s="313">
        <f>COUNTIF(D34:AH34,"*$PM*")</f>
        <v/>
      </c>
      <c r="BH34" s="313">
        <f>BG34*('Setting key Duty'!$I$9)</f>
        <v/>
      </c>
      <c r="BI34" s="313">
        <f>COUNTIF(D34:AH34,"*$AM*")</f>
        <v/>
      </c>
      <c r="BJ34" s="313">
        <f>BI34*('Setting key Duty'!$I$12+'Setting key Duty'!$I$8)</f>
        <v/>
      </c>
      <c r="BK34" s="313">
        <f>COUNTIF(C34:AH34,"*$FC*")</f>
        <v/>
      </c>
      <c r="BL34" s="313">
        <f>BK34*('Setting key Duty'!$J$11+'Setting key Duty'!$I$8)</f>
        <v/>
      </c>
      <c r="BM34" s="313">
        <f>COUNTIF($C34:$AG34,BM$4)</f>
        <v/>
      </c>
      <c r="BN34" s="313">
        <f>COUNTIF($C34:$AG34,BN$4)</f>
        <v/>
      </c>
      <c r="BO34" s="313">
        <f>COUNTIF($D34:$AE34,BO$4)</f>
        <v/>
      </c>
      <c r="BP34" s="345" t="n"/>
    </row>
    <row r="35" ht="19.5" customHeight="1">
      <c r="A35" s="309" t="n"/>
      <c r="B35" s="347" t="inlineStr">
        <is>
          <t>PTE CHIA TECK IAN</t>
        </is>
      </c>
      <c r="C35" s="349" t="n"/>
      <c r="D35" s="317" t="inlineStr">
        <is>
          <t>SB2</t>
        </is>
      </c>
      <c r="E35" s="317" t="inlineStr">
        <is>
          <t>PM MA</t>
        </is>
      </c>
      <c r="F35" s="317" t="n"/>
      <c r="G35" s="324" t="n"/>
      <c r="H35" s="106" t="n"/>
      <c r="I35" s="317" t="inlineStr">
        <is>
          <t>SB2</t>
        </is>
      </c>
      <c r="J35" s="317" t="inlineStr">
        <is>
          <t>AM MA</t>
        </is>
      </c>
      <c r="K35" s="317" t="n">
        <v>1</v>
      </c>
      <c r="L35" s="317" t="inlineStr">
        <is>
          <t>AM MA</t>
        </is>
      </c>
      <c r="M35" s="106" t="n"/>
      <c r="N35" s="317" t="n"/>
      <c r="O35" s="317" t="inlineStr">
        <is>
          <t>SB2</t>
        </is>
      </c>
      <c r="P35" s="317" t="n"/>
      <c r="Q35" s="317" t="inlineStr">
        <is>
          <t>SB2</t>
        </is>
      </c>
      <c r="R35" s="317" t="n">
        <v>2</v>
      </c>
      <c r="S35" s="317" t="n"/>
      <c r="T35" s="317" t="n"/>
      <c r="U35" s="317" t="n"/>
      <c r="V35" s="317" t="n"/>
      <c r="W35" s="317" t="inlineStr">
        <is>
          <t>SB2</t>
        </is>
      </c>
      <c r="X35" s="317" t="n">
        <v>3</v>
      </c>
      <c r="Y35" s="317" t="inlineStr">
        <is>
          <t>SB2</t>
        </is>
      </c>
      <c r="Z35" s="317" t="inlineStr">
        <is>
          <t>SB2</t>
        </is>
      </c>
      <c r="AC35" s="317" t="n">
        <v>4</v>
      </c>
      <c r="AD35" s="197" t="n"/>
      <c r="AE35" s="197" t="n"/>
      <c r="AF35" s="197" t="n"/>
      <c r="AG35" s="317" t="n"/>
      <c r="AH35" s="311" t="n"/>
      <c r="AI35" s="312" t="n"/>
      <c r="AJ35" s="311" t="n"/>
      <c r="AK35" s="344" t="n"/>
      <c r="AL35" s="344" t="n"/>
      <c r="AM35" s="344" t="n"/>
      <c r="AN35" s="344" t="n"/>
      <c r="AO35" s="246" t="n"/>
      <c r="AP35" s="313">
        <f>SUMPRODUCT(--WEEKDAY(C$3:AG$3,2)&lt;6,--((C35:AG35="DM"))+(C35:AG35="CS1")+((C35:AG35="CS2"))+(C35:AG35="SB1")+(C35:AG35="AE")+(C35:AG35="EM"))</f>
        <v/>
      </c>
      <c r="AQ35" s="238" t="n"/>
      <c r="AR35" s="238">
        <f>SUMPRODUCT(--WEEKDAY(C$3:AG$3,2)&gt;5,--((C35:AG35="DM"))+(C35:AG35="CS1")+((C35:AG35="CS2"))+(C35:AG35="SB1")+(C35:AG35="AE")+(C35:AG35="EM"))</f>
        <v/>
      </c>
      <c r="AS35" s="246" t="n"/>
      <c r="AT35" s="238">
        <f>(AP35-AQ35)/2+(AR35-AS35)</f>
        <v/>
      </c>
      <c r="AU35" s="238">
        <f>AH35+AI35+AJ35+AK35+AM35+AN35</f>
        <v/>
      </c>
      <c r="AV35" s="238">
        <f>BF35+BG35+BI35+BD35+BB35+AZ35+BK35</f>
        <v/>
      </c>
      <c r="AW35" s="238">
        <f>AT35+AX35</f>
        <v/>
      </c>
      <c r="AX35" s="313">
        <f>(BI35*('Setting key Duty'!$I$8+'Setting key Duty'!$I$12))+(BG35*'Setting key Duty'!$I$9)+(BB35*('Setting key Duty'!$I$13+'Setting key Duty'!$I$9))+(AZ35*('Setting key Duty'!$I$13+'Setting key Duty'!$I$12+'Setting key Duty'!$I$11))+(BD35*('Setting key Duty'!$I$8+'Setting key Duty'!$I$9+'Setting key Duty'!$I$12))</f>
        <v/>
      </c>
      <c r="AY35" s="313">
        <f>COUNTIF(C35:Y35,"*BRT*")</f>
        <v/>
      </c>
      <c r="AZ35" s="313">
        <f>COUNTIF(A35:AH35,"*$BTP*")</f>
        <v/>
      </c>
      <c r="BA35" s="313">
        <f>AZ35*('Setting key Duty'!$I$13+'Setting key Duty'!$I$12+'Setting key Duty'!$I$11)</f>
        <v/>
      </c>
      <c r="BB35" s="313">
        <f>COUNTIF(D35:AH35,"*$L*")</f>
        <v/>
      </c>
      <c r="BC35" s="313">
        <f>BB35*('Setting key Duty'!$I$13+'Setting key Duty'!$I$9)</f>
        <v/>
      </c>
      <c r="BD35" s="313">
        <f>COUNTIF(D35:AH35,"*$M*")</f>
        <v/>
      </c>
      <c r="BE35" s="313">
        <f>BD35*('Setting key Duty'!$I$8+'Setting key Duty'!$I$9+'Setting key Duty'!$I$12)</f>
        <v/>
      </c>
      <c r="BF35" s="313">
        <f>COUNTIF(D35:AH35,"*$N*")</f>
        <v/>
      </c>
      <c r="BG35" s="313">
        <f>COUNTIF(D35:AH35,"*$PM*")</f>
        <v/>
      </c>
      <c r="BH35" s="313">
        <f>BG35*('Setting key Duty'!$I$9)</f>
        <v/>
      </c>
      <c r="BI35" s="313">
        <f>COUNTIF(D35:AH35,"*$AM*")</f>
        <v/>
      </c>
      <c r="BJ35" s="313">
        <f>BI35*('Setting key Duty'!$I$12+'Setting key Duty'!$I$8)</f>
        <v/>
      </c>
      <c r="BK35" s="313">
        <f>COUNTIF(C35:AH35,"*$FC*")</f>
        <v/>
      </c>
      <c r="BL35" s="313">
        <f>BK35*('Setting key Duty'!$J$11+'Setting key Duty'!$I$8)</f>
        <v/>
      </c>
      <c r="BM35" s="313">
        <f>COUNTIF($C35:$AG35,BM$4)</f>
        <v/>
      </c>
      <c r="BN35" s="313">
        <f>COUNTIF($C35:$AG35,BN$4)</f>
        <v/>
      </c>
      <c r="BO35" s="313">
        <f>COUNTIF($D35:$AE35,BO$4)</f>
        <v/>
      </c>
      <c r="BP35" s="345" t="n"/>
    </row>
    <row r="36" ht="19.5" customHeight="1">
      <c r="A36" s="309" t="n"/>
      <c r="B36" s="347" t="inlineStr">
        <is>
          <t>PTE APPLE YEO</t>
        </is>
      </c>
      <c r="C36" s="349" t="n"/>
      <c r="D36" s="317" t="n"/>
      <c r="E36" s="317" t="inlineStr">
        <is>
          <t>SB2</t>
        </is>
      </c>
      <c r="F36" s="324" t="inlineStr">
        <is>
          <t>AE</t>
        </is>
      </c>
      <c r="H36" s="106" t="n"/>
      <c r="I36" s="317" t="inlineStr">
        <is>
          <t>AE</t>
        </is>
      </c>
      <c r="K36" s="317" t="inlineStr">
        <is>
          <t>AE</t>
        </is>
      </c>
      <c r="L36" s="317" t="n"/>
      <c r="M36" s="106" t="n"/>
      <c r="O36" s="317" t="inlineStr">
        <is>
          <t>AE</t>
        </is>
      </c>
      <c r="P36" s="317" t="n"/>
      <c r="Q36" s="317" t="inlineStr">
        <is>
          <t>AE</t>
        </is>
      </c>
      <c r="R36" s="106" t="n"/>
      <c r="S36" s="317" t="inlineStr">
        <is>
          <t>AE</t>
        </is>
      </c>
      <c r="T36" s="317" t="n"/>
      <c r="U36" s="317" t="n"/>
      <c r="V36" s="317" t="n"/>
      <c r="W36" s="317" t="inlineStr">
        <is>
          <t>AE</t>
        </is>
      </c>
      <c r="X36" s="317" t="n"/>
      <c r="Y36" s="317" t="inlineStr">
        <is>
          <t>AE</t>
        </is>
      </c>
      <c r="AA36" s="317" t="inlineStr">
        <is>
          <t>AE</t>
        </is>
      </c>
      <c r="AC36" s="317" t="inlineStr">
        <is>
          <t>SB2</t>
        </is>
      </c>
      <c r="AD36" s="197" t="n"/>
      <c r="AE36" s="197" t="n"/>
      <c r="AF36" s="197" t="n"/>
      <c r="AG36" s="317" t="inlineStr">
        <is>
          <t>SB2</t>
        </is>
      </c>
      <c r="AH36" s="311" t="n"/>
      <c r="AI36" s="312" t="n"/>
      <c r="AJ36" s="311" t="n"/>
      <c r="AK36" s="344" t="n"/>
      <c r="AL36" s="344" t="n"/>
      <c r="AM36" s="344" t="n"/>
      <c r="AN36" s="344" t="n"/>
      <c r="AO36" s="246" t="n"/>
      <c r="AP36" s="313">
        <f>SUMPRODUCT(--WEEKDAY(C$3:AG$3,2)&lt;6,--((C36:AG36="DM"))+(C36:AG36="CS1")+((C36:AG36="CS2"))+(C36:AG36="SB1")+(C36:AG36="AE")+(C36:AG36="EM"))</f>
        <v/>
      </c>
      <c r="AQ36" s="238" t="n"/>
      <c r="AR36" s="238">
        <f>SUMPRODUCT(--WEEKDAY(C$3:AG$3,2)&gt;5,--((C36:AG36="DM"))+(C36:AG36="CS1")+((C36:AG36="CS2"))+(C36:AG36="SB1")+(C36:AG36="AE")+(C36:AG36="EM"))</f>
        <v/>
      </c>
      <c r="AS36" s="246" t="n"/>
      <c r="AT36" s="238">
        <f>(AP36-AQ36)/2+(AR36-AS36)</f>
        <v/>
      </c>
      <c r="AU36" s="238">
        <f>AH36+AI36+AJ36+AK36+AM36+AN36</f>
        <v/>
      </c>
      <c r="AV36" s="238">
        <f>BF36+BG36+BI36+BD36+BB36+AZ36+BK36</f>
        <v/>
      </c>
      <c r="AW36" s="238">
        <f>AT36+AX36</f>
        <v/>
      </c>
      <c r="AX36" s="313">
        <f>(BI36*('Setting key Duty'!$I$8+'Setting key Duty'!$I$12))+(BG36*'Setting key Duty'!$I$9)+(BB36*('Setting key Duty'!$I$13+'Setting key Duty'!$I$9))+(AZ36*('Setting key Duty'!$I$13+'Setting key Duty'!$I$12+'Setting key Duty'!$I$11))+(BD36*('Setting key Duty'!$I$8+'Setting key Duty'!$I$9+'Setting key Duty'!$I$12))</f>
        <v/>
      </c>
      <c r="AY36" s="313">
        <f>COUNTIF(C36:Y36,"*BRT*")</f>
        <v/>
      </c>
      <c r="AZ36" s="313">
        <f>COUNTIF(A36:AH36,"*$BTP*")</f>
        <v/>
      </c>
      <c r="BA36" s="313">
        <f>AZ36*('Setting key Duty'!$I$13+'Setting key Duty'!$I$12+'Setting key Duty'!$I$11)</f>
        <v/>
      </c>
      <c r="BB36" s="313">
        <f>COUNTIF(D36:AH36,"*$L*")</f>
        <v/>
      </c>
      <c r="BC36" s="313">
        <f>BB36*('Setting key Duty'!$I$13+'Setting key Duty'!$I$9)</f>
        <v/>
      </c>
      <c r="BD36" s="313">
        <f>COUNTIF(D36:AH36,"*$M*")</f>
        <v/>
      </c>
      <c r="BE36" s="313">
        <f>BD36*('Setting key Duty'!$I$8+'Setting key Duty'!$I$9+'Setting key Duty'!$I$12)</f>
        <v/>
      </c>
      <c r="BF36" s="313">
        <f>COUNTIF(D36:AH36,"*$N*")</f>
        <v/>
      </c>
      <c r="BG36" s="313">
        <f>COUNTIF(D36:AH36,"*$PM*")</f>
        <v/>
      </c>
      <c r="BH36" s="313">
        <f>BG36*('Setting key Duty'!$I$9)</f>
        <v/>
      </c>
      <c r="BI36" s="313">
        <f>COUNTIF(D36:AH36,"*$AM*")</f>
        <v/>
      </c>
      <c r="BJ36" s="313">
        <f>BI36*('Setting key Duty'!$I$12+'Setting key Duty'!$I$8)</f>
        <v/>
      </c>
      <c r="BK36" s="313">
        <f>COUNTIF(C36:AH36,"*$FC*")</f>
        <v/>
      </c>
      <c r="BL36" s="313">
        <f>BK36*('Setting key Duty'!$J$11+'Setting key Duty'!$I$8)</f>
        <v/>
      </c>
      <c r="BM36" s="313">
        <f>COUNTIF($C36:$AG36,BM$4)</f>
        <v/>
      </c>
      <c r="BN36" s="313">
        <f>COUNTIF($C36:$AG36,BN$4)</f>
        <v/>
      </c>
      <c r="BO36" s="313">
        <f>COUNTIF($D36:$AE36,BO$4)</f>
        <v/>
      </c>
      <c r="BP36" s="345" t="n"/>
    </row>
    <row r="37" ht="19.5" customHeight="1">
      <c r="A37" s="309" t="n"/>
      <c r="B37" s="347" t="inlineStr">
        <is>
          <t>PTE QUEK ZI YI</t>
        </is>
      </c>
      <c r="C37" s="349" t="n"/>
      <c r="D37" s="317" t="n"/>
      <c r="E37" s="317" t="n">
        <v>3</v>
      </c>
      <c r="F37" s="317" t="n"/>
      <c r="G37" s="324" t="n"/>
      <c r="H37" s="317" t="n"/>
      <c r="I37" s="317" t="n">
        <v>4</v>
      </c>
      <c r="J37" s="317" t="inlineStr">
        <is>
          <t>SB2</t>
        </is>
      </c>
      <c r="K37" s="317" t="n"/>
      <c r="L37" s="317" t="inlineStr">
        <is>
          <t>SHADOW?</t>
        </is>
      </c>
      <c r="M37" s="106" t="n"/>
      <c r="N37" s="317" t="n"/>
      <c r="O37" s="197" t="inlineStr">
        <is>
          <t>B $BTP (0630-2359)</t>
        </is>
      </c>
      <c r="P37" s="317" t="n"/>
      <c r="Q37" s="197" t="inlineStr">
        <is>
          <t>M $M ISAD (0515-2000)</t>
        </is>
      </c>
      <c r="S37" s="317" t="inlineStr">
        <is>
          <t>SB2</t>
        </is>
      </c>
      <c r="T37" s="317" t="n"/>
      <c r="U37" s="317" t="n"/>
      <c r="V37" s="317" t="n"/>
      <c r="X37" s="197" t="inlineStr">
        <is>
          <t>E $AM IPPT (0500-1100)</t>
        </is>
      </c>
      <c r="Y37" s="197" t="inlineStr">
        <is>
          <t>R $BTP (0530-2359)</t>
        </is>
      </c>
      <c r="AC37" s="197" t="inlineStr">
        <is>
          <t>AE</t>
        </is>
      </c>
      <c r="AD37" s="197" t="n"/>
      <c r="AE37" s="197" t="n"/>
      <c r="AF37" s="197" t="n"/>
      <c r="AH37" s="311" t="n"/>
      <c r="AI37" s="312" t="n"/>
      <c r="AJ37" s="311" t="n"/>
      <c r="AK37" s="344" t="n"/>
      <c r="AL37" s="344" t="n"/>
      <c r="AM37" s="344" t="n"/>
      <c r="AN37" s="344" t="n"/>
      <c r="AO37" s="246" t="n"/>
      <c r="AP37" s="313">
        <f>SUMPRODUCT(--WEEKDAY(C$3:AG$3,2)&lt;6,--((C37:AG37="DM"))+(C37:AG37="CS1")+((C37:AG37="CS2"))+(C37:AG37="SB1")+(C37:AG37="AE")+(C37:AG37="EM"))</f>
        <v/>
      </c>
      <c r="AQ37" s="238" t="n"/>
      <c r="AR37" s="238">
        <f>SUMPRODUCT(--WEEKDAY(C$3:AG$3,2)&gt;5,--((C37:AG37="DM"))+(C37:AG37="CS1")+((C37:AG37="CS2"))+(C37:AG37="SB1")+(C37:AG37="AE")+(C37:AG37="EM"))</f>
        <v/>
      </c>
      <c r="AS37" s="246" t="n"/>
      <c r="AT37" s="238">
        <f>(AP37-AQ37)/2+(AR37-AS37)</f>
        <v/>
      </c>
      <c r="AU37" s="238">
        <f>AH37+AI37+AJ37+AK37+AM37+AN37</f>
        <v/>
      </c>
      <c r="AV37" s="238">
        <f>BF37+BG37+BI37+BD37+BB37+AZ37+BK37</f>
        <v/>
      </c>
      <c r="AW37" s="238">
        <f>AT37+AX37</f>
        <v/>
      </c>
      <c r="AX37" s="313">
        <f>(BI37*('Setting key Duty'!$I$8+'Setting key Duty'!$I$12))+(BG37*'Setting key Duty'!$I$9)+(BB37*('Setting key Duty'!$I$13+'Setting key Duty'!$I$9))+(AZ37*('Setting key Duty'!$I$13+'Setting key Duty'!$I$12+'Setting key Duty'!$I$11))+(BD37*('Setting key Duty'!$I$8+'Setting key Duty'!$I$9+'Setting key Duty'!$I$12))</f>
        <v/>
      </c>
      <c r="AY37" s="313">
        <f>COUNTIF(C37:Y37,"*BRT*")</f>
        <v/>
      </c>
      <c r="AZ37" s="313">
        <f>COUNTIF(A37:AH37,"*$BTP*")</f>
        <v/>
      </c>
      <c r="BA37" s="313">
        <f>AZ37*('Setting key Duty'!$I$13+'Setting key Duty'!$I$12+'Setting key Duty'!$I$11)</f>
        <v/>
      </c>
      <c r="BB37" s="313">
        <f>COUNTIF(D37:AH37,"*$L*")</f>
        <v/>
      </c>
      <c r="BC37" s="313">
        <f>BB37*('Setting key Duty'!$I$13+'Setting key Duty'!$I$9)</f>
        <v/>
      </c>
      <c r="BD37" s="313">
        <f>COUNTIF(D37:AH37,"*$M*")</f>
        <v/>
      </c>
      <c r="BE37" s="313">
        <f>BD37*('Setting key Duty'!$I$8+'Setting key Duty'!$I$9+'Setting key Duty'!$I$12)</f>
        <v/>
      </c>
      <c r="BF37" s="313">
        <f>COUNTIF(D37:AH37,"*$N*")</f>
        <v/>
      </c>
      <c r="BG37" s="313">
        <f>COUNTIF(D37:AH37,"*$PM*")</f>
        <v/>
      </c>
      <c r="BH37" s="313">
        <f>BG37*('Setting key Duty'!$I$9)</f>
        <v/>
      </c>
      <c r="BI37" s="313">
        <f>COUNTIF(D37:AH37,"*$AM*")</f>
        <v/>
      </c>
      <c r="BJ37" s="313">
        <f>BI37*('Setting key Duty'!$I$12+'Setting key Duty'!$I$8)</f>
        <v/>
      </c>
      <c r="BK37" s="313">
        <f>COUNTIF(C37:AH37,"*$FC*")</f>
        <v/>
      </c>
      <c r="BL37" s="313">
        <f>BK37*('Setting key Duty'!$J$11+'Setting key Duty'!$I$8)</f>
        <v/>
      </c>
      <c r="BM37" s="313">
        <f>COUNTIF($C37:$AG37,BM$4)</f>
        <v/>
      </c>
      <c r="BN37" s="313">
        <f>COUNTIF($C37:$AG37,BN$4)</f>
        <v/>
      </c>
      <c r="BO37" s="313">
        <f>COUNTIF($D37:$AE37,BO$4)</f>
        <v/>
      </c>
      <c r="BP37" s="345" t="n"/>
    </row>
    <row r="38" ht="19.5" customHeight="1">
      <c r="A38" s="309" t="n"/>
      <c r="B38" s="354" t="n"/>
      <c r="C38" s="349" t="n"/>
      <c r="D38" s="317" t="n"/>
      <c r="E38" s="317" t="n"/>
      <c r="F38" s="317" t="n"/>
      <c r="G38" s="324" t="n"/>
      <c r="H38" s="317" t="n"/>
      <c r="I38" s="317" t="n"/>
      <c r="J38" s="317" t="n"/>
      <c r="K38" s="317" t="n"/>
      <c r="L38" s="317" t="n"/>
      <c r="N38" s="317" t="n"/>
      <c r="O38" s="317" t="n"/>
      <c r="P38" s="317" t="n"/>
      <c r="Q38" s="106" t="n"/>
      <c r="R38" s="106" t="n"/>
      <c r="S38" s="317" t="n"/>
      <c r="T38" s="317" t="n"/>
      <c r="U38" s="317" t="n"/>
      <c r="V38" s="317" t="n"/>
      <c r="X38" s="317" t="n"/>
      <c r="AD38" s="317" t="n"/>
      <c r="AE38" s="317" t="n"/>
      <c r="AF38" s="317" t="n"/>
      <c r="AG38" s="317" t="n"/>
      <c r="AH38" s="311" t="n"/>
      <c r="AI38" s="312" t="n"/>
      <c r="AJ38" s="311" t="n"/>
      <c r="AK38" s="344" t="n"/>
      <c r="AL38" s="344" t="n"/>
      <c r="AM38" s="344" t="n"/>
      <c r="AN38" s="344" t="n"/>
      <c r="AO38" s="246" t="n"/>
      <c r="AP38" s="313" t="n"/>
      <c r="AQ38" s="246" t="n"/>
      <c r="AR38" s="238" t="n"/>
      <c r="AS38" s="246" t="n"/>
      <c r="AT38" s="238" t="n"/>
      <c r="AU38" s="238" t="n"/>
      <c r="AV38" s="238" t="n"/>
      <c r="AW38" s="238" t="n"/>
      <c r="AX38" s="313" t="n"/>
      <c r="AY38" s="313" t="n"/>
      <c r="AZ38" s="313" t="n"/>
      <c r="BA38" s="313" t="n"/>
      <c r="BB38" s="313" t="n"/>
      <c r="BC38" s="313" t="n"/>
      <c r="BD38" s="313" t="n"/>
      <c r="BE38" s="313" t="n"/>
      <c r="BF38" s="313" t="n"/>
      <c r="BG38" s="313" t="n"/>
      <c r="BH38" s="313" t="n"/>
      <c r="BI38" s="313" t="n"/>
      <c r="BJ38" s="313" t="n"/>
      <c r="BK38" s="313" t="n"/>
      <c r="BL38" s="313" t="n"/>
      <c r="BM38" s="313" t="n"/>
      <c r="BN38" s="313" t="n"/>
      <c r="BO38" s="313" t="n"/>
      <c r="BP38" s="345" t="n"/>
    </row>
    <row r="39" ht="19.5" customHeight="1">
      <c r="A39" s="309" t="n"/>
      <c r="B39" s="354" t="inlineStr">
        <is>
          <t>Leave a blank row after the last name ^</t>
        </is>
      </c>
      <c r="C39" s="349" t="n"/>
      <c r="D39" s="317" t="n"/>
      <c r="E39" s="317" t="n"/>
      <c r="F39" s="317" t="n"/>
      <c r="G39" s="317" t="n"/>
      <c r="H39" s="317" t="n"/>
      <c r="I39" s="317" t="n"/>
      <c r="J39" s="317" t="n"/>
      <c r="K39" s="317" t="n"/>
      <c r="L39" s="317" t="n"/>
      <c r="N39" s="317" t="n"/>
      <c r="O39" s="317" t="n"/>
      <c r="P39" s="317" t="n"/>
      <c r="Q39" s="106" t="n"/>
      <c r="R39" s="106" t="n"/>
      <c r="S39" s="317" t="n"/>
      <c r="T39" s="317" t="n"/>
      <c r="U39" s="317" t="n"/>
      <c r="V39" s="317" t="n"/>
      <c r="W39" s="317" t="n"/>
      <c r="X39" s="317" t="n"/>
      <c r="Y39" s="317" t="n"/>
      <c r="Z39" s="317" t="n"/>
      <c r="AA39" s="317" t="n"/>
      <c r="AB39" s="317" t="n"/>
      <c r="AC39" s="317" t="n"/>
      <c r="AD39" s="317" t="n"/>
      <c r="AE39" s="317" t="n"/>
      <c r="AF39" s="317" t="n"/>
      <c r="AG39" s="317" t="n"/>
      <c r="AH39" s="311">
        <f>COUNTIF($C39:$AG39,AH$4)</f>
        <v/>
      </c>
      <c r="AI39" s="312">
        <f>COUNTIF($C39:$AG39,AI$4)</f>
        <v/>
      </c>
      <c r="AJ39" s="311">
        <f>COUNTIF($C39:$AG39,AJ$4)</f>
        <v/>
      </c>
      <c r="AK39" s="344">
        <f>COUNTIF($C39:$AG39,AK$4)</f>
        <v/>
      </c>
      <c r="AL39" s="344">
        <f>COUNTIF($C39:$AG39,AL$4)</f>
        <v/>
      </c>
      <c r="AM39" s="344">
        <f>COUNTIF($C39:$AG39,AM$4)</f>
        <v/>
      </c>
      <c r="AN39" s="344">
        <f>COUNTIF($C39:$AG39,AN$4)</f>
        <v/>
      </c>
      <c r="AO39" s="246" t="n"/>
      <c r="AP39" s="313" t="n"/>
      <c r="AQ39" s="246" t="n"/>
      <c r="AR39" s="238" t="n"/>
      <c r="AS39" s="246" t="n"/>
      <c r="AT39" s="246" t="n"/>
      <c r="AU39" s="238" t="n"/>
      <c r="AV39" s="238" t="n"/>
      <c r="AW39" s="238" t="n"/>
      <c r="AX39" s="313" t="n"/>
      <c r="AY39" s="313" t="n"/>
      <c r="AZ39" s="313" t="n"/>
      <c r="BA39" s="313" t="n"/>
      <c r="BB39" s="313" t="n"/>
      <c r="BC39" s="313" t="n"/>
      <c r="BD39" s="313" t="n"/>
      <c r="BE39" s="313" t="n"/>
      <c r="BF39" s="313" t="n"/>
      <c r="BG39" s="313" t="n"/>
      <c r="BH39" s="313" t="n"/>
      <c r="BI39" s="313" t="n"/>
      <c r="BJ39" s="313" t="n"/>
      <c r="BK39" s="313" t="n"/>
      <c r="BL39" s="313" t="n"/>
      <c r="BM39" s="344" t="n"/>
      <c r="BN39" s="344" t="n"/>
      <c r="BO39" s="344" t="n"/>
      <c r="BP39" s="345" t="n"/>
    </row>
    <row r="40" ht="19.5" customHeight="1">
      <c r="A40" s="309" t="n"/>
      <c r="B40" s="357" t="n"/>
      <c r="C40" s="358" t="n"/>
      <c r="D40" s="359" t="n"/>
      <c r="E40" s="359" t="n"/>
      <c r="F40" s="359" t="n"/>
      <c r="G40" s="359" t="n"/>
      <c r="H40" s="358" t="n"/>
      <c r="I40" s="358" t="n"/>
      <c r="J40" s="358" t="n"/>
      <c r="K40" s="358" t="n"/>
      <c r="L40" s="358" t="n"/>
      <c r="M40" s="358" t="n"/>
      <c r="N40" s="358" t="n"/>
      <c r="O40" s="358" t="n"/>
      <c r="P40" s="358" t="n"/>
      <c r="Q40" s="358" t="n"/>
      <c r="R40" s="358" t="n"/>
      <c r="S40" s="358" t="n"/>
      <c r="T40" s="358" t="n"/>
      <c r="U40" s="358" t="n"/>
      <c r="V40" s="358" t="n"/>
      <c r="W40" s="358" t="n"/>
      <c r="X40" s="358" t="n"/>
      <c r="Y40" s="358" t="n"/>
      <c r="Z40" s="358" t="n"/>
      <c r="AA40" s="358" t="n"/>
      <c r="AB40" s="358" t="n"/>
      <c r="AC40" s="358" t="n"/>
      <c r="AD40" s="358" t="n"/>
      <c r="AE40" s="358" t="n"/>
      <c r="AF40" s="358" t="n"/>
      <c r="AG40" s="358" t="n"/>
      <c r="AH40" s="361" t="n"/>
      <c r="AI40" s="362" t="n"/>
      <c r="AJ40" s="361" t="n"/>
      <c r="AK40" s="363" t="n"/>
      <c r="AL40" s="363" t="n"/>
      <c r="AM40" s="363" t="n"/>
      <c r="AN40" s="363" t="n"/>
      <c r="AO40" s="253" t="n"/>
      <c r="AP40" s="253" t="n"/>
      <c r="AQ40" s="253" t="n"/>
      <c r="AR40" s="253">
        <f>SUMPRODUCT(--WEEKDAY(C$3:AG$3,2)&gt;5,--((C40:AG40="DM"))+(C40:AG40="CS1")+((C40:AG40="CS2"))+(C40:AG40="SB1")+(C40:AG40="AE")+(C40:AG40="EM"))</f>
        <v/>
      </c>
      <c r="AS40" s="253" t="n"/>
      <c r="AT40" s="253">
        <f>(AP40-AQ40)/2+(AR40-AS40)</f>
        <v/>
      </c>
      <c r="AU40" s="253" t="n"/>
      <c r="AV40" s="253" t="n"/>
      <c r="AW40" s="253" t="n"/>
      <c r="AX40" s="363" t="n"/>
      <c r="AY40" s="363" t="n"/>
      <c r="AZ40" s="363" t="n"/>
      <c r="BA40" s="363" t="n"/>
      <c r="BB40" s="363" t="n"/>
      <c r="BC40" s="363" t="n"/>
      <c r="BD40" s="363" t="n"/>
      <c r="BE40" s="363" t="n"/>
      <c r="BF40" s="363" t="n"/>
      <c r="BG40" s="363" t="n"/>
      <c r="BH40" s="363" t="n"/>
      <c r="BI40" s="363" t="n"/>
      <c r="BJ40" s="363" t="n"/>
      <c r="BK40" s="363" t="n"/>
      <c r="BL40" s="363" t="n"/>
      <c r="BM40" s="363" t="n"/>
      <c r="BN40" s="363" t="n"/>
      <c r="BO40" s="363" t="n"/>
      <c r="BP40" s="364" t="n"/>
    </row>
    <row r="41" ht="19.5" customHeight="1">
      <c r="A41" s="309" t="n"/>
      <c r="B41" s="365" t="inlineStr">
        <is>
          <t>DM</t>
        </is>
      </c>
      <c r="C41" s="366">
        <f>VLOOKUP("DM",C4:C39,1,FALSE)</f>
        <v/>
      </c>
      <c r="D41" s="366">
        <f>VLOOKUP("DM",D4:D39,1,FALSE)</f>
        <v/>
      </c>
      <c r="E41" s="366">
        <f>VLOOKUP("DM",E4:E39,1,FALSE)</f>
        <v/>
      </c>
      <c r="F41" s="366">
        <f>VLOOKUP("DM",F4:F39,1,FALSE)</f>
        <v/>
      </c>
      <c r="G41" s="366">
        <f>VLOOKUP("DM",G4:G39,1,FALSE)</f>
        <v/>
      </c>
      <c r="H41" s="366">
        <f>VLOOKUP("DM",H4:H39,1,FALSE)</f>
        <v/>
      </c>
      <c r="I41" s="366">
        <f>VLOOKUP("DM",I4:I39,1,FALSE)</f>
        <v/>
      </c>
      <c r="J41" s="366">
        <f>VLOOKUP("DM",J4:J39,1,FALSE)</f>
        <v/>
      </c>
      <c r="K41" s="366">
        <f>VLOOKUP("DM",K4:K39,1,FALSE)</f>
        <v/>
      </c>
      <c r="L41" s="366">
        <f>VLOOKUP("DM",L4:L39,1,FALSE)</f>
        <v/>
      </c>
      <c r="M41" s="366">
        <f>VLOOKUP("DM",M4:M33,1,FALSE)</f>
        <v/>
      </c>
      <c r="N41" s="366">
        <f>VLOOKUP("DM",N4:N39,1,FALSE)</f>
        <v/>
      </c>
      <c r="O41" s="366">
        <f>VLOOKUP("DM",O4:O39,1,FALSE)</f>
        <v/>
      </c>
      <c r="P41" s="366">
        <f>VLOOKUP("DM",P4:P39,1,FALSE)</f>
        <v/>
      </c>
      <c r="Q41" s="366">
        <f>VLOOKUP("DM",Q4:Q37,1,FALSE)</f>
        <v/>
      </c>
      <c r="R41" s="366">
        <f>VLOOKUP("DM",R4:R31,1,FALSE)</f>
        <v/>
      </c>
      <c r="S41" s="366">
        <f>VLOOKUP("DM",S4:S39,1,FALSE)</f>
        <v/>
      </c>
      <c r="T41" s="366">
        <f>VLOOKUP("DM",T4:T39,1,FALSE)</f>
        <v/>
      </c>
      <c r="U41" s="366">
        <f>VLOOKUP("DM",U4:U39,1,FALSE)</f>
        <v/>
      </c>
      <c r="V41" s="366">
        <f>VLOOKUP("DM",V4:V30,1,FALSE)</f>
        <v/>
      </c>
      <c r="W41" s="366">
        <f>VLOOKUP("DM",W4:W30,1,FALSE)</f>
        <v/>
      </c>
      <c r="X41" s="366">
        <f>VLOOKUP("DM",X4:X39,1,FALSE)</f>
        <v/>
      </c>
      <c r="Y41" s="366">
        <f>VLOOKUP("DM",Y4:Y39,1,FALSE)</f>
        <v/>
      </c>
      <c r="Z41" s="366">
        <f>VLOOKUP("DM",Z4:Z39,1,FALSE)</f>
        <v/>
      </c>
      <c r="AA41" s="366">
        <f>VLOOKUP("DM",AA5:AA39,1,FALSE)</f>
        <v/>
      </c>
      <c r="AB41" s="366">
        <f>VLOOKUP("DM",AB4:AB39,1,FALSE)</f>
        <v/>
      </c>
      <c r="AC41" s="366">
        <f>VLOOKUP("DM",AC4:AC39,1,FALSE)</f>
        <v/>
      </c>
      <c r="AD41" s="366">
        <f>VLOOKUP("DM",AD4:AD39,1,FALSE)</f>
        <v/>
      </c>
      <c r="AE41" s="366">
        <f>VLOOKUP("DM",AE4:AE39,1,FALSE)</f>
        <v/>
      </c>
      <c r="AF41" s="366">
        <f>VLOOKUP("DM",AF4:AF39,1,FALSE)</f>
        <v/>
      </c>
      <c r="AG41" s="366">
        <f>VLOOKUP("DM",AG4:AG39,1,FALSE)</f>
        <v/>
      </c>
      <c r="AH41" s="311" t="n"/>
      <c r="AI41" s="312" t="n"/>
      <c r="AJ41" s="311" t="n"/>
      <c r="AK41" s="313" t="n"/>
      <c r="AL41" s="313" t="n"/>
      <c r="AM41" s="313" t="n"/>
      <c r="AN41" s="313" t="n"/>
      <c r="AO41" s="313" t="n"/>
      <c r="AP41" s="313" t="n"/>
      <c r="AQ41" s="313" t="n"/>
      <c r="AR41" s="313" t="n"/>
      <c r="AS41" s="313" t="n"/>
      <c r="AT41" s="313" t="n"/>
      <c r="AU41" s="313" t="n"/>
      <c r="AV41" s="313" t="n"/>
      <c r="AW41" s="313" t="n"/>
      <c r="AX41" s="313" t="n"/>
      <c r="AY41" s="313" t="n"/>
      <c r="AZ41" s="313" t="n"/>
      <c r="BA41" s="313" t="n"/>
      <c r="BB41" s="313" t="n"/>
      <c r="BC41" s="313" t="n"/>
      <c r="BD41" s="313" t="n"/>
      <c r="BE41" s="313" t="n"/>
      <c r="BF41" s="313" t="n"/>
      <c r="BG41" s="313" t="n"/>
      <c r="BH41" s="313" t="n"/>
      <c r="BI41" s="313" t="n"/>
      <c r="BJ41" s="313" t="n"/>
      <c r="BK41" s="313" t="n"/>
      <c r="BL41" s="313" t="n"/>
      <c r="BM41" s="313" t="n"/>
      <c r="BN41" s="313" t="n"/>
      <c r="BO41" s="313" t="n"/>
      <c r="BP41" s="314" t="n"/>
    </row>
    <row r="42" ht="19.5" customHeight="1">
      <c r="A42" s="309">
        <f>LTE()</f>
        <v/>
      </c>
      <c r="B42" s="368" t="inlineStr">
        <is>
          <t>CS1</t>
        </is>
      </c>
      <c r="C42" s="366">
        <f>VLOOKUP("CS1",C5:C39,1,FALSE)</f>
        <v/>
      </c>
      <c r="D42" s="366">
        <f>VLOOKUP("CS1",D1:D39,1,FALSE)</f>
        <v/>
      </c>
      <c r="E42" s="366">
        <f>VLOOKUP("CS1",E7:E39,1,FALSE)</f>
        <v/>
      </c>
      <c r="F42" s="366">
        <f>VLOOKUP("CS1",F7:F39,1,FALSE)</f>
        <v/>
      </c>
      <c r="G42" s="366">
        <f>VLOOKUP("CS1",G6:G39,1,FALSE)</f>
        <v/>
      </c>
      <c r="H42" s="366">
        <f>VLOOKUP("CS1",H5:H39,1,FALSE)</f>
        <v/>
      </c>
      <c r="I42" s="366">
        <f>VLOOKUP("CS1",I7:I39,1,FALSE)</f>
        <v/>
      </c>
      <c r="J42" s="366">
        <f>VLOOKUP("CS1",J4:J39,1,FALSE)</f>
        <v/>
      </c>
      <c r="K42" s="366">
        <f>VLOOKUP("CS1",K1:K39,1,FALSE)</f>
        <v/>
      </c>
      <c r="L42" s="366">
        <f>VLOOKUP("CS1",L1:L39,1,FALSE)</f>
        <v/>
      </c>
      <c r="M42" s="366">
        <f>VLOOKUP("CS1",M6:M33,1,FALSE)</f>
        <v/>
      </c>
      <c r="N42" s="366">
        <f>VLOOKUP("CS1",N5:N39,1,FALSE)</f>
        <v/>
      </c>
      <c r="O42" s="366">
        <f>VLOOKUP("CS1",O7:O39,1,FALSE)</f>
        <v/>
      </c>
      <c r="P42" s="366">
        <f>VLOOKUP("CS1",P5:P39,1,FALSE)</f>
        <v/>
      </c>
      <c r="Q42" s="366">
        <f>VLOOKUP("CS1",Q7:Q37,1,FALSE)</f>
        <v/>
      </c>
      <c r="R42" s="366">
        <f>VLOOKUP("CS1",R6:R31,1,FALSE)</f>
        <v/>
      </c>
      <c r="S42" s="366">
        <f>VLOOKUP("CS1",S6:S39,1,FALSE)</f>
        <v/>
      </c>
      <c r="T42" s="366">
        <f>VLOOKUP("CS1",T6:T39,1,FALSE)</f>
        <v/>
      </c>
      <c r="U42" s="366">
        <f>VLOOKUP("CS1",U5:U39,1,FALSE)</f>
        <v/>
      </c>
      <c r="V42" s="366">
        <f>VLOOKUP("CS1",V1:V30,1,FALSE)</f>
        <v/>
      </c>
      <c r="W42" s="366">
        <f>VLOOKUP("CS1",W1:W30,1,FALSE)</f>
        <v/>
      </c>
      <c r="X42" s="366">
        <f>VLOOKUP("CS1",X1:X39,1,FALSE)</f>
        <v/>
      </c>
      <c r="Y42" s="366">
        <f>VLOOKUP("CS1",Y6:Y39,1,FALSE)</f>
        <v/>
      </c>
      <c r="Z42" s="366">
        <f>VLOOKUP("CS1",Z8:Z39,1,FALSE)</f>
        <v/>
      </c>
      <c r="AA42" s="366">
        <f>VLOOKUP("CS1",AA5:AA39,1,FALSE)</f>
        <v/>
      </c>
      <c r="AB42" s="366">
        <f>VLOOKUP("CS1",AB9:AB39,1,FALSE)</f>
        <v/>
      </c>
      <c r="AC42" s="366">
        <f>VLOOKUP("CS1",AC7:AC39,1,FALSE)</f>
        <v/>
      </c>
      <c r="AD42" s="366">
        <f>VLOOKUP("CS1",AD6:AD39,1,FALSE)</f>
        <v/>
      </c>
      <c r="AE42" s="366">
        <f>VLOOKUP("CS1",AE6:AE39,1,FALSE)</f>
        <v/>
      </c>
      <c r="AF42" s="366">
        <f>VLOOKUP("CS1",AF7:AF39,1,FALSE)</f>
        <v/>
      </c>
      <c r="AG42" s="366">
        <f>VLOOKUP("CS1",AG6:AG39,1,FALSE)</f>
        <v/>
      </c>
      <c r="AH42" s="311" t="n"/>
      <c r="AI42" s="312" t="n"/>
      <c r="AJ42" s="311" t="n"/>
      <c r="AK42" s="313" t="n"/>
      <c r="AL42" s="313" t="n"/>
      <c r="AM42" s="313" t="n"/>
      <c r="AN42" s="313" t="n"/>
      <c r="AO42" s="313" t="n"/>
      <c r="AP42" s="313" t="n"/>
      <c r="AQ42" s="313" t="n"/>
      <c r="AR42" s="313" t="n"/>
      <c r="AS42" s="313" t="n"/>
      <c r="AT42" s="313" t="n"/>
      <c r="AU42" s="313" t="n"/>
      <c r="AV42" s="313" t="n"/>
      <c r="AW42" s="313" t="n"/>
      <c r="AX42" s="313" t="n"/>
      <c r="AY42" s="313" t="n"/>
      <c r="AZ42" s="313" t="n"/>
      <c r="BA42" s="313" t="n"/>
      <c r="BB42" s="313" t="n"/>
      <c r="BC42" s="313" t="n"/>
      <c r="BD42" s="313" t="n"/>
      <c r="BE42" s="313" t="n"/>
      <c r="BF42" s="313" t="n"/>
      <c r="BG42" s="313" t="n"/>
      <c r="BH42" s="313" t="n"/>
      <c r="BI42" s="313" t="n"/>
      <c r="BJ42" s="313" t="n"/>
      <c r="BK42" s="313" t="n"/>
      <c r="BL42" s="313" t="n"/>
      <c r="BM42" s="313" t="n"/>
      <c r="BN42" s="313" t="n"/>
      <c r="BO42" s="313" t="n"/>
      <c r="BP42" s="314" t="n"/>
    </row>
    <row r="43" ht="19.5" customHeight="1">
      <c r="A43" s="309" t="n"/>
      <c r="B43" s="369" t="inlineStr">
        <is>
          <t>CS2</t>
        </is>
      </c>
      <c r="C43" s="366">
        <f>VLOOKUP("CS2",C6:C39,1,FALSE)</f>
        <v/>
      </c>
      <c r="D43" s="366">
        <f>VLOOKUP("CS2",D9:D39,1,FALSE)</f>
        <v/>
      </c>
      <c r="E43" s="366">
        <f>VLOOKUP("CS2",E7:E39,1,FALSE)</f>
        <v/>
      </c>
      <c r="F43" s="366">
        <f>VLOOKUP("CS2",F7:F39,1,FALSE)</f>
        <v/>
      </c>
      <c r="G43" s="366">
        <f>VLOOKUP("CS2",G6:G39,1,FALSE)</f>
        <v/>
      </c>
      <c r="H43" s="366">
        <f>VLOOKUP("CS2",H1:H39,1,FALSE)</f>
        <v/>
      </c>
      <c r="I43" s="366">
        <f>VLOOKUP("CS2",I7:I39,1,FALSE)</f>
        <v/>
      </c>
      <c r="J43" s="366">
        <f>VLOOKUP("CS2",J4:J39,1,FALSE)</f>
        <v/>
      </c>
      <c r="K43" s="366">
        <f>VLOOKUP("CS2",K5:K39,1,FALSE)</f>
        <v/>
      </c>
      <c r="L43" s="366">
        <f>VLOOKUP("CS2",L4:L39,1,FALSE)</f>
        <v/>
      </c>
      <c r="M43" s="366">
        <f>VLOOKUP("CS2",M7:M33,1,FALSE)</f>
        <v/>
      </c>
      <c r="N43" s="366">
        <f>VLOOKUP("CS2",N5:N39,1,FALSE)</f>
        <v/>
      </c>
      <c r="O43" s="366">
        <f>VLOOKUP("CS2",O5:O39,1,FALSE)</f>
        <v/>
      </c>
      <c r="P43" s="366">
        <f>VLOOKUP("CS2",P7:P39,1,FALSE)</f>
        <v/>
      </c>
      <c r="Q43" s="366">
        <f>VLOOKUP("CS2",Q7:Q37,1,FALSE)</f>
        <v/>
      </c>
      <c r="R43" s="366">
        <f>VLOOKUP("CS2",R6:R31,1,FALSE)</f>
        <v/>
      </c>
      <c r="S43" s="366">
        <f>VLOOKUP("CS2",S6:S39,1,FALSE)</f>
        <v/>
      </c>
      <c r="T43" s="366">
        <f>VLOOKUP("CS2",T1:T39,1,FALSE)</f>
        <v/>
      </c>
      <c r="U43" s="366">
        <f>VLOOKUP("CS2",U1:U39,1,FALSE)</f>
        <v/>
      </c>
      <c r="V43" s="366">
        <f>VLOOKUP("CS2",V1:V30,1,FALSE)</f>
        <v/>
      </c>
      <c r="W43" s="366">
        <f>VLOOKUP("CS2",W10:W30,1,FALSE)</f>
        <v/>
      </c>
      <c r="X43" s="366">
        <f>VLOOKUP("CS2",X8:X39,1,FALSE)</f>
        <v/>
      </c>
      <c r="Y43" s="366">
        <f>VLOOKUP("CS2",Y6:Y39,1,FALSE)</f>
        <v/>
      </c>
      <c r="Z43" s="366">
        <f>VLOOKUP("CS2",Z8:Z39,1,FALSE)</f>
        <v/>
      </c>
      <c r="AA43" s="366">
        <f>VLOOKUP("CS2",AA5:AA39,1,FALSE)</f>
        <v/>
      </c>
      <c r="AB43" s="366">
        <f>VLOOKUP("CS2",AB1:AB39,1,FALSE)</f>
        <v/>
      </c>
      <c r="AC43" s="366">
        <f>VLOOKUP("CS2",AC7:AC39,1,FALSE)</f>
        <v/>
      </c>
      <c r="AD43" s="366">
        <f>VLOOKUP("CS2",AD6:AD39,1,FALSE)</f>
        <v/>
      </c>
      <c r="AE43" s="366">
        <f>VLOOKUP("CS2",AE6:AE39,1,FALSE)</f>
        <v/>
      </c>
      <c r="AF43" s="366">
        <f>VLOOKUP("CS2",AF7:AF39,1,FALSE)</f>
        <v/>
      </c>
      <c r="AG43" s="366">
        <f>VLOOKUP("CS2",AG6:AG39,1,FALSE)</f>
        <v/>
      </c>
      <c r="AH43" s="311" t="n"/>
      <c r="AI43" s="312" t="n"/>
      <c r="AJ43" s="311" t="n"/>
      <c r="AK43" s="313" t="n"/>
      <c r="AL43" s="313" t="n"/>
      <c r="AM43" s="313" t="n"/>
      <c r="AN43" s="313" t="n"/>
      <c r="AO43" s="313" t="n"/>
      <c r="AP43" s="313" t="n"/>
      <c r="AQ43" s="313" t="n"/>
      <c r="AR43" s="313" t="n"/>
      <c r="AS43" s="313" t="n"/>
      <c r="AT43" s="313" t="n"/>
      <c r="AU43" s="313" t="n"/>
      <c r="AV43" s="313" t="n"/>
      <c r="AW43" s="313" t="n"/>
      <c r="AX43" s="313" t="n"/>
      <c r="AY43" s="313" t="n"/>
      <c r="AZ43" s="313" t="n"/>
      <c r="BA43" s="313" t="n"/>
      <c r="BB43" s="313" t="n"/>
      <c r="BC43" s="313" t="n"/>
      <c r="BD43" s="313" t="n"/>
      <c r="BE43" s="313" t="n"/>
      <c r="BF43" s="313" t="n"/>
      <c r="BG43" s="313" t="n"/>
      <c r="BH43" s="313" t="n"/>
      <c r="BI43" s="313" t="n"/>
      <c r="BJ43" s="313" t="n"/>
      <c r="BK43" s="313" t="n"/>
      <c r="BL43" s="313" t="n"/>
      <c r="BM43" s="313" t="n"/>
      <c r="BN43" s="313" t="n"/>
      <c r="BO43" s="313" t="n"/>
      <c r="BP43" s="314" t="n"/>
    </row>
    <row r="44" ht="19.5" customHeight="1">
      <c r="A44" s="309" t="n"/>
      <c r="B44" s="370" t="inlineStr">
        <is>
          <t>SB1</t>
        </is>
      </c>
      <c r="C44" s="366">
        <f>VLOOKUP("SB1",C6:C39,1,FALSE)</f>
        <v/>
      </c>
      <c r="D44" s="366">
        <f>VLOOKUP("SB1",D3:D39,1,FALSE)</f>
        <v/>
      </c>
      <c r="E44" s="366">
        <f>VLOOKUP("SB1",E7:E39,1,FALSE)</f>
        <v/>
      </c>
      <c r="F44" s="366">
        <f>VLOOKUP("SB1",F7:F39,1,FALSE)</f>
        <v/>
      </c>
      <c r="G44" s="366">
        <f>VLOOKUP("SB1",G6:G39,1,FALSE)</f>
        <v/>
      </c>
      <c r="H44" s="366">
        <f>VLOOKUP("SB1",H7:H39,1,FALSE)</f>
        <v/>
      </c>
      <c r="I44" s="366">
        <f>VLOOKUP("SB1",I7:I39,1,FALSE)</f>
        <v/>
      </c>
      <c r="J44" s="366">
        <f>VLOOKUP("SB1",J4:J39,1,FALSE)</f>
        <v/>
      </c>
      <c r="K44" s="366">
        <f>VLOOKUP("SB1",K6:K39,1,FALSE)</f>
        <v/>
      </c>
      <c r="L44" s="366">
        <f>VLOOKUP("SB1",L6:L39,1,FALSE)</f>
        <v/>
      </c>
      <c r="M44" s="366">
        <f>VLOOKUP("SB1",M7:M33,1,FALSE)</f>
        <v/>
      </c>
      <c r="N44" s="366">
        <f>VLOOKUP("SB1",N5:N39,1,FALSE)</f>
        <v/>
      </c>
      <c r="O44" s="366">
        <f>VLOOKUP("SB1",O7:O39,1,FALSE)</f>
        <v/>
      </c>
      <c r="P44" s="366">
        <f>VLOOKUP("SB1",P7:P39,1,FALSE)</f>
        <v/>
      </c>
      <c r="Q44" s="366">
        <f>VLOOKUP("SB1",Q7:Q37,1,FALSE)</f>
        <v/>
      </c>
      <c r="R44" s="366">
        <f>VLOOKUP("SB1",R6:R31,1,FALSE)</f>
        <v/>
      </c>
      <c r="S44" s="366">
        <f>VLOOKUP("SB1",S6:S39,1,FALSE)</f>
        <v/>
      </c>
      <c r="T44" s="366">
        <f>VLOOKUP("SB1",T6:T39,1,FALSE)</f>
        <v/>
      </c>
      <c r="U44" s="366">
        <f>VLOOKUP("SB1",U8:U39,1,FALSE)</f>
        <v/>
      </c>
      <c r="V44" s="366">
        <f>VLOOKUP("SB1",V7:V30,1,FALSE)</f>
        <v/>
      </c>
      <c r="W44" s="366">
        <f>VLOOKUP("SB1",W5:W30,1,FALSE)</f>
        <v/>
      </c>
      <c r="X44" s="366">
        <f>VLOOKUP("SB1",X5:X39,1,FALSE)</f>
        <v/>
      </c>
      <c r="Y44" s="366">
        <f>VLOOKUP("SB1",Y6:Y39,1,FALSE)</f>
        <v/>
      </c>
      <c r="Z44" s="366">
        <f>VLOOKUP("SB1",Z8:Z39,1,FALSE)</f>
        <v/>
      </c>
      <c r="AA44" s="366">
        <f>VLOOKUP("SB1",AA5:AA39,1,FALSE)</f>
        <v/>
      </c>
      <c r="AB44" s="366">
        <f>VLOOKUP("SB1",AB1:AB39,1,FALSE)</f>
        <v/>
      </c>
      <c r="AC44" s="366">
        <f>VLOOKUP("SB1",AC1:AC39,1,FALSE)</f>
        <v/>
      </c>
      <c r="AD44" s="366">
        <f>VLOOKUP("SB1",AD6:AD39,1,FALSE)</f>
        <v/>
      </c>
      <c r="AE44" s="366">
        <f>VLOOKUP("SB1",AE6:AE39,1,FALSE)</f>
        <v/>
      </c>
      <c r="AF44" s="366">
        <f>VLOOKUP("SB1",AF7:AF39,1,FALSE)</f>
        <v/>
      </c>
      <c r="AG44" s="366">
        <f>VLOOKUP("SB1",AG6:AG39,1,FALSE)</f>
        <v/>
      </c>
      <c r="AH44" s="311" t="n"/>
      <c r="AI44" s="312" t="n"/>
      <c r="AJ44" s="311" t="n"/>
      <c r="AK44" s="313" t="n"/>
      <c r="AL44" s="313" t="n"/>
      <c r="AM44" s="313" t="n"/>
      <c r="AN44" s="313" t="n"/>
      <c r="AO44" s="313" t="n"/>
      <c r="AP44" s="313" t="n"/>
      <c r="AQ44" s="313" t="n"/>
      <c r="AR44" s="313" t="n"/>
      <c r="AS44" s="313" t="n"/>
      <c r="AT44" s="313" t="n"/>
      <c r="AU44" s="313" t="n"/>
      <c r="AV44" s="313" t="n"/>
      <c r="AW44" s="313" t="n"/>
      <c r="AX44" s="313" t="n"/>
      <c r="AY44" s="313" t="n"/>
      <c r="AZ44" s="313" t="n"/>
      <c r="BA44" s="313" t="n"/>
      <c r="BB44" s="313" t="n"/>
      <c r="BC44" s="313" t="n"/>
      <c r="BD44" s="313" t="n"/>
      <c r="BE44" s="313" t="n"/>
      <c r="BF44" s="313" t="n"/>
      <c r="BG44" s="313" t="n"/>
      <c r="BH44" s="313" t="n"/>
      <c r="BI44" s="313" t="n"/>
      <c r="BJ44" s="313" t="n"/>
      <c r="BK44" s="313" t="n"/>
      <c r="BL44" s="313" t="n"/>
      <c r="BM44" s="313" t="n"/>
      <c r="BN44" s="313" t="n"/>
      <c r="BO44" s="313" t="n"/>
      <c r="BP44" s="314" t="n"/>
    </row>
    <row r="45" ht="19.5" customHeight="1">
      <c r="A45" s="309" t="n"/>
      <c r="B45" s="371" t="inlineStr">
        <is>
          <t>SB2</t>
        </is>
      </c>
      <c r="C45" s="366">
        <f>VLOOKUP("SB2",C6:C39,1,FALSE)</f>
        <v/>
      </c>
      <c r="D45" s="366">
        <f>VLOOKUP("SB2",D9:D39,1,FALSE)</f>
        <v/>
      </c>
      <c r="E45" s="366">
        <f>VLOOKUP("SB2",E7:E39,1,FALSE)</f>
        <v/>
      </c>
      <c r="F45" s="366">
        <f>VLOOKUP("SB2",F1:F39,1,FALSE)</f>
        <v/>
      </c>
      <c r="G45" s="366">
        <f>VLOOKUP("SB2",G6:G39,1,FALSE)</f>
        <v/>
      </c>
      <c r="H45" s="366">
        <f>VLOOKUP("SB2",H7:H39,1,FALSE)</f>
        <v/>
      </c>
      <c r="I45" s="366">
        <f>VLOOKUP("SB2",I7:I39,1,FALSE)</f>
        <v/>
      </c>
      <c r="J45" s="366">
        <f>VLOOKUP("SB2",J4:J39,1,FALSE)</f>
        <v/>
      </c>
      <c r="K45" s="366">
        <f>VLOOKUP("SB2",K6:K39,1,FALSE)</f>
        <v/>
      </c>
      <c r="L45" s="366">
        <f>VLOOKUP("SB2",L12:L39,1,FALSE)</f>
        <v/>
      </c>
      <c r="M45" s="366">
        <f>VLOOKUP("SB2",M7:M33,1,FALSE)</f>
        <v/>
      </c>
      <c r="N45" s="366">
        <f>VLOOKUP("SB2",N5:N39,1,FALSE)</f>
        <v/>
      </c>
      <c r="O45" s="366">
        <f>VLOOKUP("SB2",O7:O39,1,FALSE)</f>
        <v/>
      </c>
      <c r="P45" s="366">
        <f>VLOOKUP("SB2",P7:P39,1,FALSE)</f>
        <v/>
      </c>
      <c r="Q45" s="366">
        <f>VLOOKUP("SB2",Q10:Q37,1,FALSE)</f>
        <v/>
      </c>
      <c r="R45" s="366">
        <f>VLOOKUP("SB2",R6:R37,1,FALSE)</f>
        <v/>
      </c>
      <c r="S45" s="366">
        <f>VLOOKUP("SB2",S14:S39,1,FALSE)</f>
        <v/>
      </c>
      <c r="T45" s="366">
        <f>VLOOKUP("SB2",T6:T39,1,FALSE)</f>
        <v/>
      </c>
      <c r="U45" s="366">
        <f>VLOOKUP("SB2",U8:U39,1,FALSE)</f>
        <v/>
      </c>
      <c r="V45" s="366">
        <f>VLOOKUP("SB2",V5:V39,1,FALSE)</f>
        <v/>
      </c>
      <c r="W45" s="366">
        <f>VLOOKUP("SB2",W10:W36,1,FALSE)</f>
        <v/>
      </c>
      <c r="X45" s="366">
        <f>VLOOKUP("SB2",X8:X39,1,FALSE)</f>
        <v/>
      </c>
      <c r="Y45" s="366">
        <f>VLOOKUP("SB2",Y6:Y39,1,FALSE)</f>
        <v/>
      </c>
      <c r="Z45" s="366">
        <f>VLOOKUP("SB2",Z8:Z39,1,FALSE)</f>
        <v/>
      </c>
      <c r="AA45" s="366">
        <f>VLOOKUP("SB2",AA12:AA39,1,FALSE)</f>
        <v/>
      </c>
      <c r="AB45" s="366">
        <f>VLOOKUP("SB2",AB9:AB39,1,FALSE)</f>
        <v/>
      </c>
      <c r="AC45" s="366">
        <f>VLOOKUP("SB2",AC10:AC39,1,FALSE)</f>
        <v/>
      </c>
      <c r="AD45" s="366">
        <f>VLOOKUP("SB2",AD6:AD39,1,FALSE)</f>
        <v/>
      </c>
      <c r="AE45" s="366">
        <f>VLOOKUP("SB2",AE6:AE39,1,FALSE)</f>
        <v/>
      </c>
      <c r="AF45" s="366">
        <f>VLOOKUP("SB2",AF7:AF39,1,FALSE)</f>
        <v/>
      </c>
      <c r="AG45" s="366">
        <f>VLOOKUP("SB2",AG6:AG39,1,FALSE)</f>
        <v/>
      </c>
      <c r="AH45" s="311" t="n"/>
      <c r="AI45" s="312" t="n"/>
      <c r="AJ45" s="311" t="n"/>
      <c r="AK45" s="313" t="n"/>
      <c r="AL45" s="313" t="n"/>
      <c r="AM45" s="313" t="n"/>
      <c r="AN45" s="313" t="n"/>
      <c r="AO45" s="313" t="n"/>
      <c r="AP45" s="313" t="n"/>
      <c r="AQ45" s="313" t="n"/>
      <c r="AR45" s="313" t="n"/>
      <c r="AS45" s="313" t="n"/>
      <c r="AT45" s="313" t="n"/>
      <c r="AU45" s="313" t="n"/>
      <c r="AV45" s="313" t="n"/>
      <c r="AW45" s="313" t="n"/>
      <c r="AX45" s="313" t="n"/>
      <c r="AY45" s="313" t="n"/>
      <c r="AZ45" s="313" t="n"/>
      <c r="BA45" s="313" t="n"/>
      <c r="BB45" s="313" t="n"/>
      <c r="BC45" s="313" t="n"/>
      <c r="BD45" s="313" t="n"/>
      <c r="BE45" s="313" t="n"/>
      <c r="BF45" s="313" t="n"/>
      <c r="BG45" s="313" t="n"/>
      <c r="BH45" s="313" t="n"/>
      <c r="BI45" s="313" t="n"/>
      <c r="BJ45" s="313" t="n"/>
      <c r="BK45" s="313" t="n"/>
      <c r="BL45" s="313" t="n"/>
      <c r="BM45" s="313" t="n"/>
      <c r="BN45" s="313" t="n"/>
      <c r="BO45" s="313" t="n"/>
      <c r="BP45" s="314" t="n"/>
    </row>
    <row r="46" ht="19.5" customHeight="1">
      <c r="A46" s="309" t="n"/>
      <c r="B46" s="372" t="inlineStr">
        <is>
          <t>AE</t>
        </is>
      </c>
      <c r="C46" s="366">
        <f>VLOOKUP("AE",C6:C39,1,FALSE)</f>
        <v/>
      </c>
      <c r="D46" s="366">
        <f>VLOOKUP("AE",D9:D39,1,FALSE)</f>
        <v/>
      </c>
      <c r="E46" s="366">
        <f>VLOOKUP("AE",E7:E39,1,FALSE)</f>
        <v/>
      </c>
      <c r="F46" s="366">
        <f>VLOOKUP("AE",F1:F39,1,FALSE)</f>
        <v/>
      </c>
      <c r="G46" s="366">
        <f>VLOOKUP("AE",G6:G39,1,FALSE)</f>
        <v/>
      </c>
      <c r="H46" s="366">
        <f>VLOOKUP("AE",H7:H39,1,FALSE)</f>
        <v/>
      </c>
      <c r="I46" s="366">
        <f>VLOOKUP("AE",I7:I39,1,FALSE)</f>
        <v/>
      </c>
      <c r="J46" s="366">
        <f>VLOOKUP("AE",J4:J39,1,FALSE)</f>
        <v/>
      </c>
      <c r="K46" s="366">
        <f>VLOOKUP("AE",K6:K39,1,FALSE)</f>
        <v/>
      </c>
      <c r="L46" s="366">
        <f>VLOOKUP("AE",L12:L39,1,FALSE)</f>
        <v/>
      </c>
      <c r="M46" s="366">
        <f>VLOOKUP("AE",M7:M33,1,FALSE)</f>
        <v/>
      </c>
      <c r="N46" s="366">
        <f>VLOOKUP("AE",N5:N39,1,FALSE)</f>
        <v/>
      </c>
      <c r="O46" s="366">
        <f>VLOOKUP("AE",O7:O39,1,FALSE)</f>
        <v/>
      </c>
      <c r="P46" s="366">
        <f>VLOOKUP("AE",P7:P39,1,FALSE)</f>
        <v/>
      </c>
      <c r="Q46" s="366">
        <f>VLOOKUP("AE",Q10:Q37,1,FALSE)</f>
        <v/>
      </c>
      <c r="R46" s="366">
        <f>VLOOKUP("AE",R6:R37,1,FALSE)</f>
        <v/>
      </c>
      <c r="S46" s="366">
        <f>VLOOKUP("AE",S14:S39,1,FALSE)</f>
        <v/>
      </c>
      <c r="T46" s="366">
        <f>VLOOKUP("AE",T6:T39,1,FALSE)</f>
        <v/>
      </c>
      <c r="U46" s="366">
        <f>VLOOKUP("AE",U8:U39,1,FALSE)</f>
        <v/>
      </c>
      <c r="V46" s="366">
        <f>VLOOKUP("AE",V9:V30,1,FALSE)</f>
        <v/>
      </c>
      <c r="W46" s="366">
        <f>VLOOKUP("AE",W10:W36,1,FALSE)</f>
        <v/>
      </c>
      <c r="X46" s="366">
        <f>VLOOKUP("AE",X8:X39,1,FALSE)</f>
        <v/>
      </c>
      <c r="Y46" s="366">
        <f>VLOOKUP("AE",Y6:Y39,1,FALSE)</f>
        <v/>
      </c>
      <c r="Z46" s="366">
        <f>VLOOKUP("AE",Z8:Z39,1,FALSE)</f>
        <v/>
      </c>
      <c r="AA46" s="366">
        <f>VLOOKUP("AE",AA12:AA39,1,FALSE)</f>
        <v/>
      </c>
      <c r="AB46" s="366">
        <f>VLOOKUP("AE",AB9:AB39,1,FALSE)</f>
        <v/>
      </c>
      <c r="AC46" s="366">
        <f>VLOOKUP("AE",AC10:AC39,1,FALSE)</f>
        <v/>
      </c>
      <c r="AD46" s="366">
        <f>VLOOKUP("AE",AD6:AD39,1,FALSE)</f>
        <v/>
      </c>
      <c r="AE46" s="366">
        <f>VLOOKUP("AE",AE6:AE39,1,FALSE)</f>
        <v/>
      </c>
      <c r="AF46" s="366">
        <f>VLOOKUP("AE",AF7:AF39,1,FALSE)</f>
        <v/>
      </c>
      <c r="AG46" s="366">
        <f>VLOOKUP("AE",AG6:AG39,1,FALSE)</f>
        <v/>
      </c>
      <c r="AH46" s="311" t="n"/>
      <c r="AI46" s="312" t="n"/>
      <c r="AJ46" s="311" t="n"/>
      <c r="AK46" s="313" t="n"/>
      <c r="AL46" s="313" t="n"/>
      <c r="AM46" s="313" t="n"/>
      <c r="AN46" s="313" t="n"/>
      <c r="AO46" s="313" t="n"/>
      <c r="AP46" s="313" t="n"/>
      <c r="AQ46" s="313" t="n"/>
      <c r="AR46" s="313" t="n"/>
      <c r="AS46" s="313" t="n"/>
      <c r="AT46" s="313" t="n"/>
      <c r="AU46" s="313" t="n"/>
      <c r="AV46" s="313" t="n"/>
      <c r="AW46" s="313" t="n"/>
      <c r="AX46" s="313" t="n"/>
      <c r="AY46" s="313" t="n"/>
      <c r="AZ46" s="313" t="n"/>
      <c r="BA46" s="313" t="n"/>
      <c r="BB46" s="313" t="n"/>
      <c r="BC46" s="313" t="n"/>
      <c r="BD46" s="313" t="n"/>
      <c r="BE46" s="313" t="n"/>
      <c r="BF46" s="313" t="n"/>
      <c r="BG46" s="313" t="n"/>
      <c r="BH46" s="313" t="n"/>
      <c r="BI46" s="313" t="n"/>
      <c r="BJ46" s="313" t="n"/>
      <c r="BK46" s="313" t="n"/>
      <c r="BL46" s="313" t="n"/>
      <c r="BM46" s="313" t="n"/>
      <c r="BN46" s="313" t="n"/>
      <c r="BO46" s="313" t="n"/>
      <c r="BP46" s="314" t="n"/>
    </row>
  </sheetData>
  <mergeCells count="1">
    <mergeCell ref="C1:S1"/>
  </mergeCells>
  <conditionalFormatting sqref="N31">
    <cfRule type="expression" priority="4" dxfId="136">
      <formula>WEEKDAY(O$3,2)&gt;5</formula>
    </cfRule>
  </conditionalFormatting>
  <conditionalFormatting sqref="K36">
    <cfRule type="expression" priority="3" dxfId="136">
      <formula>WEEKDAY(M$3,2)&gt;5</formula>
    </cfRule>
  </conditionalFormatting>
  <conditionalFormatting sqref="C5:C27 C29:C30 D5:D31 E5:E7 E9:E27 E29:E31 F5:F31 G5:G29 G33 H5:H13 H15:H27 H29:H31 I5:J27 I30:I31 J29:J30 K5:K13 K15:K27 K29:K31 K36 L5:L27 L31 L33 M5:M21 M23:M28 M34 N5:N22 N24:N27 N29 N31 N33 O5 O7:O14 O16:O28 O30:O31 O34 O37 P5:P8 P10:P29 P31:P33 Q5:Q27 Q29:Q33 Q37 R6:R31 R33 S5:S31 S34 T2 T5:T18 T20:T22 T24:T28 T30:T31 U5:U7 U9:U31 V5:V31 W5:W28 W31 W34 X5:X22 X24:X31 X33 X37 Y5:Z5 Y7:Y31 Y33:Z34 Y37:Y38 Z7:Z15 Z17:Z24 Z26:Z31 Z36 Z38 AA5:AA15 AA17:AA34 AA36:AA38 AB5:AC5 AB7:AB31 AB33 AB36 AB38 AC7:AC15 AC17:AC34 AC37:AC38 AD5:AF37 AG5:AG26 AG28:AG29">
    <cfRule type="cellIs" priority="30" operator="equal" dxfId="137">
      <formula>"B"</formula>
    </cfRule>
    <cfRule type="cellIs" priority="31" operator="equal" dxfId="137">
      <formula>"AL"</formula>
    </cfRule>
    <cfRule type="cellIs" priority="32" operator="equal" dxfId="138">
      <formula>"DM"</formula>
    </cfRule>
    <cfRule type="cellIs" priority="33" operator="equal" dxfId="139">
      <formula>"CS1"</formula>
    </cfRule>
    <cfRule type="cellIs" priority="34" operator="equal" dxfId="140">
      <formula>"CS2"</formula>
    </cfRule>
    <cfRule type="cellIs" priority="35" operator="equal" dxfId="141">
      <formula>"SB1"</formula>
    </cfRule>
    <cfRule type="cellIs" priority="36" operator="equal" dxfId="142">
      <formula>"SB2"</formula>
    </cfRule>
    <cfRule type="cellIs" priority="37" operator="equal" dxfId="143">
      <formula>"AE"</formula>
    </cfRule>
    <cfRule type="cellIs" priority="39" operator="equal" dxfId="137">
      <formula>"DB"</formula>
    </cfRule>
    <cfRule type="containsText" priority="40" operator="between" dxfId="144" text="$AM">
      <formula>NOT(ISERROR(SEARCH("$AM",C2)))</formula>
    </cfRule>
    <cfRule type="containsText" priority="41" operator="between" dxfId="145" text="$PM">
      <formula>NOT(ISERROR(SEARCH("$PM",C2)))</formula>
    </cfRule>
    <cfRule type="containsText" priority="42" operator="between" dxfId="146" text="$L">
      <formula>NOT(ISERROR(SEARCH("$L",C2)))</formula>
    </cfRule>
    <cfRule type="containsText" priority="43" operator="between" dxfId="147" text="$BTP">
      <formula>NOT(ISERROR(SEARCH("$BTP",C2)))</formula>
    </cfRule>
    <cfRule type="containsText" priority="44" operator="between" dxfId="148" text="$M">
      <formula>NOT(ISERROR(SEARCH("$M",C2)))</formula>
    </cfRule>
    <cfRule type="containsText" priority="45" operator="between" dxfId="149" text="$N">
      <formula>NOT(ISERROR(SEARCH("$N",C2)))</formula>
    </cfRule>
    <cfRule type="containsText" priority="46" operator="between" dxfId="150" text="$FC">
      <formula>NOT(ISERROR(SEARCH("$FC",C2)))</formula>
    </cfRule>
    <cfRule type="containsText" priority="47" operator="between" dxfId="151" text="OAL">
      <formula>NOT(ISERROR(SEARCH("OAL",C2)))</formula>
    </cfRule>
    <cfRule type="containsText" priority="48" operator="between" dxfId="152" text="S+">
      <formula>NOT(ISERROR(SEARCH("S+",C2)))</formula>
    </cfRule>
    <cfRule type="containsText" priority="49" operator="between" dxfId="153" text="EX-D">
      <formula>NOT(ISERROR(SEARCH("EX-D",C2)))</formula>
    </cfRule>
  </conditionalFormatting>
  <conditionalFormatting sqref="C5:C27 C29:C30 D5:D31 E5:E7 E9:E27 E29:E31 F5:F31 G5:G29 G33 H5:H13 H15:H27 H29:H31 I5:J27 I30:I31 J29:J30 K5:K13 K15:K27 K29:K31 K36 L5:L27 L31 L33 M5:M21 M23:M28 M34 N5:N22 N24:N27 N29 N31 N33 O5 O7:O14 O16:O28 O30:O31 O34 O37 P5:P8 P10:P29 P31:P33 Q5:Q27 Q29:Q33 Q37 R6:R20 R22:R31 R33 S5:S31 S34 T2 T5:T18 T20:T22 T24:T28 T30:T31 U5:U7 U9:U31 V5:V31 W5:W29 W31 W34 X5:X22 X24:X31 X33 X37 Y5:Z5 Y7:Y31 Y33:Z34 Y37:Y38 Z7:Z15 Z17:Z24 Z26:Z31 Z36 Z38 AA5:AA15 AA17:AA34 AA36:AA38 AB5:AC5 AB7:AB31 AB33 AB36 AB38 AC7:AC15 AC17:AC34 AC37:AC38 AD5:AF37 AG5:AG26 AG28:AG29">
    <cfRule type="containsText" priority="38" operator="between" dxfId="154" text="VACC">
      <formula>NOT(ISERROR(SEARCH("VACC",C2)))</formula>
    </cfRule>
  </conditionalFormatting>
  <conditionalFormatting sqref="C5:C27 C29:C30 D5:E7 D10:D31 E9:E20 E22:E27 E29:E31 F5:F31 G5:G24 G26:G29 G33 H5:H13 H15:H27 H29:H31 I5:J27 I30:I31 J29:J30 K5:K13 K15:K27 K29:K31 K36 L5:L27 L31 L33 M5:M21 M23:M28 M34 N5:N22 N24:N27 N29 N31 N33 O5 O7:O14 O16:O28 O30:O31 O34 O37 P5:P8 P10:P29 P31:P33 Q5 Q7:Q22 Q24:Q27 Q29:Q33 Q37 R6:R20 R22:R31 R33 S5:S31 S34 T2 T5:T18 T20:T22 T24:T28 T31:U31 U5:U7 U9:U29 V5 V7:V31 W5:W28 W31 W34 X5:X22 X24:X31 X33 X37 Y5:Z5 Y7:Y31 Y33:Z34 Y37:Y38 Z7:Z15 Z17:Z24 Z26:Z31 Z36 Z38 AA5:AA15 AA17:AA34 AA36:AA38 AB5:AC5 AB7:AC15 AB18:AB31 AB33 AB36 AB38 AC17:AC34 AC37:AC38 AD5:AE37 AF5:AF14 AF16:AF37 AG5:AG16 AG18:AG26 AG28:AG29">
    <cfRule type="expression" priority="50" dxfId="136">
      <formula>WEEKDAY(#REF!,2)&gt;5</formula>
    </cfRule>
  </conditionalFormatting>
  <conditionalFormatting sqref="C5:I46 J4:J46 K5:S46 T2 T5:T18 T20:T46 U5:Z46 AA4:AA46 AB5:AG46">
    <cfRule type="cellIs" priority="51" operator="equal" dxfId="137">
      <formula>"B"</formula>
    </cfRule>
    <cfRule type="cellIs" priority="52" operator="equal" dxfId="137">
      <formula>"AL"</formula>
    </cfRule>
    <cfRule type="cellIs" priority="53" operator="equal" dxfId="138">
      <formula>"DM"</formula>
    </cfRule>
    <cfRule type="cellIs" priority="54" operator="equal" dxfId="139">
      <formula>"CS1"</formula>
    </cfRule>
    <cfRule type="cellIs" priority="55" operator="equal" dxfId="140">
      <formula>"CS2"</formula>
    </cfRule>
    <cfRule type="cellIs" priority="56" operator="equal" dxfId="141">
      <formula>"SB1"</formula>
    </cfRule>
    <cfRule type="cellIs" priority="57" operator="equal" dxfId="142">
      <formula>"SB2"</formula>
    </cfRule>
    <cfRule type="cellIs" priority="58" operator="equal" dxfId="143">
      <formula>"AE"</formula>
    </cfRule>
  </conditionalFormatting>
  <conditionalFormatting sqref="C5:I39 J4:J39 K5:S39 T2 T5:T18 T20:T39 U5:Z39 AA4:AA39 AB5:AG39">
    <cfRule type="cellIs" priority="60" operator="equal" dxfId="137">
      <formula>"DB"</formula>
    </cfRule>
    <cfRule type="containsText" priority="61" operator="between" dxfId="144" text="$AM">
      <formula>NOT(ISERROR(SEARCH("$AM",C2)))</formula>
    </cfRule>
    <cfRule type="containsText" priority="62" operator="between" dxfId="145" text="$PM">
      <formula>NOT(ISERROR(SEARCH("$PM",C2)))</formula>
    </cfRule>
    <cfRule type="containsText" priority="63" operator="between" dxfId="146" text="$L">
      <formula>NOT(ISERROR(SEARCH("$L",C2)))</formula>
    </cfRule>
    <cfRule type="containsText" priority="64" operator="between" dxfId="147" text="$BTP">
      <formula>NOT(ISERROR(SEARCH("$BTP",C2)))</formula>
    </cfRule>
    <cfRule type="containsText" priority="65" operator="between" dxfId="148" text="$M">
      <formula>NOT(ISERROR(SEARCH("$M",C2)))</formula>
    </cfRule>
    <cfRule type="containsText" priority="67" operator="between" dxfId="149" text="$N">
      <formula>NOT(ISERROR(SEARCH("$N",C2)))</formula>
    </cfRule>
    <cfRule type="containsText" priority="68" operator="between" dxfId="150" text="$FC">
      <formula>NOT(ISERROR(SEARCH("$FC",C2)))</formula>
    </cfRule>
    <cfRule type="containsText" priority="69" operator="between" dxfId="151" text="OAL">
      <formula>NOT(ISERROR(SEARCH("OAL",C2)))</formula>
    </cfRule>
    <cfRule type="containsText" priority="70" operator="between" dxfId="152" text="S+">
      <formula>NOT(ISERROR(SEARCH("S+",C2)))</formula>
    </cfRule>
    <cfRule type="containsText" priority="71" operator="between" dxfId="153" text="EX-D">
      <formula>NOT(ISERROR(SEARCH("EX-D",C2)))</formula>
    </cfRule>
  </conditionalFormatting>
  <conditionalFormatting sqref="C3:S39 T2:X39 Y3:AG39">
    <cfRule type="expression" priority="66" dxfId="136">
      <formula>WEEKDAY(T$3,2)&gt;5</formula>
    </cfRule>
  </conditionalFormatting>
  <conditionalFormatting sqref="C5:C27 C29:C30 D5:D31 E5:E7 E9:E22 E24:E27 E29:E31 F5:F31 G5:G29 G33 H5:H13 H15:H27 H29:H31 I5:I27 I30:I31 J4:J27 J29 K5:K13 K15:K27 K29:K31 K36 L5:L27 L31 L33 M5:M21 M23:M28 M34 N5:N22 N24:N27 N29 N31 N33 O5 O7:O14 O16:O28 O30:O31 O34 O37 P5:P8 P10:P29 P31:P33 Q5:Q27 Q29:Q33 Q37:R37 R6:R18 R20 R22:R33 S5:S20 S22:S34 T2 T5:T18 T20:T33 U5:U7 U9:U33 V5:V33 W5:W31 W34 W37:X37 X5:X22 X24:X33 Y5:Z5 Y7:Y31 Y33:Z34 Y37:Y38 Z7:Z15 Z17:Z24 Z26:Z31 Z36 Z38 AA5:AA15 AA17:AA34 AA36:AA38 AB5:AC5 AB7:AB31 AB33 AB36 AB38 AC7:AC15 AC17:AC34 AC36:AC38 AD5:AF37 AG5:AG26 AG28:AG29 AG36">
    <cfRule type="containsText" priority="72" operator="between" dxfId="154" text="VACC">
      <formula>NOT(ISERROR(SEARCH("VACC",C2)))</formula>
    </cfRule>
  </conditionalFormatting>
  <conditionalFormatting sqref="C5:C31 D6:D7 D23 D30:D31 E29 F9 G8:G9 G30:H30 H28 J30 K10 M7:N8 O30 P32 Q27 T27 T29:T30 U30:U31 V28 W29 Z30:AA30">
    <cfRule type="cellIs" priority="7" operator="equal" dxfId="137">
      <formula>"B"</formula>
    </cfRule>
    <cfRule type="cellIs" priority="8" operator="equal" dxfId="137">
      <formula>"AL"</formula>
    </cfRule>
    <cfRule type="cellIs" priority="9" operator="equal" dxfId="138">
      <formula>"DM"</formula>
    </cfRule>
    <cfRule type="cellIs" priority="10" operator="equal" dxfId="139">
      <formula>"CS1"</formula>
    </cfRule>
    <cfRule type="cellIs" priority="11" operator="equal" dxfId="140">
      <formula>"CS2"</formula>
    </cfRule>
    <cfRule type="cellIs" priority="12" operator="equal" dxfId="141">
      <formula>"SB1"</formula>
    </cfRule>
    <cfRule type="cellIs" priority="13" operator="equal" dxfId="142">
      <formula>"SB2"</formula>
    </cfRule>
    <cfRule type="cellIs" priority="14" operator="equal" dxfId="143">
      <formula>"AE"</formula>
    </cfRule>
    <cfRule type="cellIs" priority="15" operator="equal" dxfId="137">
      <formula>"DB"</formula>
    </cfRule>
    <cfRule type="containsText" priority="16" operator="between" dxfId="144" text="$AM">
      <formula>NOT(ISERROR(SEARCH("$AM",C5)))</formula>
    </cfRule>
    <cfRule type="containsText" priority="17" operator="between" dxfId="145" text="$PM">
      <formula>NOT(ISERROR(SEARCH("$PM",C5)))</formula>
    </cfRule>
    <cfRule type="containsText" priority="18" operator="between" dxfId="146" text="$L">
      <formula>NOT(ISERROR(SEARCH("$L",C5)))</formula>
    </cfRule>
    <cfRule type="containsText" priority="19" operator="between" dxfId="147" text="$BTP">
      <formula>NOT(ISERROR(SEARCH("$BTP",C5)))</formula>
    </cfRule>
    <cfRule type="containsText" priority="20" operator="between" dxfId="148" text="$M">
      <formula>NOT(ISERROR(SEARCH("$M",C5)))</formula>
    </cfRule>
    <cfRule type="containsText" priority="21" operator="between" dxfId="149" text="$N">
      <formula>NOT(ISERROR(SEARCH("$N",C5)))</formula>
    </cfRule>
    <cfRule type="containsText" priority="22" operator="between" dxfId="150" text="$FC">
      <formula>NOT(ISERROR(SEARCH("$FC",C5)))</formula>
    </cfRule>
    <cfRule type="containsText" priority="23" operator="between" dxfId="151" text="OAL">
      <formula>NOT(ISERROR(SEARCH("OAL",C5)))</formula>
    </cfRule>
    <cfRule type="containsText" priority="24" operator="between" dxfId="152" text="S+">
      <formula>NOT(ISERROR(SEARCH("S+",C5)))</formula>
    </cfRule>
    <cfRule type="containsText" priority="25" operator="between" dxfId="153" text="EX-D">
      <formula>NOT(ISERROR(SEARCH("EX-D",C5)))</formula>
    </cfRule>
  </conditionalFormatting>
  <conditionalFormatting sqref="C5:C22 C24:C26 C29 D6:D7 E29 F9 G8:G9 J30 K10 M7:N8 Z30:AA30">
    <cfRule type="expression" priority="26" dxfId="136">
      <formula>WEEKDAY(#REF!,2)&gt;5</formula>
    </cfRule>
  </conditionalFormatting>
  <conditionalFormatting sqref="D11:E12 D24:AG24 F10:F12 G11:AC12 AG5 AG11:AG12">
    <cfRule type="expression" priority="1" dxfId="136">
      <formula>WEEKDAY(AJ$3,2)&gt;5</formula>
    </cfRule>
    <cfRule type="expression" priority="2" dxfId="136">
      <formula>WEEKDAY(AI$3,2)&gt;5</formula>
    </cfRule>
  </conditionalFormatting>
  <conditionalFormatting sqref="BO5:BP39">
    <cfRule type="cellIs" priority="59" operator="lessThan" dxfId="155">
      <formula>1</formula>
    </cfRule>
  </conditionalFormatting>
  <conditionalFormatting sqref="O8 O34 P6 Q37 S9">
    <cfRule type="expression" priority="5" dxfId="136">
      <formula>WEEKDAY(K$3,2)&gt;5</formula>
    </cfRule>
    <cfRule type="expression" priority="6" dxfId="136">
      <formula>WEEKDAY(J$3,2)&gt;5</formula>
    </cfRule>
  </conditionalFormatting>
  <conditionalFormatting sqref="C14 C19 E26 E30:F30 F13 F17 H17 O17 P23 T7:T9 T11 T14:T15 T22 U9 U14:X14 U18 Y13:Y14 Z14:AG14 AA9:AB9 AB27 AE18">
    <cfRule type="expression" priority="27" dxfId="136">
      <formula>WEEKDAY(V$3,2)&gt;5</formula>
    </cfRule>
  </conditionalFormatting>
  <conditionalFormatting sqref="E26 E30 F29 G23:G24 G26 G28:G29 H17 O17 P23 T7:T9 T11 T14:T15 T22 U9 U14:X14 U18 Y13:Y14 Z14:AG14 AA9:AB9 AB27 AE18">
    <cfRule type="expression" priority="28" dxfId="136">
      <formula>WEEKDAY(U$3,2)&gt;5</formula>
    </cfRule>
  </conditionalFormatting>
  <conditionalFormatting sqref="C8 C13:C14 C19 C22 E13:F13 F17 F30 I18">
    <cfRule type="expression" priority="29" dxfId="136">
      <formula>WEEKDAY(E$3,2)&gt;5</formula>
    </cfRule>
  </conditionalFormatting>
  <dataValidations count="2">
    <dataValidation sqref="C5:L5 C6:H7 C8 C9:D10 C11:AG12 C13:F13 C14:D14 C15 C16:F16 C17:I17 C18:D18 C19:G19 C20:E20 C21:D21 C22:G22 C23:D23 C24:AG24 C25:V25 C26:I26 C27:J27 C28:I28 C30:K30 C32:H32 C33:N33 C34:J34 C35:G35 C36:F36 C37:L39 D29:K29 D31 F8:G10 F14:G14 F18:I18 F21 F23:I23 G20:P20 H13 H15:J15 H16:V16 H21:U21 H31:I31 I8:K9 I19 I22:L22 I35:L35 I36 J10:AE10 J32 K6:N6 K7 K13:P13 K17:Q18 K19:O19 K26:M26 K28:O28 K31:L31 K36:L36 L14:M14 L15:Y15 L23:M23 L27:Q27 L32:M32 L34:O34 M7:O7 M8:U8 M29:N29 M30 N5:Q5 N9:O9 N22:Z22 N31:AA31 N35:Z35 N37:Q37 N38:P39 O14 O26:S26 O30:Q30 O32:P32 O36:Q36 P6 P23:R23 P29:AG29 P33 Q7:T7 Q9 Q14:AG14 Q19:S19 Q28:AE28 R6:U6 R13 R20:AG20 R32:X32 R33:S33 R34:U34 S5:Y5 S9:V9 S17:AA17 S18:Y18 S27:AG27 S30:AA30 S36:Y36 S37:V38 S39:AG39 T23 U13 U19:AG19 U26:V26 U33:V33 V7:W7 V23 W6 W8 W13:AB13 W34:AA34 X9 X16 X21 X26 X37:Y37 X38 Y7 Y8:AG8 Y23:AG23 Y25 Y33:AF33 Z21:AG21 Z26 Z32 AA5:AG5 AA6 AA9:AG9 AA16:AB16 AA25:AG25 AA36 AB7:AG7 AB15:AE15 AB22:AG22 AB26 AB32:AG32 AC17:AG18 AC30:AF30 AC31:AG31 AC35:AG36 AC37:AF37 AD6:AE6 AD13:AG13 AD16:AG16 AD34:AG34 AD38:AG38 AG6 AG10 AG26 AG28" showDropDown="1" showInputMessage="0" showErrorMessage="0" allowBlank="1" type="list">
      <formula1>'Setting key Duty'!$B$7:$B$56</formula1>
    </dataValidation>
    <dataValidation sqref="C40:AG46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0"/>
    <pageSetUpPr fitToPage="1"/>
  </sheetPr>
  <dimension ref="A1:BQ42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9.24761904761905" customWidth="1" min="16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4"/>
    <col hidden="1" outlineLevel="1" width="9.38095238095238" customWidth="1" min="35" max="41"/>
    <col collapsed="1" width="6.75238095238095" customWidth="1" min="42" max="42"/>
    <col outlineLevel="1" width="8.87619047619048" customWidth="1" min="43" max="43"/>
    <col outlineLevel="1" width="7.87619047619048" customWidth="1" min="44" max="44"/>
    <col outlineLevel="1" width="9.133333333333329" customWidth="1" min="45" max="45"/>
    <col outlineLevel="1" width="8.24761904761905" customWidth="1" min="46" max="46"/>
    <col outlineLevel="1" width="5.5047619047619" customWidth="1" min="47" max="47"/>
    <col width="9.38095238095238" customWidth="1" min="48" max="50"/>
    <col outlineLevel="1" width="9.38095238095238" customWidth="1" min="51" max="58"/>
    <col outlineLevel="1" width="10" customWidth="1" min="59" max="59"/>
    <col outlineLevel="1" width="9.38095238095238" customWidth="1" min="60" max="65"/>
    <col width="9.38095238095238" customWidth="1" min="66" max="66"/>
    <col width="9.504761904761899" customWidth="1" min="67" max="67"/>
    <col width="9.38095238095238" customWidth="1" min="68" max="69"/>
  </cols>
  <sheetData>
    <row r="1" ht="3" customHeight="1">
      <c r="A1" s="408" t="n"/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0" t="n"/>
      <c r="BQ1" s="291" t="n"/>
    </row>
    <row r="2" ht="26.25" customHeight="1">
      <c r="A2" s="412" t="n"/>
      <c r="B2" s="24" t="inlineStr">
        <is>
          <t>Event Log</t>
        </is>
      </c>
      <c r="C2" s="167" t="n"/>
      <c r="D2" s="167" t="n"/>
      <c r="E2" s="167" t="n"/>
      <c r="F2" s="167" t="n"/>
      <c r="G2" s="167" t="n"/>
      <c r="H2" s="167" t="inlineStr">
        <is>
          <t>A VACC 2</t>
        </is>
      </c>
      <c r="I2" s="167" t="inlineStr">
        <is>
          <t>B VACC 2</t>
        </is>
      </c>
      <c r="J2" s="167" t="n"/>
      <c r="K2" s="167" t="n"/>
      <c r="L2" s="167" t="inlineStr">
        <is>
          <t>E VACC 2</t>
        </is>
      </c>
      <c r="M2" s="167" t="n"/>
      <c r="N2" s="167" t="inlineStr">
        <is>
          <t>F VACC 2</t>
        </is>
      </c>
      <c r="O2" s="167" t="n"/>
      <c r="P2" s="167" t="inlineStr">
        <is>
          <t>U VACC 2</t>
        </is>
      </c>
      <c r="Q2" s="167" t="n"/>
      <c r="R2" s="167" t="n"/>
      <c r="S2" s="167" t="inlineStr">
        <is>
          <t>R VACC 2</t>
        </is>
      </c>
      <c r="T2" s="167" t="inlineStr">
        <is>
          <t>P VACC 2</t>
        </is>
      </c>
      <c r="U2" s="167" t="inlineStr">
        <is>
          <t>J VACC 1</t>
        </is>
      </c>
      <c r="V2" s="167" t="inlineStr">
        <is>
          <t>L VACC 2 M VACC 2</t>
        </is>
      </c>
      <c r="W2" s="167" t="inlineStr">
        <is>
          <t>R VACC 2</t>
        </is>
      </c>
      <c r="X2" s="167" t="n"/>
      <c r="Y2" s="167" t="n"/>
      <c r="Z2" s="167" t="inlineStr">
        <is>
          <t>R VACC 2</t>
        </is>
      </c>
      <c r="AA2" s="294" t="n"/>
      <c r="AB2" s="167" t="inlineStr">
        <is>
          <t>K VACC 2</t>
        </is>
      </c>
      <c r="AC2" s="167" t="inlineStr">
        <is>
          <t>W VACC 1</t>
        </is>
      </c>
      <c r="AD2" s="167" t="inlineStr">
        <is>
          <t>T VACC 2</t>
        </is>
      </c>
      <c r="AE2" s="167" t="n"/>
      <c r="AF2" s="167" t="n"/>
      <c r="AG2" s="167" t="n"/>
      <c r="AH2" s="258" t="inlineStr">
        <is>
          <t>V VACC 1</t>
        </is>
      </c>
      <c r="AI2" s="218" t="n"/>
      <c r="AJ2" s="218" t="n"/>
      <c r="AK2" s="218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6" t="inlineStr">
        <is>
          <t>0.3125+0.0625+0.5
long+stay+pass12</t>
        </is>
      </c>
      <c r="BB2" s="296" t="n"/>
      <c r="BC2" s="296" t="inlineStr">
        <is>
          <t>0.3125+0.125
Long hr+aft 1730</t>
        </is>
      </c>
      <c r="BD2" s="296" t="n"/>
      <c r="BE2" s="296" t="inlineStr">
        <is>
          <t>0.125+0.125+0.0625
Bef 0730+Aft1730+stay</t>
        </is>
      </c>
      <c r="BF2" s="296" t="n"/>
      <c r="BG2" s="296" t="n"/>
      <c r="BH2" s="296" t="inlineStr">
        <is>
          <t>0.125
after 1730</t>
        </is>
      </c>
      <c r="BI2" s="296" t="n"/>
      <c r="BJ2" s="296" t="inlineStr">
        <is>
          <t>stay in+ bef 0730</t>
        </is>
      </c>
      <c r="BK2" s="296" t="n"/>
      <c r="BL2" s="296" t="n"/>
      <c r="BM2" s="296" t="n"/>
      <c r="BN2" s="295" t="n"/>
      <c r="BO2" s="295" t="n"/>
      <c r="BP2" s="295" t="n"/>
      <c r="BQ2" s="297" t="n"/>
    </row>
    <row r="3" ht="26.25" customHeight="1">
      <c r="A3" s="412" t="n"/>
      <c r="B3" s="24" t="inlineStr">
        <is>
          <t>Rostering</t>
        </is>
      </c>
      <c r="C3" s="413" t="n">
        <v>45689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4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4">
        <f>S3+1</f>
        <v/>
      </c>
      <c r="U3" s="414">
        <f>T3+1</f>
        <v/>
      </c>
      <c r="V3" s="414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4">
        <f>AF3+1</f>
        <v/>
      </c>
      <c r="AH3" s="414">
        <f>AG3+1</f>
        <v/>
      </c>
      <c r="AI3" s="221">
        <f>'Setting key Duty'!$C7</f>
        <v/>
      </c>
      <c r="AJ3" s="222">
        <f>'Setting key Duty'!$C8</f>
        <v/>
      </c>
      <c r="AK3" s="223">
        <f>'Setting key Duty'!$C9</f>
        <v/>
      </c>
      <c r="AL3" s="302">
        <f>'Setting key Duty'!$C11</f>
        <v/>
      </c>
      <c r="AM3" s="302">
        <f>'Setting key Duty'!$C12</f>
        <v/>
      </c>
      <c r="AN3" s="302">
        <f>'Setting key Duty'!$C13</f>
        <v/>
      </c>
      <c r="AO3" s="302">
        <f>'Setting key Duty'!C14</f>
        <v/>
      </c>
      <c r="AP3" s="223" t="n"/>
      <c r="AQ3" s="223" t="inlineStr">
        <is>
          <t>Weekday Duty</t>
        </is>
      </c>
      <c r="AR3" s="223" t="inlineStr">
        <is>
          <t>Weekday Extra</t>
        </is>
      </c>
      <c r="AS3" s="223" t="inlineStr">
        <is>
          <t>Weekend Duty</t>
        </is>
      </c>
      <c r="AT3" s="223" t="inlineStr">
        <is>
          <t>Weekend Extra</t>
        </is>
      </c>
      <c r="AU3" s="223" t="inlineStr">
        <is>
          <t>Duty Point</t>
        </is>
      </c>
      <c r="AV3" s="223" t="inlineStr">
        <is>
          <t>Total Duty</t>
        </is>
      </c>
      <c r="AW3" s="223" t="inlineStr">
        <is>
          <t>Total Cover</t>
        </is>
      </c>
      <c r="AX3" s="223" t="inlineStr">
        <is>
          <t>Total Point</t>
        </is>
      </c>
      <c r="AY3" s="223" t="inlineStr">
        <is>
          <t>Total Cover
Point</t>
        </is>
      </c>
      <c r="AZ3" s="223" t="inlineStr">
        <is>
          <t>Bedok RT</t>
        </is>
      </c>
      <c r="BA3" s="302" t="inlineStr">
        <is>
          <t>BTP</t>
        </is>
      </c>
      <c r="BB3" s="302" t="inlineStr">
        <is>
          <t>$BTP
Point</t>
        </is>
      </c>
      <c r="BC3" s="302" t="inlineStr">
        <is>
          <t>Long Cover</t>
        </is>
      </c>
      <c r="BD3" s="302" t="inlineStr">
        <is>
          <t>$L
Point</t>
        </is>
      </c>
      <c r="BE3" s="302" t="inlineStr">
        <is>
          <t>Mid Cover</t>
        </is>
      </c>
      <c r="BF3" s="302" t="inlineStr">
        <is>
          <t>$M 
Point</t>
        </is>
      </c>
      <c r="BG3" s="302" t="inlineStr">
        <is>
          <t>Cover
 Normal Hour</t>
        </is>
      </c>
      <c r="BH3" s="302" t="inlineStr">
        <is>
          <t>Cover
After Hour</t>
        </is>
      </c>
      <c r="BI3" s="302" t="inlineStr">
        <is>
          <t>$PM
Point</t>
        </is>
      </c>
      <c r="BJ3" s="302" t="inlineStr">
        <is>
          <t>Cover
Early</t>
        </is>
      </c>
      <c r="BK3" s="302" t="inlineStr">
        <is>
          <t>$AM
Point</t>
        </is>
      </c>
      <c r="BL3" s="302">
        <f>'Setting key Duty'!C52</f>
        <v/>
      </c>
      <c r="BM3" s="302" t="inlineStr">
        <is>
          <t>$FC
Point</t>
        </is>
      </c>
      <c r="BN3" s="302">
        <f>'Setting key Duty'!$C15</f>
        <v/>
      </c>
      <c r="BO3" s="302">
        <f>'Setting key Duty'!C17</f>
        <v/>
      </c>
      <c r="BP3" s="302">
        <f>'Setting key Duty'!$C22</f>
        <v/>
      </c>
      <c r="BQ3" s="297" t="n"/>
    </row>
    <row r="4" ht="18" customHeight="1">
      <c r="A4" s="303" t="n"/>
      <c r="B4" s="260" t="inlineStr">
        <is>
          <t>Updated on: 26/10/2022</t>
        </is>
      </c>
      <c r="C4" s="415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5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5">
        <f>TEXT(T3,"ddd")</f>
        <v/>
      </c>
      <c r="U4" s="415">
        <f>TEXT(U3,"ddd")</f>
        <v/>
      </c>
      <c r="V4" s="415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5">
        <f>TEXT(AG3,"ddd")</f>
        <v/>
      </c>
      <c r="AH4" s="415">
        <f>TEXT(AH3,"ddd")</f>
        <v/>
      </c>
      <c r="AI4" s="227">
        <f>'Setting key Duty'!$B7</f>
        <v/>
      </c>
      <c r="AJ4" s="228">
        <f>'Setting key Duty'!$B8</f>
        <v/>
      </c>
      <c r="AK4" s="229">
        <f>'Setting key Duty'!$B9</f>
        <v/>
      </c>
      <c r="AL4" s="307">
        <f>'Setting key Duty'!$B11</f>
        <v/>
      </c>
      <c r="AM4" s="307">
        <f>'Setting key Duty'!$B12</f>
        <v/>
      </c>
      <c r="AN4" s="307">
        <f>'Setting key Duty'!$B13</f>
        <v/>
      </c>
      <c r="AO4" s="307">
        <f>'Setting key Duty'!B14</f>
        <v/>
      </c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inlineStr">
        <is>
          <t>BRT</t>
        </is>
      </c>
      <c r="BA4" s="307" t="inlineStr">
        <is>
          <t>$BTP</t>
        </is>
      </c>
      <c r="BB4" s="307" t="n"/>
      <c r="BC4" s="307" t="inlineStr">
        <is>
          <t>$L</t>
        </is>
      </c>
      <c r="BD4" s="307" t="n"/>
      <c r="BE4" s="307" t="inlineStr">
        <is>
          <t>$M</t>
        </is>
      </c>
      <c r="BF4" s="307" t="n"/>
      <c r="BG4" s="307" t="inlineStr">
        <is>
          <t>$N</t>
        </is>
      </c>
      <c r="BH4" s="307" t="inlineStr">
        <is>
          <t>$PM</t>
        </is>
      </c>
      <c r="BI4" s="307" t="n"/>
      <c r="BJ4" s="307" t="inlineStr">
        <is>
          <t>$AM</t>
        </is>
      </c>
      <c r="BK4" s="307" t="n"/>
      <c r="BL4" s="307">
        <f>'Setting key Duty'!B52</f>
        <v/>
      </c>
      <c r="BM4" s="307" t="n"/>
      <c r="BN4" s="307">
        <f>'Setting key Duty'!$B15</f>
        <v/>
      </c>
      <c r="BO4" s="307">
        <f>'Setting key Duty'!B17</f>
        <v/>
      </c>
      <c r="BP4" s="307">
        <f>'Setting key Duty'!$B22</f>
        <v/>
      </c>
      <c r="BQ4" s="308" t="n"/>
    </row>
    <row r="5" ht="19.5" customHeight="1">
      <c r="A5" s="309" t="n"/>
      <c r="B5" s="373" t="inlineStr">
        <is>
          <t>PTE MUHAMAD LUTFIL AL-HADI</t>
        </is>
      </c>
      <c r="D5" s="317" t="inlineStr">
        <is>
          <t>SB1</t>
        </is>
      </c>
      <c r="E5" s="197" t="n"/>
      <c r="F5" s="197" t="n"/>
      <c r="G5" s="198" t="n"/>
      <c r="H5" s="317" t="inlineStr">
        <is>
          <t>OFF</t>
        </is>
      </c>
      <c r="I5" s="317" t="inlineStr">
        <is>
          <t>AE</t>
        </is>
      </c>
      <c r="J5" s="385" t="n"/>
      <c r="K5" s="317" t="n"/>
      <c r="L5" s="386" t="n"/>
      <c r="M5" s="317" t="inlineStr">
        <is>
          <t>CS1</t>
        </is>
      </c>
      <c r="O5" s="386" t="inlineStr">
        <is>
          <t>AE</t>
        </is>
      </c>
      <c r="P5" s="389" t="n"/>
      <c r="S5" s="197" t="inlineStr">
        <is>
          <t>SB1</t>
        </is>
      </c>
      <c r="T5" s="106" t="n"/>
      <c r="V5" s="317" t="n"/>
      <c r="W5" s="197" t="inlineStr">
        <is>
          <t>SB1</t>
        </is>
      </c>
      <c r="Y5" s="197" t="inlineStr">
        <is>
          <t>SB1</t>
        </is>
      </c>
      <c r="Z5" s="197" t="n"/>
      <c r="AA5" s="106" t="n"/>
      <c r="AB5" s="197" t="n"/>
      <c r="AD5" s="197" t="inlineStr">
        <is>
          <t>CS1</t>
        </is>
      </c>
      <c r="AE5" s="198" t="n"/>
      <c r="AG5" s="197" t="n"/>
      <c r="AH5" s="197" t="n"/>
      <c r="AI5" s="311" t="n"/>
      <c r="AJ5" s="312" t="n"/>
      <c r="AK5" s="311" t="n"/>
      <c r="AL5" s="313" t="n"/>
      <c r="AM5" s="313" t="n"/>
      <c r="AN5" s="313" t="n"/>
      <c r="AO5" s="313" t="n"/>
      <c r="AP5" s="238" t="n"/>
      <c r="AQ5" s="313">
        <f>SUMPRODUCT(--WEEKDAY(C$3:AG$3,2)&lt;6,--((C5:AG5="DM"))+(C5:AG5="CS1")+((C5:AG5="CS2"))+(C5:AG5="SB1")+(C5:AG5="AE")+(C5:AG5="EM"))</f>
        <v/>
      </c>
      <c r="AR5" s="238" t="n"/>
      <c r="AS5" s="238">
        <f>SUMPRODUCT(--WEEKDAY(C$3:AG$3,2)&gt;5,--((C5:AG5="DM"))+(C5:AG5="CS1")+((C5:AG5="CS2"))+(C5:AG5="SB1")+(C5:AG5="AE")+(C5:AG5="EM"))</f>
        <v/>
      </c>
      <c r="AT5" s="238" t="n"/>
      <c r="AU5" s="238">
        <f>(AQ5-AR5)/2+(AS5-AT5)</f>
        <v/>
      </c>
      <c r="AV5" s="238">
        <f>AI5+AJ5+AK5+AL5+AN5+AO5</f>
        <v/>
      </c>
      <c r="AW5" s="238">
        <f>BG5+BH5+BJ5+BE5+BC5+BA5+BL5</f>
        <v/>
      </c>
      <c r="AX5" s="238">
        <f>AU5+$AY$10</f>
        <v/>
      </c>
      <c r="AY5" s="313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/>
      </c>
      <c r="AZ5" s="313">
        <f>COUNTIF(D5:AA5,"*BRT*")</f>
        <v/>
      </c>
      <c r="BA5" s="313">
        <f>COUNTIF(A5:AI5,"*$BTP*")</f>
        <v/>
      </c>
      <c r="BB5" s="313">
        <f>BA5*('Setting key Duty'!$I$13+'Setting key Duty'!$I$12+'Setting key Duty'!$I$11)</f>
        <v/>
      </c>
      <c r="BC5" s="313">
        <f>COUNTIF(A5:AI5,"*$L*")</f>
        <v/>
      </c>
      <c r="BD5" s="313">
        <f>BC5*('Setting key Duty'!$I$13+'Setting key Duty'!$I$9)</f>
        <v/>
      </c>
      <c r="BE5" s="313">
        <f>COUNTIF(A5:AI5,"*$M*")</f>
        <v/>
      </c>
      <c r="BF5" s="313">
        <f>BE5*('Setting key Duty'!$I$8+'Setting key Duty'!$I$9+'Setting key Duty'!$I$12)</f>
        <v/>
      </c>
      <c r="BG5" s="313">
        <f>COUNTIF(AI5,"*$N*")</f>
        <v/>
      </c>
      <c r="BH5" s="313">
        <f>COUNTIF(AI5,"*$PM*")</f>
        <v/>
      </c>
      <c r="BI5" s="313">
        <f>BH5*('Setting key Duty'!$I$9)</f>
        <v/>
      </c>
      <c r="BJ5" s="313">
        <f>COUNTIF(A5:AI5,"*$AM*")</f>
        <v/>
      </c>
      <c r="BK5" s="313">
        <f>BJ5*('Setting key Duty'!$I$12+'Setting key Duty'!$I$8)</f>
        <v/>
      </c>
      <c r="BL5" s="313">
        <f>COUNTIF(D5:AI5,"*$FC*")</f>
        <v/>
      </c>
      <c r="BM5" s="313">
        <f>BL5*('Setting key Duty'!$J$11+'Setting key Duty'!$I$8)</f>
        <v/>
      </c>
      <c r="BN5" s="313">
        <f>COUNTIF($D5:$AA5,BN$4)</f>
        <v/>
      </c>
      <c r="BO5" s="313">
        <f>COUNTIF($D5:$AA5,BO$4)</f>
        <v/>
      </c>
      <c r="BP5" s="313">
        <f>COUNTIF($D5:$AA5,BP$4)</f>
        <v/>
      </c>
      <c r="BQ5" s="314" t="n"/>
    </row>
    <row r="6" ht="36" customHeight="1">
      <c r="A6" s="309" t="n"/>
      <c r="B6" s="374" t="inlineStr">
        <is>
          <t>CPL MUHAMMAD IZZAN RIZAL</t>
        </is>
      </c>
      <c r="C6" s="197" t="n"/>
      <c r="D6" s="197" t="inlineStr">
        <is>
          <t>CS1</t>
        </is>
      </c>
      <c r="F6" s="106" t="n"/>
      <c r="G6" s="317" t="inlineStr">
        <is>
          <t>CS2</t>
        </is>
      </c>
      <c r="H6" s="106" t="n"/>
      <c r="I6" s="197" t="inlineStr">
        <is>
          <t>N $AM 8KM (0600-1100)</t>
        </is>
      </c>
      <c r="J6" s="197" t="n"/>
      <c r="K6" s="321" t="n"/>
      <c r="L6" s="106" t="n"/>
      <c r="M6" s="317" t="inlineStr">
        <is>
          <t>CS2</t>
        </is>
      </c>
      <c r="N6" s="197" t="n"/>
      <c r="O6" s="317" t="inlineStr">
        <is>
          <t>CS1</t>
        </is>
      </c>
      <c r="P6" s="106" t="n"/>
      <c r="Q6" s="197" t="n"/>
      <c r="R6" s="316" t="n"/>
      <c r="U6" s="197" t="inlineStr">
        <is>
          <t>CS1</t>
        </is>
      </c>
      <c r="V6" s="106" t="n"/>
      <c r="X6" s="197" t="n"/>
      <c r="Y6" s="197" t="n"/>
      <c r="Z6" s="106" t="n"/>
      <c r="AA6" s="197" t="inlineStr">
        <is>
          <t>CS2</t>
        </is>
      </c>
      <c r="AB6" s="106" t="n"/>
      <c r="AC6" s="197" t="inlineStr">
        <is>
          <t>J $AM IPPT (0500-1100)</t>
        </is>
      </c>
      <c r="AD6" s="197" t="n"/>
      <c r="AF6" s="198" t="inlineStr">
        <is>
          <t>SB1</t>
        </is>
      </c>
      <c r="AH6" s="106" t="n"/>
      <c r="AI6" s="311">
        <f>COUNTIF($D6:$AE6,AI$4)</f>
        <v/>
      </c>
      <c r="AJ6" s="312">
        <f>COUNTIF($D6:$AE6,AJ$4)</f>
        <v/>
      </c>
      <c r="AK6" s="311">
        <f>COUNTIF($D6:$AE6,AK$4)</f>
        <v/>
      </c>
      <c r="AL6" s="313">
        <f>COUNTIF($D6:$AE6,AL$4)</f>
        <v/>
      </c>
      <c r="AM6" s="313">
        <f>COUNTIF($D6:$AE6,AM$4)</f>
        <v/>
      </c>
      <c r="AN6" s="313">
        <f>COUNTIF($D6:$AE6,AN$4)</f>
        <v/>
      </c>
      <c r="AO6" s="313">
        <f>COUNTIF($D6:$AE6,AO$4)</f>
        <v/>
      </c>
      <c r="AP6" s="238" t="n"/>
      <c r="AQ6" s="313">
        <f>SUMPRODUCT(--WEEKDAY(C$3:AG$3,2)&lt;6,--((C6:AG6="DM"))+(C6:AG6="CS1")+((C6:AG6="CS2"))+(C6:AG6="SB1")+(C6:AG6="AE")+(C6:AG6="EM"))</f>
        <v/>
      </c>
      <c r="AR6" s="238" t="n"/>
      <c r="AS6" s="238">
        <f>SUMPRODUCT(--WEEKDAY(C$3:AG$3,2)&gt;5,--((C6:AG6="DM"))+(C6:AG6="CS1")+((C6:AG6="CS2"))+(C6:AG6="SB1")+(C6:AG6="AE")+(C6:AG6="EM"))</f>
        <v/>
      </c>
      <c r="AT6" s="238" t="n"/>
      <c r="AU6" s="238">
        <f>(AQ6-AR6)/2+(AS6-AT6)</f>
        <v/>
      </c>
      <c r="AV6" s="238">
        <f>AI6+AJ6+AK6+AL6+AN6+AO6</f>
        <v/>
      </c>
      <c r="AW6" s="238">
        <f>AU6+AY6</f>
        <v/>
      </c>
      <c r="AX6" s="238">
        <f>AU6+AY6</f>
        <v/>
      </c>
      <c r="AY6" s="313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/>
      </c>
      <c r="AZ6" s="313">
        <f>COUNTIF(D6:AE6,"*BRT*")</f>
        <v/>
      </c>
      <c r="BA6" s="313">
        <f>COUNTIF(A6:AI6,"*$BTP*")</f>
        <v/>
      </c>
      <c r="BB6" s="313">
        <f>BA6*('Setting key Duty'!$I$13+'Setting key Duty'!$I$12+'Setting key Duty'!$I$11)</f>
        <v/>
      </c>
      <c r="BC6" s="313">
        <f>COUNTIF(A6:AI6,"*$L*")</f>
        <v/>
      </c>
      <c r="BD6" s="313">
        <f>BC6*('Setting key Duty'!$I$13+'Setting key Duty'!$I$9)</f>
        <v/>
      </c>
      <c r="BE6" s="313">
        <f>COUNTIF(A6:AI6,"*$M*")</f>
        <v/>
      </c>
      <c r="BF6" s="313">
        <f>BE6*('Setting key Duty'!$I$8+'Setting key Duty'!$I$9+'Setting key Duty'!$I$12)</f>
        <v/>
      </c>
      <c r="BG6" s="313">
        <f>COUNTIF(AE6:AI6,"*$N*")</f>
        <v/>
      </c>
      <c r="BH6" s="313">
        <f>COUNTIF(AE6:AI6,"*$PM*")</f>
        <v/>
      </c>
      <c r="BI6" s="313">
        <f>BH6*('Setting key Duty'!$I$9)</f>
        <v/>
      </c>
      <c r="BJ6" s="313">
        <f>COUNTIF(A6:AI6,"*$AM*")</f>
        <v/>
      </c>
      <c r="BK6" s="313">
        <f>BJ6*('Setting key Duty'!$I$12+'Setting key Duty'!$I$8)</f>
        <v/>
      </c>
      <c r="BL6" s="313">
        <f>COUNTIF(D6:AI6,"*$FC*")</f>
        <v/>
      </c>
      <c r="BM6" s="313">
        <f>BL6*('Setting key Duty'!$J$11+'Setting key Duty'!$I$8)</f>
        <v/>
      </c>
      <c r="BN6" s="313">
        <f>COUNTIF($D6:$AE6,BN$4)</f>
        <v/>
      </c>
      <c r="BO6" s="313">
        <f>COUNTIF($D6:$AE6,BO$4)</f>
        <v/>
      </c>
      <c r="BP6" s="313">
        <f>COUNTIF($D6:$AE6,BP$4)</f>
        <v/>
      </c>
      <c r="BQ6" s="314" t="n"/>
    </row>
    <row r="7" ht="19.5" customHeight="1">
      <c r="A7" s="309" t="n"/>
      <c r="B7" s="322" t="inlineStr">
        <is>
          <t>CPL KARTHIKRAM KRISHNAN</t>
        </is>
      </c>
      <c r="C7" s="197" t="inlineStr">
        <is>
          <t>DM</t>
        </is>
      </c>
      <c r="E7" s="197" t="n"/>
      <c r="F7" s="197" t="n"/>
      <c r="G7" s="324" t="n"/>
      <c r="I7" s="317" t="inlineStr">
        <is>
          <t>CS1</t>
        </is>
      </c>
      <c r="J7" s="197" t="n"/>
      <c r="K7" s="321" t="inlineStr">
        <is>
          <t>DM</t>
        </is>
      </c>
      <c r="L7" s="106" t="n"/>
      <c r="M7" s="106" t="n"/>
      <c r="N7" s="197" t="inlineStr">
        <is>
          <t>M $AM 8KM (0600-1100)</t>
        </is>
      </c>
      <c r="P7" s="197" t="inlineStr">
        <is>
          <t>CS2</t>
        </is>
      </c>
      <c r="Q7" s="106" t="n"/>
      <c r="S7" s="197" t="inlineStr">
        <is>
          <t>DM</t>
        </is>
      </c>
      <c r="U7" s="197" t="inlineStr">
        <is>
          <t>CS2</t>
        </is>
      </c>
      <c r="V7" s="106" t="n"/>
      <c r="X7" s="197" t="n"/>
      <c r="Y7" s="1" t="inlineStr">
        <is>
          <t>BACKUP</t>
        </is>
      </c>
      <c r="Z7" s="197" t="n"/>
      <c r="AA7" s="197" t="n"/>
      <c r="AC7" s="197" t="inlineStr">
        <is>
          <t>DM</t>
        </is>
      </c>
      <c r="AE7" s="197" t="inlineStr">
        <is>
          <t>DM</t>
        </is>
      </c>
      <c r="AG7" s="197" t="n"/>
      <c r="AH7" s="197" t="n"/>
      <c r="AI7" s="311">
        <f>COUNTIF($C7,AI$4)</f>
        <v/>
      </c>
      <c r="AJ7" s="312">
        <f>COUNTIF($C7,AJ$4)</f>
        <v/>
      </c>
      <c r="AK7" s="311">
        <f>COUNTIF($C7,AK$4)</f>
        <v/>
      </c>
      <c r="AL7" s="313">
        <f>COUNTIF($C7,AL$4)</f>
        <v/>
      </c>
      <c r="AM7" s="313">
        <f>COUNTIF($C7,AM$4)</f>
        <v/>
      </c>
      <c r="AN7" s="313">
        <f>COUNTIF($C7,AN$4)</f>
        <v/>
      </c>
      <c r="AO7" s="313">
        <f>COUNTIF($C7,AO$4)</f>
        <v/>
      </c>
      <c r="AP7" s="238" t="n"/>
      <c r="AQ7" s="313">
        <f>SUMPRODUCT(--WEEKDAY(C$3:AG$3,2)&lt;6,--((C7:AG7="DM"))+(C7:AG7="CS1")+((C7:AG7="CS2"))+(C7:AG7="SB1")+(C7:AG7="AE")+(C7:AG7="EM"))</f>
        <v/>
      </c>
      <c r="AR7" s="238" t="n"/>
      <c r="AS7" s="238">
        <f>SUMPRODUCT(--WEEKDAY(C$3:AG$3,2)&gt;5,--((C7:AG7="DM"))+(C7:AG7="CS1")+((C7:AG7="CS2"))+(C7:AG7="SB1")+(C7:AG7="AE")+(C7:AG7="EM"))</f>
        <v/>
      </c>
      <c r="AT7" s="238" t="n"/>
      <c r="AU7" s="238">
        <f>(AQ7-AR7)/2+(AS7-AT7)</f>
        <v/>
      </c>
      <c r="AV7" s="238">
        <f>AI7+AJ7+AK7+AL7+AN7+AO7</f>
        <v/>
      </c>
      <c r="AW7" s="238">
        <f>BG7+BH7+BJ7+BE7+BC7+BA7+BL7</f>
        <v/>
      </c>
      <c r="AX7" s="238">
        <f>AU7+AY7</f>
        <v/>
      </c>
      <c r="AY7" s="313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/>
      </c>
      <c r="AZ7" s="313">
        <f>COUNTIF(C7,"*BRT*")</f>
        <v/>
      </c>
      <c r="BA7" s="313">
        <f>COUNTIF(A7:AI7,"*$BTP*")</f>
        <v/>
      </c>
      <c r="BB7" s="313">
        <f>BA7*('Setting key Duty'!$I$13+'Setting key Duty'!$I$12+'Setting key Duty'!$I$11)</f>
        <v/>
      </c>
      <c r="BC7" s="313">
        <f>COUNTIF(A7:AI7,"*$L*")</f>
        <v/>
      </c>
      <c r="BD7" s="313">
        <f>BC7*('Setting key Duty'!$I$13+'Setting key Duty'!$I$9)</f>
        <v/>
      </c>
      <c r="BE7" s="313">
        <f>COUNTIF(A7:AI7,"*$M*")</f>
        <v/>
      </c>
      <c r="BF7" s="313">
        <f>BE7*('Setting key Duty'!$I$8+'Setting key Duty'!$I$9+'Setting key Duty'!$I$12)</f>
        <v/>
      </c>
      <c r="BG7" s="313">
        <f>COUNTIF(A7:AI7,"*$N*")</f>
        <v/>
      </c>
      <c r="BH7" s="313">
        <f>COUNTIF(AG7:AI7,"*$PM*")</f>
        <v/>
      </c>
      <c r="BI7" s="313">
        <f>BH7*('Setting key Duty'!$I$9)</f>
        <v/>
      </c>
      <c r="BJ7" s="313">
        <f>COUNTIF(A7:AI7,"*$AM*")</f>
        <v/>
      </c>
      <c r="BK7" s="313">
        <f>BJ7*('Setting key Duty'!$I$12+'Setting key Duty'!$I$8)</f>
        <v/>
      </c>
      <c r="BL7" s="313">
        <f>COUNTIF(C7:AI7,"*$FC*")</f>
        <v/>
      </c>
      <c r="BM7" s="313">
        <f>BL7*('Setting key Duty'!$J$11+'Setting key Duty'!$I$8)</f>
        <v/>
      </c>
      <c r="BN7" s="313">
        <f>COUNTIF($C7,BN$4)</f>
        <v/>
      </c>
      <c r="BO7" s="313">
        <f>COUNTIF($C7,BO$4)</f>
        <v/>
      </c>
      <c r="BP7" s="313">
        <f>COUNTIF($C7,BP$4)</f>
        <v/>
      </c>
      <c r="BQ7" s="314" t="n"/>
    </row>
    <row r="8" ht="19.5" customHeight="1">
      <c r="A8" s="309" t="n"/>
      <c r="B8" s="334" t="inlineStr">
        <is>
          <t>CPL MUHAMMAD AQIL BIN ABDULLAH</t>
        </is>
      </c>
      <c r="C8" s="197" t="n"/>
      <c r="D8" s="106" t="n"/>
      <c r="E8" s="197" t="n"/>
      <c r="F8" s="197" t="n"/>
      <c r="G8" s="197" t="n"/>
      <c r="H8" s="197" t="n"/>
      <c r="I8" s="197" t="inlineStr">
        <is>
          <t>DM</t>
        </is>
      </c>
      <c r="J8" s="197" t="n"/>
      <c r="K8" s="321" t="n"/>
      <c r="L8" s="197" t="n"/>
      <c r="M8" s="197" t="inlineStr">
        <is>
          <t>UNC</t>
        </is>
      </c>
      <c r="N8" s="106" t="n"/>
      <c r="O8" s="386" t="inlineStr">
        <is>
          <t>SB1</t>
        </is>
      </c>
      <c r="P8" s="197" t="n"/>
      <c r="Q8" s="197" t="n"/>
      <c r="R8" s="316" t="n"/>
      <c r="S8" s="106" t="n"/>
      <c r="T8" s="106" t="n"/>
      <c r="U8" s="317" t="inlineStr">
        <is>
          <t>DM</t>
        </is>
      </c>
      <c r="V8" s="106" t="n"/>
      <c r="W8" s="197" t="inlineStr">
        <is>
          <t>DM</t>
        </is>
      </c>
      <c r="X8" s="197" t="n"/>
      <c r="Y8" s="197" t="n"/>
      <c r="AB8" s="197" t="inlineStr">
        <is>
          <t>DM</t>
        </is>
      </c>
      <c r="AC8" s="197" t="n"/>
      <c r="AE8" s="197" t="n"/>
      <c r="AF8" s="198" t="inlineStr">
        <is>
          <t>DM</t>
        </is>
      </c>
      <c r="AG8" s="197" t="n"/>
      <c r="AH8" s="197" t="n"/>
      <c r="AI8" s="311" t="n"/>
      <c r="AJ8" s="312" t="n"/>
      <c r="AK8" s="311" t="n"/>
      <c r="AL8" s="313" t="n"/>
      <c r="AM8" s="313" t="n"/>
      <c r="AN8" s="313" t="n"/>
      <c r="AO8" s="313" t="n"/>
      <c r="AP8" s="238" t="n"/>
      <c r="AQ8" s="313">
        <f>SUMPRODUCT(--WEEKDAY(C$3:AG$3,2)&lt;6,--((C8:AG8="DM"))+(C8:AG8="CS1")+((C8:AG8="CS2"))+(C8:AG8="SB1")+(C8:AG8="AE")+(C8:AG8="EM"))</f>
        <v/>
      </c>
      <c r="AR8" s="238" t="n"/>
      <c r="AS8" s="238">
        <f>SUMPRODUCT(--WEEKDAY(C$3:AG$3,2)&gt;5,--((C8:AG8="DM"))+(C8:AG8="CS1")+((C8:AG8="CS2"))+(C8:AG8="SB1")+(C8:AG8="AE")+(C8:AG8="EM"))</f>
        <v/>
      </c>
      <c r="AT8" s="238" t="n"/>
      <c r="AU8" s="238" t="n"/>
      <c r="AV8" s="238" t="n"/>
      <c r="AW8" s="238" t="n"/>
      <c r="AX8" s="238" t="n"/>
      <c r="AY8" s="313" t="n"/>
      <c r="AZ8" s="313" t="n"/>
      <c r="BA8" s="313" t="n"/>
      <c r="BB8" s="313" t="n"/>
      <c r="BC8" s="313" t="n"/>
      <c r="BD8" s="313" t="n"/>
      <c r="BE8" s="313" t="n"/>
      <c r="BF8" s="313" t="n"/>
      <c r="BG8" s="313" t="n"/>
      <c r="BH8" s="313" t="n"/>
      <c r="BI8" s="313" t="n"/>
      <c r="BJ8" s="313" t="n"/>
      <c r="BK8" s="313" t="n"/>
      <c r="BL8" s="313" t="n"/>
      <c r="BM8" s="313" t="n"/>
      <c r="BN8" s="313" t="n"/>
      <c r="BO8" s="313" t="n"/>
      <c r="BP8" s="313" t="n"/>
      <c r="BQ8" s="314" t="n"/>
    </row>
    <row r="9" ht="19.5" customHeight="1">
      <c r="A9" s="309" t="n"/>
      <c r="B9" s="327" t="inlineStr">
        <is>
          <t>CPL FARABI BIN ZULKIFLI</t>
        </is>
      </c>
      <c r="C9" s="197" t="inlineStr">
        <is>
          <t>CS2</t>
        </is>
      </c>
      <c r="D9" s="197" t="n"/>
      <c r="F9" s="317" t="n"/>
      <c r="G9" s="317" t="inlineStr">
        <is>
          <t>CS1</t>
        </is>
      </c>
      <c r="H9" s="317" t="n"/>
      <c r="I9" s="324" t="inlineStr">
        <is>
          <t>R $FC</t>
        </is>
      </c>
      <c r="J9" s="324" t="inlineStr">
        <is>
          <t>R $FC</t>
        </is>
      </c>
      <c r="K9" s="383" t="inlineStr">
        <is>
          <t>R $FC</t>
        </is>
      </c>
      <c r="L9" s="106" t="n"/>
      <c r="M9" s="197" t="inlineStr">
        <is>
          <t>K $FC</t>
        </is>
      </c>
      <c r="N9" s="197" t="inlineStr">
        <is>
          <t>K $FC</t>
        </is>
      </c>
      <c r="O9" s="106" t="inlineStr">
        <is>
          <t>OFF</t>
        </is>
      </c>
      <c r="P9" s="1" t="inlineStr">
        <is>
          <t>OFF</t>
        </is>
      </c>
      <c r="Q9" s="197" t="n"/>
      <c r="S9" s="197" t="n"/>
      <c r="T9" s="197" t="inlineStr">
        <is>
          <t>CS1</t>
        </is>
      </c>
      <c r="V9" s="197" t="n"/>
      <c r="X9" s="197" t="inlineStr">
        <is>
          <t>DM</t>
        </is>
      </c>
      <c r="Z9" s="197" t="inlineStr">
        <is>
          <t>SB1</t>
        </is>
      </c>
      <c r="AB9" s="197" t="n"/>
      <c r="AC9" s="197" t="n"/>
      <c r="AG9" s="197" t="n"/>
      <c r="AH9" s="197" t="n"/>
      <c r="AI9" s="311" t="n"/>
      <c r="AJ9" s="312" t="n"/>
      <c r="AK9" s="311" t="n"/>
      <c r="AL9" s="313" t="n"/>
      <c r="AM9" s="313" t="n"/>
      <c r="AN9" s="313" t="n"/>
      <c r="AO9" s="313" t="n"/>
      <c r="AP9" s="238" t="n"/>
      <c r="AQ9" s="313">
        <f>SUMPRODUCT(--WEEKDAY(C$3:AG$3,2)&lt;6,--((C9:AG9="DM"))+(C9:AG9="CS1")+((C9:AG9="CS2"))+(C9:AG9="SB1")+(C9:AG9="AE")+(C9:AG9="EM"))</f>
        <v/>
      </c>
      <c r="AR9" s="238" t="n"/>
      <c r="AS9" s="238">
        <f>SUMPRODUCT(--WEEKDAY(C$3:AG$3,2)&gt;5,--((C9:AG9="DM"))+(C9:AG9="CS1")+((C9:AG9="CS2"))+(C9:AG9="SB1")+(C9:AG9="AE")+(C9:AG9="EM"))</f>
        <v/>
      </c>
      <c r="AT9" s="238" t="n"/>
      <c r="AU9" s="238">
        <f>(AQ9-AR9)/2+(AS9-AT9)</f>
        <v/>
      </c>
      <c r="AV9" s="238">
        <f>AI9+AJ9+AK9+AL9+AN9+AO9</f>
        <v/>
      </c>
      <c r="AW9" s="238">
        <f>BG9+BH9+BJ9+BE9+BC9+BA9+BL9</f>
        <v/>
      </c>
      <c r="AX9" s="238">
        <f>AU9+AY9</f>
        <v/>
      </c>
      <c r="AY9" s="313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/>
      </c>
      <c r="AZ9" s="313">
        <f>COUNTIF(D9:Z9,"*BRT*")</f>
        <v/>
      </c>
      <c r="BA9" s="313">
        <f>COUNTIF(A9:AI9,"*$BTP*")</f>
        <v/>
      </c>
      <c r="BB9" s="313">
        <f>BA9*('Setting key Duty'!$I$13+'Setting key Duty'!$I$12+'Setting key Duty'!$I$11)</f>
        <v/>
      </c>
      <c r="BC9" s="313">
        <f>COUNTIF(A9:AI9,"*$L*")</f>
        <v/>
      </c>
      <c r="BD9" s="313">
        <f>BC9*('Setting key Duty'!$I$13+'Setting key Duty'!$I$9)</f>
        <v/>
      </c>
      <c r="BE9" s="313">
        <f>COUNTIF(A9:AI9,"*$M*")</f>
        <v/>
      </c>
      <c r="BF9" s="313">
        <f>BE9*('Setting key Duty'!$I$8+'Setting key Duty'!$I$9+'Setting key Duty'!$I$12)</f>
        <v/>
      </c>
      <c r="BG9" s="313">
        <f>COUNTIF(AI9,"*$N*")</f>
        <v/>
      </c>
      <c r="BH9" s="313">
        <f>COUNTIF(AI9,"*$PM*")</f>
        <v/>
      </c>
      <c r="BI9" s="313">
        <f>BH9*('Setting key Duty'!$I$9)</f>
        <v/>
      </c>
      <c r="BJ9" s="313">
        <f>COUNTIF(A9:AI9,"*$AM*")</f>
        <v/>
      </c>
      <c r="BK9" s="313">
        <f>BJ9*('Setting key Duty'!$I$12+'Setting key Duty'!$I$8)</f>
        <v/>
      </c>
      <c r="BL9" s="313">
        <f>COUNTIF(D9:AI9,"*$FC*")</f>
        <v/>
      </c>
      <c r="BM9" s="313">
        <f>BL9*('Setting key Duty'!$J$11+'Setting key Duty'!$I$8)</f>
        <v/>
      </c>
      <c r="BN9" s="313">
        <f>COUNTIF($D9:$Z9,BN$4)</f>
        <v/>
      </c>
      <c r="BO9" s="313">
        <f>COUNTIF($D9:$Z9,BO$4)</f>
        <v/>
      </c>
      <c r="BP9" s="313">
        <f>COUNTIF($D9:$Z9,BP$4)</f>
        <v/>
      </c>
      <c r="BQ9" s="314" t="n"/>
    </row>
    <row r="10" ht="19.5" customHeight="1">
      <c r="A10" s="309" t="n"/>
      <c r="B10" s="328" t="inlineStr">
        <is>
          <t>LCP MUHAMMAD AQIL HAMZAH BIN SYELDRICK</t>
        </is>
      </c>
      <c r="C10" s="197" t="inlineStr">
        <is>
          <t>CHALET</t>
        </is>
      </c>
      <c r="D10" s="197" t="inlineStr">
        <is>
          <t>CHALET</t>
        </is>
      </c>
      <c r="F10" s="317" t="inlineStr">
        <is>
          <t>CS2</t>
        </is>
      </c>
      <c r="H10" s="198" t="inlineStr">
        <is>
          <t>E $M HG (0530-2000)</t>
        </is>
      </c>
      <c r="I10" s="197" t="inlineStr">
        <is>
          <t>NSMEN $AM IPPT</t>
        </is>
      </c>
      <c r="J10" s="197" t="inlineStr">
        <is>
          <t>CS2</t>
        </is>
      </c>
      <c r="K10" s="321" t="n"/>
      <c r="L10" s="106" t="n"/>
      <c r="M10" s="106" t="n"/>
      <c r="N10" s="197" t="inlineStr">
        <is>
          <t>CS2</t>
        </is>
      </c>
      <c r="O10" s="106" t="n"/>
      <c r="P10" s="197" t="inlineStr">
        <is>
          <t>F $BTP (0530-2359)</t>
        </is>
      </c>
      <c r="Q10" s="197" t="n"/>
      <c r="R10" s="316" t="inlineStr">
        <is>
          <t>BACKUP</t>
        </is>
      </c>
      <c r="S10" s="197" t="inlineStr">
        <is>
          <t>L $M RE-IFC (0530-1500)</t>
        </is>
      </c>
      <c r="T10" s="197" t="inlineStr">
        <is>
          <t>SB1</t>
        </is>
      </c>
      <c r="V10" s="197" t="n"/>
      <c r="W10" s="197" t="n"/>
      <c r="X10" s="197" t="n"/>
      <c r="Y10" s="197" t="n"/>
      <c r="Z10" s="197" t="n"/>
      <c r="AA10" s="197" t="inlineStr">
        <is>
          <t>CS1</t>
        </is>
      </c>
      <c r="AC10" s="197" t="inlineStr">
        <is>
          <t>SCH1 $M GP REHEARSAL (0700-1700)</t>
        </is>
      </c>
      <c r="AD10" s="197" t="n"/>
      <c r="AE10" s="197" t="n"/>
      <c r="AF10" s="106" t="n"/>
      <c r="AH10" s="197" t="n"/>
      <c r="AI10" s="311" t="n"/>
      <c r="AJ10" s="312" t="n"/>
      <c r="AK10" s="311" t="n"/>
      <c r="AL10" s="313" t="n"/>
      <c r="AM10" s="313" t="n"/>
      <c r="AN10" s="313" t="n"/>
      <c r="AO10" s="313" t="n"/>
      <c r="AP10" s="238" t="n"/>
      <c r="AQ10" s="313">
        <f>SUMPRODUCT(--WEEKDAY(C$3:AG$3,2)&lt;6,--((C10:AG10="DM"))+(C10:AG10="CS1")+((C10:AG10="CS2"))+(C10:AG10="SB1")+(C10:AG10="AE")+(C10:AG10="EM"))</f>
        <v/>
      </c>
      <c r="AR10" s="238" t="n"/>
      <c r="AS10" s="238">
        <f>SUMPRODUCT(--WEEKDAY(C$3:AG$3,2)&gt;5,--((C10:AG10="DM"))+(C10:AG10="CS1")+((C10:AG10="CS2"))+(C10:AG10="SB1")+(C10:AG10="AE")+(C10:AG10="EM"))</f>
        <v/>
      </c>
      <c r="AT10" s="238" t="n"/>
      <c r="AU10" s="238">
        <f>(AQ10-AR10)/2+(AS10-AT10)</f>
        <v/>
      </c>
      <c r="AV10" s="238">
        <f>AI10+AJ10+AK10+AL10+AN10+AO10</f>
        <v/>
      </c>
      <c r="AW10" s="238">
        <f>BG10+BH10+BJ10+BE10+BC10+BA10+BL10</f>
        <v/>
      </c>
      <c r="AX10" s="238">
        <f>AU10+$AY$10</f>
        <v/>
      </c>
      <c r="AY10" s="313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/>
      </c>
      <c r="AZ10" s="313">
        <f>COUNTIF(C10:AC10,"*BRT*")</f>
        <v/>
      </c>
      <c r="BA10" s="313">
        <f>COUNTIF(A10:AI10,"*$BTP*")</f>
        <v/>
      </c>
      <c r="BB10" s="313">
        <f>BA10*('Setting key Duty'!$I$13+'Setting key Duty'!$I$12+'Setting key Duty'!$I$11)</f>
        <v/>
      </c>
      <c r="BC10" s="313">
        <f>COUNTIF(D10:AI10,"*$L*")</f>
        <v/>
      </c>
      <c r="BD10" s="313">
        <f>BC10*('Setting key Duty'!$I$13+'Setting key Duty'!$I$9)</f>
        <v/>
      </c>
      <c r="BE10" s="313">
        <f>COUNTIF(D10:AI10,"*$M*")</f>
        <v/>
      </c>
      <c r="BF10" s="313">
        <f>BE10*('Setting key Duty'!$I$8+'Setting key Duty'!$I$9+'Setting key Duty'!$I$12)</f>
        <v/>
      </c>
      <c r="BG10" s="313">
        <f>COUNTIF(D10:AI10,"*$N*")</f>
        <v/>
      </c>
      <c r="BH10" s="313">
        <f>COUNTIF(D10:AI10,"*$PM*")</f>
        <v/>
      </c>
      <c r="BI10" s="313">
        <f>BH10*('Setting key Duty'!$I$9)</f>
        <v/>
      </c>
      <c r="BJ10" s="313">
        <f>COUNTIF(D10:AI10,"*$AM*")</f>
        <v/>
      </c>
      <c r="BK10" s="313">
        <f>BJ10*('Setting key Duty'!$I$12+'Setting key Duty'!$I$8)</f>
        <v/>
      </c>
      <c r="BL10" s="313">
        <f>COUNTIF(C10:AI10,"*$FC*")</f>
        <v/>
      </c>
      <c r="BM10" s="313">
        <f>BL10*('Setting key Duty'!$J$11+'Setting key Duty'!$I$8)</f>
        <v/>
      </c>
      <c r="BN10" s="313">
        <f>COUNTIF($C10:$AG10,BN$4)</f>
        <v/>
      </c>
      <c r="BO10" s="313">
        <f>COUNTIF($C10:$AG10,BO$4)</f>
        <v/>
      </c>
      <c r="BP10" s="313">
        <f>COUNTIF($D10:$AE10,BP$4)</f>
        <v/>
      </c>
      <c r="BQ10" s="314" t="n"/>
    </row>
    <row r="11" ht="19.5" customHeight="1">
      <c r="A11" s="309" t="n"/>
      <c r="B11" s="315" t="inlineStr">
        <is>
          <t>CPL MOHD AMEER KHAN S/O BASHIR ISMAIL</t>
        </is>
      </c>
      <c r="D11" s="197" t="n"/>
      <c r="E11" s="197" t="n"/>
      <c r="F11" s="197" t="inlineStr">
        <is>
          <t>SB1</t>
        </is>
      </c>
      <c r="G11" s="197" t="n"/>
      <c r="H11" s="197" t="inlineStr">
        <is>
          <t>AL</t>
        </is>
      </c>
      <c r="I11" s="197" t="inlineStr">
        <is>
          <t>AL</t>
        </is>
      </c>
      <c r="J11" s="197" t="inlineStr">
        <is>
          <t>DM</t>
        </is>
      </c>
      <c r="K11" s="317" t="n"/>
      <c r="L11" s="282" t="inlineStr">
        <is>
          <t>DM</t>
        </is>
      </c>
      <c r="M11" s="282" t="n"/>
      <c r="O11" s="282" t="inlineStr">
        <is>
          <t>N $AM ER (0600-1100)</t>
        </is>
      </c>
      <c r="P11" s="282" t="n"/>
      <c r="Q11" s="282" t="inlineStr">
        <is>
          <t>CS1</t>
        </is>
      </c>
      <c r="R11" s="197" t="n"/>
      <c r="T11" s="197" t="inlineStr">
        <is>
          <t>DM</t>
        </is>
      </c>
      <c r="U11" s="106" t="n"/>
      <c r="V11" s="197" t="inlineStr">
        <is>
          <t>L $AM IPPT (0500-1100)</t>
        </is>
      </c>
      <c r="W11" s="197" t="n"/>
      <c r="X11" s="197" t="n"/>
      <c r="Y11" s="197" t="inlineStr">
        <is>
          <t>CS1</t>
        </is>
      </c>
      <c r="Z11" s="197" t="n"/>
      <c r="AA11" s="197" t="inlineStr">
        <is>
          <t>SB1</t>
        </is>
      </c>
      <c r="AC11" s="106" t="n"/>
      <c r="AD11" s="197" t="n"/>
      <c r="AE11" s="197" t="n"/>
      <c r="AG11" s="197" t="n"/>
      <c r="AH11" s="197" t="n"/>
      <c r="AI11" s="311" t="n"/>
      <c r="AJ11" s="312" t="n"/>
      <c r="AK11" s="311" t="n"/>
      <c r="AL11" s="313" t="n"/>
      <c r="AM11" s="313" t="n"/>
      <c r="AN11" s="313" t="n"/>
      <c r="AO11" s="313" t="n"/>
      <c r="AP11" s="238" t="n"/>
      <c r="AQ11" s="313">
        <f>SUMPRODUCT(--WEEKDAY(C$3:AG$3,2)&lt;6,--((C11:AG11="DM"))+(C11:AG11="CS1")+((C11:AG11="CS2"))+(C11:AG11="SB1")+(C11:AG11="AE")+(C11:AG11="EM"))</f>
        <v/>
      </c>
      <c r="AR11" s="238" t="n"/>
      <c r="AS11" s="238">
        <f>SUMPRODUCT(--WEEKDAY(C$3:AG$3,2)&gt;5,--((C11:AG11="DM"))+(C11:AG11="CS1")+((C11:AG11="CS2"))+(C11:AG11="SB1")+(C11:AG11="AE")+(C11:AG11="EM"))</f>
        <v/>
      </c>
      <c r="AT11" s="238" t="n"/>
      <c r="AU11" s="238">
        <f>(AQ11-AR11)/2+(AS11-AT11)</f>
        <v/>
      </c>
      <c r="AV11" s="238">
        <f>AI11+AJ11+AK11+AL11+AN11+AO11</f>
        <v/>
      </c>
      <c r="AW11" s="238">
        <f>BG11+BH11+BJ11+BE11+BC11+BA11+BL11</f>
        <v/>
      </c>
      <c r="AX11" s="238">
        <f>AU11+AY11</f>
        <v/>
      </c>
      <c r="AY11" s="313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/>
      </c>
      <c r="AZ11" s="313">
        <f>COUNTIF(D11:AC11,"*BRT*")</f>
        <v/>
      </c>
      <c r="BA11" s="313">
        <f>COUNTIF(A11:AI11,"*$BTP*")</f>
        <v/>
      </c>
      <c r="BB11" s="313">
        <f>BA11*('Setting key Duty'!$I$13+'Setting key Duty'!$I$12+'Setting key Duty'!$I$11)</f>
        <v/>
      </c>
      <c r="BC11" s="313">
        <f>COUNTIF(A11:AI11,"*$L*")</f>
        <v/>
      </c>
      <c r="BD11" s="313">
        <f>BC11*('Setting key Duty'!$I$13+'Setting key Duty'!$I$9)</f>
        <v/>
      </c>
      <c r="BE11" s="313">
        <f>COUNTIF(A11:AI11,"*$M*")</f>
        <v/>
      </c>
      <c r="BF11" s="313">
        <f>BE11*('Setting key Duty'!$I$8+'Setting key Duty'!$I$9+'Setting key Duty'!$I$12)</f>
        <v/>
      </c>
      <c r="BG11" s="313">
        <f>COUNTIF(AF11:AI11,"*$N*")</f>
        <v/>
      </c>
      <c r="BH11" s="313">
        <f>COUNTIF(AF11:AI11,"*$PM*")</f>
        <v/>
      </c>
      <c r="BI11" s="313">
        <f>BH11*('Setting key Duty'!$I$9)</f>
        <v/>
      </c>
      <c r="BJ11" s="313">
        <f>COUNTIF(A11:AI11,"*$AM*")</f>
        <v/>
      </c>
      <c r="BK11" s="313">
        <f>BJ11*('Setting key Duty'!$I$12+'Setting key Duty'!$I$8)</f>
        <v/>
      </c>
      <c r="BL11" s="313">
        <f>COUNTIF(D11:AI11,"*$FC*")</f>
        <v/>
      </c>
      <c r="BM11" s="313">
        <f>BL11*('Setting key Duty'!$J$11+'Setting key Duty'!$I$8)</f>
        <v/>
      </c>
      <c r="BN11" s="313">
        <f>COUNTIF($D11:$AE11,BN$4)</f>
        <v/>
      </c>
      <c r="BO11" s="313">
        <f>COUNTIF($D11:$AE11,BO$4)</f>
        <v/>
      </c>
      <c r="BP11" s="313">
        <f>COUNTIF($D11:$AE11,BP$4)</f>
        <v/>
      </c>
      <c r="BQ11" s="314" t="n"/>
    </row>
    <row r="12" ht="19.5" customHeight="1">
      <c r="A12" s="309" t="n"/>
      <c r="B12" s="329" t="inlineStr">
        <is>
          <t>LCP ALPHA KELVIN ISAAC BIN MUHAMMAD MCKEVIN LAWRENCE</t>
        </is>
      </c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inlineStr">
        <is>
          <t>AMPT</t>
        </is>
      </c>
      <c r="O12" s="197" t="inlineStr">
        <is>
          <t>R $AM 8KM (0600-1000)</t>
        </is>
      </c>
      <c r="R12" s="197" t="inlineStr">
        <is>
          <t>CS2</t>
        </is>
      </c>
      <c r="S12" s="197" t="n"/>
      <c r="T12" s="197" t="inlineStr">
        <is>
          <t>R $AM IPPT (0530-1000)</t>
        </is>
      </c>
      <c r="U12" s="197" t="inlineStr">
        <is>
          <t>S $M RE-SIT TEST (1800-2359)</t>
        </is>
      </c>
      <c r="V12" s="197" t="inlineStr">
        <is>
          <t>S $M RE-SIT TEST (0000-1800)</t>
        </is>
      </c>
      <c r="W12" s="197" t="n"/>
      <c r="X12" s="197" t="n"/>
      <c r="Y12" s="197" t="inlineStr">
        <is>
          <t>CS2</t>
        </is>
      </c>
      <c r="Z12" s="197" t="n"/>
      <c r="AB12" s="198" t="inlineStr">
        <is>
          <t>F $AM IPPT (0500-1100)</t>
        </is>
      </c>
      <c r="AC12" s="197" t="inlineStr">
        <is>
          <t>CS2</t>
        </is>
      </c>
      <c r="AD12" s="197" t="n"/>
      <c r="AF12" s="197" t="inlineStr">
        <is>
          <t>CS2</t>
        </is>
      </c>
      <c r="AG12" s="197" t="n"/>
      <c r="AH12" s="197" t="n"/>
      <c r="AI12" s="311" t="n"/>
      <c r="AJ12" s="312" t="n"/>
      <c r="AK12" s="311" t="n"/>
      <c r="AL12" s="313" t="n"/>
      <c r="AM12" s="313" t="n"/>
      <c r="AN12" s="313" t="n"/>
      <c r="AO12" s="313" t="n"/>
      <c r="AP12" s="238" t="n"/>
      <c r="AQ12" s="313">
        <f>SUMPRODUCT(--WEEKDAY(C$3:AG$3,2)&lt;6,--((C12:AG12="DM"))+(C12:AG12="CS1")+((C12:AG12="CS2"))+(C12:AG12="SB1")+(C12:AG12="AE")+(C12:AG12="EM"))</f>
        <v/>
      </c>
      <c r="AR12" s="238" t="n"/>
      <c r="AS12" s="238">
        <f>SUMPRODUCT(--WEEKDAY(C$3:AG$3,2)&gt;5,--((C12:AG12="DM"))+(C12:AG12="CS1")+((C12:AG12="CS2"))+(C12:AG12="SB1")+(C12:AG12="AE")+(C12:AG12="EM"))</f>
        <v/>
      </c>
      <c r="AT12" s="238" t="n"/>
      <c r="AU12" s="238">
        <f>(AQ12-AR12)/2+(AS12-AT12)</f>
        <v/>
      </c>
      <c r="AV12" s="238">
        <f>AI12+AJ12+AK12+AL12+AN12+AO12</f>
        <v/>
      </c>
      <c r="AW12" s="238">
        <f>BG12+BH12+BJ12+BE12+BC12+BA12+BL12</f>
        <v/>
      </c>
      <c r="AX12" s="238">
        <f>AU12+AY12</f>
        <v/>
      </c>
      <c r="AY12" s="313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/>
      </c>
      <c r="AZ12" s="313">
        <f>COUNTIF(D12:Y12,"*BRT*")</f>
        <v/>
      </c>
      <c r="BA12" s="313">
        <f>COUNTIF(A12:AI12,"*$BTP*")</f>
        <v/>
      </c>
      <c r="BB12" s="313">
        <f>BA12*('Setting key Duty'!$I$13+'Setting key Duty'!$I$12+'Setting key Duty'!$I$11)</f>
        <v/>
      </c>
      <c r="BC12" s="313">
        <f>COUNTIF(A12:AI12,"*$L*")</f>
        <v/>
      </c>
      <c r="BD12" s="313">
        <f>BC12*('Setting key Duty'!$I$13+'Setting key Duty'!$I$9)</f>
        <v/>
      </c>
      <c r="BE12" s="313">
        <f>COUNTIF(A12:AI12,"*$M*")</f>
        <v/>
      </c>
      <c r="BF12" s="313">
        <f>BE12*('Setting key Duty'!$I$8+'Setting key Duty'!$I$9+'Setting key Duty'!$I$12)</f>
        <v/>
      </c>
      <c r="BG12" s="313">
        <f>COUNTIF(AI12,"*$N*")</f>
        <v/>
      </c>
      <c r="BH12" s="313">
        <f>COUNTIF(AI12,"*$PM*")</f>
        <v/>
      </c>
      <c r="BI12" s="313">
        <f>BH12*('Setting key Duty'!$I$9)</f>
        <v/>
      </c>
      <c r="BJ12" s="313">
        <f>COUNTIF(A12:AI12,"*$AM*")</f>
        <v/>
      </c>
      <c r="BK12" s="313">
        <f>BJ12*('Setting key Duty'!$I$12+'Setting key Duty'!$I$8)</f>
        <v/>
      </c>
      <c r="BL12" s="313">
        <f>COUNTIF(D12:AI12,"*$FC*")</f>
        <v/>
      </c>
      <c r="BM12" s="313">
        <f>BL12*('Setting key Duty'!$J$11+'Setting key Duty'!$I$8)</f>
        <v/>
      </c>
      <c r="BN12" s="313">
        <f>COUNTIF($D12:$Y12,BN$4)</f>
        <v/>
      </c>
      <c r="BO12" s="313">
        <f>COUNTIF($D12:$Y12,BO$4)</f>
        <v/>
      </c>
      <c r="BP12" s="313">
        <f>COUNTIF($D12:$Y12,BP$4)</f>
        <v/>
      </c>
      <c r="BQ12" s="314" t="n"/>
    </row>
    <row r="13" ht="24" customHeight="1">
      <c r="A13" s="309" t="n"/>
      <c r="B13" s="335" t="inlineStr">
        <is>
          <t>LCP RAZIN HILMANSYAH BIN ROSLI</t>
        </is>
      </c>
      <c r="C13" s="197" t="n"/>
      <c r="E13" s="317" t="inlineStr">
        <is>
          <t>CS2</t>
        </is>
      </c>
      <c r="H13" s="197" t="inlineStr">
        <is>
          <t>DM</t>
        </is>
      </c>
      <c r="J13" s="317" t="n"/>
      <c r="L13" s="317" t="inlineStr">
        <is>
          <t>CS1</t>
        </is>
      </c>
      <c r="M13" s="197" t="n"/>
      <c r="N13" s="197" t="inlineStr">
        <is>
          <t>CS1</t>
        </is>
      </c>
      <c r="O13" s="197" t="n"/>
      <c r="P13" s="197" t="n"/>
      <c r="Q13" s="197" t="n"/>
      <c r="R13" s="197" t="inlineStr">
        <is>
          <t>DM</t>
        </is>
      </c>
      <c r="S13" s="197" t="n"/>
      <c r="T13" s="197" t="n"/>
      <c r="U13" s="197" t="n"/>
      <c r="V13" s="197" t="inlineStr">
        <is>
          <t>DM</t>
        </is>
      </c>
      <c r="Y13" s="197" t="inlineStr">
        <is>
          <t>DM</t>
        </is>
      </c>
      <c r="Z13" s="53" t="n"/>
      <c r="AA13" s="106" t="n"/>
      <c r="AB13" s="197" t="inlineStr">
        <is>
          <t>CS2</t>
        </is>
      </c>
      <c r="AC13" s="197" t="n"/>
      <c r="AD13" s="197" t="n"/>
      <c r="AE13" s="197" t="n"/>
      <c r="AF13" s="106" t="n"/>
      <c r="AG13" s="197" t="n"/>
      <c r="AH13" s="197" t="n"/>
      <c r="AI13" s="311">
        <f>COUNTIF($C13:$AB13,AI$4)</f>
        <v/>
      </c>
      <c r="AJ13" s="312">
        <f>COUNTIF($C13:$AB13,AJ$4)</f>
        <v/>
      </c>
      <c r="AK13" s="311">
        <f>COUNTIF($C13:$AB13,AK$4)</f>
        <v/>
      </c>
      <c r="AL13" s="313">
        <f>COUNTIF($C13:$AB13,AL$4)</f>
        <v/>
      </c>
      <c r="AM13" s="313">
        <f>COUNTIF($C13:$AB13,AM$4)</f>
        <v/>
      </c>
      <c r="AN13" s="313">
        <f>COUNTIF($C13:$AB13,AN$4)</f>
        <v/>
      </c>
      <c r="AO13" s="313">
        <f>COUNTIF($C13:$AB13,AO$4)</f>
        <v/>
      </c>
      <c r="AP13" s="238" t="n"/>
      <c r="AQ13" s="313">
        <f>SUMPRODUCT(--WEEKDAY(C$3:AG$3,2)&lt;6,--((C13:AG13="DM"))+(C13:AG13="CS1")+((C13:AG13="CS2"))+(C13:AG13="SB1")+(C13:AG13="AE")+(C13:AG13="EM"))</f>
        <v/>
      </c>
      <c r="AR13" s="238" t="n"/>
      <c r="AS13" s="238">
        <f>SUMPRODUCT(--WEEKDAY(C$3:AG$3,2)&gt;5,--((C13:AG13="DM"))+(C13:AG13="CS1")+((C13:AG13="CS2"))+(C13:AG13="SB1")+(C13:AG13="AE")+(C13:AG13="EM"))</f>
        <v/>
      </c>
      <c r="AT13" s="238" t="n"/>
      <c r="AU13" s="238">
        <f>(AQ13-AR13)/2+(AS13-AT13)</f>
        <v/>
      </c>
      <c r="AV13" s="238">
        <f>AI13+AJ13+AK13+AL13+AN13+AO13</f>
        <v/>
      </c>
      <c r="AW13" s="238">
        <f>BG13+BH13+BJ13+BE13+BC13+BA13+BL13</f>
        <v/>
      </c>
      <c r="AX13" s="238">
        <f>AU13+AY13</f>
        <v/>
      </c>
      <c r="AY13" s="313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/>
      </c>
      <c r="AZ13" s="313">
        <f>COUNTIF(C13:AB13,"*BRT*")</f>
        <v/>
      </c>
      <c r="BA13" s="313">
        <f>COUNTIF(A13:AI13,"*$BTP*")</f>
        <v/>
      </c>
      <c r="BB13" s="313">
        <f>BA13*('Setting key Duty'!$I$13+'Setting key Duty'!$I$12+'Setting key Duty'!$I$11)</f>
        <v/>
      </c>
      <c r="BC13" s="313">
        <f>COUNTIF(A13:AI13,"*$L*")</f>
        <v/>
      </c>
      <c r="BD13" s="313">
        <f>BC13*('Setting key Duty'!$I$13+'Setting key Duty'!$I$9)</f>
        <v/>
      </c>
      <c r="BE13" s="313">
        <f>COUNTIF(A13:AI13,"*$M*")</f>
        <v/>
      </c>
      <c r="BF13" s="313">
        <f>BE13*('Setting key Duty'!$I$8+'Setting key Duty'!$I$9+'Setting key Duty'!$I$12)</f>
        <v/>
      </c>
      <c r="BG13" s="313">
        <f>COUNTIF(A13:AI13,"*$N*")</f>
        <v/>
      </c>
      <c r="BH13" s="313">
        <f>COUNTIF(AI13,"*$PM*")</f>
        <v/>
      </c>
      <c r="BI13" s="313">
        <f>BH13*('Setting key Duty'!$I$9)</f>
        <v/>
      </c>
      <c r="BJ13" s="313">
        <f>COUNTIF(A13:AI13,"*$AM*")</f>
        <v/>
      </c>
      <c r="BK13" s="313">
        <f>BJ13*('Setting key Duty'!$I$12+'Setting key Duty'!$I$8)</f>
        <v/>
      </c>
      <c r="BL13" s="313">
        <f>COUNTIF(C13:AI13,"*$FC*")</f>
        <v/>
      </c>
      <c r="BM13" s="313">
        <f>BL13*('Setting key Duty'!$J$11+'Setting key Duty'!$I$8)</f>
        <v/>
      </c>
      <c r="BN13" s="313">
        <f>COUNTIF($C13:$AB13,BN$4)</f>
        <v/>
      </c>
      <c r="BO13" s="313">
        <f>COUNTIF($C13:$AB13,BO$4)</f>
        <v/>
      </c>
      <c r="BP13" s="313">
        <f>COUNTIF($C13:$AB13,BP$4)</f>
        <v/>
      </c>
      <c r="BQ13" s="314" t="n"/>
    </row>
    <row r="14" ht="37.5" customHeight="1">
      <c r="A14" s="309" t="n"/>
      <c r="B14" s="329" t="inlineStr">
        <is>
          <t>CPL RICKY NG RUIQI</t>
        </is>
      </c>
      <c r="C14" s="197" t="n"/>
      <c r="D14" s="197" t="inlineStr">
        <is>
          <t>CS2</t>
        </is>
      </c>
      <c r="E14" s="197" t="n"/>
      <c r="G14" s="324" t="inlineStr">
        <is>
          <t>R $FC</t>
        </is>
      </c>
      <c r="H14" s="324" t="inlineStr">
        <is>
          <t>R $FC</t>
        </is>
      </c>
      <c r="I14" s="324" t="inlineStr">
        <is>
          <t>R $FC</t>
        </is>
      </c>
      <c r="J14" s="197" t="n"/>
      <c r="K14" s="197" t="n"/>
      <c r="L14" s="106" t="inlineStr">
        <is>
          <t>FC OFF?</t>
        </is>
      </c>
      <c r="N14" s="197" t="inlineStr">
        <is>
          <t>K $FC</t>
        </is>
      </c>
      <c r="O14" s="197" t="inlineStr">
        <is>
          <t>K $FC</t>
        </is>
      </c>
      <c r="P14" s="197" t="inlineStr">
        <is>
          <t>K $FC</t>
        </is>
      </c>
      <c r="Q14" s="197" t="n"/>
      <c r="S14" s="197" t="n"/>
      <c r="U14" s="197" t="n"/>
      <c r="V14" s="197" t="n"/>
      <c r="W14" s="197" t="n"/>
      <c r="X14" s="197" t="n"/>
      <c r="Z14" s="197" t="inlineStr">
        <is>
          <t>DM</t>
        </is>
      </c>
      <c r="AA14" s="197" t="n"/>
      <c r="AD14" s="197" t="inlineStr">
        <is>
          <t>DM</t>
        </is>
      </c>
      <c r="AF14" s="197" t="n"/>
      <c r="AG14" s="197" t="n"/>
      <c r="AH14" s="197" t="n"/>
      <c r="AI14" s="311">
        <f>COUNTIF($D14:$AC14,AI$4)</f>
        <v/>
      </c>
      <c r="AJ14" s="312">
        <f>COUNTIF($D14:$AC14,AJ$4)</f>
        <v/>
      </c>
      <c r="AK14" s="311">
        <f>COUNTIF($D14:$AC14,AK$4)</f>
        <v/>
      </c>
      <c r="AL14" s="313">
        <f>COUNTIF($D14:$AC14,AL$4)</f>
        <v/>
      </c>
      <c r="AM14" s="313">
        <f>COUNTIF($D14:$AC14,AM$4)</f>
        <v/>
      </c>
      <c r="AN14" s="313">
        <f>COUNTIF($D14:$AC14,AN$4)</f>
        <v/>
      </c>
      <c r="AO14" s="313">
        <f>COUNTIF($D14:$AC14,AO$4)</f>
        <v/>
      </c>
      <c r="AP14" s="238" t="n"/>
      <c r="AQ14" s="313">
        <f>SUMPRODUCT(--WEEKDAY(C$3:AG$3,2)&lt;6,--((C14:AG14="DM"))+(C14:AG14="CS1")+((C14:AG14="CS2"))+(C14:AG14="SB1")+(C14:AG14="AE")+(C14:AG14="EM"))</f>
        <v/>
      </c>
      <c r="AR14" s="238" t="n"/>
      <c r="AS14" s="238">
        <f>SUMPRODUCT(--WEEKDAY(C$3:AG$3,2)&gt;5,--((C14:AG14="DM"))+(C14:AG14="CS1")+((C14:AG14="CS2"))+(C14:AG14="SB1")+(C14:AG14="AE")+(C14:AG14="EM"))</f>
        <v/>
      </c>
      <c r="AT14" s="238" t="n"/>
      <c r="AU14" s="238">
        <f>(AQ14-AR14)/2+(AS14-AT14)</f>
        <v/>
      </c>
      <c r="AV14" s="238">
        <f>AI14+AJ14+AK14+AL14+AN14+AO14</f>
        <v/>
      </c>
      <c r="AW14" s="238">
        <f>BG14+BH14+BJ14+BE14+BC14+BA14+BL14</f>
        <v/>
      </c>
      <c r="AX14" s="238">
        <f>AU14+AY14</f>
        <v/>
      </c>
      <c r="AY14" s="313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/>
      </c>
      <c r="AZ14" s="313">
        <f>COUNTIF(C14:AC14,"*BRT*")</f>
        <v/>
      </c>
      <c r="BA14" s="313">
        <f>COUNTIF(A14:AI14,"*$BTP*")</f>
        <v/>
      </c>
      <c r="BB14" s="313">
        <f>BA14*('Setting key Duty'!$I$13+'Setting key Duty'!$I$12+'Setting key Duty'!$I$11)</f>
        <v/>
      </c>
      <c r="BC14" s="313">
        <f>COUNTIF(A14:AI14,"*$L*")</f>
        <v/>
      </c>
      <c r="BD14" s="313">
        <f>BC14*('Setting key Duty'!$I$13+'Setting key Duty'!$I$9)</f>
        <v/>
      </c>
      <c r="BE14" s="313">
        <f>COUNTIF(A14:AI14,"*$M*")</f>
        <v/>
      </c>
      <c r="BF14" s="313">
        <f>BE14*('Setting key Duty'!$I$8+'Setting key Duty'!$I$9+'Setting key Duty'!$I$12)</f>
        <v/>
      </c>
      <c r="BG14" s="313">
        <f>COUNTIF(AI14,"*$N*")</f>
        <v/>
      </c>
      <c r="BH14" s="313">
        <f>COUNTIF(AI14,"*$PM*")</f>
        <v/>
      </c>
      <c r="BI14" s="313">
        <f>BH14*('Setting key Duty'!$I$9)</f>
        <v/>
      </c>
      <c r="BJ14" s="313">
        <f>COUNTIF(A14:AI14,"*$AM*")</f>
        <v/>
      </c>
      <c r="BK14" s="313">
        <f>BJ14*('Setting key Duty'!$I$12+'Setting key Duty'!$I$8)</f>
        <v/>
      </c>
      <c r="BL14" s="313">
        <f>COUNTIF(C14:AI14,"*$FC*")</f>
        <v/>
      </c>
      <c r="BM14" s="313">
        <f>BL14*('Setting key Duty'!$J$11+'Setting key Duty'!$I$8)</f>
        <v/>
      </c>
      <c r="BN14" s="313">
        <f>COUNTIF($C14:$AC14,BN$4)</f>
        <v/>
      </c>
      <c r="BO14" s="313">
        <f>COUNTIF($C14:$AC14,BO$4)</f>
        <v/>
      </c>
      <c r="BP14" s="313">
        <f>COUNTIF($C14:$AC14,BP$4)</f>
        <v/>
      </c>
      <c r="BQ14" s="314" t="n"/>
    </row>
    <row r="15" ht="19.5" customHeight="1">
      <c r="A15" s="309" t="n"/>
      <c r="B15" s="315" t="inlineStr">
        <is>
          <t>CPL MUHAMED AMIR BIN AHMAD FAIZAL</t>
        </is>
      </c>
      <c r="D15" s="198" t="inlineStr">
        <is>
          <t>DM</t>
        </is>
      </c>
      <c r="E15" s="197" t="n"/>
      <c r="F15" s="197" t="inlineStr">
        <is>
          <t>DM</t>
        </is>
      </c>
      <c r="G15" s="197" t="n"/>
      <c r="H15" s="197" t="inlineStr">
        <is>
          <t>BIRTHDAY</t>
        </is>
      </c>
      <c r="I15" s="197" t="inlineStr">
        <is>
          <t>AL</t>
        </is>
      </c>
      <c r="J15" s="197" t="inlineStr">
        <is>
          <t>CHALET</t>
        </is>
      </c>
      <c r="K15" s="197" t="inlineStr">
        <is>
          <t>CHALET</t>
        </is>
      </c>
      <c r="L15" s="197" t="inlineStr">
        <is>
          <t>AL</t>
        </is>
      </c>
      <c r="M15" s="197" t="inlineStr">
        <is>
          <t>DM</t>
        </is>
      </c>
      <c r="N15" s="197" t="inlineStr">
        <is>
          <t>DENTAL</t>
        </is>
      </c>
      <c r="O15" s="317" t="n"/>
      <c r="Q15" s="197" t="n"/>
      <c r="R15" s="197" t="inlineStr">
        <is>
          <t>SB1</t>
        </is>
      </c>
      <c r="S15" s="197" t="n"/>
      <c r="T15" s="197" t="n"/>
      <c r="U15" s="106" t="n"/>
      <c r="V15" s="197" t="n"/>
      <c r="W15" s="197" t="inlineStr">
        <is>
          <t>CS2</t>
        </is>
      </c>
      <c r="X15" s="197" t="n"/>
      <c r="Y15" s="197" t="n"/>
      <c r="Z15" s="198" t="inlineStr">
        <is>
          <t>CS1</t>
        </is>
      </c>
      <c r="AA15" s="197" t="inlineStr">
        <is>
          <t>BAIL</t>
        </is>
      </c>
      <c r="AC15" s="197" t="n"/>
      <c r="AD15" s="197" t="n"/>
      <c r="AE15" s="197" t="n"/>
      <c r="AF15" s="196" t="n"/>
      <c r="AG15" s="197" t="n"/>
      <c r="AH15" s="197" t="n"/>
      <c r="AI15" s="311">
        <f>COUNTIF($D15:$AA15,AI$4)</f>
        <v/>
      </c>
      <c r="AJ15" s="312">
        <f>COUNTIF($D15:$AA15,AJ$4)</f>
        <v/>
      </c>
      <c r="AK15" s="311">
        <f>COUNTIF($D15:$AA15,AK$4)</f>
        <v/>
      </c>
      <c r="AL15" s="313">
        <f>COUNTIF($D15:$AA15,AL$4)</f>
        <v/>
      </c>
      <c r="AM15" s="313">
        <f>COUNTIF($D15:$AA15,AM$4)</f>
        <v/>
      </c>
      <c r="AN15" s="313">
        <f>COUNTIF($D15:$AA15,AN$4)</f>
        <v/>
      </c>
      <c r="AO15" s="313">
        <f>COUNTIF($D15:$AA15,AO$4)</f>
        <v/>
      </c>
      <c r="AP15" s="238" t="n"/>
      <c r="AQ15" s="313">
        <f>SUMPRODUCT(--WEEKDAY(C$3:AG$3,2)&lt;6,--((C15:AG15="DM"))+(C15:AG15="CS1")+((C15:AG15="CS2"))+(C15:AG15="SB1")+(C15:AG15="AE")+(C15:AG15="EM"))</f>
        <v/>
      </c>
      <c r="AR15" s="238" t="n"/>
      <c r="AS15" s="238">
        <f>SUMPRODUCT(--WEEKDAY(C$3:AG$3,2)&gt;5,--((C15:AG15="DM"))+(C15:AG15="CS1")+((C15:AG15="CS2"))+(C15:AG15="SB1")+(C15:AG15="AE")+(C15:AG15="EM"))</f>
        <v/>
      </c>
      <c r="AT15" s="238" t="n"/>
      <c r="AU15" s="238">
        <f>(AQ15-AR15)/2+(AS15-AT15)</f>
        <v/>
      </c>
      <c r="AV15" s="238">
        <f>AI15+AJ15+AK15+AL15+AN15+AO15</f>
        <v/>
      </c>
      <c r="AW15" s="238">
        <f>BG15+BH15+BJ15+BE15+BC15+BA15+BL15</f>
        <v/>
      </c>
      <c r="AX15" s="238">
        <f>AU15+AY15</f>
        <v/>
      </c>
      <c r="AY15" s="313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/>
      </c>
      <c r="AZ15" s="313">
        <f>COUNTIF(D15:AA15,"*BRT*")</f>
        <v/>
      </c>
      <c r="BA15" s="313">
        <f>COUNTIF(A15:AI15,"*$BTP*")</f>
        <v/>
      </c>
      <c r="BB15" s="313">
        <f>BA15*('Setting key Duty'!$I$13+'Setting key Duty'!$I$12+'Setting key Duty'!$I$11)</f>
        <v/>
      </c>
      <c r="BC15" s="313">
        <f>COUNTIF(A15:AI15,"*$L*")</f>
        <v/>
      </c>
      <c r="BD15" s="313">
        <f>BC15*('Setting key Duty'!$I$13+'Setting key Duty'!$I$9)</f>
        <v/>
      </c>
      <c r="BE15" s="313">
        <f>COUNTIF(A15:AI15,"*$M*")</f>
        <v/>
      </c>
      <c r="BF15" s="313">
        <f>BE15*('Setting key Duty'!$I$8+'Setting key Duty'!$I$9+'Setting key Duty'!$I$12)</f>
        <v/>
      </c>
      <c r="BG15" s="313">
        <f>COUNTIF(A15:AI15,"*$N*")</f>
        <v/>
      </c>
      <c r="BH15" s="313">
        <f>COUNTIF(AI15,"*$PM*")</f>
        <v/>
      </c>
      <c r="BI15" s="313">
        <f>BH15*('Setting key Duty'!$I$9)</f>
        <v/>
      </c>
      <c r="BJ15" s="313">
        <f>COUNTIF(A15:AI15,"*$AM*")</f>
        <v/>
      </c>
      <c r="BK15" s="313">
        <f>BJ15*('Setting key Duty'!$I$12+'Setting key Duty'!$I$8)</f>
        <v/>
      </c>
      <c r="BL15" s="313">
        <f>COUNTIF(D15:AI15,"*$FC*")</f>
        <v/>
      </c>
      <c r="BM15" s="313">
        <f>BL15*('Setting key Duty'!$J$11+'Setting key Duty'!$I$8)</f>
        <v/>
      </c>
      <c r="BN15" s="313">
        <f>COUNTIF($D15:$AA15,BN$4)</f>
        <v/>
      </c>
      <c r="BO15" s="313">
        <f>COUNTIF($D15:$AA15,BO$4)</f>
        <v/>
      </c>
      <c r="BP15" s="313">
        <f>COUNTIF($D15:$AA15,BP$4)</f>
        <v/>
      </c>
      <c r="BQ15" s="314" t="n"/>
    </row>
    <row r="16" ht="19.5" customHeight="1">
      <c r="A16" s="309" t="n"/>
      <c r="B16" s="334" t="inlineStr">
        <is>
          <t>LCP JAY DEOL FROST</t>
        </is>
      </c>
      <c r="C16" s="197" t="inlineStr">
        <is>
          <t>CS1</t>
        </is>
      </c>
      <c r="D16" s="197" t="n"/>
      <c r="E16" s="197" t="n"/>
      <c r="F16" s="324" t="n"/>
      <c r="G16" s="197" t="inlineStr">
        <is>
          <t>DM</t>
        </is>
      </c>
      <c r="I16" s="197" t="inlineStr">
        <is>
          <t>SB1</t>
        </is>
      </c>
      <c r="K16" s="197" t="inlineStr">
        <is>
          <t>CS2</t>
        </is>
      </c>
      <c r="L16" s="317" t="n"/>
      <c r="M16" s="197" t="n"/>
      <c r="N16" s="197" t="n"/>
      <c r="P16" s="197" t="inlineStr">
        <is>
          <t>CS1</t>
        </is>
      </c>
      <c r="Q16" s="197" t="n"/>
      <c r="R16" s="197" t="n"/>
      <c r="S16" s="197" t="n"/>
      <c r="T16" s="197" t="n"/>
      <c r="U16" s="197" t="inlineStr">
        <is>
          <t>R $M 12KM (1615 - 2359)</t>
        </is>
      </c>
      <c r="V16" s="197" t="n"/>
      <c r="W16" s="197" t="n"/>
      <c r="X16" s="197" t="n"/>
      <c r="Y16" s="197" t="n"/>
      <c r="Z16" s="197" t="n"/>
      <c r="AA16" s="197" t="inlineStr">
        <is>
          <t>E $AM REIPPT (0500-1100)</t>
        </is>
      </c>
      <c r="AB16" s="106" t="n"/>
      <c r="AC16" s="197" t="n"/>
      <c r="AD16" s="197" t="inlineStr">
        <is>
          <t>CS2</t>
        </is>
      </c>
      <c r="AF16" s="197" t="n"/>
      <c r="AG16" s="197" t="n"/>
      <c r="AH16" s="197" t="n"/>
      <c r="AI16" s="311">
        <f>COUNTIF($C16:$AF16,AI$4)</f>
        <v/>
      </c>
      <c r="AJ16" s="312">
        <f>COUNTIF($C16:$AF16,AJ$4)</f>
        <v/>
      </c>
      <c r="AK16" s="311">
        <f>COUNTIF($C16:$AF16,AK$4)</f>
        <v/>
      </c>
      <c r="AL16" s="313">
        <f>COUNTIF($C16:$AF16,AL$4)</f>
        <v/>
      </c>
      <c r="AM16" s="313">
        <f>COUNTIF($C16:$AF16,AM$4)</f>
        <v/>
      </c>
      <c r="AN16" s="313">
        <f>COUNTIF($C16:$AF16,AN$4)</f>
        <v/>
      </c>
      <c r="AO16" s="313">
        <f>COUNTIF($C16:$AF16,AO$4)</f>
        <v/>
      </c>
      <c r="AP16" s="238" t="n"/>
      <c r="AQ16" s="313">
        <f>SUMPRODUCT(--WEEKDAY(C$3:AG$3,2)&lt;6,--((C16:AG16="DM"))+(C16:AG16="CS1")+((C16:AG16="CS2"))+(C16:AG16="SB1")+(C16:AG16="AE")+(C16:AG16="EM"))</f>
        <v/>
      </c>
      <c r="AR16" s="238" t="n"/>
      <c r="AS16" s="238">
        <f>SUMPRODUCT(--WEEKDAY(C$3:AG$3,2)&gt;5,--((C16:AG16="DM"))+(C16:AG16="CS1")+((C16:AG16="CS2"))+(C16:AG16="SB1")+(C16:AG16="AE")+(C16:AG16="EM"))</f>
        <v/>
      </c>
      <c r="AT16" s="238" t="n"/>
      <c r="AU16" s="238">
        <f>(AQ16-AR16)/2+(AS16-AT16)</f>
        <v/>
      </c>
      <c r="AV16" s="238">
        <f>AI16+AJ16+AK16+AL16+AN16+AO16</f>
        <v/>
      </c>
      <c r="AW16" s="238">
        <f>BG16+BH16+BJ16+BE16+BC16+BA16+BL16</f>
        <v/>
      </c>
      <c r="AX16" s="238">
        <f>AU16+AY16</f>
        <v/>
      </c>
      <c r="AY16" s="313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/>
      </c>
      <c r="AZ16" s="313">
        <f>COUNTIF(C16:AC16,"*BRT*")</f>
        <v/>
      </c>
      <c r="BA16" s="313">
        <f>COUNTIF(A16:AI16,"*$BTP*")</f>
        <v/>
      </c>
      <c r="BB16" s="313">
        <f>BA16*('Setting key Duty'!$I$13+'Setting key Duty'!$I$12+'Setting key Duty'!$I$11)</f>
        <v/>
      </c>
      <c r="BC16" s="313">
        <f>COUNTIF(I16:AI16,"*$L*")</f>
        <v/>
      </c>
      <c r="BD16" s="313">
        <f>BC16*('Setting key Duty'!$I$13+'Setting key Duty'!$I$9)</f>
        <v/>
      </c>
      <c r="BE16" s="313">
        <f>COUNTIF(I16:AI16,"*$M*")</f>
        <v/>
      </c>
      <c r="BF16" s="313">
        <f>BE16*('Setting key Duty'!$I$8+'Setting key Duty'!$I$9+'Setting key Duty'!$I$12)</f>
        <v/>
      </c>
      <c r="BG16" s="313">
        <f>COUNTIF(I16:AI16,"*$N*")</f>
        <v/>
      </c>
      <c r="BH16" s="313">
        <f>COUNTIF(I16:AI16,"*$PM*")</f>
        <v/>
      </c>
      <c r="BI16" s="313">
        <f>BH16*('Setting key Duty'!$I$9)</f>
        <v/>
      </c>
      <c r="BJ16" s="313">
        <f>COUNTIF(I16:AI16,"*$AM*")</f>
        <v/>
      </c>
      <c r="BK16" s="313">
        <f>BJ16*('Setting key Duty'!$I$12+'Setting key Duty'!$I$8)</f>
        <v/>
      </c>
      <c r="BL16" s="313">
        <f>COUNTIF(C16:AI16,"*$FC*")</f>
        <v/>
      </c>
      <c r="BM16" s="313">
        <f>BL16*('Setting key Duty'!$J$11+'Setting key Duty'!$I$8)</f>
        <v/>
      </c>
      <c r="BN16" s="313">
        <f>COUNTIF($C16:$AF16,BN$4)</f>
        <v/>
      </c>
      <c r="BO16" s="313">
        <f>COUNTIF($C16:$AF16,BO$4)</f>
        <v/>
      </c>
      <c r="BP16" s="313">
        <f>COUNTIF($I16:$AE16,BP$4)</f>
        <v/>
      </c>
      <c r="BQ16" s="314" t="n"/>
    </row>
    <row r="17" ht="19.5" customHeight="1">
      <c r="A17" s="309" t="n"/>
      <c r="B17" s="329" t="inlineStr">
        <is>
          <t>LCP JASON TAN JIAN CHEN</t>
        </is>
      </c>
      <c r="C17" s="197" t="n"/>
      <c r="D17" s="197" t="n"/>
      <c r="E17" s="197" t="n"/>
      <c r="F17" s="197" t="n"/>
      <c r="G17" s="197" t="n"/>
      <c r="H17" s="197" t="inlineStr">
        <is>
          <t>SB1</t>
        </is>
      </c>
      <c r="I17" s="197" t="n"/>
      <c r="J17" s="197" t="n"/>
      <c r="L17" s="197" t="n"/>
      <c r="M17" s="386" t="inlineStr">
        <is>
          <t>SB1</t>
        </is>
      </c>
      <c r="O17" s="197" t="inlineStr">
        <is>
          <t>E $AM 8KM (0600-1100)</t>
        </is>
      </c>
      <c r="P17" s="197" t="n"/>
      <c r="Q17" s="317" t="n"/>
      <c r="S17" s="197" t="n"/>
      <c r="T17" s="197" t="inlineStr">
        <is>
          <t>N $M 12KM (1400-2359)</t>
        </is>
      </c>
      <c r="U17" s="197" t="n"/>
      <c r="V17" s="197" t="inlineStr">
        <is>
          <t>SB1</t>
        </is>
      </c>
      <c r="W17" s="197" t="n"/>
      <c r="X17" s="197" t="n"/>
      <c r="Y17" s="197" t="n"/>
      <c r="Z17" s="384" t="inlineStr">
        <is>
          <t>FC OFF</t>
        </is>
      </c>
      <c r="AA17" s="197" t="inlineStr">
        <is>
          <t>J $M ISAD (0515-2000)</t>
        </is>
      </c>
      <c r="AB17" s="197" t="inlineStr">
        <is>
          <t>SB1</t>
        </is>
      </c>
      <c r="AC17" s="197" t="n"/>
      <c r="AD17" s="197" t="n"/>
      <c r="AE17" s="197" t="n"/>
      <c r="AF17" s="197" t="n"/>
      <c r="AG17" s="197" t="inlineStr">
        <is>
          <t>SCH1 HQ $M GP REHEARSAL (0700-1700)</t>
        </is>
      </c>
      <c r="AH17" s="317" t="n"/>
      <c r="AI17" s="311" t="n"/>
      <c r="AJ17" s="312" t="n"/>
      <c r="AK17" s="311" t="n"/>
      <c r="AL17" s="313" t="n"/>
      <c r="AM17" s="313" t="n"/>
      <c r="AN17" s="313" t="n"/>
      <c r="AO17" s="313" t="n"/>
      <c r="AP17" s="238" t="n"/>
      <c r="AQ17" s="313">
        <f>SUMPRODUCT(--WEEKDAY(C$3:AG$3,2)&lt;6,--((C17:AG17="DM"))+(C17:AG17="CS1")+((C17:AG17="CS2"))+(C17:AG17="SB1")+(C17:AG17="AE")+(C17:AG17="EM"))</f>
        <v/>
      </c>
      <c r="AR17" s="238" t="n"/>
      <c r="AS17" s="238">
        <f>SUMPRODUCT(--WEEKDAY(C$3:AG$3,2)&gt;5,--((C17:AG17="DM"))+(C17:AG17="CS1")+((C17:AG17="CS2"))+(C17:AG17="SB1")+(C17:AG17="AE")+(C17:AG17="EM"))</f>
        <v/>
      </c>
      <c r="AT17" s="238" t="n"/>
      <c r="AU17" s="238">
        <f>(AQ17-AR17)/2+(AS17-AT17)</f>
        <v/>
      </c>
      <c r="AV17" s="238">
        <f>AI17+AJ17+AK17+AL17+AN17+AO17</f>
        <v/>
      </c>
      <c r="AW17" s="238">
        <f>BG17+BH17+BJ17+BE17+BC17+BA17+BL17</f>
        <v/>
      </c>
      <c r="AX17" s="238">
        <f>AU17+$AY$10</f>
        <v/>
      </c>
      <c r="AY17" s="313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/>
      </c>
      <c r="AZ17" s="313">
        <f>COUNTIF(D17:AA17,"*BRT*")</f>
        <v/>
      </c>
      <c r="BA17" s="313">
        <f>COUNTIF(A17:AI17,"*$BTP*")</f>
        <v/>
      </c>
      <c r="BB17" s="313">
        <f>BA17*('Setting key Duty'!$I$13+'Setting key Duty'!$I$12+'Setting key Duty'!$I$11)</f>
        <v/>
      </c>
      <c r="BC17" s="313">
        <f>COUNTIF(A17:AI17,"*$L*")</f>
        <v/>
      </c>
      <c r="BD17" s="313">
        <f>BC17*('Setting key Duty'!$I$13+'Setting key Duty'!$I$9)</f>
        <v/>
      </c>
      <c r="BE17" s="313">
        <f>COUNTIF(A17:AI17,"*$M*")</f>
        <v/>
      </c>
      <c r="BF17" s="313">
        <f>BE17*('Setting key Duty'!$I$8+'Setting key Duty'!$I$9+'Setting key Duty'!$I$12)</f>
        <v/>
      </c>
      <c r="BG17" s="313">
        <f>COUNTIF(AI17,"*$N*")</f>
        <v/>
      </c>
      <c r="BH17" s="313">
        <f>COUNTIF(AI17,"*$PM*")</f>
        <v/>
      </c>
      <c r="BI17" s="313">
        <f>BH17*('Setting key Duty'!$I$9)</f>
        <v/>
      </c>
      <c r="BJ17" s="313">
        <f>COUNTIF(A17:AI17,"*$AM*")</f>
        <v/>
      </c>
      <c r="BK17" s="313">
        <f>BJ17*('Setting key Duty'!$I$12+'Setting key Duty'!$I$8)</f>
        <v/>
      </c>
      <c r="BL17" s="313">
        <f>COUNTIF(D17:AI17,"*$FC*")</f>
        <v/>
      </c>
      <c r="BM17" s="313">
        <f>BL17*('Setting key Duty'!$J$11+'Setting key Duty'!$I$8)</f>
        <v/>
      </c>
      <c r="BN17" s="313">
        <f>COUNTIF($D17:$AA17,BN$4)</f>
        <v/>
      </c>
      <c r="BO17" s="313">
        <f>COUNTIF($D17:$AA17,BO$4)</f>
        <v/>
      </c>
      <c r="BP17" s="313">
        <f>COUNTIF($D17:$AA17,BP$4)</f>
        <v/>
      </c>
      <c r="BQ17" s="314" t="n"/>
    </row>
    <row r="18" ht="19.5" customHeight="1">
      <c r="A18" s="309" t="n"/>
      <c r="B18" s="373" t="inlineStr">
        <is>
          <t>PTE JARRETT TSING KEE JIN</t>
        </is>
      </c>
      <c r="C18" s="197" t="n"/>
      <c r="D18" s="197" t="n"/>
      <c r="E18" s="197" t="inlineStr">
        <is>
          <t>PHLEBO</t>
        </is>
      </c>
      <c r="F18" s="197" t="inlineStr">
        <is>
          <t>PHLEBO</t>
        </is>
      </c>
      <c r="G18" s="197" t="inlineStr">
        <is>
          <t>PHLEBO</t>
        </is>
      </c>
      <c r="H18" s="197" t="inlineStr">
        <is>
          <t>PHLEBO</t>
        </is>
      </c>
      <c r="I18" s="197" t="inlineStr">
        <is>
          <t>PHLEBO</t>
        </is>
      </c>
      <c r="K18" s="317" t="inlineStr">
        <is>
          <t>SB1</t>
        </is>
      </c>
      <c r="M18" s="197" t="inlineStr">
        <is>
          <t>BACKUP</t>
        </is>
      </c>
      <c r="O18" s="197" t="inlineStr">
        <is>
          <t>A $AM 8KM (0600-1100)</t>
        </is>
      </c>
      <c r="P18" s="197" t="inlineStr">
        <is>
          <t>M $PM IPPT (1500-2000)</t>
        </is>
      </c>
      <c r="Q18" s="197" t="n"/>
      <c r="R18" s="197" t="n"/>
      <c r="S18" s="197" t="n"/>
      <c r="T18" s="197" t="inlineStr">
        <is>
          <t>K $M HG (0515-2000)</t>
        </is>
      </c>
      <c r="V18" s="197" t="n"/>
      <c r="W18" s="197" t="inlineStr">
        <is>
          <t>AE</t>
        </is>
      </c>
      <c r="X18" s="197" t="n"/>
      <c r="Y18" s="1" t="inlineStr">
        <is>
          <t>D</t>
        </is>
      </c>
      <c r="Z18" s="384" t="inlineStr">
        <is>
          <t>FC OFF</t>
        </is>
      </c>
      <c r="AA18" s="198" t="inlineStr">
        <is>
          <t>B $M REIFC (0700-1300)</t>
        </is>
      </c>
      <c r="AB18" s="197" t="n"/>
      <c r="AC18" s="197" t="inlineStr">
        <is>
          <t>SB1</t>
        </is>
      </c>
      <c r="AD18" s="197" t="n"/>
      <c r="AE18" s="197" t="n"/>
      <c r="AF18" s="198" t="n"/>
      <c r="AG18" s="197" t="n"/>
      <c r="AH18" s="197" t="n"/>
      <c r="AI18" s="311" t="n"/>
      <c r="AJ18" s="312" t="n"/>
      <c r="AK18" s="311" t="n"/>
      <c r="AL18" s="313" t="n"/>
      <c r="AM18" s="313" t="n"/>
      <c r="AN18" s="313" t="n"/>
      <c r="AO18" s="313" t="n"/>
      <c r="AP18" s="238" t="n"/>
      <c r="AQ18" s="313">
        <f>SUMPRODUCT(--WEEKDAY(C$3:AG$3,2)&lt;6,--((C18:AG18="DM"))+(C18:AG18="CS1")+((C18:AG18="CS2"))+(C18:AG18="SB1")+(C18:AG18="AE")+(C18:AG18="EM"))</f>
        <v/>
      </c>
      <c r="AR18" s="238" t="n"/>
      <c r="AS18" s="238">
        <f>SUMPRODUCT(--WEEKDAY(C$3:AG$3,2)&gt;5,--((C18:AG18="DM"))+(C18:AG18="CS1")+((C18:AG18="CS2"))+(C18:AG18="SB1")+(C18:AG18="AE")+(C18:AG18="EM"))</f>
        <v/>
      </c>
      <c r="AT18" s="238" t="n"/>
      <c r="AU18" s="238">
        <f>(AQ18-AR18)/2+(AS18-AT18)</f>
        <v/>
      </c>
      <c r="AV18" s="238">
        <f>AI18+AJ18+AK18+AL18+AN18+AO18</f>
        <v/>
      </c>
      <c r="AW18" s="238">
        <f>BG18+BH18+BJ18+BE18+BC18+BA18+BL18</f>
        <v/>
      </c>
      <c r="AX18" s="238">
        <f>AU18+$AY$10</f>
        <v/>
      </c>
      <c r="AY18" s="313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/>
      </c>
      <c r="AZ18" s="313">
        <f>COUNTIF(D18:AA18,"*BRT*")</f>
        <v/>
      </c>
      <c r="BA18" s="313">
        <f>COUNTIF(A18:AI18,"*$BTP*")</f>
        <v/>
      </c>
      <c r="BB18" s="313">
        <f>BA18*('Setting key Duty'!$I$13+'Setting key Duty'!$I$12+'Setting key Duty'!$I$11)</f>
        <v/>
      </c>
      <c r="BC18" s="313">
        <f>COUNTIF(A18:AI18,"*$L*")</f>
        <v/>
      </c>
      <c r="BD18" s="313">
        <f>BC18*('Setting key Duty'!$I$13+'Setting key Duty'!$I$9)</f>
        <v/>
      </c>
      <c r="BE18" s="313">
        <f>COUNTIF(A18:AI18,"*$M*")</f>
        <v/>
      </c>
      <c r="BF18" s="313">
        <f>BE18*('Setting key Duty'!$I$8+'Setting key Duty'!$I$9+'Setting key Duty'!$I$12)</f>
        <v/>
      </c>
      <c r="BG18" s="313">
        <f>COUNTIF(AI18,"*$N*")</f>
        <v/>
      </c>
      <c r="BH18" s="313">
        <f>COUNTIF(AI18,"*$PM*")</f>
        <v/>
      </c>
      <c r="BI18" s="313">
        <f>BH18*('Setting key Duty'!$I$9)</f>
        <v/>
      </c>
      <c r="BJ18" s="313">
        <f>COUNTIF(A18:AI18,"*$AM*")</f>
        <v/>
      </c>
      <c r="BK18" s="313">
        <f>BJ18*('Setting key Duty'!$I$12+'Setting key Duty'!$I$8)</f>
        <v/>
      </c>
      <c r="BL18" s="313">
        <f>COUNTIF(D18:AI18,"*$FC*")</f>
        <v/>
      </c>
      <c r="BM18" s="313">
        <f>BL18*('Setting key Duty'!$J$11+'Setting key Duty'!$I$8)</f>
        <v/>
      </c>
      <c r="BN18" s="313">
        <f>COUNTIF($D18:$AA18,BN$4)</f>
        <v/>
      </c>
      <c r="BO18" s="313">
        <f>COUNTIF($D18:$AA18,BO$4)</f>
        <v/>
      </c>
      <c r="BP18" s="313">
        <f>COUNTIF($D18:$AA18,BP$4)</f>
        <v/>
      </c>
      <c r="BQ18" s="314" t="n"/>
    </row>
    <row r="19" ht="26.25" customHeight="1">
      <c r="A19" s="309" t="n"/>
      <c r="B19" s="333" t="inlineStr">
        <is>
          <t>CFC MARK TAN YIH</t>
        </is>
      </c>
      <c r="C19" s="197" t="n"/>
      <c r="D19" s="197" t="n"/>
      <c r="E19" s="197" t="n"/>
      <c r="F19" s="197" t="inlineStr">
        <is>
          <t>CS1</t>
        </is>
      </c>
      <c r="G19" s="197" t="n"/>
      <c r="H19" s="317" t="inlineStr">
        <is>
          <t>CS1</t>
        </is>
      </c>
      <c r="I19" s="197" t="n"/>
      <c r="J19" s="197" t="n"/>
      <c r="K19" s="198" t="inlineStr">
        <is>
          <t>CS1</t>
        </is>
      </c>
      <c r="L19" s="197" t="n"/>
      <c r="N19" s="197" t="inlineStr">
        <is>
          <t>SB1</t>
        </is>
      </c>
      <c r="O19" s="197" t="n"/>
      <c r="P19" s="197" t="inlineStr">
        <is>
          <t>DM</t>
        </is>
      </c>
      <c r="Q19" s="197" t="n"/>
      <c r="R19" s="197" t="n"/>
      <c r="T19" s="197" t="inlineStr">
        <is>
          <t>CS2</t>
        </is>
      </c>
      <c r="V19" s="197" t="n"/>
      <c r="W19" s="197" t="n"/>
      <c r="X19" s="197" t="n"/>
      <c r="Y19" s="197" t="n"/>
      <c r="Z19" s="197" t="inlineStr">
        <is>
          <t>CS2</t>
        </is>
      </c>
      <c r="AC19" s="197" t="inlineStr">
        <is>
          <t>CS1</t>
        </is>
      </c>
      <c r="AD19" s="197" t="n"/>
      <c r="AE19" s="197" t="n"/>
      <c r="AF19" s="197" t="n"/>
      <c r="AG19" s="197" t="n"/>
      <c r="AH19" s="197" t="n"/>
      <c r="AI19" s="311" t="n"/>
      <c r="AJ19" s="312" t="n"/>
      <c r="AK19" s="311" t="n"/>
      <c r="AL19" s="313" t="n"/>
      <c r="AM19" s="313" t="n"/>
      <c r="AN19" s="313" t="n"/>
      <c r="AO19" s="313" t="n"/>
      <c r="AP19" s="238" t="n"/>
      <c r="AQ19" s="313">
        <f>SUMPRODUCT(--WEEKDAY(C$3:AG$3,2)&lt;6,--((C19:AG19="DM"))+(C19:AG19="CS1")+((C19:AG19="CS2"))+(C19:AG19="SB1")+(C19:AG19="AE")+(C19:AG19="EM"))</f>
        <v/>
      </c>
      <c r="AR19" s="238" t="n"/>
      <c r="AS19" s="238">
        <f>SUMPRODUCT(--WEEKDAY(C$3:AG$3,2)&gt;5,--((C19:AG19="DM"))+(C19:AG19="CS1")+((C19:AG19="CS2"))+(C19:AG19="SB1")+(C19:AG19="AE")+(C19:AG19="EM"))</f>
        <v/>
      </c>
      <c r="AT19" s="238" t="n"/>
      <c r="AU19" s="238">
        <f>(AQ19-AR19)/2+(AS19-AT19)</f>
        <v/>
      </c>
      <c r="AV19" s="238">
        <f>AI19+AJ19+AK19+AL19+AN19+AO19</f>
        <v/>
      </c>
      <c r="AW19" s="238">
        <f>BG19+BH19+BJ19+BE19+BC19+BA19+BL19</f>
        <v/>
      </c>
      <c r="AX19" s="238">
        <f>AU19+AY19</f>
        <v/>
      </c>
      <c r="AY19" s="313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/>
      </c>
      <c r="AZ19" s="313">
        <f>COUNTIF(E19:AA19,"*BRT*")</f>
        <v/>
      </c>
      <c r="BA19" s="313">
        <f>COUNTIF(A19:AI19,"*$BTP*")</f>
        <v/>
      </c>
      <c r="BB19" s="313">
        <f>BA19*('Setting key Duty'!$I$13+'Setting key Duty'!$I$12+'Setting key Duty'!$I$11)</f>
        <v/>
      </c>
      <c r="BC19" s="313">
        <f>COUNTIF(A19:AI19,"*$L*")</f>
        <v/>
      </c>
      <c r="BD19" s="313">
        <f>BC19*('Setting key Duty'!$I$13+'Setting key Duty'!$I$9)</f>
        <v/>
      </c>
      <c r="BE19" s="313">
        <f>COUNTIF(A19:AI19,"*$M*")</f>
        <v/>
      </c>
      <c r="BF19" s="313">
        <f>BE19*('Setting key Duty'!$I$8+'Setting key Duty'!$I$9+'Setting key Duty'!$I$12)</f>
        <v/>
      </c>
      <c r="BG19" s="313">
        <f>COUNTIF(AG19:AI19,"*$N*")</f>
        <v/>
      </c>
      <c r="BH19" s="313">
        <f>COUNTIF(AG19:AI19,"*$PM*")</f>
        <v/>
      </c>
      <c r="BI19" s="313">
        <f>BH19*('Setting key Duty'!$I$9)</f>
        <v/>
      </c>
      <c r="BJ19" s="313">
        <f>COUNTIF(A19:AI19,"*$AM*")</f>
        <v/>
      </c>
      <c r="BK19" s="313">
        <f>BJ19*('Setting key Duty'!$I$12+'Setting key Duty'!$I$8)</f>
        <v/>
      </c>
      <c r="BL19" s="313">
        <f>COUNTIF(E19:AI19,"*$FC*")</f>
        <v/>
      </c>
      <c r="BM19" s="313">
        <f>BL19*('Setting key Duty'!$J$11+'Setting key Duty'!$I$8)</f>
        <v/>
      </c>
      <c r="BN19" s="313">
        <f>COUNTIF($E19:$AA19,BN$4)</f>
        <v/>
      </c>
      <c r="BO19" s="313">
        <f>COUNTIF($E19:$AA19,BO$4)</f>
        <v/>
      </c>
      <c r="BP19" s="313">
        <f>COUNTIF($E19:$AA19,BP$4)</f>
        <v/>
      </c>
      <c r="BQ19" s="314" t="n"/>
    </row>
    <row r="20" ht="19.5" customHeight="1">
      <c r="A20" s="309" t="n"/>
      <c r="B20" s="390" t="inlineStr">
        <is>
          <t>CFC MOK CHENGXUN</t>
        </is>
      </c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inlineStr">
        <is>
          <t>BYE :(</t>
        </is>
      </c>
      <c r="Q20" s="106" t="n"/>
      <c r="R20" s="197" t="n"/>
      <c r="T20" s="197" t="n"/>
      <c r="U20" s="197" t="n"/>
      <c r="V20" s="197" t="n"/>
      <c r="W20" s="197" t="n"/>
      <c r="X20" s="197" t="n"/>
      <c r="Y20" s="197" t="n"/>
      <c r="Z20" s="197" t="n"/>
      <c r="AA20" s="197" t="n"/>
      <c r="AB20" s="197" t="n"/>
      <c r="AC20" s="197" t="n"/>
      <c r="AD20" s="197" t="n"/>
      <c r="AE20" s="197" t="n"/>
      <c r="AF20" s="197" t="n"/>
      <c r="AG20" s="197" t="n"/>
      <c r="AH20" s="197" t="n"/>
      <c r="AI20" s="311" t="n"/>
      <c r="AJ20" s="312" t="n"/>
      <c r="AK20" s="311" t="n"/>
      <c r="AL20" s="313" t="n"/>
      <c r="AM20" s="313" t="n"/>
      <c r="AN20" s="313" t="n"/>
      <c r="AO20" s="313" t="n"/>
      <c r="AP20" s="238" t="n"/>
      <c r="AQ20" s="313">
        <f>SUMPRODUCT(--WEEKDAY(C$3:AG$3,2)&lt;6,--((C20:AG20="DM"))+(C20:AG20="CS1")+((C20:AG20="CS2"))+(C20:AG20="SB1")+(C20:AG20="AE")+(C20:AG20="EM"))</f>
        <v/>
      </c>
      <c r="AR20" s="238" t="n"/>
      <c r="AS20" s="238">
        <f>SUMPRODUCT(--WEEKDAY(C$3:AG$3,2)&gt;5,--((C20:AG20="DM"))+(C20:AG20="CS1")+((C20:AG20="CS2"))+(C20:AG20="SB1")+(C20:AG20="AE")+(C20:AG20="EM"))</f>
        <v/>
      </c>
      <c r="AT20" s="238" t="n"/>
      <c r="AU20" s="238">
        <f>(AQ20-AR20)/2+(AS20-AT20)</f>
        <v/>
      </c>
      <c r="AV20" s="238">
        <f>AI20+AJ20+AK20+AL20+AN20+AO20</f>
        <v/>
      </c>
      <c r="AW20" s="238">
        <f>BG20+BH20+BJ20+BE20+BC20+BA20+BL20</f>
        <v/>
      </c>
      <c r="AX20" s="238">
        <f>AU20+AY20</f>
        <v/>
      </c>
      <c r="AY20" s="313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/>
      </c>
      <c r="AZ20" s="313">
        <f>COUNTIF(C20:AC20,"*BRT*")</f>
        <v/>
      </c>
      <c r="BA20" s="313">
        <f>COUNTIF(A20:AI20,"*$BTP*")</f>
        <v/>
      </c>
      <c r="BB20" s="313">
        <f>BA20*('Setting key Duty'!$I$13+'Setting key Duty'!$I$12+'Setting key Duty'!$I$11)</f>
        <v/>
      </c>
      <c r="BC20" s="313">
        <f>COUNTIF(A20:AI20,"*$L*")</f>
        <v/>
      </c>
      <c r="BD20" s="313">
        <f>BC20*('Setting key Duty'!$I$13+'Setting key Duty'!$I$9)</f>
        <v/>
      </c>
      <c r="BE20" s="313">
        <f>COUNTIF(A20:AI20,"*$M*")</f>
        <v/>
      </c>
      <c r="BF20" s="313">
        <f>BE20*('Setting key Duty'!$I$8+'Setting key Duty'!$I$9+'Setting key Duty'!$I$12)</f>
        <v/>
      </c>
      <c r="BG20" s="313">
        <f>COUNTIF(AI20,"*$N*")</f>
        <v/>
      </c>
      <c r="BH20" s="313">
        <f>COUNTIF(AI20,"*$PM*")</f>
        <v/>
      </c>
      <c r="BI20" s="313">
        <f>BH20*('Setting key Duty'!$I$9)</f>
        <v/>
      </c>
      <c r="BJ20" s="313">
        <f>COUNTIF(A20:AI20,"*$AM*")</f>
        <v/>
      </c>
      <c r="BK20" s="313">
        <f>BJ20*('Setting key Duty'!$I$12+'Setting key Duty'!$I$8)</f>
        <v/>
      </c>
      <c r="BL20" s="313">
        <f>COUNTIF(C20:AI20,"*$FC*")</f>
        <v/>
      </c>
      <c r="BM20" s="313">
        <f>BL20*('Setting key Duty'!$J$11+'Setting key Duty'!$I$8)</f>
        <v/>
      </c>
      <c r="BN20" s="313">
        <f>COUNTIF($C20:$AC20,BN$4)</f>
        <v/>
      </c>
      <c r="BO20" s="313">
        <f>COUNTIF($C20:$AC20,BO$4)</f>
        <v/>
      </c>
      <c r="BP20" s="313">
        <f>COUNTIF($C20:$AC20,BP$4)</f>
        <v/>
      </c>
      <c r="BQ20" s="314" t="n"/>
    </row>
    <row r="21" ht="19.5" customHeight="1">
      <c r="A21" s="309" t="n"/>
      <c r="B21" s="329" t="inlineStr">
        <is>
          <t>CPL PANG JUN YUAN</t>
        </is>
      </c>
      <c r="C21" s="197" t="n"/>
      <c r="D21" s="197" t="n"/>
      <c r="E21" s="317" t="inlineStr">
        <is>
          <t>DM</t>
        </is>
      </c>
      <c r="F21" s="197" t="n"/>
      <c r="G21" s="317" t="inlineStr">
        <is>
          <t>SB1</t>
        </is>
      </c>
      <c r="H21" s="197" t="n"/>
      <c r="I21" s="317" t="inlineStr">
        <is>
          <t>CS2</t>
        </is>
      </c>
      <c r="J21" s="197" t="n"/>
      <c r="K21" s="197" t="n"/>
      <c r="L21" s="197" t="inlineStr">
        <is>
          <t>CS2</t>
        </is>
      </c>
      <c r="M21" s="197" t="n"/>
      <c r="N21" s="197" t="inlineStr">
        <is>
          <t>DM</t>
        </is>
      </c>
      <c r="O21" s="197" t="n"/>
      <c r="P21" s="197" t="inlineStr">
        <is>
          <t>MA</t>
        </is>
      </c>
      <c r="Q21" s="197" t="inlineStr">
        <is>
          <t>CS2</t>
        </is>
      </c>
      <c r="S21" s="197" t="inlineStr">
        <is>
          <t>CS2</t>
        </is>
      </c>
      <c r="U21" s="197" t="n"/>
      <c r="V21" s="197" t="inlineStr">
        <is>
          <t>CS2</t>
        </is>
      </c>
      <c r="W21" s="197" t="n"/>
      <c r="X21" s="197" t="n"/>
      <c r="Y21" s="197" t="n"/>
      <c r="Z21" s="197" t="n"/>
      <c r="AA21" s="197" t="n"/>
      <c r="AB21" s="197" t="inlineStr">
        <is>
          <t>CS1</t>
        </is>
      </c>
      <c r="AC21" s="197" t="n"/>
      <c r="AD21" s="197" t="n"/>
      <c r="AE21" s="197" t="n"/>
      <c r="AF21" s="197" t="n"/>
      <c r="AG21" s="197" t="n"/>
      <c r="AH21" s="197" t="n"/>
      <c r="AI21" s="311" t="n"/>
      <c r="AJ21" s="312" t="n"/>
      <c r="AK21" s="311" t="n"/>
      <c r="AL21" s="313" t="n"/>
      <c r="AM21" s="313" t="n"/>
      <c r="AN21" s="313" t="n"/>
      <c r="AO21" s="313" t="n"/>
      <c r="AP21" s="238" t="n"/>
      <c r="AQ21" s="313">
        <f>SUMPRODUCT(--WEEKDAY(C$3:AG$3,2)&lt;6,--((C21:AG21="DM"))+(C21:AG21="CS1")+((C21:AG21="CS2"))+(C21:AG21="SB1")+(C21:AG21="AE")+(C21:AG21="EM"))</f>
        <v/>
      </c>
      <c r="AR21" s="238" t="n"/>
      <c r="AS21" s="238">
        <f>SUMPRODUCT(--WEEKDAY(C$3:AG$3,2)&gt;5,--((C21:AG21="DM"))+(C21:AG21="CS1")+((C21:AG21="CS2"))+(C21:AG21="SB1")+(C21:AG21="AE")+(C21:AG21="EM"))</f>
        <v/>
      </c>
      <c r="AT21" s="238" t="n"/>
      <c r="AU21" s="238">
        <f>(AQ21-AR21)/2+(AS21-AT21)</f>
        <v/>
      </c>
      <c r="AV21" s="238">
        <f>AI21+AJ21+AK21+AL21+AN21+AO21</f>
        <v/>
      </c>
      <c r="AW21" s="238">
        <f>BG21+BH21+BJ21+BE21+BC21+BA21+BL21</f>
        <v/>
      </c>
      <c r="AX21" s="238">
        <f>AU21+AY21</f>
        <v/>
      </c>
      <c r="AY21" s="313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/>
      </c>
      <c r="AZ21" s="313">
        <f>COUNTIF(D21:AC21,"*BRT*")</f>
        <v/>
      </c>
      <c r="BA21" s="313">
        <f>COUNTIF(A21:AI21,"*$BTP*")</f>
        <v/>
      </c>
      <c r="BB21" s="313">
        <f>BA21*('Setting key Duty'!$I$13+'Setting key Duty'!$I$12+'Setting key Duty'!$I$11)</f>
        <v/>
      </c>
      <c r="BC21" s="313">
        <f>COUNTIF(A21:AI21,"*$L*")</f>
        <v/>
      </c>
      <c r="BD21" s="313">
        <f>BC21*('Setting key Duty'!$I$13+'Setting key Duty'!$I$9)</f>
        <v/>
      </c>
      <c r="BE21" s="313">
        <f>COUNTIF(A21:AI21,"*$M*")</f>
        <v/>
      </c>
      <c r="BF21" s="313">
        <f>BE21*('Setting key Duty'!$I$8+'Setting key Duty'!$I$9+'Setting key Duty'!$I$12)</f>
        <v/>
      </c>
      <c r="BG21" s="313">
        <f>COUNTIF(AF21:AI21,"*$N*")</f>
        <v/>
      </c>
      <c r="BH21" s="313">
        <f>COUNTIF(AF21:AI21,"*$PM*")</f>
        <v/>
      </c>
      <c r="BI21" s="313">
        <f>BH21*('Setting key Duty'!$I$9)</f>
        <v/>
      </c>
      <c r="BJ21" s="313">
        <f>COUNTIF(A21:AI21,"*$AM*")</f>
        <v/>
      </c>
      <c r="BK21" s="313">
        <f>BJ21*('Setting key Duty'!$I$12+'Setting key Duty'!$I$8)</f>
        <v/>
      </c>
      <c r="BL21" s="313">
        <f>COUNTIF(D21:AI21,"*$FC*")</f>
        <v/>
      </c>
      <c r="BM21" s="313">
        <f>BL21*('Setting key Duty'!$J$11+'Setting key Duty'!$I$8)</f>
        <v/>
      </c>
      <c r="BN21" s="313">
        <f>COUNTIF($D21:$AE21,BN$4)</f>
        <v/>
      </c>
      <c r="BO21" s="313">
        <f>COUNTIF($D21:$AE21,BO$4)</f>
        <v/>
      </c>
      <c r="BP21" s="313">
        <f>COUNTIF($D21:$AE21,BP$4)</f>
        <v/>
      </c>
      <c r="BQ21" s="314" t="n"/>
    </row>
    <row r="22" ht="30.75" customHeight="1">
      <c r="A22" s="309" t="n"/>
      <c r="B22" s="315" t="inlineStr">
        <is>
          <t>LCP CHEN DENG FENG</t>
        </is>
      </c>
      <c r="C22" s="317" t="n"/>
      <c r="D22" s="317" t="n"/>
      <c r="E22" s="317" t="inlineStr">
        <is>
          <t>SB1</t>
        </is>
      </c>
      <c r="F22" s="197" t="n"/>
      <c r="G22" s="198" t="inlineStr">
        <is>
          <t>B $M BIC (0530-2000)</t>
        </is>
      </c>
      <c r="H22" s="197" t="inlineStr">
        <is>
          <t>N $AM IPPT (0500-1100)</t>
        </is>
      </c>
      <c r="J22" s="317" t="inlineStr">
        <is>
          <t>CS1</t>
        </is>
      </c>
      <c r="K22" s="197" t="n"/>
      <c r="L22" s="197" t="inlineStr">
        <is>
          <t>MC</t>
        </is>
      </c>
      <c r="M22" s="197" t="inlineStr">
        <is>
          <t>MC</t>
        </is>
      </c>
      <c r="N22" s="197" t="inlineStr">
        <is>
          <t>MC</t>
        </is>
      </c>
      <c r="O22" s="317" t="inlineStr">
        <is>
          <t>CS2</t>
        </is>
      </c>
      <c r="P22" s="197" t="n"/>
      <c r="Q22" s="197" t="n"/>
      <c r="R22" s="197" t="n"/>
      <c r="S22" s="197" t="inlineStr">
        <is>
          <t>R $M HG (0500-2000)</t>
        </is>
      </c>
      <c r="U22" s="197" t="n"/>
      <c r="V22" s="197" t="n"/>
      <c r="W22" s="197" t="n"/>
      <c r="X22" s="197" t="inlineStr">
        <is>
          <t>SB1</t>
        </is>
      </c>
      <c r="Y22" s="197" t="n"/>
      <c r="AA22" s="197" t="n"/>
      <c r="AB22" s="197" t="inlineStr">
        <is>
          <t>F $M RE12KM (1400-2359)</t>
        </is>
      </c>
      <c r="AD22" s="197" t="inlineStr">
        <is>
          <t>AE</t>
        </is>
      </c>
      <c r="AE22" s="197" t="n"/>
      <c r="AF22" s="197" t="n"/>
      <c r="AG22" s="106" t="n"/>
      <c r="AH22" s="106" t="n"/>
      <c r="AI22" s="311" t="n"/>
      <c r="AJ22" s="312" t="n"/>
      <c r="AK22" s="311" t="n"/>
      <c r="AL22" s="313" t="n"/>
      <c r="AM22" s="313" t="n"/>
      <c r="AN22" s="313" t="n"/>
      <c r="AO22" s="313" t="n"/>
      <c r="AP22" s="238" t="n"/>
      <c r="AQ22" s="313">
        <f>SUMPRODUCT(--WEEKDAY(C$3:AG$3,2)&lt;6,--((C22:AG22="DM"))+(C22:AG22="CS1")+((C22:AG22="CS2"))+(C22:AG22="SB1")+(C22:AG22="AE")+(C22:AG22="EM"))</f>
        <v/>
      </c>
      <c r="AR22" s="238" t="n"/>
      <c r="AS22" s="238">
        <f>SUMPRODUCT(--WEEKDAY(C$3:AG$3,2)&gt;5,--((C22:AG22="DM"))+(C22:AG22="CS1")+((C22:AG22="CS2"))+(C22:AG22="SB1")+(C22:AG22="AE")+(C22:AG22="EM"))</f>
        <v/>
      </c>
      <c r="AT22" s="238" t="n"/>
      <c r="AU22" s="238">
        <f>(AQ22-AR22)/2+(AS22-AT22)</f>
        <v/>
      </c>
      <c r="AV22" s="238">
        <f>AI22+AJ22+AK22+AL22+AN22+AO22</f>
        <v/>
      </c>
      <c r="AW22" s="238">
        <f>BG22+BH22+BJ22+BE22+BC22+BA22+BL22</f>
        <v/>
      </c>
      <c r="AX22" s="238">
        <f>AU22+$AY$10</f>
        <v/>
      </c>
      <c r="AY22" s="313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/>
      </c>
      <c r="AZ22" s="313">
        <f>COUNTIF(D22:AA22,"*BRT*")</f>
        <v/>
      </c>
      <c r="BA22" s="313">
        <f>COUNTIF(A22:AI22,"*$BTP*")</f>
        <v/>
      </c>
      <c r="BB22" s="313">
        <f>BA22*('Setting key Duty'!$I$13+'Setting key Duty'!$I$12+'Setting key Duty'!$I$11)</f>
        <v/>
      </c>
      <c r="BC22" s="313">
        <f>COUNTIF(A22:AI22,"*$L*")</f>
        <v/>
      </c>
      <c r="BD22" s="313">
        <f>BC22*('Setting key Duty'!$I$13+'Setting key Duty'!$I$9)</f>
        <v/>
      </c>
      <c r="BE22" s="313">
        <f>COUNTIF(A22:AI22,"*$M*")</f>
        <v/>
      </c>
      <c r="BF22" s="313">
        <f>BE22*('Setting key Duty'!$I$8+'Setting key Duty'!$I$9+'Setting key Duty'!$I$12)</f>
        <v/>
      </c>
      <c r="BG22" s="313">
        <f>COUNTIF(AI22,"*$N*")</f>
        <v/>
      </c>
      <c r="BH22" s="313">
        <f>COUNTIF(AI22,"*$PM*")</f>
        <v/>
      </c>
      <c r="BI22" s="313">
        <f>BH22*('Setting key Duty'!$I$9)</f>
        <v/>
      </c>
      <c r="BJ22" s="313">
        <f>COUNTIF(A22:AI22,"*$AM*")</f>
        <v/>
      </c>
      <c r="BK22" s="313">
        <f>BJ22*('Setting key Duty'!$I$12+'Setting key Duty'!$I$8)</f>
        <v/>
      </c>
      <c r="BL22" s="313">
        <f>COUNTIF(D22:AI22,"*$FC*")</f>
        <v/>
      </c>
      <c r="BM22" s="313">
        <f>BL22*('Setting key Duty'!$J$11+'Setting key Duty'!$I$8)</f>
        <v/>
      </c>
      <c r="BN22" s="313">
        <f>COUNTIF($D22:$AA22,BN$4)</f>
        <v/>
      </c>
      <c r="BO22" s="313">
        <f>COUNTIF($D22:$AA22,BO$4)</f>
        <v/>
      </c>
      <c r="BP22" s="313">
        <f>COUNTIF($D22:$AA22,BP$4)</f>
        <v/>
      </c>
      <c r="BQ22" s="314" t="n"/>
    </row>
    <row r="23" ht="27.75" customHeight="1">
      <c r="A23" s="309" t="n"/>
      <c r="B23" s="315" t="inlineStr">
        <is>
          <t>LCP EUAN TING</t>
        </is>
      </c>
      <c r="C23" s="349" t="inlineStr">
        <is>
          <t>AE</t>
        </is>
      </c>
      <c r="D23" s="197" t="inlineStr">
        <is>
          <t>L $AM 8KM (0600-1100)</t>
        </is>
      </c>
      <c r="E23" s="106" t="n"/>
      <c r="F23" s="198" t="inlineStr">
        <is>
          <t>N $AM PS SOC (0600-1100)</t>
        </is>
      </c>
      <c r="H23" s="197" t="n"/>
      <c r="I23" s="197" t="inlineStr">
        <is>
          <t>K $BTP (0515-2359)</t>
        </is>
      </c>
      <c r="N23" s="197" t="inlineStr">
        <is>
          <t>R $AM PS SOC (0600-1000)</t>
        </is>
      </c>
      <c r="O23" s="198" t="inlineStr">
        <is>
          <t>F $BTP (0530-2359)</t>
        </is>
      </c>
      <c r="Q23" s="197" t="n"/>
      <c r="R23" s="197" t="inlineStr">
        <is>
          <t>BACKUP</t>
        </is>
      </c>
      <c r="T23" s="197" t="inlineStr">
        <is>
          <t>L $M 12KM (1400-2359)</t>
        </is>
      </c>
      <c r="V23" s="197" t="n"/>
      <c r="W23" s="197" t="inlineStr">
        <is>
          <t>CS1</t>
        </is>
      </c>
      <c r="X23" s="197" t="n"/>
      <c r="Y23" s="197" t="n"/>
      <c r="Z23" s="197" t="inlineStr">
        <is>
          <t>N $M BIC (0630-1400)</t>
        </is>
      </c>
      <c r="AA23" s="317" t="n"/>
      <c r="AB23" s="197" t="n"/>
      <c r="AC23" s="197" t="n"/>
      <c r="AD23" s="197" t="n"/>
      <c r="AE23" s="197" t="inlineStr">
        <is>
          <t>CS2</t>
        </is>
      </c>
      <c r="AG23" s="317" t="n"/>
      <c r="AH23" s="317" t="n"/>
      <c r="AI23" s="311" t="n"/>
      <c r="AJ23" s="312" t="n"/>
      <c r="AK23" s="311" t="n"/>
      <c r="AL23" s="313" t="n"/>
      <c r="AM23" s="313" t="n"/>
      <c r="AN23" s="313" t="n"/>
      <c r="AO23" s="313" t="n"/>
      <c r="AP23" s="238" t="n"/>
      <c r="AQ23" s="313">
        <f>SUMPRODUCT(--WEEKDAY(C$3:AG$3,2)&lt;6,--((C23:AG23="DM"))+(C23:AG23="CS1")+((C23:AG23="CS2"))+(C23:AG23="SB1")+(C23:AG23="AE")+(C23:AG23="EM"))</f>
        <v/>
      </c>
      <c r="AR23" s="238" t="n"/>
      <c r="AS23" s="238">
        <f>SUMPRODUCT(--WEEKDAY(C$3:AG$3,2)&gt;5,--((C23:AG23="DM"))+(C23:AG23="CS1")+((C23:AG23="CS2"))+(C23:AG23="SB1")+(C23:AG23="AE")+(C23:AG23="EM"))</f>
        <v/>
      </c>
      <c r="AT23" s="238" t="n"/>
      <c r="AU23" s="238">
        <f>(AQ23-AR23)/2+(AS23-AT23)</f>
        <v/>
      </c>
      <c r="AV23" s="238">
        <f>AI23+AJ23+AK23+AL23+AN23+AO23</f>
        <v/>
      </c>
      <c r="AW23" s="238">
        <f>BG23+BH23+BJ23+BE23+BC23+BA23+BL23</f>
        <v/>
      </c>
      <c r="AX23" s="238">
        <f>AU23+$AY$10</f>
        <v/>
      </c>
      <c r="AY23" s="313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/>
      </c>
      <c r="AZ23" s="313">
        <f>COUNTIF(C23:AA23,"*BRT*")</f>
        <v/>
      </c>
      <c r="BA23" s="313">
        <f>COUNTIF(A23:AI23,"*$BTP*")</f>
        <v/>
      </c>
      <c r="BB23" s="313">
        <f>BA23*('Setting key Duty'!$I$13+'Setting key Duty'!$I$12+'Setting key Duty'!$I$11)</f>
        <v/>
      </c>
      <c r="BC23" s="313">
        <f>COUNTIF(A23:AI23,"*$L*")</f>
        <v/>
      </c>
      <c r="BD23" s="313">
        <f>BC23*('Setting key Duty'!$I$13+'Setting key Duty'!$I$9)</f>
        <v/>
      </c>
      <c r="BE23" s="313">
        <f>COUNTIF(A23:AI23,"*$M*")</f>
        <v/>
      </c>
      <c r="BF23" s="313">
        <f>BE23*('Setting key Duty'!$I$8+'Setting key Duty'!$I$9+'Setting key Duty'!$I$12)</f>
        <v/>
      </c>
      <c r="BG23" s="313">
        <f>COUNTIF(AI23,"*$N*")</f>
        <v/>
      </c>
      <c r="BH23" s="313">
        <f>COUNTIF(AI23,"*$PM*")</f>
        <v/>
      </c>
      <c r="BI23" s="313">
        <f>BH23*('Setting key Duty'!$I$9)</f>
        <v/>
      </c>
      <c r="BJ23" s="313">
        <f>COUNTIF(A23:AI23,"*$AM*")</f>
        <v/>
      </c>
      <c r="BK23" s="313">
        <f>BJ23*('Setting key Duty'!$I$12+'Setting key Duty'!$I$8)</f>
        <v/>
      </c>
      <c r="BL23" s="313">
        <f>COUNTIF(C23:AI23,"*$FC*")</f>
        <v/>
      </c>
      <c r="BM23" s="313">
        <f>BL23*('Setting key Duty'!$J$11+'Setting key Duty'!$I$8)</f>
        <v/>
      </c>
      <c r="BN23" s="313">
        <f>COUNTIF($C23:$AA23,BN$4)</f>
        <v/>
      </c>
      <c r="BO23" s="313">
        <f>COUNTIF($C23:$AA23,BO$4)</f>
        <v/>
      </c>
      <c r="BP23" s="313">
        <f>COUNTIF($C23:$AA23,BP$4)</f>
        <v/>
      </c>
      <c r="BQ23" s="314" t="n"/>
    </row>
    <row r="24" ht="19.5" customHeight="1">
      <c r="A24" s="309" t="n"/>
      <c r="B24" s="407" t="inlineStr">
        <is>
          <t>LCP SEE WEI ZHI</t>
        </is>
      </c>
      <c r="C24" s="197" t="n"/>
      <c r="D24" s="197" t="n"/>
      <c r="E24" s="198" t="inlineStr">
        <is>
          <t>CS1</t>
        </is>
      </c>
      <c r="F24" s="197" t="n"/>
      <c r="G24" s="197" t="n"/>
      <c r="H24" s="197" t="inlineStr">
        <is>
          <t>CS2</t>
        </is>
      </c>
      <c r="J24" s="197" t="n"/>
      <c r="K24" s="197" t="n"/>
      <c r="L24" s="317" t="inlineStr">
        <is>
          <t>OFF</t>
        </is>
      </c>
      <c r="O24" s="197" t="inlineStr">
        <is>
          <t>DM</t>
        </is>
      </c>
      <c r="P24" s="197" t="n"/>
      <c r="Q24" s="197" t="inlineStr">
        <is>
          <t>DM</t>
        </is>
      </c>
      <c r="S24" s="197" t="inlineStr">
        <is>
          <t>CS1</t>
        </is>
      </c>
      <c r="U24" s="197" t="n"/>
      <c r="V24" s="197" t="inlineStr">
        <is>
          <t>CS1</t>
        </is>
      </c>
      <c r="W24" s="197" t="n"/>
      <c r="X24" s="197" t="inlineStr">
        <is>
          <t>CS1</t>
        </is>
      </c>
      <c r="Y24" s="197" t="n"/>
      <c r="Z24" s="197" t="n"/>
      <c r="AA24" s="197" t="inlineStr">
        <is>
          <t>DM</t>
        </is>
      </c>
      <c r="AC24" s="197" t="n"/>
      <c r="AD24" s="197" t="n"/>
      <c r="AE24" s="197" t="n"/>
      <c r="AF24" s="197" t="n"/>
      <c r="AG24" s="197" t="n"/>
      <c r="AH24" s="197" t="n"/>
      <c r="AI24" s="311" t="n"/>
      <c r="AJ24" s="312" t="n"/>
      <c r="AK24" s="311" t="n"/>
      <c r="AL24" s="313" t="n"/>
      <c r="AM24" s="313" t="n"/>
      <c r="AN24" s="313" t="n"/>
      <c r="AO24" s="313" t="n"/>
      <c r="AP24" s="238" t="n"/>
      <c r="AQ24" s="313">
        <f>SUMPRODUCT(--WEEKDAY(C$3:AG$3,2)&lt;6,--((C24:AG24="DM"))+(C24:AG24="CS1")+((C24:AG24="CS2"))+(C24:AG24="SB1")+(C24:AG24="AE")+(C24:AG24="EM"))</f>
        <v/>
      </c>
      <c r="AR24" s="238" t="n"/>
      <c r="AS24" s="238">
        <f>SUMPRODUCT(--WEEKDAY(C$3:AG$3,2)&gt;5,--((C24:AG24="DM"))+(C24:AG24="CS1")+((C24:AG24="CS2"))+(C24:AG24="SB1")+(C24:AG24="AE")+(C24:AG24="EM"))</f>
        <v/>
      </c>
      <c r="AT24" s="238" t="n"/>
      <c r="AU24" s="238">
        <f>(AQ24-AR24)/2+(AS24-AT24)</f>
        <v/>
      </c>
      <c r="AV24" s="238">
        <f>AI24+AJ24+AK24+AL24+AN24+AO24</f>
        <v/>
      </c>
      <c r="AW24" s="238">
        <f>BG24+BH24+BJ24+BE24+BC24+BA24+BL24</f>
        <v/>
      </c>
      <c r="AX24" s="238">
        <f>AU24+AY24</f>
        <v/>
      </c>
      <c r="AY24" s="313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/>
      </c>
      <c r="AZ24" s="313">
        <f>COUNTIF(D24:AB24,"*BRT*")</f>
        <v/>
      </c>
      <c r="BA24" s="313">
        <f>COUNTIF(A24:AI24,"*$BTP*")</f>
        <v/>
      </c>
      <c r="BB24" s="313">
        <f>BA24*('Setting key Duty'!$I$13+'Setting key Duty'!$I$12+'Setting key Duty'!$I$11)</f>
        <v/>
      </c>
      <c r="BC24" s="313">
        <f>COUNTIF(A24:AI24,"*$L*")</f>
        <v/>
      </c>
      <c r="BD24" s="313">
        <f>BC24*('Setting key Duty'!$I$13+'Setting key Duty'!$I$9)</f>
        <v/>
      </c>
      <c r="BE24" s="313">
        <f>COUNTIF(A24:AI24,"*$M*")</f>
        <v/>
      </c>
      <c r="BF24" s="313">
        <f>BE24*('Setting key Duty'!$I$8+'Setting key Duty'!$I$9+'Setting key Duty'!$I$12)</f>
        <v/>
      </c>
      <c r="BG24" s="313">
        <f>COUNTIF(AF24:AI24,"*$N*")</f>
        <v/>
      </c>
      <c r="BH24" s="313">
        <f>COUNTIF(AF24:AI24,"*$PM*")</f>
        <v/>
      </c>
      <c r="BI24" s="313">
        <f>BH24*('Setting key Duty'!$I$9)</f>
        <v/>
      </c>
      <c r="BJ24" s="313">
        <f>COUNTIF(A24:AI24,"*$AM*")</f>
        <v/>
      </c>
      <c r="BK24" s="313">
        <f>BJ24*('Setting key Duty'!$I$12+'Setting key Duty'!$I$8)</f>
        <v/>
      </c>
      <c r="BL24" s="313">
        <f>COUNTIF(D24:AI24,"*$FC*")</f>
        <v/>
      </c>
      <c r="BM24" s="313">
        <f>BL24*('Setting key Duty'!$J$11+'Setting key Duty'!$I$8)</f>
        <v/>
      </c>
      <c r="BN24" s="313">
        <f>COUNTIF($D24:$AE24,BN$4)</f>
        <v/>
      </c>
      <c r="BO24" s="313">
        <f>COUNTIF($D24:$AE24,BO$4)</f>
        <v/>
      </c>
      <c r="BP24" s="313">
        <f>COUNTIF($D24:$AE24,BP$4)</f>
        <v/>
      </c>
      <c r="BQ24" s="314" t="n"/>
    </row>
    <row r="25" ht="19.5" customHeight="1">
      <c r="A25" s="309" t="n"/>
      <c r="B25" s="328" t="inlineStr">
        <is>
          <t>LCP MARK WU</t>
        </is>
      </c>
      <c r="C25" s="317" t="n"/>
      <c r="D25" s="317" t="n"/>
      <c r="E25" s="1" t="inlineStr">
        <is>
          <t>FCOFF</t>
        </is>
      </c>
      <c r="F25" s="197" t="n"/>
      <c r="G25" s="198" t="inlineStr">
        <is>
          <t>6TH $AM ICT IPPT (0500-1030)</t>
        </is>
      </c>
      <c r="H25" s="197" t="inlineStr">
        <is>
          <t>K $BTP (0515-2359)</t>
        </is>
      </c>
      <c r="J25" s="106" t="n"/>
      <c r="K25" s="106" t="n"/>
      <c r="L25" s="197" t="inlineStr">
        <is>
          <t>SB1</t>
        </is>
      </c>
      <c r="M25" s="197" t="n"/>
      <c r="N25" s="197" t="inlineStr">
        <is>
          <t>B $AM IPPT (0530-1100)</t>
        </is>
      </c>
      <c r="O25" s="197" t="inlineStr">
        <is>
          <t>BACKUP</t>
        </is>
      </c>
      <c r="P25" s="391" t="inlineStr">
        <is>
          <t>E $AM IPPT (0500-1100)</t>
        </is>
      </c>
      <c r="Q25" s="317" t="inlineStr">
        <is>
          <t>SB1</t>
        </is>
      </c>
      <c r="R25" s="197" t="n"/>
      <c r="S25" s="197" t="n"/>
      <c r="T25" s="317" t="n"/>
      <c r="U25" s="197" t="inlineStr">
        <is>
          <t>E $M 12KM (1400-2359)</t>
        </is>
      </c>
      <c r="V25" s="197" t="n"/>
      <c r="W25" s="197" t="n"/>
      <c r="X25" s="197" t="n"/>
      <c r="Y25" s="197" t="n"/>
      <c r="Z25" s="197" t="n"/>
      <c r="AA25" s="198" t="n"/>
      <c r="AB25" s="198" t="inlineStr">
        <is>
          <t>L $AM PS SOC (0600-1100)</t>
        </is>
      </c>
      <c r="AC25" s="198" t="n"/>
      <c r="AD25" s="197" t="inlineStr">
        <is>
          <t>K $M BIC (1000-1700)</t>
        </is>
      </c>
      <c r="AE25" s="197" t="inlineStr">
        <is>
          <t>CS1</t>
        </is>
      </c>
      <c r="AF25" s="197" t="n"/>
      <c r="AG25" s="197" t="n"/>
      <c r="AH25" s="197" t="n"/>
      <c r="AI25" s="311" t="n"/>
      <c r="AJ25" s="312" t="n"/>
      <c r="AK25" s="311" t="n"/>
      <c r="AL25" s="313" t="n"/>
      <c r="AM25" s="313" t="n"/>
      <c r="AN25" s="313" t="n"/>
      <c r="AO25" s="313" t="n"/>
      <c r="AP25" s="238" t="n"/>
      <c r="AQ25" s="313">
        <f>SUMPRODUCT(--WEEKDAY(C$3:AG$3,2)&lt;6,--((C25:AG25="DM"))+(C25:AG25="CS1")+((C25:AG25="CS2"))+(C25:AG25="SB1")+(C25:AG25="AE")+(C25:AG25="EM"))</f>
        <v/>
      </c>
      <c r="AR25" s="238" t="n"/>
      <c r="AS25" s="238">
        <f>SUMPRODUCT(--WEEKDAY(C$3:AG$3,2)&gt;5,--((C25:AG25="DM"))+(C25:AG25="CS1")+((C25:AG25="CS2"))+(C25:AG25="SB1")+(C25:AG25="AE")+(C25:AG25="EM"))</f>
        <v/>
      </c>
      <c r="AT25" s="238" t="n"/>
      <c r="AU25" s="238">
        <f>(AQ25-AR25)/2+(AS25-AT25)</f>
        <v/>
      </c>
      <c r="AV25" s="238">
        <f>AI25+AJ25+AK25+AL25+AN25+AO25</f>
        <v/>
      </c>
      <c r="AW25" s="238">
        <f>BG25+BH25+BJ25+BE25+BC25+BA25+BL25</f>
        <v/>
      </c>
      <c r="AX25" s="238">
        <f>AU25+$AY$10</f>
        <v/>
      </c>
      <c r="AY25" s="313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/>
      </c>
      <c r="AZ25" s="313" t="n"/>
      <c r="BA25" s="313" t="n"/>
      <c r="BB25" s="313" t="n"/>
      <c r="BC25" s="313" t="n"/>
      <c r="BD25" s="313" t="n"/>
      <c r="BE25" s="313" t="n"/>
      <c r="BF25" s="313" t="n"/>
      <c r="BG25" s="313" t="n"/>
      <c r="BH25" s="313" t="n"/>
      <c r="BI25" s="313" t="n"/>
      <c r="BJ25" s="313" t="n"/>
      <c r="BK25" s="313" t="n"/>
      <c r="BL25" s="313" t="n"/>
      <c r="BM25" s="313" t="n"/>
      <c r="BN25" s="313" t="n"/>
      <c r="BO25" s="313" t="n"/>
      <c r="BP25" s="313" t="n"/>
      <c r="BQ25" s="314" t="n"/>
    </row>
    <row r="26" ht="19.5" customHeight="1">
      <c r="A26" s="309" t="n"/>
      <c r="B26" s="392" t="inlineStr">
        <is>
          <t>CFC TAN WAI KEAT</t>
        </is>
      </c>
      <c r="C26" s="197" t="n"/>
      <c r="D26" s="198" t="n"/>
      <c r="E26" s="197" t="n"/>
      <c r="F26" s="197" t="n"/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  <c r="T26" s="197" t="n"/>
      <c r="U26" s="197" t="inlineStr">
        <is>
          <t>BYE :(</t>
        </is>
      </c>
      <c r="V26" s="197" t="n"/>
      <c r="W26" s="197" t="n"/>
      <c r="Y26" s="197" t="n"/>
      <c r="AA26" s="197" t="n"/>
      <c r="AB26" s="197" t="n"/>
      <c r="AC26" s="197" t="n"/>
      <c r="AD26" s="197" t="n"/>
      <c r="AE26" s="197" t="n"/>
      <c r="AF26" s="197" t="n"/>
      <c r="AG26" s="197" t="n"/>
      <c r="AH26" s="197" t="n"/>
      <c r="AI26" s="311" t="n"/>
      <c r="AJ26" s="312" t="n"/>
      <c r="AK26" s="311" t="n"/>
      <c r="AL26" s="313" t="n"/>
      <c r="AM26" s="313" t="n"/>
      <c r="AN26" s="313" t="n"/>
      <c r="AO26" s="313" t="n"/>
      <c r="AP26" s="238" t="n"/>
      <c r="AQ26" s="313">
        <f>SUMPRODUCT(--WEEKDAY(C$3:AG$3,2)&lt;6,--((C26:AG26="DM"))+(C26:AG26="CS1")+((C26:AG26="CS2"))+(C26:AG26="SB1")+(C26:AG26="AE")+(C26:AG26="EM"))</f>
        <v/>
      </c>
      <c r="AR26" s="238" t="n"/>
      <c r="AS26" s="238">
        <f>SUMPRODUCT(--WEEKDAY(C$3:AG$3,2)&gt;5,--((C26:AG26="DM"))+(C26:AG26="CS1")+((C26:AG26="CS2"))+(C26:AG26="SB1")+(C26:AG26="AE")+(C26:AG26="EM"))</f>
        <v/>
      </c>
      <c r="AT26" s="238" t="n"/>
      <c r="AU26" s="238">
        <f>(AQ26-AR26)/2+(AS26-AT26)</f>
        <v/>
      </c>
      <c r="AV26" s="238">
        <f>AI26+AJ26+AK26+AL26+AN26+AO26</f>
        <v/>
      </c>
      <c r="AW26" s="238">
        <f>BG26+BH26+BJ26+BE26+BC26+BA26+BL26</f>
        <v/>
      </c>
      <c r="AX26" s="238">
        <f>AU26+AY26</f>
        <v/>
      </c>
      <c r="AY26" s="313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/>
      </c>
      <c r="AZ26" s="313">
        <f>COUNTIF(D26:AC26,"*BRT*")</f>
        <v/>
      </c>
      <c r="BA26" s="313">
        <f>COUNTIF(A26:AI26,"*$BTP*")</f>
        <v/>
      </c>
      <c r="BB26" s="313">
        <f>BA26*('Setting key Duty'!$I$13+'Setting key Duty'!$I$12+'Setting key Duty'!$I$11)</f>
        <v/>
      </c>
      <c r="BC26" s="313">
        <f>COUNTIF(A26:AI26,"*$L*")</f>
        <v/>
      </c>
      <c r="BD26" s="313">
        <f>BC26*('Setting key Duty'!$I$13+'Setting key Duty'!$I$9)</f>
        <v/>
      </c>
      <c r="BE26" s="313">
        <f>COUNTIF(A26:AI26,"*$M*")</f>
        <v/>
      </c>
      <c r="BF26" s="313">
        <f>BE26*('Setting key Duty'!$I$8+'Setting key Duty'!$I$9+'Setting key Duty'!$I$12)</f>
        <v/>
      </c>
      <c r="BG26" s="313">
        <f>COUNTIF(AE26:AI26,"*$N*")</f>
        <v/>
      </c>
      <c r="BH26" s="313">
        <f>COUNTIF(AE26:AI26,"*$PM*")</f>
        <v/>
      </c>
      <c r="BI26" s="313">
        <f>BH26*('Setting key Duty'!$I$9)</f>
        <v/>
      </c>
      <c r="BJ26" s="313">
        <f>COUNTIF(A26:AI26,"*$AM*")</f>
        <v/>
      </c>
      <c r="BK26" s="313">
        <f>BJ26*('Setting key Duty'!$I$12+'Setting key Duty'!$I$8)</f>
        <v/>
      </c>
      <c r="BL26" s="313">
        <f>COUNTIF(D26:AI26,"*$FC*")</f>
        <v/>
      </c>
      <c r="BM26" s="313">
        <f>BL26*('Setting key Duty'!$J$11+'Setting key Duty'!$I$8)</f>
        <v/>
      </c>
      <c r="BN26" s="313">
        <f>COUNTIF($D26:$AE26,BN$4)</f>
        <v/>
      </c>
      <c r="BO26" s="313">
        <f>COUNTIF($D26:$AE26,BO$4)</f>
        <v/>
      </c>
      <c r="BP26" s="313">
        <f>COUNTIF($D26:$AE26,BP$4)</f>
        <v/>
      </c>
      <c r="BQ26" s="314" t="n"/>
    </row>
    <row r="27" ht="19.5" customHeight="1">
      <c r="A27" s="309" t="n"/>
      <c r="B27" s="328" t="inlineStr">
        <is>
          <t>CPL WAN FARID BIN ABDULLAH</t>
        </is>
      </c>
      <c r="C27" s="197" t="n"/>
      <c r="E27" s="197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7" t="inlineStr">
        <is>
          <t>AMPT</t>
        </is>
      </c>
      <c r="O27" s="197" t="n"/>
      <c r="P27" s="197" t="inlineStr">
        <is>
          <t>HQ NSMEN $AM IPPT</t>
        </is>
      </c>
      <c r="R27" s="197" t="inlineStr">
        <is>
          <t>CS1</t>
        </is>
      </c>
      <c r="S27" s="197" t="n"/>
      <c r="T27" s="197" t="inlineStr">
        <is>
          <t>F $AM IPPT (0500-1100)</t>
        </is>
      </c>
      <c r="U27" s="317" t="inlineStr">
        <is>
          <t>SB1</t>
        </is>
      </c>
      <c r="V27" s="197" t="n"/>
      <c r="W27" s="197" t="inlineStr">
        <is>
          <t>HQ $M BLAST GRENADE TRIALS (0800-1800)</t>
        </is>
      </c>
      <c r="X27" s="198" t="inlineStr">
        <is>
          <t>CS2</t>
        </is>
      </c>
      <c r="Z27" s="197" t="n"/>
      <c r="AA27" s="197" t="inlineStr">
        <is>
          <t>A $PM PS SOC (1500-2000)</t>
        </is>
      </c>
      <c r="AB27" s="197" t="inlineStr">
        <is>
          <t>L $M BIC (0515-2000)</t>
        </is>
      </c>
      <c r="AD27" s="197" t="inlineStr">
        <is>
          <t>L $AM PS SOC(0600-1100)</t>
        </is>
      </c>
      <c r="AE27" s="197" t="n"/>
      <c r="AF27" s="197" t="inlineStr">
        <is>
          <t>CS1</t>
        </is>
      </c>
      <c r="AG27" s="197" t="n"/>
      <c r="AH27" s="197" t="n"/>
      <c r="AI27" s="311" t="n"/>
      <c r="AJ27" s="312" t="n"/>
      <c r="AK27" s="311" t="n"/>
      <c r="AL27" s="313" t="n"/>
      <c r="AM27" s="313" t="n"/>
      <c r="AN27" s="313" t="n"/>
      <c r="AO27" s="313" t="n"/>
      <c r="AP27" s="238" t="n"/>
      <c r="AQ27" s="313">
        <f>SUMPRODUCT(--WEEKDAY(C$3:AG$3,2)&lt;6,--((C27:AG27="DM"))+(C27:AG27="CS1")+((C27:AG27="CS2"))+(C27:AG27="SB1")+(C27:AG27="AE")+(C27:AG27="EM"))</f>
        <v/>
      </c>
      <c r="AR27" s="238" t="n"/>
      <c r="AS27" s="238">
        <f>SUMPRODUCT(--WEEKDAY(C$3:AG$3,2)&gt;5,--((C27:AG27="DM"))+(C27:AG27="CS1")+((C27:AG27="CS2"))+(C27:AG27="SB1")+(C27:AG27="AE")+(C27:AG27="EM"))</f>
        <v/>
      </c>
      <c r="AT27" s="238" t="n"/>
      <c r="AU27" s="238">
        <f>(AQ27-AR27)/2+(AS27-AT27)</f>
        <v/>
      </c>
      <c r="AV27" s="238">
        <f>AI27+AJ27+AK27+AL27+AN27+AO27</f>
        <v/>
      </c>
      <c r="AW27" s="238">
        <f>BG27+BH27+BJ27+BE27+BC27+BA27+BL27</f>
        <v/>
      </c>
      <c r="AX27" s="238">
        <f>AU27+AY27</f>
        <v/>
      </c>
      <c r="AY27" s="313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/>
      </c>
      <c r="AZ27" s="313">
        <f>COUNTIF(D27:AA27,"*BRT*")</f>
        <v/>
      </c>
      <c r="BA27" s="313">
        <f>COUNTIF(A27:AI27,"*$BTP*")</f>
        <v/>
      </c>
      <c r="BB27" s="313">
        <f>BA27*('Setting key Duty'!$I$13+'Setting key Duty'!$I$12+'Setting key Duty'!$I$11)</f>
        <v/>
      </c>
      <c r="BC27" s="313">
        <f>COUNTIF(A27:AI27,"*$L*")</f>
        <v/>
      </c>
      <c r="BD27" s="313">
        <f>BC27*('Setting key Duty'!$I$13+'Setting key Duty'!$I$9)</f>
        <v/>
      </c>
      <c r="BE27" s="313">
        <f>COUNTIF(A27:AI27,"*$M*")</f>
        <v/>
      </c>
      <c r="BF27" s="313">
        <f>BE27*('Setting key Duty'!$I$8+'Setting key Duty'!$I$9+'Setting key Duty'!$I$12)</f>
        <v/>
      </c>
      <c r="BG27" s="313">
        <f>COUNTIF(AI27,"*$N*")</f>
        <v/>
      </c>
      <c r="BH27" s="313">
        <f>COUNTIF(AI27,"*$PM*")</f>
        <v/>
      </c>
      <c r="BI27" s="313">
        <f>BH27*('Setting key Duty'!$I$9)</f>
        <v/>
      </c>
      <c r="BJ27" s="313">
        <f>COUNTIF(A27:AI27,"*$AM*")</f>
        <v/>
      </c>
      <c r="BK27" s="313">
        <f>BJ27*('Setting key Duty'!$I$12+'Setting key Duty'!$I$8)</f>
        <v/>
      </c>
      <c r="BL27" s="313">
        <f>COUNTIF(D27:AI27,"*$FC*")</f>
        <v/>
      </c>
      <c r="BM27" s="313">
        <f>BL27*('Setting key Duty'!$J$11+'Setting key Duty'!$I$8)</f>
        <v/>
      </c>
      <c r="BN27" s="313">
        <f>COUNTIF($D27:$AA27,BN$4)</f>
        <v/>
      </c>
      <c r="BO27" s="313">
        <f>COUNTIF($D27:$AA27,BO$4)</f>
        <v/>
      </c>
      <c r="BP27" s="313">
        <f>COUNTIF($D27:$AA27,BP$4)</f>
        <v/>
      </c>
      <c r="BQ27" s="314" t="n"/>
    </row>
    <row r="28" ht="19.5" customHeight="1">
      <c r="A28" s="309" t="n"/>
      <c r="B28" s="376" t="inlineStr">
        <is>
          <t>PTE GERALD TAN</t>
        </is>
      </c>
      <c r="C28" s="324" t="n"/>
      <c r="E28" s="324" t="inlineStr">
        <is>
          <t>AE</t>
        </is>
      </c>
      <c r="F28" s="324" t="n"/>
      <c r="G28" s="324" t="inlineStr">
        <is>
          <t>AE</t>
        </is>
      </c>
      <c r="H28" s="317" t="inlineStr">
        <is>
          <t>SB2</t>
        </is>
      </c>
      <c r="I28" s="1" t="inlineStr">
        <is>
          <t>MA</t>
        </is>
      </c>
      <c r="J28" s="317" t="n"/>
      <c r="K28" s="317" t="inlineStr">
        <is>
          <t>AE</t>
        </is>
      </c>
      <c r="L28" s="324" t="n"/>
      <c r="M28" s="324" t="n"/>
      <c r="N28" s="317" t="inlineStr">
        <is>
          <t>AE</t>
        </is>
      </c>
      <c r="O28" s="324" t="n"/>
      <c r="P28" s="317" t="inlineStr">
        <is>
          <t>SB2</t>
        </is>
      </c>
      <c r="Q28" s="197" t="n"/>
      <c r="R28" s="317" t="inlineStr">
        <is>
          <t>AE</t>
        </is>
      </c>
      <c r="S28" s="317" t="n"/>
      <c r="T28" s="317" t="inlineStr">
        <is>
          <t>AE</t>
        </is>
      </c>
      <c r="U28" s="317" t="inlineStr">
        <is>
          <t>SB2</t>
        </is>
      </c>
      <c r="V28" s="317" t="inlineStr">
        <is>
          <t>AE</t>
        </is>
      </c>
      <c r="X28" s="317" t="n"/>
      <c r="Z28" s="317" t="inlineStr">
        <is>
          <t>SB2</t>
        </is>
      </c>
      <c r="AA28" s="317" t="inlineStr">
        <is>
          <t>AE</t>
        </is>
      </c>
      <c r="AC28" s="317" t="inlineStr">
        <is>
          <t>AE</t>
        </is>
      </c>
      <c r="AD28" s="197" t="n"/>
      <c r="AE28" s="197" t="n"/>
      <c r="AF28" s="197" t="inlineStr">
        <is>
          <t>AE</t>
        </is>
      </c>
      <c r="AG28" s="317" t="n"/>
      <c r="AH28" s="317" t="n"/>
      <c r="AI28" s="311" t="n"/>
      <c r="AJ28" s="312" t="n"/>
      <c r="AK28" s="311" t="n"/>
      <c r="AL28" s="313" t="n"/>
      <c r="AM28" s="313" t="n"/>
      <c r="AN28" s="313" t="n"/>
      <c r="AO28" s="313" t="n"/>
      <c r="AP28" s="238" t="n"/>
      <c r="AQ28" s="313">
        <f>SUMPRODUCT(--WEEKDAY(C$3:AG$3,2)&lt;6,--((C28:AG28="DM"))+(C28:AG28="CS1")+((C28:AG28="CS2"))+(C28:AG28="SB1")+(C28:AG28="AE")+(C28:AG28="EM"))</f>
        <v/>
      </c>
      <c r="AR28" s="238" t="n"/>
      <c r="AS28" s="238">
        <f>SUMPRODUCT(--WEEKDAY(C$3:AG$3,2)&gt;5,--((C28:AG28="DM"))+(C28:AG28="CS1")+((C28:AG28="CS2"))+(C28:AG28="SB1")+(C28:AG28="AE")+(C28:AG28="EM"))</f>
        <v/>
      </c>
      <c r="AT28" s="238" t="n"/>
      <c r="AU28" s="238">
        <f>(AQ28-AR28)/2+(AS28-AT28)</f>
        <v/>
      </c>
      <c r="AV28" s="238">
        <f>AI28+AJ28+AK28+AL28+AN28+AO28</f>
        <v/>
      </c>
      <c r="AW28" s="238">
        <f>BG28+BH28+BJ28+BE28+BC28+BA28+BL28</f>
        <v/>
      </c>
      <c r="AX28" s="238">
        <f>AU28+$AY$10</f>
        <v/>
      </c>
      <c r="AY28" s="313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/>
      </c>
      <c r="AZ28" s="313">
        <f>COUNTIF(D28:AA28,"*BRT*")</f>
        <v/>
      </c>
      <c r="BA28" s="313">
        <f>COUNTIF(A28:AI28,"*$BTP*")</f>
        <v/>
      </c>
      <c r="BB28" s="313">
        <f>BA28*('Setting key Duty'!$I$13+'Setting key Duty'!$I$12+'Setting key Duty'!$I$11)</f>
        <v/>
      </c>
      <c r="BC28" s="313">
        <f>COUNTIF(A28:AI28,"*$L*")</f>
        <v/>
      </c>
      <c r="BD28" s="313">
        <f>BC28*('Setting key Duty'!$I$13+'Setting key Duty'!$I$9)</f>
        <v/>
      </c>
      <c r="BE28" s="313">
        <f>COUNTIF(A28:AI28,"*$M*")</f>
        <v/>
      </c>
      <c r="BF28" s="313">
        <f>BE28*('Setting key Duty'!$I$8+'Setting key Duty'!$I$9+'Setting key Duty'!$I$12)</f>
        <v/>
      </c>
      <c r="BG28" s="313">
        <f>COUNTIF(AI28,"*$N*")</f>
        <v/>
      </c>
      <c r="BH28" s="313">
        <f>COUNTIF(AI28,"*$PM*")</f>
        <v/>
      </c>
      <c r="BI28" s="313">
        <f>BH28*('Setting key Duty'!$I$9)</f>
        <v/>
      </c>
      <c r="BJ28" s="313">
        <f>COUNTIF(A28:AI28,"*$AM*")</f>
        <v/>
      </c>
      <c r="BK28" s="313">
        <f>BJ28*('Setting key Duty'!$I$12+'Setting key Duty'!$I$8)</f>
        <v/>
      </c>
      <c r="BL28" s="313">
        <f>COUNTIF(D28:AI28,"*$FC*")</f>
        <v/>
      </c>
      <c r="BM28" s="313">
        <f>BL28*('Setting key Duty'!$J$11+'Setting key Duty'!$I$8)</f>
        <v/>
      </c>
      <c r="BN28" s="313">
        <f>COUNTIF($D28:$AA28,BN$4)</f>
        <v/>
      </c>
      <c r="BO28" s="313">
        <f>COUNTIF($D28:$AA28,BO$4)</f>
        <v/>
      </c>
      <c r="BP28" s="313">
        <f>COUNTIF($D28:$AA28,BP$4)</f>
        <v/>
      </c>
      <c r="BQ28" s="314" t="n"/>
    </row>
    <row r="29" ht="19.5" customHeight="1">
      <c r="A29" s="309" t="n"/>
      <c r="B29" s="332" t="inlineStr">
        <is>
          <t>PTE FANG JIANGRUI</t>
        </is>
      </c>
      <c r="C29" s="324" t="n"/>
      <c r="E29" s="324" t="n"/>
      <c r="F29" s="198" t="inlineStr">
        <is>
          <t>A $AM IPPT (0500-1100)</t>
        </is>
      </c>
      <c r="G29" s="317" t="inlineStr">
        <is>
          <t>SB2</t>
        </is>
      </c>
      <c r="H29" s="324" t="inlineStr">
        <is>
          <t>AE</t>
        </is>
      </c>
      <c r="J29" s="317" t="n"/>
      <c r="K29" s="324" t="n"/>
      <c r="L29" s="197" t="inlineStr">
        <is>
          <t>B $M HG (0530-2000)</t>
        </is>
      </c>
      <c r="M29" s="324" t="inlineStr">
        <is>
          <t>AE</t>
        </is>
      </c>
      <c r="O29" s="197" t="inlineStr">
        <is>
          <t>B $AM 8KM (0600-1100)</t>
        </is>
      </c>
      <c r="P29" s="197" t="inlineStr">
        <is>
          <t>BACKUP</t>
        </is>
      </c>
      <c r="Q29" s="317" t="inlineStr">
        <is>
          <t>AE</t>
        </is>
      </c>
      <c r="R29" s="197" t="n"/>
      <c r="S29" s="197" t="inlineStr">
        <is>
          <t>F $M BIC (0530-2000)</t>
        </is>
      </c>
      <c r="T29" s="317" t="inlineStr">
        <is>
          <t>SB2</t>
        </is>
      </c>
      <c r="U29" s="317" t="n"/>
      <c r="V29" s="197" t="inlineStr">
        <is>
          <t>N $M BIC (0515-2000)</t>
        </is>
      </c>
      <c r="W29" s="106" t="n"/>
      <c r="Y29" s="384" t="n"/>
      <c r="Z29" s="384" t="inlineStr">
        <is>
          <t>FC OFF</t>
        </is>
      </c>
      <c r="AA29" s="197" t="inlineStr">
        <is>
          <t>N $M RE 12 KM (1400-2359)</t>
        </is>
      </c>
      <c r="AB29" s="197" t="n"/>
      <c r="AC29" s="384" t="n"/>
      <c r="AD29" s="197" t="inlineStr">
        <is>
          <t>C $M ISAD (0530-2000)</t>
        </is>
      </c>
      <c r="AF29" s="197" t="n"/>
      <c r="AH29" s="197" t="inlineStr">
        <is>
          <t>SCH1 HQ $M GP REHEARSAL (0700-1700)</t>
        </is>
      </c>
      <c r="AI29" s="311" t="n"/>
      <c r="AJ29" s="312" t="n"/>
      <c r="AK29" s="311" t="n"/>
      <c r="AL29" s="313" t="n"/>
      <c r="AM29" s="313" t="n"/>
      <c r="AN29" s="313" t="n"/>
      <c r="AO29" s="313" t="n"/>
      <c r="AP29" s="238" t="n"/>
      <c r="AQ29" s="313">
        <f>SUMPRODUCT(--WEEKDAY(C$3:AG$3,2)&lt;6,--((C29:AG29="DM"))+(C29:AG29="CS1")+((C29:AG29="CS2"))+(C29:AG29="SB1")+(C29:AG29="AE")+(C29:AG29="EM"))</f>
        <v/>
      </c>
      <c r="AR29" s="238" t="n"/>
      <c r="AS29" s="238">
        <f>SUMPRODUCT(--WEEKDAY(C$3:AG$3,2)&gt;5,--((C29:AG29="DM"))+(C29:AG29="CS1")+((C29:AG29="CS2"))+(C29:AG29="SB1")+(C29:AG29="AE")+(C29:AG29="EM"))</f>
        <v/>
      </c>
      <c r="AT29" s="238" t="n"/>
      <c r="AU29" s="238">
        <f>(AQ29-AR29)/2+(AS29-AT29)</f>
        <v/>
      </c>
      <c r="AV29" s="238">
        <f>AI29+AJ29+AK29+AL29+AN29+AO29</f>
        <v/>
      </c>
      <c r="AW29" s="238">
        <f>BG29+BH29+BJ29+BE29+BC29+BA29+BL29</f>
        <v/>
      </c>
      <c r="AX29" s="238">
        <f>AU29+AY29</f>
        <v/>
      </c>
      <c r="AY29" s="313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/>
      </c>
      <c r="AZ29" s="313">
        <f>COUNTIF(C29:X29,"*BRT*")</f>
        <v/>
      </c>
      <c r="BA29" s="313">
        <f>COUNTIF(A29:AI29,"*$BTP*")</f>
        <v/>
      </c>
      <c r="BB29" s="313">
        <f>BA29*('Setting key Duty'!$I$13+'Setting key Duty'!$I$12+'Setting key Duty'!$I$11)</f>
        <v/>
      </c>
      <c r="BC29" s="313">
        <f>COUNTIF(D29:AI29,"*$L*")</f>
        <v/>
      </c>
      <c r="BD29" s="313">
        <f>BC29*('Setting key Duty'!$I$13+'Setting key Duty'!$I$9)</f>
        <v/>
      </c>
      <c r="BE29" s="313">
        <f>COUNTIF(D29:AI29,"*$M*")</f>
        <v/>
      </c>
      <c r="BF29" s="313">
        <f>BE29*('Setting key Duty'!$I$8+'Setting key Duty'!$I$9+'Setting key Duty'!$I$12)</f>
        <v/>
      </c>
      <c r="BG29" s="313">
        <f>COUNTIF(D29:AI29,"*$N*")</f>
        <v/>
      </c>
      <c r="BH29" s="313">
        <f>COUNTIF(D29:AI29,"*$PM*")</f>
        <v/>
      </c>
      <c r="BI29" s="313">
        <f>BH29*('Setting key Duty'!$I$9)</f>
        <v/>
      </c>
      <c r="BJ29" s="313">
        <f>COUNTIF(D29:AI29,"*$AM*")</f>
        <v/>
      </c>
      <c r="BK29" s="313">
        <f>BJ29*('Setting key Duty'!$I$12+'Setting key Duty'!$I$8)</f>
        <v/>
      </c>
      <c r="BL29" s="313">
        <f>COUNTIF(C29:AI29,"*$FC*")</f>
        <v/>
      </c>
      <c r="BM29" s="313">
        <f>BL29*('Setting key Duty'!$J$11+'Setting key Duty'!$I$8)</f>
        <v/>
      </c>
      <c r="BN29" s="313">
        <f>COUNTIF($C29:$AG29,BN$4)</f>
        <v/>
      </c>
      <c r="BO29" s="313">
        <f>COUNTIF($C29:$AG29,BO$4)</f>
        <v/>
      </c>
      <c r="BP29" s="313">
        <f>COUNTIF($D29:$AD29,BP$4)</f>
        <v/>
      </c>
      <c r="BQ29" s="314" t="n"/>
    </row>
    <row r="30" ht="19.5" customHeight="1">
      <c r="A30" s="309" t="n"/>
      <c r="B30" s="315" t="inlineStr">
        <is>
          <t>PTE HO SHENGHUI HAYDEN</t>
        </is>
      </c>
      <c r="C30" s="317" t="n"/>
      <c r="D30" s="317" t="n"/>
      <c r="E30" s="197" t="inlineStr">
        <is>
          <t>F $FC</t>
        </is>
      </c>
      <c r="F30" s="197" t="inlineStr">
        <is>
          <t>F $FC</t>
        </is>
      </c>
      <c r="G30" s="197" t="inlineStr">
        <is>
          <t>F $FC</t>
        </is>
      </c>
      <c r="H30" s="197" t="inlineStr">
        <is>
          <t>F $FC</t>
        </is>
      </c>
      <c r="I30" s="197" t="inlineStr">
        <is>
          <t>F $FC</t>
        </is>
      </c>
      <c r="J30" s="317" t="n"/>
      <c r="K30" s="317" t="n"/>
      <c r="L30" s="324" t="n"/>
      <c r="M30" s="197" t="inlineStr">
        <is>
          <t>N $AM PS SOC (0600-1100)</t>
        </is>
      </c>
      <c r="N30" s="317" t="inlineStr">
        <is>
          <t>SB2</t>
        </is>
      </c>
      <c r="O30" s="197" t="inlineStr">
        <is>
          <t>L $BTP (0515-2359)</t>
        </is>
      </c>
      <c r="Q30" s="106" t="n"/>
      <c r="R30" s="317" t="n"/>
      <c r="S30" s="1" t="inlineStr">
        <is>
          <t>MA</t>
        </is>
      </c>
      <c r="T30" s="317" t="n"/>
      <c r="U30" s="197" t="inlineStr">
        <is>
          <t>A $M 12KM (1400-2359)</t>
        </is>
      </c>
      <c r="V30" s="317" t="inlineStr">
        <is>
          <t>SB2</t>
        </is>
      </c>
      <c r="X30" s="349" t="inlineStr">
        <is>
          <t>AE</t>
        </is>
      </c>
      <c r="Y30" s="317" t="n"/>
      <c r="Z30" s="384" t="inlineStr">
        <is>
          <t>FC OFF</t>
        </is>
      </c>
      <c r="AA30" s="197" t="inlineStr">
        <is>
          <t>L $M RE 12 KM (1400-2359)</t>
        </is>
      </c>
      <c r="AD30" s="197" t="inlineStr">
        <is>
          <t>HQ $M BLAST GRENADE TRIALS (0800-1800)</t>
        </is>
      </c>
      <c r="AE30" s="316" t="n"/>
      <c r="AG30" s="317" t="n"/>
      <c r="AH30" s="317" t="n"/>
      <c r="AI30" s="311" t="n"/>
      <c r="AJ30" s="312" t="n"/>
      <c r="AK30" s="311" t="n"/>
      <c r="AL30" s="344" t="n"/>
      <c r="AM30" s="344" t="n"/>
      <c r="AN30" s="344" t="n"/>
      <c r="AO30" s="344" t="n"/>
      <c r="AP30" s="246" t="n"/>
      <c r="AQ30" s="313">
        <f>SUMPRODUCT(--WEEKDAY(C$3:AG$3,2)&lt;6,--((C30:AG30="DM"))+(C30:AG30="CS1")+((C30:AG30="CS2"))+(C30:AG30="SB1")+(C30:AG30="AE")+(C30:AG30="EM"))</f>
        <v/>
      </c>
      <c r="AR30" s="238" t="n"/>
      <c r="AS30" s="238">
        <f>SUMPRODUCT(--WEEKDAY(C$3:AG$3,2)&gt;5,--((C30:AG30="DM"))+(C30:AG30="CS1")+((C30:AG30="CS2"))+(C30:AG30="SB1")+(C30:AG30="AE")+(C30:AG30="EM"))</f>
        <v/>
      </c>
      <c r="AT30" s="246" t="n"/>
      <c r="AU30" s="238">
        <f>(AQ30-AR30)/2+(AS30-AT30)</f>
        <v/>
      </c>
      <c r="AV30" s="238">
        <f>AI30+AJ30+AK30+AL30+AN30+AO30</f>
        <v/>
      </c>
      <c r="AW30" s="238">
        <f>BG30+BH30+BJ30+BE30+BC30+BA30+BL30</f>
        <v/>
      </c>
      <c r="AX30" s="238">
        <f>AU30+AY30</f>
        <v/>
      </c>
      <c r="AY30" s="313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/>
      </c>
      <c r="AZ30" s="313">
        <f>COUNTIF(C30:Y30,"*BRT*")</f>
        <v/>
      </c>
      <c r="BA30" s="313">
        <f>COUNTIF(A30:AI30,"*$BTP*")</f>
        <v/>
      </c>
      <c r="BB30" s="313">
        <f>BA30*('Setting key Duty'!$I$13+'Setting key Duty'!$I$12+'Setting key Duty'!$I$11)</f>
        <v/>
      </c>
      <c r="BC30" s="313">
        <f>COUNTIF(D30:AI30,"*$L*")</f>
        <v/>
      </c>
      <c r="BD30" s="313">
        <f>BC30*('Setting key Duty'!$I$13+'Setting key Duty'!$I$9)</f>
        <v/>
      </c>
      <c r="BE30" s="313">
        <f>COUNTIF(D30:AI30,"*$M*")</f>
        <v/>
      </c>
      <c r="BF30" s="313">
        <f>BE30*('Setting key Duty'!$I$8+'Setting key Duty'!$I$9+'Setting key Duty'!$I$12)</f>
        <v/>
      </c>
      <c r="BG30" s="313">
        <f>COUNTIF(D30:AI30,"*$N*")</f>
        <v/>
      </c>
      <c r="BH30" s="313">
        <f>COUNTIF(D30:AI30,"*$PM*")</f>
        <v/>
      </c>
      <c r="BI30" s="313">
        <f>BH30*('Setting key Duty'!$I$9)</f>
        <v/>
      </c>
      <c r="BJ30" s="313">
        <f>COUNTIF(D30:AI30,"*$AM*")</f>
        <v/>
      </c>
      <c r="BK30" s="313">
        <f>BJ30*('Setting key Duty'!$I$12+'Setting key Duty'!$I$8)</f>
        <v/>
      </c>
      <c r="BL30" s="313">
        <f>COUNTIF(C30:AI30,"*$FC*")</f>
        <v/>
      </c>
      <c r="BM30" s="313">
        <f>BL30*('Setting key Duty'!$J$11+'Setting key Duty'!$I$8)</f>
        <v/>
      </c>
      <c r="BN30" s="313">
        <f>COUNTIF($C30:$AG30,BN$4)</f>
        <v/>
      </c>
      <c r="BO30" s="313">
        <f>COUNTIF($C30:$AG30,BO$4)</f>
        <v/>
      </c>
      <c r="BP30" s="313">
        <f>COUNTIF($D30:$AE30,BP$4)</f>
        <v/>
      </c>
      <c r="BQ30" s="345" t="n"/>
    </row>
    <row r="31" ht="19.5" customHeight="1">
      <c r="A31" s="309" t="n"/>
      <c r="B31" s="315" t="inlineStr">
        <is>
          <t>PTE CHIA TECK IAN</t>
        </is>
      </c>
      <c r="C31" s="349" t="n"/>
      <c r="D31" s="324" t="inlineStr">
        <is>
          <t>AE</t>
        </is>
      </c>
      <c r="E31" s="317" t="n"/>
      <c r="F31" s="317" t="inlineStr">
        <is>
          <t>SB2</t>
        </is>
      </c>
      <c r="I31" s="317" t="inlineStr">
        <is>
          <t>SB2</t>
        </is>
      </c>
      <c r="J31" s="317" t="inlineStr">
        <is>
          <t>AE</t>
        </is>
      </c>
      <c r="L31" s="324" t="inlineStr">
        <is>
          <t>SB2</t>
        </is>
      </c>
      <c r="M31" s="197" t="inlineStr">
        <is>
          <t>M $PM CC (1530-2000)</t>
        </is>
      </c>
      <c r="N31" s="197" t="inlineStr">
        <is>
          <t>N $PM PS SOC (1530-2000)</t>
        </is>
      </c>
      <c r="P31" s="197" t="inlineStr">
        <is>
          <t>N $PM ER (1530-2000)</t>
        </is>
      </c>
      <c r="R31" s="317" t="n"/>
      <c r="S31" s="317" t="inlineStr">
        <is>
          <t>SB2</t>
        </is>
      </c>
      <c r="T31" s="317" t="n"/>
      <c r="U31" s="197" t="inlineStr">
        <is>
          <t>N $PM IPPT (1530-2000)</t>
        </is>
      </c>
      <c r="W31" s="197" t="inlineStr">
        <is>
          <t>SB2</t>
        </is>
      </c>
      <c r="X31" s="349" t="n"/>
      <c r="Y31" s="317" t="n"/>
      <c r="Z31" s="197" t="inlineStr">
        <is>
          <t>A $PM SOC ( 1530-2000)</t>
        </is>
      </c>
      <c r="AA31" s="317" t="inlineStr">
        <is>
          <t>SB2</t>
        </is>
      </c>
      <c r="AB31" s="197" t="inlineStr">
        <is>
          <t>K $PM ER (1530-2000)</t>
        </is>
      </c>
      <c r="AC31" s="317" t="n"/>
      <c r="AD31" s="197" t="inlineStr">
        <is>
          <t>R $PM IPPT (1530-2000)</t>
        </is>
      </c>
      <c r="AE31" s="316" t="n"/>
      <c r="AF31" s="197" t="n"/>
      <c r="AG31" s="317" t="n"/>
      <c r="AH31" s="317" t="n"/>
      <c r="AI31" s="311" t="n"/>
      <c r="AJ31" s="312" t="n"/>
      <c r="AK31" s="311" t="n"/>
      <c r="AL31" s="344" t="n"/>
      <c r="AM31" s="344" t="n"/>
      <c r="AN31" s="344" t="n"/>
      <c r="AO31" s="344" t="n"/>
      <c r="AP31" s="246" t="n"/>
      <c r="AQ31" s="313">
        <f>SUMPRODUCT(--WEEKDAY(C$3:AG$3,2)&lt;6,--((C31:AG31="DM"))+(C31:AG31="CS1")+((C31:AG31="CS2"))+(C31:AG31="SB1")+(C31:AG31="AE")+(C31:AG31="EM"))</f>
        <v/>
      </c>
      <c r="AR31" s="238" t="n"/>
      <c r="AS31" s="238">
        <f>SUMPRODUCT(--WEEKDAY(C$3:AG$3,2)&gt;5,--((C31:AG31="DM"))+(C31:AG31="CS1")+((C31:AG31="CS2"))+(C31:AG31="SB1")+(C31:AG31="AE")+(C31:AG31="EM"))</f>
        <v/>
      </c>
      <c r="AT31" s="246" t="n"/>
      <c r="AU31" s="238">
        <f>(AQ31-AR31)/2+(AS31-AT31)</f>
        <v/>
      </c>
      <c r="AV31" s="238">
        <f>AI31+AJ31+AK31+AL31+AN31+AO31</f>
        <v/>
      </c>
      <c r="AW31" s="238">
        <f>BG31+BH31+BJ31+BE31+BC31+BA31+BL31</f>
        <v/>
      </c>
      <c r="AX31" s="238">
        <f>AU31+AY31</f>
        <v/>
      </c>
      <c r="AY31" s="313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/>
      </c>
      <c r="AZ31" s="313">
        <f>COUNTIF(C31:Y31,"*BRT*")</f>
        <v/>
      </c>
      <c r="BA31" s="313">
        <f>COUNTIF(A31:AI31,"*$BTP*")</f>
        <v/>
      </c>
      <c r="BB31" s="313">
        <f>BA31*('Setting key Duty'!$I$13+'Setting key Duty'!$I$12+'Setting key Duty'!$I$11)</f>
        <v/>
      </c>
      <c r="BC31" s="313">
        <f>COUNTIF(D31:AI31,"*$L*")</f>
        <v/>
      </c>
      <c r="BD31" s="313">
        <f>BC31*('Setting key Duty'!$I$13+'Setting key Duty'!$I$9)</f>
        <v/>
      </c>
      <c r="BE31" s="313">
        <f>COUNTIF(D31:AI31,"*$M*")</f>
        <v/>
      </c>
      <c r="BF31" s="313">
        <f>BE31*('Setting key Duty'!$I$8+'Setting key Duty'!$I$9+'Setting key Duty'!$I$12)</f>
        <v/>
      </c>
      <c r="BG31" s="313">
        <f>COUNTIF(D31:AI31,"*$N*")</f>
        <v/>
      </c>
      <c r="BH31" s="313">
        <f>COUNTIF(D31:AI31,"*$PM*")</f>
        <v/>
      </c>
      <c r="BI31" s="313">
        <f>BH31*('Setting key Duty'!$I$9)</f>
        <v/>
      </c>
      <c r="BJ31" s="313">
        <f>COUNTIF(D31:AI31,"*$AM*")</f>
        <v/>
      </c>
      <c r="BK31" s="313">
        <f>BJ31*('Setting key Duty'!$I$12+'Setting key Duty'!$I$8)</f>
        <v/>
      </c>
      <c r="BL31" s="313">
        <f>COUNTIF(C31:AI31,"*$FC*")</f>
        <v/>
      </c>
      <c r="BM31" s="313">
        <f>BL31*('Setting key Duty'!$J$11+'Setting key Duty'!$I$8)</f>
        <v/>
      </c>
      <c r="BN31" s="313">
        <f>COUNTIF($C31:$AG31,BN$4)</f>
        <v/>
      </c>
      <c r="BO31" s="313">
        <f>COUNTIF($C31:$AG31,BO$4)</f>
        <v/>
      </c>
      <c r="BP31" s="313">
        <f>COUNTIF($D31:$AE31,BP$4)</f>
        <v/>
      </c>
      <c r="BQ31" s="345" t="n"/>
    </row>
    <row r="32" ht="19.5" customHeight="1">
      <c r="A32" s="309" t="n"/>
      <c r="B32" s="315" t="inlineStr">
        <is>
          <t>PTE APPLE YEO</t>
        </is>
      </c>
      <c r="D32" s="317" t="n"/>
      <c r="E32" s="317" t="inlineStr">
        <is>
          <t>SB2</t>
        </is>
      </c>
      <c r="F32" s="324" t="inlineStr">
        <is>
          <t>AE</t>
        </is>
      </c>
      <c r="J32" s="317" t="inlineStr">
        <is>
          <t>SB1</t>
        </is>
      </c>
      <c r="K32" s="324" t="n"/>
      <c r="L32" s="317" t="inlineStr">
        <is>
          <t>AE</t>
        </is>
      </c>
      <c r="O32" s="317" t="inlineStr">
        <is>
          <t>SB2</t>
        </is>
      </c>
      <c r="P32" s="317" t="inlineStr">
        <is>
          <t>AE</t>
        </is>
      </c>
      <c r="Q32" s="317" t="n"/>
      <c r="R32" s="106" t="n"/>
      <c r="S32" s="317" t="inlineStr">
        <is>
          <t>AE</t>
        </is>
      </c>
      <c r="T32" s="317" t="n"/>
      <c r="U32" s="317" t="inlineStr">
        <is>
          <t>AE</t>
        </is>
      </c>
      <c r="V32" s="317" t="n"/>
      <c r="W32" s="317" t="inlineStr">
        <is>
          <t>PM MA</t>
        </is>
      </c>
      <c r="X32" s="349" t="n"/>
      <c r="Y32" s="317" t="n"/>
      <c r="Z32" s="317" t="inlineStr">
        <is>
          <t>AE</t>
        </is>
      </c>
      <c r="AA32" s="317" t="n"/>
      <c r="AB32" s="317" t="inlineStr">
        <is>
          <t>AE</t>
        </is>
      </c>
      <c r="AC32" s="317" t="inlineStr">
        <is>
          <t>SB2</t>
        </is>
      </c>
      <c r="AD32" s="197" t="n"/>
      <c r="AE32" s="197" t="inlineStr">
        <is>
          <t>AE</t>
        </is>
      </c>
      <c r="AG32" s="317" t="n"/>
      <c r="AH32" s="317" t="n"/>
      <c r="AI32" s="311" t="n"/>
      <c r="AJ32" s="312" t="n"/>
      <c r="AK32" s="311" t="n"/>
      <c r="AL32" s="344" t="n"/>
      <c r="AM32" s="344" t="n"/>
      <c r="AN32" s="344" t="n"/>
      <c r="AO32" s="344" t="n"/>
      <c r="AP32" s="246" t="n"/>
      <c r="AQ32" s="313">
        <f>SUMPRODUCT(--WEEKDAY(C$3:AG$3,2)&lt;6,--((C32:AG32="DM"))+(C32:AG32="CS1")+((C32:AG32="CS2"))+(C32:AG32="SB1")+(C32:AG32="AE")+(C32:AG32="EM"))</f>
        <v/>
      </c>
      <c r="AR32" s="238" t="n"/>
      <c r="AS32" s="238">
        <f>SUMPRODUCT(--WEEKDAY(C$3:AG$3,2)&gt;5,--((C32:AG32="DM"))+(C32:AG32="CS1")+((C32:AG32="CS2"))+(C32:AG32="SB1")+(C32:AG32="AE")+(C32:AG32="EM"))</f>
        <v/>
      </c>
      <c r="AT32" s="246" t="n"/>
      <c r="AU32" s="238">
        <f>(AQ32-AR32)/2+(AS32-AT32)</f>
        <v/>
      </c>
      <c r="AV32" s="238">
        <f>AI32+AJ32+AK32+AL32+AN32+AO32</f>
        <v/>
      </c>
      <c r="AW32" s="238">
        <f>BG32+BH32+BJ32+BE32+BC32+BA32+BL32</f>
        <v/>
      </c>
      <c r="AX32" s="238">
        <f>AU32+AY32</f>
        <v/>
      </c>
      <c r="AY32" s="313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/>
      </c>
      <c r="AZ32" s="313">
        <f>COUNTIF(C32:Y32,"*BRT*")</f>
        <v/>
      </c>
      <c r="BA32" s="313">
        <f>COUNTIF(A32:AI32,"*$BTP*")</f>
        <v/>
      </c>
      <c r="BB32" s="313">
        <f>BA32*('Setting key Duty'!$I$13+'Setting key Duty'!$I$12+'Setting key Duty'!$I$11)</f>
        <v/>
      </c>
      <c r="BC32" s="313">
        <f>COUNTIF(D32:AI32,"*$L*")</f>
        <v/>
      </c>
      <c r="BD32" s="313">
        <f>BC32*('Setting key Duty'!$I$13+'Setting key Duty'!$I$9)</f>
        <v/>
      </c>
      <c r="BE32" s="313">
        <f>COUNTIF(D32:AI32,"*$M*")</f>
        <v/>
      </c>
      <c r="BF32" s="313">
        <f>BE32*('Setting key Duty'!$I$8+'Setting key Duty'!$I$9+'Setting key Duty'!$I$12)</f>
        <v/>
      </c>
      <c r="BG32" s="313">
        <f>COUNTIF(D32:AI32,"*$N*")</f>
        <v/>
      </c>
      <c r="BH32" s="313">
        <f>COUNTIF(D32:AI32,"*$PM*")</f>
        <v/>
      </c>
      <c r="BI32" s="313">
        <f>BH32*('Setting key Duty'!$I$9)</f>
        <v/>
      </c>
      <c r="BJ32" s="313">
        <f>COUNTIF(D32:AI32,"*$AM*")</f>
        <v/>
      </c>
      <c r="BK32" s="313">
        <f>BJ32*('Setting key Duty'!$I$12+'Setting key Duty'!$I$8)</f>
        <v/>
      </c>
      <c r="BL32" s="313">
        <f>COUNTIF(C32:AI32,"*$FC*")</f>
        <v/>
      </c>
      <c r="BM32" s="313">
        <f>BL32*('Setting key Duty'!$J$11+'Setting key Duty'!$I$8)</f>
        <v/>
      </c>
      <c r="BN32" s="313">
        <f>COUNTIF($C32:$AG32,BN$4)</f>
        <v/>
      </c>
      <c r="BO32" s="313">
        <f>COUNTIF($C32:$AG32,BO$4)</f>
        <v/>
      </c>
      <c r="BP32" s="313">
        <f>COUNTIF($D32:$AE32,BP$4)</f>
        <v/>
      </c>
      <c r="BQ32" s="345" t="n"/>
    </row>
    <row r="33" ht="19.5" customHeight="1">
      <c r="A33" s="309" t="n"/>
      <c r="B33" s="315" t="inlineStr">
        <is>
          <t>PTE QUEK ZI YI</t>
        </is>
      </c>
      <c r="C33" s="349" t="n"/>
      <c r="D33" s="317" t="n"/>
      <c r="E33" s="197" t="inlineStr">
        <is>
          <t>L $FC</t>
        </is>
      </c>
      <c r="F33" s="197" t="inlineStr">
        <is>
          <t>L $FC</t>
        </is>
      </c>
      <c r="G33" s="197" t="inlineStr">
        <is>
          <t>L $FC</t>
        </is>
      </c>
      <c r="H33" s="197" t="inlineStr">
        <is>
          <t>L $FC</t>
        </is>
      </c>
      <c r="I33" s="197" t="inlineStr">
        <is>
          <t>L $FC</t>
        </is>
      </c>
      <c r="J33" s="317" t="n"/>
      <c r="K33" s="317" t="n"/>
      <c r="L33" s="317" t="n"/>
      <c r="M33" s="317" t="inlineStr">
        <is>
          <t>SB2</t>
        </is>
      </c>
      <c r="N33" s="197" t="inlineStr">
        <is>
          <t>F $AM 8KM (0600-1100)</t>
        </is>
      </c>
      <c r="P33" s="197" t="inlineStr">
        <is>
          <t>L $BTP (0515 -2359)</t>
        </is>
      </c>
      <c r="Q33" s="197" t="n"/>
      <c r="T33" s="197" t="inlineStr">
        <is>
          <t>A $AM IPPT (0500-1100)</t>
        </is>
      </c>
      <c r="U33" s="197" t="inlineStr">
        <is>
          <t>F $M 12KM (1400-2359)</t>
        </is>
      </c>
      <c r="X33" s="321" t="n"/>
      <c r="Y33" s="197" t="inlineStr">
        <is>
          <t>AE</t>
        </is>
      </c>
      <c r="Z33" s="384" t="inlineStr">
        <is>
          <t>FC OFF</t>
        </is>
      </c>
      <c r="AA33" s="197" t="inlineStr">
        <is>
          <t>K $M RE 12 KM (1400-2359)</t>
        </is>
      </c>
      <c r="AB33" s="317" t="inlineStr">
        <is>
          <t>SB2</t>
        </is>
      </c>
      <c r="AC33" s="197" t="n"/>
      <c r="AD33" s="197" t="inlineStr">
        <is>
          <t>R $M BIC (0500-1200)</t>
        </is>
      </c>
      <c r="AF33" s="197" t="n"/>
      <c r="AH33" s="106" t="n"/>
      <c r="AI33" s="311" t="n"/>
      <c r="AJ33" s="312" t="n"/>
      <c r="AK33" s="311" t="n"/>
      <c r="AL33" s="344" t="n"/>
      <c r="AM33" s="344" t="n"/>
      <c r="AN33" s="344" t="n"/>
      <c r="AO33" s="344" t="n"/>
      <c r="AP33" s="246" t="n"/>
      <c r="AQ33" s="313">
        <f>SUMPRODUCT(--WEEKDAY(C$3:AG$3,2)&lt;6,--((C33:AG33="DM"))+(C33:AG33="CS1")+((C33:AG33="CS2"))+(C33:AG33="SB1")+(C33:AG33="AE")+(C33:AG33="EM"))</f>
        <v/>
      </c>
      <c r="AR33" s="238" t="n"/>
      <c r="AS33" s="238">
        <f>SUMPRODUCT(--WEEKDAY(C$3:AG$3,2)&gt;5,--((C33:AG33="DM"))+(C33:AG33="CS1")+((C33:AG33="CS2"))+(C33:AG33="SB1")+(C33:AG33="AE")+(C33:AG33="EM"))</f>
        <v/>
      </c>
      <c r="AT33" s="246" t="n"/>
      <c r="AU33" s="238">
        <f>(AQ33-AR33)/2+(AS33-AT33)</f>
        <v/>
      </c>
      <c r="AV33" s="238">
        <f>AI33+AJ33+AK33+AL33+AN33+AO33</f>
        <v/>
      </c>
      <c r="AW33" s="238">
        <f>BG33+BH33+BJ33+BE33+BC33+BA33+BL33</f>
        <v/>
      </c>
      <c r="AX33" s="238">
        <f>AU33+AY33</f>
        <v/>
      </c>
      <c r="AY33" s="313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/>
      </c>
      <c r="AZ33" s="313">
        <f>COUNTIF(C33:Y33,"*BRT*")</f>
        <v/>
      </c>
      <c r="BA33" s="313">
        <f>COUNTIF(A33:AI33,"*$BTP*")</f>
        <v/>
      </c>
      <c r="BB33" s="313">
        <f>BA33*('Setting key Duty'!$I$13+'Setting key Duty'!$I$12+'Setting key Duty'!$I$11)</f>
        <v/>
      </c>
      <c r="BC33" s="313">
        <f>COUNTIF(D33:AI33,"*$L*")</f>
        <v/>
      </c>
      <c r="BD33" s="313">
        <f>BC33*('Setting key Duty'!$I$13+'Setting key Duty'!$I$9)</f>
        <v/>
      </c>
      <c r="BE33" s="313">
        <f>COUNTIF(D33:AI33,"*$M*")</f>
        <v/>
      </c>
      <c r="BF33" s="313">
        <f>BE33*('Setting key Duty'!$I$8+'Setting key Duty'!$I$9+'Setting key Duty'!$I$12)</f>
        <v/>
      </c>
      <c r="BG33" s="313">
        <f>COUNTIF(D33:AI33,"*$N*")</f>
        <v/>
      </c>
      <c r="BH33" s="313">
        <f>COUNTIF(D33:AI33,"*$PM*")</f>
        <v/>
      </c>
      <c r="BI33" s="313">
        <f>BH33*('Setting key Duty'!$I$9)</f>
        <v/>
      </c>
      <c r="BJ33" s="313">
        <f>COUNTIF(D33:AI33,"*$AM*")</f>
        <v/>
      </c>
      <c r="BK33" s="313">
        <f>BJ33*('Setting key Duty'!$I$12+'Setting key Duty'!$I$8)</f>
        <v/>
      </c>
      <c r="BL33" s="313">
        <f>COUNTIF(C33:AI33,"*$FC*")</f>
        <v/>
      </c>
      <c r="BM33" s="313">
        <f>BL33*('Setting key Duty'!$J$11+'Setting key Duty'!$I$8)</f>
        <v/>
      </c>
      <c r="BN33" s="313">
        <f>COUNTIF($C33:$AG33,BN$4)</f>
        <v/>
      </c>
      <c r="BO33" s="313">
        <f>COUNTIF($C33:$AG33,BO$4)</f>
        <v/>
      </c>
      <c r="BP33" s="313">
        <f>COUNTIF($D33:$AE33,BP$4)</f>
        <v/>
      </c>
      <c r="BQ33" s="345" t="n"/>
    </row>
    <row r="34" ht="19.5" customHeight="1">
      <c r="A34" s="309" t="n"/>
      <c r="B34" s="354" t="n"/>
      <c r="C34" s="349" t="n"/>
      <c r="D34" s="317" t="n"/>
      <c r="J34" s="317" t="n"/>
      <c r="K34" s="324" t="n"/>
      <c r="L34" s="324" t="n"/>
      <c r="M34" s="155" t="n"/>
      <c r="N34" s="324" t="n"/>
      <c r="O34" s="324" t="n"/>
      <c r="P34" s="317" t="n"/>
      <c r="Q34" s="106" t="n"/>
      <c r="R34" s="106" t="n"/>
      <c r="T34" s="317" t="n"/>
      <c r="U34" s="317" t="n"/>
      <c r="V34" s="317" t="n"/>
      <c r="X34" s="349" t="n"/>
      <c r="Y34" s="106" t="n"/>
      <c r="Z34" s="106" t="n"/>
      <c r="AA34" s="106" t="n"/>
      <c r="AB34" s="106" t="n"/>
      <c r="AC34" s="106" t="n"/>
      <c r="AD34" s="317" t="n"/>
      <c r="AE34" s="393" t="n"/>
      <c r="AF34" s="317" t="n"/>
      <c r="AG34" s="317" t="n"/>
      <c r="AH34" s="317" t="n"/>
      <c r="AI34" s="311" t="n"/>
      <c r="AJ34" s="312" t="n"/>
      <c r="AK34" s="311" t="n"/>
      <c r="AL34" s="344" t="n"/>
      <c r="AM34" s="344" t="n"/>
      <c r="AN34" s="344" t="n"/>
      <c r="AO34" s="344" t="n"/>
      <c r="AP34" s="246" t="n"/>
      <c r="AQ34" s="313" t="n"/>
      <c r="AR34" s="246" t="n"/>
      <c r="AS34" s="238" t="n"/>
      <c r="AT34" s="246" t="n"/>
      <c r="AU34" s="238" t="n"/>
      <c r="AV34" s="238" t="n"/>
      <c r="AW34" s="238" t="n"/>
      <c r="AX34" s="238" t="n"/>
      <c r="AY34" s="313" t="n"/>
      <c r="AZ34" s="313" t="n"/>
      <c r="BA34" s="313" t="n"/>
      <c r="BB34" s="313" t="n"/>
      <c r="BC34" s="313" t="n"/>
      <c r="BD34" s="313" t="n"/>
      <c r="BE34" s="313" t="n"/>
      <c r="BF34" s="313" t="n"/>
      <c r="BG34" s="313" t="n"/>
      <c r="BH34" s="313" t="n"/>
      <c r="BI34" s="313" t="n"/>
      <c r="BJ34" s="313" t="n"/>
      <c r="BK34" s="313" t="n"/>
      <c r="BL34" s="313" t="n"/>
      <c r="BM34" s="313" t="n"/>
      <c r="BN34" s="313" t="n"/>
      <c r="BO34" s="313" t="n"/>
      <c r="BP34" s="313" t="n"/>
      <c r="BQ34" s="345" t="n"/>
    </row>
    <row r="35" ht="19.5" customHeight="1">
      <c r="A35" s="309" t="n"/>
      <c r="B35" s="354" t="inlineStr">
        <is>
          <t>Leave a blank row after the last name ^</t>
        </is>
      </c>
      <c r="C35" s="349" t="n"/>
      <c r="D35" s="317" t="n"/>
      <c r="E35" s="317" t="n"/>
      <c r="F35" s="317" t="n"/>
      <c r="G35" s="317" t="n"/>
      <c r="H35" s="317" t="n"/>
      <c r="I35" s="317" t="n"/>
      <c r="J35" s="317" t="n"/>
      <c r="K35" s="317" t="n"/>
      <c r="L35" s="317" t="n"/>
      <c r="N35" s="317" t="n"/>
      <c r="O35" s="317" t="n"/>
      <c r="P35" s="317" t="n"/>
      <c r="Q35" s="106" t="n"/>
      <c r="R35" s="106" t="n"/>
      <c r="S35" s="317" t="n"/>
      <c r="T35" s="317" t="n"/>
      <c r="U35" s="198" t="n"/>
      <c r="V35" s="317" t="n"/>
      <c r="W35" s="317" t="n"/>
      <c r="X35" s="317" t="n"/>
      <c r="Y35" s="356" t="n"/>
      <c r="Z35" s="356" t="n"/>
      <c r="AA35" s="356" t="n"/>
      <c r="AB35" s="356" t="n"/>
      <c r="AC35" s="356" t="n"/>
      <c r="AD35" s="356" t="n"/>
      <c r="AE35" s="317" t="n"/>
      <c r="AF35" s="317" t="n"/>
      <c r="AG35" s="317" t="n"/>
      <c r="AH35" s="317" t="n"/>
      <c r="AI35" s="311">
        <f>COUNTIF($C35:$AG35,AI$4)</f>
        <v/>
      </c>
      <c r="AJ35" s="312">
        <f>COUNTIF($C35:$AG35,AJ$4)</f>
        <v/>
      </c>
      <c r="AK35" s="311">
        <f>COUNTIF($C35:$AG35,AK$4)</f>
        <v/>
      </c>
      <c r="AL35" s="344">
        <f>COUNTIF($C35:$AG35,AL$4)</f>
        <v/>
      </c>
      <c r="AM35" s="344">
        <f>COUNTIF($C35:$AG35,AM$4)</f>
        <v/>
      </c>
      <c r="AN35" s="344">
        <f>COUNTIF($C35:$AG35,AN$4)</f>
        <v/>
      </c>
      <c r="AO35" s="344">
        <f>COUNTIF($C35:$AG35,AO$4)</f>
        <v/>
      </c>
      <c r="AP35" s="246" t="n"/>
      <c r="AQ35" s="313" t="n"/>
      <c r="AR35" s="246" t="n"/>
      <c r="AS35" s="238" t="n"/>
      <c r="AT35" s="246" t="n"/>
      <c r="AU35" s="246" t="n"/>
      <c r="AV35" s="238" t="n"/>
      <c r="AW35" s="238" t="n"/>
      <c r="AX35" s="238" t="n"/>
      <c r="AY35" s="313" t="n"/>
      <c r="AZ35" s="313" t="n"/>
      <c r="BA35" s="313" t="n"/>
      <c r="BB35" s="313" t="n"/>
      <c r="BC35" s="313" t="n"/>
      <c r="BD35" s="313" t="n"/>
      <c r="BE35" s="313" t="n"/>
      <c r="BF35" s="313" t="n"/>
      <c r="BG35" s="313" t="n"/>
      <c r="BH35" s="313" t="n"/>
      <c r="BI35" s="313" t="n"/>
      <c r="BJ35" s="313" t="n"/>
      <c r="BK35" s="313" t="n"/>
      <c r="BL35" s="313" t="n"/>
      <c r="BM35" s="313" t="n"/>
      <c r="BN35" s="344" t="n"/>
      <c r="BO35" s="344" t="n"/>
      <c r="BP35" s="344" t="n"/>
      <c r="BQ35" s="345" t="n"/>
    </row>
    <row r="36" ht="19.5" customHeight="1">
      <c r="A36" s="309" t="n"/>
      <c r="B36" s="357" t="n"/>
      <c r="C36" s="358" t="n"/>
      <c r="D36" s="359" t="n"/>
      <c r="E36" s="359" t="n"/>
      <c r="F36" s="359" t="n"/>
      <c r="G36" s="359" t="n"/>
      <c r="H36" s="358" t="n"/>
      <c r="I36" s="358" t="n"/>
      <c r="J36" s="358" t="n"/>
      <c r="K36" s="358" t="n"/>
      <c r="L36" s="358" t="n"/>
      <c r="M36" s="358" t="n"/>
      <c r="N36" s="358" t="n"/>
      <c r="O36" s="358" t="n"/>
      <c r="P36" s="358" t="n"/>
      <c r="Q36" s="358" t="n"/>
      <c r="R36" s="358" t="n"/>
      <c r="S36" s="358" t="n"/>
      <c r="T36" s="358" t="n"/>
      <c r="U36" s="358" t="n"/>
      <c r="V36" s="358" t="n"/>
      <c r="W36" s="358" t="n"/>
      <c r="X36" s="358" t="n"/>
      <c r="Y36" s="358" t="n"/>
      <c r="Z36" s="358" t="n"/>
      <c r="AA36" s="358" t="n"/>
      <c r="AB36" s="358" t="n"/>
      <c r="AC36" s="358" t="n"/>
      <c r="AD36" s="358" t="n"/>
      <c r="AE36" s="358" t="n"/>
      <c r="AF36" s="358" t="n"/>
      <c r="AG36" s="358" t="n"/>
      <c r="AH36" s="360" t="n"/>
      <c r="AI36" s="361" t="n"/>
      <c r="AJ36" s="362" t="n"/>
      <c r="AK36" s="361" t="n"/>
      <c r="AL36" s="363" t="n"/>
      <c r="AM36" s="363" t="n"/>
      <c r="AN36" s="363" t="n"/>
      <c r="AO36" s="363" t="n"/>
      <c r="AP36" s="253" t="n"/>
      <c r="AQ36" s="253" t="n"/>
      <c r="AR36" s="253" t="n"/>
      <c r="AS36" s="253">
        <f>SUMPRODUCT(--WEEKDAY(C$3:AG$3,2)&gt;5,--((C36:AG36="DM"))+(C36:AG36="CS1")+((C36:AG36="CS2"))+(C36:AG36="SB1")+(C36:AG36="AE")+(C36:AG36="EM"))</f>
        <v/>
      </c>
      <c r="AT36" s="253" t="n"/>
      <c r="AU36" s="253">
        <f>(AQ36-AR36)/2+(AS36-AT36)</f>
        <v/>
      </c>
      <c r="AV36" s="253" t="n"/>
      <c r="AW36" s="253" t="n"/>
      <c r="AX36" s="253" t="n"/>
      <c r="AY36" s="363" t="n"/>
      <c r="AZ36" s="363" t="n"/>
      <c r="BA36" s="363" t="n"/>
      <c r="BB36" s="363" t="n"/>
      <c r="BC36" s="363" t="n"/>
      <c r="BD36" s="363" t="n"/>
      <c r="BE36" s="363" t="n"/>
      <c r="BF36" s="363" t="n"/>
      <c r="BG36" s="363" t="n"/>
      <c r="BH36" s="363" t="n"/>
      <c r="BI36" s="363" t="n"/>
      <c r="BJ36" s="363" t="n"/>
      <c r="BK36" s="363" t="n"/>
      <c r="BL36" s="363" t="n"/>
      <c r="BM36" s="363" t="n"/>
      <c r="BN36" s="363" t="n"/>
      <c r="BO36" s="363" t="n"/>
      <c r="BP36" s="363" t="n"/>
      <c r="BQ36" s="364" t="n"/>
    </row>
    <row r="37" ht="19.5" customHeight="1">
      <c r="A37" s="309" t="n"/>
      <c r="B37" s="365" t="inlineStr">
        <is>
          <t>DM</t>
        </is>
      </c>
      <c r="C37" s="366">
        <f>VLOOKUP("DM",C4:C35,1,FALSE)</f>
        <v/>
      </c>
      <c r="D37" s="366">
        <f>VLOOKUP("DM",D4:D35,1,FALSE)</f>
        <v/>
      </c>
      <c r="E37" s="366">
        <f>VLOOKUP("DM",E1:E35,1,FALSE)</f>
        <v/>
      </c>
      <c r="F37" s="366">
        <f>VLOOKUP("DM",F4:F35,1,FALSE)</f>
        <v/>
      </c>
      <c r="G37" s="366">
        <f>VLOOKUP("DM",G4:G35,1,FALSE)</f>
        <v/>
      </c>
      <c r="H37" s="366">
        <f>VLOOKUP("DM",H4:H35,1,FALSE)</f>
        <v/>
      </c>
      <c r="I37" s="366">
        <f>VLOOKUP("DM",I4:I35,1,FALSE)</f>
        <v/>
      </c>
      <c r="J37" s="366">
        <f>VLOOKUP("DM",J4:J35,1,FALSE)</f>
        <v/>
      </c>
      <c r="K37" s="366">
        <f>VLOOKUP("DM",K4:K35,1,FALSE)</f>
        <v/>
      </c>
      <c r="L37" s="366">
        <f>VLOOKUP("DM",L4:L35,1,FALSE)</f>
        <v/>
      </c>
      <c r="M37" s="366">
        <f>VLOOKUP("DM",M4:M29,1,FALSE)</f>
        <v/>
      </c>
      <c r="N37" s="366">
        <f>VLOOKUP("DM",N4:N35,1,FALSE)</f>
        <v/>
      </c>
      <c r="O37" s="366">
        <f>VLOOKUP("DM",O4:O35,1,FALSE)</f>
        <v/>
      </c>
      <c r="P37" s="366">
        <f>VLOOKUP("DM",P4:P35,1,FALSE)</f>
        <v/>
      </c>
      <c r="Q37" s="366">
        <f>VLOOKUP("DM",Q4:Q33,1,FALSE)</f>
        <v/>
      </c>
      <c r="R37" s="366">
        <f>VLOOKUP("DM",R4:R27,1,FALSE)</f>
        <v/>
      </c>
      <c r="S37" s="366">
        <f>VLOOKUP("DM",S4:S35,1,FALSE)</f>
        <v/>
      </c>
      <c r="T37" s="366">
        <f>VLOOKUP("DM",T4:T35,1,FALSE)</f>
        <v/>
      </c>
      <c r="U37" s="366">
        <f>VLOOKUP("DM",U4:U35,1,FALSE)</f>
        <v/>
      </c>
      <c r="V37" s="366">
        <f>VLOOKUP("DM",V4:V27,1,FALSE)</f>
        <v/>
      </c>
      <c r="W37" s="366">
        <f>VLOOKUP("DM",W4:W27,1,FALSE)</f>
        <v/>
      </c>
      <c r="X37" s="366">
        <f>VLOOKUP("DM",X4:X35,1,FALSE)</f>
        <v/>
      </c>
      <c r="Y37" s="366">
        <f>VLOOKUP("DM",Y4:Y35,1,FALSE)</f>
        <v/>
      </c>
      <c r="Z37" s="366">
        <f>VLOOKUP("DM",Z4:Z35,1,FALSE)</f>
        <v/>
      </c>
      <c r="AA37" s="366">
        <f>VLOOKUP("DM",AA11:AA35,1,FALSE)</f>
        <v/>
      </c>
      <c r="AB37" s="366">
        <f>VLOOKUP("DM",AB4:AB35,1,FALSE)</f>
        <v/>
      </c>
      <c r="AC37" s="366">
        <f>VLOOKUP("DM",AC4:AC35,1,FALSE)</f>
        <v/>
      </c>
      <c r="AD37" s="366">
        <f>VLOOKUP("DM",AD4:AD35,1,FALSE)</f>
        <v/>
      </c>
      <c r="AE37" s="366">
        <f>VLOOKUP("DM",AE4:AE35,1,FALSE)</f>
        <v/>
      </c>
      <c r="AF37" s="366">
        <f>VLOOKUP("DM",AF4:AF35,1,FALSE)</f>
        <v/>
      </c>
      <c r="AG37" s="366">
        <f>VLOOKUP("DM",AG4:AG35,1,FALSE)</f>
        <v/>
      </c>
      <c r="AH37" s="387" t="n"/>
      <c r="AI37" s="311" t="n"/>
      <c r="AJ37" s="312" t="n"/>
      <c r="AK37" s="311" t="n"/>
      <c r="AL37" s="313" t="n"/>
      <c r="AM37" s="313" t="n"/>
      <c r="AN37" s="313" t="n"/>
      <c r="AO37" s="313" t="n"/>
      <c r="AP37" s="313" t="n"/>
      <c r="AQ37" s="313" t="n"/>
      <c r="AR37" s="313" t="n"/>
      <c r="AS37" s="313" t="n"/>
      <c r="AT37" s="313" t="n"/>
      <c r="AU37" s="313" t="n"/>
      <c r="AV37" s="313" t="n"/>
      <c r="AW37" s="313" t="n"/>
      <c r="AX37" s="313" t="n"/>
      <c r="AY37" s="313" t="n"/>
      <c r="AZ37" s="313" t="n"/>
      <c r="BA37" s="313" t="n"/>
      <c r="BB37" s="313" t="n"/>
      <c r="BC37" s="313" t="n"/>
      <c r="BD37" s="313" t="n"/>
      <c r="BE37" s="313" t="n"/>
      <c r="BF37" s="313" t="n"/>
      <c r="BG37" s="313" t="n"/>
      <c r="BH37" s="313" t="n"/>
      <c r="BI37" s="313" t="n"/>
      <c r="BJ37" s="313" t="n"/>
      <c r="BK37" s="313" t="n"/>
      <c r="BL37" s="313" t="n"/>
      <c r="BM37" s="313" t="n"/>
      <c r="BN37" s="313" t="n"/>
      <c r="BO37" s="313" t="n"/>
      <c r="BP37" s="313" t="n"/>
      <c r="BQ37" s="314" t="n"/>
    </row>
    <row r="38" ht="19.5" customHeight="1">
      <c r="A38" s="309">
        <f>LTE()</f>
        <v/>
      </c>
      <c r="B38" s="368" t="inlineStr">
        <is>
          <t>CS1</t>
        </is>
      </c>
      <c r="C38" s="366">
        <f>VLOOKUP("CS1",C5:C35,1,FALSE)</f>
        <v/>
      </c>
      <c r="D38" s="366">
        <f>VLOOKUP("CS1",D1:D35,1,FALSE)</f>
        <v/>
      </c>
      <c r="E38" s="366">
        <f>VLOOKUP("CS1",E7:E35,1,FALSE)</f>
        <v/>
      </c>
      <c r="F38" s="366">
        <f>VLOOKUP("CS1",F8:F35,1,FALSE)</f>
        <v/>
      </c>
      <c r="G38" s="366">
        <f>VLOOKUP("CS1",G7:G35,1,FALSE)</f>
        <v/>
      </c>
      <c r="H38" s="366">
        <f>VLOOKUP("CS1",H5:H35,1,FALSE)</f>
        <v/>
      </c>
      <c r="I38" s="366">
        <f>VLOOKUP("CS1",I6:I35,1,FALSE)</f>
        <v/>
      </c>
      <c r="J38" s="366">
        <f>VLOOKUP("CS1",J4:J35,1,FALSE)</f>
        <v/>
      </c>
      <c r="K38" s="366">
        <f>VLOOKUP("CS1",K1:K35,1,FALSE)</f>
        <v/>
      </c>
      <c r="L38" s="366">
        <f>VLOOKUP("CS1",L1:L35,1,FALSE)</f>
        <v/>
      </c>
      <c r="M38" s="366">
        <f>VLOOKUP("CS1",M5:M29,1,FALSE)</f>
        <v/>
      </c>
      <c r="N38" s="366">
        <f>VLOOKUP("CS1",N6:N35,1,FALSE)</f>
        <v/>
      </c>
      <c r="O38" s="366">
        <f>VLOOKUP("CS1",O1:O35,1,FALSE)</f>
        <v/>
      </c>
      <c r="P38" s="366">
        <f>VLOOKUP("CS1",P5:P35,1,FALSE)</f>
        <v/>
      </c>
      <c r="Q38" s="366">
        <f>VLOOKUP("CS1",Q6:Q33,1,FALSE)</f>
        <v/>
      </c>
      <c r="R38" s="366">
        <f>VLOOKUP("CS1",R6:R27,1,FALSE)</f>
        <v/>
      </c>
      <c r="S38" s="366">
        <f>VLOOKUP("CS1",S7:S35,1,FALSE)</f>
        <v/>
      </c>
      <c r="T38" s="366">
        <f>VLOOKUP("CS1",T8:T35,1,FALSE)</f>
        <v/>
      </c>
      <c r="U38" s="366">
        <f>VLOOKUP("CS1",U6:U35,1,FALSE)</f>
        <v/>
      </c>
      <c r="V38" s="366">
        <f>VLOOKUP("CS1",V1:V27,1,FALSE)</f>
        <v/>
      </c>
      <c r="W38" s="366">
        <f>VLOOKUP("CS1",W1:W27,1,FALSE)</f>
        <v/>
      </c>
      <c r="X38" s="366">
        <f>VLOOKUP("CS1",X1:X35,1,FALSE)</f>
        <v/>
      </c>
      <c r="Y38" s="366">
        <f>VLOOKUP("CS1",Y6:Y35,1,FALSE)</f>
        <v/>
      </c>
      <c r="Z38" s="366">
        <f>VLOOKUP("CS1",Z9:Z35,1,FALSE)</f>
        <v/>
      </c>
      <c r="AA38" s="366">
        <f>VLOOKUP("CS1",AA1:AA35,1,FALSE)</f>
        <v/>
      </c>
      <c r="AB38" s="366">
        <f>VLOOKUP("CS1",AB9:AB35,1,FALSE)</f>
        <v/>
      </c>
      <c r="AC38" s="366">
        <f>VLOOKUP("CS1",AC7:AC35,1,FALSE)</f>
        <v/>
      </c>
      <c r="AD38" s="366">
        <f>VLOOKUP("CS1",AD1:AD35,1,FALSE)</f>
        <v/>
      </c>
      <c r="AE38" s="366">
        <f>VLOOKUP("CS1",AE7:AE35,1,FALSE)</f>
        <v/>
      </c>
      <c r="AF38" s="366">
        <f>VLOOKUP("CS1",AF7:AF35,1,FALSE)</f>
        <v/>
      </c>
      <c r="AG38" s="366">
        <f>VLOOKUP("CS1",AG7:AG35,1,FALSE)</f>
        <v/>
      </c>
      <c r="AH38" s="387" t="n"/>
      <c r="AI38" s="311" t="n"/>
      <c r="AJ38" s="312" t="n"/>
      <c r="AK38" s="311" t="n"/>
      <c r="AL38" s="313" t="n"/>
      <c r="AM38" s="313" t="n"/>
      <c r="AN38" s="313" t="n"/>
      <c r="AO38" s="313" t="n"/>
      <c r="AP38" s="313" t="n"/>
      <c r="AQ38" s="313" t="n"/>
      <c r="AR38" s="313" t="n"/>
      <c r="AS38" s="313" t="n"/>
      <c r="AT38" s="313" t="n"/>
      <c r="AU38" s="313" t="n"/>
      <c r="AV38" s="313" t="n"/>
      <c r="AW38" s="313" t="n"/>
      <c r="AX38" s="313" t="n"/>
      <c r="AY38" s="313" t="n"/>
      <c r="AZ38" s="313" t="n"/>
      <c r="BA38" s="313" t="n"/>
      <c r="BB38" s="313" t="n"/>
      <c r="BC38" s="313" t="n"/>
      <c r="BD38" s="313" t="n"/>
      <c r="BE38" s="313" t="n"/>
      <c r="BF38" s="313" t="n"/>
      <c r="BG38" s="313" t="n"/>
      <c r="BH38" s="313" t="n"/>
      <c r="BI38" s="313" t="n"/>
      <c r="BJ38" s="313" t="n"/>
      <c r="BK38" s="313" t="n"/>
      <c r="BL38" s="313" t="n"/>
      <c r="BM38" s="313" t="n"/>
      <c r="BN38" s="313" t="n"/>
      <c r="BO38" s="313" t="n"/>
      <c r="BP38" s="313" t="n"/>
      <c r="BQ38" s="314" t="n"/>
    </row>
    <row r="39" ht="19.5" customHeight="1">
      <c r="A39" s="309" t="n"/>
      <c r="B39" s="369" t="inlineStr">
        <is>
          <t>CS2</t>
        </is>
      </c>
      <c r="C39" s="366">
        <f>VLOOKUP("CS2",C6:C35,1,FALSE)</f>
        <v/>
      </c>
      <c r="D39" s="366">
        <f>VLOOKUP("CS2",D9:D35,1,FALSE)</f>
        <v/>
      </c>
      <c r="E39" s="366">
        <f>VLOOKUP("CS2",E7:E35,1,FALSE)</f>
        <v/>
      </c>
      <c r="F39" s="366">
        <f>VLOOKUP("CS2",F8:F35,1,FALSE)</f>
        <v/>
      </c>
      <c r="G39" s="366">
        <f>VLOOKUP("CS2",G1:G35,1,FALSE)</f>
        <v/>
      </c>
      <c r="H39" s="366">
        <f>VLOOKUP("CS2",H1:H35,1,FALSE)</f>
        <v/>
      </c>
      <c r="I39" s="366">
        <f>VLOOKUP("CS2",I6:I35,1,FALSE)</f>
        <v/>
      </c>
      <c r="J39" s="366">
        <f>VLOOKUP("CS2",J4:J35,1,FALSE)</f>
        <v/>
      </c>
      <c r="K39" s="366">
        <f>VLOOKUP("CS2",K5:K35,1,FALSE)</f>
        <v/>
      </c>
      <c r="L39" s="366">
        <f>VLOOKUP("CS2",L4:L35,1,FALSE)</f>
        <v/>
      </c>
      <c r="M39" s="366">
        <f>VLOOKUP("CS2",M1:M29,1,FALSE)</f>
        <v/>
      </c>
      <c r="N39" s="366">
        <f>VLOOKUP("CS2",N6:N35,1,FALSE)</f>
        <v/>
      </c>
      <c r="O39" s="366">
        <f>VLOOKUP("CS2",O6:O35,1,FALSE)</f>
        <v/>
      </c>
      <c r="P39" s="366">
        <f>VLOOKUP("CS2",P5:P35,1,FALSE)</f>
        <v/>
      </c>
      <c r="Q39" s="366">
        <f>VLOOKUP("CS2",Q6:Q33,1,FALSE)</f>
        <v/>
      </c>
      <c r="R39" s="366">
        <f>VLOOKUP("CS2",R6:R27,1,FALSE)</f>
        <v/>
      </c>
      <c r="S39" s="366">
        <f>VLOOKUP("CS2",S1:S35,1,FALSE)</f>
        <v/>
      </c>
      <c r="T39" s="366">
        <f>VLOOKUP("CS2",T1:T35,1,FALSE)</f>
        <v/>
      </c>
      <c r="U39" s="366">
        <f>VLOOKUP("CS2",U1:U35,1,FALSE)</f>
        <v/>
      </c>
      <c r="V39" s="366">
        <f>VLOOKUP("CS2",V1:V27,1,FALSE)</f>
        <v/>
      </c>
      <c r="W39" s="366">
        <f>VLOOKUP("CS2",W11:W27,1,FALSE)</f>
        <v/>
      </c>
      <c r="X39" s="366">
        <f>VLOOKUP("CS2",X8:X35,1,FALSE)</f>
        <v/>
      </c>
      <c r="Y39" s="366">
        <f>VLOOKUP("CS2",Y6:Y35,1,FALSE)</f>
        <v/>
      </c>
      <c r="Z39" s="366">
        <f>VLOOKUP("CS2",Z9:Z35,1,FALSE)</f>
        <v/>
      </c>
      <c r="AA39" s="366">
        <f>VLOOKUP("CS2",AA1:AA35,1,FALSE)</f>
        <v/>
      </c>
      <c r="AB39" s="366">
        <f>VLOOKUP("CS2",AB1:AB35,1,FALSE)</f>
        <v/>
      </c>
      <c r="AC39" s="366">
        <f>VLOOKUP("CS2",AC7:AC35,1,FALSE)</f>
        <v/>
      </c>
      <c r="AD39" s="366">
        <f>VLOOKUP("CS2",AD1:AD35,1,FALSE)</f>
        <v/>
      </c>
      <c r="AE39" s="366">
        <f>VLOOKUP("CS2",AE7:AE35,1,FALSE)</f>
        <v/>
      </c>
      <c r="AF39" s="366">
        <f>VLOOKUP("CS2",AF7:AF35,1,FALSE)</f>
        <v/>
      </c>
      <c r="AG39" s="366">
        <f>VLOOKUP("CS2",AG7:AG35,1,FALSE)</f>
        <v/>
      </c>
      <c r="AH39" s="387" t="n"/>
      <c r="AI39" s="311" t="n"/>
      <c r="AJ39" s="312" t="n"/>
      <c r="AK39" s="311" t="n"/>
      <c r="AL39" s="313" t="n"/>
      <c r="AM39" s="313" t="n"/>
      <c r="AN39" s="313" t="n"/>
      <c r="AO39" s="313" t="n"/>
      <c r="AP39" s="313" t="n"/>
      <c r="AQ39" s="313" t="n"/>
      <c r="AR39" s="313" t="n"/>
      <c r="AS39" s="313" t="n"/>
      <c r="AT39" s="313" t="n"/>
      <c r="AU39" s="313" t="n"/>
      <c r="AV39" s="313" t="n"/>
      <c r="AW39" s="313" t="n"/>
      <c r="AX39" s="313" t="n"/>
      <c r="AY39" s="313" t="n"/>
      <c r="AZ39" s="313" t="n"/>
      <c r="BA39" s="313" t="n"/>
      <c r="BB39" s="313" t="n"/>
      <c r="BC39" s="313" t="n"/>
      <c r="BD39" s="313" t="n"/>
      <c r="BE39" s="313" t="n"/>
      <c r="BF39" s="313" t="n"/>
      <c r="BG39" s="313" t="n"/>
      <c r="BH39" s="313" t="n"/>
      <c r="BI39" s="313" t="n"/>
      <c r="BJ39" s="313" t="n"/>
      <c r="BK39" s="313" t="n"/>
      <c r="BL39" s="313" t="n"/>
      <c r="BM39" s="313" t="n"/>
      <c r="BN39" s="313" t="n"/>
      <c r="BO39" s="313" t="n"/>
      <c r="BP39" s="313" t="n"/>
      <c r="BQ39" s="314" t="n"/>
    </row>
    <row r="40" ht="19.5" customHeight="1">
      <c r="A40" s="309" t="n"/>
      <c r="B40" s="370" t="inlineStr">
        <is>
          <t>SB1</t>
        </is>
      </c>
      <c r="C40" s="366">
        <f>VLOOKUP("SB1",C6:C35,1,FALSE)</f>
        <v/>
      </c>
      <c r="D40" s="366">
        <f>VLOOKUP("SB1",D3:D35,1,FALSE)</f>
        <v/>
      </c>
      <c r="E40" s="366">
        <f>VLOOKUP("SB1",E1:E35,1,FALSE)</f>
        <v/>
      </c>
      <c r="F40" s="366">
        <f>VLOOKUP("SB1",F8:F35,1,FALSE)</f>
        <v/>
      </c>
      <c r="G40" s="366">
        <f>VLOOKUP("SB1",G7:G35,1,FALSE)</f>
        <v/>
      </c>
      <c r="H40" s="366">
        <f>VLOOKUP("SB1",H8:H35,1,FALSE)</f>
        <v/>
      </c>
      <c r="I40" s="366">
        <f>VLOOKUP("SB1",I1:I35,1,FALSE)</f>
        <v/>
      </c>
      <c r="J40" s="366">
        <f>VLOOKUP("SB1",J4:J35,1,FALSE)</f>
        <v/>
      </c>
      <c r="K40" s="366">
        <f>VLOOKUP("SB1",K6:K35,1,FALSE)</f>
        <v/>
      </c>
      <c r="L40" s="366">
        <f>VLOOKUP("SB1",L8:L35,1,FALSE)</f>
        <v/>
      </c>
      <c r="M40" s="366">
        <f>VLOOKUP("SB1",M1:M29,1,FALSE)</f>
        <v/>
      </c>
      <c r="N40" s="366">
        <f>VLOOKUP("SB1",N6:N35,1,FALSE)</f>
        <v/>
      </c>
      <c r="O40" s="366">
        <f>VLOOKUP("SB1",O1:O35,1,FALSE)</f>
        <v/>
      </c>
      <c r="P40" s="366">
        <f>VLOOKUP("SB1",P5:P35,1,FALSE)</f>
        <v/>
      </c>
      <c r="Q40" s="366">
        <f>VLOOKUP("SB1",Q1:Q33,1,FALSE)</f>
        <v/>
      </c>
      <c r="R40" s="366">
        <f>VLOOKUP("SB1",R6:R27,1,FALSE)</f>
        <v/>
      </c>
      <c r="S40" s="366">
        <f>VLOOKUP("SB1",S1:S35,1,FALSE)</f>
        <v/>
      </c>
      <c r="T40" s="366">
        <f>VLOOKUP("SB1",T8:T35,1,FALSE)</f>
        <v/>
      </c>
      <c r="U40" s="366">
        <f>VLOOKUP("SB1",U1:U35,1,FALSE)</f>
        <v/>
      </c>
      <c r="V40" s="366">
        <f>VLOOKUP("SB1",V9:V27,1,FALSE)</f>
        <v/>
      </c>
      <c r="W40" s="366">
        <f>VLOOKUP("SB1",W5:W27,1,FALSE)</f>
        <v/>
      </c>
      <c r="X40" s="366">
        <f>VLOOKUP("SB1",X6:X35,1,FALSE)</f>
        <v/>
      </c>
      <c r="Y40" s="366">
        <f>VLOOKUP("SB1",Y1:Y35,1,FALSE)</f>
        <v/>
      </c>
      <c r="Z40" s="366">
        <f>VLOOKUP("SB1",Z9:Z35,1,FALSE)</f>
        <v/>
      </c>
      <c r="AA40" s="366">
        <f>VLOOKUP("SB1",AA11:AA35,1,FALSE)</f>
        <v/>
      </c>
      <c r="AB40" s="366">
        <f>VLOOKUP("SB1",AB1:AB35,1,FALSE)</f>
        <v/>
      </c>
      <c r="AC40" s="366">
        <f>VLOOKUP("SB1",AC1:AC35,1,FALSE)</f>
        <v/>
      </c>
      <c r="AD40" s="366">
        <f>VLOOKUP("SB1",AD6:AD35,1,FALSE)</f>
        <v/>
      </c>
      <c r="AE40" s="366">
        <f>VLOOKUP("SB1",AE7:AE35,1,FALSE)</f>
        <v/>
      </c>
      <c r="AF40" s="366">
        <f>VLOOKUP("SB1",AF5:AF35,1,FALSE)</f>
        <v/>
      </c>
      <c r="AG40" s="366">
        <f>VLOOKUP("SB1",AG7:AG35,1,FALSE)</f>
        <v/>
      </c>
      <c r="AH40" s="387" t="n"/>
      <c r="AI40" s="311" t="n"/>
      <c r="AJ40" s="312" t="n"/>
      <c r="AK40" s="311" t="n"/>
      <c r="AL40" s="313" t="n"/>
      <c r="AM40" s="313" t="n"/>
      <c r="AN40" s="313" t="n"/>
      <c r="AO40" s="313" t="n"/>
      <c r="AP40" s="313" t="n"/>
      <c r="AQ40" s="313" t="n"/>
      <c r="AR40" s="313" t="n"/>
      <c r="AS40" s="313" t="n"/>
      <c r="AT40" s="313" t="n"/>
      <c r="AU40" s="313" t="n"/>
      <c r="AV40" s="313" t="n"/>
      <c r="AW40" s="313" t="n"/>
      <c r="AX40" s="313" t="n"/>
      <c r="AY40" s="313" t="n"/>
      <c r="AZ40" s="313" t="n"/>
      <c r="BA40" s="313" t="n"/>
      <c r="BB40" s="313" t="n"/>
      <c r="BC40" s="313" t="n"/>
      <c r="BD40" s="313" t="n"/>
      <c r="BE40" s="313" t="n"/>
      <c r="BF40" s="313" t="n"/>
      <c r="BG40" s="313" t="n"/>
      <c r="BH40" s="313" t="n"/>
      <c r="BI40" s="313" t="n"/>
      <c r="BJ40" s="313" t="n"/>
      <c r="BK40" s="313" t="n"/>
      <c r="BL40" s="313" t="n"/>
      <c r="BM40" s="313" t="n"/>
      <c r="BN40" s="313" t="n"/>
      <c r="BO40" s="313" t="n"/>
      <c r="BP40" s="313" t="n"/>
      <c r="BQ40" s="314" t="n"/>
    </row>
    <row r="41" ht="19.5" customHeight="1">
      <c r="A41" s="309" t="n"/>
      <c r="B41" s="371" t="inlineStr">
        <is>
          <t>SB2</t>
        </is>
      </c>
      <c r="C41" s="366">
        <f>VLOOKUP("SB2",C6:C35,1,FALSE)</f>
        <v/>
      </c>
      <c r="D41" s="366">
        <f>VLOOKUP("SB2",D9:D35,1,FALSE)</f>
        <v/>
      </c>
      <c r="E41" s="366">
        <f>VLOOKUP("SB2",E7:E35,1,FALSE)</f>
        <v/>
      </c>
      <c r="F41" s="366">
        <f>VLOOKUP("SB2",F1:F35,1,FALSE)</f>
        <v/>
      </c>
      <c r="G41" s="366">
        <f>VLOOKUP("SB2",G7:G35,1,FALSE)</f>
        <v/>
      </c>
      <c r="H41" s="366">
        <f>VLOOKUP("SB2",H8:H35,1,FALSE)</f>
        <v/>
      </c>
      <c r="I41" s="366">
        <f>VLOOKUP("SB2",I6:I35,1,FALSE)</f>
        <v/>
      </c>
      <c r="J41" s="366">
        <f>VLOOKUP("SB2",J4:J35,1,FALSE)</f>
        <v/>
      </c>
      <c r="K41" s="366">
        <f>VLOOKUP("SB2",K6:K35,1,FALSE)</f>
        <v/>
      </c>
      <c r="L41" s="366">
        <f>VLOOKUP("SB2",L11:L35,1,FALSE)</f>
        <v/>
      </c>
      <c r="M41" s="366">
        <f>VLOOKUP("SB2",M8:M39,1,FALSE)</f>
        <v/>
      </c>
      <c r="N41" s="366">
        <f>VLOOKUP("SB2",N6:N35,1,FALSE)</f>
        <v/>
      </c>
      <c r="O41" s="366">
        <f>VLOOKUP("SB2",O8:O35,1,FALSE)</f>
        <v/>
      </c>
      <c r="P41" s="366">
        <f>VLOOKUP("SB2",P8:P35,1,FALSE)</f>
        <v/>
      </c>
      <c r="Q41" s="366">
        <f>VLOOKUP("SB2",Q10:Q33,1,FALSE)</f>
        <v/>
      </c>
      <c r="R41" s="366">
        <f>VLOOKUP("SB2",R6:R33,1,FALSE)</f>
        <v/>
      </c>
      <c r="S41" s="366">
        <f>VLOOKUP("SB2",S12:S35,1,FALSE)</f>
        <v/>
      </c>
      <c r="T41" s="366">
        <f>VLOOKUP("SB2",T8:T35,1,FALSE)</f>
        <v/>
      </c>
      <c r="U41" s="366">
        <f>VLOOKUP("SB2",U9:U35,1,FALSE)</f>
        <v/>
      </c>
      <c r="V41" s="366">
        <f>VLOOKUP("SB2",V5:V35,1,FALSE)</f>
        <v/>
      </c>
      <c r="W41" s="366">
        <f>VLOOKUP("SB2",W11:W32,1,FALSE)</f>
        <v/>
      </c>
      <c r="X41" s="366">
        <f>VLOOKUP("SB2",X8:X35,1,FALSE)</f>
        <v/>
      </c>
      <c r="Y41" s="366">
        <f>VLOOKUP("SB2",Y6:Y35,1,FALSE)</f>
        <v/>
      </c>
      <c r="Z41" s="366">
        <f>VLOOKUP("SB2",Z9:Z35,1,FALSE)</f>
        <v/>
      </c>
      <c r="AA41" s="366">
        <f>VLOOKUP("SB2",AA11:AA35,1,FALSE)</f>
        <v/>
      </c>
      <c r="AB41" s="366">
        <f>VLOOKUP("SB2",AB9:AB35,1,FALSE)</f>
        <v/>
      </c>
      <c r="AC41" s="366">
        <f>VLOOKUP("SB2",AC11:AC35,1,FALSE)</f>
        <v/>
      </c>
      <c r="AD41" s="366">
        <f>VLOOKUP("SB2",AD6:AD35,1,FALSE)</f>
        <v/>
      </c>
      <c r="AE41" s="366">
        <f>VLOOKUP("SB2",AE7:AE35,1,FALSE)</f>
        <v/>
      </c>
      <c r="AF41" s="366">
        <f>VLOOKUP("SB2",AF7:AF35,1,FALSE)</f>
        <v/>
      </c>
      <c r="AG41" s="366">
        <f>VLOOKUP("SB2",AG7:AG35,1,FALSE)</f>
        <v/>
      </c>
      <c r="AH41" s="387" t="n"/>
      <c r="AI41" s="311" t="n"/>
      <c r="AJ41" s="312" t="n"/>
      <c r="AK41" s="311" t="n"/>
      <c r="AL41" s="313" t="n"/>
      <c r="AM41" s="313" t="n"/>
      <c r="AN41" s="313" t="n"/>
      <c r="AO41" s="313" t="n"/>
      <c r="AP41" s="313" t="n"/>
      <c r="AQ41" s="313" t="n"/>
      <c r="AR41" s="313" t="n"/>
      <c r="AS41" s="313" t="n"/>
      <c r="AT41" s="313" t="n"/>
      <c r="AU41" s="313" t="n"/>
      <c r="AV41" s="313" t="n"/>
      <c r="AW41" s="313" t="n"/>
      <c r="AX41" s="313" t="n"/>
      <c r="AY41" s="313" t="n"/>
      <c r="AZ41" s="313" t="n"/>
      <c r="BA41" s="313" t="n"/>
      <c r="BB41" s="313" t="n"/>
      <c r="BC41" s="313" t="n"/>
      <c r="BD41" s="313" t="n"/>
      <c r="BE41" s="313" t="n"/>
      <c r="BF41" s="313" t="n"/>
      <c r="BG41" s="313" t="n"/>
      <c r="BH41" s="313" t="n"/>
      <c r="BI41" s="313" t="n"/>
      <c r="BJ41" s="313" t="n"/>
      <c r="BK41" s="313" t="n"/>
      <c r="BL41" s="313" t="n"/>
      <c r="BM41" s="313" t="n"/>
      <c r="BN41" s="313" t="n"/>
      <c r="BO41" s="313" t="n"/>
      <c r="BP41" s="313" t="n"/>
      <c r="BQ41" s="314" t="n"/>
    </row>
    <row r="42" ht="19.5" customHeight="1">
      <c r="A42" s="309" t="n"/>
      <c r="B42" s="372" t="inlineStr">
        <is>
          <t>AE</t>
        </is>
      </c>
      <c r="C42" s="366">
        <f>VLOOKUP("AE",C6:C35,1,FALSE)</f>
        <v/>
      </c>
      <c r="D42" s="366">
        <f>VLOOKUP("AE",D9:D35,1,FALSE)</f>
        <v/>
      </c>
      <c r="E42" s="366">
        <f>VLOOKUP("AE",E7:E35,1,FALSE)</f>
        <v/>
      </c>
      <c r="F42" s="366">
        <f>VLOOKUP("AE",F1:F35,1,FALSE)</f>
        <v/>
      </c>
      <c r="G42" s="366">
        <f>VLOOKUP("AE",G7:G35,1,FALSE)</f>
        <v/>
      </c>
      <c r="H42" s="366">
        <f>VLOOKUP("AE",H8:H35,1,FALSE)</f>
        <v/>
      </c>
      <c r="I42" s="366">
        <f>VLOOKUP("AE",I6:I35,1,FALSE)</f>
        <v/>
      </c>
      <c r="J42" s="366">
        <f>VLOOKUP("AE",J4:J35,1,FALSE)</f>
        <v/>
      </c>
      <c r="K42" s="366">
        <f>VLOOKUP("AE",K6:K35,1,FALSE)</f>
        <v/>
      </c>
      <c r="L42" s="366">
        <f>VLOOKUP("AE",L11:L35,1,FALSE)</f>
        <v/>
      </c>
      <c r="M42" s="366">
        <f>VLOOKUP("AE",M8:M39,1,FALSE)</f>
        <v/>
      </c>
      <c r="N42" s="366">
        <f>VLOOKUP("AE",N6:N35,1,FALSE)</f>
        <v/>
      </c>
      <c r="O42" s="366">
        <f>VLOOKUP("AE",O8:O35,1,FALSE)</f>
        <v/>
      </c>
      <c r="P42" s="366">
        <f>VLOOKUP("AE",P8:P35,1,FALSE)</f>
        <v/>
      </c>
      <c r="Q42" s="366">
        <f>VLOOKUP("AE",Q10:Q33,1,FALSE)</f>
        <v/>
      </c>
      <c r="R42" s="366">
        <f>VLOOKUP("AE",R6:R33,1,FALSE)</f>
        <v/>
      </c>
      <c r="S42" s="366">
        <f>VLOOKUP("AE",S12:S35,1,FALSE)</f>
        <v/>
      </c>
      <c r="T42" s="366">
        <f>VLOOKUP("AE",T8:T35,1,FALSE)</f>
        <v/>
      </c>
      <c r="U42" s="366">
        <f>VLOOKUP("AE",U9:U35,1,FALSE)</f>
        <v/>
      </c>
      <c r="V42" s="366">
        <f>VLOOKUP("AE",V9:V37,1,FALSE)</f>
        <v/>
      </c>
      <c r="W42" s="366">
        <f>VLOOKUP("AE",W11:W35,1,FALSE)</f>
        <v/>
      </c>
      <c r="X42" s="366">
        <f>VLOOKUP("AE",X8:X35,1,FALSE)</f>
        <v/>
      </c>
      <c r="Y42" s="366">
        <f>VLOOKUP("AE",Y6:Y35,1,FALSE)</f>
        <v/>
      </c>
      <c r="Z42" s="366">
        <f>VLOOKUP("AE",Z9:Z35,1,FALSE)</f>
        <v/>
      </c>
      <c r="AA42" s="366">
        <f>VLOOKUP("AE",AA11:AA35,1,FALSE)</f>
        <v/>
      </c>
      <c r="AB42" s="366">
        <f>VLOOKUP("AE",AB9:AB35,1,FALSE)</f>
        <v/>
      </c>
      <c r="AC42" s="366">
        <f>VLOOKUP("AE",AC11:AC35,1,FALSE)</f>
        <v/>
      </c>
      <c r="AD42" s="366">
        <f>VLOOKUP("AE",AD6:AD35,1,FALSE)</f>
        <v/>
      </c>
      <c r="AE42" s="366">
        <f>VLOOKUP("AE",AE7:AE35,1,FALSE)</f>
        <v/>
      </c>
      <c r="AF42" s="366">
        <f>VLOOKUP("AE",AF7:AF35,1,FALSE)</f>
        <v/>
      </c>
      <c r="AG42" s="366">
        <f>VLOOKUP("AE",AG7:AG35,1,FALSE)</f>
        <v/>
      </c>
      <c r="AH42" s="387" t="n"/>
      <c r="AI42" s="311" t="n"/>
      <c r="AJ42" s="312" t="n"/>
      <c r="AK42" s="311" t="n"/>
      <c r="AL42" s="313" t="n"/>
      <c r="AM42" s="313" t="n"/>
      <c r="AN42" s="313" t="n"/>
      <c r="AO42" s="313" t="n"/>
      <c r="AP42" s="313" t="n"/>
      <c r="AQ42" s="313" t="n"/>
      <c r="AR42" s="313" t="n"/>
      <c r="AS42" s="313" t="n"/>
      <c r="AT42" s="313" t="n"/>
      <c r="AU42" s="313" t="n"/>
      <c r="AV42" s="313" t="n"/>
      <c r="AW42" s="313" t="n"/>
      <c r="AX42" s="313" t="n"/>
      <c r="AY42" s="313" t="n"/>
      <c r="AZ42" s="313" t="n"/>
      <c r="BA42" s="313" t="n"/>
      <c r="BB42" s="313" t="n"/>
      <c r="BC42" s="313" t="n"/>
      <c r="BD42" s="313" t="n"/>
      <c r="BE42" s="313" t="n"/>
      <c r="BF42" s="313" t="n"/>
      <c r="BG42" s="313" t="n"/>
      <c r="BH42" s="313" t="n"/>
      <c r="BI42" s="313" t="n"/>
      <c r="BJ42" s="313" t="n"/>
      <c r="BK42" s="313" t="n"/>
      <c r="BL42" s="313" t="n"/>
      <c r="BM42" s="313" t="n"/>
      <c r="BN42" s="313" t="n"/>
      <c r="BO42" s="313" t="n"/>
      <c r="BP42" s="313" t="n"/>
      <c r="BQ42" s="314" t="n"/>
    </row>
  </sheetData>
  <mergeCells count="1">
    <mergeCell ref="C1:S1"/>
  </mergeCells>
  <conditionalFormatting sqref="H10">
    <cfRule type="expression" priority="7" dxfId="136">
      <formula>WEEKDAY(H$3,2)&gt;5</formula>
    </cfRule>
  </conditionalFormatting>
  <conditionalFormatting sqref="D15">
    <cfRule type="expression" priority="8" dxfId="136">
      <formula>WEEKDAY(E$3,2)&gt;5</formula>
    </cfRule>
  </conditionalFormatting>
  <conditionalFormatting sqref="T18">
    <cfRule type="expression" priority="1" dxfId="136">
      <formula>WEEKDAY(U$3,2)&gt;5</formula>
    </cfRule>
    <cfRule type="expression" priority="2" dxfId="136">
      <formula>WEEKDAY(V$3,2)&gt;5</formula>
    </cfRule>
  </conditionalFormatting>
  <conditionalFormatting sqref="X27">
    <cfRule type="expression" priority="3" dxfId="136">
      <formula>WEEKDAY(AA$3,2)&gt;5</formula>
    </cfRule>
    <cfRule type="expression" priority="4" dxfId="136">
      <formula>WEEKDAY(Z$3,2)&gt;5</formula>
    </cfRule>
  </conditionalFormatting>
  <conditionalFormatting sqref="AF27">
    <cfRule type="expression" priority="5" dxfId="136">
      <formula>WEEKDAY(AG$3,2)&gt;5</formula>
    </cfRule>
    <cfRule type="expression" priority="6" dxfId="136">
      <formula>WEEKDAY(AF$3,2)&gt;5</formula>
    </cfRule>
  </conditionalFormatting>
  <conditionalFormatting sqref="K32">
    <cfRule type="expression" priority="9" dxfId="136">
      <formula>WEEKDAY(M$3,2)&gt;5</formula>
    </cfRule>
  </conditionalFormatting>
  <conditionalFormatting sqref="C3:S35 T2:X35 Y3:AH35">
    <cfRule type="expression" priority="71" dxfId="136">
      <formula>WEEKDAY(T$3,2)&gt;5</formula>
    </cfRule>
  </conditionalFormatting>
  <conditionalFormatting sqref="C5:I42 J4:J42 K5:R42 S5:S19 S21:S42 T5:Z42 AA4:AA42 AB5:AH42">
    <cfRule type="cellIs" priority="56" operator="equal" dxfId="137">
      <formula>"B"</formula>
    </cfRule>
    <cfRule type="cellIs" priority="57" operator="equal" dxfId="137">
      <formula>"AL"</formula>
    </cfRule>
    <cfRule type="cellIs" priority="58" operator="equal" dxfId="138">
      <formula>"DM"</formula>
    </cfRule>
    <cfRule type="cellIs" priority="59" operator="equal" dxfId="139">
      <formula>"CS1"</formula>
    </cfRule>
    <cfRule type="cellIs" priority="60" operator="equal" dxfId="140">
      <formula>"CS2"</formula>
    </cfRule>
    <cfRule type="cellIs" priority="61" operator="equal" dxfId="141">
      <formula>"SB1"</formula>
    </cfRule>
    <cfRule type="cellIs" priority="62" operator="equal" dxfId="142">
      <formula>"SB2"</formula>
    </cfRule>
    <cfRule type="cellIs" priority="63" operator="equal" dxfId="143">
      <formula>"AE"</formula>
    </cfRule>
  </conditionalFormatting>
  <conditionalFormatting sqref="C5:I35 J4:J35 K5:R35 S5:S19 S21:S35 T5:Z35 AA4:AA35 AB5:AH35">
    <cfRule type="cellIs" priority="65" operator="equal" dxfId="137">
      <formula>"DB"</formula>
    </cfRule>
    <cfRule type="containsText" priority="66" operator="between" dxfId="144" text="$AM">
      <formula>NOT(ISERROR(SEARCH("$AM",C4)))</formula>
    </cfRule>
    <cfRule type="containsText" priority="67" operator="between" dxfId="145" text="$PM">
      <formula>NOT(ISERROR(SEARCH("$PM",C4)))</formula>
    </cfRule>
    <cfRule type="containsText" priority="68" operator="between" dxfId="146" text="$L">
      <formula>NOT(ISERROR(SEARCH("$L",C4)))</formula>
    </cfRule>
    <cfRule type="containsText" priority="69" operator="between" dxfId="147" text="$BTP">
      <formula>NOT(ISERROR(SEARCH("$BTP",C4)))</formula>
    </cfRule>
    <cfRule type="containsText" priority="70" operator="between" dxfId="148" text="$M">
      <formula>NOT(ISERROR(SEARCH("$M",C4)))</formula>
    </cfRule>
    <cfRule type="containsText" priority="72" operator="between" dxfId="149" text="$N">
      <formula>NOT(ISERROR(SEARCH("$N",C4)))</formula>
    </cfRule>
    <cfRule type="containsText" priority="73" operator="between" dxfId="150" text="$FC">
      <formula>NOT(ISERROR(SEARCH("$FC",C4)))</formula>
    </cfRule>
    <cfRule type="containsText" priority="74" operator="between" dxfId="151" text="OAL">
      <formula>NOT(ISERROR(SEARCH("OAL",C4)))</formula>
    </cfRule>
    <cfRule type="containsText" priority="75" operator="between" dxfId="152" text="S+">
      <formula>NOT(ISERROR(SEARCH("S+",C4)))</formula>
    </cfRule>
    <cfRule type="containsText" priority="76" operator="between" dxfId="153" text="EX-D">
      <formula>NOT(ISERROR(SEARCH("EX-D",C4)))</formula>
    </cfRule>
  </conditionalFormatting>
  <conditionalFormatting sqref="C5:C22 C24:C27 D5:D26 D29 E5:E8 E10:E27 E30 E33:I33 F5 F7:F27 F29:F30 G5:G21 G23:G27 G30:H30 H5 H7:H27 I5:I27 I29:I30 J4:J27 J31:J32 K5:K22 K24:K27 K32:L32 L5:L27 L29 M5:M13 M15:M27 M30:M31 N5:N7 N9:N17 N19:N29 N31 N33:U33 O5:O8 O10:O11 O13:O27 O29:O30 P5 P7:P28 P31 Q5:Q29 R6:R29 S5:S7 S9:S19 S21:S30 T5 T7:T20 T22:T29 U6:U7 U11:U18 U20:U24 U26:U31 U35 V5:V29 W5:W27 W31 W33:X33 X5:X29 Y5:Y27 Y29:Z30 Y33:Z34 Z5 Z7:Z25 Z27 AA5:AA13 AA15:AA30 AA32:AA34 AB5:AB9 AB12:AB27 AB29 AB31:AB34 AC5:AC13 AC15:AC30 AC32:AC34 AD5:AF33 AG5:AG27 AG32:AH32 AH5 AH7:AH27 AH29">
    <cfRule type="containsText" priority="77" operator="between" dxfId="154" text="VACC">
      <formula>NOT(ISERROR(SEARCH("VACC",C4)))</formula>
    </cfRule>
  </conditionalFormatting>
  <conditionalFormatting sqref="C5:C14 C16:C22 C24:C27 D5 D7 D15 D22:D23 D25 E7:E8 E10 E12:E13 E18:G18 E20:E22 E26:M27 F7:F10 F12:K12 F20 G6 G8:H9 G16 G20:G21 G33 H5 H18:H20 I7 I15:J15 I18 I20:I21 J8:M8 J19:J20 J22 K10 K18 K20:O20 L12:L13 L32 M5:M6 M12 M30 N7 N26:R26 N28 N31 O5:O6 O15 O22 P28 Q17 S25:S26 T26 U22 V5 W25:Z25 AA22">
    <cfRule type="cellIs" priority="12" operator="equal" dxfId="137">
      <formula>"B"</formula>
    </cfRule>
    <cfRule type="cellIs" priority="13" operator="equal" dxfId="137">
      <formula>"AL"</formula>
    </cfRule>
    <cfRule type="cellIs" priority="14" operator="equal" dxfId="138">
      <formula>"DM"</formula>
    </cfRule>
    <cfRule type="cellIs" priority="15" operator="equal" dxfId="139">
      <formula>"CS1"</formula>
    </cfRule>
    <cfRule type="cellIs" priority="16" operator="equal" dxfId="140">
      <formula>"CS2"</formula>
    </cfRule>
    <cfRule type="cellIs" priority="17" operator="equal" dxfId="141">
      <formula>"SB1"</formula>
    </cfRule>
    <cfRule type="cellIs" priority="18" operator="equal" dxfId="142">
      <formula>"SB2"</formula>
    </cfRule>
    <cfRule type="cellIs" priority="19" operator="equal" dxfId="143">
      <formula>"AE"</formula>
    </cfRule>
    <cfRule type="cellIs" priority="20" operator="equal" dxfId="137">
      <formula>"DB"</formula>
    </cfRule>
    <cfRule type="containsText" priority="21" operator="between" dxfId="144" text="$AM">
      <formula>NOT(ISERROR(SEARCH("$AM",C5)))</formula>
    </cfRule>
    <cfRule type="containsText" priority="22" operator="between" dxfId="145" text="$PM">
      <formula>NOT(ISERROR(SEARCH("$PM",C5)))</formula>
    </cfRule>
    <cfRule type="containsText" priority="23" operator="between" dxfId="146" text="$L">
      <formula>NOT(ISERROR(SEARCH("$L",C5)))</formula>
    </cfRule>
    <cfRule type="containsText" priority="24" operator="between" dxfId="147" text="$BTP">
      <formula>NOT(ISERROR(SEARCH("$BTP",C5)))</formula>
    </cfRule>
    <cfRule type="containsText" priority="25" operator="between" dxfId="148" text="$M">
      <formula>NOT(ISERROR(SEARCH("$M",C5)))</formula>
    </cfRule>
    <cfRule type="containsText" priority="26" operator="between" dxfId="149" text="$N">
      <formula>NOT(ISERROR(SEARCH("$N",C5)))</formula>
    </cfRule>
    <cfRule type="containsText" priority="27" operator="between" dxfId="150" text="$FC">
      <formula>NOT(ISERROR(SEARCH("$FC",C5)))</formula>
    </cfRule>
    <cfRule type="containsText" priority="28" operator="between" dxfId="151" text="OAL">
      <formula>NOT(ISERROR(SEARCH("OAL",C5)))</formula>
    </cfRule>
    <cfRule type="containsText" priority="29" operator="between" dxfId="152" text="S+">
      <formula>NOT(ISERROR(SEARCH("S+",C5)))</formula>
    </cfRule>
    <cfRule type="containsText" priority="30" operator="between" dxfId="153" text="EX-D">
      <formula>NOT(ISERROR(SEARCH("EX-D",C5)))</formula>
    </cfRule>
  </conditionalFormatting>
  <conditionalFormatting sqref="C5:C22 C24:C27 D5:D26 D29 E5:E27 E30 E33:I33 F5 F7:F27 F29:F30 G5:G21 G23:G27 G30:H30 H5 H7:H27 I5:J27 I29:I30 J31:J32 K5:K22 K24:K27 K32:L32 L5:L27 L29 M5:M13 M15:M27 M30:M31 N5:N7 N9:N17 N19:N29 N31 N33:Q33 O5:O8 O10:O11 O13:O27 O29:O30 P5 P7:P28 P31 Q5:Q29 R5:R27 R29:T29 S5:S7 S9:S19 S21:S27 S33:U33 T5 T7 T9:T23 T26:U27 U6:U7 U11:U18 U20:U24 U30:U31 U35 V5:V7 V9:V27 V29 W5:W17 W19:W27 W31 X5:Y27 X29 X33 Y29:Z30 Y33:Z34 Z5 Z7:Z25 Z27 AA5:AA13 AA15:AA30 AA32:AA34 AB5:AB9 AB12:AB27 AB29 AB31:AB34 AC5:AC13 AC15:AC29 AC32:AC34 AD5:AF33 AG5:AG27 AH5 AH7:AH27 AH29">
    <cfRule type="cellIs" priority="35" operator="equal" dxfId="137">
      <formula>"B"</formula>
    </cfRule>
    <cfRule type="cellIs" priority="36" operator="equal" dxfId="137">
      <formula>"AL"</formula>
    </cfRule>
    <cfRule type="cellIs" priority="37" operator="equal" dxfId="138">
      <formula>"DM"</formula>
    </cfRule>
    <cfRule type="cellIs" priority="38" operator="equal" dxfId="139">
      <formula>"CS1"</formula>
    </cfRule>
    <cfRule type="cellIs" priority="39" operator="equal" dxfId="140">
      <formula>"CS2"</formula>
    </cfRule>
    <cfRule type="cellIs" priority="40" operator="equal" dxfId="141">
      <formula>"SB1"</formula>
    </cfRule>
    <cfRule type="cellIs" priority="41" operator="equal" dxfId="142">
      <formula>"SB2"</formula>
    </cfRule>
    <cfRule type="cellIs" priority="42" operator="equal" dxfId="143">
      <formula>"AE"</formula>
    </cfRule>
    <cfRule type="cellIs" priority="44" operator="equal" dxfId="137">
      <formula>"DB"</formula>
    </cfRule>
    <cfRule type="containsText" priority="45" operator="between" dxfId="144" text="$AM">
      <formula>NOT(ISERROR(SEARCH("$AM",C5)))</formula>
    </cfRule>
    <cfRule type="containsText" priority="46" operator="between" dxfId="145" text="$PM">
      <formula>NOT(ISERROR(SEARCH("$PM",C5)))</formula>
    </cfRule>
    <cfRule type="containsText" priority="47" operator="between" dxfId="146" text="$L">
      <formula>NOT(ISERROR(SEARCH("$L",C5)))</formula>
    </cfRule>
    <cfRule type="containsText" priority="48" operator="between" dxfId="147" text="$BTP">
      <formula>NOT(ISERROR(SEARCH("$BTP",C5)))</formula>
    </cfRule>
    <cfRule type="containsText" priority="49" operator="between" dxfId="148" text="$M">
      <formula>NOT(ISERROR(SEARCH("$M",C5)))</formula>
    </cfRule>
    <cfRule type="containsText" priority="50" operator="between" dxfId="149" text="$N">
      <formula>NOT(ISERROR(SEARCH("$N",C5)))</formula>
    </cfRule>
    <cfRule type="containsText" priority="51" operator="between" dxfId="150" text="$FC">
      <formula>NOT(ISERROR(SEARCH("$FC",C5)))</formula>
    </cfRule>
    <cfRule type="containsText" priority="52" operator="between" dxfId="151" text="OAL">
      <formula>NOT(ISERROR(SEARCH("OAL",C5)))</formula>
    </cfRule>
    <cfRule type="containsText" priority="53" operator="between" dxfId="152" text="S+">
      <formula>NOT(ISERROR(SEARCH("S+",C5)))</formula>
    </cfRule>
    <cfRule type="containsText" priority="54" operator="between" dxfId="153" text="EX-D">
      <formula>NOT(ISERROR(SEARCH("EX-D",C5)))</formula>
    </cfRule>
  </conditionalFormatting>
  <conditionalFormatting sqref="C5:C22 C24:C27 D5:D26 D29 E5:E27 E30 E33:I33 F5 F7:F27 F29:F30 G5:G21 G23:G27 G30:H30 H5 H7:H27 I5:J27 I29:I30 J31:J32 K5:K22 K24:K27 K32:L32 L5:L27 L29 M5:M13 M15:M27 M30:M31 N5:N7 N9:N17 N19:N29 N31 N33:Q33 O5:O8 O10:O11 O13:O27 O29:O30 P5 P7:P29 P31 Q5:Q29 R6:R27 R29:T29 S5:S7 S9:S19 S21:S27 S33:U33 T5 T7 T9:T23 T26:U27 U6:U7 U11:U18 U20:U24 U30:U31 U35 V5:V7 V9:V27 V29 W5:W17 W19:W27 W31 X5:Y27 X29 X33 Y29:Z30 Y33:Z34 Z5 Z7:Z25 Z27 AA5:AA13 AA15:AA30 AA32:AA34 AB5:AB9 AB12:AB27 AB29 AB31:AB34 AC5:AC13 AC15:AC29 AC32:AC34 AD5:AF33 AG5:AG27 AH5 AH7:AH27 AH29">
    <cfRule type="containsText" priority="43" operator="between" dxfId="154" text="VACC">
      <formula>NOT(ISERROR(SEARCH("VACC",C5)))</formula>
    </cfRule>
  </conditionalFormatting>
  <conditionalFormatting sqref="C5:C22 C24:C27 D5:D7 D10:D26 D29 E5:E27 E30 E33:I33 F5 F7:F27 F29:F30 G5:G21 G23:G27 G30:H30 H5 H7:H27 I5:J27 I29:I30 J31:J32 K5:K22 K24:K27 K32:L32 L5:L27 L29 M5:M13 M15:M27 M30:M31 N5:N7 N9:N17 N19:N29 N31 N33:Q33 O5:O8 O10:O11 O13:O27 O29:O30 P5 P7:P28 P31 Q6 Q8:Q24 Q26:Q29 R6:R27 R29:T29 S5:S7 S9:S19 S21:S27 S33:U33 T5 T7 T9:T23 T26:U27 U6:U7 U11:U18 U20:U24 U30:U31 U35 V5 V7 V9:V27 V29 W5:W17 W19:W27 W31 X5:Y27 X29 X33 Y29:Z30 Y33:Z34 Z5 Z7:Z25 Z27 AA5:AA13 AA15:AA30 AA32:AA34 AB5:AB9 AB12:AB27 AB29 AB31:AB34 AC5:AC13 AC15:AC29 AC32:AC34 AD5:AE33 AF5:AF12 AF14:AF33 AG5:AG14 AG16:AH27 AH5 AH7:AH14 AH29">
    <cfRule type="expression" priority="55" dxfId="136">
      <formula>WEEKDAY(#REF!,2)&gt;5</formula>
    </cfRule>
  </conditionalFormatting>
  <conditionalFormatting sqref="E27 F18:G18 F29 G5 G25 G27 H15 O23 P10 P25 T13 T19 T23 T29 U7 U12:W12 U33 U35 Z12 AA6 AA18 AA30 AB9 AB12 AB17">
    <cfRule type="expression" priority="33" dxfId="136">
      <formula>WEEKDAY(H$3,2)&gt;5</formula>
    </cfRule>
  </conditionalFormatting>
  <conditionalFormatting sqref="BP5:BQ35">
    <cfRule type="cellIs" priority="64" operator="lessThan" dxfId="155">
      <formula>1</formula>
    </cfRule>
  </conditionalFormatting>
  <conditionalFormatting sqref="C6:C14 C16 C18:C21 C24 C26:C27 D7 D15 D23 E7:E8 E10 E12:E13 E18:G18 E20:E21 E26:M27 F7:F10 F12:M12 F20 G6 G8:H9 G16 G20:G21 G33 H18:H20 I7 I15:J15 I18 I20:I21 J8:M8 J19:J20 J22 K10 K18 K20:O20 M30 N7 N26 N31 O25:O26 P26:R26 P29 S25:S26 T26 W25:Z25 AA22">
    <cfRule type="expression" priority="31" dxfId="136">
      <formula>WEEKDAY(#REF!,2)&gt;5</formula>
    </cfRule>
  </conditionalFormatting>
  <conditionalFormatting sqref="C12 C19 E27 F11 F15 F22 H15 T13 T19 T23 T29 U7 U12:W12 U33 Z12 AA6 AA30 AB9 AB17">
    <cfRule type="expression" priority="32" dxfId="136">
      <formula>WEEKDAY(AC$3,2)&gt;5</formula>
    </cfRule>
  </conditionalFormatting>
  <conditionalFormatting sqref="C8:C9 C12 C19 C24 E11:F11 F15 F22">
    <cfRule type="expression" priority="34" dxfId="136">
      <formula>WEEKDAY(E$3,2)&gt;5</formula>
    </cfRule>
  </conditionalFormatting>
  <conditionalFormatting sqref="O17 P10 Q33 S9">
    <cfRule type="expression" priority="10" dxfId="136">
      <formula>WEEKDAY(N$3,2)&gt;5</formula>
    </cfRule>
    <cfRule type="expression" priority="11" dxfId="136">
      <formula>WEEKDAY(M$3,2)&gt;5</formula>
    </cfRule>
  </conditionalFormatting>
  <dataValidations count="2">
    <dataValidation sqref="C6:D6 C7:C8 C9:D10 C12:O12 C13 C14:E14 C16:G16 C17:J17 C18:I18 C19:L19 C20:P20 C21:Q21 C22:H22 C23:D23 C24:H24 C25:D25 C26:W26 C27:C29 C30:O30 C31:F31 C33:N33 C34:D34 C35:L35 D5:M5 D11:M11 D15:O15 D32:F32 E7:G7 E8:M8 E13 E27:P27 E28:H29 F9:K9 F10 F23 F25:H25 G6 G14:K14 H10:K10 H13 H23:I23 I6:K7 I16 I31:J31 J13 J22:S22 J24:L24 J28:V28 J29:M29 J32:L32 J34:L34 K16:N16 K18 L13:V13 L17:M17 L25:AH25 L31:N31 M6:O6 M9:N9 M18 N7 N10 N14:Q14 N19:R19 N23:O23 N34:P35 O5 O8:R8 O11:R11 O17:Q17 O18:T18 O24:Q24 O29:V29 O32:Q32 P7 P10:T10 P16:AA16 P31 P33:Q33 Q6:R6 Q9 Q15:T15 Q23:R23 R12:Z12 R20 R27:X27 R30 R31:U31 S5 S7 S9:T9 S14 S17:AH17 S21 S24 S32:AE32 S35:AH35 T11 T19 T20:AH20 T23 T30:V30 T33:U33 T34:V34 U6:U8 U14:X14 U21:AH21 U22:Y22 U24:AA24 V5:W5 V9 V10:AA11 V15:AA15 V18:X18 V19:Z19 V23:AE23 W8:Y8 W31:AH31 X6:Y6 X7 X9 X28 X30:AA30 X33:AD33 X34 Y5:Z5 Y13 Y26 Y29:AD29 Z7:AA7 Z9 Z14:AA14 Z18:AH18 Z27:AB27 Z28:AA28 AA6 AA22:AB22 AA26:AH26 AB5 AB8:AC9 AB12:AD12 AB13:AE13 AC6:AD6 AC7 AC10:AE10 AC15:AH15 AC16:AD16 AC19:AH19 AC24:AH24 AC28:AH28 AD5:AE5 AD11:AE11 AD14 AD22:AF22 AD27:AH27 AD30:AE30 AD34:AH34 AE7 AE8:AH8 AF6 AF12:AH12 AF14:AH14 AF16:AH16 AF29 AF33 AG5:AH5 AG7:AH7 AG9:AH9 AG11:AH11 AG13:AH13 AG23:AH23 AG30:AH30 AG32:AH32 AH10 AH29" showDropDown="1" showInputMessage="0" showErrorMessage="0" allowBlank="1" type="list">
      <formula1>'Setting key Duty'!$B$7:$B$56</formula1>
    </dataValidation>
    <dataValidation sqref="C36:AH42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/>
    <pageSetUpPr fitToPage="1"/>
  </sheetPr>
  <dimension ref="A1:BQ47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9.24761904761905" customWidth="1" min="16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4"/>
    <col hidden="1" outlineLevel="1" width="9.38095238095238" customWidth="1" min="35" max="41"/>
    <col collapsed="1" width="6.75238095238095" customWidth="1" min="42" max="42"/>
    <col outlineLevel="1" width="8.87619047619048" customWidth="1" min="43" max="43"/>
    <col outlineLevel="1" width="7.87619047619048" customWidth="1" min="44" max="44"/>
    <col outlineLevel="1" width="9.133333333333329" customWidth="1" min="45" max="45"/>
    <col outlineLevel="1" width="8.24761904761905" customWidth="1" min="46" max="46"/>
    <col outlineLevel="1" width="5.5047619047619" customWidth="1" min="47" max="47"/>
    <col width="9.38095238095238" customWidth="1" min="48" max="50"/>
    <col outlineLevel="1" width="9.38095238095238" customWidth="1" min="51" max="58"/>
    <col outlineLevel="1" width="10" customWidth="1" min="59" max="59"/>
    <col outlineLevel="1" width="9.38095238095238" customWidth="1" min="60" max="65"/>
    <col width="9.38095238095238" customWidth="1" min="66" max="66"/>
    <col width="9.504761904761899" customWidth="1" min="67" max="67"/>
    <col width="9.38095238095238" customWidth="1" min="68" max="69"/>
  </cols>
  <sheetData>
    <row r="1" ht="3" customHeight="1">
      <c r="A1" s="408" t="n"/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0" t="n"/>
      <c r="BQ1" s="291" t="n"/>
    </row>
    <row r="2" ht="26.25" customHeight="1">
      <c r="A2" s="412" t="n"/>
      <c r="B2" s="24" t="inlineStr">
        <is>
          <t>Event Log</t>
        </is>
      </c>
      <c r="C2" s="167" t="n"/>
      <c r="D2" s="167" t="inlineStr">
        <is>
          <t>RAMADHAN STARTS</t>
        </is>
      </c>
      <c r="E2" s="167" t="n"/>
      <c r="F2" s="167" t="inlineStr">
        <is>
          <t>V VACC 1</t>
        </is>
      </c>
      <c r="G2" s="167" t="inlineStr">
        <is>
          <t>GX24</t>
        </is>
      </c>
      <c r="H2" s="167" t="inlineStr">
        <is>
          <t>GX24</t>
        </is>
      </c>
      <c r="I2" s="167" t="n"/>
      <c r="J2" s="167" t="inlineStr">
        <is>
          <t>GRADUATION</t>
        </is>
      </c>
      <c r="K2" s="167" t="n"/>
      <c r="L2" s="167" t="n"/>
      <c r="M2" s="167" t="n"/>
      <c r="N2" s="167" t="inlineStr">
        <is>
          <t>D VACC 1</t>
        </is>
      </c>
      <c r="O2" s="167" t="inlineStr">
        <is>
          <t>C VACC 1</t>
        </is>
      </c>
      <c r="P2" s="167" t="n"/>
      <c r="Q2" s="167" t="n"/>
      <c r="R2" s="167" t="n"/>
      <c r="S2" s="167" t="n"/>
      <c r="T2" s="167" t="n"/>
      <c r="U2" s="167" t="n"/>
      <c r="V2" s="167" t="n"/>
      <c r="W2" s="167" t="n"/>
      <c r="X2" s="167" t="n"/>
      <c r="Y2" s="167" t="n"/>
      <c r="Z2" s="167" t="n"/>
      <c r="AA2" s="294" t="n"/>
      <c r="AB2" s="167" t="n"/>
      <c r="AC2" s="167" t="n"/>
      <c r="AD2" s="167" t="inlineStr">
        <is>
          <t>W VACC 2</t>
        </is>
      </c>
      <c r="AE2" s="167" t="n"/>
      <c r="AF2" s="167" t="n"/>
      <c r="AG2" s="167" t="inlineStr">
        <is>
          <t>HARI RAYA</t>
        </is>
      </c>
      <c r="AH2" s="258" t="n"/>
      <c r="AI2" s="218" t="n"/>
      <c r="AJ2" s="218" t="n"/>
      <c r="AK2" s="218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6" t="inlineStr">
        <is>
          <t>0.3125+0.0625+0.5
long+stay+pass12</t>
        </is>
      </c>
      <c r="BB2" s="296" t="n"/>
      <c r="BC2" s="296" t="inlineStr">
        <is>
          <t>0.3125+0.125
Long hr+aft 1730</t>
        </is>
      </c>
      <c r="BD2" s="296" t="n"/>
      <c r="BE2" s="296" t="inlineStr">
        <is>
          <t>0.125+0.125+0.0625
Bef 0730+Aft1730+stay</t>
        </is>
      </c>
      <c r="BF2" s="296" t="n"/>
      <c r="BG2" s="296" t="n"/>
      <c r="BH2" s="296" t="inlineStr">
        <is>
          <t>0.125
after 1730</t>
        </is>
      </c>
      <c r="BI2" s="296" t="n"/>
      <c r="BJ2" s="296" t="inlineStr">
        <is>
          <t>stay in+ bef 0730</t>
        </is>
      </c>
      <c r="BK2" s="296" t="n"/>
      <c r="BL2" s="296" t="n"/>
      <c r="BM2" s="296" t="n"/>
      <c r="BN2" s="295" t="n"/>
      <c r="BO2" s="295" t="n"/>
      <c r="BP2" s="295" t="n"/>
      <c r="BQ2" s="297" t="n"/>
    </row>
    <row r="3" ht="26.25" customHeight="1">
      <c r="A3" s="412" t="n"/>
      <c r="B3" s="24" t="inlineStr">
        <is>
          <t>Rostering</t>
        </is>
      </c>
      <c r="C3" s="416" t="n">
        <v>45717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4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4">
        <f>S3+1</f>
        <v/>
      </c>
      <c r="U3" s="414">
        <f>T3+1</f>
        <v/>
      </c>
      <c r="V3" s="414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7">
        <f>AF3+1</f>
        <v/>
      </c>
      <c r="AH3" s="414">
        <f>AG3+1</f>
        <v/>
      </c>
      <c r="AI3" s="221">
        <f>'Setting key Duty'!$C7</f>
        <v/>
      </c>
      <c r="AJ3" s="222">
        <f>'Setting key Duty'!$C8</f>
        <v/>
      </c>
      <c r="AK3" s="223">
        <f>'Setting key Duty'!$C9</f>
        <v/>
      </c>
      <c r="AL3" s="302">
        <f>'Setting key Duty'!$C11</f>
        <v/>
      </c>
      <c r="AM3" s="302">
        <f>'Setting key Duty'!$C12</f>
        <v/>
      </c>
      <c r="AN3" s="302">
        <f>'Setting key Duty'!$C13</f>
        <v/>
      </c>
      <c r="AO3" s="302">
        <f>'Setting key Duty'!C14</f>
        <v/>
      </c>
      <c r="AP3" s="223" t="n"/>
      <c r="AQ3" s="223" t="inlineStr">
        <is>
          <t>Weekday Duty</t>
        </is>
      </c>
      <c r="AR3" s="223" t="inlineStr">
        <is>
          <t>Weekday Extra</t>
        </is>
      </c>
      <c r="AS3" s="223" t="inlineStr">
        <is>
          <t>Weekend Duty</t>
        </is>
      </c>
      <c r="AT3" s="223" t="inlineStr">
        <is>
          <t>Weekend Extra</t>
        </is>
      </c>
      <c r="AU3" s="223" t="inlineStr">
        <is>
          <t>Duty Point</t>
        </is>
      </c>
      <c r="AV3" s="223" t="inlineStr">
        <is>
          <t>Total Duty</t>
        </is>
      </c>
      <c r="AW3" s="223" t="inlineStr">
        <is>
          <t>Total Cover</t>
        </is>
      </c>
      <c r="AX3" s="223" t="inlineStr">
        <is>
          <t>Total Point</t>
        </is>
      </c>
      <c r="AY3" s="223" t="inlineStr">
        <is>
          <t>Total Cover
Point</t>
        </is>
      </c>
      <c r="AZ3" s="223" t="inlineStr">
        <is>
          <t>Bedok RT</t>
        </is>
      </c>
      <c r="BA3" s="302" t="inlineStr">
        <is>
          <t>BTP</t>
        </is>
      </c>
      <c r="BB3" s="302" t="inlineStr">
        <is>
          <t>$BTP
Point</t>
        </is>
      </c>
      <c r="BC3" s="302" t="inlineStr">
        <is>
          <t>Long Cover</t>
        </is>
      </c>
      <c r="BD3" s="302" t="inlineStr">
        <is>
          <t>$L
Point</t>
        </is>
      </c>
      <c r="BE3" s="302" t="inlineStr">
        <is>
          <t>Mid Cover</t>
        </is>
      </c>
      <c r="BF3" s="302" t="inlineStr">
        <is>
          <t>$M 
Point</t>
        </is>
      </c>
      <c r="BG3" s="302" t="inlineStr">
        <is>
          <t>Cover
 Normal Hour</t>
        </is>
      </c>
      <c r="BH3" s="302" t="inlineStr">
        <is>
          <t>Cover
After Hour</t>
        </is>
      </c>
      <c r="BI3" s="302" t="inlineStr">
        <is>
          <t>$PM
Point</t>
        </is>
      </c>
      <c r="BJ3" s="302" t="inlineStr">
        <is>
          <t>Cover
Early</t>
        </is>
      </c>
      <c r="BK3" s="302" t="inlineStr">
        <is>
          <t>$AM
Point</t>
        </is>
      </c>
      <c r="BL3" s="302">
        <f>'Setting key Duty'!C52</f>
        <v/>
      </c>
      <c r="BM3" s="302" t="inlineStr">
        <is>
          <t>$FC
Point</t>
        </is>
      </c>
      <c r="BN3" s="302">
        <f>'Setting key Duty'!$C15</f>
        <v/>
      </c>
      <c r="BO3" s="302">
        <f>'Setting key Duty'!C17</f>
        <v/>
      </c>
      <c r="BP3" s="302">
        <f>'Setting key Duty'!$C22</f>
        <v/>
      </c>
      <c r="BQ3" s="297" t="n"/>
    </row>
    <row r="4" ht="18" customHeight="1">
      <c r="A4" s="303" t="n"/>
      <c r="B4" s="260" t="inlineStr">
        <is>
          <t>Updated on: 26/10/2022</t>
        </is>
      </c>
      <c r="C4" s="415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5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5">
        <f>TEXT(T3,"ddd")</f>
        <v/>
      </c>
      <c r="U4" s="415">
        <f>TEXT(U3,"ddd")</f>
        <v/>
      </c>
      <c r="V4" s="415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8">
        <f>TEXT(AG3,"ddd")</f>
        <v/>
      </c>
      <c r="AH4" s="415">
        <f>TEXT(AH3,"ddd")</f>
        <v/>
      </c>
      <c r="AI4" s="227">
        <f>'Setting key Duty'!$B7</f>
        <v/>
      </c>
      <c r="AJ4" s="228">
        <f>'Setting key Duty'!$B8</f>
        <v/>
      </c>
      <c r="AK4" s="229">
        <f>'Setting key Duty'!$B9</f>
        <v/>
      </c>
      <c r="AL4" s="307">
        <f>'Setting key Duty'!$B11</f>
        <v/>
      </c>
      <c r="AM4" s="307">
        <f>'Setting key Duty'!$B12</f>
        <v/>
      </c>
      <c r="AN4" s="307">
        <f>'Setting key Duty'!$B13</f>
        <v/>
      </c>
      <c r="AO4" s="307">
        <f>'Setting key Duty'!B14</f>
        <v/>
      </c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inlineStr">
        <is>
          <t>BRT</t>
        </is>
      </c>
      <c r="BA4" s="307" t="inlineStr">
        <is>
          <t>$BTP</t>
        </is>
      </c>
      <c r="BB4" s="307" t="n"/>
      <c r="BC4" s="307" t="inlineStr">
        <is>
          <t>$L</t>
        </is>
      </c>
      <c r="BD4" s="307" t="n"/>
      <c r="BE4" s="307" t="inlineStr">
        <is>
          <t>$M</t>
        </is>
      </c>
      <c r="BF4" s="307" t="n"/>
      <c r="BG4" s="307" t="inlineStr">
        <is>
          <t>$N</t>
        </is>
      </c>
      <c r="BH4" s="307" t="inlineStr">
        <is>
          <t>$PM</t>
        </is>
      </c>
      <c r="BI4" s="307" t="n"/>
      <c r="BJ4" s="307" t="inlineStr">
        <is>
          <t>$AM</t>
        </is>
      </c>
      <c r="BK4" s="307" t="n"/>
      <c r="BL4" s="307">
        <f>'Setting key Duty'!B52</f>
        <v/>
      </c>
      <c r="BM4" s="307" t="n"/>
      <c r="BN4" s="307">
        <f>'Setting key Duty'!$B15</f>
        <v/>
      </c>
      <c r="BO4" s="307">
        <f>'Setting key Duty'!B17</f>
        <v/>
      </c>
      <c r="BP4" s="307">
        <f>'Setting key Duty'!$B22</f>
        <v/>
      </c>
      <c r="BQ4" s="308" t="n"/>
    </row>
    <row r="5" ht="19.5" customHeight="1">
      <c r="A5" s="309" t="n"/>
      <c r="B5" s="373" t="inlineStr">
        <is>
          <t>PTE MUHAMAD LUTFIL AL-HADI</t>
        </is>
      </c>
      <c r="D5" s="197" t="n"/>
      <c r="E5" s="197" t="n"/>
      <c r="F5" s="197" t="n"/>
      <c r="G5" s="324" t="inlineStr">
        <is>
          <t>AE</t>
        </is>
      </c>
      <c r="I5" s="197" t="inlineStr">
        <is>
          <t>MA</t>
        </is>
      </c>
      <c r="J5" s="385" t="n"/>
      <c r="K5" s="317" t="inlineStr">
        <is>
          <t>CS2</t>
        </is>
      </c>
      <c r="L5" s="386" t="n"/>
      <c r="M5" s="317" t="n"/>
      <c r="P5" s="197" t="n"/>
      <c r="Q5" s="197" t="n"/>
      <c r="R5" s="197" t="n"/>
      <c r="T5" s="197" t="inlineStr">
        <is>
          <t>CS2</t>
        </is>
      </c>
      <c r="W5" s="197" t="inlineStr">
        <is>
          <t>USS</t>
        </is>
      </c>
      <c r="X5" s="197" t="n"/>
      <c r="Y5" s="197" t="n"/>
      <c r="Z5" s="197" t="n"/>
      <c r="AA5" s="382" t="inlineStr">
        <is>
          <t>RESERVE</t>
        </is>
      </c>
      <c r="AB5" s="197" t="n"/>
      <c r="AC5" s="106" t="n"/>
      <c r="AD5" s="197" t="inlineStr">
        <is>
          <t>CS1</t>
        </is>
      </c>
      <c r="AF5" s="106" t="n"/>
      <c r="AG5" s="196" t="n"/>
      <c r="AH5" s="196" t="n"/>
      <c r="AI5" s="311" t="n"/>
      <c r="AJ5" s="312" t="n"/>
      <c r="AK5" s="311" t="n"/>
      <c r="AL5" s="313" t="n"/>
      <c r="AM5" s="313" t="n"/>
      <c r="AN5" s="313" t="n"/>
      <c r="AO5" s="313" t="n"/>
      <c r="AP5" s="238" t="n"/>
      <c r="AQ5" s="313">
        <f>SUMPRODUCT(--WEEKDAY(C$3:AG$3,2)&lt;6,--((C5:AG5="DM"))+(C5:AG5="CS1")+((C5:AG5="CS2"))+(C5:AG5="SB1")+(C5:AG5="AE")+(C5:AG5="EM"))</f>
        <v/>
      </c>
      <c r="AR5" s="238" t="n"/>
      <c r="AS5" s="238">
        <f>SUMPRODUCT(--WEEKDAY(C$3:AG$3,2)&gt;5,--((C5:AG5="DM"))+(C5:AG5="CS1")+((C5:AG5="CS2"))+(C5:AG5="SB1")+(C5:AG5="AE")+(C5:AG5="EM"))</f>
        <v/>
      </c>
      <c r="AT5" s="238" t="n"/>
      <c r="AU5" s="238">
        <f>(AQ5-AR5)/2+(AS5-AT5)</f>
        <v/>
      </c>
      <c r="AV5" s="238">
        <f>AI5+AJ5+AK5+AL5+AN5+AO5</f>
        <v/>
      </c>
      <c r="AW5" s="238">
        <f>BG5+BH5+BJ5+BE5+BC5+BA5+BL5</f>
        <v/>
      </c>
      <c r="AX5" s="238">
        <f>AU5+$AY$10</f>
        <v/>
      </c>
      <c r="AY5" s="313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/>
      </c>
      <c r="AZ5" s="313">
        <f>COUNTIF(D5:AA5,"*BRT*")</f>
        <v/>
      </c>
      <c r="BA5" s="313">
        <f>COUNTIF(A5:AI5,"*$BTP*")</f>
        <v/>
      </c>
      <c r="BB5" s="313">
        <f>BA5*('Setting key Duty'!$I$13+'Setting key Duty'!$I$12+'Setting key Duty'!$I$11)</f>
        <v/>
      </c>
      <c r="BC5" s="313">
        <f>COUNTIF(A5:AI5,"*$L*")</f>
        <v/>
      </c>
      <c r="BD5" s="313">
        <f>BC5*('Setting key Duty'!$I$13+'Setting key Duty'!$I$9)</f>
        <v/>
      </c>
      <c r="BE5" s="313">
        <f>COUNTIF(A5:AI5,"*$M*")</f>
        <v/>
      </c>
      <c r="BF5" s="313">
        <f>BE5*('Setting key Duty'!$I$8+'Setting key Duty'!$I$9+'Setting key Duty'!$I$12)</f>
        <v/>
      </c>
      <c r="BG5" s="313">
        <f>COUNTIF(AI5,"*$N*")</f>
        <v/>
      </c>
      <c r="BH5" s="313">
        <f>COUNTIF(AI5,"*$PM*")</f>
        <v/>
      </c>
      <c r="BI5" s="313">
        <f>BH5*('Setting key Duty'!$I$9)</f>
        <v/>
      </c>
      <c r="BJ5" s="313">
        <f>COUNTIF(A5:AI5,"*$AM*")</f>
        <v/>
      </c>
      <c r="BK5" s="313">
        <f>BJ5*('Setting key Duty'!$I$12+'Setting key Duty'!$I$8)</f>
        <v/>
      </c>
      <c r="BL5" s="313">
        <f>COUNTIF(D5:AI5,"*$FC*")</f>
        <v/>
      </c>
      <c r="BM5" s="313">
        <f>BL5*('Setting key Duty'!$J$11+'Setting key Duty'!$I$8)</f>
        <v/>
      </c>
      <c r="BN5" s="313">
        <f>COUNTIF($D5:$AA5,BN$4)</f>
        <v/>
      </c>
      <c r="BO5" s="313">
        <f>COUNTIF($D5:$AA5,BO$4)</f>
        <v/>
      </c>
      <c r="BP5" s="313">
        <f>COUNTIF($D5:$AA5,BP$4)</f>
        <v/>
      </c>
      <c r="BQ5" s="314" t="n"/>
    </row>
    <row r="6" ht="36" customHeight="1">
      <c r="A6" s="309" t="n"/>
      <c r="B6" s="374" t="inlineStr">
        <is>
          <t>CPL MUHAMMAD IZZAN RIZAL</t>
        </is>
      </c>
      <c r="C6" s="197" t="n"/>
      <c r="D6" s="197" t="inlineStr">
        <is>
          <t>SB1</t>
        </is>
      </c>
      <c r="F6" s="197" t="inlineStr">
        <is>
          <t>CAREER FAIR</t>
        </is>
      </c>
      <c r="H6" s="197" t="inlineStr">
        <is>
          <t>SB1</t>
        </is>
      </c>
      <c r="I6" s="197" t="n"/>
      <c r="J6" s="197" t="inlineStr">
        <is>
          <t>CS2</t>
        </is>
      </c>
      <c r="K6" s="321" t="inlineStr">
        <is>
          <t>DENTAL</t>
        </is>
      </c>
      <c r="L6" s="106" t="n"/>
      <c r="M6" s="382" t="inlineStr">
        <is>
          <t>RESERVE</t>
        </is>
      </c>
      <c r="N6" s="197" t="n"/>
      <c r="O6" s="317" t="n"/>
      <c r="P6" s="106" t="n"/>
      <c r="Q6" s="197" t="inlineStr">
        <is>
          <t>CS2</t>
        </is>
      </c>
      <c r="R6" s="197" t="n"/>
      <c r="S6" s="197" t="n"/>
      <c r="T6" s="197" t="inlineStr">
        <is>
          <t>CS1</t>
        </is>
      </c>
      <c r="V6" s="317" t="inlineStr">
        <is>
          <t>DENTAL</t>
        </is>
      </c>
      <c r="W6" s="197" t="inlineStr">
        <is>
          <t>MC</t>
        </is>
      </c>
      <c r="X6" s="197" t="inlineStr">
        <is>
          <t>DENTAL</t>
        </is>
      </c>
      <c r="Y6" s="197" t="inlineStr">
        <is>
          <t>DENTAL</t>
        </is>
      </c>
      <c r="Z6" s="382" t="inlineStr">
        <is>
          <t>RESERVE</t>
        </is>
      </c>
      <c r="AA6" s="197" t="n"/>
      <c r="AB6" s="197" t="inlineStr">
        <is>
          <t>DM</t>
        </is>
      </c>
      <c r="AD6" s="197" t="inlineStr">
        <is>
          <t>DENTAL</t>
        </is>
      </c>
      <c r="AF6" s="106" t="n"/>
      <c r="AG6" s="196" t="n"/>
      <c r="AH6" s="106" t="n"/>
      <c r="AI6" s="311">
        <f>COUNTIF($D6:$AE6,AI$4)</f>
        <v/>
      </c>
      <c r="AJ6" s="312">
        <f>COUNTIF($D6:$AE6,AJ$4)</f>
        <v/>
      </c>
      <c r="AK6" s="311">
        <f>COUNTIF($D6:$AE6,AK$4)</f>
        <v/>
      </c>
      <c r="AL6" s="313">
        <f>COUNTIF($D6:$AE6,AL$4)</f>
        <v/>
      </c>
      <c r="AM6" s="313">
        <f>COUNTIF($D6:$AE6,AM$4)</f>
        <v/>
      </c>
      <c r="AN6" s="313">
        <f>COUNTIF($D6:$AE6,AN$4)</f>
        <v/>
      </c>
      <c r="AO6" s="313">
        <f>COUNTIF($D6:$AE6,AO$4)</f>
        <v/>
      </c>
      <c r="AP6" s="238" t="n"/>
      <c r="AQ6" s="313">
        <f>SUMPRODUCT(--WEEKDAY(C$3:AG$3,2)&lt;6,--((C6:AG6="DM"))+(C6:AG6="CS1")+((C6:AG6="CS2"))+(C6:AG6="SB1")+(C6:AG6="AE")+(C6:AG6="EM"))</f>
        <v/>
      </c>
      <c r="AR6" s="238" t="n"/>
      <c r="AS6" s="238">
        <f>SUMPRODUCT(--WEEKDAY(C$3:AG$3,2)&gt;5,--((C6:AG6="DM"))+(C6:AG6="CS1")+((C6:AG6="CS2"))+(C6:AG6="SB1")+(C6:AG6="AE")+(C6:AG6="EM"))</f>
        <v/>
      </c>
      <c r="AT6" s="238" t="n"/>
      <c r="AU6" s="238">
        <f>(AQ6-AR6)/2+(AS6-AT6)</f>
        <v/>
      </c>
      <c r="AV6" s="238">
        <f>AI6+AJ6+AK6+AL6+AN6+AO6</f>
        <v/>
      </c>
      <c r="AW6" s="238">
        <f>AU6+AY6</f>
        <v/>
      </c>
      <c r="AX6" s="238">
        <f>AU6+AY6</f>
        <v/>
      </c>
      <c r="AY6" s="313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/>
      </c>
      <c r="AZ6" s="313">
        <f>COUNTIF(D6:AE6,"*BRT*")</f>
        <v/>
      </c>
      <c r="BA6" s="313">
        <f>COUNTIF(A6:AI6,"*$BTP*")</f>
        <v/>
      </c>
      <c r="BB6" s="313">
        <f>BA6*('Setting key Duty'!$I$13+'Setting key Duty'!$I$12+'Setting key Duty'!$I$11)</f>
        <v/>
      </c>
      <c r="BC6" s="313">
        <f>COUNTIF(A6:AI6,"*$L*")</f>
        <v/>
      </c>
      <c r="BD6" s="313">
        <f>BC6*('Setting key Duty'!$I$13+'Setting key Duty'!$I$9)</f>
        <v/>
      </c>
      <c r="BE6" s="313">
        <f>COUNTIF(A6:AI6,"*$M*")</f>
        <v/>
      </c>
      <c r="BF6" s="313">
        <f>BE6*('Setting key Duty'!$I$8+'Setting key Duty'!$I$9+'Setting key Duty'!$I$12)</f>
        <v/>
      </c>
      <c r="BG6" s="313">
        <f>COUNTIF(AE6:AI6,"*$N*")</f>
        <v/>
      </c>
      <c r="BH6" s="313">
        <f>COUNTIF(AE6:AI6,"*$PM*")</f>
        <v/>
      </c>
      <c r="BI6" s="313">
        <f>BH6*('Setting key Duty'!$I$9)</f>
        <v/>
      </c>
      <c r="BJ6" s="313">
        <f>COUNTIF(A6:AI6,"*$AM*")</f>
        <v/>
      </c>
      <c r="BK6" s="313">
        <f>BJ6*('Setting key Duty'!$I$12+'Setting key Duty'!$I$8)</f>
        <v/>
      </c>
      <c r="BL6" s="313">
        <f>COUNTIF(D6:AI6,"*$FC*")</f>
        <v/>
      </c>
      <c r="BM6" s="313">
        <f>BL6*('Setting key Duty'!$J$11+'Setting key Duty'!$I$8)</f>
        <v/>
      </c>
      <c r="BN6" s="313">
        <f>COUNTIF($D6:$AE6,BN$4)</f>
        <v/>
      </c>
      <c r="BO6" s="313">
        <f>COUNTIF($D6:$AE6,BO$4)</f>
        <v/>
      </c>
      <c r="BP6" s="313">
        <f>COUNTIF($D6:$AE6,BP$4)</f>
        <v/>
      </c>
      <c r="BQ6" s="314" t="n"/>
    </row>
    <row r="7" ht="19.5" customHeight="1">
      <c r="A7" s="309" t="n"/>
      <c r="B7" s="322" t="inlineStr">
        <is>
          <t>CPL KARTHIKRAM KRISHNAN</t>
        </is>
      </c>
      <c r="D7" s="197" t="inlineStr">
        <is>
          <t>DM</t>
        </is>
      </c>
      <c r="E7" s="197" t="n"/>
      <c r="F7" s="197" t="inlineStr">
        <is>
          <t>CAREER FAIR</t>
        </is>
      </c>
      <c r="G7" s="317" t="inlineStr">
        <is>
          <t>SB1</t>
        </is>
      </c>
      <c r="H7" s="317" t="n"/>
      <c r="J7" s="197" t="n"/>
      <c r="K7" s="197" t="inlineStr">
        <is>
          <t>DM</t>
        </is>
      </c>
      <c r="L7" s="106" t="n"/>
      <c r="M7" s="197" t="n"/>
      <c r="N7" s="197" t="n"/>
      <c r="O7" s="382" t="inlineStr">
        <is>
          <t>RESERVE</t>
        </is>
      </c>
      <c r="P7" s="197" t="n"/>
      <c r="Q7" s="197" t="inlineStr">
        <is>
          <t>DM</t>
        </is>
      </c>
      <c r="S7" s="197" t="n"/>
      <c r="T7" s="382" t="inlineStr">
        <is>
          <t>RESERVE</t>
        </is>
      </c>
      <c r="U7" s="197" t="n"/>
      <c r="V7" s="197" t="inlineStr">
        <is>
          <t>USS</t>
        </is>
      </c>
      <c r="W7" s="197" t="n"/>
      <c r="X7" s="197" t="inlineStr">
        <is>
          <t>DM</t>
        </is>
      </c>
      <c r="Z7" s="197" t="n"/>
      <c r="AA7" s="197" t="inlineStr">
        <is>
          <t>DM</t>
        </is>
      </c>
      <c r="AB7" s="197" t="inlineStr">
        <is>
          <t>MC</t>
        </is>
      </c>
      <c r="AC7" s="197" t="inlineStr">
        <is>
          <t>MC</t>
        </is>
      </c>
      <c r="AD7" s="197" t="n"/>
      <c r="AE7" s="197" t="inlineStr">
        <is>
          <t>OL</t>
        </is>
      </c>
      <c r="AF7" s="197" t="inlineStr">
        <is>
          <t>OL</t>
        </is>
      </c>
      <c r="AG7" s="197" t="inlineStr">
        <is>
          <t>OL</t>
        </is>
      </c>
      <c r="AH7" s="197" t="inlineStr">
        <is>
          <t>CNY OFF</t>
        </is>
      </c>
      <c r="AI7" s="311">
        <f>COUNTIF(#REF!,AI$4)</f>
        <v/>
      </c>
      <c r="AJ7" s="312">
        <f>COUNTIF(#REF!,AJ$4)</f>
        <v/>
      </c>
      <c r="AK7" s="311">
        <f>COUNTIF(#REF!,AK$4)</f>
        <v/>
      </c>
      <c r="AL7" s="313">
        <f>COUNTIF(#REF!,AL$4)</f>
        <v/>
      </c>
      <c r="AM7" s="313">
        <f>COUNTIF(#REF!,AM$4)</f>
        <v/>
      </c>
      <c r="AN7" s="313">
        <f>COUNTIF(#REF!,AN$4)</f>
        <v/>
      </c>
      <c r="AO7" s="313">
        <f>COUNTIF(#REF!,AO$4)</f>
        <v/>
      </c>
      <c r="AP7" s="238" t="n"/>
      <c r="AQ7" s="313">
        <f>SUMPRODUCT(--WEEKDAY(C$3:AG$3,2)&lt;6,--((C7:AG7="DM"))+(C7:AG7="CS1")+((C7:AG7="CS2"))+(C7:AG7="SB1")+(C7:AG7="AE")+(C7:AG7="EM"))</f>
        <v/>
      </c>
      <c r="AR7" s="238" t="n"/>
      <c r="AS7" s="238">
        <f>SUMPRODUCT(--WEEKDAY(C$3:AG$3,2)&gt;5,--((C7:AG7="DM"))+(C7:AG7="CS1")+((C7:AG7="CS2"))+(C7:AG7="SB1")+(C7:AG7="AE")+(C7:AG7="EM"))</f>
        <v/>
      </c>
      <c r="AT7" s="238" t="n"/>
      <c r="AU7" s="238">
        <f>(AQ7-AR7)/2+(AS7-AT7)</f>
        <v/>
      </c>
      <c r="AV7" s="238">
        <f>AI7+AJ7+AK7+AL7+AN7+AO7</f>
        <v/>
      </c>
      <c r="AW7" s="238">
        <f>BG7+BH7+BJ7+BE7+BC7+BA7+BL7</f>
        <v/>
      </c>
      <c r="AX7" s="238">
        <f>AU7+AY7</f>
        <v/>
      </c>
      <c r="AY7" s="313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/>
      </c>
      <c r="AZ7" s="313">
        <f>COUNTIF(#REF!,"*BRT*")</f>
        <v/>
      </c>
      <c r="BA7" s="313">
        <f>COUNTIF(A7:AI7,"*$BTP*")</f>
        <v/>
      </c>
      <c r="BB7" s="313">
        <f>BA7*('Setting key Duty'!$I$13+'Setting key Duty'!$I$12+'Setting key Duty'!$I$11)</f>
        <v/>
      </c>
      <c r="BC7" s="313">
        <f>COUNTIF(A7:AI7,"*$L*")</f>
        <v/>
      </c>
      <c r="BD7" s="313">
        <f>BC7*('Setting key Duty'!$I$13+'Setting key Duty'!$I$9)</f>
        <v/>
      </c>
      <c r="BE7" s="313">
        <f>COUNTIF(A7:AI7,"*$M*")</f>
        <v/>
      </c>
      <c r="BF7" s="313">
        <f>BE7*('Setting key Duty'!$I$8+'Setting key Duty'!$I$9+'Setting key Duty'!$I$12)</f>
        <v/>
      </c>
      <c r="BG7" s="313">
        <f>COUNTIF(A7:AI7,"*$N*")</f>
        <v/>
      </c>
      <c r="BH7" s="313">
        <f>COUNTIF(AG7:AI7,"*$PM*")</f>
        <v/>
      </c>
      <c r="BI7" s="313">
        <f>BH7*('Setting key Duty'!$I$9)</f>
        <v/>
      </c>
      <c r="BJ7" s="313">
        <f>COUNTIF(A7:AI7,"*$AM*")</f>
        <v/>
      </c>
      <c r="BK7" s="313">
        <f>BJ7*('Setting key Duty'!$I$12+'Setting key Duty'!$I$8)</f>
        <v/>
      </c>
      <c r="BL7" s="313">
        <f>COUNTIF(D7:AI7,"*$FC*")</f>
        <v/>
      </c>
      <c r="BM7" s="313">
        <f>BL7*('Setting key Duty'!$J$11+'Setting key Duty'!$I$8)</f>
        <v/>
      </c>
      <c r="BN7" s="313">
        <f>COUNTIF(#REF!,BN$4)</f>
        <v/>
      </c>
      <c r="BO7" s="313">
        <f>COUNTIF(#REF!,BO$4)</f>
        <v/>
      </c>
      <c r="BP7" s="313">
        <f>COUNTIF(#REF!,BP$4)</f>
        <v/>
      </c>
      <c r="BQ7" s="314" t="n"/>
    </row>
    <row r="8" ht="19.5" customHeight="1">
      <c r="A8" s="309" t="n"/>
      <c r="B8" s="334" t="inlineStr">
        <is>
          <t>CPL MUHAMMAD AQIL BIN ABDULLAH</t>
        </is>
      </c>
      <c r="C8" s="197" t="inlineStr">
        <is>
          <t>DM</t>
        </is>
      </c>
      <c r="E8" s="197" t="n"/>
      <c r="F8" s="197" t="n"/>
      <c r="G8" s="197" t="inlineStr">
        <is>
          <t>CS2</t>
        </is>
      </c>
      <c r="H8" s="197" t="n"/>
      <c r="I8" s="197" t="n"/>
      <c r="J8" s="197" t="inlineStr">
        <is>
          <t>GP</t>
        </is>
      </c>
      <c r="K8" s="321" t="inlineStr">
        <is>
          <t>GP</t>
        </is>
      </c>
      <c r="L8" s="197" t="n"/>
      <c r="M8" s="382" t="inlineStr">
        <is>
          <t>RESERVE</t>
        </is>
      </c>
      <c r="O8" s="317" t="n"/>
      <c r="P8" s="197" t="n"/>
      <c r="Q8" s="197" t="n"/>
      <c r="R8" s="197" t="inlineStr">
        <is>
          <t>CS2</t>
        </is>
      </c>
      <c r="S8" s="106" t="n"/>
      <c r="T8" s="106" t="n"/>
      <c r="U8" s="317" t="n"/>
      <c r="W8" s="197" t="n"/>
      <c r="X8" s="197" t="inlineStr">
        <is>
          <t>CS2</t>
        </is>
      </c>
      <c r="AB8" s="197" t="inlineStr">
        <is>
          <t>CS1</t>
        </is>
      </c>
      <c r="AC8" s="197" t="n"/>
      <c r="AD8" s="197" t="n"/>
      <c r="AE8" s="197" t="n"/>
      <c r="AF8" s="197" t="n"/>
      <c r="AG8" s="196" t="n"/>
      <c r="AH8" s="197" t="n"/>
      <c r="AI8" s="311" t="n"/>
      <c r="AJ8" s="312" t="n"/>
      <c r="AK8" s="311" t="n"/>
      <c r="AL8" s="313" t="n"/>
      <c r="AM8" s="313" t="n"/>
      <c r="AN8" s="313" t="n"/>
      <c r="AO8" s="313" t="n"/>
      <c r="AP8" s="238" t="n"/>
      <c r="AQ8" s="313">
        <f>SUMPRODUCT(--WEEKDAY(C$3:AG$3,2)&lt;6,--((C8:AG8="DM"))+(C8:AG8="CS1")+((C8:AG8="CS2"))+(C8:AG8="SB1")+(C8:AG8="AE")+(C8:AG8="EM"))</f>
        <v/>
      </c>
      <c r="AR8" s="238" t="n"/>
      <c r="AS8" s="238">
        <f>SUMPRODUCT(--WEEKDAY(C$3:AG$3,2)&gt;5,--((C8:AG8="DM"))+(C8:AG8="CS1")+((C8:AG8="CS2"))+(C8:AG8="SB1")+(C8:AG8="AE")+(C8:AG8="EM"))</f>
        <v/>
      </c>
      <c r="AT8" s="238" t="n"/>
      <c r="AU8" s="238" t="n"/>
      <c r="AV8" s="238" t="n"/>
      <c r="AW8" s="238" t="n"/>
      <c r="AX8" s="238" t="n"/>
      <c r="AY8" s="313" t="n"/>
      <c r="AZ8" s="313" t="n"/>
      <c r="BA8" s="313" t="n"/>
      <c r="BB8" s="313" t="n"/>
      <c r="BC8" s="313" t="n"/>
      <c r="BD8" s="313" t="n"/>
      <c r="BE8" s="313" t="n"/>
      <c r="BF8" s="313" t="n"/>
      <c r="BG8" s="313" t="n"/>
      <c r="BH8" s="313" t="n"/>
      <c r="BI8" s="313" t="n"/>
      <c r="BJ8" s="313" t="n"/>
      <c r="BK8" s="313" t="n"/>
      <c r="BL8" s="313" t="n"/>
      <c r="BM8" s="313" t="n"/>
      <c r="BN8" s="313" t="n"/>
      <c r="BO8" s="313" t="n"/>
      <c r="BP8" s="313" t="n"/>
      <c r="BQ8" s="314" t="n"/>
    </row>
    <row r="9" ht="19.5" customHeight="1">
      <c r="A9" s="309" t="n"/>
      <c r="B9" s="327" t="inlineStr">
        <is>
          <t>CPL FARABI BIN ZULKIFLI</t>
        </is>
      </c>
      <c r="C9" s="197" t="n"/>
      <c r="D9" s="197" t="n"/>
      <c r="E9" s="197" t="inlineStr">
        <is>
          <t>CAREER FAIR</t>
        </is>
      </c>
      <c r="F9" s="317" t="n"/>
      <c r="G9" s="317" t="inlineStr">
        <is>
          <t>CS1</t>
        </is>
      </c>
      <c r="I9" s="197" t="n"/>
      <c r="J9" s="324" t="n"/>
      <c r="K9" s="383" t="inlineStr">
        <is>
          <t>CS1</t>
        </is>
      </c>
      <c r="L9" s="106" t="n"/>
      <c r="M9" s="197" t="n"/>
      <c r="N9" s="197" t="inlineStr">
        <is>
          <t>CS2</t>
        </is>
      </c>
      <c r="O9" s="106" t="n"/>
      <c r="P9" s="197" t="inlineStr">
        <is>
          <t>PMOFF</t>
        </is>
      </c>
      <c r="Q9" s="197" t="n"/>
      <c r="R9" s="106" t="n"/>
      <c r="S9" s="197" t="inlineStr">
        <is>
          <t>DM</t>
        </is>
      </c>
      <c r="U9" s="382" t="inlineStr">
        <is>
          <t>RESERVE</t>
        </is>
      </c>
      <c r="V9" s="197" t="inlineStr">
        <is>
          <t>CS1</t>
        </is>
      </c>
      <c r="W9" s="197" t="n"/>
      <c r="X9" s="382" t="inlineStr">
        <is>
          <t>RESERVE</t>
        </is>
      </c>
      <c r="Y9" s="197" t="n"/>
      <c r="Z9" s="106" t="n"/>
      <c r="AA9" s="197" t="n"/>
      <c r="AB9" s="106" t="n"/>
      <c r="AC9" s="197" t="n"/>
      <c r="AD9" s="197" t="inlineStr">
        <is>
          <t>PM OFF</t>
        </is>
      </c>
      <c r="AE9" s="197" t="n"/>
      <c r="AF9" s="197" t="n"/>
      <c r="AG9" s="196" t="n"/>
      <c r="AH9" s="197" t="n"/>
      <c r="AI9" s="311" t="n"/>
      <c r="AJ9" s="312" t="n"/>
      <c r="AK9" s="311" t="n"/>
      <c r="AL9" s="313" t="n"/>
      <c r="AM9" s="313" t="n"/>
      <c r="AN9" s="313" t="n"/>
      <c r="AO9" s="313" t="n"/>
      <c r="AP9" s="238" t="n"/>
      <c r="AQ9" s="313">
        <f>SUMPRODUCT(--WEEKDAY(C$3:AG$3,2)&lt;6,--((C9:AG9="DM"))+(C9:AG9="CS1")+((C9:AG9="CS2"))+(C9:AG9="SB1")+(C9:AG9="AE")+(C9:AG9="EM"))</f>
        <v/>
      </c>
      <c r="AR9" s="238" t="n"/>
      <c r="AS9" s="238">
        <f>SUMPRODUCT(--WEEKDAY(C$3:AG$3,2)&gt;5,--((C9:AG9="DM"))+(C9:AG9="CS1")+((C9:AG9="CS2"))+(C9:AG9="SB1")+(C9:AG9="AE")+(C9:AG9="EM"))</f>
        <v/>
      </c>
      <c r="AT9" s="238" t="n"/>
      <c r="AU9" s="238">
        <f>(AQ9-AR9)/2+(AS9-AT9)</f>
        <v/>
      </c>
      <c r="AV9" s="238">
        <f>AI9+AJ9+AK9+AL9+AN9+AO9</f>
        <v/>
      </c>
      <c r="AW9" s="238">
        <f>BG9+BH9+BJ9+BE9+BC9+BA9+BL9</f>
        <v/>
      </c>
      <c r="AX9" s="238">
        <f>AU9+AY9</f>
        <v/>
      </c>
      <c r="AY9" s="313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/>
      </c>
      <c r="AZ9" s="313">
        <f>COUNTIF(D9:Z9,"*BRT*")</f>
        <v/>
      </c>
      <c r="BA9" s="313">
        <f>COUNTIF(A9:AI9,"*$BTP*")</f>
        <v/>
      </c>
      <c r="BB9" s="313">
        <f>BA9*('Setting key Duty'!$I$13+'Setting key Duty'!$I$12+'Setting key Duty'!$I$11)</f>
        <v/>
      </c>
      <c r="BC9" s="313">
        <f>COUNTIF(A9:AI9,"*$L*")</f>
        <v/>
      </c>
      <c r="BD9" s="313">
        <f>BC9*('Setting key Duty'!$I$13+'Setting key Duty'!$I$9)</f>
        <v/>
      </c>
      <c r="BE9" s="313">
        <f>COUNTIF(A9:AI9,"*$M*")</f>
        <v/>
      </c>
      <c r="BF9" s="313">
        <f>BE9*('Setting key Duty'!$I$8+'Setting key Duty'!$I$9+'Setting key Duty'!$I$12)</f>
        <v/>
      </c>
      <c r="BG9" s="313">
        <f>COUNTIF(AI9,"*$N*")</f>
        <v/>
      </c>
      <c r="BH9" s="313">
        <f>COUNTIF(AI9,"*$PM*")</f>
        <v/>
      </c>
      <c r="BI9" s="313">
        <f>BH9*('Setting key Duty'!$I$9)</f>
        <v/>
      </c>
      <c r="BJ9" s="313">
        <f>COUNTIF(A9:AI9,"*$AM*")</f>
        <v/>
      </c>
      <c r="BK9" s="313">
        <f>BJ9*('Setting key Duty'!$I$12+'Setting key Duty'!$I$8)</f>
        <v/>
      </c>
      <c r="BL9" s="313">
        <f>COUNTIF(D9:AI9,"*$FC*")</f>
        <v/>
      </c>
      <c r="BM9" s="313">
        <f>BL9*('Setting key Duty'!$J$11+'Setting key Duty'!$I$8)</f>
        <v/>
      </c>
      <c r="BN9" s="313">
        <f>COUNTIF($D9:$Z9,BN$4)</f>
        <v/>
      </c>
      <c r="BO9" s="313">
        <f>COUNTIF($D9:$Z9,BO$4)</f>
        <v/>
      </c>
      <c r="BP9" s="313">
        <f>COUNTIF($D9:$Z9,BP$4)</f>
        <v/>
      </c>
      <c r="BQ9" s="314" t="n"/>
    </row>
    <row r="10" ht="19.5" customHeight="1">
      <c r="A10" s="309" t="n"/>
      <c r="B10" s="328" t="inlineStr">
        <is>
          <t>LCP MUHAMMAD AQIL HAMZAH BIN SYELDRICK</t>
        </is>
      </c>
      <c r="C10" s="197" t="n"/>
      <c r="D10" s="197" t="n"/>
      <c r="E10" s="197" t="inlineStr">
        <is>
          <t>CS1</t>
        </is>
      </c>
      <c r="F10" s="317" t="n"/>
      <c r="G10" s="324" t="inlineStr">
        <is>
          <t>DM</t>
        </is>
      </c>
      <c r="I10" s="197" t="inlineStr">
        <is>
          <t>CS1</t>
        </is>
      </c>
      <c r="J10" s="197" t="n"/>
      <c r="K10" s="321" t="n"/>
      <c r="L10" s="106" t="n"/>
      <c r="M10" s="383" t="inlineStr">
        <is>
          <t>CS1</t>
        </is>
      </c>
      <c r="N10" s="197" t="n"/>
      <c r="O10" s="382" t="inlineStr">
        <is>
          <t>RESERVE</t>
        </is>
      </c>
      <c r="R10" s="382" t="inlineStr">
        <is>
          <t>RESERVE</t>
        </is>
      </c>
      <c r="S10" s="197" t="inlineStr">
        <is>
          <t>CS2</t>
        </is>
      </c>
      <c r="U10" s="197" t="n"/>
      <c r="V10" s="197" t="n"/>
      <c r="W10" s="197" t="n"/>
      <c r="X10" s="197" t="n"/>
      <c r="Y10" s="197" t="n"/>
      <c r="Z10" s="197" t="inlineStr">
        <is>
          <t>CS2</t>
        </is>
      </c>
      <c r="AA10" s="197" t="n"/>
      <c r="AC10" s="197" t="inlineStr">
        <is>
          <t>OL</t>
        </is>
      </c>
      <c r="AD10" s="197" t="inlineStr">
        <is>
          <t>OL</t>
        </is>
      </c>
      <c r="AE10" s="197" t="inlineStr">
        <is>
          <t>OL</t>
        </is>
      </c>
      <c r="AF10" s="197" t="inlineStr">
        <is>
          <t>OL</t>
        </is>
      </c>
      <c r="AG10" s="197" t="inlineStr">
        <is>
          <t>OL</t>
        </is>
      </c>
      <c r="AH10" s="197" t="inlineStr">
        <is>
          <t>OL</t>
        </is>
      </c>
      <c r="AI10" s="311" t="n"/>
      <c r="AJ10" s="312" t="n"/>
      <c r="AK10" s="311" t="n"/>
      <c r="AL10" s="313" t="n"/>
      <c r="AM10" s="313" t="n"/>
      <c r="AN10" s="313" t="n"/>
      <c r="AO10" s="313" t="n"/>
      <c r="AP10" s="238" t="n"/>
      <c r="AQ10" s="313">
        <f>SUMPRODUCT(--WEEKDAY(C$3:AG$3,2)&lt;6,--((C10:AG10="DM"))+(C10:AG10="CS1")+((C10:AG10="CS2"))+(C10:AG10="SB1")+(C10:AG10="AE")+(C10:AG10="EM"))</f>
        <v/>
      </c>
      <c r="AR10" s="238" t="n"/>
      <c r="AS10" s="238">
        <f>SUMPRODUCT(--WEEKDAY(C$3:AG$3,2)&gt;5,--((C10:AG10="DM"))+(C10:AG10="CS1")+((C10:AG10="CS2"))+(C10:AG10="SB1")+(C10:AG10="AE")+(C10:AG10="EM"))</f>
        <v/>
      </c>
      <c r="AT10" s="238" t="n"/>
      <c r="AU10" s="238">
        <f>(AQ10-AR10)/2+(AS10-AT10)</f>
        <v/>
      </c>
      <c r="AV10" s="238">
        <f>AI10+AJ10+AK10+AL10+AN10+AO10</f>
        <v/>
      </c>
      <c r="AW10" s="238">
        <f>BG10+BH10+BJ10+BE10+BC10+BA10+BL10</f>
        <v/>
      </c>
      <c r="AX10" s="238">
        <f>AU10+$AY$10</f>
        <v/>
      </c>
      <c r="AY10" s="313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/>
      </c>
      <c r="AZ10" s="313">
        <f>COUNTIF(C10:AC10,"*BRT*")</f>
        <v/>
      </c>
      <c r="BA10" s="313">
        <f>COUNTIF(A10:AI10,"*$BTP*")</f>
        <v/>
      </c>
      <c r="BB10" s="313">
        <f>BA10*('Setting key Duty'!$I$13+'Setting key Duty'!$I$12+'Setting key Duty'!$I$11)</f>
        <v/>
      </c>
      <c r="BC10" s="313">
        <f>COUNTIF(D10:AI10,"*$L*")</f>
        <v/>
      </c>
      <c r="BD10" s="313">
        <f>BC10*('Setting key Duty'!$I$13+'Setting key Duty'!$I$9)</f>
        <v/>
      </c>
      <c r="BE10" s="313">
        <f>COUNTIF(D10:AI10,"*$M*")</f>
        <v/>
      </c>
      <c r="BF10" s="313">
        <f>BE10*('Setting key Duty'!$I$8+'Setting key Duty'!$I$9+'Setting key Duty'!$I$12)</f>
        <v/>
      </c>
      <c r="BG10" s="313">
        <f>COUNTIF(D10:AI10,"*$N*")</f>
        <v/>
      </c>
      <c r="BH10" s="313">
        <f>COUNTIF(D10:AI10,"*$PM*")</f>
        <v/>
      </c>
      <c r="BI10" s="313">
        <f>BH10*('Setting key Duty'!$I$9)</f>
        <v/>
      </c>
      <c r="BJ10" s="313">
        <f>COUNTIF(D10:AI10,"*$AM*")</f>
        <v/>
      </c>
      <c r="BK10" s="313">
        <f>BJ10*('Setting key Duty'!$I$12+'Setting key Duty'!$I$8)</f>
        <v/>
      </c>
      <c r="BL10" s="313">
        <f>COUNTIF(C10:AI10,"*$FC*")</f>
        <v/>
      </c>
      <c r="BM10" s="313">
        <f>BL10*('Setting key Duty'!$J$11+'Setting key Duty'!$I$8)</f>
        <v/>
      </c>
      <c r="BN10" s="313">
        <f>COUNTIF($C10:$AG10,BN$4)</f>
        <v/>
      </c>
      <c r="BO10" s="313">
        <f>COUNTIF($C10:$AG10,BO$4)</f>
        <v/>
      </c>
      <c r="BP10" s="313">
        <f>COUNTIF($D10:$AE10,BP$4)</f>
        <v/>
      </c>
      <c r="BQ10" s="314" t="n"/>
    </row>
    <row r="11" ht="19.5" customHeight="1">
      <c r="A11" s="309" t="n"/>
      <c r="B11" s="315" t="inlineStr">
        <is>
          <t>CPL MOHD AMEER KHAN S/O BASHIR ISMAIL</t>
        </is>
      </c>
      <c r="D11" s="197" t="n"/>
      <c r="E11" s="197" t="inlineStr">
        <is>
          <t>CAREER FAIR</t>
        </is>
      </c>
      <c r="F11" s="197" t="inlineStr">
        <is>
          <t>CS2</t>
        </is>
      </c>
      <c r="G11" s="197" t="n"/>
      <c r="H11" s="317" t="n"/>
      <c r="J11" s="382" t="inlineStr">
        <is>
          <t>RESERVE</t>
        </is>
      </c>
      <c r="K11" s="197" t="n"/>
      <c r="L11" s="197" t="inlineStr">
        <is>
          <t>DM</t>
        </is>
      </c>
      <c r="M11" s="282" t="n"/>
      <c r="N11" s="106" t="n"/>
      <c r="P11" s="197" t="n"/>
      <c r="Q11" s="382" t="inlineStr">
        <is>
          <t>RESERVE</t>
        </is>
      </c>
      <c r="R11" s="197" t="n"/>
      <c r="T11" s="197" t="n"/>
      <c r="U11" s="106" t="n"/>
      <c r="V11" s="197" t="inlineStr">
        <is>
          <t>DM</t>
        </is>
      </c>
      <c r="W11" s="197" t="n"/>
      <c r="X11" s="197" t="inlineStr">
        <is>
          <t>CS1</t>
        </is>
      </c>
      <c r="Y11" s="197" t="n"/>
      <c r="Z11" s="197" t="n"/>
      <c r="AA11" s="197" t="n"/>
      <c r="AB11" s="382" t="inlineStr">
        <is>
          <t>RESERVE</t>
        </is>
      </c>
      <c r="AC11" s="197" t="n"/>
      <c r="AD11" s="197" t="n"/>
      <c r="AE11" s="197" t="n"/>
      <c r="AG11" s="196" t="n"/>
      <c r="AH11" s="197" t="n"/>
      <c r="AI11" s="311" t="n"/>
      <c r="AJ11" s="312" t="n"/>
      <c r="AK11" s="311" t="n"/>
      <c r="AL11" s="313" t="n"/>
      <c r="AM11" s="313" t="n"/>
      <c r="AN11" s="313" t="n"/>
      <c r="AO11" s="313" t="n"/>
      <c r="AP11" s="238" t="n"/>
      <c r="AQ11" s="313">
        <f>SUMPRODUCT(--WEEKDAY(C$3:AG$3,2)&lt;6,--((C11:AG11="DM"))+(C11:AG11="CS1")+((C11:AG11="CS2"))+(C11:AG11="SB1")+(C11:AG11="AE")+(C11:AG11="EM"))</f>
        <v/>
      </c>
      <c r="AR11" s="238" t="n"/>
      <c r="AS11" s="238">
        <f>SUMPRODUCT(--WEEKDAY(C$3:AG$3,2)&gt;5,--((C11:AG11="DM"))+(C11:AG11="CS1")+((C11:AG11="CS2"))+(C11:AG11="SB1")+(C11:AG11="AE")+(C11:AG11="EM"))</f>
        <v/>
      </c>
      <c r="AT11" s="238" t="n"/>
      <c r="AU11" s="238">
        <f>(AQ11-AR11)/2+(AS11-AT11)</f>
        <v/>
      </c>
      <c r="AV11" s="238">
        <f>AI11+AJ11+AK11+AL11+AN11+AO11</f>
        <v/>
      </c>
      <c r="AW11" s="238">
        <f>BG11+BH11+BJ11+BE11+BC11+BA11+BL11</f>
        <v/>
      </c>
      <c r="AX11" s="238">
        <f>AU11+AY11</f>
        <v/>
      </c>
      <c r="AY11" s="313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/>
      </c>
      <c r="AZ11" s="313">
        <f>COUNTIF(D11:AC11,"*BRT*")</f>
        <v/>
      </c>
      <c r="BA11" s="313">
        <f>COUNTIF(A11:AI11,"*$BTP*")</f>
        <v/>
      </c>
      <c r="BB11" s="313">
        <f>BA11*('Setting key Duty'!$I$13+'Setting key Duty'!$I$12+'Setting key Duty'!$I$11)</f>
        <v/>
      </c>
      <c r="BC11" s="313">
        <f>COUNTIF(A11:AI11,"*$L*")</f>
        <v/>
      </c>
      <c r="BD11" s="313">
        <f>BC11*('Setting key Duty'!$I$13+'Setting key Duty'!$I$9)</f>
        <v/>
      </c>
      <c r="BE11" s="313">
        <f>COUNTIF(A11:AI11,"*$M*")</f>
        <v/>
      </c>
      <c r="BF11" s="313">
        <f>BE11*('Setting key Duty'!$I$8+'Setting key Duty'!$I$9+'Setting key Duty'!$I$12)</f>
        <v/>
      </c>
      <c r="BG11" s="313">
        <f>COUNTIF(AF11:AI11,"*$N*")</f>
        <v/>
      </c>
      <c r="BH11" s="313">
        <f>COUNTIF(AF11:AI11,"*$PM*")</f>
        <v/>
      </c>
      <c r="BI11" s="313">
        <f>BH11*('Setting key Duty'!$I$9)</f>
        <v/>
      </c>
      <c r="BJ11" s="313">
        <f>COUNTIF(A11:AI11,"*$AM*")</f>
        <v/>
      </c>
      <c r="BK11" s="313">
        <f>BJ11*('Setting key Duty'!$I$12+'Setting key Duty'!$I$8)</f>
        <v/>
      </c>
      <c r="BL11" s="313">
        <f>COUNTIF(D11:AI11,"*$FC*")</f>
        <v/>
      </c>
      <c r="BM11" s="313">
        <f>BL11*('Setting key Duty'!$J$11+'Setting key Duty'!$I$8)</f>
        <v/>
      </c>
      <c r="BN11" s="313">
        <f>COUNTIF($D11:$AE11,BN$4)</f>
        <v/>
      </c>
      <c r="BO11" s="313">
        <f>COUNTIF($D11:$AE11,BO$4)</f>
        <v/>
      </c>
      <c r="BP11" s="313">
        <f>COUNTIF($D11:$AE11,BP$4)</f>
        <v/>
      </c>
      <c r="BQ11" s="314" t="n"/>
    </row>
    <row r="12" ht="19.5" customHeight="1">
      <c r="A12" s="309" t="n"/>
      <c r="B12" s="329" t="inlineStr">
        <is>
          <t>LCP ALPHA KELVIN ISAAC BIN MUHAMMAD MCKEVIN LAWRENCE</t>
        </is>
      </c>
      <c r="C12" s="197" t="n"/>
      <c r="D12" s="197" t="inlineStr">
        <is>
          <t>CS2</t>
        </is>
      </c>
      <c r="E12" s="197" t="n"/>
      <c r="F12" s="197" t="inlineStr">
        <is>
          <t>CAREER FAIR</t>
        </is>
      </c>
      <c r="G12" s="382" t="inlineStr">
        <is>
          <t>RESERVE</t>
        </is>
      </c>
      <c r="H12" s="197" t="n"/>
      <c r="I12" s="197" t="inlineStr">
        <is>
          <t>CS2</t>
        </is>
      </c>
      <c r="J12" s="197" t="n"/>
      <c r="K12" s="382" t="inlineStr">
        <is>
          <t>RESERVE</t>
        </is>
      </c>
      <c r="L12" s="197" t="n"/>
      <c r="M12" s="197" t="n"/>
      <c r="N12" s="382" t="inlineStr">
        <is>
          <t>RESERVE</t>
        </is>
      </c>
      <c r="O12" s="197" t="n"/>
      <c r="P12" s="197" t="inlineStr">
        <is>
          <t>CS2</t>
        </is>
      </c>
      <c r="Q12" s="197" t="n"/>
      <c r="R12" s="197" t="n"/>
      <c r="S12" s="382" t="inlineStr">
        <is>
          <t>RESERVE</t>
        </is>
      </c>
      <c r="T12" s="197" t="n"/>
      <c r="U12" s="197" t="n"/>
      <c r="V12" s="382" t="inlineStr">
        <is>
          <t>RESERVE</t>
        </is>
      </c>
      <c r="W12" s="197" t="n"/>
      <c r="X12" s="197" t="n"/>
      <c r="Y12" s="197" t="inlineStr">
        <is>
          <t>CS1</t>
        </is>
      </c>
      <c r="Z12" s="197" t="n"/>
      <c r="AB12" s="198" t="n"/>
      <c r="AC12" s="197" t="inlineStr">
        <is>
          <t>CS1</t>
        </is>
      </c>
      <c r="AD12" s="197" t="n"/>
      <c r="AE12" s="197" t="n"/>
      <c r="AF12" s="197" t="n"/>
      <c r="AG12" s="196" t="n"/>
      <c r="AH12" s="197" t="n"/>
      <c r="AI12" s="311" t="n"/>
      <c r="AJ12" s="312" t="n"/>
      <c r="AK12" s="311" t="n"/>
      <c r="AL12" s="313" t="n"/>
      <c r="AM12" s="313" t="n"/>
      <c r="AN12" s="313" t="n"/>
      <c r="AO12" s="313" t="n"/>
      <c r="AP12" s="238" t="n"/>
      <c r="AQ12" s="313">
        <f>SUMPRODUCT(--WEEKDAY(C$3:AG$3,2)&lt;6,--((C12:AG12="DM"))+(C12:AG12="CS1")+((C12:AG12="CS2"))+(C12:AG12="SB1")+(C12:AG12="AE")+(C12:AG12="EM"))</f>
        <v/>
      </c>
      <c r="AR12" s="238" t="n"/>
      <c r="AS12" s="238">
        <f>SUMPRODUCT(--WEEKDAY(C$3:AG$3,2)&gt;5,--((C12:AG12="DM"))+(C12:AG12="CS1")+((C12:AG12="CS2"))+(C12:AG12="SB1")+(C12:AG12="AE")+(C12:AG12="EM"))</f>
        <v/>
      </c>
      <c r="AT12" s="238" t="n"/>
      <c r="AU12" s="238">
        <f>(AQ12-AR12)/2+(AS12-AT12)</f>
        <v/>
      </c>
      <c r="AV12" s="238">
        <f>AI12+AJ12+AK12+AL12+AN12+AO12</f>
        <v/>
      </c>
      <c r="AW12" s="238">
        <f>BG12+BH12+BJ12+BE12+BC12+BA12+BL12</f>
        <v/>
      </c>
      <c r="AX12" s="238">
        <f>AU12+AY12</f>
        <v/>
      </c>
      <c r="AY12" s="313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/>
      </c>
      <c r="AZ12" s="313">
        <f>COUNTIF(D12:Y12,"*BRT*")</f>
        <v/>
      </c>
      <c r="BA12" s="313">
        <f>COUNTIF(A12:AI12,"*$BTP*")</f>
        <v/>
      </c>
      <c r="BB12" s="313">
        <f>BA12*('Setting key Duty'!$I$13+'Setting key Duty'!$I$12+'Setting key Duty'!$I$11)</f>
        <v/>
      </c>
      <c r="BC12" s="313">
        <f>COUNTIF(A12:AI12,"*$L*")</f>
        <v/>
      </c>
      <c r="BD12" s="313">
        <f>BC12*('Setting key Duty'!$I$13+'Setting key Duty'!$I$9)</f>
        <v/>
      </c>
      <c r="BE12" s="313">
        <f>COUNTIF(A12:AI12,"*$M*")</f>
        <v/>
      </c>
      <c r="BF12" s="313">
        <f>BE12*('Setting key Duty'!$I$8+'Setting key Duty'!$I$9+'Setting key Duty'!$I$12)</f>
        <v/>
      </c>
      <c r="BG12" s="313">
        <f>COUNTIF(AI12,"*$N*")</f>
        <v/>
      </c>
      <c r="BH12" s="313">
        <f>COUNTIF(AI12,"*$PM*")</f>
        <v/>
      </c>
      <c r="BI12" s="313">
        <f>BH12*('Setting key Duty'!$I$9)</f>
        <v/>
      </c>
      <c r="BJ12" s="313">
        <f>COUNTIF(A12:AI12,"*$AM*")</f>
        <v/>
      </c>
      <c r="BK12" s="313">
        <f>BJ12*('Setting key Duty'!$I$12+'Setting key Duty'!$I$8)</f>
        <v/>
      </c>
      <c r="BL12" s="313">
        <f>COUNTIF(D12:AI12,"*$FC*")</f>
        <v/>
      </c>
      <c r="BM12" s="313">
        <f>BL12*('Setting key Duty'!$J$11+'Setting key Duty'!$I$8)</f>
        <v/>
      </c>
      <c r="BN12" s="313">
        <f>COUNTIF($D12:$Y12,BN$4)</f>
        <v/>
      </c>
      <c r="BO12" s="313">
        <f>COUNTIF($D12:$Y12,BO$4)</f>
        <v/>
      </c>
      <c r="BP12" s="313">
        <f>COUNTIF($D12:$Y12,BP$4)</f>
        <v/>
      </c>
      <c r="BQ12" s="314" t="n"/>
    </row>
    <row r="13" ht="24" customHeight="1">
      <c r="A13" s="309" t="n"/>
      <c r="B13" s="335" t="inlineStr">
        <is>
          <t>CPL RAZIN HILMANSYAH BIN ROSLI</t>
        </is>
      </c>
      <c r="C13" s="197" t="n"/>
      <c r="D13" s="197" t="n"/>
      <c r="E13" s="197" t="inlineStr">
        <is>
          <t>CAREER FAIR</t>
        </is>
      </c>
      <c r="F13" s="197" t="inlineStr">
        <is>
          <t>DM</t>
        </is>
      </c>
      <c r="H13" s="197" t="n"/>
      <c r="I13" s="324" t="inlineStr">
        <is>
          <t>DM</t>
        </is>
      </c>
      <c r="J13" s="317" t="n"/>
      <c r="K13" s="197" t="inlineStr">
        <is>
          <t>BIRTHDAY</t>
        </is>
      </c>
      <c r="L13" s="197" t="inlineStr">
        <is>
          <t>BIRTHDAY</t>
        </is>
      </c>
      <c r="M13" s="197" t="n"/>
      <c r="N13" s="197" t="n"/>
      <c r="O13" s="197" t="n"/>
      <c r="P13" s="197" t="inlineStr">
        <is>
          <t>DM</t>
        </is>
      </c>
      <c r="R13" s="197" t="n"/>
      <c r="S13" s="197" t="n"/>
      <c r="T13" s="197" t="inlineStr">
        <is>
          <t>DM</t>
        </is>
      </c>
      <c r="U13" s="197" t="n"/>
      <c r="V13" s="197" t="n"/>
      <c r="W13" s="382" t="inlineStr">
        <is>
          <t>RESERVE</t>
        </is>
      </c>
      <c r="X13" s="197" t="n"/>
      <c r="Z13" s="53" t="n"/>
      <c r="AA13" s="197" t="inlineStr">
        <is>
          <t>CS2</t>
        </is>
      </c>
      <c r="AB13" s="197" t="n"/>
      <c r="AC13" s="382" t="inlineStr">
        <is>
          <t>RESERVE</t>
        </is>
      </c>
      <c r="AD13" s="197" t="n"/>
      <c r="AE13" s="197" t="n"/>
      <c r="AF13" s="106" t="n"/>
      <c r="AG13" s="196" t="n"/>
      <c r="AH13" s="197" t="n"/>
      <c r="AI13" s="311">
        <f>COUNTIF($C13:$AB13,AI$4)</f>
        <v/>
      </c>
      <c r="AJ13" s="312">
        <f>COUNTIF($C13:$AB13,AJ$4)</f>
        <v/>
      </c>
      <c r="AK13" s="311">
        <f>COUNTIF($C13:$AB13,AK$4)</f>
        <v/>
      </c>
      <c r="AL13" s="313">
        <f>COUNTIF($C13:$AB13,AL$4)</f>
        <v/>
      </c>
      <c r="AM13" s="313">
        <f>COUNTIF($C13:$AB13,AM$4)</f>
        <v/>
      </c>
      <c r="AN13" s="313">
        <f>COUNTIF($C13:$AB13,AN$4)</f>
        <v/>
      </c>
      <c r="AO13" s="313">
        <f>COUNTIF($C13:$AB13,AO$4)</f>
        <v/>
      </c>
      <c r="AP13" s="238" t="n"/>
      <c r="AQ13" s="313">
        <f>SUMPRODUCT(--WEEKDAY(C$3:AG$3,2)&lt;6,--((C13:AG13="DM"))+(C13:AG13="CS1")+((C13:AG13="CS2"))+(C13:AG13="SB1")+(C13:AG13="AE")+(C13:AG13="EM"))</f>
        <v/>
      </c>
      <c r="AR13" s="238" t="n"/>
      <c r="AS13" s="238">
        <f>SUMPRODUCT(--WEEKDAY(C$3:AG$3,2)&gt;5,--((C13:AG13="DM"))+(C13:AG13="CS1")+((C13:AG13="CS2"))+(C13:AG13="SB1")+(C13:AG13="AE")+(C13:AG13="EM"))</f>
        <v/>
      </c>
      <c r="AT13" s="238" t="n"/>
      <c r="AU13" s="238">
        <f>(AQ13-AR13)/2+(AS13-AT13)</f>
        <v/>
      </c>
      <c r="AV13" s="238">
        <f>AI13+AJ13+AK13+AL13+AN13+AO13</f>
        <v/>
      </c>
      <c r="AW13" s="238">
        <f>BG13+BH13+BJ13+BE13+BC13+BA13+BL13</f>
        <v/>
      </c>
      <c r="AX13" s="238">
        <f>AU13+AY13</f>
        <v/>
      </c>
      <c r="AY13" s="313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/>
      </c>
      <c r="AZ13" s="313">
        <f>COUNTIF(C13:AB13,"*BRT*")</f>
        <v/>
      </c>
      <c r="BA13" s="313">
        <f>COUNTIF(A13:AI13,"*$BTP*")</f>
        <v/>
      </c>
      <c r="BB13" s="313">
        <f>BA13*('Setting key Duty'!$I$13+'Setting key Duty'!$I$12+'Setting key Duty'!$I$11)</f>
        <v/>
      </c>
      <c r="BC13" s="313">
        <f>COUNTIF(A13:AI13,"*$L*")</f>
        <v/>
      </c>
      <c r="BD13" s="313">
        <f>BC13*('Setting key Duty'!$I$13+'Setting key Duty'!$I$9)</f>
        <v/>
      </c>
      <c r="BE13" s="313">
        <f>COUNTIF(A13:AI13,"*$M*")</f>
        <v/>
      </c>
      <c r="BF13" s="313">
        <f>BE13*('Setting key Duty'!$I$8+'Setting key Duty'!$I$9+'Setting key Duty'!$I$12)</f>
        <v/>
      </c>
      <c r="BG13" s="313">
        <f>COUNTIF(A13:AI13,"*$N*")</f>
        <v/>
      </c>
      <c r="BH13" s="313">
        <f>COUNTIF(AI13,"*$PM*")</f>
        <v/>
      </c>
      <c r="BI13" s="313">
        <f>BH13*('Setting key Duty'!$I$9)</f>
        <v/>
      </c>
      <c r="BJ13" s="313">
        <f>COUNTIF(A13:AI13,"*$AM*")</f>
        <v/>
      </c>
      <c r="BK13" s="313">
        <f>BJ13*('Setting key Duty'!$I$12+'Setting key Duty'!$I$8)</f>
        <v/>
      </c>
      <c r="BL13" s="313">
        <f>COUNTIF(C13:AI13,"*$FC*")</f>
        <v/>
      </c>
      <c r="BM13" s="313">
        <f>BL13*('Setting key Duty'!$J$11+'Setting key Duty'!$I$8)</f>
        <v/>
      </c>
      <c r="BN13" s="313">
        <f>COUNTIF($C13:$AB13,BN$4)</f>
        <v/>
      </c>
      <c r="BO13" s="313">
        <f>COUNTIF($C13:$AB13,BO$4)</f>
        <v/>
      </c>
      <c r="BP13" s="313">
        <f>COUNTIF($C13:$AB13,BP$4)</f>
        <v/>
      </c>
      <c r="BQ13" s="314" t="n"/>
    </row>
    <row r="14" ht="37.5" customHeight="1">
      <c r="A14" s="309" t="n"/>
      <c r="B14" s="329" t="inlineStr">
        <is>
          <t>CPL RICKY NG RUIQI</t>
        </is>
      </c>
      <c r="C14" s="197" t="n"/>
      <c r="D14" s="197" t="n"/>
      <c r="E14" s="197" t="n"/>
      <c r="F14" s="197" t="inlineStr">
        <is>
          <t>CAREER FAIR</t>
        </is>
      </c>
      <c r="H14" s="382" t="inlineStr">
        <is>
          <t>RESERVE</t>
        </is>
      </c>
      <c r="I14" s="324" t="n"/>
      <c r="J14" s="197" t="inlineStr">
        <is>
          <t>GP</t>
        </is>
      </c>
      <c r="K14" s="197" t="inlineStr">
        <is>
          <t>GP</t>
        </is>
      </c>
      <c r="L14" s="106" t="n"/>
      <c r="M14" s="197" t="inlineStr">
        <is>
          <t>DM</t>
        </is>
      </c>
      <c r="N14" s="197" t="n"/>
      <c r="Q14" s="197" t="n"/>
      <c r="R14" s="106" t="n"/>
      <c r="S14" s="382" t="inlineStr">
        <is>
          <t>RESERVE</t>
        </is>
      </c>
      <c r="V14" s="197" t="inlineStr">
        <is>
          <t>USS</t>
        </is>
      </c>
      <c r="W14" s="197" t="inlineStr">
        <is>
          <t>MC</t>
        </is>
      </c>
      <c r="X14" s="197" t="inlineStr">
        <is>
          <t>MC</t>
        </is>
      </c>
      <c r="Y14" s="197" t="inlineStr">
        <is>
          <t>MC</t>
        </is>
      </c>
      <c r="Z14" s="197" t="inlineStr">
        <is>
          <t>MC</t>
        </is>
      </c>
      <c r="AA14" s="197" t="inlineStr">
        <is>
          <t>MC</t>
        </is>
      </c>
      <c r="AB14" s="197" t="inlineStr">
        <is>
          <t>MC</t>
        </is>
      </c>
      <c r="AC14" s="197" t="inlineStr">
        <is>
          <t>MC</t>
        </is>
      </c>
      <c r="AD14" s="197" t="inlineStr">
        <is>
          <t>AL</t>
        </is>
      </c>
      <c r="AE14" s="197" t="inlineStr">
        <is>
          <t>AL</t>
        </is>
      </c>
      <c r="AF14" s="197" t="inlineStr">
        <is>
          <t>AL</t>
        </is>
      </c>
      <c r="AG14" s="197" t="inlineStr">
        <is>
          <t>AL</t>
        </is>
      </c>
      <c r="AH14" s="197" t="n"/>
      <c r="AI14" s="311">
        <f>COUNTIF($D14:$AC14,AI$4)</f>
        <v/>
      </c>
      <c r="AJ14" s="312">
        <f>COUNTIF($D14:$AC14,AJ$4)</f>
        <v/>
      </c>
      <c r="AK14" s="311">
        <f>COUNTIF($D14:$AC14,AK$4)</f>
        <v/>
      </c>
      <c r="AL14" s="313">
        <f>COUNTIF($D14:$AC14,AL$4)</f>
        <v/>
      </c>
      <c r="AM14" s="313">
        <f>COUNTIF($D14:$AC14,AM$4)</f>
        <v/>
      </c>
      <c r="AN14" s="313">
        <f>COUNTIF($D14:$AC14,AN$4)</f>
        <v/>
      </c>
      <c r="AO14" s="313">
        <f>COUNTIF($D14:$AC14,AO$4)</f>
        <v/>
      </c>
      <c r="AP14" s="238" t="n"/>
      <c r="AQ14" s="313">
        <f>SUMPRODUCT(--WEEKDAY(C$3:AG$3,2)&lt;6,--((C14:AG14="DM"))+(C14:AG14="CS1")+((C14:AG14="CS2"))+(C14:AG14="SB1")+(C14:AG14="AE")+(C14:AG14="EM"))</f>
        <v/>
      </c>
      <c r="AR14" s="238" t="n"/>
      <c r="AS14" s="238">
        <f>SUMPRODUCT(--WEEKDAY(C$3:AG$3,2)&gt;5,--((C14:AG14="DM"))+(C14:AG14="CS1")+((C14:AG14="CS2"))+(C14:AG14="SB1")+(C14:AG14="AE")+(C14:AG14="EM"))</f>
        <v/>
      </c>
      <c r="AT14" s="238" t="n"/>
      <c r="AU14" s="238">
        <f>(AQ14-AR14)/2+(AS14-AT14)</f>
        <v/>
      </c>
      <c r="AV14" s="238">
        <f>AI14+AJ14+AK14+AL14+AN14+AO14</f>
        <v/>
      </c>
      <c r="AW14" s="238">
        <f>BG14+BH14+BJ14+BE14+BC14+BA14+BL14</f>
        <v/>
      </c>
      <c r="AX14" s="238">
        <f>AU14+AY14</f>
        <v/>
      </c>
      <c r="AY14" s="313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/>
      </c>
      <c r="AZ14" s="313">
        <f>COUNTIF(C14:AC14,"*BRT*")</f>
        <v/>
      </c>
      <c r="BA14" s="313">
        <f>COUNTIF(A14:AI14,"*$BTP*")</f>
        <v/>
      </c>
      <c r="BB14" s="313">
        <f>BA14*('Setting key Duty'!$I$13+'Setting key Duty'!$I$12+'Setting key Duty'!$I$11)</f>
        <v/>
      </c>
      <c r="BC14" s="313">
        <f>COUNTIF(A14:AI14,"*$L*")</f>
        <v/>
      </c>
      <c r="BD14" s="313">
        <f>BC14*('Setting key Duty'!$I$13+'Setting key Duty'!$I$9)</f>
        <v/>
      </c>
      <c r="BE14" s="313">
        <f>COUNTIF(A14:AI14,"*$M*")</f>
        <v/>
      </c>
      <c r="BF14" s="313">
        <f>BE14*('Setting key Duty'!$I$8+'Setting key Duty'!$I$9+'Setting key Duty'!$I$12)</f>
        <v/>
      </c>
      <c r="BG14" s="313">
        <f>COUNTIF(AI14,"*$N*")</f>
        <v/>
      </c>
      <c r="BH14" s="313">
        <f>COUNTIF(AI14,"*$PM*")</f>
        <v/>
      </c>
      <c r="BI14" s="313">
        <f>BH14*('Setting key Duty'!$I$9)</f>
        <v/>
      </c>
      <c r="BJ14" s="313">
        <f>COUNTIF(A14:AI14,"*$AM*")</f>
        <v/>
      </c>
      <c r="BK14" s="313">
        <f>BJ14*('Setting key Duty'!$I$12+'Setting key Duty'!$I$8)</f>
        <v/>
      </c>
      <c r="BL14" s="313">
        <f>COUNTIF(C14:AI14,"*$FC*")</f>
        <v/>
      </c>
      <c r="BM14" s="313">
        <f>BL14*('Setting key Duty'!$J$11+'Setting key Duty'!$I$8)</f>
        <v/>
      </c>
      <c r="BN14" s="313">
        <f>COUNTIF($C14:$AC14,BN$4)</f>
        <v/>
      </c>
      <c r="BO14" s="313">
        <f>COUNTIF($C14:$AC14,BO$4)</f>
        <v/>
      </c>
      <c r="BP14" s="313">
        <f>COUNTIF($C14:$AC14,BP$4)</f>
        <v/>
      </c>
      <c r="BQ14" s="314" t="n"/>
    </row>
    <row r="15" ht="19.5" customHeight="1">
      <c r="A15" s="309" t="n"/>
      <c r="B15" s="315" t="inlineStr">
        <is>
          <t>CPL MUHAMED AMIR BIN AHMAD FAIZAL</t>
        </is>
      </c>
      <c r="D15" s="197" t="n"/>
      <c r="E15" s="197" t="inlineStr">
        <is>
          <t>CAREER FAIR</t>
        </is>
      </c>
      <c r="F15" s="197" t="inlineStr">
        <is>
          <t>SB1</t>
        </is>
      </c>
      <c r="G15" s="197" t="n"/>
      <c r="I15" s="197" t="n"/>
      <c r="J15" s="197" t="inlineStr">
        <is>
          <t>GP</t>
        </is>
      </c>
      <c r="K15" s="197" t="inlineStr">
        <is>
          <t>GP</t>
        </is>
      </c>
      <c r="L15" s="382" t="inlineStr">
        <is>
          <t>RESERVE</t>
        </is>
      </c>
      <c r="M15" s="106" t="n"/>
      <c r="N15" s="197" t="n"/>
      <c r="O15" s="317" t="n"/>
      <c r="R15" s="197" t="inlineStr">
        <is>
          <t>DM</t>
        </is>
      </c>
      <c r="S15" s="197" t="n"/>
      <c r="U15" s="106" t="n"/>
      <c r="V15" s="317" t="inlineStr">
        <is>
          <t>DENTAL</t>
        </is>
      </c>
      <c r="W15" s="197" t="inlineStr">
        <is>
          <t>MC</t>
        </is>
      </c>
      <c r="X15" s="197" t="n"/>
      <c r="Y15" s="197" t="inlineStr">
        <is>
          <t>DM</t>
        </is>
      </c>
      <c r="Z15" s="198" t="n"/>
      <c r="AA15" s="197" t="inlineStr">
        <is>
          <t>BAIL</t>
        </is>
      </c>
      <c r="AC15" s="197" t="n"/>
      <c r="AD15" s="197" t="inlineStr">
        <is>
          <t>DM</t>
        </is>
      </c>
      <c r="AE15" s="197" t="n"/>
      <c r="AF15" s="196" t="n"/>
      <c r="AG15" s="196" t="n"/>
      <c r="AH15" s="197" t="n"/>
      <c r="AI15" s="311">
        <f>COUNTIF($D15:$AA15,AI$4)</f>
        <v/>
      </c>
      <c r="AJ15" s="312">
        <f>COUNTIF($D15:$AA15,AJ$4)</f>
        <v/>
      </c>
      <c r="AK15" s="311">
        <f>COUNTIF($D15:$AA15,AK$4)</f>
        <v/>
      </c>
      <c r="AL15" s="313">
        <f>COUNTIF($D15:$AA15,AL$4)</f>
        <v/>
      </c>
      <c r="AM15" s="313">
        <f>COUNTIF($D15:$AA15,AM$4)</f>
        <v/>
      </c>
      <c r="AN15" s="313">
        <f>COUNTIF($D15:$AA15,AN$4)</f>
        <v/>
      </c>
      <c r="AO15" s="313">
        <f>COUNTIF($D15:$AA15,AO$4)</f>
        <v/>
      </c>
      <c r="AP15" s="238" t="n"/>
      <c r="AQ15" s="313">
        <f>SUMPRODUCT(--WEEKDAY(C$3:AG$3,2)&lt;6,--((C15:AG15="DM"))+(C15:AG15="CS1")+((C15:AG15="CS2"))+(C15:AG15="SB1")+(C15:AG15="AE")+(C15:AG15="EM"))</f>
        <v/>
      </c>
      <c r="AR15" s="238" t="n"/>
      <c r="AS15" s="238">
        <f>SUMPRODUCT(--WEEKDAY(C$3:AG$3,2)&gt;5,--((C15:AG15="DM"))+(C15:AG15="CS1")+((C15:AG15="CS2"))+(C15:AG15="SB1")+(C15:AG15="AE")+(C15:AG15="EM"))</f>
        <v/>
      </c>
      <c r="AT15" s="238" t="n"/>
      <c r="AU15" s="238">
        <f>(AQ15-AR15)/2+(AS15-AT15)</f>
        <v/>
      </c>
      <c r="AV15" s="238">
        <f>AI15+AJ15+AK15+AL15+AN15+AO15</f>
        <v/>
      </c>
      <c r="AW15" s="238">
        <f>BG15+BH15+BJ15+BE15+BC15+BA15+BL15</f>
        <v/>
      </c>
      <c r="AX15" s="238">
        <f>AU15+AY15</f>
        <v/>
      </c>
      <c r="AY15" s="313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/>
      </c>
      <c r="AZ15" s="313">
        <f>COUNTIF(D15:AA15,"*BRT*")</f>
        <v/>
      </c>
      <c r="BA15" s="313">
        <f>COUNTIF(A15:AI15,"*$BTP*")</f>
        <v/>
      </c>
      <c r="BB15" s="313">
        <f>BA15*('Setting key Duty'!$I$13+'Setting key Duty'!$I$12+'Setting key Duty'!$I$11)</f>
        <v/>
      </c>
      <c r="BC15" s="313">
        <f>COUNTIF(A15:AI15,"*$L*")</f>
        <v/>
      </c>
      <c r="BD15" s="313">
        <f>BC15*('Setting key Duty'!$I$13+'Setting key Duty'!$I$9)</f>
        <v/>
      </c>
      <c r="BE15" s="313">
        <f>COUNTIF(A15:AI15,"*$M*")</f>
        <v/>
      </c>
      <c r="BF15" s="313">
        <f>BE15*('Setting key Duty'!$I$8+'Setting key Duty'!$I$9+'Setting key Duty'!$I$12)</f>
        <v/>
      </c>
      <c r="BG15" s="313">
        <f>COUNTIF(A15:AI15,"*$N*")</f>
        <v/>
      </c>
      <c r="BH15" s="313">
        <f>COUNTIF(AI15,"*$PM*")</f>
        <v/>
      </c>
      <c r="BI15" s="313">
        <f>BH15*('Setting key Duty'!$I$9)</f>
        <v/>
      </c>
      <c r="BJ15" s="313">
        <f>COUNTIF(A15:AI15,"*$AM*")</f>
        <v/>
      </c>
      <c r="BK15" s="313">
        <f>BJ15*('Setting key Duty'!$I$12+'Setting key Duty'!$I$8)</f>
        <v/>
      </c>
      <c r="BL15" s="313">
        <f>COUNTIF(D15:AI15,"*$FC*")</f>
        <v/>
      </c>
      <c r="BM15" s="313">
        <f>BL15*('Setting key Duty'!$J$11+'Setting key Duty'!$I$8)</f>
        <v/>
      </c>
      <c r="BN15" s="313">
        <f>COUNTIF($D15:$AA15,BN$4)</f>
        <v/>
      </c>
      <c r="BO15" s="313">
        <f>COUNTIF($D15:$AA15,BO$4)</f>
        <v/>
      </c>
      <c r="BP15" s="313">
        <f>COUNTIF($D15:$AA15,BP$4)</f>
        <v/>
      </c>
      <c r="BQ15" s="314" t="n"/>
    </row>
    <row r="16" ht="19.5" customHeight="1">
      <c r="A16" s="309" t="n"/>
      <c r="B16" s="334" t="inlineStr">
        <is>
          <t>LCP JAY DEOL FROST</t>
        </is>
      </c>
      <c r="C16" s="197" t="n"/>
      <c r="D16" s="197" t="n"/>
      <c r="E16" s="197" t="inlineStr">
        <is>
          <t>DM</t>
        </is>
      </c>
      <c r="F16" s="324" t="n"/>
      <c r="G16" s="382" t="inlineStr">
        <is>
          <t>RESERVE</t>
        </is>
      </c>
      <c r="I16" s="197" t="n"/>
      <c r="J16" s="197" t="inlineStr">
        <is>
          <t>CS1</t>
        </is>
      </c>
      <c r="L16" s="317" t="n"/>
      <c r="M16" s="106" t="n"/>
      <c r="N16" s="197" t="n"/>
      <c r="O16" s="197" t="inlineStr">
        <is>
          <t>CS1</t>
        </is>
      </c>
      <c r="P16" s="197" t="n"/>
      <c r="Q16" s="197" t="n"/>
      <c r="R16" s="197" t="n"/>
      <c r="S16" s="197" t="inlineStr">
        <is>
          <t>AL</t>
        </is>
      </c>
      <c r="T16" s="197" t="n"/>
      <c r="U16" s="197" t="inlineStr">
        <is>
          <t>AL</t>
        </is>
      </c>
      <c r="V16" s="197" t="n"/>
      <c r="W16" s="197" t="inlineStr">
        <is>
          <t>USS</t>
        </is>
      </c>
      <c r="Y16" s="197" t="inlineStr">
        <is>
          <t>CS2</t>
        </is>
      </c>
      <c r="Z16" s="197" t="n"/>
      <c r="AA16" s="197" t="n"/>
      <c r="AB16" s="106" t="n"/>
      <c r="AC16" s="197" t="inlineStr">
        <is>
          <t>AL</t>
        </is>
      </c>
      <c r="AD16" s="197" t="n"/>
      <c r="AE16" s="197" t="inlineStr">
        <is>
          <t>DM</t>
        </is>
      </c>
      <c r="AG16" s="196" t="n"/>
      <c r="AH16" s="197" t="n"/>
      <c r="AI16" s="311">
        <f>COUNTIF($C16:$AF16,AI$4)</f>
        <v/>
      </c>
      <c r="AJ16" s="312">
        <f>COUNTIF($C16:$AF16,AJ$4)</f>
        <v/>
      </c>
      <c r="AK16" s="311">
        <f>COUNTIF($C16:$AF16,AK$4)</f>
        <v/>
      </c>
      <c r="AL16" s="313">
        <f>COUNTIF($C16:$AF16,AL$4)</f>
        <v/>
      </c>
      <c r="AM16" s="313">
        <f>COUNTIF($C16:$AF16,AM$4)</f>
        <v/>
      </c>
      <c r="AN16" s="313">
        <f>COUNTIF($C16:$AF16,AN$4)</f>
        <v/>
      </c>
      <c r="AO16" s="313">
        <f>COUNTIF($C16:$AF16,AO$4)</f>
        <v/>
      </c>
      <c r="AP16" s="238" t="n"/>
      <c r="AQ16" s="313">
        <f>SUMPRODUCT(--WEEKDAY(C$3:AG$3,2)&lt;6,--((C16:AG16="DM"))+(C16:AG16="CS1")+((C16:AG16="CS2"))+(C16:AG16="SB1")+(C16:AG16="AE")+(C16:AG16="EM"))</f>
        <v/>
      </c>
      <c r="AR16" s="238" t="n"/>
      <c r="AS16" s="238">
        <f>SUMPRODUCT(--WEEKDAY(C$3:AG$3,2)&gt;5,--((C16:AG16="DM"))+(C16:AG16="CS1")+((C16:AG16="CS2"))+(C16:AG16="SB1")+(C16:AG16="AE")+(C16:AG16="EM"))</f>
        <v/>
      </c>
      <c r="AT16" s="238" t="n"/>
      <c r="AU16" s="238">
        <f>(AQ16-AR16)/2+(AS16-AT16)</f>
        <v/>
      </c>
      <c r="AV16" s="238">
        <f>AI16+AJ16+AK16+AL16+AN16+AO16</f>
        <v/>
      </c>
      <c r="AW16" s="238">
        <f>BG16+BH16+BJ16+BE16+BC16+BA16+BL16</f>
        <v/>
      </c>
      <c r="AX16" s="238">
        <f>AU16+AY16</f>
        <v/>
      </c>
      <c r="AY16" s="313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/>
      </c>
      <c r="AZ16" s="313">
        <f>COUNTIF(C16:AC16,"*BRT*")</f>
        <v/>
      </c>
      <c r="BA16" s="313">
        <f>COUNTIF(A16:AI16,"*$BTP*")</f>
        <v/>
      </c>
      <c r="BB16" s="313">
        <f>BA16*('Setting key Duty'!$I$13+'Setting key Duty'!$I$12+'Setting key Duty'!$I$11)</f>
        <v/>
      </c>
      <c r="BC16" s="313">
        <f>COUNTIF(I16:AI16,"*$L*")</f>
        <v/>
      </c>
      <c r="BD16" s="313">
        <f>BC16*('Setting key Duty'!$I$13+'Setting key Duty'!$I$9)</f>
        <v/>
      </c>
      <c r="BE16" s="313">
        <f>COUNTIF(I16:AI16,"*$M*")</f>
        <v/>
      </c>
      <c r="BF16" s="313">
        <f>BE16*('Setting key Duty'!$I$8+'Setting key Duty'!$I$9+'Setting key Duty'!$I$12)</f>
        <v/>
      </c>
      <c r="BG16" s="313">
        <f>COUNTIF(I16:AI16,"*$N*")</f>
        <v/>
      </c>
      <c r="BH16" s="313">
        <f>COUNTIF(I16:AI16,"*$PM*")</f>
        <v/>
      </c>
      <c r="BI16" s="313">
        <f>BH16*('Setting key Duty'!$I$9)</f>
        <v/>
      </c>
      <c r="BJ16" s="313">
        <f>COUNTIF(I16:AI16,"*$AM*")</f>
        <v/>
      </c>
      <c r="BK16" s="313">
        <f>BJ16*('Setting key Duty'!$I$12+'Setting key Duty'!$I$8)</f>
        <v/>
      </c>
      <c r="BL16" s="313">
        <f>COUNTIF(C16:AI16,"*$FC*")</f>
        <v/>
      </c>
      <c r="BM16" s="313">
        <f>BL16*('Setting key Duty'!$J$11+'Setting key Duty'!$I$8)</f>
        <v/>
      </c>
      <c r="BN16" s="313">
        <f>COUNTIF($C16:$AF16,BN$4)</f>
        <v/>
      </c>
      <c r="BO16" s="313">
        <f>COUNTIF($C16:$AF16,BO$4)</f>
        <v/>
      </c>
      <c r="BP16" s="313">
        <f>COUNTIF($I16:$AE16,BP$4)</f>
        <v/>
      </c>
      <c r="BQ16" s="314" t="n"/>
    </row>
    <row r="17" ht="19.5" customHeight="1">
      <c r="A17" s="309" t="n"/>
      <c r="B17" s="329" t="inlineStr">
        <is>
          <t>LCP JASON TAN JIAN CHEN</t>
        </is>
      </c>
      <c r="C17" s="197" t="n"/>
      <c r="D17" s="197" t="n"/>
      <c r="E17" s="197" t="inlineStr">
        <is>
          <t>SB1</t>
        </is>
      </c>
      <c r="F17" s="197" t="n"/>
      <c r="G17" s="197" t="n"/>
      <c r="H17" s="197" t="inlineStr">
        <is>
          <t>AE</t>
        </is>
      </c>
      <c r="I17" s="197" t="n"/>
      <c r="J17" s="382" t="inlineStr">
        <is>
          <t>RESERVE</t>
        </is>
      </c>
      <c r="M17" s="106" t="n"/>
      <c r="N17" s="317" t="inlineStr">
        <is>
          <t>AE</t>
        </is>
      </c>
      <c r="O17" s="106" t="n"/>
      <c r="P17" s="382" t="inlineStr">
        <is>
          <t>RESERVE</t>
        </is>
      </c>
      <c r="Q17" s="317" t="n"/>
      <c r="T17" s="197" t="n"/>
      <c r="U17" s="317" t="inlineStr">
        <is>
          <t>AE</t>
        </is>
      </c>
      <c r="V17" s="197" t="inlineStr">
        <is>
          <t>USS</t>
        </is>
      </c>
      <c r="W17" s="197" t="n"/>
      <c r="X17" s="382" t="inlineStr">
        <is>
          <t>RESERVE</t>
        </is>
      </c>
      <c r="Y17" s="197" t="n"/>
      <c r="Z17" s="197" t="n"/>
      <c r="AA17" s="197" t="inlineStr">
        <is>
          <t>CS1</t>
        </is>
      </c>
      <c r="AB17" s="197" t="n"/>
      <c r="AC17" s="197" t="inlineStr">
        <is>
          <t>AE</t>
        </is>
      </c>
      <c r="AD17" s="197" t="n"/>
      <c r="AE17" s="197" t="n"/>
      <c r="AF17" s="197" t="n"/>
      <c r="AG17" s="350" t="n"/>
      <c r="AH17" s="317" t="n"/>
      <c r="AI17" s="311" t="n"/>
      <c r="AJ17" s="312" t="n"/>
      <c r="AK17" s="311" t="n"/>
      <c r="AL17" s="313" t="n"/>
      <c r="AM17" s="313" t="n"/>
      <c r="AN17" s="313" t="n"/>
      <c r="AO17" s="313" t="n"/>
      <c r="AP17" s="238" t="n"/>
      <c r="AQ17" s="313">
        <f>SUMPRODUCT(--WEEKDAY(C$3:AG$3,2)&lt;6,--((C17:AG17="DM"))+(C17:AG17="CS1")+((C17:AG17="CS2"))+(C17:AG17="SB1")+(C17:AG17="AE")+(C17:AG17="EM"))</f>
        <v/>
      </c>
      <c r="AR17" s="238" t="n"/>
      <c r="AS17" s="238">
        <f>SUMPRODUCT(--WEEKDAY(C$3:AG$3,2)&gt;5,--((C17:AG17="DM"))+(C17:AG17="CS1")+((C17:AG17="CS2"))+(C17:AG17="SB1")+(C17:AG17="AE")+(C17:AG17="EM"))</f>
        <v/>
      </c>
      <c r="AT17" s="238" t="n"/>
      <c r="AU17" s="238">
        <f>(AQ17-AR17)/2+(AS17-AT17)</f>
        <v/>
      </c>
      <c r="AV17" s="238">
        <f>AI17+AJ17+AK17+AL17+AN17+AO17</f>
        <v/>
      </c>
      <c r="AW17" s="238">
        <f>BG17+BH17+BJ17+BE17+BC17+BA17+BL17</f>
        <v/>
      </c>
      <c r="AX17" s="238">
        <f>AU17+$AY$10</f>
        <v/>
      </c>
      <c r="AY17" s="313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/>
      </c>
      <c r="AZ17" s="313">
        <f>COUNTIF(D17:AA17,"*BRT*")</f>
        <v/>
      </c>
      <c r="BA17" s="313">
        <f>COUNTIF(A17:AI17,"*$BTP*")</f>
        <v/>
      </c>
      <c r="BB17" s="313">
        <f>BA17*('Setting key Duty'!$I$13+'Setting key Duty'!$I$12+'Setting key Duty'!$I$11)</f>
        <v/>
      </c>
      <c r="BC17" s="313">
        <f>COUNTIF(A17:AI17,"*$L*")</f>
        <v/>
      </c>
      <c r="BD17" s="313">
        <f>BC17*('Setting key Duty'!$I$13+'Setting key Duty'!$I$9)</f>
        <v/>
      </c>
      <c r="BE17" s="313">
        <f>COUNTIF(A17:AI17,"*$M*")</f>
        <v/>
      </c>
      <c r="BF17" s="313">
        <f>BE17*('Setting key Duty'!$I$8+'Setting key Duty'!$I$9+'Setting key Duty'!$I$12)</f>
        <v/>
      </c>
      <c r="BG17" s="313">
        <f>COUNTIF(AI17,"*$N*")</f>
        <v/>
      </c>
      <c r="BH17" s="313">
        <f>COUNTIF(AI17,"*$PM*")</f>
        <v/>
      </c>
      <c r="BI17" s="313">
        <f>BH17*('Setting key Duty'!$I$9)</f>
        <v/>
      </c>
      <c r="BJ17" s="313">
        <f>COUNTIF(A17:AI17,"*$AM*")</f>
        <v/>
      </c>
      <c r="BK17" s="313">
        <f>BJ17*('Setting key Duty'!$I$12+'Setting key Duty'!$I$8)</f>
        <v/>
      </c>
      <c r="BL17" s="313">
        <f>COUNTIF(D17:AI17,"*$FC*")</f>
        <v/>
      </c>
      <c r="BM17" s="313">
        <f>BL17*('Setting key Duty'!$J$11+'Setting key Duty'!$I$8)</f>
        <v/>
      </c>
      <c r="BN17" s="313">
        <f>COUNTIF($D17:$AA17,BN$4)</f>
        <v/>
      </c>
      <c r="BO17" s="313">
        <f>COUNTIF($D17:$AA17,BO$4)</f>
        <v/>
      </c>
      <c r="BP17" s="313">
        <f>COUNTIF($D17:$AA17,BP$4)</f>
        <v/>
      </c>
      <c r="BQ17" s="314" t="n"/>
    </row>
    <row r="18" ht="19.5" customHeight="1">
      <c r="A18" s="309" t="n"/>
      <c r="B18" s="373" t="inlineStr">
        <is>
          <t>PTE JARRETT TSING KEE JIN</t>
        </is>
      </c>
      <c r="C18" s="197" t="n"/>
      <c r="D18" s="197" t="n"/>
      <c r="E18" s="197" t="inlineStr">
        <is>
          <t>SCH1 HQ $M GP REHEARSAL (0700-1700)</t>
        </is>
      </c>
      <c r="G18" s="377" t="inlineStr">
        <is>
          <t>RM</t>
        </is>
      </c>
      <c r="H18" s="377" t="inlineStr">
        <is>
          <t>RM</t>
        </is>
      </c>
      <c r="I18" s="197" t="inlineStr">
        <is>
          <t>SB1</t>
        </is>
      </c>
      <c r="K18" s="317" t="n"/>
      <c r="L18" s="197" t="inlineStr">
        <is>
          <t>CS1</t>
        </is>
      </c>
      <c r="M18" s="106" t="n"/>
      <c r="N18" s="197" t="inlineStr">
        <is>
          <t>CS1</t>
        </is>
      </c>
      <c r="O18" s="106" t="n"/>
      <c r="P18" s="197" t="inlineStr">
        <is>
          <t>CS1</t>
        </is>
      </c>
      <c r="Q18" s="197" t="n"/>
      <c r="S18" s="197" t="inlineStr">
        <is>
          <t>CS1</t>
        </is>
      </c>
      <c r="T18" s="197" t="n"/>
      <c r="U18" s="197" t="inlineStr">
        <is>
          <t>PHLEBO</t>
        </is>
      </c>
      <c r="V18" s="197" t="inlineStr">
        <is>
          <t>USS</t>
        </is>
      </c>
      <c r="W18" s="197" t="n"/>
      <c r="X18" s="197" t="n"/>
      <c r="Y18" s="382" t="inlineStr">
        <is>
          <t>RESERVE</t>
        </is>
      </c>
      <c r="Z18" s="197" t="inlineStr">
        <is>
          <t>AL</t>
        </is>
      </c>
      <c r="AA18" s="197" t="inlineStr">
        <is>
          <t>AL</t>
        </is>
      </c>
      <c r="AB18" s="197" t="inlineStr">
        <is>
          <t>AL</t>
        </is>
      </c>
      <c r="AC18" s="197" t="inlineStr">
        <is>
          <t>AL</t>
        </is>
      </c>
      <c r="AD18" s="197" t="inlineStr">
        <is>
          <t>AL</t>
        </is>
      </c>
      <c r="AE18" s="197" t="n"/>
      <c r="AF18" s="197" t="n"/>
      <c r="AG18" s="197" t="n"/>
      <c r="AH18" s="197" t="n"/>
      <c r="AI18" s="311" t="n"/>
      <c r="AJ18" s="312" t="n"/>
      <c r="AK18" s="311" t="n"/>
      <c r="AL18" s="313" t="n"/>
      <c r="AM18" s="313" t="n"/>
      <c r="AN18" s="313" t="n"/>
      <c r="AO18" s="313" t="n"/>
      <c r="AP18" s="238" t="n"/>
      <c r="AQ18" s="313">
        <f>SUMPRODUCT(--WEEKDAY(C$3:AG$3,2)&lt;6,--((C18:AG18="DM"))+(C18:AG18="CS1")+((C18:AG18="CS2"))+(C18:AG18="SB1")+(C18:AG18="AE")+(C18:AG18="EM"))</f>
        <v/>
      </c>
      <c r="AR18" s="238" t="n"/>
      <c r="AS18" s="238">
        <f>SUMPRODUCT(--WEEKDAY(C$3:AG$3,2)&gt;5,--((C18:AG18="DM"))+(C18:AG18="CS1")+((C18:AG18="CS2"))+(C18:AG18="SB1")+(C18:AG18="AE")+(C18:AG18="EM"))</f>
        <v/>
      </c>
      <c r="AT18" s="238" t="n"/>
      <c r="AU18" s="238">
        <f>(AQ18-AR18)/2+(AS18-AT18)</f>
        <v/>
      </c>
      <c r="AV18" s="238">
        <f>AI18+AJ18+AK18+AL18+AN18+AO18</f>
        <v/>
      </c>
      <c r="AW18" s="238">
        <f>BG18+BH18+BJ18+BE18+BC18+BA18+BL18</f>
        <v/>
      </c>
      <c r="AX18" s="238">
        <f>AU18+$AY$10</f>
        <v/>
      </c>
      <c r="AY18" s="313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/>
      </c>
      <c r="AZ18" s="313">
        <f>COUNTIF(D18:Y18,"*BRT*")</f>
        <v/>
      </c>
      <c r="BA18" s="313">
        <f>COUNTIF(A18:AI18,"*$BTP*")</f>
        <v/>
      </c>
      <c r="BB18" s="313">
        <f>BA18*('Setting key Duty'!$I$13+'Setting key Duty'!$I$12+'Setting key Duty'!$I$11)</f>
        <v/>
      </c>
      <c r="BC18" s="313">
        <f>COUNTIF(A18:AI18,"*$L*")</f>
        <v/>
      </c>
      <c r="BD18" s="313">
        <f>BC18*('Setting key Duty'!$I$13+'Setting key Duty'!$I$9)</f>
        <v/>
      </c>
      <c r="BE18" s="313">
        <f>COUNTIF(A18:AI18,"*$M*")</f>
        <v/>
      </c>
      <c r="BF18" s="313">
        <f>BE18*('Setting key Duty'!$I$8+'Setting key Duty'!$I$9+'Setting key Duty'!$I$12)</f>
        <v/>
      </c>
      <c r="BG18" s="313">
        <f>COUNTIF(AI18,"*$N*")</f>
        <v/>
      </c>
      <c r="BH18" s="313">
        <f>COUNTIF(AI18,"*$PM*")</f>
        <v/>
      </c>
      <c r="BI18" s="313">
        <f>BH18*('Setting key Duty'!$I$9)</f>
        <v/>
      </c>
      <c r="BJ18" s="313">
        <f>COUNTIF(A18:AI18,"*$AM*")</f>
        <v/>
      </c>
      <c r="BK18" s="313">
        <f>BJ18*('Setting key Duty'!$I$12+'Setting key Duty'!$I$8)</f>
        <v/>
      </c>
      <c r="BL18" s="313">
        <f>COUNTIF(D18:AI18,"*$FC*")</f>
        <v/>
      </c>
      <c r="BM18" s="313">
        <f>BL18*('Setting key Duty'!$J$11+'Setting key Duty'!$I$8)</f>
        <v/>
      </c>
      <c r="BN18" s="313">
        <f>COUNTIF($D18:$Y18,BN$4)</f>
        <v/>
      </c>
      <c r="BO18" s="313">
        <f>COUNTIF($D18:$Y18,BO$4)</f>
        <v/>
      </c>
      <c r="BP18" s="313">
        <f>COUNTIF($D18:$Y18,BP$4)</f>
        <v/>
      </c>
      <c r="BQ18" s="314" t="n"/>
    </row>
    <row r="19" ht="26.25" customHeight="1">
      <c r="A19" s="309" t="n"/>
      <c r="B19" s="333" t="inlineStr">
        <is>
          <t>CFC MARK TAN YIH</t>
        </is>
      </c>
      <c r="C19" s="197" t="n"/>
      <c r="D19" s="197" t="n"/>
      <c r="E19" s="197" t="inlineStr">
        <is>
          <t>CAREER FAIR</t>
        </is>
      </c>
      <c r="F19" s="382" t="inlineStr">
        <is>
          <t>RESERVE</t>
        </is>
      </c>
      <c r="G19" s="197" t="n"/>
      <c r="H19" s="197" t="inlineStr">
        <is>
          <t>CS1</t>
        </is>
      </c>
      <c r="I19" s="197" t="n"/>
      <c r="J19" s="197" t="inlineStr">
        <is>
          <t>DM</t>
        </is>
      </c>
      <c r="K19" s="198" t="n"/>
      <c r="M19" s="106" t="n"/>
      <c r="N19" s="382" t="inlineStr">
        <is>
          <t>RESERVE</t>
        </is>
      </c>
      <c r="O19" s="197" t="n"/>
      <c r="P19" s="197" t="n"/>
      <c r="Q19" s="197" t="n"/>
      <c r="R19" s="197" t="inlineStr">
        <is>
          <t>CS1</t>
        </is>
      </c>
      <c r="T19" s="197" t="n"/>
      <c r="U19" s="197" t="inlineStr">
        <is>
          <t>CS2</t>
        </is>
      </c>
      <c r="W19" s="197" t="inlineStr">
        <is>
          <t>USS</t>
        </is>
      </c>
      <c r="X19" s="197" t="n"/>
      <c r="Y19" s="197" t="n"/>
      <c r="Z19" s="382" t="inlineStr">
        <is>
          <t>RESERVE</t>
        </is>
      </c>
      <c r="AB19" s="197" t="inlineStr">
        <is>
          <t>CS2</t>
        </is>
      </c>
      <c r="AC19" s="197" t="n"/>
      <c r="AD19" s="197" t="n"/>
      <c r="AE19" s="197" t="n"/>
      <c r="AF19" s="197" t="n"/>
      <c r="AG19" s="196" t="inlineStr">
        <is>
          <t>DM</t>
        </is>
      </c>
      <c r="AH19" s="197" t="n"/>
      <c r="AI19" s="311" t="n"/>
      <c r="AJ19" s="312" t="n"/>
      <c r="AK19" s="311" t="n"/>
      <c r="AL19" s="313" t="n"/>
      <c r="AM19" s="313" t="n"/>
      <c r="AN19" s="313" t="n"/>
      <c r="AO19" s="313" t="n"/>
      <c r="AP19" s="238" t="n"/>
      <c r="AQ19" s="313">
        <f>SUMPRODUCT(--WEEKDAY(C$3:AG$3,2)&lt;6,--((C19:AG19="DM"))+(C19:AG19="CS1")+((C19:AG19="CS2"))+(C19:AG19="SB1")+(C19:AG19="AE")+(C19:AG19="EM"))</f>
        <v/>
      </c>
      <c r="AR19" s="238" t="n"/>
      <c r="AS19" s="238">
        <f>SUMPRODUCT(--WEEKDAY(C$3:AG$3,2)&gt;5,--((C19:AG19="DM"))+(C19:AG19="CS1")+((C19:AG19="CS2"))+(C19:AG19="SB1")+(C19:AG19="AE")+(C19:AG19="EM"))</f>
        <v/>
      </c>
      <c r="AT19" s="238" t="n"/>
      <c r="AU19" s="238">
        <f>(AQ19-AR19)/2+(AS19-AT19)</f>
        <v/>
      </c>
      <c r="AV19" s="238">
        <f>AI19+AJ19+AK19+AL19+AN19+AO19</f>
        <v/>
      </c>
      <c r="AW19" s="238">
        <f>BG19+BH19+BJ19+BE19+BC19+BA19+BL19</f>
        <v/>
      </c>
      <c r="AX19" s="238">
        <f>AU19+AY19</f>
        <v/>
      </c>
      <c r="AY19" s="313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/>
      </c>
      <c r="AZ19" s="313">
        <f>COUNTIF(E19:AA19,"*BRT*")</f>
        <v/>
      </c>
      <c r="BA19" s="313">
        <f>COUNTIF(A19:AI19,"*$BTP*")</f>
        <v/>
      </c>
      <c r="BB19" s="313">
        <f>BA19*('Setting key Duty'!$I$13+'Setting key Duty'!$I$12+'Setting key Duty'!$I$11)</f>
        <v/>
      </c>
      <c r="BC19" s="313">
        <f>COUNTIF(A19:AI19,"*$L*")</f>
        <v/>
      </c>
      <c r="BD19" s="313">
        <f>BC19*('Setting key Duty'!$I$13+'Setting key Duty'!$I$9)</f>
        <v/>
      </c>
      <c r="BE19" s="313">
        <f>COUNTIF(A19:AI19,"*$M*")</f>
        <v/>
      </c>
      <c r="BF19" s="313">
        <f>BE19*('Setting key Duty'!$I$8+'Setting key Duty'!$I$9+'Setting key Duty'!$I$12)</f>
        <v/>
      </c>
      <c r="BG19" s="313">
        <f>COUNTIF(AG19:AI19,"*$N*")</f>
        <v/>
      </c>
      <c r="BH19" s="313">
        <f>COUNTIF(AG19:AI19,"*$PM*")</f>
        <v/>
      </c>
      <c r="BI19" s="313">
        <f>BH19*('Setting key Duty'!$I$9)</f>
        <v/>
      </c>
      <c r="BJ19" s="313">
        <f>COUNTIF(A19:AI19,"*$AM*")</f>
        <v/>
      </c>
      <c r="BK19" s="313">
        <f>BJ19*('Setting key Duty'!$I$12+'Setting key Duty'!$I$8)</f>
        <v/>
      </c>
      <c r="BL19" s="313">
        <f>COUNTIF(E19:AI19,"*$FC*")</f>
        <v/>
      </c>
      <c r="BM19" s="313">
        <f>BL19*('Setting key Duty'!$J$11+'Setting key Duty'!$I$8)</f>
        <v/>
      </c>
      <c r="BN19" s="313">
        <f>COUNTIF($E19:$AA19,BN$4)</f>
        <v/>
      </c>
      <c r="BO19" s="313">
        <f>COUNTIF($E19:$AA19,BO$4)</f>
        <v/>
      </c>
      <c r="BP19" s="313">
        <f>COUNTIF($E19:$AA19,BP$4)</f>
        <v/>
      </c>
      <c r="BQ19" s="314" t="n"/>
    </row>
    <row r="20" ht="19.5" customHeight="1">
      <c r="A20" s="309" t="n"/>
      <c r="B20" s="329" t="inlineStr">
        <is>
          <t>CPL PANG JUN YUAN</t>
        </is>
      </c>
      <c r="C20" s="197" t="n"/>
      <c r="D20" s="197" t="n"/>
      <c r="E20" s="197" t="inlineStr">
        <is>
          <t>CAREER FAIR</t>
        </is>
      </c>
      <c r="F20" s="197" t="inlineStr">
        <is>
          <t>CS1</t>
        </is>
      </c>
      <c r="G20" s="317" t="n"/>
      <c r="H20" s="198" t="inlineStr">
        <is>
          <t>CS2</t>
        </is>
      </c>
      <c r="I20" s="317" t="n"/>
      <c r="J20" s="197" t="inlineStr">
        <is>
          <t>OL</t>
        </is>
      </c>
      <c r="K20" s="197" t="inlineStr">
        <is>
          <t>OL</t>
        </is>
      </c>
      <c r="L20" s="197" t="inlineStr">
        <is>
          <t>OL</t>
        </is>
      </c>
      <c r="M20" s="197" t="inlineStr">
        <is>
          <t>OL</t>
        </is>
      </c>
      <c r="N20" s="197" t="inlineStr">
        <is>
          <t>OL</t>
        </is>
      </c>
      <c r="O20" s="197" t="inlineStr">
        <is>
          <t>OL</t>
        </is>
      </c>
      <c r="P20" s="197" t="inlineStr">
        <is>
          <t>OL</t>
        </is>
      </c>
      <c r="Q20" s="197" t="inlineStr">
        <is>
          <t>OL</t>
        </is>
      </c>
      <c r="R20" s="197" t="inlineStr">
        <is>
          <t>OL</t>
        </is>
      </c>
      <c r="S20" s="197" t="n"/>
      <c r="T20" s="382" t="inlineStr">
        <is>
          <t>RESERVE</t>
        </is>
      </c>
      <c r="U20" s="197" t="n"/>
      <c r="V20" s="197" t="inlineStr">
        <is>
          <t>USS</t>
        </is>
      </c>
      <c r="W20" s="197" t="inlineStr">
        <is>
          <t>CS1</t>
        </is>
      </c>
      <c r="X20" s="197" t="n"/>
      <c r="Y20" s="197" t="n"/>
      <c r="Z20" s="197" t="n"/>
      <c r="AB20" s="382" t="inlineStr">
        <is>
          <t>RESERVE</t>
        </is>
      </c>
      <c r="AC20" s="197" t="n"/>
      <c r="AD20" s="197" t="inlineStr">
        <is>
          <t>CS2</t>
        </is>
      </c>
      <c r="AE20" s="197" t="n"/>
      <c r="AF20" s="197" t="inlineStr">
        <is>
          <t>CS1</t>
        </is>
      </c>
      <c r="AG20" s="196" t="n"/>
      <c r="AH20" s="197" t="n"/>
      <c r="AI20" s="311" t="n"/>
      <c r="AJ20" s="312" t="n"/>
      <c r="AK20" s="311" t="n"/>
      <c r="AL20" s="313" t="n"/>
      <c r="AM20" s="313" t="n"/>
      <c r="AN20" s="313" t="n"/>
      <c r="AO20" s="313" t="n"/>
      <c r="AP20" s="238" t="n"/>
      <c r="AQ20" s="313">
        <f>SUMPRODUCT(--WEEKDAY(C$3:AG$3,2)&lt;6,--((C20:AG20="DM"))+(C20:AG20="CS1")+((C20:AG20="CS2"))+(C20:AG20="SB1")+(C20:AG20="AE")+(C20:AG20="EM"))</f>
        <v/>
      </c>
      <c r="AR20" s="238" t="n"/>
      <c r="AS20" s="238">
        <f>SUMPRODUCT(--WEEKDAY(C$3:AG$3,2)&gt;5,--((C20:AG20="DM"))+(C20:AG20="CS1")+((C20:AG20="CS2"))+(C20:AG20="SB1")+(C20:AG20="AE")+(C20:AG20="EM"))</f>
        <v/>
      </c>
      <c r="AT20" s="238" t="n"/>
      <c r="AU20" s="238">
        <f>(AQ20-AR20)/2+(AS20-AT20)</f>
        <v/>
      </c>
      <c r="AV20" s="238">
        <f>AI20+AJ20+AK20+AL20+AN20+AO20</f>
        <v/>
      </c>
      <c r="AW20" s="238">
        <f>BG20+BH20+BJ20+BE20+BC20+BA20+BL20</f>
        <v/>
      </c>
      <c r="AX20" s="238">
        <f>AU20+AY20</f>
        <v/>
      </c>
      <c r="AY20" s="313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/>
      </c>
      <c r="AZ20" s="313">
        <f>COUNTIF(D20:AC20,"*BRT*")</f>
        <v/>
      </c>
      <c r="BA20" s="313">
        <f>COUNTIF(A20:AI20,"*$BTP*")</f>
        <v/>
      </c>
      <c r="BB20" s="313">
        <f>BA20*('Setting key Duty'!$I$13+'Setting key Duty'!$I$12+'Setting key Duty'!$I$11)</f>
        <v/>
      </c>
      <c r="BC20" s="313">
        <f>COUNTIF(A20:AI20,"*$L*")</f>
        <v/>
      </c>
      <c r="BD20" s="313">
        <f>BC20*('Setting key Duty'!$I$13+'Setting key Duty'!$I$9)</f>
        <v/>
      </c>
      <c r="BE20" s="313">
        <f>COUNTIF(A20:AI20,"*$M*")</f>
        <v/>
      </c>
      <c r="BF20" s="313">
        <f>BE20*('Setting key Duty'!$I$8+'Setting key Duty'!$I$9+'Setting key Duty'!$I$12)</f>
        <v/>
      </c>
      <c r="BG20" s="313">
        <f>COUNTIF(AF20:AI20,"*$N*")</f>
        <v/>
      </c>
      <c r="BH20" s="313">
        <f>COUNTIF(AF20:AI20,"*$PM*")</f>
        <v/>
      </c>
      <c r="BI20" s="313">
        <f>BH20*('Setting key Duty'!$I$9)</f>
        <v/>
      </c>
      <c r="BJ20" s="313">
        <f>COUNTIF(A20:AI20,"*$AM*")</f>
        <v/>
      </c>
      <c r="BK20" s="313">
        <f>BJ20*('Setting key Duty'!$I$12+'Setting key Duty'!$I$8)</f>
        <v/>
      </c>
      <c r="BL20" s="313">
        <f>COUNTIF(D20:AI20,"*$FC*")</f>
        <v/>
      </c>
      <c r="BM20" s="313">
        <f>BL20*('Setting key Duty'!$J$11+'Setting key Duty'!$I$8)</f>
        <v/>
      </c>
      <c r="BN20" s="313">
        <f>COUNTIF($D20:$AE20,BN$4)</f>
        <v/>
      </c>
      <c r="BO20" s="313">
        <f>COUNTIF($D20:$AE20,BO$4)</f>
        <v/>
      </c>
      <c r="BP20" s="313">
        <f>COUNTIF($D20:$AE20,BP$4)</f>
        <v/>
      </c>
      <c r="BQ20" s="314" t="n"/>
    </row>
    <row r="21" ht="30.75" customHeight="1">
      <c r="A21" s="309" t="n"/>
      <c r="B21" s="315" t="inlineStr">
        <is>
          <t>LCP CHEN DENG FENG</t>
        </is>
      </c>
      <c r="C21" s="197" t="n"/>
      <c r="D21" s="317" t="n"/>
      <c r="E21" s="382" t="inlineStr">
        <is>
          <t>RESERVE</t>
        </is>
      </c>
      <c r="G21" s="377" t="inlineStr">
        <is>
          <t>RM</t>
        </is>
      </c>
      <c r="H21" s="377" t="inlineStr">
        <is>
          <t>RM</t>
        </is>
      </c>
      <c r="I21" s="197" t="n"/>
      <c r="J21" s="197" t="n"/>
      <c r="K21" s="197" t="n"/>
      <c r="L21" s="382" t="inlineStr">
        <is>
          <t>RESERVE</t>
        </is>
      </c>
      <c r="O21" s="197" t="inlineStr">
        <is>
          <t>CS2</t>
        </is>
      </c>
      <c r="P21" s="197" t="n"/>
      <c r="Q21" s="382" t="inlineStr">
        <is>
          <t>RESERVE</t>
        </is>
      </c>
      <c r="R21" s="197" t="n"/>
      <c r="S21" s="197" t="n"/>
      <c r="U21" s="197" t="inlineStr">
        <is>
          <t>CS1</t>
        </is>
      </c>
      <c r="V21" s="197" t="inlineStr">
        <is>
          <t>USS</t>
        </is>
      </c>
      <c r="W21" s="197" t="inlineStr">
        <is>
          <t>CS2</t>
        </is>
      </c>
      <c r="X21" s="197" t="n"/>
      <c r="Y21" s="197" t="n"/>
      <c r="Z21" s="331" t="inlineStr">
        <is>
          <t>J $AM ER (0600-1100)</t>
        </is>
      </c>
      <c r="AA21" s="382" t="inlineStr">
        <is>
          <t>RESERVE</t>
        </is>
      </c>
      <c r="AB21" s="197" t="n"/>
      <c r="AC21" s="197" t="n"/>
      <c r="AD21" s="197" t="n"/>
      <c r="AE21" s="197" t="inlineStr">
        <is>
          <t>CS1</t>
        </is>
      </c>
      <c r="AF21" s="197" t="n"/>
      <c r="AG21" s="197" t="inlineStr">
        <is>
          <t>CS2</t>
        </is>
      </c>
      <c r="AH21" s="106" t="n"/>
      <c r="AI21" s="311" t="n"/>
      <c r="AJ21" s="312" t="n"/>
      <c r="AK21" s="311" t="n"/>
      <c r="AL21" s="313" t="n"/>
      <c r="AM21" s="313" t="n"/>
      <c r="AN21" s="313" t="n"/>
      <c r="AO21" s="313" t="n"/>
      <c r="AP21" s="238" t="n"/>
      <c r="AQ21" s="313">
        <f>SUMPRODUCT(--WEEKDAY(C$3:AG$3,2)&lt;6,--((C21:AG21="DM"))+(C21:AG21="CS1")+((C21:AG21="CS2"))+(C21:AG21="SB1")+(C21:AG21="AE")+(C21:AG21="EM"))</f>
        <v/>
      </c>
      <c r="AR21" s="238" t="n"/>
      <c r="AS21" s="238">
        <f>SUMPRODUCT(--WEEKDAY(C$3:AG$3,2)&gt;5,--((C21:AG21="DM"))+(C21:AG21="CS1")+((C21:AG21="CS2"))+(C21:AG21="SB1")+(C21:AG21="AE")+(C21:AG21="EM"))</f>
        <v/>
      </c>
      <c r="AT21" s="238" t="n"/>
      <c r="AU21" s="238">
        <f>(AQ21-AR21)/2+(AS21-AT21)</f>
        <v/>
      </c>
      <c r="AV21" s="238">
        <f>AI21+AJ21+AK21+AL21+AN21+AO21</f>
        <v/>
      </c>
      <c r="AW21" s="238">
        <f>BG21+BH21+BJ21+BE21+BC21+BA21+BL21</f>
        <v/>
      </c>
      <c r="AX21" s="238">
        <f>AU21+$AY$10</f>
        <v/>
      </c>
      <c r="AY21" s="313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/>
      </c>
      <c r="AZ21" s="313">
        <f>COUNTIF(D21:AA21,"*BRT*")</f>
        <v/>
      </c>
      <c r="BA21" s="313">
        <f>COUNTIF(A21:AI21,"*$BTP*")</f>
        <v/>
      </c>
      <c r="BB21" s="313">
        <f>BA21*('Setting key Duty'!$I$13+'Setting key Duty'!$I$12+'Setting key Duty'!$I$11)</f>
        <v/>
      </c>
      <c r="BC21" s="313">
        <f>COUNTIF(A21:AI21,"*$L*")</f>
        <v/>
      </c>
      <c r="BD21" s="313">
        <f>BC21*('Setting key Duty'!$I$13+'Setting key Duty'!$I$9)</f>
        <v/>
      </c>
      <c r="BE21" s="313">
        <f>COUNTIF(A21:AI21,"*$M*")</f>
        <v/>
      </c>
      <c r="BF21" s="313">
        <f>BE21*('Setting key Duty'!$I$8+'Setting key Duty'!$I$9+'Setting key Duty'!$I$12)</f>
        <v/>
      </c>
      <c r="BG21" s="313">
        <f>COUNTIF(AI21,"*$N*")</f>
        <v/>
      </c>
      <c r="BH21" s="313">
        <f>COUNTIF(AI21,"*$PM*")</f>
        <v/>
      </c>
      <c r="BI21" s="313">
        <f>BH21*('Setting key Duty'!$I$9)</f>
        <v/>
      </c>
      <c r="BJ21" s="313">
        <f>COUNTIF(A21:AI21,"*$AM*")</f>
        <v/>
      </c>
      <c r="BK21" s="313">
        <f>BJ21*('Setting key Duty'!$I$12+'Setting key Duty'!$I$8)</f>
        <v/>
      </c>
      <c r="BL21" s="313">
        <f>COUNTIF(D21:AI21,"*$FC*")</f>
        <v/>
      </c>
      <c r="BM21" s="313">
        <f>BL21*('Setting key Duty'!$J$11+'Setting key Duty'!$I$8)</f>
        <v/>
      </c>
      <c r="BN21" s="313">
        <f>COUNTIF($D21:$AA21,BN$4)</f>
        <v/>
      </c>
      <c r="BO21" s="313">
        <f>COUNTIF($D21:$AA21,BO$4)</f>
        <v/>
      </c>
      <c r="BP21" s="313">
        <f>COUNTIF($D21:$AA21,BP$4)</f>
        <v/>
      </c>
      <c r="BQ21" s="314" t="n"/>
    </row>
    <row r="22" ht="27.75" customHeight="1">
      <c r="A22" s="309" t="n"/>
      <c r="B22" s="315" t="inlineStr">
        <is>
          <t>LCP EUAN TING</t>
        </is>
      </c>
      <c r="C22" s="197" t="inlineStr">
        <is>
          <t>CS2</t>
        </is>
      </c>
      <c r="D22" s="197" t="n"/>
      <c r="E22" s="197" t="inlineStr">
        <is>
          <t>CS2</t>
        </is>
      </c>
      <c r="F22" s="198" t="n"/>
      <c r="G22" s="377" t="inlineStr">
        <is>
          <t>RM</t>
        </is>
      </c>
      <c r="H22" s="377" t="inlineStr">
        <is>
          <t>RM</t>
        </is>
      </c>
      <c r="I22" s="382" t="inlineStr">
        <is>
          <t>RESERVE</t>
        </is>
      </c>
      <c r="J22" s="106" t="n"/>
      <c r="K22" s="106" t="n"/>
      <c r="L22" s="197" t="inlineStr">
        <is>
          <t>CS2</t>
        </is>
      </c>
      <c r="M22" s="106" t="n"/>
      <c r="P22" s="382" t="inlineStr">
        <is>
          <t>RESERVE</t>
        </is>
      </c>
      <c r="Q22" s="197" t="n"/>
      <c r="S22" s="197" t="inlineStr">
        <is>
          <t>AL</t>
        </is>
      </c>
      <c r="T22" s="197" t="n"/>
      <c r="U22" s="382" t="inlineStr">
        <is>
          <t>RESERVE</t>
        </is>
      </c>
      <c r="W22" s="197" t="inlineStr">
        <is>
          <t>USS</t>
        </is>
      </c>
      <c r="X22" s="197" t="n"/>
      <c r="Y22" s="197" t="n"/>
      <c r="AA22" s="197" t="inlineStr">
        <is>
          <t>AE</t>
        </is>
      </c>
      <c r="AC22" s="382" t="inlineStr">
        <is>
          <t>RESERVE</t>
        </is>
      </c>
      <c r="AF22" s="197" t="inlineStr">
        <is>
          <t>CS2</t>
        </is>
      </c>
      <c r="AG22" s="350" t="n"/>
      <c r="AH22" s="317" t="n"/>
      <c r="AI22" s="311" t="n"/>
      <c r="AJ22" s="312" t="n"/>
      <c r="AK22" s="311" t="n"/>
      <c r="AL22" s="313" t="n"/>
      <c r="AM22" s="313" t="n"/>
      <c r="AN22" s="313" t="n"/>
      <c r="AO22" s="313" t="n"/>
      <c r="AP22" s="238" t="n"/>
      <c r="AQ22" s="313">
        <f>SUMPRODUCT(--WEEKDAY(C$3:AG$3,2)&lt;6,--((C22:AG22="DM"))+(C22:AG22="CS1")+((C22:AG22="CS2"))+(C22:AG22="SB1")+(C22:AG22="AE")+(C22:AG22="EM"))</f>
        <v/>
      </c>
      <c r="AR22" s="238" t="n"/>
      <c r="AS22" s="238">
        <f>SUMPRODUCT(--WEEKDAY(C$3:AG$3,2)&gt;5,--((C22:AG22="DM"))+(C22:AG22="CS1")+((C22:AG22="CS2"))+(C22:AG22="SB1")+(C22:AG22="AE")+(C22:AG22="EM"))</f>
        <v/>
      </c>
      <c r="AT22" s="238" t="n"/>
      <c r="AU22" s="238">
        <f>(AQ22-AR22)/2+(AS22-AT22)</f>
        <v/>
      </c>
      <c r="AV22" s="238">
        <f>AI22+AJ22+AK22+AL22+AN22+AO22</f>
        <v/>
      </c>
      <c r="AW22" s="238">
        <f>BG22+BH22+BJ22+BE22+BC22+BA22+BL22</f>
        <v/>
      </c>
      <c r="AX22" s="238">
        <f>AU22+$AY$10</f>
        <v/>
      </c>
      <c r="AY22" s="313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/>
      </c>
      <c r="AZ22" s="313">
        <f>COUNTIF(C22:AA22,"*BRT*")</f>
        <v/>
      </c>
      <c r="BA22" s="313">
        <f>COUNTIF(A22:AI22,"*$BTP*")</f>
        <v/>
      </c>
      <c r="BB22" s="313">
        <f>BA22*('Setting key Duty'!$I$13+'Setting key Duty'!$I$12+'Setting key Duty'!$I$11)</f>
        <v/>
      </c>
      <c r="BC22" s="313">
        <f>COUNTIF(A22:AI22,"*$L*")</f>
        <v/>
      </c>
      <c r="BD22" s="313">
        <f>BC22*('Setting key Duty'!$I$13+'Setting key Duty'!$I$9)</f>
        <v/>
      </c>
      <c r="BE22" s="313">
        <f>COUNTIF(A22:AI22,"*$M*")</f>
        <v/>
      </c>
      <c r="BF22" s="313">
        <f>BE22*('Setting key Duty'!$I$8+'Setting key Duty'!$I$9+'Setting key Duty'!$I$12)</f>
        <v/>
      </c>
      <c r="BG22" s="313">
        <f>COUNTIF(AI22,"*$N*")</f>
        <v/>
      </c>
      <c r="BH22" s="313">
        <f>COUNTIF(AI22,"*$PM*")</f>
        <v/>
      </c>
      <c r="BI22" s="313">
        <f>BH22*('Setting key Duty'!$I$9)</f>
        <v/>
      </c>
      <c r="BJ22" s="313">
        <f>COUNTIF(A22:AI22,"*$AM*")</f>
        <v/>
      </c>
      <c r="BK22" s="313">
        <f>BJ22*('Setting key Duty'!$I$12+'Setting key Duty'!$I$8)</f>
        <v/>
      </c>
      <c r="BL22" s="313">
        <f>COUNTIF(C22:AI22,"*$FC*")</f>
        <v/>
      </c>
      <c r="BM22" s="313">
        <f>BL22*('Setting key Duty'!$J$11+'Setting key Duty'!$I$8)</f>
        <v/>
      </c>
      <c r="BN22" s="313">
        <f>COUNTIF($C22:$AA22,BN$4)</f>
        <v/>
      </c>
      <c r="BO22" s="313">
        <f>COUNTIF($C22:$AA22,BO$4)</f>
        <v/>
      </c>
      <c r="BP22" s="313">
        <f>COUNTIF($C22:$AA22,BP$4)</f>
        <v/>
      </c>
      <c r="BQ22" s="314" t="n"/>
    </row>
    <row r="23" ht="19.5" customHeight="1">
      <c r="A23" s="309" t="n"/>
      <c r="B23" s="375" t="inlineStr">
        <is>
          <t>CPL SEE WEI ZHI</t>
        </is>
      </c>
      <c r="C23" s="197" t="n"/>
      <c r="D23" s="197" t="n"/>
      <c r="E23" s="198" t="n"/>
      <c r="F23" s="197" t="inlineStr">
        <is>
          <t>CAREER FAIR</t>
        </is>
      </c>
      <c r="G23" s="197" t="n"/>
      <c r="H23" s="197" t="inlineStr">
        <is>
          <t>DM</t>
        </is>
      </c>
      <c r="I23" s="106" t="n"/>
      <c r="J23" s="197" t="inlineStr">
        <is>
          <t>GP</t>
        </is>
      </c>
      <c r="K23" s="197" t="inlineStr">
        <is>
          <t>GP</t>
        </is>
      </c>
      <c r="L23" s="317" t="n"/>
      <c r="M23" s="106" t="n"/>
      <c r="N23" s="106" t="n"/>
      <c r="O23" s="197" t="inlineStr">
        <is>
          <t>DM</t>
        </is>
      </c>
      <c r="P23" s="197" t="n"/>
      <c r="Q23" s="197" t="n"/>
      <c r="R23" s="382" t="inlineStr">
        <is>
          <t>RESERVE</t>
        </is>
      </c>
      <c r="S23" s="197" t="n"/>
      <c r="U23" s="197" t="inlineStr">
        <is>
          <t>DM</t>
        </is>
      </c>
      <c r="V23" s="197" t="inlineStr">
        <is>
          <t>USS</t>
        </is>
      </c>
      <c r="W23" s="197" t="inlineStr">
        <is>
          <t>DM</t>
        </is>
      </c>
      <c r="X23" s="197" t="n"/>
      <c r="Y23" s="197" t="n"/>
      <c r="Z23" s="197" t="inlineStr">
        <is>
          <t>CS1</t>
        </is>
      </c>
      <c r="AA23" s="197" t="n"/>
      <c r="AB23" s="317" t="n"/>
      <c r="AC23" s="317" t="inlineStr">
        <is>
          <t>DM</t>
        </is>
      </c>
      <c r="AF23" s="197" t="inlineStr">
        <is>
          <t>DM</t>
        </is>
      </c>
      <c r="AG23" s="196" t="n"/>
      <c r="AH23" s="197" t="n"/>
      <c r="AI23" s="311" t="n"/>
      <c r="AJ23" s="312" t="n"/>
      <c r="AK23" s="311" t="n"/>
      <c r="AL23" s="313" t="n"/>
      <c r="AM23" s="313" t="n"/>
      <c r="AN23" s="313" t="n"/>
      <c r="AO23" s="313" t="n"/>
      <c r="AP23" s="238" t="n"/>
      <c r="AQ23" s="313">
        <f>SUMPRODUCT(--WEEKDAY(C$3:AG$3,2)&lt;6,--((C23:AG23="DM"))+(C23:AG23="CS1")+((C23:AG23="CS2"))+(C23:AG23="SB1")+(C23:AG23="AE")+(C23:AG23="EM"))</f>
        <v/>
      </c>
      <c r="AR23" s="238" t="n"/>
      <c r="AS23" s="238">
        <f>SUMPRODUCT(--WEEKDAY(C$3:AG$3,2)&gt;5,--((C23:AG23="DM"))+(C23:AG23="CS1")+((C23:AG23="CS2"))+(C23:AG23="SB1")+(C23:AG23="AE")+(C23:AG23="EM"))</f>
        <v/>
      </c>
      <c r="AT23" s="238" t="n"/>
      <c r="AU23" s="238">
        <f>(AQ23-AR23)/2+(AS23-AT23)</f>
        <v/>
      </c>
      <c r="AV23" s="238">
        <f>AI23+AJ23+AK23+AL23+AN23+AO23</f>
        <v/>
      </c>
      <c r="AW23" s="238">
        <f>BG23+BH23+BJ23+BE23+BC23+BA23+BL23</f>
        <v/>
      </c>
      <c r="AX23" s="238">
        <f>AU23+AY23</f>
        <v/>
      </c>
      <c r="AY23" s="313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/>
      </c>
      <c r="AZ23" s="313">
        <f>COUNTIF(D23:AB23,"*BRT*")</f>
        <v/>
      </c>
      <c r="BA23" s="313">
        <f>COUNTIF(A23:AI23,"*$BTP*")</f>
        <v/>
      </c>
      <c r="BB23" s="313">
        <f>BA23*('Setting key Duty'!$I$13+'Setting key Duty'!$I$12+'Setting key Duty'!$I$11)</f>
        <v/>
      </c>
      <c r="BC23" s="313">
        <f>COUNTIF(A23:AI23,"*$L*")</f>
        <v/>
      </c>
      <c r="BD23" s="313">
        <f>BC23*('Setting key Duty'!$I$13+'Setting key Duty'!$I$9)</f>
        <v/>
      </c>
      <c r="BE23" s="313">
        <f>COUNTIF(A23:AI23,"*$M*")</f>
        <v/>
      </c>
      <c r="BF23" s="313">
        <f>BE23*('Setting key Duty'!$I$8+'Setting key Duty'!$I$9+'Setting key Duty'!$I$12)</f>
        <v/>
      </c>
      <c r="BG23" s="313">
        <f>COUNTIF(AF23:AI23,"*$N*")</f>
        <v/>
      </c>
      <c r="BH23" s="313">
        <f>COUNTIF(AF23:AI23,"*$PM*")</f>
        <v/>
      </c>
      <c r="BI23" s="313">
        <f>BH23*('Setting key Duty'!$I$9)</f>
        <v/>
      </c>
      <c r="BJ23" s="313">
        <f>COUNTIF(A23:AI23,"*$AM*")</f>
        <v/>
      </c>
      <c r="BK23" s="313">
        <f>BJ23*('Setting key Duty'!$I$12+'Setting key Duty'!$I$8)</f>
        <v/>
      </c>
      <c r="BL23" s="313">
        <f>COUNTIF(D23:AI23,"*$FC*")</f>
        <v/>
      </c>
      <c r="BM23" s="313">
        <f>BL23*('Setting key Duty'!$J$11+'Setting key Duty'!$I$8)</f>
        <v/>
      </c>
      <c r="BN23" s="313">
        <f>COUNTIF($D23:$AE23,BN$4)</f>
        <v/>
      </c>
      <c r="BO23" s="313">
        <f>COUNTIF($D23:$AE23,BO$4)</f>
        <v/>
      </c>
      <c r="BP23" s="313">
        <f>COUNTIF($D23:$AE23,BP$4)</f>
        <v/>
      </c>
      <c r="BQ23" s="314" t="n"/>
    </row>
    <row r="24" ht="19.5" customHeight="1">
      <c r="A24" s="309" t="n"/>
      <c r="B24" s="328" t="inlineStr">
        <is>
          <t>LCP MARK WU</t>
        </is>
      </c>
      <c r="D24" s="197" t="inlineStr">
        <is>
          <t>CS1</t>
        </is>
      </c>
      <c r="E24" s="197" t="n"/>
      <c r="F24" s="197" t="n"/>
      <c r="G24" s="377" t="inlineStr">
        <is>
          <t>RM</t>
        </is>
      </c>
      <c r="H24" s="377" t="inlineStr">
        <is>
          <t>RM</t>
        </is>
      </c>
      <c r="I24" s="106" t="n"/>
      <c r="K24" s="197" t="n"/>
      <c r="L24" s="197" t="n"/>
      <c r="M24" s="349" t="inlineStr">
        <is>
          <t>CS2</t>
        </is>
      </c>
      <c r="N24" s="197" t="n"/>
      <c r="O24" s="197" t="n"/>
      <c r="P24" s="197" t="n"/>
      <c r="Q24" s="197" t="n"/>
      <c r="R24" s="197" t="n"/>
      <c r="S24" s="197" t="inlineStr">
        <is>
          <t>OL</t>
        </is>
      </c>
      <c r="T24" s="197" t="inlineStr">
        <is>
          <t>OL</t>
        </is>
      </c>
      <c r="U24" s="197" t="inlineStr">
        <is>
          <t>OL</t>
        </is>
      </c>
      <c r="V24" s="197" t="inlineStr">
        <is>
          <t>OL</t>
        </is>
      </c>
      <c r="W24" s="197" t="inlineStr">
        <is>
          <t>OL</t>
        </is>
      </c>
      <c r="X24" s="197" t="inlineStr">
        <is>
          <t>OL</t>
        </is>
      </c>
      <c r="Y24" s="197" t="inlineStr">
        <is>
          <t>OL</t>
        </is>
      </c>
      <c r="Z24" s="197" t="n"/>
      <c r="AB24" s="197" t="inlineStr">
        <is>
          <t>SCH 1/2 $BTP (0530-2359)</t>
        </is>
      </c>
      <c r="AC24" s="198" t="n"/>
      <c r="AE24" s="197" t="inlineStr">
        <is>
          <t>CS2</t>
        </is>
      </c>
      <c r="AF24" s="197" t="n"/>
      <c r="AG24" s="350" t="inlineStr">
        <is>
          <t>CS1</t>
        </is>
      </c>
      <c r="AH24" s="197" t="n"/>
      <c r="AI24" s="311" t="n"/>
      <c r="AJ24" s="312" t="n"/>
      <c r="AK24" s="311" t="n"/>
      <c r="AL24" s="313" t="n"/>
      <c r="AM24" s="313" t="n"/>
      <c r="AN24" s="313" t="n"/>
      <c r="AO24" s="313" t="n"/>
      <c r="AP24" s="238" t="n"/>
      <c r="AQ24" s="313">
        <f>SUMPRODUCT(--WEEKDAY(C$3:AG$3,2)&lt;6,--((C24:AG24="DM"))+(C24:AG24="CS1")+((C24:AG24="CS2"))+(C24:AG24="SB1")+(C24:AG24="AE")+(C24:AG24="EM"))</f>
        <v/>
      </c>
      <c r="AR24" s="238" t="n"/>
      <c r="AS24" s="238">
        <f>SUMPRODUCT(--WEEKDAY(C$3:AG$3,2)&gt;5,--((C24:AG24="DM"))+(C24:AG24="CS1")+((C24:AG24="CS2"))+(C24:AG24="SB1")+(C24:AG24="AE")+(C24:AG24="EM"))</f>
        <v/>
      </c>
      <c r="AT24" s="238" t="n"/>
      <c r="AU24" s="238">
        <f>(AQ24-AR24)/2+(AS24-AT24)</f>
        <v/>
      </c>
      <c r="AV24" s="238">
        <f>AI24+AJ24+AK24+AL24+AN24+AO24</f>
        <v/>
      </c>
      <c r="AW24" s="238">
        <f>BG24+BH24+BJ24+BE24+BC24+BA24+BL24</f>
        <v/>
      </c>
      <c r="AX24" s="238">
        <f>AU24+$AY$10</f>
        <v/>
      </c>
      <c r="AY24" s="313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/>
      </c>
      <c r="AZ24" s="313" t="n"/>
      <c r="BA24" s="313" t="n"/>
      <c r="BB24" s="313" t="n"/>
      <c r="BC24" s="313" t="n"/>
      <c r="BD24" s="313" t="n"/>
      <c r="BE24" s="313" t="n"/>
      <c r="BF24" s="313" t="n"/>
      <c r="BG24" s="313" t="n"/>
      <c r="BH24" s="313" t="n"/>
      <c r="BI24" s="313" t="n"/>
      <c r="BJ24" s="313" t="n"/>
      <c r="BK24" s="313" t="n"/>
      <c r="BL24" s="313" t="n"/>
      <c r="BM24" s="313" t="n"/>
      <c r="BN24" s="313" t="n"/>
      <c r="BO24" s="313" t="n"/>
      <c r="BP24" s="313" t="n"/>
      <c r="BQ24" s="314" t="n"/>
    </row>
    <row r="25" ht="19.5" customHeight="1">
      <c r="A25" s="309" t="n"/>
      <c r="B25" s="328" t="inlineStr">
        <is>
          <t>CPL WAN FARID BIN ABDULLAH</t>
        </is>
      </c>
      <c r="C25" s="197" t="inlineStr">
        <is>
          <t>CS1</t>
        </is>
      </c>
      <c r="E25" s="197" t="n"/>
      <c r="F25" s="197" t="inlineStr">
        <is>
          <t>CAREER FAIR</t>
        </is>
      </c>
      <c r="H25" s="324" t="n"/>
      <c r="I25" s="197" t="inlineStr">
        <is>
          <t>REGX $AM (0630-0900)</t>
        </is>
      </c>
      <c r="J25" s="197" t="n"/>
      <c r="K25" s="197" t="n"/>
      <c r="L25" s="197" t="n"/>
      <c r="M25" s="197" t="n"/>
      <c r="N25" s="383" t="inlineStr">
        <is>
          <t>DM</t>
        </is>
      </c>
      <c r="O25" s="197" t="n"/>
      <c r="P25" s="197" t="inlineStr">
        <is>
          <t>AL</t>
        </is>
      </c>
      <c r="Q25" s="197" t="inlineStr">
        <is>
          <t>CS1</t>
        </is>
      </c>
      <c r="R25" s="197" t="n"/>
      <c r="S25" s="197" t="n"/>
      <c r="T25" s="197" t="n"/>
      <c r="U25" s="317" t="inlineStr">
        <is>
          <t xml:space="preserve">AM MA </t>
        </is>
      </c>
      <c r="V25" s="317" t="inlineStr">
        <is>
          <t>CS2</t>
        </is>
      </c>
      <c r="W25" s="197" t="inlineStr">
        <is>
          <t>AL</t>
        </is>
      </c>
      <c r="X25" s="198" t="n"/>
      <c r="Y25" s="382" t="inlineStr">
        <is>
          <t>RESERVE</t>
        </is>
      </c>
      <c r="Z25" s="197" t="inlineStr">
        <is>
          <t>DM</t>
        </is>
      </c>
      <c r="AA25" s="197" t="n"/>
      <c r="AB25" s="197" t="n"/>
      <c r="AC25" s="197" t="inlineStr">
        <is>
          <t>CS2</t>
        </is>
      </c>
      <c r="AD25" s="197" t="n"/>
      <c r="AE25" s="197" t="n"/>
      <c r="AF25" s="197" t="n"/>
      <c r="AG25" s="196" t="n"/>
      <c r="AH25" s="197" t="n"/>
      <c r="AI25" s="311" t="n"/>
      <c r="AJ25" s="312" t="n"/>
      <c r="AK25" s="311" t="n"/>
      <c r="AL25" s="313" t="n"/>
      <c r="AM25" s="313" t="n"/>
      <c r="AN25" s="313" t="n"/>
      <c r="AO25" s="313" t="n"/>
      <c r="AP25" s="238" t="n"/>
      <c r="AQ25" s="313">
        <f>SUMPRODUCT(--WEEKDAY(C$3:AG$3,2)&lt;6,--((C25:AG25="DM"))+(C25:AG25="CS1")+((C25:AG25="CS2"))+(C25:AG25="SB1")+(C25:AG25="AE")+(C25:AG25="EM"))</f>
        <v/>
      </c>
      <c r="AR25" s="238" t="n"/>
      <c r="AS25" s="238">
        <f>SUMPRODUCT(--WEEKDAY(C$3:AG$3,2)&gt;5,--((C25:AG25="DM"))+(C25:AG25="CS1")+((C25:AG25="CS2"))+(C25:AG25="SB1")+(C25:AG25="AE")+(C25:AG25="EM"))</f>
        <v/>
      </c>
      <c r="AT25" s="238" t="n"/>
      <c r="AU25" s="238">
        <f>(AQ25-AR25)/2+(AS25-AT25)</f>
        <v/>
      </c>
      <c r="AV25" s="238">
        <f>AI25+AJ25+AK25+AL25+AN25+AO25</f>
        <v/>
      </c>
      <c r="AW25" s="238">
        <f>BG25+BH25+BJ25+BE25+BC25+BA25+BL25</f>
        <v/>
      </c>
      <c r="AX25" s="238">
        <f>AU25+AY25</f>
        <v/>
      </c>
      <c r="AY25" s="313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/>
      </c>
      <c r="AZ25" s="313">
        <f>COUNTIF(D25:AA25,"*BRT*")</f>
        <v/>
      </c>
      <c r="BA25" s="313">
        <f>COUNTIF(A25:AI25,"*$BTP*")</f>
        <v/>
      </c>
      <c r="BB25" s="313">
        <f>BA25*('Setting key Duty'!$I$13+'Setting key Duty'!$I$12+'Setting key Duty'!$I$11)</f>
        <v/>
      </c>
      <c r="BC25" s="313">
        <f>COUNTIF(A25:AI25,"*$L*")</f>
        <v/>
      </c>
      <c r="BD25" s="313">
        <f>BC25*('Setting key Duty'!$I$13+'Setting key Duty'!$I$9)</f>
        <v/>
      </c>
      <c r="BE25" s="313">
        <f>COUNTIF(A25:AI25,"*$M*")</f>
        <v/>
      </c>
      <c r="BF25" s="313">
        <f>BE25*('Setting key Duty'!$I$8+'Setting key Duty'!$I$9+'Setting key Duty'!$I$12)</f>
        <v/>
      </c>
      <c r="BG25" s="313">
        <f>COUNTIF(AI25,"*$N*")</f>
        <v/>
      </c>
      <c r="BH25" s="313">
        <f>COUNTIF(AI25,"*$PM*")</f>
        <v/>
      </c>
      <c r="BI25" s="313">
        <f>BH25*('Setting key Duty'!$I$9)</f>
        <v/>
      </c>
      <c r="BJ25" s="313">
        <f>COUNTIF(A25:AI25,"*$AM*")</f>
        <v/>
      </c>
      <c r="BK25" s="313">
        <f>BJ25*('Setting key Duty'!$I$12+'Setting key Duty'!$I$8)</f>
        <v/>
      </c>
      <c r="BL25" s="313">
        <f>COUNTIF(D25:AI25,"*$FC*")</f>
        <v/>
      </c>
      <c r="BM25" s="313">
        <f>BL25*('Setting key Duty'!$J$11+'Setting key Duty'!$I$8)</f>
        <v/>
      </c>
      <c r="BN25" s="313">
        <f>COUNTIF($D25:$AA25,BN$4)</f>
        <v/>
      </c>
      <c r="BO25" s="313">
        <f>COUNTIF($D25:$AA25,BO$4)</f>
        <v/>
      </c>
      <c r="BP25" s="313">
        <f>COUNTIF($D25:$AA25,BP$4)</f>
        <v/>
      </c>
      <c r="BQ25" s="314" t="n"/>
    </row>
    <row r="26" ht="19.5" customHeight="1">
      <c r="A26" s="309" t="n"/>
      <c r="B26" s="376" t="inlineStr">
        <is>
          <t>PTE GERALD TAN</t>
        </is>
      </c>
      <c r="C26" s="324" t="n"/>
      <c r="D26" s="197" t="inlineStr">
        <is>
          <t>AE</t>
        </is>
      </c>
      <c r="E26" s="324" t="n"/>
      <c r="F26" s="324" t="inlineStr">
        <is>
          <t>AE</t>
        </is>
      </c>
      <c r="G26" s="324" t="n"/>
      <c r="H26" s="317" t="n"/>
      <c r="I26" s="197" t="inlineStr">
        <is>
          <t>MA</t>
        </is>
      </c>
      <c r="J26" s="317" t="n"/>
      <c r="K26" s="197" t="inlineStr">
        <is>
          <t>AE</t>
        </is>
      </c>
      <c r="L26" s="324" t="n"/>
      <c r="M26" s="317" t="inlineStr">
        <is>
          <t>AE</t>
        </is>
      </c>
      <c r="O26" s="317" t="inlineStr">
        <is>
          <t>AE</t>
        </is>
      </c>
      <c r="Q26" s="197" t="n"/>
      <c r="R26" s="317" t="n"/>
      <c r="S26" s="197" t="inlineStr">
        <is>
          <t>AL</t>
        </is>
      </c>
      <c r="T26" s="197" t="inlineStr">
        <is>
          <t>AL</t>
        </is>
      </c>
      <c r="U26" s="197" t="inlineStr">
        <is>
          <t>AL</t>
        </is>
      </c>
      <c r="V26" s="197" t="inlineStr">
        <is>
          <t>AL</t>
        </is>
      </c>
      <c r="W26" s="197" t="inlineStr">
        <is>
          <t>USS</t>
        </is>
      </c>
      <c r="X26" s="197" t="n"/>
      <c r="Y26" s="197" t="n"/>
      <c r="Z26" s="197" t="inlineStr">
        <is>
          <t>AE</t>
        </is>
      </c>
      <c r="AA26" s="317" t="n"/>
      <c r="AB26" s="197" t="inlineStr">
        <is>
          <t>AE</t>
        </is>
      </c>
      <c r="AC26" s="317" t="n"/>
      <c r="AD26" s="317" t="inlineStr">
        <is>
          <t>AE</t>
        </is>
      </c>
      <c r="AE26" s="197" t="n"/>
      <c r="AG26" s="317" t="inlineStr">
        <is>
          <t>AE</t>
        </is>
      </c>
      <c r="AH26" s="317" t="n"/>
      <c r="AI26" s="311" t="n"/>
      <c r="AJ26" s="312" t="n"/>
      <c r="AK26" s="311" t="n"/>
      <c r="AL26" s="313" t="n"/>
      <c r="AM26" s="313" t="n"/>
      <c r="AN26" s="313" t="n"/>
      <c r="AO26" s="313" t="n"/>
      <c r="AP26" s="238" t="n"/>
      <c r="AQ26" s="313">
        <f>SUMPRODUCT(--WEEKDAY(C$3:AG$3,2)&lt;6,--((C26:AG26="DM"))+(C26:AG26="CS1")+((C26:AG26="CS2"))+(C26:AG26="SB1")+(C26:AG26="AE")+(C26:AG26="EM"))</f>
        <v/>
      </c>
      <c r="AR26" s="238" t="n"/>
      <c r="AS26" s="238">
        <f>SUMPRODUCT(--WEEKDAY(C$3:AG$3,2)&gt;5,--((C26:AG26="DM"))+(C26:AG26="CS1")+((C26:AG26="CS2"))+(C26:AG26="SB1")+(C26:AG26="AE")+(C26:AG26="EM"))</f>
        <v/>
      </c>
      <c r="AT26" s="238" t="n"/>
      <c r="AU26" s="238">
        <f>(AQ26-AR26)/2+(AS26-AT26)</f>
        <v/>
      </c>
      <c r="AV26" s="238">
        <f>AI26+AJ26+AK26+AL26+AN26+AO26</f>
        <v/>
      </c>
      <c r="AW26" s="238">
        <f>BG26+BH26+BJ26+BE26+BC26+BA26+BL26</f>
        <v/>
      </c>
      <c r="AX26" s="238">
        <f>AU26+$AY$10</f>
        <v/>
      </c>
      <c r="AY26" s="313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/>
      </c>
      <c r="AZ26" s="313">
        <f>COUNTIF(D26:AA26,"*BRT*")</f>
        <v/>
      </c>
      <c r="BA26" s="313">
        <f>COUNTIF(A26:AI26,"*$BTP*")</f>
        <v/>
      </c>
      <c r="BB26" s="313">
        <f>BA26*('Setting key Duty'!$I$13+'Setting key Duty'!$I$12+'Setting key Duty'!$I$11)</f>
        <v/>
      </c>
      <c r="BC26" s="313">
        <f>COUNTIF(A26:AI26,"*$L*")</f>
        <v/>
      </c>
      <c r="BD26" s="313">
        <f>BC26*('Setting key Duty'!$I$13+'Setting key Duty'!$I$9)</f>
        <v/>
      </c>
      <c r="BE26" s="313">
        <f>COUNTIF(A26:AI26,"*$M*")</f>
        <v/>
      </c>
      <c r="BF26" s="313">
        <f>BE26*('Setting key Duty'!$I$8+'Setting key Duty'!$I$9+'Setting key Duty'!$I$12)</f>
        <v/>
      </c>
      <c r="BG26" s="313">
        <f>COUNTIF(AI26,"*$N*")</f>
        <v/>
      </c>
      <c r="BH26" s="313">
        <f>COUNTIF(AI26,"*$PM*")</f>
        <v/>
      </c>
      <c r="BI26" s="313">
        <f>BH26*('Setting key Duty'!$I$9)</f>
        <v/>
      </c>
      <c r="BJ26" s="313">
        <f>COUNTIF(A26:AI26,"*$AM*")</f>
        <v/>
      </c>
      <c r="BK26" s="313">
        <f>BJ26*('Setting key Duty'!$I$12+'Setting key Duty'!$I$8)</f>
        <v/>
      </c>
      <c r="BL26" s="313">
        <f>COUNTIF(D26:AI26,"*$FC*")</f>
        <v/>
      </c>
      <c r="BM26" s="313">
        <f>BL26*('Setting key Duty'!$J$11+'Setting key Duty'!$I$8)</f>
        <v/>
      </c>
      <c r="BN26" s="313">
        <f>COUNTIF($D26:$AA26,BN$4)</f>
        <v/>
      </c>
      <c r="BO26" s="313">
        <f>COUNTIF($D26:$AA26,BO$4)</f>
        <v/>
      </c>
      <c r="BP26" s="313">
        <f>COUNTIF($D26:$AA26,BP$4)</f>
        <v/>
      </c>
      <c r="BQ26" s="314" t="n"/>
    </row>
    <row r="27" ht="19.5" customHeight="1">
      <c r="A27" s="309" t="n"/>
      <c r="B27" s="332" t="inlineStr">
        <is>
          <t>PTE FANG JIANGRUI</t>
        </is>
      </c>
      <c r="C27" s="324" t="n"/>
      <c r="D27" s="106" t="n"/>
      <c r="E27" s="377" t="inlineStr">
        <is>
          <t>SB2</t>
        </is>
      </c>
      <c r="G27" s="377" t="inlineStr">
        <is>
          <t>RM</t>
        </is>
      </c>
      <c r="H27" s="377" t="inlineStr">
        <is>
          <t>RM</t>
        </is>
      </c>
      <c r="I27" s="382" t="inlineStr">
        <is>
          <t>RESERVE</t>
        </is>
      </c>
      <c r="J27" s="317" t="inlineStr">
        <is>
          <t>AE</t>
        </is>
      </c>
      <c r="L27" s="197" t="inlineStr">
        <is>
          <t>SB2</t>
        </is>
      </c>
      <c r="M27" s="324" t="n"/>
      <c r="N27" s="197" t="inlineStr">
        <is>
          <t>K $AM SOC</t>
        </is>
      </c>
      <c r="O27" s="197" t="inlineStr">
        <is>
          <t>AL</t>
        </is>
      </c>
      <c r="P27" s="197" t="inlineStr">
        <is>
          <t>AL</t>
        </is>
      </c>
      <c r="Q27" s="317" t="n"/>
      <c r="S27" s="197" t="inlineStr">
        <is>
          <t>SB2</t>
        </is>
      </c>
      <c r="T27" s="197" t="inlineStr">
        <is>
          <t>SB2</t>
        </is>
      </c>
      <c r="V27" s="197" t="inlineStr">
        <is>
          <t>USS</t>
        </is>
      </c>
      <c r="W27" s="197" t="inlineStr">
        <is>
          <t>AE</t>
        </is>
      </c>
      <c r="Y27" s="384" t="n"/>
      <c r="Z27" s="197" t="inlineStr">
        <is>
          <t>SB2</t>
        </is>
      </c>
      <c r="AA27" s="331" t="inlineStr">
        <is>
          <t>J $AM IPPT (0500-1100)</t>
        </is>
      </c>
      <c r="AB27" s="331" t="inlineStr">
        <is>
          <t>D $AM IPPT (0500-1100)</t>
        </is>
      </c>
      <c r="AD27" s="317" t="n"/>
      <c r="AE27" s="382" t="n"/>
      <c r="AF27" s="382" t="inlineStr">
        <is>
          <t>RESERVE</t>
        </is>
      </c>
      <c r="AH27" s="197" t="n"/>
      <c r="AI27" s="311" t="n"/>
      <c r="AJ27" s="312" t="n"/>
      <c r="AK27" s="311" t="n"/>
      <c r="AL27" s="313" t="n"/>
      <c r="AM27" s="313" t="n"/>
      <c r="AN27" s="313" t="n"/>
      <c r="AO27" s="313" t="n"/>
      <c r="AP27" s="238" t="n"/>
      <c r="AQ27" s="313">
        <f>SUMPRODUCT(--WEEKDAY(C$3:AG$3,2)&lt;6,--((C27:AG27="DM"))+(C27:AG27="CS1")+((C27:AG27="CS2"))+(C27:AG27="SB1")+(C27:AG27="AE")+(C27:AG27="EM"))</f>
        <v/>
      </c>
      <c r="AR27" s="238" t="n"/>
      <c r="AS27" s="238">
        <f>SUMPRODUCT(--WEEKDAY(C$3:AG$3,2)&gt;5,--((C27:AG27="DM"))+(C27:AG27="CS1")+((C27:AG27="CS2"))+(C27:AG27="SB1")+(C27:AG27="AE")+(C27:AG27="EM"))</f>
        <v/>
      </c>
      <c r="AT27" s="238" t="n"/>
      <c r="AU27" s="238">
        <f>(AQ27-AR27)/2+(AS27-AT27)</f>
        <v/>
      </c>
      <c r="AV27" s="238">
        <f>AI27+AJ27+AK27+AL27+AN27+AO27</f>
        <v/>
      </c>
      <c r="AW27" s="238">
        <f>BG27+BH27+BJ27+BE27+BC27+BA27+BL27</f>
        <v/>
      </c>
      <c r="AX27" s="238">
        <f>AU27+AY27</f>
        <v/>
      </c>
      <c r="AY27" s="313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/>
      </c>
      <c r="AZ27" s="313">
        <f>COUNTIF(C27:W27,"*BRT*")</f>
        <v/>
      </c>
      <c r="BA27" s="313">
        <f>COUNTIF(A27:AI27,"*$BTP*")</f>
        <v/>
      </c>
      <c r="BB27" s="313">
        <f>BA27*('Setting key Duty'!$I$13+'Setting key Duty'!$I$12+'Setting key Duty'!$I$11)</f>
        <v/>
      </c>
      <c r="BC27" s="313">
        <f>COUNTIF(D27:AI27,"*$L*")</f>
        <v/>
      </c>
      <c r="BD27" s="313">
        <f>BC27*('Setting key Duty'!$I$13+'Setting key Duty'!$I$9)</f>
        <v/>
      </c>
      <c r="BE27" s="313">
        <f>COUNTIF(D27:AI27,"*$M*")</f>
        <v/>
      </c>
      <c r="BF27" s="313">
        <f>BE27*('Setting key Duty'!$I$8+'Setting key Duty'!$I$9+'Setting key Duty'!$I$12)</f>
        <v/>
      </c>
      <c r="BG27" s="313">
        <f>COUNTIF(D27:AI27,"*$N*")</f>
        <v/>
      </c>
      <c r="BH27" s="313">
        <f>COUNTIF(D27:AI27,"*$PM*")</f>
        <v/>
      </c>
      <c r="BI27" s="313">
        <f>BH27*('Setting key Duty'!$I$9)</f>
        <v/>
      </c>
      <c r="BJ27" s="313">
        <f>COUNTIF(D27:AI27,"*$AM*")</f>
        <v/>
      </c>
      <c r="BK27" s="313">
        <f>BJ27*('Setting key Duty'!$I$12+'Setting key Duty'!$I$8)</f>
        <v/>
      </c>
      <c r="BL27" s="313">
        <f>COUNTIF(C27:AI27,"*$FC*")</f>
        <v/>
      </c>
      <c r="BM27" s="313">
        <f>BL27*('Setting key Duty'!$J$11+'Setting key Duty'!$I$8)</f>
        <v/>
      </c>
      <c r="BN27" s="313">
        <f>COUNTIF($C27:$AG27,BN$4)</f>
        <v/>
      </c>
      <c r="BO27" s="313">
        <f>COUNTIF($C27:$AG27,BO$4)</f>
        <v/>
      </c>
      <c r="BP27" s="313">
        <f>COUNTIF($D27:$AD27,BP$4)</f>
        <v/>
      </c>
      <c r="BQ27" s="314" t="n"/>
    </row>
    <row r="28" ht="19.5" customHeight="1">
      <c r="A28" s="309" t="n"/>
      <c r="B28" s="315" t="inlineStr">
        <is>
          <t>PTE HO SHENGHUI HAYDEN</t>
        </is>
      </c>
      <c r="C28" s="317" t="n"/>
      <c r="D28" s="317" t="n"/>
      <c r="F28" s="197" t="inlineStr">
        <is>
          <t>SCH1 HQ $M GP REHEARSAL (0700-1700)</t>
        </is>
      </c>
      <c r="G28" s="377" t="inlineStr">
        <is>
          <t>RM</t>
        </is>
      </c>
      <c r="H28" s="377" t="inlineStr">
        <is>
          <t>RM</t>
        </is>
      </c>
      <c r="I28" s="197" t="inlineStr">
        <is>
          <t>SB2</t>
        </is>
      </c>
      <c r="J28" s="317" t="n"/>
      <c r="L28" s="324" t="n"/>
      <c r="N28" s="331" t="inlineStr">
        <is>
          <t>C $AM IPPT (0500-1100)</t>
        </is>
      </c>
      <c r="O28" s="197" t="n"/>
      <c r="P28" s="197" t="inlineStr">
        <is>
          <t>SB2</t>
        </is>
      </c>
      <c r="R28" s="317" t="n"/>
      <c r="S28" s="197" t="inlineStr">
        <is>
          <t>AL</t>
        </is>
      </c>
      <c r="T28" s="197" t="inlineStr">
        <is>
          <t>AL</t>
        </is>
      </c>
      <c r="U28" s="197" t="inlineStr">
        <is>
          <t>MA</t>
        </is>
      </c>
      <c r="V28" s="317" t="n"/>
      <c r="W28" s="317" t="inlineStr">
        <is>
          <t>USS</t>
        </is>
      </c>
      <c r="X28" s="317" t="n"/>
      <c r="Y28" s="317" t="n"/>
      <c r="Z28" s="317" t="n"/>
      <c r="AB28" s="197" t="inlineStr">
        <is>
          <t>SCH 3/4 $BTP (0530-2359)</t>
        </is>
      </c>
      <c r="AC28" s="197" t="inlineStr">
        <is>
          <t>AL</t>
        </is>
      </c>
      <c r="AD28" s="197" t="inlineStr">
        <is>
          <t>TPP $AM IPPT (0600-1100)</t>
        </is>
      </c>
      <c r="AF28" s="350" t="inlineStr">
        <is>
          <t>AE</t>
        </is>
      </c>
      <c r="AH28" s="317" t="n"/>
      <c r="AI28" s="311" t="n"/>
      <c r="AJ28" s="312" t="n"/>
      <c r="AK28" s="311" t="n"/>
      <c r="AL28" s="344" t="n"/>
      <c r="AM28" s="344" t="n"/>
      <c r="AN28" s="344" t="n"/>
      <c r="AO28" s="344" t="n"/>
      <c r="AP28" s="246" t="n"/>
      <c r="AQ28" s="313">
        <f>SUMPRODUCT(--WEEKDAY(C$3:AG$3,2)&lt;6,--((C28:AG28="DM"))+(C28:AG28="CS1")+((C28:AG28="CS2"))+(C28:AG28="SB1")+(C28:AG28="AE")+(C28:AG28="EM"))</f>
        <v/>
      </c>
      <c r="AR28" s="238" t="n"/>
      <c r="AS28" s="238">
        <f>SUMPRODUCT(--WEEKDAY(C$3:AG$3,2)&gt;5,--((C28:AG28="DM"))+(C28:AG28="CS1")+((C28:AG28="CS2"))+(C28:AG28="SB1")+(C28:AG28="AE")+(C28:AG28="EM"))</f>
        <v/>
      </c>
      <c r="AT28" s="246" t="n"/>
      <c r="AU28" s="238">
        <f>(AQ28-AR28)/2+(AS28-AT28)</f>
        <v/>
      </c>
      <c r="AV28" s="238">
        <f>AI28+AJ28+AK28+AL28+AN28+AO28</f>
        <v/>
      </c>
      <c r="AW28" s="238">
        <f>BG28+BH28+BJ28+BE28+BC28+BA28+BL28</f>
        <v/>
      </c>
      <c r="AX28" s="238">
        <f>AU28+AY28</f>
        <v/>
      </c>
      <c r="AY28" s="313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/>
      </c>
      <c r="AZ28" s="313">
        <f>COUNTIF(C28:T28,"*BRT*")</f>
        <v/>
      </c>
      <c r="BA28" s="313">
        <f>COUNTIF(A28:AI28,"*$BTP*")</f>
        <v/>
      </c>
      <c r="BB28" s="313">
        <f>BA28*('Setting key Duty'!$I$13+'Setting key Duty'!$I$12+'Setting key Duty'!$I$11)</f>
        <v/>
      </c>
      <c r="BC28" s="313">
        <f>COUNTIF(D28:AI28,"*$L*")</f>
        <v/>
      </c>
      <c r="BD28" s="313">
        <f>BC28*('Setting key Duty'!$I$13+'Setting key Duty'!$I$9)</f>
        <v/>
      </c>
      <c r="BE28" s="313">
        <f>COUNTIF(D28:AI28,"*$M*")</f>
        <v/>
      </c>
      <c r="BF28" s="313">
        <f>BE28*('Setting key Duty'!$I$8+'Setting key Duty'!$I$9+'Setting key Duty'!$I$12)</f>
        <v/>
      </c>
      <c r="BG28" s="313">
        <f>COUNTIF(D28:AI28,"*$N*")</f>
        <v/>
      </c>
      <c r="BH28" s="313">
        <f>COUNTIF(D28:AI28,"*$PM*")</f>
        <v/>
      </c>
      <c r="BI28" s="313">
        <f>BH28*('Setting key Duty'!$I$9)</f>
        <v/>
      </c>
      <c r="BJ28" s="313">
        <f>COUNTIF(D28:AI28,"*$AM*")</f>
        <v/>
      </c>
      <c r="BK28" s="313">
        <f>BJ28*('Setting key Duty'!$I$12+'Setting key Duty'!$I$8)</f>
        <v/>
      </c>
      <c r="BL28" s="313">
        <f>COUNTIF(C28:AI28,"*$FC*")</f>
        <v/>
      </c>
      <c r="BM28" s="313">
        <f>BL28*('Setting key Duty'!$J$11+'Setting key Duty'!$I$8)</f>
        <v/>
      </c>
      <c r="BN28" s="313">
        <f>COUNTIF($C28:$AF28,BN$4)</f>
        <v/>
      </c>
      <c r="BO28" s="313">
        <f>COUNTIF($C28:$AF28,BO$4)</f>
        <v/>
      </c>
      <c r="BP28" s="313">
        <f>COUNTIF($D28:$AE28,BP$4)</f>
        <v/>
      </c>
      <c r="BQ28" s="345" t="n"/>
    </row>
    <row r="29" ht="19.5" customHeight="1">
      <c r="A29" s="309" t="n"/>
      <c r="B29" s="315" t="inlineStr">
        <is>
          <t>PTE CHIA TECK IAN</t>
        </is>
      </c>
      <c r="C29" s="349" t="n"/>
      <c r="D29" s="324" t="n"/>
      <c r="E29" s="317" t="n"/>
      <c r="F29" s="331" t="inlineStr">
        <is>
          <t>D $AM IPPT (0500-1100)</t>
        </is>
      </c>
      <c r="H29" s="377" t="inlineStr">
        <is>
          <t>SB2</t>
        </is>
      </c>
      <c r="I29" s="317" t="n"/>
      <c r="J29" s="317" t="n"/>
      <c r="K29" s="382" t="inlineStr">
        <is>
          <t>RESERVE</t>
        </is>
      </c>
      <c r="L29" s="324" t="n"/>
      <c r="M29" s="197" t="inlineStr">
        <is>
          <t>SB2</t>
        </is>
      </c>
      <c r="N29" s="197" t="n"/>
      <c r="O29" s="197" t="inlineStr">
        <is>
          <t>SB2</t>
        </is>
      </c>
      <c r="P29" s="197" t="inlineStr">
        <is>
          <t>OL</t>
        </is>
      </c>
      <c r="Q29" s="197" t="inlineStr">
        <is>
          <t>OL</t>
        </is>
      </c>
      <c r="R29" s="197" t="inlineStr">
        <is>
          <t>OL</t>
        </is>
      </c>
      <c r="S29" s="197" t="inlineStr">
        <is>
          <t>OL</t>
        </is>
      </c>
      <c r="T29" s="197" t="inlineStr">
        <is>
          <t>OL</t>
        </is>
      </c>
      <c r="V29" s="197" t="inlineStr">
        <is>
          <t>SB2</t>
        </is>
      </c>
      <c r="W29" s="197" t="inlineStr">
        <is>
          <t>SB2</t>
        </is>
      </c>
      <c r="X29" s="349" t="n"/>
      <c r="Y29" s="197" t="inlineStr">
        <is>
          <t>AE</t>
        </is>
      </c>
      <c r="Z29" s="197" t="n"/>
      <c r="AA29" s="197" t="inlineStr">
        <is>
          <t>SB2</t>
        </is>
      </c>
      <c r="AB29" s="197" t="inlineStr">
        <is>
          <t>SB2</t>
        </is>
      </c>
      <c r="AC29" s="317" t="n"/>
      <c r="AD29" s="197" t="inlineStr">
        <is>
          <t>SB2</t>
        </is>
      </c>
      <c r="AE29" s="382" t="inlineStr">
        <is>
          <t>RESERVE</t>
        </is>
      </c>
      <c r="AF29" s="197" t="n"/>
      <c r="AG29" s="350" t="n"/>
      <c r="AH29" s="317" t="n"/>
      <c r="AI29" s="311" t="n"/>
      <c r="AJ29" s="312" t="n"/>
      <c r="AK29" s="311" t="n"/>
      <c r="AL29" s="344" t="n"/>
      <c r="AM29" s="344" t="n"/>
      <c r="AN29" s="344" t="n"/>
      <c r="AO29" s="344" t="n"/>
      <c r="AP29" s="246" t="n"/>
      <c r="AQ29" s="313">
        <f>SUMPRODUCT(--WEEKDAY(C$3:AG$3,2)&lt;6,--((C29:AG29="DM"))+(C29:AG29="CS1")+((C29:AG29="CS2"))+(C29:AG29="SB1")+(C29:AG29="AE")+(C29:AG29="EM"))</f>
        <v/>
      </c>
      <c r="AR29" s="238" t="n"/>
      <c r="AS29" s="238">
        <f>SUMPRODUCT(--WEEKDAY(C$3:AG$3,2)&gt;5,--((C29:AG29="DM"))+(C29:AG29="CS1")+((C29:AG29="CS2"))+(C29:AG29="SB1")+(C29:AG29="AE")+(C29:AG29="EM"))</f>
        <v/>
      </c>
      <c r="AT29" s="246" t="n"/>
      <c r="AU29" s="238">
        <f>(AQ29-AR29)/2+(AS29-AT29)</f>
        <v/>
      </c>
      <c r="AV29" s="238">
        <f>AI29+AJ29+AK29+AL29+AN29+AO29</f>
        <v/>
      </c>
      <c r="AW29" s="238">
        <f>BG29+BH29+BJ29+BE29+BC29+BA29+BL29</f>
        <v/>
      </c>
      <c r="AX29" s="238">
        <f>AU29+AY29</f>
        <v/>
      </c>
      <c r="AY29" s="313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/>
      </c>
      <c r="AZ29" s="313">
        <f>COUNTIF(C29:Y29,"*BRT*")</f>
        <v/>
      </c>
      <c r="BA29" s="313">
        <f>COUNTIF(A29:AI29,"*$BTP*")</f>
        <v/>
      </c>
      <c r="BB29" s="313">
        <f>BA29*('Setting key Duty'!$I$13+'Setting key Duty'!$I$12+'Setting key Duty'!$I$11)</f>
        <v/>
      </c>
      <c r="BC29" s="313">
        <f>COUNTIF(D29:AI29,"*$L*")</f>
        <v/>
      </c>
      <c r="BD29" s="313">
        <f>BC29*('Setting key Duty'!$I$13+'Setting key Duty'!$I$9)</f>
        <v/>
      </c>
      <c r="BE29" s="313">
        <f>COUNTIF(D29:AI29,"*$M*")</f>
        <v/>
      </c>
      <c r="BF29" s="313">
        <f>BE29*('Setting key Duty'!$I$8+'Setting key Duty'!$I$9+'Setting key Duty'!$I$12)</f>
        <v/>
      </c>
      <c r="BG29" s="313">
        <f>COUNTIF(D29:AI29,"*$N*")</f>
        <v/>
      </c>
      <c r="BH29" s="313">
        <f>COUNTIF(D29:AI29,"*$PM*")</f>
        <v/>
      </c>
      <c r="BI29" s="313">
        <f>BH29*('Setting key Duty'!$I$9)</f>
        <v/>
      </c>
      <c r="BJ29" s="313">
        <f>COUNTIF(D29:AI29,"*$AM*")</f>
        <v/>
      </c>
      <c r="BK29" s="313">
        <f>BJ29*('Setting key Duty'!$I$12+'Setting key Duty'!$I$8)</f>
        <v/>
      </c>
      <c r="BL29" s="313">
        <f>COUNTIF(C29:AI29,"*$FC*")</f>
        <v/>
      </c>
      <c r="BM29" s="313">
        <f>BL29*('Setting key Duty'!$J$11+'Setting key Duty'!$I$8)</f>
        <v/>
      </c>
      <c r="BN29" s="313">
        <f>COUNTIF($C29:$AG29,BN$4)</f>
        <v/>
      </c>
      <c r="BO29" s="313">
        <f>COUNTIF($C29:$AG29,BO$4)</f>
        <v/>
      </c>
      <c r="BP29" s="313">
        <f>COUNTIF($D29:$AE29,BP$4)</f>
        <v/>
      </c>
      <c r="BQ29" s="345" t="n"/>
    </row>
    <row r="30" ht="19.5" customHeight="1">
      <c r="A30" s="309" t="n"/>
      <c r="B30" s="315" t="inlineStr">
        <is>
          <t>PTE APPLE YEO</t>
        </is>
      </c>
      <c r="C30" s="197" t="inlineStr">
        <is>
          <t>AE</t>
        </is>
      </c>
      <c r="D30" s="317" t="n"/>
      <c r="E30" s="317" t="inlineStr">
        <is>
          <t>AE</t>
        </is>
      </c>
      <c r="F30" s="324" t="inlineStr">
        <is>
          <t>SB2</t>
        </is>
      </c>
      <c r="G30" s="377" t="inlineStr">
        <is>
          <t>SB2</t>
        </is>
      </c>
      <c r="H30" s="106" t="n"/>
      <c r="I30" s="317" t="inlineStr">
        <is>
          <t>AE</t>
        </is>
      </c>
      <c r="J30" s="317" t="n"/>
      <c r="K30" s="324" t="n"/>
      <c r="L30" s="317" t="inlineStr">
        <is>
          <t>AE</t>
        </is>
      </c>
      <c r="N30" s="197" t="inlineStr">
        <is>
          <t>SB2</t>
        </is>
      </c>
      <c r="P30" s="317" t="inlineStr">
        <is>
          <t>AE</t>
        </is>
      </c>
      <c r="Q30" s="317" t="n"/>
      <c r="R30" s="197" t="inlineStr">
        <is>
          <t>AE</t>
        </is>
      </c>
      <c r="S30" s="317" t="n"/>
      <c r="T30" s="317" t="inlineStr">
        <is>
          <t>AE</t>
        </is>
      </c>
      <c r="V30" s="317" t="inlineStr">
        <is>
          <t>AE</t>
        </is>
      </c>
      <c r="X30" s="317" t="inlineStr">
        <is>
          <t>AE</t>
        </is>
      </c>
      <c r="Y30" s="317" t="n"/>
      <c r="Z30" s="197" t="inlineStr">
        <is>
          <t>SURGERY</t>
        </is>
      </c>
      <c r="AA30" s="197" t="inlineStr">
        <is>
          <t>BYE</t>
        </is>
      </c>
      <c r="AB30" s="317" t="inlineStr">
        <is>
          <t>MC</t>
        </is>
      </c>
      <c r="AC30" s="317" t="inlineStr">
        <is>
          <t>MC</t>
        </is>
      </c>
      <c r="AD30" s="317" t="inlineStr">
        <is>
          <t>MC</t>
        </is>
      </c>
      <c r="AE30" s="317" t="inlineStr">
        <is>
          <t>MC</t>
        </is>
      </c>
      <c r="AF30" s="317" t="inlineStr">
        <is>
          <t>MC</t>
        </is>
      </c>
      <c r="AG30" s="317" t="inlineStr">
        <is>
          <t>MC</t>
        </is>
      </c>
      <c r="AH30" s="317" t="n"/>
      <c r="AI30" s="311" t="n"/>
      <c r="AJ30" s="312" t="n"/>
      <c r="AK30" s="311" t="n"/>
      <c r="AL30" s="344" t="n"/>
      <c r="AM30" s="344" t="n"/>
      <c r="AN30" s="344" t="n"/>
      <c r="AO30" s="344" t="n"/>
      <c r="AP30" s="246" t="n"/>
      <c r="AQ30" s="313">
        <f>SUMPRODUCT(--WEEKDAY(C$3:AG$3,2)&lt;6,--((C30:AG30="DM"))+(C30:AG30="CS1")+((C30:AG30="CS2"))+(C30:AG30="SB1")+(C30:AG30="AE")+(C30:AG30="EM"))</f>
        <v/>
      </c>
      <c r="AR30" s="238" t="n"/>
      <c r="AS30" s="238">
        <f>SUMPRODUCT(--WEEKDAY(C$3:AG$3,2)&gt;5,--((C30:AG30="DM"))+(C30:AG30="CS1")+((C30:AG30="CS2"))+(C30:AG30="SB1")+(C30:AG30="AE")+(C30:AG30="EM"))</f>
        <v/>
      </c>
      <c r="AT30" s="246" t="n"/>
      <c r="AU30" s="238">
        <f>(AQ30-AR30)/2+(AS30-AT30)</f>
        <v/>
      </c>
      <c r="AV30" s="238">
        <f>AI30+AJ30+AK30+AL30+AN30+AO30</f>
        <v/>
      </c>
      <c r="AW30" s="238">
        <f>BG30+BH30+BJ30+BE30+BC30+BA30+BL30</f>
        <v/>
      </c>
      <c r="AX30" s="238">
        <f>AU30+AY30</f>
        <v/>
      </c>
      <c r="AY30" s="313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/>
      </c>
      <c r="AZ30" s="313">
        <f>COUNTIF(C30:Y30,"*BRT*")</f>
        <v/>
      </c>
      <c r="BA30" s="313">
        <f>COUNTIF(A30:AI30,"*$BTP*")</f>
        <v/>
      </c>
      <c r="BB30" s="313">
        <f>BA30*('Setting key Duty'!$I$13+'Setting key Duty'!$I$12+'Setting key Duty'!$I$11)</f>
        <v/>
      </c>
      <c r="BC30" s="313">
        <f>COUNTIF(D30:AI30,"*$L*")</f>
        <v/>
      </c>
      <c r="BD30" s="313">
        <f>BC30*('Setting key Duty'!$I$13+'Setting key Duty'!$I$9)</f>
        <v/>
      </c>
      <c r="BE30" s="313">
        <f>COUNTIF(D30:AI30,"*$M*")</f>
        <v/>
      </c>
      <c r="BF30" s="313">
        <f>BE30*('Setting key Duty'!$I$8+'Setting key Duty'!$I$9+'Setting key Duty'!$I$12)</f>
        <v/>
      </c>
      <c r="BG30" s="313">
        <f>COUNTIF(D30:AI30,"*$N*")</f>
        <v/>
      </c>
      <c r="BH30" s="313">
        <f>COUNTIF(D30:AI30,"*$PM*")</f>
        <v/>
      </c>
      <c r="BI30" s="313">
        <f>BH30*('Setting key Duty'!$I$9)</f>
        <v/>
      </c>
      <c r="BJ30" s="313">
        <f>COUNTIF(D30:AI30,"*$AM*")</f>
        <v/>
      </c>
      <c r="BK30" s="313">
        <f>BJ30*('Setting key Duty'!$I$12+'Setting key Duty'!$I$8)</f>
        <v/>
      </c>
      <c r="BL30" s="313">
        <f>COUNTIF(C30:AI30,"*$FC*")</f>
        <v/>
      </c>
      <c r="BM30" s="313">
        <f>BL30*('Setting key Duty'!$J$11+'Setting key Duty'!$I$8)</f>
        <v/>
      </c>
      <c r="BN30" s="313">
        <f>COUNTIF($C30:$AG30,BN$4)</f>
        <v/>
      </c>
      <c r="BO30" s="313">
        <f>COUNTIF($C30:$AG30,BO$4)</f>
        <v/>
      </c>
      <c r="BP30" s="313">
        <f>COUNTIF($D30:$AE30,BP$4)</f>
        <v/>
      </c>
      <c r="BQ30" s="345" t="n"/>
    </row>
    <row r="31" ht="19.5" customHeight="1">
      <c r="A31" s="309" t="n"/>
      <c r="B31" s="315" t="inlineStr">
        <is>
          <t>PTE QUEK ZI YI</t>
        </is>
      </c>
      <c r="D31" s="317" t="n"/>
      <c r="G31" s="377" t="inlineStr">
        <is>
          <t>RM</t>
        </is>
      </c>
      <c r="H31" s="377" t="inlineStr">
        <is>
          <t>RM</t>
        </is>
      </c>
      <c r="I31" s="197" t="n"/>
      <c r="K31" s="317" t="n"/>
      <c r="L31" s="317" t="n"/>
      <c r="M31" s="331" t="inlineStr">
        <is>
          <t>RC $FC (0500-2100)</t>
        </is>
      </c>
      <c r="N31" s="331" t="inlineStr">
        <is>
          <t>RC $FC (0500-2100)</t>
        </is>
      </c>
      <c r="O31" s="106" t="n"/>
      <c r="P31" s="197" t="n"/>
      <c r="Q31" s="197" t="inlineStr">
        <is>
          <t>AE</t>
        </is>
      </c>
      <c r="S31" s="197" t="inlineStr">
        <is>
          <t>AE</t>
        </is>
      </c>
      <c r="U31" s="197" t="inlineStr">
        <is>
          <t>SB2</t>
        </is>
      </c>
      <c r="V31" s="197" t="inlineStr">
        <is>
          <t>USS</t>
        </is>
      </c>
      <c r="W31" s="331" t="inlineStr">
        <is>
          <t>J $AM ER (0600-1100)</t>
        </is>
      </c>
      <c r="X31" s="321" t="n"/>
      <c r="Z31" s="197" t="inlineStr">
        <is>
          <t>AL</t>
        </is>
      </c>
      <c r="AA31" s="197" t="inlineStr">
        <is>
          <t>AL</t>
        </is>
      </c>
      <c r="AB31" s="197" t="inlineStr">
        <is>
          <t>AL</t>
        </is>
      </c>
      <c r="AC31" s="197" t="inlineStr">
        <is>
          <t>SB2</t>
        </is>
      </c>
      <c r="AD31" s="197" t="n"/>
      <c r="AE31" s="317" t="inlineStr">
        <is>
          <t>AE</t>
        </is>
      </c>
      <c r="AF31" s="197" t="n"/>
      <c r="AG31" s="378" t="n"/>
      <c r="AH31" s="106" t="n"/>
      <c r="AI31" s="311" t="n"/>
      <c r="AJ31" s="312" t="n"/>
      <c r="AK31" s="311" t="n"/>
      <c r="AL31" s="344" t="n"/>
      <c r="AM31" s="344" t="n"/>
      <c r="AN31" s="344" t="n"/>
      <c r="AO31" s="344" t="n"/>
      <c r="AP31" s="246" t="n"/>
      <c r="AQ31" s="313">
        <f>SUMPRODUCT(--WEEKDAY(C$3:AG$3,2)&lt;6,--((C31:AG31="DM"))+(C31:AG31="CS1")+((C31:AG31="CS2"))+(C31:AG31="SB1")+(C31:AG31="AE")+(C31:AG31="EM"))</f>
        <v/>
      </c>
      <c r="AR31" s="238" t="n"/>
      <c r="AS31" s="238">
        <f>SUMPRODUCT(--WEEKDAY(C$3:AG$3,2)&gt;5,--((C31:AG31="DM"))+(C31:AG31="CS1")+((C31:AG31="CS2"))+(C31:AG31="SB1")+(C31:AG31="AE")+(C31:AG31="EM"))</f>
        <v/>
      </c>
      <c r="AT31" s="246" t="n"/>
      <c r="AU31" s="238">
        <f>(AQ31-AR31)/2+(AS31-AT31)</f>
        <v/>
      </c>
      <c r="AV31" s="238">
        <f>AI31+AJ31+AK31+AL31+AN31+AO31</f>
        <v/>
      </c>
      <c r="AW31" s="238">
        <f>BG31+BH31+BJ31+BE31+BC31+BA31+BL31</f>
        <v/>
      </c>
      <c r="AX31" s="238">
        <f>AU31+AY31</f>
        <v/>
      </c>
      <c r="AY31" s="313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/>
      </c>
      <c r="AZ31" s="313">
        <f>COUNTIF(C31:Y31,"*BRT*")</f>
        <v/>
      </c>
      <c r="BA31" s="313">
        <f>COUNTIF(A31:AI31,"*$BTP*")</f>
        <v/>
      </c>
      <c r="BB31" s="313">
        <f>BA31*('Setting key Duty'!$I$13+'Setting key Duty'!$I$12+'Setting key Duty'!$I$11)</f>
        <v/>
      </c>
      <c r="BC31" s="313">
        <f>COUNTIF(D31:AI31,"*$L*")</f>
        <v/>
      </c>
      <c r="BD31" s="313">
        <f>BC31*('Setting key Duty'!$I$13+'Setting key Duty'!$I$9)</f>
        <v/>
      </c>
      <c r="BE31" s="313">
        <f>COUNTIF(D31:AI31,"*$M*")</f>
        <v/>
      </c>
      <c r="BF31" s="313">
        <f>BE31*('Setting key Duty'!$I$8+'Setting key Duty'!$I$9+'Setting key Duty'!$I$12)</f>
        <v/>
      </c>
      <c r="BG31" s="313">
        <f>COUNTIF(D31:AI31,"*$N*")</f>
        <v/>
      </c>
      <c r="BH31" s="313">
        <f>COUNTIF(D31:AI31,"*$PM*")</f>
        <v/>
      </c>
      <c r="BI31" s="313">
        <f>BH31*('Setting key Duty'!$I$9)</f>
        <v/>
      </c>
      <c r="BJ31" s="313">
        <f>COUNTIF(D31:AI31,"*$AM*")</f>
        <v/>
      </c>
      <c r="BK31" s="313">
        <f>BJ31*('Setting key Duty'!$I$12+'Setting key Duty'!$I$8)</f>
        <v/>
      </c>
      <c r="BL31" s="313">
        <f>COUNTIF(C31:AI31,"*$FC*")</f>
        <v/>
      </c>
      <c r="BM31" s="313">
        <f>BL31*('Setting key Duty'!$J$11+'Setting key Duty'!$I$8)</f>
        <v/>
      </c>
      <c r="BN31" s="313">
        <f>COUNTIF($C31:$AG31,BN$4)</f>
        <v/>
      </c>
      <c r="BO31" s="313">
        <f>COUNTIF($C31:$AG31,BO$4)</f>
        <v/>
      </c>
      <c r="BP31" s="313">
        <f>COUNTIF($D31:$AE31,BP$4)</f>
        <v/>
      </c>
      <c r="BQ31" s="345" t="n"/>
    </row>
    <row r="32" ht="19.5" customHeight="1">
      <c r="A32" s="309" t="n"/>
      <c r="B32" s="315" t="inlineStr">
        <is>
          <t>PTE EKLAYVA</t>
        </is>
      </c>
      <c r="C32" s="317" t="n"/>
      <c r="D32" s="317" t="n"/>
      <c r="E32" s="106" t="n"/>
      <c r="F32" s="106" t="n"/>
      <c r="G32" s="106" t="n"/>
      <c r="H32" s="106" t="n"/>
      <c r="I32" s="106" t="n"/>
      <c r="J32" s="317" t="n"/>
      <c r="K32" s="324" t="n"/>
      <c r="L32" s="324" t="n"/>
      <c r="M32" s="155" t="n"/>
      <c r="N32" s="324" t="n"/>
      <c r="O32" s="324" t="n"/>
      <c r="P32" s="317" t="n"/>
      <c r="Q32" s="106" t="n"/>
      <c r="R32" s="106" t="n"/>
      <c r="S32" s="197" t="inlineStr">
        <is>
          <t>UIP</t>
        </is>
      </c>
      <c r="T32" s="197" t="inlineStr">
        <is>
          <t>UIP</t>
        </is>
      </c>
      <c r="U32" s="197" t="inlineStr">
        <is>
          <t>UIP</t>
        </is>
      </c>
      <c r="V32" s="197" t="inlineStr">
        <is>
          <t>UIP</t>
        </is>
      </c>
      <c r="W32" s="197" t="inlineStr">
        <is>
          <t>UIP</t>
        </is>
      </c>
      <c r="X32" s="317" t="n"/>
      <c r="Y32" s="106" t="n"/>
      <c r="Z32" s="197" t="n">
        <v>1</v>
      </c>
      <c r="AA32" s="197" t="n"/>
      <c r="AB32" s="197" t="n">
        <v>2</v>
      </c>
      <c r="AC32" s="106" t="n"/>
      <c r="AD32" s="317" t="n">
        <v>3</v>
      </c>
      <c r="AE32" s="317" t="n"/>
      <c r="AF32" s="317" t="n"/>
      <c r="AG32" s="350" t="n"/>
      <c r="AH32" s="317" t="n"/>
      <c r="AI32" s="311" t="n"/>
      <c r="AJ32" s="312" t="n"/>
      <c r="AK32" s="311" t="n"/>
      <c r="AL32" s="344" t="n"/>
      <c r="AM32" s="344" t="n"/>
      <c r="AN32" s="344" t="n"/>
      <c r="AO32" s="344" t="n"/>
      <c r="AP32" s="246" t="n"/>
      <c r="AQ32" s="313" t="n"/>
      <c r="AR32" s="246" t="n"/>
      <c r="AS32" s="238" t="n"/>
      <c r="AT32" s="246" t="n"/>
      <c r="AU32" s="238" t="n"/>
      <c r="AV32" s="238" t="n"/>
      <c r="AW32" s="238" t="n"/>
      <c r="AX32" s="238" t="n"/>
      <c r="AY32" s="313" t="n"/>
      <c r="AZ32" s="313" t="n"/>
      <c r="BA32" s="313" t="n"/>
      <c r="BB32" s="313" t="n"/>
      <c r="BC32" s="313" t="n"/>
      <c r="BD32" s="313" t="n"/>
      <c r="BE32" s="313" t="n"/>
      <c r="BF32" s="313" t="n"/>
      <c r="BG32" s="313" t="n"/>
      <c r="BH32" s="313" t="n"/>
      <c r="BI32" s="313" t="n"/>
      <c r="BJ32" s="313" t="n"/>
      <c r="BK32" s="313" t="n"/>
      <c r="BL32" s="313" t="n"/>
      <c r="BM32" s="313" t="n"/>
      <c r="BN32" s="313" t="n"/>
      <c r="BO32" s="313" t="n"/>
      <c r="BP32" s="313" t="n"/>
      <c r="BQ32" s="345" t="n"/>
    </row>
    <row r="33" ht="19.5" customHeight="1">
      <c r="A33" s="309" t="n"/>
      <c r="B33" s="347" t="inlineStr">
        <is>
          <t>PTE ASHWIN</t>
        </is>
      </c>
      <c r="C33" s="317" t="n"/>
      <c r="D33" s="317" t="n"/>
      <c r="E33" s="106" t="n"/>
      <c r="F33" s="106" t="n"/>
      <c r="G33" s="106" t="n"/>
      <c r="H33" s="106" t="n"/>
      <c r="I33" s="106" t="n"/>
      <c r="J33" s="317" t="n"/>
      <c r="K33" s="324" t="n"/>
      <c r="L33" s="324" t="n"/>
      <c r="M33" s="155" t="n"/>
      <c r="N33" s="324" t="n"/>
      <c r="O33" s="324" t="n"/>
      <c r="P33" s="317" t="n"/>
      <c r="Q33" s="106" t="n"/>
      <c r="R33" s="106" t="n"/>
      <c r="S33" s="197" t="inlineStr">
        <is>
          <t>UIP</t>
        </is>
      </c>
      <c r="T33" s="197" t="inlineStr">
        <is>
          <t>UIP</t>
        </is>
      </c>
      <c r="U33" s="197" t="inlineStr">
        <is>
          <t>UIP</t>
        </is>
      </c>
      <c r="V33" s="197" t="inlineStr">
        <is>
          <t>UIP</t>
        </is>
      </c>
      <c r="W33" s="197" t="inlineStr">
        <is>
          <t>UIP</t>
        </is>
      </c>
      <c r="X33" s="317" t="n"/>
      <c r="Y33" s="106" t="n"/>
      <c r="Z33" s="106" t="n"/>
      <c r="AA33" s="106" t="n"/>
      <c r="AB33" s="106" t="n"/>
      <c r="AC33" s="106" t="n"/>
      <c r="AD33" s="317" t="n"/>
      <c r="AE33" s="317" t="n"/>
      <c r="AF33" s="317" t="n"/>
      <c r="AG33" s="350" t="n"/>
      <c r="AH33" s="317" t="n"/>
      <c r="AI33" s="311" t="n"/>
      <c r="AJ33" s="312" t="n"/>
      <c r="AK33" s="311" t="n"/>
      <c r="AL33" s="344" t="n"/>
      <c r="AM33" s="344" t="n"/>
      <c r="AN33" s="344" t="n"/>
      <c r="AO33" s="344" t="n"/>
      <c r="AP33" s="246" t="n"/>
      <c r="AQ33" s="313" t="n"/>
      <c r="AR33" s="246" t="n"/>
      <c r="AS33" s="238" t="n"/>
      <c r="AT33" s="246" t="n"/>
      <c r="AU33" s="238" t="n"/>
      <c r="AV33" s="238" t="n"/>
      <c r="AW33" s="238" t="n"/>
      <c r="AX33" s="238" t="n"/>
      <c r="AY33" s="313" t="n"/>
      <c r="AZ33" s="313" t="n"/>
      <c r="BA33" s="313" t="n"/>
      <c r="BB33" s="313" t="n"/>
      <c r="BC33" s="313" t="n"/>
      <c r="BD33" s="313" t="n"/>
      <c r="BE33" s="313" t="n"/>
      <c r="BF33" s="313" t="n"/>
      <c r="BG33" s="313" t="n"/>
      <c r="BH33" s="313" t="n"/>
      <c r="BI33" s="313" t="n"/>
      <c r="BJ33" s="313" t="n"/>
      <c r="BK33" s="313" t="n"/>
      <c r="BL33" s="313" t="n"/>
      <c r="BM33" s="313" t="n"/>
      <c r="BN33" s="313" t="n"/>
      <c r="BO33" s="313" t="n"/>
      <c r="BP33" s="313" t="n"/>
      <c r="BQ33" s="345" t="n"/>
    </row>
    <row r="34" ht="19.5" customHeight="1">
      <c r="A34" s="309" t="n"/>
      <c r="B34" s="347" t="inlineStr">
        <is>
          <t>PTE ZHONGHAO</t>
        </is>
      </c>
      <c r="C34" s="317" t="n"/>
      <c r="D34" s="317" t="n"/>
      <c r="E34" s="106" t="n"/>
      <c r="F34" s="106" t="n"/>
      <c r="G34" s="106" t="n"/>
      <c r="H34" s="106" t="n"/>
      <c r="I34" s="106" t="n"/>
      <c r="J34" s="317" t="n"/>
      <c r="K34" s="324" t="n"/>
      <c r="L34" s="324" t="n"/>
      <c r="M34" s="155" t="n"/>
      <c r="N34" s="324" t="n"/>
      <c r="O34" s="324" t="n"/>
      <c r="P34" s="317" t="n"/>
      <c r="Q34" s="106" t="n"/>
      <c r="R34" s="106" t="n"/>
      <c r="S34" s="197" t="inlineStr">
        <is>
          <t>UIP</t>
        </is>
      </c>
      <c r="T34" s="197" t="inlineStr">
        <is>
          <t>UIP</t>
        </is>
      </c>
      <c r="U34" s="197" t="inlineStr">
        <is>
          <t>UIP</t>
        </is>
      </c>
      <c r="V34" s="197" t="inlineStr">
        <is>
          <t>UIP</t>
        </is>
      </c>
      <c r="W34" s="197" t="inlineStr">
        <is>
          <t>UIP</t>
        </is>
      </c>
      <c r="X34" s="317" t="n"/>
      <c r="Y34" s="106" t="n"/>
      <c r="Z34" s="197" t="n">
        <v>1</v>
      </c>
      <c r="AA34" s="197" t="n"/>
      <c r="AB34" s="197" t="n">
        <v>2</v>
      </c>
      <c r="AC34" s="106" t="n"/>
      <c r="AD34" s="317" t="n">
        <v>3</v>
      </c>
      <c r="AE34" s="317" t="n"/>
      <c r="AF34" s="317" t="n"/>
      <c r="AG34" s="350" t="n"/>
      <c r="AH34" s="317" t="n"/>
      <c r="AI34" s="311" t="n"/>
      <c r="AJ34" s="312" t="n"/>
      <c r="AK34" s="311" t="n"/>
      <c r="AL34" s="344" t="n"/>
      <c r="AM34" s="344" t="n"/>
      <c r="AN34" s="344" t="n"/>
      <c r="AO34" s="344" t="n"/>
      <c r="AP34" s="246" t="n"/>
      <c r="AQ34" s="313" t="n"/>
      <c r="AR34" s="246" t="n"/>
      <c r="AS34" s="238" t="n"/>
      <c r="AT34" s="246" t="n"/>
      <c r="AU34" s="238" t="n"/>
      <c r="AV34" s="238" t="n"/>
      <c r="AW34" s="238" t="n"/>
      <c r="AX34" s="238" t="n"/>
      <c r="AY34" s="313" t="n"/>
      <c r="AZ34" s="313" t="n"/>
      <c r="BA34" s="313" t="n"/>
      <c r="BB34" s="313" t="n"/>
      <c r="BC34" s="313" t="n"/>
      <c r="BD34" s="313" t="n"/>
      <c r="BE34" s="313" t="n"/>
      <c r="BF34" s="313" t="n"/>
      <c r="BG34" s="313" t="n"/>
      <c r="BH34" s="313" t="n"/>
      <c r="BI34" s="313" t="n"/>
      <c r="BJ34" s="313" t="n"/>
      <c r="BK34" s="313" t="n"/>
      <c r="BL34" s="313" t="n"/>
      <c r="BM34" s="313" t="n"/>
      <c r="BN34" s="313" t="n"/>
      <c r="BO34" s="313" t="n"/>
      <c r="BP34" s="313" t="n"/>
      <c r="BQ34" s="345" t="n"/>
    </row>
    <row r="35" ht="19.5" customHeight="1">
      <c r="A35" s="309" t="n"/>
      <c r="B35" s="347" t="inlineStr">
        <is>
          <t>PTE DERRICK</t>
        </is>
      </c>
      <c r="C35" s="317" t="n"/>
      <c r="D35" s="317" t="n"/>
      <c r="E35" s="106" t="n"/>
      <c r="F35" s="106" t="n"/>
      <c r="G35" s="106" t="n"/>
      <c r="H35" s="106" t="n"/>
      <c r="I35" s="106" t="n"/>
      <c r="J35" s="317" t="n"/>
      <c r="K35" s="324" t="n"/>
      <c r="L35" s="324" t="n"/>
      <c r="M35" s="155" t="n"/>
      <c r="N35" s="324" t="n"/>
      <c r="O35" s="324" t="n"/>
      <c r="P35" s="317" t="n"/>
      <c r="Q35" s="106" t="n"/>
      <c r="R35" s="106" t="n"/>
      <c r="S35" s="197" t="inlineStr">
        <is>
          <t>UIP</t>
        </is>
      </c>
      <c r="T35" s="197" t="inlineStr">
        <is>
          <t>UIP</t>
        </is>
      </c>
      <c r="U35" s="197" t="inlineStr">
        <is>
          <t>UIP</t>
        </is>
      </c>
      <c r="V35" s="197" t="inlineStr">
        <is>
          <t>UIP</t>
        </is>
      </c>
      <c r="W35" s="197" t="inlineStr">
        <is>
          <t>UIP</t>
        </is>
      </c>
      <c r="X35" s="317" t="n"/>
      <c r="Y35" s="106" t="n"/>
      <c r="Z35" s="197" t="n">
        <v>1</v>
      </c>
      <c r="AA35" s="197" t="n"/>
      <c r="AB35" s="197" t="n">
        <v>2</v>
      </c>
      <c r="AC35" s="106" t="n"/>
      <c r="AD35" s="317" t="n">
        <v>3</v>
      </c>
      <c r="AE35" s="317" t="n"/>
      <c r="AF35" s="317" t="n"/>
      <c r="AG35" s="350" t="n"/>
      <c r="AH35" s="317" t="n"/>
      <c r="AI35" s="311" t="n"/>
      <c r="AJ35" s="312" t="n"/>
      <c r="AK35" s="311" t="n"/>
      <c r="AL35" s="344" t="n"/>
      <c r="AM35" s="344" t="n"/>
      <c r="AN35" s="344" t="n"/>
      <c r="AO35" s="344" t="n"/>
      <c r="AP35" s="246" t="n"/>
      <c r="AQ35" s="313" t="n"/>
      <c r="AR35" s="246" t="n"/>
      <c r="AS35" s="238" t="n"/>
      <c r="AT35" s="246" t="n"/>
      <c r="AU35" s="238" t="n"/>
      <c r="AV35" s="238" t="n"/>
      <c r="AW35" s="238" t="n"/>
      <c r="AX35" s="238" t="n"/>
      <c r="AY35" s="313" t="n"/>
      <c r="AZ35" s="313" t="n"/>
      <c r="BA35" s="313" t="n"/>
      <c r="BB35" s="313" t="n"/>
      <c r="BC35" s="313" t="n"/>
      <c r="BD35" s="313" t="n"/>
      <c r="BE35" s="313" t="n"/>
      <c r="BF35" s="313" t="n"/>
      <c r="BG35" s="313" t="n"/>
      <c r="BH35" s="313" t="n"/>
      <c r="BI35" s="313" t="n"/>
      <c r="BJ35" s="313" t="n"/>
      <c r="BK35" s="313" t="n"/>
      <c r="BL35" s="313" t="n"/>
      <c r="BM35" s="313" t="n"/>
      <c r="BN35" s="313" t="n"/>
      <c r="BO35" s="313" t="n"/>
      <c r="BP35" s="313" t="n"/>
      <c r="BQ35" s="345" t="n"/>
    </row>
    <row r="36" ht="19.5" customHeight="1">
      <c r="A36" s="309" t="n"/>
      <c r="B36" s="347" t="inlineStr">
        <is>
          <t>PTE GOH DI XUAN</t>
        </is>
      </c>
      <c r="C36" s="317" t="n"/>
      <c r="D36" s="317" t="n"/>
      <c r="E36" s="106" t="n"/>
      <c r="F36" s="106" t="n"/>
      <c r="G36" s="106" t="n"/>
      <c r="H36" s="106" t="n"/>
      <c r="I36" s="106" t="n"/>
      <c r="J36" s="317" t="n"/>
      <c r="K36" s="324" t="n"/>
      <c r="L36" s="324" t="n"/>
      <c r="M36" s="155" t="n"/>
      <c r="N36" s="324" t="n"/>
      <c r="O36" s="324" t="n"/>
      <c r="P36" s="317" t="n"/>
      <c r="Q36" s="106" t="n"/>
      <c r="R36" s="106" t="n"/>
      <c r="S36" s="197" t="inlineStr">
        <is>
          <t>UIP</t>
        </is>
      </c>
      <c r="T36" s="197" t="inlineStr">
        <is>
          <t>UIP</t>
        </is>
      </c>
      <c r="U36" s="197" t="inlineStr">
        <is>
          <t>UIP</t>
        </is>
      </c>
      <c r="V36" s="197" t="inlineStr">
        <is>
          <t>UIP</t>
        </is>
      </c>
      <c r="W36" s="197" t="inlineStr">
        <is>
          <t>UIP</t>
        </is>
      </c>
      <c r="X36" s="317" t="n"/>
      <c r="Y36" s="106" t="n"/>
      <c r="Z36" s="197" t="n">
        <v>3</v>
      </c>
      <c r="AA36" s="197" t="n"/>
      <c r="AB36" s="197" t="n">
        <v>4</v>
      </c>
      <c r="AC36" s="106" t="n"/>
      <c r="AD36" s="317" t="n"/>
      <c r="AE36" s="317" t="n"/>
      <c r="AF36" s="317" t="n"/>
      <c r="AG36" s="350" t="n"/>
      <c r="AH36" s="317" t="n"/>
      <c r="AI36" s="311" t="n"/>
      <c r="AJ36" s="312" t="n"/>
      <c r="AK36" s="311" t="n"/>
      <c r="AL36" s="344" t="n"/>
      <c r="AM36" s="344" t="n"/>
      <c r="AN36" s="344" t="n"/>
      <c r="AO36" s="344" t="n"/>
      <c r="AP36" s="246" t="n"/>
      <c r="AQ36" s="313" t="n"/>
      <c r="AR36" s="246" t="n"/>
      <c r="AS36" s="238" t="n"/>
      <c r="AT36" s="246" t="n"/>
      <c r="AU36" s="238" t="n"/>
      <c r="AV36" s="238" t="n"/>
      <c r="AW36" s="238" t="n"/>
      <c r="AX36" s="238" t="n"/>
      <c r="AY36" s="313" t="n"/>
      <c r="AZ36" s="313" t="n"/>
      <c r="BA36" s="313" t="n"/>
      <c r="BB36" s="313" t="n"/>
      <c r="BC36" s="313" t="n"/>
      <c r="BD36" s="313" t="n"/>
      <c r="BE36" s="313" t="n"/>
      <c r="BF36" s="313" t="n"/>
      <c r="BG36" s="313" t="n"/>
      <c r="BH36" s="313" t="n"/>
      <c r="BI36" s="313" t="n"/>
      <c r="BJ36" s="313" t="n"/>
      <c r="BK36" s="313" t="n"/>
      <c r="BL36" s="313" t="n"/>
      <c r="BM36" s="313" t="n"/>
      <c r="BN36" s="313" t="n"/>
      <c r="BO36" s="313" t="n"/>
      <c r="BP36" s="313" t="n"/>
      <c r="BQ36" s="345" t="n"/>
    </row>
    <row r="37" ht="19.5" customHeight="1">
      <c r="A37" s="309" t="n"/>
      <c r="B37" s="347" t="inlineStr">
        <is>
          <t>LCP HAZIQ</t>
        </is>
      </c>
      <c r="C37" s="317" t="n"/>
      <c r="D37" s="317" t="n"/>
      <c r="E37" s="106" t="n"/>
      <c r="F37" s="106" t="n"/>
      <c r="G37" s="106" t="n"/>
      <c r="H37" s="106" t="n"/>
      <c r="I37" s="106" t="n"/>
      <c r="J37" s="317" t="n"/>
      <c r="K37" s="324" t="n"/>
      <c r="L37" s="324" t="n"/>
      <c r="M37" s="155" t="n"/>
      <c r="N37" s="324" t="n"/>
      <c r="O37" s="324" t="n"/>
      <c r="P37" s="317" t="n"/>
      <c r="Q37" s="106" t="n"/>
      <c r="R37" s="106" t="n"/>
      <c r="S37" s="197" t="inlineStr">
        <is>
          <t>UIP</t>
        </is>
      </c>
      <c r="T37" s="197" t="inlineStr">
        <is>
          <t>UIP</t>
        </is>
      </c>
      <c r="U37" s="197" t="inlineStr">
        <is>
          <t>UIP</t>
        </is>
      </c>
      <c r="V37" s="197" t="inlineStr">
        <is>
          <t>UIP</t>
        </is>
      </c>
      <c r="W37" s="197" t="inlineStr">
        <is>
          <t>UIP</t>
        </is>
      </c>
      <c r="X37" s="317" t="n"/>
      <c r="Y37" s="106" t="n"/>
      <c r="Z37" s="106" t="n"/>
      <c r="AA37" s="106" t="n"/>
      <c r="AB37" s="106" t="n"/>
      <c r="AC37" s="106" t="n"/>
      <c r="AD37" s="317" t="n"/>
      <c r="AE37" s="317" t="n"/>
      <c r="AF37" s="317" t="n"/>
      <c r="AG37" s="350" t="n"/>
      <c r="AH37" s="317" t="n"/>
      <c r="AI37" s="311" t="n"/>
      <c r="AJ37" s="312" t="n"/>
      <c r="AK37" s="311" t="n"/>
      <c r="AL37" s="344" t="n"/>
      <c r="AM37" s="344" t="n"/>
      <c r="AN37" s="344" t="n"/>
      <c r="AO37" s="344" t="n"/>
      <c r="AP37" s="246" t="n"/>
      <c r="AQ37" s="313" t="n"/>
      <c r="AR37" s="246" t="n"/>
      <c r="AS37" s="238" t="n"/>
      <c r="AT37" s="246" t="n"/>
      <c r="AU37" s="238" t="n"/>
      <c r="AV37" s="238" t="n"/>
      <c r="AW37" s="238" t="n"/>
      <c r="AX37" s="238" t="n"/>
      <c r="AY37" s="313" t="n"/>
      <c r="AZ37" s="313" t="n"/>
      <c r="BA37" s="313" t="n"/>
      <c r="BB37" s="313" t="n"/>
      <c r="BC37" s="313" t="n"/>
      <c r="BD37" s="313" t="n"/>
      <c r="BE37" s="313" t="n"/>
      <c r="BF37" s="313" t="n"/>
      <c r="BG37" s="313" t="n"/>
      <c r="BH37" s="313" t="n"/>
      <c r="BI37" s="313" t="n"/>
      <c r="BJ37" s="313" t="n"/>
      <c r="BK37" s="313" t="n"/>
      <c r="BL37" s="313" t="n"/>
      <c r="BM37" s="313" t="n"/>
      <c r="BN37" s="313" t="n"/>
      <c r="BO37" s="313" t="n"/>
      <c r="BP37" s="313" t="n"/>
      <c r="BQ37" s="345" t="n"/>
    </row>
    <row r="38" ht="19.5" customHeight="1">
      <c r="A38" s="309" t="n"/>
      <c r="B38" s="347" t="inlineStr">
        <is>
          <t>PTE WILLARD</t>
        </is>
      </c>
      <c r="C38" s="317" t="n"/>
      <c r="D38" s="317" t="n"/>
      <c r="E38" s="106" t="n"/>
      <c r="F38" s="106" t="n"/>
      <c r="G38" s="106" t="n"/>
      <c r="H38" s="106" t="n"/>
      <c r="I38" s="106" t="n"/>
      <c r="J38" s="317" t="n"/>
      <c r="K38" s="324" t="n"/>
      <c r="L38" s="324" t="n"/>
      <c r="M38" s="155" t="n"/>
      <c r="N38" s="324" t="n"/>
      <c r="O38" s="324" t="n"/>
      <c r="P38" s="317" t="n"/>
      <c r="Q38" s="106" t="n"/>
      <c r="R38" s="106" t="n"/>
      <c r="S38" s="197" t="inlineStr">
        <is>
          <t>UIP</t>
        </is>
      </c>
      <c r="T38" s="197" t="inlineStr">
        <is>
          <t>UIP</t>
        </is>
      </c>
      <c r="U38" s="197" t="inlineStr">
        <is>
          <t>UIP</t>
        </is>
      </c>
      <c r="V38" s="197" t="inlineStr">
        <is>
          <t>UIP</t>
        </is>
      </c>
      <c r="W38" s="197" t="inlineStr">
        <is>
          <t>UIP</t>
        </is>
      </c>
      <c r="X38" s="317" t="n"/>
      <c r="Y38" s="106" t="n"/>
      <c r="Z38" s="106" t="n"/>
      <c r="AA38" s="106" t="n"/>
      <c r="AB38" s="106" t="n"/>
      <c r="AC38" s="106" t="n"/>
      <c r="AD38" s="317" t="n">
        <v>1</v>
      </c>
      <c r="AE38" s="317" t="n"/>
      <c r="AF38" s="317" t="n"/>
      <c r="AG38" s="350" t="n"/>
      <c r="AH38" s="317" t="n"/>
      <c r="AI38" s="311" t="n"/>
      <c r="AJ38" s="312" t="n"/>
      <c r="AK38" s="311" t="n"/>
      <c r="AL38" s="344" t="n"/>
      <c r="AM38" s="344" t="n"/>
      <c r="AN38" s="344" t="n"/>
      <c r="AO38" s="344" t="n"/>
      <c r="AP38" s="246" t="n"/>
      <c r="AQ38" s="313" t="n"/>
      <c r="AR38" s="246" t="n"/>
      <c r="AS38" s="238" t="n"/>
      <c r="AT38" s="246" t="n"/>
      <c r="AU38" s="238" t="n"/>
      <c r="AV38" s="238" t="n"/>
      <c r="AW38" s="238" t="n"/>
      <c r="AX38" s="238" t="n"/>
      <c r="AY38" s="313" t="n"/>
      <c r="AZ38" s="313" t="n"/>
      <c r="BA38" s="313" t="n"/>
      <c r="BB38" s="313" t="n"/>
      <c r="BC38" s="313" t="n"/>
      <c r="BD38" s="313" t="n"/>
      <c r="BE38" s="313" t="n"/>
      <c r="BF38" s="313" t="n"/>
      <c r="BG38" s="313" t="n"/>
      <c r="BH38" s="313" t="n"/>
      <c r="BI38" s="313" t="n"/>
      <c r="BJ38" s="313" t="n"/>
      <c r="BK38" s="313" t="n"/>
      <c r="BL38" s="313" t="n"/>
      <c r="BM38" s="313" t="n"/>
      <c r="BN38" s="313" t="n"/>
      <c r="BO38" s="313" t="n"/>
      <c r="BP38" s="313" t="n"/>
      <c r="BQ38" s="345" t="n"/>
    </row>
    <row r="39" ht="19.5" customHeight="1">
      <c r="A39" s="309" t="n"/>
      <c r="B39" s="354" t="n"/>
      <c r="C39" s="317" t="n"/>
      <c r="D39" s="317" t="n"/>
      <c r="E39" s="106" t="n"/>
      <c r="F39" s="106" t="n"/>
      <c r="G39" s="106" t="n"/>
      <c r="H39" s="106" t="n"/>
      <c r="I39" s="106" t="n"/>
      <c r="J39" s="317" t="n"/>
      <c r="K39" s="324" t="n"/>
      <c r="L39" s="324" t="n"/>
      <c r="M39" s="155" t="n"/>
      <c r="N39" s="324" t="n"/>
      <c r="O39" s="324" t="n"/>
      <c r="P39" s="317" t="n"/>
      <c r="Q39" s="106" t="n"/>
      <c r="R39" s="106" t="n"/>
      <c r="S39" s="106" t="n"/>
      <c r="T39" s="317" t="n"/>
      <c r="U39" s="106" t="n"/>
      <c r="V39" s="317" t="n"/>
      <c r="W39" s="106" t="n"/>
      <c r="X39" s="317" t="n"/>
      <c r="Y39" s="106" t="n"/>
      <c r="Z39" s="106" t="n"/>
      <c r="AA39" s="106" t="n"/>
      <c r="AB39" s="106" t="n"/>
      <c r="AC39" s="106" t="n"/>
      <c r="AD39" s="317" t="n"/>
      <c r="AE39" s="317" t="n"/>
      <c r="AF39" s="317" t="n"/>
      <c r="AG39" s="350" t="n"/>
      <c r="AH39" s="317" t="n"/>
      <c r="AI39" s="311" t="n"/>
      <c r="AJ39" s="312" t="n"/>
      <c r="AK39" s="311" t="n"/>
      <c r="AL39" s="344" t="n"/>
      <c r="AM39" s="344" t="n"/>
      <c r="AN39" s="344" t="n"/>
      <c r="AO39" s="344" t="n"/>
      <c r="AP39" s="246" t="n"/>
      <c r="AQ39" s="313" t="n"/>
      <c r="AR39" s="246" t="n"/>
      <c r="AS39" s="238" t="n"/>
      <c r="AT39" s="246" t="n"/>
      <c r="AU39" s="238" t="n"/>
      <c r="AV39" s="238" t="n"/>
      <c r="AW39" s="238" t="n"/>
      <c r="AX39" s="238" t="n"/>
      <c r="AY39" s="313" t="n"/>
      <c r="AZ39" s="313" t="n"/>
      <c r="BA39" s="313" t="n"/>
      <c r="BB39" s="313" t="n"/>
      <c r="BC39" s="313" t="n"/>
      <c r="BD39" s="313" t="n"/>
      <c r="BE39" s="313" t="n"/>
      <c r="BF39" s="313" t="n"/>
      <c r="BG39" s="313" t="n"/>
      <c r="BH39" s="313" t="n"/>
      <c r="BI39" s="313" t="n"/>
      <c r="BJ39" s="313" t="n"/>
      <c r="BK39" s="313" t="n"/>
      <c r="BL39" s="313" t="n"/>
      <c r="BM39" s="313" t="n"/>
      <c r="BN39" s="313" t="n"/>
      <c r="BO39" s="313" t="n"/>
      <c r="BP39" s="313" t="n"/>
      <c r="BQ39" s="345" t="n"/>
    </row>
    <row r="40" ht="19.5" customHeight="1">
      <c r="A40" s="309" t="n"/>
      <c r="B40" s="354" t="inlineStr">
        <is>
          <t>Leave a blank row after the last name ^</t>
        </is>
      </c>
      <c r="C40" s="349" t="n"/>
      <c r="D40" s="317" t="n"/>
      <c r="E40" s="317" t="n"/>
      <c r="F40" s="317" t="n"/>
      <c r="G40" s="317" t="n"/>
      <c r="H40" s="317" t="n"/>
      <c r="I40" s="317" t="n"/>
      <c r="J40" s="317" t="n"/>
      <c r="K40" s="317" t="n"/>
      <c r="L40" s="317" t="n"/>
      <c r="N40" s="317" t="n"/>
      <c r="O40" s="317" t="n"/>
      <c r="P40" s="317" t="n"/>
      <c r="Q40" s="106" t="n"/>
      <c r="R40" s="106" t="n"/>
      <c r="S40" s="317" t="n"/>
      <c r="T40" s="317" t="n"/>
      <c r="U40" s="198" t="n"/>
      <c r="V40" s="317" t="n"/>
      <c r="W40" s="317" t="n"/>
      <c r="X40" s="317" t="n"/>
      <c r="Y40" s="356" t="n"/>
      <c r="Z40" s="356" t="n"/>
      <c r="AA40" s="356" t="n"/>
      <c r="AB40" s="356" t="n"/>
      <c r="AC40" s="356" t="n"/>
      <c r="AD40" s="356" t="n"/>
      <c r="AE40" s="317" t="n"/>
      <c r="AF40" s="317" t="n"/>
      <c r="AG40" s="350" t="n"/>
      <c r="AH40" s="317" t="n"/>
      <c r="AI40" s="311">
        <f>COUNTIF($C40:$AG40,AI$4)</f>
        <v/>
      </c>
      <c r="AJ40" s="312">
        <f>COUNTIF($C40:$AG40,AJ$4)</f>
        <v/>
      </c>
      <c r="AK40" s="311">
        <f>COUNTIF($C40:$AG40,AK$4)</f>
        <v/>
      </c>
      <c r="AL40" s="344">
        <f>COUNTIF($C40:$AG40,AL$4)</f>
        <v/>
      </c>
      <c r="AM40" s="344">
        <f>COUNTIF($C40:$AG40,AM$4)</f>
        <v/>
      </c>
      <c r="AN40" s="344">
        <f>COUNTIF($C40:$AG40,AN$4)</f>
        <v/>
      </c>
      <c r="AO40" s="344">
        <f>COUNTIF($C40:$AG40,AO$4)</f>
        <v/>
      </c>
      <c r="AP40" s="246" t="n"/>
      <c r="AQ40" s="313" t="n"/>
      <c r="AR40" s="246" t="n"/>
      <c r="AS40" s="238" t="n"/>
      <c r="AT40" s="246" t="n"/>
      <c r="AU40" s="246" t="n"/>
      <c r="AV40" s="238" t="n"/>
      <c r="AW40" s="238" t="n"/>
      <c r="AX40" s="238" t="n"/>
      <c r="AY40" s="313" t="n"/>
      <c r="AZ40" s="313" t="n"/>
      <c r="BA40" s="313" t="n"/>
      <c r="BB40" s="313" t="n"/>
      <c r="BC40" s="313" t="n"/>
      <c r="BD40" s="313" t="n"/>
      <c r="BE40" s="313" t="n"/>
      <c r="BF40" s="313" t="n"/>
      <c r="BG40" s="313" t="n"/>
      <c r="BH40" s="313" t="n"/>
      <c r="BI40" s="313" t="n"/>
      <c r="BJ40" s="313" t="n"/>
      <c r="BK40" s="313" t="n"/>
      <c r="BL40" s="313" t="n"/>
      <c r="BM40" s="313" t="n"/>
      <c r="BN40" s="344" t="n"/>
      <c r="BO40" s="344" t="n"/>
      <c r="BP40" s="344" t="n"/>
      <c r="BQ40" s="345" t="n"/>
    </row>
    <row r="41" ht="19.5" customHeight="1">
      <c r="A41" s="309" t="n"/>
      <c r="B41" s="357" t="n"/>
      <c r="C41" s="358" t="n"/>
      <c r="D41" s="359" t="n"/>
      <c r="E41" s="359" t="n"/>
      <c r="F41" s="359" t="n"/>
      <c r="G41" s="359" t="n"/>
      <c r="H41" s="358" t="n"/>
      <c r="I41" s="358" t="n"/>
      <c r="J41" s="358" t="n"/>
      <c r="K41" s="358" t="n"/>
      <c r="L41" s="358" t="n"/>
      <c r="M41" s="358" t="n"/>
      <c r="N41" s="358" t="n"/>
      <c r="O41" s="358" t="n"/>
      <c r="P41" s="358" t="n"/>
      <c r="Q41" s="358" t="n"/>
      <c r="R41" s="358" t="n"/>
      <c r="S41" s="358" t="n"/>
      <c r="T41" s="358" t="n"/>
      <c r="U41" s="358" t="n"/>
      <c r="V41" s="358" t="n"/>
      <c r="W41" s="358" t="n"/>
      <c r="X41" s="358" t="n"/>
      <c r="Y41" s="358" t="n"/>
      <c r="Z41" s="358" t="n"/>
      <c r="AA41" s="358" t="n"/>
      <c r="AB41" s="358" t="n"/>
      <c r="AC41" s="358" t="n"/>
      <c r="AD41" s="358" t="n"/>
      <c r="AE41" s="358" t="n"/>
      <c r="AF41" s="358" t="n"/>
      <c r="AG41" s="358" t="n"/>
      <c r="AH41" s="360" t="n"/>
      <c r="AI41" s="361" t="n"/>
      <c r="AJ41" s="362" t="n"/>
      <c r="AK41" s="361" t="n"/>
      <c r="AL41" s="363" t="n"/>
      <c r="AM41" s="363" t="n"/>
      <c r="AN41" s="363" t="n"/>
      <c r="AO41" s="363" t="n"/>
      <c r="AP41" s="253" t="n"/>
      <c r="AQ41" s="253" t="n"/>
      <c r="AR41" s="253" t="n"/>
      <c r="AS41" s="253">
        <f>SUMPRODUCT(--WEEKDAY(C$3:AG$3,2)&gt;5,--((C41:AG41="DM"))+(C41:AG41="CS1")+((C41:AG41="CS2"))+(C41:AG41="SB1")+(C41:AG41="AE")+(C41:AG41="EM"))</f>
        <v/>
      </c>
      <c r="AT41" s="253" t="n"/>
      <c r="AU41" s="253">
        <f>(AQ41-AR41)/2+(AS41-AT41)</f>
        <v/>
      </c>
      <c r="AV41" s="253" t="n"/>
      <c r="AW41" s="253" t="n"/>
      <c r="AX41" s="253" t="n"/>
      <c r="AY41" s="363" t="n"/>
      <c r="AZ41" s="363" t="n"/>
      <c r="BA41" s="363" t="n"/>
      <c r="BB41" s="363" t="n"/>
      <c r="BC41" s="363" t="n"/>
      <c r="BD41" s="363" t="n"/>
      <c r="BE41" s="363" t="n"/>
      <c r="BF41" s="363" t="n"/>
      <c r="BG41" s="363" t="n"/>
      <c r="BH41" s="363" t="n"/>
      <c r="BI41" s="363" t="n"/>
      <c r="BJ41" s="363" t="n"/>
      <c r="BK41" s="363" t="n"/>
      <c r="BL41" s="363" t="n"/>
      <c r="BM41" s="363" t="n"/>
      <c r="BN41" s="363" t="n"/>
      <c r="BO41" s="363" t="n"/>
      <c r="BP41" s="363" t="n"/>
      <c r="BQ41" s="364" t="n"/>
    </row>
    <row r="42" ht="19.5" customHeight="1">
      <c r="A42" s="309" t="n"/>
      <c r="B42" s="365" t="inlineStr">
        <is>
          <t>DM</t>
        </is>
      </c>
      <c r="C42" s="366">
        <f>VLOOKUP("DM",C4:C40,1,FALSE)</f>
        <v/>
      </c>
      <c r="D42" s="366">
        <f>VLOOKUP("DM",D4:D40,1,FALSE)</f>
        <v/>
      </c>
      <c r="E42" s="366">
        <f>VLOOKUP("DM",E1:E40,1,FALSE)</f>
        <v/>
      </c>
      <c r="F42" s="366">
        <f>VLOOKUP("DM",F4:F40,1,FALSE)</f>
        <v/>
      </c>
      <c r="G42" s="366">
        <f>VLOOKUP("DM",G4:G40,1,FALSE)</f>
        <v/>
      </c>
      <c r="H42" s="366">
        <f>VLOOKUP("DM",H4:H40,1,FALSE)</f>
        <v/>
      </c>
      <c r="I42" s="366">
        <f>VLOOKUP("DM",I4:I40,1,FALSE)</f>
        <v/>
      </c>
      <c r="J42" s="366">
        <f>VLOOKUP("DM",J4:J40,1,FALSE)</f>
        <v/>
      </c>
      <c r="K42" s="366">
        <f>VLOOKUP("DM",K4:K40,1,FALSE)</f>
        <v/>
      </c>
      <c r="L42" s="366">
        <f>VLOOKUP("DM",L4:L40,1,FALSE)</f>
        <v/>
      </c>
      <c r="M42" s="366">
        <f>VLOOKUP("DM",M4:M27,1,FALSE)</f>
        <v/>
      </c>
      <c r="N42" s="366">
        <f>VLOOKUP("DM",N4:N40,1,FALSE)</f>
        <v/>
      </c>
      <c r="O42" s="366">
        <f>VLOOKUP("DM",O4:O40,1,FALSE)</f>
        <v/>
      </c>
      <c r="P42" s="366">
        <f>VLOOKUP("DM",P4:P40,1,FALSE)</f>
        <v/>
      </c>
      <c r="Q42" s="366">
        <f>VLOOKUP("DM",Q4:Q31,1,FALSE)</f>
        <v/>
      </c>
      <c r="R42" s="366">
        <f>VLOOKUP("DM",R4:R25,1,FALSE)</f>
        <v/>
      </c>
      <c r="S42" s="366">
        <f>VLOOKUP("DM",S4:S40,1,FALSE)</f>
        <v/>
      </c>
      <c r="T42" s="366">
        <f>VLOOKUP("DM",T4:T40,1,FALSE)</f>
        <v/>
      </c>
      <c r="U42" s="366">
        <f>VLOOKUP("DM",U4:U40,1,FALSE)</f>
        <v/>
      </c>
      <c r="V42" s="366">
        <f>VLOOKUP("DM",V4:V25,1,FALSE)</f>
        <v/>
      </c>
      <c r="W42" s="366">
        <f>VLOOKUP("DM",W4:W25,1,FALSE)</f>
        <v/>
      </c>
      <c r="X42" s="366">
        <f>VLOOKUP("DM",X4:X40,1,FALSE)</f>
        <v/>
      </c>
      <c r="Y42" s="366">
        <f>VLOOKUP("DM",Y4:Y40,1,FALSE)</f>
        <v/>
      </c>
      <c r="Z42" s="366">
        <f>VLOOKUP("DM",Z4:Z40,1,FALSE)</f>
        <v/>
      </c>
      <c r="AA42" s="366">
        <f>VLOOKUP("DM",AA1:AA40,1,FALSE)</f>
        <v/>
      </c>
      <c r="AB42" s="366">
        <f>VLOOKUP("DM",AB4:AB40,1,FALSE)</f>
        <v/>
      </c>
      <c r="AC42" s="366">
        <f>VLOOKUP("DM",AC4:AC40,1,FALSE)</f>
        <v/>
      </c>
      <c r="AD42" s="366">
        <f>VLOOKUP("DM",AD4:AD40,1,FALSE)</f>
        <v/>
      </c>
      <c r="AE42" s="366">
        <f>VLOOKUP("DM",AE4:AE40,1,FALSE)</f>
        <v/>
      </c>
      <c r="AF42" s="366">
        <f>VLOOKUP("DM",AF4:AF40,1,FALSE)</f>
        <v/>
      </c>
      <c r="AG42" s="366">
        <f>VLOOKUP("DM",AG4:AG40,1,FALSE)</f>
        <v/>
      </c>
      <c r="AH42" s="387" t="n"/>
      <c r="AI42" s="311" t="n"/>
      <c r="AJ42" s="312" t="n"/>
      <c r="AK42" s="311" t="n"/>
      <c r="AL42" s="313" t="n"/>
      <c r="AM42" s="313" t="n"/>
      <c r="AN42" s="313" t="n"/>
      <c r="AO42" s="313" t="n"/>
      <c r="AP42" s="313" t="n"/>
      <c r="AQ42" s="313" t="n"/>
      <c r="AR42" s="313" t="n"/>
      <c r="AS42" s="313" t="n"/>
      <c r="AT42" s="313" t="n"/>
      <c r="AU42" s="313" t="n"/>
      <c r="AV42" s="313" t="n"/>
      <c r="AW42" s="313" t="n"/>
      <c r="AX42" s="313" t="n"/>
      <c r="AY42" s="313" t="n"/>
      <c r="AZ42" s="313" t="n"/>
      <c r="BA42" s="313" t="n"/>
      <c r="BB42" s="313" t="n"/>
      <c r="BC42" s="313" t="n"/>
      <c r="BD42" s="313" t="n"/>
      <c r="BE42" s="313" t="n"/>
      <c r="BF42" s="313" t="n"/>
      <c r="BG42" s="313" t="n"/>
      <c r="BH42" s="313" t="n"/>
      <c r="BI42" s="313" t="n"/>
      <c r="BJ42" s="313" t="n"/>
      <c r="BK42" s="313" t="n"/>
      <c r="BL42" s="313" t="n"/>
      <c r="BM42" s="313" t="n"/>
      <c r="BN42" s="313" t="n"/>
      <c r="BO42" s="313" t="n"/>
      <c r="BP42" s="313" t="n"/>
      <c r="BQ42" s="314" t="n"/>
    </row>
    <row r="43" ht="19.5" customHeight="1">
      <c r="A43" s="309">
        <f>LTE()</f>
        <v/>
      </c>
      <c r="B43" s="368" t="inlineStr">
        <is>
          <t>CS1</t>
        </is>
      </c>
      <c r="C43" s="366">
        <f>VLOOKUP("CS1",C5:C40,1,FALSE)</f>
        <v/>
      </c>
      <c r="D43" s="366">
        <f>VLOOKUP("CS1",D1:D40,1,FALSE)</f>
        <v/>
      </c>
      <c r="E43" s="366">
        <f>VLOOKUP("CS1",E7:E40,1,FALSE)</f>
        <v/>
      </c>
      <c r="F43" s="366">
        <f>VLOOKUP("CS1",F8:F40,1,FALSE)</f>
        <v/>
      </c>
      <c r="G43" s="366">
        <f>VLOOKUP("CS1",G8:G40,1,FALSE)</f>
        <v/>
      </c>
      <c r="H43" s="366">
        <f>VLOOKUP("CS1",H6:H40,1,FALSE)</f>
        <v/>
      </c>
      <c r="I43" s="366">
        <f>VLOOKUP("CS1",I6:I40,1,FALSE)</f>
        <v/>
      </c>
      <c r="J43" s="366">
        <f>VLOOKUP("CS1",J4:J40,1,FALSE)</f>
        <v/>
      </c>
      <c r="K43" s="366">
        <f>VLOOKUP("CS1",K1:K40,1,FALSE)</f>
        <v/>
      </c>
      <c r="L43" s="366">
        <f>VLOOKUP("CS1",L1:L40,1,FALSE)</f>
        <v/>
      </c>
      <c r="M43" s="366">
        <f>VLOOKUP("CS1",M7:M27,1,FALSE)</f>
        <v/>
      </c>
      <c r="N43" s="366">
        <f>VLOOKUP("CS1",N6:N40,1,FALSE)</f>
        <v/>
      </c>
      <c r="O43" s="366">
        <f>VLOOKUP("CS1",O1:O40,1,FALSE)</f>
        <v/>
      </c>
      <c r="P43" s="366">
        <f>VLOOKUP("CS1",P5:P40,1,FALSE)</f>
        <v/>
      </c>
      <c r="Q43" s="366">
        <f>VLOOKUP("CS1",Q6:Q31,1,FALSE)</f>
        <v/>
      </c>
      <c r="R43" s="366">
        <f>VLOOKUP("CS1",R6:R25,1,FALSE)</f>
        <v/>
      </c>
      <c r="S43" s="366">
        <f>VLOOKUP("CS1",S7:S40,1,FALSE)</f>
        <v/>
      </c>
      <c r="T43" s="366">
        <f>VLOOKUP("CS1",T1:T40,1,FALSE)</f>
        <v/>
      </c>
      <c r="U43" s="366">
        <f>VLOOKUP("CS1",U6:U40,1,FALSE)</f>
        <v/>
      </c>
      <c r="V43" s="366">
        <f>VLOOKUP("CS1",V1:V25,1,FALSE)</f>
        <v/>
      </c>
      <c r="W43" s="366">
        <f>VLOOKUP("CS1",W1:W25,1,FALSE)</f>
        <v/>
      </c>
      <c r="X43" s="366">
        <f>VLOOKUP("CS1",X1:X40,1,FALSE)</f>
        <v/>
      </c>
      <c r="Y43" s="366">
        <f>VLOOKUP("CS1",Y6:Y40,1,FALSE)</f>
        <v/>
      </c>
      <c r="Z43" s="366">
        <f>VLOOKUP("CS1",Z9:Z40,1,FALSE)</f>
        <v/>
      </c>
      <c r="AA43" s="366">
        <f>VLOOKUP("CS1",AA1:AA40,1,FALSE)</f>
        <v/>
      </c>
      <c r="AB43" s="366">
        <f>VLOOKUP("CS1",AB5:AB40,1,FALSE)</f>
        <v/>
      </c>
      <c r="AC43" s="366">
        <f>VLOOKUP("CS1",AC7:AC40,1,FALSE)</f>
        <v/>
      </c>
      <c r="AD43" s="366">
        <f>VLOOKUP("CS1",AD1:AD40,1,FALSE)</f>
        <v/>
      </c>
      <c r="AE43" s="366">
        <f>VLOOKUP("CS1",AE1:AE40,1,FALSE)</f>
        <v/>
      </c>
      <c r="AF43" s="366">
        <f>VLOOKUP("CS1",AF7:AF40,1,FALSE)</f>
        <v/>
      </c>
      <c r="AG43" s="366">
        <f>VLOOKUP("CS1",AG7:AG40,1,FALSE)</f>
        <v/>
      </c>
      <c r="AH43" s="387" t="n"/>
      <c r="AI43" s="311" t="n"/>
      <c r="AJ43" s="312" t="n"/>
      <c r="AK43" s="311" t="n"/>
      <c r="AL43" s="313" t="n"/>
      <c r="AM43" s="313" t="n"/>
      <c r="AN43" s="313" t="n"/>
      <c r="AO43" s="313" t="n"/>
      <c r="AP43" s="313" t="n"/>
      <c r="AQ43" s="313" t="n"/>
      <c r="AR43" s="313" t="n"/>
      <c r="AS43" s="313" t="n"/>
      <c r="AT43" s="313" t="n"/>
      <c r="AU43" s="313" t="n"/>
      <c r="AV43" s="313" t="n"/>
      <c r="AW43" s="313" t="n"/>
      <c r="AX43" s="313" t="n"/>
      <c r="AY43" s="313" t="n"/>
      <c r="AZ43" s="313" t="n"/>
      <c r="BA43" s="313" t="n"/>
      <c r="BB43" s="313" t="n"/>
      <c r="BC43" s="313" t="n"/>
      <c r="BD43" s="313" t="n"/>
      <c r="BE43" s="313" t="n"/>
      <c r="BF43" s="313" t="n"/>
      <c r="BG43" s="313" t="n"/>
      <c r="BH43" s="313" t="n"/>
      <c r="BI43" s="313" t="n"/>
      <c r="BJ43" s="313" t="n"/>
      <c r="BK43" s="313" t="n"/>
      <c r="BL43" s="313" t="n"/>
      <c r="BM43" s="313" t="n"/>
      <c r="BN43" s="313" t="n"/>
      <c r="BO43" s="313" t="n"/>
      <c r="BP43" s="313" t="n"/>
      <c r="BQ43" s="314" t="n"/>
    </row>
    <row r="44" ht="19.5" customHeight="1">
      <c r="A44" s="309" t="n"/>
      <c r="B44" s="369" t="inlineStr">
        <is>
          <t>CS2</t>
        </is>
      </c>
      <c r="C44" s="366">
        <f>VLOOKUP("CS2",C6:C40,1,FALSE)</f>
        <v/>
      </c>
      <c r="D44" s="366">
        <f>VLOOKUP("CS2",D9:D40,1,FALSE)</f>
        <v/>
      </c>
      <c r="E44" s="366">
        <f>VLOOKUP("CS2",E7:E40,1,FALSE)</f>
        <v/>
      </c>
      <c r="F44" s="366">
        <f>VLOOKUP("CS2",F8:F40,1,FALSE)</f>
        <v/>
      </c>
      <c r="G44" s="366">
        <f>VLOOKUP("CS2",G1:G40,1,FALSE)</f>
        <v/>
      </c>
      <c r="H44" s="366">
        <f>VLOOKUP("CS2",H1:H40,1,FALSE)</f>
        <v/>
      </c>
      <c r="I44" s="366">
        <f>VLOOKUP("CS2",I6:I40,1,FALSE)</f>
        <v/>
      </c>
      <c r="J44" s="366">
        <f>VLOOKUP("CS2",J4:J40,1,FALSE)</f>
        <v/>
      </c>
      <c r="K44" s="366">
        <f>VLOOKUP("CS2",K5:K40,1,FALSE)</f>
        <v/>
      </c>
      <c r="L44" s="366">
        <f>VLOOKUP("CS2",L4:L40,1,FALSE)</f>
        <v/>
      </c>
      <c r="M44" s="366">
        <f>VLOOKUP("CS2",M1:M27,1,FALSE)</f>
        <v/>
      </c>
      <c r="N44" s="366">
        <f>VLOOKUP("CS2",N1:N40,1,FALSE)</f>
        <v/>
      </c>
      <c r="O44" s="366">
        <f>VLOOKUP("CS2",O6:O40,1,FALSE)</f>
        <v/>
      </c>
      <c r="P44" s="366">
        <f>VLOOKUP("CS2",P8:P40,1,FALSE)</f>
        <v/>
      </c>
      <c r="Q44" s="366">
        <f>VLOOKUP("CS2",Q6:Q31,1,FALSE)</f>
        <v/>
      </c>
      <c r="R44" s="366">
        <f>VLOOKUP("CS2",R6:R25,1,FALSE)</f>
        <v/>
      </c>
      <c r="S44" s="366">
        <f>VLOOKUP("CS2",S1:S40,1,FALSE)</f>
        <v/>
      </c>
      <c r="T44" s="366">
        <f>VLOOKUP("CS2",T1:T40,1,FALSE)</f>
        <v/>
      </c>
      <c r="U44" s="366">
        <f>VLOOKUP("CS2",U1:U40,1,FALSE)</f>
        <v/>
      </c>
      <c r="V44" s="366">
        <f>VLOOKUP("CS2",V1:V25,1,FALSE)</f>
        <v/>
      </c>
      <c r="W44" s="366">
        <f>VLOOKUP("CS2",W11:W25,1,FALSE)</f>
        <v/>
      </c>
      <c r="X44" s="366">
        <f>VLOOKUP("CS2",X8:X40,1,FALSE)</f>
        <v/>
      </c>
      <c r="Y44" s="366">
        <f>VLOOKUP("CS2",Y6:Y40,1,FALSE)</f>
        <v/>
      </c>
      <c r="Z44" s="366">
        <f>VLOOKUP("CS2",Z9:Z40,1,FALSE)</f>
        <v/>
      </c>
      <c r="AA44" s="366">
        <f>VLOOKUP("CS2",AA1:AA40,1,FALSE)</f>
        <v/>
      </c>
      <c r="AB44" s="366">
        <f>VLOOKUP("CS2",AB1:AB40,1,FALSE)</f>
        <v/>
      </c>
      <c r="AC44" s="366">
        <f>VLOOKUP("CS2",AC7:AC40,1,FALSE)</f>
        <v/>
      </c>
      <c r="AD44" s="366">
        <f>VLOOKUP("CS2",AD1:AD40,1,FALSE)</f>
        <v/>
      </c>
      <c r="AE44" s="366">
        <f>VLOOKUP("CS2",AE1:AE40,1,FALSE)</f>
        <v/>
      </c>
      <c r="AF44" s="366">
        <f>VLOOKUP("CS2",AF1:AF40,1,FALSE)</f>
        <v/>
      </c>
      <c r="AG44" s="366">
        <f>VLOOKUP("CS2",AG7:AG40,1,FALSE)</f>
        <v/>
      </c>
      <c r="AH44" s="387" t="n"/>
      <c r="AI44" s="311" t="n"/>
      <c r="AJ44" s="312" t="n"/>
      <c r="AK44" s="311" t="n"/>
      <c r="AL44" s="313" t="n"/>
      <c r="AM44" s="313" t="n"/>
      <c r="AN44" s="313" t="n"/>
      <c r="AO44" s="313" t="n"/>
      <c r="AP44" s="313" t="n"/>
      <c r="AQ44" s="313" t="n"/>
      <c r="AR44" s="313" t="n"/>
      <c r="AS44" s="313" t="n"/>
      <c r="AT44" s="313" t="n"/>
      <c r="AU44" s="313" t="n"/>
      <c r="AV44" s="313" t="n"/>
      <c r="AW44" s="313" t="n"/>
      <c r="AX44" s="313" t="n"/>
      <c r="AY44" s="313" t="n"/>
      <c r="AZ44" s="313" t="n"/>
      <c r="BA44" s="313" t="n"/>
      <c r="BB44" s="313" t="n"/>
      <c r="BC44" s="313" t="n"/>
      <c r="BD44" s="313" t="n"/>
      <c r="BE44" s="313" t="n"/>
      <c r="BF44" s="313" t="n"/>
      <c r="BG44" s="313" t="n"/>
      <c r="BH44" s="313" t="n"/>
      <c r="BI44" s="313" t="n"/>
      <c r="BJ44" s="313" t="n"/>
      <c r="BK44" s="313" t="n"/>
      <c r="BL44" s="313" t="n"/>
      <c r="BM44" s="313" t="n"/>
      <c r="BN44" s="313" t="n"/>
      <c r="BO44" s="313" t="n"/>
      <c r="BP44" s="313" t="n"/>
      <c r="BQ44" s="314" t="n"/>
    </row>
    <row r="45" ht="19.5" customHeight="1">
      <c r="A45" s="309" t="n"/>
      <c r="B45" s="370" t="inlineStr">
        <is>
          <t>SB1</t>
        </is>
      </c>
      <c r="C45" s="366">
        <f>VLOOKUP("SB1",C6:C40,1,FALSE)</f>
        <v/>
      </c>
      <c r="D45" s="366">
        <f>VLOOKUP("SB1",D3:D40,1,FALSE)</f>
        <v/>
      </c>
      <c r="E45" s="366">
        <f>VLOOKUP("SB1",E1:E40,1,FALSE)</f>
        <v/>
      </c>
      <c r="F45" s="366">
        <f>VLOOKUP("SB1",F8:F40,1,FALSE)</f>
        <v/>
      </c>
      <c r="G45" s="366">
        <f>VLOOKUP("SB1",G5:G40,1,FALSE)</f>
        <v/>
      </c>
      <c r="H45" s="366">
        <f>VLOOKUP("SB1",H6:H40,1,FALSE)</f>
        <v/>
      </c>
      <c r="I45" s="366">
        <f>VLOOKUP("SB1",I1:I40,1,FALSE)</f>
        <v/>
      </c>
      <c r="J45" s="366">
        <f>VLOOKUP("SB1",J4:J40,1,FALSE)</f>
        <v/>
      </c>
      <c r="K45" s="366">
        <f>VLOOKUP("SB1",K6:K40,1,FALSE)</f>
        <v/>
      </c>
      <c r="L45" s="366">
        <f>VLOOKUP("SB1",L8:L40,1,FALSE)</f>
        <v/>
      </c>
      <c r="M45" s="366">
        <f>VLOOKUP("SB1",M1:M27,1,FALSE)</f>
        <v/>
      </c>
      <c r="N45" s="366">
        <f>VLOOKUP("SB1",N6:N40,1,FALSE)</f>
        <v/>
      </c>
      <c r="O45" s="366">
        <f>VLOOKUP("SB1",O1:O40,1,FALSE)</f>
        <v/>
      </c>
      <c r="P45" s="366">
        <f>VLOOKUP("SB1",P8:P40,1,FALSE)</f>
        <v/>
      </c>
      <c r="Q45" s="366">
        <f>VLOOKUP("SB1",Q1:Q31,1,FALSE)</f>
        <v/>
      </c>
      <c r="R45" s="366">
        <f>VLOOKUP("SB1",R6:R25,1,FALSE)</f>
        <v/>
      </c>
      <c r="S45" s="366">
        <f>VLOOKUP("SB1",S1:S40,1,FALSE)</f>
        <v/>
      </c>
      <c r="T45" s="366">
        <f>VLOOKUP("SB1",T8:T40,1,FALSE)</f>
        <v/>
      </c>
      <c r="U45" s="366">
        <f>VLOOKUP("SB1",U1:U40,1,FALSE)</f>
        <v/>
      </c>
      <c r="V45" s="366">
        <f>VLOOKUP("SB1",V9:V25,1,FALSE)</f>
        <v/>
      </c>
      <c r="W45" s="366">
        <f>VLOOKUP("SB1",W5:W25,1,FALSE)</f>
        <v/>
      </c>
      <c r="X45" s="366">
        <f>VLOOKUP("SB1",X6:X40,1,FALSE)</f>
        <v/>
      </c>
      <c r="Y45" s="366">
        <f>VLOOKUP("SB1",Y1:Y40,1,FALSE)</f>
        <v/>
      </c>
      <c r="Z45" s="366">
        <f>VLOOKUP("SB1",Z9:Z40,1,FALSE)</f>
        <v/>
      </c>
      <c r="AA45" s="366">
        <f>VLOOKUP("SB1",AA11:AA40,1,FALSE)</f>
        <v/>
      </c>
      <c r="AB45" s="366">
        <f>VLOOKUP("SB1",AB1:AB40,1,FALSE)</f>
        <v/>
      </c>
      <c r="AC45" s="366">
        <f>VLOOKUP("SB1",AC1:AC40,1,FALSE)</f>
        <v/>
      </c>
      <c r="AD45" s="366">
        <f>VLOOKUP("SB1",AD6:AD40,1,FALSE)</f>
        <v/>
      </c>
      <c r="AE45" s="366">
        <f>VLOOKUP("SB1",AE7:AE40,1,FALSE)</f>
        <v/>
      </c>
      <c r="AF45" s="366">
        <f>VLOOKUP("SB1",AF7:AF40,1,FALSE)</f>
        <v/>
      </c>
      <c r="AG45" s="366">
        <f>VLOOKUP("SB1",AG7:AG40,1,FALSE)</f>
        <v/>
      </c>
      <c r="AH45" s="387" t="n"/>
      <c r="AI45" s="311" t="n"/>
      <c r="AJ45" s="312" t="n"/>
      <c r="AK45" s="311" t="n"/>
      <c r="AL45" s="313" t="n"/>
      <c r="AM45" s="313" t="n"/>
      <c r="AN45" s="313" t="n"/>
      <c r="AO45" s="313" t="n"/>
      <c r="AP45" s="313" t="n"/>
      <c r="AQ45" s="313" t="n"/>
      <c r="AR45" s="313" t="n"/>
      <c r="AS45" s="313" t="n"/>
      <c r="AT45" s="313" t="n"/>
      <c r="AU45" s="313" t="n"/>
      <c r="AV45" s="313" t="n"/>
      <c r="AW45" s="313" t="n"/>
      <c r="AX45" s="313" t="n"/>
      <c r="AY45" s="313" t="n"/>
      <c r="AZ45" s="313" t="n"/>
      <c r="BA45" s="313" t="n"/>
      <c r="BB45" s="313" t="n"/>
      <c r="BC45" s="313" t="n"/>
      <c r="BD45" s="313" t="n"/>
      <c r="BE45" s="313" t="n"/>
      <c r="BF45" s="313" t="n"/>
      <c r="BG45" s="313" t="n"/>
      <c r="BH45" s="313" t="n"/>
      <c r="BI45" s="313" t="n"/>
      <c r="BJ45" s="313" t="n"/>
      <c r="BK45" s="313" t="n"/>
      <c r="BL45" s="313" t="n"/>
      <c r="BM45" s="313" t="n"/>
      <c r="BN45" s="313" t="n"/>
      <c r="BO45" s="313" t="n"/>
      <c r="BP45" s="313" t="n"/>
      <c r="BQ45" s="314" t="n"/>
    </row>
    <row r="46" ht="19.5" customHeight="1">
      <c r="A46" s="309" t="n"/>
      <c r="B46" s="371" t="inlineStr">
        <is>
          <t>SB2</t>
        </is>
      </c>
      <c r="C46" s="366">
        <f>VLOOKUP("SB2",C6:C40,1,FALSE)</f>
        <v/>
      </c>
      <c r="D46" s="366">
        <f>VLOOKUP("SB2",D9:D40,1,FALSE)</f>
        <v/>
      </c>
      <c r="E46" s="366">
        <f>VLOOKUP("SB2",E7:E40,1,FALSE)</f>
        <v/>
      </c>
      <c r="F46" s="366">
        <f>VLOOKUP("SB2",F1:F40,1,FALSE)</f>
        <v/>
      </c>
      <c r="G46" s="366">
        <f>VLOOKUP("SB2",G8:G40,1,FALSE)</f>
        <v/>
      </c>
      <c r="H46" s="366">
        <f>VLOOKUP("SB2",H6:H40,1,FALSE)</f>
        <v/>
      </c>
      <c r="I46" s="366">
        <f>VLOOKUP("SB2",I6:I40,1,FALSE)</f>
        <v/>
      </c>
      <c r="J46" s="366">
        <f>VLOOKUP("SB2",J4:J40,1,FALSE)</f>
        <v/>
      </c>
      <c r="K46" s="366">
        <f>VLOOKUP("SB2",K6:K40,1,FALSE)</f>
        <v/>
      </c>
      <c r="L46" s="366">
        <f>VLOOKUP("SB2",L11:L40,1,FALSE)</f>
        <v/>
      </c>
      <c r="M46" s="366">
        <f>VLOOKUP("SB2",M8:M44,1,FALSE)</f>
        <v/>
      </c>
      <c r="N46" s="366">
        <f>VLOOKUP("SB2",N6:N40,1,FALSE)</f>
        <v/>
      </c>
      <c r="O46" s="366">
        <f>VLOOKUP("SB2",O8:O40,1,FALSE)</f>
        <v/>
      </c>
      <c r="P46" s="366">
        <f>VLOOKUP("SB2",P8:P40,1,FALSE)</f>
        <v/>
      </c>
      <c r="Q46" s="366">
        <f>VLOOKUP("SB2",Q11:Q31,1,FALSE)</f>
        <v/>
      </c>
      <c r="R46" s="366">
        <f>VLOOKUP("SB2",R6:R30,1,FALSE)</f>
        <v/>
      </c>
      <c r="S46" s="366">
        <f>VLOOKUP("SB2",S12:S40,1,FALSE)</f>
        <v/>
      </c>
      <c r="T46" s="366">
        <f>VLOOKUP("SB2",T8:T40,1,FALSE)</f>
        <v/>
      </c>
      <c r="U46" s="366">
        <f>VLOOKUP("SB2",U9:U40,1,FALSE)</f>
        <v/>
      </c>
      <c r="V46" s="366">
        <f>VLOOKUP("SB2",V6:V40,1,FALSE)</f>
        <v/>
      </c>
      <c r="W46" s="366">
        <f>VLOOKUP("SB2",W11:W30,1,FALSE)</f>
        <v/>
      </c>
      <c r="X46" s="366">
        <f>VLOOKUP("SB2",X8:X40,1,FALSE)</f>
        <v/>
      </c>
      <c r="Y46" s="366">
        <f>VLOOKUP("SB2",Y6:Y40,1,FALSE)</f>
        <v/>
      </c>
      <c r="Z46" s="366">
        <f>VLOOKUP("SB2",Z9:Z40,1,FALSE)</f>
        <v/>
      </c>
      <c r="AA46" s="366">
        <f>VLOOKUP("SB2",AA11:AA40,1,FALSE)</f>
        <v/>
      </c>
      <c r="AB46" s="366">
        <f>VLOOKUP("SB2",AB9:AB40,1,FALSE)</f>
        <v/>
      </c>
      <c r="AC46" s="366">
        <f>VLOOKUP("SB2",AC11:AC40,1,FALSE)</f>
        <v/>
      </c>
      <c r="AD46" s="366">
        <f>VLOOKUP("SB2",AD6:AD40,1,FALSE)</f>
        <v/>
      </c>
      <c r="AE46" s="366">
        <f>VLOOKUP("SB2",AE7:AE40,1,FALSE)</f>
        <v/>
      </c>
      <c r="AF46" s="366">
        <f>VLOOKUP("SB2",AF7:AF40,1,FALSE)</f>
        <v/>
      </c>
      <c r="AG46" s="366">
        <f>VLOOKUP("SB2",AG7:AG40,1,FALSE)</f>
        <v/>
      </c>
      <c r="AH46" s="387" t="n"/>
      <c r="AI46" s="311" t="n"/>
      <c r="AJ46" s="312" t="n"/>
      <c r="AK46" s="311" t="n"/>
      <c r="AL46" s="313" t="n"/>
      <c r="AM46" s="313" t="n"/>
      <c r="AN46" s="313" t="n"/>
      <c r="AO46" s="313" t="n"/>
      <c r="AP46" s="313" t="n"/>
      <c r="AQ46" s="313" t="n"/>
      <c r="AR46" s="313" t="n"/>
      <c r="AS46" s="313" t="n"/>
      <c r="AT46" s="313" t="n"/>
      <c r="AU46" s="313" t="n"/>
      <c r="AV46" s="313" t="n"/>
      <c r="AW46" s="313" t="n"/>
      <c r="AX46" s="313" t="n"/>
      <c r="AY46" s="313" t="n"/>
      <c r="AZ46" s="313" t="n"/>
      <c r="BA46" s="313" t="n"/>
      <c r="BB46" s="313" t="n"/>
      <c r="BC46" s="313" t="n"/>
      <c r="BD46" s="313" t="n"/>
      <c r="BE46" s="313" t="n"/>
      <c r="BF46" s="313" t="n"/>
      <c r="BG46" s="313" t="n"/>
      <c r="BH46" s="313" t="n"/>
      <c r="BI46" s="313" t="n"/>
      <c r="BJ46" s="313" t="n"/>
      <c r="BK46" s="313" t="n"/>
      <c r="BL46" s="313" t="n"/>
      <c r="BM46" s="313" t="n"/>
      <c r="BN46" s="313" t="n"/>
      <c r="BO46" s="313" t="n"/>
      <c r="BP46" s="313" t="n"/>
      <c r="BQ46" s="314" t="n"/>
    </row>
    <row r="47" ht="19.5" customHeight="1">
      <c r="A47" s="309" t="n"/>
      <c r="B47" s="372" t="inlineStr">
        <is>
          <t>AE</t>
        </is>
      </c>
      <c r="C47" s="366">
        <f>VLOOKUP("AE",C6:C40,1,FALSE)</f>
        <v/>
      </c>
      <c r="D47" s="366">
        <f>VLOOKUP("AE",D9:D40,1,FALSE)</f>
        <v/>
      </c>
      <c r="E47" s="366">
        <f>VLOOKUP("AE",E7:E40,1,FALSE)</f>
        <v/>
      </c>
      <c r="F47" s="366">
        <f>VLOOKUP("AE",F1:F40,1,FALSE)</f>
        <v/>
      </c>
      <c r="G47" s="366">
        <f>VLOOKUP("AE",G1:G40,1,FALSE)</f>
        <v/>
      </c>
      <c r="H47" s="366">
        <f>VLOOKUP("AE",H8:H40,1,FALSE)</f>
        <v/>
      </c>
      <c r="I47" s="366">
        <f>VLOOKUP("AE",I6:I40,1,FALSE)</f>
        <v/>
      </c>
      <c r="J47" s="366">
        <f>VLOOKUP("AE",J4:J40,1,FALSE)</f>
        <v/>
      </c>
      <c r="K47" s="366">
        <f>VLOOKUP("AE",K6:K40,1,FALSE)</f>
        <v/>
      </c>
      <c r="L47" s="366">
        <f>VLOOKUP("AE",L11:L40,1,FALSE)</f>
        <v/>
      </c>
      <c r="M47" s="366">
        <f>VLOOKUP("AE",M8:M44,1,FALSE)</f>
        <v/>
      </c>
      <c r="N47" s="366">
        <f>VLOOKUP("AE",N6:N40,1,FALSE)</f>
        <v/>
      </c>
      <c r="O47" s="366">
        <f>VLOOKUP("AE",O8:O40,1,FALSE)</f>
        <v/>
      </c>
      <c r="P47" s="366">
        <f>VLOOKUP("AE",P8:P40,1,FALSE)</f>
        <v/>
      </c>
      <c r="Q47" s="366">
        <f>VLOOKUP("AE",Q11:Q31,1,FALSE)</f>
        <v/>
      </c>
      <c r="R47" s="366">
        <f>VLOOKUP("AE",R6:R30,1,FALSE)</f>
        <v/>
      </c>
      <c r="S47" s="366">
        <f>VLOOKUP("AE",S12:S40,1,FALSE)</f>
        <v/>
      </c>
      <c r="T47" s="366">
        <f>VLOOKUP("AE",T8:T40,1,FALSE)</f>
        <v/>
      </c>
      <c r="U47" s="366">
        <f>VLOOKUP("AE",U9:U40,1,FALSE)</f>
        <v/>
      </c>
      <c r="V47" s="366">
        <f>VLOOKUP("AE",V9:V42,1,FALSE)</f>
        <v/>
      </c>
      <c r="W47" s="366">
        <f>VLOOKUP("AE",W11:W40,1,FALSE)</f>
        <v/>
      </c>
      <c r="X47" s="366">
        <f>VLOOKUP("AE",X8:X40,1,FALSE)</f>
        <v/>
      </c>
      <c r="Y47" s="366">
        <f>VLOOKUP("AE",Y6:Y40,1,FALSE)</f>
        <v/>
      </c>
      <c r="Z47" s="366">
        <f>VLOOKUP("AE",Z9:Z40,1,FALSE)</f>
        <v/>
      </c>
      <c r="AA47" s="366">
        <f>VLOOKUP("AE",AA11:AA40,1,FALSE)</f>
        <v/>
      </c>
      <c r="AB47" s="366">
        <f>VLOOKUP("AE",AB9:AB40,1,FALSE)</f>
        <v/>
      </c>
      <c r="AC47" s="366">
        <f>VLOOKUP("AE",AC11:AC40,1,FALSE)</f>
        <v/>
      </c>
      <c r="AD47" s="366">
        <f>VLOOKUP("AE",AD6:AD40,1,FALSE)</f>
        <v/>
      </c>
      <c r="AE47" s="366">
        <f>VLOOKUP("AE",AE7:AE40,1,FALSE)</f>
        <v/>
      </c>
      <c r="AF47" s="366">
        <f>VLOOKUP("AE",AF7:AF40,1,FALSE)</f>
        <v/>
      </c>
      <c r="AG47" s="366">
        <f>VLOOKUP("AE",AG7:AG40,1,FALSE)</f>
        <v/>
      </c>
      <c r="AH47" s="387" t="n"/>
      <c r="AI47" s="311" t="n"/>
      <c r="AJ47" s="312" t="n"/>
      <c r="AK47" s="311" t="n"/>
      <c r="AL47" s="313" t="n"/>
      <c r="AM47" s="313" t="n"/>
      <c r="AN47" s="313" t="n"/>
      <c r="AO47" s="313" t="n"/>
      <c r="AP47" s="313" t="n"/>
      <c r="AQ47" s="313" t="n"/>
      <c r="AR47" s="313" t="n"/>
      <c r="AS47" s="313" t="n"/>
      <c r="AT47" s="313" t="n"/>
      <c r="AU47" s="313" t="n"/>
      <c r="AV47" s="313" t="n"/>
      <c r="AW47" s="313" t="n"/>
      <c r="AX47" s="313" t="n"/>
      <c r="AY47" s="313" t="n"/>
      <c r="AZ47" s="313" t="n"/>
      <c r="BA47" s="313" t="n"/>
      <c r="BB47" s="313" t="n"/>
      <c r="BC47" s="313" t="n"/>
      <c r="BD47" s="313" t="n"/>
      <c r="BE47" s="313" t="n"/>
      <c r="BF47" s="313" t="n"/>
      <c r="BG47" s="313" t="n"/>
      <c r="BH47" s="313" t="n"/>
      <c r="BI47" s="313" t="n"/>
      <c r="BJ47" s="313" t="n"/>
      <c r="BK47" s="313" t="n"/>
      <c r="BL47" s="313" t="n"/>
      <c r="BM47" s="313" t="n"/>
      <c r="BN47" s="313" t="n"/>
      <c r="BO47" s="313" t="n"/>
      <c r="BP47" s="313" t="n"/>
      <c r="BQ47" s="314" t="n"/>
    </row>
  </sheetData>
  <mergeCells count="1">
    <mergeCell ref="C1:S1"/>
  </mergeCells>
  <conditionalFormatting sqref="P12">
    <cfRule type="expression" priority="11" dxfId="136">
      <formula>WEEKDAY(K$3,2)&gt;5</formula>
    </cfRule>
    <cfRule type="expression" priority="12" dxfId="136">
      <formula>WEEKDAY(J$3,2)&gt;5</formula>
    </cfRule>
  </conditionalFormatting>
  <conditionalFormatting sqref="D15">
    <cfRule type="expression" priority="9" dxfId="136">
      <formula>WEEKDAY(E$3,2)&gt;5</formula>
    </cfRule>
  </conditionalFormatting>
  <conditionalFormatting sqref="T18">
    <cfRule type="expression" priority="3" dxfId="136">
      <formula>WEEKDAY(V$3,2)&gt;5</formula>
    </cfRule>
  </conditionalFormatting>
  <conditionalFormatting sqref="J19">
    <cfRule type="expression" priority="1" dxfId="136">
      <formula>WEEKDAY(L$3,2)&gt;5</formula>
    </cfRule>
  </conditionalFormatting>
  <conditionalFormatting sqref="H20">
    <cfRule type="expression" priority="8" dxfId="136">
      <formula>WEEKDAY(H$3,2)&gt;5</formula>
    </cfRule>
  </conditionalFormatting>
  <conditionalFormatting sqref="X25">
    <cfRule type="expression" priority="4" dxfId="136">
      <formula>WEEKDAY(AA$3,2)&gt;5</formula>
    </cfRule>
    <cfRule type="expression" priority="5" dxfId="136">
      <formula>WEEKDAY(Z$3,2)&gt;5</formula>
    </cfRule>
  </conditionalFormatting>
  <conditionalFormatting sqref="AF25">
    <cfRule type="expression" priority="6" dxfId="136">
      <formula>WEEKDAY(AG$3,2)&gt;5</formula>
    </cfRule>
    <cfRule type="expression" priority="7" dxfId="136">
      <formula>WEEKDAY(AF$3,2)&gt;5</formula>
    </cfRule>
  </conditionalFormatting>
  <conditionalFormatting sqref="K30">
    <cfRule type="expression" priority="10" dxfId="136">
      <formula>WEEKDAY(M$3,2)&gt;5</formula>
    </cfRule>
  </conditionalFormatting>
  <conditionalFormatting sqref="C3:S40 T2:X40 Y3:AH40">
    <cfRule type="expression" priority="72" dxfId="136">
      <formula>WEEKDAY(T$3,2)&gt;5</formula>
    </cfRule>
  </conditionalFormatting>
  <conditionalFormatting sqref="C5:I47 J4:J47 K5:Z47 AA4:AA47 AB5:AH47">
    <cfRule type="cellIs" priority="57" operator="equal" dxfId="137">
      <formula>"B"</formula>
    </cfRule>
    <cfRule type="cellIs" priority="58" operator="equal" dxfId="137">
      <formula>"AL"</formula>
    </cfRule>
    <cfRule type="cellIs" priority="59" operator="equal" dxfId="138">
      <formula>"DM"</formula>
    </cfRule>
    <cfRule type="cellIs" priority="60" operator="equal" dxfId="139">
      <formula>"CS1"</formula>
    </cfRule>
    <cfRule type="cellIs" priority="61" operator="equal" dxfId="140">
      <formula>"CS2"</formula>
    </cfRule>
    <cfRule type="cellIs" priority="62" operator="equal" dxfId="141">
      <formula>"SB1"</formula>
    </cfRule>
    <cfRule type="cellIs" priority="63" operator="equal" dxfId="142">
      <formula>"SB2"</formula>
    </cfRule>
    <cfRule type="cellIs" priority="64" operator="equal" dxfId="143">
      <formula>"AE"</formula>
    </cfRule>
  </conditionalFormatting>
  <conditionalFormatting sqref="C5:I40 J4:J40 K5:Z40 AA4:AA40 AB5:AH40">
    <cfRule type="cellIs" priority="66" operator="equal" dxfId="137">
      <formula>"DB"</formula>
    </cfRule>
    <cfRule type="containsText" priority="67" operator="between" dxfId="144" text="$AM">
      <formula>NOT(ISERROR(SEARCH("$AM",C4)))</formula>
    </cfRule>
    <cfRule type="containsText" priority="68" operator="between" dxfId="145" text="$PM">
      <formula>NOT(ISERROR(SEARCH("$PM",C4)))</formula>
    </cfRule>
    <cfRule type="containsText" priority="69" operator="between" dxfId="146" text="$L">
      <formula>NOT(ISERROR(SEARCH("$L",C4)))</formula>
    </cfRule>
    <cfRule type="containsText" priority="70" operator="between" dxfId="147" text="$BTP">
      <formula>NOT(ISERROR(SEARCH("$BTP",C4)))</formula>
    </cfRule>
    <cfRule type="containsText" priority="71" operator="between" dxfId="148" text="$M">
      <formula>NOT(ISERROR(SEARCH("$M",C4)))</formula>
    </cfRule>
    <cfRule type="containsText" priority="73" operator="between" dxfId="149" text="$N">
      <formula>NOT(ISERROR(SEARCH("$N",C4)))</formula>
    </cfRule>
    <cfRule type="containsText" priority="74" operator="between" dxfId="150" text="$FC">
      <formula>NOT(ISERROR(SEARCH("$FC",C4)))</formula>
    </cfRule>
    <cfRule type="containsText" priority="75" operator="between" dxfId="151" text="OAL">
      <formula>NOT(ISERROR(SEARCH("OAL",C4)))</formula>
    </cfRule>
    <cfRule type="containsText" priority="76" operator="between" dxfId="152" text="S+">
      <formula>NOT(ISERROR(SEARCH("S+",C4)))</formula>
    </cfRule>
    <cfRule type="containsText" priority="77" operator="between" dxfId="153" text="EX-D">
      <formula>NOT(ISERROR(SEARCH("EX-D",C4)))</formula>
    </cfRule>
  </conditionalFormatting>
  <conditionalFormatting sqref="C5:C25 D5:D23 D26:D27 E5:F25 E27:E28 E31:F31 F27:F29 G5:G9 G11:G25 G28 G30:G31 H5:H25 H27:H29 H31:I31 I5:I28 J4:J25 J29:J30 K5:K21 K23:K25 K28:K30 L5:L25 L27 L30 M5:M26 M29:M31 N5:N25 N27:N31 O5:O8 O10:O11 O13:O29 O31:Q31 P5 P7:P25 P28:P29 Q5:Q29 R5:R27 R29:R30 S5:S7 S9:S29 S31:S38 T5:T26 T28:U29 T32:T38 U7 U9:U14 U16:U26 U31:U38 U40 V5:V16 V18:V27 V29 V32:V38 W5:X26 W28:W29 W31:W38 X31 Y5:Y28 Y32:Y39 Z5 Z7:Z28 Z30:Z39 AA5:AA39 AB5:AB9 AB11:AB39 AC5:AC28 AC30:AC39 AD5:AE31 AF5:AF25 AF27 AF29:AF31 AG5:AG26 AG30:AH30 AH5 AH7:AH25 AH27">
    <cfRule type="containsText" priority="78" operator="between" dxfId="154" text="VACC">
      <formula>NOT(ISERROR(SEARCH("VACC",C4)))</formula>
    </cfRule>
  </conditionalFormatting>
  <conditionalFormatting sqref="C5:C14 C16:C25 D5:D13 D15:D16 D21:D22 D26 E5:F5 E7:E8 E10 E12:E13 E17:E18 E20:E22 E24:F25 F7:F10 F12:G12 F18:F19 G7:G9 G16 G20 G31 H6:H9 H11:H12 H14:H15 H18:I18 I5 I9 I12 I15:J15 I20:I22 I24 I27 J11:J12 J17 J19 J21 J24:K25 K8:L8 K10:K13 K18 K29 L11:L13 L15 L21 L25 L30 M5:M8 M12:N12 M24:M26 N7 N19 N29 O6:O7 O10:O11 O15 O26 P5:Q5 P8:P9 P11 P16:P17 P22 P24 Q8 Q11:Q12 Q16:Q18 Q21 Q23:Q24 Q31 R5:R6 R10 R16 R23:R25 S6 S12 S14 S24:U24 T7:U7 T20 U9:U10 U18 U21:U22 V6:V7 V10 V12 V15 V24:V25 V27 W5:Y5 W7 W9:X10 W13 W24:X24 W31 X12 X17 X19 X21 X26 Y9:Y11 Y18:Y19 Y24:Y26 Z21 Z24 Z28 AA5 AA9 AA11 AA13 AC9 AC11 AD7:AF9 AD18 AE11:AE13 AE18:AG19 AE25:AG25 AF22 AG5:AG13 AG15:AG16 AG21 AH5">
    <cfRule type="cellIs" priority="13" operator="equal" dxfId="137">
      <formula>"B"</formula>
    </cfRule>
    <cfRule type="cellIs" priority="14" operator="equal" dxfId="137">
      <formula>"AL"</formula>
    </cfRule>
    <cfRule type="cellIs" priority="15" operator="equal" dxfId="138">
      <formula>"DM"</formula>
    </cfRule>
    <cfRule type="cellIs" priority="16" operator="equal" dxfId="139">
      <formula>"CS1"</formula>
    </cfRule>
    <cfRule type="cellIs" priority="17" operator="equal" dxfId="140">
      <formula>"CS2"</formula>
    </cfRule>
    <cfRule type="cellIs" priority="18" operator="equal" dxfId="141">
      <formula>"SB1"</formula>
    </cfRule>
    <cfRule type="cellIs" priority="19" operator="equal" dxfId="142">
      <formula>"SB2"</formula>
    </cfRule>
    <cfRule type="cellIs" priority="20" operator="equal" dxfId="143">
      <formula>"AE"</formula>
    </cfRule>
    <cfRule type="cellIs" priority="21" operator="equal" dxfId="137">
      <formula>"DB"</formula>
    </cfRule>
    <cfRule type="containsText" priority="22" operator="between" dxfId="144" text="$AM">
      <formula>NOT(ISERROR(SEARCH("$AM",C5)))</formula>
    </cfRule>
    <cfRule type="containsText" priority="23" operator="between" dxfId="145" text="$PM">
      <formula>NOT(ISERROR(SEARCH("$PM",C5)))</formula>
    </cfRule>
    <cfRule type="containsText" priority="24" operator="between" dxfId="146" text="$L">
      <formula>NOT(ISERROR(SEARCH("$L",C5)))</formula>
    </cfRule>
    <cfRule type="containsText" priority="25" operator="between" dxfId="147" text="$BTP">
      <formula>NOT(ISERROR(SEARCH("$BTP",C5)))</formula>
    </cfRule>
    <cfRule type="containsText" priority="26" operator="between" dxfId="148" text="$M">
      <formula>NOT(ISERROR(SEARCH("$M",C5)))</formula>
    </cfRule>
    <cfRule type="containsText" priority="27" operator="between" dxfId="149" text="$N">
      <formula>NOT(ISERROR(SEARCH("$N",C5)))</formula>
    </cfRule>
    <cfRule type="containsText" priority="28" operator="between" dxfId="150" text="$FC">
      <formula>NOT(ISERROR(SEARCH("$FC",C5)))</formula>
    </cfRule>
    <cfRule type="containsText" priority="29" operator="between" dxfId="151" text="OAL">
      <formula>NOT(ISERROR(SEARCH("OAL",C5)))</formula>
    </cfRule>
    <cfRule type="containsText" priority="30" operator="between" dxfId="152" text="S+">
      <formula>NOT(ISERROR(SEARCH("S+",C5)))</formula>
    </cfRule>
    <cfRule type="containsText" priority="31" operator="between" dxfId="153" text="EX-D">
      <formula>NOT(ISERROR(SEARCH("EX-D",C5)))</formula>
    </cfRule>
  </conditionalFormatting>
  <conditionalFormatting sqref="C6:C14 C16 C18:C23 C30 D5:D13 D15:D16 D22 D24 D26 E5:F5 E7:E8 E10 E12:E13 E17:E18 E20:E22 E24:F25 F7:F10 F12:I12 F18:F19 G7:G9 G16 G20 G31 H6:H9 H14:H15 H18:I18 I5 I9 I15:J15 I20:I22 I24 I27 J11:J12 J17 J21 J25 K8:L8 K10:K13 K18 K24:K26 K29 L11:L13 L15 L21 L25:M25 M6:M8 M12:N12 N7:O7 N19 N29 O10:O11 O24:P24 P5:Q5 P8:P9 P11 P16:P17 P22 P27 Q8 Q11:Q12 Q16:R16 Q18 Q21 Q23:Q24 Q31 R5:R6 R10 R23:R25 R30 S6 S12 S14 S24:X24 T7:U7 T20 U9:U10 U18 U22 V6:V7 V10 V12 V15 V27 W5:Y5 W7 W9:X10 W13 W27:W28 W31 X12 X17 X19 X21 X26 Y9:Y11 Y18:Y19 Y24:Y26 Y29 Z21 Z24 Z26 Z28 AA5 AA9 AA11 AA13 AB26 AC9 AC11 AD7:AF9 AD18 AE11:AE13 AE18:AG19 AE25:AG25 AF22 AG5:AG13 AG15:AG16 AG21 AH5">
    <cfRule type="expression" priority="32" dxfId="136">
      <formula>WEEKDAY(#REF!,2)&gt;5</formula>
    </cfRule>
  </conditionalFormatting>
  <conditionalFormatting sqref="C5:C25 D5:D23 D26:D27 E5:F25 E27:E28 E31:F31 F27:F29 G5:G9 G11:G25 G28 G30:G31 H5:H25 H27:H29 H31:I31 I5:I28 J5:J25 J29:J30 K5:K21 K23:K25 K28:K30 L5:L25 L27 L30 M5:M26 M29:M31 N5:N25 N27:N31 O5:O8 O10:O11 O13:O29 O31:Q31 P5 P7:P25 P28:P29 Q5:Q29 R5:R25 R29:R30 S5:T7 S9:S29 S31:S38 T9:T22 T24:T26 T28:T29 T32:T38 U7 U9:U14 U16 U18:U26 U28 U31:U38 U40 V5:V16 V18:V27 V29:W29 V32:V38 W5:W17 W19:W26 W31:W38 X5:X26 X31 Y5:Y28 Y32:Y39 Z5 Z7:Z28 Z30:Z39 AA5:AA39 AB5:AB9 AB11:AB39 AC5:AC28 AC30:AC39 AD5:AE31 AF5:AF25 AF27 AF29:AF31 AG5:AG26 AG30 AH5 AH7:AH25 AH27">
    <cfRule type="cellIs" priority="36" operator="equal" dxfId="137">
      <formula>"B"</formula>
    </cfRule>
    <cfRule type="cellIs" priority="37" operator="equal" dxfId="137">
      <formula>"AL"</formula>
    </cfRule>
    <cfRule type="cellIs" priority="38" operator="equal" dxfId="138">
      <formula>"DM"</formula>
    </cfRule>
    <cfRule type="cellIs" priority="39" operator="equal" dxfId="139">
      <formula>"CS1"</formula>
    </cfRule>
    <cfRule type="cellIs" priority="40" operator="equal" dxfId="140">
      <formula>"CS2"</formula>
    </cfRule>
    <cfRule type="cellIs" priority="41" operator="equal" dxfId="141">
      <formula>"SB1"</formula>
    </cfRule>
    <cfRule type="cellIs" priority="42" operator="equal" dxfId="142">
      <formula>"SB2"</formula>
    </cfRule>
    <cfRule type="cellIs" priority="43" operator="equal" dxfId="143">
      <formula>"AE"</formula>
    </cfRule>
    <cfRule type="cellIs" priority="45" operator="equal" dxfId="137">
      <formula>"DB"</formula>
    </cfRule>
    <cfRule type="containsText" priority="46" operator="between" dxfId="144" text="$AM">
      <formula>NOT(ISERROR(SEARCH("$AM",C5)))</formula>
    </cfRule>
    <cfRule type="containsText" priority="47" operator="between" dxfId="145" text="$PM">
      <formula>NOT(ISERROR(SEARCH("$PM",C5)))</formula>
    </cfRule>
    <cfRule type="containsText" priority="48" operator="between" dxfId="146" text="$L">
      <formula>NOT(ISERROR(SEARCH("$L",C5)))</formula>
    </cfRule>
    <cfRule type="containsText" priority="49" operator="between" dxfId="147" text="$BTP">
      <formula>NOT(ISERROR(SEARCH("$BTP",C5)))</formula>
    </cfRule>
    <cfRule type="containsText" priority="50" operator="between" dxfId="148" text="$M">
      <formula>NOT(ISERROR(SEARCH("$M",C5)))</formula>
    </cfRule>
    <cfRule type="containsText" priority="51" operator="between" dxfId="149" text="$N">
      <formula>NOT(ISERROR(SEARCH("$N",C5)))</formula>
    </cfRule>
    <cfRule type="containsText" priority="52" operator="between" dxfId="150" text="$FC">
      <formula>NOT(ISERROR(SEARCH("$FC",C5)))</formula>
    </cfRule>
    <cfRule type="containsText" priority="53" operator="between" dxfId="151" text="OAL">
      <formula>NOT(ISERROR(SEARCH("OAL",C5)))</formula>
    </cfRule>
    <cfRule type="containsText" priority="54" operator="between" dxfId="152" text="S+">
      <formula>NOT(ISERROR(SEARCH("S+",C5)))</formula>
    </cfRule>
    <cfRule type="containsText" priority="55" operator="between" dxfId="153" text="EX-D">
      <formula>NOT(ISERROR(SEARCH("EX-D",C5)))</formula>
    </cfRule>
  </conditionalFormatting>
  <conditionalFormatting sqref="C5:C25 C30 D5:D27 E5:F25 E27:E28 E31:F31 F27:F29 G5:G9 G11:G25 G28 G30:G31 H5:H25 H27:H29 H31:I31 I5:I28 J5:J25 J29:J30 K5:K21 K23:K26 K28:K30 L5:L25 L27 L30 M5:M26 M29:M31 N5:N25 N27:N31 O5:O8 O10:O11 O13:O29 O31:Q31 P5 P7:P25 P27:P29 Q5:Q29 R5:R25 R29:R30 S5:T7 S9:S29 S31:S38 T9:T22 T24:T26 T28:T29 T32:T38 U7 U9:U14 U16 U18:U26 U28 U31:U38 U40 V5:V16 V18:V27 V29 V32:V38 W5:W17 W19:W29 W31:W38 X5:X26 X31 Y5:Y29 Y32:Y39 Z5 Z7:Z28 Z30:Z39 AA5:AA39 AB5:AB9 AB11:AB39 AC5:AC28 AC30:AC39 AD5:AE31 AF5:AF25 AF27 AF29:AF31 AG5:AG26 AG30 AH5 AH7:AH25 AH27">
    <cfRule type="containsText" priority="44" operator="between" dxfId="154" text="VACC">
      <formula>NOT(ISERROR(SEARCH("VACC",C5)))</formula>
    </cfRule>
  </conditionalFormatting>
  <conditionalFormatting sqref="C5:C25 D5:D23 D26:D27 E5:F25 E27:E28 E31:F31 F27:F29 G5:G9 G11:G25 G28 G30:G31 H5:H25 H27:H29 H31:I31 I5:I28 J5:J25 J29:J30 K5:K21 K23:K25 K28:K30 L5:L25 L27 L30 M5:M26 M29:M31 N5:N25 N27:N31 O5:O8 O10:O11 O13:O29 O31:Q31 P5 P7:P25 P28:P29 Q5:Q29 R5:R6 R8:R25 R29:R30 S5:T7 S9:S29 S31:S38 T9:T22 T24:T26 T28:T29 T32:T38 U7 U9:U14 U16 U18:U26 U28 U31:U38 U40 V5:V16 V18:V27 V29:W29 V32:V38 W5:W17 W19:W26 W31:W38 X5:X26 X31 Y5:Y28 Y32:Y39 Z5 Z7:Z28 Z30:Z39 AA5:AA39 AB5:AB9 AB11:AB39 AC5:AC28 AC30:AC39 AD5:AE31 AF5:AF12 AF14:AF25 AF27 AF29:AF31 AG5:AG26 AG30 AH5 AH7:AH14 AH16:AH25 AH27">
    <cfRule type="expression" priority="56" dxfId="136">
      <formula>WEEKDAY(#REF!,2)&gt;5</formula>
    </cfRule>
  </conditionalFormatting>
  <conditionalFormatting sqref="BP5:BQ40">
    <cfRule type="cellIs" priority="65" operator="lessThan" dxfId="155">
      <formula>1</formula>
    </cfRule>
  </conditionalFormatting>
  <conditionalFormatting sqref="C12 C19 E25 F11 F13 T13 T19:U19 T22 U7 U12:W12 Z12 AA6 AB9 AB17">
    <cfRule type="expression" priority="33" dxfId="136">
      <formula>WEEKDAY(AC$3,2)&gt;5</formula>
    </cfRule>
  </conditionalFormatting>
  <conditionalFormatting sqref="E25 F28 G24 P12 P24 T13 T19:U19 T22 U7 U12:W12 U40 Z12 AA6 AA22 AB9 AB12 AB17">
    <cfRule type="expression" priority="34" dxfId="136">
      <formula>WEEKDAY(AB$3,2)&gt;5</formula>
    </cfRule>
  </conditionalFormatting>
  <conditionalFormatting sqref="C9 C12 C19 C23 E11:F11 F13">
    <cfRule type="expression" priority="35" dxfId="136">
      <formula>WEEKDAY(E$3,2)&gt;5</formula>
    </cfRule>
  </conditionalFormatting>
  <conditionalFormatting sqref="C25 D24 T18">
    <cfRule type="expression" priority="2" dxfId="136">
      <formula>WEEKDAY(U$3,2)&gt;5</formula>
    </cfRule>
  </conditionalFormatting>
  <dataValidations count="2">
    <dataValidation sqref="C6:D6 C8 C9:G10 C12:Z12 C13:F14 C16:G16 C17:J17 C18:E18 C19:K19 C20:Z20 C21:E21 C22:I22 C23:H23 C25 C26:M26 C27 C28:D28 C29:F29 C30:G30 C32:D39 C40:L40 D5:G5 D7:H7 D11:H11 D15:G15 D24:H24 D31 E8:M8 E25:F25 E27 F6 F28:J28 G18:I18 G21:L21 G27:J27 G31:I31 H6:K6 H13:P13 H14:K14 H25:AH25 H29:T29 I5:M5 I9:K10 I15:L15 I16:J16 I30:L30 J7:K7 J11:M11 J23:L23 J32:L39 K18:L18 K24:Z24 K31:N31 L16 L22 L27:Q27 L28 M6:O6 M7:Q7 M9:N9 M10:O10 M14:N14 N15:O15 N16:W16 N17:N18 N19:R19 N28:P28 N30 N32:P40 O8:R8 O21:S21 O23:S23 O26 P5:R5 P9:Q9 P11:R11 P17:Q18 P22:Q22 P30:T30 P31:Q31 Q6:T6 Q14 Q26:AE26 R10:S10 R13:X13 R15:S15 R28:Z28 S7:X7 S9 S14 S18:AH18 S22:U22 S27:T27 S31 S32:X38 S40:AH40 T5 T11 T17:AH17 T19:U19 T39 U8 U9:Y9 U10:AA10 U21:AG21 U23:AC23 U31:X31 V6:AB6 V11:AE11 V14:AH14 V15:AA15 V27:W27 V29:AH29 V30 V39 W5:AB5 W8:X8 W19:Z19 W22:Y22 X30:AH30 X39 Y16:AA16 Y27:AB27 Z7:AH7 Z31:AF31 Z32:AB32 Z34:AB36 AA9 AA13:AE13 AA22 AB8:AH8 AB12:AH12 AB19:AH20 AB24:AC24 AB28:AD28 AC9:AH10 AC15:AH15 AC16:AE16 AC22 AD5:AD6 AD27:AF27 AD32:AH39 AE24:AH24 AF22:AH23 AF28 AG5:AH5 AG6 AG11:AH11 AG13:AH13 AG16:AH16 AG26:AH26 AH27:AH28" showDropDown="1" showInputMessage="0" showErrorMessage="0" allowBlank="1" type="list">
      <formula1>'Setting key Duty'!$B$7:$B$56</formula1>
    </dataValidation>
    <dataValidation sqref="C41:AH47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0"/>
    <pageSetUpPr fitToPage="1"/>
  </sheetPr>
  <dimension ref="A1:BQ48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9.24761904761905" customWidth="1" min="16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4"/>
    <col hidden="1" outlineLevel="1" width="9.38095238095238" customWidth="1" min="35" max="41"/>
    <col collapsed="1" width="6.75238095238095" customWidth="1" min="42" max="42"/>
    <col outlineLevel="1" width="8.87619047619048" customWidth="1" min="43" max="43"/>
    <col outlineLevel="1" width="7.87619047619048" customWidth="1" min="44" max="44"/>
    <col outlineLevel="1" width="9.133333333333329" customWidth="1" min="45" max="45"/>
    <col outlineLevel="1" width="8.24761904761905" customWidth="1" min="46" max="46"/>
    <col outlineLevel="1" width="5.5047619047619" customWidth="1" min="47" max="47"/>
    <col width="9.38095238095238" customWidth="1" min="48" max="50"/>
    <col outlineLevel="1" width="9.38095238095238" customWidth="1" min="51" max="58"/>
    <col outlineLevel="1" width="10" customWidth="1" min="59" max="59"/>
    <col outlineLevel="1" width="9.38095238095238" customWidth="1" min="60" max="65"/>
    <col width="9.38095238095238" customWidth="1" min="66" max="66"/>
    <col width="9.504761904761899" customWidth="1" min="67" max="67"/>
    <col width="9.38095238095238" customWidth="1" min="68" max="69"/>
  </cols>
  <sheetData>
    <row r="1" ht="3" customHeight="1">
      <c r="A1" s="408" t="n"/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0" t="n"/>
      <c r="BQ1" s="291" t="n"/>
    </row>
    <row r="2" ht="26.25" customHeight="1">
      <c r="A2" s="412" t="n"/>
      <c r="B2" s="24" t="inlineStr">
        <is>
          <t>Event Log</t>
        </is>
      </c>
      <c r="C2" s="167" t="inlineStr">
        <is>
          <t>V VACC 2</t>
        </is>
      </c>
      <c r="D2" s="167" t="inlineStr">
        <is>
          <t>DE</t>
        </is>
      </c>
      <c r="E2" s="167" t="inlineStr">
        <is>
          <t>DE</t>
        </is>
      </c>
      <c r="F2" s="167" t="inlineStr">
        <is>
          <t>DE</t>
        </is>
      </c>
      <c r="G2" s="167" t="n"/>
      <c r="H2" s="167" t="n"/>
      <c r="I2" s="167" t="inlineStr">
        <is>
          <t>J VACC 2</t>
        </is>
      </c>
      <c r="J2" s="167" t="inlineStr">
        <is>
          <t>P VACC 1</t>
        </is>
      </c>
      <c r="K2" s="167" t="inlineStr">
        <is>
          <t>V VACC 1</t>
        </is>
      </c>
      <c r="L2" s="167" t="n"/>
      <c r="M2" s="167" t="inlineStr">
        <is>
          <t>W VACC 1</t>
        </is>
      </c>
      <c r="N2" s="167" t="n"/>
      <c r="O2" s="167" t="n"/>
      <c r="P2" s="167" t="inlineStr">
        <is>
          <t>O VACC 1</t>
        </is>
      </c>
      <c r="Q2" s="167" t="inlineStr">
        <is>
          <t>R VACC 1</t>
        </is>
      </c>
      <c r="R2" s="167" t="n"/>
      <c r="S2" s="167" t="inlineStr">
        <is>
          <t>N VACC 1</t>
        </is>
      </c>
      <c r="T2" s="168" t="inlineStr">
        <is>
          <t>GOOD FRIDAY</t>
        </is>
      </c>
      <c r="U2" s="167" t="n"/>
      <c r="V2" s="167" t="n"/>
      <c r="W2" s="167" t="inlineStr">
        <is>
          <t>S VACC 1</t>
        </is>
      </c>
      <c r="X2" s="167" t="n"/>
      <c r="Y2" s="167" t="n"/>
      <c r="Z2" s="167" t="n"/>
      <c r="AA2" s="294" t="n"/>
      <c r="AB2" s="167" t="n"/>
      <c r="AC2" s="167" t="n"/>
      <c r="AD2" s="167" t="n"/>
      <c r="AE2" s="167" t="n"/>
      <c r="AF2" s="167" t="n"/>
      <c r="AG2" s="167" t="inlineStr">
        <is>
          <t>labour day</t>
        </is>
      </c>
      <c r="AH2" s="258" t="n"/>
      <c r="AI2" s="218" t="n"/>
      <c r="AJ2" s="218" t="n"/>
      <c r="AK2" s="218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6" t="inlineStr">
        <is>
          <t>0.3125+0.0625+0.5
long+stay+pass12</t>
        </is>
      </c>
      <c r="BB2" s="296" t="n"/>
      <c r="BC2" s="296" t="inlineStr">
        <is>
          <t>0.3125+0.125
Long hr+aft 1730</t>
        </is>
      </c>
      <c r="BD2" s="296" t="n"/>
      <c r="BE2" s="296" t="inlineStr">
        <is>
          <t>0.125+0.125+0.0625
Bef 0730+Aft1730+stay</t>
        </is>
      </c>
      <c r="BF2" s="296" t="n"/>
      <c r="BG2" s="296" t="n"/>
      <c r="BH2" s="296" t="inlineStr">
        <is>
          <t>0.125
after 1730</t>
        </is>
      </c>
      <c r="BI2" s="296" t="n"/>
      <c r="BJ2" s="296" t="inlineStr">
        <is>
          <t>stay in+ bef 0730</t>
        </is>
      </c>
      <c r="BK2" s="296" t="n"/>
      <c r="BL2" s="296" t="n"/>
      <c r="BM2" s="296" t="n"/>
      <c r="BN2" s="295" t="n"/>
      <c r="BO2" s="295" t="n"/>
      <c r="BP2" s="295" t="n"/>
      <c r="BQ2" s="297" t="n"/>
    </row>
    <row r="3" ht="26.25" customHeight="1">
      <c r="A3" s="412" t="n"/>
      <c r="B3" s="24" t="inlineStr">
        <is>
          <t>Rostering</t>
        </is>
      </c>
      <c r="C3" s="416" t="n">
        <v>45748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4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7">
        <f>S3+1</f>
        <v/>
      </c>
      <c r="U3" s="414">
        <f>T3+1</f>
        <v/>
      </c>
      <c r="V3" s="414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7">
        <f>AF3+1</f>
        <v/>
      </c>
      <c r="AH3" s="414">
        <f>AG3+1</f>
        <v/>
      </c>
      <c r="AI3" s="221">
        <f>'Setting key Duty'!$C7</f>
        <v/>
      </c>
      <c r="AJ3" s="222">
        <f>'Setting key Duty'!$C8</f>
        <v/>
      </c>
      <c r="AK3" s="223">
        <f>'Setting key Duty'!$C9</f>
        <v/>
      </c>
      <c r="AL3" s="302">
        <f>'Setting key Duty'!$C11</f>
        <v/>
      </c>
      <c r="AM3" s="302">
        <f>'Setting key Duty'!$C12</f>
        <v/>
      </c>
      <c r="AN3" s="302">
        <f>'Setting key Duty'!$C13</f>
        <v/>
      </c>
      <c r="AO3" s="302">
        <f>'Setting key Duty'!C14</f>
        <v/>
      </c>
      <c r="AP3" s="223" t="n"/>
      <c r="AQ3" s="223" t="inlineStr">
        <is>
          <t>Weekday Duty</t>
        </is>
      </c>
      <c r="AR3" s="223" t="inlineStr">
        <is>
          <t>Weekday Extra</t>
        </is>
      </c>
      <c r="AS3" s="223" t="inlineStr">
        <is>
          <t>Weekend Duty</t>
        </is>
      </c>
      <c r="AT3" s="223" t="inlineStr">
        <is>
          <t>Weekend Extra</t>
        </is>
      </c>
      <c r="AU3" s="223" t="inlineStr">
        <is>
          <t>Duty Point</t>
        </is>
      </c>
      <c r="AV3" s="223" t="inlineStr">
        <is>
          <t>Total Duty</t>
        </is>
      </c>
      <c r="AW3" s="223" t="inlineStr">
        <is>
          <t>Total Cover</t>
        </is>
      </c>
      <c r="AX3" s="223" t="inlineStr">
        <is>
          <t>Total Point</t>
        </is>
      </c>
      <c r="AY3" s="223" t="inlineStr">
        <is>
          <t>Total Cover
Point</t>
        </is>
      </c>
      <c r="AZ3" s="223" t="inlineStr">
        <is>
          <t>Bedok RT</t>
        </is>
      </c>
      <c r="BA3" s="302" t="inlineStr">
        <is>
          <t>BTP</t>
        </is>
      </c>
      <c r="BB3" s="302" t="inlineStr">
        <is>
          <t>$BTP
Point</t>
        </is>
      </c>
      <c r="BC3" s="302" t="inlineStr">
        <is>
          <t>Long Cover</t>
        </is>
      </c>
      <c r="BD3" s="302" t="inlineStr">
        <is>
          <t>$L
Point</t>
        </is>
      </c>
      <c r="BE3" s="302" t="inlineStr">
        <is>
          <t>Mid Cover</t>
        </is>
      </c>
      <c r="BF3" s="302" t="inlineStr">
        <is>
          <t>$M 
Point</t>
        </is>
      </c>
      <c r="BG3" s="302" t="inlineStr">
        <is>
          <t>Cover
 Normal Hour</t>
        </is>
      </c>
      <c r="BH3" s="302" t="inlineStr">
        <is>
          <t>Cover
After Hour</t>
        </is>
      </c>
      <c r="BI3" s="302" t="inlineStr">
        <is>
          <t>$PM
Point</t>
        </is>
      </c>
      <c r="BJ3" s="302" t="inlineStr">
        <is>
          <t>Cover
Early</t>
        </is>
      </c>
      <c r="BK3" s="302" t="inlineStr">
        <is>
          <t>$AM
Point</t>
        </is>
      </c>
      <c r="BL3" s="302">
        <f>'Setting key Duty'!C52</f>
        <v/>
      </c>
      <c r="BM3" s="302" t="inlineStr">
        <is>
          <t>$FC
Point</t>
        </is>
      </c>
      <c r="BN3" s="302">
        <f>'Setting key Duty'!$C15</f>
        <v/>
      </c>
      <c r="BO3" s="302">
        <f>'Setting key Duty'!C17</f>
        <v/>
      </c>
      <c r="BP3" s="302">
        <f>'Setting key Duty'!$C22</f>
        <v/>
      </c>
      <c r="BQ3" s="297" t="n"/>
    </row>
    <row r="4" ht="18" customHeight="1">
      <c r="A4" s="303" t="n"/>
      <c r="B4" s="260" t="inlineStr">
        <is>
          <t>Updated on: 26/10/2022</t>
        </is>
      </c>
      <c r="C4" s="415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5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8">
        <f>TEXT(T3,"ddd")</f>
        <v/>
      </c>
      <c r="U4" s="415">
        <f>TEXT(U3,"ddd")</f>
        <v/>
      </c>
      <c r="V4" s="415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8">
        <f>TEXT(AG3,"ddd")</f>
        <v/>
      </c>
      <c r="AH4" s="415">
        <f>TEXT(AH3,"ddd")</f>
        <v/>
      </c>
      <c r="AI4" s="227">
        <f>'Setting key Duty'!$B7</f>
        <v/>
      </c>
      <c r="AJ4" s="228">
        <f>'Setting key Duty'!$B8</f>
        <v/>
      </c>
      <c r="AK4" s="229">
        <f>'Setting key Duty'!$B9</f>
        <v/>
      </c>
      <c r="AL4" s="307">
        <f>'Setting key Duty'!$B11</f>
        <v/>
      </c>
      <c r="AM4" s="307">
        <f>'Setting key Duty'!$B12</f>
        <v/>
      </c>
      <c r="AN4" s="307">
        <f>'Setting key Duty'!$B13</f>
        <v/>
      </c>
      <c r="AO4" s="307">
        <f>'Setting key Duty'!B14</f>
        <v/>
      </c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inlineStr">
        <is>
          <t>BRT</t>
        </is>
      </c>
      <c r="BA4" s="307" t="inlineStr">
        <is>
          <t>$BTP</t>
        </is>
      </c>
      <c r="BB4" s="307" t="n"/>
      <c r="BC4" s="307" t="inlineStr">
        <is>
          <t>$L</t>
        </is>
      </c>
      <c r="BD4" s="307" t="n"/>
      <c r="BE4" s="307" t="inlineStr">
        <is>
          <t>$M</t>
        </is>
      </c>
      <c r="BF4" s="307" t="n"/>
      <c r="BG4" s="307" t="inlineStr">
        <is>
          <t>$N</t>
        </is>
      </c>
      <c r="BH4" s="307" t="inlineStr">
        <is>
          <t>$PM</t>
        </is>
      </c>
      <c r="BI4" s="307" t="n"/>
      <c r="BJ4" s="307" t="inlineStr">
        <is>
          <t>$AM</t>
        </is>
      </c>
      <c r="BK4" s="307" t="n"/>
      <c r="BL4" s="307">
        <f>'Setting key Duty'!B52</f>
        <v/>
      </c>
      <c r="BM4" s="307" t="n"/>
      <c r="BN4" s="307">
        <f>'Setting key Duty'!$B15</f>
        <v/>
      </c>
      <c r="BO4" s="307">
        <f>'Setting key Duty'!B17</f>
        <v/>
      </c>
      <c r="BP4" s="307">
        <f>'Setting key Duty'!$B22</f>
        <v/>
      </c>
      <c r="BQ4" s="308" t="n"/>
    </row>
    <row r="5" ht="19.5" customHeight="1">
      <c r="A5" s="309" t="n"/>
      <c r="B5" s="373" t="inlineStr">
        <is>
          <t>PTE MUHAMAD LUTFIL AL-HADI</t>
        </is>
      </c>
      <c r="C5" s="197" t="inlineStr">
        <is>
          <t>OFF</t>
        </is>
      </c>
      <c r="D5" s="197" t="inlineStr">
        <is>
          <t>RESERVE</t>
        </is>
      </c>
      <c r="E5" s="197" t="n"/>
      <c r="F5" s="197" t="inlineStr">
        <is>
          <t>DIPESNSE COURSE</t>
        </is>
      </c>
      <c r="G5" s="197" t="n"/>
      <c r="H5" s="197" t="n"/>
      <c r="I5" s="197" t="inlineStr">
        <is>
          <t>DIPESNSE COURSE</t>
        </is>
      </c>
      <c r="J5" s="197" t="inlineStr">
        <is>
          <t>DIPESNSE COURSE</t>
        </is>
      </c>
      <c r="K5" s="197" t="inlineStr">
        <is>
          <t>DIPESNSE COURSE</t>
        </is>
      </c>
      <c r="L5" s="197" t="inlineStr">
        <is>
          <t>DIPESNSE COURSE</t>
        </is>
      </c>
      <c r="M5" s="197" t="inlineStr">
        <is>
          <t>DIPESNSE COURSE</t>
        </is>
      </c>
      <c r="N5" s="197" t="n"/>
      <c r="O5" s="197" t="n"/>
      <c r="P5" s="197" t="inlineStr">
        <is>
          <t>DIPESNSE COURSE</t>
        </is>
      </c>
      <c r="Q5" s="197" t="inlineStr">
        <is>
          <t>DIPESNSE COURSE</t>
        </is>
      </c>
      <c r="R5" s="197" t="inlineStr">
        <is>
          <t>DIPESNSE COURSE</t>
        </is>
      </c>
      <c r="S5" s="197" t="inlineStr">
        <is>
          <t>DIPESNSE COURSE</t>
        </is>
      </c>
      <c r="U5" s="197" t="n"/>
      <c r="V5" s="197" t="n"/>
      <c r="W5" s="197" t="inlineStr">
        <is>
          <t>CS1</t>
        </is>
      </c>
      <c r="X5" s="197" t="n"/>
      <c r="Z5" s="197" t="inlineStr">
        <is>
          <t>SB1</t>
        </is>
      </c>
      <c r="AA5" s="197" t="inlineStr">
        <is>
          <t>RESERVE</t>
        </is>
      </c>
      <c r="AB5" s="197" t="n"/>
      <c r="AC5" s="197" t="inlineStr">
        <is>
          <t>CS1</t>
        </is>
      </c>
      <c r="AD5" s="197" t="n"/>
      <c r="AE5" s="197" t="inlineStr">
        <is>
          <t>CS2</t>
        </is>
      </c>
      <c r="AF5" s="106" t="n"/>
      <c r="AG5" s="197" t="inlineStr">
        <is>
          <t>CS1</t>
        </is>
      </c>
      <c r="AH5" s="196" t="n"/>
      <c r="AI5" s="311" t="n"/>
      <c r="AJ5" s="312" t="n"/>
      <c r="AK5" s="311" t="n"/>
      <c r="AL5" s="313" t="n"/>
      <c r="AM5" s="313" t="n"/>
      <c r="AN5" s="313" t="n"/>
      <c r="AO5" s="313" t="n"/>
      <c r="AP5" s="238" t="n"/>
      <c r="AQ5" s="313">
        <f>SUMPRODUCT(--WEEKDAY(C$3:AG$3,2)&lt;6,--((C5:AG5="DM"))+(C5:AG5="CS1")+((C5:AG5="CS2"))+(C5:AG5="SB1")+(C5:AG5="AE")+(C5:AG5="EM"))</f>
        <v/>
      </c>
      <c r="AR5" s="238" t="n"/>
      <c r="AS5" s="238">
        <f>SUMPRODUCT(--WEEKDAY(C$3:AG$3,2)&gt;5,--((C5:AG5="DM"))+(C5:AG5="CS1")+((C5:AG5="CS2"))+(C5:AG5="SB1")+(C5:AG5="AE")+(C5:AG5="EM"))</f>
        <v/>
      </c>
      <c r="AT5" s="238" t="n"/>
      <c r="AU5" s="238">
        <f>(AQ5-AR5)/2+(AS5-AT5)</f>
        <v/>
      </c>
      <c r="AV5" s="238">
        <f>AI5+AJ5+AK5+AL5+AN5+AO5</f>
        <v/>
      </c>
      <c r="AW5" s="238">
        <f>BG5+BH5+BJ5+BE5+BC5+BA5+BL5</f>
        <v/>
      </c>
      <c r="AX5" s="238">
        <f>AU5+$AY$10</f>
        <v/>
      </c>
      <c r="AY5" s="313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/>
      </c>
      <c r="AZ5" s="313">
        <f>COUNTIF(D5:AA5,"*BRT*")</f>
        <v/>
      </c>
      <c r="BA5" s="313">
        <f>COUNTIF(A5:AI5,"*$BTP*")</f>
        <v/>
      </c>
      <c r="BB5" s="313">
        <f>BA5*('Setting key Duty'!$I$13+'Setting key Duty'!$I$12+'Setting key Duty'!$I$11)</f>
        <v/>
      </c>
      <c r="BC5" s="313">
        <f>COUNTIF(A5:AI5,"*$L*")</f>
        <v/>
      </c>
      <c r="BD5" s="313">
        <f>BC5*('Setting key Duty'!$I$13+'Setting key Duty'!$I$9)</f>
        <v/>
      </c>
      <c r="BE5" s="313">
        <f>COUNTIF(A5:AI5,"*$M*")</f>
        <v/>
      </c>
      <c r="BF5" s="313">
        <f>BE5*('Setting key Duty'!$I$8+'Setting key Duty'!$I$9+'Setting key Duty'!$I$12)</f>
        <v/>
      </c>
      <c r="BG5" s="313">
        <f>COUNTIF(AI5,"*$N*")</f>
        <v/>
      </c>
      <c r="BH5" s="313">
        <f>COUNTIF(AI5,"*$PM*")</f>
        <v/>
      </c>
      <c r="BI5" s="313">
        <f>BH5*('Setting key Duty'!$I$9)</f>
        <v/>
      </c>
      <c r="BJ5" s="313">
        <f>COUNTIF(A5:AI5,"*$AM*")</f>
        <v/>
      </c>
      <c r="BK5" s="313">
        <f>BJ5*('Setting key Duty'!$I$12+'Setting key Duty'!$I$8)</f>
        <v/>
      </c>
      <c r="BL5" s="313">
        <f>COUNTIF(D5:AI5,"*$FC*")</f>
        <v/>
      </c>
      <c r="BM5" s="313">
        <f>BL5*('Setting key Duty'!$J$11+'Setting key Duty'!$I$8)</f>
        <v/>
      </c>
      <c r="BN5" s="313">
        <f>COUNTIF($D5:$AA5,BN$4)</f>
        <v/>
      </c>
      <c r="BO5" s="313">
        <f>COUNTIF($D5:$AA5,BO$4)</f>
        <v/>
      </c>
      <c r="BP5" s="313">
        <f>COUNTIF($D5:$AA5,BP$4)</f>
        <v/>
      </c>
      <c r="BQ5" s="314" t="n"/>
    </row>
    <row r="6" ht="36" customHeight="1">
      <c r="A6" s="309" t="n"/>
      <c r="B6" s="374" t="inlineStr">
        <is>
          <t>CPL MUHAMMAD IZZAN RIZAL</t>
        </is>
      </c>
      <c r="C6" s="197" t="n"/>
      <c r="D6" s="197" t="n"/>
      <c r="E6" s="197" t="inlineStr">
        <is>
          <t>CS1</t>
        </is>
      </c>
      <c r="F6" s="197" t="n"/>
      <c r="G6" s="197" t="n"/>
      <c r="H6" s="197" t="n"/>
      <c r="I6" s="197" t="inlineStr">
        <is>
          <t>RESERVE</t>
        </is>
      </c>
      <c r="J6" s="197" t="n"/>
      <c r="K6" s="197" t="inlineStr">
        <is>
          <t>SB1</t>
        </is>
      </c>
      <c r="M6" s="317" t="inlineStr">
        <is>
          <t>USS</t>
        </is>
      </c>
      <c r="N6" s="197" t="n"/>
      <c r="O6" s="197" t="n"/>
      <c r="P6" s="197" t="inlineStr">
        <is>
          <t>AL</t>
        </is>
      </c>
      <c r="Q6" s="197" t="n"/>
      <c r="R6" s="197" t="inlineStr">
        <is>
          <t>CS1</t>
        </is>
      </c>
      <c r="T6" s="350" t="inlineStr">
        <is>
          <t>CS2</t>
        </is>
      </c>
      <c r="U6" s="197" t="n"/>
      <c r="V6" s="197" t="inlineStr">
        <is>
          <t>CS1</t>
        </is>
      </c>
      <c r="X6" s="197" t="n"/>
      <c r="Z6" s="197" t="inlineStr">
        <is>
          <t>DM</t>
        </is>
      </c>
      <c r="AA6" s="197" t="n"/>
      <c r="AB6" s="197" t="inlineStr">
        <is>
          <t>CS2</t>
        </is>
      </c>
      <c r="AC6" s="197" t="n"/>
      <c r="AD6" s="317" t="n"/>
      <c r="AF6" s="106" t="n"/>
      <c r="AG6" s="197" t="n"/>
      <c r="AH6" s="197" t="inlineStr">
        <is>
          <t>RESERVE</t>
        </is>
      </c>
      <c r="AI6" s="311">
        <f>COUNTIF($D6:$AE6,AI$4)</f>
        <v/>
      </c>
      <c r="AJ6" s="312">
        <f>COUNTIF($D6:$AE6,AJ$4)</f>
        <v/>
      </c>
      <c r="AK6" s="311">
        <f>COUNTIF($D6:$AE6,AK$4)</f>
        <v/>
      </c>
      <c r="AL6" s="313">
        <f>COUNTIF($D6:$AE6,AL$4)</f>
        <v/>
      </c>
      <c r="AM6" s="313">
        <f>COUNTIF($D6:$AE6,AM$4)</f>
        <v/>
      </c>
      <c r="AN6" s="313">
        <f>COUNTIF($D6:$AE6,AN$4)</f>
        <v/>
      </c>
      <c r="AO6" s="313">
        <f>COUNTIF($D6:$AE6,AO$4)</f>
        <v/>
      </c>
      <c r="AP6" s="238" t="n"/>
      <c r="AQ6" s="313">
        <f>SUMPRODUCT(--WEEKDAY(C$3:AG$3,2)&lt;6,--((C6:AG6="DM"))+(C6:AG6="CS1")+((C6:AG6="CS2"))+(C6:AG6="SB1")+(C6:AG6="AE")+(C6:AG6="EM"))</f>
        <v/>
      </c>
      <c r="AR6" s="238" t="n"/>
      <c r="AS6" s="238">
        <f>SUMPRODUCT(--WEEKDAY(C$3:AG$3,2)&gt;5,--((C6:AG6="DM"))+(C6:AG6="CS1")+((C6:AG6="CS2"))+(C6:AG6="SB1")+(C6:AG6="AE")+(C6:AG6="EM"))</f>
        <v/>
      </c>
      <c r="AT6" s="238" t="n"/>
      <c r="AU6" s="238">
        <f>(AQ6-AR6)/2+(AS6-AT6)</f>
        <v/>
      </c>
      <c r="AV6" s="238">
        <f>AI6+AJ6+AK6+AL6+AN6+AO6</f>
        <v/>
      </c>
      <c r="AW6" s="238">
        <f>AU6+AY6</f>
        <v/>
      </c>
      <c r="AX6" s="238">
        <f>AU6+AY6</f>
        <v/>
      </c>
      <c r="AY6" s="313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/>
      </c>
      <c r="AZ6" s="313">
        <f>COUNTIF(D6:AE6,"*BRT*")</f>
        <v/>
      </c>
      <c r="BA6" s="313">
        <f>COUNTIF(A6:AI6,"*$BTP*")</f>
        <v/>
      </c>
      <c r="BB6" s="313">
        <f>BA6*('Setting key Duty'!$I$13+'Setting key Duty'!$I$12+'Setting key Duty'!$I$11)</f>
        <v/>
      </c>
      <c r="BC6" s="313">
        <f>COUNTIF(A6:AI6,"*$L*")</f>
        <v/>
      </c>
      <c r="BD6" s="313">
        <f>BC6*('Setting key Duty'!$I$13+'Setting key Duty'!$I$9)</f>
        <v/>
      </c>
      <c r="BE6" s="313">
        <f>COUNTIF(A6:AI6,"*$M*")</f>
        <v/>
      </c>
      <c r="BF6" s="313">
        <f>BE6*('Setting key Duty'!$I$8+'Setting key Duty'!$I$9+'Setting key Duty'!$I$12)</f>
        <v/>
      </c>
      <c r="BG6" s="313">
        <f>COUNTIF(AE6:AI6,"*$N*")</f>
        <v/>
      </c>
      <c r="BH6" s="313">
        <f>COUNTIF(AE6:AI6,"*$PM*")</f>
        <v/>
      </c>
      <c r="BI6" s="313">
        <f>BH6*('Setting key Duty'!$I$9)</f>
        <v/>
      </c>
      <c r="BJ6" s="313">
        <f>COUNTIF(A6:AI6,"*$AM*")</f>
        <v/>
      </c>
      <c r="BK6" s="313">
        <f>BJ6*('Setting key Duty'!$I$12+'Setting key Duty'!$I$8)</f>
        <v/>
      </c>
      <c r="BL6" s="313">
        <f>COUNTIF(D6:AI6,"*$FC*")</f>
        <v/>
      </c>
      <c r="BM6" s="313">
        <f>BL6*('Setting key Duty'!$J$11+'Setting key Duty'!$I$8)</f>
        <v/>
      </c>
      <c r="BN6" s="313">
        <f>COUNTIF($D6:$AE6,BN$4)</f>
        <v/>
      </c>
      <c r="BO6" s="313">
        <f>COUNTIF($D6:$AE6,BO$4)</f>
        <v/>
      </c>
      <c r="BP6" s="313">
        <f>COUNTIF($D6:$AE6,BP$4)</f>
        <v/>
      </c>
      <c r="BQ6" s="314" t="n"/>
    </row>
    <row r="7" ht="19.5" customHeight="1">
      <c r="A7" s="309" t="n"/>
      <c r="B7" s="322" t="inlineStr">
        <is>
          <t>CPL KARTHIKRAM KRISHNAN</t>
        </is>
      </c>
      <c r="C7" s="197" t="inlineStr">
        <is>
          <t>OFF</t>
        </is>
      </c>
      <c r="D7" s="197" t="n"/>
      <c r="E7" s="197" t="inlineStr">
        <is>
          <t>RESERVE</t>
        </is>
      </c>
      <c r="F7" s="197" t="n"/>
      <c r="G7" s="317" t="n"/>
      <c r="H7" s="317" t="inlineStr">
        <is>
          <t>DM</t>
        </is>
      </c>
      <c r="J7" s="197" t="inlineStr">
        <is>
          <t>CS1</t>
        </is>
      </c>
      <c r="K7" s="197" t="n"/>
      <c r="L7" s="197" t="inlineStr">
        <is>
          <t>DM</t>
        </is>
      </c>
      <c r="M7" s="197" t="n"/>
      <c r="N7" s="197" t="n"/>
      <c r="O7" s="197" t="n"/>
      <c r="P7" s="197" t="inlineStr">
        <is>
          <t>CS2</t>
        </is>
      </c>
      <c r="Q7" s="197" t="n"/>
      <c r="R7" s="197" t="inlineStr">
        <is>
          <t>RESERVE</t>
        </is>
      </c>
      <c r="S7" s="197" t="n"/>
      <c r="T7" s="350" t="inlineStr">
        <is>
          <t>DM</t>
        </is>
      </c>
      <c r="U7" s="197" t="n"/>
      <c r="V7" s="197" t="inlineStr">
        <is>
          <t>DM</t>
        </is>
      </c>
      <c r="W7" s="197" t="n"/>
      <c r="X7" s="197" t="n"/>
      <c r="AA7" s="197" t="n"/>
      <c r="AB7" s="197" t="n"/>
      <c r="AC7" s="197" t="n"/>
      <c r="AD7" s="197" t="n"/>
      <c r="AE7" s="197" t="n"/>
      <c r="AF7" s="197" t="inlineStr">
        <is>
          <t>DM</t>
        </is>
      </c>
      <c r="AH7" s="197" t="n"/>
      <c r="AI7" s="311">
        <f>COUNTIF(#REF!,AI$4)</f>
        <v/>
      </c>
      <c r="AJ7" s="312">
        <f>COUNTIF(#REF!,AJ$4)</f>
        <v/>
      </c>
      <c r="AK7" s="311">
        <f>COUNTIF(#REF!,AK$4)</f>
        <v/>
      </c>
      <c r="AL7" s="313">
        <f>COUNTIF(#REF!,AL$4)</f>
        <v/>
      </c>
      <c r="AM7" s="313">
        <f>COUNTIF(#REF!,AM$4)</f>
        <v/>
      </c>
      <c r="AN7" s="313">
        <f>COUNTIF(#REF!,AN$4)</f>
        <v/>
      </c>
      <c r="AO7" s="313">
        <f>COUNTIF(#REF!,AO$4)</f>
        <v/>
      </c>
      <c r="AP7" s="238" t="n"/>
      <c r="AQ7" s="313">
        <f>SUMPRODUCT(--WEEKDAY(C$3:AG$3,2)&lt;6,--((C7:AG7="DM"))+(C7:AG7="CS1")+((C7:AG7="CS2"))+(C7:AG7="SB1")+(C7:AG7="AE")+(C7:AG7="EM"))</f>
        <v/>
      </c>
      <c r="AR7" s="238" t="n"/>
      <c r="AS7" s="238">
        <f>SUMPRODUCT(--WEEKDAY(C$3:AG$3,2)&gt;5,--((C7:AG7="DM"))+(C7:AG7="CS1")+((C7:AG7="CS2"))+(C7:AG7="SB1")+(C7:AG7="AE")+(C7:AG7="EM"))</f>
        <v/>
      </c>
      <c r="AT7" s="238" t="n"/>
      <c r="AU7" s="238">
        <f>(AQ7-AR7)/2+(AS7-AT7)</f>
        <v/>
      </c>
      <c r="AV7" s="238">
        <f>AI7+AJ7+AK7+AL7+AN7+AO7</f>
        <v/>
      </c>
      <c r="AW7" s="238">
        <f>BG7+BH7+BJ7+BE7+BC7+BA7+BL7</f>
        <v/>
      </c>
      <c r="AX7" s="238">
        <f>AU7+AY7</f>
        <v/>
      </c>
      <c r="AY7" s="313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/>
      </c>
      <c r="AZ7" s="313">
        <f>COUNTIF(#REF!,"*BRT*")</f>
        <v/>
      </c>
      <c r="BA7" s="313">
        <f>COUNTIF(A7:AI7,"*$BTP*")</f>
        <v/>
      </c>
      <c r="BB7" s="313">
        <f>BA7*('Setting key Duty'!$I$13+'Setting key Duty'!$I$12+'Setting key Duty'!$I$11)</f>
        <v/>
      </c>
      <c r="BC7" s="313">
        <f>COUNTIF(A7:AI7,"*$L*")</f>
        <v/>
      </c>
      <c r="BD7" s="313">
        <f>BC7*('Setting key Duty'!$I$13+'Setting key Duty'!$I$9)</f>
        <v/>
      </c>
      <c r="BE7" s="313">
        <f>COUNTIF(A7:AI7,"*$M*")</f>
        <v/>
      </c>
      <c r="BF7" s="313">
        <f>BE7*('Setting key Duty'!$I$8+'Setting key Duty'!$I$9+'Setting key Duty'!$I$12)</f>
        <v/>
      </c>
      <c r="BG7" s="313">
        <f>COUNTIF(A7:AI7,"*$N*")</f>
        <v/>
      </c>
      <c r="BH7" s="313">
        <f>COUNTIF(AF7:AI7,"*$PM*")</f>
        <v/>
      </c>
      <c r="BI7" s="313">
        <f>BH7*('Setting key Duty'!$I$9)</f>
        <v/>
      </c>
      <c r="BJ7" s="313">
        <f>COUNTIF(A7:AI7,"*$AM*")</f>
        <v/>
      </c>
      <c r="BK7" s="313">
        <f>BJ7*('Setting key Duty'!$I$12+'Setting key Duty'!$I$8)</f>
        <v/>
      </c>
      <c r="BL7" s="313">
        <f>COUNTIF(D7:AI7,"*$FC*")</f>
        <v/>
      </c>
      <c r="BM7" s="313">
        <f>BL7*('Setting key Duty'!$J$11+'Setting key Duty'!$I$8)</f>
        <v/>
      </c>
      <c r="BN7" s="313">
        <f>COUNTIF(#REF!,BN$4)</f>
        <v/>
      </c>
      <c r="BO7" s="313">
        <f>COUNTIF(#REF!,BO$4)</f>
        <v/>
      </c>
      <c r="BP7" s="313">
        <f>COUNTIF(#REF!,BP$4)</f>
        <v/>
      </c>
      <c r="BQ7" s="314" t="n"/>
    </row>
    <row r="8" ht="19.5" customHeight="1">
      <c r="A8" s="309" t="n"/>
      <c r="B8" s="334" t="inlineStr">
        <is>
          <t>CPL MUHAMMAD AQIL BIN ABDULLAH</t>
        </is>
      </c>
      <c r="C8" s="197" t="n"/>
      <c r="D8" s="197" t="n"/>
      <c r="E8" s="197" t="inlineStr">
        <is>
          <t>AL</t>
        </is>
      </c>
      <c r="F8" s="197" t="n"/>
      <c r="G8" s="197" t="inlineStr">
        <is>
          <t>CS1</t>
        </is>
      </c>
      <c r="I8" s="197" t="inlineStr">
        <is>
          <t>CS1</t>
        </is>
      </c>
      <c r="J8" s="197" t="n"/>
      <c r="K8" s="321" t="inlineStr">
        <is>
          <t>AMPT</t>
        </is>
      </c>
      <c r="L8" s="197" t="n"/>
      <c r="M8" s="317" t="inlineStr">
        <is>
          <t>USS</t>
        </is>
      </c>
      <c r="O8" s="317" t="n"/>
      <c r="P8" s="197" t="inlineStr">
        <is>
          <t>SB1</t>
        </is>
      </c>
      <c r="R8" s="321" t="n"/>
      <c r="S8" s="106" t="n"/>
      <c r="T8" s="381" t="n"/>
      <c r="U8" s="317" t="n"/>
      <c r="X8" s="197" t="inlineStr">
        <is>
          <t>DM</t>
        </is>
      </c>
      <c r="Z8" s="197" t="inlineStr">
        <is>
          <t>RESERVE</t>
        </is>
      </c>
      <c r="AB8" s="197" t="n"/>
      <c r="AC8" s="197" t="inlineStr">
        <is>
          <t>DM</t>
        </is>
      </c>
      <c r="AD8" s="197" t="n"/>
      <c r="AE8" s="197" t="inlineStr">
        <is>
          <t>CS1</t>
        </is>
      </c>
      <c r="AF8" s="197" t="n"/>
      <c r="AG8" s="197" t="n"/>
      <c r="AH8" s="197" t="n"/>
      <c r="AI8" s="311" t="n"/>
      <c r="AJ8" s="312" t="n"/>
      <c r="AK8" s="311" t="n"/>
      <c r="AL8" s="313" t="n"/>
      <c r="AM8" s="313" t="n"/>
      <c r="AN8" s="313" t="n"/>
      <c r="AO8" s="313" t="n"/>
      <c r="AP8" s="238" t="n"/>
      <c r="AQ8" s="313">
        <f>SUMPRODUCT(--WEEKDAY(C$3:AG$3,2)&lt;6,--((C8:AG8="DM"))+(C8:AG8="CS1")+((C8:AG8="CS2"))+(C8:AG8="SB1")+(C8:AG8="AE")+(C8:AG8="EM"))</f>
        <v/>
      </c>
      <c r="AR8" s="238" t="n"/>
      <c r="AS8" s="238">
        <f>SUMPRODUCT(--WEEKDAY(C$3:AG$3,2)&gt;5,--((C8:AG8="DM"))+(C8:AG8="CS1")+((C8:AG8="CS2"))+(C8:AG8="SB1")+(C8:AG8="AE")+(C8:AG8="EM"))</f>
        <v/>
      </c>
      <c r="AT8" s="238" t="n"/>
      <c r="AU8" s="238">
        <f>(AQ8-AR8)/2+(AS8-AT8)</f>
        <v/>
      </c>
      <c r="AV8" s="238">
        <f>AI8+AJ8+AK8+AL8+AN8+AO8</f>
        <v/>
      </c>
      <c r="AW8" s="238">
        <f>BG8+BH8+BJ8+BE8+BC8+BA8+BL8</f>
        <v/>
      </c>
      <c r="AX8" s="238">
        <f>AU8+AY8</f>
        <v/>
      </c>
      <c r="AY8" s="313" t="n"/>
      <c r="AZ8" s="313" t="n"/>
      <c r="BA8" s="313" t="n"/>
      <c r="BB8" s="313" t="n"/>
      <c r="BC8" s="313" t="n"/>
      <c r="BD8" s="313" t="n"/>
      <c r="BE8" s="313" t="n"/>
      <c r="BF8" s="313" t="n"/>
      <c r="BG8" s="313" t="n"/>
      <c r="BH8" s="313" t="n"/>
      <c r="BI8" s="313" t="n"/>
      <c r="BJ8" s="313" t="n"/>
      <c r="BK8" s="313" t="n"/>
      <c r="BL8" s="313" t="n"/>
      <c r="BM8" s="313" t="n"/>
      <c r="BN8" s="313" t="n"/>
      <c r="BO8" s="313" t="n"/>
      <c r="BP8" s="313" t="n"/>
      <c r="BQ8" s="314" t="n"/>
    </row>
    <row r="9" ht="19.5" customHeight="1">
      <c r="A9" s="309" t="n"/>
      <c r="B9" s="327" t="inlineStr">
        <is>
          <t>CFC FARABI BIN ZULKIFLI</t>
        </is>
      </c>
      <c r="C9" s="197" t="n"/>
      <c r="D9" s="197" t="inlineStr">
        <is>
          <t>CS1</t>
        </is>
      </c>
      <c r="E9" s="197" t="n"/>
      <c r="F9" s="317" t="n"/>
      <c r="G9" s="197" t="n"/>
      <c r="H9" s="197" t="n"/>
      <c r="I9" s="197" t="n"/>
      <c r="K9" s="317" t="inlineStr">
        <is>
          <t>DM</t>
        </is>
      </c>
      <c r="L9" s="197" t="inlineStr">
        <is>
          <t>RESERVE</t>
        </is>
      </c>
      <c r="M9" s="317" t="inlineStr">
        <is>
          <t>USS</t>
        </is>
      </c>
      <c r="N9" s="197" t="inlineStr">
        <is>
          <t>DM</t>
        </is>
      </c>
      <c r="O9" s="106" t="n"/>
      <c r="Q9" s="197" t="n"/>
      <c r="R9" s="197" t="inlineStr">
        <is>
          <t>RESERVE</t>
        </is>
      </c>
      <c r="S9" s="197" t="n"/>
      <c r="T9" s="197" t="inlineStr">
        <is>
          <t>RESERVE</t>
        </is>
      </c>
      <c r="U9" s="317" t="n"/>
      <c r="V9" s="197" t="n"/>
      <c r="W9" s="197" t="inlineStr">
        <is>
          <t>RESERVE</t>
        </is>
      </c>
      <c r="X9" s="317" t="n"/>
      <c r="Y9" s="197" t="inlineStr">
        <is>
          <t>DM</t>
        </is>
      </c>
      <c r="AB9" s="197" t="inlineStr">
        <is>
          <t>CS1</t>
        </is>
      </c>
      <c r="AC9" s="197" t="n"/>
      <c r="AD9" s="197" t="inlineStr">
        <is>
          <t>DM</t>
        </is>
      </c>
      <c r="AE9" s="197" t="n"/>
      <c r="AF9" s="197" t="n"/>
      <c r="AH9" s="197" t="inlineStr">
        <is>
          <t>RESERVE</t>
        </is>
      </c>
      <c r="AI9" s="311" t="n"/>
      <c r="AJ9" s="312" t="n"/>
      <c r="AK9" s="311" t="n"/>
      <c r="AL9" s="313" t="n"/>
      <c r="AM9" s="313" t="n"/>
      <c r="AN9" s="313" t="n"/>
      <c r="AO9" s="313" t="n"/>
      <c r="AP9" s="238" t="n"/>
      <c r="AQ9" s="313">
        <f>SUMPRODUCT(--WEEKDAY(C$3:AG$3,2)&lt;6,--((C9:AG9="DM"))+(C9:AG9="CS1")+((C9:AG9="CS2"))+(C9:AG9="SB1")+(C9:AG9="AE")+(C9:AG9="EM"))</f>
        <v/>
      </c>
      <c r="AR9" s="238" t="n"/>
      <c r="AS9" s="238">
        <f>SUMPRODUCT(--WEEKDAY(C$3:AG$3,2)&gt;5,--((C9:AG9="DM"))+(C9:AG9="CS1")+((C9:AG9="CS2"))+(C9:AG9="SB1")+(C9:AG9="AE")+(C9:AG9="EM"))</f>
        <v/>
      </c>
      <c r="AT9" s="238" t="n"/>
      <c r="AU9" s="238">
        <f>(AQ9-AR9)/2+(AS9-AT9)</f>
        <v/>
      </c>
      <c r="AV9" s="238">
        <f>AI9+AJ9+AK9+AL9+AN9+AO9</f>
        <v/>
      </c>
      <c r="AW9" s="238">
        <f>BG9+BH9+BJ9+BE9+BC9+BA9+BL9</f>
        <v/>
      </c>
      <c r="AX9" s="238">
        <f>AU9+AY9</f>
        <v/>
      </c>
      <c r="AY9" s="313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/>
      </c>
      <c r="AZ9" s="313">
        <f>COUNTIF(D9:Z9,"*BRT*")</f>
        <v/>
      </c>
      <c r="BA9" s="313">
        <f>COUNTIF(A9:AI9,"*$BTP*")</f>
        <v/>
      </c>
      <c r="BB9" s="313">
        <f>BA9*('Setting key Duty'!$I$13+'Setting key Duty'!$I$12+'Setting key Duty'!$I$11)</f>
        <v/>
      </c>
      <c r="BC9" s="313">
        <f>COUNTIF(A9:AI9,"*$L*")</f>
        <v/>
      </c>
      <c r="BD9" s="313">
        <f>BC9*('Setting key Duty'!$I$13+'Setting key Duty'!$I$9)</f>
        <v/>
      </c>
      <c r="BE9" s="313">
        <f>COUNTIF(A9:AI9,"*$M*")</f>
        <v/>
      </c>
      <c r="BF9" s="313">
        <f>BE9*('Setting key Duty'!$I$8+'Setting key Duty'!$I$9+'Setting key Duty'!$I$12)</f>
        <v/>
      </c>
      <c r="BG9" s="313">
        <f>COUNTIF(AI9,"*$N*")</f>
        <v/>
      </c>
      <c r="BH9" s="313">
        <f>COUNTIF(AI9,"*$PM*")</f>
        <v/>
      </c>
      <c r="BI9" s="313">
        <f>BH9*('Setting key Duty'!$I$9)</f>
        <v/>
      </c>
      <c r="BJ9" s="313">
        <f>COUNTIF(A9:AI9,"*$AM*")</f>
        <v/>
      </c>
      <c r="BK9" s="313">
        <f>BJ9*('Setting key Duty'!$I$12+'Setting key Duty'!$I$8)</f>
        <v/>
      </c>
      <c r="BL9" s="313">
        <f>COUNTIF(D9:AI9,"*$FC*")</f>
        <v/>
      </c>
      <c r="BM9" s="313">
        <f>BL9*('Setting key Duty'!$J$11+'Setting key Duty'!$I$8)</f>
        <v/>
      </c>
      <c r="BN9" s="313">
        <f>COUNTIF($D9:$Z9,BN$4)</f>
        <v/>
      </c>
      <c r="BO9" s="313">
        <f>COUNTIF($D9:$Z9,BO$4)</f>
        <v/>
      </c>
      <c r="BP9" s="313">
        <f>COUNTIF($D9:$Z9,BP$4)</f>
        <v/>
      </c>
      <c r="BQ9" s="314" t="n"/>
    </row>
    <row r="10" ht="19.5" customHeight="1">
      <c r="A10" s="309" t="n"/>
      <c r="B10" s="328" t="inlineStr">
        <is>
          <t>LCP MUHAMMAD AQIL HAMZAH BIN SYELDRICK</t>
        </is>
      </c>
      <c r="C10" s="197" t="inlineStr">
        <is>
          <t>OL</t>
        </is>
      </c>
      <c r="D10" s="197" t="inlineStr">
        <is>
          <t>OL</t>
        </is>
      </c>
      <c r="E10" s="197" t="inlineStr">
        <is>
          <t>OL</t>
        </is>
      </c>
      <c r="F10" s="317" t="n"/>
      <c r="H10" s="324" t="inlineStr">
        <is>
          <t>CS1</t>
        </is>
      </c>
      <c r="I10" s="197" t="n"/>
      <c r="J10" s="197" t="n"/>
      <c r="K10" s="321" t="inlineStr">
        <is>
          <t>AMPT</t>
        </is>
      </c>
      <c r="L10" s="106" t="n"/>
      <c r="M10" s="317" t="inlineStr">
        <is>
          <t>USS</t>
        </is>
      </c>
      <c r="N10" s="197" t="n"/>
      <c r="O10" s="197" t="inlineStr">
        <is>
          <t>EM</t>
        </is>
      </c>
      <c r="Q10" s="197" t="inlineStr">
        <is>
          <t>DM</t>
        </is>
      </c>
      <c r="R10" s="317" t="n"/>
      <c r="S10" s="350" t="inlineStr">
        <is>
          <t>CS2</t>
        </is>
      </c>
      <c r="T10" s="196" t="n"/>
      <c r="V10" s="197" t="n"/>
      <c r="W10" s="197" t="n"/>
      <c r="X10" s="197" t="n"/>
      <c r="Y10" s="197" t="inlineStr">
        <is>
          <t>CS1</t>
        </is>
      </c>
      <c r="Z10" s="317" t="n"/>
      <c r="AA10" s="197" t="inlineStr">
        <is>
          <t>DM</t>
        </is>
      </c>
      <c r="AC10" s="197" t="n"/>
      <c r="AD10" s="197" t="inlineStr">
        <is>
          <t>RESERVE</t>
        </is>
      </c>
      <c r="AE10" s="197" t="n"/>
      <c r="AG10" s="197" t="inlineStr">
        <is>
          <t>AE</t>
        </is>
      </c>
      <c r="AI10" s="311" t="n"/>
      <c r="AJ10" s="312" t="n"/>
      <c r="AK10" s="311" t="n"/>
      <c r="AL10" s="313" t="n"/>
      <c r="AM10" s="313" t="n"/>
      <c r="AN10" s="313" t="n"/>
      <c r="AO10" s="313" t="n"/>
      <c r="AP10" s="238" t="n"/>
      <c r="AQ10" s="313">
        <f>SUMPRODUCT(--WEEKDAY(C$3:AG$3,2)&lt;6,--((C10:AG10="DM"))+(C10:AG10="CS1")+((C10:AG10="CS2"))+(C10:AG10="SB1")+(C10:AG10="AE")+(C10:AG10="EM"))</f>
        <v/>
      </c>
      <c r="AR10" s="238" t="n"/>
      <c r="AS10" s="238">
        <f>SUMPRODUCT(--WEEKDAY(C$3:AG$3,2)&gt;5,--((C10:AG10="DM"))+(C10:AG10="CS1")+((C10:AG10="CS2"))+(C10:AG10="SB1")+(C10:AG10="AE")+(C10:AG10="EM"))</f>
        <v/>
      </c>
      <c r="AT10" s="238" t="n"/>
      <c r="AU10" s="238">
        <f>(AQ10-AR10)/2+(AS10-AT10)</f>
        <v/>
      </c>
      <c r="AV10" s="238">
        <f>AI10+AJ10+AK10+AL10+AN10+AO10</f>
        <v/>
      </c>
      <c r="AW10" s="238">
        <f>BG10+BH10+BJ10+BE10+BC10+BA10+BL10</f>
        <v/>
      </c>
      <c r="AX10" s="238">
        <f>AU10+$AY$10</f>
        <v/>
      </c>
      <c r="AY10" s="313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/>
      </c>
      <c r="AZ10" s="313">
        <f>COUNTIF(C10:AC10,"*BRT*")</f>
        <v/>
      </c>
      <c r="BA10" s="313">
        <f>COUNTIF(A10:AI10,"*$BTP*")</f>
        <v/>
      </c>
      <c r="BB10" s="313">
        <f>BA10*('Setting key Duty'!$I$13+'Setting key Duty'!$I$12+'Setting key Duty'!$I$11)</f>
        <v/>
      </c>
      <c r="BC10" s="313">
        <f>COUNTIF(D10:AI10,"*$L*")</f>
        <v/>
      </c>
      <c r="BD10" s="313">
        <f>BC10*('Setting key Duty'!$I$13+'Setting key Duty'!$I$9)</f>
        <v/>
      </c>
      <c r="BE10" s="313">
        <f>COUNTIF(D10:AI10,"*$M*")</f>
        <v/>
      </c>
      <c r="BF10" s="313">
        <f>BE10*('Setting key Duty'!$I$8+'Setting key Duty'!$I$9+'Setting key Duty'!$I$12)</f>
        <v/>
      </c>
      <c r="BG10" s="313">
        <f>COUNTIF(D10:AI10,"*$N*")</f>
        <v/>
      </c>
      <c r="BH10" s="313">
        <f>COUNTIF(D10:AI10,"*$PM*")</f>
        <v/>
      </c>
      <c r="BI10" s="313">
        <f>BH10*('Setting key Duty'!$I$9)</f>
        <v/>
      </c>
      <c r="BJ10" s="313">
        <f>COUNTIF(D10:AI10,"*$AM*")</f>
        <v/>
      </c>
      <c r="BK10" s="313">
        <f>BJ10*('Setting key Duty'!$I$12+'Setting key Duty'!$I$8)</f>
        <v/>
      </c>
      <c r="BL10" s="313">
        <f>COUNTIF(C10:AI10,"*$FC*")</f>
        <v/>
      </c>
      <c r="BM10" s="313">
        <f>BL10*('Setting key Duty'!$J$11+'Setting key Duty'!$I$8)</f>
        <v/>
      </c>
      <c r="BN10" s="313">
        <f>COUNTIF($C10:$AG10,BN$4)</f>
        <v/>
      </c>
      <c r="BO10" s="313">
        <f>COUNTIF($C10:$AG10,BO$4)</f>
        <v/>
      </c>
      <c r="BP10" s="313">
        <f>COUNTIF($D10:$AE10,BP$4)</f>
        <v/>
      </c>
      <c r="BQ10" s="314" t="n"/>
    </row>
    <row r="11" ht="19.5" customHeight="1">
      <c r="A11" s="309" t="n"/>
      <c r="B11" s="315" t="inlineStr">
        <is>
          <t>CPL MOHD AMEER KHAN S/O BASHIR ISMAIL</t>
        </is>
      </c>
      <c r="C11" s="197" t="n"/>
      <c r="D11" s="197" t="inlineStr">
        <is>
          <t>SB1</t>
        </is>
      </c>
      <c r="E11" s="197" t="n"/>
      <c r="F11" s="197" t="inlineStr">
        <is>
          <t>RESERVE</t>
        </is>
      </c>
      <c r="G11" s="197" t="n"/>
      <c r="H11" s="197" t="n"/>
      <c r="J11" s="317" t="inlineStr">
        <is>
          <t>SB1</t>
        </is>
      </c>
      <c r="K11" s="197" t="n"/>
      <c r="L11" s="197" t="inlineStr">
        <is>
          <t>CS1</t>
        </is>
      </c>
      <c r="M11" s="317" t="n"/>
      <c r="N11" s="106" t="n"/>
      <c r="O11" s="197" t="inlineStr">
        <is>
          <t>DM</t>
        </is>
      </c>
      <c r="P11" s="197" t="n"/>
      <c r="Q11" s="197" t="inlineStr">
        <is>
          <t>RESERVE</t>
        </is>
      </c>
      <c r="R11" s="197" t="n"/>
      <c r="S11" s="197" t="inlineStr">
        <is>
          <t>USS</t>
        </is>
      </c>
      <c r="T11" s="196" t="n"/>
      <c r="V11" s="197" t="n"/>
      <c r="W11" s="197" t="inlineStr">
        <is>
          <t>DM</t>
        </is>
      </c>
      <c r="Y11" s="197" t="n"/>
      <c r="AA11" s="197" t="n"/>
      <c r="AB11" s="197" t="n"/>
      <c r="AC11" s="197" t="inlineStr">
        <is>
          <t>CS2</t>
        </is>
      </c>
      <c r="AD11" s="197" t="n"/>
      <c r="AE11" s="197" t="n"/>
      <c r="AG11" s="197" t="n"/>
      <c r="AH11" s="197" t="n"/>
      <c r="AI11" s="311" t="n"/>
      <c r="AJ11" s="312" t="n"/>
      <c r="AK11" s="311" t="n"/>
      <c r="AL11" s="313" t="n"/>
      <c r="AM11" s="313" t="n"/>
      <c r="AN11" s="313" t="n"/>
      <c r="AO11" s="313" t="n"/>
      <c r="AP11" s="238" t="n"/>
      <c r="AQ11" s="313">
        <f>SUMPRODUCT(--WEEKDAY(C$3:AG$3,2)&lt;6,--((C11:AG11="DM"))+(C11:AG11="CS1")+((C11:AG11="CS2"))+(C11:AG11="SB1")+(C11:AG11="AE")+(C11:AG11="EM"))</f>
        <v/>
      </c>
      <c r="AR11" s="238" t="n"/>
      <c r="AS11" s="238">
        <f>SUMPRODUCT(--WEEKDAY(C$3:AG$3,2)&gt;5,--((C11:AG11="DM"))+(C11:AG11="CS1")+((C11:AG11="CS2"))+(C11:AG11="SB1")+(C11:AG11="AE")+(C11:AG11="EM"))</f>
        <v/>
      </c>
      <c r="AT11" s="238" t="n"/>
      <c r="AU11" s="238">
        <f>(AQ11-AR11)/2+(AS11-AT11)</f>
        <v/>
      </c>
      <c r="AV11" s="238">
        <f>AI11+AJ11+AK11+AL11+AN11+AO11</f>
        <v/>
      </c>
      <c r="AW11" s="238">
        <f>BG11+BH11+BJ11+BE11+BC11+BA11+BL11</f>
        <v/>
      </c>
      <c r="AX11" s="238">
        <f>AU11+AY11</f>
        <v/>
      </c>
      <c r="AY11" s="313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/>
      </c>
      <c r="AZ11" s="313">
        <f>COUNTIF(D11:AC11,"*BRT*")</f>
        <v/>
      </c>
      <c r="BA11" s="313">
        <f>COUNTIF(A11:AI11,"*$BTP*")</f>
        <v/>
      </c>
      <c r="BB11" s="313">
        <f>BA11*('Setting key Duty'!$I$13+'Setting key Duty'!$I$12+'Setting key Duty'!$I$11)</f>
        <v/>
      </c>
      <c r="BC11" s="313">
        <f>COUNTIF(A11:AI11,"*$L*")</f>
        <v/>
      </c>
      <c r="BD11" s="313">
        <f>BC11*('Setting key Duty'!$I$13+'Setting key Duty'!$I$9)</f>
        <v/>
      </c>
      <c r="BE11" s="313">
        <f>COUNTIF(A11:AI11,"*$M*")</f>
        <v/>
      </c>
      <c r="BF11" s="313">
        <f>BE11*('Setting key Duty'!$I$8+'Setting key Duty'!$I$9+'Setting key Duty'!$I$12)</f>
        <v/>
      </c>
      <c r="BG11" s="313">
        <f>COUNTIF(AF11:AI11,"*$N*")</f>
        <v/>
      </c>
      <c r="BH11" s="313">
        <f>COUNTIF(AF11:AI11,"*$PM*")</f>
        <v/>
      </c>
      <c r="BI11" s="313">
        <f>BH11*('Setting key Duty'!$I$9)</f>
        <v/>
      </c>
      <c r="BJ11" s="313">
        <f>COUNTIF(A11:AI11,"*$AM*")</f>
        <v/>
      </c>
      <c r="BK11" s="313">
        <f>BJ11*('Setting key Duty'!$I$12+'Setting key Duty'!$I$8)</f>
        <v/>
      </c>
      <c r="BL11" s="313">
        <f>COUNTIF(D11:AI11,"*$FC*")</f>
        <v/>
      </c>
      <c r="BM11" s="313">
        <f>BL11*('Setting key Duty'!$J$11+'Setting key Duty'!$I$8)</f>
        <v/>
      </c>
      <c r="BN11" s="313">
        <f>COUNTIF($D11:$AE11,BN$4)</f>
        <v/>
      </c>
      <c r="BO11" s="313">
        <f>COUNTIF($D11:$AE11,BO$4)</f>
        <v/>
      </c>
      <c r="BP11" s="313">
        <f>COUNTIF($D11:$AE11,BP$4)</f>
        <v/>
      </c>
      <c r="BQ11" s="314" t="n"/>
    </row>
    <row r="12" ht="19.5" customHeight="1">
      <c r="A12" s="309" t="n"/>
      <c r="B12" s="329" t="inlineStr">
        <is>
          <t>LCP ALPHA KELVIN ISAAC BIN MUHAMMAD MCKEVIN LAWRENCE</t>
        </is>
      </c>
      <c r="C12" s="197" t="n"/>
      <c r="D12" s="197" t="n"/>
      <c r="E12" s="197" t="inlineStr">
        <is>
          <t>SB1</t>
        </is>
      </c>
      <c r="F12" s="197" t="n"/>
      <c r="G12" s="197" t="n"/>
      <c r="H12" s="197" t="n"/>
      <c r="I12" s="197" t="n"/>
      <c r="J12" s="197" t="n"/>
      <c r="K12" s="317" t="inlineStr">
        <is>
          <t>CS1</t>
        </is>
      </c>
      <c r="L12" s="197" t="n"/>
      <c r="M12" s="197" t="inlineStr">
        <is>
          <t>USS</t>
        </is>
      </c>
      <c r="N12" s="197" t="n"/>
      <c r="O12" s="197" t="inlineStr">
        <is>
          <t>CS1</t>
        </is>
      </c>
      <c r="P12" s="197" t="n"/>
      <c r="Q12" s="197" t="inlineStr">
        <is>
          <t>CS2</t>
        </is>
      </c>
      <c r="R12" s="197" t="n"/>
      <c r="S12" s="197" t="n"/>
      <c r="T12" s="197" t="n"/>
      <c r="U12" s="197" t="n"/>
      <c r="V12" s="197" t="n"/>
      <c r="W12" s="317" t="inlineStr">
        <is>
          <t>CS2</t>
        </is>
      </c>
      <c r="Y12" s="197" t="inlineStr">
        <is>
          <t>SB1</t>
        </is>
      </c>
      <c r="AA12" s="197" t="n"/>
      <c r="AB12" s="197" t="n"/>
      <c r="AC12" s="197" t="n"/>
      <c r="AD12" s="197" t="inlineStr">
        <is>
          <t>SB1</t>
        </is>
      </c>
      <c r="AE12" s="197" t="n"/>
      <c r="AF12" s="197" t="n"/>
      <c r="AG12" s="197" t="n"/>
      <c r="AH12" s="197" t="n"/>
      <c r="AI12" s="311" t="n"/>
      <c r="AJ12" s="312" t="n"/>
      <c r="AK12" s="311" t="n"/>
      <c r="AL12" s="313" t="n"/>
      <c r="AM12" s="313" t="n"/>
      <c r="AN12" s="313" t="n"/>
      <c r="AO12" s="313" t="n"/>
      <c r="AP12" s="238" t="n"/>
      <c r="AQ12" s="313">
        <f>SUMPRODUCT(--WEEKDAY(C$3:AG$3,2)&lt;6,--((C12:AG12="DM"))+(C12:AG12="CS1")+((C12:AG12="CS2"))+(C12:AG12="SB1")+(C12:AG12="AE")+(C12:AG12="EM"))</f>
        <v/>
      </c>
      <c r="AR12" s="238" t="n"/>
      <c r="AS12" s="238">
        <f>SUMPRODUCT(--WEEKDAY(C$3:AG$3,2)&gt;5,--((C12:AG12="DM"))+(C12:AG12="CS1")+((C12:AG12="CS2"))+(C12:AG12="SB1")+(C12:AG12="AE")+(C12:AG12="EM"))</f>
        <v/>
      </c>
      <c r="AT12" s="238" t="n"/>
      <c r="AU12" s="238">
        <f>(AQ12-AR12)/2+(AS12-AT12)</f>
        <v/>
      </c>
      <c r="AV12" s="238">
        <f>AI12+AJ12+AK12+AL12+AN12+AO12</f>
        <v/>
      </c>
      <c r="AW12" s="238">
        <f>BG12+BH12+BJ12+BE12+BC12+BA12+BL12</f>
        <v/>
      </c>
      <c r="AX12" s="238">
        <f>AU12+AY12</f>
        <v/>
      </c>
      <c r="AY12" s="313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/>
      </c>
      <c r="AZ12" s="313">
        <f>COUNTIF(D12:Y12,"*BRT*")</f>
        <v/>
      </c>
      <c r="BA12" s="313">
        <f>COUNTIF(A12:AI12,"*$BTP*")</f>
        <v/>
      </c>
      <c r="BB12" s="313">
        <f>BA12*('Setting key Duty'!$I$13+'Setting key Duty'!$I$12+'Setting key Duty'!$I$11)</f>
        <v/>
      </c>
      <c r="BC12" s="313">
        <f>COUNTIF(A12:AI12,"*$L*")</f>
        <v/>
      </c>
      <c r="BD12" s="313">
        <f>BC12*('Setting key Duty'!$I$13+'Setting key Duty'!$I$9)</f>
        <v/>
      </c>
      <c r="BE12" s="313">
        <f>COUNTIF(A12:AI12,"*$M*")</f>
        <v/>
      </c>
      <c r="BF12" s="313">
        <f>BE12*('Setting key Duty'!$I$8+'Setting key Duty'!$I$9+'Setting key Duty'!$I$12)</f>
        <v/>
      </c>
      <c r="BG12" s="313">
        <f>COUNTIF(AI12,"*$N*")</f>
        <v/>
      </c>
      <c r="BH12" s="313">
        <f>COUNTIF(AI12,"*$PM*")</f>
        <v/>
      </c>
      <c r="BI12" s="313">
        <f>BH12*('Setting key Duty'!$I$9)</f>
        <v/>
      </c>
      <c r="BJ12" s="313">
        <f>COUNTIF(A12:AI12,"*$AM*")</f>
        <v/>
      </c>
      <c r="BK12" s="313">
        <f>BJ12*('Setting key Duty'!$I$12+'Setting key Duty'!$I$8)</f>
        <v/>
      </c>
      <c r="BL12" s="313">
        <f>COUNTIF(D12:AI12,"*$FC*")</f>
        <v/>
      </c>
      <c r="BM12" s="313">
        <f>BL12*('Setting key Duty'!$J$11+'Setting key Duty'!$I$8)</f>
        <v/>
      </c>
      <c r="BN12" s="313">
        <f>COUNTIF($D12:$Y12,BN$4)</f>
        <v/>
      </c>
      <c r="BO12" s="313">
        <f>COUNTIF($D12:$Y12,BO$4)</f>
        <v/>
      </c>
      <c r="BP12" s="313">
        <f>COUNTIF($D12:$Y12,BP$4)</f>
        <v/>
      </c>
      <c r="BQ12" s="314" t="n"/>
    </row>
    <row r="13" ht="24" customHeight="1">
      <c r="A13" s="309" t="n"/>
      <c r="B13" s="335" t="inlineStr">
        <is>
          <t>CPL RAZIN HILMANSYAH BIN ROSLI</t>
        </is>
      </c>
      <c r="C13" s="197" t="inlineStr">
        <is>
          <t>RESERVE</t>
        </is>
      </c>
      <c r="D13" s="197" t="n"/>
      <c r="F13" s="197" t="inlineStr">
        <is>
          <t>DM</t>
        </is>
      </c>
      <c r="H13" s="197" t="n"/>
      <c r="I13" s="317" t="inlineStr">
        <is>
          <t>DM</t>
        </is>
      </c>
      <c r="J13" s="317" t="n"/>
      <c r="K13" s="197" t="inlineStr">
        <is>
          <t>RESERVE</t>
        </is>
      </c>
      <c r="L13" s="197" t="n"/>
      <c r="M13" s="317" t="n"/>
      <c r="N13" s="197" t="inlineStr">
        <is>
          <t>EM</t>
        </is>
      </c>
      <c r="O13" s="197" t="n"/>
      <c r="P13" s="197" t="inlineStr">
        <is>
          <t>DM</t>
        </is>
      </c>
      <c r="R13" s="197" t="n"/>
      <c r="S13" s="197" t="inlineStr">
        <is>
          <t>USS</t>
        </is>
      </c>
      <c r="T13" s="196" t="inlineStr">
        <is>
          <t>CS1</t>
        </is>
      </c>
      <c r="U13" s="197" t="n"/>
      <c r="V13" s="197" t="n"/>
      <c r="X13" s="197" t="inlineStr">
        <is>
          <t>CS1</t>
        </is>
      </c>
      <c r="Z13" s="197" t="n"/>
      <c r="AA13" s="197" t="n"/>
      <c r="AB13" s="197" t="n"/>
      <c r="AC13" s="197" t="inlineStr">
        <is>
          <t>RESERVE</t>
        </is>
      </c>
      <c r="AD13" s="197" t="n"/>
      <c r="AE13" s="197" t="n"/>
      <c r="AF13" s="106" t="n"/>
      <c r="AG13" s="197" t="n"/>
      <c r="AH13" s="197" t="inlineStr">
        <is>
          <t>DM</t>
        </is>
      </c>
      <c r="AI13" s="311">
        <f>COUNTIF($C13:$AB13,AI$4)</f>
        <v/>
      </c>
      <c r="AJ13" s="312">
        <f>COUNTIF($C13:$AB13,AJ$4)</f>
        <v/>
      </c>
      <c r="AK13" s="311">
        <f>COUNTIF($C13:$AB13,AK$4)</f>
        <v/>
      </c>
      <c r="AL13" s="313">
        <f>COUNTIF($C13:$AB13,AL$4)</f>
        <v/>
      </c>
      <c r="AM13" s="313">
        <f>COUNTIF($C13:$AB13,AM$4)</f>
        <v/>
      </c>
      <c r="AN13" s="313">
        <f>COUNTIF($C13:$AB13,AN$4)</f>
        <v/>
      </c>
      <c r="AO13" s="313">
        <f>COUNTIF($C13:$AB13,AO$4)</f>
        <v/>
      </c>
      <c r="AP13" s="238" t="n"/>
      <c r="AQ13" s="313">
        <f>SUMPRODUCT(--WEEKDAY(C$3:AG$3,2)&lt;6,--((C13:AG13="DM"))+(C13:AG13="CS1")+((C13:AG13="CS2"))+(C13:AG13="SB1")+(C13:AG13="AE")+(C13:AG13="EM"))</f>
        <v/>
      </c>
      <c r="AR13" s="238" t="n"/>
      <c r="AS13" s="238">
        <f>SUMPRODUCT(--WEEKDAY(C$3:AG$3,2)&gt;5,--((C13:AG13="DM"))+(C13:AG13="CS1")+((C13:AG13="CS2"))+(C13:AG13="SB1")+(C13:AG13="AE")+(C13:AG13="EM"))</f>
        <v/>
      </c>
      <c r="AT13" s="238" t="n"/>
      <c r="AU13" s="238">
        <f>(AQ13-AR13)/2+(AS13-AT13)</f>
        <v/>
      </c>
      <c r="AV13" s="238">
        <f>AI13+AJ13+AK13+AL13+AN13+AO13</f>
        <v/>
      </c>
      <c r="AW13" s="238">
        <f>BG13+BH13+BJ13+BE13+BC13+BA13+BL13</f>
        <v/>
      </c>
      <c r="AX13" s="238">
        <f>AU13+AY13</f>
        <v/>
      </c>
      <c r="AY13" s="313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/>
      </c>
      <c r="AZ13" s="313">
        <f>COUNTIF(C13:AB13,"*BRT*")</f>
        <v/>
      </c>
      <c r="BA13" s="313">
        <f>COUNTIF(A13:AI13,"*$BTP*")</f>
        <v/>
      </c>
      <c r="BB13" s="313">
        <f>BA13*('Setting key Duty'!$I$13+'Setting key Duty'!$I$12+'Setting key Duty'!$I$11)</f>
        <v/>
      </c>
      <c r="BC13" s="313">
        <f>COUNTIF(A13:AI13,"*$L*")</f>
        <v/>
      </c>
      <c r="BD13" s="313">
        <f>BC13*('Setting key Duty'!$I$13+'Setting key Duty'!$I$9)</f>
        <v/>
      </c>
      <c r="BE13" s="313">
        <f>COUNTIF(A13:AI13,"*$M*")</f>
        <v/>
      </c>
      <c r="BF13" s="313">
        <f>BE13*('Setting key Duty'!$I$8+'Setting key Duty'!$I$9+'Setting key Duty'!$I$12)</f>
        <v/>
      </c>
      <c r="BG13" s="313">
        <f>COUNTIF(A13:AI13,"*$N*")</f>
        <v/>
      </c>
      <c r="BH13" s="313">
        <f>COUNTIF(AI13,"*$PM*")</f>
        <v/>
      </c>
      <c r="BI13" s="313">
        <f>BH13*('Setting key Duty'!$I$9)</f>
        <v/>
      </c>
      <c r="BJ13" s="313">
        <f>COUNTIF(A13:AI13,"*$AM*")</f>
        <v/>
      </c>
      <c r="BK13" s="313">
        <f>BJ13*('Setting key Duty'!$I$12+'Setting key Duty'!$I$8)</f>
        <v/>
      </c>
      <c r="BL13" s="313">
        <f>COUNTIF(C13:AI13,"*$FC*")</f>
        <v/>
      </c>
      <c r="BM13" s="313">
        <f>BL13*('Setting key Duty'!$J$11+'Setting key Duty'!$I$8)</f>
        <v/>
      </c>
      <c r="BN13" s="313">
        <f>COUNTIF($C13:$AB13,BN$4)</f>
        <v/>
      </c>
      <c r="BO13" s="313">
        <f>COUNTIF($C13:$AB13,BO$4)</f>
        <v/>
      </c>
      <c r="BP13" s="313">
        <f>COUNTIF($C13:$AB13,BP$4)</f>
        <v/>
      </c>
      <c r="BQ13" s="314" t="n"/>
    </row>
    <row r="14" ht="37.5" customHeight="1">
      <c r="A14" s="309" t="n"/>
      <c r="B14" s="329" t="inlineStr">
        <is>
          <t>CPL RICKY NG RUIQI</t>
        </is>
      </c>
      <c r="C14" s="197" t="n"/>
      <c r="D14" s="197" t="inlineStr">
        <is>
          <t>CS2</t>
        </is>
      </c>
      <c r="E14" s="197" t="n"/>
      <c r="F14" s="197" t="n"/>
      <c r="G14" s="197" t="inlineStr">
        <is>
          <t>DM</t>
        </is>
      </c>
      <c r="H14" s="382" t="n"/>
      <c r="I14" s="197" t="n"/>
      <c r="J14" s="197" t="inlineStr">
        <is>
          <t>MSP</t>
        </is>
      </c>
      <c r="K14" s="197" t="inlineStr">
        <is>
          <t>MSP BRIEFING</t>
        </is>
      </c>
      <c r="L14" s="197" t="n"/>
      <c r="M14" s="197" t="n"/>
      <c r="N14" s="197" t="n"/>
      <c r="O14" s="197" t="n"/>
      <c r="P14" s="197" t="inlineStr">
        <is>
          <t>MSP REHEARSAL</t>
        </is>
      </c>
      <c r="Q14" s="197" t="inlineStr">
        <is>
          <t>MSP REHEARSAL</t>
        </is>
      </c>
      <c r="R14" s="197" t="inlineStr">
        <is>
          <t>MSP REHEARSAL</t>
        </is>
      </c>
      <c r="S14" s="197" t="inlineStr">
        <is>
          <t>MSP</t>
        </is>
      </c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inlineStr">
        <is>
          <t>RESERVE</t>
        </is>
      </c>
      <c r="AG14" s="197" t="n"/>
      <c r="AH14" s="197" t="n"/>
      <c r="AI14" s="311">
        <f>COUNTIF($D14:$AC14,AI$4)</f>
        <v/>
      </c>
      <c r="AJ14" s="312">
        <f>COUNTIF($D14:$AC14,AJ$4)</f>
        <v/>
      </c>
      <c r="AK14" s="311">
        <f>COUNTIF($D14:$AC14,AK$4)</f>
        <v/>
      </c>
      <c r="AL14" s="313">
        <f>COUNTIF($D14:$AC14,AL$4)</f>
        <v/>
      </c>
      <c r="AM14" s="313">
        <f>COUNTIF($D14:$AC14,AM$4)</f>
        <v/>
      </c>
      <c r="AN14" s="313">
        <f>COUNTIF($D14:$AC14,AN$4)</f>
        <v/>
      </c>
      <c r="AO14" s="313">
        <f>COUNTIF($D14:$AC14,AO$4)</f>
        <v/>
      </c>
      <c r="AP14" s="238" t="n"/>
      <c r="AQ14" s="313">
        <f>SUMPRODUCT(--WEEKDAY(C$3:AG$3,2)&lt;6,--((C14:AG14="DM"))+(C14:AG14="CS1")+((C14:AG14="CS2"))+(C14:AG14="SB1")+(C14:AG14="AE")+(C14:AG14="EM"))</f>
        <v/>
      </c>
      <c r="AR14" s="238" t="n"/>
      <c r="AS14" s="238">
        <f>SUMPRODUCT(--WEEKDAY(C$3:AG$3,2)&gt;5,--((C14:AG14="DM"))+(C14:AG14="CS1")+((C14:AG14="CS2"))+(C14:AG14="SB1")+(C14:AG14="AE")+(C14:AG14="EM"))</f>
        <v/>
      </c>
      <c r="AT14" s="238" t="n"/>
      <c r="AU14" s="238">
        <f>(AQ14-AR14)/2+(AS14-AT14)</f>
        <v/>
      </c>
      <c r="AV14" s="238">
        <f>AI14+AJ14+AK14+AL14+AN14+AO14</f>
        <v/>
      </c>
      <c r="AW14" s="238">
        <f>BG14+BH14+BJ14+BE14+BC14+BA14+BL14</f>
        <v/>
      </c>
      <c r="AX14" s="238">
        <f>AU14+AY14</f>
        <v/>
      </c>
      <c r="AY14" s="313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/>
      </c>
      <c r="AZ14" s="313">
        <f>COUNTIF(C14:AC14,"*BRT*")</f>
        <v/>
      </c>
      <c r="BA14" s="313">
        <f>COUNTIF(A14:AI14,"*$BTP*")</f>
        <v/>
      </c>
      <c r="BB14" s="313">
        <f>BA14*('Setting key Duty'!$I$13+'Setting key Duty'!$I$12+'Setting key Duty'!$I$11)</f>
        <v/>
      </c>
      <c r="BC14" s="313">
        <f>COUNTIF(A14:AI14,"*$L*")</f>
        <v/>
      </c>
      <c r="BD14" s="313">
        <f>BC14*('Setting key Duty'!$I$13+'Setting key Duty'!$I$9)</f>
        <v/>
      </c>
      <c r="BE14" s="313">
        <f>COUNTIF(A14:AI14,"*$M*")</f>
        <v/>
      </c>
      <c r="BF14" s="313">
        <f>BE14*('Setting key Duty'!$I$8+'Setting key Duty'!$I$9+'Setting key Duty'!$I$12)</f>
        <v/>
      </c>
      <c r="BG14" s="313">
        <f>COUNTIF(AI14,"*$N*")</f>
        <v/>
      </c>
      <c r="BH14" s="313">
        <f>COUNTIF(AI14,"*$PM*")</f>
        <v/>
      </c>
      <c r="BI14" s="313">
        <f>BH14*('Setting key Duty'!$I$9)</f>
        <v/>
      </c>
      <c r="BJ14" s="313">
        <f>COUNTIF(A14:AI14,"*$AM*")</f>
        <v/>
      </c>
      <c r="BK14" s="313">
        <f>BJ14*('Setting key Duty'!$I$12+'Setting key Duty'!$I$8)</f>
        <v/>
      </c>
      <c r="BL14" s="313">
        <f>COUNTIF(C14:AI14,"*$FC*")</f>
        <v/>
      </c>
      <c r="BM14" s="313">
        <f>BL14*('Setting key Duty'!$J$11+'Setting key Duty'!$I$8)</f>
        <v/>
      </c>
      <c r="BN14" s="313">
        <f>COUNTIF($C14:$AC14,BN$4)</f>
        <v/>
      </c>
      <c r="BO14" s="313">
        <f>COUNTIF($C14:$AC14,BO$4)</f>
        <v/>
      </c>
      <c r="BP14" s="313">
        <f>COUNTIF($C14:$AC14,BP$4)</f>
        <v/>
      </c>
      <c r="BQ14" s="314" t="n"/>
    </row>
    <row r="15" ht="19.5" customHeight="1">
      <c r="A15" s="309" t="n"/>
      <c r="B15" s="315" t="inlineStr">
        <is>
          <t>CPL MUHAMED AMIR BIN AHMAD FAIZAL</t>
        </is>
      </c>
      <c r="C15" s="197" t="inlineStr">
        <is>
          <t>AL</t>
        </is>
      </c>
      <c r="D15" s="197" t="n"/>
      <c r="E15" s="197" t="n"/>
      <c r="F15" s="197" t="n"/>
      <c r="G15" s="197" t="n"/>
      <c r="H15" s="197" t="n"/>
      <c r="I15" s="197" t="n"/>
      <c r="J15" s="197" t="inlineStr">
        <is>
          <t>MSP</t>
        </is>
      </c>
      <c r="K15" s="197" t="inlineStr">
        <is>
          <t>MSP BRIEFING</t>
        </is>
      </c>
      <c r="L15" s="197" t="n"/>
      <c r="M15" s="317" t="inlineStr">
        <is>
          <t>USS</t>
        </is>
      </c>
      <c r="N15" s="197" t="n"/>
      <c r="O15" s="197" t="n"/>
      <c r="P15" s="197" t="inlineStr">
        <is>
          <t>MSP REHEARSAL</t>
        </is>
      </c>
      <c r="Q15" s="197" t="inlineStr">
        <is>
          <t>MSP REHEARSAL</t>
        </is>
      </c>
      <c r="R15" s="197" t="inlineStr">
        <is>
          <t>MSP REHEARSAL</t>
        </is>
      </c>
      <c r="S15" s="197" t="inlineStr">
        <is>
          <t>MSP</t>
        </is>
      </c>
      <c r="T15" s="197" t="n"/>
      <c r="U15" s="197" t="n"/>
      <c r="V15" s="197" t="n"/>
      <c r="W15" s="197" t="n"/>
      <c r="X15" s="197" t="n"/>
      <c r="Y15" s="197" t="n"/>
      <c r="Z15" s="197" t="inlineStr">
        <is>
          <t>OWADIO!!</t>
        </is>
      </c>
      <c r="AA15" s="197" t="n"/>
      <c r="AB15" s="197" t="n"/>
      <c r="AC15" s="197" t="n"/>
      <c r="AD15" s="197" t="n"/>
      <c r="AE15" s="197" t="n"/>
      <c r="AF15" s="197" t="n"/>
      <c r="AG15" s="197" t="n"/>
      <c r="AH15" s="197" t="n"/>
      <c r="AI15" s="311">
        <f>COUNTIF($D15:$AA15,AI$4)</f>
        <v/>
      </c>
      <c r="AJ15" s="312">
        <f>COUNTIF($D15:$AA15,AJ$4)</f>
        <v/>
      </c>
      <c r="AK15" s="311">
        <f>COUNTIF($D15:$AA15,AK$4)</f>
        <v/>
      </c>
      <c r="AL15" s="313">
        <f>COUNTIF($D15:$AA15,AL$4)</f>
        <v/>
      </c>
      <c r="AM15" s="313">
        <f>COUNTIF($D15:$AA15,AM$4)</f>
        <v/>
      </c>
      <c r="AN15" s="313">
        <f>COUNTIF($D15:$AA15,AN$4)</f>
        <v/>
      </c>
      <c r="AO15" s="313">
        <f>COUNTIF($D15:$AA15,AO$4)</f>
        <v/>
      </c>
      <c r="AP15" s="238" t="n"/>
      <c r="AQ15" s="313">
        <f>SUMPRODUCT(--WEEKDAY(C$3:AG$3,2)&lt;6,--((C15:AG15="DM"))+(C15:AG15="CS1")+((C15:AG15="CS2"))+(C15:AG15="SB1")+(C15:AG15="AE")+(C15:AG15="EM"))</f>
        <v/>
      </c>
      <c r="AR15" s="238" t="n"/>
      <c r="AS15" s="238">
        <f>SUMPRODUCT(--WEEKDAY(C$3:AG$3,2)&gt;5,--((C15:AG15="DM"))+(C15:AG15="CS1")+((C15:AG15="CS2"))+(C15:AG15="SB1")+(C15:AG15="AE")+(C15:AG15="EM"))</f>
        <v/>
      </c>
      <c r="AT15" s="238" t="n"/>
      <c r="AU15" s="238">
        <f>(AQ15-AR15)/2+(AS15-AT15)</f>
        <v/>
      </c>
      <c r="AV15" s="238">
        <f>AI15+AJ15+AK15+AL15+AN15+AO15</f>
        <v/>
      </c>
      <c r="AW15" s="238">
        <f>BG15+BH15+BJ15+BE15+BC15+BA15+BL15</f>
        <v/>
      </c>
      <c r="AX15" s="238">
        <f>AU15+AY15</f>
        <v/>
      </c>
      <c r="AY15" s="313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/>
      </c>
      <c r="AZ15" s="313">
        <f>COUNTIF(D15:AA15,"*BRT*")</f>
        <v/>
      </c>
      <c r="BA15" s="313">
        <f>COUNTIF(A15:AI15,"*$BTP*")</f>
        <v/>
      </c>
      <c r="BB15" s="313">
        <f>BA15*('Setting key Duty'!$I$13+'Setting key Duty'!$I$12+'Setting key Duty'!$I$11)</f>
        <v/>
      </c>
      <c r="BC15" s="313">
        <f>COUNTIF(A15:AI15,"*$L*")</f>
        <v/>
      </c>
      <c r="BD15" s="313">
        <f>BC15*('Setting key Duty'!$I$13+'Setting key Duty'!$I$9)</f>
        <v/>
      </c>
      <c r="BE15" s="313">
        <f>COUNTIF(A15:AI15,"*$M*")</f>
        <v/>
      </c>
      <c r="BF15" s="313">
        <f>BE15*('Setting key Duty'!$I$8+'Setting key Duty'!$I$9+'Setting key Duty'!$I$12)</f>
        <v/>
      </c>
      <c r="BG15" s="313">
        <f>COUNTIF(A15:AI15,"*$N*")</f>
        <v/>
      </c>
      <c r="BH15" s="313">
        <f>COUNTIF(AI15,"*$PM*")</f>
        <v/>
      </c>
      <c r="BI15" s="313">
        <f>BH15*('Setting key Duty'!$I$9)</f>
        <v/>
      </c>
      <c r="BJ15" s="313">
        <f>COUNTIF(A15:AI15,"*$AM*")</f>
        <v/>
      </c>
      <c r="BK15" s="313">
        <f>BJ15*('Setting key Duty'!$I$12+'Setting key Duty'!$I$8)</f>
        <v/>
      </c>
      <c r="BL15" s="313">
        <f>COUNTIF(D15:AI15,"*$FC*")</f>
        <v/>
      </c>
      <c r="BM15" s="313">
        <f>BL15*('Setting key Duty'!$J$11+'Setting key Duty'!$I$8)</f>
        <v/>
      </c>
      <c r="BN15" s="313">
        <f>COUNTIF($D15:$AA15,BN$4)</f>
        <v/>
      </c>
      <c r="BO15" s="313">
        <f>COUNTIF($D15:$AA15,BO$4)</f>
        <v/>
      </c>
      <c r="BP15" s="313">
        <f>COUNTIF($D15:$AA15,BP$4)</f>
        <v/>
      </c>
      <c r="BQ15" s="314" t="n"/>
    </row>
    <row r="16" ht="19.5" customHeight="1">
      <c r="A16" s="309" t="n"/>
      <c r="B16" s="334" t="inlineStr">
        <is>
          <t>LCP JAY DEOL FROST</t>
        </is>
      </c>
      <c r="C16" s="197" t="inlineStr">
        <is>
          <t>DM</t>
        </is>
      </c>
      <c r="D16" s="197" t="n"/>
      <c r="E16" s="197" t="inlineStr">
        <is>
          <t>RESERVE</t>
        </is>
      </c>
      <c r="F16" s="324" t="n"/>
      <c r="G16" s="324" t="n"/>
      <c r="H16" s="324" t="n"/>
      <c r="I16" s="197" t="inlineStr">
        <is>
          <t>RESERVE</t>
        </is>
      </c>
      <c r="J16" s="317" t="inlineStr">
        <is>
          <t>DM</t>
        </is>
      </c>
      <c r="L16" s="317" t="n"/>
      <c r="M16" s="317" t="inlineStr">
        <is>
          <t>DM</t>
        </is>
      </c>
      <c r="N16" s="197" t="n"/>
      <c r="P16" s="197" t="n"/>
      <c r="Q16" s="197" t="n"/>
      <c r="R16" s="321" t="inlineStr">
        <is>
          <t>DM</t>
        </is>
      </c>
      <c r="S16" s="197" t="n"/>
      <c r="T16" s="196" t="n"/>
      <c r="U16" s="197" t="inlineStr">
        <is>
          <t>DM</t>
        </is>
      </c>
      <c r="V16" s="197" t="n"/>
      <c r="W16" s="197" t="inlineStr">
        <is>
          <t>SB1</t>
        </is>
      </c>
      <c r="Y16" s="197" t="inlineStr">
        <is>
          <t>AMPT</t>
        </is>
      </c>
      <c r="Z16" s="197" t="n"/>
      <c r="AA16" s="197" t="n"/>
      <c r="AB16" s="106" t="n"/>
      <c r="AD16" s="197" t="n"/>
      <c r="AE16" s="197" t="n"/>
      <c r="AF16" s="197" t="n"/>
      <c r="AG16" s="197" t="inlineStr">
        <is>
          <t>DM</t>
        </is>
      </c>
      <c r="AH16" s="197" t="n"/>
      <c r="AI16" s="311">
        <f>COUNTIF($C16:$AF16,AI$4)</f>
        <v/>
      </c>
      <c r="AJ16" s="312">
        <f>COUNTIF($C16:$AF16,AJ$4)</f>
        <v/>
      </c>
      <c r="AK16" s="311">
        <f>COUNTIF($C16:$AF16,AK$4)</f>
        <v/>
      </c>
      <c r="AL16" s="313">
        <f>COUNTIF($C16:$AF16,AL$4)</f>
        <v/>
      </c>
      <c r="AM16" s="313">
        <f>COUNTIF($C16:$AF16,AM$4)</f>
        <v/>
      </c>
      <c r="AN16" s="313">
        <f>COUNTIF($C16:$AF16,AN$4)</f>
        <v/>
      </c>
      <c r="AO16" s="313">
        <f>COUNTIF($C16:$AF16,AO$4)</f>
        <v/>
      </c>
      <c r="AP16" s="238" t="n"/>
      <c r="AQ16" s="313">
        <f>SUMPRODUCT(--WEEKDAY(C$3:AG$3,2)&lt;6,--((C16:AG16="DM"))+(C16:AG16="CS1")+((C16:AG16="CS2"))+(C16:AG16="SB1")+(C16:AG16="AE")+(C16:AG16="EM"))</f>
        <v/>
      </c>
      <c r="AR16" s="238" t="n"/>
      <c r="AS16" s="238">
        <f>SUMPRODUCT(--WEEKDAY(C$3:AG$3,2)&gt;5,--((C16:AG16="DM"))+(C16:AG16="CS1")+((C16:AG16="CS2"))+(C16:AG16="SB1")+(C16:AG16="AE")+(C16:AG16="EM"))</f>
        <v/>
      </c>
      <c r="AT16" s="238" t="n"/>
      <c r="AU16" s="238">
        <f>(AQ16-AR16)/2+(AS16-AT16)</f>
        <v/>
      </c>
      <c r="AV16" s="238">
        <f>AI16+AJ16+AK16+AL16+AN16+AO16</f>
        <v/>
      </c>
      <c r="AW16" s="238">
        <f>BG16+BH16+BJ16+BE16+BC16+BA16+BL16</f>
        <v/>
      </c>
      <c r="AX16" s="238">
        <f>AU16+AY16</f>
        <v/>
      </c>
      <c r="AY16" s="313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/>
      </c>
      <c r="AZ16" s="313">
        <f>COUNTIF(C16:AC16,"*BRT*")</f>
        <v/>
      </c>
      <c r="BA16" s="313">
        <f>COUNTIF(A16:AI16,"*$BTP*")</f>
        <v/>
      </c>
      <c r="BB16" s="313">
        <f>BA16*('Setting key Duty'!$I$13+'Setting key Duty'!$I$12+'Setting key Duty'!$I$11)</f>
        <v/>
      </c>
      <c r="BC16" s="313">
        <f>COUNTIF(I16:AI16,"*$L*")</f>
        <v/>
      </c>
      <c r="BD16" s="313">
        <f>BC16*('Setting key Duty'!$I$13+'Setting key Duty'!$I$9)</f>
        <v/>
      </c>
      <c r="BE16" s="313">
        <f>COUNTIF(I16:AI16,"*$M*")</f>
        <v/>
      </c>
      <c r="BF16" s="313">
        <f>BE16*('Setting key Duty'!$I$8+'Setting key Duty'!$I$9+'Setting key Duty'!$I$12)</f>
        <v/>
      </c>
      <c r="BG16" s="313">
        <f>COUNTIF(I16:AI16,"*$N*")</f>
        <v/>
      </c>
      <c r="BH16" s="313">
        <f>COUNTIF(I16:AI16,"*$PM*")</f>
        <v/>
      </c>
      <c r="BI16" s="313">
        <f>BH16*('Setting key Duty'!$I$9)</f>
        <v/>
      </c>
      <c r="BJ16" s="313">
        <f>COUNTIF(I16:AI16,"*$AM*")</f>
        <v/>
      </c>
      <c r="BK16" s="313">
        <f>BJ16*('Setting key Duty'!$I$12+'Setting key Duty'!$I$8)</f>
        <v/>
      </c>
      <c r="BL16" s="313">
        <f>COUNTIF(C16:AI16,"*$FC*")</f>
        <v/>
      </c>
      <c r="BM16" s="313">
        <f>BL16*('Setting key Duty'!$J$11+'Setting key Duty'!$I$8)</f>
        <v/>
      </c>
      <c r="BN16" s="313">
        <f>COUNTIF($C16:$AF16,BN$4)</f>
        <v/>
      </c>
      <c r="BO16" s="313">
        <f>COUNTIF($C16:$AF16,BO$4)</f>
        <v/>
      </c>
      <c r="BP16" s="313">
        <f>COUNTIF($I16:$AE16,BP$4)</f>
        <v/>
      </c>
      <c r="BQ16" s="314" t="n"/>
    </row>
    <row r="17" ht="19.5" customHeight="1">
      <c r="A17" s="309" t="n"/>
      <c r="B17" s="329" t="inlineStr">
        <is>
          <t>LCP JASON TAN JIAN CHEN</t>
        </is>
      </c>
      <c r="C17" s="197" t="inlineStr">
        <is>
          <t>CS2</t>
        </is>
      </c>
      <c r="D17" s="197" t="n"/>
      <c r="E17" s="197" t="inlineStr">
        <is>
          <t>CS2</t>
        </is>
      </c>
      <c r="F17" s="197" t="n"/>
      <c r="H17" s="197" t="n"/>
      <c r="I17" s="197" t="inlineStr">
        <is>
          <t>CS2</t>
        </is>
      </c>
      <c r="J17" s="317" t="n"/>
      <c r="M17" s="106" t="n"/>
      <c r="N17" s="317" t="n"/>
      <c r="P17" s="317" t="n"/>
      <c r="Q17" s="317" t="inlineStr">
        <is>
          <t>SB1</t>
        </is>
      </c>
      <c r="R17" s="197" t="n"/>
      <c r="S17" s="197" t="n"/>
      <c r="T17" s="196" t="n"/>
      <c r="U17" s="317" t="n"/>
      <c r="V17" s="106" t="n"/>
      <c r="W17" s="197" t="n"/>
      <c r="X17" s="197" t="inlineStr">
        <is>
          <t>CS2</t>
        </is>
      </c>
      <c r="Y17" s="197" t="n"/>
      <c r="Z17" s="197" t="inlineStr">
        <is>
          <t>CS2</t>
        </is>
      </c>
      <c r="AA17" s="197" t="n"/>
      <c r="AB17" s="197" t="n"/>
      <c r="AC17" s="197" t="n"/>
      <c r="AD17" s="197" t="inlineStr">
        <is>
          <t>CS2</t>
        </is>
      </c>
      <c r="AE17" s="197" t="n"/>
      <c r="AF17" s="197" t="inlineStr">
        <is>
          <t>RESERVE</t>
        </is>
      </c>
      <c r="AG17" s="317" t="n"/>
      <c r="AI17" s="311" t="n"/>
      <c r="AJ17" s="312" t="n"/>
      <c r="AK17" s="311" t="n"/>
      <c r="AL17" s="313" t="n"/>
      <c r="AM17" s="313" t="n"/>
      <c r="AN17" s="313" t="n"/>
      <c r="AO17" s="313" t="n"/>
      <c r="AP17" s="238" t="n"/>
      <c r="AQ17" s="313">
        <f>SUMPRODUCT(--WEEKDAY(C$3:AG$3,2)&lt;6,--((C17:AG17="DM"))+(C17:AG17="CS1")+((C17:AG17="CS2"))+(C17:AG17="SB1")+(C17:AG17="AE")+(C17:AG17="EM"))</f>
        <v/>
      </c>
      <c r="AR17" s="238" t="n"/>
      <c r="AS17" s="238">
        <f>SUMPRODUCT(--WEEKDAY(C$3:AG$3,2)&gt;5,--((C17:AG17="DM"))+(C17:AG17="CS1")+((C17:AG17="CS2"))+(C17:AG17="SB1")+(C17:AG17="AE")+(C17:AG17="EM"))</f>
        <v/>
      </c>
      <c r="AT17" s="238" t="n"/>
      <c r="AU17" s="238">
        <f>(AQ17-AR17)/2+(AS17-AT17)</f>
        <v/>
      </c>
      <c r="AV17" s="238">
        <f>AI17+AJ17+AK17+AL17+AN17+AO17</f>
        <v/>
      </c>
      <c r="AW17" s="238">
        <f>BG17+BH17+BJ17+BE17+BC17+BA17+BL17</f>
        <v/>
      </c>
      <c r="AX17" s="238">
        <f>AU17+$AY$10</f>
        <v/>
      </c>
      <c r="AY17" s="313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/>
      </c>
      <c r="AZ17" s="313">
        <f>COUNTIF(D17:AA17,"*BRT*")</f>
        <v/>
      </c>
      <c r="BA17" s="313">
        <f>COUNTIF(A17:AI17,"*$BTP*")</f>
        <v/>
      </c>
      <c r="BB17" s="313">
        <f>BA17*('Setting key Duty'!$I$13+'Setting key Duty'!$I$12+'Setting key Duty'!$I$11)</f>
        <v/>
      </c>
      <c r="BC17" s="313">
        <f>COUNTIF(A17:AI17,"*$L*")</f>
        <v/>
      </c>
      <c r="BD17" s="313">
        <f>BC17*('Setting key Duty'!$I$13+'Setting key Duty'!$I$9)</f>
        <v/>
      </c>
      <c r="BE17" s="313">
        <f>COUNTIF(A17:AI17,"*$M*")</f>
        <v/>
      </c>
      <c r="BF17" s="313">
        <f>BE17*('Setting key Duty'!$I$8+'Setting key Duty'!$I$9+'Setting key Duty'!$I$12)</f>
        <v/>
      </c>
      <c r="BG17" s="313">
        <f>COUNTIF(AI17,"*$N*")</f>
        <v/>
      </c>
      <c r="BH17" s="313">
        <f>COUNTIF(AI17,"*$PM*")</f>
        <v/>
      </c>
      <c r="BI17" s="313">
        <f>BH17*('Setting key Duty'!$I$9)</f>
        <v/>
      </c>
      <c r="BJ17" s="313">
        <f>COUNTIF(A17:AI17,"*$AM*")</f>
        <v/>
      </c>
      <c r="BK17" s="313">
        <f>BJ17*('Setting key Duty'!$I$12+'Setting key Duty'!$I$8)</f>
        <v/>
      </c>
      <c r="BL17" s="313">
        <f>COUNTIF(D17:AI17,"*$FC*")</f>
        <v/>
      </c>
      <c r="BM17" s="313">
        <f>BL17*('Setting key Duty'!$J$11+'Setting key Duty'!$I$8)</f>
        <v/>
      </c>
      <c r="BN17" s="313">
        <f>COUNTIF($D17:$AA17,BN$4)</f>
        <v/>
      </c>
      <c r="BO17" s="313">
        <f>COUNTIF($D17:$AA17,BO$4)</f>
        <v/>
      </c>
      <c r="BP17" s="313">
        <f>COUNTIF($D17:$AA17,BP$4)</f>
        <v/>
      </c>
      <c r="BQ17" s="314" t="n"/>
    </row>
    <row r="18" ht="19.5" customHeight="1">
      <c r="A18" s="309" t="n"/>
      <c r="B18" s="373" t="inlineStr">
        <is>
          <t>PTE JARRETT TSING KEE JIN</t>
        </is>
      </c>
      <c r="C18" s="197" t="inlineStr">
        <is>
          <t>RESERVE</t>
        </is>
      </c>
      <c r="D18" s="197" t="n"/>
      <c r="E18" s="197" t="inlineStr">
        <is>
          <t>AL</t>
        </is>
      </c>
      <c r="F18" s="197" t="inlineStr">
        <is>
          <t>AL</t>
        </is>
      </c>
      <c r="H18" s="197" t="inlineStr">
        <is>
          <t>RESERVE</t>
        </is>
      </c>
      <c r="I18" s="197" t="n"/>
      <c r="K18" s="317" t="inlineStr">
        <is>
          <t>CS2</t>
        </is>
      </c>
      <c r="L18" s="197" t="n"/>
      <c r="M18" s="317" t="inlineStr">
        <is>
          <t>CS2</t>
        </is>
      </c>
      <c r="N18" s="197" t="n"/>
      <c r="P18" s="197" t="n"/>
      <c r="Q18" s="197" t="inlineStr">
        <is>
          <t>RESERVE</t>
        </is>
      </c>
      <c r="S18" s="197" t="inlineStr">
        <is>
          <t>CS1</t>
        </is>
      </c>
      <c r="T18" s="196" t="n"/>
      <c r="U18" s="197" t="inlineStr">
        <is>
          <t>CS1</t>
        </is>
      </c>
      <c r="V18" s="197" t="n"/>
      <c r="W18" s="197" t="n"/>
      <c r="X18" s="197" t="inlineStr">
        <is>
          <t>SB1</t>
        </is>
      </c>
      <c r="Z18" s="197" t="n"/>
      <c r="AA18" s="197" t="inlineStr">
        <is>
          <t>CS2</t>
        </is>
      </c>
      <c r="AB18" s="197" t="n"/>
      <c r="AC18" s="197" t="n"/>
      <c r="AD18" s="197" t="n"/>
      <c r="AG18" s="317" t="inlineStr">
        <is>
          <t>CS2</t>
        </is>
      </c>
      <c r="AH18" s="197" t="n"/>
      <c r="AI18" s="311" t="n"/>
      <c r="AJ18" s="312" t="n"/>
      <c r="AK18" s="311" t="n"/>
      <c r="AL18" s="313" t="n"/>
      <c r="AM18" s="313" t="n"/>
      <c r="AN18" s="313" t="n"/>
      <c r="AO18" s="313" t="n"/>
      <c r="AP18" s="238" t="n"/>
      <c r="AQ18" s="313">
        <f>SUMPRODUCT(--WEEKDAY(C$3:AG$3,2)&lt;6,--((C18:AG18="DM"))+(C18:AG18="CS1")+((C18:AG18="CS2"))+(C18:AG18="SB1")+(C18:AG18="AE")+(C18:AG18="EM"))</f>
        <v/>
      </c>
      <c r="AR18" s="238" t="n"/>
      <c r="AS18" s="238">
        <f>SUMPRODUCT(--WEEKDAY(C$3:AG$3,2)&gt;5,--((C18:AG18="DM"))+(C18:AG18="CS1")+((C18:AG18="CS2"))+(C18:AG18="SB1")+(C18:AG18="AE")+(C18:AG18="EM"))</f>
        <v/>
      </c>
      <c r="AT18" s="238" t="n"/>
      <c r="AU18" s="238">
        <f>(AQ18-AR18)/2+(AS18-AT18)</f>
        <v/>
      </c>
      <c r="AV18" s="238">
        <f>AI18+AJ18+AK18+AL18+AN18+AO18</f>
        <v/>
      </c>
      <c r="AW18" s="238">
        <f>BG18+BH18+BJ18+BE18+BC18+BA18+BL18</f>
        <v/>
      </c>
      <c r="AX18" s="238">
        <f>AU18+$AY$10</f>
        <v/>
      </c>
      <c r="AY18" s="313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/>
      </c>
      <c r="AZ18" s="313">
        <f>COUNTIF(D18:Y18,"*BRT*")</f>
        <v/>
      </c>
      <c r="BA18" s="313">
        <f>COUNTIF(A18:AI18,"*$BTP*")</f>
        <v/>
      </c>
      <c r="BB18" s="313">
        <f>BA18*('Setting key Duty'!$I$13+'Setting key Duty'!$I$12+'Setting key Duty'!$I$11)</f>
        <v/>
      </c>
      <c r="BC18" s="313">
        <f>COUNTIF(A18:AI18,"*$L*")</f>
        <v/>
      </c>
      <c r="BD18" s="313">
        <f>BC18*('Setting key Duty'!$I$13+'Setting key Duty'!$I$9)</f>
        <v/>
      </c>
      <c r="BE18" s="313">
        <f>COUNTIF(A18:AI18,"*$M*")</f>
        <v/>
      </c>
      <c r="BF18" s="313">
        <f>BE18*('Setting key Duty'!$I$8+'Setting key Duty'!$I$9+'Setting key Duty'!$I$12)</f>
        <v/>
      </c>
      <c r="BG18" s="313">
        <f>COUNTIF(AI18,"*$N*")</f>
        <v/>
      </c>
      <c r="BH18" s="313">
        <f>COUNTIF(AI18,"*$PM*")</f>
        <v/>
      </c>
      <c r="BI18" s="313">
        <f>BH18*('Setting key Duty'!$I$9)</f>
        <v/>
      </c>
      <c r="BJ18" s="313">
        <f>COUNTIF(A18:AI18,"*$AM*")</f>
        <v/>
      </c>
      <c r="BK18" s="313">
        <f>BJ18*('Setting key Duty'!$I$12+'Setting key Duty'!$I$8)</f>
        <v/>
      </c>
      <c r="BL18" s="313">
        <f>COUNTIF(D18:AI18,"*$FC*")</f>
        <v/>
      </c>
      <c r="BM18" s="313">
        <f>BL18*('Setting key Duty'!$J$11+'Setting key Duty'!$I$8)</f>
        <v/>
      </c>
      <c r="BN18" s="313">
        <f>COUNTIF($D18:$Y18,BN$4)</f>
        <v/>
      </c>
      <c r="BO18" s="313">
        <f>COUNTIF($D18:$Y18,BO$4)</f>
        <v/>
      </c>
      <c r="BP18" s="313">
        <f>COUNTIF($D18:$Y18,BP$4)</f>
        <v/>
      </c>
      <c r="BQ18" s="314" t="n"/>
    </row>
    <row r="19" ht="26.25" customHeight="1">
      <c r="A19" s="309" t="n"/>
      <c r="B19" s="333" t="inlineStr">
        <is>
          <t>CFC MARK TAN YIH</t>
        </is>
      </c>
      <c r="C19" s="197" t="inlineStr">
        <is>
          <t>BIRTHDAY</t>
        </is>
      </c>
      <c r="D19" s="197" t="inlineStr">
        <is>
          <t>BIRTHDAY</t>
        </is>
      </c>
      <c r="E19" s="197" t="n"/>
      <c r="F19" s="317" t="inlineStr">
        <is>
          <t>CS1</t>
        </is>
      </c>
      <c r="G19" s="197" t="n"/>
      <c r="H19" s="197" t="n"/>
      <c r="I19" s="197" t="n"/>
      <c r="J19" s="197" t="inlineStr">
        <is>
          <t>MSP</t>
        </is>
      </c>
      <c r="K19" s="197" t="inlineStr">
        <is>
          <t>MSP BRIEFING</t>
        </is>
      </c>
      <c r="L19" s="197" t="n"/>
      <c r="M19" s="197" t="n"/>
      <c r="N19" s="197" t="n"/>
      <c r="O19" s="197" t="n"/>
      <c r="P19" s="197" t="inlineStr">
        <is>
          <t>MSP REHEARSAL</t>
        </is>
      </c>
      <c r="Q19" s="197" t="inlineStr">
        <is>
          <t>MSP REHEARSAL</t>
        </is>
      </c>
      <c r="R19" s="197" t="inlineStr">
        <is>
          <t>MSP REHEARSAL</t>
        </is>
      </c>
      <c r="S19" s="197" t="inlineStr">
        <is>
          <t>MSP</t>
        </is>
      </c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inlineStr">
        <is>
          <t>RESERVE</t>
        </is>
      </c>
      <c r="AF19" s="197" t="n"/>
      <c r="AG19" s="197" t="n"/>
      <c r="AH19" s="197" t="n"/>
      <c r="AI19" s="311" t="n"/>
      <c r="AJ19" s="312" t="n"/>
      <c r="AK19" s="311" t="n"/>
      <c r="AL19" s="313" t="n"/>
      <c r="AM19" s="313" t="n"/>
      <c r="AN19" s="313" t="n"/>
      <c r="AO19" s="313" t="n"/>
      <c r="AP19" s="238" t="n"/>
      <c r="AQ19" s="313">
        <f>SUMPRODUCT(--WEEKDAY(C$3:AG$3,2)&lt;6,--((C19:AG19="DM"))+(C19:AG19="CS1")+((C19:AG19="CS2"))+(C19:AG19="SB1")+(C19:AG19="AE")+(C19:AG19="EM"))</f>
        <v/>
      </c>
      <c r="AR19" s="238" t="n"/>
      <c r="AS19" s="238">
        <f>SUMPRODUCT(--WEEKDAY(C$3:AG$3,2)&gt;5,--((C19:AG19="DM"))+(C19:AG19="CS1")+((C19:AG19="CS2"))+(C19:AG19="SB1")+(C19:AG19="AE")+(C19:AG19="EM"))</f>
        <v/>
      </c>
      <c r="AT19" s="238" t="n"/>
      <c r="AU19" s="238">
        <f>(AQ19-AR19)/2+(AS19-AT19)</f>
        <v/>
      </c>
      <c r="AV19" s="238">
        <f>AI19+AJ19+AK19+AL19+AN19+AO19</f>
        <v/>
      </c>
      <c r="AW19" s="238">
        <f>BG19+BH19+BJ19+BE19+BC19+BA19+BL19</f>
        <v/>
      </c>
      <c r="AX19" s="238">
        <f>AU19+AY19</f>
        <v/>
      </c>
      <c r="AY19" s="313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/>
      </c>
      <c r="AZ19" s="313">
        <f>COUNTIF(E19:AA19,"*BRT*")</f>
        <v/>
      </c>
      <c r="BA19" s="313">
        <f>COUNTIF(A19:AI19,"*$BTP*")</f>
        <v/>
      </c>
      <c r="BB19" s="313">
        <f>BA19*('Setting key Duty'!$I$13+'Setting key Duty'!$I$12+'Setting key Duty'!$I$11)</f>
        <v/>
      </c>
      <c r="BC19" s="313">
        <f>COUNTIF(A19:AI19,"*$L*")</f>
        <v/>
      </c>
      <c r="BD19" s="313">
        <f>BC19*('Setting key Duty'!$I$13+'Setting key Duty'!$I$9)</f>
        <v/>
      </c>
      <c r="BE19" s="313">
        <f>COUNTIF(A19:AI19,"*$M*")</f>
        <v/>
      </c>
      <c r="BF19" s="313">
        <f>BE19*('Setting key Duty'!$I$8+'Setting key Duty'!$I$9+'Setting key Duty'!$I$12)</f>
        <v/>
      </c>
      <c r="BG19" s="313">
        <f>COUNTIF(AG19:AI19,"*$N*")</f>
        <v/>
      </c>
      <c r="BH19" s="313">
        <f>COUNTIF(AG19:AI19,"*$PM*")</f>
        <v/>
      </c>
      <c r="BI19" s="313">
        <f>BH19*('Setting key Duty'!$I$9)</f>
        <v/>
      </c>
      <c r="BJ19" s="313">
        <f>COUNTIF(A19:AI19,"*$AM*")</f>
        <v/>
      </c>
      <c r="BK19" s="313">
        <f>BJ19*('Setting key Duty'!$I$12+'Setting key Duty'!$I$8)</f>
        <v/>
      </c>
      <c r="BL19" s="313">
        <f>COUNTIF(E19:AI19,"*$FC*")</f>
        <v/>
      </c>
      <c r="BM19" s="313">
        <f>BL19*('Setting key Duty'!$J$11+'Setting key Duty'!$I$8)</f>
        <v/>
      </c>
      <c r="BN19" s="313">
        <f>COUNTIF($E19:$AA19,BN$4)</f>
        <v/>
      </c>
      <c r="BO19" s="313">
        <f>COUNTIF($E19:$AA19,BO$4)</f>
        <v/>
      </c>
      <c r="BP19" s="313">
        <f>COUNTIF($E19:$AA19,BP$4)</f>
        <v/>
      </c>
      <c r="BQ19" s="314" t="n"/>
    </row>
    <row r="20" ht="19.5" customHeight="1">
      <c r="A20" s="309" t="n"/>
      <c r="B20" s="329" t="inlineStr">
        <is>
          <t>CFC PANG JUN YUAN</t>
        </is>
      </c>
      <c r="C20" s="197" t="inlineStr">
        <is>
          <t>CS1</t>
        </is>
      </c>
      <c r="D20" s="197" t="n"/>
      <c r="E20" s="197" t="inlineStr">
        <is>
          <t>DM</t>
        </is>
      </c>
      <c r="G20" s="317" t="n"/>
      <c r="H20" s="197" t="inlineStr">
        <is>
          <t>RESERVE</t>
        </is>
      </c>
      <c r="I20" s="317" t="n"/>
      <c r="J20" s="197" t="inlineStr">
        <is>
          <t>MSP</t>
        </is>
      </c>
      <c r="K20" s="197" t="inlineStr">
        <is>
          <t>MSP BRIEFING</t>
        </is>
      </c>
      <c r="L20" s="197" t="n"/>
      <c r="M20" s="197" t="inlineStr">
        <is>
          <t>MA</t>
        </is>
      </c>
      <c r="N20" s="197" t="n"/>
      <c r="O20" s="197" t="n"/>
      <c r="P20" s="197" t="inlineStr">
        <is>
          <t>MSP REHEARSAL</t>
        </is>
      </c>
      <c r="Q20" s="197" t="inlineStr">
        <is>
          <t>MSP REHEARSAL</t>
        </is>
      </c>
      <c r="R20" s="197" t="inlineStr">
        <is>
          <t>MSP REHEARSAL</t>
        </is>
      </c>
      <c r="S20" s="197" t="inlineStr">
        <is>
          <t>MSP</t>
        </is>
      </c>
      <c r="T20" s="197" t="n"/>
      <c r="U20" s="197" t="n"/>
      <c r="V20" s="197" t="n"/>
      <c r="W20" s="197" t="n"/>
      <c r="X20" s="197" t="n"/>
      <c r="Y20" s="197" t="n"/>
      <c r="Z20" s="197" t="n"/>
      <c r="AA20" s="197" t="n"/>
      <c r="AB20" s="197" t="n"/>
      <c r="AC20" s="197" t="n"/>
      <c r="AD20" s="197" t="n"/>
      <c r="AE20" s="197" t="inlineStr">
        <is>
          <t>SB1</t>
        </is>
      </c>
      <c r="AG20" s="197" t="n"/>
      <c r="AH20" s="197" t="n"/>
      <c r="AI20" s="311" t="n"/>
      <c r="AJ20" s="312" t="n"/>
      <c r="AK20" s="311" t="n"/>
      <c r="AL20" s="313" t="n"/>
      <c r="AM20" s="313" t="n"/>
      <c r="AN20" s="313" t="n"/>
      <c r="AO20" s="313" t="n"/>
      <c r="AP20" s="238" t="n"/>
      <c r="AQ20" s="313">
        <f>SUMPRODUCT(--WEEKDAY(C$3:AG$3,2)&lt;6,--((C20:AG20="DM"))+(C20:AG20="CS1")+((C20:AG20="CS2"))+(C20:AG20="SB1")+(C20:AG20="AE")+(C20:AG20="EM"))</f>
        <v/>
      </c>
      <c r="AR20" s="238" t="n"/>
      <c r="AS20" s="238">
        <f>SUMPRODUCT(--WEEKDAY(C$3:AG$3,2)&gt;5,--((C20:AG20="DM"))+(C20:AG20="CS1")+((C20:AG20="CS2"))+(C20:AG20="SB1")+(C20:AG20="AE")+(C20:AG20="EM"))</f>
        <v/>
      </c>
      <c r="AT20" s="238" t="n"/>
      <c r="AU20" s="238">
        <f>(AQ20-AR20)/2+(AS20-AT20)</f>
        <v/>
      </c>
      <c r="AV20" s="238">
        <f>AI20+AJ20+AK20+AL20+AN20+AO20</f>
        <v/>
      </c>
      <c r="AW20" s="238">
        <f>BG20+BH20+BJ20+BE20+BC20+BA20+BL20</f>
        <v/>
      </c>
      <c r="AX20" s="238">
        <f>AU20+AY20</f>
        <v/>
      </c>
      <c r="AY20" s="313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/>
      </c>
      <c r="AZ20" s="313">
        <f>COUNTIF(D20:AC20,"*BRT*")</f>
        <v/>
      </c>
      <c r="BA20" s="313">
        <f>COUNTIF(A20:AI20,"*$BTP*")</f>
        <v/>
      </c>
      <c r="BB20" s="313">
        <f>BA20*('Setting key Duty'!$I$13+'Setting key Duty'!$I$12+'Setting key Duty'!$I$11)</f>
        <v/>
      </c>
      <c r="BC20" s="313">
        <f>COUNTIF(A20:AI20,"*$L*")</f>
        <v/>
      </c>
      <c r="BD20" s="313">
        <f>BC20*('Setting key Duty'!$I$13+'Setting key Duty'!$I$9)</f>
        <v/>
      </c>
      <c r="BE20" s="313">
        <f>COUNTIF(A20:AI20,"*$M*")</f>
        <v/>
      </c>
      <c r="BF20" s="313">
        <f>BE20*('Setting key Duty'!$I$8+'Setting key Duty'!$I$9+'Setting key Duty'!$I$12)</f>
        <v/>
      </c>
      <c r="BG20" s="313">
        <f>COUNTIF(AF20:AI20,"*$N*")</f>
        <v/>
      </c>
      <c r="BH20" s="313">
        <f>COUNTIF(AF20:AI20,"*$PM*")</f>
        <v/>
      </c>
      <c r="BI20" s="313">
        <f>BH20*('Setting key Duty'!$I$9)</f>
        <v/>
      </c>
      <c r="BJ20" s="313">
        <f>COUNTIF(A20:AI20,"*$AM*")</f>
        <v/>
      </c>
      <c r="BK20" s="313">
        <f>BJ20*('Setting key Duty'!$I$12+'Setting key Duty'!$I$8)</f>
        <v/>
      </c>
      <c r="BL20" s="313">
        <f>COUNTIF(D20:AI20,"*$FC*")</f>
        <v/>
      </c>
      <c r="BM20" s="313">
        <f>BL20*('Setting key Duty'!$J$11+'Setting key Duty'!$I$8)</f>
        <v/>
      </c>
      <c r="BN20" s="313">
        <f>COUNTIF($D20:$AE20,BN$4)</f>
        <v/>
      </c>
      <c r="BO20" s="313">
        <f>COUNTIF($D20:$AE20,BO$4)</f>
        <v/>
      </c>
      <c r="BP20" s="313">
        <f>COUNTIF($D20:$AE20,BP$4)</f>
        <v/>
      </c>
      <c r="BQ20" s="314" t="n"/>
    </row>
    <row r="21" ht="30.75" customHeight="1">
      <c r="A21" s="309" t="n"/>
      <c r="B21" s="315" t="inlineStr">
        <is>
          <t>LCP CHEN DENG FENG</t>
        </is>
      </c>
      <c r="C21" s="197" t="n"/>
      <c r="D21" s="197" t="inlineStr">
        <is>
          <t>RESERVE</t>
        </is>
      </c>
      <c r="E21" s="197" t="inlineStr">
        <is>
          <t>J $M HG (0515-2000)</t>
        </is>
      </c>
      <c r="F21" s="197" t="inlineStr">
        <is>
          <t>DIPESNSE COURSE</t>
        </is>
      </c>
      <c r="G21" s="197" t="inlineStr">
        <is>
          <t>DIPESNSE COURSE</t>
        </is>
      </c>
      <c r="H21" s="197" t="inlineStr">
        <is>
          <t>DIPESNSE COURSE</t>
        </is>
      </c>
      <c r="I21" s="197" t="inlineStr">
        <is>
          <t>DIPESNSE COURSE</t>
        </is>
      </c>
      <c r="J21" s="197" t="inlineStr">
        <is>
          <t>DIPESNSE COURSE</t>
        </is>
      </c>
      <c r="K21" s="197" t="inlineStr">
        <is>
          <t>DIPESNSE COURSE</t>
        </is>
      </c>
      <c r="L21" s="197" t="inlineStr">
        <is>
          <t>DIPESNSE COURSE</t>
        </is>
      </c>
      <c r="M21" s="197" t="inlineStr">
        <is>
          <t>DIPESNSE COURSE</t>
        </is>
      </c>
      <c r="N21" s="197" t="inlineStr">
        <is>
          <t>CS2</t>
        </is>
      </c>
      <c r="O21" s="197" t="inlineStr">
        <is>
          <t>DIPESNSE COURSE</t>
        </is>
      </c>
      <c r="P21" s="197" t="inlineStr">
        <is>
          <t>DIPESNSE COURSE</t>
        </is>
      </c>
      <c r="Q21" s="197" t="inlineStr">
        <is>
          <t>DIPESNSE COURSE</t>
        </is>
      </c>
      <c r="R21" s="197" t="inlineStr">
        <is>
          <t>DIPESNSE COURSE</t>
        </is>
      </c>
      <c r="S21" s="197" t="inlineStr">
        <is>
          <t>DIPESNSE COURSE</t>
        </is>
      </c>
      <c r="T21" s="197" t="n"/>
      <c r="U21" s="317" t="inlineStr">
        <is>
          <t>CS2</t>
        </is>
      </c>
      <c r="V21" s="197" t="n"/>
      <c r="W21" s="197" t="n"/>
      <c r="X21" s="197" t="n"/>
      <c r="Y21" s="197" t="inlineStr">
        <is>
          <t>C $AM CC (0500-1100)</t>
        </is>
      </c>
      <c r="Z21" s="331" t="n"/>
      <c r="AA21" s="197" t="inlineStr">
        <is>
          <t>SB1</t>
        </is>
      </c>
      <c r="AC21" s="197" t="n"/>
      <c r="AD21" s="197" t="n"/>
      <c r="AE21" s="197" t="inlineStr">
        <is>
          <t>HQ BMTC $AM IPPT (0530-0930)</t>
        </is>
      </c>
      <c r="AF21" s="197" t="n"/>
      <c r="AG21" s="197" t="inlineStr">
        <is>
          <t>RESERVE</t>
        </is>
      </c>
      <c r="AH21" s="106" t="n"/>
      <c r="AI21" s="311" t="n"/>
      <c r="AJ21" s="312" t="n"/>
      <c r="AK21" s="311" t="n"/>
      <c r="AL21" s="313" t="n"/>
      <c r="AM21" s="313" t="n"/>
      <c r="AN21" s="313" t="n"/>
      <c r="AO21" s="313" t="n"/>
      <c r="AP21" s="238" t="n"/>
      <c r="AQ21" s="313">
        <f>SUMPRODUCT(--WEEKDAY(C$3:AG$3,2)&lt;6,--((C21:AG21="DM"))+(C21:AG21="CS1")+((C21:AG21="CS2"))+(C21:AG21="SB1")+(C21:AG21="AE")+(C21:AG21="EM"))</f>
        <v/>
      </c>
      <c r="AR21" s="238" t="n"/>
      <c r="AS21" s="238">
        <f>SUMPRODUCT(--WEEKDAY(C$3:AG$3,2)&gt;5,--((C21:AG21="DM"))+(C21:AG21="CS1")+((C21:AG21="CS2"))+(C21:AG21="SB1")+(C21:AG21="AE")+(C21:AG21="EM"))</f>
        <v/>
      </c>
      <c r="AT21" s="238" t="n"/>
      <c r="AU21" s="238">
        <f>(AQ21-AR21)/2+(AS21-AT21)</f>
        <v/>
      </c>
      <c r="AV21" s="238">
        <f>AI21+AJ21+AK21+AL21+AN21+AO21</f>
        <v/>
      </c>
      <c r="AW21" s="238">
        <f>BG21+BH21+BJ21+BE21+BC21+BA21+BL21</f>
        <v/>
      </c>
      <c r="AX21" s="238">
        <f>AU21+$AY$10</f>
        <v/>
      </c>
      <c r="AY21" s="313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/>
      </c>
      <c r="AZ21" s="313">
        <f>COUNTIF(D21:AA21,"*BRT*")</f>
        <v/>
      </c>
      <c r="BA21" s="313">
        <f>COUNTIF(A21:AI21,"*$BTP*")</f>
        <v/>
      </c>
      <c r="BB21" s="313">
        <f>BA21*('Setting key Duty'!$I$13+'Setting key Duty'!$I$12+'Setting key Duty'!$I$11)</f>
        <v/>
      </c>
      <c r="BC21" s="313">
        <f>COUNTIF(A21:AI21,"*$L*")</f>
        <v/>
      </c>
      <c r="BD21" s="313">
        <f>BC21*('Setting key Duty'!$I$13+'Setting key Duty'!$I$9)</f>
        <v/>
      </c>
      <c r="BE21" s="313">
        <f>COUNTIF(A21:AI21,"*$M*")</f>
        <v/>
      </c>
      <c r="BF21" s="313">
        <f>BE21*('Setting key Duty'!$I$8+'Setting key Duty'!$I$9+'Setting key Duty'!$I$12)</f>
        <v/>
      </c>
      <c r="BG21" s="313">
        <f>COUNTIF(AI21,"*$N*")</f>
        <v/>
      </c>
      <c r="BH21" s="313">
        <f>COUNTIF(AI21,"*$PM*")</f>
        <v/>
      </c>
      <c r="BI21" s="313">
        <f>BH21*('Setting key Duty'!$I$9)</f>
        <v/>
      </c>
      <c r="BJ21" s="313">
        <f>COUNTIF(A21:AI21,"*$AM*")</f>
        <v/>
      </c>
      <c r="BK21" s="313">
        <f>BJ21*('Setting key Duty'!$I$12+'Setting key Duty'!$I$8)</f>
        <v/>
      </c>
      <c r="BL21" s="313">
        <f>COUNTIF(D21:AI21,"*$FC*")</f>
        <v/>
      </c>
      <c r="BM21" s="313">
        <f>BL21*('Setting key Duty'!$J$11+'Setting key Duty'!$I$8)</f>
        <v/>
      </c>
      <c r="BN21" s="313">
        <f>COUNTIF($D21:$AA21,BN$4)</f>
        <v/>
      </c>
      <c r="BO21" s="313">
        <f>COUNTIF($D21:$AA21,BO$4)</f>
        <v/>
      </c>
      <c r="BP21" s="313">
        <f>COUNTIF($D21:$AA21,BP$4)</f>
        <v/>
      </c>
      <c r="BQ21" s="314" t="n"/>
    </row>
    <row r="22" ht="27.75" customHeight="1">
      <c r="A22" s="309" t="n"/>
      <c r="B22" s="315" t="inlineStr">
        <is>
          <t>LCP EUAN TING</t>
        </is>
      </c>
      <c r="C22" s="197" t="n"/>
      <c r="D22" s="197" t="inlineStr">
        <is>
          <t>J $AM CC (0600-1100)</t>
        </is>
      </c>
      <c r="E22" s="197" t="n"/>
      <c r="F22" s="197" t="inlineStr">
        <is>
          <t>RESERVE</t>
        </is>
      </c>
      <c r="G22" s="377" t="n"/>
      <c r="H22" s="377" t="inlineStr">
        <is>
          <t>CS2</t>
        </is>
      </c>
      <c r="I22" s="317" t="n"/>
      <c r="J22" s="197" t="inlineStr">
        <is>
          <t>RESERVE</t>
        </is>
      </c>
      <c r="M22" s="106" t="n"/>
      <c r="N22" s="197" t="inlineStr">
        <is>
          <t>RESERVE</t>
        </is>
      </c>
      <c r="P22" s="197" t="inlineStr">
        <is>
          <t>RESERVE</t>
        </is>
      </c>
      <c r="R22" s="197" t="inlineStr">
        <is>
          <t>CS2</t>
        </is>
      </c>
      <c r="T22" s="196" t="n"/>
      <c r="X22" s="197" t="n"/>
      <c r="Y22" s="197" t="inlineStr">
        <is>
          <t>AMPT</t>
        </is>
      </c>
      <c r="Z22" s="197" t="inlineStr">
        <is>
          <t>O $AM IPPT (0500-1100)</t>
        </is>
      </c>
      <c r="AA22" s="197" t="inlineStr">
        <is>
          <t>CS1</t>
        </is>
      </c>
      <c r="AC22" s="317" t="n"/>
      <c r="AD22" s="197" t="inlineStr">
        <is>
          <t>RESERVE</t>
        </is>
      </c>
      <c r="AF22" s="197" t="inlineStr">
        <is>
          <t>CS2</t>
        </is>
      </c>
      <c r="AH22" s="197" t="inlineStr">
        <is>
          <t>CS1</t>
        </is>
      </c>
      <c r="AI22" s="311" t="n"/>
      <c r="AJ22" s="312" t="n"/>
      <c r="AK22" s="311" t="n"/>
      <c r="AL22" s="313" t="n"/>
      <c r="AM22" s="313" t="n"/>
      <c r="AN22" s="313" t="n"/>
      <c r="AO22" s="313" t="n"/>
      <c r="AP22" s="238" t="n"/>
      <c r="AQ22" s="313">
        <f>SUMPRODUCT(--WEEKDAY(C$3:AG$3,2)&lt;6,--((C22:AG22="DM"))+(C22:AG22="CS1")+((C22:AG22="CS2"))+(C22:AG22="SB1")+(C22:AG22="AE")+(C22:AG22="EM"))</f>
        <v/>
      </c>
      <c r="AR22" s="238" t="n"/>
      <c r="AS22" s="238">
        <f>SUMPRODUCT(--WEEKDAY(C$3:AG$3,2)&gt;5,--((C22:AG22="DM"))+(C22:AG22="CS1")+((C22:AG22="CS2"))+(C22:AG22="SB1")+(C22:AG22="AE")+(C22:AG22="EM"))</f>
        <v/>
      </c>
      <c r="AT22" s="238" t="n"/>
      <c r="AU22" s="238">
        <f>(AQ22-AR22)/2+(AS22-AT22)</f>
        <v/>
      </c>
      <c r="AV22" s="238">
        <f>AI22+AJ22+AK22+AL22+AN22+AO22</f>
        <v/>
      </c>
      <c r="AW22" s="238">
        <f>BG22+BH22+BJ22+BE22+BC22+BA22+BL22</f>
        <v/>
      </c>
      <c r="AX22" s="238">
        <f>AU22+$AY$10</f>
        <v/>
      </c>
      <c r="AY22" s="313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/>
      </c>
      <c r="AZ22" s="313">
        <f>COUNTIF(C22:AA22,"*BRT*")</f>
        <v/>
      </c>
      <c r="BA22" s="313">
        <f>COUNTIF(A22:AI22,"*$BTP*")</f>
        <v/>
      </c>
      <c r="BB22" s="313">
        <f>BA22*('Setting key Duty'!$I$13+'Setting key Duty'!$I$12+'Setting key Duty'!$I$11)</f>
        <v/>
      </c>
      <c r="BC22" s="313">
        <f>COUNTIF(A22:AI22,"*$L*")</f>
        <v/>
      </c>
      <c r="BD22" s="313">
        <f>BC22*('Setting key Duty'!$I$13+'Setting key Duty'!$I$9)</f>
        <v/>
      </c>
      <c r="BE22" s="313">
        <f>COUNTIF(A22:AI22,"*$M*")</f>
        <v/>
      </c>
      <c r="BF22" s="313">
        <f>BE22*('Setting key Duty'!$I$8+'Setting key Duty'!$I$9+'Setting key Duty'!$I$12)</f>
        <v/>
      </c>
      <c r="BG22" s="313">
        <f>COUNTIF(AI22,"*$N*")</f>
        <v/>
      </c>
      <c r="BH22" s="313">
        <f>COUNTIF(AI22,"*$PM*")</f>
        <v/>
      </c>
      <c r="BI22" s="313">
        <f>BH22*('Setting key Duty'!$I$9)</f>
        <v/>
      </c>
      <c r="BJ22" s="313">
        <f>COUNTIF(A22:AI22,"*$AM*")</f>
        <v/>
      </c>
      <c r="BK22" s="313">
        <f>BJ22*('Setting key Duty'!$I$12+'Setting key Duty'!$I$8)</f>
        <v/>
      </c>
      <c r="BL22" s="313">
        <f>COUNTIF(C22:AI22,"*$FC*")</f>
        <v/>
      </c>
      <c r="BM22" s="313">
        <f>BL22*('Setting key Duty'!$J$11+'Setting key Duty'!$I$8)</f>
        <v/>
      </c>
      <c r="BN22" s="313">
        <f>COUNTIF($C22:$AA22,BN$4)</f>
        <v/>
      </c>
      <c r="BO22" s="313">
        <f>COUNTIF($C22:$AA22,BO$4)</f>
        <v/>
      </c>
      <c r="BP22" s="313">
        <f>COUNTIF($C22:$AA22,BP$4)</f>
        <v/>
      </c>
      <c r="BQ22" s="314" t="n"/>
    </row>
    <row r="23" ht="19.5" customHeight="1">
      <c r="A23" s="309" t="n"/>
      <c r="B23" s="375" t="inlineStr">
        <is>
          <t>CPL SEE WEI ZHI</t>
        </is>
      </c>
      <c r="C23" s="197" t="n"/>
      <c r="D23" s="197" t="inlineStr">
        <is>
          <t>DM</t>
        </is>
      </c>
      <c r="E23" s="198" t="n"/>
      <c r="F23" s="197" t="inlineStr">
        <is>
          <t>CS2</t>
        </is>
      </c>
      <c r="G23" s="197" t="n"/>
      <c r="H23" s="197" t="n"/>
      <c r="I23" s="106" t="n"/>
      <c r="J23" s="197" t="inlineStr">
        <is>
          <t>CS2</t>
        </is>
      </c>
      <c r="K23" s="197" t="n"/>
      <c r="L23" s="197" t="inlineStr">
        <is>
          <t>RESERVE</t>
        </is>
      </c>
      <c r="M23" s="106" t="n"/>
      <c r="N23" s="197" t="inlineStr">
        <is>
          <t>CS1</t>
        </is>
      </c>
      <c r="O23" s="197" t="n"/>
      <c r="P23" s="197" t="inlineStr">
        <is>
          <t>CS1</t>
        </is>
      </c>
      <c r="Q23" s="197" t="n"/>
      <c r="R23" s="317" t="n"/>
      <c r="S23" s="197" t="n"/>
      <c r="T23" s="197" t="n"/>
      <c r="U23" s="197" t="n"/>
      <c r="V23" s="197" t="n"/>
      <c r="W23" s="197" t="inlineStr">
        <is>
          <t>RESERVE</t>
        </is>
      </c>
      <c r="X23" s="197" t="n"/>
      <c r="Y23" s="197" t="inlineStr">
        <is>
          <t>CS2</t>
        </is>
      </c>
      <c r="Z23" s="197" t="n"/>
      <c r="AA23" s="1" t="inlineStr">
        <is>
          <t>AL</t>
        </is>
      </c>
      <c r="AB23" s="317" t="n"/>
      <c r="AC23" s="197" t="inlineStr">
        <is>
          <t>RESERVE</t>
        </is>
      </c>
      <c r="AE23" s="197" t="inlineStr">
        <is>
          <t>DM</t>
        </is>
      </c>
      <c r="AF23" s="197" t="n"/>
      <c r="AG23" s="197" t="n"/>
      <c r="AH23" s="197" t="n"/>
      <c r="AI23" s="311" t="n"/>
      <c r="AJ23" s="312" t="n"/>
      <c r="AK23" s="311" t="n"/>
      <c r="AL23" s="313" t="n"/>
      <c r="AM23" s="313" t="n"/>
      <c r="AN23" s="313" t="n"/>
      <c r="AO23" s="313" t="n"/>
      <c r="AP23" s="238" t="n"/>
      <c r="AQ23" s="313">
        <f>SUMPRODUCT(--WEEKDAY(C$3:AG$3,2)&lt;6,--((C23:AG23="DM"))+(C23:AG23="CS1")+((C23:AG23="CS2"))+(C23:AG23="SB1")+(C23:AG23="AE")+(C23:AG23="EM"))</f>
        <v/>
      </c>
      <c r="AR23" s="238" t="n"/>
      <c r="AS23" s="238">
        <f>SUMPRODUCT(--WEEKDAY(C$3:AG$3,2)&gt;5,--((C23:AG23="DM"))+(C23:AG23="CS1")+((C23:AG23="CS2"))+(C23:AG23="SB1")+(C23:AG23="AE")+(C23:AG23="EM"))</f>
        <v/>
      </c>
      <c r="AT23" s="238" t="n"/>
      <c r="AU23" s="238">
        <f>(AQ23-AR23)/2+(AS23-AT23)</f>
        <v/>
      </c>
      <c r="AV23" s="238">
        <f>AI23+AJ23+AK23+AL23+AN23+AO23</f>
        <v/>
      </c>
      <c r="AW23" s="238">
        <f>BG23+BH23+BJ23+BE23+BC23+BA23+BL23</f>
        <v/>
      </c>
      <c r="AX23" s="238">
        <f>AU23+AY23</f>
        <v/>
      </c>
      <c r="AY23" s="313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/>
      </c>
      <c r="AZ23" s="313">
        <f>COUNTIF(D23:AB23,"*BRT*")</f>
        <v/>
      </c>
      <c r="BA23" s="313">
        <f>COUNTIF(A23:AI23,"*$BTP*")</f>
        <v/>
      </c>
      <c r="BB23" s="313">
        <f>BA23*('Setting key Duty'!$I$13+'Setting key Duty'!$I$12+'Setting key Duty'!$I$11)</f>
        <v/>
      </c>
      <c r="BC23" s="313">
        <f>COUNTIF(A23:AI23,"*$L*")</f>
        <v/>
      </c>
      <c r="BD23" s="313">
        <f>BC23*('Setting key Duty'!$I$13+'Setting key Duty'!$I$9)</f>
        <v/>
      </c>
      <c r="BE23" s="313">
        <f>COUNTIF(A23:AI23,"*$M*")</f>
        <v/>
      </c>
      <c r="BF23" s="313">
        <f>BE23*('Setting key Duty'!$I$8+'Setting key Duty'!$I$9+'Setting key Duty'!$I$12)</f>
        <v/>
      </c>
      <c r="BG23" s="313">
        <f>COUNTIF(AF23:AI23,"*$N*")</f>
        <v/>
      </c>
      <c r="BH23" s="313">
        <f>COUNTIF(AF23:AI23,"*$PM*")</f>
        <v/>
      </c>
      <c r="BI23" s="313">
        <f>BH23*('Setting key Duty'!$I$9)</f>
        <v/>
      </c>
      <c r="BJ23" s="313">
        <f>COUNTIF(A23:AI23,"*$AM*")</f>
        <v/>
      </c>
      <c r="BK23" s="313">
        <f>BJ23*('Setting key Duty'!$I$12+'Setting key Duty'!$I$8)</f>
        <v/>
      </c>
      <c r="BL23" s="313">
        <f>COUNTIF(D23:AI23,"*$FC*")</f>
        <v/>
      </c>
      <c r="BM23" s="313">
        <f>BL23*('Setting key Duty'!$J$11+'Setting key Duty'!$I$8)</f>
        <v/>
      </c>
      <c r="BN23" s="313">
        <f>COUNTIF($D23:$AE23,BN$4)</f>
        <v/>
      </c>
      <c r="BO23" s="313">
        <f>COUNTIF($D23:$AE23,BO$4)</f>
        <v/>
      </c>
      <c r="BP23" s="313">
        <f>COUNTIF($D23:$AE23,BP$4)</f>
        <v/>
      </c>
      <c r="BQ23" s="314" t="n"/>
    </row>
    <row r="24" ht="19.5" customHeight="1">
      <c r="A24" s="309" t="n"/>
      <c r="B24" s="328" t="inlineStr">
        <is>
          <t>CPL MARK WU</t>
        </is>
      </c>
      <c r="C24" s="197" t="n"/>
      <c r="D24" s="197" t="n"/>
      <c r="E24" s="197" t="n"/>
      <c r="F24" s="197" t="n"/>
      <c r="G24" s="197" t="inlineStr">
        <is>
          <t>CS2</t>
        </is>
      </c>
      <c r="H24" s="377" t="n"/>
      <c r="I24" s="106" t="n"/>
      <c r="J24" s="197" t="n"/>
      <c r="K24" s="197" t="n"/>
      <c r="L24" s="197" t="n"/>
      <c r="M24" s="349" t="inlineStr">
        <is>
          <t>CS1</t>
        </is>
      </c>
      <c r="N24" s="197" t="n"/>
      <c r="O24" s="197" t="inlineStr">
        <is>
          <t>CS2</t>
        </is>
      </c>
      <c r="Q24" s="197" t="inlineStr">
        <is>
          <t>CS1</t>
        </is>
      </c>
      <c r="S24" s="197" t="inlineStr">
        <is>
          <t>USS</t>
        </is>
      </c>
      <c r="U24" s="197" t="n"/>
      <c r="V24" s="197" t="n"/>
      <c r="W24" s="197" t="n"/>
      <c r="Z24" s="197" t="n"/>
      <c r="AA24" s="197" t="n"/>
      <c r="AB24" s="197" t="n"/>
      <c r="AC24" s="197" t="n"/>
      <c r="AD24" s="197" t="inlineStr">
        <is>
          <t>CS1</t>
        </is>
      </c>
      <c r="AE24" s="197" t="n"/>
      <c r="AF24" s="197" t="n"/>
      <c r="AG24" s="197" t="n"/>
      <c r="AH24" s="197" t="n"/>
      <c r="AI24" s="311" t="n"/>
      <c r="AJ24" s="312" t="n"/>
      <c r="AK24" s="311" t="n"/>
      <c r="AL24" s="313" t="n"/>
      <c r="AM24" s="313" t="n"/>
      <c r="AN24" s="313" t="n"/>
      <c r="AO24" s="313" t="n"/>
      <c r="AP24" s="238" t="n"/>
      <c r="AQ24" s="313">
        <f>SUMPRODUCT(--WEEKDAY(C$3:AG$3,2)&lt;6,--((C24:AG24="DM"))+(C24:AG24="CS1")+((C24:AG24="CS2"))+(C24:AG24="SB1")+(C24:AG24="AE")+(C24:AG24="EM"))</f>
        <v/>
      </c>
      <c r="AR24" s="238" t="n"/>
      <c r="AS24" s="238">
        <f>SUMPRODUCT(--WEEKDAY(C$3:AG$3,2)&gt;5,--((C24:AG24="DM"))+(C24:AG24="CS1")+((C24:AG24="CS2"))+(C24:AG24="SB1")+(C24:AG24="AE")+(C24:AG24="EM"))</f>
        <v/>
      </c>
      <c r="AT24" s="238" t="n"/>
      <c r="AU24" s="238">
        <f>(AQ24-AR24)/2+(AS24-AT24)</f>
        <v/>
      </c>
      <c r="AV24" s="238">
        <f>AI24+AJ24+AK24+AL24+AN24+AO24</f>
        <v/>
      </c>
      <c r="AW24" s="238">
        <f>BG24+BH24+BJ24+BE24+BC24+BA24+BL24</f>
        <v/>
      </c>
      <c r="AX24" s="238">
        <f>AU24+$AY$10</f>
        <v/>
      </c>
      <c r="AY24" s="313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/>
      </c>
      <c r="AZ24" s="313" t="n"/>
      <c r="BA24" s="313" t="n"/>
      <c r="BB24" s="313" t="n"/>
      <c r="BC24" s="313" t="n"/>
      <c r="BD24" s="313" t="n"/>
      <c r="BE24" s="313" t="n"/>
      <c r="BF24" s="313" t="n"/>
      <c r="BG24" s="313" t="n"/>
      <c r="BH24" s="313" t="n"/>
      <c r="BI24" s="313" t="n"/>
      <c r="BJ24" s="313" t="n"/>
      <c r="BK24" s="313" t="n"/>
      <c r="BL24" s="313" t="n"/>
      <c r="BM24" s="313" t="n"/>
      <c r="BN24" s="313" t="n"/>
      <c r="BO24" s="313" t="n"/>
      <c r="BP24" s="313" t="n"/>
      <c r="BQ24" s="314" t="n"/>
    </row>
    <row r="25" ht="19.5" customHeight="1">
      <c r="A25" s="309" t="n"/>
      <c r="B25" s="328" t="inlineStr">
        <is>
          <t>CPL WAN FARID BIN ABDULLAH</t>
        </is>
      </c>
      <c r="C25" s="197" t="n"/>
      <c r="E25" s="197" t="n"/>
      <c r="F25" s="197" t="inlineStr">
        <is>
          <t>SB1</t>
        </is>
      </c>
      <c r="G25" s="197" t="n"/>
      <c r="H25" s="197" t="n"/>
      <c r="I25" s="197" t="n"/>
      <c r="J25" s="197" t="n"/>
      <c r="L25" s="317" t="inlineStr">
        <is>
          <t>CS2</t>
        </is>
      </c>
      <c r="M25" s="317" t="inlineStr">
        <is>
          <t>USS</t>
        </is>
      </c>
      <c r="N25" s="383" t="n"/>
      <c r="P25" s="197" t="n"/>
      <c r="Q25" s="197" t="n"/>
      <c r="R25" s="197" t="n"/>
      <c r="S25" s="197" t="inlineStr">
        <is>
          <t>DM</t>
        </is>
      </c>
      <c r="T25" s="196" t="n"/>
      <c r="U25" s="317" t="n"/>
      <c r="V25" s="197" t="inlineStr">
        <is>
          <t>CS2</t>
        </is>
      </c>
      <c r="W25" s="197" t="n"/>
      <c r="X25" s="197" t="n"/>
      <c r="Z25" s="197" t="inlineStr">
        <is>
          <t>CS1</t>
        </is>
      </c>
      <c r="AB25" s="197" t="inlineStr">
        <is>
          <t>DM</t>
        </is>
      </c>
      <c r="AD25" s="317" t="n"/>
      <c r="AE25" s="197" t="inlineStr">
        <is>
          <t>RESERVE</t>
        </is>
      </c>
      <c r="AF25" s="197" t="n"/>
      <c r="AG25" s="197" t="n"/>
      <c r="AH25" s="197" t="n"/>
      <c r="AI25" s="311" t="n"/>
      <c r="AJ25" s="312" t="n"/>
      <c r="AK25" s="311" t="n"/>
      <c r="AL25" s="313" t="n"/>
      <c r="AM25" s="313" t="n"/>
      <c r="AN25" s="313" t="n"/>
      <c r="AO25" s="313" t="n"/>
      <c r="AP25" s="238" t="n"/>
      <c r="AQ25" s="313">
        <f>SUMPRODUCT(--WEEKDAY(C$3:AG$3,2)&lt;6,--((C25:AG25="DM"))+(C25:AG25="CS1")+((C25:AG25="CS2"))+(C25:AG25="SB1")+(C25:AG25="AE")+(C25:AG25="EM"))</f>
        <v/>
      </c>
      <c r="AR25" s="238" t="n"/>
      <c r="AS25" s="238">
        <f>SUMPRODUCT(--WEEKDAY(C$3:AG$3,2)&gt;5,--((C25:AG25="DM"))+(C25:AG25="CS1")+((C25:AG25="CS2"))+(C25:AG25="SB1")+(C25:AG25="AE")+(C25:AG25="EM"))</f>
        <v/>
      </c>
      <c r="AT25" s="238" t="n"/>
      <c r="AU25" s="238">
        <f>(AQ25-AR25)/2+(AS25-AT25)</f>
        <v/>
      </c>
      <c r="AV25" s="238">
        <f>AI25+AJ25+AK25+AL25+AN25+AO25</f>
        <v/>
      </c>
      <c r="AW25" s="238">
        <f>BG25+BH25+BJ25+BE25+BC25+BA25+BL25</f>
        <v/>
      </c>
      <c r="AX25" s="238">
        <f>AU25+AY25</f>
        <v/>
      </c>
      <c r="AY25" s="313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/>
      </c>
      <c r="AZ25" s="313">
        <f>COUNTIF(D25:AA25,"*BRT*")</f>
        <v/>
      </c>
      <c r="BA25" s="313">
        <f>COUNTIF(A25:AI25,"*$BTP*")</f>
        <v/>
      </c>
      <c r="BB25" s="313">
        <f>BA25*('Setting key Duty'!$I$13+'Setting key Duty'!$I$12+'Setting key Duty'!$I$11)</f>
        <v/>
      </c>
      <c r="BC25" s="313">
        <f>COUNTIF(A25:AI25,"*$L*")</f>
        <v/>
      </c>
      <c r="BD25" s="313">
        <f>BC25*('Setting key Duty'!$I$13+'Setting key Duty'!$I$9)</f>
        <v/>
      </c>
      <c r="BE25" s="313">
        <f>COUNTIF(A25:AI25,"*$M*")</f>
        <v/>
      </c>
      <c r="BF25" s="313">
        <f>BE25*('Setting key Duty'!$I$8+'Setting key Duty'!$I$9+'Setting key Duty'!$I$12)</f>
        <v/>
      </c>
      <c r="BG25" s="313">
        <f>COUNTIF(AI25,"*$N*")</f>
        <v/>
      </c>
      <c r="BH25" s="313">
        <f>COUNTIF(AI25,"*$PM*")</f>
        <v/>
      </c>
      <c r="BI25" s="313">
        <f>BH25*('Setting key Duty'!$I$9)</f>
        <v/>
      </c>
      <c r="BJ25" s="313">
        <f>COUNTIF(A25:AI25,"*$AM*")</f>
        <v/>
      </c>
      <c r="BK25" s="313">
        <f>BJ25*('Setting key Duty'!$I$12+'Setting key Duty'!$I$8)</f>
        <v/>
      </c>
      <c r="BL25" s="313">
        <f>COUNTIF(D25:AI25,"*$FC*")</f>
        <v/>
      </c>
      <c r="BM25" s="313">
        <f>BL25*('Setting key Duty'!$J$11+'Setting key Duty'!$I$8)</f>
        <v/>
      </c>
      <c r="BN25" s="313">
        <f>COUNTIF($D25:$AA25,BN$4)</f>
        <v/>
      </c>
      <c r="BO25" s="313">
        <f>COUNTIF($D25:$AA25,BO$4)</f>
        <v/>
      </c>
      <c r="BP25" s="313">
        <f>COUNTIF($D25:$AA25,BP$4)</f>
        <v/>
      </c>
      <c r="BQ25" s="314" t="n"/>
    </row>
    <row r="26" ht="19.5" customHeight="1">
      <c r="A26" s="309" t="n"/>
      <c r="B26" s="376" t="inlineStr">
        <is>
          <t>PTE GERALD TAN</t>
        </is>
      </c>
      <c r="C26" s="324" t="inlineStr">
        <is>
          <t>MA</t>
        </is>
      </c>
      <c r="D26" s="197" t="n"/>
      <c r="E26" s="324" t="inlineStr">
        <is>
          <t>AE</t>
        </is>
      </c>
      <c r="F26" s="324" t="n"/>
      <c r="G26" s="324" t="inlineStr">
        <is>
          <t>SB1</t>
        </is>
      </c>
      <c r="H26" s="317" t="n"/>
      <c r="I26" s="197" t="inlineStr">
        <is>
          <t>AE</t>
        </is>
      </c>
      <c r="J26" s="317" t="n"/>
      <c r="K26" s="197" t="n"/>
      <c r="L26" s="197" t="n"/>
      <c r="M26" s="317" t="inlineStr">
        <is>
          <t>PMMA</t>
        </is>
      </c>
      <c r="O26" s="317" t="n"/>
      <c r="P26" s="197" t="inlineStr">
        <is>
          <t>AE</t>
        </is>
      </c>
      <c r="Q26" s="197" t="n"/>
      <c r="S26" s="196" t="inlineStr">
        <is>
          <t>AE</t>
        </is>
      </c>
      <c r="T26" s="196" t="n"/>
      <c r="U26" s="197" t="n"/>
      <c r="W26" s="197" t="n"/>
      <c r="Y26" s="197" t="n"/>
      <c r="AA26" s="197" t="inlineStr">
        <is>
          <t>RESERVE</t>
        </is>
      </c>
      <c r="AB26" s="197" t="n"/>
      <c r="AC26" s="317" t="inlineStr">
        <is>
          <t>SB1</t>
        </is>
      </c>
      <c r="AD26" s="317" t="n"/>
      <c r="AF26" s="197" t="inlineStr">
        <is>
          <t>CS1</t>
        </is>
      </c>
      <c r="AH26" s="317" t="n"/>
      <c r="AI26" s="311" t="n"/>
      <c r="AJ26" s="312" t="n"/>
      <c r="AK26" s="311" t="n"/>
      <c r="AL26" s="313" t="n"/>
      <c r="AM26" s="313" t="n"/>
      <c r="AN26" s="313" t="n"/>
      <c r="AO26" s="313" t="n"/>
      <c r="AP26" s="238" t="n"/>
      <c r="AQ26" s="313">
        <f>SUMPRODUCT(--WEEKDAY(C$3:AG$3,2)&lt;6,--((C26:AG26="DM"))+(C26:AG26="CS1")+((C26:AG26="CS2"))+(C26:AG26="SB1")+(C26:AG26="AE")+(C26:AG26="EM"))</f>
        <v/>
      </c>
      <c r="AR26" s="238" t="n"/>
      <c r="AS26" s="238">
        <f>SUMPRODUCT(--WEEKDAY(C$3:AG$3,2)&gt;5,--((C26:AG26="DM"))+(C26:AG26="CS1")+((C26:AG26="CS2"))+(C26:AG26="SB1")+(C26:AG26="AE")+(C26:AG26="EM"))</f>
        <v/>
      </c>
      <c r="AT26" s="238" t="n"/>
      <c r="AU26" s="238">
        <f>(AQ26-AR26)/2+(AS26-AT26)</f>
        <v/>
      </c>
      <c r="AV26" s="238">
        <f>AI26+AJ26+AK26+AL26+AN26+AO26</f>
        <v/>
      </c>
      <c r="AW26" s="238">
        <f>BG26+BH26+BJ26+BE26+BC26+BA26+BL26</f>
        <v/>
      </c>
      <c r="AX26" s="238">
        <f>AU26+$AY$10</f>
        <v/>
      </c>
      <c r="AY26" s="313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/>
      </c>
      <c r="AZ26" s="313">
        <f>COUNTIF(D26:AA26,"*BRT*")</f>
        <v/>
      </c>
      <c r="BA26" s="313">
        <f>COUNTIF(A26:AI26,"*$BTP*")</f>
        <v/>
      </c>
      <c r="BB26" s="313">
        <f>BA26*('Setting key Duty'!$I$13+'Setting key Duty'!$I$12+'Setting key Duty'!$I$11)</f>
        <v/>
      </c>
      <c r="BC26" s="313">
        <f>COUNTIF(A26:AI26,"*$L*")</f>
        <v/>
      </c>
      <c r="BD26" s="313">
        <f>BC26*('Setting key Duty'!$I$13+'Setting key Duty'!$I$9)</f>
        <v/>
      </c>
      <c r="BE26" s="313">
        <f>COUNTIF(A26:AI26,"*$M*")</f>
        <v/>
      </c>
      <c r="BF26" s="313">
        <f>BE26*('Setting key Duty'!$I$8+'Setting key Duty'!$I$9+'Setting key Duty'!$I$12)</f>
        <v/>
      </c>
      <c r="BG26" s="313">
        <f>COUNTIF(AI26,"*$N*")</f>
        <v/>
      </c>
      <c r="BH26" s="313">
        <f>COUNTIF(AI26,"*$PM*")</f>
        <v/>
      </c>
      <c r="BI26" s="313">
        <f>BH26*('Setting key Duty'!$I$9)</f>
        <v/>
      </c>
      <c r="BJ26" s="313">
        <f>COUNTIF(A26:AI26,"*$AM*")</f>
        <v/>
      </c>
      <c r="BK26" s="313">
        <f>BJ26*('Setting key Duty'!$I$12+'Setting key Duty'!$I$8)</f>
        <v/>
      </c>
      <c r="BL26" s="313">
        <f>COUNTIF(D26:AI26,"*$FC*")</f>
        <v/>
      </c>
      <c r="BM26" s="313">
        <f>BL26*('Setting key Duty'!$J$11+'Setting key Duty'!$I$8)</f>
        <v/>
      </c>
      <c r="BN26" s="313">
        <f>COUNTIF($D26:$AA26,BN$4)</f>
        <v/>
      </c>
      <c r="BO26" s="313">
        <f>COUNTIF($D26:$AA26,BO$4)</f>
        <v/>
      </c>
      <c r="BP26" s="313">
        <f>COUNTIF($D26:$AA26,BP$4)</f>
        <v/>
      </c>
      <c r="BQ26" s="314" t="n"/>
    </row>
    <row r="27" ht="19.5" customHeight="1">
      <c r="A27" s="309" t="n"/>
      <c r="B27" s="332" t="inlineStr">
        <is>
          <t>PTE FANG JIANGRUI</t>
        </is>
      </c>
      <c r="C27" s="324" t="inlineStr">
        <is>
          <t>AE</t>
        </is>
      </c>
      <c r="D27" s="106" t="n"/>
      <c r="E27" s="197" t="inlineStr">
        <is>
          <t>D $BTP (0530-2359</t>
        </is>
      </c>
      <c r="G27" s="377" t="n"/>
      <c r="H27" s="377" t="inlineStr">
        <is>
          <t>SB1</t>
        </is>
      </c>
      <c r="I27" s="197" t="n"/>
      <c r="J27" s="197" t="inlineStr">
        <is>
          <t>J $BTP (0515-2359)</t>
        </is>
      </c>
      <c r="M27" s="197" t="inlineStr">
        <is>
          <t>SB1</t>
        </is>
      </c>
      <c r="N27" s="197" t="n"/>
      <c r="O27" s="197" t="n"/>
      <c r="P27" s="197" t="n"/>
      <c r="R27" s="197" t="inlineStr">
        <is>
          <t>O $M ISAD (0515-2000)</t>
        </is>
      </c>
      <c r="S27" s="197" t="n"/>
      <c r="T27" s="197" t="inlineStr">
        <is>
          <t>RESERVE</t>
        </is>
      </c>
      <c r="U27" s="197" t="n"/>
      <c r="V27" s="197" t="inlineStr">
        <is>
          <t>RESERVE</t>
        </is>
      </c>
      <c r="W27" s="197" t="n"/>
      <c r="X27" s="197" t="inlineStr">
        <is>
          <t>O $M HG (0515-2000)</t>
        </is>
      </c>
      <c r="Y27" s="384" t="n"/>
      <c r="Z27" s="197" t="inlineStr">
        <is>
          <t>AE</t>
        </is>
      </c>
      <c r="AA27" s="197" t="n"/>
      <c r="AB27" s="197" t="n"/>
      <c r="AC27" s="197" t="n"/>
      <c r="AD27" s="317" t="n"/>
      <c r="AE27" s="197" t="inlineStr">
        <is>
          <t>J $AM SOC (0600-1100)</t>
        </is>
      </c>
      <c r="AF27" s="317" t="n"/>
      <c r="AH27" s="197" t="n"/>
      <c r="AI27" s="311" t="n"/>
      <c r="AJ27" s="312" t="n"/>
      <c r="AK27" s="311" t="n"/>
      <c r="AL27" s="313" t="n"/>
      <c r="AM27" s="313" t="n"/>
      <c r="AN27" s="313" t="n"/>
      <c r="AO27" s="313" t="n"/>
      <c r="AP27" s="238" t="n"/>
      <c r="AQ27" s="313">
        <f>SUMPRODUCT(--WEEKDAY(C$3:AG$3,2)&lt;6,--((C27:AG27="DM"))+(C27:AG27="CS1")+((C27:AG27="CS2"))+(C27:AG27="SB1")+(C27:AG27="AE")+(C27:AG27="EM"))</f>
        <v/>
      </c>
      <c r="AR27" s="238" t="n"/>
      <c r="AS27" s="238">
        <f>SUMPRODUCT(--WEEKDAY(C$3:AG$3,2)&gt;5,--((C27:AG27="DM"))+(C27:AG27="CS1")+((C27:AG27="CS2"))+(C27:AG27="SB1")+(C27:AG27="AE")+(C27:AG27="EM"))</f>
        <v/>
      </c>
      <c r="AT27" s="238" t="n"/>
      <c r="AU27" s="238">
        <f>(AQ27-AR27)/2+(AS27-AT27)</f>
        <v/>
      </c>
      <c r="AV27" s="238">
        <f>AI27+AJ27+AK27+AL27+AN27+AO27</f>
        <v/>
      </c>
      <c r="AW27" s="238">
        <f>BG27+BH27+BJ27+BE27+BC27+BA27+BL27</f>
        <v/>
      </c>
      <c r="AX27" s="238">
        <f>AU27+AY27</f>
        <v/>
      </c>
      <c r="AY27" s="313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/>
      </c>
      <c r="AZ27" s="313">
        <f>COUNTIF(C27:W27,"*BRT*")</f>
        <v/>
      </c>
      <c r="BA27" s="313">
        <f>COUNTIF(A27:AI27,"*$BTP*")</f>
        <v/>
      </c>
      <c r="BB27" s="313">
        <f>BA27*('Setting key Duty'!$I$13+'Setting key Duty'!$I$12+'Setting key Duty'!$I$11)</f>
        <v/>
      </c>
      <c r="BC27" s="313">
        <f>COUNTIF(D27:AI27,"*$L*")</f>
        <v/>
      </c>
      <c r="BD27" s="313">
        <f>BC27*('Setting key Duty'!$I$13+'Setting key Duty'!$I$9)</f>
        <v/>
      </c>
      <c r="BE27" s="313">
        <f>COUNTIF(D27:AI27,"*$M*")</f>
        <v/>
      </c>
      <c r="BF27" s="313">
        <f>BE27*('Setting key Duty'!$I$8+'Setting key Duty'!$I$9+'Setting key Duty'!$I$12)</f>
        <v/>
      </c>
      <c r="BG27" s="313">
        <f>COUNTIF(D27:AI27,"*$N*")</f>
        <v/>
      </c>
      <c r="BH27" s="313">
        <f>COUNTIF(D27:AI27,"*$PM*")</f>
        <v/>
      </c>
      <c r="BI27" s="313">
        <f>BH27*('Setting key Duty'!$I$9)</f>
        <v/>
      </c>
      <c r="BJ27" s="313">
        <f>COUNTIF(D27:AI27,"*$AM*")</f>
        <v/>
      </c>
      <c r="BK27" s="313">
        <f>BJ27*('Setting key Duty'!$I$12+'Setting key Duty'!$I$8)</f>
        <v/>
      </c>
      <c r="BL27" s="313">
        <f>COUNTIF(C27:AI27,"*$FC*")</f>
        <v/>
      </c>
      <c r="BM27" s="313">
        <f>BL27*('Setting key Duty'!$J$11+'Setting key Duty'!$I$8)</f>
        <v/>
      </c>
      <c r="BN27" s="313">
        <f>COUNTIF($C27:$AG27,BN$4)</f>
        <v/>
      </c>
      <c r="BO27" s="313">
        <f>COUNTIF($C27:$AG27,BO$4)</f>
        <v/>
      </c>
      <c r="BP27" s="313">
        <f>COUNTIF($D27:$AD27,BP$4)</f>
        <v/>
      </c>
      <c r="BQ27" s="314" t="n"/>
    </row>
    <row r="28" ht="19.5" customHeight="1">
      <c r="A28" s="309" t="n"/>
      <c r="B28" s="315" t="inlineStr">
        <is>
          <t>PTE HO SHENGHUI HAYDEN</t>
        </is>
      </c>
      <c r="C28" s="317" t="n"/>
      <c r="D28" s="197" t="inlineStr">
        <is>
          <t>D $BTP (0530-2359</t>
        </is>
      </c>
      <c r="F28" s="197" t="n"/>
      <c r="G28" s="197" t="inlineStr">
        <is>
          <t>RESERVE</t>
        </is>
      </c>
      <c r="H28" s="377" t="n"/>
      <c r="L28" s="197" t="inlineStr">
        <is>
          <t>D $M HG (0530-2000)</t>
        </is>
      </c>
      <c r="M28" s="197" t="inlineStr">
        <is>
          <t>RESERVE</t>
        </is>
      </c>
      <c r="N28" s="331" t="n"/>
      <c r="O28" s="197" t="inlineStr">
        <is>
          <t>SB1</t>
        </is>
      </c>
      <c r="P28" s="197" t="n"/>
      <c r="R28" s="317" t="n"/>
      <c r="S28" s="197" t="inlineStr">
        <is>
          <t>J $AM IPPT (0600-1100)</t>
        </is>
      </c>
      <c r="T28" s="196" t="n"/>
      <c r="U28" s="197" t="n"/>
      <c r="V28" s="197" t="inlineStr">
        <is>
          <t>RESERVE</t>
        </is>
      </c>
      <c r="W28" s="317" t="n"/>
      <c r="Y28" s="197" t="inlineStr">
        <is>
          <t>RESERVE</t>
        </is>
      </c>
      <c r="Z28" s="197" t="inlineStr">
        <is>
          <t>R $M HG (0500-2000)</t>
        </is>
      </c>
      <c r="AA28" s="317" t="n"/>
      <c r="AC28" s="197" t="inlineStr">
        <is>
          <t>AE</t>
        </is>
      </c>
      <c r="AE28" s="197" t="inlineStr">
        <is>
          <t>K $M HG (0515-2000)</t>
        </is>
      </c>
      <c r="AF28" s="317" t="n"/>
      <c r="AG28" s="197" t="inlineStr">
        <is>
          <t>RESERVE</t>
        </is>
      </c>
      <c r="AH28" s="317" t="n"/>
      <c r="AI28" s="311" t="n"/>
      <c r="AJ28" s="312" t="n"/>
      <c r="AK28" s="311" t="n"/>
      <c r="AL28" s="344" t="n"/>
      <c r="AM28" s="344" t="n"/>
      <c r="AN28" s="344" t="n"/>
      <c r="AO28" s="344" t="n"/>
      <c r="AP28" s="246" t="n"/>
      <c r="AQ28" s="313">
        <f>SUMPRODUCT(--WEEKDAY(C$3:AG$3,2)&lt;6,--((C28:AG28="DM"))+(C28:AG28="CS1")+((C28:AG28="CS2"))+(C28:AG28="SB1")+(C28:AG28="AE")+(C28:AG28="EM"))</f>
        <v/>
      </c>
      <c r="AR28" s="238" t="n"/>
      <c r="AS28" s="238">
        <f>SUMPRODUCT(--WEEKDAY(C$3:AG$3,2)&gt;5,--((C28:AG28="DM"))+(C28:AG28="CS1")+((C28:AG28="CS2"))+(C28:AG28="SB1")+(C28:AG28="AE")+(C28:AG28="EM"))</f>
        <v/>
      </c>
      <c r="AT28" s="246" t="n"/>
      <c r="AU28" s="238">
        <f>(AQ28-AR28)/2+(AS28-AT28)</f>
        <v/>
      </c>
      <c r="AV28" s="238">
        <f>AI28+AJ28+AK28+AL28+AN28+AO28</f>
        <v/>
      </c>
      <c r="AW28" s="238">
        <f>BG28+BH28+BJ28+BE28+BC28+BA28+BL28</f>
        <v/>
      </c>
      <c r="AX28" s="238">
        <f>AU28+AY28</f>
        <v/>
      </c>
      <c r="AY28" s="313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/>
      </c>
      <c r="AZ28" s="313">
        <f>COUNTIF(C28:Y28,"*BRT*")</f>
        <v/>
      </c>
      <c r="BA28" s="313">
        <f>COUNTIF(A28:AI28,"*$BTP*")</f>
        <v/>
      </c>
      <c r="BB28" s="313">
        <f>BA28*('Setting key Duty'!$I$13+'Setting key Duty'!$I$12+'Setting key Duty'!$I$11)</f>
        <v/>
      </c>
      <c r="BC28" s="313">
        <f>COUNTIF(D28:AI28,"*$L*")</f>
        <v/>
      </c>
      <c r="BD28" s="313">
        <f>BC28*('Setting key Duty'!$I$13+'Setting key Duty'!$I$9)</f>
        <v/>
      </c>
      <c r="BE28" s="313">
        <f>COUNTIF(D28:AI28,"*$M*")</f>
        <v/>
      </c>
      <c r="BF28" s="313">
        <f>BE28*('Setting key Duty'!$I$8+'Setting key Duty'!$I$9+'Setting key Duty'!$I$12)</f>
        <v/>
      </c>
      <c r="BG28" s="313">
        <f>COUNTIF(D28:AI28,"*$N*")</f>
        <v/>
      </c>
      <c r="BH28" s="313">
        <f>COUNTIF(D28:AI28,"*$PM*")</f>
        <v/>
      </c>
      <c r="BI28" s="313">
        <f>BH28*('Setting key Duty'!$I$9)</f>
        <v/>
      </c>
      <c r="BJ28" s="313">
        <f>COUNTIF(D28:AI28,"*$AM*")</f>
        <v/>
      </c>
      <c r="BK28" s="313">
        <f>BJ28*('Setting key Duty'!$I$12+'Setting key Duty'!$I$8)</f>
        <v/>
      </c>
      <c r="BL28" s="313">
        <f>COUNTIF(C28:AI28,"*$FC*")</f>
        <v/>
      </c>
      <c r="BM28" s="313">
        <f>BL28*('Setting key Duty'!$J$11+'Setting key Duty'!$I$8)</f>
        <v/>
      </c>
      <c r="BN28" s="313">
        <f>COUNTIF($C28:$AF28,BN$4)</f>
        <v/>
      </c>
      <c r="BO28" s="313">
        <f>COUNTIF($C28:$AF28,BO$4)</f>
        <v/>
      </c>
      <c r="BP28" s="313">
        <f>COUNTIF($D28:$AE28,BP$4)</f>
        <v/>
      </c>
      <c r="BQ28" s="345" t="n"/>
    </row>
    <row r="29" ht="19.5" customHeight="1">
      <c r="A29" s="309" t="n"/>
      <c r="B29" s="315" t="inlineStr">
        <is>
          <t>PTE CHIA TECK IAN</t>
        </is>
      </c>
      <c r="C29" s="349" t="inlineStr">
        <is>
          <t>SB2</t>
        </is>
      </c>
      <c r="D29" s="324" t="n"/>
      <c r="E29" s="349" t="inlineStr">
        <is>
          <t>SB2</t>
        </is>
      </c>
      <c r="F29" s="331" t="n"/>
      <c r="G29" s="197" t="inlineStr">
        <is>
          <t>RESERVE</t>
        </is>
      </c>
      <c r="H29" s="377" t="n"/>
      <c r="I29" s="197" t="inlineStr">
        <is>
          <t>SB1</t>
        </is>
      </c>
      <c r="J29" s="317" t="inlineStr">
        <is>
          <t>SB2</t>
        </is>
      </c>
      <c r="K29" s="197" t="inlineStr">
        <is>
          <t>O $PM SOC PERMSTAFF (1530-2000)</t>
        </is>
      </c>
      <c r="M29" s="197" t="inlineStr">
        <is>
          <t>RESERVE</t>
        </is>
      </c>
      <c r="O29" s="197" t="inlineStr">
        <is>
          <t>RESERVE</t>
        </is>
      </c>
      <c r="P29" s="197" t="inlineStr">
        <is>
          <t>N PS $PM SOC (1530-2000)</t>
        </is>
      </c>
      <c r="Q29" s="197" t="inlineStr">
        <is>
          <t>O $PM SOC (1530-2000)</t>
        </is>
      </c>
      <c r="S29" s="197" t="inlineStr">
        <is>
          <t>SB2</t>
        </is>
      </c>
      <c r="T29" s="196" t="n"/>
      <c r="U29" s="197" t="inlineStr">
        <is>
          <t>RESERVE</t>
        </is>
      </c>
      <c r="V29" s="197" t="n"/>
      <c r="X29" s="349" t="n"/>
      <c r="Y29" s="197" t="inlineStr">
        <is>
          <t>SB2</t>
        </is>
      </c>
      <c r="Z29" s="197" t="inlineStr">
        <is>
          <t>O $PM CC (1530-2000)</t>
        </is>
      </c>
      <c r="AA29" s="197" t="inlineStr">
        <is>
          <t>SB2</t>
        </is>
      </c>
      <c r="AB29" s="317" t="inlineStr">
        <is>
          <t>SB1</t>
        </is>
      </c>
      <c r="AD29" s="197" t="n"/>
      <c r="AE29" s="197" t="inlineStr">
        <is>
          <t>R $PM SOC(1530-2000)</t>
        </is>
      </c>
      <c r="AF29" s="197" t="inlineStr">
        <is>
          <t>SB2</t>
        </is>
      </c>
      <c r="AG29" s="317" t="n"/>
      <c r="AH29" s="317" t="n"/>
      <c r="AI29" s="311" t="n"/>
      <c r="AJ29" s="312" t="n"/>
      <c r="AK29" s="311" t="n"/>
      <c r="AL29" s="344" t="n"/>
      <c r="AM29" s="344" t="n"/>
      <c r="AN29" s="344" t="n"/>
      <c r="AO29" s="344" t="n"/>
      <c r="AP29" s="246" t="n"/>
      <c r="AQ29" s="313">
        <f>SUMPRODUCT(--WEEKDAY(C$3:AG$3,2)&lt;6,--((C29:AG29="DM"))+(C29:AG29="CS1")+((C29:AG29="CS2"))+(C29:AG29="SB1")+(C29:AG29="AE")+(C29:AG29="EM"))</f>
        <v/>
      </c>
      <c r="AR29" s="238" t="n"/>
      <c r="AS29" s="238">
        <f>SUMPRODUCT(--WEEKDAY(C$3:AG$3,2)&gt;5,--((C29:AG29="DM"))+(C29:AG29="CS1")+((C29:AG29="CS2"))+(C29:AG29="SB1")+(C29:AG29="AE")+(C29:AG29="EM"))</f>
        <v/>
      </c>
      <c r="AT29" s="246" t="n"/>
      <c r="AU29" s="238">
        <f>(AQ29-AR29)/2+(AS29-AT29)</f>
        <v/>
      </c>
      <c r="AV29" s="238">
        <f>AI29+AJ29+AK29+AL29+AN29+AO29</f>
        <v/>
      </c>
      <c r="AW29" s="238">
        <f>BG29+BH29+BJ29+BE29+BC29+BA29+BL29</f>
        <v/>
      </c>
      <c r="AX29" s="238">
        <f>AU29+AY29</f>
        <v/>
      </c>
      <c r="AY29" s="313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/>
      </c>
      <c r="AZ29" s="313">
        <f>COUNTIF(C29:Y29,"*BRT*")</f>
        <v/>
      </c>
      <c r="BA29" s="313">
        <f>COUNTIF(A29:AI29,"*$BTP*")</f>
        <v/>
      </c>
      <c r="BB29" s="313">
        <f>BA29*('Setting key Duty'!$I$13+'Setting key Duty'!$I$12+'Setting key Duty'!$I$11)</f>
        <v/>
      </c>
      <c r="BC29" s="313">
        <f>COUNTIF(D29:AI29,"*$L*")</f>
        <v/>
      </c>
      <c r="BD29" s="313">
        <f>BC29*('Setting key Duty'!$I$13+'Setting key Duty'!$I$9)</f>
        <v/>
      </c>
      <c r="BE29" s="313">
        <f>COUNTIF(D29:AI29,"*$M*")</f>
        <v/>
      </c>
      <c r="BF29" s="313">
        <f>BE29*('Setting key Duty'!$I$8+'Setting key Duty'!$I$9+'Setting key Duty'!$I$12)</f>
        <v/>
      </c>
      <c r="BG29" s="313">
        <f>COUNTIF(D29:AI29,"*$N*")</f>
        <v/>
      </c>
      <c r="BH29" s="313">
        <f>COUNTIF(D29:AI29,"*$PM*")</f>
        <v/>
      </c>
      <c r="BI29" s="313">
        <f>BH29*('Setting key Duty'!$I$9)</f>
        <v/>
      </c>
      <c r="BJ29" s="313">
        <f>COUNTIF(D29:AI29,"*$AM*")</f>
        <v/>
      </c>
      <c r="BK29" s="313">
        <f>BJ29*('Setting key Duty'!$I$12+'Setting key Duty'!$I$8)</f>
        <v/>
      </c>
      <c r="BL29" s="313">
        <f>COUNTIF(C29:AI29,"*$FC*")</f>
        <v/>
      </c>
      <c r="BM29" s="313">
        <f>BL29*('Setting key Duty'!$J$11+'Setting key Duty'!$I$8)</f>
        <v/>
      </c>
      <c r="BN29" s="313">
        <f>COUNTIF($C29:$AG29,BN$4)</f>
        <v/>
      </c>
      <c r="BO29" s="313">
        <f>COUNTIF($C29:$AG29,BO$4)</f>
        <v/>
      </c>
      <c r="BP29" s="313">
        <f>COUNTIF($D29:$AE29,BP$4)</f>
        <v/>
      </c>
      <c r="BQ29" s="345" t="n"/>
    </row>
    <row r="30" ht="19.5" customHeight="1">
      <c r="A30" s="309" t="n"/>
      <c r="B30" s="315" t="inlineStr">
        <is>
          <t>PTE APPLE YEO</t>
        </is>
      </c>
      <c r="C30" s="197" t="inlineStr">
        <is>
          <t>MC</t>
        </is>
      </c>
      <c r="D30" s="197" t="inlineStr">
        <is>
          <t>MC</t>
        </is>
      </c>
      <c r="E30" s="197" t="inlineStr">
        <is>
          <t>MC</t>
        </is>
      </c>
      <c r="F30" s="197" t="inlineStr">
        <is>
          <t>MC</t>
        </is>
      </c>
      <c r="G30" s="197" t="inlineStr">
        <is>
          <t>MC</t>
        </is>
      </c>
      <c r="H30" s="197" t="inlineStr">
        <is>
          <t>MC</t>
        </is>
      </c>
      <c r="I30" s="197" t="inlineStr">
        <is>
          <t>MC</t>
        </is>
      </c>
      <c r="J30" s="197" t="inlineStr">
        <is>
          <t>MC</t>
        </is>
      </c>
      <c r="K30" s="197" t="inlineStr">
        <is>
          <t>MC</t>
        </is>
      </c>
      <c r="L30" s="197" t="inlineStr">
        <is>
          <t>MC</t>
        </is>
      </c>
      <c r="M30" s="197" t="inlineStr">
        <is>
          <t>MC</t>
        </is>
      </c>
      <c r="N30" s="197" t="inlineStr">
        <is>
          <t>MC</t>
        </is>
      </c>
      <c r="O30" s="197" t="inlineStr">
        <is>
          <t>MC</t>
        </is>
      </c>
      <c r="P30" s="197" t="inlineStr">
        <is>
          <t>MC</t>
        </is>
      </c>
      <c r="Q30" s="197" t="inlineStr">
        <is>
          <t>MC</t>
        </is>
      </c>
      <c r="R30" s="197" t="inlineStr">
        <is>
          <t>MC</t>
        </is>
      </c>
      <c r="S30" s="197" t="inlineStr">
        <is>
          <t>MC</t>
        </is>
      </c>
      <c r="T30" s="196" t="inlineStr">
        <is>
          <t>MC</t>
        </is>
      </c>
      <c r="U30" s="197" t="inlineStr">
        <is>
          <t>MC</t>
        </is>
      </c>
      <c r="V30" s="197" t="inlineStr">
        <is>
          <t>MC</t>
        </is>
      </c>
      <c r="W30" s="197" t="inlineStr">
        <is>
          <t>MC</t>
        </is>
      </c>
      <c r="X30" s="197" t="inlineStr">
        <is>
          <t>MC</t>
        </is>
      </c>
      <c r="Y30" s="197" t="inlineStr">
        <is>
          <t>MC</t>
        </is>
      </c>
      <c r="Z30" s="197" t="inlineStr">
        <is>
          <t>MC</t>
        </is>
      </c>
      <c r="AA30" s="197" t="inlineStr">
        <is>
          <t>MC</t>
        </is>
      </c>
      <c r="AB30" s="197" t="inlineStr">
        <is>
          <t>MC</t>
        </is>
      </c>
      <c r="AC30" s="197" t="inlineStr">
        <is>
          <t>MC</t>
        </is>
      </c>
      <c r="AD30" s="197" t="inlineStr">
        <is>
          <t>MC</t>
        </is>
      </c>
      <c r="AE30" s="197" t="inlineStr">
        <is>
          <t>MC</t>
        </is>
      </c>
      <c r="AF30" s="197" t="inlineStr">
        <is>
          <t>MC</t>
        </is>
      </c>
      <c r="AG30" s="197" t="inlineStr">
        <is>
          <t>MC</t>
        </is>
      </c>
      <c r="AH30" s="197" t="inlineStr">
        <is>
          <t>MC</t>
        </is>
      </c>
      <c r="AI30" s="311" t="n"/>
      <c r="AJ30" s="312" t="n"/>
      <c r="AK30" s="311" t="n"/>
      <c r="AL30" s="344" t="n"/>
      <c r="AM30" s="344" t="n"/>
      <c r="AN30" s="344" t="n"/>
      <c r="AO30" s="344" t="n"/>
      <c r="AP30" s="246" t="n"/>
      <c r="AQ30" s="313">
        <f>SUMPRODUCT(--WEEKDAY(C$3:AG$3,2)&lt;6,--((C30:AG30="DM"))+(C30:AG30="CS1")+((C30:AG30="CS2"))+(C30:AG30="SB1")+(C30:AG30="AE")+(C30:AG30="EM"))</f>
        <v/>
      </c>
      <c r="AR30" s="238" t="n"/>
      <c r="AS30" s="238">
        <f>SUMPRODUCT(--WEEKDAY(C$3:AG$3,2)&gt;5,--((C30:AG30="DM"))+(C30:AG30="CS1")+((C30:AG30="CS2"))+(C30:AG30="SB1")+(C30:AG30="AE")+(C30:AG30="EM"))</f>
        <v/>
      </c>
      <c r="AT30" s="246" t="n"/>
      <c r="AU30" s="238">
        <f>(AQ30-AR30)/2+(AS30-AT30)</f>
        <v/>
      </c>
      <c r="AV30" s="238">
        <f>AI30+AJ30+AK30+AL30+AN30+AO30</f>
        <v/>
      </c>
      <c r="AW30" s="238">
        <f>BG30+BH30+BJ30+BE30+BC30+BA30+BL30</f>
        <v/>
      </c>
      <c r="AX30" s="238">
        <f>AU30+AY30</f>
        <v/>
      </c>
      <c r="AY30" s="313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/>
      </c>
      <c r="AZ30" s="313">
        <f>COUNTIF(C30:Y30,"*BRT*")</f>
        <v/>
      </c>
      <c r="BA30" s="313">
        <f>COUNTIF(A30:AI30,"*$BTP*")</f>
        <v/>
      </c>
      <c r="BB30" s="313">
        <f>BA30*('Setting key Duty'!$I$13+'Setting key Duty'!$I$12+'Setting key Duty'!$I$11)</f>
        <v/>
      </c>
      <c r="BC30" s="313">
        <f>COUNTIF(D30:AI30,"*$L*")</f>
        <v/>
      </c>
      <c r="BD30" s="313">
        <f>BC30*('Setting key Duty'!$I$13+'Setting key Duty'!$I$9)</f>
        <v/>
      </c>
      <c r="BE30" s="313">
        <f>COUNTIF(D30:AI30,"*$M*")</f>
        <v/>
      </c>
      <c r="BF30" s="313">
        <f>BE30*('Setting key Duty'!$I$8+'Setting key Duty'!$I$9+'Setting key Duty'!$I$12)</f>
        <v/>
      </c>
      <c r="BG30" s="313">
        <f>COUNTIF(D30:AI30,"*$N*")</f>
        <v/>
      </c>
      <c r="BH30" s="313">
        <f>COUNTIF(D30:AI30,"*$PM*")</f>
        <v/>
      </c>
      <c r="BI30" s="313">
        <f>BH30*('Setting key Duty'!$I$9)</f>
        <v/>
      </c>
      <c r="BJ30" s="313">
        <f>COUNTIF(D30:AI30,"*$AM*")</f>
        <v/>
      </c>
      <c r="BK30" s="313">
        <f>BJ30*('Setting key Duty'!$I$12+'Setting key Duty'!$I$8)</f>
        <v/>
      </c>
      <c r="BL30" s="313">
        <f>COUNTIF(C30:AI30,"*$FC*")</f>
        <v/>
      </c>
      <c r="BM30" s="313">
        <f>BL30*('Setting key Duty'!$J$11+'Setting key Duty'!$I$8)</f>
        <v/>
      </c>
      <c r="BN30" s="313">
        <f>COUNTIF($C30:$AG30,BN$4)</f>
        <v/>
      </c>
      <c r="BO30" s="313">
        <f>COUNTIF($C30:$AG30,BO$4)</f>
        <v/>
      </c>
      <c r="BP30" s="313">
        <f>COUNTIF($D30:$AE30,BP$4)</f>
        <v/>
      </c>
      <c r="BQ30" s="345" t="n"/>
    </row>
    <row r="31" ht="19.5" customHeight="1">
      <c r="A31" s="309" t="n"/>
      <c r="B31" s="336" t="inlineStr">
        <is>
          <t>PTE QUEK ZI YI</t>
        </is>
      </c>
      <c r="C31" s="197" t="inlineStr">
        <is>
          <t>OL</t>
        </is>
      </c>
      <c r="D31" s="197" t="inlineStr">
        <is>
          <t>OL</t>
        </is>
      </c>
      <c r="E31" s="197" t="inlineStr">
        <is>
          <t>OL</t>
        </is>
      </c>
      <c r="F31" s="197" t="inlineStr">
        <is>
          <t>OL</t>
        </is>
      </c>
      <c r="G31" s="377" t="n"/>
      <c r="H31" s="377" t="n"/>
      <c r="I31" s="197" t="inlineStr">
        <is>
          <t>OL</t>
        </is>
      </c>
      <c r="K31" s="197" t="inlineStr">
        <is>
          <t>R $AM IPPT (0500-1000)</t>
        </is>
      </c>
      <c r="L31" s="198" t="inlineStr">
        <is>
          <t>J $PM SOC (1530-2000)</t>
        </is>
      </c>
      <c r="N31" s="197" t="inlineStr">
        <is>
          <t>SB1</t>
        </is>
      </c>
      <c r="O31" s="106" t="n"/>
      <c r="P31" s="197" t="n"/>
      <c r="Q31" s="197" t="inlineStr">
        <is>
          <t>R $AM CC (0600-1000)</t>
        </is>
      </c>
      <c r="R31" s="197" t="inlineStr">
        <is>
          <t>SB1</t>
        </is>
      </c>
      <c r="S31" s="197" t="n"/>
      <c r="T31" s="378" t="n"/>
      <c r="U31" s="197" t="n"/>
      <c r="V31" s="197" t="inlineStr">
        <is>
          <t>SB1</t>
        </is>
      </c>
      <c r="W31" s="331" t="n"/>
      <c r="X31" s="197" t="inlineStr">
        <is>
          <t>RESERVE</t>
        </is>
      </c>
      <c r="Z31" s="197" t="inlineStr">
        <is>
          <t>RESERVE</t>
        </is>
      </c>
      <c r="AB31" s="197" t="n"/>
      <c r="AD31" s="197" t="inlineStr">
        <is>
          <t>SB2</t>
        </is>
      </c>
      <c r="AE31" s="197" t="inlineStr">
        <is>
          <t>O $BTP (0515-2359)</t>
        </is>
      </c>
      <c r="AF31" s="197" t="n"/>
      <c r="AH31" s="106" t="n"/>
      <c r="AI31" s="311" t="n"/>
      <c r="AJ31" s="312" t="n"/>
      <c r="AK31" s="311" t="n"/>
      <c r="AL31" s="344" t="n"/>
      <c r="AM31" s="344" t="n"/>
      <c r="AN31" s="344" t="n"/>
      <c r="AO31" s="344" t="n"/>
      <c r="AP31" s="246" t="n"/>
      <c r="AQ31" s="313">
        <f>SUMPRODUCT(--WEEKDAY(C$3:AG$3,2)&lt;6,--((C31:AG31="DM"))+(C31:AG31="CS1")+((C31:AG31="CS2"))+(C31:AG31="SB1")+(C31:AG31="AE")+(C31:AG31="EM"))</f>
        <v/>
      </c>
      <c r="AR31" s="238" t="n"/>
      <c r="AS31" s="238">
        <f>SUMPRODUCT(--WEEKDAY(C$3:AG$3,2)&gt;5,--((C31:AG31="DM"))+(C31:AG31="CS1")+((C31:AG31="CS2"))+(C31:AG31="SB1")+(C31:AG31="AE")+(C31:AG31="EM"))</f>
        <v/>
      </c>
      <c r="AT31" s="246" t="n"/>
      <c r="AU31" s="238">
        <f>(AQ31-AR31)/2+(AS31-AT31)</f>
        <v/>
      </c>
      <c r="AV31" s="238">
        <f>AI31+AJ31+AK31+AL31+AN31+AO31</f>
        <v/>
      </c>
      <c r="AW31" s="238">
        <f>BG31+BH31+BJ31+BE31+BC31+BA31+BL31</f>
        <v/>
      </c>
      <c r="AX31" s="238">
        <f>AU31+AY31</f>
        <v/>
      </c>
      <c r="AY31" s="313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/>
      </c>
      <c r="AZ31" s="313">
        <f>COUNTIF(C31:Y31,"*BRT*")</f>
        <v/>
      </c>
      <c r="BA31" s="313">
        <f>COUNTIF(A31:AI31,"*$BTP*")</f>
        <v/>
      </c>
      <c r="BB31" s="313">
        <f>BA31*('Setting key Duty'!$I$13+'Setting key Duty'!$I$12+'Setting key Duty'!$I$11)</f>
        <v/>
      </c>
      <c r="BC31" s="313">
        <f>COUNTIF(D31:AI31,"*$L*")</f>
        <v/>
      </c>
      <c r="BD31" s="313">
        <f>BC31*('Setting key Duty'!$I$13+'Setting key Duty'!$I$9)</f>
        <v/>
      </c>
      <c r="BE31" s="313">
        <f>COUNTIF(D31:AI31,"*$M*")</f>
        <v/>
      </c>
      <c r="BF31" s="313">
        <f>BE31*('Setting key Duty'!$I$8+'Setting key Duty'!$I$9+'Setting key Duty'!$I$12)</f>
        <v/>
      </c>
      <c r="BG31" s="313">
        <f>COUNTIF(D31:AI31,"*$N*")</f>
        <v/>
      </c>
      <c r="BH31" s="313">
        <f>COUNTIF(D31:AI31,"*$PM*")</f>
        <v/>
      </c>
      <c r="BI31" s="313">
        <f>BH31*('Setting key Duty'!$I$9)</f>
        <v/>
      </c>
      <c r="BJ31" s="313">
        <f>COUNTIF(D31:AI31,"*$AM*")</f>
        <v/>
      </c>
      <c r="BK31" s="313">
        <f>BJ31*('Setting key Duty'!$I$12+'Setting key Duty'!$I$8)</f>
        <v/>
      </c>
      <c r="BL31" s="313">
        <f>COUNTIF(C31:AI31,"*$FC*")</f>
        <v/>
      </c>
      <c r="BM31" s="313">
        <f>BL31*('Setting key Duty'!$J$11+'Setting key Duty'!$I$8)</f>
        <v/>
      </c>
      <c r="BN31" s="313">
        <f>COUNTIF($C31:$AG31,BN$4)</f>
        <v/>
      </c>
      <c r="BO31" s="313">
        <f>COUNTIF($C31:$AG31,BO$4)</f>
        <v/>
      </c>
      <c r="BP31" s="313">
        <f>COUNTIF($D31:$AE31,BP$4)</f>
        <v/>
      </c>
      <c r="BQ31" s="345" t="n"/>
    </row>
    <row r="32" ht="19.5" customHeight="1">
      <c r="A32" s="309" t="n"/>
      <c r="B32" s="346" t="inlineStr">
        <is>
          <t>PTE EKLAYVA</t>
        </is>
      </c>
      <c r="C32" s="317" t="n"/>
      <c r="D32" s="317" t="n">
        <v>4</v>
      </c>
      <c r="E32" s="106" t="n"/>
      <c r="F32" s="197" t="inlineStr">
        <is>
          <t>C $AM IPPT (0500-1100)</t>
        </is>
      </c>
      <c r="G32" s="106" t="n"/>
      <c r="H32" s="106" t="n"/>
      <c r="I32" s="106" t="n"/>
      <c r="J32" s="197" t="inlineStr">
        <is>
          <t>HQ BMTC $AM IPPT (0530-0930)</t>
        </is>
      </c>
      <c r="L32" s="197" t="inlineStr">
        <is>
          <t>C $BTP (0530-2359</t>
        </is>
      </c>
      <c r="M32" s="197" t="n"/>
      <c r="N32" s="197" t="n"/>
      <c r="O32" s="324" t="n"/>
      <c r="P32" s="349" t="inlineStr">
        <is>
          <t>SB2</t>
        </is>
      </c>
      <c r="Q32" s="106" t="n"/>
      <c r="S32" s="197" t="inlineStr">
        <is>
          <t>USS</t>
        </is>
      </c>
      <c r="T32" s="196" t="n"/>
      <c r="U32" s="197" t="inlineStr">
        <is>
          <t>AE</t>
        </is>
      </c>
      <c r="X32" s="317" t="n"/>
      <c r="Y32" s="317" t="inlineStr">
        <is>
          <t>J $FC</t>
        </is>
      </c>
      <c r="Z32" s="317" t="inlineStr">
        <is>
          <t>J $FC</t>
        </is>
      </c>
      <c r="AA32" s="317" t="inlineStr">
        <is>
          <t>J $FC</t>
        </is>
      </c>
      <c r="AB32" s="317" t="inlineStr">
        <is>
          <t>J $FC</t>
        </is>
      </c>
      <c r="AC32" s="317" t="inlineStr">
        <is>
          <t>J $FC</t>
        </is>
      </c>
      <c r="AD32" s="317" t="n"/>
      <c r="AE32" s="197" t="n"/>
      <c r="AF32" s="197" t="inlineStr">
        <is>
          <t>R $AM IPPT (0530-1000)</t>
        </is>
      </c>
      <c r="AG32" s="317" t="n"/>
      <c r="AH32" s="317" t="n"/>
      <c r="AI32" s="311" t="n"/>
      <c r="AJ32" s="312" t="n"/>
      <c r="AK32" s="311" t="n"/>
      <c r="AL32" s="344" t="n"/>
      <c r="AM32" s="344" t="n"/>
      <c r="AN32" s="344" t="n"/>
      <c r="AO32" s="344" t="n"/>
      <c r="AP32" s="246" t="n"/>
      <c r="AQ32" s="313">
        <f>SUMPRODUCT(--WEEKDAY(C$3:AG$3,2)&lt;6,--((C32:AG32="DM"))+(C32:AG32="CS1")+((C32:AG32="CS2"))+(C32:AG32="SB1")+(C32:AG32="AE")+(C32:AG32="EM"))</f>
        <v/>
      </c>
      <c r="AR32" s="246" t="n"/>
      <c r="AS32" s="238">
        <f>SUMPRODUCT(--WEEKDAY(C$3:AG$3,2)&gt;5,--((C32:AG32="DM"))+(C32:AG32="CS1")+((C32:AG32="CS2"))+(C32:AG32="SB1")+(C32:AG32="AE")+(C32:AG32="EM"))</f>
        <v/>
      </c>
      <c r="AT32" s="246" t="n"/>
      <c r="AU32" s="238">
        <f>(AQ32-AR32)/2+(AS32-AT32)</f>
        <v/>
      </c>
      <c r="AV32" s="238">
        <f>AI32+AJ32+AK32+AL32+AN32+AO32</f>
        <v/>
      </c>
      <c r="AW32" s="238">
        <f>BG32+BH32+BJ32+BE32+BC32+BA32+BL32</f>
        <v/>
      </c>
      <c r="AX32" s="238">
        <f>AU32+AY32</f>
        <v/>
      </c>
      <c r="AY32" s="313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/>
      </c>
      <c r="AZ32" s="313">
        <f>COUNTIF(C32:Y32,"*BRT*")</f>
        <v/>
      </c>
      <c r="BA32" s="313">
        <f>COUNTIF(A32:AI32,"*$BTP*")</f>
        <v/>
      </c>
      <c r="BB32" s="313">
        <f>BA32*('Setting key Duty'!$I$13+'Setting key Duty'!$I$12+'Setting key Duty'!$I$11)</f>
        <v/>
      </c>
      <c r="BC32" s="313">
        <f>COUNTIF(D32:AI32,"*$L*")</f>
        <v/>
      </c>
      <c r="BD32" s="313">
        <f>BC32*('Setting key Duty'!$I$13+'Setting key Duty'!$I$9)</f>
        <v/>
      </c>
      <c r="BE32" s="313">
        <f>COUNTIF(D32:AI32,"*$M*")</f>
        <v/>
      </c>
      <c r="BF32" s="313">
        <f>BE32*('Setting key Duty'!$I$8+'Setting key Duty'!$I$9+'Setting key Duty'!$I$12)</f>
        <v/>
      </c>
      <c r="BG32" s="313">
        <f>COUNTIF(D32:AI32,"*$N*")</f>
        <v/>
      </c>
      <c r="BH32" s="313">
        <f>COUNTIF(D32:AI32,"*$PM*")</f>
        <v/>
      </c>
      <c r="BI32" s="313">
        <f>BH32*('Setting key Duty'!$I$9)</f>
        <v/>
      </c>
      <c r="BJ32" s="313">
        <f>COUNTIF(D32:AI32,"*$AM*")</f>
        <v/>
      </c>
      <c r="BK32" s="313">
        <f>BJ32*('Setting key Duty'!$I$12+'Setting key Duty'!$I$8)</f>
        <v/>
      </c>
      <c r="BL32" s="313">
        <f>COUNTIF(C32:AI32,"*$FC*")</f>
        <v/>
      </c>
      <c r="BM32" s="313">
        <f>BL32*('Setting key Duty'!$J$11+'Setting key Duty'!$I$8)</f>
        <v/>
      </c>
      <c r="BN32" s="313">
        <f>COUNTIF($C32:$AG32,BN$4)</f>
        <v/>
      </c>
      <c r="BO32" s="313">
        <f>COUNTIF($C32:$AG32,BO$4)</f>
        <v/>
      </c>
      <c r="BP32" s="313" t="n"/>
      <c r="BQ32" s="345" t="n"/>
    </row>
    <row r="33" ht="19.5" customHeight="1">
      <c r="A33" s="309" t="n"/>
      <c r="B33" s="347" t="inlineStr">
        <is>
          <t>PTE ASHWIN</t>
        </is>
      </c>
      <c r="C33" s="317" t="n"/>
      <c r="D33" s="349" t="inlineStr">
        <is>
          <t>SB2</t>
        </is>
      </c>
      <c r="E33" s="106" t="n"/>
      <c r="F33" s="106" t="n"/>
      <c r="G33" s="106" t="n"/>
      <c r="H33" s="197" t="inlineStr">
        <is>
          <t>AE</t>
        </is>
      </c>
      <c r="I33" s="106" t="n"/>
      <c r="J33" s="197" t="inlineStr">
        <is>
          <t>AE</t>
        </is>
      </c>
      <c r="K33" s="349" t="inlineStr">
        <is>
          <t>SB2</t>
        </is>
      </c>
      <c r="L33" s="349" t="inlineStr">
        <is>
          <t>SB2</t>
        </is>
      </c>
      <c r="M33" s="155" t="n"/>
      <c r="N33" s="197" t="inlineStr">
        <is>
          <t>AE</t>
        </is>
      </c>
      <c r="O33" s="324" t="n"/>
      <c r="Q33" s="197" t="n"/>
      <c r="R33" s="106" t="n"/>
      <c r="S33" s="197" t="inlineStr">
        <is>
          <t>USS</t>
        </is>
      </c>
      <c r="T33" s="197" t="inlineStr">
        <is>
          <t>AE</t>
        </is>
      </c>
      <c r="U33" s="197" t="n"/>
      <c r="V33" s="197" t="n"/>
      <c r="W33" s="197" t="inlineStr">
        <is>
          <t>AE</t>
        </is>
      </c>
      <c r="X33" s="197" t="n"/>
      <c r="Y33" s="197" t="inlineStr">
        <is>
          <t>AE</t>
        </is>
      </c>
      <c r="Z33" s="106" t="n"/>
      <c r="AA33" s="106" t="n"/>
      <c r="AD33" s="317" t="inlineStr">
        <is>
          <t>AE</t>
        </is>
      </c>
      <c r="AE33" s="197" t="inlineStr">
        <is>
          <t>SB2</t>
        </is>
      </c>
      <c r="AF33" s="197" t="inlineStr">
        <is>
          <t>AE</t>
        </is>
      </c>
      <c r="AG33" s="317" t="n"/>
      <c r="AH33" s="317" t="n"/>
      <c r="AI33" s="311" t="n"/>
      <c r="AJ33" s="312" t="n"/>
      <c r="AK33" s="311" t="n"/>
      <c r="AL33" s="344" t="n"/>
      <c r="AM33" s="344" t="n"/>
      <c r="AN33" s="344" t="n"/>
      <c r="AO33" s="344" t="n"/>
      <c r="AP33" s="246" t="n"/>
      <c r="AQ33" s="313">
        <f>SUMPRODUCT(--WEEKDAY(C$3:AG$3,2)&lt;6,--((C33:AG33="DM"))+(C33:AG33="CS1")+((C33:AG33="CS2"))+(C33:AG33="SB1")+(C33:AG33="AE")+(C33:AG33="EM"))</f>
        <v/>
      </c>
      <c r="AR33" s="246" t="n"/>
      <c r="AS33" s="238">
        <f>SUMPRODUCT(--WEEKDAY(C$3:AG$3,2)&gt;5,--((C33:AG33="DM"))+(C33:AG33="CS1")+((C33:AG33="CS2"))+(C33:AG33="SB1")+(C33:AG33="AE")+(C33:AG33="EM"))</f>
        <v/>
      </c>
      <c r="AT33" s="246" t="n"/>
      <c r="AU33" s="238">
        <f>(AQ33-AR33)/2+(AS33-AT33)</f>
        <v/>
      </c>
      <c r="AV33" s="238">
        <f>AI33+AJ33+AK33+AL33+AN33+AO33</f>
        <v/>
      </c>
      <c r="AW33" s="238">
        <f>BG33+BH33+BJ33+BE33+BC33+BA33+BL33</f>
        <v/>
      </c>
      <c r="AX33" s="238">
        <f>AU33+AY33</f>
        <v/>
      </c>
      <c r="AY33" s="313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/>
      </c>
      <c r="AZ33" s="313">
        <f>COUNTIF(C33:Y33,"*BRT*")</f>
        <v/>
      </c>
      <c r="BA33" s="313">
        <f>COUNTIF(A33:AI33,"*$BTP*")</f>
        <v/>
      </c>
      <c r="BB33" s="313">
        <f>BA33*('Setting key Duty'!$I$13+'Setting key Duty'!$I$12+'Setting key Duty'!$I$11)</f>
        <v/>
      </c>
      <c r="BC33" s="313">
        <f>COUNTIF(D33:AI33,"*$L*")</f>
        <v/>
      </c>
      <c r="BD33" s="313">
        <f>BC33*('Setting key Duty'!$I$13+'Setting key Duty'!$I$9)</f>
        <v/>
      </c>
      <c r="BE33" s="313">
        <f>COUNTIF(D33:AI33,"*$M*")</f>
        <v/>
      </c>
      <c r="BF33" s="313">
        <f>BE33*('Setting key Duty'!$I$8+'Setting key Duty'!$I$9+'Setting key Duty'!$I$12)</f>
        <v/>
      </c>
      <c r="BG33" s="313">
        <f>COUNTIF(D33:AI33,"*$N*")</f>
        <v/>
      </c>
      <c r="BH33" s="313">
        <f>COUNTIF(D33:AI33,"*$PM*")</f>
        <v/>
      </c>
      <c r="BI33" s="313">
        <f>BH33*('Setting key Duty'!$I$9)</f>
        <v/>
      </c>
      <c r="BJ33" s="313">
        <f>COUNTIF(D33:AI33,"*$AM*")</f>
        <v/>
      </c>
      <c r="BK33" s="313">
        <f>BJ33*('Setting key Duty'!$I$12+'Setting key Duty'!$I$8)</f>
        <v/>
      </c>
      <c r="BL33" s="313">
        <f>COUNTIF(C33:AI33,"*$FC*")</f>
        <v/>
      </c>
      <c r="BM33" s="313">
        <f>BL33*('Setting key Duty'!$J$11+'Setting key Duty'!$I$8)</f>
        <v/>
      </c>
      <c r="BN33" s="313">
        <f>COUNTIF($C33:$AG33,BN$4)</f>
        <v/>
      </c>
      <c r="BO33" s="313">
        <f>COUNTIF($C33:$AG33,BO$4)</f>
        <v/>
      </c>
      <c r="BP33" s="313" t="n"/>
      <c r="BQ33" s="345" t="n"/>
    </row>
    <row r="34" ht="19.5" customHeight="1">
      <c r="A34" s="309" t="n"/>
      <c r="B34" s="347" t="inlineStr">
        <is>
          <t>PTE ZHONGHAO</t>
        </is>
      </c>
      <c r="C34" s="317" t="n"/>
      <c r="D34" s="317" t="n">
        <v>4</v>
      </c>
      <c r="F34" s="197" t="inlineStr">
        <is>
          <t>AE</t>
        </is>
      </c>
      <c r="G34" s="106" t="n"/>
      <c r="H34" s="106" t="n"/>
      <c r="I34" s="106" t="n"/>
      <c r="J34" s="197" t="n"/>
      <c r="K34" s="324" t="n"/>
      <c r="L34" s="324" t="n"/>
      <c r="M34" s="197" t="inlineStr">
        <is>
          <t>C $BTP (0530-2359</t>
        </is>
      </c>
      <c r="N34" s="324" t="n"/>
      <c r="O34" s="324" t="n"/>
      <c r="P34" s="197" t="n"/>
      <c r="Q34" s="197" t="inlineStr">
        <is>
          <t>J $AM CC (0600-1100)</t>
        </is>
      </c>
      <c r="R34" s="197" t="inlineStr">
        <is>
          <t>K $AM ER (0600-1100)</t>
        </is>
      </c>
      <c r="S34" s="197" t="inlineStr">
        <is>
          <t>USS</t>
        </is>
      </c>
      <c r="T34" s="196" t="n"/>
      <c r="U34" s="197" t="n"/>
      <c r="V34" s="197" t="n"/>
      <c r="W34" s="197" t="inlineStr">
        <is>
          <t>SB2</t>
        </is>
      </c>
      <c r="X34" s="321" t="inlineStr">
        <is>
          <t>D $AM IPPT (0500-1100)</t>
        </is>
      </c>
      <c r="Z34" s="106" t="n"/>
      <c r="AA34" s="197" t="inlineStr">
        <is>
          <t xml:space="preserve">C $FC </t>
        </is>
      </c>
      <c r="AB34" s="197" t="inlineStr">
        <is>
          <t xml:space="preserve">C $FC </t>
        </is>
      </c>
      <c r="AC34" s="197" t="inlineStr">
        <is>
          <t xml:space="preserve">C $FC </t>
        </is>
      </c>
      <c r="AD34" s="197" t="inlineStr">
        <is>
          <t xml:space="preserve">C $FC </t>
        </is>
      </c>
      <c r="AE34" s="197" t="inlineStr">
        <is>
          <t xml:space="preserve">C $FC </t>
        </is>
      </c>
      <c r="AF34" s="317" t="n"/>
      <c r="AG34" s="317" t="n"/>
      <c r="AH34" s="317" t="n"/>
      <c r="AI34" s="311" t="n"/>
      <c r="AJ34" s="312" t="n"/>
      <c r="AK34" s="311" t="n"/>
      <c r="AL34" s="344" t="n"/>
      <c r="AM34" s="344" t="n"/>
      <c r="AN34" s="344" t="n"/>
      <c r="AO34" s="344" t="n"/>
      <c r="AP34" s="246" t="n"/>
      <c r="AQ34" s="313">
        <f>SUMPRODUCT(--WEEKDAY(C$3:AG$3,2)&lt;6,--((C34:AG34="DM"))+(C34:AG34="CS1")+((C34:AG34="CS2"))+(C34:AG34="SB1")+(C34:AG34="AE")+(C34:AG34="EM"))</f>
        <v/>
      </c>
      <c r="AR34" s="246" t="n"/>
      <c r="AS34" s="238">
        <f>SUMPRODUCT(--WEEKDAY(C$3:AG$3,2)&gt;5,--((C34:AG34="DM"))+(C34:AG34="CS1")+((C34:AG34="CS2"))+(C34:AG34="SB1")+(C34:AG34="AE")+(C34:AG34="EM"))</f>
        <v/>
      </c>
      <c r="AT34" s="246" t="n"/>
      <c r="AU34" s="238">
        <f>(AQ34-AR34)/2+(AS34-AT34)</f>
        <v/>
      </c>
      <c r="AV34" s="238">
        <f>AI34+AJ34+AK34+AL34+AN34+AO34</f>
        <v/>
      </c>
      <c r="AW34" s="238">
        <f>BG34+BH34+BJ34+BE34+BC34+BA34+BL34</f>
        <v/>
      </c>
      <c r="AX34" s="238">
        <f>AU34+AY34</f>
        <v/>
      </c>
      <c r="AY34" s="313">
        <f>(BJ34*('Setting key Duty'!$I$8+'Setting key Duty'!$I$12))+(BH34*'Setting key Duty'!$I$9)+(BC34*('Setting key Duty'!$I$13+'Setting key Duty'!$I$9))+(BA34*('Setting key Duty'!$I$13+'Setting key Duty'!$I$12+'Setting key Duty'!$I$11))+(BE34*('Setting key Duty'!$I$8+'Setting key Duty'!$I$9+'Setting key Duty'!$I$12))</f>
        <v/>
      </c>
      <c r="AZ34" s="313">
        <f>COUNTIF(C34:Y34,"*BRT*")</f>
        <v/>
      </c>
      <c r="BA34" s="313">
        <f>COUNTIF(A34:AI34,"*$BTP*")</f>
        <v/>
      </c>
      <c r="BB34" s="313">
        <f>BA34*('Setting key Duty'!$I$13+'Setting key Duty'!$I$12+'Setting key Duty'!$I$11)</f>
        <v/>
      </c>
      <c r="BC34" s="313">
        <f>COUNTIF(D34:AI34,"*$L*")</f>
        <v/>
      </c>
      <c r="BD34" s="313">
        <f>BC34*('Setting key Duty'!$I$13+'Setting key Duty'!$I$9)</f>
        <v/>
      </c>
      <c r="BE34" s="313">
        <f>COUNTIF(D34:AI34,"*$M*")</f>
        <v/>
      </c>
      <c r="BF34" s="313">
        <f>BE34*('Setting key Duty'!$I$8+'Setting key Duty'!$I$9+'Setting key Duty'!$I$12)</f>
        <v/>
      </c>
      <c r="BG34" s="313">
        <f>COUNTIF(D34:AI34,"*$N*")</f>
        <v/>
      </c>
      <c r="BH34" s="313">
        <f>COUNTIF(D34:AI34,"*$PM*")</f>
        <v/>
      </c>
      <c r="BI34" s="313">
        <f>BH34*('Setting key Duty'!$I$9)</f>
        <v/>
      </c>
      <c r="BJ34" s="313">
        <f>COUNTIF(D34:AI34,"*$AM*")</f>
        <v/>
      </c>
      <c r="BK34" s="313">
        <f>BJ34*('Setting key Duty'!$I$12+'Setting key Duty'!$I$8)</f>
        <v/>
      </c>
      <c r="BL34" s="313">
        <f>COUNTIF(C34:AI34,"*$FC*")</f>
        <v/>
      </c>
      <c r="BM34" s="313">
        <f>BL34*('Setting key Duty'!$J$11+'Setting key Duty'!$I$8)</f>
        <v/>
      </c>
      <c r="BN34" s="313">
        <f>COUNTIF($C34:$AG34,BN$4)</f>
        <v/>
      </c>
      <c r="BO34" s="313">
        <f>COUNTIF($C34:$AG34,BO$4)</f>
        <v/>
      </c>
      <c r="BP34" s="313" t="n"/>
      <c r="BQ34" s="345" t="n"/>
    </row>
    <row r="35" ht="19.5" customHeight="1">
      <c r="A35" s="309" t="n"/>
      <c r="B35" s="347" t="inlineStr">
        <is>
          <t>PTE DERRICK</t>
        </is>
      </c>
      <c r="C35" s="317" t="n"/>
      <c r="D35" s="317" t="n">
        <v>4</v>
      </c>
      <c r="F35" s="106" t="n"/>
      <c r="G35" s="106" t="n"/>
      <c r="H35" s="106" t="n"/>
      <c r="I35" s="197" t="inlineStr">
        <is>
          <t>J $AM ER (0600-1100)</t>
        </is>
      </c>
      <c r="J35" s="317" t="n"/>
      <c r="K35" s="197" t="inlineStr">
        <is>
          <t>J $BTP (0515-2359)</t>
        </is>
      </c>
      <c r="M35" s="349" t="inlineStr">
        <is>
          <t>SB2</t>
        </is>
      </c>
      <c r="N35" s="324" t="n"/>
      <c r="O35" s="324" t="n"/>
      <c r="P35" s="197" t="inlineStr">
        <is>
          <t>O $AM IPPT (0500-1100)</t>
        </is>
      </c>
      <c r="Q35" s="197" t="inlineStr">
        <is>
          <t>SB2</t>
        </is>
      </c>
      <c r="R35" s="106" t="n"/>
      <c r="S35" s="197" t="inlineStr">
        <is>
          <t>USS</t>
        </is>
      </c>
      <c r="T35" s="196" t="n"/>
      <c r="U35" s="197" t="n"/>
      <c r="V35" s="197" t="n"/>
      <c r="W35" s="197" t="inlineStr">
        <is>
          <t>K $AM ER (0600-1100)</t>
        </is>
      </c>
      <c r="X35" s="317" t="n"/>
      <c r="Y35" s="106" t="n"/>
      <c r="Z35" s="197" t="inlineStr">
        <is>
          <t xml:space="preserve">D $FC </t>
        </is>
      </c>
      <c r="AA35" s="197" t="inlineStr">
        <is>
          <t xml:space="preserve">D $FC </t>
        </is>
      </c>
      <c r="AB35" s="197" t="inlineStr">
        <is>
          <t xml:space="preserve">D $FC </t>
        </is>
      </c>
      <c r="AC35" s="197" t="inlineStr">
        <is>
          <t xml:space="preserve">D $FC </t>
        </is>
      </c>
      <c r="AD35" s="197" t="inlineStr">
        <is>
          <t xml:space="preserve">D $FC </t>
        </is>
      </c>
      <c r="AE35" s="317" t="n"/>
      <c r="AF35" s="317" t="n"/>
      <c r="AG35" s="317" t="n"/>
      <c r="AH35" s="317" t="inlineStr">
        <is>
          <t>AE</t>
        </is>
      </c>
      <c r="AI35" s="311" t="n"/>
      <c r="AJ35" s="312" t="n"/>
      <c r="AK35" s="311" t="n"/>
      <c r="AL35" s="344" t="n"/>
      <c r="AM35" s="344" t="n"/>
      <c r="AN35" s="344" t="n"/>
      <c r="AO35" s="344" t="n"/>
      <c r="AP35" s="246" t="n"/>
      <c r="AQ35" s="313">
        <f>SUMPRODUCT(--WEEKDAY(C$3:AG$3,2)&lt;6,--((C35:AG35="DM"))+(C35:AG35="CS1")+((C35:AG35="CS2"))+(C35:AG35="SB1")+(C35:AG35="AE")+(C35:AG35="EM"))</f>
        <v/>
      </c>
      <c r="AR35" s="246" t="n"/>
      <c r="AS35" s="238">
        <f>SUMPRODUCT(--WEEKDAY(C$3:AG$3,2)&gt;5,--((C35:AG35="DM"))+(C35:AG35="CS1")+((C35:AG35="CS2"))+(C35:AG35="SB1")+(C35:AG35="AE")+(C35:AG35="EM"))</f>
        <v/>
      </c>
      <c r="AT35" s="246" t="n"/>
      <c r="AU35" s="238">
        <f>(AQ35-AR35)/2+(AS35-AT35)</f>
        <v/>
      </c>
      <c r="AV35" s="238">
        <f>AI35+AJ35+AK35+AL35+AN35+AO35</f>
        <v/>
      </c>
      <c r="AW35" s="238">
        <f>BG35+BH35+BJ35+BE35+BC35+BA35+BL35</f>
        <v/>
      </c>
      <c r="AX35" s="238">
        <f>AU35+AY35</f>
        <v/>
      </c>
      <c r="AY35" s="313">
        <f>(BJ35*('Setting key Duty'!$I$8+'Setting key Duty'!$I$12))+(BH35*'Setting key Duty'!$I$9)+(BC35*('Setting key Duty'!$I$13+'Setting key Duty'!$I$9))+(BA35*('Setting key Duty'!$I$13+'Setting key Duty'!$I$12+'Setting key Duty'!$I$11))+(BE35*('Setting key Duty'!$I$8+'Setting key Duty'!$I$9+'Setting key Duty'!$I$12))</f>
        <v/>
      </c>
      <c r="AZ35" s="313">
        <f>COUNTIF(C35:Y35,"*BRT*")</f>
        <v/>
      </c>
      <c r="BA35" s="313">
        <f>COUNTIF(A35:AI35,"*$BTP*")</f>
        <v/>
      </c>
      <c r="BB35" s="313">
        <f>BA35*('Setting key Duty'!$I$13+'Setting key Duty'!$I$12+'Setting key Duty'!$I$11)</f>
        <v/>
      </c>
      <c r="BC35" s="313">
        <f>COUNTIF(D35:AI35,"*$L*")</f>
        <v/>
      </c>
      <c r="BD35" s="313">
        <f>BC35*('Setting key Duty'!$I$13+'Setting key Duty'!$I$9)</f>
        <v/>
      </c>
      <c r="BE35" s="313">
        <f>COUNTIF(D35:AI35,"*$M*")</f>
        <v/>
      </c>
      <c r="BF35" s="313">
        <f>BE35*('Setting key Duty'!$I$8+'Setting key Duty'!$I$9+'Setting key Duty'!$I$12)</f>
        <v/>
      </c>
      <c r="BG35" s="313">
        <f>COUNTIF(D35:AI35,"*$N*")</f>
        <v/>
      </c>
      <c r="BH35" s="313">
        <f>COUNTIF(D35:AI35,"*$PM*")</f>
        <v/>
      </c>
      <c r="BI35" s="313">
        <f>BH35*('Setting key Duty'!$I$9)</f>
        <v/>
      </c>
      <c r="BJ35" s="313">
        <f>COUNTIF(D35:AI35,"*$AM*")</f>
        <v/>
      </c>
      <c r="BK35" s="313">
        <f>BJ35*('Setting key Duty'!$I$12+'Setting key Duty'!$I$8)</f>
        <v/>
      </c>
      <c r="BL35" s="313">
        <f>COUNTIF(C35:AI35,"*$FC*")</f>
        <v/>
      </c>
      <c r="BM35" s="313">
        <f>BL35*('Setting key Duty'!$J$11+'Setting key Duty'!$I$8)</f>
        <v/>
      </c>
      <c r="BN35" s="313">
        <f>COUNTIF($C35:$AG35,BN$4)</f>
        <v/>
      </c>
      <c r="BO35" s="313">
        <f>COUNTIF($C35:$AG35,BO$4)</f>
        <v/>
      </c>
      <c r="BP35" s="313" t="n"/>
      <c r="BQ35" s="345" t="n"/>
    </row>
    <row r="36" ht="19.5" customHeight="1">
      <c r="A36" s="309" t="n"/>
      <c r="B36" s="347" t="inlineStr">
        <is>
          <t>PTE GOH DI XUAN</t>
        </is>
      </c>
      <c r="C36" s="317" t="n"/>
      <c r="D36" s="317" t="n">
        <v>4</v>
      </c>
      <c r="E36" s="106" t="n"/>
      <c r="F36" s="349" t="inlineStr">
        <is>
          <t>SB2</t>
        </is>
      </c>
      <c r="G36" s="106" t="n"/>
      <c r="H36" s="106" t="n"/>
      <c r="I36" s="106" t="n"/>
      <c r="J36" s="197" t="inlineStr">
        <is>
          <t>C $AM PS SOC (0600-1100)</t>
        </is>
      </c>
      <c r="L36" s="198" t="inlineStr">
        <is>
          <t>R $AM CC (0600-1000)</t>
        </is>
      </c>
      <c r="M36" s="317" t="n"/>
      <c r="N36" s="324" t="n"/>
      <c r="O36" s="324" t="n"/>
      <c r="P36" s="197" t="inlineStr">
        <is>
          <t>N $AM IPPT (0500-1100)</t>
        </is>
      </c>
      <c r="Q36" s="197" t="inlineStr">
        <is>
          <t>C $PM PS SOC (1530-2000)</t>
        </is>
      </c>
      <c r="R36" s="197" t="inlineStr">
        <is>
          <t>SB2</t>
        </is>
      </c>
      <c r="S36" s="197" t="inlineStr">
        <is>
          <t>USS</t>
        </is>
      </c>
      <c r="T36" s="196" t="n"/>
      <c r="V36" s="197" t="inlineStr">
        <is>
          <t>AE</t>
        </is>
      </c>
      <c r="W36" s="197" t="n"/>
      <c r="X36" s="197" t="inlineStr">
        <is>
          <t>SB2</t>
        </is>
      </c>
      <c r="Y36" s="321" t="n"/>
      <c r="Z36" s="106" t="n"/>
      <c r="AA36" s="197" t="inlineStr">
        <is>
          <t>AE</t>
        </is>
      </c>
      <c r="AB36" s="106" t="n"/>
      <c r="AC36" s="106" t="n"/>
      <c r="AD36" s="197" t="inlineStr">
        <is>
          <t>O $BTP (0515-2359)</t>
        </is>
      </c>
      <c r="AF36" s="197" t="inlineStr">
        <is>
          <t>O $PM CC (1530-2000)</t>
        </is>
      </c>
      <c r="AG36" s="317" t="n"/>
      <c r="AH36" s="317" t="n"/>
      <c r="AI36" s="311" t="n"/>
      <c r="AJ36" s="312" t="n"/>
      <c r="AK36" s="311" t="n"/>
      <c r="AL36" s="344" t="n"/>
      <c r="AM36" s="344" t="n"/>
      <c r="AN36" s="344" t="n"/>
      <c r="AO36" s="344" t="n"/>
      <c r="AP36" s="246" t="n"/>
      <c r="AQ36" s="313">
        <f>SUMPRODUCT(--WEEKDAY(C$3:AG$3,2)&lt;6,--((C36:AG36="DM"))+(C36:AG36="CS1")+((C36:AG36="CS2"))+(C36:AG36="SB1")+(C36:AG36="AE")+(C36:AG36="EM"))</f>
        <v/>
      </c>
      <c r="AR36" s="246" t="n"/>
      <c r="AS36" s="238">
        <f>SUMPRODUCT(--WEEKDAY(C$3:AG$3,2)&gt;5,--((C36:AG36="DM"))+(C36:AG36="CS1")+((C36:AG36="CS2"))+(C36:AG36="SB1")+(C36:AG36="AE")+(C36:AG36="EM"))</f>
        <v/>
      </c>
      <c r="AT36" s="246" t="n"/>
      <c r="AU36" s="238">
        <f>(AQ36-AR36)/2+(AS36-AT36)</f>
        <v/>
      </c>
      <c r="AV36" s="238">
        <f>AI36+AJ36+AK36+AL36+AN36+AO36</f>
        <v/>
      </c>
      <c r="AW36" s="238">
        <f>BG36+BH36+BJ36+BE36+BC36+BA36+BL36</f>
        <v/>
      </c>
      <c r="AX36" s="238">
        <f>AU36+AY36</f>
        <v/>
      </c>
      <c r="AY36" s="313">
        <f>(BJ36*('Setting key Duty'!$I$8+'Setting key Duty'!$I$12))+(BH36*'Setting key Duty'!$I$9)+(BC36*('Setting key Duty'!$I$13+'Setting key Duty'!$I$9))+(BA36*('Setting key Duty'!$I$13+'Setting key Duty'!$I$12+'Setting key Duty'!$I$11))+(BE36*('Setting key Duty'!$I$8+'Setting key Duty'!$I$9+'Setting key Duty'!$I$12))</f>
        <v/>
      </c>
      <c r="AZ36" s="313">
        <f>COUNTIF(C36:Y36,"*BRT*")</f>
        <v/>
      </c>
      <c r="BA36" s="313">
        <f>COUNTIF(A36:AI36,"*$BTP*")</f>
        <v/>
      </c>
      <c r="BB36" s="313">
        <f>BA36*('Setting key Duty'!$I$13+'Setting key Duty'!$I$12+'Setting key Duty'!$I$11)</f>
        <v/>
      </c>
      <c r="BC36" s="313">
        <f>COUNTIF(D36:AI36,"*$L*")</f>
        <v/>
      </c>
      <c r="BD36" s="313">
        <f>BC36*('Setting key Duty'!$I$13+'Setting key Duty'!$I$9)</f>
        <v/>
      </c>
      <c r="BE36" s="313">
        <f>COUNTIF(D36:AI36,"*$M*")</f>
        <v/>
      </c>
      <c r="BF36" s="313">
        <f>BE36*('Setting key Duty'!$I$8+'Setting key Duty'!$I$9+'Setting key Duty'!$I$12)</f>
        <v/>
      </c>
      <c r="BG36" s="313">
        <f>COUNTIF(D36:AI36,"*$N*")</f>
        <v/>
      </c>
      <c r="BH36" s="313">
        <f>COUNTIF(D36:AI36,"*$PM*")</f>
        <v/>
      </c>
      <c r="BI36" s="313">
        <f>BH36*('Setting key Duty'!$I$9)</f>
        <v/>
      </c>
      <c r="BJ36" s="313">
        <f>COUNTIF(D36:AI36,"*$AM*")</f>
        <v/>
      </c>
      <c r="BK36" s="313">
        <f>BJ36*('Setting key Duty'!$I$12+'Setting key Duty'!$I$8)</f>
        <v/>
      </c>
      <c r="BL36" s="313">
        <f>COUNTIF(C36:AI36,"*$FC*")</f>
        <v/>
      </c>
      <c r="BM36" s="313">
        <f>BL36*('Setting key Duty'!$J$11+'Setting key Duty'!$I$8)</f>
        <v/>
      </c>
      <c r="BN36" s="313">
        <f>COUNTIF($C36:$AG36,BN$4)</f>
        <v/>
      </c>
      <c r="BO36" s="313">
        <f>COUNTIF($C36:$AG36,BO$4)</f>
        <v/>
      </c>
      <c r="BP36" s="313" t="n"/>
      <c r="BQ36" s="345" t="n"/>
    </row>
    <row r="37" ht="19.5" customHeight="1">
      <c r="A37" s="309" t="n"/>
      <c r="B37" s="347" t="inlineStr">
        <is>
          <t>LCP HAZIQ</t>
        </is>
      </c>
      <c r="C37" s="197" t="n"/>
      <c r="D37" s="317" t="inlineStr">
        <is>
          <t>AE</t>
        </is>
      </c>
      <c r="E37" s="106" t="n"/>
      <c r="F37" s="106" t="n"/>
      <c r="G37" s="197" t="inlineStr">
        <is>
          <t>AE</t>
        </is>
      </c>
      <c r="H37" s="106" t="n"/>
      <c r="I37" s="349" t="inlineStr">
        <is>
          <t>SB2</t>
        </is>
      </c>
      <c r="K37" s="197" t="inlineStr">
        <is>
          <t>AE</t>
        </is>
      </c>
      <c r="M37" s="317" t="n"/>
      <c r="N37" s="324" t="n"/>
      <c r="O37" s="197" t="inlineStr">
        <is>
          <t>AE</t>
        </is>
      </c>
      <c r="Q37" s="197" t="inlineStr">
        <is>
          <t>AE</t>
        </is>
      </c>
      <c r="R37" s="106" t="n"/>
      <c r="S37" s="197" t="inlineStr">
        <is>
          <t>USS</t>
        </is>
      </c>
      <c r="U37" s="197" t="n"/>
      <c r="V37" s="197" t="n"/>
      <c r="X37" s="197" t="inlineStr">
        <is>
          <t>AE</t>
        </is>
      </c>
      <c r="Y37" s="106" t="n"/>
      <c r="Z37" s="197" t="inlineStr">
        <is>
          <t>SB2</t>
        </is>
      </c>
      <c r="AA37" s="106" t="inlineStr">
        <is>
          <t>OL</t>
        </is>
      </c>
      <c r="AB37" s="1" t="inlineStr">
        <is>
          <t>OL</t>
        </is>
      </c>
      <c r="AC37" s="1" t="inlineStr">
        <is>
          <t>OL</t>
        </is>
      </c>
      <c r="AD37" s="197" t="n"/>
      <c r="AE37" s="197" t="inlineStr">
        <is>
          <t>AE</t>
        </is>
      </c>
      <c r="AF37" s="317" t="n"/>
      <c r="AG37" s="317" t="n"/>
      <c r="AH37" s="317" t="n"/>
      <c r="AI37" s="311" t="n"/>
      <c r="AJ37" s="312" t="n"/>
      <c r="AK37" s="311" t="n"/>
      <c r="AL37" s="344" t="n"/>
      <c r="AM37" s="344" t="n"/>
      <c r="AN37" s="344" t="n"/>
      <c r="AO37" s="344" t="n"/>
      <c r="AP37" s="246" t="n"/>
      <c r="AQ37" s="313">
        <f>SUMPRODUCT(--WEEKDAY(C$3:AG$3,2)&lt;6,--((C37:AG37="DM"))+(C37:AG37="CS1")+((C37:AG37="CS2"))+(C37:AG37="SB1")+(C37:AG37="AE")+(C37:AG37="EM"))</f>
        <v/>
      </c>
      <c r="AR37" s="246" t="n"/>
      <c r="AS37" s="238">
        <f>SUMPRODUCT(--WEEKDAY(C$3:AG$3,2)&gt;5,--((C37:AG37="DM"))+(C37:AG37="CS1")+((C37:AG37="CS2"))+(C37:AG37="SB1")+(C37:AG37="AE")+(C37:AG37="EM"))</f>
        <v/>
      </c>
      <c r="AT37" s="246" t="n"/>
      <c r="AU37" s="238">
        <f>(AQ37-AR37)/2+(AS37-AT37)</f>
        <v/>
      </c>
      <c r="AV37" s="238">
        <f>AI37+AJ37+AK37+AL37+AN37+AO37</f>
        <v/>
      </c>
      <c r="AW37" s="238">
        <f>BG37+BH37+BJ37+BE37+BC37+BA37+BL37</f>
        <v/>
      </c>
      <c r="AX37" s="238">
        <f>AU37+AY37</f>
        <v/>
      </c>
      <c r="AY37" s="313">
        <f>(BJ37*('Setting key Duty'!$I$8+'Setting key Duty'!$I$12))+(BH37*'Setting key Duty'!$I$9)+(BC37*('Setting key Duty'!$I$13+'Setting key Duty'!$I$9))+(BA37*('Setting key Duty'!$I$13+'Setting key Duty'!$I$12+'Setting key Duty'!$I$11))+(BE37*('Setting key Duty'!$I$8+'Setting key Duty'!$I$9+'Setting key Duty'!$I$12))</f>
        <v/>
      </c>
      <c r="AZ37" s="313">
        <f>COUNTIF(C37:Y37,"*BRT*")</f>
        <v/>
      </c>
      <c r="BA37" s="313">
        <f>COUNTIF(A37:AI37,"*$BTP*")</f>
        <v/>
      </c>
      <c r="BB37" s="313">
        <f>BA37*('Setting key Duty'!$I$13+'Setting key Duty'!$I$12+'Setting key Duty'!$I$11)</f>
        <v/>
      </c>
      <c r="BC37" s="313">
        <f>COUNTIF(D37:AI37,"*$L*")</f>
        <v/>
      </c>
      <c r="BD37" s="313">
        <f>BC37*('Setting key Duty'!$I$13+'Setting key Duty'!$I$9)</f>
        <v/>
      </c>
      <c r="BE37" s="313">
        <f>COUNTIF(D37:AI37,"*$M*")</f>
        <v/>
      </c>
      <c r="BF37" s="313">
        <f>BE37*('Setting key Duty'!$I$8+'Setting key Duty'!$I$9+'Setting key Duty'!$I$12)</f>
        <v/>
      </c>
      <c r="BG37" s="313">
        <f>COUNTIF(D37:AI37,"*$N*")</f>
        <v/>
      </c>
      <c r="BH37" s="313">
        <f>COUNTIF(D37:AI37,"*$PM*")</f>
        <v/>
      </c>
      <c r="BI37" s="313">
        <f>BH37*('Setting key Duty'!$I$9)</f>
        <v/>
      </c>
      <c r="BJ37" s="313">
        <f>COUNTIF(D37:AI37,"*$AM*")</f>
        <v/>
      </c>
      <c r="BK37" s="313">
        <f>BJ37*('Setting key Duty'!$I$12+'Setting key Duty'!$I$8)</f>
        <v/>
      </c>
      <c r="BL37" s="313">
        <f>COUNTIF(C37:AI37,"*$FC*")</f>
        <v/>
      </c>
      <c r="BM37" s="313">
        <f>BL37*('Setting key Duty'!$J$11+'Setting key Duty'!$I$8)</f>
        <v/>
      </c>
      <c r="BN37" s="313">
        <f>COUNTIF($C37:$AG37,BN$4)</f>
        <v/>
      </c>
      <c r="BO37" s="313">
        <f>COUNTIF($C37:$AG37,BO$4)</f>
        <v/>
      </c>
      <c r="BP37" s="313" t="n"/>
      <c r="BQ37" s="345" t="n"/>
    </row>
    <row r="38" ht="19.5" customHeight="1">
      <c r="A38" s="309" t="n"/>
      <c r="B38" s="347" t="inlineStr">
        <is>
          <t>PTE WILLARD</t>
        </is>
      </c>
      <c r="C38" s="317" t="inlineStr">
        <is>
          <t>SERVE+</t>
        </is>
      </c>
      <c r="D38" s="317" t="inlineStr">
        <is>
          <t>SERVE+</t>
        </is>
      </c>
      <c r="E38" s="317" t="inlineStr">
        <is>
          <t>SERVE+</t>
        </is>
      </c>
      <c r="F38" s="317" t="inlineStr">
        <is>
          <t>SERVE+</t>
        </is>
      </c>
      <c r="G38" s="317" t="inlineStr">
        <is>
          <t>SERVE+</t>
        </is>
      </c>
      <c r="H38" s="317" t="inlineStr">
        <is>
          <t>SERVE+</t>
        </is>
      </c>
      <c r="I38" s="317" t="inlineStr">
        <is>
          <t>SERVE+</t>
        </is>
      </c>
      <c r="J38" s="317" t="inlineStr">
        <is>
          <t>SERVE+</t>
        </is>
      </c>
      <c r="K38" s="317" t="inlineStr">
        <is>
          <t>SERVE+</t>
        </is>
      </c>
      <c r="L38" s="317" t="inlineStr">
        <is>
          <t>SERVE+</t>
        </is>
      </c>
      <c r="M38" s="317" t="inlineStr">
        <is>
          <t>SERVE+</t>
        </is>
      </c>
      <c r="N38" s="317" t="inlineStr">
        <is>
          <t>SERVE+</t>
        </is>
      </c>
      <c r="O38" s="317" t="inlineStr">
        <is>
          <t>SERVE+</t>
        </is>
      </c>
      <c r="P38" s="317" t="inlineStr">
        <is>
          <t>SERVE+</t>
        </is>
      </c>
      <c r="Q38" s="317" t="inlineStr">
        <is>
          <t>SERVE+</t>
        </is>
      </c>
      <c r="R38" s="317" t="inlineStr">
        <is>
          <t>SERVE+</t>
        </is>
      </c>
      <c r="S38" s="197" t="inlineStr">
        <is>
          <t>USS</t>
        </is>
      </c>
      <c r="T38" s="317" t="inlineStr">
        <is>
          <t>SERVE+</t>
        </is>
      </c>
      <c r="U38" s="317" t="inlineStr">
        <is>
          <t>SERVE+</t>
        </is>
      </c>
      <c r="V38" s="317" t="inlineStr">
        <is>
          <t>SERVE+</t>
        </is>
      </c>
      <c r="W38" s="317" t="inlineStr">
        <is>
          <t>SERVE+</t>
        </is>
      </c>
      <c r="X38" s="317" t="inlineStr">
        <is>
          <t>SERVE+</t>
        </is>
      </c>
      <c r="Y38" s="317" t="inlineStr">
        <is>
          <t>SERVE+</t>
        </is>
      </c>
      <c r="Z38" s="317" t="inlineStr">
        <is>
          <t>SERVE+</t>
        </is>
      </c>
      <c r="AA38" s="317" t="inlineStr">
        <is>
          <t>SERVE+</t>
        </is>
      </c>
      <c r="AB38" s="317" t="inlineStr">
        <is>
          <t>SERVE+</t>
        </is>
      </c>
      <c r="AC38" s="317" t="inlineStr">
        <is>
          <t>SERVE+</t>
        </is>
      </c>
      <c r="AD38" s="317" t="inlineStr">
        <is>
          <t>SERVE+</t>
        </is>
      </c>
      <c r="AE38" s="317" t="inlineStr">
        <is>
          <t>SERVE+</t>
        </is>
      </c>
      <c r="AF38" s="317" t="inlineStr">
        <is>
          <t>SERVE+</t>
        </is>
      </c>
      <c r="AG38" s="317" t="inlineStr">
        <is>
          <t>SERVE+</t>
        </is>
      </c>
      <c r="AH38" s="317" t="inlineStr">
        <is>
          <t>SERVE+</t>
        </is>
      </c>
      <c r="AI38" s="311" t="n"/>
      <c r="AJ38" s="312" t="n"/>
      <c r="AK38" s="311" t="n"/>
      <c r="AL38" s="344" t="n"/>
      <c r="AM38" s="344" t="n"/>
      <c r="AN38" s="344" t="n"/>
      <c r="AO38" s="344" t="n"/>
      <c r="AP38" s="246" t="n"/>
      <c r="AQ38" s="313">
        <f>SUMPRODUCT(--WEEKDAY(C$3:AG$3,2)&lt;6,--((C38:AG38="DM"))+(C38:AG38="CS1")+((C38:AG38="CS2"))+(C38:AG38="SB1")+(C38:AG38="AE")+(C38:AG38="EM"))</f>
        <v/>
      </c>
      <c r="AR38" s="246" t="n"/>
      <c r="AS38" s="238">
        <f>SUMPRODUCT(--WEEKDAY(C$3:AG$3,2)&gt;5,--((C38:AG38="DM"))+(C38:AG38="CS1")+((C38:AG38="CS2"))+(C38:AG38="SB1")+(C38:AG38="AE")+(C38:AG38="EM"))</f>
        <v/>
      </c>
      <c r="AT38" s="246" t="n"/>
      <c r="AU38" s="238">
        <f>(AQ38-AR38)/2+(AS38-AT38)</f>
        <v/>
      </c>
      <c r="AV38" s="238">
        <f>AI38+AJ38+AK38+AL38+AN38+AO38</f>
        <v/>
      </c>
      <c r="AW38" s="238">
        <f>BG38+BH38+BJ38+BE38+BC38+BA38+BL38</f>
        <v/>
      </c>
      <c r="AX38" s="238">
        <f>AU38+AY38</f>
        <v/>
      </c>
      <c r="AY38" s="313">
        <f>(BJ38*('Setting key Duty'!$I$8+'Setting key Duty'!$I$12))+(BH38*'Setting key Duty'!$I$9)+(BC38*('Setting key Duty'!$I$13+'Setting key Duty'!$I$9))+(BA38*('Setting key Duty'!$I$13+'Setting key Duty'!$I$12+'Setting key Duty'!$I$11))+(BE38*('Setting key Duty'!$I$8+'Setting key Duty'!$I$9+'Setting key Duty'!$I$12))</f>
        <v/>
      </c>
      <c r="AZ38" s="313">
        <f>COUNTIF(C38:Y38,"*BRT*")</f>
        <v/>
      </c>
      <c r="BA38" s="313">
        <f>COUNTIF(A38:AI38,"*$BTP*")</f>
        <v/>
      </c>
      <c r="BB38" s="313">
        <f>BA38*('Setting key Duty'!$I$13+'Setting key Duty'!$I$12+'Setting key Duty'!$I$11)</f>
        <v/>
      </c>
      <c r="BC38" s="313">
        <f>COUNTIF(D38:AI38,"*$L*")</f>
        <v/>
      </c>
      <c r="BD38" s="313">
        <f>BC38*('Setting key Duty'!$I$13+'Setting key Duty'!$I$9)</f>
        <v/>
      </c>
      <c r="BE38" s="313">
        <f>COUNTIF(D38:AI38,"*$M*")</f>
        <v/>
      </c>
      <c r="BF38" s="313">
        <f>BE38*('Setting key Duty'!$I$8+'Setting key Duty'!$I$9+'Setting key Duty'!$I$12)</f>
        <v/>
      </c>
      <c r="BG38" s="313">
        <f>COUNTIF(D38:AI38,"*$N*")</f>
        <v/>
      </c>
      <c r="BH38" s="313">
        <f>COUNTIF(D38:AI38,"*$PM*")</f>
        <v/>
      </c>
      <c r="BI38" s="313">
        <f>BH38*('Setting key Duty'!$I$9)</f>
        <v/>
      </c>
      <c r="BJ38" s="313">
        <f>COUNTIF(D38:AI38,"*$AM*")</f>
        <v/>
      </c>
      <c r="BK38" s="313">
        <f>BJ38*('Setting key Duty'!$I$12+'Setting key Duty'!$I$8)</f>
        <v/>
      </c>
      <c r="BL38" s="313">
        <f>COUNTIF(C38:AI38,"*$FC*")</f>
        <v/>
      </c>
      <c r="BM38" s="313">
        <f>BL38*('Setting key Duty'!$J$11+'Setting key Duty'!$I$8)</f>
        <v/>
      </c>
      <c r="BN38" s="313">
        <f>COUNTIF($C38:$AG38,BN$4)</f>
        <v/>
      </c>
      <c r="BO38" s="313">
        <f>COUNTIF($C38:$AG38,BO$4)</f>
        <v/>
      </c>
      <c r="BP38" s="313" t="n"/>
      <c r="BQ38" s="345" t="n"/>
    </row>
    <row r="39" ht="19.5" customHeight="1">
      <c r="A39" s="309" t="n"/>
      <c r="B39" s="347" t="inlineStr">
        <is>
          <t>PTE YAN SHENG</t>
        </is>
      </c>
      <c r="C39" s="317" t="n"/>
      <c r="D39" s="317" t="n"/>
      <c r="E39" s="106" t="n"/>
      <c r="F39" s="106" t="n">
        <v>1</v>
      </c>
      <c r="G39" s="106" t="n"/>
      <c r="H39" s="106" t="n"/>
      <c r="I39" s="106" t="n">
        <v>2</v>
      </c>
      <c r="J39" s="317" t="n"/>
      <c r="K39" s="324" t="n"/>
      <c r="L39" s="324" t="n">
        <v>3</v>
      </c>
      <c r="M39" s="197" t="inlineStr">
        <is>
          <t>AE</t>
        </is>
      </c>
      <c r="N39" s="324" t="n"/>
      <c r="O39" s="324" t="n"/>
      <c r="Q39" s="1" t="n">
        <v>4</v>
      </c>
      <c r="R39" s="197" t="inlineStr">
        <is>
          <t>AE</t>
        </is>
      </c>
      <c r="S39" s="197" t="inlineStr">
        <is>
          <t>USS</t>
        </is>
      </c>
      <c r="T39" s="350" t="n"/>
      <c r="U39" s="106" t="n"/>
      <c r="V39" s="317" t="n"/>
      <c r="W39" s="197" t="n"/>
      <c r="X39" s="317" t="n"/>
      <c r="Z39" s="321" t="n">
        <v>5</v>
      </c>
      <c r="AA39" s="106" t="n"/>
      <c r="AB39" s="197" t="inlineStr">
        <is>
          <t>AE</t>
        </is>
      </c>
      <c r="AE39" s="1" t="n">
        <v>6</v>
      </c>
      <c r="AF39" s="317" t="n">
        <v>7</v>
      </c>
      <c r="AG39" s="350" t="n"/>
      <c r="AH39" s="197" t="inlineStr">
        <is>
          <t>SB2</t>
        </is>
      </c>
      <c r="AI39" s="311" t="n"/>
      <c r="AJ39" s="312" t="n"/>
      <c r="AK39" s="311" t="n"/>
      <c r="AL39" s="344" t="n"/>
      <c r="AM39" s="344" t="n"/>
      <c r="AN39" s="344" t="n"/>
      <c r="AO39" s="344" t="n"/>
      <c r="AP39" s="246" t="n"/>
      <c r="AQ39" s="313">
        <f>SUMPRODUCT(--WEEKDAY(C$3:AG$3,2)&lt;6,--((C39:AG39="DM"))+(C39:AG39="CS1")+((C39:AG39="CS2"))+(C39:AG39="SB1")+(C39:AG39="AE")+(C39:AG39="EM"))</f>
        <v/>
      </c>
      <c r="AR39" s="246" t="n"/>
      <c r="AS39" s="238">
        <f>SUMPRODUCT(--WEEKDAY(C$3:AG$3,2)&gt;5,--((C39:AG39="DM"))+(C39:AG39="CS1")+((C39:AG39="CS2"))+(C39:AG39="SB1")+(C39:AG39="AE")+(C39:AG39="EM"))</f>
        <v/>
      </c>
      <c r="AT39" s="246" t="n"/>
      <c r="AU39" s="238">
        <f>(AQ39-AR39)/2+(AS39-AT39)</f>
        <v/>
      </c>
      <c r="AV39" s="238">
        <f>AI39+AJ39+AK39+AL39+AN39+AO39</f>
        <v/>
      </c>
      <c r="AW39" s="238">
        <f>BG39+BH39+BJ39+BE39+BC39+BA39+BL39</f>
        <v/>
      </c>
      <c r="AX39" s="238">
        <f>AU39+AY39</f>
        <v/>
      </c>
      <c r="AY39" s="313">
        <f>(BJ39*('Setting key Duty'!$I$8+'Setting key Duty'!$I$12))+(BH39*'Setting key Duty'!$I$9)+(BC39*('Setting key Duty'!$I$13+'Setting key Duty'!$I$9))+(BA39*('Setting key Duty'!$I$13+'Setting key Duty'!$I$12+'Setting key Duty'!$I$11))+(BE39*('Setting key Duty'!$I$8+'Setting key Duty'!$I$9+'Setting key Duty'!$I$12))</f>
        <v/>
      </c>
      <c r="AZ39" s="313">
        <f>COUNTIF(C39:Y39,"*BRT*")</f>
        <v/>
      </c>
      <c r="BA39" s="313">
        <f>COUNTIF(A39:AI39,"*$BTP*")</f>
        <v/>
      </c>
      <c r="BB39" s="313">
        <f>BA39*('Setting key Duty'!$I$13+'Setting key Duty'!$I$12+'Setting key Duty'!$I$11)</f>
        <v/>
      </c>
      <c r="BC39" s="313">
        <f>COUNTIF(D39:AI39,"*$L*")</f>
        <v/>
      </c>
      <c r="BD39" s="313">
        <f>BC39*('Setting key Duty'!$I$13+'Setting key Duty'!$I$9)</f>
        <v/>
      </c>
      <c r="BE39" s="313">
        <f>COUNTIF(D39:AI39,"*$M*")</f>
        <v/>
      </c>
      <c r="BF39" s="313">
        <f>BE39*('Setting key Duty'!$I$8+'Setting key Duty'!$I$9+'Setting key Duty'!$I$12)</f>
        <v/>
      </c>
      <c r="BG39" s="313">
        <f>COUNTIF(D39:AI39,"*$N*")</f>
        <v/>
      </c>
      <c r="BH39" s="313">
        <f>COUNTIF(D39:AI39,"*$PM*")</f>
        <v/>
      </c>
      <c r="BI39" s="313">
        <f>BH39*('Setting key Duty'!$I$9)</f>
        <v/>
      </c>
      <c r="BJ39" s="313">
        <f>COUNTIF(D39:AI39,"*$AM*")</f>
        <v/>
      </c>
      <c r="BK39" s="313">
        <f>BJ39*('Setting key Duty'!$I$12+'Setting key Duty'!$I$8)</f>
        <v/>
      </c>
      <c r="BL39" s="313">
        <f>COUNTIF(C39:AI39,"*$FC*")</f>
        <v/>
      </c>
      <c r="BM39" s="313">
        <f>BL39*('Setting key Duty'!$J$11+'Setting key Duty'!$I$8)</f>
        <v/>
      </c>
      <c r="BN39" s="313">
        <f>COUNTIF($C39:$AG39,BN$4)</f>
        <v/>
      </c>
      <c r="BO39" s="313">
        <f>COUNTIF($C39:$AG39,BO$4)</f>
        <v/>
      </c>
      <c r="BP39" s="313" t="n"/>
      <c r="BQ39" s="345" t="n"/>
    </row>
    <row r="40" ht="19.5" customHeight="1">
      <c r="A40" s="309" t="n"/>
      <c r="B40" s="354" t="n"/>
      <c r="C40" s="317" t="n"/>
      <c r="D40" s="317" t="n"/>
      <c r="E40" s="106" t="n"/>
      <c r="F40" s="106" t="n"/>
      <c r="G40" s="106" t="n"/>
      <c r="H40" s="106" t="n"/>
      <c r="I40" s="106" t="n"/>
      <c r="J40" s="317" t="n"/>
      <c r="K40" s="324" t="n"/>
      <c r="L40" s="324" t="n"/>
      <c r="M40" s="155" t="n"/>
      <c r="N40" s="324" t="n"/>
      <c r="O40" s="324" t="n"/>
      <c r="P40" s="317" t="n"/>
      <c r="Q40" s="106" t="n"/>
      <c r="R40" s="106" t="n"/>
      <c r="S40" s="106" t="n"/>
      <c r="T40" s="350" t="n"/>
      <c r="U40" s="106" t="n"/>
      <c r="V40" s="317" t="n"/>
      <c r="W40" s="106" t="n"/>
      <c r="X40" s="317" t="n"/>
      <c r="Y40" s="106" t="n"/>
      <c r="Z40" s="106" t="n"/>
      <c r="AA40" s="106" t="n"/>
      <c r="AB40" s="106" t="n"/>
      <c r="AC40" s="106" t="n"/>
      <c r="AD40" s="317" t="n"/>
      <c r="AE40" s="317" t="n"/>
      <c r="AF40" s="317" t="n"/>
      <c r="AG40" s="350" t="n"/>
      <c r="AH40" s="317" t="n"/>
      <c r="AI40" s="311" t="n"/>
      <c r="AJ40" s="312" t="n"/>
      <c r="AK40" s="311" t="n"/>
      <c r="AL40" s="344" t="n"/>
      <c r="AM40" s="344" t="n"/>
      <c r="AN40" s="344" t="n"/>
      <c r="AO40" s="344" t="n"/>
      <c r="AP40" s="246" t="n"/>
      <c r="AQ40" s="313">
        <f>SUMPRODUCT(--WEEKDAY(C$3:AG$3,2)&lt;6,--((C40:AG40="DM"))+(C40:AG40="CS1")+((C40:AG40="CS2"))+(C40:AG40="SB1")+(C40:AG40="AE")+(C40:AG40="EM"))</f>
        <v/>
      </c>
      <c r="AR40" s="246" t="n"/>
      <c r="AS40" s="238">
        <f>SUMPRODUCT(--WEEKDAY(C$3:AG$3,2)&gt;5,--((C40:AG40="DM"))+(C40:AG40="CS1")+((C40:AG40="CS2"))+(C40:AG40="SB1")+(C40:AG40="AE")+(C40:AG40="EM"))</f>
        <v/>
      </c>
      <c r="AT40" s="246" t="n"/>
      <c r="AU40" s="238">
        <f>(AQ40-AR40)/2+(AS40-AT40)</f>
        <v/>
      </c>
      <c r="AV40" s="238">
        <f>AI40+AJ40+AK40+AL40+AN40+AO40</f>
        <v/>
      </c>
      <c r="AW40" s="238">
        <f>BG40+BH40+BJ40+BE40+BC40+BA40+BL40</f>
        <v/>
      </c>
      <c r="AX40" s="238">
        <f>AU40+AY40</f>
        <v/>
      </c>
      <c r="AY40" s="313">
        <f>(BJ40*('Setting key Duty'!$I$8+'Setting key Duty'!$I$12))+(BH40*'Setting key Duty'!$I$9)+(BC40*('Setting key Duty'!$I$13+'Setting key Duty'!$I$9))+(BA40*('Setting key Duty'!$I$13+'Setting key Duty'!$I$12+'Setting key Duty'!$I$11))+(BE40*('Setting key Duty'!$I$8+'Setting key Duty'!$I$9+'Setting key Duty'!$I$12))</f>
        <v/>
      </c>
      <c r="AZ40" s="313">
        <f>COUNTIF(C40:Y40,"*BRT*")</f>
        <v/>
      </c>
      <c r="BA40" s="313">
        <f>COUNTIF(A40:AI40,"*$BTP*")</f>
        <v/>
      </c>
      <c r="BB40" s="313">
        <f>BA40*('Setting key Duty'!$I$13+'Setting key Duty'!$I$12+'Setting key Duty'!$I$11)</f>
        <v/>
      </c>
      <c r="BC40" s="313">
        <f>COUNTIF(D40:AI40,"*$L*")</f>
        <v/>
      </c>
      <c r="BD40" s="313">
        <f>BC40*('Setting key Duty'!$I$13+'Setting key Duty'!$I$9)</f>
        <v/>
      </c>
      <c r="BE40" s="313">
        <f>COUNTIF(D40:AI40,"*$M*")</f>
        <v/>
      </c>
      <c r="BF40" s="313">
        <f>BE40*('Setting key Duty'!$I$8+'Setting key Duty'!$I$9+'Setting key Duty'!$I$12)</f>
        <v/>
      </c>
      <c r="BG40" s="313">
        <f>COUNTIF(D40:AI40,"*$N*")</f>
        <v/>
      </c>
      <c r="BH40" s="313">
        <f>COUNTIF(D40:AI40,"*$PM*")</f>
        <v/>
      </c>
      <c r="BI40" s="313">
        <f>BH40*('Setting key Duty'!$I$9)</f>
        <v/>
      </c>
      <c r="BJ40" s="313">
        <f>COUNTIF(D40:AI40,"*$AM*")</f>
        <v/>
      </c>
      <c r="BK40" s="313">
        <f>BJ40*('Setting key Duty'!$I$12+'Setting key Duty'!$I$8)</f>
        <v/>
      </c>
      <c r="BL40" s="313">
        <f>COUNTIF(C40:AI40,"*$FC*")</f>
        <v/>
      </c>
      <c r="BM40" s="313">
        <f>BL40*('Setting key Duty'!$J$11+'Setting key Duty'!$I$8)</f>
        <v/>
      </c>
      <c r="BN40" s="313">
        <f>COUNTIF($C40:$AG40,BN$4)</f>
        <v/>
      </c>
      <c r="BO40" s="313">
        <f>COUNTIF($C40:$AG40,BO$4)</f>
        <v/>
      </c>
      <c r="BP40" s="313" t="n"/>
      <c r="BQ40" s="345" t="n"/>
    </row>
    <row r="41" ht="19.5" customHeight="1">
      <c r="A41" s="309" t="n"/>
      <c r="B41" s="354" t="inlineStr">
        <is>
          <t>Leave a blank row after the last name ^</t>
        </is>
      </c>
      <c r="C41" s="349" t="n"/>
      <c r="D41" s="317" t="n"/>
      <c r="E41" s="317" t="n"/>
      <c r="F41" s="317" t="n"/>
      <c r="G41" s="317" t="n"/>
      <c r="H41" s="317" t="n"/>
      <c r="I41" s="317" t="n"/>
      <c r="J41" s="317" t="n"/>
      <c r="K41" s="317" t="n"/>
      <c r="L41" s="317" t="n"/>
      <c r="N41" s="317" t="n"/>
      <c r="O41" s="317" t="n"/>
      <c r="P41" s="317" t="n"/>
      <c r="Q41" s="106" t="n"/>
      <c r="R41" s="106" t="n"/>
      <c r="S41" s="317" t="n"/>
      <c r="T41" s="350" t="n"/>
      <c r="U41" s="198" t="n"/>
      <c r="V41" s="317" t="n"/>
      <c r="W41" s="317" t="n"/>
      <c r="X41" s="317" t="n"/>
      <c r="Y41" s="356" t="n"/>
      <c r="Z41" s="356" t="n"/>
      <c r="AA41" s="356" t="n"/>
      <c r="AB41" s="356" t="n"/>
      <c r="AC41" s="356" t="n"/>
      <c r="AD41" s="356" t="n"/>
      <c r="AE41" s="317" t="n"/>
      <c r="AF41" s="317" t="n"/>
      <c r="AG41" s="350" t="n"/>
      <c r="AH41" s="317" t="n"/>
      <c r="AI41" s="311">
        <f>COUNTIF($C41:$AG41,AI$4)</f>
        <v/>
      </c>
      <c r="AJ41" s="312">
        <f>COUNTIF($C41:$AG41,AJ$4)</f>
        <v/>
      </c>
      <c r="AK41" s="311">
        <f>COUNTIF($C41:$AG41,AK$4)</f>
        <v/>
      </c>
      <c r="AL41" s="344">
        <f>COUNTIF($C41:$AG41,AL$4)</f>
        <v/>
      </c>
      <c r="AM41" s="344">
        <f>COUNTIF($C41:$AG41,AM$4)</f>
        <v/>
      </c>
      <c r="AN41" s="344">
        <f>COUNTIF($C41:$AG41,AN$4)</f>
        <v/>
      </c>
      <c r="AO41" s="344">
        <f>COUNTIF($C41:$AG41,AO$4)</f>
        <v/>
      </c>
      <c r="AP41" s="246" t="n"/>
      <c r="AQ41" s="313" t="n"/>
      <c r="AR41" s="246" t="n"/>
      <c r="AS41" s="238" t="n"/>
      <c r="AT41" s="246" t="n"/>
      <c r="AU41" s="246" t="n"/>
      <c r="AV41" s="238" t="n"/>
      <c r="AW41" s="238" t="n"/>
      <c r="AX41" s="238" t="n"/>
      <c r="AY41" s="313" t="n"/>
      <c r="AZ41" s="313" t="n"/>
      <c r="BA41" s="313" t="n"/>
      <c r="BB41" s="313" t="n"/>
      <c r="BC41" s="313" t="n"/>
      <c r="BD41" s="313" t="n"/>
      <c r="BE41" s="313" t="n"/>
      <c r="BF41" s="313" t="n"/>
      <c r="BG41" s="313" t="n"/>
      <c r="BH41" s="313" t="n"/>
      <c r="BI41" s="313" t="n"/>
      <c r="BJ41" s="313" t="n"/>
      <c r="BK41" s="313" t="n"/>
      <c r="BL41" s="313" t="n"/>
      <c r="BM41" s="313" t="n"/>
      <c r="BN41" s="344" t="n"/>
      <c r="BO41" s="344" t="n"/>
      <c r="BP41" s="344" t="n"/>
      <c r="BQ41" s="345" t="n"/>
    </row>
    <row r="42" ht="19.5" customHeight="1">
      <c r="A42" s="309" t="n"/>
      <c r="B42" s="357" t="n"/>
      <c r="C42" s="358" t="n"/>
      <c r="D42" s="359" t="n"/>
      <c r="E42" s="359" t="n"/>
      <c r="F42" s="359" t="n"/>
      <c r="G42" s="359" t="n"/>
      <c r="H42" s="358" t="n"/>
      <c r="I42" s="358" t="n"/>
      <c r="J42" s="358" t="n"/>
      <c r="K42" s="358" t="n"/>
      <c r="L42" s="358" t="n"/>
      <c r="M42" s="358" t="n"/>
      <c r="N42" s="358" t="n"/>
      <c r="O42" s="358" t="n"/>
      <c r="P42" s="358" t="n"/>
      <c r="Q42" s="358" t="n"/>
      <c r="R42" s="358" t="n"/>
      <c r="S42" s="358" t="n"/>
      <c r="T42" s="358" t="n"/>
      <c r="U42" s="358" t="n"/>
      <c r="V42" s="358" t="n"/>
      <c r="W42" s="358" t="n"/>
      <c r="X42" s="358" t="n"/>
      <c r="Y42" s="358" t="n"/>
      <c r="Z42" s="358" t="n"/>
      <c r="AA42" s="358" t="n"/>
      <c r="AB42" s="358" t="n"/>
      <c r="AC42" s="358" t="n"/>
      <c r="AD42" s="358" t="n"/>
      <c r="AE42" s="358" t="n"/>
      <c r="AF42" s="358" t="n"/>
      <c r="AG42" s="358" t="n"/>
      <c r="AH42" s="360" t="n"/>
      <c r="AI42" s="361" t="n"/>
      <c r="AJ42" s="362" t="n"/>
      <c r="AK42" s="361" t="n"/>
      <c r="AL42" s="363" t="n"/>
      <c r="AM42" s="363" t="n"/>
      <c r="AN42" s="363" t="n"/>
      <c r="AO42" s="363" t="n"/>
      <c r="AP42" s="253" t="n"/>
      <c r="AQ42" s="253" t="n"/>
      <c r="AR42" s="253" t="n"/>
      <c r="AS42" s="253">
        <f>SUMPRODUCT(--WEEKDAY(C$3:AG$3,2)&gt;5,--((C42:AG42="DM"))+(C42:AG42="CS1")+((C42:AG42="CS2"))+(C42:AG42="SB1")+(C42:AG42="AE")+(C42:AG42="EM"))</f>
        <v/>
      </c>
      <c r="AT42" s="253" t="n"/>
      <c r="AU42" s="253">
        <f>(AQ42-AR42)/2+(AS42-AT42)</f>
        <v/>
      </c>
      <c r="AV42" s="253" t="n"/>
      <c r="AW42" s="253" t="n"/>
      <c r="AX42" s="253" t="n"/>
      <c r="AY42" s="363" t="n"/>
      <c r="AZ42" s="363" t="n"/>
      <c r="BA42" s="363" t="n"/>
      <c r="BB42" s="363" t="n"/>
      <c r="BC42" s="363" t="n"/>
      <c r="BD42" s="363" t="n"/>
      <c r="BE42" s="363" t="n"/>
      <c r="BF42" s="363" t="n"/>
      <c r="BG42" s="363" t="n"/>
      <c r="BH42" s="363" t="n"/>
      <c r="BI42" s="363" t="n"/>
      <c r="BJ42" s="363" t="n"/>
      <c r="BK42" s="363" t="n"/>
      <c r="BL42" s="363" t="n"/>
      <c r="BM42" s="363" t="n"/>
      <c r="BN42" s="363" t="n"/>
      <c r="BO42" s="363" t="n"/>
      <c r="BP42" s="363" t="n"/>
      <c r="BQ42" s="364" t="n"/>
    </row>
    <row r="43" ht="19.5" customHeight="1">
      <c r="A43" s="309" t="n"/>
      <c r="B43" s="365" t="inlineStr">
        <is>
          <t>DM</t>
        </is>
      </c>
      <c r="C43" s="366">
        <f>VLOOKUP("DM",C4:C41,1,FALSE)</f>
        <v/>
      </c>
      <c r="D43" s="366">
        <f>VLOOKUP("DM",D4:D41,1,FALSE)</f>
        <v/>
      </c>
      <c r="E43" s="366">
        <f>VLOOKUP("DM",E1:E41,1,FALSE)</f>
        <v/>
      </c>
      <c r="F43" s="366">
        <f>VLOOKUP("DM",F4:F41,1,FALSE)</f>
        <v/>
      </c>
      <c r="G43" s="366">
        <f>VLOOKUP("DM",G4:G41,1,FALSE)</f>
        <v/>
      </c>
      <c r="H43" s="366">
        <f>VLOOKUP("DM",H4:H41,1,FALSE)</f>
        <v/>
      </c>
      <c r="I43" s="366">
        <f>VLOOKUP("DM",I4:I41,1,FALSE)</f>
        <v/>
      </c>
      <c r="J43" s="366">
        <f>VLOOKUP("DM",J4:J41,1,FALSE)</f>
        <v/>
      </c>
      <c r="K43" s="366">
        <f>VLOOKUP("DM",K4:K41,1,FALSE)</f>
        <v/>
      </c>
      <c r="L43" s="366">
        <f>VLOOKUP("DM",L4:L41,1,FALSE)</f>
        <v/>
      </c>
      <c r="M43" s="366">
        <f>VLOOKUP("DM",M4:M27,1,FALSE)</f>
        <v/>
      </c>
      <c r="N43" s="366">
        <f>VLOOKUP("DM",N4:N41,1,FALSE)</f>
        <v/>
      </c>
      <c r="O43" s="366">
        <f>VLOOKUP("DM",O4:O41,1,FALSE)</f>
        <v/>
      </c>
      <c r="P43" s="366">
        <f>VLOOKUP("DM",P4:P41,1,FALSE)</f>
        <v/>
      </c>
      <c r="Q43" s="366">
        <f>VLOOKUP("DM",Q4:Q30,1,FALSE)</f>
        <v/>
      </c>
      <c r="R43" s="366">
        <f>VLOOKUP("DM",R4:R25,1,FALSE)</f>
        <v/>
      </c>
      <c r="S43" s="366">
        <f>VLOOKUP("DM",S4:S41,1,FALSE)</f>
        <v/>
      </c>
      <c r="T43" s="366">
        <f>VLOOKUP("DM",T4:T41,1,FALSE)</f>
        <v/>
      </c>
      <c r="U43" s="366">
        <f>VLOOKUP("DM",U4:U41,1,FALSE)</f>
        <v/>
      </c>
      <c r="V43" s="366">
        <f>VLOOKUP("DM",V4:V25,1,FALSE)</f>
        <v/>
      </c>
      <c r="W43" s="366">
        <f>VLOOKUP("DM",W4:W25,1,FALSE)</f>
        <v/>
      </c>
      <c r="X43" s="366">
        <f>VLOOKUP("DM",X4:X41,1,FALSE)</f>
        <v/>
      </c>
      <c r="Y43" s="366">
        <f>VLOOKUP("DM",Y4:Y41,1,FALSE)</f>
        <v/>
      </c>
      <c r="Z43" s="366">
        <f>VLOOKUP("DM",Z4:Z41,1,FALSE)</f>
        <v/>
      </c>
      <c r="AA43" s="366">
        <f>VLOOKUP("DM",AA1:AA41,1,FALSE)</f>
        <v/>
      </c>
      <c r="AB43" s="366">
        <f>VLOOKUP("DM",AB4:AB41,1,FALSE)</f>
        <v/>
      </c>
      <c r="AC43" s="366">
        <f>VLOOKUP("DM",AC4:AC41,1,FALSE)</f>
        <v/>
      </c>
      <c r="AD43" s="366">
        <f>VLOOKUP("DM",AD4:AD41,1,FALSE)</f>
        <v/>
      </c>
      <c r="AE43" s="366">
        <f>VLOOKUP("DM",AE4:AE41,1,FALSE)</f>
        <v/>
      </c>
      <c r="AF43" s="366">
        <f>VLOOKUP("DM",AF4:AF41,1,FALSE)</f>
        <v/>
      </c>
      <c r="AG43" s="366">
        <f>VLOOKUP("DM",AG4:AG41,1,FALSE)</f>
        <v/>
      </c>
      <c r="AH43" s="366">
        <f>VLOOKUP("DM",AH4:AH41,1,FALSE)</f>
        <v/>
      </c>
      <c r="AI43" s="311" t="n"/>
      <c r="AJ43" s="312" t="n"/>
      <c r="AK43" s="311" t="n"/>
      <c r="AL43" s="313" t="n"/>
      <c r="AM43" s="313" t="n"/>
      <c r="AN43" s="313" t="n"/>
      <c r="AO43" s="313" t="n"/>
      <c r="AP43" s="313" t="n"/>
      <c r="AQ43" s="313" t="n"/>
      <c r="AR43" s="313" t="n"/>
      <c r="AS43" s="313" t="n"/>
      <c r="AT43" s="313" t="n"/>
      <c r="AU43" s="313" t="n"/>
      <c r="AV43" s="313" t="n"/>
      <c r="AW43" s="313" t="n"/>
      <c r="AX43" s="313" t="n"/>
      <c r="AY43" s="313" t="n"/>
      <c r="AZ43" s="313" t="n"/>
      <c r="BA43" s="313" t="n"/>
      <c r="BB43" s="313" t="n"/>
      <c r="BC43" s="313" t="n"/>
      <c r="BD43" s="313" t="n"/>
      <c r="BE43" s="313" t="n"/>
      <c r="BF43" s="313" t="n"/>
      <c r="BG43" s="313" t="n"/>
      <c r="BH43" s="313" t="n"/>
      <c r="BI43" s="313" t="n"/>
      <c r="BJ43" s="313" t="n"/>
      <c r="BK43" s="313" t="n"/>
      <c r="BL43" s="313" t="n"/>
      <c r="BM43" s="313" t="n"/>
      <c r="BN43" s="313" t="n"/>
      <c r="BO43" s="313" t="n"/>
      <c r="BP43" s="313" t="n"/>
      <c r="BQ43" s="314" t="n"/>
    </row>
    <row r="44" ht="19.5" customHeight="1">
      <c r="A44" s="309">
        <f>LTE()</f>
        <v/>
      </c>
      <c r="B44" s="368" t="inlineStr">
        <is>
          <t>CS1</t>
        </is>
      </c>
      <c r="C44" s="366">
        <f>VLOOKUP("CS1",C5:C41,1,FALSE)</f>
        <v/>
      </c>
      <c r="D44" s="366">
        <f>VLOOKUP("CS1",D1:D41,1,FALSE)</f>
        <v/>
      </c>
      <c r="E44" s="366">
        <f>VLOOKUP("CS1",E1:E41,1,FALSE)</f>
        <v/>
      </c>
      <c r="F44" s="366">
        <f>VLOOKUP("CS1",F8:F41,1,FALSE)</f>
        <v/>
      </c>
      <c r="G44" s="366">
        <f>VLOOKUP("CS1",G8:G41,1,FALSE)</f>
        <v/>
      </c>
      <c r="H44" s="366">
        <f>VLOOKUP("CS1",H6:H41,1,FALSE)</f>
        <v/>
      </c>
      <c r="I44" s="366">
        <f>VLOOKUP("CS1",I7:I41,1,FALSE)</f>
        <v/>
      </c>
      <c r="J44" s="366">
        <f>VLOOKUP("CS1",J4:J41,1,FALSE)</f>
        <v/>
      </c>
      <c r="K44" s="366">
        <f>VLOOKUP("CS1",K1:K41,1,FALSE)</f>
        <v/>
      </c>
      <c r="L44" s="366">
        <f>VLOOKUP("CS1",L1:L41,1,FALSE)</f>
        <v/>
      </c>
      <c r="M44" s="366">
        <f>VLOOKUP("CS1",M7:M27,1,FALSE)</f>
        <v/>
      </c>
      <c r="N44" s="366">
        <f>VLOOKUP("CS1",N6:N41,1,FALSE)</f>
        <v/>
      </c>
      <c r="O44" s="366">
        <f>VLOOKUP("CS1",O1:O41,1,FALSE)</f>
        <v/>
      </c>
      <c r="P44" s="366">
        <f>VLOOKUP("CS1",P5:P41,1,FALSE)</f>
        <v/>
      </c>
      <c r="Q44" s="366">
        <f>VLOOKUP("CS1",Q6:Q30,1,FALSE)</f>
        <v/>
      </c>
      <c r="R44" s="366">
        <f>VLOOKUP("CS1",R6:R25,1,FALSE)</f>
        <v/>
      </c>
      <c r="S44" s="366">
        <f>VLOOKUP("CS1",S7:S41,1,FALSE)</f>
        <v/>
      </c>
      <c r="T44" s="366">
        <f>VLOOKUP("CS1",T1:T41,1,FALSE)</f>
        <v/>
      </c>
      <c r="U44" s="366">
        <f>VLOOKUP("CS1",U6:U41,1,FALSE)</f>
        <v/>
      </c>
      <c r="V44" s="366">
        <f>VLOOKUP("CS1",V1:V25,1,FALSE)</f>
        <v/>
      </c>
      <c r="W44" s="366">
        <f>VLOOKUP("CS1",W1:W25,1,FALSE)</f>
        <v/>
      </c>
      <c r="X44" s="366">
        <f>VLOOKUP("CS1",X1:X41,1,FALSE)</f>
        <v/>
      </c>
      <c r="Y44" s="366">
        <f>VLOOKUP("CS1",Y6:Y41,1,FALSE)</f>
        <v/>
      </c>
      <c r="Z44" s="366">
        <f>VLOOKUP("CS1",Z1:Z41,1,FALSE)</f>
        <v/>
      </c>
      <c r="AA44" s="366">
        <f>VLOOKUP("CS1",AA1:AA41,1,FALSE)</f>
        <v/>
      </c>
      <c r="AB44" s="366">
        <f>VLOOKUP("CS1",AB5:AB41,1,FALSE)</f>
        <v/>
      </c>
      <c r="AC44" s="366">
        <f>VLOOKUP("CS1",AC1:AC41,1,FALSE)</f>
        <v/>
      </c>
      <c r="AD44" s="366">
        <f>VLOOKUP("CS1",AD1:AD41,1,FALSE)</f>
        <v/>
      </c>
      <c r="AE44" s="366">
        <f>VLOOKUP("CS1",AE1:AE41,1,FALSE)</f>
        <v/>
      </c>
      <c r="AF44" s="366">
        <f>VLOOKUP("CS1",AF7:AF41,1,FALSE)</f>
        <v/>
      </c>
      <c r="AG44" s="366">
        <f>VLOOKUP("CS1",AG1:AG41,1,FALSE)</f>
        <v/>
      </c>
      <c r="AH44" s="366">
        <f>VLOOKUP("CS1",AH1:AH41,1,FALSE)</f>
        <v/>
      </c>
      <c r="AI44" s="311" t="n"/>
      <c r="AJ44" s="312" t="n"/>
      <c r="AK44" s="311" t="n"/>
      <c r="AL44" s="313" t="n"/>
      <c r="AM44" s="313" t="n"/>
      <c r="AN44" s="313" t="n"/>
      <c r="AO44" s="313" t="n"/>
      <c r="AP44" s="313" t="n"/>
      <c r="AQ44" s="313" t="n"/>
      <c r="AR44" s="313" t="n"/>
      <c r="AS44" s="313" t="n"/>
      <c r="AT44" s="313" t="n"/>
      <c r="AU44" s="313" t="n"/>
      <c r="AV44" s="313" t="n"/>
      <c r="AW44" s="313" t="n"/>
      <c r="AX44" s="313" t="n"/>
      <c r="AY44" s="313" t="n"/>
      <c r="AZ44" s="313" t="n"/>
      <c r="BA44" s="313" t="n"/>
      <c r="BB44" s="313" t="n"/>
      <c r="BC44" s="313" t="n"/>
      <c r="BD44" s="313" t="n"/>
      <c r="BE44" s="313" t="n"/>
      <c r="BF44" s="313" t="n"/>
      <c r="BG44" s="313" t="n"/>
      <c r="BH44" s="313" t="n"/>
      <c r="BI44" s="313" t="n"/>
      <c r="BJ44" s="313" t="n"/>
      <c r="BK44" s="313" t="n"/>
      <c r="BL44" s="313" t="n"/>
      <c r="BM44" s="313" t="n"/>
      <c r="BN44" s="313" t="n"/>
      <c r="BO44" s="313" t="n"/>
      <c r="BP44" s="313" t="n"/>
      <c r="BQ44" s="314" t="n"/>
    </row>
    <row r="45" ht="19.5" customHeight="1">
      <c r="A45" s="309" t="n"/>
      <c r="B45" s="369" t="inlineStr">
        <is>
          <t>CS2</t>
        </is>
      </c>
      <c r="C45" s="366">
        <f>VLOOKUP("CS2",C6:C41,1,FALSE)</f>
        <v/>
      </c>
      <c r="D45" s="366">
        <f>VLOOKUP("CS2",D9:D41,1,FALSE)</f>
        <v/>
      </c>
      <c r="E45" s="366">
        <f>VLOOKUP("CS2",E8:E41,1,FALSE)</f>
        <v/>
      </c>
      <c r="F45" s="366">
        <f>VLOOKUP("CS2",F8:F41,1,FALSE)</f>
        <v/>
      </c>
      <c r="G45" s="366">
        <f>VLOOKUP("CS2",G1:G41,1,FALSE)</f>
        <v/>
      </c>
      <c r="H45" s="366">
        <f>VLOOKUP("CS2",H1:H41,1,FALSE)</f>
        <v/>
      </c>
      <c r="I45" s="366">
        <f>VLOOKUP("CS2",I7:I41,1,FALSE)</f>
        <v/>
      </c>
      <c r="J45" s="366">
        <f>VLOOKUP("CS2",J4:J41,1,FALSE)</f>
        <v/>
      </c>
      <c r="K45" s="366">
        <f>VLOOKUP("CS2",K5:K41,1,FALSE)</f>
        <v/>
      </c>
      <c r="L45" s="366">
        <f>VLOOKUP("CS2",L4:L41,1,FALSE)</f>
        <v/>
      </c>
      <c r="M45" s="366">
        <f>VLOOKUP("CS2",M1:M27,1,FALSE)</f>
        <v/>
      </c>
      <c r="N45" s="366">
        <f>VLOOKUP("CS2",N1:N41,1,FALSE)</f>
        <v/>
      </c>
      <c r="O45" s="366">
        <f>VLOOKUP("CS2",O6:O41,1,FALSE)</f>
        <v/>
      </c>
      <c r="P45" s="366">
        <f>VLOOKUP("CS2",P1:P41,1,FALSE)</f>
        <v/>
      </c>
      <c r="Q45" s="366">
        <f>VLOOKUP("CS2",Q6:Q30,1,FALSE)</f>
        <v/>
      </c>
      <c r="R45" s="366">
        <f>VLOOKUP("CS2",R6:R25,1,FALSE)</f>
        <v/>
      </c>
      <c r="S45" s="366">
        <f>VLOOKUP("CS2",S1:S41,1,FALSE)</f>
        <v/>
      </c>
      <c r="T45" s="366">
        <f>VLOOKUP("CS2",T1:T41,1,FALSE)</f>
        <v/>
      </c>
      <c r="U45" s="366">
        <f>VLOOKUP("CS2",U1:U41,1,FALSE)</f>
        <v/>
      </c>
      <c r="V45" s="366">
        <f>VLOOKUP("CS2",V1:V25,1,FALSE)</f>
        <v/>
      </c>
      <c r="W45" s="366">
        <f>VLOOKUP("CS2",W11:W25,1,FALSE)</f>
        <v/>
      </c>
      <c r="X45" s="366">
        <f>VLOOKUP("CS2",X8:X41,1,FALSE)</f>
        <v/>
      </c>
      <c r="Y45" s="366">
        <f>VLOOKUP("CS2",Y6:Y41,1,FALSE)</f>
        <v/>
      </c>
      <c r="Z45" s="366">
        <f>VLOOKUP("CS2",Z6:Z41,1,FALSE)</f>
        <v/>
      </c>
      <c r="AA45" s="366">
        <f>VLOOKUP("CS2",AA1:AA41,1,FALSE)</f>
        <v/>
      </c>
      <c r="AB45" s="366">
        <f>VLOOKUP("CS2",AB1:AB41,1,FALSE)</f>
        <v/>
      </c>
      <c r="AC45" s="366">
        <f>VLOOKUP("CS2",AC8:AC41,1,FALSE)</f>
        <v/>
      </c>
      <c r="AD45" s="366">
        <f>VLOOKUP("CS2",AD1:AD41,1,FALSE)</f>
        <v/>
      </c>
      <c r="AE45" s="366">
        <f>VLOOKUP("CS2",AE1:AE41,1,FALSE)</f>
        <v/>
      </c>
      <c r="AF45" s="366">
        <f>VLOOKUP("CS2",AF1:AF41,1,FALSE)</f>
        <v/>
      </c>
      <c r="AG45" s="366">
        <f>VLOOKUP("CS2",AG7:AG41,1,FALSE)</f>
        <v/>
      </c>
      <c r="AH45" s="366">
        <f>VLOOKUP("CS2",AH7:AH41,1,FALSE)</f>
        <v/>
      </c>
      <c r="AI45" s="311" t="n"/>
      <c r="AJ45" s="312" t="n"/>
      <c r="AK45" s="311" t="n"/>
      <c r="AL45" s="313" t="n"/>
      <c r="AM45" s="313" t="n"/>
      <c r="AN45" s="313" t="n"/>
      <c r="AO45" s="313" t="n"/>
      <c r="AP45" s="313" t="n"/>
      <c r="AQ45" s="313" t="n"/>
      <c r="AR45" s="313" t="n"/>
      <c r="AS45" s="313" t="n"/>
      <c r="AT45" s="313" t="n"/>
      <c r="AU45" s="313" t="n"/>
      <c r="AV45" s="313" t="n"/>
      <c r="AW45" s="313" t="n"/>
      <c r="AX45" s="313" t="n"/>
      <c r="AY45" s="313" t="n"/>
      <c r="AZ45" s="313" t="n"/>
      <c r="BA45" s="313" t="n"/>
      <c r="BB45" s="313" t="n"/>
      <c r="BC45" s="313" t="n"/>
      <c r="BD45" s="313" t="n"/>
      <c r="BE45" s="313" t="n"/>
      <c r="BF45" s="313" t="n"/>
      <c r="BG45" s="313" t="n"/>
      <c r="BH45" s="313" t="n"/>
      <c r="BI45" s="313" t="n"/>
      <c r="BJ45" s="313" t="n"/>
      <c r="BK45" s="313" t="n"/>
      <c r="BL45" s="313" t="n"/>
      <c r="BM45" s="313" t="n"/>
      <c r="BN45" s="313" t="n"/>
      <c r="BO45" s="313" t="n"/>
      <c r="BP45" s="313" t="n"/>
      <c r="BQ45" s="314" t="n"/>
    </row>
    <row r="46" ht="19.5" customHeight="1">
      <c r="A46" s="309" t="n"/>
      <c r="B46" s="370" t="inlineStr">
        <is>
          <t>SB1</t>
        </is>
      </c>
      <c r="C46" s="366">
        <f>VLOOKUP("SB1",C6:C41,1,FALSE)</f>
        <v/>
      </c>
      <c r="D46" s="366">
        <f>VLOOKUP("SB1",D3:D41,1,FALSE)</f>
        <v/>
      </c>
      <c r="E46" s="366">
        <f>VLOOKUP("SB1",E1:E41,1,FALSE)</f>
        <v/>
      </c>
      <c r="F46" s="366">
        <f>VLOOKUP("SB1",F8:F41,1,FALSE)</f>
        <v/>
      </c>
      <c r="G46" s="366">
        <f>VLOOKUP("SB1",G5:G41,1,FALSE)</f>
        <v/>
      </c>
      <c r="H46" s="366">
        <f>VLOOKUP("SB1",H6:H41,1,FALSE)</f>
        <v/>
      </c>
      <c r="I46" s="366">
        <f>VLOOKUP("SB1",I1:I41,1,FALSE)</f>
        <v/>
      </c>
      <c r="J46" s="366">
        <f>VLOOKUP("SB1",J4:J41,1,FALSE)</f>
        <v/>
      </c>
      <c r="K46" s="366">
        <f>VLOOKUP("SB1",K6:K41,1,FALSE)</f>
        <v/>
      </c>
      <c r="L46" s="366">
        <f>VLOOKUP("SB1",L1:L41,1,FALSE)</f>
        <v/>
      </c>
      <c r="M46" s="366">
        <f>VLOOKUP("SB1",M1:M27,1,FALSE)</f>
        <v/>
      </c>
      <c r="N46" s="366">
        <f>VLOOKUP("SB1",N6:N41,1,FALSE)</f>
        <v/>
      </c>
      <c r="O46" s="366">
        <f>VLOOKUP("SB1",O1:O41,1,FALSE)</f>
        <v/>
      </c>
      <c r="P46" s="366">
        <f>VLOOKUP("SB1",P1:P41,1,FALSE)</f>
        <v/>
      </c>
      <c r="Q46" s="366">
        <f>VLOOKUP("SB1",Q1:Q30,1,FALSE)</f>
        <v/>
      </c>
      <c r="R46" s="366">
        <f>VLOOKUP("SB1",R6:R35,1,FALSE)</f>
        <v/>
      </c>
      <c r="S46" s="366">
        <f>VLOOKUP("SB1",S1:S41,1,FALSE)</f>
        <v/>
      </c>
      <c r="T46" s="366">
        <f>VLOOKUP("SB1",T8:T41,1,FALSE)</f>
        <v/>
      </c>
      <c r="U46" s="366">
        <f>VLOOKUP("SB1",U1:U41,1,FALSE)</f>
        <v/>
      </c>
      <c r="V46" s="366">
        <f>VLOOKUP("SB1",V9:V35,1,FALSE)</f>
        <v/>
      </c>
      <c r="W46" s="366">
        <f>VLOOKUP("SB1",W5:W25,1,FALSE)</f>
        <v/>
      </c>
      <c r="X46" s="366">
        <f>VLOOKUP("SB1",X6:X41,1,FALSE)</f>
        <v/>
      </c>
      <c r="Y46" s="366">
        <f>VLOOKUP("SB1",Y1:Y41,1,FALSE)</f>
        <v/>
      </c>
      <c r="Z46" s="366">
        <f>VLOOKUP("SB1",Z6:Z41,1,FALSE)</f>
        <v/>
      </c>
      <c r="AA46" s="366">
        <f>VLOOKUP("SB1",AA1:AA41,1,FALSE)</f>
        <v/>
      </c>
      <c r="AB46" s="366">
        <f>VLOOKUP("SB1",AB1:AB41,1,FALSE)</f>
        <v/>
      </c>
      <c r="AC46" s="366">
        <f>VLOOKUP("SB1",AC1:AC41,1,FALSE)</f>
        <v/>
      </c>
      <c r="AD46" s="366">
        <f>VLOOKUP("SB1",AD6:AD41,1,FALSE)</f>
        <v/>
      </c>
      <c r="AE46" s="366">
        <f>VLOOKUP("SB1",AE7:AE41,1,FALSE)</f>
        <v/>
      </c>
      <c r="AF46" s="366">
        <f>VLOOKUP("SB1",AF7:AF41,1,FALSE)</f>
        <v/>
      </c>
      <c r="AG46" s="366">
        <f>VLOOKUP("SB1",AG7:AG41,1,FALSE)</f>
        <v/>
      </c>
      <c r="AH46" s="366">
        <f>VLOOKUP("SB1",AH7:AH41,1,FALSE)</f>
        <v/>
      </c>
      <c r="AI46" s="311" t="n"/>
      <c r="AJ46" s="312" t="n"/>
      <c r="AK46" s="311" t="n"/>
      <c r="AL46" s="313" t="n"/>
      <c r="AM46" s="313" t="n"/>
      <c r="AN46" s="313" t="n"/>
      <c r="AO46" s="313" t="n"/>
      <c r="AP46" s="313" t="n"/>
      <c r="AQ46" s="313" t="n"/>
      <c r="AR46" s="313" t="n"/>
      <c r="AS46" s="313" t="n"/>
      <c r="AT46" s="313" t="n"/>
      <c r="AU46" s="313" t="n"/>
      <c r="AV46" s="313" t="n"/>
      <c r="AW46" s="313" t="n"/>
      <c r="AX46" s="313" t="n"/>
      <c r="AY46" s="313" t="n"/>
      <c r="AZ46" s="313" t="n"/>
      <c r="BA46" s="313" t="n"/>
      <c r="BB46" s="313" t="n"/>
      <c r="BC46" s="313" t="n"/>
      <c r="BD46" s="313" t="n"/>
      <c r="BE46" s="313" t="n"/>
      <c r="BF46" s="313" t="n"/>
      <c r="BG46" s="313" t="n"/>
      <c r="BH46" s="313" t="n"/>
      <c r="BI46" s="313" t="n"/>
      <c r="BJ46" s="313" t="n"/>
      <c r="BK46" s="313" t="n"/>
      <c r="BL46" s="313" t="n"/>
      <c r="BM46" s="313" t="n"/>
      <c r="BN46" s="313" t="n"/>
      <c r="BO46" s="313" t="n"/>
      <c r="BP46" s="313" t="n"/>
      <c r="BQ46" s="314" t="n"/>
    </row>
    <row r="47" ht="19.5" customHeight="1">
      <c r="A47" s="309" t="n"/>
      <c r="B47" s="371" t="inlineStr">
        <is>
          <t>SB2</t>
        </is>
      </c>
      <c r="C47" s="366">
        <f>VLOOKUP("SB2",C6:C41,1,FALSE)</f>
        <v/>
      </c>
      <c r="D47" s="366">
        <f>VLOOKUP("SB2",D9:D41,1,FALSE)</f>
        <v/>
      </c>
      <c r="E47" s="366">
        <f>VLOOKUP("SB2",E8:E41,1,FALSE)</f>
        <v/>
      </c>
      <c r="F47" s="366">
        <f>VLOOKUP("SB2",F1:F41,1,FALSE)</f>
        <v/>
      </c>
      <c r="G47" s="366">
        <f>VLOOKUP("SB2",G8:G41,1,FALSE)</f>
        <v/>
      </c>
      <c r="H47" s="366">
        <f>VLOOKUP("SB2",H6:H41,1,FALSE)</f>
        <v/>
      </c>
      <c r="I47" s="366">
        <f>VLOOKUP("SB2",I7:I41,1,FALSE)</f>
        <v/>
      </c>
      <c r="J47" s="366">
        <f>VLOOKUP("SB2",J4:J41,1,FALSE)</f>
        <v/>
      </c>
      <c r="K47" s="366">
        <f>VLOOKUP("SB2",K6:K41,1,FALSE)</f>
        <v/>
      </c>
      <c r="L47" s="366">
        <f>VLOOKUP("SB2",L11:L41,1,FALSE)</f>
        <v/>
      </c>
      <c r="M47" s="366">
        <f>VLOOKUP("SB2",M8:M45,1,FALSE)</f>
        <v/>
      </c>
      <c r="N47" s="366">
        <f>VLOOKUP("SB2",N6:N41,1,FALSE)</f>
        <v/>
      </c>
      <c r="O47" s="366">
        <f>VLOOKUP("SB2",O8:O41,1,FALSE)</f>
        <v/>
      </c>
      <c r="P47" s="366">
        <f>VLOOKUP("SB2",P8:P41,1,FALSE)</f>
        <v/>
      </c>
      <c r="Q47" s="366">
        <f>VLOOKUP("SB2",Q11:Q30,1,FALSE)</f>
        <v/>
      </c>
      <c r="R47" s="366">
        <f>VLOOKUP("SB2",R6:R30,1,FALSE)</f>
        <v/>
      </c>
      <c r="S47" s="366">
        <f>VLOOKUP("SB2",S12:S41,1,FALSE)</f>
        <v/>
      </c>
      <c r="T47" s="366">
        <f>VLOOKUP("SB2",T8:T41,1,FALSE)</f>
        <v/>
      </c>
      <c r="U47" s="366">
        <f>VLOOKUP("SB2",U9:U41,1,FALSE)</f>
        <v/>
      </c>
      <c r="V47" s="366">
        <f>VLOOKUP("SB2",V5:V41,1,FALSE)</f>
        <v/>
      </c>
      <c r="W47" s="366">
        <f>VLOOKUP("SB2",W11:W30,1,FALSE)</f>
        <v/>
      </c>
      <c r="X47" s="366">
        <f>VLOOKUP("SB2",X8:X41,1,FALSE)</f>
        <v/>
      </c>
      <c r="Y47" s="366">
        <f>VLOOKUP("SB2",Y6:Y41,1,FALSE)</f>
        <v/>
      </c>
      <c r="Z47" s="366">
        <f>VLOOKUP("SB2",Z6:Z41,1,FALSE)</f>
        <v/>
      </c>
      <c r="AA47" s="366">
        <f>VLOOKUP("SB2",AA11:AA41,1,FALSE)</f>
        <v/>
      </c>
      <c r="AB47" s="366">
        <f>VLOOKUP("SB2",AB9:AB41,1,FALSE)</f>
        <v/>
      </c>
      <c r="AC47" s="366">
        <f>VLOOKUP("SB2",AC11:AC41,1,FALSE)</f>
        <v/>
      </c>
      <c r="AD47" s="366">
        <f>VLOOKUP("SB2",AD6:AD41,1,FALSE)</f>
        <v/>
      </c>
      <c r="AE47" s="366">
        <f>VLOOKUP("SB2",AE7:AE41,1,FALSE)</f>
        <v/>
      </c>
      <c r="AF47" s="366">
        <f>VLOOKUP("SB2",AF7:AF41,1,FALSE)</f>
        <v/>
      </c>
      <c r="AG47" s="366">
        <f>VLOOKUP("SB2",AG7:AG41,1,FALSE)</f>
        <v/>
      </c>
      <c r="AH47" s="366">
        <f>VLOOKUP("SB2",AH7:AH41,1,FALSE)</f>
        <v/>
      </c>
      <c r="AI47" s="311" t="n"/>
      <c r="AJ47" s="312" t="n"/>
      <c r="AK47" s="311" t="n"/>
      <c r="AL47" s="313" t="n"/>
      <c r="AM47" s="313" t="n"/>
      <c r="AN47" s="313" t="n"/>
      <c r="AO47" s="313" t="n"/>
      <c r="AP47" s="313" t="n"/>
      <c r="AQ47" s="313" t="n"/>
      <c r="AR47" s="313" t="n"/>
      <c r="AS47" s="313" t="n"/>
      <c r="AT47" s="313" t="n"/>
      <c r="AU47" s="313" t="n"/>
      <c r="AV47" s="313" t="n"/>
      <c r="AW47" s="313" t="n"/>
      <c r="AX47" s="313" t="n"/>
      <c r="AY47" s="313" t="n"/>
      <c r="AZ47" s="313" t="n"/>
      <c r="BA47" s="313" t="n"/>
      <c r="BB47" s="313" t="n"/>
      <c r="BC47" s="313" t="n"/>
      <c r="BD47" s="313" t="n"/>
      <c r="BE47" s="313" t="n"/>
      <c r="BF47" s="313" t="n"/>
      <c r="BG47" s="313" t="n"/>
      <c r="BH47" s="313" t="n"/>
      <c r="BI47" s="313" t="n"/>
      <c r="BJ47" s="313" t="n"/>
      <c r="BK47" s="313" t="n"/>
      <c r="BL47" s="313" t="n"/>
      <c r="BM47" s="313" t="n"/>
      <c r="BN47" s="313" t="n"/>
      <c r="BO47" s="313" t="n"/>
      <c r="BP47" s="313" t="n"/>
      <c r="BQ47" s="314" t="n"/>
    </row>
    <row r="48" ht="19.5" customHeight="1">
      <c r="A48" s="309" t="n"/>
      <c r="B48" s="372" t="inlineStr">
        <is>
          <t>AE</t>
        </is>
      </c>
      <c r="C48" s="366">
        <f>VLOOKUP("AE",C6:C41,1,FALSE)</f>
        <v/>
      </c>
      <c r="D48" s="366">
        <f>VLOOKUP("AE",D9:D41,1,FALSE)</f>
        <v/>
      </c>
      <c r="E48" s="366">
        <f>VLOOKUP("AE",E8:E41,1,FALSE)</f>
        <v/>
      </c>
      <c r="F48" s="366">
        <f>VLOOKUP("AE",F1:F41,1,FALSE)</f>
        <v/>
      </c>
      <c r="G48" s="366">
        <f>VLOOKUP("AE",G1:G41,1,FALSE)</f>
        <v/>
      </c>
      <c r="H48" s="366">
        <f>VLOOKUP("AE",H8:H41,1,FALSE)</f>
        <v/>
      </c>
      <c r="I48" s="366">
        <f>VLOOKUP("AE",I7:I41,1,FALSE)</f>
        <v/>
      </c>
      <c r="J48" s="366">
        <f>VLOOKUP("AE",J4:J41,1,FALSE)</f>
        <v/>
      </c>
      <c r="K48" s="366">
        <f>VLOOKUP("AE",K6:K41,1,FALSE)</f>
        <v/>
      </c>
      <c r="L48" s="366">
        <f>VLOOKUP("AE",L11:L41,1,FALSE)</f>
        <v/>
      </c>
      <c r="M48" s="366">
        <f>VLOOKUP("AE",M8:M45,1,FALSE)</f>
        <v/>
      </c>
      <c r="N48" s="366">
        <f>VLOOKUP("AE",N6:N41,1,FALSE)</f>
        <v/>
      </c>
      <c r="O48" s="366">
        <f>VLOOKUP("AE",O8:O41,1,FALSE)</f>
        <v/>
      </c>
      <c r="P48" s="366">
        <f>VLOOKUP("AE",P8:P41,1,FALSE)</f>
        <v/>
      </c>
      <c r="Q48" s="366">
        <f>VLOOKUP("AE",Q11:Q38,1,FALSE)</f>
        <v/>
      </c>
      <c r="R48" s="366">
        <f>VLOOKUP("AE",R6:R39,1,FALSE)</f>
        <v/>
      </c>
      <c r="S48" s="366">
        <f>VLOOKUP("AE",S12:S41,1,FALSE)</f>
        <v/>
      </c>
      <c r="T48" s="366">
        <f>VLOOKUP("AE",T8:T41,1,FALSE)</f>
        <v/>
      </c>
      <c r="U48" s="366">
        <f>VLOOKUP("AE",U9:U41,1,FALSE)</f>
        <v/>
      </c>
      <c r="V48" s="366">
        <f>VLOOKUP("AE",V9:V43,1,FALSE)</f>
        <v/>
      </c>
      <c r="W48" s="366">
        <f>VLOOKUP("AE",W11:W41,1,FALSE)</f>
        <v/>
      </c>
      <c r="X48" s="366">
        <f>VLOOKUP("AE",X8:X41,1,FALSE)</f>
        <v/>
      </c>
      <c r="Y48" s="366">
        <f>VLOOKUP("AE",Y6:Y41,1,FALSE)</f>
        <v/>
      </c>
      <c r="Z48" s="366">
        <f>VLOOKUP("AE",Z6:Z41,1,FALSE)</f>
        <v/>
      </c>
      <c r="AA48" s="366">
        <f>VLOOKUP("AE",AA11:AA41,1,FALSE)</f>
        <v/>
      </c>
      <c r="AB48" s="366">
        <f>VLOOKUP("AE",AB9:AB41,1,FALSE)</f>
        <v/>
      </c>
      <c r="AC48" s="366">
        <f>VLOOKUP("AE",AC11:AC41,1,FALSE)</f>
        <v/>
      </c>
      <c r="AD48" s="366">
        <f>VLOOKUP("AE",AD6:AD41,1,FALSE)</f>
        <v/>
      </c>
      <c r="AE48" s="366">
        <f>VLOOKUP("AE",AE7:AE41,1,FALSE)</f>
        <v/>
      </c>
      <c r="AF48" s="366">
        <f>VLOOKUP("AE",AF7:AF41,1,FALSE)</f>
        <v/>
      </c>
      <c r="AG48" s="366">
        <f>VLOOKUP("AE",AG7:AG41,1,FALSE)</f>
        <v/>
      </c>
      <c r="AH48" s="366">
        <f>VLOOKUP("AE",AH7:AH41,1,FALSE)</f>
        <v/>
      </c>
      <c r="AI48" s="311" t="n"/>
      <c r="AJ48" s="312" t="n"/>
      <c r="AK48" s="311" t="n"/>
      <c r="AL48" s="313" t="n"/>
      <c r="AM48" s="313" t="n"/>
      <c r="AN48" s="313" t="n"/>
      <c r="AO48" s="313" t="n"/>
      <c r="AP48" s="313" t="n"/>
      <c r="AQ48" s="313" t="n"/>
      <c r="AR48" s="313" t="n"/>
      <c r="AS48" s="313" t="n"/>
      <c r="AT48" s="313" t="n"/>
      <c r="AU48" s="313" t="n"/>
      <c r="AV48" s="313" t="n"/>
      <c r="AW48" s="313" t="n"/>
      <c r="AX48" s="313" t="n"/>
      <c r="AY48" s="313" t="n"/>
      <c r="AZ48" s="313" t="n"/>
      <c r="BA48" s="313" t="n"/>
      <c r="BB48" s="313" t="n"/>
      <c r="BC48" s="313" t="n"/>
      <c r="BD48" s="313" t="n"/>
      <c r="BE48" s="313" t="n"/>
      <c r="BF48" s="313" t="n"/>
      <c r="BG48" s="313" t="n"/>
      <c r="BH48" s="313" t="n"/>
      <c r="BI48" s="313" t="n"/>
      <c r="BJ48" s="313" t="n"/>
      <c r="BK48" s="313" t="n"/>
      <c r="BL48" s="313" t="n"/>
      <c r="BM48" s="313" t="n"/>
      <c r="BN48" s="313" t="n"/>
      <c r="BO48" s="313" t="n"/>
      <c r="BP48" s="313" t="n"/>
      <c r="BQ48" s="314" t="n"/>
    </row>
  </sheetData>
  <mergeCells count="1">
    <mergeCell ref="C1:S1"/>
  </mergeCells>
  <conditionalFormatting sqref="P12">
    <cfRule type="expression" priority="11" dxfId="136">
      <formula>WEEKDAY(K$3,2)&gt;5</formula>
    </cfRule>
    <cfRule type="expression" priority="12" dxfId="136">
      <formula>WEEKDAY(J$3,2)&gt;5</formula>
    </cfRule>
  </conditionalFormatting>
  <conditionalFormatting sqref="T18">
    <cfRule type="expression" priority="3" dxfId="136">
      <formula>WEEKDAY(V$3,2)&gt;5</formula>
    </cfRule>
  </conditionalFormatting>
  <conditionalFormatting sqref="J19">
    <cfRule type="expression" priority="1" dxfId="136">
      <formula>WEEKDAY(L$3,2)&gt;5</formula>
    </cfRule>
  </conditionalFormatting>
  <conditionalFormatting sqref="H20">
    <cfRule type="expression" priority="8" dxfId="136">
      <formula>WEEKDAY(H$3,2)&gt;5</formula>
    </cfRule>
  </conditionalFormatting>
  <conditionalFormatting sqref="X25">
    <cfRule type="expression" priority="4" dxfId="136">
      <formula>WEEKDAY(AA$3,2)&gt;5</formula>
    </cfRule>
    <cfRule type="expression" priority="5" dxfId="136">
      <formula>WEEKDAY(Z$3,2)&gt;5</formula>
    </cfRule>
  </conditionalFormatting>
  <conditionalFormatting sqref="AF25">
    <cfRule type="expression" priority="6" dxfId="136">
      <formula>WEEKDAY(AG$3,2)&gt;5</formula>
    </cfRule>
    <cfRule type="expression" priority="7" dxfId="136">
      <formula>WEEKDAY(AF$3,2)&gt;5</formula>
    </cfRule>
  </conditionalFormatting>
  <conditionalFormatting sqref="T28">
    <cfRule type="notContainsBlanks" priority="79" dxfId="837">
      <formula>LEN(TRIM(T28))&gt;0</formula>
    </cfRule>
  </conditionalFormatting>
  <conditionalFormatting sqref="K29:K30">
    <cfRule type="expression" priority="10" dxfId="136">
      <formula>WEEKDAY(M$3,2)&gt;5</formula>
    </cfRule>
  </conditionalFormatting>
  <conditionalFormatting sqref="A1:BQ48">
    <cfRule type="cellIs" priority="80" operator="equal" dxfId="155">
      <formula>"RESERVE"</formula>
    </cfRule>
  </conditionalFormatting>
  <conditionalFormatting sqref="C3:S41 T2:X41 Y3:AH41">
    <cfRule type="expression" priority="72" dxfId="136">
      <formula>WEEKDAY(T$3,2)&gt;5</formula>
    </cfRule>
  </conditionalFormatting>
  <conditionalFormatting sqref="C5:I48 J4:J48 K5:Z48 AA4:AA48 AB5:AH48">
    <cfRule type="cellIs" priority="57" operator="equal" dxfId="137">
      <formula>"B"</formula>
    </cfRule>
    <cfRule type="cellIs" priority="58" operator="equal" dxfId="137">
      <formula>"AL"</formula>
    </cfRule>
    <cfRule type="cellIs" priority="59" operator="equal" dxfId="138">
      <formula>"DM"</formula>
    </cfRule>
    <cfRule type="cellIs" priority="60" operator="equal" dxfId="139">
      <formula>"CS1"</formula>
    </cfRule>
    <cfRule type="cellIs" priority="61" operator="equal" dxfId="140">
      <formula>"CS2"</formula>
    </cfRule>
    <cfRule type="cellIs" priority="62" operator="equal" dxfId="141">
      <formula>"SB1"</formula>
    </cfRule>
    <cfRule type="cellIs" priority="63" operator="equal" dxfId="142">
      <formula>"SB2"</formula>
    </cfRule>
    <cfRule type="cellIs" priority="64" operator="equal" dxfId="143">
      <formula>"AE"</formula>
    </cfRule>
  </conditionalFormatting>
  <conditionalFormatting sqref="C5:I41 J4:J41 K5:Z41 AA4:AA41 AB5:AH41">
    <cfRule type="cellIs" priority="66" operator="equal" dxfId="137">
      <formula>"DB"</formula>
    </cfRule>
    <cfRule type="containsText" priority="67" operator="between" dxfId="144" text="$AM">
      <formula>NOT(ISERROR(SEARCH("$AM",C4)))</formula>
    </cfRule>
    <cfRule type="containsText" priority="68" operator="between" dxfId="145" text="$PM">
      <formula>NOT(ISERROR(SEARCH("$PM",C4)))</formula>
    </cfRule>
    <cfRule type="containsText" priority="69" operator="between" dxfId="146" text="$L">
      <formula>NOT(ISERROR(SEARCH("$L",C4)))</formula>
    </cfRule>
    <cfRule type="containsText" priority="70" operator="between" dxfId="147" text="$BTP">
      <formula>NOT(ISERROR(SEARCH("$BTP",C4)))</formula>
    </cfRule>
    <cfRule type="containsText" priority="71" operator="between" dxfId="148" text="$M">
      <formula>NOT(ISERROR(SEARCH("$M",C4)))</formula>
    </cfRule>
    <cfRule type="containsText" priority="73" operator="between" dxfId="149" text="$N">
      <formula>NOT(ISERROR(SEARCH("$N",C4)))</formula>
    </cfRule>
    <cfRule type="containsText" priority="74" operator="between" dxfId="150" text="$FC">
      <formula>NOT(ISERROR(SEARCH("$FC",C4)))</formula>
    </cfRule>
    <cfRule type="containsText" priority="75" operator="between" dxfId="151" text="OAL">
      <formula>NOT(ISERROR(SEARCH("OAL",C4)))</formula>
    </cfRule>
    <cfRule type="containsText" priority="76" operator="between" dxfId="152" text="S+">
      <formula>NOT(ISERROR(SEARCH("S+",C4)))</formula>
    </cfRule>
    <cfRule type="containsText" priority="77" operator="between" dxfId="153" text="EX-D">
      <formula>NOT(ISERROR(SEARCH("EX-D",C4)))</formula>
    </cfRule>
  </conditionalFormatting>
  <conditionalFormatting sqref="C5:C25 C31:F31 C37 D5:D21 D23 D25:D27 E5:E20 E22:E25 E28 F5:F25 F27:F29 F34 G5:H9 G11:H25 G28:G31 G37 H27:H29 H31:I31 H33 I5:I27 I29 J4:J25 J29:K30 J32 K5:K25 L5:M26 L30 M28:M30 N5:N25 N27:N32 O5:O8 O10:O15 O17:O29 O31:Q31 O37 P5:Q26 P28 P33:Q33 Q28:Q29 Q35:Q37 R5:R25 R27 R30 R32 R36 R39 S5:S7 S9:S29 S31:S39 T5:T29 T32:T38 U5:U7 U9:U29 U31:V38 U41 V5:V16 V18:V25 V27:V29 W5:X26 W28:W29 W31:W33 W35:W36 W38:W39 X31 X34 X36:X37 Y5 Y7:Y29 Y31:Y33 Y35:Y40 Z5:AA40 AB5:AB9 AB11:AB40 AC5:AC30 AC32:AC40 AD5:AD27 AD30:AD31 AD34:AD35 AD37:AE37 AE5:AE30 AE32:AE34 AE39 AF5:AF9 AF11:AF27 AF29:AF31 AF33 AG5:AG26 AG28 AG30:AH30 AH5:AH16 AH18:AH25 AH27 AH39">
    <cfRule type="containsText" priority="78" operator="between" dxfId="154" text="VACC">
      <formula>NOT(ISERROR(SEARCH("VACC",C4)))</formula>
    </cfRule>
  </conditionalFormatting>
  <conditionalFormatting sqref="C5:C25 C31:G31 C37 D5:D16 D19 D21 D26 E5:E8 E10 E12 E16:E18 E20 E22 E24:F25 F5:F13 F18:F19 F21:F22 G5:H9 G12 G14 G16 G20:H21 G23:G25 G28:G29 H11:H12 H14:H15 H18:I18 H23 H25 I5:I6 I9 I12 I15:I16 I20:I22 I24 I27 J5:L5 J11:J12 J15 J17 J19 J21:J22 J24:J25 K8 K10:K13 K18 K21:M21 K24 L8:L9 L12:L13 L15 L23 L25 L30 M5:M8 M12 M24:M26 M28:M29 N5:O7 N12:N13 N19 N22 N31:N32 O10:O11 O15 O21 O26 O29 P5:P6 P8:Q8 P11 P16:P17 P21:P22 P24 Q5 Q11:Q12 Q16:Q18 Q21:Q24 Q29 Q35 R5:R10 R16 R21:S21 R23:R25 R27 R32 R36 S5 S10:S14 S25 S29 T6:T7 T9:U9 T12:W12 T20 T27:U27 U5:U7 U18 U21:U22 U24:V24 U29 V5:V6 V10 V27:V28 W5:X5 W7 W9:X10 W23:W24 W31:X31 W33 X13 X18:Y19 X21 X26:Y26 X36 Y10:Y11 Y23:Y24 Y28:Y29 Y32 Z8 Z21 Z24:AB24 Z28 Z31:Z32 Z37 AA5 AA11 AA13 AA26 AA29 AA32:AC32 AB7 AC7:AC9 AC13 AC23:AC24 AD7:AD10 AD18 AD22 AD25:AF25 AD31 AD37 AE7:AF9 AE11:AE13 AE19:AE20 AE32:AE33 AF14 AF17 AF19:AG19 AF29 AG5:AG8 AG11:AG13 AG15 AG21 AG24:AG25 AG28 AH5:AH6 AH9 AH24 AH39">
    <cfRule type="cellIs" priority="13" operator="equal" dxfId="137">
      <formula>"B"</formula>
    </cfRule>
    <cfRule type="cellIs" priority="14" operator="equal" dxfId="137">
      <formula>"AL"</formula>
    </cfRule>
    <cfRule type="cellIs" priority="15" operator="equal" dxfId="138">
      <formula>"DM"</formula>
    </cfRule>
    <cfRule type="cellIs" priority="16" operator="equal" dxfId="139">
      <formula>"CS1"</formula>
    </cfRule>
    <cfRule type="cellIs" priority="17" operator="equal" dxfId="140">
      <formula>"CS2"</formula>
    </cfRule>
    <cfRule type="cellIs" priority="18" operator="equal" dxfId="141">
      <formula>"SB1"</formula>
    </cfRule>
    <cfRule type="cellIs" priority="19" operator="equal" dxfId="142">
      <formula>"SB2"</formula>
    </cfRule>
    <cfRule type="cellIs" priority="20" operator="equal" dxfId="143">
      <formula>"AE"</formula>
    </cfRule>
    <cfRule type="cellIs" priority="21" operator="equal" dxfId="137">
      <formula>"DB"</formula>
    </cfRule>
    <cfRule type="containsText" priority="22" operator="between" dxfId="144" text="$AM">
      <formula>NOT(ISERROR(SEARCH("$AM",C5)))</formula>
    </cfRule>
    <cfRule type="containsText" priority="23" operator="between" dxfId="145" text="$PM">
      <formula>NOT(ISERROR(SEARCH("$PM",C5)))</formula>
    </cfRule>
    <cfRule type="containsText" priority="24" operator="between" dxfId="146" text="$L">
      <formula>NOT(ISERROR(SEARCH("$L",C5)))</formula>
    </cfRule>
    <cfRule type="containsText" priority="25" operator="between" dxfId="147" text="$BTP">
      <formula>NOT(ISERROR(SEARCH("$BTP",C5)))</formula>
    </cfRule>
    <cfRule type="containsText" priority="26" operator="between" dxfId="148" text="$M">
      <formula>NOT(ISERROR(SEARCH("$M",C5)))</formula>
    </cfRule>
    <cfRule type="containsText" priority="27" operator="between" dxfId="149" text="$N">
      <formula>NOT(ISERROR(SEARCH("$N",C5)))</formula>
    </cfRule>
    <cfRule type="containsText" priority="28" operator="between" dxfId="150" text="$FC">
      <formula>NOT(ISERROR(SEARCH("$FC",C5)))</formula>
    </cfRule>
    <cfRule type="containsText" priority="29" operator="between" dxfId="151" text="OAL">
      <formula>NOT(ISERROR(SEARCH("OAL",C5)))</formula>
    </cfRule>
    <cfRule type="containsText" priority="30" operator="between" dxfId="152" text="S+">
      <formula>NOT(ISERROR(SEARCH("S+",C5)))</formula>
    </cfRule>
    <cfRule type="containsText" priority="31" operator="between" dxfId="153" text="EX-D">
      <formula>NOT(ISERROR(SEARCH("EX-D",C5)))</formula>
    </cfRule>
  </conditionalFormatting>
  <conditionalFormatting sqref="C5:D16 C18:C25 C30:E31 C37 D19 D21 D24 D26 E5:E8 E10 E12 E16:E18 E20 E22 E24:F25 F5:F13 F18:F19 F21:F22 F30:F32 G5:H9 G12:I12 G14 G16 G20:H21 G23:G25 G28:G31 H14:H15 H18:I18 H23 H25 H30:J30 I5:I6 I9 I15:I16 I20:I22 I24 I27 I35 J5:L5 J11:J12 J15 J17 J21:J22 J24:J25 J34 J36 K8 K10:K13 K18 K21:M21 K24 K26 K29:K30 L8:L9 L12:L13 L15 L23 L25:M25 L30 M5:M8 M12 M28:M30 N5:O7 N12:N13 N19 N22 N30:N32 O10:O11 O21 O29:O30 P5:P6 P8:Q8 P11 P16:P17 P21:P22 P24 P27 P30 Q5 Q11:Q12 Q16:R16 Q18 Q21:Q24 Q29:Q31 Q35 R5:R10 R21:S21 R23:R25 R27 R30 R32 R36 S5 S10:S14 S25 S29:S30 T6:T7 T9:U9 T12:W12 T20 T27:U27 T30 U5:U7 U21 U24:V24 U29:U30 V5:V6 V10 V27:W28 V30 W5:X5 W7 W9:X10 W23:W24 W30:X31 W33 X13 X18:Y19 X21 X26:Y26 X36 Y10:Y11 Y23:Y24 Y28:Y30 Y32 Z8 Z21 Z24:AB24 Z28 Z30:Z32 Z37 AA5 AA11 AA13 AA26:AB26 AA29:AA30 AA32:AC32 AB7 AB30:AC30 AC7:AC9 AC13 AC23:AC24 AD7:AD10 AD18 AD22 AD25:AF25 AD30:AD31 AD37 AE7:AF9 AE11:AE13 AE19:AE20 AE30 AE32:AE33 AF14 AF17 AF19:AG19 AF29:AF30 AG5:AG8 AG11:AG13 AG15 AG21 AG24:AG25 AG28 AG30:AH30 AH5:AH6 AH9 AH24 AH39">
    <cfRule type="expression" priority="32" dxfId="136">
      <formula>WEEKDAY(#REF!,2)&gt;5</formula>
    </cfRule>
  </conditionalFormatting>
  <conditionalFormatting sqref="C5:C25 C31:F31 C37 D5:D21 D23 D25:D27 E5:E20 E22:E25 E28 F5:F25 F27:F29 F34 G5:H9 G11:H25 G28:G31 G37 H27:H29 H31:I31 H33 I5:I27 I29 J5:K25 J29:K30 J32 L5:M26 L30 M28:M30 N5:N25 N27:N32 O5:O8 O10:O15 O17:O29 O31:Q31 O37 P5:Q26 P28 P33:Q33 Q28:Q29 Q35:Q37 R5:R25 R27 R30 R32 R36 R39 S5:U7 S9:T29 S31:S39 T32:T38 U9:U16 U18:U29 U31:V38 U41 V5:V16 V18:V25 V27:V29 W5:W17 W19:W26 W29 W31:W33 W35:W36 W38:W39 X5:X26 X31 X34 X36:X37 Y5 Y7:Y29 Y31:Y33 Y35:Y40 Z5:AA40 AB5:AB9 AB11:AB40 AC5:AC30 AC32:AC40 AD5:AD27 AD30:AD31 AD34:AD35 AD37:AE37 AE5:AE30 AE32:AE34 AE39 AF5:AF9 AF11:AF27 AF29:AF31 AF33 AG5:AG26 AG28 AG30:AH30 AH5:AH16 AH18:AH25 AH27 AH39">
    <cfRule type="cellIs" priority="36" operator="equal" dxfId="137">
      <formula>"B"</formula>
    </cfRule>
    <cfRule type="cellIs" priority="37" operator="equal" dxfId="137">
      <formula>"AL"</formula>
    </cfRule>
    <cfRule type="cellIs" priority="38" operator="equal" dxfId="138">
      <formula>"DM"</formula>
    </cfRule>
    <cfRule type="cellIs" priority="39" operator="equal" dxfId="139">
      <formula>"CS1"</formula>
    </cfRule>
    <cfRule type="cellIs" priority="40" operator="equal" dxfId="140">
      <formula>"CS2"</formula>
    </cfRule>
    <cfRule type="cellIs" priority="41" operator="equal" dxfId="141">
      <formula>"SB1"</formula>
    </cfRule>
    <cfRule type="cellIs" priority="42" operator="equal" dxfId="142">
      <formula>"SB2"</formula>
    </cfRule>
    <cfRule type="cellIs" priority="43" operator="equal" dxfId="143">
      <formula>"AE"</formula>
    </cfRule>
    <cfRule type="cellIs" priority="45" operator="equal" dxfId="137">
      <formula>"DB"</formula>
    </cfRule>
    <cfRule type="containsText" priority="46" operator="between" dxfId="144" text="$AM">
      <formula>NOT(ISERROR(SEARCH("$AM",C5)))</formula>
    </cfRule>
    <cfRule type="containsText" priority="47" operator="between" dxfId="145" text="$PM">
      <formula>NOT(ISERROR(SEARCH("$PM",C5)))</formula>
    </cfRule>
    <cfRule type="containsText" priority="48" operator="between" dxfId="146" text="$L">
      <formula>NOT(ISERROR(SEARCH("$L",C5)))</formula>
    </cfRule>
    <cfRule type="containsText" priority="49" operator="between" dxfId="147" text="$BTP">
      <formula>NOT(ISERROR(SEARCH("$BTP",C5)))</formula>
    </cfRule>
    <cfRule type="containsText" priority="50" operator="between" dxfId="148" text="$M">
      <formula>NOT(ISERROR(SEARCH("$M",C5)))</formula>
    </cfRule>
    <cfRule type="containsText" priority="51" operator="between" dxfId="149" text="$N">
      <formula>NOT(ISERROR(SEARCH("$N",C5)))</formula>
    </cfRule>
    <cfRule type="containsText" priority="52" operator="between" dxfId="150" text="$FC">
      <formula>NOT(ISERROR(SEARCH("$FC",C5)))</formula>
    </cfRule>
    <cfRule type="containsText" priority="53" operator="between" dxfId="151" text="OAL">
      <formula>NOT(ISERROR(SEARCH("OAL",C5)))</formula>
    </cfRule>
    <cfRule type="containsText" priority="54" operator="between" dxfId="152" text="S+">
      <formula>NOT(ISERROR(SEARCH("S+",C5)))</formula>
    </cfRule>
    <cfRule type="containsText" priority="55" operator="between" dxfId="153" text="EX-D">
      <formula>NOT(ISERROR(SEARCH("EX-D",C5)))</formula>
    </cfRule>
  </conditionalFormatting>
  <conditionalFormatting sqref="C5:C25 C30:E31 C37 D5:D21 D23:D27 E5:E20 E22:E25 E28 F5:F25 F27:F32 F34 G5:H9 G11:H25 G28:G31 G37 H27:H31 H33 I5:I27 I29:I31 I35 J5:J25 J29:K30 J32 J34 J36 K5:M26 L30 M28:M30 N5:N25 N27:N32 O5:O8 O10:O15 O17:O31 O37 P5:P28 P30:P31 P33:Q33 Q5:Q26 Q28:Q31 Q35:Q37 R5:R25 R27 R30 R32 R36 R39 S5:U7 S9:S39 T9:T30 T32:T38 U9:U16 U18:U38 U41 V5:V16 V18:V25 V27:V38 W5:W17 W19:W33 W35:W36 W38:W39 X5:X26 X30:X31 X34 X36:X37 Y5 Y7:Y40 Z5:AA40 AB5:AB9 AB11:AB40 AC5:AC30 AC32:AC40 AD5:AD27 AD30:AD31 AD34:AD35 AD37:AE37 AE5:AE30 AE32:AE34 AE39 AF5:AF9 AF11:AF27 AF29:AF31 AF33 AG5:AG26 AG28 AG30:AH30 AH5:AH16 AH18:AH25 AH27 AH39">
    <cfRule type="containsText" priority="44" operator="between" dxfId="154" text="VACC">
      <formula>NOT(ISERROR(SEARCH("VACC",C5)))</formula>
    </cfRule>
  </conditionalFormatting>
  <conditionalFormatting sqref="C5:C25 C31:F31 C37 D5:D21 D23 D25:D27 E5:E20 E22:E25 E28 F5:F25 F27:F29 F34 G5:H9 G11:H25 G28:G31 G37 H27:H29 H31:I31 H33 I5:I27 I29 J5:K25 J29:K30 J32 L5:M26 L30 M28:M30 N5:N25 N27:N32 O5:O8 O10:O15 O17:O29 O31:Q31 O37 P5:Q26 P28 P33:Q33 Q28:Q29 Q35:Q37 R5:R25 R27 R30 R32 R36 R39 S5:U7 S9:T29 S31:S39 T32:T38 U9:U16 U18:U29 U31:V38 U41 V5:V16 V18:V25 V27:V29 W5:W17 W19:W26 W29 W31:W33 W35:W36 W38:W39 X5:X26 X31 X34 X36:X37 Y5 Y7:Y29 Y31:Y33 Y35:Y40 Z5:AA40 AB5:AB9 AB11:AB40 AC5:AC30 AC32:AC40 AD5:AD27 AD30:AD31 AD34:AD35 AD37:AE37 AE5:AE30 AE32:AE34 AE39 AF5:AF9 AF11:AF12 AF14:AF27 AF29:AF31 AF33 AG5:AG26 AG28 AG30:AH30 AH5:AH16 AH18:AH25 AH27 AH39">
    <cfRule type="expression" priority="56" dxfId="136">
      <formula>WEEKDAY(#REF!,2)&gt;5</formula>
    </cfRule>
  </conditionalFormatting>
  <conditionalFormatting sqref="BP5:BQ41">
    <cfRule type="cellIs" priority="65" operator="lessThan" dxfId="155">
      <formula>1</formula>
    </cfRule>
  </conditionalFormatting>
  <conditionalFormatting sqref="C12 C19:D19 E25 F11 Q35 R36 S12 S29 T12:T13 T19:U19 T22 U7 U12:V12 X36 Y29 Z37 AA6 AA28:AA29 AB9 AB17 AD31 AD37 AE32:AE33 AF29 AH39">
    <cfRule type="expression" priority="33" dxfId="136">
      <formula>WEEKDAY(AC$3,2)&gt;5</formula>
    </cfRule>
  </conditionalFormatting>
  <conditionalFormatting sqref="E25 F28 G24 P8 P12 Q35 R36 S12 S29 T12:T13 T19:U19 T22 U7 U12:V12 U41 X36 Y29 Z37 AA6 AA22 AA28:AA29 AB9 AB12 AB17 AD31 AD37 AE32:AE33 AF29 AH39">
    <cfRule type="expression" priority="34" dxfId="136">
      <formula>WEEKDAY(AB$3,2)&gt;5</formula>
    </cfRule>
  </conditionalFormatting>
  <conditionalFormatting sqref="C9 C12 C19:D19 C23 E11:F11">
    <cfRule type="expression" priority="35" dxfId="136">
      <formula>WEEKDAY(E$3,2)&gt;5</formula>
    </cfRule>
  </conditionalFormatting>
  <conditionalFormatting sqref="C21 C24 D15">
    <cfRule type="expression" priority="9" dxfId="136">
      <formula>WEEKDAY(E$3,2)&gt;5</formula>
    </cfRule>
  </conditionalFormatting>
  <conditionalFormatting sqref="C25 D24 G23:H23 G25:H25 T18">
    <cfRule type="expression" priority="2" dxfId="136">
      <formula>WEEKDAY(U$3,2)&gt;5</formula>
    </cfRule>
  </conditionalFormatting>
  <dataValidations count="2">
    <dataValidation sqref="C5:S5 C6:K6 C7:H7 C8:G8 C9:I9 C10:F10 C11:H11 C12:W12 C13:D13 C14:AH15 C16:J16 C17:F18 C19:AH19 C20:E20 C21:AA21 C22:J22 C23:H24 C25 C26:M26 C27 C28:D28 C29:K29 C30:AH30 C31:I31 C32:D37 C38:AH38 C39:D40 C41:L41 E25:J25 E27 F13 F28:H28 F32 F34 F36 G20:AE20 G27:J27 G37 H10:K10 H13:P13 H17:J17 H18:I18 H33 I8:M8 I35:K35 I37 J7:X7 J11:M11 J23:L23 J24:O24 J32 J34:X34 J36 J39:O39 J40:L40 K9:N9 K18:N18 K31:L31 K33:L33 K37 L16:N16 L25:N25 L28:P28 L32:P32 L36:T36 M6:R6 M10:O10 M27:P27 M29 M35:Q35 M37:O37 N17 N22 N23:Z23 N31 N33:O33 N40:P41 O8:P8 O11:T11 O26:Q26 O29:Q29 P16:W16 P17:U17 P18:Q18 P22 P25:X25 P31:S31 Q9:Y9 Q10:T10 Q24 Q33 Q37 R8 R13:V13 R22 R27:AF27 R28:W28 R39:T39 S18:X18 S24 S26:U26 S29:V29 S32:U32 S33:Y33 S35:X35 S37 S41:AH41 T6:V6 T22 T40 U5:X5 U8 U24:W24 U31:X31 U37:V37 V10:AA10 V11:W11 V36:Y36 V39:X39 V40 W17:AG17 W26 X6 X8 X13 X22:AA22 X29:AB29 X32:AH32 X37 X40 Y11:Y12 Y16:AA16 Y26 Y28:AA28 Z5:AE5 Z6:AD6 Z8 Z13:AE13 Z18:AD18 Z24:AH24 Z25 Z31 Z35:AH35 Z37 Z39 AA7:AF7 AA11:AE11 AA12:AH12 AA26:AD26 AA34:AH34 AA36 AB8:AH8 AB9:AF9 AB23:AC23 AB25 AB31 AB39 AC10:AE10 AC21:AG21 AC22:AD22 AC28 AD16:AH16 AD25:AH25 AD29:AH29 AD31:AF31 AD33:AH33 AD36 AD37:AH37 AD40:AH40 AE23:AH23 AE28:AH28 AF22 AF26 AF36:AH36 AF39:AH39 AG5:AH6 AG10 AG11:AH11 AG13:AH13 AG18:AH18 AG20:AH20 AH7 AH9 AH22 AH26:AH27" showDropDown="1" showInputMessage="0" showErrorMessage="0" allowBlank="1" type="list">
      <formula1>'Setting key Duty'!$B$7:$B$56</formula1>
    </dataValidation>
    <dataValidation sqref="C42:AH48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0"/>
    <pageSetUpPr fitToPage="1"/>
  </sheetPr>
  <dimension ref="A1:BQ48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9.24761904761905" customWidth="1" min="16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4"/>
    <col hidden="1" outlineLevel="1" width="9.38095238095238" customWidth="1" min="35" max="41"/>
    <col collapsed="1" width="6.75238095238095" customWidth="1" min="42" max="42"/>
    <col outlineLevel="1" width="8.87619047619048" customWidth="1" min="43" max="43"/>
    <col outlineLevel="1" width="7.87619047619048" customWidth="1" min="44" max="44"/>
    <col outlineLevel="1" width="9.133333333333329" customWidth="1" min="45" max="45"/>
    <col outlineLevel="1" width="8.24761904761905" customWidth="1" min="46" max="46"/>
    <col outlineLevel="1" width="5.5047619047619" customWidth="1" min="47" max="47"/>
    <col width="9.38095238095238" customWidth="1" min="48" max="50"/>
    <col outlineLevel="1" width="9.38095238095238" customWidth="1" min="51" max="58"/>
    <col outlineLevel="1" width="10" customWidth="1" min="59" max="59"/>
    <col outlineLevel="1" width="9.38095238095238" customWidth="1" min="60" max="65"/>
    <col width="9.38095238095238" customWidth="1" min="66" max="66"/>
    <col width="9.504761904761899" customWidth="1" min="67" max="67"/>
    <col width="9.38095238095238" customWidth="1" min="68" max="69"/>
  </cols>
  <sheetData>
    <row r="1" ht="3" customHeight="1">
      <c r="A1" s="408" t="n"/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0" t="n"/>
      <c r="BQ1" s="291" t="n"/>
    </row>
    <row r="2" ht="26.25" customHeight="1">
      <c r="A2" s="412" t="n"/>
      <c r="B2" s="24" t="inlineStr">
        <is>
          <t>Event Log</t>
        </is>
      </c>
      <c r="C2" s="167" t="inlineStr">
        <is>
          <t>LABOUR DAY</t>
        </is>
      </c>
      <c r="D2" s="167" t="n"/>
      <c r="E2" s="167" t="inlineStr">
        <is>
          <t>POLLING DAY</t>
        </is>
      </c>
      <c r="F2" s="167" t="n"/>
      <c r="G2" s="167" t="n"/>
      <c r="H2" s="167" t="n"/>
      <c r="I2" s="167" t="inlineStr">
        <is>
          <t>D VACC 2</t>
        </is>
      </c>
      <c r="J2" s="167" t="n"/>
      <c r="K2" s="167" t="inlineStr">
        <is>
          <t>C VACC 2</t>
        </is>
      </c>
      <c r="L2" s="167" t="n"/>
      <c r="M2" s="167" t="n"/>
      <c r="N2" s="167" t="inlineStr">
        <is>
          <t>VESAK DAY</t>
        </is>
      </c>
      <c r="O2" s="167" t="inlineStr">
        <is>
          <t>B VACC 1</t>
        </is>
      </c>
      <c r="P2" s="167" t="n"/>
      <c r="Q2" s="167" t="inlineStr">
        <is>
          <t>P VACC 2</t>
        </is>
      </c>
      <c r="R2" s="167" t="inlineStr">
        <is>
          <t>W VACC 2</t>
        </is>
      </c>
      <c r="S2" s="167" t="n"/>
      <c r="T2" s="168" t="n"/>
      <c r="U2" s="167" t="inlineStr">
        <is>
          <t>V VACC 2</t>
        </is>
      </c>
      <c r="V2" s="167" t="n"/>
      <c r="W2" s="167" t="inlineStr">
        <is>
          <t>K VACC 2 N VACC 2</t>
        </is>
      </c>
      <c r="X2" s="167" t="inlineStr">
        <is>
          <t>S VACC 2</t>
        </is>
      </c>
      <c r="Y2" s="167" t="inlineStr">
        <is>
          <t>F VACC 1</t>
        </is>
      </c>
      <c r="Z2" s="167" t="n"/>
      <c r="AA2" s="294" t="n"/>
      <c r="AB2" s="167" t="inlineStr">
        <is>
          <t>A VACC 1 R VACC 2</t>
        </is>
      </c>
      <c r="AC2" s="167" t="inlineStr">
        <is>
          <t>T VACC 1</t>
        </is>
      </c>
      <c r="AD2" s="167" t="inlineStr">
        <is>
          <t>U VACC 1</t>
        </is>
      </c>
      <c r="AE2" s="167" t="inlineStr">
        <is>
          <t>L VACC 1</t>
        </is>
      </c>
      <c r="AF2" s="167" t="inlineStr">
        <is>
          <t>M VACC 1</t>
        </is>
      </c>
      <c r="AG2" s="167" t="n"/>
      <c r="AH2" s="258" t="n"/>
      <c r="AI2" s="218" t="n"/>
      <c r="AJ2" s="218" t="n"/>
      <c r="AK2" s="218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6" t="inlineStr">
        <is>
          <t>0.3125+0.0625+0.5
long+stay+pass12</t>
        </is>
      </c>
      <c r="BB2" s="296" t="n"/>
      <c r="BC2" s="296" t="inlineStr">
        <is>
          <t>0.3125+0.125
Long hr+aft 1730</t>
        </is>
      </c>
      <c r="BD2" s="296" t="n"/>
      <c r="BE2" s="296" t="inlineStr">
        <is>
          <t>0.125+0.125+0.0625
Bef 0730+Aft1730+stay</t>
        </is>
      </c>
      <c r="BF2" s="296" t="n"/>
      <c r="BG2" s="296" t="n"/>
      <c r="BH2" s="296" t="inlineStr">
        <is>
          <t>0.125
after 1730</t>
        </is>
      </c>
      <c r="BI2" s="296" t="n"/>
      <c r="BJ2" s="296" t="inlineStr">
        <is>
          <t>stay in+ bef 0730</t>
        </is>
      </c>
      <c r="BK2" s="296" t="n"/>
      <c r="BL2" s="296" t="n"/>
      <c r="BM2" s="296" t="n"/>
      <c r="BN2" s="295" t="n"/>
      <c r="BO2" s="295" t="n"/>
      <c r="BP2" s="295" t="n"/>
      <c r="BQ2" s="297" t="n"/>
    </row>
    <row r="3" ht="26.25" customHeight="1">
      <c r="A3" s="412" t="n"/>
      <c r="B3" s="24" t="inlineStr">
        <is>
          <t>Rostering</t>
        </is>
      </c>
      <c r="C3" s="419" t="n">
        <v>45778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7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7">
        <f>S3+1</f>
        <v/>
      </c>
      <c r="U3" s="414">
        <f>T3+1</f>
        <v/>
      </c>
      <c r="V3" s="414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7">
        <f>AF3+1</f>
        <v/>
      </c>
      <c r="AH3" s="414">
        <f>AG3+1</f>
        <v/>
      </c>
      <c r="AI3" s="221">
        <f>'Setting key Duty'!$C7</f>
        <v/>
      </c>
      <c r="AJ3" s="222">
        <f>'Setting key Duty'!$C8</f>
        <v/>
      </c>
      <c r="AK3" s="223">
        <f>'Setting key Duty'!$C9</f>
        <v/>
      </c>
      <c r="AL3" s="302">
        <f>'Setting key Duty'!$C11</f>
        <v/>
      </c>
      <c r="AM3" s="302">
        <f>'Setting key Duty'!$C12</f>
        <v/>
      </c>
      <c r="AN3" s="302">
        <f>'Setting key Duty'!$C13</f>
        <v/>
      </c>
      <c r="AO3" s="302">
        <f>'Setting key Duty'!C14</f>
        <v/>
      </c>
      <c r="AP3" s="223" t="n"/>
      <c r="AQ3" s="223" t="inlineStr">
        <is>
          <t>Weekday Duty</t>
        </is>
      </c>
      <c r="AR3" s="223" t="inlineStr">
        <is>
          <t>Weekday Extra</t>
        </is>
      </c>
      <c r="AS3" s="223" t="inlineStr">
        <is>
          <t>Weekend Duty</t>
        </is>
      </c>
      <c r="AT3" s="223" t="inlineStr">
        <is>
          <t>Weekend Extra</t>
        </is>
      </c>
      <c r="AU3" s="223" t="inlineStr">
        <is>
          <t>Duty Point</t>
        </is>
      </c>
      <c r="AV3" s="223" t="inlineStr">
        <is>
          <t>Total Duty</t>
        </is>
      </c>
      <c r="AW3" s="223" t="inlineStr">
        <is>
          <t>Total Cover</t>
        </is>
      </c>
      <c r="AX3" s="223" t="inlineStr">
        <is>
          <t>Total Point</t>
        </is>
      </c>
      <c r="AY3" s="223" t="inlineStr">
        <is>
          <t>Total Cover
Point</t>
        </is>
      </c>
      <c r="AZ3" s="223" t="inlineStr">
        <is>
          <t>Bedok RT</t>
        </is>
      </c>
      <c r="BA3" s="302" t="inlineStr">
        <is>
          <t>BTP</t>
        </is>
      </c>
      <c r="BB3" s="302" t="inlineStr">
        <is>
          <t>$BTP
Point</t>
        </is>
      </c>
      <c r="BC3" s="302" t="inlineStr">
        <is>
          <t>Long Cover</t>
        </is>
      </c>
      <c r="BD3" s="302" t="inlineStr">
        <is>
          <t>$L
Point</t>
        </is>
      </c>
      <c r="BE3" s="302" t="inlineStr">
        <is>
          <t>Mid Cover</t>
        </is>
      </c>
      <c r="BF3" s="302" t="inlineStr">
        <is>
          <t>$M 
Point</t>
        </is>
      </c>
      <c r="BG3" s="302" t="inlineStr">
        <is>
          <t>Cover
 Normal Hour</t>
        </is>
      </c>
      <c r="BH3" s="302" t="inlineStr">
        <is>
          <t>Cover
After Hour</t>
        </is>
      </c>
      <c r="BI3" s="302" t="inlineStr">
        <is>
          <t>$PM
Point</t>
        </is>
      </c>
      <c r="BJ3" s="302" t="inlineStr">
        <is>
          <t>Cover
Early</t>
        </is>
      </c>
      <c r="BK3" s="302" t="inlineStr">
        <is>
          <t>$AM
Point</t>
        </is>
      </c>
      <c r="BL3" s="302">
        <f>'Setting key Duty'!C52</f>
        <v/>
      </c>
      <c r="BM3" s="302" t="inlineStr">
        <is>
          <t>$FC
Point</t>
        </is>
      </c>
      <c r="BN3" s="302">
        <f>'Setting key Duty'!$C15</f>
        <v/>
      </c>
      <c r="BO3" s="302">
        <f>'Setting key Duty'!C17</f>
        <v/>
      </c>
      <c r="BP3" s="302">
        <f>'Setting key Duty'!$C22</f>
        <v/>
      </c>
      <c r="BQ3" s="297" t="n"/>
    </row>
    <row r="4" ht="18" customHeight="1">
      <c r="A4" s="303" t="n"/>
      <c r="B4" s="260" t="inlineStr">
        <is>
          <t>Updated on: 26/10/2022</t>
        </is>
      </c>
      <c r="C4" s="418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8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8">
        <f>TEXT(T3,"ddd")</f>
        <v/>
      </c>
      <c r="U4" s="415">
        <f>TEXT(U3,"ddd")</f>
        <v/>
      </c>
      <c r="V4" s="415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8">
        <f>TEXT(AG3,"ddd")</f>
        <v/>
      </c>
      <c r="AH4" s="415">
        <f>TEXT(AH3,"ddd")</f>
        <v/>
      </c>
      <c r="AI4" s="227">
        <f>'Setting key Duty'!$B7</f>
        <v/>
      </c>
      <c r="AJ4" s="228">
        <f>'Setting key Duty'!$B8</f>
        <v/>
      </c>
      <c r="AK4" s="229">
        <f>'Setting key Duty'!$B9</f>
        <v/>
      </c>
      <c r="AL4" s="307">
        <f>'Setting key Duty'!$B11</f>
        <v/>
      </c>
      <c r="AM4" s="307">
        <f>'Setting key Duty'!$B12</f>
        <v/>
      </c>
      <c r="AN4" s="307">
        <f>'Setting key Duty'!$B13</f>
        <v/>
      </c>
      <c r="AO4" s="307">
        <f>'Setting key Duty'!B14</f>
        <v/>
      </c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inlineStr">
        <is>
          <t>BRT</t>
        </is>
      </c>
      <c r="BA4" s="307" t="inlineStr">
        <is>
          <t>$BTP</t>
        </is>
      </c>
      <c r="BB4" s="307" t="n"/>
      <c r="BC4" s="307" t="inlineStr">
        <is>
          <t>$L</t>
        </is>
      </c>
      <c r="BD4" s="307" t="n"/>
      <c r="BE4" s="307" t="inlineStr">
        <is>
          <t>$M</t>
        </is>
      </c>
      <c r="BF4" s="307" t="n"/>
      <c r="BG4" s="307" t="inlineStr">
        <is>
          <t>$N</t>
        </is>
      </c>
      <c r="BH4" s="307" t="inlineStr">
        <is>
          <t>$PM</t>
        </is>
      </c>
      <c r="BI4" s="307" t="n"/>
      <c r="BJ4" s="307" t="inlineStr">
        <is>
          <t>$AM</t>
        </is>
      </c>
      <c r="BK4" s="307" t="n"/>
      <c r="BL4" s="307">
        <f>'Setting key Duty'!B52</f>
        <v/>
      </c>
      <c r="BM4" s="307" t="n"/>
      <c r="BN4" s="307">
        <f>'Setting key Duty'!$B15</f>
        <v/>
      </c>
      <c r="BO4" s="307">
        <f>'Setting key Duty'!B17</f>
        <v/>
      </c>
      <c r="BP4" s="307">
        <f>'Setting key Duty'!$B22</f>
        <v/>
      </c>
      <c r="BQ4" s="308" t="n"/>
    </row>
    <row r="5" ht="19.5" customHeight="1">
      <c r="A5" s="309" t="n"/>
      <c r="B5" s="373" t="inlineStr">
        <is>
          <t>LCP MUHAMAD LUTFIL AL-HADI</t>
        </is>
      </c>
      <c r="C5" s="197" t="inlineStr">
        <is>
          <t>CS1</t>
        </is>
      </c>
      <c r="D5" s="197" t="n"/>
      <c r="E5" s="197" t="n"/>
      <c r="F5" s="197" t="inlineStr">
        <is>
          <t>RESERVE</t>
        </is>
      </c>
      <c r="H5" s="197" t="n"/>
      <c r="I5" s="197" t="n"/>
      <c r="J5" s="317" t="inlineStr">
        <is>
          <t>CS2</t>
        </is>
      </c>
      <c r="K5" s="197" t="n"/>
      <c r="L5" s="197" t="inlineStr">
        <is>
          <t>CS1</t>
        </is>
      </c>
      <c r="M5" s="197" t="n"/>
      <c r="N5" s="196" t="n"/>
      <c r="O5" s="197" t="inlineStr">
        <is>
          <t>CS2</t>
        </is>
      </c>
      <c r="P5" s="197" t="n"/>
      <c r="Q5" s="197" t="n"/>
      <c r="R5" s="197" t="n"/>
      <c r="S5" s="197" t="inlineStr">
        <is>
          <t>CS1</t>
        </is>
      </c>
      <c r="U5" s="197" t="n"/>
      <c r="V5" s="197" t="inlineStr">
        <is>
          <t>CS2</t>
        </is>
      </c>
      <c r="W5" s="197" t="n"/>
      <c r="X5" s="197" t="n"/>
      <c r="Z5" s="197" t="inlineStr">
        <is>
          <t>CS2</t>
        </is>
      </c>
      <c r="AA5" s="197" t="n"/>
      <c r="AB5" s="197" t="n"/>
      <c r="AC5" s="197" t="n"/>
      <c r="AE5" s="197" t="n"/>
      <c r="AF5" s="197" t="inlineStr">
        <is>
          <t>PM MA</t>
        </is>
      </c>
      <c r="AG5" s="197" t="n"/>
      <c r="AH5" s="197" t="n"/>
      <c r="AI5" s="311" t="n"/>
      <c r="AJ5" s="312" t="n"/>
      <c r="AK5" s="311" t="n"/>
      <c r="AL5" s="313" t="n"/>
      <c r="AM5" s="313" t="n"/>
      <c r="AN5" s="313" t="n"/>
      <c r="AO5" s="313" t="n"/>
      <c r="AP5" s="238" t="n"/>
      <c r="AQ5" s="313">
        <f>SUMPRODUCT(--WEEKDAY(C$3:AG$3,2)&lt;6,--((C5:AG5="DM"))+(C5:AG5="CS1")+((C5:AG5="CS2"))+(C5:AG5="SB1")+(C5:AG5="AE")+(C5:AG5="EM"))</f>
        <v/>
      </c>
      <c r="AR5" s="238" t="n"/>
      <c r="AS5" s="238">
        <f>SUMPRODUCT(--WEEKDAY(C$3:AG$3,2)&gt;5,--((C5:AG5="DM"))+(C5:AG5="CS1")+((C5:AG5="CS2"))+(C5:AG5="SB1")+(C5:AG5="AE")+(C5:AG5="EM"))</f>
        <v/>
      </c>
      <c r="AT5" s="238" t="n"/>
      <c r="AU5" s="238">
        <f>(AQ5-AR5)/2+(AS5-AT5)</f>
        <v/>
      </c>
      <c r="AV5" s="238">
        <f>AI5+AJ5+AK5+AL5+AN5+AO5</f>
        <v/>
      </c>
      <c r="AW5" s="238">
        <f>BG5+BH5+BJ5+BE5+BC5+BA5+BL5</f>
        <v/>
      </c>
      <c r="AX5" s="238">
        <f>AU5+$AY$10</f>
        <v/>
      </c>
      <c r="AY5" s="313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/>
      </c>
      <c r="AZ5" s="313">
        <f>COUNTIF(D5:AA5,"*BRT*")</f>
        <v/>
      </c>
      <c r="BA5" s="313">
        <f>COUNTIF(A5:AI5,"*$BTP*")</f>
        <v/>
      </c>
      <c r="BB5" s="313">
        <f>BA5*('Setting key Duty'!$I$13+'Setting key Duty'!$I$12+'Setting key Duty'!$I$11)</f>
        <v/>
      </c>
      <c r="BC5" s="313">
        <f>COUNTIF(A5:AI5,"*$L*")</f>
        <v/>
      </c>
      <c r="BD5" s="313">
        <f>BC5*('Setting key Duty'!$I$13+'Setting key Duty'!$I$9)</f>
        <v/>
      </c>
      <c r="BE5" s="313">
        <f>COUNTIF(A5:AI5,"*$M*")</f>
        <v/>
      </c>
      <c r="BF5" s="313">
        <f>BE5*('Setting key Duty'!$I$8+'Setting key Duty'!$I$9+'Setting key Duty'!$I$12)</f>
        <v/>
      </c>
      <c r="BG5" s="313">
        <f>COUNTIF(AI5,"*$N*")</f>
        <v/>
      </c>
      <c r="BH5" s="313">
        <f>COUNTIF(AI5,"*$PM*")</f>
        <v/>
      </c>
      <c r="BI5" s="313">
        <f>BH5*('Setting key Duty'!$I$9)</f>
        <v/>
      </c>
      <c r="BJ5" s="313">
        <f>COUNTIF(A5:AI5,"*$AM*")</f>
        <v/>
      </c>
      <c r="BK5" s="313">
        <f>BJ5*('Setting key Duty'!$I$12+'Setting key Duty'!$I$8)</f>
        <v/>
      </c>
      <c r="BL5" s="313">
        <f>COUNTIF(D5:AI5,"*$FC*")</f>
        <v/>
      </c>
      <c r="BM5" s="313">
        <f>BL5*('Setting key Duty'!$J$11+'Setting key Duty'!$I$8)</f>
        <v/>
      </c>
      <c r="BN5" s="313">
        <f>COUNTIF($D5:$AA5,BN$4)</f>
        <v/>
      </c>
      <c r="BO5" s="313">
        <f>COUNTIF($D5:$AA5,BO$4)</f>
        <v/>
      </c>
      <c r="BP5" s="313">
        <f>COUNTIF($D5:$AA5,BP$4)</f>
        <v/>
      </c>
      <c r="BQ5" s="314" t="n"/>
    </row>
    <row r="6" ht="36" customHeight="1">
      <c r="A6" s="309" t="n"/>
      <c r="B6" s="374" t="inlineStr">
        <is>
          <t>CPL MUHAMMAD IZZAN RIZAL</t>
        </is>
      </c>
      <c r="C6" s="197" t="n"/>
      <c r="D6" s="197" t="inlineStr">
        <is>
          <t>DM</t>
        </is>
      </c>
      <c r="E6" s="197" t="n"/>
      <c r="F6" s="197" t="n"/>
      <c r="G6" s="197" t="n"/>
      <c r="H6" s="197" t="inlineStr">
        <is>
          <t>CS2</t>
        </is>
      </c>
      <c r="I6" s="197" t="n"/>
      <c r="J6" s="197" t="n"/>
      <c r="K6" s="317" t="inlineStr">
        <is>
          <t>CS2</t>
        </is>
      </c>
      <c r="L6" s="197" t="n"/>
      <c r="M6" s="197" t="n"/>
      <c r="N6" s="196" t="n"/>
      <c r="O6" s="197" t="n"/>
      <c r="P6" s="197" t="inlineStr">
        <is>
          <t>OL</t>
        </is>
      </c>
      <c r="Q6" s="197" t="inlineStr">
        <is>
          <t>OL</t>
        </is>
      </c>
      <c r="R6" s="197" t="inlineStr">
        <is>
          <t>OL</t>
        </is>
      </c>
      <c r="S6" s="197" t="inlineStr">
        <is>
          <t>OL</t>
        </is>
      </c>
      <c r="T6" s="197" t="inlineStr">
        <is>
          <t>OL</t>
        </is>
      </c>
      <c r="U6" s="197" t="inlineStr">
        <is>
          <t>MC</t>
        </is>
      </c>
      <c r="V6" s="197" t="inlineStr">
        <is>
          <t>NSC</t>
        </is>
      </c>
      <c r="X6" s="197" t="inlineStr">
        <is>
          <t>R $M 12KM RM (1600-2359)</t>
        </is>
      </c>
      <c r="Z6" s="197" t="inlineStr">
        <is>
          <t>DENTAL</t>
        </is>
      </c>
      <c r="AA6" s="197" t="n"/>
      <c r="AB6" s="197" t="inlineStr">
        <is>
          <t>DM</t>
        </is>
      </c>
      <c r="AC6" s="197" t="n"/>
      <c r="AE6" s="197" t="inlineStr">
        <is>
          <t>DM</t>
        </is>
      </c>
      <c r="AF6" s="106" t="n"/>
      <c r="AG6" s="197" t="n"/>
      <c r="AH6" s="197" t="inlineStr">
        <is>
          <t>DM</t>
        </is>
      </c>
      <c r="AI6" s="311">
        <f>COUNTIF($D6:$AE6,AI$4)</f>
        <v/>
      </c>
      <c r="AJ6" s="312">
        <f>COUNTIF($D6:$AE6,AJ$4)</f>
        <v/>
      </c>
      <c r="AK6" s="311">
        <f>COUNTIF($D6:$AE6,AK$4)</f>
        <v/>
      </c>
      <c r="AL6" s="313">
        <f>COUNTIF($D6:$AE6,AL$4)</f>
        <v/>
      </c>
      <c r="AM6" s="313">
        <f>COUNTIF($D6:$AE6,AM$4)</f>
        <v/>
      </c>
      <c r="AN6" s="313">
        <f>COUNTIF($D6:$AE6,AN$4)</f>
        <v/>
      </c>
      <c r="AO6" s="313">
        <f>COUNTIF($D6:$AE6,AO$4)</f>
        <v/>
      </c>
      <c r="AP6" s="238" t="n"/>
      <c r="AQ6" s="313">
        <f>SUMPRODUCT(--WEEKDAY(C$3:AG$3,2)&lt;6,--((C6:AG6="DM"))+(C6:AG6="CS1")+((C6:AG6="CS2"))+(C6:AG6="SB1")+(C6:AG6="AE")+(C6:AG6="EM"))</f>
        <v/>
      </c>
      <c r="AR6" s="238" t="n"/>
      <c r="AS6" s="238">
        <f>SUMPRODUCT(--WEEKDAY(C$3:AG$3,2)&gt;5,--((C6:AG6="DM"))+(C6:AG6="CS1")+((C6:AG6="CS2"))+(C6:AG6="SB1")+(C6:AG6="AE")+(C6:AG6="EM"))</f>
        <v/>
      </c>
      <c r="AT6" s="238" t="n"/>
      <c r="AU6" s="238">
        <f>(AQ6-AR6)/2+(AS6-AT6)</f>
        <v/>
      </c>
      <c r="AV6" s="238">
        <f>AI6+AJ6+AK6+AL6+AN6+AO6</f>
        <v/>
      </c>
      <c r="AW6" s="238">
        <f>AU6+AY6</f>
        <v/>
      </c>
      <c r="AX6" s="238">
        <f>AU6+AY6</f>
        <v/>
      </c>
      <c r="AY6" s="313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/>
      </c>
      <c r="AZ6" s="313">
        <f>COUNTIF(D6:AE6,"*BRT*")</f>
        <v/>
      </c>
      <c r="BA6" s="313">
        <f>COUNTIF(A6:AI6,"*$BTP*")</f>
        <v/>
      </c>
      <c r="BB6" s="313">
        <f>BA6*('Setting key Duty'!$I$13+'Setting key Duty'!$I$12+'Setting key Duty'!$I$11)</f>
        <v/>
      </c>
      <c r="BC6" s="313">
        <f>COUNTIF(A6:AI6,"*$L*")</f>
        <v/>
      </c>
      <c r="BD6" s="313">
        <f>BC6*('Setting key Duty'!$I$13+'Setting key Duty'!$I$9)</f>
        <v/>
      </c>
      <c r="BE6" s="313">
        <f>COUNTIF(A6:AI6,"*$M*")</f>
        <v/>
      </c>
      <c r="BF6" s="313">
        <f>BE6*('Setting key Duty'!$I$8+'Setting key Duty'!$I$9+'Setting key Duty'!$I$12)</f>
        <v/>
      </c>
      <c r="BG6" s="313">
        <f>COUNTIF(AE6:AI6,"*$N*")</f>
        <v/>
      </c>
      <c r="BH6" s="313">
        <f>COUNTIF(AE6:AI6,"*$PM*")</f>
        <v/>
      </c>
      <c r="BI6" s="313">
        <f>BH6*('Setting key Duty'!$I$9)</f>
        <v/>
      </c>
      <c r="BJ6" s="313">
        <f>COUNTIF(A6:AI6,"*$AM*")</f>
        <v/>
      </c>
      <c r="BK6" s="313">
        <f>BJ6*('Setting key Duty'!$I$12+'Setting key Duty'!$I$8)</f>
        <v/>
      </c>
      <c r="BL6" s="313">
        <f>COUNTIF(D6:AI6,"*$FC*")</f>
        <v/>
      </c>
      <c r="BM6" s="313">
        <f>BL6*('Setting key Duty'!$J$11+'Setting key Duty'!$I$8)</f>
        <v/>
      </c>
      <c r="BN6" s="313">
        <f>COUNTIF($D6:$AE6,BN$4)</f>
        <v/>
      </c>
      <c r="BO6" s="313">
        <f>COUNTIF($D6:$AE6,BO$4)</f>
        <v/>
      </c>
      <c r="BP6" s="313">
        <f>COUNTIF($D6:$AE6,BP$4)</f>
        <v/>
      </c>
      <c r="BQ6" s="314" t="n"/>
    </row>
    <row r="7" ht="19.5" customHeight="1">
      <c r="A7" s="309" t="n"/>
      <c r="B7" s="322" t="inlineStr">
        <is>
          <t>CPL KARTHIKRAM KRISHNAN</t>
        </is>
      </c>
      <c r="D7" s="197" t="n"/>
      <c r="E7" s="197" t="inlineStr">
        <is>
          <t>DM</t>
        </is>
      </c>
      <c r="F7" s="197" t="n"/>
      <c r="G7" s="317" t="n"/>
      <c r="H7" s="197" t="inlineStr">
        <is>
          <t>RESERVE</t>
        </is>
      </c>
      <c r="J7" s="197" t="inlineStr">
        <is>
          <t>DM</t>
        </is>
      </c>
      <c r="K7" s="197" t="n"/>
      <c r="L7" s="197" t="n"/>
      <c r="M7" s="197" t="n"/>
      <c r="N7" s="196" t="inlineStr">
        <is>
          <t>DM</t>
        </is>
      </c>
      <c r="O7" s="197" t="n"/>
      <c r="P7" s="197" t="n"/>
      <c r="Q7" s="197" t="inlineStr">
        <is>
          <t>RESERVE</t>
        </is>
      </c>
      <c r="R7" s="197" t="n"/>
      <c r="S7" s="197" t="inlineStr">
        <is>
          <t>DM</t>
        </is>
      </c>
      <c r="T7" s="350" t="n"/>
      <c r="U7" s="197" t="inlineStr">
        <is>
          <t>CS2</t>
        </is>
      </c>
      <c r="V7" s="197" t="n"/>
      <c r="X7" s="197" t="n"/>
      <c r="Y7" s="197" t="inlineStr">
        <is>
          <t>RESERVE</t>
        </is>
      </c>
      <c r="AA7" s="197" t="n"/>
      <c r="AB7" s="197" t="inlineStr">
        <is>
          <t>D $M 12KM(1400-2359)</t>
        </is>
      </c>
      <c r="AC7" s="197" t="n"/>
      <c r="AF7" s="197" t="n"/>
      <c r="AG7" s="197" t="inlineStr">
        <is>
          <t>DM</t>
        </is>
      </c>
      <c r="AH7" s="197" t="n"/>
      <c r="AI7" s="311">
        <f>COUNTIF(#REF!,AI$4)</f>
        <v/>
      </c>
      <c r="AJ7" s="312">
        <f>COUNTIF(#REF!,AJ$4)</f>
        <v/>
      </c>
      <c r="AK7" s="311">
        <f>COUNTIF(#REF!,AK$4)</f>
        <v/>
      </c>
      <c r="AL7" s="313">
        <f>COUNTIF(#REF!,AL$4)</f>
        <v/>
      </c>
      <c r="AM7" s="313">
        <f>COUNTIF(#REF!,AM$4)</f>
        <v/>
      </c>
      <c r="AN7" s="313">
        <f>COUNTIF(#REF!,AN$4)</f>
        <v/>
      </c>
      <c r="AO7" s="313">
        <f>COUNTIF(#REF!,AO$4)</f>
        <v/>
      </c>
      <c r="AP7" s="238" t="n"/>
      <c r="AQ7" s="313">
        <f>SUMPRODUCT(--WEEKDAY(C$3:AG$3,2)&lt;6,--((C7:AG7="DM"))+(C7:AG7="CS1")+((C7:AG7="CS2"))+(C7:AG7="SB1")+(C7:AG7="AE")+(C7:AG7="EM"))</f>
        <v/>
      </c>
      <c r="AR7" s="238" t="n"/>
      <c r="AS7" s="238">
        <f>SUMPRODUCT(--WEEKDAY(C$3:AG$3,2)&gt;5,--((C7:AG7="DM"))+(C7:AG7="CS1")+((C7:AG7="CS2"))+(C7:AG7="SB1")+(C7:AG7="AE")+(C7:AG7="EM"))</f>
        <v/>
      </c>
      <c r="AT7" s="238" t="n"/>
      <c r="AU7" s="238">
        <f>(AQ7-AR7)/2+(AS7-AT7)</f>
        <v/>
      </c>
      <c r="AV7" s="238">
        <f>AI7+AJ7+AK7+AL7+AN7+AO7</f>
        <v/>
      </c>
      <c r="AW7" s="238">
        <f>BG7+BH7+BJ7+BE7+BC7+BA7+BL7</f>
        <v/>
      </c>
      <c r="AX7" s="238">
        <f>AU7+AY7</f>
        <v/>
      </c>
      <c r="AY7" s="313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/>
      </c>
      <c r="AZ7" s="313">
        <f>COUNTIF(#REF!,"*BRT*")</f>
        <v/>
      </c>
      <c r="BA7" s="313">
        <f>COUNTIF(A7:AI7,"*$BTP*")</f>
        <v/>
      </c>
      <c r="BB7" s="313">
        <f>BA7*('Setting key Duty'!$I$13+'Setting key Duty'!$I$12+'Setting key Duty'!$I$11)</f>
        <v/>
      </c>
      <c r="BC7" s="313">
        <f>COUNTIF(A7:AI7,"*$L*")</f>
        <v/>
      </c>
      <c r="BD7" s="313">
        <f>BC7*('Setting key Duty'!$I$13+'Setting key Duty'!$I$9)</f>
        <v/>
      </c>
      <c r="BE7" s="313">
        <f>COUNTIF(A7:AI7,"*$M*")</f>
        <v/>
      </c>
      <c r="BF7" s="313">
        <f>BE7*('Setting key Duty'!$I$8+'Setting key Duty'!$I$9+'Setting key Duty'!$I$12)</f>
        <v/>
      </c>
      <c r="BG7" s="313">
        <f>COUNTIF(A7:AI7,"*$N*")</f>
        <v/>
      </c>
      <c r="BH7" s="313">
        <f>COUNTIF(AF7:AI7,"*$PM*")</f>
        <v/>
      </c>
      <c r="BI7" s="313">
        <f>BH7*('Setting key Duty'!$I$9)</f>
        <v/>
      </c>
      <c r="BJ7" s="313">
        <f>COUNTIF(A7:AI7,"*$AM*")</f>
        <v/>
      </c>
      <c r="BK7" s="313">
        <f>BJ7*('Setting key Duty'!$I$12+'Setting key Duty'!$I$8)</f>
        <v/>
      </c>
      <c r="BL7" s="313">
        <f>COUNTIF(D7:AI7,"*$FC*")</f>
        <v/>
      </c>
      <c r="BM7" s="313">
        <f>BL7*('Setting key Duty'!$J$11+'Setting key Duty'!$I$8)</f>
        <v/>
      </c>
      <c r="BN7" s="313">
        <f>COUNTIF(#REF!,BN$4)</f>
        <v/>
      </c>
      <c r="BO7" s="313">
        <f>COUNTIF(#REF!,BO$4)</f>
        <v/>
      </c>
      <c r="BP7" s="313">
        <f>COUNTIF(#REF!,BP$4)</f>
        <v/>
      </c>
      <c r="BQ7" s="314" t="n"/>
    </row>
    <row r="8" ht="19.5" customHeight="1">
      <c r="A8" s="309" t="n"/>
      <c r="B8" s="334" t="inlineStr">
        <is>
          <t>CPL MUHAMMAD AQIL BIN ABDULLAH</t>
        </is>
      </c>
      <c r="C8" s="197" t="n"/>
      <c r="D8" s="197" t="n"/>
      <c r="E8" s="197" t="n"/>
      <c r="F8" s="197" t="inlineStr">
        <is>
          <t>CS2</t>
        </is>
      </c>
      <c r="G8" s="197" t="n"/>
      <c r="H8" s="324" t="inlineStr">
        <is>
          <t>DM</t>
        </is>
      </c>
      <c r="I8" s="197" t="n"/>
      <c r="J8" s="197" t="n"/>
      <c r="K8" s="321" t="inlineStr">
        <is>
          <t>OL</t>
        </is>
      </c>
      <c r="L8" s="321" t="inlineStr">
        <is>
          <t>OL</t>
        </is>
      </c>
      <c r="M8" s="321" t="inlineStr">
        <is>
          <t>OL</t>
        </is>
      </c>
      <c r="N8" s="321" t="inlineStr">
        <is>
          <t>OL</t>
        </is>
      </c>
      <c r="O8" s="321" t="n"/>
      <c r="P8" s="197" t="n"/>
      <c r="R8" s="321" t="inlineStr">
        <is>
          <t>DM</t>
        </is>
      </c>
      <c r="S8" s="106" t="n"/>
      <c r="T8" s="197" t="n"/>
      <c r="U8" s="317" t="n"/>
      <c r="V8" s="324" t="inlineStr">
        <is>
          <t>DM</t>
        </is>
      </c>
      <c r="X8" s="197" t="n"/>
      <c r="Y8" s="317" t="inlineStr">
        <is>
          <t>DM</t>
        </is>
      </c>
      <c r="Z8" s="197" t="n"/>
      <c r="AB8" s="197" t="n"/>
      <c r="AE8" s="197" t="inlineStr">
        <is>
          <t>CS2</t>
        </is>
      </c>
      <c r="AG8" s="197" t="n"/>
      <c r="AH8" s="197" t="n"/>
      <c r="AI8" s="311" t="n"/>
      <c r="AJ8" s="312" t="n"/>
      <c r="AK8" s="311" t="n"/>
      <c r="AL8" s="313" t="n"/>
      <c r="AM8" s="313" t="n"/>
      <c r="AN8" s="313" t="n"/>
      <c r="AO8" s="313" t="n"/>
      <c r="AP8" s="238" t="n"/>
      <c r="AQ8" s="313">
        <f>SUMPRODUCT(--WEEKDAY(C$3:AG$3,2)&lt;6,--((C8:AG8="DM"))+(C8:AG8="CS1")+((C8:AG8="CS2"))+(C8:AG8="SB1")+(C8:AG8="AE")+(C8:AG8="EM"))</f>
        <v/>
      </c>
      <c r="AR8" s="238" t="n"/>
      <c r="AS8" s="238">
        <f>SUMPRODUCT(--WEEKDAY(C$3:AG$3,2)&gt;5,--((C8:AG8="DM"))+(C8:AG8="CS1")+((C8:AG8="CS2"))+(C8:AG8="SB1")+(C8:AG8="AE")+(C8:AG8="EM"))</f>
        <v/>
      </c>
      <c r="AT8" s="238" t="n"/>
      <c r="AU8" s="238">
        <f>(AQ8-AR8)/2+(AS8-AT8)</f>
        <v/>
      </c>
      <c r="AV8" s="238">
        <f>AI8+AJ8+AK8+AL8+AN8+AO8</f>
        <v/>
      </c>
      <c r="AW8" s="238">
        <f>BG8+BH8+BJ8+BE8+BC8+BA8+BL8</f>
        <v/>
      </c>
      <c r="AX8" s="238">
        <f>AU8+AY8</f>
        <v/>
      </c>
      <c r="AY8" s="313" t="n"/>
      <c r="AZ8" s="313" t="n"/>
      <c r="BA8" s="313" t="n"/>
      <c r="BB8" s="313" t="n"/>
      <c r="BC8" s="313" t="n"/>
      <c r="BD8" s="313" t="n"/>
      <c r="BE8" s="313" t="n"/>
      <c r="BF8" s="313" t="n"/>
      <c r="BG8" s="313" t="n"/>
      <c r="BH8" s="313" t="n"/>
      <c r="BI8" s="313" t="n"/>
      <c r="BJ8" s="313" t="n"/>
      <c r="BK8" s="313" t="n"/>
      <c r="BL8" s="313" t="n"/>
      <c r="BM8" s="313" t="n"/>
      <c r="BN8" s="313" t="n"/>
      <c r="BO8" s="313" t="n"/>
      <c r="BP8" s="313" t="n"/>
      <c r="BQ8" s="314" t="n"/>
    </row>
    <row r="9" ht="19.5" customHeight="1">
      <c r="A9" s="309" t="n"/>
      <c r="B9" s="327" t="inlineStr">
        <is>
          <t>CFC FARABI BIN ZULKIFLI</t>
        </is>
      </c>
      <c r="D9" s="197" t="inlineStr">
        <is>
          <t>RESERVE</t>
        </is>
      </c>
      <c r="E9" s="197" t="n"/>
      <c r="F9" s="317" t="n"/>
      <c r="G9" s="197" t="inlineStr">
        <is>
          <t>DM</t>
        </is>
      </c>
      <c r="H9" s="197" t="n"/>
      <c r="I9" s="197" t="inlineStr">
        <is>
          <t>RESERVE</t>
        </is>
      </c>
      <c r="K9" s="1" t="inlineStr">
        <is>
          <t>PMO</t>
        </is>
      </c>
      <c r="L9" s="197" t="n"/>
      <c r="M9" s="317" t="n"/>
      <c r="N9" s="196" t="n"/>
      <c r="O9" s="324" t="inlineStr">
        <is>
          <t>DM</t>
        </is>
      </c>
      <c r="Q9" s="197" t="n"/>
      <c r="R9" s="197" t="n"/>
      <c r="S9" s="197" t="inlineStr">
        <is>
          <t>CS2</t>
        </is>
      </c>
      <c r="T9" s="197" t="n"/>
      <c r="U9" s="317" t="inlineStr">
        <is>
          <t>DM</t>
        </is>
      </c>
      <c r="V9" s="197" t="inlineStr">
        <is>
          <t>NSC</t>
        </is>
      </c>
      <c r="W9" s="197" t="n"/>
      <c r="X9" s="317" t="inlineStr">
        <is>
          <t>RESERVE</t>
        </is>
      </c>
      <c r="Y9" s="197" t="n"/>
      <c r="Z9" s="197" t="inlineStr">
        <is>
          <t>CS1</t>
        </is>
      </c>
      <c r="AB9" s="197" t="inlineStr">
        <is>
          <t>RESERVE</t>
        </is>
      </c>
      <c r="AC9" s="197" t="n"/>
      <c r="AE9" s="197" t="inlineStr">
        <is>
          <t>SB1</t>
        </is>
      </c>
      <c r="AF9" s="197" t="n"/>
      <c r="AG9" s="197" t="inlineStr">
        <is>
          <t>CS2</t>
        </is>
      </c>
      <c r="AH9" s="197" t="n"/>
      <c r="AI9" s="311" t="n"/>
      <c r="AJ9" s="312" t="n"/>
      <c r="AK9" s="311" t="n"/>
      <c r="AL9" s="313" t="n"/>
      <c r="AM9" s="313" t="n"/>
      <c r="AN9" s="313" t="n"/>
      <c r="AO9" s="313" t="n"/>
      <c r="AP9" s="238" t="n"/>
      <c r="AQ9" s="313">
        <f>SUMPRODUCT(--WEEKDAY(C$3:AG$3,2)&lt;6,--((C9:AG9="DM"))+(C9:AG9="CS1")+((C9:AG9="CS2"))+(C9:AG9="SB1")+(C9:AG9="AE")+(C9:AG9="EM"))</f>
        <v/>
      </c>
      <c r="AR9" s="238" t="n"/>
      <c r="AS9" s="238">
        <f>SUMPRODUCT(--WEEKDAY(C$3:AG$3,2)&gt;5,--((C9:AG9="DM"))+(C9:AG9="CS1")+((C9:AG9="CS2"))+(C9:AG9="SB1")+(C9:AG9="AE")+(C9:AG9="EM"))</f>
        <v/>
      </c>
      <c r="AT9" s="238" t="n"/>
      <c r="AU9" s="238">
        <f>(AQ9-AR9)/2+(AS9-AT9)</f>
        <v/>
      </c>
      <c r="AV9" s="238">
        <f>AI9+AJ9+AK9+AL9+AN9+AO9</f>
        <v/>
      </c>
      <c r="AW9" s="238">
        <f>BG9+BH9+BJ9+BE9+BC9+BA9+BL9</f>
        <v/>
      </c>
      <c r="AX9" s="238">
        <f>AU9+AY9</f>
        <v/>
      </c>
      <c r="AY9" s="313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/>
      </c>
      <c r="AZ9" s="313">
        <f>COUNTIF(D9:Z9,"*BRT*")</f>
        <v/>
      </c>
      <c r="BA9" s="313">
        <f>COUNTIF(A9:AI9,"*$BTP*")</f>
        <v/>
      </c>
      <c r="BB9" s="313">
        <f>BA9*('Setting key Duty'!$I$13+'Setting key Duty'!$I$12+'Setting key Duty'!$I$11)</f>
        <v/>
      </c>
      <c r="BC9" s="313">
        <f>COUNTIF(A9:AI9,"*$L*")</f>
        <v/>
      </c>
      <c r="BD9" s="313">
        <f>BC9*('Setting key Duty'!$I$13+'Setting key Duty'!$I$9)</f>
        <v/>
      </c>
      <c r="BE9" s="313">
        <f>COUNTIF(A9:AI9,"*$M*")</f>
        <v/>
      </c>
      <c r="BF9" s="313">
        <f>BE9*('Setting key Duty'!$I$8+'Setting key Duty'!$I$9+'Setting key Duty'!$I$12)</f>
        <v/>
      </c>
      <c r="BG9" s="313">
        <f>COUNTIF(AI9,"*$N*")</f>
        <v/>
      </c>
      <c r="BH9" s="313">
        <f>COUNTIF(AI9,"*$PM*")</f>
        <v/>
      </c>
      <c r="BI9" s="313">
        <f>BH9*('Setting key Duty'!$I$9)</f>
        <v/>
      </c>
      <c r="BJ9" s="313">
        <f>COUNTIF(A9:AI9,"*$AM*")</f>
        <v/>
      </c>
      <c r="BK9" s="313">
        <f>BJ9*('Setting key Duty'!$I$12+'Setting key Duty'!$I$8)</f>
        <v/>
      </c>
      <c r="BL9" s="313">
        <f>COUNTIF(D9:AI9,"*$FC*")</f>
        <v/>
      </c>
      <c r="BM9" s="313">
        <f>BL9*('Setting key Duty'!$J$11+'Setting key Duty'!$I$8)</f>
        <v/>
      </c>
      <c r="BN9" s="313">
        <f>COUNTIF($D9:$Z9,BN$4)</f>
        <v/>
      </c>
      <c r="BO9" s="313">
        <f>COUNTIF($D9:$Z9,BO$4)</f>
        <v/>
      </c>
      <c r="BP9" s="313">
        <f>COUNTIF($D9:$Z9,BP$4)</f>
        <v/>
      </c>
      <c r="BQ9" s="314" t="n"/>
    </row>
    <row r="10" ht="19.5" customHeight="1">
      <c r="A10" s="309" t="n"/>
      <c r="B10" s="328" t="inlineStr">
        <is>
          <t>LCP MUHAMMAD AQIL HAMZAH BIN SYELDRICK</t>
        </is>
      </c>
      <c r="C10" s="197" t="inlineStr">
        <is>
          <t>AE</t>
        </is>
      </c>
      <c r="E10" s="197" t="inlineStr">
        <is>
          <t>CS2</t>
        </is>
      </c>
      <c r="F10" s="317" t="n"/>
      <c r="H10" s="324" t="n"/>
      <c r="I10" s="197" t="inlineStr">
        <is>
          <t>CS2</t>
        </is>
      </c>
      <c r="J10" s="197" t="n"/>
      <c r="K10" s="321" t="inlineStr">
        <is>
          <t>ICT $AM IPPT (0600-1100)</t>
        </is>
      </c>
      <c r="L10" s="197" t="n"/>
      <c r="M10" s="317" t="n"/>
      <c r="N10" s="196" t="n"/>
      <c r="O10" s="197" t="n"/>
      <c r="P10" s="324" t="inlineStr">
        <is>
          <t>CS2</t>
        </is>
      </c>
      <c r="Q10" s="197" t="n"/>
      <c r="R10" s="317" t="n"/>
      <c r="S10" s="197" t="n"/>
      <c r="T10" s="196" t="n"/>
      <c r="U10" s="197" t="inlineStr">
        <is>
          <t>RESERVE</t>
        </is>
      </c>
      <c r="W10" s="324" t="inlineStr">
        <is>
          <t>SB1</t>
        </is>
      </c>
      <c r="X10" s="197" t="n"/>
      <c r="Z10" s="197" t="n"/>
      <c r="AA10" s="197" t="n"/>
      <c r="AB10" s="197" t="inlineStr">
        <is>
          <t>CS1</t>
        </is>
      </c>
      <c r="AC10" s="197" t="n"/>
      <c r="AD10" s="197" t="inlineStr">
        <is>
          <t>CS2</t>
        </is>
      </c>
      <c r="AF10" s="197" t="n"/>
      <c r="AG10" s="197" t="n"/>
      <c r="AH10" s="197" t="inlineStr">
        <is>
          <t>CS1</t>
        </is>
      </c>
      <c r="AI10" s="311" t="n"/>
      <c r="AJ10" s="312" t="n"/>
      <c r="AK10" s="311" t="n"/>
      <c r="AL10" s="313" t="n"/>
      <c r="AM10" s="313" t="n"/>
      <c r="AN10" s="313" t="n"/>
      <c r="AO10" s="313" t="n"/>
      <c r="AP10" s="238" t="n"/>
      <c r="AQ10" s="313">
        <f>SUMPRODUCT(--WEEKDAY(C$3:AG$3,2)&lt;6,--((C10:AG10="DM"))+(C10:AG10="CS1")+((C10:AG10="CS2"))+(C10:AG10="SB1")+(C10:AG10="AE")+(C10:AG10="EM"))</f>
        <v/>
      </c>
      <c r="AR10" s="238" t="n"/>
      <c r="AS10" s="238">
        <f>SUMPRODUCT(--WEEKDAY(C$3:AG$3,2)&gt;5,--((C10:AG10="DM"))+(C10:AG10="CS1")+((C10:AG10="CS2"))+(C10:AG10="SB1")+(C10:AG10="AE")+(C10:AG10="EM"))</f>
        <v/>
      </c>
      <c r="AT10" s="238" t="n"/>
      <c r="AU10" s="238">
        <f>(AQ10-AR10)/2+(AS10-AT10)</f>
        <v/>
      </c>
      <c r="AV10" s="238">
        <f>AI10+AJ10+AK10+AL10+AN10+AO10</f>
        <v/>
      </c>
      <c r="AW10" s="238">
        <f>BG10+BH10+BJ10+BE10+BC10+BA10+BL10</f>
        <v/>
      </c>
      <c r="AX10" s="238">
        <f>AU10+$AY$10</f>
        <v/>
      </c>
      <c r="AY10" s="313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/>
      </c>
      <c r="AZ10" s="313">
        <f>COUNTIF(C10:AC10,"*BRT*")</f>
        <v/>
      </c>
      <c r="BA10" s="313">
        <f>COUNTIF(A10:AI10,"*$BTP*")</f>
        <v/>
      </c>
      <c r="BB10" s="313">
        <f>BA10*('Setting key Duty'!$I$13+'Setting key Duty'!$I$12+'Setting key Duty'!$I$11)</f>
        <v/>
      </c>
      <c r="BC10" s="313">
        <f>COUNTIF(D10:AI10,"*$L*")</f>
        <v/>
      </c>
      <c r="BD10" s="313">
        <f>BC10*('Setting key Duty'!$I$13+'Setting key Duty'!$I$9)</f>
        <v/>
      </c>
      <c r="BE10" s="313">
        <f>COUNTIF(D10:AI10,"*$M*")</f>
        <v/>
      </c>
      <c r="BF10" s="313">
        <f>BE10*('Setting key Duty'!$I$8+'Setting key Duty'!$I$9+'Setting key Duty'!$I$12)</f>
        <v/>
      </c>
      <c r="BG10" s="313">
        <f>COUNTIF(D10:AI10,"*$N*")</f>
        <v/>
      </c>
      <c r="BH10" s="313">
        <f>COUNTIF(D10:AI10,"*$PM*")</f>
        <v/>
      </c>
      <c r="BI10" s="313">
        <f>BH10*('Setting key Duty'!$I$9)</f>
        <v/>
      </c>
      <c r="BJ10" s="313">
        <f>COUNTIF(D10:AI10,"*$AM*")</f>
        <v/>
      </c>
      <c r="BK10" s="313">
        <f>BJ10*('Setting key Duty'!$I$12+'Setting key Duty'!$I$8)</f>
        <v/>
      </c>
      <c r="BL10" s="313">
        <f>COUNTIF(C10:AI10,"*$FC*")</f>
        <v/>
      </c>
      <c r="BM10" s="313">
        <f>BL10*('Setting key Duty'!$J$11+'Setting key Duty'!$I$8)</f>
        <v/>
      </c>
      <c r="BN10" s="313">
        <f>COUNTIF($C10:$AG10,BN$4)</f>
        <v/>
      </c>
      <c r="BO10" s="313">
        <f>COUNTIF($C10:$AG10,BO$4)</f>
        <v/>
      </c>
      <c r="BP10" s="313">
        <f>COUNTIF($D10:$AD10,BP$4)</f>
        <v/>
      </c>
      <c r="BQ10" s="314" t="n"/>
    </row>
    <row r="11" ht="19.5" customHeight="1">
      <c r="A11" s="309" t="n"/>
      <c r="B11" s="315" t="inlineStr">
        <is>
          <t>CPL MOHD AMEER KHAN S/O BASHIR ISMAIL</t>
        </is>
      </c>
      <c r="C11" s="197" t="n"/>
      <c r="D11" s="197" t="inlineStr">
        <is>
          <t>PM AL</t>
        </is>
      </c>
      <c r="E11" s="197" t="n"/>
      <c r="G11" s="197" t="inlineStr">
        <is>
          <t>MA</t>
        </is>
      </c>
      <c r="H11" s="197" t="inlineStr">
        <is>
          <t>RESERVE</t>
        </is>
      </c>
      <c r="J11" s="317" t="n"/>
      <c r="L11" s="197" t="n"/>
      <c r="M11" s="197" t="n"/>
      <c r="O11" s="197" t="n"/>
      <c r="P11" s="197" t="n"/>
      <c r="Q11" s="197" t="inlineStr">
        <is>
          <t>PM MA</t>
        </is>
      </c>
      <c r="R11" s="197" t="n"/>
      <c r="S11" s="197" t="n"/>
      <c r="T11" s="196" t="inlineStr">
        <is>
          <t>CS2</t>
        </is>
      </c>
      <c r="V11" s="197" t="n"/>
      <c r="Y11" s="1" t="inlineStr">
        <is>
          <t>MA</t>
        </is>
      </c>
      <c r="AA11" s="197" t="n"/>
      <c r="AB11" s="197" t="n"/>
      <c r="AC11" s="197" t="n"/>
      <c r="AF11" s="197" t="n"/>
      <c r="AG11" s="197" t="n"/>
      <c r="AH11" s="197" t="n"/>
      <c r="AI11" s="311" t="n"/>
      <c r="AJ11" s="312" t="n"/>
      <c r="AK11" s="311" t="n"/>
      <c r="AL11" s="313" t="n"/>
      <c r="AM11" s="313" t="n"/>
      <c r="AN11" s="313" t="n"/>
      <c r="AO11" s="313" t="n"/>
      <c r="AP11" s="238" t="n"/>
      <c r="AQ11" s="313">
        <f>SUMPRODUCT(--WEEKDAY(C$3:AG$3,2)&lt;6,--((C11:AG11="DM"))+(C11:AG11="CS1")+((C11:AG11="CS2"))+(C11:AG11="SB1")+(C11:AG11="AE")+(C11:AG11="EM"))</f>
        <v/>
      </c>
      <c r="AR11" s="238" t="n"/>
      <c r="AS11" s="238">
        <f>SUMPRODUCT(--WEEKDAY(C$3:AG$3,2)&gt;5,--((C11:AG11="DM"))+(C11:AG11="CS1")+((C11:AG11="CS2"))+(C11:AG11="SB1")+(C11:AG11="AE")+(C11:AG11="EM"))</f>
        <v/>
      </c>
      <c r="AT11" s="238" t="n"/>
      <c r="AU11" s="238">
        <f>(AQ11-AR11)/2+(AS11-AT11)</f>
        <v/>
      </c>
      <c r="AV11" s="238">
        <f>AI11+AJ11+AK11+AL11+AN11+AO11</f>
        <v/>
      </c>
      <c r="AW11" s="238">
        <f>BG11+BH11+BJ11+BE11+BC11+BA11+BL11</f>
        <v/>
      </c>
      <c r="AX11" s="238">
        <f>AU11+AY11</f>
        <v/>
      </c>
      <c r="AY11" s="313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/>
      </c>
      <c r="AZ11" s="313">
        <f>COUNTIF(D11:AC11,"*BRT*")</f>
        <v/>
      </c>
      <c r="BA11" s="313">
        <f>COUNTIF(A11:AI11,"*$BTP*")</f>
        <v/>
      </c>
      <c r="BB11" s="313">
        <f>BA11*('Setting key Duty'!$I$13+'Setting key Duty'!$I$12+'Setting key Duty'!$I$11)</f>
        <v/>
      </c>
      <c r="BC11" s="313">
        <f>COUNTIF(A11:AI11,"*$L*")</f>
        <v/>
      </c>
      <c r="BD11" s="313">
        <f>BC11*('Setting key Duty'!$I$13+'Setting key Duty'!$I$9)</f>
        <v/>
      </c>
      <c r="BE11" s="313">
        <f>COUNTIF(A11:AI11,"*$M*")</f>
        <v/>
      </c>
      <c r="BF11" s="313">
        <f>BE11*('Setting key Duty'!$I$8+'Setting key Duty'!$I$9+'Setting key Duty'!$I$12)</f>
        <v/>
      </c>
      <c r="BG11" s="313">
        <f>COUNTIF(AF11:AI11,"*$N*")</f>
        <v/>
      </c>
      <c r="BH11" s="313">
        <f>COUNTIF(AF11:AI11,"*$PM*")</f>
        <v/>
      </c>
      <c r="BI11" s="313">
        <f>BH11*('Setting key Duty'!$I$9)</f>
        <v/>
      </c>
      <c r="BJ11" s="313">
        <f>COUNTIF(A11:AI11,"*$AM*")</f>
        <v/>
      </c>
      <c r="BK11" s="313">
        <f>BJ11*('Setting key Duty'!$I$12+'Setting key Duty'!$I$8)</f>
        <v/>
      </c>
      <c r="BL11" s="313">
        <f>COUNTIF(D11:AI11,"*$FC*")</f>
        <v/>
      </c>
      <c r="BM11" s="313">
        <f>BL11*('Setting key Duty'!$J$11+'Setting key Duty'!$I$8)</f>
        <v/>
      </c>
      <c r="BN11" s="313">
        <f>COUNTIF($D11:$AE11,BN$4)</f>
        <v/>
      </c>
      <c r="BO11" s="313">
        <f>COUNTIF($D11:$AE11,BO$4)</f>
        <v/>
      </c>
      <c r="BP11" s="313">
        <f>COUNTIF($D11:$AE11,BP$4)</f>
        <v/>
      </c>
      <c r="BQ11" s="314" t="n"/>
    </row>
    <row r="12" ht="19.5" customHeight="1">
      <c r="A12" s="309" t="n"/>
      <c r="B12" s="329" t="inlineStr">
        <is>
          <t>LCP ALPHA KELVIN ISAAC BIN MUHAMMAD MCKEVIN LAWRENCE</t>
        </is>
      </c>
      <c r="C12" s="197" t="n"/>
      <c r="D12" s="330" t="inlineStr">
        <is>
          <t>RESERVE</t>
        </is>
      </c>
      <c r="E12" s="197" t="n"/>
      <c r="F12" s="197" t="n"/>
      <c r="G12" s="197" t="n"/>
      <c r="H12" s="197" t="inlineStr">
        <is>
          <t>CS1</t>
        </is>
      </c>
      <c r="I12" s="197" t="n"/>
      <c r="J12" s="197" t="inlineStr">
        <is>
          <t>RESERVE</t>
        </is>
      </c>
      <c r="K12" s="317" t="n"/>
      <c r="L12" s="197" t="n"/>
      <c r="M12" s="197" t="inlineStr">
        <is>
          <t>CS2</t>
        </is>
      </c>
      <c r="N12" s="196" t="n"/>
      <c r="O12" s="197" t="n"/>
      <c r="P12" s="197" t="inlineStr">
        <is>
          <t>RESERVE</t>
        </is>
      </c>
      <c r="Q12" s="197" t="n"/>
      <c r="R12" s="197" t="inlineStr">
        <is>
          <t>CS1</t>
        </is>
      </c>
      <c r="S12" s="197" t="n"/>
      <c r="T12" s="197" t="n"/>
      <c r="U12" s="197" t="n"/>
      <c r="V12" s="197" t="inlineStr">
        <is>
          <t>NSC</t>
        </is>
      </c>
      <c r="W12" s="197" t="inlineStr">
        <is>
          <t>CS2</t>
        </is>
      </c>
      <c r="Y12" s="317" t="inlineStr">
        <is>
          <t>CS2</t>
        </is>
      </c>
      <c r="Z12" s="197" t="n"/>
      <c r="AA12" s="197" t="n"/>
      <c r="AB12" s="197" t="n"/>
      <c r="AC12" s="197" t="inlineStr">
        <is>
          <t>R $M 12KM RM (1600-2359)</t>
        </is>
      </c>
      <c r="AD12" s="197" t="n"/>
      <c r="AF12" s="197" t="n"/>
      <c r="AG12" s="197" t="n"/>
      <c r="AH12" s="197" t="n"/>
      <c r="AI12" s="311" t="n"/>
      <c r="AJ12" s="312" t="n"/>
      <c r="AK12" s="311" t="n"/>
      <c r="AL12" s="313" t="n"/>
      <c r="AM12" s="313" t="n"/>
      <c r="AN12" s="313" t="n"/>
      <c r="AO12" s="313" t="n"/>
      <c r="AP12" s="238" t="n"/>
      <c r="AQ12" s="313">
        <f>SUMPRODUCT(--WEEKDAY(C$3:AG$3,2)&lt;6,--((C12:AG12="DM"))+(C12:AG12="CS1")+((C12:AG12="CS2"))+(C12:AG12="SB1")+(C12:AG12="AE")+(C12:AG12="EM"))</f>
        <v/>
      </c>
      <c r="AR12" s="238" t="n"/>
      <c r="AS12" s="238">
        <f>SUMPRODUCT(--WEEKDAY(C$3:AG$3,2)&gt;5,--((C12:AG12="DM"))+(C12:AG12="CS1")+((C12:AG12="CS2"))+(C12:AG12="SB1")+(C12:AG12="AE")+(C12:AG12="EM"))</f>
        <v/>
      </c>
      <c r="AT12" s="238" t="n"/>
      <c r="AU12" s="238">
        <f>(AQ12-AR12)/2+(AS12-AT12)</f>
        <v/>
      </c>
      <c r="AV12" s="238">
        <f>AI12+AJ12+AK12+AL12+AN12+AO12</f>
        <v/>
      </c>
      <c r="AW12" s="238">
        <f>BG12+BH12+BJ12+BE12+BC12+BA12+BL12</f>
        <v/>
      </c>
      <c r="AX12" s="238">
        <f>AU12+AY12</f>
        <v/>
      </c>
      <c r="AY12" s="313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/>
      </c>
      <c r="AZ12" s="313">
        <f>COUNTIF(D12:Y12,"*BRT*")</f>
        <v/>
      </c>
      <c r="BA12" s="313">
        <f>COUNTIF(A12:AI12,"*$BTP*")</f>
        <v/>
      </c>
      <c r="BB12" s="313">
        <f>BA12*('Setting key Duty'!$I$13+'Setting key Duty'!$I$12+'Setting key Duty'!$I$11)</f>
        <v/>
      </c>
      <c r="BC12" s="313">
        <f>COUNTIF(A12:AI12,"*$L*")</f>
        <v/>
      </c>
      <c r="BD12" s="313">
        <f>BC12*('Setting key Duty'!$I$13+'Setting key Duty'!$I$9)</f>
        <v/>
      </c>
      <c r="BE12" s="313">
        <f>COUNTIF(A12:AI12,"*$M*")</f>
        <v/>
      </c>
      <c r="BF12" s="313">
        <f>BE12*('Setting key Duty'!$I$8+'Setting key Duty'!$I$9+'Setting key Duty'!$I$12)</f>
        <v/>
      </c>
      <c r="BG12" s="313">
        <f>COUNTIF(AI12,"*$N*")</f>
        <v/>
      </c>
      <c r="BH12" s="313">
        <f>COUNTIF(AI12,"*$PM*")</f>
        <v/>
      </c>
      <c r="BI12" s="313">
        <f>BH12*('Setting key Duty'!$I$9)</f>
        <v/>
      </c>
      <c r="BJ12" s="313">
        <f>COUNTIF(A12:AI12,"*$AM*")</f>
        <v/>
      </c>
      <c r="BK12" s="313">
        <f>BJ12*('Setting key Duty'!$I$12+'Setting key Duty'!$I$8)</f>
        <v/>
      </c>
      <c r="BL12" s="313">
        <f>COUNTIF(D12:AI12,"*$FC*")</f>
        <v/>
      </c>
      <c r="BM12" s="313">
        <f>BL12*('Setting key Duty'!$J$11+'Setting key Duty'!$I$8)</f>
        <v/>
      </c>
      <c r="BN12" s="313">
        <f>COUNTIF($D12:$Y12,BN$4)</f>
        <v/>
      </c>
      <c r="BO12" s="313">
        <f>COUNTIF($D12:$Y12,BO$4)</f>
        <v/>
      </c>
      <c r="BP12" s="313">
        <f>COUNTIF($D12:$Y12,BP$4)</f>
        <v/>
      </c>
      <c r="BQ12" s="314" t="n"/>
    </row>
    <row r="13" ht="24" customHeight="1">
      <c r="A13" s="309" t="n"/>
      <c r="B13" s="335" t="inlineStr">
        <is>
          <t>CPL RAZIN HILMANSYAH BIN ROSLI</t>
        </is>
      </c>
      <c r="C13" s="197" t="n"/>
      <c r="D13" s="197" t="n"/>
      <c r="E13" s="197" t="n"/>
      <c r="F13" s="197" t="inlineStr">
        <is>
          <t>DM</t>
        </is>
      </c>
      <c r="H13" s="197" t="n"/>
      <c r="I13" s="317" t="n"/>
      <c r="J13" s="317" t="n"/>
      <c r="K13" s="197" t="inlineStr">
        <is>
          <t>DM</t>
        </is>
      </c>
      <c r="L13" s="197" t="n"/>
      <c r="M13" s="197" t="n"/>
      <c r="N13" s="196" t="inlineStr">
        <is>
          <t>CS2</t>
        </is>
      </c>
      <c r="O13" s="197" t="n"/>
      <c r="P13" s="197" t="n"/>
      <c r="Q13" s="324" t="inlineStr">
        <is>
          <t>DM</t>
        </is>
      </c>
      <c r="R13" s="197" t="n"/>
      <c r="S13" s="197" t="inlineStr">
        <is>
          <t>BDAY</t>
        </is>
      </c>
      <c r="T13" s="197" t="inlineStr">
        <is>
          <t>BDAY</t>
        </is>
      </c>
      <c r="U13" s="197" t="inlineStr">
        <is>
          <t>BDAY</t>
        </is>
      </c>
      <c r="V13" s="197" t="n"/>
      <c r="X13" s="317" t="inlineStr">
        <is>
          <t>DM</t>
        </is>
      </c>
      <c r="Y13" s="197" t="n"/>
      <c r="Z13" s="197" t="n"/>
      <c r="AA13" s="197" t="inlineStr">
        <is>
          <t>DM</t>
        </is>
      </c>
      <c r="AB13" s="197" t="n"/>
      <c r="AD13" s="197" t="n"/>
      <c r="AF13" s="106" t="n"/>
      <c r="AG13" s="197" t="n"/>
      <c r="AH13" s="197" t="inlineStr">
        <is>
          <t>CS2</t>
        </is>
      </c>
      <c r="AI13" s="311">
        <f>COUNTIF($C13:$AB13,AI$4)</f>
        <v/>
      </c>
      <c r="AJ13" s="312">
        <f>COUNTIF($C13:$AB13,AJ$4)</f>
        <v/>
      </c>
      <c r="AK13" s="311">
        <f>COUNTIF($C13:$AB13,AK$4)</f>
        <v/>
      </c>
      <c r="AL13" s="313">
        <f>COUNTIF($C13:$AB13,AL$4)</f>
        <v/>
      </c>
      <c r="AM13" s="313">
        <f>COUNTIF($C13:$AB13,AM$4)</f>
        <v/>
      </c>
      <c r="AN13" s="313">
        <f>COUNTIF($C13:$AB13,AN$4)</f>
        <v/>
      </c>
      <c r="AO13" s="313">
        <f>COUNTIF($C13:$AB13,AO$4)</f>
        <v/>
      </c>
      <c r="AP13" s="238" t="n"/>
      <c r="AQ13" s="313">
        <f>SUMPRODUCT(--WEEKDAY(C$3:AG$3,2)&lt;6,--((C13:AG13="DM"))+(C13:AG13="CS1")+((C13:AG13="CS2"))+(C13:AG13="SB1")+(C13:AG13="AE")+(C13:AG13="EM"))</f>
        <v/>
      </c>
      <c r="AR13" s="238" t="n"/>
      <c r="AS13" s="238">
        <f>SUMPRODUCT(--WEEKDAY(C$3:AG$3,2)&gt;5,--((C13:AG13="DM"))+(C13:AG13="CS1")+((C13:AG13="CS2"))+(C13:AG13="SB1")+(C13:AG13="AE")+(C13:AG13="EM"))</f>
        <v/>
      </c>
      <c r="AT13" s="238" t="n"/>
      <c r="AU13" s="238">
        <f>(AQ13-AR13)/2+(AS13-AT13)</f>
        <v/>
      </c>
      <c r="AV13" s="238">
        <f>AI13+AJ13+AK13+AL13+AN13+AO13</f>
        <v/>
      </c>
      <c r="AW13" s="238">
        <f>BG13+BH13+BJ13+BE13+BC13+BA13+BL13</f>
        <v/>
      </c>
      <c r="AX13" s="238">
        <f>AU13+AY13</f>
        <v/>
      </c>
      <c r="AY13" s="313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/>
      </c>
      <c r="AZ13" s="313">
        <f>COUNTIF(C13:AB13,"*BRT*")</f>
        <v/>
      </c>
      <c r="BA13" s="313">
        <f>COUNTIF(A13:AI13,"*$BTP*")</f>
        <v/>
      </c>
      <c r="BB13" s="313">
        <f>BA13*('Setting key Duty'!$I$13+'Setting key Duty'!$I$12+'Setting key Duty'!$I$11)</f>
        <v/>
      </c>
      <c r="BC13" s="313">
        <f>COUNTIF(A13:AI13,"*$L*")</f>
        <v/>
      </c>
      <c r="BD13" s="313">
        <f>BC13*('Setting key Duty'!$I$13+'Setting key Duty'!$I$9)</f>
        <v/>
      </c>
      <c r="BE13" s="313">
        <f>COUNTIF(A13:AI13,"*$M*")</f>
        <v/>
      </c>
      <c r="BF13" s="313">
        <f>BE13*('Setting key Duty'!$I$8+'Setting key Duty'!$I$9+'Setting key Duty'!$I$12)</f>
        <v/>
      </c>
      <c r="BG13" s="313">
        <f>COUNTIF(A13:AI13,"*$N*")</f>
        <v/>
      </c>
      <c r="BH13" s="313">
        <f>COUNTIF(AI13,"*$PM*")</f>
        <v/>
      </c>
      <c r="BI13" s="313">
        <f>BH13*('Setting key Duty'!$I$9)</f>
        <v/>
      </c>
      <c r="BJ13" s="313">
        <f>COUNTIF(A13:AI13,"*$AM*")</f>
        <v/>
      </c>
      <c r="BK13" s="313">
        <f>BJ13*('Setting key Duty'!$I$12+'Setting key Duty'!$I$8)</f>
        <v/>
      </c>
      <c r="BL13" s="313">
        <f>COUNTIF(C13:AI13,"*$FC*")</f>
        <v/>
      </c>
      <c r="BM13" s="313">
        <f>BL13*('Setting key Duty'!$J$11+'Setting key Duty'!$I$8)</f>
        <v/>
      </c>
      <c r="BN13" s="313">
        <f>COUNTIF($C13:$AB13,BN$4)</f>
        <v/>
      </c>
      <c r="BO13" s="313">
        <f>COUNTIF($C13:$AB13,BO$4)</f>
        <v/>
      </c>
      <c r="BP13" s="313">
        <f>COUNTIF($C13:$AB13,BP$4)</f>
        <v/>
      </c>
      <c r="BQ13" s="314" t="n"/>
    </row>
    <row r="14" ht="37.5" customHeight="1">
      <c r="A14" s="309" t="n"/>
      <c r="B14" s="329" t="inlineStr">
        <is>
          <t>CPL RICKY NG RUIQI</t>
        </is>
      </c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n"/>
      <c r="AG14" s="197" t="n"/>
      <c r="AH14" s="197" t="n"/>
      <c r="AI14" s="311">
        <f>COUNTIF($D14:$AC14,AI$4)</f>
        <v/>
      </c>
      <c r="AJ14" s="312">
        <f>COUNTIF($D14:$AC14,AJ$4)</f>
        <v/>
      </c>
      <c r="AK14" s="311">
        <f>COUNTIF($D14:$AC14,AK$4)</f>
        <v/>
      </c>
      <c r="AL14" s="313">
        <f>COUNTIF($D14:$AC14,AL$4)</f>
        <v/>
      </c>
      <c r="AM14" s="313">
        <f>COUNTIF($D14:$AC14,AM$4)</f>
        <v/>
      </c>
      <c r="AN14" s="313">
        <f>COUNTIF($D14:$AC14,AN$4)</f>
        <v/>
      </c>
      <c r="AO14" s="313">
        <f>COUNTIF($D14:$AC14,AO$4)</f>
        <v/>
      </c>
      <c r="AP14" s="238" t="n"/>
      <c r="AQ14" s="313">
        <f>SUMPRODUCT(--WEEKDAY(C$3:AG$3,2)&lt;6,--((C14:AG14="DM"))+(C14:AG14="CS1")+((C14:AG14="CS2"))+(C14:AG14="SB1")+(C14:AG14="AE")+(C14:AG14="EM"))</f>
        <v/>
      </c>
      <c r="AR14" s="238" t="n"/>
      <c r="AS14" s="238">
        <f>SUMPRODUCT(--WEEKDAY(C$3:AG$3,2)&gt;5,--((C14:AG14="DM"))+(C14:AG14="CS1")+((C14:AG14="CS2"))+(C14:AG14="SB1")+(C14:AG14="AE")+(C14:AG14="EM"))</f>
        <v/>
      </c>
      <c r="AT14" s="238" t="n"/>
      <c r="AU14" s="238">
        <f>(AQ14-AR14)/2+(AS14-AT14)</f>
        <v/>
      </c>
      <c r="AV14" s="238">
        <f>AI14+AJ14+AK14+AL14+AN14+AO14</f>
        <v/>
      </c>
      <c r="AW14" s="238">
        <f>BG14+BH14+BJ14+BE14+BC14+BA14+BL14</f>
        <v/>
      </c>
      <c r="AX14" s="238">
        <f>AU14+AY14</f>
        <v/>
      </c>
      <c r="AY14" s="313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/>
      </c>
      <c r="AZ14" s="313">
        <f>COUNTIF(C14:AC14,"*BRT*")</f>
        <v/>
      </c>
      <c r="BA14" s="313">
        <f>COUNTIF(A14:AI14,"*$BTP*")</f>
        <v/>
      </c>
      <c r="BB14" s="313">
        <f>BA14*('Setting key Duty'!$I$13+'Setting key Duty'!$I$12+'Setting key Duty'!$I$11)</f>
        <v/>
      </c>
      <c r="BC14" s="313">
        <f>COUNTIF(A14:AI14,"*$L*")</f>
        <v/>
      </c>
      <c r="BD14" s="313">
        <f>BC14*('Setting key Duty'!$I$13+'Setting key Duty'!$I$9)</f>
        <v/>
      </c>
      <c r="BE14" s="313">
        <f>COUNTIF(A14:AI14,"*$M*")</f>
        <v/>
      </c>
      <c r="BF14" s="313">
        <f>BE14*('Setting key Duty'!$I$8+'Setting key Duty'!$I$9+'Setting key Duty'!$I$12)</f>
        <v/>
      </c>
      <c r="BG14" s="313">
        <f>COUNTIF(AI14,"*$N*")</f>
        <v/>
      </c>
      <c r="BH14" s="313">
        <f>COUNTIF(AI14,"*$PM*")</f>
        <v/>
      </c>
      <c r="BI14" s="313">
        <f>BH14*('Setting key Duty'!$I$9)</f>
        <v/>
      </c>
      <c r="BJ14" s="313">
        <f>COUNTIF(A14:AI14,"*$AM*")</f>
        <v/>
      </c>
      <c r="BK14" s="313">
        <f>BJ14*('Setting key Duty'!$I$12+'Setting key Duty'!$I$8)</f>
        <v/>
      </c>
      <c r="BL14" s="313">
        <f>COUNTIF(C14:AI14,"*$FC*")</f>
        <v/>
      </c>
      <c r="BM14" s="313">
        <f>BL14*('Setting key Duty'!$J$11+'Setting key Duty'!$I$8)</f>
        <v/>
      </c>
      <c r="BN14" s="313">
        <f>COUNTIF($C14:$AC14,BN$4)</f>
        <v/>
      </c>
      <c r="BO14" s="313">
        <f>COUNTIF($C14:$AC14,BO$4)</f>
        <v/>
      </c>
      <c r="BP14" s="313">
        <f>COUNTIF($C14:$AC14,BP$4)</f>
        <v/>
      </c>
      <c r="BQ14" s="314" t="n"/>
    </row>
    <row r="15" ht="19.5" customHeight="1">
      <c r="A15" s="309" t="n"/>
      <c r="B15" s="315" t="inlineStr">
        <is>
          <t>CPL MUHAMED AMIR BIN AHMAD FAIZAL</t>
        </is>
      </c>
      <c r="C15" s="197" t="n"/>
      <c r="D15" s="197" t="n"/>
      <c r="E15" s="197" t="n"/>
      <c r="F15" s="197" t="n"/>
      <c r="G15" s="197" t="n"/>
      <c r="H15" s="197" t="n"/>
      <c r="I15" s="197" t="n"/>
      <c r="J15" s="197" t="n"/>
      <c r="K15" s="197" t="inlineStr">
        <is>
          <t>RESERVE</t>
        </is>
      </c>
      <c r="L15" s="197" t="n"/>
      <c r="M15" s="317" t="n"/>
      <c r="N15" s="196" t="n"/>
      <c r="O15" s="197" t="n"/>
      <c r="P15" s="197" t="n"/>
      <c r="Q15" s="197" t="n"/>
      <c r="R15" s="197" t="n"/>
      <c r="S15" s="197" t="n"/>
      <c r="T15" s="197" t="n"/>
      <c r="U15" s="197" t="n"/>
      <c r="V15" s="197" t="n"/>
      <c r="W15" s="197" t="inlineStr">
        <is>
          <t>RESERVE</t>
        </is>
      </c>
      <c r="X15" s="197" t="n"/>
      <c r="Y15" s="197" t="inlineStr">
        <is>
          <t>SB1</t>
        </is>
      </c>
      <c r="Z15" s="197" t="n"/>
      <c r="AA15" s="197" t="n"/>
      <c r="AB15" s="197" t="n"/>
      <c r="AC15" s="197" t="n"/>
      <c r="AD15" s="197" t="n"/>
      <c r="AE15" s="197" t="n"/>
      <c r="AG15" s="197" t="n"/>
      <c r="AH15" s="197" t="n"/>
      <c r="AI15" s="311">
        <f>COUNTIF($D15:$AA15,AI$4)</f>
        <v/>
      </c>
      <c r="AJ15" s="312">
        <f>COUNTIF($D15:$AA15,AJ$4)</f>
        <v/>
      </c>
      <c r="AK15" s="311">
        <f>COUNTIF($D15:$AA15,AK$4)</f>
        <v/>
      </c>
      <c r="AL15" s="313">
        <f>COUNTIF($D15:$AA15,AL$4)</f>
        <v/>
      </c>
      <c r="AM15" s="313">
        <f>COUNTIF($D15:$AA15,AM$4)</f>
        <v/>
      </c>
      <c r="AN15" s="313">
        <f>COUNTIF($D15:$AA15,AN$4)</f>
        <v/>
      </c>
      <c r="AO15" s="313">
        <f>COUNTIF($D15:$AA15,AO$4)</f>
        <v/>
      </c>
      <c r="AP15" s="238" t="n"/>
      <c r="AQ15" s="313">
        <f>SUMPRODUCT(--WEEKDAY(C$3:AG$3,2)&lt;6,--((C15:AG15="DM"))+(C15:AG15="CS1")+((C15:AG15="CS2"))+(C15:AG15="SB1")+(C15:AG15="AE")+(C15:AG15="EM"))</f>
        <v/>
      </c>
      <c r="AR15" s="238" t="n"/>
      <c r="AS15" s="238">
        <f>SUMPRODUCT(--WEEKDAY(C$3:AG$3,2)&gt;5,--((C15:AG15="DM"))+(C15:AG15="CS1")+((C15:AG15="CS2"))+(C15:AG15="SB1")+(C15:AG15="AE")+(C15:AG15="EM"))</f>
        <v/>
      </c>
      <c r="AT15" s="238" t="n"/>
      <c r="AU15" s="238">
        <f>(AQ15-AR15)/2+(AS15-AT15)</f>
        <v/>
      </c>
      <c r="AV15" s="238">
        <f>AI15+AJ15+AK15+AL15+AN15+AO15</f>
        <v/>
      </c>
      <c r="AW15" s="238">
        <f>BG15+BH15+BJ15+BE15+BC15+BA15+BL15</f>
        <v/>
      </c>
      <c r="AX15" s="238">
        <f>AU15+AY15</f>
        <v/>
      </c>
      <c r="AY15" s="313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/>
      </c>
      <c r="AZ15" s="313">
        <f>COUNTIF(D15:AA15,"*BRT*")</f>
        <v/>
      </c>
      <c r="BA15" s="313">
        <f>COUNTIF(A15:AI15,"*$BTP*")</f>
        <v/>
      </c>
      <c r="BB15" s="313">
        <f>BA15*('Setting key Duty'!$I$13+'Setting key Duty'!$I$12+'Setting key Duty'!$I$11)</f>
        <v/>
      </c>
      <c r="BC15" s="313">
        <f>COUNTIF(A15:AI15,"*$L*")</f>
        <v/>
      </c>
      <c r="BD15" s="313">
        <f>BC15*('Setting key Duty'!$I$13+'Setting key Duty'!$I$9)</f>
        <v/>
      </c>
      <c r="BE15" s="313">
        <f>COUNTIF(A15:AI15,"*$M*")</f>
        <v/>
      </c>
      <c r="BF15" s="313">
        <f>BE15*('Setting key Duty'!$I$8+'Setting key Duty'!$I$9+'Setting key Duty'!$I$12)</f>
        <v/>
      </c>
      <c r="BG15" s="313">
        <f>COUNTIF(A15:AI15,"*$N*")</f>
        <v/>
      </c>
      <c r="BH15" s="313">
        <f>COUNTIF(AI15,"*$PM*")</f>
        <v/>
      </c>
      <c r="BI15" s="313">
        <f>BH15*('Setting key Duty'!$I$9)</f>
        <v/>
      </c>
      <c r="BJ15" s="313">
        <f>COUNTIF(A15:AI15,"*$AM*")</f>
        <v/>
      </c>
      <c r="BK15" s="313">
        <f>BJ15*('Setting key Duty'!$I$12+'Setting key Duty'!$I$8)</f>
        <v/>
      </c>
      <c r="BL15" s="313">
        <f>COUNTIF(D15:AI15,"*$FC*")</f>
        <v/>
      </c>
      <c r="BM15" s="313">
        <f>BL15*('Setting key Duty'!$J$11+'Setting key Duty'!$I$8)</f>
        <v/>
      </c>
      <c r="BN15" s="313">
        <f>COUNTIF($D15:$AA15,BN$4)</f>
        <v/>
      </c>
      <c r="BO15" s="313">
        <f>COUNTIF($D15:$AA15,BO$4)</f>
        <v/>
      </c>
      <c r="BP15" s="313">
        <f>COUNTIF($D15:$AA15,BP$4)</f>
        <v/>
      </c>
      <c r="BQ15" s="314" t="n"/>
    </row>
    <row r="16" ht="19.5" customHeight="1">
      <c r="A16" s="309" t="n"/>
      <c r="B16" s="334" t="inlineStr">
        <is>
          <t>LCP JAY DEOL FROST</t>
        </is>
      </c>
      <c r="C16" s="197" t="inlineStr">
        <is>
          <t>DM</t>
        </is>
      </c>
      <c r="D16" s="197" t="n"/>
      <c r="E16" s="197" t="n"/>
      <c r="F16" s="324" t="inlineStr">
        <is>
          <t>CS1</t>
        </is>
      </c>
      <c r="G16" s="324" t="n"/>
      <c r="H16" s="324" t="n"/>
      <c r="I16" s="197" t="n"/>
      <c r="J16" s="317" t="n"/>
      <c r="K16" s="197" t="inlineStr">
        <is>
          <t>CS1</t>
        </is>
      </c>
      <c r="L16" s="317" t="n"/>
      <c r="M16" s="317" t="inlineStr">
        <is>
          <t>CS1</t>
        </is>
      </c>
      <c r="N16" s="197" t="n"/>
      <c r="O16" s="197" t="n"/>
      <c r="P16" s="197" t="inlineStr">
        <is>
          <t>DM</t>
        </is>
      </c>
      <c r="Q16" s="197" t="n"/>
      <c r="R16" s="197" t="inlineStr">
        <is>
          <t>RESERVE</t>
        </is>
      </c>
      <c r="S16" s="197" t="n"/>
      <c r="T16" s="196" t="n"/>
      <c r="V16" s="197" t="inlineStr">
        <is>
          <t>NSC</t>
        </is>
      </c>
      <c r="W16" s="197" t="inlineStr">
        <is>
          <t>RESERVE</t>
        </is>
      </c>
      <c r="Z16" s="197" t="n"/>
      <c r="AA16" s="197" t="inlineStr">
        <is>
          <t>CS2</t>
        </is>
      </c>
      <c r="AB16" s="106" t="n"/>
      <c r="AC16" s="197" t="inlineStr">
        <is>
          <t>DM</t>
        </is>
      </c>
      <c r="AD16" s="197" t="n"/>
      <c r="AE16" s="197" t="n"/>
      <c r="AF16" s="197" t="n"/>
      <c r="AG16" s="197" t="n"/>
      <c r="AH16" s="197" t="n"/>
      <c r="AI16" s="311">
        <f>COUNTIF($C16:$AF16,AI$4)</f>
        <v/>
      </c>
      <c r="AJ16" s="312">
        <f>COUNTIF($C16:$AF16,AJ$4)</f>
        <v/>
      </c>
      <c r="AK16" s="311">
        <f>COUNTIF($C16:$AF16,AK$4)</f>
        <v/>
      </c>
      <c r="AL16" s="313">
        <f>COUNTIF($C16:$AF16,AL$4)</f>
        <v/>
      </c>
      <c r="AM16" s="313">
        <f>COUNTIF($C16:$AF16,AM$4)</f>
        <v/>
      </c>
      <c r="AN16" s="313">
        <f>COUNTIF($C16:$AF16,AN$4)</f>
        <v/>
      </c>
      <c r="AO16" s="313">
        <f>COUNTIF($C16:$AF16,AO$4)</f>
        <v/>
      </c>
      <c r="AP16" s="238" t="n"/>
      <c r="AQ16" s="313">
        <f>SUMPRODUCT(--WEEKDAY(C$3:AG$3,2)&lt;6,--((C16:AG16="DM"))+(C16:AG16="CS1")+((C16:AG16="CS2"))+(C16:AG16="SB1")+(C16:AG16="AE")+(C16:AG16="EM"))</f>
        <v/>
      </c>
      <c r="AR16" s="238" t="n"/>
      <c r="AS16" s="238">
        <f>SUMPRODUCT(--WEEKDAY(C$3:AG$3,2)&gt;5,--((C16:AG16="DM"))+(C16:AG16="CS1")+((C16:AG16="CS2"))+(C16:AG16="SB1")+(C16:AG16="AE")+(C16:AG16="EM"))</f>
        <v/>
      </c>
      <c r="AT16" s="238" t="n"/>
      <c r="AU16" s="238">
        <f>(AQ16-AR16)/2+(AS16-AT16)</f>
        <v/>
      </c>
      <c r="AV16" s="238">
        <f>AI16+AJ16+AK16+AL16+AN16+AO16</f>
        <v/>
      </c>
      <c r="AW16" s="238">
        <f>BG16+BH16+BJ16+BE16+BC16+BA16+BL16</f>
        <v/>
      </c>
      <c r="AX16" s="238">
        <f>AU16+AY16</f>
        <v/>
      </c>
      <c r="AY16" s="313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/>
      </c>
      <c r="AZ16" s="313">
        <f>COUNTIF(C16:AC16,"*BRT*")</f>
        <v/>
      </c>
      <c r="BA16" s="313">
        <f>COUNTIF(A16:AI16,"*$BTP*")</f>
        <v/>
      </c>
      <c r="BB16" s="313">
        <f>BA16*('Setting key Duty'!$I$13+'Setting key Duty'!$I$12+'Setting key Duty'!$I$11)</f>
        <v/>
      </c>
      <c r="BC16" s="313">
        <f>COUNTIF(I16:AI16,"*$L*")</f>
        <v/>
      </c>
      <c r="BD16" s="313">
        <f>BC16*('Setting key Duty'!$I$13+'Setting key Duty'!$I$9)</f>
        <v/>
      </c>
      <c r="BE16" s="313">
        <f>COUNTIF(I16:AI16,"*$M*")</f>
        <v/>
      </c>
      <c r="BF16" s="313">
        <f>BE16*('Setting key Duty'!$I$8+'Setting key Duty'!$I$9+'Setting key Duty'!$I$12)</f>
        <v/>
      </c>
      <c r="BG16" s="313">
        <f>COUNTIF(I16:AI16,"*$N*")</f>
        <v/>
      </c>
      <c r="BH16" s="313">
        <f>COUNTIF(I16:AI16,"*$PM*")</f>
        <v/>
      </c>
      <c r="BI16" s="313">
        <f>BH16*('Setting key Duty'!$I$9)</f>
        <v/>
      </c>
      <c r="BJ16" s="313">
        <f>COUNTIF(I16:AI16,"*$AM*")</f>
        <v/>
      </c>
      <c r="BK16" s="313">
        <f>BJ16*('Setting key Duty'!$I$12+'Setting key Duty'!$I$8)</f>
        <v/>
      </c>
      <c r="BL16" s="313">
        <f>COUNTIF(C16:AI16,"*$FC*")</f>
        <v/>
      </c>
      <c r="BM16" s="313">
        <f>BL16*('Setting key Duty'!$J$11+'Setting key Duty'!$I$8)</f>
        <v/>
      </c>
      <c r="BN16" s="313">
        <f>COUNTIF($C16:$AF16,BN$4)</f>
        <v/>
      </c>
      <c r="BO16" s="313">
        <f>COUNTIF($C16:$AF16,BO$4)</f>
        <v/>
      </c>
      <c r="BP16" s="313">
        <f>COUNTIF($I16:$AE16,BP$4)</f>
        <v/>
      </c>
      <c r="BQ16" s="314" t="n"/>
    </row>
    <row r="17" ht="19.5" customHeight="1">
      <c r="A17" s="309" t="n"/>
      <c r="B17" s="329" t="inlineStr">
        <is>
          <t>CPL JASON TAN JIAN CHEN</t>
        </is>
      </c>
      <c r="C17" s="317" t="n"/>
      <c r="D17" s="197" t="n"/>
      <c r="E17" s="197" t="n"/>
      <c r="F17" s="197" t="n"/>
      <c r="G17" s="317" t="inlineStr">
        <is>
          <t>CS2</t>
        </is>
      </c>
      <c r="H17" s="197" t="n"/>
      <c r="I17" s="197" t="inlineStr">
        <is>
          <t>CS1</t>
        </is>
      </c>
      <c r="M17" s="106" t="n"/>
      <c r="N17" s="197" t="n"/>
      <c r="O17" s="197" t="n"/>
      <c r="P17" s="197" t="inlineStr">
        <is>
          <t>D $AM 8KM (0600-1100)</t>
        </is>
      </c>
      <c r="Q17" s="317" t="inlineStr">
        <is>
          <t>CS2</t>
        </is>
      </c>
      <c r="R17" s="197" t="n"/>
      <c r="S17" s="197" t="n"/>
      <c r="T17" s="196" t="n"/>
      <c r="U17" s="317" t="inlineStr">
        <is>
          <t>CS1</t>
        </is>
      </c>
      <c r="V17" s="106" t="n"/>
      <c r="X17" s="197" t="inlineStr">
        <is>
          <t>CS2</t>
        </is>
      </c>
      <c r="Y17" s="197" t="n"/>
      <c r="Z17" s="197" t="n"/>
      <c r="AA17" s="197" t="n"/>
      <c r="AB17" s="197" t="inlineStr">
        <is>
          <t>CS2</t>
        </is>
      </c>
      <c r="AD17" s="197" t="inlineStr">
        <is>
          <t>CS1</t>
        </is>
      </c>
      <c r="AF17" s="197" t="n"/>
      <c r="AG17" s="317" t="n"/>
      <c r="AI17" s="311" t="n"/>
      <c r="AJ17" s="312" t="n"/>
      <c r="AK17" s="311" t="n"/>
      <c r="AL17" s="313" t="n"/>
      <c r="AM17" s="313" t="n"/>
      <c r="AN17" s="313" t="n"/>
      <c r="AO17" s="313" t="n"/>
      <c r="AP17" s="238" t="n"/>
      <c r="AQ17" s="313">
        <f>SUMPRODUCT(--WEEKDAY(C$3:AG$3,2)&lt;6,--((C17:AG17="DM"))+(C17:AG17="CS1")+((C17:AG17="CS2"))+(C17:AG17="SB1")+(C17:AG17="AE")+(C17:AG17="EM"))</f>
        <v/>
      </c>
      <c r="AR17" s="238" t="n"/>
      <c r="AS17" s="238">
        <f>SUMPRODUCT(--WEEKDAY(C$3:AG$3,2)&gt;5,--((C17:AG17="DM"))+(C17:AG17="CS1")+((C17:AG17="CS2"))+(C17:AG17="SB1")+(C17:AG17="AE")+(C17:AG17="EM"))</f>
        <v/>
      </c>
      <c r="AT17" s="238" t="n"/>
      <c r="AU17" s="238">
        <f>(AQ17-AR17)/2+(AS17-AT17)</f>
        <v/>
      </c>
      <c r="AV17" s="238">
        <f>AI17+AJ17+AK17+AL17+AN17+AO17</f>
        <v/>
      </c>
      <c r="AW17" s="238">
        <f>BG17+BH17+BJ17+BE17+BC17+BA17+BL17</f>
        <v/>
      </c>
      <c r="AX17" s="238">
        <f>AU17+$AY$10</f>
        <v/>
      </c>
      <c r="AY17" s="313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/>
      </c>
      <c r="AZ17" s="313">
        <f>COUNTIF(D17:AA17,"*BRT*")</f>
        <v/>
      </c>
      <c r="BA17" s="313">
        <f>COUNTIF(A17:AI17,"*$BTP*")</f>
        <v/>
      </c>
      <c r="BB17" s="313">
        <f>BA17*('Setting key Duty'!$I$13+'Setting key Duty'!$I$12+'Setting key Duty'!$I$11)</f>
        <v/>
      </c>
      <c r="BC17" s="313">
        <f>COUNTIF(A17:AI17,"*$L*")</f>
        <v/>
      </c>
      <c r="BD17" s="313">
        <f>BC17*('Setting key Duty'!$I$13+'Setting key Duty'!$I$9)</f>
        <v/>
      </c>
      <c r="BE17" s="313">
        <f>COUNTIF(A17:AI17,"*$M*")</f>
        <v/>
      </c>
      <c r="BF17" s="313">
        <f>BE17*('Setting key Duty'!$I$8+'Setting key Duty'!$I$9+'Setting key Duty'!$I$12)</f>
        <v/>
      </c>
      <c r="BG17" s="313">
        <f>COUNTIF(AI17,"*$N*")</f>
        <v/>
      </c>
      <c r="BH17" s="313">
        <f>COUNTIF(AI17,"*$PM*")</f>
        <v/>
      </c>
      <c r="BI17" s="313">
        <f>BH17*('Setting key Duty'!$I$9)</f>
        <v/>
      </c>
      <c r="BJ17" s="313">
        <f>COUNTIF(A17:AI17,"*$AM*")</f>
        <v/>
      </c>
      <c r="BK17" s="313">
        <f>BJ17*('Setting key Duty'!$I$12+'Setting key Duty'!$I$8)</f>
        <v/>
      </c>
      <c r="BL17" s="313">
        <f>COUNTIF(D17:AI17,"*$FC*")</f>
        <v/>
      </c>
      <c r="BM17" s="313">
        <f>BL17*('Setting key Duty'!$J$11+'Setting key Duty'!$I$8)</f>
        <v/>
      </c>
      <c r="BN17" s="313">
        <f>COUNTIF($D17:$AA17,BN$4)</f>
        <v/>
      </c>
      <c r="BO17" s="313">
        <f>COUNTIF($D17:$AA17,BO$4)</f>
        <v/>
      </c>
      <c r="BP17" s="313">
        <f>COUNTIF($D17:$AA17,BP$4)</f>
        <v/>
      </c>
      <c r="BQ17" s="314" t="n"/>
    </row>
    <row r="18" ht="19.5" customHeight="1">
      <c r="A18" s="309" t="n"/>
      <c r="B18" s="373" t="inlineStr">
        <is>
          <t>LCP JARRETT TSING KEE JIN</t>
        </is>
      </c>
      <c r="C18" s="317" t="inlineStr">
        <is>
          <t>CS2</t>
        </is>
      </c>
      <c r="D18" s="197" t="n"/>
      <c r="E18" s="197" t="n"/>
      <c r="F18" s="197" t="n"/>
      <c r="H18" s="197" t="n"/>
      <c r="I18" s="197" t="inlineStr">
        <is>
          <t>SB1</t>
        </is>
      </c>
      <c r="K18" s="197" t="n"/>
      <c r="L18" s="197" t="n"/>
      <c r="M18" s="197" t="inlineStr">
        <is>
          <t>RESERVE</t>
        </is>
      </c>
      <c r="N18" s="196" t="n"/>
      <c r="P18" s="197" t="inlineStr">
        <is>
          <t>CS1</t>
        </is>
      </c>
      <c r="Q18" s="197" t="n"/>
      <c r="R18" s="197" t="inlineStr">
        <is>
          <t>RESERVE</t>
        </is>
      </c>
      <c r="S18" s="197" t="n"/>
      <c r="T18" s="196" t="inlineStr">
        <is>
          <t>CS1</t>
        </is>
      </c>
      <c r="U18" s="197" t="n"/>
      <c r="V18" s="197" t="inlineStr">
        <is>
          <t>NSC</t>
        </is>
      </c>
      <c r="W18" s="197" t="n"/>
      <c r="X18" s="197" t="inlineStr">
        <is>
          <t>SB1</t>
        </is>
      </c>
      <c r="Z18" s="197" t="inlineStr">
        <is>
          <t>RESERVE</t>
        </is>
      </c>
      <c r="AA18" s="197" t="n"/>
      <c r="AC18" s="197" t="inlineStr">
        <is>
          <t>CS2</t>
        </is>
      </c>
      <c r="AD18" s="197" t="n"/>
      <c r="AF18" s="317" t="inlineStr">
        <is>
          <t>CS1</t>
        </is>
      </c>
      <c r="AG18" s="317" t="n"/>
      <c r="AH18" s="197" t="n"/>
      <c r="AI18" s="311" t="n"/>
      <c r="AJ18" s="312" t="n"/>
      <c r="AK18" s="311" t="n"/>
      <c r="AL18" s="313" t="n"/>
      <c r="AM18" s="313" t="n"/>
      <c r="AN18" s="313" t="n"/>
      <c r="AO18" s="313" t="n"/>
      <c r="AP18" s="238" t="n"/>
      <c r="AQ18" s="313">
        <f>SUMPRODUCT(--WEEKDAY(C$3:AG$3,2)&lt;6,--((C18:AG18="DM"))+(C18:AG18="CS1")+((C18:AG18="CS2"))+(C18:AG18="SB1")+(C18:AG18="AE")+(C18:AG18="EM"))</f>
        <v/>
      </c>
      <c r="AR18" s="238" t="n"/>
      <c r="AS18" s="238">
        <f>SUMPRODUCT(--WEEKDAY(C$3:AG$3,2)&gt;5,--((C18:AG18="DM"))+(C18:AG18="CS1")+((C18:AG18="CS2"))+(C18:AG18="SB1")+(C18:AG18="AE")+(C18:AG18="EM"))</f>
        <v/>
      </c>
      <c r="AT18" s="238" t="n"/>
      <c r="AU18" s="238">
        <f>(AQ18-AR18)/2+(AS18-AT18)</f>
        <v/>
      </c>
      <c r="AV18" s="238">
        <f>AI18+AJ18+AK18+AL18+AN18+AO18</f>
        <v/>
      </c>
      <c r="AW18" s="238">
        <f>BG18+BH18+BJ18+BE18+BC18+BA18+BL18</f>
        <v/>
      </c>
      <c r="AX18" s="238">
        <f>AU18+$AY$10</f>
        <v/>
      </c>
      <c r="AY18" s="313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/>
      </c>
      <c r="AZ18" s="313">
        <f>COUNTIF(D18:Y18,"*BRT*")</f>
        <v/>
      </c>
      <c r="BA18" s="313">
        <f>COUNTIF(A18:AI18,"*$BTP*")</f>
        <v/>
      </c>
      <c r="BB18" s="313">
        <f>BA18*('Setting key Duty'!$I$13+'Setting key Duty'!$I$12+'Setting key Duty'!$I$11)</f>
        <v/>
      </c>
      <c r="BC18" s="313">
        <f>COUNTIF(A18:AI18,"*$L*")</f>
        <v/>
      </c>
      <c r="BD18" s="313">
        <f>BC18*('Setting key Duty'!$I$13+'Setting key Duty'!$I$9)</f>
        <v/>
      </c>
      <c r="BE18" s="313">
        <f>COUNTIF(A18:AI18,"*$M*")</f>
        <v/>
      </c>
      <c r="BF18" s="313">
        <f>BE18*('Setting key Duty'!$I$8+'Setting key Duty'!$I$9+'Setting key Duty'!$I$12)</f>
        <v/>
      </c>
      <c r="BG18" s="313">
        <f>COUNTIF(AI18,"*$N*")</f>
        <v/>
      </c>
      <c r="BH18" s="313">
        <f>COUNTIF(AI18,"*$PM*")</f>
        <v/>
      </c>
      <c r="BI18" s="313">
        <f>BH18*('Setting key Duty'!$I$9)</f>
        <v/>
      </c>
      <c r="BJ18" s="313">
        <f>COUNTIF(A18:AI18,"*$AM*")</f>
        <v/>
      </c>
      <c r="BK18" s="313">
        <f>BJ18*('Setting key Duty'!$I$12+'Setting key Duty'!$I$8)</f>
        <v/>
      </c>
      <c r="BL18" s="313">
        <f>COUNTIF(D18:AI18,"*$FC*")</f>
        <v/>
      </c>
      <c r="BM18" s="313">
        <f>BL18*('Setting key Duty'!$J$11+'Setting key Duty'!$I$8)</f>
        <v/>
      </c>
      <c r="BN18" s="313">
        <f>COUNTIF($D18:$Y18,BN$4)</f>
        <v/>
      </c>
      <c r="BO18" s="313">
        <f>COUNTIF($D18:$Y18,BO$4)</f>
        <v/>
      </c>
      <c r="BP18" s="313">
        <f>COUNTIF($D18:$Y18,BP$4)</f>
        <v/>
      </c>
      <c r="BQ18" s="314" t="n"/>
    </row>
    <row r="19" ht="26.25" customHeight="1">
      <c r="A19" s="309" t="n"/>
      <c r="B19" s="333" t="inlineStr">
        <is>
          <t>CFC MARK TAN YIH</t>
        </is>
      </c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311" t="n"/>
      <c r="AJ19" s="312" t="n"/>
      <c r="AK19" s="311" t="n"/>
      <c r="AL19" s="313" t="n"/>
      <c r="AM19" s="313" t="n"/>
      <c r="AN19" s="313" t="n"/>
      <c r="AO19" s="313" t="n"/>
      <c r="AP19" s="238" t="n"/>
      <c r="AQ19" s="313">
        <f>SUMPRODUCT(--WEEKDAY(C$3:AG$3,2)&lt;6,--((C19:AG19="DM"))+(C19:AG19="CS1")+((C19:AG19="CS2"))+(C19:AG19="SB1")+(C19:AG19="AE")+(C19:AG19="EM"))</f>
        <v/>
      </c>
      <c r="AR19" s="238" t="n"/>
      <c r="AS19" s="238">
        <f>SUMPRODUCT(--WEEKDAY(C$3:AG$3,2)&gt;5,--((C19:AG19="DM"))+(C19:AG19="CS1")+((C19:AG19="CS2"))+(C19:AG19="SB1")+(C19:AG19="AE")+(C19:AG19="EM"))</f>
        <v/>
      </c>
      <c r="AT19" s="238" t="n"/>
      <c r="AU19" s="238">
        <f>(AQ19-AR19)/2+(AS19-AT19)</f>
        <v/>
      </c>
      <c r="AV19" s="238">
        <f>AI19+AJ19+AK19+AL19+AN19+AO19</f>
        <v/>
      </c>
      <c r="AW19" s="238">
        <f>BG19+BH19+BJ19+BE19+BC19+BA19+BL19</f>
        <v/>
      </c>
      <c r="AX19" s="238">
        <f>AU19+AY19</f>
        <v/>
      </c>
      <c r="AY19" s="313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/>
      </c>
      <c r="AZ19" s="313">
        <f>COUNTIF(E19:AA19,"*BRT*")</f>
        <v/>
      </c>
      <c r="BA19" s="313">
        <f>COUNTIF(A19:AI19,"*$BTP*")</f>
        <v/>
      </c>
      <c r="BB19" s="313">
        <f>BA19*('Setting key Duty'!$I$13+'Setting key Duty'!$I$12+'Setting key Duty'!$I$11)</f>
        <v/>
      </c>
      <c r="BC19" s="313">
        <f>COUNTIF(A19:AI19,"*$L*")</f>
        <v/>
      </c>
      <c r="BD19" s="313">
        <f>BC19*('Setting key Duty'!$I$13+'Setting key Duty'!$I$9)</f>
        <v/>
      </c>
      <c r="BE19" s="313">
        <f>COUNTIF(A19:AI19,"*$M*")</f>
        <v/>
      </c>
      <c r="BF19" s="313">
        <f>BE19*('Setting key Duty'!$I$8+'Setting key Duty'!$I$9+'Setting key Duty'!$I$12)</f>
        <v/>
      </c>
      <c r="BG19" s="313">
        <f>COUNTIF(AG19:AI19,"*$N*")</f>
        <v/>
      </c>
      <c r="BH19" s="313">
        <f>COUNTIF(AG19:AI19,"*$PM*")</f>
        <v/>
      </c>
      <c r="BI19" s="313">
        <f>BH19*('Setting key Duty'!$I$9)</f>
        <v/>
      </c>
      <c r="BJ19" s="313">
        <f>COUNTIF(A19:AI19,"*$AM*")</f>
        <v/>
      </c>
      <c r="BK19" s="313">
        <f>BJ19*('Setting key Duty'!$I$12+'Setting key Duty'!$I$8)</f>
        <v/>
      </c>
      <c r="BL19" s="313">
        <f>COUNTIF(E19:AI19,"*$FC*")</f>
        <v/>
      </c>
      <c r="BM19" s="313">
        <f>BL19*('Setting key Duty'!$J$11+'Setting key Duty'!$I$8)</f>
        <v/>
      </c>
      <c r="BN19" s="313">
        <f>COUNTIF($E19:$AA19,BN$4)</f>
        <v/>
      </c>
      <c r="BO19" s="313">
        <f>COUNTIF($E19:$AA19,BO$4)</f>
        <v/>
      </c>
      <c r="BP19" s="313">
        <f>COUNTIF($E19:$AA19,BP$4)</f>
        <v/>
      </c>
      <c r="BQ19" s="314" t="n"/>
    </row>
    <row r="20" ht="19.5" customHeight="1">
      <c r="A20" s="309" t="n"/>
      <c r="B20" s="329" t="inlineStr">
        <is>
          <t>CFC PANG JUN YUAN</t>
        </is>
      </c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  <c r="Z20" s="197" t="n"/>
      <c r="AA20" s="197" t="n"/>
      <c r="AB20" s="197" t="n"/>
      <c r="AC20" s="197" t="n"/>
      <c r="AD20" s="197" t="n"/>
      <c r="AE20" s="197" t="n"/>
      <c r="AF20" s="197" t="n"/>
      <c r="AG20" s="197" t="n"/>
      <c r="AH20" s="197" t="n"/>
      <c r="AI20" s="311" t="n"/>
      <c r="AJ20" s="312" t="n"/>
      <c r="AK20" s="311" t="n"/>
      <c r="AL20" s="313" t="n"/>
      <c r="AM20" s="313" t="n"/>
      <c r="AN20" s="313" t="n"/>
      <c r="AO20" s="313" t="n"/>
      <c r="AP20" s="238" t="n"/>
      <c r="AQ20" s="313">
        <f>SUMPRODUCT(--WEEKDAY(C$3:AG$3,2)&lt;6,--((C20:AG20="DM"))+(C20:AG20="CS1")+((C20:AG20="CS2"))+(C20:AG20="SB1")+(C20:AG20="AE")+(C20:AG20="EM"))</f>
        <v/>
      </c>
      <c r="AR20" s="238" t="n"/>
      <c r="AS20" s="238">
        <f>SUMPRODUCT(--WEEKDAY(C$3:AG$3,2)&gt;5,--((C20:AG20="DM"))+(C20:AG20="CS1")+((C20:AG20="CS2"))+(C20:AG20="SB1")+(C20:AG20="AE")+(C20:AG20="EM"))</f>
        <v/>
      </c>
      <c r="AT20" s="238" t="n"/>
      <c r="AU20" s="238">
        <f>(AQ20-AR20)/2+(AS20-AT20)</f>
        <v/>
      </c>
      <c r="AV20" s="238">
        <f>AI20+AJ20+AK20+AL20+AN20+AO20</f>
        <v/>
      </c>
      <c r="AW20" s="238">
        <f>BG20+BH20+BJ20+BE20+BC20+BA20+BL20</f>
        <v/>
      </c>
      <c r="AX20" s="238">
        <f>AU20+AY20</f>
        <v/>
      </c>
      <c r="AY20" s="313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/>
      </c>
      <c r="AZ20" s="313">
        <f>COUNTIF(D20:AC20,"*BRT*")</f>
        <v/>
      </c>
      <c r="BA20" s="313">
        <f>COUNTIF(A20:AI20,"*$BTP*")</f>
        <v/>
      </c>
      <c r="BB20" s="313">
        <f>BA20*('Setting key Duty'!$I$13+'Setting key Duty'!$I$12+'Setting key Duty'!$I$11)</f>
        <v/>
      </c>
      <c r="BC20" s="313">
        <f>COUNTIF(A20:AI20,"*$L*")</f>
        <v/>
      </c>
      <c r="BD20" s="313">
        <f>BC20*('Setting key Duty'!$I$13+'Setting key Duty'!$I$9)</f>
        <v/>
      </c>
      <c r="BE20" s="313">
        <f>COUNTIF(A20:AI20,"*$M*")</f>
        <v/>
      </c>
      <c r="BF20" s="313">
        <f>BE20*('Setting key Duty'!$I$8+'Setting key Duty'!$I$9+'Setting key Duty'!$I$12)</f>
        <v/>
      </c>
      <c r="BG20" s="313">
        <f>COUNTIF(AF20:AI20,"*$N*")</f>
        <v/>
      </c>
      <c r="BH20" s="313">
        <f>COUNTIF(AF20:AI20,"*$PM*")</f>
        <v/>
      </c>
      <c r="BI20" s="313">
        <f>BH20*('Setting key Duty'!$I$9)</f>
        <v/>
      </c>
      <c r="BJ20" s="313">
        <f>COUNTIF(A20:AI20,"*$AM*")</f>
        <v/>
      </c>
      <c r="BK20" s="313">
        <f>BJ20*('Setting key Duty'!$I$12+'Setting key Duty'!$I$8)</f>
        <v/>
      </c>
      <c r="BL20" s="313">
        <f>COUNTIF(D20:AI20,"*$FC*")</f>
        <v/>
      </c>
      <c r="BM20" s="313">
        <f>BL20*('Setting key Duty'!$J$11+'Setting key Duty'!$I$8)</f>
        <v/>
      </c>
      <c r="BN20" s="313">
        <f>COUNTIF($D20:$AE20,BN$4)</f>
        <v/>
      </c>
      <c r="BO20" s="313">
        <f>COUNTIF($D20:$AE20,BO$4)</f>
        <v/>
      </c>
      <c r="BP20" s="313">
        <f>COUNTIF($D20:$AE20,BP$4)</f>
        <v/>
      </c>
      <c r="BQ20" s="314" t="n"/>
    </row>
    <row r="21" ht="30.75" customHeight="1">
      <c r="A21" s="309" t="n"/>
      <c r="B21" s="315" t="inlineStr">
        <is>
          <t>LCP CHEN DENG FENG</t>
        </is>
      </c>
      <c r="C21" s="197" t="inlineStr">
        <is>
          <t>RESERVE</t>
        </is>
      </c>
      <c r="D21" s="197" t="n"/>
      <c r="E21" s="197" t="n"/>
      <c r="H21" s="197" t="inlineStr">
        <is>
          <t>R $FC</t>
        </is>
      </c>
      <c r="I21" s="197" t="inlineStr">
        <is>
          <t>R $FC</t>
        </is>
      </c>
      <c r="J21" s="197" t="inlineStr">
        <is>
          <t>R $FC</t>
        </is>
      </c>
      <c r="K21" s="197" t="inlineStr">
        <is>
          <t>R $FC</t>
        </is>
      </c>
      <c r="L21" s="197" t="inlineStr">
        <is>
          <t>R $FC</t>
        </is>
      </c>
      <c r="M21" s="197" t="n"/>
      <c r="N21" s="196" t="n"/>
      <c r="O21" s="197" t="inlineStr">
        <is>
          <t>RESERVE</t>
        </is>
      </c>
      <c r="P21" s="197" t="n"/>
      <c r="Q21" s="197" t="n"/>
      <c r="R21" s="197" t="inlineStr">
        <is>
          <t>CS2</t>
        </is>
      </c>
      <c r="S21" s="197" t="n"/>
      <c r="T21" s="197" t="inlineStr">
        <is>
          <t>RESERVE</t>
        </is>
      </c>
      <c r="V21" s="197" t="n"/>
      <c r="W21" s="197" t="inlineStr">
        <is>
          <t>CS1</t>
        </is>
      </c>
      <c r="X21" s="197" t="n"/>
      <c r="Y21" s="197" t="inlineStr">
        <is>
          <t>RESERVE</t>
        </is>
      </c>
      <c r="Z21" s="331" t="n"/>
      <c r="AA21" s="197" t="inlineStr">
        <is>
          <t>CS1</t>
        </is>
      </c>
      <c r="AC21" s="197" t="inlineStr">
        <is>
          <t>CS1</t>
        </is>
      </c>
      <c r="AD21" s="197" t="n"/>
      <c r="AF21" s="197" t="n"/>
      <c r="AG21" s="197" t="n"/>
      <c r="AH21" s="106" t="n"/>
      <c r="AI21" s="311" t="n"/>
      <c r="AJ21" s="312" t="n"/>
      <c r="AK21" s="311" t="n"/>
      <c r="AL21" s="313" t="n"/>
      <c r="AM21" s="313" t="n"/>
      <c r="AN21" s="313" t="n"/>
      <c r="AO21" s="313" t="n"/>
      <c r="AP21" s="238" t="n"/>
      <c r="AQ21" s="313">
        <f>SUMPRODUCT(--WEEKDAY(C$3:AG$3,2)&lt;6,--((C21:AG21="DM"))+(C21:AG21="CS1")+((C21:AG21="CS2"))+(C21:AG21="SB1")+(C21:AG21="AE")+(C21:AG21="EM"))</f>
        <v/>
      </c>
      <c r="AR21" s="238" t="n"/>
      <c r="AS21" s="238">
        <f>SUMPRODUCT(--WEEKDAY(C$3:AG$3,2)&gt;5,--((C21:AG21="DM"))+(C21:AG21="CS1")+((C21:AG21="CS2"))+(C21:AG21="SB1")+(C21:AG21="AE")+(C21:AG21="EM"))</f>
        <v/>
      </c>
      <c r="AT21" s="238" t="n"/>
      <c r="AU21" s="238">
        <f>(AQ21-AR21)/2+(AS21-AT21)</f>
        <v/>
      </c>
      <c r="AV21" s="238">
        <f>AI21+AJ21+AK21+AL21+AN21+AO21</f>
        <v/>
      </c>
      <c r="AW21" s="238">
        <f>BG21+BH21+BJ21+BE21+BC21+BA21+BL21</f>
        <v/>
      </c>
      <c r="AX21" s="238">
        <f>AU21+$AY$10</f>
        <v/>
      </c>
      <c r="AY21" s="313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/>
      </c>
      <c r="AZ21" s="313">
        <f>COUNTIF(D21:AA21,"*BRT*")</f>
        <v/>
      </c>
      <c r="BA21" s="313">
        <f>COUNTIF(A21:AI21,"*$BTP*")</f>
        <v/>
      </c>
      <c r="BB21" s="313">
        <f>BA21*('Setting key Duty'!$I$13+'Setting key Duty'!$I$12+'Setting key Duty'!$I$11)</f>
        <v/>
      </c>
      <c r="BC21" s="313">
        <f>COUNTIF(A21:AI21,"*$L*")</f>
        <v/>
      </c>
      <c r="BD21" s="313">
        <f>BC21*('Setting key Duty'!$I$13+'Setting key Duty'!$I$9)</f>
        <v/>
      </c>
      <c r="BE21" s="313">
        <f>COUNTIF(A21:AI21,"*$M*")</f>
        <v/>
      </c>
      <c r="BF21" s="313">
        <f>BE21*('Setting key Duty'!$I$8+'Setting key Duty'!$I$9+'Setting key Duty'!$I$12)</f>
        <v/>
      </c>
      <c r="BG21" s="313">
        <f>COUNTIF(AI21,"*$N*")</f>
        <v/>
      </c>
      <c r="BH21" s="313">
        <f>COUNTIF(AI21,"*$PM*")</f>
        <v/>
      </c>
      <c r="BI21" s="313">
        <f>BH21*('Setting key Duty'!$I$9)</f>
        <v/>
      </c>
      <c r="BJ21" s="313">
        <f>COUNTIF(A21:AI21,"*$AM*")</f>
        <v/>
      </c>
      <c r="BK21" s="313">
        <f>BJ21*('Setting key Duty'!$I$12+'Setting key Duty'!$I$8)</f>
        <v/>
      </c>
      <c r="BL21" s="313">
        <f>COUNTIF(D21:AI21,"*$FC*")</f>
        <v/>
      </c>
      <c r="BM21" s="313">
        <f>BL21*('Setting key Duty'!$J$11+'Setting key Duty'!$I$8)</f>
        <v/>
      </c>
      <c r="BN21" s="313">
        <f>COUNTIF($D21:$AA21,BN$4)</f>
        <v/>
      </c>
      <c r="BO21" s="313">
        <f>COUNTIF($D21:$AA21,BO$4)</f>
        <v/>
      </c>
      <c r="BP21" s="313">
        <f>COUNTIF($D21:$AA21,BP$4)</f>
        <v/>
      </c>
      <c r="BQ21" s="314" t="n"/>
    </row>
    <row r="22" ht="27.75" customHeight="1">
      <c r="A22" s="309" t="n"/>
      <c r="B22" s="315" t="inlineStr">
        <is>
          <t>LCP EUAN TING</t>
        </is>
      </c>
      <c r="D22" s="197" t="n"/>
      <c r="E22" s="197" t="n"/>
      <c r="G22" s="197" t="inlineStr">
        <is>
          <t>CS1</t>
        </is>
      </c>
      <c r="H22" s="377" t="n"/>
      <c r="L22" s="196" t="inlineStr">
        <is>
          <t>CS2</t>
        </is>
      </c>
      <c r="M22" s="106" t="n"/>
      <c r="N22" s="197" t="inlineStr">
        <is>
          <t>RESERVE</t>
        </is>
      </c>
      <c r="P22" s="197" t="inlineStr">
        <is>
          <t>SB1</t>
        </is>
      </c>
      <c r="R22" s="197" t="n"/>
      <c r="S22" s="197" t="inlineStr">
        <is>
          <t>OL</t>
        </is>
      </c>
      <c r="T22" s="197" t="inlineStr">
        <is>
          <t>OL</t>
        </is>
      </c>
      <c r="U22" s="197" t="inlineStr">
        <is>
          <t>OL</t>
        </is>
      </c>
      <c r="V22" s="197" t="inlineStr">
        <is>
          <t>OL</t>
        </is>
      </c>
      <c r="W22" s="197" t="inlineStr">
        <is>
          <t>OL</t>
        </is>
      </c>
      <c r="X22" s="197" t="inlineStr">
        <is>
          <t>OL</t>
        </is>
      </c>
      <c r="Y22" s="197" t="inlineStr">
        <is>
          <t>OL</t>
        </is>
      </c>
      <c r="Z22" s="197" t="inlineStr">
        <is>
          <t>OL</t>
        </is>
      </c>
      <c r="AA22" s="197" t="inlineStr">
        <is>
          <t>OL</t>
        </is>
      </c>
      <c r="AC22" s="197" t="inlineStr">
        <is>
          <t>SB1</t>
        </is>
      </c>
      <c r="AD22" s="197" t="n"/>
      <c r="AE22" s="197" t="inlineStr">
        <is>
          <t>CS1</t>
        </is>
      </c>
      <c r="AF22" s="197" t="n"/>
      <c r="AG22" s="197" t="inlineStr">
        <is>
          <t>CS1</t>
        </is>
      </c>
      <c r="AH22" s="197" t="n"/>
      <c r="AI22" s="311" t="n"/>
      <c r="AJ22" s="312" t="n"/>
      <c r="AK22" s="311" t="n"/>
      <c r="AL22" s="313" t="n"/>
      <c r="AM22" s="313" t="n"/>
      <c r="AN22" s="313" t="n"/>
      <c r="AO22" s="313" t="n"/>
      <c r="AP22" s="238" t="n"/>
      <c r="AQ22" s="313">
        <f>SUMPRODUCT(--WEEKDAY(C$3:AG$3,2)&lt;6,--((C22:AG22="DM"))+(C22:AG22="CS1")+((C22:AG22="CS2"))+(C22:AG22="SB1")+(C22:AG22="AE")+(C22:AG22="EM"))</f>
        <v/>
      </c>
      <c r="AR22" s="238" t="n"/>
      <c r="AS22" s="238">
        <f>SUMPRODUCT(--WEEKDAY(C$3:AG$3,2)&gt;5,--((C22:AG22="DM"))+(C22:AG22="CS1")+((C22:AG22="CS2"))+(C22:AG22="SB1")+(C22:AG22="AE")+(C22:AG22="EM"))</f>
        <v/>
      </c>
      <c r="AT22" s="238" t="n"/>
      <c r="AU22" s="238">
        <f>(AQ22-AR22)/2+(AS22-AT22)</f>
        <v/>
      </c>
      <c r="AV22" s="238">
        <f>AI22+AJ22+AK22+AL22+AN22+AO22</f>
        <v/>
      </c>
      <c r="AW22" s="238">
        <f>BG22+BH22+BJ22+BE22+BC22+BA22+BL22</f>
        <v/>
      </c>
      <c r="AX22" s="238">
        <f>AU22+$AY$10</f>
        <v/>
      </c>
      <c r="AY22" s="313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/>
      </c>
      <c r="AZ22" s="313">
        <f>COUNTIF(C22:AA22,"*BRT*")</f>
        <v/>
      </c>
      <c r="BA22" s="313">
        <f>COUNTIF(A22:AI22,"*$BTP*")</f>
        <v/>
      </c>
      <c r="BB22" s="313">
        <f>BA22*('Setting key Duty'!$I$13+'Setting key Duty'!$I$12+'Setting key Duty'!$I$11)</f>
        <v/>
      </c>
      <c r="BC22" s="313">
        <f>COUNTIF(A22:AI22,"*$L*")</f>
        <v/>
      </c>
      <c r="BD22" s="313">
        <f>BC22*('Setting key Duty'!$I$13+'Setting key Duty'!$I$9)</f>
        <v/>
      </c>
      <c r="BE22" s="313">
        <f>COUNTIF(A22:AI22,"*$M*")</f>
        <v/>
      </c>
      <c r="BF22" s="313">
        <f>BE22*('Setting key Duty'!$I$8+'Setting key Duty'!$I$9+'Setting key Duty'!$I$12)</f>
        <v/>
      </c>
      <c r="BG22" s="313">
        <f>COUNTIF(AI22,"*$N*")</f>
        <v/>
      </c>
      <c r="BH22" s="313">
        <f>COUNTIF(AI22,"*$PM*")</f>
        <v/>
      </c>
      <c r="BI22" s="313">
        <f>BH22*('Setting key Duty'!$I$9)</f>
        <v/>
      </c>
      <c r="BJ22" s="313">
        <f>COUNTIF(A22:AI22,"*$AM*")</f>
        <v/>
      </c>
      <c r="BK22" s="313">
        <f>BJ22*('Setting key Duty'!$I$12+'Setting key Duty'!$I$8)</f>
        <v/>
      </c>
      <c r="BL22" s="313">
        <f>COUNTIF(C22:AI22,"*$FC*")</f>
        <v/>
      </c>
      <c r="BM22" s="313">
        <f>BL22*('Setting key Duty'!$J$11+'Setting key Duty'!$I$8)</f>
        <v/>
      </c>
      <c r="BN22" s="313">
        <f>COUNTIF($C22:$AA22,BN$4)</f>
        <v/>
      </c>
      <c r="BO22" s="313">
        <f>COUNTIF($C22:$AA22,BO$4)</f>
        <v/>
      </c>
      <c r="BP22" s="313">
        <f>COUNTIF($C22:$AA22,BP$4)</f>
        <v/>
      </c>
      <c r="BQ22" s="314" t="n"/>
    </row>
    <row r="23" ht="19.5" customHeight="1">
      <c r="A23" s="309" t="n"/>
      <c r="B23" s="375" t="inlineStr">
        <is>
          <t>CPL SEE WEI ZHI</t>
        </is>
      </c>
      <c r="C23" s="197" t="n"/>
      <c r="D23" s="197" t="inlineStr">
        <is>
          <t>CS1</t>
        </is>
      </c>
      <c r="E23" s="197" t="n"/>
      <c r="F23" s="197" t="n"/>
      <c r="G23" s="197" t="inlineStr">
        <is>
          <t>RESERVE</t>
        </is>
      </c>
      <c r="H23" s="197" t="n"/>
      <c r="I23" s="106" t="n"/>
      <c r="K23" s="197" t="n"/>
      <c r="L23" s="317" t="inlineStr">
        <is>
          <t>DM</t>
        </is>
      </c>
      <c r="M23" s="106" t="n"/>
      <c r="N23" s="196" t="n"/>
      <c r="O23" s="197" t="inlineStr">
        <is>
          <t>CS1</t>
        </is>
      </c>
      <c r="P23" s="197" t="n"/>
      <c r="Q23" s="197" t="inlineStr">
        <is>
          <t>RESERVE</t>
        </is>
      </c>
      <c r="R23" s="317" t="n"/>
      <c r="T23" s="197" t="inlineStr">
        <is>
          <t>DM</t>
        </is>
      </c>
      <c r="U23" s="197" t="n"/>
      <c r="V23" s="197" t="n"/>
      <c r="W23" s="197" t="inlineStr">
        <is>
          <t>DM</t>
        </is>
      </c>
      <c r="X23" s="197" t="n"/>
      <c r="Y23" s="197" t="n"/>
      <c r="Z23" s="197" t="n"/>
      <c r="AA23" s="197" t="n"/>
      <c r="AB23" s="317" t="n"/>
      <c r="AC23" s="197" t="inlineStr">
        <is>
          <t>RESERVE</t>
        </is>
      </c>
      <c r="AD23" s="317" t="inlineStr">
        <is>
          <t>DM</t>
        </is>
      </c>
      <c r="AF23" s="197" t="inlineStr">
        <is>
          <t>CS2</t>
        </is>
      </c>
      <c r="AG23" s="197" t="n"/>
      <c r="AH23" s="197" t="n"/>
      <c r="AI23" s="311" t="n"/>
      <c r="AJ23" s="312" t="n"/>
      <c r="AK23" s="311" t="n"/>
      <c r="AL23" s="313" t="n"/>
      <c r="AM23" s="313" t="n"/>
      <c r="AN23" s="313" t="n"/>
      <c r="AO23" s="313" t="n"/>
      <c r="AP23" s="238" t="n"/>
      <c r="AQ23" s="313">
        <f>SUMPRODUCT(--WEEKDAY(C$3:AG$3,2)&lt;6,--((C23:AG23="DM"))+(C23:AG23="CS1")+((C23:AG23="CS2"))+(C23:AG23="SB1")+(C23:AG23="AE")+(C23:AG23="EM"))</f>
        <v/>
      </c>
      <c r="AR23" s="238" t="n"/>
      <c r="AS23" s="238">
        <f>SUMPRODUCT(--WEEKDAY(C$3:AG$3,2)&gt;5,--((C23:AG23="DM"))+(C23:AG23="CS1")+((C23:AG23="CS2"))+(C23:AG23="SB1")+(C23:AG23="AE")+(C23:AG23="EM"))</f>
        <v/>
      </c>
      <c r="AT23" s="238" t="n"/>
      <c r="AU23" s="238">
        <f>(AQ23-AR23)/2+(AS23-AT23)</f>
        <v/>
      </c>
      <c r="AV23" s="238">
        <f>AI23+AJ23+AK23+AL23+AN23+AO23</f>
        <v/>
      </c>
      <c r="AW23" s="238">
        <f>BG23+BH23+BJ23+BE23+BC23+BA23+BL23</f>
        <v/>
      </c>
      <c r="AX23" s="238">
        <f>AU23+AY23</f>
        <v/>
      </c>
      <c r="AY23" s="313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/>
      </c>
      <c r="AZ23" s="313">
        <f>COUNTIF(D23:AB23,"*BRT*")</f>
        <v/>
      </c>
      <c r="BA23" s="313">
        <f>COUNTIF(A23:AI23,"*$BTP*")</f>
        <v/>
      </c>
      <c r="BB23" s="313">
        <f>BA23*('Setting key Duty'!$I$13+'Setting key Duty'!$I$12+'Setting key Duty'!$I$11)</f>
        <v/>
      </c>
      <c r="BC23" s="313">
        <f>COUNTIF(A23:AI23,"*$L*")</f>
        <v/>
      </c>
      <c r="BD23" s="313">
        <f>BC23*('Setting key Duty'!$I$13+'Setting key Duty'!$I$9)</f>
        <v/>
      </c>
      <c r="BE23" s="313">
        <f>COUNTIF(A23:AI23,"*$M*")</f>
        <v/>
      </c>
      <c r="BF23" s="313">
        <f>BE23*('Setting key Duty'!$I$8+'Setting key Duty'!$I$9+'Setting key Duty'!$I$12)</f>
        <v/>
      </c>
      <c r="BG23" s="313">
        <f>COUNTIF(AF23:AI23,"*$N*")</f>
        <v/>
      </c>
      <c r="BH23" s="313">
        <f>COUNTIF(AF23:AI23,"*$PM*")</f>
        <v/>
      </c>
      <c r="BI23" s="313">
        <f>BH23*('Setting key Duty'!$I$9)</f>
        <v/>
      </c>
      <c r="BJ23" s="313">
        <f>COUNTIF(A23:AI23,"*$AM*")</f>
        <v/>
      </c>
      <c r="BK23" s="313">
        <f>BJ23*('Setting key Duty'!$I$12+'Setting key Duty'!$I$8)</f>
        <v/>
      </c>
      <c r="BL23" s="313">
        <f>COUNTIF(D23:AI23,"*$FC*")</f>
        <v/>
      </c>
      <c r="BM23" s="313">
        <f>BL23*('Setting key Duty'!$J$11+'Setting key Duty'!$I$8)</f>
        <v/>
      </c>
      <c r="BN23" s="313">
        <f>COUNTIF($D23:$AF23,BN$4)</f>
        <v/>
      </c>
      <c r="BO23" s="313">
        <f>COUNTIF($D23:$AF23,BO$4)</f>
        <v/>
      </c>
      <c r="BP23" s="313">
        <f>COUNTIF($D23:$AF23,BP$4)</f>
        <v/>
      </c>
      <c r="BQ23" s="314" t="n"/>
    </row>
    <row r="24" ht="19.5" customHeight="1">
      <c r="A24" s="309" t="n"/>
      <c r="B24" s="328" t="inlineStr">
        <is>
          <t>LCP MARK WU</t>
        </is>
      </c>
      <c r="C24" s="197" t="n"/>
      <c r="D24" s="197" t="inlineStr">
        <is>
          <t>OL</t>
        </is>
      </c>
      <c r="E24" s="197" t="inlineStr">
        <is>
          <t>OL</t>
        </is>
      </c>
      <c r="F24" s="197" t="inlineStr">
        <is>
          <t>OL</t>
        </is>
      </c>
      <c r="G24" s="197" t="n"/>
      <c r="H24" s="377" t="inlineStr">
        <is>
          <t>SB1</t>
        </is>
      </c>
      <c r="I24" s="106" t="n"/>
      <c r="J24" s="197" t="inlineStr">
        <is>
          <t>CS1</t>
        </is>
      </c>
      <c r="L24" s="197" t="n"/>
      <c r="M24" s="349" t="n"/>
      <c r="N24" s="196" t="inlineStr">
        <is>
          <t>CS1</t>
        </is>
      </c>
      <c r="O24" s="197" t="n"/>
      <c r="S24" s="197" t="n"/>
      <c r="T24" s="196" t="inlineStr">
        <is>
          <t>SB1</t>
        </is>
      </c>
      <c r="U24" s="197" t="n"/>
      <c r="X24" s="317" t="inlineStr">
        <is>
          <t>CS1</t>
        </is>
      </c>
      <c r="Y24" s="197" t="n"/>
      <c r="Z24" s="197" t="n"/>
      <c r="AA24" s="197" t="n"/>
      <c r="AB24" s="197" t="n"/>
      <c r="AC24" s="197" t="n"/>
      <c r="AD24" s="197" t="n"/>
      <c r="AE24" s="197" t="inlineStr">
        <is>
          <t>GP $M REHEARSAL (0730-1700)</t>
        </is>
      </c>
      <c r="AF24" s="197" t="n"/>
      <c r="AG24" s="197" t="n"/>
      <c r="AH24" s="197" t="inlineStr">
        <is>
          <t>RESERVE</t>
        </is>
      </c>
      <c r="AI24" s="311" t="n"/>
      <c r="AJ24" s="312" t="n"/>
      <c r="AK24" s="311" t="n"/>
      <c r="AL24" s="313" t="n"/>
      <c r="AM24" s="313" t="n"/>
      <c r="AN24" s="313" t="n"/>
      <c r="AO24" s="313" t="n"/>
      <c r="AP24" s="238" t="n"/>
      <c r="AQ24" s="313">
        <f>SUMPRODUCT(--WEEKDAY(C$3:AG$3,2)&lt;6,--((C24:AG24="DM"))+(C24:AG24="CS1")+((C24:AG24="CS2"))+(C24:AG24="SB1")+(C24:AG24="AE")+(C24:AG24="EM"))</f>
        <v/>
      </c>
      <c r="AR24" s="238" t="n"/>
      <c r="AS24" s="238">
        <f>SUMPRODUCT(--WEEKDAY(C$3:AG$3,2)&gt;5,--((C24:AG24="DM"))+(C24:AG24="CS1")+((C24:AG24="CS2"))+(C24:AG24="SB1")+(C24:AG24="AE")+(C24:AG24="EM"))</f>
        <v/>
      </c>
      <c r="AT24" s="238" t="n"/>
      <c r="AU24" s="238">
        <f>(AQ24-AR24)/2+(AS24-AT24)</f>
        <v/>
      </c>
      <c r="AV24" s="238">
        <f>AI24+AJ24+AK24+AL24+AN24+AO24</f>
        <v/>
      </c>
      <c r="AW24" s="238">
        <f>BG24+BH24+BJ24+BE24+BC24+BA24+BL24</f>
        <v/>
      </c>
      <c r="AX24" s="238">
        <f>AU24+$AY$10</f>
        <v/>
      </c>
      <c r="AY24" s="313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/>
      </c>
      <c r="AZ24" s="313" t="n"/>
      <c r="BA24" s="313" t="n"/>
      <c r="BB24" s="313" t="n"/>
      <c r="BC24" s="313" t="n"/>
      <c r="BD24" s="313" t="n"/>
      <c r="BE24" s="313" t="n"/>
      <c r="BF24" s="313" t="n"/>
      <c r="BG24" s="313" t="n"/>
      <c r="BH24" s="313" t="n"/>
      <c r="BI24" s="313" t="n"/>
      <c r="BJ24" s="313" t="n"/>
      <c r="BK24" s="313" t="n"/>
      <c r="BL24" s="313" t="n"/>
      <c r="BM24" s="313" t="n"/>
      <c r="BN24" s="313" t="n"/>
      <c r="BO24" s="313" t="n"/>
      <c r="BP24" s="313" t="n"/>
      <c r="BQ24" s="314" t="n"/>
    </row>
    <row r="25" ht="19.5" customHeight="1">
      <c r="A25" s="309" t="n"/>
      <c r="B25" s="328" t="inlineStr">
        <is>
          <t>CPL WAN FARID BIN ABDULLAH</t>
        </is>
      </c>
      <c r="C25" s="197" t="n"/>
      <c r="D25" s="197" t="inlineStr">
        <is>
          <t>CS2</t>
        </is>
      </c>
      <c r="E25" s="197" t="n"/>
      <c r="F25" s="197" t="n"/>
      <c r="G25" s="197" t="n"/>
      <c r="H25" s="197" t="n"/>
      <c r="I25" s="197" t="inlineStr">
        <is>
          <t>DM</t>
        </is>
      </c>
      <c r="J25" s="197" t="n"/>
      <c r="K25" s="197" t="n"/>
      <c r="L25" s="317" t="n"/>
      <c r="M25" s="317" t="inlineStr">
        <is>
          <t>DM</t>
        </is>
      </c>
      <c r="N25" s="355" t="n"/>
      <c r="O25" s="197" t="inlineStr">
        <is>
          <t>RESERVE</t>
        </is>
      </c>
      <c r="P25" s="197" t="n"/>
      <c r="Q25" s="197" t="inlineStr">
        <is>
          <t>CS1</t>
        </is>
      </c>
      <c r="R25" s="197" t="n"/>
      <c r="S25" s="197" t="n"/>
      <c r="T25" s="196" t="n"/>
      <c r="U25" s="317" t="n"/>
      <c r="V25" s="197" t="inlineStr">
        <is>
          <t>C $M 12KM (1400-2359)</t>
        </is>
      </c>
      <c r="W25" s="197" t="n"/>
      <c r="X25" s="197" t="inlineStr">
        <is>
          <t>RESERVE</t>
        </is>
      </c>
      <c r="Z25" s="197" t="inlineStr">
        <is>
          <t>DM</t>
        </is>
      </c>
      <c r="AB25" s="197" t="n"/>
      <c r="AD25" s="317" t="n"/>
      <c r="AF25" s="197" t="inlineStr">
        <is>
          <t>DM</t>
        </is>
      </c>
      <c r="AG25" s="197" t="n"/>
      <c r="AH25" s="197" t="n"/>
      <c r="AI25" s="311" t="n"/>
      <c r="AJ25" s="312" t="n"/>
      <c r="AK25" s="311" t="n"/>
      <c r="AL25" s="313" t="n"/>
      <c r="AM25" s="313" t="n"/>
      <c r="AN25" s="313" t="n"/>
      <c r="AO25" s="313" t="n"/>
      <c r="AP25" s="238" t="n"/>
      <c r="AQ25" s="313">
        <f>SUMPRODUCT(--WEEKDAY(C$3:AG$3,2)&lt;6,--((C25:AG25="DM"))+(C25:AG25="CS1")+((C25:AG25="CS2"))+(C25:AG25="SB1")+(C25:AG25="AE")+(C25:AG25="EM"))</f>
        <v/>
      </c>
      <c r="AR25" s="238" t="n"/>
      <c r="AS25" s="238">
        <f>SUMPRODUCT(--WEEKDAY(C$3:AG$3,2)&gt;5,--((C25:AG25="DM"))+(C25:AG25="CS1")+((C25:AG25="CS2"))+(C25:AG25="SB1")+(C25:AG25="AE")+(C25:AG25="EM"))</f>
        <v/>
      </c>
      <c r="AT25" s="238" t="n"/>
      <c r="AU25" s="238">
        <f>(AQ25-AR25)/2+(AS25-AT25)</f>
        <v/>
      </c>
      <c r="AV25" s="238">
        <f>AI25+AJ25+AK25+AL25+AN25+AO25</f>
        <v/>
      </c>
      <c r="AW25" s="238">
        <f>BG25+BH25+BJ25+BE25+BC25+BA25+BL25</f>
        <v/>
      </c>
      <c r="AX25" s="238">
        <f>AU25+AY25</f>
        <v/>
      </c>
      <c r="AY25" s="313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/>
      </c>
      <c r="AZ25" s="313">
        <f>COUNTIF(D25:AA25,"*BRT*")</f>
        <v/>
      </c>
      <c r="BA25" s="313">
        <f>COUNTIF(A25:AI25,"*$BTP*")</f>
        <v/>
      </c>
      <c r="BB25" s="313">
        <f>BA25*('Setting key Duty'!$I$13+'Setting key Duty'!$I$12+'Setting key Duty'!$I$11)</f>
        <v/>
      </c>
      <c r="BC25" s="313">
        <f>COUNTIF(A25:AI25,"*$L*")</f>
        <v/>
      </c>
      <c r="BD25" s="313">
        <f>BC25*('Setting key Duty'!$I$13+'Setting key Duty'!$I$9)</f>
        <v/>
      </c>
      <c r="BE25" s="313">
        <f>COUNTIF(A25:AI25,"*$M*")</f>
        <v/>
      </c>
      <c r="BF25" s="313">
        <f>BE25*('Setting key Duty'!$I$8+'Setting key Duty'!$I$9+'Setting key Duty'!$I$12)</f>
        <v/>
      </c>
      <c r="BG25" s="313">
        <f>COUNTIF(AI25,"*$N*")</f>
        <v/>
      </c>
      <c r="BH25" s="313">
        <f>COUNTIF(AI25,"*$PM*")</f>
        <v/>
      </c>
      <c r="BI25" s="313">
        <f>BH25*('Setting key Duty'!$I$9)</f>
        <v/>
      </c>
      <c r="BJ25" s="313">
        <f>COUNTIF(A25:AI25,"*$AM*")</f>
        <v/>
      </c>
      <c r="BK25" s="313">
        <f>BJ25*('Setting key Duty'!$I$12+'Setting key Duty'!$I$8)</f>
        <v/>
      </c>
      <c r="BL25" s="313">
        <f>COUNTIF(D25:AI25,"*$FC*")</f>
        <v/>
      </c>
      <c r="BM25" s="313">
        <f>BL25*('Setting key Duty'!$J$11+'Setting key Duty'!$I$8)</f>
        <v/>
      </c>
      <c r="BN25" s="313">
        <f>COUNTIF($D25:$AA25,BN$4)</f>
        <v/>
      </c>
      <c r="BO25" s="313">
        <f>COUNTIF($D25:$AA25,BO$4)</f>
        <v/>
      </c>
      <c r="BP25" s="313">
        <f>COUNTIF($D25:$AA25,BP$4)</f>
        <v/>
      </c>
      <c r="BQ25" s="314" t="n"/>
    </row>
    <row r="26" ht="19.5" customHeight="1">
      <c r="A26" s="309" t="n"/>
      <c r="B26" s="376" t="inlineStr">
        <is>
          <t>PTE GERALD TAN</t>
        </is>
      </c>
      <c r="D26" s="197" t="n"/>
      <c r="E26" s="197" t="n"/>
      <c r="G26" s="324" t="inlineStr">
        <is>
          <t>SB1</t>
        </is>
      </c>
      <c r="H26" s="317" t="n"/>
      <c r="I26" s="197" t="n"/>
      <c r="J26" s="317" t="inlineStr">
        <is>
          <t>SB1</t>
        </is>
      </c>
      <c r="K26" s="317" t="inlineStr">
        <is>
          <t>PM MA</t>
        </is>
      </c>
      <c r="L26" s="317" t="inlineStr">
        <is>
          <t>SB1</t>
        </is>
      </c>
      <c r="N26" s="378" t="n"/>
      <c r="O26" s="317" t="n"/>
      <c r="P26" s="197" t="n"/>
      <c r="Q26" s="197" t="inlineStr">
        <is>
          <t>SB1</t>
        </is>
      </c>
      <c r="R26" s="317" t="inlineStr">
        <is>
          <t>PM MA</t>
        </is>
      </c>
      <c r="S26" s="196" t="inlineStr">
        <is>
          <t>AE</t>
        </is>
      </c>
      <c r="T26" s="196" t="n"/>
      <c r="U26" s="197" t="n"/>
      <c r="V26" s="197" t="inlineStr">
        <is>
          <t>CS1</t>
        </is>
      </c>
      <c r="X26" s="197" t="inlineStr">
        <is>
          <t>RESERVE</t>
        </is>
      </c>
      <c r="Y26" s="197" t="n"/>
      <c r="Z26" s="197" t="n"/>
      <c r="AA26" s="317" t="inlineStr">
        <is>
          <t>BDAY</t>
        </is>
      </c>
      <c r="AB26" s="197" t="n"/>
      <c r="AC26" s="317" t="n"/>
      <c r="AD26" s="317" t="inlineStr">
        <is>
          <t>SB1</t>
        </is>
      </c>
      <c r="AG26" s="197" t="n"/>
      <c r="AH26" s="317" t="n"/>
      <c r="AI26" s="311" t="n"/>
      <c r="AJ26" s="312" t="n"/>
      <c r="AK26" s="311" t="n"/>
      <c r="AL26" s="313" t="n"/>
      <c r="AM26" s="313" t="n"/>
      <c r="AN26" s="313" t="n"/>
      <c r="AO26" s="313" t="n"/>
      <c r="AP26" s="238" t="n"/>
      <c r="AQ26" s="313">
        <f>SUMPRODUCT(--WEEKDAY(C$3:AG$3,2)&lt;6,--((C26:AG26="DM"))+(C26:AG26="CS1")+((C26:AG26="CS2"))+(C26:AG26="SB1")+(C26:AG26="AE")+(C26:AG26="EM"))</f>
        <v/>
      </c>
      <c r="AR26" s="238" t="n"/>
      <c r="AS26" s="238">
        <f>SUMPRODUCT(--WEEKDAY(C$3:AG$3,2)&gt;5,--((C26:AG26="DM"))+(C26:AG26="CS1")+((C26:AG26="CS2"))+(C26:AG26="SB1")+(C26:AG26="AE")+(C26:AG26="EM"))</f>
        <v/>
      </c>
      <c r="AT26" s="238" t="n"/>
      <c r="AU26" s="238">
        <f>(AQ26-AR26)/2+(AS26-AT26)</f>
        <v/>
      </c>
      <c r="AV26" s="238">
        <f>AI26+AJ26+AK26+AL26+AN26+AO26</f>
        <v/>
      </c>
      <c r="AW26" s="238">
        <f>BG26+BH26+BJ26+BE26+BC26+BA26+BL26</f>
        <v/>
      </c>
      <c r="AX26" s="238">
        <f>AU26+$AY$10</f>
        <v/>
      </c>
      <c r="AY26" s="313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/>
      </c>
      <c r="AZ26" s="313">
        <f>COUNTIF(D26:AA26,"*BRT*")</f>
        <v/>
      </c>
      <c r="BA26" s="313">
        <f>COUNTIF(A26:AI26,"*$BTP*")</f>
        <v/>
      </c>
      <c r="BB26" s="313">
        <f>BA26*('Setting key Duty'!$I$13+'Setting key Duty'!$I$12+'Setting key Duty'!$I$11)</f>
        <v/>
      </c>
      <c r="BC26" s="313">
        <f>COUNTIF(A26:AI26,"*$L*")</f>
        <v/>
      </c>
      <c r="BD26" s="313">
        <f>BC26*('Setting key Duty'!$I$13+'Setting key Duty'!$I$9)</f>
        <v/>
      </c>
      <c r="BE26" s="313">
        <f>COUNTIF(A26:AI26,"*$M*")</f>
        <v/>
      </c>
      <c r="BF26" s="313">
        <f>BE26*('Setting key Duty'!$I$8+'Setting key Duty'!$I$9+'Setting key Duty'!$I$12)</f>
        <v/>
      </c>
      <c r="BG26" s="313">
        <f>COUNTIF(AI26,"*$N*")</f>
        <v/>
      </c>
      <c r="BH26" s="313">
        <f>COUNTIF(AI26,"*$PM*")</f>
        <v/>
      </c>
      <c r="BI26" s="313">
        <f>BH26*('Setting key Duty'!$I$9)</f>
        <v/>
      </c>
      <c r="BJ26" s="313">
        <f>COUNTIF(A26:AI26,"*$AM*")</f>
        <v/>
      </c>
      <c r="BK26" s="313">
        <f>BJ26*('Setting key Duty'!$I$12+'Setting key Duty'!$I$8)</f>
        <v/>
      </c>
      <c r="BL26" s="313">
        <f>COUNTIF(D26:AI26,"*$FC*")</f>
        <v/>
      </c>
      <c r="BM26" s="313">
        <f>BL26*('Setting key Duty'!$J$11+'Setting key Duty'!$I$8)</f>
        <v/>
      </c>
      <c r="BN26" s="313">
        <f>COUNTIF($D26:$AA26,BN$4)</f>
        <v/>
      </c>
      <c r="BO26" s="313">
        <f>COUNTIF($D26:$AA26,BO$4)</f>
        <v/>
      </c>
      <c r="BP26" s="313">
        <f>COUNTIF($D26:$AA26,BP$4)</f>
        <v/>
      </c>
      <c r="BQ26" s="314" t="n"/>
    </row>
    <row r="27" ht="19.5" customHeight="1">
      <c r="A27" s="309" t="n"/>
      <c r="B27" s="332" t="inlineStr">
        <is>
          <t>PTE FANG JIANGRUI</t>
        </is>
      </c>
      <c r="D27" s="106" t="n"/>
      <c r="E27" s="197" t="inlineStr">
        <is>
          <t>CS1</t>
        </is>
      </c>
      <c r="F27" s="197" t="n"/>
      <c r="G27" s="197" t="n"/>
      <c r="H27" s="377" t="n"/>
      <c r="I27" s="197" t="n"/>
      <c r="J27" s="197" t="inlineStr">
        <is>
          <t>C $M HG (0500-2000)</t>
        </is>
      </c>
      <c r="K27" s="317" t="inlineStr">
        <is>
          <t>SB1</t>
        </is>
      </c>
      <c r="L27" s="197" t="n"/>
      <c r="M27" s="197" t="n"/>
      <c r="N27" s="197" t="n"/>
      <c r="O27" s="197" t="inlineStr">
        <is>
          <t>SB1</t>
        </is>
      </c>
      <c r="P27" s="197" t="n"/>
      <c r="R27" s="197" t="inlineStr">
        <is>
          <t>SB1</t>
        </is>
      </c>
      <c r="S27" s="197" t="n"/>
      <c r="T27" s="197" t="n"/>
      <c r="U27" s="197" t="n"/>
      <c r="V27" s="197" t="inlineStr">
        <is>
          <t>D $M 12KM (1400-2359)</t>
        </is>
      </c>
      <c r="W27" s="197" t="n"/>
      <c r="X27" s="197" t="n"/>
      <c r="Y27" s="197" t="inlineStr">
        <is>
          <t>J $AM ER(0600-1100)</t>
        </is>
      </c>
      <c r="Z27" s="197" t="n"/>
      <c r="AA27" s="197" t="n"/>
      <c r="AB27" s="197" t="n"/>
      <c r="AD27" s="197" t="inlineStr">
        <is>
          <t>A $AM IPPT(0500-1100)</t>
        </is>
      </c>
      <c r="AE27" s="197" t="n"/>
      <c r="AF27" s="317" t="n"/>
      <c r="AH27" s="197" t="inlineStr">
        <is>
          <t>SB1</t>
        </is>
      </c>
      <c r="AI27" s="311" t="n"/>
      <c r="AJ27" s="312" t="n"/>
      <c r="AK27" s="311" t="n"/>
      <c r="AL27" s="313" t="n"/>
      <c r="AM27" s="313" t="n"/>
      <c r="AN27" s="313" t="n"/>
      <c r="AO27" s="313" t="n"/>
      <c r="AP27" s="238" t="n"/>
      <c r="AQ27" s="313">
        <f>SUMPRODUCT(--WEEKDAY(C$3:AG$3,2)&lt;6,--((C27:AG27="DM"))+(C27:AG27="CS1")+((C27:AG27="CS2"))+(C27:AG27="SB1")+(C27:AG27="AE")+(C27:AG27="EM"))</f>
        <v/>
      </c>
      <c r="AR27" s="238" t="n"/>
      <c r="AS27" s="238">
        <f>SUMPRODUCT(--WEEKDAY(C$3:AG$3,2)&gt;5,--((C27:AG27="DM"))+(C27:AG27="CS1")+((C27:AG27="CS2"))+(C27:AG27="SB1")+(C27:AG27="AE")+(C27:AG27="EM"))</f>
        <v/>
      </c>
      <c r="AT27" s="238" t="n"/>
      <c r="AU27" s="238">
        <f>(AQ27-AR27)/2+(AS27-AT27)</f>
        <v/>
      </c>
      <c r="AV27" s="238">
        <f>AI27+AJ27+AK27+AL27+AN27+AO27</f>
        <v/>
      </c>
      <c r="AW27" s="238">
        <f>BG27+BH27+BJ27+BE27+BC27+BA27+BL27</f>
        <v/>
      </c>
      <c r="AX27" s="238">
        <f>AU27+AY27</f>
        <v/>
      </c>
      <c r="AY27" s="313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/>
      </c>
      <c r="AZ27" s="313">
        <f>COUNTIF(C27:W27,"*BRT*")</f>
        <v/>
      </c>
      <c r="BA27" s="313">
        <f>COUNTIF(A27:AI27,"*$BTP*")</f>
        <v/>
      </c>
      <c r="BB27" s="313">
        <f>BA27*('Setting key Duty'!$I$13+'Setting key Duty'!$I$12+'Setting key Duty'!$I$11)</f>
        <v/>
      </c>
      <c r="BC27" s="313">
        <f>COUNTIF(D27:AI27,"*$L*")</f>
        <v/>
      </c>
      <c r="BD27" s="313">
        <f>BC27*('Setting key Duty'!$I$13+'Setting key Duty'!$I$9)</f>
        <v/>
      </c>
      <c r="BE27" s="313">
        <f>COUNTIF(D27:AI27,"*$M*")</f>
        <v/>
      </c>
      <c r="BF27" s="313">
        <f>BE27*('Setting key Duty'!$I$8+'Setting key Duty'!$I$9+'Setting key Duty'!$I$12)</f>
        <v/>
      </c>
      <c r="BG27" s="313">
        <f>COUNTIF(D27:AI27,"*$N*")</f>
        <v/>
      </c>
      <c r="BH27" s="313">
        <f>COUNTIF(D27:AI27,"*$PM*")</f>
        <v/>
      </c>
      <c r="BI27" s="313">
        <f>BH27*('Setting key Duty'!$I$9)</f>
        <v/>
      </c>
      <c r="BJ27" s="313">
        <f>COUNTIF(D27:AI27,"*$AM*")</f>
        <v/>
      </c>
      <c r="BK27" s="313">
        <f>BJ27*('Setting key Duty'!$I$12+'Setting key Duty'!$I$8)</f>
        <v/>
      </c>
      <c r="BL27" s="313">
        <f>COUNTIF(C27:AI27,"*$FC*")</f>
        <v/>
      </c>
      <c r="BM27" s="313">
        <f>BL27*('Setting key Duty'!$J$11+'Setting key Duty'!$I$8)</f>
        <v/>
      </c>
      <c r="BN27" s="313">
        <f>COUNTIF($C27:$AG27,BN$4)</f>
        <v/>
      </c>
      <c r="BO27" s="313">
        <f>COUNTIF($C27:$AG27,BO$4)</f>
        <v/>
      </c>
      <c r="BP27" s="313">
        <f>COUNTIF($D27:$AD27,BP$4)</f>
        <v/>
      </c>
      <c r="BQ27" s="314" t="n"/>
    </row>
    <row r="28" ht="19.5" customHeight="1">
      <c r="A28" s="309" t="n"/>
      <c r="B28" s="315" t="inlineStr">
        <is>
          <t>LCP HO SHENGHUI HAYDEN</t>
        </is>
      </c>
      <c r="C28" s="197" t="inlineStr">
        <is>
          <t>RESERVE</t>
        </is>
      </c>
      <c r="D28" s="197" t="n"/>
      <c r="E28" s="197" t="n"/>
      <c r="F28" s="197" t="n"/>
      <c r="G28" s="331" t="inlineStr">
        <is>
          <t>C $PM SOC (1500-2000)</t>
        </is>
      </c>
      <c r="H28" s="377" t="n"/>
      <c r="J28" s="377" t="n"/>
      <c r="K28" s="197" t="n"/>
      <c r="L28" s="197" t="inlineStr">
        <is>
          <t>RESERVE</t>
        </is>
      </c>
      <c r="M28" s="197" t="n"/>
      <c r="N28" s="379" t="n"/>
      <c r="O28" s="197" t="n"/>
      <c r="P28" s="324" t="n"/>
      <c r="S28" s="196" t="n"/>
      <c r="U28" s="197" t="inlineStr">
        <is>
          <t>MA</t>
        </is>
      </c>
      <c r="V28" s="317" t="inlineStr">
        <is>
          <t>SB1</t>
        </is>
      </c>
      <c r="W28" s="197" t="inlineStr">
        <is>
          <t>R $PM SOC (1530-2000)</t>
        </is>
      </c>
      <c r="Z28" s="317" t="inlineStr">
        <is>
          <t>AE</t>
        </is>
      </c>
      <c r="AA28" s="317" t="n"/>
      <c r="AB28" s="197" t="inlineStr">
        <is>
          <t>SB1</t>
        </is>
      </c>
      <c r="AD28" s="197" t="inlineStr">
        <is>
          <t>GP $M REHEARSAL (0730-1700)</t>
        </is>
      </c>
      <c r="AG28" s="317" t="n"/>
      <c r="AH28" s="317" t="inlineStr">
        <is>
          <t>AE</t>
        </is>
      </c>
      <c r="AI28" s="311" t="n"/>
      <c r="AJ28" s="312" t="n"/>
      <c r="AK28" s="311" t="n"/>
      <c r="AL28" s="344" t="n"/>
      <c r="AM28" s="344" t="n"/>
      <c r="AN28" s="344" t="n"/>
      <c r="AO28" s="344" t="n"/>
      <c r="AP28" s="246" t="n"/>
      <c r="AQ28" s="313">
        <f>SUMPRODUCT(--WEEKDAY(C$3:AG$3,2)&lt;6,--((C28:AG28="DM"))+(C28:AG28="CS1")+((C28:AG28="CS2"))+(C28:AG28="SB1")+(C28:AG28="AE")+(C28:AG28="EM"))</f>
        <v/>
      </c>
      <c r="AR28" s="238" t="n"/>
      <c r="AS28" s="238">
        <f>SUMPRODUCT(--WEEKDAY(C$3:AG$3,2)&gt;5,--((C28:AG28="DM"))+(C28:AG28="CS1")+((C28:AG28="CS2"))+(C28:AG28="SB1")+(C28:AG28="AE")+(C28:AG28="EM"))</f>
        <v/>
      </c>
      <c r="AT28" s="246" t="n"/>
      <c r="AU28" s="238">
        <f>(AQ28-AR28)/2+(AS28-AT28)</f>
        <v/>
      </c>
      <c r="AV28" s="238">
        <f>AI28+AJ28+AK28+AL28+AN28+AO28</f>
        <v/>
      </c>
      <c r="AW28" s="238">
        <f>BG28+BH28+BJ28+BE28+BC28+BA28+BL28</f>
        <v/>
      </c>
      <c r="AX28" s="238">
        <f>AU28+AY28</f>
        <v/>
      </c>
      <c r="AY28" s="313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/>
      </c>
      <c r="AZ28" s="313">
        <f>COUNTIF(C28:Z28,"*BRT*")</f>
        <v/>
      </c>
      <c r="BA28" s="313">
        <f>COUNTIF(A28:AI28,"*$BTP*")</f>
        <v/>
      </c>
      <c r="BB28" s="313">
        <f>BA28*('Setting key Duty'!$I$13+'Setting key Duty'!$I$12+'Setting key Duty'!$I$11)</f>
        <v/>
      </c>
      <c r="BC28" s="313">
        <f>COUNTIF(D28:AI28,"*$L*")</f>
        <v/>
      </c>
      <c r="BD28" s="313">
        <f>BC28*('Setting key Duty'!$I$13+'Setting key Duty'!$I$9)</f>
        <v/>
      </c>
      <c r="BE28" s="313">
        <f>COUNTIF(D28:AI28,"*$M*")</f>
        <v/>
      </c>
      <c r="BF28" s="313">
        <f>BE28*('Setting key Duty'!$I$8+'Setting key Duty'!$I$9+'Setting key Duty'!$I$12)</f>
        <v/>
      </c>
      <c r="BG28" s="313">
        <f>COUNTIF(D28:AI28,"*$N*")</f>
        <v/>
      </c>
      <c r="BH28" s="313">
        <f>COUNTIF(D28:AI28,"*$PM*")</f>
        <v/>
      </c>
      <c r="BI28" s="313">
        <f>BH28*('Setting key Duty'!$I$9)</f>
        <v/>
      </c>
      <c r="BJ28" s="313">
        <f>COUNTIF(D28:AI28,"*$AM*")</f>
        <v/>
      </c>
      <c r="BK28" s="313">
        <f>BJ28*('Setting key Duty'!$I$12+'Setting key Duty'!$I$8)</f>
        <v/>
      </c>
      <c r="BL28" s="313">
        <f>COUNTIF(C28:AI28,"*$FC*")</f>
        <v/>
      </c>
      <c r="BM28" s="313">
        <f>BL28*('Setting key Duty'!$J$11+'Setting key Duty'!$I$8)</f>
        <v/>
      </c>
      <c r="BN28" s="313">
        <f>COUNTIF($C28:$AE28,BN$4)</f>
        <v/>
      </c>
      <c r="BO28" s="313">
        <f>COUNTIF($C28:$AE28,BO$4)</f>
        <v/>
      </c>
      <c r="BP28" s="313">
        <f>COUNTIF($D28:$AB28,BP$4)</f>
        <v/>
      </c>
      <c r="BQ28" s="345" t="n"/>
    </row>
    <row r="29" ht="19.5" customHeight="1">
      <c r="A29" s="309" t="n"/>
      <c r="B29" s="315" t="inlineStr">
        <is>
          <t>LCP CHIA TECK IAN</t>
        </is>
      </c>
      <c r="C29" s="317" t="n"/>
      <c r="D29" s="324" t="n"/>
      <c r="E29" s="197" t="n"/>
      <c r="F29" s="324" t="inlineStr">
        <is>
          <t>SB1</t>
        </is>
      </c>
      <c r="G29" s="197" t="n"/>
      <c r="H29" s="377" t="inlineStr">
        <is>
          <t>SB2</t>
        </is>
      </c>
      <c r="I29" s="197" t="n"/>
      <c r="J29" s="324" t="inlineStr">
        <is>
          <t>SB2</t>
        </is>
      </c>
      <c r="K29" s="197" t="n"/>
      <c r="L29" s="197" t="n"/>
      <c r="M29" s="197" t="n"/>
      <c r="N29" s="378" t="n"/>
      <c r="O29" s="197" t="inlineStr">
        <is>
          <t>O $PM 8KM (1530-2000)</t>
        </is>
      </c>
      <c r="P29" s="321" t="inlineStr">
        <is>
          <t>R $M 8KM RM (1600-2000)</t>
        </is>
      </c>
      <c r="Q29" s="197" t="inlineStr">
        <is>
          <t>R $PM IPPT(1500-2000)</t>
        </is>
      </c>
      <c r="S29" s="197" t="n"/>
      <c r="T29" s="196" t="n"/>
      <c r="V29" s="197" t="inlineStr">
        <is>
          <t>J $M 12KM (1400-2359)</t>
        </is>
      </c>
      <c r="W29" s="324" t="inlineStr">
        <is>
          <t>SB2</t>
        </is>
      </c>
      <c r="X29" s="349" t="n"/>
      <c r="Y29" s="197" t="inlineStr">
        <is>
          <t>CS1</t>
        </is>
      </c>
      <c r="AA29" s="197" t="inlineStr">
        <is>
          <t>RESERVE</t>
        </is>
      </c>
      <c r="AD29" s="197" t="inlineStr">
        <is>
          <t>SCH1 $MRE RE 12KM (1600-2359)</t>
        </is>
      </c>
      <c r="AF29" s="197" t="n"/>
      <c r="AG29" s="197" t="inlineStr">
        <is>
          <t>RESERVE</t>
        </is>
      </c>
      <c r="AH29" s="317" t="n"/>
      <c r="AI29" s="311" t="n"/>
      <c r="AJ29" s="312" t="n"/>
      <c r="AK29" s="311" t="n"/>
      <c r="AL29" s="344" t="n"/>
      <c r="AM29" s="344" t="n"/>
      <c r="AN29" s="344" t="n"/>
      <c r="AO29" s="344" t="n"/>
      <c r="AP29" s="246" t="n"/>
      <c r="AQ29" s="313">
        <f>SUMPRODUCT(--WEEKDAY(C$3:AG$3,2)&lt;6,--((C29:AG29="DM"))+(C29:AG29="CS1")+((C29:AG29="CS2"))+(C29:AG29="SB1")+(C29:AG29="AE")+(C29:AG29="EM"))</f>
        <v/>
      </c>
      <c r="AR29" s="238" t="n"/>
      <c r="AS29" s="238">
        <f>SUMPRODUCT(--WEEKDAY(C$3:AG$3,2)&gt;5,--((C29:AG29="DM"))+(C29:AG29="CS1")+((C29:AG29="CS2"))+(C29:AG29="SB1")+(C29:AG29="AE")+(C29:AG29="EM"))</f>
        <v/>
      </c>
      <c r="AT29" s="246" t="n"/>
      <c r="AU29" s="238">
        <f>(AQ29-AR29)/2+(AS29-AT29)</f>
        <v/>
      </c>
      <c r="AV29" s="238">
        <f>AI29+AJ29+AK29+AL29+AN29+AO29</f>
        <v/>
      </c>
      <c r="AW29" s="238">
        <f>BG29+BH29+BJ29+BE29+BC29+BA29+BL29</f>
        <v/>
      </c>
      <c r="AX29" s="238">
        <f>AU29+AY29</f>
        <v/>
      </c>
      <c r="AY29" s="313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/>
      </c>
      <c r="AZ29" s="313">
        <f>COUNTIF(C29:Y29,"*BRT*")</f>
        <v/>
      </c>
      <c r="BA29" s="313">
        <f>COUNTIF(A29:AI29,"*$BTP*")</f>
        <v/>
      </c>
      <c r="BB29" s="313">
        <f>BA29*('Setting key Duty'!$I$13+'Setting key Duty'!$I$12+'Setting key Duty'!$I$11)</f>
        <v/>
      </c>
      <c r="BC29" s="313">
        <f>COUNTIF(D29:AI29,"*$L*")</f>
        <v/>
      </c>
      <c r="BD29" s="313">
        <f>BC29*('Setting key Duty'!$I$13+'Setting key Duty'!$I$9)</f>
        <v/>
      </c>
      <c r="BE29" s="313">
        <f>COUNTIF(D29:AI29,"*$M*")</f>
        <v/>
      </c>
      <c r="BF29" s="313">
        <f>BE29*('Setting key Duty'!$I$8+'Setting key Duty'!$I$9+'Setting key Duty'!$I$12)</f>
        <v/>
      </c>
      <c r="BG29" s="313">
        <f>COUNTIF(D29:AI29,"*$N*")</f>
        <v/>
      </c>
      <c r="BH29" s="313">
        <f>COUNTIF(D29:AI29,"*$PM*")</f>
        <v/>
      </c>
      <c r="BI29" s="313">
        <f>BH29*('Setting key Duty'!$I$9)</f>
        <v/>
      </c>
      <c r="BJ29" s="313">
        <f>COUNTIF(D29:AI29,"*$AM*")</f>
        <v/>
      </c>
      <c r="BK29" s="313">
        <f>BJ29*('Setting key Duty'!$I$12+'Setting key Duty'!$I$8)</f>
        <v/>
      </c>
      <c r="BL29" s="313">
        <f>COUNTIF(C29:AI29,"*$FC*")</f>
        <v/>
      </c>
      <c r="BM29" s="313">
        <f>BL29*('Setting key Duty'!$J$11+'Setting key Duty'!$I$8)</f>
        <v/>
      </c>
      <c r="BN29" s="313">
        <f>COUNTIF($C29:$AG29,BN$4)</f>
        <v/>
      </c>
      <c r="BO29" s="313">
        <f>COUNTIF($C29:$AG29,BO$4)</f>
        <v/>
      </c>
      <c r="BP29" s="313">
        <f>COUNTIF($D29:$AD29,BP$4)</f>
        <v/>
      </c>
      <c r="BQ29" s="345" t="n"/>
    </row>
    <row r="30" ht="19.5" customHeight="1">
      <c r="A30" s="309" t="n"/>
      <c r="B30" s="315" t="inlineStr">
        <is>
          <t>PTE APPLE YEO</t>
        </is>
      </c>
      <c r="C30" s="197" t="inlineStr">
        <is>
          <t>MC</t>
        </is>
      </c>
      <c r="D30" s="197" t="inlineStr">
        <is>
          <t>MC</t>
        </is>
      </c>
      <c r="E30" s="197" t="inlineStr">
        <is>
          <t>MC</t>
        </is>
      </c>
      <c r="F30" s="197" t="inlineStr">
        <is>
          <t>MC</t>
        </is>
      </c>
      <c r="G30" s="197" t="inlineStr">
        <is>
          <t>MC</t>
        </is>
      </c>
      <c r="H30" s="197" t="inlineStr">
        <is>
          <t>MC</t>
        </is>
      </c>
      <c r="I30" s="197" t="inlineStr">
        <is>
          <t>MC</t>
        </is>
      </c>
      <c r="J30" s="197" t="inlineStr">
        <is>
          <t>MC</t>
        </is>
      </c>
      <c r="K30" s="197" t="inlineStr">
        <is>
          <t>MC</t>
        </is>
      </c>
      <c r="L30" s="197" t="inlineStr">
        <is>
          <t>MC</t>
        </is>
      </c>
      <c r="M30" s="197" t="inlineStr">
        <is>
          <t>MC</t>
        </is>
      </c>
      <c r="N30" s="197" t="inlineStr">
        <is>
          <t>MC</t>
        </is>
      </c>
      <c r="O30" s="197" t="inlineStr">
        <is>
          <t>MC</t>
        </is>
      </c>
      <c r="P30" s="197" t="inlineStr">
        <is>
          <t>MC</t>
        </is>
      </c>
      <c r="Q30" s="197" t="inlineStr">
        <is>
          <t>MC</t>
        </is>
      </c>
      <c r="R30" s="197" t="inlineStr">
        <is>
          <t>MC</t>
        </is>
      </c>
      <c r="S30" s="197" t="inlineStr">
        <is>
          <t>MC</t>
        </is>
      </c>
      <c r="T30" s="197" t="inlineStr">
        <is>
          <t>MC</t>
        </is>
      </c>
      <c r="U30" s="197" t="inlineStr">
        <is>
          <t>MC</t>
        </is>
      </c>
      <c r="V30" s="197" t="inlineStr">
        <is>
          <t>MC</t>
        </is>
      </c>
      <c r="W30" s="197" t="inlineStr">
        <is>
          <t>MC</t>
        </is>
      </c>
      <c r="X30" s="197" t="inlineStr">
        <is>
          <t>MC</t>
        </is>
      </c>
      <c r="Y30" s="197" t="inlineStr">
        <is>
          <t>MC</t>
        </is>
      </c>
      <c r="Z30" s="197" t="inlineStr">
        <is>
          <t>MC</t>
        </is>
      </c>
      <c r="AA30" s="197" t="inlineStr">
        <is>
          <t>MC</t>
        </is>
      </c>
      <c r="AB30" s="197" t="inlineStr">
        <is>
          <t>MC</t>
        </is>
      </c>
      <c r="AC30" s="197" t="inlineStr">
        <is>
          <t>MC</t>
        </is>
      </c>
      <c r="AD30" s="197" t="inlineStr">
        <is>
          <t>MC</t>
        </is>
      </c>
      <c r="AE30" s="197" t="inlineStr">
        <is>
          <t>MC</t>
        </is>
      </c>
      <c r="AF30" s="197" t="inlineStr">
        <is>
          <t>MC</t>
        </is>
      </c>
      <c r="AG30" s="197" t="inlineStr">
        <is>
          <t>MC</t>
        </is>
      </c>
      <c r="AH30" s="197" t="inlineStr">
        <is>
          <t>MC</t>
        </is>
      </c>
      <c r="AI30" s="311" t="n"/>
      <c r="AJ30" s="312" t="n"/>
      <c r="AK30" s="311" t="n"/>
      <c r="AL30" s="344" t="n"/>
      <c r="AM30" s="344" t="n"/>
      <c r="AN30" s="344" t="n"/>
      <c r="AO30" s="344" t="n"/>
      <c r="AP30" s="246" t="n"/>
      <c r="AQ30" s="313">
        <f>SUMPRODUCT(--WEEKDAY(C$3:AG$3,2)&lt;6,--((C30:AG30="DM"))+(C30:AG30="CS1")+((C30:AG30="CS2"))+(C30:AG30="SB1")+(C30:AG30="AE")+(C30:AG30="EM"))</f>
        <v/>
      </c>
      <c r="AR30" s="238" t="n"/>
      <c r="AS30" s="238">
        <f>SUMPRODUCT(--WEEKDAY(C$3:AG$3,2)&gt;5,--((C30:AG30="DM"))+(C30:AG30="CS1")+((C30:AG30="CS2"))+(C30:AG30="SB1")+(C30:AG30="AE")+(C30:AG30="EM"))</f>
        <v/>
      </c>
      <c r="AT30" s="246" t="n"/>
      <c r="AU30" s="238">
        <f>(AQ30-AR30)/2+(AS30-AT30)</f>
        <v/>
      </c>
      <c r="AV30" s="238">
        <f>AI30+AJ30+AK30+AL30+AN30+AO30</f>
        <v/>
      </c>
      <c r="AW30" s="238">
        <f>BG30+BH30+BJ30+BE30+BC30+BA30+BL30</f>
        <v/>
      </c>
      <c r="AX30" s="238">
        <f>AU30+AY30</f>
        <v/>
      </c>
      <c r="AY30" s="313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/>
      </c>
      <c r="AZ30" s="313">
        <f>COUNTIF(C30:Y30,"*BRT*")</f>
        <v/>
      </c>
      <c r="BA30" s="313">
        <f>COUNTIF(A30:AI30,"*$BTP*")</f>
        <v/>
      </c>
      <c r="BB30" s="313">
        <f>BA30*('Setting key Duty'!$I$13+'Setting key Duty'!$I$12+'Setting key Duty'!$I$11)</f>
        <v/>
      </c>
      <c r="BC30" s="313">
        <f>COUNTIF(D30:AI30,"*$L*")</f>
        <v/>
      </c>
      <c r="BD30" s="313">
        <f>BC30*('Setting key Duty'!$I$13+'Setting key Duty'!$I$9)</f>
        <v/>
      </c>
      <c r="BE30" s="313">
        <f>COUNTIF(D30:AI30,"*$M*")</f>
        <v/>
      </c>
      <c r="BF30" s="313">
        <f>BE30*('Setting key Duty'!$I$8+'Setting key Duty'!$I$9+'Setting key Duty'!$I$12)</f>
        <v/>
      </c>
      <c r="BG30" s="313">
        <f>COUNTIF(D30:AI30,"*$N*")</f>
        <v/>
      </c>
      <c r="BH30" s="313">
        <f>COUNTIF(D30:AI30,"*$PM*")</f>
        <v/>
      </c>
      <c r="BI30" s="313">
        <f>BH30*('Setting key Duty'!$I$9)</f>
        <v/>
      </c>
      <c r="BJ30" s="313">
        <f>COUNTIF(D30:AI30,"*$AM*")</f>
        <v/>
      </c>
      <c r="BK30" s="313">
        <f>BJ30*('Setting key Duty'!$I$12+'Setting key Duty'!$I$8)</f>
        <v/>
      </c>
      <c r="BL30" s="313">
        <f>COUNTIF(C30:AI30,"*$FC*")</f>
        <v/>
      </c>
      <c r="BM30" s="313">
        <f>BL30*('Setting key Duty'!$J$11+'Setting key Duty'!$I$8)</f>
        <v/>
      </c>
      <c r="BN30" s="313">
        <f>COUNTIF($C30:$AG30,BN$4)</f>
        <v/>
      </c>
      <c r="BO30" s="313">
        <f>COUNTIF($C30:$AG30,BO$4)</f>
        <v/>
      </c>
      <c r="BP30" s="313">
        <f>COUNTIF($D30:$AE30,BP$4)</f>
        <v/>
      </c>
      <c r="BQ30" s="345" t="n"/>
    </row>
    <row r="31" ht="19.5" customHeight="1">
      <c r="A31" s="309" t="n"/>
      <c r="B31" s="336" t="inlineStr">
        <is>
          <t>LCP QUEK ZI YI</t>
        </is>
      </c>
      <c r="D31" s="197" t="n"/>
      <c r="E31" s="197" t="n"/>
      <c r="F31" s="197" t="n"/>
      <c r="G31" s="197" t="n"/>
      <c r="H31" s="197" t="n"/>
      <c r="I31" s="197" t="n"/>
      <c r="K31" s="197" t="inlineStr">
        <is>
          <t>W $FC</t>
        </is>
      </c>
      <c r="L31" s="198" t="n"/>
      <c r="N31" s="196" t="n"/>
      <c r="O31" s="106" t="n"/>
      <c r="P31" s="197" t="inlineStr">
        <is>
          <t>K $FC</t>
        </is>
      </c>
      <c r="Q31" s="197" t="inlineStr">
        <is>
          <t>K $FC</t>
        </is>
      </c>
      <c r="R31" s="197" t="inlineStr">
        <is>
          <t>K $FC</t>
        </is>
      </c>
      <c r="S31" s="197" t="inlineStr">
        <is>
          <t>K $FC</t>
        </is>
      </c>
      <c r="T31" s="378" t="n"/>
      <c r="V31" s="197" t="inlineStr">
        <is>
          <t>O $M 12KM (1400-2359)</t>
        </is>
      </c>
      <c r="X31" s="197" t="n"/>
      <c r="AA31" s="197" t="inlineStr">
        <is>
          <t>SB1</t>
        </is>
      </c>
      <c r="AB31" s="197" t="inlineStr">
        <is>
          <t>N $M RE-12KM (1400-2359)</t>
        </is>
      </c>
      <c r="AE31" s="197" t="n"/>
      <c r="AF31" s="197" t="inlineStr">
        <is>
          <t>off</t>
        </is>
      </c>
      <c r="AI31" s="311" t="n"/>
      <c r="AJ31" s="312" t="n"/>
      <c r="AK31" s="311" t="n"/>
      <c r="AL31" s="344" t="n"/>
      <c r="AM31" s="344" t="n"/>
      <c r="AN31" s="344" t="n"/>
      <c r="AO31" s="344" t="n"/>
      <c r="AP31" s="246" t="n"/>
      <c r="AQ31" s="313">
        <f>SUMPRODUCT(--WEEKDAY(C$3:AG$3,2)&lt;6,--((C31:AG31="DM"))+(C31:AG31="CS1")+((C31:AG31="CS2"))+(C31:AG31="SB1")+(C31:AG31="AE")+(C31:AG31="EM"))</f>
        <v/>
      </c>
      <c r="AR31" s="238" t="n"/>
      <c r="AS31" s="238">
        <f>SUMPRODUCT(--WEEKDAY(C$3:AG$3,2)&gt;5,--((C31:AG31="DM"))+(C31:AG31="CS1")+((C31:AG31="CS2"))+(C31:AG31="SB1")+(C31:AG31="AE")+(C31:AG31="EM"))</f>
        <v/>
      </c>
      <c r="AT31" s="246" t="n"/>
      <c r="AU31" s="238">
        <f>(AQ31-AR31)/2+(AS31-AT31)</f>
        <v/>
      </c>
      <c r="AV31" s="238">
        <f>AI31+AJ31+AK31+AL31+AN31+AO31</f>
        <v/>
      </c>
      <c r="AW31" s="238">
        <f>BG31+BH31+BJ31+BE31+BC31+BA31+BL31</f>
        <v/>
      </c>
      <c r="AX31" s="238">
        <f>AU31+AY31</f>
        <v/>
      </c>
      <c r="AY31" s="313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/>
      </c>
      <c r="AZ31" s="313">
        <f>COUNTIF(C31:X31,"*BRT*")</f>
        <v/>
      </c>
      <c r="BA31" s="313">
        <f>COUNTIF(A31:AI31,"*$BTP*")</f>
        <v/>
      </c>
      <c r="BB31" s="313">
        <f>BA31*('Setting key Duty'!$I$13+'Setting key Duty'!$I$12+'Setting key Duty'!$I$11)</f>
        <v/>
      </c>
      <c r="BC31" s="313">
        <f>COUNTIF(D31:AI31,"*$L*")</f>
        <v/>
      </c>
      <c r="BD31" s="313">
        <f>BC31*('Setting key Duty'!$I$13+'Setting key Duty'!$I$9)</f>
        <v/>
      </c>
      <c r="BE31" s="313">
        <f>COUNTIF(D31:AI31,"*$M*")</f>
        <v/>
      </c>
      <c r="BF31" s="313">
        <f>BE31*('Setting key Duty'!$I$8+'Setting key Duty'!$I$9+'Setting key Duty'!$I$12)</f>
        <v/>
      </c>
      <c r="BG31" s="313">
        <f>COUNTIF(D31:AI31,"*$N*")</f>
        <v/>
      </c>
      <c r="BH31" s="313">
        <f>COUNTIF(D31:AI31,"*$PM*")</f>
        <v/>
      </c>
      <c r="BI31" s="313">
        <f>BH31*('Setting key Duty'!$I$9)</f>
        <v/>
      </c>
      <c r="BJ31" s="313">
        <f>COUNTIF(D31:AI31,"*$AM*")</f>
        <v/>
      </c>
      <c r="BK31" s="313">
        <f>BJ31*('Setting key Duty'!$I$12+'Setting key Duty'!$I$8)</f>
        <v/>
      </c>
      <c r="BL31" s="313">
        <f>COUNTIF(C31:AI31,"*$FC*")</f>
        <v/>
      </c>
      <c r="BM31" s="313">
        <f>BL31*('Setting key Duty'!$J$11+'Setting key Duty'!$I$8)</f>
        <v/>
      </c>
      <c r="BN31" s="313">
        <f>COUNTIF($C31:$AG31,BN$4)</f>
        <v/>
      </c>
      <c r="BO31" s="313">
        <f>COUNTIF($C31:$AG31,BO$4)</f>
        <v/>
      </c>
      <c r="BP31" s="313">
        <f>COUNTIF($D31:$AE31,BP$4)</f>
        <v/>
      </c>
      <c r="BQ31" s="345" t="n"/>
    </row>
    <row r="32" ht="19.5" customHeight="1">
      <c r="A32" s="309" t="n"/>
      <c r="B32" s="346" t="inlineStr">
        <is>
          <t>PTE EKLAYVA</t>
        </is>
      </c>
      <c r="C32" s="317" t="n"/>
      <c r="D32" s="317" t="inlineStr">
        <is>
          <t>AE</t>
        </is>
      </c>
      <c r="E32" s="106" t="n"/>
      <c r="F32" s="197" t="n"/>
      <c r="H32" s="197" t="inlineStr">
        <is>
          <t>D $AM IPPT (0500-100)</t>
        </is>
      </c>
      <c r="I32" s="106" t="n"/>
      <c r="J32" s="197" t="inlineStr">
        <is>
          <t>J $AM 8KM (0600-1100)</t>
        </is>
      </c>
      <c r="K32" s="324" t="inlineStr">
        <is>
          <t>AE</t>
        </is>
      </c>
      <c r="M32" s="197" t="n"/>
      <c r="N32" s="196" t="n"/>
      <c r="O32" s="324" t="n"/>
      <c r="P32" s="197" t="inlineStr">
        <is>
          <t>SAF DP</t>
        </is>
      </c>
      <c r="Q32" s="197" t="inlineStr">
        <is>
          <t>SAF DP</t>
        </is>
      </c>
      <c r="R32" s="197" t="inlineStr">
        <is>
          <t>SAF DP</t>
        </is>
      </c>
      <c r="S32" s="197" t="n"/>
      <c r="U32" s="197" t="inlineStr">
        <is>
          <t>SAF DP</t>
        </is>
      </c>
      <c r="V32" s="197" t="inlineStr">
        <is>
          <t>SAF DP</t>
        </is>
      </c>
      <c r="W32" s="197" t="inlineStr">
        <is>
          <t>SAF DP</t>
        </is>
      </c>
      <c r="X32" s="197" t="inlineStr">
        <is>
          <t>SAF DP</t>
        </is>
      </c>
      <c r="Y32" s="197" t="inlineStr">
        <is>
          <t>SAF DP</t>
        </is>
      </c>
      <c r="Z32" s="197" t="inlineStr">
        <is>
          <t>M $AM IPPT(0500-1100)</t>
        </is>
      </c>
      <c r="AA32" s="317" t="n"/>
      <c r="AB32" s="324" t="inlineStr">
        <is>
          <t>SB2</t>
        </is>
      </c>
      <c r="AC32" s="197" t="inlineStr">
        <is>
          <t>SAF DP</t>
        </is>
      </c>
      <c r="AD32" s="324" t="inlineStr">
        <is>
          <t>SB2</t>
        </is>
      </c>
      <c r="AE32" s="197" t="inlineStr">
        <is>
          <t>SAF DP</t>
        </is>
      </c>
      <c r="AF32" s="197" t="inlineStr">
        <is>
          <t>R $M BIC (0500-1300)</t>
        </is>
      </c>
      <c r="AG32" s="317" t="n"/>
      <c r="AH32" s="317" t="n"/>
      <c r="AI32" s="311" t="n"/>
      <c r="AJ32" s="312" t="n"/>
      <c r="AK32" s="311" t="n"/>
      <c r="AL32" s="344" t="n"/>
      <c r="AM32" s="344" t="n"/>
      <c r="AN32" s="344" t="n"/>
      <c r="AO32" s="344" t="n"/>
      <c r="AP32" s="246" t="n"/>
      <c r="AQ32" s="313">
        <f>SUMPRODUCT(--WEEKDAY(C$3:AG$3,2)&lt;6,--((C32:AG32="DM"))+(C32:AG32="CS1")+((C32:AG32="CS2"))+(C32:AG32="SB1")+(C32:AG32="AE")+(C32:AG32="EM"))</f>
        <v/>
      </c>
      <c r="AR32" s="246" t="n"/>
      <c r="AS32" s="238">
        <f>SUMPRODUCT(--WEEKDAY(C$3:AG$3,2)&gt;5,--((C32:AG32="DM"))+(C32:AG32="CS1")+((C32:AG32="CS2"))+(C32:AG32="SB1")+(C32:AG32="AE")+(C32:AG32="EM"))</f>
        <v/>
      </c>
      <c r="AT32" s="246" t="n"/>
      <c r="AU32" s="238">
        <f>(AQ32-AR32)/2+(AS32-AT32)</f>
        <v/>
      </c>
      <c r="AV32" s="238">
        <f>AI32+AJ32+AK32+AL32+AN32+AO32</f>
        <v/>
      </c>
      <c r="AW32" s="238">
        <f>BG32+BH32+BJ32+BE32+BC32+BA32+BL32</f>
        <v/>
      </c>
      <c r="AX32" s="238">
        <f>AU32+AY32</f>
        <v/>
      </c>
      <c r="AY32" s="313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/>
      </c>
      <c r="AZ32" s="313">
        <f>COUNTIF(C32:Y32,"*BRT*")</f>
        <v/>
      </c>
      <c r="BA32" s="313">
        <f>COUNTIF(A32:AI32,"*$BTP*")</f>
        <v/>
      </c>
      <c r="BB32" s="313">
        <f>BA32*('Setting key Duty'!$I$13+'Setting key Duty'!$I$12+'Setting key Duty'!$I$11)</f>
        <v/>
      </c>
      <c r="BC32" s="313">
        <f>COUNTIF(D32:AI32,"*$L*")</f>
        <v/>
      </c>
      <c r="BD32" s="313">
        <f>BC32*('Setting key Duty'!$I$13+'Setting key Duty'!$I$9)</f>
        <v/>
      </c>
      <c r="BE32" s="313">
        <f>COUNTIF(D32:AI32,"*$M*")</f>
        <v/>
      </c>
      <c r="BF32" s="313">
        <f>BE32*('Setting key Duty'!$I$8+'Setting key Duty'!$I$9+'Setting key Duty'!$I$12)</f>
        <v/>
      </c>
      <c r="BG32" s="313">
        <f>COUNTIF(D32:AI32,"*$N*")</f>
        <v/>
      </c>
      <c r="BH32" s="313">
        <f>COUNTIF(D32:AI32,"*$PM*")</f>
        <v/>
      </c>
      <c r="BI32" s="313">
        <f>BH32*('Setting key Duty'!$I$9)</f>
        <v/>
      </c>
      <c r="BJ32" s="313">
        <f>COUNTIF(D32:AI32,"*$AM*")</f>
        <v/>
      </c>
      <c r="BK32" s="313">
        <f>BJ32*('Setting key Duty'!$I$12+'Setting key Duty'!$I$8)</f>
        <v/>
      </c>
      <c r="BL32" s="313">
        <f>COUNTIF(C32:AI32,"*$FC*")</f>
        <v/>
      </c>
      <c r="BM32" s="313">
        <f>BL32*('Setting key Duty'!$J$11+'Setting key Duty'!$I$8)</f>
        <v/>
      </c>
      <c r="BN32" s="313">
        <f>COUNTIF($C32:$AG32,BN$4)</f>
        <v/>
      </c>
      <c r="BO32" s="313">
        <f>COUNTIF($C32:$AG32,BO$4)</f>
        <v/>
      </c>
      <c r="BP32" s="313" t="n"/>
      <c r="BQ32" s="345" t="n"/>
    </row>
    <row r="33" ht="19.5" customHeight="1">
      <c r="A33" s="309" t="n"/>
      <c r="B33" s="347" t="inlineStr">
        <is>
          <t>PTE ASHWIN</t>
        </is>
      </c>
      <c r="C33" s="317" t="n"/>
      <c r="D33" s="349" t="n"/>
      <c r="E33" s="197" t="n"/>
      <c r="F33" s="106" t="n"/>
      <c r="G33" s="324" t="inlineStr">
        <is>
          <t>SB2</t>
        </is>
      </c>
      <c r="H33" s="197" t="inlineStr">
        <is>
          <t>AE</t>
        </is>
      </c>
      <c r="I33" s="197" t="n"/>
      <c r="J33" s="197" t="inlineStr">
        <is>
          <t>AE</t>
        </is>
      </c>
      <c r="K33" s="197" t="n"/>
      <c r="L33" s="197" t="inlineStr">
        <is>
          <t>AE</t>
        </is>
      </c>
      <c r="M33" s="155" t="n"/>
      <c r="N33" s="196" t="inlineStr">
        <is>
          <t>AE</t>
        </is>
      </c>
      <c r="O33" s="324" t="inlineStr">
        <is>
          <t>PHLEBO</t>
        </is>
      </c>
      <c r="P33" s="324" t="inlineStr">
        <is>
          <t>PHLEBO</t>
        </is>
      </c>
      <c r="Q33" s="324" t="inlineStr">
        <is>
          <t>PHLEBO</t>
        </is>
      </c>
      <c r="R33" s="324" t="inlineStr">
        <is>
          <t>PHLEBO</t>
        </is>
      </c>
      <c r="S33" s="197" t="n"/>
      <c r="V33" s="324" t="inlineStr">
        <is>
          <t>AE</t>
        </is>
      </c>
      <c r="X33" s="324" t="inlineStr">
        <is>
          <t>AE</t>
        </is>
      </c>
      <c r="Z33" s="106" t="n"/>
      <c r="AB33" s="324" t="inlineStr">
        <is>
          <t>AE</t>
        </is>
      </c>
      <c r="AD33" s="324" t="inlineStr">
        <is>
          <t>AE</t>
        </is>
      </c>
      <c r="AF33" s="197" t="inlineStr">
        <is>
          <t>SB2</t>
        </is>
      </c>
      <c r="AG33" s="317" t="inlineStr">
        <is>
          <t>AE</t>
        </is>
      </c>
      <c r="AH33" s="317" t="n"/>
      <c r="AI33" s="311" t="n"/>
      <c r="AJ33" s="312" t="n"/>
      <c r="AK33" s="311" t="n"/>
      <c r="AL33" s="344" t="n"/>
      <c r="AM33" s="344" t="n"/>
      <c r="AN33" s="344" t="n"/>
      <c r="AO33" s="344" t="n"/>
      <c r="AP33" s="246" t="n"/>
      <c r="AQ33" s="313">
        <f>SUMPRODUCT(--WEEKDAY(C$3:AG$3,2)&lt;6,--((C33:AG33="DM"))+(C33:AG33="CS1")+((C33:AG33="CS2"))+(C33:AG33="SB1")+(C33:AG33="AE")+(C33:AG33="EM"))</f>
        <v/>
      </c>
      <c r="AR33" s="246" t="n"/>
      <c r="AS33" s="238">
        <f>SUMPRODUCT(--WEEKDAY(C$3:AG$3,2)&gt;5,--((C33:AG33="DM"))+(C33:AG33="CS1")+((C33:AG33="CS2"))+(C33:AG33="SB1")+(C33:AG33="AE")+(C33:AG33="EM"))</f>
        <v/>
      </c>
      <c r="AT33" s="246" t="n"/>
      <c r="AU33" s="238">
        <f>(AQ33-AR33)/2+(AS33-AT33)</f>
        <v/>
      </c>
      <c r="AV33" s="238">
        <f>AI33+AJ33+AK33+AL33+AN33+AO33</f>
        <v/>
      </c>
      <c r="AW33" s="238">
        <f>BG33+BH33+BJ33+BE33+BC33+BA33+BL33</f>
        <v/>
      </c>
      <c r="AX33" s="238">
        <f>AU33+AY33</f>
        <v/>
      </c>
      <c r="AY33" s="313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/>
      </c>
      <c r="AZ33" s="313">
        <f>COUNTIF(C33:Y33,"*BRT*")</f>
        <v/>
      </c>
      <c r="BA33" s="313">
        <f>COUNTIF(A33:AI33,"*$BTP*")</f>
        <v/>
      </c>
      <c r="BB33" s="313">
        <f>BA33*('Setting key Duty'!$I$13+'Setting key Duty'!$I$12+'Setting key Duty'!$I$11)</f>
        <v/>
      </c>
      <c r="BC33" s="313">
        <f>COUNTIF(D33:AI33,"*$L*")</f>
        <v/>
      </c>
      <c r="BD33" s="313">
        <f>BC33*('Setting key Duty'!$I$13+'Setting key Duty'!$I$9)</f>
        <v/>
      </c>
      <c r="BE33" s="313">
        <f>COUNTIF(D33:AI33,"*$M*")</f>
        <v/>
      </c>
      <c r="BF33" s="313">
        <f>BE33*('Setting key Duty'!$I$8+'Setting key Duty'!$I$9+'Setting key Duty'!$I$12)</f>
        <v/>
      </c>
      <c r="BG33" s="313">
        <f>COUNTIF(D33:AI33,"*$N*")</f>
        <v/>
      </c>
      <c r="BH33" s="313">
        <f>COUNTIF(D33:AI33,"*$PM*")</f>
        <v/>
      </c>
      <c r="BI33" s="313">
        <f>BH33*('Setting key Duty'!$I$9)</f>
        <v/>
      </c>
      <c r="BJ33" s="313">
        <f>COUNTIF(D33:AI33,"*$AM*")</f>
        <v/>
      </c>
      <c r="BK33" s="313">
        <f>BJ33*('Setting key Duty'!$I$12+'Setting key Duty'!$I$8)</f>
        <v/>
      </c>
      <c r="BL33" s="313">
        <f>COUNTIF(C33:AI33,"*$FC*")</f>
        <v/>
      </c>
      <c r="BM33" s="313">
        <f>BL33*('Setting key Duty'!$J$11+'Setting key Duty'!$I$8)</f>
        <v/>
      </c>
      <c r="BN33" s="313">
        <f>COUNTIF($C33:$AH33,BN$4)</f>
        <v/>
      </c>
      <c r="BO33" s="313">
        <f>COUNTIF($C33:$AH33,BO$4)</f>
        <v/>
      </c>
      <c r="BP33" s="313" t="n"/>
      <c r="BQ33" s="345" t="n"/>
    </row>
    <row r="34" ht="19.5" customHeight="1">
      <c r="A34" s="309" t="n"/>
      <c r="B34" s="347" t="inlineStr">
        <is>
          <t>PTE ZHONGHAO</t>
        </is>
      </c>
      <c r="C34" s="317" t="n"/>
      <c r="D34" s="317" t="n"/>
      <c r="E34" s="197" t="inlineStr">
        <is>
          <t>AE</t>
        </is>
      </c>
      <c r="I34" s="197" t="inlineStr">
        <is>
          <t>K $BTP (0515-2359)</t>
        </is>
      </c>
      <c r="K34" s="197" t="inlineStr">
        <is>
          <t>C $AM IPPT (0500-1100)</t>
        </is>
      </c>
      <c r="L34" s="324" t="n"/>
      <c r="M34" s="197" t="n"/>
      <c r="N34" s="350" t="n"/>
      <c r="O34" s="324" t="n"/>
      <c r="P34" s="197" t="inlineStr">
        <is>
          <t>C $AM 8KM (0600-1100)</t>
        </is>
      </c>
      <c r="R34" s="197" t="inlineStr">
        <is>
          <t>O $AM IPPT (0500-1100)</t>
        </is>
      </c>
      <c r="S34" s="197" t="n"/>
      <c r="T34" s="196" t="n"/>
      <c r="U34" s="197" t="inlineStr">
        <is>
          <t>FC OIL</t>
        </is>
      </c>
      <c r="V34" s="197" t="inlineStr">
        <is>
          <t>R $BTP (0500-2359)</t>
        </is>
      </c>
      <c r="X34" s="197" t="n"/>
      <c r="Y34" s="197" t="n"/>
      <c r="AA34" s="197" t="n"/>
      <c r="AB34" s="197" t="inlineStr">
        <is>
          <t>K $AM ER (0600-1100)</t>
        </is>
      </c>
      <c r="AC34" s="136" t="inlineStr">
        <is>
          <t>A $PM PS SOC (1530-2000)</t>
        </is>
      </c>
      <c r="AD34" s="317" t="inlineStr">
        <is>
          <t>RC $FC</t>
        </is>
      </c>
      <c r="AE34" s="317" t="inlineStr">
        <is>
          <t>RC $FC</t>
        </is>
      </c>
      <c r="AG34" s="317" t="n"/>
      <c r="AH34" s="317" t="n"/>
      <c r="AI34" s="311" t="n"/>
      <c r="AJ34" s="312" t="n"/>
      <c r="AK34" s="311" t="n"/>
      <c r="AL34" s="344" t="n"/>
      <c r="AM34" s="344" t="n"/>
      <c r="AN34" s="344" t="n"/>
      <c r="AO34" s="344" t="n"/>
      <c r="AP34" s="246" t="n"/>
      <c r="AQ34" s="313">
        <f>SUMPRODUCT(--WEEKDAY(C$3:AG$3,2)&lt;6,--((C34:AG34="DM"))+(C34:AG34="CS1")+((C34:AG34="CS2"))+(C34:AG34="SB1")+(C34:AG34="AE")+(C34:AG34="EM"))</f>
        <v/>
      </c>
      <c r="AR34" s="246" t="n"/>
      <c r="AS34" s="238">
        <f>SUMPRODUCT(--WEEKDAY(C$3:AG$3,2)&gt;5,--((C34:AG34="DM"))+(C34:AG34="CS1")+((C34:AG34="CS2"))+(C34:AG34="SB1")+(C34:AG34="AE")+(C34:AG34="EM"))</f>
        <v/>
      </c>
      <c r="AT34" s="246" t="n"/>
      <c r="AU34" s="238">
        <f>(AQ34-AR34)/2+(AS34-AT34)</f>
        <v/>
      </c>
      <c r="AV34" s="238">
        <f>AI34+AJ34+AK34+AL34+AN34+AO34</f>
        <v/>
      </c>
      <c r="AW34" s="238">
        <f>BG34+BH34+BJ34+BE34+BC34+BA34+BL34</f>
        <v/>
      </c>
      <c r="AX34" s="238">
        <f>AU34+AY34</f>
        <v/>
      </c>
      <c r="AY34" s="313">
        <f>(BJ34*('Setting key Duty'!$I$8+'Setting key Duty'!$I$12))+(BH34*'Setting key Duty'!$I$9)+(BC34*('Setting key Duty'!$I$13+'Setting key Duty'!$I$9))+(BA34*('Setting key Duty'!$I$13+'Setting key Duty'!$I$12+'Setting key Duty'!$I$11))+(BE34*('Setting key Duty'!$I$8+'Setting key Duty'!$I$9+'Setting key Duty'!$I$12))</f>
        <v/>
      </c>
      <c r="AZ34" s="313">
        <f>COUNTIF(C34:W34,"*BRT*")</f>
        <v/>
      </c>
      <c r="BA34" s="313">
        <f>COUNTIF(A34:AI34,"*$BTP*")</f>
        <v/>
      </c>
      <c r="BB34" s="313">
        <f>BA34*('Setting key Duty'!$I$13+'Setting key Duty'!$I$12+'Setting key Duty'!$I$11)</f>
        <v/>
      </c>
      <c r="BC34" s="313">
        <f>COUNTIF(D34:AI34,"*$L*")</f>
        <v/>
      </c>
      <c r="BD34" s="313">
        <f>BC34*('Setting key Duty'!$I$13+'Setting key Duty'!$I$9)</f>
        <v/>
      </c>
      <c r="BE34" s="313">
        <f>COUNTIF(D34:AI34,"*$M*")</f>
        <v/>
      </c>
      <c r="BF34" s="313">
        <f>BE34*('Setting key Duty'!$I$8+'Setting key Duty'!$I$9+'Setting key Duty'!$I$12)</f>
        <v/>
      </c>
      <c r="BG34" s="313">
        <f>COUNTIF(D34:AI34,"*$N*")</f>
        <v/>
      </c>
      <c r="BH34" s="313">
        <f>COUNTIF(D34:AI34,"*$PM*")</f>
        <v/>
      </c>
      <c r="BI34" s="313">
        <f>BH34*('Setting key Duty'!$I$9)</f>
        <v/>
      </c>
      <c r="BJ34" s="313">
        <f>COUNTIF(D34:AI34,"*$AM*")</f>
        <v/>
      </c>
      <c r="BK34" s="313">
        <f>BJ34*('Setting key Duty'!$I$12+'Setting key Duty'!$I$8)</f>
        <v/>
      </c>
      <c r="BL34" s="313">
        <f>COUNTIF(C34:AI34,"*$FC*")</f>
        <v/>
      </c>
      <c r="BM34" s="313">
        <f>BL34*('Setting key Duty'!$J$11+'Setting key Duty'!$I$8)</f>
        <v/>
      </c>
      <c r="BN34" s="313">
        <f>COUNTIF($C34:$AG34,BN$4)</f>
        <v/>
      </c>
      <c r="BO34" s="313">
        <f>COUNTIF($C34:$AG34,BO$4)</f>
        <v/>
      </c>
      <c r="BP34" s="313" t="n"/>
      <c r="BQ34" s="345" t="n"/>
    </row>
    <row r="35" ht="19.5" customHeight="1">
      <c r="A35" s="309" t="n"/>
      <c r="B35" s="347" t="inlineStr">
        <is>
          <t>PTE DERRICK</t>
        </is>
      </c>
      <c r="C35" s="317" t="n"/>
      <c r="D35" s="317" t="n"/>
      <c r="E35" s="197" t="n"/>
      <c r="F35" s="106" t="n"/>
      <c r="G35" s="106" t="n"/>
      <c r="H35" s="106" t="n"/>
      <c r="I35" s="197" t="inlineStr">
        <is>
          <t>J $AM IPPT (0500-1100)</t>
        </is>
      </c>
      <c r="J35" s="197" t="inlineStr">
        <is>
          <t>K $BTP (0515-2359)</t>
        </is>
      </c>
      <c r="K35" s="197" t="n"/>
      <c r="M35" s="349" t="n"/>
      <c r="N35" s="350" t="n"/>
      <c r="O35" s="324" t="inlineStr">
        <is>
          <t>PHLEBO</t>
        </is>
      </c>
      <c r="Q35" s="324" t="inlineStr">
        <is>
          <t>PHLEBO</t>
        </is>
      </c>
      <c r="R35" s="197" t="inlineStr">
        <is>
          <t>D $M BIC (0530-2000)</t>
        </is>
      </c>
      <c r="S35" s="197" t="n"/>
      <c r="T35" s="196" t="n"/>
      <c r="V35" s="197" t="inlineStr">
        <is>
          <t>S $M RE-IFC (0600-1500)</t>
        </is>
      </c>
      <c r="W35" s="197" t="n"/>
      <c r="X35" s="197" t="inlineStr">
        <is>
          <t>C $AM IPPT (0500-1000)</t>
        </is>
      </c>
      <c r="Y35" s="324" t="inlineStr">
        <is>
          <t>AE</t>
        </is>
      </c>
      <c r="AA35" s="197" t="n"/>
      <c r="AB35" s="197" t="inlineStr">
        <is>
          <t>J $AM ER (0600-1100)</t>
        </is>
      </c>
      <c r="AC35" s="197" t="inlineStr">
        <is>
          <t>J $M BIC (0515-2000)</t>
        </is>
      </c>
      <c r="AD35" s="1" t="inlineStr">
        <is>
          <t>AL</t>
        </is>
      </c>
      <c r="AE35" s="1" t="inlineStr">
        <is>
          <t>AL</t>
        </is>
      </c>
      <c r="AF35" s="1" t="inlineStr">
        <is>
          <t xml:space="preserve">AL </t>
        </is>
      </c>
      <c r="AG35" s="317" t="n"/>
      <c r="AH35" s="317" t="n"/>
      <c r="AI35" s="311" t="n"/>
      <c r="AJ35" s="312" t="n"/>
      <c r="AK35" s="311" t="n"/>
      <c r="AL35" s="344" t="n"/>
      <c r="AM35" s="344" t="n"/>
      <c r="AN35" s="344" t="n"/>
      <c r="AO35" s="344" t="n"/>
      <c r="AP35" s="246" t="n"/>
      <c r="AQ35" s="313">
        <f>SUMPRODUCT(--WEEKDAY(C$3:AG$3,2)&lt;6,--((C35:AG35="DM"))+(C35:AG35="CS1")+((C35:AG35="CS2"))+(C35:AG35="SB1")+(C35:AG35="AE")+(C35:AG35="EM"))</f>
        <v/>
      </c>
      <c r="AR35" s="246" t="n"/>
      <c r="AS35" s="238">
        <f>SUMPRODUCT(--WEEKDAY(C$3:AG$3,2)&gt;5,--((C35:AG35="DM"))+(C35:AG35="CS1")+((C35:AG35="CS2"))+(C35:AG35="SB1")+(C35:AG35="AE")+(C35:AG35="EM"))</f>
        <v/>
      </c>
      <c r="AT35" s="246" t="n"/>
      <c r="AU35" s="238">
        <f>(AQ35-AR35)/2+(AS35-AT35)</f>
        <v/>
      </c>
      <c r="AV35" s="238">
        <f>AI35+AJ35+AK35+AL35+AN35+AO35</f>
        <v/>
      </c>
      <c r="AW35" s="238">
        <f>BG35+BH35+BJ35+BE35+BC35+BA35+BL35</f>
        <v/>
      </c>
      <c r="AX35" s="238">
        <f>AU35+AY35</f>
        <v/>
      </c>
      <c r="AY35" s="313">
        <f>(BJ35*('Setting key Duty'!$I$8+'Setting key Duty'!$I$12))+(BH35*'Setting key Duty'!$I$9)+(BC35*('Setting key Duty'!$I$13+'Setting key Duty'!$I$9))+(BA35*('Setting key Duty'!$I$13+'Setting key Duty'!$I$12+'Setting key Duty'!$I$11))+(BE35*('Setting key Duty'!$I$8+'Setting key Duty'!$I$9+'Setting key Duty'!$I$12))</f>
        <v/>
      </c>
      <c r="AZ35" s="313">
        <f>COUNTIF(C35:Y35,"*BRT*")</f>
        <v/>
      </c>
      <c r="BA35" s="313">
        <f>COUNTIF(A35:AI35,"*$BTP*")</f>
        <v/>
      </c>
      <c r="BB35" s="313">
        <f>BA35*('Setting key Duty'!$I$13+'Setting key Duty'!$I$12+'Setting key Duty'!$I$11)</f>
        <v/>
      </c>
      <c r="BC35" s="313">
        <f>COUNTIF(D35:AI35,"*$L*")</f>
        <v/>
      </c>
      <c r="BD35" s="313">
        <f>BC35*('Setting key Duty'!$I$13+'Setting key Duty'!$I$9)</f>
        <v/>
      </c>
      <c r="BE35" s="313">
        <f>COUNTIF(D35:AI35,"*$M*")</f>
        <v/>
      </c>
      <c r="BF35" s="313">
        <f>BE35*('Setting key Duty'!$I$8+'Setting key Duty'!$I$9+'Setting key Duty'!$I$12)</f>
        <v/>
      </c>
      <c r="BG35" s="313">
        <f>COUNTIF(D35:AI35,"*$N*")</f>
        <v/>
      </c>
      <c r="BH35" s="313">
        <f>COUNTIF(D35:AI35,"*$PM*")</f>
        <v/>
      </c>
      <c r="BI35" s="313">
        <f>BH35*('Setting key Duty'!$I$9)</f>
        <v/>
      </c>
      <c r="BJ35" s="313">
        <f>COUNTIF(D35:AI35,"*$AM*")</f>
        <v/>
      </c>
      <c r="BK35" s="313">
        <f>BJ35*('Setting key Duty'!$I$12+'Setting key Duty'!$I$8)</f>
        <v/>
      </c>
      <c r="BL35" s="313">
        <f>COUNTIF(C35:AI35,"*$FC*")</f>
        <v/>
      </c>
      <c r="BM35" s="313">
        <f>BL35*('Setting key Duty'!$J$11+'Setting key Duty'!$I$8)</f>
        <v/>
      </c>
      <c r="BN35" s="313">
        <f>COUNTIF($C35:$AG35,BN$4)</f>
        <v/>
      </c>
      <c r="BO35" s="313">
        <f>COUNTIF($C35:$AG35,BO$4)</f>
        <v/>
      </c>
      <c r="BP35" s="313" t="n"/>
      <c r="BQ35" s="345" t="n"/>
    </row>
    <row r="36" ht="19.5" customHeight="1">
      <c r="A36" s="309" t="n"/>
      <c r="B36" s="347" t="inlineStr">
        <is>
          <t>PTE GOH DI XUAN</t>
        </is>
      </c>
      <c r="C36" s="317" t="n"/>
      <c r="D36" s="317" t="n"/>
      <c r="E36" s="197" t="n"/>
      <c r="F36" s="197" t="inlineStr">
        <is>
          <t>O $FC</t>
        </is>
      </c>
      <c r="G36" s="197" t="inlineStr">
        <is>
          <t>O $FC</t>
        </is>
      </c>
      <c r="H36" s="197" t="inlineStr">
        <is>
          <t>O $FC</t>
        </is>
      </c>
      <c r="I36" s="197" t="inlineStr">
        <is>
          <t>O $FC</t>
        </is>
      </c>
      <c r="J36" s="197" t="inlineStr">
        <is>
          <t>O $FC</t>
        </is>
      </c>
      <c r="M36" s="317" t="n"/>
      <c r="N36" s="350" t="n"/>
      <c r="O36" s="324" t="n"/>
      <c r="Q36" s="197" t="inlineStr">
        <is>
          <t>J $AM ER (0600-1100)</t>
        </is>
      </c>
      <c r="R36" s="197" t="inlineStr">
        <is>
          <t>R $AM SOC (0530-1000)</t>
        </is>
      </c>
      <c r="S36" s="197" t="n"/>
      <c r="T36" s="196" t="n"/>
      <c r="U36" s="197" t="inlineStr">
        <is>
          <t>R $BTP (0500-2359)</t>
        </is>
      </c>
      <c r="W36" s="197" t="inlineStr">
        <is>
          <t>O $FC RE-SIT TEST (1800)</t>
        </is>
      </c>
      <c r="X36" s="197" t="inlineStr">
        <is>
          <t>O $FC RE-SIT TEST</t>
        </is>
      </c>
      <c r="AA36" s="197" t="n"/>
      <c r="AB36" s="197" t="inlineStr">
        <is>
          <t>C  RE$BTP(0600-2000)</t>
        </is>
      </c>
      <c r="AF36" s="317" t="n"/>
      <c r="AG36" s="317" t="n"/>
      <c r="AI36" s="311" t="n"/>
      <c r="AJ36" s="312" t="n"/>
      <c r="AK36" s="311" t="n"/>
      <c r="AL36" s="344" t="n"/>
      <c r="AM36" s="344" t="n"/>
      <c r="AN36" s="344" t="n"/>
      <c r="AO36" s="344" t="n"/>
      <c r="AP36" s="246" t="n"/>
      <c r="AQ36" s="313">
        <f>SUMPRODUCT(--WEEKDAY(C$3:AG$3,2)&lt;6,--((C36:AG36="DM"))+(C36:AG36="CS1")+((C36:AG36="CS2"))+(C36:AG36="SB1")+(C36:AG36="AE")+(C36:AG36="EM"))</f>
        <v/>
      </c>
      <c r="AR36" s="246" t="n"/>
      <c r="AS36" s="238">
        <f>SUMPRODUCT(--WEEKDAY(C$3:AG$3,2)&gt;5,--((C36:AG36="DM"))+(C36:AG36="CS1")+((C36:AG36="CS2"))+(C36:AG36="SB1")+(C36:AG36="AE")+(C36:AG36="EM"))</f>
        <v/>
      </c>
      <c r="AT36" s="246" t="n"/>
      <c r="AU36" s="238">
        <f>(AQ36-AR36)/2+(AS36-AT36)</f>
        <v/>
      </c>
      <c r="AV36" s="238">
        <f>AI36+AJ36+AK36+AL36+AN36+AO36</f>
        <v/>
      </c>
      <c r="AW36" s="238">
        <f>BG36+BH36+BJ36+BE36+BC36+BA36+BL36</f>
        <v/>
      </c>
      <c r="AX36" s="238">
        <f>AU36+AY36</f>
        <v/>
      </c>
      <c r="AY36" s="313">
        <f>(BJ36*('Setting key Duty'!$I$8+'Setting key Duty'!$I$12))+(BH36*'Setting key Duty'!$I$9)+(BC36*('Setting key Duty'!$I$13+'Setting key Duty'!$I$9))+(BA36*('Setting key Duty'!$I$13+'Setting key Duty'!$I$12+'Setting key Duty'!$I$11))+(BE36*('Setting key Duty'!$I$8+'Setting key Duty'!$I$9+'Setting key Duty'!$I$12))</f>
        <v/>
      </c>
      <c r="AZ36" s="313">
        <f>COUNTIF(C36:Y36,"*BRT*")</f>
        <v/>
      </c>
      <c r="BA36" s="313">
        <f>COUNTIF(A36:AI36,"*$BTP*")</f>
        <v/>
      </c>
      <c r="BB36" s="313">
        <f>BA36*('Setting key Duty'!$I$13+'Setting key Duty'!$I$12+'Setting key Duty'!$I$11)</f>
        <v/>
      </c>
      <c r="BC36" s="313">
        <f>COUNTIF(D36:AI36,"*$L*")</f>
        <v/>
      </c>
      <c r="BD36" s="313">
        <f>BC36*('Setting key Duty'!$I$13+'Setting key Duty'!$I$9)</f>
        <v/>
      </c>
      <c r="BE36" s="313">
        <f>COUNTIF(D36:AI36,"*$M*")</f>
        <v/>
      </c>
      <c r="BF36" s="313">
        <f>BE36*('Setting key Duty'!$I$8+'Setting key Duty'!$I$9+'Setting key Duty'!$I$12)</f>
        <v/>
      </c>
      <c r="BG36" s="313">
        <f>COUNTIF(D36:AI36,"*$N*")</f>
        <v/>
      </c>
      <c r="BH36" s="313">
        <f>COUNTIF(D36:AI36,"*$PM*")</f>
        <v/>
      </c>
      <c r="BI36" s="313">
        <f>BH36*('Setting key Duty'!$I$9)</f>
        <v/>
      </c>
      <c r="BJ36" s="313">
        <f>COUNTIF(D36:AI36,"*$AM*")</f>
        <v/>
      </c>
      <c r="BK36" s="313">
        <f>BJ36*('Setting key Duty'!$I$12+'Setting key Duty'!$I$8)</f>
        <v/>
      </c>
      <c r="BL36" s="313">
        <f>COUNTIF(C36:AI36,"*$FC*")</f>
        <v/>
      </c>
      <c r="BM36" s="313">
        <f>BL36*('Setting key Duty'!$J$11+'Setting key Duty'!$I$8)</f>
        <v/>
      </c>
      <c r="BN36" s="313">
        <f>COUNTIF($C36:$AG36,BN$4)</f>
        <v/>
      </c>
      <c r="BO36" s="313">
        <f>COUNTIF($C36:$AG36,BO$4)</f>
        <v/>
      </c>
      <c r="BP36" s="313" t="n"/>
      <c r="BQ36" s="345" t="n"/>
    </row>
    <row r="37" ht="19.5" customHeight="1">
      <c r="A37" s="309" t="n"/>
      <c r="B37" s="347" t="inlineStr">
        <is>
          <t>LCP HAZIQ</t>
        </is>
      </c>
      <c r="C37" s="317" t="n"/>
      <c r="D37" s="317" t="inlineStr">
        <is>
          <t>PM OL</t>
        </is>
      </c>
      <c r="E37" s="197" t="n"/>
      <c r="F37" s="197" t="inlineStr">
        <is>
          <t>AE</t>
        </is>
      </c>
      <c r="G37" s="197" t="n"/>
      <c r="H37" s="106" t="n"/>
      <c r="I37" s="349" t="inlineStr">
        <is>
          <t>AE</t>
        </is>
      </c>
      <c r="K37" s="324" t="inlineStr">
        <is>
          <t>SB2</t>
        </is>
      </c>
      <c r="N37" s="350" t="n"/>
      <c r="O37" s="197" t="inlineStr">
        <is>
          <t>AE</t>
        </is>
      </c>
      <c r="Q37" s="324" t="inlineStr">
        <is>
          <t>SB2</t>
        </is>
      </c>
      <c r="R37" s="317" t="inlineStr">
        <is>
          <t>AE</t>
        </is>
      </c>
      <c r="S37" s="197" t="n"/>
      <c r="U37" s="324" t="inlineStr">
        <is>
          <t>AE</t>
        </is>
      </c>
      <c r="V37" s="197" t="inlineStr">
        <is>
          <t>NSC</t>
        </is>
      </c>
      <c r="X37" s="324" t="inlineStr">
        <is>
          <t>SB2</t>
        </is>
      </c>
      <c r="Y37" s="106" t="n"/>
      <c r="Z37" s="197" t="inlineStr">
        <is>
          <t>SB1</t>
        </is>
      </c>
      <c r="AA37" s="106" t="n"/>
      <c r="AC37" s="324" t="inlineStr">
        <is>
          <t>AE</t>
        </is>
      </c>
      <c r="AE37" s="317" t="inlineStr">
        <is>
          <t>AE</t>
        </is>
      </c>
      <c r="AF37" s="1" t="inlineStr">
        <is>
          <t>off</t>
        </is>
      </c>
      <c r="AG37" s="317" t="n"/>
      <c r="AH37" s="317" t="n"/>
      <c r="AI37" s="311" t="n"/>
      <c r="AJ37" s="312" t="n"/>
      <c r="AK37" s="311" t="n"/>
      <c r="AL37" s="344" t="n"/>
      <c r="AM37" s="344" t="n"/>
      <c r="AN37" s="344" t="n"/>
      <c r="AO37" s="344" t="n"/>
      <c r="AP37" s="246" t="n"/>
      <c r="AQ37" s="313">
        <f>SUMPRODUCT(--WEEKDAY(C$3:AG$3,2)&lt;6,--((C37:AG37="DM"))+(C37:AG37="CS1")+((C37:AG37="CS2"))+(C37:AG37="SB1")+(C37:AG37="AE")+(C37:AG37="EM"))</f>
        <v/>
      </c>
      <c r="AR37" s="246" t="n"/>
      <c r="AS37" s="238">
        <f>SUMPRODUCT(--WEEKDAY(C$3:AG$3,2)&gt;5,--((C37:AG37="DM"))+(C37:AG37="CS1")+((C37:AG37="CS2"))+(C37:AG37="SB1")+(C37:AG37="AE")+(C37:AG37="EM"))</f>
        <v/>
      </c>
      <c r="AT37" s="246" t="n"/>
      <c r="AU37" s="238">
        <f>(AQ37-AR37)/2+(AS37-AT37)</f>
        <v/>
      </c>
      <c r="AV37" s="238">
        <f>AI37+AJ37+AK37+AL37+AN37+AO37</f>
        <v/>
      </c>
      <c r="AW37" s="238">
        <f>BG37+BH37+BJ37+BE37+BC37+BA37+BL37</f>
        <v/>
      </c>
      <c r="AX37" s="238">
        <f>AU37+AY37</f>
        <v/>
      </c>
      <c r="AY37" s="313">
        <f>(BJ37*('Setting key Duty'!$I$8+'Setting key Duty'!$I$12))+(BH37*'Setting key Duty'!$I$9)+(BC37*('Setting key Duty'!$I$13+'Setting key Duty'!$I$9))+(BA37*('Setting key Duty'!$I$13+'Setting key Duty'!$I$12+'Setting key Duty'!$I$11))+(BE37*('Setting key Duty'!$I$8+'Setting key Duty'!$I$9+'Setting key Duty'!$I$12))</f>
        <v/>
      </c>
      <c r="AZ37" s="313">
        <f>COUNTIF(C37:Y37,"*BRT*")</f>
        <v/>
      </c>
      <c r="BA37" s="313">
        <f>COUNTIF(A37:AI37,"*$BTP*")</f>
        <v/>
      </c>
      <c r="BB37" s="313">
        <f>BA37*('Setting key Duty'!$I$13+'Setting key Duty'!$I$12+'Setting key Duty'!$I$11)</f>
        <v/>
      </c>
      <c r="BC37" s="313">
        <f>COUNTIF(D37:AI37,"*$L*")</f>
        <v/>
      </c>
      <c r="BD37" s="313">
        <f>BC37*('Setting key Duty'!$I$13+'Setting key Duty'!$I$9)</f>
        <v/>
      </c>
      <c r="BE37" s="313">
        <f>COUNTIF(D37:AI37,"*$M*")</f>
        <v/>
      </c>
      <c r="BF37" s="313">
        <f>BE37*('Setting key Duty'!$I$8+'Setting key Duty'!$I$9+'Setting key Duty'!$I$12)</f>
        <v/>
      </c>
      <c r="BG37" s="313">
        <f>COUNTIF(D37:AI37,"*$N*")</f>
        <v/>
      </c>
      <c r="BH37" s="313">
        <f>COUNTIF(D37:AI37,"*$PM*")</f>
        <v/>
      </c>
      <c r="BI37" s="313">
        <f>BH37*('Setting key Duty'!$I$9)</f>
        <v/>
      </c>
      <c r="BJ37" s="313">
        <f>COUNTIF(D37:AI37,"*$AM*")</f>
        <v/>
      </c>
      <c r="BK37" s="313">
        <f>BJ37*('Setting key Duty'!$I$12+'Setting key Duty'!$I$8)</f>
        <v/>
      </c>
      <c r="BL37" s="313">
        <f>COUNTIF(C37:AI37,"*$FC*")</f>
        <v/>
      </c>
      <c r="BM37" s="313">
        <f>BL37*('Setting key Duty'!$J$11+'Setting key Duty'!$I$8)</f>
        <v/>
      </c>
      <c r="BN37" s="313">
        <f>COUNTIF($C37:$AG37,BN$4)</f>
        <v/>
      </c>
      <c r="BO37" s="313">
        <f>COUNTIF($C37:$AG37,BO$4)</f>
        <v/>
      </c>
      <c r="BP37" s="313" t="n"/>
      <c r="BQ37" s="345" t="n"/>
    </row>
    <row r="38" ht="19.5" customHeight="1">
      <c r="A38" s="309" t="n"/>
      <c r="B38" s="347" t="inlineStr">
        <is>
          <t>PTE WILLARD</t>
        </is>
      </c>
      <c r="C38" s="317" t="inlineStr">
        <is>
          <t>SERVE+</t>
        </is>
      </c>
      <c r="D38" s="350" t="inlineStr">
        <is>
          <t>SERVE+</t>
        </is>
      </c>
      <c r="E38" s="350" t="inlineStr">
        <is>
          <t>SERVE+</t>
        </is>
      </c>
      <c r="F38" s="350" t="inlineStr">
        <is>
          <t>SERVE+</t>
        </is>
      </c>
      <c r="G38" s="350" t="inlineStr">
        <is>
          <t>SERVE+</t>
        </is>
      </c>
      <c r="H38" s="350" t="inlineStr">
        <is>
          <t>SERVE+</t>
        </is>
      </c>
      <c r="I38" s="350" t="inlineStr">
        <is>
          <t>SERVE+</t>
        </is>
      </c>
      <c r="J38" s="350" t="inlineStr">
        <is>
          <t>SERVE+</t>
        </is>
      </c>
      <c r="K38" s="350" t="inlineStr">
        <is>
          <t>SERVE+</t>
        </is>
      </c>
      <c r="L38" s="350" t="inlineStr">
        <is>
          <t>SERVE+</t>
        </is>
      </c>
      <c r="M38" s="350" t="inlineStr">
        <is>
          <t>SERVE+</t>
        </is>
      </c>
      <c r="N38" s="350" t="inlineStr">
        <is>
          <t>SERVE+</t>
        </is>
      </c>
      <c r="O38" s="350" t="inlineStr">
        <is>
          <t>SERVE+</t>
        </is>
      </c>
      <c r="P38" s="350" t="inlineStr">
        <is>
          <t>SERVE+</t>
        </is>
      </c>
      <c r="Q38" s="350" t="inlineStr">
        <is>
          <t>SERVE+</t>
        </is>
      </c>
      <c r="R38" s="350" t="inlineStr">
        <is>
          <t>SERVE+</t>
        </is>
      </c>
      <c r="S38" s="350" t="inlineStr">
        <is>
          <t>SERVE+</t>
        </is>
      </c>
      <c r="T38" s="350" t="inlineStr">
        <is>
          <t>SERVE+</t>
        </is>
      </c>
      <c r="U38" s="350" t="inlineStr">
        <is>
          <t>SERVE+</t>
        </is>
      </c>
      <c r="V38" s="350" t="inlineStr">
        <is>
          <t>SERVE+</t>
        </is>
      </c>
      <c r="W38" s="350" t="inlineStr">
        <is>
          <t>SERVE+</t>
        </is>
      </c>
      <c r="X38" s="350" t="inlineStr">
        <is>
          <t>SERVE+</t>
        </is>
      </c>
      <c r="Y38" s="350" t="inlineStr">
        <is>
          <t>SERVE+</t>
        </is>
      </c>
      <c r="Z38" s="350" t="inlineStr">
        <is>
          <t>SERVE+</t>
        </is>
      </c>
      <c r="AA38" s="350" t="inlineStr">
        <is>
          <t>SERVE+</t>
        </is>
      </c>
      <c r="AB38" s="350" t="inlineStr">
        <is>
          <t>SERVE+</t>
        </is>
      </c>
      <c r="AC38" s="350" t="inlineStr">
        <is>
          <t>SERVE+</t>
        </is>
      </c>
      <c r="AD38" s="350" t="inlineStr">
        <is>
          <t>SERVE+</t>
        </is>
      </c>
      <c r="AE38" s="350" t="inlineStr">
        <is>
          <t>SERVE+</t>
        </is>
      </c>
      <c r="AF38" s="350" t="inlineStr">
        <is>
          <t>SERVE+</t>
        </is>
      </c>
      <c r="AG38" s="350" t="inlineStr">
        <is>
          <t>SERVE+</t>
        </is>
      </c>
      <c r="AH38" s="350" t="inlineStr">
        <is>
          <t>SERVE+</t>
        </is>
      </c>
      <c r="AI38" s="311" t="n"/>
      <c r="AJ38" s="312" t="n"/>
      <c r="AK38" s="311" t="n"/>
      <c r="AL38" s="344" t="n"/>
      <c r="AM38" s="344" t="n"/>
      <c r="AN38" s="344" t="n"/>
      <c r="AO38" s="344" t="n"/>
      <c r="AP38" s="246" t="n"/>
      <c r="AQ38" s="313">
        <f>SUMPRODUCT(--WEEKDAY(C$3:AG$3,2)&lt;6,--((C38:AG38="DM"))+(C38:AG38="CS1")+((C38:AG38="CS2"))+(C38:AG38="SB1")+(C38:AG38="AE")+(C38:AG38="EM"))</f>
        <v/>
      </c>
      <c r="AR38" s="246" t="n"/>
      <c r="AS38" s="238">
        <f>SUMPRODUCT(--WEEKDAY(C$3:AG$3,2)&gt;5,--((C38:AG38="DM"))+(C38:AG38="CS1")+((C38:AG38="CS2"))+(C38:AG38="SB1")+(C38:AG38="AE")+(C38:AG38="EM"))</f>
        <v/>
      </c>
      <c r="AT38" s="246" t="n"/>
      <c r="AU38" s="238">
        <f>(AQ38-AR38)/2+(AS38-AT38)</f>
        <v/>
      </c>
      <c r="AV38" s="238">
        <f>AI38+AJ38+AK38+AL38+AN38+AO38</f>
        <v/>
      </c>
      <c r="AW38" s="238">
        <f>BG38+BH38+BJ38+BE38+BC38+BA38+BL38</f>
        <v/>
      </c>
      <c r="AX38" s="238">
        <f>AU38+AY38</f>
        <v/>
      </c>
      <c r="AY38" s="313">
        <f>(BJ38*('Setting key Duty'!$I$8+'Setting key Duty'!$I$12))+(BH38*'Setting key Duty'!$I$9)+(BC38*('Setting key Duty'!$I$13+'Setting key Duty'!$I$9))+(BA38*('Setting key Duty'!$I$13+'Setting key Duty'!$I$12+'Setting key Duty'!$I$11))+(BE38*('Setting key Duty'!$I$8+'Setting key Duty'!$I$9+'Setting key Duty'!$I$12))</f>
        <v/>
      </c>
      <c r="AZ38" s="313">
        <f>COUNTIF(C38:Y38,"*BRT*")</f>
        <v/>
      </c>
      <c r="BA38" s="313">
        <f>COUNTIF(A38:AI38,"*$BTP*")</f>
        <v/>
      </c>
      <c r="BB38" s="313">
        <f>BA38*('Setting key Duty'!$I$13+'Setting key Duty'!$I$12+'Setting key Duty'!$I$11)</f>
        <v/>
      </c>
      <c r="BC38" s="313">
        <f>COUNTIF(D38:AI38,"*$L*")</f>
        <v/>
      </c>
      <c r="BD38" s="313">
        <f>BC38*('Setting key Duty'!$I$13+'Setting key Duty'!$I$9)</f>
        <v/>
      </c>
      <c r="BE38" s="313">
        <f>COUNTIF(D38:AI38,"*$M*")</f>
        <v/>
      </c>
      <c r="BF38" s="313">
        <f>BE38*('Setting key Duty'!$I$8+'Setting key Duty'!$I$9+'Setting key Duty'!$I$12)</f>
        <v/>
      </c>
      <c r="BG38" s="313">
        <f>COUNTIF(D38:AI38,"*$N*")</f>
        <v/>
      </c>
      <c r="BH38" s="313">
        <f>COUNTIF(D38:AI38,"*$PM*")</f>
        <v/>
      </c>
      <c r="BI38" s="313">
        <f>BH38*('Setting key Duty'!$I$9)</f>
        <v/>
      </c>
      <c r="BJ38" s="313">
        <f>COUNTIF(D38:AI38,"*$AM*")</f>
        <v/>
      </c>
      <c r="BK38" s="313">
        <f>BJ38*('Setting key Duty'!$I$12+'Setting key Duty'!$I$8)</f>
        <v/>
      </c>
      <c r="BL38" s="313">
        <f>COUNTIF(C38:AI38,"*$FC*")</f>
        <v/>
      </c>
      <c r="BM38" s="313">
        <f>BL38*('Setting key Duty'!$J$11+'Setting key Duty'!$I$8)</f>
        <v/>
      </c>
      <c r="BN38" s="313">
        <f>COUNTIF($C38:$AG38,BN$4)</f>
        <v/>
      </c>
      <c r="BO38" s="313">
        <f>COUNTIF($C38:$AG38,BO$4)</f>
        <v/>
      </c>
      <c r="BP38" s="313" t="n"/>
      <c r="BQ38" s="345" t="n"/>
    </row>
    <row r="39" ht="19.5" customHeight="1">
      <c r="A39" s="309" t="n"/>
      <c r="B39" s="347" t="inlineStr">
        <is>
          <t>PTE YAN SHENG</t>
        </is>
      </c>
      <c r="C39" s="350" t="n"/>
      <c r="D39" s="324" t="inlineStr">
        <is>
          <t>SB2</t>
        </is>
      </c>
      <c r="E39" s="317" t="n"/>
      <c r="F39" s="106" t="n"/>
      <c r="G39" s="324" t="inlineStr">
        <is>
          <t>AE</t>
        </is>
      </c>
      <c r="H39" s="106" t="n"/>
      <c r="I39" s="324" t="inlineStr">
        <is>
          <t>SB2</t>
        </is>
      </c>
      <c r="J39" s="317" t="inlineStr">
        <is>
          <t>MA</t>
        </is>
      </c>
      <c r="L39" s="324" t="n"/>
      <c r="M39" s="317" t="inlineStr">
        <is>
          <t>AE</t>
        </is>
      </c>
      <c r="N39" s="350" t="n"/>
      <c r="O39" s="324" t="inlineStr">
        <is>
          <t>SB2</t>
        </is>
      </c>
      <c r="Q39" s="324" t="inlineStr">
        <is>
          <t>AE</t>
        </is>
      </c>
      <c r="R39" s="197" t="n"/>
      <c r="S39" s="197" t="n"/>
      <c r="T39" s="197" t="inlineStr">
        <is>
          <t>AE</t>
        </is>
      </c>
      <c r="U39" s="324" t="inlineStr">
        <is>
          <t>SB2</t>
        </is>
      </c>
      <c r="V39" s="324" t="inlineStr">
        <is>
          <t>SB2</t>
        </is>
      </c>
      <c r="W39" s="324" t="inlineStr">
        <is>
          <t>AE</t>
        </is>
      </c>
      <c r="Y39" s="324" t="inlineStr">
        <is>
          <t>SB2</t>
        </is>
      </c>
      <c r="Z39" s="321" t="n"/>
      <c r="AA39" s="197" t="inlineStr">
        <is>
          <t>AE</t>
        </is>
      </c>
      <c r="AC39" s="324" t="inlineStr">
        <is>
          <t>SB2</t>
        </is>
      </c>
      <c r="AE39" s="324" t="inlineStr">
        <is>
          <t>SB2</t>
        </is>
      </c>
      <c r="AF39" s="324" t="inlineStr">
        <is>
          <t>AE</t>
        </is>
      </c>
      <c r="AG39" s="350" t="n"/>
      <c r="AH39" s="197" t="n"/>
      <c r="AI39" s="311" t="n"/>
      <c r="AJ39" s="312" t="n"/>
      <c r="AK39" s="311" t="n"/>
      <c r="AL39" s="344" t="n"/>
      <c r="AM39" s="344" t="n"/>
      <c r="AN39" s="344" t="n"/>
      <c r="AO39" s="344" t="n"/>
      <c r="AP39" s="246" t="n"/>
      <c r="AQ39" s="313">
        <f>SUMPRODUCT(--WEEKDAY(C$3:AG$3,2)&lt;6,--((C39:AG39="DM"))+(C39:AG39="CS1")+((C39:AG39="CS2"))+(C39:AG39="SB1")+(C39:AG39="AE")+(C39:AG39="EM"))</f>
        <v/>
      </c>
      <c r="AR39" s="246" t="n"/>
      <c r="AS39" s="238">
        <f>SUMPRODUCT(--WEEKDAY(C$3:AG$3,2)&gt;5,--((C39:AG39="DM"))+(C39:AG39="CS1")+((C39:AG39="CS2"))+(C39:AG39="SB1")+(C39:AG39="AE")+(C39:AG39="EM"))</f>
        <v/>
      </c>
      <c r="AT39" s="246" t="n"/>
      <c r="AU39" s="238">
        <f>(AQ39-AR39)/2+(AS39-AT39)</f>
        <v/>
      </c>
      <c r="AV39" s="238">
        <f>AI39+AJ39+AK39+AL39+AN39+AO39</f>
        <v/>
      </c>
      <c r="AW39" s="238">
        <f>BG39+BH39+BJ39+BE39+BC39+BA39+BL39</f>
        <v/>
      </c>
      <c r="AX39" s="238">
        <f>AU39+AY39</f>
        <v/>
      </c>
      <c r="AY39" s="313">
        <f>(BJ39*('Setting key Duty'!$I$8+'Setting key Duty'!$I$12))+(BH39*'Setting key Duty'!$I$9)+(BC39*('Setting key Duty'!$I$13+'Setting key Duty'!$I$9))+(BA39*('Setting key Duty'!$I$13+'Setting key Duty'!$I$12+'Setting key Duty'!$I$11))+(BE39*('Setting key Duty'!$I$8+'Setting key Duty'!$I$9+'Setting key Duty'!$I$12))</f>
        <v/>
      </c>
      <c r="AZ39" s="313">
        <f>COUNTIF(C39:Y39,"*BRT*")</f>
        <v/>
      </c>
      <c r="BA39" s="313">
        <f>COUNTIF(A39:AI39,"*$BTP*")</f>
        <v/>
      </c>
      <c r="BB39" s="313">
        <f>BA39*('Setting key Duty'!$I$13+'Setting key Duty'!$I$12+'Setting key Duty'!$I$11)</f>
        <v/>
      </c>
      <c r="BC39" s="313">
        <f>COUNTIF(D39:AI39,"*$L*")</f>
        <v/>
      </c>
      <c r="BD39" s="313">
        <f>BC39*('Setting key Duty'!$I$13+'Setting key Duty'!$I$9)</f>
        <v/>
      </c>
      <c r="BE39" s="313">
        <f>COUNTIF(D39:AI39,"*$M*")</f>
        <v/>
      </c>
      <c r="BF39" s="313">
        <f>BE39*('Setting key Duty'!$I$8+'Setting key Duty'!$I$9+'Setting key Duty'!$I$12)</f>
        <v/>
      </c>
      <c r="BG39" s="313">
        <f>COUNTIF(D39:AI39,"*$N*")</f>
        <v/>
      </c>
      <c r="BH39" s="313">
        <f>COUNTIF(D39:AI39,"*$PM*")</f>
        <v/>
      </c>
      <c r="BI39" s="313">
        <f>BH39*('Setting key Duty'!$I$9)</f>
        <v/>
      </c>
      <c r="BJ39" s="313">
        <f>COUNTIF(D39:AI39,"*$AM*")</f>
        <v/>
      </c>
      <c r="BK39" s="313">
        <f>BJ39*('Setting key Duty'!$I$12+'Setting key Duty'!$I$8)</f>
        <v/>
      </c>
      <c r="BL39" s="313">
        <f>COUNTIF(C39:AI39,"*$FC*")</f>
        <v/>
      </c>
      <c r="BM39" s="313">
        <f>BL39*('Setting key Duty'!$J$11+'Setting key Duty'!$I$8)</f>
        <v/>
      </c>
      <c r="BN39" s="313">
        <f>COUNTIF($C39:$AG39,BN$4)</f>
        <v/>
      </c>
      <c r="BO39" s="313">
        <f>COUNTIF($C39:$AG39,BO$4)</f>
        <v/>
      </c>
      <c r="BP39" s="313" t="n"/>
      <c r="BQ39" s="345" t="n"/>
    </row>
    <row r="40" ht="19.5" customHeight="1">
      <c r="A40" s="309" t="n"/>
      <c r="B40" s="354" t="n"/>
      <c r="C40" s="350" t="n"/>
      <c r="D40" s="317" t="n"/>
      <c r="E40" s="106" t="n"/>
      <c r="F40" s="106" t="n"/>
      <c r="G40" s="106" t="n"/>
      <c r="H40" s="106" t="n"/>
      <c r="I40" s="106" t="n"/>
      <c r="J40" s="317" t="n"/>
      <c r="K40" s="324" t="n"/>
      <c r="L40" s="324" t="n"/>
      <c r="M40" s="155" t="n"/>
      <c r="N40" s="350" t="n"/>
      <c r="O40" s="324" t="n"/>
      <c r="P40" s="317" t="n"/>
      <c r="Q40" s="106" t="n"/>
      <c r="R40" s="106" t="n"/>
      <c r="S40" s="106" t="n"/>
      <c r="T40" s="350" t="n"/>
      <c r="U40" s="106" t="n"/>
      <c r="V40" s="317" t="n"/>
      <c r="W40" s="106" t="n"/>
      <c r="X40" s="317" t="n"/>
      <c r="Y40" s="106" t="n"/>
      <c r="Z40" s="106" t="n"/>
      <c r="AA40" s="106" t="n"/>
      <c r="AB40" s="106" t="n"/>
      <c r="AC40" s="106" t="n"/>
      <c r="AD40" s="317" t="n"/>
      <c r="AE40" s="317" t="n"/>
      <c r="AF40" s="317" t="n"/>
      <c r="AG40" s="350" t="n"/>
      <c r="AH40" s="317" t="n"/>
      <c r="AI40" s="311" t="n"/>
      <c r="AJ40" s="312" t="n"/>
      <c r="AK40" s="311" t="n"/>
      <c r="AL40" s="344" t="n"/>
      <c r="AM40" s="344" t="n"/>
      <c r="AN40" s="344" t="n"/>
      <c r="AO40" s="344" t="n"/>
      <c r="AP40" s="246" t="n"/>
      <c r="AQ40" s="313">
        <f>SUMPRODUCT(--WEEKDAY(C$3:AG$3,2)&lt;6,--((C40:AG40="DM"))+(C40:AG40="CS1")+((C40:AG40="CS2"))+(C40:AG40="SB1")+(C40:AG40="AE")+(C40:AG40="EM"))</f>
        <v/>
      </c>
      <c r="AR40" s="246" t="n"/>
      <c r="AS40" s="238">
        <f>SUMPRODUCT(--WEEKDAY(C$3:AG$3,2)&gt;5,--((C40:AG40="DM"))+(C40:AG40="CS1")+((C40:AG40="CS2"))+(C40:AG40="SB1")+(C40:AG40="AE")+(C40:AG40="EM"))</f>
        <v/>
      </c>
      <c r="AT40" s="246" t="n"/>
      <c r="AU40" s="238">
        <f>(AQ40-AR40)/2+(AS40-AT40)</f>
        <v/>
      </c>
      <c r="AV40" s="238">
        <f>AI40+AJ40+AK40+AL40+AN40+AO40</f>
        <v/>
      </c>
      <c r="AW40" s="238">
        <f>BG40+BH40+BJ40+BE40+BC40+BA40+BL40</f>
        <v/>
      </c>
      <c r="AX40" s="238">
        <f>AU40+AY40</f>
        <v/>
      </c>
      <c r="AY40" s="313">
        <f>(BJ40*('Setting key Duty'!$I$8+'Setting key Duty'!$I$12))+(BH40*'Setting key Duty'!$I$9)+(BC40*('Setting key Duty'!$I$13+'Setting key Duty'!$I$9))+(BA40*('Setting key Duty'!$I$13+'Setting key Duty'!$I$12+'Setting key Duty'!$I$11))+(BE40*('Setting key Duty'!$I$8+'Setting key Duty'!$I$9+'Setting key Duty'!$I$12))</f>
        <v/>
      </c>
      <c r="AZ40" s="313">
        <f>COUNTIF(C40:Y40,"*BRT*")</f>
        <v/>
      </c>
      <c r="BA40" s="313">
        <f>COUNTIF(A40:AI40,"*$BTP*")</f>
        <v/>
      </c>
      <c r="BB40" s="313">
        <f>BA40*('Setting key Duty'!$I$13+'Setting key Duty'!$I$12+'Setting key Duty'!$I$11)</f>
        <v/>
      </c>
      <c r="BC40" s="313">
        <f>COUNTIF(D40:AI40,"*$L*")</f>
        <v/>
      </c>
      <c r="BD40" s="313">
        <f>BC40*('Setting key Duty'!$I$13+'Setting key Duty'!$I$9)</f>
        <v/>
      </c>
      <c r="BE40" s="313">
        <f>COUNTIF(D40:AI40,"*$M*")</f>
        <v/>
      </c>
      <c r="BF40" s="313">
        <f>BE40*('Setting key Duty'!$I$8+'Setting key Duty'!$I$9+'Setting key Duty'!$I$12)</f>
        <v/>
      </c>
      <c r="BG40" s="313">
        <f>COUNTIF(D40:AI40,"*$N*")</f>
        <v/>
      </c>
      <c r="BH40" s="313">
        <f>COUNTIF(D40:AI40,"*$PM*")</f>
        <v/>
      </c>
      <c r="BI40" s="313">
        <f>BH40*('Setting key Duty'!$I$9)</f>
        <v/>
      </c>
      <c r="BJ40" s="313">
        <f>COUNTIF(D40:AI40,"*$AM*")</f>
        <v/>
      </c>
      <c r="BK40" s="313">
        <f>BJ40*('Setting key Duty'!$I$12+'Setting key Duty'!$I$8)</f>
        <v/>
      </c>
      <c r="BL40" s="313">
        <f>COUNTIF(C40:AI40,"*$FC*")</f>
        <v/>
      </c>
      <c r="BM40" s="313">
        <f>BL40*('Setting key Duty'!$J$11+'Setting key Duty'!$I$8)</f>
        <v/>
      </c>
      <c r="BN40" s="313">
        <f>COUNTIF($C40:$AG40,BN$4)</f>
        <v/>
      </c>
      <c r="BO40" s="313">
        <f>COUNTIF($C40:$AG40,BO$4)</f>
        <v/>
      </c>
      <c r="BP40" s="313" t="n"/>
      <c r="BQ40" s="345" t="n"/>
    </row>
    <row r="41" ht="19.5" customHeight="1">
      <c r="A41" s="309" t="n"/>
      <c r="B41" s="354" t="inlineStr">
        <is>
          <t>Leave a blank row after the last name ^</t>
        </is>
      </c>
      <c r="C41" s="355" t="n"/>
      <c r="D41" s="317" t="n"/>
      <c r="E41" s="317" t="n"/>
      <c r="F41" s="317" t="n"/>
      <c r="G41" s="317" t="n"/>
      <c r="H41" s="317" t="n"/>
      <c r="I41" s="317" t="n"/>
      <c r="J41" s="317" t="n"/>
      <c r="K41" s="317" t="n"/>
      <c r="L41" s="317" t="n"/>
      <c r="N41" s="350" t="n"/>
      <c r="O41" s="317" t="n"/>
      <c r="P41" s="317" t="n"/>
      <c r="Q41" s="106" t="n"/>
      <c r="R41" s="106" t="n"/>
      <c r="S41" s="317" t="n"/>
      <c r="T41" s="350" t="n"/>
      <c r="U41" s="198" t="n"/>
      <c r="V41" s="317" t="n"/>
      <c r="W41" s="317" t="n"/>
      <c r="X41" s="317" t="n"/>
      <c r="Y41" s="356" t="n"/>
      <c r="Z41" s="356" t="n"/>
      <c r="AA41" s="356" t="n"/>
      <c r="AB41" s="356" t="n"/>
      <c r="AC41" s="356" t="n"/>
      <c r="AD41" s="356" t="n"/>
      <c r="AE41" s="317" t="n"/>
      <c r="AF41" s="317" t="n"/>
      <c r="AG41" s="350" t="n"/>
      <c r="AH41" s="317" t="n"/>
      <c r="AI41" s="311">
        <f>COUNTIF($C41:$AG41,AI$4)</f>
        <v/>
      </c>
      <c r="AJ41" s="312">
        <f>COUNTIF($C41:$AG41,AJ$4)</f>
        <v/>
      </c>
      <c r="AK41" s="311">
        <f>COUNTIF($C41:$AG41,AK$4)</f>
        <v/>
      </c>
      <c r="AL41" s="344">
        <f>COUNTIF($C41:$AG41,AL$4)</f>
        <v/>
      </c>
      <c r="AM41" s="344">
        <f>COUNTIF($C41:$AG41,AM$4)</f>
        <v/>
      </c>
      <c r="AN41" s="344">
        <f>COUNTIF($C41:$AG41,AN$4)</f>
        <v/>
      </c>
      <c r="AO41" s="344">
        <f>COUNTIF($C41:$AG41,AO$4)</f>
        <v/>
      </c>
      <c r="AP41" s="246" t="n"/>
      <c r="AQ41" s="313" t="n"/>
      <c r="AR41" s="246" t="n"/>
      <c r="AS41" s="238" t="n"/>
      <c r="AT41" s="246" t="n"/>
      <c r="AU41" s="246" t="n"/>
      <c r="AV41" s="238" t="n"/>
      <c r="AW41" s="238" t="n"/>
      <c r="AX41" s="238" t="n"/>
      <c r="AY41" s="313" t="n"/>
      <c r="AZ41" s="313" t="n"/>
      <c r="BA41" s="313" t="n"/>
      <c r="BB41" s="313" t="n"/>
      <c r="BC41" s="313" t="n"/>
      <c r="BD41" s="313" t="n"/>
      <c r="BE41" s="313" t="n"/>
      <c r="BF41" s="313" t="n"/>
      <c r="BG41" s="313" t="n"/>
      <c r="BH41" s="313" t="n"/>
      <c r="BI41" s="313" t="n"/>
      <c r="BJ41" s="313" t="n"/>
      <c r="BK41" s="313" t="n"/>
      <c r="BL41" s="313" t="n"/>
      <c r="BM41" s="313" t="n"/>
      <c r="BN41" s="344" t="n"/>
      <c r="BO41" s="344" t="n"/>
      <c r="BP41" s="344" t="n"/>
      <c r="BQ41" s="345" t="n"/>
    </row>
    <row r="42" ht="19.5" customHeight="1">
      <c r="A42" s="309" t="n"/>
      <c r="B42" s="357" t="n"/>
      <c r="C42" s="358" t="n"/>
      <c r="D42" s="359" t="n"/>
      <c r="E42" s="359" t="n"/>
      <c r="F42" s="359" t="n"/>
      <c r="G42" s="359" t="n"/>
      <c r="H42" s="358" t="n"/>
      <c r="I42" s="358" t="n"/>
      <c r="J42" s="358" t="n"/>
      <c r="K42" s="358" t="n"/>
      <c r="L42" s="358" t="n"/>
      <c r="M42" s="358" t="n"/>
      <c r="N42" s="358" t="n"/>
      <c r="O42" s="358" t="n"/>
      <c r="P42" s="358" t="n"/>
      <c r="Q42" s="358" t="n"/>
      <c r="R42" s="358" t="n"/>
      <c r="S42" s="358" t="n"/>
      <c r="T42" s="358" t="n"/>
      <c r="U42" s="358" t="n"/>
      <c r="V42" s="358" t="n"/>
      <c r="W42" s="358" t="n"/>
      <c r="X42" s="358" t="n"/>
      <c r="Y42" s="358" t="n"/>
      <c r="Z42" s="358" t="n"/>
      <c r="AA42" s="358" t="n"/>
      <c r="AB42" s="358" t="n"/>
      <c r="AC42" s="358" t="n"/>
      <c r="AD42" s="358" t="n"/>
      <c r="AE42" s="358" t="n"/>
      <c r="AF42" s="358" t="n"/>
      <c r="AG42" s="358" t="n"/>
      <c r="AH42" s="360" t="n"/>
      <c r="AI42" s="361" t="n"/>
      <c r="AJ42" s="362" t="n"/>
      <c r="AK42" s="361" t="n"/>
      <c r="AL42" s="363" t="n"/>
      <c r="AM42" s="363" t="n"/>
      <c r="AN42" s="363" t="n"/>
      <c r="AO42" s="363" t="n"/>
      <c r="AP42" s="253" t="n"/>
      <c r="AQ42" s="253" t="n"/>
      <c r="AR42" s="253" t="n"/>
      <c r="AS42" s="253">
        <f>SUMPRODUCT(--WEEKDAY(C$3:AG$3,2)&gt;5,--((C42:AG42="DM"))+(C42:AG42="CS1")+((C42:AG42="CS2"))+(C42:AG42="SB1")+(C42:AG42="AE")+(C42:AG42="EM"))</f>
        <v/>
      </c>
      <c r="AT42" s="253" t="n"/>
      <c r="AU42" s="253">
        <f>(AQ42-AR42)/2+(AS42-AT42)</f>
        <v/>
      </c>
      <c r="AV42" s="253" t="n"/>
      <c r="AW42" s="253" t="n"/>
      <c r="AX42" s="253" t="n"/>
      <c r="AY42" s="363" t="n"/>
      <c r="AZ42" s="363" t="n"/>
      <c r="BA42" s="363" t="n"/>
      <c r="BB42" s="363" t="n"/>
      <c r="BC42" s="363" t="n"/>
      <c r="BD42" s="363" t="n"/>
      <c r="BE42" s="363" t="n"/>
      <c r="BF42" s="363" t="n"/>
      <c r="BG42" s="363" t="n"/>
      <c r="BH42" s="363" t="n"/>
      <c r="BI42" s="363" t="n"/>
      <c r="BJ42" s="363" t="n"/>
      <c r="BK42" s="363" t="n"/>
      <c r="BL42" s="363" t="n"/>
      <c r="BM42" s="363" t="n"/>
      <c r="BN42" s="363" t="n"/>
      <c r="BO42" s="363" t="n"/>
      <c r="BP42" s="363" t="n"/>
      <c r="BQ42" s="364" t="n"/>
    </row>
    <row r="43" ht="19.5" customHeight="1">
      <c r="A43" s="309" t="n"/>
      <c r="B43" s="365" t="inlineStr">
        <is>
          <t>DM</t>
        </is>
      </c>
      <c r="C43" s="366">
        <f>VLOOKUP("DM",C4:C41,1,FALSE)</f>
        <v/>
      </c>
      <c r="D43" s="366">
        <f>VLOOKUP("DM",D4:D41,1,FALSE)</f>
        <v/>
      </c>
      <c r="E43" s="366">
        <f>VLOOKUP("DM",E1:E41,1,FALSE)</f>
        <v/>
      </c>
      <c r="F43" s="366">
        <f>VLOOKUP("DM",F4:F41,1,FALSE)</f>
        <v/>
      </c>
      <c r="G43" s="366">
        <f>VLOOKUP("DM",G4:G41,1,FALSE)</f>
        <v/>
      </c>
      <c r="H43" s="366">
        <f>VLOOKUP("DM",H4:H41,1,FALSE)</f>
        <v/>
      </c>
      <c r="I43" s="366">
        <f>VLOOKUP("DM",I4:I41,1,FALSE)</f>
        <v/>
      </c>
      <c r="J43" s="366">
        <f>VLOOKUP("DM",J4:J41,1,FALSE)</f>
        <v/>
      </c>
      <c r="K43" s="366">
        <f>VLOOKUP("DM",K4:K41,1,FALSE)</f>
        <v/>
      </c>
      <c r="L43" s="366">
        <f>VLOOKUP("DM",L4:L41,1,FALSE)</f>
        <v/>
      </c>
      <c r="M43" s="366">
        <f>VLOOKUP("DM",M4:M27,1,FALSE)</f>
        <v/>
      </c>
      <c r="N43" s="366">
        <f>VLOOKUP("DM",N4:N41,1,FALSE)</f>
        <v/>
      </c>
      <c r="O43" s="366">
        <f>VLOOKUP("DM",O4:O41,1,FALSE)</f>
        <v/>
      </c>
      <c r="P43" s="366">
        <f>VLOOKUP("DM",P4:P41,1,FALSE)</f>
        <v/>
      </c>
      <c r="Q43" s="366">
        <f>VLOOKUP("DM",Q4:Q30,1,FALSE)</f>
        <v/>
      </c>
      <c r="R43" s="366">
        <f>VLOOKUP("DM",R4:R25,1,FALSE)</f>
        <v/>
      </c>
      <c r="S43" s="366">
        <f>VLOOKUP("DM",S4:S41,1,FALSE)</f>
        <v/>
      </c>
      <c r="T43" s="366">
        <f>VLOOKUP("DM",T4:T41,1,FALSE)</f>
        <v/>
      </c>
      <c r="U43" s="366">
        <f>VLOOKUP("DM",U4:U41,1,FALSE)</f>
        <v/>
      </c>
      <c r="V43" s="366">
        <f>VLOOKUP("DM",V4:V25,1,FALSE)</f>
        <v/>
      </c>
      <c r="W43" s="366">
        <f>VLOOKUP("DM",W4:W25,1,FALSE)</f>
        <v/>
      </c>
      <c r="X43" s="366">
        <f>VLOOKUP("DM",X4:X41,1,FALSE)</f>
        <v/>
      </c>
      <c r="Y43" s="366">
        <f>VLOOKUP("DM",Y4:Y41,1,FALSE)</f>
        <v/>
      </c>
      <c r="Z43" s="366">
        <f>VLOOKUP("DM",Z4:Z41,1,FALSE)</f>
        <v/>
      </c>
      <c r="AA43" s="366">
        <f>VLOOKUP("DM",AA1:AA41,1,FALSE)</f>
        <v/>
      </c>
      <c r="AB43" s="366">
        <f>VLOOKUP("DM",AB4:AB41,1,FALSE)</f>
        <v/>
      </c>
      <c r="AC43" s="366">
        <f>VLOOKUP("DM",AC4:AC41,1,FALSE)</f>
        <v/>
      </c>
      <c r="AD43" s="366">
        <f>VLOOKUP("DM",AD4:AD41,1,FALSE)</f>
        <v/>
      </c>
      <c r="AE43" s="366">
        <f>VLOOKUP("DM",AE4:AE41,1,FALSE)</f>
        <v/>
      </c>
      <c r="AF43" s="366">
        <f>VLOOKUP("DM",AF4:AF41,1,FALSE)</f>
        <v/>
      </c>
      <c r="AG43" s="366">
        <f>VLOOKUP("DM",AG4:AG41,1,FALSE)</f>
        <v/>
      </c>
      <c r="AH43" s="366">
        <f>VLOOKUP("DM",AH4:AH41,1,FALSE)</f>
        <v/>
      </c>
      <c r="AI43" s="311" t="n"/>
      <c r="AJ43" s="312" t="n"/>
      <c r="AK43" s="311" t="n"/>
      <c r="AL43" s="313" t="n"/>
      <c r="AM43" s="313" t="n"/>
      <c r="AN43" s="313" t="n"/>
      <c r="AO43" s="313" t="n"/>
      <c r="AP43" s="313" t="n"/>
      <c r="AQ43" s="313" t="n"/>
      <c r="AR43" s="313" t="n"/>
      <c r="AS43" s="313" t="n"/>
      <c r="AT43" s="313" t="n"/>
      <c r="AU43" s="313" t="n"/>
      <c r="AV43" s="313" t="n"/>
      <c r="AW43" s="313" t="n"/>
      <c r="AX43" s="313" t="n"/>
      <c r="AY43" s="313" t="n"/>
      <c r="AZ43" s="313" t="n"/>
      <c r="BA43" s="313" t="n"/>
      <c r="BB43" s="313" t="n"/>
      <c r="BC43" s="313" t="n"/>
      <c r="BD43" s="313" t="n"/>
      <c r="BE43" s="313" t="n"/>
      <c r="BF43" s="313" t="n"/>
      <c r="BG43" s="313" t="n"/>
      <c r="BH43" s="313" t="n"/>
      <c r="BI43" s="313" t="n"/>
      <c r="BJ43" s="313" t="n"/>
      <c r="BK43" s="313" t="n"/>
      <c r="BL43" s="313" t="n"/>
      <c r="BM43" s="313" t="n"/>
      <c r="BN43" s="313" t="n"/>
      <c r="BO43" s="313" t="n"/>
      <c r="BP43" s="313" t="n"/>
      <c r="BQ43" s="314" t="n"/>
    </row>
    <row r="44" ht="19.5" customHeight="1">
      <c r="A44" s="309">
        <f>LTE()</f>
        <v/>
      </c>
      <c r="B44" s="368" t="inlineStr">
        <is>
          <t>CS1</t>
        </is>
      </c>
      <c r="C44" s="366">
        <f>VLOOKUP("CS1",C5:C41,1,FALSE)</f>
        <v/>
      </c>
      <c r="D44" s="366">
        <f>VLOOKUP("CS1",D1:D41,1,FALSE)</f>
        <v/>
      </c>
      <c r="E44" s="366">
        <f>VLOOKUP("CS1",E1:E41,1,FALSE)</f>
        <v/>
      </c>
      <c r="F44" s="366">
        <f>VLOOKUP("CS1",F8:F41,1,FALSE)</f>
        <v/>
      </c>
      <c r="G44" s="366">
        <f>VLOOKUP("CS1",G1:G41,1,FALSE)</f>
        <v/>
      </c>
      <c r="H44" s="366">
        <f>VLOOKUP("CS1",H6:H41,1,FALSE)</f>
        <v/>
      </c>
      <c r="I44" s="366">
        <f>VLOOKUP("CS1",I7:I41,1,FALSE)</f>
        <v/>
      </c>
      <c r="J44" s="366">
        <f>VLOOKUP("CS1",J4:J41,1,FALSE)</f>
        <v/>
      </c>
      <c r="K44" s="366">
        <f>VLOOKUP("CS1",K1:K41,1,FALSE)</f>
        <v/>
      </c>
      <c r="L44" s="366">
        <f>VLOOKUP("CS1",L1:L41,1,FALSE)</f>
        <v/>
      </c>
      <c r="M44" s="366">
        <f>VLOOKUP("CS1",M7:M27,1,FALSE)</f>
        <v/>
      </c>
      <c r="N44" s="366">
        <f>VLOOKUP("CS1",N6:N41,1,FALSE)</f>
        <v/>
      </c>
      <c r="O44" s="366">
        <f>VLOOKUP("CS1",O1:O41,1,FALSE)</f>
        <v/>
      </c>
      <c r="P44" s="366">
        <f>VLOOKUP("CS1",P5:P41,1,FALSE)</f>
        <v/>
      </c>
      <c r="Q44" s="366">
        <f>VLOOKUP("CS1",Q6:Q30,1,FALSE)</f>
        <v/>
      </c>
      <c r="R44" s="366">
        <f>VLOOKUP("CS1",R6:R25,1,FALSE)</f>
        <v/>
      </c>
      <c r="S44" s="366">
        <f>VLOOKUP("CS1",S1:S41,1,FALSE)</f>
        <v/>
      </c>
      <c r="T44" s="366">
        <f>VLOOKUP("CS1",T1:T41,1,FALSE)</f>
        <v/>
      </c>
      <c r="U44" s="366">
        <f>VLOOKUP("CS1",U6:U41,1,FALSE)</f>
        <v/>
      </c>
      <c r="V44" s="366">
        <f>VLOOKUP("CS1",V1:V35,1,FALSE)</f>
        <v/>
      </c>
      <c r="W44" s="366">
        <f>VLOOKUP("CS1",W1:W25,1,FALSE)</f>
        <v/>
      </c>
      <c r="X44" s="366">
        <f>VLOOKUP("CS1",X1:X41,1,FALSE)</f>
        <v/>
      </c>
      <c r="Y44" s="366">
        <f>VLOOKUP("CS1",Y8:Y41,1,FALSE)</f>
        <v/>
      </c>
      <c r="Z44" s="366">
        <f>VLOOKUP("CS1",Z1:Z41,1,FALSE)</f>
        <v/>
      </c>
      <c r="AA44" s="366">
        <f>VLOOKUP("CS1",AA1:AA41,1,FALSE)</f>
        <v/>
      </c>
      <c r="AB44" s="366">
        <f>VLOOKUP("CS1",AB5:AB41,1,FALSE)</f>
        <v/>
      </c>
      <c r="AC44" s="366">
        <f>VLOOKUP("CS1",AC1:AC41,1,FALSE)</f>
        <v/>
      </c>
      <c r="AD44" s="366">
        <f>VLOOKUP("CS1",AD1:AD41,1,FALSE)</f>
        <v/>
      </c>
      <c r="AE44" s="366">
        <f>VLOOKUP("CS1",AE1:AE41,1,FALSE)</f>
        <v/>
      </c>
      <c r="AF44" s="366">
        <f>VLOOKUP("CS1",AF7:AF41,1,FALSE)</f>
        <v/>
      </c>
      <c r="AG44" s="366">
        <f>VLOOKUP("CS1",AG1:AG41,1,FALSE)</f>
        <v/>
      </c>
      <c r="AH44" s="366">
        <f>VLOOKUP("CS1",AH1:AH41,1,FALSE)</f>
        <v/>
      </c>
      <c r="AI44" s="311" t="n"/>
      <c r="AJ44" s="312" t="n"/>
      <c r="AK44" s="311" t="n"/>
      <c r="AL44" s="313" t="n"/>
      <c r="AM44" s="313" t="n"/>
      <c r="AN44" s="313" t="n"/>
      <c r="AO44" s="313" t="n"/>
      <c r="AP44" s="313" t="n"/>
      <c r="AQ44" s="313" t="n"/>
      <c r="AR44" s="313" t="n"/>
      <c r="AS44" s="313" t="n"/>
      <c r="AT44" s="313" t="n"/>
      <c r="AU44" s="313" t="n"/>
      <c r="AV44" s="313" t="n"/>
      <c r="AW44" s="313" t="n"/>
      <c r="AX44" s="313" t="n"/>
      <c r="AY44" s="313" t="n"/>
      <c r="AZ44" s="313" t="n"/>
      <c r="BA44" s="313" t="n"/>
      <c r="BB44" s="313" t="n"/>
      <c r="BC44" s="313" t="n"/>
      <c r="BD44" s="313" t="n"/>
      <c r="BE44" s="313" t="n"/>
      <c r="BF44" s="313" t="n"/>
      <c r="BG44" s="313" t="n"/>
      <c r="BH44" s="313" t="n"/>
      <c r="BI44" s="313" t="n"/>
      <c r="BJ44" s="313" t="n"/>
      <c r="BK44" s="313" t="n"/>
      <c r="BL44" s="313" t="n"/>
      <c r="BM44" s="313" t="n"/>
      <c r="BN44" s="313" t="n"/>
      <c r="BO44" s="313" t="n"/>
      <c r="BP44" s="313" t="n"/>
      <c r="BQ44" s="314" t="n"/>
    </row>
    <row r="45" ht="19.5" customHeight="1">
      <c r="A45" s="309" t="n"/>
      <c r="B45" s="369" t="inlineStr">
        <is>
          <t>CS2</t>
        </is>
      </c>
      <c r="C45" s="366">
        <f>VLOOKUP("CS2",C6:C41,1,FALSE)</f>
        <v/>
      </c>
      <c r="D45" s="366">
        <f>VLOOKUP("CS2",D9:D41,1,FALSE)</f>
        <v/>
      </c>
      <c r="E45" s="366">
        <f>VLOOKUP("CS2",E8:E41,1,FALSE)</f>
        <v/>
      </c>
      <c r="F45" s="366">
        <f>VLOOKUP("CS2",F8:F41,1,FALSE)</f>
        <v/>
      </c>
      <c r="G45" s="366">
        <f>VLOOKUP("CS2",G1:G41,1,FALSE)</f>
        <v/>
      </c>
      <c r="H45" s="366">
        <f>VLOOKUP("CS2",H1:H41,1,FALSE)</f>
        <v/>
      </c>
      <c r="I45" s="366">
        <f>VLOOKUP("CS2",I7:I41,1,FALSE)</f>
        <v/>
      </c>
      <c r="J45" s="366">
        <f>VLOOKUP("CS2",J4:J41,1,FALSE)</f>
        <v/>
      </c>
      <c r="K45" s="366">
        <f>VLOOKUP("CS2",K5:K41,1,FALSE)</f>
        <v/>
      </c>
      <c r="L45" s="366">
        <f>VLOOKUP("CS2",L4:L41,1,FALSE)</f>
        <v/>
      </c>
      <c r="M45" s="366">
        <f>VLOOKUP("CS2",M1:M27,1,FALSE)</f>
        <v/>
      </c>
      <c r="N45" s="366">
        <f>VLOOKUP("CS2",N1:N41,1,FALSE)</f>
        <v/>
      </c>
      <c r="O45" s="366">
        <f>VLOOKUP("CS2",O1:O41,1,FALSE)</f>
        <v/>
      </c>
      <c r="P45" s="366">
        <f>VLOOKUP("CS2",P1:P41,1,FALSE)</f>
        <v/>
      </c>
      <c r="Q45" s="366">
        <f>VLOOKUP("CS2",Q6:Q30,1,FALSE)</f>
        <v/>
      </c>
      <c r="R45" s="366">
        <f>VLOOKUP("CS2",R6:R25,1,FALSE)</f>
        <v/>
      </c>
      <c r="S45" s="366">
        <f>VLOOKUP("CS2",S1:S41,1,FALSE)</f>
        <v/>
      </c>
      <c r="T45" s="366">
        <f>VLOOKUP("CS2",T1:T41,1,FALSE)</f>
        <v/>
      </c>
      <c r="U45" s="366">
        <f>VLOOKUP("CS2",U1:U41,1,FALSE)</f>
        <v/>
      </c>
      <c r="V45" s="366">
        <f>VLOOKUP("CS2",V1:V25,1,FALSE)</f>
        <v/>
      </c>
      <c r="W45" s="366">
        <f>VLOOKUP("CS2",W1:W35,1,FALSE)</f>
        <v/>
      </c>
      <c r="X45" s="366">
        <f>VLOOKUP("CS2",X8:X41,1,FALSE)</f>
        <v/>
      </c>
      <c r="Y45" s="366">
        <f>VLOOKUP("CS2",Y1:Y41,1,FALSE)</f>
        <v/>
      </c>
      <c r="Z45" s="366">
        <f>VLOOKUP("CS2",Z1:Z41,1,FALSE)</f>
        <v/>
      </c>
      <c r="AA45" s="366">
        <f>VLOOKUP("CS2",AA1:AA41,1,FALSE)</f>
        <v/>
      </c>
      <c r="AB45" s="366">
        <f>VLOOKUP("CS2",AB1:AB41,1,FALSE)</f>
        <v/>
      </c>
      <c r="AC45" s="366">
        <f>VLOOKUP("CS2",AC8:AC41,1,FALSE)</f>
        <v/>
      </c>
      <c r="AD45" s="366">
        <f>VLOOKUP("CS2",AD1:AD41,1,FALSE)</f>
        <v/>
      </c>
      <c r="AE45" s="366">
        <f>VLOOKUP("CS2",AE1:AE41,1,FALSE)</f>
        <v/>
      </c>
      <c r="AF45" s="366">
        <f>VLOOKUP("CS2",AF1:AF41,1,FALSE)</f>
        <v/>
      </c>
      <c r="AG45" s="366">
        <f>VLOOKUP("CS2",AG7:AG41,1,FALSE)</f>
        <v/>
      </c>
      <c r="AH45" s="366">
        <f>VLOOKUP("CS2",AH7:AH41,1,FALSE)</f>
        <v/>
      </c>
      <c r="AI45" s="311" t="n"/>
      <c r="AJ45" s="312" t="n"/>
      <c r="AK45" s="311" t="n"/>
      <c r="AL45" s="313" t="n"/>
      <c r="AM45" s="313" t="n"/>
      <c r="AN45" s="313" t="n"/>
      <c r="AO45" s="313" t="n"/>
      <c r="AP45" s="313" t="n"/>
      <c r="AQ45" s="313" t="n"/>
      <c r="AR45" s="313" t="n"/>
      <c r="AS45" s="313" t="n"/>
      <c r="AT45" s="313" t="n"/>
      <c r="AU45" s="313" t="n"/>
      <c r="AV45" s="313" t="n"/>
      <c r="AW45" s="313" t="n"/>
      <c r="AX45" s="313" t="n"/>
      <c r="AY45" s="313" t="n"/>
      <c r="AZ45" s="313" t="n"/>
      <c r="BA45" s="313" t="n"/>
      <c r="BB45" s="313" t="n"/>
      <c r="BC45" s="313" t="n"/>
      <c r="BD45" s="313" t="n"/>
      <c r="BE45" s="313" t="n"/>
      <c r="BF45" s="313" t="n"/>
      <c r="BG45" s="313" t="n"/>
      <c r="BH45" s="313" t="n"/>
      <c r="BI45" s="313" t="n"/>
      <c r="BJ45" s="313" t="n"/>
      <c r="BK45" s="313" t="n"/>
      <c r="BL45" s="313" t="n"/>
      <c r="BM45" s="313" t="n"/>
      <c r="BN45" s="313" t="n"/>
      <c r="BO45" s="313" t="n"/>
      <c r="BP45" s="313" t="n"/>
      <c r="BQ45" s="314" t="n"/>
    </row>
    <row r="46" ht="19.5" customHeight="1">
      <c r="A46" s="309" t="n"/>
      <c r="B46" s="370" t="inlineStr">
        <is>
          <t>SB1</t>
        </is>
      </c>
      <c r="C46" s="366">
        <f>VLOOKUP("SB1",C6:C41,1,FALSE)</f>
        <v/>
      </c>
      <c r="D46" s="366">
        <f>VLOOKUP("SB1",D3:D41,1,FALSE)</f>
        <v/>
      </c>
      <c r="E46" s="366">
        <f>VLOOKUP("SB1",E1:E41,1,FALSE)</f>
        <v/>
      </c>
      <c r="F46" s="366">
        <f>VLOOKUP("SB1",F8:F41,1,FALSE)</f>
        <v/>
      </c>
      <c r="G46" s="366">
        <f>VLOOKUP("SB1",G6:G41,1,FALSE)</f>
        <v/>
      </c>
      <c r="H46" s="366">
        <f>VLOOKUP("SB1",H6:H41,1,FALSE)</f>
        <v/>
      </c>
      <c r="I46" s="366">
        <f>VLOOKUP("SB1",I1:I41,1,FALSE)</f>
        <v/>
      </c>
      <c r="J46" s="366">
        <f>VLOOKUP("SB1",J4:J41,1,FALSE)</f>
        <v/>
      </c>
      <c r="K46" s="366">
        <f>VLOOKUP("SB1",K6:K41,1,FALSE)</f>
        <v/>
      </c>
      <c r="L46" s="366">
        <f>VLOOKUP("SB1",L1:L41,1,FALSE)</f>
        <v/>
      </c>
      <c r="M46" s="366">
        <f>VLOOKUP("SB1",M1:M27,1,FALSE)</f>
        <v/>
      </c>
      <c r="N46" s="366">
        <f>VLOOKUP("SB1",N6:N41,1,FALSE)</f>
        <v/>
      </c>
      <c r="O46" s="366">
        <f>VLOOKUP("SB1",O1:O41,1,FALSE)</f>
        <v/>
      </c>
      <c r="P46" s="366">
        <f>VLOOKUP("SB1",P1:P41,1,FALSE)</f>
        <v/>
      </c>
      <c r="Q46" s="366">
        <f>VLOOKUP("SB1",Q1:Q30,1,FALSE)</f>
        <v/>
      </c>
      <c r="R46" s="366">
        <f>VLOOKUP("SB1",R6:R34,1,FALSE)</f>
        <v/>
      </c>
      <c r="S46" s="366">
        <f>VLOOKUP("SB1",S1:S41,1,FALSE)</f>
        <v/>
      </c>
      <c r="T46" s="366">
        <f>VLOOKUP("SB1",T8:T41,1,FALSE)</f>
        <v/>
      </c>
      <c r="U46" s="366">
        <f>VLOOKUP("SB1",U1:U41,1,FALSE)</f>
        <v/>
      </c>
      <c r="V46" s="366">
        <f>VLOOKUP("SB1",V10:V35,1,FALSE)</f>
        <v/>
      </c>
      <c r="W46" s="366">
        <f>VLOOKUP("SB1",W5:W25,1,FALSE)</f>
        <v/>
      </c>
      <c r="X46" s="366">
        <f>VLOOKUP("SB1",X6:X41,1,FALSE)</f>
        <v/>
      </c>
      <c r="Y46" s="366">
        <f>VLOOKUP("SB1",Y1:Y41,1,FALSE)</f>
        <v/>
      </c>
      <c r="Z46" s="366">
        <f>VLOOKUP("SB1",Z6:Z41,1,FALSE)</f>
        <v/>
      </c>
      <c r="AA46" s="366">
        <f>VLOOKUP("SB1",AA1:AA41,1,FALSE)</f>
        <v/>
      </c>
      <c r="AB46" s="366">
        <f>VLOOKUP("SB1",AB1:AB41,1,FALSE)</f>
        <v/>
      </c>
      <c r="AC46" s="366">
        <f>VLOOKUP("SB1",AC1:AC41,1,FALSE)</f>
        <v/>
      </c>
      <c r="AD46" s="366">
        <f>VLOOKUP("SB1",AD8:AD41,1,FALSE)</f>
        <v/>
      </c>
      <c r="AE46" s="366">
        <f>VLOOKUP("SB1",AE8:AE41,1,FALSE)</f>
        <v/>
      </c>
      <c r="AF46" s="366">
        <f>VLOOKUP("SB1",AF7:AF41,1,FALSE)</f>
        <v/>
      </c>
      <c r="AG46" s="366">
        <f>VLOOKUP("SB1",AG7:AG41,1,FALSE)</f>
        <v/>
      </c>
      <c r="AH46" s="366">
        <f>VLOOKUP("SB1",AH7:AH41,1,FALSE)</f>
        <v/>
      </c>
      <c r="AI46" s="311" t="n"/>
      <c r="AJ46" s="312" t="n"/>
      <c r="AK46" s="311" t="n"/>
      <c r="AL46" s="313" t="n"/>
      <c r="AM46" s="313" t="n"/>
      <c r="AN46" s="313" t="n"/>
      <c r="AO46" s="313" t="n"/>
      <c r="AP46" s="313" t="n"/>
      <c r="AQ46" s="313" t="n"/>
      <c r="AR46" s="313" t="n"/>
      <c r="AS46" s="313" t="n"/>
      <c r="AT46" s="313" t="n"/>
      <c r="AU46" s="313" t="n"/>
      <c r="AV46" s="313" t="n"/>
      <c r="AW46" s="313" t="n"/>
      <c r="AX46" s="313" t="n"/>
      <c r="AY46" s="313" t="n"/>
      <c r="AZ46" s="313" t="n"/>
      <c r="BA46" s="313" t="n"/>
      <c r="BB46" s="313" t="n"/>
      <c r="BC46" s="313" t="n"/>
      <c r="BD46" s="313" t="n"/>
      <c r="BE46" s="313" t="n"/>
      <c r="BF46" s="313" t="n"/>
      <c r="BG46" s="313" t="n"/>
      <c r="BH46" s="313" t="n"/>
      <c r="BI46" s="313" t="n"/>
      <c r="BJ46" s="313" t="n"/>
      <c r="BK46" s="313" t="n"/>
      <c r="BL46" s="313" t="n"/>
      <c r="BM46" s="313" t="n"/>
      <c r="BN46" s="313" t="n"/>
      <c r="BO46" s="313" t="n"/>
      <c r="BP46" s="313" t="n"/>
      <c r="BQ46" s="314" t="n"/>
    </row>
    <row r="47" ht="19.5" customHeight="1">
      <c r="A47" s="309" t="n"/>
      <c r="B47" s="371" t="inlineStr">
        <is>
          <t>SB2</t>
        </is>
      </c>
      <c r="C47" s="366">
        <f>VLOOKUP("SB2",C6:C41,1,FALSE)</f>
        <v/>
      </c>
      <c r="D47" s="366">
        <f>VLOOKUP("SB2",D9:D41,1,FALSE)</f>
        <v/>
      </c>
      <c r="E47" s="366">
        <f>VLOOKUP("SB2",E8:E41,1,FALSE)</f>
        <v/>
      </c>
      <c r="F47" s="366">
        <f>VLOOKUP("SB2",F1:F41,1,FALSE)</f>
        <v/>
      </c>
      <c r="G47" s="366">
        <f>VLOOKUP("SB2",G8:G41,1,FALSE)</f>
        <v/>
      </c>
      <c r="H47" s="366">
        <f>VLOOKUP("SB2",H6:H41,1,FALSE)</f>
        <v/>
      </c>
      <c r="I47" s="366">
        <f>VLOOKUP("SB2",I7:I41,1,FALSE)</f>
        <v/>
      </c>
      <c r="J47" s="366">
        <f>VLOOKUP("SB2",J4:J41,1,FALSE)</f>
        <v/>
      </c>
      <c r="K47" s="366">
        <f>VLOOKUP("SB2",K6:K41,1,FALSE)</f>
        <v/>
      </c>
      <c r="L47" s="366">
        <f>VLOOKUP("SB2",L11:L41,1,FALSE)</f>
        <v/>
      </c>
      <c r="M47" s="366">
        <f>VLOOKUP("SB2",M8:M45,1,FALSE)</f>
        <v/>
      </c>
      <c r="N47" s="366">
        <f>VLOOKUP("SB2",N6:N41,1,FALSE)</f>
        <v/>
      </c>
      <c r="O47" s="366">
        <f>VLOOKUP("SB2",O8:O41,1,FALSE)</f>
        <v/>
      </c>
      <c r="P47" s="366">
        <f>VLOOKUP("SB2",P8:P41,1,FALSE)</f>
        <v/>
      </c>
      <c r="Q47" s="366">
        <f>VLOOKUP("SB2",Q11:Q40,1,FALSE)</f>
        <v/>
      </c>
      <c r="R47" s="366">
        <f>VLOOKUP("SB2",R6:R40,1,FALSE)</f>
        <v/>
      </c>
      <c r="S47" s="366">
        <f>VLOOKUP("SB2",S12:S41,1,FALSE)</f>
        <v/>
      </c>
      <c r="T47" s="366">
        <f>VLOOKUP("SB2",T8:T41,1,FALSE)</f>
        <v/>
      </c>
      <c r="U47" s="366">
        <f>VLOOKUP("SB2",U9:U41,1,FALSE)</f>
        <v/>
      </c>
      <c r="V47" s="366">
        <f>VLOOKUP("SB2",V5:V41,1,FALSE)</f>
        <v/>
      </c>
      <c r="W47" s="366">
        <f>VLOOKUP("SB2",W12:W40,1,FALSE)</f>
        <v/>
      </c>
      <c r="X47" s="366">
        <f>VLOOKUP("SB2",X8:X41,1,FALSE)</f>
        <v/>
      </c>
      <c r="Y47" s="366">
        <f>VLOOKUP("SB2",Y8:Y41,1,FALSE)</f>
        <v/>
      </c>
      <c r="Z47" s="366">
        <f>VLOOKUP("SB2",Z6:Z41,1,FALSE)</f>
        <v/>
      </c>
      <c r="AA47" s="366">
        <f>VLOOKUP("SB2",AA11:AA41,1,FALSE)</f>
        <v/>
      </c>
      <c r="AB47" s="366">
        <f>VLOOKUP("SB2",AB9:AB41,1,FALSE)</f>
        <v/>
      </c>
      <c r="AC47" s="366">
        <f>VLOOKUP("SB2",AC11:AC41,1,FALSE)</f>
        <v/>
      </c>
      <c r="AD47" s="366">
        <f>VLOOKUP("SB2",AD8:AD41,1,FALSE)</f>
        <v/>
      </c>
      <c r="AE47" s="366">
        <f>VLOOKUP("SB2",AE8:AE41,1,FALSE)</f>
        <v/>
      </c>
      <c r="AF47" s="366">
        <f>VLOOKUP("SB2",AF7:AF41,1,FALSE)</f>
        <v/>
      </c>
      <c r="AG47" s="366">
        <f>VLOOKUP("SB2",AG7:AG41,1,FALSE)</f>
        <v/>
      </c>
      <c r="AH47" s="366">
        <f>VLOOKUP("SB2",AH7:AH41,1,FALSE)</f>
        <v/>
      </c>
      <c r="AI47" s="311" t="n"/>
      <c r="AJ47" s="312" t="n"/>
      <c r="AK47" s="311" t="n"/>
      <c r="AL47" s="313" t="n"/>
      <c r="AM47" s="313" t="n"/>
      <c r="AN47" s="313" t="n"/>
      <c r="AO47" s="313" t="n"/>
      <c r="AP47" s="313" t="n"/>
      <c r="AQ47" s="313" t="n"/>
      <c r="AR47" s="313" t="n"/>
      <c r="AS47" s="313" t="n"/>
      <c r="AT47" s="313" t="n"/>
      <c r="AU47" s="313" t="n"/>
      <c r="AV47" s="313" t="n"/>
      <c r="AW47" s="313" t="n"/>
      <c r="AX47" s="313" t="n"/>
      <c r="AY47" s="313" t="n"/>
      <c r="AZ47" s="313" t="n"/>
      <c r="BA47" s="313" t="n"/>
      <c r="BB47" s="313" t="n"/>
      <c r="BC47" s="313" t="n"/>
      <c r="BD47" s="313" t="n"/>
      <c r="BE47" s="313" t="n"/>
      <c r="BF47" s="313" t="n"/>
      <c r="BG47" s="313" t="n"/>
      <c r="BH47" s="313" t="n"/>
      <c r="BI47" s="313" t="n"/>
      <c r="BJ47" s="313" t="n"/>
      <c r="BK47" s="313" t="n"/>
      <c r="BL47" s="313" t="n"/>
      <c r="BM47" s="313" t="n"/>
      <c r="BN47" s="313" t="n"/>
      <c r="BO47" s="313" t="n"/>
      <c r="BP47" s="313" t="n"/>
      <c r="BQ47" s="314" t="n"/>
    </row>
    <row r="48" ht="19.5" customHeight="1">
      <c r="A48" s="309" t="n"/>
      <c r="B48" s="372" t="inlineStr">
        <is>
          <t>AE</t>
        </is>
      </c>
      <c r="C48" s="366">
        <f>VLOOKUP("AE",C6:C41,1,FALSE)</f>
        <v/>
      </c>
      <c r="D48" s="366">
        <f>VLOOKUP("AE",D9:D41,1,FALSE)</f>
        <v/>
      </c>
      <c r="E48" s="366">
        <f>VLOOKUP("AE",E8:E41,1,FALSE)</f>
        <v/>
      </c>
      <c r="F48" s="366">
        <f>VLOOKUP("AE",F1:F41,1,FALSE)</f>
        <v/>
      </c>
      <c r="G48" s="366">
        <f>VLOOKUP("AE",G1:G41,1,FALSE)</f>
        <v/>
      </c>
      <c r="H48" s="366">
        <f>VLOOKUP("AE",H8:H41,1,FALSE)</f>
        <v/>
      </c>
      <c r="I48" s="366">
        <f>VLOOKUP("AE",I7:I41,1,FALSE)</f>
        <v/>
      </c>
      <c r="J48" s="366">
        <f>VLOOKUP("AE",J4:J41,1,FALSE)</f>
        <v/>
      </c>
      <c r="K48" s="366">
        <f>VLOOKUP("AE",K6:K41,1,FALSE)</f>
        <v/>
      </c>
      <c r="L48" s="366">
        <f>VLOOKUP("AE",L11:L41,1,FALSE)</f>
        <v/>
      </c>
      <c r="M48" s="366">
        <f>VLOOKUP("AE",M8:M45,1,FALSE)</f>
        <v/>
      </c>
      <c r="N48" s="366">
        <f>VLOOKUP("AE",N6:N41,1,FALSE)</f>
        <v/>
      </c>
      <c r="O48" s="366">
        <f>VLOOKUP("AE",O8:O41,1,FALSE)</f>
        <v/>
      </c>
      <c r="P48" s="366">
        <f>VLOOKUP("AE",P8:P41,1,FALSE)</f>
        <v/>
      </c>
      <c r="Q48" s="366">
        <f>VLOOKUP("AE",Q11:Q48,1,FALSE)</f>
        <v/>
      </c>
      <c r="R48" s="366">
        <f>VLOOKUP("AE",R6:R39,1,FALSE)</f>
        <v/>
      </c>
      <c r="S48" s="366">
        <f>VLOOKUP("AE",S12:S41,1,FALSE)</f>
        <v/>
      </c>
      <c r="T48" s="366">
        <f>VLOOKUP("AE",T8:T41,1,FALSE)</f>
        <v/>
      </c>
      <c r="U48" s="366">
        <f>VLOOKUP("AE",U9:U41,1,FALSE)</f>
        <v/>
      </c>
      <c r="V48" s="366">
        <f>VLOOKUP("AE",V10:V43,1,FALSE)</f>
        <v/>
      </c>
      <c r="W48" s="366">
        <f>VLOOKUP("AE",W12:W41,1,FALSE)</f>
        <v/>
      </c>
      <c r="X48" s="366">
        <f>VLOOKUP("AE",X8:X41,1,FALSE)</f>
        <v/>
      </c>
      <c r="Y48" s="366">
        <f>VLOOKUP("AE",Y8:Y41,1,FALSE)</f>
        <v/>
      </c>
      <c r="Z48" s="366">
        <f>VLOOKUP("AE",Z6:Z41,1,FALSE)</f>
        <v/>
      </c>
      <c r="AA48" s="366">
        <f>VLOOKUP("AE",AA11:AA41,1,FALSE)</f>
        <v/>
      </c>
      <c r="AB48" s="366">
        <f>VLOOKUP("AE",AB9:AB41,1,FALSE)</f>
        <v/>
      </c>
      <c r="AC48" s="366">
        <f>VLOOKUP("AE",AC11:AC41,1,FALSE)</f>
        <v/>
      </c>
      <c r="AD48" s="366">
        <f>VLOOKUP("AE",AD8:AD41,1,FALSE)</f>
        <v/>
      </c>
      <c r="AE48" s="366">
        <f>VLOOKUP("AE",AE8:AE41,1,FALSE)</f>
        <v/>
      </c>
      <c r="AF48" s="366">
        <f>VLOOKUP("AE",AF7:AF41,1,FALSE)</f>
        <v/>
      </c>
      <c r="AG48" s="366">
        <f>VLOOKUP("AE",AG7:AG41,1,FALSE)</f>
        <v/>
      </c>
      <c r="AH48" s="366">
        <f>VLOOKUP("AE",AH7:AH41,1,FALSE)</f>
        <v/>
      </c>
      <c r="AI48" s="311" t="n"/>
      <c r="AJ48" s="312" t="n"/>
      <c r="AK48" s="311" t="n"/>
      <c r="AL48" s="313" t="n"/>
      <c r="AM48" s="313" t="n"/>
      <c r="AN48" s="313" t="n"/>
      <c r="AO48" s="313" t="n"/>
      <c r="AP48" s="313" t="n"/>
      <c r="AQ48" s="313" t="n"/>
      <c r="AR48" s="313" t="n"/>
      <c r="AS48" s="313" t="n"/>
      <c r="AT48" s="313" t="n"/>
      <c r="AU48" s="313" t="n"/>
      <c r="AV48" s="313" t="n"/>
      <c r="AW48" s="313" t="n"/>
      <c r="AX48" s="313" t="n"/>
      <c r="AY48" s="313" t="n"/>
      <c r="AZ48" s="313" t="n"/>
      <c r="BA48" s="313" t="n"/>
      <c r="BB48" s="313" t="n"/>
      <c r="BC48" s="313" t="n"/>
      <c r="BD48" s="313" t="n"/>
      <c r="BE48" s="313" t="n"/>
      <c r="BF48" s="313" t="n"/>
      <c r="BG48" s="313" t="n"/>
      <c r="BH48" s="313" t="n"/>
      <c r="BI48" s="313" t="n"/>
      <c r="BJ48" s="313" t="n"/>
      <c r="BK48" s="313" t="n"/>
      <c r="BL48" s="313" t="n"/>
      <c r="BM48" s="313" t="n"/>
      <c r="BN48" s="313" t="n"/>
      <c r="BO48" s="313" t="n"/>
      <c r="BP48" s="313" t="n"/>
      <c r="BQ48" s="314" t="n"/>
    </row>
  </sheetData>
  <mergeCells count="1">
    <mergeCell ref="C1:S1"/>
  </mergeCells>
  <conditionalFormatting sqref="P12">
    <cfRule type="expression" priority="10" dxfId="136">
      <formula>WEEKDAY(K$3,2)&gt;5</formula>
    </cfRule>
    <cfRule type="expression" priority="11" dxfId="136">
      <formula>WEEKDAY(J$3,2)&gt;5</formula>
    </cfRule>
  </conditionalFormatting>
  <conditionalFormatting sqref="J19">
    <cfRule type="expression" priority="1" dxfId="136">
      <formula>WEEKDAY(L$3,2)&gt;5</formula>
    </cfRule>
  </conditionalFormatting>
  <conditionalFormatting sqref="X25">
    <cfRule type="expression" priority="4" dxfId="136">
      <formula>WEEKDAY(AA$3,2)&gt;5</formula>
    </cfRule>
    <cfRule type="expression" priority="5" dxfId="136">
      <formula>WEEKDAY(Z$3,2)&gt;5</formula>
    </cfRule>
  </conditionalFormatting>
  <conditionalFormatting sqref="AF25">
    <cfRule type="expression" priority="6" dxfId="136">
      <formula>WEEKDAY(AG$3,2)&gt;5</formula>
    </cfRule>
    <cfRule type="expression" priority="7" dxfId="136">
      <formula>WEEKDAY(AF$3,2)&gt;5</formula>
    </cfRule>
  </conditionalFormatting>
  <conditionalFormatting sqref="S28">
    <cfRule type="notContainsBlanks" priority="78" dxfId="837">
      <formula>LEN(TRIM(S28))&gt;0</formula>
    </cfRule>
  </conditionalFormatting>
  <conditionalFormatting sqref="K28:K29">
    <cfRule type="expression" priority="9" dxfId="136">
      <formula>WEEKDAY(M$3,2)&gt;5</formula>
    </cfRule>
  </conditionalFormatting>
  <conditionalFormatting sqref="A1:BQ48">
    <cfRule type="cellIs" priority="79" operator="equal" dxfId="155">
      <formula>"RESERVE"</formula>
    </cfRule>
  </conditionalFormatting>
  <conditionalFormatting sqref="C3:S41 T2:X41 Y3:AH41">
    <cfRule type="expression" priority="71" dxfId="136">
      <formula>WEEKDAY(T$3,2)&gt;5</formula>
    </cfRule>
  </conditionalFormatting>
  <conditionalFormatting sqref="C5:I48 J4:J48 K5:Z48 AA4:AA48 AB5:AH48">
    <cfRule type="cellIs" priority="56" operator="equal" dxfId="137">
      <formula>"B"</formula>
    </cfRule>
    <cfRule type="cellIs" priority="57" operator="equal" dxfId="137">
      <formula>"AL"</formula>
    </cfRule>
    <cfRule type="cellIs" priority="58" operator="equal" dxfId="138">
      <formula>"DM"</formula>
    </cfRule>
    <cfRule type="cellIs" priority="59" operator="equal" dxfId="139">
      <formula>"CS1"</formula>
    </cfRule>
    <cfRule type="cellIs" priority="60" operator="equal" dxfId="140">
      <formula>"CS2"</formula>
    </cfRule>
    <cfRule type="cellIs" priority="61" operator="equal" dxfId="141">
      <formula>"SB1"</formula>
    </cfRule>
    <cfRule type="cellIs" priority="62" operator="equal" dxfId="142">
      <formula>"SB2"</formula>
    </cfRule>
    <cfRule type="cellIs" priority="63" operator="equal" dxfId="143">
      <formula>"AE"</formula>
    </cfRule>
  </conditionalFormatting>
  <conditionalFormatting sqref="C5:I41 J4:J41 K5:Z41 AA4:AA41 AB5:AH41">
    <cfRule type="cellIs" priority="65" operator="equal" dxfId="137">
      <formula>"DB"</formula>
    </cfRule>
    <cfRule type="containsText" priority="66" operator="between" dxfId="144" text="$AM">
      <formula>NOT(ISERROR(SEARCH("$AM",C4)))</formula>
    </cfRule>
    <cfRule type="containsText" priority="67" operator="between" dxfId="145" text="$PM">
      <formula>NOT(ISERROR(SEARCH("$PM",C4)))</formula>
    </cfRule>
    <cfRule type="containsText" priority="68" operator="between" dxfId="146" text="$L">
      <formula>NOT(ISERROR(SEARCH("$L",C4)))</formula>
    </cfRule>
    <cfRule type="containsText" priority="69" operator="between" dxfId="147" text="$BTP">
      <formula>NOT(ISERROR(SEARCH("$BTP",C4)))</formula>
    </cfRule>
    <cfRule type="containsText" priority="70" operator="between" dxfId="148" text="$M">
      <formula>NOT(ISERROR(SEARCH("$M",C4)))</formula>
    </cfRule>
    <cfRule type="containsText" priority="72" operator="between" dxfId="149" text="$N">
      <formula>NOT(ISERROR(SEARCH("$N",C4)))</formula>
    </cfRule>
    <cfRule type="containsText" priority="73" operator="between" dxfId="150" text="$FC">
      <formula>NOT(ISERROR(SEARCH("$FC",C4)))</formula>
    </cfRule>
    <cfRule type="containsText" priority="74" operator="between" dxfId="151" text="OAL">
      <formula>NOT(ISERROR(SEARCH("OAL",C4)))</formula>
    </cfRule>
    <cfRule type="containsText" priority="75" operator="between" dxfId="152" text="S+">
      <formula>NOT(ISERROR(SEARCH("S+",C4)))</formula>
    </cfRule>
    <cfRule type="containsText" priority="76" operator="between" dxfId="153" text="EX-D">
      <formula>NOT(ISERROR(SEARCH("EX-D",C4)))</formula>
    </cfRule>
  </conditionalFormatting>
  <conditionalFormatting sqref="C5:C25 C31:F31 C37 D5:D21 D23 D25:D27 E5:E20 E22:E29 E33 E35:E37 F5:F21 F23:F25 F27:F28 F34:G34 F36 G5:H9 G11:H25 G27:G30 G32 G36:G37 H27:H29 H31:I31 H33:K33 H36:I36 I5:I27 I29 J4:J25 J28:J30 J35:J36 K5:K21 K23:K25 K27:K29 K36:L36 L5:M30 N5:N25 N27:N32 O5:O8 O10:O28 O31 O37 P5:P16 P18:P26 P28 P31:P32 P36 Q5:Q29 Q31:Q36 Q39:R39 R5:R25 R27 R30 R32 R34 R37 S5:S7 S9:S29 S31:S39 T5:T29 T33:T39 U5:U7 U9:U29 U31:U34 U36:U39 U41 V5:V16 V18:V29 V31:V39 W5:W10 W12:W26 W28:W29 W31:W33 W35:W36 W38:W39 X5:X26 X28 X32:X36 X39 Y5:Y29 Y32:Y40 Z5:AB40 AC5:AC30 AC32:AC40 AD5:AD34 AD37 AE5:AE28 AE30:AE32 AE34:AE36 AE39:AF39 AF5:AF25 AF27 AF29:AF31 AF33 AG5:AG26 AG29:AG30 AH5:AH16 AH18:AH25 AH27 AH30 AH39">
    <cfRule type="containsText" priority="77" operator="between" dxfId="154" text="VACC">
      <formula>NOT(ISERROR(SEARCH("VACC",C4)))</formula>
    </cfRule>
  </conditionalFormatting>
  <conditionalFormatting sqref="C5:C39 D5:D16 D19:D21 D26 D31:F31 E5:E20 E22:E29 E33 E35:E37 F5:F14 F18:F20 F24:F25 F27 G6:G9 G12 G14 G16 G19:G20 G22:G25 G27:G29 G32 H5:H9 H11:H12 H14:H15 H18:I20 H23 H25 I5:I6 I9 I12 I14:I16 I22:J22 I24 I27 J5:K5 J11:J12 J14:J15 J19:J20 J24:K25 J28 K8 K10:K16 K18:K20 K27 K29 L5:L6 L8:L10 L12:L15 L19:L20 L23 L25:L30 M5:O8 M11:N14 M18:M21 M24:M25 M27:M29 N16:N17 N19:N20 N22 N27 N31:N32 O10:O11 O13:O17 O19:O21 O25:O26 P5:P6 P8 P11:Q12 P14:R14 P16 P19:P22 P24 Q5:Q8 Q16:Q23 Q26 Q31 Q35 R5:R10 R16 R18:R21 R23:R25 R27 R34 R37 S5:S6 S10:S14 S19:T21 S25 S29 T6:T7 T9 T12:U14 T27:U27 U5 U7 U9:U10 U18:V20 U22:V22 U24 U39:V39 V5:V6 V11:V12 V14 V26 V28 V33 W5 W9 W13:W16 W19:W20 W22:W23 W28:W29 X5:X6 X9:X10 X13:X14 X18:X22 X24:X26 X34:X35 Y7:Y8 Y12:Y15 Y18:Y24 Y26:Z26 Y28:Y29 Y34:Z34 Z8 Z10 Z12:Z14 Z18:Z21 Z24:AA24 Z28 Z37 AA5:AA6 AA11:AA14 AA19:AB20 AA29 AA31:AA32 AB9 AB14:AD14 AB26 AB34 AC5 AC7:AC9 AC19:AC21 AC23:AC24 AC35 AD8 AD18:AD20 AD22 AD24:AD25 AD27:AD28 AE6 AE13:AE14 AE19:AE20 AE24 AE27 AE32 AE34 AE36 AF7 AF9 AF11 AF14:AF15 AF17:AF20 AF23 AF25 AF29:AG29 AF31 AG5:AG8 AG10:AG15 AG19:AG21 AG24:AG25 AH5:AH6 AH10 AH14 AH19:AH20 AH24 AH39">
    <cfRule type="cellIs" priority="12" operator="equal" dxfId="137">
      <formula>"B"</formula>
    </cfRule>
    <cfRule type="cellIs" priority="13" operator="equal" dxfId="137">
      <formula>"AL"</formula>
    </cfRule>
    <cfRule type="cellIs" priority="14" operator="equal" dxfId="138">
      <formula>"DM"</formula>
    </cfRule>
    <cfRule type="cellIs" priority="15" operator="equal" dxfId="139">
      <formula>"CS1"</formula>
    </cfRule>
    <cfRule type="cellIs" priority="16" operator="equal" dxfId="140">
      <formula>"CS2"</formula>
    </cfRule>
    <cfRule type="cellIs" priority="17" operator="equal" dxfId="141">
      <formula>"SB1"</formula>
    </cfRule>
    <cfRule type="cellIs" priority="18" operator="equal" dxfId="142">
      <formula>"SB2"</formula>
    </cfRule>
    <cfRule type="cellIs" priority="19" operator="equal" dxfId="143">
      <formula>"AE"</formula>
    </cfRule>
    <cfRule type="cellIs" priority="20" operator="equal" dxfId="137">
      <formula>"DB"</formula>
    </cfRule>
    <cfRule type="containsText" priority="21" operator="between" dxfId="144" text="$AM">
      <formula>NOT(ISERROR(SEARCH("$AM",C5)))</formula>
    </cfRule>
    <cfRule type="containsText" priority="22" operator="between" dxfId="145" text="$PM">
      <formula>NOT(ISERROR(SEARCH("$PM",C5)))</formula>
    </cfRule>
    <cfRule type="containsText" priority="23" operator="between" dxfId="146" text="$L">
      <formula>NOT(ISERROR(SEARCH("$L",C5)))</formula>
    </cfRule>
    <cfRule type="containsText" priority="24" operator="between" dxfId="147" text="$BTP">
      <formula>NOT(ISERROR(SEARCH("$BTP",C5)))</formula>
    </cfRule>
    <cfRule type="containsText" priority="25" operator="between" dxfId="148" text="$M">
      <formula>NOT(ISERROR(SEARCH("$M",C5)))</formula>
    </cfRule>
    <cfRule type="containsText" priority="26" operator="between" dxfId="149" text="$N">
      <formula>NOT(ISERROR(SEARCH("$N",C5)))</formula>
    </cfRule>
    <cfRule type="containsText" priority="27" operator="between" dxfId="150" text="$FC">
      <formula>NOT(ISERROR(SEARCH("$FC",C5)))</formula>
    </cfRule>
    <cfRule type="containsText" priority="28" operator="between" dxfId="151" text="OAL">
      <formula>NOT(ISERROR(SEARCH("OAL",C5)))</formula>
    </cfRule>
    <cfRule type="containsText" priority="29" operator="between" dxfId="152" text="S+">
      <formula>NOT(ISERROR(SEARCH("S+",C5)))</formula>
    </cfRule>
    <cfRule type="containsText" priority="30" operator="between" dxfId="153" text="EX-D">
      <formula>NOT(ISERROR(SEARCH("EX-D",C5)))</formula>
    </cfRule>
  </conditionalFormatting>
  <conditionalFormatting sqref="C5:C26 C28 C30:D31 C37 D5:D16 D19:D21 D24 D26 E5:E20 E22:E31 E33:E37 F5:F14 F18:F20 F24:F25 F27 F30:F32 F36:F37 G6:G9 G12 G14 G16 G19:G20 G22:G25 G27:G30 G32 G36:H36 H5:H9 H11:H12 H14:H15 H18:I20 H23 H25 H30:J30 I5:I6 I9 I12 I14:I16 I22:J22 I24 I27 I34:I36 J5:K5 J11:J12 J14:J15 J19:J20 J24:K25 J28 J32 J35:J36 K8 K10:K16 K18:K20 K28:K31 L5:L6 L8:L10 L12:L15 L19:L20 L23 L25:M25 L27:M30 M5:O8 M11:N14 M18:M21 N16:O17 N19:N20 N22 N27 N30:N32 O10:O11 O13:O14 O19:O21 O25 O29:O30 P5:P6 P8 P11:Q12 P14:R14 P16 P19:P22 P24 P27 P30 Q5:Q8 Q16:Q23 Q26 Q30:Q31 Q35 R5:R10 R16 R18:R21 R23:R25 R27 R30 R34 S5:S6 S10:S14 S19:T21 S25 S29:S30 T6:T7 T9 T12:U14 T27:U27 T30:V30 U5 U7 U9:U10 U18:V20 U24 U39:V39 V5:V6 V11:V12 V14 V26 V28 V33 W5 W9 W13:W16 W19:W20 W23 W27:W30 X5:X6 X9:X10 X13:X14 X18:Z21 X24:X26 X30 X34:X35 Y7 Y13:Y15 Y23:Y24 Y26:Z26 Y29:Y30 Y34:Z34 Z8 Z10 Z12:Z14 Z24:AA24 Z30 Z37 AA5:AA6 AA11:AA14 AA19:AB20 AA29:AA32 AB9 AB14:AD14 AB26 AB30:AE30 AB34 AB36 AC5 AC7:AC9 AC19:AC21 AC23:AC24 AC35 AD8 AD18:AD20 AD22 AD24:AD25 AD27:AD28 AE6 AE13:AE14 AE19:AF20 AE24 AE27 AE32 AE34 AE36 AF7 AF9 AF11 AF14:AF15 AF17 AF23 AF25 AF29:AF31 AG5:AG8 AG10:AG15 AG19:AG21 AG24:AG25 AG29:AG30 AH5:AH6 AH10 AH14 AH19:AH20 AH24 AH30 AH39">
    <cfRule type="expression" priority="31" dxfId="136">
      <formula>WEEKDAY(#REF!,2)&gt;5</formula>
    </cfRule>
  </conditionalFormatting>
  <conditionalFormatting sqref="C12 C19:D19 E25 F5 Q31 Q35 R34 S12 S29 T12:U13 T19:U19 T22 T27 U7 V26 X6 Y13 Y15 Y26:Z26 Z8 Z12:Z13 Z37 AA6 AA12 AA28:AA29 AB9 AB26 AD27:AD28 AE24 AE27 AE32 AE34 AF29 AH39">
    <cfRule type="expression" priority="32" dxfId="136">
      <formula>WEEKDAY(H$3,2)&gt;5</formula>
    </cfRule>
  </conditionalFormatting>
  <conditionalFormatting sqref="C9 C12 C19:D19 C23 E11 F5">
    <cfRule type="expression" priority="34" dxfId="136">
      <formula>WEEKDAY(H$3,2)&gt;5</formula>
    </cfRule>
  </conditionalFormatting>
  <conditionalFormatting sqref="C5:C25 C31:F31 C37 D5:D21 D23 D25:D27 E5:E20 E22:E29 E33 E35:E37 F5:F21 F23:F25 F27:F28 F34:G34 F36 G5:H9 G11:H25 G27:G30 G32 G36:G37 H27:H29 H31:I31 H33:K33 H36:I36 I5:I27 I29 J5:J25 J28:J30 J35:J36 K5:K21 K23:K25 K27:K29 K36:L36 L5:M30 N5:N25 N27:N32 O5:O8 O10:O28 O31 O37 P5:P16 P18:P26 P28 P31:P32 P36 Q5:Q29 Q31:Q36 Q39:R39 R5:R25 R27 R30 R32 R34 R37 S5:S7 S9:S29 S31:S39 T5:T29 T33:T39 U5:U7 U9:U16 U18:V29 U31:U34 U36:U39 U41 V5:V16 V31:V39 W5:W10 W12:W17 W19:W26 W28:W29 W31:W33 W35:W36 W38:W39 X5:X26 X28 X32:X36 X39 Y5:Y29 Y32:Y40 Z5:AB40 AC5:AC30 AC32:AC40 AD5:AD34 AD37 AE5:AE28 AE30:AE32 AE34:AE36 AE39:AF39 AF5:AF25 AF27 AF29:AF31 AF33 AG5:AG26 AG29:AG30 AH5:AH16 AH18:AH25 AH27 AH30 AH39">
    <cfRule type="cellIs" priority="35" operator="equal" dxfId="137">
      <formula>"B"</formula>
    </cfRule>
    <cfRule type="cellIs" priority="36" operator="equal" dxfId="137">
      <formula>"AL"</formula>
    </cfRule>
    <cfRule type="cellIs" priority="37" operator="equal" dxfId="138">
      <formula>"DM"</formula>
    </cfRule>
    <cfRule type="cellIs" priority="38" operator="equal" dxfId="139">
      <formula>"CS1"</formula>
    </cfRule>
    <cfRule type="cellIs" priority="39" operator="equal" dxfId="140">
      <formula>"CS2"</formula>
    </cfRule>
    <cfRule type="cellIs" priority="40" operator="equal" dxfId="141">
      <formula>"SB1"</formula>
    </cfRule>
    <cfRule type="cellIs" priority="41" operator="equal" dxfId="142">
      <formula>"SB2"</formula>
    </cfRule>
    <cfRule type="cellIs" priority="42" operator="equal" dxfId="143">
      <formula>"AE"</formula>
    </cfRule>
    <cfRule type="cellIs" priority="44" operator="equal" dxfId="137">
      <formula>"DB"</formula>
    </cfRule>
    <cfRule type="containsText" priority="45" operator="between" dxfId="144" text="$AM">
      <formula>NOT(ISERROR(SEARCH("$AM",C5)))</formula>
    </cfRule>
    <cfRule type="containsText" priority="46" operator="between" dxfId="145" text="$PM">
      <formula>NOT(ISERROR(SEARCH("$PM",C5)))</formula>
    </cfRule>
    <cfRule type="containsText" priority="47" operator="between" dxfId="146" text="$L">
      <formula>NOT(ISERROR(SEARCH("$L",C5)))</formula>
    </cfRule>
    <cfRule type="containsText" priority="48" operator="between" dxfId="147" text="$BTP">
      <formula>NOT(ISERROR(SEARCH("$BTP",C5)))</formula>
    </cfRule>
    <cfRule type="containsText" priority="49" operator="between" dxfId="148" text="$M">
      <formula>NOT(ISERROR(SEARCH("$M",C5)))</formula>
    </cfRule>
    <cfRule type="containsText" priority="50" operator="between" dxfId="149" text="$N">
      <formula>NOT(ISERROR(SEARCH("$N",C5)))</formula>
    </cfRule>
    <cfRule type="containsText" priority="51" operator="between" dxfId="150" text="$FC">
      <formula>NOT(ISERROR(SEARCH("$FC",C5)))</formula>
    </cfRule>
    <cfRule type="containsText" priority="52" operator="between" dxfId="151" text="OAL">
      <formula>NOT(ISERROR(SEARCH("OAL",C5)))</formula>
    </cfRule>
    <cfRule type="containsText" priority="53" operator="between" dxfId="152" text="S+">
      <formula>NOT(ISERROR(SEARCH("S+",C5)))</formula>
    </cfRule>
    <cfRule type="containsText" priority="54" operator="between" dxfId="153" text="EX-D">
      <formula>NOT(ISERROR(SEARCH("EX-D",C5)))</formula>
    </cfRule>
  </conditionalFormatting>
  <conditionalFormatting sqref="C5:C26 C28 C30:D31 C37 D5:D21 D23:D27 E5:E20 E22:E31 E33:E37 F5:F21 F23:F25 F27:F28 F30:F32 F34:G34 F36:G37 G5:H9 G11:H25 G27:G30 G32 H27:H31 H33 H36 I5:I27 I29:I31 I33:I36 J5:J25 J28:J30 J32:J33 J35:J37 K5:K21 K23:K25 K27:K31 K33 K36:L36 L5:M30 N5:N25 N27:N32 O5:O8 O10:O31 O37 P5:P16 P18:P28 P30:P32 P36 Q5:Q36 Q39:R39 R5:R25 R27 R30 R32 R34 R37 S5:S7 S9:S39 T5:T30 T33:T39 U5:U7 U9:U16 U18:U34 U36:U39 U41 V5:V16 V18:V39 W5:W10 W12:W17 W19:W33 W35:W36 W38:W39 X5:X26 X28 X30 X32:X36 X39 Y5:Y30 Y32:Y40 Z5:AB40 AC5:AC30 AC32:AC40 AD5:AD34 AD37 AE5:AE28 AE30:AE32 AE34:AE36 AE39:AF39 AF5:AF25 AF27 AF29:AF31 AF33 AG5:AG26 AG29:AG30 AH5:AH16 AH18:AH25 AH27 AH30 AH39">
    <cfRule type="containsText" priority="43" operator="between" dxfId="154" text="VACC">
      <formula>NOT(ISERROR(SEARCH("VACC",C5)))</formula>
    </cfRule>
  </conditionalFormatting>
  <conditionalFormatting sqref="C5:C25 C31:F31 C37 D5:D21 D23 D25:D27 E5:E20 E22:E29 E33 E35:E37 F5:F21 F23:F25 F27:F28 F34:G34 F36 G5:H9 G11:H25 G27:G30 G32 G36:G37 H27:H29 H31:I31 H33:K33 H36:I36 I5:I27 I29 J5:J25 J28:J30 J35:J36 K5:K21 K23:K25 K27:K29 K36:L36 L5:M30 N5:N25 N27:N32 O5:O8 O10:O28 O31 O37 P5:P16 P18:P26 P28 P31:P32 P36 Q5:Q29 Q31:Q36 Q39:R39 R5:R25 R27 R30 R32 R34 R37 S5:S7 S9:S29 S31:S39 T5:T29 T33:T39 U5:U7 U9:U16 U18:V29 U31:U34 U36:U39 U41 V5:V16 V31:V39 W5:W10 W12:W17 W19:W26 W28:W29 W31:W33 W35:W36 W38:W39 X5:X26 X28 X32:X36 X39 Y5:Y29 Y32:Y40 Z5:AB40 AC5:AC30 AC32:AC40 AD5:AD34 AD37 AE5:AE28 AE30:AE32 AE34:AE36 AE39:AF39 AF5:AF12 AF14:AF25 AF27 AF29:AF31 AF33 AG5:AG26 AG29:AG30 AH5:AH16 AH18:AH25 AH27 AH30 AH39">
    <cfRule type="expression" priority="55" dxfId="136">
      <formula>WEEKDAY(#REF!,2)&gt;5</formula>
    </cfRule>
  </conditionalFormatting>
  <conditionalFormatting sqref="BP5:BQ41">
    <cfRule type="cellIs" priority="64" operator="lessThan" dxfId="155">
      <formula>1</formula>
    </cfRule>
  </conditionalFormatting>
  <conditionalFormatting sqref="E25 F28 G24 P8 P12 Q31 Q35 R34 S12 S29 T12:U13 T19:U19 T22 T27 U7 U41 V26 X6 Y13 Y15 Y26:Z26 Z8 Z12:Z13 Z37 AA6 AA12:AB12 AA22 AA28:AA29 AB9 AB26 AD27:AD28 AE24 AE27 AE32 AE34 AF29 AH39">
    <cfRule type="expression" priority="33" dxfId="136">
      <formula>WEEKDAY(Y$3,2)&gt;5</formula>
    </cfRule>
  </conditionalFormatting>
  <conditionalFormatting sqref="C21 C24 D15">
    <cfRule type="expression" priority="8" dxfId="136">
      <formula>WEEKDAY(E$3,2)&gt;5</formula>
    </cfRule>
  </conditionalFormatting>
  <conditionalFormatting sqref="C25 D24 G23:H23 G25:H25 T18 T24">
    <cfRule type="expression" priority="2" dxfId="136">
      <formula>WEEKDAY(U$3,2)&gt;5</formula>
    </cfRule>
  </conditionalFormatting>
  <conditionalFormatting sqref="T18 T24">
    <cfRule type="expression" priority="3" dxfId="136">
      <formula>WEEKDAY(V$3,2)&gt;5</formula>
    </cfRule>
  </conditionalFormatting>
  <dataValidations count="2">
    <dataValidation sqref="C5:F5 C6:V6 C8:P8 C10 C11:E11 C12:W12 C13:F13 C14:AH14 C15:AE15 C16:T16 C17:I17 C18:F18 C19:AH20 C21:E21 C23:H24 C25:X25 C28:H28 C29:M29 C30:AH30 C32:D32 C33:E35 C36:J36 C37:G37 C38:AH38 C39:E39 C40:D40 C41:L41 D7:H7 D9:I9 D22:E22 D26:E26 D31:I31 E10:F10 E27:P27 F32 G11:H11 G22:H22 G26:L26 G33:L33 G39 H5:S5 H10:U10 H13:V13 H18:I18 H21:T21 H32 I34 I35:K35 I37 I39:J39 J7:V7 J11 J24 J28:P28 J32:K32 J40:L40 K18:N18 K23:L23 K31:L31 K34:P34 K37 L9:O9 L11:M11 L22 L24:O24 L39:O39 M32:S32 M35:O36 N17:U17 N22 N23:R23 N31 N33:S33 N37:O37 N40:P41 O11:T11 O26:V26 O29:Q29 P18:X18 P22 P31:S31 Q9:Z9 Q35:T35 Q36:U36 Q37:S37 Q39:W39 R8 R22:AA22 R27:AB27 R34:V34 S24:U24 S28 S29:T29 S41:AH41 T8:V8 T23:AD23 T40 U5:X5 U28:W28 U32:AH32 U37:V37 V11 V16:W16 V21:AA21 V29:Y29 V31 V33 V35:Y35 V40 W10:X10 W36:X36 X6 X7:Y7 X8:Z8 X13:AB13 X17:AB17 X24:AH24 X26:AD26 X31 X33 X34:Y34 X37 X40 Y12:AD12 Y39:AA39 Z5:AC6 Z10:AD10 Z16:AA16 Z18:AA18 Z25 Z28:AB28 Z37 AA7:AC7 AA11:AC11 AA29 AA31:AB31 AA34:AB34 AA35:AC35 AA36:AB36 AB8 AB9:AC9 AB25 AB33 AC16:AH16 AC18:AD18 AC21:AD21 AC22:AH22 AC37 AC39 AD13 AD17 AD25 AD27:AF27 AD28:AD29 AD33 AD34:AE34 AD40:AH40 AE5:AH5 AE6 AE8 AE9:AH9 AE31:AF31 AE37 AE39:AH39 AF7:AH7 AF10:AH12 AF17:AG17 AF18:AH18 AF21:AG21 AF23:AH23 AF25:AH25 AF29:AH29 AF33:AH33 AF36:AG36 AG6:AH6 AG8:AH8 AG13:AH13 AG15:AH15 AG26:AH26 AG28:AH28 AG34:AH35 AG37:AH37 AH27" showDropDown="1" showInputMessage="0" showErrorMessage="0" allowBlank="1" type="list">
      <formula1>'Setting key Duty'!$B$7:$B$56</formula1>
    </dataValidation>
    <dataValidation sqref="C42:AH48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0"/>
    <pageSetUpPr fitToPage="1"/>
  </sheetPr>
  <dimension ref="A1:BQ44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9.24761904761905" customWidth="1" min="16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4"/>
    <col hidden="1" outlineLevel="1" width="9.38095238095238" customWidth="1" min="35" max="41"/>
    <col collapsed="1" width="6.75238095238095" customWidth="1" min="42" max="42"/>
    <col outlineLevel="1" width="8.87619047619048" customWidth="1" min="43" max="43"/>
    <col outlineLevel="1" width="7.87619047619048" customWidth="1" min="44" max="44"/>
    <col outlineLevel="1" width="9.133333333333329" customWidth="1" min="45" max="45"/>
    <col outlineLevel="1" width="8.24761904761905" customWidth="1" min="46" max="46"/>
    <col outlineLevel="1" width="5.5047619047619" customWidth="1" min="47" max="47"/>
    <col width="9.38095238095238" customWidth="1" min="48" max="50"/>
    <col outlineLevel="1" width="9.38095238095238" customWidth="1" min="51" max="58"/>
    <col outlineLevel="1" width="10" customWidth="1" min="59" max="59"/>
    <col outlineLevel="1" width="9.38095238095238" customWidth="1" min="60" max="65"/>
    <col width="9.38095238095238" customWidth="1" min="66" max="66"/>
    <col width="9.504761904761899" customWidth="1" min="67" max="67"/>
    <col width="9.38095238095238" customWidth="1" min="68" max="69"/>
  </cols>
  <sheetData>
    <row r="1" ht="16.5" customHeight="1">
      <c r="A1" s="408" t="n"/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8" t="n"/>
      <c r="W1" s="287" t="n"/>
      <c r="X1" s="287" t="n"/>
      <c r="Y1" s="289" t="n"/>
      <c r="Z1" s="289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0" t="n"/>
      <c r="BQ1" s="291" t="n"/>
    </row>
    <row r="2" ht="26.25" customHeight="1">
      <c r="A2" s="412" t="n"/>
      <c r="B2" s="24" t="inlineStr">
        <is>
          <t>Event Log</t>
        </is>
      </c>
      <c r="C2" s="167" t="n"/>
      <c r="D2" s="167" t="inlineStr">
        <is>
          <t>A VACC 1</t>
        </is>
      </c>
      <c r="E2" s="167" t="inlineStr">
        <is>
          <t>GX24</t>
        </is>
      </c>
      <c r="F2" s="167" t="inlineStr">
        <is>
          <t>GX24</t>
        </is>
      </c>
      <c r="G2" s="167" t="n"/>
      <c r="H2" s="167" t="inlineStr">
        <is>
          <t>GP</t>
        </is>
      </c>
      <c r="I2" s="167" t="inlineStr">
        <is>
          <t>Hari Raya Haji</t>
        </is>
      </c>
      <c r="J2" s="167" t="n"/>
      <c r="K2" s="167" t="n"/>
      <c r="L2" s="167" t="n"/>
      <c r="M2" s="167" t="n"/>
      <c r="N2" s="167" t="n"/>
      <c r="O2" s="167" t="n"/>
      <c r="P2" s="167" t="n"/>
      <c r="Q2" s="167" t="n"/>
      <c r="R2" s="167" t="n"/>
      <c r="S2" s="167" t="n"/>
      <c r="T2" s="168" t="n"/>
      <c r="U2" s="167" t="n"/>
      <c r="V2" s="293" t="n"/>
      <c r="W2" s="167" t="n"/>
      <c r="X2" s="167" t="n"/>
      <c r="Y2" s="167" t="n"/>
      <c r="Z2" s="167" t="n"/>
      <c r="AA2" s="294" t="n"/>
      <c r="AB2" s="167" t="n"/>
      <c r="AC2" s="167" t="n"/>
      <c r="AD2" s="167" t="n"/>
      <c r="AE2" s="167" t="n"/>
      <c r="AF2" s="167" t="n"/>
      <c r="AG2" s="167" t="n"/>
      <c r="AH2" s="258" t="n"/>
      <c r="AI2" s="218" t="n"/>
      <c r="AJ2" s="218" t="n"/>
      <c r="AK2" s="218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6" t="inlineStr">
        <is>
          <t>0.3125+0.0625+0.5
long+stay+pass12</t>
        </is>
      </c>
      <c r="BB2" s="296" t="n"/>
      <c r="BC2" s="296" t="inlineStr">
        <is>
          <t>0.3125+0.125
Long hr+aft 1730</t>
        </is>
      </c>
      <c r="BD2" s="296" t="n"/>
      <c r="BE2" s="296" t="inlineStr">
        <is>
          <t>0.125+0.125+0.0625
Bef 0730+Aft1730+stay</t>
        </is>
      </c>
      <c r="BF2" s="296" t="n"/>
      <c r="BG2" s="296" t="n"/>
      <c r="BH2" s="296" t="inlineStr">
        <is>
          <t>0.125
after 1730</t>
        </is>
      </c>
      <c r="BI2" s="296" t="n"/>
      <c r="BJ2" s="296" t="inlineStr">
        <is>
          <t>stay in+ bef 0730</t>
        </is>
      </c>
      <c r="BK2" s="296" t="n"/>
      <c r="BL2" s="296" t="n"/>
      <c r="BM2" s="296" t="n"/>
      <c r="BN2" s="295" t="n"/>
      <c r="BO2" s="295" t="n"/>
      <c r="BP2" s="295" t="n"/>
      <c r="BQ2" s="297" t="n"/>
    </row>
    <row r="3" ht="26.25" customHeight="1">
      <c r="A3" s="412" t="n"/>
      <c r="B3" s="24" t="inlineStr">
        <is>
          <t>Rostering</t>
        </is>
      </c>
      <c r="C3" s="419" t="n">
        <v>45809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4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7">
        <f>S3+1</f>
        <v/>
      </c>
      <c r="U3" s="414">
        <f>T3+1</f>
        <v/>
      </c>
      <c r="V3" s="420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7">
        <f>AF3+1</f>
        <v/>
      </c>
      <c r="AH3" s="414">
        <f>AG3+1</f>
        <v/>
      </c>
      <c r="AI3" s="221">
        <f>'Setting key Duty'!$C7</f>
        <v/>
      </c>
      <c r="AJ3" s="222">
        <f>'Setting key Duty'!$C8</f>
        <v/>
      </c>
      <c r="AK3" s="223">
        <f>'Setting key Duty'!$C9</f>
        <v/>
      </c>
      <c r="AL3" s="302">
        <f>'Setting key Duty'!$C11</f>
        <v/>
      </c>
      <c r="AM3" s="302">
        <f>'Setting key Duty'!$C12</f>
        <v/>
      </c>
      <c r="AN3" s="302">
        <f>'Setting key Duty'!$C13</f>
        <v/>
      </c>
      <c r="AO3" s="302">
        <f>'Setting key Duty'!C14</f>
        <v/>
      </c>
      <c r="AP3" s="223" t="n"/>
      <c r="AQ3" s="223" t="inlineStr">
        <is>
          <t>Weekday Duty</t>
        </is>
      </c>
      <c r="AR3" s="223" t="inlineStr">
        <is>
          <t>Weekday Extra</t>
        </is>
      </c>
      <c r="AS3" s="223" t="inlineStr">
        <is>
          <t>Weekend Duty</t>
        </is>
      </c>
      <c r="AT3" s="223" t="inlineStr">
        <is>
          <t>Weekend Extra</t>
        </is>
      </c>
      <c r="AU3" s="223" t="inlineStr">
        <is>
          <t>Duty Point</t>
        </is>
      </c>
      <c r="AV3" s="223" t="inlineStr">
        <is>
          <t>Total Duty</t>
        </is>
      </c>
      <c r="AW3" s="223" t="inlineStr">
        <is>
          <t>Total Cover</t>
        </is>
      </c>
      <c r="AX3" s="223" t="inlineStr">
        <is>
          <t>Total Point</t>
        </is>
      </c>
      <c r="AY3" s="223" t="inlineStr">
        <is>
          <t>Total Cover
Point</t>
        </is>
      </c>
      <c r="AZ3" s="223" t="inlineStr">
        <is>
          <t>Bedok RT</t>
        </is>
      </c>
      <c r="BA3" s="302" t="inlineStr">
        <is>
          <t>BTP</t>
        </is>
      </c>
      <c r="BB3" s="302" t="inlineStr">
        <is>
          <t>$BTP
Point</t>
        </is>
      </c>
      <c r="BC3" s="302" t="inlineStr">
        <is>
          <t>Long Cover</t>
        </is>
      </c>
      <c r="BD3" s="302" t="inlineStr">
        <is>
          <t>$L
Point</t>
        </is>
      </c>
      <c r="BE3" s="302" t="inlineStr">
        <is>
          <t>Mid Cover</t>
        </is>
      </c>
      <c r="BF3" s="302" t="inlineStr">
        <is>
          <t>$M 
Point</t>
        </is>
      </c>
      <c r="BG3" s="302" t="inlineStr">
        <is>
          <t>Cover
 Normal Hour</t>
        </is>
      </c>
      <c r="BH3" s="302" t="inlineStr">
        <is>
          <t>Cover
After Hour</t>
        </is>
      </c>
      <c r="BI3" s="302" t="inlineStr">
        <is>
          <t>$PM
Point</t>
        </is>
      </c>
      <c r="BJ3" s="302" t="inlineStr">
        <is>
          <t>Cover
Early</t>
        </is>
      </c>
      <c r="BK3" s="302" t="inlineStr">
        <is>
          <t>$AM
Point</t>
        </is>
      </c>
      <c r="BL3" s="302">
        <f>'Setting key Duty'!C52</f>
        <v/>
      </c>
      <c r="BM3" s="302" t="inlineStr">
        <is>
          <t>$FC
Point</t>
        </is>
      </c>
      <c r="BN3" s="302">
        <f>'Setting key Duty'!$C15</f>
        <v/>
      </c>
      <c r="BO3" s="302">
        <f>'Setting key Duty'!C17</f>
        <v/>
      </c>
      <c r="BP3" s="302">
        <f>'Setting key Duty'!$C22</f>
        <v/>
      </c>
      <c r="BQ3" s="297" t="n"/>
    </row>
    <row r="4" ht="18" customHeight="1">
      <c r="A4" s="303" t="n"/>
      <c r="B4" s="260" t="inlineStr">
        <is>
          <t>Updated on: 26/10/2022</t>
        </is>
      </c>
      <c r="C4" s="418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5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8">
        <f>TEXT(T3,"ddd")</f>
        <v/>
      </c>
      <c r="U4" s="415">
        <f>TEXT(U3,"ddd")</f>
        <v/>
      </c>
      <c r="V4" s="421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8">
        <f>TEXT(AG3,"ddd")</f>
        <v/>
      </c>
      <c r="AH4" s="415">
        <f>TEXT(AH3,"ddd")</f>
        <v/>
      </c>
      <c r="AI4" s="227">
        <f>'Setting key Duty'!$B7</f>
        <v/>
      </c>
      <c r="AJ4" s="228">
        <f>'Setting key Duty'!$B8</f>
        <v/>
      </c>
      <c r="AK4" s="229">
        <f>'Setting key Duty'!$B9</f>
        <v/>
      </c>
      <c r="AL4" s="307">
        <f>'Setting key Duty'!$B11</f>
        <v/>
      </c>
      <c r="AM4" s="307">
        <f>'Setting key Duty'!$B12</f>
        <v/>
      </c>
      <c r="AN4" s="307">
        <f>'Setting key Duty'!$B13</f>
        <v/>
      </c>
      <c r="AO4" s="307">
        <f>'Setting key Duty'!B14</f>
        <v/>
      </c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inlineStr">
        <is>
          <t>BRT</t>
        </is>
      </c>
      <c r="BA4" s="307" t="inlineStr">
        <is>
          <t>$BTP</t>
        </is>
      </c>
      <c r="BB4" s="307" t="n"/>
      <c r="BC4" s="307" t="inlineStr">
        <is>
          <t>$L</t>
        </is>
      </c>
      <c r="BD4" s="307" t="n"/>
      <c r="BE4" s="307" t="inlineStr">
        <is>
          <t>$M</t>
        </is>
      </c>
      <c r="BF4" s="307" t="n"/>
      <c r="BG4" s="307" t="inlineStr">
        <is>
          <t>$N</t>
        </is>
      </c>
      <c r="BH4" s="307" t="inlineStr">
        <is>
          <t>$PM</t>
        </is>
      </c>
      <c r="BI4" s="307" t="n"/>
      <c r="BJ4" s="307" t="inlineStr">
        <is>
          <t>$AM</t>
        </is>
      </c>
      <c r="BK4" s="307" t="n"/>
      <c r="BL4" s="307">
        <f>'Setting key Duty'!B52</f>
        <v/>
      </c>
      <c r="BM4" s="307" t="n"/>
      <c r="BN4" s="307">
        <f>'Setting key Duty'!$B15</f>
        <v/>
      </c>
      <c r="BO4" s="307">
        <f>'Setting key Duty'!B17</f>
        <v/>
      </c>
      <c r="BP4" s="307">
        <f>'Setting key Duty'!$B22</f>
        <v/>
      </c>
      <c r="BQ4" s="308" t="n"/>
    </row>
    <row r="5" ht="19.5" customHeight="1">
      <c r="A5" s="309" t="n"/>
      <c r="B5" s="373" t="inlineStr">
        <is>
          <t>LCP MUHAMAD LUTFIL AL-HADI</t>
        </is>
      </c>
      <c r="C5" s="197" t="n"/>
      <c r="D5" s="197" t="inlineStr">
        <is>
          <t>RESERVE</t>
        </is>
      </c>
      <c r="E5" s="197" t="inlineStr">
        <is>
          <t>CS2</t>
        </is>
      </c>
      <c r="F5" s="197" t="n"/>
      <c r="H5" s="197" t="n"/>
      <c r="I5" s="197" t="n"/>
      <c r="J5" s="197" t="n"/>
      <c r="K5" s="197" t="n"/>
      <c r="M5" s="197" t="inlineStr">
        <is>
          <t>DM</t>
        </is>
      </c>
      <c r="N5" s="197" t="n"/>
      <c r="O5" s="197" t="n"/>
      <c r="P5" s="197" t="inlineStr">
        <is>
          <t>OL</t>
        </is>
      </c>
      <c r="Q5" s="197" t="inlineStr">
        <is>
          <t>OL</t>
        </is>
      </c>
      <c r="R5" s="197" t="inlineStr">
        <is>
          <t>OL</t>
        </is>
      </c>
      <c r="S5" s="197" t="inlineStr">
        <is>
          <t>OL</t>
        </is>
      </c>
      <c r="T5" s="197" t="inlineStr">
        <is>
          <t>OL</t>
        </is>
      </c>
      <c r="U5" s="197" t="inlineStr">
        <is>
          <t>OL</t>
        </is>
      </c>
      <c r="V5" s="200" t="inlineStr">
        <is>
          <t>OL</t>
        </is>
      </c>
      <c r="W5" s="197" t="inlineStr">
        <is>
          <t>OL</t>
        </is>
      </c>
      <c r="X5" s="197" t="inlineStr">
        <is>
          <t>OL</t>
        </is>
      </c>
      <c r="Y5" s="197" t="inlineStr">
        <is>
          <t>CS2</t>
        </is>
      </c>
      <c r="Z5" s="197" t="n"/>
      <c r="AA5" s="197" t="inlineStr">
        <is>
          <t>DM</t>
        </is>
      </c>
      <c r="AC5" s="197" t="n"/>
      <c r="AD5" s="197" t="inlineStr">
        <is>
          <t>CS1</t>
        </is>
      </c>
      <c r="AE5" s="197" t="n"/>
      <c r="AF5" s="197" t="inlineStr">
        <is>
          <t>RESERVE</t>
        </is>
      </c>
      <c r="AG5" s="197" t="n"/>
      <c r="AH5" s="197" t="n"/>
      <c r="AI5" s="311" t="n"/>
      <c r="AJ5" s="312" t="n"/>
      <c r="AK5" s="311" t="n"/>
      <c r="AL5" s="313" t="n"/>
      <c r="AM5" s="313" t="n"/>
      <c r="AN5" s="313" t="n"/>
      <c r="AO5" s="313" t="n"/>
      <c r="AP5" s="238" t="n"/>
      <c r="AQ5" s="313">
        <f>SUMPRODUCT(--WEEKDAY(C$3:AG$3,2)&lt;6,--((C5:AG5="DM"))+(C5:AG5="CS1")+((C5:AG5="CS2"))+(C5:AG5="SB1")+(C5:AG5="AE")+(C5:AG5="EM"))</f>
        <v/>
      </c>
      <c r="AR5" s="238" t="n"/>
      <c r="AS5" s="238">
        <f>SUMPRODUCT(--WEEKDAY(C$3:AG$3,2)&gt;5,--((C5:AG5="DM"))+(C5:AG5="CS1")+((C5:AG5="CS2"))+(C5:AG5="SB1")+(C5:AG5="AE")+(C5:AG5="EM"))</f>
        <v/>
      </c>
      <c r="AT5" s="238" t="n"/>
      <c r="AU5" s="238">
        <f>(AQ5-AR5)/2+(AS5-AT5)</f>
        <v/>
      </c>
      <c r="AV5" s="238">
        <f>AI5+AJ5+AK5+AL5+AN5+AO5</f>
        <v/>
      </c>
      <c r="AW5" s="238">
        <f>BG5+BH5+BJ5+BE5+BC5+BA5+BL5</f>
        <v/>
      </c>
      <c r="AX5" s="238">
        <f>AU5+$AY$10</f>
        <v/>
      </c>
      <c r="AY5" s="313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/>
      </c>
      <c r="AZ5" s="313">
        <f>COUNTIF(D5:AA5,"*BRT*")</f>
        <v/>
      </c>
      <c r="BA5" s="313">
        <f>COUNTIF(A5:AI5,"*$BTP*")</f>
        <v/>
      </c>
      <c r="BB5" s="313">
        <f>BA5*('Setting key Duty'!$I$13+'Setting key Duty'!$I$12+'Setting key Duty'!$I$11)</f>
        <v/>
      </c>
      <c r="BC5" s="313">
        <f>COUNTIF(A5:AI5,"*$L*")</f>
        <v/>
      </c>
      <c r="BD5" s="313">
        <f>BC5*('Setting key Duty'!$I$13+'Setting key Duty'!$I$9)</f>
        <v/>
      </c>
      <c r="BE5" s="313">
        <f>COUNTIF(A5:AI5,"*$M*")</f>
        <v/>
      </c>
      <c r="BF5" s="313">
        <f>BE5*('Setting key Duty'!$I$8+'Setting key Duty'!$I$9+'Setting key Duty'!$I$12)</f>
        <v/>
      </c>
      <c r="BG5" s="313">
        <f>COUNTIF(AI5,"*$N*")</f>
        <v/>
      </c>
      <c r="BH5" s="313">
        <f>COUNTIF(AI5,"*$PM*")</f>
        <v/>
      </c>
      <c r="BI5" s="313">
        <f>BH5*('Setting key Duty'!$I$9)</f>
        <v/>
      </c>
      <c r="BJ5" s="313">
        <f>COUNTIF(A5:AI5,"*$AM*")</f>
        <v/>
      </c>
      <c r="BK5" s="313">
        <f>BJ5*('Setting key Duty'!$I$12+'Setting key Duty'!$I$8)</f>
        <v/>
      </c>
      <c r="BL5" s="313">
        <f>COUNTIF(D5:AI5,"*$FC*")</f>
        <v/>
      </c>
      <c r="BM5" s="313">
        <f>BL5*('Setting key Duty'!$J$11+'Setting key Duty'!$I$8)</f>
        <v/>
      </c>
      <c r="BN5" s="313">
        <f>COUNTIF($D5:$AA5,BN$4)</f>
        <v/>
      </c>
      <c r="BO5" s="313">
        <f>COUNTIF($D5:$AA5,BO$4)</f>
        <v/>
      </c>
      <c r="BP5" s="313">
        <f>COUNTIF($D5:$AA5,BP$4)</f>
        <v/>
      </c>
      <c r="BQ5" s="314" t="n"/>
    </row>
    <row r="6" ht="36" customHeight="1">
      <c r="A6" s="309" t="n"/>
      <c r="B6" s="374" t="inlineStr">
        <is>
          <t>CPL MUHAMMAD IZZAN RIZAL</t>
        </is>
      </c>
      <c r="C6" s="197" t="inlineStr">
        <is>
          <t>DM</t>
        </is>
      </c>
      <c r="D6" s="197" t="n"/>
      <c r="E6" s="197" t="inlineStr">
        <is>
          <t>RESERVE</t>
        </is>
      </c>
      <c r="F6" s="197" t="n"/>
      <c r="G6" s="197" t="inlineStr">
        <is>
          <t>GP</t>
        </is>
      </c>
      <c r="H6" s="197" t="inlineStr">
        <is>
          <t>GP</t>
        </is>
      </c>
      <c r="I6" s="197" t="inlineStr">
        <is>
          <t>GP</t>
        </is>
      </c>
      <c r="J6" s="197" t="n"/>
      <c r="K6" s="317" t="n"/>
      <c r="L6" s="317" t="inlineStr">
        <is>
          <t>CS1</t>
        </is>
      </c>
      <c r="M6" s="197" t="n"/>
      <c r="N6" s="197" t="n"/>
      <c r="O6" s="197" t="n"/>
      <c r="Q6" s="197" t="inlineStr">
        <is>
          <t>CS1</t>
        </is>
      </c>
      <c r="R6" s="197" t="n"/>
      <c r="S6" s="197" t="inlineStr">
        <is>
          <t>RESERVE</t>
        </is>
      </c>
      <c r="T6" s="197" t="n"/>
      <c r="U6" s="197" t="inlineStr">
        <is>
          <t>CS2</t>
        </is>
      </c>
      <c r="V6" s="200" t="n"/>
      <c r="W6" s="197" t="n"/>
      <c r="X6" s="197" t="n"/>
      <c r="Y6" s="317" t="inlineStr">
        <is>
          <t>MM</t>
        </is>
      </c>
      <c r="AA6" s="197" t="inlineStr">
        <is>
          <t>RESERVE</t>
        </is>
      </c>
      <c r="AB6" s="197" t="n"/>
      <c r="AC6" s="197" t="inlineStr">
        <is>
          <t>CS1</t>
        </is>
      </c>
      <c r="AD6" s="197" t="n"/>
      <c r="AE6" s="197" t="n"/>
      <c r="AF6" s="106" t="n"/>
      <c r="AG6" s="197" t="n"/>
      <c r="AH6" s="197" t="n"/>
      <c r="AI6" s="311">
        <f>COUNTIF($D6:$AE6,AI$4)</f>
        <v/>
      </c>
      <c r="AJ6" s="312">
        <f>COUNTIF($D6:$AE6,AJ$4)</f>
        <v/>
      </c>
      <c r="AK6" s="311">
        <f>COUNTIF($D6:$AE6,AK$4)</f>
        <v/>
      </c>
      <c r="AL6" s="313">
        <f>COUNTIF($D6:$AE6,AL$4)</f>
        <v/>
      </c>
      <c r="AM6" s="313">
        <f>COUNTIF($D6:$AE6,AM$4)</f>
        <v/>
      </c>
      <c r="AN6" s="313">
        <f>COUNTIF($D6:$AE6,AN$4)</f>
        <v/>
      </c>
      <c r="AO6" s="313">
        <f>COUNTIF($D6:$AE6,AO$4)</f>
        <v/>
      </c>
      <c r="AP6" s="238" t="n"/>
      <c r="AQ6" s="313">
        <f>SUMPRODUCT(--WEEKDAY(C$3:AG$3,2)&lt;6,--((C6:AG6="DM"))+(C6:AG6="CS1")+((C6:AG6="CS2"))+(C6:AG6="SB1")+(C6:AG6="AE")+(C6:AG6="EM"))</f>
        <v/>
      </c>
      <c r="AR6" s="238" t="n"/>
      <c r="AS6" s="238">
        <f>SUMPRODUCT(--WEEKDAY(C$3:AG$3,2)&gt;5,--((C6:AG6="DM"))+(C6:AG6="CS1")+((C6:AG6="CS2"))+(C6:AG6="SB1")+(C6:AG6="AE")+(C6:AG6="EM"))</f>
        <v/>
      </c>
      <c r="AT6" s="238" t="n"/>
      <c r="AU6" s="238">
        <f>(AQ6-AR6)/2+(AS6-AT6)</f>
        <v/>
      </c>
      <c r="AV6" s="238">
        <f>AI6+AJ6+AK6+AL6+AN6+AO6</f>
        <v/>
      </c>
      <c r="AW6" s="238">
        <f>AU6+AY6</f>
        <v/>
      </c>
      <c r="AX6" s="238">
        <f>AU6+AY6</f>
        <v/>
      </c>
      <c r="AY6" s="313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/>
      </c>
      <c r="AZ6" s="313">
        <f>COUNTIF(D6:AE6,"*BRT*")</f>
        <v/>
      </c>
      <c r="BA6" s="313">
        <f>COUNTIF(A6:AI6,"*$BTP*")</f>
        <v/>
      </c>
      <c r="BB6" s="313">
        <f>BA6*('Setting key Duty'!$I$13+'Setting key Duty'!$I$12+'Setting key Duty'!$I$11)</f>
        <v/>
      </c>
      <c r="BC6" s="313">
        <f>COUNTIF(A6:AI6,"*$L*")</f>
        <v/>
      </c>
      <c r="BD6" s="313">
        <f>BC6*('Setting key Duty'!$I$13+'Setting key Duty'!$I$9)</f>
        <v/>
      </c>
      <c r="BE6" s="313">
        <f>COUNTIF(A6:AI6,"*$M*")</f>
        <v/>
      </c>
      <c r="BF6" s="313">
        <f>BE6*('Setting key Duty'!$I$8+'Setting key Duty'!$I$9+'Setting key Duty'!$I$12)</f>
        <v/>
      </c>
      <c r="BG6" s="313">
        <f>COUNTIF(AE6:AI6,"*$N*")</f>
        <v/>
      </c>
      <c r="BH6" s="313">
        <f>COUNTIF(AE6:AI6,"*$PM*")</f>
        <v/>
      </c>
      <c r="BI6" s="313">
        <f>BH6*('Setting key Duty'!$I$9)</f>
        <v/>
      </c>
      <c r="BJ6" s="313">
        <f>COUNTIF(A6:AI6,"*$AM*")</f>
        <v/>
      </c>
      <c r="BK6" s="313">
        <f>BJ6*('Setting key Duty'!$I$12+'Setting key Duty'!$I$8)</f>
        <v/>
      </c>
      <c r="BL6" s="313">
        <f>COUNTIF(D6:AI6,"*$FC*")</f>
        <v/>
      </c>
      <c r="BM6" s="313">
        <f>BL6*('Setting key Duty'!$J$11+'Setting key Duty'!$I$8)</f>
        <v/>
      </c>
      <c r="BN6" s="313">
        <f>COUNTIF($D6:$AE6,BN$4)</f>
        <v/>
      </c>
      <c r="BO6" s="313">
        <f>COUNTIF($D6:$AE6,BO$4)</f>
        <v/>
      </c>
      <c r="BP6" s="313">
        <f>COUNTIF($D6:$AE6,BP$4)</f>
        <v/>
      </c>
      <c r="BQ6" s="314" t="n"/>
    </row>
    <row r="7" ht="19.5" customHeight="1">
      <c r="A7" s="309" t="n"/>
      <c r="B7" s="322" t="inlineStr">
        <is>
          <t>CPL KARTHIKRAM KRISHNAN</t>
        </is>
      </c>
      <c r="D7" s="197" t="n"/>
      <c r="E7" s="197" t="inlineStr">
        <is>
          <t>CS1</t>
        </is>
      </c>
      <c r="F7" s="197" t="n"/>
      <c r="G7" s="317" t="n"/>
      <c r="H7" s="197" t="inlineStr">
        <is>
          <t>OL</t>
        </is>
      </c>
      <c r="I7" s="197" t="inlineStr">
        <is>
          <t>OL</t>
        </is>
      </c>
      <c r="J7" s="197" t="inlineStr">
        <is>
          <t>OL</t>
        </is>
      </c>
      <c r="K7" s="197" t="inlineStr">
        <is>
          <t>OL</t>
        </is>
      </c>
      <c r="L7" s="197" t="inlineStr">
        <is>
          <t>OL</t>
        </is>
      </c>
      <c r="M7" s="197" t="inlineStr">
        <is>
          <t>OL</t>
        </is>
      </c>
      <c r="N7" s="197" t="inlineStr">
        <is>
          <t>OL</t>
        </is>
      </c>
      <c r="O7" s="197" t="inlineStr">
        <is>
          <t>OL</t>
        </is>
      </c>
      <c r="P7" s="197" t="inlineStr">
        <is>
          <t>OL</t>
        </is>
      </c>
      <c r="Q7" s="197" t="inlineStr">
        <is>
          <t>OL</t>
        </is>
      </c>
      <c r="R7" s="197" t="inlineStr">
        <is>
          <t>OL</t>
        </is>
      </c>
      <c r="S7" s="197" t="inlineStr">
        <is>
          <t>OL</t>
        </is>
      </c>
      <c r="T7" s="197" t="inlineStr">
        <is>
          <t>OL</t>
        </is>
      </c>
      <c r="U7" s="197" t="inlineStr">
        <is>
          <t>OL</t>
        </is>
      </c>
      <c r="V7" s="200" t="inlineStr">
        <is>
          <t>OL</t>
        </is>
      </c>
      <c r="W7" s="197" t="inlineStr">
        <is>
          <t>OL</t>
        </is>
      </c>
      <c r="X7" s="197" t="inlineStr">
        <is>
          <t>OL</t>
        </is>
      </c>
      <c r="Y7" s="197" t="inlineStr">
        <is>
          <t>OL</t>
        </is>
      </c>
      <c r="Z7" s="321" t="n"/>
      <c r="AA7" s="197" t="inlineStr">
        <is>
          <t>CS1</t>
        </is>
      </c>
      <c r="AB7" s="197" t="n"/>
      <c r="AC7" s="197" t="n"/>
      <c r="AD7" s="197" t="inlineStr">
        <is>
          <t>DM</t>
        </is>
      </c>
      <c r="AF7" s="197" t="inlineStr">
        <is>
          <t>DM</t>
        </is>
      </c>
      <c r="AG7" s="197" t="n"/>
      <c r="AH7" s="197" t="n"/>
      <c r="AI7" s="311">
        <f>COUNTIF(#REF!,AI$4)</f>
        <v/>
      </c>
      <c r="AJ7" s="312">
        <f>COUNTIF(#REF!,AJ$4)</f>
        <v/>
      </c>
      <c r="AK7" s="311">
        <f>COUNTIF(#REF!,AK$4)</f>
        <v/>
      </c>
      <c r="AL7" s="313">
        <f>COUNTIF(#REF!,AL$4)</f>
        <v/>
      </c>
      <c r="AM7" s="313">
        <f>COUNTIF(#REF!,AM$4)</f>
        <v/>
      </c>
      <c r="AN7" s="313">
        <f>COUNTIF(#REF!,AN$4)</f>
        <v/>
      </c>
      <c r="AO7" s="313">
        <f>COUNTIF(#REF!,AO$4)</f>
        <v/>
      </c>
      <c r="AP7" s="238" t="n"/>
      <c r="AQ7" s="313">
        <f>SUMPRODUCT(--WEEKDAY(C$3:AG$3,2)&lt;6,--((C7:AG7="DM"))+(C7:AG7="CS1")+((C7:AG7="CS2"))+(C7:AG7="SB1")+(C7:AG7="AE")+(C7:AG7="EM"))</f>
        <v/>
      </c>
      <c r="AR7" s="238" t="n"/>
      <c r="AS7" s="238">
        <f>SUMPRODUCT(--WEEKDAY(C$3:AG$3,2)&gt;5,--((C7:AG7="DM"))+(C7:AG7="CS1")+((C7:AG7="CS2"))+(C7:AG7="SB1")+(C7:AG7="AE")+(C7:AG7="EM"))</f>
        <v/>
      </c>
      <c r="AT7" s="238" t="n"/>
      <c r="AU7" s="238">
        <f>(AQ7-AR7)/2+(AS7-AT7)</f>
        <v/>
      </c>
      <c r="AV7" s="238">
        <f>AI7+AJ7+AK7+AL7+AN7+AO7</f>
        <v/>
      </c>
      <c r="AW7" s="238">
        <f>BG7+BH7+BJ7+BE7+BC7+BA7+BL7</f>
        <v/>
      </c>
      <c r="AX7" s="238">
        <f>AU7+AY7</f>
        <v/>
      </c>
      <c r="AY7" s="313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/>
      </c>
      <c r="AZ7" s="313">
        <f>COUNTIF(#REF!,"*BRT*")</f>
        <v/>
      </c>
      <c r="BA7" s="313">
        <f>COUNTIF(A7:AI7,"*$BTP*")</f>
        <v/>
      </c>
      <c r="BB7" s="313">
        <f>BA7*('Setting key Duty'!$I$13+'Setting key Duty'!$I$12+'Setting key Duty'!$I$11)</f>
        <v/>
      </c>
      <c r="BC7" s="313">
        <f>COUNTIF(A7:AI7,"*$L*")</f>
        <v/>
      </c>
      <c r="BD7" s="313">
        <f>BC7*('Setting key Duty'!$I$13+'Setting key Duty'!$I$9)</f>
        <v/>
      </c>
      <c r="BE7" s="313">
        <f>COUNTIF(A7:AI7,"*$M*")</f>
        <v/>
      </c>
      <c r="BF7" s="313">
        <f>BE7*('Setting key Duty'!$I$8+'Setting key Duty'!$I$9+'Setting key Duty'!$I$12)</f>
        <v/>
      </c>
      <c r="BG7" s="313">
        <f>COUNTIF(A7:AI7,"*$N*")</f>
        <v/>
      </c>
      <c r="BH7" s="313">
        <f>COUNTIF(AF7:AI7,"*$PM*")</f>
        <v/>
      </c>
      <c r="BI7" s="313">
        <f>BH7*('Setting key Duty'!$I$9)</f>
        <v/>
      </c>
      <c r="BJ7" s="313">
        <f>COUNTIF(A7:AI7,"*$AM*")</f>
        <v/>
      </c>
      <c r="BK7" s="313">
        <f>BJ7*('Setting key Duty'!$I$12+'Setting key Duty'!$I$8)</f>
        <v/>
      </c>
      <c r="BL7" s="313">
        <f>COUNTIF(D7:AI7,"*$FC*")</f>
        <v/>
      </c>
      <c r="BM7" s="313">
        <f>BL7*('Setting key Duty'!$J$11+'Setting key Duty'!$I$8)</f>
        <v/>
      </c>
      <c r="BN7" s="313">
        <f>COUNTIF(#REF!,BN$4)</f>
        <v/>
      </c>
      <c r="BO7" s="313">
        <f>COUNTIF(#REF!,BO$4)</f>
        <v/>
      </c>
      <c r="BP7" s="313">
        <f>COUNTIF(#REF!,BP$4)</f>
        <v/>
      </c>
      <c r="BQ7" s="314" t="n"/>
    </row>
    <row r="8" ht="19.5" customHeight="1">
      <c r="A8" s="309" t="n"/>
      <c r="B8" s="323" t="inlineStr">
        <is>
          <t>CPL MUHAMMAD AQIL BIN ABDULLAH</t>
        </is>
      </c>
      <c r="C8" s="197" t="n"/>
      <c r="D8" s="197" t="inlineStr">
        <is>
          <t>DM</t>
        </is>
      </c>
      <c r="E8" s="197" t="n"/>
      <c r="F8" s="197" t="n"/>
      <c r="G8" s="197" t="inlineStr">
        <is>
          <t>CS1</t>
        </is>
      </c>
      <c r="H8" s="324" t="n"/>
      <c r="I8" s="197" t="n"/>
      <c r="J8" s="197" t="inlineStr">
        <is>
          <t>CS1</t>
        </is>
      </c>
      <c r="K8" s="321" t="n"/>
      <c r="L8" s="321" t="n"/>
      <c r="M8" s="321" t="inlineStr">
        <is>
          <t>CS2</t>
        </is>
      </c>
      <c r="N8" s="321" t="n"/>
      <c r="O8" s="325" t="inlineStr">
        <is>
          <t>CS2</t>
        </is>
      </c>
      <c r="R8" s="321" t="n"/>
      <c r="S8" s="321" t="n"/>
      <c r="T8" s="321" t="n"/>
      <c r="U8" s="321" t="n"/>
      <c r="V8" s="326" t="n"/>
      <c r="W8" s="321" t="n"/>
      <c r="X8" s="321" t="n"/>
      <c r="Y8" s="321" t="n"/>
      <c r="Z8" s="321" t="n"/>
      <c r="AA8" s="321" t="n"/>
      <c r="AB8" s="321" t="n"/>
      <c r="AC8" s="321" t="n"/>
      <c r="AD8" s="321" t="n"/>
      <c r="AE8" s="321" t="n"/>
      <c r="AF8" s="321" t="n"/>
      <c r="AG8" s="321" t="n"/>
      <c r="AH8" s="321" t="n"/>
      <c r="AI8" s="311" t="n"/>
      <c r="AJ8" s="312" t="n"/>
      <c r="AK8" s="311" t="n"/>
      <c r="AL8" s="313" t="n"/>
      <c r="AM8" s="313" t="n"/>
      <c r="AN8" s="313" t="n"/>
      <c r="AO8" s="313" t="n"/>
      <c r="AP8" s="238" t="n"/>
      <c r="AQ8" s="313">
        <f>SUMPRODUCT(--WEEKDAY(C$3:AG$3,2)&lt;6,--((C8:AG8="DM"))+(C8:AG8="CS1")+((C8:AG8="CS2"))+(C8:AG8="SB1")+(C8:AG8="AE")+(C8:AG8="EM"))</f>
        <v/>
      </c>
      <c r="AR8" s="238" t="n"/>
      <c r="AS8" s="238">
        <f>SUMPRODUCT(--WEEKDAY(C$3:AG$3,2)&gt;5,--((C8:AG8="DM"))+(C8:AG8="CS1")+((C8:AG8="CS2"))+(C8:AG8="SB1")+(C8:AG8="AE")+(C8:AG8="EM"))</f>
        <v/>
      </c>
      <c r="AT8" s="238" t="n"/>
      <c r="AU8" s="238">
        <f>(AQ8-AR8)/2+(AS8-AT8)</f>
        <v/>
      </c>
      <c r="AV8" s="238">
        <f>AI8+AJ8+AK8+AL8+AN8+AO8</f>
        <v/>
      </c>
      <c r="AW8" s="238">
        <f>BG8+BH8+BJ8+BE8+BC8+BA8+BL8</f>
        <v/>
      </c>
      <c r="AX8" s="238">
        <f>AU8+AY8</f>
        <v/>
      </c>
      <c r="AY8" s="313" t="n"/>
      <c r="AZ8" s="313" t="n"/>
      <c r="BA8" s="313" t="n"/>
      <c r="BB8" s="313" t="n"/>
      <c r="BC8" s="313" t="n"/>
      <c r="BD8" s="313" t="n"/>
      <c r="BE8" s="313" t="n"/>
      <c r="BF8" s="313" t="n"/>
      <c r="BG8" s="313" t="n"/>
      <c r="BH8" s="313" t="n"/>
      <c r="BI8" s="313" t="n"/>
      <c r="BJ8" s="313" t="n"/>
      <c r="BK8" s="313" t="n"/>
      <c r="BL8" s="313" t="n"/>
      <c r="BM8" s="313" t="n"/>
      <c r="BN8" s="313" t="n"/>
      <c r="BO8" s="313" t="n"/>
      <c r="BP8" s="313" t="n"/>
      <c r="BQ8" s="314" t="n"/>
    </row>
    <row r="9" ht="19.5" customHeight="1">
      <c r="A9" s="309" t="n"/>
      <c r="B9" s="327" t="inlineStr">
        <is>
          <t>CFC FARABI BIN ZULKIFLI</t>
        </is>
      </c>
      <c r="D9" s="197" t="inlineStr">
        <is>
          <t>CS2</t>
        </is>
      </c>
      <c r="E9" s="197" t="n"/>
      <c r="F9" s="197" t="inlineStr">
        <is>
          <t>CS1</t>
        </is>
      </c>
      <c r="G9" s="197" t="n"/>
      <c r="H9" s="197" t="n"/>
      <c r="I9" s="197" t="n"/>
      <c r="J9" s="197" t="inlineStr">
        <is>
          <t>RESERVE</t>
        </is>
      </c>
      <c r="L9" s="197" t="n"/>
      <c r="M9" s="317" t="n"/>
      <c r="N9" s="317" t="inlineStr">
        <is>
          <t>CS2</t>
        </is>
      </c>
      <c r="O9" s="317" t="inlineStr">
        <is>
          <t>ALB</t>
        </is>
      </c>
      <c r="P9" s="197" t="inlineStr">
        <is>
          <t>AE</t>
        </is>
      </c>
      <c r="Q9" s="197" t="n"/>
      <c r="R9" s="197" t="n"/>
      <c r="S9" s="197" t="inlineStr">
        <is>
          <t>RESERVE</t>
        </is>
      </c>
      <c r="U9" s="321" t="n"/>
      <c r="V9" s="197" t="inlineStr">
        <is>
          <t>OL</t>
        </is>
      </c>
      <c r="W9" s="197" t="inlineStr">
        <is>
          <t>OL</t>
        </is>
      </c>
      <c r="X9" s="197" t="inlineStr">
        <is>
          <t>OL</t>
        </is>
      </c>
      <c r="Y9" s="197" t="inlineStr">
        <is>
          <t>OL</t>
        </is>
      </c>
      <c r="Z9" s="197" t="inlineStr">
        <is>
          <t>OL</t>
        </is>
      </c>
      <c r="AA9" s="197" t="inlineStr">
        <is>
          <t>OL</t>
        </is>
      </c>
      <c r="AB9" s="321" t="n"/>
      <c r="AC9" s="321" t="n"/>
      <c r="AD9" s="197" t="inlineStr">
        <is>
          <t>RESERVE</t>
        </is>
      </c>
      <c r="AE9" s="197" t="n"/>
      <c r="AF9" s="197" t="n"/>
      <c r="AG9" s="197" t="n"/>
      <c r="AH9" s="197" t="n"/>
      <c r="AI9" s="311" t="n"/>
      <c r="AJ9" s="312" t="n"/>
      <c r="AK9" s="311" t="n"/>
      <c r="AL9" s="313" t="n"/>
      <c r="AM9" s="313" t="n"/>
      <c r="AN9" s="313" t="n"/>
      <c r="AO9" s="313" t="n"/>
      <c r="AP9" s="238" t="n"/>
      <c r="AQ9" s="313">
        <f>SUMPRODUCT(--WEEKDAY(C$3:AG$3,2)&lt;6,--((C9:AG9="DM"))+(C9:AG9="CS1")+((C9:AG9="CS2"))+(C9:AG9="SB1")+(C9:AG9="AE")+(C9:AG9="EM"))</f>
        <v/>
      </c>
      <c r="AR9" s="238" t="n"/>
      <c r="AS9" s="238">
        <f>SUMPRODUCT(--WEEKDAY(C$3:AG$3,2)&gt;5,--((C9:AG9="DM"))+(C9:AG9="CS1")+((C9:AG9="CS2"))+(C9:AG9="SB1")+(C9:AG9="AE")+(C9:AG9="EM"))</f>
        <v/>
      </c>
      <c r="AT9" s="238" t="n"/>
      <c r="AU9" s="238">
        <f>(AQ9-AR9)/2+(AS9-AT9)</f>
        <v/>
      </c>
      <c r="AV9" s="238">
        <f>AI9+AJ9+AK9+AL9+AN9+AO9</f>
        <v/>
      </c>
      <c r="AW9" s="238">
        <f>BG9+BH9+BJ9+BE9+BC9+BA9+BL9</f>
        <v/>
      </c>
      <c r="AX9" s="238">
        <f>AU9+AY9</f>
        <v/>
      </c>
      <c r="AY9" s="313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/>
      </c>
      <c r="AZ9" s="313">
        <f>COUNTIF(D9:V9,"*BRT*")</f>
        <v/>
      </c>
      <c r="BA9" s="313">
        <f>COUNTIF(A9:AI9,"*$BTP*")</f>
        <v/>
      </c>
      <c r="BB9" s="313">
        <f>BA9*('Setting key Duty'!$I$13+'Setting key Duty'!$I$12+'Setting key Duty'!$I$11)</f>
        <v/>
      </c>
      <c r="BC9" s="313">
        <f>COUNTIF(A9:AI9,"*$L*")</f>
        <v/>
      </c>
      <c r="BD9" s="313">
        <f>BC9*('Setting key Duty'!$I$13+'Setting key Duty'!$I$9)</f>
        <v/>
      </c>
      <c r="BE9" s="313">
        <f>COUNTIF(A9:AI9,"*$M*")</f>
        <v/>
      </c>
      <c r="BF9" s="313">
        <f>BE9*('Setting key Duty'!$I$8+'Setting key Duty'!$I$9+'Setting key Duty'!$I$12)</f>
        <v/>
      </c>
      <c r="BG9" s="313">
        <f>COUNTIF(AI9,"*$N*")</f>
        <v/>
      </c>
      <c r="BH9" s="313">
        <f>COUNTIF(AI9,"*$PM*")</f>
        <v/>
      </c>
      <c r="BI9" s="313">
        <f>BH9*('Setting key Duty'!$I$9)</f>
        <v/>
      </c>
      <c r="BJ9" s="313">
        <f>COUNTIF(A9:AI9,"*$AM*")</f>
        <v/>
      </c>
      <c r="BK9" s="313">
        <f>BJ9*('Setting key Duty'!$I$12+'Setting key Duty'!$I$8)</f>
        <v/>
      </c>
      <c r="BL9" s="313">
        <f>COUNTIF(D9:AI9,"*$FC*")</f>
        <v/>
      </c>
      <c r="BM9" s="313">
        <f>BL9*('Setting key Duty'!$J$11+'Setting key Duty'!$I$8)</f>
        <v/>
      </c>
      <c r="BN9" s="313">
        <f>COUNTIF($D9:$V9,BN$4)</f>
        <v/>
      </c>
      <c r="BO9" s="313">
        <f>COUNTIF($D9:$V9,BO$4)</f>
        <v/>
      </c>
      <c r="BP9" s="313">
        <f>COUNTIF($D9:$V9,BP$4)</f>
        <v/>
      </c>
      <c r="BQ9" s="314" t="n"/>
    </row>
    <row r="10" ht="19.5" customHeight="1">
      <c r="A10" s="309" t="n"/>
      <c r="B10" s="328" t="inlineStr">
        <is>
          <t>CPL MUHAMMAD AQIL HAMZAH BIN SYELDRICK</t>
        </is>
      </c>
      <c r="C10" s="197" t="inlineStr">
        <is>
          <t>CS1</t>
        </is>
      </c>
      <c r="E10" s="197" t="inlineStr">
        <is>
          <t>GX $AM 8KM</t>
        </is>
      </c>
      <c r="F10" s="197" t="n"/>
      <c r="G10" s="197" t="inlineStr">
        <is>
          <t>DM</t>
        </is>
      </c>
      <c r="H10" s="324" t="n"/>
      <c r="I10" s="197" t="n"/>
      <c r="J10" s="197" t="n"/>
      <c r="K10" s="197" t="inlineStr">
        <is>
          <t>RESERVE</t>
        </is>
      </c>
      <c r="L10" s="197" t="n"/>
      <c r="M10" s="317" t="n"/>
      <c r="N10" s="321" t="n"/>
      <c r="O10" s="321" t="inlineStr">
        <is>
          <t>DM</t>
        </is>
      </c>
      <c r="Q10" s="197" t="n"/>
      <c r="R10" s="196" t="inlineStr">
        <is>
          <t>CS1</t>
        </is>
      </c>
      <c r="T10" s="197" t="inlineStr">
        <is>
          <t>RESERVE</t>
        </is>
      </c>
      <c r="U10" s="196" t="n"/>
      <c r="V10" s="200" t="inlineStr">
        <is>
          <t>Labour Day OIL</t>
        </is>
      </c>
      <c r="W10" s="324" t="inlineStr">
        <is>
          <t>OL</t>
        </is>
      </c>
      <c r="X10" s="197" t="inlineStr">
        <is>
          <t>OL</t>
        </is>
      </c>
      <c r="Y10" s="197" t="inlineStr">
        <is>
          <t>OL</t>
        </is>
      </c>
      <c r="Z10" s="197" t="inlineStr">
        <is>
          <t>F $AM ER 0600-1100</t>
        </is>
      </c>
      <c r="AA10" s="197" t="n"/>
      <c r="AB10" s="197" t="n"/>
      <c r="AC10" s="197" t="n"/>
      <c r="AD10" s="197" t="n"/>
      <c r="AE10" s="197" t="inlineStr">
        <is>
          <t>RESERVE</t>
        </is>
      </c>
      <c r="AF10" s="197" t="inlineStr">
        <is>
          <t>BMT $PM SAF DAY</t>
        </is>
      </c>
      <c r="AG10" s="197" t="n"/>
      <c r="AH10" s="197" t="n"/>
      <c r="AI10" s="311" t="n"/>
      <c r="AJ10" s="312" t="n"/>
      <c r="AK10" s="311" t="n"/>
      <c r="AL10" s="313" t="n"/>
      <c r="AM10" s="313" t="n"/>
      <c r="AN10" s="313" t="n"/>
      <c r="AO10" s="313" t="n"/>
      <c r="AP10" s="238" t="n"/>
      <c r="AQ10" s="313">
        <f>SUMPRODUCT(--WEEKDAY(C$3:AG$3,2)&lt;6,--((C10:AG10="DM"))+(C10:AG10="CS1")+((C10:AG10="CS2"))+(C10:AG10="SB1")+(C10:AG10="AE")+(C10:AG10="EM"))</f>
        <v/>
      </c>
      <c r="AR10" s="238" t="n"/>
      <c r="AS10" s="238">
        <f>SUMPRODUCT(--WEEKDAY(C$3:AG$3,2)&gt;5,--((C10:AG10="DM"))+(C10:AG10="CS1")+((C10:AG10="CS2"))+(C10:AG10="SB1")+(C10:AG10="AE")+(C10:AG10="EM"))</f>
        <v/>
      </c>
      <c r="AT10" s="238" t="n"/>
      <c r="AU10" s="238">
        <f>(AQ10-AR10)/2+(AS10-AT10)</f>
        <v/>
      </c>
      <c r="AV10" s="238">
        <f>AI10+AJ10+AK10+AL10+AN10+AO10</f>
        <v/>
      </c>
      <c r="AW10" s="238">
        <f>BG10+BH10+BJ10+BE10+BC10+BA10+BL10</f>
        <v/>
      </c>
      <c r="AX10" s="238">
        <f>AU10+$AY$10</f>
        <v/>
      </c>
      <c r="AY10" s="313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/>
      </c>
      <c r="AZ10" s="313">
        <f>COUNTIF(C10:AC10,"*BRT*")</f>
        <v/>
      </c>
      <c r="BA10" s="313">
        <f>COUNTIF(A10:AI10,"*$BTP*")</f>
        <v/>
      </c>
      <c r="BB10" s="313">
        <f>BA10*('Setting key Duty'!$I$13+'Setting key Duty'!$I$12+'Setting key Duty'!$I$11)</f>
        <v/>
      </c>
      <c r="BC10" s="313">
        <f>COUNTIF(D10:AI10,"*$L*")</f>
        <v/>
      </c>
      <c r="BD10" s="313">
        <f>BC10*('Setting key Duty'!$I$13+'Setting key Duty'!$I$9)</f>
        <v/>
      </c>
      <c r="BE10" s="313">
        <f>COUNTIF(D10:AI10,"*$M*")</f>
        <v/>
      </c>
      <c r="BF10" s="313">
        <f>BE10*('Setting key Duty'!$I$8+'Setting key Duty'!$I$9+'Setting key Duty'!$I$12)</f>
        <v/>
      </c>
      <c r="BG10" s="313">
        <f>COUNTIF(D10:AI10,"*$N*")</f>
        <v/>
      </c>
      <c r="BH10" s="313">
        <f>COUNTIF(D10:AI10,"*$PM*")</f>
        <v/>
      </c>
      <c r="BI10" s="313">
        <f>BH10*('Setting key Duty'!$I$9)</f>
        <v/>
      </c>
      <c r="BJ10" s="313">
        <f>COUNTIF(D10:AI10,"*$AM*")</f>
        <v/>
      </c>
      <c r="BK10" s="313">
        <f>BJ10*('Setting key Duty'!$I$12+'Setting key Duty'!$I$8)</f>
        <v/>
      </c>
      <c r="BL10" s="313">
        <f>COUNTIF(C10:AI10,"*$FC*")</f>
        <v/>
      </c>
      <c r="BM10" s="313">
        <f>BL10*('Setting key Duty'!$J$11+'Setting key Duty'!$I$8)</f>
        <v/>
      </c>
      <c r="BN10" s="313">
        <f>COUNTIF($C10:$AG10,BN$4)</f>
        <v/>
      </c>
      <c r="BO10" s="313">
        <f>COUNTIF($C10:$AG10,BO$4)</f>
        <v/>
      </c>
      <c r="BP10" s="313">
        <f>COUNTIF($D10:$AD10,BP$4)</f>
        <v/>
      </c>
      <c r="BQ10" s="314" t="n"/>
    </row>
    <row r="11" ht="19.5" customHeight="1">
      <c r="A11" s="309" t="n"/>
      <c r="B11" s="315" t="inlineStr">
        <is>
          <t>CPL MOHD AMEER KHAN S/O BASHIR ISMAIL</t>
        </is>
      </c>
      <c r="C11" s="197" t="n"/>
      <c r="D11" s="197" t="n"/>
      <c r="E11" s="197" t="n"/>
      <c r="F11" s="197" t="inlineStr">
        <is>
          <t>DM</t>
        </is>
      </c>
      <c r="G11" s="197" t="n"/>
      <c r="H11" s="197" t="inlineStr">
        <is>
          <t>RESERVE</t>
        </is>
      </c>
      <c r="I11" s="197" t="n"/>
      <c r="J11" s="197" t="n"/>
      <c r="L11" s="197" t="inlineStr">
        <is>
          <t>RESERVE</t>
        </is>
      </c>
      <c r="M11" s="197" t="n"/>
      <c r="N11" s="197" t="inlineStr">
        <is>
          <t>RESERVE</t>
        </is>
      </c>
      <c r="O11" s="197" t="n"/>
      <c r="Q11" s="197" t="inlineStr">
        <is>
          <t>DM</t>
        </is>
      </c>
      <c r="R11" s="197" t="n"/>
      <c r="S11" s="197" t="n"/>
      <c r="T11" s="197" t="inlineStr">
        <is>
          <t>DM</t>
        </is>
      </c>
      <c r="U11" s="196" t="n"/>
      <c r="V11" s="200" t="inlineStr">
        <is>
          <t>MA</t>
        </is>
      </c>
      <c r="W11" s="197" t="inlineStr">
        <is>
          <t>DM</t>
        </is>
      </c>
      <c r="X11" s="197" t="n"/>
      <c r="Y11" s="197" t="inlineStr">
        <is>
          <t>DM</t>
        </is>
      </c>
      <c r="Z11" s="197" t="n"/>
      <c r="AB11" s="197" t="inlineStr">
        <is>
          <t>DM</t>
        </is>
      </c>
      <c r="AC11" s="197" t="n"/>
      <c r="AD11" s="197" t="n"/>
      <c r="AE11" s="197" t="inlineStr">
        <is>
          <t>DM</t>
        </is>
      </c>
      <c r="AF11" s="197" t="n"/>
      <c r="AG11" s="197" t="n"/>
      <c r="AH11" s="197" t="n"/>
      <c r="AI11" s="311" t="n"/>
      <c r="AJ11" s="312" t="n"/>
      <c r="AK11" s="311" t="n"/>
      <c r="AL11" s="313" t="n"/>
      <c r="AM11" s="313" t="n"/>
      <c r="AN11" s="313" t="n"/>
      <c r="AO11" s="313" t="n"/>
      <c r="AP11" s="238" t="n"/>
      <c r="AQ11" s="313">
        <f>SUMPRODUCT(--WEEKDAY(C$3:AG$3,2)&lt;6,--((C11:AG11="DM"))+(C11:AG11="CS1")+((C11:AG11="CS2"))+(C11:AG11="SB1")+(C11:AG11="AE")+(C11:AG11="EM"))</f>
        <v/>
      </c>
      <c r="AR11" s="238" t="n"/>
      <c r="AS11" s="238">
        <f>SUMPRODUCT(--WEEKDAY(C$3:AG$3,2)&gt;5,--((C11:AG11="DM"))+(C11:AG11="CS1")+((C11:AG11="CS2"))+(C11:AG11="SB1")+(C11:AG11="AE")+(C11:AG11="EM"))</f>
        <v/>
      </c>
      <c r="AT11" s="238" t="n"/>
      <c r="AU11" s="238">
        <f>(AQ11-AR11)/2+(AS11-AT11)</f>
        <v/>
      </c>
      <c r="AV11" s="238">
        <f>AI11+AJ11+AK11+AL11+AN11+AO11</f>
        <v/>
      </c>
      <c r="AW11" s="238">
        <f>BG11+BH11+BJ11+BE11+BC11+BA11+BL11</f>
        <v/>
      </c>
      <c r="AX11" s="238">
        <f>AU11+AY11</f>
        <v/>
      </c>
      <c r="AY11" s="313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/>
      </c>
      <c r="AZ11" s="313">
        <f>COUNTIF(D11:AC11,"*BRT*")</f>
        <v/>
      </c>
      <c r="BA11" s="313">
        <f>COUNTIF(A11:AI11,"*$BTP*")</f>
        <v/>
      </c>
      <c r="BB11" s="313">
        <f>BA11*('Setting key Duty'!$I$13+'Setting key Duty'!$I$12+'Setting key Duty'!$I$11)</f>
        <v/>
      </c>
      <c r="BC11" s="313">
        <f>COUNTIF(A11:AI11,"*$L*")</f>
        <v/>
      </c>
      <c r="BD11" s="313">
        <f>BC11*('Setting key Duty'!$I$13+'Setting key Duty'!$I$9)</f>
        <v/>
      </c>
      <c r="BE11" s="313">
        <f>COUNTIF(A11:AI11,"*$M*")</f>
        <v/>
      </c>
      <c r="BF11" s="313">
        <f>BE11*('Setting key Duty'!$I$8+'Setting key Duty'!$I$9+'Setting key Duty'!$I$12)</f>
        <v/>
      </c>
      <c r="BG11" s="313">
        <f>COUNTIF(AF11:AI11,"*$N*")</f>
        <v/>
      </c>
      <c r="BH11" s="313">
        <f>COUNTIF(AF11:AI11,"*$PM*")</f>
        <v/>
      </c>
      <c r="BI11" s="313">
        <f>BH11*('Setting key Duty'!$I$9)</f>
        <v/>
      </c>
      <c r="BJ11" s="313">
        <f>COUNTIF(A11:AI11,"*$AM*")</f>
        <v/>
      </c>
      <c r="BK11" s="313">
        <f>BJ11*('Setting key Duty'!$I$12+'Setting key Duty'!$I$8)</f>
        <v/>
      </c>
      <c r="BL11" s="313">
        <f>COUNTIF(D11:AI11,"*$FC*")</f>
        <v/>
      </c>
      <c r="BM11" s="313">
        <f>BL11*('Setting key Duty'!$J$11+'Setting key Duty'!$I$8)</f>
        <v/>
      </c>
      <c r="BN11" s="313">
        <f>COUNTIF($D11:$AE11,BN$4)</f>
        <v/>
      </c>
      <c r="BO11" s="313">
        <f>COUNTIF($D11:$AE11,BO$4)</f>
        <v/>
      </c>
      <c r="BP11" s="313">
        <f>COUNTIF($D11:$AE11,BP$4)</f>
        <v/>
      </c>
      <c r="BQ11" s="314" t="n"/>
    </row>
    <row r="12" ht="19.5" customHeight="1">
      <c r="A12" s="309" t="n"/>
      <c r="B12" s="329" t="inlineStr">
        <is>
          <t>LCP ALPHA KELVIN ISAAC BIN MUHAMMAD MCKEVIN LAWRENCE</t>
        </is>
      </c>
      <c r="C12" s="197" t="n"/>
      <c r="D12" s="330" t="n"/>
      <c r="E12" s="197" t="inlineStr">
        <is>
          <t>GX $AM 8KM</t>
        </is>
      </c>
      <c r="F12" s="331" t="inlineStr">
        <is>
          <t>SB1</t>
        </is>
      </c>
      <c r="G12" s="197" t="n"/>
      <c r="H12" s="197" t="inlineStr">
        <is>
          <t>RESERVE</t>
        </is>
      </c>
      <c r="J12" s="197" t="n"/>
      <c r="K12" s="317" t="n"/>
      <c r="M12" s="197" t="inlineStr">
        <is>
          <t>RESERVE</t>
        </is>
      </c>
      <c r="N12" s="197" t="n"/>
      <c r="O12" s="197" t="inlineStr">
        <is>
          <t>RESERVE</t>
        </is>
      </c>
      <c r="P12" s="197" t="n"/>
      <c r="Q12" s="197" t="inlineStr">
        <is>
          <t>CS2</t>
        </is>
      </c>
      <c r="R12" s="197" t="n"/>
      <c r="U12" s="317" t="inlineStr">
        <is>
          <t>DM</t>
        </is>
      </c>
      <c r="V12" s="197" t="inlineStr">
        <is>
          <t>RESERVE</t>
        </is>
      </c>
      <c r="W12" s="197" t="n"/>
      <c r="X12" s="197" t="n"/>
      <c r="Y12" s="317" t="inlineStr">
        <is>
          <t>MM</t>
        </is>
      </c>
      <c r="AA12" s="197" t="inlineStr">
        <is>
          <t>CS2</t>
        </is>
      </c>
      <c r="AB12" s="197" t="n"/>
      <c r="AC12" s="197" t="n"/>
      <c r="AD12" s="197" t="n"/>
      <c r="AE12" s="197" t="n"/>
      <c r="AF12" s="197" t="inlineStr">
        <is>
          <t>CS2</t>
        </is>
      </c>
      <c r="AG12" s="197" t="n"/>
      <c r="AH12" s="197" t="n"/>
      <c r="AI12" s="311" t="n"/>
      <c r="AJ12" s="312" t="n"/>
      <c r="AK12" s="311" t="n"/>
      <c r="AL12" s="313" t="n"/>
      <c r="AM12" s="313" t="n"/>
      <c r="AN12" s="313" t="n"/>
      <c r="AO12" s="313" t="n"/>
      <c r="AP12" s="238" t="n"/>
      <c r="AQ12" s="313">
        <f>SUMPRODUCT(--WEEKDAY(C$3:AG$3,2)&lt;6,--((C12:AG12="DM"))+(C12:AG12="CS1")+((C12:AG12="CS2"))+(C12:AG12="SB1")+(C12:AG12="AE")+(C12:AG12="EM"))</f>
        <v/>
      </c>
      <c r="AR12" s="238" t="n"/>
      <c r="AS12" s="238">
        <f>SUMPRODUCT(--WEEKDAY(C$3:AG$3,2)&gt;5,--((C12:AG12="DM"))+(C12:AG12="CS1")+((C12:AG12="CS2"))+(C12:AG12="SB1")+(C12:AG12="AE")+(C12:AG12="EM"))</f>
        <v/>
      </c>
      <c r="AT12" s="238" t="n"/>
      <c r="AU12" s="238">
        <f>(AQ12-AR12)/2+(AS12-AT12)</f>
        <v/>
      </c>
      <c r="AV12" s="238">
        <f>AI12+AJ12+AK12+AL12+AN12+AO12</f>
        <v/>
      </c>
      <c r="AW12" s="238">
        <f>BG12+BH12+BJ12+BE12+BC12+BA12+BL12</f>
        <v/>
      </c>
      <c r="AX12" s="238">
        <f>AU12+AY12</f>
        <v/>
      </c>
      <c r="AY12" s="313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/>
      </c>
      <c r="AZ12" s="313">
        <f>COUNTIF(D12:Y12,"*BRT*")</f>
        <v/>
      </c>
      <c r="BA12" s="313">
        <f>COUNTIF(A12:AI12,"*$BTP*")</f>
        <v/>
      </c>
      <c r="BB12" s="313">
        <f>BA12*('Setting key Duty'!$I$13+'Setting key Duty'!$I$12+'Setting key Duty'!$I$11)</f>
        <v/>
      </c>
      <c r="BC12" s="313">
        <f>COUNTIF(A12:AI12,"*$L*")</f>
        <v/>
      </c>
      <c r="BD12" s="313">
        <f>BC12*('Setting key Duty'!$I$13+'Setting key Duty'!$I$9)</f>
        <v/>
      </c>
      <c r="BE12" s="313">
        <f>COUNTIF(A12:AI12,"*$M*")</f>
        <v/>
      </c>
      <c r="BF12" s="313">
        <f>BE12*('Setting key Duty'!$I$8+'Setting key Duty'!$I$9+'Setting key Duty'!$I$12)</f>
        <v/>
      </c>
      <c r="BG12" s="313">
        <f>COUNTIF(AI12,"*$N*")</f>
        <v/>
      </c>
      <c r="BH12" s="313">
        <f>COUNTIF(AI12,"*$PM*")</f>
        <v/>
      </c>
      <c r="BI12" s="313">
        <f>BH12*('Setting key Duty'!$I$9)</f>
        <v/>
      </c>
      <c r="BJ12" s="313">
        <f>COUNTIF(A12:AI12,"*$AM*")</f>
        <v/>
      </c>
      <c r="BK12" s="313">
        <f>BJ12*('Setting key Duty'!$I$12+'Setting key Duty'!$I$8)</f>
        <v/>
      </c>
      <c r="BL12" s="313">
        <f>COUNTIF(D12:AI12,"*$FC*")</f>
        <v/>
      </c>
      <c r="BM12" s="313">
        <f>BL12*('Setting key Duty'!$J$11+'Setting key Duty'!$I$8)</f>
        <v/>
      </c>
      <c r="BN12" s="313">
        <f>COUNTIF($D12:$Y12,BN$4)</f>
        <v/>
      </c>
      <c r="BO12" s="313">
        <f>COUNTIF($D12:$Y12,BO$4)</f>
        <v/>
      </c>
      <c r="BP12" s="313">
        <f>COUNTIF($D12:$Y12,BP$4)</f>
        <v/>
      </c>
      <c r="BQ12" s="314" t="n"/>
    </row>
    <row r="13" ht="24" customHeight="1">
      <c r="A13" s="309" t="n"/>
      <c r="B13" s="335" t="inlineStr">
        <is>
          <t>CPL RAZIN HILMANSYAH BIN ROSLI</t>
        </is>
      </c>
      <c r="C13" s="197" t="inlineStr">
        <is>
          <t>CS2</t>
        </is>
      </c>
      <c r="D13" s="197" t="n"/>
      <c r="E13" s="197" t="inlineStr">
        <is>
          <t>RESERVE</t>
        </is>
      </c>
      <c r="F13" s="197" t="n"/>
      <c r="G13" s="197" t="inlineStr">
        <is>
          <t>GP</t>
        </is>
      </c>
      <c r="H13" s="197" t="inlineStr">
        <is>
          <t>GP</t>
        </is>
      </c>
      <c r="I13" s="197" t="inlineStr">
        <is>
          <t>GP</t>
        </is>
      </c>
      <c r="J13" s="317" t="n"/>
      <c r="K13" s="197" t="inlineStr">
        <is>
          <t>CS2</t>
        </is>
      </c>
      <c r="L13" s="197" t="n"/>
      <c r="M13" s="197" t="n"/>
      <c r="N13" s="197" t="n"/>
      <c r="O13" s="197" t="inlineStr">
        <is>
          <t>OL</t>
        </is>
      </c>
      <c r="P13" s="197" t="inlineStr">
        <is>
          <t>OL</t>
        </is>
      </c>
      <c r="Q13" s="197" t="inlineStr">
        <is>
          <t>OL</t>
        </is>
      </c>
      <c r="R13" s="197" t="inlineStr">
        <is>
          <t>OL</t>
        </is>
      </c>
      <c r="S13" s="197" t="inlineStr">
        <is>
          <t>OL</t>
        </is>
      </c>
      <c r="T13" s="197" t="inlineStr">
        <is>
          <t>OL</t>
        </is>
      </c>
      <c r="U13" s="197" t="inlineStr">
        <is>
          <t>OL</t>
        </is>
      </c>
      <c r="V13" s="200" t="inlineStr">
        <is>
          <t>OL</t>
        </is>
      </c>
      <c r="W13" s="197" t="inlineStr">
        <is>
          <t>OL</t>
        </is>
      </c>
      <c r="X13" s="197" t="inlineStr">
        <is>
          <t>OL</t>
        </is>
      </c>
      <c r="Y13" s="197" t="inlineStr">
        <is>
          <t>OL</t>
        </is>
      </c>
      <c r="Z13" s="197" t="inlineStr">
        <is>
          <t>CS2</t>
        </is>
      </c>
      <c r="AB13" s="197" t="n"/>
      <c r="AC13" s="197" t="inlineStr">
        <is>
          <t>DM</t>
        </is>
      </c>
      <c r="AD13" s="197" t="n"/>
      <c r="AF13" s="197" t="inlineStr">
        <is>
          <t>RESERVE</t>
        </is>
      </c>
      <c r="AG13" s="197" t="n"/>
      <c r="AH13" s="197" t="n"/>
      <c r="AI13" s="311">
        <f>COUNTIF($C13:$AB13,AI$4)</f>
        <v/>
      </c>
      <c r="AJ13" s="312">
        <f>COUNTIF($C13:$AB13,AJ$4)</f>
        <v/>
      </c>
      <c r="AK13" s="311">
        <f>COUNTIF($C13:$AB13,AK$4)</f>
        <v/>
      </c>
      <c r="AL13" s="313">
        <f>COUNTIF($C13:$AB13,AL$4)</f>
        <v/>
      </c>
      <c r="AM13" s="313">
        <f>COUNTIF($C13:$AB13,AM$4)</f>
        <v/>
      </c>
      <c r="AN13" s="313">
        <f>COUNTIF($C13:$AB13,AN$4)</f>
        <v/>
      </c>
      <c r="AO13" s="313">
        <f>COUNTIF($C13:$AB13,AO$4)</f>
        <v/>
      </c>
      <c r="AP13" s="238" t="n"/>
      <c r="AQ13" s="313">
        <f>SUMPRODUCT(--WEEKDAY(C$3:AG$3,2)&lt;6,--((C13:AG13="DM"))+(C13:AG13="CS1")+((C13:AG13="CS2"))+(C13:AG13="SB1")+(C13:AG13="AE")+(C13:AG13="EM"))</f>
        <v/>
      </c>
      <c r="AR13" s="238" t="n"/>
      <c r="AS13" s="238">
        <f>SUMPRODUCT(--WEEKDAY(C$3:AG$3,2)&gt;5,--((C13:AG13="DM"))+(C13:AG13="CS1")+((C13:AG13="CS2"))+(C13:AG13="SB1")+(C13:AG13="AE")+(C13:AG13="EM"))</f>
        <v/>
      </c>
      <c r="AT13" s="238" t="n"/>
      <c r="AU13" s="238">
        <f>(AQ13-AR13)/2+(AS13-AT13)</f>
        <v/>
      </c>
      <c r="AV13" s="238">
        <f>AI13+AJ13+AK13+AL13+AN13+AO13</f>
        <v/>
      </c>
      <c r="AW13" s="238">
        <f>BG13+BH13+BJ13+BE13+BC13+BA13+BL13</f>
        <v/>
      </c>
      <c r="AX13" s="238">
        <f>AU13+AY13</f>
        <v/>
      </c>
      <c r="AY13" s="313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/>
      </c>
      <c r="AZ13" s="313">
        <f>COUNTIF(C13:AB13,"*BRT*")</f>
        <v/>
      </c>
      <c r="BA13" s="313">
        <f>COUNTIF(A13:AI13,"*$BTP*")</f>
        <v/>
      </c>
      <c r="BB13" s="313">
        <f>BA13*('Setting key Duty'!$I$13+'Setting key Duty'!$I$12+'Setting key Duty'!$I$11)</f>
        <v/>
      </c>
      <c r="BC13" s="313">
        <f>COUNTIF(A13:AI13,"*$L*")</f>
        <v/>
      </c>
      <c r="BD13" s="313">
        <f>BC13*('Setting key Duty'!$I$13+'Setting key Duty'!$I$9)</f>
        <v/>
      </c>
      <c r="BE13" s="313">
        <f>COUNTIF(A13:AI13,"*$M*")</f>
        <v/>
      </c>
      <c r="BF13" s="313">
        <f>BE13*('Setting key Duty'!$I$8+'Setting key Duty'!$I$9+'Setting key Duty'!$I$12)</f>
        <v/>
      </c>
      <c r="BG13" s="313">
        <f>COUNTIF(A13:AI13,"*$N*")</f>
        <v/>
      </c>
      <c r="BH13" s="313">
        <f>COUNTIF(AI13,"*$PM*")</f>
        <v/>
      </c>
      <c r="BI13" s="313">
        <f>BH13*('Setting key Duty'!$I$9)</f>
        <v/>
      </c>
      <c r="BJ13" s="313">
        <f>COUNTIF(A13:AI13,"*$AM*")</f>
        <v/>
      </c>
      <c r="BK13" s="313">
        <f>BJ13*('Setting key Duty'!$I$12+'Setting key Duty'!$I$8)</f>
        <v/>
      </c>
      <c r="BL13" s="313">
        <f>COUNTIF(C13:AI13,"*$FC*")</f>
        <v/>
      </c>
      <c r="BM13" s="313">
        <f>BL13*('Setting key Duty'!$J$11+'Setting key Duty'!$I$8)</f>
        <v/>
      </c>
      <c r="BN13" s="313">
        <f>COUNTIF($C13:$AB13,BN$4)</f>
        <v/>
      </c>
      <c r="BO13" s="313">
        <f>COUNTIF($C13:$AB13,BO$4)</f>
        <v/>
      </c>
      <c r="BP13" s="313">
        <f>COUNTIF($C13:$AB13,BP$4)</f>
        <v/>
      </c>
      <c r="BQ13" s="314" t="n"/>
    </row>
    <row r="14" ht="19.5" customHeight="1">
      <c r="A14" s="309" t="n"/>
      <c r="B14" s="334" t="inlineStr">
        <is>
          <t>LCP JAY DEOL FROST</t>
        </is>
      </c>
      <c r="C14" s="197" t="n"/>
      <c r="D14" s="197" t="n"/>
      <c r="E14" s="197" t="inlineStr">
        <is>
          <t>GX24</t>
        </is>
      </c>
      <c r="F14" s="197" t="inlineStr">
        <is>
          <t>GX24</t>
        </is>
      </c>
      <c r="G14" s="324" t="n"/>
      <c r="H14" s="197" t="inlineStr">
        <is>
          <t>CS2</t>
        </is>
      </c>
      <c r="I14" s="197" t="n"/>
      <c r="J14" s="197" t="n"/>
      <c r="K14" s="197" t="n"/>
      <c r="L14" s="197" t="inlineStr">
        <is>
          <t>RESERVE</t>
        </is>
      </c>
      <c r="M14" s="317" t="n"/>
      <c r="N14" s="197" t="n"/>
      <c r="O14" s="197" t="n"/>
      <c r="P14" s="197" t="n"/>
      <c r="Q14" s="197" t="n"/>
      <c r="R14" s="197" t="inlineStr">
        <is>
          <t>CS2</t>
        </is>
      </c>
      <c r="T14" s="196" t="n"/>
      <c r="V14" s="200" t="inlineStr">
        <is>
          <t>DM</t>
        </is>
      </c>
      <c r="W14" s="197" t="n"/>
      <c r="X14" s="197" t="inlineStr">
        <is>
          <t>RESERVE</t>
        </is>
      </c>
      <c r="Y14" s="197" t="inlineStr">
        <is>
          <t>MM</t>
        </is>
      </c>
      <c r="Z14" s="197" t="n"/>
      <c r="AA14" s="197" t="inlineStr">
        <is>
          <t>PTT</t>
        </is>
      </c>
      <c r="AB14" s="197" t="inlineStr">
        <is>
          <t>RESERVE</t>
        </is>
      </c>
      <c r="AC14" s="197" t="n"/>
      <c r="AD14" s="197" t="inlineStr">
        <is>
          <t>CS2</t>
        </is>
      </c>
      <c r="AE14" s="197" t="n"/>
      <c r="AF14" s="197" t="n"/>
      <c r="AG14" s="197" t="n"/>
      <c r="AH14" s="197" t="n"/>
      <c r="AI14" s="311">
        <f>COUNTIF($C14:$AF14,AI$4)</f>
        <v/>
      </c>
      <c r="AJ14" s="312">
        <f>COUNTIF($C14:$AF14,AJ$4)</f>
        <v/>
      </c>
      <c r="AK14" s="311">
        <f>COUNTIF($C14:$AF14,AK$4)</f>
        <v/>
      </c>
      <c r="AL14" s="313">
        <f>COUNTIF($C14:$AF14,AL$4)</f>
        <v/>
      </c>
      <c r="AM14" s="313">
        <f>COUNTIF($C14:$AF14,AM$4)</f>
        <v/>
      </c>
      <c r="AN14" s="313">
        <f>COUNTIF($C14:$AF14,AN$4)</f>
        <v/>
      </c>
      <c r="AO14" s="313">
        <f>COUNTIF($C14:$AF14,AO$4)</f>
        <v/>
      </c>
      <c r="AP14" s="238" t="n"/>
      <c r="AQ14" s="313">
        <f>SUMPRODUCT(--WEEKDAY(C$3:AG$3,2)&lt;6,--((C14:AG14="DM"))+(C14:AG14="CS1")+((C14:AG14="CS2"))+(C14:AG14="SB1")+(C14:AG14="AE")+(C14:AG14="EM"))</f>
        <v/>
      </c>
      <c r="AR14" s="238" t="n"/>
      <c r="AS14" s="238">
        <f>SUMPRODUCT(--WEEKDAY(C$3:AG$3,2)&gt;5,--((C14:AG14="DM"))+(C14:AG14="CS1")+((C14:AG14="CS2"))+(C14:AG14="SB1")+(C14:AG14="AE")+(C14:AG14="EM"))</f>
        <v/>
      </c>
      <c r="AT14" s="238" t="n"/>
      <c r="AU14" s="238">
        <f>(AQ14-AR14)/2+(AS14-AT14)</f>
        <v/>
      </c>
      <c r="AV14" s="238">
        <f>AI14+AJ14+AK14+AL14+AN14+AO14</f>
        <v/>
      </c>
      <c r="AW14" s="238">
        <f>BG14+BH14+BJ14+BE14+BC14+BA14+BL14</f>
        <v/>
      </c>
      <c r="AX14" s="238">
        <f>AU14+AY14</f>
        <v/>
      </c>
      <c r="AY14" s="313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/>
      </c>
      <c r="AZ14" s="313">
        <f>COUNTIF(C14:AC14,"*BRT*")</f>
        <v/>
      </c>
      <c r="BA14" s="313">
        <f>COUNTIF(A14:AI14,"*$BTP*")</f>
        <v/>
      </c>
      <c r="BB14" s="313">
        <f>BA14*('Setting key Duty'!$I$13+'Setting key Duty'!$I$12+'Setting key Duty'!$I$11)</f>
        <v/>
      </c>
      <c r="BC14" s="313">
        <f>COUNTIF(I14:AI14,"*$L*")</f>
        <v/>
      </c>
      <c r="BD14" s="313">
        <f>BC14*('Setting key Duty'!$I$13+'Setting key Duty'!$I$9)</f>
        <v/>
      </c>
      <c r="BE14" s="313">
        <f>COUNTIF(I14:AI14,"*$M*")</f>
        <v/>
      </c>
      <c r="BF14" s="313">
        <f>BE14*('Setting key Duty'!$I$8+'Setting key Duty'!$I$9+'Setting key Duty'!$I$12)</f>
        <v/>
      </c>
      <c r="BG14" s="313">
        <f>COUNTIF(I14:AI14,"*$N*")</f>
        <v/>
      </c>
      <c r="BH14" s="313">
        <f>COUNTIF(I14:AI14,"*$PM*")</f>
        <v/>
      </c>
      <c r="BI14" s="313">
        <f>BH14*('Setting key Duty'!$I$9)</f>
        <v/>
      </c>
      <c r="BJ14" s="313">
        <f>COUNTIF(I14:AI14,"*$AM*")</f>
        <v/>
      </c>
      <c r="BK14" s="313">
        <f>BJ14*('Setting key Duty'!$I$12+'Setting key Duty'!$I$8)</f>
        <v/>
      </c>
      <c r="BL14" s="313">
        <f>COUNTIF(C14:AI14,"*$FC*")</f>
        <v/>
      </c>
      <c r="BM14" s="313">
        <f>BL14*('Setting key Duty'!$J$11+'Setting key Duty'!$I$8)</f>
        <v/>
      </c>
      <c r="BN14" s="313">
        <f>COUNTIF($C14:$AF14,BN$4)</f>
        <v/>
      </c>
      <c r="BO14" s="313">
        <f>COUNTIF($C14:$AF14,BO$4)</f>
        <v/>
      </c>
      <c r="BP14" s="313">
        <f>COUNTIF($I14:$AE14,BP$4)</f>
        <v/>
      </c>
      <c r="BQ14" s="314" t="n"/>
    </row>
    <row r="15" ht="19.5" customHeight="1">
      <c r="A15" s="309" t="n"/>
      <c r="B15" s="329" t="inlineStr">
        <is>
          <t>CPL JASON TAN JIAN CHEN</t>
        </is>
      </c>
      <c r="C15" s="317" t="inlineStr">
        <is>
          <t>OL</t>
        </is>
      </c>
      <c r="D15" s="197" t="inlineStr">
        <is>
          <t>OL</t>
        </is>
      </c>
      <c r="E15" s="197" t="inlineStr">
        <is>
          <t>OL</t>
        </is>
      </c>
      <c r="F15" s="197" t="inlineStr">
        <is>
          <t>OL</t>
        </is>
      </c>
      <c r="G15" s="197" t="inlineStr">
        <is>
          <t>OL</t>
        </is>
      </c>
      <c r="H15" s="197" t="inlineStr">
        <is>
          <t>OL</t>
        </is>
      </c>
      <c r="I15" s="197" t="inlineStr">
        <is>
          <t>OL</t>
        </is>
      </c>
      <c r="J15" s="197" t="inlineStr">
        <is>
          <t>OL</t>
        </is>
      </c>
      <c r="K15" s="197" t="inlineStr">
        <is>
          <t>DM</t>
        </is>
      </c>
      <c r="L15" s="197" t="n"/>
      <c r="M15" s="106" t="n"/>
      <c r="N15" s="197" t="inlineStr">
        <is>
          <t>CS1</t>
        </is>
      </c>
      <c r="O15" s="197" t="n"/>
      <c r="P15" s="197" t="n"/>
      <c r="Q15" s="317" t="n"/>
      <c r="R15" s="197" t="inlineStr">
        <is>
          <t>DM</t>
        </is>
      </c>
      <c r="S15" s="197" t="n"/>
      <c r="T15" s="197" t="inlineStr">
        <is>
          <t>CS1</t>
        </is>
      </c>
      <c r="U15" s="317" t="n"/>
      <c r="V15" s="106" t="n"/>
      <c r="X15" s="197" t="n"/>
      <c r="Y15" s="197" t="inlineStr">
        <is>
          <t>MM</t>
        </is>
      </c>
      <c r="Z15" s="197" t="n"/>
      <c r="AA15" s="197" t="inlineStr">
        <is>
          <t>PTT</t>
        </is>
      </c>
      <c r="AB15" s="197" t="inlineStr">
        <is>
          <t>CS1</t>
        </is>
      </c>
      <c r="AC15" s="197" t="n"/>
      <c r="AD15" s="197" t="n"/>
      <c r="AE15" s="197" t="n"/>
      <c r="AF15" s="197" t="n"/>
      <c r="AG15" s="197" t="n"/>
      <c r="AH15" s="197" t="n"/>
      <c r="AI15" s="311" t="n"/>
      <c r="AJ15" s="312" t="n"/>
      <c r="AK15" s="311" t="n"/>
      <c r="AL15" s="313" t="n"/>
      <c r="AM15" s="313" t="n"/>
      <c r="AN15" s="313" t="n"/>
      <c r="AO15" s="313" t="n"/>
      <c r="AP15" s="238" t="n"/>
      <c r="AQ15" s="313">
        <f>SUMPRODUCT(--WEEKDAY(C$3:AG$3,2)&lt;6,--((C15:AG15="DM"))+(C15:AG15="CS1")+((C15:AG15="CS2"))+(C15:AG15="SB1")+(C15:AG15="AE")+(C15:AG15="EM"))</f>
        <v/>
      </c>
      <c r="AR15" s="238" t="n"/>
      <c r="AS15" s="238">
        <f>SUMPRODUCT(--WEEKDAY(C$3:AG$3,2)&gt;5,--((C15:AG15="DM"))+(C15:AG15="CS1")+((C15:AG15="CS2"))+(C15:AG15="SB1")+(C15:AG15="AE")+(C15:AG15="EM"))</f>
        <v/>
      </c>
      <c r="AT15" s="238" t="n"/>
      <c r="AU15" s="238">
        <f>(AQ15-AR15)/2+(AS15-AT15)</f>
        <v/>
      </c>
      <c r="AV15" s="238">
        <f>AI15+AJ15+AK15+AL15+AN15+AO15</f>
        <v/>
      </c>
      <c r="AW15" s="238">
        <f>BG15+BH15+BJ15+BE15+BC15+BA15+BL15</f>
        <v/>
      </c>
      <c r="AX15" s="238">
        <f>AU15+$AY$10</f>
        <v/>
      </c>
      <c r="AY15" s="313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/>
      </c>
      <c r="AZ15" s="313">
        <f>COUNTIF(D15:AA15,"*BRT*")</f>
        <v/>
      </c>
      <c r="BA15" s="313">
        <f>COUNTIF(A15:AI15,"*$BTP*")</f>
        <v/>
      </c>
      <c r="BB15" s="313">
        <f>BA15*('Setting key Duty'!$I$13+'Setting key Duty'!$I$12+'Setting key Duty'!$I$11)</f>
        <v/>
      </c>
      <c r="BC15" s="313">
        <f>COUNTIF(A15:AI15,"*$L*")</f>
        <v/>
      </c>
      <c r="BD15" s="313">
        <f>BC15*('Setting key Duty'!$I$13+'Setting key Duty'!$I$9)</f>
        <v/>
      </c>
      <c r="BE15" s="313">
        <f>COUNTIF(A15:AI15,"*$M*")</f>
        <v/>
      </c>
      <c r="BF15" s="313">
        <f>BE15*('Setting key Duty'!$I$8+'Setting key Duty'!$I$9+'Setting key Duty'!$I$12)</f>
        <v/>
      </c>
      <c r="BG15" s="313">
        <f>COUNTIF(AI15,"*$N*")</f>
        <v/>
      </c>
      <c r="BH15" s="313">
        <f>COUNTIF(AI15,"*$PM*")</f>
        <v/>
      </c>
      <c r="BI15" s="313">
        <f>BH15*('Setting key Duty'!$I$9)</f>
        <v/>
      </c>
      <c r="BJ15" s="313">
        <f>COUNTIF(A15:AI15,"*$AM*")</f>
        <v/>
      </c>
      <c r="BK15" s="313">
        <f>BJ15*('Setting key Duty'!$I$12+'Setting key Duty'!$I$8)</f>
        <v/>
      </c>
      <c r="BL15" s="313">
        <f>COUNTIF(D15:AI15,"*$FC*")</f>
        <v/>
      </c>
      <c r="BM15" s="313">
        <f>BL15*('Setting key Duty'!$J$11+'Setting key Duty'!$I$8)</f>
        <v/>
      </c>
      <c r="BN15" s="313">
        <f>COUNTIF($D15:$AA15,BN$4)</f>
        <v/>
      </c>
      <c r="BO15" s="313">
        <f>COUNTIF($D15:$AA15,BO$4)</f>
        <v/>
      </c>
      <c r="BP15" s="313">
        <f>COUNTIF($D15:$AA15,BP$4)</f>
        <v/>
      </c>
      <c r="BQ15" s="314" t="n"/>
    </row>
    <row r="16" ht="19.5" customHeight="1">
      <c r="A16" s="309" t="n"/>
      <c r="B16" s="373" t="inlineStr">
        <is>
          <t>LCP JARRETT TSING KEE JIN</t>
        </is>
      </c>
      <c r="C16" s="317" t="n"/>
      <c r="E16" s="197" t="inlineStr">
        <is>
          <t>SB1</t>
        </is>
      </c>
      <c r="F16" s="197" t="n"/>
      <c r="G16" s="197" t="inlineStr">
        <is>
          <t>GP</t>
        </is>
      </c>
      <c r="H16" s="197" t="inlineStr">
        <is>
          <t>GP</t>
        </is>
      </c>
      <c r="I16" s="197" t="inlineStr">
        <is>
          <t>GP</t>
        </is>
      </c>
      <c r="J16" s="197" t="n"/>
      <c r="K16" s="197" t="n"/>
      <c r="L16" s="197" t="inlineStr">
        <is>
          <t>CS2</t>
        </is>
      </c>
      <c r="M16" s="197" t="n"/>
      <c r="N16" s="197" t="n"/>
      <c r="P16" s="197" t="n"/>
      <c r="Q16" s="197" t="inlineStr">
        <is>
          <t>RESERVE</t>
        </is>
      </c>
      <c r="R16" s="197" t="n"/>
      <c r="S16" s="197" t="inlineStr">
        <is>
          <t>DM</t>
        </is>
      </c>
      <c r="T16" s="197" t="n"/>
      <c r="U16" s="197" t="n"/>
      <c r="V16" s="200" t="n"/>
      <c r="W16" s="197" t="inlineStr">
        <is>
          <t>CS1</t>
        </is>
      </c>
      <c r="X16" s="197" t="n"/>
      <c r="Y16" s="197" t="inlineStr">
        <is>
          <t>MM</t>
        </is>
      </c>
      <c r="Z16" s="197" t="n"/>
      <c r="AA16" s="197" t="inlineStr">
        <is>
          <t>PTT</t>
        </is>
      </c>
      <c r="AC16" s="197" t="n"/>
      <c r="AD16" s="197" t="n"/>
      <c r="AE16" s="197" t="n"/>
      <c r="AF16" s="197" t="n"/>
      <c r="AG16" s="197" t="n"/>
      <c r="AH16" s="197" t="n"/>
      <c r="AI16" s="311" t="n"/>
      <c r="AJ16" s="312" t="n"/>
      <c r="AK16" s="311" t="n"/>
      <c r="AL16" s="313" t="n"/>
      <c r="AM16" s="313" t="n"/>
      <c r="AN16" s="313" t="n"/>
      <c r="AO16" s="313" t="n"/>
      <c r="AP16" s="238" t="n"/>
      <c r="AQ16" s="313">
        <f>SUMPRODUCT(--WEEKDAY(C$3:AG$3,2)&lt;6,--((C16:AG16="DM"))+(C16:AG16="CS1")+((C16:AG16="CS2"))+(C16:AG16="SB1")+(C16:AG16="AE")+(C16:AG16="EM"))</f>
        <v/>
      </c>
      <c r="AR16" s="238" t="n"/>
      <c r="AS16" s="238">
        <f>SUMPRODUCT(--WEEKDAY(C$3:AG$3,2)&gt;5,--((C16:AG16="DM"))+(C16:AG16="CS1")+((C16:AG16="CS2"))+(C16:AG16="SB1")+(C16:AG16="AE")+(C16:AG16="EM"))</f>
        <v/>
      </c>
      <c r="AT16" s="238" t="n"/>
      <c r="AU16" s="238">
        <f>(AQ16-AR16)/2+(AS16-AT16)</f>
        <v/>
      </c>
      <c r="AV16" s="238">
        <f>AI16+AJ16+AK16+AL16+AN16+AO16</f>
        <v/>
      </c>
      <c r="AW16" s="238">
        <f>BG16+BH16+BJ16+BE16+BC16+BA16+BL16</f>
        <v/>
      </c>
      <c r="AX16" s="238">
        <f>AU16+$AY$10</f>
        <v/>
      </c>
      <c r="AY16" s="313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/>
      </c>
      <c r="AZ16" s="313">
        <f>COUNTIF(E16:Y16,"*BRT*")</f>
        <v/>
      </c>
      <c r="BA16" s="313">
        <f>COUNTIF(A16:AI16,"*$BTP*")</f>
        <v/>
      </c>
      <c r="BB16" s="313">
        <f>BA16*('Setting key Duty'!$I$13+'Setting key Duty'!$I$12+'Setting key Duty'!$I$11)</f>
        <v/>
      </c>
      <c r="BC16" s="313">
        <f>COUNTIF(A16:AI16,"*$L*")</f>
        <v/>
      </c>
      <c r="BD16" s="313">
        <f>BC16*('Setting key Duty'!$I$13+'Setting key Duty'!$I$9)</f>
        <v/>
      </c>
      <c r="BE16" s="313">
        <f>COUNTIF(A16:AI16,"*$M*")</f>
        <v/>
      </c>
      <c r="BF16" s="313">
        <f>BE16*('Setting key Duty'!$I$8+'Setting key Duty'!$I$9+'Setting key Duty'!$I$12)</f>
        <v/>
      </c>
      <c r="BG16" s="313">
        <f>COUNTIF(AI16,"*$N*")</f>
        <v/>
      </c>
      <c r="BH16" s="313">
        <f>COUNTIF(AI16,"*$PM*")</f>
        <v/>
      </c>
      <c r="BI16" s="313">
        <f>BH16*('Setting key Duty'!$I$9)</f>
        <v/>
      </c>
      <c r="BJ16" s="313">
        <f>COUNTIF(A16:AI16,"*$AM*")</f>
        <v/>
      </c>
      <c r="BK16" s="313">
        <f>BJ16*('Setting key Duty'!$I$12+'Setting key Duty'!$I$8)</f>
        <v/>
      </c>
      <c r="BL16" s="313">
        <f>COUNTIF(E16:AI16,"*$FC*")</f>
        <v/>
      </c>
      <c r="BM16" s="313">
        <f>BL16*('Setting key Duty'!$J$11+'Setting key Duty'!$I$8)</f>
        <v/>
      </c>
      <c r="BN16" s="313">
        <f>COUNTIF($E16:$Y16,BN$4)</f>
        <v/>
      </c>
      <c r="BO16" s="313">
        <f>COUNTIF($E16:$Y16,BO$4)</f>
        <v/>
      </c>
      <c r="BP16" s="313">
        <f>COUNTIF($E16:$Y16,BP$4)</f>
        <v/>
      </c>
      <c r="BQ16" s="314" t="n"/>
    </row>
    <row r="17" ht="30.75" customHeight="1">
      <c r="A17" s="309" t="n"/>
      <c r="B17" s="315" t="inlineStr">
        <is>
          <t>CPL CHEN DENG FENG</t>
        </is>
      </c>
      <c r="C17" s="197" t="n"/>
      <c r="D17" s="197" t="n"/>
      <c r="E17" s="197" t="inlineStr">
        <is>
          <t>GX $AM 8KM</t>
        </is>
      </c>
      <c r="F17" s="197" t="n"/>
      <c r="G17" s="197" t="inlineStr">
        <is>
          <t>RESERVE</t>
        </is>
      </c>
      <c r="H17" s="197" t="n"/>
      <c r="I17" s="197" t="inlineStr">
        <is>
          <t>DM</t>
        </is>
      </c>
      <c r="J17" s="197" t="n"/>
      <c r="K17" s="197" t="n"/>
      <c r="L17" s="197" t="inlineStr">
        <is>
          <t>DM</t>
        </is>
      </c>
      <c r="N17" s="197" t="n"/>
      <c r="O17" s="197" t="n"/>
      <c r="P17" s="197" t="inlineStr">
        <is>
          <t>DM</t>
        </is>
      </c>
      <c r="R17" s="197" t="n"/>
      <c r="S17" s="197" t="n"/>
      <c r="T17" s="197" t="n"/>
      <c r="U17" s="197" t="inlineStr">
        <is>
          <t>RESERVE</t>
        </is>
      </c>
      <c r="V17" s="197" t="n"/>
      <c r="W17" s="197" t="inlineStr">
        <is>
          <t>OL</t>
        </is>
      </c>
      <c r="X17" s="197" t="inlineStr">
        <is>
          <t>OL</t>
        </is>
      </c>
      <c r="Y17" s="197" t="inlineStr">
        <is>
          <t>OL</t>
        </is>
      </c>
      <c r="Z17" s="197" t="inlineStr">
        <is>
          <t>OL</t>
        </is>
      </c>
      <c r="AA17" s="197" t="inlineStr">
        <is>
          <t>OL</t>
        </is>
      </c>
      <c r="AB17" s="197" t="inlineStr">
        <is>
          <t>OL</t>
        </is>
      </c>
      <c r="AC17" s="197" t="inlineStr">
        <is>
          <t>OL</t>
        </is>
      </c>
      <c r="AD17" s="197" t="inlineStr">
        <is>
          <t>OL</t>
        </is>
      </c>
      <c r="AE17" s="197" t="inlineStr">
        <is>
          <t>OL</t>
        </is>
      </c>
      <c r="AF17" s="197" t="inlineStr">
        <is>
          <t>CS1</t>
        </is>
      </c>
      <c r="AG17" s="197" t="n"/>
      <c r="AH17" s="106" t="n"/>
      <c r="AI17" s="311" t="n"/>
      <c r="AJ17" s="312" t="n"/>
      <c r="AK17" s="311" t="n"/>
      <c r="AL17" s="313" t="n"/>
      <c r="AM17" s="313" t="n"/>
      <c r="AN17" s="313" t="n"/>
      <c r="AO17" s="313" t="n"/>
      <c r="AP17" s="238" t="n"/>
      <c r="AQ17" s="313">
        <f>SUMPRODUCT(--WEEKDAY(C$3:AG$3,2)&lt;6,--((C17:AG17="DM"))+(C17:AG17="CS1")+((C17:AG17="CS2"))+(C17:AG17="SB1")+(C17:AG17="AE")+(C17:AG17="EM"))</f>
        <v/>
      </c>
      <c r="AR17" s="238" t="n"/>
      <c r="AS17" s="238">
        <f>SUMPRODUCT(--WEEKDAY(C$3:AG$3,2)&gt;5,--((C17:AG17="DM"))+(C17:AG17="CS1")+((C17:AG17="CS2"))+(C17:AG17="SB1")+(C17:AG17="AE")+(C17:AG17="EM"))</f>
        <v/>
      </c>
      <c r="AT17" s="238" t="n"/>
      <c r="AU17" s="238">
        <f>(AQ17-AR17)/2+(AS17-AT17)</f>
        <v/>
      </c>
      <c r="AV17" s="238">
        <f>AI17+AJ17+AK17+AL17+AN17+AO17</f>
        <v/>
      </c>
      <c r="AW17" s="238">
        <f>BG17+BH17+BJ17+BE17+BC17+BA17+BL17</f>
        <v/>
      </c>
      <c r="AX17" s="238">
        <f>AU17+$AY$10</f>
        <v/>
      </c>
      <c r="AY17" s="313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/>
      </c>
      <c r="AZ17" s="313">
        <f>COUNTIF(D17:AA17,"*BRT*")</f>
        <v/>
      </c>
      <c r="BA17" s="313">
        <f>COUNTIF(A17:AI17,"*$BTP*")</f>
        <v/>
      </c>
      <c r="BB17" s="313">
        <f>BA17*('Setting key Duty'!$I$13+'Setting key Duty'!$I$12+'Setting key Duty'!$I$11)</f>
        <v/>
      </c>
      <c r="BC17" s="313">
        <f>COUNTIF(A17:AI17,"*$L*")</f>
        <v/>
      </c>
      <c r="BD17" s="313">
        <f>BC17*('Setting key Duty'!$I$13+'Setting key Duty'!$I$9)</f>
        <v/>
      </c>
      <c r="BE17" s="313">
        <f>COUNTIF(A17:AI17,"*$M*")</f>
        <v/>
      </c>
      <c r="BF17" s="313">
        <f>BE17*('Setting key Duty'!$I$8+'Setting key Duty'!$I$9+'Setting key Duty'!$I$12)</f>
        <v/>
      </c>
      <c r="BG17" s="313">
        <f>COUNTIF(AI17,"*$N*")</f>
        <v/>
      </c>
      <c r="BH17" s="313">
        <f>COUNTIF(AI17,"*$PM*")</f>
        <v/>
      </c>
      <c r="BI17" s="313">
        <f>BH17*('Setting key Duty'!$I$9)</f>
        <v/>
      </c>
      <c r="BJ17" s="313">
        <f>COUNTIF(A17:AI17,"*$AM*")</f>
        <v/>
      </c>
      <c r="BK17" s="313">
        <f>BJ17*('Setting key Duty'!$I$12+'Setting key Duty'!$I$8)</f>
        <v/>
      </c>
      <c r="BL17" s="313">
        <f>COUNTIF(D17:AI17,"*$FC*")</f>
        <v/>
      </c>
      <c r="BM17" s="313">
        <f>BL17*('Setting key Duty'!$J$11+'Setting key Duty'!$I$8)</f>
        <v/>
      </c>
      <c r="BN17" s="313">
        <f>COUNTIF($D17:$AA17,BN$4)</f>
        <v/>
      </c>
      <c r="BO17" s="313">
        <f>COUNTIF($D17:$AA17,BO$4)</f>
        <v/>
      </c>
      <c r="BP17" s="313">
        <f>COUNTIF($D17:$AA17,BP$4)</f>
        <v/>
      </c>
      <c r="BQ17" s="314" t="n"/>
    </row>
    <row r="18" ht="27.75" customHeight="1">
      <c r="A18" s="309" t="n"/>
      <c r="B18" s="315" t="inlineStr">
        <is>
          <t>CPL EUAN TING</t>
        </is>
      </c>
      <c r="D18" s="197" t="n"/>
      <c r="E18" s="197" t="inlineStr">
        <is>
          <t>NDP</t>
        </is>
      </c>
      <c r="G18" s="197" t="inlineStr">
        <is>
          <t>NDP</t>
        </is>
      </c>
      <c r="J18" s="197" t="inlineStr">
        <is>
          <t>CS2</t>
        </is>
      </c>
      <c r="K18" s="197" t="n"/>
      <c r="L18" s="196" t="n"/>
      <c r="M18" s="197" t="n"/>
      <c r="N18" s="197" t="inlineStr">
        <is>
          <t>RESERVE</t>
        </is>
      </c>
      <c r="P18" s="197" t="inlineStr">
        <is>
          <t>NDP</t>
        </is>
      </c>
      <c r="R18" s="197" t="n"/>
      <c r="S18" s="197" t="inlineStr">
        <is>
          <t>CS1</t>
        </is>
      </c>
      <c r="T18" s="197" t="n"/>
      <c r="V18" s="200" t="n"/>
      <c r="W18" s="197" t="inlineStr">
        <is>
          <t>NDP</t>
        </is>
      </c>
      <c r="X18" s="197" t="n"/>
      <c r="Y18" s="317" t="inlineStr">
        <is>
          <t>MM</t>
        </is>
      </c>
      <c r="Z18" s="197" t="inlineStr">
        <is>
          <t>DM</t>
        </is>
      </c>
      <c r="AA18" s="197" t="n"/>
      <c r="AB18" s="197" t="inlineStr">
        <is>
          <t>CS2</t>
        </is>
      </c>
      <c r="AC18" s="317" t="n"/>
      <c r="AD18" s="197" t="inlineStr">
        <is>
          <t>NDP</t>
        </is>
      </c>
      <c r="AF18" s="197" t="n"/>
      <c r="AG18" s="197" t="n"/>
      <c r="AH18" s="197" t="n"/>
      <c r="AI18" s="311" t="n"/>
      <c r="AJ18" s="312" t="n"/>
      <c r="AK18" s="311" t="n"/>
      <c r="AL18" s="313" t="n"/>
      <c r="AM18" s="313" t="n"/>
      <c r="AN18" s="313" t="n"/>
      <c r="AO18" s="313" t="n"/>
      <c r="AP18" s="238" t="n"/>
      <c r="AQ18" s="313">
        <f>SUMPRODUCT(--WEEKDAY(C$3:AG$3,2)&lt;6,--((C18:AG18="DM"))+(C18:AG18="CS1")+((C18:AG18="CS2"))+(C18:AG18="SB1")+(C18:AG18="AE")+(C18:AG18="EM"))</f>
        <v/>
      </c>
      <c r="AR18" s="238" t="n"/>
      <c r="AS18" s="238">
        <f>SUMPRODUCT(--WEEKDAY(C$3:AG$3,2)&gt;5,--((C18:AG18="DM"))+(C18:AG18="CS1")+((C18:AG18="CS2"))+(C18:AG18="SB1")+(C18:AG18="AE")+(C18:AG18="EM"))</f>
        <v/>
      </c>
      <c r="AT18" s="238" t="n"/>
      <c r="AU18" s="238">
        <f>(AQ18-AR18)/2+(AS18-AT18)</f>
        <v/>
      </c>
      <c r="AV18" s="238">
        <f>AI18+AJ18+AK18+AL18+AN18+AO18</f>
        <v/>
      </c>
      <c r="AW18" s="238">
        <f>BG18+BH18+BJ18+BE18+BC18+BA18+BL18</f>
        <v/>
      </c>
      <c r="AX18" s="238">
        <f>AU18+$AY$10</f>
        <v/>
      </c>
      <c r="AY18" s="313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/>
      </c>
      <c r="AZ18" s="313">
        <f>COUNTIF(C18:AA18,"*BRT*")</f>
        <v/>
      </c>
      <c r="BA18" s="313">
        <f>COUNTIF(A18:AI18,"*$BTP*")</f>
        <v/>
      </c>
      <c r="BB18" s="313">
        <f>BA18*('Setting key Duty'!$I$13+'Setting key Duty'!$I$12+'Setting key Duty'!$I$11)</f>
        <v/>
      </c>
      <c r="BC18" s="313">
        <f>COUNTIF(A18:AI18,"*$L*")</f>
        <v/>
      </c>
      <c r="BD18" s="313">
        <f>BC18*('Setting key Duty'!$I$13+'Setting key Duty'!$I$9)</f>
        <v/>
      </c>
      <c r="BE18" s="313">
        <f>COUNTIF(A18:AI18,"*$M*")</f>
        <v/>
      </c>
      <c r="BF18" s="313">
        <f>BE18*('Setting key Duty'!$I$8+'Setting key Duty'!$I$9+'Setting key Duty'!$I$12)</f>
        <v/>
      </c>
      <c r="BG18" s="313">
        <f>COUNTIF(AI18,"*$N*")</f>
        <v/>
      </c>
      <c r="BH18" s="313">
        <f>COUNTIF(AI18,"*$PM*")</f>
        <v/>
      </c>
      <c r="BI18" s="313">
        <f>BH18*('Setting key Duty'!$I$9)</f>
        <v/>
      </c>
      <c r="BJ18" s="313">
        <f>COUNTIF(A18:AI18,"*$AM*")</f>
        <v/>
      </c>
      <c r="BK18" s="313">
        <f>BJ18*('Setting key Duty'!$I$12+'Setting key Duty'!$I$8)</f>
        <v/>
      </c>
      <c r="BL18" s="313">
        <f>COUNTIF(C18:AI18,"*$FC*")</f>
        <v/>
      </c>
      <c r="BM18" s="313">
        <f>BL18*('Setting key Duty'!$J$11+'Setting key Duty'!$I$8)</f>
        <v/>
      </c>
      <c r="BN18" s="313">
        <f>COUNTIF($C18:$AA18,BN$4)</f>
        <v/>
      </c>
      <c r="BO18" s="313">
        <f>COUNTIF($C18:$AA18,BO$4)</f>
        <v/>
      </c>
      <c r="BP18" s="313">
        <f>COUNTIF($C18:$AA18,BP$4)</f>
        <v/>
      </c>
      <c r="BQ18" s="314" t="n"/>
    </row>
    <row r="19" ht="19.5" customHeight="1">
      <c r="A19" s="309" t="n"/>
      <c r="B19" s="375" t="inlineStr">
        <is>
          <t xml:space="preserve">CPL SEE WEI ZHI </t>
        </is>
      </c>
      <c r="C19" s="197" t="n"/>
      <c r="D19" s="197" t="inlineStr">
        <is>
          <t>RESERVE</t>
        </is>
      </c>
      <c r="E19" s="197" t="inlineStr">
        <is>
          <t>DM</t>
        </is>
      </c>
      <c r="F19" s="197" t="inlineStr">
        <is>
          <t>RESERVE</t>
        </is>
      </c>
      <c r="G19" s="197" t="inlineStr">
        <is>
          <t>GP</t>
        </is>
      </c>
      <c r="H19" s="197" t="inlineStr">
        <is>
          <t>GP</t>
        </is>
      </c>
      <c r="I19" s="197" t="inlineStr">
        <is>
          <t>GP</t>
        </is>
      </c>
      <c r="J19" s="317" t="inlineStr">
        <is>
          <t>DM</t>
        </is>
      </c>
      <c r="K19" s="197" t="n"/>
      <c r="L19" s="317" t="n"/>
      <c r="M19" s="317" t="inlineStr">
        <is>
          <t>CS1</t>
        </is>
      </c>
      <c r="N19" s="197" t="n"/>
      <c r="O19" s="197" t="n"/>
      <c r="P19" s="197" t="inlineStr">
        <is>
          <t>RESERVE</t>
        </is>
      </c>
      <c r="Q19" s="197" t="n"/>
      <c r="R19" s="197" t="n"/>
      <c r="T19" s="197" t="n"/>
      <c r="U19" s="197" t="n"/>
      <c r="V19" s="197" t="inlineStr">
        <is>
          <t>RESERVE</t>
        </is>
      </c>
      <c r="X19" s="197" t="inlineStr">
        <is>
          <t>CS1</t>
        </is>
      </c>
      <c r="Y19" s="317" t="inlineStr">
        <is>
          <t>MM</t>
        </is>
      </c>
      <c r="AA19" s="197" t="n"/>
      <c r="AB19" s="317" t="n"/>
      <c r="AC19" s="197" t="n"/>
      <c r="AD19" s="317" t="n"/>
      <c r="AF19" s="197" t="n"/>
      <c r="AG19" s="197" t="n"/>
      <c r="AH19" s="197" t="n"/>
      <c r="AI19" s="311" t="n"/>
      <c r="AJ19" s="312" t="n"/>
      <c r="AK19" s="311" t="n"/>
      <c r="AL19" s="313" t="n"/>
      <c r="AM19" s="313" t="n"/>
      <c r="AN19" s="313" t="n"/>
      <c r="AO19" s="313" t="n"/>
      <c r="AP19" s="238" t="n"/>
      <c r="AQ19" s="313">
        <f>SUMPRODUCT(--WEEKDAY(C$3:AG$3,2)&lt;6,--((C19:AG19="DM"))+(C19:AG19="CS1")+((C19:AG19="CS2"))+(C19:AG19="SB1")+(C19:AG19="AE")+(C19:AG19="EM"))</f>
        <v/>
      </c>
      <c r="AR19" s="238" t="n"/>
      <c r="AS19" s="238">
        <f>SUMPRODUCT(--WEEKDAY(C$3:AG$3,2)&gt;5,--((C19:AG19="DM"))+(C19:AG19="CS1")+((C19:AG19="CS2"))+(C19:AG19="SB1")+(C19:AG19="AE")+(C19:AG19="EM"))</f>
        <v/>
      </c>
      <c r="AT19" s="238" t="n"/>
      <c r="AU19" s="238">
        <f>(AQ19-AR19)/2+(AS19-AT19)</f>
        <v/>
      </c>
      <c r="AV19" s="238">
        <f>AI19+AJ19+AK19+AL19+AN19+AO19</f>
        <v/>
      </c>
      <c r="AW19" s="238">
        <f>BG19+BH19+BJ19+BE19+BC19+BA19+BL19</f>
        <v/>
      </c>
      <c r="AX19" s="238">
        <f>AU19+AY19</f>
        <v/>
      </c>
      <c r="AY19" s="313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/>
      </c>
      <c r="AZ19" s="313">
        <f>COUNTIF(D19:AB19,"*BRT*")</f>
        <v/>
      </c>
      <c r="BA19" s="313">
        <f>COUNTIF(A19:AI19,"*$BTP*")</f>
        <v/>
      </c>
      <c r="BB19" s="313">
        <f>BA19*('Setting key Duty'!$I$13+'Setting key Duty'!$I$12+'Setting key Duty'!$I$11)</f>
        <v/>
      </c>
      <c r="BC19" s="313">
        <f>COUNTIF(A19:AI19,"*$L*")</f>
        <v/>
      </c>
      <c r="BD19" s="313">
        <f>BC19*('Setting key Duty'!$I$13+'Setting key Duty'!$I$9)</f>
        <v/>
      </c>
      <c r="BE19" s="313">
        <f>COUNTIF(A19:AI19,"*$M*")</f>
        <v/>
      </c>
      <c r="BF19" s="313">
        <f>BE19*('Setting key Duty'!$I$8+'Setting key Duty'!$I$9+'Setting key Duty'!$I$12)</f>
        <v/>
      </c>
      <c r="BG19" s="313">
        <f>COUNTIF(AF19:AI19,"*$N*")</f>
        <v/>
      </c>
      <c r="BH19" s="313">
        <f>COUNTIF(AF19:AI19,"*$PM*")</f>
        <v/>
      </c>
      <c r="BI19" s="313">
        <f>BH19*('Setting key Duty'!$I$9)</f>
        <v/>
      </c>
      <c r="BJ19" s="313">
        <f>COUNTIF(A19:AI19,"*$AM*")</f>
        <v/>
      </c>
      <c r="BK19" s="313">
        <f>BJ19*('Setting key Duty'!$I$12+'Setting key Duty'!$I$8)</f>
        <v/>
      </c>
      <c r="BL19" s="313">
        <f>COUNTIF(D19:AI19,"*$FC*")</f>
        <v/>
      </c>
      <c r="BM19" s="313">
        <f>BL19*('Setting key Duty'!$J$11+'Setting key Duty'!$I$8)</f>
        <v/>
      </c>
      <c r="BN19" s="313">
        <f>COUNTIF($D19:$AF19,BN$4)</f>
        <v/>
      </c>
      <c r="BO19" s="313">
        <f>COUNTIF($D19:$AF19,BO$4)</f>
        <v/>
      </c>
      <c r="BP19" s="313">
        <f>COUNTIF($D19:$AF19,BP$4)</f>
        <v/>
      </c>
      <c r="BQ19" s="314" t="n"/>
    </row>
    <row r="20" ht="19.5" customHeight="1">
      <c r="A20" s="309" t="n"/>
      <c r="B20" s="328" t="inlineStr">
        <is>
          <t>CPL MARK WU</t>
        </is>
      </c>
      <c r="C20" s="197" t="n"/>
      <c r="E20" s="197" t="inlineStr">
        <is>
          <t>GX24</t>
        </is>
      </c>
      <c r="F20" s="197" t="inlineStr">
        <is>
          <t>GX24</t>
        </is>
      </c>
      <c r="G20" s="197" t="inlineStr">
        <is>
          <t>VESAK OIL</t>
        </is>
      </c>
      <c r="H20" s="197" t="inlineStr">
        <is>
          <t>DM</t>
        </is>
      </c>
      <c r="I20" s="197" t="n"/>
      <c r="J20" s="197" t="n"/>
      <c r="L20" s="197" t="n"/>
      <c r="M20" s="197" t="n"/>
      <c r="N20" s="197" t="inlineStr">
        <is>
          <t>DM</t>
        </is>
      </c>
      <c r="O20" s="197" t="n"/>
      <c r="R20" s="197" t="inlineStr">
        <is>
          <t>RESERVE</t>
        </is>
      </c>
      <c r="T20" s="197" t="inlineStr">
        <is>
          <t>CS2</t>
        </is>
      </c>
      <c r="U20" s="197" t="n"/>
      <c r="V20" s="200" t="n"/>
      <c r="W20" s="197" t="n"/>
      <c r="X20" s="197" t="n"/>
      <c r="Y20" s="197" t="n"/>
      <c r="Z20" s="197" t="n"/>
      <c r="AA20" s="197" t="n"/>
      <c r="AB20" s="197" t="inlineStr">
        <is>
          <t>RESERVE</t>
        </is>
      </c>
      <c r="AC20" s="197" t="n"/>
      <c r="AE20" s="197" t="inlineStr">
        <is>
          <t>CS1</t>
        </is>
      </c>
      <c r="AF20" s="197" t="inlineStr">
        <is>
          <t>DISPENSE</t>
        </is>
      </c>
      <c r="AG20" s="197" t="inlineStr">
        <is>
          <t>DISPENSE</t>
        </is>
      </c>
      <c r="AH20" s="197" t="inlineStr">
        <is>
          <t>DISPENSE</t>
        </is>
      </c>
      <c r="AI20" s="311" t="n"/>
      <c r="AJ20" s="312" t="n"/>
      <c r="AK20" s="311" t="n"/>
      <c r="AL20" s="313" t="n"/>
      <c r="AM20" s="313" t="n"/>
      <c r="AN20" s="313" t="n"/>
      <c r="AO20" s="313" t="n"/>
      <c r="AP20" s="238" t="n"/>
      <c r="AQ20" s="313">
        <f>SUMPRODUCT(--WEEKDAY(C$3:AG$3,2)&lt;6,--((C20:AG20="DM"))+(C20:AG20="CS1")+((C20:AG20="CS2"))+(C20:AG20="SB1")+(C20:AG20="AE")+(C20:AG20="EM"))</f>
        <v/>
      </c>
      <c r="AR20" s="238" t="n"/>
      <c r="AS20" s="238">
        <f>SUMPRODUCT(--WEEKDAY(C$3:AG$3,2)&gt;5,--((C20:AG20="DM"))+(C20:AG20="CS1")+((C20:AG20="CS2"))+(C20:AG20="SB1")+(C20:AG20="AE")+(C20:AG20="EM"))</f>
        <v/>
      </c>
      <c r="AT20" s="238" t="n"/>
      <c r="AU20" s="238">
        <f>(AQ20-AR20)/2+(AS20-AT20)</f>
        <v/>
      </c>
      <c r="AV20" s="238">
        <f>AI20+AJ20+AK20+AL20+AN20+AO20</f>
        <v/>
      </c>
      <c r="AW20" s="238">
        <f>BG20+BH20+BJ20+BE20+BC20+BA20+BL20</f>
        <v/>
      </c>
      <c r="AX20" s="238">
        <f>AU20+$AY$10</f>
        <v/>
      </c>
      <c r="AY20" s="313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/>
      </c>
      <c r="AZ20" s="313" t="n"/>
      <c r="BA20" s="313" t="n"/>
      <c r="BB20" s="313" t="n"/>
      <c r="BC20" s="313" t="n"/>
      <c r="BD20" s="313" t="n"/>
      <c r="BE20" s="313" t="n"/>
      <c r="BF20" s="313" t="n"/>
      <c r="BG20" s="313" t="n"/>
      <c r="BH20" s="313" t="n"/>
      <c r="BI20" s="313" t="n"/>
      <c r="BJ20" s="313" t="n"/>
      <c r="BK20" s="313" t="n"/>
      <c r="BL20" s="313" t="n"/>
      <c r="BM20" s="313" t="n"/>
      <c r="BN20" s="313" t="n"/>
      <c r="BO20" s="313" t="n"/>
      <c r="BP20" s="313" t="n"/>
      <c r="BQ20" s="314" t="n"/>
    </row>
    <row r="21" ht="19.5" customHeight="1">
      <c r="A21" s="309" t="n"/>
      <c r="B21" s="328" t="inlineStr">
        <is>
          <t xml:space="preserve">CPL WAN FARID BIN ABDULLAH </t>
        </is>
      </c>
      <c r="C21" s="197" t="n"/>
      <c r="D21" s="197" t="inlineStr">
        <is>
          <t>CS1</t>
        </is>
      </c>
      <c r="F21" s="197" t="n"/>
      <c r="G21" s="197" t="inlineStr">
        <is>
          <t>GP</t>
        </is>
      </c>
      <c r="H21" s="197" t="inlineStr">
        <is>
          <t>GP</t>
        </is>
      </c>
      <c r="I21" s="197" t="inlineStr">
        <is>
          <t>GP</t>
        </is>
      </c>
      <c r="J21" s="197" t="n"/>
      <c r="K21" s="197" t="inlineStr">
        <is>
          <t>CS1</t>
        </is>
      </c>
      <c r="L21" s="197" t="n"/>
      <c r="M21" s="317" t="n"/>
      <c r="O21" s="197" t="inlineStr">
        <is>
          <t>RESERVE</t>
        </is>
      </c>
      <c r="P21" s="197" t="n"/>
      <c r="Q21" s="197" t="n"/>
      <c r="R21" s="197" t="inlineStr">
        <is>
          <t>RESERVE</t>
        </is>
      </c>
      <c r="T21" s="196" t="n"/>
      <c r="U21" s="196" t="inlineStr">
        <is>
          <t>CS1</t>
        </is>
      </c>
      <c r="V21" s="200" t="n"/>
      <c r="W21" s="197" t="n"/>
      <c r="X21" s="197" t="inlineStr">
        <is>
          <t>DM</t>
        </is>
      </c>
      <c r="AB21" s="197" t="n"/>
      <c r="AC21" s="197" t="inlineStr">
        <is>
          <t>CS2</t>
        </is>
      </c>
      <c r="AD21" s="317" t="n"/>
      <c r="AE21" s="197" t="inlineStr">
        <is>
          <t>RESERVE</t>
        </is>
      </c>
      <c r="AG21" s="197" t="n"/>
      <c r="AH21" s="197" t="n"/>
      <c r="AI21" s="311" t="n"/>
      <c r="AJ21" s="312" t="n"/>
      <c r="AK21" s="311" t="n"/>
      <c r="AL21" s="313" t="n"/>
      <c r="AM21" s="313" t="n"/>
      <c r="AN21" s="313" t="n"/>
      <c r="AO21" s="313" t="n"/>
      <c r="AP21" s="238" t="n"/>
      <c r="AQ21" s="313">
        <f>SUMPRODUCT(--WEEKDAY(C$3:AG$3,2)&lt;6,--((C21:AG21="DM"))+(C21:AG21="CS1")+((C21:AG21="CS2"))+(C21:AG21="SB1")+(C21:AG21="AE")+(C21:AG21="EM"))</f>
        <v/>
      </c>
      <c r="AR21" s="238" t="n"/>
      <c r="AS21" s="238">
        <f>SUMPRODUCT(--WEEKDAY(C$3:AG$3,2)&gt;5,--((C21:AG21="DM"))+(C21:AG21="CS1")+((C21:AG21="CS2"))+(C21:AG21="SB1")+(C21:AG21="AE")+(C21:AG21="EM"))</f>
        <v/>
      </c>
      <c r="AT21" s="238" t="n"/>
      <c r="AU21" s="238">
        <f>(AQ21-AR21)/2+(AS21-AT21)</f>
        <v/>
      </c>
      <c r="AV21" s="238">
        <f>AI21+AJ21+AK21+AL21+AN21+AO21</f>
        <v/>
      </c>
      <c r="AW21" s="238">
        <f>BG21+BH21+BJ21+BE21+BC21+BA21+BL21</f>
        <v/>
      </c>
      <c r="AX21" s="238">
        <f>AU21+AY21</f>
        <v/>
      </c>
      <c r="AY21" s="313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/>
      </c>
      <c r="AZ21" s="313">
        <f>COUNTIF(D21:AA21,"*BRT*")</f>
        <v/>
      </c>
      <c r="BA21" s="313">
        <f>COUNTIF(A21:AI21,"*$BTP*")</f>
        <v/>
      </c>
      <c r="BB21" s="313">
        <f>BA21*('Setting key Duty'!$I$13+'Setting key Duty'!$I$12+'Setting key Duty'!$I$11)</f>
        <v/>
      </c>
      <c r="BC21" s="313">
        <f>COUNTIF(A21:AI21,"*$L*")</f>
        <v/>
      </c>
      <c r="BD21" s="313">
        <f>BC21*('Setting key Duty'!$I$13+'Setting key Duty'!$I$9)</f>
        <v/>
      </c>
      <c r="BE21" s="313">
        <f>COUNTIF(A21:AI21,"*$M*")</f>
        <v/>
      </c>
      <c r="BF21" s="313">
        <f>BE21*('Setting key Duty'!$I$8+'Setting key Duty'!$I$9+'Setting key Duty'!$I$12)</f>
        <v/>
      </c>
      <c r="BG21" s="313">
        <f>COUNTIF(AI21,"*$N*")</f>
        <v/>
      </c>
      <c r="BH21" s="313">
        <f>COUNTIF(AI21,"*$PM*")</f>
        <v/>
      </c>
      <c r="BI21" s="313">
        <f>BH21*('Setting key Duty'!$I$9)</f>
        <v/>
      </c>
      <c r="BJ21" s="313">
        <f>COUNTIF(A21:AI21,"*$AM*")</f>
        <v/>
      </c>
      <c r="BK21" s="313">
        <f>BJ21*('Setting key Duty'!$I$12+'Setting key Duty'!$I$8)</f>
        <v/>
      </c>
      <c r="BL21" s="313">
        <f>COUNTIF(D21:AI21,"*$FC*")</f>
        <v/>
      </c>
      <c r="BM21" s="313">
        <f>BL21*('Setting key Duty'!$J$11+'Setting key Duty'!$I$8)</f>
        <v/>
      </c>
      <c r="BN21" s="313">
        <f>COUNTIF($D21:$AA21,BN$4)</f>
        <v/>
      </c>
      <c r="BO21" s="313">
        <f>COUNTIF($D21:$AA21,BO$4)</f>
        <v/>
      </c>
      <c r="BP21" s="313">
        <f>COUNTIF($D21:$AA21,BP$4)</f>
        <v/>
      </c>
      <c r="BQ21" s="314" t="n"/>
    </row>
    <row r="22" ht="19.5" customHeight="1">
      <c r="A22" s="309" t="n"/>
      <c r="B22" s="376" t="inlineStr">
        <is>
          <t xml:space="preserve">PTE GERALD TAN </t>
        </is>
      </c>
      <c r="D22" s="197" t="inlineStr">
        <is>
          <t>SB1</t>
        </is>
      </c>
      <c r="E22" s="197" t="n"/>
      <c r="F22" s="197" t="inlineStr">
        <is>
          <t>CS2</t>
        </is>
      </c>
      <c r="G22" s="324" t="n"/>
      <c r="H22" s="317" t="n"/>
      <c r="I22" s="317" t="inlineStr">
        <is>
          <t>CS1</t>
        </is>
      </c>
      <c r="K22" s="317" t="n"/>
      <c r="L22" s="317" t="n"/>
      <c r="M22" s="317" t="n"/>
      <c r="P22" s="197" t="inlineStr">
        <is>
          <t>CS1</t>
        </is>
      </c>
      <c r="Q22" s="197" t="inlineStr">
        <is>
          <t>RESERVE</t>
        </is>
      </c>
      <c r="R22" s="317" t="n"/>
      <c r="S22" s="196" t="n"/>
      <c r="T22" s="196" t="n"/>
      <c r="U22" s="197" t="n"/>
      <c r="V22" s="200" t="n"/>
      <c r="W22" s="317" t="inlineStr">
        <is>
          <t>CS2</t>
        </is>
      </c>
      <c r="Y22" s="197" t="n"/>
      <c r="AA22" s="197" t="n"/>
      <c r="AB22" s="197" t="n"/>
      <c r="AC22" s="197" t="inlineStr">
        <is>
          <t>RESERVE</t>
        </is>
      </c>
      <c r="AD22" s="317" t="n"/>
      <c r="AG22" s="197" t="n"/>
      <c r="AH22" s="317" t="n"/>
      <c r="AI22" s="311" t="n"/>
      <c r="AJ22" s="312" t="n"/>
      <c r="AK22" s="311" t="n"/>
      <c r="AL22" s="313" t="n"/>
      <c r="AM22" s="313" t="n"/>
      <c r="AN22" s="313" t="n"/>
      <c r="AO22" s="313" t="n"/>
      <c r="AP22" s="238" t="n"/>
      <c r="AQ22" s="313">
        <f>SUMPRODUCT(--WEEKDAY(C$3:AG$3,2)&lt;6,--((C22:AG22="DM"))+(C22:AG22="CS1")+((C22:AG22="CS2"))+(C22:AG22="SB1")+(C22:AG22="AE")+(C22:AG22="EM"))</f>
        <v/>
      </c>
      <c r="AR22" s="238" t="n"/>
      <c r="AS22" s="238">
        <f>SUMPRODUCT(--WEEKDAY(C$3:AG$3,2)&gt;5,--((C22:AG22="DM"))+(C22:AG22="CS1")+((C22:AG22="CS2"))+(C22:AG22="SB1")+(C22:AG22="AE")+(C22:AG22="EM"))</f>
        <v/>
      </c>
      <c r="AT22" s="238" t="n"/>
      <c r="AU22" s="238">
        <f>(AQ22-AR22)/2+(AS22-AT22)</f>
        <v/>
      </c>
      <c r="AV22" s="238">
        <f>AI22+AJ22+AK22+AL22+AN22+AO22</f>
        <v/>
      </c>
      <c r="AW22" s="238">
        <f>BG22+BH22+BJ22+BE22+BC22+BA22+BL22</f>
        <v/>
      </c>
      <c r="AX22" s="238">
        <f>AU22+$AY$10</f>
        <v/>
      </c>
      <c r="AY22" s="313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/>
      </c>
      <c r="AZ22" s="313">
        <f>COUNTIF(D22:AA22,"*BRT*")</f>
        <v/>
      </c>
      <c r="BA22" s="313">
        <f>COUNTIF(A22:AI22,"*$BTP*")</f>
        <v/>
      </c>
      <c r="BB22" s="313">
        <f>BA22*('Setting key Duty'!$I$13+'Setting key Duty'!$I$12+'Setting key Duty'!$I$11)</f>
        <v/>
      </c>
      <c r="BC22" s="313">
        <f>COUNTIF(A22:AI22,"*$L*")</f>
        <v/>
      </c>
      <c r="BD22" s="313">
        <f>BC22*('Setting key Duty'!$I$13+'Setting key Duty'!$I$9)</f>
        <v/>
      </c>
      <c r="BE22" s="313">
        <f>COUNTIF(A22:AI22,"*$M*")</f>
        <v/>
      </c>
      <c r="BF22" s="313">
        <f>BE22*('Setting key Duty'!$I$8+'Setting key Duty'!$I$9+'Setting key Duty'!$I$12)</f>
        <v/>
      </c>
      <c r="BG22" s="313">
        <f>COUNTIF(AI22,"*$N*")</f>
        <v/>
      </c>
      <c r="BH22" s="313">
        <f>COUNTIF(AI22,"*$PM*")</f>
        <v/>
      </c>
      <c r="BI22" s="313">
        <f>BH22*('Setting key Duty'!$I$9)</f>
        <v/>
      </c>
      <c r="BJ22" s="313">
        <f>COUNTIF(A22:AI22,"*$AM*")</f>
        <v/>
      </c>
      <c r="BK22" s="313">
        <f>BJ22*('Setting key Duty'!$I$12+'Setting key Duty'!$I$8)</f>
        <v/>
      </c>
      <c r="BL22" s="313">
        <f>COUNTIF(D22:AI22,"*$FC*")</f>
        <v/>
      </c>
      <c r="BM22" s="313">
        <f>BL22*('Setting key Duty'!$J$11+'Setting key Duty'!$I$8)</f>
        <v/>
      </c>
      <c r="BN22" s="313">
        <f>COUNTIF($D22:$AA22,BN$4)</f>
        <v/>
      </c>
      <c r="BO22" s="313">
        <f>COUNTIF($D22:$AA22,BO$4)</f>
        <v/>
      </c>
      <c r="BP22" s="313">
        <f>COUNTIF($D22:$AA22,BP$4)</f>
        <v/>
      </c>
      <c r="BQ22" s="314" t="n"/>
    </row>
    <row r="23" ht="19.5" customHeight="1">
      <c r="A23" s="309" t="n"/>
      <c r="B23" s="332" t="inlineStr">
        <is>
          <t>PTE FANG JIANGRUI</t>
        </is>
      </c>
      <c r="C23" s="197" t="inlineStr">
        <is>
          <t>SB1</t>
        </is>
      </c>
      <c r="D23" s="106" t="n"/>
      <c r="E23" s="197" t="inlineStr">
        <is>
          <t>GX $AM 8KM</t>
        </is>
      </c>
      <c r="F23" s="197" t="n"/>
      <c r="G23" s="197" t="inlineStr">
        <is>
          <t>CS2</t>
        </is>
      </c>
      <c r="H23" s="197" t="n"/>
      <c r="I23" s="197" t="inlineStr">
        <is>
          <t>CS2</t>
        </is>
      </c>
      <c r="J23" s="197" t="n"/>
      <c r="K23" s="197" t="n"/>
      <c r="L23" s="197" t="n"/>
      <c r="M23" s="197" t="n"/>
      <c r="N23" s="197" t="n"/>
      <c r="O23" s="197" t="inlineStr">
        <is>
          <t>CS1</t>
        </is>
      </c>
      <c r="P23" s="197" t="n"/>
      <c r="Q23" s="197" t="n"/>
      <c r="R23" s="197" t="n"/>
      <c r="S23" s="197" t="n"/>
      <c r="T23" s="197" t="inlineStr">
        <is>
          <t>RESERVE</t>
        </is>
      </c>
      <c r="U23" s="197" t="n"/>
      <c r="V23" s="200" t="inlineStr">
        <is>
          <t>CS2</t>
        </is>
      </c>
      <c r="W23" s="197" t="n"/>
      <c r="X23" s="197" t="n"/>
      <c r="Y23" s="197" t="inlineStr">
        <is>
          <t>AL</t>
        </is>
      </c>
      <c r="AA23" s="197" t="inlineStr">
        <is>
          <t>M $AM IPPT 0500-1100</t>
        </is>
      </c>
      <c r="AB23" s="197" t="n"/>
      <c r="AC23" s="197" t="inlineStr">
        <is>
          <t>RESERVE</t>
        </is>
      </c>
      <c r="AD23" s="317" t="n"/>
      <c r="AE23" s="197" t="n"/>
      <c r="AF23" s="197" t="inlineStr">
        <is>
          <t>M $AM ER 0600-1100</t>
        </is>
      </c>
      <c r="AH23" s="197" t="n"/>
      <c r="AI23" s="311" t="n"/>
      <c r="AJ23" s="312" t="n"/>
      <c r="AK23" s="311" t="n"/>
      <c r="AL23" s="313" t="n"/>
      <c r="AM23" s="313" t="n"/>
      <c r="AN23" s="313" t="n"/>
      <c r="AO23" s="313" t="n"/>
      <c r="AP23" s="238" t="n"/>
      <c r="AQ23" s="313">
        <f>SUMPRODUCT(--WEEKDAY(C$3:AG$3,2)&lt;6,--((C23:AG23="DM"))+(C23:AG23="CS1")+((C23:AG23="CS2"))+(C23:AG23="SB1")+(C23:AG23="AE")+(C23:AG23="EM"))</f>
        <v/>
      </c>
      <c r="AR23" s="238" t="n"/>
      <c r="AS23" s="238">
        <f>SUMPRODUCT(--WEEKDAY(C$3:AG$3,2)&gt;5,--((C23:AG23="DM"))+(C23:AG23="CS1")+((C23:AG23="CS2"))+(C23:AG23="SB1")+(C23:AG23="AE")+(C23:AG23="EM"))</f>
        <v/>
      </c>
      <c r="AT23" s="238" t="n"/>
      <c r="AU23" s="238">
        <f>(AQ23-AR23)/2+(AS23-AT23)</f>
        <v/>
      </c>
      <c r="AV23" s="238">
        <f>AI23+AJ23+AK23+AL23+AN23+AO23</f>
        <v/>
      </c>
      <c r="AW23" s="238">
        <f>BG23+BH23+BJ23+BE23+BC23+BA23+BL23</f>
        <v/>
      </c>
      <c r="AX23" s="238">
        <f>AU23+AY23</f>
        <v/>
      </c>
      <c r="AY23" s="313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/>
      </c>
      <c r="AZ23" s="313">
        <f>COUNTIF(C23:W23,"*BRT*")</f>
        <v/>
      </c>
      <c r="BA23" s="313">
        <f>COUNTIF(A23:AI23,"*$BTP*")</f>
        <v/>
      </c>
      <c r="BB23" s="313">
        <f>BA23*('Setting key Duty'!$I$13+'Setting key Duty'!$I$12+'Setting key Duty'!$I$11)</f>
        <v/>
      </c>
      <c r="BC23" s="313">
        <f>COUNTIF(D23:AI23,"*$L*")</f>
        <v/>
      </c>
      <c r="BD23" s="313">
        <f>BC23*('Setting key Duty'!$I$13+'Setting key Duty'!$I$9)</f>
        <v/>
      </c>
      <c r="BE23" s="313">
        <f>COUNTIF(D23:AI23,"*$M*")</f>
        <v/>
      </c>
      <c r="BF23" s="313">
        <f>BE23*('Setting key Duty'!$I$8+'Setting key Duty'!$I$9+'Setting key Duty'!$I$12)</f>
        <v/>
      </c>
      <c r="BG23" s="313">
        <f>COUNTIF(D23:AI23,"*$N*")</f>
        <v/>
      </c>
      <c r="BH23" s="313">
        <f>COUNTIF(D23:AI23,"*$PM*")</f>
        <v/>
      </c>
      <c r="BI23" s="313">
        <f>BH23*('Setting key Duty'!$I$9)</f>
        <v/>
      </c>
      <c r="BJ23" s="313">
        <f>COUNTIF(D23:AI23,"*$AM*")</f>
        <v/>
      </c>
      <c r="BK23" s="313">
        <f>BJ23*('Setting key Duty'!$I$12+'Setting key Duty'!$I$8)</f>
        <v/>
      </c>
      <c r="BL23" s="313">
        <f>COUNTIF(C23:AI23,"*$FC*")</f>
        <v/>
      </c>
      <c r="BM23" s="313">
        <f>BL23*('Setting key Duty'!$J$11+'Setting key Duty'!$I$8)</f>
        <v/>
      </c>
      <c r="BN23" s="313">
        <f>COUNTIF($C23:$AG23,BN$4)</f>
        <v/>
      </c>
      <c r="BO23" s="313">
        <f>COUNTIF($C23:$AG23,BO$4)</f>
        <v/>
      </c>
      <c r="BP23" s="313">
        <f>COUNTIF($D23:$AD23,BP$4)</f>
        <v/>
      </c>
      <c r="BQ23" s="314" t="n"/>
    </row>
    <row r="24" ht="19.5" customHeight="1">
      <c r="A24" s="309" t="n"/>
      <c r="B24" s="315" t="inlineStr">
        <is>
          <t>LCP HO SHENGHUI HAYDEN</t>
        </is>
      </c>
      <c r="C24" s="197" t="inlineStr">
        <is>
          <t>AE</t>
        </is>
      </c>
      <c r="D24" s="197" t="n"/>
      <c r="E24" s="197" t="inlineStr">
        <is>
          <t>GX24</t>
        </is>
      </c>
      <c r="F24" s="197" t="inlineStr">
        <is>
          <t>PM MA</t>
        </is>
      </c>
      <c r="G24" s="377" t="inlineStr">
        <is>
          <t>SB1</t>
        </is>
      </c>
      <c r="H24" s="377" t="n"/>
      <c r="I24" s="197" t="inlineStr">
        <is>
          <t>OL</t>
        </is>
      </c>
      <c r="J24" s="197" t="inlineStr">
        <is>
          <t>OL</t>
        </is>
      </c>
      <c r="K24" s="197" t="inlineStr">
        <is>
          <t>OL</t>
        </is>
      </c>
      <c r="L24" s="197" t="inlineStr">
        <is>
          <t>OL</t>
        </is>
      </c>
      <c r="M24" s="197" t="inlineStr">
        <is>
          <t>OL</t>
        </is>
      </c>
      <c r="N24" s="197" t="inlineStr">
        <is>
          <t>OL</t>
        </is>
      </c>
      <c r="O24" s="197" t="inlineStr">
        <is>
          <t>OL</t>
        </is>
      </c>
      <c r="P24" s="197" t="inlineStr">
        <is>
          <t>OL</t>
        </is>
      </c>
      <c r="Q24" s="197" t="inlineStr">
        <is>
          <t>OL</t>
        </is>
      </c>
      <c r="R24" s="197" t="inlineStr">
        <is>
          <t xml:space="preserve">APS </t>
        </is>
      </c>
      <c r="S24" s="197" t="inlineStr">
        <is>
          <t>CS2</t>
        </is>
      </c>
      <c r="T24" s="197" t="inlineStr">
        <is>
          <t>WISDOM TOOTH</t>
        </is>
      </c>
      <c r="U24" s="197" t="inlineStr">
        <is>
          <t>WISDOM TOOTH</t>
        </is>
      </c>
      <c r="V24" s="200" t="inlineStr">
        <is>
          <t>WISDOM TOOTH</t>
        </is>
      </c>
      <c r="W24" s="197" t="inlineStr">
        <is>
          <t>WISDOM TOOTH</t>
        </is>
      </c>
      <c r="X24" s="197" t="inlineStr">
        <is>
          <t>WISDOM TOOTH</t>
        </is>
      </c>
      <c r="Y24" s="197" t="inlineStr">
        <is>
          <t>WISDOM TOOTH</t>
        </is>
      </c>
      <c r="Z24" s="197" t="inlineStr">
        <is>
          <t>WISDOM TOOTH</t>
        </is>
      </c>
      <c r="AA24" s="197" t="n"/>
      <c r="AB24" s="197" t="inlineStr">
        <is>
          <t>AE</t>
        </is>
      </c>
      <c r="AC24" s="197" t="n"/>
      <c r="AD24" s="324" t="inlineStr">
        <is>
          <t>AE</t>
        </is>
      </c>
      <c r="AE24" s="197" t="n"/>
      <c r="AF24" s="317" t="n"/>
      <c r="AG24" s="197" t="inlineStr">
        <is>
          <t>BMT $AM SAF DAY</t>
        </is>
      </c>
      <c r="AH24" s="317" t="n"/>
      <c r="AI24" s="311" t="n"/>
      <c r="AJ24" s="312" t="n"/>
      <c r="AK24" s="311" t="n"/>
      <c r="AL24" s="344" t="n"/>
      <c r="AM24" s="344" t="n"/>
      <c r="AN24" s="344" t="n"/>
      <c r="AO24" s="344" t="n"/>
      <c r="AP24" s="246" t="n"/>
      <c r="AQ24" s="313">
        <f>SUMPRODUCT(--WEEKDAY(C$3:AG$3,2)&lt;6,--((C24:AG24="DM"))+(C24:AG24="CS1")+((C24:AG24="CS2"))+(C24:AG24="SB1")+(C24:AG24="AE")+(C24:AG24="EM"))</f>
        <v/>
      </c>
      <c r="AR24" s="238" t="n"/>
      <c r="AS24" s="238">
        <f>SUMPRODUCT(--WEEKDAY(C$3:AG$3,2)&gt;5,--((C24:AG24="DM"))+(C24:AG24="CS1")+((C24:AG24="CS2"))+(C24:AG24="SB1")+(C24:AG24="AE")+(C24:AG24="EM"))</f>
        <v/>
      </c>
      <c r="AT24" s="246" t="n"/>
      <c r="AU24" s="238">
        <f>(AQ24-AR24)/2+(AS24-AT24)</f>
        <v/>
      </c>
      <c r="AV24" s="238">
        <f>AI24+AJ24+AK24+AL24+AN24+AO24</f>
        <v/>
      </c>
      <c r="AW24" s="238">
        <f>BG24+BH24+BJ24+BE24+BC24+BA24+BL24</f>
        <v/>
      </c>
      <c r="AX24" s="238">
        <f>AU24+AY24</f>
        <v/>
      </c>
      <c r="AY24" s="313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/>
      </c>
      <c r="AZ24" s="313">
        <f>COUNTIF(C24:Y24,"*BRT*")</f>
        <v/>
      </c>
      <c r="BA24" s="313">
        <f>COUNTIF(A24:AI24,"*$BTP*")</f>
        <v/>
      </c>
      <c r="BB24" s="313">
        <f>BA24*('Setting key Duty'!$I$13+'Setting key Duty'!$I$12+'Setting key Duty'!$I$11)</f>
        <v/>
      </c>
      <c r="BC24" s="313">
        <f>COUNTIF(D24:AI24,"*$L*")</f>
        <v/>
      </c>
      <c r="BD24" s="313">
        <f>BC24*('Setting key Duty'!$I$13+'Setting key Duty'!$I$9)</f>
        <v/>
      </c>
      <c r="BE24" s="313">
        <f>COUNTIF(D24:AI24,"*$M*")</f>
        <v/>
      </c>
      <c r="BF24" s="313">
        <f>BE24*('Setting key Duty'!$I$8+'Setting key Duty'!$I$9+'Setting key Duty'!$I$12)</f>
        <v/>
      </c>
      <c r="BG24" s="313">
        <f>COUNTIF(D24:AI24,"*$N*")</f>
        <v/>
      </c>
      <c r="BH24" s="313">
        <f>COUNTIF(D24:AI24,"*$PM*")</f>
        <v/>
      </c>
      <c r="BI24" s="313">
        <f>BH24*('Setting key Duty'!$I$9)</f>
        <v/>
      </c>
      <c r="BJ24" s="313">
        <f>COUNTIF(D24:AI24,"*$AM*")</f>
        <v/>
      </c>
      <c r="BK24" s="313">
        <f>BJ24*('Setting key Duty'!$I$12+'Setting key Duty'!$I$8)</f>
        <v/>
      </c>
      <c r="BL24" s="313">
        <f>COUNTIF(C24:AI24,"*$FC*")</f>
        <v/>
      </c>
      <c r="BM24" s="313">
        <f>BL24*('Setting key Duty'!$J$11+'Setting key Duty'!$I$8)</f>
        <v/>
      </c>
      <c r="BN24" s="313">
        <f>COUNTIF($C24:$AE24,BN$4)</f>
        <v/>
      </c>
      <c r="BO24" s="313">
        <f>COUNTIF($C24:$AE24,BO$4)</f>
        <v/>
      </c>
      <c r="BP24" s="313">
        <f>COUNTIF($D24:$AC24,BP$4)</f>
        <v/>
      </c>
      <c r="BQ24" s="345" t="n"/>
    </row>
    <row r="25" ht="19.5" customHeight="1">
      <c r="A25" s="309" t="n"/>
      <c r="B25" s="315" t="inlineStr">
        <is>
          <t>LCP CHIA TECK IAN</t>
        </is>
      </c>
      <c r="C25" s="317" t="n"/>
      <c r="D25" s="324" t="n"/>
      <c r="E25" s="197" t="inlineStr">
        <is>
          <t>GX24</t>
        </is>
      </c>
      <c r="F25" s="197" t="inlineStr">
        <is>
          <t>GX24</t>
        </is>
      </c>
      <c r="G25" s="197" t="n"/>
      <c r="H25" s="377" t="inlineStr">
        <is>
          <t>AE</t>
        </is>
      </c>
      <c r="I25" s="197" t="n"/>
      <c r="J25" s="324" t="n"/>
      <c r="K25" s="197" t="inlineStr">
        <is>
          <t>RESERVE</t>
        </is>
      </c>
      <c r="L25" s="197" t="n"/>
      <c r="M25" s="197" t="inlineStr">
        <is>
          <t>RESERVE</t>
        </is>
      </c>
      <c r="P25" s="197" t="inlineStr">
        <is>
          <t>OL</t>
        </is>
      </c>
      <c r="Q25" s="197" t="inlineStr">
        <is>
          <t>OL</t>
        </is>
      </c>
      <c r="R25" s="197" t="inlineStr">
        <is>
          <t>OL</t>
        </is>
      </c>
      <c r="S25" s="197" t="inlineStr">
        <is>
          <t>OL</t>
        </is>
      </c>
      <c r="T25" s="197" t="inlineStr">
        <is>
          <t>OL</t>
        </is>
      </c>
      <c r="U25" s="197" t="inlineStr">
        <is>
          <t>OL</t>
        </is>
      </c>
      <c r="V25" s="200" t="inlineStr">
        <is>
          <t>OL</t>
        </is>
      </c>
      <c r="W25" s="197" t="inlineStr">
        <is>
          <t>OL</t>
        </is>
      </c>
      <c r="X25" s="197" t="inlineStr">
        <is>
          <t>OL</t>
        </is>
      </c>
      <c r="Y25" s="197" t="n"/>
      <c r="Z25" s="197" t="inlineStr">
        <is>
          <t>CS1</t>
        </is>
      </c>
      <c r="AA25" s="197" t="n"/>
      <c r="AB25" s="197" t="n"/>
      <c r="AC25" s="106" t="n"/>
      <c r="AD25" s="106" t="n"/>
      <c r="AE25" s="197" t="inlineStr">
        <is>
          <t>CS2</t>
        </is>
      </c>
      <c r="AF25" s="197" t="n"/>
      <c r="AG25" s="197" t="n"/>
      <c r="AH25" s="317" t="n"/>
      <c r="AI25" s="311" t="n"/>
      <c r="AJ25" s="312" t="n"/>
      <c r="AK25" s="311" t="n"/>
      <c r="AL25" s="344" t="n"/>
      <c r="AM25" s="344" t="n"/>
      <c r="AN25" s="344" t="n"/>
      <c r="AO25" s="344" t="n"/>
      <c r="AP25" s="246" t="n"/>
      <c r="AQ25" s="313">
        <f>SUMPRODUCT(--WEEKDAY(C$3:AG$3,2)&lt;6,--((C25:AG25="DM"))+(C25:AG25="CS1")+((C25:AG25="CS2"))+(C25:AG25="SB1")+(C25:AG25="AE")+(C25:AG25="EM"))</f>
        <v/>
      </c>
      <c r="AR25" s="238" t="n"/>
      <c r="AS25" s="238">
        <f>SUMPRODUCT(--WEEKDAY(C$3:AG$3,2)&gt;5,--((C25:AG25="DM"))+(C25:AG25="CS1")+((C25:AG25="CS2"))+(C25:AG25="SB1")+(C25:AG25="AE")+(C25:AG25="EM"))</f>
        <v/>
      </c>
      <c r="AT25" s="246" t="n"/>
      <c r="AU25" s="238">
        <f>(AQ25-AR25)/2+(AS25-AT25)</f>
        <v/>
      </c>
      <c r="AV25" s="238">
        <f>AI25+AJ25+AK25+AL25+AN25+AO25</f>
        <v/>
      </c>
      <c r="AW25" s="238">
        <f>BG25+BH25+BJ25+BE25+BC25+BA25+BL25</f>
        <v/>
      </c>
      <c r="AX25" s="238">
        <f>AU25+AY25</f>
        <v/>
      </c>
      <c r="AY25" s="313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/>
      </c>
      <c r="AZ25" s="313">
        <f>COUNTIF(C25:Y25,"*BRT*")</f>
        <v/>
      </c>
      <c r="BA25" s="313">
        <f>COUNTIF(A25:AI25,"*$BTP*")</f>
        <v/>
      </c>
      <c r="BB25" s="313">
        <f>BA25*('Setting key Duty'!$I$13+'Setting key Duty'!$I$12+'Setting key Duty'!$I$11)</f>
        <v/>
      </c>
      <c r="BC25" s="313">
        <f>COUNTIF(D25:AI25,"*$L*")</f>
        <v/>
      </c>
      <c r="BD25" s="313">
        <f>BC25*('Setting key Duty'!$I$13+'Setting key Duty'!$I$9)</f>
        <v/>
      </c>
      <c r="BE25" s="313">
        <f>COUNTIF(D25:AI25,"*$M*")</f>
        <v/>
      </c>
      <c r="BF25" s="313">
        <f>BE25*('Setting key Duty'!$I$8+'Setting key Duty'!$I$9+'Setting key Duty'!$I$12)</f>
        <v/>
      </c>
      <c r="BG25" s="313">
        <f>COUNTIF(D25:AI25,"*$N*")</f>
        <v/>
      </c>
      <c r="BH25" s="313">
        <f>COUNTIF(D25:AI25,"*$PM*")</f>
        <v/>
      </c>
      <c r="BI25" s="313">
        <f>BH25*('Setting key Duty'!$I$9)</f>
        <v/>
      </c>
      <c r="BJ25" s="313">
        <f>COUNTIF(D25:AI25,"*$AM*")</f>
        <v/>
      </c>
      <c r="BK25" s="313">
        <f>BJ25*('Setting key Duty'!$I$12+'Setting key Duty'!$I$8)</f>
        <v/>
      </c>
      <c r="BL25" s="313">
        <f>COUNTIF(C25:AI25,"*$FC*")</f>
        <v/>
      </c>
      <c r="BM25" s="313">
        <f>BL25*('Setting key Duty'!$J$11+'Setting key Duty'!$I$8)</f>
        <v/>
      </c>
      <c r="BN25" s="313">
        <f>COUNTIF($C25:$AG25,BN$4)</f>
        <v/>
      </c>
      <c r="BO25" s="313">
        <f>COUNTIF($C25:$AG25,BO$4)</f>
        <v/>
      </c>
      <c r="BP25" s="313">
        <f>COUNTIF($D25:$AE25,BP$4)</f>
        <v/>
      </c>
      <c r="BQ25" s="345" t="n"/>
    </row>
    <row r="26" ht="19.5" customHeight="1">
      <c r="A26" s="309" t="n"/>
      <c r="B26" s="347" t="inlineStr">
        <is>
          <t>PTE APPLE YEO</t>
        </is>
      </c>
      <c r="C26" s="197" t="inlineStr">
        <is>
          <t>MC</t>
        </is>
      </c>
      <c r="D26" s="197" t="inlineStr">
        <is>
          <t>MC</t>
        </is>
      </c>
      <c r="E26" s="197" t="inlineStr">
        <is>
          <t>MC</t>
        </is>
      </c>
      <c r="F26" s="197" t="inlineStr">
        <is>
          <t>MC</t>
        </is>
      </c>
      <c r="G26" s="197" t="inlineStr">
        <is>
          <t>MC</t>
        </is>
      </c>
      <c r="H26" s="197" t="inlineStr">
        <is>
          <t>MC</t>
        </is>
      </c>
      <c r="I26" s="197" t="inlineStr">
        <is>
          <t>MC</t>
        </is>
      </c>
      <c r="J26" s="197" t="inlineStr">
        <is>
          <t>MC</t>
        </is>
      </c>
      <c r="K26" s="197" t="inlineStr">
        <is>
          <t>MC</t>
        </is>
      </c>
      <c r="L26" s="197" t="inlineStr">
        <is>
          <t>MC</t>
        </is>
      </c>
      <c r="M26" s="197" t="inlineStr">
        <is>
          <t>MC</t>
        </is>
      </c>
      <c r="N26" s="197" t="inlineStr">
        <is>
          <t>MC</t>
        </is>
      </c>
      <c r="O26" s="197" t="inlineStr">
        <is>
          <t>MC</t>
        </is>
      </c>
      <c r="P26" s="197" t="inlineStr">
        <is>
          <t>MC</t>
        </is>
      </c>
      <c r="Q26" s="197" t="inlineStr">
        <is>
          <t>MC</t>
        </is>
      </c>
      <c r="R26" s="197" t="inlineStr">
        <is>
          <t>MC</t>
        </is>
      </c>
      <c r="S26" s="197" t="inlineStr">
        <is>
          <t>MC</t>
        </is>
      </c>
      <c r="T26" s="197" t="inlineStr">
        <is>
          <t>MC</t>
        </is>
      </c>
      <c r="U26" s="197" t="inlineStr">
        <is>
          <t>MC</t>
        </is>
      </c>
      <c r="V26" s="200" t="n"/>
      <c r="W26" s="197" t="n"/>
      <c r="X26" s="197" t="n"/>
      <c r="Y26" s="197" t="n"/>
      <c r="Z26" s="197" t="inlineStr">
        <is>
          <t>AE</t>
        </is>
      </c>
      <c r="AA26" s="197" t="n"/>
      <c r="AB26" s="197" t="n"/>
      <c r="AC26" s="197" t="n"/>
      <c r="AD26" s="197" t="inlineStr">
        <is>
          <t>RESERVE</t>
        </is>
      </c>
      <c r="AE26" s="197" t="n"/>
      <c r="AG26" s="197" t="n"/>
      <c r="AH26" s="197" t="n"/>
      <c r="AI26" s="311" t="n"/>
      <c r="AJ26" s="312" t="n"/>
      <c r="AK26" s="311" t="n"/>
      <c r="AL26" s="344" t="n"/>
      <c r="AM26" s="344" t="n"/>
      <c r="AN26" s="344" t="n"/>
      <c r="AO26" s="344" t="n"/>
      <c r="AP26" s="246" t="n"/>
      <c r="AQ26" s="313">
        <f>SUMPRODUCT(--WEEKDAY(C$3:AG$3,2)&lt;6,--((C26:AG26="DM"))+(C26:AG26="CS1")+((C26:AG26="CS2"))+(C26:AG26="SB1")+(C26:AG26="AE")+(C26:AG26="EM"))</f>
        <v/>
      </c>
      <c r="AR26" s="238" t="n"/>
      <c r="AS26" s="238">
        <f>SUMPRODUCT(--WEEKDAY(C$3:AG$3,2)&gt;5,--((C26:AG26="DM"))+(C26:AG26="CS1")+((C26:AG26="CS2"))+(C26:AG26="SB1")+(C26:AG26="AE")+(C26:AG26="EM"))</f>
        <v/>
      </c>
      <c r="AT26" s="246" t="n"/>
      <c r="AU26" s="238">
        <f>(AQ26-AR26)/2+(AS26-AT26)</f>
        <v/>
      </c>
      <c r="AV26" s="238">
        <f>AI26+AJ26+AK26+AL26+AN26+AO26</f>
        <v/>
      </c>
      <c r="AW26" s="238">
        <f>BG26+BH26+BJ26+BE26+BC26+BA26+BL26</f>
        <v/>
      </c>
      <c r="AX26" s="238">
        <f>AU26+AY26</f>
        <v/>
      </c>
      <c r="AY26" s="313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/>
      </c>
      <c r="AZ26" s="313">
        <f>COUNTIF(C26:Y26,"*BRT*")</f>
        <v/>
      </c>
      <c r="BA26" s="313">
        <f>COUNTIF(A26:AI26,"*$BTP*")</f>
        <v/>
      </c>
      <c r="BB26" s="313">
        <f>BA26*('Setting key Duty'!$I$13+'Setting key Duty'!$I$12+'Setting key Duty'!$I$11)</f>
        <v/>
      </c>
      <c r="BC26" s="313">
        <f>COUNTIF(D26:AI26,"*$L*")</f>
        <v/>
      </c>
      <c r="BD26" s="313">
        <f>BC26*('Setting key Duty'!$I$13+'Setting key Duty'!$I$9)</f>
        <v/>
      </c>
      <c r="BE26" s="313">
        <f>COUNTIF(D26:AI26,"*$M*")</f>
        <v/>
      </c>
      <c r="BF26" s="313">
        <f>BE26*('Setting key Duty'!$I$8+'Setting key Duty'!$I$9+'Setting key Duty'!$I$12)</f>
        <v/>
      </c>
      <c r="BG26" s="313">
        <f>COUNTIF(D26:AI26,"*$N*")</f>
        <v/>
      </c>
      <c r="BH26" s="313">
        <f>COUNTIF(D26:AI26,"*$PM*")</f>
        <v/>
      </c>
      <c r="BI26" s="313">
        <f>BH26*('Setting key Duty'!$I$9)</f>
        <v/>
      </c>
      <c r="BJ26" s="313">
        <f>COUNTIF(D26:AI26,"*$AM*")</f>
        <v/>
      </c>
      <c r="BK26" s="313">
        <f>BJ26*('Setting key Duty'!$I$12+'Setting key Duty'!$I$8)</f>
        <v/>
      </c>
      <c r="BL26" s="313">
        <f>COUNTIF(C26:AI26,"*$FC*")</f>
        <v/>
      </c>
      <c r="BM26" s="313">
        <f>BL26*('Setting key Duty'!$J$11+'Setting key Duty'!$I$8)</f>
        <v/>
      </c>
      <c r="BN26" s="313">
        <f>COUNTIF($C26:$AG26,BN$4)</f>
        <v/>
      </c>
      <c r="BO26" s="313">
        <f>COUNTIF($C26:$AG26,BO$4)</f>
        <v/>
      </c>
      <c r="BP26" s="313">
        <f>COUNTIF($D26:$AE26,BP$4)</f>
        <v/>
      </c>
      <c r="BQ26" s="345" t="n"/>
    </row>
    <row r="27" ht="19.5" customHeight="1">
      <c r="A27" s="309" t="n"/>
      <c r="B27" s="336" t="inlineStr">
        <is>
          <t>LCP QUEK ZI YI</t>
        </is>
      </c>
      <c r="D27" s="197" t="n"/>
      <c r="E27" s="197" t="inlineStr">
        <is>
          <t>GX $AM 8KM</t>
        </is>
      </c>
      <c r="F27" s="197" t="n"/>
      <c r="G27" s="197" t="inlineStr">
        <is>
          <t>RESERVE</t>
        </is>
      </c>
      <c r="H27" s="377" t="inlineStr">
        <is>
          <t>CS1</t>
        </is>
      </c>
      <c r="K27" s="197" t="n"/>
      <c r="L27" s="198" t="inlineStr">
        <is>
          <t>R $PM SOC (1530-1800)</t>
        </is>
      </c>
      <c r="N27" s="197" t="inlineStr">
        <is>
          <t>RESERVE</t>
        </is>
      </c>
      <c r="P27" s="197" t="inlineStr">
        <is>
          <t>CS2</t>
        </is>
      </c>
      <c r="R27" s="197" t="n"/>
      <c r="S27" s="197" t="n"/>
      <c r="T27" s="378" t="n"/>
      <c r="V27" s="200" t="inlineStr">
        <is>
          <t>CS1</t>
        </is>
      </c>
      <c r="W27" s="197" t="n"/>
      <c r="X27" s="197" t="n"/>
      <c r="Y27" s="317" t="inlineStr">
        <is>
          <t>CS1</t>
        </is>
      </c>
      <c r="AB27" s="197" t="inlineStr">
        <is>
          <t>SCH 2 $AM SOC (0600-1100)</t>
        </is>
      </c>
      <c r="AC27" s="106" t="n"/>
      <c r="AD27" s="197" t="n"/>
      <c r="AE27" s="197" t="inlineStr">
        <is>
          <t> </t>
        </is>
      </c>
      <c r="AF27" s="197" t="inlineStr">
        <is>
          <t>TPP $PM IPPT (1530-1720)</t>
        </is>
      </c>
      <c r="AH27" s="106" t="n"/>
      <c r="AI27" s="311" t="n"/>
      <c r="AJ27" s="312" t="n"/>
      <c r="AK27" s="311" t="n"/>
      <c r="AL27" s="344" t="n"/>
      <c r="AM27" s="344" t="n"/>
      <c r="AN27" s="344" t="n"/>
      <c r="AO27" s="344" t="n"/>
      <c r="AP27" s="246" t="n"/>
      <c r="AQ27" s="313">
        <f>SUMPRODUCT(--WEEKDAY(C$3:AG$3,2)&lt;6,--((C27:AG27="DM"))+(C27:AG27="CS1")+((C27:AG27="CS2"))+(C27:AG27="SB1")+(C27:AG27="AE")+(C27:AG27="EM"))</f>
        <v/>
      </c>
      <c r="AR27" s="238" t="n"/>
      <c r="AS27" s="238">
        <f>SUMPRODUCT(--WEEKDAY(C$3:AG$3,2)&gt;5,--((C27:AG27="DM"))+(C27:AG27="CS1")+((C27:AG27="CS2"))+(C27:AG27="SB1")+(C27:AG27="AE")+(C27:AG27="EM"))</f>
        <v/>
      </c>
      <c r="AT27" s="246" t="n"/>
      <c r="AU27" s="238">
        <f>(AQ27-AR27)/2+(AS27-AT27)</f>
        <v/>
      </c>
      <c r="AV27" s="238">
        <f>AI27+AJ27+AK27+AL27+AN27+AO27</f>
        <v/>
      </c>
      <c r="AW27" s="238">
        <f>BG27+BH27+BJ27+BE27+BC27+BA27+BL27</f>
        <v/>
      </c>
      <c r="AX27" s="238">
        <f>AU27+AY27</f>
        <v/>
      </c>
      <c r="AY27" s="313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/>
      </c>
      <c r="AZ27" s="313">
        <f>COUNTIF(C27:X27,"*BRT*")</f>
        <v/>
      </c>
      <c r="BA27" s="313">
        <f>COUNTIF(A27:AI27,"*$BTP*")</f>
        <v/>
      </c>
      <c r="BB27" s="313">
        <f>BA27*('Setting key Duty'!$I$13+'Setting key Duty'!$I$12+'Setting key Duty'!$I$11)</f>
        <v/>
      </c>
      <c r="BC27" s="313">
        <f>COUNTIF(D27:AI27,"*$L*")</f>
        <v/>
      </c>
      <c r="BD27" s="313">
        <f>BC27*('Setting key Duty'!$I$13+'Setting key Duty'!$I$9)</f>
        <v/>
      </c>
      <c r="BE27" s="313">
        <f>COUNTIF(D27:AI27,"*$M*")</f>
        <v/>
      </c>
      <c r="BF27" s="313">
        <f>BE27*('Setting key Duty'!$I$8+'Setting key Duty'!$I$9+'Setting key Duty'!$I$12)</f>
        <v/>
      </c>
      <c r="BG27" s="313">
        <f>COUNTIF(D27:AI27,"*$N*")</f>
        <v/>
      </c>
      <c r="BH27" s="313">
        <f>COUNTIF(D27:AI27,"*$PM*")</f>
        <v/>
      </c>
      <c r="BI27" s="313">
        <f>BH27*('Setting key Duty'!$I$9)</f>
        <v/>
      </c>
      <c r="BJ27" s="313">
        <f>COUNTIF(D27:AI27,"*$AM*")</f>
        <v/>
      </c>
      <c r="BK27" s="313">
        <f>BJ27*('Setting key Duty'!$I$12+'Setting key Duty'!$I$8)</f>
        <v/>
      </c>
      <c r="BL27" s="313">
        <f>COUNTIF(C27:AI27,"*$FC*")</f>
        <v/>
      </c>
      <c r="BM27" s="313">
        <f>BL27*('Setting key Duty'!$J$11+'Setting key Duty'!$I$8)</f>
        <v/>
      </c>
      <c r="BN27" s="313">
        <f>COUNTIF($C27:$AG27,BN$4)</f>
        <v/>
      </c>
      <c r="BO27" s="313">
        <f>COUNTIF($C27:$AG27,BO$4)</f>
        <v/>
      </c>
      <c r="BP27" s="313">
        <f>COUNTIF($D27:$AE27,BP$4)</f>
        <v/>
      </c>
      <c r="BQ27" s="345" t="n"/>
    </row>
    <row r="28" ht="19.5" customHeight="1">
      <c r="A28" s="309" t="n"/>
      <c r="B28" s="346" t="inlineStr">
        <is>
          <t xml:space="preserve">PTE EKLAYVA </t>
        </is>
      </c>
      <c r="C28" s="317" t="n"/>
      <c r="D28" s="317" t="n"/>
      <c r="E28" s="197" t="inlineStr">
        <is>
          <t>SAF DAY TRAINING</t>
        </is>
      </c>
      <c r="F28" s="197" t="inlineStr">
        <is>
          <t>SAF DAY TRAINING</t>
        </is>
      </c>
      <c r="G28" s="197" t="inlineStr">
        <is>
          <t>SAF DAY TRAINING</t>
        </is>
      </c>
      <c r="H28" s="197" t="inlineStr">
        <is>
          <t>GP</t>
        </is>
      </c>
      <c r="I28" s="106" t="n"/>
      <c r="J28" s="197" t="n"/>
      <c r="K28" s="197" t="inlineStr">
        <is>
          <t>SAF DAY TRAINING</t>
        </is>
      </c>
      <c r="L28" s="324" t="n"/>
      <c r="M28" s="197" t="inlineStr">
        <is>
          <t>AE</t>
        </is>
      </c>
      <c r="N28" s="197" t="n"/>
      <c r="O28" s="197" t="inlineStr">
        <is>
          <t>SCH 1 $M ISAD 0530-2000</t>
        </is>
      </c>
      <c r="P28" s="197" t="n"/>
      <c r="Q28" s="197" t="n"/>
      <c r="R28" s="197" t="inlineStr">
        <is>
          <t>SAF DAY TRAINING</t>
        </is>
      </c>
      <c r="S28" s="197" t="inlineStr">
        <is>
          <t>SAF DAY TRAINING</t>
        </is>
      </c>
      <c r="T28" s="197" t="inlineStr">
        <is>
          <t>SAF DAY TRAINING</t>
        </is>
      </c>
      <c r="U28" s="197" t="inlineStr">
        <is>
          <t>SAF DAY TRAINING</t>
        </is>
      </c>
      <c r="V28" s="200" t="n"/>
      <c r="W28" s="197" t="inlineStr">
        <is>
          <t>AE</t>
        </is>
      </c>
      <c r="X28" s="197" t="n"/>
      <c r="Y28" s="197" t="inlineStr">
        <is>
          <t>SAF DAY - 2200 hrs report</t>
        </is>
      </c>
      <c r="Z28" s="197" t="inlineStr">
        <is>
          <t>SAF DAY TRAINING</t>
        </is>
      </c>
      <c r="AA28" s="197" t="inlineStr">
        <is>
          <t>SAF DAY - 2200 hrs report</t>
        </is>
      </c>
      <c r="AB28" s="106" t="n"/>
      <c r="AC28" s="197" t="inlineStr">
        <is>
          <t>AE</t>
        </is>
      </c>
      <c r="AD28" s="324" t="n"/>
      <c r="AE28" s="197" t="n"/>
      <c r="AF28" s="197" t="inlineStr">
        <is>
          <t>SAF DAY TRAINING</t>
        </is>
      </c>
      <c r="AG28" s="197" t="inlineStr">
        <is>
          <t>SAF DAY PARADE</t>
        </is>
      </c>
      <c r="AH28" s="317" t="n"/>
      <c r="AI28" s="311" t="n"/>
      <c r="AJ28" s="312" t="n"/>
      <c r="AK28" s="311" t="n"/>
      <c r="AL28" s="344" t="n"/>
      <c r="AM28" s="344" t="n"/>
      <c r="AN28" s="344" t="n"/>
      <c r="AO28" s="344" t="n"/>
      <c r="AP28" s="246" t="n"/>
      <c r="AQ28" s="313">
        <f>SUMPRODUCT(--WEEKDAY(C$3:AG$3,2)&lt;6,--((C28:AG28="DM"))+(C28:AG28="CS1")+((C28:AG28="CS2"))+(C28:AG28="SB1")+(C28:AG28="AE")+(C28:AG28="EM"))</f>
        <v/>
      </c>
      <c r="AR28" s="246" t="n"/>
      <c r="AS28" s="238">
        <f>SUMPRODUCT(--WEEKDAY(C$3:AG$3,2)&gt;5,--((C28:AG28="DM"))+(C28:AG28="CS1")+((C28:AG28="CS2"))+(C28:AG28="SB1")+(C28:AG28="AE")+(C28:AG28="EM"))</f>
        <v/>
      </c>
      <c r="AT28" s="246" t="n"/>
      <c r="AU28" s="238">
        <f>(AQ28-AR28)/2+(AS28-AT28)</f>
        <v/>
      </c>
      <c r="AV28" s="238">
        <f>AI28+AJ28+AK28+AL28+AN28+AO28</f>
        <v/>
      </c>
      <c r="AW28" s="238">
        <f>BG28+BH28+BJ28+BE28+BC28+BA28+BL28</f>
        <v/>
      </c>
      <c r="AX28" s="238">
        <f>AU28+AY28</f>
        <v/>
      </c>
      <c r="AY28" s="313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/>
      </c>
      <c r="AZ28" s="313">
        <f>COUNTIF(C28:Y28,"*BRT*")</f>
        <v/>
      </c>
      <c r="BA28" s="313">
        <f>COUNTIF(A28:AI28,"*$BTP*")</f>
        <v/>
      </c>
      <c r="BB28" s="313">
        <f>BA28*('Setting key Duty'!$I$13+'Setting key Duty'!$I$12+'Setting key Duty'!$I$11)</f>
        <v/>
      </c>
      <c r="BC28" s="313">
        <f>COUNTIF(D28:AI28,"*$L*")</f>
        <v/>
      </c>
      <c r="BD28" s="313">
        <f>BC28*('Setting key Duty'!$I$13+'Setting key Duty'!$I$9)</f>
        <v/>
      </c>
      <c r="BE28" s="313">
        <f>COUNTIF(D28:AI28,"*$M*")</f>
        <v/>
      </c>
      <c r="BF28" s="313">
        <f>BE28*('Setting key Duty'!$I$8+'Setting key Duty'!$I$9+'Setting key Duty'!$I$12)</f>
        <v/>
      </c>
      <c r="BG28" s="313">
        <f>COUNTIF(D28:AI28,"*$N*")</f>
        <v/>
      </c>
      <c r="BH28" s="313">
        <f>COUNTIF(D28:AI28,"*$PM*")</f>
        <v/>
      </c>
      <c r="BI28" s="313">
        <f>BH28*('Setting key Duty'!$I$9)</f>
        <v/>
      </c>
      <c r="BJ28" s="313">
        <f>COUNTIF(D28:AI28,"*$AM*")</f>
        <v/>
      </c>
      <c r="BK28" s="313">
        <f>BJ28*('Setting key Duty'!$I$12+'Setting key Duty'!$I$8)</f>
        <v/>
      </c>
      <c r="BL28" s="313">
        <f>COUNTIF(C28:AI28,"*$FC*")</f>
        <v/>
      </c>
      <c r="BM28" s="313">
        <f>BL28*('Setting key Duty'!$J$11+'Setting key Duty'!$I$8)</f>
        <v/>
      </c>
      <c r="BN28" s="313">
        <f>COUNTIF($C28:$AG28,BN$4)</f>
        <v/>
      </c>
      <c r="BO28" s="313">
        <f>COUNTIF($C28:$AG28,BO$4)</f>
        <v/>
      </c>
      <c r="BP28" s="313" t="n"/>
      <c r="BQ28" s="345" t="n"/>
    </row>
    <row r="29" ht="19.5" customHeight="1">
      <c r="A29" s="309" t="n"/>
      <c r="B29" s="347" t="inlineStr">
        <is>
          <t xml:space="preserve">PTE ASHWIN </t>
        </is>
      </c>
      <c r="C29" s="317" t="n"/>
      <c r="D29" s="197" t="inlineStr">
        <is>
          <t>AE</t>
        </is>
      </c>
      <c r="E29" s="331" t="inlineStr">
        <is>
          <t>SB2</t>
        </is>
      </c>
      <c r="F29" s="197" t="n"/>
      <c r="G29" s="197" t="inlineStr">
        <is>
          <t>AE</t>
        </is>
      </c>
      <c r="H29" s="197" t="n"/>
      <c r="I29" s="197" t="inlineStr">
        <is>
          <t>OL</t>
        </is>
      </c>
      <c r="J29" s="197" t="inlineStr">
        <is>
          <t>OL</t>
        </is>
      </c>
      <c r="K29" s="197" t="inlineStr">
        <is>
          <t>OL</t>
        </is>
      </c>
      <c r="L29" s="197" t="inlineStr">
        <is>
          <t>OL</t>
        </is>
      </c>
      <c r="M29" s="197" t="inlineStr">
        <is>
          <t>OL</t>
        </is>
      </c>
      <c r="N29" s="197" t="inlineStr">
        <is>
          <t>OL</t>
        </is>
      </c>
      <c r="O29" s="197" t="inlineStr">
        <is>
          <t>OL</t>
        </is>
      </c>
      <c r="P29" s="197" t="inlineStr">
        <is>
          <t>OL</t>
        </is>
      </c>
      <c r="Q29" s="197" t="inlineStr">
        <is>
          <t>OL</t>
        </is>
      </c>
      <c r="R29" s="197" t="inlineStr">
        <is>
          <t>AE</t>
        </is>
      </c>
      <c r="T29" s="196" t="inlineStr">
        <is>
          <t>PHLEBO</t>
        </is>
      </c>
      <c r="U29" s="196" t="inlineStr">
        <is>
          <t>PHLEBO</t>
        </is>
      </c>
      <c r="V29" s="331" t="inlineStr">
        <is>
          <t>SB2</t>
        </is>
      </c>
      <c r="W29" s="197" t="inlineStr">
        <is>
          <t>RESERVE</t>
        </is>
      </c>
      <c r="X29" s="197" t="inlineStr">
        <is>
          <t>AE</t>
        </is>
      </c>
      <c r="Y29" s="331" t="inlineStr">
        <is>
          <t>SB2</t>
        </is>
      </c>
      <c r="Z29" s="197" t="inlineStr">
        <is>
          <t>OL</t>
        </is>
      </c>
      <c r="AA29" s="197" t="inlineStr">
        <is>
          <t>OL</t>
        </is>
      </c>
      <c r="AB29" s="324" t="n"/>
      <c r="AC29" s="331" t="inlineStr">
        <is>
          <t>SB2</t>
        </is>
      </c>
      <c r="AD29" s="106" t="n"/>
      <c r="AE29" s="324" t="n"/>
      <c r="AF29" s="197" t="n"/>
      <c r="AG29" s="317" t="n"/>
      <c r="AH29" s="197" t="n"/>
      <c r="AI29" s="311" t="n"/>
      <c r="AJ29" s="312" t="n"/>
      <c r="AK29" s="311" t="n"/>
      <c r="AL29" s="344" t="n"/>
      <c r="AM29" s="344" t="n"/>
      <c r="AN29" s="344" t="n"/>
      <c r="AO29" s="344" t="n"/>
      <c r="AP29" s="246" t="n"/>
      <c r="AQ29" s="313">
        <f>SUMPRODUCT(--WEEKDAY(C$3:AG$3,2)&lt;6,--((C29:AG29="DM"))+(C29:AG29="CS1")+((C29:AG29="CS2"))+(C29:AG29="SB1")+(C29:AG29="AE")+(C29:AG29="EM"))</f>
        <v/>
      </c>
      <c r="AR29" s="246" t="n"/>
      <c r="AS29" s="238">
        <f>SUMPRODUCT(--WEEKDAY(C$3:AG$3,2)&gt;5,--((C29:AG29="DM"))+(C29:AG29="CS1")+((C29:AG29="CS2"))+(C29:AG29="SB1")+(C29:AG29="AE")+(C29:AG29="EM"))</f>
        <v/>
      </c>
      <c r="AT29" s="246" t="n"/>
      <c r="AU29" s="238">
        <f>(AQ29-AR29)/2+(AS29-AT29)</f>
        <v/>
      </c>
      <c r="AV29" s="238">
        <f>AI29+AJ29+AK29+AL29+AN29+AO29</f>
        <v/>
      </c>
      <c r="AW29" s="238">
        <f>BG29+BH29+BJ29+BE29+BC29+BA29+BL29</f>
        <v/>
      </c>
      <c r="AX29" s="238">
        <f>AU29+AY29</f>
        <v/>
      </c>
      <c r="AY29" s="313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/>
      </c>
      <c r="AZ29" s="313">
        <f>COUNTIF(C29:Y29,"*BRT*")</f>
        <v/>
      </c>
      <c r="BA29" s="313">
        <f>COUNTIF(A29:AI29,"*$BTP*")</f>
        <v/>
      </c>
      <c r="BB29" s="313">
        <f>BA29*('Setting key Duty'!$I$13+'Setting key Duty'!$I$12+'Setting key Duty'!$I$11)</f>
        <v/>
      </c>
      <c r="BC29" s="313">
        <f>COUNTIF(D29:AI29,"*$L*")</f>
        <v/>
      </c>
      <c r="BD29" s="313">
        <f>BC29*('Setting key Duty'!$I$13+'Setting key Duty'!$I$9)</f>
        <v/>
      </c>
      <c r="BE29" s="313">
        <f>COUNTIF(D29:AI29,"*$M*")</f>
        <v/>
      </c>
      <c r="BF29" s="313">
        <f>BE29*('Setting key Duty'!$I$8+'Setting key Duty'!$I$9+'Setting key Duty'!$I$12)</f>
        <v/>
      </c>
      <c r="BG29" s="313">
        <f>COUNTIF(D29:AI29,"*$N*")</f>
        <v/>
      </c>
      <c r="BH29" s="313">
        <f>COUNTIF(D29:AI29,"*$PM*")</f>
        <v/>
      </c>
      <c r="BI29" s="313">
        <f>BH29*('Setting key Duty'!$I$9)</f>
        <v/>
      </c>
      <c r="BJ29" s="313">
        <f>COUNTIF(D29:AI29,"*$AM*")</f>
        <v/>
      </c>
      <c r="BK29" s="313">
        <f>BJ29*('Setting key Duty'!$I$12+'Setting key Duty'!$I$8)</f>
        <v/>
      </c>
      <c r="BL29" s="313">
        <f>COUNTIF(C29:AI29,"*$FC*")</f>
        <v/>
      </c>
      <c r="BM29" s="313">
        <f>BL29*('Setting key Duty'!$J$11+'Setting key Duty'!$I$8)</f>
        <v/>
      </c>
      <c r="BN29" s="313">
        <f>COUNTIF($C29:$AG29,BN$4)</f>
        <v/>
      </c>
      <c r="BO29" s="313">
        <f>COUNTIF($C29:$AG29,BO$4)</f>
        <v/>
      </c>
      <c r="BP29" s="313" t="n"/>
      <c r="BQ29" s="345" t="n"/>
    </row>
    <row r="30" ht="19.5" customHeight="1">
      <c r="A30" s="309" t="n"/>
      <c r="B30" s="348" t="inlineStr">
        <is>
          <t>PTE ZHONGHAO</t>
        </is>
      </c>
      <c r="C30" s="317" t="n"/>
      <c r="D30" s="331" t="inlineStr">
        <is>
          <t>SB2</t>
        </is>
      </c>
      <c r="E30" s="197" t="inlineStr">
        <is>
          <t>AE</t>
        </is>
      </c>
      <c r="G30" s="197" t="inlineStr">
        <is>
          <t>GP</t>
        </is>
      </c>
      <c r="H30" s="197" t="inlineStr">
        <is>
          <t>GP</t>
        </is>
      </c>
      <c r="I30" s="324" t="inlineStr">
        <is>
          <t>OL</t>
        </is>
      </c>
      <c r="J30" s="324" t="inlineStr">
        <is>
          <t>OL</t>
        </is>
      </c>
      <c r="K30" s="324" t="inlineStr">
        <is>
          <t>OL</t>
        </is>
      </c>
      <c r="L30" s="324" t="inlineStr">
        <is>
          <t>OL</t>
        </is>
      </c>
      <c r="M30" s="324" t="inlineStr">
        <is>
          <t>OL</t>
        </is>
      </c>
      <c r="N30" s="324" t="inlineStr">
        <is>
          <t>OL</t>
        </is>
      </c>
      <c r="O30" s="324" t="inlineStr">
        <is>
          <t>OL</t>
        </is>
      </c>
      <c r="P30" s="324" t="inlineStr">
        <is>
          <t>OL</t>
        </is>
      </c>
      <c r="S30" s="197" t="inlineStr">
        <is>
          <t>AE</t>
        </is>
      </c>
      <c r="T30" s="331" t="inlineStr">
        <is>
          <t>SB2</t>
        </is>
      </c>
      <c r="U30" s="197" t="inlineStr">
        <is>
          <t>B $AM IPPT 0500-1100</t>
        </is>
      </c>
      <c r="X30" s="197" t="n"/>
      <c r="Y30" s="197" t="n"/>
      <c r="Z30" s="197" t="inlineStr">
        <is>
          <t>U $L ATP/CS (0530-2359)</t>
        </is>
      </c>
      <c r="AA30" s="106" t="n"/>
      <c r="AB30" s="197" t="inlineStr">
        <is>
          <t>F $AM IPPT 0500-1100</t>
        </is>
      </c>
      <c r="AC30" s="106" t="n"/>
      <c r="AD30" s="317" t="n"/>
      <c r="AE30" s="197" t="inlineStr">
        <is>
          <t>AE</t>
        </is>
      </c>
      <c r="AF30" s="197" t="inlineStr">
        <is>
          <t>DISPENSE</t>
        </is>
      </c>
      <c r="AG30" s="197" t="inlineStr">
        <is>
          <t>DISPENSE</t>
        </is>
      </c>
      <c r="AH30" s="197" t="inlineStr">
        <is>
          <t>DISPENSE</t>
        </is>
      </c>
      <c r="AI30" s="311" t="n"/>
      <c r="AJ30" s="312" t="n"/>
      <c r="AK30" s="311" t="n"/>
      <c r="AL30" s="344" t="n"/>
      <c r="AM30" s="344" t="n"/>
      <c r="AN30" s="344" t="n"/>
      <c r="AO30" s="344" t="n"/>
      <c r="AP30" s="246" t="n"/>
      <c r="AQ30" s="313">
        <f>SUMPRODUCT(--WEEKDAY(C$3:AG$3,2)&lt;6,--((C30:AG30="DM"))+(C30:AG30="CS1")+((C30:AG30="CS2"))+(C30:AG30="SB1")+(C30:AG30="AE")+(C30:AG30="EM"))</f>
        <v/>
      </c>
      <c r="AR30" s="246" t="n"/>
      <c r="AS30" s="238">
        <f>SUMPRODUCT(--WEEKDAY(C$3:AG$3,2)&gt;5,--((C30:AG30="DM"))+(C30:AG30="CS1")+((C30:AG30="CS2"))+(C30:AG30="SB1")+(C30:AG30="AE")+(C30:AG30="EM"))</f>
        <v/>
      </c>
      <c r="AT30" s="246" t="n"/>
      <c r="AU30" s="238">
        <f>(AQ30-AR30)/2+(AS30-AT30)</f>
        <v/>
      </c>
      <c r="AV30" s="238">
        <f>AI30+AJ30+AK30+AL30+AN30+AO30</f>
        <v/>
      </c>
      <c r="AW30" s="238">
        <f>BG30+BH30+BJ30+BE30+BC30+BA30+BL30</f>
        <v/>
      </c>
      <c r="AX30" s="238">
        <f>AU30+AY30</f>
        <v/>
      </c>
      <c r="AY30" s="313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/>
      </c>
      <c r="AZ30" s="313">
        <f>COUNTIF(C30:Y30,"*BRT*")</f>
        <v/>
      </c>
      <c r="BA30" s="313">
        <f>COUNTIF(A30:AI30,"*$BTP*")</f>
        <v/>
      </c>
      <c r="BB30" s="313">
        <f>BA30*('Setting key Duty'!$I$13+'Setting key Duty'!$I$12+'Setting key Duty'!$I$11)</f>
        <v/>
      </c>
      <c r="BC30" s="313">
        <f>COUNTIF(D30:AI30,"*$L*")</f>
        <v/>
      </c>
      <c r="BD30" s="313">
        <f>BC30*('Setting key Duty'!$I$13+'Setting key Duty'!$I$9)</f>
        <v/>
      </c>
      <c r="BE30" s="313">
        <f>COUNTIF(D30:AI30,"*$M*")</f>
        <v/>
      </c>
      <c r="BF30" s="313">
        <f>BE30*('Setting key Duty'!$I$8+'Setting key Duty'!$I$9+'Setting key Duty'!$I$12)</f>
        <v/>
      </c>
      <c r="BG30" s="313">
        <f>COUNTIF(D30:AI30,"*$N*")</f>
        <v/>
      </c>
      <c r="BH30" s="313">
        <f>COUNTIF(D30:AI30,"*$PM*")</f>
        <v/>
      </c>
      <c r="BI30" s="313">
        <f>BH30*('Setting key Duty'!$I$9)</f>
        <v/>
      </c>
      <c r="BJ30" s="313">
        <f>COUNTIF(D30:AI30,"*$AM*")</f>
        <v/>
      </c>
      <c r="BK30" s="313">
        <f>BJ30*('Setting key Duty'!$I$12+'Setting key Duty'!$I$8)</f>
        <v/>
      </c>
      <c r="BL30" s="313">
        <f>COUNTIF(C30:AI30,"*$FC*")</f>
        <v/>
      </c>
      <c r="BM30" s="313">
        <f>BL30*('Setting key Duty'!$J$11+'Setting key Duty'!$I$8)</f>
        <v/>
      </c>
      <c r="BN30" s="313">
        <f>COUNTIF($C30:$AG30,BN$4)</f>
        <v/>
      </c>
      <c r="BO30" s="313">
        <f>COUNTIF($C30:$AG30,BO$4)</f>
        <v/>
      </c>
      <c r="BP30" s="313" t="n"/>
      <c r="BQ30" s="345" t="n"/>
    </row>
    <row r="31" ht="19.5" customHeight="1">
      <c r="A31" s="309" t="n"/>
      <c r="B31" s="348" t="inlineStr">
        <is>
          <t>PTE DERRICK</t>
        </is>
      </c>
      <c r="C31" s="317" t="n"/>
      <c r="D31" s="317" t="n"/>
      <c r="E31" s="197" t="inlineStr">
        <is>
          <t>GX $AM 8KM</t>
        </is>
      </c>
      <c r="G31" s="197" t="inlineStr">
        <is>
          <t>GP</t>
        </is>
      </c>
      <c r="H31" s="197" t="inlineStr">
        <is>
          <t>GP</t>
        </is>
      </c>
      <c r="I31" s="197" t="inlineStr">
        <is>
          <t>GP</t>
        </is>
      </c>
      <c r="J31" s="197" t="n"/>
      <c r="K31" s="197" t="inlineStr">
        <is>
          <t>AE</t>
        </is>
      </c>
      <c r="M31" s="349" t="n"/>
      <c r="N31" s="331" t="inlineStr">
        <is>
          <t>SB2</t>
        </is>
      </c>
      <c r="O31" s="197" t="inlineStr">
        <is>
          <t>R $AM IPPT (0500-1100)</t>
        </is>
      </c>
      <c r="Q31" s="324" t="inlineStr">
        <is>
          <t>AE</t>
        </is>
      </c>
      <c r="S31" s="197" t="n"/>
      <c r="T31" s="196" t="inlineStr">
        <is>
          <t>PHLEBO</t>
        </is>
      </c>
      <c r="U31" s="196" t="inlineStr">
        <is>
          <t>PHLEBO</t>
        </is>
      </c>
      <c r="V31" s="200" t="inlineStr">
        <is>
          <t>AE</t>
        </is>
      </c>
      <c r="W31" s="197" t="n"/>
      <c r="Y31" s="317" t="n"/>
      <c r="Z31" s="197" t="inlineStr">
        <is>
          <t>N $L ATP/CS  0515-2359</t>
        </is>
      </c>
      <c r="AA31" s="197" t="n"/>
      <c r="AC31" s="197" t="n"/>
      <c r="AE31" s="317" t="n"/>
      <c r="AF31" s="197" t="inlineStr">
        <is>
          <t>AE</t>
        </is>
      </c>
      <c r="AG31" s="317" t="n"/>
      <c r="AH31" s="317" t="n"/>
      <c r="AI31" s="311" t="n"/>
      <c r="AJ31" s="312" t="n"/>
      <c r="AK31" s="311" t="n"/>
      <c r="AL31" s="344" t="n"/>
      <c r="AM31" s="344" t="n"/>
      <c r="AN31" s="344" t="n"/>
      <c r="AO31" s="344" t="n"/>
      <c r="AP31" s="246" t="n"/>
      <c r="AQ31" s="313">
        <f>SUMPRODUCT(--WEEKDAY(C$3:AG$3,2)&lt;6,--((C31:AG31="DM"))+(C31:AG31="CS1")+((C31:AG31="CS2"))+(C31:AG31="SB1")+(C31:AG31="AE")+(C31:AG31="EM"))</f>
        <v/>
      </c>
      <c r="AR31" s="246" t="n"/>
      <c r="AS31" s="238">
        <f>SUMPRODUCT(--WEEKDAY(C$3:AG$3,2)&gt;5,--((C31:AG31="DM"))+(C31:AG31="CS1")+((C31:AG31="CS2"))+(C31:AG31="SB1")+(C31:AG31="AE")+(C31:AG31="EM"))</f>
        <v/>
      </c>
      <c r="AT31" s="246" t="n"/>
      <c r="AU31" s="238">
        <f>(AQ31-AR31)/2+(AS31-AT31)</f>
        <v/>
      </c>
      <c r="AV31" s="238">
        <f>AI31+AJ31+AK31+AL31+AN31+AO31</f>
        <v/>
      </c>
      <c r="AW31" s="238">
        <f>BG31+BH31+BJ31+BE31+BC31+BA31+BL31</f>
        <v/>
      </c>
      <c r="AX31" s="238">
        <f>AU31+AY31</f>
        <v/>
      </c>
      <c r="AY31" s="313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/>
      </c>
      <c r="AZ31" s="313">
        <f>COUNTIF(C31:Y31,"*BRT*")</f>
        <v/>
      </c>
      <c r="BA31" s="313">
        <f>COUNTIF(A31:AI31,"*$BTP*")</f>
        <v/>
      </c>
      <c r="BB31" s="313">
        <f>BA31*('Setting key Duty'!$I$13+'Setting key Duty'!$I$12+'Setting key Duty'!$I$11)</f>
        <v/>
      </c>
      <c r="BC31" s="313">
        <f>COUNTIF(D31:AI31,"*$L*")</f>
        <v/>
      </c>
      <c r="BD31" s="313">
        <f>BC31*('Setting key Duty'!$I$13+'Setting key Duty'!$I$9)</f>
        <v/>
      </c>
      <c r="BE31" s="313">
        <f>COUNTIF(D31:AI31,"*$M*")</f>
        <v/>
      </c>
      <c r="BF31" s="313">
        <f>BE31*('Setting key Duty'!$I$8+'Setting key Duty'!$I$9+'Setting key Duty'!$I$12)</f>
        <v/>
      </c>
      <c r="BG31" s="313">
        <f>COUNTIF(D31:AI31,"*$N*")</f>
        <v/>
      </c>
      <c r="BH31" s="313">
        <f>COUNTIF(D31:AI31,"*$PM*")</f>
        <v/>
      </c>
      <c r="BI31" s="313">
        <f>BH31*('Setting key Duty'!$I$9)</f>
        <v/>
      </c>
      <c r="BJ31" s="313">
        <f>COUNTIF(D31:AI31,"*$AM*")</f>
        <v/>
      </c>
      <c r="BK31" s="313">
        <f>BJ31*('Setting key Duty'!$I$12+'Setting key Duty'!$I$8)</f>
        <v/>
      </c>
      <c r="BL31" s="313">
        <f>COUNTIF(C31:AI31,"*$FC*")</f>
        <v/>
      </c>
      <c r="BM31" s="313">
        <f>BL31*('Setting key Duty'!$J$11+'Setting key Duty'!$I$8)</f>
        <v/>
      </c>
      <c r="BN31" s="313">
        <f>COUNTIF($C31:$AG31,BN$4)</f>
        <v/>
      </c>
      <c r="BO31" s="313">
        <f>COUNTIF($C31:$AG31,BO$4)</f>
        <v/>
      </c>
      <c r="BP31" s="313" t="n"/>
      <c r="BQ31" s="345" t="n"/>
    </row>
    <row r="32" ht="19.5" customHeight="1">
      <c r="A32" s="309" t="n"/>
      <c r="B32" s="348" t="inlineStr">
        <is>
          <t>PTE GOH DI XUAN</t>
        </is>
      </c>
      <c r="C32" s="317" t="n"/>
      <c r="D32" s="197" t="inlineStr">
        <is>
          <t>GP $M REHERSEAL (0700-1200)</t>
        </is>
      </c>
      <c r="E32" s="197" t="n"/>
      <c r="F32" s="331" t="inlineStr">
        <is>
          <t>SB2</t>
        </is>
      </c>
      <c r="G32" s="197" t="inlineStr">
        <is>
          <t>GP</t>
        </is>
      </c>
      <c r="H32" s="197" t="inlineStr">
        <is>
          <t>GP</t>
        </is>
      </c>
      <c r="I32" s="197" t="inlineStr">
        <is>
          <t>GP</t>
        </is>
      </c>
      <c r="J32" s="197" t="inlineStr">
        <is>
          <t>AE</t>
        </is>
      </c>
      <c r="L32" s="197" t="n"/>
      <c r="M32" s="331" t="inlineStr">
        <is>
          <t>SB2</t>
        </is>
      </c>
      <c r="O32" s="331" t="inlineStr">
        <is>
          <t>SB2</t>
        </is>
      </c>
      <c r="P32" s="197" t="inlineStr">
        <is>
          <t>OL</t>
        </is>
      </c>
      <c r="Q32" s="197" t="inlineStr">
        <is>
          <t>OL</t>
        </is>
      </c>
      <c r="R32" s="197" t="inlineStr">
        <is>
          <t>OL</t>
        </is>
      </c>
      <c r="S32" s="197" t="inlineStr">
        <is>
          <t>OL</t>
        </is>
      </c>
      <c r="T32" s="197" t="inlineStr">
        <is>
          <t>OL</t>
        </is>
      </c>
      <c r="U32" s="197" t="inlineStr">
        <is>
          <t>OL</t>
        </is>
      </c>
      <c r="V32" s="200" t="inlineStr">
        <is>
          <t>OL</t>
        </is>
      </c>
      <c r="W32" s="197" t="inlineStr">
        <is>
          <t>OL</t>
        </is>
      </c>
      <c r="X32" s="197" t="inlineStr">
        <is>
          <t>OL</t>
        </is>
      </c>
      <c r="Z32" s="197" t="inlineStr">
        <is>
          <t>A $AM IPPT 0500-1100</t>
        </is>
      </c>
      <c r="AA32" s="197" t="inlineStr">
        <is>
          <t>AE</t>
        </is>
      </c>
      <c r="AB32" s="197" t="n"/>
      <c r="AC32" s="324" t="n"/>
      <c r="AD32" s="197" t="n"/>
      <c r="AF32" s="197" t="inlineStr">
        <is>
          <t>SCH 3 $AM IPPT (0500-1000)</t>
        </is>
      </c>
      <c r="AG32" s="317" t="n"/>
      <c r="AI32" s="311" t="n"/>
      <c r="AJ32" s="312" t="n"/>
      <c r="AK32" s="311" t="n"/>
      <c r="AL32" s="344" t="n"/>
      <c r="AM32" s="344" t="n"/>
      <c r="AN32" s="344" t="n"/>
      <c r="AO32" s="344" t="n"/>
      <c r="AP32" s="246" t="n"/>
      <c r="AQ32" s="313">
        <f>SUMPRODUCT(--WEEKDAY(C$3:AG$3,2)&lt;6,--((C32:AG32="DM"))+(C32:AG32="CS1")+((C32:AG32="CS2"))+(C32:AG32="SB1")+(C32:AG32="AE")+(C32:AG32="EM"))</f>
        <v/>
      </c>
      <c r="AR32" s="246" t="n"/>
      <c r="AS32" s="238">
        <f>SUMPRODUCT(--WEEKDAY(C$3:AG$3,2)&gt;5,--((C32:AG32="DM"))+(C32:AG32="CS1")+((C32:AG32="CS2"))+(C32:AG32="SB1")+(C32:AG32="AE")+(C32:AG32="EM"))</f>
        <v/>
      </c>
      <c r="AT32" s="246" t="n"/>
      <c r="AU32" s="238">
        <f>(AQ32-AR32)/2+(AS32-AT32)</f>
        <v/>
      </c>
      <c r="AV32" s="238">
        <f>AI32+AJ32+AK32+AL32+AN32+AO32</f>
        <v/>
      </c>
      <c r="AW32" s="238">
        <f>BG32+BH32+BJ32+BE32+BC32+BA32+BL32</f>
        <v/>
      </c>
      <c r="AX32" s="238">
        <f>AU32+AY32</f>
        <v/>
      </c>
      <c r="AY32" s="313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/>
      </c>
      <c r="AZ32" s="313">
        <f>COUNTIF(C32:Y32,"*BRT*")</f>
        <v/>
      </c>
      <c r="BA32" s="313">
        <f>COUNTIF(A32:AI32,"*$BTP*")</f>
        <v/>
      </c>
      <c r="BB32" s="313">
        <f>BA32*('Setting key Duty'!$I$13+'Setting key Duty'!$I$12+'Setting key Duty'!$I$11)</f>
        <v/>
      </c>
      <c r="BC32" s="313">
        <f>COUNTIF(D32:AI32,"*$L*")</f>
        <v/>
      </c>
      <c r="BD32" s="313">
        <f>BC32*('Setting key Duty'!$I$13+'Setting key Duty'!$I$9)</f>
        <v/>
      </c>
      <c r="BE32" s="313">
        <f>COUNTIF(D32:AI32,"*$M*")</f>
        <v/>
      </c>
      <c r="BF32" s="313">
        <f>BE32*('Setting key Duty'!$I$8+'Setting key Duty'!$I$9+'Setting key Duty'!$I$12)</f>
        <v/>
      </c>
      <c r="BG32" s="313">
        <f>COUNTIF(D32:AI32,"*$N*")</f>
        <v/>
      </c>
      <c r="BH32" s="313">
        <f>COUNTIF(D32:AI32,"*$PM*")</f>
        <v/>
      </c>
      <c r="BI32" s="313">
        <f>BH32*('Setting key Duty'!$I$9)</f>
        <v/>
      </c>
      <c r="BJ32" s="313">
        <f>COUNTIF(D32:AI32,"*$AM*")</f>
        <v/>
      </c>
      <c r="BK32" s="313">
        <f>BJ32*('Setting key Duty'!$I$12+'Setting key Duty'!$I$8)</f>
        <v/>
      </c>
      <c r="BL32" s="313">
        <f>COUNTIF(C32:AI32,"*$FC*")</f>
        <v/>
      </c>
      <c r="BM32" s="313">
        <f>BL32*('Setting key Duty'!$J$11+'Setting key Duty'!$I$8)</f>
        <v/>
      </c>
      <c r="BN32" s="313">
        <f>COUNTIF($C32:$AG32,BN$4)</f>
        <v/>
      </c>
      <c r="BO32" s="313">
        <f>COUNTIF($C32:$AG32,BO$4)</f>
        <v/>
      </c>
      <c r="BP32" s="313" t="n"/>
      <c r="BQ32" s="345" t="n"/>
    </row>
    <row r="33" ht="19.5" customHeight="1">
      <c r="A33" s="309" t="n"/>
      <c r="B33" s="347" t="inlineStr">
        <is>
          <t>LCP HAZIQ</t>
        </is>
      </c>
      <c r="C33" s="317" t="n"/>
      <c r="D33" s="317" t="n"/>
      <c r="E33" s="197" t="inlineStr">
        <is>
          <t>GX24</t>
        </is>
      </c>
      <c r="F33" s="197" t="inlineStr">
        <is>
          <t>GX24</t>
        </is>
      </c>
      <c r="G33" s="197" t="n"/>
      <c r="H33" s="331" t="inlineStr">
        <is>
          <t>SB2</t>
        </is>
      </c>
      <c r="I33" s="349" t="n"/>
      <c r="K33" s="197" t="n"/>
      <c r="L33" s="197" t="inlineStr">
        <is>
          <t>AE</t>
        </is>
      </c>
      <c r="M33" s="197" t="n"/>
      <c r="O33" s="197" t="inlineStr">
        <is>
          <t>AE</t>
        </is>
      </c>
      <c r="Q33" s="324" t="n"/>
      <c r="R33" s="317" t="n"/>
      <c r="S33" s="331" t="inlineStr">
        <is>
          <t>SB2</t>
        </is>
      </c>
      <c r="U33" s="197" t="inlineStr">
        <is>
          <t>AE</t>
        </is>
      </c>
      <c r="V33" s="200" t="n"/>
      <c r="X33" s="197" t="inlineStr">
        <is>
          <t>CS2</t>
        </is>
      </c>
      <c r="Z33" s="331" t="inlineStr">
        <is>
          <t>SB2</t>
        </is>
      </c>
      <c r="AA33" s="106" t="n"/>
      <c r="AB33" s="331" t="inlineStr">
        <is>
          <t>SB2</t>
        </is>
      </c>
      <c r="AC33" s="324" t="n"/>
      <c r="AE33" s="197" t="n"/>
      <c r="AG33" s="317" t="n"/>
      <c r="AH33" s="317" t="n"/>
      <c r="AI33" s="311" t="n"/>
      <c r="AJ33" s="312" t="n"/>
      <c r="AK33" s="311" t="n"/>
      <c r="AL33" s="344" t="n"/>
      <c r="AM33" s="344" t="n"/>
      <c r="AN33" s="344" t="n"/>
      <c r="AO33" s="344" t="n"/>
      <c r="AP33" s="246" t="n"/>
      <c r="AQ33" s="313">
        <f>SUMPRODUCT(--WEEKDAY(C$3:AG$3,2)&lt;6,--((C33:AG33="DM"))+(C33:AG33="CS1")+((C33:AG33="CS2"))+(C33:AG33="SB1")+(C33:AG33="AE")+(C33:AG33="EM"))</f>
        <v/>
      </c>
      <c r="AR33" s="246" t="n"/>
      <c r="AS33" s="238">
        <f>SUMPRODUCT(--WEEKDAY(C$3:AG$3,2)&gt;5,--((C33:AG33="DM"))+(C33:AG33="CS1")+((C33:AG33="CS2"))+(C33:AG33="SB1")+(C33:AG33="AE")+(C33:AG33="EM"))</f>
        <v/>
      </c>
      <c r="AT33" s="246" t="n"/>
      <c r="AU33" s="238">
        <f>(AQ33-AR33)/2+(AS33-AT33)</f>
        <v/>
      </c>
      <c r="AV33" s="238">
        <f>AI33+AJ33+AK33+AL33+AN33+AO33</f>
        <v/>
      </c>
      <c r="AW33" s="238">
        <f>BG33+BH33+BJ33+BE33+BC33+BA33+BL33</f>
        <v/>
      </c>
      <c r="AX33" s="238">
        <f>AU33+AY33</f>
        <v/>
      </c>
      <c r="AY33" s="313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/>
      </c>
      <c r="AZ33" s="313">
        <f>COUNTIF(C33:Y33,"*BRT*")</f>
        <v/>
      </c>
      <c r="BA33" s="313">
        <f>COUNTIF(A33:AI33,"*$BTP*")</f>
        <v/>
      </c>
      <c r="BB33" s="313">
        <f>BA33*('Setting key Duty'!$I$13+'Setting key Duty'!$I$12+'Setting key Duty'!$I$11)</f>
        <v/>
      </c>
      <c r="BC33" s="313">
        <f>COUNTIF(D33:AI33,"*$L*")</f>
        <v/>
      </c>
      <c r="BD33" s="313">
        <f>BC33*('Setting key Duty'!$I$13+'Setting key Duty'!$I$9)</f>
        <v/>
      </c>
      <c r="BE33" s="313">
        <f>COUNTIF(D33:AI33,"*$M*")</f>
        <v/>
      </c>
      <c r="BF33" s="313">
        <f>BE33*('Setting key Duty'!$I$8+'Setting key Duty'!$I$9+'Setting key Duty'!$I$12)</f>
        <v/>
      </c>
      <c r="BG33" s="313">
        <f>COUNTIF(D33:AI33,"*$N*")</f>
        <v/>
      </c>
      <c r="BH33" s="313">
        <f>COUNTIF(D33:AI33,"*$PM*")</f>
        <v/>
      </c>
      <c r="BI33" s="313">
        <f>BH33*('Setting key Duty'!$I$9)</f>
        <v/>
      </c>
      <c r="BJ33" s="313">
        <f>COUNTIF(D33:AI33,"*$AM*")</f>
        <v/>
      </c>
      <c r="BK33" s="313">
        <f>BJ33*('Setting key Duty'!$I$12+'Setting key Duty'!$I$8)</f>
        <v/>
      </c>
      <c r="BL33" s="313">
        <f>COUNTIF(C33:AI33,"*$FC*")</f>
        <v/>
      </c>
      <c r="BM33" s="313">
        <f>BL33*('Setting key Duty'!$J$11+'Setting key Duty'!$I$8)</f>
        <v/>
      </c>
      <c r="BN33" s="313">
        <f>COUNTIF($C33:$AG33,BN$4)</f>
        <v/>
      </c>
      <c r="BO33" s="313">
        <f>COUNTIF($C33:$AG33,BO$4)</f>
        <v/>
      </c>
      <c r="BP33" s="313" t="n"/>
      <c r="BQ33" s="345" t="n"/>
    </row>
    <row r="34" ht="19.5" customHeight="1">
      <c r="A34" s="309" t="n"/>
      <c r="B34" s="348" t="inlineStr">
        <is>
          <t>PTE WILLARD</t>
        </is>
      </c>
      <c r="C34" s="317" t="n"/>
      <c r="D34" s="350" t="n"/>
      <c r="E34" s="350" t="n"/>
      <c r="F34" s="317" t="n"/>
      <c r="G34" s="350" t="n"/>
      <c r="H34" s="331" t="n"/>
      <c r="I34" s="350" t="n"/>
      <c r="J34" s="350" t="n"/>
      <c r="K34" s="350" t="n"/>
      <c r="L34" s="350" t="n"/>
      <c r="M34" s="350" t="n"/>
      <c r="O34" s="350" t="n"/>
      <c r="P34" s="350" t="n"/>
      <c r="Q34" s="350" t="n"/>
      <c r="R34" s="350" t="n"/>
      <c r="S34" s="350" t="n"/>
      <c r="T34" s="350" t="n"/>
      <c r="U34" s="350" t="n"/>
      <c r="V34" s="351" t="n"/>
      <c r="W34" s="350" t="n"/>
      <c r="X34" s="350" t="n"/>
      <c r="Y34" s="317" t="n"/>
      <c r="AA34" s="331" t="n"/>
      <c r="AB34" s="350" t="n"/>
      <c r="AC34" s="350" t="n"/>
      <c r="AD34" s="350" t="n"/>
      <c r="AE34" s="350" t="n"/>
      <c r="AF34" s="350" t="n"/>
      <c r="AG34" s="350" t="n"/>
      <c r="AH34" s="350" t="n"/>
      <c r="AI34" s="311" t="n"/>
      <c r="AJ34" s="312" t="n"/>
      <c r="AK34" s="311" t="n"/>
      <c r="AL34" s="344" t="n"/>
      <c r="AM34" s="344" t="n"/>
      <c r="AN34" s="344" t="n"/>
      <c r="AO34" s="344" t="n"/>
      <c r="AP34" s="246" t="n"/>
      <c r="AQ34" s="313">
        <f>SUMPRODUCT(--WEEKDAY(C$3:AG$3,2)&lt;6,--((C34:AG34="DM"))+(C34:AG34="CS1")+((C34:AG34="CS2"))+(C34:AG34="SB1")+(C34:AG34="AE")+(C34:AG34="EM"))</f>
        <v/>
      </c>
      <c r="AR34" s="246" t="n"/>
      <c r="AS34" s="238">
        <f>SUMPRODUCT(--WEEKDAY(C$3:AG$3,2)&gt;5,--((C34:AG34="DM"))+(C34:AG34="CS1")+((C34:AG34="CS2"))+(C34:AG34="SB1")+(C34:AG34="AE")+(C34:AG34="EM"))</f>
        <v/>
      </c>
      <c r="AT34" s="246" t="n"/>
      <c r="AU34" s="238">
        <f>(AQ34-AR34)/2+(AS34-AT34)</f>
        <v/>
      </c>
      <c r="AV34" s="238">
        <f>AI34+AJ34+AK34+AL34+AN34+AO34</f>
        <v/>
      </c>
      <c r="AW34" s="238">
        <f>BG34+BH34+BJ34+BE34+BC34+BA34+BL34</f>
        <v/>
      </c>
      <c r="AX34" s="238">
        <f>AU34+AY34</f>
        <v/>
      </c>
      <c r="AY34" s="313">
        <f>(BJ34*('Setting key Duty'!$I$8+'Setting key Duty'!$I$12))+(BH34*'Setting key Duty'!$I$9)+(BC34*('Setting key Duty'!$I$13+'Setting key Duty'!$I$9))+(BA34*('Setting key Duty'!$I$13+'Setting key Duty'!$I$12+'Setting key Duty'!$I$11))+(BE34*('Setting key Duty'!$I$8+'Setting key Duty'!$I$9+'Setting key Duty'!$I$12))</f>
        <v/>
      </c>
      <c r="AZ34" s="313">
        <f>COUNTIF(C34:Y34,"*BRT*")</f>
        <v/>
      </c>
      <c r="BA34" s="313">
        <f>COUNTIF(A34:AI34,"*$BTP*")</f>
        <v/>
      </c>
      <c r="BB34" s="313">
        <f>BA34*('Setting key Duty'!$I$13+'Setting key Duty'!$I$12+'Setting key Duty'!$I$11)</f>
        <v/>
      </c>
      <c r="BC34" s="313">
        <f>COUNTIF(D34:AI34,"*$L*")</f>
        <v/>
      </c>
      <c r="BD34" s="313">
        <f>BC34*('Setting key Duty'!$I$13+'Setting key Duty'!$I$9)</f>
        <v/>
      </c>
      <c r="BE34" s="313">
        <f>COUNTIF(D34:AI34,"*$M*")</f>
        <v/>
      </c>
      <c r="BF34" s="313">
        <f>BE34*('Setting key Duty'!$I$8+'Setting key Duty'!$I$9+'Setting key Duty'!$I$12)</f>
        <v/>
      </c>
      <c r="BG34" s="313">
        <f>COUNTIF(D34:AI34,"*$N*")</f>
        <v/>
      </c>
      <c r="BH34" s="313">
        <f>COUNTIF(D34:AI34,"*$PM*")</f>
        <v/>
      </c>
      <c r="BI34" s="313">
        <f>BH34*('Setting key Duty'!$I$9)</f>
        <v/>
      </c>
      <c r="BJ34" s="313">
        <f>COUNTIF(D34:AI34,"*$AM*")</f>
        <v/>
      </c>
      <c r="BK34" s="313">
        <f>BJ34*('Setting key Duty'!$I$12+'Setting key Duty'!$I$8)</f>
        <v/>
      </c>
      <c r="BL34" s="313">
        <f>COUNTIF(C34:AI34,"*$FC*")</f>
        <v/>
      </c>
      <c r="BM34" s="313">
        <f>BL34*('Setting key Duty'!$J$11+'Setting key Duty'!$I$8)</f>
        <v/>
      </c>
      <c r="BN34" s="313">
        <f>COUNTIF($C34:$AG34,BN$4)</f>
        <v/>
      </c>
      <c r="BO34" s="313">
        <f>COUNTIF($C34:$AG34,BO$4)</f>
        <v/>
      </c>
      <c r="BP34" s="313" t="n"/>
      <c r="BQ34" s="345" t="n"/>
    </row>
    <row r="35" ht="19.5" customHeight="1">
      <c r="A35" s="309" t="n"/>
      <c r="B35" s="347" t="inlineStr">
        <is>
          <t>PTE YAN SHENG</t>
        </is>
      </c>
      <c r="C35" s="350" t="n"/>
      <c r="D35" s="324" t="n"/>
      <c r="F35" s="197" t="inlineStr">
        <is>
          <t>AE</t>
        </is>
      </c>
      <c r="G35" s="331" t="inlineStr">
        <is>
          <t>SB2</t>
        </is>
      </c>
      <c r="H35" s="106" t="inlineStr">
        <is>
          <t>MA</t>
        </is>
      </c>
      <c r="I35" s="197" t="inlineStr">
        <is>
          <t>AE</t>
        </is>
      </c>
      <c r="J35" s="197" t="n"/>
      <c r="K35" s="331" t="inlineStr">
        <is>
          <t>SB2</t>
        </is>
      </c>
      <c r="L35" s="197" t="n"/>
      <c r="M35" s="317" t="n"/>
      <c r="N35" s="197" t="inlineStr">
        <is>
          <t>AE</t>
        </is>
      </c>
      <c r="Q35" s="324" t="n"/>
      <c r="R35" s="331" t="inlineStr">
        <is>
          <t>SB2</t>
        </is>
      </c>
      <c r="T35" s="197" t="inlineStr">
        <is>
          <t>AE</t>
        </is>
      </c>
      <c r="U35" s="331" t="inlineStr">
        <is>
          <t>SB2</t>
        </is>
      </c>
      <c r="V35" s="351" t="n"/>
      <c r="X35" s="324" t="n"/>
      <c r="Y35" s="197" t="inlineStr">
        <is>
          <t>AE</t>
        </is>
      </c>
      <c r="AA35" s="331" t="inlineStr">
        <is>
          <t>SB2</t>
        </is>
      </c>
      <c r="AC35" s="324" t="n"/>
      <c r="AD35" s="324" t="n"/>
      <c r="AF35" s="331" t="inlineStr">
        <is>
          <t>SB2</t>
        </is>
      </c>
      <c r="AG35" s="350" t="n"/>
      <c r="AH35" s="197" t="n"/>
      <c r="AI35" s="311" t="n"/>
      <c r="AJ35" s="312" t="n"/>
      <c r="AK35" s="311" t="n"/>
      <c r="AL35" s="344" t="n"/>
      <c r="AM35" s="344" t="n"/>
      <c r="AN35" s="344" t="n"/>
      <c r="AO35" s="344" t="n"/>
      <c r="AP35" s="246" t="n"/>
      <c r="AQ35" s="313">
        <f>SUMPRODUCT(--WEEKDAY(C$3:AG$3,2)&lt;6,--((C35:AG35="DM"))+(C35:AG35="CS1")+((C35:AG35="CS2"))+(C35:AG35="SB1")+(C35:AG35="AE")+(C35:AG35="EM"))</f>
        <v/>
      </c>
      <c r="AR35" s="246" t="n"/>
      <c r="AS35" s="238">
        <f>SUMPRODUCT(--WEEKDAY(C$3:AG$3,2)&gt;5,--((C35:AG35="DM"))+(C35:AG35="CS1")+((C35:AG35="CS2"))+(C35:AG35="SB1")+(C35:AG35="AE")+(C35:AG35="EM"))</f>
        <v/>
      </c>
      <c r="AT35" s="246" t="n"/>
      <c r="AU35" s="238">
        <f>(AQ35-AR35)/2+(AS35-AT35)</f>
        <v/>
      </c>
      <c r="AV35" s="238">
        <f>AI35+AJ35+AK35+AL35+AN35+AO35</f>
        <v/>
      </c>
      <c r="AW35" s="238">
        <f>BG35+BH35+BJ35+BE35+BC35+BA35+BL35</f>
        <v/>
      </c>
      <c r="AX35" s="238">
        <f>AU35+AY35</f>
        <v/>
      </c>
      <c r="AY35" s="313">
        <f>(BJ35*('Setting key Duty'!$I$8+'Setting key Duty'!$I$12))+(BH35*'Setting key Duty'!$I$9)+(BC35*('Setting key Duty'!$I$13+'Setting key Duty'!$I$9))+(BA35*('Setting key Duty'!$I$13+'Setting key Duty'!$I$12+'Setting key Duty'!$I$11))+(BE35*('Setting key Duty'!$I$8+'Setting key Duty'!$I$9+'Setting key Duty'!$I$12))</f>
        <v/>
      </c>
      <c r="AZ35" s="313">
        <f>COUNTIF(C35:Y35,"*BRT*")</f>
        <v/>
      </c>
      <c r="BA35" s="313">
        <f>COUNTIF(A35:AI35,"*$BTP*")</f>
        <v/>
      </c>
      <c r="BB35" s="313">
        <f>BA35*('Setting key Duty'!$I$13+'Setting key Duty'!$I$12+'Setting key Duty'!$I$11)</f>
        <v/>
      </c>
      <c r="BC35" s="313">
        <f>COUNTIF(D35:AI35,"*$L*")</f>
        <v/>
      </c>
      <c r="BD35" s="313">
        <f>BC35*('Setting key Duty'!$I$13+'Setting key Duty'!$I$9)</f>
        <v/>
      </c>
      <c r="BE35" s="313">
        <f>COUNTIF(D35:AI35,"*$M*")</f>
        <v/>
      </c>
      <c r="BF35" s="313">
        <f>BE35*('Setting key Duty'!$I$8+'Setting key Duty'!$I$9+'Setting key Duty'!$I$12)</f>
        <v/>
      </c>
      <c r="BG35" s="313">
        <f>COUNTIF(D35:AI35,"*$N*")</f>
        <v/>
      </c>
      <c r="BH35" s="313">
        <f>COUNTIF(D35:AI35,"*$PM*")</f>
        <v/>
      </c>
      <c r="BI35" s="313">
        <f>BH35*('Setting key Duty'!$I$9)</f>
        <v/>
      </c>
      <c r="BJ35" s="313">
        <f>COUNTIF(D35:AI35,"*$AM*")</f>
        <v/>
      </c>
      <c r="BK35" s="313">
        <f>BJ35*('Setting key Duty'!$I$12+'Setting key Duty'!$I$8)</f>
        <v/>
      </c>
      <c r="BL35" s="313">
        <f>COUNTIF(C35:AI35,"*$FC*")</f>
        <v/>
      </c>
      <c r="BM35" s="313">
        <f>BL35*('Setting key Duty'!$J$11+'Setting key Duty'!$I$8)</f>
        <v/>
      </c>
      <c r="BN35" s="313">
        <f>COUNTIF($C35:$AG35,BN$4)</f>
        <v/>
      </c>
      <c r="BO35" s="313">
        <f>COUNTIF($C35:$AG35,BO$4)</f>
        <v/>
      </c>
      <c r="BP35" s="313" t="n"/>
      <c r="BQ35" s="345" t="n"/>
    </row>
    <row r="36" ht="19.5" customHeight="1">
      <c r="A36" s="309" t="n"/>
      <c r="B36" s="354" t="n"/>
      <c r="C36" s="350" t="n"/>
      <c r="D36" s="317" t="n"/>
      <c r="E36" s="106" t="n"/>
      <c r="F36" s="106" t="n"/>
      <c r="G36" s="106" t="n"/>
      <c r="H36" s="106" t="n"/>
      <c r="I36" s="106" t="n"/>
      <c r="J36" s="317" t="n"/>
      <c r="K36" s="324" t="n"/>
      <c r="L36" s="324" t="n"/>
      <c r="M36" s="155" t="n"/>
      <c r="N36" s="317" t="n"/>
      <c r="O36" s="324" t="n"/>
      <c r="P36" s="317" t="n"/>
      <c r="Q36" s="106" t="n"/>
      <c r="R36" s="106" t="n"/>
      <c r="S36" s="106" t="n"/>
      <c r="T36" s="350" t="n"/>
      <c r="U36" s="106" t="n"/>
      <c r="V36" s="351" t="n"/>
      <c r="W36" s="106" t="n"/>
      <c r="X36" s="317" t="n"/>
      <c r="Y36" s="106" t="n"/>
      <c r="Z36" s="106" t="n"/>
      <c r="AA36" s="106" t="n"/>
      <c r="AB36" s="106" t="n"/>
      <c r="AC36" s="106" t="n"/>
      <c r="AD36" s="317" t="n"/>
      <c r="AE36" s="317" t="n"/>
      <c r="AF36" s="317" t="n"/>
      <c r="AG36" s="350" t="n"/>
      <c r="AH36" s="317" t="n"/>
      <c r="AI36" s="311" t="n"/>
      <c r="AJ36" s="312" t="n"/>
      <c r="AK36" s="311" t="n"/>
      <c r="AL36" s="344" t="n"/>
      <c r="AM36" s="344" t="n"/>
      <c r="AN36" s="344" t="n"/>
      <c r="AO36" s="344" t="n"/>
      <c r="AP36" s="246" t="n"/>
      <c r="AQ36" s="313">
        <f>SUMPRODUCT(--WEEKDAY(C$3:AG$3,2)&lt;6,--((C36:AG36="DM"))+(C36:AG36="CS1")+((C36:AG36="CS2"))+(C36:AG36="SB1")+(C36:AG36="AE")+(C36:AG36="EM"))</f>
        <v/>
      </c>
      <c r="AR36" s="246" t="n"/>
      <c r="AS36" s="238">
        <f>SUMPRODUCT(--WEEKDAY(C$3:AG$3,2)&gt;5,--((C36:AG36="DM"))+(C36:AG36="CS1")+((C36:AG36="CS2"))+(C36:AG36="SB1")+(C36:AG36="AE")+(C36:AG36="EM"))</f>
        <v/>
      </c>
      <c r="AT36" s="246" t="n"/>
      <c r="AU36" s="238">
        <f>(AQ36-AR36)/2+(AS36-AT36)</f>
        <v/>
      </c>
      <c r="AV36" s="238">
        <f>AI36+AJ36+AK36+AL36+AN36+AO36</f>
        <v/>
      </c>
      <c r="AW36" s="238">
        <f>BG36+BH36+BJ36+BE36+BC36+BA36+BL36</f>
        <v/>
      </c>
      <c r="AX36" s="238">
        <f>AU36+AY36</f>
        <v/>
      </c>
      <c r="AY36" s="313">
        <f>(BJ36*('Setting key Duty'!$I$8+'Setting key Duty'!$I$12))+(BH36*'Setting key Duty'!$I$9)+(BC36*('Setting key Duty'!$I$13+'Setting key Duty'!$I$9))+(BA36*('Setting key Duty'!$I$13+'Setting key Duty'!$I$12+'Setting key Duty'!$I$11))+(BE36*('Setting key Duty'!$I$8+'Setting key Duty'!$I$9+'Setting key Duty'!$I$12))</f>
        <v/>
      </c>
      <c r="AZ36" s="313">
        <f>COUNTIF(C36:Y36,"*BRT*")</f>
        <v/>
      </c>
      <c r="BA36" s="313">
        <f>COUNTIF(A36:AI36,"*$BTP*")</f>
        <v/>
      </c>
      <c r="BB36" s="313">
        <f>BA36*('Setting key Duty'!$I$13+'Setting key Duty'!$I$12+'Setting key Duty'!$I$11)</f>
        <v/>
      </c>
      <c r="BC36" s="313">
        <f>COUNTIF(D36:AI36,"*$L*")</f>
        <v/>
      </c>
      <c r="BD36" s="313">
        <f>BC36*('Setting key Duty'!$I$13+'Setting key Duty'!$I$9)</f>
        <v/>
      </c>
      <c r="BE36" s="313">
        <f>COUNTIF(D36:AI36,"*$M*")</f>
        <v/>
      </c>
      <c r="BF36" s="313">
        <f>BE36*('Setting key Duty'!$I$8+'Setting key Duty'!$I$9+'Setting key Duty'!$I$12)</f>
        <v/>
      </c>
      <c r="BG36" s="313">
        <f>COUNTIF(D36:AI36,"*$N*")</f>
        <v/>
      </c>
      <c r="BH36" s="313">
        <f>COUNTIF(D36:AI36,"*$PM*")</f>
        <v/>
      </c>
      <c r="BI36" s="313">
        <f>BH36*('Setting key Duty'!$I$9)</f>
        <v/>
      </c>
      <c r="BJ36" s="313">
        <f>COUNTIF(D36:AI36,"*$AM*")</f>
        <v/>
      </c>
      <c r="BK36" s="313">
        <f>BJ36*('Setting key Duty'!$I$12+'Setting key Duty'!$I$8)</f>
        <v/>
      </c>
      <c r="BL36" s="313">
        <f>COUNTIF(C36:AI36,"*$FC*")</f>
        <v/>
      </c>
      <c r="BM36" s="313">
        <f>BL36*('Setting key Duty'!$J$11+'Setting key Duty'!$I$8)</f>
        <v/>
      </c>
      <c r="BN36" s="313">
        <f>COUNTIF($C36:$AG36,BN$4)</f>
        <v/>
      </c>
      <c r="BO36" s="313">
        <f>COUNTIF($C36:$AG36,BO$4)</f>
        <v/>
      </c>
      <c r="BP36" s="313" t="n"/>
      <c r="BQ36" s="345" t="n"/>
    </row>
    <row r="37" ht="19.5" customHeight="1">
      <c r="A37" s="309" t="n"/>
      <c r="B37" s="354" t="inlineStr">
        <is>
          <t>Leave a blank row after the last name ^</t>
        </is>
      </c>
      <c r="C37" s="355" t="n"/>
      <c r="D37" s="317" t="n"/>
      <c r="E37" s="317" t="n"/>
      <c r="F37" s="317" t="n"/>
      <c r="G37" s="317" t="n"/>
      <c r="H37" s="317" t="n"/>
      <c r="I37" s="317" t="n"/>
      <c r="J37" s="317" t="n"/>
      <c r="K37" s="317" t="n"/>
      <c r="L37" s="317" t="n"/>
      <c r="N37" s="317" t="n"/>
      <c r="O37" s="317" t="n"/>
      <c r="P37" s="317" t="n"/>
      <c r="Q37" s="106" t="n"/>
      <c r="R37" s="106" t="n"/>
      <c r="S37" s="317" t="n"/>
      <c r="T37" s="350" t="n"/>
      <c r="U37" s="198" t="n"/>
      <c r="V37" s="351" t="n"/>
      <c r="W37" s="317" t="n"/>
      <c r="X37" s="317" t="n"/>
      <c r="Y37" s="356" t="n"/>
      <c r="Z37" s="356" t="n"/>
      <c r="AA37" s="356" t="n"/>
      <c r="AB37" s="356" t="n"/>
      <c r="AC37" s="356" t="n"/>
      <c r="AD37" s="356" t="n"/>
      <c r="AE37" s="317" t="n"/>
      <c r="AF37" s="317" t="n"/>
      <c r="AG37" s="350" t="n"/>
      <c r="AH37" s="317" t="n"/>
      <c r="AI37" s="311">
        <f>COUNTIF($C37:$AG37,AI$4)</f>
        <v/>
      </c>
      <c r="AJ37" s="312">
        <f>COUNTIF($C37:$AG37,AJ$4)</f>
        <v/>
      </c>
      <c r="AK37" s="311">
        <f>COUNTIF($C37:$AG37,AK$4)</f>
        <v/>
      </c>
      <c r="AL37" s="344">
        <f>COUNTIF($C37:$AG37,AL$4)</f>
        <v/>
      </c>
      <c r="AM37" s="344">
        <f>COUNTIF($C37:$AG37,AM$4)</f>
        <v/>
      </c>
      <c r="AN37" s="344">
        <f>COUNTIF($C37:$AG37,AN$4)</f>
        <v/>
      </c>
      <c r="AO37" s="344">
        <f>COUNTIF($C37:$AG37,AO$4)</f>
        <v/>
      </c>
      <c r="AP37" s="246" t="n"/>
      <c r="AQ37" s="313" t="n"/>
      <c r="AR37" s="246" t="n"/>
      <c r="AS37" s="238" t="n"/>
      <c r="AT37" s="246" t="n"/>
      <c r="AU37" s="246" t="n"/>
      <c r="AV37" s="238" t="n"/>
      <c r="AW37" s="238" t="n"/>
      <c r="AX37" s="238" t="n"/>
      <c r="AY37" s="313" t="n"/>
      <c r="AZ37" s="313" t="n"/>
      <c r="BA37" s="313" t="n"/>
      <c r="BB37" s="313" t="n"/>
      <c r="BC37" s="313" t="n"/>
      <c r="BD37" s="313" t="n"/>
      <c r="BE37" s="313" t="n"/>
      <c r="BF37" s="313" t="n"/>
      <c r="BG37" s="313" t="n"/>
      <c r="BH37" s="313" t="n"/>
      <c r="BI37" s="313" t="n"/>
      <c r="BJ37" s="313" t="n"/>
      <c r="BK37" s="313" t="n"/>
      <c r="BL37" s="313" t="n"/>
      <c r="BM37" s="313" t="n"/>
      <c r="BN37" s="344" t="n"/>
      <c r="BO37" s="344" t="n"/>
      <c r="BP37" s="344" t="n"/>
      <c r="BQ37" s="345" t="n"/>
    </row>
    <row r="38" ht="19.5" customHeight="1">
      <c r="A38" s="309" t="n"/>
      <c r="B38" s="357" t="n"/>
      <c r="C38" s="358" t="n"/>
      <c r="D38" s="359" t="n"/>
      <c r="E38" s="359" t="n"/>
      <c r="F38" s="359" t="n"/>
      <c r="G38" s="359" t="n"/>
      <c r="H38" s="358" t="n"/>
      <c r="I38" s="358" t="n"/>
      <c r="J38" s="358" t="n"/>
      <c r="K38" s="358" t="n"/>
      <c r="L38" s="358" t="n"/>
      <c r="M38" s="358" t="n"/>
      <c r="N38" s="358" t="n"/>
      <c r="O38" s="358" t="n"/>
      <c r="P38" s="358" t="n"/>
      <c r="Q38" s="358" t="n"/>
      <c r="R38" s="358" t="n"/>
      <c r="S38" s="358" t="n"/>
      <c r="T38" s="358" t="n"/>
      <c r="U38" s="358" t="n"/>
      <c r="V38" s="358" t="n"/>
      <c r="W38" s="358" t="n"/>
      <c r="X38" s="358" t="n"/>
      <c r="Y38" s="358" t="n"/>
      <c r="Z38" s="358" t="n"/>
      <c r="AA38" s="358" t="n"/>
      <c r="AB38" s="358" t="n"/>
      <c r="AC38" s="358" t="n"/>
      <c r="AD38" s="358" t="n"/>
      <c r="AE38" s="358" t="n"/>
      <c r="AF38" s="358" t="n"/>
      <c r="AG38" s="358" t="n"/>
      <c r="AH38" s="360" t="n"/>
      <c r="AI38" s="361" t="n"/>
      <c r="AJ38" s="362" t="n"/>
      <c r="AK38" s="361" t="n"/>
      <c r="AL38" s="363" t="n"/>
      <c r="AM38" s="363" t="n"/>
      <c r="AN38" s="363" t="n"/>
      <c r="AO38" s="363" t="n"/>
      <c r="AP38" s="253" t="n"/>
      <c r="AQ38" s="253" t="n"/>
      <c r="AR38" s="253" t="n"/>
      <c r="AS38" s="253">
        <f>SUMPRODUCT(--WEEKDAY(C$3:AG$3,2)&gt;5,--((C38:AG38="DM"))+(C38:AG38="CS1")+((C38:AG38="CS2"))+(C38:AG38="SB1")+(C38:AG38="AE")+(C38:AG38="EM"))</f>
        <v/>
      </c>
      <c r="AT38" s="253" t="n"/>
      <c r="AU38" s="253">
        <f>(AQ38-AR38)/2+(AS38-AT38)</f>
        <v/>
      </c>
      <c r="AV38" s="253" t="n"/>
      <c r="AW38" s="253" t="n"/>
      <c r="AX38" s="253" t="n"/>
      <c r="AY38" s="363" t="n"/>
      <c r="AZ38" s="363" t="n"/>
      <c r="BA38" s="363" t="n"/>
      <c r="BB38" s="363" t="n"/>
      <c r="BC38" s="363" t="n"/>
      <c r="BD38" s="363" t="n"/>
      <c r="BE38" s="363" t="n"/>
      <c r="BF38" s="363" t="n"/>
      <c r="BG38" s="363" t="n"/>
      <c r="BH38" s="363" t="n"/>
      <c r="BI38" s="363" t="n"/>
      <c r="BJ38" s="363" t="n"/>
      <c r="BK38" s="363" t="n"/>
      <c r="BL38" s="363" t="n"/>
      <c r="BM38" s="363" t="n"/>
      <c r="BN38" s="363" t="n"/>
      <c r="BO38" s="363" t="n"/>
      <c r="BP38" s="363" t="n"/>
      <c r="BQ38" s="364" t="n"/>
    </row>
    <row r="39" ht="19.5" customHeight="1">
      <c r="A39" s="309" t="n"/>
      <c r="B39" s="365" t="inlineStr">
        <is>
          <t>DM</t>
        </is>
      </c>
      <c r="C39" s="366">
        <f>VLOOKUP("DM",C4:C37,1,FALSE)</f>
        <v/>
      </c>
      <c r="D39" s="366">
        <f>VLOOKUP("DM",D4:D37,1,FALSE)</f>
        <v/>
      </c>
      <c r="E39" s="366">
        <f>VLOOKUP("DM",E1:E37,1,FALSE)</f>
        <v/>
      </c>
      <c r="F39" s="366">
        <f>VLOOKUP("DM",F4:F37,1,FALSE)</f>
        <v/>
      </c>
      <c r="G39" s="366">
        <f>VLOOKUP("DM",G4:G37,1,FALSE)</f>
        <v/>
      </c>
      <c r="H39" s="366">
        <f>VLOOKUP("DM",H4:H37,1,FALSE)</f>
        <v/>
      </c>
      <c r="I39" s="366">
        <f>VLOOKUP("DM",I4:I37,1,FALSE)</f>
        <v/>
      </c>
      <c r="J39" s="366">
        <f>VLOOKUP("DM",J4:J37,1,FALSE)</f>
        <v/>
      </c>
      <c r="K39" s="366">
        <f>VLOOKUP("DM",K4:K37,1,FALSE)</f>
        <v/>
      </c>
      <c r="L39" s="366">
        <f>VLOOKUP("DM",L4:L37,1,FALSE)</f>
        <v/>
      </c>
      <c r="M39" s="366">
        <f>VLOOKUP("DM",M4:M23,1,FALSE)</f>
        <v/>
      </c>
      <c r="N39" s="366">
        <f>VLOOKUP("DM",N4:N37,1,FALSE)</f>
        <v/>
      </c>
      <c r="O39" s="366">
        <f>VLOOKUP("DM",O4:O37,1,FALSE)</f>
        <v/>
      </c>
      <c r="P39" s="366">
        <f>VLOOKUP("DM",P4:P37,1,FALSE)</f>
        <v/>
      </c>
      <c r="Q39" s="366">
        <f>VLOOKUP("DM",Q4:Q26,1,FALSE)</f>
        <v/>
      </c>
      <c r="R39" s="366">
        <f>VLOOKUP("DM",R4:R21,1,FALSE)</f>
        <v/>
      </c>
      <c r="S39" s="366">
        <f>VLOOKUP("DM",S4:S37,1,FALSE)</f>
        <v/>
      </c>
      <c r="T39" s="366">
        <f>VLOOKUP("DM",T4:T37,1,FALSE)</f>
        <v/>
      </c>
      <c r="U39" s="366">
        <f>VLOOKUP("DM",U4:U37,1,FALSE)</f>
        <v/>
      </c>
      <c r="V39" s="367">
        <f>VLOOKUP("DM",V4:V21,1,FALSE)</f>
        <v/>
      </c>
      <c r="W39" s="366">
        <f>VLOOKUP("DM",W4:W21,1,FALSE)</f>
        <v/>
      </c>
      <c r="X39" s="366">
        <f>VLOOKUP("DM",X4:X37,1,FALSE)</f>
        <v/>
      </c>
      <c r="Y39" s="366">
        <f>VLOOKUP("DM",Y4:Y37,1,FALSE)</f>
        <v/>
      </c>
      <c r="Z39" s="366">
        <f>VLOOKUP("DM",Z4:Z37,1,FALSE)</f>
        <v/>
      </c>
      <c r="AA39" s="366">
        <f>VLOOKUP("DM",AA1:AA37,1,FALSE)</f>
        <v/>
      </c>
      <c r="AB39" s="366">
        <f>VLOOKUP("DM",AB4:AB37,1,FALSE)</f>
        <v/>
      </c>
      <c r="AC39" s="366">
        <f>VLOOKUP("DM",AC4:AC37,1,FALSE)</f>
        <v/>
      </c>
      <c r="AD39" s="366">
        <f>VLOOKUP("DM",AD4:AD37,1,FALSE)</f>
        <v/>
      </c>
      <c r="AE39" s="366">
        <f>VLOOKUP("DM",AE4:AE37,1,FALSE)</f>
        <v/>
      </c>
      <c r="AF39" s="366">
        <f>VLOOKUP("DM",AF4:AF37,1,FALSE)</f>
        <v/>
      </c>
      <c r="AG39" s="366">
        <f>VLOOKUP("DM",AG4:AG37,1,FALSE)</f>
        <v/>
      </c>
      <c r="AH39" s="366">
        <f>VLOOKUP("DM",AH4:AH37,1,FALSE)</f>
        <v/>
      </c>
      <c r="AI39" s="311" t="n"/>
      <c r="AJ39" s="312" t="n"/>
      <c r="AK39" s="311" t="n"/>
      <c r="AL39" s="313" t="n"/>
      <c r="AM39" s="313" t="n"/>
      <c r="AN39" s="313" t="n"/>
      <c r="AO39" s="313" t="n"/>
      <c r="AP39" s="313" t="n"/>
      <c r="AQ39" s="313" t="n"/>
      <c r="AR39" s="313" t="n"/>
      <c r="AS39" s="313" t="n"/>
      <c r="AT39" s="313" t="n"/>
      <c r="AU39" s="313" t="n"/>
      <c r="AV39" s="313" t="n"/>
      <c r="AW39" s="313" t="n"/>
      <c r="AX39" s="313" t="n"/>
      <c r="AY39" s="313" t="n"/>
      <c r="AZ39" s="313" t="n"/>
      <c r="BA39" s="313" t="n"/>
      <c r="BB39" s="313" t="n"/>
      <c r="BC39" s="313" t="n"/>
      <c r="BD39" s="313" t="n"/>
      <c r="BE39" s="313" t="n"/>
      <c r="BF39" s="313" t="n"/>
      <c r="BG39" s="313" t="n"/>
      <c r="BH39" s="313" t="n"/>
      <c r="BI39" s="313" t="n"/>
      <c r="BJ39" s="313" t="n"/>
      <c r="BK39" s="313" t="n"/>
      <c r="BL39" s="313" t="n"/>
      <c r="BM39" s="313" t="n"/>
      <c r="BN39" s="313" t="n"/>
      <c r="BO39" s="313" t="n"/>
      <c r="BP39" s="313" t="n"/>
      <c r="BQ39" s="314" t="n"/>
    </row>
    <row r="40" ht="19.5" customHeight="1">
      <c r="A40" s="309">
        <f>LTE()</f>
        <v/>
      </c>
      <c r="B40" s="368" t="inlineStr">
        <is>
          <t>CS1</t>
        </is>
      </c>
      <c r="C40" s="366">
        <f>VLOOKUP("CS1",C5:C37,1,FALSE)</f>
        <v/>
      </c>
      <c r="D40" s="366">
        <f>VLOOKUP("CS1",D1:D37,1,FALSE)</f>
        <v/>
      </c>
      <c r="E40" s="366">
        <f>VLOOKUP("CS1",E1:E37,1,FALSE)</f>
        <v/>
      </c>
      <c r="F40" s="366">
        <f>VLOOKUP("CS1",F8:F37,1,FALSE)</f>
        <v/>
      </c>
      <c r="G40" s="366">
        <f>VLOOKUP("CS1",G1:G37,1,FALSE)</f>
        <v/>
      </c>
      <c r="H40" s="366">
        <f>VLOOKUP("CS1",H6:H37,1,FALSE)</f>
        <v/>
      </c>
      <c r="I40" s="366">
        <f>VLOOKUP("CS1",I7:I37,1,FALSE)</f>
        <v/>
      </c>
      <c r="J40" s="366">
        <f>VLOOKUP("CS1",J4:J37,1,FALSE)</f>
        <v/>
      </c>
      <c r="K40" s="366">
        <f>VLOOKUP("CS1",K1:K37,1,FALSE)</f>
        <v/>
      </c>
      <c r="L40" s="366">
        <f>VLOOKUP("CS1",L1:L37,1,FALSE)</f>
        <v/>
      </c>
      <c r="M40" s="366">
        <f>VLOOKUP("CS1",M7:M23,1,FALSE)</f>
        <v/>
      </c>
      <c r="N40" s="366">
        <f>VLOOKUP("CS1",N6:N37,1,FALSE)</f>
        <v/>
      </c>
      <c r="O40" s="366">
        <f>VLOOKUP("CS1",O1:O37,1,FALSE)</f>
        <v/>
      </c>
      <c r="P40" s="366">
        <f>VLOOKUP("CS1",P5:P37,1,FALSE)</f>
        <v/>
      </c>
      <c r="Q40" s="366">
        <f>VLOOKUP("CS1",Q6:Q26,1,FALSE)</f>
        <v/>
      </c>
      <c r="R40" s="366">
        <f>VLOOKUP("CS1",R6:R21,1,FALSE)</f>
        <v/>
      </c>
      <c r="S40" s="366">
        <f>VLOOKUP("CS1",S1:S37,1,FALSE)</f>
        <v/>
      </c>
      <c r="T40" s="366">
        <f>VLOOKUP("CS1",T1:T37,1,FALSE)</f>
        <v/>
      </c>
      <c r="U40" s="366">
        <f>VLOOKUP("CS1",U6:U37,1,FALSE)</f>
        <v/>
      </c>
      <c r="V40" s="367">
        <f>VLOOKUP("CS1",V1:V35,1,FALSE)</f>
        <v/>
      </c>
      <c r="W40" s="366">
        <f>VLOOKUP("CS1",W1:W21,1,FALSE)</f>
        <v/>
      </c>
      <c r="X40" s="366">
        <f>VLOOKUP("CS1",X1:X37,1,FALSE)</f>
        <v/>
      </c>
      <c r="Y40" s="366">
        <f>VLOOKUP("CS1",Y8:Y37,1,FALSE)</f>
        <v/>
      </c>
      <c r="Z40" s="366">
        <f>VLOOKUP("CS1",Z1:Z37,1,FALSE)</f>
        <v/>
      </c>
      <c r="AA40" s="366">
        <f>VLOOKUP("CS1",AA1:AA37,1,FALSE)</f>
        <v/>
      </c>
      <c r="AB40" s="366">
        <f>VLOOKUP("CS1",AB5:AB37,1,FALSE)</f>
        <v/>
      </c>
      <c r="AC40" s="366">
        <f>VLOOKUP("CS1",AC1:AC37,1,FALSE)</f>
        <v/>
      </c>
      <c r="AD40" s="366">
        <f>VLOOKUP("CS1",AD1:AD37,1,FALSE)</f>
        <v/>
      </c>
      <c r="AE40" s="366">
        <f>VLOOKUP("CS1",AE1:AE37,1,FALSE)</f>
        <v/>
      </c>
      <c r="AF40" s="366">
        <f>VLOOKUP("CS1",AF7:AF37,1,FALSE)</f>
        <v/>
      </c>
      <c r="AG40" s="366">
        <f>VLOOKUP("CS1",AG1:AG37,1,FALSE)</f>
        <v/>
      </c>
      <c r="AH40" s="366">
        <f>VLOOKUP("CS1",AH1:AH37,1,FALSE)</f>
        <v/>
      </c>
      <c r="AI40" s="311" t="n"/>
      <c r="AJ40" s="312" t="n"/>
      <c r="AK40" s="311" t="n"/>
      <c r="AL40" s="313" t="n"/>
      <c r="AM40" s="313" t="n"/>
      <c r="AN40" s="313" t="n"/>
      <c r="AO40" s="313" t="n"/>
      <c r="AP40" s="313" t="n"/>
      <c r="AQ40" s="313" t="n"/>
      <c r="AR40" s="313" t="n"/>
      <c r="AS40" s="313" t="n"/>
      <c r="AT40" s="313" t="n"/>
      <c r="AU40" s="313" t="n"/>
      <c r="AV40" s="313" t="n"/>
      <c r="AW40" s="313" t="n"/>
      <c r="AX40" s="313" t="n"/>
      <c r="AY40" s="313" t="n"/>
      <c r="AZ40" s="313" t="n"/>
      <c r="BA40" s="313" t="n"/>
      <c r="BB40" s="313" t="n"/>
      <c r="BC40" s="313" t="n"/>
      <c r="BD40" s="313" t="n"/>
      <c r="BE40" s="313" t="n"/>
      <c r="BF40" s="313" t="n"/>
      <c r="BG40" s="313" t="n"/>
      <c r="BH40" s="313" t="n"/>
      <c r="BI40" s="313" t="n"/>
      <c r="BJ40" s="313" t="n"/>
      <c r="BK40" s="313" t="n"/>
      <c r="BL40" s="313" t="n"/>
      <c r="BM40" s="313" t="n"/>
      <c r="BN40" s="313" t="n"/>
      <c r="BO40" s="313" t="n"/>
      <c r="BP40" s="313" t="n"/>
      <c r="BQ40" s="314" t="n"/>
    </row>
    <row r="41" ht="19.5" customHeight="1">
      <c r="A41" s="309" t="n"/>
      <c r="B41" s="369" t="inlineStr">
        <is>
          <t>CS2</t>
        </is>
      </c>
      <c r="C41" s="366">
        <f>VLOOKUP("CS2",C6:C37,1,FALSE)</f>
        <v/>
      </c>
      <c r="D41" s="366">
        <f>VLOOKUP("CS2",D9:D37,1,FALSE)</f>
        <v/>
      </c>
      <c r="E41" s="366">
        <f>VLOOKUP("CS2",E8:E37,1,FALSE)</f>
        <v/>
      </c>
      <c r="F41" s="366">
        <f>VLOOKUP("CS2",F8:F37,1,FALSE)</f>
        <v/>
      </c>
      <c r="G41" s="366">
        <f>VLOOKUP("CS2",G1:G37,1,FALSE)</f>
        <v/>
      </c>
      <c r="H41" s="366">
        <f>VLOOKUP("CS2",H1:H37,1,FALSE)</f>
        <v/>
      </c>
      <c r="I41" s="366">
        <f>VLOOKUP("CS2",I7:I37,1,FALSE)</f>
        <v/>
      </c>
      <c r="J41" s="366">
        <f>VLOOKUP("CS2",J4:J37,1,FALSE)</f>
        <v/>
      </c>
      <c r="K41" s="366">
        <f>VLOOKUP("CS2",K5:K37,1,FALSE)</f>
        <v/>
      </c>
      <c r="L41" s="366">
        <f>VLOOKUP("CS2",L4:L37,1,FALSE)</f>
        <v/>
      </c>
      <c r="M41" s="366">
        <f>VLOOKUP("CS2",M1:M23,1,FALSE)</f>
        <v/>
      </c>
      <c r="N41" s="366">
        <f>VLOOKUP("CS2",N1:N37,1,FALSE)</f>
        <v/>
      </c>
      <c r="O41" s="366">
        <f>VLOOKUP("CS2",O1:O37,1,FALSE)</f>
        <v/>
      </c>
      <c r="P41" s="366">
        <f>VLOOKUP("CS2",P1:P37,1,FALSE)</f>
        <v/>
      </c>
      <c r="Q41" s="366">
        <f>VLOOKUP("CS2",Q6:Q26,1,FALSE)</f>
        <v/>
      </c>
      <c r="R41" s="366">
        <f>VLOOKUP("CS2",R6:R21,1,FALSE)</f>
        <v/>
      </c>
      <c r="S41" s="366">
        <f>VLOOKUP("CS2",S1:S37,1,FALSE)</f>
        <v/>
      </c>
      <c r="T41" s="366">
        <f>VLOOKUP("CS2",T1:T37,1,FALSE)</f>
        <v/>
      </c>
      <c r="U41" s="366">
        <f>VLOOKUP("CS2",U1:U37,1,FALSE)</f>
        <v/>
      </c>
      <c r="V41" s="367">
        <f>VLOOKUP("CS2",V1:V35,1,FALSE)</f>
        <v/>
      </c>
      <c r="W41" s="366">
        <f>VLOOKUP("CS2",W1:W35,1,FALSE)</f>
        <v/>
      </c>
      <c r="X41" s="366">
        <f>VLOOKUP("CS2",X8:X37,1,FALSE)</f>
        <v/>
      </c>
      <c r="Y41" s="366">
        <f>VLOOKUP("CS2",Y1:Y37,1,FALSE)</f>
        <v/>
      </c>
      <c r="Z41" s="366">
        <f>VLOOKUP("CS2",Z1:Z37,1,FALSE)</f>
        <v/>
      </c>
      <c r="AA41" s="366">
        <f>VLOOKUP("CS2",AA1:AA37,1,FALSE)</f>
        <v/>
      </c>
      <c r="AB41" s="366">
        <f>VLOOKUP("CS2",AB1:AB37,1,FALSE)</f>
        <v/>
      </c>
      <c r="AC41" s="366">
        <f>VLOOKUP("CS2",AC8:AC37,1,FALSE)</f>
        <v/>
      </c>
      <c r="AD41" s="366">
        <f>VLOOKUP("CS2",AD1:AD37,1,FALSE)</f>
        <v/>
      </c>
      <c r="AE41" s="366">
        <f>VLOOKUP("CS2",AE1:AE37,1,FALSE)</f>
        <v/>
      </c>
      <c r="AF41" s="366">
        <f>VLOOKUP("CS2",AF1:AF37,1,FALSE)</f>
        <v/>
      </c>
      <c r="AG41" s="366">
        <f>VLOOKUP("CS2",AG7:AG37,1,FALSE)</f>
        <v/>
      </c>
      <c r="AH41" s="366">
        <f>VLOOKUP("CS2",AH7:AH37,1,FALSE)</f>
        <v/>
      </c>
      <c r="AI41" s="311" t="n"/>
      <c r="AJ41" s="312" t="n"/>
      <c r="AK41" s="311" t="n"/>
      <c r="AL41" s="313" t="n"/>
      <c r="AM41" s="313" t="n"/>
      <c r="AN41" s="313" t="n"/>
      <c r="AO41" s="313" t="n"/>
      <c r="AP41" s="313" t="n"/>
      <c r="AQ41" s="313" t="n"/>
      <c r="AR41" s="313" t="n"/>
      <c r="AS41" s="313" t="n"/>
      <c r="AT41" s="313" t="n"/>
      <c r="AU41" s="313" t="n"/>
      <c r="AV41" s="313" t="n"/>
      <c r="AW41" s="313" t="n"/>
      <c r="AX41" s="313" t="n"/>
      <c r="AY41" s="313" t="n"/>
      <c r="AZ41" s="313" t="n"/>
      <c r="BA41" s="313" t="n"/>
      <c r="BB41" s="313" t="n"/>
      <c r="BC41" s="313" t="n"/>
      <c r="BD41" s="313" t="n"/>
      <c r="BE41" s="313" t="n"/>
      <c r="BF41" s="313" t="n"/>
      <c r="BG41" s="313" t="n"/>
      <c r="BH41" s="313" t="n"/>
      <c r="BI41" s="313" t="n"/>
      <c r="BJ41" s="313" t="n"/>
      <c r="BK41" s="313" t="n"/>
      <c r="BL41" s="313" t="n"/>
      <c r="BM41" s="313" t="n"/>
      <c r="BN41" s="313" t="n"/>
      <c r="BO41" s="313" t="n"/>
      <c r="BP41" s="313" t="n"/>
      <c r="BQ41" s="314" t="n"/>
    </row>
    <row r="42" ht="19.5" customHeight="1">
      <c r="A42" s="309" t="n"/>
      <c r="B42" s="370" t="inlineStr">
        <is>
          <t>SB1</t>
        </is>
      </c>
      <c r="C42" s="366">
        <f>VLOOKUP("SB1",C6:C37,1,FALSE)</f>
        <v/>
      </c>
      <c r="D42" s="366">
        <f>VLOOKUP("SB1",D3:D37,1,FALSE)</f>
        <v/>
      </c>
      <c r="E42" s="366">
        <f>VLOOKUP("SB1",E1:E37,1,FALSE)</f>
        <v/>
      </c>
      <c r="F42" s="366">
        <f>VLOOKUP("SB1",F8:F37,1,FALSE)</f>
        <v/>
      </c>
      <c r="G42" s="366">
        <f>VLOOKUP("SB1",G6:G37,1,FALSE)</f>
        <v/>
      </c>
      <c r="H42" s="366">
        <f>VLOOKUP("SB1",H6:H37,1,FALSE)</f>
        <v/>
      </c>
      <c r="I42" s="366">
        <f>VLOOKUP("SB1",I1:I37,1,FALSE)</f>
        <v/>
      </c>
      <c r="J42" s="366">
        <f>VLOOKUP("SB1",J4:J37,1,FALSE)</f>
        <v/>
      </c>
      <c r="K42" s="366">
        <f>VLOOKUP("SB1",K6:K37,1,FALSE)</f>
        <v/>
      </c>
      <c r="L42" s="366">
        <f>VLOOKUP("SB1",L1:L37,1,FALSE)</f>
        <v/>
      </c>
      <c r="M42" s="366">
        <f>VLOOKUP("SB1",M1:M23,1,FALSE)</f>
        <v/>
      </c>
      <c r="N42" s="366">
        <f>VLOOKUP("SB1",N6:N37,1,FALSE)</f>
        <v/>
      </c>
      <c r="O42" s="366">
        <f>VLOOKUP("SB1",O1:O37,1,FALSE)</f>
        <v/>
      </c>
      <c r="P42" s="366">
        <f>VLOOKUP("SB1",P1:P37,1,FALSE)</f>
        <v/>
      </c>
      <c r="Q42" s="366">
        <f>VLOOKUP("SB1",Q1:Q26,1,FALSE)</f>
        <v/>
      </c>
      <c r="R42" s="366">
        <f>VLOOKUP("SB1",R6:R30,1,FALSE)</f>
        <v/>
      </c>
      <c r="S42" s="366">
        <f>VLOOKUP("SB1",S1:S37,1,FALSE)</f>
        <v/>
      </c>
      <c r="T42" s="366">
        <f>VLOOKUP("SB1",T8:T37,1,FALSE)</f>
        <v/>
      </c>
      <c r="U42" s="366">
        <f>VLOOKUP("SB1",U1:U37,1,FALSE)</f>
        <v/>
      </c>
      <c r="V42" s="367">
        <f>VLOOKUP("SB1",V10:V31,1,FALSE)</f>
        <v/>
      </c>
      <c r="W42" s="366">
        <f>VLOOKUP("SB1",W5:W21,1,FALSE)</f>
        <v/>
      </c>
      <c r="X42" s="366">
        <f>VLOOKUP("SB1",X6:X37,1,FALSE)</f>
        <v/>
      </c>
      <c r="Y42" s="366">
        <f>VLOOKUP("SB1",Y1:Y37,1,FALSE)</f>
        <v/>
      </c>
      <c r="Z42" s="366">
        <f>VLOOKUP("SB1",Z7:Z37,1,FALSE)</f>
        <v/>
      </c>
      <c r="AA42" s="366">
        <f>VLOOKUP("SB1",AA1:AA37,1,FALSE)</f>
        <v/>
      </c>
      <c r="AB42" s="366">
        <f>VLOOKUP("SB1",AB1:AB37,1,FALSE)</f>
        <v/>
      </c>
      <c r="AC42" s="366">
        <f>VLOOKUP("SB1",AC1:AC37,1,FALSE)</f>
        <v/>
      </c>
      <c r="AD42" s="366">
        <f>VLOOKUP("SB1",AD8:AD37,1,FALSE)</f>
        <v/>
      </c>
      <c r="AE42" s="366">
        <f>VLOOKUP("SB1",AE8:AE37,1,FALSE)</f>
        <v/>
      </c>
      <c r="AF42" s="366">
        <f>VLOOKUP("SB1",AF7:AF37,1,FALSE)</f>
        <v/>
      </c>
      <c r="AG42" s="366">
        <f>VLOOKUP("SB1",AG7:AG37,1,FALSE)</f>
        <v/>
      </c>
      <c r="AH42" s="366">
        <f>VLOOKUP("SB1",AH7:AH37,1,FALSE)</f>
        <v/>
      </c>
      <c r="AI42" s="311" t="n"/>
      <c r="AJ42" s="312" t="n"/>
      <c r="AK42" s="311" t="n"/>
      <c r="AL42" s="313" t="n"/>
      <c r="AM42" s="313" t="n"/>
      <c r="AN42" s="313" t="n"/>
      <c r="AO42" s="313" t="n"/>
      <c r="AP42" s="313" t="n"/>
      <c r="AQ42" s="313" t="n"/>
      <c r="AR42" s="313" t="n"/>
      <c r="AS42" s="313" t="n"/>
      <c r="AT42" s="313" t="n"/>
      <c r="AU42" s="313" t="n"/>
      <c r="AV42" s="313" t="n"/>
      <c r="AW42" s="313" t="n"/>
      <c r="AX42" s="313" t="n"/>
      <c r="AY42" s="313" t="n"/>
      <c r="AZ42" s="313" t="n"/>
      <c r="BA42" s="313" t="n"/>
      <c r="BB42" s="313" t="n"/>
      <c r="BC42" s="313" t="n"/>
      <c r="BD42" s="313" t="n"/>
      <c r="BE42" s="313" t="n"/>
      <c r="BF42" s="313" t="n"/>
      <c r="BG42" s="313" t="n"/>
      <c r="BH42" s="313" t="n"/>
      <c r="BI42" s="313" t="n"/>
      <c r="BJ42" s="313" t="n"/>
      <c r="BK42" s="313" t="n"/>
      <c r="BL42" s="313" t="n"/>
      <c r="BM42" s="313" t="n"/>
      <c r="BN42" s="313" t="n"/>
      <c r="BO42" s="313" t="n"/>
      <c r="BP42" s="313" t="n"/>
      <c r="BQ42" s="314" t="n"/>
    </row>
    <row r="43" ht="19.5" customHeight="1">
      <c r="A43" s="309" t="n"/>
      <c r="B43" s="371" t="inlineStr">
        <is>
          <t>SB2</t>
        </is>
      </c>
      <c r="C43" s="366">
        <f>VLOOKUP("SB2",C6:C37,1,FALSE)</f>
        <v/>
      </c>
      <c r="D43" s="366">
        <f>VLOOKUP("SB2",D9:D37,1,FALSE)</f>
        <v/>
      </c>
      <c r="E43" s="366">
        <f>VLOOKUP("SB2",E8:E37,1,FALSE)</f>
        <v/>
      </c>
      <c r="F43" s="366">
        <f>VLOOKUP("SB2",F1:F37,1,FALSE)</f>
        <v/>
      </c>
      <c r="G43" s="366">
        <f>VLOOKUP("SB2",G8:G37,1,FALSE)</f>
        <v/>
      </c>
      <c r="H43" s="366">
        <f>VLOOKUP("SB2",H6:H37,1,FALSE)</f>
        <v/>
      </c>
      <c r="I43" s="366">
        <f>VLOOKUP("SB2",I7:I37,1,FALSE)</f>
        <v/>
      </c>
      <c r="J43" s="366">
        <f>VLOOKUP("SB2",J4:J37,1,FALSE)</f>
        <v/>
      </c>
      <c r="K43" s="366">
        <f>VLOOKUP("SB2",K6:K37,1,FALSE)</f>
        <v/>
      </c>
      <c r="L43" s="366">
        <f>VLOOKUP("SB2",L11:L37,1,FALSE)</f>
        <v/>
      </c>
      <c r="M43" s="366">
        <f>VLOOKUP("SB2",M8:M41,1,FALSE)</f>
        <v/>
      </c>
      <c r="N43" s="366">
        <f>VLOOKUP("SB2",N6:N37,1,FALSE)</f>
        <v/>
      </c>
      <c r="O43" s="366">
        <f>VLOOKUP("SB2",O8:O37,1,FALSE)</f>
        <v/>
      </c>
      <c r="P43" s="366">
        <f>VLOOKUP("SB2",P8:P37,1,FALSE)</f>
        <v/>
      </c>
      <c r="Q43" s="366">
        <f>VLOOKUP("SB2",Q11:Q36,1,FALSE)</f>
        <v/>
      </c>
      <c r="R43" s="366">
        <f>VLOOKUP("SB2",R6:R36,1,FALSE)</f>
        <v/>
      </c>
      <c r="S43" s="366">
        <f>VLOOKUP("SB2",S9:S37,1,FALSE)</f>
        <v/>
      </c>
      <c r="T43" s="366">
        <f>VLOOKUP("SB2",T8:T37,1,FALSE)</f>
        <v/>
      </c>
      <c r="U43" s="366">
        <f>VLOOKUP("SB2",U10:U37,1,FALSE)</f>
        <v/>
      </c>
      <c r="V43" s="367">
        <f>VLOOKUP("SB2",V5:V37,1,FALSE)</f>
        <v/>
      </c>
      <c r="W43" s="366">
        <f>VLOOKUP("SB2",W12:W36,1,FALSE)</f>
        <v/>
      </c>
      <c r="X43" s="366">
        <f>VLOOKUP("SB2",X8:X37,1,FALSE)</f>
        <v/>
      </c>
      <c r="Y43" s="366">
        <f>VLOOKUP("SB2",Y8:Y37,1,FALSE)</f>
        <v/>
      </c>
      <c r="Z43" s="366">
        <f>VLOOKUP("SB2",Z7:Z37,1,FALSE)</f>
        <v/>
      </c>
      <c r="AA43" s="366">
        <f>VLOOKUP("SB2",AA11:AA37,1,FALSE)</f>
        <v/>
      </c>
      <c r="AB43" s="366">
        <f>VLOOKUP("SB2",AB9:AB37,1,FALSE)</f>
        <v/>
      </c>
      <c r="AC43" s="366">
        <f>VLOOKUP("SB2",AC11:AC37,1,FALSE)</f>
        <v/>
      </c>
      <c r="AD43" s="366">
        <f>VLOOKUP("SB2",AD8:AD37,1,FALSE)</f>
        <v/>
      </c>
      <c r="AE43" s="366">
        <f>VLOOKUP("SB2",AE8:AE37,1,FALSE)</f>
        <v/>
      </c>
      <c r="AF43" s="366">
        <f>VLOOKUP("SB2",AF7:AF37,1,FALSE)</f>
        <v/>
      </c>
      <c r="AG43" s="366">
        <f>VLOOKUP("SB2",AG7:AG37,1,FALSE)</f>
        <v/>
      </c>
      <c r="AH43" s="366">
        <f>VLOOKUP("SB2",AH7:AH37,1,FALSE)</f>
        <v/>
      </c>
      <c r="AI43" s="311" t="n"/>
      <c r="AJ43" s="312" t="n"/>
      <c r="AK43" s="311" t="n"/>
      <c r="AL43" s="313" t="n"/>
      <c r="AM43" s="313" t="n"/>
      <c r="AN43" s="313" t="n"/>
      <c r="AO43" s="313" t="n"/>
      <c r="AP43" s="313" t="n"/>
      <c r="AQ43" s="313" t="n"/>
      <c r="AR43" s="313" t="n"/>
      <c r="AS43" s="313" t="n"/>
      <c r="AT43" s="313" t="n"/>
      <c r="AU43" s="313" t="n"/>
      <c r="AV43" s="313" t="n"/>
      <c r="AW43" s="313" t="n"/>
      <c r="AX43" s="313" t="n"/>
      <c r="AY43" s="313" t="n"/>
      <c r="AZ43" s="313" t="n"/>
      <c r="BA43" s="313" t="n"/>
      <c r="BB43" s="313" t="n"/>
      <c r="BC43" s="313" t="n"/>
      <c r="BD43" s="313" t="n"/>
      <c r="BE43" s="313" t="n"/>
      <c r="BF43" s="313" t="n"/>
      <c r="BG43" s="313" t="n"/>
      <c r="BH43" s="313" t="n"/>
      <c r="BI43" s="313" t="n"/>
      <c r="BJ43" s="313" t="n"/>
      <c r="BK43" s="313" t="n"/>
      <c r="BL43" s="313" t="n"/>
      <c r="BM43" s="313" t="n"/>
      <c r="BN43" s="313" t="n"/>
      <c r="BO43" s="313" t="n"/>
      <c r="BP43" s="313" t="n"/>
      <c r="BQ43" s="314" t="n"/>
    </row>
    <row r="44" ht="19.5" customHeight="1">
      <c r="A44" s="309" t="n"/>
      <c r="B44" s="372" t="inlineStr">
        <is>
          <t>AE</t>
        </is>
      </c>
      <c r="C44" s="366">
        <f>VLOOKUP("AE",C6:C37,1,FALSE)</f>
        <v/>
      </c>
      <c r="D44" s="366">
        <f>VLOOKUP("AE",D9:D37,1,FALSE)</f>
        <v/>
      </c>
      <c r="E44" s="366">
        <f>VLOOKUP("AE",E8:E37,1,FALSE)</f>
        <v/>
      </c>
      <c r="F44" s="366">
        <f>VLOOKUP("AE",F1:F37,1,FALSE)</f>
        <v/>
      </c>
      <c r="G44" s="366">
        <f>VLOOKUP("AE",G1:G37,1,FALSE)</f>
        <v/>
      </c>
      <c r="H44" s="366">
        <f>VLOOKUP("AE",H8:H37,1,FALSE)</f>
        <v/>
      </c>
      <c r="I44" s="366">
        <f>VLOOKUP("AE",I7:I37,1,FALSE)</f>
        <v/>
      </c>
      <c r="J44" s="366">
        <f>VLOOKUP("AE",J4:J37,1,FALSE)</f>
        <v/>
      </c>
      <c r="K44" s="366">
        <f>VLOOKUP("AE",K6:K37,1,FALSE)</f>
        <v/>
      </c>
      <c r="L44" s="366">
        <f>VLOOKUP("AE",L11:L37,1,FALSE)</f>
        <v/>
      </c>
      <c r="M44" s="366">
        <f>VLOOKUP("AE",M8:M41,1,FALSE)</f>
        <v/>
      </c>
      <c r="N44" s="366">
        <f>VLOOKUP("AE",N6:N37,1,FALSE)</f>
        <v/>
      </c>
      <c r="O44" s="366">
        <f>VLOOKUP("AE",O8:O37,1,FALSE)</f>
        <v/>
      </c>
      <c r="P44" s="366">
        <f>VLOOKUP("AE",P8:P37,1,FALSE)</f>
        <v/>
      </c>
      <c r="Q44" s="366">
        <f>VLOOKUP("AE",Q11:Q44,1,FALSE)</f>
        <v/>
      </c>
      <c r="R44" s="366">
        <f>VLOOKUP("AE",R6:R35,1,FALSE)</f>
        <v/>
      </c>
      <c r="S44" s="366">
        <f>VLOOKUP("AE",S9:S37,1,FALSE)</f>
        <v/>
      </c>
      <c r="T44" s="366">
        <f>VLOOKUP("AE",T8:T37,1,FALSE)</f>
        <v/>
      </c>
      <c r="U44" s="366">
        <f>VLOOKUP("AE",U10:U37,1,FALSE)</f>
        <v/>
      </c>
      <c r="V44" s="367">
        <f>VLOOKUP("AE",V10:V39,1,FALSE)</f>
        <v/>
      </c>
      <c r="W44" s="366">
        <f>VLOOKUP("AE",W12:W37,1,FALSE)</f>
        <v/>
      </c>
      <c r="X44" s="366">
        <f>VLOOKUP("AE",X8:X37,1,FALSE)</f>
        <v/>
      </c>
      <c r="Y44" s="366">
        <f>VLOOKUP("AE",Y8:Y37,1,FALSE)</f>
        <v/>
      </c>
      <c r="Z44" s="366">
        <f>VLOOKUP("AE",Z7:Z37,1,FALSE)</f>
        <v/>
      </c>
      <c r="AA44" s="366">
        <f>VLOOKUP("AE",AA11:AA37,1,FALSE)</f>
        <v/>
      </c>
      <c r="AB44" s="366">
        <f>VLOOKUP("AE",AB9:AB37,1,FALSE)</f>
        <v/>
      </c>
      <c r="AC44" s="366">
        <f>VLOOKUP("AE",AC11:AC37,1,FALSE)</f>
        <v/>
      </c>
      <c r="AD44" s="366">
        <f>VLOOKUP("AE",AD8:AD37,1,FALSE)</f>
        <v/>
      </c>
      <c r="AE44" s="366">
        <f>VLOOKUP("AE",AE8:AE37,1,FALSE)</f>
        <v/>
      </c>
      <c r="AF44" s="366">
        <f>VLOOKUP("AE",AF7:AF37,1,FALSE)</f>
        <v/>
      </c>
      <c r="AG44" s="366">
        <f>VLOOKUP("AE",AG7:AG37,1,FALSE)</f>
        <v/>
      </c>
      <c r="AH44" s="366">
        <f>VLOOKUP("AE",AH7:AH37,1,FALSE)</f>
        <v/>
      </c>
      <c r="AI44" s="311" t="n"/>
      <c r="AJ44" s="312" t="n"/>
      <c r="AK44" s="311" t="n"/>
      <c r="AL44" s="313" t="n"/>
      <c r="AM44" s="313" t="n"/>
      <c r="AN44" s="313" t="n"/>
      <c r="AO44" s="313" t="n"/>
      <c r="AP44" s="313" t="n"/>
      <c r="AQ44" s="313" t="n"/>
      <c r="AR44" s="313" t="n"/>
      <c r="AS44" s="313" t="n"/>
      <c r="AT44" s="313" t="n"/>
      <c r="AU44" s="313" t="n"/>
      <c r="AV44" s="313" t="n"/>
      <c r="AW44" s="313" t="n"/>
      <c r="AX44" s="313" t="n"/>
      <c r="AY44" s="313" t="n"/>
      <c r="AZ44" s="313" t="n"/>
      <c r="BA44" s="313" t="n"/>
      <c r="BB44" s="313" t="n"/>
      <c r="BC44" s="313" t="n"/>
      <c r="BD44" s="313" t="n"/>
      <c r="BE44" s="313" t="n"/>
      <c r="BF44" s="313" t="n"/>
      <c r="BG44" s="313" t="n"/>
      <c r="BH44" s="313" t="n"/>
      <c r="BI44" s="313" t="n"/>
      <c r="BJ44" s="313" t="n"/>
      <c r="BK44" s="313" t="n"/>
      <c r="BL44" s="313" t="n"/>
      <c r="BM44" s="313" t="n"/>
      <c r="BN44" s="313" t="n"/>
      <c r="BO44" s="313" t="n"/>
      <c r="BP44" s="313" t="n"/>
      <c r="BQ44" s="314" t="n"/>
    </row>
  </sheetData>
  <mergeCells count="1">
    <mergeCell ref="C1:S1"/>
  </mergeCells>
  <conditionalFormatting sqref="O8">
    <cfRule type="expression" priority="1" dxfId="136">
      <formula>WEEKDAY(Q$3,2)&gt;5</formula>
    </cfRule>
  </conditionalFormatting>
  <conditionalFormatting sqref="T16">
    <cfRule type="expression" priority="9" dxfId="136">
      <formula>WEEKDAY(V$3,2)&gt;5</formula>
    </cfRule>
  </conditionalFormatting>
  <conditionalFormatting sqref="R20">
    <cfRule type="expression" priority="2" dxfId="136">
      <formula>WEEKDAY(U$3,2)&gt;5</formula>
    </cfRule>
    <cfRule type="expression" priority="3" dxfId="136">
      <formula>WEEKDAY(V$3,2)&gt;5</formula>
    </cfRule>
  </conditionalFormatting>
  <conditionalFormatting sqref="D21">
    <cfRule type="expression" priority="6" dxfId="136">
      <formula>WEEKDAY(G$3,2)&gt;5</formula>
    </cfRule>
    <cfRule type="expression" priority="7" dxfId="136">
      <formula>WEEKDAY(F$3,2)&gt;5</formula>
    </cfRule>
  </conditionalFormatting>
  <conditionalFormatting sqref="X21">
    <cfRule type="expression" priority="10" dxfId="136">
      <formula>WEEKDAY(AA$3,2)&gt;5</formula>
    </cfRule>
    <cfRule type="expression" priority="11" dxfId="136">
      <formula>WEEKDAY(Z$3,2)&gt;5</formula>
    </cfRule>
  </conditionalFormatting>
  <conditionalFormatting sqref="P27">
    <cfRule type="expression" priority="4" dxfId="136">
      <formula>WEEKDAY(R$3,2)&gt;5</formula>
    </cfRule>
    <cfRule type="expression" priority="5" dxfId="136">
      <formula>WEEKDAY(S$3,2)&gt;5</formula>
    </cfRule>
  </conditionalFormatting>
  <conditionalFormatting sqref="AF27">
    <cfRule type="expression" priority="12" dxfId="136">
      <formula>WEEKDAY(AG$3,2)&gt;5</formula>
    </cfRule>
    <cfRule type="expression" priority="13" dxfId="136">
      <formula>WEEKDAY(AF$3,2)&gt;5</formula>
    </cfRule>
  </conditionalFormatting>
  <conditionalFormatting sqref="K24:K25">
    <cfRule type="expression" priority="15" dxfId="136">
      <formula>WEEKDAY(M$3,2)&gt;5</formula>
    </cfRule>
  </conditionalFormatting>
  <conditionalFormatting sqref="A1:BQ44">
    <cfRule type="cellIs" priority="82" operator="equal" dxfId="155">
      <formula>"RESERVE"</formula>
    </cfRule>
  </conditionalFormatting>
  <conditionalFormatting sqref="C3:S37 T2:X37 Y3:AH37">
    <cfRule type="expression" priority="75" dxfId="136">
      <formula>WEEKDAY(T$3,2)&gt;5</formula>
    </cfRule>
  </conditionalFormatting>
  <conditionalFormatting sqref="C5:I44 J4:J44 K5:Z44 AA4:AA44 AB5:AH44">
    <cfRule type="cellIs" priority="60" operator="equal" dxfId="137">
      <formula>"B"</formula>
    </cfRule>
    <cfRule type="cellIs" priority="61" operator="equal" dxfId="137">
      <formula>"AL"</formula>
    </cfRule>
    <cfRule type="cellIs" priority="62" operator="equal" dxfId="138">
      <formula>"DM"</formula>
    </cfRule>
    <cfRule type="cellIs" priority="63" operator="equal" dxfId="139">
      <formula>"CS1"</formula>
    </cfRule>
    <cfRule type="cellIs" priority="64" operator="equal" dxfId="140">
      <formula>"CS2"</formula>
    </cfRule>
    <cfRule type="cellIs" priority="65" operator="equal" dxfId="141">
      <formula>"SB1"</formula>
    </cfRule>
    <cfRule type="cellIs" priority="66" operator="equal" dxfId="142">
      <formula>"SB2"</formula>
    </cfRule>
    <cfRule type="cellIs" priority="67" operator="equal" dxfId="143">
      <formula>"AE"</formula>
    </cfRule>
  </conditionalFormatting>
  <conditionalFormatting sqref="C5:I37 J4:J37 K5:Z37 AA4:AA37 AB5:AH37">
    <cfRule type="cellIs" priority="69" operator="equal" dxfId="137">
      <formula>"DB"</formula>
    </cfRule>
    <cfRule type="containsText" priority="70" operator="between" dxfId="144" text="$AM">
      <formula>NOT(ISERROR(SEARCH("$AM",C4)))</formula>
    </cfRule>
    <cfRule type="containsText" priority="71" operator="between" dxfId="145" text="$PM">
      <formula>NOT(ISERROR(SEARCH("$PM",C4)))</formula>
    </cfRule>
    <cfRule type="containsText" priority="72" operator="between" dxfId="146" text="$L">
      <formula>NOT(ISERROR(SEARCH("$L",C4)))</formula>
    </cfRule>
    <cfRule type="containsText" priority="73" operator="between" dxfId="147" text="$BTP">
      <formula>NOT(ISERROR(SEARCH("$BTP",C4)))</formula>
    </cfRule>
    <cfRule type="containsText" priority="74" operator="between" dxfId="148" text="$M">
      <formula>NOT(ISERROR(SEARCH("$M",C4)))</formula>
    </cfRule>
    <cfRule type="containsText" priority="76" operator="between" dxfId="149" text="$N">
      <formula>NOT(ISERROR(SEARCH("$N",C4)))</formula>
    </cfRule>
    <cfRule type="containsText" priority="77" operator="between" dxfId="150" text="$FC">
      <formula>NOT(ISERROR(SEARCH("$FC",C4)))</formula>
    </cfRule>
    <cfRule type="containsText" priority="78" operator="between" dxfId="151" text="OAL">
      <formula>NOT(ISERROR(SEARCH("OAL",C4)))</formula>
    </cfRule>
    <cfRule type="containsText" priority="79" operator="between" dxfId="152" text="S+">
      <formula>NOT(ISERROR(SEARCH("S+",C4)))</formula>
    </cfRule>
    <cfRule type="containsText" priority="80" operator="between" dxfId="153" text="EX-D">
      <formula>NOT(ISERROR(SEARCH("EX-D",C4)))</formula>
    </cfRule>
  </conditionalFormatting>
  <conditionalFormatting sqref="C5:C21 C23 C27:F27 C33 D5:D17 D19:D23 D29:D30 E5:E20 E22:E25 E29:E33 F5:F25 F30:F33 F35:G35 G5:G21 G23:G33 H5:H9 H11:H21 H23:H25 H27:H34 I5:I25 I29:I32 J4:J22 J24:J27 J29:M29 J31:J32 K5:K17 K19:K21 K23:K25 K32 K35 L5:L27 L32:M33 M5:M26 N5:N21 N23:N29 N31 O5:O24 O29 O31:O32 P5:P8 P10:P14 P16:P22 P24:P25 P27:P29 P32 Q5:Q25 Q27:Q32 Q35:R35 R5:R21 R23:R26 R28:R29 R33 S5:U25 S27:S28 S31:S35 T28:T35 U27:V35 U37 V5:V14 V16:V25 W5:X22 W24:X25 W27:W29 W31:W35 X27:X33 X35 Y5:Y25 Y27:Y36 Z5:AB36 AC5:AC26 AC28:AC36 AD5:AD24 AD26:AD28 AD30 AD32:AD33 AD35:AF35 AE5:AE33 AF5:AF21 AF24:AF30 AF32 AG5:AG22 AG24:AG26 AG30:AH30 AH5:AH21 AH23 AH26 AH35">
    <cfRule type="containsText" priority="81" operator="between" dxfId="154" text="VACC">
      <formula>NOT(ISERROR(SEARCH("VACC",C4)))</formula>
    </cfRule>
  </conditionalFormatting>
  <conditionalFormatting sqref="C5:C35 D5:D14 D17 D19 D21:D22 D26:D27 D29:D30 E5:E15 E17:E20 E22:E27 E29 E31:F33 F5:F14 F16:F23 F25:F27 F35:G35 G6:G10 G12:G14 G16:G21 G23:G32 H5:H9 H11:H14 H16 H19:H21 H23 H26:J26 H28 H30:H34 I5:I7 I9 I11 I13:I14 I16:I21 I23:I24 I29:I32 J5:J9 J11:J12 J14 J16 J19:J21 J24 J29:M29 K5 K7:K8 K10:K16 K20:K21 K23:K26 K35 L5:L17 L19 L21:L26 M5:Q8 M11:M13 M16:M17 M20:M26 M32 N10:N15 N20 N23:N24 N26:N29 N31 O10:O11 O13:O17 O20:O21 O24:P24 O26 O29:Q29 O31:O32 P12:P14 P17:P18 P20 P22 P26:P27 Q12:Q19 Q22:Q24 Q26:R26 R5:S9 R11:S11 R13:T13 R16:R17 R19 R21 R23:R24 R33:S33 R35 S17:S18 S25:S26 T5:T11 T15:T16 T20:W20 T23:U23 T26:U26 T30 U5 U7:U10 U12:U13 U16:X18 U33:V33 U35 V5:W9 V11:V13 V22:V24 V29:W29 W11:W14 W22 X5:X14 X20:X21 X29:X31 X33 Y5:Y20 Y22 Y25 Y29:Y30 Y35 Z5 Z7:Z9 Z11:Z13 Z15:Z18 Z20:AB20 Z24:Z26 Z29 Z33 AA5:AA6 AA8:AB9 AA11:AA18 AA22:AA23 AA25 AA28:AA29 AA32 AA34:AA35 AB5 AB11:AB12 AB14:AB15 AB17:AB18 AB22 AB33 AC5:AD9 AC11 AC15:AC17 AC19:AC23 AC29 AC31 AD11:AD12 AD15:AD18 AD21:AF21 AD26:AD27 AE6 AE8:AE10 AE12:AE13 AE15:AG17 AE23:AE24 AE28 AE30:AE31 AF5 AF7:AF9 AF11 AF13 AF19 AF25 AF27 AF35 AG5:AG8 AG10:AG13 AG20:AG21 AG24:AG25 AH5:AH6 AH8 AH10 AH15:AH16 AH20 AH35">
    <cfRule type="cellIs" priority="16" operator="equal" dxfId="137">
      <formula>"B"</formula>
    </cfRule>
    <cfRule type="cellIs" priority="17" operator="equal" dxfId="137">
      <formula>"AL"</formula>
    </cfRule>
    <cfRule type="cellIs" priority="18" operator="equal" dxfId="138">
      <formula>"DM"</formula>
    </cfRule>
    <cfRule type="cellIs" priority="19" operator="equal" dxfId="139">
      <formula>"CS1"</formula>
    </cfRule>
    <cfRule type="cellIs" priority="20" operator="equal" dxfId="140">
      <formula>"CS2"</formula>
    </cfRule>
    <cfRule type="cellIs" priority="21" operator="equal" dxfId="141">
      <formula>"SB1"</formula>
    </cfRule>
    <cfRule type="cellIs" priority="22" operator="equal" dxfId="142">
      <formula>"SB2"</formula>
    </cfRule>
    <cfRule type="cellIs" priority="23" operator="equal" dxfId="143">
      <formula>"AE"</formula>
    </cfRule>
    <cfRule type="cellIs" priority="24" operator="equal" dxfId="137">
      <formula>"DB"</formula>
    </cfRule>
    <cfRule type="containsText" priority="25" operator="between" dxfId="144" text="$AM">
      <formula>NOT(ISERROR(SEARCH("$AM",C5)))</formula>
    </cfRule>
    <cfRule type="containsText" priority="26" operator="between" dxfId="145" text="$PM">
      <formula>NOT(ISERROR(SEARCH("$PM",C5)))</formula>
    </cfRule>
    <cfRule type="containsText" priority="27" operator="between" dxfId="146" text="$L">
      <formula>NOT(ISERROR(SEARCH("$L",C5)))</formula>
    </cfRule>
    <cfRule type="containsText" priority="28" operator="between" dxfId="147" text="$BTP">
      <formula>NOT(ISERROR(SEARCH("$BTP",C5)))</formula>
    </cfRule>
    <cfRule type="containsText" priority="29" operator="between" dxfId="148" text="$M">
      <formula>NOT(ISERROR(SEARCH("$M",C5)))</formula>
    </cfRule>
    <cfRule type="containsText" priority="30" operator="between" dxfId="149" text="$N">
      <formula>NOT(ISERROR(SEARCH("$N",C5)))</formula>
    </cfRule>
    <cfRule type="containsText" priority="31" operator="between" dxfId="150" text="$FC">
      <formula>NOT(ISERROR(SEARCH("$FC",C5)))</formula>
    </cfRule>
    <cfRule type="containsText" priority="32" operator="between" dxfId="151" text="OAL">
      <formula>NOT(ISERROR(SEARCH("OAL",C5)))</formula>
    </cfRule>
    <cfRule type="containsText" priority="33" operator="between" dxfId="152" text="S+">
      <formula>NOT(ISERROR(SEARCH("S+",C5)))</formula>
    </cfRule>
    <cfRule type="containsText" priority="34" operator="between" dxfId="153" text="EX-D">
      <formula>NOT(ISERROR(SEARCH("EX-D",C5)))</formula>
    </cfRule>
  </conditionalFormatting>
  <conditionalFormatting sqref="C5:C24 C26:D27 C33 D5:D14 D17 D19 D21:D22 D29:D30 E5:E15 E17:E29 E31:F33 F5:F14 F16:F23 F25:F28 F35:G35 G6:G10 G12:G14 G16:G21 G23:G32 H5:H9 H11:H14 H16 H19:H21 H23 H26:J26 H28 H30:H34 I5:I7 I9 I11 I13:I14 I16:I21 I23:J24 I29:I32 J5:J9 J11:J12 J14 J16 J19:J21 J28:J32 K5 K7:K8 K10:K16 K20:K21 K23:K29 K35 L5:L17 L19 L21:M21 L23:M26 L29:M29 L32:M33 M5:Q8 M11:M13 M16:M17 N10:N15 N23:N24 N26:N29 N31 O10:O11 O13:O15 O17 O24:O26 O28:O29 O31:O32 P12:P14 P17:P18 P20 P22:Q24 P26:P27 P29:Q29 Q12:Q19 Q26:R26 R5:S9 R11:S11 R13:T13 R16:R17 R19 R21 R23:R24 R28:U28 R35 S17:S18 S25:S26 S33 T5:T11 T15:T16 T20:W20 T23:U23 T26:X26 T30 U5 U7:U10 U12:U13 U16:U18 U33:V33 U35 V5:W9 V11:V13 V16:V17 V22:V24 V29 W11:W14 W16:W18 W22:W23 W28:W29 X5:X14 X16:X17 X20:X21 X29:X31 X33 Y5:Y11 Y13:Y17 Y19:Y20 Y22 Y25:Y26 Y29:Y30 Z5 Z7:Z9 Z11:Z13 Z15:Z18 Z20:AB20 Z24 Z26 Z28:AA29 Z32:Z33 AA5:AA6 AA8:AB9 AA11:AA18 AA22:AA23 AA25:AA26 AA34:AA35 AB5 AB11:AB12 AB14:AB15 AB17:AB18 AB22 AB26:AC26 AB32:AB33 AC5:AD9 AC11 AC15:AC17 AC19:AC23 AC29 AC31 AD11:AD12 AD15:AD18 AD21:AF21 AD26:AD27 AD32 AE6 AE8:AE10 AE12:AE13 AE15:AG17 AE23:AE24 AE26 AE28 AE30:AE31 AF5 AF7:AF9 AF11 AF13 AF19 AF25:AF28 AF35 AG5:AG8 AG10:AG13 AG20:AG21 AG24:AG26 AH5:AH6 AH8 AH10 AH15:AH16 AH20 AH26 AH35">
    <cfRule type="expression" priority="35" dxfId="136">
      <formula>WEEKDAY(#REF!,2)&gt;5</formula>
    </cfRule>
  </conditionalFormatting>
  <conditionalFormatting sqref="C12 F5 S9 S25 T11 T13:U13 T18 T23 U7 V9:Y9 V12 W6:X6 Y11 Y13 Y22 Z7:Z9 Z12:AA13 Z26 AA6 AA9:AB9 AA24:AA25 AB12 AB22 AD11 AD26:AD27 AE23 AE28 AE30:AE31 AF25 AH35">
    <cfRule type="expression" priority="36" dxfId="136">
      <formula>WEEKDAY(H$3,2)&gt;5</formula>
    </cfRule>
  </conditionalFormatting>
  <conditionalFormatting sqref="C9 C12 C19 E11 F5">
    <cfRule type="expression" priority="38" dxfId="136">
      <formula>WEEKDAY(H$3,2)&gt;5</formula>
    </cfRule>
  </conditionalFormatting>
  <conditionalFormatting sqref="C5:C21 C23 C27:F27 C33 D5:D17 D19:D23 D29:D30 E5:E20 E22:E25 E29:E33 F5:F25 F30:F33 F35:G35 G5:G21 G23:G33 H5:H9 H11:H21 H23:H25 H27:H34 I5:I25 I29:I32 J5:J22 J24:J27 J29:M29 J31:J32 K5:K17 K19:K21 K23:K25 K32 K35 L5:L27 L32:M33 M5:M26 N5:N21 N23:N29 N31 O5:O24 O29 O31:O32 P5:P8 P10:P14 P16:P22 P24:P25 P27:P29 P32 Q5:Q25 Q27:Q32 Q35:R35 R5:R21 R23:R26 R28:R29 R33 S5:T25 S27:S28 S31:S35 T28:T35 U5:V14 U16:V25 U27:V35 U37 W5:X22 W24:X25 W27:W29 W31:W35 X27:X33 X35 Y5:Y25 Y27:Y36 Z5:AB36 AC5:AC26 AC28:AC36 AD5:AD24 AD26:AD28 AD30 AD32:AD33 AD35:AF35 AE5:AE33 AF5:AF21 AF24:AF30 AF32 AG5:AG22 AG24:AG26 AG30:AH30 AH5:AH21 AH23 AH26 AH35">
    <cfRule type="cellIs" priority="39" operator="equal" dxfId="137">
      <formula>"B"</formula>
    </cfRule>
    <cfRule type="cellIs" priority="40" operator="equal" dxfId="137">
      <formula>"AL"</formula>
    </cfRule>
    <cfRule type="cellIs" priority="41" operator="equal" dxfId="138">
      <formula>"DM"</formula>
    </cfRule>
    <cfRule type="cellIs" priority="42" operator="equal" dxfId="139">
      <formula>"CS1"</formula>
    </cfRule>
    <cfRule type="cellIs" priority="43" operator="equal" dxfId="140">
      <formula>"CS2"</formula>
    </cfRule>
    <cfRule type="cellIs" priority="44" operator="equal" dxfId="141">
      <formula>"SB1"</formula>
    </cfRule>
    <cfRule type="cellIs" priority="45" operator="equal" dxfId="142">
      <formula>"SB2"</formula>
    </cfRule>
    <cfRule type="cellIs" priority="46" operator="equal" dxfId="143">
      <formula>"AE"</formula>
    </cfRule>
    <cfRule type="cellIs" priority="48" operator="equal" dxfId="137">
      <formula>"DB"</formula>
    </cfRule>
    <cfRule type="containsText" priority="49" operator="between" dxfId="144" text="$AM">
      <formula>NOT(ISERROR(SEARCH("$AM",C5)))</formula>
    </cfRule>
    <cfRule type="containsText" priority="50" operator="between" dxfId="145" text="$PM">
      <formula>NOT(ISERROR(SEARCH("$PM",C5)))</formula>
    </cfRule>
    <cfRule type="containsText" priority="51" operator="between" dxfId="146" text="$L">
      <formula>NOT(ISERROR(SEARCH("$L",C5)))</formula>
    </cfRule>
    <cfRule type="containsText" priority="52" operator="between" dxfId="147" text="$BTP">
      <formula>NOT(ISERROR(SEARCH("$BTP",C5)))</formula>
    </cfRule>
    <cfRule type="containsText" priority="53" operator="between" dxfId="148" text="$M">
      <formula>NOT(ISERROR(SEARCH("$M",C5)))</formula>
    </cfRule>
    <cfRule type="containsText" priority="54" operator="between" dxfId="149" text="$N">
      <formula>NOT(ISERROR(SEARCH("$N",C5)))</formula>
    </cfRule>
    <cfRule type="containsText" priority="55" operator="between" dxfId="150" text="$FC">
      <formula>NOT(ISERROR(SEARCH("$FC",C5)))</formula>
    </cfRule>
    <cfRule type="containsText" priority="56" operator="between" dxfId="151" text="OAL">
      <formula>NOT(ISERROR(SEARCH("OAL",C5)))</formula>
    </cfRule>
    <cfRule type="containsText" priority="57" operator="between" dxfId="152" text="S+">
      <formula>NOT(ISERROR(SEARCH("S+",C5)))</formula>
    </cfRule>
    <cfRule type="containsText" priority="58" operator="between" dxfId="153" text="EX-D">
      <formula>NOT(ISERROR(SEARCH("EX-D",C5)))</formula>
    </cfRule>
    <cfRule type="expression" priority="59" dxfId="136">
      <formula>WEEKDAY(#REF!,2)&gt;5</formula>
    </cfRule>
  </conditionalFormatting>
  <conditionalFormatting sqref="C5:C24 C26:D27 C33 D5:D17 D19:D23 D29:D30 E5:E33 F5:F28 F30:F33 F35:G35 G5:G21 G23:G33 H5:H9 H11:H21 H23:H34 I5:I26 I29:I32 J5:J33 K5:K17 K19:K21 K23:K29 K32 K35 L5:L27 L29:M29 L32:M33 M5:M26 N5:N21 N23:N29 N31 O5:O26 O28:O29 O31:O32 P5:P8 P10:P14 P16:P29 P32 Q5:Q32 Q35:R35 R5:R21 R23:R26 R28:R29 R33 S5:S28 S31:S35 T5:T26 T28:T35 U5:V14 U16:V35 U37 W5:W29 W31:W35 X5:X22 X24:X33 X35 Y5:AB36 AC5:AC26 AC28:AC36 AD5:AD24 AD26:AD28 AD30 AD32:AD33 AD35:AF35 AE5:AE33 AF5:AF21 AF24:AF30 AF32 AG5:AG22 AG24:AG26 AG30:AH30 AH5:AH21 AH23 AH26 AH35">
    <cfRule type="containsText" priority="47" operator="between" dxfId="154" text="VACC">
      <formula>NOT(ISERROR(SEARCH("VACC",C5)))</formula>
    </cfRule>
  </conditionalFormatting>
  <conditionalFormatting sqref="BP5:BQ37">
    <cfRule type="cellIs" priority="68" operator="lessThan" dxfId="155">
      <formula>1</formula>
    </cfRule>
  </conditionalFormatting>
  <conditionalFormatting sqref="F24 G20 S9 S25 T11 T13:U13 T18 T23 U7 U37 V9:Y9 V12 W6:X6 Y11 Y13 Y22 Z7:Z9 Z12:AA13 Z18:AB18 Z26 AA6 AA9:AB9 AA24:AA25 AB12 AB22 AC21 AD11 AD26:AD27 AE23 AE28 AE30:AE31 AF25 AH35">
    <cfRule type="expression" priority="37" dxfId="136">
      <formula>WEEKDAY(X$3,2)&gt;5</formula>
    </cfRule>
  </conditionalFormatting>
  <conditionalFormatting sqref="C21 G19:H19 G21:H21 T16">
    <cfRule type="expression" priority="8" dxfId="136">
      <formula>WEEKDAY(U$3,2)&gt;5</formula>
    </cfRule>
  </conditionalFormatting>
  <conditionalFormatting sqref="C17 C20">
    <cfRule type="expression" priority="14" dxfId="136">
      <formula>WEEKDAY(D$3,2)&gt;5</formula>
    </cfRule>
  </conditionalFormatting>
  <dataValidations count="2">
    <dataValidation sqref="C5:F5 C6:O6 C8:O8 C10 C11:J11 C12:H12 C13:Z13 C14:R14 C15:L15 C16 C17:L17 C19:R19 C20 C21:D21 C23 C24:AH24 C25:M25 C26:AE26 C28:H28 C29:R29 C30:E31 C32:J32 C33:I33 C34:M34 C35:D36 C37:L37 D7:AD7 D9:J9 D18:E18 D22:I22 D27:H27 E10:O10 E16:N16 E20:J20 E23:Y23 F21:M21 F35:G35 G18 G30:P30 G31:K31 H5:K5 I35:N35 J12:K12 J18:N18 J28:AA28 J36:L36 K22:M22 K27:L27 K33:M33 L9:S9 L11:O11 L20:O20 L32:M32 M5:AA5 M12:R12 M31:O31 N15:U15 N17:P17 N27 N36:P37 O21:R21 O32:X32 O33 O34:Y34 P16:AA16 P18 P22:W22 P25:AB25 P27 Q6:Y6 Q10:R10 Q11:Z11 Q31 Q33:S33 Q35:R35 R8:AH8 R17:AG17 R18:T18 R20 R27:S27 S30:U30 S31:W31 S37:AH37 T10:AH10 T14 T19:V19 T20:AC20 T21:X21 T29:AC29 T35:V35 T36 U9:AH9 U12:Y12 U33:V33 V14:AH14 V18:AD18 V27:Y27 V36 X15:AH15 X19:Y19 X30:Z30 X33 X35:Y35 X36 Y22 Y31:AA31 Z32:AD32 Z33 AA6:AE6 AA12:AH12 AA19:AD19 AA22:AD22 AA23:AF23 AA34:AH34 AA35 AB11:AH11 AB13:AD13 AB21:AE21 AB27 AB30 AB33:AC33 AC5:AH5 AC16:AH16 AC28:AH28 AC31 AC35:AD35 AD27:AF27 AD30:AH30 AD36:AH36 AE20:AH20 AE25:AH25 AE29:AH29 AE31:AH31 AE33 AF7:AH7 AF13:AH13 AF18:AH19 AF32:AG32 AF35:AH35 AG6:AH6 AG21:AH22 AG26:AH26 AG33:AH33 AH23" showDropDown="1" showInputMessage="0" showErrorMessage="0" allowBlank="1" type="list">
      <formula1>'Setting key Duty'!$B$7:$B$56</formula1>
    </dataValidation>
    <dataValidation sqref="C38:AH44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0"/>
    <pageSetUpPr fitToPage="1"/>
  </sheetPr>
  <dimension ref="A1:BQ49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10.752380952381" customWidth="1" min="16" max="16"/>
    <col width="10.247619047619" customWidth="1" min="17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4"/>
    <col hidden="1" outlineLevel="1" width="9.38095238095238" customWidth="1" min="35" max="41"/>
    <col collapsed="1" width="6.75238095238095" customWidth="1" min="42" max="42"/>
    <col outlineLevel="1" width="8.87619047619048" customWidth="1" min="43" max="43"/>
    <col outlineLevel="1" width="7.87619047619048" customWidth="1" min="44" max="44"/>
    <col outlineLevel="1" width="9.133333333333329" customWidth="1" min="45" max="45"/>
    <col outlineLevel="1" width="8.24761904761905" customWidth="1" min="46" max="46"/>
    <col outlineLevel="1" width="5.5047619047619" customWidth="1" min="47" max="47"/>
    <col width="9.38095238095238" customWidth="1" min="48" max="50"/>
    <col outlineLevel="1" width="9.38095238095238" customWidth="1" min="51" max="58"/>
    <col outlineLevel="1" width="10" customWidth="1" min="59" max="59"/>
    <col outlineLevel="1" width="9.38095238095238" customWidth="1" min="60" max="65"/>
    <col width="9.38095238095238" customWidth="1" min="66" max="66"/>
    <col width="9.504761904761899" customWidth="1" min="67" max="67"/>
    <col width="9.38095238095238" customWidth="1" min="68" max="69"/>
  </cols>
  <sheetData>
    <row r="1" ht="3" customHeight="1">
      <c r="A1" s="408" t="n"/>
      <c r="B1" s="285" t="inlineStr">
        <is>
          <t>Type of req:
Reason:</t>
        </is>
      </c>
      <c r="C1" s="409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87" t="n"/>
      <c r="U1" s="287" t="n"/>
      <c r="V1" s="288" t="n"/>
      <c r="W1" s="287" t="n"/>
      <c r="X1" s="287" t="n"/>
      <c r="Y1" s="289" t="n"/>
      <c r="Z1" s="289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90" t="n"/>
      <c r="AM1" s="290" t="n"/>
      <c r="AN1" s="290" t="n"/>
      <c r="AO1" s="290" t="n"/>
      <c r="AP1" s="290" t="n"/>
      <c r="AQ1" s="290" t="n"/>
      <c r="AR1" s="290" t="n"/>
      <c r="AS1" s="290" t="n"/>
      <c r="AT1" s="290" t="n"/>
      <c r="AU1" s="290" t="n"/>
      <c r="AV1" s="290" t="n"/>
      <c r="AW1" s="290" t="n"/>
      <c r="AX1" s="290" t="n"/>
      <c r="AY1" s="290" t="n"/>
      <c r="AZ1" s="290" t="n"/>
      <c r="BA1" s="290" t="n"/>
      <c r="BB1" s="290" t="n"/>
      <c r="BC1" s="290" t="n"/>
      <c r="BD1" s="290" t="n"/>
      <c r="BE1" s="290" t="n"/>
      <c r="BF1" s="290" t="n"/>
      <c r="BG1" s="290" t="n"/>
      <c r="BH1" s="290" t="n"/>
      <c r="BI1" s="290" t="n"/>
      <c r="BJ1" s="290" t="n"/>
      <c r="BK1" s="290" t="n"/>
      <c r="BL1" s="290" t="n"/>
      <c r="BM1" s="290" t="n"/>
      <c r="BN1" s="290" t="n"/>
      <c r="BO1" s="290" t="n"/>
      <c r="BP1" s="290" t="n"/>
      <c r="BQ1" s="291" t="n"/>
    </row>
    <row r="2" ht="26.25" customHeight="1">
      <c r="A2" s="412" t="n"/>
      <c r="B2" s="24" t="inlineStr">
        <is>
          <t>Event Log</t>
        </is>
      </c>
      <c r="C2" s="167" t="n"/>
      <c r="D2" s="167" t="inlineStr">
        <is>
          <t>DE (1GDS)</t>
        </is>
      </c>
      <c r="E2" s="167" t="n"/>
      <c r="F2" s="167" t="inlineStr">
        <is>
          <t>DE (K B3/B4) (O)</t>
        </is>
      </c>
      <c r="G2" s="167" t="n"/>
      <c r="H2" s="167" t="n"/>
      <c r="I2" s="167" t="inlineStr">
        <is>
          <t>DE</t>
        </is>
      </c>
      <c r="J2" s="167" t="n"/>
      <c r="K2" s="167" t="n"/>
      <c r="L2" s="167" t="n"/>
      <c r="M2" s="167" t="n"/>
      <c r="N2" s="167" t="n"/>
      <c r="O2" s="167" t="n"/>
      <c r="P2" s="167" t="n"/>
      <c r="Q2" s="167" t="n"/>
      <c r="R2" s="167" t="n"/>
      <c r="S2" s="167" t="n"/>
      <c r="T2" s="168" t="n"/>
      <c r="U2" s="167" t="n"/>
      <c r="V2" s="293" t="n"/>
      <c r="W2" s="167" t="n"/>
      <c r="X2" s="167" t="n"/>
      <c r="Y2" s="167" t="n"/>
      <c r="Z2" s="167" t="n"/>
      <c r="AA2" s="294" t="n"/>
      <c r="AB2" s="167" t="n"/>
      <c r="AC2" s="167" t="n"/>
      <c r="AD2" s="167" t="n"/>
      <c r="AE2" s="167" t="n"/>
      <c r="AF2" s="167" t="n"/>
      <c r="AG2" s="167" t="n"/>
      <c r="AH2" s="258" t="n"/>
      <c r="AI2" s="218" t="n"/>
      <c r="AJ2" s="218" t="n"/>
      <c r="AK2" s="218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6" t="inlineStr">
        <is>
          <t>0.3125+0.0625+0.5
long+stay+pass12</t>
        </is>
      </c>
      <c r="BB2" s="296" t="n"/>
      <c r="BC2" s="296" t="inlineStr">
        <is>
          <t>0.3125+0.125
Long hr+aft 1730</t>
        </is>
      </c>
      <c r="BD2" s="296" t="n"/>
      <c r="BE2" s="296" t="inlineStr">
        <is>
          <t>0.125+0.125+0.0625
Bef 0730+Aft1730+stay</t>
        </is>
      </c>
      <c r="BF2" s="296" t="n"/>
      <c r="BG2" s="296" t="n"/>
      <c r="BH2" s="296" t="inlineStr">
        <is>
          <t>0.125
after 1730</t>
        </is>
      </c>
      <c r="BI2" s="296" t="n"/>
      <c r="BJ2" s="296" t="inlineStr">
        <is>
          <t>stay in+ bef 0730</t>
        </is>
      </c>
      <c r="BK2" s="296" t="n"/>
      <c r="BL2" s="296" t="n"/>
      <c r="BM2" s="296" t="n"/>
      <c r="BN2" s="295" t="n"/>
      <c r="BO2" s="295" t="n"/>
      <c r="BP2" s="295" t="n"/>
      <c r="BQ2" s="297" t="n"/>
    </row>
    <row r="3" ht="26.25" customHeight="1">
      <c r="A3" s="412" t="n"/>
      <c r="B3" s="24" t="inlineStr">
        <is>
          <t>Rostering</t>
        </is>
      </c>
      <c r="C3" s="419" t="n">
        <v>45839</v>
      </c>
      <c r="D3" s="414">
        <f>C3+1</f>
        <v/>
      </c>
      <c r="E3" s="414">
        <f>D3+1</f>
        <v/>
      </c>
      <c r="F3" s="414">
        <f>E3+1</f>
        <v/>
      </c>
      <c r="G3" s="414">
        <f>F3+1</f>
        <v/>
      </c>
      <c r="H3" s="414">
        <f>G3+1</f>
        <v/>
      </c>
      <c r="I3" s="414">
        <f>H3+1</f>
        <v/>
      </c>
      <c r="J3" s="414">
        <f>I3+1</f>
        <v/>
      </c>
      <c r="K3" s="414">
        <f>J3+1</f>
        <v/>
      </c>
      <c r="L3" s="414">
        <f>K3+1</f>
        <v/>
      </c>
      <c r="M3" s="414">
        <f>L3+1</f>
        <v/>
      </c>
      <c r="N3" s="414">
        <f>M3+1</f>
        <v/>
      </c>
      <c r="O3" s="414">
        <f>N3+1</f>
        <v/>
      </c>
      <c r="P3" s="414">
        <f>O3+1</f>
        <v/>
      </c>
      <c r="Q3" s="414">
        <f>P3+1</f>
        <v/>
      </c>
      <c r="R3" s="414">
        <f>Q3+1</f>
        <v/>
      </c>
      <c r="S3" s="414">
        <f>R3+1</f>
        <v/>
      </c>
      <c r="T3" s="417">
        <f>S3+1</f>
        <v/>
      </c>
      <c r="U3" s="414">
        <f>T3+1</f>
        <v/>
      </c>
      <c r="V3" s="420">
        <f>U3+1</f>
        <v/>
      </c>
      <c r="W3" s="414">
        <f>V3+1</f>
        <v/>
      </c>
      <c r="X3" s="414">
        <f>W3+1</f>
        <v/>
      </c>
      <c r="Y3" s="414">
        <f>X3+1</f>
        <v/>
      </c>
      <c r="Z3" s="414">
        <f>Y3+1</f>
        <v/>
      </c>
      <c r="AA3" s="414">
        <f>Z3+1</f>
        <v/>
      </c>
      <c r="AB3" s="414">
        <f>AA3+1</f>
        <v/>
      </c>
      <c r="AC3" s="414">
        <f>AB3+1</f>
        <v/>
      </c>
      <c r="AD3" s="414">
        <f>AC3+1</f>
        <v/>
      </c>
      <c r="AE3" s="414">
        <f>AD3+1</f>
        <v/>
      </c>
      <c r="AF3" s="414">
        <f>AE3+1</f>
        <v/>
      </c>
      <c r="AG3" s="417">
        <f>AF3+1</f>
        <v/>
      </c>
      <c r="AH3" s="414">
        <f>AG3+1</f>
        <v/>
      </c>
      <c r="AI3" s="221">
        <f>'Setting key Duty'!$C7</f>
        <v/>
      </c>
      <c r="AJ3" s="222">
        <f>'Setting key Duty'!$C8</f>
        <v/>
      </c>
      <c r="AK3" s="223">
        <f>'Setting key Duty'!$C9</f>
        <v/>
      </c>
      <c r="AL3" s="302">
        <f>'Setting key Duty'!$C11</f>
        <v/>
      </c>
      <c r="AM3" s="302">
        <f>'Setting key Duty'!$C12</f>
        <v/>
      </c>
      <c r="AN3" s="302">
        <f>'Setting key Duty'!$C13</f>
        <v/>
      </c>
      <c r="AO3" s="302">
        <f>'Setting key Duty'!C14</f>
        <v/>
      </c>
      <c r="AP3" s="223" t="n"/>
      <c r="AQ3" s="223" t="inlineStr">
        <is>
          <t>Weekday Duty</t>
        </is>
      </c>
      <c r="AR3" s="223" t="inlineStr">
        <is>
          <t>Weekday Extra</t>
        </is>
      </c>
      <c r="AS3" s="223" t="inlineStr">
        <is>
          <t>Weekend Duty</t>
        </is>
      </c>
      <c r="AT3" s="223" t="inlineStr">
        <is>
          <t>Weekend Extra</t>
        </is>
      </c>
      <c r="AU3" s="223" t="inlineStr">
        <is>
          <t>Duty Point</t>
        </is>
      </c>
      <c r="AV3" s="223" t="inlineStr">
        <is>
          <t>Total Duty</t>
        </is>
      </c>
      <c r="AW3" s="223" t="inlineStr">
        <is>
          <t>Total Cover</t>
        </is>
      </c>
      <c r="AX3" s="223" t="inlineStr">
        <is>
          <t>Total Point</t>
        </is>
      </c>
      <c r="AY3" s="223" t="inlineStr">
        <is>
          <t>Total Cover
Point</t>
        </is>
      </c>
      <c r="AZ3" s="223" t="inlineStr">
        <is>
          <t>Bedok RT</t>
        </is>
      </c>
      <c r="BA3" s="302" t="inlineStr">
        <is>
          <t>BTP</t>
        </is>
      </c>
      <c r="BB3" s="302" t="inlineStr">
        <is>
          <t>$BTP
Point</t>
        </is>
      </c>
      <c r="BC3" s="302" t="inlineStr">
        <is>
          <t>Long Cover</t>
        </is>
      </c>
      <c r="BD3" s="302" t="inlineStr">
        <is>
          <t>$L
Point</t>
        </is>
      </c>
      <c r="BE3" s="302" t="inlineStr">
        <is>
          <t>Mid Cover</t>
        </is>
      </c>
      <c r="BF3" s="302" t="inlineStr">
        <is>
          <t>$M 
Point</t>
        </is>
      </c>
      <c r="BG3" s="302" t="inlineStr">
        <is>
          <t>Cover
 Normal Hour</t>
        </is>
      </c>
      <c r="BH3" s="302" t="inlineStr">
        <is>
          <t>Cover
After Hour</t>
        </is>
      </c>
      <c r="BI3" s="302" t="inlineStr">
        <is>
          <t>$PM
Point</t>
        </is>
      </c>
      <c r="BJ3" s="302" t="inlineStr">
        <is>
          <t>Cover
Early</t>
        </is>
      </c>
      <c r="BK3" s="302" t="inlineStr">
        <is>
          <t>$AM
Point</t>
        </is>
      </c>
      <c r="BL3" s="302">
        <f>'Setting key Duty'!C52</f>
        <v/>
      </c>
      <c r="BM3" s="302" t="inlineStr">
        <is>
          <t>$FC
Point</t>
        </is>
      </c>
      <c r="BN3" s="302">
        <f>'Setting key Duty'!$C15</f>
        <v/>
      </c>
      <c r="BO3" s="302">
        <f>'Setting key Duty'!C17</f>
        <v/>
      </c>
      <c r="BP3" s="302">
        <f>'Setting key Duty'!$C22</f>
        <v/>
      </c>
      <c r="BQ3" s="297" t="n"/>
    </row>
    <row r="4" ht="18" customHeight="1">
      <c r="A4" s="303" t="n"/>
      <c r="B4" s="260" t="inlineStr">
        <is>
          <t>Updated on: 26/10/2022</t>
        </is>
      </c>
      <c r="C4" s="418">
        <f>TEXT(C3,"ddd")</f>
        <v/>
      </c>
      <c r="D4" s="415">
        <f>TEXT(D3,"ddd")</f>
        <v/>
      </c>
      <c r="E4" s="415">
        <f>TEXT(E3,"ddd")</f>
        <v/>
      </c>
      <c r="F4" s="415">
        <f>TEXT(F3,"ddd")</f>
        <v/>
      </c>
      <c r="G4" s="415">
        <f>TEXT(G3,"ddd")</f>
        <v/>
      </c>
      <c r="H4" s="415">
        <f>TEXT(H3,"ddd")</f>
        <v/>
      </c>
      <c r="I4" s="415">
        <f>TEXT(I3,"ddd")</f>
        <v/>
      </c>
      <c r="J4" s="415">
        <f>TEXT(J3,"ddd")</f>
        <v/>
      </c>
      <c r="K4" s="415">
        <f>TEXT(K3,"ddd")</f>
        <v/>
      </c>
      <c r="L4" s="415">
        <f>TEXT(L3,"ddd")</f>
        <v/>
      </c>
      <c r="M4" s="415">
        <f>TEXT(M3,"ddd")</f>
        <v/>
      </c>
      <c r="N4" s="415">
        <f>TEXT(N3,"ddd")</f>
        <v/>
      </c>
      <c r="O4" s="415">
        <f>TEXT(O3,"ddd")</f>
        <v/>
      </c>
      <c r="P4" s="415">
        <f>TEXT(P3,"ddd")</f>
        <v/>
      </c>
      <c r="Q4" s="415">
        <f>TEXT(Q3,"ddd")</f>
        <v/>
      </c>
      <c r="R4" s="415">
        <f>TEXT(R3,"ddd")</f>
        <v/>
      </c>
      <c r="S4" s="415">
        <f>TEXT(S3,"ddd")</f>
        <v/>
      </c>
      <c r="T4" s="418">
        <f>TEXT(T3,"ddd")</f>
        <v/>
      </c>
      <c r="U4" s="415">
        <f>TEXT(U3,"ddd")</f>
        <v/>
      </c>
      <c r="V4" s="421">
        <f>TEXT(V3,"ddd")</f>
        <v/>
      </c>
      <c r="W4" s="415">
        <f>TEXT(W3,"ddd")</f>
        <v/>
      </c>
      <c r="X4" s="415">
        <f>TEXT(X3,"ddd")</f>
        <v/>
      </c>
      <c r="Y4" s="415">
        <f>TEXT(Y3,"ddd")</f>
        <v/>
      </c>
      <c r="Z4" s="415">
        <f>TEXT(Z3,"ddd")</f>
        <v/>
      </c>
      <c r="AA4" s="415">
        <f>TEXT(AA3,"ddd")</f>
        <v/>
      </c>
      <c r="AB4" s="415">
        <f>TEXT(AB3,"ddd")</f>
        <v/>
      </c>
      <c r="AC4" s="415">
        <f>TEXT(AC3,"ddd")</f>
        <v/>
      </c>
      <c r="AD4" s="415">
        <f>TEXT(AD3,"ddd")</f>
        <v/>
      </c>
      <c r="AE4" s="415">
        <f>TEXT(AE3,"ddd")</f>
        <v/>
      </c>
      <c r="AF4" s="415">
        <f>TEXT(AF3,"ddd")</f>
        <v/>
      </c>
      <c r="AG4" s="418">
        <f>TEXT(AG3,"ddd")</f>
        <v/>
      </c>
      <c r="AH4" s="415">
        <f>TEXT(AH3,"ddd")</f>
        <v/>
      </c>
      <c r="AI4" s="227">
        <f>'Setting key Duty'!$B7</f>
        <v/>
      </c>
      <c r="AJ4" s="228">
        <f>'Setting key Duty'!$B8</f>
        <v/>
      </c>
      <c r="AK4" s="229">
        <f>'Setting key Duty'!$B9</f>
        <v/>
      </c>
      <c r="AL4" s="307">
        <f>'Setting key Duty'!$B11</f>
        <v/>
      </c>
      <c r="AM4" s="307">
        <f>'Setting key Duty'!$B12</f>
        <v/>
      </c>
      <c r="AN4" s="307">
        <f>'Setting key Duty'!$B13</f>
        <v/>
      </c>
      <c r="AO4" s="307">
        <f>'Setting key Duty'!B14</f>
        <v/>
      </c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inlineStr">
        <is>
          <t>BRT</t>
        </is>
      </c>
      <c r="BA4" s="307" t="inlineStr">
        <is>
          <t>$BTP</t>
        </is>
      </c>
      <c r="BB4" s="307" t="n"/>
      <c r="BC4" s="307" t="inlineStr">
        <is>
          <t>$L</t>
        </is>
      </c>
      <c r="BD4" s="307" t="n"/>
      <c r="BE4" s="307" t="inlineStr">
        <is>
          <t>$M</t>
        </is>
      </c>
      <c r="BF4" s="307" t="n"/>
      <c r="BG4" s="307" t="inlineStr">
        <is>
          <t>$N</t>
        </is>
      </c>
      <c r="BH4" s="307" t="inlineStr">
        <is>
          <t>$PM</t>
        </is>
      </c>
      <c r="BI4" s="307" t="n"/>
      <c r="BJ4" s="307" t="inlineStr">
        <is>
          <t>$AM</t>
        </is>
      </c>
      <c r="BK4" s="307" t="n"/>
      <c r="BL4" s="307">
        <f>'Setting key Duty'!B52</f>
        <v/>
      </c>
      <c r="BM4" s="307" t="n"/>
      <c r="BN4" s="307">
        <f>'Setting key Duty'!$B15</f>
        <v/>
      </c>
      <c r="BO4" s="307">
        <f>'Setting key Duty'!B17</f>
        <v/>
      </c>
      <c r="BP4" s="307">
        <f>'Setting key Duty'!$B22</f>
        <v/>
      </c>
      <c r="BQ4" s="308" t="n"/>
    </row>
    <row r="5" ht="19.5" customHeight="1">
      <c r="A5" s="309" t="n"/>
      <c r="B5" s="310" t="inlineStr">
        <is>
          <t>LCP MUHAMAD LUTFIL AL-HADI</t>
        </is>
      </c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7" t="n"/>
      <c r="N5" s="197" t="n"/>
      <c r="O5" s="197" t="n"/>
      <c r="P5" s="197" t="n"/>
      <c r="Q5" s="197" t="n"/>
      <c r="R5" s="197" t="inlineStr">
        <is>
          <t>AMPT</t>
        </is>
      </c>
      <c r="S5" s="197" t="n"/>
      <c r="T5" s="197" t="n"/>
      <c r="U5" s="197" t="n"/>
      <c r="V5" s="200" t="n"/>
      <c r="W5" s="197" t="n"/>
      <c r="X5" s="197" t="n"/>
      <c r="Y5" s="197" t="n"/>
      <c r="Z5" s="197" t="n"/>
      <c r="AA5" s="197" t="n"/>
      <c r="AB5" s="197" t="n"/>
      <c r="AC5" s="197" t="n"/>
      <c r="AD5" s="197" t="n"/>
      <c r="AE5" s="197" t="n"/>
      <c r="AF5" s="197" t="n"/>
      <c r="AG5" s="197" t="n"/>
      <c r="AH5" s="197" t="n"/>
      <c r="AI5" s="311" t="n"/>
      <c r="AJ5" s="312" t="n"/>
      <c r="AK5" s="311" t="n"/>
      <c r="AL5" s="313" t="n"/>
      <c r="AM5" s="313" t="n"/>
      <c r="AN5" s="313" t="n"/>
      <c r="AO5" s="313" t="n"/>
      <c r="AP5" s="238" t="n"/>
      <c r="AQ5" s="313">
        <f>SUMPRODUCT(--WEEKDAY(C$3:AG$3,2)&lt;6,--((C5:AG5="DM"))+(C5:AG5="CS1")+((C5:AG5="CS2"))+(C5:AG5="SB1")+(C5:AG5="AE")+(C5:AG5="EM"))</f>
        <v/>
      </c>
      <c r="AR5" s="238" t="n"/>
      <c r="AS5" s="238">
        <f>SUMPRODUCT(--WEEKDAY(C$3:AG$3,2)&gt;5,--((C5:AG5="DM"))+(C5:AG5="CS1")+((C5:AG5="CS2"))+(C5:AG5="SB1")+(C5:AG5="AE")+(C5:AG5="EM"))</f>
        <v/>
      </c>
      <c r="AT5" s="238" t="n"/>
      <c r="AU5" s="238">
        <f>(AQ5-AR5)/2+(AS5-AT5)</f>
        <v/>
      </c>
      <c r="AV5" s="238">
        <f>AI5+AJ5+AK5+AL5+AN5+AO5</f>
        <v/>
      </c>
      <c r="AW5" s="238">
        <f>BG5+BH5+BJ5+BE5+BC5+BA5+BL5</f>
        <v/>
      </c>
      <c r="AX5" s="238">
        <f>AU5+$AY$11</f>
        <v/>
      </c>
      <c r="AY5" s="313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/>
      </c>
      <c r="AZ5" s="313">
        <f>COUNTIF(D5:AA5,"*BRT*")</f>
        <v/>
      </c>
      <c r="BA5" s="313">
        <f>COUNTIF(A5:AI5,"*$BTP*")</f>
        <v/>
      </c>
      <c r="BB5" s="313">
        <f>BA5*('Setting key Duty'!$I$13+'Setting key Duty'!$I$12+'Setting key Duty'!$I$11)</f>
        <v/>
      </c>
      <c r="BC5" s="313">
        <f>COUNTIF(A5:AI5,"*$L*")</f>
        <v/>
      </c>
      <c r="BD5" s="313">
        <f>BC5*('Setting key Duty'!$I$13+'Setting key Duty'!$I$9)</f>
        <v/>
      </c>
      <c r="BE5" s="313">
        <f>COUNTIF(A5:AI5,"*$M*")</f>
        <v/>
      </c>
      <c r="BF5" s="313">
        <f>BE5*('Setting key Duty'!$I$8+'Setting key Duty'!$I$9+'Setting key Duty'!$I$12)</f>
        <v/>
      </c>
      <c r="BG5" s="313">
        <f>COUNTIF(AI5,"*$N*")</f>
        <v/>
      </c>
      <c r="BH5" s="313">
        <f>COUNTIF(AI5,"*$PM*")</f>
        <v/>
      </c>
      <c r="BI5" s="313">
        <f>BH5*('Setting key Duty'!$I$9)</f>
        <v/>
      </c>
      <c r="BJ5" s="313">
        <f>COUNTIF(A5:AI5,"*$AM*")</f>
        <v/>
      </c>
      <c r="BK5" s="313">
        <f>BJ5*('Setting key Duty'!$I$12+'Setting key Duty'!$I$8)</f>
        <v/>
      </c>
      <c r="BL5" s="313">
        <f>COUNTIF(D5:AI5,"*$FC*")</f>
        <v/>
      </c>
      <c r="BM5" s="313">
        <f>BL5*('Setting key Duty'!$J$11+'Setting key Duty'!$I$8)</f>
        <v/>
      </c>
      <c r="BN5" s="313">
        <f>COUNTIF($D5:$AA5,BN$4)</f>
        <v/>
      </c>
      <c r="BO5" s="313">
        <f>COUNTIF($D5:$AA5,BO$4)</f>
        <v/>
      </c>
      <c r="BP5" s="313">
        <f>COUNTIF($D5:$AA5,BP$4)</f>
        <v/>
      </c>
      <c r="BQ5" s="314" t="n"/>
    </row>
    <row r="6" ht="36" customHeight="1">
      <c r="A6" s="309" t="n"/>
      <c r="B6" s="315" t="inlineStr">
        <is>
          <t>CPL MUHAMMAD IZZAN RIZAL</t>
        </is>
      </c>
      <c r="C6" s="316" t="n"/>
      <c r="D6" s="197" t="n"/>
      <c r="E6" s="197" t="n"/>
      <c r="F6" s="197" t="n"/>
      <c r="G6" s="197" t="n"/>
      <c r="H6" s="197" t="n"/>
      <c r="I6" s="197" t="n"/>
      <c r="J6" s="197" t="n"/>
      <c r="K6" s="317" t="n"/>
      <c r="L6" s="317" t="n"/>
      <c r="M6" s="197" t="n"/>
      <c r="N6" s="197" t="inlineStr">
        <is>
          <t>SB1</t>
        </is>
      </c>
      <c r="O6" s="197" t="n"/>
      <c r="P6" s="318" t="inlineStr">
        <is>
          <t>MSP REHEARSAL</t>
        </is>
      </c>
      <c r="Q6" s="318" t="inlineStr">
        <is>
          <t>MSP REHEARSAL</t>
        </is>
      </c>
      <c r="R6" s="197" t="inlineStr">
        <is>
          <t>GOOD FRIDAY OFF</t>
        </is>
      </c>
      <c r="S6" s="197" t="n"/>
      <c r="T6" s="318" t="inlineStr">
        <is>
          <t>MSP</t>
        </is>
      </c>
      <c r="U6" s="197" t="n"/>
      <c r="V6" s="200" t="n"/>
      <c r="W6" s="197" t="n"/>
      <c r="X6" s="197" t="n"/>
      <c r="Y6" s="197" t="n"/>
      <c r="Z6" s="197" t="inlineStr">
        <is>
          <t>AL</t>
        </is>
      </c>
      <c r="AA6" s="197" t="inlineStr">
        <is>
          <t>AL</t>
        </is>
      </c>
      <c r="AB6" s="197" t="n"/>
      <c r="AC6" s="197" t="n"/>
      <c r="AD6" s="197" t="n"/>
      <c r="AE6" s="197" t="n"/>
      <c r="AF6" s="106" t="n"/>
      <c r="AG6" s="197" t="inlineStr">
        <is>
          <t>AL</t>
        </is>
      </c>
      <c r="AH6" s="197" t="inlineStr">
        <is>
          <t>AL</t>
        </is>
      </c>
      <c r="AI6" s="311">
        <f>COUNTIF($D6:$AE6,AI$4)</f>
        <v/>
      </c>
      <c r="AJ6" s="312">
        <f>COUNTIF($D6:$AE6,AJ$4)</f>
        <v/>
      </c>
      <c r="AK6" s="311">
        <f>COUNTIF($D6:$AE6,AK$4)</f>
        <v/>
      </c>
      <c r="AL6" s="313">
        <f>COUNTIF($D6:$AE6,AL$4)</f>
        <v/>
      </c>
      <c r="AM6" s="313">
        <f>COUNTIF($D6:$AE6,AM$4)</f>
        <v/>
      </c>
      <c r="AN6" s="313">
        <f>COUNTIF($D6:$AE6,AN$4)</f>
        <v/>
      </c>
      <c r="AO6" s="313">
        <f>COUNTIF($D6:$AE6,AO$4)</f>
        <v/>
      </c>
      <c r="AP6" s="238" t="n"/>
      <c r="AQ6" s="313">
        <f>SUMPRODUCT(--WEEKDAY(C$3:AG$3,2)&lt;6,--((C6:AG6="DM"))+(C6:AG6="CS1")+((C6:AG6="CS2"))+(C6:AG6="SB1")+(C6:AG6="AE")+(C6:AG6="EM"))</f>
        <v/>
      </c>
      <c r="AR6" s="238" t="n"/>
      <c r="AS6" s="238">
        <f>SUMPRODUCT(--WEEKDAY(C$3:AG$3,2)&gt;5,--((C6:AG6="DM"))+(C6:AG6="CS1")+((C6:AG6="CS2"))+(C6:AG6="SB1")+(C6:AG6="AE")+(C6:AG6="EM"))</f>
        <v/>
      </c>
      <c r="AT6" s="238" t="n"/>
      <c r="AU6" s="238">
        <f>(AQ6-AR6)/2+(AS6-AT6)</f>
        <v/>
      </c>
      <c r="AV6" s="238">
        <f>AI6+AJ6+AK6+AL6+AN6+AO6</f>
        <v/>
      </c>
      <c r="AW6" s="238">
        <f>AU6+AY6</f>
        <v/>
      </c>
      <c r="AX6" s="238">
        <f>AU6+AY6</f>
        <v/>
      </c>
      <c r="AY6" s="313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/>
      </c>
      <c r="AZ6" s="313">
        <f>COUNTIF(D6:AE6,"*BRT*")</f>
        <v/>
      </c>
      <c r="BA6" s="313">
        <f>COUNTIF(A6:AI6,"*$BTP*")</f>
        <v/>
      </c>
      <c r="BB6" s="313">
        <f>BA6*('Setting key Duty'!$I$13+'Setting key Duty'!$I$12+'Setting key Duty'!$I$11)</f>
        <v/>
      </c>
      <c r="BC6" s="313">
        <f>COUNTIF(A6:AI6,"*$L*")</f>
        <v/>
      </c>
      <c r="BD6" s="313">
        <f>BC6*('Setting key Duty'!$I$13+'Setting key Duty'!$I$9)</f>
        <v/>
      </c>
      <c r="BE6" s="313">
        <f>COUNTIF(A6:AI6,"*$M*")</f>
        <v/>
      </c>
      <c r="BF6" s="313">
        <f>BE6*('Setting key Duty'!$I$8+'Setting key Duty'!$I$9+'Setting key Duty'!$I$12)</f>
        <v/>
      </c>
      <c r="BG6" s="313">
        <f>COUNTIF(AE6:AI6,"*$N*")</f>
        <v/>
      </c>
      <c r="BH6" s="313">
        <f>COUNTIF(AE6:AI6,"*$PM*")</f>
        <v/>
      </c>
      <c r="BI6" s="313">
        <f>BH6*('Setting key Duty'!$I$9)</f>
        <v/>
      </c>
      <c r="BJ6" s="313">
        <f>COUNTIF(A6:AI6,"*$AM*")</f>
        <v/>
      </c>
      <c r="BK6" s="313">
        <f>BJ6*('Setting key Duty'!$I$12+'Setting key Duty'!$I$8)</f>
        <v/>
      </c>
      <c r="BL6" s="313">
        <f>COUNTIF(D6:AI6,"*$FC*")</f>
        <v/>
      </c>
      <c r="BM6" s="313">
        <f>BL6*('Setting key Duty'!$J$11+'Setting key Duty'!$I$8)</f>
        <v/>
      </c>
      <c r="BN6" s="313">
        <f>COUNTIF($D6:$AE6,BN$4)</f>
        <v/>
      </c>
      <c r="BO6" s="313">
        <f>COUNTIF($D6:$AE6,BO$4)</f>
        <v/>
      </c>
      <c r="BP6" s="313">
        <f>COUNTIF($D6:$AE6,BP$4)</f>
        <v/>
      </c>
      <c r="BQ6" s="314" t="n"/>
    </row>
    <row r="7" ht="36" customHeight="1">
      <c r="A7" s="309" t="n"/>
      <c r="B7" s="319" t="inlineStr">
        <is>
          <t xml:space="preserve">PTE GERALD TAN </t>
        </is>
      </c>
      <c r="C7" s="283" t="inlineStr">
        <is>
          <t>MA</t>
        </is>
      </c>
      <c r="D7" s="197" t="n"/>
      <c r="E7" s="197" t="n"/>
      <c r="F7" s="197" t="inlineStr">
        <is>
          <t>EMSA BRIEF @NSC</t>
        </is>
      </c>
      <c r="G7" s="197" t="n"/>
      <c r="H7" s="197" t="n"/>
      <c r="I7" s="197" t="n"/>
      <c r="J7" s="197" t="n"/>
      <c r="K7" s="320" t="n"/>
      <c r="L7" s="317" t="n"/>
      <c r="M7" s="283" t="inlineStr">
        <is>
          <t>MA</t>
        </is>
      </c>
      <c r="N7" s="197" t="n"/>
      <c r="O7" s="197" t="n"/>
      <c r="P7" s="318" t="n"/>
      <c r="Q7" s="318" t="n"/>
      <c r="R7" s="197" t="n"/>
      <c r="S7" s="197" t="n"/>
      <c r="T7" s="318" t="n"/>
      <c r="U7" s="197" t="n"/>
      <c r="V7" s="200" t="n"/>
      <c r="W7" s="197" t="n"/>
      <c r="X7" s="197" t="n"/>
      <c r="Y7" s="197" t="n"/>
      <c r="Z7" s="321" t="n"/>
      <c r="AA7" s="197" t="n"/>
      <c r="AB7" s="197" t="n"/>
      <c r="AC7" s="197" t="n"/>
      <c r="AD7" s="197" t="n"/>
      <c r="AE7" s="283" t="n"/>
      <c r="AF7" s="106" t="n"/>
      <c r="AG7" s="197" t="n"/>
      <c r="AH7" s="197" t="n"/>
      <c r="AI7" s="311" t="n"/>
      <c r="AJ7" s="312" t="n"/>
      <c r="AK7" s="311" t="n"/>
      <c r="AL7" s="313" t="n"/>
      <c r="AM7" s="313" t="n"/>
      <c r="AN7" s="313" t="n"/>
      <c r="AO7" s="313" t="n"/>
      <c r="AP7" s="238" t="n"/>
      <c r="AQ7" s="313" t="n"/>
      <c r="AR7" s="238" t="n"/>
      <c r="AS7" s="238" t="n"/>
      <c r="AT7" s="238" t="n"/>
      <c r="AU7" s="238" t="n"/>
      <c r="AV7" s="238" t="n"/>
      <c r="AW7" s="238" t="n"/>
      <c r="AX7" s="238" t="n"/>
      <c r="AY7" s="313" t="n"/>
      <c r="AZ7" s="313" t="n"/>
      <c r="BA7" s="313" t="n"/>
      <c r="BB7" s="313" t="n"/>
      <c r="BC7" s="313" t="n"/>
      <c r="BD7" s="313" t="n"/>
      <c r="BE7" s="313" t="n"/>
      <c r="BF7" s="313" t="n"/>
      <c r="BG7" s="313" t="n"/>
      <c r="BH7" s="313" t="n"/>
      <c r="BI7" s="313" t="n"/>
      <c r="BJ7" s="313" t="n"/>
      <c r="BK7" s="313" t="n"/>
      <c r="BL7" s="313" t="n"/>
      <c r="BM7" s="313" t="n"/>
      <c r="BN7" s="313" t="n"/>
      <c r="BO7" s="313" t="n"/>
      <c r="BP7" s="313" t="n"/>
      <c r="BQ7" s="314" t="n"/>
    </row>
    <row r="8" ht="19.5" customHeight="1">
      <c r="A8" s="309" t="n"/>
      <c r="B8" s="322" t="inlineStr">
        <is>
          <t>CPL KARTHIKRAM KRISHNAN</t>
        </is>
      </c>
      <c r="D8" s="197" t="n"/>
      <c r="E8" s="197" t="inlineStr">
        <is>
          <t>HARI RAYA OIL</t>
        </is>
      </c>
      <c r="F8" s="197" t="n"/>
      <c r="G8" s="317" t="n"/>
      <c r="H8" s="197" t="n"/>
      <c r="I8" s="197" t="inlineStr">
        <is>
          <t>WISDOM SURGERY</t>
        </is>
      </c>
      <c r="J8" s="197" t="n"/>
      <c r="L8" s="197" t="n"/>
      <c r="M8" s="197" t="n"/>
      <c r="N8" s="197" t="inlineStr">
        <is>
          <t>DM</t>
        </is>
      </c>
      <c r="O8" s="197" t="n"/>
      <c r="P8" s="318" t="inlineStr">
        <is>
          <t>MSP REHEARSAL</t>
        </is>
      </c>
      <c r="Q8" s="318" t="inlineStr">
        <is>
          <t>MSP REHEARSAL</t>
        </is>
      </c>
      <c r="R8" s="197" t="n"/>
      <c r="S8" s="197" t="n"/>
      <c r="T8" s="318" t="inlineStr">
        <is>
          <t>MSP</t>
        </is>
      </c>
      <c r="U8" s="197" t="n"/>
      <c r="V8" s="200" t="n"/>
      <c r="W8" s="197" t="n"/>
      <c r="X8" s="197" t="n"/>
      <c r="Y8" s="197" t="n"/>
      <c r="Z8" s="321" t="n"/>
      <c r="AA8" s="197" t="n"/>
      <c r="AB8" s="197" t="n"/>
      <c r="AC8" s="197" t="n"/>
      <c r="AD8" s="197" t="n"/>
      <c r="AF8" s="197" t="n"/>
      <c r="AG8" s="197" t="n"/>
      <c r="AH8" s="197" t="n"/>
      <c r="AI8" s="311">
        <f>COUNTIF(#REF!,AI$4)</f>
        <v/>
      </c>
      <c r="AJ8" s="312">
        <f>COUNTIF(#REF!,AJ$4)</f>
        <v/>
      </c>
      <c r="AK8" s="311">
        <f>COUNTIF(#REF!,AK$4)</f>
        <v/>
      </c>
      <c r="AL8" s="313">
        <f>COUNTIF(#REF!,AL$4)</f>
        <v/>
      </c>
      <c r="AM8" s="313">
        <f>COUNTIF(#REF!,AM$4)</f>
        <v/>
      </c>
      <c r="AN8" s="313">
        <f>COUNTIF(#REF!,AN$4)</f>
        <v/>
      </c>
      <c r="AO8" s="313">
        <f>COUNTIF(#REF!,AO$4)</f>
        <v/>
      </c>
      <c r="AP8" s="238" t="n"/>
      <c r="AQ8" s="313">
        <f>SUMPRODUCT(--WEEKDAY(C$3:AG$3,2)&lt;6,--((C8:AG8="DM"))+(C8:AG8="CS1")+((C8:AG8="CS2"))+(C8:AG8="SB1")+(C8:AG8="AE")+(C8:AG8="EM"))</f>
        <v/>
      </c>
      <c r="AR8" s="238" t="n"/>
      <c r="AS8" s="238">
        <f>SUMPRODUCT(--WEEKDAY(C$3:AG$3,2)&gt;5,--((C8:AG8="DM"))+(C8:AG8="CS1")+((C8:AG8="CS2"))+(C8:AG8="SB1")+(C8:AG8="AE")+(C8:AG8="EM"))</f>
        <v/>
      </c>
      <c r="AT8" s="238" t="n"/>
      <c r="AU8" s="238">
        <f>(AQ8-AR8)/2+(AS8-AT8)</f>
        <v/>
      </c>
      <c r="AV8" s="238">
        <f>AI8+AJ8+AK8+AL8+AN8+AO8</f>
        <v/>
      </c>
      <c r="AW8" s="238">
        <f>BG8+BH8+BJ8+BE8+BC8+BA8+BL8</f>
        <v/>
      </c>
      <c r="AX8" s="238">
        <f>AU8+AY8</f>
        <v/>
      </c>
      <c r="AY8" s="313">
        <f>(BJ8*('Setting key Duty'!$I$8+'Setting key Duty'!$I$12))+(BH8*'Setting key Duty'!$I$9)+(BC8*('Setting key Duty'!$I$13+'Setting key Duty'!$I$9))+(BA8*('Setting key Duty'!$I$13+'Setting key Duty'!$I$12+'Setting key Duty'!$I$11))+(BE8*('Setting key Duty'!$I$8+'Setting key Duty'!$I$9+'Setting key Duty'!$I$12))</f>
        <v/>
      </c>
      <c r="AZ8" s="313">
        <f>COUNTIF(#REF!,"*BRT*")</f>
        <v/>
      </c>
      <c r="BA8" s="313">
        <f>COUNTIF(A8:AI8,"*$BTP*")</f>
        <v/>
      </c>
      <c r="BB8" s="313">
        <f>BA8*('Setting key Duty'!$I$13+'Setting key Duty'!$I$12+'Setting key Duty'!$I$11)</f>
        <v/>
      </c>
      <c r="BC8" s="313">
        <f>COUNTIF(A8:AI8,"*$L*")</f>
        <v/>
      </c>
      <c r="BD8" s="313">
        <f>BC8*('Setting key Duty'!$I$13+'Setting key Duty'!$I$9)</f>
        <v/>
      </c>
      <c r="BE8" s="313">
        <f>COUNTIF(A8:AI8,"*$M*")</f>
        <v/>
      </c>
      <c r="BF8" s="313">
        <f>BE8*('Setting key Duty'!$I$8+'Setting key Duty'!$I$9+'Setting key Duty'!$I$12)</f>
        <v/>
      </c>
      <c r="BG8" s="313">
        <f>COUNTIF(A8:AI8,"*$N*")</f>
        <v/>
      </c>
      <c r="BH8" s="313">
        <f>COUNTIF(AF8:AI8,"*$PM*")</f>
        <v/>
      </c>
      <c r="BI8" s="313">
        <f>BH8*('Setting key Duty'!$I$9)</f>
        <v/>
      </c>
      <c r="BJ8" s="313">
        <f>COUNTIF(A8:AI8,"*$AM*")</f>
        <v/>
      </c>
      <c r="BK8" s="313">
        <f>BJ8*('Setting key Duty'!$I$12+'Setting key Duty'!$I$8)</f>
        <v/>
      </c>
      <c r="BL8" s="313">
        <f>COUNTIF(D8:AI8,"*$FC*")</f>
        <v/>
      </c>
      <c r="BM8" s="313">
        <f>BL8*('Setting key Duty'!$J$11+'Setting key Duty'!$I$8)</f>
        <v/>
      </c>
      <c r="BN8" s="313">
        <f>COUNTIF(#REF!,BN$4)</f>
        <v/>
      </c>
      <c r="BO8" s="313">
        <f>COUNTIF(#REF!,BO$4)</f>
        <v/>
      </c>
      <c r="BP8" s="313">
        <f>COUNTIF(#REF!,BP$4)</f>
        <v/>
      </c>
      <c r="BQ8" s="314" t="n"/>
    </row>
    <row r="9" ht="19.5" customHeight="1">
      <c r="A9" s="309" t="n"/>
      <c r="B9" s="323" t="inlineStr">
        <is>
          <t>CPL MUHAMMAD AQIL BIN ABDULLAH</t>
        </is>
      </c>
      <c r="C9" s="197" t="n"/>
      <c r="D9" s="197" t="n"/>
      <c r="E9" s="197" t="n"/>
      <c r="F9" s="197" t="n"/>
      <c r="G9" s="197" t="n"/>
      <c r="H9" s="324" t="n"/>
      <c r="I9" s="197" t="n"/>
      <c r="J9" s="197" t="n"/>
      <c r="K9" s="321" t="n"/>
      <c r="L9" s="321" t="n"/>
      <c r="M9" s="321" t="n"/>
      <c r="N9" s="321" t="n"/>
      <c r="O9" s="325" t="n"/>
      <c r="R9" s="321" t="n"/>
      <c r="S9" s="321" t="n"/>
      <c r="T9" s="321" t="n"/>
      <c r="U9" s="321" t="n"/>
      <c r="V9" s="326" t="n"/>
      <c r="W9" s="321" t="n"/>
      <c r="X9" s="321" t="n"/>
      <c r="Y9" s="321" t="n"/>
      <c r="Z9" s="321" t="n"/>
      <c r="AA9" s="321" t="n"/>
      <c r="AB9" s="321" t="n"/>
      <c r="AC9" s="321" t="n"/>
      <c r="AD9" s="321" t="n"/>
      <c r="AE9" s="321" t="n"/>
      <c r="AF9" s="321" t="n"/>
      <c r="AG9" s="321" t="n"/>
      <c r="AH9" s="321" t="n"/>
      <c r="AI9" s="311" t="n"/>
      <c r="AJ9" s="312" t="n"/>
      <c r="AK9" s="311" t="n"/>
      <c r="AL9" s="313" t="n"/>
      <c r="AM9" s="313" t="n"/>
      <c r="AN9" s="313" t="n"/>
      <c r="AO9" s="313" t="n"/>
      <c r="AP9" s="238" t="n"/>
      <c r="AQ9" s="313">
        <f>SUMPRODUCT(--WEEKDAY(C$3:AG$3,2)&lt;6,--((C9:AG9="DM"))+(C9:AG9="CS1")+((C9:AG9="CS2"))+(C9:AG9="SB1")+(C9:AG9="AE")+(C9:AG9="EM"))</f>
        <v/>
      </c>
      <c r="AR9" s="238" t="n"/>
      <c r="AS9" s="238">
        <f>SUMPRODUCT(--WEEKDAY(C$3:AG$3,2)&gt;5,--((C9:AG9="DM"))+(C9:AG9="CS1")+((C9:AG9="CS2"))+(C9:AG9="SB1")+(C9:AG9="AE")+(C9:AG9="EM"))</f>
        <v/>
      </c>
      <c r="AT9" s="238" t="n"/>
      <c r="AU9" s="238">
        <f>(AQ9-AR9)/2+(AS9-AT9)</f>
        <v/>
      </c>
      <c r="AV9" s="238">
        <f>AI9+AJ9+AK9+AL9+AN9+AO9</f>
        <v/>
      </c>
      <c r="AW9" s="238">
        <f>BG9+BH9+BJ9+BE9+BC9+BA9+BL9</f>
        <v/>
      </c>
      <c r="AX9" s="238">
        <f>AU9+AY9</f>
        <v/>
      </c>
      <c r="AY9" s="313" t="n"/>
      <c r="AZ9" s="313" t="n"/>
      <c r="BA9" s="313" t="n"/>
      <c r="BB9" s="313" t="n"/>
      <c r="BC9" s="313" t="n"/>
      <c r="BD9" s="313" t="n"/>
      <c r="BE9" s="313" t="n"/>
      <c r="BF9" s="313" t="n"/>
      <c r="BG9" s="313" t="n"/>
      <c r="BH9" s="313" t="n"/>
      <c r="BI9" s="313" t="n"/>
      <c r="BJ9" s="313" t="n"/>
      <c r="BK9" s="313" t="n"/>
      <c r="BL9" s="313" t="n"/>
      <c r="BM9" s="313" t="n"/>
      <c r="BN9" s="313" t="n"/>
      <c r="BO9" s="313" t="n"/>
      <c r="BP9" s="313" t="n"/>
      <c r="BQ9" s="314" t="n"/>
    </row>
    <row r="10" ht="19.5" customHeight="1">
      <c r="A10" s="309" t="n"/>
      <c r="B10" s="327" t="inlineStr">
        <is>
          <t>CFC FARABI BIN ZULKIFLI</t>
        </is>
      </c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7" t="n"/>
      <c r="M10" s="197" t="n"/>
      <c r="N10" s="197" t="n"/>
      <c r="O10" s="197" t="n"/>
      <c r="P10" s="318" t="inlineStr">
        <is>
          <t>MSP REHEARSAL</t>
        </is>
      </c>
      <c r="Q10" s="318" t="inlineStr">
        <is>
          <t>MSP REHEARSAL</t>
        </is>
      </c>
      <c r="R10" s="197" t="n"/>
      <c r="S10" s="197" t="n"/>
      <c r="T10" s="318" t="inlineStr">
        <is>
          <t>MSP</t>
        </is>
      </c>
      <c r="U10" s="321" t="n"/>
      <c r="V10" s="197" t="n"/>
      <c r="W10" s="197" t="n"/>
      <c r="X10" s="197" t="n"/>
      <c r="Y10" s="197" t="n"/>
      <c r="Z10" s="197" t="n"/>
      <c r="AA10" s="197" t="n"/>
      <c r="AB10" s="321" t="n"/>
      <c r="AC10" s="321" t="n"/>
      <c r="AD10" s="197" t="n"/>
      <c r="AE10" s="197" t="n"/>
      <c r="AF10" s="197" t="n"/>
      <c r="AG10" s="197" t="n"/>
      <c r="AH10" s="197" t="n"/>
      <c r="AI10" s="311" t="n"/>
      <c r="AJ10" s="312" t="n"/>
      <c r="AK10" s="311" t="n"/>
      <c r="AL10" s="313" t="n"/>
      <c r="AM10" s="313" t="n"/>
      <c r="AN10" s="313" t="n"/>
      <c r="AO10" s="313" t="n"/>
      <c r="AP10" s="238" t="n"/>
      <c r="AQ10" s="313">
        <f>SUMPRODUCT(--WEEKDAY(C$3:AG$3,2)&lt;6,--((C10:AG10="DM"))+(C10:AG10="CS1")+((C10:AG10="CS2"))+(C10:AG10="SB1")+(C10:AG10="AE")+(C10:AG10="EM"))</f>
        <v/>
      </c>
      <c r="AR10" s="238" t="n"/>
      <c r="AS10" s="238">
        <f>SUMPRODUCT(--WEEKDAY(C$3:AG$3,2)&gt;5,--((C10:AG10="DM"))+(C10:AG10="CS1")+((C10:AG10="CS2"))+(C10:AG10="SB1")+(C10:AG10="AE")+(C10:AG10="EM"))</f>
        <v/>
      </c>
      <c r="AT10" s="238" t="n"/>
      <c r="AU10" s="238">
        <f>(AQ10-AR10)/2+(AS10-AT10)</f>
        <v/>
      </c>
      <c r="AV10" s="238">
        <f>AI10+AJ10+AK10+AL10+AN10+AO10</f>
        <v/>
      </c>
      <c r="AW10" s="238">
        <f>BG10+BH10+BJ10+BE10+BC10+BA10+BL10</f>
        <v/>
      </c>
      <c r="AX10" s="238">
        <f>AU10+AY10</f>
        <v/>
      </c>
      <c r="AY10" s="313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/>
      </c>
      <c r="AZ10" s="313">
        <f>COUNTIF(D10:V10,"*BRT*")</f>
        <v/>
      </c>
      <c r="BA10" s="313">
        <f>COUNTIF(A10:AI10,"*$BTP*")</f>
        <v/>
      </c>
      <c r="BB10" s="313">
        <f>BA10*('Setting key Duty'!$I$13+'Setting key Duty'!$I$12+'Setting key Duty'!$I$11)</f>
        <v/>
      </c>
      <c r="BC10" s="313">
        <f>COUNTIF(A10:AI10,"*$L*")</f>
        <v/>
      </c>
      <c r="BD10" s="313">
        <f>BC10*('Setting key Duty'!$I$13+'Setting key Duty'!$I$9)</f>
        <v/>
      </c>
      <c r="BE10" s="313">
        <f>COUNTIF(A10:AI10,"*$M*")</f>
        <v/>
      </c>
      <c r="BF10" s="313">
        <f>BE10*('Setting key Duty'!$I$8+'Setting key Duty'!$I$9+'Setting key Duty'!$I$12)</f>
        <v/>
      </c>
      <c r="BG10" s="313">
        <f>COUNTIF(AI10,"*$N*")</f>
        <v/>
      </c>
      <c r="BH10" s="313">
        <f>COUNTIF(AI10,"*$PM*")</f>
        <v/>
      </c>
      <c r="BI10" s="313">
        <f>BH10*('Setting key Duty'!$I$9)</f>
        <v/>
      </c>
      <c r="BJ10" s="313">
        <f>COUNTIF(A10:AI10,"*$AM*")</f>
        <v/>
      </c>
      <c r="BK10" s="313">
        <f>BJ10*('Setting key Duty'!$I$12+'Setting key Duty'!$I$8)</f>
        <v/>
      </c>
      <c r="BL10" s="313">
        <f>COUNTIF(D10:AI10,"*$FC*")</f>
        <v/>
      </c>
      <c r="BM10" s="313">
        <f>BL10*('Setting key Duty'!$J$11+'Setting key Duty'!$I$8)</f>
        <v/>
      </c>
      <c r="BN10" s="313">
        <f>COUNTIF($D10:$V10,BN$4)</f>
        <v/>
      </c>
      <c r="BO10" s="313">
        <f>COUNTIF($D10:$V10,BO$4)</f>
        <v/>
      </c>
      <c r="BP10" s="313">
        <f>COUNTIF($D10:$V10,BP$4)</f>
        <v/>
      </c>
      <c r="BQ10" s="314" t="n"/>
    </row>
    <row r="11" ht="19.5" customHeight="1">
      <c r="A11" s="309" t="n"/>
      <c r="B11" s="328" t="inlineStr">
        <is>
          <t>CPL MUHAMMAD AQIL HAMZAH BIN SYELDRICK</t>
        </is>
      </c>
      <c r="C11" s="197" t="n"/>
      <c r="E11" s="197" t="n"/>
      <c r="F11" s="197" t="n"/>
      <c r="G11" s="197" t="n"/>
      <c r="H11" s="324" t="n"/>
      <c r="I11" s="197" t="n"/>
      <c r="J11" s="197" t="inlineStr">
        <is>
          <t>AWARD CEREMONY</t>
        </is>
      </c>
      <c r="K11" s="197" t="n"/>
      <c r="L11" s="197" t="n"/>
      <c r="M11" s="317" t="n"/>
      <c r="N11" s="321" t="inlineStr">
        <is>
          <t>OL</t>
        </is>
      </c>
      <c r="O11" s="321" t="n"/>
      <c r="R11" s="196" t="n"/>
      <c r="T11" s="197" t="n"/>
      <c r="U11" s="196" t="n"/>
      <c r="V11" s="200" t="n"/>
      <c r="W11" s="324" t="n"/>
      <c r="X11" s="197" t="n"/>
      <c r="Y11" s="197" t="n"/>
      <c r="Z11" s="197" t="n"/>
      <c r="AA11" s="197" t="n"/>
      <c r="AB11" s="196" t="n"/>
      <c r="AC11" s="197" t="n"/>
      <c r="AD11" s="197" t="n"/>
      <c r="AE11" s="197" t="n"/>
      <c r="AF11" s="197" t="n"/>
      <c r="AG11" s="197" t="n"/>
      <c r="AH11" s="197" t="n"/>
      <c r="AI11" s="311" t="n"/>
      <c r="AJ11" s="312" t="n"/>
      <c r="AK11" s="311" t="n"/>
      <c r="AL11" s="313" t="n"/>
      <c r="AM11" s="313" t="n"/>
      <c r="AN11" s="313" t="n"/>
      <c r="AO11" s="313" t="n"/>
      <c r="AP11" s="238" t="n"/>
      <c r="AQ11" s="313">
        <f>SUMPRODUCT(--WEEKDAY(C$3:AG$3,2)&lt;6,--((C11:AG11="DM"))+(C11:AG11="CS1")+((C11:AG11="CS2"))+(C11:AG11="SB1")+(C11:AG11="AE")+(C11:AG11="EM"))</f>
        <v/>
      </c>
      <c r="AR11" s="238" t="n"/>
      <c r="AS11" s="238">
        <f>SUMPRODUCT(--WEEKDAY(C$3:AG$3,2)&gt;5,--((C11:AG11="DM"))+(C11:AG11="CS1")+((C11:AG11="CS2"))+(C11:AG11="SB1")+(C11:AG11="AE")+(C11:AG11="EM"))</f>
        <v/>
      </c>
      <c r="AT11" s="238" t="n"/>
      <c r="AU11" s="238">
        <f>(AQ11-AR11)/2+(AS11-AT11)</f>
        <v/>
      </c>
      <c r="AV11" s="238">
        <f>AI11+AJ11+AK11+AL11+AN11+AO11</f>
        <v/>
      </c>
      <c r="AW11" s="238">
        <f>BG11+BH11+BJ11+BE11+BC11+BA11+BL11</f>
        <v/>
      </c>
      <c r="AX11" s="238">
        <f>AU11+$AY$11</f>
        <v/>
      </c>
      <c r="AY11" s="313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/>
      </c>
      <c r="AZ11" s="313">
        <f>COUNTIF(C11:AC11,"*BRT*")</f>
        <v/>
      </c>
      <c r="BA11" s="313">
        <f>COUNTIF(A11:AI11,"*$BTP*")</f>
        <v/>
      </c>
      <c r="BB11" s="313">
        <f>BA11*('Setting key Duty'!$I$13+'Setting key Duty'!$I$12+'Setting key Duty'!$I$11)</f>
        <v/>
      </c>
      <c r="BC11" s="313">
        <f>COUNTIF(D11:AI11,"*$L*")</f>
        <v/>
      </c>
      <c r="BD11" s="313">
        <f>BC11*('Setting key Duty'!$I$13+'Setting key Duty'!$I$9)</f>
        <v/>
      </c>
      <c r="BE11" s="313">
        <f>COUNTIF(D11:AI11,"*$M*")</f>
        <v/>
      </c>
      <c r="BF11" s="313">
        <f>BE11*('Setting key Duty'!$I$8+'Setting key Duty'!$I$9+'Setting key Duty'!$I$12)</f>
        <v/>
      </c>
      <c r="BG11" s="313">
        <f>COUNTIF(D11:AI11,"*$N*")</f>
        <v/>
      </c>
      <c r="BH11" s="313">
        <f>COUNTIF(D11:AI11,"*$PM*")</f>
        <v/>
      </c>
      <c r="BI11" s="313">
        <f>BH11*('Setting key Duty'!$I$9)</f>
        <v/>
      </c>
      <c r="BJ11" s="313">
        <f>COUNTIF(D11:AI11,"*$AM*")</f>
        <v/>
      </c>
      <c r="BK11" s="313">
        <f>BJ11*('Setting key Duty'!$I$12+'Setting key Duty'!$I$8)</f>
        <v/>
      </c>
      <c r="BL11" s="313">
        <f>COUNTIF(C11:AI11,"*$FC*")</f>
        <v/>
      </c>
      <c r="BM11" s="313">
        <f>BL11*('Setting key Duty'!$J$11+'Setting key Duty'!$I$8)</f>
        <v/>
      </c>
      <c r="BN11" s="313">
        <f>COUNTIF($C11:$AG11,BN$4)</f>
        <v/>
      </c>
      <c r="BO11" s="313">
        <f>COUNTIF($C11:$AG11,BO$4)</f>
        <v/>
      </c>
      <c r="BP11" s="313">
        <f>COUNTIF($D11:$AD11,BP$4)</f>
        <v/>
      </c>
      <c r="BQ11" s="314" t="n"/>
    </row>
    <row r="12" ht="19.5" customHeight="1">
      <c r="A12" s="309" t="n"/>
      <c r="B12" s="315" t="inlineStr">
        <is>
          <t>CPL MOHD AMEER KHAN S/O BASHIR ISMAIL</t>
        </is>
      </c>
      <c r="C12" s="197" t="n"/>
      <c r="D12" s="197" t="inlineStr">
        <is>
          <t>DM</t>
        </is>
      </c>
      <c r="E12" s="197" t="n"/>
      <c r="F12" s="197" t="n"/>
      <c r="G12" s="197" t="inlineStr">
        <is>
          <t>DM</t>
        </is>
      </c>
      <c r="H12" s="197" t="inlineStr">
        <is>
          <t>Wedding Prep</t>
        </is>
      </c>
      <c r="I12" s="197" t="inlineStr">
        <is>
          <t>PM MA</t>
        </is>
      </c>
      <c r="J12" s="197" t="n"/>
      <c r="L12" s="197" t="n"/>
      <c r="M12" s="197" t="n"/>
      <c r="N12" s="197" t="inlineStr">
        <is>
          <t>OL</t>
        </is>
      </c>
      <c r="O12" s="197" t="n"/>
      <c r="P12" s="318" t="inlineStr">
        <is>
          <t>MSP REHEARSAL</t>
        </is>
      </c>
      <c r="Q12" s="318" t="inlineStr">
        <is>
          <t>MSP REHEARSAL</t>
        </is>
      </c>
      <c r="R12" s="197" t="n"/>
      <c r="S12" s="197" t="n"/>
      <c r="T12" s="318" t="inlineStr">
        <is>
          <t>MSP</t>
        </is>
      </c>
      <c r="U12" s="196" t="n"/>
      <c r="V12" s="200" t="n"/>
      <c r="W12" s="197" t="n"/>
      <c r="X12" s="197" t="n"/>
      <c r="Y12" s="197" t="n"/>
      <c r="Z12" s="197" t="n"/>
      <c r="AA12" s="197" t="inlineStr">
        <is>
          <t>AL</t>
        </is>
      </c>
      <c r="AB12" s="197" t="inlineStr">
        <is>
          <t>WEDDING</t>
        </is>
      </c>
      <c r="AC12" s="197" t="n"/>
      <c r="AD12" s="197" t="n"/>
      <c r="AE12" s="197" t="n"/>
      <c r="AF12" s="197" t="n"/>
      <c r="AG12" s="197" t="n"/>
      <c r="AH12" s="197" t="n"/>
      <c r="AI12" s="311" t="n"/>
      <c r="AJ12" s="312" t="n"/>
      <c r="AK12" s="311" t="n"/>
      <c r="AL12" s="313" t="n"/>
      <c r="AM12" s="313" t="n"/>
      <c r="AN12" s="313" t="n"/>
      <c r="AO12" s="313" t="n"/>
      <c r="AP12" s="238" t="n"/>
      <c r="AQ12" s="313">
        <f>SUMPRODUCT(--WEEKDAY(C$3:AG$3,2)&lt;6,--((C12:AG12="DM"))+(C12:AG12="CS1")+((C12:AG12="CS2"))+(C12:AG12="SB1")+(C12:AG12="AE")+(C12:AG12="EM"))</f>
        <v/>
      </c>
      <c r="AR12" s="238" t="n"/>
      <c r="AS12" s="238">
        <f>SUMPRODUCT(--WEEKDAY(C$3:AG$3,2)&gt;5,--((C12:AG12="DM"))+(C12:AG12="CS1")+((C12:AG12="CS2"))+(C12:AG12="SB1")+(C12:AG12="AE")+(C12:AG12="EM"))</f>
        <v/>
      </c>
      <c r="AT12" s="238" t="n"/>
      <c r="AU12" s="238">
        <f>(AQ12-AR12)/2+(AS12-AT12)</f>
        <v/>
      </c>
      <c r="AV12" s="238">
        <f>AI12+AJ12+AK12+AL12+AN12+AO12</f>
        <v/>
      </c>
      <c r="AW12" s="238">
        <f>BG12+BH12+BJ12+BE12+BC12+BA12+BL12</f>
        <v/>
      </c>
      <c r="AX12" s="238">
        <f>AU12+AY12</f>
        <v/>
      </c>
      <c r="AY12" s="313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/>
      </c>
      <c r="AZ12" s="313">
        <f>COUNTIF(D12:AC12,"*BRT*")</f>
        <v/>
      </c>
      <c r="BA12" s="313">
        <f>COUNTIF(A12:AI12,"*$BTP*")</f>
        <v/>
      </c>
      <c r="BB12" s="313">
        <f>BA12*('Setting key Duty'!$I$13+'Setting key Duty'!$I$12+'Setting key Duty'!$I$11)</f>
        <v/>
      </c>
      <c r="BC12" s="313">
        <f>COUNTIF(A12:AI12,"*$L*")</f>
        <v/>
      </c>
      <c r="BD12" s="313">
        <f>BC12*('Setting key Duty'!$I$13+'Setting key Duty'!$I$9)</f>
        <v/>
      </c>
      <c r="BE12" s="313">
        <f>COUNTIF(A12:AI12,"*$M*")</f>
        <v/>
      </c>
      <c r="BF12" s="313">
        <f>BE12*('Setting key Duty'!$I$8+'Setting key Duty'!$I$9+'Setting key Duty'!$I$12)</f>
        <v/>
      </c>
      <c r="BG12" s="313">
        <f>COUNTIF(AF12:AI12,"*$N*")</f>
        <v/>
      </c>
      <c r="BH12" s="313">
        <f>COUNTIF(AF12:AI12,"*$PM*")</f>
        <v/>
      </c>
      <c r="BI12" s="313">
        <f>BH12*('Setting key Duty'!$I$9)</f>
        <v/>
      </c>
      <c r="BJ12" s="313">
        <f>COUNTIF(A12:AI12,"*$AM*")</f>
        <v/>
      </c>
      <c r="BK12" s="313">
        <f>BJ12*('Setting key Duty'!$I$12+'Setting key Duty'!$I$8)</f>
        <v/>
      </c>
      <c r="BL12" s="313">
        <f>COUNTIF(D12:AI12,"*$FC*")</f>
        <v/>
      </c>
      <c r="BM12" s="313">
        <f>BL12*('Setting key Duty'!$J$11+'Setting key Duty'!$I$8)</f>
        <v/>
      </c>
      <c r="BN12" s="313">
        <f>COUNTIF($D12:$AE12,BN$4)</f>
        <v/>
      </c>
      <c r="BO12" s="313">
        <f>COUNTIF($D12:$AE12,BO$4)</f>
        <v/>
      </c>
      <c r="BP12" s="313">
        <f>COUNTIF($D12:$AE12,BP$4)</f>
        <v/>
      </c>
      <c r="BQ12" s="314" t="n"/>
    </row>
    <row r="13" ht="19.5" customHeight="1">
      <c r="A13" s="309" t="n"/>
      <c r="B13" s="329" t="inlineStr">
        <is>
          <t>LCP ALPHA KELVIN ISAAC BIN MUHAMMAD MCKEVIN LAWRENCE</t>
        </is>
      </c>
      <c r="C13" s="197" t="n"/>
      <c r="D13" s="330" t="n"/>
      <c r="E13" s="197" t="n"/>
      <c r="F13" s="331" t="n"/>
      <c r="G13" s="197" t="n"/>
      <c r="H13" s="197" t="n"/>
      <c r="J13" s="197" t="n"/>
      <c r="K13" s="317" t="n"/>
      <c r="M13" s="197" t="n"/>
      <c r="N13" s="197" t="n"/>
      <c r="O13" s="197" t="n"/>
      <c r="P13" s="318" t="inlineStr">
        <is>
          <t>MSP REHEARSAL</t>
        </is>
      </c>
      <c r="Q13" s="318" t="inlineStr">
        <is>
          <t>MSP REHEARSAL</t>
        </is>
      </c>
      <c r="R13" s="197" t="n"/>
      <c r="T13" s="318" t="inlineStr">
        <is>
          <t>MSP</t>
        </is>
      </c>
      <c r="U13" s="317" t="n"/>
      <c r="V13" s="197" t="n"/>
      <c r="W13" s="197" t="n"/>
      <c r="X13" s="197" t="n"/>
      <c r="Y13" s="197" t="n"/>
      <c r="Z13" s="197" t="n"/>
      <c r="AA13" s="197" t="n"/>
      <c r="AB13" s="197" t="n"/>
      <c r="AC13" s="197" t="n"/>
      <c r="AD13" s="197" t="n"/>
      <c r="AE13" s="197" t="n"/>
      <c r="AF13" s="197" t="n"/>
      <c r="AG13" s="197" t="n"/>
      <c r="AH13" s="197" t="n"/>
      <c r="AI13" s="311" t="n"/>
      <c r="AJ13" s="312" t="n"/>
      <c r="AK13" s="311" t="n"/>
      <c r="AL13" s="313" t="n"/>
      <c r="AM13" s="313" t="n"/>
      <c r="AN13" s="313" t="n"/>
      <c r="AO13" s="313" t="n"/>
      <c r="AP13" s="238" t="n"/>
      <c r="AQ13" s="313">
        <f>SUMPRODUCT(--WEEKDAY(C$3:AG$3,2)&lt;6,--((C13:AG13="DM"))+(C13:AG13="CS1")+((C13:AG13="CS2"))+(C13:AG13="SB1")+(C13:AG13="AE")+(C13:AG13="EM"))</f>
        <v/>
      </c>
      <c r="AR13" s="238" t="n"/>
      <c r="AS13" s="238">
        <f>SUMPRODUCT(--WEEKDAY(C$3:AG$3,2)&gt;5,--((C13:AG13="DM"))+(C13:AG13="CS1")+((C13:AG13="CS2"))+(C13:AG13="SB1")+(C13:AG13="AE")+(C13:AG13="EM"))</f>
        <v/>
      </c>
      <c r="AT13" s="238" t="n"/>
      <c r="AU13" s="238">
        <f>(AQ13-AR13)/2+(AS13-AT13)</f>
        <v/>
      </c>
      <c r="AV13" s="238">
        <f>AI13+AJ13+AK13+AL13+AN13+AO13</f>
        <v/>
      </c>
      <c r="AW13" s="238">
        <f>BG13+BH13+BJ13+BE13+BC13+BA13+BL13</f>
        <v/>
      </c>
      <c r="AX13" s="238">
        <f>AU13+AY13</f>
        <v/>
      </c>
      <c r="AY13" s="313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/>
      </c>
      <c r="AZ13" s="313">
        <f>COUNTIF(D13:Y13,"*BRT*")</f>
        <v/>
      </c>
      <c r="BA13" s="313">
        <f>COUNTIF(A13:AI13,"*$BTP*")</f>
        <v/>
      </c>
      <c r="BB13" s="313">
        <f>BA13*('Setting key Duty'!$I$13+'Setting key Duty'!$I$12+'Setting key Duty'!$I$11)</f>
        <v/>
      </c>
      <c r="BC13" s="313">
        <f>COUNTIF(A13:AI13,"*$L*")</f>
        <v/>
      </c>
      <c r="BD13" s="313">
        <f>BC13*('Setting key Duty'!$I$13+'Setting key Duty'!$I$9)</f>
        <v/>
      </c>
      <c r="BE13" s="313">
        <f>COUNTIF(A13:AI13,"*$M*")</f>
        <v/>
      </c>
      <c r="BF13" s="313">
        <f>BE13*('Setting key Duty'!$I$8+'Setting key Duty'!$I$9+'Setting key Duty'!$I$12)</f>
        <v/>
      </c>
      <c r="BG13" s="313">
        <f>COUNTIF(AI13,"*$N*")</f>
        <v/>
      </c>
      <c r="BH13" s="313">
        <f>COUNTIF(AI13,"*$PM*")</f>
        <v/>
      </c>
      <c r="BI13" s="313">
        <f>BH13*('Setting key Duty'!$I$9)</f>
        <v/>
      </c>
      <c r="BJ13" s="313">
        <f>COUNTIF(A13:AI13,"*$AM*")</f>
        <v/>
      </c>
      <c r="BK13" s="313">
        <f>BJ13*('Setting key Duty'!$I$12+'Setting key Duty'!$I$8)</f>
        <v/>
      </c>
      <c r="BL13" s="313">
        <f>COUNTIF(D13:AI13,"*$FC*")</f>
        <v/>
      </c>
      <c r="BM13" s="313">
        <f>BL13*('Setting key Duty'!$J$11+'Setting key Duty'!$I$8)</f>
        <v/>
      </c>
      <c r="BN13" s="313">
        <f>COUNTIF($D13:$Y13,BN$4)</f>
        <v/>
      </c>
      <c r="BO13" s="313">
        <f>COUNTIF($D13:$Y13,BO$4)</f>
        <v/>
      </c>
      <c r="BP13" s="313">
        <f>COUNTIF($D13:$Y13,BP$4)</f>
        <v/>
      </c>
      <c r="BQ13" s="314" t="n"/>
    </row>
    <row r="14" ht="24" customHeight="1">
      <c r="A14" s="309" t="n"/>
      <c r="B14" s="332" t="inlineStr">
        <is>
          <t>CPL RAZIN HILMANSYAH BIN ROSLI</t>
        </is>
      </c>
      <c r="C14" s="197" t="n"/>
      <c r="D14" s="197" t="n"/>
      <c r="E14" s="197" t="n"/>
      <c r="F14" s="197" t="n"/>
      <c r="G14" s="197" t="n"/>
      <c r="H14" s="197" t="n"/>
      <c r="I14" s="197" t="n"/>
      <c r="J14" s="317" t="n"/>
      <c r="K14" s="197" t="n"/>
      <c r="L14" s="197" t="n"/>
      <c r="M14" s="197" t="n"/>
      <c r="N14" s="197" t="inlineStr">
        <is>
          <t>CS1</t>
        </is>
      </c>
      <c r="O14" s="197" t="n"/>
      <c r="P14" s="318" t="inlineStr">
        <is>
          <t>MSP REHEARSAL</t>
        </is>
      </c>
      <c r="Q14" s="318" t="inlineStr">
        <is>
          <t>MSP REHEARSAL</t>
        </is>
      </c>
      <c r="R14" s="197" t="n"/>
      <c r="S14" s="197" t="n"/>
      <c r="T14" s="318" t="inlineStr">
        <is>
          <t>MSP</t>
        </is>
      </c>
      <c r="U14" s="197" t="n"/>
      <c r="V14" s="200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F14" s="197" t="n"/>
      <c r="AG14" s="197" t="n"/>
      <c r="AH14" s="197" t="n"/>
      <c r="AI14" s="311">
        <f>COUNTIF($C14:$AB14,AI$4)</f>
        <v/>
      </c>
      <c r="AJ14" s="312">
        <f>COUNTIF($C14:$AB14,AJ$4)</f>
        <v/>
      </c>
      <c r="AK14" s="311">
        <f>COUNTIF($C14:$AB14,AK$4)</f>
        <v/>
      </c>
      <c r="AL14" s="313">
        <f>COUNTIF($C14:$AB14,AL$4)</f>
        <v/>
      </c>
      <c r="AM14" s="313">
        <f>COUNTIF($C14:$AB14,AM$4)</f>
        <v/>
      </c>
      <c r="AN14" s="313">
        <f>COUNTIF($C14:$AB14,AN$4)</f>
        <v/>
      </c>
      <c r="AO14" s="313">
        <f>COUNTIF($C14:$AB14,AO$4)</f>
        <v/>
      </c>
      <c r="AP14" s="238" t="n"/>
      <c r="AQ14" s="313">
        <f>SUMPRODUCT(--WEEKDAY(C$3:AG$3,2)&lt;6,--((C14:AG14="DM"))+(C14:AG14="CS1")+((C14:AG14="CS2"))+(C14:AG14="SB1")+(C14:AG14="AE")+(C14:AG14="EM"))</f>
        <v/>
      </c>
      <c r="AR14" s="238" t="n"/>
      <c r="AS14" s="238">
        <f>SUMPRODUCT(--WEEKDAY(C$3:AG$3,2)&gt;5,--((C14:AG14="DM"))+(C14:AG14="CS1")+((C14:AG14="CS2"))+(C14:AG14="SB1")+(C14:AG14="AE")+(C14:AG14="EM"))</f>
        <v/>
      </c>
      <c r="AT14" s="238" t="n"/>
      <c r="AU14" s="238">
        <f>(AQ14-AR14)/2+(AS14-AT14)</f>
        <v/>
      </c>
      <c r="AV14" s="238">
        <f>AI14+AJ14+AK14+AL14+AN14+AO14</f>
        <v/>
      </c>
      <c r="AW14" s="238">
        <f>BG14+BH14+BJ14+BE14+BC14+BA14+BL14</f>
        <v/>
      </c>
      <c r="AX14" s="238">
        <f>AU14+AY14</f>
        <v/>
      </c>
      <c r="AY14" s="313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/>
      </c>
      <c r="AZ14" s="313">
        <f>COUNTIF(C14:AB14,"*BRT*")</f>
        <v/>
      </c>
      <c r="BA14" s="313">
        <f>COUNTIF(A14:AI14,"*$BTP*")</f>
        <v/>
      </c>
      <c r="BB14" s="313">
        <f>BA14*('Setting key Duty'!$I$13+'Setting key Duty'!$I$12+'Setting key Duty'!$I$11)</f>
        <v/>
      </c>
      <c r="BC14" s="313">
        <f>COUNTIF(A14:AI14,"*$L*")</f>
        <v/>
      </c>
      <c r="BD14" s="313">
        <f>BC14*('Setting key Duty'!$I$13+'Setting key Duty'!$I$9)</f>
        <v/>
      </c>
      <c r="BE14" s="313">
        <f>COUNTIF(A14:AI14,"*$M*")</f>
        <v/>
      </c>
      <c r="BF14" s="313">
        <f>BE14*('Setting key Duty'!$I$8+'Setting key Duty'!$I$9+'Setting key Duty'!$I$12)</f>
        <v/>
      </c>
      <c r="BG14" s="313">
        <f>COUNTIF(A14:AI14,"*$N*")</f>
        <v/>
      </c>
      <c r="BH14" s="313">
        <f>COUNTIF(AI14,"*$PM*")</f>
        <v/>
      </c>
      <c r="BI14" s="313">
        <f>BH14*('Setting key Duty'!$I$9)</f>
        <v/>
      </c>
      <c r="BJ14" s="313">
        <f>COUNTIF(A14:AI14,"*$AM*")</f>
        <v/>
      </c>
      <c r="BK14" s="313">
        <f>BJ14*('Setting key Duty'!$I$12+'Setting key Duty'!$I$8)</f>
        <v/>
      </c>
      <c r="BL14" s="313">
        <f>COUNTIF(C14:AI14,"*$FC*")</f>
        <v/>
      </c>
      <c r="BM14" s="313">
        <f>BL14*('Setting key Duty'!$J$11+'Setting key Duty'!$I$8)</f>
        <v/>
      </c>
      <c r="BN14" s="313">
        <f>COUNTIF($C14:$AB14,BN$4)</f>
        <v/>
      </c>
      <c r="BO14" s="313">
        <f>COUNTIF($C14:$AB14,BO$4)</f>
        <v/>
      </c>
      <c r="BP14" s="313">
        <f>COUNTIF($C14:$AB14,BP$4)</f>
        <v/>
      </c>
      <c r="BQ14" s="314" t="n"/>
    </row>
    <row r="15" ht="24" customHeight="1">
      <c r="A15" s="309" t="n"/>
      <c r="B15" s="333" t="inlineStr">
        <is>
          <t>PTE FANG JIANGRUI</t>
        </is>
      </c>
      <c r="C15" s="197" t="n"/>
      <c r="D15" s="197" t="n"/>
      <c r="E15" s="197" t="n"/>
      <c r="F15" s="197" t="n"/>
      <c r="G15" s="197" t="n"/>
      <c r="H15" s="197" t="n"/>
      <c r="I15" s="197" t="n"/>
      <c r="J15" s="317" t="n"/>
      <c r="K15" s="197" t="n"/>
      <c r="L15" s="197" t="n"/>
      <c r="M15" s="197" t="n"/>
      <c r="N15" s="197" t="n"/>
      <c r="O15" s="197" t="n"/>
      <c r="P15" s="318" t="n"/>
      <c r="Q15" s="318" t="n"/>
      <c r="R15" s="283" t="n"/>
      <c r="S15" s="197" t="n"/>
      <c r="T15" s="318" t="inlineStr">
        <is>
          <t xml:space="preserve">PM MA </t>
        </is>
      </c>
      <c r="U15" s="197" t="n"/>
      <c r="V15" s="197" t="n"/>
      <c r="W15" s="197" t="n"/>
      <c r="X15" s="197" t="n"/>
      <c r="Y15" s="197" t="n"/>
      <c r="Z15" s="197" t="n"/>
      <c r="AA15" s="197" t="n"/>
      <c r="AB15" s="197" t="n"/>
      <c r="AC15" s="197" t="n"/>
      <c r="AD15" s="197" t="n"/>
      <c r="AF15" s="197" t="inlineStr">
        <is>
          <t>V $AM IPPT (0500-1000)</t>
        </is>
      </c>
      <c r="AG15" s="197" t="n"/>
      <c r="AH15" s="197" t="n"/>
      <c r="AI15" s="311" t="n"/>
      <c r="AJ15" s="312" t="n"/>
      <c r="AK15" s="311" t="n"/>
      <c r="AL15" s="313" t="n"/>
      <c r="AM15" s="313" t="n"/>
      <c r="AN15" s="313" t="n"/>
      <c r="AO15" s="313" t="n"/>
      <c r="AP15" s="238" t="n"/>
      <c r="AQ15" s="313" t="n"/>
      <c r="AR15" s="238" t="n"/>
      <c r="AS15" s="238" t="n"/>
      <c r="AT15" s="238" t="n"/>
      <c r="AU15" s="238" t="n"/>
      <c r="AV15" s="238" t="n"/>
      <c r="AW15" s="238" t="n"/>
      <c r="AX15" s="238" t="n"/>
      <c r="AY15" s="313" t="n"/>
      <c r="AZ15" s="313" t="n"/>
      <c r="BA15" s="313" t="n"/>
      <c r="BB15" s="313" t="n"/>
      <c r="BC15" s="313" t="n"/>
      <c r="BD15" s="313" t="n"/>
      <c r="BE15" s="313" t="n"/>
      <c r="BF15" s="313" t="n"/>
      <c r="BG15" s="313" t="n"/>
      <c r="BH15" s="313" t="n"/>
      <c r="BI15" s="313" t="n"/>
      <c r="BJ15" s="313" t="n"/>
      <c r="BK15" s="313" t="n"/>
      <c r="BL15" s="313" t="n"/>
      <c r="BM15" s="313" t="n"/>
      <c r="BN15" s="313" t="n"/>
      <c r="BO15" s="313" t="n"/>
      <c r="BP15" s="313" t="n"/>
      <c r="BQ15" s="314" t="n"/>
    </row>
    <row r="16" ht="19.5" customHeight="1">
      <c r="A16" s="309" t="n"/>
      <c r="B16" s="334" t="inlineStr">
        <is>
          <t>LCP JAY DEOL FROST</t>
        </is>
      </c>
      <c r="C16" s="197" t="n"/>
      <c r="D16" s="197" t="n"/>
      <c r="E16" s="197" t="n"/>
      <c r="F16" s="197" t="n"/>
      <c r="G16" s="324" t="n"/>
      <c r="H16" s="197" t="n"/>
      <c r="I16" s="197" t="inlineStr">
        <is>
          <t>OFF</t>
        </is>
      </c>
      <c r="J16" s="197" t="n"/>
      <c r="K16" s="197" t="n"/>
      <c r="L16" s="197" t="n"/>
      <c r="M16" s="317" t="n"/>
      <c r="N16" s="317" t="n"/>
      <c r="O16" s="317" t="n"/>
      <c r="P16" s="197" t="n"/>
      <c r="Q16" s="197" t="n"/>
      <c r="S16" s="197" t="n"/>
      <c r="T16" s="196" t="n"/>
      <c r="V16" s="200" t="n"/>
      <c r="W16" s="197" t="n"/>
      <c r="X16" s="197" t="n"/>
      <c r="Y16" s="197" t="n"/>
      <c r="Z16" s="197" t="n"/>
      <c r="AA16" s="197" t="n"/>
      <c r="AB16" s="197" t="n"/>
      <c r="AC16" s="197" t="n"/>
      <c r="AD16" s="197" t="inlineStr">
        <is>
          <t>MA</t>
        </is>
      </c>
      <c r="AE16" s="197" t="n"/>
      <c r="AF16" s="197" t="n"/>
      <c r="AG16" s="197" t="n"/>
      <c r="AH16" s="197" t="n"/>
      <c r="AI16" s="311">
        <f>COUNTIF($C16:$AF16,AI$4)</f>
        <v/>
      </c>
      <c r="AJ16" s="312">
        <f>COUNTIF($C16:$AF16,AJ$4)</f>
        <v/>
      </c>
      <c r="AK16" s="311">
        <f>COUNTIF($C16:$AF16,AK$4)</f>
        <v/>
      </c>
      <c r="AL16" s="313">
        <f>COUNTIF($C16:$AF16,AL$4)</f>
        <v/>
      </c>
      <c r="AM16" s="313">
        <f>COUNTIF($C16:$AF16,AM$4)</f>
        <v/>
      </c>
      <c r="AN16" s="313">
        <f>COUNTIF($C16:$AF16,AN$4)</f>
        <v/>
      </c>
      <c r="AO16" s="313">
        <f>COUNTIF($C16:$AF16,AO$4)</f>
        <v/>
      </c>
      <c r="AP16" s="238" t="n"/>
      <c r="AQ16" s="313">
        <f>SUMPRODUCT(--WEEKDAY(C$3:AG$3,2)&lt;6,--((C16:AG16="DM"))+(C16:AG16="CS1")+((C16:AG16="CS2"))+(C16:AG16="SB1")+(C16:AG16="AE")+(C16:AG16="EM"))</f>
        <v/>
      </c>
      <c r="AR16" s="238" t="n"/>
      <c r="AS16" s="238">
        <f>SUMPRODUCT(--WEEKDAY(C$3:AG$3,2)&gt;5,--((C16:AG16="DM"))+(C16:AG16="CS1")+((C16:AG16="CS2"))+(C16:AG16="SB1")+(C16:AG16="AE")+(C16:AG16="EM"))</f>
        <v/>
      </c>
      <c r="AT16" s="238" t="n"/>
      <c r="AU16" s="238">
        <f>(AQ16-AR16)/2+(AS16-AT16)</f>
        <v/>
      </c>
      <c r="AV16" s="238">
        <f>AI16+AJ16+AK16+AL16+AN16+AO16</f>
        <v/>
      </c>
      <c r="AW16" s="238">
        <f>BG16+BH16+BJ16+BE16+BC16+BA16+BL16</f>
        <v/>
      </c>
      <c r="AX16" s="238">
        <f>AU16+AY16</f>
        <v/>
      </c>
      <c r="AY16" s="313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/>
      </c>
      <c r="AZ16" s="313">
        <f>COUNTIF(C16:AC16,"*BRT*")</f>
        <v/>
      </c>
      <c r="BA16" s="313">
        <f>COUNTIF(A16:AI16,"*$BTP*")</f>
        <v/>
      </c>
      <c r="BB16" s="313">
        <f>BA16*('Setting key Duty'!$I$13+'Setting key Duty'!$I$12+'Setting key Duty'!$I$11)</f>
        <v/>
      </c>
      <c r="BC16" s="313">
        <f>COUNTIF(I16:AI16,"*$L*")</f>
        <v/>
      </c>
      <c r="BD16" s="313">
        <f>BC16*('Setting key Duty'!$I$13+'Setting key Duty'!$I$9)</f>
        <v/>
      </c>
      <c r="BE16" s="313">
        <f>COUNTIF(I16:AI16,"*$M*")</f>
        <v/>
      </c>
      <c r="BF16" s="313">
        <f>BE16*('Setting key Duty'!$I$8+'Setting key Duty'!$I$9+'Setting key Duty'!$I$12)</f>
        <v/>
      </c>
      <c r="BG16" s="313">
        <f>COUNTIF(I16:AI16,"*$N*")</f>
        <v/>
      </c>
      <c r="BH16" s="313">
        <f>COUNTIF(I16:AI16,"*$PM*")</f>
        <v/>
      </c>
      <c r="BI16" s="313">
        <f>BH16*('Setting key Duty'!$I$9)</f>
        <v/>
      </c>
      <c r="BJ16" s="313">
        <f>COUNTIF(I16:AI16,"*$AM*")</f>
        <v/>
      </c>
      <c r="BK16" s="313">
        <f>BJ16*('Setting key Duty'!$I$12+'Setting key Duty'!$I$8)</f>
        <v/>
      </c>
      <c r="BL16" s="313">
        <f>COUNTIF(C16:AI16,"*$FC*")</f>
        <v/>
      </c>
      <c r="BM16" s="313">
        <f>BL16*('Setting key Duty'!$J$11+'Setting key Duty'!$I$8)</f>
        <v/>
      </c>
      <c r="BN16" s="313">
        <f>COUNTIF($C16:$AF16,BN$4)</f>
        <v/>
      </c>
      <c r="BO16" s="313">
        <f>COUNTIF($C16:$AF16,BO$4)</f>
        <v/>
      </c>
      <c r="BP16" s="313">
        <f>COUNTIF($I16:$AE16,BP$4)</f>
        <v/>
      </c>
      <c r="BQ16" s="314" t="n"/>
    </row>
    <row r="17" ht="19.5" customHeight="1">
      <c r="A17" s="309" t="n"/>
      <c r="B17" s="329" t="inlineStr">
        <is>
          <t>CPL JASON TAN JIAN CHEN</t>
        </is>
      </c>
      <c r="C17" s="317" t="n"/>
      <c r="D17" s="197" t="n"/>
      <c r="E17" s="197" t="n"/>
      <c r="F17" s="197" t="n"/>
      <c r="G17" s="197" t="n"/>
      <c r="H17" s="197" t="n"/>
      <c r="I17" s="197" t="n"/>
      <c r="J17" s="197" t="n"/>
      <c r="K17" s="197" t="inlineStr">
        <is>
          <t>AMPT</t>
        </is>
      </c>
      <c r="L17" s="197" t="n"/>
      <c r="M17" s="197" t="n"/>
      <c r="N17" s="197" t="n"/>
      <c r="O17" s="197" t="n"/>
      <c r="P17" s="197" t="n"/>
      <c r="Q17" s="197" t="n"/>
      <c r="R17" s="197" t="n"/>
      <c r="S17" s="197" t="n"/>
      <c r="T17" s="197" t="n"/>
      <c r="U17" s="317" t="n"/>
      <c r="V17" s="106" t="n"/>
      <c r="W17" s="197" t="n"/>
      <c r="X17" s="197" t="n"/>
      <c r="Y17" s="197" t="n"/>
      <c r="Z17" s="197" t="n"/>
      <c r="AA17" s="197" t="n"/>
      <c r="AB17" s="197" t="n"/>
      <c r="AC17" s="197" t="n"/>
      <c r="AD17" s="197" t="n"/>
      <c r="AE17" s="197" t="n"/>
      <c r="AF17" s="197" t="n"/>
      <c r="AG17" s="197" t="n"/>
      <c r="AH17" s="197" t="n"/>
      <c r="AI17" s="311" t="n"/>
      <c r="AJ17" s="312" t="n"/>
      <c r="AK17" s="311" t="n"/>
      <c r="AL17" s="313" t="n"/>
      <c r="AM17" s="313" t="n"/>
      <c r="AN17" s="313" t="n"/>
      <c r="AO17" s="313" t="n"/>
      <c r="AP17" s="238" t="n"/>
      <c r="AQ17" s="313">
        <f>SUMPRODUCT(--WEEKDAY(C$3:AG$3,2)&lt;6,--((C17:AG17="DM"))+(C17:AG17="CS1")+((C17:AG17="CS2"))+(C17:AG17="SB1")+(C17:AG17="AE")+(C17:AG17="EM"))</f>
        <v/>
      </c>
      <c r="AR17" s="238" t="n"/>
      <c r="AS17" s="238">
        <f>SUMPRODUCT(--WEEKDAY(C$3:AG$3,2)&gt;5,--((C17:AG17="DM"))+(C17:AG17="CS1")+((C17:AG17="CS2"))+(C17:AG17="SB1")+(C17:AG17="AE")+(C17:AG17="EM"))</f>
        <v/>
      </c>
      <c r="AT17" s="238" t="n"/>
      <c r="AU17" s="238">
        <f>(AQ17-AR17)/2+(AS17-AT17)</f>
        <v/>
      </c>
      <c r="AV17" s="238">
        <f>AI17+AJ17+AK17+AL17+AN17+AO17</f>
        <v/>
      </c>
      <c r="AW17" s="238">
        <f>BG17+BH17+BJ17+BE17+BC17+BA17+BL17</f>
        <v/>
      </c>
      <c r="AX17" s="238">
        <f>AU17+$AY$11</f>
        <v/>
      </c>
      <c r="AY17" s="313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/>
      </c>
      <c r="AZ17" s="313">
        <f>COUNTIF(D17:AA17,"*BRT*")</f>
        <v/>
      </c>
      <c r="BA17" s="313">
        <f>COUNTIF(A17:AI17,"*$BTP*")</f>
        <v/>
      </c>
      <c r="BB17" s="313">
        <f>BA17*('Setting key Duty'!$I$13+'Setting key Duty'!$I$12+'Setting key Duty'!$I$11)</f>
        <v/>
      </c>
      <c r="BC17" s="313">
        <f>COUNTIF(A17:AI17,"*$L*")</f>
        <v/>
      </c>
      <c r="BD17" s="313">
        <f>BC17*('Setting key Duty'!$I$13+'Setting key Duty'!$I$9)</f>
        <v/>
      </c>
      <c r="BE17" s="313">
        <f>COUNTIF(A17:AI17,"*$M*")</f>
        <v/>
      </c>
      <c r="BF17" s="313">
        <f>BE17*('Setting key Duty'!$I$8+'Setting key Duty'!$I$9+'Setting key Duty'!$I$12)</f>
        <v/>
      </c>
      <c r="BG17" s="313">
        <f>COUNTIF(AI17,"*$N*")</f>
        <v/>
      </c>
      <c r="BH17" s="313">
        <f>COUNTIF(AI17,"*$PM*")</f>
        <v/>
      </c>
      <c r="BI17" s="313">
        <f>BH17*('Setting key Duty'!$I$9)</f>
        <v/>
      </c>
      <c r="BJ17" s="313">
        <f>COUNTIF(A17:AI17,"*$AM*")</f>
        <v/>
      </c>
      <c r="BK17" s="313">
        <f>BJ17*('Setting key Duty'!$I$12+'Setting key Duty'!$I$8)</f>
        <v/>
      </c>
      <c r="BL17" s="313">
        <f>COUNTIF(D17:AI17,"*$FC*")</f>
        <v/>
      </c>
      <c r="BM17" s="313">
        <f>BL17*('Setting key Duty'!$J$11+'Setting key Duty'!$I$8)</f>
        <v/>
      </c>
      <c r="BN17" s="313">
        <f>COUNTIF($D17:$AA17,BN$4)</f>
        <v/>
      </c>
      <c r="BO17" s="313">
        <f>COUNTIF($D17:$AA17,BO$4)</f>
        <v/>
      </c>
      <c r="BP17" s="313">
        <f>COUNTIF($D17:$AA17,BP$4)</f>
        <v/>
      </c>
      <c r="BQ17" s="314" t="n"/>
    </row>
    <row r="18" ht="19.5" customHeight="1">
      <c r="A18" s="309" t="n"/>
      <c r="B18" s="335" t="inlineStr">
        <is>
          <t>LCP JARRETT TSING KEE JIN</t>
        </is>
      </c>
      <c r="C18" s="317" t="n"/>
      <c r="E18" s="197" t="n"/>
      <c r="F18" s="197" t="n"/>
      <c r="G18" s="197" t="n"/>
      <c r="H18" s="197" t="n"/>
      <c r="I18" s="197" t="n"/>
      <c r="J18" s="197" t="n"/>
      <c r="K18" s="197" t="inlineStr">
        <is>
          <t>AMPT</t>
        </is>
      </c>
      <c r="L18" s="197" t="n"/>
      <c r="M18" s="197" t="n"/>
      <c r="N18" s="197" t="n"/>
      <c r="P18" s="197" t="n"/>
      <c r="Q18" s="197" t="n"/>
      <c r="R18" s="197" t="n"/>
      <c r="S18" s="197" t="n"/>
      <c r="T18" s="197" t="n"/>
      <c r="U18" s="197" t="n"/>
      <c r="V18" s="200" t="n"/>
      <c r="W18" s="197" t="n"/>
      <c r="X18" s="197" t="n"/>
      <c r="Y18" s="197" t="n"/>
      <c r="Z18" s="197" t="n"/>
      <c r="AA18" s="197" t="n"/>
      <c r="AB18" s="197" t="n"/>
      <c r="AC18" s="197" t="n"/>
      <c r="AD18" s="197" t="n"/>
      <c r="AE18" s="197" t="n"/>
      <c r="AF18" s="197" t="n"/>
      <c r="AG18" s="197" t="n"/>
      <c r="AH18" s="197" t="n"/>
      <c r="AI18" s="311" t="n"/>
      <c r="AJ18" s="312" t="n"/>
      <c r="AK18" s="311" t="n"/>
      <c r="AL18" s="313" t="n"/>
      <c r="AM18" s="313" t="n"/>
      <c r="AN18" s="313" t="n"/>
      <c r="AO18" s="313" t="n"/>
      <c r="AP18" s="238" t="n"/>
      <c r="AQ18" s="313">
        <f>SUMPRODUCT(--WEEKDAY(C$3:AG$3,2)&lt;6,--((C18:AG18="DM"))+(C18:AG18="CS1")+((C18:AG18="CS2"))+(C18:AG18="SB1")+(C18:AG18="AE")+(C18:AG18="EM"))</f>
        <v/>
      </c>
      <c r="AR18" s="238" t="n"/>
      <c r="AS18" s="238">
        <f>SUMPRODUCT(--WEEKDAY(C$3:AG$3,2)&gt;5,--((C18:AG18="DM"))+(C18:AG18="CS1")+((C18:AG18="CS2"))+(C18:AG18="SB1")+(C18:AG18="AE")+(C18:AG18="EM"))</f>
        <v/>
      </c>
      <c r="AT18" s="238" t="n"/>
      <c r="AU18" s="238">
        <f>(AQ18-AR18)/2+(AS18-AT18)</f>
        <v/>
      </c>
      <c r="AV18" s="238">
        <f>AI18+AJ18+AK18+AL18+AN18+AO18</f>
        <v/>
      </c>
      <c r="AW18" s="238">
        <f>BG18+BH18+BJ18+BE18+BC18+BA18+BL18</f>
        <v/>
      </c>
      <c r="AX18" s="238">
        <f>AU18+$AY$11</f>
        <v/>
      </c>
      <c r="AY18" s="313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/>
      </c>
      <c r="AZ18" s="313">
        <f>COUNTIF(E18:Y18,"*BRT*")</f>
        <v/>
      </c>
      <c r="BA18" s="313">
        <f>COUNTIF(A18:AI18,"*$BTP*")</f>
        <v/>
      </c>
      <c r="BB18" s="313">
        <f>BA18*('Setting key Duty'!$I$13+'Setting key Duty'!$I$12+'Setting key Duty'!$I$11)</f>
        <v/>
      </c>
      <c r="BC18" s="313">
        <f>COUNTIF(A18:AI18,"*$L*")</f>
        <v/>
      </c>
      <c r="BD18" s="313">
        <f>BC18*('Setting key Duty'!$I$13+'Setting key Duty'!$I$9)</f>
        <v/>
      </c>
      <c r="BE18" s="313">
        <f>COUNTIF(A18:AI18,"*$M*")</f>
        <v/>
      </c>
      <c r="BF18" s="313">
        <f>BE18*('Setting key Duty'!$I$8+'Setting key Duty'!$I$9+'Setting key Duty'!$I$12)</f>
        <v/>
      </c>
      <c r="BG18" s="313">
        <f>COUNTIF(AI18,"*$N*")</f>
        <v/>
      </c>
      <c r="BH18" s="313">
        <f>COUNTIF(AI18,"*$PM*")</f>
        <v/>
      </c>
      <c r="BI18" s="313">
        <f>BH18*('Setting key Duty'!$I$9)</f>
        <v/>
      </c>
      <c r="BJ18" s="313">
        <f>COUNTIF(A18:AI18,"*$AM*")</f>
        <v/>
      </c>
      <c r="BK18" s="313">
        <f>BJ18*('Setting key Duty'!$I$12+'Setting key Duty'!$I$8)</f>
        <v/>
      </c>
      <c r="BL18" s="313">
        <f>COUNTIF(E18:AI18,"*$FC*")</f>
        <v/>
      </c>
      <c r="BM18" s="313">
        <f>BL18*('Setting key Duty'!$J$11+'Setting key Duty'!$I$8)</f>
        <v/>
      </c>
      <c r="BN18" s="313">
        <f>COUNTIF($E18:$Y18,BN$4)</f>
        <v/>
      </c>
      <c r="BO18" s="313">
        <f>COUNTIF($E18:$Y18,BO$4)</f>
        <v/>
      </c>
      <c r="BP18" s="313">
        <f>COUNTIF($E18:$Y18,BP$4)</f>
        <v/>
      </c>
      <c r="BQ18" s="314" t="n"/>
    </row>
    <row r="19" ht="30.75" customHeight="1">
      <c r="A19" s="309" t="n"/>
      <c r="B19" s="327" t="inlineStr">
        <is>
          <t>CPL CHEN DENG FENG</t>
        </is>
      </c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N19" s="197" t="n"/>
      <c r="O19" s="197" t="n"/>
      <c r="P19" s="197" t="n"/>
      <c r="Q19" s="197" t="n"/>
      <c r="R19" s="197" t="inlineStr">
        <is>
          <t>AMPT</t>
        </is>
      </c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06" t="n"/>
      <c r="AI19" s="311" t="n"/>
      <c r="AJ19" s="312" t="n"/>
      <c r="AK19" s="311" t="n"/>
      <c r="AL19" s="313" t="n"/>
      <c r="AM19" s="313" t="n"/>
      <c r="AN19" s="313" t="n"/>
      <c r="AO19" s="313" t="n"/>
      <c r="AP19" s="238" t="n"/>
      <c r="AQ19" s="313">
        <f>SUMPRODUCT(--WEEKDAY(C$3:AG$3,2)&lt;6,--((C19:AG19="DM"))+(C19:AG19="CS1")+((C19:AG19="CS2"))+(C19:AG19="SB1")+(C19:AG19="AE")+(C19:AG19="EM"))</f>
        <v/>
      </c>
      <c r="AR19" s="238" t="n"/>
      <c r="AS19" s="238">
        <f>SUMPRODUCT(--WEEKDAY(C$3:AG$3,2)&gt;5,--((C19:AG19="DM"))+(C19:AG19="CS1")+((C19:AG19="CS2"))+(C19:AG19="SB1")+(C19:AG19="AE")+(C19:AG19="EM"))</f>
        <v/>
      </c>
      <c r="AT19" s="238" t="n"/>
      <c r="AU19" s="238">
        <f>(AQ19-AR19)/2+(AS19-AT19)</f>
        <v/>
      </c>
      <c r="AV19" s="238">
        <f>AI19+AJ19+AK19+AL19+AN19+AO19</f>
        <v/>
      </c>
      <c r="AW19" s="238">
        <f>BG19+BH19+BJ19+BE19+BC19+BA19+BL19</f>
        <v/>
      </c>
      <c r="AX19" s="238">
        <f>AU19+$AY$11</f>
        <v/>
      </c>
      <c r="AY19" s="313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/>
      </c>
      <c r="AZ19" s="313">
        <f>COUNTIF(D19:AA19,"*BRT*")</f>
        <v/>
      </c>
      <c r="BA19" s="313">
        <f>COUNTIF(A19:AI19,"*$BTP*")</f>
        <v/>
      </c>
      <c r="BB19" s="313">
        <f>BA19*('Setting key Duty'!$I$13+'Setting key Duty'!$I$12+'Setting key Duty'!$I$11)</f>
        <v/>
      </c>
      <c r="BC19" s="313">
        <f>COUNTIF(A19:AI19,"*$L*")</f>
        <v/>
      </c>
      <c r="BD19" s="313">
        <f>BC19*('Setting key Duty'!$I$13+'Setting key Duty'!$I$9)</f>
        <v/>
      </c>
      <c r="BE19" s="313">
        <f>COUNTIF(A19:AI19,"*$M*")</f>
        <v/>
      </c>
      <c r="BF19" s="313">
        <f>BE19*('Setting key Duty'!$I$8+'Setting key Duty'!$I$9+'Setting key Duty'!$I$12)</f>
        <v/>
      </c>
      <c r="BG19" s="313">
        <f>COUNTIF(AI19,"*$N*")</f>
        <v/>
      </c>
      <c r="BH19" s="313">
        <f>COUNTIF(AI19,"*$PM*")</f>
        <v/>
      </c>
      <c r="BI19" s="313">
        <f>BH19*('Setting key Duty'!$I$9)</f>
        <v/>
      </c>
      <c r="BJ19" s="313">
        <f>COUNTIF(A19:AI19,"*$AM*")</f>
        <v/>
      </c>
      <c r="BK19" s="313">
        <f>BJ19*('Setting key Duty'!$I$12+'Setting key Duty'!$I$8)</f>
        <v/>
      </c>
      <c r="BL19" s="313">
        <f>COUNTIF(D19:AI19,"*$FC*")</f>
        <v/>
      </c>
      <c r="BM19" s="313">
        <f>BL19*('Setting key Duty'!$J$11+'Setting key Duty'!$I$8)</f>
        <v/>
      </c>
      <c r="BN19" s="313">
        <f>COUNTIF($D19:$AA19,BN$4)</f>
        <v/>
      </c>
      <c r="BO19" s="313">
        <f>COUNTIF($D19:$AA19,BO$4)</f>
        <v/>
      </c>
      <c r="BP19" s="313">
        <f>COUNTIF($D19:$AA19,BP$4)</f>
        <v/>
      </c>
      <c r="BQ19" s="314" t="n"/>
    </row>
    <row r="20" ht="27.75" customHeight="1">
      <c r="A20" s="309" t="n"/>
      <c r="B20" s="336" t="inlineStr">
        <is>
          <t>CPL EUAN TING</t>
        </is>
      </c>
      <c r="D20" s="197" t="n"/>
      <c r="E20" s="197" t="n"/>
      <c r="G20" s="197" t="n"/>
      <c r="I20" s="197" t="n"/>
      <c r="J20" s="197" t="n"/>
      <c r="K20" s="197" t="n"/>
      <c r="L20" s="196" t="n"/>
      <c r="M20" s="197" t="n"/>
      <c r="N20" s="197" t="n"/>
      <c r="P20" s="197" t="n"/>
      <c r="Q20" s="197" t="n"/>
      <c r="R20" s="197" t="inlineStr">
        <is>
          <t>W $AM CC (0600-1000)</t>
        </is>
      </c>
      <c r="S20" s="197" t="n"/>
      <c r="T20" s="197" t="n"/>
      <c r="U20" s="197" t="n"/>
      <c r="V20" s="200" t="n"/>
      <c r="W20" s="197" t="n"/>
      <c r="X20" s="197" t="n"/>
      <c r="Y20" s="197" t="n"/>
      <c r="Z20" s="197" t="n"/>
      <c r="AA20" s="197" t="n"/>
      <c r="AB20" s="197" t="n"/>
      <c r="AC20" s="317" t="n"/>
      <c r="AD20" s="197" t="n"/>
      <c r="AE20" s="197" t="n"/>
      <c r="AF20" s="197" t="n"/>
      <c r="AG20" s="197" t="n"/>
      <c r="AH20" s="197" t="n"/>
      <c r="AI20" s="311" t="n"/>
      <c r="AJ20" s="312" t="n"/>
      <c r="AK20" s="311" t="n"/>
      <c r="AL20" s="313" t="n"/>
      <c r="AM20" s="313" t="n"/>
      <c r="AN20" s="313" t="n"/>
      <c r="AO20" s="313" t="n"/>
      <c r="AP20" s="238" t="n"/>
      <c r="AQ20" s="313">
        <f>SUMPRODUCT(--WEEKDAY(C$3:AG$3,2)&lt;6,--((C20:AG20="DM"))+(C20:AG20="CS1")+((C20:AG20="CS2"))+(C20:AG20="SB1")+(C20:AG20="AE")+(C20:AG20="EM"))</f>
        <v/>
      </c>
      <c r="AR20" s="238" t="n"/>
      <c r="AS20" s="238">
        <f>SUMPRODUCT(--WEEKDAY(C$3:AG$3,2)&gt;5,--((C20:AG20="DM"))+(C20:AG20="CS1")+((C20:AG20="CS2"))+(C20:AG20="SB1")+(C20:AG20="AE")+(C20:AG20="EM"))</f>
        <v/>
      </c>
      <c r="AT20" s="238" t="n"/>
      <c r="AU20" s="238">
        <f>(AQ20-AR20)/2+(AS20-AT20)</f>
        <v/>
      </c>
      <c r="AV20" s="238">
        <f>AI20+AJ20+AK20+AL20+AN20+AO20</f>
        <v/>
      </c>
      <c r="AW20" s="238">
        <f>BG20+BH20+BJ20+BE20+BC20+BA20+BL20</f>
        <v/>
      </c>
      <c r="AX20" s="238">
        <f>AU20+$AY$11</f>
        <v/>
      </c>
      <c r="AY20" s="313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/>
      </c>
      <c r="AZ20" s="313">
        <f>COUNTIF(C20:AA20,"*BRT*")</f>
        <v/>
      </c>
      <c r="BA20" s="313">
        <f>COUNTIF(A20:AI20,"*$BTP*")</f>
        <v/>
      </c>
      <c r="BB20" s="313">
        <f>BA20*('Setting key Duty'!$I$13+'Setting key Duty'!$I$12+'Setting key Duty'!$I$11)</f>
        <v/>
      </c>
      <c r="BC20" s="313">
        <f>COUNTIF(A20:AI20,"*$L*")</f>
        <v/>
      </c>
      <c r="BD20" s="313">
        <f>BC20*('Setting key Duty'!$I$13+'Setting key Duty'!$I$9)</f>
        <v/>
      </c>
      <c r="BE20" s="313">
        <f>COUNTIF(A20:AI20,"*$M*")</f>
        <v/>
      </c>
      <c r="BF20" s="313">
        <f>BE20*('Setting key Duty'!$I$8+'Setting key Duty'!$I$9+'Setting key Duty'!$I$12)</f>
        <v/>
      </c>
      <c r="BG20" s="313">
        <f>COUNTIF(AI20,"*$N*")</f>
        <v/>
      </c>
      <c r="BH20" s="313">
        <f>COUNTIF(AI20,"*$PM*")</f>
        <v/>
      </c>
      <c r="BI20" s="313">
        <f>BH20*('Setting key Duty'!$I$9)</f>
        <v/>
      </c>
      <c r="BJ20" s="313">
        <f>COUNTIF(A20:AI20,"*$AM*")</f>
        <v/>
      </c>
      <c r="BK20" s="313">
        <f>BJ20*('Setting key Duty'!$I$12+'Setting key Duty'!$I$8)</f>
        <v/>
      </c>
      <c r="BL20" s="313">
        <f>COUNTIF(C20:AI20,"*$FC*")</f>
        <v/>
      </c>
      <c r="BM20" s="313">
        <f>BL20*('Setting key Duty'!$J$11+'Setting key Duty'!$I$8)</f>
        <v/>
      </c>
      <c r="BN20" s="313">
        <f>COUNTIF($C20:$AA20,BN$4)</f>
        <v/>
      </c>
      <c r="BO20" s="313">
        <f>COUNTIF($C20:$AA20,BO$4)</f>
        <v/>
      </c>
      <c r="BP20" s="313">
        <f>COUNTIF($C20:$AA20,BP$4)</f>
        <v/>
      </c>
      <c r="BQ20" s="314" t="n"/>
    </row>
    <row r="21" ht="19.5" customHeight="1">
      <c r="A21" s="309" t="n"/>
      <c r="B21" s="332" t="inlineStr">
        <is>
          <t xml:space="preserve">CPL SEE WEI ZHI </t>
        </is>
      </c>
      <c r="C21" s="316" t="n"/>
      <c r="D21" s="197" t="n"/>
      <c r="E21" s="197" t="n"/>
      <c r="F21" s="197" t="n"/>
      <c r="G21" s="197" t="n"/>
      <c r="H21" s="197" t="n"/>
      <c r="I21" s="197" t="n"/>
      <c r="J21" s="317" t="n"/>
      <c r="K21" s="197" t="n"/>
      <c r="L21" s="197" t="n"/>
      <c r="M21" s="317" t="n"/>
      <c r="N21" s="197" t="inlineStr">
        <is>
          <t>CS2</t>
        </is>
      </c>
      <c r="O21" s="197" t="n"/>
      <c r="P21" s="318" t="inlineStr">
        <is>
          <t>MSP REHEARSAL</t>
        </is>
      </c>
      <c r="Q21" s="318" t="inlineStr">
        <is>
          <t>MSP REHEARSAL</t>
        </is>
      </c>
      <c r="R21" s="197" t="n"/>
      <c r="T21" s="318" t="inlineStr">
        <is>
          <t>MSP</t>
        </is>
      </c>
      <c r="U21" s="197" t="n"/>
      <c r="V21" s="197" t="n"/>
      <c r="X21" s="197" t="n"/>
      <c r="Y21" s="197" t="n"/>
      <c r="AA21" s="197" t="n"/>
      <c r="AB21" s="317" t="n"/>
      <c r="AC21" s="197" t="n"/>
      <c r="AD21" s="317" t="n"/>
      <c r="AF21" s="197" t="n"/>
      <c r="AG21" s="197" t="n"/>
      <c r="AH21" s="197" t="n"/>
      <c r="AI21" s="311" t="n"/>
      <c r="AJ21" s="312" t="n"/>
      <c r="AK21" s="311" t="n"/>
      <c r="AL21" s="313" t="n"/>
      <c r="AM21" s="313" t="n"/>
      <c r="AN21" s="313" t="n"/>
      <c r="AO21" s="313" t="n"/>
      <c r="AP21" s="238" t="n"/>
      <c r="AQ21" s="313">
        <f>SUMPRODUCT(--WEEKDAY(C$3:AG$3,2)&lt;6,--((C21:AG21="DM"))+(C21:AG21="CS1")+((C21:AG21="CS2"))+(C21:AG21="SB1")+(C21:AG21="AE")+(C21:AG21="EM"))</f>
        <v/>
      </c>
      <c r="AR21" s="238" t="n"/>
      <c r="AS21" s="238">
        <f>SUMPRODUCT(--WEEKDAY(C$3:AG$3,2)&gt;5,--((C21:AG21="DM"))+(C21:AG21="CS1")+((C21:AG21="CS2"))+(C21:AG21="SB1")+(C21:AG21="AE")+(C21:AG21="EM"))</f>
        <v/>
      </c>
      <c r="AT21" s="238" t="n"/>
      <c r="AU21" s="238">
        <f>(AQ21-AR21)/2+(AS21-AT21)</f>
        <v/>
      </c>
      <c r="AV21" s="238">
        <f>AI21+AJ21+AK21+AL21+AN21+AO21</f>
        <v/>
      </c>
      <c r="AW21" s="238">
        <f>BG21+BH21+BJ21+BE21+BC21+BA21+BL21</f>
        <v/>
      </c>
      <c r="AX21" s="238">
        <f>AU21+AY21</f>
        <v/>
      </c>
      <c r="AY21" s="313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/>
      </c>
      <c r="AZ21" s="313">
        <f>COUNTIF(D21:AB21,"*BRT*")</f>
        <v/>
      </c>
      <c r="BA21" s="313">
        <f>COUNTIF(A21:AI21,"*$BTP*")</f>
        <v/>
      </c>
      <c r="BB21" s="313">
        <f>BA21*('Setting key Duty'!$I$13+'Setting key Duty'!$I$12+'Setting key Duty'!$I$11)</f>
        <v/>
      </c>
      <c r="BC21" s="313">
        <f>COUNTIF(A21:AI21,"*$L*")</f>
        <v/>
      </c>
      <c r="BD21" s="313">
        <f>BC21*('Setting key Duty'!$I$13+'Setting key Duty'!$I$9)</f>
        <v/>
      </c>
      <c r="BE21" s="313">
        <f>COUNTIF(A21:AI21,"*$M*")</f>
        <v/>
      </c>
      <c r="BF21" s="313">
        <f>BE21*('Setting key Duty'!$I$8+'Setting key Duty'!$I$9+'Setting key Duty'!$I$12)</f>
        <v/>
      </c>
      <c r="BG21" s="313">
        <f>COUNTIF(AF21:AI21,"*$N*")</f>
        <v/>
      </c>
      <c r="BH21" s="313">
        <f>COUNTIF(AF21:AI21,"*$PM*")</f>
        <v/>
      </c>
      <c r="BI21" s="313">
        <f>BH21*('Setting key Duty'!$I$9)</f>
        <v/>
      </c>
      <c r="BJ21" s="313">
        <f>COUNTIF(A21:AI21,"*$AM*")</f>
        <v/>
      </c>
      <c r="BK21" s="313">
        <f>BJ21*('Setting key Duty'!$I$12+'Setting key Duty'!$I$8)</f>
        <v/>
      </c>
      <c r="BL21" s="313">
        <f>COUNTIF(D21:AI21,"*$FC*")</f>
        <v/>
      </c>
      <c r="BM21" s="313">
        <f>BL21*('Setting key Duty'!$J$11+'Setting key Duty'!$I$8)</f>
        <v/>
      </c>
      <c r="BN21" s="313">
        <f>COUNTIF($D21:$AF21,BN$4)</f>
        <v/>
      </c>
      <c r="BO21" s="313">
        <f>COUNTIF($D21:$AF21,BO$4)</f>
        <v/>
      </c>
      <c r="BP21" s="313">
        <f>COUNTIF($D21:$AF21,BP$4)</f>
        <v/>
      </c>
      <c r="BQ21" s="314" t="n"/>
    </row>
    <row r="22" ht="19.5" customHeight="1">
      <c r="A22" s="309" t="n"/>
      <c r="B22" s="337" t="inlineStr">
        <is>
          <t>LCP QUEK ZI YI</t>
        </is>
      </c>
      <c r="C22" s="197" t="n"/>
      <c r="D22" s="197" t="n"/>
      <c r="E22" s="197" t="n"/>
      <c r="F22" s="197" t="n"/>
      <c r="G22" s="197" t="n"/>
      <c r="H22" s="197" t="n"/>
      <c r="I22" s="197" t="n"/>
      <c r="J22" s="317" t="n"/>
      <c r="K22" s="197" t="n"/>
      <c r="L22" s="320" t="n"/>
      <c r="M22" s="317" t="n"/>
      <c r="N22" s="197" t="n"/>
      <c r="O22" s="197" t="n"/>
      <c r="P22" s="338" t="n"/>
      <c r="Q22" s="338" t="n"/>
      <c r="R22" s="197" t="n"/>
      <c r="T22" s="318" t="n"/>
      <c r="U22" s="197" t="n"/>
      <c r="V22" s="197" t="n"/>
      <c r="X22" s="197" t="n"/>
      <c r="Y22" s="197" t="n"/>
      <c r="AA22" s="197" t="n"/>
      <c r="AB22" s="317" t="n"/>
      <c r="AC22" s="197" t="n"/>
      <c r="AD22" s="320" t="n"/>
      <c r="AF22" s="197" t="n"/>
      <c r="AG22" s="197" t="inlineStr">
        <is>
          <t>R $BTP (0500-2359)</t>
        </is>
      </c>
      <c r="AH22" s="197" t="n"/>
      <c r="AI22" s="311" t="n"/>
      <c r="AJ22" s="312" t="n"/>
      <c r="AK22" s="311" t="n"/>
      <c r="AL22" s="313" t="n"/>
      <c r="AM22" s="313" t="n"/>
      <c r="AN22" s="313" t="n"/>
      <c r="AO22" s="313" t="n"/>
      <c r="AP22" s="238" t="n"/>
      <c r="AQ22" s="313" t="n"/>
      <c r="AR22" s="238" t="n"/>
      <c r="AS22" s="238" t="n"/>
      <c r="AT22" s="238" t="n"/>
      <c r="AU22" s="238" t="n"/>
      <c r="AV22" s="238" t="n"/>
      <c r="AW22" s="238" t="n"/>
      <c r="AX22" s="238" t="n"/>
      <c r="AY22" s="313" t="n"/>
      <c r="AZ22" s="313" t="n"/>
      <c r="BA22" s="313" t="n"/>
      <c r="BB22" s="313" t="n"/>
      <c r="BC22" s="313" t="n"/>
      <c r="BD22" s="313" t="n"/>
      <c r="BE22" s="313" t="n"/>
      <c r="BF22" s="313" t="n"/>
      <c r="BG22" s="313" t="n"/>
      <c r="BH22" s="313" t="n"/>
      <c r="BI22" s="313" t="n"/>
      <c r="BJ22" s="313" t="n"/>
      <c r="BK22" s="313" t="n"/>
      <c r="BL22" s="313" t="n"/>
      <c r="BM22" s="313" t="n"/>
      <c r="BN22" s="313" t="n"/>
      <c r="BO22" s="313" t="n"/>
      <c r="BP22" s="313" t="n"/>
      <c r="BQ22" s="314" t="n"/>
    </row>
    <row r="23" ht="19.5" customHeight="1">
      <c r="A23" s="309" t="n"/>
      <c r="B23" s="339" t="inlineStr">
        <is>
          <t>CPL MARK WU</t>
        </is>
      </c>
      <c r="C23" s="340" t="inlineStr">
        <is>
          <t>DISPENSE</t>
        </is>
      </c>
      <c r="D23" s="340" t="inlineStr">
        <is>
          <t>DISPENSE</t>
        </is>
      </c>
      <c r="E23" s="340" t="inlineStr">
        <is>
          <t>DISPENSE</t>
        </is>
      </c>
      <c r="F23" s="318" t="inlineStr">
        <is>
          <t>DISPENSE</t>
        </is>
      </c>
      <c r="G23" s="318" t="inlineStr">
        <is>
          <t>DISPENSE</t>
        </is>
      </c>
      <c r="H23" s="318" t="inlineStr">
        <is>
          <t>DISPENSE</t>
        </is>
      </c>
      <c r="I23" s="340" t="inlineStr">
        <is>
          <t>DISPENSE</t>
        </is>
      </c>
      <c r="J23" s="340" t="inlineStr">
        <is>
          <t>DISPENSE</t>
        </is>
      </c>
      <c r="K23" s="340" t="inlineStr">
        <is>
          <t>DISPENSE</t>
        </is>
      </c>
      <c r="L23" s="340" t="inlineStr">
        <is>
          <t>DISPENSE</t>
        </is>
      </c>
      <c r="M23" s="318" t="inlineStr">
        <is>
          <t>DISPENSE</t>
        </is>
      </c>
      <c r="N23" s="197" t="n"/>
      <c r="O23" s="197" t="n"/>
      <c r="R23" s="197" t="inlineStr">
        <is>
          <t>AMPT</t>
        </is>
      </c>
      <c r="T23" s="197" t="n"/>
      <c r="U23" s="197" t="inlineStr">
        <is>
          <t>DUTY</t>
        </is>
      </c>
      <c r="V23" s="200" t="n"/>
      <c r="W23" s="197" t="n"/>
      <c r="X23" s="197" t="n"/>
      <c r="Y23" s="197" t="n"/>
      <c r="Z23" s="197" t="n"/>
      <c r="AA23" s="197" t="n"/>
      <c r="AB23" s="197" t="n"/>
      <c r="AC23" s="197" t="inlineStr">
        <is>
          <t>DUTY</t>
        </is>
      </c>
      <c r="AE23" s="197" t="n"/>
      <c r="AF23" s="197" t="n"/>
      <c r="AG23" s="197" t="n"/>
      <c r="AH23" s="197" t="n"/>
      <c r="AI23" s="311" t="n"/>
      <c r="AJ23" s="312" t="n"/>
      <c r="AK23" s="311" t="n"/>
      <c r="AL23" s="313" t="n"/>
      <c r="AM23" s="313" t="n"/>
      <c r="AN23" s="313" t="n"/>
      <c r="AO23" s="313" t="n"/>
      <c r="AP23" s="238" t="n"/>
      <c r="AQ23" s="313">
        <f>SUMPRODUCT(--WEEKDAY(C$3:AG$3,2)&lt;6,--((C23:AG23="DM"))+(C23:AG23="CS1")+((C23:AG23="CS2"))+(C23:AG23="SB1")+(C23:AG23="AE")+(C23:AG23="EM"))</f>
        <v/>
      </c>
      <c r="AR23" s="238" t="n"/>
      <c r="AS23" s="238">
        <f>SUMPRODUCT(--WEEKDAY(C$3:AG$3,2)&gt;5,--((C23:AG23="DM"))+(C23:AG23="CS1")+((C23:AG23="CS2"))+(C23:AG23="SB1")+(C23:AG23="AE")+(C23:AG23="EM"))</f>
        <v/>
      </c>
      <c r="AT23" s="238" t="n"/>
      <c r="AU23" s="238">
        <f>(AQ23-AR23)/2+(AS23-AT23)</f>
        <v/>
      </c>
      <c r="AV23" s="238">
        <f>AI23+AJ23+AK23+AL23+AN23+AO23</f>
        <v/>
      </c>
      <c r="AW23" s="238">
        <f>BG23+BH23+BJ23+BE23+BC23+BA23+BL23</f>
        <v/>
      </c>
      <c r="AX23" s="238">
        <f>AU23+$AY$11</f>
        <v/>
      </c>
      <c r="AY23" s="313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/>
      </c>
      <c r="AZ23" s="313" t="n"/>
      <c r="BA23" s="313" t="n"/>
      <c r="BB23" s="313" t="n"/>
      <c r="BC23" s="313" t="n"/>
      <c r="BD23" s="313" t="n"/>
      <c r="BE23" s="313" t="n"/>
      <c r="BF23" s="313" t="n"/>
      <c r="BG23" s="313" t="n"/>
      <c r="BH23" s="313" t="n"/>
      <c r="BI23" s="313" t="n"/>
      <c r="BJ23" s="313" t="n"/>
      <c r="BK23" s="313" t="n"/>
      <c r="BL23" s="313" t="n"/>
      <c r="BM23" s="313" t="n"/>
      <c r="BN23" s="313" t="n"/>
      <c r="BO23" s="313" t="n"/>
      <c r="BP23" s="313" t="n"/>
      <c r="BQ23" s="314" t="n"/>
    </row>
    <row r="24" ht="19.5" customHeight="1">
      <c r="A24" s="309" t="n"/>
      <c r="B24" s="341" t="inlineStr">
        <is>
          <t>LCP HO SHENGHUI HAYDEN</t>
        </is>
      </c>
      <c r="C24" s="197" t="inlineStr">
        <is>
          <t>MA</t>
        </is>
      </c>
      <c r="D24" s="340" t="n"/>
      <c r="E24" s="342" t="n"/>
      <c r="F24" s="318" t="n"/>
      <c r="G24" s="318" t="n"/>
      <c r="H24" s="318" t="n"/>
      <c r="I24" s="340" t="n"/>
      <c r="J24" s="340" t="n"/>
      <c r="K24" s="340" t="n"/>
      <c r="L24" s="340" t="n"/>
      <c r="M24" s="338" t="inlineStr">
        <is>
          <t>MA</t>
        </is>
      </c>
      <c r="N24" s="283" t="n"/>
      <c r="O24" s="197" t="n"/>
      <c r="R24" s="197" t="n"/>
      <c r="T24" s="197" t="n"/>
      <c r="U24" s="197" t="n"/>
      <c r="V24" s="200" t="n"/>
      <c r="W24" s="197" t="n"/>
      <c r="X24" s="197" t="n"/>
      <c r="Y24" s="283" t="n"/>
      <c r="Z24" s="197" t="inlineStr">
        <is>
          <t>MA</t>
        </is>
      </c>
      <c r="AA24" s="283" t="n"/>
      <c r="AB24" s="197" t="n"/>
      <c r="AC24" s="197" t="n"/>
      <c r="AE24" s="197" t="n"/>
      <c r="AF24" s="197" t="inlineStr">
        <is>
          <t>MA</t>
        </is>
      </c>
      <c r="AG24" s="197" t="inlineStr">
        <is>
          <t>MA</t>
        </is>
      </c>
      <c r="AH24" s="197" t="n"/>
      <c r="AI24" s="311" t="n"/>
      <c r="AJ24" s="312" t="n"/>
      <c r="AK24" s="311" t="n"/>
      <c r="AL24" s="313" t="n"/>
      <c r="AM24" s="313" t="n"/>
      <c r="AN24" s="313" t="n"/>
      <c r="AO24" s="313" t="n"/>
      <c r="AP24" s="238" t="n"/>
      <c r="AQ24" s="313" t="n"/>
      <c r="AR24" s="238" t="n"/>
      <c r="AS24" s="238" t="n"/>
      <c r="AT24" s="238" t="n"/>
      <c r="AU24" s="238" t="n"/>
      <c r="AV24" s="238" t="n"/>
      <c r="AW24" s="238" t="n"/>
      <c r="AX24" s="238" t="n"/>
      <c r="AY24" s="313" t="n"/>
      <c r="AZ24" s="313" t="n"/>
      <c r="BA24" s="313" t="n"/>
      <c r="BB24" s="313" t="n"/>
      <c r="BC24" s="313" t="n"/>
      <c r="BD24" s="313" t="n"/>
      <c r="BE24" s="313" t="n"/>
      <c r="BF24" s="313" t="n"/>
      <c r="BG24" s="313" t="n"/>
      <c r="BH24" s="313" t="n"/>
      <c r="BI24" s="313" t="n"/>
      <c r="BJ24" s="313" t="n"/>
      <c r="BK24" s="313" t="n"/>
      <c r="BL24" s="313" t="n"/>
      <c r="BM24" s="313" t="n"/>
      <c r="BN24" s="313" t="n"/>
      <c r="BO24" s="313" t="n"/>
      <c r="BP24" s="313" t="n"/>
      <c r="BQ24" s="314" t="n"/>
    </row>
    <row r="25" ht="19.5" customHeight="1">
      <c r="A25" s="309" t="n"/>
      <c r="B25" s="327" t="inlineStr">
        <is>
          <t xml:space="preserve">CPL WAN FARID BIN ABDULLAH </t>
        </is>
      </c>
      <c r="C25" s="316" t="n"/>
      <c r="D25" s="197" t="n"/>
      <c r="E25" s="1" t="inlineStr">
        <is>
          <t>DUTY</t>
        </is>
      </c>
      <c r="F25" s="197" t="n"/>
      <c r="G25" s="197" t="n"/>
      <c r="H25" s="197" t="n"/>
      <c r="I25" s="197" t="n"/>
      <c r="J25" s="197" t="n"/>
      <c r="K25" s="197" t="n"/>
      <c r="L25" s="197" t="n"/>
      <c r="M25" s="317" t="n"/>
      <c r="O25" s="197" t="n"/>
      <c r="P25" s="318" t="inlineStr">
        <is>
          <t>MSP REHEARSAL</t>
        </is>
      </c>
      <c r="Q25" s="318" t="inlineStr">
        <is>
          <t>MSP REHEARSAL</t>
        </is>
      </c>
      <c r="R25" s="197" t="n"/>
      <c r="S25" s="197" t="n"/>
      <c r="T25" s="318" t="inlineStr">
        <is>
          <t>MSP</t>
        </is>
      </c>
      <c r="U25" s="196" t="n"/>
      <c r="V25" s="196" t="n"/>
      <c r="W25" s="197" t="n"/>
      <c r="X25" s="197" t="n"/>
      <c r="Z25" s="197" t="n"/>
      <c r="AB25" s="197" t="n"/>
      <c r="AC25" s="197" t="n"/>
      <c r="AD25" s="317" t="n"/>
      <c r="AE25" s="197" t="n"/>
      <c r="AF25" s="197" t="inlineStr">
        <is>
          <t>R $BTP (0500-2359)</t>
        </is>
      </c>
      <c r="AG25" s="197" t="n"/>
      <c r="AH25" s="197" t="n"/>
      <c r="AI25" s="311" t="n"/>
      <c r="AJ25" s="312" t="n"/>
      <c r="AK25" s="311" t="n"/>
      <c r="AL25" s="313" t="n"/>
      <c r="AM25" s="313" t="n"/>
      <c r="AN25" s="313" t="n"/>
      <c r="AO25" s="313" t="n"/>
      <c r="AP25" s="238" t="n"/>
      <c r="AQ25" s="313">
        <f>SUMPRODUCT(--WEEKDAY(C$3:AG$3,2)&lt;6,--((C25:AG25="DM"))+(C25:AG25="CS1")+((C25:AG25="CS2"))+(C25:AG25="SB1")+(C25:AG25="AE")+(C25:AG25="EM"))</f>
        <v/>
      </c>
      <c r="AR25" s="238" t="n"/>
      <c r="AS25" s="238">
        <f>SUMPRODUCT(--WEEKDAY(C$3:AG$3,2)&gt;5,--((C25:AG25="DM"))+(C25:AG25="CS1")+((C25:AG25="CS2"))+(C25:AG25="SB1")+(C25:AG25="AE")+(C25:AG25="EM"))</f>
        <v/>
      </c>
      <c r="AT25" s="238" t="n"/>
      <c r="AU25" s="238">
        <f>(AQ25-AR25)/2+(AS25-AT25)</f>
        <v/>
      </c>
      <c r="AV25" s="238">
        <f>AI25+AJ25+AK25+AL25+AN25+AO25</f>
        <v/>
      </c>
      <c r="AW25" s="238">
        <f>BG25+BH25+BJ25+BE25+BC25+BA25+BL25</f>
        <v/>
      </c>
      <c r="AX25" s="238">
        <f>AU25+AY25</f>
        <v/>
      </c>
      <c r="AY25" s="313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/>
      </c>
      <c r="AZ25" s="313">
        <f>COUNTIF(D25:AA25,"*BRT*")</f>
        <v/>
      </c>
      <c r="BA25" s="313">
        <f>COUNTIF(A25:AI25,"*$BTP*")</f>
        <v/>
      </c>
      <c r="BB25" s="313">
        <f>BA25*('Setting key Duty'!$I$13+'Setting key Duty'!$I$12+'Setting key Duty'!$I$11)</f>
        <v/>
      </c>
      <c r="BC25" s="313">
        <f>COUNTIF(A25:AI25,"*$L*")</f>
        <v/>
      </c>
      <c r="BD25" s="313">
        <f>BC25*('Setting key Duty'!$I$13+'Setting key Duty'!$I$9)</f>
        <v/>
      </c>
      <c r="BE25" s="313">
        <f>COUNTIF(A25:AI25,"*$M*")</f>
        <v/>
      </c>
      <c r="BF25" s="313">
        <f>BE25*('Setting key Duty'!$I$8+'Setting key Duty'!$I$9+'Setting key Duty'!$I$12)</f>
        <v/>
      </c>
      <c r="BG25" s="313">
        <f>COUNTIF(AI25,"*$N*")</f>
        <v/>
      </c>
      <c r="BH25" s="313">
        <f>COUNTIF(AI25,"*$PM*")</f>
        <v/>
      </c>
      <c r="BI25" s="313">
        <f>BH25*('Setting key Duty'!$I$9)</f>
        <v/>
      </c>
      <c r="BJ25" s="313">
        <f>COUNTIF(A25:AI25,"*$AM*")</f>
        <v/>
      </c>
      <c r="BK25" s="313">
        <f>BJ25*('Setting key Duty'!$I$12+'Setting key Duty'!$I$8)</f>
        <v/>
      </c>
      <c r="BL25" s="313">
        <f>COUNTIF(D25:AI25,"*$FC*")</f>
        <v/>
      </c>
      <c r="BM25" s="313">
        <f>BL25*('Setting key Duty'!$J$11+'Setting key Duty'!$I$8)</f>
        <v/>
      </c>
      <c r="BN25" s="313">
        <f>COUNTIF($D25:$AA25,BN$4)</f>
        <v/>
      </c>
      <c r="BO25" s="313">
        <f>COUNTIF($D25:$AA25,BO$4)</f>
        <v/>
      </c>
      <c r="BP25" s="313">
        <f>COUNTIF($D25:$AA25,BP$4)</f>
        <v/>
      </c>
      <c r="BQ25" s="314" t="n"/>
    </row>
    <row r="26" ht="19.5" customHeight="1">
      <c r="A26" s="309" t="n"/>
      <c r="B26" s="337" t="inlineStr">
        <is>
          <t>LCP CHIA TECK IAN</t>
        </is>
      </c>
      <c r="C26" s="197" t="n"/>
      <c r="D26" s="106" t="n"/>
      <c r="E26" s="197" t="n"/>
      <c r="F26" s="197" t="n"/>
      <c r="G26" s="197" t="n"/>
      <c r="H26" s="197" t="n"/>
      <c r="I26" s="197" t="n"/>
      <c r="J26" s="197" t="n"/>
      <c r="K26" s="197" t="n"/>
      <c r="L26" s="197" t="n"/>
      <c r="M26" s="197" t="inlineStr">
        <is>
          <t>TPP $AM IPPT (0900-1050)</t>
        </is>
      </c>
      <c r="N26" s="197" t="n"/>
      <c r="O26" s="197" t="n"/>
      <c r="P26" s="197" t="inlineStr">
        <is>
          <t>W $AM IPPT (0500-1000)</t>
        </is>
      </c>
      <c r="Q26" s="197" t="n"/>
      <c r="R26" s="197" t="n"/>
      <c r="S26" s="197" t="n"/>
      <c r="T26" s="197" t="n"/>
      <c r="U26" s="197" t="n"/>
      <c r="V26" s="200" t="n"/>
      <c r="W26" s="197" t="n"/>
      <c r="X26" s="197" t="n"/>
      <c r="Y26" s="197" t="n"/>
      <c r="AA26" s="197" t="n"/>
      <c r="AB26" s="197" t="n"/>
      <c r="AC26" s="197" t="n"/>
      <c r="AD26" s="317" t="n"/>
      <c r="AE26" s="197" t="n"/>
      <c r="AF26" s="317" t="n"/>
      <c r="AH26" s="197" t="n"/>
      <c r="AI26" s="311" t="n"/>
      <c r="AJ26" s="312" t="n"/>
      <c r="AK26" s="311" t="n"/>
      <c r="AL26" s="313" t="n"/>
      <c r="AM26" s="313" t="n"/>
      <c r="AN26" s="313" t="n"/>
      <c r="AO26" s="313" t="n"/>
      <c r="AP26" s="238" t="n"/>
      <c r="AQ26" s="313">
        <f>SUMPRODUCT(--WEEKDAY(C$3:AG$3,2)&lt;6,--((C26:AG26="DM"))+(C26:AG26="CS1")+((C26:AG26="CS2"))+(C26:AG26="SB1")+(C26:AG26="AE")+(C26:AG26="EM"))</f>
        <v/>
      </c>
      <c r="AR26" s="238" t="n"/>
      <c r="AS26" s="238">
        <f>SUMPRODUCT(--WEEKDAY(C$3:AG$3,2)&gt;5,--((C26:AG26="DM"))+(C26:AG26="CS1")+((C26:AG26="CS2"))+(C26:AG26="SB1")+(C26:AG26="AE")+(C26:AG26="EM"))</f>
        <v/>
      </c>
      <c r="AT26" s="238" t="n"/>
      <c r="AU26" s="238">
        <f>(AQ26-AR26)/2+(AS26-AT26)</f>
        <v/>
      </c>
      <c r="AV26" s="238">
        <f>AI26+AJ26+AK26+AL26+AN26+AO26</f>
        <v/>
      </c>
      <c r="AW26" s="238">
        <f>BG26+BH26+BJ26+BE26+BC26+BA26+BL26</f>
        <v/>
      </c>
      <c r="AX26" s="238">
        <f>AU26+AY26</f>
        <v/>
      </c>
      <c r="AY26" s="313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/>
      </c>
      <c r="AZ26" s="313">
        <f>COUNTIF(C26:W26,"*BRT*")</f>
        <v/>
      </c>
      <c r="BA26" s="313">
        <f>COUNTIF(A26:AI26,"*$BTP*")</f>
        <v/>
      </c>
      <c r="BB26" s="313">
        <f>BA26*('Setting key Duty'!$I$13+'Setting key Duty'!$I$12+'Setting key Duty'!$I$11)</f>
        <v/>
      </c>
      <c r="BC26" s="313">
        <f>COUNTIF(D26:AI26,"*$L*")</f>
        <v/>
      </c>
      <c r="BD26" s="313">
        <f>BC26*('Setting key Duty'!$I$13+'Setting key Duty'!$I$9)</f>
        <v/>
      </c>
      <c r="BE26" s="313">
        <f>COUNTIF(D26:AI26,"*$M*")</f>
        <v/>
      </c>
      <c r="BF26" s="313">
        <f>BE26*('Setting key Duty'!$I$8+'Setting key Duty'!$I$9+'Setting key Duty'!$I$12)</f>
        <v/>
      </c>
      <c r="BG26" s="313">
        <f>COUNTIF(D26:AI26,"*$N*")</f>
        <v/>
      </c>
      <c r="BH26" s="313">
        <f>COUNTIF(D26:AI26,"*$PM*")</f>
        <v/>
      </c>
      <c r="BI26" s="313">
        <f>BH26*('Setting key Duty'!$I$9)</f>
        <v/>
      </c>
      <c r="BJ26" s="313">
        <f>COUNTIF(D26:AI26,"*$AM*")</f>
        <v/>
      </c>
      <c r="BK26" s="313">
        <f>BJ26*('Setting key Duty'!$I$12+'Setting key Duty'!$I$8)</f>
        <v/>
      </c>
      <c r="BL26" s="313">
        <f>COUNTIF(C26:AI26,"*$FC*")</f>
        <v/>
      </c>
      <c r="BM26" s="313">
        <f>BL26*('Setting key Duty'!$J$11+'Setting key Duty'!$I$8)</f>
        <v/>
      </c>
      <c r="BN26" s="313">
        <f>COUNTIF($C26:$AG26,BN$4)</f>
        <v/>
      </c>
      <c r="BO26" s="313">
        <f>COUNTIF($C26:$AG26,BO$4)</f>
        <v/>
      </c>
      <c r="BP26" s="313">
        <f>COUNTIF($D26:$AD26,BP$4)</f>
        <v/>
      </c>
      <c r="BQ26" s="314" t="n"/>
    </row>
    <row r="27" ht="19.5" customHeight="1">
      <c r="A27" s="309" t="n"/>
      <c r="B27" s="343" t="inlineStr">
        <is>
          <t>PTE APPLE YEO</t>
        </is>
      </c>
      <c r="C27" s="197" t="n"/>
      <c r="D27" s="197" t="n"/>
      <c r="E27" s="197" t="n"/>
      <c r="F27" s="197" t="inlineStr">
        <is>
          <t xml:space="preserve">PM MA </t>
        </is>
      </c>
      <c r="G27" s="197" t="n"/>
      <c r="H27" s="197" t="n"/>
      <c r="I27" s="197" t="n"/>
      <c r="J27" s="197" t="n"/>
      <c r="K27" s="197" t="inlineStr">
        <is>
          <t>R $AM CC (0600-1000)</t>
        </is>
      </c>
      <c r="L27" s="197" t="inlineStr">
        <is>
          <t>W $AM CC (0600-1000)</t>
        </is>
      </c>
      <c r="M27" s="197" t="n"/>
      <c r="N27" s="197" t="n"/>
      <c r="O27" s="197" t="n"/>
      <c r="P27" s="197" t="n"/>
      <c r="Q27" s="197" t="n"/>
      <c r="R27" s="197" t="n"/>
      <c r="S27" s="197" t="inlineStr">
        <is>
          <t>M $BTP (0515-1100)</t>
        </is>
      </c>
      <c r="T27" s="197" t="inlineStr">
        <is>
          <t xml:space="preserve">PM MA </t>
        </is>
      </c>
      <c r="U27" s="197" t="n"/>
      <c r="V27" s="200" t="n"/>
      <c r="W27" s="197" t="n"/>
      <c r="X27" s="197" t="n"/>
      <c r="Y27" s="197" t="n"/>
      <c r="Z27" s="197" t="n"/>
      <c r="AA27" s="197" t="n"/>
      <c r="AB27" s="197" t="n"/>
      <c r="AC27" s="197" t="n"/>
      <c r="AD27" s="197" t="n"/>
      <c r="AE27" s="197" t="n"/>
      <c r="AF27" s="197" t="n"/>
      <c r="AG27" s="197" t="n"/>
      <c r="AH27" s="197" t="n"/>
      <c r="AI27" s="311" t="n"/>
      <c r="AJ27" s="312" t="n"/>
      <c r="AK27" s="311" t="n"/>
      <c r="AL27" s="344" t="n"/>
      <c r="AM27" s="344" t="n"/>
      <c r="AN27" s="344" t="n"/>
      <c r="AO27" s="344" t="n"/>
      <c r="AP27" s="246" t="n"/>
      <c r="AQ27" s="313">
        <f>SUMPRODUCT(--WEEKDAY(C$3:AG$3,2)&lt;6,--((C27:AG27="DM"))+(C27:AG27="CS1")+((C27:AG27="CS2"))+(C27:AG27="SB1")+(C27:AG27="AE")+(C27:AG27="EM"))</f>
        <v/>
      </c>
      <c r="AR27" s="238" t="n"/>
      <c r="AS27" s="238">
        <f>SUMPRODUCT(--WEEKDAY(C$3:AG$3,2)&gt;5,--((C27:AG27="DM"))+(C27:AG27="CS1")+((C27:AG27="CS2"))+(C27:AG27="SB1")+(C27:AG27="AE")+(C27:AG27="EM"))</f>
        <v/>
      </c>
      <c r="AT27" s="246" t="n"/>
      <c r="AU27" s="238">
        <f>(AQ27-AR27)/2+(AS27-AT27)</f>
        <v/>
      </c>
      <c r="AV27" s="238">
        <f>AI27+AJ27+AK27+AL27+AN27+AO27</f>
        <v/>
      </c>
      <c r="AW27" s="238">
        <f>BG27+BH27+BJ27+BE27+BC27+BA27+BL27</f>
        <v/>
      </c>
      <c r="AX27" s="238">
        <f>AU27+AY27</f>
        <v/>
      </c>
      <c r="AY27" s="313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/>
      </c>
      <c r="AZ27" s="313">
        <f>COUNTIF(C27:Y27,"*BRT*")</f>
        <v/>
      </c>
      <c r="BA27" s="313">
        <f>COUNTIF(A27:AI27,"*$BTP*")</f>
        <v/>
      </c>
      <c r="BB27" s="313">
        <f>BA27*('Setting key Duty'!$I$13+'Setting key Duty'!$I$12+'Setting key Duty'!$I$11)</f>
        <v/>
      </c>
      <c r="BC27" s="313">
        <f>COUNTIF(D27:AI27,"*$L*")</f>
        <v/>
      </c>
      <c r="BD27" s="313">
        <f>BC27*('Setting key Duty'!$I$13+'Setting key Duty'!$I$9)</f>
        <v/>
      </c>
      <c r="BE27" s="313">
        <f>COUNTIF(D27:AI27,"*$M*")</f>
        <v/>
      </c>
      <c r="BF27" s="313">
        <f>BE27*('Setting key Duty'!$I$8+'Setting key Duty'!$I$9+'Setting key Duty'!$I$12)</f>
        <v/>
      </c>
      <c r="BG27" s="313">
        <f>COUNTIF(D27:AI27,"*$N*")</f>
        <v/>
      </c>
      <c r="BH27" s="313">
        <f>COUNTIF(D27:AI27,"*$PM*")</f>
        <v/>
      </c>
      <c r="BI27" s="313">
        <f>BH27*('Setting key Duty'!$I$9)</f>
        <v/>
      </c>
      <c r="BJ27" s="313">
        <f>COUNTIF(D27:AI27,"*$AM*")</f>
        <v/>
      </c>
      <c r="BK27" s="313">
        <f>BJ27*('Setting key Duty'!$I$12+'Setting key Duty'!$I$8)</f>
        <v/>
      </c>
      <c r="BL27" s="313">
        <f>COUNTIF(C27:AI27,"*$FC*")</f>
        <v/>
      </c>
      <c r="BM27" s="313">
        <f>BL27*('Setting key Duty'!$J$11+'Setting key Duty'!$I$8)</f>
        <v/>
      </c>
      <c r="BN27" s="313">
        <f>COUNTIF($C27:$AG27,BN$4)</f>
        <v/>
      </c>
      <c r="BO27" s="313">
        <f>COUNTIF($C27:$AG27,BO$4)</f>
        <v/>
      </c>
      <c r="BP27" s="313">
        <f>COUNTIF($D27:$AE27,BP$4)</f>
        <v/>
      </c>
      <c r="BQ27" s="345" t="n"/>
    </row>
    <row r="28" ht="19.5" customHeight="1">
      <c r="A28" s="309" t="n"/>
      <c r="B28" s="346" t="inlineStr">
        <is>
          <t>LCP EKLAYVA PENGALI</t>
        </is>
      </c>
      <c r="C28" s="197" t="n"/>
      <c r="D28" s="197" t="n"/>
      <c r="E28" s="197" t="inlineStr">
        <is>
          <t>OL</t>
        </is>
      </c>
      <c r="F28" s="197" t="inlineStr">
        <is>
          <t>OL</t>
        </is>
      </c>
      <c r="G28" s="197" t="inlineStr">
        <is>
          <t>OL</t>
        </is>
      </c>
      <c r="H28" s="197" t="inlineStr">
        <is>
          <t>OL</t>
        </is>
      </c>
      <c r="I28" s="197" t="inlineStr">
        <is>
          <t>OL</t>
        </is>
      </c>
      <c r="J28" s="197" t="inlineStr">
        <is>
          <t>OL</t>
        </is>
      </c>
      <c r="K28" s="197" t="inlineStr">
        <is>
          <t>OL</t>
        </is>
      </c>
      <c r="L28" s="197" t="inlineStr">
        <is>
          <t>OL</t>
        </is>
      </c>
      <c r="M28" s="197" t="inlineStr">
        <is>
          <t>OL</t>
        </is>
      </c>
      <c r="N28" s="197" t="inlineStr">
        <is>
          <t>OL</t>
        </is>
      </c>
      <c r="O28" s="197" t="inlineStr">
        <is>
          <t>OL</t>
        </is>
      </c>
      <c r="P28" s="197" t="inlineStr">
        <is>
          <t>OL</t>
        </is>
      </c>
      <c r="Q28" s="197" t="inlineStr">
        <is>
          <t>O $AM IPPT (0500-1100)</t>
        </is>
      </c>
      <c r="R28" s="197" t="n"/>
      <c r="S28" s="197" t="n"/>
      <c r="T28" s="197" t="n"/>
      <c r="U28" s="197" t="n"/>
      <c r="V28" s="200" t="n"/>
      <c r="W28" s="197" t="n"/>
      <c r="X28" s="197" t="n"/>
      <c r="Y28" s="197" t="n"/>
      <c r="Z28" s="197" t="inlineStr">
        <is>
          <t>O $BTP (0515-2359)</t>
        </is>
      </c>
      <c r="AA28" s="197" t="n"/>
      <c r="AB28" s="106" t="n"/>
      <c r="AC28" s="197" t="n"/>
      <c r="AD28" s="324" t="n"/>
      <c r="AE28" s="197" t="n"/>
      <c r="AF28" s="197" t="inlineStr">
        <is>
          <t>O $AM IPPT (0600-1100)</t>
        </is>
      </c>
      <c r="AG28" s="197" t="n"/>
      <c r="AH28" s="317" t="n"/>
      <c r="AI28" s="311" t="n"/>
      <c r="AJ28" s="312" t="n"/>
      <c r="AK28" s="311" t="n"/>
      <c r="AL28" s="344" t="n"/>
      <c r="AM28" s="344" t="n"/>
      <c r="AN28" s="344" t="n"/>
      <c r="AO28" s="344" t="n"/>
      <c r="AP28" s="246" t="n"/>
      <c r="AQ28" s="313">
        <f>SUMPRODUCT(--WEEKDAY(C$3:AG$3,2)&lt;6,--((C28:AG28="DM"))+(C28:AG28="CS1")+((C28:AG28="CS2"))+(C28:AG28="SB1")+(C28:AG28="AE")+(C28:AG28="EM"))</f>
        <v/>
      </c>
      <c r="AR28" s="246" t="n"/>
      <c r="AS28" s="238">
        <f>SUMPRODUCT(--WEEKDAY(C$3:AG$3,2)&gt;5,--((C28:AG28="DM"))+(C28:AG28="CS1")+((C28:AG28="CS2"))+(C28:AG28="SB1")+(C28:AG28="AE")+(C28:AG28="EM"))</f>
        <v/>
      </c>
      <c r="AT28" s="246" t="n"/>
      <c r="AU28" s="238">
        <f>(AQ28-AR28)/2+(AS28-AT28)</f>
        <v/>
      </c>
      <c r="AV28" s="238">
        <f>AI28+AJ28+AK28+AL28+AN28+AO28</f>
        <v/>
      </c>
      <c r="AW28" s="238">
        <f>BG28+BH28+BJ28+BE28+BC28+BA28+BL28</f>
        <v/>
      </c>
      <c r="AX28" s="238">
        <f>AU28+AY28</f>
        <v/>
      </c>
      <c r="AY28" s="313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/>
      </c>
      <c r="AZ28" s="313">
        <f>COUNTIF(C28:Y28,"*BRT*")</f>
        <v/>
      </c>
      <c r="BA28" s="313">
        <f>COUNTIF(A28:AI28,"*$BTP*")</f>
        <v/>
      </c>
      <c r="BB28" s="313">
        <f>BA28*('Setting key Duty'!$I$13+'Setting key Duty'!$I$12+'Setting key Duty'!$I$11)</f>
        <v/>
      </c>
      <c r="BC28" s="313">
        <f>COUNTIF(D28:AI28,"*$L*")</f>
        <v/>
      </c>
      <c r="BD28" s="313">
        <f>BC28*('Setting key Duty'!$I$13+'Setting key Duty'!$I$9)</f>
        <v/>
      </c>
      <c r="BE28" s="313">
        <f>COUNTIF(D28:AI28,"*$M*")</f>
        <v/>
      </c>
      <c r="BF28" s="313">
        <f>BE28*('Setting key Duty'!$I$8+'Setting key Duty'!$I$9+'Setting key Duty'!$I$12)</f>
        <v/>
      </c>
      <c r="BG28" s="313">
        <f>COUNTIF(D28:AI28,"*$N*")</f>
        <v/>
      </c>
      <c r="BH28" s="313">
        <f>COUNTIF(D28:AI28,"*$PM*")</f>
        <v/>
      </c>
      <c r="BI28" s="313">
        <f>BH28*('Setting key Duty'!$I$9)</f>
        <v/>
      </c>
      <c r="BJ28" s="313">
        <f>COUNTIF(D28:AI28,"*$AM*")</f>
        <v/>
      </c>
      <c r="BK28" s="313">
        <f>BJ28*('Setting key Duty'!$I$12+'Setting key Duty'!$I$8)</f>
        <v/>
      </c>
      <c r="BL28" s="313">
        <f>COUNTIF(C28:AI28,"*$FC*")</f>
        <v/>
      </c>
      <c r="BM28" s="313">
        <f>BL28*('Setting key Duty'!$J$11+'Setting key Duty'!$I$8)</f>
        <v/>
      </c>
      <c r="BN28" s="313">
        <f>COUNTIF($C28:$AG28,BN$4)</f>
        <v/>
      </c>
      <c r="BO28" s="313">
        <f>COUNTIF($C28:$AG28,BO$4)</f>
        <v/>
      </c>
      <c r="BP28" s="313" t="n"/>
      <c r="BQ28" s="345" t="n"/>
    </row>
    <row r="29" ht="19.5" customHeight="1">
      <c r="A29" s="309" t="n"/>
      <c r="B29" s="347" t="inlineStr">
        <is>
          <t>LCP ASHWIN GUNASEKERAN</t>
        </is>
      </c>
      <c r="C29" s="317" t="n"/>
      <c r="D29" s="197" t="n"/>
      <c r="E29" s="331" t="n"/>
      <c r="F29" s="197" t="n"/>
      <c r="G29" s="197" t="n"/>
      <c r="H29" s="197" t="n"/>
      <c r="I29" s="197" t="n"/>
      <c r="J29" s="197" t="n"/>
      <c r="K29" s="197" t="n"/>
      <c r="M29" s="197" t="n"/>
      <c r="N29" s="197" t="inlineStr">
        <is>
          <t>AE</t>
        </is>
      </c>
      <c r="O29" s="197" t="n"/>
      <c r="P29" s="197" t="n"/>
      <c r="Q29" s="197" t="n"/>
      <c r="R29" s="197" t="n"/>
      <c r="S29" s="197" t="inlineStr">
        <is>
          <t>B $PM SOC TEST (1530-2000)</t>
        </is>
      </c>
      <c r="T29" s="196" t="n"/>
      <c r="U29" s="196" t="n"/>
      <c r="V29" s="197" t="n"/>
      <c r="W29" s="197" t="n"/>
      <c r="X29" s="197" t="n"/>
      <c r="Y29" s="331" t="n"/>
      <c r="Z29" s="197" t="n"/>
      <c r="AA29" s="197" t="n"/>
      <c r="AB29" s="324" t="n"/>
      <c r="AC29" s="331" t="n"/>
      <c r="AD29" s="106" t="n"/>
      <c r="AE29" s="324" t="n"/>
      <c r="AF29" s="197" t="n"/>
      <c r="AG29" s="317" t="n"/>
      <c r="AH29" s="197" t="n"/>
      <c r="AI29" s="311" t="n"/>
      <c r="AJ29" s="312" t="n"/>
      <c r="AK29" s="311" t="n"/>
      <c r="AL29" s="344" t="n"/>
      <c r="AM29" s="344" t="n"/>
      <c r="AN29" s="344" t="n"/>
      <c r="AO29" s="344" t="n"/>
      <c r="AP29" s="246" t="n"/>
      <c r="AQ29" s="313">
        <f>SUMPRODUCT(--WEEKDAY(C$3:AG$3,2)&lt;6,--((C29:AG29="DM"))+(C29:AG29="CS1")+((C29:AG29="CS2"))+(C29:AG29="SB1")+(C29:AG29="AE")+(C29:AG29="EM"))</f>
        <v/>
      </c>
      <c r="AR29" s="246" t="n"/>
      <c r="AS29" s="238">
        <f>SUMPRODUCT(--WEEKDAY(C$3:AG$3,2)&gt;5,--((C29:AG29="DM"))+(C29:AG29="CS1")+((C29:AG29="CS2"))+(C29:AG29="SB1")+(C29:AG29="AE")+(C29:AG29="EM"))</f>
        <v/>
      </c>
      <c r="AT29" s="246" t="n"/>
      <c r="AU29" s="238">
        <f>(AQ29-AR29)/2+(AS29-AT29)</f>
        <v/>
      </c>
      <c r="AV29" s="238">
        <f>AI29+AJ29+AK29+AL29+AN29+AO29</f>
        <v/>
      </c>
      <c r="AW29" s="238">
        <f>BG29+BH29+BJ29+BE29+BC29+BA29+BL29</f>
        <v/>
      </c>
      <c r="AX29" s="238">
        <f>AU29+AY29</f>
        <v/>
      </c>
      <c r="AY29" s="313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/>
      </c>
      <c r="AZ29" s="313">
        <f>COUNTIF(C29:Y29,"*BRT*")</f>
        <v/>
      </c>
      <c r="BA29" s="313">
        <f>COUNTIF(A29:AI29,"*$BTP*")</f>
        <v/>
      </c>
      <c r="BB29" s="313">
        <f>BA29*('Setting key Duty'!$I$13+'Setting key Duty'!$I$12+'Setting key Duty'!$I$11)</f>
        <v/>
      </c>
      <c r="BC29" s="313">
        <f>COUNTIF(D29:AI29,"*$L*")</f>
        <v/>
      </c>
      <c r="BD29" s="313">
        <f>BC29*('Setting key Duty'!$I$13+'Setting key Duty'!$I$9)</f>
        <v/>
      </c>
      <c r="BE29" s="313">
        <f>COUNTIF(D29:AI29,"*$M*")</f>
        <v/>
      </c>
      <c r="BF29" s="313">
        <f>BE29*('Setting key Duty'!$I$8+'Setting key Duty'!$I$9+'Setting key Duty'!$I$12)</f>
        <v/>
      </c>
      <c r="BG29" s="313">
        <f>COUNTIF(D29:AI29,"*$N*")</f>
        <v/>
      </c>
      <c r="BH29" s="313">
        <f>COUNTIF(D29:AI29,"*$PM*")</f>
        <v/>
      </c>
      <c r="BI29" s="313">
        <f>BH29*('Setting key Duty'!$I$9)</f>
        <v/>
      </c>
      <c r="BJ29" s="313">
        <f>COUNTIF(D29:AI29,"*$AM*")</f>
        <v/>
      </c>
      <c r="BK29" s="313">
        <f>BJ29*('Setting key Duty'!$I$12+'Setting key Duty'!$I$8)</f>
        <v/>
      </c>
      <c r="BL29" s="313">
        <f>COUNTIF(C29:AI29,"*$FC*")</f>
        <v/>
      </c>
      <c r="BM29" s="313">
        <f>BL29*('Setting key Duty'!$J$11+'Setting key Duty'!$I$8)</f>
        <v/>
      </c>
      <c r="BN29" s="313">
        <f>COUNTIF($C29:$AG29,BN$4)</f>
        <v/>
      </c>
      <c r="BO29" s="313">
        <f>COUNTIF($C29:$AG29,BO$4)</f>
        <v/>
      </c>
      <c r="BP29" s="313" t="n"/>
      <c r="BQ29" s="345" t="n"/>
    </row>
    <row r="30" ht="19.5" customHeight="1">
      <c r="A30" s="309" t="n"/>
      <c r="B30" s="348" t="inlineStr">
        <is>
          <t>LCP ZHAO ZHONGHAO</t>
        </is>
      </c>
      <c r="C30" s="340" t="inlineStr">
        <is>
          <t>DISPENSE</t>
        </is>
      </c>
      <c r="D30" s="340" t="inlineStr">
        <is>
          <t>DISPENSE</t>
        </is>
      </c>
      <c r="E30" s="340" t="inlineStr">
        <is>
          <t>DISPENSE</t>
        </is>
      </c>
      <c r="F30" s="318" t="inlineStr">
        <is>
          <t>DISPENSE</t>
        </is>
      </c>
      <c r="G30" s="318" t="inlineStr">
        <is>
          <t>DISPENSE</t>
        </is>
      </c>
      <c r="H30" s="318" t="inlineStr">
        <is>
          <t>DISPENSE</t>
        </is>
      </c>
      <c r="I30" s="340" t="inlineStr">
        <is>
          <t>DISPENSE</t>
        </is>
      </c>
      <c r="J30" s="340" t="inlineStr">
        <is>
          <t>DISPENSE</t>
        </is>
      </c>
      <c r="K30" s="340" t="inlineStr">
        <is>
          <t>DISPENSE</t>
        </is>
      </c>
      <c r="L30" s="340" t="inlineStr">
        <is>
          <t>DISPENSE</t>
        </is>
      </c>
      <c r="M30" s="318" t="inlineStr">
        <is>
          <t>DISPENSE</t>
        </is>
      </c>
      <c r="N30" s="324" t="n"/>
      <c r="O30" s="324" t="n"/>
      <c r="P30" s="324" t="n"/>
      <c r="Q30" s="331" t="inlineStr">
        <is>
          <t>B $AM IPPT (0500-1100)</t>
        </is>
      </c>
      <c r="S30" s="197" t="n"/>
      <c r="T30" s="197" t="inlineStr">
        <is>
          <t>M $BTP (0515-1100)</t>
        </is>
      </c>
      <c r="U30" s="197" t="n"/>
      <c r="X30" s="197" t="n"/>
      <c r="Y30" s="197" t="n"/>
      <c r="Z30" s="197" t="n"/>
      <c r="AA30" s="197" t="inlineStr">
        <is>
          <t>O $BTP (0515-2359)</t>
        </is>
      </c>
      <c r="AB30" s="197" t="n"/>
      <c r="AC30" s="106" t="n"/>
      <c r="AD30" s="317" t="n"/>
      <c r="AE30" s="197" t="inlineStr">
        <is>
          <t>R PS $PM SOC TEST (1500-2000)</t>
        </is>
      </c>
      <c r="AF30" s="197" t="n"/>
      <c r="AG30" s="197" t="inlineStr">
        <is>
          <t>K $M HG (0515-2000)</t>
        </is>
      </c>
      <c r="AH30" s="197" t="n"/>
      <c r="AI30" s="311" t="n"/>
      <c r="AJ30" s="312" t="n"/>
      <c r="AK30" s="311" t="n"/>
      <c r="AL30" s="344" t="n"/>
      <c r="AM30" s="344" t="n"/>
      <c r="AN30" s="344" t="n"/>
      <c r="AO30" s="344" t="n"/>
      <c r="AP30" s="246" t="n"/>
      <c r="AQ30" s="313">
        <f>SUMPRODUCT(--WEEKDAY(C$3:AG$3,2)&lt;6,--((C30:AG30="DM"))+(C30:AG30="CS1")+((C30:AG30="CS2"))+(C30:AG30="SB1")+(C30:AG30="AE")+(C30:AG30="EM"))</f>
        <v/>
      </c>
      <c r="AR30" s="246" t="n"/>
      <c r="AS30" s="238">
        <f>SUMPRODUCT(--WEEKDAY(C$3:AG$3,2)&gt;5,--((C30:AG30="DM"))+(C30:AG30="CS1")+((C30:AG30="CS2"))+(C30:AG30="SB1")+(C30:AG30="AE")+(C30:AG30="EM"))</f>
        <v/>
      </c>
      <c r="AT30" s="246" t="n"/>
      <c r="AU30" s="238">
        <f>(AQ30-AR30)/2+(AS30-AT30)</f>
        <v/>
      </c>
      <c r="AV30" s="238">
        <f>AI30+AJ30+AK30+AL30+AN30+AO30</f>
        <v/>
      </c>
      <c r="AW30" s="238">
        <f>BG30+BH30+BJ30+BE30+BC30+BA30+BL30</f>
        <v/>
      </c>
      <c r="AX30" s="238">
        <f>AU30+AY30</f>
        <v/>
      </c>
      <c r="AY30" s="313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/>
      </c>
      <c r="AZ30" s="313">
        <f>COUNTIF(C30:Y30,"*BRT*")</f>
        <v/>
      </c>
      <c r="BA30" s="313">
        <f>COUNTIF(A30:AI30,"*$BTP*")</f>
        <v/>
      </c>
      <c r="BB30" s="313">
        <f>BA30*('Setting key Duty'!$I$13+'Setting key Duty'!$I$12+'Setting key Duty'!$I$11)</f>
        <v/>
      </c>
      <c r="BC30" s="313">
        <f>COUNTIF(D30:AI30,"*$L*")</f>
        <v/>
      </c>
      <c r="BD30" s="313">
        <f>BC30*('Setting key Duty'!$I$13+'Setting key Duty'!$I$9)</f>
        <v/>
      </c>
      <c r="BE30" s="313">
        <f>COUNTIF(D30:AI30,"*$M*")</f>
        <v/>
      </c>
      <c r="BF30" s="313">
        <f>BE30*('Setting key Duty'!$I$8+'Setting key Duty'!$I$9+'Setting key Duty'!$I$12)</f>
        <v/>
      </c>
      <c r="BG30" s="313">
        <f>COUNTIF(D30:AI30,"*$N*")</f>
        <v/>
      </c>
      <c r="BH30" s="313">
        <f>COUNTIF(D30:AI30,"*$PM*")</f>
        <v/>
      </c>
      <c r="BI30" s="313">
        <f>BH30*('Setting key Duty'!$I$9)</f>
        <v/>
      </c>
      <c r="BJ30" s="313">
        <f>COUNTIF(D30:AI30,"*$AM*")</f>
        <v/>
      </c>
      <c r="BK30" s="313">
        <f>BJ30*('Setting key Duty'!$I$12+'Setting key Duty'!$I$8)</f>
        <v/>
      </c>
      <c r="BL30" s="313">
        <f>COUNTIF(C30:AI30,"*$FC*")</f>
        <v/>
      </c>
      <c r="BM30" s="313">
        <f>BL30*('Setting key Duty'!$J$11+'Setting key Duty'!$I$8)</f>
        <v/>
      </c>
      <c r="BN30" s="313">
        <f>COUNTIF($C30:$AG30,BN$4)</f>
        <v/>
      </c>
      <c r="BO30" s="313">
        <f>COUNTIF($C30:$AG30,BO$4)</f>
        <v/>
      </c>
      <c r="BP30" s="313" t="n"/>
      <c r="BQ30" s="345" t="n"/>
    </row>
    <row r="31" ht="19.5" customHeight="1">
      <c r="A31" s="309" t="n"/>
      <c r="B31" s="348" t="inlineStr">
        <is>
          <t>LCP DERRICK CHIN</t>
        </is>
      </c>
      <c r="C31" s="317" t="n"/>
      <c r="D31" s="317" t="n"/>
      <c r="E31" s="197" t="n"/>
      <c r="G31" s="197" t="n"/>
      <c r="H31" s="197" t="n"/>
      <c r="I31" s="197" t="inlineStr">
        <is>
          <t>V $AM IPPT (0500-1000)</t>
        </is>
      </c>
      <c r="J31" s="197" t="n"/>
      <c r="K31" s="197" t="n"/>
      <c r="M31" s="321" t="inlineStr">
        <is>
          <t>R $AM IPPT (0500-1000)</t>
        </is>
      </c>
      <c r="N31" s="331" t="n"/>
      <c r="O31" s="197" t="n"/>
      <c r="Q31" s="324" t="n"/>
      <c r="R31" s="197" t="inlineStr">
        <is>
          <t>A $BTP (0530-2359)</t>
        </is>
      </c>
      <c r="S31" s="197" t="n"/>
      <c r="T31" s="196" t="n"/>
      <c r="U31" s="196" t="n"/>
      <c r="V31" s="200" t="n"/>
      <c r="W31" s="197" t="n"/>
      <c r="Y31" s="317" t="n"/>
      <c r="Z31" s="197" t="n"/>
      <c r="AA31" s="197" t="inlineStr">
        <is>
          <t>V $M HG (0500-2000)</t>
        </is>
      </c>
      <c r="AC31" s="197" t="n"/>
      <c r="AE31" s="197" t="inlineStr">
        <is>
          <t>K $PM ER (1530-2000)</t>
        </is>
      </c>
      <c r="AF31" s="197" t="n"/>
      <c r="AG31" s="317" t="n"/>
      <c r="AH31" s="317" t="n"/>
      <c r="AI31" s="311" t="n"/>
      <c r="AJ31" s="312" t="n"/>
      <c r="AK31" s="311" t="n"/>
      <c r="AL31" s="344" t="n"/>
      <c r="AM31" s="344" t="n"/>
      <c r="AN31" s="344" t="n"/>
      <c r="AO31" s="344" t="n"/>
      <c r="AP31" s="246" t="n"/>
      <c r="AQ31" s="313">
        <f>SUMPRODUCT(--WEEKDAY(C$3:AG$3,2)&lt;6,--((C31:AG31="DM"))+(C31:AG31="CS1")+((C31:AG31="CS2"))+(C31:AG31="SB1")+(C31:AG31="AE")+(C31:AG31="EM"))</f>
        <v/>
      </c>
      <c r="AR31" s="246" t="n"/>
      <c r="AS31" s="238">
        <f>SUMPRODUCT(--WEEKDAY(C$3:AG$3,2)&gt;5,--((C31:AG31="DM"))+(C31:AG31="CS1")+((C31:AG31="CS2"))+(C31:AG31="SB1")+(C31:AG31="AE")+(C31:AG31="EM"))</f>
        <v/>
      </c>
      <c r="AT31" s="246" t="n"/>
      <c r="AU31" s="238">
        <f>(AQ31-AR31)/2+(AS31-AT31)</f>
        <v/>
      </c>
      <c r="AV31" s="238">
        <f>AI31+AJ31+AK31+AL31+AN31+AO31</f>
        <v/>
      </c>
      <c r="AW31" s="238">
        <f>BG31+BH31+BJ31+BE31+BC31+BA31+BL31</f>
        <v/>
      </c>
      <c r="AX31" s="238">
        <f>AU31+AY31</f>
        <v/>
      </c>
      <c r="AY31" s="313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/>
      </c>
      <c r="AZ31" s="313">
        <f>COUNTIF(C31:Y31,"*BRT*")</f>
        <v/>
      </c>
      <c r="BA31" s="313">
        <f>COUNTIF(A31:AI31,"*$BTP*")</f>
        <v/>
      </c>
      <c r="BB31" s="313">
        <f>BA31*('Setting key Duty'!$I$13+'Setting key Duty'!$I$12+'Setting key Duty'!$I$11)</f>
        <v/>
      </c>
      <c r="BC31" s="313">
        <f>COUNTIF(D31:AI31,"*$L*")</f>
        <v/>
      </c>
      <c r="BD31" s="313">
        <f>BC31*('Setting key Duty'!$I$13+'Setting key Duty'!$I$9)</f>
        <v/>
      </c>
      <c r="BE31" s="313">
        <f>COUNTIF(D31:AI31,"*$M*")</f>
        <v/>
      </c>
      <c r="BF31" s="313">
        <f>BE31*('Setting key Duty'!$I$8+'Setting key Duty'!$I$9+'Setting key Duty'!$I$12)</f>
        <v/>
      </c>
      <c r="BG31" s="313">
        <f>COUNTIF(D31:AI31,"*$N*")</f>
        <v/>
      </c>
      <c r="BH31" s="313">
        <f>COUNTIF(D31:AI31,"*$PM*")</f>
        <v/>
      </c>
      <c r="BI31" s="313">
        <f>BH31*('Setting key Duty'!$I$9)</f>
        <v/>
      </c>
      <c r="BJ31" s="313">
        <f>COUNTIF(D31:AI31,"*$AM*")</f>
        <v/>
      </c>
      <c r="BK31" s="313">
        <f>BJ31*('Setting key Duty'!$I$12+'Setting key Duty'!$I$8)</f>
        <v/>
      </c>
      <c r="BL31" s="313">
        <f>COUNTIF(C31:AI31,"*$FC*")</f>
        <v/>
      </c>
      <c r="BM31" s="313">
        <f>BL31*('Setting key Duty'!$J$11+'Setting key Duty'!$I$8)</f>
        <v/>
      </c>
      <c r="BN31" s="313">
        <f>COUNTIF($C31:$AG31,BN$4)</f>
        <v/>
      </c>
      <c r="BO31" s="313">
        <f>COUNTIF($C31:$AG31,BO$4)</f>
        <v/>
      </c>
      <c r="BP31" s="313" t="n"/>
      <c r="BQ31" s="345" t="n"/>
    </row>
    <row r="32" ht="19.5" customHeight="1">
      <c r="A32" s="309" t="n"/>
      <c r="B32" s="348" t="inlineStr">
        <is>
          <t>LCP GOH DI XUAN</t>
        </is>
      </c>
      <c r="C32" s="317" t="n"/>
      <c r="D32" s="197" t="n"/>
      <c r="E32" s="197" t="n"/>
      <c r="F32" s="331" t="n"/>
      <c r="G32" s="197" t="n"/>
      <c r="H32" s="197" t="n"/>
      <c r="I32" s="197" t="n"/>
      <c r="J32" s="197" t="n"/>
      <c r="K32" s="331" t="inlineStr">
        <is>
          <t>D $AM IPPT (0500-1100)</t>
        </is>
      </c>
      <c r="L32" s="197" t="n"/>
      <c r="M32" s="331" t="n"/>
      <c r="O32" s="331" t="n"/>
      <c r="P32" s="197" t="n"/>
      <c r="Q32" s="197" t="inlineStr">
        <is>
          <t>A $BTP (0530-2359)</t>
        </is>
      </c>
      <c r="R32" s="197" t="n"/>
      <c r="S32" s="197" t="n"/>
      <c r="T32" s="197" t="inlineStr">
        <is>
          <t>K $AM ER (0600-1100)</t>
        </is>
      </c>
      <c r="U32" s="197" t="n"/>
      <c r="V32" s="200" t="n"/>
      <c r="W32" s="197" t="n"/>
      <c r="X32" s="197" t="n"/>
      <c r="Z32" s="197" t="inlineStr">
        <is>
          <t>R $AM IPPT (0500-1000)</t>
        </is>
      </c>
      <c r="AA32" s="197" t="n"/>
      <c r="AB32" s="197" t="n"/>
      <c r="AC32" s="324" t="inlineStr">
        <is>
          <t>A $FC</t>
        </is>
      </c>
      <c r="AD32" s="324" t="inlineStr">
        <is>
          <t>A $FC</t>
        </is>
      </c>
      <c r="AE32" s="324" t="inlineStr">
        <is>
          <t>A $FC</t>
        </is>
      </c>
      <c r="AF32" s="324" t="inlineStr">
        <is>
          <t>A $FC</t>
        </is>
      </c>
      <c r="AG32" s="324" t="inlineStr">
        <is>
          <t>A $FC</t>
        </is>
      </c>
      <c r="AI32" s="311" t="n"/>
      <c r="AJ32" s="312" t="n"/>
      <c r="AK32" s="311" t="n"/>
      <c r="AL32" s="344" t="n"/>
      <c r="AM32" s="344" t="n"/>
      <c r="AN32" s="344" t="n"/>
      <c r="AO32" s="344" t="n"/>
      <c r="AP32" s="246" t="n"/>
      <c r="AQ32" s="313">
        <f>SUMPRODUCT(--WEEKDAY(C$3:AG$3,2)&lt;6,--((C32:AG32="DM"))+(C32:AG32="CS1")+((C32:AG32="CS2"))+(C32:AG32="SB1")+(C32:AG32="AE")+(C32:AG32="EM"))</f>
        <v/>
      </c>
      <c r="AR32" s="246" t="n"/>
      <c r="AS32" s="238">
        <f>SUMPRODUCT(--WEEKDAY(C$3:AG$3,2)&gt;5,--((C32:AG32="DM"))+(C32:AG32="CS1")+((C32:AG32="CS2"))+(C32:AG32="SB1")+(C32:AG32="AE")+(C32:AG32="EM"))</f>
        <v/>
      </c>
      <c r="AT32" s="246" t="n"/>
      <c r="AU32" s="238">
        <f>(AQ32-AR32)/2+(AS32-AT32)</f>
        <v/>
      </c>
      <c r="AV32" s="238">
        <f>AI32+AJ32+AK32+AL32+AN32+AO32</f>
        <v/>
      </c>
      <c r="AW32" s="238">
        <f>BG32+BH32+BJ32+BE32+BC32+BA32+BL32</f>
        <v/>
      </c>
      <c r="AX32" s="238">
        <f>AU32+AY32</f>
        <v/>
      </c>
      <c r="AY32" s="313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/>
      </c>
      <c r="AZ32" s="313">
        <f>COUNTIF(C32:Y32,"*BRT*")</f>
        <v/>
      </c>
      <c r="BA32" s="313">
        <f>COUNTIF(A32:AI32,"*$BTP*")</f>
        <v/>
      </c>
      <c r="BB32" s="313">
        <f>BA32*('Setting key Duty'!$I$13+'Setting key Duty'!$I$12+'Setting key Duty'!$I$11)</f>
        <v/>
      </c>
      <c r="BC32" s="313">
        <f>COUNTIF(D32:AI32,"*$L*")</f>
        <v/>
      </c>
      <c r="BD32" s="313">
        <f>BC32*('Setting key Duty'!$I$13+'Setting key Duty'!$I$9)</f>
        <v/>
      </c>
      <c r="BE32" s="313">
        <f>COUNTIF(D32:AI32,"*$M*")</f>
        <v/>
      </c>
      <c r="BF32" s="313">
        <f>BE32*('Setting key Duty'!$I$8+'Setting key Duty'!$I$9+'Setting key Duty'!$I$12)</f>
        <v/>
      </c>
      <c r="BG32" s="313">
        <f>COUNTIF(D32:AI32,"*$N*")</f>
        <v/>
      </c>
      <c r="BH32" s="313">
        <f>COUNTIF(D32:AI32,"*$PM*")</f>
        <v/>
      </c>
      <c r="BI32" s="313">
        <f>BH32*('Setting key Duty'!$I$9)</f>
        <v/>
      </c>
      <c r="BJ32" s="313">
        <f>COUNTIF(D32:AI32,"*$AM*")</f>
        <v/>
      </c>
      <c r="BK32" s="313">
        <f>BJ32*('Setting key Duty'!$I$12+'Setting key Duty'!$I$8)</f>
        <v/>
      </c>
      <c r="BL32" s="313">
        <f>COUNTIF(C32:AI32,"*$FC*")</f>
        <v/>
      </c>
      <c r="BM32" s="313">
        <f>BL32*('Setting key Duty'!$J$11+'Setting key Duty'!$I$8)</f>
        <v/>
      </c>
      <c r="BN32" s="313">
        <f>COUNTIF($C32:$AG32,BN$4)</f>
        <v/>
      </c>
      <c r="BO32" s="313">
        <f>COUNTIF($C32:$AG32,BO$4)</f>
        <v/>
      </c>
      <c r="BP32" s="313" t="n"/>
      <c r="BQ32" s="345" t="n"/>
    </row>
    <row r="33" ht="19.5" customHeight="1">
      <c r="A33" s="309" t="n"/>
      <c r="B33" s="347" t="inlineStr">
        <is>
          <t>LCP MUHAMMAD HAZIQ BIN MOHAMED HESHAM</t>
        </is>
      </c>
      <c r="C33" s="317" t="n"/>
      <c r="D33" s="317" t="n"/>
      <c r="E33" s="197" t="n"/>
      <c r="F33" s="197" t="inlineStr">
        <is>
          <t>M $AM ER (0600-1100)</t>
        </is>
      </c>
      <c r="G33" s="197" t="inlineStr">
        <is>
          <t>OL</t>
        </is>
      </c>
      <c r="H33" s="197" t="inlineStr">
        <is>
          <t>OL</t>
        </is>
      </c>
      <c r="I33" s="349" t="n"/>
      <c r="J33" s="197" t="inlineStr">
        <is>
          <t>AWARD CEREMONY</t>
        </is>
      </c>
      <c r="K33" s="197" t="n"/>
      <c r="L33" s="197" t="n"/>
      <c r="M33" s="197" t="inlineStr">
        <is>
          <t>OL</t>
        </is>
      </c>
      <c r="N33" s="197" t="inlineStr">
        <is>
          <t>OL</t>
        </is>
      </c>
      <c r="O33" s="197" t="inlineStr">
        <is>
          <t>OL</t>
        </is>
      </c>
      <c r="P33" s="197" t="inlineStr">
        <is>
          <t>OL</t>
        </is>
      </c>
      <c r="Q33" s="197" t="inlineStr">
        <is>
          <t>OL</t>
        </is>
      </c>
      <c r="R33" s="197" t="inlineStr">
        <is>
          <t>OL</t>
        </is>
      </c>
      <c r="S33" s="331" t="n"/>
      <c r="T33" s="197" t="n"/>
      <c r="U33" s="197" t="n"/>
      <c r="V33" s="200" t="n"/>
      <c r="W33" s="197" t="n"/>
      <c r="X33" s="197" t="n"/>
      <c r="Z33" s="331" t="n"/>
      <c r="AA33" s="106" t="n"/>
      <c r="AB33" s="331" t="n"/>
      <c r="AC33" s="324" t="n"/>
      <c r="AE33" s="197" t="n"/>
      <c r="AF33" s="317" t="n"/>
      <c r="AG33" s="317" t="n"/>
      <c r="AH33" s="317" t="n"/>
      <c r="AI33" s="311" t="n"/>
      <c r="AJ33" s="312" t="n"/>
      <c r="AK33" s="311" t="n"/>
      <c r="AL33" s="344" t="n"/>
      <c r="AM33" s="344" t="n"/>
      <c r="AN33" s="344" t="n"/>
      <c r="AO33" s="344" t="n"/>
      <c r="AP33" s="246" t="n"/>
      <c r="AQ33" s="313">
        <f>SUMPRODUCT(--WEEKDAY(C$3:AG$3,2)&lt;6,--((C33:AG33="DM"))+(C33:AG33="CS1")+((C33:AG33="CS2"))+(C33:AG33="SB1")+(C33:AG33="AE")+(C33:AG33="EM"))</f>
        <v/>
      </c>
      <c r="AR33" s="246" t="n"/>
      <c r="AS33" s="238">
        <f>SUMPRODUCT(--WEEKDAY(C$3:AG$3,2)&gt;5,--((C33:AG33="DM"))+(C33:AG33="CS1")+((C33:AG33="CS2"))+(C33:AG33="SB1")+(C33:AG33="AE")+(C33:AG33="EM"))</f>
        <v/>
      </c>
      <c r="AT33" s="246" t="n"/>
      <c r="AU33" s="238">
        <f>(AQ33-AR33)/2+(AS33-AT33)</f>
        <v/>
      </c>
      <c r="AV33" s="238">
        <f>AI33+AJ33+AK33+AL33+AN33+AO33</f>
        <v/>
      </c>
      <c r="AW33" s="238">
        <f>BG33+BH33+BJ33+BE33+BC33+BA33+BL33</f>
        <v/>
      </c>
      <c r="AX33" s="238">
        <f>AU33+AY33</f>
        <v/>
      </c>
      <c r="AY33" s="313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/>
      </c>
      <c r="AZ33" s="313">
        <f>COUNTIF(C33:Y33,"*BRT*")</f>
        <v/>
      </c>
      <c r="BA33" s="313">
        <f>COUNTIF(A33:AI33,"*$BTP*")</f>
        <v/>
      </c>
      <c r="BB33" s="313">
        <f>BA33*('Setting key Duty'!$I$13+'Setting key Duty'!$I$12+'Setting key Duty'!$I$11)</f>
        <v/>
      </c>
      <c r="BC33" s="313">
        <f>COUNTIF(D33:AI33,"*$L*")</f>
        <v/>
      </c>
      <c r="BD33" s="313">
        <f>BC33*('Setting key Duty'!$I$13+'Setting key Duty'!$I$9)</f>
        <v/>
      </c>
      <c r="BE33" s="313">
        <f>COUNTIF(D33:AI33,"*$M*")</f>
        <v/>
      </c>
      <c r="BF33" s="313">
        <f>BE33*('Setting key Duty'!$I$8+'Setting key Duty'!$I$9+'Setting key Duty'!$I$12)</f>
        <v/>
      </c>
      <c r="BG33" s="313">
        <f>COUNTIF(D33:AI33,"*$N*")</f>
        <v/>
      </c>
      <c r="BH33" s="313">
        <f>COUNTIF(D33:AI33,"*$PM*")</f>
        <v/>
      </c>
      <c r="BI33" s="313">
        <f>BH33*('Setting key Duty'!$I$9)</f>
        <v/>
      </c>
      <c r="BJ33" s="313">
        <f>COUNTIF(D33:AI33,"*$AM*")</f>
        <v/>
      </c>
      <c r="BK33" s="313">
        <f>BJ33*('Setting key Duty'!$I$12+'Setting key Duty'!$I$8)</f>
        <v/>
      </c>
      <c r="BL33" s="313">
        <f>COUNTIF(C33:AI33,"*$FC*")</f>
        <v/>
      </c>
      <c r="BM33" s="313">
        <f>BL33*('Setting key Duty'!$J$11+'Setting key Duty'!$I$8)</f>
        <v/>
      </c>
      <c r="BN33" s="313">
        <f>COUNTIF($C33:$AG33,BN$4)</f>
        <v/>
      </c>
      <c r="BO33" s="313">
        <f>COUNTIF($C33:$AG33,BO$4)</f>
        <v/>
      </c>
      <c r="BP33" s="313" t="n"/>
      <c r="BQ33" s="345" t="n"/>
    </row>
    <row r="34" ht="19.5" customHeight="1">
      <c r="A34" s="309" t="n"/>
      <c r="B34" s="348" t="inlineStr">
        <is>
          <t>PTE WONG JI FENG WILLARD</t>
        </is>
      </c>
      <c r="C34" s="317" t="n"/>
      <c r="D34" s="350" t="n"/>
      <c r="E34" s="350" t="n"/>
      <c r="F34" s="317" t="n"/>
      <c r="G34" s="350" t="n"/>
      <c r="H34" s="331" t="n"/>
      <c r="I34" s="350" t="n"/>
      <c r="J34" s="197" t="inlineStr">
        <is>
          <t>M $PM CC (1530-2000)</t>
        </is>
      </c>
      <c r="K34" s="350" t="n"/>
      <c r="L34" s="350" t="n"/>
      <c r="M34" s="350" t="n"/>
      <c r="O34" s="350" t="n"/>
      <c r="P34" s="350" t="n"/>
      <c r="Q34" s="350" t="n"/>
      <c r="R34" s="350" t="n"/>
      <c r="S34" s="350" t="n"/>
      <c r="T34" s="350" t="n"/>
      <c r="U34" s="350" t="n"/>
      <c r="V34" s="351" t="n"/>
      <c r="W34" s="350" t="n"/>
      <c r="X34" s="350" t="n"/>
      <c r="Y34" s="317" t="n"/>
      <c r="AA34" s="331" t="n"/>
      <c r="AB34" s="350" t="n"/>
      <c r="AC34" s="350" t="n"/>
      <c r="AD34" s="350" t="n"/>
      <c r="AE34" s="350" t="n"/>
      <c r="AF34" s="350" t="n"/>
      <c r="AG34" s="350" t="n"/>
      <c r="AH34" s="350" t="n"/>
      <c r="AI34" s="311" t="n"/>
      <c r="AJ34" s="312" t="n"/>
      <c r="AK34" s="311" t="n"/>
      <c r="AL34" s="344" t="n"/>
      <c r="AM34" s="344" t="n"/>
      <c r="AN34" s="344" t="n"/>
      <c r="AO34" s="344" t="n"/>
      <c r="AP34" s="246" t="n"/>
      <c r="AQ34" s="313">
        <f>SUMPRODUCT(--WEEKDAY(C$3:AG$3,2)&lt;6,--((C34:AG34="DM"))+(C34:AG34="CS1")+((C34:AG34="CS2"))+(C34:AG34="SB1")+(C34:AG34="AE")+(C34:AG34="EM"))</f>
        <v/>
      </c>
      <c r="AR34" s="246" t="n"/>
      <c r="AS34" s="238">
        <f>SUMPRODUCT(--WEEKDAY(C$3:AG$3,2)&gt;5,--((C34:AG34="DM"))+(C34:AG34="CS1")+((C34:AG34="CS2"))+(C34:AG34="SB1")+(C34:AG34="AE")+(C34:AG34="EM"))</f>
        <v/>
      </c>
      <c r="AT34" s="246" t="n"/>
      <c r="AU34" s="238">
        <f>(AQ34-AR34)/2+(AS34-AT34)</f>
        <v/>
      </c>
      <c r="AV34" s="238">
        <f>AI34+AJ34+AK34+AL34+AN34+AO34</f>
        <v/>
      </c>
      <c r="AW34" s="238">
        <f>BG34+BH34+BJ34+BE34+BC34+BA34+BL34</f>
        <v/>
      </c>
      <c r="AX34" s="238">
        <f>AU34+AY34</f>
        <v/>
      </c>
      <c r="AY34" s="313">
        <f>(BJ34*('Setting key Duty'!$I$8+'Setting key Duty'!$I$12))+(BH34*'Setting key Duty'!$I$9)+(BC34*('Setting key Duty'!$I$13+'Setting key Duty'!$I$9))+(BA34*('Setting key Duty'!$I$13+'Setting key Duty'!$I$12+'Setting key Duty'!$I$11))+(BE34*('Setting key Duty'!$I$8+'Setting key Duty'!$I$9+'Setting key Duty'!$I$12))</f>
        <v/>
      </c>
      <c r="AZ34" s="313">
        <f>COUNTIF(C34:Y34,"*BRT*")</f>
        <v/>
      </c>
      <c r="BA34" s="313">
        <f>COUNTIF(A34:AI34,"*$BTP*")</f>
        <v/>
      </c>
      <c r="BB34" s="313">
        <f>BA34*('Setting key Duty'!$I$13+'Setting key Duty'!$I$12+'Setting key Duty'!$I$11)</f>
        <v/>
      </c>
      <c r="BC34" s="313">
        <f>COUNTIF(D34:AI34,"*$L*")</f>
        <v/>
      </c>
      <c r="BD34" s="313">
        <f>BC34*('Setting key Duty'!$I$13+'Setting key Duty'!$I$9)</f>
        <v/>
      </c>
      <c r="BE34" s="313">
        <f>COUNTIF(D34:AI34,"*$M*")</f>
        <v/>
      </c>
      <c r="BF34" s="313">
        <f>BE34*('Setting key Duty'!$I$8+'Setting key Duty'!$I$9+'Setting key Duty'!$I$12)</f>
        <v/>
      </c>
      <c r="BG34" s="313">
        <f>COUNTIF(D34:AI34,"*$N*")</f>
        <v/>
      </c>
      <c r="BH34" s="313">
        <f>COUNTIF(D34:AI34,"*$PM*")</f>
        <v/>
      </c>
      <c r="BI34" s="313">
        <f>BH34*('Setting key Duty'!$I$9)</f>
        <v/>
      </c>
      <c r="BJ34" s="313">
        <f>COUNTIF(D34:AI34,"*$AM*")</f>
        <v/>
      </c>
      <c r="BK34" s="313">
        <f>BJ34*('Setting key Duty'!$I$12+'Setting key Duty'!$I$8)</f>
        <v/>
      </c>
      <c r="BL34" s="313">
        <f>COUNTIF(C34:AI34,"*$FC*")</f>
        <v/>
      </c>
      <c r="BM34" s="313">
        <f>BL34*('Setting key Duty'!$J$11+'Setting key Duty'!$I$8)</f>
        <v/>
      </c>
      <c r="BN34" s="313">
        <f>COUNTIF($C34:$AG34,BN$4)</f>
        <v/>
      </c>
      <c r="BO34" s="313">
        <f>COUNTIF($C34:$AG34,BO$4)</f>
        <v/>
      </c>
      <c r="BP34" s="313" t="n"/>
      <c r="BQ34" s="345" t="n"/>
    </row>
    <row r="35" ht="19.5" customHeight="1">
      <c r="A35" s="309" t="n"/>
      <c r="B35" s="352" t="inlineStr">
        <is>
          <t>LCP KUEH YAN SHENG</t>
        </is>
      </c>
      <c r="C35" s="196" t="n"/>
      <c r="D35" s="324" t="n"/>
      <c r="F35" s="197" t="n"/>
      <c r="G35" s="331" t="n"/>
      <c r="H35" s="106" t="n"/>
      <c r="I35" s="197" t="n"/>
      <c r="J35" s="197" t="n"/>
      <c r="K35" s="331" t="inlineStr">
        <is>
          <t>A $AM IPPT (0500-1100)</t>
        </is>
      </c>
      <c r="L35" s="197" t="n"/>
      <c r="M35" s="317" t="n"/>
      <c r="N35" s="197" t="n"/>
      <c r="Q35" s="324" t="n"/>
      <c r="R35" s="197" t="inlineStr">
        <is>
          <t>F $M HG (0530-2000)</t>
        </is>
      </c>
      <c r="T35" s="197" t="n"/>
      <c r="U35" s="331" t="n"/>
      <c r="V35" s="351" t="n"/>
      <c r="X35" s="324" t="n"/>
      <c r="Y35" s="197" t="n"/>
      <c r="AA35" s="331" t="n"/>
      <c r="AC35" s="324" t="inlineStr">
        <is>
          <t>B $FC</t>
        </is>
      </c>
      <c r="AD35" s="324" t="inlineStr">
        <is>
          <t>B $FC</t>
        </is>
      </c>
      <c r="AE35" s="324" t="inlineStr">
        <is>
          <t>B $FC</t>
        </is>
      </c>
      <c r="AF35" s="324" t="inlineStr">
        <is>
          <t>B $FC</t>
        </is>
      </c>
      <c r="AG35" s="324" t="inlineStr">
        <is>
          <t>B $FC</t>
        </is>
      </c>
      <c r="AH35" s="197" t="n"/>
      <c r="AI35" s="311" t="n"/>
      <c r="AJ35" s="312" t="n"/>
      <c r="AK35" s="311" t="n"/>
      <c r="AL35" s="344" t="n"/>
      <c r="AM35" s="344" t="n"/>
      <c r="AN35" s="344" t="n"/>
      <c r="AO35" s="344" t="n"/>
      <c r="AP35" s="246" t="n"/>
      <c r="AQ35" s="313">
        <f>SUMPRODUCT(--WEEKDAY(C$3:AG$3,2)&lt;6,--((C35:AG35="DM"))+(C35:AG35="CS1")+((C35:AG35="CS2"))+(C35:AG35="SB1")+(C35:AG35="AE")+(C35:AG35="EM"))</f>
        <v/>
      </c>
      <c r="AR35" s="246" t="n"/>
      <c r="AS35" s="238">
        <f>SUMPRODUCT(--WEEKDAY(C$3:AG$3,2)&gt;5,--((C35:AG35="DM"))+(C35:AG35="CS1")+((C35:AG35="CS2"))+(C35:AG35="SB1")+(C35:AG35="AE")+(C35:AG35="EM"))</f>
        <v/>
      </c>
      <c r="AT35" s="246" t="n"/>
      <c r="AU35" s="238">
        <f>(AQ35-AR35)/2+(AS35-AT35)</f>
        <v/>
      </c>
      <c r="AV35" s="238">
        <f>AI35+AJ35+AK35+AL35+AN35+AO35</f>
        <v/>
      </c>
      <c r="AW35" s="238">
        <f>BG35+BH35+BJ35+BE35+BC35+BA35+BL35</f>
        <v/>
      </c>
      <c r="AX35" s="238">
        <f>AU35+AY35</f>
        <v/>
      </c>
      <c r="AY35" s="313">
        <f>(BJ35*('Setting key Duty'!$I$8+'Setting key Duty'!$I$12))+(BH35*'Setting key Duty'!$I$9)+(BC35*('Setting key Duty'!$I$13+'Setting key Duty'!$I$9))+(BA35*('Setting key Duty'!$I$13+'Setting key Duty'!$I$12+'Setting key Duty'!$I$11))+(BE35*('Setting key Duty'!$I$8+'Setting key Duty'!$I$9+'Setting key Duty'!$I$12))</f>
        <v/>
      </c>
      <c r="AZ35" s="313">
        <f>COUNTIF(C35:Y35,"*BRT*")</f>
        <v/>
      </c>
      <c r="BA35" s="313">
        <f>COUNTIF(A35:AI35,"*$BTP*")</f>
        <v/>
      </c>
      <c r="BB35" s="313">
        <f>BA35*('Setting key Duty'!$I$13+'Setting key Duty'!$I$12+'Setting key Duty'!$I$11)</f>
        <v/>
      </c>
      <c r="BC35" s="313">
        <f>COUNTIF(D35:AI35,"*$L*")</f>
        <v/>
      </c>
      <c r="BD35" s="313">
        <f>BC35*('Setting key Duty'!$I$13+'Setting key Duty'!$I$9)</f>
        <v/>
      </c>
      <c r="BE35" s="313">
        <f>COUNTIF(D35:AI35,"*$M*")</f>
        <v/>
      </c>
      <c r="BF35" s="313">
        <f>BE35*('Setting key Duty'!$I$8+'Setting key Duty'!$I$9+'Setting key Duty'!$I$12)</f>
        <v/>
      </c>
      <c r="BG35" s="313">
        <f>COUNTIF(D35:AI35,"*$N*")</f>
        <v/>
      </c>
      <c r="BH35" s="313">
        <f>COUNTIF(D35:AI35,"*$PM*")</f>
        <v/>
      </c>
      <c r="BI35" s="313">
        <f>BH35*('Setting key Duty'!$I$9)</f>
        <v/>
      </c>
      <c r="BJ35" s="313">
        <f>COUNTIF(D35:AI35,"*$AM*")</f>
        <v/>
      </c>
      <c r="BK35" s="313">
        <f>BJ35*('Setting key Duty'!$I$12+'Setting key Duty'!$I$8)</f>
        <v/>
      </c>
      <c r="BL35" s="313">
        <f>COUNTIF(C35:AI35,"*$FC*")</f>
        <v/>
      </c>
      <c r="BM35" s="313">
        <f>BL35*('Setting key Duty'!$J$11+'Setting key Duty'!$I$8)</f>
        <v/>
      </c>
      <c r="BN35" s="313">
        <f>COUNTIF($C35:$AG35,BN$4)</f>
        <v/>
      </c>
      <c r="BO35" s="313">
        <f>COUNTIF($C35:$AG35,BO$4)</f>
        <v/>
      </c>
      <c r="BP35" s="313" t="n"/>
      <c r="BQ35" s="345" t="n"/>
    </row>
    <row r="36" ht="19.5" customHeight="1">
      <c r="A36" s="309" t="n"/>
      <c r="B36" s="343" t="inlineStr">
        <is>
          <t>PTE MUHAMAD ZULKHAIRI BIN MOHAMAD SAPARI</t>
        </is>
      </c>
      <c r="C36" s="350" t="inlineStr">
        <is>
          <t>A $PM ER (1530-20000</t>
        </is>
      </c>
      <c r="D36" s="317" t="n"/>
      <c r="F36" s="106" t="n"/>
      <c r="G36" s="106" t="n"/>
      <c r="H36" s="106" t="n"/>
      <c r="I36" s="106" t="n"/>
      <c r="J36" s="317" t="n"/>
      <c r="K36" s="324" t="n"/>
      <c r="L36" s="324" t="n"/>
      <c r="M36" s="147" t="n"/>
      <c r="N36" s="317" t="n"/>
      <c r="O36" s="331" t="inlineStr">
        <is>
          <t>O $M ISAD (0515-2000)</t>
        </is>
      </c>
      <c r="P36" s="320" t="n"/>
      <c r="Q36" s="106" t="n"/>
      <c r="R36" s="106" t="n"/>
      <c r="T36" s="196" t="inlineStr">
        <is>
          <t>R $AM CC (0600-1000)</t>
        </is>
      </c>
      <c r="U36" s="106" t="n"/>
      <c r="V36" s="351" t="n"/>
      <c r="X36" s="317" t="n"/>
      <c r="Y36" s="197" t="inlineStr">
        <is>
          <t>M $AM CC (0600-1100)</t>
        </is>
      </c>
      <c r="AA36" s="197" t="inlineStr">
        <is>
          <t>R PS $AM SOC TEST (0500-1000)</t>
        </is>
      </c>
      <c r="AC36" s="106" t="n"/>
      <c r="AD36" s="317" t="n"/>
      <c r="AE36" s="320" t="inlineStr">
        <is>
          <t>M $FC</t>
        </is>
      </c>
      <c r="AF36" s="320" t="inlineStr">
        <is>
          <t>M $FC</t>
        </is>
      </c>
      <c r="AG36" s="320" t="inlineStr">
        <is>
          <t>M $FC</t>
        </is>
      </c>
      <c r="AH36" s="320" t="inlineStr">
        <is>
          <t>M $FC</t>
        </is>
      </c>
      <c r="AI36" s="311" t="n"/>
      <c r="AJ36" s="312" t="n"/>
      <c r="AK36" s="311" t="n"/>
      <c r="AL36" s="344" t="n"/>
      <c r="AM36" s="344" t="n"/>
      <c r="AN36" s="344" t="n"/>
      <c r="AO36" s="344" t="n"/>
      <c r="AP36" s="246" t="n"/>
      <c r="AQ36" s="313">
        <f>SUMPRODUCT(--WEEKDAY(C$3:AG$3,2)&lt;6,--((C36:AG36="DM"))+(C36:AG36="CS1")+((C36:AG36="CS2"))+(C36:AG36="SB1")+(C36:AG36="AE")+(C36:AG36="EM"))</f>
        <v/>
      </c>
      <c r="AR36" s="246" t="n"/>
      <c r="AS36" s="238">
        <f>SUMPRODUCT(--WEEKDAY(C$3:AG$3,2)&gt;5,--((C36:AG36="DM"))+(C36:AG36="CS1")+((C36:AG36="CS2"))+(C36:AG36="SB1")+(C36:AG36="AE")+(C36:AG36="EM"))</f>
        <v/>
      </c>
      <c r="AT36" s="246" t="n"/>
      <c r="AU36" s="238">
        <f>(AQ36-AR36)/2+(AS36-AT36)</f>
        <v/>
      </c>
      <c r="AV36" s="238">
        <f>AI36+AJ36+AK36+AL36+AN36+AO36</f>
        <v/>
      </c>
      <c r="AW36" s="238">
        <f>BG36+BH36+BJ36+BE36+BC36+BA36+BL36</f>
        <v/>
      </c>
      <c r="AX36" s="238">
        <f>AU36+AY36</f>
        <v/>
      </c>
      <c r="AY36" s="313">
        <f>(BJ36*('Setting key Duty'!$I$8+'Setting key Duty'!$I$12))+(BH36*'Setting key Duty'!$I$9)+(BC36*('Setting key Duty'!$I$13+'Setting key Duty'!$I$9))+(BA36*('Setting key Duty'!$I$13+'Setting key Duty'!$I$12+'Setting key Duty'!$I$11))+(BE36*('Setting key Duty'!$I$8+'Setting key Duty'!$I$9+'Setting key Duty'!$I$12))</f>
        <v/>
      </c>
      <c r="AZ36" s="313">
        <f>COUNTIF(C36:Y36,"*BRT*")</f>
        <v/>
      </c>
      <c r="BA36" s="313">
        <f>COUNTIF(A36:AI36,"*$BTP*")</f>
        <v/>
      </c>
      <c r="BB36" s="313">
        <f>BA36*('Setting key Duty'!$I$13+'Setting key Duty'!$I$12+'Setting key Duty'!$I$11)</f>
        <v/>
      </c>
      <c r="BC36" s="313">
        <f>COUNTIF(D36:AI36,"*$L*")</f>
        <v/>
      </c>
      <c r="BD36" s="313">
        <f>BC36*('Setting key Duty'!$I$13+'Setting key Duty'!$I$9)</f>
        <v/>
      </c>
      <c r="BE36" s="313">
        <f>COUNTIF(D36:AI36,"*$M*")</f>
        <v/>
      </c>
      <c r="BF36" s="313">
        <f>BE36*('Setting key Duty'!$I$8+'Setting key Duty'!$I$9+'Setting key Duty'!$I$12)</f>
        <v/>
      </c>
      <c r="BG36" s="313">
        <f>COUNTIF(D36:AI36,"*$N*")</f>
        <v/>
      </c>
      <c r="BH36" s="313">
        <f>COUNTIF(D36:AI36,"*$PM*")</f>
        <v/>
      </c>
      <c r="BI36" s="313" t="n"/>
      <c r="BJ36" s="313" t="n"/>
      <c r="BK36" s="313" t="n"/>
      <c r="BL36" s="313" t="n"/>
      <c r="BM36" s="313" t="n"/>
      <c r="BN36" s="313" t="n"/>
      <c r="BO36" s="313" t="n"/>
      <c r="BP36" s="313" t="n"/>
      <c r="BQ36" s="345" t="n"/>
    </row>
    <row r="37" ht="19.5" customHeight="1">
      <c r="A37" s="309" t="n"/>
      <c r="B37" s="347" t="inlineStr">
        <is>
          <t>PTE SAMUEL TAN ENG WEE</t>
        </is>
      </c>
      <c r="C37" s="350" t="n"/>
      <c r="D37" s="317" t="n"/>
      <c r="F37" s="106" t="n"/>
      <c r="G37" s="106" t="n"/>
      <c r="H37" s="106" t="n"/>
      <c r="I37" s="197" t="inlineStr">
        <is>
          <t>B $BTP (0530-2359)</t>
        </is>
      </c>
      <c r="J37" s="317" t="n"/>
      <c r="K37" s="324" t="n"/>
      <c r="L37" s="324" t="n"/>
      <c r="M37" s="331" t="inlineStr">
        <is>
          <t>B $M HG (0530-2000)</t>
        </is>
      </c>
      <c r="N37" s="317" t="n"/>
      <c r="O37" s="353" t="n"/>
      <c r="P37" s="283" t="inlineStr">
        <is>
          <t>M $PM ER (1530-20000</t>
        </is>
      </c>
      <c r="Q37" s="106" t="n"/>
      <c r="R37" s="106" t="n"/>
      <c r="S37" s="197" t="inlineStr">
        <is>
          <t>A $PM ER (1530-2000)</t>
        </is>
      </c>
      <c r="T37" s="350" t="n"/>
      <c r="U37" s="106" t="n"/>
      <c r="V37" s="351" t="n"/>
      <c r="X37" s="317" t="n"/>
      <c r="Y37" s="106" t="n"/>
      <c r="AA37" s="106" t="n"/>
      <c r="AC37" s="106" t="n"/>
      <c r="AD37" s="317" t="inlineStr">
        <is>
          <t>F $FC</t>
        </is>
      </c>
      <c r="AE37" s="317" t="inlineStr">
        <is>
          <t>F $FC</t>
        </is>
      </c>
      <c r="AF37" s="317" t="inlineStr">
        <is>
          <t>F $FC</t>
        </is>
      </c>
      <c r="AG37" s="317" t="inlineStr">
        <is>
          <t>F $FC</t>
        </is>
      </c>
      <c r="AH37" s="317" t="inlineStr">
        <is>
          <t>F $FC</t>
        </is>
      </c>
      <c r="AI37" s="311" t="n"/>
      <c r="AJ37" s="312" t="n"/>
      <c r="AK37" s="311" t="n"/>
      <c r="AL37" s="344" t="n"/>
      <c r="AM37" s="344" t="n"/>
      <c r="AN37" s="344" t="n"/>
      <c r="AO37" s="344" t="n"/>
      <c r="AP37" s="246" t="n"/>
      <c r="AQ37" s="313">
        <f>SUMPRODUCT(--WEEKDAY(C$3:AG$3,2)&lt;6,--((C37:AG37="DM"))+(C37:AG37="CS1")+((C37:AG37="CS2"))+(C37:AG37="SB1")+(C37:AG37="AE")+(C37:AG37="EM"))</f>
        <v/>
      </c>
      <c r="AR37" s="246" t="n"/>
      <c r="AS37" s="238">
        <f>SUMPRODUCT(--WEEKDAY(C$3:AG$3,2)&gt;5,--((C37:AG37="DM"))+(C37:AG37="CS1")+((C37:AG37="CS2"))+(C37:AG37="SB1")+(C37:AG37="AE")+(C37:AG37="EM"))</f>
        <v/>
      </c>
      <c r="AT37" s="246" t="n"/>
      <c r="AU37" s="238">
        <f>(AQ37-AR37)/2+(AS37-AT37)</f>
        <v/>
      </c>
      <c r="AV37" s="238">
        <f>AI37+AJ37+AK37+AL37+AN37+AO37</f>
        <v/>
      </c>
      <c r="AW37" s="238">
        <f>BG37+BH37+BJ37+BE37+BC37+BA37+BL37</f>
        <v/>
      </c>
      <c r="AX37" s="238">
        <f>AU37+AY37</f>
        <v/>
      </c>
      <c r="AY37" s="313">
        <f>(BJ37*('Setting key Duty'!$I$8+'Setting key Duty'!$I$12))+(BH37*'Setting key Duty'!$I$9)+(BC37*('Setting key Duty'!$I$13+'Setting key Duty'!$I$9))+(BA37*('Setting key Duty'!$I$13+'Setting key Duty'!$I$12+'Setting key Duty'!$I$11))+(BE37*('Setting key Duty'!$I$8+'Setting key Duty'!$I$9+'Setting key Duty'!$I$12))</f>
        <v/>
      </c>
      <c r="AZ37" s="313">
        <f>COUNTIF(C37:Y37,"*BRT*")</f>
        <v/>
      </c>
      <c r="BA37" s="313">
        <f>COUNTIF(A37:AI37,"*$BTP*")</f>
        <v/>
      </c>
      <c r="BB37" s="313">
        <f>BA37*('Setting key Duty'!$I$13+'Setting key Duty'!$I$12+'Setting key Duty'!$I$11)</f>
        <v/>
      </c>
      <c r="BC37" s="313">
        <f>COUNTIF(D37:AI37,"*$L*")</f>
        <v/>
      </c>
      <c r="BD37" s="313">
        <f>BC37*('Setting key Duty'!$I$13+'Setting key Duty'!$I$9)</f>
        <v/>
      </c>
      <c r="BE37" s="313">
        <f>COUNTIF(D37:AI37,"*$M*")</f>
        <v/>
      </c>
      <c r="BF37" s="313">
        <f>BE37*('Setting key Duty'!$I$8+'Setting key Duty'!$I$9+'Setting key Duty'!$I$12)</f>
        <v/>
      </c>
      <c r="BG37" s="313">
        <f>COUNTIF(D37:AI37,"*$N*")</f>
        <v/>
      </c>
      <c r="BH37" s="313">
        <f>COUNTIF(D37:AI37,"*$PM*")</f>
        <v/>
      </c>
      <c r="BI37" s="313" t="n"/>
      <c r="BJ37" s="313" t="n"/>
      <c r="BK37" s="313" t="n"/>
      <c r="BL37" s="313" t="n"/>
      <c r="BM37" s="313" t="n"/>
      <c r="BN37" s="313" t="n"/>
      <c r="BO37" s="313" t="n"/>
      <c r="BP37" s="313" t="n"/>
      <c r="BQ37" s="345" t="n"/>
    </row>
    <row r="38" ht="19.5" customHeight="1">
      <c r="A38" s="309" t="n"/>
      <c r="B38" s="347" t="inlineStr">
        <is>
          <t>PTE CHYE JING AN MAXIMUS</t>
        </is>
      </c>
      <c r="C38" s="350" t="n"/>
      <c r="D38" s="317" t="n"/>
      <c r="F38" s="106" t="n"/>
      <c r="G38" s="106" t="n"/>
      <c r="H38" s="106" t="n"/>
      <c r="I38" s="106" t="n"/>
      <c r="J38" s="197" t="inlineStr">
        <is>
          <t>B $BTP (0530-2359)</t>
        </is>
      </c>
      <c r="K38" s="324" t="n"/>
      <c r="L38" s="198" t="inlineStr">
        <is>
          <t>M $AM IPPT (0500-1100)</t>
        </is>
      </c>
      <c r="M38" s="147" t="n"/>
      <c r="N38" s="317" t="n"/>
      <c r="O38" s="331" t="inlineStr">
        <is>
          <t>D $M ISAD (0530-2000)</t>
        </is>
      </c>
      <c r="P38" s="320" t="n"/>
      <c r="Q38" s="106" t="n"/>
      <c r="R38" s="106" t="n"/>
      <c r="T38" s="350" t="n"/>
      <c r="U38" s="106" t="n"/>
      <c r="V38" s="351" t="n"/>
      <c r="W38" s="197" t="inlineStr">
        <is>
          <t>A $M HG (0530-2000)</t>
        </is>
      </c>
      <c r="X38" s="317" t="n"/>
      <c r="Y38" s="106" t="n"/>
      <c r="AA38" s="197" t="inlineStr">
        <is>
          <t>D $BTP (0530-2359)</t>
        </is>
      </c>
      <c r="AC38" s="106" t="n"/>
      <c r="AD38" s="317" t="n"/>
      <c r="AE38" s="197" t="inlineStr">
        <is>
          <t>W $BTP (0500-2359)</t>
        </is>
      </c>
      <c r="AF38" s="317" t="n"/>
      <c r="AG38" s="198" t="inlineStr">
        <is>
          <t>D $AM IPPT (0500-1100)</t>
        </is>
      </c>
      <c r="AH38" s="317" t="n"/>
      <c r="AI38" s="311" t="n"/>
      <c r="AJ38" s="312" t="n"/>
      <c r="AK38" s="311" t="n"/>
      <c r="AL38" s="344" t="n"/>
      <c r="AM38" s="344" t="n"/>
      <c r="AN38" s="344" t="n"/>
      <c r="AO38" s="344" t="n"/>
      <c r="AP38" s="246" t="n"/>
      <c r="AQ38" s="313">
        <f>SUMPRODUCT(--WEEKDAY(C$3:AG$3,2)&lt;6,--((C38:AG38="DM"))+(C38:AG38="CS1")+((C38:AG38="CS2"))+(C38:AG38="SB1")+(C38:AG38="AE")+(C38:AG38="EM"))</f>
        <v/>
      </c>
      <c r="AR38" s="246" t="n"/>
      <c r="AS38" s="238">
        <f>SUMPRODUCT(--WEEKDAY(C$3:AG$3,2)&gt;5,--((C38:AG38="DM"))+(C38:AG38="CS1")+((C38:AG38="CS2"))+(C38:AG38="SB1")+(C38:AG38="AE")+(C38:AG38="EM"))</f>
        <v/>
      </c>
      <c r="AT38" s="246" t="n"/>
      <c r="AU38" s="238">
        <f>(AQ38-AR38)/2+(AS38-AT38)</f>
        <v/>
      </c>
      <c r="AV38" s="238">
        <f>AI38+AJ38+AK38+AL38+AN38+AO38</f>
        <v/>
      </c>
      <c r="AW38" s="238">
        <f>BG38+BH38+BJ38+BE38+BC38+BA38+BL38</f>
        <v/>
      </c>
      <c r="AX38" s="238">
        <f>AU38+AY38</f>
        <v/>
      </c>
      <c r="AY38" s="313">
        <f>(BJ38*('Setting key Duty'!$I$8+'Setting key Duty'!$I$12))+(BH38*'Setting key Duty'!$I$9)+(BC38*('Setting key Duty'!$I$13+'Setting key Duty'!$I$9))+(BA38*('Setting key Duty'!$I$13+'Setting key Duty'!$I$12+'Setting key Duty'!$I$11))+(BE38*('Setting key Duty'!$I$8+'Setting key Duty'!$I$9+'Setting key Duty'!$I$12))</f>
        <v/>
      </c>
      <c r="AZ38" s="313">
        <f>COUNTIF(C38:Y38,"*BRT*")</f>
        <v/>
      </c>
      <c r="BA38" s="313">
        <f>COUNTIF(A38:AI38,"*$BTP*")</f>
        <v/>
      </c>
      <c r="BB38" s="313">
        <f>BA38*('Setting key Duty'!$I$13+'Setting key Duty'!$I$12+'Setting key Duty'!$I$11)</f>
        <v/>
      </c>
      <c r="BC38" s="313">
        <f>COUNTIF(D38:AI38,"*$L*")</f>
        <v/>
      </c>
      <c r="BD38" s="313">
        <f>BC38*('Setting key Duty'!$I$13+'Setting key Duty'!$I$9)</f>
        <v/>
      </c>
      <c r="BE38" s="313">
        <f>COUNTIF(D38:AI38,"*$M*")</f>
        <v/>
      </c>
      <c r="BF38" s="313">
        <f>BE38*('Setting key Duty'!$I$8+'Setting key Duty'!$I$9+'Setting key Duty'!$I$12)</f>
        <v/>
      </c>
      <c r="BG38" s="313">
        <f>COUNTIF(D38:AI38,"*$N*")</f>
        <v/>
      </c>
      <c r="BH38" s="313">
        <f>COUNTIF(D38:AI38,"*$PM*")</f>
        <v/>
      </c>
      <c r="BI38" s="313" t="n"/>
      <c r="BJ38" s="313" t="n"/>
      <c r="BK38" s="313" t="n"/>
      <c r="BL38" s="313" t="n"/>
      <c r="BM38" s="313" t="n"/>
      <c r="BN38" s="313" t="n"/>
      <c r="BO38" s="313" t="n"/>
      <c r="BP38" s="313" t="n"/>
      <c r="BQ38" s="345" t="n"/>
    </row>
    <row r="39" ht="19.5" customHeight="1">
      <c r="A39" s="309" t="n"/>
      <c r="B39" s="347" t="inlineStr">
        <is>
          <t>PTE MATTHEW HWANG YEW SENG</t>
        </is>
      </c>
      <c r="C39" s="350" t="n"/>
      <c r="D39" s="317" t="n"/>
      <c r="F39" s="106" t="n"/>
      <c r="G39" s="106" t="n"/>
      <c r="H39" s="106" t="n"/>
      <c r="I39" s="197" t="inlineStr">
        <is>
          <t>F $BTP (0530-2359)</t>
        </is>
      </c>
      <c r="J39" s="317" t="n"/>
      <c r="K39" s="324" t="n"/>
      <c r="L39" s="324" t="n"/>
      <c r="M39" s="331" t="inlineStr">
        <is>
          <t>F $AM IPPT (0500-1100)</t>
        </is>
      </c>
      <c r="N39" s="317" t="n"/>
      <c r="O39" s="353" t="n"/>
      <c r="P39" s="283" t="inlineStr">
        <is>
          <t>R/V/W $M ISAD (0500-2000)</t>
        </is>
      </c>
      <c r="Q39" s="106" t="n"/>
      <c r="R39" s="106" t="n"/>
      <c r="T39" s="350" t="n"/>
      <c r="U39" s="106" t="n"/>
      <c r="V39" s="351" t="n"/>
      <c r="X39" s="197" t="inlineStr">
        <is>
          <t>R $M HG (0500-2000)</t>
        </is>
      </c>
      <c r="Y39" s="106" t="n"/>
      <c r="Z39" s="197" t="inlineStr">
        <is>
          <t>D $BTP (0530-2359)</t>
        </is>
      </c>
      <c r="AA39" s="106" t="n"/>
      <c r="AC39" s="106" t="n"/>
      <c r="AD39" s="317" t="n"/>
      <c r="AE39" s="320" t="n"/>
      <c r="AF39" s="197" t="inlineStr">
        <is>
          <t>D $M HG (0530-20000</t>
        </is>
      </c>
      <c r="AG39" s="350" t="n"/>
      <c r="AH39" s="317" t="n"/>
      <c r="AI39" s="311" t="n"/>
      <c r="AJ39" s="312" t="n"/>
      <c r="AK39" s="311" t="n"/>
      <c r="AL39" s="344" t="n"/>
      <c r="AM39" s="344" t="n"/>
      <c r="AN39" s="344" t="n"/>
      <c r="AO39" s="344" t="n"/>
      <c r="AP39" s="246" t="n"/>
      <c r="AQ39" s="313">
        <f>SUMPRODUCT(--WEEKDAY(C$3:AG$3,2)&lt;6,--((C39:AG39="DM"))+(C39:AG39="CS1")+((C39:AG39="CS2"))+(C39:AG39="SB1")+(C39:AG39="AE")+(C39:AG39="EM"))</f>
        <v/>
      </c>
      <c r="AR39" s="246" t="n"/>
      <c r="AS39" s="238">
        <f>SUMPRODUCT(--WEEKDAY(C$3:AG$3,2)&gt;5,--((C39:AG39="DM"))+(C39:AG39="CS1")+((C39:AG39="CS2"))+(C39:AG39="SB1")+(C39:AG39="AE")+(C39:AG39="EM"))</f>
        <v/>
      </c>
      <c r="AT39" s="246" t="n"/>
      <c r="AU39" s="238">
        <f>(AQ39-AR39)/2+(AS39-AT39)</f>
        <v/>
      </c>
      <c r="AV39" s="238">
        <f>AI39+AJ39+AK39+AL39+AN39+AO39</f>
        <v/>
      </c>
      <c r="AW39" s="238">
        <f>BG39+BH39+BJ39+BE39+BC39+BA39+BL39</f>
        <v/>
      </c>
      <c r="AX39" s="238">
        <f>AU39+AY39</f>
        <v/>
      </c>
      <c r="AY39" s="313">
        <f>(BJ39*('Setting key Duty'!$I$8+'Setting key Duty'!$I$12))+(BH39*'Setting key Duty'!$I$9)+(BC39*('Setting key Duty'!$I$13+'Setting key Duty'!$I$9))+(BA39*('Setting key Duty'!$I$13+'Setting key Duty'!$I$12+'Setting key Duty'!$I$11))+(BE39*('Setting key Duty'!$I$8+'Setting key Duty'!$I$9+'Setting key Duty'!$I$12))</f>
        <v/>
      </c>
      <c r="AZ39" s="313">
        <f>COUNTIF(C39:Y39,"*BRT*")</f>
        <v/>
      </c>
      <c r="BA39" s="313">
        <f>COUNTIF(A39:AI39,"*$BTP*")</f>
        <v/>
      </c>
      <c r="BB39" s="313">
        <f>BA39*('Setting key Duty'!$I$13+'Setting key Duty'!$I$12+'Setting key Duty'!$I$11)</f>
        <v/>
      </c>
      <c r="BC39" s="313">
        <f>COUNTIF(D39:AI39,"*$L*")</f>
        <v/>
      </c>
      <c r="BD39" s="313">
        <f>BC39*('Setting key Duty'!$I$13+'Setting key Duty'!$I$9)</f>
        <v/>
      </c>
      <c r="BE39" s="313">
        <f>COUNTIF(D39:AI39,"*$M*")</f>
        <v/>
      </c>
      <c r="BF39" s="313">
        <f>BE39*('Setting key Duty'!$I$8+'Setting key Duty'!$I$9+'Setting key Duty'!$I$12)</f>
        <v/>
      </c>
      <c r="BG39" s="313">
        <f>COUNTIF(D39:AI39,"*$N*")</f>
        <v/>
      </c>
      <c r="BH39" s="313">
        <f>COUNTIF(D39:AI39,"*$PM*")</f>
        <v/>
      </c>
      <c r="BI39" s="313" t="n"/>
      <c r="BJ39" s="313" t="n"/>
      <c r="BK39" s="313" t="n"/>
      <c r="BL39" s="313" t="n"/>
      <c r="BM39" s="313" t="n"/>
      <c r="BN39" s="313" t="n"/>
      <c r="BO39" s="313" t="n"/>
      <c r="BP39" s="313" t="n"/>
      <c r="BQ39" s="345" t="n"/>
    </row>
    <row r="40" ht="19.5" customHeight="1">
      <c r="A40" s="309" t="n"/>
      <c r="B40" s="347" t="inlineStr">
        <is>
          <t>PTE TAN JUN YANG KELVIN</t>
        </is>
      </c>
      <c r="C40" s="350" t="n"/>
      <c r="D40" s="317" t="n"/>
      <c r="F40" s="106" t="n"/>
      <c r="G40" s="106" t="n"/>
      <c r="H40" s="106" t="n"/>
      <c r="I40" s="106" t="n"/>
      <c r="J40" s="197" t="inlineStr">
        <is>
          <t>F $BTP (0530-2359)</t>
        </is>
      </c>
      <c r="K40" s="324" t="n"/>
      <c r="L40" s="324" t="n"/>
      <c r="M40" s="147" t="n"/>
      <c r="N40" s="317" t="n"/>
      <c r="O40" s="353" t="n"/>
      <c r="P40" s="283" t="inlineStr">
        <is>
          <t>F $PM ER (1530-2000)</t>
        </is>
      </c>
      <c r="Q40" s="106" t="n"/>
      <c r="R40" s="106" t="n"/>
      <c r="T40" s="350" t="n"/>
      <c r="U40" s="106" t="n"/>
      <c r="V40" s="351" t="n"/>
      <c r="W40" s="197" t="inlineStr">
        <is>
          <t>O $PM CC (1530-2000)</t>
        </is>
      </c>
      <c r="X40" s="317" t="n"/>
      <c r="Y40" s="106" t="n"/>
      <c r="Z40" s="197" t="inlineStr">
        <is>
          <t>F $AM ER (0600-1100)</t>
        </is>
      </c>
      <c r="AA40" s="106" t="n"/>
      <c r="AC40" s="106" t="n"/>
      <c r="AD40" s="197" t="inlineStr">
        <is>
          <t>W $BTP (0500-2359)</t>
        </is>
      </c>
      <c r="AE40" s="320" t="n"/>
      <c r="AF40" s="317" t="n"/>
      <c r="AG40" s="196" t="inlineStr">
        <is>
          <t>W $AM IPPT (0500-1000)</t>
        </is>
      </c>
      <c r="AH40" s="317" t="n"/>
      <c r="AI40" s="311" t="n"/>
      <c r="AJ40" s="312" t="n"/>
      <c r="AK40" s="311" t="n"/>
      <c r="AL40" s="344" t="n"/>
      <c r="AM40" s="344" t="n"/>
      <c r="AN40" s="344" t="n"/>
      <c r="AO40" s="344" t="n"/>
      <c r="AP40" s="246" t="n"/>
      <c r="AQ40" s="313">
        <f>SUMPRODUCT(--WEEKDAY(C$3:AG$3,2)&lt;6,--((C40:AG40="DM"))+(C40:AG40="CS1")+((C40:AG40="CS2"))+(C40:AG40="SB1")+(C40:AG40="AE")+(C40:AG40="EM"))</f>
        <v/>
      </c>
      <c r="AR40" s="246" t="n"/>
      <c r="AS40" s="238">
        <f>SUMPRODUCT(--WEEKDAY(C$3:AG$3,2)&gt;5,--((C40:AG40="DM"))+(C40:AG40="CS1")+((C40:AG40="CS2"))+(C40:AG40="SB1")+(C40:AG40="AE")+(C40:AG40="EM"))</f>
        <v/>
      </c>
      <c r="AT40" s="246" t="n"/>
      <c r="AU40" s="238">
        <f>(AQ40-AR40)/2+(AS40-AT40)</f>
        <v/>
      </c>
      <c r="AV40" s="238">
        <f>AI40+AJ40+AK40+AL40+AN40+AO40</f>
        <v/>
      </c>
      <c r="AW40" s="238">
        <f>BG40+BH40+BJ40+BE40+BC40+BA40+BL40</f>
        <v/>
      </c>
      <c r="AX40" s="238">
        <f>AU40+AY40</f>
        <v/>
      </c>
      <c r="AY40" s="313">
        <f>(BJ40*('Setting key Duty'!$I$8+'Setting key Duty'!$I$12))+(BH40*'Setting key Duty'!$I$9)+(BC40*('Setting key Duty'!$I$13+'Setting key Duty'!$I$9))+(BA40*('Setting key Duty'!$I$13+'Setting key Duty'!$I$12+'Setting key Duty'!$I$11))+(BE40*('Setting key Duty'!$I$8+'Setting key Duty'!$I$9+'Setting key Duty'!$I$12))</f>
        <v/>
      </c>
      <c r="AZ40" s="313">
        <f>COUNTIF(C40:Y40,"*BRT*")</f>
        <v/>
      </c>
      <c r="BA40" s="313">
        <f>COUNTIF(A40:AI40,"*$BTP*")</f>
        <v/>
      </c>
      <c r="BB40" s="313">
        <f>BA40*('Setting key Duty'!$I$13+'Setting key Duty'!$I$12+'Setting key Duty'!$I$11)</f>
        <v/>
      </c>
      <c r="BC40" s="313">
        <f>COUNTIF(D40:AI40,"*$L*")</f>
        <v/>
      </c>
      <c r="BD40" s="313">
        <f>BC40*('Setting key Duty'!$I$13+'Setting key Duty'!$I$9)</f>
        <v/>
      </c>
      <c r="BE40" s="313">
        <f>COUNTIF(D40:AI40,"*$M*")</f>
        <v/>
      </c>
      <c r="BF40" s="313">
        <f>BE40*('Setting key Duty'!$I$8+'Setting key Duty'!$I$9+'Setting key Duty'!$I$12)</f>
        <v/>
      </c>
      <c r="BG40" s="313">
        <f>COUNTIF(D40:AI40,"*$N*")</f>
        <v/>
      </c>
      <c r="BH40" s="313">
        <f>COUNTIF(D40:AI40,"*$PM*")</f>
        <v/>
      </c>
      <c r="BI40" s="313" t="n"/>
      <c r="BJ40" s="313" t="n"/>
      <c r="BK40" s="313" t="n"/>
      <c r="BL40" s="313" t="n"/>
      <c r="BM40" s="313" t="n"/>
      <c r="BN40" s="313" t="n"/>
      <c r="BO40" s="313" t="n"/>
      <c r="BP40" s="313" t="n"/>
      <c r="BQ40" s="345" t="n"/>
    </row>
    <row r="41" ht="19.5" customHeight="1">
      <c r="A41" s="309" t="n"/>
      <c r="B41" s="354" t="n"/>
      <c r="C41" s="350" t="n"/>
      <c r="D41" s="317" t="n"/>
      <c r="E41" s="106" t="n"/>
      <c r="F41" s="106" t="n"/>
      <c r="G41" s="106" t="n"/>
      <c r="H41" s="106" t="n"/>
      <c r="I41" s="106" t="n"/>
      <c r="J41" s="317" t="n"/>
      <c r="K41" s="324" t="n"/>
      <c r="L41" s="324" t="n"/>
      <c r="M41" s="155" t="n"/>
      <c r="N41" s="317" t="n"/>
      <c r="O41" s="324" t="n"/>
      <c r="P41" s="317" t="n"/>
      <c r="Q41" s="106" t="n"/>
      <c r="R41" s="106" t="n"/>
      <c r="S41" s="106" t="n"/>
      <c r="T41" s="350" t="n"/>
      <c r="U41" s="106" t="n"/>
      <c r="V41" s="351" t="n"/>
      <c r="W41" s="106" t="n"/>
      <c r="X41" s="317" t="n"/>
      <c r="Y41" s="106" t="n"/>
      <c r="Z41" s="106" t="n"/>
      <c r="AA41" s="106" t="n"/>
      <c r="AB41" s="106" t="n"/>
      <c r="AC41" s="106" t="n"/>
      <c r="AD41" s="317" t="n"/>
      <c r="AE41" s="317" t="n"/>
      <c r="AF41" s="317" t="n"/>
      <c r="AG41" s="350" t="n"/>
      <c r="AH41" s="317" t="n"/>
      <c r="AI41" s="311" t="n"/>
      <c r="AJ41" s="312" t="n"/>
      <c r="AK41" s="311" t="n"/>
      <c r="AL41" s="344" t="n"/>
      <c r="AM41" s="344" t="n"/>
      <c r="AN41" s="344" t="n"/>
      <c r="AO41" s="344" t="n"/>
      <c r="AP41" s="246" t="n"/>
      <c r="AQ41" s="313">
        <f>SUMPRODUCT(--WEEKDAY(C$3:AG$3,2)&lt;6,--((C41:AG41="DM"))+(C41:AG41="CS1")+((C41:AG41="CS2"))+(C41:AG41="SB1")+(C41:AG41="AE")+(C41:AG41="EM"))</f>
        <v/>
      </c>
      <c r="AR41" s="246" t="n"/>
      <c r="AS41" s="238">
        <f>SUMPRODUCT(--WEEKDAY(C$3:AG$3,2)&gt;5,--((C41:AG41="DM"))+(C41:AG41="CS1")+((C41:AG41="CS2"))+(C41:AG41="SB1")+(C41:AG41="AE")+(C41:AG41="EM"))</f>
        <v/>
      </c>
      <c r="AT41" s="246" t="n"/>
      <c r="AU41" s="238">
        <f>(AQ41-AR41)/2+(AS41-AT41)</f>
        <v/>
      </c>
      <c r="AV41" s="238">
        <f>AI41+AJ41+AK41+AL41+AN41+AO41</f>
        <v/>
      </c>
      <c r="AW41" s="238">
        <f>BG41+BH41+BJ41+BE41+BC41+BA41+BL41</f>
        <v/>
      </c>
      <c r="AX41" s="238">
        <f>AU41+AY41</f>
        <v/>
      </c>
      <c r="AY41" s="313">
        <f>(BJ41*('Setting key Duty'!$I$8+'Setting key Duty'!$I$12))+(BH41*'Setting key Duty'!$I$9)+(BC41*('Setting key Duty'!$I$13+'Setting key Duty'!$I$9))+(BA41*('Setting key Duty'!$I$13+'Setting key Duty'!$I$12+'Setting key Duty'!$I$11))+(BE41*('Setting key Duty'!$I$8+'Setting key Duty'!$I$9+'Setting key Duty'!$I$12))</f>
        <v/>
      </c>
      <c r="AZ41" s="313">
        <f>COUNTIF(C41:Y41,"*BRT*")</f>
        <v/>
      </c>
      <c r="BA41" s="313">
        <f>COUNTIF(A41:AI41,"*$BTP*")</f>
        <v/>
      </c>
      <c r="BB41" s="313">
        <f>BA41*('Setting key Duty'!$I$13+'Setting key Duty'!$I$12+'Setting key Duty'!$I$11)</f>
        <v/>
      </c>
      <c r="BC41" s="313">
        <f>COUNTIF(D41:AI41,"*$L*")</f>
        <v/>
      </c>
      <c r="BD41" s="313">
        <f>BC41*('Setting key Duty'!$I$13+'Setting key Duty'!$I$9)</f>
        <v/>
      </c>
      <c r="BE41" s="313">
        <f>COUNTIF(D41:AI41,"*$M*")</f>
        <v/>
      </c>
      <c r="BF41" s="313">
        <f>BE41*('Setting key Duty'!$I$8+'Setting key Duty'!$I$9+'Setting key Duty'!$I$12)</f>
        <v/>
      </c>
      <c r="BG41" s="313">
        <f>COUNTIF(D41:AI41,"*$N*")</f>
        <v/>
      </c>
      <c r="BH41" s="313">
        <f>COUNTIF(D41:AI41,"*$PM*")</f>
        <v/>
      </c>
      <c r="BI41" s="313">
        <f>BH41*('Setting key Duty'!$I$9)</f>
        <v/>
      </c>
      <c r="BJ41" s="313">
        <f>COUNTIF(D41:AI41,"*$AM*")</f>
        <v/>
      </c>
      <c r="BK41" s="313">
        <f>BJ41*('Setting key Duty'!$I$12+'Setting key Duty'!$I$8)</f>
        <v/>
      </c>
      <c r="BL41" s="313">
        <f>COUNTIF(C41:AI41,"*$FC*")</f>
        <v/>
      </c>
      <c r="BM41" s="313">
        <f>BL41*('Setting key Duty'!$J$11+'Setting key Duty'!$I$8)</f>
        <v/>
      </c>
      <c r="BN41" s="313">
        <f>COUNTIF($C41:$AG41,BN$4)</f>
        <v/>
      </c>
      <c r="BO41" s="313">
        <f>COUNTIF($C41:$AG41,BO$4)</f>
        <v/>
      </c>
      <c r="BP41" s="313" t="n"/>
      <c r="BQ41" s="345" t="n"/>
    </row>
    <row r="42" ht="19.5" customHeight="1">
      <c r="A42" s="309" t="n"/>
      <c r="B42" s="354" t="inlineStr">
        <is>
          <t>Leave a blank row after the last name ^</t>
        </is>
      </c>
      <c r="C42" s="355" t="n"/>
      <c r="D42" s="317" t="n"/>
      <c r="E42" s="317" t="n"/>
      <c r="F42" s="317" t="n"/>
      <c r="G42" s="317" t="n"/>
      <c r="H42" s="317" t="n"/>
      <c r="I42" s="317" t="n"/>
      <c r="J42" s="317" t="n"/>
      <c r="K42" s="317" t="n"/>
      <c r="L42" s="317" t="n"/>
      <c r="N42" s="317" t="n"/>
      <c r="O42" s="317" t="n"/>
      <c r="P42" s="317" t="n"/>
      <c r="Q42" s="106" t="n"/>
      <c r="R42" s="106" t="n"/>
      <c r="S42" s="317" t="n"/>
      <c r="T42" s="350" t="n"/>
      <c r="U42" s="198" t="n"/>
      <c r="V42" s="351" t="n"/>
      <c r="W42" s="317" t="n"/>
      <c r="X42" s="317" t="n"/>
      <c r="Y42" s="356" t="n"/>
      <c r="Z42" s="356" t="n"/>
      <c r="AA42" s="356" t="n"/>
      <c r="AB42" s="356" t="n"/>
      <c r="AC42" s="356" t="n"/>
      <c r="AD42" s="356" t="n"/>
      <c r="AE42" s="317" t="n"/>
      <c r="AF42" s="317" t="n"/>
      <c r="AG42" s="350" t="n"/>
      <c r="AH42" s="317" t="n"/>
      <c r="AI42" s="311">
        <f>COUNTIF($C42:$AG42,AI$4)</f>
        <v/>
      </c>
      <c r="AJ42" s="312">
        <f>COUNTIF($C42:$AG42,AJ$4)</f>
        <v/>
      </c>
      <c r="AK42" s="311">
        <f>COUNTIF($C42:$AG42,AK$4)</f>
        <v/>
      </c>
      <c r="AL42" s="344">
        <f>COUNTIF($C42:$AG42,AL$4)</f>
        <v/>
      </c>
      <c r="AM42" s="344">
        <f>COUNTIF($C42:$AG42,AM$4)</f>
        <v/>
      </c>
      <c r="AN42" s="344">
        <f>COUNTIF($C42:$AG42,AN$4)</f>
        <v/>
      </c>
      <c r="AO42" s="344">
        <f>COUNTIF($C42:$AG42,AO$4)</f>
        <v/>
      </c>
      <c r="AP42" s="246" t="n"/>
      <c r="AQ42" s="313" t="n"/>
      <c r="AR42" s="246" t="n"/>
      <c r="AS42" s="238" t="n"/>
      <c r="AT42" s="246" t="n"/>
      <c r="AU42" s="246" t="n"/>
      <c r="AV42" s="238" t="n"/>
      <c r="AW42" s="238" t="n"/>
      <c r="AX42" s="238" t="n"/>
      <c r="AY42" s="313" t="n"/>
      <c r="AZ42" s="313" t="n"/>
      <c r="BA42" s="313" t="n"/>
      <c r="BB42" s="313" t="n"/>
      <c r="BC42" s="313" t="n"/>
      <c r="BD42" s="313" t="n"/>
      <c r="BE42" s="313" t="n"/>
      <c r="BF42" s="313" t="n"/>
      <c r="BG42" s="313" t="n"/>
      <c r="BH42" s="313" t="n"/>
      <c r="BI42" s="313" t="n"/>
      <c r="BJ42" s="313" t="n"/>
      <c r="BK42" s="313" t="n"/>
      <c r="BL42" s="313" t="n"/>
      <c r="BM42" s="313" t="n"/>
      <c r="BN42" s="344" t="n"/>
      <c r="BO42" s="344" t="n"/>
      <c r="BP42" s="344" t="n"/>
      <c r="BQ42" s="345" t="n"/>
    </row>
    <row r="43" ht="19.5" customHeight="1">
      <c r="A43" s="309" t="n"/>
      <c r="B43" s="357" t="n"/>
      <c r="C43" s="358" t="n"/>
      <c r="D43" s="359" t="n"/>
      <c r="E43" s="359" t="n"/>
      <c r="F43" s="359" t="n"/>
      <c r="G43" s="359" t="n"/>
      <c r="H43" s="358" t="n"/>
      <c r="I43" s="358" t="n"/>
      <c r="J43" s="358" t="n"/>
      <c r="K43" s="358" t="n"/>
      <c r="L43" s="358" t="n"/>
      <c r="M43" s="358" t="n"/>
      <c r="N43" s="358" t="n"/>
      <c r="O43" s="358" t="n"/>
      <c r="P43" s="358" t="n"/>
      <c r="Q43" s="358" t="n"/>
      <c r="R43" s="358" t="n"/>
      <c r="S43" s="358" t="n"/>
      <c r="T43" s="358" t="n"/>
      <c r="U43" s="358" t="n"/>
      <c r="V43" s="358" t="n"/>
      <c r="W43" s="358" t="n"/>
      <c r="X43" s="358" t="n"/>
      <c r="Y43" s="358" t="n"/>
      <c r="Z43" s="358" t="n"/>
      <c r="AA43" s="358" t="n"/>
      <c r="AB43" s="358" t="n"/>
      <c r="AC43" s="358" t="n"/>
      <c r="AD43" s="358" t="n"/>
      <c r="AE43" s="358" t="n"/>
      <c r="AF43" s="358" t="n"/>
      <c r="AG43" s="358" t="n"/>
      <c r="AH43" s="360" t="n"/>
      <c r="AI43" s="361" t="n"/>
      <c r="AJ43" s="362" t="n"/>
      <c r="AK43" s="361" t="n"/>
      <c r="AL43" s="363" t="n"/>
      <c r="AM43" s="363" t="n"/>
      <c r="AN43" s="363" t="n"/>
      <c r="AO43" s="363" t="n"/>
      <c r="AP43" s="253" t="n"/>
      <c r="AQ43" s="253" t="n"/>
      <c r="AR43" s="253" t="n"/>
      <c r="AS43" s="253">
        <f>SUMPRODUCT(--WEEKDAY(C$3:AG$3,2)&gt;5,--((C43:AG43="DM"))+(C43:AG43="CS1")+((C43:AG43="CS2"))+(C43:AG43="SB1")+(C43:AG43="AE")+(C43:AG43="EM"))</f>
        <v/>
      </c>
      <c r="AT43" s="253" t="n"/>
      <c r="AU43" s="253">
        <f>(AQ43-AR43)/2+(AS43-AT43)</f>
        <v/>
      </c>
      <c r="AV43" s="253" t="n"/>
      <c r="AW43" s="253" t="n"/>
      <c r="AX43" s="253" t="n"/>
      <c r="AY43" s="363" t="n"/>
      <c r="AZ43" s="363" t="n"/>
      <c r="BA43" s="363" t="n"/>
      <c r="BB43" s="363" t="n"/>
      <c r="BC43" s="363" t="n"/>
      <c r="BD43" s="363" t="n"/>
      <c r="BE43" s="363" t="n"/>
      <c r="BF43" s="363" t="n"/>
      <c r="BG43" s="363" t="n"/>
      <c r="BH43" s="363" t="n"/>
      <c r="BI43" s="363" t="n"/>
      <c r="BJ43" s="363" t="n"/>
      <c r="BK43" s="363" t="n"/>
      <c r="BL43" s="363" t="n"/>
      <c r="BM43" s="363" t="n"/>
      <c r="BN43" s="363" t="n"/>
      <c r="BO43" s="363" t="n"/>
      <c r="BP43" s="363" t="n"/>
      <c r="BQ43" s="364" t="n"/>
    </row>
    <row r="44" ht="19.5" customHeight="1">
      <c r="A44" s="309" t="n"/>
      <c r="B44" s="365" t="inlineStr">
        <is>
          <t>DM</t>
        </is>
      </c>
      <c r="C44" s="366">
        <f>VLOOKUP("DM",C4:C42,1,FALSE)</f>
        <v/>
      </c>
      <c r="D44" s="366">
        <f>VLOOKUP("DM",D4:D42,1,FALSE)</f>
        <v/>
      </c>
      <c r="E44" s="366">
        <f>VLOOKUP("DM",E1:E42,1,FALSE)</f>
        <v/>
      </c>
      <c r="F44" s="366">
        <f>VLOOKUP("DM",F4:F42,1,FALSE)</f>
        <v/>
      </c>
      <c r="G44" s="366">
        <f>VLOOKUP("DM",G4:G42,1,FALSE)</f>
        <v/>
      </c>
      <c r="H44" s="366">
        <f>VLOOKUP("DM",H4:H42,1,FALSE)</f>
        <v/>
      </c>
      <c r="I44" s="366">
        <f>VLOOKUP("DM",I4:I42,1,FALSE)</f>
        <v/>
      </c>
      <c r="J44" s="366">
        <f>VLOOKUP("DM",J4:J42,1,FALSE)</f>
        <v/>
      </c>
      <c r="K44" s="366">
        <f>VLOOKUP("DM",K4:K42,1,FALSE)</f>
        <v/>
      </c>
      <c r="L44" s="366">
        <f>VLOOKUP("DM",L4:L42,1,FALSE)</f>
        <v/>
      </c>
      <c r="M44" s="366">
        <f>VLOOKUP("DM",M4:M26,1,FALSE)</f>
        <v/>
      </c>
      <c r="N44" s="366">
        <f>VLOOKUP("DM",N4:N42,1,FALSE)</f>
        <v/>
      </c>
      <c r="O44" s="366">
        <f>VLOOKUP("DM",O4:O42,1,FALSE)</f>
        <v/>
      </c>
      <c r="P44" s="366">
        <f>VLOOKUP("DM",P4:P42,1,FALSE)</f>
        <v/>
      </c>
      <c r="Q44" s="366">
        <f>VLOOKUP("DM",Q4:Q27,1,FALSE)</f>
        <v/>
      </c>
      <c r="R44" s="366">
        <f>VLOOKUP("DM",R4:R25,1,FALSE)</f>
        <v/>
      </c>
      <c r="S44" s="366">
        <f>VLOOKUP("DM",S4:S42,1,FALSE)</f>
        <v/>
      </c>
      <c r="T44" s="366">
        <f>VLOOKUP("DM",T4:T42,1,FALSE)</f>
        <v/>
      </c>
      <c r="U44" s="366">
        <f>VLOOKUP("DM",U4:U42,1,FALSE)</f>
        <v/>
      </c>
      <c r="V44" s="367">
        <f>VLOOKUP("DM",V4:V25,1,FALSE)</f>
        <v/>
      </c>
      <c r="W44" s="366">
        <f>VLOOKUP("DM",W4:W25,1,FALSE)</f>
        <v/>
      </c>
      <c r="X44" s="366">
        <f>VLOOKUP("DM",X4:X42,1,FALSE)</f>
        <v/>
      </c>
      <c r="Y44" s="366">
        <f>VLOOKUP("DM",Y4:Y42,1,FALSE)</f>
        <v/>
      </c>
      <c r="Z44" s="366">
        <f>VLOOKUP("DM",Z4:Z42,1,FALSE)</f>
        <v/>
      </c>
      <c r="AA44" s="366">
        <f>VLOOKUP("DM",AA1:AA42,1,FALSE)</f>
        <v/>
      </c>
      <c r="AB44" s="366">
        <f>VLOOKUP("DM",AB4:AB42,1,FALSE)</f>
        <v/>
      </c>
      <c r="AC44" s="366">
        <f>VLOOKUP("DM",AC4:AC42,1,FALSE)</f>
        <v/>
      </c>
      <c r="AD44" s="366">
        <f>VLOOKUP("DM",AD4:AD42,1,FALSE)</f>
        <v/>
      </c>
      <c r="AE44" s="366">
        <f>VLOOKUP("DM",AE4:AE42,1,FALSE)</f>
        <v/>
      </c>
      <c r="AF44" s="366">
        <f>VLOOKUP("DM",AF4:AF42,1,FALSE)</f>
        <v/>
      </c>
      <c r="AG44" s="366">
        <f>VLOOKUP("DM",AG4:AG42,1,FALSE)</f>
        <v/>
      </c>
      <c r="AH44" s="366">
        <f>VLOOKUP("DM",AH4:AH42,1,FALSE)</f>
        <v/>
      </c>
      <c r="AI44" s="311" t="n"/>
      <c r="AJ44" s="312" t="n"/>
      <c r="AK44" s="311" t="n"/>
      <c r="AL44" s="313" t="n"/>
      <c r="AM44" s="313" t="n"/>
      <c r="AN44" s="313" t="n"/>
      <c r="AO44" s="313" t="n"/>
      <c r="AP44" s="313" t="n"/>
      <c r="AQ44" s="313" t="n"/>
      <c r="AR44" s="313" t="n"/>
      <c r="AS44" s="313" t="n"/>
      <c r="AT44" s="313" t="n"/>
      <c r="AU44" s="313" t="n"/>
      <c r="AV44" s="313" t="n"/>
      <c r="AW44" s="313" t="n"/>
      <c r="AX44" s="313" t="n"/>
      <c r="AY44" s="313" t="n"/>
      <c r="AZ44" s="313" t="n"/>
      <c r="BA44" s="313" t="n"/>
      <c r="BB44" s="313" t="n"/>
      <c r="BC44" s="313" t="n"/>
      <c r="BD44" s="313" t="n"/>
      <c r="BE44" s="313" t="n"/>
      <c r="BF44" s="313" t="n"/>
      <c r="BG44" s="313" t="n"/>
      <c r="BH44" s="313" t="n"/>
      <c r="BI44" s="313" t="n"/>
      <c r="BJ44" s="313" t="n"/>
      <c r="BK44" s="313" t="n"/>
      <c r="BL44" s="313" t="n"/>
      <c r="BM44" s="313" t="n"/>
      <c r="BN44" s="313" t="n"/>
      <c r="BO44" s="313" t="n"/>
      <c r="BP44" s="313" t="n"/>
      <c r="BQ44" s="314" t="n"/>
    </row>
    <row r="45" ht="19.5" customHeight="1">
      <c r="A45" s="309">
        <f>LTE()</f>
        <v/>
      </c>
      <c r="B45" s="368" t="inlineStr">
        <is>
          <t>CS1</t>
        </is>
      </c>
      <c r="C45" s="366">
        <f>VLOOKUP("CS1",C5:C42,1,FALSE)</f>
        <v/>
      </c>
      <c r="D45" s="366">
        <f>VLOOKUP("CS1",D1:D42,1,FALSE)</f>
        <v/>
      </c>
      <c r="E45" s="366">
        <f>VLOOKUP("CS1",E1:E42,1,FALSE)</f>
        <v/>
      </c>
      <c r="F45" s="366">
        <f>VLOOKUP("CS1",F9:F42,1,FALSE)</f>
        <v/>
      </c>
      <c r="G45" s="366">
        <f>VLOOKUP("CS1",G1:G42,1,FALSE)</f>
        <v/>
      </c>
      <c r="H45" s="366">
        <f>VLOOKUP("CS1",H6:H42,1,FALSE)</f>
        <v/>
      </c>
      <c r="I45" s="366">
        <f>VLOOKUP("CS1",I8:I42,1,FALSE)</f>
        <v/>
      </c>
      <c r="J45" s="366">
        <f>VLOOKUP("CS1",J4:J42,1,FALSE)</f>
        <v/>
      </c>
      <c r="K45" s="366">
        <f>VLOOKUP("CS1",K1:K42,1,FALSE)</f>
        <v/>
      </c>
      <c r="L45" s="366">
        <f>VLOOKUP("CS1",L1:L42,1,FALSE)</f>
        <v/>
      </c>
      <c r="M45" s="366">
        <f>VLOOKUP("CS1",M8:M26,1,FALSE)</f>
        <v/>
      </c>
      <c r="N45" s="366">
        <f>VLOOKUP("CS1",N6:N42,1,FALSE)</f>
        <v/>
      </c>
      <c r="O45" s="366">
        <f>VLOOKUP("CS1",O1:O42,1,FALSE)</f>
        <v/>
      </c>
      <c r="P45" s="366">
        <f>VLOOKUP("CS1",P5:P42,1,FALSE)</f>
        <v/>
      </c>
      <c r="Q45" s="366">
        <f>VLOOKUP("CS1",Q6:Q27,1,FALSE)</f>
        <v/>
      </c>
      <c r="R45" s="366">
        <f>VLOOKUP("CS1",R6:R25,1,FALSE)</f>
        <v/>
      </c>
      <c r="S45" s="366">
        <f>VLOOKUP("CS1",S1:S42,1,FALSE)</f>
        <v/>
      </c>
      <c r="T45" s="366">
        <f>VLOOKUP("CS1",T1:T42,1,FALSE)</f>
        <v/>
      </c>
      <c r="U45" s="366">
        <f>VLOOKUP("CS1",U6:U42,1,FALSE)</f>
        <v/>
      </c>
      <c r="V45" s="367">
        <f>VLOOKUP("CS1",V1:V35,1,FALSE)</f>
        <v/>
      </c>
      <c r="W45" s="366">
        <f>VLOOKUP("CS1",W1:W25,1,FALSE)</f>
        <v/>
      </c>
      <c r="X45" s="366">
        <f>VLOOKUP("CS1",X1:X42,1,FALSE)</f>
        <v/>
      </c>
      <c r="Y45" s="366">
        <f>VLOOKUP("CS1",Y9:Y42,1,FALSE)</f>
        <v/>
      </c>
      <c r="Z45" s="366">
        <f>VLOOKUP("CS1",Z1:Z42,1,FALSE)</f>
        <v/>
      </c>
      <c r="AA45" s="366">
        <f>VLOOKUP("CS1",AA1:AA42,1,FALSE)</f>
        <v/>
      </c>
      <c r="AB45" s="366">
        <f>VLOOKUP("CS1",AB5:AB42,1,FALSE)</f>
        <v/>
      </c>
      <c r="AC45" s="366">
        <f>VLOOKUP("CS1",AC1:AC42,1,FALSE)</f>
        <v/>
      </c>
      <c r="AD45" s="366">
        <f>VLOOKUP("CS1",AD1:AD42,1,FALSE)</f>
        <v/>
      </c>
      <c r="AE45" s="366">
        <f>VLOOKUP("CS1",AE1:AE42,1,FALSE)</f>
        <v/>
      </c>
      <c r="AF45" s="366">
        <f>VLOOKUP("CS1",AF8:AF42,1,FALSE)</f>
        <v/>
      </c>
      <c r="AG45" s="366">
        <f>VLOOKUP("CS1",AG1:AG42,1,FALSE)</f>
        <v/>
      </c>
      <c r="AH45" s="366">
        <f>VLOOKUP("CS1",AH1:AH42,1,FALSE)</f>
        <v/>
      </c>
      <c r="AI45" s="311" t="n"/>
      <c r="AJ45" s="312" t="n"/>
      <c r="AK45" s="311" t="n"/>
      <c r="AL45" s="313" t="n"/>
      <c r="AM45" s="313" t="n"/>
      <c r="AN45" s="313" t="n"/>
      <c r="AO45" s="313" t="n"/>
      <c r="AP45" s="313" t="n"/>
      <c r="AQ45" s="313" t="n"/>
      <c r="AR45" s="313" t="n"/>
      <c r="AS45" s="313" t="n"/>
      <c r="AT45" s="313" t="n"/>
      <c r="AU45" s="313" t="n"/>
      <c r="AV45" s="313" t="n"/>
      <c r="AW45" s="313" t="n"/>
      <c r="AX45" s="313" t="n"/>
      <c r="AY45" s="313" t="n"/>
      <c r="AZ45" s="313" t="n"/>
      <c r="BA45" s="313" t="n"/>
      <c r="BB45" s="313" t="n"/>
      <c r="BC45" s="313" t="n"/>
      <c r="BD45" s="313" t="n"/>
      <c r="BE45" s="313" t="n"/>
      <c r="BF45" s="313" t="n"/>
      <c r="BG45" s="313" t="n"/>
      <c r="BH45" s="313" t="n"/>
      <c r="BI45" s="313" t="n"/>
      <c r="BJ45" s="313" t="n"/>
      <c r="BK45" s="313" t="n"/>
      <c r="BL45" s="313" t="n"/>
      <c r="BM45" s="313" t="n"/>
      <c r="BN45" s="313" t="n"/>
      <c r="BO45" s="313" t="n"/>
      <c r="BP45" s="313" t="n"/>
      <c r="BQ45" s="314" t="n"/>
    </row>
    <row r="46" ht="19.5" customHeight="1">
      <c r="A46" s="309" t="n"/>
      <c r="B46" s="369" t="inlineStr">
        <is>
          <t>CS2</t>
        </is>
      </c>
      <c r="C46" s="366">
        <f>VLOOKUP("CS2",C6:C42,1,FALSE)</f>
        <v/>
      </c>
      <c r="D46" s="366">
        <f>VLOOKUP("CS2",D10:D42,1,FALSE)</f>
        <v/>
      </c>
      <c r="E46" s="366">
        <f>VLOOKUP("CS2",E9:E42,1,FALSE)</f>
        <v/>
      </c>
      <c r="F46" s="366">
        <f>VLOOKUP("CS2",F9:F42,1,FALSE)</f>
        <v/>
      </c>
      <c r="G46" s="366">
        <f>VLOOKUP("CS2",G1:G42,1,FALSE)</f>
        <v/>
      </c>
      <c r="H46" s="366">
        <f>VLOOKUP("CS2",H1:H42,1,FALSE)</f>
        <v/>
      </c>
      <c r="I46" s="366">
        <f>VLOOKUP("CS2",I8:I42,1,FALSE)</f>
        <v/>
      </c>
      <c r="J46" s="366">
        <f>VLOOKUP("CS2",J4:J42,1,FALSE)</f>
        <v/>
      </c>
      <c r="K46" s="366">
        <f>VLOOKUP("CS2",K5:K42,1,FALSE)</f>
        <v/>
      </c>
      <c r="L46" s="366">
        <f>VLOOKUP("CS2",L4:L42,1,FALSE)</f>
        <v/>
      </c>
      <c r="M46" s="366">
        <f>VLOOKUP("CS2",M1:M26,1,FALSE)</f>
        <v/>
      </c>
      <c r="N46" s="366">
        <f>VLOOKUP("CS2",N1:N42,1,FALSE)</f>
        <v/>
      </c>
      <c r="O46" s="366">
        <f>VLOOKUP("CS2",O1:O42,1,FALSE)</f>
        <v/>
      </c>
      <c r="P46" s="366">
        <f>VLOOKUP("CS2",P1:P42,1,FALSE)</f>
        <v/>
      </c>
      <c r="Q46" s="366">
        <f>VLOOKUP("CS2",Q6:Q27,1,FALSE)</f>
        <v/>
      </c>
      <c r="R46" s="366">
        <f>VLOOKUP("CS2",R6:R25,1,FALSE)</f>
        <v/>
      </c>
      <c r="S46" s="366">
        <f>VLOOKUP("CS2",S1:S42,1,FALSE)</f>
        <v/>
      </c>
      <c r="T46" s="366">
        <f>VLOOKUP("CS2",T1:T42,1,FALSE)</f>
        <v/>
      </c>
      <c r="U46" s="366">
        <f>VLOOKUP("CS2",U1:U42,1,FALSE)</f>
        <v/>
      </c>
      <c r="V46" s="367">
        <f>VLOOKUP("CS2",V1:V35,1,FALSE)</f>
        <v/>
      </c>
      <c r="W46" s="366">
        <f>VLOOKUP("CS2",W1:W35,1,FALSE)</f>
        <v/>
      </c>
      <c r="X46" s="366">
        <f>VLOOKUP("CS2",X9:X42,1,FALSE)</f>
        <v/>
      </c>
      <c r="Y46" s="366">
        <f>VLOOKUP("CS2",Y1:Y42,1,FALSE)</f>
        <v/>
      </c>
      <c r="Z46" s="366">
        <f>VLOOKUP("CS2",Z1:Z42,1,FALSE)</f>
        <v/>
      </c>
      <c r="AA46" s="366">
        <f>VLOOKUP("CS2",AA1:AA42,1,FALSE)</f>
        <v/>
      </c>
      <c r="AB46" s="366">
        <f>VLOOKUP("CS2",AB1:AB42,1,FALSE)</f>
        <v/>
      </c>
      <c r="AC46" s="366">
        <f>VLOOKUP("CS2",AC9:AC42,1,FALSE)</f>
        <v/>
      </c>
      <c r="AD46" s="366">
        <f>VLOOKUP("CS2",AD1:AD42,1,FALSE)</f>
        <v/>
      </c>
      <c r="AE46" s="366">
        <f>VLOOKUP("CS2",AE1:AE42,1,FALSE)</f>
        <v/>
      </c>
      <c r="AF46" s="366">
        <f>VLOOKUP("CS2",AF1:AF42,1,FALSE)</f>
        <v/>
      </c>
      <c r="AG46" s="366">
        <f>VLOOKUP("CS2",AG8:AG42,1,FALSE)</f>
        <v/>
      </c>
      <c r="AH46" s="366">
        <f>VLOOKUP("CS2",AH8:AH42,1,FALSE)</f>
        <v/>
      </c>
      <c r="AI46" s="311" t="n"/>
      <c r="AJ46" s="312" t="n"/>
      <c r="AK46" s="311" t="n"/>
      <c r="AL46" s="313" t="n"/>
      <c r="AM46" s="313" t="n"/>
      <c r="AN46" s="313" t="n"/>
      <c r="AO46" s="313" t="n"/>
      <c r="AP46" s="313" t="n"/>
      <c r="AQ46" s="313" t="n"/>
      <c r="AR46" s="313" t="n"/>
      <c r="AS46" s="313" t="n"/>
      <c r="AT46" s="313" t="n"/>
      <c r="AU46" s="313" t="n"/>
      <c r="AV46" s="313" t="n"/>
      <c r="AW46" s="313" t="n"/>
      <c r="AX46" s="313" t="n"/>
      <c r="AY46" s="313" t="n"/>
      <c r="AZ46" s="313" t="n"/>
      <c r="BA46" s="313" t="n"/>
      <c r="BB46" s="313" t="n"/>
      <c r="BC46" s="313" t="n"/>
      <c r="BD46" s="313" t="n"/>
      <c r="BE46" s="313" t="n"/>
      <c r="BF46" s="313" t="n"/>
      <c r="BG46" s="313" t="n"/>
      <c r="BH46" s="313" t="n"/>
      <c r="BI46" s="313" t="n"/>
      <c r="BJ46" s="313" t="n"/>
      <c r="BK46" s="313" t="n"/>
      <c r="BL46" s="313" t="n"/>
      <c r="BM46" s="313" t="n"/>
      <c r="BN46" s="313" t="n"/>
      <c r="BO46" s="313" t="n"/>
      <c r="BP46" s="313" t="n"/>
      <c r="BQ46" s="314" t="n"/>
    </row>
    <row r="47" ht="19.5" customHeight="1">
      <c r="A47" s="309" t="n"/>
      <c r="B47" s="370" t="inlineStr">
        <is>
          <t>SB1</t>
        </is>
      </c>
      <c r="C47" s="366">
        <f>VLOOKUP("SB1",C6:C42,1,FALSE)</f>
        <v/>
      </c>
      <c r="D47" s="366">
        <f>VLOOKUP("SB1",D3:D42,1,FALSE)</f>
        <v/>
      </c>
      <c r="E47" s="366">
        <f>VLOOKUP("SB1",E1:E42,1,FALSE)</f>
        <v/>
      </c>
      <c r="F47" s="366">
        <f>VLOOKUP("SB1",F9:F42,1,FALSE)</f>
        <v/>
      </c>
      <c r="G47" s="366">
        <f>VLOOKUP("SB1",G6:G42,1,FALSE)</f>
        <v/>
      </c>
      <c r="H47" s="366">
        <f>VLOOKUP("SB1",H6:H42,1,FALSE)</f>
        <v/>
      </c>
      <c r="I47" s="366">
        <f>VLOOKUP("SB1",I1:I42,1,FALSE)</f>
        <v/>
      </c>
      <c r="J47" s="366">
        <f>VLOOKUP("SB1",J4:J42,1,FALSE)</f>
        <v/>
      </c>
      <c r="K47" s="366">
        <f>VLOOKUP("SB1",K6:K42,1,FALSE)</f>
        <v/>
      </c>
      <c r="L47" s="366">
        <f>VLOOKUP("SB1",L1:L42,1,FALSE)</f>
        <v/>
      </c>
      <c r="M47" s="366">
        <f>VLOOKUP("SB1",M1:M26,1,FALSE)</f>
        <v/>
      </c>
      <c r="N47" s="366">
        <f>VLOOKUP("SB1",N6:N42,1,FALSE)</f>
        <v/>
      </c>
      <c r="O47" s="366">
        <f>VLOOKUP("SB1",O1:O42,1,FALSE)</f>
        <v/>
      </c>
      <c r="P47" s="366">
        <f>VLOOKUP("SB1",P1:P42,1,FALSE)</f>
        <v/>
      </c>
      <c r="Q47" s="366">
        <f>VLOOKUP("SB1",Q1:Q27,1,FALSE)</f>
        <v/>
      </c>
      <c r="R47" s="366">
        <f>VLOOKUP("SB1",R6:R30,1,FALSE)</f>
        <v/>
      </c>
      <c r="S47" s="366">
        <f>VLOOKUP("SB1",S1:S42,1,FALSE)</f>
        <v/>
      </c>
      <c r="T47" s="366">
        <f>VLOOKUP("SB1",T9:T42,1,FALSE)</f>
        <v/>
      </c>
      <c r="U47" s="366">
        <f>VLOOKUP("SB1",U1:U42,1,FALSE)</f>
        <v/>
      </c>
      <c r="V47" s="367">
        <f>VLOOKUP("SB1",V11:V31,1,FALSE)</f>
        <v/>
      </c>
      <c r="W47" s="366">
        <f>VLOOKUP("SB1",W5:W25,1,FALSE)</f>
        <v/>
      </c>
      <c r="X47" s="366">
        <f>VLOOKUP("SB1",X6:X42,1,FALSE)</f>
        <v/>
      </c>
      <c r="Y47" s="366">
        <f>VLOOKUP("SB1",Y1:Y42,1,FALSE)</f>
        <v/>
      </c>
      <c r="Z47" s="366">
        <f>VLOOKUP("SB1",Z6:Z42,1,FALSE)</f>
        <v/>
      </c>
      <c r="AA47" s="366">
        <f>VLOOKUP("SB1",AA1:AA42,1,FALSE)</f>
        <v/>
      </c>
      <c r="AB47" s="366">
        <f>VLOOKUP("SB1",AB1:AB42,1,FALSE)</f>
        <v/>
      </c>
      <c r="AC47" s="366">
        <f>VLOOKUP("SB1",AC1:AC42,1,FALSE)</f>
        <v/>
      </c>
      <c r="AD47" s="366">
        <f>VLOOKUP("SB1",AD9:AD42,1,FALSE)</f>
        <v/>
      </c>
      <c r="AE47" s="366">
        <f>VLOOKUP("SB1",AE9:AE42,1,FALSE)</f>
        <v/>
      </c>
      <c r="AF47" s="366">
        <f>VLOOKUP("SB1",AF8:AF42,1,FALSE)</f>
        <v/>
      </c>
      <c r="AG47" s="366">
        <f>VLOOKUP("SB1",AG8:AG42,1,FALSE)</f>
        <v/>
      </c>
      <c r="AH47" s="366">
        <f>VLOOKUP("SB1",AH8:AH42,1,FALSE)</f>
        <v/>
      </c>
      <c r="AI47" s="311" t="n"/>
      <c r="AJ47" s="312" t="n"/>
      <c r="AK47" s="311" t="n"/>
      <c r="AL47" s="313" t="n"/>
      <c r="AM47" s="313" t="n"/>
      <c r="AN47" s="313" t="n"/>
      <c r="AO47" s="313" t="n"/>
      <c r="AP47" s="313" t="n"/>
      <c r="AQ47" s="313" t="n"/>
      <c r="AR47" s="313" t="n"/>
      <c r="AS47" s="313" t="n"/>
      <c r="AT47" s="313" t="n"/>
      <c r="AU47" s="313" t="n"/>
      <c r="AV47" s="313" t="n"/>
      <c r="AW47" s="313" t="n"/>
      <c r="AX47" s="313" t="n"/>
      <c r="AY47" s="313" t="n"/>
      <c r="AZ47" s="313" t="n"/>
      <c r="BA47" s="313" t="n"/>
      <c r="BB47" s="313" t="n"/>
      <c r="BC47" s="313" t="n"/>
      <c r="BD47" s="313" t="n"/>
      <c r="BE47" s="313" t="n"/>
      <c r="BF47" s="313" t="n"/>
      <c r="BG47" s="313" t="n"/>
      <c r="BH47" s="313" t="n"/>
      <c r="BI47" s="313" t="n"/>
      <c r="BJ47" s="313" t="n"/>
      <c r="BK47" s="313" t="n"/>
      <c r="BL47" s="313" t="n"/>
      <c r="BM47" s="313" t="n"/>
      <c r="BN47" s="313" t="n"/>
      <c r="BO47" s="313" t="n"/>
      <c r="BP47" s="313" t="n"/>
      <c r="BQ47" s="314" t="n"/>
    </row>
    <row r="48" ht="19.5" customHeight="1">
      <c r="A48" s="309" t="n"/>
      <c r="B48" s="371" t="inlineStr">
        <is>
          <t>SB2</t>
        </is>
      </c>
      <c r="C48" s="366">
        <f>VLOOKUP("SB2",C6:C42,1,FALSE)</f>
        <v/>
      </c>
      <c r="D48" s="366">
        <f>VLOOKUP("SB2",D10:D42,1,FALSE)</f>
        <v/>
      </c>
      <c r="E48" s="366">
        <f>VLOOKUP("SB2",E9:E42,1,FALSE)</f>
        <v/>
      </c>
      <c r="F48" s="366">
        <f>VLOOKUP("SB2",F1:F42,1,FALSE)</f>
        <v/>
      </c>
      <c r="G48" s="366">
        <f>VLOOKUP("SB2",G9:G42,1,FALSE)</f>
        <v/>
      </c>
      <c r="H48" s="366">
        <f>VLOOKUP("SB2",H6:H42,1,FALSE)</f>
        <v/>
      </c>
      <c r="I48" s="366">
        <f>VLOOKUP("SB2",I8:I42,1,FALSE)</f>
        <v/>
      </c>
      <c r="J48" s="366">
        <f>VLOOKUP("SB2",J4:J42,1,FALSE)</f>
        <v/>
      </c>
      <c r="K48" s="366">
        <f>VLOOKUP("SB2",K6:K42,1,FALSE)</f>
        <v/>
      </c>
      <c r="L48" s="366">
        <f>VLOOKUP("SB2",L12:L42,1,FALSE)</f>
        <v/>
      </c>
      <c r="M48" s="366">
        <f>VLOOKUP("SB2",M9:M46,1,FALSE)</f>
        <v/>
      </c>
      <c r="N48" s="366">
        <f>VLOOKUP("SB2",N6:N42,1,FALSE)</f>
        <v/>
      </c>
      <c r="O48" s="366">
        <f>VLOOKUP("SB2",O9:O42,1,FALSE)</f>
        <v/>
      </c>
      <c r="P48" s="366">
        <f>VLOOKUP("SB2",P8:P42,1,FALSE)</f>
        <v/>
      </c>
      <c r="Q48" s="366">
        <f>VLOOKUP("SB2",Q12:Q41,1,FALSE)</f>
        <v/>
      </c>
      <c r="R48" s="366">
        <f>VLOOKUP("SB2",R6:R41,1,FALSE)</f>
        <v/>
      </c>
      <c r="S48" s="366">
        <f>VLOOKUP("SB2",S10:S42,1,FALSE)</f>
        <v/>
      </c>
      <c r="T48" s="366">
        <f>VLOOKUP("SB2",T9:T42,1,FALSE)</f>
        <v/>
      </c>
      <c r="U48" s="366">
        <f>VLOOKUP("SB2",U11:U42,1,FALSE)</f>
        <v/>
      </c>
      <c r="V48" s="367">
        <f>VLOOKUP("SB2",V5:V42,1,FALSE)</f>
        <v/>
      </c>
      <c r="W48" s="366">
        <f>VLOOKUP("SB2",W13:W41,1,FALSE)</f>
        <v/>
      </c>
      <c r="X48" s="366">
        <f>VLOOKUP("SB2",X9:X42,1,FALSE)</f>
        <v/>
      </c>
      <c r="Y48" s="366">
        <f>VLOOKUP("SB2",Y9:Y42,1,FALSE)</f>
        <v/>
      </c>
      <c r="Z48" s="366">
        <f>VLOOKUP("SB2",Z6:Z42,1,FALSE)</f>
        <v/>
      </c>
      <c r="AA48" s="366">
        <f>VLOOKUP("SB2",AA12:AA42,1,FALSE)</f>
        <v/>
      </c>
      <c r="AB48" s="366">
        <f>VLOOKUP("SB2",AB10:AB42,1,FALSE)</f>
        <v/>
      </c>
      <c r="AC48" s="366">
        <f>VLOOKUP("SB2",AC12:AC42,1,FALSE)</f>
        <v/>
      </c>
      <c r="AD48" s="366">
        <f>VLOOKUP("SB2",AD9:AD42,1,FALSE)</f>
        <v/>
      </c>
      <c r="AE48" s="366">
        <f>VLOOKUP("SB2",AE9:AE42,1,FALSE)</f>
        <v/>
      </c>
      <c r="AF48" s="366">
        <f>VLOOKUP("SB2",AF8:AF42,1,FALSE)</f>
        <v/>
      </c>
      <c r="AG48" s="366">
        <f>VLOOKUP("SB2",AG8:AG42,1,FALSE)</f>
        <v/>
      </c>
      <c r="AH48" s="366">
        <f>VLOOKUP("SB2",AH8:AH42,1,FALSE)</f>
        <v/>
      </c>
      <c r="AI48" s="311" t="n"/>
      <c r="AJ48" s="312" t="n"/>
      <c r="AK48" s="311" t="n"/>
      <c r="AL48" s="313" t="n"/>
      <c r="AM48" s="313" t="n"/>
      <c r="AN48" s="313" t="n"/>
      <c r="AO48" s="313" t="n"/>
      <c r="AP48" s="313" t="n"/>
      <c r="AQ48" s="313" t="n"/>
      <c r="AR48" s="313" t="n"/>
      <c r="AS48" s="313" t="n"/>
      <c r="AT48" s="313" t="n"/>
      <c r="AU48" s="313" t="n"/>
      <c r="AV48" s="313" t="n"/>
      <c r="AW48" s="313" t="n"/>
      <c r="AX48" s="313" t="n"/>
      <c r="AY48" s="313" t="n"/>
      <c r="AZ48" s="313" t="n"/>
      <c r="BA48" s="313" t="n"/>
      <c r="BB48" s="313" t="n"/>
      <c r="BC48" s="313" t="n"/>
      <c r="BD48" s="313" t="n"/>
      <c r="BE48" s="313" t="n"/>
      <c r="BF48" s="313" t="n"/>
      <c r="BG48" s="313" t="n"/>
      <c r="BH48" s="313" t="n"/>
      <c r="BI48" s="313" t="n"/>
      <c r="BJ48" s="313" t="n"/>
      <c r="BK48" s="313" t="n"/>
      <c r="BL48" s="313" t="n"/>
      <c r="BM48" s="313" t="n"/>
      <c r="BN48" s="313" t="n"/>
      <c r="BO48" s="313" t="n"/>
      <c r="BP48" s="313" t="n"/>
      <c r="BQ48" s="314" t="n"/>
    </row>
    <row r="49" ht="19.5" customHeight="1">
      <c r="A49" s="309" t="n"/>
      <c r="B49" s="372" t="inlineStr">
        <is>
          <t>AE</t>
        </is>
      </c>
      <c r="C49" s="366">
        <f>VLOOKUP("AE",C6:C42,1,FALSE)</f>
        <v/>
      </c>
      <c r="D49" s="366">
        <f>VLOOKUP("AE",D10:D42,1,FALSE)</f>
        <v/>
      </c>
      <c r="E49" s="366">
        <f>VLOOKUP("AE",E9:E42,1,FALSE)</f>
        <v/>
      </c>
      <c r="F49" s="366">
        <f>VLOOKUP("AE",F1:F42,1,FALSE)</f>
        <v/>
      </c>
      <c r="G49" s="366">
        <f>VLOOKUP("AE",G1:G42,1,FALSE)</f>
        <v/>
      </c>
      <c r="H49" s="366">
        <f>VLOOKUP("AE",H9:H42,1,FALSE)</f>
        <v/>
      </c>
      <c r="I49" s="366">
        <f>VLOOKUP("AE",I8:I42,1,FALSE)</f>
        <v/>
      </c>
      <c r="J49" s="366">
        <f>VLOOKUP("AE",J4:J42,1,FALSE)</f>
        <v/>
      </c>
      <c r="K49" s="366">
        <f>VLOOKUP("AE",K6:K42,1,FALSE)</f>
        <v/>
      </c>
      <c r="L49" s="366">
        <f>VLOOKUP("AE",L12:L42,1,FALSE)</f>
        <v/>
      </c>
      <c r="M49" s="366">
        <f>VLOOKUP("AE",M9:M46,1,FALSE)</f>
        <v/>
      </c>
      <c r="N49" s="366">
        <f>VLOOKUP("AE",N6:N42,1,FALSE)</f>
        <v/>
      </c>
      <c r="O49" s="366">
        <f>VLOOKUP("AE",O9:O42,1,FALSE)</f>
        <v/>
      </c>
      <c r="P49" s="366">
        <f>VLOOKUP("AE",P8:P42,1,FALSE)</f>
        <v/>
      </c>
      <c r="Q49" s="366">
        <f>VLOOKUP("AE",Q12:Q49,1,FALSE)</f>
        <v/>
      </c>
      <c r="R49" s="366">
        <f>VLOOKUP("AE",R6:R35,1,FALSE)</f>
        <v/>
      </c>
      <c r="S49" s="366">
        <f>VLOOKUP("AE",S10:S42,1,FALSE)</f>
        <v/>
      </c>
      <c r="T49" s="366">
        <f>VLOOKUP("AE",T9:T42,1,FALSE)</f>
        <v/>
      </c>
      <c r="U49" s="366">
        <f>VLOOKUP("AE",U11:U42,1,FALSE)</f>
        <v/>
      </c>
      <c r="V49" s="367">
        <f>VLOOKUP("AE",V11:V44,1,FALSE)</f>
        <v/>
      </c>
      <c r="W49" s="366">
        <f>VLOOKUP("AE",W13:W42,1,FALSE)</f>
        <v/>
      </c>
      <c r="X49" s="366">
        <f>VLOOKUP("AE",X9:X42,1,FALSE)</f>
        <v/>
      </c>
      <c r="Y49" s="366">
        <f>VLOOKUP("AE",Y9:Y42,1,FALSE)</f>
        <v/>
      </c>
      <c r="Z49" s="366">
        <f>VLOOKUP("AE",Z6:Z42,1,FALSE)</f>
        <v/>
      </c>
      <c r="AA49" s="366">
        <f>VLOOKUP("AE",AA12:AA42,1,FALSE)</f>
        <v/>
      </c>
      <c r="AB49" s="366">
        <f>VLOOKUP("AE",AB10:AB42,1,FALSE)</f>
        <v/>
      </c>
      <c r="AC49" s="366">
        <f>VLOOKUP("AE",AC12:AC42,1,FALSE)</f>
        <v/>
      </c>
      <c r="AD49" s="366">
        <f>VLOOKUP("AE",AD9:AD42,1,FALSE)</f>
        <v/>
      </c>
      <c r="AE49" s="366">
        <f>VLOOKUP("AE",AE9:AE42,1,FALSE)</f>
        <v/>
      </c>
      <c r="AF49" s="366">
        <f>VLOOKUP("AE",AF8:AF42,1,FALSE)</f>
        <v/>
      </c>
      <c r="AG49" s="366">
        <f>VLOOKUP("AE",AG8:AG42,1,FALSE)</f>
        <v/>
      </c>
      <c r="AH49" s="366">
        <f>VLOOKUP("AE",AH8:AH42,1,FALSE)</f>
        <v/>
      </c>
      <c r="AI49" s="311" t="n"/>
      <c r="AJ49" s="312" t="n"/>
      <c r="AK49" s="311" t="n"/>
      <c r="AL49" s="313" t="n"/>
      <c r="AM49" s="313" t="n"/>
      <c r="AN49" s="313" t="n"/>
      <c r="AO49" s="313" t="n"/>
      <c r="AP49" s="313" t="n"/>
      <c r="AQ49" s="313" t="n"/>
      <c r="AR49" s="313" t="n"/>
      <c r="AS49" s="313" t="n"/>
      <c r="AT49" s="313" t="n"/>
      <c r="AU49" s="313" t="n"/>
      <c r="AV49" s="313" t="n"/>
      <c r="AW49" s="313" t="n"/>
      <c r="AX49" s="313" t="n"/>
      <c r="AY49" s="313" t="n"/>
      <c r="AZ49" s="313" t="n"/>
      <c r="BA49" s="313" t="n"/>
      <c r="BB49" s="313" t="n"/>
      <c r="BC49" s="313" t="n"/>
      <c r="BD49" s="313" t="n"/>
      <c r="BE49" s="313" t="n"/>
      <c r="BF49" s="313" t="n"/>
      <c r="BG49" s="313" t="n"/>
      <c r="BH49" s="313" t="n"/>
      <c r="BI49" s="313" t="n"/>
      <c r="BJ49" s="313" t="n"/>
      <c r="BK49" s="313" t="n"/>
      <c r="BL49" s="313" t="n"/>
      <c r="BM49" s="313" t="n"/>
      <c r="BN49" s="313" t="n"/>
      <c r="BO49" s="313" t="n"/>
      <c r="BP49" s="313" t="n"/>
      <c r="BQ49" s="314" t="n"/>
    </row>
  </sheetData>
  <mergeCells count="1">
    <mergeCell ref="C1:S1"/>
  </mergeCells>
  <conditionalFormatting sqref="O9">
    <cfRule type="expression" priority="1" dxfId="136">
      <formula>WEEKDAY(Q$3,2)&gt;5</formula>
    </cfRule>
  </conditionalFormatting>
  <conditionalFormatting sqref="T18">
    <cfRule type="expression" priority="7" dxfId="136">
      <formula>WEEKDAY(V$3,2)&gt;5</formula>
    </cfRule>
  </conditionalFormatting>
  <conditionalFormatting sqref="D25">
    <cfRule type="expression" priority="4" dxfId="136">
      <formula>WEEKDAY(G$3,2)&gt;5</formula>
    </cfRule>
    <cfRule type="expression" priority="5" dxfId="136">
      <formula>WEEKDAY(F$3,2)&gt;5</formula>
    </cfRule>
  </conditionalFormatting>
  <conditionalFormatting sqref="X25">
    <cfRule type="expression" priority="8" dxfId="136">
      <formula>WEEKDAY(AA$3,2)&gt;5</formula>
    </cfRule>
    <cfRule type="expression" priority="9" dxfId="136">
      <formula>WEEKDAY(Z$3,2)&gt;5</formula>
    </cfRule>
  </conditionalFormatting>
  <conditionalFormatting sqref="R23:R24">
    <cfRule type="expression" priority="2" dxfId="136">
      <formula>WEEKDAY(U$3,2)&gt;5</formula>
    </cfRule>
    <cfRule type="expression" priority="3" dxfId="136">
      <formula>WEEKDAY(V$3,2)&gt;5</formula>
    </cfRule>
  </conditionalFormatting>
  <conditionalFormatting sqref="A1:BQ49">
    <cfRule type="cellIs" priority="77" operator="equal" dxfId="155">
      <formula>"RESERVE"</formula>
    </cfRule>
  </conditionalFormatting>
  <conditionalFormatting sqref="C3:S42 T2:X42 Y3:AH42">
    <cfRule type="expression" priority="70" dxfId="136">
      <formula>WEEKDAY(T$3,2)&gt;5</formula>
    </cfRule>
  </conditionalFormatting>
  <conditionalFormatting sqref="C5:I49 J4:J49 K5:Z49 AA4:AA49 AB5:AH49">
    <cfRule type="cellIs" priority="55" operator="equal" dxfId="137">
      <formula>"B"</formula>
    </cfRule>
    <cfRule type="cellIs" priority="56" operator="equal" dxfId="137">
      <formula>"AL"</formula>
    </cfRule>
    <cfRule type="cellIs" priority="57" operator="equal" dxfId="138">
      <formula>"DM"</formula>
    </cfRule>
    <cfRule type="cellIs" priority="58" operator="equal" dxfId="139">
      <formula>"CS1"</formula>
    </cfRule>
    <cfRule type="cellIs" priority="59" operator="equal" dxfId="140">
      <formula>"CS2"</formula>
    </cfRule>
    <cfRule type="cellIs" priority="60" operator="equal" dxfId="141">
      <formula>"SB1"</formula>
    </cfRule>
    <cfRule type="cellIs" priority="61" operator="equal" dxfId="142">
      <formula>"SB2"</formula>
    </cfRule>
    <cfRule type="cellIs" priority="62" operator="equal" dxfId="143">
      <formula>"AE"</formula>
    </cfRule>
  </conditionalFormatting>
  <conditionalFormatting sqref="C5:I42 J4:J42 K5:Z42 AA4:AA42 AB5:AH42">
    <cfRule type="cellIs" priority="64" operator="equal" dxfId="137">
      <formula>"DB"</formula>
    </cfRule>
    <cfRule type="containsText" priority="65" operator="between" dxfId="144" text="$AM">
      <formula>NOT(ISERROR(SEARCH("$AM",C4)))</formula>
    </cfRule>
    <cfRule type="containsText" priority="66" operator="between" dxfId="145" text="$PM">
      <formula>NOT(ISERROR(SEARCH("$PM",C4)))</formula>
    </cfRule>
    <cfRule type="containsText" priority="67" operator="between" dxfId="146" text="$L">
      <formula>NOT(ISERROR(SEARCH("$L",C4)))</formula>
    </cfRule>
    <cfRule type="containsText" priority="68" operator="between" dxfId="147" text="$BTP">
      <formula>NOT(ISERROR(SEARCH("$BTP",C4)))</formula>
    </cfRule>
    <cfRule type="containsText" priority="69" operator="between" dxfId="148" text="$M">
      <formula>NOT(ISERROR(SEARCH("$M",C4)))</formula>
    </cfRule>
    <cfRule type="containsText" priority="71" operator="between" dxfId="149" text="$N">
      <formula>NOT(ISERROR(SEARCH("$N",C4)))</formula>
    </cfRule>
    <cfRule type="containsText" priority="72" operator="between" dxfId="150" text="$FC">
      <formula>NOT(ISERROR(SEARCH("$FC",C4)))</formula>
    </cfRule>
    <cfRule type="containsText" priority="73" operator="between" dxfId="151" text="OAL">
      <formula>NOT(ISERROR(SEARCH("OAL",C4)))</formula>
    </cfRule>
    <cfRule type="containsText" priority="74" operator="between" dxfId="152" text="S+">
      <formula>NOT(ISERROR(SEARCH("S+",C4)))</formula>
    </cfRule>
    <cfRule type="containsText" priority="75" operator="between" dxfId="153" text="EX-D">
      <formula>NOT(ISERROR(SEARCH("EX-D",C4)))</formula>
    </cfRule>
  </conditionalFormatting>
  <conditionalFormatting sqref="C5:C26 C28 C33 D5:D19 D21:D26 D28:D30 E5:E24 E26 E28:E33 F5:F26 F28 F30:F33 F35:G35 G5:G33 H5:H10 H12:H26 H28:H34 I5:I26 I28:I32 I37 I39 J4:J25 J27:J29 J31:J34 J38 J40 K5:K19 K21:K26 K28:K29 K32 K35 L5:N29 L32:M33 M37 M39 N31 N33 O5:O26 O28:P29 O31:O33 O36 O38 P5:P16 P18:P25 P32:P33 Q5:Q26 Q28:Q33 Q35:R35 R5:R29 R31 R33 S5:T26 S28:S29 S31:S35 S37 T28:T35 U5:U35 U42 V5:V16 V18:V26 V28:V35 W5:X25 W28:W29 W31:W35 W38 W40 X28:X33 X35 Y5:Y26 Y28:Y41 Z5:AC41 AD5:AD28 AD30 AD32:AD33 AD35:AH35 AE5:AE33 AF5:AF30 AF32:AG32 AG5:AG25 AG27:AG28 AG30:AH30 AG38 AH5:AH27">
    <cfRule type="containsText" priority="76" operator="between" dxfId="154" text="VACC">
      <formula>NOT(ISERROR(SEARCH("VACC",C4)))</formula>
    </cfRule>
  </conditionalFormatting>
  <conditionalFormatting sqref="C5:C35 D5:D16 D19 D21:D22 D25 D27:D30 E5:E17 E19:E24 E26:E29 E31:F33 F5:F16 F18:F28 F35:G35 G5:G11 G13:G16 G18:G32 H5:H10 H12:H16 H18:H19 H21:H28 H30:H34 I5:I8 I10 I12 I14:I16 I18:I32 J5:J10 J12:J13 J16 J18:J19 J21:J25 J27:J29 J34 K5 K8:K19 K21 K23:K26 K28:K29 K32 K35 L5:L19 L21:L22 L25:L29 M5:M10 M12:M15 M17:M19 M23:M29 M32 M37 M39 N5:N17 N20 N23:N24 N26:N29 N31 O5:O12 O14:O19 O22:O25 O27:P29 O31:O32 O36 O38 P5:S10 P12:P16 P19:P25 Q12:Q27 Q29:Q30 R12:S12 R14:S15 R18:R19 R21:R23 R25:R27 R33:W33 R35 S19:S20 S25 S27 S29 T5:T15 T17:T18 T21:T27 T30 U5 U8:U11 U13:U15 U18:V20 U23:U27 U35 V5:W10 V12:V15 V23:V26 V29:W29 W12:W20 W23:W24 X5:X20 X23:X25 X29:X31 Y5:Y24 Y29:Y30 Y35 Z5 Z8:Z15 Z17:Z20 Z23:Z25 Z27 Z29 Z33 AA5:AA7 AA9:AA10 AA12:AA20 AA23:AB24 AA28:AA29 AA32 AA34:AA35 AB5 AB7 AB9:AB13 AB15:AB20 AB27 AB33 AC5:AD10 AC12 AC15 AC17:AC19 AC21:AC26 AC29 AC31 AD12:AD13 AD17:AE20 AD25 AD27 AE6:AE7 AE9:AE11 AE13:AE15 AE25:AE26 AE28 AE30:AE31 AF5 AF8:AF10 AF12 AF14:AF15 AF17:AG19 AF21:AF22 AF24 AF35 AG5:AG15 AG23:AG25 AH5:AH7 AH9:AH11 AH17:AH18 AH23:AH24 AH35">
    <cfRule type="cellIs" priority="11" operator="equal" dxfId="137">
      <formula>"B"</formula>
    </cfRule>
    <cfRule type="cellIs" priority="12" operator="equal" dxfId="137">
      <formula>"AL"</formula>
    </cfRule>
    <cfRule type="cellIs" priority="13" operator="equal" dxfId="138">
      <formula>"DM"</formula>
    </cfRule>
    <cfRule type="cellIs" priority="14" operator="equal" dxfId="139">
      <formula>"CS1"</formula>
    </cfRule>
    <cfRule type="cellIs" priority="15" operator="equal" dxfId="140">
      <formula>"CS2"</formula>
    </cfRule>
    <cfRule type="cellIs" priority="16" operator="equal" dxfId="141">
      <formula>"SB1"</formula>
    </cfRule>
    <cfRule type="cellIs" priority="17" operator="equal" dxfId="142">
      <formula>"SB2"</formula>
    </cfRule>
    <cfRule type="cellIs" priority="18" operator="equal" dxfId="143">
      <formula>"AE"</formula>
    </cfRule>
    <cfRule type="cellIs" priority="19" operator="equal" dxfId="137">
      <formula>"DB"</formula>
    </cfRule>
    <cfRule type="containsText" priority="20" operator="between" dxfId="144" text="$AM">
      <formula>NOT(ISERROR(SEARCH("$AM",C5)))</formula>
    </cfRule>
    <cfRule type="containsText" priority="21" operator="between" dxfId="145" text="$PM">
      <formula>NOT(ISERROR(SEARCH("$PM",C5)))</formula>
    </cfRule>
    <cfRule type="containsText" priority="22" operator="between" dxfId="146" text="$L">
      <formula>NOT(ISERROR(SEARCH("$L",C5)))</formula>
    </cfRule>
    <cfRule type="containsText" priority="23" operator="between" dxfId="147" text="$BTP">
      <formula>NOT(ISERROR(SEARCH("$BTP",C5)))</formula>
    </cfRule>
    <cfRule type="containsText" priority="24" operator="between" dxfId="148" text="$M">
      <formula>NOT(ISERROR(SEARCH("$M",C5)))</formula>
    </cfRule>
    <cfRule type="containsText" priority="25" operator="between" dxfId="149" text="$N">
      <formula>NOT(ISERROR(SEARCH("$N",C5)))</formula>
    </cfRule>
    <cfRule type="containsText" priority="26" operator="between" dxfId="150" text="$FC">
      <formula>NOT(ISERROR(SEARCH("$FC",C5)))</formula>
    </cfRule>
    <cfRule type="containsText" priority="27" operator="between" dxfId="151" text="OAL">
      <formula>NOT(ISERROR(SEARCH("OAL",C5)))</formula>
    </cfRule>
    <cfRule type="containsText" priority="28" operator="between" dxfId="152" text="S+">
      <formula>NOT(ISERROR(SEARCH("S+",C5)))</formula>
    </cfRule>
    <cfRule type="containsText" priority="29" operator="between" dxfId="153" text="EX-D">
      <formula>NOT(ISERROR(SEARCH("EX-D",C5)))</formula>
    </cfRule>
  </conditionalFormatting>
  <conditionalFormatting sqref="C5:C28 C33 D5:D16 D19 D21:D22 D25 D27:D30 E5:E17 E19:E29 E31:F33 F5:F16 F18:F28 F35:G35 G5:G11 G13:G16 G18:G32 H5:H10 H12:H16 H18:H19 H21:H28 H30:H34 I5:I8 I10 I12 I14:I16 I18:I32 I37 I39 J5:J10 J12:J13 J16 J18:J19 J21:J32 J34 J38 J40 K5 K8:K19 K21 K23:K29 K32 K35 L5:L19 L21:L22 L25:M29 L32:M33 M5:M10 M12:M15 M17:M19 M37 M39 N5:N17 N20 N26:N29 N31 N33 O5:O12 O14:O17 O19 O22 O27:O29 O31:O33 O36 O38 P5:S10 P12:P16 P19:P29 P33:W33 Q12:Q27 Q29:Q30 R12:S12 R14:S15 R18:R19 R21:R23 R25:R28 R35 S19:S20 S27:S29 T5:T15 T17:T18 T21:T28 T30 U5 U8:U11 U13:U15 U18:U20 U23:U28 U35 V5:W10 V12:V15 V18:V19 V23:V27 V29 W12:W20 W23:W24 W26:W29 X5:X19 X23:X25 X27:Y27 X29:X31 Y5:Y12 Y14:Y19 Y21:Y24 Y29:Y30 Z5 Z8:Z15 Z17:Z20 Z23:Z25 Z27:Z29 Z32:Z33 AA5:AA7 AA9:AA10 AA12:AA20 AA23:AB24 AA27:AA30 AA34:AA36 AB5 AB7 AB9:AB13 AB15:AB20 AB27 AB32:AB33 AC5:AD10 AC12 AC15 AC17:AC19 AC21:AC27 AC29 AC31 AD12:AD13 AD17:AE20 AD25 AD27 AD32 AE6:AE7 AE9:AE11 AE13:AE15 AE25:AE28 AE30:AE31 AF5 AF8:AF10 AF12 AF14:AF15 AF17:AG19 AF21:AF22 AF24 AF27:AF28 AF35 AG5:AG15 AG23:AG25 AG27:AH27 AH5:AH7 AH9:AH11 AH17:AH18 AH23:AH24 AH35">
    <cfRule type="expression" priority="30" dxfId="136">
      <formula>WEEKDAY(#REF!,2)&gt;5</formula>
    </cfRule>
  </conditionalFormatting>
  <conditionalFormatting sqref="C13 F5:H5 S10 T12 T14:U15 T20 T26 U8 V10:Y10 V13 W6:X7 Y12 Y14:Y15 Z8:Z10 Z13:AA15 Z27 AA6:AA7 AA10:AB10 AB13 AD12 AD27 AE26 AE28 AE30:AE31 AH35">
    <cfRule type="expression" priority="31" dxfId="136">
      <formula>WEEKDAY(H$3,2)&gt;5</formula>
    </cfRule>
  </conditionalFormatting>
  <conditionalFormatting sqref="C10 C13 C21:C22 E12 F5:H5">
    <cfRule type="expression" priority="33" dxfId="136">
      <formula>WEEKDAY(H$3,2)&gt;5</formula>
    </cfRule>
  </conditionalFormatting>
  <conditionalFormatting sqref="C5:C26 C28 C33 D5:D19 D21:D26 D28:D30 E5:E24 E26 E28:E33 F5:F26 F28 F30:F33 F35:G35 G5:G33 H5:H10 H12:H26 H28:H34 I5:I26 I28:I32 I37 I39 J5:J25 J27:J29 J31:J34 J38 J40 K5:K19 K21:K26 K28:K29 K32 K35 L5:N29 L32:M33 M37 M39 N31 N33 O5:O26 O28:P29 O31:O33 O36 O38 P5:P16 P18:P25 P32:P33 Q5:Q26 Q28:Q33 Q35:R35 R5:R29 R31 R33 S5:T26 S28:S29 S31:S35 S37 T28:T35 U5:V16 U18:U35 U42 V18:V26 V28:V35 W5:X25 W28:W29 W31:W35 W38 W40 X28:X33 X35 Y5:Y26 Y28:Y41 Z5:AC41 AD5:AD28 AD30 AD32:AD33 AD35:AH35 AE5:AE33 AF5:AF30 AF32:AG32 AG5:AG25 AG27:AG28 AG30:AH30 AG38 AH5:AH27">
    <cfRule type="cellIs" priority="34" operator="equal" dxfId="137">
      <formula>"B"</formula>
    </cfRule>
    <cfRule type="cellIs" priority="35" operator="equal" dxfId="137">
      <formula>"AL"</formula>
    </cfRule>
    <cfRule type="cellIs" priority="36" operator="equal" dxfId="138">
      <formula>"DM"</formula>
    </cfRule>
    <cfRule type="cellIs" priority="37" operator="equal" dxfId="139">
      <formula>"CS1"</formula>
    </cfRule>
    <cfRule type="cellIs" priority="38" operator="equal" dxfId="140">
      <formula>"CS2"</formula>
    </cfRule>
    <cfRule type="cellIs" priority="39" operator="equal" dxfId="141">
      <formula>"SB1"</formula>
    </cfRule>
    <cfRule type="cellIs" priority="40" operator="equal" dxfId="142">
      <formula>"SB2"</formula>
    </cfRule>
    <cfRule type="cellIs" priority="41" operator="equal" dxfId="143">
      <formula>"AE"</formula>
    </cfRule>
    <cfRule type="cellIs" priority="43" operator="equal" dxfId="137">
      <formula>"DB"</formula>
    </cfRule>
    <cfRule type="containsText" priority="44" operator="between" dxfId="144" text="$AM">
      <formula>NOT(ISERROR(SEARCH("$AM",C5)))</formula>
    </cfRule>
    <cfRule type="containsText" priority="45" operator="between" dxfId="145" text="$PM">
      <formula>NOT(ISERROR(SEARCH("$PM",C5)))</formula>
    </cfRule>
    <cfRule type="containsText" priority="46" operator="between" dxfId="146" text="$L">
      <formula>NOT(ISERROR(SEARCH("$L",C5)))</formula>
    </cfRule>
    <cfRule type="containsText" priority="47" operator="between" dxfId="147" text="$BTP">
      <formula>NOT(ISERROR(SEARCH("$BTP",C5)))</formula>
    </cfRule>
    <cfRule type="containsText" priority="48" operator="between" dxfId="148" text="$M">
      <formula>NOT(ISERROR(SEARCH("$M",C5)))</formula>
    </cfRule>
    <cfRule type="containsText" priority="49" operator="between" dxfId="149" text="$N">
      <formula>NOT(ISERROR(SEARCH("$N",C5)))</formula>
    </cfRule>
    <cfRule type="containsText" priority="50" operator="between" dxfId="150" text="$FC">
      <formula>NOT(ISERROR(SEARCH("$FC",C5)))</formula>
    </cfRule>
    <cfRule type="containsText" priority="51" operator="between" dxfId="151" text="OAL">
      <formula>NOT(ISERROR(SEARCH("OAL",C5)))</formula>
    </cfRule>
    <cfRule type="containsText" priority="52" operator="between" dxfId="152" text="S+">
      <formula>NOT(ISERROR(SEARCH("S+",C5)))</formula>
    </cfRule>
    <cfRule type="containsText" priority="53" operator="between" dxfId="153" text="EX-D">
      <formula>NOT(ISERROR(SEARCH("EX-D",C5)))</formula>
    </cfRule>
    <cfRule type="expression" priority="54" dxfId="136">
      <formula>WEEKDAY(#REF!,2)&gt;5</formula>
    </cfRule>
  </conditionalFormatting>
  <conditionalFormatting sqref="C5:C28 C33 D5:D19 D21:D30 E5:E33 F5:F28 F30:F33 F35:G35 G5:G33 H5:H10 H12:H34 I5:I32 I37 I39 J5:J34 J38 J40 K5:K19 K21:K29 K32 K35 L5:O29 L32:M33 M37 M39 N31 N33 O31:O33 O36 O38 P5:P16 P18:P29 P32:P33 Q5:Q33 Q35:R35 R5:S29 R31 R33 S31:S35 S37 T5:T35 U5:V16 U18:V35 U42 W5:W29 W31:W35 W38 W40 X5:X25 X27:X33 X35 Y5:AC41 AD5:AD28 AD30 AD32:AD33 AD35:AH35 AE5:AE33 AF5:AF30 AF32:AG32 AG5:AG25 AG27:AG28 AG30:AH30 AG38 AH5:AH27">
    <cfRule type="containsText" priority="42" operator="between" dxfId="154" text="VACC">
      <formula>NOT(ISERROR(SEARCH("VACC",C5)))</formula>
    </cfRule>
  </conditionalFormatting>
  <conditionalFormatting sqref="BP5:BQ42">
    <cfRule type="cellIs" priority="63" operator="lessThan" dxfId="155">
      <formula>1</formula>
    </cfRule>
  </conditionalFormatting>
  <conditionalFormatting sqref="G23:G24 S10 T12 T14:U15 T20 T26 U8 U42 V10:Y10 V13 W6:X7 Y12 Y14:Y15 Z8:Z10 Z13:AA15 Z20:AB20 Z27 AA6:AA7 AA10:AB10 AB13 AC25 AD12 AD27 AE26 AE28 AE30:AE31 AH35">
    <cfRule type="expression" priority="32" dxfId="136">
      <formula>WEEKDAY(X$3,2)&gt;5</formula>
    </cfRule>
  </conditionalFormatting>
  <conditionalFormatting sqref="C25 G21:H22 G25 G27 H25:H26 N27 T18 T33 U27 AB27">
    <cfRule type="expression" priority="6" dxfId="136">
      <formula>WEEKDAY(U$3,2)&gt;5</formula>
    </cfRule>
  </conditionalFormatting>
  <conditionalFormatting sqref="C19 C23:C24">
    <cfRule type="expression" priority="10" dxfId="136">
      <formula>WEEKDAY(D$3,2)&gt;5</formula>
    </cfRule>
  </conditionalFormatting>
  <dataValidations count="2">
    <dataValidation sqref="C5:AH5 C6:AE7 C9:O9 C11 C12:J12 C13:H13 C14:AD15 C16:Q16 C17:U17 C18 C19:L19 C21:R22 C23:O24 C25:D25 C26 C27:AH27 C28:AA28 C29:K29 C30:Q30 C31:E31 C32:M32 C33:X33 C34:M34 C35:D41 C42:L42 D8:J8 D10:AH10 D20:E20 E11:O11 E18:N18 E26:Y26 F25:M25 F35:G35 G20 G31:K31 I20:N20 I35:N35 I37:P37 I39:P39 J13:K13 J36:L36 J38:L38 J40:L41 L8:AD8 L12:AH12 M13:R13 M29:AC29 M31:O31 N19:AG19 N36:P36 N38:P38 N40:P42 O25:X25 O32:X32 O34:Y34 P18:AH18 P20:AH20 Q31:W31 Q35:R35 R9:AH9 R11 R23:R24 S16:T16 S30:U30 S37:T37 S42:AH42 T11:AH11 T13:AH13 T21:V22 T23:AC24 T35:V35 T36 T38:T41 V16:AH16 V36:V37 V38:X38 V39 V40:X40 V41 W17:AH17 X21:Y22 X30:AB30 X35:Y36 X37 X39 X41 Y31:AA31 Z25 Z32:AG32 Z33 Z39:Z40 AA21:AD22 AA26:AF26 AA34:AH34 AA35:AA36 AA38 AB25:AH25 AB33:AC33 AC28:AH28 AC31 AC35:AH35 AD30:AH30 AD36:AH41 AE23:AH24 AE29:AH29 AE31:AH31 AE33:AH33 AF8:AH8 AF14:AH15 AF21:AH22 AG6:AH7 AH26" showDropDown="1" showInputMessage="0" showErrorMessage="0" allowBlank="1" type="list">
      <formula1>'Setting key Duty'!$B$7:$B$56</formula1>
    </dataValidation>
    <dataValidation sqref="C43:AH49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0"/>
    <pageSetUpPr fitToPage="1"/>
  </sheetPr>
  <dimension ref="A1:BR54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10.752380952381" customWidth="1" min="16" max="16"/>
    <col width="10.247619047619" customWidth="1" min="17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4"/>
    <col hidden="1" outlineLevel="1" width="9.38095238095238" customWidth="1" min="35" max="41"/>
    <col hidden="1" outlineLevel="1" width="12" customWidth="1" min="42" max="42"/>
    <col hidden="1" outlineLevel="1" width="9.38095238095238" customWidth="1" min="43" max="43"/>
    <col collapsed="1" width="6.75238095238095" customWidth="1" min="44" max="44"/>
    <col width="6.75238095238095" customWidth="1" min="45" max="46"/>
    <col outlineLevel="1" width="8.87619047619048" customWidth="1" min="47" max="47"/>
    <col outlineLevel="1" width="7.87619047619048" customWidth="1" min="48" max="49"/>
    <col outlineLevel="1" width="9.133333333333329" customWidth="1" min="50" max="50"/>
    <col outlineLevel="1" width="8.24761904761905" customWidth="1" min="51" max="51"/>
    <col outlineLevel="1" width="5.5047619047619" customWidth="1" min="52" max="52"/>
    <col width="9.38095238095238" customWidth="1" min="53" max="55"/>
    <col outlineLevel="1" width="9.38095238095238" customWidth="1" min="56" max="66"/>
    <col width="9.38095238095238" customWidth="1" min="67" max="67"/>
    <col width="9.504761904761899" customWidth="1" min="68" max="68"/>
    <col width="9.38095238095238" customWidth="1" min="69" max="70"/>
  </cols>
  <sheetData>
    <row r="1" ht="3" customHeight="1">
      <c r="A1" s="422" t="n"/>
      <c r="B1" s="255" t="inlineStr">
        <is>
          <t>Type of req:
Reason:</t>
        </is>
      </c>
      <c r="C1" s="423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214" t="n"/>
      <c r="U1" s="214" t="n"/>
      <c r="V1" s="214" t="n"/>
      <c r="W1" s="214" t="n"/>
      <c r="X1" s="214" t="n"/>
      <c r="Y1" s="214" t="n"/>
      <c r="Z1" s="214" t="n"/>
      <c r="AA1" s="214" t="n"/>
      <c r="AB1" s="214" t="n"/>
      <c r="AC1" s="214" t="n"/>
      <c r="AD1" s="214" t="n"/>
      <c r="AE1" s="214" t="n"/>
      <c r="AF1" s="214" t="n"/>
      <c r="AG1" s="214" t="n"/>
      <c r="AH1" s="214" t="n"/>
      <c r="AI1" s="214" t="n"/>
      <c r="AJ1" s="214" t="n"/>
      <c r="AK1" s="214" t="n"/>
      <c r="AL1" s="214" t="n"/>
      <c r="AM1" s="215" t="n"/>
      <c r="AN1" s="215" t="n"/>
      <c r="AO1" s="215" t="n"/>
      <c r="AP1" s="215" t="n"/>
      <c r="AQ1" s="215" t="n"/>
      <c r="AR1" s="215" t="n"/>
      <c r="AS1" s="216" t="n"/>
      <c r="AT1" s="216" t="n"/>
      <c r="AU1" s="215" t="n"/>
      <c r="AV1" s="215" t="n"/>
      <c r="AW1" s="215" t="n"/>
      <c r="AX1" s="215" t="n"/>
      <c r="AY1" s="215" t="n"/>
      <c r="AZ1" s="215" t="n"/>
      <c r="BA1" s="215" t="n"/>
      <c r="BB1" s="215" t="n"/>
      <c r="BC1" s="256" t="inlineStr">
        <is>
          <t>Svc total = 58</t>
        </is>
      </c>
      <c r="BD1" s="215" t="n"/>
      <c r="BE1" s="215" t="n"/>
      <c r="BF1" s="215" t="n"/>
      <c r="BG1" s="215" t="n"/>
      <c r="BH1" s="215" t="n"/>
      <c r="BI1" s="215" t="n"/>
      <c r="BJ1" s="215" t="n"/>
      <c r="BK1" s="215" t="n"/>
      <c r="BL1" s="215" t="n"/>
      <c r="BM1" s="215" t="n"/>
      <c r="BN1" s="215" t="n"/>
      <c r="BO1" s="215" t="n"/>
      <c r="BP1" s="215" t="n"/>
      <c r="BQ1" s="215" t="n"/>
      <c r="BR1" s="216" t="n"/>
    </row>
    <row r="2" ht="26.25" customHeight="1">
      <c r="A2" s="424" t="n"/>
      <c r="B2" s="257" t="inlineStr">
        <is>
          <t>Event Log</t>
        </is>
      </c>
      <c r="C2" s="167" t="n"/>
      <c r="D2" s="167" t="n"/>
      <c r="E2" s="167" t="n"/>
      <c r="F2" s="167" t="inlineStr">
        <is>
          <t>DE</t>
        </is>
      </c>
      <c r="G2" s="167" t="inlineStr">
        <is>
          <t>DE</t>
        </is>
      </c>
      <c r="H2" s="167" t="n"/>
      <c r="I2" s="167" t="n"/>
      <c r="J2" s="167" t="n"/>
      <c r="K2" s="167" t="inlineStr">
        <is>
          <t>P VACC 2 &amp; R VACC 1</t>
        </is>
      </c>
      <c r="L2" s="167" t="inlineStr">
        <is>
          <t>O VACC 1</t>
        </is>
      </c>
      <c r="M2" s="167" t="inlineStr">
        <is>
          <t>N VACC 1 &amp; W VACC 2</t>
        </is>
      </c>
      <c r="N2" s="167" t="inlineStr">
        <is>
          <t>CMC VISIT &amp; K VACC 2</t>
        </is>
      </c>
      <c r="O2" s="167" t="inlineStr">
        <is>
          <t>V VACC 2</t>
        </is>
      </c>
      <c r="P2" s="167" t="n"/>
      <c r="Q2" s="167" t="n"/>
      <c r="R2" s="167" t="inlineStr">
        <is>
          <t>CNY EVE</t>
        </is>
      </c>
      <c r="S2" s="167" t="inlineStr">
        <is>
          <t>CNY DAY 1</t>
        </is>
      </c>
      <c r="T2" s="168" t="inlineStr">
        <is>
          <t>CNY DAY 2</t>
        </is>
      </c>
      <c r="U2" s="167" t="inlineStr">
        <is>
          <t>L VACC 2</t>
        </is>
      </c>
      <c r="V2" s="169" t="inlineStr">
        <is>
          <t>J VACC 1</t>
        </is>
      </c>
      <c r="W2" s="167" t="n"/>
      <c r="X2" s="167" t="n"/>
      <c r="Y2" s="167" t="inlineStr">
        <is>
          <t>C VACC 2</t>
        </is>
      </c>
      <c r="Z2" s="167" t="inlineStr">
        <is>
          <t>M VACC 2</t>
        </is>
      </c>
      <c r="AA2" s="167" t="inlineStr">
        <is>
          <t>E VACC 2</t>
        </is>
      </c>
      <c r="AB2" s="167" t="inlineStr">
        <is>
          <t>J VACC 2</t>
        </is>
      </c>
      <c r="AC2" s="167" t="n"/>
      <c r="AD2" s="167" t="n"/>
      <c r="AE2" s="167" t="n"/>
      <c r="AF2" s="167" t="n"/>
      <c r="AG2" s="167" t="n"/>
      <c r="AH2" s="258" t="n"/>
      <c r="AI2" s="218" t="n"/>
      <c r="AJ2" s="218" t="n"/>
      <c r="AK2" s="218" t="n"/>
      <c r="AL2" s="218" t="n"/>
      <c r="AM2" s="218" t="n"/>
      <c r="AN2" s="218" t="n"/>
      <c r="AO2" s="218" t="n"/>
      <c r="AP2" s="218" t="n"/>
      <c r="AQ2" s="218" t="n"/>
      <c r="AR2" s="218" t="n"/>
      <c r="AS2" s="170" t="n"/>
      <c r="AT2" s="170" t="n"/>
      <c r="AU2" s="218" t="n"/>
      <c r="AV2" s="218" t="n"/>
      <c r="AW2" s="218" t="n"/>
      <c r="AX2" s="218" t="n"/>
      <c r="AY2" s="218" t="n"/>
      <c r="AZ2" s="218" t="n"/>
      <c r="BA2" s="218" t="n"/>
      <c r="BB2" s="218" t="n"/>
      <c r="BC2" s="259" t="inlineStr">
        <is>
          <t>Svc avg = 7.25</t>
        </is>
      </c>
      <c r="BD2" s="218" t="n"/>
      <c r="BE2" s="219" t="n"/>
      <c r="BF2" s="219" t="n"/>
      <c r="BG2" s="219" t="n"/>
      <c r="BH2" s="219" t="n"/>
      <c r="BI2" s="219" t="n"/>
      <c r="BJ2" s="219" t="n"/>
      <c r="BK2" s="219" t="n"/>
      <c r="BL2" s="219" t="n"/>
      <c r="BM2" s="219" t="n"/>
      <c r="BN2" s="219" t="n"/>
      <c r="BO2" s="218" t="n"/>
      <c r="BP2" s="218" t="n"/>
      <c r="BQ2" s="218" t="n"/>
      <c r="BR2" s="220" t="n"/>
    </row>
    <row r="3" ht="26.25" customHeight="1">
      <c r="A3" s="424" t="n"/>
      <c r="B3" s="257" t="inlineStr">
        <is>
          <t>Rostering</t>
        </is>
      </c>
      <c r="C3" s="425" t="n">
        <v>46054</v>
      </c>
      <c r="D3" s="426">
        <f>C3+1</f>
        <v/>
      </c>
      <c r="E3" s="426">
        <f>D3+1</f>
        <v/>
      </c>
      <c r="F3" s="426">
        <f>E3+1</f>
        <v/>
      </c>
      <c r="G3" s="426">
        <f>F3+1</f>
        <v/>
      </c>
      <c r="H3" s="426">
        <f>G3+1</f>
        <v/>
      </c>
      <c r="I3" s="426">
        <f>H3+1</f>
        <v/>
      </c>
      <c r="J3" s="426">
        <f>I3+1</f>
        <v/>
      </c>
      <c r="K3" s="426">
        <f>J3+1</f>
        <v/>
      </c>
      <c r="L3" s="426">
        <f>K3+1</f>
        <v/>
      </c>
      <c r="M3" s="426">
        <f>L3+1</f>
        <v/>
      </c>
      <c r="N3" s="426">
        <f>M3+1</f>
        <v/>
      </c>
      <c r="O3" s="426">
        <f>N3+1</f>
        <v/>
      </c>
      <c r="P3" s="426">
        <f>O3+1</f>
        <v/>
      </c>
      <c r="Q3" s="426">
        <f>P3+1</f>
        <v/>
      </c>
      <c r="R3" s="426">
        <f>Q3+1</f>
        <v/>
      </c>
      <c r="S3" s="426">
        <f>R3+1</f>
        <v/>
      </c>
      <c r="T3" s="427">
        <f>S3+1</f>
        <v/>
      </c>
      <c r="U3" s="426">
        <f>T3+1</f>
        <v/>
      </c>
      <c r="V3" s="428">
        <f>U3+1</f>
        <v/>
      </c>
      <c r="W3" s="426">
        <f>V3+1</f>
        <v/>
      </c>
      <c r="X3" s="426">
        <f>W3+1</f>
        <v/>
      </c>
      <c r="Y3" s="426">
        <f>X3+1</f>
        <v/>
      </c>
      <c r="Z3" s="426">
        <f>Y3+1</f>
        <v/>
      </c>
      <c r="AA3" s="426">
        <f>Z3+1</f>
        <v/>
      </c>
      <c r="AB3" s="426">
        <f>AA3+1</f>
        <v/>
      </c>
      <c r="AC3" s="426">
        <f>AB3+1</f>
        <v/>
      </c>
      <c r="AD3" s="426">
        <f>AC3+1</f>
        <v/>
      </c>
      <c r="AE3" s="426">
        <f>AD3+1</f>
        <v/>
      </c>
      <c r="AF3" s="426">
        <f>AE3+1</f>
        <v/>
      </c>
      <c r="AG3" s="427">
        <f>AF3+1</f>
        <v/>
      </c>
      <c r="AH3" s="426">
        <f>AG3+1</f>
        <v/>
      </c>
      <c r="AI3" s="221">
        <f>'Setting key Duty'!$C7</f>
        <v/>
      </c>
      <c r="AJ3" s="222">
        <f>'Setting key Duty'!$C8</f>
        <v/>
      </c>
      <c r="AK3" s="223">
        <f>'Setting key Duty'!$C9</f>
        <v/>
      </c>
      <c r="AL3" s="223">
        <f>'Setting key Duty'!$C10</f>
        <v/>
      </c>
      <c r="AM3" s="223">
        <f>'Setting key Duty'!$C11</f>
        <v/>
      </c>
      <c r="AN3" s="223">
        <f>'Setting key Duty'!$C12</f>
        <v/>
      </c>
      <c r="AO3" s="223">
        <f>'Setting key Duty'!$C13</f>
        <v/>
      </c>
      <c r="AP3" s="223">
        <f>'Setting key Duty'!$C16</f>
        <v/>
      </c>
      <c r="AQ3" s="223">
        <f>'Setting key Duty'!C14</f>
        <v/>
      </c>
      <c r="AR3" s="223" t="n"/>
      <c r="AS3" s="429" t="inlineStr">
        <is>
          <t>TO ADD</t>
        </is>
      </c>
      <c r="AT3" s="429" t="inlineStr">
        <is>
          <t>TO MINUS</t>
        </is>
      </c>
      <c r="AU3" s="223" t="inlineStr">
        <is>
          <t>Weekday Duty</t>
        </is>
      </c>
      <c r="AV3" s="223" t="inlineStr">
        <is>
          <t>Weekday Extra</t>
        </is>
      </c>
      <c r="AW3" s="223" t="inlineStr">
        <is>
          <t>Friday Duty</t>
        </is>
      </c>
      <c r="AX3" s="223" t="inlineStr">
        <is>
          <t>Weekend Duty</t>
        </is>
      </c>
      <c r="AY3" s="223" t="inlineStr">
        <is>
          <t>Weekend Extra</t>
        </is>
      </c>
      <c r="AZ3" s="223" t="inlineStr">
        <is>
          <t>Duty Point</t>
        </is>
      </c>
      <c r="BA3" s="223" t="inlineStr">
        <is>
          <t>Total Duty</t>
        </is>
      </c>
      <c r="BB3" s="223" t="inlineStr">
        <is>
          <t>Total Cover</t>
        </is>
      </c>
      <c r="BC3" s="225" t="inlineStr">
        <is>
          <t>Total Point</t>
        </is>
      </c>
      <c r="BD3" s="223" t="inlineStr">
        <is>
          <t>Total Cover
Point</t>
        </is>
      </c>
      <c r="BE3" s="223" t="inlineStr">
        <is>
          <t>BTP</t>
        </is>
      </c>
      <c r="BF3" s="223" t="inlineStr">
        <is>
          <t>$BTP
Point</t>
        </is>
      </c>
      <c r="BG3" s="223" t="inlineStr">
        <is>
          <t>Mid Cover</t>
        </is>
      </c>
      <c r="BH3" s="223" t="inlineStr">
        <is>
          <t>$M 
Point</t>
        </is>
      </c>
      <c r="BI3" s="223" t="inlineStr">
        <is>
          <t>Cover
After Hour</t>
        </is>
      </c>
      <c r="BJ3" s="223" t="inlineStr">
        <is>
          <t>$PM
Point</t>
        </is>
      </c>
      <c r="BK3" s="223" t="inlineStr">
        <is>
          <t>Cover
Early</t>
        </is>
      </c>
      <c r="BL3" s="223" t="inlineStr">
        <is>
          <t>$AM
Point</t>
        </is>
      </c>
      <c r="BM3" s="223">
        <f>'Setting key Duty'!C52</f>
        <v/>
      </c>
      <c r="BN3" s="223" t="inlineStr">
        <is>
          <t>$FC
Point</t>
        </is>
      </c>
      <c r="BO3" s="223">
        <f>'Setting key Duty'!$C15</f>
        <v/>
      </c>
      <c r="BP3" s="223">
        <f>'Setting key Duty'!C17</f>
        <v/>
      </c>
      <c r="BQ3" s="223">
        <f>'Setting key Duty'!$C22</f>
        <v/>
      </c>
      <c r="BR3" s="220" t="n"/>
    </row>
    <row r="4" ht="18" customHeight="1">
      <c r="A4" s="226" t="n"/>
      <c r="B4" s="260" t="inlineStr">
        <is>
          <t>Updated on: 26/10/2022</t>
        </is>
      </c>
      <c r="C4" s="430">
        <f>TEXT(C3,"ddd")</f>
        <v/>
      </c>
      <c r="D4" s="431">
        <f>TEXT(D3,"ddd")</f>
        <v/>
      </c>
      <c r="E4" s="431">
        <f>TEXT(E3,"ddd")</f>
        <v/>
      </c>
      <c r="F4" s="431">
        <f>TEXT(F3,"ddd")</f>
        <v/>
      </c>
      <c r="G4" s="431">
        <f>TEXT(G3,"ddd")</f>
        <v/>
      </c>
      <c r="H4" s="431">
        <f>TEXT(H3,"ddd")</f>
        <v/>
      </c>
      <c r="I4" s="431">
        <f>TEXT(I3,"ddd")</f>
        <v/>
      </c>
      <c r="J4" s="431">
        <f>TEXT(J3,"ddd")</f>
        <v/>
      </c>
      <c r="K4" s="431">
        <f>TEXT(K3,"ddd")</f>
        <v/>
      </c>
      <c r="L4" s="431">
        <f>TEXT(L3,"ddd")</f>
        <v/>
      </c>
      <c r="M4" s="431">
        <f>TEXT(M3,"ddd")</f>
        <v/>
      </c>
      <c r="N4" s="431">
        <f>TEXT(N3,"ddd")</f>
        <v/>
      </c>
      <c r="O4" s="431">
        <f>TEXT(O3,"ddd")</f>
        <v/>
      </c>
      <c r="P4" s="431">
        <f>TEXT(P3,"ddd")</f>
        <v/>
      </c>
      <c r="Q4" s="431">
        <f>TEXT(Q3,"ddd")</f>
        <v/>
      </c>
      <c r="R4" s="431">
        <f>TEXT(R3,"ddd")</f>
        <v/>
      </c>
      <c r="S4" s="431">
        <f>TEXT(S3,"ddd")</f>
        <v/>
      </c>
      <c r="T4" s="430">
        <f>TEXT(T3,"ddd")</f>
        <v/>
      </c>
      <c r="U4" s="431">
        <f>TEXT(U3,"ddd")</f>
        <v/>
      </c>
      <c r="V4" s="432">
        <f>TEXT(V3,"ddd")</f>
        <v/>
      </c>
      <c r="W4" s="431">
        <f>TEXT(W3,"ddd")</f>
        <v/>
      </c>
      <c r="X4" s="431">
        <f>TEXT(X3,"ddd")</f>
        <v/>
      </c>
      <c r="Y4" s="431">
        <f>TEXT(Y3,"ddd")</f>
        <v/>
      </c>
      <c r="Z4" s="431">
        <f>TEXT(Z3,"ddd")</f>
        <v/>
      </c>
      <c r="AA4" s="431">
        <f>TEXT(AA3,"ddd")</f>
        <v/>
      </c>
      <c r="AB4" s="431">
        <f>TEXT(AB3,"ddd")</f>
        <v/>
      </c>
      <c r="AC4" s="431">
        <f>TEXT(AC3,"ddd")</f>
        <v/>
      </c>
      <c r="AD4" s="431">
        <f>TEXT(AD3,"ddd")</f>
        <v/>
      </c>
      <c r="AE4" s="431">
        <f>TEXT(AE3,"ddd")</f>
        <v/>
      </c>
      <c r="AF4" s="431">
        <f>TEXT(AF3,"ddd")</f>
        <v/>
      </c>
      <c r="AG4" s="430">
        <f>TEXT(AG3,"ddd")</f>
        <v/>
      </c>
      <c r="AH4" s="431">
        <f>TEXT(AH3,"ddd")</f>
        <v/>
      </c>
      <c r="AI4" s="227">
        <f>'Setting key Duty'!$B7</f>
        <v/>
      </c>
      <c r="AJ4" s="228">
        <f>'Setting key Duty'!$B8</f>
        <v/>
      </c>
      <c r="AK4" s="229">
        <f>'Setting key Duty'!$B9</f>
        <v/>
      </c>
      <c r="AL4" s="229">
        <f>'Setting key Duty'!$B10</f>
        <v/>
      </c>
      <c r="AM4" s="229">
        <f>'Setting key Duty'!$B11</f>
        <v/>
      </c>
      <c r="AN4" s="229">
        <f>'Setting key Duty'!$B12</f>
        <v/>
      </c>
      <c r="AO4" s="229">
        <f>'Setting key Duty'!$B13</f>
        <v/>
      </c>
      <c r="AP4" s="229">
        <f>'Setting key Duty'!$B16</f>
        <v/>
      </c>
      <c r="AQ4" s="229">
        <f>'Setting key Duty'!B14</f>
        <v/>
      </c>
      <c r="AR4" s="229" t="n"/>
      <c r="AS4" s="433" t="n"/>
      <c r="AT4" s="433" t="n"/>
      <c r="AU4" s="229" t="n"/>
      <c r="AV4" s="229" t="n"/>
      <c r="AW4" s="229" t="n"/>
      <c r="AX4" s="229" t="n"/>
      <c r="AY4" s="229" t="n"/>
      <c r="AZ4" s="229" t="n"/>
      <c r="BA4" s="229" t="n"/>
      <c r="BB4" s="229" t="n"/>
      <c r="BC4" s="231" t="n"/>
      <c r="BD4" s="229" t="n"/>
      <c r="BE4" s="229" t="inlineStr">
        <is>
          <t>$BTP</t>
        </is>
      </c>
      <c r="BF4" s="229" t="n"/>
      <c r="BG4" s="229" t="inlineStr">
        <is>
          <t>$M</t>
        </is>
      </c>
      <c r="BH4" s="229" t="n"/>
      <c r="BI4" s="229" t="inlineStr">
        <is>
          <t>$PM</t>
        </is>
      </c>
      <c r="BJ4" s="229" t="n"/>
      <c r="BK4" s="229" t="inlineStr">
        <is>
          <t>$AM</t>
        </is>
      </c>
      <c r="BL4" s="229" t="n"/>
      <c r="BM4" s="229">
        <f>'Setting key Duty'!B52</f>
        <v/>
      </c>
      <c r="BN4" s="229" t="n"/>
      <c r="BO4" s="229">
        <f>'Setting key Duty'!$B15</f>
        <v/>
      </c>
      <c r="BP4" s="229">
        <f>'Setting key Duty'!B17</f>
        <v/>
      </c>
      <c r="BQ4" s="229">
        <f>'Setting key Duty'!$B22</f>
        <v/>
      </c>
      <c r="BR4" s="232" t="n"/>
    </row>
    <row r="5" ht="19.5" customHeight="1">
      <c r="A5" s="233" t="n"/>
      <c r="B5" s="261" t="inlineStr">
        <is>
          <t>CPL MUHAMAD LUTFIL AL-HADI</t>
        </is>
      </c>
      <c r="C5" s="187" t="n"/>
      <c r="D5" s="136" t="inlineStr">
        <is>
          <t>CS1</t>
        </is>
      </c>
      <c r="E5" s="136" t="n"/>
      <c r="F5" s="136" t="inlineStr">
        <is>
          <t>CS2</t>
        </is>
      </c>
      <c r="G5" s="234" t="n"/>
      <c r="H5" s="136" t="inlineStr">
        <is>
          <t>DM</t>
        </is>
      </c>
      <c r="I5" s="187" t="n"/>
      <c r="J5" s="187" t="inlineStr">
        <is>
          <t>CS1</t>
        </is>
      </c>
      <c r="K5" s="234" t="n"/>
      <c r="L5" s="136" t="n"/>
      <c r="M5" s="187" t="inlineStr">
        <is>
          <t>CS1</t>
        </is>
      </c>
      <c r="N5" s="136" t="n"/>
      <c r="O5" s="234" t="n"/>
      <c r="P5" s="234" t="n"/>
      <c r="Q5" s="234" t="n"/>
      <c r="R5" s="434" t="n"/>
      <c r="S5" s="187" t="inlineStr">
        <is>
          <t>DM</t>
        </is>
      </c>
      <c r="T5" s="234" t="n"/>
      <c r="U5" s="136" t="inlineStr">
        <is>
          <t>BREAK FAST</t>
        </is>
      </c>
      <c r="V5" s="234" t="inlineStr">
        <is>
          <t>CHRISTMAS OIL</t>
        </is>
      </c>
      <c r="W5" s="234" t="n"/>
      <c r="X5" s="234" t="n"/>
      <c r="Y5" s="234" t="n"/>
      <c r="Z5" s="137" t="inlineStr">
        <is>
          <t>DM</t>
        </is>
      </c>
      <c r="AA5" s="136" t="n"/>
      <c r="AB5" s="187" t="n"/>
      <c r="AC5" s="234" t="n"/>
      <c r="AD5" s="234" t="n"/>
      <c r="AE5" s="234" t="n"/>
      <c r="AF5" s="187" t="n"/>
      <c r="AG5" s="187" t="n"/>
      <c r="AH5" s="197" t="n"/>
      <c r="AI5" s="237">
        <f>COUNTIF($D5:$AE5,AI$4)</f>
        <v/>
      </c>
      <c r="AJ5" s="248">
        <f>COUNTIF($D5:$AE5,AJ$4)</f>
        <v/>
      </c>
      <c r="AK5" s="237">
        <f>COUNTIF($D5:$AE5,AK$4)</f>
        <v/>
      </c>
      <c r="AL5" s="237">
        <f>COUNTIF($D5:$AE5,AL$4)</f>
        <v/>
      </c>
      <c r="AM5" s="238">
        <f>COUNTIF($D5:$AE5,AM$4)</f>
        <v/>
      </c>
      <c r="AN5" s="238">
        <f>COUNTIF($D5:$AE5,AN$4)</f>
        <v/>
      </c>
      <c r="AO5" s="238">
        <f>COUNTIF($D5:$AE5,AO$4)</f>
        <v/>
      </c>
      <c r="AP5" s="238">
        <f>COUNTIF($D5:$AE5,AP$4)</f>
        <v/>
      </c>
      <c r="AQ5" s="238">
        <f>COUNTIF($D5:$AE5,AQ$4)</f>
        <v/>
      </c>
      <c r="AR5" s="238" t="n"/>
      <c r="AS5" s="239" t="n"/>
      <c r="AT5" s="239" t="n">
        <v>0.5</v>
      </c>
      <c r="AU5" s="238">
        <f>SUMPRODUCT(--(WEEKDAY(C$3:AG$3,2)&lt;5),--ISNUMBER(MATCH(C5:AG5,{"DM","CS1","CS2","SB1","AE","CS/B"},0)))</f>
        <v/>
      </c>
      <c r="AV5" s="238" t="n"/>
      <c r="AW5" s="238">
        <f>SUMPRODUCT(--(WEEKDAY(C$3:AG$3,2)=5),--ISNUMBER(MATCH(C5:AG5,{"DM","CS1","CS2","SB1","AE","CS/B"},0)))</f>
        <v/>
      </c>
      <c r="AX5" s="238">
        <f>SUMPRODUCT(--(WEEKDAY(C$3:AG$3,2)&gt;5),--ISNUMBER(MATCH(C5:AG5,{"DM","CS1","CS2","SB1","AE","CS/B"},0)))</f>
        <v/>
      </c>
      <c r="AY5" s="238" t="n"/>
      <c r="AZ5" s="238">
        <f>(AU5-AV5)+AW5*1.5+(AX5-AY5)*2+AN5*0.5+AP5*0.5+AS5-AT5</f>
        <v/>
      </c>
      <c r="BA5" s="238">
        <f>AU5+AW5+AX5</f>
        <v/>
      </c>
      <c r="BB5" s="238">
        <f>BE5+BG5+BI5+BK5+BM5</f>
        <v/>
      </c>
      <c r="BC5" s="239">
        <f>AZ5+BD5</f>
        <v/>
      </c>
      <c r="BD5" s="238">
        <f>BF5+BH5+BJ5+BL5+BN5</f>
        <v/>
      </c>
      <c r="BE5" s="238">
        <f>COUNTIF(A5:AI5,"*$BTP*")</f>
        <v/>
      </c>
      <c r="BF5" s="238">
        <f>BE5*1.5</f>
        <v/>
      </c>
      <c r="BG5" s="238">
        <f>COUNTIF(A5:AI5,"*$M*")</f>
        <v/>
      </c>
      <c r="BH5" s="238">
        <f>BG5*1</f>
        <v/>
      </c>
      <c r="BI5" s="238">
        <f>COUNTIF(A5:AI5,"*$PM*")</f>
        <v/>
      </c>
      <c r="BJ5" s="238">
        <f>BI5*0.5</f>
        <v/>
      </c>
      <c r="BK5" s="238">
        <f>COUNTIF(A5:AI5,"*$AM*")</f>
        <v/>
      </c>
      <c r="BL5" s="238">
        <f>BK5*0.5</f>
        <v/>
      </c>
      <c r="BM5" s="238">
        <f>COUNTIF(A5:AI5,"*$FC*")</f>
        <v/>
      </c>
      <c r="BN5" s="238">
        <f>BM5*1</f>
        <v/>
      </c>
      <c r="BO5" s="238">
        <f>COUNTIF($D5:$AA5,BO$4)</f>
        <v/>
      </c>
      <c r="BP5" s="238">
        <f>COUNTIF($D5:$AA5,BP$4)</f>
        <v/>
      </c>
      <c r="BQ5" s="238">
        <f>COUNTIF($D5:$AA5,BQ$4)</f>
        <v/>
      </c>
      <c r="BR5" s="240" t="n"/>
    </row>
    <row r="6" ht="36" customHeight="1">
      <c r="A6" s="233" t="n"/>
      <c r="B6" s="262" t="inlineStr">
        <is>
          <t xml:space="preserve">CPL GERALD TAN </t>
        </is>
      </c>
      <c r="C6" s="241" t="n"/>
      <c r="D6" s="75" t="n"/>
      <c r="E6" s="136" t="inlineStr">
        <is>
          <t>CS1</t>
        </is>
      </c>
      <c r="F6" s="75" t="n"/>
      <c r="G6" s="75" t="n"/>
      <c r="H6" s="136" t="n"/>
      <c r="I6" s="75" t="inlineStr">
        <is>
          <t>DM</t>
        </is>
      </c>
      <c r="J6" s="75" t="n"/>
      <c r="K6" s="136" t="inlineStr">
        <is>
          <t>SB2</t>
        </is>
      </c>
      <c r="L6" s="75" t="inlineStr">
        <is>
          <t>CS2</t>
        </is>
      </c>
      <c r="M6" s="75" t="n"/>
      <c r="N6" s="75" t="inlineStr">
        <is>
          <t>CS/B</t>
        </is>
      </c>
      <c r="O6" s="242" t="inlineStr">
        <is>
          <t>AL</t>
        </is>
      </c>
      <c r="P6" s="242" t="inlineStr">
        <is>
          <t>AL</t>
        </is>
      </c>
      <c r="Q6" s="242" t="inlineStr">
        <is>
          <t>AL</t>
        </is>
      </c>
      <c r="R6" s="242" t="inlineStr">
        <is>
          <t>AL</t>
        </is>
      </c>
      <c r="S6" s="242" t="inlineStr">
        <is>
          <t>AL</t>
        </is>
      </c>
      <c r="T6" s="242" t="inlineStr">
        <is>
          <t>AL</t>
        </is>
      </c>
      <c r="U6" s="242" t="inlineStr">
        <is>
          <t>AL</t>
        </is>
      </c>
      <c r="V6" s="242" t="inlineStr">
        <is>
          <t>AL</t>
        </is>
      </c>
      <c r="W6" s="242" t="inlineStr">
        <is>
          <t>AL</t>
        </is>
      </c>
      <c r="X6" s="242" t="inlineStr">
        <is>
          <t>AL</t>
        </is>
      </c>
      <c r="Y6" s="136" t="n"/>
      <c r="Z6" s="75" t="n"/>
      <c r="AA6" s="137" t="inlineStr">
        <is>
          <t>CS2</t>
        </is>
      </c>
      <c r="AB6" s="75" t="n"/>
      <c r="AC6" s="75" t="n"/>
      <c r="AD6" s="75" t="inlineStr">
        <is>
          <t>DM</t>
        </is>
      </c>
      <c r="AE6" s="75" t="n"/>
      <c r="AF6" s="75" t="n"/>
      <c r="AG6" s="75" t="n"/>
      <c r="AH6" s="197" t="n"/>
      <c r="AI6" s="237">
        <f>COUNTIF($D6:$AE6,AI$4)</f>
        <v/>
      </c>
      <c r="AJ6" s="248">
        <f>COUNTIF($D6:$AE6,AJ$4)</f>
        <v/>
      </c>
      <c r="AK6" s="237">
        <f>COUNTIF($D6:$AE6,AK$4)</f>
        <v/>
      </c>
      <c r="AL6" s="237">
        <f>COUNTIF($D6:$AE6,AL$4)</f>
        <v/>
      </c>
      <c r="AM6" s="238">
        <f>COUNTIF($D6:$AE6,AM$4)</f>
        <v/>
      </c>
      <c r="AN6" s="238">
        <f>COUNTIF($D6:$AE6,AN$4)</f>
        <v/>
      </c>
      <c r="AO6" s="238">
        <f>COUNTIF($D6:$AE6,AO$4)</f>
        <v/>
      </c>
      <c r="AP6" s="238">
        <f>COUNTIF($D6:$AE6,AP$4)</f>
        <v/>
      </c>
      <c r="AQ6" s="238">
        <f>COUNTIF($D6:$AE6,AQ$4)</f>
        <v/>
      </c>
      <c r="AR6" s="238" t="n"/>
      <c r="AS6" s="239" t="n"/>
      <c r="AT6" s="239" t="n"/>
      <c r="AU6" s="238">
        <f>SUMPRODUCT(--(WEEKDAY(C$3:AG$3,2)&lt;5),--ISNUMBER(MATCH(C6:AG6,{"DM","CS1","CS2","SB1","AE","CS/B"},0)))</f>
        <v/>
      </c>
      <c r="AV6" s="238" t="n"/>
      <c r="AW6" s="238">
        <f>SUMPRODUCT(--(WEEKDAY(C$3:AG$3,2)=5),--ISNUMBER(MATCH(C6:AG6,{"DM","CS1","CS2","SB1","AE","CS/B"},0)))</f>
        <v/>
      </c>
      <c r="AX6" s="238">
        <f>SUMPRODUCT(--(WEEKDAY(C$3:AG$3,2)&gt;5),--ISNUMBER(MATCH(C6:AG6,{"DM","CS1","CS2","SB1","AE","CS/B"},0)))</f>
        <v/>
      </c>
      <c r="AY6" s="238" t="n"/>
      <c r="AZ6" s="238">
        <f>(AU6-AV6)+AW6*1.5+(AX6-AY6)*2+AN6*0.5+AP6*0.5+AS6-AT6</f>
        <v/>
      </c>
      <c r="BA6" s="238">
        <f>AU6+AW6+AX6</f>
        <v/>
      </c>
      <c r="BB6" s="238">
        <f>BE6+BG6+BI6+BK6+BM6</f>
        <v/>
      </c>
      <c r="BC6" s="239">
        <f>AZ6+BD6</f>
        <v/>
      </c>
      <c r="BD6" s="238">
        <f>BF6+BH6+BJ6+BL6+BN6</f>
        <v/>
      </c>
      <c r="BE6" s="238">
        <f>COUNTIF(A6:AI6,"*$BTP*")</f>
        <v/>
      </c>
      <c r="BF6" s="238">
        <f>BE6*1.5</f>
        <v/>
      </c>
      <c r="BG6" s="238">
        <f>COUNTIF(A6:AI6,"*$M*")</f>
        <v/>
      </c>
      <c r="BH6" s="238">
        <f>BG6*1</f>
        <v/>
      </c>
      <c r="BI6" s="238">
        <f>COUNTIF(A6:AI6,"*$PM*")</f>
        <v/>
      </c>
      <c r="BJ6" s="238">
        <f>BI6*0.5</f>
        <v/>
      </c>
      <c r="BK6" s="238">
        <f>COUNTIF(A6:AI6,"*$AM*")</f>
        <v/>
      </c>
      <c r="BL6" s="238">
        <f>BK6*0.5</f>
        <v/>
      </c>
      <c r="BM6" s="238">
        <f>COUNTIF(A6:AI6,"*$FC*")</f>
        <v/>
      </c>
      <c r="BN6" s="238">
        <f>BM6*1</f>
        <v/>
      </c>
      <c r="BO6" s="238">
        <f>COUNTIF($D6:$AA6,BO$4)</f>
        <v/>
      </c>
      <c r="BP6" s="238">
        <f>COUNTIF($D6:$AA6,BP$4)</f>
        <v/>
      </c>
      <c r="BQ6" s="238">
        <f>COUNTIF($D6:$AA6,BQ$4)</f>
        <v/>
      </c>
      <c r="BR6" s="240" t="n"/>
    </row>
    <row r="7" ht="36" customHeight="1">
      <c r="A7" s="233" t="n"/>
      <c r="B7" s="263" t="inlineStr">
        <is>
          <t>CPL FANG JIANGRUI</t>
        </is>
      </c>
      <c r="C7" s="137" t="n"/>
      <c r="D7" s="136" t="n"/>
      <c r="E7" s="136" t="n"/>
      <c r="F7" s="136" t="n"/>
      <c r="G7" s="136" t="n"/>
      <c r="H7" s="136" t="n"/>
      <c r="I7" s="75" t="n"/>
      <c r="J7" s="137" t="n"/>
      <c r="K7" s="136" t="n"/>
      <c r="L7" s="136" t="n"/>
      <c r="M7" s="136" t="n"/>
      <c r="N7" s="136" t="n"/>
      <c r="O7" s="136" t="n"/>
      <c r="P7" s="137" t="n"/>
      <c r="Q7" s="137" t="n"/>
      <c r="R7" s="137" t="n"/>
      <c r="S7" s="137" t="n"/>
      <c r="T7" s="137" t="n"/>
      <c r="U7" s="137" t="n"/>
      <c r="V7" s="136" t="n"/>
      <c r="W7" s="137" t="n"/>
      <c r="X7" s="137" t="n"/>
      <c r="Y7" s="137" t="n"/>
      <c r="Z7" s="53" t="n"/>
      <c r="AA7" s="53" t="n"/>
      <c r="AB7" s="137" t="n"/>
      <c r="AC7" s="137" t="n"/>
      <c r="AD7" s="137" t="n"/>
      <c r="AE7" s="137" t="n"/>
      <c r="AF7" s="137" t="n"/>
      <c r="AG7" s="137" t="n"/>
      <c r="AH7" s="197" t="n"/>
      <c r="AI7" s="237">
        <f>COUNTIF($D7:$AE7,AI$4)</f>
        <v/>
      </c>
      <c r="AJ7" s="248">
        <f>COUNTIF($D7:$AE7,AJ$4)</f>
        <v/>
      </c>
      <c r="AK7" s="237">
        <f>COUNTIF($D7:$AE7,AK$4)</f>
        <v/>
      </c>
      <c r="AL7" s="237">
        <f>COUNTIF($D7:$AE7,AL$4)</f>
        <v/>
      </c>
      <c r="AM7" s="238">
        <f>COUNTIF($D7:$AE7,AM$4)</f>
        <v/>
      </c>
      <c r="AN7" s="238">
        <f>COUNTIF($D7:$AE7,AN$4)</f>
        <v/>
      </c>
      <c r="AO7" s="238">
        <f>COUNTIF($D7:$AE7,AO$4)</f>
        <v/>
      </c>
      <c r="AP7" s="238">
        <f>COUNTIF($D7:$AE7,AP$4)</f>
        <v/>
      </c>
      <c r="AQ7" s="238">
        <f>COUNTIF($D7:$AE7,AQ$4)</f>
        <v/>
      </c>
      <c r="AR7" s="238" t="n"/>
      <c r="AS7" s="239" t="n"/>
      <c r="AT7" s="239" t="n"/>
      <c r="AU7" s="238">
        <f>SUMPRODUCT(--(WEEKDAY(C$3:AG$3,2)&lt;5),--ISNUMBER(MATCH(C7:AG7,{"DM","CS1","CS2","SB1","AE","CS/B"},0)))</f>
        <v/>
      </c>
      <c r="AV7" s="238" t="n"/>
      <c r="AW7" s="238">
        <f>SUMPRODUCT(--(WEEKDAY(C$3:AG$3,2)=5),--ISNUMBER(MATCH(C7:AG7,{"DM","CS1","CS2","SB1","AE","CS/B"},0)))</f>
        <v/>
      </c>
      <c r="AX7" s="238">
        <f>SUMPRODUCT(--(WEEKDAY(C$3:AG$3,2)&gt;5),--ISNUMBER(MATCH(C7:AG7,{"DM","CS1","CS2","SB1","AE","CS/B"},0)))</f>
        <v/>
      </c>
      <c r="AY7" s="238" t="n"/>
      <c r="AZ7" s="238">
        <f>(AU7-AV7)+AW7*1.5+(AX7-AY7)*2+AN7*0.5+AP7*0.5+AS7-AT7</f>
        <v/>
      </c>
      <c r="BA7" s="238">
        <f>AU7+AW7+AX7</f>
        <v/>
      </c>
      <c r="BB7" s="238">
        <f>BE7+BG7+BI7+BK7+BM7</f>
        <v/>
      </c>
      <c r="BC7" s="239">
        <f>AZ7+BD7</f>
        <v/>
      </c>
      <c r="BD7" s="238">
        <f>BF7+BH7+BJ7+BL7+BN7</f>
        <v/>
      </c>
      <c r="BE7" s="238">
        <f>COUNTIF(A7:AI7,"*$BTP*")</f>
        <v/>
      </c>
      <c r="BF7" s="238">
        <f>BE7*1.5</f>
        <v/>
      </c>
      <c r="BG7" s="238">
        <f>COUNTIF(A7:AI7,"*$M*")</f>
        <v/>
      </c>
      <c r="BH7" s="238">
        <f>BG7*1</f>
        <v/>
      </c>
      <c r="BI7" s="238">
        <f>COUNTIF(A7:AI7,"*$PM*")</f>
        <v/>
      </c>
      <c r="BJ7" s="238">
        <f>BI7*0.5</f>
        <v/>
      </c>
      <c r="BK7" s="238">
        <f>COUNTIF(A7:AI7,"*$AM*")</f>
        <v/>
      </c>
      <c r="BL7" s="238">
        <f>BK7*0.5</f>
        <v/>
      </c>
      <c r="BM7" s="238">
        <f>COUNTIF(A7:AI7,"*$FC*")</f>
        <v/>
      </c>
      <c r="BN7" s="238">
        <f>BM7*1</f>
        <v/>
      </c>
      <c r="BO7" s="238">
        <f>COUNTIF($D7:$AA7,BO$4)</f>
        <v/>
      </c>
      <c r="BP7" s="238">
        <f>COUNTIF($D7:$AA7,BP$4)</f>
        <v/>
      </c>
      <c r="BQ7" s="238">
        <f>COUNTIF($D7:$AA7,BQ$4)</f>
        <v/>
      </c>
      <c r="BR7" s="240" t="n"/>
    </row>
    <row r="8" ht="19.5" customHeight="1">
      <c r="A8" s="233" t="n"/>
      <c r="B8" s="264" t="inlineStr">
        <is>
          <t>CFC JAY DEOL FROST</t>
        </is>
      </c>
      <c r="C8" s="241" t="inlineStr">
        <is>
          <t>no more duty</t>
        </is>
      </c>
      <c r="D8" s="75" t="n"/>
      <c r="E8" s="75" t="n"/>
      <c r="F8" s="136" t="n"/>
      <c r="G8" s="136" t="n"/>
      <c r="H8" s="265" t="n"/>
      <c r="I8" s="265" t="n"/>
      <c r="J8" s="75" t="n"/>
      <c r="K8" s="75" t="n"/>
      <c r="L8" s="136" t="n"/>
      <c r="M8" s="136" t="n"/>
      <c r="N8" s="136" t="n"/>
      <c r="O8" s="136" t="n"/>
      <c r="P8" s="75" t="n"/>
      <c r="Q8" s="75" t="n"/>
      <c r="R8" s="266" t="inlineStr">
        <is>
          <t>owadio</t>
        </is>
      </c>
      <c r="S8" s="75" t="n"/>
      <c r="T8" s="75" t="n"/>
      <c r="U8" s="75" t="n"/>
      <c r="V8" s="136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197" t="n"/>
      <c r="AI8" s="237">
        <f>COUNTIF($D8:$AE8,AI$4)</f>
        <v/>
      </c>
      <c r="AJ8" s="248">
        <f>COUNTIF($D8:$AE8,AJ$4)</f>
        <v/>
      </c>
      <c r="AK8" s="237">
        <f>COUNTIF($D8:$AE8,AK$4)</f>
        <v/>
      </c>
      <c r="AL8" s="237">
        <f>COUNTIF($D8:$AE8,AL$4)</f>
        <v/>
      </c>
      <c r="AM8" s="238">
        <f>COUNTIF($D8:$AE8,AM$4)</f>
        <v/>
      </c>
      <c r="AN8" s="238">
        <f>COUNTIF($D8:$AE8,AN$4)</f>
        <v/>
      </c>
      <c r="AO8" s="238">
        <f>COUNTIF($D8:$AE8,AO$4)</f>
        <v/>
      </c>
      <c r="AP8" s="238">
        <f>COUNTIF($D8:$AE8,AP$4)</f>
        <v/>
      </c>
      <c r="AQ8" s="238">
        <f>COUNTIF($D8:$AE8,AQ$4)</f>
        <v/>
      </c>
      <c r="AR8" s="238" t="n"/>
      <c r="AS8" s="239" t="n"/>
      <c r="AT8" s="239" t="n"/>
      <c r="AU8" s="238">
        <f>SUMPRODUCT(--(WEEKDAY(C$3:AG$3,2)&lt;5),--ISNUMBER(MATCH(C8:AG8,{"DM","CS1","CS2","SB1","AE","CS/B"},0)))</f>
        <v/>
      </c>
      <c r="AV8" s="238" t="n"/>
      <c r="AW8" s="238">
        <f>SUMPRODUCT(--(WEEKDAY(C$3:AG$3,2)=5),--ISNUMBER(MATCH(C8:AG8,{"DM","CS1","CS2","SB1","AE","CS/B"},0)))</f>
        <v/>
      </c>
      <c r="AX8" s="238">
        <f>SUMPRODUCT(--(WEEKDAY(C$3:AG$3,2)&gt;5),--ISNUMBER(MATCH(C8:AG8,{"DM","CS1","CS2","SB1","AE","CS/B"},0)))</f>
        <v/>
      </c>
      <c r="AY8" s="238" t="n"/>
      <c r="AZ8" s="238">
        <f>(AU8-AV8)+AW8*1.5+(AX8-AY8)*2+AN8*0.5+AP8*0.5+AS8-AT8</f>
        <v/>
      </c>
      <c r="BA8" s="238">
        <f>AU8+AW8+AX8</f>
        <v/>
      </c>
      <c r="BB8" s="238">
        <f>BE8+BG8+BI8+BK8+BM8</f>
        <v/>
      </c>
      <c r="BC8" s="239">
        <f>AZ8+BD8</f>
        <v/>
      </c>
      <c r="BD8" s="238">
        <f>BF8+BH8+BJ8+BL8+BN8</f>
        <v/>
      </c>
      <c r="BE8" s="238">
        <f>COUNTIF(A8:AI8,"*$BTP*")</f>
        <v/>
      </c>
      <c r="BF8" s="238">
        <f>BE8*1.5</f>
        <v/>
      </c>
      <c r="BG8" s="238">
        <f>COUNTIF(A8:AI8,"*$M*")</f>
        <v/>
      </c>
      <c r="BH8" s="238">
        <f>BG8*1</f>
        <v/>
      </c>
      <c r="BI8" s="238">
        <f>COUNTIF(A8:AI8,"*$PM*")</f>
        <v/>
      </c>
      <c r="BJ8" s="238">
        <f>BI8*0.5</f>
        <v/>
      </c>
      <c r="BK8" s="238">
        <f>COUNTIF(A8:AI8,"*$AM*")</f>
        <v/>
      </c>
      <c r="BL8" s="238">
        <f>BK8*0.5</f>
        <v/>
      </c>
      <c r="BM8" s="238">
        <f>COUNTIF(A8:AI8,"*$FC*")</f>
        <v/>
      </c>
      <c r="BN8" s="238">
        <f>BM8*1</f>
        <v/>
      </c>
      <c r="BO8" s="238">
        <f>COUNTIF($D8:$AA8,BO$4)</f>
        <v/>
      </c>
      <c r="BP8" s="238">
        <f>COUNTIF($D8:$AA8,BP$4)</f>
        <v/>
      </c>
      <c r="BQ8" s="238">
        <f>COUNTIF($D8:$AA8,BQ$4)</f>
        <v/>
      </c>
      <c r="BR8" s="240" t="n"/>
    </row>
    <row r="9" ht="19.5" customHeight="1">
      <c r="A9" s="233" t="n"/>
      <c r="B9" s="267" t="inlineStr">
        <is>
          <t>CPL JARRETT TSING KEE JIN</t>
        </is>
      </c>
      <c r="C9" s="137" t="n"/>
      <c r="D9" s="137" t="n"/>
      <c r="E9" s="137" t="inlineStr">
        <is>
          <t>DM</t>
        </is>
      </c>
      <c r="F9" s="137" t="n"/>
      <c r="G9" s="136" t="n"/>
      <c r="H9" s="136" t="inlineStr">
        <is>
          <t>COHESION</t>
        </is>
      </c>
      <c r="I9" s="136" t="n"/>
      <c r="J9" s="137" t="n"/>
      <c r="K9" s="136" t="inlineStr">
        <is>
          <t>RESERVE</t>
        </is>
      </c>
      <c r="L9" s="137" t="n"/>
      <c r="M9" s="137" t="n"/>
      <c r="N9" s="136" t="inlineStr">
        <is>
          <t>CS1</t>
        </is>
      </c>
      <c r="O9" s="136" t="n"/>
      <c r="P9" s="137" t="inlineStr">
        <is>
          <t>CS1</t>
        </is>
      </c>
      <c r="Q9" s="137" t="n"/>
      <c r="R9" s="137" t="n"/>
      <c r="S9" s="137" t="n"/>
      <c r="T9" s="137" t="n"/>
      <c r="U9" s="137" t="n"/>
      <c r="V9" s="137" t="inlineStr">
        <is>
          <t>DM</t>
        </is>
      </c>
      <c r="W9" s="137" t="n"/>
      <c r="X9" s="137" t="n"/>
      <c r="Y9" s="137" t="n"/>
      <c r="Z9" s="53" t="inlineStr">
        <is>
          <t>CS1</t>
        </is>
      </c>
      <c r="AA9" s="53" t="n"/>
      <c r="AB9" s="137" t="inlineStr">
        <is>
          <t>DM</t>
        </is>
      </c>
      <c r="AC9" s="137" t="n"/>
      <c r="AD9" s="137" t="n"/>
      <c r="AE9" s="137" t="n"/>
      <c r="AF9" s="137" t="n"/>
      <c r="AG9" s="137" t="n"/>
      <c r="AH9" s="197" t="n"/>
      <c r="AI9" s="237">
        <f>COUNTIF($D9:$AE9,AI$4)</f>
        <v/>
      </c>
      <c r="AJ9" s="248">
        <f>COUNTIF($D9:$AE9,AJ$4)</f>
        <v/>
      </c>
      <c r="AK9" s="237">
        <f>COUNTIF($D9:$AE9,AK$4)</f>
        <v/>
      </c>
      <c r="AL9" s="237">
        <f>COUNTIF($D9:$AE9,AL$4)</f>
        <v/>
      </c>
      <c r="AM9" s="238">
        <f>COUNTIF($D9:$AE9,AM$4)</f>
        <v/>
      </c>
      <c r="AN9" s="238">
        <f>COUNTIF($D9:$AE9,AN$4)</f>
        <v/>
      </c>
      <c r="AO9" s="238">
        <f>COUNTIF($D9:$AE9,AO$4)</f>
        <v/>
      </c>
      <c r="AP9" s="238">
        <f>COUNTIF($D9:$AE9,AP$4)</f>
        <v/>
      </c>
      <c r="AQ9" s="238">
        <f>COUNTIF($D9:$AE9,AQ$4)</f>
        <v/>
      </c>
      <c r="AR9" s="238" t="n"/>
      <c r="AS9" s="239" t="n"/>
      <c r="AT9" s="239" t="n">
        <v>0.5</v>
      </c>
      <c r="AU9" s="238">
        <f>SUMPRODUCT(--(WEEKDAY(C$3:AG$3,2)&lt;5),--ISNUMBER(MATCH(C9:AG9,{"DM","CS1","CS2","SB1","AE","CS/B"},0)))</f>
        <v/>
      </c>
      <c r="AV9" s="238" t="n"/>
      <c r="AW9" s="238">
        <f>SUMPRODUCT(--(WEEKDAY(C$3:AG$3,2)=5),--ISNUMBER(MATCH(C9:AG9,{"DM","CS1","CS2","SB1","AE","CS/B"},0)))</f>
        <v/>
      </c>
      <c r="AX9" s="238">
        <f>SUMPRODUCT(--(WEEKDAY(C$3:AG$3,2)&gt;5),--ISNUMBER(MATCH(C9:AG9,{"DM","CS1","CS2","SB1","AE","CS/B"},0)))</f>
        <v/>
      </c>
      <c r="AY9" s="238" t="n"/>
      <c r="AZ9" s="238">
        <f>(AU9-AV9)+AW9*1.5+(AX9-AY9)*2+AN9*0.5+AP9*0.5+AS9-AT9</f>
        <v/>
      </c>
      <c r="BA9" s="238">
        <f>AU9+AW9+AX9</f>
        <v/>
      </c>
      <c r="BB9" s="238">
        <f>BE9+BG9+BI9+BK9+BM9</f>
        <v/>
      </c>
      <c r="BC9" s="239">
        <f>AZ9+BD9</f>
        <v/>
      </c>
      <c r="BD9" s="238">
        <f>BF9+BH9+BJ9+BL9+BN9</f>
        <v/>
      </c>
      <c r="BE9" s="238">
        <f>COUNTIF(A9:AI9,"*$BTP*")</f>
        <v/>
      </c>
      <c r="BF9" s="238">
        <f>BE9*1.5</f>
        <v/>
      </c>
      <c r="BG9" s="238">
        <f>COUNTIF(A9:AI9,"*$M*")</f>
        <v/>
      </c>
      <c r="BH9" s="238">
        <f>BG9*1</f>
        <v/>
      </c>
      <c r="BI9" s="238">
        <f>COUNTIF(A9:AI9,"*$PM*")</f>
        <v/>
      </c>
      <c r="BJ9" s="238">
        <f>BI9*0.5</f>
        <v/>
      </c>
      <c r="BK9" s="238">
        <f>COUNTIF(A9:AI9,"*$AM*")</f>
        <v/>
      </c>
      <c r="BL9" s="238">
        <f>BK9*0.5</f>
        <v/>
      </c>
      <c r="BM9" s="238">
        <f>COUNTIF(A9:AI9,"*$FC*")</f>
        <v/>
      </c>
      <c r="BN9" s="238">
        <f>BM9*1</f>
        <v/>
      </c>
      <c r="BO9" s="238">
        <f>COUNTIF($D9:$AA9,BO$4)</f>
        <v/>
      </c>
      <c r="BP9" s="238">
        <f>COUNTIF($D9:$AA9,BP$4)</f>
        <v/>
      </c>
      <c r="BQ9" s="238">
        <f>COUNTIF($D9:$AA9,BQ$4)</f>
        <v/>
      </c>
      <c r="BR9" s="240" t="n"/>
    </row>
    <row r="10" ht="19.5" customHeight="1">
      <c r="A10" s="233" t="n"/>
      <c r="B10" s="191" t="inlineStr">
        <is>
          <t>LCP GOH DI XUAN</t>
        </is>
      </c>
      <c r="C10" s="75" t="n"/>
      <c r="D10" s="75" t="n"/>
      <c r="E10" s="136" t="inlineStr">
        <is>
          <t>CS2</t>
        </is>
      </c>
      <c r="F10" s="75" t="n"/>
      <c r="G10" s="136" t="n"/>
      <c r="H10" s="75" t="inlineStr">
        <is>
          <t>CS2</t>
        </is>
      </c>
      <c r="I10" s="75" t="n"/>
      <c r="J10" s="75" t="inlineStr">
        <is>
          <t>CS/B</t>
        </is>
      </c>
      <c r="K10" s="75" t="n"/>
      <c r="L10" s="137" t="n"/>
      <c r="M10" s="75" t="inlineStr">
        <is>
          <t>CS2</t>
        </is>
      </c>
      <c r="O10" s="136" t="n"/>
      <c r="P10" s="75" t="inlineStr">
        <is>
          <t>DM</t>
        </is>
      </c>
      <c r="Q10" s="75" t="n"/>
      <c r="R10" s="75" t="n"/>
      <c r="S10" s="75" t="n"/>
      <c r="T10" s="75" t="n"/>
      <c r="U10" s="136" t="inlineStr">
        <is>
          <t>RESERVE</t>
        </is>
      </c>
      <c r="W10" s="75" t="inlineStr">
        <is>
          <t>RESERVE</t>
        </is>
      </c>
      <c r="X10" s="75" t="n"/>
      <c r="Y10" s="53" t="inlineStr">
        <is>
          <t>DM</t>
        </is>
      </c>
      <c r="Z10" s="137" t="inlineStr">
        <is>
          <t>MC</t>
        </is>
      </c>
      <c r="AA10" s="53" t="inlineStr">
        <is>
          <t>MC</t>
        </is>
      </c>
      <c r="AB10" s="75" t="inlineStr">
        <is>
          <t>COVER RESERVE</t>
        </is>
      </c>
      <c r="AC10" s="53" t="inlineStr">
        <is>
          <t>SB2</t>
        </is>
      </c>
      <c r="AD10" s="75" t="n"/>
      <c r="AE10" s="75" t="n"/>
      <c r="AF10" s="75" t="n"/>
      <c r="AG10" s="75" t="n"/>
      <c r="AH10" s="197" t="n"/>
      <c r="AI10" s="237">
        <f>COUNTIF($D10:$AE10,AI$4)</f>
        <v/>
      </c>
      <c r="AJ10" s="248">
        <f>COUNTIF($D10:$AE10,AJ$4)</f>
        <v/>
      </c>
      <c r="AK10" s="237">
        <f>COUNTIF($D10:$AE10,AK$4)</f>
        <v/>
      </c>
      <c r="AL10" s="237">
        <f>COUNTIF($D10:$AE10,AL$4)</f>
        <v/>
      </c>
      <c r="AM10" s="238">
        <f>COUNTIF($D10:$AE10,AM$4)</f>
        <v/>
      </c>
      <c r="AN10" s="238">
        <f>COUNTIF($D10:$AE10,AN$4)</f>
        <v/>
      </c>
      <c r="AO10" s="238">
        <f>COUNTIF($D10:$AE10,AO$4)</f>
        <v/>
      </c>
      <c r="AP10" s="238">
        <f>COUNTIF($D10:$AE10,AP$4)</f>
        <v/>
      </c>
      <c r="AQ10" s="238">
        <f>COUNTIF($D10:$AE10,AQ$4)</f>
        <v/>
      </c>
      <c r="AR10" s="238" t="n"/>
      <c r="AS10" s="239" t="n"/>
      <c r="AT10" s="239" t="n"/>
      <c r="AU10" s="238">
        <f>SUMPRODUCT(--(WEEKDAY(C$3:AG$3,2)&lt;5),--ISNUMBER(MATCH(C10:AG10,{"DM","CS1","CS2","SB1","AE","CS/B"},0)))</f>
        <v/>
      </c>
      <c r="AV10" s="238" t="n"/>
      <c r="AW10" s="238">
        <f>SUMPRODUCT(--(WEEKDAY(C$3:AG$3,2)=5),--ISNUMBER(MATCH(C10:AG10,{"DM","CS1","CS2","SB1","AE","CS/B"},0)))</f>
        <v/>
      </c>
      <c r="AX10" s="238">
        <f>SUMPRODUCT(--(WEEKDAY(C$3:AG$3,2)&gt;5),--ISNUMBER(MATCH(C10:AG10,{"DM","CS1","CS2","SB1","AE","CS/B"},0)))</f>
        <v/>
      </c>
      <c r="AY10" s="238" t="n"/>
      <c r="AZ10" s="238">
        <f>(AU10-AV10)+AW10*1.5+(AX10-AY10)*2+AN10*0.5+AP10*0.5+AS10-AT10</f>
        <v/>
      </c>
      <c r="BA10" s="238">
        <f>AU10+AW10+AX10</f>
        <v/>
      </c>
      <c r="BB10" s="238">
        <f>BE10+BG10+BI10+BK10+BM10</f>
        <v/>
      </c>
      <c r="BC10" s="239">
        <f>AZ10+BD10</f>
        <v/>
      </c>
      <c r="BD10" s="238">
        <f>BF10+BH10+BJ10+BL10+BN10</f>
        <v/>
      </c>
      <c r="BE10" s="238">
        <f>COUNTIF(A10:AI10,"*$BTP*")</f>
        <v/>
      </c>
      <c r="BF10" s="238">
        <f>BE10*1.5</f>
        <v/>
      </c>
      <c r="BG10" s="238">
        <f>COUNTIF(A10:AI10,"*$M*")</f>
        <v/>
      </c>
      <c r="BH10" s="238">
        <f>BG10*1</f>
        <v/>
      </c>
      <c r="BI10" s="238">
        <f>COUNTIF(A10:AI10,"*$PM*")</f>
        <v/>
      </c>
      <c r="BJ10" s="238">
        <f>BI10*0.5</f>
        <v/>
      </c>
      <c r="BK10" s="238">
        <f>COUNTIF(A10:AI10,"*$AM*")</f>
        <v/>
      </c>
      <c r="BL10" s="238">
        <f>BK10*0.5</f>
        <v/>
      </c>
      <c r="BM10" s="238">
        <f>COUNTIF(A10:AI10,"*$FC*")</f>
        <v/>
      </c>
      <c r="BN10" s="238">
        <f>BM10*1</f>
        <v/>
      </c>
      <c r="BO10" s="238">
        <f>COUNTIF($D10:$AA10,BO$4)</f>
        <v/>
      </c>
      <c r="BP10" s="238">
        <f>COUNTIF($D10:$AA10,BP$4)</f>
        <v/>
      </c>
      <c r="BQ10" s="238">
        <f>COUNTIF($D10:$AA10,BQ$4)</f>
        <v/>
      </c>
      <c r="BR10" s="240" t="n"/>
    </row>
    <row r="11" ht="19.5" customHeight="1">
      <c r="A11" s="233" t="n"/>
      <c r="B11" s="191" t="inlineStr">
        <is>
          <t>LCP WONG JI FENG WILLARD</t>
        </is>
      </c>
      <c r="C11" s="137" t="n"/>
      <c r="D11" s="137" t="n"/>
      <c r="E11" s="136" t="n"/>
      <c r="F11" s="241" t="inlineStr">
        <is>
          <t>AMPT</t>
        </is>
      </c>
      <c r="G11" s="136" t="n"/>
      <c r="I11" s="137" t="n"/>
      <c r="K11" s="137" t="n"/>
      <c r="N11" s="136" t="n"/>
      <c r="Q11" s="136" t="n"/>
      <c r="R11" s="137" t="n"/>
      <c r="S11" s="137" t="n"/>
      <c r="T11" s="137" t="n"/>
      <c r="W11" s="137" t="n"/>
      <c r="X11" s="136" t="n"/>
      <c r="Y11" s="137" t="n"/>
      <c r="Z11" s="136" t="n"/>
      <c r="AA11" s="53" t="inlineStr">
        <is>
          <t>AMPT</t>
        </is>
      </c>
      <c r="AC11" s="137" t="n"/>
      <c r="AD11" s="137" t="n"/>
      <c r="AE11" s="137" t="n"/>
      <c r="AF11" s="137" t="n"/>
      <c r="AG11" s="137" t="n"/>
      <c r="AH11" s="197" t="n"/>
      <c r="AI11" s="237">
        <f>COUNTIF($D11:$AE11,AI$4)</f>
        <v/>
      </c>
      <c r="AJ11" s="248">
        <f>COUNTIF($D11:$AE11,AJ$4)</f>
        <v/>
      </c>
      <c r="AK11" s="237">
        <f>COUNTIF($D11:$AE11,AK$4)</f>
        <v/>
      </c>
      <c r="AL11" s="237">
        <f>COUNTIF($D11:$AE11,AL$4)</f>
        <v/>
      </c>
      <c r="AM11" s="238">
        <f>COUNTIF($D11:$AE11,AM$4)</f>
        <v/>
      </c>
      <c r="AN11" s="238">
        <f>COUNTIF($D11:$AE11,AN$4)</f>
        <v/>
      </c>
      <c r="AO11" s="238">
        <f>COUNTIF($D11:$AE11,AO$4)</f>
        <v/>
      </c>
      <c r="AP11" s="238">
        <f>COUNTIF($D11:$AE11,AP$4)</f>
        <v/>
      </c>
      <c r="AQ11" s="238">
        <f>COUNTIF($D11:$AE11,AQ$4)</f>
        <v/>
      </c>
      <c r="AR11" s="238" t="n"/>
      <c r="AS11" s="239" t="n"/>
      <c r="AT11" s="239" t="n">
        <v>1</v>
      </c>
      <c r="AU11" s="238">
        <f>SUMPRODUCT(--(WEEKDAY(C$3:AG$3,2)&lt;5),--ISNUMBER(MATCH(C11:AG11,{"DM","CS1","CS2","SB1","AE","CS/B"},0)))</f>
        <v/>
      </c>
      <c r="AV11" s="238" t="n"/>
      <c r="AW11" s="238">
        <f>SUMPRODUCT(--(WEEKDAY(C$3:AG$3,2)=5),--ISNUMBER(MATCH(C11:AG11,{"DM","CS1","CS2","SB1","AE","CS/B"},0)))</f>
        <v/>
      </c>
      <c r="AX11" s="238">
        <f>SUMPRODUCT(--(WEEKDAY(C$3:AG$3,2)&gt;5),--ISNUMBER(MATCH(C11:AG11,{"DM","CS1","CS2","SB1","AE","CS/B"},0)))</f>
        <v/>
      </c>
      <c r="AY11" s="238" t="n"/>
      <c r="AZ11" s="238">
        <f>(AU11-AV11)+AW11*1.5+(AX11-AY11)*2+AN11*0.5+AP11*0.5+AS11-AT11</f>
        <v/>
      </c>
      <c r="BA11" s="238">
        <f>AU11+AW11+AX11</f>
        <v/>
      </c>
      <c r="BB11" s="238">
        <f>BE11+BG11+BI11+BK11+BM11</f>
        <v/>
      </c>
      <c r="BC11" s="239">
        <f>AZ11+BD11</f>
        <v/>
      </c>
      <c r="BD11" s="238">
        <f>BF11+BH11+BJ11+BL11+BN11</f>
        <v/>
      </c>
      <c r="BE11" s="238">
        <f>COUNTIF(A11:AI11,"*$BTP*")</f>
        <v/>
      </c>
      <c r="BF11" s="238">
        <f>BE11*1.5</f>
        <v/>
      </c>
      <c r="BG11" s="238">
        <f>COUNTIF(A11:AI11,"*$M*")</f>
        <v/>
      </c>
      <c r="BH11" s="238">
        <f>BG11*1</f>
        <v/>
      </c>
      <c r="BI11" s="238">
        <f>COUNTIF(A11:AI11,"*$PM*")</f>
        <v/>
      </c>
      <c r="BJ11" s="238">
        <f>BI11*0.5</f>
        <v/>
      </c>
      <c r="BK11" s="238">
        <f>COUNTIF(A11:AI11,"*$AM*")</f>
        <v/>
      </c>
      <c r="BL11" s="238">
        <f>BK11*0.5</f>
        <v/>
      </c>
      <c r="BM11" s="238">
        <f>COUNTIF(A11:AI11,"*$FC*")</f>
        <v/>
      </c>
      <c r="BN11" s="238">
        <f>BM11*1</f>
        <v/>
      </c>
      <c r="BO11" s="238">
        <f>COUNTIF($D11:$AA11,BO$4)</f>
        <v/>
      </c>
      <c r="BP11" s="238">
        <f>COUNTIF($D11:$AA11,BP$4)</f>
        <v/>
      </c>
      <c r="BQ11" s="238">
        <f>COUNTIF($D11:$AA11,BQ$4)</f>
        <v/>
      </c>
      <c r="BR11" s="240" t="n"/>
    </row>
    <row r="12" ht="19.5" customHeight="1">
      <c r="A12" s="233" t="n"/>
      <c r="B12" s="268" t="inlineStr">
        <is>
          <t xml:space="preserve">PTE KOO YI XIAN RAPHAEL </t>
        </is>
      </c>
      <c r="C12" s="136" t="n"/>
      <c r="D12" s="136" t="n"/>
      <c r="E12" s="75" t="inlineStr">
        <is>
          <t>Outfield Reserve</t>
        </is>
      </c>
      <c r="F12" s="136" t="inlineStr">
        <is>
          <t>RESERVE</t>
        </is>
      </c>
      <c r="G12" s="137" t="inlineStr">
        <is>
          <t>F $AM RM (0600-1100)</t>
        </is>
      </c>
      <c r="H12" s="136" t="inlineStr">
        <is>
          <t>SB1</t>
        </is>
      </c>
      <c r="I12" s="75" t="n"/>
      <c r="J12" s="137" t="n"/>
      <c r="K12" s="241" t="inlineStr">
        <is>
          <t>PHLEBO</t>
        </is>
      </c>
      <c r="L12" s="241" t="inlineStr">
        <is>
          <t>PHLEBO</t>
        </is>
      </c>
      <c r="M12" s="241" t="inlineStr">
        <is>
          <t>PHLEBO</t>
        </is>
      </c>
      <c r="O12" s="1" t="inlineStr">
        <is>
          <t>AL</t>
        </is>
      </c>
      <c r="P12" s="136" t="n"/>
      <c r="Q12" s="136" t="n"/>
      <c r="R12" s="75" t="n"/>
      <c r="S12" s="75" t="n"/>
      <c r="T12" s="75" t="n"/>
      <c r="U12" s="75" t="inlineStr">
        <is>
          <t>SHADOW CS</t>
        </is>
      </c>
      <c r="V12" s="75" t="inlineStr">
        <is>
          <t>CS1</t>
        </is>
      </c>
      <c r="W12" s="75" t="n"/>
      <c r="X12" s="75" t="n"/>
      <c r="Y12" s="75" t="n"/>
      <c r="Z12" s="75" t="inlineStr">
        <is>
          <t>AE</t>
        </is>
      </c>
      <c r="AA12" s="136" t="inlineStr">
        <is>
          <t>A $PM SOC (1530-2000)</t>
        </is>
      </c>
      <c r="AB12" s="53" t="inlineStr">
        <is>
          <t>MEDICAL RECCE</t>
        </is>
      </c>
      <c r="AC12" s="75" t="inlineStr">
        <is>
          <t>R $AM ER (0500-1000)</t>
        </is>
      </c>
      <c r="AD12" s="136" t="n"/>
      <c r="AE12" s="75" t="n"/>
      <c r="AF12" s="75" t="n"/>
      <c r="AG12" s="75" t="n"/>
      <c r="AH12" s="197" t="n"/>
      <c r="AI12" s="237">
        <f>COUNTIF($D12:$AE12,AI$4)</f>
        <v/>
      </c>
      <c r="AJ12" s="248">
        <f>COUNTIF($D12:$AE12,AJ$4)</f>
        <v/>
      </c>
      <c r="AK12" s="237">
        <f>COUNTIF($D12:$AE12,AK$4)</f>
        <v/>
      </c>
      <c r="AL12" s="237">
        <f>COUNTIF($D12:$AE12,AL$4)</f>
        <v/>
      </c>
      <c r="AM12" s="238">
        <f>COUNTIF($D12:$AE12,AM$4)</f>
        <v/>
      </c>
      <c r="AN12" s="238">
        <f>COUNTIF($D12:$AE12,AN$4)</f>
        <v/>
      </c>
      <c r="AO12" s="238">
        <f>COUNTIF($D12:$AE12,AO$4)</f>
        <v/>
      </c>
      <c r="AP12" s="238">
        <f>COUNTIF($D12:$AE12,AP$4)</f>
        <v/>
      </c>
      <c r="AQ12" s="238">
        <f>COUNTIF($D12:$AE12,AQ$4)</f>
        <v/>
      </c>
      <c r="AR12" s="238" t="n"/>
      <c r="AS12" s="239" t="n">
        <v>1.5</v>
      </c>
      <c r="AT12" s="239" t="n"/>
      <c r="AU12" s="238">
        <f>SUMPRODUCT(--(WEEKDAY(C$3:AG$3,2)&lt;5),--ISNUMBER(MATCH(C12:AG12,{"DM","CS1","CS2","SB1","AE","CS/B"},0)))</f>
        <v/>
      </c>
      <c r="AV12" s="238" t="n"/>
      <c r="AW12" s="238">
        <f>SUMPRODUCT(--(WEEKDAY(C$3:AG$3,2)=5),--ISNUMBER(MATCH(C12:AG12,{"DM","CS1","CS2","SB1","AE","CS/B"},0)))</f>
        <v/>
      </c>
      <c r="AX12" s="238">
        <f>SUMPRODUCT(--(WEEKDAY(C$3:AG$3,2)&gt;5),--ISNUMBER(MATCH(C12:AG12,{"DM","CS1","CS2","SB1","AE","CS/B"},0)))</f>
        <v/>
      </c>
      <c r="AY12" s="238" t="n"/>
      <c r="AZ12" s="238">
        <f>(AU12-AV12)+AW12*1.5+(AX12-AY12)*2+AN12*0.5+AP12*0.5+AS12-AT12</f>
        <v/>
      </c>
      <c r="BA12" s="238">
        <f>AU12+AW12+AX12</f>
        <v/>
      </c>
      <c r="BB12" s="238">
        <f>BE12+BG12+BI12+BK12+BM12</f>
        <v/>
      </c>
      <c r="BC12" s="239">
        <f>AZ12+BD12</f>
        <v/>
      </c>
      <c r="BD12" s="238">
        <f>BF12+BH12+BJ12+BL12+BN12</f>
        <v/>
      </c>
      <c r="BE12" s="238">
        <f>COUNTIF(A12:AI12,"*$BTP*")</f>
        <v/>
      </c>
      <c r="BF12" s="238">
        <f>BE12*1.5</f>
        <v/>
      </c>
      <c r="BG12" s="238">
        <f>COUNTIF(A12:AI12,"*$M*")</f>
        <v/>
      </c>
      <c r="BH12" s="238">
        <f>BG12*1</f>
        <v/>
      </c>
      <c r="BI12" s="238">
        <f>COUNTIF(A12:AI12,"*$PM*")</f>
        <v/>
      </c>
      <c r="BJ12" s="238">
        <f>BI12*0.5</f>
        <v/>
      </c>
      <c r="BK12" s="238">
        <f>COUNTIF(A12:AI12,"*$AM*")</f>
        <v/>
      </c>
      <c r="BL12" s="238">
        <f>BK12*0.5</f>
        <v/>
      </c>
      <c r="BM12" s="238">
        <f>COUNTIF(A12:AI12,"*$FC*")</f>
        <v/>
      </c>
      <c r="BN12" s="238">
        <f>BM12*1</f>
        <v/>
      </c>
      <c r="BO12" s="238">
        <f>COUNTIF($D12:$AA12,BO$4)</f>
        <v/>
      </c>
      <c r="BP12" s="238">
        <f>COUNTIF($D12:$AA12,BP$4)</f>
        <v/>
      </c>
      <c r="BQ12" s="238">
        <f>COUNTIF($D12:$AA12,BQ$4)</f>
        <v/>
      </c>
      <c r="BR12" s="240" t="n"/>
    </row>
    <row r="13" ht="19.5" customHeight="1">
      <c r="A13" s="233" t="n"/>
      <c r="B13" s="185" t="inlineStr">
        <is>
          <t xml:space="preserve">CPL SEE WEI ZHI </t>
        </is>
      </c>
      <c r="C13" s="137" t="n"/>
      <c r="D13" s="136" t="n"/>
      <c r="E13" s="136" t="n"/>
      <c r="F13" s="136" t="n"/>
      <c r="G13" s="136" t="n"/>
      <c r="H13" s="137" t="n"/>
      <c r="I13" s="137" t="n"/>
      <c r="J13" s="137" t="n"/>
      <c r="K13" s="137" t="n"/>
      <c r="L13" s="137" t="n"/>
      <c r="M13" s="137" t="n"/>
      <c r="N13" s="137" t="n"/>
      <c r="O13" s="137" t="n"/>
      <c r="P13" s="137" t="n"/>
      <c r="Q13" s="137" t="n"/>
      <c r="R13" s="137" t="n"/>
      <c r="S13" s="137" t="n"/>
      <c r="T13" s="137" t="n"/>
      <c r="U13" s="137" t="inlineStr">
        <is>
          <t>AL</t>
        </is>
      </c>
      <c r="V13" s="137" t="inlineStr">
        <is>
          <t>AL</t>
        </is>
      </c>
      <c r="W13" s="137" t="n"/>
      <c r="X13" s="137" t="n"/>
      <c r="Y13" s="137" t="n"/>
      <c r="Z13" s="137" t="n"/>
      <c r="AA13" s="137" t="n"/>
      <c r="AB13" s="137" t="n"/>
      <c r="AC13" s="137" t="inlineStr">
        <is>
          <t>AL</t>
        </is>
      </c>
      <c r="AD13" s="137" t="n"/>
      <c r="AE13" s="137" t="n"/>
      <c r="AF13" s="137" t="n"/>
      <c r="AG13" s="137" t="n"/>
      <c r="AH13" s="197" t="n"/>
      <c r="AI13" s="237">
        <f>COUNTIF($D13:$AE13,AI$4)</f>
        <v/>
      </c>
      <c r="AJ13" s="248">
        <f>COUNTIF($D13:$AE13,AJ$4)</f>
        <v/>
      </c>
      <c r="AK13" s="237">
        <f>COUNTIF($D13:$AE13,AK$4)</f>
        <v/>
      </c>
      <c r="AL13" s="237">
        <f>COUNTIF($D13:$AE13,AL$4)</f>
        <v/>
      </c>
      <c r="AM13" s="238">
        <f>COUNTIF($D13:$AE13,AM$4)</f>
        <v/>
      </c>
      <c r="AN13" s="238">
        <f>COUNTIF($D13:$AE13,AN$4)</f>
        <v/>
      </c>
      <c r="AO13" s="238">
        <f>COUNTIF($D13:$AE13,AO$4)</f>
        <v/>
      </c>
      <c r="AP13" s="238">
        <f>COUNTIF($D13:$AE13,AP$4)</f>
        <v/>
      </c>
      <c r="AQ13" s="238">
        <f>COUNTIF($D13:$AE13,AQ$4)</f>
        <v/>
      </c>
      <c r="AR13" s="238" t="n"/>
      <c r="AS13" s="239" t="n"/>
      <c r="AT13" s="239" t="n"/>
      <c r="AU13" s="238">
        <f>SUMPRODUCT(--(WEEKDAY(C$3:AG$3,2)&lt;5),--ISNUMBER(MATCH(C13:AG13,{"DM","CS1","CS2","SB1","AE","CS/B"},0)))</f>
        <v/>
      </c>
      <c r="AV13" s="238" t="n"/>
      <c r="AW13" s="238">
        <f>SUMPRODUCT(--(WEEKDAY(C$3:AG$3,2)=5),--ISNUMBER(MATCH(C13:AG13,{"DM","CS1","CS2","SB1","AE","CS/B"},0)))</f>
        <v/>
      </c>
      <c r="AX13" s="238">
        <f>SUMPRODUCT(--(WEEKDAY(C$3:AG$3,2)&gt;5),--ISNUMBER(MATCH(C13:AG13,{"DM","CS1","CS2","SB1","AE","CS/B"},0)))</f>
        <v/>
      </c>
      <c r="AY13" s="238" t="n"/>
      <c r="AZ13" s="238">
        <f>(AU13-AV13)+AW13*1.5+(AX13-AY13)*2+AN13*0.5+AP13*0.5+AS13-AT13</f>
        <v/>
      </c>
      <c r="BA13" s="238">
        <f>AU13+AW13+AX13</f>
        <v/>
      </c>
      <c r="BB13" s="238">
        <f>BE13+BG13+BI13+BK13+BM13</f>
        <v/>
      </c>
      <c r="BC13" s="239">
        <f>AZ13+BD13</f>
        <v/>
      </c>
      <c r="BD13" s="238">
        <f>BF13+BH13+BJ13+BL13+BN13</f>
        <v/>
      </c>
      <c r="BE13" s="238">
        <f>COUNTIF(A13:AI13,"*$BTP*")</f>
        <v/>
      </c>
      <c r="BF13" s="238">
        <f>BE13*1.5</f>
        <v/>
      </c>
      <c r="BG13" s="238">
        <f>COUNTIF(A13:AI13,"*$M*")</f>
        <v/>
      </c>
      <c r="BH13" s="238">
        <f>BG13*1</f>
        <v/>
      </c>
      <c r="BI13" s="238">
        <f>COUNTIF(A13:AI13,"*$PM*")</f>
        <v/>
      </c>
      <c r="BJ13" s="238">
        <f>BI13*0.5</f>
        <v/>
      </c>
      <c r="BK13" s="238">
        <f>COUNTIF(A13:AI13,"*$AM*")</f>
        <v/>
      </c>
      <c r="BL13" s="238">
        <f>BK13*0.5</f>
        <v/>
      </c>
      <c r="BM13" s="238">
        <f>COUNTIF(A13:AI13,"*$FC*")</f>
        <v/>
      </c>
      <c r="BN13" s="238">
        <f>BM13*1</f>
        <v/>
      </c>
      <c r="BO13" s="238">
        <f>COUNTIF($D13:$AA13,BO$4)</f>
        <v/>
      </c>
      <c r="BP13" s="238">
        <f>COUNTIF($D13:$AA13,BP$4)</f>
        <v/>
      </c>
      <c r="BQ13" s="238">
        <f>COUNTIF($D13:$AA13,BQ$4)</f>
        <v/>
      </c>
      <c r="BR13" s="240" t="n"/>
    </row>
    <row r="14" ht="19.5" customHeight="1">
      <c r="A14" s="233" t="n"/>
      <c r="B14" s="185" t="inlineStr">
        <is>
          <t>CPL SAMUEL TAN ENG WEE</t>
        </is>
      </c>
      <c r="C14" s="75" t="inlineStr">
        <is>
          <t>RESERVE</t>
        </is>
      </c>
      <c r="D14" s="75" t="inlineStr">
        <is>
          <t>SB2</t>
        </is>
      </c>
      <c r="E14" s="136" t="n"/>
      <c r="F14" s="136" t="n"/>
      <c r="G14" s="136" t="inlineStr">
        <is>
          <t>COVER RESERVE</t>
        </is>
      </c>
      <c r="H14" s="136" t="n"/>
      <c r="I14" s="136" t="n"/>
      <c r="J14" s="137" t="n"/>
      <c r="K14" s="136" t="inlineStr">
        <is>
          <t>CS1</t>
        </is>
      </c>
      <c r="L14" s="136" t="n"/>
      <c r="M14" s="75" t="inlineStr">
        <is>
          <t>F $AM IPPT (0500-1100)</t>
        </is>
      </c>
      <c r="O14" s="1" t="inlineStr">
        <is>
          <t>CS1</t>
        </is>
      </c>
      <c r="P14" s="241" t="n"/>
      <c r="R14" s="75" t="n"/>
      <c r="S14" s="75" t="n"/>
      <c r="T14" s="75" t="n"/>
      <c r="U14" s="137" t="inlineStr">
        <is>
          <t>CS/B</t>
        </is>
      </c>
      <c r="V14" s="75" t="inlineStr">
        <is>
          <t>COVER RESERVE</t>
        </is>
      </c>
      <c r="W14" s="145" t="n"/>
      <c r="X14" s="145" t="inlineStr">
        <is>
          <t>CS1</t>
        </is>
      </c>
      <c r="Y14" s="75" t="n"/>
      <c r="AA14" s="137" t="inlineStr">
        <is>
          <t>SCH 1 RE-IPPT $AM (0500-1100)</t>
        </is>
      </c>
      <c r="AB14" s="53" t="inlineStr">
        <is>
          <t>MEDICAL RECCE</t>
        </is>
      </c>
      <c r="AC14" s="241" t="n"/>
      <c r="AD14" s="241" t="n"/>
      <c r="AE14" s="75" t="n"/>
      <c r="AF14" s="75" t="n"/>
      <c r="AG14" s="75" t="n"/>
      <c r="AH14" s="197" t="n"/>
      <c r="AI14" s="237">
        <f>COUNTIF($D14:$AE14,AI$4)</f>
        <v/>
      </c>
      <c r="AJ14" s="248">
        <f>COUNTIF($D14:$AE14,AJ$4)</f>
        <v/>
      </c>
      <c r="AK14" s="237">
        <f>COUNTIF($D14:$AE14,AK$4)</f>
        <v/>
      </c>
      <c r="AL14" s="237">
        <f>COUNTIF($D14:$AE14,AL$4)</f>
        <v/>
      </c>
      <c r="AM14" s="238">
        <f>COUNTIF($D14:$AE14,AM$4)</f>
        <v/>
      </c>
      <c r="AN14" s="238">
        <f>COUNTIF($D14:$AE14,AN$4)</f>
        <v/>
      </c>
      <c r="AO14" s="238">
        <f>COUNTIF($D14:$AE14,AO$4)</f>
        <v/>
      </c>
      <c r="AP14" s="238">
        <f>COUNTIF($D14:$AE14,AP$4)</f>
        <v/>
      </c>
      <c r="AQ14" s="238">
        <f>COUNTIF($D14:$AE14,AQ$4)</f>
        <v/>
      </c>
      <c r="AR14" s="238" t="n"/>
      <c r="AS14" s="239" t="n"/>
      <c r="AT14" s="239" t="n">
        <v>0.5</v>
      </c>
      <c r="AU14" s="238">
        <f>SUMPRODUCT(--(WEEKDAY(C$3:AG$3,2)&lt;5),--ISNUMBER(MATCH(C14:AG14,{"DM","CS1","CS2","SB1","AE","CS/B"},0)))</f>
        <v/>
      </c>
      <c r="AV14" s="238" t="n"/>
      <c r="AW14" s="238">
        <f>SUMPRODUCT(--(WEEKDAY(C$3:AG$3,2)=5),--ISNUMBER(MATCH(C14:AG14,{"DM","CS1","CS2","SB1","AE","CS/B"},0)))</f>
        <v/>
      </c>
      <c r="AX14" s="238">
        <f>SUMPRODUCT(--(WEEKDAY(C$3:AG$3,2)&gt;5),--ISNUMBER(MATCH(C14:AG14,{"DM","CS1","CS2","SB1","AE","CS/B"},0)))</f>
        <v/>
      </c>
      <c r="AY14" s="238" t="n"/>
      <c r="AZ14" s="238">
        <f>(AU14-AV14)+AW14*1.5+(AX14-AY14)*2+AN14*0.5+AP14*0.5+AS14-AT14</f>
        <v/>
      </c>
      <c r="BA14" s="238">
        <f>AU14+AW14+AX14</f>
        <v/>
      </c>
      <c r="BB14" s="238">
        <f>BE14+BG14+BI14+BK14+BM14</f>
        <v/>
      </c>
      <c r="BC14" s="239">
        <f>AZ14+BD14</f>
        <v/>
      </c>
      <c r="BD14" s="238">
        <f>BF14+BH14+BJ14+BL14+BN14</f>
        <v/>
      </c>
      <c r="BE14" s="238">
        <f>COUNTIF(A14:AI14,"*$BTP*")</f>
        <v/>
      </c>
      <c r="BF14" s="238">
        <f>BE14*1.5</f>
        <v/>
      </c>
      <c r="BG14" s="238">
        <f>COUNTIF(A14:AI14,"*$M*")</f>
        <v/>
      </c>
      <c r="BH14" s="238">
        <f>BG14*1</f>
        <v/>
      </c>
      <c r="BI14" s="238">
        <f>COUNTIF(A14:AI14,"*$PM*")</f>
        <v/>
      </c>
      <c r="BJ14" s="238">
        <f>BI14*0.5</f>
        <v/>
      </c>
      <c r="BK14" s="238">
        <f>COUNTIF(A14:AI14,"*$AM*")</f>
        <v/>
      </c>
      <c r="BL14" s="238">
        <f>BK14*0.5</f>
        <v/>
      </c>
      <c r="BM14" s="238">
        <f>COUNTIF(A14:AI14,"*$FC*")</f>
        <v/>
      </c>
      <c r="BN14" s="238">
        <f>BM14*1</f>
        <v/>
      </c>
      <c r="BO14" s="238">
        <f>COUNTIF($D14:$AA14,BO$4)</f>
        <v/>
      </c>
      <c r="BP14" s="238">
        <f>COUNTIF($D14:$AA14,BP$4)</f>
        <v/>
      </c>
      <c r="BQ14" s="238">
        <f>COUNTIF($D14:$AA14,BQ$4)</f>
        <v/>
      </c>
      <c r="BR14" s="240" t="n"/>
    </row>
    <row r="15" ht="24" customHeight="1">
      <c r="A15" s="233" t="n"/>
      <c r="B15" s="191" t="inlineStr">
        <is>
          <t>LCP MATTHEW HWANG YEW SENG</t>
        </is>
      </c>
      <c r="C15" s="137" t="inlineStr">
        <is>
          <t>CS1</t>
        </is>
      </c>
      <c r="D15" s="137" t="n"/>
      <c r="E15" s="137" t="inlineStr">
        <is>
          <t>SB1</t>
        </is>
      </c>
      <c r="F15" s="137" t="n"/>
      <c r="G15" s="136" t="inlineStr">
        <is>
          <t>COVER RESERVE</t>
        </is>
      </c>
      <c r="H15" s="136" t="inlineStr">
        <is>
          <t>COHESION</t>
        </is>
      </c>
      <c r="I15" s="137" t="inlineStr">
        <is>
          <t>CS1</t>
        </is>
      </c>
      <c r="J15" s="136" t="n"/>
      <c r="K15" s="136" t="n"/>
      <c r="L15" s="136" t="n"/>
      <c r="M15" s="136" t="n"/>
      <c r="N15" s="75" t="inlineStr">
        <is>
          <t>A $AM IPPT (0500-1100)</t>
        </is>
      </c>
      <c r="O15" s="75" t="n"/>
      <c r="P15" s="137" t="inlineStr">
        <is>
          <t>OL</t>
        </is>
      </c>
      <c r="Q15" s="137" t="inlineStr">
        <is>
          <t>OL</t>
        </is>
      </c>
      <c r="R15" s="137" t="inlineStr">
        <is>
          <t>OL</t>
        </is>
      </c>
      <c r="S15" s="137" t="inlineStr">
        <is>
          <t>OL</t>
        </is>
      </c>
      <c r="T15" s="137" t="inlineStr">
        <is>
          <t>OL</t>
        </is>
      </c>
      <c r="U15" s="136" t="inlineStr">
        <is>
          <t>CS1</t>
        </is>
      </c>
      <c r="V15" s="75" t="n"/>
      <c r="W15" s="244" t="inlineStr">
        <is>
          <t>OL</t>
        </is>
      </c>
      <c r="X15" s="244" t="inlineStr">
        <is>
          <t>OL</t>
        </is>
      </c>
      <c r="Y15" s="244" t="inlineStr">
        <is>
          <t>OL</t>
        </is>
      </c>
      <c r="Z15" s="244" t="inlineStr">
        <is>
          <t>OL</t>
        </is>
      </c>
      <c r="AA15" s="244" t="inlineStr">
        <is>
          <t>OL</t>
        </is>
      </c>
      <c r="AB15" s="136" t="inlineStr">
        <is>
          <t>SB2</t>
        </is>
      </c>
      <c r="AC15" s="244" t="n"/>
      <c r="AD15" s="244" t="n"/>
      <c r="AE15" s="137" t="n"/>
      <c r="AF15" s="137" t="n"/>
      <c r="AG15" s="137" t="n"/>
      <c r="AH15" s="197" t="n"/>
      <c r="AI15" s="237">
        <f>COUNTIF($D15:$AE15,AI$4)</f>
        <v/>
      </c>
      <c r="AJ15" s="248">
        <f>COUNTIF($D15:$AE15,AJ$4)</f>
        <v/>
      </c>
      <c r="AK15" s="237">
        <f>COUNTIF($D15:$AE15,AK$4)</f>
        <v/>
      </c>
      <c r="AL15" s="237">
        <f>COUNTIF($D15:$AE15,AL$4)</f>
        <v/>
      </c>
      <c r="AM15" s="238">
        <f>COUNTIF($D15:$AE15,AM$4)</f>
        <v/>
      </c>
      <c r="AN15" s="238">
        <f>COUNTIF($D15:$AE15,AN$4)</f>
        <v/>
      </c>
      <c r="AO15" s="238">
        <f>COUNTIF($D15:$AE15,AO$4)</f>
        <v/>
      </c>
      <c r="AP15" s="238">
        <f>COUNTIF($D15:$AE15,AP$4)</f>
        <v/>
      </c>
      <c r="AQ15" s="238">
        <f>COUNTIF($D15:$AE15,AQ$4)</f>
        <v/>
      </c>
      <c r="AR15" s="238" t="n"/>
      <c r="AS15" s="239" t="n"/>
      <c r="AT15" s="239" t="n">
        <v>0.5</v>
      </c>
      <c r="AU15" s="238">
        <f>SUMPRODUCT(--(WEEKDAY(C$3:AG$3,2)&lt;5),--ISNUMBER(MATCH(C15:AG15,{"DM","CS1","CS2","SB1","AE","CS/B"},0)))</f>
        <v/>
      </c>
      <c r="AV15" s="238" t="n"/>
      <c r="AW15" s="238">
        <f>SUMPRODUCT(--(WEEKDAY(C$3:AG$3,2)=5),--ISNUMBER(MATCH(C15:AG15,{"DM","CS1","CS2","SB1","AE","CS/B"},0)))</f>
        <v/>
      </c>
      <c r="AX15" s="238">
        <f>SUMPRODUCT(--(WEEKDAY(C$3:AG$3,2)&gt;5),--ISNUMBER(MATCH(C15:AG15,{"DM","CS1","CS2","SB1","AE","CS/B"},0)))</f>
        <v/>
      </c>
      <c r="AY15" s="238" t="n"/>
      <c r="AZ15" s="238">
        <f>(AU15-AV15)+AW15*1.5+(AX15-AY15)*2+AN15*0.5+AP15*0.5+AS15-AT15</f>
        <v/>
      </c>
      <c r="BA15" s="238">
        <f>AU15+AW15+AX15</f>
        <v/>
      </c>
      <c r="BB15" s="238">
        <f>BE15+BG15+BI15+BK15+BM15</f>
        <v/>
      </c>
      <c r="BC15" s="239">
        <f>AZ15+BD15</f>
        <v/>
      </c>
      <c r="BD15" s="238">
        <f>BF15+BH15+BJ15+BL15+BN15</f>
        <v/>
      </c>
      <c r="BE15" s="238">
        <f>COUNTIF(A15:AI15,"*$BTP*")</f>
        <v/>
      </c>
      <c r="BF15" s="238">
        <f>BE15*1.5</f>
        <v/>
      </c>
      <c r="BG15" s="238">
        <f>COUNTIF(A15:AI15,"*$M*")</f>
        <v/>
      </c>
      <c r="BH15" s="238">
        <f>BG15*1</f>
        <v/>
      </c>
      <c r="BI15" s="238">
        <f>COUNTIF(A15:AI15,"*$PM*")</f>
        <v/>
      </c>
      <c r="BJ15" s="238">
        <f>BI15*0.5</f>
        <v/>
      </c>
      <c r="BK15" s="238">
        <f>COUNTIF(A15:AI15,"*$AM*")</f>
        <v/>
      </c>
      <c r="BL15" s="238">
        <f>BK15*0.5</f>
        <v/>
      </c>
      <c r="BM15" s="238">
        <f>COUNTIF(A15:AI15,"*$FC*")</f>
        <v/>
      </c>
      <c r="BN15" s="238">
        <f>BM15*1</f>
        <v/>
      </c>
      <c r="BO15" s="238">
        <f>COUNTIF($D15:$AA15,BO$4)</f>
        <v/>
      </c>
      <c r="BP15" s="238">
        <f>COUNTIF($D15:$AA15,BP$4)</f>
        <v/>
      </c>
      <c r="BQ15" s="238">
        <f>COUNTIF($D15:$AA15,BQ$4)</f>
        <v/>
      </c>
      <c r="BR15" s="240" t="n"/>
    </row>
    <row r="16" ht="19.5" customHeight="1">
      <c r="A16" s="233" t="n"/>
      <c r="B16" s="269" t="inlineStr">
        <is>
          <t xml:space="preserve">PTE IGNATIUS QUEK </t>
        </is>
      </c>
      <c r="C16" s="75" t="n"/>
      <c r="D16" s="241" t="inlineStr">
        <is>
          <t>xmas oil</t>
        </is>
      </c>
      <c r="E16" s="242" t="inlineStr">
        <is>
          <t>Al</t>
        </is>
      </c>
      <c r="F16" s="242" t="inlineStr">
        <is>
          <t>al</t>
        </is>
      </c>
      <c r="G16" s="242" t="inlineStr">
        <is>
          <t>al</t>
        </is>
      </c>
      <c r="H16" s="242" t="inlineStr">
        <is>
          <t>al</t>
        </is>
      </c>
      <c r="I16" s="75" t="n"/>
      <c r="J16" s="75" t="n"/>
      <c r="K16" s="75" t="inlineStr">
        <is>
          <t>P $AM IPPT (0500-1000)</t>
        </is>
      </c>
      <c r="L16" s="136" t="inlineStr">
        <is>
          <t>SHADOW SENDOUT</t>
        </is>
      </c>
      <c r="M16" s="136" t="inlineStr">
        <is>
          <t>COVER RESERVE</t>
        </is>
      </c>
      <c r="N16" s="136" t="inlineStr">
        <is>
          <t>AE</t>
        </is>
      </c>
      <c r="O16" s="136" t="inlineStr">
        <is>
          <t>SB2</t>
        </is>
      </c>
      <c r="P16" s="75" t="inlineStr">
        <is>
          <t>CS2</t>
        </is>
      </c>
      <c r="Q16" s="75" t="n"/>
      <c r="R16" s="75" t="n"/>
      <c r="S16" s="75" t="n"/>
      <c r="T16" s="75" t="n"/>
      <c r="U16" s="75" t="inlineStr">
        <is>
          <t>AE</t>
        </is>
      </c>
      <c r="V16" s="136" t="n"/>
      <c r="W16" s="75" t="inlineStr">
        <is>
          <t>CS1</t>
        </is>
      </c>
      <c r="X16" s="75" t="n"/>
      <c r="Y16" s="75" t="n"/>
      <c r="Z16" s="136" t="n"/>
      <c r="AA16" s="136" t="inlineStr">
        <is>
          <t>AE</t>
        </is>
      </c>
      <c r="AB16" s="53" t="inlineStr">
        <is>
          <t>MEDICAL RECCE</t>
        </is>
      </c>
      <c r="AC16" s="75" t="inlineStr">
        <is>
          <t>RESERVE</t>
        </is>
      </c>
      <c r="AD16" s="75" t="n"/>
      <c r="AE16" s="75" t="n"/>
      <c r="AF16" s="75" t="n"/>
      <c r="AG16" s="75" t="n"/>
      <c r="AH16" s="197" t="n"/>
      <c r="AI16" s="237">
        <f>COUNTIF($D16:$AE16,AI$4)</f>
        <v/>
      </c>
      <c r="AJ16" s="248">
        <f>COUNTIF($D16:$AE16,AJ$4)</f>
        <v/>
      </c>
      <c r="AK16" s="237">
        <f>COUNTIF($D16:$AE16,AK$4)</f>
        <v/>
      </c>
      <c r="AL16" s="237">
        <f>COUNTIF($D16:$AE16,AL$4)</f>
        <v/>
      </c>
      <c r="AM16" s="238">
        <f>COUNTIF($D16:$AE16,AM$4)</f>
        <v/>
      </c>
      <c r="AN16" s="238">
        <f>COUNTIF($D16:$AE16,AN$4)</f>
        <v/>
      </c>
      <c r="AO16" s="238">
        <f>COUNTIF($D16:$AE16,AO$4)</f>
        <v/>
      </c>
      <c r="AP16" s="238">
        <f>COUNTIF($D16:$AE16,AP$4)</f>
        <v/>
      </c>
      <c r="AQ16" s="238">
        <f>COUNTIF($D16:$AE16,AQ$4)</f>
        <v/>
      </c>
      <c r="AR16" s="238" t="n"/>
      <c r="AS16" s="239" t="n"/>
      <c r="AT16" s="239" t="n">
        <v>1</v>
      </c>
      <c r="AU16" s="238">
        <f>SUMPRODUCT(--(WEEKDAY(C$3:AG$3,2)&lt;5),--ISNUMBER(MATCH(C16:AG16,{"DM","CS1","CS2","SB1","AE","CS/B"},0)))</f>
        <v/>
      </c>
      <c r="AV16" s="238" t="n"/>
      <c r="AW16" s="238">
        <f>SUMPRODUCT(--(WEEKDAY(C$3:AG$3,2)=5),--ISNUMBER(MATCH(C16:AG16,{"DM","CS1","CS2","SB1","AE","CS/B"},0)))</f>
        <v/>
      </c>
      <c r="AX16" s="238">
        <f>SUMPRODUCT(--(WEEKDAY(C$3:AG$3,2)&gt;5),--ISNUMBER(MATCH(C16:AG16,{"DM","CS1","CS2","SB1","AE","CS/B"},0)))</f>
        <v/>
      </c>
      <c r="AY16" s="238" t="n"/>
      <c r="AZ16" s="238">
        <f>(AU16-AV16)+AW16*1.5+(AX16-AY16)*2+AN16*0.5+AP16*0.5+AS16-AT16</f>
        <v/>
      </c>
      <c r="BA16" s="238">
        <f>AU16+AW16+AX16</f>
        <v/>
      </c>
      <c r="BB16" s="238">
        <f>BE16+BG16+BI16+BK16+BM16</f>
        <v/>
      </c>
      <c r="BC16" s="239">
        <f>AZ16+BD16</f>
        <v/>
      </c>
      <c r="BD16" s="238">
        <f>BF16+BH16+BJ16+BL16+BN16</f>
        <v/>
      </c>
      <c r="BE16" s="238">
        <f>COUNTIF(A16:AI16,"*$BTP*")</f>
        <v/>
      </c>
      <c r="BF16" s="238">
        <f>BE16*1.5</f>
        <v/>
      </c>
      <c r="BG16" s="238">
        <f>COUNTIF(A16:AI16,"*$M*")</f>
        <v/>
      </c>
      <c r="BH16" s="238">
        <f>BG16*1</f>
        <v/>
      </c>
      <c r="BI16" s="238">
        <f>COUNTIF(A16:AI16,"*$PM*")</f>
        <v/>
      </c>
      <c r="BJ16" s="238">
        <f>BI16*0.5</f>
        <v/>
      </c>
      <c r="BK16" s="238">
        <f>COUNTIF(A16:AI16,"*$AM*")</f>
        <v/>
      </c>
      <c r="BL16" s="238">
        <f>BK16*0.5</f>
        <v/>
      </c>
      <c r="BM16" s="238">
        <f>COUNTIF(A16:AI16,"*$FC*")</f>
        <v/>
      </c>
      <c r="BN16" s="238">
        <f>BM16*1</f>
        <v/>
      </c>
      <c r="BO16" s="238">
        <f>COUNTIF($D16:$AA16,BO$4)</f>
        <v/>
      </c>
      <c r="BP16" s="238">
        <f>COUNTIF($D16:$AA16,BP$4)</f>
        <v/>
      </c>
      <c r="BQ16" s="238">
        <f>COUNTIF($D16:$AA16,BQ$4)</f>
        <v/>
      </c>
      <c r="BR16" s="240" t="n"/>
    </row>
    <row r="17" ht="19.5" customHeight="1">
      <c r="A17" s="233" t="n"/>
      <c r="B17" s="268" t="inlineStr">
        <is>
          <t>PTE MENDEZ RALPH JUSTINE MACALINO</t>
        </is>
      </c>
      <c r="C17" s="137" t="inlineStr">
        <is>
          <t>SERVE+</t>
        </is>
      </c>
      <c r="D17" s="137" t="inlineStr">
        <is>
          <t>SERVE+</t>
        </is>
      </c>
      <c r="E17" s="137" t="inlineStr">
        <is>
          <t>SERVE+</t>
        </is>
      </c>
      <c r="F17" s="137" t="inlineStr">
        <is>
          <t>SERVE+</t>
        </is>
      </c>
      <c r="G17" s="137" t="inlineStr">
        <is>
          <t>SERVE+</t>
        </is>
      </c>
      <c r="H17" s="137" t="inlineStr">
        <is>
          <t>SERVE+</t>
        </is>
      </c>
      <c r="I17" s="137" t="inlineStr">
        <is>
          <t>SERVE+</t>
        </is>
      </c>
      <c r="J17" s="137" t="inlineStr">
        <is>
          <t>SERVE+</t>
        </is>
      </c>
      <c r="K17" s="137" t="inlineStr">
        <is>
          <t>SERVE+</t>
        </is>
      </c>
      <c r="L17" s="137" t="inlineStr">
        <is>
          <t>SERVE+</t>
        </is>
      </c>
      <c r="M17" s="137" t="inlineStr">
        <is>
          <t>SERVE+</t>
        </is>
      </c>
      <c r="N17" s="137" t="inlineStr">
        <is>
          <t>SERVE+</t>
        </is>
      </c>
      <c r="O17" s="137" t="inlineStr">
        <is>
          <t>SERVE+</t>
        </is>
      </c>
      <c r="P17" s="137" t="inlineStr">
        <is>
          <t>SERVE+</t>
        </is>
      </c>
      <c r="Q17" s="137" t="inlineStr">
        <is>
          <t>SERVE+</t>
        </is>
      </c>
      <c r="R17" s="137" t="inlineStr">
        <is>
          <t>SERVE+</t>
        </is>
      </c>
      <c r="S17" s="137" t="inlineStr">
        <is>
          <t>SERVE+</t>
        </is>
      </c>
      <c r="T17" s="137" t="inlineStr">
        <is>
          <t>SERVE+</t>
        </is>
      </c>
      <c r="U17" s="137" t="inlineStr">
        <is>
          <t>SERVE+</t>
        </is>
      </c>
      <c r="V17" s="137" t="inlineStr">
        <is>
          <t>SERVE+</t>
        </is>
      </c>
      <c r="W17" s="137" t="inlineStr">
        <is>
          <t>SERVE+</t>
        </is>
      </c>
      <c r="X17" s="137" t="inlineStr">
        <is>
          <t>SERVE+</t>
        </is>
      </c>
      <c r="Y17" s="137" t="inlineStr">
        <is>
          <t>SERVE+</t>
        </is>
      </c>
      <c r="Z17" s="137" t="inlineStr">
        <is>
          <t>SERVE+</t>
        </is>
      </c>
      <c r="AA17" s="137" t="inlineStr">
        <is>
          <t>SERVE+</t>
        </is>
      </c>
      <c r="AB17" s="137" t="inlineStr">
        <is>
          <t>SERVE+</t>
        </is>
      </c>
      <c r="AC17" s="137" t="inlineStr">
        <is>
          <t>SERVE+</t>
        </is>
      </c>
      <c r="AD17" s="137" t="inlineStr">
        <is>
          <t>SERVE+</t>
        </is>
      </c>
      <c r="AE17" s="137" t="inlineStr">
        <is>
          <t>SERVE+</t>
        </is>
      </c>
      <c r="AF17" s="137" t="inlineStr">
        <is>
          <t>SERVE+</t>
        </is>
      </c>
      <c r="AG17" s="137" t="inlineStr">
        <is>
          <t>SERVE+</t>
        </is>
      </c>
      <c r="AH17" s="137" t="inlineStr">
        <is>
          <t>SERVE+</t>
        </is>
      </c>
      <c r="AI17" s="237">
        <f>COUNTIF($D17:$AE17,AI$4)</f>
        <v/>
      </c>
      <c r="AJ17" s="248">
        <f>COUNTIF($D17:$AE17,AJ$4)</f>
        <v/>
      </c>
      <c r="AK17" s="237">
        <f>COUNTIF($D17:$AE17,AK$4)</f>
        <v/>
      </c>
      <c r="AL17" s="237">
        <f>COUNTIF($D17:$AE17,AL$4)</f>
        <v/>
      </c>
      <c r="AM17" s="238">
        <f>COUNTIF($D17:$AE17,AM$4)</f>
        <v/>
      </c>
      <c r="AN17" s="238">
        <f>COUNTIF($D17:$AE17,AN$4)</f>
        <v/>
      </c>
      <c r="AO17" s="238">
        <f>COUNTIF($D17:$AE17,AO$4)</f>
        <v/>
      </c>
      <c r="AP17" s="238">
        <f>COUNTIF($D17:$AE17,AP$4)</f>
        <v/>
      </c>
      <c r="AQ17" s="238">
        <f>COUNTIF($D17:$AE17,AQ$4)</f>
        <v/>
      </c>
      <c r="AR17" s="238" t="n"/>
      <c r="AS17" s="239" t="n"/>
      <c r="AT17" s="239" t="n"/>
      <c r="AU17" s="238">
        <f>SUMPRODUCT(--(WEEKDAY(C$3:AG$3,2)&lt;5),--ISNUMBER(MATCH(C17:AG17,{"DM","CS1","CS2","SB1","AE","CS/B"},0)))</f>
        <v/>
      </c>
      <c r="AV17" s="238" t="n"/>
      <c r="AW17" s="238">
        <f>SUMPRODUCT(--(WEEKDAY(C$3:AG$3,2)=5),--ISNUMBER(MATCH(C17:AG17,{"DM","CS1","CS2","SB1","AE","CS/B"},0)))</f>
        <v/>
      </c>
      <c r="AX17" s="238">
        <f>SUMPRODUCT(--(WEEKDAY(C$3:AG$3,2)&gt;5),--ISNUMBER(MATCH(C17:AG17,{"DM","CS1","CS2","SB1","AE","CS/B"},0)))</f>
        <v/>
      </c>
      <c r="AY17" s="238" t="n"/>
      <c r="AZ17" s="238">
        <f>(AU17-AV17)+AW17*1.5+(AX17-AY17)*2+AN17*0.5+AP17*0.5+AS17-AT17</f>
        <v/>
      </c>
      <c r="BA17" s="238">
        <f>AU17+AW17+AX17</f>
        <v/>
      </c>
      <c r="BB17" s="238">
        <f>BE17+BG17+BI17+BK17+BM17</f>
        <v/>
      </c>
      <c r="BC17" s="239">
        <f>AZ17+BD17</f>
        <v/>
      </c>
      <c r="BD17" s="238">
        <f>BF17+BH17+BJ17+BL17+BN17</f>
        <v/>
      </c>
      <c r="BE17" s="238">
        <f>COUNTIF(A17:AI17,"*$BTP*")</f>
        <v/>
      </c>
      <c r="BF17" s="238">
        <f>BE17*1.5</f>
        <v/>
      </c>
      <c r="BG17" s="238">
        <f>COUNTIF(A17:AI17,"*$M*")</f>
        <v/>
      </c>
      <c r="BH17" s="238">
        <f>BG17*1</f>
        <v/>
      </c>
      <c r="BI17" s="238">
        <f>COUNTIF(A17:AI17,"*$PM*")</f>
        <v/>
      </c>
      <c r="BJ17" s="238">
        <f>BI17*0.5</f>
        <v/>
      </c>
      <c r="BK17" s="238">
        <f>COUNTIF(A17:AI17,"*$AM*")</f>
        <v/>
      </c>
      <c r="BL17" s="238">
        <f>BK17*0.5</f>
        <v/>
      </c>
      <c r="BM17" s="238">
        <f>COUNTIF(A17:AI17,"*$FC*")</f>
        <v/>
      </c>
      <c r="BN17" s="238">
        <f>BM17*1</f>
        <v/>
      </c>
      <c r="BO17" s="238">
        <f>COUNTIF($D17:$AA17,BO$4)</f>
        <v/>
      </c>
      <c r="BP17" s="238">
        <f>COUNTIF($D17:$AA17,BP$4)</f>
        <v/>
      </c>
      <c r="BQ17" s="238">
        <f>COUNTIF($D17:$AA17,BQ$4)</f>
        <v/>
      </c>
      <c r="BR17" s="240" t="n"/>
    </row>
    <row r="18" ht="19.5" customHeight="1">
      <c r="A18" s="233" t="n"/>
      <c r="B18" s="270" t="inlineStr">
        <is>
          <t>LCP APPLE YEO</t>
        </is>
      </c>
      <c r="C18" s="75" t="n"/>
      <c r="D18" s="75" t="inlineStr">
        <is>
          <t>DM</t>
        </is>
      </c>
      <c r="E18" s="75" t="n"/>
      <c r="F18" s="75" t="inlineStr">
        <is>
          <t>CS1</t>
        </is>
      </c>
      <c r="G18" s="136" t="n"/>
      <c r="H18" s="137" t="inlineStr">
        <is>
          <t>SB2</t>
        </is>
      </c>
      <c r="I18" s="136" t="n"/>
      <c r="J18" s="136" t="inlineStr">
        <is>
          <t>RESERVE</t>
        </is>
      </c>
      <c r="K18" s="136" t="inlineStr">
        <is>
          <t>CS/B</t>
        </is>
      </c>
      <c r="L18" s="75" t="n"/>
      <c r="N18" s="136" t="n"/>
      <c r="O18" s="136" t="inlineStr">
        <is>
          <t>RESERVE</t>
        </is>
      </c>
      <c r="P18" s="75" t="n"/>
      <c r="Q18" s="75" t="inlineStr">
        <is>
          <t>CS/B</t>
        </is>
      </c>
      <c r="R18" s="75" t="n"/>
      <c r="S18" s="75" t="n"/>
      <c r="T18" s="75" t="n"/>
      <c r="U18" s="75" t="inlineStr">
        <is>
          <t>DM</t>
        </is>
      </c>
      <c r="V18" s="136" t="inlineStr">
        <is>
          <t>SB2</t>
        </is>
      </c>
      <c r="W18" s="75" t="inlineStr">
        <is>
          <t>CS2</t>
        </is>
      </c>
      <c r="X18" s="136" t="n"/>
      <c r="Y18" s="75" t="n"/>
      <c r="Z18" s="136" t="inlineStr">
        <is>
          <t>SB1</t>
        </is>
      </c>
      <c r="AA18" s="136" t="n"/>
      <c r="AB18" s="137" t="inlineStr">
        <is>
          <t>CS1</t>
        </is>
      </c>
      <c r="AD18" s="75" t="n"/>
      <c r="AE18" s="75" t="n"/>
      <c r="AF18" s="75" t="n"/>
      <c r="AG18" s="75" t="n"/>
      <c r="AH18" s="197" t="n"/>
      <c r="AI18" s="237">
        <f>COUNTIF($D18:$AE18,AI$4)</f>
        <v/>
      </c>
      <c r="AJ18" s="248">
        <f>COUNTIF($D18:$AE18,AJ$4)</f>
        <v/>
      </c>
      <c r="AK18" s="237">
        <f>COUNTIF($D18:$AE18,AK$4)</f>
        <v/>
      </c>
      <c r="AL18" s="237">
        <f>COUNTIF($D18:$AE18,AL$4)</f>
        <v/>
      </c>
      <c r="AM18" s="238">
        <f>COUNTIF($D18:$AE18,AM$4)</f>
        <v/>
      </c>
      <c r="AN18" s="238">
        <f>COUNTIF($D18:$AE18,AN$4)</f>
        <v/>
      </c>
      <c r="AO18" s="238">
        <f>COUNTIF($D18:$AE18,AO$4)</f>
        <v/>
      </c>
      <c r="AP18" s="238">
        <f>COUNTIF($D18:$AE18,AP$4)</f>
        <v/>
      </c>
      <c r="AQ18" s="238">
        <f>COUNTIF($D18:$AE18,AQ$4)</f>
        <v/>
      </c>
      <c r="AR18" s="238" t="n"/>
      <c r="AS18" s="239" t="n"/>
      <c r="AT18" s="239" t="n"/>
      <c r="AU18" s="238">
        <f>SUMPRODUCT(--(WEEKDAY(C$3:AG$3,2)&lt;5),--ISNUMBER(MATCH(C18:AG18,{"DM","CS1","CS2","SB1","AE","CS/B"},0)))</f>
        <v/>
      </c>
      <c r="AV18" s="238" t="n"/>
      <c r="AW18" s="238">
        <f>SUMPRODUCT(--(WEEKDAY(C$3:AG$3,2)=5),--ISNUMBER(MATCH(C18:AG18,{"DM","CS1","CS2","SB1","AE","CS/B"},0)))</f>
        <v/>
      </c>
      <c r="AX18" s="238">
        <f>SUMPRODUCT(--(WEEKDAY(C$3:AG$3,2)&gt;5),--ISNUMBER(MATCH(C18:AG18,{"DM","CS1","CS2","SB1","AE","CS/B"},0)))</f>
        <v/>
      </c>
      <c r="AY18" s="238" t="n"/>
      <c r="AZ18" s="238">
        <f>(AU18-AV18)+AW18*1.5+(AX18-AY18)*2+AN18*0.5+AP18*0.5+AS18-AT18</f>
        <v/>
      </c>
      <c r="BA18" s="238">
        <f>AU18+AW18+AX18</f>
        <v/>
      </c>
      <c r="BB18" s="238">
        <f>BE18+BG18+BI18+BK18+BM18</f>
        <v/>
      </c>
      <c r="BC18" s="239">
        <f>AZ18+BD18</f>
        <v/>
      </c>
      <c r="BD18" s="238">
        <f>BF18+BH18+BJ18+BL18+BN18</f>
        <v/>
      </c>
      <c r="BE18" s="238">
        <f>COUNTIF(A18:AI18,"*$BTP*")</f>
        <v/>
      </c>
      <c r="BF18" s="238">
        <f>BE18*1.5</f>
        <v/>
      </c>
      <c r="BG18" s="238">
        <f>COUNTIF(A18:AI18,"*$M*")</f>
        <v/>
      </c>
      <c r="BH18" s="238">
        <f>BG18*1</f>
        <v/>
      </c>
      <c r="BI18" s="238">
        <f>COUNTIF(A18:AI18,"*$PM*")</f>
        <v/>
      </c>
      <c r="BJ18" s="238">
        <f>BI18*0.5</f>
        <v/>
      </c>
      <c r="BK18" s="238">
        <f>COUNTIF(A18:AI18,"*$AM*")</f>
        <v/>
      </c>
      <c r="BL18" s="238">
        <f>BK18*0.5</f>
        <v/>
      </c>
      <c r="BM18" s="238">
        <f>COUNTIF(A18:AI18,"*$FC*")</f>
        <v/>
      </c>
      <c r="BN18" s="238">
        <f>BM18*1</f>
        <v/>
      </c>
      <c r="BO18" s="238">
        <f>COUNTIF($D18:$AA18,BO$4)</f>
        <v/>
      </c>
      <c r="BP18" s="238">
        <f>COUNTIF($D18:$AA18,BP$4)</f>
        <v/>
      </c>
      <c r="BQ18" s="238">
        <f>COUNTIF($D18:$AA18,BQ$4)</f>
        <v/>
      </c>
      <c r="BR18" s="240" t="n"/>
    </row>
    <row r="19" ht="30.75" customHeight="1">
      <c r="A19" s="233" t="n"/>
      <c r="B19" s="271" t="inlineStr">
        <is>
          <t>CPL MUHAMMAD AQIL HAMZAH BIN SYELDRICK</t>
        </is>
      </c>
      <c r="C19" s="244" t="inlineStr">
        <is>
          <t>no more duty</t>
        </is>
      </c>
      <c r="D19" s="137" t="n"/>
      <c r="E19" s="137" t="n"/>
      <c r="F19" s="137" t="n"/>
      <c r="G19" s="137" t="n"/>
      <c r="H19" s="137" t="n"/>
      <c r="I19" s="137" t="n"/>
      <c r="J19" s="137" t="n"/>
      <c r="K19" s="137" t="n"/>
      <c r="L19" s="137" t="n"/>
      <c r="M19" s="244" t="inlineStr">
        <is>
          <t>New Year OIL</t>
        </is>
      </c>
      <c r="N19" s="242" t="inlineStr">
        <is>
          <t>OL</t>
        </is>
      </c>
      <c r="O19" s="242" t="inlineStr">
        <is>
          <t>OL</t>
        </is>
      </c>
      <c r="P19" s="242" t="inlineStr">
        <is>
          <t>OL</t>
        </is>
      </c>
      <c r="Q19" s="242" t="inlineStr">
        <is>
          <t>OL</t>
        </is>
      </c>
      <c r="R19" s="244" t="inlineStr">
        <is>
          <t>owadio</t>
        </is>
      </c>
      <c r="S19" s="137" t="n"/>
      <c r="T19" s="137" t="n"/>
      <c r="U19" s="136" t="n"/>
      <c r="W19" s="137" t="n"/>
      <c r="X19" s="137" t="n"/>
      <c r="Y19" s="137" t="n"/>
      <c r="Z19" s="137" t="n"/>
      <c r="AA19" s="137" t="n"/>
      <c r="AB19" s="137" t="n"/>
      <c r="AD19" s="137" t="n"/>
      <c r="AE19" s="137" t="n"/>
      <c r="AF19" s="435" t="n"/>
      <c r="AG19" s="137" t="n"/>
      <c r="AH19" s="53" t="n"/>
      <c r="AI19" s="237">
        <f>COUNTIF($D19:$AE19,AI$4)</f>
        <v/>
      </c>
      <c r="AJ19" s="248">
        <f>COUNTIF($D19:$AE19,AJ$4)</f>
        <v/>
      </c>
      <c r="AK19" s="237">
        <f>COUNTIF($D19:$AE19,AK$4)</f>
        <v/>
      </c>
      <c r="AL19" s="237">
        <f>COUNTIF($D19:$AE19,AL$4)</f>
        <v/>
      </c>
      <c r="AM19" s="238">
        <f>COUNTIF($D19:$AE19,AM$4)</f>
        <v/>
      </c>
      <c r="AN19" s="238">
        <f>COUNTIF($D19:$AE19,AN$4)</f>
        <v/>
      </c>
      <c r="AO19" s="238">
        <f>COUNTIF($D19:$AE19,AO$4)</f>
        <v/>
      </c>
      <c r="AP19" s="238">
        <f>COUNTIF($D19:$AE19,AP$4)</f>
        <v/>
      </c>
      <c r="AQ19" s="238">
        <f>COUNTIF($D19:$AE19,AQ$4)</f>
        <v/>
      </c>
      <c r="AR19" s="238" t="n"/>
      <c r="AS19" s="239" t="n"/>
      <c r="AT19" s="239" t="n"/>
      <c r="AU19" s="238">
        <f>SUMPRODUCT(--(WEEKDAY(C$3:AG$3,2)&lt;5),--ISNUMBER(MATCH(C19:AG19,{"DM","CS1","CS2","SB1","AE","CS/B"},0)))</f>
        <v/>
      </c>
      <c r="AV19" s="238" t="n"/>
      <c r="AW19" s="238">
        <f>SUMPRODUCT(--(WEEKDAY(C$3:AG$3,2)=5),--ISNUMBER(MATCH(C19:AG19,{"DM","CS1","CS2","SB1","AE","CS/B"},0)))</f>
        <v/>
      </c>
      <c r="AX19" s="238">
        <f>SUMPRODUCT(--(WEEKDAY(C$3:AG$3,2)&gt;5),--ISNUMBER(MATCH(C19:AG19,{"DM","CS1","CS2","SB1","AE","CS/B"},0)))</f>
        <v/>
      </c>
      <c r="AY19" s="238" t="n"/>
      <c r="AZ19" s="238">
        <f>(AU19-AV19)+AW19*1.5+(AX19-AY19)*2+AN19*0.5+AP19*0.5+AS19-AT19</f>
        <v/>
      </c>
      <c r="BA19" s="238">
        <f>AU19+AW19+AX19</f>
        <v/>
      </c>
      <c r="BB19" s="238">
        <f>BE19+BG19+BI19+BK19+BM19</f>
        <v/>
      </c>
      <c r="BC19" s="239">
        <f>AZ19+BD19</f>
        <v/>
      </c>
      <c r="BD19" s="238">
        <f>BF19+BH19+BJ19+BL19+BN19</f>
        <v/>
      </c>
      <c r="BE19" s="238">
        <f>COUNTIF(A19:AI19,"*$BTP*")</f>
        <v/>
      </c>
      <c r="BF19" s="238">
        <f>BE19*1.5</f>
        <v/>
      </c>
      <c r="BG19" s="238">
        <f>COUNTIF(A19:AI19,"*$M*")</f>
        <v/>
      </c>
      <c r="BH19" s="238">
        <f>BG19*1</f>
        <v/>
      </c>
      <c r="BI19" s="238">
        <f>COUNTIF(A19:AI19,"*$PM*")</f>
        <v/>
      </c>
      <c r="BJ19" s="238">
        <f>BI19*0.5</f>
        <v/>
      </c>
      <c r="BK19" s="238">
        <f>COUNTIF(A19:AI19,"*$AM*")</f>
        <v/>
      </c>
      <c r="BL19" s="238">
        <f>BK19*0.5</f>
        <v/>
      </c>
      <c r="BM19" s="238">
        <f>COUNTIF(A19:AI19,"*$FC*")</f>
        <v/>
      </c>
      <c r="BN19" s="238">
        <f>BM19*1</f>
        <v/>
      </c>
      <c r="BO19" s="238">
        <f>COUNTIF($D19:$AA19,BO$4)</f>
        <v/>
      </c>
      <c r="BP19" s="238">
        <f>COUNTIF($D19:$AA19,BP$4)</f>
        <v/>
      </c>
      <c r="BQ19" s="238">
        <f>COUNTIF($D19:$AA19,BQ$4)</f>
        <v/>
      </c>
      <c r="BR19" s="240" t="n"/>
    </row>
    <row r="20" ht="27.75" customHeight="1">
      <c r="A20" s="233" t="n"/>
      <c r="B20" s="272" t="inlineStr">
        <is>
          <t>LCP EKLAYVA PINGALI</t>
        </is>
      </c>
      <c r="C20" s="75" t="inlineStr">
        <is>
          <t>DM</t>
        </is>
      </c>
      <c r="D20" s="75" t="n"/>
      <c r="E20" s="75" t="inlineStr">
        <is>
          <t>RESERVE</t>
        </is>
      </c>
      <c r="F20" s="75" t="n"/>
      <c r="G20" s="75" t="inlineStr">
        <is>
          <t>CS1</t>
        </is>
      </c>
      <c r="H20" s="241" t="n"/>
      <c r="I20" s="75" t="inlineStr">
        <is>
          <t>C $FC</t>
        </is>
      </c>
      <c r="J20" s="136" t="inlineStr">
        <is>
          <t xml:space="preserve">C $FC </t>
        </is>
      </c>
      <c r="K20" s="75" t="inlineStr">
        <is>
          <t>C $FC</t>
        </is>
      </c>
      <c r="L20" s="75" t="n"/>
      <c r="M20" s="137" t="inlineStr">
        <is>
          <t>DM</t>
        </is>
      </c>
      <c r="N20" s="136" t="n"/>
      <c r="O20" s="136" t="inlineStr">
        <is>
          <t>COVER RESERVE</t>
        </is>
      </c>
      <c r="P20" s="136" t="inlineStr">
        <is>
          <t>RESERVE</t>
        </is>
      </c>
      <c r="Q20" s="75" t="n"/>
      <c r="R20" s="75" t="inlineStr">
        <is>
          <t>DM</t>
        </is>
      </c>
      <c r="S20" s="75" t="n"/>
      <c r="T20" s="75" t="inlineStr">
        <is>
          <t>CS1</t>
        </is>
      </c>
      <c r="U20" s="75" t="n"/>
      <c r="V20" s="136" t="inlineStr">
        <is>
          <t>RESERVE</t>
        </is>
      </c>
      <c r="W20" s="241" t="n"/>
      <c r="X20" s="75" t="inlineStr">
        <is>
          <t>CS/B</t>
        </is>
      </c>
      <c r="Y20" s="136" t="n"/>
      <c r="Z20" s="75" t="n"/>
      <c r="AA20" s="136" t="n"/>
      <c r="AC20" s="137" t="inlineStr">
        <is>
          <t>DM</t>
        </is>
      </c>
      <c r="AD20" s="75" t="n"/>
      <c r="AE20" s="75" t="n"/>
      <c r="AF20" s="75" t="n"/>
      <c r="AG20" s="75" t="n"/>
      <c r="AH20" s="197" t="n"/>
      <c r="AI20" s="237">
        <f>COUNTIF($D20:$AE20,AI$4)</f>
        <v/>
      </c>
      <c r="AJ20" s="248">
        <f>COUNTIF($D20:$AE20,AJ$4)</f>
        <v/>
      </c>
      <c r="AK20" s="237">
        <f>COUNTIF($D20:$AE20,AK$4)</f>
        <v/>
      </c>
      <c r="AL20" s="237">
        <f>COUNTIF($D20:$AE20,AL$4)</f>
        <v/>
      </c>
      <c r="AM20" s="238">
        <f>COUNTIF($D20:$AE20,AM$4)</f>
        <v/>
      </c>
      <c r="AN20" s="238">
        <f>COUNTIF($D20:$AE20,AN$4)</f>
        <v/>
      </c>
      <c r="AO20" s="238">
        <f>COUNTIF($D20:$AE20,AO$4)</f>
        <v/>
      </c>
      <c r="AP20" s="238">
        <f>COUNTIF($D20:$AE20,AP$4)</f>
        <v/>
      </c>
      <c r="AQ20" s="238">
        <f>COUNTIF($D20:$AE20,AQ$4)</f>
        <v/>
      </c>
      <c r="AR20" s="238" t="n"/>
      <c r="AS20" s="239" t="n"/>
      <c r="AT20" s="239" t="n"/>
      <c r="AU20" s="238">
        <f>SUMPRODUCT(--(WEEKDAY(C$3:AG$3,2)&lt;5),--ISNUMBER(MATCH(C20:AG20,{"DM","CS1","CS2","SB1","AE","CS/B"},0)))</f>
        <v/>
      </c>
      <c r="AV20" s="238" t="n"/>
      <c r="AW20" s="238">
        <f>SUMPRODUCT(--(WEEKDAY(C$3:AG$3,2)=5),--ISNUMBER(MATCH(C20:AG20,{"DM","CS1","CS2","SB1","AE","CS/B"},0)))</f>
        <v/>
      </c>
      <c r="AX20" s="238">
        <f>SUMPRODUCT(--(WEEKDAY(C$3:AG$3,2)&gt;5),--ISNUMBER(MATCH(C20:AG20,{"DM","CS1","CS2","SB1","AE","CS/B"},0)))</f>
        <v/>
      </c>
      <c r="AY20" s="238" t="n"/>
      <c r="AZ20" s="238">
        <f>(AU20-AV20)+AW20*1.5+(AX20-AY20)*2+AN20*0.5+AP20*0.5+AS20-AT20</f>
        <v/>
      </c>
      <c r="BA20" s="238">
        <f>AU20+AW20+AX20</f>
        <v/>
      </c>
      <c r="BB20" s="238">
        <f>BE20+BG20+BI20+BK20+BM20</f>
        <v/>
      </c>
      <c r="BC20" s="239">
        <f>AZ20+BD20</f>
        <v/>
      </c>
      <c r="BD20" s="238">
        <f>BF20+BH20+BJ20+BL20+BN20</f>
        <v/>
      </c>
      <c r="BE20" s="238">
        <f>COUNTIF(A20:AI20,"*$BTP*")</f>
        <v/>
      </c>
      <c r="BF20" s="238">
        <f>BE20*1.5</f>
        <v/>
      </c>
      <c r="BG20" s="238">
        <f>COUNTIF(A20:AI20,"*$M*")</f>
        <v/>
      </c>
      <c r="BH20" s="238">
        <f>BG20*1</f>
        <v/>
      </c>
      <c r="BI20" s="238">
        <f>COUNTIF(A20:AI20,"*$PM*")</f>
        <v/>
      </c>
      <c r="BJ20" s="238">
        <f>BI20*0.5</f>
        <v/>
      </c>
      <c r="BK20" s="238">
        <f>COUNTIF(A20:AI20,"*$AM*")</f>
        <v/>
      </c>
      <c r="BL20" s="238">
        <f>BK20*0.5</f>
        <v/>
      </c>
      <c r="BM20" s="238">
        <f>COUNTIF(A20:AI20,"*$FC*")</f>
        <v/>
      </c>
      <c r="BN20" s="238">
        <f>BM20*1</f>
        <v/>
      </c>
      <c r="BO20" s="238">
        <f>COUNTIF($D20:$AA20,BO$4)</f>
        <v/>
      </c>
      <c r="BP20" s="238">
        <f>COUNTIF($D20:$AA20,BP$4)</f>
        <v/>
      </c>
      <c r="BQ20" s="238">
        <f>COUNTIF($D20:$AA20,BQ$4)</f>
        <v/>
      </c>
      <c r="BR20" s="240" t="n"/>
    </row>
    <row r="21" ht="19.5" customHeight="1">
      <c r="A21" s="233" t="n"/>
      <c r="B21" s="273" t="inlineStr">
        <is>
          <t>CFC MARK WU</t>
        </is>
      </c>
      <c r="C21" s="137" t="n"/>
      <c r="D21" s="137" t="inlineStr">
        <is>
          <t>RESERVE</t>
        </is>
      </c>
      <c r="E21" s="244" t="inlineStr">
        <is>
          <t>burfday</t>
        </is>
      </c>
      <c r="F21" s="137" t="inlineStr">
        <is>
          <t>SB1</t>
        </is>
      </c>
      <c r="G21" s="137" t="inlineStr">
        <is>
          <t>SB2</t>
        </is>
      </c>
      <c r="H21" s="136" t="inlineStr">
        <is>
          <t>COHESION</t>
        </is>
      </c>
      <c r="I21" s="137" t="n"/>
      <c r="J21" s="137" t="n"/>
      <c r="K21" s="137" t="n"/>
      <c r="L21" s="137" t="n"/>
      <c r="M21" s="137" t="inlineStr">
        <is>
          <t>SB2</t>
        </is>
      </c>
      <c r="N21" s="137" t="inlineStr">
        <is>
          <t>DM</t>
        </is>
      </c>
      <c r="O21" s="241" t="n"/>
      <c r="P21" s="137" t="inlineStr">
        <is>
          <t>OL</t>
        </is>
      </c>
      <c r="Q21" s="137" t="inlineStr">
        <is>
          <t>OL</t>
        </is>
      </c>
      <c r="R21" s="137" t="inlineStr">
        <is>
          <t>OL</t>
        </is>
      </c>
      <c r="S21" s="137" t="inlineStr">
        <is>
          <t>OL</t>
        </is>
      </c>
      <c r="T21" s="137" t="inlineStr">
        <is>
          <t>OL</t>
        </is>
      </c>
      <c r="U21" s="137" t="inlineStr">
        <is>
          <t>OL</t>
        </is>
      </c>
      <c r="V21" s="137" t="inlineStr">
        <is>
          <t>OL</t>
        </is>
      </c>
      <c r="W21" s="137" t="inlineStr">
        <is>
          <t>OL</t>
        </is>
      </c>
      <c r="X21" s="137" t="inlineStr">
        <is>
          <t>OL</t>
        </is>
      </c>
      <c r="Y21" s="137" t="inlineStr">
        <is>
          <t>SB2</t>
        </is>
      </c>
      <c r="Z21" s="137" t="n"/>
      <c r="AA21" s="137" t="inlineStr">
        <is>
          <t>CS1</t>
        </is>
      </c>
      <c r="AB21" s="137" t="n"/>
      <c r="AC21" s="75" t="inlineStr">
        <is>
          <t>CS2</t>
        </is>
      </c>
      <c r="AD21" s="137" t="n"/>
      <c r="AE21" s="137" t="n"/>
      <c r="AF21" s="137" t="n"/>
      <c r="AG21" s="137" t="n"/>
      <c r="AH21" s="197" t="n"/>
      <c r="AI21" s="237">
        <f>COUNTIF($D21:$AE21,AI$4)</f>
        <v/>
      </c>
      <c r="AJ21" s="248">
        <f>COUNTIF($D21:$AE21,AJ$4)</f>
        <v/>
      </c>
      <c r="AK21" s="237">
        <f>COUNTIF($D21:$AE21,AK$4)</f>
        <v/>
      </c>
      <c r="AL21" s="237">
        <f>COUNTIF($D21:$AE21,AL$4)</f>
        <v/>
      </c>
      <c r="AM21" s="238">
        <f>COUNTIF($D21:$AE21,AM$4)</f>
        <v/>
      </c>
      <c r="AN21" s="238">
        <f>COUNTIF($D21:$AE21,AN$4)</f>
        <v/>
      </c>
      <c r="AO21" s="238">
        <f>COUNTIF($D21:$AE21,AO$4)</f>
        <v/>
      </c>
      <c r="AP21" s="238">
        <f>COUNTIF($D21:$AE21,AP$4)</f>
        <v/>
      </c>
      <c r="AQ21" s="238">
        <f>COUNTIF($D21:$AE21,AQ$4)</f>
        <v/>
      </c>
      <c r="AR21" s="238" t="n"/>
      <c r="AS21" s="239" t="n">
        <v>1</v>
      </c>
      <c r="AT21" s="239" t="n"/>
      <c r="AU21" s="238">
        <f>SUMPRODUCT(--(WEEKDAY(C$3:AG$3,2)&lt;5),--ISNUMBER(MATCH(C21:AG21,{"DM","CS1","CS2","SB1","AE","CS/B"},0)))</f>
        <v/>
      </c>
      <c r="AV21" s="238" t="n"/>
      <c r="AW21" s="238">
        <f>SUMPRODUCT(--(WEEKDAY(C$3:AG$3,2)=5),--ISNUMBER(MATCH(C21:AG21,{"DM","CS1","CS2","SB1","AE","CS/B"},0)))</f>
        <v/>
      </c>
      <c r="AX21" s="238">
        <f>SUMPRODUCT(--(WEEKDAY(C$3:AG$3,2)&gt;5),--ISNUMBER(MATCH(C21:AG21,{"DM","CS1","CS2","SB1","AE","CS/B"},0)))</f>
        <v/>
      </c>
      <c r="AY21" s="238" t="n"/>
      <c r="AZ21" s="238">
        <f>(AU21-AV21)+AW21*1.5+(AX21-AY21)*2+AN21*0.5+AP21*0.5+AS21-AT21</f>
        <v/>
      </c>
      <c r="BA21" s="238">
        <f>AU21+AW21+AX21</f>
        <v/>
      </c>
      <c r="BB21" s="238">
        <f>BE21+BG21+BI21+BK21+BM21</f>
        <v/>
      </c>
      <c r="BC21" s="239">
        <f>AZ21+BD21</f>
        <v/>
      </c>
      <c r="BD21" s="238">
        <f>BF21+BH21+BJ21+BL21+BN21</f>
        <v/>
      </c>
      <c r="BE21" s="238">
        <f>COUNTIF(A21:AI21,"*$BTP*")</f>
        <v/>
      </c>
      <c r="BF21" s="238">
        <f>BE21*1.5</f>
        <v/>
      </c>
      <c r="BG21" s="238">
        <f>COUNTIF(A21:AI21,"*$M*")</f>
        <v/>
      </c>
      <c r="BH21" s="238">
        <f>BG21*1</f>
        <v/>
      </c>
      <c r="BI21" s="238">
        <f>COUNTIF(A21:AI21,"*$PM*")</f>
        <v/>
      </c>
      <c r="BJ21" s="238">
        <f>BI21*0.5</f>
        <v/>
      </c>
      <c r="BK21" s="238">
        <f>COUNTIF(A21:AI21,"*$AM*")</f>
        <v/>
      </c>
      <c r="BL21" s="238">
        <f>BK21*0.5</f>
        <v/>
      </c>
      <c r="BM21" s="238">
        <f>COUNTIF(A21:AI21,"*$FC*")</f>
        <v/>
      </c>
      <c r="BN21" s="238">
        <f>BM21*1</f>
        <v/>
      </c>
      <c r="BO21" s="238">
        <f>COUNTIF($D21:$AA21,BO$4)</f>
        <v/>
      </c>
      <c r="BP21" s="238">
        <f>COUNTIF($D21:$AA21,BP$4)</f>
        <v/>
      </c>
      <c r="BQ21" s="238">
        <f>COUNTIF($D21:$AA21,BQ$4)</f>
        <v/>
      </c>
      <c r="BR21" s="240" t="n"/>
    </row>
    <row r="22" ht="19.5" customHeight="1">
      <c r="A22" s="233" t="n"/>
      <c r="B22" s="274" t="inlineStr">
        <is>
          <t>CPL HO SHENGHUI HAYDEN</t>
        </is>
      </c>
      <c r="C22" s="75" t="inlineStr">
        <is>
          <t>F $FC</t>
        </is>
      </c>
      <c r="D22" s="75" t="inlineStr">
        <is>
          <t>F $FC</t>
        </is>
      </c>
      <c r="E22" s="75" t="n"/>
      <c r="F22" s="75" t="n"/>
      <c r="G22" s="137" t="inlineStr">
        <is>
          <t>DM</t>
        </is>
      </c>
      <c r="H22" s="136" t="inlineStr">
        <is>
          <t>COHESION</t>
        </is>
      </c>
      <c r="I22" s="136" t="n"/>
      <c r="J22" s="75" t="inlineStr">
        <is>
          <t>DM</t>
        </is>
      </c>
      <c r="K22" s="136" t="n"/>
      <c r="L22" s="75" t="inlineStr">
        <is>
          <t>RESERVE</t>
        </is>
      </c>
      <c r="M22" s="136" t="inlineStr">
        <is>
          <t>COVER RESERVE</t>
        </is>
      </c>
      <c r="N22" s="137" t="inlineStr">
        <is>
          <t>C $AM IPPT (0500-1100)</t>
        </is>
      </c>
      <c r="O22" s="241" t="n"/>
      <c r="P22" s="136" t="n"/>
      <c r="Q22" s="75" t="inlineStr">
        <is>
          <t>RESERVE</t>
        </is>
      </c>
      <c r="R22" s="75" t="n"/>
      <c r="S22" s="75" t="n"/>
      <c r="T22" s="75" t="n"/>
      <c r="U22" s="75" t="inlineStr">
        <is>
          <t>BMTC $BTP ASM (0400-2359)</t>
        </is>
      </c>
      <c r="V22" s="241" t="n"/>
      <c r="W22" s="241" t="n"/>
      <c r="X22" s="136" t="n"/>
      <c r="Y22" s="75" t="inlineStr">
        <is>
          <t>RESERVE</t>
        </is>
      </c>
      <c r="Z22" s="75" t="n"/>
      <c r="AA22" s="136" t="n"/>
      <c r="AB22" s="137" t="inlineStr">
        <is>
          <t>CS/B</t>
        </is>
      </c>
      <c r="AC22" s="241" t="n"/>
      <c r="AD22" s="75" t="n"/>
      <c r="AE22" s="75" t="n"/>
      <c r="AF22" s="75" t="n"/>
      <c r="AG22" s="75" t="n"/>
      <c r="AH22" s="197" t="n"/>
      <c r="AI22" s="237">
        <f>COUNTIF($D22:$AE22,AI$4)</f>
        <v/>
      </c>
      <c r="AJ22" s="248">
        <f>COUNTIF($D22:$AE22,AJ$4)</f>
        <v/>
      </c>
      <c r="AK22" s="237">
        <f>COUNTIF($D22:$AE22,AK$4)</f>
        <v/>
      </c>
      <c r="AL22" s="237">
        <f>COUNTIF($D22:$AE22,AL$4)</f>
        <v/>
      </c>
      <c r="AM22" s="238">
        <f>COUNTIF($D22:$AE22,AM$4)</f>
        <v/>
      </c>
      <c r="AN22" s="238">
        <f>COUNTIF($D22:$AE22,AN$4)</f>
        <v/>
      </c>
      <c r="AO22" s="238">
        <f>COUNTIF($D22:$AE22,AO$4)</f>
        <v/>
      </c>
      <c r="AP22" s="238">
        <f>COUNTIF($D22:$AE22,AP$4)</f>
        <v/>
      </c>
      <c r="AQ22" s="238">
        <f>COUNTIF($D22:$AE22,AQ$4)</f>
        <v/>
      </c>
      <c r="AR22" s="238" t="n"/>
      <c r="AS22" s="239" t="n">
        <v>2</v>
      </c>
      <c r="AT22" s="239" t="n"/>
      <c r="AU22" s="238">
        <f>SUMPRODUCT(--(WEEKDAY(C$3:AG$3,2)&lt;5),--ISNUMBER(MATCH(C22:AG22,{"DM","CS1","CS2","SB1","AE","CS/B"},0)))</f>
        <v/>
      </c>
      <c r="AV22" s="238" t="n"/>
      <c r="AW22" s="238">
        <f>SUMPRODUCT(--(WEEKDAY(C$3:AG$3,2)=5),--ISNUMBER(MATCH(C22:AG22,{"DM","CS1","CS2","SB1","AE","CS/B"},0)))</f>
        <v/>
      </c>
      <c r="AX22" s="238">
        <f>SUMPRODUCT(--(WEEKDAY(C$3:AG$3,2)&gt;5),--ISNUMBER(MATCH(C22:AG22,{"DM","CS1","CS2","SB1","AE","CS/B"},0)))</f>
        <v/>
      </c>
      <c r="AY22" s="238" t="n"/>
      <c r="AZ22" s="238">
        <f>(AU22-AV22)+AW22*1.5+(AX22-AY22)*2+AN22*0.5+AP22*0.5+AS22-AT22</f>
        <v/>
      </c>
      <c r="BA22" s="238">
        <f>AU22+AW22+AX22</f>
        <v/>
      </c>
      <c r="BB22" s="238">
        <f>BE22+BG22+BI22+BK22+BM22</f>
        <v/>
      </c>
      <c r="BC22" s="239">
        <f>AZ22+BD22</f>
        <v/>
      </c>
      <c r="BD22" s="238">
        <f>BF22+BH22+BJ22+BL22+BN22</f>
        <v/>
      </c>
      <c r="BE22" s="238">
        <f>COUNTIF(A22:AI22,"*$BTP*")</f>
        <v/>
      </c>
      <c r="BF22" s="238">
        <f>BE22*1.5</f>
        <v/>
      </c>
      <c r="BG22" s="238">
        <f>COUNTIF(A22:AI22,"*$M*")</f>
        <v/>
      </c>
      <c r="BH22" s="238">
        <f>BG22*1</f>
        <v/>
      </c>
      <c r="BI22" s="238">
        <f>COUNTIF(A22:AI22,"*$PM*")</f>
        <v/>
      </c>
      <c r="BJ22" s="238">
        <f>BI22*0.5</f>
        <v/>
      </c>
      <c r="BK22" s="238">
        <f>COUNTIF(A22:AI22,"*$AM*")</f>
        <v/>
      </c>
      <c r="BL22" s="238">
        <f>BK22*0.5</f>
        <v/>
      </c>
      <c r="BM22" s="238">
        <f>COUNTIF(A22:AI22,"*$FC*")</f>
        <v/>
      </c>
      <c r="BN22" s="238">
        <f>BM22*1</f>
        <v/>
      </c>
      <c r="BO22" s="238">
        <f>COUNTIF($D22:$AA22,BO$4)</f>
        <v/>
      </c>
      <c r="BP22" s="238">
        <f>COUNTIF($D22:$AA22,BP$4)</f>
        <v/>
      </c>
      <c r="BQ22" s="238">
        <f>COUNTIF($D22:$AA22,BQ$4)</f>
        <v/>
      </c>
      <c r="BR22" s="240" t="n"/>
    </row>
    <row r="23" ht="19.5" customHeight="1">
      <c r="A23" s="233" t="n"/>
      <c r="B23" s="186" t="inlineStr">
        <is>
          <t>CPL DERRICK CHIN</t>
        </is>
      </c>
      <c r="C23" s="137" t="n"/>
      <c r="D23" s="137" t="n"/>
      <c r="E23" s="136" t="inlineStr">
        <is>
          <t>SB2</t>
        </is>
      </c>
      <c r="F23" s="137" t="inlineStr">
        <is>
          <t>DM</t>
        </is>
      </c>
      <c r="G23" s="136" t="n"/>
      <c r="H23" s="136" t="inlineStr">
        <is>
          <t>COHESION</t>
        </is>
      </c>
      <c r="I23" s="244" t="n"/>
      <c r="J23" s="136" t="n"/>
      <c r="K23" s="137" t="inlineStr">
        <is>
          <t>DM</t>
        </is>
      </c>
      <c r="L23" s="136" t="n"/>
      <c r="M23" s="136" t="inlineStr">
        <is>
          <t>P $PM PERM SOC (1700-2000)</t>
        </is>
      </c>
      <c r="N23" s="137" t="inlineStr">
        <is>
          <t>P $BTP (0500-2359)</t>
        </is>
      </c>
      <c r="O23" s="244" t="n"/>
      <c r="P23" s="137" t="n"/>
      <c r="Q23" s="244" t="inlineStr">
        <is>
          <t>OVERSEAS</t>
        </is>
      </c>
      <c r="R23" s="244" t="inlineStr">
        <is>
          <t>OVERSEAS</t>
        </is>
      </c>
      <c r="S23" s="244" t="inlineStr">
        <is>
          <t>OVERSEAS</t>
        </is>
      </c>
      <c r="T23" s="244" t="inlineStr">
        <is>
          <t>OVERSEAS</t>
        </is>
      </c>
      <c r="U23" s="136" t="inlineStr">
        <is>
          <t>OVERSEAS</t>
        </is>
      </c>
      <c r="V23" s="244" t="n"/>
      <c r="W23" s="137" t="inlineStr">
        <is>
          <t>DM</t>
        </is>
      </c>
      <c r="X23" s="137" t="n"/>
      <c r="Y23" s="137" t="n"/>
      <c r="Z23" s="137" t="inlineStr">
        <is>
          <t>F $BTP (0530-2359)</t>
        </is>
      </c>
      <c r="AA23" s="136" t="n"/>
      <c r="AB23" s="53" t="inlineStr">
        <is>
          <t>MEDICAL RECCE</t>
        </is>
      </c>
      <c r="AC23" s="244" t="n"/>
      <c r="AD23" s="137" t="inlineStr">
        <is>
          <t>CS1</t>
        </is>
      </c>
      <c r="AE23" s="137" t="n"/>
      <c r="AF23" s="137" t="n"/>
      <c r="AG23" s="137" t="n"/>
      <c r="AH23" s="197" t="n"/>
      <c r="AI23" s="237">
        <f>COUNTIF($D23:$AE23,AI$4)</f>
        <v/>
      </c>
      <c r="AJ23" s="248">
        <f>COUNTIF($D23:$AE23,AJ$4)</f>
        <v/>
      </c>
      <c r="AK23" s="237">
        <f>COUNTIF($D23:$AE23,AK$4)</f>
        <v/>
      </c>
      <c r="AL23" s="237">
        <f>COUNTIF($D23:$AE23,AL$4)</f>
        <v/>
      </c>
      <c r="AM23" s="238">
        <f>COUNTIF($D23:$AE23,AM$4)</f>
        <v/>
      </c>
      <c r="AN23" s="238">
        <f>COUNTIF($D23:$AE23,AN$4)</f>
        <v/>
      </c>
      <c r="AO23" s="238">
        <f>COUNTIF($D23:$AE23,AO$4)</f>
        <v/>
      </c>
      <c r="AP23" s="238">
        <f>COUNTIF($D23:$AE23,AP$4)</f>
        <v/>
      </c>
      <c r="AQ23" s="238">
        <f>COUNTIF($D23:$AE23,AQ$4)</f>
        <v/>
      </c>
      <c r="AR23" s="238" t="n"/>
      <c r="AS23" s="239" t="n"/>
      <c r="AT23" s="239" t="n">
        <v>1</v>
      </c>
      <c r="AU23" s="238">
        <f>SUMPRODUCT(--(WEEKDAY(C$3:AG$3,2)&lt;5),--ISNUMBER(MATCH(C23:AG23,{"DM","CS1","CS2","SB1","AE","CS/B"},0)))</f>
        <v/>
      </c>
      <c r="AV23" s="238" t="n"/>
      <c r="AW23" s="238">
        <f>SUMPRODUCT(--(WEEKDAY(C$3:AG$3,2)=5),--ISNUMBER(MATCH(C23:AG23,{"DM","CS1","CS2","SB1","AE","CS/B"},0)))</f>
        <v/>
      </c>
      <c r="AX23" s="238">
        <f>SUMPRODUCT(--(WEEKDAY(C$3:AG$3,2)&gt;5),--ISNUMBER(MATCH(C23:AG23,{"DM","CS1","CS2","SB1","AE","CS/B"},0)))</f>
        <v/>
      </c>
      <c r="AY23" s="238" t="n"/>
      <c r="AZ23" s="238">
        <f>(AU23-AV23)+AW23*1.5+(AX23-AY23)*2+AN23*0.5+AP23*0.5+AS23-AT23</f>
        <v/>
      </c>
      <c r="BA23" s="238">
        <f>AU23+AW23+AX23</f>
        <v/>
      </c>
      <c r="BB23" s="238">
        <f>BE23+BG23+BI23+BK23+BM23</f>
        <v/>
      </c>
      <c r="BC23" s="239">
        <f>AZ23+BD23</f>
        <v/>
      </c>
      <c r="BD23" s="238">
        <f>BF23+BH23+BJ23+BL23+BN23</f>
        <v/>
      </c>
      <c r="BE23" s="238">
        <f>COUNTIF(A23:AI23,"*$BTP*")</f>
        <v/>
      </c>
      <c r="BF23" s="238">
        <f>BE23*1.5</f>
        <v/>
      </c>
      <c r="BG23" s="238">
        <f>COUNTIF(A23:AI23,"*$M*")</f>
        <v/>
      </c>
      <c r="BH23" s="238">
        <f>BG23*1</f>
        <v/>
      </c>
      <c r="BI23" s="238">
        <f>COUNTIF(A23:AI23,"*$PM*")</f>
        <v/>
      </c>
      <c r="BJ23" s="238">
        <f>BI23*0.5</f>
        <v/>
      </c>
      <c r="BK23" s="238">
        <f>COUNTIF(A23:AI23,"*$AM*")</f>
        <v/>
      </c>
      <c r="BL23" s="238">
        <f>BK23*0.5</f>
        <v/>
      </c>
      <c r="BM23" s="238">
        <f>COUNTIF(A23:AI23,"*$FC*")</f>
        <v/>
      </c>
      <c r="BN23" s="238">
        <f>BM23*1</f>
        <v/>
      </c>
      <c r="BO23" s="238">
        <f>COUNTIF($D23:$AA23,BO$4)</f>
        <v/>
      </c>
      <c r="BP23" s="238">
        <f>COUNTIF($D23:$AA23,BP$4)</f>
        <v/>
      </c>
      <c r="BQ23" s="238">
        <f>COUNTIF($D23:$AA23,BQ$4)</f>
        <v/>
      </c>
      <c r="BR23" s="240" t="n"/>
    </row>
    <row r="24" ht="19.5" customHeight="1">
      <c r="A24" s="233" t="n"/>
      <c r="B24" s="186" t="inlineStr">
        <is>
          <t>CPL ASHWIN GUNASEKERAN</t>
        </is>
      </c>
      <c r="C24" s="275" t="n"/>
      <c r="D24" s="75" t="inlineStr">
        <is>
          <t>COVER RESERVE</t>
        </is>
      </c>
      <c r="E24" s="187" t="inlineStr">
        <is>
          <t>P $AM 8KM (0500-1100)</t>
        </is>
      </c>
      <c r="F24" s="136" t="inlineStr">
        <is>
          <t>SB2</t>
        </is>
      </c>
      <c r="G24" s="136" t="inlineStr">
        <is>
          <t>RESERVE</t>
        </is>
      </c>
      <c r="H24" s="136" t="inlineStr">
        <is>
          <t>COHESION</t>
        </is>
      </c>
      <c r="I24" s="275" t="n"/>
      <c r="J24" s="137" t="n"/>
      <c r="K24" s="75" t="n"/>
      <c r="L24" s="75" t="inlineStr">
        <is>
          <t>F $AM SOC (0600-1100)</t>
        </is>
      </c>
      <c r="M24" s="136" t="inlineStr">
        <is>
          <t>SB1</t>
        </is>
      </c>
      <c r="N24" s="136" t="inlineStr">
        <is>
          <t>COVER RESERVE</t>
        </is>
      </c>
      <c r="O24" s="75" t="inlineStr">
        <is>
          <t>DM</t>
        </is>
      </c>
      <c r="P24" s="75" t="n"/>
      <c r="Q24" s="75" t="n"/>
      <c r="R24" s="75" t="inlineStr">
        <is>
          <t>CS1</t>
        </is>
      </c>
      <c r="S24" s="75" t="n"/>
      <c r="T24" s="75" t="inlineStr">
        <is>
          <t>DM</t>
        </is>
      </c>
      <c r="U24" s="75" t="n"/>
      <c r="V24" s="136" t="n"/>
      <c r="W24" s="75" t="n"/>
      <c r="X24" s="75" t="inlineStr">
        <is>
          <t>DM</t>
        </is>
      </c>
      <c r="Y24" s="75" t="n"/>
      <c r="Z24" s="136" t="inlineStr">
        <is>
          <t>COVER RESERVE</t>
        </is>
      </c>
      <c r="AA24" s="136" t="inlineStr">
        <is>
          <t>COVER RESERVE</t>
        </is>
      </c>
      <c r="AB24" s="241" t="inlineStr">
        <is>
          <t>Birthday</t>
        </is>
      </c>
      <c r="AC24" s="241" t="inlineStr">
        <is>
          <t>Birthday</t>
        </is>
      </c>
      <c r="AD24" s="241" t="inlineStr">
        <is>
          <t>Birthday</t>
        </is>
      </c>
      <c r="AE24" s="241" t="inlineStr">
        <is>
          <t>Birthday plans</t>
        </is>
      </c>
      <c r="AF24" s="75" t="n"/>
      <c r="AG24" s="75" t="n"/>
      <c r="AH24" s="197" t="n"/>
      <c r="AI24" s="237">
        <f>COUNTIF($D24:$AE24,AI$4)</f>
        <v/>
      </c>
      <c r="AJ24" s="248">
        <f>COUNTIF($D24:$AE24,AJ$4)</f>
        <v/>
      </c>
      <c r="AK24" s="237">
        <f>COUNTIF($D24:$AE24,AK$4)</f>
        <v/>
      </c>
      <c r="AL24" s="237">
        <f>COUNTIF($D24:$AE24,AL$4)</f>
        <v/>
      </c>
      <c r="AM24" s="238">
        <f>COUNTIF($D24:$AE24,AM$4)</f>
        <v/>
      </c>
      <c r="AN24" s="238">
        <f>COUNTIF($D24:$AE24,AN$4)</f>
        <v/>
      </c>
      <c r="AO24" s="238">
        <f>COUNTIF($D24:$AE24,AO$4)</f>
        <v/>
      </c>
      <c r="AP24" s="238">
        <f>COUNTIF($D24:$AE24,AP$4)</f>
        <v/>
      </c>
      <c r="AQ24" s="238">
        <f>COUNTIF($D24:$AE24,AQ$4)</f>
        <v/>
      </c>
      <c r="AR24" s="238" t="n"/>
      <c r="AS24" s="239" t="n">
        <v>0.5</v>
      </c>
      <c r="AT24" s="239" t="n"/>
      <c r="AU24" s="238">
        <f>SUMPRODUCT(--(WEEKDAY(C$3:AG$3,2)&lt;5),--ISNUMBER(MATCH(C24:AG24,{"DM","CS1","CS2","SB1","AE","CS/B"},0)))</f>
        <v/>
      </c>
      <c r="AV24" s="238" t="n"/>
      <c r="AW24" s="238">
        <f>SUMPRODUCT(--(WEEKDAY(C$3:AG$3,2)=5),--ISNUMBER(MATCH(C24:AG24,{"DM","CS1","CS2","SB1","AE","CS/B"},0)))</f>
        <v/>
      </c>
      <c r="AX24" s="238">
        <f>SUMPRODUCT(--(WEEKDAY(C$3:AG$3,2)&gt;5),--ISNUMBER(MATCH(C24:AG24,{"DM","CS1","CS2","SB1","AE","CS/B"},0)))</f>
        <v/>
      </c>
      <c r="AY24" s="238" t="n"/>
      <c r="AZ24" s="238">
        <f>(AU24-AV24)+AW24*1.5+(AX24-AY24)*2+AN24*0.5+AP24*0.5+AS24-AT24</f>
        <v/>
      </c>
      <c r="BA24" s="238">
        <f>AU24+AW24+AX24</f>
        <v/>
      </c>
      <c r="BB24" s="238">
        <f>BE24+BG24+BI24+BK24+BM24</f>
        <v/>
      </c>
      <c r="BC24" s="239">
        <f>AZ24+BD24</f>
        <v/>
      </c>
      <c r="BD24" s="238">
        <f>BF24+BH24+BJ24+BL24+BN24</f>
        <v/>
      </c>
      <c r="BE24" s="238">
        <f>COUNTIF(A24:AI24,"*$BTP*")</f>
        <v/>
      </c>
      <c r="BF24" s="238">
        <f>BE24*1.5</f>
        <v/>
      </c>
      <c r="BG24" s="238">
        <f>COUNTIF(A24:AI24,"*$M*")</f>
        <v/>
      </c>
      <c r="BH24" s="238">
        <f>BG24*1</f>
        <v/>
      </c>
      <c r="BI24" s="238">
        <f>COUNTIF(A24:AI24,"*$PM*")</f>
        <v/>
      </c>
      <c r="BJ24" s="238">
        <f>BI24*0.5</f>
        <v/>
      </c>
      <c r="BK24" s="238">
        <f>COUNTIF(A24:AI24,"*$AM*")</f>
        <v/>
      </c>
      <c r="BL24" s="238">
        <f>BK24*0.5</f>
        <v/>
      </c>
      <c r="BM24" s="238">
        <f>COUNTIF(A24:AI24,"*$FC*")</f>
        <v/>
      </c>
      <c r="BN24" s="238">
        <f>BM24*1</f>
        <v/>
      </c>
      <c r="BO24" s="238">
        <f>COUNTIF($D24:$AA24,BO$4)</f>
        <v/>
      </c>
      <c r="BP24" s="238">
        <f>COUNTIF($D24:$AA24,BP$4)</f>
        <v/>
      </c>
      <c r="BQ24" s="238">
        <f>COUNTIF($D24:$AA24,BQ$4)</f>
        <v/>
      </c>
      <c r="BR24" s="240" t="n"/>
    </row>
    <row r="25" ht="19.5" customHeight="1">
      <c r="A25" s="233" t="n"/>
      <c r="B25" s="276" t="inlineStr">
        <is>
          <t xml:space="preserve">LCP KUEH YAN SHENG </t>
        </is>
      </c>
      <c r="C25" s="137" t="n"/>
      <c r="D25" s="137" t="n"/>
      <c r="E25" s="137" t="n"/>
      <c r="F25" s="241" t="inlineStr">
        <is>
          <t>AMPT</t>
        </is>
      </c>
      <c r="G25" s="137" t="n"/>
      <c r="H25" s="136" t="inlineStr">
        <is>
          <t>COHESION</t>
        </is>
      </c>
      <c r="I25" s="137" t="n"/>
      <c r="J25" s="137" t="n"/>
      <c r="L25" s="137" t="n"/>
      <c r="N25" s="137" t="n"/>
      <c r="P25" s="137" t="n"/>
      <c r="Q25" s="137" t="n"/>
      <c r="R25" s="137" t="n"/>
      <c r="S25" s="137" t="n"/>
      <c r="T25" s="137" t="n"/>
      <c r="X25" s="137" t="n"/>
      <c r="Z25" s="137" t="n"/>
      <c r="AA25" s="136" t="n"/>
      <c r="AC25" s="137" t="n"/>
      <c r="AD25" s="136" t="n"/>
      <c r="AE25" s="137" t="n"/>
      <c r="AF25" s="137" t="n"/>
      <c r="AG25" s="137" t="n"/>
      <c r="AH25" s="197" t="n"/>
      <c r="AI25" s="237">
        <f>COUNTIF($D25:$AE25,AI$4)</f>
        <v/>
      </c>
      <c r="AJ25" s="248">
        <f>COUNTIF($D25:$AE25,AJ$4)</f>
        <v/>
      </c>
      <c r="AK25" s="237">
        <f>COUNTIF($D25:$AE25,AK$4)</f>
        <v/>
      </c>
      <c r="AL25" s="237">
        <f>COUNTIF($D25:$AE25,AL$4)</f>
        <v/>
      </c>
      <c r="AM25" s="238">
        <f>COUNTIF($D25:$AE25,AM$4)</f>
        <v/>
      </c>
      <c r="AN25" s="238">
        <f>COUNTIF($D25:$AE25,AN$4)</f>
        <v/>
      </c>
      <c r="AO25" s="238">
        <f>COUNTIF($D25:$AE25,AO$4)</f>
        <v/>
      </c>
      <c r="AP25" s="238">
        <f>COUNTIF($D25:$AE25,AP$4)</f>
        <v/>
      </c>
      <c r="AQ25" s="238">
        <f>COUNTIF($D25:$AE25,AQ$4)</f>
        <v/>
      </c>
      <c r="AR25" s="238" t="n"/>
      <c r="AS25" s="239" t="n"/>
      <c r="AT25" s="239" t="n"/>
      <c r="AU25" s="238">
        <f>SUMPRODUCT(--(WEEKDAY(C$3:AG$3,2)&lt;5),--ISNUMBER(MATCH(C25:AG25,{"DM","CS1","CS2","SB1","AE","CS/B"},0)))</f>
        <v/>
      </c>
      <c r="AV25" s="238" t="n"/>
      <c r="AW25" s="238">
        <f>SUMPRODUCT(--(WEEKDAY(C$3:AG$3,2)=5),--ISNUMBER(MATCH(C25:AG25,{"DM","CS1","CS2","SB1","AE","CS/B"},0)))</f>
        <v/>
      </c>
      <c r="AX25" s="238">
        <f>SUMPRODUCT(--(WEEKDAY(C$3:AG$3,2)&gt;5),--ISNUMBER(MATCH(C25:AG25,{"DM","CS1","CS2","SB1","AE","CS/B"},0)))</f>
        <v/>
      </c>
      <c r="AY25" s="238" t="n"/>
      <c r="AZ25" s="238">
        <f>(AU25-AV25)+AW25*1.5+(AX25-AY25)*2+AN25*0.5+AP25*0.5+AS25-AT25</f>
        <v/>
      </c>
      <c r="BA25" s="238">
        <f>AU25+AW25+AX25</f>
        <v/>
      </c>
      <c r="BB25" s="238">
        <f>BE25+BG25+BI25+BK25+BM25</f>
        <v/>
      </c>
      <c r="BC25" s="239">
        <f>AZ25+BD25</f>
        <v/>
      </c>
      <c r="BD25" s="238">
        <f>BF25+BH25+BJ25+BL25+BN25</f>
        <v/>
      </c>
      <c r="BE25" s="238">
        <f>COUNTIF(A25:AI25,"*$BTP*")</f>
        <v/>
      </c>
      <c r="BF25" s="238">
        <f>BE25*1.5</f>
        <v/>
      </c>
      <c r="BG25" s="238">
        <f>COUNTIF(A25:AI25,"*$M*")</f>
        <v/>
      </c>
      <c r="BH25" s="238">
        <f>BG25*1</f>
        <v/>
      </c>
      <c r="BI25" s="238">
        <f>COUNTIF(A25:AI25,"*$PM*")</f>
        <v/>
      </c>
      <c r="BJ25" s="238">
        <f>BI25*0.5</f>
        <v/>
      </c>
      <c r="BK25" s="238">
        <f>COUNTIF(A25:AI25,"*$AM*")</f>
        <v/>
      </c>
      <c r="BL25" s="238">
        <f>BK25*0.5</f>
        <v/>
      </c>
      <c r="BM25" s="238">
        <f>COUNTIF(A25:AI25,"*$FC*")</f>
        <v/>
      </c>
      <c r="BN25" s="238">
        <f>BM25*1</f>
        <v/>
      </c>
      <c r="BO25" s="238">
        <f>COUNTIF($D25:$AA25,BO$4)</f>
        <v/>
      </c>
      <c r="BP25" s="238">
        <f>COUNTIF($D25:$AA25,BP$4)</f>
        <v/>
      </c>
      <c r="BQ25" s="238">
        <f>COUNTIF($D25:$AA25,BQ$4)</f>
        <v/>
      </c>
      <c r="BR25" s="240" t="n"/>
    </row>
    <row r="26" ht="19.5" customHeight="1">
      <c r="A26" s="233" t="n"/>
      <c r="B26" s="186" t="inlineStr">
        <is>
          <t>LCP MUHAMMAD YASIR BIN MUHAMMAD HIJAZ</t>
        </is>
      </c>
      <c r="C26" s="75" t="n"/>
      <c r="D26" s="75" t="inlineStr">
        <is>
          <t>AE</t>
        </is>
      </c>
      <c r="E26" s="75" t="n"/>
      <c r="F26" s="137" t="inlineStr">
        <is>
          <t>K $BTP (0515-2359)</t>
        </is>
      </c>
      <c r="G26" s="241" t="n"/>
      <c r="H26" s="136" t="inlineStr">
        <is>
          <t>COHESION</t>
        </is>
      </c>
      <c r="I26" s="75" t="inlineStr">
        <is>
          <t>RESERVE</t>
        </is>
      </c>
      <c r="J26" s="75" t="n"/>
      <c r="K26" s="241" t="inlineStr">
        <is>
          <t>PHLEBO</t>
        </is>
      </c>
      <c r="L26" s="241" t="inlineStr">
        <is>
          <t>PHLEBO</t>
        </is>
      </c>
      <c r="M26" s="241" t="inlineStr">
        <is>
          <t>PHLEBO</t>
        </is>
      </c>
      <c r="N26" s="75" t="inlineStr">
        <is>
          <t>M $PM IPPT (1530-2000)</t>
        </is>
      </c>
      <c r="O26" s="75" t="inlineStr">
        <is>
          <t>L $M 12KM (1400-2359)</t>
        </is>
      </c>
      <c r="P26" s="75" t="inlineStr">
        <is>
          <t>SB1</t>
        </is>
      </c>
      <c r="Q26" s="75" t="n"/>
      <c r="R26" s="75" t="inlineStr">
        <is>
          <t>AE</t>
        </is>
      </c>
      <c r="S26" s="75" t="n"/>
      <c r="T26" s="241" t="n"/>
      <c r="U26" s="136" t="inlineStr">
        <is>
          <t>BREAK FAST</t>
        </is>
      </c>
      <c r="V26" s="241" t="inlineStr">
        <is>
          <t>NEW YEAR OIL</t>
        </is>
      </c>
      <c r="W26" s="241" t="n"/>
      <c r="X26" s="241" t="n"/>
      <c r="Y26" s="137" t="inlineStr">
        <is>
          <t>AE</t>
        </is>
      </c>
      <c r="Z26" s="75" t="n"/>
      <c r="AA26" s="75" t="inlineStr">
        <is>
          <t>R $AM IPPT (0500-1000)</t>
        </is>
      </c>
      <c r="AB26" s="75" t="n"/>
      <c r="AC26" s="241" t="n"/>
      <c r="AD26" s="137" t="inlineStr">
        <is>
          <t>AE</t>
        </is>
      </c>
      <c r="AE26" s="137" t="n"/>
      <c r="AF26" s="75" t="n"/>
      <c r="AG26" s="75" t="n"/>
      <c r="AH26" s="197" t="n"/>
      <c r="AI26" s="237">
        <f>COUNTIF($D26:$AE26,AI$4)</f>
        <v/>
      </c>
      <c r="AJ26" s="248">
        <f>COUNTIF($D26:$AE26,AJ$4)</f>
        <v/>
      </c>
      <c r="AK26" s="237">
        <f>COUNTIF($D26:$AE26,AK$4)</f>
        <v/>
      </c>
      <c r="AL26" s="237">
        <f>COUNTIF($D26:$AE26,AL$4)</f>
        <v/>
      </c>
      <c r="AM26" s="238">
        <f>COUNTIF($D26:$AE26,AM$4)</f>
        <v/>
      </c>
      <c r="AN26" s="238">
        <f>COUNTIF($D26:$AE26,AN$4)</f>
        <v/>
      </c>
      <c r="AO26" s="238">
        <f>COUNTIF($D26:$AE26,AO$4)</f>
        <v/>
      </c>
      <c r="AP26" s="238">
        <f>COUNTIF($D26:$AE26,AP$4)</f>
        <v/>
      </c>
      <c r="AQ26" s="238">
        <f>COUNTIF($D26:$AE26,AQ$4)</f>
        <v/>
      </c>
      <c r="AR26" s="238" t="n"/>
      <c r="AS26" s="239" t="n">
        <v>2</v>
      </c>
      <c r="AT26" s="239" t="n"/>
      <c r="AU26" s="238">
        <f>SUMPRODUCT(--(WEEKDAY(C$3:AG$3,2)&lt;5),--ISNUMBER(MATCH(C26:AG26,{"DM","CS1","CS2","SB1","AE","CS/B"},0)))</f>
        <v/>
      </c>
      <c r="AV26" s="238" t="n"/>
      <c r="AW26" s="238">
        <f>SUMPRODUCT(--(WEEKDAY(C$3:AG$3,2)=5),--ISNUMBER(MATCH(C26:AG26,{"DM","CS1","CS2","SB1","AE","CS/B"},0)))</f>
        <v/>
      </c>
      <c r="AX26" s="238">
        <f>SUMPRODUCT(--(WEEKDAY(C$3:AG$3,2)&gt;5),--ISNUMBER(MATCH(C26:AG26,{"DM","CS1","CS2","SB1","AE","CS/B"},0)))</f>
        <v/>
      </c>
      <c r="AY26" s="238" t="n"/>
      <c r="AZ26" s="238">
        <f>(AU26-AV26)+AW26*1.5+(AX26-AY26)*2+AN26*0.5+AP26*0.5+AS26-AT26</f>
        <v/>
      </c>
      <c r="BA26" s="238">
        <f>AU26+AW26+AX26</f>
        <v/>
      </c>
      <c r="BB26" s="238">
        <f>BE26+BG26+BI26+BK26+BM26</f>
        <v/>
      </c>
      <c r="BC26" s="239">
        <f>AZ26+BD26</f>
        <v/>
      </c>
      <c r="BD26" s="238">
        <f>BF26+BH26+BJ26+BL26+BN26</f>
        <v/>
      </c>
      <c r="BE26" s="238">
        <f>COUNTIF(A26:AI26,"*$BTP*")</f>
        <v/>
      </c>
      <c r="BF26" s="238">
        <f>BE26*1.5</f>
        <v/>
      </c>
      <c r="BG26" s="238">
        <f>COUNTIF(A26:AI26,"*$M*")</f>
        <v/>
      </c>
      <c r="BH26" s="238">
        <f>BG26*1</f>
        <v/>
      </c>
      <c r="BI26" s="238">
        <f>COUNTIF(A26:AI26,"*$PM*")</f>
        <v/>
      </c>
      <c r="BJ26" s="238">
        <f>BI26*0.5</f>
        <v/>
      </c>
      <c r="BK26" s="238">
        <f>COUNTIF(A26:AI26,"*$AM*")</f>
        <v/>
      </c>
      <c r="BL26" s="238">
        <f>BK26*0.5</f>
        <v/>
      </c>
      <c r="BM26" s="238">
        <f>COUNTIF(A26:AI26,"*$FC*")</f>
        <v/>
      </c>
      <c r="BN26" s="238">
        <f>BM26*1</f>
        <v/>
      </c>
      <c r="BO26" s="238">
        <f>COUNTIF($D26:$AA26,BO$4)</f>
        <v/>
      </c>
      <c r="BP26" s="238">
        <f>COUNTIF($D26:$AA26,BP$4)</f>
        <v/>
      </c>
      <c r="BQ26" s="238">
        <f>COUNTIF($D26:$AA26,BQ$4)</f>
        <v/>
      </c>
      <c r="BR26" s="240" t="n"/>
    </row>
    <row r="27" ht="19.5" customHeight="1">
      <c r="A27" s="233" t="n"/>
      <c r="B27" s="277" t="inlineStr">
        <is>
          <t>CFC JASON TAN JIAN CHEN</t>
        </is>
      </c>
      <c r="C27" s="137" t="n"/>
      <c r="D27" s="137" t="inlineStr">
        <is>
          <t>Outfield Reserve</t>
        </is>
      </c>
      <c r="E27" s="137" t="inlineStr">
        <is>
          <t>Outfield Reserve</t>
        </is>
      </c>
      <c r="F27" s="137" t="inlineStr">
        <is>
          <t>Outfield Reserve</t>
        </is>
      </c>
      <c r="G27" s="137" t="inlineStr">
        <is>
          <t>Outfield Reserve</t>
        </is>
      </c>
      <c r="H27" s="136" t="inlineStr">
        <is>
          <t>COHESION</t>
        </is>
      </c>
      <c r="I27" s="137" t="n"/>
      <c r="J27" s="137" t="n"/>
      <c r="K27" s="137" t="n"/>
      <c r="L27" s="137" t="inlineStr">
        <is>
          <t>Outfield Reserve</t>
        </is>
      </c>
      <c r="M27" s="137" t="inlineStr">
        <is>
          <t>Outfield Reserve</t>
        </is>
      </c>
      <c r="N27" s="137" t="n"/>
      <c r="O27" s="137" t="inlineStr">
        <is>
          <t>NEW YEAR OIL</t>
        </is>
      </c>
      <c r="P27" s="137" t="inlineStr">
        <is>
          <t>OL</t>
        </is>
      </c>
      <c r="Q27" s="137" t="inlineStr">
        <is>
          <t>OL</t>
        </is>
      </c>
      <c r="R27" s="137" t="inlineStr">
        <is>
          <t>OL</t>
        </is>
      </c>
      <c r="S27" s="137" t="inlineStr">
        <is>
          <t>OL</t>
        </is>
      </c>
      <c r="T27" s="137" t="inlineStr">
        <is>
          <t>OL</t>
        </is>
      </c>
      <c r="U27" s="137" t="inlineStr">
        <is>
          <t>OL</t>
        </is>
      </c>
      <c r="V27" s="137" t="inlineStr">
        <is>
          <t>OL</t>
        </is>
      </c>
      <c r="W27" s="137" t="n"/>
      <c r="X27" s="137" t="n"/>
      <c r="Y27" s="137" t="n"/>
      <c r="AA27" s="75" t="n"/>
      <c r="AC27" s="137" t="n"/>
      <c r="AD27" s="137" t="n"/>
      <c r="AE27" s="137" t="n"/>
      <c r="AF27" s="137" t="n"/>
      <c r="AG27" s="137" t="n"/>
      <c r="AH27" s="197" t="n"/>
      <c r="AI27" s="237">
        <f>COUNTIF($D27:$AE27,AI$4)</f>
        <v/>
      </c>
      <c r="AJ27" s="248">
        <f>COUNTIF($D27:$AE27,AJ$4)</f>
        <v/>
      </c>
      <c r="AK27" s="237">
        <f>COUNTIF($D27:$AE27,AK$4)</f>
        <v/>
      </c>
      <c r="AL27" s="237">
        <f>COUNTIF($D27:$AE27,AL$4)</f>
        <v/>
      </c>
      <c r="AM27" s="238">
        <f>COUNTIF($D27:$AE27,AM$4)</f>
        <v/>
      </c>
      <c r="AN27" s="238">
        <f>COUNTIF($D27:$AE27,AN$4)</f>
        <v/>
      </c>
      <c r="AO27" s="238">
        <f>COUNTIF($D27:$AE27,AO$4)</f>
        <v/>
      </c>
      <c r="AP27" s="238">
        <f>COUNTIF($D27:$AE27,AP$4)</f>
        <v/>
      </c>
      <c r="AQ27" s="238">
        <f>COUNTIF($D27:$AE27,AQ$4)</f>
        <v/>
      </c>
      <c r="AR27" s="246" t="n"/>
      <c r="AS27" s="239" t="n"/>
      <c r="AT27" s="239" t="n"/>
      <c r="AU27" s="238">
        <f>SUMPRODUCT(--(WEEKDAY(C$3:AG$3,2)&lt;5),--ISNUMBER(MATCH(C27:AG27,{"DM","CS1","CS2","SB1","AE","CS/B"},0)))</f>
        <v/>
      </c>
      <c r="AV27" s="238" t="n"/>
      <c r="AW27" s="238">
        <f>SUMPRODUCT(--(WEEKDAY(C$3:AG$3,2)=5),--ISNUMBER(MATCH(C27:AG27,{"DM","CS1","CS2","SB1","AE","CS/B"},0)))</f>
        <v/>
      </c>
      <c r="AX27" s="238">
        <f>SUMPRODUCT(--(WEEKDAY(C$3:AG$3,2)&gt;5),--ISNUMBER(MATCH(C27:AG27,{"DM","CS1","CS2","SB1","AE","CS/B"},0)))</f>
        <v/>
      </c>
      <c r="AY27" s="246" t="n"/>
      <c r="AZ27" s="238">
        <f>(AU27-AV27)+AW27*1.5+(AX27-AY27)*2+AN27*0.5+AP27*0.5+AS27-AT27</f>
        <v/>
      </c>
      <c r="BA27" s="238">
        <f>AU27+AW27+AX27</f>
        <v/>
      </c>
      <c r="BB27" s="238">
        <f>BE27+BG27+BI27+BK27+BM27</f>
        <v/>
      </c>
      <c r="BC27" s="239">
        <f>AZ27+BD27</f>
        <v/>
      </c>
      <c r="BD27" s="238">
        <f>BF27+BH27+BJ27+BL27+BN27</f>
        <v/>
      </c>
      <c r="BE27" s="238">
        <f>COUNTIF(A27:AI27,"*$BTP*")</f>
        <v/>
      </c>
      <c r="BF27" s="238">
        <f>BE27*1.5</f>
        <v/>
      </c>
      <c r="BG27" s="238">
        <f>COUNTIF(A27:AI27,"*$M*")</f>
        <v/>
      </c>
      <c r="BH27" s="238">
        <f>BG27*1</f>
        <v/>
      </c>
      <c r="BI27" s="238">
        <f>COUNTIF(A27:AI27,"*$PM*")</f>
        <v/>
      </c>
      <c r="BJ27" s="238">
        <f>BI27*0.5</f>
        <v/>
      </c>
      <c r="BK27" s="238">
        <f>COUNTIF(A27:AI27,"*$AM*")</f>
        <v/>
      </c>
      <c r="BL27" s="238">
        <f>BK27*0.5</f>
        <v/>
      </c>
      <c r="BM27" s="238">
        <f>COUNTIF(A27:AI27,"*$FC*")</f>
        <v/>
      </c>
      <c r="BN27" s="238">
        <f>BM27*1</f>
        <v/>
      </c>
      <c r="BO27" s="238">
        <f>COUNTIF($D27:$AA27,BO$4)</f>
        <v/>
      </c>
      <c r="BP27" s="238">
        <f>COUNTIF($D27:$AA27,BP$4)</f>
        <v/>
      </c>
      <c r="BQ27" s="238">
        <f>COUNTIF($D27:$AA27,BQ$4)</f>
        <v/>
      </c>
      <c r="BR27" s="247" t="n"/>
    </row>
    <row r="28" ht="19.5" customHeight="1">
      <c r="A28" s="233" t="n"/>
      <c r="B28" s="186" t="inlineStr">
        <is>
          <t>LCP CHYE JING AN MAXIMUS</t>
        </is>
      </c>
      <c r="C28" s="75" t="inlineStr">
        <is>
          <t>CS/B</t>
        </is>
      </c>
      <c r="D28" s="75" t="n"/>
      <c r="E28" s="75" t="inlineStr">
        <is>
          <t>COVER RESERVE</t>
        </is>
      </c>
      <c r="F28" s="75" t="n"/>
      <c r="G28" s="137" t="inlineStr">
        <is>
          <t>C $FC</t>
        </is>
      </c>
      <c r="H28" s="137" t="inlineStr">
        <is>
          <t>C $FC</t>
        </is>
      </c>
      <c r="I28" s="75" t="inlineStr">
        <is>
          <t>C $AM FC</t>
        </is>
      </c>
      <c r="J28" s="75" t="n"/>
      <c r="K28" s="136" t="n"/>
      <c r="L28" s="136" t="inlineStr">
        <is>
          <t>CS1</t>
        </is>
      </c>
      <c r="M28" s="75" t="n"/>
      <c r="N28" s="136" t="inlineStr">
        <is>
          <t>RESERVE</t>
        </is>
      </c>
      <c r="O28" s="137" t="inlineStr">
        <is>
          <t>F $M RM (1400-2359)</t>
        </is>
      </c>
      <c r="P28" s="75" t="n"/>
      <c r="Q28" s="75" t="inlineStr">
        <is>
          <t>CS1</t>
        </is>
      </c>
      <c r="R28" s="75" t="n"/>
      <c r="S28" s="75" t="n"/>
      <c r="T28" s="75" t="n"/>
      <c r="U28" s="136" t="inlineStr">
        <is>
          <t>C $PM PERM SOC (1700-2000)</t>
        </is>
      </c>
      <c r="V28" s="136" t="n"/>
      <c r="W28" s="136" t="n"/>
      <c r="X28" s="75" t="n"/>
      <c r="Y28" s="75" t="n"/>
      <c r="Z28" s="75" t="inlineStr">
        <is>
          <t>CS2</t>
        </is>
      </c>
      <c r="AB28" s="75" t="n"/>
      <c r="AC28" s="136" t="n"/>
      <c r="AD28" s="75" t="n"/>
      <c r="AE28" s="137" t="n"/>
      <c r="AF28" s="75" t="n"/>
      <c r="AG28" s="75" t="n"/>
      <c r="AH28" s="197" t="n"/>
      <c r="AI28" s="237">
        <f>COUNTIF($D28:$AE28,AI$4)</f>
        <v/>
      </c>
      <c r="AJ28" s="248">
        <f>COUNTIF($D28:$AE28,AJ$4)</f>
        <v/>
      </c>
      <c r="AK28" s="237">
        <f>COUNTIF($D28:$AE28,AK$4)</f>
        <v/>
      </c>
      <c r="AL28" s="237">
        <f>COUNTIF($D28:$AE28,AL$4)</f>
        <v/>
      </c>
      <c r="AM28" s="238">
        <f>COUNTIF($D28:$AE28,AM$4)</f>
        <v/>
      </c>
      <c r="AN28" s="238">
        <f>COUNTIF($D28:$AE28,AN$4)</f>
        <v/>
      </c>
      <c r="AO28" s="238">
        <f>COUNTIF($D28:$AE28,AO$4)</f>
        <v/>
      </c>
      <c r="AP28" s="238">
        <f>COUNTIF($D28:$AE28,AP$4)</f>
        <v/>
      </c>
      <c r="AQ28" s="238">
        <f>COUNTIF($D28:$AE28,AQ$4)</f>
        <v/>
      </c>
      <c r="AR28" s="246" t="n"/>
      <c r="AS28" s="239" t="n"/>
      <c r="AT28" s="239" t="n"/>
      <c r="AU28" s="238">
        <f>SUMPRODUCT(--(WEEKDAY(C$3:AG$3,2)&lt;5),--ISNUMBER(MATCH(C28:AG28,{"DM","CS1","CS2","SB1","AE","CS/B"},0)))</f>
        <v/>
      </c>
      <c r="AV28" s="246" t="n"/>
      <c r="AW28" s="238">
        <f>SUMPRODUCT(--(WEEKDAY(C$3:AG$3,2)=5),--ISNUMBER(MATCH(C28:AG28,{"DM","CS1","CS2","SB1","AE","CS/B"},0)))</f>
        <v/>
      </c>
      <c r="AX28" s="238">
        <f>SUMPRODUCT(--(WEEKDAY(C$3:AG$3,2)&gt;5),--ISNUMBER(MATCH(C28:AG28,{"DM","CS1","CS2","SB1","AE","CS/B"},0)))</f>
        <v/>
      </c>
      <c r="AY28" s="246" t="n"/>
      <c r="AZ28" s="238">
        <f>(AU28-AV28)+AW28*1.5+(AX28-AY28)*2+AN28*0.5+AP28*0.5+AS28-AT28</f>
        <v/>
      </c>
      <c r="BA28" s="238">
        <f>AU28+AW28+AX28</f>
        <v/>
      </c>
      <c r="BB28" s="238">
        <f>BE28+BG28+BI28+BK28+BM28</f>
        <v/>
      </c>
      <c r="BC28" s="239">
        <f>AZ28+BD28</f>
        <v/>
      </c>
      <c r="BD28" s="238">
        <f>BF28+BH28+BJ28+BL28+BN28</f>
        <v/>
      </c>
      <c r="BE28" s="238">
        <f>COUNTIF(A28:AI28,"*$BTP*")</f>
        <v/>
      </c>
      <c r="BF28" s="238">
        <f>BE28*1.5</f>
        <v/>
      </c>
      <c r="BG28" s="238">
        <f>COUNTIF(A28:AI28,"*$M*")</f>
        <v/>
      </c>
      <c r="BH28" s="238">
        <f>BG28*1</f>
        <v/>
      </c>
      <c r="BI28" s="238">
        <f>COUNTIF(A28:AI28,"*$PM*")</f>
        <v/>
      </c>
      <c r="BJ28" s="238">
        <f>BI28*0.5</f>
        <v/>
      </c>
      <c r="BK28" s="238">
        <f>COUNTIF(A28:AI28,"*$AM*")</f>
        <v/>
      </c>
      <c r="BL28" s="238">
        <f>BK28*0.5</f>
        <v/>
      </c>
      <c r="BM28" s="238">
        <f>COUNTIF(A28:AI28,"*$FC*")</f>
        <v/>
      </c>
      <c r="BN28" s="238">
        <f>BM28*1</f>
        <v/>
      </c>
      <c r="BO28" s="238">
        <f>COUNTIF($D28:$AA28,BO$4)</f>
        <v/>
      </c>
      <c r="BP28" s="238">
        <f>COUNTIF($D28:$AA28,BP$4)</f>
        <v/>
      </c>
      <c r="BQ28" s="238">
        <f>COUNTIF($D28:$AA28,BQ$4)</f>
        <v/>
      </c>
      <c r="BR28" s="247" t="n"/>
    </row>
    <row r="29" ht="19.5" customHeight="1">
      <c r="A29" s="233" t="n"/>
      <c r="B29" s="186" t="inlineStr">
        <is>
          <t>LCP TAN JUN YANG KELVIN</t>
        </is>
      </c>
      <c r="C29" s="137" t="n"/>
      <c r="D29" s="136" t="n"/>
      <c r="E29" s="136" t="n"/>
      <c r="F29" s="137" t="n"/>
      <c r="G29" s="137" t="inlineStr">
        <is>
          <t>K $BTP (0515-2359)</t>
        </is>
      </c>
      <c r="H29" s="136" t="inlineStr">
        <is>
          <t>COHESION</t>
        </is>
      </c>
      <c r="I29" s="244" t="n"/>
      <c r="J29" s="244" t="n"/>
      <c r="K29" s="136" t="n"/>
      <c r="L29" s="136" t="inlineStr">
        <is>
          <t>COVER RESERVE</t>
        </is>
      </c>
      <c r="M29" s="244" t="n"/>
      <c r="N29" s="1" t="inlineStr">
        <is>
          <t>L $PM PERM SOC (1700-2000)</t>
        </is>
      </c>
      <c r="O29" s="242" t="inlineStr">
        <is>
          <t>AL</t>
        </is>
      </c>
      <c r="P29" s="137" t="n"/>
      <c r="Q29" s="137" t="n"/>
      <c r="R29" s="244" t="n"/>
      <c r="S29" s="137" t="n"/>
      <c r="T29" s="137" t="n"/>
      <c r="U29" s="137" t="inlineStr">
        <is>
          <t>SB2</t>
        </is>
      </c>
      <c r="V29" s="136" t="inlineStr">
        <is>
          <t>CS2</t>
        </is>
      </c>
      <c r="W29" s="136" t="n"/>
      <c r="X29" s="136" t="n"/>
      <c r="Y29" s="75" t="inlineStr">
        <is>
          <t>CS1</t>
        </is>
      </c>
      <c r="Z29" s="136" t="inlineStr">
        <is>
          <t>SB2</t>
        </is>
      </c>
      <c r="AA29" s="136" t="inlineStr">
        <is>
          <t>SB1</t>
        </is>
      </c>
      <c r="AB29" s="244" t="n"/>
      <c r="AD29" s="137" t="inlineStr">
        <is>
          <t>RESERVE</t>
        </is>
      </c>
      <c r="AE29" s="137" t="n"/>
      <c r="AF29" s="137" t="n"/>
      <c r="AG29" s="137" t="n"/>
      <c r="AH29" s="197" t="n"/>
      <c r="AI29" s="237">
        <f>COUNTIF($D29:$AE29,AI$4)</f>
        <v/>
      </c>
      <c r="AJ29" s="248">
        <f>COUNTIF($D29:$AE29,AJ$4)</f>
        <v/>
      </c>
      <c r="AK29" s="237">
        <f>COUNTIF($D29:$AE29,AK$4)</f>
        <v/>
      </c>
      <c r="AL29" s="237">
        <f>COUNTIF($D29:$AE29,AL$4)</f>
        <v/>
      </c>
      <c r="AM29" s="238">
        <f>COUNTIF($D29:$AE29,AM$4)</f>
        <v/>
      </c>
      <c r="AN29" s="238">
        <f>COUNTIF($D29:$AE29,AN$4)</f>
        <v/>
      </c>
      <c r="AO29" s="238">
        <f>COUNTIF($D29:$AE29,AO$4)</f>
        <v/>
      </c>
      <c r="AP29" s="238">
        <f>COUNTIF($D29:$AE29,AP$4)</f>
        <v/>
      </c>
      <c r="AQ29" s="238">
        <f>COUNTIF($D29:$AE29,AQ$4)</f>
        <v/>
      </c>
      <c r="AR29" s="246" t="n"/>
      <c r="AS29" s="239" t="n">
        <v>0.5</v>
      </c>
      <c r="AT29" s="239" t="n"/>
      <c r="AU29" s="238">
        <f>SUMPRODUCT(--(WEEKDAY(C$3:AG$3,2)&lt;5),--ISNUMBER(MATCH(C29:AG29,{"DM","CS1","CS2","SB1","AE","CS/B"},0)))</f>
        <v/>
      </c>
      <c r="AV29" s="246" t="n"/>
      <c r="AW29" s="238">
        <f>SUMPRODUCT(--(WEEKDAY(C$3:AG$3,2)=5),--ISNUMBER(MATCH(C29:AG29,{"DM","CS1","CS2","SB1","AE","CS/B"},0)))</f>
        <v/>
      </c>
      <c r="AX29" s="238">
        <f>SUMPRODUCT(--(WEEKDAY(C$3:AG$3,2)&gt;5),--ISNUMBER(MATCH(C29:AG29,{"DM","CS1","CS2","SB1","AE","CS/B"},0)))</f>
        <v/>
      </c>
      <c r="AY29" s="246" t="n"/>
      <c r="AZ29" s="238">
        <f>(AU29-AV29)+AW29*1.5+(AX29-AY29)*2+AN29*0.5+AP29*0.5+AS29-AT29</f>
        <v/>
      </c>
      <c r="BA29" s="238">
        <f>AU29+AW29+AX29</f>
        <v/>
      </c>
      <c r="BB29" s="238">
        <f>BE29+BG29+BI29+BK29+BM29</f>
        <v/>
      </c>
      <c r="BC29" s="239">
        <f>AZ29+BD29</f>
        <v/>
      </c>
      <c r="BD29" s="238">
        <f>BF29+BH29+BJ29+BL29+BN29</f>
        <v/>
      </c>
      <c r="BE29" s="238">
        <f>COUNTIF(A29:AI29,"*$BTP*")</f>
        <v/>
      </c>
      <c r="BF29" s="238">
        <f>BE29*1.5</f>
        <v/>
      </c>
      <c r="BG29" s="238">
        <f>COUNTIF(A29:AI29,"*$M*")</f>
        <v/>
      </c>
      <c r="BH29" s="238">
        <f>BG29*1</f>
        <v/>
      </c>
      <c r="BI29" s="238">
        <f>COUNTIF(A29:AI29,"*$PM*")</f>
        <v/>
      </c>
      <c r="BJ29" s="238">
        <f>BI29*0.5</f>
        <v/>
      </c>
      <c r="BK29" s="238">
        <f>COUNTIF(A29:AI29,"*$AM*")</f>
        <v/>
      </c>
      <c r="BL29" s="238">
        <f>BK29*0.5</f>
        <v/>
      </c>
      <c r="BM29" s="238">
        <f>COUNTIF(A29:AI29,"*$FC*")</f>
        <v/>
      </c>
      <c r="BN29" s="238">
        <f>BM29*1</f>
        <v/>
      </c>
      <c r="BO29" s="238">
        <f>COUNTIF($D29:$AA29,BO$4)</f>
        <v/>
      </c>
      <c r="BP29" s="238">
        <f>COUNTIF($D29:$AA29,BP$4)</f>
        <v/>
      </c>
      <c r="BQ29" s="238">
        <f>COUNTIF($D29:$AA29,BQ$4)</f>
        <v/>
      </c>
      <c r="BR29" s="247" t="n"/>
    </row>
    <row r="30" ht="19.5" customHeight="1">
      <c r="A30" s="233" t="n"/>
      <c r="B30" s="278" t="inlineStr">
        <is>
          <t>CPL EUAN TING</t>
        </is>
      </c>
      <c r="C30" s="241" t="inlineStr">
        <is>
          <t>no more duty</t>
        </is>
      </c>
      <c r="D30" s="136" t="n"/>
      <c r="E30" s="75" t="n"/>
      <c r="F30" s="75" t="n"/>
      <c r="G30" s="75" t="n"/>
      <c r="H30" s="75" t="inlineStr">
        <is>
          <t>RESERVE</t>
        </is>
      </c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inlineStr">
        <is>
          <t>DM</t>
        </is>
      </c>
      <c r="R30" s="241" t="inlineStr">
        <is>
          <t>owadio</t>
        </is>
      </c>
      <c r="S30" s="75" t="n"/>
      <c r="T30" s="75" t="n"/>
      <c r="U30" s="75" t="n"/>
      <c r="V30" s="75" t="n"/>
      <c r="W30" s="75" t="n"/>
      <c r="X30" s="75" t="n"/>
      <c r="Y30" s="136" t="n"/>
      <c r="Z30" s="75" t="n"/>
      <c r="AA30" s="136" t="n"/>
      <c r="AB30" s="75" t="n"/>
      <c r="AC30" s="75" t="n"/>
      <c r="AD30" s="75" t="n"/>
      <c r="AE30" s="75" t="n"/>
      <c r="AF30" s="75" t="n"/>
      <c r="AG30" s="75" t="n"/>
      <c r="AH30" s="197" t="n"/>
      <c r="AI30" s="237">
        <f>COUNTIF($D30:$AE30,AI$4)</f>
        <v/>
      </c>
      <c r="AJ30" s="248">
        <f>COUNTIF($D30:$AE30,AJ$4)</f>
        <v/>
      </c>
      <c r="AK30" s="237">
        <f>COUNTIF($D30:$AE30,AK$4)</f>
        <v/>
      </c>
      <c r="AL30" s="237">
        <f>COUNTIF($D30:$AE30,AL$4)</f>
        <v/>
      </c>
      <c r="AM30" s="238">
        <f>COUNTIF($D30:$AE30,AM$4)</f>
        <v/>
      </c>
      <c r="AN30" s="238">
        <f>COUNTIF($D30:$AE30,AN$4)</f>
        <v/>
      </c>
      <c r="AO30" s="238">
        <f>COUNTIF($D30:$AE30,AO$4)</f>
        <v/>
      </c>
      <c r="AP30" s="238">
        <f>COUNTIF($D30:$AE30,AP$4)</f>
        <v/>
      </c>
      <c r="AQ30" s="238">
        <f>COUNTIF($D30:$AE30,AQ$4)</f>
        <v/>
      </c>
      <c r="AR30" s="246" t="n"/>
      <c r="AS30" s="239" t="n"/>
      <c r="AT30" s="239" t="n"/>
      <c r="AU30" s="238">
        <f>SUMPRODUCT(--(WEEKDAY(C$3:AG$3,2)&lt;5),--ISNUMBER(MATCH(C30:AG30,{"DM","CS1","CS2","SB1","AE","CS/B"},0)))</f>
        <v/>
      </c>
      <c r="AV30" s="246" t="n"/>
      <c r="AW30" s="238">
        <f>SUMPRODUCT(--(WEEKDAY(C$3:AG$3,2)=5),--ISNUMBER(MATCH(C30:AG30,{"DM","CS1","CS2","SB1","AE","CS/B"},0)))</f>
        <v/>
      </c>
      <c r="AX30" s="238">
        <f>SUMPRODUCT(--(WEEKDAY(C$3:AG$3,2)&gt;5),--ISNUMBER(MATCH(C30:AG30,{"DM","CS1","CS2","SB1","AE","CS/B"},0)))</f>
        <v/>
      </c>
      <c r="AY30" s="246" t="n"/>
      <c r="AZ30" s="238">
        <f>(AU30-AV30)+AW30*1.5+(AX30-AY30)*2+AN30*0.5+AP30*0.5+AS30-AT30</f>
        <v/>
      </c>
      <c r="BA30" s="238">
        <f>AU30+AW30+AX30</f>
        <v/>
      </c>
      <c r="BB30" s="238">
        <f>BE30+BG30+BI30+BK30+BM30</f>
        <v/>
      </c>
      <c r="BC30" s="239">
        <f>AZ30+BD30</f>
        <v/>
      </c>
      <c r="BD30" s="238">
        <f>BF30+BH30+BJ30+BL30+BN30</f>
        <v/>
      </c>
      <c r="BE30" s="238">
        <f>COUNTIF(A30:AI30,"*$BTP*")</f>
        <v/>
      </c>
      <c r="BF30" s="238">
        <f>BE30*1.5</f>
        <v/>
      </c>
      <c r="BG30" s="238">
        <f>COUNTIF(A30:AI30,"*$M*")</f>
        <v/>
      </c>
      <c r="BH30" s="238">
        <f>BG30*1</f>
        <v/>
      </c>
      <c r="BI30" s="238">
        <f>COUNTIF(A30:AI30,"*$PM*")</f>
        <v/>
      </c>
      <c r="BJ30" s="238">
        <f>BI30*0.5</f>
        <v/>
      </c>
      <c r="BK30" s="238">
        <f>COUNTIF(A30:AI30,"*$AM*")</f>
        <v/>
      </c>
      <c r="BL30" s="238">
        <f>BK30*0.5</f>
        <v/>
      </c>
      <c r="BM30" s="238">
        <f>COUNTIF(A30:AI30,"*$FC*")</f>
        <v/>
      </c>
      <c r="BN30" s="238">
        <f>BM30*1</f>
        <v/>
      </c>
      <c r="BO30" s="238">
        <f>COUNTIF($D30:$AA30,BO$4)</f>
        <v/>
      </c>
      <c r="BP30" s="238">
        <f>COUNTIF($D30:$AA30,BP$4)</f>
        <v/>
      </c>
      <c r="BQ30" s="238">
        <f>COUNTIF($D30:$AA30,BQ$4)</f>
        <v/>
      </c>
      <c r="BR30" s="247" t="n"/>
    </row>
    <row r="31" ht="19.5" customHeight="1">
      <c r="A31" s="233" t="n"/>
      <c r="B31" s="279" t="inlineStr">
        <is>
          <t>LCP QUEK ZI YI</t>
        </is>
      </c>
      <c r="C31" s="137" t="n"/>
      <c r="D31" s="136" t="inlineStr">
        <is>
          <t>CS/B</t>
        </is>
      </c>
      <c r="E31" s="136" t="n"/>
      <c r="F31" s="136" t="inlineStr">
        <is>
          <t>COVER RESERVE</t>
        </is>
      </c>
      <c r="G31" s="137" t="inlineStr">
        <is>
          <t>A $AM RM (0600-1100)</t>
        </is>
      </c>
      <c r="H31" s="137" t="inlineStr">
        <is>
          <t>CS1</t>
        </is>
      </c>
      <c r="I31" s="244" t="n"/>
      <c r="J31" s="244" t="inlineStr">
        <is>
          <t>B for BDAY🤪</t>
        </is>
      </c>
      <c r="K31" s="244" t="inlineStr">
        <is>
          <t>FC OIL</t>
        </is>
      </c>
      <c r="L31" s="137" t="inlineStr">
        <is>
          <t>DM</t>
        </is>
      </c>
      <c r="M31" s="137" t="n"/>
      <c r="N31" s="136" t="inlineStr">
        <is>
          <t>SB2</t>
        </is>
      </c>
      <c r="O31" s="244" t="n"/>
      <c r="P31" s="242" t="inlineStr">
        <is>
          <t>OL</t>
        </is>
      </c>
      <c r="Q31" s="242" t="inlineStr">
        <is>
          <t>OL</t>
        </is>
      </c>
      <c r="R31" s="242" t="inlineStr">
        <is>
          <t>OL</t>
        </is>
      </c>
      <c r="S31" s="242" t="inlineStr">
        <is>
          <t>OL</t>
        </is>
      </c>
      <c r="T31" s="242" t="inlineStr">
        <is>
          <t>OL</t>
        </is>
      </c>
      <c r="U31" s="244" t="inlineStr">
        <is>
          <t>OIL</t>
        </is>
      </c>
      <c r="V31" s="242" t="inlineStr">
        <is>
          <t>OL</t>
        </is>
      </c>
      <c r="W31" s="244" t="n"/>
      <c r="X31" s="244" t="n"/>
      <c r="Y31" s="75" t="n"/>
      <c r="Z31" s="137" t="n"/>
      <c r="AA31" s="136" t="inlineStr">
        <is>
          <t>DM</t>
        </is>
      </c>
      <c r="AB31" s="137" t="inlineStr">
        <is>
          <t>P $M RE RM (2000-0100)</t>
        </is>
      </c>
      <c r="AC31" s="137" t="n"/>
      <c r="AD31" s="137" t="inlineStr">
        <is>
          <t>CS2</t>
        </is>
      </c>
      <c r="AE31" s="137" t="n"/>
      <c r="AF31" s="137" t="n"/>
      <c r="AG31" s="137" t="n"/>
      <c r="AH31" s="53" t="n"/>
      <c r="AI31" s="237">
        <f>COUNTIF($D31:$AE31,AI$4)</f>
        <v/>
      </c>
      <c r="AJ31" s="248">
        <f>COUNTIF($D31:$AE31,AJ$4)</f>
        <v/>
      </c>
      <c r="AK31" s="237">
        <f>COUNTIF($D31:$AE31,AK$4)</f>
        <v/>
      </c>
      <c r="AL31" s="237">
        <f>COUNTIF($D31:$AE31,AL$4)</f>
        <v/>
      </c>
      <c r="AM31" s="238">
        <f>COUNTIF($D31:$AE31,AM$4)</f>
        <v/>
      </c>
      <c r="AN31" s="238">
        <f>COUNTIF($D31:$AE31,AN$4)</f>
        <v/>
      </c>
      <c r="AO31" s="238">
        <f>COUNTIF($D31:$AE31,AO$4)</f>
        <v/>
      </c>
      <c r="AP31" s="238">
        <f>COUNTIF($D31:$AE31,AP$4)</f>
        <v/>
      </c>
      <c r="AQ31" s="238">
        <f>COUNTIF($D31:$AE31,AQ$4)</f>
        <v/>
      </c>
      <c r="AR31" s="246" t="n"/>
      <c r="AS31" s="239" t="n"/>
      <c r="AT31" s="239" t="n">
        <v>0.5</v>
      </c>
      <c r="AU31" s="238">
        <f>SUMPRODUCT(--(WEEKDAY(C$3:AG$3,2)&lt;5),--ISNUMBER(MATCH(C31:AG31,{"DM","CS1","CS2","SB1","AE","CS/B"},0)))</f>
        <v/>
      </c>
      <c r="AV31" s="246" t="n"/>
      <c r="AW31" s="238">
        <f>SUMPRODUCT(--(WEEKDAY(C$3:AG$3,2)=5),--ISNUMBER(MATCH(C31:AG31,{"DM","CS1","CS2","SB1","AE","CS/B"},0)))</f>
        <v/>
      </c>
      <c r="AX31" s="238">
        <f>SUMPRODUCT(--(WEEKDAY(C$3:AG$3,2)&gt;5),--ISNUMBER(MATCH(C31:AG31,{"DM","CS1","CS2","SB1","AE","CS/B"},0)))</f>
        <v/>
      </c>
      <c r="AY31" s="246" t="n"/>
      <c r="AZ31" s="238">
        <f>(AU31-AV31)+AW31*1.5+(AX31-AY31)*2+AN31*0.5+AP31*0.5+AS31-AT31</f>
        <v/>
      </c>
      <c r="BA31" s="238">
        <f>AU31+AW31+AX31</f>
        <v/>
      </c>
      <c r="BB31" s="238">
        <f>BE31+BG31+BI31+BK31+BM31</f>
        <v/>
      </c>
      <c r="BC31" s="239">
        <f>AZ31+BD31</f>
        <v/>
      </c>
      <c r="BD31" s="238">
        <f>BF31+BH31+BJ31+BL31+BN31</f>
        <v/>
      </c>
      <c r="BE31" s="238">
        <f>COUNTIF(A31:AI31,"*$BTP*")</f>
        <v/>
      </c>
      <c r="BF31" s="238">
        <f>BE31*1.5</f>
        <v/>
      </c>
      <c r="BG31" s="238">
        <f>COUNTIF(A31:AI31,"*$M*")</f>
        <v/>
      </c>
      <c r="BH31" s="238">
        <f>BG31*1</f>
        <v/>
      </c>
      <c r="BI31" s="238">
        <f>COUNTIF(A31:AI31,"*$PM*")</f>
        <v/>
      </c>
      <c r="BJ31" s="238">
        <f>BI31*0.5</f>
        <v/>
      </c>
      <c r="BK31" s="238">
        <f>COUNTIF(A31:AI31,"*$AM*")</f>
        <v/>
      </c>
      <c r="BL31" s="238">
        <f>BK31*0.5</f>
        <v/>
      </c>
      <c r="BM31" s="238">
        <f>COUNTIF(A31:AI31,"*$FC*")</f>
        <v/>
      </c>
      <c r="BN31" s="238">
        <f>BM31*1</f>
        <v/>
      </c>
      <c r="BO31" s="238">
        <f>COUNTIF($D31:$AA31,BO$4)</f>
        <v/>
      </c>
      <c r="BP31" s="238">
        <f>COUNTIF($D31:$AA31,BP$4)</f>
        <v/>
      </c>
      <c r="BQ31" s="238">
        <f>COUNTIF($D31:$AA31,BQ$4)</f>
        <v/>
      </c>
      <c r="BR31" s="247" t="n"/>
    </row>
    <row r="32" ht="19.5" customHeight="1">
      <c r="A32" s="233" t="n"/>
      <c r="B32" s="279" t="inlineStr">
        <is>
          <t>LCP ZHANG ZHONGHAO</t>
        </is>
      </c>
      <c r="C32" s="75" t="n"/>
      <c r="D32" s="75" t="n"/>
      <c r="E32" s="137" t="inlineStr">
        <is>
          <t>L $AM CC (0600-1100)</t>
        </is>
      </c>
      <c r="F32" s="137" t="inlineStr">
        <is>
          <t>Outfield Reserve</t>
        </is>
      </c>
      <c r="G32" s="136" t="inlineStr">
        <is>
          <t>CS/B</t>
        </is>
      </c>
      <c r="H32" s="136" t="inlineStr">
        <is>
          <t>COHESION</t>
        </is>
      </c>
      <c r="I32" s="75" t="inlineStr">
        <is>
          <t>CS2</t>
        </is>
      </c>
      <c r="J32" s="137" t="n"/>
      <c r="K32" s="137" t="inlineStr">
        <is>
          <t>Outfield Reserve</t>
        </is>
      </c>
      <c r="L32" s="75" t="inlineStr">
        <is>
          <t>SB2</t>
        </is>
      </c>
      <c r="M32" s="75" t="inlineStr">
        <is>
          <t>M $BTP (0515-2359)</t>
        </is>
      </c>
      <c r="O32" s="136" t="n"/>
      <c r="P32" s="75" t="inlineStr">
        <is>
          <t>OL</t>
        </is>
      </c>
      <c r="Q32" s="75" t="inlineStr">
        <is>
          <t>OL</t>
        </is>
      </c>
      <c r="R32" s="75" t="inlineStr">
        <is>
          <t>OL</t>
        </is>
      </c>
      <c r="S32" s="75" t="inlineStr">
        <is>
          <t>OL</t>
        </is>
      </c>
      <c r="T32" s="75" t="inlineStr">
        <is>
          <t>OL</t>
        </is>
      </c>
      <c r="U32" s="75" t="inlineStr">
        <is>
          <t>OL</t>
        </is>
      </c>
      <c r="V32" s="75" t="inlineStr">
        <is>
          <t>OL</t>
        </is>
      </c>
      <c r="W32" s="75" t="inlineStr">
        <is>
          <t>OL</t>
        </is>
      </c>
      <c r="X32" s="75" t="inlineStr">
        <is>
          <t>OL</t>
        </is>
      </c>
      <c r="Y32" s="75" t="inlineStr">
        <is>
          <t>OL</t>
        </is>
      </c>
      <c r="Z32" s="75" t="inlineStr">
        <is>
          <t>OL</t>
        </is>
      </c>
      <c r="AA32" s="75" t="inlineStr">
        <is>
          <t>OL</t>
        </is>
      </c>
      <c r="AB32" s="75" t="inlineStr">
        <is>
          <t>OL</t>
        </is>
      </c>
      <c r="AC32" s="75" t="inlineStr">
        <is>
          <t>OL</t>
        </is>
      </c>
      <c r="AD32" s="75" t="n"/>
      <c r="AE32" s="75" t="n"/>
      <c r="AF32" s="75" t="n"/>
      <c r="AG32" s="75" t="n"/>
      <c r="AH32" s="197" t="n"/>
      <c r="AI32" s="237">
        <f>COUNTIF($D32:$AE32,AI$4)</f>
        <v/>
      </c>
      <c r="AJ32" s="248">
        <f>COUNTIF($D32:$AE32,AJ$4)</f>
        <v/>
      </c>
      <c r="AK32" s="237">
        <f>COUNTIF($D32:$AE32,AK$4)</f>
        <v/>
      </c>
      <c r="AL32" s="237">
        <f>COUNTIF($D32:$AE32,AL$4)</f>
        <v/>
      </c>
      <c r="AM32" s="238">
        <f>COUNTIF($D32:$AE32,AM$4)</f>
        <v/>
      </c>
      <c r="AN32" s="238">
        <f>COUNTIF($D32:$AE32,AN$4)</f>
        <v/>
      </c>
      <c r="AO32" s="238">
        <f>COUNTIF($D32:$AE32,AO$4)</f>
        <v/>
      </c>
      <c r="AP32" s="238">
        <f>COUNTIF($D32:$AE32,AP$4)</f>
        <v/>
      </c>
      <c r="AQ32" s="238">
        <f>COUNTIF($D32:$AE32,AQ$4)</f>
        <v/>
      </c>
      <c r="AR32" s="246" t="n"/>
      <c r="AS32" s="239" t="n">
        <v>1</v>
      </c>
      <c r="AT32" s="239" t="n"/>
      <c r="AU32" s="238">
        <f>SUMPRODUCT(--(WEEKDAY(C$3:AG$3,2)&lt;5),--ISNUMBER(MATCH(C32:AG32,{"DM","CS1","CS2","SB1","AE","CS/B"},0)))</f>
        <v/>
      </c>
      <c r="AV32" s="246" t="n"/>
      <c r="AW32" s="238">
        <f>SUMPRODUCT(--(WEEKDAY(C$3:AG$3,2)=5),--ISNUMBER(MATCH(C32:AG32,{"DM","CS1","CS2","SB1","AE","CS/B"},0)))</f>
        <v/>
      </c>
      <c r="AX32" s="238">
        <f>SUMPRODUCT(--(WEEKDAY(C$3:AG$3,2)&gt;5),--ISNUMBER(MATCH(C32:AG32,{"DM","CS1","CS2","SB1","AE","CS/B"},0)))</f>
        <v/>
      </c>
      <c r="AY32" s="246" t="n"/>
      <c r="AZ32" s="238">
        <f>(AU32-AV32)+AW32*1.5+(AX32-AY32)*2+AN32*0.5+AP32*0.5+AS32-AT32</f>
        <v/>
      </c>
      <c r="BA32" s="238">
        <f>AU32+AW32+AX32</f>
        <v/>
      </c>
      <c r="BB32" s="238">
        <f>BE32+BG32+BI32+BK32+BM32</f>
        <v/>
      </c>
      <c r="BC32" s="239">
        <f>AZ32+BD32</f>
        <v/>
      </c>
      <c r="BD32" s="238">
        <f>BF32+BH32+BJ32+BL32+BN32</f>
        <v/>
      </c>
      <c r="BE32" s="238">
        <f>COUNTIF(A32:AI32,"*$BTP*")</f>
        <v/>
      </c>
      <c r="BF32" s="238">
        <f>BE32*1.5</f>
        <v/>
      </c>
      <c r="BG32" s="238">
        <f>COUNTIF(A32:AI32,"*$M*")</f>
        <v/>
      </c>
      <c r="BH32" s="238">
        <f>BG32*1</f>
        <v/>
      </c>
      <c r="BI32" s="238">
        <f>COUNTIF(A32:AI32,"*$PM*")</f>
        <v/>
      </c>
      <c r="BJ32" s="238">
        <f>BI32*0.5</f>
        <v/>
      </c>
      <c r="BK32" s="238">
        <f>COUNTIF(A32:AI32,"*$AM*")</f>
        <v/>
      </c>
      <c r="BL32" s="238">
        <f>BK32*0.5</f>
        <v/>
      </c>
      <c r="BM32" s="238">
        <f>COUNTIF(A32:AI32,"*$FC*")</f>
        <v/>
      </c>
      <c r="BN32" s="238">
        <f>BM32*1</f>
        <v/>
      </c>
      <c r="BO32" s="238">
        <f>COUNTIF($D32:$AA32,BO$4)</f>
        <v/>
      </c>
      <c r="BP32" s="238">
        <f>COUNTIF($D32:$AA32,BP$4)</f>
        <v/>
      </c>
      <c r="BQ32" s="238">
        <f>COUNTIF($D32:$AA32,BQ$4)</f>
        <v/>
      </c>
      <c r="BR32" s="247" t="n"/>
    </row>
    <row r="33" ht="19.5" customHeight="1">
      <c r="A33" s="233" t="n"/>
      <c r="B33" s="186" t="inlineStr">
        <is>
          <t>LCP MACASERO TROY ADRIAN LARUMBE</t>
        </is>
      </c>
      <c r="C33" s="137" t="n"/>
      <c r="D33" s="137" t="inlineStr">
        <is>
          <t>Outfield Reserve</t>
        </is>
      </c>
      <c r="E33" s="137" t="inlineStr">
        <is>
          <t>AE</t>
        </is>
      </c>
      <c r="F33" s="280" t="n"/>
      <c r="G33" s="137" t="n"/>
      <c r="H33" s="137" t="inlineStr">
        <is>
          <t>COHESION</t>
        </is>
      </c>
      <c r="I33" s="280" t="n"/>
      <c r="J33" s="280" t="n"/>
      <c r="K33" s="136" t="inlineStr">
        <is>
          <t>SHADOW CS (READ CS GUIDE)</t>
        </is>
      </c>
      <c r="L33" s="137" t="inlineStr">
        <is>
          <t>SB1</t>
        </is>
      </c>
      <c r="M33" s="137" t="inlineStr">
        <is>
          <t>SHADOW SENDOUT</t>
        </is>
      </c>
      <c r="N33" s="137" t="inlineStr">
        <is>
          <t>SHADOW SENDOUT</t>
        </is>
      </c>
      <c r="O33" s="137" t="inlineStr">
        <is>
          <t>AE</t>
        </is>
      </c>
      <c r="P33" s="280" t="n"/>
      <c r="Q33" s="280" t="n"/>
      <c r="R33" s="137" t="inlineStr">
        <is>
          <t>CS/B</t>
        </is>
      </c>
      <c r="S33" s="137" t="n"/>
      <c r="T33" s="137" t="inlineStr">
        <is>
          <t>AE</t>
        </is>
      </c>
      <c r="U33" s="137" t="n"/>
      <c r="V33" s="244" t="n"/>
      <c r="W33" s="244" t="n"/>
      <c r="X33" s="244" t="n"/>
      <c r="Y33" s="137" t="inlineStr">
        <is>
          <t>CS/B</t>
        </is>
      </c>
      <c r="Z33" s="137" t="inlineStr">
        <is>
          <t>MA</t>
        </is>
      </c>
      <c r="AB33" s="136" t="n"/>
      <c r="AC33" s="75" t="inlineStr">
        <is>
          <t>CS1</t>
        </is>
      </c>
      <c r="AD33" s="137" t="n"/>
      <c r="AE33" s="137" t="n"/>
      <c r="AF33" s="137" t="n"/>
      <c r="AG33" s="137" t="n"/>
      <c r="AH33" s="197" t="n"/>
      <c r="AI33" s="237">
        <f>COUNTIF($D33:$AE33,AI$4)</f>
        <v/>
      </c>
      <c r="AJ33" s="248">
        <f>COUNTIF($D33:$AE33,AJ$4)</f>
        <v/>
      </c>
      <c r="AK33" s="237">
        <f>COUNTIF($D33:$AE33,AK$4)</f>
        <v/>
      </c>
      <c r="AL33" s="237">
        <f>COUNTIF($D33:$AE33,AL$4)</f>
        <v/>
      </c>
      <c r="AM33" s="238">
        <f>COUNTIF($D33:$AE33,AM$4)</f>
        <v/>
      </c>
      <c r="AN33" s="238">
        <f>COUNTIF($D33:$AE33,AN$4)</f>
        <v/>
      </c>
      <c r="AO33" s="238">
        <f>COUNTIF($D33:$AE33,AO$4)</f>
        <v/>
      </c>
      <c r="AP33" s="238">
        <f>COUNTIF($D33:$AE33,AP$4)</f>
        <v/>
      </c>
      <c r="AQ33" s="238">
        <f>COUNTIF($D33:$AE33,AQ$4)</f>
        <v/>
      </c>
      <c r="AR33" s="246" t="n"/>
      <c r="AS33" s="239" t="n"/>
      <c r="AT33" s="239" t="n"/>
      <c r="AU33" s="238">
        <f>SUMPRODUCT(--(WEEKDAY(C$3:AG$3,2)&lt;5),--ISNUMBER(MATCH(C33:AG33,{"DM","CS1","CS2","SB1","AE","CS/B"},0)))</f>
        <v/>
      </c>
      <c r="AV33" s="246" t="n"/>
      <c r="AW33" s="238">
        <f>SUMPRODUCT(--(WEEKDAY(C$3:AG$3,2)=5),--ISNUMBER(MATCH(C33:AG33,{"DM","CS1","CS2","SB1","AE","CS/B"},0)))</f>
        <v/>
      </c>
      <c r="AX33" s="238">
        <f>SUMPRODUCT(--(WEEKDAY(C$3:AG$3,2)&gt;5),--ISNUMBER(MATCH(C33:AG33,{"DM","CS1","CS2","SB1","AE","CS/B"},0)))</f>
        <v/>
      </c>
      <c r="AY33" s="246" t="n"/>
      <c r="AZ33" s="238">
        <f>(AU33-AV33)+AW33*1.5+(AX33-AY33)*2+AN33*0.5+AP33*0.5+AS33-AT33</f>
        <v/>
      </c>
      <c r="BA33" s="238">
        <f>AU33+AW33+AX33</f>
        <v/>
      </c>
      <c r="BB33" s="238">
        <f>BE33+BG33+BI33+BK33+BM33</f>
        <v/>
      </c>
      <c r="BC33" s="239">
        <f>AZ33+BD33</f>
        <v/>
      </c>
      <c r="BD33" s="238">
        <f>BF33+BH33+BJ33+BL33+BN33</f>
        <v/>
      </c>
      <c r="BE33" s="238">
        <f>COUNTIF(A33:AI33,"*$BTP*")</f>
        <v/>
      </c>
      <c r="BF33" s="238">
        <f>BE33*1.5</f>
        <v/>
      </c>
      <c r="BG33" s="238">
        <f>COUNTIF(A33:AI33,"*$M*")</f>
        <v/>
      </c>
      <c r="BH33" s="238">
        <f>BG33*1</f>
        <v/>
      </c>
      <c r="BI33" s="238">
        <f>COUNTIF(A33:AI33,"*$PM*")</f>
        <v/>
      </c>
      <c r="BJ33" s="238">
        <f>BI33*0.5</f>
        <v/>
      </c>
      <c r="BK33" s="238">
        <f>COUNTIF(A33:AI33,"*$AM*")</f>
        <v/>
      </c>
      <c r="BL33" s="238">
        <f>BK33*0.5</f>
        <v/>
      </c>
      <c r="BM33" s="238">
        <f>COUNTIF(A33:AI33,"*$FC*")</f>
        <v/>
      </c>
      <c r="BN33" s="238">
        <f>BM33*1</f>
        <v/>
      </c>
      <c r="BO33" s="238">
        <f>COUNTIF($D33:$AA33,BO$4)</f>
        <v/>
      </c>
      <c r="BP33" s="238">
        <f>COUNTIF($D33:$AA33,BP$4)</f>
        <v/>
      </c>
      <c r="BQ33" s="238">
        <f>COUNTIF($D33:$AA33,BQ$4)</f>
        <v/>
      </c>
      <c r="BR33" s="247" t="n"/>
    </row>
    <row r="34" ht="19.5" customHeight="1">
      <c r="A34" s="233" t="n"/>
      <c r="B34" s="270" t="inlineStr">
        <is>
          <t>LCP MUHAMAD ZULKHAIRI BIN MOHAMAD SAPARI</t>
        </is>
      </c>
      <c r="C34" s="75" t="n"/>
      <c r="D34" s="75" t="n"/>
      <c r="E34" s="75" t="inlineStr">
        <is>
          <t>BMTC $BTP ASM (0400-2359) @SAFTI</t>
        </is>
      </c>
      <c r="F34" s="75" t="n"/>
      <c r="G34" s="136" t="n"/>
      <c r="H34" s="137" t="inlineStr">
        <is>
          <t>B $AM RM (0600-1100)</t>
        </is>
      </c>
      <c r="I34" s="75" t="inlineStr">
        <is>
          <t>SB1</t>
        </is>
      </c>
      <c r="J34" s="75" t="n"/>
      <c r="K34" s="137" t="inlineStr">
        <is>
          <t>Outfield Reserve</t>
        </is>
      </c>
      <c r="L34" s="187" t="inlineStr">
        <is>
          <t>P $M 12KM (1600-2359)</t>
        </is>
      </c>
      <c r="M34" s="136" t="n"/>
      <c r="N34" s="136" t="inlineStr">
        <is>
          <t>RE-IFC $M (0600-1400), 7th Coy</t>
        </is>
      </c>
      <c r="O34" s="136" t="inlineStr">
        <is>
          <t>CS2</t>
        </is>
      </c>
      <c r="P34" s="75" t="n"/>
      <c r="Q34" s="75" t="n"/>
      <c r="R34" s="136" t="n"/>
      <c r="S34" s="75" t="inlineStr">
        <is>
          <t>CS1</t>
        </is>
      </c>
      <c r="T34" s="137" t="n"/>
      <c r="U34" s="136" t="inlineStr">
        <is>
          <t>BREAK FAST</t>
        </is>
      </c>
      <c r="V34" s="136" t="inlineStr">
        <is>
          <t>BREAK FAST</t>
        </is>
      </c>
      <c r="W34" s="75" t="n"/>
      <c r="X34" s="53" t="inlineStr">
        <is>
          <t>RESERVE</t>
        </is>
      </c>
      <c r="Y34" s="75" t="n"/>
      <c r="Z34" s="75" t="inlineStr">
        <is>
          <t>K $AM ER (0600-1100)</t>
        </is>
      </c>
      <c r="AA34" s="136" t="n"/>
      <c r="AB34" s="136" t="inlineStr">
        <is>
          <t>C $AM PERM SOC (0600-1100)</t>
        </is>
      </c>
      <c r="AC34" s="75" t="n"/>
      <c r="AD34" s="75" t="n"/>
      <c r="AE34" s="75" t="n"/>
      <c r="AF34" s="75" t="n"/>
      <c r="AG34" s="75" t="n"/>
      <c r="AH34" s="197" t="n"/>
      <c r="AI34" s="237">
        <f>COUNTIF($D34:$AE34,AI$4)</f>
        <v/>
      </c>
      <c r="AJ34" s="248">
        <f>COUNTIF($D34:$AE34,AJ$4)</f>
        <v/>
      </c>
      <c r="AK34" s="237">
        <f>COUNTIF($D34:$AE34,AK$4)</f>
        <v/>
      </c>
      <c r="AL34" s="237">
        <f>COUNTIF($D34:$AE34,AL$4)</f>
        <v/>
      </c>
      <c r="AM34" s="238">
        <f>COUNTIF($D34:$AE34,AM$4)</f>
        <v/>
      </c>
      <c r="AN34" s="238">
        <f>COUNTIF($D34:$AE34,AN$4)</f>
        <v/>
      </c>
      <c r="AO34" s="238">
        <f>COUNTIF($D34:$AE34,AO$4)</f>
        <v/>
      </c>
      <c r="AP34" s="238">
        <f>COUNTIF($D34:$AE34,AP$4)</f>
        <v/>
      </c>
      <c r="AQ34" s="238">
        <f>COUNTIF($D34:$AE34,AQ$4)</f>
        <v/>
      </c>
      <c r="AR34" s="246" t="n"/>
      <c r="AS34" s="239" t="n"/>
      <c r="AT34" s="239" t="n">
        <v>1</v>
      </c>
      <c r="AU34" s="238">
        <f>SUMPRODUCT(--(WEEKDAY(C$3:AG$3,2)&lt;5),--ISNUMBER(MATCH(C34:AG34,{"DM","CS1","CS2","SB1","AE","CS/B"},0)))</f>
        <v/>
      </c>
      <c r="AV34" s="246" t="n"/>
      <c r="AW34" s="238">
        <f>SUMPRODUCT(--(WEEKDAY(C$3:AG$3,2)=5),--ISNUMBER(MATCH(C34:AG34,{"DM","CS1","CS2","SB1","AE","CS/B"},0)))</f>
        <v/>
      </c>
      <c r="AX34" s="238">
        <f>SUMPRODUCT(--(WEEKDAY(C$3:AG$3,2)&gt;5),--ISNUMBER(MATCH(C34:AG34,{"DM","CS1","CS2","SB1","AE","CS/B"},0)))</f>
        <v/>
      </c>
      <c r="AY34" s="246" t="n">
        <v>1</v>
      </c>
      <c r="AZ34" s="238">
        <f>(AU34-AV34)+AW34*1.5+(AX34-AY34)*2+AN34*0.5+AP34*0.5+AS34-AT34</f>
        <v/>
      </c>
      <c r="BA34" s="238">
        <f>AU34+AW34+AX34</f>
        <v/>
      </c>
      <c r="BB34" s="238">
        <f>BE34+BG34+BI34+BK34+BM34</f>
        <v/>
      </c>
      <c r="BC34" s="239">
        <f>AZ34+BD34</f>
        <v/>
      </c>
      <c r="BD34" s="238">
        <f>BF34+BH34+BJ34+BL34+BN34</f>
        <v/>
      </c>
      <c r="BE34" s="238">
        <f>COUNTIF(A34:AI34,"*$BTP*")</f>
        <v/>
      </c>
      <c r="BF34" s="238">
        <f>BE34*1.5</f>
        <v/>
      </c>
      <c r="BG34" s="238">
        <f>COUNTIF(A34:AI34,"*$M*")</f>
        <v/>
      </c>
      <c r="BH34" s="238">
        <f>BG34*1</f>
        <v/>
      </c>
      <c r="BI34" s="238">
        <f>COUNTIF(A34:AI34,"*$PM*")</f>
        <v/>
      </c>
      <c r="BJ34" s="238">
        <f>BI34*0.5</f>
        <v/>
      </c>
      <c r="BK34" s="238">
        <f>COUNTIF(A34:AI34,"*$AM*")</f>
        <v/>
      </c>
      <c r="BL34" s="238">
        <f>BK34*0.5</f>
        <v/>
      </c>
      <c r="BM34" s="238">
        <f>COUNTIF(A34:AI34,"*$FC*")</f>
        <v/>
      </c>
      <c r="BN34" s="238">
        <f>BM34*1</f>
        <v/>
      </c>
      <c r="BO34" s="238">
        <f>COUNTIF($D34:$Z34,BO$4)</f>
        <v/>
      </c>
      <c r="BP34" s="238">
        <f>COUNTIF($D34:$Z34,BP$4)</f>
        <v/>
      </c>
      <c r="BQ34" s="238">
        <f>COUNTIF($D34:$Z34,BQ$4)</f>
        <v/>
      </c>
      <c r="BR34" s="247" t="n"/>
    </row>
    <row r="35" ht="19.5" customHeight="1">
      <c r="A35" s="233" t="n"/>
      <c r="B35" s="186" t="inlineStr">
        <is>
          <t xml:space="preserve">LCP RON NG </t>
        </is>
      </c>
      <c r="C35" s="137" t="n"/>
      <c r="D35" s="137" t="inlineStr">
        <is>
          <t>L $M HG (0515-2000)</t>
        </is>
      </c>
      <c r="E35" s="137" t="n"/>
      <c r="F35" s="136" t="inlineStr">
        <is>
          <t>COVER RESERVE</t>
        </is>
      </c>
      <c r="G35" s="137" t="inlineStr">
        <is>
          <t>Outfield Reserve</t>
        </is>
      </c>
      <c r="H35" s="136" t="inlineStr">
        <is>
          <t>COHESION</t>
        </is>
      </c>
      <c r="I35" s="136" t="n"/>
      <c r="J35" s="137" t="inlineStr">
        <is>
          <t>AE</t>
        </is>
      </c>
      <c r="K35" s="136" t="n"/>
      <c r="L35" s="75" t="inlineStr">
        <is>
          <t>M $BTP (0515-2359)</t>
        </is>
      </c>
      <c r="M35" s="137" t="inlineStr">
        <is>
          <t>Outfield Reserve</t>
        </is>
      </c>
      <c r="N35" s="75" t="inlineStr">
        <is>
          <t>M $M RESITEST (1800-2359)</t>
        </is>
      </c>
      <c r="O35" s="75" t="inlineStr">
        <is>
          <t>M $M RESITEST (0515-2359)</t>
        </is>
      </c>
      <c r="P35" s="137" t="n"/>
      <c r="Q35" s="137" t="n"/>
      <c r="R35" s="137" t="inlineStr">
        <is>
          <t>AL</t>
        </is>
      </c>
      <c r="S35" s="137" t="inlineStr">
        <is>
          <t>AL</t>
        </is>
      </c>
      <c r="T35" s="137" t="inlineStr">
        <is>
          <t>AL</t>
        </is>
      </c>
      <c r="U35" s="137" t="inlineStr">
        <is>
          <t>AL</t>
        </is>
      </c>
      <c r="V35" s="137" t="inlineStr">
        <is>
          <t>AL</t>
        </is>
      </c>
      <c r="W35" s="137" t="n"/>
      <c r="X35" s="137" t="n"/>
      <c r="Y35" s="75" t="n"/>
      <c r="Z35" s="136" t="n"/>
      <c r="AA35" s="137" t="inlineStr">
        <is>
          <t>S $PM IPPT (1600-2359)</t>
        </is>
      </c>
      <c r="AB35" s="75" t="inlineStr">
        <is>
          <t>J $AM IPPT (0500-1100)</t>
        </is>
      </c>
      <c r="AC35" s="136" t="n"/>
      <c r="AD35" s="137" t="n"/>
      <c r="AE35" s="137" t="n"/>
      <c r="AF35" s="137" t="n"/>
      <c r="AG35" s="137" t="n"/>
      <c r="AH35" s="197" t="n"/>
      <c r="AI35" s="237">
        <f>COUNTIF($D35:$AE35,AI$4)</f>
        <v/>
      </c>
      <c r="AJ35" s="248">
        <f>COUNTIF($D35:$AE35,AJ$4)</f>
        <v/>
      </c>
      <c r="AK35" s="237">
        <f>COUNTIF($D35:$AE35,AK$4)</f>
        <v/>
      </c>
      <c r="AL35" s="237">
        <f>COUNTIF($D35:$AE35,AL$4)</f>
        <v/>
      </c>
      <c r="AM35" s="238">
        <f>COUNTIF($D35:$AE35,AM$4)</f>
        <v/>
      </c>
      <c r="AN35" s="238">
        <f>COUNTIF($D35:$AE35,AN$4)</f>
        <v/>
      </c>
      <c r="AO35" s="238">
        <f>COUNTIF($D35:$AE35,AO$4)</f>
        <v/>
      </c>
      <c r="AP35" s="238">
        <f>COUNTIF($D35:$AE35,AP$4)</f>
        <v/>
      </c>
      <c r="AQ35" s="238">
        <f>COUNTIF($D35:$AE35,AQ$4)</f>
        <v/>
      </c>
      <c r="AR35" s="246" t="n"/>
      <c r="AS35" s="239" t="n">
        <v>0.5</v>
      </c>
      <c r="AT35" s="239" t="n"/>
      <c r="AU35" s="238">
        <f>SUMPRODUCT(--(WEEKDAY(C$3:AG$3,2)&lt;5),--ISNUMBER(MATCH(C35:AG35,{"DM","CS1","CS2","SB1","AE","CS/B"},0)))</f>
        <v/>
      </c>
      <c r="AV35" s="246" t="n"/>
      <c r="AW35" s="238">
        <f>SUMPRODUCT(--(WEEKDAY(C$3:AG$3,2)=5),--ISNUMBER(MATCH(C35:AG35,{"DM","CS1","CS2","SB1","AE","CS/B"},0)))</f>
        <v/>
      </c>
      <c r="AX35" s="238">
        <f>SUMPRODUCT(--(WEEKDAY(C$3:AG$3,2)&gt;5),--ISNUMBER(MATCH(C35:AG35,{"DM","CS1","CS2","SB1","AE","CS/B"},0)))</f>
        <v/>
      </c>
      <c r="AY35" s="246" t="n"/>
      <c r="AZ35" s="238">
        <f>(AU35-AV35)+AW35*1.5+(AX35-AY35)*2+AN35*0.5+AP35*0.5+AS35-AT35</f>
        <v/>
      </c>
      <c r="BA35" s="238">
        <f>AU35+AW35+AX35</f>
        <v/>
      </c>
      <c r="BB35" s="238">
        <f>BE35+BG35+BI35+BK35+BM35</f>
        <v/>
      </c>
      <c r="BC35" s="239">
        <f>AZ35+BD35</f>
        <v/>
      </c>
      <c r="BD35" s="238">
        <f>BF35+BH35+BJ35+BL35+BN35</f>
        <v/>
      </c>
      <c r="BE35" s="238">
        <f>COUNTIF(A35:AI35,"*$BTP*")</f>
        <v/>
      </c>
      <c r="BF35" s="238">
        <f>BE35*1.5</f>
        <v/>
      </c>
      <c r="BG35" s="238">
        <f>COUNTIF(A35:AI35,"*$M*")</f>
        <v/>
      </c>
      <c r="BH35" s="238">
        <f>BG35*1</f>
        <v/>
      </c>
      <c r="BI35" s="238">
        <f>COUNTIF(A35:AI35,"*$PM*")</f>
        <v/>
      </c>
      <c r="BJ35" s="238">
        <f>BI35*0.5</f>
        <v/>
      </c>
      <c r="BK35" s="238">
        <f>COUNTIF(A35:AI35,"*$AM*")</f>
        <v/>
      </c>
      <c r="BL35" s="238">
        <f>BK35*0.5</f>
        <v/>
      </c>
      <c r="BM35" s="238">
        <f>COUNTIF(A35:AI35,"*$FC*")</f>
        <v/>
      </c>
      <c r="BN35" s="238">
        <f>BM35*1</f>
        <v/>
      </c>
      <c r="BO35" s="238">
        <f>COUNTIF($D35:$Z35,BO$4)</f>
        <v/>
      </c>
      <c r="BP35" s="238">
        <f>COUNTIF($D35:$Z35,BP$4)</f>
        <v/>
      </c>
      <c r="BQ35" s="238">
        <f>COUNTIF($D35:$Z35,BQ$4)</f>
        <v/>
      </c>
      <c r="BR35" s="247" t="n"/>
    </row>
    <row r="36" ht="19.5" customHeight="1">
      <c r="A36" s="233" t="n"/>
      <c r="B36" s="186" t="inlineStr">
        <is>
          <t>LCP TRAN MINH KHOA</t>
        </is>
      </c>
      <c r="C36" s="75" t="inlineStr">
        <is>
          <t>M $FC</t>
        </is>
      </c>
      <c r="D36" s="75" t="inlineStr">
        <is>
          <t>M $FC</t>
        </is>
      </c>
      <c r="E36" s="75" t="inlineStr">
        <is>
          <t>M $FC</t>
        </is>
      </c>
      <c r="F36" s="75" t="inlineStr">
        <is>
          <t>M $FC</t>
        </is>
      </c>
      <c r="G36" s="75" t="inlineStr">
        <is>
          <t>M $FC</t>
        </is>
      </c>
      <c r="H36" s="75" t="n"/>
      <c r="I36" s="75" t="n"/>
      <c r="J36" s="75" t="n"/>
      <c r="K36" s="137" t="inlineStr">
        <is>
          <t>AE</t>
        </is>
      </c>
      <c r="M36" s="75" t="inlineStr">
        <is>
          <t>RESERVE</t>
        </is>
      </c>
      <c r="N36" s="75" t="inlineStr">
        <is>
          <t>SHADOW CS</t>
        </is>
      </c>
      <c r="O36" s="75" t="inlineStr">
        <is>
          <t>L $M 12KM (1400-2359)</t>
        </is>
      </c>
      <c r="P36" s="75" t="n"/>
      <c r="Q36" s="75" t="n"/>
      <c r="R36" s="75" t="inlineStr">
        <is>
          <t>RESERVE</t>
        </is>
      </c>
      <c r="S36" s="75" t="n"/>
      <c r="T36" s="75" t="inlineStr">
        <is>
          <t>CS2</t>
        </is>
      </c>
      <c r="U36" s="75" t="n"/>
      <c r="V36" s="137" t="inlineStr">
        <is>
          <t>C $M RM (1400-2359)</t>
        </is>
      </c>
      <c r="W36" s="75" t="n"/>
      <c r="X36" s="136" t="n"/>
      <c r="Y36" s="75" t="inlineStr">
        <is>
          <t>BMTC $BTP ASM (0400-2359)</t>
        </is>
      </c>
      <c r="Z36" s="136" t="n"/>
      <c r="AA36" s="75" t="inlineStr">
        <is>
          <t>COVER RESERVE</t>
        </is>
      </c>
      <c r="AB36" s="53" t="inlineStr">
        <is>
          <t>MEDICAL RECCE</t>
        </is>
      </c>
      <c r="AC36" s="136" t="n"/>
      <c r="AD36" s="75" t="n"/>
      <c r="AE36" s="75" t="n"/>
      <c r="AF36" s="75" t="n"/>
      <c r="AG36" s="75" t="n"/>
      <c r="AH36" s="197" t="n"/>
      <c r="AI36" s="237">
        <f>COUNTIF($H36:$AE36,AI$4)</f>
        <v/>
      </c>
      <c r="AJ36" s="248">
        <f>COUNTIF($H36:$AE36,AJ$4)</f>
        <v/>
      </c>
      <c r="AK36" s="237">
        <f>COUNTIF($H36:$AE36,AK$4)</f>
        <v/>
      </c>
      <c r="AL36" s="237">
        <f>COUNTIF($H36:$AE36,AL$4)</f>
        <v/>
      </c>
      <c r="AM36" s="238">
        <f>COUNTIF($H36:$AE36,AM$4)</f>
        <v/>
      </c>
      <c r="AN36" s="238">
        <f>COUNTIF($H36:$AE36,AN$4)</f>
        <v/>
      </c>
      <c r="AO36" s="238">
        <f>COUNTIF($H36:$AE36,AO$4)</f>
        <v/>
      </c>
      <c r="AP36" s="238">
        <f>COUNTIF($H36:$AE36,AP$4)</f>
        <v/>
      </c>
      <c r="AQ36" s="238">
        <f>COUNTIF($H36:$AE36,AQ$4)</f>
        <v/>
      </c>
      <c r="AR36" s="246" t="n"/>
      <c r="AS36" s="239" t="n">
        <v>1</v>
      </c>
      <c r="AT36" s="239" t="n"/>
      <c r="AU36" s="238">
        <f>SUMPRODUCT(--(WEEKDAY(C$3:AG$3,2)&lt;5),--ISNUMBER(MATCH(C36:AG36,{"DM","CS1","CS2","SB1","AE","CS/B"},0)))</f>
        <v/>
      </c>
      <c r="AV36" s="246" t="n"/>
      <c r="AW36" s="238">
        <f>SUMPRODUCT(--(WEEKDAY(C$3:AG$3,2)=5),--ISNUMBER(MATCH(C36:AG36,{"DM","CS1","CS2","SB1","AE","CS/B"},0)))</f>
        <v/>
      </c>
      <c r="AX36" s="238">
        <f>SUMPRODUCT(--(WEEKDAY(C$3:AG$3,2)&gt;5),--ISNUMBER(MATCH(C36:AG36,{"DM","CS1","CS2","SB1","AE","CS/B"},0)))</f>
        <v/>
      </c>
      <c r="AY36" s="246" t="n"/>
      <c r="AZ36" s="238">
        <f>(AU36-AV36)+AW36*1.5+(AX36-AY36)*2+AN36*0.5+AP36*0.5+AS36-AT36</f>
        <v/>
      </c>
      <c r="BA36" s="238">
        <f>AU36+AW36+AX36</f>
        <v/>
      </c>
      <c r="BB36" s="238">
        <f>BE36+BG36+BI36+BK36+BM36</f>
        <v/>
      </c>
      <c r="BC36" s="239">
        <f>AZ36+BD36</f>
        <v/>
      </c>
      <c r="BD36" s="238">
        <f>BF36+BH36+BJ36+BL36+BN36</f>
        <v/>
      </c>
      <c r="BE36" s="238">
        <f>COUNTIF(A36:AI36,"*$BTP*")</f>
        <v/>
      </c>
      <c r="BF36" s="238">
        <f>BE36*1.5</f>
        <v/>
      </c>
      <c r="BG36" s="238">
        <f>COUNTIF(A36:AI36,"*$M*")</f>
        <v/>
      </c>
      <c r="BH36" s="238">
        <f>BG36*1</f>
        <v/>
      </c>
      <c r="BI36" s="238">
        <f>COUNTIF(A36:AI36,"*$PM*")</f>
        <v/>
      </c>
      <c r="BJ36" s="238">
        <f>BI36*0.5</f>
        <v/>
      </c>
      <c r="BK36" s="238">
        <f>COUNTIF(A36:AI36,"*$AM*")</f>
        <v/>
      </c>
      <c r="BL36" s="238">
        <f>BK36*0.5</f>
        <v/>
      </c>
      <c r="BM36" s="238">
        <f>COUNTIF(A36:AI36,"*$FC*")</f>
        <v/>
      </c>
      <c r="BN36" s="238">
        <f>BM36*1</f>
        <v/>
      </c>
      <c r="BO36" s="238">
        <f>COUNTIF($H36:$AA36,BO$4)</f>
        <v/>
      </c>
      <c r="BP36" s="238">
        <f>COUNTIF($H36:$AA36,BP$4)</f>
        <v/>
      </c>
      <c r="BQ36" s="238">
        <f>COUNTIF($H36:$AA36,BQ$4)</f>
        <v/>
      </c>
      <c r="BR36" s="247" t="n"/>
    </row>
    <row r="37" ht="19.5" customHeight="1">
      <c r="A37" s="233" t="n"/>
      <c r="B37" s="186" t="inlineStr">
        <is>
          <t xml:space="preserve">LCP STEPHEN TAY </t>
        </is>
      </c>
      <c r="C37" s="137" t="inlineStr">
        <is>
          <t>AE</t>
        </is>
      </c>
      <c r="D37" s="137" t="n"/>
      <c r="E37" s="137" t="n"/>
      <c r="F37" s="137" t="n"/>
      <c r="G37" s="53" t="inlineStr">
        <is>
          <t>AE</t>
        </is>
      </c>
      <c r="H37" s="136" t="n"/>
      <c r="I37" s="137" t="n"/>
      <c r="J37" s="137" t="n"/>
      <c r="K37" s="137" t="n"/>
      <c r="L37" s="137" t="inlineStr">
        <is>
          <t>AE</t>
        </is>
      </c>
      <c r="M37" s="137" t="n"/>
      <c r="N37" s="137" t="inlineStr">
        <is>
          <t>L $AM IPPT (0500-1100)</t>
        </is>
      </c>
      <c r="O37" s="136" t="inlineStr">
        <is>
          <t>SB1</t>
        </is>
      </c>
      <c r="P37" s="136" t="n"/>
      <c r="Q37" s="53" t="inlineStr">
        <is>
          <t>AE</t>
        </is>
      </c>
      <c r="R37" s="137" t="n"/>
      <c r="S37" s="136" t="n"/>
      <c r="T37" s="137" t="n"/>
      <c r="U37" s="136" t="inlineStr">
        <is>
          <t>BREAK FAST</t>
        </is>
      </c>
      <c r="V37" s="136" t="inlineStr">
        <is>
          <t>BREAK FAST</t>
        </is>
      </c>
      <c r="W37" s="137" t="n"/>
      <c r="X37" s="137" t="n"/>
      <c r="Y37" s="137" t="n"/>
      <c r="Z37" s="136" t="n"/>
      <c r="AB37" s="75" t="n"/>
      <c r="AC37" s="137" t="inlineStr">
        <is>
          <t>HQ $AM IPPT (0730-0920)</t>
        </is>
      </c>
      <c r="AD37" s="137" t="n"/>
      <c r="AE37" s="137" t="n"/>
      <c r="AF37" s="137" t="n"/>
      <c r="AG37" s="137" t="n"/>
      <c r="AH37" s="197" t="n"/>
      <c r="AI37" s="237">
        <f>COUNTIF($D37:$AE37,AI$4)</f>
        <v/>
      </c>
      <c r="AJ37" s="248">
        <f>COUNTIF($D37:$AE37,AJ$4)</f>
        <v/>
      </c>
      <c r="AK37" s="237">
        <f>COUNTIF($D37:$AE37,AK$4)</f>
        <v/>
      </c>
      <c r="AL37" s="237">
        <f>COUNTIF($D37:$AE37,AL$4)</f>
        <v/>
      </c>
      <c r="AM37" s="238">
        <f>COUNTIF($D37:$AE37,AM$4)</f>
        <v/>
      </c>
      <c r="AN37" s="238">
        <f>COUNTIF($D37:$AE37,AN$4)</f>
        <v/>
      </c>
      <c r="AO37" s="238">
        <f>COUNTIF($D37:$AE37,AO$4)</f>
        <v/>
      </c>
      <c r="AP37" s="238">
        <f>COUNTIF($D37:$AE37,AP$4)</f>
        <v/>
      </c>
      <c r="AQ37" s="238">
        <f>COUNTIF($D37:$AE37,AQ$4)</f>
        <v/>
      </c>
      <c r="AR37" s="246" t="n"/>
      <c r="AS37" s="239" t="n">
        <v>0.5</v>
      </c>
      <c r="AT37" s="239" t="n"/>
      <c r="AU37" s="238">
        <f>SUMPRODUCT(--(WEEKDAY(C$3:AG$3,2)&lt;5),--ISNUMBER(MATCH(C37:AG37,{"DM","CS1","CS2","SB1","AE","CS/B"},0)))</f>
        <v/>
      </c>
      <c r="AV37" s="246" t="n"/>
      <c r="AW37" s="238">
        <f>SUMPRODUCT(--(WEEKDAY(C$3:AG$3,2)=5),--ISNUMBER(MATCH(C37:AG37,{"DM","CS1","CS2","SB1","AE","CS/B"},0)))</f>
        <v/>
      </c>
      <c r="AX37" s="238">
        <f>SUMPRODUCT(--(WEEKDAY(C$3:AG$3,2)&gt;5),--ISNUMBER(MATCH(C37:AG37,{"DM","CS1","CS2","SB1","AE","CS/B"},0)))</f>
        <v/>
      </c>
      <c r="AY37" s="246" t="n"/>
      <c r="AZ37" s="238">
        <f>(AU37-AV37)+AW37*1.5+(AX37-AY37)*2+AN37*0.5+AP37*0.5+AS37-AT37</f>
        <v/>
      </c>
      <c r="BA37" s="238">
        <f>AU37+AW37+AX37</f>
        <v/>
      </c>
      <c r="BB37" s="238">
        <f>BE37+BG37+BI37+BK37+BM37</f>
        <v/>
      </c>
      <c r="BC37" s="239">
        <f>AZ37+BD37</f>
        <v/>
      </c>
      <c r="BD37" s="238">
        <f>BF37+BH37+BJ37+BL37+BN37</f>
        <v/>
      </c>
      <c r="BE37" s="238">
        <f>COUNTIF(A37:AI37,"*$BTP*")</f>
        <v/>
      </c>
      <c r="BF37" s="238">
        <f>BE37*1.5</f>
        <v/>
      </c>
      <c r="BG37" s="238">
        <f>COUNTIF(A37:AI37,"*$M*")</f>
        <v/>
      </c>
      <c r="BH37" s="238">
        <f>BG37*1</f>
        <v/>
      </c>
      <c r="BI37" s="238">
        <f>COUNTIF(A37:AI37,"*$PM*")</f>
        <v/>
      </c>
      <c r="BJ37" s="238">
        <f>BI37*0.5</f>
        <v/>
      </c>
      <c r="BK37" s="238">
        <f>COUNTIF(A37:AI37,"*$AM*")</f>
        <v/>
      </c>
      <c r="BL37" s="238">
        <f>BK37*0.5</f>
        <v/>
      </c>
      <c r="BM37" s="238">
        <f>COUNTIF(A37:AI37,"*$FC*")</f>
        <v/>
      </c>
      <c r="BN37" s="238">
        <f>BM37*1</f>
        <v/>
      </c>
      <c r="BO37" s="238">
        <f>COUNTIF($D37:$Z37,BO$4)</f>
        <v/>
      </c>
      <c r="BP37" s="238">
        <f>COUNTIF($D37:$Z37,BP$4)</f>
        <v/>
      </c>
      <c r="BQ37" s="238">
        <f>COUNTIF($D37:$Z37,BQ$4)</f>
        <v/>
      </c>
      <c r="BR37" s="247" t="n"/>
    </row>
    <row r="38" ht="19.5" customHeight="1">
      <c r="A38" s="233" t="n"/>
      <c r="B38" s="186" t="inlineStr">
        <is>
          <t xml:space="preserve">PTE EDWARD GAN BOON WEI </t>
        </is>
      </c>
      <c r="C38" s="53" t="inlineStr">
        <is>
          <t>A $FC</t>
        </is>
      </c>
      <c r="D38" s="53" t="inlineStr">
        <is>
          <t>A $FC</t>
        </is>
      </c>
      <c r="E38" s="53" t="n"/>
      <c r="F38" s="53" t="n"/>
      <c r="G38" s="136" t="n"/>
      <c r="H38" s="187" t="inlineStr">
        <is>
          <t>P $M HG (0500-2000)</t>
        </is>
      </c>
      <c r="I38" s="136" t="n"/>
      <c r="J38" s="136" t="n"/>
      <c r="K38" s="137" t="inlineStr">
        <is>
          <t>A $M BIC (0530-2000)</t>
        </is>
      </c>
      <c r="L38" s="136" t="inlineStr">
        <is>
          <t>COVER RESERVE</t>
        </is>
      </c>
      <c r="N38" s="136" t="inlineStr">
        <is>
          <t>COVER RESERVE</t>
        </is>
      </c>
      <c r="O38" s="136" t="inlineStr">
        <is>
          <t>J $PM IPPT (1530-2000)</t>
        </is>
      </c>
      <c r="P38" s="137" t="inlineStr">
        <is>
          <t>P $BTP (0500-2359)</t>
        </is>
      </c>
      <c r="Q38" s="53" t="n"/>
      <c r="R38" s="53" t="n"/>
      <c r="S38" s="136" t="n"/>
      <c r="T38" s="53" t="n"/>
      <c r="U38" s="136" t="inlineStr">
        <is>
          <t>COVER RESERVE</t>
        </is>
      </c>
      <c r="V38" s="75" t="inlineStr">
        <is>
          <t>SCH 1 $M RE-RM (1400-2359)</t>
        </is>
      </c>
      <c r="W38" s="137" t="inlineStr">
        <is>
          <t>AE</t>
        </is>
      </c>
      <c r="X38" s="53" t="n"/>
      <c r="Y38" s="53" t="n"/>
      <c r="Z38" s="75" t="inlineStr">
        <is>
          <t>BMTC $BTP ASM (0400-2359)</t>
        </is>
      </c>
      <c r="AA38" s="136" t="n"/>
      <c r="AB38" s="53" t="inlineStr">
        <is>
          <t>MEDICAL RECCE</t>
        </is>
      </c>
      <c r="AC38" s="53" t="n"/>
      <c r="AD38" s="53" t="n"/>
      <c r="AE38" s="53" t="n"/>
      <c r="AF38" s="53" t="n"/>
      <c r="AG38" s="53" t="n"/>
      <c r="AH38" s="197" t="n"/>
      <c r="AI38" s="237">
        <f>COUNTIF($D38:$AE38,AI$4)</f>
        <v/>
      </c>
      <c r="AJ38" s="248">
        <f>COUNTIF($D38:$AE38,AJ$4)</f>
        <v/>
      </c>
      <c r="AK38" s="237">
        <f>COUNTIF($D38:$AE38,AK$4)</f>
        <v/>
      </c>
      <c r="AL38" s="237">
        <f>COUNTIF($D38:$AE38,AL$4)</f>
        <v/>
      </c>
      <c r="AM38" s="238">
        <f>COUNTIF($D38:$AE38,AM$4)</f>
        <v/>
      </c>
      <c r="AN38" s="238">
        <f>COUNTIF($D38:$AE38,AN$4)</f>
        <v/>
      </c>
      <c r="AO38" s="238">
        <f>COUNTIF($D38:$AE38,AO$4)</f>
        <v/>
      </c>
      <c r="AP38" s="238">
        <f>COUNTIF($D38:$AE38,AP$4)</f>
        <v/>
      </c>
      <c r="AQ38" s="238">
        <f>COUNTIF($D38:$AE38,AQ$4)</f>
        <v/>
      </c>
      <c r="AR38" s="246" t="n"/>
      <c r="AS38" s="239" t="n"/>
      <c r="AT38" s="239" t="n">
        <v>0.5</v>
      </c>
      <c r="AU38" s="238">
        <f>SUMPRODUCT(--(WEEKDAY(C$3:AG$3,2)&lt;5),--ISNUMBER(MATCH(C38:AG38,{"DM","CS1","CS2","SB1","AE","CS/B"},0)))</f>
        <v/>
      </c>
      <c r="AV38" s="246" t="n"/>
      <c r="AW38" s="238">
        <f>SUMPRODUCT(--(WEEKDAY(C$3:AG$3,2)=5),--ISNUMBER(MATCH(C38:AG38,{"DM","CS1","CS2","SB1","AE","CS/B"},0)))</f>
        <v/>
      </c>
      <c r="AX38" s="238">
        <f>SUMPRODUCT(--(WEEKDAY(C$3:AG$3,2)&gt;5),--ISNUMBER(MATCH(C38:AG38,{"DM","CS1","CS2","SB1","AE","CS/B"},0)))</f>
        <v/>
      </c>
      <c r="AY38" s="246" t="n"/>
      <c r="AZ38" s="238">
        <f>(AU38-AV38)+AW38*1.5+(AX38-AY38)*2+AN38*0.5+AP38*0.5+AS38-AT38</f>
        <v/>
      </c>
      <c r="BA38" s="238">
        <f>AU38+AW38+AX38</f>
        <v/>
      </c>
      <c r="BB38" s="238">
        <f>BE38+BG38+BI38+BK38+BM38</f>
        <v/>
      </c>
      <c r="BC38" s="239">
        <f>AZ38+BD38</f>
        <v/>
      </c>
      <c r="BD38" s="238">
        <f>BF38+BH38+BJ38+BL38+BN38</f>
        <v/>
      </c>
      <c r="BE38" s="238">
        <f>COUNTIF(A38:AI38,"*$BTP*")</f>
        <v/>
      </c>
      <c r="BF38" s="238">
        <f>BE38*1.5</f>
        <v/>
      </c>
      <c r="BG38" s="238">
        <f>COUNTIF(A38:AI38,"*$M*")</f>
        <v/>
      </c>
      <c r="BH38" s="238">
        <f>BG38*1</f>
        <v/>
      </c>
      <c r="BI38" s="238">
        <f>COUNTIF(A38:AI38,"*$PM*")</f>
        <v/>
      </c>
      <c r="BJ38" s="238">
        <f>BI38*0.5</f>
        <v/>
      </c>
      <c r="BK38" s="238">
        <f>COUNTIF(A38:AI38,"*$AM*")</f>
        <v/>
      </c>
      <c r="BL38" s="238">
        <f>BK38*0.5</f>
        <v/>
      </c>
      <c r="BM38" s="238">
        <f>COUNTIF(A38:AI38,"*$FC*")</f>
        <v/>
      </c>
      <c r="BN38" s="238">
        <f>BM38*1</f>
        <v/>
      </c>
      <c r="BO38" s="238">
        <f>COUNTIF($D38:$AA38,BO$4)</f>
        <v/>
      </c>
      <c r="BP38" s="238">
        <f>COUNTIF($D38:$AA38,BP$4)</f>
        <v/>
      </c>
      <c r="BQ38" s="238">
        <f>COUNTIF($D38:$AA38,BQ$4)</f>
        <v/>
      </c>
      <c r="BR38" s="247" t="n"/>
    </row>
    <row r="39" ht="19.5" customHeight="1">
      <c r="A39" s="233" t="n"/>
      <c r="B39" s="186" t="inlineStr">
        <is>
          <t>PTE RAIYAN ZUFAYRI BIN MOHAMAD HELMY</t>
        </is>
      </c>
      <c r="C39" s="53" t="inlineStr">
        <is>
          <t>B $FC</t>
        </is>
      </c>
      <c r="D39" s="53" t="inlineStr">
        <is>
          <t>B $FC</t>
        </is>
      </c>
      <c r="E39" s="53" t="inlineStr">
        <is>
          <t>B $FC</t>
        </is>
      </c>
      <c r="F39" s="53" t="n"/>
      <c r="G39" s="136" t="n"/>
      <c r="H39" s="136" t="n"/>
      <c r="I39" s="53" t="inlineStr">
        <is>
          <t>AE</t>
        </is>
      </c>
      <c r="J39" s="137" t="n"/>
      <c r="L39" s="137" t="inlineStr">
        <is>
          <t>Outfield Reserve</t>
        </is>
      </c>
      <c r="M39" s="137" t="inlineStr">
        <is>
          <t>AE</t>
        </is>
      </c>
      <c r="N39" s="53" t="n"/>
      <c r="O39" s="137" t="inlineStr">
        <is>
          <t>B $M RM (1400-2359)</t>
        </is>
      </c>
      <c r="P39" s="53" t="n"/>
      <c r="Q39" s="136" t="n"/>
      <c r="R39" s="137" t="n"/>
      <c r="S39" s="137" t="inlineStr">
        <is>
          <t>AE</t>
        </is>
      </c>
      <c r="T39" s="137" t="n"/>
      <c r="U39" s="136" t="inlineStr">
        <is>
          <t>BREAK FAST</t>
        </is>
      </c>
      <c r="V39" s="137" t="inlineStr">
        <is>
          <t>AE</t>
        </is>
      </c>
      <c r="W39" s="137" t="n"/>
      <c r="X39" s="137" t="n"/>
      <c r="Y39" s="75" t="inlineStr">
        <is>
          <t>COVER RESERVE</t>
        </is>
      </c>
      <c r="Z39" s="136" t="n"/>
      <c r="AA39" s="136" t="inlineStr">
        <is>
          <t>C $PM IPPT (1530-2000)</t>
        </is>
      </c>
      <c r="AB39" s="137" t="inlineStr">
        <is>
          <t>AE</t>
        </is>
      </c>
      <c r="AC39" s="75" t="inlineStr">
        <is>
          <t>COVER RESERVE</t>
        </is>
      </c>
      <c r="AD39" s="137" t="n"/>
      <c r="AE39" s="137" t="n"/>
      <c r="AF39" s="137" t="n"/>
      <c r="AG39" s="137" t="n"/>
      <c r="AH39" s="197" t="n"/>
      <c r="AI39" s="237">
        <f>COUNTIF($D39:$AE39,AI$4)</f>
        <v/>
      </c>
      <c r="AJ39" s="248">
        <f>COUNTIF($D39:$AE39,AJ$4)</f>
        <v/>
      </c>
      <c r="AK39" s="237">
        <f>COUNTIF($D39:$AE39,AK$4)</f>
        <v/>
      </c>
      <c r="AL39" s="237">
        <f>COUNTIF($D39:$AE39,AL$4)</f>
        <v/>
      </c>
      <c r="AM39" s="238">
        <f>COUNTIF($D39:$AE39,AM$4)</f>
        <v/>
      </c>
      <c r="AN39" s="238">
        <f>COUNTIF($D39:$AE39,AN$4)</f>
        <v/>
      </c>
      <c r="AO39" s="238">
        <f>COUNTIF($D39:$AE39,AO$4)</f>
        <v/>
      </c>
      <c r="AP39" s="238">
        <f>COUNTIF($D39:$AE39,AP$4)</f>
        <v/>
      </c>
      <c r="AQ39" s="238">
        <f>COUNTIF($D39:$AE39,AQ$4)</f>
        <v/>
      </c>
      <c r="AR39" s="246" t="n"/>
      <c r="AS39" s="239" t="n"/>
      <c r="AT39" s="239" t="n">
        <v>0.5</v>
      </c>
      <c r="AU39" s="238">
        <f>SUMPRODUCT(--(WEEKDAY(C$3:AG$3,2)&lt;5),--ISNUMBER(MATCH(C39:AG39,{"DM","CS1","CS2","SB1","AE","CS/B"},0)))</f>
        <v/>
      </c>
      <c r="AV39" s="246" t="n"/>
      <c r="AW39" s="238">
        <f>SUMPRODUCT(--(WEEKDAY(C$3:AG$3,2)=5),--ISNUMBER(MATCH(C39:AG39,{"DM","CS1","CS2","SB1","AE","CS/B"},0)))</f>
        <v/>
      </c>
      <c r="AX39" s="238">
        <f>SUMPRODUCT(--(WEEKDAY(C$3:AG$3,2)&gt;5),--ISNUMBER(MATCH(C39:AG39,{"DM","CS1","CS2","SB1","AE","CS/B"},0)))</f>
        <v/>
      </c>
      <c r="AY39" s="246" t="n"/>
      <c r="AZ39" s="238">
        <f>(AU39-AV39)+AW39*1.5+(AX39-AY39)*2+AN39*0.5+AP39*0.5+AS39-AT39</f>
        <v/>
      </c>
      <c r="BA39" s="238">
        <f>AU39+AW39+AX39</f>
        <v/>
      </c>
      <c r="BB39" s="238">
        <f>BE39+BG39+BI39+BK39+BM39</f>
        <v/>
      </c>
      <c r="BC39" s="239">
        <f>AZ39+BD39</f>
        <v/>
      </c>
      <c r="BD39" s="238">
        <f>BF39+BH39+BJ39+BL39+BN39</f>
        <v/>
      </c>
      <c r="BE39" s="238">
        <f>COUNTIF(A39:AI39,"*$BTP*")</f>
        <v/>
      </c>
      <c r="BF39" s="238">
        <f>BE39*1.5</f>
        <v/>
      </c>
      <c r="BG39" s="238">
        <f>COUNTIF(A39:AI39,"*$M*")</f>
        <v/>
      </c>
      <c r="BH39" s="238">
        <f>BG39*1</f>
        <v/>
      </c>
      <c r="BI39" s="238">
        <f>COUNTIF(A39:AI39,"*$PM*")</f>
        <v/>
      </c>
      <c r="BJ39" s="238">
        <f>BI39*0.5</f>
        <v/>
      </c>
      <c r="BK39" s="238">
        <f>COUNTIF(A39:AI39,"*$AM*")</f>
        <v/>
      </c>
      <c r="BL39" s="238">
        <f>BK39*0.5</f>
        <v/>
      </c>
      <c r="BM39" s="238">
        <f>COUNTIF(A39:AI39,"*$FC*")</f>
        <v/>
      </c>
      <c r="BN39" s="238">
        <f>BM39*1</f>
        <v/>
      </c>
      <c r="BO39" s="238">
        <f>COUNTIF($D39:$AA39,BO$4)</f>
        <v/>
      </c>
      <c r="BP39" s="238">
        <f>COUNTIF($D39:$AA39,BP$4)</f>
        <v/>
      </c>
      <c r="BQ39" s="238">
        <f>COUNTIF($D39:$AA39,BQ$4)</f>
        <v/>
      </c>
      <c r="BR39" s="247" t="n"/>
    </row>
    <row r="40" ht="19.5" customHeight="1">
      <c r="A40" s="233" t="n"/>
      <c r="B40" s="186" t="inlineStr">
        <is>
          <t>PTE CHOA ZONGHAN ETIENNE</t>
        </is>
      </c>
      <c r="C40" s="53" t="inlineStr">
        <is>
          <t>P $FC</t>
        </is>
      </c>
      <c r="D40" s="53" t="n"/>
      <c r="E40" s="75" t="inlineStr">
        <is>
          <t>COVER RESERVE</t>
        </is>
      </c>
      <c r="F40" s="136" t="inlineStr">
        <is>
          <t>AE</t>
        </is>
      </c>
      <c r="G40" s="136" t="n"/>
      <c r="H40" s="136" t="inlineStr">
        <is>
          <t>AE</t>
        </is>
      </c>
      <c r="I40" s="137" t="n"/>
      <c r="J40" s="137" t="n"/>
      <c r="K40" s="136" t="inlineStr">
        <is>
          <t>COVER RESERVE</t>
        </is>
      </c>
      <c r="M40" s="137" t="inlineStr">
        <is>
          <t>C $M BIC (0530-2000)</t>
        </is>
      </c>
      <c r="N40" s="137" t="inlineStr">
        <is>
          <t>B $PM IPPT(1530-2000)</t>
        </is>
      </c>
      <c r="O40" s="137" t="inlineStr">
        <is>
          <t>A $M RM (1400-2359)</t>
        </is>
      </c>
      <c r="P40" s="136" t="inlineStr">
        <is>
          <t>COVER RESERVE</t>
        </is>
      </c>
      <c r="Q40" s="53" t="n"/>
      <c r="R40" s="137" t="n"/>
      <c r="S40" s="137" t="n"/>
      <c r="T40" s="137" t="n"/>
      <c r="U40" s="137" t="inlineStr">
        <is>
          <t>P $M BIC (1330-1830)</t>
        </is>
      </c>
      <c r="V40" s="137" t="inlineStr">
        <is>
          <t>L $M RE 12KM RM (1400-2359)</t>
        </is>
      </c>
      <c r="W40" s="137" t="n"/>
      <c r="X40" s="137" t="inlineStr">
        <is>
          <t>AE</t>
        </is>
      </c>
      <c r="Y40" s="136" t="n"/>
      <c r="Z40" s="137" t="inlineStr">
        <is>
          <t>L $BTP (0545-2359)</t>
        </is>
      </c>
      <c r="AA40" s="136" t="n"/>
      <c r="AB40" s="53" t="inlineStr">
        <is>
          <t>MEDICAL RECCE</t>
        </is>
      </c>
      <c r="AC40" s="137" t="n"/>
      <c r="AD40" s="137" t="n"/>
      <c r="AE40" s="137" t="n"/>
      <c r="AF40" s="137" t="n"/>
      <c r="AG40" s="137" t="n"/>
      <c r="AH40" s="197" t="n"/>
      <c r="AI40" s="237">
        <f>COUNTIF($D40:$AE40,AI$4)</f>
        <v/>
      </c>
      <c r="AJ40" s="248">
        <f>COUNTIF($D40:$AE40,AJ$4)</f>
        <v/>
      </c>
      <c r="AK40" s="237">
        <f>COUNTIF($D40:$AE40,AK$4)</f>
        <v/>
      </c>
      <c r="AL40" s="237">
        <f>COUNTIF($D40:$AE40,AL$4)</f>
        <v/>
      </c>
      <c r="AM40" s="238">
        <f>COUNTIF($D40:$AE40,AM$4)</f>
        <v/>
      </c>
      <c r="AN40" s="238">
        <f>COUNTIF($D40:$AE40,AN$4)</f>
        <v/>
      </c>
      <c r="AO40" s="238">
        <f>COUNTIF($D40:$AE40,AO$4)</f>
        <v/>
      </c>
      <c r="AP40" s="238">
        <f>COUNTIF($D40:$AE40,AP$4)</f>
        <v/>
      </c>
      <c r="AQ40" s="238">
        <f>COUNTIF($D40:$AE40,AQ$4)</f>
        <v/>
      </c>
      <c r="AR40" s="246" t="n"/>
      <c r="AS40" s="239" t="n"/>
      <c r="AT40" s="239" t="n">
        <v>0.5</v>
      </c>
      <c r="AU40" s="238">
        <f>SUMPRODUCT(--(WEEKDAY(C$3:AG$3,2)&lt;5),--ISNUMBER(MATCH(C40:AG40,{"DM","CS1","CS2","SB1","AE","CS/B"},0)))</f>
        <v/>
      </c>
      <c r="AV40" s="246" t="n"/>
      <c r="AW40" s="238">
        <f>SUMPRODUCT(--(WEEKDAY(C$3:AG$3,2)=5),--ISNUMBER(MATCH(C40:AG40,{"DM","CS1","CS2","SB1","AE","CS/B"},0)))</f>
        <v/>
      </c>
      <c r="AX40" s="238">
        <f>SUMPRODUCT(--(WEEKDAY(C$3:AG$3,2)&gt;5),--ISNUMBER(MATCH(C40:AG40,{"DM","CS1","CS2","SB1","AE","CS/B"},0)))</f>
        <v/>
      </c>
      <c r="AY40" s="246" t="n"/>
      <c r="AZ40" s="238">
        <f>(AU40-AV40)+AW40*1.5+(AX40-AY40)*2+AN40*0.5+AP40*0.5+AS40-AT40</f>
        <v/>
      </c>
      <c r="BA40" s="238">
        <f>AU40+AW40+AX40</f>
        <v/>
      </c>
      <c r="BB40" s="238">
        <f>BE40+BG40+BI40+BK40+BM40</f>
        <v/>
      </c>
      <c r="BC40" s="239">
        <f>AZ40+BD40</f>
        <v/>
      </c>
      <c r="BD40" s="238">
        <f>BF40+BH40+BJ40+BL40+BN40</f>
        <v/>
      </c>
      <c r="BE40" s="238">
        <f>COUNTIF(A40:AI40,"*$BTP*")</f>
        <v/>
      </c>
      <c r="BF40" s="238">
        <f>BE40*1.5</f>
        <v/>
      </c>
      <c r="BG40" s="238">
        <f>COUNTIF(A40:AI40,"*$M*")</f>
        <v/>
      </c>
      <c r="BH40" s="238">
        <f>BG40*1</f>
        <v/>
      </c>
      <c r="BI40" s="238">
        <f>COUNTIF(A40:AI40,"*$PM*")</f>
        <v/>
      </c>
      <c r="BJ40" s="238">
        <f>BI40*0.5</f>
        <v/>
      </c>
      <c r="BK40" s="238">
        <f>COUNTIF(A40:AI40,"*$AM*")</f>
        <v/>
      </c>
      <c r="BL40" s="238">
        <f>BK40*0.5</f>
        <v/>
      </c>
      <c r="BM40" s="238">
        <f>COUNTIF(A40:AI40,"*$FC*")</f>
        <v/>
      </c>
      <c r="BN40" s="238">
        <f>BM40*1</f>
        <v/>
      </c>
      <c r="BO40" s="238">
        <f>COUNTIF($D40:$Z40,BO$4)</f>
        <v/>
      </c>
      <c r="BP40" s="238">
        <f>COUNTIF($D40:$Z40,BP$4)</f>
        <v/>
      </c>
      <c r="BQ40" s="238">
        <f>COUNTIF($D40:$Z40,BQ$4)</f>
        <v/>
      </c>
      <c r="BR40" s="247" t="n"/>
    </row>
    <row r="41" ht="19.5" customHeight="1">
      <c r="A41" s="233" t="n"/>
      <c r="B41" s="186" t="inlineStr">
        <is>
          <t>LCP SHLOK PUROHIT</t>
        </is>
      </c>
      <c r="C41" s="53" t="n"/>
      <c r="D41" s="137" t="inlineStr">
        <is>
          <t>C $PM CC (1530-2000)</t>
        </is>
      </c>
      <c r="E41" s="75" t="inlineStr">
        <is>
          <t>COVER RESERVE</t>
        </is>
      </c>
      <c r="F41" s="53" t="n"/>
      <c r="G41" s="75" t="inlineStr">
        <is>
          <t>L $FC</t>
        </is>
      </c>
      <c r="H41" s="75" t="inlineStr">
        <is>
          <t>L $FC</t>
        </is>
      </c>
      <c r="I41" s="75" t="inlineStr">
        <is>
          <t>L $FC</t>
        </is>
      </c>
      <c r="J41" s="75" t="inlineStr">
        <is>
          <t>L $FC</t>
        </is>
      </c>
      <c r="K41" s="75" t="inlineStr">
        <is>
          <t>L $FC</t>
        </is>
      </c>
      <c r="L41" s="53" t="n"/>
      <c r="M41" s="53" t="inlineStr">
        <is>
          <t>MC</t>
        </is>
      </c>
      <c r="N41" s="136" t="inlineStr">
        <is>
          <t>MC</t>
        </is>
      </c>
      <c r="O41" s="137" t="inlineStr">
        <is>
          <t>C $M RM (1400-2359)</t>
        </is>
      </c>
      <c r="P41" s="53" t="n"/>
      <c r="Q41" s="53" t="n"/>
      <c r="R41" s="137" t="n"/>
      <c r="S41" s="137" t="inlineStr">
        <is>
          <t>CS2</t>
        </is>
      </c>
      <c r="T41" s="137" t="n"/>
      <c r="U41" s="136" t="inlineStr">
        <is>
          <t>COVER RESERVE</t>
        </is>
      </c>
      <c r="V41" s="137" t="inlineStr">
        <is>
          <t>L $M BIC (0515-2000)</t>
        </is>
      </c>
      <c r="W41" s="137" t="n"/>
      <c r="X41" s="137" t="n"/>
      <c r="Y41" s="137" t="n"/>
      <c r="Z41" s="136" t="inlineStr">
        <is>
          <t>MA</t>
        </is>
      </c>
      <c r="AA41" s="136" t="n"/>
      <c r="AB41" s="53" t="inlineStr">
        <is>
          <t>MEDICAL RECCE</t>
        </is>
      </c>
      <c r="AC41" s="137" t="inlineStr">
        <is>
          <t>AE</t>
        </is>
      </c>
      <c r="AD41" s="137" t="n"/>
      <c r="AE41" s="137" t="n"/>
      <c r="AF41" s="137" t="n"/>
      <c r="AG41" s="137" t="n"/>
      <c r="AH41" s="197" t="n"/>
      <c r="AI41" s="237">
        <f>COUNTIF($D41:$AE41,AI$4)</f>
        <v/>
      </c>
      <c r="AJ41" s="248">
        <f>COUNTIF($D41:$AE41,AJ$4)</f>
        <v/>
      </c>
      <c r="AK41" s="237">
        <f>COUNTIF($D41:$AE41,AK$4)</f>
        <v/>
      </c>
      <c r="AL41" s="237">
        <f>COUNTIF($D41:$AE41,AL$4)</f>
        <v/>
      </c>
      <c r="AM41" s="238">
        <f>COUNTIF($D41:$AE41,AM$4)</f>
        <v/>
      </c>
      <c r="AN41" s="238">
        <f>COUNTIF($D41:$AE41,AN$4)</f>
        <v/>
      </c>
      <c r="AO41" s="238">
        <f>COUNTIF($D41:$AE41,AO$4)</f>
        <v/>
      </c>
      <c r="AP41" s="238">
        <f>COUNTIF($D41:$AE41,AP$4)</f>
        <v/>
      </c>
      <c r="AQ41" s="238">
        <f>COUNTIF($D41:$AE41,AQ$4)</f>
        <v/>
      </c>
      <c r="AR41" s="246" t="n"/>
      <c r="AS41" s="239" t="n"/>
      <c r="AT41" s="239" t="n">
        <v>0.5</v>
      </c>
      <c r="AU41" s="238">
        <f>SUMPRODUCT(--(WEEKDAY(C$3:AG$3,2)&lt;5),--ISNUMBER(MATCH(C41:AG41,{"DM","CS1","CS2","SB1","AE","CS/B"},0)))</f>
        <v/>
      </c>
      <c r="AV41" s="246" t="n"/>
      <c r="AW41" s="238">
        <f>SUMPRODUCT(--(WEEKDAY(C$3:AG$3,2)=5),--ISNUMBER(MATCH(C41:AG41,{"DM","CS1","CS2","SB1","AE","CS/B"},0)))</f>
        <v/>
      </c>
      <c r="AX41" s="238">
        <f>SUMPRODUCT(--(WEEKDAY(C$3:AG$3,2)&gt;5),--ISNUMBER(MATCH(C41:AG41,{"DM","CS1","CS2","SB1","AE","CS/B"},0)))</f>
        <v/>
      </c>
      <c r="AY41" s="246" t="n"/>
      <c r="AZ41" s="238">
        <f>(AU41-AV41)+AW41*1.5+(AX41-AY41)*2+AN41*0.5+AP41*0.5+AS41-AT41</f>
        <v/>
      </c>
      <c r="BA41" s="238">
        <f>AU41+AW41+AX41</f>
        <v/>
      </c>
      <c r="BB41" s="238">
        <f>BE41+BG41+BI41+BK41+BM41</f>
        <v/>
      </c>
      <c r="BC41" s="239">
        <f>AZ41+BD41</f>
        <v/>
      </c>
      <c r="BD41" s="238">
        <f>BF41+BH41+BJ41+BL41+BN41</f>
        <v/>
      </c>
      <c r="BE41" s="238">
        <f>COUNTIF(A41:AI41,"*$BTP*")</f>
        <v/>
      </c>
      <c r="BF41" s="238">
        <f>BE41*1.5</f>
        <v/>
      </c>
      <c r="BG41" s="238">
        <f>COUNTIF(A41:AI41,"*$M*")</f>
        <v/>
      </c>
      <c r="BH41" s="238">
        <f>BG41*1</f>
        <v/>
      </c>
      <c r="BI41" s="238">
        <f>COUNTIF(A41:AI41,"*$PM*")</f>
        <v/>
      </c>
      <c r="BJ41" s="238">
        <f>BI41*0.5</f>
        <v/>
      </c>
      <c r="BK41" s="238">
        <f>COUNTIF(A41:AI41,"*$AM*")</f>
        <v/>
      </c>
      <c r="BL41" s="238">
        <f>BK41*0.5</f>
        <v/>
      </c>
      <c r="BM41" s="238">
        <f>COUNTIF(A41:AI41,"*$FC*")</f>
        <v/>
      </c>
      <c r="BN41" s="238">
        <f>BM41*1</f>
        <v/>
      </c>
      <c r="BO41" s="238">
        <f>COUNTIF($D41:$AA41,BO$4)</f>
        <v/>
      </c>
      <c r="BP41" s="238">
        <f>COUNTIF($D41:$AA41,BP$4)</f>
        <v/>
      </c>
      <c r="BQ41" s="238">
        <f>COUNTIF($D41:$AA41,BQ$4)</f>
        <v/>
      </c>
      <c r="BR41" s="247" t="n"/>
    </row>
    <row r="42" ht="19.5" customHeight="1">
      <c r="A42" s="233" t="n"/>
      <c r="B42" s="186" t="inlineStr">
        <is>
          <t>LCP HYDER ISKANDAR BIN ZULKILFILY</t>
        </is>
      </c>
      <c r="C42" s="53" t="n"/>
      <c r="D42" s="53" t="n"/>
      <c r="E42" s="137" t="inlineStr">
        <is>
          <t>C $M HG (0530-2000)</t>
        </is>
      </c>
      <c r="F42" s="187" t="inlineStr">
        <is>
          <t>P $AM IPPT (0500-1000)</t>
        </is>
      </c>
      <c r="G42" s="53" t="n"/>
      <c r="H42" s="136" t="inlineStr">
        <is>
          <t>COVER RESERVE</t>
        </is>
      </c>
      <c r="I42" s="137" t="inlineStr">
        <is>
          <t>DENTAL MA</t>
        </is>
      </c>
      <c r="J42" s="137" t="inlineStr">
        <is>
          <t>K $FC</t>
        </is>
      </c>
      <c r="K42" s="137" t="inlineStr">
        <is>
          <t>K $FC</t>
        </is>
      </c>
      <c r="L42" s="137" t="inlineStr">
        <is>
          <t>K $FC</t>
        </is>
      </c>
      <c r="M42" s="137" t="inlineStr">
        <is>
          <t>K $FC</t>
        </is>
      </c>
      <c r="N42" s="53" t="n"/>
      <c r="O42" s="136" t="inlineStr">
        <is>
          <t>COVER RESERVE</t>
        </is>
      </c>
      <c r="P42" s="53" t="inlineStr">
        <is>
          <t>AE</t>
        </is>
      </c>
      <c r="Q42" s="53" t="n"/>
      <c r="R42" s="137" t="inlineStr">
        <is>
          <t>SB2</t>
        </is>
      </c>
      <c r="S42" s="136" t="inlineStr">
        <is>
          <t>RESERVE</t>
        </is>
      </c>
      <c r="T42" s="137" t="n"/>
      <c r="U42" s="136" t="inlineStr">
        <is>
          <t>BREAK FAST</t>
        </is>
      </c>
      <c r="V42" s="136" t="inlineStr">
        <is>
          <t>COVER RESERVE</t>
        </is>
      </c>
      <c r="W42" s="136" t="n"/>
      <c r="X42" s="137" t="n"/>
      <c r="Z42" s="75" t="inlineStr">
        <is>
          <t>COVER RESERVE</t>
        </is>
      </c>
      <c r="AA42" s="136" t="inlineStr">
        <is>
          <t>SB2</t>
        </is>
      </c>
      <c r="AB42" s="53" t="inlineStr">
        <is>
          <t>C $M RE-12KM (0530-1000)</t>
        </is>
      </c>
      <c r="AC42" s="137" t="n"/>
      <c r="AE42" s="137" t="n"/>
      <c r="AF42" s="137" t="n"/>
      <c r="AG42" s="137" t="n"/>
      <c r="AH42" s="197" t="n"/>
      <c r="AI42" s="237">
        <f>COUNTIF($D42:$AE42,AI$4)</f>
        <v/>
      </c>
      <c r="AJ42" s="248">
        <f>COUNTIF($D42:$AE42,AJ$4)</f>
        <v/>
      </c>
      <c r="AK42" s="237">
        <f>COUNTIF($D42:$AE42,AK$4)</f>
        <v/>
      </c>
      <c r="AL42" s="237">
        <f>COUNTIF($D42:$AE42,AL$4)</f>
        <v/>
      </c>
      <c r="AM42" s="238">
        <f>COUNTIF($D42:$AE42,AM$4)</f>
        <v/>
      </c>
      <c r="AN42" s="238">
        <f>COUNTIF($D42:$AE42,AN$4)</f>
        <v/>
      </c>
      <c r="AO42" s="238">
        <f>COUNTIF($D42:$AE42,AO$4)</f>
        <v/>
      </c>
      <c r="AP42" s="238">
        <f>COUNTIF($D42:$AE42,AP$4)</f>
        <v/>
      </c>
      <c r="AQ42" s="238">
        <f>COUNTIF($D42:$AE42,AQ$4)</f>
        <v/>
      </c>
      <c r="AR42" s="246" t="n"/>
      <c r="AS42" s="239" t="n"/>
      <c r="AT42" s="239" t="n">
        <v>0.5</v>
      </c>
      <c r="AU42" s="238">
        <f>SUMPRODUCT(--(WEEKDAY(C$3:AG$3,2)&lt;5),--ISNUMBER(MATCH(C42:AG42,{"DM","CS1","CS2","SB1","AE","CS/B"},0)))</f>
        <v/>
      </c>
      <c r="AV42" s="246" t="n"/>
      <c r="AW42" s="238">
        <f>SUMPRODUCT(--(WEEKDAY(C$3:AG$3,2)=5),--ISNUMBER(MATCH(C42:AG42,{"DM","CS1","CS2","SB1","AE","CS/B"},0)))</f>
        <v/>
      </c>
      <c r="AX42" s="238">
        <f>SUMPRODUCT(--(WEEKDAY(C$3:AG$3,2)&gt;5),--ISNUMBER(MATCH(C42:AG42,{"DM","CS1","CS2","SB1","AE","CS/B"},0)))</f>
        <v/>
      </c>
      <c r="AY42" s="246" t="n"/>
      <c r="AZ42" s="238">
        <f>(AU42-AV42)+AW42*1.5+(AX42-AY42)*2+AN42*0.5+AP42*0.5+AS42-AT42</f>
        <v/>
      </c>
      <c r="BA42" s="238">
        <f>AU42+AW42+AX42</f>
        <v/>
      </c>
      <c r="BB42" s="238">
        <f>BE42+BG42+BI42+BK42+BM42</f>
        <v/>
      </c>
      <c r="BC42" s="239">
        <f>AZ42+BD42</f>
        <v/>
      </c>
      <c r="BD42" s="238">
        <f>BF42+BH42+BJ42+BL42+BN42</f>
        <v/>
      </c>
      <c r="BE42" s="238">
        <f>COUNTIF(A42:AI42,"*$BTP*")</f>
        <v/>
      </c>
      <c r="BF42" s="238">
        <f>BE42*1.5</f>
        <v/>
      </c>
      <c r="BG42" s="238">
        <f>COUNTIF(A42:AI42,"*$M*")</f>
        <v/>
      </c>
      <c r="BH42" s="238">
        <f>BG42*1</f>
        <v/>
      </c>
      <c r="BI42" s="238">
        <f>COUNTIF(A42:AI42,"*$PM*")</f>
        <v/>
      </c>
      <c r="BJ42" s="238">
        <f>BI42*0.5</f>
        <v/>
      </c>
      <c r="BK42" s="238">
        <f>COUNTIF(A42:AI42,"*$AM*")</f>
        <v/>
      </c>
      <c r="BL42" s="238">
        <f>BK42*0.5</f>
        <v/>
      </c>
      <c r="BM42" s="238">
        <f>COUNTIF(A42:AI42,"*$FC*")</f>
        <v/>
      </c>
      <c r="BN42" s="238">
        <f>BM42*1</f>
        <v/>
      </c>
      <c r="BO42" s="238">
        <f>COUNTIF($D42:$AA42,BO$4)</f>
        <v/>
      </c>
      <c r="BP42" s="238">
        <f>COUNTIF($D42:$AA42,BP$4)</f>
        <v/>
      </c>
      <c r="BQ42" s="238">
        <f>COUNTIF($D42:$AA42,BQ$4)</f>
        <v/>
      </c>
      <c r="BR42" s="247" t="n"/>
    </row>
    <row r="43" ht="19.5" customHeight="1">
      <c r="A43" s="233" t="n"/>
      <c r="B43" s="195" t="inlineStr">
        <is>
          <t>Leave a blank row after the last name ^</t>
        </is>
      </c>
      <c r="C43" s="281" t="n"/>
      <c r="D43" s="197" t="n"/>
      <c r="E43" s="197" t="n"/>
      <c r="F43" s="197" t="n"/>
      <c r="G43" s="136" t="n"/>
      <c r="H43" s="136" t="n"/>
      <c r="I43" s="197" t="n"/>
      <c r="J43" s="197" t="n"/>
      <c r="K43" s="197" t="n"/>
      <c r="L43" s="197" t="n"/>
      <c r="M43" s="136" t="n"/>
      <c r="N43" s="197" t="n"/>
      <c r="O43" s="197" t="n"/>
      <c r="P43" s="197" t="n"/>
      <c r="Q43" s="53" t="n"/>
      <c r="R43" s="53" t="n"/>
      <c r="S43" s="197" t="n"/>
      <c r="T43" s="196" t="n"/>
      <c r="U43" s="198" t="n"/>
      <c r="V43" s="136" t="n"/>
      <c r="W43" s="137" t="n"/>
      <c r="X43" s="197" t="n"/>
      <c r="Y43" s="282" t="n"/>
      <c r="Z43" s="282" t="n"/>
      <c r="AA43" s="282" t="n"/>
      <c r="AB43" s="282" t="n"/>
      <c r="AC43" s="282" t="n"/>
      <c r="AD43" s="282" t="n"/>
      <c r="AE43" s="197" t="n"/>
      <c r="AF43" s="197" t="n"/>
      <c r="AG43" s="196" t="n"/>
      <c r="AH43" s="197" t="n"/>
      <c r="AI43" s="237" t="n"/>
      <c r="AJ43" s="248" t="n"/>
      <c r="AK43" s="237" t="n"/>
      <c r="AL43" s="237" t="n"/>
      <c r="AM43" s="246" t="n"/>
      <c r="AN43" s="246" t="n"/>
      <c r="AO43" s="246" t="n"/>
      <c r="AP43" s="246" t="n"/>
      <c r="AQ43" s="246" t="n"/>
      <c r="AR43" s="246" t="n"/>
      <c r="AS43" s="246" t="n"/>
      <c r="AT43" s="246" t="n"/>
      <c r="AU43" s="238" t="n"/>
      <c r="AV43" s="246" t="n"/>
      <c r="AW43" s="246" t="n"/>
      <c r="AX43" s="238" t="n"/>
      <c r="AY43" s="246" t="n"/>
      <c r="AZ43" s="246" t="n"/>
      <c r="BA43" s="238" t="n"/>
      <c r="BB43" s="238" t="inlineStr">
        <is>
          <t>Cbt total =</t>
        </is>
      </c>
      <c r="BC43" s="238">
        <f>SUM(BC18:BC42)</f>
        <v/>
      </c>
      <c r="BD43" s="238" t="n"/>
      <c r="BE43" s="238" t="n"/>
      <c r="BF43" s="238" t="n"/>
      <c r="BG43" s="238" t="n"/>
      <c r="BH43" s="238" t="n"/>
      <c r="BI43" s="238" t="n"/>
      <c r="BJ43" s="238" t="n"/>
      <c r="BK43" s="238" t="n"/>
      <c r="BL43" s="238" t="n"/>
      <c r="BM43" s="238" t="n"/>
      <c r="BN43" s="238" t="n"/>
      <c r="BO43" s="246" t="n"/>
      <c r="BP43" s="246" t="n"/>
      <c r="BQ43" s="246" t="n"/>
      <c r="BR43" s="247" t="n"/>
    </row>
    <row r="44" ht="19.5" customHeight="1">
      <c r="A44" s="233" t="n"/>
      <c r="B44" s="199" t="inlineStr">
        <is>
          <t>SERVICE POINTS</t>
        </is>
      </c>
      <c r="C44" s="281" t="n"/>
      <c r="D44" s="282" t="n"/>
      <c r="E44" s="282" t="n"/>
      <c r="F44" s="282" t="n"/>
      <c r="G44" s="282" t="n"/>
      <c r="H44" s="197" t="n"/>
      <c r="I44" s="197" t="n"/>
      <c r="J44" s="197" t="n"/>
      <c r="K44" s="197" t="n"/>
      <c r="L44" s="197" t="n"/>
      <c r="M44" s="136" t="n"/>
      <c r="N44" s="197" t="n"/>
      <c r="O44" s="197" t="n"/>
      <c r="P44" s="197" t="n"/>
      <c r="Q44" s="53" t="n"/>
      <c r="R44" s="53" t="n"/>
      <c r="S44" s="197" t="n"/>
      <c r="T44" s="196" t="n"/>
      <c r="U44" s="198" t="n"/>
      <c r="V44" s="200" t="n"/>
      <c r="W44" s="197" t="n"/>
      <c r="X44" s="197" t="n"/>
      <c r="Y44" s="282" t="n"/>
      <c r="Z44" s="282" t="n"/>
      <c r="AA44" s="282" t="n"/>
      <c r="AB44" s="282" t="n"/>
      <c r="AC44" s="282" t="n"/>
      <c r="AD44" s="282" t="n"/>
      <c r="AE44" s="197" t="n"/>
      <c r="AF44" s="197" t="n"/>
      <c r="AG44" s="196" t="n"/>
      <c r="AH44" s="283" t="n"/>
      <c r="AI44" s="237" t="n"/>
      <c r="AJ44" s="248" t="n"/>
      <c r="AK44" s="237" t="n"/>
      <c r="AL44" s="237" t="n"/>
      <c r="AM44" s="246" t="n"/>
      <c r="AN44" s="246" t="n"/>
      <c r="AO44" s="246" t="n"/>
      <c r="AP44" s="246" t="n"/>
      <c r="AQ44" s="246" t="n"/>
      <c r="AR44" s="246" t="n"/>
      <c r="AS44" s="246" t="n"/>
      <c r="AT44" s="246" t="n"/>
      <c r="AU44" s="238" t="n"/>
      <c r="AV44" s="246" t="n"/>
      <c r="AW44" s="246" t="n"/>
      <c r="AX44" s="238" t="n"/>
      <c r="AY44" s="246" t="n"/>
      <c r="AZ44" s="246" t="n"/>
      <c r="BA44" s="238" t="n"/>
      <c r="BB44" s="238" t="inlineStr">
        <is>
          <t xml:space="preserve">Cbt avg = </t>
        </is>
      </c>
      <c r="BC44" s="238" t="inlineStr">
        <is>
          <t>8.78 ~ 9</t>
        </is>
      </c>
      <c r="BD44" s="238" t="n"/>
      <c r="BE44" s="238" t="n"/>
      <c r="BF44" s="238" t="n"/>
      <c r="BG44" s="238" t="n"/>
      <c r="BH44" s="238" t="n"/>
      <c r="BI44" s="238" t="n"/>
      <c r="BJ44" s="238" t="n"/>
      <c r="BK44" s="238" t="n"/>
      <c r="BL44" s="238" t="n"/>
      <c r="BM44" s="238" t="n"/>
      <c r="BN44" s="238" t="n"/>
      <c r="BO44" s="246" t="n"/>
      <c r="BP44" s="246" t="n"/>
      <c r="BQ44" s="246" t="n"/>
      <c r="BR44" s="247" t="n"/>
    </row>
    <row r="45" ht="19.5" customHeight="1">
      <c r="A45" s="233" t="n"/>
      <c r="B45" s="199" t="inlineStr">
        <is>
          <t>COMBAT POINTS</t>
        </is>
      </c>
      <c r="C45" s="281" t="n"/>
      <c r="D45" s="282" t="n"/>
      <c r="E45" s="282" t="n"/>
      <c r="F45" s="282" t="n"/>
      <c r="G45" s="282" t="n"/>
      <c r="H45" s="197" t="n"/>
      <c r="I45" s="197" t="n"/>
      <c r="J45" s="197" t="n"/>
      <c r="K45" s="197" t="n"/>
      <c r="L45" s="197" t="n"/>
      <c r="M45" s="136" t="n"/>
      <c r="N45" s="197" t="n"/>
      <c r="O45" s="197" t="n"/>
      <c r="P45" s="197" t="n"/>
      <c r="Q45" s="53" t="n"/>
      <c r="R45" s="53" t="n"/>
      <c r="S45" s="197" t="n"/>
      <c r="T45" s="196" t="n"/>
      <c r="U45" s="198" t="n"/>
      <c r="V45" s="200" t="n"/>
      <c r="W45" s="197" t="n"/>
      <c r="X45" s="197" t="n"/>
      <c r="Y45" s="282" t="n"/>
      <c r="Z45" s="282" t="n"/>
      <c r="AA45" s="282" t="n"/>
      <c r="AB45" s="282" t="n"/>
      <c r="AC45" s="282" t="n"/>
      <c r="AD45" s="282" t="n"/>
      <c r="AE45" s="197" t="n"/>
      <c r="AF45" s="197" t="n"/>
      <c r="AG45" s="196" t="n"/>
      <c r="AH45" s="283" t="n"/>
      <c r="AI45" s="237" t="n"/>
      <c r="AJ45" s="248" t="n"/>
      <c r="AK45" s="237" t="n"/>
      <c r="AL45" s="237" t="n"/>
      <c r="AM45" s="246" t="n"/>
      <c r="AN45" s="246" t="n"/>
      <c r="AO45" s="246" t="n"/>
      <c r="AP45" s="246" t="n"/>
      <c r="AQ45" s="246" t="n"/>
      <c r="AR45" s="246" t="n"/>
      <c r="AS45" s="246" t="n"/>
      <c r="AT45" s="246" t="n"/>
      <c r="AU45" s="238" t="n"/>
      <c r="AV45" s="246" t="n"/>
      <c r="AW45" s="246" t="n"/>
      <c r="AX45" s="238" t="n"/>
      <c r="AY45" s="246" t="n"/>
      <c r="AZ45" s="246" t="n"/>
      <c r="BA45" s="238" t="n"/>
      <c r="BB45" s="238" t="n"/>
      <c r="BC45" s="238" t="n"/>
      <c r="BD45" s="238" t="n"/>
      <c r="BE45" s="238" t="n"/>
      <c r="BF45" s="238" t="n"/>
      <c r="BG45" s="238" t="n"/>
      <c r="BH45" s="238" t="n"/>
      <c r="BI45" s="238" t="n"/>
      <c r="BJ45" s="238" t="n"/>
      <c r="BK45" s="238" t="n"/>
      <c r="BL45" s="238" t="n"/>
      <c r="BM45" s="238" t="n"/>
      <c r="BN45" s="238" t="n"/>
      <c r="BO45" s="246" t="n"/>
      <c r="BP45" s="246" t="n"/>
      <c r="BQ45" s="246" t="n"/>
      <c r="BR45" s="247" t="n"/>
    </row>
    <row r="46" ht="19.5" customHeight="1">
      <c r="A46" s="233" t="n"/>
      <c r="B46" s="199" t="inlineStr">
        <is>
          <t>TOTAL POINTS</t>
        </is>
      </c>
      <c r="C46" s="281" t="n"/>
      <c r="D46" s="282" t="n"/>
      <c r="E46" s="282" t="n"/>
      <c r="F46" s="282" t="n"/>
      <c r="G46" s="282" t="n"/>
      <c r="H46" s="197" t="n"/>
      <c r="I46" s="197" t="n"/>
      <c r="J46" s="197" t="n"/>
      <c r="K46" s="197" t="n"/>
      <c r="L46" s="197" t="n"/>
      <c r="M46" s="136" t="n"/>
      <c r="N46" s="197" t="n"/>
      <c r="O46" s="197" t="n"/>
      <c r="P46" s="197" t="n"/>
      <c r="Q46" s="53" t="n"/>
      <c r="R46" s="53" t="n"/>
      <c r="S46" s="197" t="n"/>
      <c r="T46" s="196" t="n"/>
      <c r="U46" s="198" t="n"/>
      <c r="V46" s="200" t="n"/>
      <c r="W46" s="197" t="n"/>
      <c r="X46" s="197" t="n"/>
      <c r="Y46" s="282" t="n"/>
      <c r="Z46" s="282" t="n"/>
      <c r="AA46" s="282" t="n"/>
      <c r="AB46" s="282" t="n"/>
      <c r="AC46" s="282" t="n"/>
      <c r="AD46" s="282" t="n"/>
      <c r="AE46" s="197" t="n"/>
      <c r="AF46" s="197" t="n"/>
      <c r="AG46" s="196" t="n"/>
      <c r="AH46" s="283" t="n"/>
      <c r="AI46" s="237" t="n"/>
      <c r="AJ46" s="248" t="n"/>
      <c r="AK46" s="237" t="n"/>
      <c r="AL46" s="237" t="n"/>
      <c r="AM46" s="246" t="n"/>
      <c r="AN46" s="246" t="n"/>
      <c r="AO46" s="246" t="n"/>
      <c r="AP46" s="246" t="n"/>
      <c r="AQ46" s="246" t="n"/>
      <c r="AR46" s="246" t="n"/>
      <c r="AS46" s="246" t="n"/>
      <c r="AT46" s="246" t="n"/>
      <c r="AU46" s="238" t="n"/>
      <c r="AV46" s="246" t="n"/>
      <c r="AW46" s="246" t="n"/>
      <c r="AX46" s="238" t="n"/>
      <c r="AY46" s="246" t="n"/>
      <c r="AZ46" s="246" t="n"/>
      <c r="BA46" s="238" t="n"/>
      <c r="BB46" s="238" t="n"/>
      <c r="BC46" s="238" t="n"/>
      <c r="BD46" s="238" t="n"/>
      <c r="BE46" s="238" t="n"/>
      <c r="BF46" s="238" t="n"/>
      <c r="BG46" s="238" t="n"/>
      <c r="BH46" s="238" t="n"/>
      <c r="BI46" s="238" t="n"/>
      <c r="BJ46" s="238" t="n"/>
      <c r="BK46" s="238" t="n"/>
      <c r="BL46" s="238" t="n"/>
      <c r="BM46" s="238" t="n"/>
      <c r="BN46" s="238" t="n"/>
      <c r="BO46" s="246" t="n"/>
      <c r="BP46" s="246" t="n"/>
      <c r="BQ46" s="246" t="n"/>
      <c r="BR46" s="247" t="n"/>
    </row>
    <row r="47" ht="19.5" customHeight="1">
      <c r="A47" s="233" t="n"/>
      <c r="B47" s="201" t="n"/>
      <c r="C47" s="202" t="n"/>
      <c r="D47" s="249" t="n"/>
      <c r="E47" s="249" t="n"/>
      <c r="F47" s="249" t="n"/>
      <c r="G47" s="249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50" t="n"/>
      <c r="AI47" s="251" t="n"/>
      <c r="AJ47" s="252" t="n"/>
      <c r="AK47" s="251" t="n"/>
      <c r="AL47" s="251" t="n"/>
      <c r="AM47" s="253" t="n"/>
      <c r="AN47" s="253" t="n"/>
      <c r="AO47" s="253" t="n"/>
      <c r="AP47" s="253" t="n"/>
      <c r="AQ47" s="253" t="n"/>
      <c r="AR47" s="253" t="n"/>
      <c r="AS47" s="253" t="n"/>
      <c r="AT47" s="253" t="n"/>
      <c r="AU47" s="253" t="n"/>
      <c r="AV47" s="253" t="n"/>
      <c r="AW47" s="253" t="n"/>
      <c r="AX47" s="253">
        <f>SUMPRODUCT(--WEEKDAY(C$3:AG$3,2)&gt;5,--((C47:AG47="DM"))+(C47:AG47="CS1")+((C47:AG47="CS2"))+(C47:AG47="SB1")+(C47:AG47="AE")+(C47:AG47="EM"))</f>
        <v/>
      </c>
      <c r="AY47" s="253" t="n"/>
      <c r="AZ47" s="253">
        <f>(AU47-AV47)/2+(AX47-AY47)</f>
        <v/>
      </c>
      <c r="BA47" s="253" t="n"/>
      <c r="BB47" s="253" t="n"/>
      <c r="BC47" s="253" t="n"/>
      <c r="BD47" s="253" t="n"/>
      <c r="BE47" s="253" t="n"/>
      <c r="BF47" s="253" t="n"/>
      <c r="BG47" s="253" t="n"/>
      <c r="BH47" s="253" t="n"/>
      <c r="BI47" s="253" t="n"/>
      <c r="BJ47" s="253" t="n"/>
      <c r="BK47" s="253" t="n"/>
      <c r="BL47" s="253" t="n"/>
      <c r="BM47" s="253" t="n"/>
      <c r="BN47" s="253" t="n"/>
      <c r="BO47" s="253" t="n"/>
      <c r="BP47" s="253" t="n"/>
      <c r="BQ47" s="253" t="n"/>
      <c r="BR47" s="254" t="n"/>
    </row>
    <row r="48" ht="19.5" customHeight="1">
      <c r="A48" s="233" t="n"/>
      <c r="B48" s="205" t="inlineStr">
        <is>
          <t>DM</t>
        </is>
      </c>
      <c r="C48" s="206">
        <f>VLOOKUP("DM",C5:C43,1,FALSE)</f>
        <v/>
      </c>
      <c r="D48" s="206">
        <f>VLOOKUP("DM",D5:D43,1,FALSE)</f>
        <v/>
      </c>
      <c r="E48" s="206">
        <f>VLOOKUP("DM",E6:E43,1,FALSE)</f>
        <v/>
      </c>
      <c r="F48" s="206">
        <f>VLOOKUP("DM",F5:F43,1,FALSE)</f>
        <v/>
      </c>
      <c r="G48" s="206">
        <f>VLOOKUP("DM",G5:G42,1,FALSE)</f>
        <v/>
      </c>
      <c r="H48" s="206">
        <f>VLOOKUP("DM",H5:H42,1,FALSE)</f>
        <v/>
      </c>
      <c r="I48" s="206">
        <f>VLOOKUP("DM",I5:I43,1,FALSE)</f>
        <v/>
      </c>
      <c r="J48" s="206">
        <f>VLOOKUP("DM",J5:J43,1,FALSE)</f>
        <v/>
      </c>
      <c r="K48" s="206">
        <f>VLOOKUP("DM",K5:K43,1,FALSE)</f>
        <v/>
      </c>
      <c r="L48" s="206">
        <f>VLOOKUP("DM",L5:L43,1,FALSE)</f>
        <v/>
      </c>
      <c r="M48" s="206">
        <f>VLOOKUP("DM",M5:M43,1,FALSE)</f>
        <v/>
      </c>
      <c r="N48" s="206">
        <f>VLOOKUP("DM",N5:N43,1,FALSE)</f>
        <v/>
      </c>
      <c r="O48" s="206">
        <f>VLOOKUP("DM",O5:O43,1,FALSE)</f>
        <v/>
      </c>
      <c r="P48" s="206">
        <f>VLOOKUP("DM",P5:P43,1,FALSE)</f>
        <v/>
      </c>
      <c r="Q48" s="206">
        <f>VLOOKUP("DM",Q5:Q43,1,FALSE)</f>
        <v/>
      </c>
      <c r="R48" s="206">
        <f>VLOOKUP("DM",R5:R43,1,FALSE)</f>
        <v/>
      </c>
      <c r="S48" s="206">
        <f>VLOOKUP("DM",S5:S43,1,FALSE)</f>
        <v/>
      </c>
      <c r="T48" s="206">
        <f>VLOOKUP("DM",T5:T43,1,FALSE)</f>
        <v/>
      </c>
      <c r="U48" s="206">
        <f>VLOOKUP("DM",U5:U43,1,FALSE)</f>
        <v/>
      </c>
      <c r="V48" s="206">
        <f>VLOOKUP("DM",V5:V41,1,FALSE)</f>
        <v/>
      </c>
      <c r="W48" s="206">
        <f>VLOOKUP("DM",W5:W43,1,FALSE)</f>
        <v/>
      </c>
      <c r="X48" s="206">
        <f>VLOOKUP("DM",X5:X43,1,FALSE)</f>
        <v/>
      </c>
      <c r="Y48" s="206">
        <f>VLOOKUP("DM",Y5:Y43,1,FALSE)</f>
        <v/>
      </c>
      <c r="Z48" s="206">
        <f>VLOOKUP("DM",Z5:Z43,1,FALSE)</f>
        <v/>
      </c>
      <c r="AA48" s="206">
        <f>VLOOKUP("DM",AA7:AA43,1,FALSE)</f>
        <v/>
      </c>
      <c r="AB48" s="206">
        <f>VLOOKUP("DM",AB5:AB43,1,FALSE)</f>
        <v/>
      </c>
      <c r="AC48" s="206">
        <f>VLOOKUP("DM",AC5:AC43,1,FALSE)</f>
        <v/>
      </c>
      <c r="AD48" s="206">
        <f>VLOOKUP("DM",AD5:AD43,1,FALSE)</f>
        <v/>
      </c>
      <c r="AE48" s="206">
        <f>VLOOKUP("DM",AE5:AE43,1,FALSE)</f>
        <v/>
      </c>
      <c r="AF48" s="206">
        <f>VLOOKUP("DM",AF5:AF43,1,FALSE)</f>
        <v/>
      </c>
      <c r="AG48" s="206">
        <f>VLOOKUP("DM",AG5:AG43,1,FALSE)</f>
        <v/>
      </c>
      <c r="AH48" s="206">
        <f>VLOOKUP("DM",AH5:AH43,1,FALSE)</f>
        <v/>
      </c>
      <c r="AI48" s="237" t="n"/>
      <c r="AJ48" s="248" t="n"/>
      <c r="AK48" s="237" t="n"/>
      <c r="AL48" s="237" t="n"/>
      <c r="AM48" s="238" t="n"/>
      <c r="AN48" s="238" t="n"/>
      <c r="AO48" s="238" t="n"/>
      <c r="AP48" s="238" t="n"/>
      <c r="AQ48" s="238" t="n"/>
      <c r="AR48" s="238" t="n"/>
      <c r="AS48" s="238" t="n"/>
      <c r="AT48" s="238" t="n"/>
      <c r="AU48" s="238" t="n"/>
      <c r="AV48" s="238" t="n"/>
      <c r="AW48" s="238" t="n"/>
      <c r="AX48" s="238" t="n"/>
      <c r="AY48" s="238" t="n"/>
      <c r="AZ48" s="238" t="n"/>
      <c r="BA48" s="238" t="n"/>
      <c r="BB48" s="238" t="n"/>
      <c r="BC48" s="238" t="n"/>
      <c r="BD48" s="238" t="n"/>
      <c r="BE48" s="238" t="n"/>
      <c r="BF48" s="238" t="n"/>
      <c r="BG48" s="238" t="n"/>
      <c r="BH48" s="238" t="n"/>
      <c r="BI48" s="238" t="n"/>
      <c r="BJ48" s="238" t="n"/>
      <c r="BK48" s="238" t="n"/>
      <c r="BL48" s="238" t="n"/>
      <c r="BM48" s="238" t="n"/>
      <c r="BN48" s="238" t="n"/>
      <c r="BO48" s="238" t="n"/>
      <c r="BP48" s="238" t="n"/>
      <c r="BQ48" s="238" t="n"/>
      <c r="BR48" s="240" t="n"/>
    </row>
    <row r="49" ht="19.5" customHeight="1">
      <c r="A49" s="233">
        <f>LTE()</f>
        <v/>
      </c>
      <c r="B49" s="207" t="inlineStr">
        <is>
          <t>CS1</t>
        </is>
      </c>
      <c r="C49" s="206">
        <f>VLOOKUP("CS1",C5:C43,1,FALSE)</f>
        <v/>
      </c>
      <c r="D49" s="206">
        <f>VLOOKUP("CS1",D5:D43,1,FALSE)</f>
        <v/>
      </c>
      <c r="E49" s="206">
        <f>VLOOKUP("CS1",E6:E43,1,FALSE)</f>
        <v/>
      </c>
      <c r="F49" s="206">
        <f>VLOOKUP("CS1",F5:F43,1,FALSE)</f>
        <v/>
      </c>
      <c r="G49" s="206">
        <f>VLOOKUP("CS1",G5:G42,1,FALSE)</f>
        <v/>
      </c>
      <c r="H49" s="206">
        <f>VLOOKUP("CS1",H5:H42,1,FALSE)</f>
        <v/>
      </c>
      <c r="I49" s="206">
        <f>VLOOKUP("CS1",I5:I43,1,FALSE)</f>
        <v/>
      </c>
      <c r="J49" s="206">
        <f>VLOOKUP("CS1",J5:J43,1,FALSE)</f>
        <v/>
      </c>
      <c r="K49" s="206">
        <f>VLOOKUP("CS1",K5:K43,1,FALSE)</f>
        <v/>
      </c>
      <c r="L49" s="206">
        <f>VLOOKUP("CS1",L5:L43,1,FALSE)</f>
        <v/>
      </c>
      <c r="M49" s="206">
        <f>VLOOKUP("CS1",M5:M43,1,FALSE)</f>
        <v/>
      </c>
      <c r="N49" s="206">
        <f>VLOOKUP("CS1",N5:N43,1,FALSE)</f>
        <v/>
      </c>
      <c r="O49" s="206">
        <f>VLOOKUP("CS1",O5:O43,1,FALSE)</f>
        <v/>
      </c>
      <c r="P49" s="206">
        <f>VLOOKUP("CS1",P5:P43,1,FALSE)</f>
        <v/>
      </c>
      <c r="Q49" s="206">
        <f>VLOOKUP("CS1",Q5:Q43,1,FALSE)</f>
        <v/>
      </c>
      <c r="R49" s="206">
        <f>VLOOKUP("CS1",R5:R43,1,FALSE)</f>
        <v/>
      </c>
      <c r="S49" s="206">
        <f>VLOOKUP("CS1",S5:S43,1,FALSE)</f>
        <v/>
      </c>
      <c r="T49" s="206">
        <f>VLOOKUP("CS1",T5:T43,1,FALSE)</f>
        <v/>
      </c>
      <c r="U49" s="206">
        <f>VLOOKUP("CS1",U5:U43,1,FALSE)</f>
        <v/>
      </c>
      <c r="V49" s="206">
        <f>VLOOKUP("CS1",V5:V41,1,FALSE)</f>
        <v/>
      </c>
      <c r="W49" s="206">
        <f>VLOOKUP("CS1",W5:W43,1,FALSE)</f>
        <v/>
      </c>
      <c r="X49" s="206">
        <f>VLOOKUP("CS1",X5:X43,1,FALSE)</f>
        <v/>
      </c>
      <c r="Y49" s="206">
        <f>VLOOKUP("CS1",Y5:Y43,1,FALSE)</f>
        <v/>
      </c>
      <c r="Z49" s="206">
        <f>VLOOKUP("CS1",Z5:Z43,1,FALSE)</f>
        <v/>
      </c>
      <c r="AA49" s="206">
        <f>VLOOKUP("CS1",AA7:AA43,1,FALSE)</f>
        <v/>
      </c>
      <c r="AB49" s="206">
        <f>VLOOKUP("CS1",AB5:AB43,1,FALSE)</f>
        <v/>
      </c>
      <c r="AC49" s="206">
        <f>VLOOKUP("CS1",AC5:AC43,1,FALSE)</f>
        <v/>
      </c>
      <c r="AD49" s="206">
        <f>VLOOKUP("CS1",AD5:AD43,1,FALSE)</f>
        <v/>
      </c>
      <c r="AE49" s="206">
        <f>VLOOKUP("CS1",AE5:AE43,1,FALSE)</f>
        <v/>
      </c>
      <c r="AF49" s="206">
        <f>VLOOKUP("CS1",AF5:AF43,1,FALSE)</f>
        <v/>
      </c>
      <c r="AG49" s="206">
        <f>VLOOKUP("CS1",AG5:AG43,1,FALSE)</f>
        <v/>
      </c>
      <c r="AH49" s="206">
        <f>VLOOKUP("CS1",AH5:AH43,1,FALSE)</f>
        <v/>
      </c>
      <c r="AI49" s="237" t="n"/>
      <c r="AJ49" s="248" t="n"/>
      <c r="AK49" s="237" t="n"/>
      <c r="AL49" s="237" t="n"/>
      <c r="AM49" s="238" t="n"/>
      <c r="AN49" s="238" t="n"/>
      <c r="AO49" s="238" t="n"/>
      <c r="AP49" s="238" t="n"/>
      <c r="AQ49" s="238" t="n"/>
      <c r="AR49" s="238" t="n"/>
      <c r="AS49" s="238" t="n"/>
      <c r="AT49" s="238" t="n"/>
      <c r="AU49" s="238" t="n"/>
      <c r="AV49" s="238" t="n"/>
      <c r="AW49" s="238" t="n"/>
      <c r="AX49" s="238" t="n"/>
      <c r="AY49" s="238" t="n"/>
      <c r="AZ49" s="238" t="n"/>
      <c r="BA49" s="238" t="n"/>
      <c r="BB49" s="238" t="n"/>
      <c r="BC49" s="238" t="n"/>
      <c r="BD49" s="238" t="n"/>
      <c r="BE49" s="238" t="n"/>
      <c r="BF49" s="238" t="n"/>
      <c r="BG49" s="238" t="n"/>
      <c r="BH49" s="238" t="n"/>
      <c r="BI49" s="238" t="n"/>
      <c r="BJ49" s="238" t="n"/>
      <c r="BK49" s="238" t="n"/>
      <c r="BL49" s="238" t="n"/>
      <c r="BM49" s="238" t="n"/>
      <c r="BN49" s="238" t="n"/>
      <c r="BO49" s="238" t="n"/>
      <c r="BP49" s="238" t="n"/>
      <c r="BQ49" s="238" t="n"/>
      <c r="BR49" s="240" t="n"/>
    </row>
    <row r="50" ht="19.5" customHeight="1">
      <c r="A50" s="233" t="n"/>
      <c r="B50" s="208" t="inlineStr">
        <is>
          <t>CS2</t>
        </is>
      </c>
      <c r="C50" s="206">
        <f>VLOOKUP("CS2",C5:C43,1,FALSE)</f>
        <v/>
      </c>
      <c r="D50" s="206">
        <f>VLOOKUP("CS2",D5:D43,1,FALSE)</f>
        <v/>
      </c>
      <c r="E50" s="206">
        <f>VLOOKUP("CS2",E6:E43,1,FALSE)</f>
        <v/>
      </c>
      <c r="F50" s="206">
        <f>VLOOKUP("CS2",F5:F43,1,FALSE)</f>
        <v/>
      </c>
      <c r="G50" s="206">
        <f>VLOOKUP("CS2",G5:G42,1,FALSE)</f>
        <v/>
      </c>
      <c r="H50" s="206">
        <f>VLOOKUP("CS2",H5:H42,1,FALSE)</f>
        <v/>
      </c>
      <c r="I50" s="206">
        <f>VLOOKUP("CS2",I5:I43,1,FALSE)</f>
        <v/>
      </c>
      <c r="J50" s="206">
        <f>VLOOKUP("CS2",J5:J43,1,FALSE)</f>
        <v/>
      </c>
      <c r="K50" s="206">
        <f>VLOOKUP("CS2",K5:K43,1,FALSE)</f>
        <v/>
      </c>
      <c r="L50" s="206">
        <f>VLOOKUP("CS2",L5:L43,1,FALSE)</f>
        <v/>
      </c>
      <c r="M50" s="206">
        <f>VLOOKUP("CS2",M5:M43,1,FALSE)</f>
        <v/>
      </c>
      <c r="N50" s="206">
        <f>VLOOKUP("CS2",N5:N43,1,FALSE)</f>
        <v/>
      </c>
      <c r="O50" s="206">
        <f>VLOOKUP("CS2",O5:O43,1,FALSE)</f>
        <v/>
      </c>
      <c r="P50" s="206">
        <f>VLOOKUP("CS2",P5:P43,1,FALSE)</f>
        <v/>
      </c>
      <c r="Q50" s="206">
        <f>VLOOKUP("CS2",Q5:Q43,1,FALSE)</f>
        <v/>
      </c>
      <c r="R50" s="206">
        <f>VLOOKUP("CS2",R5:R43,1,FALSE)</f>
        <v/>
      </c>
      <c r="S50" s="206">
        <f>VLOOKUP("CS2",S5:S43,1,FALSE)</f>
        <v/>
      </c>
      <c r="T50" s="206">
        <f>VLOOKUP("CS2",T5:T43,1,FALSE)</f>
        <v/>
      </c>
      <c r="U50" s="206">
        <f>VLOOKUP("CS2",U5:U43,1,FALSE)</f>
        <v/>
      </c>
      <c r="V50" s="206">
        <f>VLOOKUP("CS2",V5:V41,1,FALSE)</f>
        <v/>
      </c>
      <c r="W50" s="206">
        <f>VLOOKUP("CS2",W5:W43,1,FALSE)</f>
        <v/>
      </c>
      <c r="X50" s="206">
        <f>VLOOKUP("CS2",X5:X43,1,FALSE)</f>
        <v/>
      </c>
      <c r="Y50" s="206">
        <f>VLOOKUP("CS2",Y5:Y43,1,FALSE)</f>
        <v/>
      </c>
      <c r="Z50" s="206">
        <f>VLOOKUP("CS2",Z5:Z43,1,FALSE)</f>
        <v/>
      </c>
      <c r="AA50" s="206">
        <f>VLOOKUP("CS2",AA7:AA43,1,FALSE)</f>
        <v/>
      </c>
      <c r="AB50" s="206">
        <f>VLOOKUP("CS2",AB5:AB43,1,FALSE)</f>
        <v/>
      </c>
      <c r="AC50" s="206">
        <f>VLOOKUP("CS2",AC5:AC43,1,FALSE)</f>
        <v/>
      </c>
      <c r="AD50" s="206">
        <f>VLOOKUP("CS2",AD5:AD43,1,FALSE)</f>
        <v/>
      </c>
      <c r="AE50" s="206">
        <f>VLOOKUP("CS2",AE5:AE43,1,FALSE)</f>
        <v/>
      </c>
      <c r="AF50" s="206">
        <f>VLOOKUP("CS2",AF5:AF43,1,FALSE)</f>
        <v/>
      </c>
      <c r="AG50" s="206">
        <f>VLOOKUP("CS2",AG5:AG43,1,FALSE)</f>
        <v/>
      </c>
      <c r="AH50" s="206">
        <f>VLOOKUP("CS2",AH5:AH43,1,FALSE)</f>
        <v/>
      </c>
      <c r="AI50" s="237" t="n"/>
      <c r="AJ50" s="248" t="n"/>
      <c r="AK50" s="237" t="n"/>
      <c r="AL50" s="237" t="n"/>
      <c r="AM50" s="238" t="n"/>
      <c r="AN50" s="238" t="n"/>
      <c r="AO50" s="238" t="n"/>
      <c r="AP50" s="238" t="n"/>
      <c r="AQ50" s="238" t="n"/>
      <c r="AR50" s="238" t="n"/>
      <c r="AS50" s="238" t="n"/>
      <c r="AT50" s="238" t="n"/>
      <c r="AU50" s="238" t="n"/>
      <c r="AV50" s="238" t="n"/>
      <c r="AW50" s="238" t="n"/>
      <c r="AX50" s="238" t="n"/>
      <c r="AY50" s="238" t="n"/>
      <c r="AZ50" s="238" t="n"/>
      <c r="BA50" s="238" t="n"/>
      <c r="BB50" s="238" t="n"/>
      <c r="BC50" s="238" t="n"/>
      <c r="BD50" s="238" t="n"/>
      <c r="BE50" s="238" t="n"/>
      <c r="BF50" s="238" t="n"/>
      <c r="BG50" s="238" t="n"/>
      <c r="BH50" s="238" t="n"/>
      <c r="BI50" s="238" t="n"/>
      <c r="BJ50" s="238" t="n"/>
      <c r="BK50" s="238" t="n"/>
      <c r="BL50" s="238" t="n"/>
      <c r="BM50" s="238" t="n"/>
      <c r="BN50" s="238" t="n"/>
      <c r="BO50" s="238" t="n"/>
      <c r="BP50" s="238" t="n"/>
      <c r="BQ50" s="238" t="n"/>
      <c r="BR50" s="240" t="n"/>
    </row>
    <row r="51" ht="19.5" customHeight="1">
      <c r="A51" s="233" t="n"/>
      <c r="B51" s="209" t="inlineStr">
        <is>
          <t>CS/B</t>
        </is>
      </c>
      <c r="C51" s="206">
        <f>VLOOKUP("CS/B",C5:C43,1,FALSE)</f>
        <v/>
      </c>
      <c r="D51" s="206">
        <f>VLOOKUP("CS/B",D5:D43,1,FALSE)</f>
        <v/>
      </c>
      <c r="E51" s="206">
        <f>VLOOKUP("CS/B",E6:E43,1,FALSE)</f>
        <v/>
      </c>
      <c r="F51" s="206">
        <f>VLOOKUP("CS/B",F5:F43,1,FALSE)</f>
        <v/>
      </c>
      <c r="G51" s="206">
        <f>VLOOKUP("CS/B",G5:G42,1,FALSE)</f>
        <v/>
      </c>
      <c r="H51" s="206">
        <f>VLOOKUP("CS/B",H5:H42,1,FALSE)</f>
        <v/>
      </c>
      <c r="I51" s="206">
        <f>VLOOKUP("CS/B",I5:I43,1,FALSE)</f>
        <v/>
      </c>
      <c r="J51" s="206">
        <f>VLOOKUP("CS/B",J5:J43,1,FALSE)</f>
        <v/>
      </c>
      <c r="K51" s="206">
        <f>VLOOKUP("CS/B",K5:K43,1,FALSE)</f>
        <v/>
      </c>
      <c r="L51" s="206">
        <f>VLOOKUP("CS/B",L5:L43,1,FALSE)</f>
        <v/>
      </c>
      <c r="M51" s="206">
        <f>VLOOKUP("CS/B",M5:M43,1,FALSE)</f>
        <v/>
      </c>
      <c r="N51" s="206">
        <f>VLOOKUP("CS/B",N5:N43,1,FALSE)</f>
        <v/>
      </c>
      <c r="O51" s="206">
        <f>VLOOKUP("CS/B",O5:O43,1,FALSE)</f>
        <v/>
      </c>
      <c r="P51" s="206">
        <f>VLOOKUP("CS/B",P5:P43,1,FALSE)</f>
        <v/>
      </c>
      <c r="Q51" s="206">
        <f>VLOOKUP("CS/B",Q5:Q43,1,FALSE)</f>
        <v/>
      </c>
      <c r="R51" s="206">
        <f>VLOOKUP("CS/B",R5:R43,1,FALSE)</f>
        <v/>
      </c>
      <c r="S51" s="206">
        <f>VLOOKUP("CS/B",S5:S43,1,FALSE)</f>
        <v/>
      </c>
      <c r="T51" s="206">
        <f>VLOOKUP("CS/B",T5:T43,1,FALSE)</f>
        <v/>
      </c>
      <c r="U51" s="206">
        <f>VLOOKUP("CS/B",U5:U43,1,FALSE)</f>
        <v/>
      </c>
      <c r="V51" s="206">
        <f>VLOOKUP("CS/B",V5:V41,1,FALSE)</f>
        <v/>
      </c>
      <c r="W51" s="206">
        <f>VLOOKUP("CS/B",W5:W43,1,FALSE)</f>
        <v/>
      </c>
      <c r="X51" s="206">
        <f>VLOOKUP("CS/B",X5:X43,1,FALSE)</f>
        <v/>
      </c>
      <c r="Y51" s="206">
        <f>VLOOKUP("CS/B",Y5:Y43,1,FALSE)</f>
        <v/>
      </c>
      <c r="Z51" s="206">
        <f>VLOOKUP("CS/B",Z5:Z43,1,FALSE)</f>
        <v/>
      </c>
      <c r="AA51" s="206">
        <f>VLOOKUP("CS/B",AA7:AA43,1,FALSE)</f>
        <v/>
      </c>
      <c r="AB51" s="206">
        <f>VLOOKUP("CS/B",AB5:AB43,1,FALSE)</f>
        <v/>
      </c>
      <c r="AC51" s="206">
        <f>VLOOKUP("CS/B",AC5:AC43,1,FALSE)</f>
        <v/>
      </c>
      <c r="AD51" s="206">
        <f>VLOOKUP("CS/B",AD5:AD43,1,FALSE)</f>
        <v/>
      </c>
      <c r="AE51" s="206">
        <f>VLOOKUP("CS/B",AE5:AE43,1,FALSE)</f>
        <v/>
      </c>
      <c r="AF51" s="206">
        <f>VLOOKUP("CS/B",AF5:AF43,1,FALSE)</f>
        <v/>
      </c>
      <c r="AG51" s="206">
        <f>VLOOKUP("CS/B",AG5:AG43,1,FALSE)</f>
        <v/>
      </c>
      <c r="AH51" s="206">
        <f>VLOOKUP("CS/B",AH5:AH43,1,FALSE)</f>
        <v/>
      </c>
      <c r="AI51" s="237" t="n"/>
      <c r="AJ51" s="248" t="n"/>
      <c r="AK51" s="237" t="n"/>
      <c r="AL51" s="237" t="n"/>
      <c r="AM51" s="238" t="n"/>
      <c r="AN51" s="238" t="n"/>
      <c r="AO51" s="238" t="n"/>
      <c r="AP51" s="238" t="n"/>
      <c r="AQ51" s="238" t="n"/>
      <c r="AR51" s="238" t="n"/>
      <c r="AS51" s="238" t="n"/>
      <c r="AT51" s="238" t="n"/>
      <c r="AU51" s="238" t="n"/>
      <c r="AV51" s="238" t="n"/>
      <c r="AW51" s="238" t="n"/>
      <c r="AX51" s="238" t="n"/>
      <c r="AY51" s="238" t="n"/>
      <c r="AZ51" s="238" t="n"/>
      <c r="BA51" s="238" t="n"/>
      <c r="BB51" s="238" t="n"/>
      <c r="BC51" s="238" t="n"/>
      <c r="BD51" s="238" t="n"/>
      <c r="BE51" s="238" t="n"/>
      <c r="BF51" s="238" t="n"/>
      <c r="BG51" s="238" t="n"/>
      <c r="BH51" s="238" t="n"/>
      <c r="BI51" s="238" t="n"/>
      <c r="BJ51" s="238" t="n"/>
      <c r="BK51" s="238" t="n"/>
      <c r="BL51" s="238" t="n"/>
      <c r="BM51" s="238" t="n"/>
      <c r="BN51" s="238" t="n"/>
      <c r="BO51" s="238" t="n"/>
      <c r="BP51" s="238" t="n"/>
      <c r="BQ51" s="238" t="n"/>
      <c r="BR51" s="240" t="n"/>
    </row>
    <row r="52" ht="19.5" customHeight="1">
      <c r="A52" s="233" t="n"/>
      <c r="B52" s="210" t="inlineStr">
        <is>
          <t>SB1</t>
        </is>
      </c>
      <c r="C52" s="206">
        <f>VLOOKUP("SB1",C5:C43,1,FALSE)</f>
        <v/>
      </c>
      <c r="D52" s="206">
        <f>VLOOKUP("SB1",D5:D43,1,FALSE)</f>
        <v/>
      </c>
      <c r="E52" s="206">
        <f>VLOOKUP("SB1",E6:E43,1,FALSE)</f>
        <v/>
      </c>
      <c r="F52" s="206">
        <f>VLOOKUP("SB1",F5:F43,1,FALSE)</f>
        <v/>
      </c>
      <c r="G52" s="206">
        <f>VLOOKUP("SB1",G5:G42,1,FALSE)</f>
        <v/>
      </c>
      <c r="H52" s="206">
        <f>VLOOKUP("SB1",H5:H42,1,FALSE)</f>
        <v/>
      </c>
      <c r="I52" s="206">
        <f>VLOOKUP("SB1",I5:I43,1,FALSE)</f>
        <v/>
      </c>
      <c r="J52" s="206">
        <f>VLOOKUP("SB1",J5:J43,1,FALSE)</f>
        <v/>
      </c>
      <c r="K52" s="206">
        <f>VLOOKUP("SB1",K5:K43,1,FALSE)</f>
        <v/>
      </c>
      <c r="L52" s="206">
        <f>VLOOKUP("SB1",L5:L43,1,FALSE)</f>
        <v/>
      </c>
      <c r="M52" s="206">
        <f>VLOOKUP("SB1",M5:M43,1,FALSE)</f>
        <v/>
      </c>
      <c r="N52" s="206">
        <f>VLOOKUP("SB1",N5:N43,1,FALSE)</f>
        <v/>
      </c>
      <c r="O52" s="206">
        <f>VLOOKUP("SB1",O5:O43,1,FALSE)</f>
        <v/>
      </c>
      <c r="P52" s="206">
        <f>VLOOKUP("SB1",P5:P43,1,FALSE)</f>
        <v/>
      </c>
      <c r="Q52" s="206">
        <f>VLOOKUP("SB1",Q5:Q43,1,FALSE)</f>
        <v/>
      </c>
      <c r="R52" s="206">
        <f>VLOOKUP("SB1",R5:R43,1,FALSE)</f>
        <v/>
      </c>
      <c r="S52" s="206">
        <f>VLOOKUP("SB1",S5:S43,1,FALSE)</f>
        <v/>
      </c>
      <c r="T52" s="206">
        <f>VLOOKUP("SB1",T5:T43,1,FALSE)</f>
        <v/>
      </c>
      <c r="U52" s="206">
        <f>VLOOKUP("SB1",U5:U43,1,FALSE)</f>
        <v/>
      </c>
      <c r="V52" s="206">
        <f>VLOOKUP("SB1",V5:V41,1,FALSE)</f>
        <v/>
      </c>
      <c r="W52" s="206">
        <f>VLOOKUP("SB1",W5:W43,1,FALSE)</f>
        <v/>
      </c>
      <c r="X52" s="206">
        <f>VLOOKUP("SB1",X5:X43,1,FALSE)</f>
        <v/>
      </c>
      <c r="Y52" s="206">
        <f>VLOOKUP("SB1",Y5:Y43,1,FALSE)</f>
        <v/>
      </c>
      <c r="Z52" s="206">
        <f>VLOOKUP("SB1",Z5:Z43,1,FALSE)</f>
        <v/>
      </c>
      <c r="AA52" s="206">
        <f>VLOOKUP("SB1",AA7:AA43,1,FALSE)</f>
        <v/>
      </c>
      <c r="AB52" s="206">
        <f>VLOOKUP("SB1",AB5:AB43,1,FALSE)</f>
        <v/>
      </c>
      <c r="AC52" s="206">
        <f>VLOOKUP("SB1",AC5:AC43,1,FALSE)</f>
        <v/>
      </c>
      <c r="AD52" s="206">
        <f>VLOOKUP("SB1",AD5:AD43,1,FALSE)</f>
        <v/>
      </c>
      <c r="AE52" s="206">
        <f>VLOOKUP("SB1",AE5:AE43,1,FALSE)</f>
        <v/>
      </c>
      <c r="AF52" s="206">
        <f>VLOOKUP("SB1",AF5:AF43,1,FALSE)</f>
        <v/>
      </c>
      <c r="AG52" s="206">
        <f>VLOOKUP("SB1",AG5:AG43,1,FALSE)</f>
        <v/>
      </c>
      <c r="AH52" s="206">
        <f>VLOOKUP("SB1",AH5:AH43,1,FALSE)</f>
        <v/>
      </c>
      <c r="AI52" s="237" t="n"/>
      <c r="AJ52" s="248" t="n"/>
      <c r="AK52" s="237" t="n"/>
      <c r="AL52" s="237" t="n"/>
      <c r="AM52" s="238" t="n"/>
      <c r="AN52" s="238" t="n"/>
      <c r="AO52" s="238" t="n"/>
      <c r="AP52" s="238" t="n"/>
      <c r="AQ52" s="238" t="n"/>
      <c r="AR52" s="238" t="n"/>
      <c r="AS52" s="238" t="n"/>
      <c r="AT52" s="238" t="n"/>
      <c r="AU52" s="238" t="n"/>
      <c r="AV52" s="238" t="n"/>
      <c r="AW52" s="238" t="n"/>
      <c r="AX52" s="238" t="n"/>
      <c r="AY52" s="238" t="n"/>
      <c r="AZ52" s="238" t="n"/>
      <c r="BA52" s="238" t="n"/>
      <c r="BB52" s="238" t="n"/>
      <c r="BC52" s="238" t="n"/>
      <c r="BD52" s="238" t="n"/>
      <c r="BE52" s="238" t="n"/>
      <c r="BF52" s="238" t="n"/>
      <c r="BG52" s="238" t="n"/>
      <c r="BH52" s="238" t="n"/>
      <c r="BI52" s="238" t="n"/>
      <c r="BJ52" s="238" t="n"/>
      <c r="BK52" s="238" t="n"/>
      <c r="BL52" s="238" t="n"/>
      <c r="BM52" s="238" t="n"/>
      <c r="BN52" s="238" t="n"/>
      <c r="BO52" s="238" t="n"/>
      <c r="BP52" s="238" t="n"/>
      <c r="BQ52" s="238" t="n"/>
      <c r="BR52" s="240" t="n"/>
    </row>
    <row r="53" ht="18.75" customHeight="1">
      <c r="A53" s="233" t="n"/>
      <c r="B53" s="211" t="inlineStr">
        <is>
          <t>SB2</t>
        </is>
      </c>
      <c r="C53" s="206">
        <f>VLOOKUP("SB2",C5:C43,1,FALSE)</f>
        <v/>
      </c>
      <c r="D53" s="206">
        <f>VLOOKUP("SB2",D5:D43,1,FALSE)</f>
        <v/>
      </c>
      <c r="E53" s="206">
        <f>VLOOKUP("SB2",E6:E43,1,FALSE)</f>
        <v/>
      </c>
      <c r="F53" s="206">
        <f>VLOOKUP("SB2",F5:F43,1,FALSE)</f>
        <v/>
      </c>
      <c r="G53" s="206">
        <f>VLOOKUP("SB2",G5:G42,1,FALSE)</f>
        <v/>
      </c>
      <c r="H53" s="206">
        <f>VLOOKUP("SB2",H5:H42,1,FALSE)</f>
        <v/>
      </c>
      <c r="I53" s="206">
        <f>VLOOKUP("SB2",I5:I43,1,FALSE)</f>
        <v/>
      </c>
      <c r="J53" s="206">
        <f>VLOOKUP("SB2",J5:J43,1,FALSE)</f>
        <v/>
      </c>
      <c r="K53" s="206">
        <f>VLOOKUP("SB2",K5:K43,1,FALSE)</f>
        <v/>
      </c>
      <c r="L53" s="206">
        <f>VLOOKUP("SB2",L5:L43,1,FALSE)</f>
        <v/>
      </c>
      <c r="M53" s="206">
        <f>VLOOKUP("SB2",M5:M43,1,FALSE)</f>
        <v/>
      </c>
      <c r="N53" s="206">
        <f>VLOOKUP("SB2",N5:N43,1,FALSE)</f>
        <v/>
      </c>
      <c r="O53" s="206">
        <f>VLOOKUP("SB2",O5:O43,1,FALSE)</f>
        <v/>
      </c>
      <c r="P53" s="206">
        <f>VLOOKUP("SB2",P5:P43,1,FALSE)</f>
        <v/>
      </c>
      <c r="Q53" s="206">
        <f>VLOOKUP("SB2",Q5:Q43,1,FALSE)</f>
        <v/>
      </c>
      <c r="R53" s="206">
        <f>VLOOKUP("SB2",R5:R43,1,FALSE)</f>
        <v/>
      </c>
      <c r="S53" s="206">
        <f>VLOOKUP("SB2",S5:S43,1,FALSE)</f>
        <v/>
      </c>
      <c r="T53" s="206">
        <f>VLOOKUP("SB2",T5:T43,1,FALSE)</f>
        <v/>
      </c>
      <c r="U53" s="206">
        <f>VLOOKUP("SB2",U5:U43,1,FALSE)</f>
        <v/>
      </c>
      <c r="V53" s="206">
        <f>VLOOKUP("SB2",V5:V41,1,FALSE)</f>
        <v/>
      </c>
      <c r="W53" s="206">
        <f>VLOOKUP("SB2",W5:W43,1,FALSE)</f>
        <v/>
      </c>
      <c r="X53" s="206">
        <f>VLOOKUP("SB2",X5:X43,1,FALSE)</f>
        <v/>
      </c>
      <c r="Y53" s="206">
        <f>VLOOKUP("SB2",Y5:Y43,1,FALSE)</f>
        <v/>
      </c>
      <c r="Z53" s="206">
        <f>VLOOKUP("SB2",Z5:Z43,1,FALSE)</f>
        <v/>
      </c>
      <c r="AA53" s="206">
        <f>VLOOKUP("SB2",AA7:AA43,1,FALSE)</f>
        <v/>
      </c>
      <c r="AB53" s="206">
        <f>VLOOKUP("SB2",AB5:AB43,1,FALSE)</f>
        <v/>
      </c>
      <c r="AC53" s="206">
        <f>VLOOKUP("SB2",AC5:AC43,1,FALSE)</f>
        <v/>
      </c>
      <c r="AD53" s="206">
        <f>VLOOKUP("SB2",AD5:AD43,1,FALSE)</f>
        <v/>
      </c>
      <c r="AE53" s="206">
        <f>VLOOKUP("SB2",AE5:AE43,1,FALSE)</f>
        <v/>
      </c>
      <c r="AF53" s="206">
        <f>VLOOKUP("SB2",AF5:AF43,1,FALSE)</f>
        <v/>
      </c>
      <c r="AG53" s="206">
        <f>VLOOKUP("SB2",AG5:AG43,1,FALSE)</f>
        <v/>
      </c>
      <c r="AH53" s="206">
        <f>VLOOKUP("SB2",AH5:AH43,1,FALSE)</f>
        <v/>
      </c>
      <c r="AI53" s="237" t="n"/>
      <c r="AJ53" s="248" t="n"/>
      <c r="AK53" s="237" t="n"/>
      <c r="AL53" s="237" t="n"/>
      <c r="AM53" s="238" t="n"/>
      <c r="AN53" s="238" t="n"/>
      <c r="AO53" s="238" t="n"/>
      <c r="AP53" s="238" t="n"/>
      <c r="AQ53" s="238" t="n"/>
      <c r="AR53" s="238" t="n"/>
      <c r="AS53" s="238" t="n"/>
      <c r="AT53" s="238" t="n"/>
      <c r="AU53" s="238" t="n"/>
      <c r="AV53" s="238" t="n"/>
      <c r="AW53" s="238" t="n"/>
      <c r="AX53" s="238" t="n"/>
      <c r="AY53" s="238" t="n"/>
      <c r="AZ53" s="238" t="n"/>
      <c r="BA53" s="238" t="n"/>
      <c r="BB53" s="238" t="n"/>
      <c r="BC53" s="238" t="n"/>
      <c r="BD53" s="238" t="n"/>
      <c r="BE53" s="238" t="n"/>
      <c r="BF53" s="238" t="n"/>
      <c r="BG53" s="238" t="n"/>
      <c r="BH53" s="238" t="n"/>
      <c r="BI53" s="238" t="n"/>
      <c r="BJ53" s="238" t="n"/>
      <c r="BK53" s="238" t="n"/>
      <c r="BL53" s="238" t="n"/>
      <c r="BM53" s="238" t="n"/>
      <c r="BN53" s="238" t="n"/>
      <c r="BO53" s="238" t="n"/>
      <c r="BP53" s="238" t="n"/>
      <c r="BQ53" s="238" t="n"/>
      <c r="BR53" s="240" t="n"/>
    </row>
    <row r="54" ht="19.5" customHeight="1">
      <c r="A54" s="233" t="n"/>
      <c r="B54" s="212" t="inlineStr">
        <is>
          <t>AE</t>
        </is>
      </c>
      <c r="C54" s="206">
        <f>VLOOKUP("AE",C5:C43,1,FALSE)</f>
        <v/>
      </c>
      <c r="D54" s="206">
        <f>VLOOKUP("AE",D5:D43,1,FALSE)</f>
        <v/>
      </c>
      <c r="E54" s="206">
        <f>VLOOKUP("AE",E6:E43,1,FALSE)</f>
        <v/>
      </c>
      <c r="F54" s="206">
        <f>VLOOKUP("AE",F5:F43,1,FALSE)</f>
        <v/>
      </c>
      <c r="G54" s="206">
        <f>VLOOKUP("AE",G5:G42,1,FALSE)</f>
        <v/>
      </c>
      <c r="H54" s="206">
        <f>VLOOKUP("AE",H5:H42,1,FALSE)</f>
        <v/>
      </c>
      <c r="I54" s="206">
        <f>VLOOKUP("AE",I5:I43,1,FALSE)</f>
        <v/>
      </c>
      <c r="J54" s="206">
        <f>VLOOKUP("AE",J5:J43,1,FALSE)</f>
        <v/>
      </c>
      <c r="K54" s="206">
        <f>VLOOKUP("AE",K5:K43,1,FALSE)</f>
        <v/>
      </c>
      <c r="L54" s="206">
        <f>VLOOKUP("AE",L5:L43,1,FALSE)</f>
        <v/>
      </c>
      <c r="M54" s="206">
        <f>VLOOKUP("AE",M5:M43,1,FALSE)</f>
        <v/>
      </c>
      <c r="N54" s="206">
        <f>VLOOKUP("AE",N5:N43,1,FALSE)</f>
        <v/>
      </c>
      <c r="O54" s="206">
        <f>VLOOKUP("AE",O5:O43,1,FALSE)</f>
        <v/>
      </c>
      <c r="P54" s="206">
        <f>VLOOKUP("AE",P5:P43,1,FALSE)</f>
        <v/>
      </c>
      <c r="Q54" s="206">
        <f>VLOOKUP("AE",Q5:Q43,1,FALSE)</f>
        <v/>
      </c>
      <c r="R54" s="206">
        <f>VLOOKUP("AE",R5:R43,1,FALSE)</f>
        <v/>
      </c>
      <c r="S54" s="206">
        <f>VLOOKUP("AE",S5:S43,1,FALSE)</f>
        <v/>
      </c>
      <c r="T54" s="206">
        <f>VLOOKUP("AE",T5:T43,1,FALSE)</f>
        <v/>
      </c>
      <c r="U54" s="206">
        <f>VLOOKUP("AE",U5:U43,1,FALSE)</f>
        <v/>
      </c>
      <c r="V54" s="206">
        <f>VLOOKUP("AE",V5:V41,1,FALSE)</f>
        <v/>
      </c>
      <c r="W54" s="206">
        <f>VLOOKUP("AE",W5:W43,1,FALSE)</f>
        <v/>
      </c>
      <c r="X54" s="206">
        <f>VLOOKUP("AE",X5:X43,1,FALSE)</f>
        <v/>
      </c>
      <c r="Y54" s="206">
        <f>VLOOKUP("AE",Y5:Y43,1,FALSE)</f>
        <v/>
      </c>
      <c r="Z54" s="206">
        <f>VLOOKUP("AE",Z5:Z43,1,FALSE)</f>
        <v/>
      </c>
      <c r="AA54" s="206">
        <f>VLOOKUP("AE",AA7:AA43,1,FALSE)</f>
        <v/>
      </c>
      <c r="AB54" s="206">
        <f>VLOOKUP("AE",AB5:AB43,1,FALSE)</f>
        <v/>
      </c>
      <c r="AC54" s="206">
        <f>VLOOKUP("AE",AC5:AC43,1,FALSE)</f>
        <v/>
      </c>
      <c r="AD54" s="206">
        <f>VLOOKUP("AE",AD5:AD43,1,FALSE)</f>
        <v/>
      </c>
      <c r="AE54" s="206">
        <f>VLOOKUP("AE",AE5:AE43,1,FALSE)</f>
        <v/>
      </c>
      <c r="AF54" s="206">
        <f>VLOOKUP("AE",AF5:AF43,1,FALSE)</f>
        <v/>
      </c>
      <c r="AG54" s="206">
        <f>VLOOKUP("AE",AG5:AG43,1,FALSE)</f>
        <v/>
      </c>
      <c r="AH54" s="206">
        <f>VLOOKUP("AE",AH5:AH43,1,FALSE)</f>
        <v/>
      </c>
      <c r="AI54" s="237" t="n"/>
      <c r="AJ54" s="248" t="n"/>
      <c r="AK54" s="237" t="n"/>
      <c r="AL54" s="237" t="n"/>
      <c r="AM54" s="238" t="n"/>
      <c r="AN54" s="238" t="n"/>
      <c r="AO54" s="238" t="n"/>
      <c r="AP54" s="238" t="n"/>
      <c r="AQ54" s="238" t="n"/>
      <c r="AR54" s="238" t="n"/>
      <c r="AS54" s="238" t="n"/>
      <c r="AT54" s="238" t="n"/>
      <c r="AU54" s="238" t="n"/>
      <c r="AV54" s="238" t="n"/>
      <c r="AW54" s="238" t="n"/>
      <c r="AX54" s="238" t="n"/>
      <c r="AY54" s="238" t="n"/>
      <c r="AZ54" s="238" t="n"/>
      <c r="BA54" s="238" t="n"/>
      <c r="BB54" s="238" t="n"/>
      <c r="BC54" s="238" t="n"/>
      <c r="BD54" s="238" t="n"/>
      <c r="BE54" s="238" t="n"/>
      <c r="BF54" s="238" t="n"/>
      <c r="BG54" s="238" t="n"/>
      <c r="BH54" s="238" t="n"/>
      <c r="BI54" s="238" t="n"/>
      <c r="BJ54" s="238" t="n"/>
      <c r="BK54" s="238" t="n"/>
      <c r="BL54" s="238" t="n"/>
      <c r="BM54" s="238" t="n"/>
      <c r="BN54" s="238" t="n"/>
      <c r="BO54" s="238" t="n"/>
      <c r="BP54" s="238" t="n"/>
      <c r="BQ54" s="238" t="n"/>
      <c r="BR54" s="240" t="n"/>
    </row>
  </sheetData>
  <mergeCells count="3">
    <mergeCell ref="C1:S1"/>
    <mergeCell ref="AT3:AT4"/>
    <mergeCell ref="AS3:AS4"/>
  </mergeCells>
  <conditionalFormatting sqref="T18">
    <cfRule type="expression" priority="9" dxfId="136">
      <formula>WEEKDAY(V$3,2)&gt;5</formula>
    </cfRule>
  </conditionalFormatting>
  <conditionalFormatting sqref="D25">
    <cfRule type="expression" priority="6" dxfId="136">
      <formula>WEEKDAY(G$3,2)&gt;5</formula>
    </cfRule>
    <cfRule type="expression" priority="7" dxfId="136">
      <formula>WEEKDAY(F$3,2)&gt;5</formula>
    </cfRule>
  </conditionalFormatting>
  <conditionalFormatting sqref="X25">
    <cfRule type="expression" priority="10" dxfId="136">
      <formula>WEEKDAY(AA$3,2)&gt;5</formula>
    </cfRule>
    <cfRule type="expression" priority="11" dxfId="136">
      <formula>WEEKDAY(Z$3,2)&gt;5</formula>
    </cfRule>
  </conditionalFormatting>
  <conditionalFormatting sqref="AC37">
    <cfRule type="expression" priority="1" dxfId="136">
      <formula>WEEKDAY(AC$3,2)&gt;5</formula>
    </cfRule>
    <cfRule type="expression" priority="2" dxfId="136">
      <formula>WEEKDAY(AB$3,2)&gt;5</formula>
    </cfRule>
  </conditionalFormatting>
  <conditionalFormatting sqref="O40">
    <cfRule type="expression" priority="3" dxfId="136">
      <formula>WEEKDAY(Q$3,2)&gt;5</formula>
    </cfRule>
  </conditionalFormatting>
  <conditionalFormatting sqref="R23:R24">
    <cfRule type="expression" priority="4" dxfId="136">
      <formula>WEEKDAY(U$3,2)&gt;5</formula>
    </cfRule>
    <cfRule type="expression" priority="5" dxfId="136">
      <formula>WEEKDAY(V$3,2)&gt;5</formula>
    </cfRule>
  </conditionalFormatting>
  <conditionalFormatting sqref="A1:BR54">
    <cfRule type="cellIs" priority="79" operator="equal" dxfId="155">
      <formula>"RESERVE"</formula>
    </cfRule>
  </conditionalFormatting>
  <conditionalFormatting sqref="C3:S46 T2:X46 Y3:AH46">
    <cfRule type="expression" priority="72" dxfId="136">
      <formula>WEEKDAY(T$3,2)&gt;5</formula>
    </cfRule>
  </conditionalFormatting>
  <conditionalFormatting sqref="C5:I54 J4:J54 K5:Z54 AA4:AA54 AB5:AH54">
    <cfRule type="cellIs" priority="57" operator="equal" dxfId="137">
      <formula>"B"</formula>
    </cfRule>
    <cfRule type="cellIs" priority="58" operator="equal" dxfId="137">
      <formula>"AL"</formula>
    </cfRule>
    <cfRule type="cellIs" priority="59" operator="equal" dxfId="138">
      <formula>"DM"</formula>
    </cfRule>
    <cfRule type="cellIs" priority="60" operator="equal" dxfId="139">
      <formula>"CS1"</formula>
    </cfRule>
    <cfRule type="cellIs" priority="61" operator="equal" dxfId="140">
      <formula>"CS2"</formula>
    </cfRule>
    <cfRule type="cellIs" priority="62" operator="equal" dxfId="141">
      <formula>"SB1"</formula>
    </cfRule>
    <cfRule type="cellIs" priority="63" operator="equal" dxfId="142">
      <formula>"SB2"</formula>
    </cfRule>
    <cfRule type="cellIs" priority="64" operator="equal" dxfId="143">
      <formula>"AE"</formula>
    </cfRule>
  </conditionalFormatting>
  <conditionalFormatting sqref="C5:I46 J4:J46 K5:Z46 AA4:AA46 AB5:AH46">
    <cfRule type="cellIs" priority="66" operator="equal" dxfId="137">
      <formula>"DB"</formula>
    </cfRule>
    <cfRule type="containsText" priority="67" operator="between" dxfId="144" text="$AM">
      <formula>NOT(ISERROR(SEARCH("$AM",C4)))</formula>
    </cfRule>
    <cfRule type="containsText" priority="68" operator="between" dxfId="145" text="$PM">
      <formula>NOT(ISERROR(SEARCH("$PM",C4)))</formula>
    </cfRule>
    <cfRule type="containsText" priority="69" operator="between" dxfId="146" text="$L">
      <formula>NOT(ISERROR(SEARCH("$L",C4)))</formula>
    </cfRule>
    <cfRule type="containsText" priority="70" operator="between" dxfId="147" text="$BTP">
      <formula>NOT(ISERROR(SEARCH("$BTP",C4)))</formula>
    </cfRule>
    <cfRule type="containsText" priority="71" operator="between" dxfId="148" text="$M">
      <formula>NOT(ISERROR(SEARCH("$M",C4)))</formula>
    </cfRule>
    <cfRule type="containsText" priority="73" operator="between" dxfId="149" text="$N">
      <formula>NOT(ISERROR(SEARCH("$N",C4)))</formula>
    </cfRule>
    <cfRule type="containsText" priority="74" operator="between" dxfId="150" text="$FC">
      <formula>NOT(ISERROR(SEARCH("$FC",C4)))</formula>
    </cfRule>
    <cfRule type="containsText" priority="75" operator="between" dxfId="151" text="OAL">
      <formula>NOT(ISERROR(SEARCH("OAL",C4)))</formula>
    </cfRule>
    <cfRule type="containsText" priority="76" operator="between" dxfId="152" text="S+">
      <formula>NOT(ISERROR(SEARCH("S+",C4)))</formula>
    </cfRule>
    <cfRule type="containsText" priority="77" operator="between" dxfId="153" text="EX-D">
      <formula>NOT(ISERROR(SEARCH("EX-D",C4)))</formula>
    </cfRule>
  </conditionalFormatting>
  <conditionalFormatting sqref="C5:C11 C13:C26 C28 C32 C36 D6 D8:D11 D14:D19 D21:D28 D31 D33 D35:D36 D41 E5:E6 E8:E10 E12:E24 E26:E28 E30:E32 E34:F34 E36:F36 E40:E42 F6:F11 F13:F23 F25:F30 F32 F42 G5:G17 G19:G31 G35:G36 G41:I41 H5:H12 H14:H23 H25:H34 H38:H39 I5:I17 I19:I26 I28:I31 I36:I37 I39:J39 J4:J17 J19:J22 J24:J25 J27:J33 J37 J41:K42 K5:K14 K16:K17 K19:K26 K28 K31:M32 K34 K36:K38 L6:L10 L12:L13 L16:L27 L34:L35 L38:L39 L42:M42 M5:M22 M24:M29 M34:M36 M39:M40 N5:O6 N8 N12:N23 N25:N28 N30:N32 N35 N37 N40 O11:O26 O28:O32 O35:O37 O39:O41 P5:P10 P12:P19 P21:P25 P28:P29 P31:P32 P38 Q5:Q26 Q28:Q32 Q34:R34 R5:R30 R32 S5:T26 S28:T34 S36 U5:U9 U12:U27 U29:U33 U40:U41 U43:U46 V5:V15 V17 V19:V26 V28:X28 V30:W34 V36 V38 V40:V42 W5:W24 W37:W39 X5:X25 X30:X32 Y5:Y26 Y28:Y42 Z5:AC42 AD5:AD25 AD27:AD29 AD31:AD32 AD34:AH34 AE5:AE32 AF5:AF29 AF31:AG31 AG5:AG25 AG27:AG28 AG37 AH5:AH27">
    <cfRule type="containsText" priority="78" operator="between" dxfId="154" text="VACC">
      <formula>NOT(ISERROR(SEARCH("VACC",C4)))</formula>
    </cfRule>
  </conditionalFormatting>
  <conditionalFormatting sqref="C5:C11 C13:C34 C36 D6 D8:D11 D14:D17 D19 D21:D22 D25 D27:D28 D31 D33 D35:D36 D41 E5:E6 E8:E10 E12:E17 E19:E24 E26:E28 E30:E32 E34:F34 E36:F36 E42:F42 F6:F11 F13:F23 F25:F30 F32 G5:I8 G11:G17 G19:G23 G25:G31 G35:G36 G41:J41 H10 H12 H14:H19 H21:H23 H25:H28 H30:H34 H38:H39 I10:I12 I14:J17 I19:I31 I37:J37 J5:J12 J19:K19 J21:L21 J24:J25 J27:J29 J32:J33 K5 K8 K10:K14 K17 K23:K24 K26 K28 K31:K32 K34 K36:K37 K41:K42 L6:L10 L12:L13 L16:L19 L23:L27 L34:L35 L38:L39 L42:M42 M5:M12 M14:M17 M19:M20 M24:M29 M31:M32 M35:M36 M39:M40 N5:O6 N8 N13 N15:N17 N22:N23 N27:N28 N30 N32 N35 N37 N40 O11 O13:O14 O16:O19 O21:O31 O35:O37 O39:O41 P5:P10 P12 P14:P17 P19 P21:P25 P27:P29 P38 Q5:S12 Q14:Q27 Q29 R15:S15 R17:R19 R21:R23 R25:R27 R32:W32 S17 S19:S21 S25 S27 S29 S34 T5:T15 T17:T18 T21:T27 U5:U6 U8:U9 U12:U15 U17:U24 U26:V27 U29 U40 V5:V14 V17 V20:V21 V23 V36 V38:W38 V40:V41 W5:W12 W14:W21 W23:W24 W28 X5:X10 X12:X19 X21 X23:X25 X30 Y5:Y9 Y11:Y24 Y29 Y34:Z34 Y36 Z5 Z8:Z13 Z15 Z17:AA17 Z19:AA20 Z25 Z27 Z31:Z32 Z38 Z40 AA5:AA6 AA9:AA12 AA14:AA15 AA23 AA26:AA27 AA30 AA35:AB35 AB5 AB7 AB9 AB11:AB14 AB16:AB19 AB22 AB24 AB27 AB31:AB32 AB37 AC5:AC9 AC11:AC12 AC17 AC19:AC26 AC30 AC33 AC36:AC37 AD5:AD12 AD14 AD17:AE20 AD27 AD29 AE6:AE7 AE9:AE15 AE25:AE28 AE30 AF5 AF8:AF12 AF15 AF17:AG19 AF21:AF22 AF24 AF34 AG5:AG15 AG23:AG25 AH5:AH7 AH9:AH13 AH17:AH18 AH23:AH24 AH34">
    <cfRule type="cellIs" priority="13" operator="equal" dxfId="137">
      <formula>"B"</formula>
    </cfRule>
    <cfRule type="cellIs" priority="14" operator="equal" dxfId="137">
      <formula>"AL"</formula>
    </cfRule>
    <cfRule type="cellIs" priority="15" operator="equal" dxfId="138">
      <formula>"DM"</formula>
    </cfRule>
    <cfRule type="cellIs" priority="16" operator="equal" dxfId="139">
      <formula>"CS1"</formula>
    </cfRule>
    <cfRule type="cellIs" priority="17" operator="equal" dxfId="140">
      <formula>"CS2"</formula>
    </cfRule>
    <cfRule type="cellIs" priority="18" operator="equal" dxfId="141">
      <formula>"SB1"</formula>
    </cfRule>
    <cfRule type="cellIs" priority="19" operator="equal" dxfId="142">
      <formula>"SB2"</formula>
    </cfRule>
    <cfRule type="cellIs" priority="20" operator="equal" dxfId="143">
      <formula>"AE"</formula>
    </cfRule>
    <cfRule type="cellIs" priority="21" operator="equal" dxfId="137">
      <formula>"DB"</formula>
    </cfRule>
    <cfRule type="containsText" priority="22" operator="between" dxfId="144" text="$AM">
      <formula>NOT(ISERROR(SEARCH("$AM",C5)))</formula>
    </cfRule>
    <cfRule type="containsText" priority="23" operator="between" dxfId="145" text="$PM">
      <formula>NOT(ISERROR(SEARCH("$PM",C5)))</formula>
    </cfRule>
    <cfRule type="containsText" priority="24" operator="between" dxfId="146" text="$L">
      <formula>NOT(ISERROR(SEARCH("$L",C5)))</formula>
    </cfRule>
    <cfRule type="containsText" priority="25" operator="between" dxfId="147" text="$BTP">
      <formula>NOT(ISERROR(SEARCH("$BTP",C5)))</formula>
    </cfRule>
    <cfRule type="containsText" priority="26" operator="between" dxfId="148" text="$M">
      <formula>NOT(ISERROR(SEARCH("$M",C5)))</formula>
    </cfRule>
    <cfRule type="containsText" priority="27" operator="between" dxfId="149" text="$N">
      <formula>NOT(ISERROR(SEARCH("$N",C5)))</formula>
    </cfRule>
    <cfRule type="containsText" priority="28" operator="between" dxfId="150" text="$FC">
      <formula>NOT(ISERROR(SEARCH("$FC",C5)))</formula>
    </cfRule>
    <cfRule type="containsText" priority="29" operator="between" dxfId="151" text="OAL">
      <formula>NOT(ISERROR(SEARCH("OAL",C5)))</formula>
    </cfRule>
    <cfRule type="containsText" priority="30" operator="between" dxfId="152" text="S+">
      <formula>NOT(ISERROR(SEARCH("S+",C5)))</formula>
    </cfRule>
    <cfRule type="containsText" priority="31" operator="between" dxfId="153" text="EX-D">
      <formula>NOT(ISERROR(SEARCH("EX-D",C5)))</formula>
    </cfRule>
  </conditionalFormatting>
  <conditionalFormatting sqref="C5:C11 C13:C28 C32 C36 D6 D8:D11 D14:D17 D19 D21:D22 D25 D27:D28 D31 D33 D35:D36 D41 E5:E6 E8:E10 E12:E17 E19:E28 E30:E32 E34:F34 E36:F36 E42:F42 F6:F11 F13:F23 F25:F30 F32 G5:G9 G11:G17 G19:G31 G35:G36 G41:J41 H5:J12 H14:H19 H21:H23 H25:H34 H38:H39 I14:J17 I19:I31 I36:I37 I39:J39 J19:K19 J21:L21 J24:J33 J37 K5 K8 K10:K14 K17 K23:K24 K26:K28 K31:M32 K34 K36:K37 K41:K42 L6 L9:L10 L12:L13 L16:L19 L23:L27 L34:L35 L38:L39 L42:M42 M5:O6 M9:M12 M14:M17 M19:M20 M24:M29 M34:M36 M39:M40 N8 N13:O13 N15:N17 N20 N22:N23 N27:N28 N30 N32 N35 N37 N40 O11 O15:O19 O21:O22 O25:O32 O36:O37 O39:O41 P5:P10 P12 P14:P17 P19 P21:P29 P32:Y32 P38 Q5:S12 Q14:Q27 Q29 R15:S15 R17:R19 R21:R23 R25:R28 S17 S19:S21 S27:S29 S34 T5:T15 T17:T18 T21:T28 U5:U6 U8:U9 U12:U15 U17:U24 U26:V27 U29 U40 V5:V9 V11:V14 V17 V20:V21 V23 V36 V38:W38 V40:V42 W5:W12 W14:W21 W23:W24 W26:W28 X5:X10 X12:X19 X21 X23:X25 X27:Y27 X30 Y5:Y9 Y11:Y13 Y15:Y19 Y21:Y24 Y29 Y35:Y36 Y39 Z5 Z8:Z13 Z15 Z17:AA17 Z19:AA20 Z25 Z27:Z28 Z31:Z32 Z34 Z38 Z40:AB40 Z42 AA5:AA6 AA9 AA12 AA14:AA15 AA23:AA24 AA26:AA27 AA30 AA32 AA35:AA36 AB5 AB7 AB9:AB14 AB16:AB19 AB22:AB24 AB27 AB31:AB32 AB35 AB37 AC5:AC9 AC11:AC12 AC17 AC19:AC27 AC30 AC32:AC33 AC36:AC37 AC39 AD5:AD12 AD14 AD17:AE20 AD27 AD29 AD31 AE6:AE7 AE9:AE15 AE25:AE28 AE30 AF5 AF8:AF12 AF15 AF17:AG19 AF21:AF22 AF24 AF27:AF28 AF34 AG5:AG15 AG23:AG25 AG27:AH27 AH5:AH7 AH9:AH13 AH17:AH18 AH23:AH24 AH34">
    <cfRule type="expression" priority="32" dxfId="136">
      <formula>WEEKDAY(#REF!,2)&gt;5</formula>
    </cfRule>
  </conditionalFormatting>
  <conditionalFormatting sqref="C14 F42 G5 H38 S10:S12 T15 T20 T26 U8 U14:V14 V12 V20 V40 W6:X7 W10:W12 W15:Z15 W28 X10 X12 Y11:Y12 Y36 Z5 Z8:Z10 Z12 Z31 Z38 AA14:AA15 AA26 AB12 AB14 AB22 AB37 AD27 AE26 AE28 AE30 AH34">
    <cfRule type="expression" priority="33" dxfId="136">
      <formula>WEEKDAY(I$3,2)&gt;5</formula>
    </cfRule>
  </conditionalFormatting>
  <conditionalFormatting sqref="C10:C11 C14 C21:C22 C36:G36 F42 G5 H38">
    <cfRule type="expression" priority="35" dxfId="136">
      <formula>WEEKDAY(I$3,2)&gt;5</formula>
    </cfRule>
  </conditionalFormatting>
  <conditionalFormatting sqref="C5:C11 C13:C26 C28 C32 C36 D6 D8:D11 D14:D19 D21:D28 D31 D33 D35:D36 D41 E5:E6 E8:E10 E12:E24 E26:E28 E30:E32 E34:F34 E36:F36 E40:E42 F6:F11 F13:F23 F25:F30 F32 F42 G5:G17 G19:G31 G35:G36 G41:I41 H5:H12 H14:H23 H25:H34 H38:H39 I5:J17 I19:I26 I28:I31 I36:I37 I39:J39 J19:J22 J24:J25 J27:J33 J37 J41:K42 K5:K14 K16:K17 K19:K26 K28 K31:M32 K34 K36:K38 L6:L10 L12:L13 L16:L27 L34:L35 L38:L39 L42:M42 M5:M22 M24:M29 M34:M36 M39:M40 N5:O6 N8 N12:N23 N25:N28 N30:N32 N35 N37 N40 O11:O26 O28:O32 O35:O37 O39:O41 P5:P10 P12:P19 P21:P25 P28:P29 P31:P32 P38 Q5:Q26 Q28:Q32 Q34:R34 R5:R30 R32 S5:T26 S28:T34 S36 U5:U9 U12:U27 U29:U33 U40:U41 U43:U46 V5:V15 V17 V19:V26 V28:X28 V30:W34 V36 V38 V40:V42 W5:W24 W37:W39 X5:X25 X30:X32 Y5:Y26 Y28:Y42 Z5:AC42 AD5:AD25 AD27:AD29 AD31:AD32 AD34:AH34 AE5:AE32 AF5:AF29 AF31:AG31 AG5:AG25 AG27:AG28 AG37 AH5:AH27">
    <cfRule type="cellIs" priority="36" operator="equal" dxfId="137">
      <formula>"B"</formula>
    </cfRule>
    <cfRule type="cellIs" priority="37" operator="equal" dxfId="137">
      <formula>"AL"</formula>
    </cfRule>
    <cfRule type="cellIs" priority="38" operator="equal" dxfId="138">
      <formula>"DM"</formula>
    </cfRule>
    <cfRule type="cellIs" priority="39" operator="equal" dxfId="139">
      <formula>"CS1"</formula>
    </cfRule>
    <cfRule type="cellIs" priority="40" operator="equal" dxfId="140">
      <formula>"CS2"</formula>
    </cfRule>
    <cfRule type="cellIs" priority="41" operator="equal" dxfId="141">
      <formula>"SB1"</formula>
    </cfRule>
    <cfRule type="cellIs" priority="42" operator="equal" dxfId="142">
      <formula>"SB2"</formula>
    </cfRule>
    <cfRule type="cellIs" priority="43" operator="equal" dxfId="143">
      <formula>"AE"</formula>
    </cfRule>
    <cfRule type="cellIs" priority="45" operator="equal" dxfId="137">
      <formula>"DB"</formula>
    </cfRule>
    <cfRule type="containsText" priority="46" operator="between" dxfId="144" text="$AM">
      <formula>NOT(ISERROR(SEARCH("$AM",C5)))</formula>
    </cfRule>
    <cfRule type="containsText" priority="47" operator="between" dxfId="145" text="$PM">
      <formula>NOT(ISERROR(SEARCH("$PM",C5)))</formula>
    </cfRule>
    <cfRule type="containsText" priority="48" operator="between" dxfId="146" text="$L">
      <formula>NOT(ISERROR(SEARCH("$L",C5)))</formula>
    </cfRule>
    <cfRule type="containsText" priority="49" operator="between" dxfId="147" text="$BTP">
      <formula>NOT(ISERROR(SEARCH("$BTP",C5)))</formula>
    </cfRule>
    <cfRule type="containsText" priority="50" operator="between" dxfId="148" text="$M">
      <formula>NOT(ISERROR(SEARCH("$M",C5)))</formula>
    </cfRule>
    <cfRule type="containsText" priority="51" operator="between" dxfId="149" text="$N">
      <formula>NOT(ISERROR(SEARCH("$N",C5)))</formula>
    </cfRule>
    <cfRule type="containsText" priority="52" operator="between" dxfId="150" text="$FC">
      <formula>NOT(ISERROR(SEARCH("$FC",C5)))</formula>
    </cfRule>
    <cfRule type="containsText" priority="53" operator="between" dxfId="151" text="OAL">
      <formula>NOT(ISERROR(SEARCH("OAL",C5)))</formula>
    </cfRule>
    <cfRule type="containsText" priority="54" operator="between" dxfId="152" text="S+">
      <formula>NOT(ISERROR(SEARCH("S+",C5)))</formula>
    </cfRule>
    <cfRule type="containsText" priority="55" operator="between" dxfId="153" text="EX-D">
      <formula>NOT(ISERROR(SEARCH("EX-D",C5)))</formula>
    </cfRule>
    <cfRule type="expression" priority="56" dxfId="136">
      <formula>WEEKDAY(#REF!,2)&gt;5</formula>
    </cfRule>
  </conditionalFormatting>
  <conditionalFormatting sqref="C5:AH54">
    <cfRule type="containsText" priority="44" operator="between" dxfId="1388" text="CS/B">
      <formula>NOT(ISERROR(SEARCH("CS/B",C5)))</formula>
    </cfRule>
  </conditionalFormatting>
  <conditionalFormatting sqref="G22 S10:S12 T15 T20 T26 U8 U14:V14 U43:U46 V12 V20 V40 W6:X7 W10:W12 W15:Z15 W28 X10 X12 Y11:Y12 Y36 Z5 Z8:Z10 Z12 Z20:AA20 Z31 Z38 AA14:AA15 AA26 AB12 AB14 AB22 AB37 AC25 AD27 AE26 AE28 AE30 AH34">
    <cfRule type="expression" priority="34" dxfId="136">
      <formula>WEEKDAY(AA$3,2)&gt;5</formula>
    </cfRule>
  </conditionalFormatting>
  <conditionalFormatting sqref="BQ5:BR46">
    <cfRule type="cellIs" priority="65" operator="lessThan" dxfId="155">
      <formula>1</formula>
    </cfRule>
  </conditionalFormatting>
  <conditionalFormatting sqref="C25 D33 F32 G21 G25 G27 H21:H22 H25:H26 N27 T18 T32 U27 AB18">
    <cfRule type="expression" priority="8" dxfId="136">
      <formula>WEEKDAY(U$3,2)&gt;5</formula>
    </cfRule>
  </conditionalFormatting>
  <conditionalFormatting sqref="C19 C23:C24">
    <cfRule type="expression" priority="12" dxfId="136">
      <formula>WEEKDAY(D$3,2)&gt;5</formula>
    </cfRule>
  </conditionalFormatting>
  <dataValidations count="3">
    <dataValidation sqref="B5:C5 B6:B13 B15:B20 B21:C21 B22:G22 B23:C23 B24:B29 C39:E39 C40:D40 C41 C42:D42 C43:F43 C44:L46 D14 E20 F23 G5 G20 I20 I32 I34 I43:L43 J5 J8 J39:J40 K23 L41 M10 N6 N39 N42 N43:P46 P39 P41:P42 R5 S20 S39 S43:U43 S44:AH46 T38 T40:T41 V39:X39 W14:X14 X40:X42 X43:AH43 AC23 AD26 AD39:AH41 AE23:AF23 AE38 AE42:AH42 AG5:AH5 AG35:AH35 AH6:AH16 AH18 AH20:AH30 AH32:AH34 AH36:AH38" showDropDown="1" showInputMessage="0" showErrorMessage="0" allowBlank="1" type="list">
      <formula1>'Setting key Duty'!$B$7:$B$56</formula1>
    </dataValidation>
    <dataValidation sqref="C6:D6 C7 C8:E8 C9:F9 C11:D11 C13:C14 C15:F15 C16:K16 C17:AH17 C18:F18 C19:T19 C20:D20 C24:E24 C25:G27 C28:J28 C29:C31 C32:F32 C33:J33 C34:F34 C35:E35 C36:K36 C37:G37 C38:F38 D10 D21:G21 D23 D41:E41 E12 E30:X30 E40 E42:F42 F6:G6 F10:F11 F20 F29:G29 F39 G12 G31:M31 G35 G41:K41 H8:I8 H10:L10 H13:AG13 H18 H34 H38 I5 I6:J7 I11 I12:M12 I15 I21:AG21 I23 I24:L24 I25:J25 I26:T26 I27:Y27 I29:J29 I37:N37 I39 J9 J14 J22 J32:M32 J34:L34 J35 J42:M42 K5 K8 K11 K20:M20 K38 L6:M6 L9:M9 L18 L22 L25 L33:Z33 L35:Y35 L39:M39 M5 M14 M28:M29 M36:W36 M40:O40 N15:T15 N22:O22 N23:T23 N25 O5:Q5 O6:X6 O24:U24 O28:T28 O29:U29 O31:Z31 O39 O41 P7:U8 P9:Y9 P10:T10 P14 P16:T16 P18:U18 P25:T25 P32:AC32 P34:Q34 P38:R38 Q20:R20 Q22:W22 R11:T11 R12:Z12 R14:V14 R37 S5:T5 S34 T20:X20 T37 U40:V40 V5:Z5 V15:AA15 V23:Z23 V26:Y26 V38:Z38 V41 W7:Y7 W8:AG8 W10:X10 W11 W16:Y16 W18 W19:AB19 W24:Y24 W28:Z28 W34:Z34 W37:Y37 X25 Y11 Y14 Y18 Y22:Z22 Y29 Y36 Y39 Z6:AG6 Z10 Z20 Z25 Z30 Z40 Z42 AA14:AG14 AA26:AC26 AA27 AA35:AB36 AB5:AF5 AB7:AG7 AB9:AG9 AB10 AB12:AC12 AB16:AG16 AB18 AB22:AG22 AB23 AB24:AG24 AB28:AB29 AB30:AG31 AB37:AG37 AB38:AD38 AB39:AC39 AB40:AB42 AC11:AG11 AC15:AG15 AC20:AG20 AC25 AC27:AG27 AC33:AG34 AD10:AG10 AD18:AG19 AD28:AG29 AD35:AF35 AD36:AG36 AE12:AG12 AE25:AG26 AE32:AG32 AF38:AG38 AG23" showDropDown="1" showInputMessage="0" showErrorMessage="0" allowBlank="1" type="list">
      <formula1>'Setting key Duty'!$B$7:$B$54</formula1>
    </dataValidation>
    <dataValidation sqref="C47:AH54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0"/>
    <pageSetUpPr fitToPage="1"/>
  </sheetPr>
  <dimension ref="A1:BR52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10.752380952381" customWidth="1" min="16" max="16"/>
    <col width="10.247619047619" customWidth="1" min="17" max="17"/>
    <col width="9.62857142857143" customWidth="1" min="18" max="18"/>
    <col width="9.133333333333329" customWidth="1" min="19" max="19"/>
    <col width="9.24761904761905" customWidth="1" min="20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2"/>
    <col width="9.24761904761905" customWidth="1" min="33" max="34"/>
    <col hidden="1" outlineLevel="1" width="9.38095238095238" customWidth="1" min="35" max="41"/>
    <col hidden="1" outlineLevel="1" width="12" customWidth="1" min="42" max="42"/>
    <col hidden="1" outlineLevel="1" width="9.38095238095238" customWidth="1" min="43" max="43"/>
    <col collapsed="1" width="6.75238095238095" customWidth="1" min="44" max="44"/>
    <col width="6.75238095238095" customWidth="1" min="45" max="46"/>
    <col outlineLevel="1" width="8.87619047619048" customWidth="1" min="47" max="47"/>
    <col outlineLevel="1" width="7.87619047619048" customWidth="1" min="48" max="49"/>
    <col outlineLevel="1" width="9.133333333333329" customWidth="1" min="50" max="50"/>
    <col outlineLevel="1" width="8.24761904761905" customWidth="1" min="51" max="51"/>
    <col outlineLevel="1" width="5.5047619047619" customWidth="1" min="52" max="52"/>
    <col width="9.38095238095238" customWidth="1" min="53" max="55"/>
    <col outlineLevel="1" width="9.38095238095238" customWidth="1" min="56" max="66"/>
    <col width="9.38095238095238" customWidth="1" min="67" max="67"/>
    <col width="9.504761904761899" customWidth="1" min="68" max="68"/>
    <col width="9.38095238095238" customWidth="1" min="69" max="70"/>
  </cols>
  <sheetData>
    <row r="1" ht="3" customHeight="1">
      <c r="A1" s="422" t="n"/>
      <c r="B1" s="163" t="inlineStr">
        <is>
          <t>Type of req:
Reason:</t>
        </is>
      </c>
      <c r="C1" s="423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165" t="n"/>
      <c r="U1" s="165" t="n"/>
      <c r="V1" s="165" t="n"/>
      <c r="W1" s="165" t="n"/>
      <c r="X1" s="165" t="n"/>
      <c r="Y1" s="165" t="n"/>
      <c r="Z1" s="165" t="n"/>
      <c r="AA1" s="165" t="n"/>
      <c r="AB1" s="165" t="n"/>
      <c r="AC1" s="165" t="n"/>
      <c r="AD1" s="165" t="n"/>
      <c r="AE1" s="165" t="n"/>
      <c r="AF1" s="165" t="n"/>
      <c r="AG1" s="165" t="n"/>
      <c r="AH1" s="165" t="n"/>
      <c r="AI1" s="214" t="n"/>
      <c r="AJ1" s="214" t="n"/>
      <c r="AK1" s="214" t="n"/>
      <c r="AL1" s="214" t="n"/>
      <c r="AM1" s="215" t="n"/>
      <c r="AN1" s="215" t="n"/>
      <c r="AO1" s="215" t="n"/>
      <c r="AP1" s="215" t="n"/>
      <c r="AQ1" s="215" t="n"/>
      <c r="AR1" s="215" t="n"/>
      <c r="AS1" s="216" t="n"/>
      <c r="AT1" s="216" t="n"/>
      <c r="AU1" s="215" t="n"/>
      <c r="AV1" s="215" t="n"/>
      <c r="AW1" s="215" t="n"/>
      <c r="AX1" s="215" t="n"/>
      <c r="AY1" s="215" t="n"/>
      <c r="AZ1" s="215" t="n"/>
      <c r="BA1" s="215" t="n"/>
      <c r="BB1" s="215" t="n"/>
      <c r="BC1" s="215" t="n"/>
      <c r="BD1" s="215" t="n"/>
      <c r="BE1" s="215" t="n"/>
      <c r="BF1" s="215" t="n"/>
      <c r="BG1" s="215" t="n"/>
      <c r="BH1" s="215" t="n"/>
      <c r="BI1" s="215" t="n"/>
      <c r="BJ1" s="215" t="n"/>
      <c r="BK1" s="215" t="n"/>
      <c r="BL1" s="215" t="n"/>
      <c r="BM1" s="215" t="n"/>
      <c r="BN1" s="215" t="n"/>
      <c r="BO1" s="215" t="n"/>
      <c r="BP1" s="215" t="n"/>
      <c r="BQ1" s="215" t="n"/>
      <c r="BR1" s="216" t="n"/>
    </row>
    <row r="2" ht="26.25" customHeight="1">
      <c r="A2" s="424" t="n"/>
      <c r="B2" s="52" t="inlineStr">
        <is>
          <t>Event Log</t>
        </is>
      </c>
      <c r="C2" s="167" t="n"/>
      <c r="D2" s="167" t="n"/>
      <c r="E2" s="167" t="n"/>
      <c r="F2" s="167" t="inlineStr">
        <is>
          <t>GX24</t>
        </is>
      </c>
      <c r="G2" s="167" t="inlineStr">
        <is>
          <t>GX24</t>
        </is>
      </c>
      <c r="H2" s="167" t="n"/>
      <c r="I2" s="167" t="inlineStr">
        <is>
          <t>GP</t>
        </is>
      </c>
      <c r="J2" s="167" t="n"/>
      <c r="K2" s="167" t="n"/>
      <c r="L2" s="167" t="n"/>
      <c r="M2" s="167" t="n"/>
      <c r="N2" s="167" t="n"/>
      <c r="O2" s="167" t="n"/>
      <c r="P2" s="167" t="n"/>
      <c r="Q2" s="167" t="n"/>
      <c r="R2" s="167" t="n"/>
      <c r="S2" s="167" t="n"/>
      <c r="T2" s="168" t="n"/>
      <c r="U2" s="167" t="n"/>
      <c r="V2" s="169" t="n"/>
      <c r="W2" s="167" t="inlineStr">
        <is>
          <t>HARI RAYA</t>
        </is>
      </c>
      <c r="X2" s="167" t="n"/>
      <c r="Y2" s="167" t="n"/>
      <c r="Z2" s="167" t="n"/>
      <c r="AA2" s="167" t="n"/>
      <c r="AB2" s="167" t="n"/>
      <c r="AC2" s="167" t="n"/>
      <c r="AD2" s="167" t="n"/>
      <c r="AE2" s="167" t="n"/>
      <c r="AF2" s="167" t="n"/>
      <c r="AG2" s="167" t="n"/>
      <c r="AH2" s="167" t="n"/>
      <c r="AI2" s="218" t="n"/>
      <c r="AJ2" s="218" t="n"/>
      <c r="AK2" s="218" t="n"/>
      <c r="AL2" s="218" t="n"/>
      <c r="AM2" s="218" t="n"/>
      <c r="AN2" s="218" t="n"/>
      <c r="AO2" s="218" t="n"/>
      <c r="AP2" s="218" t="n"/>
      <c r="AQ2" s="218" t="n"/>
      <c r="AR2" s="218" t="n"/>
      <c r="AS2" s="170" t="n"/>
      <c r="AT2" s="170" t="n"/>
      <c r="AU2" s="218" t="n"/>
      <c r="AV2" s="218" t="n"/>
      <c r="AW2" s="218" t="n"/>
      <c r="AX2" s="218" t="n"/>
      <c r="AY2" s="218" t="n"/>
      <c r="AZ2" s="218" t="n"/>
      <c r="BA2" s="218" t="n"/>
      <c r="BB2" s="218" t="n"/>
      <c r="BC2" s="218" t="n"/>
      <c r="BD2" s="218" t="n"/>
      <c r="BE2" s="219" t="n"/>
      <c r="BF2" s="219" t="n"/>
      <c r="BG2" s="219" t="n"/>
      <c r="BH2" s="219" t="n"/>
      <c r="BI2" s="219" t="n"/>
      <c r="BJ2" s="219" t="n"/>
      <c r="BK2" s="219" t="n"/>
      <c r="BL2" s="219" t="n"/>
      <c r="BM2" s="219" t="n"/>
      <c r="BN2" s="219" t="n"/>
      <c r="BO2" s="218" t="n"/>
      <c r="BP2" s="218" t="n"/>
      <c r="BQ2" s="218" t="n"/>
      <c r="BR2" s="220" t="n"/>
    </row>
    <row r="3" ht="26.25" customHeight="1">
      <c r="A3" s="424" t="n"/>
      <c r="B3" s="52" t="inlineStr">
        <is>
          <t>Rostering</t>
        </is>
      </c>
      <c r="C3" s="425" t="n">
        <v>46082</v>
      </c>
      <c r="D3" s="426">
        <f>C3+1</f>
        <v/>
      </c>
      <c r="E3" s="426">
        <f>D3+1</f>
        <v/>
      </c>
      <c r="F3" s="426">
        <f>E3+1</f>
        <v/>
      </c>
      <c r="G3" s="426">
        <f>F3+1</f>
        <v/>
      </c>
      <c r="H3" s="426">
        <f>G3+1</f>
        <v/>
      </c>
      <c r="I3" s="426">
        <f>H3+1</f>
        <v/>
      </c>
      <c r="J3" s="426">
        <f>I3+1</f>
        <v/>
      </c>
      <c r="K3" s="426">
        <f>J3+1</f>
        <v/>
      </c>
      <c r="L3" s="426">
        <f>K3+1</f>
        <v/>
      </c>
      <c r="M3" s="426">
        <f>L3+1</f>
        <v/>
      </c>
      <c r="N3" s="426">
        <f>M3+1</f>
        <v/>
      </c>
      <c r="O3" s="426">
        <f>N3+1</f>
        <v/>
      </c>
      <c r="P3" s="426">
        <f>O3+1</f>
        <v/>
      </c>
      <c r="Q3" s="426">
        <f>P3+1</f>
        <v/>
      </c>
      <c r="R3" s="426">
        <f>Q3+1</f>
        <v/>
      </c>
      <c r="S3" s="426">
        <f>R3+1</f>
        <v/>
      </c>
      <c r="T3" s="427">
        <f>S3+1</f>
        <v/>
      </c>
      <c r="U3" s="426">
        <f>T3+1</f>
        <v/>
      </c>
      <c r="V3" s="428">
        <f>U3+1</f>
        <v/>
      </c>
      <c r="W3" s="426">
        <f>V3+1</f>
        <v/>
      </c>
      <c r="X3" s="426">
        <f>W3+1</f>
        <v/>
      </c>
      <c r="Y3" s="426">
        <f>X3+1</f>
        <v/>
      </c>
      <c r="Z3" s="426">
        <f>Y3+1</f>
        <v/>
      </c>
      <c r="AA3" s="426">
        <f>Z3+1</f>
        <v/>
      </c>
      <c r="AB3" s="426">
        <f>AA3+1</f>
        <v/>
      </c>
      <c r="AC3" s="426">
        <f>AB3+1</f>
        <v/>
      </c>
      <c r="AD3" s="426">
        <f>AC3+1</f>
        <v/>
      </c>
      <c r="AE3" s="426">
        <f>AD3+1</f>
        <v/>
      </c>
      <c r="AF3" s="426">
        <f>AE3+1</f>
        <v/>
      </c>
      <c r="AG3" s="427">
        <f>AF3+1</f>
        <v/>
      </c>
      <c r="AH3" s="426">
        <f>AG3+1</f>
        <v/>
      </c>
      <c r="AI3" s="221">
        <f>'Setting key Duty'!$C7</f>
        <v/>
      </c>
      <c r="AJ3" s="222">
        <f>'Setting key Duty'!$C8</f>
        <v/>
      </c>
      <c r="AK3" s="223">
        <f>'Setting key Duty'!$C9</f>
        <v/>
      </c>
      <c r="AL3" s="223">
        <f>'Setting key Duty'!$C10</f>
        <v/>
      </c>
      <c r="AM3" s="223">
        <f>'Setting key Duty'!$C11</f>
        <v/>
      </c>
      <c r="AN3" s="223">
        <f>'Setting key Duty'!$C12</f>
        <v/>
      </c>
      <c r="AO3" s="223">
        <f>'Setting key Duty'!$C13</f>
        <v/>
      </c>
      <c r="AP3" s="223">
        <f>'Setting key Duty'!$C16</f>
        <v/>
      </c>
      <c r="AQ3" s="223">
        <f>'Setting key Duty'!C14</f>
        <v/>
      </c>
      <c r="AR3" s="223" t="n"/>
      <c r="AS3" s="429" t="inlineStr">
        <is>
          <t>TO ADD</t>
        </is>
      </c>
      <c r="AT3" s="429" t="inlineStr">
        <is>
          <t>TO MINUS</t>
        </is>
      </c>
      <c r="AU3" s="223" t="inlineStr">
        <is>
          <t>Weekday Duty</t>
        </is>
      </c>
      <c r="AV3" s="223" t="inlineStr">
        <is>
          <t>Weekday Extra</t>
        </is>
      </c>
      <c r="AW3" s="223" t="inlineStr">
        <is>
          <t>Friday Duty</t>
        </is>
      </c>
      <c r="AX3" s="223" t="inlineStr">
        <is>
          <t>Weekend Duty</t>
        </is>
      </c>
      <c r="AY3" s="223" t="inlineStr">
        <is>
          <t>Weekend Extra</t>
        </is>
      </c>
      <c r="AZ3" s="223" t="inlineStr">
        <is>
          <t>Duty Point</t>
        </is>
      </c>
      <c r="BA3" s="223" t="inlineStr">
        <is>
          <t>Total Duty</t>
        </is>
      </c>
      <c r="BB3" s="223" t="inlineStr">
        <is>
          <t>Total Cover</t>
        </is>
      </c>
      <c r="BC3" s="225" t="inlineStr">
        <is>
          <t>Total Point</t>
        </is>
      </c>
      <c r="BD3" s="223" t="inlineStr">
        <is>
          <t>Total Cover
Point</t>
        </is>
      </c>
      <c r="BE3" s="223" t="inlineStr">
        <is>
          <t>BTP</t>
        </is>
      </c>
      <c r="BF3" s="223" t="inlineStr">
        <is>
          <t>$BTP
Point</t>
        </is>
      </c>
      <c r="BG3" s="223" t="inlineStr">
        <is>
          <t>Mid Cover</t>
        </is>
      </c>
      <c r="BH3" s="223" t="inlineStr">
        <is>
          <t>$M 
Point</t>
        </is>
      </c>
      <c r="BI3" s="223" t="inlineStr">
        <is>
          <t>Cover
After Hour</t>
        </is>
      </c>
      <c r="BJ3" s="223" t="inlineStr">
        <is>
          <t>$PM
Point</t>
        </is>
      </c>
      <c r="BK3" s="223" t="inlineStr">
        <is>
          <t>Cover
Early</t>
        </is>
      </c>
      <c r="BL3" s="223" t="inlineStr">
        <is>
          <t>$AM
Point</t>
        </is>
      </c>
      <c r="BM3" s="223">
        <f>'Setting key Duty'!C52</f>
        <v/>
      </c>
      <c r="BN3" s="223" t="inlineStr">
        <is>
          <t>$FC
Point</t>
        </is>
      </c>
      <c r="BO3" s="223">
        <f>'Setting key Duty'!$C15</f>
        <v/>
      </c>
      <c r="BP3" s="223">
        <f>'Setting key Duty'!C17</f>
        <v/>
      </c>
      <c r="BQ3" s="223">
        <f>'Setting key Duty'!$C22</f>
        <v/>
      </c>
      <c r="BR3" s="220" t="n"/>
    </row>
    <row r="4" ht="18" customHeight="1">
      <c r="A4" s="226" t="n"/>
      <c r="B4" s="178" t="inlineStr">
        <is>
          <t>Updated on: 26/10/2022</t>
        </is>
      </c>
      <c r="C4" s="430">
        <f>TEXT(C3,"ddd")</f>
        <v/>
      </c>
      <c r="D4" s="431">
        <f>TEXT(D3,"ddd")</f>
        <v/>
      </c>
      <c r="E4" s="431">
        <f>TEXT(E3,"ddd")</f>
        <v/>
      </c>
      <c r="F4" s="431">
        <f>TEXT(F3,"ddd")</f>
        <v/>
      </c>
      <c r="G4" s="431">
        <f>TEXT(G3,"ddd")</f>
        <v/>
      </c>
      <c r="H4" s="431">
        <f>TEXT(H3,"ddd")</f>
        <v/>
      </c>
      <c r="I4" s="431">
        <f>TEXT(I3,"ddd")</f>
        <v/>
      </c>
      <c r="J4" s="431">
        <f>TEXT(J3,"ddd")</f>
        <v/>
      </c>
      <c r="K4" s="431">
        <f>TEXT(K3,"ddd")</f>
        <v/>
      </c>
      <c r="L4" s="431">
        <f>TEXT(L3,"ddd")</f>
        <v/>
      </c>
      <c r="M4" s="431">
        <f>TEXT(M3,"ddd")</f>
        <v/>
      </c>
      <c r="N4" s="431">
        <f>TEXT(N3,"ddd")</f>
        <v/>
      </c>
      <c r="O4" s="431">
        <f>TEXT(O3,"ddd")</f>
        <v/>
      </c>
      <c r="P4" s="431">
        <f>TEXT(P3,"ddd")</f>
        <v/>
      </c>
      <c r="Q4" s="431">
        <f>TEXT(Q3,"ddd")</f>
        <v/>
      </c>
      <c r="R4" s="431">
        <f>TEXT(R3,"ddd")</f>
        <v/>
      </c>
      <c r="S4" s="431">
        <f>TEXT(S3,"ddd")</f>
        <v/>
      </c>
      <c r="T4" s="430">
        <f>TEXT(T3,"ddd")</f>
        <v/>
      </c>
      <c r="U4" s="431">
        <f>TEXT(U3,"ddd")</f>
        <v/>
      </c>
      <c r="V4" s="432">
        <f>TEXT(V3,"ddd")</f>
        <v/>
      </c>
      <c r="W4" s="431">
        <f>TEXT(W3,"ddd")</f>
        <v/>
      </c>
      <c r="X4" s="431">
        <f>TEXT(X3,"ddd")</f>
        <v/>
      </c>
      <c r="Y4" s="431">
        <f>TEXT(Y3,"ddd")</f>
        <v/>
      </c>
      <c r="Z4" s="431">
        <f>TEXT(Z3,"ddd")</f>
        <v/>
      </c>
      <c r="AA4" s="431">
        <f>TEXT(AA3,"ddd")</f>
        <v/>
      </c>
      <c r="AB4" s="431">
        <f>TEXT(AB3,"ddd")</f>
        <v/>
      </c>
      <c r="AC4" s="431">
        <f>TEXT(AC3,"ddd")</f>
        <v/>
      </c>
      <c r="AD4" s="431">
        <f>TEXT(AD3,"ddd")</f>
        <v/>
      </c>
      <c r="AE4" s="431">
        <f>TEXT(AE3,"ddd")</f>
        <v/>
      </c>
      <c r="AF4" s="431">
        <f>TEXT(AF3,"ddd")</f>
        <v/>
      </c>
      <c r="AG4" s="430">
        <f>TEXT(AG3,"ddd")</f>
        <v/>
      </c>
      <c r="AH4" s="431">
        <f>TEXT(AH3,"ddd")</f>
        <v/>
      </c>
      <c r="AI4" s="227">
        <f>'Setting key Duty'!$B7</f>
        <v/>
      </c>
      <c r="AJ4" s="228">
        <f>'Setting key Duty'!$B8</f>
        <v/>
      </c>
      <c r="AK4" s="229">
        <f>'Setting key Duty'!$B9</f>
        <v/>
      </c>
      <c r="AL4" s="229">
        <f>'Setting key Duty'!$B10</f>
        <v/>
      </c>
      <c r="AM4" s="229">
        <f>'Setting key Duty'!$B11</f>
        <v/>
      </c>
      <c r="AN4" s="229">
        <f>'Setting key Duty'!$B12</f>
        <v/>
      </c>
      <c r="AO4" s="229">
        <f>'Setting key Duty'!$B13</f>
        <v/>
      </c>
      <c r="AP4" s="229">
        <f>'Setting key Duty'!$B16</f>
        <v/>
      </c>
      <c r="AQ4" s="229">
        <f>'Setting key Duty'!B14</f>
        <v/>
      </c>
      <c r="AR4" s="229" t="n"/>
      <c r="AS4" s="433" t="n"/>
      <c r="AT4" s="433" t="n"/>
      <c r="AU4" s="229" t="n"/>
      <c r="AV4" s="229" t="n"/>
      <c r="AW4" s="229" t="n"/>
      <c r="AX4" s="229" t="n"/>
      <c r="AY4" s="229" t="n"/>
      <c r="AZ4" s="229" t="n"/>
      <c r="BA4" s="229" t="n"/>
      <c r="BB4" s="229" t="n"/>
      <c r="BC4" s="231" t="n"/>
      <c r="BD4" s="229" t="n"/>
      <c r="BE4" s="229" t="inlineStr">
        <is>
          <t>$BTP</t>
        </is>
      </c>
      <c r="BF4" s="229" t="n"/>
      <c r="BG4" s="229" t="inlineStr">
        <is>
          <t>$M</t>
        </is>
      </c>
      <c r="BH4" s="229" t="n"/>
      <c r="BI4" s="229" t="inlineStr">
        <is>
          <t>$PM</t>
        </is>
      </c>
      <c r="BJ4" s="229" t="n"/>
      <c r="BK4" s="229" t="inlineStr">
        <is>
          <t>$AM</t>
        </is>
      </c>
      <c r="BL4" s="229" t="n"/>
      <c r="BM4" s="229">
        <f>'Setting key Duty'!B52</f>
        <v/>
      </c>
      <c r="BN4" s="229" t="n"/>
      <c r="BO4" s="229">
        <f>'Setting key Duty'!$B15</f>
        <v/>
      </c>
      <c r="BP4" s="229">
        <f>'Setting key Duty'!B17</f>
        <v/>
      </c>
      <c r="BQ4" s="229">
        <f>'Setting key Duty'!$B22</f>
        <v/>
      </c>
      <c r="BR4" s="232" t="n"/>
    </row>
    <row r="5" ht="41.25" customHeight="1">
      <c r="A5" s="233" t="n"/>
      <c r="B5" s="185" t="inlineStr">
        <is>
          <t>CPL MUHAMAD LUTFIL AL-HADI</t>
        </is>
      </c>
      <c r="C5" s="234" t="n"/>
      <c r="D5" s="234" t="n"/>
      <c r="E5" s="53" t="n"/>
      <c r="F5" s="187" t="inlineStr">
        <is>
          <t>DM</t>
        </is>
      </c>
      <c r="G5" s="187" t="n"/>
      <c r="H5" s="234" t="inlineStr">
        <is>
          <t>PM MA</t>
        </is>
      </c>
      <c r="I5" s="234" t="n"/>
      <c r="J5" s="234" t="n"/>
      <c r="K5" s="137" t="n"/>
      <c r="L5" s="136" t="n"/>
      <c r="M5" s="53" t="n"/>
      <c r="N5" s="187" t="n"/>
      <c r="O5" s="235" t="inlineStr">
        <is>
          <t>AL</t>
        </is>
      </c>
      <c r="P5" s="234" t="n"/>
      <c r="Q5" s="234" t="n"/>
      <c r="R5" s="187" t="inlineStr">
        <is>
          <t>CS1</t>
        </is>
      </c>
      <c r="S5" s="187" t="n"/>
      <c r="T5" s="136" t="n"/>
      <c r="U5" s="187" t="n"/>
      <c r="V5" s="234" t="inlineStr">
        <is>
          <t>HARI RAYA</t>
        </is>
      </c>
      <c r="W5" s="234" t="inlineStr">
        <is>
          <t>HARI RAYA</t>
        </is>
      </c>
      <c r="X5" s="234" t="inlineStr">
        <is>
          <t>HARI RAYA</t>
        </is>
      </c>
      <c r="Y5" s="234" t="inlineStr">
        <is>
          <t>HARI RAYA</t>
        </is>
      </c>
      <c r="Z5" s="434" t="n"/>
      <c r="AA5" s="434" t="n"/>
      <c r="AB5" s="187" t="n"/>
      <c r="AC5" s="187" t="n"/>
      <c r="AD5" s="187" t="inlineStr">
        <is>
          <t>DM</t>
        </is>
      </c>
      <c r="AE5" s="187" t="n"/>
      <c r="AF5" s="187" t="n"/>
      <c r="AG5" s="187" t="inlineStr">
        <is>
          <t>DM</t>
        </is>
      </c>
      <c r="AH5" s="197" t="n"/>
      <c r="AI5" s="237">
        <f>COUNTIF($C5:$AG5,AI$4)</f>
        <v/>
      </c>
      <c r="AJ5" s="237">
        <f>COUNTIF($C5:$AG5,AJ$4)</f>
        <v/>
      </c>
      <c r="AK5" s="237">
        <f>COUNTIF($C5:$AG5,AK$4)</f>
        <v/>
      </c>
      <c r="AL5" s="237">
        <f>COUNTIF($C5:$AG5,AL$4)</f>
        <v/>
      </c>
      <c r="AM5" s="237">
        <f>COUNTIF($C5:$AG5,AM$4)</f>
        <v/>
      </c>
      <c r="AN5" s="237">
        <f>COUNTIF($C5:$AG5,AN$4)</f>
        <v/>
      </c>
      <c r="AO5" s="237">
        <f>COUNTIF($C5:$AG5,AO$4)</f>
        <v/>
      </c>
      <c r="AP5" s="237">
        <f>COUNTIF($C5:$AG5,AP$4)</f>
        <v/>
      </c>
      <c r="AQ5" s="237">
        <f>COUNTIF($C5:$AG5,AQ$4)</f>
        <v/>
      </c>
      <c r="AR5" s="238" t="n"/>
      <c r="AS5" s="239" t="n">
        <v>1</v>
      </c>
      <c r="AT5" s="239" t="n"/>
      <c r="AU5" s="238">
        <f>SUMPRODUCT(--(WEEKDAY(C$3:AG$3,2)&lt;5),--ISNUMBER(MATCH(C5:AG5,{"DM","CS1","CS2","SB1","AE","CS/B"},0)))</f>
        <v/>
      </c>
      <c r="AV5" s="238" t="n"/>
      <c r="AW5" s="238">
        <f>SUMPRODUCT(--(WEEKDAY(C$3:AG$3,2)=5),--ISNUMBER(MATCH(C5:AG5,{"DM","CS1","CS2","SB1","AE","CS/B"},0)))</f>
        <v/>
      </c>
      <c r="AX5" s="238">
        <f>SUMPRODUCT(--(WEEKDAY(C$3:AG$3,2)&gt;5),--ISNUMBER(MATCH(C5:AG5,{"DM","CS1","CS2","SB1","AE","CS/B"},0)))</f>
        <v/>
      </c>
      <c r="AY5" s="238" t="n"/>
      <c r="AZ5" s="238">
        <f>(AU5-AV5)+AW5*1.5+(AX5-AY5)*2+AN5*0.5+AP5*0.5+AS5-AT5</f>
        <v/>
      </c>
      <c r="BA5" s="238">
        <f>AU5+AW5+AX5</f>
        <v/>
      </c>
      <c r="BB5" s="238">
        <f>BE5+BG5+BI5+BK5+BM5</f>
        <v/>
      </c>
      <c r="BC5" s="239">
        <f>AZ5+BD5</f>
        <v/>
      </c>
      <c r="BD5" s="238">
        <f>BF5+BH5+BJ5+BL5+BN5</f>
        <v/>
      </c>
      <c r="BE5" s="238">
        <f>COUNTIF(A5:AI5,"*$BTP*")</f>
        <v/>
      </c>
      <c r="BF5" s="238">
        <f>BE5*1.5</f>
        <v/>
      </c>
      <c r="BG5" s="238">
        <f>COUNTIF(A5:AI5,"*$M*")</f>
        <v/>
      </c>
      <c r="BH5" s="238">
        <f>BG5*1</f>
        <v/>
      </c>
      <c r="BI5" s="238">
        <f>COUNTIF(A5:AI5,"*$PM*")</f>
        <v/>
      </c>
      <c r="BJ5" s="238">
        <f>BI5*0.5</f>
        <v/>
      </c>
      <c r="BK5" s="238">
        <f>COUNTIF(A5:AI5,"*$AM*")</f>
        <v/>
      </c>
      <c r="BL5" s="238">
        <f>BK5*0.5</f>
        <v/>
      </c>
      <c r="BM5" s="238">
        <f>COUNTIF(A5:AI5,"*$FC*")</f>
        <v/>
      </c>
      <c r="BN5" s="238">
        <f>BM5*1</f>
        <v/>
      </c>
      <c r="BO5" s="238">
        <f>COUNTIF($D5:$AA5,BO$4)</f>
        <v/>
      </c>
      <c r="BP5" s="238">
        <f>COUNTIF($D5:$AA5,BP$4)</f>
        <v/>
      </c>
      <c r="BQ5" s="238">
        <f>COUNTIF($D5:$AA5,BQ$4)</f>
        <v/>
      </c>
      <c r="BR5" s="240" t="n"/>
    </row>
    <row r="6" ht="36" customHeight="1">
      <c r="A6" s="233" t="n"/>
      <c r="B6" s="191" t="inlineStr">
        <is>
          <t xml:space="preserve">CPL GERALD TAN </t>
        </is>
      </c>
      <c r="C6" s="75" t="n"/>
      <c r="D6" s="75" t="n"/>
      <c r="E6" s="75" t="inlineStr">
        <is>
          <t>CS1</t>
        </is>
      </c>
      <c r="F6" s="75" t="inlineStr">
        <is>
          <t>SKILLS FUTURE</t>
        </is>
      </c>
      <c r="G6" s="75" t="n"/>
      <c r="H6" s="1" t="inlineStr">
        <is>
          <t>GP (at night)</t>
        </is>
      </c>
      <c r="I6" s="241" t="inlineStr">
        <is>
          <t>GP $M</t>
        </is>
      </c>
      <c r="J6" s="241" t="n"/>
      <c r="K6" s="75" t="n"/>
      <c r="L6" s="75" t="n"/>
      <c r="M6" s="187" t="n"/>
      <c r="N6" s="75" t="inlineStr">
        <is>
          <t>RESERVE</t>
        </is>
      </c>
      <c r="O6" s="75" t="n"/>
      <c r="P6" s="75" t="inlineStr">
        <is>
          <t>DM</t>
        </is>
      </c>
      <c r="Q6" s="241" t="n"/>
      <c r="R6" s="241" t="n"/>
      <c r="S6" s="241" t="n"/>
      <c r="T6" s="241" t="n"/>
      <c r="U6" s="75" t="n"/>
      <c r="V6" s="242" t="inlineStr">
        <is>
          <t>AL</t>
        </is>
      </c>
      <c r="W6" s="241" t="n"/>
      <c r="X6" s="241" t="n"/>
      <c r="Y6" s="241" t="inlineStr">
        <is>
          <t>PM MA</t>
        </is>
      </c>
      <c r="AA6" s="241" t="n"/>
      <c r="AC6" s="137" t="inlineStr">
        <is>
          <t>DM</t>
        </is>
      </c>
      <c r="AD6" s="75" t="n"/>
      <c r="AE6" s="241" t="n"/>
      <c r="AF6" s="53" t="n"/>
      <c r="AG6" s="241" t="inlineStr">
        <is>
          <t>MA</t>
        </is>
      </c>
      <c r="AH6" s="197" t="n"/>
      <c r="AI6" s="237">
        <f>COUNTIF($C6:$AG6,AI$4)</f>
        <v/>
      </c>
      <c r="AJ6" s="237">
        <f>COUNTIF($C6:$AG6,AJ$4)</f>
        <v/>
      </c>
      <c r="AK6" s="237">
        <f>COUNTIF($C6:$AG6,AK$4)</f>
        <v/>
      </c>
      <c r="AL6" s="237">
        <f>COUNTIF($C6:$AG6,AL$4)</f>
        <v/>
      </c>
      <c r="AM6" s="237">
        <f>COUNTIF($C6:$AG6,AM$4)</f>
        <v/>
      </c>
      <c r="AN6" s="237">
        <f>COUNTIF($C6:$AG6,AN$4)</f>
        <v/>
      </c>
      <c r="AO6" s="237">
        <f>COUNTIF($C6:$AG6,AO$4)</f>
        <v/>
      </c>
      <c r="AP6" s="237">
        <f>COUNTIF($C6:$AG6,AP$4)</f>
        <v/>
      </c>
      <c r="AQ6" s="237">
        <f>COUNTIF($C6:$AG6,AQ$4)</f>
        <v/>
      </c>
      <c r="AR6" s="238" t="n"/>
      <c r="AS6" s="239" t="n">
        <v>1.5</v>
      </c>
      <c r="AT6" s="239" t="n"/>
      <c r="AU6" s="238">
        <f>SUMPRODUCT(--(WEEKDAY(C$3:AG$3,2)&lt;5),--ISNUMBER(MATCH(C6:AG6,{"DM","CS1","CS2","SB1","AE","CS/B"},0)))</f>
        <v/>
      </c>
      <c r="AV6" s="238" t="n"/>
      <c r="AW6" s="238">
        <f>SUMPRODUCT(--(WEEKDAY(C$3:AG$3,2)=5),--ISNUMBER(MATCH(C6:AG6,{"DM","CS1","CS2","SB1","AE","CS/B"},0)))</f>
        <v/>
      </c>
      <c r="AX6" s="238">
        <f>SUMPRODUCT(--(WEEKDAY(C$3:AG$3,2)&gt;5),--ISNUMBER(MATCH(C6:AG6,{"DM","CS1","CS2","SB1","AE","CS/B"},0)))</f>
        <v/>
      </c>
      <c r="AY6" s="238" t="n"/>
      <c r="AZ6" s="238">
        <f>(AU6-AV6)+AW6*1.5+(AX6-AY6)*2+AN6*0.5+AP6*0.5+AS6-AT6</f>
        <v/>
      </c>
      <c r="BA6" s="238">
        <f>AU6+AW6+AX6</f>
        <v/>
      </c>
      <c r="BB6" s="238">
        <f>BE6+BG6+BI6+BK6+BM6</f>
        <v/>
      </c>
      <c r="BC6" s="239">
        <f>AZ6+BD6</f>
        <v/>
      </c>
      <c r="BD6" s="238">
        <f>BF6+BH6+BJ6+BL6+BN6</f>
        <v/>
      </c>
      <c r="BE6" s="238">
        <f>COUNTIF(A6:AI6,"*$BTP*")</f>
        <v/>
      </c>
      <c r="BF6" s="238">
        <f>BE6*1.5</f>
        <v/>
      </c>
      <c r="BG6" s="238">
        <f>COUNTIF(A6:AI6,"*$M*")</f>
        <v/>
      </c>
      <c r="BH6" s="238">
        <f>BG6*1</f>
        <v/>
      </c>
      <c r="BI6" s="238">
        <f>COUNTIF(A6:AI6,"*$PM*")</f>
        <v/>
      </c>
      <c r="BJ6" s="238">
        <f>BI6*0.5</f>
        <v/>
      </c>
      <c r="BK6" s="238">
        <f>COUNTIF(A6:AI6,"*$AM*")</f>
        <v/>
      </c>
      <c r="BL6" s="238">
        <f>BK6*0.5</f>
        <v/>
      </c>
      <c r="BM6" s="238">
        <f>COUNTIF(A6:AI6,"*$FC*")</f>
        <v/>
      </c>
      <c r="BN6" s="238">
        <f>BM6*1</f>
        <v/>
      </c>
      <c r="BO6" s="238">
        <f>COUNTIF($D6:$AA6,BO$4)</f>
        <v/>
      </c>
      <c r="BP6" s="238">
        <f>COUNTIF($D6:$AA6,BP$4)</f>
        <v/>
      </c>
      <c r="BQ6" s="238">
        <f>COUNTIF($D6:$AA6,BQ$4)</f>
        <v/>
      </c>
      <c r="BR6" s="240" t="n"/>
    </row>
    <row r="7" hidden="1" ht="50.25" customHeight="1">
      <c r="A7" s="233" t="n"/>
      <c r="B7" s="185" t="inlineStr">
        <is>
          <t>CPL FANG JIANGRUI</t>
        </is>
      </c>
      <c r="C7" s="137" t="n"/>
      <c r="D7" s="53" t="n"/>
      <c r="E7" s="53" t="n"/>
      <c r="F7" s="75" t="inlineStr">
        <is>
          <t>SKILLS FUTURE</t>
        </is>
      </c>
      <c r="G7" s="137" t="n"/>
      <c r="H7" s="137" t="n"/>
      <c r="I7" s="137" t="n"/>
      <c r="J7" s="137" t="n"/>
      <c r="K7" s="53" t="n"/>
      <c r="L7" s="137" t="n"/>
      <c r="M7" s="137" t="n"/>
      <c r="N7" s="137" t="n"/>
      <c r="O7" s="137" t="n"/>
      <c r="P7" s="137" t="n"/>
      <c r="Q7" s="137" t="n"/>
      <c r="R7" s="53" t="n"/>
      <c r="S7" s="137" t="n"/>
      <c r="T7" s="53" t="n"/>
      <c r="U7" s="137" t="n"/>
      <c r="V7" s="137" t="n"/>
      <c r="W7" s="137" t="n"/>
      <c r="X7" s="137" t="n"/>
      <c r="Y7" s="137" t="n"/>
      <c r="Z7" s="137" t="n"/>
      <c r="AA7" s="137" t="n"/>
      <c r="AB7" s="53" t="n"/>
      <c r="AC7" s="53" t="n"/>
      <c r="AD7" s="137" t="n"/>
      <c r="AE7" s="137" t="n"/>
      <c r="AF7" s="53" t="n"/>
      <c r="AG7" s="53" t="n"/>
      <c r="AH7" s="197" t="n"/>
      <c r="AI7" s="237">
        <f>COUNTIF($C7:$AG7,AI$4)</f>
        <v/>
      </c>
      <c r="AJ7" s="237">
        <f>COUNTIF($C7:$AG7,AJ$4)</f>
        <v/>
      </c>
      <c r="AK7" s="237">
        <f>COUNTIF($C7:$AG7,AK$4)</f>
        <v/>
      </c>
      <c r="AL7" s="237">
        <f>COUNTIF($C7:$AG7,AL$4)</f>
        <v/>
      </c>
      <c r="AM7" s="237">
        <f>COUNTIF($C7:$AG7,AM$4)</f>
        <v/>
      </c>
      <c r="AN7" s="237">
        <f>COUNTIF($C7:$AG7,AN$4)</f>
        <v/>
      </c>
      <c r="AO7" s="237">
        <f>COUNTIF($C7:$AG7,AO$4)</f>
        <v/>
      </c>
      <c r="AP7" s="237">
        <f>COUNTIF($C7:$AG7,AP$4)</f>
        <v/>
      </c>
      <c r="AQ7" s="237">
        <f>COUNTIF($C7:$AG7,AQ$4)</f>
        <v/>
      </c>
      <c r="AR7" s="238" t="n"/>
      <c r="AS7" s="239" t="n"/>
      <c r="AT7" s="239" t="n"/>
      <c r="AU7" s="238">
        <f>SUMPRODUCT(--(WEEKDAY(C$3:AG$3,2)&lt;5),--ISNUMBER(MATCH(C7:AG7,{"DM","CS1","CS2","SB1","AE","CS/B"},0)))</f>
        <v/>
      </c>
      <c r="AV7" s="238" t="n"/>
      <c r="AW7" s="238">
        <f>SUMPRODUCT(--(WEEKDAY(C$3:AG$3,2)=5),--ISNUMBER(MATCH(C7:AG7,{"DM","CS1","CS2","SB1","AE","CS/B"},0)))</f>
        <v/>
      </c>
      <c r="AX7" s="238">
        <f>SUMPRODUCT(--(WEEKDAY(C$3:AG$3,2)&gt;5),--ISNUMBER(MATCH(C7:AG7,{"DM","CS1","CS2","SB1","AE","CS/B"},0)))</f>
        <v/>
      </c>
      <c r="AY7" s="238" t="n"/>
      <c r="AZ7" s="238">
        <f>(AU7-AV7)+AW7*1.5+(AX7-AY7)*2+AN7*0.5+AP7*0.5+AS7-AT7</f>
        <v/>
      </c>
      <c r="BA7" s="238">
        <f>AU7+AW7+AX7</f>
        <v/>
      </c>
      <c r="BB7" s="238">
        <f>BE7+BG7+BI7+BK7+BM7</f>
        <v/>
      </c>
      <c r="BC7" s="239">
        <f>AZ7+BD7</f>
        <v/>
      </c>
      <c r="BD7" s="238">
        <f>BF7+BH7+BJ7+BL7+BN7</f>
        <v/>
      </c>
      <c r="BE7" s="238">
        <f>COUNTIF(A7:AI7,"*$BTP*")</f>
        <v/>
      </c>
      <c r="BF7" s="238">
        <f>BE7*1.5</f>
        <v/>
      </c>
      <c r="BG7" s="238">
        <f>COUNTIF(A7:AI7,"*$M*")</f>
        <v/>
      </c>
      <c r="BH7" s="238">
        <f>BG7*1</f>
        <v/>
      </c>
      <c r="BI7" s="238">
        <f>COUNTIF(A7:AI7,"*$PM*")</f>
        <v/>
      </c>
      <c r="BJ7" s="238">
        <f>BI7*0.5</f>
        <v/>
      </c>
      <c r="BK7" s="238">
        <f>COUNTIF(A7:AI7,"*$AM*")</f>
        <v/>
      </c>
      <c r="BL7" s="238">
        <f>BK7*0.5</f>
        <v/>
      </c>
      <c r="BM7" s="238">
        <f>COUNTIF(A7:AI7,"*$FC*")</f>
        <v/>
      </c>
      <c r="BN7" s="238">
        <f>BM7*1</f>
        <v/>
      </c>
      <c r="BO7" s="238">
        <f>COUNTIF($D7:$AA7,BO$4)</f>
        <v/>
      </c>
      <c r="BP7" s="238">
        <f>COUNTIF($D7:$AA7,BP$4)</f>
        <v/>
      </c>
      <c r="BQ7" s="238">
        <f>COUNTIF($D7:$AA7,BQ$4)</f>
        <v/>
      </c>
      <c r="BR7" s="240" t="n"/>
    </row>
    <row r="8" ht="49.5" customHeight="1">
      <c r="A8" s="233" t="n"/>
      <c r="B8" s="185" t="inlineStr">
        <is>
          <t>CPL JARRETT TSING KEE JIN</t>
        </is>
      </c>
      <c r="C8" s="75" t="n"/>
      <c r="D8" s="75" t="n"/>
      <c r="E8" s="75" t="inlineStr">
        <is>
          <t>WISDOM</t>
        </is>
      </c>
      <c r="F8" s="75" t="inlineStr">
        <is>
          <t>MC</t>
        </is>
      </c>
      <c r="G8" s="75" t="inlineStr">
        <is>
          <t>MC</t>
        </is>
      </c>
      <c r="H8" s="75" t="inlineStr">
        <is>
          <t>MC</t>
        </is>
      </c>
      <c r="I8" s="75" t="inlineStr">
        <is>
          <t>CS1</t>
        </is>
      </c>
      <c r="J8" s="75" t="n"/>
      <c r="K8" s="75" t="n"/>
      <c r="L8" s="53" t="n"/>
      <c r="M8" s="53" t="n"/>
      <c r="N8" s="75" t="inlineStr">
        <is>
          <t>DM</t>
        </is>
      </c>
      <c r="O8" s="75" t="n"/>
      <c r="P8" s="75" t="n"/>
      <c r="Q8" s="75" t="inlineStr">
        <is>
          <t>RESERVE</t>
        </is>
      </c>
      <c r="R8" s="53" t="n"/>
      <c r="S8" s="75" t="n"/>
      <c r="T8" s="187" t="n"/>
      <c r="U8" s="75" t="inlineStr">
        <is>
          <t>CS2</t>
        </is>
      </c>
      <c r="V8" s="75" t="n"/>
      <c r="W8" s="75" t="n"/>
      <c r="X8" s="75" t="n"/>
      <c r="Y8" s="75" t="inlineStr">
        <is>
          <t>DM</t>
        </is>
      </c>
      <c r="Z8" s="53" t="n"/>
      <c r="AB8" s="53" t="n"/>
      <c r="AC8" s="75" t="inlineStr">
        <is>
          <t>OL</t>
        </is>
      </c>
      <c r="AD8" s="75" t="inlineStr">
        <is>
          <t>OL</t>
        </is>
      </c>
      <c r="AE8" s="75" t="inlineStr">
        <is>
          <t>OL</t>
        </is>
      </c>
      <c r="AF8" s="75" t="inlineStr">
        <is>
          <t>OL</t>
        </is>
      </c>
      <c r="AG8" s="75" t="n"/>
      <c r="AH8" s="197" t="n"/>
      <c r="AI8" s="237">
        <f>COUNTIF($C8:$AG8,AI$4)</f>
        <v/>
      </c>
      <c r="AJ8" s="237">
        <f>COUNTIF($C8:$AG8,AJ$4)</f>
        <v/>
      </c>
      <c r="AK8" s="237">
        <f>COUNTIF($C8:$AG8,AK$4)</f>
        <v/>
      </c>
      <c r="AL8" s="237">
        <f>COUNTIF($C8:$AG8,AL$4)</f>
        <v/>
      </c>
      <c r="AM8" s="237">
        <f>COUNTIF($C8:$AG8,AM$4)</f>
        <v/>
      </c>
      <c r="AN8" s="237">
        <f>COUNTIF($C8:$AG8,AN$4)</f>
        <v/>
      </c>
      <c r="AO8" s="237">
        <f>COUNTIF($C8:$AG8,AO$4)</f>
        <v/>
      </c>
      <c r="AP8" s="237">
        <f>COUNTIF($C8:$AG8,AP$4)</f>
        <v/>
      </c>
      <c r="AQ8" s="237">
        <f>COUNTIF($C8:$AG8,AQ$4)</f>
        <v/>
      </c>
      <c r="AR8" s="238" t="n"/>
      <c r="AS8" s="239" t="n"/>
      <c r="AT8" s="239" t="n"/>
      <c r="AU8" s="238">
        <f>SUMPRODUCT(--(WEEKDAY(C$3:AG$3,2)&lt;5),--ISNUMBER(MATCH(C8:AG8,{"DM","CS1","CS2","SB1","AE","CS/B"},0)))</f>
        <v/>
      </c>
      <c r="AV8" s="238" t="n"/>
      <c r="AW8" s="238">
        <f>SUMPRODUCT(--(WEEKDAY(C$3:AG$3,2)=5),--ISNUMBER(MATCH(C8:AG8,{"DM","CS1","CS2","SB1","AE","CS/B"},0)))</f>
        <v/>
      </c>
      <c r="AX8" s="238">
        <f>SUMPRODUCT(--(WEEKDAY(C$3:AG$3,2)&gt;5),--ISNUMBER(MATCH(C8:AG8,{"DM","CS1","CS2","SB1","AE","CS/B"},0)))</f>
        <v/>
      </c>
      <c r="AY8" s="238" t="n"/>
      <c r="AZ8" s="238">
        <f>(AU8-AV8)+AW8*1.5+(AX8-AY8)*2+AN8*0.5+AP8*0.5+AS8-AT8</f>
        <v/>
      </c>
      <c r="BA8" s="238">
        <f>AU8+AW8+AX8</f>
        <v/>
      </c>
      <c r="BB8" s="238">
        <f>BE8+BG8+BI8+BK8+BM8</f>
        <v/>
      </c>
      <c r="BC8" s="239">
        <f>AZ8+BD8</f>
        <v/>
      </c>
      <c r="BD8" s="238">
        <f>BF8+BH8+BJ8+BL8+BN8</f>
        <v/>
      </c>
      <c r="BE8" s="238">
        <f>COUNTIF(A8:AI8,"*$BTP*")</f>
        <v/>
      </c>
      <c r="BF8" s="238">
        <f>BE8*1.5</f>
        <v/>
      </c>
      <c r="BG8" s="238">
        <f>COUNTIF(A8:AI8,"*$M*")</f>
        <v/>
      </c>
      <c r="BH8" s="238">
        <f>BG8*1</f>
        <v/>
      </c>
      <c r="BI8" s="238">
        <f>COUNTIF(A8:AI8,"*$PM*")</f>
        <v/>
      </c>
      <c r="BJ8" s="238">
        <f>BI8*0.5</f>
        <v/>
      </c>
      <c r="BK8" s="238">
        <f>COUNTIF(A8:AI8,"*$AM*")</f>
        <v/>
      </c>
      <c r="BL8" s="238">
        <f>BK8*0.5</f>
        <v/>
      </c>
      <c r="BM8" s="238">
        <f>COUNTIF(A8:AI8,"*$FC*")</f>
        <v/>
      </c>
      <c r="BN8" s="238">
        <f>BM8*1</f>
        <v/>
      </c>
      <c r="BO8" s="238">
        <f>COUNTIF($D8:$AA8,BO$4)</f>
        <v/>
      </c>
      <c r="BP8" s="238">
        <f>COUNTIF($D8:$AA8,BP$4)</f>
        <v/>
      </c>
      <c r="BQ8" s="238">
        <f>COUNTIF($D8:$AA8,BQ$4)</f>
        <v/>
      </c>
      <c r="BR8" s="240" t="n"/>
    </row>
    <row r="9" ht="42.75" customHeight="1">
      <c r="A9" s="233" t="n"/>
      <c r="B9" s="191" t="inlineStr">
        <is>
          <t>LCP GOH DI XUAN</t>
        </is>
      </c>
      <c r="C9" s="137" t="n"/>
      <c r="D9" s="137" t="inlineStr">
        <is>
          <t>PM MA</t>
        </is>
      </c>
      <c r="E9" s="137" t="inlineStr">
        <is>
          <t>SB1</t>
        </is>
      </c>
      <c r="F9" s="75" t="inlineStr">
        <is>
          <t>SKILLS FUTURE</t>
        </is>
      </c>
      <c r="G9" s="137" t="inlineStr">
        <is>
          <t>GP</t>
        </is>
      </c>
      <c r="H9" s="137" t="inlineStr">
        <is>
          <t>GP</t>
        </is>
      </c>
      <c r="I9" s="137" t="inlineStr">
        <is>
          <t>GP $M</t>
        </is>
      </c>
      <c r="J9" s="137" t="n"/>
      <c r="K9" s="137" t="n"/>
      <c r="L9" s="187" t="inlineStr">
        <is>
          <t>E $AM IPPT (0500-1100)</t>
        </is>
      </c>
      <c r="M9" s="137" t="n"/>
      <c r="N9" s="137" t="inlineStr">
        <is>
          <t>WISDOM</t>
        </is>
      </c>
      <c r="O9" s="137" t="inlineStr">
        <is>
          <t>WISDOM</t>
        </is>
      </c>
      <c r="P9" s="435" t="n"/>
      <c r="Q9" s="137" t="n"/>
      <c r="R9" s="53" t="n"/>
      <c r="S9" s="137" t="inlineStr">
        <is>
          <t>CS2</t>
        </is>
      </c>
      <c r="U9" s="137" t="n"/>
      <c r="V9" s="53" t="n"/>
      <c r="W9" s="137" t="n"/>
      <c r="X9" s="137" t="inlineStr">
        <is>
          <t>RESERVE</t>
        </is>
      </c>
      <c r="Y9" s="136" t="n"/>
      <c r="AA9" s="137" t="n"/>
      <c r="AB9" s="53" t="n"/>
      <c r="AC9" s="53" t="inlineStr">
        <is>
          <t>COVER RESERVE</t>
        </is>
      </c>
      <c r="AD9" s="137" t="n"/>
      <c r="AE9" s="137" t="inlineStr">
        <is>
          <t>CS2</t>
        </is>
      </c>
      <c r="AF9" s="137" t="n"/>
      <c r="AG9" s="137" t="inlineStr">
        <is>
          <t>RESERVE</t>
        </is>
      </c>
      <c r="AH9" s="197" t="n"/>
      <c r="AI9" s="237">
        <f>COUNTIF($C9:$AG9,AI$4)</f>
        <v/>
      </c>
      <c r="AJ9" s="237">
        <f>COUNTIF($C9:$AG9,AJ$4)</f>
        <v/>
      </c>
      <c r="AK9" s="237">
        <f>COUNTIF($C9:$AG9,AK$4)</f>
        <v/>
      </c>
      <c r="AL9" s="237">
        <f>COUNTIF($C9:$AG9,AL$4)</f>
        <v/>
      </c>
      <c r="AM9" s="237">
        <f>COUNTIF($C9:$AG9,AM$4)</f>
        <v/>
      </c>
      <c r="AN9" s="237">
        <f>COUNTIF($C9:$AG9,AN$4)</f>
        <v/>
      </c>
      <c r="AO9" s="237">
        <f>COUNTIF($C9:$AG9,AO$4)</f>
        <v/>
      </c>
      <c r="AP9" s="237">
        <f>COUNTIF($C9:$AG9,AP$4)</f>
        <v/>
      </c>
      <c r="AQ9" s="237">
        <f>COUNTIF($C9:$AG9,AQ$4)</f>
        <v/>
      </c>
      <c r="AR9" s="238" t="n"/>
      <c r="AS9" s="239" t="n">
        <v>2</v>
      </c>
      <c r="AT9" s="239" t="n"/>
      <c r="AU9" s="238">
        <f>SUMPRODUCT(--(WEEKDAY(C$3:AG$3,2)&lt;5),--ISNUMBER(MATCH(C9:AG9,{"DM","CS1","CS2","SB1","AE","CS/B"},0)))</f>
        <v/>
      </c>
      <c r="AV9" s="238" t="n"/>
      <c r="AW9" s="238">
        <f>SUMPRODUCT(--(WEEKDAY(C$3:AG$3,2)=5),--ISNUMBER(MATCH(C9:AG9,{"DM","CS1","CS2","SB1","AE","CS/B"},0)))</f>
        <v/>
      </c>
      <c r="AX9" s="238">
        <f>SUMPRODUCT(--(WEEKDAY(C$3:AG$3,2)&gt;5),--ISNUMBER(MATCH(C9:AG9,{"DM","CS1","CS2","SB1","AE","CS/B"},0)))</f>
        <v/>
      </c>
      <c r="AY9" s="238" t="n"/>
      <c r="AZ9" s="238">
        <f>(AU9-AV9)+AW9*1.5+(AX9-AY9)*2+AN9*0.5+AP9*0.5+AS9-AT9</f>
        <v/>
      </c>
      <c r="BA9" s="238">
        <f>AU9+AW9+AX9</f>
        <v/>
      </c>
      <c r="BB9" s="238">
        <f>BE9+BG9+BI9+BK9+BM9</f>
        <v/>
      </c>
      <c r="BC9" s="239">
        <f>AZ9+BD9</f>
        <v/>
      </c>
      <c r="BD9" s="238">
        <f>BF9+BH9+BJ9+BL9+BN9</f>
        <v/>
      </c>
      <c r="BE9" s="238">
        <f>COUNTIF(A9:AI9,"*$BTP*")</f>
        <v/>
      </c>
      <c r="BF9" s="238">
        <f>BE9*1.5</f>
        <v/>
      </c>
      <c r="BG9" s="238">
        <f>COUNTIF(A9:AI9,"*$M*")</f>
        <v/>
      </c>
      <c r="BH9" s="238">
        <f>BG9*1</f>
        <v/>
      </c>
      <c r="BI9" s="238">
        <f>COUNTIF(A9:AI9,"*$PM*")</f>
        <v/>
      </c>
      <c r="BJ9" s="238">
        <f>BI9*0.5</f>
        <v/>
      </c>
      <c r="BK9" s="238">
        <f>COUNTIF(A9:AI9,"*$AM*")</f>
        <v/>
      </c>
      <c r="BL9" s="238">
        <f>BK9*0.5</f>
        <v/>
      </c>
      <c r="BM9" s="238">
        <f>COUNTIF(A9:AI9,"*$FC*")</f>
        <v/>
      </c>
      <c r="BN9" s="238">
        <f>BM9*1</f>
        <v/>
      </c>
      <c r="BO9" s="238">
        <f>COUNTIF($D9:$AA9,BO$4)</f>
        <v/>
      </c>
      <c r="BP9" s="238">
        <f>COUNTIF($D9:$AA9,BP$4)</f>
        <v/>
      </c>
      <c r="BQ9" s="238">
        <f>COUNTIF($D9:$AA9,BQ$4)</f>
        <v/>
      </c>
      <c r="BR9" s="240" t="n"/>
    </row>
    <row r="10" ht="19.5" customHeight="1">
      <c r="A10" s="233" t="n"/>
      <c r="B10" s="191" t="inlineStr">
        <is>
          <t>LCP WONG JI FENG WILLARD</t>
        </is>
      </c>
      <c r="C10" s="75" t="inlineStr">
        <is>
          <t>DM</t>
        </is>
      </c>
      <c r="D10" s="75" t="inlineStr">
        <is>
          <t>RESERVE</t>
        </is>
      </c>
      <c r="E10" s="53" t="n"/>
      <c r="F10" s="75" t="inlineStr">
        <is>
          <t>SCH 1 $AM GX PHASE 1 (0400-1200)</t>
        </is>
      </c>
      <c r="G10" s="137" t="n"/>
      <c r="H10" s="1" t="inlineStr">
        <is>
          <t>DM</t>
        </is>
      </c>
      <c r="I10" s="53" t="n"/>
      <c r="J10" s="137" t="n"/>
      <c r="K10" s="137" t="n"/>
      <c r="L10" s="75" t="n"/>
      <c r="M10" s="137" t="inlineStr">
        <is>
          <t>SB2</t>
        </is>
      </c>
      <c r="N10" s="53" t="inlineStr">
        <is>
          <t>CS2</t>
        </is>
      </c>
      <c r="O10" s="75" t="n"/>
      <c r="P10" s="75" t="inlineStr">
        <is>
          <t>CS1</t>
        </is>
      </c>
      <c r="Q10" s="75" t="n"/>
      <c r="S10" s="75" t="n"/>
      <c r="T10" s="137" t="n"/>
      <c r="U10" s="75" t="n"/>
      <c r="V10" s="75" t="n"/>
      <c r="W10" s="75" t="inlineStr">
        <is>
          <t>CS1</t>
        </is>
      </c>
      <c r="X10" s="75" t="n"/>
      <c r="Y10" s="53" t="inlineStr">
        <is>
          <t>SB2</t>
        </is>
      </c>
      <c r="Z10" s="75" t="n"/>
      <c r="AA10" s="75" t="inlineStr">
        <is>
          <t>DM</t>
        </is>
      </c>
      <c r="AB10" s="75" t="n"/>
      <c r="AC10" s="75" t="inlineStr">
        <is>
          <t>OL</t>
        </is>
      </c>
      <c r="AD10" s="75" t="inlineStr">
        <is>
          <t>OL</t>
        </is>
      </c>
      <c r="AE10" s="75" t="inlineStr">
        <is>
          <t>OL</t>
        </is>
      </c>
      <c r="AF10" s="75" t="inlineStr">
        <is>
          <t>OL</t>
        </is>
      </c>
      <c r="AG10" s="75" t="inlineStr">
        <is>
          <t>SB2</t>
        </is>
      </c>
      <c r="AH10" s="197" t="n"/>
      <c r="AI10" s="237">
        <f>COUNTIF($C10:$AG10,AI$4)</f>
        <v/>
      </c>
      <c r="AJ10" s="237">
        <f>COUNTIF($C10:$AG10,AJ$4)</f>
        <v/>
      </c>
      <c r="AK10" s="237">
        <f>COUNTIF($C10:$AG10,AK$4)</f>
        <v/>
      </c>
      <c r="AL10" s="237">
        <f>COUNTIF($C10:$AG10,AL$4)</f>
        <v/>
      </c>
      <c r="AM10" s="237">
        <f>COUNTIF($C10:$AG10,AM$4)</f>
        <v/>
      </c>
      <c r="AN10" s="237">
        <f>COUNTIF($C10:$AG10,AN$4)</f>
        <v/>
      </c>
      <c r="AO10" s="237">
        <f>COUNTIF($C10:$AG10,AO$4)</f>
        <v/>
      </c>
      <c r="AP10" s="237">
        <f>COUNTIF($C10:$AG10,AP$4)</f>
        <v/>
      </c>
      <c r="AQ10" s="237">
        <f>COUNTIF($C10:$AG10,AQ$4)</f>
        <v/>
      </c>
      <c r="AR10" s="238" t="n"/>
      <c r="AS10" s="239" t="n"/>
      <c r="AT10" s="239" t="n">
        <v>8</v>
      </c>
      <c r="AU10" s="238">
        <f>SUMPRODUCT(--(WEEKDAY(C$3:AG$3,2)&lt;5),--ISNUMBER(MATCH(C10:AG10,{"DM","CS1","CS2","SB1","AE","CS/B"},0)))</f>
        <v/>
      </c>
      <c r="AV10" s="238" t="n"/>
      <c r="AW10" s="238">
        <f>SUMPRODUCT(--(WEEKDAY(C$3:AG$3,2)=5),--ISNUMBER(MATCH(C10:AG10,{"DM","CS1","CS2","SB1","AE","CS/B"},0)))</f>
        <v/>
      </c>
      <c r="AX10" s="238">
        <f>SUMPRODUCT(--(WEEKDAY(C$3:AG$3,2)&gt;5),--ISNUMBER(MATCH(C10:AG10,{"DM","CS1","CS2","SB1","AE","CS/B"},0)))</f>
        <v/>
      </c>
      <c r="AY10" s="238" t="n"/>
      <c r="AZ10" s="238">
        <f>(AU10-AV10)+AW10*1.5+(AX10-AY10)*2+AN10*0.5+AP10*0.5+AS10-AT10</f>
        <v/>
      </c>
      <c r="BA10" s="238">
        <f>AU10+AW10+AX10</f>
        <v/>
      </c>
      <c r="BB10" s="238">
        <f>BE10+BG10+BI10+BK10+BM10</f>
        <v/>
      </c>
      <c r="BC10" s="239">
        <f>AZ10+BD10</f>
        <v/>
      </c>
      <c r="BD10" s="238">
        <f>BF10+BH10+BJ10+BL10+BN10</f>
        <v/>
      </c>
      <c r="BE10" s="238">
        <f>COUNTIF(A10:AI10,"*$BTP*")</f>
        <v/>
      </c>
      <c r="BF10" s="238">
        <f>BE10*1.5</f>
        <v/>
      </c>
      <c r="BG10" s="238">
        <f>COUNTIF(A10:AI10,"*$M*")</f>
        <v/>
      </c>
      <c r="BH10" s="238">
        <f>BG10*1</f>
        <v/>
      </c>
      <c r="BI10" s="238">
        <f>COUNTIF(A10:AI10,"*$PM*")</f>
        <v/>
      </c>
      <c r="BJ10" s="238">
        <f>BI10*0.5</f>
        <v/>
      </c>
      <c r="BK10" s="238">
        <f>COUNTIF(A10:AI10,"*$AM*")</f>
        <v/>
      </c>
      <c r="BL10" s="238">
        <f>BK10*0.5</f>
        <v/>
      </c>
      <c r="BM10" s="238">
        <f>COUNTIF(A10:AI10,"*$FC*")</f>
        <v/>
      </c>
      <c r="BN10" s="238">
        <f>BM10*1</f>
        <v/>
      </c>
      <c r="BO10" s="238">
        <f>COUNTIF($D10:$AA10,BO$4)</f>
        <v/>
      </c>
      <c r="BP10" s="238">
        <f>COUNTIF($D10:$AA10,BP$4)</f>
        <v/>
      </c>
      <c r="BQ10" s="238">
        <f>COUNTIF($D10:$AA10,BQ$4)</f>
        <v/>
      </c>
      <c r="BR10" s="240" t="n"/>
    </row>
    <row r="11" ht="19.5" customHeight="1">
      <c r="A11" s="233" t="n"/>
      <c r="B11" s="185" t="inlineStr">
        <is>
          <t xml:space="preserve">PTE KOO YI XIAN RAPHAEL </t>
        </is>
      </c>
      <c r="C11" s="137" t="n"/>
      <c r="D11" s="137" t="n"/>
      <c r="E11" s="137" t="inlineStr">
        <is>
          <t>CS2</t>
        </is>
      </c>
      <c r="G11" s="136" t="inlineStr">
        <is>
          <t>GP</t>
        </is>
      </c>
      <c r="H11" s="136" t="inlineStr">
        <is>
          <t>GP</t>
        </is>
      </c>
      <c r="I11" s="1" t="inlineStr">
        <is>
          <t>GP $M</t>
        </is>
      </c>
      <c r="J11" s="137" t="n"/>
      <c r="K11" s="137" t="n"/>
      <c r="L11" s="137" t="inlineStr">
        <is>
          <t>CS2</t>
        </is>
      </c>
      <c r="M11" s="137" t="n"/>
      <c r="O11" s="53" t="n"/>
      <c r="P11" s="137" t="inlineStr">
        <is>
          <t>RESERVE</t>
        </is>
      </c>
      <c r="Q11" s="137" t="n"/>
      <c r="R11" s="137" t="inlineStr">
        <is>
          <t>SB2</t>
        </is>
      </c>
      <c r="T11" s="137" t="n"/>
      <c r="U11" s="75" t="inlineStr">
        <is>
          <t>CS1</t>
        </is>
      </c>
      <c r="V11" s="137" t="inlineStr">
        <is>
          <t>RESERVE</t>
        </is>
      </c>
      <c r="W11" s="137" t="n"/>
      <c r="X11" s="137" t="inlineStr">
        <is>
          <t>CS2</t>
        </is>
      </c>
      <c r="Y11" s="137" t="n"/>
      <c r="Z11" s="137" t="n"/>
      <c r="AA11" s="137" t="n"/>
      <c r="AB11" s="137" t="n"/>
      <c r="AC11" s="137" t="inlineStr">
        <is>
          <t>OL</t>
        </is>
      </c>
      <c r="AD11" s="137" t="inlineStr">
        <is>
          <t>OL</t>
        </is>
      </c>
      <c r="AE11" s="137" t="inlineStr">
        <is>
          <t>OL</t>
        </is>
      </c>
      <c r="AF11" s="137" t="inlineStr">
        <is>
          <t>OL</t>
        </is>
      </c>
      <c r="AG11" s="137" t="n"/>
      <c r="AH11" s="197" t="n"/>
      <c r="AI11" s="237">
        <f>COUNTIF($C11:$AG11,AI$4)</f>
        <v/>
      </c>
      <c r="AJ11" s="237">
        <f>COUNTIF($C11:$AG11,AJ$4)</f>
        <v/>
      </c>
      <c r="AK11" s="237">
        <f>COUNTIF($C11:$AG11,AK$4)</f>
        <v/>
      </c>
      <c r="AL11" s="237">
        <f>COUNTIF($C11:$AG11,AL$4)</f>
        <v/>
      </c>
      <c r="AM11" s="237">
        <f>COUNTIF($C11:$AG11,AM$4)</f>
        <v/>
      </c>
      <c r="AN11" s="237">
        <f>COUNTIF($C11:$AG11,AN$4)</f>
        <v/>
      </c>
      <c r="AO11" s="237">
        <f>COUNTIF($C11:$AG11,AO$4)</f>
        <v/>
      </c>
      <c r="AP11" s="237">
        <f>COUNTIF($C11:$AG11,AP$4)</f>
        <v/>
      </c>
      <c r="AQ11" s="237">
        <f>COUNTIF($C11:$AG11,AQ$4)</f>
        <v/>
      </c>
      <c r="AR11" s="238" t="n"/>
      <c r="AS11" s="239" t="n">
        <v>0.5</v>
      </c>
      <c r="AT11" s="239" t="n"/>
      <c r="AU11" s="238">
        <f>SUMPRODUCT(--(WEEKDAY(C$3:AG$3,2)&lt;5),--ISNUMBER(MATCH(C11:AG11,{"DM","CS1","CS2","SB1","AE","CS/B"},0)))</f>
        <v/>
      </c>
      <c r="AV11" s="238" t="n"/>
      <c r="AW11" s="238">
        <f>SUMPRODUCT(--(WEEKDAY(C$3:AG$3,2)=5),--ISNUMBER(MATCH(C11:AG11,{"DM","CS1","CS2","SB1","AE","CS/B"},0)))</f>
        <v/>
      </c>
      <c r="AX11" s="238">
        <f>SUMPRODUCT(--(WEEKDAY(C$3:AG$3,2)&gt;5),--ISNUMBER(MATCH(C11:AG11,{"DM","CS1","CS2","SB1","AE","CS/B"},0)))</f>
        <v/>
      </c>
      <c r="AY11" s="238" t="n"/>
      <c r="AZ11" s="238">
        <f>(AU11-AV11)+AW11*1.5+(AX11-AY11)*2+AN11*0.5+AP11*0.5+AS11-AT11</f>
        <v/>
      </c>
      <c r="BA11" s="238">
        <f>AU11+AW11+AX11</f>
        <v/>
      </c>
      <c r="BB11" s="238">
        <f>BE11+BG11+BI11+BK11+BM11</f>
        <v/>
      </c>
      <c r="BC11" s="239">
        <f>AZ11+BD11</f>
        <v/>
      </c>
      <c r="BD11" s="238">
        <f>BF11+BH11+BJ11+BL11+BN11</f>
        <v/>
      </c>
      <c r="BE11" s="238">
        <f>COUNTIF(A11:AI11,"*$BTP*")</f>
        <v/>
      </c>
      <c r="BF11" s="238">
        <f>BE11*1.5</f>
        <v/>
      </c>
      <c r="BG11" s="238">
        <f>COUNTIF(A11:AI11,"*$M*")</f>
        <v/>
      </c>
      <c r="BH11" s="238">
        <f>BG11*1</f>
        <v/>
      </c>
      <c r="BI11" s="238">
        <f>COUNTIF(A11:AI11,"*$PM*")</f>
        <v/>
      </c>
      <c r="BJ11" s="238">
        <f>BI11*0.5</f>
        <v/>
      </c>
      <c r="BK11" s="238">
        <f>COUNTIF(A11:AI11,"*$AM*")</f>
        <v/>
      </c>
      <c r="BL11" s="238">
        <f>BK11*0.5</f>
        <v/>
      </c>
      <c r="BM11" s="238">
        <f>COUNTIF(A11:AI11,"*$FC*")</f>
        <v/>
      </c>
      <c r="BN11" s="238">
        <f>BM11*1</f>
        <v/>
      </c>
      <c r="BO11" s="238">
        <f>COUNTIF($D11:$AA11,BO$4)</f>
        <v/>
      </c>
      <c r="BP11" s="238">
        <f>COUNTIF($D11:$AA11,BP$4)</f>
        <v/>
      </c>
      <c r="BQ11" s="238">
        <f>COUNTIF($D11:$AA11,BQ$4)</f>
        <v/>
      </c>
      <c r="BR11" s="240" t="n"/>
    </row>
    <row r="12" hidden="1" ht="46.5" customHeight="1">
      <c r="A12" s="233" t="n"/>
      <c r="B12" s="185" t="inlineStr">
        <is>
          <t xml:space="preserve">CPL SEE WEI ZHI </t>
        </is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197" t="n"/>
      <c r="AI12" s="237">
        <f>COUNTIF($C12:$AG12,AI$4)</f>
        <v/>
      </c>
      <c r="AJ12" s="237">
        <f>COUNTIF($C12:$AG12,AJ$4)</f>
        <v/>
      </c>
      <c r="AK12" s="237">
        <f>COUNTIF($C12:$AG12,AK$4)</f>
        <v/>
      </c>
      <c r="AL12" s="237">
        <f>COUNTIF($C12:$AG12,AL$4)</f>
        <v/>
      </c>
      <c r="AM12" s="237">
        <f>COUNTIF($C12:$AG12,AM$4)</f>
        <v/>
      </c>
      <c r="AN12" s="237">
        <f>COUNTIF($C12:$AG12,AN$4)</f>
        <v/>
      </c>
      <c r="AO12" s="237">
        <f>COUNTIF($C12:$AG12,AO$4)</f>
        <v/>
      </c>
      <c r="AP12" s="237">
        <f>COUNTIF($C12:$AG12,AP$4)</f>
        <v/>
      </c>
      <c r="AQ12" s="237">
        <f>COUNTIF($C12:$AG12,AQ$4)</f>
        <v/>
      </c>
      <c r="AR12" s="238" t="n"/>
      <c r="AS12" s="239" t="n"/>
      <c r="AT12" s="239" t="n"/>
      <c r="AU12" s="238">
        <f>SUMPRODUCT(--(WEEKDAY(C$3:AG$3,2)&lt;5),--ISNUMBER(MATCH(C12:AG12,{"DM","CS1","CS2","SB1","AE","CS/B"},0)))</f>
        <v/>
      </c>
      <c r="AV12" s="238" t="n"/>
      <c r="AW12" s="238">
        <f>SUMPRODUCT(--(WEEKDAY(C$3:AG$3,2)=5),--ISNUMBER(MATCH(C12:AG12,{"DM","CS1","CS2","SB1","AE","CS/B"},0)))</f>
        <v/>
      </c>
      <c r="AX12" s="238">
        <f>SUMPRODUCT(--(WEEKDAY(C$3:AG$3,2)&gt;5),--ISNUMBER(MATCH(C12:AG12,{"DM","CS1","CS2","SB1","AE","CS/B"},0)))</f>
        <v/>
      </c>
      <c r="AY12" s="238" t="n"/>
      <c r="AZ12" s="238">
        <f>(AU12-AV12)+AW12*1.5+(AX12-AY12)*2+AN12*0.5+AP12*0.5+AS12-AT12</f>
        <v/>
      </c>
      <c r="BA12" s="238">
        <f>AU12+AW12+AX12</f>
        <v/>
      </c>
      <c r="BB12" s="238">
        <f>BE12+BG12+BI12+BK12+BM12</f>
        <v/>
      </c>
      <c r="BC12" s="239">
        <f>AZ12+BD12</f>
        <v/>
      </c>
      <c r="BD12" s="238">
        <f>BF12+BH12+BJ12+BL12+BN12</f>
        <v/>
      </c>
      <c r="BE12" s="238">
        <f>COUNTIF(A12:AI12,"*$BTP*")</f>
        <v/>
      </c>
      <c r="BF12" s="238">
        <f>BE12*1.5</f>
        <v/>
      </c>
      <c r="BG12" s="238">
        <f>COUNTIF(A12:AI12,"*$M*")</f>
        <v/>
      </c>
      <c r="BH12" s="238">
        <f>BG12*1</f>
        <v/>
      </c>
      <c r="BI12" s="238">
        <f>COUNTIF(A12:AI12,"*$PM*")</f>
        <v/>
      </c>
      <c r="BJ12" s="238">
        <f>BI12*0.5</f>
        <v/>
      </c>
      <c r="BK12" s="238">
        <f>COUNTIF(A12:AI12,"*$AM*")</f>
        <v/>
      </c>
      <c r="BL12" s="238">
        <f>BK12*0.5</f>
        <v/>
      </c>
      <c r="BM12" s="238">
        <f>COUNTIF(A12:AI12,"*$FC*")</f>
        <v/>
      </c>
      <c r="BN12" s="238">
        <f>BM12*1</f>
        <v/>
      </c>
      <c r="BO12" s="238">
        <f>COUNTIF($D12:$AA12,BO$4)</f>
        <v/>
      </c>
      <c r="BP12" s="238">
        <f>COUNTIF($D12:$AA12,BP$4)</f>
        <v/>
      </c>
      <c r="BQ12" s="238">
        <f>COUNTIF($D12:$AA12,BQ$4)</f>
        <v/>
      </c>
      <c r="BR12" s="240" t="n"/>
    </row>
    <row r="13" ht="19.5" customHeight="1">
      <c r="A13" s="233" t="n"/>
      <c r="B13" s="185" t="inlineStr">
        <is>
          <t>SCT SAMUEL TAN ENG WEE</t>
        </is>
      </c>
      <c r="C13" s="137" t="n"/>
      <c r="D13" s="137" t="inlineStr">
        <is>
          <t>PM MA</t>
        </is>
      </c>
      <c r="E13" s="137" t="n"/>
      <c r="F13" s="75" t="inlineStr">
        <is>
          <t>SB2</t>
        </is>
      </c>
      <c r="G13" s="75" t="inlineStr">
        <is>
          <t>CS1</t>
        </is>
      </c>
      <c r="H13" s="137" t="n"/>
      <c r="I13" s="137" t="n"/>
      <c r="J13" s="137" t="inlineStr">
        <is>
          <t>RESERVE</t>
        </is>
      </c>
      <c r="K13" s="137" t="inlineStr">
        <is>
          <t>SB2</t>
        </is>
      </c>
      <c r="L13" s="136" t="n"/>
      <c r="M13" s="137" t="n"/>
      <c r="N13" s="137" t="n"/>
      <c r="O13" s="137" t="inlineStr">
        <is>
          <t>CS1</t>
        </is>
      </c>
      <c r="P13" s="137" t="n"/>
      <c r="Q13" s="137" t="n"/>
      <c r="R13" s="137" t="n"/>
      <c r="S13" s="137" t="inlineStr">
        <is>
          <t>CS1</t>
        </is>
      </c>
      <c r="U13" s="137" t="n"/>
      <c r="V13" s="137" t="n"/>
      <c r="W13" s="137" t="inlineStr">
        <is>
          <t>RESERVE</t>
        </is>
      </c>
      <c r="X13" s="137" t="n"/>
      <c r="Y13" s="137" t="n"/>
      <c r="AA13" s="137" t="inlineStr">
        <is>
          <t>ADMIN SPEC CADET COURSE</t>
        </is>
      </c>
      <c r="AB13" s="137" t="inlineStr">
        <is>
          <t>ADMIN SPEC CADET COURSE</t>
        </is>
      </c>
      <c r="AC13" s="137" t="inlineStr">
        <is>
          <t>ADMIN SPEC CADET COURSE</t>
        </is>
      </c>
      <c r="AD13" s="137" t="inlineStr">
        <is>
          <t>CS2</t>
        </is>
      </c>
      <c r="AE13" s="137" t="n"/>
      <c r="AF13" s="137" t="inlineStr">
        <is>
          <t>ADMIN SPEC CADET COURSE</t>
        </is>
      </c>
      <c r="AG13" s="137" t="inlineStr">
        <is>
          <t>ADMIN SPEC CADET COURSE</t>
        </is>
      </c>
      <c r="AH13" s="197" t="n"/>
      <c r="AI13" s="237">
        <f>COUNTIF($C13:$AG13,AI$4)</f>
        <v/>
      </c>
      <c r="AJ13" s="237">
        <f>COUNTIF($C13:$AG13,AJ$4)</f>
        <v/>
      </c>
      <c r="AK13" s="237">
        <f>COUNTIF($C13:$AG13,AK$4)</f>
        <v/>
      </c>
      <c r="AL13" s="237">
        <f>COUNTIF($C13:$AG13,AL$4)</f>
        <v/>
      </c>
      <c r="AM13" s="237">
        <f>COUNTIF($C13:$AG13,AM$4)</f>
        <v/>
      </c>
      <c r="AN13" s="237">
        <f>COUNTIF($C13:$AG13,AN$4)</f>
        <v/>
      </c>
      <c r="AO13" s="237">
        <f>COUNTIF($C13:$AG13,AO$4)</f>
        <v/>
      </c>
      <c r="AP13" s="237">
        <f>COUNTIF($C13:$AG13,AP$4)</f>
        <v/>
      </c>
      <c r="AQ13" s="237">
        <f>COUNTIF($C13:$AG13,AQ$4)</f>
        <v/>
      </c>
      <c r="AR13" s="238" t="n"/>
      <c r="AS13" s="239" t="n">
        <v>1</v>
      </c>
      <c r="AT13" s="239" t="n"/>
      <c r="AU13" s="238">
        <f>SUMPRODUCT(--(WEEKDAY(C$3:AG$3,2)&lt;5),--ISNUMBER(MATCH(C13:AG13,{"DM","CS1","CS2","SB1","AE","CS/B"},0)))</f>
        <v/>
      </c>
      <c r="AV13" s="238" t="n"/>
      <c r="AW13" s="238">
        <f>SUMPRODUCT(--(WEEKDAY(C$3:AG$3,2)=5),--ISNUMBER(MATCH(C13:AG13,{"DM","CS1","CS2","SB1","AE","CS/B"},0)))</f>
        <v/>
      </c>
      <c r="AX13" s="238">
        <f>SUMPRODUCT(--(WEEKDAY(C$3:AG$3,2)&gt;5),--ISNUMBER(MATCH(C13:AG13,{"DM","CS1","CS2","SB1","AE","CS/B"},0)))</f>
        <v/>
      </c>
      <c r="AY13" s="238" t="n"/>
      <c r="AZ13" s="238">
        <f>(AU13-AV13)+AW13*1.5+(AX13-AY13)*2+AN13*0.5+AP13*0.5+AS13-AT13</f>
        <v/>
      </c>
      <c r="BA13" s="238">
        <f>AU13+AW13+AX13</f>
        <v/>
      </c>
      <c r="BB13" s="238">
        <f>BE13+BG13+BI13+BK13+BM13</f>
        <v/>
      </c>
      <c r="BC13" s="239">
        <f>AZ13+BD13</f>
        <v/>
      </c>
      <c r="BD13" s="238">
        <f>BF13+BH13+BJ13+BL13+BN13</f>
        <v/>
      </c>
      <c r="BE13" s="238">
        <f>COUNTIF(A13:AI13,"*$BTP*")</f>
        <v/>
      </c>
      <c r="BF13" s="238">
        <f>BE13*1.5</f>
        <v/>
      </c>
      <c r="BG13" s="238">
        <f>COUNTIF(A13:AI13,"*$M*")</f>
        <v/>
      </c>
      <c r="BH13" s="238">
        <f>BG13*1</f>
        <v/>
      </c>
      <c r="BI13" s="238">
        <f>COUNTIF(A13:AI13,"*$PM*")</f>
        <v/>
      </c>
      <c r="BJ13" s="238">
        <f>BI13*0.5</f>
        <v/>
      </c>
      <c r="BK13" s="238">
        <f>COUNTIF(A13:AI13,"*$AM*")</f>
        <v/>
      </c>
      <c r="BL13" s="238">
        <f>BK13*0.5</f>
        <v/>
      </c>
      <c r="BM13" s="238">
        <f>COUNTIF(A13:AI13,"*$FC*")</f>
        <v/>
      </c>
      <c r="BN13" s="238">
        <f>BM13*1</f>
        <v/>
      </c>
      <c r="BO13" s="238">
        <f>COUNTIF($D13:$AA13,BO$4)</f>
        <v/>
      </c>
      <c r="BP13" s="238">
        <f>COUNTIF($D13:$AA13,BP$4)</f>
        <v/>
      </c>
      <c r="BQ13" s="238">
        <f>COUNTIF($D13:$AA13,BQ$4)</f>
        <v/>
      </c>
      <c r="BR13" s="240" t="n"/>
    </row>
    <row r="14" ht="51" customHeight="1">
      <c r="A14" s="233" t="n"/>
      <c r="B14" s="191" t="inlineStr">
        <is>
          <t>LCP MATTHEW HWANG YEW SENG</t>
        </is>
      </c>
      <c r="C14" s="75" t="n"/>
      <c r="D14" s="75" t="inlineStr">
        <is>
          <t>SB2</t>
        </is>
      </c>
      <c r="E14" s="75" t="n"/>
      <c r="H14" s="75" t="inlineStr">
        <is>
          <t>CS2</t>
        </is>
      </c>
      <c r="I14" s="75" t="n"/>
      <c r="J14" s="53" t="n"/>
      <c r="K14" s="75" t="inlineStr">
        <is>
          <t>RESERVE</t>
        </is>
      </c>
      <c r="L14" s="75" t="n"/>
      <c r="M14" s="75" t="inlineStr">
        <is>
          <t>CS1</t>
        </is>
      </c>
      <c r="N14" s="75" t="n"/>
      <c r="O14" s="75" t="n"/>
      <c r="P14" s="75" t="inlineStr">
        <is>
          <t>CS2</t>
        </is>
      </c>
      <c r="Q14" s="75" t="n"/>
      <c r="R14" s="241" t="n"/>
      <c r="S14" s="241" t="n"/>
      <c r="T14" s="241" t="n"/>
      <c r="U14" s="241" t="n"/>
      <c r="V14" s="75" t="inlineStr">
        <is>
          <t>SB2</t>
        </is>
      </c>
      <c r="W14" s="75" t="n"/>
      <c r="X14" s="241" t="n"/>
      <c r="Y14" s="241" t="n"/>
      <c r="AA14" s="75" t="inlineStr">
        <is>
          <t>CS2</t>
        </is>
      </c>
      <c r="AB14" s="75" t="n"/>
      <c r="AC14" s="1" t="inlineStr">
        <is>
          <t xml:space="preserve">COVER RESERVE </t>
        </is>
      </c>
      <c r="AD14" s="241" t="n"/>
      <c r="AE14" s="75" t="inlineStr">
        <is>
          <t>RESERVE</t>
        </is>
      </c>
      <c r="AF14" s="75" t="n"/>
      <c r="AG14" s="241" t="n"/>
      <c r="AH14" s="197" t="n"/>
      <c r="AI14" s="237">
        <f>COUNTIF($C14:$AG14,AI$4)</f>
        <v/>
      </c>
      <c r="AJ14" s="237">
        <f>COUNTIF($C14:$AG14,AJ$4)</f>
        <v/>
      </c>
      <c r="AK14" s="237">
        <f>COUNTIF($C14:$AG14,AK$4)</f>
        <v/>
      </c>
      <c r="AL14" s="237">
        <f>COUNTIF($C14:$AG14,AL$4)</f>
        <v/>
      </c>
      <c r="AM14" s="237">
        <f>COUNTIF($C14:$AG14,AM$4)</f>
        <v/>
      </c>
      <c r="AN14" s="237">
        <f>COUNTIF($C14:$AG14,AN$4)</f>
        <v/>
      </c>
      <c r="AO14" s="237">
        <f>COUNTIF($C14:$AG14,AO$4)</f>
        <v/>
      </c>
      <c r="AP14" s="237">
        <f>COUNTIF($C14:$AG14,AP$4)</f>
        <v/>
      </c>
      <c r="AQ14" s="237">
        <f>COUNTIF($C14:$AG14,AQ$4)</f>
        <v/>
      </c>
      <c r="AR14" s="238" t="n"/>
      <c r="AS14" s="239" t="n"/>
      <c r="AT14" s="239" t="n">
        <v>0.5</v>
      </c>
      <c r="AU14" s="238">
        <f>SUMPRODUCT(--(WEEKDAY(C$3:AG$3,2)&lt;5),--ISNUMBER(MATCH(C14:AG14,{"DM","CS1","CS2","SB1","AE","CS/B"},0)))</f>
        <v/>
      </c>
      <c r="AV14" s="238" t="n"/>
      <c r="AW14" s="238">
        <f>SUMPRODUCT(--(WEEKDAY(C$3:AG$3,2)=5),--ISNUMBER(MATCH(C14:AG14,{"DM","CS1","CS2","SB1","AE","CS/B"},0)))</f>
        <v/>
      </c>
      <c r="AX14" s="238">
        <f>SUMPRODUCT(--(WEEKDAY(C$3:AG$3,2)&gt;5),--ISNUMBER(MATCH(C14:AG14,{"DM","CS1","CS2","SB1","AE","CS/B"},0)))</f>
        <v/>
      </c>
      <c r="AY14" s="238" t="n"/>
      <c r="AZ14" s="238">
        <f>(AU14-AV14)+AW14*1.5+(AX14-AY14)*2+AN14*0.5+AP14*0.5+AS14-AT14</f>
        <v/>
      </c>
      <c r="BA14" s="238">
        <f>AU14+AW14+AX14</f>
        <v/>
      </c>
      <c r="BB14" s="238">
        <f>BE14+BG14+BI14+BK14+BM14</f>
        <v/>
      </c>
      <c r="BC14" s="239">
        <f>AZ14+BD14</f>
        <v/>
      </c>
      <c r="BD14" s="238">
        <f>BF14+BH14+BJ14+BL14+BN14</f>
        <v/>
      </c>
      <c r="BE14" s="238">
        <f>COUNTIF(A14:AI14,"*$BTP*")</f>
        <v/>
      </c>
      <c r="BF14" s="238">
        <f>BE14*1.5</f>
        <v/>
      </c>
      <c r="BG14" s="238">
        <f>COUNTIF(A14:AI14,"*$M*")</f>
        <v/>
      </c>
      <c r="BH14" s="238">
        <f>BG14*1</f>
        <v/>
      </c>
      <c r="BI14" s="238">
        <f>COUNTIF(A14:AI14,"*$PM*")</f>
        <v/>
      </c>
      <c r="BJ14" s="238">
        <f>BI14*0.5</f>
        <v/>
      </c>
      <c r="BK14" s="238">
        <f>COUNTIF(A14:AI14,"*$AM*")</f>
        <v/>
      </c>
      <c r="BL14" s="238">
        <f>BK14*0.5</f>
        <v/>
      </c>
      <c r="BM14" s="238">
        <f>COUNTIF(A14:AI14,"*$FC*")</f>
        <v/>
      </c>
      <c r="BN14" s="238">
        <f>BM14*1</f>
        <v/>
      </c>
      <c r="BO14" s="238">
        <f>COUNTIF($D14:$AA14,BO$4)</f>
        <v/>
      </c>
      <c r="BP14" s="238">
        <f>COUNTIF($D14:$AA14,BP$4)</f>
        <v/>
      </c>
      <c r="BQ14" s="238">
        <f>COUNTIF($D14:$AA14,BQ$4)</f>
        <v/>
      </c>
      <c r="BR14" s="240" t="n"/>
    </row>
    <row r="15" ht="45" customHeight="1">
      <c r="A15" s="233" t="n"/>
      <c r="B15" s="191" t="inlineStr">
        <is>
          <t xml:space="preserve">PTE IGNATIUS QUEK </t>
        </is>
      </c>
      <c r="C15" s="137" t="n"/>
      <c r="D15" s="137" t="n"/>
      <c r="E15" s="137" t="n"/>
      <c r="F15" s="137" t="inlineStr">
        <is>
          <t>GX $PM</t>
        </is>
      </c>
      <c r="G15" s="137" t="inlineStr">
        <is>
          <t>GX</t>
        </is>
      </c>
      <c r="H15" s="137" t="n"/>
      <c r="I15" s="244" t="n"/>
      <c r="J15" s="75" t="n"/>
      <c r="K15" s="137" t="n"/>
      <c r="L15" s="137" t="inlineStr">
        <is>
          <t>CS1</t>
        </is>
      </c>
      <c r="M15" s="137" t="n"/>
      <c r="N15" s="137" t="n"/>
      <c r="O15" s="244" t="inlineStr">
        <is>
          <t>PM MA</t>
        </is>
      </c>
      <c r="P15" s="137" t="n"/>
      <c r="Q15" s="137" t="inlineStr">
        <is>
          <t>CS1</t>
        </is>
      </c>
      <c r="R15" s="137" t="n"/>
      <c r="T15" s="137" t="n"/>
      <c r="U15" s="137" t="n"/>
      <c r="V15" s="137" t="inlineStr">
        <is>
          <t>CS2</t>
        </is>
      </c>
      <c r="W15" s="137" t="n"/>
      <c r="X15" s="137" t="n"/>
      <c r="Y15" s="244" t="inlineStr">
        <is>
          <t>AM MA</t>
        </is>
      </c>
      <c r="Z15" s="137" t="inlineStr">
        <is>
          <t>HQ $AM TPP IPPT (0600-1030)</t>
        </is>
      </c>
      <c r="AA15" s="75" t="inlineStr">
        <is>
          <t>AE</t>
        </is>
      </c>
      <c r="AB15" s="137" t="n"/>
      <c r="AD15" s="137" t="n"/>
      <c r="AE15" s="137" t="n"/>
      <c r="AF15" s="137" t="inlineStr">
        <is>
          <t>J $AM ER (0600-1100)</t>
        </is>
      </c>
      <c r="AH15" s="197" t="n"/>
      <c r="AI15" s="237">
        <f>COUNTIF($C15:$AF15,AI$4)</f>
        <v/>
      </c>
      <c r="AJ15" s="237">
        <f>COUNTIF($C15:$AF15,AJ$4)</f>
        <v/>
      </c>
      <c r="AK15" s="237">
        <f>COUNTIF($C15:$AF15,AK$4)</f>
        <v/>
      </c>
      <c r="AL15" s="237">
        <f>COUNTIF($C15:$AF15,AL$4)</f>
        <v/>
      </c>
      <c r="AM15" s="237">
        <f>COUNTIF($C15:$AF15,AM$4)</f>
        <v/>
      </c>
      <c r="AN15" s="237">
        <f>COUNTIF($C15:$AF15,AN$4)</f>
        <v/>
      </c>
      <c r="AO15" s="237">
        <f>COUNTIF($C15:$AF15,AO$4)</f>
        <v/>
      </c>
      <c r="AP15" s="237">
        <f>COUNTIF($C15:$AF15,AP$4)</f>
        <v/>
      </c>
      <c r="AQ15" s="237">
        <f>COUNTIF($C15:$AF15,AQ$4)</f>
        <v/>
      </c>
      <c r="AR15" s="238" t="n"/>
      <c r="AS15" s="239" t="n"/>
      <c r="AT15" s="239" t="n"/>
      <c r="AU15" s="238">
        <f>SUMPRODUCT(--(WEEKDAY(C$3:AG$3,2)&lt;5),--ISNUMBER(MATCH(C15:AG15,{"DM","CS1","CS2","SB1","AE","CS/B"},0)))</f>
        <v/>
      </c>
      <c r="AV15" s="238" t="n"/>
      <c r="AW15" s="238">
        <f>SUMPRODUCT(--(WEEKDAY(C$3:AG$3,2)=5),--ISNUMBER(MATCH(C15:AG15,{"DM","CS1","CS2","SB1","AE","CS/B"},0)))</f>
        <v/>
      </c>
      <c r="AX15" s="238">
        <f>SUMPRODUCT(--(WEEKDAY(C$3:AG$3,2)&gt;5),--ISNUMBER(MATCH(C15:AG15,{"DM","CS1","CS2","SB1","AE","CS/B"},0)))</f>
        <v/>
      </c>
      <c r="AY15" s="238" t="n"/>
      <c r="AZ15" s="238">
        <f>(AU15-AV15)+AW15*1.5+(AX15-AY15)*2+AN15*0.5+AP15*0.5+AS15-AT15</f>
        <v/>
      </c>
      <c r="BA15" s="238">
        <f>AU15+AW15+AX15</f>
        <v/>
      </c>
      <c r="BB15" s="238">
        <f>BE15+BG15+BI15+BK15+BM15</f>
        <v/>
      </c>
      <c r="BC15" s="239">
        <f>AZ15+BD15</f>
        <v/>
      </c>
      <c r="BD15" s="238">
        <f>BF15+BH15+BJ15+BL15+BN15</f>
        <v/>
      </c>
      <c r="BE15" s="238">
        <f>COUNTIF(A15:AI15,"*$BTP*")</f>
        <v/>
      </c>
      <c r="BF15" s="238">
        <f>BE15*1.5</f>
        <v/>
      </c>
      <c r="BG15" s="238">
        <f>COUNTIF(A15:AI15,"*$M*")</f>
        <v/>
      </c>
      <c r="BH15" s="238">
        <f>BG15*1</f>
        <v/>
      </c>
      <c r="BI15" s="238">
        <f>COUNTIF(A15:AI15,"*$PM*")</f>
        <v/>
      </c>
      <c r="BJ15" s="238">
        <f>BI15*0.5</f>
        <v/>
      </c>
      <c r="BK15" s="238">
        <f>COUNTIF(A15:AI15,"*$AM*")</f>
        <v/>
      </c>
      <c r="BL15" s="238">
        <f>BK15*0.5</f>
        <v/>
      </c>
      <c r="BM15" s="238">
        <f>COUNTIF(A15:AI15,"*$FC*")</f>
        <v/>
      </c>
      <c r="BN15" s="238">
        <f>BM15*1</f>
        <v/>
      </c>
      <c r="BO15" s="238">
        <f>COUNTIF($D15:$AA15,BO$4)</f>
        <v/>
      </c>
      <c r="BP15" s="238">
        <f>COUNTIF($D15:$AA15,BP$4)</f>
        <v/>
      </c>
      <c r="BQ15" s="238">
        <f>COUNTIF($D15:$AA15,BQ$4)</f>
        <v/>
      </c>
      <c r="BR15" s="240" t="n"/>
    </row>
    <row r="16" ht="47.25" customHeight="1">
      <c r="A16" s="233" t="n"/>
      <c r="B16" s="185" t="inlineStr">
        <is>
          <t>PTE MENDEZ RALPH JUSTINE MACALINO</t>
        </is>
      </c>
      <c r="C16" s="75" t="inlineStr">
        <is>
          <t>SERVE+</t>
        </is>
      </c>
      <c r="D16" s="75" t="inlineStr">
        <is>
          <t>SERVE+</t>
        </is>
      </c>
      <c r="E16" s="75" t="inlineStr">
        <is>
          <t>SERVE+</t>
        </is>
      </c>
      <c r="F16" s="75" t="inlineStr">
        <is>
          <t>SERVE+</t>
        </is>
      </c>
      <c r="G16" s="75" t="inlineStr">
        <is>
          <t>SERVE+</t>
        </is>
      </c>
      <c r="H16" s="75" t="inlineStr">
        <is>
          <t>SERVE+</t>
        </is>
      </c>
      <c r="I16" s="75" t="inlineStr">
        <is>
          <t>SERVE+</t>
        </is>
      </c>
      <c r="J16" s="75" t="inlineStr">
        <is>
          <t>SERVE+</t>
        </is>
      </c>
      <c r="K16" s="75" t="inlineStr">
        <is>
          <t>SERVE+</t>
        </is>
      </c>
      <c r="L16" s="75" t="inlineStr">
        <is>
          <t>SERVE+</t>
        </is>
      </c>
      <c r="M16" s="75" t="inlineStr">
        <is>
          <t>SERVE+</t>
        </is>
      </c>
      <c r="N16" s="75" t="inlineStr">
        <is>
          <t>SERVE+</t>
        </is>
      </c>
      <c r="O16" s="75" t="inlineStr">
        <is>
          <t>SERVE+</t>
        </is>
      </c>
      <c r="P16" s="75" t="inlineStr">
        <is>
          <t>SERVE+</t>
        </is>
      </c>
      <c r="Q16" s="75" t="inlineStr">
        <is>
          <t>SERVE+</t>
        </is>
      </c>
      <c r="R16" s="75" t="inlineStr">
        <is>
          <t>SERVE+</t>
        </is>
      </c>
      <c r="S16" s="75" t="inlineStr">
        <is>
          <t>SERVE+</t>
        </is>
      </c>
      <c r="T16" s="75" t="inlineStr">
        <is>
          <t>SERVE+</t>
        </is>
      </c>
      <c r="U16" s="75" t="inlineStr">
        <is>
          <t>SERVE+</t>
        </is>
      </c>
      <c r="V16" s="75" t="inlineStr">
        <is>
          <t>SERVE+</t>
        </is>
      </c>
      <c r="W16" s="75" t="inlineStr">
        <is>
          <t>SERVE+</t>
        </is>
      </c>
      <c r="X16" s="75" t="inlineStr">
        <is>
          <t>SERVE+</t>
        </is>
      </c>
      <c r="Y16" s="75" t="inlineStr">
        <is>
          <t>SERVE+</t>
        </is>
      </c>
      <c r="Z16" s="75" t="inlineStr">
        <is>
          <t>SERVE+</t>
        </is>
      </c>
      <c r="AA16" s="75" t="inlineStr">
        <is>
          <t>SERVE+</t>
        </is>
      </c>
      <c r="AB16" s="75" t="inlineStr">
        <is>
          <t>SERVE+</t>
        </is>
      </c>
      <c r="AC16" s="75" t="inlineStr">
        <is>
          <t>SERVE+</t>
        </is>
      </c>
      <c r="AD16" s="75" t="inlineStr">
        <is>
          <t>SERVE+</t>
        </is>
      </c>
      <c r="AE16" s="75" t="inlineStr">
        <is>
          <t>SERVE+</t>
        </is>
      </c>
      <c r="AF16" s="75" t="inlineStr">
        <is>
          <t>SERVE+</t>
        </is>
      </c>
      <c r="AG16" s="75" t="inlineStr">
        <is>
          <t>SERVE+</t>
        </is>
      </c>
      <c r="AH16" s="137" t="n"/>
      <c r="AI16" s="237">
        <f>COUNTIF($C16:$AG16,AI$4)</f>
        <v/>
      </c>
      <c r="AJ16" s="237">
        <f>COUNTIF($C16:$AG16,AJ$4)</f>
        <v/>
      </c>
      <c r="AK16" s="237">
        <f>COUNTIF($C16:$AG16,AK$4)</f>
        <v/>
      </c>
      <c r="AL16" s="237">
        <f>COUNTIF($C16:$AG16,AL$4)</f>
        <v/>
      </c>
      <c r="AM16" s="237">
        <f>COUNTIF($C16:$AG16,AM$4)</f>
        <v/>
      </c>
      <c r="AN16" s="237">
        <f>COUNTIF($C16:$AG16,AN$4)</f>
        <v/>
      </c>
      <c r="AO16" s="237">
        <f>COUNTIF($C16:$AG16,AO$4)</f>
        <v/>
      </c>
      <c r="AP16" s="237">
        <f>COUNTIF($C16:$AG16,AP$4)</f>
        <v/>
      </c>
      <c r="AQ16" s="237">
        <f>COUNTIF($C16:$AG16,AQ$4)</f>
        <v/>
      </c>
      <c r="AR16" s="238" t="n"/>
      <c r="AS16" s="239" t="n"/>
      <c r="AT16" s="239" t="n"/>
      <c r="AU16" s="238">
        <f>SUMPRODUCT(--(WEEKDAY(C$3:AG$3,2)&lt;5),--ISNUMBER(MATCH(C16:AG16,{"DM","CS1","CS2","SB1","AE","CS/B"},0)))</f>
        <v/>
      </c>
      <c r="AV16" s="238" t="n"/>
      <c r="AW16" s="238">
        <f>SUMPRODUCT(--(WEEKDAY(C$3:AG$3,2)=5),--ISNUMBER(MATCH(C16:AG16,{"DM","CS1","CS2","SB1","AE","CS/B"},0)))</f>
        <v/>
      </c>
      <c r="AX16" s="238">
        <f>SUMPRODUCT(--(WEEKDAY(C$3:AG$3,2)&gt;5),--ISNUMBER(MATCH(C16:AG16,{"DM","CS1","CS2","SB1","AE","CS/B"},0)))</f>
        <v/>
      </c>
      <c r="AY16" s="238" t="n"/>
      <c r="AZ16" s="238">
        <f>(AU16-AV16)+AW16*1.5+(AX16-AY16)*2+AN16*0.5+AP16*0.5+AS16-AT16</f>
        <v/>
      </c>
      <c r="BA16" s="238">
        <f>AU16+AW16+AX16</f>
        <v/>
      </c>
      <c r="BB16" s="238">
        <f>BE16+BG16+BI16+BK16+BM16</f>
        <v/>
      </c>
      <c r="BC16" s="239">
        <f>AZ16+BD16</f>
        <v/>
      </c>
      <c r="BD16" s="238">
        <f>BF16+BH16+BJ16+BL16+BN16</f>
        <v/>
      </c>
      <c r="BE16" s="238">
        <f>COUNTIF(A16:AI16,"*$BTP*")</f>
        <v/>
      </c>
      <c r="BF16" s="238">
        <f>BE16*1.5</f>
        <v/>
      </c>
      <c r="BG16" s="238">
        <f>COUNTIF(A16:AI16,"*$M*")</f>
        <v/>
      </c>
      <c r="BH16" s="238">
        <f>BG16*1</f>
        <v/>
      </c>
      <c r="BI16" s="238">
        <f>COUNTIF(A16:AI16,"*$PM*")</f>
        <v/>
      </c>
      <c r="BJ16" s="238">
        <f>BI16*0.5</f>
        <v/>
      </c>
      <c r="BK16" s="238">
        <f>COUNTIF(A16:AI16,"*$AM*")</f>
        <v/>
      </c>
      <c r="BL16" s="238">
        <f>BK16*0.5</f>
        <v/>
      </c>
      <c r="BM16" s="238">
        <f>COUNTIF(A16:AI16,"*$FC*")</f>
        <v/>
      </c>
      <c r="BN16" s="238">
        <f>BM16*1</f>
        <v/>
      </c>
      <c r="BO16" s="238">
        <f>COUNTIF($D16:$AA16,BO$4)</f>
        <v/>
      </c>
      <c r="BP16" s="238">
        <f>COUNTIF($D16:$AA16,BP$4)</f>
        <v/>
      </c>
      <c r="BQ16" s="238">
        <f>COUNTIF($D16:$AA16,BQ$4)</f>
        <v/>
      </c>
      <c r="BR16" s="240" t="n"/>
    </row>
    <row r="17" ht="45" customHeight="1">
      <c r="A17" s="233" t="n"/>
      <c r="B17" s="186" t="inlineStr">
        <is>
          <t>LCP APPLE YEO</t>
        </is>
      </c>
      <c r="C17" s="137" t="n"/>
      <c r="D17" s="137" t="inlineStr">
        <is>
          <t>DM</t>
        </is>
      </c>
      <c r="E17" s="137" t="n"/>
      <c r="F17" s="137" t="inlineStr">
        <is>
          <t>SKILLS FUTURE</t>
        </is>
      </c>
      <c r="G17" s="137" t="inlineStr">
        <is>
          <t>DM</t>
        </is>
      </c>
      <c r="H17" s="137" t="n"/>
      <c r="I17" s="53" t="n"/>
      <c r="J17" s="137" t="inlineStr">
        <is>
          <t>DM</t>
        </is>
      </c>
      <c r="K17" s="137" t="n"/>
      <c r="L17" s="137" t="n"/>
      <c r="M17" s="137" t="inlineStr">
        <is>
          <t>CS2</t>
        </is>
      </c>
      <c r="N17" s="137" t="n"/>
      <c r="O17" s="137" t="inlineStr">
        <is>
          <t>DM</t>
        </is>
      </c>
      <c r="P17" s="137" t="n"/>
      <c r="Q17" s="137" t="n"/>
      <c r="R17" s="75" t="n"/>
      <c r="S17" s="75" t="n"/>
      <c r="T17" s="75" t="n"/>
      <c r="U17" s="75" t="inlineStr">
        <is>
          <t>SB2</t>
        </is>
      </c>
      <c r="V17" s="137" t="n"/>
      <c r="W17" s="137" t="inlineStr">
        <is>
          <t>DM</t>
        </is>
      </c>
      <c r="X17" s="137" t="n"/>
      <c r="Y17" s="137" t="n"/>
      <c r="AA17" s="137" t="n"/>
      <c r="AB17" s="53" t="inlineStr">
        <is>
          <t>CS2</t>
        </is>
      </c>
      <c r="AC17" s="137" t="n"/>
      <c r="AD17" s="137" t="n"/>
      <c r="AE17" s="137" t="n"/>
      <c r="AF17" s="137" t="inlineStr">
        <is>
          <t>RESERVE</t>
        </is>
      </c>
      <c r="AG17" s="137" t="n"/>
      <c r="AH17" s="197" t="n"/>
      <c r="AI17" s="237">
        <f>COUNTIF($C17:$AG17,AI$4)</f>
        <v/>
      </c>
      <c r="AJ17" s="237">
        <f>COUNTIF($C17:$AG17,AJ$4)</f>
        <v/>
      </c>
      <c r="AK17" s="237">
        <f>COUNTIF($C17:$AG17,AK$4)</f>
        <v/>
      </c>
      <c r="AL17" s="237">
        <f>COUNTIF($C17:$AG17,AL$4)</f>
        <v/>
      </c>
      <c r="AM17" s="237">
        <f>COUNTIF($C17:$AG17,AM$4)</f>
        <v/>
      </c>
      <c r="AN17" s="237">
        <f>COUNTIF($C17:$AG17,AN$4)</f>
        <v/>
      </c>
      <c r="AO17" s="237">
        <f>COUNTIF($C17:$AG17,AO$4)</f>
        <v/>
      </c>
      <c r="AP17" s="237">
        <f>COUNTIF($C17:$AG17,AP$4)</f>
        <v/>
      </c>
      <c r="AQ17" s="237">
        <f>COUNTIF($C17:$AG17,AQ$4)</f>
        <v/>
      </c>
      <c r="AR17" s="238" t="n"/>
      <c r="AS17" s="239" t="n">
        <v>0.5</v>
      </c>
      <c r="AT17" s="239" t="n"/>
      <c r="AU17" s="238">
        <f>SUMPRODUCT(--(WEEKDAY(C$3:AG$3,2)&lt;5),--ISNUMBER(MATCH(C17:AG17,{"DM","CS1","CS2","SB1","AE","CS/B"},0)))</f>
        <v/>
      </c>
      <c r="AV17" s="238" t="n"/>
      <c r="AW17" s="238">
        <f>SUMPRODUCT(--(WEEKDAY(C$3:AG$3,2)=5),--ISNUMBER(MATCH(C17:AG17,{"DM","CS1","CS2","SB1","AE","CS/B"},0)))</f>
        <v/>
      </c>
      <c r="AX17" s="238">
        <f>SUMPRODUCT(--(WEEKDAY(C$3:AG$3,2)&gt;5),--ISNUMBER(MATCH(C17:AG17,{"DM","CS1","CS2","SB1","AE","CS/B"},0)))</f>
        <v/>
      </c>
      <c r="AY17" s="238" t="n"/>
      <c r="AZ17" s="238">
        <f>(AU17-AV17)+AW17*1.5+(AX17-AY17)*2+AN17*0.5+AP17*0.5+AS17-AT17</f>
        <v/>
      </c>
      <c r="BA17" s="238">
        <f>AU17+AW17+AX17</f>
        <v/>
      </c>
      <c r="BB17" s="238">
        <f>BE17+BG17+BI17+BK17+BM17</f>
        <v/>
      </c>
      <c r="BC17" s="239">
        <f>AZ17+BD17</f>
        <v/>
      </c>
      <c r="BD17" s="238">
        <f>BF17+BH17+BJ17+BL17+BN17</f>
        <v/>
      </c>
      <c r="BE17" s="238">
        <f>COUNTIF(A17:AI17,"*$BTP*")</f>
        <v/>
      </c>
      <c r="BF17" s="238">
        <f>BE17*1.5</f>
        <v/>
      </c>
      <c r="BG17" s="238">
        <f>COUNTIF(A17:AI17,"*$M*")</f>
        <v/>
      </c>
      <c r="BH17" s="238">
        <f>BG17*1</f>
        <v/>
      </c>
      <c r="BI17" s="238">
        <f>COUNTIF(A17:AI17,"*$PM*")</f>
        <v/>
      </c>
      <c r="BJ17" s="238">
        <f>BI17*0.5</f>
        <v/>
      </c>
      <c r="BK17" s="238">
        <f>COUNTIF(A17:AI17,"*$AM*")</f>
        <v/>
      </c>
      <c r="BL17" s="238">
        <f>BK17*0.5</f>
        <v/>
      </c>
      <c r="BM17" s="238">
        <f>COUNTIF(A17:AI17,"*$FC*")</f>
        <v/>
      </c>
      <c r="BN17" s="238">
        <f>BM17*1</f>
        <v/>
      </c>
      <c r="BO17" s="238">
        <f>COUNTIF($D17:$AA17,BO$4)</f>
        <v/>
      </c>
      <c r="BP17" s="238">
        <f>COUNTIF($D17:$AA17,BP$4)</f>
        <v/>
      </c>
      <c r="BQ17" s="238">
        <f>COUNTIF($D17:$AA17,BQ$4)</f>
        <v/>
      </c>
      <c r="BR17" s="240" t="n"/>
    </row>
    <row r="18" ht="60.75" customHeight="1">
      <c r="A18" s="233" t="n"/>
      <c r="B18" s="186" t="inlineStr">
        <is>
          <t>LCP EKLAYVA PINGALI</t>
        </is>
      </c>
      <c r="D18" s="241" t="n"/>
      <c r="E18" s="75" t="inlineStr">
        <is>
          <t>COVER RESERVE</t>
        </is>
      </c>
      <c r="G18" s="75" t="inlineStr">
        <is>
          <t>GP</t>
        </is>
      </c>
      <c r="H18" s="75" t="inlineStr">
        <is>
          <t>GP</t>
        </is>
      </c>
      <c r="I18" s="241" t="inlineStr">
        <is>
          <t>GP $M</t>
        </is>
      </c>
      <c r="J18" s="241" t="n"/>
      <c r="K18" s="75" t="n"/>
      <c r="L18" s="136" t="n"/>
      <c r="M18" s="75" t="n"/>
      <c r="N18" s="75" t="inlineStr">
        <is>
          <t>COVER RESERVE</t>
        </is>
      </c>
      <c r="O18" s="75" t="n"/>
      <c r="P18" s="75" t="n"/>
      <c r="Q18" s="53" t="n"/>
      <c r="R18" s="53" t="n"/>
      <c r="S18" s="75" t="n"/>
      <c r="U18" s="75" t="n"/>
      <c r="V18" s="75" t="n"/>
      <c r="W18" s="75" t="n"/>
      <c r="X18" s="75" t="n"/>
      <c r="Y18" s="75" t="n"/>
      <c r="Z18" s="75" t="inlineStr">
        <is>
          <t>CS2</t>
        </is>
      </c>
      <c r="AA18" s="75" t="n"/>
      <c r="AB18" s="75" t="n"/>
      <c r="AC18" s="75" t="inlineStr">
        <is>
          <t>RESERVE</t>
        </is>
      </c>
      <c r="AD18" s="75" t="n"/>
      <c r="AE18" s="137" t="inlineStr">
        <is>
          <t>DM</t>
        </is>
      </c>
      <c r="AF18" s="75" t="n"/>
      <c r="AH18" s="197" t="n"/>
      <c r="AI18" s="237">
        <f>COUNTIF($C18:$AG18,AI$4)</f>
        <v/>
      </c>
      <c r="AJ18" s="237">
        <f>COUNTIF($C18:$AG18,AJ$4)</f>
        <v/>
      </c>
      <c r="AK18" s="237">
        <f>COUNTIF($C18:$AG18,AK$4)</f>
        <v/>
      </c>
      <c r="AL18" s="237">
        <f>COUNTIF($C18:$AG18,AL$4)</f>
        <v/>
      </c>
      <c r="AM18" s="237">
        <f>COUNTIF($C18:$AG18,AM$4)</f>
        <v/>
      </c>
      <c r="AN18" s="237">
        <f>COUNTIF($C18:$AG18,AN$4)</f>
        <v/>
      </c>
      <c r="AO18" s="237">
        <f>COUNTIF($C18:$AG18,AO$4)</f>
        <v/>
      </c>
      <c r="AP18" s="237">
        <f>COUNTIF($C18:$AG18,AP$4)</f>
        <v/>
      </c>
      <c r="AQ18" s="237">
        <f>COUNTIF($C18:$AG18,AQ$4)</f>
        <v/>
      </c>
      <c r="AR18" s="238" t="n"/>
      <c r="AS18" s="239" t="n">
        <v>3.5</v>
      </c>
      <c r="AT18" s="239" t="n"/>
      <c r="AU18" s="238">
        <f>SUMPRODUCT(--(WEEKDAY(C$3:AG$3,2)&lt;5),--ISNUMBER(MATCH(C18:AG18,{"DM","CS1","CS2","SB1","AE","CS/B"},0)))</f>
        <v/>
      </c>
      <c r="AV18" s="238" t="n"/>
      <c r="AW18" s="238">
        <f>SUMPRODUCT(--(WEEKDAY(C$3:AG$3,2)=5),--ISNUMBER(MATCH(C18:AG18,{"DM","CS1","CS2","SB1","AE","CS/B"},0)))</f>
        <v/>
      </c>
      <c r="AX18" s="238">
        <f>SUMPRODUCT(--(WEEKDAY(C$3:AG$3,2)&gt;5),--ISNUMBER(MATCH(C18:AG18,{"DM","CS1","CS2","SB1","AE","CS/B"},0)))</f>
        <v/>
      </c>
      <c r="AY18" s="238" t="n"/>
      <c r="AZ18" s="238">
        <f>(AU18-AV18)+AW18*1.5+(AX18-AY18)*2+AN18*0.5+AP18*0.5+AS18-AT18</f>
        <v/>
      </c>
      <c r="BA18" s="238">
        <f>AU18+AW18+AX18</f>
        <v/>
      </c>
      <c r="BB18" s="238">
        <f>BE18+BG18+BI18+BK18+BM18</f>
        <v/>
      </c>
      <c r="BC18" s="239">
        <f>AZ18+BD18</f>
        <v/>
      </c>
      <c r="BD18" s="238">
        <f>BF18+BH18+BJ18+BL18+BN18</f>
        <v/>
      </c>
      <c r="BE18" s="238">
        <f>COUNTIF(A18:AI18,"*$BTP*")</f>
        <v/>
      </c>
      <c r="BF18" s="238">
        <f>BE18*1.5</f>
        <v/>
      </c>
      <c r="BG18" s="238">
        <f>COUNTIF(A18:AI18,"*$M*")</f>
        <v/>
      </c>
      <c r="BH18" s="238">
        <f>BG18*1</f>
        <v/>
      </c>
      <c r="BI18" s="238">
        <f>COUNTIF(A18:AI18,"*$PM*")</f>
        <v/>
      </c>
      <c r="BJ18" s="238">
        <f>BI18*0.5</f>
        <v/>
      </c>
      <c r="BK18" s="238">
        <f>COUNTIF(A18:AI18,"*$AM*")</f>
        <v/>
      </c>
      <c r="BL18" s="238">
        <f>BK18*0.5</f>
        <v/>
      </c>
      <c r="BM18" s="238">
        <f>COUNTIF(A18:AI18,"*$FC*")</f>
        <v/>
      </c>
      <c r="BN18" s="238">
        <f>BM18*1</f>
        <v/>
      </c>
      <c r="BO18" s="238">
        <f>COUNTIF($D18:$AA18,BO$4)</f>
        <v/>
      </c>
      <c r="BP18" s="238">
        <f>COUNTIF($D18:$AA18,BP$4)</f>
        <v/>
      </c>
      <c r="BQ18" s="238">
        <f>COUNTIF($D18:$AA18,BQ$4)</f>
        <v/>
      </c>
      <c r="BR18" s="240" t="n"/>
    </row>
    <row r="19" ht="53.25" customHeight="1">
      <c r="A19" s="233" t="n"/>
      <c r="B19" s="186" t="inlineStr">
        <is>
          <t>CFC MARK WU</t>
        </is>
      </c>
      <c r="C19" s="137" t="n"/>
      <c r="D19" s="137" t="inlineStr">
        <is>
          <t>CS1</t>
        </is>
      </c>
      <c r="E19" s="241" t="n"/>
      <c r="F19" s="75" t="inlineStr">
        <is>
          <t>COVER RESERVE</t>
        </is>
      </c>
      <c r="G19" s="137" t="inlineStr">
        <is>
          <t>RESERVE</t>
        </is>
      </c>
      <c r="H19" s="137" t="n"/>
      <c r="I19" s="137" t="inlineStr">
        <is>
          <t>CS2</t>
        </is>
      </c>
      <c r="J19" s="241" t="n"/>
      <c r="K19" s="137" t="n"/>
      <c r="L19" s="136" t="n"/>
      <c r="M19" s="137" t="inlineStr">
        <is>
          <t>OL</t>
        </is>
      </c>
      <c r="N19" s="137" t="inlineStr">
        <is>
          <t>OL</t>
        </is>
      </c>
      <c r="O19" s="137" t="inlineStr">
        <is>
          <t>OL</t>
        </is>
      </c>
      <c r="P19" s="137" t="inlineStr">
        <is>
          <t>OL</t>
        </is>
      </c>
      <c r="Q19" s="137" t="inlineStr">
        <is>
          <t>OL</t>
        </is>
      </c>
      <c r="R19" s="137" t="inlineStr">
        <is>
          <t>PM MA</t>
        </is>
      </c>
      <c r="S19" s="241" t="n"/>
      <c r="T19" s="137" t="n"/>
      <c r="U19" s="137" t="inlineStr">
        <is>
          <t>DM</t>
        </is>
      </c>
      <c r="V19" s="241" t="n"/>
      <c r="W19" s="137" t="n"/>
      <c r="X19" s="137" t="n"/>
      <c r="Y19" s="137" t="inlineStr">
        <is>
          <t>CS1</t>
        </is>
      </c>
      <c r="Z19" s="241" t="n"/>
      <c r="AA19" s="137" t="inlineStr">
        <is>
          <t>CS1</t>
        </is>
      </c>
      <c r="AB19" s="75" t="inlineStr">
        <is>
          <t>SB2</t>
        </is>
      </c>
      <c r="AC19" s="241" t="inlineStr">
        <is>
          <t>OL</t>
        </is>
      </c>
      <c r="AD19" s="241" t="inlineStr">
        <is>
          <t>OL</t>
        </is>
      </c>
      <c r="AE19" s="241" t="inlineStr">
        <is>
          <t>OL</t>
        </is>
      </c>
      <c r="AF19" s="137" t="inlineStr">
        <is>
          <t>CS2</t>
        </is>
      </c>
      <c r="AG19" s="241" t="n"/>
      <c r="AH19" s="197" t="n"/>
      <c r="AI19" s="237">
        <f>COUNTIF($C19:$AG19,AI$4)</f>
        <v/>
      </c>
      <c r="AJ19" s="237">
        <f>COUNTIF($C19:$AG19,AJ$4)</f>
        <v/>
      </c>
      <c r="AK19" s="237">
        <f>COUNTIF($C19:$AG19,AK$4)</f>
        <v/>
      </c>
      <c r="AL19" s="237">
        <f>COUNTIF($C19:$AG19,AL$4)</f>
        <v/>
      </c>
      <c r="AM19" s="237">
        <f>COUNTIF($C19:$AG19,AM$4)</f>
        <v/>
      </c>
      <c r="AN19" s="237">
        <f>COUNTIF($C19:$AG19,AN$4)</f>
        <v/>
      </c>
      <c r="AO19" s="237">
        <f>COUNTIF($C19:$AG19,AO$4)</f>
        <v/>
      </c>
      <c r="AP19" s="237">
        <f>COUNTIF($C19:$AG19,AP$4)</f>
        <v/>
      </c>
      <c r="AQ19" s="237">
        <f>COUNTIF($C19:$AG19,AQ$4)</f>
        <v/>
      </c>
      <c r="AR19" s="238" t="n"/>
      <c r="AS19" s="239" t="n"/>
      <c r="AT19" s="239" t="n">
        <v>2</v>
      </c>
      <c r="AU19" s="238">
        <f>SUMPRODUCT(--(WEEKDAY(C$3:AG$3,2)&lt;5),--ISNUMBER(MATCH(C19:AG19,{"DM","CS1","CS2","SB1","AE","CS/B"},0)))</f>
        <v/>
      </c>
      <c r="AV19" s="238" t="n"/>
      <c r="AW19" s="238">
        <f>SUMPRODUCT(--(WEEKDAY(C$3:AG$3,2)=5),--ISNUMBER(MATCH(C19:AG19,{"DM","CS1","CS2","SB1","AE","CS/B"},0)))</f>
        <v/>
      </c>
      <c r="AX19" s="238">
        <f>SUMPRODUCT(--(WEEKDAY(C$3:AG$3,2)&gt;5),--ISNUMBER(MATCH(C19:AG19,{"DM","CS1","CS2","SB1","AE","CS/B"},0)))</f>
        <v/>
      </c>
      <c r="AY19" s="238" t="n"/>
      <c r="AZ19" s="238">
        <f>(AU19-AV19)+AW19*1.5+(AX19-AY19)*2+AN19*0.5+AP19*0.5+AS19-AT19</f>
        <v/>
      </c>
      <c r="BA19" s="238">
        <f>AU19+AW19+AX19</f>
        <v/>
      </c>
      <c r="BB19" s="238">
        <f>BE19+BG19+BI19+BK19+BM19</f>
        <v/>
      </c>
      <c r="BC19" s="239">
        <f>AZ19+BD19</f>
        <v/>
      </c>
      <c r="BD19" s="238">
        <f>BF19+BH19+BJ19+BL19+BN19</f>
        <v/>
      </c>
      <c r="BE19" s="238">
        <f>COUNTIF(A19:AI19,"*$BTP*")</f>
        <v/>
      </c>
      <c r="BF19" s="238">
        <f>BE19*1.5</f>
        <v/>
      </c>
      <c r="BG19" s="238">
        <f>COUNTIF(A19:AI19,"*$M*")</f>
        <v/>
      </c>
      <c r="BH19" s="238">
        <f>BG19*1</f>
        <v/>
      </c>
      <c r="BI19" s="238">
        <f>COUNTIF(A19:AI19,"*$PM*")</f>
        <v/>
      </c>
      <c r="BJ19" s="238">
        <f>BI19*0.5</f>
        <v/>
      </c>
      <c r="BK19" s="238">
        <f>COUNTIF(A19:AI19,"*$AM*")</f>
        <v/>
      </c>
      <c r="BL19" s="238">
        <f>BK19*0.5</f>
        <v/>
      </c>
      <c r="BM19" s="238">
        <f>COUNTIF(A19:AI19,"*$FC*")</f>
        <v/>
      </c>
      <c r="BN19" s="238">
        <f>BM19*1</f>
        <v/>
      </c>
      <c r="BO19" s="238">
        <f>COUNTIF($D19:$AA19,BO$4)</f>
        <v/>
      </c>
      <c r="BP19" s="238">
        <f>COUNTIF($D19:$AA19,BP$4)</f>
        <v/>
      </c>
      <c r="BQ19" s="238">
        <f>COUNTIF($D19:$AA19,BQ$4)</f>
        <v/>
      </c>
      <c r="BR19" s="240" t="n"/>
    </row>
    <row r="20" ht="51" customHeight="1">
      <c r="A20" s="233" t="n"/>
      <c r="B20" s="186" t="inlineStr">
        <is>
          <t>CPL HO SHENGHUI HAYDEN</t>
        </is>
      </c>
      <c r="C20" s="75" t="n"/>
      <c r="D20" s="75" t="n"/>
      <c r="E20" s="75" t="inlineStr">
        <is>
          <t>RESERVE</t>
        </is>
      </c>
      <c r="F20" s="137" t="inlineStr">
        <is>
          <t>GX $M</t>
        </is>
      </c>
      <c r="G20" s="137" t="inlineStr">
        <is>
          <t>GX</t>
        </is>
      </c>
      <c r="H20" s="241" t="n"/>
      <c r="I20" s="241" t="inlineStr">
        <is>
          <t>Mum's Birthday</t>
        </is>
      </c>
      <c r="J20" s="75" t="n"/>
      <c r="K20" s="75" t="n"/>
      <c r="L20" s="75" t="n"/>
      <c r="N20" s="75" t="inlineStr">
        <is>
          <t>PM MA</t>
        </is>
      </c>
      <c r="O20" s="241" t="n"/>
      <c r="P20" s="75" t="n"/>
      <c r="Q20" s="75" t="n"/>
      <c r="R20" s="75" t="n"/>
      <c r="S20" s="241" t="n"/>
      <c r="T20" s="75" t="inlineStr">
        <is>
          <t>DM</t>
        </is>
      </c>
      <c r="U20" s="75" t="n"/>
      <c r="V20" s="241" t="n"/>
      <c r="W20" s="75" t="n"/>
      <c r="X20" s="75" t="n"/>
      <c r="Y20" s="99" t="inlineStr">
        <is>
          <t>CS2</t>
        </is>
      </c>
      <c r="Z20" s="75" t="n"/>
      <c r="AA20" s="53" t="n"/>
      <c r="AB20" s="75" t="inlineStr">
        <is>
          <t>CS1</t>
        </is>
      </c>
      <c r="AC20" s="241" t="n"/>
      <c r="AD20" s="75" t="n"/>
      <c r="AE20" s="75" t="inlineStr">
        <is>
          <t>CS1</t>
        </is>
      </c>
      <c r="AF20" s="75" t="n"/>
      <c r="AG20" s="75" t="inlineStr">
        <is>
          <t>S $M ATP/CS (0500-2359)</t>
        </is>
      </c>
      <c r="AH20" s="197" t="n"/>
      <c r="AI20" s="237">
        <f>COUNTIF($C20:$AG20,AI$4)</f>
        <v/>
      </c>
      <c r="AJ20" s="237">
        <f>COUNTIF($C20:$AG20,AJ$4)</f>
        <v/>
      </c>
      <c r="AK20" s="237">
        <f>COUNTIF($C20:$AG20,AK$4)</f>
        <v/>
      </c>
      <c r="AL20" s="237">
        <f>COUNTIF($C20:$AG20,AL$4)</f>
        <v/>
      </c>
      <c r="AM20" s="237">
        <f>COUNTIF($C20:$AG20,AM$4)</f>
        <v/>
      </c>
      <c r="AN20" s="237">
        <f>COUNTIF($C20:$AG20,AN$4)</f>
        <v/>
      </c>
      <c r="AO20" s="237">
        <f>COUNTIF($C20:$AG20,AO$4)</f>
        <v/>
      </c>
      <c r="AP20" s="237">
        <f>COUNTIF($C20:$AG20,AP$4)</f>
        <v/>
      </c>
      <c r="AQ20" s="237">
        <f>COUNTIF($C20:$AG20,AQ$4)</f>
        <v/>
      </c>
      <c r="AR20" s="238" t="n"/>
      <c r="AS20" s="239" t="n">
        <v>1</v>
      </c>
      <c r="AT20" s="239" t="n"/>
      <c r="AU20" s="238">
        <f>SUMPRODUCT(--(WEEKDAY(C$3:AG$3,2)&lt;5),--ISNUMBER(MATCH(C20:AG20,{"DM","CS1","CS2","SB1","AE","CS/B"},0)))</f>
        <v/>
      </c>
      <c r="AV20" s="238" t="n"/>
      <c r="AW20" s="238">
        <f>SUMPRODUCT(--(WEEKDAY(C$3:AG$3,2)=5),--ISNUMBER(MATCH(C20:AG20,{"DM","CS1","CS2","SB1","AE","CS/B"},0)))</f>
        <v/>
      </c>
      <c r="AX20" s="238">
        <f>SUMPRODUCT(--(WEEKDAY(C$3:AG$3,2)&gt;5),--ISNUMBER(MATCH(C20:AG20,{"DM","CS1","CS2","SB1","AE","CS/B"},0)))</f>
        <v/>
      </c>
      <c r="AY20" s="238" t="n"/>
      <c r="AZ20" s="238">
        <f>(AU20-AV20)+AW20*1.5+(AX20-AY20)*2+AN20*0.5+AP20*0.5+AS20-AT20</f>
        <v/>
      </c>
      <c r="BA20" s="238">
        <f>AU20+AW20+AX20</f>
        <v/>
      </c>
      <c r="BB20" s="238">
        <f>BE20+BG20+BI20+BK20+BM20</f>
        <v/>
      </c>
      <c r="BC20" s="239">
        <f>AZ20+BD20</f>
        <v/>
      </c>
      <c r="BD20" s="238">
        <f>BF20+BH20+BJ20+BL20+BN20</f>
        <v/>
      </c>
      <c r="BE20" s="238">
        <f>COUNTIF(A20:AI20,"*$BTP*")</f>
        <v/>
      </c>
      <c r="BF20" s="238">
        <f>BE20*1.5</f>
        <v/>
      </c>
      <c r="BG20" s="238">
        <f>COUNTIF(A20:AI20,"*$M*")</f>
        <v/>
      </c>
      <c r="BH20" s="238">
        <f>BG20*1</f>
        <v/>
      </c>
      <c r="BI20" s="238">
        <f>COUNTIF(A20:AI20,"*$PM*")</f>
        <v/>
      </c>
      <c r="BJ20" s="238">
        <f>BI20*0.5</f>
        <v/>
      </c>
      <c r="BK20" s="238">
        <f>COUNTIF(A20:AI20,"*$AM*")</f>
        <v/>
      </c>
      <c r="BL20" s="238">
        <f>BK20*0.5</f>
        <v/>
      </c>
      <c r="BM20" s="238">
        <f>COUNTIF(A20:AI20,"*$FC*")</f>
        <v/>
      </c>
      <c r="BN20" s="238">
        <f>BM20*1</f>
        <v/>
      </c>
      <c r="BO20" s="238">
        <f>COUNTIF($D20:$AA20,BO$4)</f>
        <v/>
      </c>
      <c r="BP20" s="238">
        <f>COUNTIF($D20:$AA20,BP$4)</f>
        <v/>
      </c>
      <c r="BQ20" s="238">
        <f>COUNTIF($D20:$AA20,BQ$4)</f>
        <v/>
      </c>
      <c r="BR20" s="240" t="n"/>
    </row>
    <row r="21" ht="68.25" customHeight="1">
      <c r="A21" s="233" t="n"/>
      <c r="B21" s="186" t="inlineStr">
        <is>
          <t>CPL DERRICK CHIN</t>
        </is>
      </c>
      <c r="C21" s="244" t="n"/>
      <c r="D21" s="137" t="n"/>
      <c r="E21" s="137" t="n"/>
      <c r="F21" s="137" t="inlineStr">
        <is>
          <t>GX $M</t>
        </is>
      </c>
      <c r="G21" s="137" t="inlineStr">
        <is>
          <t>GX</t>
        </is>
      </c>
      <c r="H21" s="244" t="n"/>
      <c r="I21" s="137" t="n"/>
      <c r="J21" s="137" t="n"/>
      <c r="K21" s="137" t="n"/>
      <c r="L21" s="137" t="n"/>
      <c r="N21" s="137" t="n"/>
      <c r="O21" s="244" t="n"/>
      <c r="P21" s="137" t="n"/>
      <c r="Q21" s="137" t="inlineStr">
        <is>
          <t>DM</t>
        </is>
      </c>
      <c r="R21" s="137" t="n"/>
      <c r="S21" s="137" t="n"/>
      <c r="T21" s="137" t="n"/>
      <c r="U21" s="137" t="n"/>
      <c r="V21" s="244" t="n"/>
      <c r="W21" s="137" t="n"/>
      <c r="X21" s="137" t="inlineStr">
        <is>
          <t>DM</t>
        </is>
      </c>
      <c r="Y21" s="137" t="n"/>
      <c r="Z21" s="137" t="n"/>
      <c r="AA21" s="137" t="n"/>
      <c r="AB21" s="137" t="inlineStr">
        <is>
          <t>DM</t>
        </is>
      </c>
      <c r="AC21" s="244" t="n"/>
      <c r="AD21" s="137" t="n"/>
      <c r="AE21" s="137" t="n"/>
      <c r="AF21" s="137" t="inlineStr">
        <is>
          <t>DM</t>
        </is>
      </c>
      <c r="AG21" s="137" t="n"/>
      <c r="AH21" s="197" t="n"/>
      <c r="AI21" s="237">
        <f>COUNTIF($C21:$AG21,AI$4)</f>
        <v/>
      </c>
      <c r="AJ21" s="237">
        <f>COUNTIF($C21:$AG21,AJ$4)</f>
        <v/>
      </c>
      <c r="AK21" s="237">
        <f>COUNTIF($C21:$AG21,AK$4)</f>
        <v/>
      </c>
      <c r="AL21" s="237">
        <f>COUNTIF($C21:$AG21,AL$4)</f>
        <v/>
      </c>
      <c r="AM21" s="237">
        <f>COUNTIF($C21:$AG21,AM$4)</f>
        <v/>
      </c>
      <c r="AN21" s="237">
        <f>COUNTIF($C21:$AG21,AN$4)</f>
        <v/>
      </c>
      <c r="AO21" s="237">
        <f>COUNTIF($C21:$AG21,AO$4)</f>
        <v/>
      </c>
      <c r="AP21" s="237">
        <f>COUNTIF($C21:$AG21,AP$4)</f>
        <v/>
      </c>
      <c r="AQ21" s="237">
        <f>COUNTIF($C21:$AG21,AQ$4)</f>
        <v/>
      </c>
      <c r="AR21" s="238" t="n"/>
      <c r="AS21" s="239" t="n"/>
      <c r="AT21" s="239" t="n"/>
      <c r="AU21" s="238">
        <f>SUMPRODUCT(--(WEEKDAY(C$3:AG$3,2)&lt;5),--ISNUMBER(MATCH(C21:AG21,{"DM","CS1","CS2","SB1","AE","CS/B"},0)))</f>
        <v/>
      </c>
      <c r="AV21" s="238" t="n"/>
      <c r="AW21" s="238">
        <f>SUMPRODUCT(--(WEEKDAY(C$3:AG$3,2)=5),--ISNUMBER(MATCH(C21:AG21,{"DM","CS1","CS2","SB1","AE","CS/B"},0)))</f>
        <v/>
      </c>
      <c r="AX21" s="238">
        <f>SUMPRODUCT(--(WEEKDAY(C$3:AG$3,2)&gt;5),--ISNUMBER(MATCH(C21:AG21,{"DM","CS1","CS2","SB1","AE","CS/B"},0)))</f>
        <v/>
      </c>
      <c r="AY21" s="238" t="n"/>
      <c r="AZ21" s="238">
        <f>(AU21-AV21)+AW21*1.5+(AX21-AY21)*2+AN21*0.5+AP21*0.5+AS21-AT21</f>
        <v/>
      </c>
      <c r="BA21" s="238">
        <f>AU21+AW21+AX21</f>
        <v/>
      </c>
      <c r="BB21" s="238">
        <f>BE21+BG21+BI21+BK21+BM21</f>
        <v/>
      </c>
      <c r="BC21" s="239">
        <f>AZ21+BD21</f>
        <v/>
      </c>
      <c r="BD21" s="238">
        <f>BF21+BH21+BJ21+BL21+BN21</f>
        <v/>
      </c>
      <c r="BE21" s="238">
        <f>COUNTIF(A21:AI21,"*$BTP*")</f>
        <v/>
      </c>
      <c r="BF21" s="238">
        <f>BE21*1.5</f>
        <v/>
      </c>
      <c r="BG21" s="238">
        <f>COUNTIF(A21:AI21,"*$M*")</f>
        <v/>
      </c>
      <c r="BH21" s="238">
        <f>BG21*1</f>
        <v/>
      </c>
      <c r="BI21" s="238">
        <f>COUNTIF(A21:AI21,"*$PM*")</f>
        <v/>
      </c>
      <c r="BJ21" s="238">
        <f>BI21*0.5</f>
        <v/>
      </c>
      <c r="BK21" s="238">
        <f>COUNTIF(A21:AI21,"*$AM*")</f>
        <v/>
      </c>
      <c r="BL21" s="238">
        <f>BK21*0.5</f>
        <v/>
      </c>
      <c r="BM21" s="238">
        <f>COUNTIF(A21:AI21,"*$FC*")</f>
        <v/>
      </c>
      <c r="BN21" s="238">
        <f>BM21*1</f>
        <v/>
      </c>
      <c r="BO21" s="238">
        <f>COUNTIF($D21:$AA21,BO$4)</f>
        <v/>
      </c>
      <c r="BP21" s="238">
        <f>COUNTIF($D21:$AA21,BP$4)</f>
        <v/>
      </c>
      <c r="BQ21" s="238">
        <f>COUNTIF($D21:$AA21,BQ$4)</f>
        <v/>
      </c>
      <c r="BR21" s="240" t="n"/>
    </row>
    <row r="22" ht="19.5" customHeight="1">
      <c r="A22" s="233" t="n"/>
      <c r="B22" s="186" t="inlineStr">
        <is>
          <t>CPL ASHWIN GUNASEKERAN</t>
        </is>
      </c>
      <c r="C22" s="75" t="n"/>
      <c r="D22" s="75" t="inlineStr">
        <is>
          <t>CS/B</t>
        </is>
      </c>
      <c r="E22" s="53" t="n"/>
      <c r="F22" s="137" t="inlineStr">
        <is>
          <t>COVER RESERVE</t>
        </is>
      </c>
      <c r="G22" s="75" t="n"/>
      <c r="H22" s="75" t="n"/>
      <c r="I22" s="75" t="inlineStr">
        <is>
          <t>DM</t>
        </is>
      </c>
      <c r="J22" s="75" t="n"/>
      <c r="K22" s="75" t="n"/>
      <c r="L22" s="75" t="inlineStr">
        <is>
          <t>WISDOM</t>
        </is>
      </c>
      <c r="M22" s="75" t="inlineStr">
        <is>
          <t>MC</t>
        </is>
      </c>
      <c r="N22" s="75" t="inlineStr">
        <is>
          <t>MC</t>
        </is>
      </c>
      <c r="O22" s="75" t="inlineStr">
        <is>
          <t>MC</t>
        </is>
      </c>
      <c r="P22" s="75" t="inlineStr">
        <is>
          <t>MC</t>
        </is>
      </c>
      <c r="Q22" s="75" t="inlineStr">
        <is>
          <t>MC</t>
        </is>
      </c>
      <c r="R22" s="75" t="inlineStr">
        <is>
          <t>MC</t>
        </is>
      </c>
      <c r="S22" s="75" t="inlineStr">
        <is>
          <t>MC</t>
        </is>
      </c>
      <c r="T22" s="75" t="n"/>
      <c r="U22" s="75" t="n"/>
      <c r="V22" s="137" t="inlineStr">
        <is>
          <t>DM</t>
        </is>
      </c>
      <c r="W22" s="75" t="n"/>
      <c r="X22" s="75" t="n"/>
      <c r="Y22" s="137" t="n"/>
      <c r="Z22" s="75" t="inlineStr">
        <is>
          <t>DM</t>
        </is>
      </c>
      <c r="AA22" s="75" t="n"/>
      <c r="AB22" s="75" t="n"/>
      <c r="AC22" s="75" t="inlineStr">
        <is>
          <t>OL</t>
        </is>
      </c>
      <c r="AD22" s="75" t="inlineStr">
        <is>
          <t>OL</t>
        </is>
      </c>
      <c r="AE22" s="75" t="inlineStr">
        <is>
          <t>OL</t>
        </is>
      </c>
      <c r="AF22" s="75" t="inlineStr">
        <is>
          <t>OL</t>
        </is>
      </c>
      <c r="AG22" s="75" t="n"/>
      <c r="AH22" s="197" t="n"/>
      <c r="AI22" s="237">
        <f>COUNTIF($C22:$AG22,AI$4)</f>
        <v/>
      </c>
      <c r="AJ22" s="237">
        <f>COUNTIF($C22:$AG22,AJ$4)</f>
        <v/>
      </c>
      <c r="AK22" s="237">
        <f>COUNTIF($C22:$AG22,AK$4)</f>
        <v/>
      </c>
      <c r="AL22" s="237">
        <f>COUNTIF($C22:$AG22,AL$4)</f>
        <v/>
      </c>
      <c r="AM22" s="237">
        <f>COUNTIF($C22:$AG22,AM$4)</f>
        <v/>
      </c>
      <c r="AN22" s="237">
        <f>COUNTIF($C22:$AG22,AN$4)</f>
        <v/>
      </c>
      <c r="AO22" s="237">
        <f>COUNTIF($C22:$AG22,AO$4)</f>
        <v/>
      </c>
      <c r="AP22" s="237">
        <f>COUNTIF($C22:$AG22,AP$4)</f>
        <v/>
      </c>
      <c r="AQ22" s="237">
        <f>COUNTIF($C22:$AG22,AQ$4)</f>
        <v/>
      </c>
      <c r="AR22" s="238" t="n"/>
      <c r="AS22" s="239" t="n"/>
      <c r="AT22" s="239" t="n">
        <v>0.5</v>
      </c>
      <c r="AU22" s="238">
        <f>SUMPRODUCT(--(WEEKDAY(C$3:AG$3,2)&lt;5),--ISNUMBER(MATCH(C22:AG22,{"DM","CS1","CS2","SB1","AE","CS/B"},0)))</f>
        <v/>
      </c>
      <c r="AV22" s="238" t="n"/>
      <c r="AW22" s="238">
        <f>SUMPRODUCT(--(WEEKDAY(C$3:AG$3,2)=5),--ISNUMBER(MATCH(C22:AG22,{"DM","CS1","CS2","SB1","AE","CS/B"},0)))</f>
        <v/>
      </c>
      <c r="AX22" s="238">
        <f>SUMPRODUCT(--(WEEKDAY(C$3:AG$3,2)&gt;5),--ISNUMBER(MATCH(C22:AG22,{"DM","CS1","CS2","SB1","AE","CS/B"},0)))</f>
        <v/>
      </c>
      <c r="AY22" s="238" t="n"/>
      <c r="AZ22" s="238">
        <f>(AU22-AV22)+AW22*1.5+(AX22-AY22)*2+AN22*0.5+AP22*0.5+AS22-AT22</f>
        <v/>
      </c>
      <c r="BA22" s="238">
        <f>AU22+AW22+AX22</f>
        <v/>
      </c>
      <c r="BB22" s="238">
        <f>BE22+BG22+BI22+BK22+BM22</f>
        <v/>
      </c>
      <c r="BC22" s="239">
        <f>AZ22+BD22</f>
        <v/>
      </c>
      <c r="BD22" s="238">
        <f>BF22+BH22+BJ22+BL22+BN22</f>
        <v/>
      </c>
      <c r="BE22" s="238">
        <f>COUNTIF(A22:AI22,"*$BTP*")</f>
        <v/>
      </c>
      <c r="BF22" s="238">
        <f>BE22*1.5</f>
        <v/>
      </c>
      <c r="BG22" s="238">
        <f>COUNTIF(A22:AI22,"*$M*")</f>
        <v/>
      </c>
      <c r="BH22" s="238">
        <f>BG22*1</f>
        <v/>
      </c>
      <c r="BI22" s="238">
        <f>COUNTIF(A22:AI22,"*$PM*")</f>
        <v/>
      </c>
      <c r="BJ22" s="238">
        <f>BI22*0.5</f>
        <v/>
      </c>
      <c r="BK22" s="238">
        <f>COUNTIF(A22:AI22,"*$AM*")</f>
        <v/>
      </c>
      <c r="BL22" s="238">
        <f>BK22*0.5</f>
        <v/>
      </c>
      <c r="BM22" s="238">
        <f>COUNTIF(A22:AI22,"*$FC*")</f>
        <v/>
      </c>
      <c r="BN22" s="238">
        <f>BM22*1</f>
        <v/>
      </c>
      <c r="BO22" s="238">
        <f>COUNTIF($D22:$AA22,BO$4)</f>
        <v/>
      </c>
      <c r="BP22" s="238">
        <f>COUNTIF($D22:$AA22,BP$4)</f>
        <v/>
      </c>
      <c r="BQ22" s="238">
        <f>COUNTIF($D22:$AA22,BQ$4)</f>
        <v/>
      </c>
      <c r="BR22" s="240" t="n"/>
    </row>
    <row r="23" ht="48" customHeight="1">
      <c r="A23" s="233" t="n"/>
      <c r="B23" s="186" t="inlineStr">
        <is>
          <t xml:space="preserve">LCP KUEH YAN SHENG </t>
        </is>
      </c>
      <c r="C23" s="137" t="n"/>
      <c r="D23" s="137" t="n"/>
      <c r="G23" s="137" t="n"/>
      <c r="H23" s="137" t="n"/>
      <c r="I23" s="137" t="n"/>
      <c r="J23" s="137" t="n"/>
      <c r="K23" s="137" t="n"/>
      <c r="L23" s="137" t="n"/>
      <c r="N23" s="137" t="n"/>
      <c r="P23" s="137" t="n"/>
      <c r="R23" s="137" t="n"/>
      <c r="S23" s="137" t="n"/>
      <c r="T23" s="137" t="n"/>
      <c r="U23" s="137" t="n"/>
      <c r="W23" s="137" t="n"/>
      <c r="Y23" s="137" t="n"/>
      <c r="Z23" s="137" t="n"/>
      <c r="AA23" s="137" t="n"/>
      <c r="AB23" s="137" t="n"/>
      <c r="AD23" s="137" t="n"/>
      <c r="AF23" s="137" t="n"/>
      <c r="AG23" s="137" t="n"/>
      <c r="AH23" s="197" t="n"/>
      <c r="AI23" s="237">
        <f>COUNTIF($C23:$AG23,AI$4)</f>
        <v/>
      </c>
      <c r="AJ23" s="237">
        <f>COUNTIF($C23:$AG23,AJ$4)</f>
        <v/>
      </c>
      <c r="AK23" s="237">
        <f>COUNTIF($C23:$AG23,AK$4)</f>
        <v/>
      </c>
      <c r="AL23" s="237">
        <f>COUNTIF($C23:$AG23,AL$4)</f>
        <v/>
      </c>
      <c r="AM23" s="237">
        <f>COUNTIF($C23:$AG23,AM$4)</f>
        <v/>
      </c>
      <c r="AN23" s="237">
        <f>COUNTIF($C23:$AG23,AN$4)</f>
        <v/>
      </c>
      <c r="AO23" s="237">
        <f>COUNTIF($C23:$AG23,AO$4)</f>
        <v/>
      </c>
      <c r="AP23" s="237">
        <f>COUNTIF($C23:$AG23,AP$4)</f>
        <v/>
      </c>
      <c r="AQ23" s="237">
        <f>COUNTIF($C23:$AG23,AQ$4)</f>
        <v/>
      </c>
      <c r="AR23" s="238" t="n"/>
      <c r="AS23" s="239" t="n"/>
      <c r="AT23" s="239" t="n">
        <v>9</v>
      </c>
      <c r="AU23" s="238">
        <f>SUMPRODUCT(--(WEEKDAY(C$3:AG$3,2)&lt;5),--ISNUMBER(MATCH(C23:AG23,{"DM","CS1","CS2","SB1","AE","CS/B"},0)))</f>
        <v/>
      </c>
      <c r="AV23" s="238" t="n"/>
      <c r="AW23" s="238">
        <f>SUMPRODUCT(--(WEEKDAY(C$3:AG$3,2)=5),--ISNUMBER(MATCH(C23:AG23,{"DM","CS1","CS2","SB1","AE","CS/B"},0)))</f>
        <v/>
      </c>
      <c r="AX23" s="238">
        <f>SUMPRODUCT(--(WEEKDAY(C$3:AG$3,2)&gt;5),--ISNUMBER(MATCH(C23:AG23,{"DM","CS1","CS2","SB1","AE","CS/B"},0)))</f>
        <v/>
      </c>
      <c r="AY23" s="238" t="n"/>
      <c r="AZ23" s="238">
        <f>(AU23-AV23)+AW23*1.5+(AX23-AY23)*2+AN23*0.5+AP23*0.5+AS23-AT23</f>
        <v/>
      </c>
      <c r="BA23" s="238">
        <f>AU23+AW23+AX23</f>
        <v/>
      </c>
      <c r="BB23" s="238">
        <f>BE23+BG23+BI23+BK23+BM23</f>
        <v/>
      </c>
      <c r="BC23" s="239">
        <f>AZ23+BD23</f>
        <v/>
      </c>
      <c r="BD23" s="238">
        <f>BF23+BH23+BJ23+BL23+BN23</f>
        <v/>
      </c>
      <c r="BE23" s="238">
        <f>COUNTIF(A23:AI23,"*$BTP*")</f>
        <v/>
      </c>
      <c r="BF23" s="238">
        <f>BE23*1.5</f>
        <v/>
      </c>
      <c r="BG23" s="238">
        <f>COUNTIF(A23:AI23,"*$M*")</f>
        <v/>
      </c>
      <c r="BH23" s="238">
        <f>BG23*1</f>
        <v/>
      </c>
      <c r="BI23" s="238">
        <f>COUNTIF(A23:AI23,"*$PM*")</f>
        <v/>
      </c>
      <c r="BJ23" s="238">
        <f>BI23*0.5</f>
        <v/>
      </c>
      <c r="BK23" s="238">
        <f>COUNTIF(A23:AI23,"*$AM*")</f>
        <v/>
      </c>
      <c r="BL23" s="238">
        <f>BK23*0.5</f>
        <v/>
      </c>
      <c r="BM23" s="238">
        <f>COUNTIF(A23:AI23,"*$FC*")</f>
        <v/>
      </c>
      <c r="BN23" s="238">
        <f>BM23*1</f>
        <v/>
      </c>
      <c r="BO23" s="238">
        <f>COUNTIF($D23:$AA23,BO$4)</f>
        <v/>
      </c>
      <c r="BP23" s="238">
        <f>COUNTIF($D23:$AA23,BP$4)</f>
        <v/>
      </c>
      <c r="BQ23" s="238">
        <f>COUNTIF($D23:$AA23,BQ$4)</f>
        <v/>
      </c>
      <c r="BR23" s="240" t="n"/>
    </row>
    <row r="24" ht="48.75" customHeight="1">
      <c r="A24" s="233" t="n"/>
      <c r="B24" s="186" t="inlineStr">
        <is>
          <t>LCP MUHAMMAD YASIR BIN MUHAMMAD HIJAZ</t>
        </is>
      </c>
      <c r="D24" s="75" t="n"/>
      <c r="E24" s="137" t="inlineStr">
        <is>
          <t>SCH 1 $M GP REHEARSAL (0800-1700)</t>
        </is>
      </c>
      <c r="F24" s="1" t="inlineStr">
        <is>
          <t>AE</t>
        </is>
      </c>
      <c r="G24" s="75" t="n"/>
      <c r="H24" s="245" t="inlineStr">
        <is>
          <t>SB1</t>
        </is>
      </c>
      <c r="I24" s="75" t="n"/>
      <c r="J24" s="241" t="n"/>
      <c r="K24" s="75" t="n"/>
      <c r="L24" s="75" t="inlineStr">
        <is>
          <t>R $AM ER (0500-1000)</t>
        </is>
      </c>
      <c r="M24" s="75" t="n"/>
      <c r="N24" s="75" t="n"/>
      <c r="O24" s="241" t="n"/>
      <c r="P24" s="241" t="n"/>
      <c r="Q24" s="241" t="n"/>
      <c r="R24" s="75" t="inlineStr">
        <is>
          <t>COVER RESERVE</t>
        </is>
      </c>
      <c r="S24" s="75" t="n"/>
      <c r="T24" s="75" t="n"/>
      <c r="U24" s="75" t="n"/>
      <c r="V24" s="75" t="inlineStr">
        <is>
          <t>PM AL</t>
        </is>
      </c>
      <c r="W24" s="234" t="inlineStr">
        <is>
          <t>HARI RAYA</t>
        </is>
      </c>
      <c r="X24" s="234" t="inlineStr">
        <is>
          <t>HARI RAYA</t>
        </is>
      </c>
      <c r="Y24" s="75" t="n"/>
      <c r="Z24" s="75" t="inlineStr">
        <is>
          <t>J $AM ER (0600-1100)</t>
        </is>
      </c>
      <c r="AA24" s="75" t="inlineStr">
        <is>
          <t>SB2</t>
        </is>
      </c>
      <c r="AB24" s="136" t="inlineStr">
        <is>
          <t>SHADOW OUTSIDE CS</t>
        </is>
      </c>
      <c r="AC24" s="137" t="inlineStr">
        <is>
          <t>S $AM IPPT (0500-1000)</t>
        </is>
      </c>
      <c r="AD24" s="75" t="n"/>
      <c r="AE24" s="75" t="n"/>
      <c r="AF24" s="75" t="n"/>
      <c r="AG24" s="75" t="n"/>
      <c r="AH24" s="197" t="n"/>
      <c r="AI24" s="237">
        <f>COUNTIF($C24:$AG24,AI$4)</f>
        <v/>
      </c>
      <c r="AJ24" s="237">
        <f>COUNTIF($C24:$AG24,AJ$4)</f>
        <v/>
      </c>
      <c r="AK24" s="237">
        <f>COUNTIF($C24:$AG24,AK$4)</f>
        <v/>
      </c>
      <c r="AL24" s="237">
        <f>COUNTIF($C24:$AG24,AL$4)</f>
        <v/>
      </c>
      <c r="AM24" s="237">
        <f>COUNTIF($C24:$AG24,AM$4)</f>
        <v/>
      </c>
      <c r="AN24" s="237">
        <f>COUNTIF($C24:$AG24,AN$4)</f>
        <v/>
      </c>
      <c r="AO24" s="237">
        <f>COUNTIF($C24:$AG24,AO$4)</f>
        <v/>
      </c>
      <c r="AP24" s="237">
        <f>COUNTIF($C24:$AG24,AP$4)</f>
        <v/>
      </c>
      <c r="AQ24" s="237">
        <f>COUNTIF($C24:$AG24,AQ$4)</f>
        <v/>
      </c>
      <c r="AR24" s="238" t="n"/>
      <c r="AS24" s="239" t="n">
        <v>1.5</v>
      </c>
      <c r="AT24" s="239" t="n"/>
      <c r="AU24" s="238">
        <f>SUMPRODUCT(--(WEEKDAY(C$3:AG$3,2)&lt;5),--ISNUMBER(MATCH(C24:AG24,{"DM","CS1","CS2","SB1","AE","CS/B"},0)))</f>
        <v/>
      </c>
      <c r="AV24" s="238" t="n"/>
      <c r="AW24" s="238">
        <f>SUMPRODUCT(--(WEEKDAY(C$3:AG$3,2)=5),--ISNUMBER(MATCH(C24:AG24,{"DM","CS1","CS2","SB1","AE","CS/B"},0)))</f>
        <v/>
      </c>
      <c r="AX24" s="238">
        <f>SUMPRODUCT(--(WEEKDAY(C$3:AG$3,2)&gt;5),--ISNUMBER(MATCH(C24:AG24,{"DM","CS1","CS2","SB1","AE","CS/B"},0)))</f>
        <v/>
      </c>
      <c r="AY24" s="238" t="n"/>
      <c r="AZ24" s="238">
        <f>(AU24-AV24)+AW24*1.5+(AX24-AY24)*2+AN24*0.5+AP24*0.5+AS24-AT24</f>
        <v/>
      </c>
      <c r="BA24" s="238">
        <f>AU24+AW24+AX24</f>
        <v/>
      </c>
      <c r="BB24" s="238">
        <f>BE24+BG24+BI24+BK24+BM24</f>
        <v/>
      </c>
      <c r="BC24" s="239">
        <f>AZ24+BD24</f>
        <v/>
      </c>
      <c r="BD24" s="238">
        <f>BF24+BH24+BJ24+BL24+BN24</f>
        <v/>
      </c>
      <c r="BE24" s="238">
        <f>COUNTIF(A24:AI24,"*$BTP*")</f>
        <v/>
      </c>
      <c r="BF24" s="238">
        <f>BE24*1.5</f>
        <v/>
      </c>
      <c r="BG24" s="238">
        <f>COUNTIF(A24:AI24,"*$M*")</f>
        <v/>
      </c>
      <c r="BH24" s="238">
        <f>BG24*1</f>
        <v/>
      </c>
      <c r="BI24" s="238">
        <f>COUNTIF(A24:AI24,"*$PM*")</f>
        <v/>
      </c>
      <c r="BJ24" s="238">
        <f>BI24*0.5</f>
        <v/>
      </c>
      <c r="BK24" s="238">
        <f>COUNTIF(A24:AI24,"*$AM*")</f>
        <v/>
      </c>
      <c r="BL24" s="238">
        <f>BK24*0.5</f>
        <v/>
      </c>
      <c r="BM24" s="238">
        <f>COUNTIF(A24:AI24,"*$FC*")</f>
        <v/>
      </c>
      <c r="BN24" s="238">
        <f>BM24*1</f>
        <v/>
      </c>
      <c r="BO24" s="238">
        <f>COUNTIF($D24:$AA24,BO$4)</f>
        <v/>
      </c>
      <c r="BP24" s="238">
        <f>COUNTIF($D24:$AA24,BP$4)</f>
        <v/>
      </c>
      <c r="BQ24" s="238">
        <f>COUNTIF($D24:$AA24,BQ$4)</f>
        <v/>
      </c>
      <c r="BR24" s="240" t="n"/>
    </row>
    <row r="25" ht="51" customHeight="1">
      <c r="A25" s="233" t="n"/>
      <c r="B25" s="186" t="inlineStr">
        <is>
          <t>CFC JASON TAN JIAN CHEN</t>
        </is>
      </c>
      <c r="C25" s="137" t="n"/>
      <c r="D25" s="137" t="inlineStr">
        <is>
          <t>WISDOM</t>
        </is>
      </c>
      <c r="E25" s="137" t="inlineStr">
        <is>
          <t>MC</t>
        </is>
      </c>
      <c r="F25" s="137" t="inlineStr">
        <is>
          <t>MC</t>
        </is>
      </c>
      <c r="G25" s="137" t="inlineStr">
        <is>
          <t>MC</t>
        </is>
      </c>
      <c r="H25" s="137" t="inlineStr">
        <is>
          <t>MC</t>
        </is>
      </c>
      <c r="I25" s="137" t="inlineStr">
        <is>
          <t>MC</t>
        </is>
      </c>
      <c r="J25" s="137" t="n"/>
      <c r="K25" s="137" t="inlineStr">
        <is>
          <t>DM</t>
        </is>
      </c>
      <c r="L25" s="187" t="n"/>
      <c r="M25" s="75" t="inlineStr">
        <is>
          <t>DM</t>
        </is>
      </c>
      <c r="N25" s="137" t="n"/>
      <c r="O25" s="137" t="n"/>
      <c r="P25" s="137" t="n"/>
      <c r="Q25" s="137" t="n"/>
      <c r="R25" s="75" t="inlineStr">
        <is>
          <t>DM</t>
        </is>
      </c>
      <c r="T25" s="75" t="inlineStr">
        <is>
          <t>CS1</t>
        </is>
      </c>
      <c r="U25" s="137" t="n"/>
      <c r="V25" s="137" t="n"/>
      <c r="W25" s="137" t="n"/>
      <c r="X25" s="137" t="n"/>
      <c r="Y25" s="137" t="n"/>
      <c r="Z25" s="137" t="inlineStr">
        <is>
          <t>CS1</t>
        </is>
      </c>
      <c r="AA25" s="137" t="n"/>
      <c r="AB25" s="137" t="n"/>
      <c r="AC25" s="137" t="n"/>
      <c r="AD25" s="137" t="n"/>
      <c r="AE25" s="137" t="n"/>
      <c r="AF25" s="137" t="n"/>
      <c r="AG25" s="137" t="n"/>
      <c r="AH25" s="197" t="n"/>
      <c r="AI25" s="237">
        <f>COUNTIF($C25:$AG25,AI$4)</f>
        <v/>
      </c>
      <c r="AJ25" s="237">
        <f>COUNTIF($C25:$AG25,AJ$4)</f>
        <v/>
      </c>
      <c r="AK25" s="237">
        <f>COUNTIF($C25:$AG25,AK$4)</f>
        <v/>
      </c>
      <c r="AL25" s="237">
        <f>COUNTIF($C25:$AG25,AL$4)</f>
        <v/>
      </c>
      <c r="AM25" s="237">
        <f>COUNTIF($C25:$AG25,AM$4)</f>
        <v/>
      </c>
      <c r="AN25" s="237">
        <f>COUNTIF($C25:$AG25,AN$4)</f>
        <v/>
      </c>
      <c r="AO25" s="237">
        <f>COUNTIF($C25:$AG25,AO$4)</f>
        <v/>
      </c>
      <c r="AP25" s="237">
        <f>COUNTIF($C25:$AG25,AP$4)</f>
        <v/>
      </c>
      <c r="AQ25" s="237">
        <f>COUNTIF($C25:$AG25,AQ$4)</f>
        <v/>
      </c>
      <c r="AR25" s="246" t="n"/>
      <c r="AS25" s="239" t="n"/>
      <c r="AT25" s="239" t="n">
        <v>4</v>
      </c>
      <c r="AU25" s="238">
        <f>SUMPRODUCT(--(WEEKDAY(C$3:AG$3,2)&lt;5),--ISNUMBER(MATCH(C25:AG25,{"DM","CS1","CS2","SB1","AE","CS/B"},0)))</f>
        <v/>
      </c>
      <c r="AV25" s="238" t="n"/>
      <c r="AW25" s="238">
        <f>SUMPRODUCT(--(WEEKDAY(C$3:AG$3,2)=5),--ISNUMBER(MATCH(C25:AG25,{"DM","CS1","CS2","SB1","AE","CS/B"},0)))</f>
        <v/>
      </c>
      <c r="AX25" s="238">
        <f>SUMPRODUCT(--(WEEKDAY(C$3:AG$3,2)&gt;5),--ISNUMBER(MATCH(C25:AG25,{"DM","CS1","CS2","SB1","AE","CS/B"},0)))</f>
        <v/>
      </c>
      <c r="AY25" s="246" t="n"/>
      <c r="AZ25" s="238">
        <f>(AU25-AV25)+AW25*1.5+(AX25-AY25)*2+AN25*0.5+AP25*0.5+AS25-AT25</f>
        <v/>
      </c>
      <c r="BA25" s="238">
        <f>AU25+AW25+AX25</f>
        <v/>
      </c>
      <c r="BB25" s="238">
        <f>BE25+BG25+BI25+BK25+BM25</f>
        <v/>
      </c>
      <c r="BC25" s="239">
        <f>AZ25+BD25</f>
        <v/>
      </c>
      <c r="BD25" s="238">
        <f>BF25+BH25+BJ25+BL25+BN25</f>
        <v/>
      </c>
      <c r="BE25" s="238">
        <f>COUNTIF(A25:AI25,"*$BTP*")</f>
        <v/>
      </c>
      <c r="BF25" s="238">
        <f>BE25*1.5</f>
        <v/>
      </c>
      <c r="BG25" s="238">
        <f>COUNTIF(A25:AI25,"*$M*")</f>
        <v/>
      </c>
      <c r="BH25" s="238">
        <f>BG25*1</f>
        <v/>
      </c>
      <c r="BI25" s="238">
        <f>COUNTIF(A25:AI25,"*$PM*")</f>
        <v/>
      </c>
      <c r="BJ25" s="238">
        <f>BI25*0.5</f>
        <v/>
      </c>
      <c r="BK25" s="238">
        <f>COUNTIF(A25:AI25,"*$AM*")</f>
        <v/>
      </c>
      <c r="BL25" s="238">
        <f>BK25*0.5</f>
        <v/>
      </c>
      <c r="BM25" s="238">
        <f>COUNTIF(A25:AI25,"*$FC*")</f>
        <v/>
      </c>
      <c r="BN25" s="238">
        <f>BM25*1</f>
        <v/>
      </c>
      <c r="BO25" s="238">
        <f>COUNTIF($D25:$AA25,BO$4)</f>
        <v/>
      </c>
      <c r="BP25" s="238">
        <f>COUNTIF($D25:$AA25,BP$4)</f>
        <v/>
      </c>
      <c r="BQ25" s="238">
        <f>COUNTIF($D25:$AA25,BQ$4)</f>
        <v/>
      </c>
      <c r="BR25" s="247" t="n"/>
    </row>
    <row r="26" ht="19.5" customHeight="1">
      <c r="A26" s="233" t="n"/>
      <c r="B26" s="186" t="inlineStr">
        <is>
          <t>LCP CHYE JING AN MAXIMUS</t>
        </is>
      </c>
      <c r="C26" s="75" t="inlineStr">
        <is>
          <t>CS/B</t>
        </is>
      </c>
      <c r="D26" s="75" t="n"/>
      <c r="E26" s="75" t="inlineStr">
        <is>
          <t>SB2</t>
        </is>
      </c>
      <c r="F26" s="137" t="inlineStr">
        <is>
          <t>L $AM GX PHASE 1 (0400-1200)</t>
        </is>
      </c>
      <c r="G26" s="75" t="n"/>
      <c r="H26" s="75" t="inlineStr">
        <is>
          <t>OL</t>
        </is>
      </c>
      <c r="I26" s="75" t="inlineStr">
        <is>
          <t>OL</t>
        </is>
      </c>
      <c r="J26" s="75" t="inlineStr">
        <is>
          <t>OL</t>
        </is>
      </c>
      <c r="K26" s="75" t="inlineStr">
        <is>
          <t>OL</t>
        </is>
      </c>
      <c r="L26" s="75" t="inlineStr">
        <is>
          <t>OL</t>
        </is>
      </c>
      <c r="M26" s="75" t="inlineStr">
        <is>
          <t>OL</t>
        </is>
      </c>
      <c r="N26" s="75" t="inlineStr">
        <is>
          <t>OL</t>
        </is>
      </c>
      <c r="O26" s="75" t="n"/>
      <c r="P26" s="75" t="n"/>
      <c r="Q26" s="75" t="n"/>
      <c r="R26" s="75" t="n"/>
      <c r="S26" s="75" t="n"/>
      <c r="T26" s="75" t="n"/>
      <c r="U26" s="75" t="n"/>
      <c r="V26" s="137" t="n"/>
      <c r="W26" s="75" t="inlineStr">
        <is>
          <t>CS2</t>
        </is>
      </c>
      <c r="X26" s="75" t="n"/>
      <c r="Y26" s="75" t="n"/>
      <c r="Z26" s="75" t="n"/>
      <c r="AA26" s="75" t="inlineStr">
        <is>
          <t>COVER RESERVE</t>
        </is>
      </c>
      <c r="AB26" s="75" t="n"/>
      <c r="AC26" s="136" t="n"/>
      <c r="AD26" s="75" t="inlineStr">
        <is>
          <t>RESERVE</t>
        </is>
      </c>
      <c r="AE26" s="75" t="n"/>
      <c r="AF26" s="75" t="n"/>
      <c r="AG26" s="75" t="inlineStr">
        <is>
          <t>CS2</t>
        </is>
      </c>
      <c r="AH26" s="197" t="n"/>
      <c r="AI26" s="237">
        <f>COUNTIF($C26:$AG26,AI$4)</f>
        <v/>
      </c>
      <c r="AJ26" s="237">
        <f>COUNTIF($C26:$AG26,AJ$4)</f>
        <v/>
      </c>
      <c r="AK26" s="237">
        <f>COUNTIF($C26:$AG26,AK$4)</f>
        <v/>
      </c>
      <c r="AL26" s="237">
        <f>COUNTIF($C26:$AG26,AL$4)</f>
        <v/>
      </c>
      <c r="AM26" s="237">
        <f>COUNTIF($C26:$AG26,AM$4)</f>
        <v/>
      </c>
      <c r="AN26" s="237">
        <f>COUNTIF($C26:$AG26,AN$4)</f>
        <v/>
      </c>
      <c r="AO26" s="237">
        <f>COUNTIF($C26:$AG26,AO$4)</f>
        <v/>
      </c>
      <c r="AP26" s="237">
        <f>COUNTIF($C26:$AG26,AP$4)</f>
        <v/>
      </c>
      <c r="AQ26" s="237">
        <f>COUNTIF($C26:$AG26,AQ$4)</f>
        <v/>
      </c>
      <c r="AR26" s="246" t="n"/>
      <c r="AS26" s="239" t="n">
        <v>1</v>
      </c>
      <c r="AT26" s="239" t="n"/>
      <c r="AU26" s="238">
        <f>SUMPRODUCT(--(WEEKDAY(C$3:AG$3,2)&lt;5),--ISNUMBER(MATCH(C26:AG26,{"DM","CS1","CS2","SB1","AE","CS/B"},0)))</f>
        <v/>
      </c>
      <c r="AV26" s="246" t="n"/>
      <c r="AW26" s="238">
        <f>SUMPRODUCT(--(WEEKDAY(C$3:AG$3,2)=5),--ISNUMBER(MATCH(C26:AG26,{"DM","CS1","CS2","SB1","AE","CS/B"},0)))</f>
        <v/>
      </c>
      <c r="AX26" s="238">
        <f>SUMPRODUCT(--(WEEKDAY(C$3:AG$3,2)&gt;5),--ISNUMBER(MATCH(C26:AG26,{"DM","CS1","CS2","SB1","AE","CS/B"},0)))</f>
        <v/>
      </c>
      <c r="AY26" s="246" t="n"/>
      <c r="AZ26" s="238">
        <f>(AU26-AV26)+AW26*1.5+(AX26-AY26)*2+AN26*0.5+AP26*0.5+AS26-AT26</f>
        <v/>
      </c>
      <c r="BA26" s="238">
        <f>AU26+AW26+AX26</f>
        <v/>
      </c>
      <c r="BB26" s="238">
        <f>BE26+BG26+BI26+BK26+BM26</f>
        <v/>
      </c>
      <c r="BC26" s="239">
        <f>AZ26+BD26</f>
        <v/>
      </c>
      <c r="BD26" s="238">
        <f>BF26+BH26+BJ26+BL26+BN26</f>
        <v/>
      </c>
      <c r="BE26" s="238">
        <f>COUNTIF(A26:AI26,"*$BTP*")</f>
        <v/>
      </c>
      <c r="BF26" s="238">
        <f>BE26*1.5</f>
        <v/>
      </c>
      <c r="BG26" s="238">
        <f>COUNTIF(A26:AI26,"*$M*")</f>
        <v/>
      </c>
      <c r="BH26" s="238">
        <f>BG26*1</f>
        <v/>
      </c>
      <c r="BI26" s="238">
        <f>COUNTIF(A26:AI26,"*$PM*")</f>
        <v/>
      </c>
      <c r="BJ26" s="238">
        <f>BI26*0.5</f>
        <v/>
      </c>
      <c r="BK26" s="238">
        <f>COUNTIF(A26:AI26,"*$AM*")</f>
        <v/>
      </c>
      <c r="BL26" s="238">
        <f>BK26*0.5</f>
        <v/>
      </c>
      <c r="BM26" s="238">
        <f>COUNTIF(A26:AI26,"*$FC*")</f>
        <v/>
      </c>
      <c r="BN26" s="238">
        <f>BM26*1</f>
        <v/>
      </c>
      <c r="BO26" s="238">
        <f>COUNTIF($D26:$AA26,BO$4)</f>
        <v/>
      </c>
      <c r="BP26" s="238">
        <f>COUNTIF($D26:$AA26,BP$4)</f>
        <v/>
      </c>
      <c r="BQ26" s="238">
        <f>COUNTIF($D26:$AA26,BQ$4)</f>
        <v/>
      </c>
      <c r="BR26" s="247" t="n"/>
    </row>
    <row r="27" ht="19.5" customHeight="1">
      <c r="A27" s="233" t="n"/>
      <c r="B27" s="186" t="inlineStr">
        <is>
          <t>LCP TAN JUN YANG KELVIN</t>
        </is>
      </c>
      <c r="C27" s="137" t="n"/>
      <c r="D27" s="137" t="inlineStr">
        <is>
          <t>AM MA</t>
        </is>
      </c>
      <c r="E27" s="137" t="n"/>
      <c r="F27" s="75" t="inlineStr">
        <is>
          <t>P $AM GX PHASE 1 (0400-1200)</t>
        </is>
      </c>
      <c r="G27" s="137" t="inlineStr">
        <is>
          <t>GP</t>
        </is>
      </c>
      <c r="H27" s="137" t="inlineStr">
        <is>
          <t>GP</t>
        </is>
      </c>
      <c r="I27" s="137" t="inlineStr">
        <is>
          <t>GP $M</t>
        </is>
      </c>
      <c r="J27" s="137" t="n"/>
      <c r="K27" s="137" t="n"/>
      <c r="L27" s="137" t="inlineStr">
        <is>
          <t>RESERVE</t>
        </is>
      </c>
      <c r="M27" s="137" t="n"/>
      <c r="N27" s="75" t="n"/>
      <c r="O27" s="137" t="inlineStr">
        <is>
          <t>CS2</t>
        </is>
      </c>
      <c r="P27" s="137" t="n"/>
      <c r="Q27" s="137" t="n"/>
      <c r="R27" s="137" t="inlineStr">
        <is>
          <t>CS2</t>
        </is>
      </c>
      <c r="S27" s="137" t="n"/>
      <c r="T27" s="137" t="inlineStr">
        <is>
          <t>CS2</t>
        </is>
      </c>
      <c r="V27" s="136" t="n"/>
      <c r="W27" s="137" t="n"/>
      <c r="X27" s="137" t="n"/>
      <c r="Y27" s="137" t="n"/>
      <c r="Z27" s="137" t="n"/>
      <c r="AA27" s="137" t="n"/>
      <c r="AB27" s="137" t="inlineStr">
        <is>
          <t>RESERVE</t>
        </is>
      </c>
      <c r="AC27" s="137" t="n"/>
      <c r="AD27" s="137" t="inlineStr">
        <is>
          <t>CS1</t>
        </is>
      </c>
      <c r="AE27" s="137" t="n"/>
      <c r="AF27" s="137" t="inlineStr">
        <is>
          <t>SB2</t>
        </is>
      </c>
      <c r="AG27" s="136" t="inlineStr">
        <is>
          <t>CS1</t>
        </is>
      </c>
      <c r="AH27" s="197" t="n"/>
      <c r="AI27" s="237">
        <f>COUNTIF($C27:$AG27,AI$4)</f>
        <v/>
      </c>
      <c r="AJ27" s="237">
        <f>COUNTIF($C27:$AG27,AJ$4)</f>
        <v/>
      </c>
      <c r="AK27" s="237">
        <f>COUNTIF($C27:$AG27,AK$4)</f>
        <v/>
      </c>
      <c r="AL27" s="237">
        <f>COUNTIF($C27:$AG27,AL$4)</f>
        <v/>
      </c>
      <c r="AM27" s="237">
        <f>COUNTIF($C27:$AG27,AM$4)</f>
        <v/>
      </c>
      <c r="AN27" s="237">
        <f>COUNTIF($C27:$AG27,AN$4)</f>
        <v/>
      </c>
      <c r="AO27" s="237">
        <f>COUNTIF($C27:$AG27,AO$4)</f>
        <v/>
      </c>
      <c r="AP27" s="237">
        <f>COUNTIF($C27:$AG27,AP$4)</f>
        <v/>
      </c>
      <c r="AQ27" s="237">
        <f>COUNTIF($C27:$AG27,AQ$4)</f>
        <v/>
      </c>
      <c r="AR27" s="246" t="n"/>
      <c r="AS27" s="239" t="n"/>
      <c r="AT27" s="239" t="n">
        <v>2</v>
      </c>
      <c r="AU27" s="238">
        <f>SUMPRODUCT(--(WEEKDAY(C$3:AG$3,2)&lt;5),--ISNUMBER(MATCH(C27:AG27,{"DM","CS1","CS2","SB1","AE","CS/B"},0)))</f>
        <v/>
      </c>
      <c r="AV27" s="246" t="n"/>
      <c r="AW27" s="238">
        <f>SUMPRODUCT(--(WEEKDAY(C$3:AG$3,2)=5),--ISNUMBER(MATCH(C27:AG27,{"DM","CS1","CS2","SB1","AE","CS/B"},0)))</f>
        <v/>
      </c>
      <c r="AX27" s="238">
        <f>SUMPRODUCT(--(WEEKDAY(C$3:AG$3,2)&gt;5),--ISNUMBER(MATCH(C27:AG27,{"DM","CS1","CS2","SB1","AE","CS/B"},0)))</f>
        <v/>
      </c>
      <c r="AY27" s="246" t="n"/>
      <c r="AZ27" s="238">
        <f>(AU27-AV27)+AW27*1.5+(AX27-AY27)*2+AN27*0.5+AP27*0.5+AS27-AT27</f>
        <v/>
      </c>
      <c r="BA27" s="238">
        <f>AU27+AW27+AX27</f>
        <v/>
      </c>
      <c r="BB27" s="238">
        <f>BE27+BG27+BI27+BK27+BM27</f>
        <v/>
      </c>
      <c r="BC27" s="239">
        <f>AZ27+BD27</f>
        <v/>
      </c>
      <c r="BD27" s="238">
        <f>BF27+BH27+BJ27+BL27+BN27</f>
        <v/>
      </c>
      <c r="BE27" s="238">
        <f>COUNTIF(A27:AI27,"*$BTP*")</f>
        <v/>
      </c>
      <c r="BF27" s="238">
        <f>BE27*1.5</f>
        <v/>
      </c>
      <c r="BG27" s="238">
        <f>COUNTIF(A27:AI27,"*$M*")</f>
        <v/>
      </c>
      <c r="BH27" s="238">
        <f>BG27*1</f>
        <v/>
      </c>
      <c r="BI27" s="238">
        <f>COUNTIF(A27:AI27,"*$PM*")</f>
        <v/>
      </c>
      <c r="BJ27" s="238">
        <f>BI27*0.5</f>
        <v/>
      </c>
      <c r="BK27" s="238">
        <f>COUNTIF(A27:AI27,"*$AM*")</f>
        <v/>
      </c>
      <c r="BL27" s="238">
        <f>BK27*0.5</f>
        <v/>
      </c>
      <c r="BM27" s="238">
        <f>COUNTIF(A27:AI27,"*$FC*")</f>
        <v/>
      </c>
      <c r="BN27" s="238">
        <f>BM27*1</f>
        <v/>
      </c>
      <c r="BO27" s="238">
        <f>COUNTIF($D27:$AA27,BO$4)</f>
        <v/>
      </c>
      <c r="BP27" s="238">
        <f>COUNTIF($D27:$AA27,BP$4)</f>
        <v/>
      </c>
      <c r="BQ27" s="238">
        <f>COUNTIF($D27:$AA27,BQ$4)</f>
        <v/>
      </c>
      <c r="BR27" s="247" t="n"/>
    </row>
    <row r="28" ht="19.5" customHeight="1">
      <c r="A28" s="233" t="n"/>
      <c r="B28" s="186" t="inlineStr">
        <is>
          <t>LCP QUEK ZI YI</t>
        </is>
      </c>
      <c r="C28" s="75" t="n"/>
      <c r="D28" s="75" t="n"/>
      <c r="E28" s="75" t="inlineStr">
        <is>
          <t>DM</t>
        </is>
      </c>
      <c r="F28" s="137" t="inlineStr">
        <is>
          <t>SKILLS FUTURE</t>
        </is>
      </c>
      <c r="G28" s="75" t="inlineStr">
        <is>
          <t>CS/B</t>
        </is>
      </c>
      <c r="H28" s="75" t="n"/>
      <c r="I28" s="241" t="n"/>
      <c r="J28" s="137" t="inlineStr">
        <is>
          <t>CS2</t>
        </is>
      </c>
      <c r="K28" s="75" t="n"/>
      <c r="L28" s="53" t="inlineStr">
        <is>
          <t>DM</t>
        </is>
      </c>
      <c r="M28" s="75" t="n"/>
      <c r="N28" s="136" t="n"/>
      <c r="O28" s="75" t="inlineStr">
        <is>
          <t>RESERVE</t>
        </is>
      </c>
      <c r="P28" s="75" t="n"/>
      <c r="Q28" s="75" t="n"/>
      <c r="S28" s="137" t="inlineStr">
        <is>
          <t>DM</t>
        </is>
      </c>
      <c r="T28" s="75" t="n"/>
      <c r="U28" s="75" t="n"/>
      <c r="V28" s="241" t="n"/>
      <c r="W28" s="241" t="n"/>
      <c r="X28" s="241" t="n"/>
      <c r="Y28" s="75" t="n"/>
      <c r="Z28" s="75" t="n"/>
      <c r="AA28" s="136" t="n"/>
      <c r="AB28" s="137" t="inlineStr">
        <is>
          <t>R $AM IPPT (0500-1000)</t>
        </is>
      </c>
      <c r="AC28" s="75" t="inlineStr">
        <is>
          <t>CS2</t>
        </is>
      </c>
      <c r="AD28" s="75" t="n"/>
      <c r="AE28" s="75" t="n"/>
      <c r="AF28" s="75" t="n"/>
      <c r="AG28" s="75" t="n"/>
      <c r="AH28" s="53" t="n"/>
      <c r="AI28" s="237">
        <f>COUNTIF($C28:$AG28,AI$4)</f>
        <v/>
      </c>
      <c r="AJ28" s="237">
        <f>COUNTIF($C28:$AG28,AJ$4)</f>
        <v/>
      </c>
      <c r="AK28" s="237">
        <f>COUNTIF($C28:$AG28,AK$4)</f>
        <v/>
      </c>
      <c r="AL28" s="237">
        <f>COUNTIF($C28:$AG28,AL$4)</f>
        <v/>
      </c>
      <c r="AM28" s="237">
        <f>COUNTIF($C28:$AG28,AM$4)</f>
        <v/>
      </c>
      <c r="AN28" s="237">
        <f>COUNTIF($C28:$AG28,AN$4)</f>
        <v/>
      </c>
      <c r="AO28" s="237">
        <f>COUNTIF($C28:$AG28,AO$4)</f>
        <v/>
      </c>
      <c r="AP28" s="237">
        <f>COUNTIF($C28:$AG28,AP$4)</f>
        <v/>
      </c>
      <c r="AQ28" s="237">
        <f>COUNTIF($C28:$AG28,AQ$4)</f>
        <v/>
      </c>
      <c r="AR28" s="246" t="n"/>
      <c r="AS28" s="239" t="n"/>
      <c r="AT28" s="239" t="n">
        <v>1</v>
      </c>
      <c r="AU28" s="238">
        <f>SUMPRODUCT(--(WEEKDAY(C$3:AG$3,2)&lt;5),--ISNUMBER(MATCH(C28:AG28,{"DM","CS1","CS2","SB1","AE","CS/B"},0)))</f>
        <v/>
      </c>
      <c r="AV28" s="246" t="n"/>
      <c r="AW28" s="238">
        <f>SUMPRODUCT(--(WEEKDAY(C$3:AG$3,2)=5),--ISNUMBER(MATCH(C28:AG28,{"DM","CS1","CS2","SB1","AE","CS/B"},0)))</f>
        <v/>
      </c>
      <c r="AX28" s="238">
        <f>SUMPRODUCT(--(WEEKDAY(C$3:AG$3,2)&gt;5),--ISNUMBER(MATCH(C28:AG28,{"DM","CS1","CS2","SB1","AE","CS/B"},0)))</f>
        <v/>
      </c>
      <c r="AY28" s="246" t="n"/>
      <c r="AZ28" s="238">
        <f>(AU28-AV28)+AW28*1.5+(AX28-AY28)*2+AN28*0.5+AP28*0.5+AS28-AT28</f>
        <v/>
      </c>
      <c r="BA28" s="238">
        <f>AU28+AW28+AX28</f>
        <v/>
      </c>
      <c r="BB28" s="238">
        <f>BE28+BG28+BI28+BK28+BM28</f>
        <v/>
      </c>
      <c r="BC28" s="239">
        <f>AZ28+BD28</f>
        <v/>
      </c>
      <c r="BD28" s="238">
        <f>BF28+BH28+BJ28+BL28+BN28</f>
        <v/>
      </c>
      <c r="BE28" s="238">
        <f>COUNTIF(A28:AI28,"*$BTP*")</f>
        <v/>
      </c>
      <c r="BF28" s="238">
        <f>BE28*1.5</f>
        <v/>
      </c>
      <c r="BG28" s="238">
        <f>COUNTIF(A28:AI28,"*$M*")</f>
        <v/>
      </c>
      <c r="BH28" s="238">
        <f>BG28*1</f>
        <v/>
      </c>
      <c r="BI28" s="238">
        <f>COUNTIF(A28:AI28,"*$PM*")</f>
        <v/>
      </c>
      <c r="BJ28" s="238">
        <f>BI28*0.5</f>
        <v/>
      </c>
      <c r="BK28" s="238">
        <f>COUNTIF(A28:AI28,"*$AM*")</f>
        <v/>
      </c>
      <c r="BL28" s="238">
        <f>BK28*0.5</f>
        <v/>
      </c>
      <c r="BM28" s="238">
        <f>COUNTIF(A28:AI28,"*$FC*")</f>
        <v/>
      </c>
      <c r="BN28" s="238">
        <f>BM28*1</f>
        <v/>
      </c>
      <c r="BO28" s="238">
        <f>COUNTIF($D28:$AA28,BO$4)</f>
        <v/>
      </c>
      <c r="BP28" s="238">
        <f>COUNTIF($D28:$AA28,BP$4)</f>
        <v/>
      </c>
      <c r="BQ28" s="238">
        <f>COUNTIF($D28:$AA28,BQ$4)</f>
        <v/>
      </c>
      <c r="BR28" s="247" t="n"/>
    </row>
    <row r="29" ht="19.5" customHeight="1">
      <c r="A29" s="233" t="n"/>
      <c r="B29" s="186" t="inlineStr">
        <is>
          <t>LCP ZHANG ZHONGHAO</t>
        </is>
      </c>
      <c r="C29" s="137" t="n"/>
      <c r="D29" s="137" t="inlineStr">
        <is>
          <t>SCH 1 $M GP REHEARSAL (0800-1700)</t>
        </is>
      </c>
      <c r="E29" s="1" t="n"/>
      <c r="F29" s="137" t="inlineStr">
        <is>
          <t>GX $M</t>
        </is>
      </c>
      <c r="G29" s="137" t="inlineStr">
        <is>
          <t>GX</t>
        </is>
      </c>
      <c r="H29" s="137" t="n"/>
      <c r="I29" s="137" t="inlineStr">
        <is>
          <t>AE</t>
        </is>
      </c>
      <c r="J29" s="137" t="n"/>
      <c r="L29" s="137" t="n"/>
      <c r="M29" s="137" t="inlineStr">
        <is>
          <t>RESERVE</t>
        </is>
      </c>
      <c r="N29" s="137" t="n"/>
      <c r="O29" s="137" t="inlineStr">
        <is>
          <t>R/S $M ISAD (0500-1430)</t>
        </is>
      </c>
      <c r="P29" s="137" t="n"/>
      <c r="Q29" s="137" t="n"/>
      <c r="R29" s="75" t="inlineStr">
        <is>
          <t>COVER RESERVE</t>
        </is>
      </c>
      <c r="S29" s="137" t="n"/>
      <c r="T29" s="137" t="n"/>
      <c r="U29" s="137" t="n"/>
      <c r="V29" s="137" t="inlineStr">
        <is>
          <t>CS1</t>
        </is>
      </c>
      <c r="W29" s="137" t="n"/>
      <c r="X29" s="137" t="n"/>
      <c r="Y29" s="137" t="n"/>
      <c r="Z29" s="137" t="inlineStr">
        <is>
          <t>T $PM SOC (1700-2000)</t>
        </is>
      </c>
      <c r="AA29" s="137" t="n"/>
      <c r="AC29" s="75" t="n"/>
      <c r="AD29" s="137" t="n"/>
      <c r="AE29" s="137" t="inlineStr">
        <is>
          <t>AE</t>
        </is>
      </c>
      <c r="AF29" s="137" t="n"/>
      <c r="AG29" s="136" t="inlineStr">
        <is>
          <t>COVER RESERVE</t>
        </is>
      </c>
      <c r="AH29" s="197" t="n"/>
      <c r="AI29" s="237">
        <f>COUNTIF($C29:$AG29,AI$4)</f>
        <v/>
      </c>
      <c r="AJ29" s="237">
        <f>COUNTIF($C29:$AG29,AJ$4)</f>
        <v/>
      </c>
      <c r="AK29" s="237">
        <f>COUNTIF($C29:$AG29,AK$4)</f>
        <v/>
      </c>
      <c r="AL29" s="237">
        <f>COUNTIF($C29:$AG29,AL$4)</f>
        <v/>
      </c>
      <c r="AM29" s="237">
        <f>COUNTIF($C29:$AG29,AM$4)</f>
        <v/>
      </c>
      <c r="AN29" s="237">
        <f>COUNTIF($C29:$AG29,AN$4)</f>
        <v/>
      </c>
      <c r="AO29" s="237">
        <f>COUNTIF($C29:$AG29,AO$4)</f>
        <v/>
      </c>
      <c r="AP29" s="237">
        <f>COUNTIF($C29:$AG29,AP$4)</f>
        <v/>
      </c>
      <c r="AQ29" s="237">
        <f>COUNTIF($C29:$AG29,AQ$4)</f>
        <v/>
      </c>
      <c r="AR29" s="246" t="n"/>
      <c r="AS29" s="239" t="n"/>
      <c r="AT29" s="239" t="n">
        <v>1.5</v>
      </c>
      <c r="AU29" s="238">
        <f>SUMPRODUCT(--(WEEKDAY(C$3:AG$3,2)&lt;5),--ISNUMBER(MATCH(C29:AG29,{"DM","CS1","CS2","SB1","AE","CS/B"},0)))</f>
        <v/>
      </c>
      <c r="AV29" s="246" t="n"/>
      <c r="AW29" s="238">
        <f>SUMPRODUCT(--(WEEKDAY(C$3:AG$3,2)=5),--ISNUMBER(MATCH(C29:AG29,{"DM","CS1","CS2","SB1","AE","CS/B"},0)))</f>
        <v/>
      </c>
      <c r="AX29" s="238">
        <f>SUMPRODUCT(--(WEEKDAY(C$3:AG$3,2)&gt;5),--ISNUMBER(MATCH(C29:AG29,{"DM","CS1","CS2","SB1","AE","CS/B"},0)))</f>
        <v/>
      </c>
      <c r="AY29" s="246" t="n"/>
      <c r="AZ29" s="238">
        <f>(AU29-AV29)+AW29*1.5+(AX29-AY29)*2+AN29*0.5+AP29*0.5+AS29-AT29</f>
        <v/>
      </c>
      <c r="BA29" s="238">
        <f>AU29+AW29+AX29</f>
        <v/>
      </c>
      <c r="BB29" s="238">
        <f>BE29+BG29+BI29+BK29+BM29</f>
        <v/>
      </c>
      <c r="BC29" s="239">
        <f>AZ29+BD29</f>
        <v/>
      </c>
      <c r="BD29" s="238">
        <f>BF29+BH29+BJ29+BL29+BN29</f>
        <v/>
      </c>
      <c r="BE29" s="238">
        <f>COUNTIF(A29:AI29,"*$BTP*")</f>
        <v/>
      </c>
      <c r="BF29" s="238">
        <f>BE29*1.5</f>
        <v/>
      </c>
      <c r="BG29" s="238">
        <f>COUNTIF(A29:AI29,"*$M*")</f>
        <v/>
      </c>
      <c r="BH29" s="238">
        <f>BG29*1</f>
        <v/>
      </c>
      <c r="BI29" s="238">
        <f>COUNTIF(A29:AI29,"*$PM*")</f>
        <v/>
      </c>
      <c r="BJ29" s="238">
        <f>BI29*0.5</f>
        <v/>
      </c>
      <c r="BK29" s="238">
        <f>COUNTIF(A29:AI29,"*$AM*")</f>
        <v/>
      </c>
      <c r="BL29" s="238">
        <f>BK29*0.5</f>
        <v/>
      </c>
      <c r="BM29" s="238">
        <f>COUNTIF(A29:AI29,"*$FC*")</f>
        <v/>
      </c>
      <c r="BN29" s="238">
        <f>BM29*1</f>
        <v/>
      </c>
      <c r="BO29" s="238">
        <f>COUNTIF($D29:$AA29,BO$4)</f>
        <v/>
      </c>
      <c r="BP29" s="238">
        <f>COUNTIF($D29:$AA29,BP$4)</f>
        <v/>
      </c>
      <c r="BQ29" s="238">
        <f>COUNTIF($D29:$AA29,BQ$4)</f>
        <v/>
      </c>
      <c r="BR29" s="247" t="n"/>
    </row>
    <row r="30" ht="47.25" customHeight="1">
      <c r="A30" s="233" t="n"/>
      <c r="B30" s="186" t="inlineStr">
        <is>
          <t>LCP MACASERO TROY ADRIAN LARUMBE</t>
        </is>
      </c>
      <c r="C30" s="241" t="n"/>
      <c r="D30" s="241" t="inlineStr">
        <is>
          <t>(1430HRS) MA</t>
        </is>
      </c>
      <c r="E30" s="241" t="inlineStr">
        <is>
          <t>(0910HRS) MA</t>
        </is>
      </c>
      <c r="F30" s="1" t="inlineStr">
        <is>
          <t>CS1</t>
        </is>
      </c>
      <c r="G30" s="75" t="n"/>
      <c r="H30" s="75" t="inlineStr">
        <is>
          <t>GP (at night)</t>
        </is>
      </c>
      <c r="I30" s="75" t="inlineStr">
        <is>
          <t>GP $M</t>
        </is>
      </c>
      <c r="J30" s="241" t="n"/>
      <c r="K30" s="137" t="inlineStr">
        <is>
          <t>CS1</t>
        </is>
      </c>
      <c r="L30" s="75" t="n"/>
      <c r="M30" s="75" t="inlineStr">
        <is>
          <t>AM MA</t>
        </is>
      </c>
      <c r="N30" s="75" t="n"/>
      <c r="O30" s="75" t="inlineStr">
        <is>
          <t>AM MA</t>
        </is>
      </c>
      <c r="P30" s="75" t="inlineStr">
        <is>
          <t>AE</t>
        </is>
      </c>
      <c r="Q30" s="241" t="n"/>
      <c r="R30" s="75" t="n"/>
      <c r="S30" s="75" t="inlineStr">
        <is>
          <t>AE</t>
        </is>
      </c>
      <c r="T30" s="75" t="n"/>
      <c r="U30" s="75" t="n"/>
      <c r="V30" s="241" t="n"/>
      <c r="W30" s="75" t="inlineStr">
        <is>
          <t>AE</t>
        </is>
      </c>
      <c r="X30" s="241" t="n"/>
      <c r="Y30" s="75" t="n"/>
      <c r="Z30" s="137" t="inlineStr">
        <is>
          <t>AE</t>
        </is>
      </c>
      <c r="AA30" s="75" t="n"/>
      <c r="AB30" s="53" t="n"/>
      <c r="AC30" s="241" t="n"/>
      <c r="AD30" s="241" t="n"/>
      <c r="AE30" s="241" t="n"/>
      <c r="AF30" s="75" t="inlineStr">
        <is>
          <t>CS1</t>
        </is>
      </c>
      <c r="AG30" s="75" t="n"/>
      <c r="AH30" s="197" t="n"/>
      <c r="AI30" s="237">
        <f>COUNTIF($C30:$AG30,AI$4)</f>
        <v/>
      </c>
      <c r="AJ30" s="237">
        <f>COUNTIF($C30:$AG30,AJ$4)</f>
        <v/>
      </c>
      <c r="AK30" s="237">
        <f>COUNTIF($C30:$AG30,AK$4)</f>
        <v/>
      </c>
      <c r="AL30" s="237">
        <f>COUNTIF($C30:$AG30,AL$4)</f>
        <v/>
      </c>
      <c r="AM30" s="237">
        <f>COUNTIF($C30:$AG30,AM$4)</f>
        <v/>
      </c>
      <c r="AN30" s="237">
        <f>COUNTIF($C30:$AG30,AN$4)</f>
        <v/>
      </c>
      <c r="AO30" s="237">
        <f>COUNTIF($C30:$AG30,AO$4)</f>
        <v/>
      </c>
      <c r="AP30" s="237">
        <f>COUNTIF($C30:$AG30,AP$4)</f>
        <v/>
      </c>
      <c r="AQ30" s="237">
        <f>COUNTIF($C30:$AG30,AQ$4)</f>
        <v/>
      </c>
      <c r="AR30" s="246" t="n"/>
      <c r="AS30" s="239" t="n"/>
      <c r="AT30" s="239" t="n">
        <v>0.5</v>
      </c>
      <c r="AU30" s="238">
        <f>SUMPRODUCT(--(WEEKDAY(C$3:AG$3,2)&lt;5),--ISNUMBER(MATCH(C30:AG30,{"DM","CS1","CS2","SB1","AE","CS/B"},0)))</f>
        <v/>
      </c>
      <c r="AV30" s="246" t="n"/>
      <c r="AW30" s="238">
        <f>SUMPRODUCT(--(WEEKDAY(C$3:AG$3,2)=5),--ISNUMBER(MATCH(C30:AG30,{"DM","CS1","CS2","SB1","AE","CS/B"},0)))</f>
        <v/>
      </c>
      <c r="AX30" s="238">
        <f>SUMPRODUCT(--(WEEKDAY(C$3:AG$3,2)&gt;5),--ISNUMBER(MATCH(C30:AG30,{"DM","CS1","CS2","SB1","AE","CS/B"},0)))</f>
        <v/>
      </c>
      <c r="AY30" s="246" t="n"/>
      <c r="AZ30" s="238">
        <f>(AU30-AV30)+AW30*1.5+(AX30-AY30)*2+AN30*0.5+AP30*0.5+AS30-AT30</f>
        <v/>
      </c>
      <c r="BA30" s="238">
        <f>AU30+AW30+AX30</f>
        <v/>
      </c>
      <c r="BB30" s="238">
        <f>BE30+BG30+BI30+BK30+BM30</f>
        <v/>
      </c>
      <c r="BC30" s="239">
        <f>AZ30+BD30</f>
        <v/>
      </c>
      <c r="BD30" s="238">
        <f>BF30+BH30+BJ30+BL30+BN30</f>
        <v/>
      </c>
      <c r="BE30" s="238">
        <f>COUNTIF(A30:AI30,"*$BTP*")</f>
        <v/>
      </c>
      <c r="BF30" s="238">
        <f>BE30*1.5</f>
        <v/>
      </c>
      <c r="BG30" s="238">
        <f>COUNTIF(A30:AI30,"*$M*")</f>
        <v/>
      </c>
      <c r="BH30" s="238">
        <f>BG30*1</f>
        <v/>
      </c>
      <c r="BI30" s="238">
        <f>COUNTIF(A30:AI30,"*$PM*")</f>
        <v/>
      </c>
      <c r="BJ30" s="238">
        <f>BI30*0.5</f>
        <v/>
      </c>
      <c r="BK30" s="238">
        <f>COUNTIF(A30:AI30,"*$AM*")</f>
        <v/>
      </c>
      <c r="BL30" s="238">
        <f>BK30*0.5</f>
        <v/>
      </c>
      <c r="BM30" s="238">
        <f>COUNTIF(A30:AI30,"*$FC*")</f>
        <v/>
      </c>
      <c r="BN30" s="238">
        <f>BM30*1</f>
        <v/>
      </c>
      <c r="BO30" s="238">
        <f>COUNTIF($D30:$AA30,BO$4)</f>
        <v/>
      </c>
      <c r="BP30" s="238">
        <f>COUNTIF($D30:$AA30,BP$4)</f>
        <v/>
      </c>
      <c r="BQ30" s="238">
        <f>COUNTIF($D30:$AA30,BQ$4)</f>
        <v/>
      </c>
      <c r="BR30" s="247" t="n"/>
    </row>
    <row r="31" ht="19.5" customHeight="1">
      <c r="A31" s="233" t="n"/>
      <c r="B31" s="186" t="inlineStr">
        <is>
          <t>LCP MUHAMAD ZULKHAIRI BIN MOHAMAD SAPARI</t>
        </is>
      </c>
      <c r="C31" s="137" t="inlineStr">
        <is>
          <t>RESERVE</t>
        </is>
      </c>
      <c r="D31" s="137" t="n"/>
      <c r="E31" s="187" t="inlineStr">
        <is>
          <t>D $AM IPPT (0500-1100)</t>
        </is>
      </c>
      <c r="F31" s="1" t="inlineStr">
        <is>
          <t>CS2</t>
        </is>
      </c>
      <c r="G31" s="137" t="n"/>
      <c r="H31" s="137" t="n"/>
      <c r="I31" s="137" t="n"/>
      <c r="J31" s="137" t="inlineStr">
        <is>
          <t>CS1</t>
        </is>
      </c>
      <c r="K31" s="137" t="n"/>
      <c r="L31" s="137" t="inlineStr">
        <is>
          <t>SB2</t>
        </is>
      </c>
      <c r="M31" s="137" t="n"/>
      <c r="N31" s="137" t="inlineStr">
        <is>
          <t>J $M ISAD (0515-2000)</t>
        </is>
      </c>
      <c r="O31" s="137" t="n"/>
      <c r="P31" s="137" t="n"/>
      <c r="Q31" s="137" t="inlineStr">
        <is>
          <t>CS2</t>
        </is>
      </c>
      <c r="R31" s="137" t="n"/>
      <c r="S31" s="137" t="inlineStr">
        <is>
          <t>RESERVE</t>
        </is>
      </c>
      <c r="T31" s="137" t="n"/>
      <c r="U31" s="137" t="n"/>
      <c r="V31" s="234" t="inlineStr">
        <is>
          <t>HARI RAYA</t>
        </is>
      </c>
      <c r="W31" s="234" t="inlineStr">
        <is>
          <t>HARI RAYA</t>
        </is>
      </c>
      <c r="X31" s="234" t="inlineStr">
        <is>
          <t>HARI RAYA</t>
        </is>
      </c>
      <c r="Y31" s="137" t="inlineStr">
        <is>
          <t>CNY OFF</t>
        </is>
      </c>
      <c r="Z31" s="137" t="n"/>
      <c r="AA31" s="75" t="inlineStr">
        <is>
          <t>L $BTP ATP/REBTP (0515-2359)</t>
        </is>
      </c>
      <c r="AB31" s="75" t="n"/>
      <c r="AC31" s="137" t="inlineStr">
        <is>
          <t>CS1</t>
        </is>
      </c>
      <c r="AD31" s="137" t="inlineStr">
        <is>
          <t>RAYA VISITING</t>
        </is>
      </c>
      <c r="AE31" s="137" t="inlineStr">
        <is>
          <t>RAYA VISITING</t>
        </is>
      </c>
      <c r="AF31" s="137" t="n"/>
      <c r="AG31" s="137" t="n"/>
      <c r="AH31" s="197" t="n"/>
      <c r="AI31" s="237">
        <f>COUNTIF($C31:$AG31,AI$4)</f>
        <v/>
      </c>
      <c r="AJ31" s="237">
        <f>COUNTIF($C31:$AG31,AJ$4)</f>
        <v/>
      </c>
      <c r="AK31" s="237">
        <f>COUNTIF($C31:$AG31,AK$4)</f>
        <v/>
      </c>
      <c r="AL31" s="237">
        <f>COUNTIF($C31:$AG31,AL$4)</f>
        <v/>
      </c>
      <c r="AM31" s="237">
        <f>COUNTIF($C31:$AG31,AM$4)</f>
        <v/>
      </c>
      <c r="AN31" s="237">
        <f>COUNTIF($C31:$AG31,AN$4)</f>
        <v/>
      </c>
      <c r="AO31" s="237">
        <f>COUNTIF($C31:$AG31,AO$4)</f>
        <v/>
      </c>
      <c r="AP31" s="237">
        <f>COUNTIF($C31:$AG31,AP$4)</f>
        <v/>
      </c>
      <c r="AQ31" s="237">
        <f>COUNTIF($C31:$AG31,AQ$4)</f>
        <v/>
      </c>
      <c r="AR31" s="246" t="n"/>
      <c r="AS31" s="239" t="n"/>
      <c r="AT31" s="239" t="n">
        <v>2</v>
      </c>
      <c r="AU31" s="238">
        <f>SUMPRODUCT(--(WEEKDAY(C$3:AG$3,2)&lt;5),--ISNUMBER(MATCH(C31:AG31,{"DM","CS1","CS2","SB1","AE","CS/B"},0)))</f>
        <v/>
      </c>
      <c r="AV31" s="246" t="n"/>
      <c r="AW31" s="238">
        <f>SUMPRODUCT(--(WEEKDAY(C$3:AG$3,2)=5),--ISNUMBER(MATCH(C31:AG31,{"DM","CS1","CS2","SB1","AE","CS/B"},0)))</f>
        <v/>
      </c>
      <c r="AX31" s="238">
        <f>SUMPRODUCT(--(WEEKDAY(C$3:AG$3,2)&gt;5),--ISNUMBER(MATCH(C31:AG31,{"DM","CS1","CS2","SB1","AE","CS/B"},0)))</f>
        <v/>
      </c>
      <c r="AY31" s="246" t="n"/>
      <c r="AZ31" s="238">
        <f>(AU31-AV31)+AW31*1.5+(AX31-AY31)*2+AN31*0.5+AP31*0.5+AS31-AT31</f>
        <v/>
      </c>
      <c r="BA31" s="238">
        <f>AU31+AW31+AX31</f>
        <v/>
      </c>
      <c r="BB31" s="238">
        <f>BE31+BG31+BI31+BK31+BM31</f>
        <v/>
      </c>
      <c r="BC31" s="239">
        <f>AZ31+BD31</f>
        <v/>
      </c>
      <c r="BD31" s="238">
        <f>BF31+BH31+BJ31+BL31+BN31</f>
        <v/>
      </c>
      <c r="BE31" s="238">
        <f>COUNTIF(A31:AI31,"*$BTP*")</f>
        <v/>
      </c>
      <c r="BF31" s="238">
        <f>BE31*1.5</f>
        <v/>
      </c>
      <c r="BG31" s="238">
        <f>COUNTIF(A31:AI31,"*$M*")</f>
        <v/>
      </c>
      <c r="BH31" s="238">
        <f>BG31*1</f>
        <v/>
      </c>
      <c r="BI31" s="238">
        <f>COUNTIF(A31:AI31,"*$PM*")</f>
        <v/>
      </c>
      <c r="BJ31" s="238">
        <f>BI31*0.5</f>
        <v/>
      </c>
      <c r="BK31" s="238">
        <f>COUNTIF(A31:AI31,"*$AM*")</f>
        <v/>
      </c>
      <c r="BL31" s="238">
        <f>BK31*0.5</f>
        <v/>
      </c>
      <c r="BM31" s="238">
        <f>COUNTIF(A31:AI31,"*$FC*")</f>
        <v/>
      </c>
      <c r="BN31" s="238">
        <f>BM31*1</f>
        <v/>
      </c>
      <c r="BO31" s="238">
        <f>COUNTIF($D31:$Z31,BO$4)</f>
        <v/>
      </c>
      <c r="BP31" s="238">
        <f>COUNTIF($D31:$Z31,BP$4)</f>
        <v/>
      </c>
      <c r="BQ31" s="238">
        <f>COUNTIF($D31:$Z31,BQ$4)</f>
        <v/>
      </c>
      <c r="BR31" s="247" t="n"/>
    </row>
    <row r="32" ht="19.5" customHeight="1">
      <c r="A32" s="233" t="n"/>
      <c r="B32" s="186" t="inlineStr">
        <is>
          <t xml:space="preserve">LCP RON NG </t>
        </is>
      </c>
      <c r="C32" s="75" t="n"/>
      <c r="D32" s="75" t="inlineStr">
        <is>
          <t>SHADOW CS</t>
        </is>
      </c>
      <c r="E32" s="75" t="inlineStr">
        <is>
          <t>AE</t>
        </is>
      </c>
      <c r="F32" s="53" t="inlineStr">
        <is>
          <t>SHADOW CS</t>
        </is>
      </c>
      <c r="G32" s="75" t="inlineStr">
        <is>
          <t>SB2</t>
        </is>
      </c>
      <c r="H32" s="75" t="inlineStr">
        <is>
          <t>CS1</t>
        </is>
      </c>
      <c r="I32" s="75" t="n"/>
      <c r="J32" s="75" t="n"/>
      <c r="K32" s="75" t="n"/>
      <c r="L32" s="53" t="n"/>
      <c r="M32" s="75" t="n"/>
      <c r="N32" s="75" t="inlineStr">
        <is>
          <t>CS1</t>
        </is>
      </c>
      <c r="O32" s="137" t="inlineStr">
        <is>
          <t>SB2</t>
        </is>
      </c>
      <c r="P32" s="75" t="n"/>
      <c r="Q32" s="75" t="n"/>
      <c r="R32" s="53" t="inlineStr">
        <is>
          <t>E $M ISAD (0530-2000)</t>
        </is>
      </c>
      <c r="S32" s="75" t="n"/>
      <c r="T32" s="75" t="inlineStr">
        <is>
          <t>RESERVE</t>
        </is>
      </c>
      <c r="U32" s="75" t="n"/>
      <c r="V32" s="75" t="n"/>
      <c r="W32" s="75" t="n"/>
      <c r="X32" s="75" t="inlineStr">
        <is>
          <t>CS1</t>
        </is>
      </c>
      <c r="Y32" s="75" t="n"/>
      <c r="Z32" s="75" t="n"/>
      <c r="AA32" s="75" t="inlineStr">
        <is>
          <t>J $AM IPPT (0500-1100)</t>
        </is>
      </c>
      <c r="AB32" s="75" t="n"/>
      <c r="AC32" s="75" t="inlineStr">
        <is>
          <t>OL</t>
        </is>
      </c>
      <c r="AD32" s="75" t="inlineStr">
        <is>
          <t>OL</t>
        </is>
      </c>
      <c r="AE32" s="75" t="inlineStr">
        <is>
          <t>OL</t>
        </is>
      </c>
      <c r="AF32" s="75" t="inlineStr">
        <is>
          <t>OL</t>
        </is>
      </c>
      <c r="AG32" s="75" t="n"/>
      <c r="AH32" s="197" t="n"/>
      <c r="AI32" s="237">
        <f>COUNTIF($C32:$AG32,AI$4)</f>
        <v/>
      </c>
      <c r="AJ32" s="237">
        <f>COUNTIF($C32:$AG32,AJ$4)</f>
        <v/>
      </c>
      <c r="AK32" s="237">
        <f>COUNTIF($C32:$AG32,AK$4)</f>
        <v/>
      </c>
      <c r="AL32" s="237">
        <f>COUNTIF($C32:$AG32,AL$4)</f>
        <v/>
      </c>
      <c r="AM32" s="237">
        <f>COUNTIF($C32:$AG32,AM$4)</f>
        <v/>
      </c>
      <c r="AN32" s="237">
        <f>COUNTIF($C32:$AG32,AN$4)</f>
        <v/>
      </c>
      <c r="AO32" s="237">
        <f>COUNTIF($C32:$AG32,AO$4)</f>
        <v/>
      </c>
      <c r="AP32" s="237">
        <f>COUNTIF($C32:$AG32,AP$4)</f>
        <v/>
      </c>
      <c r="AQ32" s="237">
        <f>COUNTIF($C32:$AG32,AQ$4)</f>
        <v/>
      </c>
      <c r="AR32" s="246" t="n"/>
      <c r="AS32" s="239" t="n"/>
      <c r="AT32" s="239" t="n"/>
      <c r="AU32" s="238">
        <f>SUMPRODUCT(--(WEEKDAY(C$3:AG$3,2)&lt;5),--ISNUMBER(MATCH(C32:AG32,{"DM","CS1","CS2","SB1","AE","CS/B"},0)))</f>
        <v/>
      </c>
      <c r="AV32" s="246" t="n"/>
      <c r="AW32" s="238">
        <f>SUMPRODUCT(--(WEEKDAY(C$3:AG$3,2)=5),--ISNUMBER(MATCH(C32:AG32,{"DM","CS1","CS2","SB1","AE","CS/B"},0)))</f>
        <v/>
      </c>
      <c r="AX32" s="238">
        <f>SUMPRODUCT(--(WEEKDAY(C$3:AG$3,2)&gt;5),--ISNUMBER(MATCH(C32:AG32,{"DM","CS1","CS2","SB1","AE","CS/B"},0)))</f>
        <v/>
      </c>
      <c r="AY32" s="246" t="n"/>
      <c r="AZ32" s="238">
        <f>(AU32-AV32)+AW32*1.5+(AX32-AY32)*2+AN32*0.5+AP32*0.5+AS32-AT32</f>
        <v/>
      </c>
      <c r="BA32" s="238">
        <f>AU32+AW32+AX32</f>
        <v/>
      </c>
      <c r="BB32" s="238">
        <f>BE32+BG32+BI32+BK32+BM32</f>
        <v/>
      </c>
      <c r="BC32" s="239">
        <f>AZ32+BD32</f>
        <v/>
      </c>
      <c r="BD32" s="238">
        <f>BF32+BH32+BJ32+BL32+BN32</f>
        <v/>
      </c>
      <c r="BE32" s="238">
        <f>COUNTIF(A32:AI32,"*$BTP*")</f>
        <v/>
      </c>
      <c r="BF32" s="238">
        <f>BE32*1.5</f>
        <v/>
      </c>
      <c r="BG32" s="238">
        <f>COUNTIF(A32:AI32,"*$M*")</f>
        <v/>
      </c>
      <c r="BH32" s="238">
        <f>BG32*1</f>
        <v/>
      </c>
      <c r="BI32" s="238">
        <f>COUNTIF(A32:AI32,"*$PM*")</f>
        <v/>
      </c>
      <c r="BJ32" s="238">
        <f>BI32*0.5</f>
        <v/>
      </c>
      <c r="BK32" s="238">
        <f>COUNTIF(A32:AI32,"*$AM*")</f>
        <v/>
      </c>
      <c r="BL32" s="238">
        <f>BK32*0.5</f>
        <v/>
      </c>
      <c r="BM32" s="238">
        <f>COUNTIF(A32:AI32,"*$FC*")</f>
        <v/>
      </c>
      <c r="BN32" s="238">
        <f>BM32*1</f>
        <v/>
      </c>
      <c r="BO32" s="238">
        <f>COUNTIF($D32:$Z32,BO$4)</f>
        <v/>
      </c>
      <c r="BP32" s="238">
        <f>COUNTIF($D32:$Z32,BP$4)</f>
        <v/>
      </c>
      <c r="BQ32" s="238">
        <f>COUNTIF($D32:$Z32,BQ$4)</f>
        <v/>
      </c>
      <c r="BR32" s="247" t="n"/>
    </row>
    <row r="33" ht="19.5" customHeight="1">
      <c r="A33" s="233" t="n"/>
      <c r="B33" s="186" t="inlineStr">
        <is>
          <t>LCP TRAN MINH KHOA</t>
        </is>
      </c>
      <c r="C33" s="137" t="inlineStr">
        <is>
          <t>CS1</t>
        </is>
      </c>
      <c r="D33" s="137" t="n"/>
      <c r="E33" s="137" t="n"/>
      <c r="F33" s="137" t="inlineStr">
        <is>
          <t>GX $M</t>
        </is>
      </c>
      <c r="G33" s="137" t="inlineStr">
        <is>
          <t>GX</t>
        </is>
      </c>
      <c r="H33" s="137" t="n"/>
      <c r="I33" s="137" t="n"/>
      <c r="J33" s="53" t="n"/>
      <c r="K33" s="137" t="inlineStr">
        <is>
          <t>CS2</t>
        </is>
      </c>
      <c r="L33" s="53" t="n"/>
      <c r="M33" s="137" t="n"/>
      <c r="N33" s="137" t="n"/>
      <c r="O33" s="137" t="n"/>
      <c r="P33" s="137" t="n"/>
      <c r="Q33" s="137" t="n"/>
      <c r="R33" s="137" t="inlineStr">
        <is>
          <t>RESERVE</t>
        </is>
      </c>
      <c r="S33" s="137" t="n"/>
      <c r="U33" s="137" t="n"/>
      <c r="V33" s="137" t="inlineStr">
        <is>
          <t>COVER RESERVE</t>
        </is>
      </c>
      <c r="W33" s="137" t="n"/>
      <c r="X33" s="137" t="n"/>
      <c r="Y33" s="137" t="inlineStr">
        <is>
          <t>AE</t>
        </is>
      </c>
      <c r="Z33" s="137" t="n"/>
      <c r="AB33" s="136" t="inlineStr">
        <is>
          <t>COVER RESERVE</t>
        </is>
      </c>
      <c r="AD33" s="137" t="n"/>
      <c r="AE33" s="137" t="n"/>
      <c r="AF33" s="137" t="n"/>
      <c r="AG33" s="137" t="n"/>
      <c r="AH33" s="197" t="n"/>
      <c r="AI33" s="237">
        <f>COUNTIF($C33:$AG33,AI$4)</f>
        <v/>
      </c>
      <c r="AJ33" s="237">
        <f>COUNTIF($C33:$AG33,AJ$4)</f>
        <v/>
      </c>
      <c r="AK33" s="237">
        <f>COUNTIF($C33:$AG33,AK$4)</f>
        <v/>
      </c>
      <c r="AL33" s="237">
        <f>COUNTIF($C33:$AG33,AL$4)</f>
        <v/>
      </c>
      <c r="AM33" s="237">
        <f>COUNTIF($C33:$AG33,AM$4)</f>
        <v/>
      </c>
      <c r="AN33" s="237">
        <f>COUNTIF($C33:$AG33,AN$4)</f>
        <v/>
      </c>
      <c r="AO33" s="237">
        <f>COUNTIF($C33:$AG33,AO$4)</f>
        <v/>
      </c>
      <c r="AP33" s="237">
        <f>COUNTIF($C33:$AG33,AP$4)</f>
        <v/>
      </c>
      <c r="AQ33" s="237">
        <f>COUNTIF($C33:$AG33,AQ$4)</f>
        <v/>
      </c>
      <c r="AR33" s="246" t="n"/>
      <c r="AS33" s="239" t="n">
        <v>2.5</v>
      </c>
      <c r="AT33" s="239" t="n"/>
      <c r="AU33" s="238">
        <f>SUMPRODUCT(--(WEEKDAY(C$3:AG$3,2)&lt;5),--ISNUMBER(MATCH(C33:AG33,{"DM","CS1","CS2","SB1","AE","CS/B"},0)))</f>
        <v/>
      </c>
      <c r="AV33" s="246" t="n"/>
      <c r="AW33" s="238">
        <f>SUMPRODUCT(--(WEEKDAY(C$3:AG$3,2)=5),--ISNUMBER(MATCH(C33:AG33,{"DM","CS1","CS2","SB1","AE","CS/B"},0)))</f>
        <v/>
      </c>
      <c r="AX33" s="238">
        <f>SUMPRODUCT(--(WEEKDAY(C$3:AG$3,2)&gt;5),--ISNUMBER(MATCH(C33:AG33,{"DM","CS1","CS2","SB1","AE","CS/B"},0)))</f>
        <v/>
      </c>
      <c r="AY33" s="246" t="n"/>
      <c r="AZ33" s="238">
        <f>(AU33-AV33)+AW33*1.5+(AX33-AY33)*2+AN33*0.5+AP33*0.5+AS33-AT33</f>
        <v/>
      </c>
      <c r="BA33" s="238">
        <f>AU33+AW33+AX33</f>
        <v/>
      </c>
      <c r="BB33" s="238">
        <f>BE33+BG33+BI33+BK33+BM33</f>
        <v/>
      </c>
      <c r="BC33" s="239">
        <f>AZ33+BD33</f>
        <v/>
      </c>
      <c r="BD33" s="238">
        <f>BF33+BH33+BJ33+BL33+BN33</f>
        <v/>
      </c>
      <c r="BE33" s="238">
        <f>COUNTIF(A33:AI33,"*$BTP*")</f>
        <v/>
      </c>
      <c r="BF33" s="238">
        <f>BE33*1.5</f>
        <v/>
      </c>
      <c r="BG33" s="238">
        <f>COUNTIF(A33:AI33,"*$M*")</f>
        <v/>
      </c>
      <c r="BH33" s="238">
        <f>BG33*1</f>
        <v/>
      </c>
      <c r="BI33" s="238">
        <f>COUNTIF(A33:AI33,"*$PM*")</f>
        <v/>
      </c>
      <c r="BJ33" s="238">
        <f>BI33*0.5</f>
        <v/>
      </c>
      <c r="BK33" s="238">
        <f>COUNTIF(A33:AI33,"*$AM*")</f>
        <v/>
      </c>
      <c r="BL33" s="238">
        <f>BK33*0.5</f>
        <v/>
      </c>
      <c r="BM33" s="238">
        <f>COUNTIF(A33:AI33,"*$FC*")</f>
        <v/>
      </c>
      <c r="BN33" s="238">
        <f>BM33*1</f>
        <v/>
      </c>
      <c r="BO33" s="238">
        <f>COUNTIF($H33:$AA33,BO$4)</f>
        <v/>
      </c>
      <c r="BP33" s="238">
        <f>COUNTIF($H33:$AA33,BP$4)</f>
        <v/>
      </c>
      <c r="BQ33" s="238">
        <f>COUNTIF($H33:$AA33,BQ$4)</f>
        <v/>
      </c>
      <c r="BR33" s="247" t="n"/>
    </row>
    <row r="34" ht="51.75" customHeight="1">
      <c r="A34" s="233" t="n"/>
      <c r="B34" s="186" t="inlineStr">
        <is>
          <t xml:space="preserve">LCP STEPHEN TAY </t>
        </is>
      </c>
      <c r="C34" s="75" t="n"/>
      <c r="D34" s="137" t="inlineStr">
        <is>
          <t>S $AM ER (0500-1000)</t>
        </is>
      </c>
      <c r="E34" s="75" t="inlineStr">
        <is>
          <t>COVER RESERVE</t>
        </is>
      </c>
      <c r="F34" s="75" t="inlineStr">
        <is>
          <t>COVER RESERVE</t>
        </is>
      </c>
      <c r="G34" s="75" t="inlineStr">
        <is>
          <t>AE</t>
        </is>
      </c>
      <c r="I34" s="75" t="inlineStr">
        <is>
          <t>RESERVE</t>
        </is>
      </c>
      <c r="J34" s="75" t="n"/>
      <c r="K34" s="75" t="n"/>
      <c r="L34" s="75" t="inlineStr">
        <is>
          <t>AE</t>
        </is>
      </c>
      <c r="M34" s="75" t="n"/>
      <c r="N34" s="75" t="n"/>
      <c r="P34" s="75" t="n"/>
      <c r="Q34" s="137" t="inlineStr">
        <is>
          <t>AE</t>
        </is>
      </c>
      <c r="S34" s="75" t="n"/>
      <c r="T34" s="137" t="inlineStr">
        <is>
          <t>SB2</t>
        </is>
      </c>
      <c r="U34" s="75" t="inlineStr">
        <is>
          <t>AE</t>
        </is>
      </c>
      <c r="V34" s="75" t="n"/>
      <c r="W34" s="234" t="inlineStr">
        <is>
          <t>HARI RAYA</t>
        </is>
      </c>
      <c r="X34" s="234" t="inlineStr">
        <is>
          <t>HARI RAYA</t>
        </is>
      </c>
      <c r="Y34" s="75" t="n"/>
      <c r="AA34" s="75" t="inlineStr">
        <is>
          <t>R $AM ER (0500-1000)</t>
        </is>
      </c>
      <c r="AB34" s="75" t="inlineStr">
        <is>
          <t>AE</t>
        </is>
      </c>
      <c r="AC34" s="75" t="n"/>
      <c r="AD34" s="75" t="n"/>
      <c r="AE34" s="75" t="n"/>
      <c r="AF34" s="75" t="inlineStr">
        <is>
          <t>AE</t>
        </is>
      </c>
      <c r="AG34" s="75" t="n"/>
      <c r="AH34" s="197" t="n"/>
      <c r="AI34" s="237">
        <f>COUNTIF($C34:$AG34,AI$4)</f>
        <v/>
      </c>
      <c r="AJ34" s="237">
        <f>COUNTIF($C34:$AG34,AJ$4)</f>
        <v/>
      </c>
      <c r="AK34" s="237">
        <f>COUNTIF($C34:$AG34,AK$4)</f>
        <v/>
      </c>
      <c r="AL34" s="237">
        <f>COUNTIF($C34:$AG34,AL$4)</f>
        <v/>
      </c>
      <c r="AM34" s="237">
        <f>COUNTIF($C34:$AG34,AM$4)</f>
        <v/>
      </c>
      <c r="AN34" s="237">
        <f>COUNTIF($C34:$AG34,AN$4)</f>
        <v/>
      </c>
      <c r="AO34" s="237">
        <f>COUNTIF($C34:$AG34,AO$4)</f>
        <v/>
      </c>
      <c r="AP34" s="237">
        <f>COUNTIF($C34:$AG34,AP$4)</f>
        <v/>
      </c>
      <c r="AQ34" s="237">
        <f>COUNTIF($C34:$AG34,AQ$4)</f>
        <v/>
      </c>
      <c r="AR34" s="246" t="n"/>
      <c r="AS34" s="239" t="n"/>
      <c r="AT34" s="239" t="n">
        <v>0.5</v>
      </c>
      <c r="AU34" s="238">
        <f>SUMPRODUCT(--(WEEKDAY(C$3:AG$3,2)&lt;5),--ISNUMBER(MATCH(C34:AG34,{"DM","CS1","CS2","SB1","AE","CS/B"},0)))</f>
        <v/>
      </c>
      <c r="AV34" s="246" t="n"/>
      <c r="AW34" s="238">
        <f>SUMPRODUCT(--(WEEKDAY(C$3:AG$3,2)=5),--ISNUMBER(MATCH(C34:AG34,{"DM","CS1","CS2","SB1","AE","CS/B"},0)))</f>
        <v/>
      </c>
      <c r="AX34" s="238">
        <f>SUMPRODUCT(--(WEEKDAY(C$3:AG$3,2)&gt;5),--ISNUMBER(MATCH(C34:AG34,{"DM","CS1","CS2","SB1","AE","CS/B"},0)))</f>
        <v/>
      </c>
      <c r="AY34" s="246" t="n"/>
      <c r="AZ34" s="238">
        <f>(AU34-AV34)+AW34*1.5+(AX34-AY34)*2+AN34*0.5+AP34*0.5+AS34-AT34</f>
        <v/>
      </c>
      <c r="BA34" s="238">
        <f>AU34+AW34+AX34</f>
        <v/>
      </c>
      <c r="BB34" s="238">
        <f>BE34+BG34+BI34+BK34+BM34</f>
        <v/>
      </c>
      <c r="BC34" s="239">
        <f>AZ34+BD34</f>
        <v/>
      </c>
      <c r="BD34" s="238">
        <f>BF34+BH34+BJ34+BL34+BN34</f>
        <v/>
      </c>
      <c r="BE34" s="238">
        <f>COUNTIF(A34:AI34,"*$BTP*")</f>
        <v/>
      </c>
      <c r="BF34" s="238">
        <f>BE34*1.5</f>
        <v/>
      </c>
      <c r="BG34" s="238">
        <f>COUNTIF(A34:AI34,"*$M*")</f>
        <v/>
      </c>
      <c r="BH34" s="238">
        <f>BG34*1</f>
        <v/>
      </c>
      <c r="BI34" s="238">
        <f>COUNTIF(A34:AI34,"*$PM*")</f>
        <v/>
      </c>
      <c r="BJ34" s="238">
        <f>BI34*0.5</f>
        <v/>
      </c>
      <c r="BK34" s="238">
        <f>COUNTIF(A34:AI34,"*$AM*")</f>
        <v/>
      </c>
      <c r="BL34" s="238">
        <f>BK34*0.5</f>
        <v/>
      </c>
      <c r="BM34" s="238">
        <f>COUNTIF(A34:AI34,"*$FC*")</f>
        <v/>
      </c>
      <c r="BN34" s="238">
        <f>BM34*1</f>
        <v/>
      </c>
      <c r="BO34" s="238">
        <f>COUNTIF($D34:$Z34,BO$4)</f>
        <v/>
      </c>
      <c r="BP34" s="238">
        <f>COUNTIF($D34:$Z34,BP$4)</f>
        <v/>
      </c>
      <c r="BQ34" s="238">
        <f>COUNTIF($D34:$Z34,BQ$4)</f>
        <v/>
      </c>
      <c r="BR34" s="247" t="n"/>
    </row>
    <row r="35" ht="19.5" customHeight="1">
      <c r="A35" s="233" t="n"/>
      <c r="B35" s="186" t="inlineStr">
        <is>
          <t xml:space="preserve">PTE EDWARD GAN BOON WEI </t>
        </is>
      </c>
      <c r="D35" s="137" t="inlineStr">
        <is>
          <t>COVER RESERVE</t>
        </is>
      </c>
      <c r="E35" s="137" t="n"/>
      <c r="F35" s="137" t="inlineStr">
        <is>
          <t>GX $M</t>
        </is>
      </c>
      <c r="G35" s="137" t="inlineStr">
        <is>
          <t>GX</t>
        </is>
      </c>
      <c r="H35" s="137" t="n"/>
      <c r="I35" s="137" t="n"/>
      <c r="J35" s="137" t="n"/>
      <c r="K35" s="136" t="inlineStr">
        <is>
          <t>COVER RESERVE</t>
        </is>
      </c>
      <c r="L35" s="137" t="n"/>
      <c r="M35" s="75" t="inlineStr">
        <is>
          <t>S $PM ER (1530-1830)</t>
        </is>
      </c>
      <c r="N35" s="75" t="inlineStr">
        <is>
          <t>SB2</t>
        </is>
      </c>
      <c r="O35" s="137" t="n"/>
      <c r="P35" s="137" t="n"/>
      <c r="R35" s="137" t="inlineStr">
        <is>
          <t>S $AM ER (0500-1000)</t>
        </is>
      </c>
      <c r="S35" s="137" t="inlineStr">
        <is>
          <t>SB2</t>
        </is>
      </c>
      <c r="T35" s="137" t="n"/>
      <c r="U35" s="137" t="n"/>
      <c r="V35" s="137" t="n"/>
      <c r="W35" s="137" t="n"/>
      <c r="X35" s="137" t="inlineStr">
        <is>
          <t>AE</t>
        </is>
      </c>
      <c r="AA35" s="137" t="n"/>
      <c r="AB35" s="137" t="n"/>
      <c r="AC35" s="137" t="inlineStr">
        <is>
          <t>SB2</t>
        </is>
      </c>
      <c r="AD35" s="137" t="inlineStr">
        <is>
          <t>AE</t>
        </is>
      </c>
      <c r="AE35" s="137" t="n"/>
      <c r="AF35" s="137" t="n"/>
      <c r="AH35" s="197" t="n"/>
      <c r="AI35" s="237">
        <f>COUNTIF($C35:$AG35,AI$4)</f>
        <v/>
      </c>
      <c r="AJ35" s="237">
        <f>COUNTIF($C35:$AG35,AJ$4)</f>
        <v/>
      </c>
      <c r="AK35" s="237">
        <f>COUNTIF($C35:$AG35,AK$4)</f>
        <v/>
      </c>
      <c r="AL35" s="237">
        <f>COUNTIF($C35:$AG35,AL$4)</f>
        <v/>
      </c>
      <c r="AM35" s="237">
        <f>COUNTIF($C35:$AG35,AM$4)</f>
        <v/>
      </c>
      <c r="AN35" s="237">
        <f>COUNTIF($C35:$AG35,AN$4)</f>
        <v/>
      </c>
      <c r="AO35" s="237">
        <f>COUNTIF($C35:$AG35,AO$4)</f>
        <v/>
      </c>
      <c r="AP35" s="237">
        <f>COUNTIF($C35:$AG35,AP$4)</f>
        <v/>
      </c>
      <c r="AQ35" s="237">
        <f>COUNTIF($C35:$AG35,AQ$4)</f>
        <v/>
      </c>
      <c r="AR35" s="246" t="n"/>
      <c r="AS35" s="239" t="n">
        <v>1</v>
      </c>
      <c r="AT35" s="239" t="n"/>
      <c r="AU35" s="238">
        <f>SUMPRODUCT(--(WEEKDAY(C$3:AG$3,2)&lt;5),--ISNUMBER(MATCH(C35:AG35,{"DM","CS1","CS2","SB1","AE","CS/B"},0)))</f>
        <v/>
      </c>
      <c r="AV35" s="246" t="n"/>
      <c r="AW35" s="238">
        <f>SUMPRODUCT(--(WEEKDAY(C$3:AG$3,2)=5),--ISNUMBER(MATCH(C35:AG35,{"DM","CS1","CS2","SB1","AE","CS/B"},0)))</f>
        <v/>
      </c>
      <c r="AX35" s="238">
        <f>SUMPRODUCT(--(WEEKDAY(C$3:AG$3,2)&gt;5),--ISNUMBER(MATCH(C35:AG35,{"DM","CS1","CS2","SB1","AE","CS/B"},0)))</f>
        <v/>
      </c>
      <c r="AY35" s="246" t="n"/>
      <c r="AZ35" s="238">
        <f>(AU35-AV35)+AW35*1.5+(AX35-AY35)*2+AN35*0.5+AP35*0.5+AS35-AT35</f>
        <v/>
      </c>
      <c r="BA35" s="238">
        <f>AU35+AW35+AX35</f>
        <v/>
      </c>
      <c r="BB35" s="238">
        <f>BE35+BG35+BI35+BK35+BM35</f>
        <v/>
      </c>
      <c r="BC35" s="239">
        <f>AZ35+BD35</f>
        <v/>
      </c>
      <c r="BD35" s="238">
        <f>BF35+BH35+BJ35+BL35+BN35</f>
        <v/>
      </c>
      <c r="BE35" s="238">
        <f>COUNTIF(A35:AI35,"*$BTP*")</f>
        <v/>
      </c>
      <c r="BF35" s="238">
        <f>BE35*1.5</f>
        <v/>
      </c>
      <c r="BG35" s="238">
        <f>COUNTIF(A35:AI35,"*$M*")</f>
        <v/>
      </c>
      <c r="BH35" s="238">
        <f>BG35*1</f>
        <v/>
      </c>
      <c r="BI35" s="238">
        <f>COUNTIF(A35:AI35,"*$PM*")</f>
        <v/>
      </c>
      <c r="BJ35" s="238">
        <f>BI35*0.5</f>
        <v/>
      </c>
      <c r="BK35" s="238">
        <f>COUNTIF(A35:AI35,"*$AM*")</f>
        <v/>
      </c>
      <c r="BL35" s="238">
        <f>BK35*0.5</f>
        <v/>
      </c>
      <c r="BM35" s="238">
        <f>COUNTIF(A35:AI35,"*$FC*")</f>
        <v/>
      </c>
      <c r="BN35" s="238">
        <f>BM35*1</f>
        <v/>
      </c>
      <c r="BO35" s="238">
        <f>COUNTIF($D35:$AA35,BO$4)</f>
        <v/>
      </c>
      <c r="BP35" s="238">
        <f>COUNTIF($D35:$AA35,BP$4)</f>
        <v/>
      </c>
      <c r="BQ35" s="238">
        <f>COUNTIF($D35:$AA35,BQ$4)</f>
        <v/>
      </c>
      <c r="BR35" s="247" t="n"/>
    </row>
    <row r="36" ht="19.5" customHeight="1">
      <c r="A36" s="233" t="n"/>
      <c r="B36" s="186" t="inlineStr">
        <is>
          <t>PTE RAIYAN ZUFAYRI BIN MOHAMAD HELMY</t>
        </is>
      </c>
      <c r="D36" s="75" t="n"/>
      <c r="E36" s="137" t="inlineStr">
        <is>
          <t>R $AM ER (0500-1000)</t>
        </is>
      </c>
      <c r="G36" s="136" t="n"/>
      <c r="H36" s="75" t="inlineStr">
        <is>
          <t>AE</t>
        </is>
      </c>
      <c r="I36" s="136" t="n"/>
      <c r="J36" s="75" t="n"/>
      <c r="K36" s="75" t="n"/>
      <c r="L36" s="75" t="n"/>
      <c r="M36" s="75" t="n"/>
      <c r="N36" s="75" t="n"/>
      <c r="O36" s="75" t="inlineStr">
        <is>
          <t>COVER RESERVE</t>
        </is>
      </c>
      <c r="P36" s="75" t="n"/>
      <c r="Q36" s="75" t="n"/>
      <c r="R36" s="75" t="inlineStr">
        <is>
          <t>AE</t>
        </is>
      </c>
      <c r="S36" s="75" t="n"/>
      <c r="T36" s="75" t="n"/>
      <c r="U36" s="75" t="n"/>
      <c r="V36" s="75" t="n"/>
      <c r="W36" s="234" t="inlineStr">
        <is>
          <t>HARI RAYA</t>
        </is>
      </c>
      <c r="X36" s="234" t="inlineStr">
        <is>
          <t>HARI RAYA</t>
        </is>
      </c>
      <c r="Y36" s="75" t="n"/>
      <c r="Z36" s="75" t="n"/>
      <c r="AA36" s="75" t="n"/>
      <c r="AB36" s="136" t="inlineStr">
        <is>
          <t>COVER RESERVE</t>
        </is>
      </c>
      <c r="AD36" s="75" t="n"/>
      <c r="AE36" s="137" t="n"/>
      <c r="AF36" s="75" t="inlineStr">
        <is>
          <t>COVER RESERVE</t>
        </is>
      </c>
      <c r="AG36" s="137" t="inlineStr">
        <is>
          <t>AE</t>
        </is>
      </c>
      <c r="AH36" s="197" t="n"/>
      <c r="AI36" s="237">
        <f>COUNTIF($C36:$AG36,AI$4)</f>
        <v/>
      </c>
      <c r="AJ36" s="237">
        <f>COUNTIF($C36:$AG36,AJ$4)</f>
        <v/>
      </c>
      <c r="AK36" s="237">
        <f>COUNTIF($C36:$AG36,AK$4)</f>
        <v/>
      </c>
      <c r="AL36" s="237">
        <f>COUNTIF($C36:$AG36,AL$4)</f>
        <v/>
      </c>
      <c r="AM36" s="237">
        <f>COUNTIF($C36:$AG36,AM$4)</f>
        <v/>
      </c>
      <c r="AN36" s="237">
        <f>COUNTIF($C36:$AG36,AN$4)</f>
        <v/>
      </c>
      <c r="AO36" s="237">
        <f>COUNTIF($C36:$AG36,AO$4)</f>
        <v/>
      </c>
      <c r="AP36" s="237">
        <f>COUNTIF($C36:$AG36,AP$4)</f>
        <v/>
      </c>
      <c r="AQ36" s="237">
        <f>COUNTIF($C36:$AG36,AQ$4)</f>
        <v/>
      </c>
      <c r="AR36" s="246" t="n"/>
      <c r="AS36" s="239" t="n">
        <v>2</v>
      </c>
      <c r="AT36" s="239" t="n"/>
      <c r="AU36" s="238">
        <f>SUMPRODUCT(--(WEEKDAY(C$3:AG$3,2)&lt;5),--ISNUMBER(MATCH(C36:AG36,{"DM","CS1","CS2","SB1","AE","CS/B"},0)))</f>
        <v/>
      </c>
      <c r="AV36" s="246" t="n"/>
      <c r="AW36" s="238">
        <f>SUMPRODUCT(--(WEEKDAY(C$3:AG$3,2)=5),--ISNUMBER(MATCH(C36:AG36,{"DM","CS1","CS2","SB1","AE","CS/B"},0)))</f>
        <v/>
      </c>
      <c r="AX36" s="238">
        <f>SUMPRODUCT(--(WEEKDAY(C$3:AG$3,2)&gt;5),--ISNUMBER(MATCH(C36:AG36,{"DM","CS1","CS2","SB1","AE","CS/B"},0)))</f>
        <v/>
      </c>
      <c r="AY36" s="246" t="n"/>
      <c r="AZ36" s="238">
        <f>(AU36-AV36)+AW36*1.5+(AX36-AY36)*2+AN36*0.5+AP36*0.5+AS36-AT36</f>
        <v/>
      </c>
      <c r="BA36" s="238">
        <f>AU36+AW36+AX36</f>
        <v/>
      </c>
      <c r="BB36" s="238">
        <f>BE36+BG36+BI36+BK36+BM36</f>
        <v/>
      </c>
      <c r="BC36" s="239">
        <f>AZ36+BD36</f>
        <v/>
      </c>
      <c r="BD36" s="238">
        <f>BF36+BH36+BJ36+BL36+BN36</f>
        <v/>
      </c>
      <c r="BE36" s="238">
        <f>COUNTIF(A36:AI36,"*$BTP*")</f>
        <v/>
      </c>
      <c r="BF36" s="238">
        <f>BE36*1.5</f>
        <v/>
      </c>
      <c r="BG36" s="238">
        <f>COUNTIF(A36:AI36,"*$M*")</f>
        <v/>
      </c>
      <c r="BH36" s="238">
        <f>BG36*1</f>
        <v/>
      </c>
      <c r="BI36" s="238">
        <f>COUNTIF(A36:AI36,"*$PM*")</f>
        <v/>
      </c>
      <c r="BJ36" s="238">
        <f>BI36*0.5</f>
        <v/>
      </c>
      <c r="BK36" s="238">
        <f>COUNTIF(A36:AI36,"*$AM*")</f>
        <v/>
      </c>
      <c r="BL36" s="238">
        <f>BK36*0.5</f>
        <v/>
      </c>
      <c r="BM36" s="238">
        <f>COUNTIF(A36:AI36,"*$FC*")</f>
        <v/>
      </c>
      <c r="BN36" s="238">
        <f>BM36*1</f>
        <v/>
      </c>
      <c r="BO36" s="238">
        <f>COUNTIF($D36:$AA36,BO$4)</f>
        <v/>
      </c>
      <c r="BP36" s="238">
        <f>COUNTIF($D36:$AA36,BP$4)</f>
        <v/>
      </c>
      <c r="BQ36" s="238">
        <f>COUNTIF($D36:$AA36,BQ$4)</f>
        <v/>
      </c>
      <c r="BR36" s="247" t="n"/>
    </row>
    <row r="37" ht="19.5" customHeight="1">
      <c r="A37" s="233" t="n"/>
      <c r="B37" s="186" t="inlineStr">
        <is>
          <t>PTE CHOA ZONGHAN ETIENNE</t>
        </is>
      </c>
      <c r="C37" s="137" t="inlineStr">
        <is>
          <t>SCH 1 $M GP REHEARSAL (0800-1700)</t>
        </is>
      </c>
      <c r="D37" s="137" t="inlineStr">
        <is>
          <t>AE</t>
        </is>
      </c>
      <c r="E37" s="137" t="n"/>
      <c r="F37" s="137" t="inlineStr">
        <is>
          <t>GX $PM</t>
        </is>
      </c>
      <c r="G37" s="137" t="inlineStr">
        <is>
          <t>GX</t>
        </is>
      </c>
      <c r="H37" s="137" t="n"/>
      <c r="I37" s="137" t="n"/>
      <c r="J37" s="137" t="n"/>
      <c r="K37" s="137" t="inlineStr">
        <is>
          <t>S $AM ER (0500-1000)</t>
        </is>
      </c>
      <c r="L37" s="137" t="n"/>
      <c r="M37" s="137" t="n"/>
      <c r="N37" s="137" t="inlineStr">
        <is>
          <t>AE</t>
        </is>
      </c>
      <c r="O37" s="137" t="n"/>
      <c r="P37" s="137" t="n"/>
      <c r="Q37" s="137" t="n"/>
      <c r="R37" s="137" t="n"/>
      <c r="S37" s="137" t="n"/>
      <c r="T37" s="137" t="n"/>
      <c r="U37" s="137" t="n"/>
      <c r="V37" s="137" t="inlineStr">
        <is>
          <t>AE</t>
        </is>
      </c>
      <c r="W37" s="137" t="n"/>
      <c r="X37" s="137" t="n"/>
      <c r="Y37" s="137" t="n"/>
      <c r="Z37" s="137" t="inlineStr">
        <is>
          <t>COVER RESERVE</t>
        </is>
      </c>
      <c r="AA37" s="53" t="n"/>
      <c r="AB37" s="137" t="n"/>
      <c r="AC37" s="137" t="n"/>
      <c r="AE37" s="53" t="n"/>
      <c r="AF37" s="137" t="n"/>
      <c r="AG37" s="137" t="n"/>
      <c r="AH37" s="197" t="n"/>
      <c r="AI37" s="237">
        <f>COUNTIF($C37:$AG37,AI$4)</f>
        <v/>
      </c>
      <c r="AJ37" s="237">
        <f>COUNTIF($C37:$AG37,AJ$4)</f>
        <v/>
      </c>
      <c r="AK37" s="237">
        <f>COUNTIF($C37:$AG37,AK$4)</f>
        <v/>
      </c>
      <c r="AL37" s="237">
        <f>COUNTIF($C37:$AG37,AL$4)</f>
        <v/>
      </c>
      <c r="AM37" s="237">
        <f>COUNTIF($C37:$AG37,AM$4)</f>
        <v/>
      </c>
      <c r="AN37" s="237">
        <f>COUNTIF($C37:$AG37,AN$4)</f>
        <v/>
      </c>
      <c r="AO37" s="237">
        <f>COUNTIF($C37:$AG37,AO$4)</f>
        <v/>
      </c>
      <c r="AP37" s="237">
        <f>COUNTIF($C37:$AG37,AP$4)</f>
        <v/>
      </c>
      <c r="AQ37" s="237">
        <f>COUNTIF($C37:$AG37,AQ$4)</f>
        <v/>
      </c>
      <c r="AR37" s="246" t="n"/>
      <c r="AS37" s="239" t="n">
        <v>2</v>
      </c>
      <c r="AT37" s="239" t="n"/>
      <c r="AU37" s="238">
        <f>SUMPRODUCT(--(WEEKDAY(C$3:AG$3,2)&lt;5),--ISNUMBER(MATCH(C37:AG37,{"DM","CS1","CS2","SB1","AE","CS/B"},0)))</f>
        <v/>
      </c>
      <c r="AV37" s="246" t="n"/>
      <c r="AW37" s="238">
        <f>SUMPRODUCT(--(WEEKDAY(C$3:AG$3,2)=5),--ISNUMBER(MATCH(C37:AG37,{"DM","CS1","CS2","SB1","AE","CS/B"},0)))</f>
        <v/>
      </c>
      <c r="AX37" s="238">
        <f>SUMPRODUCT(--(WEEKDAY(C$3:AG$3,2)&gt;5),--ISNUMBER(MATCH(C37:AG37,{"DM","CS1","CS2","SB1","AE","CS/B"},0)))</f>
        <v/>
      </c>
      <c r="AY37" s="246" t="n"/>
      <c r="AZ37" s="238">
        <f>(AU37-AV37)+AW37*1.5+(AX37-AY37)*2+AN37*0.5+AP37*0.5+AS37-AT37</f>
        <v/>
      </c>
      <c r="BA37" s="238">
        <f>AU37+AW37+AX37</f>
        <v/>
      </c>
      <c r="BB37" s="238">
        <f>BE37+BG37+BI37+BK37+BM37</f>
        <v/>
      </c>
      <c r="BC37" s="239">
        <f>AZ37+BD37</f>
        <v/>
      </c>
      <c r="BD37" s="238">
        <f>BF37+BH37+BJ37+BL37+BN37</f>
        <v/>
      </c>
      <c r="BE37" s="238">
        <f>COUNTIF(A37:AI37,"*$BTP*")</f>
        <v/>
      </c>
      <c r="BF37" s="238">
        <f>BE37*1.5</f>
        <v/>
      </c>
      <c r="BG37" s="238">
        <f>COUNTIF(A37:AI37,"*$M*")</f>
        <v/>
      </c>
      <c r="BH37" s="238">
        <f>BG37*1</f>
        <v/>
      </c>
      <c r="BI37" s="238">
        <f>COUNTIF(A37:AI37,"*$PM*")</f>
        <v/>
      </c>
      <c r="BJ37" s="238">
        <f>BI37*0.5</f>
        <v/>
      </c>
      <c r="BK37" s="238">
        <f>COUNTIF(A37:AI37,"*$AM*")</f>
        <v/>
      </c>
      <c r="BL37" s="238">
        <f>BK37*0.5</f>
        <v/>
      </c>
      <c r="BM37" s="238">
        <f>COUNTIF(A37:AI37,"*$FC*")</f>
        <v/>
      </c>
      <c r="BN37" s="238">
        <f>BM37*1</f>
        <v/>
      </c>
      <c r="BO37" s="238">
        <f>COUNTIF($D37:$Z37,BO$4)</f>
        <v/>
      </c>
      <c r="BP37" s="238">
        <f>COUNTIF($D37:$Z37,BP$4)</f>
        <v/>
      </c>
      <c r="BQ37" s="238">
        <f>COUNTIF($D37:$Z37,BQ$4)</f>
        <v/>
      </c>
      <c r="BR37" s="247" t="n"/>
    </row>
    <row r="38" ht="19.5" customHeight="1">
      <c r="A38" s="233" t="n"/>
      <c r="B38" s="186" t="inlineStr">
        <is>
          <t>LCP SHLOK PUROHIT</t>
        </is>
      </c>
      <c r="C38" s="53" t="n"/>
      <c r="D38" s="53" t="n"/>
      <c r="E38" s="137" t="n"/>
      <c r="F38" s="137" t="inlineStr">
        <is>
          <t>GX $PM</t>
        </is>
      </c>
      <c r="G38" s="137" t="inlineStr">
        <is>
          <t>GX</t>
        </is>
      </c>
      <c r="H38" s="53" t="n"/>
      <c r="I38" s="53" t="n"/>
      <c r="J38" s="53" t="inlineStr">
        <is>
          <t>AE</t>
        </is>
      </c>
      <c r="K38" s="53" t="n"/>
      <c r="L38" s="53" t="n"/>
      <c r="M38" s="53" t="inlineStr">
        <is>
          <t>AE</t>
        </is>
      </c>
      <c r="N38" s="53" t="n"/>
      <c r="O38" s="53" t="n"/>
      <c r="P38" s="53" t="n"/>
      <c r="Q38" s="53" t="n"/>
      <c r="R38" s="75" t="inlineStr">
        <is>
          <t>R $AM ER (0500-1000)</t>
        </is>
      </c>
      <c r="S38" s="53" t="n"/>
      <c r="T38" s="53" t="inlineStr">
        <is>
          <t>AE</t>
        </is>
      </c>
      <c r="U38" s="53" t="n"/>
      <c r="V38" s="53" t="n"/>
      <c r="W38" s="53" t="n"/>
      <c r="X38" s="53" t="n"/>
      <c r="Y38" s="136" t="inlineStr">
        <is>
          <t>REMEDIAL COY $FC</t>
        </is>
      </c>
      <c r="AB38" s="53" t="n"/>
      <c r="AC38" s="53" t="inlineStr">
        <is>
          <t>AE</t>
        </is>
      </c>
      <c r="AD38" s="53" t="n"/>
      <c r="AE38" s="53" t="n"/>
      <c r="AF38" s="53" t="n"/>
      <c r="AG38" s="136" t="n"/>
      <c r="AH38" s="197" t="n"/>
      <c r="AI38" s="237">
        <f>COUNTIF($C38:$AG38,AI$4)</f>
        <v/>
      </c>
      <c r="AJ38" s="237">
        <f>COUNTIF($C38:$AG38,AJ$4)</f>
        <v/>
      </c>
      <c r="AK38" s="237">
        <f>COUNTIF($C38:$AG38,AK$4)</f>
        <v/>
      </c>
      <c r="AL38" s="237">
        <f>COUNTIF($C38:$AG38,AL$4)</f>
        <v/>
      </c>
      <c r="AM38" s="237">
        <f>COUNTIF($C38:$AG38,AM$4)</f>
        <v/>
      </c>
      <c r="AN38" s="237">
        <f>COUNTIF($C38:$AG38,AN$4)</f>
        <v/>
      </c>
      <c r="AO38" s="237">
        <f>COUNTIF($C38:$AG38,AO$4)</f>
        <v/>
      </c>
      <c r="AP38" s="237">
        <f>COUNTIF($C38:$AG38,AP$4)</f>
        <v/>
      </c>
      <c r="AQ38" s="237">
        <f>COUNTIF($C38:$AG38,AQ$4)</f>
        <v/>
      </c>
      <c r="AR38" s="246" t="n"/>
      <c r="AS38" s="239" t="n">
        <v>0.5</v>
      </c>
      <c r="AT38" s="239" t="n"/>
      <c r="AU38" s="238">
        <f>SUMPRODUCT(--(WEEKDAY(C$3:AG$3,2)&lt;5),--ISNUMBER(MATCH(C38:AG38,{"DM","CS1","CS2","SB1","AE","CS/B"},0)))</f>
        <v/>
      </c>
      <c r="AV38" s="246" t="n"/>
      <c r="AW38" s="238">
        <f>SUMPRODUCT(--(WEEKDAY(C$3:AG$3,2)=5),--ISNUMBER(MATCH(C38:AG38,{"DM","CS1","CS2","SB1","AE","CS/B"},0)))</f>
        <v/>
      </c>
      <c r="AX38" s="238">
        <f>SUMPRODUCT(--(WEEKDAY(C$3:AG$3,2)&gt;5),--ISNUMBER(MATCH(C38:AG38,{"DM","CS1","CS2","SB1","AE","CS/B"},0)))</f>
        <v/>
      </c>
      <c r="AY38" s="246" t="n"/>
      <c r="AZ38" s="238">
        <f>(AU38-AV38)+AW38*1.5+(AX38-AY38)*2+AN38*0.5+AP38*0.5+AS38-AT38</f>
        <v/>
      </c>
      <c r="BA38" s="238">
        <f>AU38+AW38+AX38</f>
        <v/>
      </c>
      <c r="BB38" s="238">
        <f>BE38+BG38+BI38+BK38+BM38</f>
        <v/>
      </c>
      <c r="BC38" s="239">
        <f>AZ38+BD38</f>
        <v/>
      </c>
      <c r="BD38" s="238">
        <f>BF38+BH38+BJ38+BL38+BN38</f>
        <v/>
      </c>
      <c r="BE38" s="238">
        <f>COUNTIF(A38:AI38,"*$BTP*")</f>
        <v/>
      </c>
      <c r="BF38" s="238">
        <f>BE38*1.5</f>
        <v/>
      </c>
      <c r="BG38" s="238">
        <f>COUNTIF(A38:AI38,"*$M*")</f>
        <v/>
      </c>
      <c r="BH38" s="238">
        <f>BG38*1</f>
        <v/>
      </c>
      <c r="BI38" s="238">
        <f>COUNTIF(A38:AI38,"*$PM*")</f>
        <v/>
      </c>
      <c r="BJ38" s="238">
        <f>BI38*0.5</f>
        <v/>
      </c>
      <c r="BK38" s="238">
        <f>COUNTIF(A38:AI38,"*$AM*")</f>
        <v/>
      </c>
      <c r="BL38" s="238">
        <f>BK38*0.5</f>
        <v/>
      </c>
      <c r="BM38" s="238">
        <f>COUNTIF(A38:AI38,"*$FC*")</f>
        <v/>
      </c>
      <c r="BN38" s="238">
        <f>BM38*1</f>
        <v/>
      </c>
      <c r="BO38" s="238">
        <f>COUNTIF($D38:$AA38,BO$4)</f>
        <v/>
      </c>
      <c r="BP38" s="238">
        <f>COUNTIF($D38:$AA38,BP$4)</f>
        <v/>
      </c>
      <c r="BQ38" s="238">
        <f>COUNTIF($D38:$AA38,BQ$4)</f>
        <v/>
      </c>
      <c r="BR38" s="247" t="n"/>
    </row>
    <row r="39" ht="19.5" customHeight="1">
      <c r="A39" s="233" t="n"/>
      <c r="B39" s="186" t="inlineStr">
        <is>
          <t>LCP HYDER ISKANDAR BIN ZULKILFILY</t>
        </is>
      </c>
      <c r="C39" s="75" t="inlineStr">
        <is>
          <t>AE</t>
        </is>
      </c>
      <c r="D39" s="53" t="inlineStr">
        <is>
          <t>B (Dental)</t>
        </is>
      </c>
      <c r="E39" s="53" t="n"/>
      <c r="F39" s="1" t="inlineStr">
        <is>
          <t>SB1</t>
        </is>
      </c>
      <c r="G39" s="53" t="n"/>
      <c r="H39" s="75" t="inlineStr">
        <is>
          <t>SB2</t>
        </is>
      </c>
      <c r="I39" s="241" t="n"/>
      <c r="J39" s="137" t="n"/>
      <c r="K39" s="53" t="inlineStr">
        <is>
          <t>AE</t>
        </is>
      </c>
      <c r="L39" s="53" t="n"/>
      <c r="M39" s="53" t="inlineStr">
        <is>
          <t>COVER RESERVE</t>
        </is>
      </c>
      <c r="N39" s="53" t="n"/>
      <c r="O39" s="53" t="inlineStr">
        <is>
          <t>AE</t>
        </is>
      </c>
      <c r="P39" s="53" t="n"/>
      <c r="Q39" s="53" t="n"/>
      <c r="S39" s="137" t="n"/>
      <c r="T39" s="137" t="inlineStr">
        <is>
          <t>COVER RESERVE</t>
        </is>
      </c>
      <c r="U39" s="137" t="n"/>
      <c r="V39" s="137" t="n"/>
      <c r="W39" s="234" t="inlineStr">
        <is>
          <t>HARI RAYA</t>
        </is>
      </c>
      <c r="X39" s="234" t="inlineStr">
        <is>
          <t>HARI RAYA</t>
        </is>
      </c>
      <c r="Z39" s="75" t="inlineStr">
        <is>
          <t>SB2</t>
        </is>
      </c>
      <c r="AA39" s="137" t="n"/>
      <c r="AB39" s="137" t="n"/>
      <c r="AC39" s="137" t="n"/>
      <c r="AD39" s="137" t="n"/>
      <c r="AE39" s="137" t="n"/>
      <c r="AF39" s="137" t="n"/>
      <c r="AG39" s="136" t="n"/>
      <c r="AH39" s="197" t="n"/>
      <c r="AI39" s="237">
        <f>COUNTIF($C39:$AG39,AI$4)</f>
        <v/>
      </c>
      <c r="AJ39" s="237">
        <f>COUNTIF($C39:$AG39,AJ$4)</f>
        <v/>
      </c>
      <c r="AK39" s="237">
        <f>COUNTIF($C39:$AG39,AK$4)</f>
        <v/>
      </c>
      <c r="AL39" s="237">
        <f>COUNTIF($C39:$AG39,AL$4)</f>
        <v/>
      </c>
      <c r="AM39" s="237">
        <f>COUNTIF($C39:$AG39,AM$4)</f>
        <v/>
      </c>
      <c r="AN39" s="237">
        <f>COUNTIF($C39:$AG39,AN$4)</f>
        <v/>
      </c>
      <c r="AO39" s="237">
        <f>COUNTIF($C39:$AG39,AO$4)</f>
        <v/>
      </c>
      <c r="AP39" s="237">
        <f>COUNTIF($C39:$AG39,AP$4)</f>
        <v/>
      </c>
      <c r="AQ39" s="237">
        <f>COUNTIF($C39:$AG39,AQ$4)</f>
        <v/>
      </c>
      <c r="AR39" s="246" t="n"/>
      <c r="AS39" s="239" t="n">
        <v>2</v>
      </c>
      <c r="AT39" s="239" t="n"/>
      <c r="AU39" s="238">
        <f>SUMPRODUCT(--(WEEKDAY(C$3:AG$3,2)&lt;5),--ISNUMBER(MATCH(C39:AG39,{"DM","CS1","CS2","SB1","AE","CS/B"},0)))</f>
        <v/>
      </c>
      <c r="AV39" s="246" t="n"/>
      <c r="AW39" s="238">
        <f>SUMPRODUCT(--(WEEKDAY(C$3:AG$3,2)=5),--ISNUMBER(MATCH(C39:AG39,{"DM","CS1","CS2","SB1","AE","CS/B"},0)))</f>
        <v/>
      </c>
      <c r="AX39" s="238">
        <f>SUMPRODUCT(--(WEEKDAY(C$3:AG$3,2)&gt;5),--ISNUMBER(MATCH(C39:AG39,{"DM","CS1","CS2","SB1","AE","CS/B"},0)))</f>
        <v/>
      </c>
      <c r="AY39" s="246" t="n"/>
      <c r="AZ39" s="238">
        <f>(AU39-AV39)+AW39*1.5+(AX39-AY39)*2+AN39*0.5+AP39*0.5+AS39-AT39</f>
        <v/>
      </c>
      <c r="BA39" s="238">
        <f>AU39+AW39+AX39</f>
        <v/>
      </c>
      <c r="BB39" s="238">
        <f>BE39+BG39+BI39+BK39+BM39</f>
        <v/>
      </c>
      <c r="BC39" s="239">
        <f>AZ39+BD39</f>
        <v/>
      </c>
      <c r="BD39" s="238">
        <f>BF39+BH39+BJ39+BL39+BN39</f>
        <v/>
      </c>
      <c r="BE39" s="238">
        <f>COUNTIF(A39:AI39,"*$BTP*")</f>
        <v/>
      </c>
      <c r="BF39" s="238">
        <f>BE39*1.5</f>
        <v/>
      </c>
      <c r="BG39" s="238">
        <f>COUNTIF(A39:AI39,"*$M*")</f>
        <v/>
      </c>
      <c r="BH39" s="238">
        <f>BG39*1</f>
        <v/>
      </c>
      <c r="BI39" s="238">
        <f>COUNTIF(A39:AI39,"*$PM*")</f>
        <v/>
      </c>
      <c r="BJ39" s="238">
        <f>BI39*0.5</f>
        <v/>
      </c>
      <c r="BK39" s="238">
        <f>COUNTIF(A39:AI39,"*$AM*")</f>
        <v/>
      </c>
      <c r="BL39" s="238">
        <f>BK39*0.5</f>
        <v/>
      </c>
      <c r="BM39" s="238">
        <f>COUNTIF(A39:AI39,"*$FC*")</f>
        <v/>
      </c>
      <c r="BN39" s="238">
        <f>BM39*1</f>
        <v/>
      </c>
      <c r="BO39" s="238">
        <f>COUNTIF($D39:$AA39,BO$4)</f>
        <v/>
      </c>
      <c r="BP39" s="238">
        <f>COUNTIF($D39:$AA39,BP$4)</f>
        <v/>
      </c>
      <c r="BQ39" s="238">
        <f>COUNTIF($D39:$AA39,BQ$4)</f>
        <v/>
      </c>
      <c r="BR39" s="247" t="n"/>
    </row>
    <row r="40" ht="19.5" customHeight="1">
      <c r="A40" s="233" t="n"/>
      <c r="B40" s="195" t="inlineStr">
        <is>
          <t>Leave a blank row after the last name ^</t>
        </is>
      </c>
      <c r="C40" s="196" t="n"/>
      <c r="D40" s="197" t="n"/>
      <c r="E40" s="197" t="n"/>
      <c r="F40" s="197" t="n"/>
      <c r="G40" s="53" t="n"/>
      <c r="I40" s="197" t="n"/>
      <c r="J40" s="197" t="n"/>
      <c r="K40" s="197" t="n"/>
      <c r="L40" s="197" t="n"/>
      <c r="M40" s="53" t="n"/>
      <c r="N40" s="197" t="n"/>
      <c r="O40" s="197" t="n"/>
      <c r="P40" s="197" t="n"/>
      <c r="Q40" s="53" t="n"/>
      <c r="R40" s="137" t="n"/>
      <c r="S40" s="197" t="n"/>
      <c r="T40" s="196" t="n"/>
      <c r="U40" s="198" t="n"/>
      <c r="V40" s="53" t="n"/>
      <c r="W40" s="137" t="n"/>
      <c r="X40" s="197" t="n"/>
      <c r="Y40" s="197" t="n"/>
      <c r="Z40" s="197" t="n"/>
      <c r="AA40" s="197" t="n"/>
      <c r="AB40" s="197" t="n"/>
      <c r="AC40" s="197" t="n"/>
      <c r="AD40" s="197" t="n"/>
      <c r="AE40" s="197" t="n"/>
      <c r="AF40" s="197" t="n"/>
      <c r="AG40" s="196" t="n"/>
      <c r="AH40" s="197" t="n"/>
      <c r="AI40" s="237" t="n"/>
      <c r="AJ40" s="248" t="n"/>
      <c r="AK40" s="237" t="n"/>
      <c r="AL40" s="237" t="n"/>
      <c r="AM40" s="246" t="n"/>
      <c r="AN40" s="246" t="n"/>
      <c r="AO40" s="246" t="n"/>
      <c r="AP40" s="246" t="n"/>
      <c r="AQ40" s="246" t="n"/>
      <c r="AR40" s="246" t="n"/>
      <c r="AS40" s="246" t="n"/>
      <c r="AT40" s="246" t="n"/>
      <c r="AU40" s="238" t="n"/>
      <c r="AV40" s="246" t="n"/>
      <c r="AW40" s="246" t="n"/>
      <c r="AX40" s="238" t="n"/>
      <c r="AY40" s="246" t="n"/>
      <c r="AZ40" s="246" t="n"/>
      <c r="BA40" s="238" t="n"/>
      <c r="BB40" s="238" t="n"/>
      <c r="BC40" s="238" t="inlineStr">
        <is>
          <t>svc avg = 6</t>
        </is>
      </c>
      <c r="BD40" s="238" t="n"/>
      <c r="BE40" s="238" t="n"/>
      <c r="BF40" s="238" t="n"/>
      <c r="BG40" s="238" t="n"/>
      <c r="BH40" s="238" t="n"/>
      <c r="BI40" s="238" t="n"/>
      <c r="BJ40" s="238" t="n"/>
      <c r="BK40" s="238" t="n"/>
      <c r="BL40" s="238" t="n"/>
      <c r="BM40" s="238" t="n"/>
      <c r="BN40" s="238" t="n"/>
      <c r="BO40" s="246" t="n"/>
      <c r="BP40" s="246" t="n"/>
      <c r="BQ40" s="246" t="n"/>
      <c r="BR40" s="247" t="n"/>
    </row>
    <row r="41" ht="19.5" customHeight="1">
      <c r="A41" s="233" t="n"/>
      <c r="B41" s="199" t="inlineStr">
        <is>
          <t>SERVICE POINTS</t>
        </is>
      </c>
      <c r="C41" s="196" t="n"/>
      <c r="D41" s="197" t="n"/>
      <c r="E41" s="197" t="n"/>
      <c r="F41" s="197" t="n"/>
      <c r="G41" s="197" t="n"/>
      <c r="I41" s="197" t="n"/>
      <c r="J41" s="197" t="n"/>
      <c r="K41" s="197" t="n"/>
      <c r="L41" s="197" t="n"/>
      <c r="M41" s="53" t="n"/>
      <c r="N41" s="197" t="n"/>
      <c r="O41" s="197" t="n"/>
      <c r="P41" s="197" t="n"/>
      <c r="Q41" s="53" t="n"/>
      <c r="R41" s="53" t="n"/>
      <c r="S41" s="197" t="n"/>
      <c r="T41" s="196" t="n"/>
      <c r="U41" s="198" t="n"/>
      <c r="V41" s="200" t="n"/>
      <c r="W41" s="197" t="n"/>
      <c r="X41" s="197" t="n"/>
      <c r="Y41" s="197" t="n"/>
      <c r="Z41" s="197" t="n"/>
      <c r="AA41" s="197" t="n"/>
      <c r="AB41" s="197" t="n"/>
      <c r="AC41" s="197" t="n"/>
      <c r="AD41" s="197" t="n"/>
      <c r="AE41" s="197" t="n"/>
      <c r="AF41" s="197" t="n"/>
      <c r="AG41" s="196" t="n"/>
      <c r="AH41" s="197" t="n"/>
      <c r="AI41" s="237" t="n"/>
      <c r="AJ41" s="248" t="n"/>
      <c r="AK41" s="237" t="n"/>
      <c r="AL41" s="237" t="n"/>
      <c r="AM41" s="246" t="n"/>
      <c r="AN41" s="246" t="n"/>
      <c r="AO41" s="246" t="n"/>
      <c r="AP41" s="246" t="n"/>
      <c r="AQ41" s="246" t="n"/>
      <c r="AR41" s="246" t="n"/>
      <c r="AS41" s="246" t="n"/>
      <c r="AT41" s="246" t="n"/>
      <c r="AU41" s="238" t="n"/>
      <c r="AV41" s="246" t="n"/>
      <c r="AW41" s="246" t="n"/>
      <c r="AX41" s="238" t="n"/>
      <c r="AY41" s="246" t="n"/>
      <c r="AZ41" s="246" t="n"/>
      <c r="BA41" s="238" t="n"/>
      <c r="BB41" s="238" t="n"/>
      <c r="BC41" s="238" t="inlineStr">
        <is>
          <t>cbt avg = 7.5</t>
        </is>
      </c>
      <c r="BD41" s="238" t="n"/>
      <c r="BE41" s="238" t="n"/>
      <c r="BF41" s="238" t="n"/>
      <c r="BG41" s="238" t="n"/>
      <c r="BH41" s="238" t="n"/>
      <c r="BI41" s="238" t="n"/>
      <c r="BJ41" s="238" t="n"/>
      <c r="BK41" s="238" t="n"/>
      <c r="BL41" s="238" t="n"/>
      <c r="BM41" s="238" t="n"/>
      <c r="BN41" s="238" t="n"/>
      <c r="BO41" s="246" t="n"/>
      <c r="BP41" s="246" t="n"/>
      <c r="BQ41" s="246" t="n"/>
      <c r="BR41" s="247" t="n"/>
    </row>
    <row r="42" ht="19.5" customHeight="1">
      <c r="A42" s="233" t="n"/>
      <c r="B42" s="199" t="inlineStr">
        <is>
          <t>COMBAT POINTS</t>
        </is>
      </c>
      <c r="C42" s="196" t="n"/>
      <c r="D42" s="197" t="n"/>
      <c r="E42" s="197" t="n"/>
      <c r="F42" s="197" t="n"/>
      <c r="G42" s="197" t="n"/>
      <c r="H42" s="197" t="n"/>
      <c r="I42" s="197" t="n"/>
      <c r="J42" s="197" t="n"/>
      <c r="K42" s="197" t="n"/>
      <c r="L42" s="197" t="n"/>
      <c r="M42" s="53" t="n"/>
      <c r="N42" s="197" t="n"/>
      <c r="O42" s="197" t="n"/>
      <c r="P42" s="197" t="n"/>
      <c r="Q42" s="53" t="n"/>
      <c r="R42" s="53" t="n"/>
      <c r="S42" s="197" t="n"/>
      <c r="T42" s="196" t="n"/>
      <c r="U42" s="198" t="inlineStr">
        <is>
          <t>             </t>
        </is>
      </c>
      <c r="V42" s="200" t="n"/>
      <c r="W42" s="197" t="n"/>
      <c r="X42" s="197" t="n"/>
      <c r="Y42" s="197" t="n"/>
      <c r="Z42" s="197" t="n"/>
      <c r="AA42" s="197" t="n"/>
      <c r="AB42" s="197" t="n"/>
      <c r="AC42" s="197" t="n"/>
      <c r="AD42" s="197" t="n"/>
      <c r="AE42" s="197" t="n"/>
      <c r="AF42" s="197" t="n"/>
      <c r="AG42" s="196" t="n"/>
      <c r="AH42" s="197" t="n"/>
      <c r="AI42" s="237" t="n"/>
      <c r="AJ42" s="248" t="n"/>
      <c r="AK42" s="237" t="n"/>
      <c r="AL42" s="237" t="n"/>
      <c r="AM42" s="246" t="n"/>
      <c r="AN42" s="246" t="n"/>
      <c r="AO42" s="246" t="n"/>
      <c r="AP42" s="246" t="n"/>
      <c r="AQ42" s="246" t="n"/>
      <c r="AR42" s="246" t="n"/>
      <c r="AS42" s="246" t="n"/>
      <c r="AT42" s="246" t="n"/>
      <c r="AU42" s="238" t="n"/>
      <c r="AV42" s="246" t="n"/>
      <c r="AW42" s="246" t="n"/>
      <c r="AX42" s="238" t="n"/>
      <c r="AY42" s="246" t="n"/>
      <c r="AZ42" s="246" t="n"/>
      <c r="BA42" s="238" t="n"/>
      <c r="BB42" s="238" t="n"/>
      <c r="BC42" s="238" t="n"/>
      <c r="BD42" s="238" t="n"/>
      <c r="BE42" s="238" t="n"/>
      <c r="BF42" s="238" t="n"/>
      <c r="BG42" s="238" t="n"/>
      <c r="BH42" s="238" t="n"/>
      <c r="BI42" s="238" t="n"/>
      <c r="BJ42" s="238" t="n"/>
      <c r="BK42" s="238" t="n"/>
      <c r="BL42" s="238" t="n"/>
      <c r="BM42" s="238" t="n"/>
      <c r="BN42" s="238" t="n"/>
      <c r="BO42" s="246" t="n"/>
      <c r="BP42" s="246" t="n"/>
      <c r="BQ42" s="246" t="n"/>
      <c r="BR42" s="247" t="n"/>
    </row>
    <row r="43" ht="19.5" customHeight="1">
      <c r="A43" s="233" t="n"/>
      <c r="B43" s="199" t="inlineStr">
        <is>
          <t>TOTAL POINTS</t>
        </is>
      </c>
      <c r="C43" s="196" t="n"/>
      <c r="D43" s="197" t="n"/>
      <c r="E43" s="197" t="n"/>
      <c r="F43" s="197" t="n"/>
      <c r="G43" s="197" t="n"/>
      <c r="H43" s="197" t="n"/>
      <c r="I43" s="197" t="n"/>
      <c r="J43" s="197" t="n"/>
      <c r="K43" s="197" t="n"/>
      <c r="L43" s="197" t="n"/>
      <c r="M43" s="53" t="n"/>
      <c r="N43" s="197" t="n"/>
      <c r="O43" s="197" t="n"/>
      <c r="P43" s="197" t="n"/>
      <c r="Q43" s="53" t="n"/>
      <c r="R43" s="53" t="n"/>
      <c r="S43" s="197" t="n"/>
      <c r="T43" s="196" t="n"/>
      <c r="U43" s="198" t="n"/>
      <c r="V43" s="200" t="n"/>
      <c r="W43" s="197" t="n"/>
      <c r="X43" s="197" t="n"/>
      <c r="Y43" s="197" t="n"/>
      <c r="Z43" s="197" t="n"/>
      <c r="AA43" s="197" t="n"/>
      <c r="AB43" s="197" t="n"/>
      <c r="AC43" s="197" t="n"/>
      <c r="AD43" s="197" t="n"/>
      <c r="AE43" s="197" t="n"/>
      <c r="AF43" s="197" t="n"/>
      <c r="AG43" s="196" t="n"/>
      <c r="AH43" s="197" t="n"/>
      <c r="AI43" s="237" t="n"/>
      <c r="AJ43" s="248" t="n"/>
      <c r="AK43" s="237" t="n"/>
      <c r="AL43" s="237" t="n"/>
      <c r="AM43" s="246" t="n"/>
      <c r="AN43" s="246" t="n"/>
      <c r="AO43" s="246" t="n"/>
      <c r="AP43" s="246" t="n"/>
      <c r="AQ43" s="246" t="n"/>
      <c r="AR43" s="246" t="n"/>
      <c r="AS43" s="246" t="n"/>
      <c r="AT43" s="246" t="n"/>
      <c r="AU43" s="238" t="n"/>
      <c r="AV43" s="246" t="n"/>
      <c r="AW43" s="246" t="n"/>
      <c r="AX43" s="238" t="n"/>
      <c r="AY43" s="246" t="n"/>
      <c r="AZ43" s="246" t="n"/>
      <c r="BA43" s="238" t="n"/>
      <c r="BB43" s="238" t="n"/>
      <c r="BC43" s="238" t="n"/>
      <c r="BD43" s="238" t="n"/>
      <c r="BE43" s="238" t="n"/>
      <c r="BF43" s="238" t="n"/>
      <c r="BG43" s="238" t="n"/>
      <c r="BH43" s="238" t="n"/>
      <c r="BI43" s="238" t="n"/>
      <c r="BJ43" s="238" t="n"/>
      <c r="BK43" s="238" t="n"/>
      <c r="BL43" s="238" t="n"/>
      <c r="BM43" s="238" t="n"/>
      <c r="BN43" s="238" t="n"/>
      <c r="BO43" s="246" t="n"/>
      <c r="BP43" s="246" t="n"/>
      <c r="BQ43" s="246" t="n"/>
      <c r="BR43" s="247" t="n"/>
    </row>
    <row r="44" ht="19.5" customHeight="1">
      <c r="A44" s="233" t="n"/>
      <c r="B44" s="201" t="n"/>
      <c r="C44" s="202" t="n"/>
      <c r="D44" s="249" t="n"/>
      <c r="E44" s="249" t="n"/>
      <c r="F44" s="249" t="n"/>
      <c r="G44" s="249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50" t="n"/>
      <c r="AI44" s="251" t="n"/>
      <c r="AJ44" s="252" t="n"/>
      <c r="AK44" s="251" t="n"/>
      <c r="AL44" s="251" t="n"/>
      <c r="AM44" s="253" t="n"/>
      <c r="AN44" s="253" t="n"/>
      <c r="AO44" s="253" t="n"/>
      <c r="AP44" s="253" t="n"/>
      <c r="AQ44" s="253" t="n"/>
      <c r="AR44" s="253" t="n"/>
      <c r="AS44" s="253" t="n"/>
      <c r="AT44" s="253" t="n"/>
      <c r="AU44" s="253" t="n"/>
      <c r="AV44" s="253" t="n"/>
      <c r="AW44" s="253" t="n"/>
      <c r="AX44" s="253">
        <f>SUMPRODUCT(--WEEKDAY(C$3:AG$3,2)&gt;5,--((C44:AG44="DM"))+(C44:AG44="CS1")+((C44:AG44="CS2"))+(C44:AG44="SB1")+(C44:AG44="AE")+(C44:AG44="EM"))</f>
        <v/>
      </c>
      <c r="AY44" s="253" t="n"/>
      <c r="AZ44" s="253">
        <f>(AU44-AV44)/2+(AX44-AY44)</f>
        <v/>
      </c>
      <c r="BA44" s="253" t="n"/>
      <c r="BB44" s="253" t="n"/>
      <c r="BC44" s="253" t="n"/>
      <c r="BD44" s="253" t="n"/>
      <c r="BE44" s="253" t="n"/>
      <c r="BF44" s="253" t="n"/>
      <c r="BG44" s="253" t="n"/>
      <c r="BH44" s="253" t="n"/>
      <c r="BI44" s="253" t="n"/>
      <c r="BJ44" s="253" t="n"/>
      <c r="BK44" s="253" t="n"/>
      <c r="BL44" s="253" t="n"/>
      <c r="BM44" s="253" t="n"/>
      <c r="BN44" s="253" t="n"/>
      <c r="BO44" s="253" t="n"/>
      <c r="BP44" s="253" t="n"/>
      <c r="BQ44" s="253" t="n"/>
      <c r="BR44" s="254" t="n"/>
    </row>
    <row r="45" ht="19.5" customHeight="1">
      <c r="A45" s="233" t="n"/>
      <c r="B45" s="205" t="inlineStr">
        <is>
          <t>DM</t>
        </is>
      </c>
      <c r="C45" s="206">
        <f>VLOOKUP("DM",C5:C40,1,FALSE)</f>
        <v/>
      </c>
      <c r="D45" s="206">
        <f>VLOOKUP("DM",D5:D40,1,FALSE)</f>
        <v/>
      </c>
      <c r="E45" s="206">
        <f>VLOOKUP("DM",E5:E40,1,FALSE)</f>
        <v/>
      </c>
      <c r="F45" s="206">
        <f>VLOOKUP("DM",F5:F40,1,FALSE)</f>
        <v/>
      </c>
      <c r="G45" s="206">
        <f>VLOOKUP("DM",G5:G39,1,FALSE)</f>
        <v/>
      </c>
      <c r="H45" s="206">
        <f>VLOOKUP("DM",H5:H39,1,FALSE)</f>
        <v/>
      </c>
      <c r="I45" s="206">
        <f>VLOOKUP("DM",I5:I40,1,FALSE)</f>
        <v/>
      </c>
      <c r="J45" s="206">
        <f>VLOOKUP("DM",J5:J40,1,FALSE)</f>
        <v/>
      </c>
      <c r="K45" s="206">
        <f>VLOOKUP("DM",K5:K40,1,FALSE)</f>
        <v/>
      </c>
      <c r="L45" s="206">
        <f>VLOOKUP("DM",L6:L40,1,FALSE)</f>
        <v/>
      </c>
      <c r="M45" s="206">
        <f>VLOOKUP("DM",M5:M40,1,FALSE)</f>
        <v/>
      </c>
      <c r="N45" s="206">
        <f>VLOOKUP("DM",N5:N40,1,FALSE)</f>
        <v/>
      </c>
      <c r="O45" s="206">
        <f>VLOOKUP("DM",O5:O40,1,FALSE)</f>
        <v/>
      </c>
      <c r="P45" s="206">
        <f>VLOOKUP("DM",P5:P40,1,FALSE)</f>
        <v/>
      </c>
      <c r="Q45" s="206">
        <f>VLOOKUP("DM",Q5:Q40,1,FALSE)</f>
        <v/>
      </c>
      <c r="R45" s="206">
        <f>VLOOKUP("DM",R5:R40,1,FALSE)</f>
        <v/>
      </c>
      <c r="S45" s="206">
        <f>VLOOKUP("DM",S5:S40,1,FALSE)</f>
        <v/>
      </c>
      <c r="T45" s="206">
        <f>VLOOKUP("DM",T6:T40,1,FALSE)</f>
        <v/>
      </c>
      <c r="U45" s="206">
        <f>VLOOKUP("DM",U5:U40,1,FALSE)</f>
        <v/>
      </c>
      <c r="V45" s="206">
        <f>VLOOKUP("DM",V5:V38,1,FALSE)</f>
        <v/>
      </c>
      <c r="W45" s="206">
        <f>VLOOKUP("DM",W5:W40,1,FALSE)</f>
        <v/>
      </c>
      <c r="X45" s="206">
        <f>VLOOKUP("DM",X5:X40,1,FALSE)</f>
        <v/>
      </c>
      <c r="Y45" s="206">
        <f>VLOOKUP("DM",Y5:Y40,1,FALSE)</f>
        <v/>
      </c>
      <c r="Z45" s="206">
        <f>VLOOKUP("DM",Z5:Z40,1,FALSE)</f>
        <v/>
      </c>
      <c r="AA45" s="206">
        <f>VLOOKUP("DM",AA5:AA40,1,FALSE)</f>
        <v/>
      </c>
      <c r="AB45" s="206">
        <f>VLOOKUP("DM",AB5:AB40,1,FALSE)</f>
        <v/>
      </c>
      <c r="AC45" s="206">
        <f>VLOOKUP("DM",AC5:AC40,1,FALSE)</f>
        <v/>
      </c>
      <c r="AD45" s="206">
        <f>VLOOKUP("DM",AD5:AD40,1,FALSE)</f>
        <v/>
      </c>
      <c r="AE45" s="206">
        <f>VLOOKUP("DM",AE5:AE40,1,FALSE)</f>
        <v/>
      </c>
      <c r="AF45" s="206">
        <f>VLOOKUP("DM",AF5:AF40,1,FALSE)</f>
        <v/>
      </c>
      <c r="AG45" s="206">
        <f>VLOOKUP("DM",AG5:AG40,1,FALSE)</f>
        <v/>
      </c>
      <c r="AH45" s="206">
        <f>VLOOKUP("DM",AH5:AH40,1,FALSE)</f>
        <v/>
      </c>
      <c r="AI45" s="237" t="n"/>
      <c r="AJ45" s="248" t="n"/>
      <c r="AK45" s="237" t="n"/>
      <c r="AL45" s="237" t="n"/>
      <c r="AM45" s="238" t="n"/>
      <c r="AN45" s="238" t="n"/>
      <c r="AO45" s="238" t="n"/>
      <c r="AP45" s="238" t="n"/>
      <c r="AQ45" s="238" t="n"/>
      <c r="AR45" s="238" t="n"/>
      <c r="AS45" s="238" t="n"/>
      <c r="AT45" s="238" t="n"/>
      <c r="AU45" s="238" t="n"/>
      <c r="AV45" s="238" t="n"/>
      <c r="AW45" s="238" t="n"/>
      <c r="AX45" s="238" t="n"/>
      <c r="AY45" s="238" t="n"/>
      <c r="AZ45" s="238" t="n"/>
      <c r="BA45" s="238" t="n"/>
      <c r="BB45" s="238" t="n"/>
      <c r="BC45" s="238" t="n"/>
      <c r="BD45" s="238" t="n"/>
      <c r="BE45" s="238" t="n"/>
      <c r="BF45" s="238" t="n"/>
      <c r="BG45" s="238" t="n"/>
      <c r="BH45" s="238" t="n"/>
      <c r="BI45" s="238" t="n"/>
      <c r="BJ45" s="238" t="n"/>
      <c r="BK45" s="238" t="n"/>
      <c r="BL45" s="238" t="n"/>
      <c r="BM45" s="238" t="n"/>
      <c r="BN45" s="238" t="n"/>
      <c r="BO45" s="238" t="n"/>
      <c r="BP45" s="238" t="n"/>
      <c r="BQ45" s="238" t="n"/>
      <c r="BR45" s="240" t="n"/>
    </row>
    <row r="46" ht="19.5" customHeight="1">
      <c r="A46" s="233">
        <f>LTE()</f>
        <v/>
      </c>
      <c r="B46" s="207" t="inlineStr">
        <is>
          <t>CS1</t>
        </is>
      </c>
      <c r="C46" s="206">
        <f>VLOOKUP("CS1",C5:C40,1,FALSE)</f>
        <v/>
      </c>
      <c r="D46" s="206">
        <f>VLOOKUP("CS1",D5:D40,1,FALSE)</f>
        <v/>
      </c>
      <c r="E46" s="206">
        <f>VLOOKUP("CS1",E5:E40,1,FALSE)</f>
        <v/>
      </c>
      <c r="F46" s="206">
        <f>VLOOKUP("CS1",F5:F40,1,FALSE)</f>
        <v/>
      </c>
      <c r="G46" s="206">
        <f>VLOOKUP("CS1",G5:G39,1,FALSE)</f>
        <v/>
      </c>
      <c r="H46" s="206">
        <f>VLOOKUP("CS1",H5:H39,1,FALSE)</f>
        <v/>
      </c>
      <c r="I46" s="206">
        <f>VLOOKUP("CS1",I5:I40,1,FALSE)</f>
        <v/>
      </c>
      <c r="J46" s="206">
        <f>VLOOKUP("CS1",J5:J40,1,FALSE)</f>
        <v/>
      </c>
      <c r="K46" s="206">
        <f>VLOOKUP("CS1",K5:K40,1,FALSE)</f>
        <v/>
      </c>
      <c r="L46" s="206">
        <f>VLOOKUP("CS1",L6:L40,1,FALSE)</f>
        <v/>
      </c>
      <c r="M46" s="206">
        <f>VLOOKUP("CS1",M6:M40,1,FALSE)</f>
        <v/>
      </c>
      <c r="N46" s="206">
        <f>VLOOKUP("CS1",N5:N40,1,FALSE)</f>
        <v/>
      </c>
      <c r="O46" s="206">
        <f>VLOOKUP("CS1",O5:O40,1,FALSE)</f>
        <v/>
      </c>
      <c r="P46" s="206">
        <f>VLOOKUP("CS1",P5:P40,1,FALSE)</f>
        <v/>
      </c>
      <c r="Q46" s="206">
        <f>VLOOKUP("CS1",Q5:Q40,1,FALSE)</f>
        <v/>
      </c>
      <c r="R46" s="206">
        <f>VLOOKUP("CS1",R5:R40,1,FALSE)</f>
        <v/>
      </c>
      <c r="S46" s="206">
        <f>VLOOKUP("CS1",S5:S40,1,FALSE)</f>
        <v/>
      </c>
      <c r="T46" s="206">
        <f>VLOOKUP("CS1",T6:T40,1,FALSE)</f>
        <v/>
      </c>
      <c r="U46" s="206">
        <f>VLOOKUP("CS1",U5:U40,1,FALSE)</f>
        <v/>
      </c>
      <c r="V46" s="206">
        <f>VLOOKUP("CS1",V5:V38,1,FALSE)</f>
        <v/>
      </c>
      <c r="W46" s="206">
        <f>VLOOKUP("CS1",W5:W40,1,FALSE)</f>
        <v/>
      </c>
      <c r="X46" s="206">
        <f>VLOOKUP("CS1",X5:X40,1,FALSE)</f>
        <v/>
      </c>
      <c r="Y46" s="206">
        <f>VLOOKUP("CS1",Y5:Y40,1,FALSE)</f>
        <v/>
      </c>
      <c r="Z46" s="206">
        <f>VLOOKUP("CS1",Z5:Z40,1,FALSE)</f>
        <v/>
      </c>
      <c r="AA46" s="206">
        <f>VLOOKUP("CS1",AA6:AA40,1,FALSE)</f>
        <v/>
      </c>
      <c r="AB46" s="206">
        <f>VLOOKUP("CS1",AB5:AB40,1,FALSE)</f>
        <v/>
      </c>
      <c r="AC46" s="206">
        <f>VLOOKUP("CS1",AC5:AC40,1,FALSE)</f>
        <v/>
      </c>
      <c r="AD46" s="206">
        <f>VLOOKUP("CS1",AD5:AD40,1,FALSE)</f>
        <v/>
      </c>
      <c r="AE46" s="206">
        <f>VLOOKUP("CS1",AE5:AE40,1,FALSE)</f>
        <v/>
      </c>
      <c r="AF46" s="206">
        <f>VLOOKUP("CS1",AF5:AF40,1,FALSE)</f>
        <v/>
      </c>
      <c r="AG46" s="206">
        <f>VLOOKUP("CS1",AG5:AG40,1,FALSE)</f>
        <v/>
      </c>
      <c r="AH46" s="206">
        <f>VLOOKUP("CS1",AH5:AH40,1,FALSE)</f>
        <v/>
      </c>
      <c r="AI46" s="237" t="n"/>
      <c r="AJ46" s="248" t="n"/>
      <c r="AK46" s="237" t="n"/>
      <c r="AL46" s="237" t="n"/>
      <c r="AM46" s="238" t="n"/>
      <c r="AN46" s="238" t="n"/>
      <c r="AO46" s="238" t="n"/>
      <c r="AP46" s="238" t="n"/>
      <c r="AQ46" s="238" t="n"/>
      <c r="AR46" s="238" t="n"/>
      <c r="AS46" s="238" t="n"/>
      <c r="AT46" s="238" t="n"/>
      <c r="AU46" s="238" t="n"/>
      <c r="AV46" s="238" t="n"/>
      <c r="AW46" s="238" t="n"/>
      <c r="AX46" s="238" t="n"/>
      <c r="AY46" s="238" t="n"/>
      <c r="AZ46" s="238" t="n"/>
      <c r="BA46" s="238" t="n"/>
      <c r="BB46" s="238" t="n"/>
      <c r="BC46" s="238" t="n"/>
      <c r="BD46" s="238" t="n"/>
      <c r="BE46" s="238" t="n"/>
      <c r="BF46" s="238" t="n"/>
      <c r="BG46" s="238" t="n"/>
      <c r="BH46" s="238" t="n"/>
      <c r="BI46" s="238" t="n"/>
      <c r="BJ46" s="238" t="n"/>
      <c r="BK46" s="238" t="n"/>
      <c r="BL46" s="238" t="n"/>
      <c r="BM46" s="238" t="n"/>
      <c r="BN46" s="238" t="n"/>
      <c r="BO46" s="238" t="n"/>
      <c r="BP46" s="238" t="n"/>
      <c r="BQ46" s="238" t="n"/>
      <c r="BR46" s="240" t="n"/>
    </row>
    <row r="47" ht="19.5" customHeight="1">
      <c r="A47" s="233" t="n"/>
      <c r="B47" s="208" t="inlineStr">
        <is>
          <t>CS2</t>
        </is>
      </c>
      <c r="C47" s="206">
        <f>VLOOKUP("CS2",C5:C40,1,FALSE)</f>
        <v/>
      </c>
      <c r="D47" s="206">
        <f>VLOOKUP("CS2",D5:D40,1,FALSE)</f>
        <v/>
      </c>
      <c r="E47" s="206">
        <f>VLOOKUP("CS2",E6:E40,1,FALSE)</f>
        <v/>
      </c>
      <c r="F47" s="206">
        <f>VLOOKUP("CS2",F5:F40,1,FALSE)</f>
        <v/>
      </c>
      <c r="G47" s="206">
        <f>VLOOKUP("CS2",G5:G39,1,FALSE)</f>
        <v/>
      </c>
      <c r="H47" s="206">
        <f>VLOOKUP("CS2",H5:H39,1,FALSE)</f>
        <v/>
      </c>
      <c r="I47" s="206">
        <f>VLOOKUP("CS2",I5:I40,1,FALSE)</f>
        <v/>
      </c>
      <c r="J47" s="206">
        <f>VLOOKUP("CS2",J5:J40,1,FALSE)</f>
        <v/>
      </c>
      <c r="K47" s="206">
        <f>VLOOKUP("CS2",K5:K40,1,FALSE)</f>
        <v/>
      </c>
      <c r="L47" s="206">
        <f>VLOOKUP("CS2",L6:L40,1,FALSE)</f>
        <v/>
      </c>
      <c r="M47" s="206">
        <f>VLOOKUP("CS2",M6:M40,1,FALSE)</f>
        <v/>
      </c>
      <c r="N47" s="206">
        <f>VLOOKUP("CS2",N5:N40,1,FALSE)</f>
        <v/>
      </c>
      <c r="O47" s="206">
        <f>VLOOKUP("CS2",O5:O40,1,FALSE)</f>
        <v/>
      </c>
      <c r="P47" s="206">
        <f>VLOOKUP("CS2",P5:P40,1,FALSE)</f>
        <v/>
      </c>
      <c r="Q47" s="206">
        <f>VLOOKUP("CS2",Q5:Q40,1,FALSE)</f>
        <v/>
      </c>
      <c r="R47" s="206">
        <f>VLOOKUP("CS2",R5:R40,1,FALSE)</f>
        <v/>
      </c>
      <c r="S47" s="206">
        <f>VLOOKUP("CS2",S5:S40,1,FALSE)</f>
        <v/>
      </c>
      <c r="T47" s="206">
        <f>VLOOKUP("CS2",T6:T40,1,FALSE)</f>
        <v/>
      </c>
      <c r="U47" s="206">
        <f>VLOOKUP("CS2",U5:U40,1,FALSE)</f>
        <v/>
      </c>
      <c r="V47" s="206">
        <f>VLOOKUP("CS2",V5:V38,1,FALSE)</f>
        <v/>
      </c>
      <c r="W47" s="206">
        <f>VLOOKUP("CS2",W5:W40,1,FALSE)</f>
        <v/>
      </c>
      <c r="X47" s="206">
        <f>VLOOKUP("CS2",X5:X40,1,FALSE)</f>
        <v/>
      </c>
      <c r="Y47" s="206">
        <f>VLOOKUP("CS2",Y5:Y40,1,FALSE)</f>
        <v/>
      </c>
      <c r="Z47" s="206">
        <f>VLOOKUP("CS2",Z5:Z40,1,FALSE)</f>
        <v/>
      </c>
      <c r="AA47" s="206">
        <f>VLOOKUP("CS2",AA6:AA40,1,FALSE)</f>
        <v/>
      </c>
      <c r="AB47" s="206">
        <f>VLOOKUP("CS2",AB5:AB40,1,FALSE)</f>
        <v/>
      </c>
      <c r="AC47" s="206">
        <f>VLOOKUP("CS2",AC5:AC40,1,FALSE)</f>
        <v/>
      </c>
      <c r="AD47" s="206">
        <f>VLOOKUP("CS2",AD5:AD40,1,FALSE)</f>
        <v/>
      </c>
      <c r="AE47" s="206">
        <f>VLOOKUP("CS2",AE5:AE40,1,FALSE)</f>
        <v/>
      </c>
      <c r="AF47" s="206">
        <f>VLOOKUP("CS2",AF5:AF40,1,FALSE)</f>
        <v/>
      </c>
      <c r="AG47" s="206">
        <f>VLOOKUP("CS2",AG5:AG40,1,FALSE)</f>
        <v/>
      </c>
      <c r="AH47" s="206">
        <f>VLOOKUP("CS2",AH5:AH40,1,FALSE)</f>
        <v/>
      </c>
      <c r="AI47" s="237" t="n"/>
      <c r="AJ47" s="248" t="n"/>
      <c r="AK47" s="237" t="n"/>
      <c r="AL47" s="237" t="n"/>
      <c r="AM47" s="238" t="n"/>
      <c r="AN47" s="238" t="n"/>
      <c r="AO47" s="238" t="n"/>
      <c r="AP47" s="238" t="n"/>
      <c r="AQ47" s="238" t="n"/>
      <c r="AR47" s="238" t="n"/>
      <c r="AS47" s="238" t="n"/>
      <c r="AT47" s="238" t="n"/>
      <c r="AU47" s="238" t="n"/>
      <c r="AV47" s="238" t="n"/>
      <c r="AW47" s="238" t="n"/>
      <c r="AX47" s="238" t="n"/>
      <c r="AY47" s="238" t="n"/>
      <c r="AZ47" s="238" t="n"/>
      <c r="BA47" s="238" t="n"/>
      <c r="BB47" s="238" t="n"/>
      <c r="BC47" s="238" t="n"/>
      <c r="BD47" s="238" t="n"/>
      <c r="BE47" s="238" t="n"/>
      <c r="BF47" s="238" t="n"/>
      <c r="BG47" s="238" t="n"/>
      <c r="BH47" s="238" t="n"/>
      <c r="BI47" s="238" t="n"/>
      <c r="BJ47" s="238" t="n"/>
      <c r="BK47" s="238" t="n"/>
      <c r="BL47" s="238" t="n"/>
      <c r="BM47" s="238" t="n"/>
      <c r="BN47" s="238" t="n"/>
      <c r="BO47" s="238" t="n"/>
      <c r="BP47" s="238" t="n"/>
      <c r="BQ47" s="238" t="n"/>
      <c r="BR47" s="240" t="n"/>
    </row>
    <row r="48" ht="19.5" customHeight="1">
      <c r="A48" s="233" t="n"/>
      <c r="B48" s="209" t="inlineStr">
        <is>
          <t>CS/B</t>
        </is>
      </c>
      <c r="C48" s="206">
        <f>VLOOKUP("CS/B",C5:C40,1,FALSE)</f>
        <v/>
      </c>
      <c r="D48" s="206">
        <f>VLOOKUP("CS/B",D5:D40,1,FALSE)</f>
        <v/>
      </c>
      <c r="E48" s="206">
        <f>VLOOKUP("CS/B",E6:E40,1,FALSE)</f>
        <v/>
      </c>
      <c r="F48" s="206">
        <f>VLOOKUP("CS/B",F5:F40,1,FALSE)</f>
        <v/>
      </c>
      <c r="G48" s="206">
        <f>VLOOKUP("CS/B",G5:G39,1,FALSE)</f>
        <v/>
      </c>
      <c r="H48" s="206">
        <f>VLOOKUP("CS/B",H5:H39,1,FALSE)</f>
        <v/>
      </c>
      <c r="I48" s="206">
        <f>VLOOKUP("CS/B",I5:I40,1,FALSE)</f>
        <v/>
      </c>
      <c r="J48" s="206">
        <f>VLOOKUP("CS/B",J5:J40,1,FALSE)</f>
        <v/>
      </c>
      <c r="K48" s="206">
        <f>VLOOKUP("CS/B",K5:K40,1,FALSE)</f>
        <v/>
      </c>
      <c r="L48" s="206">
        <f>VLOOKUP("CS/B",L6:L40,1,FALSE)</f>
        <v/>
      </c>
      <c r="M48" s="206">
        <f>VLOOKUP("CS/B",M6:M40,1,FALSE)</f>
        <v/>
      </c>
      <c r="N48" s="206">
        <f>VLOOKUP("CS/B",N5:N40,1,FALSE)</f>
        <v/>
      </c>
      <c r="O48" s="206">
        <f>VLOOKUP("CS/B",O5:O40,1,FALSE)</f>
        <v/>
      </c>
      <c r="P48" s="206">
        <f>VLOOKUP("CS/B",P5:P40,1,FALSE)</f>
        <v/>
      </c>
      <c r="Q48" s="206">
        <f>VLOOKUP("CS/B",Q5:Q40,1,FALSE)</f>
        <v/>
      </c>
      <c r="R48" s="206">
        <f>VLOOKUP("CS/B",R5:R40,1,FALSE)</f>
        <v/>
      </c>
      <c r="S48" s="206">
        <f>VLOOKUP("CS/B",S5:S40,1,FALSE)</f>
        <v/>
      </c>
      <c r="T48" s="206">
        <f>VLOOKUP("CS/B",T6:T40,1,FALSE)</f>
        <v/>
      </c>
      <c r="U48" s="206">
        <f>VLOOKUP("CS/B",U5:U40,1,FALSE)</f>
        <v/>
      </c>
      <c r="V48" s="206">
        <f>VLOOKUP("CS/B",V5:V38,1,FALSE)</f>
        <v/>
      </c>
      <c r="W48" s="206">
        <f>VLOOKUP("CS/B",W5:W40,1,FALSE)</f>
        <v/>
      </c>
      <c r="X48" s="206">
        <f>VLOOKUP("CS/B",X5:X40,1,FALSE)</f>
        <v/>
      </c>
      <c r="Y48" s="206">
        <f>VLOOKUP("CS/B",Y5:Y40,1,FALSE)</f>
        <v/>
      </c>
      <c r="Z48" s="206">
        <f>VLOOKUP("CS/B",Z5:Z40,1,FALSE)</f>
        <v/>
      </c>
      <c r="AA48" s="206">
        <f>VLOOKUP("CS/B",AA6:AA40,1,FALSE)</f>
        <v/>
      </c>
      <c r="AB48" s="206">
        <f>VLOOKUP("CS/B",AB5:AB40,1,FALSE)</f>
        <v/>
      </c>
      <c r="AC48" s="206">
        <f>VLOOKUP("CS/B",AC5:AC40,1,FALSE)</f>
        <v/>
      </c>
      <c r="AD48" s="206">
        <f>VLOOKUP("CS/B",AD5:AD40,1,FALSE)</f>
        <v/>
      </c>
      <c r="AE48" s="206">
        <f>VLOOKUP("CS/B",AE5:AE40,1,FALSE)</f>
        <v/>
      </c>
      <c r="AF48" s="206">
        <f>VLOOKUP("CS/B",AF5:AF40,1,FALSE)</f>
        <v/>
      </c>
      <c r="AG48" s="206">
        <f>VLOOKUP("CS/B",AG5:AG40,1,FALSE)</f>
        <v/>
      </c>
      <c r="AH48" s="206">
        <f>VLOOKUP("CS/B",AH5:AH40,1,FALSE)</f>
        <v/>
      </c>
      <c r="AI48" s="237" t="n"/>
      <c r="AJ48" s="248" t="n"/>
      <c r="AK48" s="237" t="n"/>
      <c r="AL48" s="237" t="n"/>
      <c r="AM48" s="238" t="n"/>
      <c r="AN48" s="238" t="n"/>
      <c r="AO48" s="238" t="n"/>
      <c r="AP48" s="238" t="n"/>
      <c r="AQ48" s="238" t="n"/>
      <c r="AR48" s="238" t="n"/>
      <c r="AS48" s="238" t="n"/>
      <c r="AT48" s="238" t="n"/>
      <c r="AU48" s="238" t="n"/>
      <c r="AV48" s="238" t="n"/>
      <c r="AW48" s="238" t="n"/>
      <c r="AX48" s="238" t="n"/>
      <c r="AY48" s="238" t="n"/>
      <c r="AZ48" s="238" t="n"/>
      <c r="BA48" s="238" t="n"/>
      <c r="BB48" s="238" t="n"/>
      <c r="BC48" s="238" t="n"/>
      <c r="BD48" s="238" t="n"/>
      <c r="BE48" s="238" t="n"/>
      <c r="BF48" s="238" t="n"/>
      <c r="BG48" s="238" t="n"/>
      <c r="BH48" s="238" t="n"/>
      <c r="BI48" s="238" t="n"/>
      <c r="BJ48" s="238" t="n"/>
      <c r="BK48" s="238" t="n"/>
      <c r="BL48" s="238" t="n"/>
      <c r="BM48" s="238" t="n"/>
      <c r="BN48" s="238" t="n"/>
      <c r="BO48" s="238" t="n"/>
      <c r="BP48" s="238" t="n"/>
      <c r="BQ48" s="238" t="n"/>
      <c r="BR48" s="240" t="n"/>
    </row>
    <row r="49" ht="19.5" customHeight="1">
      <c r="A49" s="233" t="n"/>
      <c r="B49" s="210" t="inlineStr">
        <is>
          <t>SB1</t>
        </is>
      </c>
      <c r="C49" s="206">
        <f>VLOOKUP("SB1",C5:C40,1,FALSE)</f>
        <v/>
      </c>
      <c r="D49" s="206">
        <f>VLOOKUP("SB1",D5:D40,1,FALSE)</f>
        <v/>
      </c>
      <c r="E49" s="206">
        <f>VLOOKUP("SB1",E6:E40,1,FALSE)</f>
        <v/>
      </c>
      <c r="F49" s="206">
        <f>VLOOKUP("SB1",F5:F40,1,FALSE)</f>
        <v/>
      </c>
      <c r="G49" s="206">
        <f>VLOOKUP("SB1",G5:G39,1,FALSE)</f>
        <v/>
      </c>
      <c r="H49" s="206">
        <f>VLOOKUP("SB1",H5:H39,1,FALSE)</f>
        <v/>
      </c>
      <c r="I49" s="206">
        <f>VLOOKUP("SB1",I5:I40,1,FALSE)</f>
        <v/>
      </c>
      <c r="J49" s="206">
        <f>VLOOKUP("SB1",J5:J40,1,FALSE)</f>
        <v/>
      </c>
      <c r="K49" s="206">
        <f>VLOOKUP("SB1",K5:K40,1,FALSE)</f>
        <v/>
      </c>
      <c r="L49" s="206">
        <f>VLOOKUP("SB1",L6:L40,1,FALSE)</f>
        <v/>
      </c>
      <c r="M49" s="206">
        <f>VLOOKUP("SB1",M6:M40,1,FALSE)</f>
        <v/>
      </c>
      <c r="N49" s="206">
        <f>VLOOKUP("SB1",N5:N40,1,FALSE)</f>
        <v/>
      </c>
      <c r="O49" s="206">
        <f>VLOOKUP("SB1",O5:O40,1,FALSE)</f>
        <v/>
      </c>
      <c r="P49" s="206">
        <f>VLOOKUP("SB1",P5:P40,1,FALSE)</f>
        <v/>
      </c>
      <c r="Q49" s="206">
        <f>VLOOKUP("SB1",Q5:Q40,1,FALSE)</f>
        <v/>
      </c>
      <c r="R49" s="206">
        <f>VLOOKUP("SB1",R5:R40,1,FALSE)</f>
        <v/>
      </c>
      <c r="S49" s="206">
        <f>VLOOKUP("SB1",S5:S40,1,FALSE)</f>
        <v/>
      </c>
      <c r="T49" s="206">
        <f>VLOOKUP("SB1",T6:T40,1,FALSE)</f>
        <v/>
      </c>
      <c r="U49" s="206">
        <f>VLOOKUP("SB1",U5:U40,1,FALSE)</f>
        <v/>
      </c>
      <c r="V49" s="206">
        <f>VLOOKUP("SB1",V5:V38,1,FALSE)</f>
        <v/>
      </c>
      <c r="W49" s="206">
        <f>VLOOKUP("SB1",W5:W40,1,FALSE)</f>
        <v/>
      </c>
      <c r="X49" s="206">
        <f>VLOOKUP("SB1",X5:X40,1,FALSE)</f>
        <v/>
      </c>
      <c r="Y49" s="206">
        <f>VLOOKUP("SB1",Y5:Y40,1,FALSE)</f>
        <v/>
      </c>
      <c r="Z49" s="206">
        <f>VLOOKUP("SB1",Z5:Z40,1,FALSE)</f>
        <v/>
      </c>
      <c r="AA49" s="206">
        <f>VLOOKUP("SB1",AA6:AA40,1,FALSE)</f>
        <v/>
      </c>
      <c r="AB49" s="206">
        <f>VLOOKUP("SB1",AB5:AB40,1,FALSE)</f>
        <v/>
      </c>
      <c r="AC49" s="206">
        <f>VLOOKUP("SB1",AC5:AC40,1,FALSE)</f>
        <v/>
      </c>
      <c r="AD49" s="206">
        <f>VLOOKUP("SB1",AD5:AD40,1,FALSE)</f>
        <v/>
      </c>
      <c r="AE49" s="206">
        <f>VLOOKUP("SB1",AE5:AE40,1,FALSE)</f>
        <v/>
      </c>
      <c r="AF49" s="206">
        <f>VLOOKUP("SB1",AF5:AF40,1,FALSE)</f>
        <v/>
      </c>
      <c r="AG49" s="206">
        <f>VLOOKUP("SB1",AG5:AG40,1,FALSE)</f>
        <v/>
      </c>
      <c r="AH49" s="206">
        <f>VLOOKUP("SB1",AH5:AH40,1,FALSE)</f>
        <v/>
      </c>
      <c r="AI49" s="237" t="n"/>
      <c r="AJ49" s="248" t="n"/>
      <c r="AK49" s="237" t="n"/>
      <c r="AL49" s="237" t="n"/>
      <c r="AM49" s="238" t="n"/>
      <c r="AN49" s="238" t="n"/>
      <c r="AO49" s="238" t="n"/>
      <c r="AP49" s="238" t="n"/>
      <c r="AQ49" s="238" t="n"/>
      <c r="AR49" s="238" t="n"/>
      <c r="AS49" s="238" t="n"/>
      <c r="AT49" s="238" t="n"/>
      <c r="AU49" s="238" t="n"/>
      <c r="AV49" s="238" t="n"/>
      <c r="AW49" s="238" t="n"/>
      <c r="AX49" s="238" t="n"/>
      <c r="AY49" s="238" t="n"/>
      <c r="AZ49" s="238" t="n"/>
      <c r="BA49" s="238" t="n"/>
      <c r="BB49" s="238" t="n"/>
      <c r="BC49" s="238" t="n"/>
      <c r="BD49" s="238" t="n"/>
      <c r="BE49" s="238" t="n"/>
      <c r="BF49" s="238" t="n"/>
      <c r="BG49" s="238" t="n"/>
      <c r="BH49" s="238" t="n"/>
      <c r="BI49" s="238" t="n"/>
      <c r="BJ49" s="238" t="n"/>
      <c r="BK49" s="238" t="n"/>
      <c r="BL49" s="238" t="n"/>
      <c r="BM49" s="238" t="n"/>
      <c r="BN49" s="238" t="n"/>
      <c r="BO49" s="238" t="n"/>
      <c r="BP49" s="238" t="n"/>
      <c r="BQ49" s="238" t="n"/>
      <c r="BR49" s="240" t="n"/>
    </row>
    <row r="50" ht="18.75" customHeight="1">
      <c r="A50" s="233" t="n"/>
      <c r="B50" s="211" t="inlineStr">
        <is>
          <t>SB2</t>
        </is>
      </c>
      <c r="C50" s="206">
        <f>VLOOKUP("SB2",C5:C40,1,FALSE)</f>
        <v/>
      </c>
      <c r="D50" s="206">
        <f>VLOOKUP("SB2",D5:D40,1,FALSE)</f>
        <v/>
      </c>
      <c r="E50" s="206">
        <f>VLOOKUP("SB2",E6:E40,1,FALSE)</f>
        <v/>
      </c>
      <c r="F50" s="206">
        <f>VLOOKUP("SB2",F5:F40,1,FALSE)</f>
        <v/>
      </c>
      <c r="G50" s="206">
        <f>VLOOKUP("SB2",G5:G39,1,FALSE)</f>
        <v/>
      </c>
      <c r="H50" s="206">
        <f>VLOOKUP("SB2",H5:H39,1,FALSE)</f>
        <v/>
      </c>
      <c r="I50" s="206">
        <f>VLOOKUP("SB2",I5:I40,1,FALSE)</f>
        <v/>
      </c>
      <c r="J50" s="206">
        <f>VLOOKUP("SB2",J5:J40,1,FALSE)</f>
        <v/>
      </c>
      <c r="K50" s="206">
        <f>VLOOKUP("SB2",K5:K40,1,FALSE)</f>
        <v/>
      </c>
      <c r="L50" s="206">
        <f>VLOOKUP("SB2",L6:L40,1,FALSE)</f>
        <v/>
      </c>
      <c r="M50" s="206">
        <f>VLOOKUP("SB2",M6:M40,1,FALSE)</f>
        <v/>
      </c>
      <c r="N50" s="206">
        <f>VLOOKUP("SB2",N5:N40,1,FALSE)</f>
        <v/>
      </c>
      <c r="O50" s="206">
        <f>VLOOKUP("SB2",O5:O40,1,FALSE)</f>
        <v/>
      </c>
      <c r="P50" s="206">
        <f>VLOOKUP("SB2",P5:P40,1,FALSE)</f>
        <v/>
      </c>
      <c r="Q50" s="206">
        <f>VLOOKUP("SB2",Q5:Q40,1,FALSE)</f>
        <v/>
      </c>
      <c r="R50" s="206">
        <f>VLOOKUP("SB2",R5:R40,1,FALSE)</f>
        <v/>
      </c>
      <c r="S50" s="206">
        <f>VLOOKUP("SB2",S5:S40,1,FALSE)</f>
        <v/>
      </c>
      <c r="T50" s="206">
        <f>VLOOKUP("SB2",T6:T40,1,FALSE)</f>
        <v/>
      </c>
      <c r="U50" s="206">
        <f>VLOOKUP("SB2",U5:U40,1,FALSE)</f>
        <v/>
      </c>
      <c r="V50" s="206">
        <f>VLOOKUP("SB2",V5:V38,1,FALSE)</f>
        <v/>
      </c>
      <c r="W50" s="206">
        <f>VLOOKUP("SB2",W5:W40,1,FALSE)</f>
        <v/>
      </c>
      <c r="X50" s="206">
        <f>VLOOKUP("SB2",X5:X40,1,FALSE)</f>
        <v/>
      </c>
      <c r="Y50" s="206">
        <f>VLOOKUP("SB2",Y5:Y40,1,FALSE)</f>
        <v/>
      </c>
      <c r="Z50" s="206">
        <f>VLOOKUP("SB2",Z5:Z40,1,FALSE)</f>
        <v/>
      </c>
      <c r="AA50" s="206">
        <f>VLOOKUP("SB2",AA6:AA40,1,FALSE)</f>
        <v/>
      </c>
      <c r="AB50" s="206">
        <f>VLOOKUP("SB2",AB5:AB40,1,FALSE)</f>
        <v/>
      </c>
      <c r="AC50" s="206">
        <f>VLOOKUP("SB2",AC5:AC40,1,FALSE)</f>
        <v/>
      </c>
      <c r="AD50" s="206">
        <f>VLOOKUP("SB2",AD5:AD40,1,FALSE)</f>
        <v/>
      </c>
      <c r="AE50" s="206">
        <f>VLOOKUP("SB2",AE5:AE40,1,FALSE)</f>
        <v/>
      </c>
      <c r="AF50" s="206">
        <f>VLOOKUP("SB2",AF5:AF40,1,FALSE)</f>
        <v/>
      </c>
      <c r="AG50" s="206">
        <f>VLOOKUP("SB2",AG5:AG40,1,FALSE)</f>
        <v/>
      </c>
      <c r="AH50" s="206">
        <f>VLOOKUP("SB2",AH5:AH40,1,FALSE)</f>
        <v/>
      </c>
      <c r="AI50" s="237" t="n"/>
      <c r="AJ50" s="248" t="n"/>
      <c r="AK50" s="237" t="n"/>
      <c r="AL50" s="237" t="n"/>
      <c r="AM50" s="238" t="n"/>
      <c r="AN50" s="238" t="n"/>
      <c r="AO50" s="238" t="n"/>
      <c r="AP50" s="238" t="n"/>
      <c r="AQ50" s="238" t="n"/>
      <c r="AR50" s="238" t="n"/>
      <c r="AS50" s="238" t="n"/>
      <c r="AT50" s="238" t="n"/>
      <c r="AU50" s="238" t="n"/>
      <c r="AV50" s="238" t="n"/>
      <c r="AW50" s="238" t="n"/>
      <c r="AX50" s="238" t="n"/>
      <c r="AY50" s="238" t="n"/>
      <c r="AZ50" s="238" t="n"/>
      <c r="BA50" s="238" t="n"/>
      <c r="BB50" s="238" t="n"/>
      <c r="BC50" s="238" t="n"/>
      <c r="BD50" s="238" t="n"/>
      <c r="BE50" s="238" t="n"/>
      <c r="BF50" s="238" t="n"/>
      <c r="BG50" s="238" t="n"/>
      <c r="BH50" s="238" t="n"/>
      <c r="BI50" s="238" t="n"/>
      <c r="BJ50" s="238" t="n"/>
      <c r="BK50" s="238" t="n"/>
      <c r="BL50" s="238" t="n"/>
      <c r="BM50" s="238" t="n"/>
      <c r="BN50" s="238" t="n"/>
      <c r="BO50" s="238" t="n"/>
      <c r="BP50" s="238" t="n"/>
      <c r="BQ50" s="238" t="n"/>
      <c r="BR50" s="240" t="n"/>
    </row>
    <row r="51" ht="19.5" customHeight="1">
      <c r="A51" s="233" t="n"/>
      <c r="B51" s="212" t="inlineStr">
        <is>
          <t>AE</t>
        </is>
      </c>
      <c r="C51" s="206">
        <f>VLOOKUP("AE",C5:C40,1,FALSE)</f>
        <v/>
      </c>
      <c r="D51" s="206">
        <f>VLOOKUP("AE",D5:D40,1,FALSE)</f>
        <v/>
      </c>
      <c r="E51" s="206">
        <f>VLOOKUP("AE",E6:E40,1,FALSE)</f>
        <v/>
      </c>
      <c r="F51" s="206">
        <f>VLOOKUP("AE",F5:F40,1,FALSE)</f>
        <v/>
      </c>
      <c r="G51" s="206">
        <f>VLOOKUP("AE",G5:G39,1,FALSE)</f>
        <v/>
      </c>
      <c r="H51" s="206">
        <f>VLOOKUP("AE",H5:H39,1,FALSE)</f>
        <v/>
      </c>
      <c r="I51" s="206">
        <f>VLOOKUP("AE",I5:I40,1,FALSE)</f>
        <v/>
      </c>
      <c r="J51" s="206">
        <f>VLOOKUP("AE",J5:J40,1,FALSE)</f>
        <v/>
      </c>
      <c r="K51" s="206">
        <f>VLOOKUP("AE",K5:K40,1,FALSE)</f>
        <v/>
      </c>
      <c r="L51" s="206">
        <f>VLOOKUP("AE",L6:L40,1,FALSE)</f>
        <v/>
      </c>
      <c r="M51" s="206">
        <f>VLOOKUP("AE",M6:M40,1,FALSE)</f>
        <v/>
      </c>
      <c r="N51" s="206">
        <f>VLOOKUP("AE",N5:N40,1,FALSE)</f>
        <v/>
      </c>
      <c r="O51" s="206">
        <f>VLOOKUP("AE",O5:O40,1,FALSE)</f>
        <v/>
      </c>
      <c r="P51" s="206">
        <f>VLOOKUP("AE",P5:P40,1,FALSE)</f>
        <v/>
      </c>
      <c r="Q51" s="206">
        <f>VLOOKUP("AE",Q5:Q40,1,FALSE)</f>
        <v/>
      </c>
      <c r="R51" s="206">
        <f>VLOOKUP("AE",R5:R40,1,FALSE)</f>
        <v/>
      </c>
      <c r="S51" s="206">
        <f>VLOOKUP("AE",S5:S40,1,FALSE)</f>
        <v/>
      </c>
      <c r="T51" s="206">
        <f>VLOOKUP("AE",T6:T40,1,FALSE)</f>
        <v/>
      </c>
      <c r="U51" s="206">
        <f>VLOOKUP("AE",U5:U40,1,FALSE)</f>
        <v/>
      </c>
      <c r="V51" s="206">
        <f>VLOOKUP("AE",V5:V39,1,FALSE)</f>
        <v/>
      </c>
      <c r="W51" s="206">
        <f>VLOOKUP("AE",W5:W40,1,FALSE)</f>
        <v/>
      </c>
      <c r="X51" s="206">
        <f>VLOOKUP("AE",X5:X40,1,FALSE)</f>
        <v/>
      </c>
      <c r="Y51" s="206">
        <f>VLOOKUP("AE",Y5:Y40,1,FALSE)</f>
        <v/>
      </c>
      <c r="Z51" s="206">
        <f>VLOOKUP("AE",Z5:Z40,1,FALSE)</f>
        <v/>
      </c>
      <c r="AA51" s="206">
        <f>VLOOKUP("AE",AA6:AA40,1,FALSE)</f>
        <v/>
      </c>
      <c r="AB51" s="206">
        <f>VLOOKUP("AE",AB5:AB40,1,FALSE)</f>
        <v/>
      </c>
      <c r="AC51" s="206">
        <f>VLOOKUP("AE",AC5:AC40,1,FALSE)</f>
        <v/>
      </c>
      <c r="AD51" s="206">
        <f>VLOOKUP("AE",AD5:AD40,1,FALSE)</f>
        <v/>
      </c>
      <c r="AE51" s="206">
        <f>VLOOKUP("AE",AE5:AE40,1,FALSE)</f>
        <v/>
      </c>
      <c r="AF51" s="206">
        <f>VLOOKUP("AE",AF5:AF40,1,FALSE)</f>
        <v/>
      </c>
      <c r="AG51" s="206">
        <f>VLOOKUP("AE",AG5:AG40,1,FALSE)</f>
        <v/>
      </c>
      <c r="AH51" s="206">
        <f>VLOOKUP("AE",AH5:AH40,1,FALSE)</f>
        <v/>
      </c>
      <c r="AI51" s="237" t="n"/>
      <c r="AJ51" s="248" t="n"/>
      <c r="AK51" s="237" t="n"/>
      <c r="AL51" s="237" t="n"/>
      <c r="AM51" s="238" t="n"/>
      <c r="AN51" s="238" t="n"/>
      <c r="AO51" s="238" t="n"/>
      <c r="AP51" s="238" t="n"/>
      <c r="AQ51" s="238" t="n"/>
      <c r="AR51" s="238" t="n"/>
      <c r="AS51" s="238" t="n"/>
      <c r="AT51" s="238" t="n"/>
      <c r="AU51" s="238" t="n"/>
      <c r="AV51" s="238" t="n"/>
      <c r="AW51" s="238" t="n"/>
      <c r="AX51" s="238" t="n"/>
      <c r="AY51" s="238" t="n"/>
      <c r="AZ51" s="238" t="n"/>
      <c r="BA51" s="238" t="n"/>
      <c r="BB51" s="238" t="n"/>
      <c r="BC51" s="238" t="n"/>
      <c r="BD51" s="238" t="n"/>
      <c r="BE51" s="238" t="n"/>
      <c r="BF51" s="238" t="n"/>
      <c r="BG51" s="238" t="n"/>
      <c r="BH51" s="238" t="n"/>
      <c r="BI51" s="238" t="n"/>
      <c r="BJ51" s="238" t="n"/>
      <c r="BK51" s="238" t="n"/>
      <c r="BL51" s="238" t="n"/>
      <c r="BM51" s="238" t="n"/>
      <c r="BN51" s="238" t="n"/>
      <c r="BO51" s="238" t="n"/>
      <c r="BP51" s="238" t="n"/>
      <c r="BQ51" s="238" t="n"/>
      <c r="BR51" s="240" t="n"/>
    </row>
    <row r="52" ht="19.5" customHeight="1">
      <c r="A52" s="233" t="n"/>
      <c r="B52" s="1" t="inlineStr">
        <is>
          <t>RESERVE</t>
        </is>
      </c>
      <c r="C52">
        <f>VLOOKUP("RESERVE",C5:C39,1,FALSE)</f>
        <v/>
      </c>
      <c r="D52">
        <f>VLOOKUP("RESERVE",D5:D39,1,FALSE)</f>
        <v/>
      </c>
      <c r="E52">
        <f>VLOOKUP("RESERVE",E5:E39,1,FALSE)</f>
        <v/>
      </c>
      <c r="F52">
        <f>VLOOKUP("RESERVE",F5:F39,1,FALSE)</f>
        <v/>
      </c>
      <c r="G52">
        <f>VLOOKUP("RESERVE",G5:G39,1,FALSE)</f>
        <v/>
      </c>
      <c r="H52">
        <f>VLOOKUP("RESERVE",H5:H39,1,FALSE)</f>
        <v/>
      </c>
      <c r="I52">
        <f>VLOOKUP("RESERVE",I5:I39,1,FALSE)</f>
        <v/>
      </c>
      <c r="J52">
        <f>VLOOKUP("RESERVE",J5:J39,1,FALSE)</f>
        <v/>
      </c>
      <c r="K52">
        <f>VLOOKUP("RESERVE",K5:K39,1,FALSE)</f>
        <v/>
      </c>
      <c r="L52">
        <f>VLOOKUP("RESERVE",L5:L39,1,FALSE)</f>
        <v/>
      </c>
      <c r="M52">
        <f>VLOOKUP("RESERVE",M5:M39,1,FALSE)</f>
        <v/>
      </c>
      <c r="N52">
        <f>VLOOKUP("RESERVE",N5:N39,1,FALSE)</f>
        <v/>
      </c>
      <c r="O52">
        <f>VLOOKUP("RESERVE",O5:O39,1,FALSE)</f>
        <v/>
      </c>
      <c r="P52">
        <f>VLOOKUP("RESERVE",P5:P39,1,FALSE)</f>
        <v/>
      </c>
      <c r="Q52">
        <f>VLOOKUP("RESERVE",Q5:Q39,1,FALSE)</f>
        <v/>
      </c>
      <c r="R52">
        <f>VLOOKUP("RESERVE",R5:R40,1,FALSE)</f>
        <v/>
      </c>
      <c r="S52">
        <f>VLOOKUP("RESERVE",S5:S39,1,FALSE)</f>
        <v/>
      </c>
      <c r="T52">
        <f>VLOOKUP("RESERVE",T5:T39,1,FALSE)</f>
        <v/>
      </c>
      <c r="U52">
        <f>VLOOKUP("RESERVE",U5:U39,1,FALSE)</f>
        <v/>
      </c>
      <c r="V52">
        <f>VLOOKUP("RESERVE",V5:V39,1,FALSE)</f>
        <v/>
      </c>
      <c r="W52">
        <f>VLOOKUP("RESERVE",W5:W39,1,FALSE)</f>
        <v/>
      </c>
      <c r="X52">
        <f>VLOOKUP("RESERVE",X5:X39,1,FALSE)</f>
        <v/>
      </c>
      <c r="Y52">
        <f>VLOOKUP("RESERVE",Y5:Y37,1,FALSE)</f>
        <v/>
      </c>
      <c r="Z52">
        <f>VLOOKUP("RESERVE",Z5:Z39,1,FALSE)</f>
        <v/>
      </c>
      <c r="AA52">
        <f>VLOOKUP("RESERVE",AA5:AA39,1,FALSE)</f>
        <v/>
      </c>
      <c r="AB52">
        <f>VLOOKUP("RESERVE",AB5:AB39,1,FALSE)</f>
        <v/>
      </c>
      <c r="AC52">
        <f>VLOOKUP("RESERVE",AC5:AC39,1,FALSE)</f>
        <v/>
      </c>
      <c r="AD52">
        <f>VLOOKUP("RESERVE",AD5:AD39,1,FALSE)</f>
        <v/>
      </c>
      <c r="AE52">
        <f>VLOOKUP("RESERVE",AE5:AE39,1,FALSE)</f>
        <v/>
      </c>
      <c r="AF52">
        <f>VLOOKUP("RESERVE",AF5:AF39,1,FALSE)</f>
        <v/>
      </c>
      <c r="AG52">
        <f>VLOOKUP("RESERVE",AG5:AG39,1,FALSE)</f>
        <v/>
      </c>
      <c r="AH52">
        <f>VLOOKUP("RESERVE",AH5:AH39,1,FALSE)</f>
        <v/>
      </c>
      <c r="AI52" s="237" t="n"/>
      <c r="AJ52" s="248" t="n"/>
      <c r="AK52" s="237" t="n"/>
      <c r="AL52" s="237" t="n"/>
      <c r="AM52" s="238" t="n"/>
      <c r="AN52" s="238" t="n"/>
      <c r="AO52" s="238" t="n"/>
      <c r="AP52" s="238" t="n"/>
      <c r="AQ52" s="238" t="n"/>
      <c r="AR52" s="238" t="n"/>
      <c r="AS52" s="238" t="n"/>
      <c r="AT52" s="238" t="n"/>
      <c r="AU52" s="238" t="n"/>
      <c r="AV52" s="238" t="n"/>
      <c r="AW52" s="238" t="n"/>
      <c r="AX52" s="238" t="n"/>
      <c r="AY52" s="238" t="n"/>
      <c r="AZ52" s="238" t="n"/>
      <c r="BA52" s="238" t="n"/>
      <c r="BB52" s="238" t="n"/>
      <c r="BC52" s="238" t="n"/>
      <c r="BD52" s="238" t="n"/>
      <c r="BE52" s="238" t="n"/>
      <c r="BF52" s="238" t="n"/>
      <c r="BG52" s="238" t="n"/>
      <c r="BH52" s="238" t="n"/>
      <c r="BI52" s="238" t="n"/>
      <c r="BJ52" s="238" t="n"/>
      <c r="BK52" s="238" t="n"/>
      <c r="BL52" s="238" t="n"/>
      <c r="BM52" s="238" t="n"/>
      <c r="BN52" s="238" t="n"/>
      <c r="BO52" s="238" t="n"/>
      <c r="BP52" s="238" t="n"/>
      <c r="BQ52" s="238" t="n"/>
      <c r="BR52" s="240" t="n"/>
    </row>
  </sheetData>
  <mergeCells count="3">
    <mergeCell ref="C1:S1"/>
    <mergeCell ref="AT3:AT4"/>
    <mergeCell ref="AS3:AS4"/>
  </mergeCells>
  <conditionalFormatting sqref="D23">
    <cfRule type="expression" priority="6" dxfId="136">
      <formula>WEEKDAY(G$3,2)&gt;5</formula>
    </cfRule>
    <cfRule type="expression" priority="7" dxfId="136">
      <formula>WEEKDAY(F$3,2)&gt;5</formula>
    </cfRule>
  </conditionalFormatting>
  <conditionalFormatting sqref="AC34">
    <cfRule type="expression" priority="1" dxfId="136">
      <formula>WEEKDAY(AC$3,2)&gt;5</formula>
    </cfRule>
    <cfRule type="expression" priority="2" dxfId="136">
      <formula>WEEKDAY(AB$3,2)&gt;5</formula>
    </cfRule>
  </conditionalFormatting>
  <conditionalFormatting sqref="X35">
    <cfRule type="expression" priority="9" dxfId="136">
      <formula>WEEKDAY(AA$3,2)&gt;5</formula>
    </cfRule>
    <cfRule type="expression" priority="10" dxfId="136">
      <formula>WEEKDAY(Z$3,2)&gt;5</formula>
    </cfRule>
  </conditionalFormatting>
  <conditionalFormatting sqref="O37">
    <cfRule type="expression" priority="3" dxfId="136">
      <formula>WEEKDAY(Q$3,2)&gt;5</formula>
    </cfRule>
  </conditionalFormatting>
  <conditionalFormatting sqref="C21:C22">
    <cfRule type="expression" priority="11" dxfId="136">
      <formula>WEEKDAY(D$3,2)&gt;5</formula>
    </cfRule>
  </conditionalFormatting>
  <conditionalFormatting sqref="R21:R22">
    <cfRule type="expression" priority="4" dxfId="136">
      <formula>WEEKDAY(U$3,2)&gt;5</formula>
    </cfRule>
    <cfRule type="expression" priority="5" dxfId="136">
      <formula>WEEKDAY(V$3,2)&gt;5</formula>
    </cfRule>
  </conditionalFormatting>
  <conditionalFormatting sqref="A1:BR52">
    <cfRule type="cellIs" priority="78" operator="equal" dxfId="155">
      <formula>"RESERVE"</formula>
    </cfRule>
  </conditionalFormatting>
  <conditionalFormatting sqref="C3:S43 T2:X43 Y3:AH43">
    <cfRule type="expression" priority="71" dxfId="136">
      <formula>WEEKDAY(T$3,2)&gt;5</formula>
    </cfRule>
  </conditionalFormatting>
  <conditionalFormatting sqref="C5:I52 J4:J52 K5:Z52 AA4:AA52 AB5:AH52">
    <cfRule type="cellIs" priority="56" operator="equal" dxfId="137">
      <formula>"B"</formula>
    </cfRule>
    <cfRule type="cellIs" priority="57" operator="equal" dxfId="137">
      <formula>"AL"</formula>
    </cfRule>
    <cfRule type="cellIs" priority="58" operator="equal" dxfId="138">
      <formula>"DM"</formula>
    </cfRule>
    <cfRule type="cellIs" priority="59" operator="equal" dxfId="139">
      <formula>"CS1"</formula>
    </cfRule>
    <cfRule type="cellIs" priority="60" operator="equal" dxfId="140">
      <formula>"CS2"</formula>
    </cfRule>
    <cfRule type="cellIs" priority="61" operator="equal" dxfId="141">
      <formula>"SB1"</formula>
    </cfRule>
    <cfRule type="cellIs" priority="62" operator="equal" dxfId="142">
      <formula>"SB2"</formula>
    </cfRule>
    <cfRule type="cellIs" priority="63" operator="equal" dxfId="143">
      <formula>"AE"</formula>
    </cfRule>
  </conditionalFormatting>
  <conditionalFormatting sqref="C5:I43 J4:J43 K5:Z43 AA4:AA43 AB5:AH43">
    <cfRule type="cellIs" priority="65" operator="equal" dxfId="137">
      <formula>"DB"</formula>
    </cfRule>
    <cfRule type="containsText" priority="66" operator="between" dxfId="144" text="$AM">
      <formula>NOT(ISERROR(SEARCH("$AM",C4)))</formula>
    </cfRule>
    <cfRule type="containsText" priority="67" operator="between" dxfId="145" text="$PM">
      <formula>NOT(ISERROR(SEARCH("$PM",C4)))</formula>
    </cfRule>
    <cfRule type="containsText" priority="68" operator="between" dxfId="146" text="$L">
      <formula>NOT(ISERROR(SEARCH("$L",C4)))</formula>
    </cfRule>
    <cfRule type="containsText" priority="69" operator="between" dxfId="147" text="$BTP">
      <formula>NOT(ISERROR(SEARCH("$BTP",C4)))</formula>
    </cfRule>
    <cfRule type="containsText" priority="70" operator="between" dxfId="148" text="$M">
      <formula>NOT(ISERROR(SEARCH("$M",C4)))</formula>
    </cfRule>
    <cfRule type="containsText" priority="72" operator="between" dxfId="149" text="$N">
      <formula>NOT(ISERROR(SEARCH("$N",C4)))</formula>
    </cfRule>
    <cfRule type="containsText" priority="73" operator="between" dxfId="150" text="$FC">
      <formula>NOT(ISERROR(SEARCH("$FC",C4)))</formula>
    </cfRule>
    <cfRule type="containsText" priority="74" operator="between" dxfId="151" text="OAL">
      <formula>NOT(ISERROR(SEARCH("OAL",C4)))</formula>
    </cfRule>
    <cfRule type="containsText" priority="75" operator="between" dxfId="152" text="S+">
      <formula>NOT(ISERROR(SEARCH("S+",C4)))</formula>
    </cfRule>
    <cfRule type="containsText" priority="76" operator="between" dxfId="153" text="EX-D">
      <formula>NOT(ISERROR(SEARCH("EX-D",C4)))</formula>
    </cfRule>
  </conditionalFormatting>
  <conditionalFormatting sqref="C5:C10 C12:C23 C26 C29 C33 C39 D6 D8:D10 D13:D17 D19:D26 D28 D30 D32:D33 D38 E5:E6 E8 E11:E13 E15:E21 E24:E26 E28:E29 E31:F31 E33:F33 E35:G35 E37:E39 F6:F10 F12:F13 F15:F17 F19:F22 F25:F29 F37:G38 G5:G16 G18:G28 G32:G33 H5:H9 H11 H13:H21 H23:H31 H35:H36 H38:I38 I5:I10 I12:I16 I18:I29 I33:I34 I36:J36 J4:J16 J18:J20 J22:J23 J25:J27 J29:J30 J34 J38:J39 K5:K6 K8:K13 K15:K16 K18:K24 K26:L26 K28 K30:K31 K33:K35 K37:K39 L6:L9 L11:L13 L15:L17 L20:L24 L29 L31 L35:L36 L39:M39 M5:M7 M9:M16 M18:M19 M22:M29 M31:M33 M35:M37 N5:O6 N12:N26 N29 N31:N32 N34:N35 N37 O10:O24 O26:Q29 O32:O34 O36:O38 P5:P9 P11:P17 P19:P23 P35 Q5:Q17 Q19:Q22 Q24 Q31:R31 R5:R6 R10:R17 R19:R24 R26:R27 R29 R35 R38 R40 S5:S14 S16:S31 S33 T5:T6 T8:T17 T19:T31 T34 U5:U8 U11:U21 U23:U25 U27:U30 U37:U38 U40:U43 V5:V14 V16 V18:V21 V23:V24 V26:X26 V28:V33 V35 V37:V39 W5:X22 W24:X24 W28:W31 W34:X36 W39:X39 X28:X29 X31 Y5:Y24 Y26:Y39 Z5:AC39 AD5:AE29 AD31:AF32 AF5:AF28 AG5:AG6 AG8:AG23 AG25:AG28 AG31:AH31 AG34 AH5:AH25">
    <cfRule type="containsText" priority="77" operator="between" dxfId="154" text="VACC">
      <formula>NOT(ISERROR(SEARCH("VACC",C4)))</formula>
    </cfRule>
  </conditionalFormatting>
  <conditionalFormatting sqref="C5:C10 C12:C23 C25:C31 C33 C39 D6 D8:D10 D13:D16 D19:D20 D23 D25:D26 D28 D30 D32:D33 D38 E5:E6 E8 E11:E13 E15:E16 E18:E21 E24:E26 E28:E29 E31:F31 E33:F33 E35:H35 E37:E39 F6:F10 F12:F13 F15:F17 F19:F22 F25:F29 F37:G38 G5:G8 G10:G16 G18:G21 G23:G28 G32:G33 H5:H9 H11 H13:H17 H19:H21 H23:H26 H28:H31 H38:J38 I5:I10 I13:J16 I18:I29 I34:J34 J5:J11 J19 J22:J23 J25:J27 J29:J30 K5 K9:K13 K16 K21:K22 K24 K26:L26 K28 K30:K31 K33:K34 K38:K39 L6:L9 L11:L13 L15:L17 L21:L24 L31 L35:L36 L39:M39 M5:M7 M9:M11 M13:M16 M18 M22:M24 M26:M29 M32:M33 M35:M37 N5:O6 N12 N14:N16 N20:N22 N25:N26 N29 N32 N34 N37 O10 O12:O13 O15:O17 O19:O28 O32:O34 O36:O38 P5:P9 P11 P13:P16 P19:P23 P25:P27 P35 Q5:Q11 Q13:Q17 Q19:Q22 Q24:Q25 Q27 R5:R6 R10:R11 R14 R16:R17 R19:R24 R29 R35 R38 R40 S5:S8 S10 S13:S14 S16:S19 S22:S23 S27:S29 S31 T5:U6 T8:T12 T14 T16:T17 T19:T24 T27:U27 T29:W29 T34 U8 U11:U14 U16:U21 U24:U25 U37 V5:V13 V16 V18:V19 V21 V24:V26 V31:V33 V35 V38 W5:W11 W13:W19 W21:X22 W24:X24 W26 W31:Z31 W34:X36 W39:X39 X5:X9 X11:X17 X19 Y5:Y8 Y11:Y21 Y27 Z5:AC5 Z10:Z12 Z14 Z16 Z18:Z19 Z22:Z24 Z28:Z29 Z37 AA9:AA11 AA13:AA16 AA18:AB18 AA21 AA25:AB25 AA27 AA32 AB7 AB10:AB13 AB15:AB16 AB20:AB22 AB31 AB35 AC7:AC8 AC10 AC13:AD13 AC16:AC17 AC19:AC22 AC24 AC27:AD27 AC29:AC30 AC33:AC35 AD5:AD11 AD16:AE19 AD22 AD25 AE6:AE14 AE22:AE24 AE26 AF5 AF8:AF11 AF13:AF17 AF19:AF20 AF22 AG5:AG6 AG8:AG14 AG16:AH17 AG19 AG21:AG23 AH5:AH12 AH21:AH22 AH31">
    <cfRule type="cellIs" priority="12" operator="equal" dxfId="137">
      <formula>"B"</formula>
    </cfRule>
    <cfRule type="cellIs" priority="13" operator="equal" dxfId="137">
      <formula>"AL"</formula>
    </cfRule>
    <cfRule type="cellIs" priority="14" operator="equal" dxfId="138">
      <formula>"DM"</formula>
    </cfRule>
    <cfRule type="cellIs" priority="15" operator="equal" dxfId="139">
      <formula>"CS1"</formula>
    </cfRule>
    <cfRule type="cellIs" priority="16" operator="equal" dxfId="140">
      <formula>"CS2"</formula>
    </cfRule>
    <cfRule type="cellIs" priority="17" operator="equal" dxfId="141">
      <formula>"SB1"</formula>
    </cfRule>
    <cfRule type="cellIs" priority="18" operator="equal" dxfId="142">
      <formula>"SB2"</formula>
    </cfRule>
    <cfRule type="cellIs" priority="19" operator="equal" dxfId="143">
      <formula>"AE"</formula>
    </cfRule>
    <cfRule type="cellIs" priority="20" operator="equal" dxfId="137">
      <formula>"DB"</formula>
    </cfRule>
    <cfRule type="containsText" priority="21" operator="between" dxfId="144" text="$AM">
      <formula>NOT(ISERROR(SEARCH("$AM",C5)))</formula>
    </cfRule>
    <cfRule type="containsText" priority="22" operator="between" dxfId="145" text="$PM">
      <formula>NOT(ISERROR(SEARCH("$PM",C5)))</formula>
    </cfRule>
    <cfRule type="containsText" priority="23" operator="between" dxfId="146" text="$L">
      <formula>NOT(ISERROR(SEARCH("$L",C5)))</formula>
    </cfRule>
    <cfRule type="containsText" priority="24" operator="between" dxfId="147" text="$BTP">
      <formula>NOT(ISERROR(SEARCH("$BTP",C5)))</formula>
    </cfRule>
    <cfRule type="containsText" priority="25" operator="between" dxfId="148" text="$M">
      <formula>NOT(ISERROR(SEARCH("$M",C5)))</formula>
    </cfRule>
    <cfRule type="containsText" priority="26" operator="between" dxfId="149" text="$N">
      <formula>NOT(ISERROR(SEARCH("$N",C5)))</formula>
    </cfRule>
    <cfRule type="containsText" priority="27" operator="between" dxfId="150" text="$FC">
      <formula>NOT(ISERROR(SEARCH("$FC",C5)))</formula>
    </cfRule>
    <cfRule type="containsText" priority="28" operator="between" dxfId="151" text="OAL">
      <formula>NOT(ISERROR(SEARCH("OAL",C5)))</formula>
    </cfRule>
    <cfRule type="containsText" priority="29" operator="between" dxfId="152" text="S+">
      <formula>NOT(ISERROR(SEARCH("S+",C5)))</formula>
    </cfRule>
    <cfRule type="containsText" priority="30" operator="between" dxfId="153" text="EX-D">
      <formula>NOT(ISERROR(SEARCH("EX-D",C5)))</formula>
    </cfRule>
  </conditionalFormatting>
  <conditionalFormatting sqref="C5:C10 C12:C23 C25:D26 C29 C33 C39 D6 D8:D10 D13:D16 D19:D20 D23 D28 D30 D32:D33 D38 E5:E6 E8:E9 E11:E13 E15:E16 E18:E21 E23:E26 E28:E29 E31:F31 E33:F33 E35:G35 E37:E39 F6:F10 F12:F13 F15:F17 F19:F22 F25:F29 F37:G38 G5:G8 G10:G16 G18:G28 G32:G33 H5:H9 H11 H13:H17 H19:H21 H23:H31 H35:H36 H38:J38 I5:I10 I13:J16 I18:I29 I33:I34 I36:J36 J5:J11 J19 J22:J27 J29:J30 J34 K5 K9:K13 K16 K21:K22 K24:K26 K28 K30:K31 K33:K34 K38:K39 L6 L8:L9 L11:L13 L15:L17 L21:L24 L26 L29 L31 L35:L36 L39:M39 M5:O6 M9:M11 M13:M16 M18:N18 M22:M24 M26:M29 M31:M33 M35:M37 N12:O12 N14:N16 N20:N22 N25:N26 N29 N32 N34 N37 O10 O14:O17 O19:O20 O22:O28 O32:O33 O36:O38 P5:P9 P11 P13:P16 P19:P27 P29:R29 P35 Q5:Q11 Q13:Q17 Q19:Q22 Q24:Q25 Q27 R5:R6 R10:R11 R14 R16:R17 R19:R24 R26 R35 R38 R40 S5:S8 S10 S13:S14 S16:S19 S22 S26:S29 S31 T5:U6 T8:T12 T14 T16:T17 T19:T24 T26:T27 T29:Y29 T34 U8 U11:U14 U16:U21 U24:V25 U27 U37 V5:V8 V10:V13 V16 V18:V19 V21 V31:V33 V35 V38:V39 W5:W11 W13:W19 W21:X22 W24:W26 W31:X31 W34:X36 W39:X39 X5:X9 X11:X17 X19 X24:X25 Y5:Y8 Y11:Y12 Y14:Y17 Y19:Y21 Y25 Y27 Y32 Y36 Z5:AC5 Z10:Z12 Z14 Z16 Z18:Z19 Z22:Z24 Z26 Z28:Z31 Z35 Z37 AA10:AA11 AA13:AA16 AA18:AB18 AA21:AA22 AA25:AA27 AA29 AA32 AA39 AB7 AB9:AB13 AB15:AB16 AB20:AB22 AB25 AB28 AB31 AB35 AB37 AC7:AC8 AC10 AC13:AD13 AC16:AC17 AC19:AC27 AC29:AC30 AC33:AC35 AD5:AD11 AD16:AE19 AD22 AD25 AD27:AD28 AE6:AE14 AE22:AE26 AF5 AF8:AF11 AF13:AF17 AF19:AF20 AF22 AF25:AG26 AG5:AG6 AG8:AG14 AG16:AH17 AG19 AG21:AG23 AH5:AH12 AH21:AH22 AH25 AH31">
    <cfRule type="expression" priority="31" dxfId="136">
      <formula>WEEKDAY(#REF!,2)&gt;5</formula>
    </cfRule>
  </conditionalFormatting>
  <conditionalFormatting sqref="C13 G5 H35 S10 S13 S28 T14 T24:T25 U13:V13 V11 V18 W6:X7 W9:W11 W14:Y14 W26 X9 X11:Y11 Z10:Z11 Z22 Z24 Z28 AA10 AA13:AC13 AA15 AB11 AB20 AD25 AE13:AG13 AE24 AE26 AH31">
    <cfRule type="expression" priority="32" dxfId="136">
      <formula>WEEKDAY(I$3,2)&gt;5</formula>
    </cfRule>
  </conditionalFormatting>
  <conditionalFormatting sqref="C9 C13 C19:C20 C33:G33 E19 G5 H35 J19 S19 Z19 AC19:AE19 AG19">
    <cfRule type="expression" priority="34" dxfId="136">
      <formula>WEEKDAY(I$3,2)&gt;5</formula>
    </cfRule>
  </conditionalFormatting>
  <conditionalFormatting sqref="C5:C10 C12:C23 C26 C29 C33 C39 D6 D8:D10 D13:D17 D19:D26 D28 D30 D32:D33 D38 E5:E6 E8 E11:E13 E15:E21 E24:E26 E28:E29 E31:F31 E33:F33 E35:G35 E37:E39 F6:F10 F12:F13 F15:F17 F19:F22 F25:F29 F37:G38 G5:G16 G18:G28 G32:G33 H5:H9 H11 H13:H21 H23:H31 H35:H36 H38:I38 I5:I10 I12:I16 I18:I29 I33:I34 I36:J36 J5:J16 J18:J20 J22:J23 J25:J27 J29:J30 J34 J38:J39 K5:K6 K8:K13 K15:K16 K18:K24 K26:L26 K28 K30:K31 K33:K35 K37:K39 L6:L9 L11:L13 L15:L17 L20:L24 L29 L31 L35:L36 L39:M39 M5:M7 M9:M16 M18:M19 M22:M29 M31:M33 M35:M37 N5:O6 N12:N26 N29 N31:N32 N34:N35 N37 O10:O24 O26:Q29 O32:O34 O36:O38 P5:P9 P11:P17 P19:P23 P35 Q5:Q17 Q19:Q22 Q24 Q31:R31 R5:R6 R10:R17 R19:R24 R26:R27 R29 R35 R38 R40 S5:S14 S16:S31 S33 T5:T6 T8:T17 T19:T31 T34 U5:U8 U11:U21 U23:U25 U27:U30 U37:U38 U40:U43 V5:V14 V16 V18:V21 V23:V24 V26:X26 V28:V33 V35 V37:V39 W5:X22 W24:X24 W28:W31 W34:X36 W39:X39 X28:X29 X31 Y5:Y24 Y26:Y39 Z5:AC39 AD5:AE29 AD31:AF32 AF5:AF28 AG5:AG6 AG8:AG23 AG25:AG28 AG31:AH31 AG34 AH5:AH25">
    <cfRule type="cellIs" priority="35" operator="equal" dxfId="137">
      <formula>"B"</formula>
    </cfRule>
    <cfRule type="cellIs" priority="36" operator="equal" dxfId="137">
      <formula>"AL"</formula>
    </cfRule>
    <cfRule type="cellIs" priority="37" operator="equal" dxfId="138">
      <formula>"DM"</formula>
    </cfRule>
    <cfRule type="cellIs" priority="38" operator="equal" dxfId="139">
      <formula>"CS1"</formula>
    </cfRule>
    <cfRule type="cellIs" priority="39" operator="equal" dxfId="140">
      <formula>"CS2"</formula>
    </cfRule>
    <cfRule type="cellIs" priority="40" operator="equal" dxfId="141">
      <formula>"SB1"</formula>
    </cfRule>
    <cfRule type="cellIs" priority="41" operator="equal" dxfId="142">
      <formula>"SB2"</formula>
    </cfRule>
    <cfRule type="cellIs" priority="42" operator="equal" dxfId="143">
      <formula>"AE"</formula>
    </cfRule>
    <cfRule type="cellIs" priority="44" operator="equal" dxfId="137">
      <formula>"DB"</formula>
    </cfRule>
    <cfRule type="containsText" priority="45" operator="between" dxfId="144" text="$AM">
      <formula>NOT(ISERROR(SEARCH("$AM",C5)))</formula>
    </cfRule>
    <cfRule type="containsText" priority="46" operator="between" dxfId="145" text="$PM">
      <formula>NOT(ISERROR(SEARCH("$PM",C5)))</formula>
    </cfRule>
    <cfRule type="containsText" priority="47" operator="between" dxfId="146" text="$L">
      <formula>NOT(ISERROR(SEARCH("$L",C5)))</formula>
    </cfRule>
    <cfRule type="containsText" priority="48" operator="between" dxfId="147" text="$BTP">
      <formula>NOT(ISERROR(SEARCH("$BTP",C5)))</formula>
    </cfRule>
    <cfRule type="containsText" priority="49" operator="between" dxfId="148" text="$M">
      <formula>NOT(ISERROR(SEARCH("$M",C5)))</formula>
    </cfRule>
    <cfRule type="containsText" priority="50" operator="between" dxfId="149" text="$N">
      <formula>NOT(ISERROR(SEARCH("$N",C5)))</formula>
    </cfRule>
    <cfRule type="containsText" priority="51" operator="between" dxfId="150" text="$FC">
      <formula>NOT(ISERROR(SEARCH("$FC",C5)))</formula>
    </cfRule>
    <cfRule type="containsText" priority="52" operator="between" dxfId="151" text="OAL">
      <formula>NOT(ISERROR(SEARCH("OAL",C5)))</formula>
    </cfRule>
    <cfRule type="containsText" priority="53" operator="between" dxfId="152" text="S+">
      <formula>NOT(ISERROR(SEARCH("S+",C5)))</formula>
    </cfRule>
    <cfRule type="containsText" priority="54" operator="between" dxfId="153" text="EX-D">
      <formula>NOT(ISERROR(SEARCH("EX-D",C5)))</formula>
    </cfRule>
    <cfRule type="expression" priority="55" dxfId="136">
      <formula>WEEKDAY(#REF!,2)&gt;5</formula>
    </cfRule>
  </conditionalFormatting>
  <conditionalFormatting sqref="C5:AH52">
    <cfRule type="containsText" priority="43" operator="between" dxfId="1388" text="CS/B">
      <formula>NOT(ISERROR(SEARCH("CS/B",C5)))</formula>
    </cfRule>
  </conditionalFormatting>
  <conditionalFormatting sqref="BQ5:BR43">
    <cfRule type="cellIs" priority="64" operator="lessThan" dxfId="155">
      <formula>1</formula>
    </cfRule>
  </conditionalFormatting>
  <conditionalFormatting sqref="G13 S10 S13 S28 T14 T24:T25 U13:V13 U40:U43 V11 V18 W6:X7 W9:W11 W14:Y14 W26 X9 X11:Y11 Z10:Z11 Z18:AB18 Z22 Z24 Z28 AA10 AA13:AC13 AA15 AB11 AB20 AC35 AD25 AE13:AG13 AE24 AE26 AH31">
    <cfRule type="expression" priority="33" dxfId="136">
      <formula>WEEKDAY(X$3,2)&gt;5</formula>
    </cfRule>
  </conditionalFormatting>
  <conditionalFormatting sqref="C23 D30 F29 G19 G23 G25 H19:H20 H23:H24 N25 T29 U25 AB25">
    <cfRule type="expression" priority="8" dxfId="136">
      <formula>WEEKDAY(H$3,2)&gt;5</formula>
    </cfRule>
  </conditionalFormatting>
  <dataValidations count="5">
    <dataValidation sqref="B5:C5 B6:B12 B14:B20 B21:C21 B22:B27 C40:F40 C41:G41 C42:L43 D39 E20 G5 G13 I40:L41 J5 N6 N39 N40:P43 P39 R5 S40:U40 S41:AH43 T35 T38 X40:AH40 AD39:AF39 AE38 AG5:AH5 AG36:AH36 AH6:AH15 AH17:AH27 AH29:AH35 AH37:AH39" showDropDown="1" showInputMessage="0" showErrorMessage="0" allowBlank="1" type="list">
      <formula1>'Setting key Duty'!$B$7:$B$56</formula1>
    </dataValidation>
    <dataValidation sqref="C6:G6 C7 C8:K8 C9:Q9 C10:D10 C11:E11 C12:AG12 C13:D13 C14:E14 C15:D15 C16:AH16 C17:H17 C19:K19 C20:D20 C22:D23 C25:R25 C26:AB26 C27:E27 C28:K28 C29:D29 C30:E32 C33:D33 C34:G34 C37:D38 C39 D5 D18:E18 D21 D24:E24 D35 D36:E36 E39 F5 F7:J7 F10:G10 F13 F22 F29:J29 G18 G23 G24:AA24 G27:T27 G30:AA30 G31:AG31 G32 G39:M39 H5:I5 H13:K13 H14:I14 H15:R15 H21:L21 H33:I33 H35:J35 H36 H37:AA37 H38:R38 I6:M6 I18:K18 I22:AG22 I23:J23 I34:N34 J10:M11 J17:Y17 J20:L20 J36:AA36 K5 K14:Y14 K33 L7:Q7 L23 L29:AA29 L35:P35 M13:S13 M18:P18 M19:AG19 M28 M33:S33 N5:Q5 N8:Q8 N20:Z20 N21:AG21 N23 N32:Q32 O6:Y6 O10:Q10 O28:Q28 P11:R11 P23 Q34 R23:U23 R35 R40 S5 S7 S8:Y8 S9 S10:AG10 S18 S28:Z28 S32:AB32 S34 T11:AG11 T15:AB15 T25:AG25 U5:AF5 U7:AA7 U9 U13:Y13 U18:AF18 U33:Z33 U34 U35:X35 U38:X38 W9:X9 W23 W27:AF27 W34:Y34 W39:X39 Y23:AB23 Z39 AA6 AA9 AA13:AG13 AA14:AB14 AA17 AA34:AB34 AA35:AF35 AB20:AG20 AB28:AG28 AB38:AD38 AC6:AE6 AC8:AG8 AC17:AG17 AC24:AG24 AC29:AF29 AC30:AG30 AD7:AE7 AD9:AG9 AD14:AG14 AD15:AF15 AD26:AG26 AD33:AG33 AD36:AF36 AE34:AG34 AF23:AG23 AF37:AG37 AF38 AG6 AG32" showDropDown="1" showInputMessage="0" showErrorMessage="0" allowBlank="1" type="list">
      <formula1>'Setting key Duty'!$B$7:$B$54</formula1>
    </dataValidation>
    <dataValidation sqref="F27" showDropDown="0" showInputMessage="0" showErrorMessage="0" allowBlank="1" type="custom">
      <formula1>NOT(ISERROR(SEARCH(('Setting key Duty'!$B$7:$B$54),(F27))))</formula1>
    </dataValidation>
    <dataValidation sqref="P34 V34 AC34:AD34" showDropDown="0" showInputMessage="0" showErrorMessage="0" allowBlank="1" type="custom">
      <formula1>NOT(ISERROR(SEARCH((#REF!),(P34))))</formula1>
    </dataValidation>
    <dataValidation sqref="C44:AH51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0"/>
    <pageSetUpPr fitToPage="1"/>
  </sheetPr>
  <dimension ref="A1:BQ56"/>
  <sheetViews>
    <sheetView showGridLines="0" zoomScale="70" zoomScaleNormal="7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D2" sqref="D$1:D$1048576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3"/>
    <col width="9.24761904761905" customWidth="1" min="4" max="12"/>
    <col width="9.38095238095238" customWidth="1" min="13" max="13"/>
    <col width="10.6285714285714" customWidth="1" min="14" max="14"/>
    <col width="9.24761904761905" customWidth="1" min="15" max="15"/>
    <col width="10" customWidth="1" min="16" max="16"/>
    <col width="10.752380952381" customWidth="1" min="17" max="17"/>
    <col width="10.247619047619" customWidth="1" min="18" max="18"/>
    <col width="9.62857142857143" customWidth="1" min="19" max="19"/>
    <col width="9.133333333333329" customWidth="1" min="20" max="20"/>
    <col width="9.24761904761905" customWidth="1" min="21" max="27"/>
    <col width="10.5047619047619" customWidth="1" min="28" max="28"/>
    <col width="10.3809523809524" customWidth="1" min="29" max="29"/>
    <col width="9.24761904761905" customWidth="1" min="30" max="31"/>
    <col width="10.5047619047619" customWidth="1" min="32" max="32"/>
    <col width="9.38095238095238" customWidth="1" min="33" max="33"/>
    <col hidden="1" outlineLevel="1" width="9.38095238095238" customWidth="1" min="34" max="40"/>
    <col hidden="1" outlineLevel="1" width="12" customWidth="1" min="41" max="41"/>
    <col hidden="1" outlineLevel="1" width="9.38095238095238" customWidth="1" min="42" max="42"/>
    <col collapsed="1" width="6.75238095238095" customWidth="1" min="43" max="43"/>
    <col width="6.75238095238095" customWidth="1" min="44" max="44"/>
    <col outlineLevel="1" width="8.87619047619048" customWidth="1" min="45" max="45"/>
    <col outlineLevel="1" width="7.87619047619048" customWidth="1" min="46" max="47"/>
    <col outlineLevel="1" width="9.133333333333329" customWidth="1" min="48" max="48"/>
    <col outlineLevel="1" width="8.24761904761905" customWidth="1" min="49" max="49"/>
    <col outlineLevel="1" width="5.5047619047619" customWidth="1" min="50" max="50"/>
    <col width="9.38095238095238" customWidth="1" min="51" max="53"/>
    <col hidden="1" width="9.38095238095238" customWidth="1" min="54" max="54"/>
    <col hidden="1" outlineLevel="1" width="9.38095238095238" customWidth="1" min="55" max="65"/>
    <col collapsed="1" width="9.38095238095238" customWidth="1" min="66" max="66"/>
    <col width="9.504761904761899" customWidth="1" min="67" max="67"/>
    <col width="9.38095238095238" customWidth="1" min="68" max="69"/>
  </cols>
  <sheetData>
    <row r="1" ht="3" customHeight="1">
      <c r="A1" s="436" t="n"/>
      <c r="B1" s="163" t="inlineStr">
        <is>
          <t>Type of req:
Reason:</t>
        </is>
      </c>
      <c r="C1" s="163" t="n"/>
      <c r="D1" s="423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0" t="n"/>
      <c r="T1" s="411" t="n"/>
      <c r="U1" s="165" t="n"/>
      <c r="V1" s="165" t="n"/>
      <c r="W1" s="165" t="n"/>
      <c r="X1" s="165" t="n"/>
      <c r="Y1" s="165" t="n"/>
      <c r="Z1" s="165" t="n"/>
      <c r="AA1" s="165" t="n"/>
      <c r="AB1" s="165" t="n"/>
      <c r="AC1" s="165" t="n"/>
      <c r="AD1" s="165" t="n"/>
      <c r="AE1" s="165" t="n"/>
      <c r="AF1" s="165" t="n"/>
      <c r="AG1" s="165" t="n"/>
      <c r="AH1" s="165" t="n"/>
      <c r="AI1" s="165" t="n"/>
      <c r="AJ1" s="165" t="n"/>
      <c r="AK1" s="165" t="n"/>
      <c r="AL1" s="166" t="n"/>
      <c r="AM1" s="166" t="n"/>
      <c r="AN1" s="166" t="n"/>
      <c r="AO1" s="166" t="n"/>
      <c r="AP1" s="166" t="n"/>
      <c r="AQ1" s="166" t="n"/>
      <c r="AR1" s="166" t="n"/>
      <c r="AS1" s="166" t="n"/>
      <c r="AT1" s="166" t="n"/>
      <c r="AU1" s="166" t="n"/>
      <c r="AV1" s="166" t="n"/>
      <c r="AW1" s="166" t="n"/>
      <c r="AX1" s="166" t="n"/>
      <c r="AY1" s="166" t="n"/>
      <c r="AZ1" s="166" t="n"/>
      <c r="BA1" s="166" t="n"/>
      <c r="BB1" s="166" t="n"/>
      <c r="BC1" s="166" t="n"/>
      <c r="BD1" s="166" t="n"/>
      <c r="BE1" s="166" t="n"/>
      <c r="BF1" s="166" t="n"/>
      <c r="BG1" s="166" t="n"/>
      <c r="BH1" s="166" t="n"/>
      <c r="BI1" s="166" t="n"/>
      <c r="BJ1" s="166" t="n"/>
      <c r="BK1" s="166" t="n"/>
      <c r="BL1" s="166" t="n"/>
      <c r="BM1" s="166" t="n"/>
      <c r="BN1" s="166" t="n"/>
      <c r="BO1" s="166" t="n"/>
      <c r="BP1" s="166" t="n"/>
      <c r="BQ1" s="166" t="n"/>
    </row>
    <row r="2" ht="26.25" customHeight="1">
      <c r="A2" s="437" t="n"/>
      <c r="B2" s="52" t="inlineStr">
        <is>
          <t>Event Log</t>
        </is>
      </c>
      <c r="C2" s="52" t="n"/>
      <c r="D2" s="167" t="n"/>
      <c r="E2" s="167" t="n"/>
      <c r="F2" s="167" t="inlineStr">
        <is>
          <t>GOOD FRIDAY</t>
        </is>
      </c>
      <c r="G2" s="167" t="n"/>
      <c r="H2" s="167" t="n"/>
      <c r="I2" s="167" t="inlineStr">
        <is>
          <t xml:space="preserve">DE </t>
        </is>
      </c>
      <c r="J2" s="167" t="inlineStr">
        <is>
          <t xml:space="preserve">DE </t>
        </is>
      </c>
      <c r="K2" s="167" t="inlineStr">
        <is>
          <t xml:space="preserve">DE </t>
        </is>
      </c>
      <c r="L2" s="167" t="inlineStr">
        <is>
          <t>S VACC 2</t>
        </is>
      </c>
      <c r="M2" s="167" t="n"/>
      <c r="N2" s="167" t="inlineStr">
        <is>
          <t>LUTFIL OPEN HSE</t>
        </is>
      </c>
      <c r="O2" s="167" t="n"/>
      <c r="P2" s="167" t="inlineStr">
        <is>
          <t>N RE-VACC</t>
        </is>
      </c>
      <c r="Q2" s="167" t="n"/>
      <c r="R2" s="167" t="n"/>
      <c r="S2" s="167" t="inlineStr">
        <is>
          <t>60 Finale</t>
        </is>
      </c>
      <c r="T2" s="167" t="inlineStr">
        <is>
          <t>MSP / O RE VACC</t>
        </is>
      </c>
      <c r="U2" s="168" t="n"/>
      <c r="V2" s="167" t="n"/>
      <c r="W2" s="169" t="n"/>
      <c r="X2" s="167" t="n"/>
      <c r="Y2" s="167" t="n"/>
      <c r="Z2" s="167" t="n"/>
      <c r="AA2" s="167" t="n"/>
      <c r="AB2" s="167" t="n"/>
      <c r="AC2" s="167" t="n"/>
      <c r="AD2" s="167" t="n"/>
      <c r="AE2" s="167" t="n"/>
      <c r="AF2" s="167" t="n"/>
      <c r="AG2" s="167" t="n"/>
      <c r="AH2" s="170" t="n"/>
      <c r="AI2" s="170" t="n"/>
      <c r="AJ2" s="170" t="n"/>
      <c r="AK2" s="170" t="n"/>
      <c r="AL2" s="170" t="n"/>
      <c r="AM2" s="170" t="n"/>
      <c r="AN2" s="170" t="n"/>
      <c r="AO2" s="170" t="n"/>
      <c r="AP2" s="170" t="n"/>
      <c r="AQ2" s="170" t="n"/>
      <c r="AR2" s="170" t="n"/>
      <c r="AS2" s="170" t="n"/>
      <c r="AT2" s="170" t="n"/>
      <c r="AU2" s="170" t="n"/>
      <c r="AV2" s="170" t="n"/>
      <c r="AW2" s="170" t="n"/>
      <c r="AX2" s="170" t="n"/>
      <c r="AY2" s="170" t="n"/>
      <c r="AZ2" s="170" t="n"/>
      <c r="BA2" s="170" t="n"/>
      <c r="BB2" s="170" t="n"/>
      <c r="BC2" s="170" t="n"/>
      <c r="BD2" s="59" t="n"/>
      <c r="BE2" s="59" t="n"/>
      <c r="BF2" s="59" t="n"/>
      <c r="BG2" s="59" t="n"/>
      <c r="BH2" s="59" t="n"/>
      <c r="BI2" s="59" t="n"/>
      <c r="BJ2" s="59" t="n"/>
      <c r="BK2" s="59" t="n"/>
      <c r="BL2" s="59" t="n"/>
      <c r="BM2" s="59" t="n"/>
      <c r="BN2" s="170" t="n"/>
      <c r="BO2" s="170" t="n"/>
      <c r="BP2" s="170" t="n"/>
      <c r="BQ2" s="170" t="n"/>
    </row>
    <row r="3" ht="26.25" customHeight="1">
      <c r="A3" s="437" t="n"/>
      <c r="B3" s="52" t="inlineStr">
        <is>
          <t>Rostering</t>
        </is>
      </c>
      <c r="C3" s="52" t="n"/>
      <c r="D3" s="425" t="n">
        <v>46113</v>
      </c>
      <c r="E3" s="426">
        <f>D3+1</f>
        <v/>
      </c>
      <c r="F3" s="426">
        <f>E3+1</f>
        <v/>
      </c>
      <c r="G3" s="426">
        <f>F3+1</f>
        <v/>
      </c>
      <c r="H3" s="426">
        <f>G3+1</f>
        <v/>
      </c>
      <c r="I3" s="426">
        <f>H3+1</f>
        <v/>
      </c>
      <c r="J3" s="426">
        <f>I3+1</f>
        <v/>
      </c>
      <c r="K3" s="426">
        <f>J3+1</f>
        <v/>
      </c>
      <c r="L3" s="426">
        <f>K3+1</f>
        <v/>
      </c>
      <c r="M3" s="426">
        <f>L3+1</f>
        <v/>
      </c>
      <c r="N3" s="426">
        <f>M3+1</f>
        <v/>
      </c>
      <c r="O3" s="426">
        <f>N3+1</f>
        <v/>
      </c>
      <c r="P3" s="426">
        <f>O3+1</f>
        <v/>
      </c>
      <c r="Q3" s="426">
        <f>P3+1</f>
        <v/>
      </c>
      <c r="R3" s="426">
        <f>Q3+1</f>
        <v/>
      </c>
      <c r="S3" s="426">
        <f>R3+1</f>
        <v/>
      </c>
      <c r="T3" s="426">
        <f>S3+1</f>
        <v/>
      </c>
      <c r="U3" s="427">
        <f>T3+1</f>
        <v/>
      </c>
      <c r="V3" s="426">
        <f>U3+1</f>
        <v/>
      </c>
      <c r="W3" s="428">
        <f>V3+1</f>
        <v/>
      </c>
      <c r="X3" s="426">
        <f>W3+1</f>
        <v/>
      </c>
      <c r="Y3" s="426">
        <f>X3+1</f>
        <v/>
      </c>
      <c r="Z3" s="426">
        <f>Y3+1</f>
        <v/>
      </c>
      <c r="AA3" s="426">
        <f>Z3+1</f>
        <v/>
      </c>
      <c r="AB3" s="426">
        <f>AA3+1</f>
        <v/>
      </c>
      <c r="AC3" s="426">
        <f>AB3+1</f>
        <v/>
      </c>
      <c r="AD3" s="426">
        <f>AC3+1</f>
        <v/>
      </c>
      <c r="AE3" s="426">
        <f>AD3+1</f>
        <v/>
      </c>
      <c r="AF3" s="426">
        <f>AE3+1</f>
        <v/>
      </c>
      <c r="AG3" s="426">
        <f>AF3+1</f>
        <v/>
      </c>
      <c r="AH3" s="170">
        <f>'Setting key Duty'!$C7</f>
        <v/>
      </c>
      <c r="AI3" s="170">
        <f>'Setting key Duty'!$C8</f>
        <v/>
      </c>
      <c r="AJ3" s="170">
        <f>'Setting key Duty'!$C9</f>
        <v/>
      </c>
      <c r="AK3" s="170">
        <f>'Setting key Duty'!$C10</f>
        <v/>
      </c>
      <c r="AL3" s="170">
        <f>'Setting key Duty'!$C11</f>
        <v/>
      </c>
      <c r="AM3" s="170">
        <f>'Setting key Duty'!$C12</f>
        <v/>
      </c>
      <c r="AN3" s="170">
        <f>'Setting key Duty'!$C13</f>
        <v/>
      </c>
      <c r="AO3" s="170">
        <f>'Setting key Duty'!$C16</f>
        <v/>
      </c>
      <c r="AP3" s="170">
        <f>'Setting key Duty'!C14</f>
        <v/>
      </c>
      <c r="AQ3" s="438" t="inlineStr">
        <is>
          <t>TO ADD</t>
        </is>
      </c>
      <c r="AR3" s="438" t="inlineStr">
        <is>
          <t>TO MINUS</t>
        </is>
      </c>
      <c r="AS3" s="170" t="inlineStr">
        <is>
          <t>Weekday Duty</t>
        </is>
      </c>
      <c r="AT3" s="170" t="inlineStr">
        <is>
          <t>Weekday Extra</t>
        </is>
      </c>
      <c r="AU3" s="170" t="inlineStr">
        <is>
          <t>Friday Duty</t>
        </is>
      </c>
      <c r="AV3" s="170" t="inlineStr">
        <is>
          <t>Weekend Duty</t>
        </is>
      </c>
      <c r="AW3" s="170" t="inlineStr">
        <is>
          <t>Weekend Extra</t>
        </is>
      </c>
      <c r="AX3" s="170" t="inlineStr">
        <is>
          <t>Duty Point</t>
        </is>
      </c>
      <c r="AY3" s="170" t="inlineStr">
        <is>
          <t>Total Duty</t>
        </is>
      </c>
      <c r="AZ3" s="170" t="inlineStr">
        <is>
          <t>Total Cover</t>
        </is>
      </c>
      <c r="BA3" s="176" t="inlineStr">
        <is>
          <t>Total Point</t>
        </is>
      </c>
      <c r="BB3" s="176" t="n"/>
      <c r="BC3" s="170" t="inlineStr">
        <is>
          <t>Total Cover
Point</t>
        </is>
      </c>
      <c r="BD3" s="170" t="inlineStr">
        <is>
          <t>BTP</t>
        </is>
      </c>
      <c r="BE3" s="170" t="inlineStr">
        <is>
          <t>$BTP
Point</t>
        </is>
      </c>
      <c r="BF3" s="170" t="inlineStr">
        <is>
          <t>Mid Cover</t>
        </is>
      </c>
      <c r="BG3" s="170" t="inlineStr">
        <is>
          <t>$M 
Point</t>
        </is>
      </c>
      <c r="BH3" s="170" t="inlineStr">
        <is>
          <t>Cover
After Hour</t>
        </is>
      </c>
      <c r="BI3" s="170" t="inlineStr">
        <is>
          <t>$PM
Point</t>
        </is>
      </c>
      <c r="BJ3" s="170" t="inlineStr">
        <is>
          <t>Cover
Early</t>
        </is>
      </c>
      <c r="BK3" s="170" t="inlineStr">
        <is>
          <t>$AM
Point</t>
        </is>
      </c>
      <c r="BL3" s="170">
        <f>'Setting key Duty'!C52</f>
        <v/>
      </c>
      <c r="BM3" s="170" t="inlineStr">
        <is>
          <t>$FC
Point</t>
        </is>
      </c>
      <c r="BN3" s="170">
        <f>'Setting key Duty'!$C15</f>
        <v/>
      </c>
      <c r="BO3" s="170">
        <f>'Setting key Duty'!C17</f>
        <v/>
      </c>
      <c r="BP3" s="170">
        <f>'Setting key Duty'!$C22</f>
        <v/>
      </c>
      <c r="BQ3" s="170" t="n"/>
    </row>
    <row r="4" ht="18" customHeight="1">
      <c r="A4" s="177" t="n"/>
      <c r="B4" s="178" t="inlineStr">
        <is>
          <t>Updated on: 26/10/2022</t>
        </is>
      </c>
      <c r="C4" s="178" t="n"/>
      <c r="D4" s="430">
        <f>TEXT(D3,"ddd")</f>
        <v/>
      </c>
      <c r="E4" s="431">
        <f>TEXT(E3,"ddd")</f>
        <v/>
      </c>
      <c r="F4" s="431">
        <f>TEXT(F3,"ddd")</f>
        <v/>
      </c>
      <c r="G4" s="431">
        <f>TEXT(G3,"ddd")</f>
        <v/>
      </c>
      <c r="H4" s="431">
        <f>TEXT(H3,"ddd")</f>
        <v/>
      </c>
      <c r="I4" s="431">
        <f>TEXT(I3,"ddd")</f>
        <v/>
      </c>
      <c r="J4" s="431">
        <f>TEXT(J3,"ddd")</f>
        <v/>
      </c>
      <c r="K4" s="431">
        <f>TEXT(K3,"ddd")</f>
        <v/>
      </c>
      <c r="L4" s="431">
        <f>TEXT(L3,"ddd")</f>
        <v/>
      </c>
      <c r="M4" s="431">
        <f>TEXT(M3,"ddd")</f>
        <v/>
      </c>
      <c r="N4" s="431">
        <f>TEXT(N3,"ddd")</f>
        <v/>
      </c>
      <c r="O4" s="431">
        <f>TEXT(O3,"ddd")</f>
        <v/>
      </c>
      <c r="P4" s="431">
        <f>TEXT(P3,"ddd")</f>
        <v/>
      </c>
      <c r="Q4" s="431">
        <f>TEXT(Q3,"ddd")</f>
        <v/>
      </c>
      <c r="R4" s="431">
        <f>TEXT(R3,"ddd")</f>
        <v/>
      </c>
      <c r="S4" s="431">
        <f>TEXT(S3,"ddd")</f>
        <v/>
      </c>
      <c r="T4" s="431">
        <f>TEXT(T3,"ddd")</f>
        <v/>
      </c>
      <c r="U4" s="430">
        <f>TEXT(U3,"ddd")</f>
        <v/>
      </c>
      <c r="V4" s="431">
        <f>TEXT(V3,"ddd")</f>
        <v/>
      </c>
      <c r="W4" s="432">
        <f>TEXT(W3,"ddd")</f>
        <v/>
      </c>
      <c r="X4" s="431">
        <f>TEXT(X3,"ddd")</f>
        <v/>
      </c>
      <c r="Y4" s="431">
        <f>TEXT(Y3,"ddd")</f>
        <v/>
      </c>
      <c r="Z4" s="431">
        <f>TEXT(Z3,"ddd")</f>
        <v/>
      </c>
      <c r="AA4" s="431">
        <f>TEXT(AA3,"ddd")</f>
        <v/>
      </c>
      <c r="AB4" s="431">
        <f>TEXT(AB3,"ddd")</f>
        <v/>
      </c>
      <c r="AC4" s="431">
        <f>TEXT(AC3,"ddd")</f>
        <v/>
      </c>
      <c r="AD4" s="431">
        <f>TEXT(AD3,"ddd")</f>
        <v/>
      </c>
      <c r="AE4" s="431">
        <f>TEXT(AE3,"ddd")</f>
        <v/>
      </c>
      <c r="AF4" s="431">
        <f>TEXT(AF3,"ddd")</f>
        <v/>
      </c>
      <c r="AG4" s="431">
        <f>TEXT(AG3,"ddd")</f>
        <v/>
      </c>
      <c r="AH4" s="182">
        <f>'Setting key Duty'!$B7</f>
        <v/>
      </c>
      <c r="AI4" s="182">
        <f>'Setting key Duty'!$B8</f>
        <v/>
      </c>
      <c r="AJ4" s="182">
        <f>'Setting key Duty'!$B9</f>
        <v/>
      </c>
      <c r="AK4" s="182">
        <f>'Setting key Duty'!$B10</f>
        <v/>
      </c>
      <c r="AL4" s="182">
        <f>'Setting key Duty'!$B11</f>
        <v/>
      </c>
      <c r="AM4" s="182">
        <f>'Setting key Duty'!$B12</f>
        <v/>
      </c>
      <c r="AN4" s="182">
        <f>'Setting key Duty'!$B13</f>
        <v/>
      </c>
      <c r="AO4" s="182">
        <f>'Setting key Duty'!$B16</f>
        <v/>
      </c>
      <c r="AP4" s="182">
        <f>'Setting key Duty'!B14</f>
        <v/>
      </c>
      <c r="AQ4" s="439" t="n"/>
      <c r="AR4" s="439" t="n"/>
      <c r="AS4" s="182" t="n"/>
      <c r="AT4" s="182" t="n"/>
      <c r="AU4" s="182" t="n"/>
      <c r="AV4" s="182" t="n"/>
      <c r="AW4" s="182" t="n"/>
      <c r="AX4" s="182" t="n"/>
      <c r="AY4" s="182" t="n"/>
      <c r="AZ4" s="182" t="n"/>
      <c r="BA4" s="183" t="n"/>
      <c r="BB4" s="183" t="n"/>
      <c r="BC4" s="182" t="n"/>
      <c r="BD4" s="182" t="inlineStr">
        <is>
          <t>$BTP</t>
        </is>
      </c>
      <c r="BE4" s="182" t="n"/>
      <c r="BF4" s="182" t="inlineStr">
        <is>
          <t>$M</t>
        </is>
      </c>
      <c r="BG4" s="182" t="n"/>
      <c r="BH4" s="182" t="inlineStr">
        <is>
          <t>$PM</t>
        </is>
      </c>
      <c r="BI4" s="182" t="n"/>
      <c r="BJ4" s="182" t="inlineStr">
        <is>
          <t>$AM</t>
        </is>
      </c>
      <c r="BK4" s="182" t="n"/>
      <c r="BL4" s="182">
        <f>'Setting key Duty'!B52</f>
        <v/>
      </c>
      <c r="BM4" s="182" t="n"/>
      <c r="BN4" s="182">
        <f>'Setting key Duty'!$B15</f>
        <v/>
      </c>
      <c r="BO4" s="182">
        <f>'Setting key Duty'!B17</f>
        <v/>
      </c>
      <c r="BP4" s="182">
        <f>'Setting key Duty'!$B22</f>
        <v/>
      </c>
      <c r="BQ4" s="182" t="n"/>
    </row>
    <row r="5" ht="41.25" customHeight="1">
      <c r="A5" s="184" t="n"/>
      <c r="B5" s="185" t="inlineStr">
        <is>
          <t>CPL MUHAMAD LUTFIL AL-HADI</t>
        </is>
      </c>
      <c r="C5" s="186" t="n"/>
      <c r="D5" s="53" t="n"/>
      <c r="E5" s="53" t="n"/>
      <c r="F5" s="53" t="n"/>
      <c r="G5" s="53" t="inlineStr">
        <is>
          <t>Friends Open house</t>
        </is>
      </c>
      <c r="H5" s="53" t="inlineStr">
        <is>
          <t>DM</t>
        </is>
      </c>
      <c r="I5" s="53" t="n"/>
      <c r="J5" s="53" t="n"/>
      <c r="K5" s="53" t="n"/>
      <c r="L5" s="53" t="inlineStr">
        <is>
          <t>COMPONENT TRAINING</t>
        </is>
      </c>
      <c r="M5" s="53" t="inlineStr">
        <is>
          <t>OFF</t>
        </is>
      </c>
      <c r="N5" s="53" t="n"/>
      <c r="O5" s="53" t="n"/>
      <c r="P5" s="53" t="inlineStr">
        <is>
          <t>MSP REHEARSAL</t>
        </is>
      </c>
      <c r="Q5" s="53" t="inlineStr">
        <is>
          <t>MSP REHEARSAL</t>
        </is>
      </c>
      <c r="R5" s="53" t="n"/>
      <c r="S5" s="187" t="inlineStr">
        <is>
          <t>DM</t>
        </is>
      </c>
      <c r="T5" s="53" t="inlineStr">
        <is>
          <t>MSP</t>
        </is>
      </c>
      <c r="U5" s="53" t="n"/>
      <c r="V5" s="53" t="n"/>
      <c r="W5" s="53" t="n"/>
      <c r="X5" s="53" t="n"/>
      <c r="Y5" s="53" t="inlineStr">
        <is>
          <t>DM</t>
        </is>
      </c>
      <c r="Z5" s="53" t="n"/>
      <c r="AA5" s="53" t="n"/>
      <c r="AB5" s="53" t="n"/>
      <c r="AC5" s="53" t="n"/>
      <c r="AD5" s="53" t="n"/>
      <c r="AE5" s="53" t="n"/>
      <c r="AF5" s="53" t="n"/>
      <c r="AG5" s="53" t="n"/>
      <c r="AH5" s="188">
        <f>COUNTIF($D5:$AG5,AH$4)</f>
        <v/>
      </c>
      <c r="AI5" s="188">
        <f>COUNTIF($D5:$AG5,AI$4)</f>
        <v/>
      </c>
      <c r="AJ5" s="188">
        <f>COUNTIF($D5:$AG5,AJ$4)</f>
        <v/>
      </c>
      <c r="AK5" s="188">
        <f>COUNTIF($D5:$AG5,AK$4)</f>
        <v/>
      </c>
      <c r="AL5" s="188">
        <f>COUNTIF($D5:$AG5,AL$4)</f>
        <v/>
      </c>
      <c r="AM5" s="188">
        <f>COUNTIF($D5:$AG5,AM$4)</f>
        <v/>
      </c>
      <c r="AN5" s="188">
        <f>COUNTIF($D5:$AG5,AN$4)</f>
        <v/>
      </c>
      <c r="AO5" s="188">
        <f>COUNTIF($D5:$AG5,AO$4)</f>
        <v/>
      </c>
      <c r="AP5" s="188">
        <f>COUNTIF($D5:$AG5,AP$4)</f>
        <v/>
      </c>
      <c r="AQ5" s="189" t="n"/>
      <c r="AR5" s="189" t="n"/>
      <c r="AS5" s="190">
        <f>SUMPRODUCT(--(WEEKDAY(D$3:AG$3,2)&lt;5),--ISNUMBER(MATCH(D5:AG5,{"DM","CS1","CS2","SB1","AE","CS/B"},0)))</f>
        <v/>
      </c>
      <c r="AT5" s="190" t="n"/>
      <c r="AU5" s="190">
        <f>SUMPRODUCT(--(WEEKDAY(D$3:AG$3,2)=5),--ISNUMBER(MATCH(D5:AG5,{"DM","CS1","CS2","SB1","AE","CS/B","WEEKEND OUTFIELD RESERVE"},0)))</f>
        <v/>
      </c>
      <c r="AV5" s="190">
        <f>SUMPRODUCT(--(WEEKDAY(D$3:AG$3,2)&gt;5),--ISNUMBER(MATCH(D5:AG5,{"DM","CS1","CS2","SB1","AE","CS/B","WEEKEND OUTFIELD RESERVE"},0)))</f>
        <v/>
      </c>
      <c r="AW5" s="190" t="n"/>
      <c r="AX5" s="190">
        <f>(AS5-AT5)+AU5*1.5+(AV5-AW5)*2+AM5*0.5+AO5*0.5+AQ5-AR5</f>
        <v/>
      </c>
      <c r="AY5" s="190">
        <f>AS5+AU5+AV5</f>
        <v/>
      </c>
      <c r="AZ5" s="190">
        <f>BD5+BF5+BH5+BJ5+BL5</f>
        <v/>
      </c>
      <c r="BA5" s="189">
        <f>AX5+BC5</f>
        <v/>
      </c>
      <c r="BB5" s="189" t="n"/>
      <c r="BC5" s="190">
        <f>BE5+BG5+BI5+BK5+BM5</f>
        <v/>
      </c>
      <c r="BD5" s="190">
        <f>COUNTIF(A5:AH5,"*$BTP*")</f>
        <v/>
      </c>
      <c r="BE5" s="190">
        <f>BD5*1.5</f>
        <v/>
      </c>
      <c r="BF5" s="190">
        <f>COUNTIF(A5:AH5,"*$M*")</f>
        <v/>
      </c>
      <c r="BG5" s="190">
        <f>BF5*1</f>
        <v/>
      </c>
      <c r="BH5" s="190">
        <f>COUNTIF(A5:AH5,"*$PM*")</f>
        <v/>
      </c>
      <c r="BI5" s="190">
        <f>BH5*0.5</f>
        <v/>
      </c>
      <c r="BJ5" s="190">
        <f>COUNTIF(A5:AH5,"*$AM*")</f>
        <v/>
      </c>
      <c r="BK5" s="190">
        <f>BJ5*0.5</f>
        <v/>
      </c>
      <c r="BL5" s="190">
        <f>COUNTIF(A5:AH5,"*$FC*")</f>
        <v/>
      </c>
      <c r="BM5" s="190">
        <f>BL5*1</f>
        <v/>
      </c>
      <c r="BN5" s="190">
        <f>COUNTIF($E5:$AB5,BN$4)</f>
        <v/>
      </c>
      <c r="BO5" s="190">
        <f>COUNTIF($E5:$AB5,BO$4)</f>
        <v/>
      </c>
      <c r="BP5" s="190">
        <f>COUNTIF($E5:$AB5,BP$4)</f>
        <v/>
      </c>
      <c r="BQ5" s="190" t="n"/>
    </row>
    <row r="6" ht="36" customHeight="1">
      <c r="A6" s="184" t="n"/>
      <c r="B6" s="191" t="inlineStr">
        <is>
          <t xml:space="preserve">CPL GERALD TAN </t>
        </is>
      </c>
      <c r="C6" s="186" t="n"/>
      <c r="D6" s="75" t="n"/>
      <c r="E6" s="75" t="inlineStr">
        <is>
          <t>DM</t>
        </is>
      </c>
      <c r="F6" s="53" t="n"/>
      <c r="G6" s="53" t="n"/>
      <c r="H6" s="53" t="n"/>
      <c r="I6" s="53" t="inlineStr">
        <is>
          <t>RESERVE</t>
        </is>
      </c>
      <c r="J6" s="53" t="n"/>
      <c r="K6" s="53" t="n"/>
      <c r="L6" s="53" t="inlineStr">
        <is>
          <t>DM</t>
        </is>
      </c>
      <c r="M6" s="53" t="n"/>
      <c r="N6" s="187" t="inlineStr">
        <is>
          <t>CS1</t>
        </is>
      </c>
      <c r="O6" s="53" t="n"/>
      <c r="P6" s="53" t="n"/>
      <c r="Q6" s="53" t="inlineStr">
        <is>
          <t>       </t>
        </is>
      </c>
      <c r="R6" s="53" t="n"/>
      <c r="S6" s="53" t="n"/>
      <c r="T6" s="53" t="n"/>
      <c r="U6" s="53" t="n"/>
      <c r="V6" s="53" t="n"/>
      <c r="W6" s="53" t="inlineStr">
        <is>
          <t>AM MA PM AL</t>
        </is>
      </c>
      <c r="X6" s="53" t="inlineStr">
        <is>
          <t>SB2</t>
        </is>
      </c>
      <c r="Y6" s="53" t="n"/>
      <c r="Z6" s="53" t="inlineStr">
        <is>
          <t>CS1</t>
        </is>
      </c>
      <c r="AA6" s="53" t="n"/>
      <c r="AB6" s="53" t="n"/>
      <c r="AC6" s="53" t="n"/>
      <c r="AD6" s="53" t="inlineStr">
        <is>
          <t>SB2</t>
        </is>
      </c>
      <c r="AE6" s="53" t="n"/>
      <c r="AF6" s="53" t="n"/>
      <c r="AG6" s="53" t="n"/>
      <c r="AH6" s="188">
        <f>COUNTIF($D6:$AG6,AH$4)</f>
        <v/>
      </c>
      <c r="AI6" s="188">
        <f>COUNTIF($D6:$AG6,AI$4)</f>
        <v/>
      </c>
      <c r="AJ6" s="188">
        <f>COUNTIF($D6:$AG6,AJ$4)</f>
        <v/>
      </c>
      <c r="AK6" s="188">
        <f>COUNTIF($D6:$AG6,AK$4)</f>
        <v/>
      </c>
      <c r="AL6" s="188">
        <f>COUNTIF($D6:$AG6,AL$4)</f>
        <v/>
      </c>
      <c r="AM6" s="188">
        <f>COUNTIF($D6:$AG6,AM$4)</f>
        <v/>
      </c>
      <c r="AN6" s="188">
        <f>COUNTIF($D6:$AG6,AN$4)</f>
        <v/>
      </c>
      <c r="AO6" s="188">
        <f>COUNTIF($D6:$AG6,AO$4)</f>
        <v/>
      </c>
      <c r="AP6" s="188">
        <f>COUNTIF($D6:$AG6,AP$4)</f>
        <v/>
      </c>
      <c r="AQ6" s="189" t="n">
        <v>1</v>
      </c>
      <c r="AR6" s="189" t="n"/>
      <c r="AS6" s="190">
        <f>SUMPRODUCT(--(WEEKDAY(D$3:AG$3,2)&lt;5),--ISNUMBER(MATCH(D6:AG6,{"DM","CS1","CS2","SB1","AE","CS/B"},0)))</f>
        <v/>
      </c>
      <c r="AT6" s="190" t="n"/>
      <c r="AU6" s="190">
        <f>SUMPRODUCT(--(WEEKDAY(D$3:AG$3,2)=5),--ISNUMBER(MATCH(D6:AG6,{"DM","CS1","CS2","SB1","AE","CS/B","WEEKEND OUTFIELD RESERVE"},0)))</f>
        <v/>
      </c>
      <c r="AV6" s="190">
        <f>SUMPRODUCT(--(WEEKDAY(D$3:AG$3,2)&gt;5),--ISNUMBER(MATCH(D6:AG6,{"DM","CS1","CS2","SB1","AE","CS/B","WEEKEND OUTFIELD RESERVE"},0)))</f>
        <v/>
      </c>
      <c r="AW6" s="190" t="n"/>
      <c r="AX6" s="190">
        <f>(AS6-AT6)+AU6*1.5+(AV6-AW6)*2+AM6*0.5+AO6*0.5+AQ6-AR6</f>
        <v/>
      </c>
      <c r="AY6" s="190">
        <f>AS6+AU6+AV6</f>
        <v/>
      </c>
      <c r="AZ6" s="190">
        <f>BD6+BF6+BH6+BJ6+BL6</f>
        <v/>
      </c>
      <c r="BA6" s="189">
        <f>AX6+BC6</f>
        <v/>
      </c>
      <c r="BB6" s="189">
        <f>(BA6-8)</f>
        <v/>
      </c>
      <c r="BC6" s="190">
        <f>BE6+BG6+BI6+BK6+BM6</f>
        <v/>
      </c>
      <c r="BD6" s="190">
        <f>COUNTIF(A6:AH6,"*$BTP*")</f>
        <v/>
      </c>
      <c r="BE6" s="190">
        <f>BD6*1.5</f>
        <v/>
      </c>
      <c r="BF6" s="190">
        <f>COUNTIF(A6:AH6,"*$M*")</f>
        <v/>
      </c>
      <c r="BG6" s="190">
        <f>BF6*1</f>
        <v/>
      </c>
      <c r="BH6" s="190">
        <f>COUNTIF(A6:AH6,"*$PM*")</f>
        <v/>
      </c>
      <c r="BI6" s="190">
        <f>BH6*0.5</f>
        <v/>
      </c>
      <c r="BJ6" s="190">
        <f>COUNTIF(A6:AH6,"*$AM*")</f>
        <v/>
      </c>
      <c r="BK6" s="190">
        <f>BJ6*0.5</f>
        <v/>
      </c>
      <c r="BL6" s="190">
        <f>COUNTIF(A6:AH6,"*$FC*")</f>
        <v/>
      </c>
      <c r="BM6" s="190">
        <f>BL6*1</f>
        <v/>
      </c>
      <c r="BN6" s="190">
        <f>COUNTIF($E6:$AA6,BN$4)</f>
        <v/>
      </c>
      <c r="BO6" s="190">
        <f>COUNTIF($E6:$AA6,BO$4)</f>
        <v/>
      </c>
      <c r="BP6" s="190">
        <f>COUNTIF($E6:$AA6,BP$4)</f>
        <v/>
      </c>
      <c r="BQ6" s="190" t="n"/>
    </row>
    <row r="7" ht="50.25" customHeight="1">
      <c r="A7" s="184" t="n"/>
      <c r="B7" s="185" t="inlineStr">
        <is>
          <t>CPL FANG JIANGRUI</t>
        </is>
      </c>
      <c r="C7" s="186">
        <f>COUNTIF(D7:AG7,"DM")</f>
        <v/>
      </c>
      <c r="D7" s="137" t="n"/>
      <c r="E7" s="137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188">
        <f>COUNTIF($D7:$AG7,AH$4)</f>
        <v/>
      </c>
      <c r="AI7" s="188">
        <f>COUNTIF($D7:$AG7,AI$4)</f>
        <v/>
      </c>
      <c r="AJ7" s="188">
        <f>COUNTIF($D7:$AG7,AJ$4)</f>
        <v/>
      </c>
      <c r="AK7" s="188">
        <f>COUNTIF($D7:$AG7,AK$4)</f>
        <v/>
      </c>
      <c r="AL7" s="188">
        <f>COUNTIF($D7:$AG7,AL$4)</f>
        <v/>
      </c>
      <c r="AM7" s="188">
        <f>COUNTIF($D7:$AG7,AM$4)</f>
        <v/>
      </c>
      <c r="AN7" s="188">
        <f>COUNTIF($D7:$AG7,AN$4)</f>
        <v/>
      </c>
      <c r="AO7" s="188">
        <f>COUNTIF($D7:$AG7,AO$4)</f>
        <v/>
      </c>
      <c r="AP7" s="188">
        <f>COUNTIF($D7:$AG7,AP$4)</f>
        <v/>
      </c>
      <c r="AQ7" s="189" t="n"/>
      <c r="AR7" s="189" t="n"/>
      <c r="AS7" s="190">
        <f>SUMPRODUCT(--(WEEKDAY(D$3:AG$3,2)&lt;5),--ISNUMBER(MATCH(D7:AG7,{"DM","CS1","CS2","SB1","AE","CS/B"},0)))</f>
        <v/>
      </c>
      <c r="AT7" s="190" t="n"/>
      <c r="AU7" s="190">
        <f>SUMPRODUCT(--(WEEKDAY(D$3:AG$3,2)=5),--ISNUMBER(MATCH(D7:AG7,{"DM","CS1","CS2","SB1","AE","CS/B","WEEKEND OUTFIELD RESERVE"},0)))</f>
        <v/>
      </c>
      <c r="AV7" s="190">
        <f>SUMPRODUCT(--(WEEKDAY(D$3:AG$3,2)&gt;5),--ISNUMBER(MATCH(D7:AG7,{"DM","CS1","CS2","SB1","AE","CS/B","WEEKEND OUTFIELD RESERVE"},0)))</f>
        <v/>
      </c>
      <c r="AW7" s="190" t="n"/>
      <c r="AX7" s="190">
        <f>(AS7-AT7)+AU7*1.5+(AV7-AW7)*2+AM7*0.5+AO7*0.5+AQ7-AR7</f>
        <v/>
      </c>
      <c r="AY7" s="190">
        <f>AS7+AU7+AV7</f>
        <v/>
      </c>
      <c r="AZ7" s="190">
        <f>BD7+BF7+BH7+BJ7+BL7</f>
        <v/>
      </c>
      <c r="BA7" s="189">
        <f>AX7+BC7</f>
        <v/>
      </c>
      <c r="BB7" s="189">
        <f>(BA7-8)</f>
        <v/>
      </c>
      <c r="BC7" s="190">
        <f>BE7+BG7+BI7+BK7+BM7</f>
        <v/>
      </c>
      <c r="BD7" s="190">
        <f>COUNTIF(A7:AH7,"*$BTP*")</f>
        <v/>
      </c>
      <c r="BE7" s="190">
        <f>BD7*1.5</f>
        <v/>
      </c>
      <c r="BF7" s="190">
        <f>COUNTIF(A7:AH7,"*$M*")</f>
        <v/>
      </c>
      <c r="BG7" s="190">
        <f>BF7*1</f>
        <v/>
      </c>
      <c r="BH7" s="190">
        <f>COUNTIF(A7:AH7,"*$PM*")</f>
        <v/>
      </c>
      <c r="BI7" s="190">
        <f>BH7*0.5</f>
        <v/>
      </c>
      <c r="BJ7" s="190">
        <f>COUNTIF(A7:AH7,"*$AM*")</f>
        <v/>
      </c>
      <c r="BK7" s="190">
        <f>BJ7*0.5</f>
        <v/>
      </c>
      <c r="BL7" s="190">
        <f>COUNTIF(A7:AH7,"*$FC*")</f>
        <v/>
      </c>
      <c r="BM7" s="190">
        <f>BL7*1</f>
        <v/>
      </c>
      <c r="BN7" s="190">
        <f>COUNTIF($E7:$AC7,BN$4)</f>
        <v/>
      </c>
      <c r="BO7" s="190">
        <f>COUNTIF($E7:$AC7,BO$4)</f>
        <v/>
      </c>
      <c r="BP7" s="190">
        <f>COUNTIF($E7:$AC7,BP$4)</f>
        <v/>
      </c>
      <c r="BQ7" s="190" t="n"/>
    </row>
    <row r="8" ht="49.5" customHeight="1">
      <c r="A8" s="184" t="n"/>
      <c r="B8" s="185" t="inlineStr">
        <is>
          <t>CFC JARRETT TSING KEE JIN</t>
        </is>
      </c>
      <c r="C8" s="186" t="n"/>
      <c r="D8" s="75" t="n"/>
      <c r="E8" s="185" t="n"/>
      <c r="F8" s="53" t="inlineStr">
        <is>
          <t>OL</t>
        </is>
      </c>
      <c r="G8" s="53" t="inlineStr">
        <is>
          <t>OL</t>
        </is>
      </c>
      <c r="H8" s="53" t="inlineStr">
        <is>
          <t>OL</t>
        </is>
      </c>
      <c r="I8" s="53" t="inlineStr">
        <is>
          <t>PM WISDOM</t>
        </is>
      </c>
      <c r="J8" s="53" t="inlineStr">
        <is>
          <t>MC</t>
        </is>
      </c>
      <c r="K8" s="53" t="inlineStr">
        <is>
          <t>MC</t>
        </is>
      </c>
      <c r="L8" s="53" t="inlineStr">
        <is>
          <t>MC</t>
        </is>
      </c>
      <c r="M8" s="53" t="n"/>
      <c r="N8" s="53" t="n"/>
      <c r="O8" s="53" t="inlineStr">
        <is>
          <t>DM</t>
        </is>
      </c>
      <c r="P8" s="53" t="inlineStr">
        <is>
          <t>MSP REHEARSAL</t>
        </is>
      </c>
      <c r="Q8" s="53" t="inlineStr">
        <is>
          <t>MSP REHEARSAL</t>
        </is>
      </c>
      <c r="R8" s="53" t="n"/>
      <c r="S8" s="53" t="inlineStr">
        <is>
          <t>CS/B</t>
        </is>
      </c>
      <c r="T8" s="53" t="inlineStr">
        <is>
          <t>MSP</t>
        </is>
      </c>
      <c r="U8" s="53" t="n"/>
      <c r="V8" s="53" t="n"/>
      <c r="W8" s="53" t="inlineStr">
        <is>
          <t>DM</t>
        </is>
      </c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188">
        <f>COUNTIF($D8:$AG8,AH$4)</f>
        <v/>
      </c>
      <c r="AI8" s="188">
        <f>COUNTIF($D8:$AG8,AI$4)</f>
        <v/>
      </c>
      <c r="AJ8" s="188">
        <f>COUNTIF($D8:$AG8,AJ$4)</f>
        <v/>
      </c>
      <c r="AK8" s="188">
        <f>COUNTIF($D8:$AG8,AK$4)</f>
        <v/>
      </c>
      <c r="AL8" s="188">
        <f>COUNTIF($D8:$AG8,AL$4)</f>
        <v/>
      </c>
      <c r="AM8" s="188">
        <f>COUNTIF($D8:$AG8,AM$4)</f>
        <v/>
      </c>
      <c r="AN8" s="188">
        <f>COUNTIF($D8:$AG8,AN$4)</f>
        <v/>
      </c>
      <c r="AO8" s="188">
        <f>COUNTIF($D8:$AG8,AO$4)</f>
        <v/>
      </c>
      <c r="AP8" s="188">
        <f>COUNTIF($D8:$AG8,AP$4)</f>
        <v/>
      </c>
      <c r="AQ8" s="189" t="n"/>
      <c r="AR8" s="189" t="n">
        <v>1</v>
      </c>
      <c r="AS8" s="190">
        <f>SUMPRODUCT(--(WEEKDAY(D$3:AG$3,2)&lt;5),--ISNUMBER(MATCH(D8:AG8,{"DM","CS1","CS2","SB1","AE","CS/B"},0)))</f>
        <v/>
      </c>
      <c r="AT8" s="190" t="n"/>
      <c r="AU8" s="190">
        <f>SUMPRODUCT(--(WEEKDAY(D$3:AG$3,2)=5),--ISNUMBER(MATCH(D8:AG8,{"DM","CS1","CS2","SB1","AE","CS/B","WEEKEND OUTFIELD RESERVE"},0)))</f>
        <v/>
      </c>
      <c r="AV8" s="190">
        <f>SUMPRODUCT(--(WEEKDAY(D$3:AG$3,2)&gt;5),--ISNUMBER(MATCH(D8:AG8,{"DM","CS1","CS2","SB1","AE","CS/B","WEEKEND OUTFIELD RESERVE"},0)))</f>
        <v/>
      </c>
      <c r="AW8" s="190" t="n"/>
      <c r="AX8" s="190">
        <f>(AS8-AT8)+AU8*1.5+(AV8-AW8)*2+AM8*0.5+AO8*0.5+AQ8-AR8</f>
        <v/>
      </c>
      <c r="AY8" s="190">
        <f>AS8+AU8+AV8</f>
        <v/>
      </c>
      <c r="AZ8" s="190">
        <f>BD8+BF8+BH8+BJ8+BL8</f>
        <v/>
      </c>
      <c r="BA8" s="189">
        <f>AX8+BC8</f>
        <v/>
      </c>
      <c r="BB8" s="189">
        <f>(BA8-8)</f>
        <v/>
      </c>
      <c r="BC8" s="190">
        <f>BE8+BG8+BI8+BK8+BM8</f>
        <v/>
      </c>
      <c r="BD8" s="190">
        <f>COUNTIF(A8:AH8,"*$BTP*")</f>
        <v/>
      </c>
      <c r="BE8" s="190">
        <f>BD8*1.5</f>
        <v/>
      </c>
      <c r="BF8" s="190">
        <f>COUNTIF(A8:AH8,"*$M*")</f>
        <v/>
      </c>
      <c r="BG8" s="190">
        <f>BF8*1</f>
        <v/>
      </c>
      <c r="BH8" s="190">
        <f>COUNTIF(A8:AH8,"*$PM*")</f>
        <v/>
      </c>
      <c r="BI8" s="190">
        <f>BH8*0.5</f>
        <v/>
      </c>
      <c r="BJ8" s="190">
        <f>COUNTIF(A8:AH8,"*$AM*")</f>
        <v/>
      </c>
      <c r="BK8" s="190">
        <f>BJ8*0.5</f>
        <v/>
      </c>
      <c r="BL8" s="190">
        <f>COUNTIF(A8:AH8,"*$FC*")</f>
        <v/>
      </c>
      <c r="BM8" s="190">
        <f>BL8*1</f>
        <v/>
      </c>
      <c r="BN8" s="190">
        <f>COUNTIF($E8:$AB8,BN$4)</f>
        <v/>
      </c>
      <c r="BO8" s="190">
        <f>COUNTIF($E8:$AB8,BO$4)</f>
        <v/>
      </c>
      <c r="BP8" s="190">
        <f>COUNTIF($E8:$AB8,BP$4)</f>
        <v/>
      </c>
      <c r="BQ8" s="190" t="n"/>
    </row>
    <row r="9" ht="42.75" customHeight="1">
      <c r="A9" s="184" t="n"/>
      <c r="B9" s="191" t="inlineStr">
        <is>
          <t>LCP GOH DI XUAN</t>
        </is>
      </c>
      <c r="C9" s="186" t="n"/>
      <c r="D9" s="137" t="n"/>
      <c r="E9" s="53" t="n"/>
      <c r="F9" s="53" t="n"/>
      <c r="G9" s="53" t="n"/>
      <c r="H9" s="53" t="n"/>
      <c r="I9" s="53" t="n"/>
      <c r="J9" s="53" t="n"/>
      <c r="K9" s="53" t="inlineStr">
        <is>
          <t>RESERVE</t>
        </is>
      </c>
      <c r="L9" s="53" t="n"/>
      <c r="M9" s="53" t="inlineStr">
        <is>
          <t>DM</t>
        </is>
      </c>
      <c r="N9" s="53" t="n"/>
      <c r="O9" s="53" t="n"/>
      <c r="P9" s="53" t="n"/>
      <c r="Q9" s="53" t="n"/>
      <c r="R9" s="53" t="n"/>
      <c r="S9" s="53" t="n"/>
      <c r="T9" s="53" t="inlineStr">
        <is>
          <t>MSP</t>
        </is>
      </c>
      <c r="U9" s="53" t="n"/>
      <c r="V9" s="53" t="inlineStr">
        <is>
          <t>CS1</t>
        </is>
      </c>
      <c r="W9" s="53" t="n"/>
      <c r="X9" s="53" t="inlineStr">
        <is>
          <t>DM</t>
        </is>
      </c>
      <c r="Y9" s="53" t="n"/>
      <c r="Z9" s="53" t="n"/>
      <c r="AA9" s="136" t="n"/>
      <c r="AB9" s="53" t="n"/>
      <c r="AC9" s="53" t="n"/>
      <c r="AD9" s="53" t="n"/>
      <c r="AE9" s="53" t="inlineStr">
        <is>
          <t>DM</t>
        </is>
      </c>
      <c r="AF9" s="53" t="n"/>
      <c r="AG9" s="53" t="n"/>
      <c r="AH9" s="188">
        <f>COUNTIF($D9:$AG9,AH$4)</f>
        <v/>
      </c>
      <c r="AI9" s="188">
        <f>COUNTIF($D9:$AG9,AI$4)</f>
        <v/>
      </c>
      <c r="AJ9" s="188">
        <f>COUNTIF($D9:$AG9,AJ$4)</f>
        <v/>
      </c>
      <c r="AK9" s="188">
        <f>COUNTIF($D9:$AG9,AK$4)</f>
        <v/>
      </c>
      <c r="AL9" s="188">
        <f>COUNTIF($D9:$AG9,AL$4)</f>
        <v/>
      </c>
      <c r="AM9" s="188">
        <f>COUNTIF($D9:$AG9,AM$4)</f>
        <v/>
      </c>
      <c r="AN9" s="188">
        <f>COUNTIF($D9:$AG9,AN$4)</f>
        <v/>
      </c>
      <c r="AO9" s="188">
        <f>COUNTIF($D9:$AG9,AO$4)</f>
        <v/>
      </c>
      <c r="AP9" s="188">
        <f>COUNTIF($D9:$AG9,AP$4)</f>
        <v/>
      </c>
      <c r="AQ9" s="189" t="n"/>
      <c r="AR9" s="189" t="n"/>
      <c r="AS9" s="190">
        <f>SUMPRODUCT(--(WEEKDAY(D$3:AG$3,2)&lt;5),--ISNUMBER(MATCH(D9:AG9,{"DM","CS1","CS2","SB1","AE","CS/B"},0)))</f>
        <v/>
      </c>
      <c r="AT9" s="190" t="n"/>
      <c r="AU9" s="190">
        <f>SUMPRODUCT(--(WEEKDAY(D$3:AG$3,2)=5),--ISNUMBER(MATCH(D9:AG9,{"DM","CS1","CS2","SB1","AE","CS/B","WEEKEND OUTFIELD RESERVE"},0)))</f>
        <v/>
      </c>
      <c r="AV9" s="190">
        <f>SUMPRODUCT(--(WEEKDAY(D$3:AG$3,2)&gt;5),--ISNUMBER(MATCH(D9:AG9,{"DM","CS1","CS2","SB1","AE","CS/B","WEEKEND OUTFIELD RESERVE"},0)))</f>
        <v/>
      </c>
      <c r="AW9" s="190" t="n"/>
      <c r="AX9" s="190">
        <f>(AS9-AT9)+AU9*1.5+(AV9-AW9)*2+AM9*0.5+AO9*0.5+AQ9-AR9</f>
        <v/>
      </c>
      <c r="AY9" s="190">
        <f>AS9+AU9+AV9</f>
        <v/>
      </c>
      <c r="AZ9" s="190">
        <f>BD9+BF9+BH9+BJ9+BL9</f>
        <v/>
      </c>
      <c r="BA9" s="189">
        <f>AX9+BC9</f>
        <v/>
      </c>
      <c r="BB9" s="189">
        <f>(BA9-8)</f>
        <v/>
      </c>
      <c r="BC9" s="190">
        <f>BE9+BG9+BI9+BK9+BM9</f>
        <v/>
      </c>
      <c r="BD9" s="190">
        <f>COUNTIF(A9:AH9,"*$BTP*")</f>
        <v/>
      </c>
      <c r="BE9" s="190">
        <f>BD9*1.5</f>
        <v/>
      </c>
      <c r="BF9" s="190">
        <f>COUNTIF(A9:AH9,"*$M*")</f>
        <v/>
      </c>
      <c r="BG9" s="190">
        <f>BF9*1</f>
        <v/>
      </c>
      <c r="BH9" s="190">
        <f>COUNTIF(A9:AH9,"*$PM*")</f>
        <v/>
      </c>
      <c r="BI9" s="190">
        <f>BH9*0.5</f>
        <v/>
      </c>
      <c r="BJ9" s="190">
        <f>COUNTIF(A9:AH9,"*$AM*")</f>
        <v/>
      </c>
      <c r="BK9" s="190">
        <f>BJ9*0.5</f>
        <v/>
      </c>
      <c r="BL9" s="190">
        <f>COUNTIF(A9:AH9,"*$FC*")</f>
        <v/>
      </c>
      <c r="BM9" s="190">
        <f>BL9*1</f>
        <v/>
      </c>
      <c r="BN9" s="190">
        <f>COUNTIF($E9:$AB9,BN$4)</f>
        <v/>
      </c>
      <c r="BO9" s="190">
        <f>COUNTIF($E9:$AB9,BO$4)</f>
        <v/>
      </c>
      <c r="BP9" s="190">
        <f>COUNTIF($E9:$AB9,BP$4)</f>
        <v/>
      </c>
      <c r="BQ9" s="190" t="n"/>
    </row>
    <row r="10" ht="19.5" customHeight="1">
      <c r="A10" s="184" t="n"/>
      <c r="B10" s="191" t="inlineStr">
        <is>
          <t>LCP WONG JI FENG WILLARD</t>
        </is>
      </c>
      <c r="C10" s="186" t="n"/>
      <c r="D10" s="75" t="inlineStr">
        <is>
          <t>RESERVE</t>
        </is>
      </c>
      <c r="E10" s="53" t="n"/>
      <c r="F10" s="53" t="inlineStr">
        <is>
          <t>CS2</t>
        </is>
      </c>
      <c r="G10" s="53" t="n"/>
      <c r="H10" s="53" t="n"/>
      <c r="I10" s="53" t="n"/>
      <c r="J10" s="53" t="n"/>
      <c r="K10" s="53" t="n"/>
      <c r="L10" s="53" t="inlineStr">
        <is>
          <t>CS/B</t>
        </is>
      </c>
      <c r="M10" s="53" t="n"/>
      <c r="N10" s="53" t="n"/>
      <c r="O10" s="53" t="inlineStr">
        <is>
          <t>RESERVE</t>
        </is>
      </c>
      <c r="P10" s="53" t="n"/>
      <c r="Q10" s="53" t="inlineStr">
        <is>
          <t>R $AM CC (0500-1000)</t>
        </is>
      </c>
      <c r="R10" s="53" t="inlineStr">
        <is>
          <t>CS1</t>
        </is>
      </c>
      <c r="S10" s="53" t="n"/>
      <c r="T10" s="53" t="inlineStr">
        <is>
          <t>DM</t>
        </is>
      </c>
      <c r="U10" s="53" t="n"/>
      <c r="V10" s="53" t="n"/>
      <c r="W10" s="53" t="inlineStr">
        <is>
          <t>CS1</t>
        </is>
      </c>
      <c r="X10" s="53" t="n"/>
      <c r="Y10" s="53" t="inlineStr">
        <is>
          <t>SB2</t>
        </is>
      </c>
      <c r="Z10" s="53" t="n"/>
      <c r="AA10" s="53" t="inlineStr">
        <is>
          <t>WEEKEND OUTFIELD RESERVE</t>
        </is>
      </c>
      <c r="AB10" s="53" t="inlineStr">
        <is>
          <t>DM</t>
        </is>
      </c>
      <c r="AC10" s="53" t="n"/>
      <c r="AD10" s="53" t="inlineStr">
        <is>
          <t>Outfield Reserve</t>
        </is>
      </c>
      <c r="AE10" s="53" t="inlineStr">
        <is>
          <t>Outfield Reserve</t>
        </is>
      </c>
      <c r="AF10" s="53" t="n"/>
      <c r="AG10" s="53" t="n"/>
      <c r="AH10" s="188">
        <f>COUNTIF($D10:$AG10,AH$4)</f>
        <v/>
      </c>
      <c r="AI10" s="188">
        <f>COUNTIF($D10:$AG10,AI$4)</f>
        <v/>
      </c>
      <c r="AJ10" s="188">
        <f>COUNTIF($D10:$AG10,AJ$4)</f>
        <v/>
      </c>
      <c r="AK10" s="188">
        <f>COUNTIF($D10:$AG10,AK$4)</f>
        <v/>
      </c>
      <c r="AL10" s="188">
        <f>COUNTIF($D10:$AG10,AL$4)</f>
        <v/>
      </c>
      <c r="AM10" s="188">
        <f>COUNTIF($D10:$AG10,AM$4)</f>
        <v/>
      </c>
      <c r="AN10" s="188">
        <f>COUNTIF($D10:$AG10,AN$4)</f>
        <v/>
      </c>
      <c r="AO10" s="188">
        <f>COUNTIF($D10:$AG10,AO$4)</f>
        <v/>
      </c>
      <c r="AP10" s="188">
        <f>COUNTIF($D10:$AG10,AP$4)</f>
        <v/>
      </c>
      <c r="AQ10" s="189" t="n"/>
      <c r="AR10" s="189" t="n">
        <v>2.5</v>
      </c>
      <c r="AS10" s="190">
        <f>SUMPRODUCT(--(WEEKDAY(D$3:AG$3,2)&lt;5),--ISNUMBER(MATCH(D10:AG10,{"DM","CS1","CS2","SB1","AE","CS/B"},0)))</f>
        <v/>
      </c>
      <c r="AT10" s="190" t="n"/>
      <c r="AU10" s="190">
        <f>SUMPRODUCT(--(WEEKDAY(D$3:AG$3,2)=5),--ISNUMBER(MATCH(D10:AG10,{"DM","CS1","CS2","SB1","AE","CS/B","WEEKEND OUTFIELD RESERVE"},0)))</f>
        <v/>
      </c>
      <c r="AV10" s="190">
        <f>SUMPRODUCT(--(WEEKDAY(D$3:AG$3,2)&gt;5),--ISNUMBER(MATCH(D10:AG10,{"DM","CS1","CS2","SB1","AE","CS/B","WEEKEND OUTFIELD RESERVE"},0)))</f>
        <v/>
      </c>
      <c r="AW10" s="190" t="n"/>
      <c r="AX10" s="190">
        <f>(AS10-AT10)+AU10*1.5+(AV10-AW10)*2+AM10*0.5+AO10*0.5+AQ10-AR10</f>
        <v/>
      </c>
      <c r="AY10" s="190">
        <f>AS10+AU10+AV10</f>
        <v/>
      </c>
      <c r="AZ10" s="190">
        <f>BD10+BF10+BH10+BJ10+BL10</f>
        <v/>
      </c>
      <c r="BA10" s="189">
        <f>AX10+BC10</f>
        <v/>
      </c>
      <c r="BB10" s="189">
        <f>(BA10-8)</f>
        <v/>
      </c>
      <c r="BC10" s="190">
        <f>BE10+BG10+BI10+BK10+BM10</f>
        <v/>
      </c>
      <c r="BD10" s="190">
        <f>COUNTIF(A10:AH10,"*$BTP*")</f>
        <v/>
      </c>
      <c r="BE10" s="190">
        <f>BD10*1.5</f>
        <v/>
      </c>
      <c r="BF10" s="190">
        <f>COUNTIF(A10:AH10,"*$M*")</f>
        <v/>
      </c>
      <c r="BG10" s="190">
        <f>BF10*1</f>
        <v/>
      </c>
      <c r="BH10" s="190">
        <f>COUNTIF(A10:AH10,"*$PM*")</f>
        <v/>
      </c>
      <c r="BI10" s="190">
        <f>BH10*0.5</f>
        <v/>
      </c>
      <c r="BJ10" s="190">
        <f>COUNTIF(A10:AH10,"*$AM*")</f>
        <v/>
      </c>
      <c r="BK10" s="190">
        <f>BJ10*0.5</f>
        <v/>
      </c>
      <c r="BL10" s="190">
        <f>COUNTIF(A10:AH10,"*$FC*")</f>
        <v/>
      </c>
      <c r="BM10" s="190">
        <f>BL10*1</f>
        <v/>
      </c>
      <c r="BN10" s="190">
        <f>COUNTIF($E10:$AB10,BN$4)</f>
        <v/>
      </c>
      <c r="BO10" s="190">
        <f>COUNTIF($E10:$AB10,BO$4)</f>
        <v/>
      </c>
      <c r="BP10" s="190">
        <f>COUNTIF($E10:$AB10,BP$4)</f>
        <v/>
      </c>
      <c r="BQ10" s="190" t="n"/>
    </row>
    <row r="11" ht="56.25" customHeight="1">
      <c r="A11" s="184" t="n"/>
      <c r="B11" s="185" t="inlineStr">
        <is>
          <t xml:space="preserve">LCP KOO YI XIAN RAPHAEL </t>
        </is>
      </c>
      <c r="C11" s="186" t="n"/>
      <c r="D11" s="191" t="n"/>
      <c r="E11" s="192" t="inlineStr">
        <is>
          <t>E $AM IPPT (0500-1100)</t>
        </is>
      </c>
      <c r="F11" s="53" t="n"/>
      <c r="G11" s="53" t="n"/>
      <c r="H11" s="53" t="n"/>
      <c r="I11" s="53" t="n"/>
      <c r="J11" s="53" t="inlineStr">
        <is>
          <t>SB2</t>
        </is>
      </c>
      <c r="K11" s="53" t="inlineStr">
        <is>
          <t>CS2</t>
        </is>
      </c>
      <c r="L11" s="53" t="n"/>
      <c r="M11" s="53" t="n"/>
      <c r="N11" s="53" t="n"/>
      <c r="O11" s="53" t="n"/>
      <c r="P11" s="53" t="n"/>
      <c r="Q11" s="53" t="n"/>
      <c r="R11" s="53" t="n"/>
      <c r="S11" s="53" t="inlineStr">
        <is>
          <t>SB2</t>
        </is>
      </c>
      <c r="T11" s="53" t="n"/>
      <c r="U11" s="53" t="n"/>
      <c r="V11" s="53" t="n"/>
      <c r="W11" s="53" t="n"/>
      <c r="X11" s="53" t="inlineStr">
        <is>
          <t>CS1</t>
        </is>
      </c>
      <c r="Y11" s="53" t="n"/>
      <c r="Z11" s="53" t="n"/>
      <c r="AA11" s="53" t="inlineStr">
        <is>
          <t>RESERVE</t>
        </is>
      </c>
      <c r="AB11" s="53" t="n"/>
      <c r="AC11" s="53" t="inlineStr">
        <is>
          <t>CS1</t>
        </is>
      </c>
      <c r="AD11" s="53" t="n"/>
      <c r="AE11" s="53" t="inlineStr">
        <is>
          <t>CS1</t>
        </is>
      </c>
      <c r="AF11" s="53" t="n"/>
      <c r="AG11" s="53" t="n"/>
      <c r="AH11" s="188">
        <f>COUNTIF($D11:$AG11,AH$4)</f>
        <v/>
      </c>
      <c r="AI11" s="188">
        <f>COUNTIF($D11:$AG11,AI$4)</f>
        <v/>
      </c>
      <c r="AJ11" s="188">
        <f>COUNTIF($D11:$AG11,AJ$4)</f>
        <v/>
      </c>
      <c r="AK11" s="188">
        <f>COUNTIF($D11:$AG11,AK$4)</f>
        <v/>
      </c>
      <c r="AL11" s="188">
        <f>COUNTIF($D11:$AG11,AL$4)</f>
        <v/>
      </c>
      <c r="AM11" s="188">
        <f>COUNTIF($D11:$AG11,AM$4)</f>
        <v/>
      </c>
      <c r="AN11" s="188">
        <f>COUNTIF($D11:$AG11,AN$4)</f>
        <v/>
      </c>
      <c r="AO11" s="188">
        <f>COUNTIF($D11:$AG11,AO$4)</f>
        <v/>
      </c>
      <c r="AP11" s="188">
        <f>COUNTIF($D11:$AG11,AP$4)</f>
        <v/>
      </c>
      <c r="AQ11" s="189" t="n">
        <v>1</v>
      </c>
      <c r="AR11" s="189" t="n"/>
      <c r="AS11" s="190">
        <f>SUMPRODUCT(--(WEEKDAY(D$3:AG$3,2)&lt;5),--ISNUMBER(MATCH(D11:AG11,{"DM","CS1","CS2","SB1","AE","CS/B"},0)))</f>
        <v/>
      </c>
      <c r="AT11" s="190" t="n"/>
      <c r="AU11" s="190">
        <f>SUMPRODUCT(--(WEEKDAY(D$3:AG$3,2)=5),--ISNUMBER(MATCH(D11:AG11,{"DM","CS1","CS2","SB1","AE","CS/B","WEEKEND OUTFIELD RESERVE"},0)))</f>
        <v/>
      </c>
      <c r="AV11" s="190">
        <f>SUMPRODUCT(--(WEEKDAY(D$3:AG$3,2)&gt;5),--ISNUMBER(MATCH(D11:AG11,{"DM","CS1","CS2","SB1","AE","CS/B","WEEKEND OUTFIELD RESERVE"},0)))</f>
        <v/>
      </c>
      <c r="AW11" s="190" t="n"/>
      <c r="AX11" s="190">
        <f>(AS11-AT11)+AU11*1.5+(AV11-AW11)*2+AM11*0.5+AO11*0.5+AQ11-AR11</f>
        <v/>
      </c>
      <c r="AY11" s="190">
        <f>AS11+AU11+AV11</f>
        <v/>
      </c>
      <c r="AZ11" s="190">
        <f>BD11+BF11+BH11+BJ11+BL11</f>
        <v/>
      </c>
      <c r="BA11" s="189">
        <f>AX11+BC11</f>
        <v/>
      </c>
      <c r="BB11" s="189">
        <f>(BA11-8)</f>
        <v/>
      </c>
      <c r="BC11" s="190">
        <f>BE11+BG11+BI11+BK11+BM11</f>
        <v/>
      </c>
      <c r="BD11" s="190">
        <f>COUNTIF(A11:AH11,"*$BTP*")</f>
        <v/>
      </c>
      <c r="BE11" s="190">
        <f>BD11*1.5</f>
        <v/>
      </c>
      <c r="BF11" s="190">
        <f>COUNTIF(A11:AH11,"*$M*")</f>
        <v/>
      </c>
      <c r="BG11" s="190">
        <f>BF11*1</f>
        <v/>
      </c>
      <c r="BH11" s="190">
        <f>COUNTIF(A11:AH11,"*$PM*")</f>
        <v/>
      </c>
      <c r="BI11" s="190">
        <f>BH11*0.5</f>
        <v/>
      </c>
      <c r="BJ11" s="190">
        <f>COUNTIF(A11:AH11,"*$AM*")</f>
        <v/>
      </c>
      <c r="BK11" s="190">
        <f>BJ11*0.5</f>
        <v/>
      </c>
      <c r="BL11" s="190">
        <f>COUNTIF(A11:AH11,"*$FC*")</f>
        <v/>
      </c>
      <c r="BM11" s="190">
        <f>BL11*1</f>
        <v/>
      </c>
      <c r="BN11" s="190">
        <f>COUNTIF($E11:$AB11,BN$4)</f>
        <v/>
      </c>
      <c r="BO11" s="190">
        <f>COUNTIF($E11:$AB11,BO$4)</f>
        <v/>
      </c>
      <c r="BP11" s="190">
        <f>COUNTIF($E11:$AB11,BP$4)</f>
        <v/>
      </c>
      <c r="BQ11" s="190" t="n"/>
    </row>
    <row r="12" ht="19.5" customHeight="1">
      <c r="A12" s="184" t="n"/>
      <c r="B12" s="185" t="inlineStr">
        <is>
          <t>3SG SAMUEL TAN ENG WEE</t>
        </is>
      </c>
      <c r="C12" s="193">
        <f>COUNTIF(D12:AG12,"DM")</f>
        <v/>
      </c>
      <c r="D12" s="137" t="inlineStr">
        <is>
          <t>ADMIN SPEC CADET COURSE</t>
        </is>
      </c>
      <c r="E12" s="137" t="inlineStr">
        <is>
          <t>ADMIN SPEC CADET COURSE</t>
        </is>
      </c>
      <c r="F12" s="53" t="n"/>
      <c r="G12" s="53" t="n"/>
      <c r="H12" s="53" t="n"/>
      <c r="I12" s="53" t="n"/>
      <c r="J12" s="137" t="inlineStr">
        <is>
          <t>D $AM IPPT (0530-1100) CFM ALR AH</t>
        </is>
      </c>
      <c r="K12" s="53" t="n"/>
      <c r="L12" s="53" t="n"/>
      <c r="M12" s="53" t="n"/>
      <c r="N12" s="53" t="n"/>
      <c r="O12" s="53" t="n"/>
      <c r="P12" s="53" t="inlineStr">
        <is>
          <t>RESERVE</t>
        </is>
      </c>
      <c r="Q12" s="53" t="inlineStr">
        <is>
          <t>DM</t>
        </is>
      </c>
      <c r="R12" s="53" t="n"/>
      <c r="S12" s="53" t="inlineStr">
        <is>
          <t>DM</t>
        </is>
      </c>
      <c r="T12" s="53" t="n"/>
      <c r="U12" s="53" t="n"/>
      <c r="V12" s="53" t="n"/>
      <c r="W12" s="53" t="inlineStr">
        <is>
          <t>SB2</t>
        </is>
      </c>
      <c r="X12" s="53" t="inlineStr">
        <is>
          <t>DM</t>
        </is>
      </c>
      <c r="Y12" s="53" t="n"/>
      <c r="Z12" s="53" t="n"/>
      <c r="AA12" s="53" t="inlineStr">
        <is>
          <t>CS2</t>
        </is>
      </c>
      <c r="AB12" s="53" t="n"/>
      <c r="AC12" s="53" t="n"/>
      <c r="AD12" s="136" t="n"/>
      <c r="AE12" s="53" t="n"/>
      <c r="AF12" s="53" t="n"/>
      <c r="AG12" s="53" t="n"/>
      <c r="AH12" s="188">
        <f>COUNTIF($D12:$AG12,AH$4)</f>
        <v/>
      </c>
      <c r="AI12" s="188">
        <f>COUNTIF($D12:$AG12,AI$4)</f>
        <v/>
      </c>
      <c r="AJ12" s="188">
        <f>COUNTIF($D12:$AG12,AJ$4)</f>
        <v/>
      </c>
      <c r="AK12" s="188">
        <f>COUNTIF($D12:$AG12,AK$4)</f>
        <v/>
      </c>
      <c r="AL12" s="188">
        <f>COUNTIF($D12:$AG12,AL$4)</f>
        <v/>
      </c>
      <c r="AM12" s="188">
        <f>COUNTIF($D12:$AG12,AM$4)</f>
        <v/>
      </c>
      <c r="AN12" s="188">
        <f>COUNTIF($D12:$AG12,AN$4)</f>
        <v/>
      </c>
      <c r="AO12" s="188">
        <f>COUNTIF($D12:$AG12,AO$4)</f>
        <v/>
      </c>
      <c r="AP12" s="188">
        <f>COUNTIF($D12:$AG12,AP$4)</f>
        <v/>
      </c>
      <c r="AQ12" s="189" t="n">
        <v>1.5</v>
      </c>
      <c r="AR12" s="189" t="n"/>
      <c r="AS12" s="190">
        <f>SUMPRODUCT(--(WEEKDAY(D$3:AG$3,2)&lt;5),--ISNUMBER(MATCH(D12:AG12,{"DM","CS1","CS2","SB1","AE","CS/B"},0)))</f>
        <v/>
      </c>
      <c r="AT12" s="190" t="n"/>
      <c r="AU12" s="190">
        <f>SUMPRODUCT(--(WEEKDAY(D$3:AG$3,2)=5),--ISNUMBER(MATCH(D12:AG12,{"DM","CS1","CS2","SB1","AE","CS/B","WEEKEND OUTFIELD RESERVE"},0)))</f>
        <v/>
      </c>
      <c r="AV12" s="190">
        <f>SUMPRODUCT(--(WEEKDAY(D$3:AG$3,2)&gt;5),--ISNUMBER(MATCH(D12:AG12,{"DM","CS1","CS2","SB1","AE","CS/B","WEEKEND OUTFIELD RESERVE"},0)))</f>
        <v/>
      </c>
      <c r="AW12" s="190" t="n"/>
      <c r="AX12" s="190">
        <f>(AS12-AT12)+AU12*1.5+(AV12-AW12)*2+AM12*0.5+AO12*0.5+AQ12-AR12</f>
        <v/>
      </c>
      <c r="AY12" s="190">
        <f>AS12+AU12+AV12</f>
        <v/>
      </c>
      <c r="AZ12" s="190">
        <f>BD12+BF12+BH12+BJ12+BL12</f>
        <v/>
      </c>
      <c r="BA12" s="189">
        <f>AX12+BC12</f>
        <v/>
      </c>
      <c r="BB12" s="189">
        <f>(BA12-8)</f>
        <v/>
      </c>
      <c r="BC12" s="190">
        <f>BE12+BG12+BI12+BK12+BM12</f>
        <v/>
      </c>
      <c r="BD12" s="190">
        <f>COUNTIF(A12:AH12,"*$BTP*")</f>
        <v/>
      </c>
      <c r="BE12" s="190">
        <f>BD12*1.5</f>
        <v/>
      </c>
      <c r="BF12" s="190">
        <f>COUNTIF(A12:AH12,"*$M*")</f>
        <v/>
      </c>
      <c r="BG12" s="190">
        <f>BF12*1</f>
        <v/>
      </c>
      <c r="BH12" s="190">
        <f>COUNTIF(A12:AH12,"*$PM*")</f>
        <v/>
      </c>
      <c r="BI12" s="190">
        <f>BH12*0.5</f>
        <v/>
      </c>
      <c r="BJ12" s="190">
        <f>COUNTIF(A12:AH12,"*$AM*")</f>
        <v/>
      </c>
      <c r="BK12" s="190">
        <f>BJ12*0.5</f>
        <v/>
      </c>
      <c r="BL12" s="190">
        <f>COUNTIF(A12:AH12,"*$FC*")</f>
        <v/>
      </c>
      <c r="BM12" s="190">
        <f>BL12*1</f>
        <v/>
      </c>
      <c r="BN12" s="190">
        <f>COUNTIF($E12:$AB12,BN$4)</f>
        <v/>
      </c>
      <c r="BO12" s="190">
        <f>COUNTIF($E12:$AB12,BO$4)</f>
        <v/>
      </c>
      <c r="BP12" s="190">
        <f>COUNTIF($E12:$AB12,BP$4)</f>
        <v/>
      </c>
      <c r="BQ12" s="190" t="n"/>
    </row>
    <row r="13" ht="69" customHeight="1">
      <c r="A13" s="184" t="n"/>
      <c r="B13" s="191" t="inlineStr">
        <is>
          <t>LCP MATTHEW HWANG YEW SENG</t>
        </is>
      </c>
      <c r="C13" s="193">
        <f>COUNTIF(D13:AG13,"DM")</f>
        <v/>
      </c>
      <c r="D13" s="137" t="n"/>
      <c r="E13" s="137" t="inlineStr">
        <is>
          <t>CS1</t>
        </is>
      </c>
      <c r="F13" s="53" t="n"/>
      <c r="G13" s="53" t="n"/>
      <c r="H13" s="53" t="n"/>
      <c r="I13" s="53" t="n"/>
      <c r="J13" s="53" t="n"/>
      <c r="K13" s="53" t="n"/>
      <c r="L13" s="53" t="inlineStr">
        <is>
          <t>CS1</t>
        </is>
      </c>
      <c r="M13" s="53" t="n"/>
      <c r="N13" s="53" t="n"/>
      <c r="O13" s="53" t="n"/>
      <c r="P13" s="53" t="n"/>
      <c r="Q13" s="53" t="n"/>
      <c r="R13" s="53" t="n"/>
      <c r="S13" s="53" t="n"/>
      <c r="T13" s="53" t="inlineStr">
        <is>
          <t>DM</t>
        </is>
      </c>
      <c r="U13" s="53" t="n"/>
      <c r="V13" s="53" t="n"/>
      <c r="W13" s="53" t="inlineStr">
        <is>
          <t>DM</t>
        </is>
      </c>
      <c r="X13" s="53" t="n"/>
      <c r="Y13" s="53" t="n"/>
      <c r="Z13" s="53" t="n"/>
      <c r="AA13" s="53" t="inlineStr">
        <is>
          <t>SB1</t>
        </is>
      </c>
      <c r="AB13" s="53" t="n"/>
      <c r="AC13" s="53" t="inlineStr">
        <is>
          <t>CS/B</t>
        </is>
      </c>
      <c r="AD13" s="53" t="n"/>
      <c r="AE13" s="53" t="n"/>
      <c r="AF13" s="53" t="inlineStr">
        <is>
          <t>RESERVE</t>
        </is>
      </c>
      <c r="AG13" s="53" t="inlineStr">
        <is>
          <t>DM</t>
        </is>
      </c>
      <c r="AH13" s="188">
        <f>COUNTIF($D13:$AG13,AH$4)</f>
        <v/>
      </c>
      <c r="AI13" s="188">
        <f>COUNTIF($D13:$AG13,AI$4)</f>
        <v/>
      </c>
      <c r="AJ13" s="188">
        <f>COUNTIF($D13:$AG13,AJ$4)</f>
        <v/>
      </c>
      <c r="AK13" s="188">
        <f>COUNTIF($D13:$AG13,AK$4)</f>
        <v/>
      </c>
      <c r="AL13" s="188">
        <f>COUNTIF($D13:$AG13,AL$4)</f>
        <v/>
      </c>
      <c r="AM13" s="188">
        <f>COUNTIF($D13:$AG13,AM$4)</f>
        <v/>
      </c>
      <c r="AN13" s="188">
        <f>COUNTIF($D13:$AG13,AN$4)</f>
        <v/>
      </c>
      <c r="AO13" s="188">
        <f>COUNTIF($D13:$AG13,AO$4)</f>
        <v/>
      </c>
      <c r="AP13" s="188">
        <f>COUNTIF($D13:$AG13,AP$4)</f>
        <v/>
      </c>
      <c r="AQ13" s="189" t="n"/>
      <c r="AR13" s="189" t="n"/>
      <c r="AS13" s="190">
        <f>SUMPRODUCT(--(WEEKDAY(D$3:AG$3,2)&lt;5),--ISNUMBER(MATCH(D13:AG13,{"DM","CS1","CS2","SB1","AE","CS/B"},0)))</f>
        <v/>
      </c>
      <c r="AT13" s="190" t="n"/>
      <c r="AU13" s="190">
        <f>SUMPRODUCT(--(WEEKDAY(D$3:AG$3,2)=5),--ISNUMBER(MATCH(D13:AG13,{"DM","CS1","CS2","SB1","AE","CS/B","WEEKEND OUTFIELD RESERVE"},0)))</f>
        <v/>
      </c>
      <c r="AV13" s="190">
        <f>SUMPRODUCT(--(WEEKDAY(D$3:AG$3,2)&gt;5),--ISNUMBER(MATCH(D13:AG13,{"DM","CS1","CS2","SB1","AE","CS/B","WEEKEND OUTFIELD RESERVE"},0)))</f>
        <v/>
      </c>
      <c r="AW13" s="190" t="n"/>
      <c r="AX13" s="190">
        <f>(AS13-AT13)+AU13*1.5+(AV13-AW13)*2+AM13*0.5+AO13*0.5+AQ13-AR13</f>
        <v/>
      </c>
      <c r="AY13" s="190">
        <f>AS13+AU13+AV13</f>
        <v/>
      </c>
      <c r="AZ13" s="190">
        <f>BD13+BF13+BH13+BJ13+BL13</f>
        <v/>
      </c>
      <c r="BA13" s="189">
        <f>AX13+BC13</f>
        <v/>
      </c>
      <c r="BB13" s="189">
        <f>(BA13-8)</f>
        <v/>
      </c>
      <c r="BC13" s="190">
        <f>BE13+BG13+BI13+BK13+BM13</f>
        <v/>
      </c>
      <c r="BD13" s="190">
        <f>COUNTIF(A13:AH13,"*$BTP*")</f>
        <v/>
      </c>
      <c r="BE13" s="190">
        <f>BD13*1.5</f>
        <v/>
      </c>
      <c r="BF13" s="190">
        <f>COUNTIF(A13:AH13,"*$M*")</f>
        <v/>
      </c>
      <c r="BG13" s="190">
        <f>BF13*1</f>
        <v/>
      </c>
      <c r="BH13" s="190">
        <f>COUNTIF(A13:AH13,"*$PM*")</f>
        <v/>
      </c>
      <c r="BI13" s="190">
        <f>BH13*0.5</f>
        <v/>
      </c>
      <c r="BJ13" s="190">
        <f>COUNTIF(A13:AH13,"*$AM*")</f>
        <v/>
      </c>
      <c r="BK13" s="190">
        <f>BJ13*0.5</f>
        <v/>
      </c>
      <c r="BL13" s="190">
        <f>COUNTIF(A13:AH13,"*$FC*")</f>
        <v/>
      </c>
      <c r="BM13" s="190">
        <f>BL13*1</f>
        <v/>
      </c>
      <c r="BN13" s="190">
        <f>COUNTIF($E13:$AB13,BN$4)</f>
        <v/>
      </c>
      <c r="BO13" s="190">
        <f>COUNTIF($E13:$AB13,BO$4)</f>
        <v/>
      </c>
      <c r="BP13" s="190">
        <f>COUNTIF($E13:$AB13,BP$4)</f>
        <v/>
      </c>
      <c r="BQ13" s="190" t="n"/>
    </row>
    <row r="14" ht="63" customHeight="1">
      <c r="A14" s="184" t="n"/>
      <c r="B14" s="191" t="inlineStr">
        <is>
          <t xml:space="preserve">LCP IGNATIUS QUEK </t>
        </is>
      </c>
      <c r="C14" s="186" t="n"/>
      <c r="D14" s="53" t="inlineStr">
        <is>
          <t>AE</t>
        </is>
      </c>
      <c r="E14" s="75" t="n"/>
      <c r="F14" s="53" t="inlineStr">
        <is>
          <t>CS1</t>
        </is>
      </c>
      <c r="G14" s="53" t="n"/>
      <c r="H14" s="53" t="n"/>
      <c r="I14" s="53" t="n"/>
      <c r="J14" s="53" t="n"/>
      <c r="K14" s="53" t="n"/>
      <c r="L14" s="53" t="n"/>
      <c r="M14" s="53" t="n"/>
      <c r="N14" s="53" t="inlineStr">
        <is>
          <t>RESERVE</t>
        </is>
      </c>
      <c r="O14" s="53" t="n"/>
      <c r="P14" s="53" t="inlineStr">
        <is>
          <t>CS/B</t>
        </is>
      </c>
      <c r="Q14" s="53" t="n"/>
      <c r="R14" s="53" t="inlineStr">
        <is>
          <t>RESERVE</t>
        </is>
      </c>
      <c r="S14" s="53" t="n"/>
      <c r="T14" s="53" t="n"/>
      <c r="U14" s="53" t="inlineStr">
        <is>
          <t>SB1</t>
        </is>
      </c>
      <c r="V14" s="53" t="n"/>
      <c r="W14" s="53" t="n"/>
      <c r="X14" s="53" t="n"/>
      <c r="Y14" s="53" t="n"/>
      <c r="Z14" s="53" t="n"/>
      <c r="AA14" s="53" t="n"/>
      <c r="AB14" s="53" t="n"/>
      <c r="AC14" s="53" t="inlineStr">
        <is>
          <t>WEEKEND OUTFIELD RESERVE</t>
        </is>
      </c>
      <c r="AD14" s="53" t="n"/>
      <c r="AE14" s="53" t="n"/>
      <c r="AF14" s="53" t="n"/>
      <c r="AG14" s="53" t="n"/>
      <c r="AH14" s="188">
        <f>COUNTIF($D14:$AG14,AH$4)</f>
        <v/>
      </c>
      <c r="AI14" s="188">
        <f>COUNTIF($D14:$AG14,AI$4)</f>
        <v/>
      </c>
      <c r="AJ14" s="188">
        <f>COUNTIF($D14:$AG14,AJ$4)</f>
        <v/>
      </c>
      <c r="AK14" s="188">
        <f>COUNTIF($D14:$AG14,AK$4)</f>
        <v/>
      </c>
      <c r="AL14" s="188">
        <f>COUNTIF($D14:$AG14,AL$4)</f>
        <v/>
      </c>
      <c r="AM14" s="188">
        <f>COUNTIF($D14:$AG14,AM$4)</f>
        <v/>
      </c>
      <c r="AN14" s="188">
        <f>COUNTIF($D14:$AG14,AN$4)</f>
        <v/>
      </c>
      <c r="AO14" s="188">
        <f>COUNTIF($D14:$AG14,AO$4)</f>
        <v/>
      </c>
      <c r="AP14" s="188">
        <f>COUNTIF($D14:$AG14,AP$4)</f>
        <v/>
      </c>
      <c r="AQ14" s="189" t="n">
        <v>1.5</v>
      </c>
      <c r="AR14" s="189" t="n"/>
      <c r="AS14" s="190">
        <f>SUMPRODUCT(--(WEEKDAY(D$3:AG$3,2)&lt;5),--ISNUMBER(MATCH(D14:AG14,{"DM","CS1","CS2","SB1","AE","CS/B"},0)))</f>
        <v/>
      </c>
      <c r="AT14" s="190" t="n"/>
      <c r="AU14" s="190">
        <f>SUMPRODUCT(--(WEEKDAY(D$3:AG$3,2)=5),--ISNUMBER(MATCH(D14:AG14,{"DM","CS1","CS2","SB1","AE","CS/B","WEEKEND OUTFIELD RESERVE"},0)))</f>
        <v/>
      </c>
      <c r="AV14" s="190">
        <f>SUMPRODUCT(--(WEEKDAY(D$3:AG$3,2)&gt;5),--ISNUMBER(MATCH(D14:AG14,{"DM","CS1","CS2","SB1","AE","CS/B","WEEKEND OUTFIELD RESERVE"},0)))</f>
        <v/>
      </c>
      <c r="AW14" s="190" t="n"/>
      <c r="AX14" s="190">
        <f>(AS14-AT14)+AU14*1.5+(AV14-AW14)*2+AM14*0.5+AO14*0.5+AQ14-AR14</f>
        <v/>
      </c>
      <c r="AY14" s="190">
        <f>AS14+AU14+AV14</f>
        <v/>
      </c>
      <c r="AZ14" s="190">
        <f>BD14+BF14+BH14+BJ14+BL14</f>
        <v/>
      </c>
      <c r="BA14" s="189">
        <f>AX14+BC14</f>
        <v/>
      </c>
      <c r="BB14" s="189">
        <f>(BA14-8)</f>
        <v/>
      </c>
      <c r="BC14" s="190">
        <f>BE14+BG14+BI14+BK14+BM14</f>
        <v/>
      </c>
      <c r="BD14" s="190">
        <f>COUNTIF(A14:AH14,"*$BTP*")</f>
        <v/>
      </c>
      <c r="BE14" s="190">
        <f>BD14*1.5</f>
        <v/>
      </c>
      <c r="BF14" s="190">
        <f>COUNTIF(A14:AH14,"*$M*")</f>
        <v/>
      </c>
      <c r="BG14" s="190">
        <f>BF14*1</f>
        <v/>
      </c>
      <c r="BH14" s="190">
        <f>COUNTIF(A14:AH14,"*$PM*")</f>
        <v/>
      </c>
      <c r="BI14" s="190">
        <f>BH14*0.5</f>
        <v/>
      </c>
      <c r="BJ14" s="190">
        <f>COUNTIF(A14:AH14,"*$AM*")</f>
        <v/>
      </c>
      <c r="BK14" s="190">
        <f>BJ14*0.5</f>
        <v/>
      </c>
      <c r="BL14" s="190">
        <f>COUNTIF(A14:AH14,"*$FC*")</f>
        <v/>
      </c>
      <c r="BM14" s="190">
        <f>BL14*1</f>
        <v/>
      </c>
      <c r="BN14" s="190">
        <f>COUNTIF($E14:$AB14,BN$4)</f>
        <v/>
      </c>
      <c r="BO14" s="190">
        <f>COUNTIF($E14:$AB14,BO$4)</f>
        <v/>
      </c>
      <c r="BP14" s="190">
        <f>COUNTIF($E14:$AB14,BP$4)</f>
        <v/>
      </c>
      <c r="BQ14" s="190" t="n"/>
    </row>
    <row r="15" ht="47.25" customHeight="1">
      <c r="A15" s="184" t="n"/>
      <c r="B15" s="185" t="inlineStr">
        <is>
          <t>PTE MENDEZ RALPH JUSTINE MACALINO</t>
        </is>
      </c>
      <c r="C15" s="186" t="n"/>
      <c r="D15" s="137" t="n"/>
      <c r="E15" s="137" t="n"/>
      <c r="F15" s="53" t="n"/>
      <c r="G15" s="53" t="n"/>
      <c r="H15" s="53" t="n"/>
      <c r="I15" s="53" t="n"/>
      <c r="J15" s="53" t="inlineStr">
        <is>
          <t>AE</t>
        </is>
      </c>
      <c r="K15" s="53" t="n"/>
      <c r="L15" s="53" t="inlineStr">
        <is>
          <t>RESERVE</t>
        </is>
      </c>
      <c r="M15" s="53" t="n"/>
      <c r="N15" s="53" t="n"/>
      <c r="O15" s="53" t="inlineStr">
        <is>
          <t>AE</t>
        </is>
      </c>
      <c r="P15" s="53" t="n"/>
      <c r="Q15" s="53" t="inlineStr">
        <is>
          <t>SB2</t>
        </is>
      </c>
      <c r="R15" s="53" t="n"/>
      <c r="S15" s="53" t="inlineStr">
        <is>
          <t>AE</t>
        </is>
      </c>
      <c r="T15" s="53" t="n"/>
      <c r="U15" s="53" t="n"/>
      <c r="V15" s="53" t="n"/>
      <c r="W15" s="53" t="n"/>
      <c r="X15" s="53" t="inlineStr">
        <is>
          <t>SB1</t>
        </is>
      </c>
      <c r="Y15" s="53" t="n"/>
      <c r="Z15" s="53" t="n"/>
      <c r="AA15" s="53" t="n"/>
      <c r="AB15" s="53" t="inlineStr">
        <is>
          <t>WEEKEND OUTFIELD RESERVE</t>
        </is>
      </c>
      <c r="AC15" s="53" t="n"/>
      <c r="AD15" s="53" t="inlineStr">
        <is>
          <t>COVER RESERVE</t>
        </is>
      </c>
      <c r="AE15" s="53" t="n"/>
      <c r="AF15" s="53" t="n"/>
      <c r="AG15" s="53" t="inlineStr">
        <is>
          <t>AE</t>
        </is>
      </c>
      <c r="AH15" s="188">
        <f>COUNTIF($D15:$AG15,AH$4)</f>
        <v/>
      </c>
      <c r="AI15" s="188">
        <f>COUNTIF($D15:$AG15,AI$4)</f>
        <v/>
      </c>
      <c r="AJ15" s="188">
        <f>COUNTIF($D15:$AG15,AJ$4)</f>
        <v/>
      </c>
      <c r="AK15" s="188">
        <f>COUNTIF($D15:$AG15,AK$4)</f>
        <v/>
      </c>
      <c r="AL15" s="188">
        <f>COUNTIF($D15:$AG15,AL$4)</f>
        <v/>
      </c>
      <c r="AM15" s="188">
        <f>COUNTIF($D15:$AG15,AM$4)</f>
        <v/>
      </c>
      <c r="AN15" s="188">
        <f>COUNTIF($D15:$AG15,AN$4)</f>
        <v/>
      </c>
      <c r="AO15" s="188">
        <f>COUNTIF($D15:$AG15,AO$4)</f>
        <v/>
      </c>
      <c r="AP15" s="188">
        <f>COUNTIF($D15:$AG15,AP$4)</f>
        <v/>
      </c>
      <c r="AQ15" s="189" t="n"/>
      <c r="AR15" s="189" t="n"/>
      <c r="AS15" s="190">
        <f>SUMPRODUCT(--(WEEKDAY(D$3:AG$3,2)&lt;5),--ISNUMBER(MATCH(D15:AG15,{"DM","CS1","CS2","SB1","AE","CS/B"},0)))</f>
        <v/>
      </c>
      <c r="AT15" s="190" t="n"/>
      <c r="AU15" s="190">
        <f>SUMPRODUCT(--(WEEKDAY(D$3:AG$3,2)=5),--ISNUMBER(MATCH(D15:AG15,{"DM","CS1","CS2","SB1","AE","CS/B","WEEKEND OUTFIELD RESERVE"},0)))</f>
        <v/>
      </c>
      <c r="AV15" s="190">
        <f>SUMPRODUCT(--(WEEKDAY(D$3:AG$3,2)&gt;5),--ISNUMBER(MATCH(D15:AG15,{"DM","CS1","CS2","SB1","AE","CS/B","WEEKEND OUTFIELD RESERVE"},0)))</f>
        <v/>
      </c>
      <c r="AW15" s="190" t="n"/>
      <c r="AX15" s="190">
        <f>(AS15-AT15)+AU15*1.5+(AV15-AW15)*2+AM15*0.5+AO15*0.5+AQ15-AR15</f>
        <v/>
      </c>
      <c r="AY15" s="190">
        <f>AS15+AU15+AV15</f>
        <v/>
      </c>
      <c r="AZ15" s="190">
        <f>BD15+BF15+BH15+BJ15+BL15</f>
        <v/>
      </c>
      <c r="BA15" s="189">
        <f>AX15+BC15</f>
        <v/>
      </c>
      <c r="BB15" s="189">
        <f>(BA15-8)</f>
        <v/>
      </c>
      <c r="BC15" s="190">
        <f>BE15+BG15+BI15+BK15+BM15</f>
        <v/>
      </c>
      <c r="BD15" s="190">
        <f>COUNTIF(A15:AH15,"*$BTP*")</f>
        <v/>
      </c>
      <c r="BE15" s="190">
        <f>BD15*1.5</f>
        <v/>
      </c>
      <c r="BF15" s="190">
        <f>COUNTIF(A15:AH15,"*$M*")</f>
        <v/>
      </c>
      <c r="BG15" s="190">
        <f>BF15*1</f>
        <v/>
      </c>
      <c r="BH15" s="190">
        <f>COUNTIF(A15:AH15,"*$PM*")</f>
        <v/>
      </c>
      <c r="BI15" s="190">
        <f>BH15*0.5</f>
        <v/>
      </c>
      <c r="BJ15" s="190">
        <f>COUNTIF(A15:AH15,"*$AM*")</f>
        <v/>
      </c>
      <c r="BK15" s="190">
        <f>BJ15*0.5</f>
        <v/>
      </c>
      <c r="BL15" s="190">
        <f>COUNTIF(A15:AH15,"*$FC*")</f>
        <v/>
      </c>
      <c r="BM15" s="190">
        <f>BL15*1</f>
        <v/>
      </c>
      <c r="BN15" s="190">
        <f>COUNTIF($E15:$AB15,BN$4)</f>
        <v/>
      </c>
      <c r="BO15" s="190">
        <f>COUNTIF($E15:$AB15,BO$4)</f>
        <v/>
      </c>
      <c r="BP15" s="190">
        <f>COUNTIF($E15:$AB15,BP$4)</f>
        <v/>
      </c>
      <c r="BQ15" s="190" t="n"/>
    </row>
    <row r="16" ht="47.25" customHeight="1">
      <c r="A16" s="184" t="n"/>
      <c r="B16" s="186" t="inlineStr">
        <is>
          <t>PTE DANIEL ISKANDAR BIN SANUSI</t>
        </is>
      </c>
      <c r="C16" s="186" t="n"/>
      <c r="D16" s="75" t="n"/>
      <c r="E16" s="75" t="n"/>
      <c r="F16" s="53" t="n"/>
      <c r="G16" s="53" t="n"/>
      <c r="H16" s="53" t="n"/>
      <c r="I16" s="53" t="inlineStr">
        <is>
          <t>AE</t>
        </is>
      </c>
      <c r="J16" s="53" t="n"/>
      <c r="K16" s="53" t="n"/>
      <c r="L16" s="53" t="n"/>
      <c r="M16" s="53" t="n"/>
      <c r="N16" s="53" t="n"/>
      <c r="O16" s="53" t="n"/>
      <c r="P16" s="53" t="n"/>
      <c r="Q16" s="53" t="inlineStr">
        <is>
          <t>MA</t>
        </is>
      </c>
      <c r="R16" s="53" t="inlineStr">
        <is>
          <t>AE</t>
        </is>
      </c>
      <c r="S16" s="53" t="n"/>
      <c r="T16" s="53" t="inlineStr">
        <is>
          <t>SB2</t>
        </is>
      </c>
      <c r="U16" s="53" t="n"/>
      <c r="V16" s="53" t="inlineStr">
        <is>
          <t>AE</t>
        </is>
      </c>
      <c r="W16" s="53" t="n"/>
      <c r="X16" s="53" t="n"/>
      <c r="Y16" s="53" t="inlineStr">
        <is>
          <t>RESERVE</t>
        </is>
      </c>
      <c r="Z16" s="53" t="inlineStr">
        <is>
          <t>SB2</t>
        </is>
      </c>
      <c r="AA16" s="53" t="inlineStr">
        <is>
          <t>AE</t>
        </is>
      </c>
      <c r="AB16" s="53" t="n"/>
      <c r="AC16" s="53" t="n"/>
      <c r="AD16" s="53" t="n"/>
      <c r="AE16" s="53" t="inlineStr">
        <is>
          <t>AE</t>
        </is>
      </c>
      <c r="AF16" s="53" t="n"/>
      <c r="AG16" s="53" t="n"/>
      <c r="AH16" s="188">
        <f>COUNTIF($D16:$AG16,AH$4)</f>
        <v/>
      </c>
      <c r="AI16" s="188">
        <f>COUNTIF($D16:$AG16,AI$4)</f>
        <v/>
      </c>
      <c r="AJ16" s="188">
        <f>COUNTIF($D16:$AG16,AJ$4)</f>
        <v/>
      </c>
      <c r="AK16" s="188">
        <f>COUNTIF($D16:$AG16,AK$4)</f>
        <v/>
      </c>
      <c r="AL16" s="188">
        <f>COUNTIF($D16:$AG16,AL$4)</f>
        <v/>
      </c>
      <c r="AM16" s="188">
        <f>COUNTIF($D16:$AG16,AM$4)</f>
        <v/>
      </c>
      <c r="AN16" s="188">
        <f>COUNTIF($D16:$AG16,AN$4)</f>
        <v/>
      </c>
      <c r="AO16" s="188">
        <f>COUNTIF($D16:$AG16,AO$4)</f>
        <v/>
      </c>
      <c r="AP16" s="188">
        <f>COUNTIF($D16:$AG16,AP$4)</f>
        <v/>
      </c>
      <c r="AQ16" s="189" t="n"/>
      <c r="AR16" s="189" t="n"/>
      <c r="AS16" s="190">
        <f>SUMPRODUCT(--(WEEKDAY(D$3:AG$3,2)&lt;5),--ISNUMBER(MATCH(D16:AG16,{"DM","CS1","CS2","SB1","AE","CS/B"},0)))</f>
        <v/>
      </c>
      <c r="AT16" s="190" t="n"/>
      <c r="AU16" s="190">
        <f>SUMPRODUCT(--(WEEKDAY(D$3:AG$3,2)=5),--ISNUMBER(MATCH(D16:AG16,{"DM","CS1","CS2","SB1","AE","CS/B","WEEKEND OUTFIELD RESERVE"},0)))</f>
        <v/>
      </c>
      <c r="AV16" s="190">
        <f>SUMPRODUCT(--(WEEKDAY(D$3:AG$3,2)&gt;5),--ISNUMBER(MATCH(D16:AG16,{"DM","CS1","CS2","SB1","AE","CS/B","WEEKEND OUTFIELD RESERVE"},0)))</f>
        <v/>
      </c>
      <c r="AW16" s="190" t="n"/>
      <c r="AX16" s="190">
        <f>(AS16-AT16)+AU16*1.5+(AV16-AW16)*2+AM16*0.5+AO16*0.5+AQ16-AR16</f>
        <v/>
      </c>
      <c r="AY16" s="190">
        <f>AS16+AU16+AV16</f>
        <v/>
      </c>
      <c r="AZ16" s="190" t="inlineStr">
        <is>
          <t>       </t>
        </is>
      </c>
      <c r="BA16" s="189">
        <f>AX16+BC16</f>
        <v/>
      </c>
      <c r="BB16" s="189">
        <f>(BA16-8)</f>
        <v/>
      </c>
      <c r="BC16" s="190">
        <f>BE16+BG16+BI16+BK16+BM16</f>
        <v/>
      </c>
      <c r="BD16" s="190">
        <f>COUNTIF(A16:AH16,"*$BTP*")</f>
        <v/>
      </c>
      <c r="BE16" s="190">
        <f>BD16*1.5</f>
        <v/>
      </c>
      <c r="BF16" s="190">
        <f>COUNTIF(A16:AH16,"*$M*")</f>
        <v/>
      </c>
      <c r="BG16" s="190">
        <f>BF16*1</f>
        <v/>
      </c>
      <c r="BH16" s="190">
        <f>COUNTIF(A16:AH16,"*$PM*")</f>
        <v/>
      </c>
      <c r="BI16" s="190">
        <f>BH16*0.5</f>
        <v/>
      </c>
      <c r="BJ16" s="190">
        <f>COUNTIF(A16:AH16,"*$AM*")</f>
        <v/>
      </c>
      <c r="BK16" s="190">
        <f>BJ16*0.5</f>
        <v/>
      </c>
      <c r="BL16" s="190">
        <f>COUNTIF(A16:AH16,"*$FC*")</f>
        <v/>
      </c>
      <c r="BM16" s="190">
        <f>BL16*1</f>
        <v/>
      </c>
      <c r="BN16" s="190">
        <f>COUNTIF($E16:$AB16,BN$4)</f>
        <v/>
      </c>
      <c r="BO16" s="190">
        <f>COUNTIF($E16:$AB16,BO$4)</f>
        <v/>
      </c>
      <c r="BP16" s="190">
        <f>COUNTIF($E16:$AB16,BP$4)</f>
        <v/>
      </c>
      <c r="BQ16" s="190" t="n"/>
    </row>
    <row r="17" ht="45" customHeight="1">
      <c r="A17" s="184" t="n"/>
      <c r="B17" s="186" t="inlineStr">
        <is>
          <t>LCP APPLE YEO</t>
        </is>
      </c>
      <c r="C17" s="186" t="n"/>
      <c r="D17" s="137" t="n"/>
      <c r="E17" s="137" t="inlineStr">
        <is>
          <t>CS2</t>
        </is>
      </c>
      <c r="F17" s="53" t="n"/>
      <c r="G17" s="53" t="n"/>
      <c r="H17" s="53" t="n"/>
      <c r="I17" s="53" t="n"/>
      <c r="J17" s="53" t="n"/>
      <c r="K17" s="53" t="inlineStr">
        <is>
          <t>SB1</t>
        </is>
      </c>
      <c r="L17" s="53" t="n"/>
      <c r="M17" s="53" t="inlineStr">
        <is>
          <t>CS1</t>
        </is>
      </c>
      <c r="N17" s="53" t="n"/>
      <c r="O17" s="53" t="n"/>
      <c r="P17" s="53" t="n"/>
      <c r="Q17" s="53" t="inlineStr">
        <is>
          <t>DM</t>
        </is>
      </c>
      <c r="R17" s="53" t="n"/>
      <c r="S17" s="53" t="n"/>
      <c r="T17" s="53" t="inlineStr">
        <is>
          <t>SB1</t>
        </is>
      </c>
      <c r="U17" s="53" t="n"/>
      <c r="V17" s="53" t="inlineStr">
        <is>
          <t>DM</t>
        </is>
      </c>
      <c r="W17" s="53" t="n"/>
      <c r="X17" s="53" t="inlineStr">
        <is>
          <t>CS2</t>
        </is>
      </c>
      <c r="Y17" s="53" t="n"/>
      <c r="Z17" s="53" t="inlineStr">
        <is>
          <t>RESERVE</t>
        </is>
      </c>
      <c r="AA17" s="53" t="n"/>
      <c r="AB17" s="53" t="n"/>
      <c r="AC17" s="53" t="inlineStr">
        <is>
          <t>DM</t>
        </is>
      </c>
      <c r="AD17" s="53" t="n"/>
      <c r="AE17" s="53" t="inlineStr">
        <is>
          <t>CS2</t>
        </is>
      </c>
      <c r="AF17" s="53" t="n"/>
      <c r="AG17" s="53" t="inlineStr">
        <is>
          <t>DM</t>
        </is>
      </c>
      <c r="AH17" s="188">
        <f>COUNTIF($D17:$AG17,AH$4)</f>
        <v/>
      </c>
      <c r="AI17" s="188">
        <f>COUNTIF($D17:$AG17,AI$4)</f>
        <v/>
      </c>
      <c r="AJ17" s="188">
        <f>COUNTIF($D17:$AG17,AJ$4)</f>
        <v/>
      </c>
      <c r="AK17" s="188">
        <f>COUNTIF($D17:$AG17,AK$4)</f>
        <v/>
      </c>
      <c r="AL17" s="188">
        <f>COUNTIF($D17:$AG17,AL$4)</f>
        <v/>
      </c>
      <c r="AM17" s="188">
        <f>COUNTIF($D17:$AG17,AM$4)</f>
        <v/>
      </c>
      <c r="AN17" s="188">
        <f>COUNTIF($D17:$AG17,AN$4)</f>
        <v/>
      </c>
      <c r="AO17" s="188">
        <f>COUNTIF($D17:$AG17,AO$4)</f>
        <v/>
      </c>
      <c r="AP17" s="188">
        <f>COUNTIF($D17:$AG17,AP$4)</f>
        <v/>
      </c>
      <c r="AQ17" s="189" t="n">
        <v>3</v>
      </c>
      <c r="AR17" s="189" t="n"/>
      <c r="AS17" s="190">
        <f>SUMPRODUCT(--(WEEKDAY(D$3:AG$3,2)&lt;5),--ISNUMBER(MATCH(D17:AG17,{"DM","CS1","CS2","SB1","AE","CS/B"},0)))</f>
        <v/>
      </c>
      <c r="AT17" s="190" t="n"/>
      <c r="AU17" s="190">
        <f>SUMPRODUCT(--(WEEKDAY(D$3:AG$3,2)=5),--ISNUMBER(MATCH(D17:AG17,{"DM","CS1","CS2","SB1","AE","CS/B","WEEKEND OUTFIELD RESERVE"},0)))</f>
        <v/>
      </c>
      <c r="AV17" s="190">
        <f>SUMPRODUCT(--(WEEKDAY(D$3:AG$3,2)&gt;5),--ISNUMBER(MATCH(D17:AG17,{"DM","CS1","CS2","SB1","AE","CS/B","WEEKEND OUTFIELD RESERVE"},0)))</f>
        <v/>
      </c>
      <c r="AW17" s="190" t="n"/>
      <c r="AX17" s="190">
        <f>(AS17-AT17)+AU17*1.5+(AV17-AW17)*2+AM17*0.5+AO17*0.5+AQ17-AR17</f>
        <v/>
      </c>
      <c r="AY17" s="190">
        <f>AS17+AU17+AV17</f>
        <v/>
      </c>
      <c r="AZ17" s="190">
        <f>BD17+BF17+BH17+BJ17+BL17</f>
        <v/>
      </c>
      <c r="BA17" s="189">
        <f>AX17+BC17</f>
        <v/>
      </c>
      <c r="BB17" s="189" t="n"/>
      <c r="BC17" s="190">
        <f>BE17+BG17+BI17+BK17+BM17</f>
        <v/>
      </c>
      <c r="BD17" s="190">
        <f>COUNTIF(A17:AH17,"*$BTP*")</f>
        <v/>
      </c>
      <c r="BE17" s="190">
        <f>BD17*1.5</f>
        <v/>
      </c>
      <c r="BF17" s="190">
        <f>COUNTIF(A17:AH17,"*$M*")</f>
        <v/>
      </c>
      <c r="BG17" s="190">
        <f>BF17*1</f>
        <v/>
      </c>
      <c r="BH17" s="190">
        <f>COUNTIF(A17:AH17,"*$PM*")</f>
        <v/>
      </c>
      <c r="BI17" s="190">
        <f>BH17*0.5</f>
        <v/>
      </c>
      <c r="BJ17" s="190">
        <f>COUNTIF(A17:AH17,"*$AM*")</f>
        <v/>
      </c>
      <c r="BK17" s="190">
        <f>BJ17*0.5</f>
        <v/>
      </c>
      <c r="BL17" s="190">
        <f>COUNTIF(A17:AH17,"*$FC*")</f>
        <v/>
      </c>
      <c r="BM17" s="190">
        <f>BL17*1</f>
        <v/>
      </c>
      <c r="BN17" s="190">
        <f>COUNTIF($E17:$AB17,BN$4)</f>
        <v/>
      </c>
      <c r="BO17" s="190">
        <f>COUNTIF($E17:$AB17,BO$4)</f>
        <v/>
      </c>
      <c r="BP17" s="190">
        <f>COUNTIF($E17:$AB17,BP$4)</f>
        <v/>
      </c>
      <c r="BQ17" s="190" t="n"/>
    </row>
    <row r="18" ht="60.75" customHeight="1">
      <c r="A18" s="184" t="n"/>
      <c r="B18" s="186" t="inlineStr">
        <is>
          <t>LCP EKLAYVA PINGALI</t>
        </is>
      </c>
      <c r="C18" s="186" t="n"/>
      <c r="D18" s="75" t="n"/>
      <c r="E18" s="75" t="n"/>
      <c r="F18" s="53" t="n"/>
      <c r="G18" s="53" t="n"/>
      <c r="H18" s="53" t="n"/>
      <c r="I18" s="53" t="n"/>
      <c r="J18" s="53" t="inlineStr">
        <is>
          <t>DM</t>
        </is>
      </c>
      <c r="K18" s="53" t="n"/>
      <c r="L18" s="53" t="inlineStr">
        <is>
          <t>S $M HG (0500-1830)</t>
        </is>
      </c>
      <c r="M18" s="53" t="n"/>
      <c r="N18" s="53" t="n"/>
      <c r="O18" s="53" t="n"/>
      <c r="P18" s="53" t="n"/>
      <c r="Q18" s="53" t="inlineStr">
        <is>
          <t>CS2</t>
        </is>
      </c>
      <c r="R18" s="53" t="n"/>
      <c r="S18" s="53" t="inlineStr">
        <is>
          <t>COVER RESERVE</t>
        </is>
      </c>
      <c r="T18" s="53" t="n"/>
      <c r="U18" s="53" t="inlineStr">
        <is>
          <t>DM</t>
        </is>
      </c>
      <c r="V18" s="53" t="n"/>
      <c r="W18" s="53" t="n"/>
      <c r="X18" s="53" t="n"/>
      <c r="Y18" s="53" t="inlineStr">
        <is>
          <t>CS2</t>
        </is>
      </c>
      <c r="Z18" s="53" t="n"/>
      <c r="AA18" s="53" t="n"/>
      <c r="AB18" s="53" t="inlineStr">
        <is>
          <t>RESERVE</t>
        </is>
      </c>
      <c r="AC18" s="53" t="n"/>
      <c r="AD18" s="53" t="inlineStr">
        <is>
          <t>DM</t>
        </is>
      </c>
      <c r="AE18" s="53" t="n"/>
      <c r="AF18" s="53" t="n"/>
      <c r="AG18" s="53" t="inlineStr">
        <is>
          <t>CS/B</t>
        </is>
      </c>
      <c r="AH18" s="188">
        <f>COUNTIF($D18:$AG18,AH$4)</f>
        <v/>
      </c>
      <c r="AI18" s="188">
        <f>COUNTIF($D18:$AG18,AI$4)</f>
        <v/>
      </c>
      <c r="AJ18" s="188">
        <f>COUNTIF($D18:$AG18,AJ$4)</f>
        <v/>
      </c>
      <c r="AK18" s="188">
        <f>COUNTIF($D18:$AG18,AK$4)</f>
        <v/>
      </c>
      <c r="AL18" s="188">
        <f>COUNTIF($D18:$AG18,AL$4)</f>
        <v/>
      </c>
      <c r="AM18" s="188">
        <f>COUNTIF($D18:$AG18,AM$4)</f>
        <v/>
      </c>
      <c r="AN18" s="188">
        <f>COUNTIF($D18:$AG18,AN$4)</f>
        <v/>
      </c>
      <c r="AO18" s="188">
        <f>COUNTIF($D18:$AG18,AO$4)</f>
        <v/>
      </c>
      <c r="AP18" s="188">
        <f>COUNTIF($D18:$AG18,AP$4)</f>
        <v/>
      </c>
      <c r="AQ18" s="189" t="n"/>
      <c r="AR18" s="189" t="n"/>
      <c r="AS18" s="190">
        <f>SUMPRODUCT(--(WEEKDAY(D$3:AG$3,2)&lt;5),--ISNUMBER(MATCH(D18:AG18,{"DM","CS1","CS2","SB1","AE","CS/B"},0)))</f>
        <v/>
      </c>
      <c r="AT18" s="190" t="n"/>
      <c r="AU18" s="190">
        <f>SUMPRODUCT(--(WEEKDAY(D$3:AG$3,2)=5),--ISNUMBER(MATCH(D18:AG18,{"DM","CS1","CS2","SB1","AE","CS/B","WEEKEND OUTFIELD RESERVE"},0)))</f>
        <v/>
      </c>
      <c r="AV18" s="190">
        <f>SUMPRODUCT(--(WEEKDAY(D$3:AG$3,2)&gt;5),--ISNUMBER(MATCH(D18:AG18,{"DM","CS1","CS2","SB1","AE","CS/B","WEEKEND OUTFIELD RESERVE"},0)))</f>
        <v/>
      </c>
      <c r="AW18" s="190" t="n"/>
      <c r="AX18" s="190">
        <f>(AS18-AT18)+AU18*1.5+(AV18-AW18)*2+AM18*0.5+AO18*0.5+AQ18-AR18</f>
        <v/>
      </c>
      <c r="AY18" s="190">
        <f>AS18+AU18+AV18</f>
        <v/>
      </c>
      <c r="AZ18" s="190">
        <f>BD18+BF18+BH18+BJ18+BL18</f>
        <v/>
      </c>
      <c r="BA18" s="189">
        <f>AX18+BC18</f>
        <v/>
      </c>
      <c r="BB18" s="189">
        <f>(BA18-8.5)</f>
        <v/>
      </c>
      <c r="BC18" s="190">
        <f>BE18+BG18+BI18+BK18+BM18</f>
        <v/>
      </c>
      <c r="BD18" s="190">
        <f>COUNTIF(A18:AH18,"*$BTP*")</f>
        <v/>
      </c>
      <c r="BE18" s="190">
        <f>BD18*1.5</f>
        <v/>
      </c>
      <c r="BF18" s="190">
        <f>COUNTIF(A18:AH18,"*$M*")</f>
        <v/>
      </c>
      <c r="BG18" s="190">
        <f>BF18*1</f>
        <v/>
      </c>
      <c r="BH18" s="190">
        <f>COUNTIF(A18:AH18,"*$PM*")</f>
        <v/>
      </c>
      <c r="BI18" s="190">
        <f>BH18*0.5</f>
        <v/>
      </c>
      <c r="BJ18" s="190">
        <f>COUNTIF(A18:AH18,"*$AM*")</f>
        <v/>
      </c>
      <c r="BK18" s="190">
        <f>BJ18*0.5</f>
        <v/>
      </c>
      <c r="BL18" s="190">
        <f>COUNTIF(A18:AH18,"*$FC*")</f>
        <v/>
      </c>
      <c r="BM18" s="190">
        <f>BL18*1</f>
        <v/>
      </c>
      <c r="BN18" s="190">
        <f>COUNTIF($E18:$AB18,BN$4)</f>
        <v/>
      </c>
      <c r="BO18" s="190">
        <f>COUNTIF($E18:$AB18,BO$4)</f>
        <v/>
      </c>
      <c r="BP18" s="190">
        <f>COUNTIF($E18:$AB18,BP$4)</f>
        <v/>
      </c>
      <c r="BQ18" s="190" t="n"/>
    </row>
    <row r="19" ht="53.25" customHeight="1">
      <c r="A19" s="184" t="n"/>
      <c r="B19" s="186" t="inlineStr">
        <is>
          <t>CFC MARK WU</t>
        </is>
      </c>
      <c r="C19" s="186" t="n"/>
      <c r="D19" s="53" t="n"/>
      <c r="E19" s="53" t="n"/>
      <c r="F19" s="53" t="n"/>
      <c r="G19" s="53" t="inlineStr">
        <is>
          <t>QINGMING</t>
        </is>
      </c>
      <c r="H19" s="53" t="inlineStr">
        <is>
          <t>QINGMING</t>
        </is>
      </c>
      <c r="I19" s="53" t="n"/>
      <c r="J19" s="53" t="n"/>
      <c r="K19" s="53" t="n"/>
      <c r="L19" s="53" t="inlineStr">
        <is>
          <t>COMPONENT TRAINING</t>
        </is>
      </c>
      <c r="M19" s="53" t="n"/>
      <c r="N19" s="53" t="n"/>
      <c r="O19" s="53" t="inlineStr">
        <is>
          <t>CS1</t>
        </is>
      </c>
      <c r="P19" s="53" t="inlineStr">
        <is>
          <t>MSP REHEARSAL</t>
        </is>
      </c>
      <c r="Q19" s="53" t="inlineStr">
        <is>
          <t>MSP REHEARSAL</t>
        </is>
      </c>
      <c r="R19" s="53" t="n"/>
      <c r="S19" s="53" t="inlineStr">
        <is>
          <t>CS1</t>
        </is>
      </c>
      <c r="T19" s="53" t="inlineStr">
        <is>
          <t>MSP</t>
        </is>
      </c>
      <c r="U19" s="53" t="n"/>
      <c r="V19" s="53" t="n"/>
      <c r="W19" s="53" t="inlineStr">
        <is>
          <t>S $PM CC (1530-1830)</t>
        </is>
      </c>
      <c r="X19" s="53" t="n"/>
      <c r="Y19" s="53" t="n"/>
      <c r="Z19" s="53" t="n"/>
      <c r="AA19" s="53" t="n"/>
      <c r="AB19" s="53" t="n"/>
      <c r="AC19" s="53" t="inlineStr">
        <is>
          <t>SISTER BIRTHDAY</t>
        </is>
      </c>
      <c r="AD19" s="53" t="n"/>
      <c r="AE19" s="53" t="n"/>
      <c r="AF19" s="53" t="inlineStr">
        <is>
          <t>DM</t>
        </is>
      </c>
      <c r="AG19" s="53" t="n"/>
      <c r="AH19" s="188">
        <f>COUNTIF($D19:$AG19,AH$4)</f>
        <v/>
      </c>
      <c r="AI19" s="188">
        <f>COUNTIF($D19:$AG19,AI$4)</f>
        <v/>
      </c>
      <c r="AJ19" s="188">
        <f>COUNTIF($D19:$AG19,AJ$4)</f>
        <v/>
      </c>
      <c r="AK19" s="188">
        <f>COUNTIF($D19:$AG19,AK$4)</f>
        <v/>
      </c>
      <c r="AL19" s="188">
        <f>COUNTIF($D19:$AG19,AL$4)</f>
        <v/>
      </c>
      <c r="AM19" s="188">
        <f>COUNTIF($D19:$AG19,AM$4)</f>
        <v/>
      </c>
      <c r="AN19" s="188">
        <f>COUNTIF($D19:$AG19,AN$4)</f>
        <v/>
      </c>
      <c r="AO19" s="188">
        <f>COUNTIF($D19:$AG19,AO$4)</f>
        <v/>
      </c>
      <c r="AP19" s="188">
        <f>COUNTIF($D19:$AG19,AP$4)</f>
        <v/>
      </c>
      <c r="AQ19" s="189" t="n"/>
      <c r="AR19" s="189" t="n">
        <v>2</v>
      </c>
      <c r="AS19" s="190">
        <f>SUMPRODUCT(--(WEEKDAY(D$3:AG$3,2)&lt;5),--ISNUMBER(MATCH(D19:AG19,{"DM","CS1","CS2","SB1","AE","CS/B"},0)))</f>
        <v/>
      </c>
      <c r="AT19" s="190" t="n"/>
      <c r="AU19" s="190">
        <f>SUMPRODUCT(--(WEEKDAY(D$3:AG$3,2)=5),--ISNUMBER(MATCH(D19:AG19,{"DM","CS1","CS2","SB1","AE","CS/B","WEEKEND OUTFIELD RESERVE"},0)))</f>
        <v/>
      </c>
      <c r="AV19" s="190">
        <f>SUMPRODUCT(--(WEEKDAY(D$3:AG$3,2)&gt;5),--ISNUMBER(MATCH(D19:AG19,{"DM","CS1","CS2","SB1","AE","CS/B","WEEKEND OUTFIELD RESERVE"},0)))</f>
        <v/>
      </c>
      <c r="AW19" s="190" t="n"/>
      <c r="AX19" s="190">
        <f>(AS19-AT19)+AU19*1.5+(AV19-AW19)*2+AM19*0.5+AO19*0.5+AQ19-AR19</f>
        <v/>
      </c>
      <c r="AY19" s="190">
        <f>AS19+AU19+AV19</f>
        <v/>
      </c>
      <c r="AZ19" s="190">
        <f>BD19+BF19+BH19+BJ19+BL19</f>
        <v/>
      </c>
      <c r="BA19" s="189">
        <f>AX19+BC19</f>
        <v/>
      </c>
      <c r="BB19" s="189">
        <f>(BA19-8.5)</f>
        <v/>
      </c>
      <c r="BC19" s="190">
        <f>BE19+BG19+BI19+BK19+BM19</f>
        <v/>
      </c>
      <c r="BD19" s="190">
        <f>COUNTIF(A19:AH19,"*$BTP*")</f>
        <v/>
      </c>
      <c r="BE19" s="190">
        <f>BD19*1.5</f>
        <v/>
      </c>
      <c r="BF19" s="190">
        <f>COUNTIF(A19:AH19,"*$M*")</f>
        <v/>
      </c>
      <c r="BG19" s="190">
        <f>BF19*1</f>
        <v/>
      </c>
      <c r="BH19" s="190">
        <f>COUNTIF(A19:AH19,"*$PM*")</f>
        <v/>
      </c>
      <c r="BI19" s="190">
        <f>BH19*0.5</f>
        <v/>
      </c>
      <c r="BJ19" s="190">
        <f>COUNTIF(A19:AH19,"*$AM*")</f>
        <v/>
      </c>
      <c r="BK19" s="190">
        <f>BJ19*0.5</f>
        <v/>
      </c>
      <c r="BL19" s="190">
        <f>COUNTIF(A19:AH19,"*$FC*")</f>
        <v/>
      </c>
      <c r="BM19" s="190">
        <f>BL19*1</f>
        <v/>
      </c>
      <c r="BN19" s="190">
        <f>COUNTIF($E19:$AB19,BN$4)</f>
        <v/>
      </c>
      <c r="BO19" s="190">
        <f>COUNTIF($E19:$AB19,BO$4)</f>
        <v/>
      </c>
      <c r="BP19" s="190">
        <f>COUNTIF($E19:$AB19,BP$4)</f>
        <v/>
      </c>
      <c r="BQ19" s="190" t="n"/>
    </row>
    <row r="20" ht="51" customHeight="1">
      <c r="A20" s="184" t="n"/>
      <c r="B20" s="186" t="inlineStr">
        <is>
          <t>CPL HO SHENGHUI HAYDEN</t>
        </is>
      </c>
      <c r="C20" s="186" t="n"/>
      <c r="D20" s="75" t="n"/>
      <c r="E20" s="75" t="n"/>
      <c r="F20" s="53" t="n"/>
      <c r="G20" s="53" t="inlineStr">
        <is>
          <t>DM</t>
        </is>
      </c>
      <c r="H20" s="53" t="n"/>
      <c r="I20" s="53" t="n"/>
      <c r="J20" s="53" t="n"/>
      <c r="K20" s="53" t="inlineStr">
        <is>
          <t>DM</t>
        </is>
      </c>
      <c r="L20" s="53" t="inlineStr">
        <is>
          <t>COMPONENT TRAINING</t>
        </is>
      </c>
      <c r="M20" s="53" t="inlineStr">
        <is>
          <t>OL</t>
        </is>
      </c>
      <c r="N20" s="53" t="n"/>
      <c r="O20" s="53" t="n"/>
      <c r="P20" s="53" t="inlineStr">
        <is>
          <t>MSP REHEARSAL</t>
        </is>
      </c>
      <c r="Q20" s="53" t="inlineStr">
        <is>
          <t>MSP REHEARSAL</t>
        </is>
      </c>
      <c r="R20" s="96" t="inlineStr">
        <is>
          <t>DM</t>
        </is>
      </c>
      <c r="S20" s="53" t="n"/>
      <c r="T20" s="53" t="inlineStr">
        <is>
          <t>MSP</t>
        </is>
      </c>
      <c r="U20" s="53" t="n"/>
      <c r="V20" s="53" t="n"/>
      <c r="W20" s="53" t="inlineStr">
        <is>
          <t>R $PM CC (1530-1830)</t>
        </is>
      </c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inlineStr">
        <is>
          <t>OWADIO</t>
        </is>
      </c>
      <c r="AH20" s="188">
        <f>COUNTIF($D20:$AG20,AH$4)</f>
        <v/>
      </c>
      <c r="AI20" s="188">
        <f>COUNTIF($D20:$AG20,AI$4)</f>
        <v/>
      </c>
      <c r="AJ20" s="188">
        <f>COUNTIF($D20:$AG20,AJ$4)</f>
        <v/>
      </c>
      <c r="AK20" s="188">
        <f>COUNTIF($D20:$AG20,AK$4)</f>
        <v/>
      </c>
      <c r="AL20" s="188">
        <f>COUNTIF($D20:$AG20,AL$4)</f>
        <v/>
      </c>
      <c r="AM20" s="188">
        <f>COUNTIF($D20:$AG20,AM$4)</f>
        <v/>
      </c>
      <c r="AN20" s="188">
        <f>COUNTIF($D20:$AG20,AN$4)</f>
        <v/>
      </c>
      <c r="AO20" s="188">
        <f>COUNTIF($D20:$AG20,AO$4)</f>
        <v/>
      </c>
      <c r="AP20" s="188">
        <f>COUNTIF($D20:$AG20,AP$4)</f>
        <v/>
      </c>
      <c r="AQ20" s="189" t="n">
        <v>0.5</v>
      </c>
      <c r="AR20" s="189" t="n"/>
      <c r="AS20" s="190">
        <f>SUMPRODUCT(--(WEEKDAY(D$3:AG$3,2)&lt;5),--ISNUMBER(MATCH(D20:AG20,{"DM","CS1","CS2","SB1","AE","CS/B"},0)))</f>
        <v/>
      </c>
      <c r="AT20" s="190" t="n"/>
      <c r="AU20" s="190">
        <f>SUMPRODUCT(--(WEEKDAY(D$3:AG$3,2)=5),--ISNUMBER(MATCH(D20:AG20,{"DM","CS1","CS2","SB1","AE","CS/B","WEEKEND OUTFIELD RESERVE"},0)))</f>
        <v/>
      </c>
      <c r="AV20" s="190">
        <f>SUMPRODUCT(--(WEEKDAY(D$3:AG$3,2)&gt;5),--ISNUMBER(MATCH(D20:AG20,{"DM","CS1","CS2","SB1","AE","CS/B","WEEKEND OUTFIELD RESERVE"},0)))</f>
        <v/>
      </c>
      <c r="AW20" s="190" t="n"/>
      <c r="AX20" s="190">
        <f>(AS20-AT20)+AU20*1.5+(AV20-AW20)*2+AM20*0.5+AO20*0.5+AQ20-AR20</f>
        <v/>
      </c>
      <c r="AY20" s="190">
        <f>AS20+AU20+AV20</f>
        <v/>
      </c>
      <c r="AZ20" s="190">
        <f>BD20+BF20+BH20+BJ20+BL20</f>
        <v/>
      </c>
      <c r="BA20" s="189">
        <f>AX20+BC20</f>
        <v/>
      </c>
      <c r="BB20" s="189">
        <f>(BA20-8.5)</f>
        <v/>
      </c>
      <c r="BC20" s="190">
        <f>BE20+BG20+BI20+BK20+BM20</f>
        <v/>
      </c>
      <c r="BD20" s="190">
        <f>COUNTIF(A20:AH20,"*$BTP*")</f>
        <v/>
      </c>
      <c r="BE20" s="190">
        <f>BD20*1.5</f>
        <v/>
      </c>
      <c r="BF20" s="190">
        <f>COUNTIF(A20:AH20,"*$M*")</f>
        <v/>
      </c>
      <c r="BG20" s="190">
        <f>BF20*1</f>
        <v/>
      </c>
      <c r="BH20" s="190">
        <f>COUNTIF(A20:AH20,"*$PM*")</f>
        <v/>
      </c>
      <c r="BI20" s="190">
        <f>BH20*0.5</f>
        <v/>
      </c>
      <c r="BJ20" s="190">
        <f>COUNTIF(A20:AH20,"*$AM*")</f>
        <v/>
      </c>
      <c r="BK20" s="190">
        <f>BJ20*0.5</f>
        <v/>
      </c>
      <c r="BL20" s="190">
        <f>COUNTIF(A20:AH20,"*$FC*")</f>
        <v/>
      </c>
      <c r="BM20" s="190">
        <f>BL20*1</f>
        <v/>
      </c>
      <c r="BN20" s="190">
        <f>COUNTIF($E20:$AB20,BN$4)</f>
        <v/>
      </c>
      <c r="BO20" s="190">
        <f>COUNTIF($E20:$AB20,BO$4)</f>
        <v/>
      </c>
      <c r="BP20" s="190">
        <f>COUNTIF($E20:$AB20,BP$4)</f>
        <v/>
      </c>
      <c r="BQ20" s="190" t="n"/>
    </row>
    <row r="21" ht="68.25" customHeight="1">
      <c r="A21" s="184" t="n"/>
      <c r="B21" s="186" t="inlineStr">
        <is>
          <t>CFC DERRICK CHIN</t>
        </is>
      </c>
      <c r="C21" s="186" t="n"/>
      <c r="D21" s="137" t="n"/>
      <c r="E21" s="137" t="n"/>
      <c r="F21" s="53" t="inlineStr">
        <is>
          <t>DM</t>
        </is>
      </c>
      <c r="G21" s="53" t="n"/>
      <c r="H21" s="53" t="n"/>
      <c r="I21" s="53" t="n"/>
      <c r="J21" s="53" t="inlineStr">
        <is>
          <t>CS2</t>
        </is>
      </c>
      <c r="K21" s="53" t="n"/>
      <c r="L21" s="53" t="n"/>
      <c r="M21" s="53" t="inlineStr">
        <is>
          <t>OL</t>
        </is>
      </c>
      <c r="N21" s="53" t="inlineStr">
        <is>
          <t>DM</t>
        </is>
      </c>
      <c r="O21" s="53" t="n"/>
      <c r="P21" s="53" t="inlineStr">
        <is>
          <t>DM</t>
        </is>
      </c>
      <c r="Q21" s="53" t="n"/>
      <c r="R21" s="53" t="n"/>
      <c r="S21" s="53" t="inlineStr">
        <is>
          <t>D $M HG (0500-2000)</t>
        </is>
      </c>
      <c r="T21" s="53" t="n"/>
      <c r="U21" s="53" t="n"/>
      <c r="V21" s="53" t="n"/>
      <c r="W21" s="53" t="inlineStr">
        <is>
          <t>PM MA</t>
        </is>
      </c>
      <c r="X21" s="53" t="inlineStr">
        <is>
          <t>RESERVE</t>
        </is>
      </c>
      <c r="Y21" s="53" t="n"/>
      <c r="Z21" s="53" t="inlineStr">
        <is>
          <t>DM</t>
        </is>
      </c>
      <c r="AA21" s="136" t="n"/>
      <c r="AB21" s="53" t="n"/>
      <c r="AC21" s="53" t="inlineStr">
        <is>
          <t>RESERVE</t>
        </is>
      </c>
      <c r="AD21" s="53" t="n"/>
      <c r="AF21" s="53" t="n"/>
      <c r="AG21" s="53" t="inlineStr">
        <is>
          <t>PM MA</t>
        </is>
      </c>
      <c r="AH21" s="188">
        <f>COUNTIF($D21:$AG21,AH$4)</f>
        <v/>
      </c>
      <c r="AI21" s="188">
        <f>COUNTIF($D21:$AG21,AI$4)</f>
        <v/>
      </c>
      <c r="AJ21" s="188">
        <f>COUNTIF($D21:$AG21,AJ$4)</f>
        <v/>
      </c>
      <c r="AK21" s="188">
        <f>COUNTIF($D21:$AG21,AK$4)</f>
        <v/>
      </c>
      <c r="AL21" s="188">
        <f>COUNTIF($D21:$AG21,AL$4)</f>
        <v/>
      </c>
      <c r="AM21" s="188">
        <f>COUNTIF($D21:$AG21,AM$4)</f>
        <v/>
      </c>
      <c r="AN21" s="188">
        <f>COUNTIF($D21:$AG21,AN$4)</f>
        <v/>
      </c>
      <c r="AO21" s="188">
        <f>COUNTIF($D21:$AG21,AO$4)</f>
        <v/>
      </c>
      <c r="AP21" s="188">
        <f>COUNTIF($D21:$AG21,AP$4)</f>
        <v/>
      </c>
      <c r="AQ21" s="189" t="n"/>
      <c r="AR21" s="189" t="n">
        <v>0.5</v>
      </c>
      <c r="AS21" s="190">
        <f>SUMPRODUCT(--(WEEKDAY(D$3:AG$3,2)&lt;5),--ISNUMBER(MATCH(D21:AG21,{"DM","CS1","CS2","SB1","AE","CS/B"},0)))</f>
        <v/>
      </c>
      <c r="AT21" s="190" t="n"/>
      <c r="AU21" s="190">
        <f>SUMPRODUCT(--(WEEKDAY(D$3:AG$3,2)=5),--ISNUMBER(MATCH(D21:AG21,{"DM","CS1","CS2","SB1","AE","CS/B","WEEKEND OUTFIELD RESERVE"},0)))</f>
        <v/>
      </c>
      <c r="AV21" s="190">
        <f>SUMPRODUCT(--(WEEKDAY(D$3:AG$3,2)&gt;5),--ISNUMBER(MATCH(D21:AG21,{"DM","CS1","CS2","SB1","AE","CS/B","WEEKEND OUTFIELD RESERVE"},0)))</f>
        <v/>
      </c>
      <c r="AW21" s="190" t="n"/>
      <c r="AX21" s="190">
        <f>(AS21-AT21)+AU21*1.5+(AV21-AW21)*2+AM21*0.5+AO21*0.5+AQ21-AR21</f>
        <v/>
      </c>
      <c r="AY21" s="190">
        <f>AS21+AU21+AV21</f>
        <v/>
      </c>
      <c r="AZ21" s="190">
        <f>BD21+BF21+BH21+BJ21+BL21</f>
        <v/>
      </c>
      <c r="BA21" s="189">
        <f>AX21+BC21</f>
        <v/>
      </c>
      <c r="BB21" s="189">
        <f>(BA21-8.5)</f>
        <v/>
      </c>
      <c r="BC21" s="190">
        <f>BE21+BG21+BI21+BK21+BM21</f>
        <v/>
      </c>
      <c r="BD21" s="190">
        <f>COUNTIF(A21:AH21,"*$BTP*")</f>
        <v/>
      </c>
      <c r="BE21" s="190">
        <f>BD21*1.5</f>
        <v/>
      </c>
      <c r="BF21" s="190">
        <f>COUNTIF(A21:AH21,"*$M*")</f>
        <v/>
      </c>
      <c r="BG21" s="190">
        <f>BF21*1</f>
        <v/>
      </c>
      <c r="BH21" s="190">
        <f>COUNTIF(A21:AH21,"*$PM*")</f>
        <v/>
      </c>
      <c r="BI21" s="190">
        <f>BH21*0.5</f>
        <v/>
      </c>
      <c r="BJ21" s="190">
        <f>COUNTIF(A21:AH21,"*$AM*")</f>
        <v/>
      </c>
      <c r="BK21" s="190">
        <f>BJ21*0.5</f>
        <v/>
      </c>
      <c r="BL21" s="190">
        <f>COUNTIF(A21:AH21,"*$FC*")</f>
        <v/>
      </c>
      <c r="BM21" s="190">
        <f>BL21*1</f>
        <v/>
      </c>
      <c r="BN21" s="190">
        <f>COUNTIF($E21:$AB21,BN$4)</f>
        <v/>
      </c>
      <c r="BO21" s="190">
        <f>COUNTIF($E21:$AB21,BO$4)</f>
        <v/>
      </c>
      <c r="BP21" s="190">
        <f>COUNTIF($E21:$AB21,BP$4)</f>
        <v/>
      </c>
      <c r="BQ21" s="190" t="n"/>
    </row>
    <row r="22" ht="19.5" customHeight="1">
      <c r="A22" s="184" t="n"/>
      <c r="B22" s="186" t="inlineStr">
        <is>
          <t>CPL ASHWIN GUNASEKERAN</t>
        </is>
      </c>
      <c r="C22" s="186" t="n"/>
      <c r="D22" s="75" t="inlineStr">
        <is>
          <t>DM</t>
        </is>
      </c>
      <c r="E22" s="185" t="n"/>
      <c r="F22" s="53" t="n"/>
      <c r="G22" s="53" t="inlineStr">
        <is>
          <t>CS2</t>
        </is>
      </c>
      <c r="H22" s="53" t="n"/>
      <c r="I22" s="53" t="inlineStr">
        <is>
          <t>DM</t>
        </is>
      </c>
      <c r="J22" s="53" t="n"/>
      <c r="K22" s="53" t="n"/>
      <c r="L22" s="53" t="inlineStr">
        <is>
          <t>COMPONENT TRAINING</t>
        </is>
      </c>
      <c r="M22" s="53" t="n"/>
      <c r="N22" s="53" t="n"/>
      <c r="O22" s="53" t="n"/>
      <c r="P22" s="53" t="inlineStr">
        <is>
          <t>MSP REHEARSAL</t>
        </is>
      </c>
      <c r="Q22" s="53" t="inlineStr">
        <is>
          <t>MSP REHEARSAL</t>
        </is>
      </c>
      <c r="R22" s="53" t="n"/>
      <c r="S22" s="53" t="inlineStr">
        <is>
          <t>T $PM IPPT (1530-1830)</t>
        </is>
      </c>
      <c r="T22" s="53" t="inlineStr">
        <is>
          <t>MSP</t>
        </is>
      </c>
      <c r="U22" s="53" t="n"/>
      <c r="V22" s="53" t="n"/>
      <c r="W22" s="53" t="inlineStr">
        <is>
          <t>OL</t>
        </is>
      </c>
      <c r="X22" s="53" t="n"/>
      <c r="Y22" s="53" t="n"/>
      <c r="Z22" s="53" t="n"/>
      <c r="AA22" s="53" t="inlineStr">
        <is>
          <t>OL</t>
        </is>
      </c>
      <c r="AB22" s="53" t="n"/>
      <c r="AC22" s="53" t="n"/>
      <c r="AD22" s="53" t="inlineStr">
        <is>
          <t>OL</t>
        </is>
      </c>
      <c r="AE22" s="53" t="n"/>
      <c r="AF22" s="53" t="n"/>
      <c r="AG22" s="53" t="inlineStr">
        <is>
          <t>OWADIO</t>
        </is>
      </c>
      <c r="AH22" s="188">
        <f>COUNTIF($D22:$AG22,AH$4)</f>
        <v/>
      </c>
      <c r="AI22" s="188">
        <f>COUNTIF($D22:$AG22,AI$4)</f>
        <v/>
      </c>
      <c r="AJ22" s="188">
        <f>COUNTIF($D22:$AG22,AJ$4)</f>
        <v/>
      </c>
      <c r="AK22" s="188">
        <f>COUNTIF($D22:$AG22,AK$4)</f>
        <v/>
      </c>
      <c r="AL22" s="188">
        <f>COUNTIF($D22:$AG22,AL$4)</f>
        <v/>
      </c>
      <c r="AM22" s="188">
        <f>COUNTIF($D22:$AG22,AM$4)</f>
        <v/>
      </c>
      <c r="AN22" s="188">
        <f>COUNTIF($D22:$AG22,AN$4)</f>
        <v/>
      </c>
      <c r="AO22" s="188">
        <f>COUNTIF($D22:$AG22,AO$4)</f>
        <v/>
      </c>
      <c r="AP22" s="188">
        <f>COUNTIF($D22:$AG22,AP$4)</f>
        <v/>
      </c>
      <c r="AQ22" s="189" t="n"/>
      <c r="AR22" s="189" t="n">
        <v>2</v>
      </c>
      <c r="AS22" s="190">
        <f>SUMPRODUCT(--(WEEKDAY(D$3:AG$3,2)&lt;5),--ISNUMBER(MATCH(D22:AG22,{"DM","CS1","CS2","SB1","AE","CS/B"},0)))</f>
        <v/>
      </c>
      <c r="AT22" s="190" t="n"/>
      <c r="AU22" s="190">
        <f>SUMPRODUCT(--(WEEKDAY(D$3:AG$3,2)=5),--ISNUMBER(MATCH(D22:AG22,{"DM","CS1","CS2","SB1","AE","CS/B","WEEKEND OUTFIELD RESERVE"},0)))</f>
        <v/>
      </c>
      <c r="AV22" s="190">
        <f>SUMPRODUCT(--(WEEKDAY(D$3:AG$3,2)&gt;5),--ISNUMBER(MATCH(D22:AG22,{"DM","CS1","CS2","SB1","AE","CS/B","WEEKEND OUTFIELD RESERVE"},0)))</f>
        <v/>
      </c>
      <c r="AW22" s="190" t="n"/>
      <c r="AX22" s="190">
        <f>(AS22-AT22)+AU22*1.5+(AV22-AW22)*2+AM22*0.5+AO22*0.5+AQ22-AR22</f>
        <v/>
      </c>
      <c r="AY22" s="190">
        <f>AS22+AU22+AV22</f>
        <v/>
      </c>
      <c r="AZ22" s="190">
        <f>BD22+BF22+BH22+BJ22+BL22</f>
        <v/>
      </c>
      <c r="BA22" s="189">
        <f>AX22+BC22</f>
        <v/>
      </c>
      <c r="BB22" s="189">
        <f>(BA22-8.5)</f>
        <v/>
      </c>
      <c r="BC22" s="190">
        <f>BE22+BG22+BI22+BK22+BM22</f>
        <v/>
      </c>
      <c r="BD22" s="190">
        <f>COUNTIF(A22:AH22,"*$BTP*")</f>
        <v/>
      </c>
      <c r="BE22" s="190">
        <f>BD22*1.5</f>
        <v/>
      </c>
      <c r="BF22" s="190">
        <f>COUNTIF(A22:AH22,"*$M*")</f>
        <v/>
      </c>
      <c r="BG22" s="190">
        <f>BF22*1</f>
        <v/>
      </c>
      <c r="BH22" s="190">
        <f>COUNTIF(A22:AH22,"*$PM*")</f>
        <v/>
      </c>
      <c r="BI22" s="190">
        <f>BH22*0.5</f>
        <v/>
      </c>
      <c r="BJ22" s="190">
        <f>COUNTIF(A22:AH22,"*$AM*")</f>
        <v/>
      </c>
      <c r="BK22" s="190">
        <f>BJ22*0.5</f>
        <v/>
      </c>
      <c r="BL22" s="190">
        <f>COUNTIF(A22:AH22,"*$FC*")</f>
        <v/>
      </c>
      <c r="BM22" s="190">
        <f>BL22*1</f>
        <v/>
      </c>
      <c r="BN22" s="190">
        <f>COUNTIF($E22:$AB22,BN$4)</f>
        <v/>
      </c>
      <c r="BO22" s="190">
        <f>COUNTIF($E22:$AB22,BO$4)</f>
        <v/>
      </c>
      <c r="BP22" s="190">
        <f>COUNTIF($E22:$AB22,BP$4)</f>
        <v/>
      </c>
      <c r="BQ22" s="190" t="n"/>
    </row>
    <row r="23" ht="48" customHeight="1">
      <c r="A23" s="184" t="n"/>
      <c r="B23" s="186" t="inlineStr">
        <is>
          <t xml:space="preserve">LCP KUEH YAN SHENG </t>
        </is>
      </c>
      <c r="C23" s="186">
        <f>COUNTIF(D23:AG23,"DM")</f>
        <v/>
      </c>
      <c r="D23" s="137" t="n"/>
      <c r="E23" s="137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188">
        <f>COUNTIF($D23:$AG23,AH$4)</f>
        <v/>
      </c>
      <c r="AI23" s="188">
        <f>COUNTIF($D23:$AG23,AI$4)</f>
        <v/>
      </c>
      <c r="AJ23" s="188">
        <f>COUNTIF($D23:$AG23,AJ$4)</f>
        <v/>
      </c>
      <c r="AK23" s="188">
        <f>COUNTIF($D23:$AG23,AK$4)</f>
        <v/>
      </c>
      <c r="AL23" s="188">
        <f>COUNTIF($D23:$AG23,AL$4)</f>
        <v/>
      </c>
      <c r="AM23" s="188">
        <f>COUNTIF($D23:$AG23,AM$4)</f>
        <v/>
      </c>
      <c r="AN23" s="188">
        <f>COUNTIF($D23:$AG23,AN$4)</f>
        <v/>
      </c>
      <c r="AO23" s="188">
        <f>COUNTIF($D23:$AG23,AO$4)</f>
        <v/>
      </c>
      <c r="AP23" s="188">
        <f>COUNTIF($D23:$AG23,AP$4)</f>
        <v/>
      </c>
      <c r="AQ23" s="189" t="n"/>
      <c r="AR23" s="189" t="n">
        <v>9</v>
      </c>
      <c r="AS23" s="190">
        <f>SUMPRODUCT(--(WEEKDAY(D$3:AG$3,2)&lt;5),--ISNUMBER(MATCH(D23:AG23,{"DM","CS1","CS2","SB1","AE","CS/B"},0)))</f>
        <v/>
      </c>
      <c r="AT23" s="190" t="n"/>
      <c r="AU23" s="190">
        <f>SUMPRODUCT(--(WEEKDAY(D$3:AG$3,2)=5),--ISNUMBER(MATCH(D23:AG23,{"DM","CS1","CS2","SB1","AE","CS/B","WEEKEND OUTFIELD RESERVE"},0)))</f>
        <v/>
      </c>
      <c r="AV23" s="190">
        <f>SUMPRODUCT(--(WEEKDAY(D$3:AG$3,2)&gt;5),--ISNUMBER(MATCH(D23:AG23,{"DM","CS1","CS2","SB1","AE","CS/B","WEEKEND OUTFIELD RESERVE"},0)))</f>
        <v/>
      </c>
      <c r="AW23" s="190" t="n"/>
      <c r="AX23" s="190">
        <f>(AS23-AT23)+AU23*1.5+(AV23-AW23)*2+AM23*0.5+AO23*0.5+AQ23-AR23</f>
        <v/>
      </c>
      <c r="AY23" s="190">
        <f>AS23+AU23+AV23</f>
        <v/>
      </c>
      <c r="AZ23" s="190">
        <f>BD23+BF23+BH23+BJ23+BL23</f>
        <v/>
      </c>
      <c r="BA23" s="189">
        <f>AX23+BC23</f>
        <v/>
      </c>
      <c r="BB23" s="189">
        <f>(BA23-8.5)</f>
        <v/>
      </c>
      <c r="BC23" s="190">
        <f>BE23+BG23+BI23+BK23+BM23</f>
        <v/>
      </c>
      <c r="BD23" s="190">
        <f>COUNTIF(A23:AH23,"*$BTP*")</f>
        <v/>
      </c>
      <c r="BE23" s="190">
        <f>BD23*1.5</f>
        <v/>
      </c>
      <c r="BF23" s="190">
        <f>COUNTIF(A23:AH23,"*$M*")</f>
        <v/>
      </c>
      <c r="BG23" s="190">
        <f>BF23*1</f>
        <v/>
      </c>
      <c r="BH23" s="190">
        <f>COUNTIF(A23:AH23,"*$PM*")</f>
        <v/>
      </c>
      <c r="BI23" s="190">
        <f>BH23*0.5</f>
        <v/>
      </c>
      <c r="BJ23" s="190">
        <f>COUNTIF(A23:AH23,"*$AM*")</f>
        <v/>
      </c>
      <c r="BK23" s="190">
        <f>BJ23*0.5</f>
        <v/>
      </c>
      <c r="BL23" s="190">
        <f>COUNTIF(A23:AH23,"*$FC*")</f>
        <v/>
      </c>
      <c r="BM23" s="190">
        <f>BL23*1</f>
        <v/>
      </c>
      <c r="BN23" s="190">
        <f>COUNTIF($E23:$AB23,BN$4)</f>
        <v/>
      </c>
      <c r="BO23" s="190">
        <f>COUNTIF($E23:$AB23,BO$4)</f>
        <v/>
      </c>
      <c r="BP23" s="190">
        <f>COUNTIF($E23:$AB23,BP$4)</f>
        <v/>
      </c>
      <c r="BQ23" s="190" t="n"/>
    </row>
    <row r="24" ht="48.75" customHeight="1">
      <c r="A24" s="184" t="n"/>
      <c r="B24" s="186" t="inlineStr">
        <is>
          <t>LCP MUHAMMAD YASIR BIN MUHAMMAD HIJAZ</t>
        </is>
      </c>
      <c r="C24" s="186" t="n"/>
      <c r="D24" s="75" t="n"/>
      <c r="E24" s="75" t="inlineStr">
        <is>
          <t>SB2</t>
        </is>
      </c>
      <c r="F24" s="53" t="n"/>
      <c r="G24" s="53" t="inlineStr">
        <is>
          <t>CS1</t>
        </is>
      </c>
      <c r="H24" s="53" t="n"/>
      <c r="I24" s="53" t="n"/>
      <c r="J24" s="53" t="n"/>
      <c r="K24" s="53" t="inlineStr">
        <is>
          <t>J $M HG (0515-2000)</t>
        </is>
      </c>
      <c r="L24" s="53" t="n"/>
      <c r="M24" s="53" t="n"/>
      <c r="N24" s="53" t="n"/>
      <c r="O24" s="53" t="n"/>
      <c r="P24" s="53" t="inlineStr">
        <is>
          <t>CS1</t>
        </is>
      </c>
      <c r="Q24" s="53" t="n"/>
      <c r="R24" s="53" t="n"/>
      <c r="S24" s="53" t="inlineStr">
        <is>
          <t>S $BTP (0500-2359)</t>
        </is>
      </c>
      <c r="T24" s="53" t="n"/>
      <c r="U24" s="53" t="n"/>
      <c r="V24" s="53" t="n"/>
      <c r="W24" s="53" t="inlineStr">
        <is>
          <t>RESERVE</t>
        </is>
      </c>
      <c r="X24" s="53" t="n"/>
      <c r="Y24" s="53" t="n"/>
      <c r="Z24" s="53" t="n"/>
      <c r="AA24" s="53" t="inlineStr">
        <is>
          <t>CS1</t>
        </is>
      </c>
      <c r="AB24" s="53" t="n"/>
      <c r="AC24" s="53" t="n"/>
      <c r="AD24" s="53" t="inlineStr">
        <is>
          <t>F $AM ER (0600-1100)</t>
        </is>
      </c>
      <c r="AE24" s="53" t="n"/>
      <c r="AF24" s="53" t="inlineStr">
        <is>
          <t>COVER RESERVE</t>
        </is>
      </c>
      <c r="AG24" s="53" t="inlineStr">
        <is>
          <t>SB2</t>
        </is>
      </c>
      <c r="AH24" s="188">
        <f>COUNTIF($D24:$AG24,AH$4)</f>
        <v/>
      </c>
      <c r="AI24" s="188">
        <f>COUNTIF($D24:$AG24,AI$4)</f>
        <v/>
      </c>
      <c r="AJ24" s="188">
        <f>COUNTIF($D24:$AG24,AJ$4)</f>
        <v/>
      </c>
      <c r="AK24" s="188">
        <f>COUNTIF($D24:$AG24,AK$4)</f>
        <v/>
      </c>
      <c r="AL24" s="188">
        <f>COUNTIF($D24:$AG24,AL$4)</f>
        <v/>
      </c>
      <c r="AM24" s="188">
        <f>COUNTIF($D24:$AG24,AM$4)</f>
        <v/>
      </c>
      <c r="AN24" s="188">
        <f>COUNTIF($D24:$AG24,AN$4)</f>
        <v/>
      </c>
      <c r="AO24" s="188">
        <f>COUNTIF($D24:$AG24,AO$4)</f>
        <v/>
      </c>
      <c r="AP24" s="188">
        <f>COUNTIF($D24:$AG24,AP$4)</f>
        <v/>
      </c>
      <c r="AQ24" s="189" t="n"/>
      <c r="AR24" s="189" t="n">
        <v>0.5</v>
      </c>
      <c r="AS24" s="190">
        <f>SUMPRODUCT(--(WEEKDAY(D$3:AG$3,2)&lt;5),--ISNUMBER(MATCH(D24:AG24,{"DM","CS1","CS2","SB1","AE","CS/B"},0)))</f>
        <v/>
      </c>
      <c r="AT24" s="190" t="n"/>
      <c r="AU24" s="190">
        <f>SUMPRODUCT(--(WEEKDAY(D$3:AG$3,2)=5),--ISNUMBER(MATCH(D24:AG24,{"DM","CS1","CS2","SB1","AE","CS/B","WEEKEND OUTFIELD RESERVE"},0)))</f>
        <v/>
      </c>
      <c r="AV24" s="190">
        <f>SUMPRODUCT(--(WEEKDAY(D$3:AG$3,2)&gt;5),--ISNUMBER(MATCH(D24:AG24,{"DM","CS1","CS2","SB1","AE","CS/B","WEEKEND OUTFIELD RESERVE"},0)))</f>
        <v/>
      </c>
      <c r="AW24" s="190" t="n"/>
      <c r="AX24" s="190">
        <f>(AS24-AT24)+AU24*1.5+(AV24-AW24)*2+AM24*0.5+AO24*0.5+AQ24-AR24</f>
        <v/>
      </c>
      <c r="AY24" s="190">
        <f>AS24+AU24+AV24</f>
        <v/>
      </c>
      <c r="AZ24" s="190">
        <f>BD24+BF24+BH24+BJ24+BL24</f>
        <v/>
      </c>
      <c r="BA24" s="189">
        <f>AX24+BC24</f>
        <v/>
      </c>
      <c r="BB24" s="189">
        <f>(BA24-8.5)</f>
        <v/>
      </c>
      <c r="BC24" s="190">
        <f>BE24+BG24+BI24+BK24+BM24</f>
        <v/>
      </c>
      <c r="BD24" s="190">
        <f>COUNTIF(A24:AH24,"*$BTP*")</f>
        <v/>
      </c>
      <c r="BE24" s="190">
        <f>BD24*1.5</f>
        <v/>
      </c>
      <c r="BF24" s="190">
        <f>COUNTIF(A24:AH24,"*$M*")</f>
        <v/>
      </c>
      <c r="BG24" s="190">
        <f>BF24*1</f>
        <v/>
      </c>
      <c r="BH24" s="190">
        <f>COUNTIF(A24:AH24,"*$PM*")</f>
        <v/>
      </c>
      <c r="BI24" s="190">
        <f>BH24*0.5</f>
        <v/>
      </c>
      <c r="BJ24" s="190">
        <f>COUNTIF(A24:AH24,"*$AM*")</f>
        <v/>
      </c>
      <c r="BK24" s="190">
        <f>BJ24*0.5</f>
        <v/>
      </c>
      <c r="BL24" s="190">
        <f>COUNTIF(A24:AH24,"*$FC*")</f>
        <v/>
      </c>
      <c r="BM24" s="190">
        <f>BL24*1</f>
        <v/>
      </c>
      <c r="BN24" s="190">
        <f>COUNTIF($E24:$AB24,BN$4)</f>
        <v/>
      </c>
      <c r="BO24" s="190">
        <f>COUNTIF($E24:$AB24,BO$4)</f>
        <v/>
      </c>
      <c r="BP24" s="190">
        <f>COUNTIF($E24:$AB24,BP$4)</f>
        <v/>
      </c>
      <c r="BQ24" s="190" t="n"/>
    </row>
    <row r="25" ht="19.5" customHeight="1">
      <c r="A25" s="184" t="n"/>
      <c r="B25" s="186" t="inlineStr">
        <is>
          <t>LCP CHYE JING AN MAXIMUS</t>
        </is>
      </c>
      <c r="C25" s="193">
        <f>COUNTIF(D25:AG25,"DM")</f>
        <v/>
      </c>
      <c r="D25" s="75" t="n"/>
      <c r="E25" s="75" t="n"/>
      <c r="F25" s="53" t="n"/>
      <c r="G25" s="53" t="n"/>
      <c r="H25" s="53" t="inlineStr">
        <is>
          <t>RESERVE</t>
        </is>
      </c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inlineStr">
        <is>
          <t>CS2</t>
        </is>
      </c>
      <c r="S25" s="53" t="n"/>
      <c r="T25" s="53" t="inlineStr">
        <is>
          <t>RESERVE</t>
        </is>
      </c>
      <c r="U25" s="53" t="n"/>
      <c r="V25" s="53" t="n"/>
      <c r="W25" s="53" t="inlineStr">
        <is>
          <t>CS/B</t>
        </is>
      </c>
      <c r="X25" s="53" t="n"/>
      <c r="Y25" s="53" t="inlineStr">
        <is>
          <t>E $AM IPPT (0500-1100)</t>
        </is>
      </c>
      <c r="Z25" s="53" t="inlineStr">
        <is>
          <t>DM</t>
        </is>
      </c>
      <c r="AA25" s="53" t="n"/>
      <c r="AB25" s="53" t="inlineStr">
        <is>
          <t>SB1</t>
        </is>
      </c>
      <c r="AC25" s="53" t="n"/>
      <c r="AD25" s="53" t="n"/>
      <c r="AE25" s="53" t="inlineStr">
        <is>
          <t>DM</t>
        </is>
      </c>
      <c r="AF25" s="53" t="n"/>
      <c r="AG25" s="53" t="n"/>
      <c r="AH25" s="188">
        <f>COUNTIF($D25:$AG25,AH$4)</f>
        <v/>
      </c>
      <c r="AI25" s="188">
        <f>COUNTIF($D25:$AG25,AI$4)</f>
        <v/>
      </c>
      <c r="AJ25" s="188">
        <f>COUNTIF($D25:$AG25,AJ$4)</f>
        <v/>
      </c>
      <c r="AK25" s="188">
        <f>COUNTIF($D25:$AG25,AK$4)</f>
        <v/>
      </c>
      <c r="AL25" s="188">
        <f>COUNTIF($D25:$AG25,AL$4)</f>
        <v/>
      </c>
      <c r="AM25" s="188">
        <f>COUNTIF($D25:$AG25,AM$4)</f>
        <v/>
      </c>
      <c r="AN25" s="188">
        <f>COUNTIF($D25:$AG25,AN$4)</f>
        <v/>
      </c>
      <c r="AO25" s="188">
        <f>COUNTIF($D25:$AG25,AO$4)</f>
        <v/>
      </c>
      <c r="AP25" s="188">
        <f>COUNTIF($D25:$AG25,AP$4)</f>
        <v/>
      </c>
      <c r="AQ25" s="189" t="n"/>
      <c r="AR25" s="189" t="n">
        <v>0.5</v>
      </c>
      <c r="AS25" s="190">
        <f>SUMPRODUCT(--(WEEKDAY(D$3:AG$3,2)&lt;5),--ISNUMBER(MATCH(D25:AG25,{"DM","CS1","CS2","SB1","AE","CS/B"},0)))</f>
        <v/>
      </c>
      <c r="AT25" s="194" t="n"/>
      <c r="AU25" s="190">
        <f>SUMPRODUCT(--(WEEKDAY(D$3:AG$3,2)=5),--ISNUMBER(MATCH(D25:AG25,{"DM","CS1","CS2","SB1","AE","CS/B","WEEKEND OUTFIELD RESERVE"},0)))</f>
        <v/>
      </c>
      <c r="AV25" s="190">
        <f>SUMPRODUCT(--(WEEKDAY(D$3:AG$3,2)&gt;5),--ISNUMBER(MATCH(D25:AG25,{"DM","CS1","CS2","SB1","AE","CS/B","WEEKEND OUTFIELD RESERVE"},0)))</f>
        <v/>
      </c>
      <c r="AW25" s="194" t="n"/>
      <c r="AX25" s="190">
        <f>(AS25-AT25)+AU25*1.5+(AV25-AW25)*2+AM25*0.5+AO25*0.5+AQ25-AR25</f>
        <v/>
      </c>
      <c r="AY25" s="190">
        <f>AS25+AU25+AV25</f>
        <v/>
      </c>
      <c r="AZ25" s="190">
        <f>BD25+BF25+BH25+BJ25+BL25</f>
        <v/>
      </c>
      <c r="BA25" s="189">
        <f>AX25+BC25</f>
        <v/>
      </c>
      <c r="BB25" s="189">
        <f>(BA25-8.5)</f>
        <v/>
      </c>
      <c r="BC25" s="190">
        <f>BE25+BG25+BI25+BK25+BM25</f>
        <v/>
      </c>
      <c r="BD25" s="190">
        <f>COUNTIF(A25:AH25,"*$BTP*")</f>
        <v/>
      </c>
      <c r="BE25" s="190">
        <f>BD25*1.5</f>
        <v/>
      </c>
      <c r="BF25" s="190">
        <f>COUNTIF(A25:AH25,"*$M*")</f>
        <v/>
      </c>
      <c r="BG25" s="190">
        <f>BF25*1</f>
        <v/>
      </c>
      <c r="BH25" s="190">
        <f>COUNTIF(A25:AH25,"*$PM*")</f>
        <v/>
      </c>
      <c r="BI25" s="190">
        <f>BH25*0.5</f>
        <v/>
      </c>
      <c r="BJ25" s="190">
        <f>COUNTIF(A25:AH25,"*$AM*")</f>
        <v/>
      </c>
      <c r="BK25" s="190">
        <f>BJ25*0.5</f>
        <v/>
      </c>
      <c r="BL25" s="190">
        <f>COUNTIF(A25:AH25,"*$FC*")</f>
        <v/>
      </c>
      <c r="BM25" s="190">
        <f>BL25*1</f>
        <v/>
      </c>
      <c r="BN25" s="190">
        <f>COUNTIF($E25:$AB25,BN$4)</f>
        <v/>
      </c>
      <c r="BO25" s="190">
        <f>COUNTIF($E25:$AB25,BO$4)</f>
        <v/>
      </c>
      <c r="BP25" s="190">
        <f>COUNTIF($E25:$AB25,BP$4)</f>
        <v/>
      </c>
      <c r="BQ25" s="194" t="n"/>
    </row>
    <row r="26" ht="19.5" customHeight="1">
      <c r="A26" s="184" t="n"/>
      <c r="B26" s="186" t="inlineStr">
        <is>
          <t>LCP TAN JUN YANG KELVIN</t>
        </is>
      </c>
      <c r="C26" s="193">
        <f>COUNTIF(D26:AG26,"DM")</f>
        <v/>
      </c>
      <c r="D26" s="137" t="n"/>
      <c r="E26" s="53" t="n"/>
      <c r="F26" s="53" t="inlineStr">
        <is>
          <t>RESERVE</t>
        </is>
      </c>
      <c r="G26" s="53" t="n"/>
      <c r="H26" s="53" t="n"/>
      <c r="I26" s="53" t="n"/>
      <c r="J26" s="53" t="inlineStr">
        <is>
          <t>DM</t>
        </is>
      </c>
      <c r="K26" s="53" t="n"/>
      <c r="L26" s="53" t="inlineStr">
        <is>
          <t>DM</t>
        </is>
      </c>
      <c r="M26" s="53" t="inlineStr">
        <is>
          <t>SB2</t>
        </is>
      </c>
      <c r="N26" s="53" t="n"/>
      <c r="O26" s="53" t="n"/>
      <c r="P26" s="53" t="inlineStr">
        <is>
          <t xml:space="preserve"> DISPENSE </t>
        </is>
      </c>
      <c r="Q26" s="53" t="inlineStr">
        <is>
          <t>DISPENSE</t>
        </is>
      </c>
      <c r="R26" s="53" t="inlineStr">
        <is>
          <t xml:space="preserve">DISPENSE </t>
        </is>
      </c>
      <c r="S26" s="53" t="inlineStr">
        <is>
          <t>DISPENSE</t>
        </is>
      </c>
      <c r="T26" s="53" t="inlineStr">
        <is>
          <t>DISPENSE</t>
        </is>
      </c>
      <c r="U26" s="53" t="n"/>
      <c r="V26" s="53" t="n"/>
      <c r="W26" s="53" t="inlineStr">
        <is>
          <t>DISPENSE</t>
        </is>
      </c>
      <c r="X26" s="53" t="inlineStr">
        <is>
          <t>DISPENSE</t>
        </is>
      </c>
      <c r="Y26" s="53" t="inlineStr">
        <is>
          <t>DISPENSE</t>
        </is>
      </c>
      <c r="Z26" s="53" t="inlineStr">
        <is>
          <t>DISPENSE</t>
        </is>
      </c>
      <c r="AA26" s="53" t="inlineStr">
        <is>
          <t>DISPENSE</t>
        </is>
      </c>
      <c r="AB26" s="53" t="inlineStr">
        <is>
          <t>CS1</t>
        </is>
      </c>
      <c r="AC26" s="53" t="n"/>
      <c r="AD26" s="53" t="inlineStr">
        <is>
          <t>DM</t>
        </is>
      </c>
      <c r="AE26" s="53" t="n"/>
      <c r="AF26" s="53" t="inlineStr">
        <is>
          <t>R $M HG (0500-2000)</t>
        </is>
      </c>
      <c r="AG26" s="53" t="n"/>
      <c r="AH26" s="188">
        <f>COUNTIF($D26:$AG26,AH$4)</f>
        <v/>
      </c>
      <c r="AI26" s="188">
        <f>COUNTIF($D26:$AG26,AI$4)</f>
        <v/>
      </c>
      <c r="AJ26" s="188">
        <f>COUNTIF($D26:$AG26,AJ$4)</f>
        <v/>
      </c>
      <c r="AK26" s="188">
        <f>COUNTIF($D26:$AG26,AK$4)</f>
        <v/>
      </c>
      <c r="AL26" s="188">
        <f>COUNTIF($D26:$AG26,AL$4)</f>
        <v/>
      </c>
      <c r="AM26" s="188">
        <f>COUNTIF($D26:$AG26,AM$4)</f>
        <v/>
      </c>
      <c r="AN26" s="188">
        <f>COUNTIF($D26:$AG26,AN$4)</f>
        <v/>
      </c>
      <c r="AO26" s="188">
        <f>COUNTIF($D26:$AG26,AO$4)</f>
        <v/>
      </c>
      <c r="AP26" s="188">
        <f>COUNTIF($D26:$AG26,AP$4)</f>
        <v/>
      </c>
      <c r="AQ26" s="189" t="n"/>
      <c r="AR26" s="189" t="n">
        <v>1</v>
      </c>
      <c r="AS26" s="190">
        <f>SUMPRODUCT(--(WEEKDAY(D$3:AG$3,2)&lt;5),--ISNUMBER(MATCH(D26:AG26,{"DM","CS1","CS2","SB1","AE","CS/B"},0)))</f>
        <v/>
      </c>
      <c r="AT26" s="194" t="n"/>
      <c r="AU26" s="190">
        <f>SUMPRODUCT(--(WEEKDAY(D$3:AG$3,2)=5),--ISNUMBER(MATCH(D26:AG26,{"DM","CS1","CS2","SB1","AE","CS/B","WEEKEND OUTFIELD RESERVE"},0)))</f>
        <v/>
      </c>
      <c r="AV26" s="190">
        <f>SUMPRODUCT(--(WEEKDAY(D$3:AG$3,2)&gt;5),--ISNUMBER(MATCH(D26:AG26,{"DM","CS1","CS2","SB1","AE","CS/B","WEEKEND OUTFIELD RESERVE"},0)))</f>
        <v/>
      </c>
      <c r="AW26" s="194" t="n"/>
      <c r="AX26" s="190">
        <f>(AS26-AT26)+AU26*1.5+(AV26-AW26)*2+AM26*0.5+AO26*0.5+AQ26-AR26</f>
        <v/>
      </c>
      <c r="AY26" s="190">
        <f>AS26+AU26+AV26</f>
        <v/>
      </c>
      <c r="AZ26" s="190">
        <f>BD26+BF26+BH26+BJ26+BL26</f>
        <v/>
      </c>
      <c r="BA26" s="189">
        <f>AX26+BC26</f>
        <v/>
      </c>
      <c r="BB26" s="189">
        <f>(BA26-8.5)</f>
        <v/>
      </c>
      <c r="BC26" s="190">
        <f>BE26+BG26+BI26+BK26+BM26</f>
        <v/>
      </c>
      <c r="BD26" s="190">
        <f>COUNTIF(A26:AH26,"*$BTP*")</f>
        <v/>
      </c>
      <c r="BE26" s="190">
        <f>BD26*1.5</f>
        <v/>
      </c>
      <c r="BF26" s="190">
        <f>COUNTIF(A26:AH26,"*$M*")</f>
        <v/>
      </c>
      <c r="BG26" s="190">
        <f>BF26*1</f>
        <v/>
      </c>
      <c r="BH26" s="190">
        <f>COUNTIF(A26:AH26,"*$PM*")</f>
        <v/>
      </c>
      <c r="BI26" s="190">
        <f>BH26*0.5</f>
        <v/>
      </c>
      <c r="BJ26" s="190">
        <f>COUNTIF(A26:AH26,"*$AM*")</f>
        <v/>
      </c>
      <c r="BK26" s="190">
        <f>BJ26*0.5</f>
        <v/>
      </c>
      <c r="BL26" s="190">
        <f>COUNTIF(A26:AH26,"*$FC*")</f>
        <v/>
      </c>
      <c r="BM26" s="190">
        <f>BL26*1</f>
        <v/>
      </c>
      <c r="BN26" s="190">
        <f>COUNTIF($E26:$AB26,BN$4)</f>
        <v/>
      </c>
      <c r="BO26" s="190">
        <f>COUNTIF($E26:$AB26,BO$4)</f>
        <v/>
      </c>
      <c r="BP26" s="190">
        <f>COUNTIF($E26:$AB26,BP$4)</f>
        <v/>
      </c>
      <c r="BQ26" s="194" t="n"/>
    </row>
    <row r="27" ht="19.5" customHeight="1">
      <c r="A27" s="184" t="n"/>
      <c r="B27" s="186" t="inlineStr">
        <is>
          <t>LCP QUEK ZI YI</t>
        </is>
      </c>
      <c r="C27" s="193" t="n"/>
      <c r="D27" s="75" t="inlineStr">
        <is>
          <t>CS1</t>
        </is>
      </c>
      <c r="E27" s="75" t="n"/>
      <c r="F27" s="53" t="n"/>
      <c r="G27" s="53" t="n"/>
      <c r="H27" s="53" t="n"/>
      <c r="I27" s="53" t="inlineStr">
        <is>
          <t>(STARLIGHT)</t>
        </is>
      </c>
      <c r="J27" s="53" t="inlineStr">
        <is>
          <t>(STARLIGHT)</t>
        </is>
      </c>
      <c r="K27" s="53" t="inlineStr">
        <is>
          <t>(STARLIGHT)</t>
        </is>
      </c>
      <c r="L27" s="53" t="inlineStr">
        <is>
          <t>(STARLIGHT)</t>
        </is>
      </c>
      <c r="M27" s="53" t="inlineStr">
        <is>
          <t>(STARLIGHT)</t>
        </is>
      </c>
      <c r="N27" s="53" t="inlineStr">
        <is>
          <t>(STARLIGHT)</t>
        </is>
      </c>
      <c r="O27" s="53" t="inlineStr">
        <is>
          <t>(STARLIGHT)</t>
        </is>
      </c>
      <c r="P27" s="53" t="inlineStr">
        <is>
          <t>(STARLIGHT)</t>
        </is>
      </c>
      <c r="Q27" s="53" t="inlineStr">
        <is>
          <t>(STARLIGHT)</t>
        </is>
      </c>
      <c r="R27" s="53" t="inlineStr">
        <is>
          <t>(STARLIGHT)</t>
        </is>
      </c>
      <c r="S27" s="53" t="inlineStr">
        <is>
          <t>(STARLIGHT)</t>
        </is>
      </c>
      <c r="T27" s="53" t="inlineStr">
        <is>
          <t>(STARLIGHT)</t>
        </is>
      </c>
      <c r="U27" s="53" t="inlineStr">
        <is>
          <t>(STARLIGHT)</t>
        </is>
      </c>
      <c r="V27" s="53" t="inlineStr">
        <is>
          <t>(STARLIGHT)</t>
        </is>
      </c>
      <c r="W27" s="53" t="inlineStr">
        <is>
          <t>(STARLIGHT)</t>
        </is>
      </c>
      <c r="X27" s="53" t="inlineStr">
        <is>
          <t>(STARLIGHT)</t>
        </is>
      </c>
      <c r="Y27" s="53" t="inlineStr">
        <is>
          <t>(STARLIGHT)</t>
        </is>
      </c>
      <c r="Z27" s="53" t="inlineStr">
        <is>
          <t>(STARLIGHT)</t>
        </is>
      </c>
      <c r="AA27" s="53" t="inlineStr">
        <is>
          <t>(STARLIGHT)</t>
        </is>
      </c>
      <c r="AB27" s="53" t="inlineStr">
        <is>
          <t>(STARLIGHT)</t>
        </is>
      </c>
      <c r="AC27" s="53" t="inlineStr">
        <is>
          <t>(STARLIGHT)</t>
        </is>
      </c>
      <c r="AD27" s="53" t="inlineStr">
        <is>
          <t>(STARLIGHT)</t>
        </is>
      </c>
      <c r="AE27" s="53" t="n"/>
      <c r="AF27" s="53" t="n"/>
      <c r="AG27" s="53" t="n"/>
      <c r="AH27" s="188">
        <f>COUNTIF($D27:$AG27,AH$4)</f>
        <v/>
      </c>
      <c r="AI27" s="188">
        <f>COUNTIF($D27:$AG27,AI$4)</f>
        <v/>
      </c>
      <c r="AJ27" s="188">
        <f>COUNTIF($D27:$AG27,AJ$4)</f>
        <v/>
      </c>
      <c r="AK27" s="188">
        <f>COUNTIF($D27:$AG27,AK$4)</f>
        <v/>
      </c>
      <c r="AL27" s="188">
        <f>COUNTIF($D27:$AG27,AL$4)</f>
        <v/>
      </c>
      <c r="AM27" s="188">
        <f>COUNTIF($D27:$AG27,AM$4)</f>
        <v/>
      </c>
      <c r="AN27" s="188">
        <f>COUNTIF($D27:$AG27,AN$4)</f>
        <v/>
      </c>
      <c r="AO27" s="188">
        <f>COUNTIF($D27:$AG27,AO$4)</f>
        <v/>
      </c>
      <c r="AP27" s="188">
        <f>COUNTIF($D27:$AG27,AP$4)</f>
        <v/>
      </c>
      <c r="AQ27" s="189" t="n"/>
      <c r="AR27" s="189" t="n">
        <v>0.5</v>
      </c>
      <c r="AS27" s="190">
        <f>SUMPRODUCT(--(WEEKDAY(D$3:AG$3,2)&lt;5),--ISNUMBER(MATCH(D27:AG27,{"DM","CS1","CS2","SB1","AE","CS/B"},0)))</f>
        <v/>
      </c>
      <c r="AT27" s="194" t="n"/>
      <c r="AU27" s="190">
        <f>SUMPRODUCT(--(WEEKDAY(D$3:AG$3,2)=5),--ISNUMBER(MATCH(D27:AG27,{"DM","CS1","CS2","SB1","AE","CS/B","WEEKEND OUTFIELD RESERVE"},0)))</f>
        <v/>
      </c>
      <c r="AV27" s="190">
        <f>SUMPRODUCT(--(WEEKDAY(D$3:AG$3,2)&gt;5),--ISNUMBER(MATCH(D27:AG27,{"DM","CS1","CS2","SB1","AE","CS/B","WEEKEND OUTFIELD RESERVE"},0)))</f>
        <v/>
      </c>
      <c r="AW27" s="194" t="n"/>
      <c r="AX27" s="190">
        <f>(AS27-AT27)+AU27*1.5+(AV27-AW27)*2+AM27*0.5+AO27*0.5+AQ27-AR27</f>
        <v/>
      </c>
      <c r="AY27" s="190">
        <f>AS27+AU27+AV27</f>
        <v/>
      </c>
      <c r="AZ27" s="190">
        <f>BD27+BF27+BH27+BJ27+BL27</f>
        <v/>
      </c>
      <c r="BA27" s="189">
        <f>AX27+BC27</f>
        <v/>
      </c>
      <c r="BB27" s="189">
        <f>(BA27-8.5)</f>
        <v/>
      </c>
      <c r="BC27" s="190">
        <f>BE27+BG27+BI27+BK27+BM27</f>
        <v/>
      </c>
      <c r="BD27" s="190">
        <f>COUNTIF(A27:AH27,"*$BTP*")</f>
        <v/>
      </c>
      <c r="BE27" s="190">
        <f>BD27*1.5</f>
        <v/>
      </c>
      <c r="BF27" s="190">
        <f>COUNTIF(A27:AH27,"*$M*")</f>
        <v/>
      </c>
      <c r="BG27" s="190">
        <f>BF27*1</f>
        <v/>
      </c>
      <c r="BH27" s="190">
        <f>COUNTIF(A27:AH27,"*$PM*")</f>
        <v/>
      </c>
      <c r="BI27" s="190">
        <f>BH27*0.5</f>
        <v/>
      </c>
      <c r="BJ27" s="190">
        <f>COUNTIF(A27:AH27,"*$AM*")</f>
        <v/>
      </c>
      <c r="BK27" s="190">
        <f>BJ27*0.5</f>
        <v/>
      </c>
      <c r="BL27" s="190">
        <f>COUNTIF(A27:AH27,"*$FC*")</f>
        <v/>
      </c>
      <c r="BM27" s="190">
        <f>BL27*1</f>
        <v/>
      </c>
      <c r="BN27" s="190">
        <f>COUNTIF($E27:$AB27,BN$4)</f>
        <v/>
      </c>
      <c r="BO27" s="190">
        <f>COUNTIF($E27:$AB27,BO$4)</f>
        <v/>
      </c>
      <c r="BP27" s="190">
        <f>COUNTIF($E27:$AB27,BP$4)</f>
        <v/>
      </c>
      <c r="BQ27" s="194" t="n"/>
    </row>
    <row r="28" ht="19.5" customHeight="1">
      <c r="A28" s="184" t="n"/>
      <c r="B28" s="186" t="inlineStr">
        <is>
          <t>LCP ZHANG ZHONGHAO</t>
        </is>
      </c>
      <c r="C28" s="193">
        <f>COUNTIF(D28:AG28,"DM")</f>
        <v/>
      </c>
      <c r="D28" s="137" t="inlineStr">
        <is>
          <t>CS2</t>
        </is>
      </c>
      <c r="E28" s="137" t="n"/>
      <c r="F28" s="53" t="n"/>
      <c r="G28" s="53" t="n"/>
      <c r="H28" s="53" t="n"/>
      <c r="I28" s="53" t="inlineStr">
        <is>
          <t>DM</t>
        </is>
      </c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inlineStr">
        <is>
          <t>DM</t>
        </is>
      </c>
      <c r="S28" s="53" t="n"/>
      <c r="T28" s="53" t="n"/>
      <c r="U28" s="53" t="n"/>
      <c r="V28" s="53" t="inlineStr">
        <is>
          <t>CS/B</t>
        </is>
      </c>
      <c r="W28" s="53" t="n"/>
      <c r="X28" s="53" t="n"/>
      <c r="Y28" s="53" t="inlineStr">
        <is>
          <t>DM</t>
        </is>
      </c>
      <c r="Z28" s="53" t="n"/>
      <c r="AA28" s="53" t="inlineStr">
        <is>
          <t>DM</t>
        </is>
      </c>
      <c r="AB28" s="53" t="n"/>
      <c r="AC28" s="53" t="n"/>
      <c r="AD28" s="53" t="inlineStr">
        <is>
          <t>T $AM ER (0500-1000)</t>
        </is>
      </c>
      <c r="AE28" s="53" t="n"/>
      <c r="AF28" s="53" t="n"/>
      <c r="AG28" s="53" t="inlineStr">
        <is>
          <t>RESERVE</t>
        </is>
      </c>
      <c r="AH28" s="188">
        <f>COUNTIF($D28:$AG28,AH$4)</f>
        <v/>
      </c>
      <c r="AI28" s="188">
        <f>COUNTIF($D28:$AG28,AI$4)</f>
        <v/>
      </c>
      <c r="AJ28" s="188">
        <f>COUNTIF($D28:$AG28,AJ$4)</f>
        <v/>
      </c>
      <c r="AK28" s="188">
        <f>COUNTIF($D28:$AG28,AK$4)</f>
        <v/>
      </c>
      <c r="AL28" s="188">
        <f>COUNTIF($D28:$AG28,AL$4)</f>
        <v/>
      </c>
      <c r="AM28" s="188">
        <f>COUNTIF($D28:$AG28,AM$4)</f>
        <v/>
      </c>
      <c r="AN28" s="188">
        <f>COUNTIF($D28:$AG28,AN$4)</f>
        <v/>
      </c>
      <c r="AO28" s="188">
        <f>COUNTIF($D28:$AG28,AO$4)</f>
        <v/>
      </c>
      <c r="AP28" s="188">
        <f>COUNTIF($D28:$AG28,AP$4)</f>
        <v/>
      </c>
      <c r="AQ28" s="189" t="n">
        <v>0.5</v>
      </c>
      <c r="AR28" s="189" t="n"/>
      <c r="AS28" s="190">
        <f>SUMPRODUCT(--(WEEKDAY(D$3:AG$3,2)&lt;5),--ISNUMBER(MATCH(D28:AG28,{"DM","CS1","CS2","SB1","AE","CS/B"},0)))</f>
        <v/>
      </c>
      <c r="AT28" s="194" t="n"/>
      <c r="AU28" s="190">
        <f>SUMPRODUCT(--(WEEKDAY(D$3:AG$3,2)=5),--ISNUMBER(MATCH(D28:AG28,{"DM","CS1","CS2","SB1","AE","CS/B","WEEKEND OUTFIELD RESERVE"},0)))</f>
        <v/>
      </c>
      <c r="AV28" s="190">
        <f>SUMPRODUCT(--(WEEKDAY(D$3:AG$3,2)&gt;5),--ISNUMBER(MATCH(D28:AG28,{"DM","CS1","CS2","SB1","AE","CS/B","WEEKEND OUTFIELD RESERVE"},0)))</f>
        <v/>
      </c>
      <c r="AW28" s="194" t="n"/>
      <c r="AX28" s="190">
        <f>(AS28-AT28)+AU28*1.5+(AV28-AW28)*2+AM28*0.5+AO28*0.5+AQ28-AR28</f>
        <v/>
      </c>
      <c r="AY28" s="190">
        <f>AS28+AU28+AV28</f>
        <v/>
      </c>
      <c r="AZ28" s="190">
        <f>BD28+BF28+BH28+BJ28+BL28</f>
        <v/>
      </c>
      <c r="BA28" s="189">
        <f>AX28+BC28</f>
        <v/>
      </c>
      <c r="BB28" s="189">
        <f>(BA28-8.5)</f>
        <v/>
      </c>
      <c r="BC28" s="190">
        <f>BE28+BG28+BI28+BK28+BM28</f>
        <v/>
      </c>
      <c r="BD28" s="190">
        <f>COUNTIF(A28:AH28,"*$BTP*")</f>
        <v/>
      </c>
      <c r="BE28" s="190">
        <f>BD28*1.5</f>
        <v/>
      </c>
      <c r="BF28" s="190">
        <f>COUNTIF(A28:AH28,"*$M*")</f>
        <v/>
      </c>
      <c r="BG28" s="190">
        <f>BF28*1</f>
        <v/>
      </c>
      <c r="BH28" s="190">
        <f>COUNTIF(A28:AH28,"*$PM*")</f>
        <v/>
      </c>
      <c r="BI28" s="190">
        <f>BH28*0.5</f>
        <v/>
      </c>
      <c r="BJ28" s="190">
        <f>COUNTIF(A28:AH28,"*$AM*")</f>
        <v/>
      </c>
      <c r="BK28" s="190">
        <f>BJ28*0.5</f>
        <v/>
      </c>
      <c r="BL28" s="190">
        <f>COUNTIF(A28:AH28,"*$FC*")</f>
        <v/>
      </c>
      <c r="BM28" s="190">
        <f>BL28*1</f>
        <v/>
      </c>
      <c r="BN28" s="190">
        <f>COUNTIF($E28:$AB28,BN$4)</f>
        <v/>
      </c>
      <c r="BO28" s="190">
        <f>COUNTIF($E28:$AB28,BO$4)</f>
        <v/>
      </c>
      <c r="BP28" s="190">
        <f>COUNTIF($E28:$AB28,BP$4)</f>
        <v/>
      </c>
      <c r="BQ28" s="194" t="n"/>
    </row>
    <row r="29" ht="47.25" customHeight="1">
      <c r="A29" s="184" t="n"/>
      <c r="B29" s="186" t="inlineStr">
        <is>
          <t>LCP MACASERO TROY ADRIAN LARUMBE</t>
        </is>
      </c>
      <c r="C29" s="186" t="n"/>
      <c r="D29" s="75" t="n"/>
      <c r="E29" s="75" t="n"/>
      <c r="F29" s="53" t="n"/>
      <c r="G29" s="53" t="n"/>
      <c r="H29" s="53" t="n"/>
      <c r="I29" s="53" t="n"/>
      <c r="J29" s="53" t="inlineStr">
        <is>
          <t>CS1</t>
        </is>
      </c>
      <c r="K29" s="53" t="n"/>
      <c r="L29" s="53" t="inlineStr">
        <is>
          <t>COMPONENT TRAINING</t>
        </is>
      </c>
      <c r="M29" s="53" t="inlineStr">
        <is>
          <t>CS2</t>
        </is>
      </c>
      <c r="N29" s="53" t="n"/>
      <c r="O29" s="53" t="inlineStr">
        <is>
          <t>CS/B</t>
        </is>
      </c>
      <c r="P29" s="53" t="inlineStr">
        <is>
          <t>MSP REHEARSAL</t>
        </is>
      </c>
      <c r="Q29" s="53" t="inlineStr">
        <is>
          <t>MSP REHEARSAL</t>
        </is>
      </c>
      <c r="R29" s="53" t="n"/>
      <c r="S29" s="53" t="inlineStr">
        <is>
          <t>RESERVE</t>
        </is>
      </c>
      <c r="T29" s="53" t="inlineStr">
        <is>
          <t>MSP</t>
        </is>
      </c>
      <c r="U29" s="53" t="n"/>
      <c r="V29" s="53" t="n"/>
      <c r="W29" s="53" t="n"/>
      <c r="X29" s="53" t="n"/>
      <c r="Y29" s="53" t="inlineStr">
        <is>
          <t>CS1</t>
        </is>
      </c>
      <c r="Z29" s="53" t="n"/>
      <c r="AA29" s="53" t="inlineStr">
        <is>
          <t>OL</t>
        </is>
      </c>
      <c r="AB29" s="53" t="inlineStr">
        <is>
          <t>OL</t>
        </is>
      </c>
      <c r="AC29" s="53" t="inlineStr">
        <is>
          <t>OL</t>
        </is>
      </c>
      <c r="AD29" s="53" t="n"/>
      <c r="AE29" s="53" t="n"/>
      <c r="AF29" s="53" t="n"/>
      <c r="AG29" s="53" t="n"/>
      <c r="AH29" s="188">
        <f>COUNTIF($D29:$AG29,AH$4)</f>
        <v/>
      </c>
      <c r="AI29" s="188">
        <f>COUNTIF($D29:$AG29,AI$4)</f>
        <v/>
      </c>
      <c r="AJ29" s="188">
        <f>COUNTIF($D29:$AG29,AJ$4)</f>
        <v/>
      </c>
      <c r="AK29" s="188">
        <f>COUNTIF($D29:$AG29,AK$4)</f>
        <v/>
      </c>
      <c r="AL29" s="188">
        <f>COUNTIF($D29:$AG29,AL$4)</f>
        <v/>
      </c>
      <c r="AM29" s="188">
        <f>COUNTIF($D29:$AG29,AM$4)</f>
        <v/>
      </c>
      <c r="AN29" s="188">
        <f>COUNTIF($D29:$AG29,AN$4)</f>
        <v/>
      </c>
      <c r="AO29" s="188">
        <f>COUNTIF($D29:$AG29,AO$4)</f>
        <v/>
      </c>
      <c r="AP29" s="188">
        <f>COUNTIF($D29:$AG29,AP$4)</f>
        <v/>
      </c>
      <c r="AQ29" s="189" t="n">
        <v>2</v>
      </c>
      <c r="AR29" s="189" t="n"/>
      <c r="AS29" s="190">
        <f>SUMPRODUCT(--(WEEKDAY(D$3:AG$3,2)&lt;5),--ISNUMBER(MATCH(D29:AG29,{"DM","CS1","CS2","SB1","AE","CS/B"},0)))</f>
        <v/>
      </c>
      <c r="AT29" s="194" t="n"/>
      <c r="AU29" s="190">
        <f>SUMPRODUCT(--(WEEKDAY(D$3:AG$3,2)=5),--ISNUMBER(MATCH(D29:AG29,{"DM","CS1","CS2","SB1","AE","CS/B","WEEKEND OUTFIELD RESERVE"},0)))</f>
        <v/>
      </c>
      <c r="AV29" s="190">
        <f>SUMPRODUCT(--(WEEKDAY(D$3:AG$3,2)&gt;5),--ISNUMBER(MATCH(D29:AG29,{"DM","CS1","CS2","SB1","AE","CS/B","WEEKEND OUTFIELD RESERVE"},0)))</f>
        <v/>
      </c>
      <c r="AW29" s="194" t="n"/>
      <c r="AX29" s="190">
        <f>(AS29-AT29)+AU29*1.5+(AV29-AW29)*2+AM29*0.5+AO29*0.5+AQ29-AR29</f>
        <v/>
      </c>
      <c r="AY29" s="190">
        <f>AS29+AU29+AV29</f>
        <v/>
      </c>
      <c r="AZ29" s="190">
        <f>BD29+BF29+BH29+BJ29+BL29</f>
        <v/>
      </c>
      <c r="BA29" s="189">
        <f>AX29+BC29</f>
        <v/>
      </c>
      <c r="BB29" s="189">
        <f>(BA29-8.5)</f>
        <v/>
      </c>
      <c r="BC29" s="190">
        <f>BE29+BG29+BI29+BK29+BM29</f>
        <v/>
      </c>
      <c r="BD29" s="190">
        <f>COUNTIF(A29:AH29,"*$BTP*")</f>
        <v/>
      </c>
      <c r="BE29" s="190">
        <f>BD29*1.5</f>
        <v/>
      </c>
      <c r="BF29" s="190">
        <f>COUNTIF(A29:AH29,"*$M*")</f>
        <v/>
      </c>
      <c r="BG29" s="190">
        <f>BF29*1</f>
        <v/>
      </c>
      <c r="BH29" s="190">
        <f>COUNTIF(A29:AH29,"*$PM*")</f>
        <v/>
      </c>
      <c r="BI29" s="190">
        <f>BH29*0.5</f>
        <v/>
      </c>
      <c r="BJ29" s="190">
        <f>COUNTIF(A29:AH29,"*$AM*")</f>
        <v/>
      </c>
      <c r="BK29" s="190">
        <f>BJ29*0.5</f>
        <v/>
      </c>
      <c r="BL29" s="190">
        <f>COUNTIF(A29:AH29,"*$FC*")</f>
        <v/>
      </c>
      <c r="BM29" s="190">
        <f>BL29*1</f>
        <v/>
      </c>
      <c r="BN29" s="190">
        <f>COUNTIF($E29:$AB29,BN$4)</f>
        <v/>
      </c>
      <c r="BO29" s="190">
        <f>COUNTIF($E29:$AB29,BO$4)</f>
        <v/>
      </c>
      <c r="BP29" s="190">
        <f>COUNTIF($E29:$AB29,BP$4)</f>
        <v/>
      </c>
      <c r="BQ29" s="194" t="n"/>
    </row>
    <row r="30" ht="19.5" customHeight="1">
      <c r="A30" s="184" t="n"/>
      <c r="B30" s="186" t="inlineStr">
        <is>
          <t>LCP MUHAMAD ZULKHAIRI BIN MOHAMAD SAPARI</t>
        </is>
      </c>
      <c r="C30" s="193">
        <f>COUNTIF(D30:AG30,"DM")</f>
        <v/>
      </c>
      <c r="D30" s="137" t="n"/>
      <c r="E30" s="137" t="n"/>
      <c r="F30" s="53" t="n"/>
      <c r="G30" s="53" t="n"/>
      <c r="H30" s="53" t="inlineStr">
        <is>
          <t>CS2</t>
        </is>
      </c>
      <c r="I30" s="53" t="n"/>
      <c r="J30" s="53" t="inlineStr">
        <is>
          <t>COVER RESERVE</t>
        </is>
      </c>
      <c r="K30" s="53" t="inlineStr">
        <is>
          <t>DM</t>
        </is>
      </c>
      <c r="L30" s="53" t="n"/>
      <c r="M30" s="53" t="n"/>
      <c r="N30" s="53" t="n"/>
      <c r="O30" s="53" t="n"/>
      <c r="P30" s="53" t="inlineStr">
        <is>
          <t>DM</t>
        </is>
      </c>
      <c r="Q30" s="53" t="n"/>
      <c r="R30" s="53" t="n"/>
      <c r="S30" s="53" t="n"/>
      <c r="T30" s="53" t="n"/>
      <c r="U30" s="53" t="n"/>
      <c r="V30" s="53" t="n"/>
      <c r="W30" s="53" t="n"/>
      <c r="X30" s="53" t="inlineStr">
        <is>
          <t>J PERM SOC $PM (1500-2000)</t>
        </is>
      </c>
      <c r="Y30" s="53" t="n"/>
      <c r="Z30" s="53" t="n"/>
      <c r="AA30" s="53" t="n"/>
      <c r="AB30" s="53" t="inlineStr">
        <is>
          <t>CS2</t>
        </is>
      </c>
      <c r="AC30" s="53" t="n"/>
      <c r="AD30" s="53" t="inlineStr">
        <is>
          <t>Outfield Reserve</t>
        </is>
      </c>
      <c r="AF30" s="53" t="inlineStr">
        <is>
          <t>Outfield Reserve</t>
        </is>
      </c>
      <c r="AG30" s="53" t="inlineStr">
        <is>
          <t>T $AM IPPT (0500-1000)</t>
        </is>
      </c>
      <c r="AH30" s="188">
        <f>COUNTIF($D30:$AG30,AH$4)</f>
        <v/>
      </c>
      <c r="AI30" s="188">
        <f>COUNTIF($D30:$AG30,AI$4)</f>
        <v/>
      </c>
      <c r="AJ30" s="188">
        <f>COUNTIF($D30:$AG30,AJ$4)</f>
        <v/>
      </c>
      <c r="AK30" s="188">
        <f>COUNTIF($D30:$AG30,AK$4)</f>
        <v/>
      </c>
      <c r="AL30" s="188">
        <f>COUNTIF($D30:$AG30,AL$4)</f>
        <v/>
      </c>
      <c r="AM30" s="188">
        <f>COUNTIF($D30:$AG30,AM$4)</f>
        <v/>
      </c>
      <c r="AN30" s="188">
        <f>COUNTIF($D30:$AG30,AN$4)</f>
        <v/>
      </c>
      <c r="AO30" s="188">
        <f>COUNTIF($D30:$AG30,AO$4)</f>
        <v/>
      </c>
      <c r="AP30" s="188">
        <f>COUNTIF($D30:$AG30,AP$4)</f>
        <v/>
      </c>
      <c r="AQ30" s="189" t="n">
        <v>0.5</v>
      </c>
      <c r="AR30" s="189" t="n"/>
      <c r="AS30" s="190">
        <f>SUMPRODUCT(--(WEEKDAY(D$3:AG$3,2)&lt;5),--ISNUMBER(MATCH(D30:AG30,{"DM","CS1","CS2","SB1","AE","CS/B"},0)))</f>
        <v/>
      </c>
      <c r="AT30" s="194" t="n"/>
      <c r="AU30" s="190">
        <f>SUMPRODUCT(--(WEEKDAY(D$3:AG$3,2)=5),--ISNUMBER(MATCH(D30:AG30,{"DM","CS1","CS2","SB1","AE","CS/B","WEEKEND OUTFIELD RESERVE"},0)))</f>
        <v/>
      </c>
      <c r="AV30" s="190">
        <f>SUMPRODUCT(--(WEEKDAY(D$3:AG$3,2)&gt;5),--ISNUMBER(MATCH(D30:AG30,{"DM","CS1","CS2","SB1","AE","CS/B","WEEKEND OUTFIELD RESERVE"},0)))</f>
        <v/>
      </c>
      <c r="AW30" s="194" t="n"/>
      <c r="AX30" s="190">
        <f>(AS30-AT30)+AU30*1.5+(AV30-AW30)*2+AM30*0.5+AO30*0.5+AQ30-AR30</f>
        <v/>
      </c>
      <c r="AY30" s="190">
        <f>AS30+AU30+AV30</f>
        <v/>
      </c>
      <c r="AZ30" s="190">
        <f>BD30+BF30+BH30+BJ30+BL30</f>
        <v/>
      </c>
      <c r="BA30" s="189">
        <f>AX30+BC30</f>
        <v/>
      </c>
      <c r="BB30" s="189">
        <f>(BA30-8.5)</f>
        <v/>
      </c>
      <c r="BC30" s="190">
        <f>BE30+BG30+BI30+BK30+BM30</f>
        <v/>
      </c>
      <c r="BD30" s="190">
        <f>COUNTIF(A30:AH30,"*$BTP*")</f>
        <v/>
      </c>
      <c r="BE30" s="190">
        <f>BD30*1.5</f>
        <v/>
      </c>
      <c r="BF30" s="190">
        <f>COUNTIF(A30:AH30,"*$M*")</f>
        <v/>
      </c>
      <c r="BG30" s="190">
        <f>BF30*1</f>
        <v/>
      </c>
      <c r="BH30" s="190">
        <f>COUNTIF(A30:AH30,"*$PM*")</f>
        <v/>
      </c>
      <c r="BI30" s="190">
        <f>BH30*0.5</f>
        <v/>
      </c>
      <c r="BJ30" s="190">
        <f>COUNTIF(A30:AH30,"*$AM*")</f>
        <v/>
      </c>
      <c r="BK30" s="190">
        <f>BJ30*0.5</f>
        <v/>
      </c>
      <c r="BL30" s="190">
        <f>COUNTIF(A30:AH30,"*$FC*")</f>
        <v/>
      </c>
      <c r="BM30" s="190">
        <f>BL30*1</f>
        <v/>
      </c>
      <c r="BN30" s="190">
        <f>COUNTIF($E30:$AA30,BN$4)</f>
        <v/>
      </c>
      <c r="BO30" s="190">
        <f>COUNTIF($E30:$AA30,BO$4)</f>
        <v/>
      </c>
      <c r="BP30" s="190">
        <f>COUNTIF($E30:$AA30,BP$4)</f>
        <v/>
      </c>
      <c r="BQ30" s="194" t="n"/>
    </row>
    <row r="31" ht="19.5" customHeight="1">
      <c r="A31" s="184" t="n"/>
      <c r="B31" s="186" t="inlineStr">
        <is>
          <t xml:space="preserve">LCP RON NG </t>
        </is>
      </c>
      <c r="C31" s="186" t="n"/>
      <c r="D31" s="75" t="n"/>
      <c r="E31" s="75" t="n"/>
      <c r="F31" s="53" t="n"/>
      <c r="G31" s="53" t="n"/>
      <c r="H31" s="53" t="inlineStr">
        <is>
          <t>CS1</t>
        </is>
      </c>
      <c r="I31" s="53" t="n"/>
      <c r="J31" s="53" t="inlineStr">
        <is>
          <t>SB1</t>
        </is>
      </c>
      <c r="K31" s="53" t="n"/>
      <c r="L31" s="53" t="n"/>
      <c r="M31" s="53" t="n"/>
      <c r="N31" s="53" t="n"/>
      <c r="O31" s="53" t="n"/>
      <c r="P31" s="53" t="inlineStr">
        <is>
          <t>AE</t>
        </is>
      </c>
      <c r="Q31" s="53" t="n"/>
      <c r="R31" s="53" t="inlineStr">
        <is>
          <t>SB1</t>
        </is>
      </c>
      <c r="S31" s="53" t="n"/>
      <c r="T31" s="53" t="n"/>
      <c r="U31" s="53" t="n"/>
      <c r="V31" s="53" t="n"/>
      <c r="W31" s="53" t="n"/>
      <c r="X31" s="53" t="n"/>
      <c r="Y31" s="53" t="n"/>
      <c r="Z31" s="53" t="inlineStr">
        <is>
          <t>CS/B</t>
        </is>
      </c>
      <c r="AA31" s="53" t="n"/>
      <c r="AB31" s="53" t="n"/>
      <c r="AC31" s="53" t="n"/>
      <c r="AD31" s="53" t="inlineStr">
        <is>
          <t>RESERVE</t>
        </is>
      </c>
      <c r="AE31" s="53" t="inlineStr">
        <is>
          <t>Outfield Reserve</t>
        </is>
      </c>
      <c r="AF31" s="53" t="inlineStr">
        <is>
          <t>SB2</t>
        </is>
      </c>
      <c r="AG31" s="53" t="n"/>
      <c r="AH31" s="188">
        <f>COUNTIF($D31:$AG31,AH$4)</f>
        <v/>
      </c>
      <c r="AI31" s="188">
        <f>COUNTIF($D31:$AG31,AI$4)</f>
        <v/>
      </c>
      <c r="AJ31" s="188">
        <f>COUNTIF($D31:$AG31,AJ$4)</f>
        <v/>
      </c>
      <c r="AK31" s="188">
        <f>COUNTIF($D31:$AG31,AK$4)</f>
        <v/>
      </c>
      <c r="AL31" s="188">
        <f>COUNTIF($D31:$AG31,AL$4)</f>
        <v/>
      </c>
      <c r="AM31" s="188">
        <f>COUNTIF($D31:$AG31,AM$4)</f>
        <v/>
      </c>
      <c r="AN31" s="188">
        <f>COUNTIF($D31:$AG31,AN$4)</f>
        <v/>
      </c>
      <c r="AO31" s="188">
        <f>COUNTIF($D31:$AG31,AO$4)</f>
        <v/>
      </c>
      <c r="AP31" s="188">
        <f>COUNTIF($D31:$AG31,AP$4)</f>
        <v/>
      </c>
      <c r="AQ31" s="189" t="n"/>
      <c r="AR31" s="189" t="n"/>
      <c r="AS31" s="190">
        <f>SUMPRODUCT(--(WEEKDAY(D$3:AG$3,2)&lt;5),--ISNUMBER(MATCH(D31:AG31,{"DM","CS1","CS2","SB1","AE","CS/B"},0)))</f>
        <v/>
      </c>
      <c r="AT31" s="194" t="n"/>
      <c r="AU31" s="190">
        <f>SUMPRODUCT(--(WEEKDAY(D$3:AG$3,2)=5),--ISNUMBER(MATCH(D31:AG31,{"DM","CS1","CS2","SB1","AE","CS/B","WEEKEND OUTFIELD RESERVE"},0)))</f>
        <v/>
      </c>
      <c r="AV31" s="190">
        <f>SUMPRODUCT(--(WEEKDAY(D$3:AG$3,2)&gt;5),--ISNUMBER(MATCH(D31:AG31,{"DM","CS1","CS2","SB1","AE","CS/B","WEEKEND OUTFIELD RESERVE"},0)))</f>
        <v/>
      </c>
      <c r="AW31" s="194" t="n"/>
      <c r="AX31" s="190">
        <f>(AS31-AT31)+AU31*1.5+(AV31-AW31)*2+AM31*0.5+AO31*0.5+AQ31-AR31</f>
        <v/>
      </c>
      <c r="AY31" s="190">
        <f>AS31+AU31+AV31</f>
        <v/>
      </c>
      <c r="AZ31" s="190">
        <f>BD31+BF31+BH31+BJ31+BL31</f>
        <v/>
      </c>
      <c r="BA31" s="189">
        <f>AX31+BC31</f>
        <v/>
      </c>
      <c r="BB31" s="189">
        <f>(BA31-8.5)</f>
        <v/>
      </c>
      <c r="BC31" s="190">
        <f>BE31+BG31+BI31+BK31+BM31</f>
        <v/>
      </c>
      <c r="BD31" s="190">
        <f>COUNTIF(A31:AH31,"*$BTP*")</f>
        <v/>
      </c>
      <c r="BE31" s="190">
        <f>BD31*1.5</f>
        <v/>
      </c>
      <c r="BF31" s="190">
        <f>COUNTIF(A31:AH31,"*$M*")</f>
        <v/>
      </c>
      <c r="BG31" s="190">
        <f>BF31*1</f>
        <v/>
      </c>
      <c r="BH31" s="190">
        <f>COUNTIF(A31:AH31,"*$PM*")</f>
        <v/>
      </c>
      <c r="BI31" s="190">
        <f>BH31*0.5</f>
        <v/>
      </c>
      <c r="BJ31" s="190">
        <f>COUNTIF(A31:AH31,"*$AM*")</f>
        <v/>
      </c>
      <c r="BK31" s="190">
        <f>BJ31*0.5</f>
        <v/>
      </c>
      <c r="BL31" s="190">
        <f>COUNTIF(A31:AH31,"*$FC*")</f>
        <v/>
      </c>
      <c r="BM31" s="190">
        <f>BL31*1</f>
        <v/>
      </c>
      <c r="BN31" s="190">
        <f>COUNTIF($E31:$AA31,BN$4)</f>
        <v/>
      </c>
      <c r="BO31" s="190">
        <f>COUNTIF($E31:$AA31,BO$4)</f>
        <v/>
      </c>
      <c r="BP31" s="190">
        <f>COUNTIF($E31:$AA31,BP$4)</f>
        <v/>
      </c>
      <c r="BQ31" s="194" t="n"/>
    </row>
    <row r="32" ht="19.5" customHeight="1">
      <c r="A32" s="184" t="n"/>
      <c r="B32" s="186" t="inlineStr">
        <is>
          <t>LCP TRAN MINH KHOA</t>
        </is>
      </c>
      <c r="C32" s="186" t="n"/>
      <c r="D32" s="137" t="n"/>
      <c r="E32" s="137" t="n"/>
      <c r="F32" s="53" t="n"/>
      <c r="G32" s="53" t="n"/>
      <c r="H32" s="53" t="n"/>
      <c r="I32" s="53" t="inlineStr">
        <is>
          <t>CS1</t>
        </is>
      </c>
      <c r="J32" s="53" t="n"/>
      <c r="K32" s="53" t="inlineStr">
        <is>
          <t>COVER RESERVE</t>
        </is>
      </c>
      <c r="L32" s="53" t="n"/>
      <c r="M32" s="53" t="inlineStr">
        <is>
          <t>RESERVE</t>
        </is>
      </c>
      <c r="N32" s="53" t="n"/>
      <c r="O32" s="53" t="n"/>
      <c r="P32" s="53" t="inlineStr">
        <is>
          <t>COVER RESERVE</t>
        </is>
      </c>
      <c r="Q32" s="53" t="n"/>
      <c r="R32" s="53" t="n"/>
      <c r="S32" s="53" t="n"/>
      <c r="T32" s="53" t="inlineStr">
        <is>
          <t>J $AM IPPT (0500-1100)</t>
        </is>
      </c>
      <c r="U32" s="53" t="inlineStr">
        <is>
          <t>CS1</t>
        </is>
      </c>
      <c r="V32" s="53" t="n"/>
      <c r="W32" s="53" t="n"/>
      <c r="X32" s="53" t="n"/>
      <c r="Y32" s="53" t="n"/>
      <c r="Z32" s="53" t="n"/>
      <c r="AA32" s="53" t="n"/>
      <c r="AB32" s="53" t="inlineStr">
        <is>
          <t>J $FC</t>
        </is>
      </c>
      <c r="AC32" s="53" t="inlineStr">
        <is>
          <t>J $FC</t>
        </is>
      </c>
      <c r="AD32" s="53" t="inlineStr">
        <is>
          <t>J $FC</t>
        </is>
      </c>
      <c r="AE32" s="53" t="inlineStr">
        <is>
          <t>J $FC</t>
        </is>
      </c>
      <c r="AF32" s="53" t="inlineStr">
        <is>
          <t>J $FC</t>
        </is>
      </c>
      <c r="AG32" s="53" t="n"/>
      <c r="AH32" s="188">
        <f>COUNTIF($D32:$AG32,AH$4)</f>
        <v/>
      </c>
      <c r="AI32" s="188">
        <f>COUNTIF($D32:$AG32,AI$4)</f>
        <v/>
      </c>
      <c r="AJ32" s="188">
        <f>COUNTIF($D32:$AG32,AJ$4)</f>
        <v/>
      </c>
      <c r="AK32" s="188">
        <f>COUNTIF($D32:$AG32,AK$4)</f>
        <v/>
      </c>
      <c r="AL32" s="188">
        <f>COUNTIF($D32:$AG32,AL$4)</f>
        <v/>
      </c>
      <c r="AM32" s="188">
        <f>COUNTIF($D32:$AG32,AM$4)</f>
        <v/>
      </c>
      <c r="AN32" s="188">
        <f>COUNTIF($D32:$AG32,AN$4)</f>
        <v/>
      </c>
      <c r="AO32" s="188">
        <f>COUNTIF($D32:$AG32,AO$4)</f>
        <v/>
      </c>
      <c r="AP32" s="188">
        <f>COUNTIF($D32:$AG32,AP$4)</f>
        <v/>
      </c>
      <c r="AQ32" s="189" t="n"/>
      <c r="AR32" s="189" t="n"/>
      <c r="AS32" s="190">
        <f>SUMPRODUCT(--(WEEKDAY(D$3:AG$3,2)&lt;5),--ISNUMBER(MATCH(D32:AG32,{"DM","CS1","CS2","SB1","AE","CS/B"},0)))</f>
        <v/>
      </c>
      <c r="AT32" s="194" t="n"/>
      <c r="AU32" s="190">
        <f>SUMPRODUCT(--(WEEKDAY(D$3:AG$3,2)=5),--ISNUMBER(MATCH(D32:AG32,{"DM","CS1","CS2","SB1","AE","CS/B","WEEKEND OUTFIELD RESERVE"},0)))</f>
        <v/>
      </c>
      <c r="AV32" s="190">
        <f>SUMPRODUCT(--(WEEKDAY(D$3:AG$3,2)&gt;5),--ISNUMBER(MATCH(D32:AG32,{"DM","CS1","CS2","SB1","AE","CS/B","WEEKEND OUTFIELD RESERVE"},0)))</f>
        <v/>
      </c>
      <c r="AW32" s="194" t="n"/>
      <c r="AX32" s="190">
        <f>(AS32-AT32)+AU32*1.5+(AV32-AW32)*2+AM32*0.5+AO32*0.5+AQ32-AR32</f>
        <v/>
      </c>
      <c r="AY32" s="190">
        <f>AS32+AU32+AV32</f>
        <v/>
      </c>
      <c r="AZ32" s="190">
        <f>BD32+BF32+BH32+BJ32+BL32</f>
        <v/>
      </c>
      <c r="BA32" s="189">
        <f>AX32+BC32</f>
        <v/>
      </c>
      <c r="BB32" s="189">
        <f>(BA32-8.5)</f>
        <v/>
      </c>
      <c r="BC32" s="190">
        <f>BE32+BG32+BI32+BK32+BM32</f>
        <v/>
      </c>
      <c r="BD32" s="190">
        <f>COUNTIF(A32:AH32,"*$BTP*")</f>
        <v/>
      </c>
      <c r="BE32" s="190">
        <f>BD32*1.5</f>
        <v/>
      </c>
      <c r="BF32" s="190">
        <f>COUNTIF(A32:AH32,"*$M*")</f>
        <v/>
      </c>
      <c r="BG32" s="190">
        <f>BF32*1</f>
        <v/>
      </c>
      <c r="BH32" s="190">
        <f>COUNTIF(A32:AH32,"*$PM*")</f>
        <v/>
      </c>
      <c r="BI32" s="190">
        <f>BH32*0.5</f>
        <v/>
      </c>
      <c r="BJ32" s="190">
        <f>COUNTIF(A32:AH32,"*$AM*")</f>
        <v/>
      </c>
      <c r="BK32" s="190">
        <f>BJ32*0.5</f>
        <v/>
      </c>
      <c r="BL32" s="190">
        <f>COUNTIF(A32:AH32,"*$FC*")</f>
        <v/>
      </c>
      <c r="BM32" s="190">
        <f>BL32*1</f>
        <v/>
      </c>
      <c r="BN32" s="190">
        <f>COUNTIF($I32:$AB32,BN$4)</f>
        <v/>
      </c>
      <c r="BO32" s="190">
        <f>COUNTIF($I32:$AB32,BO$4)</f>
        <v/>
      </c>
      <c r="BP32" s="190">
        <f>COUNTIF($I32:$AB32,BP$4)</f>
        <v/>
      </c>
      <c r="BQ32" s="194" t="n"/>
    </row>
    <row r="33" ht="51.75" customHeight="1">
      <c r="A33" s="184" t="n"/>
      <c r="B33" s="186" t="inlineStr">
        <is>
          <t xml:space="preserve">LCP STEPHEN TAY </t>
        </is>
      </c>
      <c r="C33" s="186" t="n"/>
      <c r="D33" s="75" t="n"/>
      <c r="E33" s="75" t="inlineStr">
        <is>
          <t>COVER RESERVE</t>
        </is>
      </c>
      <c r="F33" s="53" t="n"/>
      <c r="G33" s="53" t="n"/>
      <c r="H33" s="53" t="n"/>
      <c r="I33" s="53" t="n"/>
      <c r="J33" s="53" t="n"/>
      <c r="K33" s="53" t="inlineStr">
        <is>
          <t>AE</t>
        </is>
      </c>
      <c r="L33" s="53" t="n"/>
      <c r="M33" s="53" t="n"/>
      <c r="N33" s="53" t="inlineStr">
        <is>
          <t>SB1</t>
        </is>
      </c>
      <c r="O33" s="53" t="n"/>
      <c r="P33" s="53" t="n"/>
      <c r="Q33" s="53" t="inlineStr">
        <is>
          <t>SB1</t>
        </is>
      </c>
      <c r="R33" s="53" t="n"/>
      <c r="S33" s="53" t="inlineStr">
        <is>
          <t>J $AM CC (0600-1100)</t>
        </is>
      </c>
      <c r="T33" s="53" t="n"/>
      <c r="U33" s="53" t="inlineStr">
        <is>
          <t>RESERVE</t>
        </is>
      </c>
      <c r="V33" s="53" t="n"/>
      <c r="W33" s="53" t="inlineStr">
        <is>
          <t>AE</t>
        </is>
      </c>
      <c r="X33" s="53" t="n"/>
      <c r="Y33" s="53" t="n"/>
      <c r="Z33" s="53" t="n"/>
      <c r="AA33" s="53" t="inlineStr">
        <is>
          <t>SB2</t>
        </is>
      </c>
      <c r="AB33" s="53" t="inlineStr">
        <is>
          <t>AE</t>
        </is>
      </c>
      <c r="AC33" s="53" t="n"/>
      <c r="AD33" s="53" t="inlineStr">
        <is>
          <t>R $PM IPPT (1530-1830)</t>
        </is>
      </c>
      <c r="AE33" s="53" t="inlineStr">
        <is>
          <t>SB1</t>
        </is>
      </c>
      <c r="AF33" s="53" t="n"/>
      <c r="AG33" s="53" t="n"/>
      <c r="AH33" s="188">
        <f>COUNTIF($D33:$AG33,AH$4)</f>
        <v/>
      </c>
      <c r="AI33" s="188">
        <f>COUNTIF($D33:$AG33,AI$4)</f>
        <v/>
      </c>
      <c r="AJ33" s="188">
        <f>COUNTIF($D33:$AG33,AJ$4)</f>
        <v/>
      </c>
      <c r="AK33" s="188">
        <f>COUNTIF($D33:$AG33,AK$4)</f>
        <v/>
      </c>
      <c r="AL33" s="188">
        <f>COUNTIF($D33:$AG33,AL$4)</f>
        <v/>
      </c>
      <c r="AM33" s="188">
        <f>COUNTIF($D33:$AG33,AM$4)</f>
        <v/>
      </c>
      <c r="AN33" s="188">
        <f>COUNTIF($D33:$AG33,AN$4)</f>
        <v/>
      </c>
      <c r="AO33" s="188">
        <f>COUNTIF($D33:$AG33,AO$4)</f>
        <v/>
      </c>
      <c r="AP33" s="188">
        <f>COUNTIF($D33:$AG33,AP$4)</f>
        <v/>
      </c>
      <c r="AQ33" s="189" t="n">
        <v>0.5</v>
      </c>
      <c r="AR33" s="189" t="n"/>
      <c r="AS33" s="190">
        <f>SUMPRODUCT(--(WEEKDAY(D$3:AG$3,2)&lt;5),--ISNUMBER(MATCH(D33:AG33,{"DM","CS1","CS2","SB1","AE","CS/B"},0)))</f>
        <v/>
      </c>
      <c r="AT33" s="194" t="n"/>
      <c r="AU33" s="190">
        <f>SUMPRODUCT(--(WEEKDAY(D$3:AG$3,2)=5),--ISNUMBER(MATCH(D33:AG33,{"DM","CS1","CS2","SB1","AE","CS/B","WEEKEND OUTFIELD RESERVE"},0)))</f>
        <v/>
      </c>
      <c r="AV33" s="190">
        <f>SUMPRODUCT(--(WEEKDAY(D$3:AG$3,2)&gt;5),--ISNUMBER(MATCH(D33:AG33,{"DM","CS1","CS2","SB1","AE","CS/B","WEEKEND OUTFIELD RESERVE"},0)))</f>
        <v/>
      </c>
      <c r="AW33" s="194" t="n"/>
      <c r="AX33" s="190">
        <f>(AS33-AT33)+AU33*1.5+(AV33-AW33)*2+AM33*0.5+AO33*0.5+AQ33-AR33</f>
        <v/>
      </c>
      <c r="AY33" s="190">
        <f>AS33+AU33+AV33</f>
        <v/>
      </c>
      <c r="AZ33" s="190">
        <f>BD33+BF33+BH33+BJ33+BL33</f>
        <v/>
      </c>
      <c r="BA33" s="189">
        <f>AX33+BC33</f>
        <v/>
      </c>
      <c r="BB33" s="189">
        <f>(BA33-8.5)</f>
        <v/>
      </c>
      <c r="BC33" s="190">
        <f>BE33+BG33+BI33+BK33+BM33</f>
        <v/>
      </c>
      <c r="BD33" s="190">
        <f>COUNTIF(A33:AH33,"*$BTP*")</f>
        <v/>
      </c>
      <c r="BE33" s="190">
        <f>BD33*1.5</f>
        <v/>
      </c>
      <c r="BF33" s="190">
        <f>COUNTIF(A33:AH33,"*$M*")</f>
        <v/>
      </c>
      <c r="BG33" s="190">
        <f>BF33*1</f>
        <v/>
      </c>
      <c r="BH33" s="190">
        <f>COUNTIF(A33:AH33,"*$PM*")</f>
        <v/>
      </c>
      <c r="BI33" s="190">
        <f>BH33*0.5</f>
        <v/>
      </c>
      <c r="BJ33" s="190">
        <f>COUNTIF(A33:AH33,"*$AM*")</f>
        <v/>
      </c>
      <c r="BK33" s="190">
        <f>BJ33*0.5</f>
        <v/>
      </c>
      <c r="BL33" s="190">
        <f>COUNTIF(A33:AH33,"*$FC*")</f>
        <v/>
      </c>
      <c r="BM33" s="190">
        <f>BL33*1</f>
        <v/>
      </c>
      <c r="BN33" s="190">
        <f>COUNTIF($E33:$AA33,BN$4)</f>
        <v/>
      </c>
      <c r="BO33" s="190">
        <f>COUNTIF($E33:$AA33,BO$4)</f>
        <v/>
      </c>
      <c r="BP33" s="190">
        <f>COUNTIF($E33:$AA33,BP$4)</f>
        <v/>
      </c>
      <c r="BQ33" s="194" t="n"/>
    </row>
    <row r="34" ht="19.5" customHeight="1">
      <c r="A34" s="184" t="n"/>
      <c r="B34" s="186" t="inlineStr">
        <is>
          <t xml:space="preserve">LCP EDWARD GAN BOON WEI </t>
        </is>
      </c>
      <c r="C34" s="186" t="n"/>
      <c r="D34" s="137" t="inlineStr">
        <is>
          <t>SHADOW INSIDE CS</t>
        </is>
      </c>
      <c r="E34" s="137" t="inlineStr">
        <is>
          <t>SHADOW OUTSIDE CS</t>
        </is>
      </c>
      <c r="F34" s="53" t="n"/>
      <c r="G34" s="53" t="inlineStr">
        <is>
          <t>RESERVE</t>
        </is>
      </c>
      <c r="H34" s="53" t="n"/>
      <c r="I34" s="53" t="inlineStr">
        <is>
          <t>COVER RESERVE</t>
        </is>
      </c>
      <c r="J34" s="53" t="n"/>
      <c r="K34" s="53" t="n"/>
      <c r="L34" s="53" t="n"/>
      <c r="M34" s="53" t="n"/>
      <c r="N34" s="53" t="inlineStr">
        <is>
          <t>CS2</t>
        </is>
      </c>
      <c r="O34" s="53" t="n"/>
      <c r="P34" s="53" t="n"/>
      <c r="Q34" s="53" t="inlineStr">
        <is>
          <t>J $BTP (0530-2359)</t>
        </is>
      </c>
      <c r="R34" s="53" t="n"/>
      <c r="S34" s="53" t="n"/>
      <c r="T34" s="53" t="inlineStr">
        <is>
          <t>CS2</t>
        </is>
      </c>
      <c r="U34" s="53" t="n"/>
      <c r="V34" s="53" t="inlineStr">
        <is>
          <t>COVER RESERVE</t>
        </is>
      </c>
      <c r="W34" s="53" t="n"/>
      <c r="X34" s="53" t="n"/>
      <c r="Y34" s="192" t="inlineStr">
        <is>
          <t>F $AM ER (0600-1100)</t>
        </is>
      </c>
      <c r="Z34" s="53" t="n"/>
      <c r="AA34" s="53" t="n"/>
      <c r="AB34" s="53" t="n"/>
      <c r="AC34" s="53" t="n"/>
      <c r="AD34" s="53" t="inlineStr">
        <is>
          <t>CS1</t>
        </is>
      </c>
      <c r="AE34" s="53" t="n"/>
      <c r="AF34" s="53" t="inlineStr">
        <is>
          <t>SB1</t>
        </is>
      </c>
      <c r="AG34" s="53" t="n"/>
      <c r="AH34" s="188">
        <f>COUNTIF($D34:$AG34,AH$4)</f>
        <v/>
      </c>
      <c r="AI34" s="188">
        <f>COUNTIF($D34:$AG34,AI$4)</f>
        <v/>
      </c>
      <c r="AJ34" s="188">
        <f>COUNTIF($D34:$AG34,AJ$4)</f>
        <v/>
      </c>
      <c r="AK34" s="188">
        <f>COUNTIF($D34:$AG34,AK$4)</f>
        <v/>
      </c>
      <c r="AL34" s="188">
        <f>COUNTIF($D34:$AG34,AL$4)</f>
        <v/>
      </c>
      <c r="AM34" s="188">
        <f>COUNTIF($D34:$AG34,AM$4)</f>
        <v/>
      </c>
      <c r="AN34" s="188">
        <f>COUNTIF($D34:$AG34,AN$4)</f>
        <v/>
      </c>
      <c r="AO34" s="188">
        <f>COUNTIF($D34:$AG34,AO$4)</f>
        <v/>
      </c>
      <c r="AP34" s="188">
        <f>COUNTIF($D34:$AG34,AP$4)</f>
        <v/>
      </c>
      <c r="AQ34" s="189" t="n">
        <v>1</v>
      </c>
      <c r="AR34" s="189" t="n"/>
      <c r="AS34" s="190">
        <f>SUMPRODUCT(--(WEEKDAY(D$3:AG$3,2)&lt;5),--ISNUMBER(MATCH(D34:AG34,{"DM","CS1","CS2","SB1","AE","CS/B"},0)))</f>
        <v/>
      </c>
      <c r="AT34" s="194" t="n"/>
      <c r="AU34" s="190">
        <f>SUMPRODUCT(--(WEEKDAY(D$3:AG$3,2)=5),--ISNUMBER(MATCH(D34:AG34,{"DM","CS1","CS2","SB1","AE","CS/B","WEEKEND OUTFIELD RESERVE"},0)))</f>
        <v/>
      </c>
      <c r="AV34" s="190">
        <f>SUMPRODUCT(--(WEEKDAY(D$3:AG$3,2)&gt;5),--ISNUMBER(MATCH(D34:AG34,{"DM","CS1","CS2","SB1","AE","CS/B","WEEKEND OUTFIELD RESERVE"},0)))</f>
        <v/>
      </c>
      <c r="AW34" s="194" t="n"/>
      <c r="AX34" s="190">
        <f>(AS34-AT34)+AU34*1.5+(AV34-AW34)*2+AM34*0.5+AO34*0.5+AQ34-AR34</f>
        <v/>
      </c>
      <c r="AY34" s="190">
        <f>AS34+AU34+AV34</f>
        <v/>
      </c>
      <c r="AZ34" s="190">
        <f>BD34+BF34+BH34+BJ34+BL34</f>
        <v/>
      </c>
      <c r="BA34" s="189">
        <f>AX34+BC34</f>
        <v/>
      </c>
      <c r="BB34" s="189">
        <f>(BA34-8.5)</f>
        <v/>
      </c>
      <c r="BC34" s="190">
        <f>BE34+BG34+BI34+BK34+BM34</f>
        <v/>
      </c>
      <c r="BD34" s="190">
        <f>COUNTIF(A34:AH34,"*$BTP*")</f>
        <v/>
      </c>
      <c r="BE34" s="190">
        <f>BD34*1.5</f>
        <v/>
      </c>
      <c r="BF34" s="190">
        <f>COUNTIF(A34:AH34,"*$M*")</f>
        <v/>
      </c>
      <c r="BG34" s="190">
        <f>BF34*1</f>
        <v/>
      </c>
      <c r="BH34" s="190">
        <f>COUNTIF(A34:AH34,"*$PM*")</f>
        <v/>
      </c>
      <c r="BI34" s="190">
        <f>BH34*0.5</f>
        <v/>
      </c>
      <c r="BJ34" s="190">
        <f>COUNTIF(A34:AH34,"*$AM*")</f>
        <v/>
      </c>
      <c r="BK34" s="190">
        <f>BJ34*0.5</f>
        <v/>
      </c>
      <c r="BL34" s="190">
        <f>COUNTIF(A34:AH34,"*$FC*")</f>
        <v/>
      </c>
      <c r="BM34" s="190">
        <f>BL34*1</f>
        <v/>
      </c>
      <c r="BN34" s="190">
        <f>COUNTIF($E34:$AB34,BN$4)</f>
        <v/>
      </c>
      <c r="BO34" s="190">
        <f>COUNTIF($E34:$AB34,BO$4)</f>
        <v/>
      </c>
      <c r="BP34" s="190">
        <f>COUNTIF($E34:$AB34,BP$4)</f>
        <v/>
      </c>
      <c r="BQ34" s="194" t="n"/>
    </row>
    <row r="35" ht="19.5" customHeight="1">
      <c r="A35" s="184" t="n"/>
      <c r="B35" s="186" t="inlineStr">
        <is>
          <t>LCP RAIYAN ZUFAYRI BIN MOHAMAD HELMY</t>
        </is>
      </c>
      <c r="C35" s="186" t="n"/>
      <c r="D35" s="75" t="n"/>
      <c r="E35" s="75" t="inlineStr">
        <is>
          <t>AE</t>
        </is>
      </c>
      <c r="F35" s="53" t="n"/>
      <c r="G35" s="53" t="n"/>
      <c r="H35" s="53" t="n"/>
      <c r="I35" s="192" t="inlineStr">
        <is>
          <t>E $BTP (0500-2300)</t>
        </is>
      </c>
      <c r="J35" s="53" t="n"/>
      <c r="K35" s="53" t="inlineStr">
        <is>
          <t>SHADOW INSIDE CS</t>
        </is>
      </c>
      <c r="L35" s="53" t="inlineStr">
        <is>
          <t>SHADOW OUTSIDE CS</t>
        </is>
      </c>
      <c r="M35" s="53" t="inlineStr">
        <is>
          <t>SB1</t>
        </is>
      </c>
      <c r="N35" s="53" t="n"/>
      <c r="O35" s="53" t="n"/>
      <c r="P35" s="53" t="n"/>
      <c r="Q35" s="53" t="inlineStr">
        <is>
          <t>COVER RESERVE</t>
        </is>
      </c>
      <c r="R35" s="53" t="inlineStr">
        <is>
          <t>SB2</t>
        </is>
      </c>
      <c r="S35" s="53" t="n"/>
      <c r="T35" s="53" t="inlineStr">
        <is>
          <t>CS1</t>
        </is>
      </c>
      <c r="U35" s="53" t="n"/>
      <c r="V35" s="53" t="n"/>
      <c r="W35" s="53" t="inlineStr">
        <is>
          <t>J $AM CC (0600-1100)</t>
        </is>
      </c>
      <c r="X35" s="53" t="n"/>
      <c r="Y35" s="53" t="n"/>
      <c r="Z35" s="53" t="n"/>
      <c r="AA35" s="53" t="n"/>
      <c r="AB35" s="53" t="n"/>
      <c r="AC35" s="53" t="n"/>
      <c r="AD35" s="53" t="inlineStr">
        <is>
          <t>AE</t>
        </is>
      </c>
      <c r="AE35" s="53" t="n"/>
      <c r="AF35" s="53" t="inlineStr">
        <is>
          <t>CS1</t>
        </is>
      </c>
      <c r="AG35" s="53" t="n"/>
      <c r="AH35" s="188">
        <f>COUNTIF($D35:$AG35,AH$4)</f>
        <v/>
      </c>
      <c r="AI35" s="188">
        <f>COUNTIF($D35:$AG35,AI$4)</f>
        <v/>
      </c>
      <c r="AJ35" s="188">
        <f>COUNTIF($D35:$AG35,AJ$4)</f>
        <v/>
      </c>
      <c r="AK35" s="188">
        <f>COUNTIF($D35:$AG35,AK$4)</f>
        <v/>
      </c>
      <c r="AL35" s="188">
        <f>COUNTIF($D35:$AG35,AL$4)</f>
        <v/>
      </c>
      <c r="AM35" s="188">
        <f>COUNTIF($D35:$AG35,AM$4)</f>
        <v/>
      </c>
      <c r="AN35" s="188">
        <f>COUNTIF($D35:$AG35,AN$4)</f>
        <v/>
      </c>
      <c r="AO35" s="188">
        <f>COUNTIF($D35:$AG35,AO$4)</f>
        <v/>
      </c>
      <c r="AP35" s="188">
        <f>COUNTIF($D35:$AG35,AP$4)</f>
        <v/>
      </c>
      <c r="AQ35" s="189" t="n"/>
      <c r="AR35" s="189" t="n"/>
      <c r="AS35" s="190">
        <f>SUMPRODUCT(--(WEEKDAY(D$3:AG$3,2)&lt;5),--ISNUMBER(MATCH(D35:AG35,{"DM","CS1","CS2","SB1","AE","CS/B"},0)))</f>
        <v/>
      </c>
      <c r="AT35" s="194" t="n"/>
      <c r="AU35" s="190">
        <f>SUMPRODUCT(--(WEEKDAY(D$3:AG$3,2)=5),--ISNUMBER(MATCH(D35:AG35,{"DM","CS1","CS2","SB1","AE","CS/B","WEEKEND OUTFIELD RESERVE"},0)))</f>
        <v/>
      </c>
      <c r="AV35" s="190">
        <f>SUMPRODUCT(--(WEEKDAY(D$3:AG$3,2)&gt;5),--ISNUMBER(MATCH(D35:AG35,{"DM","CS1","CS2","SB1","AE","CS/B","WEEKEND OUTFIELD RESERVE"},0)))</f>
        <v/>
      </c>
      <c r="AW35" s="194" t="n"/>
      <c r="AX35" s="190">
        <f>(AS35-AT35)+AU35*1.5+(AV35-AW35)*2+AM35*0.5+AO35*0.5+AQ35-AR35</f>
        <v/>
      </c>
      <c r="AY35" s="190">
        <f>AS35+AU35+AV35</f>
        <v/>
      </c>
      <c r="AZ35" s="190">
        <f>BD35+BF35+BH35+BJ35+BL35</f>
        <v/>
      </c>
      <c r="BA35" s="189">
        <f>AX35+BC35</f>
        <v/>
      </c>
      <c r="BB35" s="189">
        <f>(BA35-8.5)</f>
        <v/>
      </c>
      <c r="BC35" s="190">
        <f>BE35+BG35+BI35+BK35+BM35</f>
        <v/>
      </c>
      <c r="BD35" s="190">
        <f>COUNTIF(A35:AH35,"*$BTP*")</f>
        <v/>
      </c>
      <c r="BE35" s="190">
        <f>BD35*1.5</f>
        <v/>
      </c>
      <c r="BF35" s="190">
        <f>COUNTIF(A35:AH35,"*$M*")</f>
        <v/>
      </c>
      <c r="BG35" s="190">
        <f>BF35*1</f>
        <v/>
      </c>
      <c r="BH35" s="190">
        <f>COUNTIF(A35:AH35,"*$PM*")</f>
        <v/>
      </c>
      <c r="BI35" s="190">
        <f>BH35*0.5</f>
        <v/>
      </c>
      <c r="BJ35" s="190">
        <f>COUNTIF(A35:AH35,"*$AM*")</f>
        <v/>
      </c>
      <c r="BK35" s="190">
        <f>BJ35*0.5</f>
        <v/>
      </c>
      <c r="BL35" s="190">
        <f>COUNTIF(A35:AH35,"*$FC*")</f>
        <v/>
      </c>
      <c r="BM35" s="190">
        <f>BL35*1</f>
        <v/>
      </c>
      <c r="BN35" s="190">
        <f>COUNTIF($E35:$Z35,BN$4)</f>
        <v/>
      </c>
      <c r="BO35" s="190">
        <f>COUNTIF($E35:$Z35,BO$4)</f>
        <v/>
      </c>
      <c r="BP35" s="190">
        <f>COUNTIF($E35:$Z35,BP$4)</f>
        <v/>
      </c>
      <c r="BQ35" s="194" t="n"/>
    </row>
    <row r="36" ht="19.5" customHeight="1">
      <c r="A36" s="184" t="n"/>
      <c r="B36" s="186" t="inlineStr">
        <is>
          <t>PTE CHOA ZONGHAN ETIENNE</t>
        </is>
      </c>
      <c r="C36" s="186" t="n"/>
      <c r="D36" s="137" t="inlineStr">
        <is>
          <t>SHADOW OUTSIDE CS</t>
        </is>
      </c>
      <c r="E36" s="137" t="inlineStr">
        <is>
          <t>SHADOW INSIDE CS</t>
        </is>
      </c>
      <c r="F36" s="53" t="n"/>
      <c r="G36" s="53" t="n"/>
      <c r="H36" s="53" t="inlineStr">
        <is>
          <t>AE</t>
        </is>
      </c>
      <c r="I36" s="53" t="n"/>
      <c r="J36" s="53" t="inlineStr">
        <is>
          <t>RESERVE</t>
        </is>
      </c>
      <c r="K36" s="53" t="n"/>
      <c r="L36" s="53" t="n"/>
      <c r="M36" s="53" t="inlineStr">
        <is>
          <t>AE</t>
        </is>
      </c>
      <c r="N36" s="53" t="n"/>
      <c r="O36" s="53" t="n"/>
      <c r="P36" s="53" t="inlineStr">
        <is>
          <t>SB2</t>
        </is>
      </c>
      <c r="Q36" s="53" t="inlineStr">
        <is>
          <t>S PERM $PM SOC (1700-2000)</t>
        </is>
      </c>
      <c r="R36" s="53" t="n"/>
      <c r="S36" s="53" t="n"/>
      <c r="T36" s="53" t="n"/>
      <c r="U36" s="53" t="n"/>
      <c r="V36" s="53" t="inlineStr">
        <is>
          <t>T $M ISAD (0500-1730)</t>
        </is>
      </c>
      <c r="W36" s="53" t="n"/>
      <c r="X36" s="53" t="n"/>
      <c r="Y36" s="53" t="inlineStr">
        <is>
          <t>AE</t>
        </is>
      </c>
      <c r="Z36" s="53" t="n"/>
      <c r="AA36" s="53" t="n"/>
      <c r="AB36" s="53" t="n"/>
      <c r="AC36" s="53" t="n"/>
      <c r="AD36" s="53" t="n"/>
      <c r="AE36" s="53" t="n"/>
      <c r="AF36" s="53" t="inlineStr">
        <is>
          <t>CS2</t>
        </is>
      </c>
      <c r="AG36" s="53" t="n"/>
      <c r="AH36" s="188">
        <f>COUNTIF($D36:$AG36,AH$4)</f>
        <v/>
      </c>
      <c r="AI36" s="188">
        <f>COUNTIF($D36:$AG36,AI$4)</f>
        <v/>
      </c>
      <c r="AJ36" s="188">
        <f>COUNTIF($D36:$AG36,AJ$4)</f>
        <v/>
      </c>
      <c r="AK36" s="188">
        <f>COUNTIF($D36:$AG36,AK$4)</f>
        <v/>
      </c>
      <c r="AL36" s="188">
        <f>COUNTIF($D36:$AG36,AL$4)</f>
        <v/>
      </c>
      <c r="AM36" s="188">
        <f>COUNTIF($D36:$AG36,AM$4)</f>
        <v/>
      </c>
      <c r="AN36" s="188">
        <f>COUNTIF($D36:$AG36,AN$4)</f>
        <v/>
      </c>
      <c r="AO36" s="188">
        <f>COUNTIF($D36:$AG36,AO$4)</f>
        <v/>
      </c>
      <c r="AP36" s="188">
        <f>COUNTIF($D36:$AG36,AP$4)</f>
        <v/>
      </c>
      <c r="AQ36" s="189" t="n">
        <v>0.5</v>
      </c>
      <c r="AR36" s="189" t="n"/>
      <c r="AS36" s="190">
        <f>SUMPRODUCT(--(WEEKDAY(D$3:AG$3,2)&lt;5),--ISNUMBER(MATCH(D36:AG36,{"DM","CS1","CS2","SB1","AE","CS/B"},0)))</f>
        <v/>
      </c>
      <c r="AT36" s="194" t="n"/>
      <c r="AU36" s="190">
        <f>SUMPRODUCT(--(WEEKDAY(D$3:AG$3,2)=5),--ISNUMBER(MATCH(D36:AG36,{"DM","CS1","CS2","SB1","AE","CS/B","WEEKEND OUTFIELD RESERVE"},0)))</f>
        <v/>
      </c>
      <c r="AV36" s="190">
        <f>SUMPRODUCT(--(WEEKDAY(D$3:AG$3,2)&gt;5),--ISNUMBER(MATCH(D36:AG36,{"DM","CS1","CS2","SB1","AE","CS/B","WEEKEND OUTFIELD RESERVE"},0)))</f>
        <v/>
      </c>
      <c r="AW36" s="194" t="n"/>
      <c r="AX36" s="190">
        <f>(AS36-AT36)+AU36*1.5+(AV36-AW36)*2+AM36*0.5+AO36*0.5+AQ36-AR36</f>
        <v/>
      </c>
      <c r="AY36" s="190">
        <f>AS36+AU36+AV36</f>
        <v/>
      </c>
      <c r="AZ36" s="190">
        <f>BD36+BF36+BH36+BJ36+BL36</f>
        <v/>
      </c>
      <c r="BA36" s="189">
        <f>AX36+BC36</f>
        <v/>
      </c>
      <c r="BB36" s="189">
        <f>(BA36-8.5)</f>
        <v/>
      </c>
      <c r="BC36" s="190">
        <f>BE36+BG36+BI36+BK36+BM36</f>
        <v/>
      </c>
      <c r="BD36" s="190">
        <f>COUNTIF(A36:AH36,"*$BTP*")</f>
        <v/>
      </c>
      <c r="BE36" s="190">
        <f>BD36*1.5</f>
        <v/>
      </c>
      <c r="BF36" s="190">
        <f>COUNTIF(A36:AH36,"*$M*")</f>
        <v/>
      </c>
      <c r="BG36" s="190">
        <f>BF36*1</f>
        <v/>
      </c>
      <c r="BH36" s="190">
        <f>COUNTIF(A36:AH36,"*$PM*")</f>
        <v/>
      </c>
      <c r="BI36" s="190">
        <f>BH36*0.5</f>
        <v/>
      </c>
      <c r="BJ36" s="190">
        <f>COUNTIF(A36:AH36,"*$AM*")</f>
        <v/>
      </c>
      <c r="BK36" s="190">
        <f>BJ36*0.5</f>
        <v/>
      </c>
      <c r="BL36" s="190">
        <f>COUNTIF(A36:AH36,"*$FC*")</f>
        <v/>
      </c>
      <c r="BM36" s="190">
        <f>BL36*1</f>
        <v/>
      </c>
      <c r="BN36" s="190">
        <f>COUNTIF($E36:$AA36,BN$4)</f>
        <v/>
      </c>
      <c r="BO36" s="190">
        <f>COUNTIF($E36:$AA36,BO$4)</f>
        <v/>
      </c>
      <c r="BP36" s="190">
        <f>COUNTIF($E36:$AA36,BP$4)</f>
        <v/>
      </c>
      <c r="BQ36" s="194" t="n"/>
    </row>
    <row r="37" ht="19.5" customHeight="1">
      <c r="A37" s="184" t="n"/>
      <c r="B37" s="186" t="inlineStr">
        <is>
          <t>LCP SHLOK PUROHIT</t>
        </is>
      </c>
      <c r="C37" s="186" t="n"/>
      <c r="D37" s="53" t="n"/>
      <c r="E37" s="53" t="n"/>
      <c r="F37" s="53" t="inlineStr">
        <is>
          <t>AE</t>
        </is>
      </c>
      <c r="G37" s="53" t="n"/>
      <c r="H37" s="53" t="n"/>
      <c r="I37" s="53" t="n"/>
      <c r="J37" s="192" t="inlineStr">
        <is>
          <t>E $BTP (0500-2300)</t>
        </is>
      </c>
      <c r="K37" s="53" t="n"/>
      <c r="L37" s="53" t="n"/>
      <c r="M37" s="53" t="inlineStr">
        <is>
          <t>COVER RESERVE</t>
        </is>
      </c>
      <c r="N37" s="53" t="n"/>
      <c r="O37" s="53" t="n"/>
      <c r="P37" s="53" t="n"/>
      <c r="Q37" s="53" t="inlineStr">
        <is>
          <t>CS1</t>
        </is>
      </c>
      <c r="R37" s="53" t="n"/>
      <c r="S37" s="53" t="n"/>
      <c r="T37" s="53" t="inlineStr">
        <is>
          <t>R $AM IPPT (0500-1000)</t>
        </is>
      </c>
      <c r="U37" s="53" t="n"/>
      <c r="V37" s="53" t="inlineStr">
        <is>
          <t>RESERVE</t>
        </is>
      </c>
      <c r="W37" s="53" t="n"/>
      <c r="X37" s="53" t="inlineStr">
        <is>
          <t>AE</t>
        </is>
      </c>
      <c r="Y37" s="53" t="n"/>
      <c r="Z37" s="53" t="n"/>
      <c r="AA37" s="53" t="n"/>
      <c r="AB37" s="53" t="n"/>
      <c r="AC37" s="53" t="n"/>
      <c r="AD37" s="53" t="n"/>
      <c r="AE37" s="53" t="inlineStr">
        <is>
          <t>SB2</t>
        </is>
      </c>
      <c r="AF37" s="53" t="inlineStr">
        <is>
          <t>AE</t>
        </is>
      </c>
      <c r="AG37" s="53" t="n"/>
      <c r="AH37" s="188">
        <f>COUNTIF($D37:$AG37,AH$4)</f>
        <v/>
      </c>
      <c r="AI37" s="188">
        <f>COUNTIF($D37:$AG37,AI$4)</f>
        <v/>
      </c>
      <c r="AJ37" s="188">
        <f>COUNTIF($D37:$AG37,AJ$4)</f>
        <v/>
      </c>
      <c r="AK37" s="188">
        <f>COUNTIF($D37:$AG37,AK$4)</f>
        <v/>
      </c>
      <c r="AL37" s="188">
        <f>COUNTIF($D37:$AG37,AL$4)</f>
        <v/>
      </c>
      <c r="AM37" s="188">
        <f>COUNTIF($D37:$AG37,AM$4)</f>
        <v/>
      </c>
      <c r="AN37" s="188">
        <f>COUNTIF($D37:$AG37,AN$4)</f>
        <v/>
      </c>
      <c r="AO37" s="188">
        <f>COUNTIF($D37:$AG37,AO$4)</f>
        <v/>
      </c>
      <c r="AP37" s="188">
        <f>COUNTIF($D37:$AG37,AP$4)</f>
        <v/>
      </c>
      <c r="AQ37" s="189" t="n">
        <v>1</v>
      </c>
      <c r="AR37" s="189" t="n"/>
      <c r="AS37" s="190">
        <f>SUMPRODUCT(--(WEEKDAY(D$3:AG$3,2)&lt;5),--ISNUMBER(MATCH(D37:AG37,{"DM","CS1","CS2","SB1","AE","CS/B"},0)))</f>
        <v/>
      </c>
      <c r="AT37" s="194" t="n"/>
      <c r="AU37" s="190">
        <f>SUMPRODUCT(--(WEEKDAY(D$3:AG$3,2)=5),--ISNUMBER(MATCH(D37:AG37,{"DM","CS1","CS2","SB1","AE","CS/B","WEEKEND OUTFIELD RESERVE"},0)))</f>
        <v/>
      </c>
      <c r="AV37" s="190">
        <f>SUMPRODUCT(--(WEEKDAY(D$3:AG$3,2)&gt;5),--ISNUMBER(MATCH(D37:AG37,{"DM","CS1","CS2","SB1","AE","CS/B","WEEKEND OUTFIELD RESERVE"},0)))</f>
        <v/>
      </c>
      <c r="AW37" s="194" t="n"/>
      <c r="AX37" s="190">
        <f>(AS37-AT37)+AU37*1.5+(AV37-AW37)*2+AM37*0.5+AO37*0.5+AQ37-AR37</f>
        <v/>
      </c>
      <c r="AY37" s="190">
        <f>AS37+AU37+AV37</f>
        <v/>
      </c>
      <c r="AZ37" s="190">
        <f>BD37+BF37+BH37+BJ37+BL37</f>
        <v/>
      </c>
      <c r="BA37" s="189">
        <f>AX37+BC37</f>
        <v/>
      </c>
      <c r="BB37" s="189">
        <f>(BA37-8.5)</f>
        <v/>
      </c>
      <c r="BC37" s="190">
        <f>BE37+BG37+BI37+BK37+BM37</f>
        <v/>
      </c>
      <c r="BD37" s="190">
        <f>COUNTIF(A37:AH37,"*$BTP*")</f>
        <v/>
      </c>
      <c r="BE37" s="190">
        <f>BD37*1.5</f>
        <v/>
      </c>
      <c r="BF37" s="190">
        <f>COUNTIF(A37:AH37,"*$M*")</f>
        <v/>
      </c>
      <c r="BG37" s="190">
        <f>BF37*1</f>
        <v/>
      </c>
      <c r="BH37" s="190">
        <f>COUNTIF(A37:AH37,"*$PM*")</f>
        <v/>
      </c>
      <c r="BI37" s="190">
        <f>BH37*0.5</f>
        <v/>
      </c>
      <c r="BJ37" s="190">
        <f>COUNTIF(A37:AH37,"*$AM*")</f>
        <v/>
      </c>
      <c r="BK37" s="190">
        <f>BJ37*0.5</f>
        <v/>
      </c>
      <c r="BL37" s="190">
        <f>COUNTIF(A37:AH37,"*$FC*")</f>
        <v/>
      </c>
      <c r="BM37" s="190">
        <f>BL37*1</f>
        <v/>
      </c>
      <c r="BN37" s="190">
        <f>COUNTIF($E37:$AA37,BN$4)</f>
        <v/>
      </c>
      <c r="BO37" s="190">
        <f>COUNTIF($E37:$AA37,BO$4)</f>
        <v/>
      </c>
      <c r="BP37" s="190">
        <f>COUNTIF($E37:$AA37,BP$4)</f>
        <v/>
      </c>
      <c r="BQ37" s="194" t="n"/>
    </row>
    <row r="38" ht="19.5" customHeight="1">
      <c r="A38" s="184" t="n"/>
      <c r="B38" s="186" t="inlineStr">
        <is>
          <t>LCP HYDER ISKANDAR BIN ZULKILFILY</t>
        </is>
      </c>
      <c r="C38" s="186" t="n"/>
      <c r="D38" s="53" t="n"/>
      <c r="E38" s="137" t="inlineStr">
        <is>
          <t>RESERVE</t>
        </is>
      </c>
      <c r="F38" s="53" t="n"/>
      <c r="G38" s="53" t="n"/>
      <c r="H38" s="53" t="n"/>
      <c r="I38" s="53" t="inlineStr">
        <is>
          <t>CS/B</t>
        </is>
      </c>
      <c r="J38" s="53" t="n"/>
      <c r="K38" s="53" t="inlineStr">
        <is>
          <t>CS1</t>
        </is>
      </c>
      <c r="L38" s="53" t="n"/>
      <c r="M38" s="53" t="inlineStr">
        <is>
          <t>S $AM CC (0500-1000)</t>
        </is>
      </c>
      <c r="N38" s="53" t="n"/>
      <c r="O38" s="53" t="n"/>
      <c r="P38" s="53" t="inlineStr">
        <is>
          <t>J $BTP (0530-2359)</t>
        </is>
      </c>
      <c r="Q38" s="53" t="n"/>
      <c r="R38" s="53" t="inlineStr">
        <is>
          <t>COVER RESERVE</t>
        </is>
      </c>
      <c r="S38" s="53" t="n"/>
      <c r="T38" s="53" t="n"/>
      <c r="U38" s="53" t="inlineStr">
        <is>
          <t>CS2</t>
        </is>
      </c>
      <c r="V38" s="53" t="n"/>
      <c r="W38" s="136" t="n"/>
      <c r="X38" s="53" t="n"/>
      <c r="Y38" s="53" t="inlineStr">
        <is>
          <t>SB1</t>
        </is>
      </c>
      <c r="Z38" s="53" t="n"/>
      <c r="AA38" s="53" t="n"/>
      <c r="AB38" s="53" t="n"/>
      <c r="AC38" s="53" t="n"/>
      <c r="AD38" s="53" t="inlineStr">
        <is>
          <t>CS/B</t>
        </is>
      </c>
      <c r="AE38" s="53" t="n"/>
      <c r="AF38" s="53" t="n"/>
      <c r="AG38" s="53" t="inlineStr">
        <is>
          <t>CS1</t>
        </is>
      </c>
      <c r="AH38" s="188">
        <f>COUNTIF($D38:$AG38,AH$4)</f>
        <v/>
      </c>
      <c r="AI38" s="188">
        <f>COUNTIF($D38:$AG38,AI$4)</f>
        <v/>
      </c>
      <c r="AJ38" s="188">
        <f>COUNTIF($D38:$AG38,AJ$4)</f>
        <v/>
      </c>
      <c r="AK38" s="188">
        <f>COUNTIF($D38:$AG38,AK$4)</f>
        <v/>
      </c>
      <c r="AL38" s="188">
        <f>COUNTIF($D38:$AG38,AL$4)</f>
        <v/>
      </c>
      <c r="AM38" s="188">
        <f>COUNTIF($D38:$AG38,AM$4)</f>
        <v/>
      </c>
      <c r="AN38" s="188">
        <f>COUNTIF($D38:$AG38,AN$4)</f>
        <v/>
      </c>
      <c r="AO38" s="188">
        <f>COUNTIF($D38:$AG38,AO$4)</f>
        <v/>
      </c>
      <c r="AP38" s="188">
        <f>COUNTIF($D38:$AG38,AP$4)</f>
        <v/>
      </c>
      <c r="AQ38" s="189" t="n">
        <v>0.5</v>
      </c>
      <c r="AR38" s="189" t="n"/>
      <c r="AS38" s="190">
        <f>SUMPRODUCT(--(WEEKDAY(D$3:AG$3,2)&lt;5),--ISNUMBER(MATCH(D38:AG38,{"DM","CS1","CS2","SB1","AE","CS/B"},0)))</f>
        <v/>
      </c>
      <c r="AT38" s="194" t="n"/>
      <c r="AU38" s="190">
        <f>SUMPRODUCT(--(WEEKDAY(D$3:AG$3,2)=5),--ISNUMBER(MATCH(D38:AG38,{"DM","CS1","CS2","SB1","AE","CS/B","WEEKEND OUTFIELD RESERVE"},0)))</f>
        <v/>
      </c>
      <c r="AV38" s="190">
        <f>SUMPRODUCT(--(WEEKDAY(D$3:AG$3,2)&gt;5),--ISNUMBER(MATCH(D38:AG38,{"DM","CS1","CS2","SB1","AE","CS/B","WEEKEND OUTFIELD RESERVE"},0)))</f>
        <v/>
      </c>
      <c r="AW38" s="194" t="n"/>
      <c r="AX38" s="190">
        <f>(AS38-AT38)+AU38*1.5+(AV38-AW38)*2+AM38*0.5+AO38*0.5+AQ38-AR38</f>
        <v/>
      </c>
      <c r="AY38" s="190">
        <f>AS38+AU38+AV38</f>
        <v/>
      </c>
      <c r="AZ38" s="190">
        <f>BD38+BF38+BH38+BJ38+BL38</f>
        <v/>
      </c>
      <c r="BA38" s="189">
        <f>AX38+BC38</f>
        <v/>
      </c>
      <c r="BB38" s="189">
        <f>(BA38-8.5)</f>
        <v/>
      </c>
      <c r="BC38" s="190">
        <f>BE38+BG38+BI38+BK38+BM38</f>
        <v/>
      </c>
      <c r="BD38" s="190">
        <f>COUNTIF(A38:AH38,"*$BTP*")</f>
        <v/>
      </c>
      <c r="BE38" s="190">
        <f>BD38*1.5</f>
        <v/>
      </c>
      <c r="BF38" s="190">
        <f>COUNTIF(A38:AH38,"*$M*")</f>
        <v/>
      </c>
      <c r="BG38" s="190">
        <f>BF38*1</f>
        <v/>
      </c>
      <c r="BH38" s="190">
        <f>COUNTIF(A38:AH38,"*$PM*")</f>
        <v/>
      </c>
      <c r="BI38" s="190">
        <f>BH38*0.5</f>
        <v/>
      </c>
      <c r="BJ38" s="190">
        <f>COUNTIF(A38:AH38,"*$AM*")</f>
        <v/>
      </c>
      <c r="BK38" s="190">
        <f>BJ38*0.5</f>
        <v/>
      </c>
      <c r="BL38" s="190">
        <f>COUNTIF(A38:AH38,"*$FC*")</f>
        <v/>
      </c>
      <c r="BM38" s="190">
        <f>BL38*1</f>
        <v/>
      </c>
      <c r="BN38" s="190">
        <f>COUNTIF($E38:$AA38,BN$4)</f>
        <v/>
      </c>
      <c r="BO38" s="190">
        <f>COUNTIF($E38:$AA38,BO$4)</f>
        <v/>
      </c>
      <c r="BP38" s="190">
        <f>COUNTIF($E38:$AA38,BP$4)</f>
        <v/>
      </c>
      <c r="BQ38" s="194" t="n"/>
    </row>
    <row r="39" ht="19.5" customHeight="1">
      <c r="A39" s="184" t="n"/>
      <c r="B39" s="186" t="inlineStr">
        <is>
          <t>PTE MUHAMMAD SHAUKI BIN MOHD SHAM</t>
        </is>
      </c>
      <c r="C39" s="186" t="n"/>
      <c r="D39" s="53" t="inlineStr">
        <is>
          <t>SB2</t>
        </is>
      </c>
      <c r="E39" s="53" t="inlineStr">
        <is>
          <t>SHADOW COVER</t>
        </is>
      </c>
      <c r="F39" s="53" t="n"/>
      <c r="G39" s="53" t="n"/>
      <c r="H39" s="53" t="n"/>
      <c r="I39" s="53" t="n"/>
      <c r="J39" s="53" t="inlineStr">
        <is>
          <t>SHADOW COVER</t>
        </is>
      </c>
      <c r="K39" s="192" t="inlineStr">
        <is>
          <t>D $BTP (0500-2300)</t>
        </is>
      </c>
      <c r="L39" s="53" t="n"/>
      <c r="M39" s="53" t="n"/>
      <c r="N39" s="53" t="n"/>
      <c r="O39" s="53" t="n"/>
      <c r="P39" s="53" t="n"/>
      <c r="Q39" s="53" t="inlineStr">
        <is>
          <t>AE</t>
        </is>
      </c>
      <c r="R39" s="53" t="n"/>
      <c r="S39" s="53" t="n"/>
      <c r="T39" s="53" t="inlineStr">
        <is>
          <t>COVER RESERVE</t>
        </is>
      </c>
      <c r="U39" s="53" t="n"/>
      <c r="V39" s="53" t="n"/>
      <c r="W39" s="53" t="n"/>
      <c r="X39" s="53" t="inlineStr">
        <is>
          <t>COVER RESERVE</t>
        </is>
      </c>
      <c r="Y39" s="53" t="inlineStr">
        <is>
          <t>T $PM ER (1630-1830)</t>
        </is>
      </c>
      <c r="Z39" s="53" t="n"/>
      <c r="AA39" s="187" t="inlineStr">
        <is>
          <t>D $FC</t>
        </is>
      </c>
      <c r="AB39" s="187" t="inlineStr">
        <is>
          <t>D $FC</t>
        </is>
      </c>
      <c r="AC39" s="187" t="inlineStr">
        <is>
          <t>D $FC</t>
        </is>
      </c>
      <c r="AD39" s="187" t="inlineStr">
        <is>
          <t>D $FC</t>
        </is>
      </c>
      <c r="AE39" s="187" t="inlineStr">
        <is>
          <t>D $FC</t>
        </is>
      </c>
      <c r="AF39" s="53" t="n"/>
      <c r="AG39" s="53" t="n"/>
      <c r="AH39" s="188">
        <f>COUNTIF($D39:$AG39,AH$4)</f>
        <v/>
      </c>
      <c r="AI39" s="188">
        <f>COUNTIF($D39:$AG39,AI$4)</f>
        <v/>
      </c>
      <c r="AJ39" s="188">
        <f>COUNTIF($D39:$AG39,AJ$4)</f>
        <v/>
      </c>
      <c r="AK39" s="188">
        <f>COUNTIF($D39:$AG39,AK$4)</f>
        <v/>
      </c>
      <c r="AL39" s="188">
        <f>COUNTIF($D39:$AG39,AL$4)</f>
        <v/>
      </c>
      <c r="AM39" s="188">
        <f>COUNTIF($D39:$AG39,AM$4)</f>
        <v/>
      </c>
      <c r="AN39" s="188">
        <f>COUNTIF($D39:$AG39,AN$4)</f>
        <v/>
      </c>
      <c r="AO39" s="188">
        <f>COUNTIF($D39:$AG39,AO$4)</f>
        <v/>
      </c>
      <c r="AP39" s="188">
        <f>COUNTIF($D39:$AG39,AP$4)</f>
        <v/>
      </c>
      <c r="AQ39" s="189" t="n"/>
      <c r="AR39" s="189" t="n"/>
      <c r="AS39" s="190">
        <f>SUMPRODUCT(--(WEEKDAY(D$3:AG$3,2)&lt;5),--ISNUMBER(MATCH(D39:AG39,{"DM","CS1","CS2","SB1","AE","CS/B"},0)))</f>
        <v/>
      </c>
      <c r="AT39" s="194" t="n"/>
      <c r="AU39" s="190">
        <f>SUMPRODUCT(--(WEEKDAY(D$3:AG$3,2)=5),--ISNUMBER(MATCH(D39:AG39,{"DM","CS1","CS2","SB1","AE","CS/B","WEEKEND OUTFIELD RESERVE"},0)))</f>
        <v/>
      </c>
      <c r="AV39" s="190">
        <f>SUMPRODUCT(--(WEEKDAY(D$3:AG$3,2)&gt;5),--ISNUMBER(MATCH(D39:AG39,{"DM","CS1","CS2","SB1","AE","CS/B","WEEKEND OUTFIELD RESERVE"},0)))</f>
        <v/>
      </c>
      <c r="AW39" s="194" t="n"/>
      <c r="AX39" s="190">
        <f>(AS39-AT39)+AU39*1.5+(AV39-AW39)*2+AM39*0.5+AO39*0.5+AQ39-AR39</f>
        <v/>
      </c>
      <c r="AY39" s="190">
        <f>AS39+AU39+AV39</f>
        <v/>
      </c>
      <c r="AZ39" s="190">
        <f>BD39+BF39+BH39+BJ39+BL39</f>
        <v/>
      </c>
      <c r="BA39" s="189">
        <f>AX39+BC39</f>
        <v/>
      </c>
      <c r="BB39" s="189">
        <f>(BA39-8.5)</f>
        <v/>
      </c>
      <c r="BC39" s="190">
        <f>BE39+BG39+BI39+BK39+BM39</f>
        <v/>
      </c>
      <c r="BD39" s="190">
        <f>COUNTIF(A39:AH39,"*$BTP*")</f>
        <v/>
      </c>
      <c r="BE39" s="190">
        <f>BD39*1.5</f>
        <v/>
      </c>
      <c r="BF39" s="190">
        <f>COUNTIF(A39:AH39,"*$M*")</f>
        <v/>
      </c>
      <c r="BG39" s="190">
        <f>BF39*1</f>
        <v/>
      </c>
      <c r="BH39" s="190">
        <f>COUNTIF(A39:AH39,"*$PM*")</f>
        <v/>
      </c>
      <c r="BI39" s="190">
        <f>BH39*0.5</f>
        <v/>
      </c>
      <c r="BJ39" s="190">
        <f>COUNTIF(A39:AH39,"*$AM*")</f>
        <v/>
      </c>
      <c r="BK39" s="190">
        <f>BJ39*0.5</f>
        <v/>
      </c>
      <c r="BL39" s="190">
        <f>COUNTIF(A39:AH39,"*$FC*")</f>
        <v/>
      </c>
      <c r="BM39" s="190">
        <f>BL39*1</f>
        <v/>
      </c>
      <c r="BN39" s="190">
        <f>COUNTIF($E39:$Z39,BN$4)</f>
        <v/>
      </c>
      <c r="BO39" s="190">
        <f>COUNTIF($E39:$Z39,BO$4)</f>
        <v/>
      </c>
      <c r="BP39" s="190">
        <f>COUNTIF($E39:$Z39,BP$4)</f>
        <v/>
      </c>
      <c r="BQ39" s="194" t="n"/>
    </row>
    <row r="40" ht="19.5" customHeight="1">
      <c r="A40" s="184" t="n"/>
      <c r="B40" s="186" t="inlineStr">
        <is>
          <t>PTE HUANG JIHUI</t>
        </is>
      </c>
      <c r="C40" s="186" t="n"/>
      <c r="D40" s="53" t="n"/>
      <c r="E40" s="53" t="inlineStr">
        <is>
          <t>SHADOW COVER</t>
        </is>
      </c>
      <c r="F40" s="53" t="n"/>
      <c r="G40" s="53" t="n"/>
      <c r="H40" s="53" t="n"/>
      <c r="I40" s="53" t="inlineStr">
        <is>
          <t>SB2</t>
        </is>
      </c>
      <c r="J40" s="53" t="inlineStr">
        <is>
          <t>SHADOW COVER</t>
        </is>
      </c>
      <c r="K40" s="53" t="n"/>
      <c r="L40" s="192" t="inlineStr">
        <is>
          <t>D $BTP (0500-2300)</t>
        </is>
      </c>
      <c r="M40" s="53" t="n"/>
      <c r="N40" s="53" t="n"/>
      <c r="O40" s="53" t="n"/>
      <c r="P40" s="192" t="inlineStr">
        <is>
          <t>E $M HG (0500-2000)</t>
        </is>
      </c>
      <c r="Q40" s="53" t="n"/>
      <c r="R40" s="53" t="n"/>
      <c r="S40" s="53" t="n"/>
      <c r="T40" s="53" t="n"/>
      <c r="U40" s="53" t="inlineStr">
        <is>
          <t>AE</t>
        </is>
      </c>
      <c r="V40" s="53" t="n"/>
      <c r="W40" s="53" t="n"/>
      <c r="X40" s="53" t="inlineStr">
        <is>
          <t xml:space="preserve">HQ ICT $AM IPPT (0600-1030) </t>
        </is>
      </c>
      <c r="Y40" s="53" t="n"/>
      <c r="Z40" s="53" t="n"/>
      <c r="AA40" s="53" t="n"/>
      <c r="AB40" s="187" t="inlineStr">
        <is>
          <t xml:space="preserve">E $FC </t>
        </is>
      </c>
      <c r="AC40" s="187" t="inlineStr">
        <is>
          <t xml:space="preserve">E $FC </t>
        </is>
      </c>
      <c r="AD40" s="187" t="inlineStr">
        <is>
          <t xml:space="preserve">E $FC </t>
        </is>
      </c>
      <c r="AE40" s="187" t="inlineStr">
        <is>
          <t xml:space="preserve">E $FC </t>
        </is>
      </c>
      <c r="AF40" s="187" t="inlineStr">
        <is>
          <t xml:space="preserve">E $FC </t>
        </is>
      </c>
      <c r="AG40" s="53" t="n"/>
      <c r="AH40" s="188">
        <f>COUNTIF($D40:$AG40,AH$4)</f>
        <v/>
      </c>
      <c r="AI40" s="188">
        <f>COUNTIF($D40:$AG40,AI$4)</f>
        <v/>
      </c>
      <c r="AJ40" s="188">
        <f>COUNTIF($D40:$AG40,AJ$4)</f>
        <v/>
      </c>
      <c r="AK40" s="188">
        <f>COUNTIF($D40:$AG40,AK$4)</f>
        <v/>
      </c>
      <c r="AL40" s="188">
        <f>COUNTIF($D40:$AG40,AL$4)</f>
        <v/>
      </c>
      <c r="AM40" s="188">
        <f>COUNTIF($D40:$AG40,AM$4)</f>
        <v/>
      </c>
      <c r="AN40" s="188">
        <f>COUNTIF($D40:$AG40,AN$4)</f>
        <v/>
      </c>
      <c r="AO40" s="188">
        <f>COUNTIF($D40:$AG40,AO$4)</f>
        <v/>
      </c>
      <c r="AP40" s="188">
        <f>COUNTIF($D40:$AG40,AP$4)</f>
        <v/>
      </c>
      <c r="AQ40" s="189" t="n"/>
      <c r="AR40" s="189" t="n"/>
      <c r="AS40" s="190">
        <f>SUMPRODUCT(--(WEEKDAY(D$3:AG$3,2)&lt;5),--ISNUMBER(MATCH(D40:AG40,{"DM","CS1","CS2","SB1","AE","CS/B"},0)))</f>
        <v/>
      </c>
      <c r="AT40" s="194" t="n"/>
      <c r="AU40" s="190">
        <f>SUMPRODUCT(--(WEEKDAY(D$3:AG$3,2)=5),--ISNUMBER(MATCH(D40:AG40,{"DM","CS1","CS2","SB1","AE","CS/B","WEEKEND OUTFIELD RESERVE"},0)))</f>
        <v/>
      </c>
      <c r="AV40" s="190">
        <f>SUMPRODUCT(--(WEEKDAY(D$3:AG$3,2)&gt;5),--ISNUMBER(MATCH(D40:AG40,{"DM","CS1","CS2","SB1","AE","CS/B","WEEKEND OUTFIELD RESERVE"},0)))</f>
        <v/>
      </c>
      <c r="AW40" s="194" t="n"/>
      <c r="AX40" s="190">
        <f>(AS40-AT40)+AU40*1.5+(AV40-AW40)*2+AM40*0.5+AO40*0.5+AQ40-AR40</f>
        <v/>
      </c>
      <c r="AY40" s="190">
        <f>AS40+AU40+AV40</f>
        <v/>
      </c>
      <c r="AZ40" s="190">
        <f>BD40+BF40+BH40+BJ40+BL40</f>
        <v/>
      </c>
      <c r="BA40" s="189">
        <f>AX40+BC40</f>
        <v/>
      </c>
      <c r="BB40" s="189">
        <f>(BA40-8.5)</f>
        <v/>
      </c>
      <c r="BC40" s="190">
        <f>BE40+BG40+BI40+BK40+BM40</f>
        <v/>
      </c>
      <c r="BD40" s="190">
        <f>COUNTIF(A40:AH40,"*$BTP*")</f>
        <v/>
      </c>
      <c r="BE40" s="190">
        <f>BD40*1.5</f>
        <v/>
      </c>
      <c r="BF40" s="190">
        <f>COUNTIF(A40:AH40,"*$M*")</f>
        <v/>
      </c>
      <c r="BG40" s="190">
        <f>BF40*1</f>
        <v/>
      </c>
      <c r="BH40" s="190">
        <f>COUNTIF(A40:AH40,"*$PM*")</f>
        <v/>
      </c>
      <c r="BI40" s="190">
        <f>BH40*0.5</f>
        <v/>
      </c>
      <c r="BJ40" s="190">
        <f>COUNTIF(A40:AH40,"*$AM*")</f>
        <v/>
      </c>
      <c r="BK40" s="190">
        <f>BJ40*0.5</f>
        <v/>
      </c>
      <c r="BL40" s="190">
        <f>COUNTIF(A40:AH40,"*$FC*")</f>
        <v/>
      </c>
      <c r="BM40" s="190">
        <f>BL40*1</f>
        <v/>
      </c>
      <c r="BN40" s="190">
        <f>COUNTIF($E40:$AA40,BN$4)</f>
        <v/>
      </c>
      <c r="BO40" s="190">
        <f>COUNTIF($E40:$AA40,BO$4)</f>
        <v/>
      </c>
      <c r="BP40" s="190">
        <f>COUNTIF($E40:$AA40,BP$4)</f>
        <v/>
      </c>
      <c r="BQ40" s="194" t="n"/>
    </row>
    <row r="41" ht="19.5" customHeight="1">
      <c r="A41" s="184" t="n"/>
      <c r="B41" s="186" t="inlineStr">
        <is>
          <t>PTE MUHAMMAD HAMZA ZUBERI</t>
        </is>
      </c>
      <c r="C41" s="186" t="n"/>
      <c r="D41" s="53" t="n"/>
      <c r="E41" s="53" t="inlineStr">
        <is>
          <t>SHADOW COVER</t>
        </is>
      </c>
      <c r="F41" s="53" t="n"/>
      <c r="G41" s="53" t="inlineStr">
        <is>
          <t>AE</t>
        </is>
      </c>
      <c r="H41" s="53" t="n"/>
      <c r="I41" s="53" t="n"/>
      <c r="J41" s="53" t="inlineStr">
        <is>
          <t>SHADOW COVER</t>
        </is>
      </c>
      <c r="K41" s="53" t="inlineStr">
        <is>
          <t>SB2</t>
        </is>
      </c>
      <c r="L41" s="53" t="inlineStr">
        <is>
          <t>AE</t>
        </is>
      </c>
      <c r="M41" s="53" t="n"/>
      <c r="N41" s="53" t="n"/>
      <c r="O41" s="53" t="n"/>
      <c r="P41" s="53" t="n"/>
      <c r="Q41" s="53" t="inlineStr">
        <is>
          <t>S $AM IPPT (0500-1000)</t>
        </is>
      </c>
      <c r="R41" s="53" t="n"/>
      <c r="S41" s="53" t="inlineStr">
        <is>
          <t>COVER RESERVE</t>
        </is>
      </c>
      <c r="T41" s="53" t="inlineStr">
        <is>
          <t>AE</t>
        </is>
      </c>
      <c r="U41" s="53" t="n"/>
      <c r="V41" s="53" t="n"/>
      <c r="W41" s="53" t="n"/>
      <c r="X41" s="53" t="n"/>
      <c r="Y41" s="53" t="inlineStr">
        <is>
          <t>COVER RESERVE</t>
        </is>
      </c>
      <c r="Z41" s="53" t="inlineStr">
        <is>
          <t>AE</t>
        </is>
      </c>
      <c r="AA41" s="53" t="n"/>
      <c r="AB41" s="53" t="n"/>
      <c r="AC41" s="53" t="inlineStr">
        <is>
          <t>AE</t>
        </is>
      </c>
      <c r="AD41" s="53" t="n"/>
      <c r="AE41" s="53" t="n"/>
      <c r="AF41" s="53" t="n"/>
      <c r="AG41" s="53" t="inlineStr">
        <is>
          <t>COVER RESERVE</t>
        </is>
      </c>
      <c r="AH41" s="188">
        <f>COUNTIF($D41:$AG41,AH$4)</f>
        <v/>
      </c>
      <c r="AI41" s="188">
        <f>COUNTIF($D41:$AG41,AI$4)</f>
        <v/>
      </c>
      <c r="AJ41" s="188">
        <f>COUNTIF($D41:$AG41,AJ$4)</f>
        <v/>
      </c>
      <c r="AK41" s="188">
        <f>COUNTIF($D41:$AG41,AK$4)</f>
        <v/>
      </c>
      <c r="AL41" s="188">
        <f>COUNTIF($D41:$AG41,AL$4)</f>
        <v/>
      </c>
      <c r="AM41" s="188">
        <f>COUNTIF($D41:$AG41,AM$4)</f>
        <v/>
      </c>
      <c r="AN41" s="188">
        <f>COUNTIF($D41:$AG41,AN$4)</f>
        <v/>
      </c>
      <c r="AO41" s="188">
        <f>COUNTIF($D41:$AG41,AO$4)</f>
        <v/>
      </c>
      <c r="AP41" s="188">
        <f>COUNTIF($D41:$AG41,AP$4)</f>
        <v/>
      </c>
      <c r="AQ41" s="189" t="n"/>
      <c r="AR41" s="189" t="n"/>
      <c r="AS41" s="190">
        <f>SUMPRODUCT(--(WEEKDAY(D$3:AG$3,2)&lt;5),--ISNUMBER(MATCH(D41:AG41,{"DM","CS1","CS2","SB1","AE","CS/B"},0)))</f>
        <v/>
      </c>
      <c r="AT41" s="194" t="n"/>
      <c r="AU41" s="190">
        <f>SUMPRODUCT(--(WEEKDAY(D$3:AG$3,2)=5),--ISNUMBER(MATCH(D41:AG41,{"DM","CS1","CS2","SB1","AE","CS/B","WEEKEND OUTFIELD RESERVE"},0)))</f>
        <v/>
      </c>
      <c r="AV41" s="190">
        <f>SUMPRODUCT(--(WEEKDAY(D$3:AG$3,2)&gt;5),--ISNUMBER(MATCH(D41:AG41,{"DM","CS1","CS2","SB1","AE","CS/B","WEEKEND OUTFIELD RESERVE"},0)))</f>
        <v/>
      </c>
      <c r="AW41" s="194" t="n"/>
      <c r="AX41" s="190">
        <f>(AS41-AT41)+AU41*1.5+(AV41-AW41)*2+AM41*0.5+AO41*0.5+AQ41-AR41</f>
        <v/>
      </c>
      <c r="AY41" s="190">
        <f>AS41+AU41+AV41</f>
        <v/>
      </c>
      <c r="AZ41" s="190">
        <f>BD41+BF41+BH41+BJ41+BL41</f>
        <v/>
      </c>
      <c r="BA41" s="189">
        <f>AX41+BC41</f>
        <v/>
      </c>
      <c r="BB41" s="189">
        <f>(BA41-8.5)</f>
        <v/>
      </c>
      <c r="BC41" s="190">
        <f>BE41+BG41+BI41+BK41+BM41</f>
        <v/>
      </c>
      <c r="BD41" s="190">
        <f>COUNTIF(A41:AH41,"*$BTP*")</f>
        <v/>
      </c>
      <c r="BE41" s="190">
        <f>BD41*1.5</f>
        <v/>
      </c>
      <c r="BF41" s="190">
        <f>COUNTIF(A41:AH41,"*$M*")</f>
        <v/>
      </c>
      <c r="BG41" s="190">
        <f>BF41*1</f>
        <v/>
      </c>
      <c r="BH41" s="190">
        <f>COUNTIF(A41:AH41,"*$PM*")</f>
        <v/>
      </c>
      <c r="BI41" s="190">
        <f>BH41*0.5</f>
        <v/>
      </c>
      <c r="BJ41" s="190">
        <f>COUNTIF(A41:AH41,"*$AM*")</f>
        <v/>
      </c>
      <c r="BK41" s="190">
        <f>BJ41*0.5</f>
        <v/>
      </c>
      <c r="BL41" s="190">
        <f>COUNTIF(A41:AH41,"*$FC*")</f>
        <v/>
      </c>
      <c r="BM41" s="190">
        <f>BL41*1</f>
        <v/>
      </c>
      <c r="BN41" s="190">
        <f>COUNTIF($E41:$AA41,BN$4)</f>
        <v/>
      </c>
      <c r="BO41" s="190">
        <f>COUNTIF($E41:$AA41,BO$4)</f>
        <v/>
      </c>
      <c r="BP41" s="190">
        <f>COUNTIF($E41:$AA41,BP$4)</f>
        <v/>
      </c>
      <c r="BQ41" s="194" t="n"/>
    </row>
    <row r="42" ht="19.5" customHeight="1">
      <c r="A42" s="184" t="n"/>
      <c r="B42" s="186" t="inlineStr">
        <is>
          <t>PTE RAGURAMAN ANIRUDH</t>
        </is>
      </c>
      <c r="C42" s="186" t="n"/>
      <c r="D42" s="53" t="n"/>
      <c r="E42" s="53" t="inlineStr">
        <is>
          <t>SHADOW COVER</t>
        </is>
      </c>
      <c r="F42" s="53" t="n"/>
      <c r="G42" s="53" t="n"/>
      <c r="H42" s="53" t="n"/>
      <c r="I42" s="53" t="n"/>
      <c r="J42" s="53" t="inlineStr">
        <is>
          <t>SHADOW COVER</t>
        </is>
      </c>
      <c r="K42" s="53" t="n"/>
      <c r="L42" s="53" t="inlineStr">
        <is>
          <t>SB2</t>
        </is>
      </c>
      <c r="M42" s="53" t="n"/>
      <c r="N42" s="53" t="inlineStr">
        <is>
          <t>AE</t>
        </is>
      </c>
      <c r="O42" s="53" t="n"/>
      <c r="P42" s="53" t="n"/>
      <c r="Q42" s="53" t="n"/>
      <c r="R42" s="53" t="inlineStr">
        <is>
          <t>S $BTP (0500-2359)</t>
        </is>
      </c>
      <c r="S42" s="53" t="n"/>
      <c r="T42" s="53" t="n"/>
      <c r="U42" s="53" t="n"/>
      <c r="V42" s="53" t="n"/>
      <c r="W42" s="53" t="inlineStr">
        <is>
          <t>COVER RESERVE</t>
        </is>
      </c>
      <c r="X42" s="53" t="n"/>
      <c r="Y42" s="53" t="n"/>
      <c r="Z42" s="53" t="n"/>
      <c r="AA42" s="53" t="inlineStr">
        <is>
          <t>S $FC</t>
        </is>
      </c>
      <c r="AB42" s="53" t="inlineStr">
        <is>
          <t>S $FC</t>
        </is>
      </c>
      <c r="AC42" s="53" t="inlineStr">
        <is>
          <t>S $FC</t>
        </is>
      </c>
      <c r="AD42" s="53" t="inlineStr">
        <is>
          <t>S $FC</t>
        </is>
      </c>
      <c r="AE42" s="53" t="inlineStr">
        <is>
          <t>S $FC</t>
        </is>
      </c>
      <c r="AF42" s="53" t="n"/>
      <c r="AG42" s="53" t="n"/>
      <c r="AH42" s="188">
        <f>COUNTIF($D42:$AG42,AH$4)</f>
        <v/>
      </c>
      <c r="AI42" s="188">
        <f>COUNTIF($D42:$AG42,AI$4)</f>
        <v/>
      </c>
      <c r="AJ42" s="188">
        <f>COUNTIF($D42:$AG42,AJ$4)</f>
        <v/>
      </c>
      <c r="AK42" s="188">
        <f>COUNTIF($D42:$AG42,AK$4)</f>
        <v/>
      </c>
      <c r="AL42" s="188">
        <f>COUNTIF($D42:$AG42,AL$4)</f>
        <v/>
      </c>
      <c r="AM42" s="188">
        <f>COUNTIF($D42:$AG42,AM$4)</f>
        <v/>
      </c>
      <c r="AN42" s="188">
        <f>COUNTIF($D42:$AG42,AN$4)</f>
        <v/>
      </c>
      <c r="AO42" s="188">
        <f>COUNTIF($D42:$AG42,AO$4)</f>
        <v/>
      </c>
      <c r="AP42" s="188">
        <f>COUNTIF($D42:$AG42,AP$4)</f>
        <v/>
      </c>
      <c r="AQ42" s="189" t="n"/>
      <c r="AR42" s="189" t="n"/>
      <c r="AS42" s="190">
        <f>SUMPRODUCT(--(WEEKDAY(D$3:AG$3,2)&lt;5),--ISNUMBER(MATCH(D42:AG42,{"DM","CS1","CS2","SB1","AE","CS/B"},0)))</f>
        <v/>
      </c>
      <c r="AT42" s="194" t="n"/>
      <c r="AU42" s="190">
        <f>SUMPRODUCT(--(WEEKDAY(D$3:AG$3,2)=5),--ISNUMBER(MATCH(D42:AG42,{"DM","CS1","CS2","SB1","AE","CS/B","WEEKEND OUTFIELD RESERVE"},0)))</f>
        <v/>
      </c>
      <c r="AV42" s="190">
        <f>SUMPRODUCT(--(WEEKDAY(D$3:AG$3,2)&gt;5),--ISNUMBER(MATCH(D42:AG42,{"DM","CS1","CS2","SB1","AE","CS/B","WEEKEND OUTFIELD RESERVE"},0)))</f>
        <v/>
      </c>
      <c r="AW42" s="194" t="n"/>
      <c r="AX42" s="190">
        <f>(AS42-AT42)+AU42*1.5+(AV42-AW42)*2+AM42*0.5+AO42*0.5+AQ42-AR42</f>
        <v/>
      </c>
      <c r="AY42" s="190">
        <f>AS42+AU42+AV42</f>
        <v/>
      </c>
      <c r="AZ42" s="190">
        <f>BD42+BF42+BH42+BJ42+BL42</f>
        <v/>
      </c>
      <c r="BA42" s="189">
        <f>AX42+BC42</f>
        <v/>
      </c>
      <c r="BB42" s="189">
        <f>(BA42-8.5)</f>
        <v/>
      </c>
      <c r="BC42" s="190">
        <f>BE42+BG42+BI42+BK42+BM42</f>
        <v/>
      </c>
      <c r="BD42" s="190">
        <f>COUNTIF(A42:AH42,"*$BTP*")</f>
        <v/>
      </c>
      <c r="BE42" s="190">
        <f>BD42*1.5</f>
        <v/>
      </c>
      <c r="BF42" s="190">
        <f>COUNTIF(A42:AH42,"*$M*")</f>
        <v/>
      </c>
      <c r="BG42" s="190">
        <f>BF42*1</f>
        <v/>
      </c>
      <c r="BH42" s="190">
        <f>COUNTIF(A42:AH42,"*$PM*")</f>
        <v/>
      </c>
      <c r="BI42" s="190">
        <f>BH42*0.5</f>
        <v/>
      </c>
      <c r="BJ42" s="190">
        <f>COUNTIF(A42:AH42,"*$AM*")</f>
        <v/>
      </c>
      <c r="BK42" s="190">
        <f>BJ42*0.5</f>
        <v/>
      </c>
      <c r="BL42" s="190">
        <f>COUNTIF(A42:AH42,"*$FC*")</f>
        <v/>
      </c>
      <c r="BM42" s="190">
        <f>BL42*1</f>
        <v/>
      </c>
      <c r="BN42" s="190">
        <f>COUNTIF($E42:$Z42,BN$4)</f>
        <v/>
      </c>
      <c r="BO42" s="190">
        <f>COUNTIF($E42:$Z42,BO$4)</f>
        <v/>
      </c>
      <c r="BP42" s="190">
        <f>COUNTIF($E42:$Z42,BP$4)</f>
        <v/>
      </c>
      <c r="BQ42" s="194" t="n"/>
    </row>
    <row r="43" ht="19.5" customHeight="1">
      <c r="A43" s="184" t="n"/>
      <c r="B43" s="195" t="inlineStr">
        <is>
          <t>Leave a blank row after the last name ^</t>
        </is>
      </c>
      <c r="C43" s="195" t="n"/>
      <c r="D43" s="196" t="n"/>
      <c r="E43" s="197" t="n"/>
      <c r="F43" s="197" t="n"/>
      <c r="G43" s="197" t="n"/>
      <c r="H43" s="53" t="n"/>
      <c r="I43" s="53" t="n"/>
      <c r="J43" s="197" t="n"/>
      <c r="K43" s="197" t="n"/>
      <c r="L43" s="197" t="n"/>
      <c r="M43" s="197" t="n"/>
      <c r="N43" s="53" t="n"/>
      <c r="O43" s="197" t="n"/>
      <c r="P43" s="197" t="n"/>
      <c r="Q43" s="197" t="n"/>
      <c r="R43" s="53" t="n"/>
      <c r="S43" s="53" t="n"/>
      <c r="T43" s="197" t="n"/>
      <c r="U43" s="196" t="n"/>
      <c r="V43" s="198" t="n"/>
      <c r="W43" s="53" t="n"/>
      <c r="X43" s="137" t="n"/>
      <c r="Y43" s="197" t="n"/>
      <c r="Z43" s="197" t="n"/>
      <c r="AA43" s="53" t="n"/>
      <c r="AB43" s="53" t="n"/>
      <c r="AC43" s="53" t="n"/>
      <c r="AD43" s="53" t="n"/>
      <c r="AE43" s="53" t="n"/>
      <c r="AF43" s="197" t="n"/>
      <c r="AG43" s="197" t="n"/>
      <c r="AH43" s="188" t="n"/>
      <c r="AI43" s="188" t="n"/>
      <c r="AJ43" s="188" t="n"/>
      <c r="AK43" s="188" t="n"/>
      <c r="AL43" s="194" t="n"/>
      <c r="AM43" s="194" t="n"/>
      <c r="AN43" s="194" t="n"/>
      <c r="AO43" s="194" t="n"/>
      <c r="AP43" s="194" t="n"/>
      <c r="AQ43" s="194" t="n"/>
      <c r="AR43" s="194" t="n"/>
      <c r="AS43" s="190" t="n"/>
      <c r="AT43" s="194" t="n"/>
      <c r="AU43" s="194" t="n"/>
      <c r="AV43" s="190" t="n"/>
      <c r="AW43" s="194" t="n"/>
      <c r="AX43" s="194" t="n"/>
      <c r="AY43" s="190" t="n"/>
      <c r="AZ43" s="190" t="n"/>
      <c r="BA43" s="190" t="n"/>
      <c r="BB43" s="190" t="n"/>
      <c r="BC43" s="190" t="n"/>
      <c r="BD43" s="190" t="n"/>
      <c r="BE43" s="190" t="n"/>
      <c r="BF43" s="190" t="n"/>
      <c r="BG43" s="190" t="n"/>
      <c r="BH43" s="190" t="n"/>
      <c r="BI43" s="190" t="n"/>
      <c r="BJ43" s="190" t="n"/>
      <c r="BK43" s="190" t="n"/>
      <c r="BL43" s="190" t="n"/>
      <c r="BM43" s="190" t="n"/>
      <c r="BN43" s="194" t="n"/>
      <c r="BO43" s="194" t="n"/>
      <c r="BP43" s="194" t="n"/>
      <c r="BQ43" s="194" t="n"/>
    </row>
    <row r="44" ht="19.5" customHeight="1">
      <c r="A44" s="184" t="n"/>
      <c r="B44" s="199" t="inlineStr">
        <is>
          <t>SERVICE POINTS</t>
        </is>
      </c>
      <c r="C44" s="199" t="n"/>
      <c r="D44" s="196" t="n"/>
      <c r="E44" s="197" t="n"/>
      <c r="F44" s="197" t="n"/>
      <c r="G44" s="197" t="n"/>
      <c r="H44" s="197" t="n"/>
      <c r="I44" s="197" t="n"/>
      <c r="J44" s="197" t="n"/>
      <c r="K44" s="197" t="n"/>
      <c r="L44" s="197" t="n"/>
      <c r="M44" s="197" t="n"/>
      <c r="N44" s="53" t="n"/>
      <c r="O44" s="197" t="n"/>
      <c r="P44" s="197" t="n"/>
      <c r="Q44" s="197" t="n"/>
      <c r="R44" s="53" t="n"/>
      <c r="S44" s="53" t="n"/>
      <c r="T44" s="197" t="n"/>
      <c r="U44" s="196" t="n"/>
      <c r="V44" s="198" t="n"/>
      <c r="W44" s="200" t="n"/>
      <c r="X44" s="197" t="n"/>
      <c r="Y44" s="197" t="n"/>
      <c r="Z44" s="197" t="n"/>
      <c r="AA44" s="197" t="n"/>
      <c r="AB44" s="197" t="n"/>
      <c r="AC44" s="197" t="n"/>
      <c r="AD44" s="197" t="n"/>
      <c r="AE44" s="197" t="n"/>
      <c r="AF44" s="197" t="n"/>
      <c r="AG44" s="197" t="n"/>
      <c r="AH44" s="188" t="n"/>
      <c r="AI44" s="188" t="n"/>
      <c r="AJ44" s="188" t="n"/>
      <c r="AK44" s="188" t="n"/>
      <c r="AL44" s="194" t="n"/>
      <c r="AM44" s="194" t="n"/>
      <c r="AN44" s="194" t="n"/>
      <c r="AO44" s="194" t="n"/>
      <c r="AP44" s="194" t="n"/>
      <c r="AQ44" s="194" t="n"/>
      <c r="AR44" s="194" t="n"/>
      <c r="AS44" s="190" t="n"/>
      <c r="AT44" s="194" t="n"/>
      <c r="AU44" s="194" t="n"/>
      <c r="AV44" s="190" t="n"/>
      <c r="AW44" s="194" t="n"/>
      <c r="AX44" s="194" t="n"/>
      <c r="AY44" s="190" t="n"/>
      <c r="AZ44" s="190" t="n"/>
      <c r="BA44" s="190" t="n"/>
      <c r="BB44" s="190" t="n"/>
      <c r="BC44" s="190" t="n"/>
      <c r="BD44" s="190" t="n"/>
      <c r="BE44" s="190" t="n"/>
      <c r="BF44" s="190" t="n"/>
      <c r="BG44" s="190" t="n"/>
      <c r="BH44" s="190" t="n"/>
      <c r="BI44" s="190" t="n"/>
      <c r="BJ44" s="190" t="n"/>
      <c r="BK44" s="190" t="n"/>
      <c r="BL44" s="190" t="n"/>
      <c r="BM44" s="190" t="n"/>
      <c r="BN44" s="194" t="n"/>
      <c r="BO44" s="194" t="n"/>
      <c r="BP44" s="194" t="n"/>
      <c r="BQ44" s="194" t="n"/>
    </row>
    <row r="45" ht="19.5" customHeight="1">
      <c r="A45" s="184" t="n"/>
      <c r="B45" s="199" t="inlineStr">
        <is>
          <t>COMBAT POINTS</t>
        </is>
      </c>
      <c r="C45" s="199" t="n"/>
      <c r="D45" s="196" t="n"/>
      <c r="E45" s="197" t="n"/>
      <c r="F45" s="197" t="n"/>
      <c r="G45" s="197" t="n"/>
      <c r="H45" s="197" t="n"/>
      <c r="I45" s="197" t="n"/>
      <c r="J45" s="197" t="n"/>
      <c r="K45" s="197" t="n"/>
      <c r="L45" s="197" t="n"/>
      <c r="M45" s="197" t="n"/>
      <c r="N45" s="53" t="n"/>
      <c r="O45" s="197" t="n"/>
      <c r="P45" s="197" t="n"/>
      <c r="Q45" s="197" t="n"/>
      <c r="R45" s="53" t="n"/>
      <c r="S45" s="53" t="n"/>
      <c r="T45" s="197" t="n"/>
      <c r="U45" s="196" t="n"/>
      <c r="V45" s="198" t="inlineStr">
        <is>
          <t>             </t>
        </is>
      </c>
      <c r="W45" s="200" t="n"/>
      <c r="X45" s="197" t="n"/>
      <c r="Y45" s="197" t="n"/>
      <c r="Z45" s="197" t="n"/>
      <c r="AA45" s="197" t="n"/>
      <c r="AB45" s="197" t="n"/>
      <c r="AC45" s="197" t="n"/>
      <c r="AD45" s="197" t="n"/>
      <c r="AE45" s="197" t="n"/>
      <c r="AF45" s="197" t="n"/>
      <c r="AG45" s="197" t="n"/>
      <c r="AH45" s="188" t="n"/>
      <c r="AI45" s="188" t="n"/>
      <c r="AJ45" s="188" t="n"/>
      <c r="AK45" s="188" t="n"/>
      <c r="AL45" s="194" t="n"/>
      <c r="AM45" s="194" t="n"/>
      <c r="AN45" s="194" t="n"/>
      <c r="AO45" s="194" t="n"/>
      <c r="AP45" s="194" t="n"/>
      <c r="AQ45" s="194" t="n"/>
      <c r="AR45" s="194" t="n"/>
      <c r="AS45" s="190" t="n"/>
      <c r="AT45" s="194" t="n"/>
      <c r="AU45" s="194" t="n"/>
      <c r="AV45" s="190" t="n"/>
      <c r="AW45" s="194" t="n"/>
      <c r="AX45" s="194" t="n"/>
      <c r="AY45" s="190" t="n"/>
      <c r="AZ45" s="190" t="n"/>
      <c r="BA45" s="190" t="n"/>
      <c r="BB45" s="190" t="n"/>
      <c r="BC45" s="190" t="n"/>
      <c r="BD45" s="190" t="n"/>
      <c r="BE45" s="190" t="n"/>
      <c r="BF45" s="190" t="n"/>
      <c r="BG45" s="190" t="n"/>
      <c r="BH45" s="190" t="n"/>
      <c r="BI45" s="190" t="n"/>
      <c r="BJ45" s="190" t="n"/>
      <c r="BK45" s="190" t="n"/>
      <c r="BL45" s="190" t="n"/>
      <c r="BM45" s="190" t="n"/>
      <c r="BN45" s="194" t="n"/>
      <c r="BO45" s="194" t="n"/>
      <c r="BP45" s="194" t="n"/>
      <c r="BQ45" s="194" t="n"/>
    </row>
    <row r="46" ht="19.5" customHeight="1">
      <c r="A46" s="184" t="n"/>
      <c r="B46" s="199" t="inlineStr">
        <is>
          <t>TOTAL POINTS</t>
        </is>
      </c>
      <c r="C46" s="199" t="n"/>
      <c r="D46" s="196" t="n"/>
      <c r="E46" s="197" t="n"/>
      <c r="F46" s="197" t="n"/>
      <c r="G46" s="197" t="n"/>
      <c r="H46" s="197" t="n"/>
      <c r="I46" s="197" t="n"/>
      <c r="J46" s="197" t="n"/>
      <c r="K46" s="197" t="n"/>
      <c r="L46" s="197" t="n"/>
      <c r="M46" s="197" t="n"/>
      <c r="N46" s="53" t="n"/>
      <c r="O46" s="197" t="n"/>
      <c r="P46" s="197" t="n"/>
      <c r="Q46" s="197" t="n"/>
      <c r="R46" s="53" t="n"/>
      <c r="S46" s="53" t="n"/>
      <c r="T46" s="197" t="n"/>
      <c r="U46" s="196" t="n"/>
      <c r="V46" s="198" t="n"/>
      <c r="W46" s="200" t="n"/>
      <c r="X46" s="197" t="n"/>
      <c r="Y46" s="197" t="n"/>
      <c r="Z46" s="197" t="n"/>
      <c r="AA46" s="197" t="n"/>
      <c r="AB46" s="197" t="n"/>
      <c r="AC46" s="197" t="n"/>
      <c r="AD46" s="197" t="n"/>
      <c r="AE46" s="197" t="n"/>
      <c r="AF46" s="197" t="n"/>
      <c r="AG46" s="197" t="n"/>
      <c r="AH46" s="188" t="n"/>
      <c r="AI46" s="188" t="n"/>
      <c r="AJ46" s="188" t="n"/>
      <c r="AK46" s="188" t="n"/>
      <c r="AL46" s="194" t="n"/>
      <c r="AM46" s="194" t="n"/>
      <c r="AN46" s="194" t="n"/>
      <c r="AO46" s="194" t="n"/>
      <c r="AP46" s="194" t="n"/>
      <c r="AQ46" s="194" t="n"/>
      <c r="AR46" s="194" t="n"/>
      <c r="AS46" s="190" t="n"/>
      <c r="AT46" s="194" t="n"/>
      <c r="AU46" s="194" t="n"/>
      <c r="AV46" s="190" t="n"/>
      <c r="AW46" s="194" t="n"/>
      <c r="AX46" s="194" t="n"/>
      <c r="AY46" s="190" t="n"/>
      <c r="AZ46" s="190" t="n"/>
      <c r="BA46" s="190" t="n"/>
      <c r="BB46" s="190" t="n"/>
      <c r="BC46" s="190" t="n"/>
      <c r="BD46" s="190" t="n"/>
      <c r="BE46" s="190" t="n"/>
      <c r="BF46" s="190" t="n"/>
      <c r="BG46" s="190" t="n"/>
      <c r="BH46" s="190" t="n"/>
      <c r="BI46" s="190" t="n"/>
      <c r="BJ46" s="190" t="n"/>
      <c r="BK46" s="190" t="n"/>
      <c r="BL46" s="190" t="n"/>
      <c r="BM46" s="190" t="n"/>
      <c r="BN46" s="194" t="n"/>
      <c r="BO46" s="194" t="n"/>
      <c r="BP46" s="194" t="n"/>
      <c r="BQ46" s="194" t="n"/>
    </row>
    <row r="47" ht="19.5" customHeight="1">
      <c r="A47" s="184" t="n"/>
      <c r="B47" s="201" t="n"/>
      <c r="C47" s="201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3" t="n"/>
      <c r="AI47" s="203" t="n"/>
      <c r="AJ47" s="203" t="n"/>
      <c r="AK47" s="203" t="n"/>
      <c r="AL47" s="204" t="n"/>
      <c r="AM47" s="204" t="n"/>
      <c r="AN47" s="204" t="n"/>
      <c r="AO47" s="204" t="n"/>
      <c r="AP47" s="204" t="n"/>
      <c r="AQ47" s="204" t="n"/>
      <c r="AR47" s="204" t="n"/>
      <c r="AS47" s="204" t="n"/>
      <c r="AT47" s="204" t="n"/>
      <c r="AU47" s="204" t="n"/>
      <c r="AV47" s="204">
        <f>SUMPRODUCT(--WEEKDAY(D$3:AG$3,2)&gt;5,--((D47:AG47="DM"))+(D47:AG47="CS1")+((D47:AG47="CS2"))+(D47:AG47="SB1")+(D47:AG47="AE")+(D47:AG47="EM"))</f>
        <v/>
      </c>
      <c r="AW47" s="204" t="n"/>
      <c r="AX47" s="204">
        <f>(AS47-AT47)/2+(AV47-AW47)</f>
        <v/>
      </c>
      <c r="AY47" s="204" t="n"/>
      <c r="AZ47" s="204" t="n"/>
      <c r="BA47" s="204" t="n"/>
      <c r="BB47" s="204" t="n"/>
      <c r="BC47" s="204" t="n"/>
      <c r="BD47" s="204" t="n"/>
      <c r="BE47" s="204" t="n"/>
      <c r="BF47" s="204" t="n"/>
      <c r="BG47" s="204" t="n"/>
      <c r="BH47" s="204" t="n"/>
      <c r="BI47" s="204" t="n"/>
      <c r="BJ47" s="204" t="n"/>
      <c r="BK47" s="204" t="n"/>
      <c r="BL47" s="204" t="n"/>
      <c r="BM47" s="204" t="n"/>
      <c r="BN47" s="204" t="n"/>
      <c r="BO47" s="204" t="n"/>
      <c r="BP47" s="204" t="n"/>
      <c r="BQ47" s="204" t="n"/>
    </row>
    <row r="48" ht="19.5" customHeight="1">
      <c r="A48" s="184" t="n"/>
      <c r="B48" s="205" t="inlineStr">
        <is>
          <t>DM</t>
        </is>
      </c>
      <c r="C48" s="205" t="n"/>
      <c r="D48" s="206">
        <f>VLOOKUP("DM",D5:D42,1,FALSE)</f>
        <v/>
      </c>
      <c r="E48" s="206">
        <f>VLOOKUP("DM",E5:E42,1,FALSE)</f>
        <v/>
      </c>
      <c r="F48" s="206">
        <f>VLOOKUP("DM",F5:F42,1,FALSE)</f>
        <v/>
      </c>
      <c r="G48" s="206">
        <f>VLOOKUP("DM",G5:G42,1,FALSE)</f>
        <v/>
      </c>
      <c r="H48" s="206">
        <f>VLOOKUP("DM",H5:H42,1,FALSE)</f>
        <v/>
      </c>
      <c r="I48" s="206">
        <f>VLOOKUP("DM",I5:I42,1,FALSE)</f>
        <v/>
      </c>
      <c r="J48" s="206">
        <f>VLOOKUP("DM",J5:J42,1,FALSE)</f>
        <v/>
      </c>
      <c r="K48" s="206">
        <f>VLOOKUP("DM",K5:K42,1,FALSE)</f>
        <v/>
      </c>
      <c r="L48" s="206">
        <f>VLOOKUP("DM",L5:L42,1,FALSE)</f>
        <v/>
      </c>
      <c r="M48" s="206">
        <f>VLOOKUP("DM",M5:M42,1,FALSE)</f>
        <v/>
      </c>
      <c r="N48" s="206">
        <f>VLOOKUP("DM",N5:N42,1,FALSE)</f>
        <v/>
      </c>
      <c r="O48" s="206">
        <f>VLOOKUP("DM",O5:O42,1,FALSE)</f>
        <v/>
      </c>
      <c r="P48" s="206">
        <f>VLOOKUP("DM",P5:P42,1,FALSE)</f>
        <v/>
      </c>
      <c r="Q48" s="206">
        <f>VLOOKUP("DM",Q5:Q41,1,FALSE)</f>
        <v/>
      </c>
      <c r="R48" s="206">
        <f>VLOOKUP("DM",R5:R42,1,FALSE)</f>
        <v/>
      </c>
      <c r="S48" s="206">
        <f>VLOOKUP("DM",S5:S41,1,FALSE)</f>
        <v/>
      </c>
      <c r="T48" s="206">
        <f>VLOOKUP("DM",T5:T42,1,FALSE)</f>
        <v/>
      </c>
      <c r="U48" s="206">
        <f>VLOOKUP("DM",U5:U42,1,FALSE)</f>
        <v/>
      </c>
      <c r="V48" s="206">
        <f>VLOOKUP("DM",V5:V42,1,FALSE)</f>
        <v/>
      </c>
      <c r="W48" s="206">
        <f>VLOOKUP("DM",W5:W42,1,FALSE)</f>
        <v/>
      </c>
      <c r="X48" s="206">
        <f>VLOOKUP("DM",X5:X42,1,FALSE)</f>
        <v/>
      </c>
      <c r="Y48" s="206">
        <f>VLOOKUP("DM",Y5:Y40,1,FALSE)</f>
        <v/>
      </c>
      <c r="Z48" s="206">
        <f>VLOOKUP("DM",Z5:Z42,1,FALSE)</f>
        <v/>
      </c>
      <c r="AA48" s="206">
        <f>VLOOKUP("DM",AA5:AA42,1,FALSE)</f>
        <v/>
      </c>
      <c r="AB48" s="206">
        <f>VLOOKUP("DM",AB5:AB42,1,FALSE)</f>
        <v/>
      </c>
      <c r="AC48" s="206">
        <f>VLOOKUP("DM",AC5:AC42,1,FALSE)</f>
        <v/>
      </c>
      <c r="AD48" s="206">
        <f>VLOOKUP("DM",AD5:AD42,1,FALSE)</f>
        <v/>
      </c>
      <c r="AE48" s="206">
        <f>VLOOKUP("DM",AE5:AE42,1,FALSE)</f>
        <v/>
      </c>
      <c r="AF48" s="206">
        <f>VLOOKUP("DM",AF5:AF42,1,FALSE)</f>
        <v/>
      </c>
      <c r="AG48" s="206">
        <f>VLOOKUP("DM",AG5:AG42,1,FALSE)</f>
        <v/>
      </c>
      <c r="AH48" s="188" t="n"/>
      <c r="AI48" s="188" t="n"/>
      <c r="AJ48" s="188" t="n"/>
      <c r="AK48" s="188" t="n"/>
      <c r="AL48" s="190" t="n"/>
      <c r="AM48" s="190" t="n"/>
      <c r="AN48" s="190" t="n"/>
      <c r="AO48" s="190" t="n"/>
      <c r="AP48" s="190" t="n"/>
      <c r="AQ48" s="190" t="n"/>
      <c r="AR48" s="190" t="n"/>
      <c r="AS48" s="190" t="n"/>
      <c r="AT48" s="190" t="n"/>
      <c r="AU48" s="190" t="n"/>
      <c r="AV48" s="190" t="n"/>
      <c r="AW48" s="190" t="n"/>
      <c r="AX48" s="190" t="n"/>
      <c r="AY48" s="190" t="n"/>
      <c r="AZ48" s="190" t="n"/>
      <c r="BA48" s="190" t="n"/>
      <c r="BB48" s="190" t="n"/>
      <c r="BC48" s="190" t="n"/>
      <c r="BD48" s="190" t="n"/>
      <c r="BE48" s="190" t="n"/>
      <c r="BF48" s="190" t="n"/>
      <c r="BG48" s="190" t="n"/>
      <c r="BH48" s="190" t="n"/>
      <c r="BI48" s="190" t="n"/>
      <c r="BJ48" s="190" t="n"/>
      <c r="BK48" s="190" t="n"/>
      <c r="BL48" s="190" t="n"/>
      <c r="BM48" s="190" t="n"/>
      <c r="BN48" s="190" t="n"/>
      <c r="BO48" s="190" t="n"/>
      <c r="BP48" s="190" t="n"/>
      <c r="BQ48" s="190" t="n"/>
    </row>
    <row r="49" ht="19.5" customHeight="1">
      <c r="A49" s="184">
        <f>LTE()</f>
        <v/>
      </c>
      <c r="B49" s="207" t="inlineStr">
        <is>
          <t>CS1</t>
        </is>
      </c>
      <c r="C49" s="207" t="n"/>
      <c r="D49" s="206">
        <f>VLOOKUP("CS1",D5:D43,1,FALSE)</f>
        <v/>
      </c>
      <c r="E49" s="206">
        <f>VLOOKUP("CS1",E5:E43,1,FALSE)</f>
        <v/>
      </c>
      <c r="F49" s="206">
        <f>VLOOKUP("CS1",F5:F43,1,FALSE)</f>
        <v/>
      </c>
      <c r="G49" s="206">
        <f>VLOOKUP("CS1",G5:G43,1,FALSE)</f>
        <v/>
      </c>
      <c r="H49" s="206">
        <f>VLOOKUP("CS1",H5:H43,1,FALSE)</f>
        <v/>
      </c>
      <c r="I49" s="206">
        <f>VLOOKUP("CS1",I5:I43,1,FALSE)</f>
        <v/>
      </c>
      <c r="J49" s="206">
        <f>VLOOKUP("CS1",J5:J43,1,FALSE)</f>
        <v/>
      </c>
      <c r="K49" s="206">
        <f>VLOOKUP("CS1",K5:K43,1,FALSE)</f>
        <v/>
      </c>
      <c r="L49" s="206">
        <f>VLOOKUP("CS1",L5:L43,1,FALSE)</f>
        <v/>
      </c>
      <c r="M49" s="206">
        <f>VLOOKUP("CS1",M5:M43,1,FALSE)</f>
        <v/>
      </c>
      <c r="N49" s="206">
        <f>VLOOKUP("CS1",N5:N43,1,FALSE)</f>
        <v/>
      </c>
      <c r="O49" s="206">
        <f>VLOOKUP("CS1",O5:O43,1,FALSE)</f>
        <v/>
      </c>
      <c r="P49" s="206">
        <f>VLOOKUP("CS1",P5:P43,1,FALSE)</f>
        <v/>
      </c>
      <c r="Q49" s="206">
        <f>VLOOKUP("CS1",Q5:Q43,1,FALSE)</f>
        <v/>
      </c>
      <c r="R49" s="206">
        <f>VLOOKUP("CS1",R5:R43,1,FALSE)</f>
        <v/>
      </c>
      <c r="S49" s="206">
        <f>VLOOKUP("CS1",S5:S43,1,FALSE)</f>
        <v/>
      </c>
      <c r="T49" s="206">
        <f>VLOOKUP("CS1",T5:T43,1,FALSE)</f>
        <v/>
      </c>
      <c r="U49" s="206">
        <f>VLOOKUP("CS1",U5:U43,1,FALSE)</f>
        <v/>
      </c>
      <c r="V49" s="206">
        <f>VLOOKUP("CS1",V5:V43,1,FALSE)</f>
        <v/>
      </c>
      <c r="W49" s="206">
        <f>VLOOKUP("CS1",W5:W43,1,FALSE)</f>
        <v/>
      </c>
      <c r="X49" s="206">
        <f>VLOOKUP("CS1",X5:X43,1,FALSE)</f>
        <v/>
      </c>
      <c r="Y49" s="206">
        <f>VLOOKUP("CS1",Y5:Y43,1,FALSE)</f>
        <v/>
      </c>
      <c r="Z49" s="206">
        <f>VLOOKUP("CS1",Z5:Z43,1,FALSE)</f>
        <v/>
      </c>
      <c r="AA49" s="206">
        <f>VLOOKUP("CS1",AA5:AA42,1,FALSE)</f>
        <v/>
      </c>
      <c r="AB49" s="206">
        <f>VLOOKUP("CS1",AB5:AB42,1,FALSE)</f>
        <v/>
      </c>
      <c r="AC49" s="206">
        <f>VLOOKUP("CS1",AC5:AC42,1,FALSE)</f>
        <v/>
      </c>
      <c r="AD49" s="206">
        <f>VLOOKUP("CS1",AD5:AD42,1,FALSE)</f>
        <v/>
      </c>
      <c r="AE49" s="206">
        <f>VLOOKUP("CS1",AE5:AE42,1,FALSE)</f>
        <v/>
      </c>
      <c r="AF49" s="206">
        <f>VLOOKUP("CS1",AF5:AF43,1,FALSE)</f>
        <v/>
      </c>
      <c r="AG49" s="206">
        <f>VLOOKUP("CS1",AG5:AG43,1,FALSE)</f>
        <v/>
      </c>
      <c r="AH49" s="188" t="n"/>
      <c r="AI49" s="188" t="n"/>
      <c r="AJ49" s="188" t="n"/>
      <c r="AK49" s="188" t="n"/>
      <c r="AL49" s="190" t="n"/>
      <c r="AM49" s="190" t="n"/>
      <c r="AN49" s="190" t="n"/>
      <c r="AO49" s="190" t="n"/>
      <c r="AP49" s="190" t="n"/>
      <c r="AQ49" s="190" t="n"/>
      <c r="AR49" s="190" t="n"/>
      <c r="AS49" s="190" t="n"/>
      <c r="AT49" s="190" t="n"/>
      <c r="AU49" s="190" t="n"/>
      <c r="AV49" s="190" t="n"/>
      <c r="AW49" s="190" t="n"/>
      <c r="AX49" s="190" t="n"/>
      <c r="AY49" s="190" t="n"/>
      <c r="AZ49" s="190" t="n"/>
      <c r="BA49" s="190" t="n"/>
      <c r="BB49" s="190" t="n"/>
      <c r="BC49" s="190" t="n"/>
      <c r="BD49" s="190" t="n"/>
      <c r="BE49" s="190" t="n"/>
      <c r="BF49" s="190" t="n"/>
      <c r="BG49" s="190" t="n"/>
      <c r="BH49" s="190" t="n"/>
      <c r="BI49" s="190" t="n"/>
      <c r="BJ49" s="190" t="n"/>
      <c r="BK49" s="190" t="n"/>
      <c r="BL49" s="190" t="n"/>
      <c r="BM49" s="190" t="n"/>
      <c r="BN49" s="190" t="n"/>
      <c r="BO49" s="190" t="n"/>
      <c r="BP49" s="190" t="n"/>
      <c r="BQ49" s="190" t="n"/>
    </row>
    <row r="50" ht="19.5" customHeight="1">
      <c r="A50" s="184" t="n"/>
      <c r="B50" s="208" t="inlineStr">
        <is>
          <t>CS2</t>
        </is>
      </c>
      <c r="C50" s="208" t="n"/>
      <c r="D50" s="206">
        <f>VLOOKUP("CS2",D5:D43,1,FALSE)</f>
        <v/>
      </c>
      <c r="E50" s="206">
        <f>VLOOKUP("CS2",E5:E43,1,FALSE)</f>
        <v/>
      </c>
      <c r="F50" s="206">
        <f>VLOOKUP("CS2",F5:F43,1,FALSE)</f>
        <v/>
      </c>
      <c r="G50" s="206">
        <f>VLOOKUP("CS2",G5:G43,1,FALSE)</f>
        <v/>
      </c>
      <c r="H50" s="206">
        <f>VLOOKUP("CS2",H5:H43,1,FALSE)</f>
        <v/>
      </c>
      <c r="I50" s="206">
        <f>VLOOKUP("CS2",I5:I43,1,FALSE)</f>
        <v/>
      </c>
      <c r="J50" s="206">
        <f>VLOOKUP("CS2",J5:J43,1,FALSE)</f>
        <v/>
      </c>
      <c r="K50" s="206">
        <f>VLOOKUP("CS2",K5:K43,1,FALSE)</f>
        <v/>
      </c>
      <c r="L50" s="206">
        <f>VLOOKUP("CS2",L5:L43,1,FALSE)</f>
        <v/>
      </c>
      <c r="M50" s="206">
        <f>VLOOKUP("CS2",M5:M43,1,FALSE)</f>
        <v/>
      </c>
      <c r="N50" s="206">
        <f>VLOOKUP("CS2",N5:N43,1,FALSE)</f>
        <v/>
      </c>
      <c r="O50" s="206">
        <f>VLOOKUP("CS2",O5:O43,1,FALSE)</f>
        <v/>
      </c>
      <c r="P50" s="206">
        <f>VLOOKUP("CS2",P5:P43,1,FALSE)</f>
        <v/>
      </c>
      <c r="Q50" s="206">
        <f>VLOOKUP("CS2",Q5:Q43,1,FALSE)</f>
        <v/>
      </c>
      <c r="R50" s="206">
        <f>VLOOKUP("CS2",R5:R43,1,FALSE)</f>
        <v/>
      </c>
      <c r="S50" s="206">
        <f>VLOOKUP("CS2",S5:S43,1,FALSE)</f>
        <v/>
      </c>
      <c r="T50" s="206">
        <f>VLOOKUP("CS2",T5:T43,1,FALSE)</f>
        <v/>
      </c>
      <c r="U50" s="206">
        <f>VLOOKUP("CS2",U5:U43,1,FALSE)</f>
        <v/>
      </c>
      <c r="V50" s="206">
        <f>VLOOKUP("CS2",V5:V43,1,FALSE)</f>
        <v/>
      </c>
      <c r="W50" s="206">
        <f>VLOOKUP("CS2",W5:W43,1,FALSE)</f>
        <v/>
      </c>
      <c r="X50" s="206">
        <f>VLOOKUP("CS2",X5:X43,1,FALSE)</f>
        <v/>
      </c>
      <c r="Y50" s="206">
        <f>VLOOKUP("CS2",Y5:Y43,1,FALSE)</f>
        <v/>
      </c>
      <c r="Z50" s="206">
        <f>VLOOKUP("CS2",Z5:Z43,1,FALSE)</f>
        <v/>
      </c>
      <c r="AA50" s="206">
        <f>VLOOKUP("CS2",AA5:AA42,1,FALSE)</f>
        <v/>
      </c>
      <c r="AB50" s="206">
        <f>VLOOKUP("CS2",AB5:AB42,1,FALSE)</f>
        <v/>
      </c>
      <c r="AC50" s="206">
        <f>VLOOKUP("CS2",AC5:AC42,1,FALSE)</f>
        <v/>
      </c>
      <c r="AD50" s="206">
        <f>VLOOKUP("CS2",AD5:AD42,1,FALSE)</f>
        <v/>
      </c>
      <c r="AE50" s="206">
        <f>VLOOKUP("CS2",AE5:AE42,1,FALSE)</f>
        <v/>
      </c>
      <c r="AF50" s="206">
        <f>VLOOKUP("CS2",AF5:AF43,1,FALSE)</f>
        <v/>
      </c>
      <c r="AG50" s="206">
        <f>VLOOKUP("CS2",AG5:AG43,1,FALSE)</f>
        <v/>
      </c>
      <c r="AH50" s="188" t="n"/>
      <c r="AI50" s="188" t="n"/>
      <c r="AJ50" s="188" t="n"/>
      <c r="AK50" s="188" t="n"/>
      <c r="AL50" s="190" t="n"/>
      <c r="AM50" s="190" t="n"/>
      <c r="AN50" s="190" t="n"/>
      <c r="AO50" s="190" t="n"/>
      <c r="AP50" s="190" t="n"/>
      <c r="AQ50" s="190" t="n"/>
      <c r="AR50" s="190" t="n"/>
      <c r="AS50" s="190" t="n"/>
      <c r="AT50" s="190" t="n"/>
      <c r="AU50" s="190" t="n"/>
      <c r="AV50" s="190" t="n"/>
      <c r="AW50" s="190" t="n"/>
      <c r="AX50" s="190" t="n"/>
      <c r="AY50" s="190" t="n"/>
      <c r="AZ50" s="190" t="n"/>
      <c r="BA50" s="190" t="n"/>
      <c r="BB50" s="190" t="n"/>
      <c r="BC50" s="190" t="n"/>
      <c r="BD50" s="190" t="n"/>
      <c r="BE50" s="190" t="n"/>
      <c r="BF50" s="190" t="n"/>
      <c r="BG50" s="190" t="n"/>
      <c r="BH50" s="190" t="n"/>
      <c r="BI50" s="190" t="n"/>
      <c r="BJ50" s="190" t="n"/>
      <c r="BK50" s="190" t="n"/>
      <c r="BL50" s="190" t="n"/>
      <c r="BM50" s="190" t="n"/>
      <c r="BN50" s="190" t="n"/>
      <c r="BO50" s="190" t="n"/>
      <c r="BP50" s="190" t="n"/>
      <c r="BQ50" s="190" t="n"/>
    </row>
    <row r="51" ht="19.5" customHeight="1">
      <c r="A51" s="184" t="n"/>
      <c r="B51" s="209" t="inlineStr">
        <is>
          <t>CS/B</t>
        </is>
      </c>
      <c r="C51" s="209" t="n"/>
      <c r="D51" s="206">
        <f>VLOOKUP("CS/B",D5:D43,1,FALSE)</f>
        <v/>
      </c>
      <c r="E51" s="206">
        <f>VLOOKUP("CS/B",E5:E43,1,FALSE)</f>
        <v/>
      </c>
      <c r="F51" s="206">
        <f>VLOOKUP("CS/B",F5:F43,1,FALSE)</f>
        <v/>
      </c>
      <c r="G51" s="206">
        <f>VLOOKUP("CS/B",G5:G43,1,FALSE)</f>
        <v/>
      </c>
      <c r="H51" s="206">
        <f>VLOOKUP("CS/B",H5:H43,1,FALSE)</f>
        <v/>
      </c>
      <c r="I51" s="206">
        <f>VLOOKUP("CS/B",I5:I43,1,FALSE)</f>
        <v/>
      </c>
      <c r="J51" s="206">
        <f>VLOOKUP("CS/B",J5:J43,1,FALSE)</f>
        <v/>
      </c>
      <c r="K51" s="206">
        <f>VLOOKUP("CS/B",K5:K43,1,FALSE)</f>
        <v/>
      </c>
      <c r="L51" s="206">
        <f>VLOOKUP("CS/B",L5:L43,1,FALSE)</f>
        <v/>
      </c>
      <c r="M51" s="206">
        <f>VLOOKUP("CS/B",M5:M43,1,FALSE)</f>
        <v/>
      </c>
      <c r="N51" s="206">
        <f>VLOOKUP("CS/B",N5:N43,1,FALSE)</f>
        <v/>
      </c>
      <c r="O51" s="206">
        <f>VLOOKUP("CS/B",O5:O43,1,FALSE)</f>
        <v/>
      </c>
      <c r="P51" s="206">
        <f>VLOOKUP("CS/B",P5:P43,1,FALSE)</f>
        <v/>
      </c>
      <c r="Q51" s="206">
        <f>VLOOKUP("CS/B",Q5:Q43,1,FALSE)</f>
        <v/>
      </c>
      <c r="R51" s="206">
        <f>VLOOKUP("CS/B",R5:R43,1,FALSE)</f>
        <v/>
      </c>
      <c r="S51" s="206">
        <f>VLOOKUP("CS/B",S5:S43,1,FALSE)</f>
        <v/>
      </c>
      <c r="T51" s="206">
        <f>VLOOKUP("CS/B",T5:T43,1,FALSE)</f>
        <v/>
      </c>
      <c r="U51" s="206">
        <f>VLOOKUP("CS/B",U5:U43,1,FALSE)</f>
        <v/>
      </c>
      <c r="V51" s="206">
        <f>VLOOKUP("CS/B",V5:V43,1,FALSE)</f>
        <v/>
      </c>
      <c r="W51" s="206">
        <f>VLOOKUP("CS/B",W5:W43,1,FALSE)</f>
        <v/>
      </c>
      <c r="X51" s="206">
        <f>VLOOKUP("CS/B",X5:X43,1,FALSE)</f>
        <v/>
      </c>
      <c r="Y51" s="206">
        <f>VLOOKUP("CS/B",Y5:Y43,1,FALSE)</f>
        <v/>
      </c>
      <c r="Z51" s="206">
        <f>VLOOKUP("CS/B",Z5:Z43,1,FALSE)</f>
        <v/>
      </c>
      <c r="AA51" s="206">
        <f>VLOOKUP("CS/B",AA5:AA42,1,FALSE)</f>
        <v/>
      </c>
      <c r="AB51" s="206">
        <f>VLOOKUP("CS/B",AB5:AB42,1,FALSE)</f>
        <v/>
      </c>
      <c r="AC51" s="206">
        <f>VLOOKUP("CS/B",AC5:AC42,1,FALSE)</f>
        <v/>
      </c>
      <c r="AD51" s="206">
        <f>VLOOKUP("CS/B",AD5:AD42,1,FALSE)</f>
        <v/>
      </c>
      <c r="AE51" s="206">
        <f>VLOOKUP("CS/B",AE5:AE42,1,FALSE)</f>
        <v/>
      </c>
      <c r="AF51" s="206">
        <f>VLOOKUP("CS/B",AF5:AF43,1,FALSE)</f>
        <v/>
      </c>
      <c r="AG51" s="206">
        <f>VLOOKUP("CS/B",AG5:AG43,1,FALSE)</f>
        <v/>
      </c>
      <c r="AH51" s="188" t="n"/>
      <c r="AI51" s="188" t="n"/>
      <c r="AJ51" s="188" t="n"/>
      <c r="AK51" s="188" t="n"/>
      <c r="AL51" s="190" t="n"/>
      <c r="AM51" s="190" t="n"/>
      <c r="AN51" s="190" t="n"/>
      <c r="AO51" s="190" t="n"/>
      <c r="AP51" s="190" t="n"/>
      <c r="AQ51" s="190" t="n"/>
      <c r="AR51" s="190" t="n"/>
      <c r="AS51" s="190" t="n"/>
      <c r="AT51" s="190" t="n"/>
      <c r="AU51" s="190" t="n"/>
      <c r="AV51" s="190" t="n"/>
      <c r="AW51" s="190" t="n"/>
      <c r="AX51" s="190" t="n"/>
      <c r="AY51" s="190" t="n"/>
      <c r="AZ51" s="190" t="n"/>
      <c r="BA51" s="190" t="n"/>
      <c r="BB51" s="190" t="n"/>
      <c r="BC51" s="190" t="n"/>
      <c r="BD51" s="190" t="n"/>
      <c r="BE51" s="190" t="n"/>
      <c r="BF51" s="190" t="n"/>
      <c r="BG51" s="190" t="n"/>
      <c r="BH51" s="190" t="n"/>
      <c r="BI51" s="190" t="n"/>
      <c r="BJ51" s="190" t="n"/>
      <c r="BK51" s="190" t="n"/>
      <c r="BL51" s="190" t="n"/>
      <c r="BM51" s="190" t="n"/>
      <c r="BN51" s="190" t="n"/>
      <c r="BO51" s="190" t="n"/>
      <c r="BP51" s="190" t="n"/>
      <c r="BQ51" s="190" t="n"/>
    </row>
    <row r="52" ht="19.5" customHeight="1">
      <c r="A52" s="184" t="n"/>
      <c r="B52" s="210" t="inlineStr">
        <is>
          <t>SB1</t>
        </is>
      </c>
      <c r="C52" s="210" t="n"/>
      <c r="D52" s="206">
        <f>VLOOKUP("SB1",D5:D43,1,FALSE)</f>
        <v/>
      </c>
      <c r="E52" s="206">
        <f>VLOOKUP("SB1",E5:E43,1,FALSE)</f>
        <v/>
      </c>
      <c r="F52" s="206">
        <f>VLOOKUP("SB1",F5:F43,1,FALSE)</f>
        <v/>
      </c>
      <c r="G52" s="206">
        <f>VLOOKUP("SB1",G5:G43,1,FALSE)</f>
        <v/>
      </c>
      <c r="H52" s="206">
        <f>VLOOKUP("SB1",H5:H43,1,FALSE)</f>
        <v/>
      </c>
      <c r="I52" s="206">
        <f>VLOOKUP("SB1",I5:I43,1,FALSE)</f>
        <v/>
      </c>
      <c r="J52" s="206">
        <f>VLOOKUP("SB1",J5:J43,1,FALSE)</f>
        <v/>
      </c>
      <c r="K52" s="206">
        <f>VLOOKUP("SB1",K5:K43,1,FALSE)</f>
        <v/>
      </c>
      <c r="L52" s="206">
        <f>VLOOKUP("SB1",L5:L43,1,FALSE)</f>
        <v/>
      </c>
      <c r="M52" s="206">
        <f>VLOOKUP("SB1",M5:M43,1,FALSE)</f>
        <v/>
      </c>
      <c r="N52" s="206">
        <f>VLOOKUP("SB1",N5:N43,1,FALSE)</f>
        <v/>
      </c>
      <c r="O52" s="206">
        <f>VLOOKUP("SB1",O5:O43,1,FALSE)</f>
        <v/>
      </c>
      <c r="P52" s="206">
        <f>VLOOKUP("SB1",P5:P43,1,FALSE)</f>
        <v/>
      </c>
      <c r="Q52" s="206">
        <f>VLOOKUP("SB1",Q5:Q43,1,FALSE)</f>
        <v/>
      </c>
      <c r="R52" s="206">
        <f>VLOOKUP("SB1",R5:R43,1,FALSE)</f>
        <v/>
      </c>
      <c r="S52" s="206">
        <f>VLOOKUP("SB1",S5:S43,1,FALSE)</f>
        <v/>
      </c>
      <c r="T52" s="206">
        <f>VLOOKUP("SB1",T5:T43,1,FALSE)</f>
        <v/>
      </c>
      <c r="U52" s="206">
        <f>VLOOKUP("SB1",U5:U43,1,FALSE)</f>
        <v/>
      </c>
      <c r="V52" s="206">
        <f>VLOOKUP("SB1",V5:V43,1,FALSE)</f>
        <v/>
      </c>
      <c r="W52" s="206">
        <f>VLOOKUP("SB1",W5:W43,1,FALSE)</f>
        <v/>
      </c>
      <c r="X52" s="206">
        <f>VLOOKUP("SB1",X5:X43,1,FALSE)</f>
        <v/>
      </c>
      <c r="Y52" s="206">
        <f>VLOOKUP("SB1",Y5:Y43,1,FALSE)</f>
        <v/>
      </c>
      <c r="Z52" s="206">
        <f>VLOOKUP("SB1",Z5:Z43,1,FALSE)</f>
        <v/>
      </c>
      <c r="AA52" s="206">
        <f>VLOOKUP("SB1",AA5:AA42,1,FALSE)</f>
        <v/>
      </c>
      <c r="AB52" s="206">
        <f>VLOOKUP("SB1",AB5:AB42,1,FALSE)</f>
        <v/>
      </c>
      <c r="AC52" s="206">
        <f>VLOOKUP("SB1",AC5:AC42,1,FALSE)</f>
        <v/>
      </c>
      <c r="AD52" s="206">
        <f>VLOOKUP("SB1",AD5:AD42,1,FALSE)</f>
        <v/>
      </c>
      <c r="AE52" s="206">
        <f>VLOOKUP("SB1",AE5:AE42,1,FALSE)</f>
        <v/>
      </c>
      <c r="AF52" s="206">
        <f>VLOOKUP("SB1",AF5:AF43,1,FALSE)</f>
        <v/>
      </c>
      <c r="AG52" s="206">
        <f>VLOOKUP("SB1",AG5:AG43,1,FALSE)</f>
        <v/>
      </c>
      <c r="AH52" s="188" t="n"/>
      <c r="AI52" s="188" t="n"/>
      <c r="AJ52" s="188" t="n"/>
      <c r="AK52" s="188" t="n"/>
      <c r="AL52" s="190" t="n"/>
      <c r="AM52" s="190" t="n"/>
      <c r="AN52" s="190" t="n"/>
      <c r="AO52" s="190" t="n"/>
      <c r="AP52" s="190" t="n"/>
      <c r="AQ52" s="190" t="n"/>
      <c r="AR52" s="190" t="n"/>
      <c r="AS52" s="190" t="n"/>
      <c r="AT52" s="190" t="n"/>
      <c r="AU52" s="190" t="n"/>
      <c r="AV52" s="190" t="n"/>
      <c r="AW52" s="190" t="n"/>
      <c r="AX52" s="190" t="n"/>
      <c r="AY52" s="190" t="n"/>
      <c r="AZ52" s="190" t="n"/>
      <c r="BA52" s="190" t="n"/>
      <c r="BB52" s="190" t="n"/>
      <c r="BC52" s="190" t="n"/>
      <c r="BD52" s="190" t="n"/>
      <c r="BE52" s="190" t="n"/>
      <c r="BF52" s="190" t="n"/>
      <c r="BG52" s="190" t="n"/>
      <c r="BH52" s="190" t="n"/>
      <c r="BI52" s="190" t="n"/>
      <c r="BJ52" s="190" t="n"/>
      <c r="BK52" s="190" t="n"/>
      <c r="BL52" s="190" t="n"/>
      <c r="BM52" s="190" t="n"/>
      <c r="BN52" s="190" t="n"/>
      <c r="BO52" s="190" t="n"/>
      <c r="BP52" s="190" t="n"/>
      <c r="BQ52" s="190" t="n"/>
    </row>
    <row r="53" ht="18.75" customHeight="1">
      <c r="A53" s="184" t="n"/>
      <c r="B53" s="211" t="inlineStr">
        <is>
          <t>SB2</t>
        </is>
      </c>
      <c r="C53" s="211" t="n"/>
      <c r="D53" s="206">
        <f>VLOOKUP("SB2",D5:D43,1,FALSE)</f>
        <v/>
      </c>
      <c r="E53" s="206">
        <f>VLOOKUP("SB2",E5:E43,1,FALSE)</f>
        <v/>
      </c>
      <c r="F53" s="206">
        <f>VLOOKUP("SB2",F5:F43,1,FALSE)</f>
        <v/>
      </c>
      <c r="G53" s="206">
        <f>VLOOKUP("SB2",G5:G43,1,FALSE)</f>
        <v/>
      </c>
      <c r="H53" s="206">
        <f>VLOOKUP("SB2",H5:H43,1,FALSE)</f>
        <v/>
      </c>
      <c r="I53" s="206">
        <f>VLOOKUP("SB2",I5:I43,1,FALSE)</f>
        <v/>
      </c>
      <c r="J53" s="206">
        <f>VLOOKUP("SB2",J5:J43,1,FALSE)</f>
        <v/>
      </c>
      <c r="K53" s="206">
        <f>VLOOKUP("SB2",K5:K43,1,FALSE)</f>
        <v/>
      </c>
      <c r="L53" s="206">
        <f>VLOOKUP("SB2",L5:L43,1,FALSE)</f>
        <v/>
      </c>
      <c r="M53" s="206">
        <f>VLOOKUP("SB2",M5:M43,1,FALSE)</f>
        <v/>
      </c>
      <c r="N53" s="206">
        <f>VLOOKUP("SB2",N5:N43,1,FALSE)</f>
        <v/>
      </c>
      <c r="O53" s="206">
        <f>VLOOKUP("SB2",O5:O43,1,FALSE)</f>
        <v/>
      </c>
      <c r="P53" s="206">
        <f>VLOOKUP("SB2",P5:P43,1,FALSE)</f>
        <v/>
      </c>
      <c r="Q53" s="206">
        <f>VLOOKUP("SB2",Q5:Q43,1,FALSE)</f>
        <v/>
      </c>
      <c r="R53" s="206">
        <f>VLOOKUP("SB2",R5:R43,1,FALSE)</f>
        <v/>
      </c>
      <c r="S53" s="206">
        <f>VLOOKUP("SB2",S5:S43,1,FALSE)</f>
        <v/>
      </c>
      <c r="T53" s="206">
        <f>VLOOKUP("SB2",T5:T43,1,FALSE)</f>
        <v/>
      </c>
      <c r="U53" s="206">
        <f>VLOOKUP("SB2",U5:U43,1,FALSE)</f>
        <v/>
      </c>
      <c r="V53" s="206">
        <f>VLOOKUP("SB2",V5:V43,1,FALSE)</f>
        <v/>
      </c>
      <c r="W53" s="206">
        <f>VLOOKUP("SB2",W5:W43,1,FALSE)</f>
        <v/>
      </c>
      <c r="X53" s="206">
        <f>VLOOKUP("SB2",X5:X43,1,FALSE)</f>
        <v/>
      </c>
      <c r="Y53" s="206">
        <f>VLOOKUP("SB2",Y5:Y43,1,FALSE)</f>
        <v/>
      </c>
      <c r="Z53" s="206">
        <f>VLOOKUP("SB2",Z5:Z43,1,FALSE)</f>
        <v/>
      </c>
      <c r="AA53" s="206">
        <f>VLOOKUP("SB2",AA5:AA42,1,FALSE)</f>
        <v/>
      </c>
      <c r="AB53" s="206">
        <f>VLOOKUP("SB2",AB5:AB42,1,FALSE)</f>
        <v/>
      </c>
      <c r="AC53" s="206">
        <f>VLOOKUP("SB2",AC5:AC42,1,FALSE)</f>
        <v/>
      </c>
      <c r="AD53" s="206">
        <f>VLOOKUP("SB2",AD5:AD42,1,FALSE)</f>
        <v/>
      </c>
      <c r="AE53" s="206">
        <f>VLOOKUP("SB2",AE5:AE42,1,FALSE)</f>
        <v/>
      </c>
      <c r="AF53" s="206">
        <f>VLOOKUP("SB2",AF5:AF43,1,FALSE)</f>
        <v/>
      </c>
      <c r="AG53" s="206">
        <f>VLOOKUP("SB2",AG5:AG43,1,FALSE)</f>
        <v/>
      </c>
      <c r="AH53" s="188" t="n"/>
      <c r="AI53" s="188" t="n"/>
      <c r="AJ53" s="188" t="n"/>
      <c r="AK53" s="188" t="n"/>
      <c r="AL53" s="190" t="n"/>
      <c r="AM53" s="190" t="n"/>
      <c r="AN53" s="190" t="n"/>
      <c r="AO53" s="190" t="n"/>
      <c r="AP53" s="190" t="n"/>
      <c r="AQ53" s="190" t="n"/>
      <c r="AR53" s="190" t="n"/>
      <c r="AS53" s="190" t="n"/>
      <c r="AT53" s="190" t="n"/>
      <c r="AU53" s="190" t="n"/>
      <c r="AV53" s="190" t="n"/>
      <c r="AW53" s="190" t="n"/>
      <c r="AX53" s="190" t="n"/>
      <c r="AY53" s="190" t="n"/>
      <c r="AZ53" s="190" t="n"/>
      <c r="BA53" s="190" t="n"/>
      <c r="BB53" s="190" t="n"/>
      <c r="BC53" s="190" t="n"/>
      <c r="BD53" s="190" t="n"/>
      <c r="BE53" s="190" t="n"/>
      <c r="BF53" s="190" t="n"/>
      <c r="BG53" s="190" t="n"/>
      <c r="BH53" s="190" t="n"/>
      <c r="BI53" s="190" t="n"/>
      <c r="BJ53" s="190" t="n"/>
      <c r="BK53" s="190" t="n"/>
      <c r="BL53" s="190" t="n"/>
      <c r="BM53" s="190" t="n"/>
      <c r="BN53" s="190" t="n"/>
      <c r="BO53" s="190" t="n"/>
      <c r="BP53" s="190" t="n"/>
      <c r="BQ53" s="190" t="n"/>
    </row>
    <row r="54" ht="19.5" customHeight="1">
      <c r="A54" s="184" t="n"/>
      <c r="B54" s="212" t="inlineStr">
        <is>
          <t>AE</t>
        </is>
      </c>
      <c r="C54" s="212" t="n"/>
      <c r="D54" s="206">
        <f>VLOOKUP("AE",D5:D43,1,FALSE)</f>
        <v/>
      </c>
      <c r="E54" s="206">
        <f>VLOOKUP("AE",E5:E43,1,FALSE)</f>
        <v/>
      </c>
      <c r="F54" s="206">
        <f>VLOOKUP("AE",F5:F43,1,FALSE)</f>
        <v/>
      </c>
      <c r="G54" s="206">
        <f>VLOOKUP("AE",G5:G43,1,FALSE)</f>
        <v/>
      </c>
      <c r="H54" s="206">
        <f>VLOOKUP("AE",H5:H43,1,FALSE)</f>
        <v/>
      </c>
      <c r="I54" s="206">
        <f>VLOOKUP("AE",I5:I43,1,FALSE)</f>
        <v/>
      </c>
      <c r="J54" s="206">
        <f>VLOOKUP("AE",J5:J43,1,FALSE)</f>
        <v/>
      </c>
      <c r="K54" s="206">
        <f>VLOOKUP("AE",K5:K43,1,FALSE)</f>
        <v/>
      </c>
      <c r="L54" s="206">
        <f>VLOOKUP("AE",L5:L43,1,FALSE)</f>
        <v/>
      </c>
      <c r="M54" s="206">
        <f>VLOOKUP("AE",M5:M43,1,FALSE)</f>
        <v/>
      </c>
      <c r="N54" s="206">
        <f>VLOOKUP("AE",N5:N43,1,FALSE)</f>
        <v/>
      </c>
      <c r="O54" s="206">
        <f>VLOOKUP("AE",O5:O43,1,FALSE)</f>
        <v/>
      </c>
      <c r="P54" s="206">
        <f>VLOOKUP("AE",P5:P43,1,FALSE)</f>
        <v/>
      </c>
      <c r="Q54" s="206">
        <f>VLOOKUP("AE",Q5:Q43,1,FALSE)</f>
        <v/>
      </c>
      <c r="R54" s="206">
        <f>VLOOKUP("AE",R5:R43,1,FALSE)</f>
        <v/>
      </c>
      <c r="S54" s="206">
        <f>VLOOKUP("AE",S5:S43,1,FALSE)</f>
        <v/>
      </c>
      <c r="T54" s="206">
        <f>VLOOKUP("AE",T5:T43,1,FALSE)</f>
        <v/>
      </c>
      <c r="U54" s="206">
        <f>VLOOKUP("AE",U5:U43,1,FALSE)</f>
        <v/>
      </c>
      <c r="V54" s="206">
        <f>VLOOKUP("AE",V5:V43,1,FALSE)</f>
        <v/>
      </c>
      <c r="W54" s="206">
        <f>VLOOKUP("AE",W5:W43,1,FALSE)</f>
        <v/>
      </c>
      <c r="X54" s="206">
        <f>VLOOKUP("AE",X5:X43,1,FALSE)</f>
        <v/>
      </c>
      <c r="Y54" s="206">
        <f>VLOOKUP("AE",Y5:Y43,1,FALSE)</f>
        <v/>
      </c>
      <c r="Z54" s="206">
        <f>VLOOKUP("AE",Z5:Z43,1,FALSE)</f>
        <v/>
      </c>
      <c r="AA54" s="206">
        <f>VLOOKUP("AE",AA5:AA42,1,FALSE)</f>
        <v/>
      </c>
      <c r="AB54" s="206">
        <f>VLOOKUP("AE",AB5:AB42,1,FALSE)</f>
        <v/>
      </c>
      <c r="AC54" s="206">
        <f>VLOOKUP("AE",AC5:AC42,1,FALSE)</f>
        <v/>
      </c>
      <c r="AD54" s="206">
        <f>VLOOKUP("AE",AD5:AD42,1,FALSE)</f>
        <v/>
      </c>
      <c r="AE54" s="206">
        <f>VLOOKUP("AE",AE5:AE42,1,FALSE)</f>
        <v/>
      </c>
      <c r="AF54" s="206">
        <f>VLOOKUP("AE",AF5:AF43,1,FALSE)</f>
        <v/>
      </c>
      <c r="AG54" s="206">
        <f>VLOOKUP("AE",AG5:AG43,1,FALSE)</f>
        <v/>
      </c>
      <c r="AH54" s="188" t="n"/>
      <c r="AI54" s="188" t="n"/>
      <c r="AJ54" s="188" t="n"/>
      <c r="AK54" s="188" t="n"/>
      <c r="AL54" s="190" t="n"/>
      <c r="AM54" s="190" t="n"/>
      <c r="AN54" s="190" t="n"/>
      <c r="AO54" s="190" t="n"/>
      <c r="AP54" s="190" t="n"/>
      <c r="AQ54" s="190" t="n"/>
      <c r="AR54" s="190" t="n"/>
      <c r="AS54" s="190" t="n"/>
      <c r="AT54" s="190" t="n"/>
      <c r="AU54" s="190" t="n"/>
      <c r="AV54" s="190" t="n"/>
      <c r="AW54" s="190" t="n"/>
      <c r="AX54" s="190" t="n"/>
      <c r="AY54" s="190" t="n"/>
      <c r="AZ54" s="190" t="n"/>
      <c r="BA54" s="190" t="n"/>
      <c r="BB54" s="190" t="n"/>
      <c r="BC54" s="190" t="n"/>
      <c r="BD54" s="190" t="n"/>
      <c r="BE54" s="190" t="n"/>
      <c r="BF54" s="190" t="n"/>
      <c r="BG54" s="190" t="n"/>
      <c r="BH54" s="190" t="n"/>
      <c r="BI54" s="190" t="n"/>
      <c r="BJ54" s="190" t="n"/>
      <c r="BK54" s="190" t="n"/>
      <c r="BL54" s="190" t="n"/>
      <c r="BM54" s="190" t="n"/>
      <c r="BN54" s="190" t="n"/>
      <c r="BO54" s="190" t="n"/>
      <c r="BP54" s="190" t="n"/>
      <c r="BQ54" s="190" t="n"/>
    </row>
    <row r="55" ht="19.5" customHeight="1">
      <c r="A55" s="184" t="n"/>
      <c r="B55" s="53" t="inlineStr">
        <is>
          <t>RESERVE</t>
        </is>
      </c>
      <c r="C55" s="53" t="n"/>
      <c r="D55" s="53">
        <f>VLOOKUP("RESERVE",D5:D42,1,FALSE)</f>
        <v/>
      </c>
      <c r="E55" s="53">
        <f>VLOOKUP("RESERVE",E5:E42,1,FALSE)</f>
        <v/>
      </c>
      <c r="F55" s="53">
        <f>VLOOKUP("RESERVE",F5:F42,1,FALSE)</f>
        <v/>
      </c>
      <c r="G55" s="53">
        <f>VLOOKUP("RESERVE",G5:G42,1,FALSE)</f>
        <v/>
      </c>
      <c r="H55" s="53">
        <f>VLOOKUP("RESERVE",H5:H42,1,FALSE)</f>
        <v/>
      </c>
      <c r="I55" s="53">
        <f>VLOOKUP("RESERVE",I5:I42,1,FALSE)</f>
        <v/>
      </c>
      <c r="J55" s="53">
        <f>VLOOKUP("RESERVE",J5:J42,1,FALSE)</f>
        <v/>
      </c>
      <c r="K55" s="53">
        <f>VLOOKUP("RESERVE",K5:K42,1,FALSE)</f>
        <v/>
      </c>
      <c r="L55" s="53">
        <f>VLOOKUP("RESERVE",L5:L42,1,FALSE)</f>
        <v/>
      </c>
      <c r="M55" s="53">
        <f>VLOOKUP("RESERVE",M5:M42,1,FALSE)</f>
        <v/>
      </c>
      <c r="N55" s="53">
        <f>VLOOKUP("RESERVE",N5:N42,1,FALSE)</f>
        <v/>
      </c>
      <c r="O55" s="53">
        <f>VLOOKUP("RESERVE",O5:O42,1,FALSE)</f>
        <v/>
      </c>
      <c r="P55" s="53">
        <f>VLOOKUP("RESERVE",P5:P42,1,FALSE)</f>
        <v/>
      </c>
      <c r="Q55" s="53">
        <f>VLOOKUP("RESERVE",Q5:Q41,1,FALSE)</f>
        <v/>
      </c>
      <c r="R55" s="53">
        <f>VLOOKUP("RESERVE",R5:R42,1,FALSE)</f>
        <v/>
      </c>
      <c r="S55" s="53">
        <f>VLOOKUP("RESERVE",S5:S41,1,FALSE)</f>
        <v/>
      </c>
      <c r="T55" s="53">
        <f>VLOOKUP("RESERVE",T5:T42,1,FALSE)</f>
        <v/>
      </c>
      <c r="U55" s="53">
        <f>VLOOKUP("RESERVE",U5:U42,1,FALSE)</f>
        <v/>
      </c>
      <c r="V55" s="53">
        <f>VLOOKUP("RESERVE",V5:V42,1,FALSE)</f>
        <v/>
      </c>
      <c r="W55" s="53">
        <f>VLOOKUP("RESERVE",W5:W42,1,FALSE)</f>
        <v/>
      </c>
      <c r="X55" s="53">
        <f>VLOOKUP("RESERVE",X5:X42,1,FALSE)</f>
        <v/>
      </c>
      <c r="Y55" s="53">
        <f>VLOOKUP("RESERVE",Y5:Y40,1,FALSE)</f>
        <v/>
      </c>
      <c r="Z55" s="53">
        <f>VLOOKUP("RESERVE",Z5:Z42,1,FALSE)</f>
        <v/>
      </c>
      <c r="AA55" s="53">
        <f>VLOOKUP("RESERVE",AA5:AA42,1,FALSE)</f>
        <v/>
      </c>
      <c r="AB55" s="53">
        <f>VLOOKUP("RESERVE",AB5:AB42,1,FALSE)</f>
        <v/>
      </c>
      <c r="AC55" s="53">
        <f>VLOOKUP("RESERVE",AC5:AC42,1,FALSE)</f>
        <v/>
      </c>
      <c r="AD55" s="53">
        <f>VLOOKUP("RESERVE",AD5:AD42,1,FALSE)</f>
        <v/>
      </c>
      <c r="AE55" s="53">
        <f>VLOOKUP("RESERVE",AE5:AE42,1,FALSE)</f>
        <v/>
      </c>
      <c r="AF55" s="53">
        <f>VLOOKUP("RESERVE",AF5:AF42,1,FALSE)</f>
        <v/>
      </c>
      <c r="AG55" s="53">
        <f>VLOOKUP("RESERVE",AG5:AG42,1,FALSE)</f>
        <v/>
      </c>
      <c r="AH55" s="188" t="n"/>
      <c r="AI55" s="188" t="n"/>
      <c r="AJ55" s="188" t="n"/>
      <c r="AK55" s="188" t="n"/>
      <c r="AL55" s="190" t="n"/>
      <c r="AM55" s="190" t="n"/>
      <c r="AN55" s="190" t="n"/>
      <c r="AO55" s="190" t="n"/>
      <c r="AP55" s="190" t="n"/>
      <c r="AQ55" s="190" t="n"/>
      <c r="AR55" s="190" t="n"/>
      <c r="AS55" s="190" t="n"/>
      <c r="AT55" s="190" t="n"/>
      <c r="AU55" s="190" t="n"/>
      <c r="AV55" s="190" t="n"/>
      <c r="AW55" s="190" t="n"/>
      <c r="AX55" s="190" t="n"/>
      <c r="AY55" s="190" t="n"/>
      <c r="AZ55" s="190" t="n"/>
      <c r="BA55" s="190" t="n"/>
      <c r="BB55" s="190" t="n"/>
      <c r="BC55" s="190" t="n"/>
      <c r="BD55" s="190" t="n"/>
      <c r="BE55" s="190" t="n"/>
      <c r="BF55" s="190" t="n"/>
      <c r="BG55" s="190" t="n"/>
      <c r="BH55" s="190" t="n"/>
      <c r="BI55" s="190" t="n"/>
      <c r="BJ55" s="190" t="n"/>
      <c r="BK55" s="190" t="n"/>
      <c r="BL55" s="190" t="n"/>
      <c r="BM55" s="190" t="n"/>
      <c r="BN55" s="190" t="n"/>
      <c r="BO55" s="190" t="n"/>
      <c r="BP55" s="190" t="n"/>
      <c r="BQ55" s="190" t="n"/>
    </row>
    <row r="56" ht="19.5" customHeight="1">
      <c r="A56" s="184" t="n"/>
      <c r="B56" s="53" t="inlineStr">
        <is>
          <t>NUMBER OF DM</t>
        </is>
      </c>
      <c r="C56" s="53" t="n"/>
      <c r="D56" s="53">
        <f>COUNTIF(D5:D42,"DM")</f>
        <v/>
      </c>
      <c r="E56" s="53">
        <f>COUNTIF(E5:E42,"DM")</f>
        <v/>
      </c>
      <c r="F56" s="53">
        <f>COUNTIF(F5:F42,"DM")</f>
        <v/>
      </c>
      <c r="G56" s="53">
        <f>COUNTIF(G5:G42,"DM")</f>
        <v/>
      </c>
      <c r="H56" s="53">
        <f>COUNTIF(H5:H42,"DM")</f>
        <v/>
      </c>
      <c r="I56" s="53">
        <f>COUNTIF(I5:I42,"DM")</f>
        <v/>
      </c>
      <c r="J56" s="53">
        <f>COUNTIF(J5:J42,"DM")</f>
        <v/>
      </c>
      <c r="K56" s="53">
        <f>COUNTIF(K5:K42,"DM")</f>
        <v/>
      </c>
      <c r="L56" s="53">
        <f>COUNTIF(L5:L42,"DM")</f>
        <v/>
      </c>
      <c r="M56" s="53">
        <f>COUNTIF(M5:M42,"DM")</f>
        <v/>
      </c>
      <c r="N56" s="53">
        <f>COUNTIF(N5:N42,"DM")</f>
        <v/>
      </c>
      <c r="O56" s="53">
        <f>COUNTIF(O5:O42,"DM")</f>
        <v/>
      </c>
      <c r="P56" s="53">
        <f>COUNTIF(P5:P42,"DM")</f>
        <v/>
      </c>
      <c r="Q56" s="53">
        <f>COUNTIF(Q5:Q41,"DM")</f>
        <v/>
      </c>
      <c r="R56" s="53">
        <f>COUNTIF(R5:R42,"DM")</f>
        <v/>
      </c>
      <c r="S56" s="53">
        <f>COUNTIF(S5:S41,"DM")</f>
        <v/>
      </c>
      <c r="T56" s="53">
        <f>COUNTIF(T5:T42,"DM")</f>
        <v/>
      </c>
      <c r="U56" s="53">
        <f>COUNTIF(U5:U42,"DM")</f>
        <v/>
      </c>
      <c r="V56" s="53">
        <f>COUNTIF(V5:V42,"DM")</f>
        <v/>
      </c>
      <c r="W56" s="53">
        <f>COUNTIF(W5:W42,"DM")</f>
        <v/>
      </c>
      <c r="X56" s="53">
        <f>COUNTIF(X5:X42,"DM")</f>
        <v/>
      </c>
      <c r="Y56" s="53">
        <f>COUNTIF(Y5:Y40,"DM")</f>
        <v/>
      </c>
      <c r="Z56" s="53">
        <f>COUNTIF(Z5:Z42,"DM")</f>
        <v/>
      </c>
      <c r="AA56" s="53">
        <f>COUNTIF(AA5:AA42,"DM")</f>
        <v/>
      </c>
      <c r="AB56" s="53">
        <f>COUNTIF(AB5:AB42,"DM")</f>
        <v/>
      </c>
      <c r="AC56" s="53">
        <f>COUNTIF(AC5:AC42,"DM")</f>
        <v/>
      </c>
      <c r="AD56" s="53">
        <f>COUNTIF(AD5:AD42,"DM")</f>
        <v/>
      </c>
      <c r="AE56" s="53">
        <f>COUNTIF(AE5:AE42,"DM")</f>
        <v/>
      </c>
      <c r="AF56" s="53">
        <f>COUNTIF(AF5:AF42,"DM")</f>
        <v/>
      </c>
      <c r="AG56" s="53">
        <f>COUNTIF(AG5:AG42,"DM")</f>
        <v/>
      </c>
      <c r="AH56" s="188" t="n"/>
      <c r="AI56" s="188" t="n"/>
      <c r="AJ56" s="188" t="n"/>
      <c r="AK56" s="188" t="n"/>
      <c r="AL56" s="190" t="n"/>
      <c r="AM56" s="190" t="n"/>
      <c r="AN56" s="190" t="n"/>
      <c r="AO56" s="190" t="n"/>
      <c r="AP56" s="190" t="n"/>
      <c r="AQ56" s="190" t="n"/>
      <c r="AR56" s="190" t="n"/>
      <c r="AS56" s="190" t="n"/>
      <c r="AT56" s="190" t="n"/>
      <c r="AU56" s="190" t="n"/>
      <c r="AV56" s="190" t="n"/>
      <c r="AW56" s="190" t="n"/>
      <c r="AX56" s="190" t="n"/>
      <c r="AY56" s="190" t="n"/>
      <c r="AZ56" s="190" t="n"/>
      <c r="BA56" s="190" t="n"/>
      <c r="BB56" s="190" t="n"/>
      <c r="BC56" s="190" t="n"/>
      <c r="BD56" s="190" t="n"/>
      <c r="BE56" s="190" t="n"/>
      <c r="BF56" s="190" t="n"/>
      <c r="BG56" s="190" t="n"/>
      <c r="BH56" s="190" t="n"/>
      <c r="BI56" s="190" t="n"/>
      <c r="BJ56" s="190" t="n"/>
      <c r="BK56" s="190" t="n"/>
      <c r="BL56" s="190" t="n"/>
      <c r="BM56" s="190" t="n"/>
      <c r="BN56" s="190" t="n"/>
      <c r="BO56" s="190" t="n"/>
      <c r="BP56" s="190" t="n"/>
      <c r="BQ56" s="190" t="n"/>
    </row>
  </sheetData>
  <mergeCells count="3">
    <mergeCell ref="AQ3:AQ4"/>
    <mergeCell ref="D1:T1"/>
    <mergeCell ref="AR3:AR4"/>
  </mergeCells>
  <conditionalFormatting sqref="AE7">
    <cfRule type="notContainsBlanks" priority="77" dxfId="837">
      <formula>LEN(TRIM(AE7))&gt;0</formula>
    </cfRule>
  </conditionalFormatting>
  <conditionalFormatting sqref="E23">
    <cfRule type="expression" priority="6" dxfId="136">
      <formula>WEEKDAY(H$3,2)&gt;5</formula>
    </cfRule>
    <cfRule type="expression" priority="7" dxfId="136">
      <formula>WEEKDAY(G$3,2)&gt;5</formula>
    </cfRule>
  </conditionalFormatting>
  <conditionalFormatting sqref="D21:D22">
    <cfRule type="expression" priority="9" dxfId="136">
      <formula>WEEKDAY(E$3,2)&gt;5</formula>
    </cfRule>
  </conditionalFormatting>
  <conditionalFormatting sqref="J11:J12">
    <cfRule type="expression" priority="1" dxfId="136">
      <formula>WEEKDAY(#REF!,2)&gt;5</formula>
    </cfRule>
    <cfRule type="containsText" priority="2" operator="between" dxfId="154" text="VACC">
      <formula>NOT(ISERROR(SEARCH("VACC",J11)))</formula>
    </cfRule>
  </conditionalFormatting>
  <conditionalFormatting sqref="A1:I56 J1:J10 J12:J56 K1:BQ56">
    <cfRule type="cellIs" priority="76" operator="equal" dxfId="155">
      <formula>"RESERVE"</formula>
    </cfRule>
  </conditionalFormatting>
  <conditionalFormatting sqref="A1:BQ56">
    <cfRule type="cellIs" priority="78" operator="equal" dxfId="1665">
      <formula>"WEEKEND OUTFIELD RESERVE"</formula>
    </cfRule>
  </conditionalFormatting>
  <conditionalFormatting sqref="D3:I46 J3:J10 J12:J46 K3:T46 U2:Y46 Z3:AG46">
    <cfRule type="expression" priority="69" dxfId="136">
      <formula>WEEKDAY(U$3,2)&gt;5</formula>
    </cfRule>
  </conditionalFormatting>
  <conditionalFormatting sqref="D5:I56 J5:J10 J12:J56 K4:K56 L5:AA56 AB4:AB56 AC5:AG56">
    <cfRule type="cellIs" priority="54" operator="equal" dxfId="137">
      <formula>"B"</formula>
    </cfRule>
    <cfRule type="cellIs" priority="55" operator="equal" dxfId="137">
      <formula>"AL"</formula>
    </cfRule>
    <cfRule type="cellIs" priority="56" operator="equal" dxfId="138">
      <formula>"DM"</formula>
    </cfRule>
    <cfRule type="cellIs" priority="57" operator="equal" dxfId="139">
      <formula>"CS1"</formula>
    </cfRule>
    <cfRule type="cellIs" priority="58" operator="equal" dxfId="140">
      <formula>"CS2"</formula>
    </cfRule>
    <cfRule type="cellIs" priority="59" operator="equal" dxfId="141">
      <formula>"SB1"</formula>
    </cfRule>
    <cfRule type="cellIs" priority="60" operator="equal" dxfId="142">
      <formula>"SB2"</formula>
    </cfRule>
    <cfRule type="cellIs" priority="61" operator="equal" dxfId="143">
      <formula>"AE"</formula>
    </cfRule>
  </conditionalFormatting>
  <conditionalFormatting sqref="D5:I46 J5:J10 J12:J46 K4:K46 L5:AA46 AB4:AB46 AC5:AG46">
    <cfRule type="cellIs" priority="63" operator="equal" dxfId="137">
      <formula>"DB"</formula>
    </cfRule>
    <cfRule type="containsText" priority="64" operator="between" dxfId="144" text="$AM">
      <formula>NOT(ISERROR(SEARCH("$AM",D4)))</formula>
    </cfRule>
    <cfRule type="containsText" priority="65" operator="between" dxfId="145" text="$PM">
      <formula>NOT(ISERROR(SEARCH("$PM",D4)))</formula>
    </cfRule>
    <cfRule type="containsText" priority="66" operator="between" dxfId="146" text="$L">
      <formula>NOT(ISERROR(SEARCH("$L",D4)))</formula>
    </cfRule>
    <cfRule type="containsText" priority="67" operator="between" dxfId="147" text="$BTP">
      <formula>NOT(ISERROR(SEARCH("$BTP",D4)))</formula>
    </cfRule>
    <cfRule type="containsText" priority="68" operator="between" dxfId="148" text="$M">
      <formula>NOT(ISERROR(SEARCH("$M",D4)))</formula>
    </cfRule>
    <cfRule type="containsText" priority="70" operator="between" dxfId="149" text="$N">
      <formula>NOT(ISERROR(SEARCH("$N",D4)))</formula>
    </cfRule>
    <cfRule type="containsText" priority="71" operator="between" dxfId="150" text="$FC">
      <formula>NOT(ISERROR(SEARCH("$FC",D4)))</formula>
    </cfRule>
    <cfRule type="containsText" priority="72" operator="between" dxfId="151" text="OAL">
      <formula>NOT(ISERROR(SEARCH("OAL",D4)))</formula>
    </cfRule>
    <cfRule type="containsText" priority="73" operator="between" dxfId="152" text="S+">
      <formula>NOT(ISERROR(SEARCH("S+",D4)))</formula>
    </cfRule>
    <cfRule type="containsText" priority="74" operator="between" dxfId="153" text="EX-D">
      <formula>NOT(ISERROR(SEARCH("EX-D",D4)))</formula>
    </cfRule>
  </conditionalFormatting>
  <conditionalFormatting sqref="D5:D10 D12:D23 D25 D28 D32 D38:D42 E6 E8:F8 E12:E17 E19:E25 E27 E29 E31:E32 E37 F5:F6 F10:F12 F14:F20 F24:F25 F27:F28 F30:G30 F32:G32 F34:H34 F36:F42 G6:G10 G12 G14:G19 G21:G22 G25:G28 G36:H37 G41 H5:H16 H18:H27 H31:H32 I5 I7:I9 I11:I25 I27:I30 I34:I35 I37:I42 J5:J10 J13:J16 J18:J22 J24:J30 J33 J36:J37 J39 K4:K8 K10:K16 K18:K20 K22:K25 K28:K30 K33:K35 K37:K42 L5:L6 L8:L12 L14:L16 L18:L27 L29 L33 L35:L40 L42 M6:M9 M12 M14:M17 M20:M26 M28 M30 M34 M38:N42 N5:N7 N9:N25 N27:N28 N30:N32 N34:N36 O5:P6 O12:O25 O28 O30:O31 O33:O34 O36 P8:P29 P32:P33 P35:P36 P40 Q5 Q7:Q10 Q13:Q23 Q25:Q29 Q34 Q41 R5:R17 R19:R22 R25:R28 R30 R42 S5:S6 S8:S10 S12:S30 S32:S33 S35 S38:S42 T5:T9 T11:T12 T14:T23 T25:T30 T32 T37:T38 T41 U5:W6 U8:U17 U19:U23 U25:U28 U30 U33 U38 V9 V11:V21 V23:V24 V26:V29 V31 V35:V37 V43:V46 W8:W13 W15:W16 W18:W21 W23 W25 W27:W42 X5:Y22 X24:X25 X27:Y30 X33:X34 X37:X42 Y25 Y33:Y36 Y38:Y42 Z5:Z42 AA5:AC43 AD5:AD34 AD36:AD43 AE5:AF28 AE30:AF32 AE37:AE43 AF37:AF41 AG5:AG17 AG19:AG27 AG30:AG31">
    <cfRule type="containsText" priority="75" operator="between" dxfId="154" text="VACC">
      <formula>NOT(ISERROR(SEARCH("VACC",D4)))</formula>
    </cfRule>
  </conditionalFormatting>
  <conditionalFormatting sqref="D5:D10 D12:D23 D25:D30 D32 D38:D42 E6 E8:F8 E12:E17 E19:E20 E23 E25 E27 E29 E31:E32 E37 F5:F6 F10:F12 F14:F16 F18:F20 F24:F25 F27:F28 F30:G30 F32:G32 F34:H34 F36:F42 G6:G10 G12 G14:G19 G21:G22 G25:G28 G36:H37 G41 H5:H8 H10:H16 H18:H21 H23:H27 H31:H32 I5 I7:I9 I11:I17 I19:I25 I27:J30 I34:I35 I37:I38 I40:I42 J5:J10 J13:J16 J18:J22 J24:J25 J33:L33 J36:J37 K5:K8 K10:K13 K15:L16 K19 K22:K24 K28:K30 K37:K39 L5:L6 L9 L12:M12 L18:L22 L24:L27 L29 L37:L40 L42 M6:M9 M14:M17 M19:M25 M28 M30 M34 M38:N42 N5:N16 N18:N25 N27:N28 N31:N32 N34:N36 O5:P6 O13:O16 O19:O22 O25 O28 O31 O33 O36 P8:P10 P12 P14:P17 P19:P27 P29:Q29 P32:P33 P35:P36 P40 Q5 Q7:Q10 Q14:Q16 Q18:Q23 Q25:Q26 Q34 Q41 R5:R9 R11:R17 R19:R22 R26 R28 R42 S5:S36 S38:S42 T5:W6 T8:T9 T11 T15:T20 T22:U23 T26:T30 T32 T37 T41 U8:U13 U15:U17 U19:U20 U28:X28 U33 U38 V9 V11:V13 V15:V21 V24 V26 V36 W10:W11 W13 W15:W16 W18:W21 W25 W30:W35 W37 X5:X21 X24:X25 X30 X33:X34 X37:X42 Y5:Y9 Y11:Y17 Y19:Y22 Y29:Y30 Y33:Y36 Y38:Y42 Z5:Z8 Z11:Z21 Z26 Z30:AA30 AA6:AA7 AA10:AA11 AA15:AA17 AA19 AA23 AA27:AA28 AA36 AA39 AA42:AA43 AB7:AB11 AB13:AF13 AB15:AB19 AB21 AB26 AB31:AB32 AB39:AB43 AC7:AC8 AC10 AC15:AC22 AC28 AC30 AC32 AC34:AC35 AC39:AC40 AC42:AC43 AD7:AD10 AD16 AD19:AD22 AD24 AD26 AD28:AD33 AD39:AE43 AE7:AF11 AE15:AE16 AE18:AE19 AE22 AE27 AE31:AE32 AF5:AG5 AF15:AF19 AF22:AF26 AF32 AF39:AF41 AG8:AG16 AG19:AG20 AG22 AG30">
    <cfRule type="cellIs" priority="10" operator="equal" dxfId="137">
      <formula>"B"</formula>
    </cfRule>
    <cfRule type="cellIs" priority="11" operator="equal" dxfId="137">
      <formula>"AL"</formula>
    </cfRule>
    <cfRule type="cellIs" priority="12" operator="equal" dxfId="138">
      <formula>"DM"</formula>
    </cfRule>
    <cfRule type="cellIs" priority="13" operator="equal" dxfId="139">
      <formula>"CS1"</formula>
    </cfRule>
    <cfRule type="cellIs" priority="14" operator="equal" dxfId="140">
      <formula>"CS2"</formula>
    </cfRule>
    <cfRule type="cellIs" priority="15" operator="equal" dxfId="141">
      <formula>"SB1"</formula>
    </cfRule>
    <cfRule type="cellIs" priority="16" operator="equal" dxfId="142">
      <formula>"SB2"</formula>
    </cfRule>
    <cfRule type="cellIs" priority="17" operator="equal" dxfId="143">
      <formula>"AE"</formula>
    </cfRule>
    <cfRule type="cellIs" priority="18" operator="equal" dxfId="137">
      <formula>"DB"</formula>
    </cfRule>
    <cfRule type="containsText" priority="19" operator="between" dxfId="144" text="$AM">
      <formula>NOT(ISERROR(SEARCH("$AM",D5)))</formula>
    </cfRule>
    <cfRule type="containsText" priority="20" operator="between" dxfId="145" text="$PM">
      <formula>NOT(ISERROR(SEARCH("$PM",D5)))</formula>
    </cfRule>
    <cfRule type="containsText" priority="21" operator="between" dxfId="146" text="$L">
      <formula>NOT(ISERROR(SEARCH("$L",D5)))</formula>
    </cfRule>
    <cfRule type="containsText" priority="22" operator="between" dxfId="147" text="$BTP">
      <formula>NOT(ISERROR(SEARCH("$BTP",D5)))</formula>
    </cfRule>
    <cfRule type="containsText" priority="23" operator="between" dxfId="148" text="$M">
      <formula>NOT(ISERROR(SEARCH("$M",D5)))</formula>
    </cfRule>
    <cfRule type="containsText" priority="24" operator="between" dxfId="149" text="$N">
      <formula>NOT(ISERROR(SEARCH("$N",D5)))</formula>
    </cfRule>
    <cfRule type="containsText" priority="25" operator="between" dxfId="150" text="$FC">
      <formula>NOT(ISERROR(SEARCH("$FC",D5)))</formula>
    </cfRule>
    <cfRule type="containsText" priority="26" operator="between" dxfId="151" text="OAL">
      <formula>NOT(ISERROR(SEARCH("OAL",D5)))</formula>
    </cfRule>
    <cfRule type="containsText" priority="27" operator="between" dxfId="152" text="S+">
      <formula>NOT(ISERROR(SEARCH("S+",D5)))</formula>
    </cfRule>
    <cfRule type="containsText" priority="28" operator="between" dxfId="153" text="EX-D">
      <formula>NOT(ISERROR(SEARCH("EX-D",D5)))</formula>
    </cfRule>
  </conditionalFormatting>
  <conditionalFormatting sqref="D5:D10 D12:D23 D25:E25 D28 D32 D38:D42 E6 E8:F8 E12:E17 E19:E20 E23 E27 E29 E31:E32 E37 F5:F6 F10:F12 F14:F16 F18:F20 F23:F25 F27:F28 F30:G30 F32:G32 F34:H34 F36:F42 G6:G10 G12 G14:G19 G21:G22 G25:G28 G36:H37 G41 H5:H8 H10:H16 H18:H27 H31:H32 I5 I7:I9 I11:I17 I19:I25 I27:I30 I34:I35 I37:I42 J5:J10 J13:J16 J18:J22 J24:J30 J33 J36:J37 J39 K5:K13 K15:L16 K19 K22:K24 K28:K30 K33:K35 K37:K39 L5:L6 L9 L12:M12 L18:L22 L24:L27 L29 L33 L35 L37:L40 L42 M6 M8:M9 M14:M17 M20:M26 M28 M30 M34 M38:N42 N5:N7 N9:N16 N18:N25 N27:N28 N30:N32 N34:N36 O5:O6 O13:O16 O18:O22 O25 O28 O31 O33 O36 P5:Q5 P8:P10 P13:P17 P19:P20 P22:P27 P29 P32:P33 P35:P36 P40 Q7:Q10 Q14:Q16 Q18:Q26 Q28:Q29 Q34 Q41 R5:R17 R19:R22 R26 R28 R42 S5:W6 S8:S10 S12:S30 S32:S33 S35 S38:S42 T8:T9 T11 T15:T20 T22 T26:T30 T32 T37 T41 U8:U13 U15:U17 U19:U20 U22:U23 U25 U28:X28 U33 U38 V9 V11:V13 V15:V21 V24 V26 V36 W10:W13 W15:W16 W18:W21 W25 W30:W33 W35 W37 W39:W42 X5:X21 X24:X25 X30 X33:X34 X37:X42 Y5:Y9 Y11:Y17 Y19:Y22 Y28:Y30 Y33:Y36 Y38:Y42 Z5:Z8 Z11 Z13:Z17 Z19:Z21 Z26 Z28 Z31 Z35 AA5:AA7 AA10:AA11 AA14:AA17 AA19 AA22:AA25 AA27:AA30 AA34:AA36 AA38:AA43 AB5:AG5 AB7:AB8 AB10:AB19 AB21:AB22 AB25:AB26 AB28:AB29 AB31:AB32 AB34:AB43 AC7:AC22 AC27:AC30 AC32 AC34:AC40 AC42:AC43 AD7:AD10 AD12:AD14 AD16 AD19:AD26 AD28:AD33 AD37:AE43 AE7:AE16 AE18:AE19 AE22 AE26:AE27 AE31:AE32 AF7:AF13 AF15:AF19 AF22:AF26 AF32 AF37:AF41 AG8:AG16 AG19:AG20 AG22 AG25 AG30">
    <cfRule type="expression" priority="29" dxfId="136">
      <formula>WEEKDAY(#REF!,2)&gt;5</formula>
    </cfRule>
  </conditionalFormatting>
  <conditionalFormatting sqref="D12 H5 T8:T9 T11 T27 T37 U13 V12 W11 W13 W18 X6:Y7 X10:X12 X25 Y9 Y11:Z11 Y13:Z13 AA10:AA11 AA15:AA16 AA27:AA28 AB10:AE10 AB13 AB15 AB32:AC32 AC20 AD30 AE31 AF24:AF25 AG15">
    <cfRule type="expression" priority="30" dxfId="136">
      <formula>WEEKDAY(J$3,2)&gt;5</formula>
    </cfRule>
  </conditionalFormatting>
  <conditionalFormatting sqref="D9 D12 D19:D20 D32:H32 F19 H5 K11 K19 S17:S18 S20:S21 S33 T8:T9 T19:T20 T22 AA19 AD19:AF19">
    <cfRule type="expression" priority="32" dxfId="136">
      <formula>WEEKDAY(J$3,2)&gt;5</formula>
    </cfRule>
  </conditionalFormatting>
  <conditionalFormatting sqref="D5:D10 D12:D23 D25 D28 D32 D38:D42 E6 E8:F8 E12:E17 E19:E25 E27 E29 E31:E32 E37 F5:F6 F10:F12 F14:F20 F24:F25 F27:F28 F30:G30 F32:G32 F34:H34 F36:F42 G6:G10 G12 G14:G19 G21:G22 G25:G28 G36:H37 G41 H5:H16 H18:H27 H31:H32 I5 I7:I9 I11:I25 I27:I30 I34:I35 I37:I42 J5:J10 J13:J16 J18:J22 J24:J30 J33 J36:J37 J39 K5:K8 K10:K16 K18:K20 K22:K25 K28:K30 K33:K35 K37:K42 L5:L6 L8:L12 L14:L16 L18:L27 L29 L33 L35:L40 L42 M6:M9 M12 M14:M17 M20:M26 M28 M30 M34 M38:N42 N5:N7 N9:N19 N22:N25 N27:N28 N30:N32 N34:N36 O5:P6 O12:O25 O28 O30:O31 O33:O34 O36 P8:P29 P32:P33 P35:P36 P40 Q5 Q7:Q10 Q13:Q23 Q25:Q29 Q34 Q41 R5:R17 R19:R22 R25:R28 R30 R42 S5:S6 S10 S12:S26 S28:S30 S32:T32 S35 S38:S42 T5:T9 T11:T12 T14:T23 T25:T30 T37:T38 T41 U5:W6 U8:U17 U19:U23 U25:U28 U30 U33 U38 V9 V12:V21 V23:V24 V26:V29 V31 V35:V37 V43:V46 W8:W13 W15:W16 W18:W21 W23 W25 W27:W42 X5:Y22 X24:X25 X27:Y30 X33:X34 X37:X42 Y25 Y33:Y36 Y38:Y42 Z5:Z42 AA5:AC43 AD5:AD34 AD36:AD43 AE5:AF28 AE30:AF32 AE37:AE43 AF37:AF41 AG5:AG17 AG19:AG27 AG30:AG31">
    <cfRule type="cellIs" priority="33" operator="equal" dxfId="137">
      <formula>"B"</formula>
    </cfRule>
    <cfRule type="cellIs" priority="34" operator="equal" dxfId="137">
      <formula>"AL"</formula>
    </cfRule>
    <cfRule type="cellIs" priority="35" operator="equal" dxfId="138">
      <formula>"DM"</formula>
    </cfRule>
    <cfRule type="cellIs" priority="36" operator="equal" dxfId="139">
      <formula>"CS1"</formula>
    </cfRule>
    <cfRule type="cellIs" priority="37" operator="equal" dxfId="140">
      <formula>"CS2"</formula>
    </cfRule>
    <cfRule type="cellIs" priority="38" operator="equal" dxfId="141">
      <formula>"SB1"</formula>
    </cfRule>
    <cfRule type="cellIs" priority="39" operator="equal" dxfId="142">
      <formula>"SB2"</formula>
    </cfRule>
    <cfRule type="cellIs" priority="40" operator="equal" dxfId="143">
      <formula>"AE"</formula>
    </cfRule>
    <cfRule type="cellIs" priority="42" operator="equal" dxfId="137">
      <formula>"DB"</formula>
    </cfRule>
    <cfRule type="containsText" priority="43" operator="between" dxfId="144" text="$AM">
      <formula>NOT(ISERROR(SEARCH("$AM",D5)))</formula>
    </cfRule>
    <cfRule type="containsText" priority="44" operator="between" dxfId="145" text="$PM">
      <formula>NOT(ISERROR(SEARCH("$PM",D5)))</formula>
    </cfRule>
    <cfRule type="containsText" priority="45" operator="between" dxfId="146" text="$L">
      <formula>NOT(ISERROR(SEARCH("$L",D5)))</formula>
    </cfRule>
    <cfRule type="containsText" priority="46" operator="between" dxfId="147" text="$BTP">
      <formula>NOT(ISERROR(SEARCH("$BTP",D5)))</formula>
    </cfRule>
    <cfRule type="containsText" priority="47" operator="between" dxfId="148" text="$M">
      <formula>NOT(ISERROR(SEARCH("$M",D5)))</formula>
    </cfRule>
    <cfRule type="containsText" priority="48" operator="between" dxfId="149" text="$N">
      <formula>NOT(ISERROR(SEARCH("$N",D5)))</formula>
    </cfRule>
    <cfRule type="containsText" priority="49" operator="between" dxfId="150" text="$FC">
      <formula>NOT(ISERROR(SEARCH("$FC",D5)))</formula>
    </cfRule>
    <cfRule type="containsText" priority="50" operator="between" dxfId="151" text="OAL">
      <formula>NOT(ISERROR(SEARCH("OAL",D5)))</formula>
    </cfRule>
    <cfRule type="containsText" priority="51" operator="between" dxfId="152" text="S+">
      <formula>NOT(ISERROR(SEARCH("S+",D5)))</formula>
    </cfRule>
    <cfRule type="containsText" priority="52" operator="between" dxfId="153" text="EX-D">
      <formula>NOT(ISERROR(SEARCH("EX-D",D5)))</formula>
    </cfRule>
    <cfRule type="expression" priority="53" dxfId="136">
      <formula>WEEKDAY(#REF!,2)&gt;5</formula>
    </cfRule>
  </conditionalFormatting>
  <conditionalFormatting sqref="D5:I56 J5:J10 J12:J56 K5:AG56">
    <cfRule type="containsText" priority="41" operator="between" dxfId="1388" text="CS/B">
      <formula>NOT(ISERROR(SEARCH("CS/B",D5)))</formula>
    </cfRule>
  </conditionalFormatting>
  <conditionalFormatting sqref="BP5:BQ46">
    <cfRule type="cellIs" priority="62" operator="lessThan" dxfId="155">
      <formula>1</formula>
    </cfRule>
  </conditionalFormatting>
  <conditionalFormatting sqref="H20 T11 T27 T37 U13 V12 V43:V46 W11 W13 W18 X6:Y7 X10:X12 X25 Y9 Y11:Z11 Y13:Z13 AA10:AA11 AA15:AA16 AA27:AA28 AB10:AE10 AB13 AB15 AB18:AC18 AB32:AC32 AC20 AD30 AE31 AF24:AF25 AG15">
    <cfRule type="expression" priority="31" dxfId="136">
      <formula>WEEKDAY(Y$3,2)&gt;5</formula>
    </cfRule>
  </conditionalFormatting>
  <conditionalFormatting sqref="D12:E12 D23 E29 G19:H19 G28 H23 I19:I20 I23:I24 N23 S8:S9 S25 T22 U28 W35">
    <cfRule type="expression" priority="8" dxfId="136">
      <formula>WEEKDAY(T$3,2)&gt;5</formula>
    </cfRule>
  </conditionalFormatting>
  <conditionalFormatting sqref="D12:E12 P36 S9 W35">
    <cfRule type="expression" priority="3" dxfId="136">
      <formula>WEEKDAY(U$3,2)&gt;5</formula>
    </cfRule>
  </conditionalFormatting>
  <conditionalFormatting sqref="R19:R20 S22">
    <cfRule type="expression" priority="4" dxfId="136">
      <formula>WEEKDAY(U$3,2)&gt;5</formula>
    </cfRule>
    <cfRule type="expression" priority="5" dxfId="136">
      <formula>WEEKDAY(V$3,2)&gt;5</formula>
    </cfRule>
  </conditionalFormatting>
  <dataValidations count="4">
    <dataValidation sqref="D5 D6:H6 D7:M8 D9:D11 D13:G13 D14:I14 D15:Z15 D16:P16 D17:Z17 D18:K18 D20:K20 D21:H22 D23:I23 D24:G24 D25:F25 D26 D27:AG27 D28:I29 D30:K30 D31:F31 D32:I32 D33:F33 D34:J34 D35:H35 D36:I37 D39:H39 D40:E40 D41:L41 D42:P42 E38:L38 F5:K5 F10:J10 F11:I12 F26:H26 G9:J9 H31:I31 H33:R33 H40:K40 I13:P13 I24:J24 I25 J21:M21 J26 J39 K6:M6 K12:P12 K22 K23:M23 K29 K31:T31 K32 K35:P35 K36:S36 K37:O37 L14:W14 L24:M24 L26 L28 M5:O5 M9 M10:P10 M18:X18 M22 M25:S25 M29:O29 M34:V34 M39:O39 N11:P11 N28:Z28 N30:U30 N32:P32 N38 N40:O40 N41:P41 O6 O7:P7 O8 O9:R9 O21:R21 O22 O23:AG23 O24:Q24 O26:AD26 P38:R38 Q37:S37 Q39:Q40 R6:R8 R11 R12:AA12 R13:S13 R16:Z16 R20:V20 R22 R32 R35:U35 R41:T41 S29:T29 S39:U40 T5:Y5 T6:X6 T11:U11 T21 T22:W22 T33:U33 T42:X42 U7:U8 U9:V9 U10 U13:W13 U24:V25 U32:AA32 U36 U38:V38 V21:X21 V29:X29 V37:AC37 V41:AA41 W10:X10 W30:AD30 W31:Z31 W33:AC33 W39:X39 W40:AA40 X7:AC7 X9 X11:AG11 X24 X25:AG25 X34 X36:AG36 X38:AC38 Y13:AA13 Y14:Z14 Y35:AC35 Z6 Z8:AB8 Z9 Z10:AG10 Z18 Z20:AG20 Z21 Z22:AG22 Z24:AC24 Z29:AF29 Z34:AG34 Z39 Z42 AB9 AB18:AG18 AB21:AD21 AB28:AC28 AB31:AC31 AC41 AD8:AG8 AE7:AG7 AE9:AG9 AE17 AE24:AG24 AE28:AG28 AE31:AG31 AE33:AG33 AF21:AG21 AF30 AF35:AG35 AF42:AG42 AG5:AG6 AG13 AG17 AG19 AG26 AG32 AG37:AG41" showDropDown="0" showInputMessage="0" showErrorMessage="0" allowBlank="1" type="custom">
      <formula1>NOT(ISERROR(SEARCH((#REF!),(D5))))</formula1>
    </dataValidation>
    <dataValidation sqref="D12:E12 D19:L19 E11 I35 J12 J37 K11 L5 L20:Q20 L22 L29 M38 N6:N7 N9 N19:X19 N22 N24 P5:Q5 P8:Q8 P22:Q22 P29:Q29 P40 Q10 Q41 R42 S10 S21:S22 S24 T8:T9 T32 T37 V36 W20 W35 Y6 Y8:Y9 Y22 Y34 Y39 Z19:AF19 AA15:AC15 AA16:AE16 AA39:AF39 AA42:AE42 AB13 AB17:AC17 AB32:AF32 AB40:AF40 AD33 AE13:AF13 AE15:AG15 AF17 AF26 AG12 AG16 AG30" showDropDown="1" showInputMessage="0" showErrorMessage="0" allowBlank="1" type="list">
      <formula1>'Setting key Duty'!$B$7:$B$54</formula1>
    </dataValidation>
    <dataValidation sqref="B5:B11 B13:B26 D43:G43 D44:M46 J43:M43 K39 L40 O43:Q46 S5 T43:V43 T44:AG46 Y43:Z43 AF43:AG43" showDropDown="1" showInputMessage="0" showErrorMessage="0" allowBlank="1" type="list">
      <formula1>'Setting key Duty'!$B$7:$B$56</formula1>
    </dataValidation>
    <dataValidation sqref="D47:AG54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0"/>
    <pageSetUpPr fitToPage="1"/>
  </sheetPr>
  <dimension ref="A1:BR87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hidden="1" width="29.752380952381" customWidth="1" min="3" max="3"/>
    <col width="9.24761904761905" customWidth="1" min="4" max="12"/>
    <col width="9.38095238095238" customWidth="1" min="13" max="13"/>
    <col width="10.6285714285714" customWidth="1" min="14" max="14"/>
    <col width="9.24761904761905" customWidth="1" min="15" max="15"/>
    <col width="10" customWidth="1" min="16" max="16"/>
    <col width="10.752380952381" customWidth="1" min="17" max="17"/>
    <col width="10.247619047619" customWidth="1" min="18" max="18"/>
    <col width="9.62857142857143" customWidth="1" min="19" max="19"/>
    <col width="9.133333333333329" customWidth="1" min="20" max="20"/>
    <col width="9.24761904761905" customWidth="1" min="21" max="27"/>
    <col width="10.5047619047619" customWidth="1" min="28" max="28"/>
    <col width="9.24761904761905" customWidth="1" min="29" max="31"/>
    <col width="10.5047619047619" customWidth="1" min="32" max="32"/>
    <col width="9.38095238095238" customWidth="1" min="33" max="34"/>
    <col outlineLevel="1" width="9.38095238095238" customWidth="1" min="35" max="41"/>
    <col outlineLevel="1" width="12" customWidth="1" min="42" max="42"/>
    <col outlineLevel="1" width="9.38095238095238" customWidth="1" min="43" max="43"/>
    <col width="6.75238095238095" customWidth="1" min="44" max="45"/>
    <col outlineLevel="1" width="8.87619047619048" customWidth="1" min="46" max="46"/>
    <col outlineLevel="1" width="7.87619047619048" customWidth="1" min="47" max="48"/>
    <col outlineLevel="1" width="9.133333333333329" customWidth="1" min="49" max="49"/>
    <col outlineLevel="1" width="8.24761904761905" customWidth="1" min="50" max="50"/>
    <col outlineLevel="1" width="5.5047619047619" customWidth="1" min="51" max="51"/>
    <col width="9.38095238095238" customWidth="1" min="52" max="54"/>
    <col hidden="1" outlineLevel="1" width="9.38095238095238" customWidth="1" min="55" max="65"/>
    <col collapsed="1" width="9.38095238095238" customWidth="1" min="66" max="66"/>
    <col width="9.38095238095238" customWidth="1" min="67" max="67"/>
    <col width="9.504761904761899" customWidth="1" min="68" max="68"/>
    <col width="9.38095238095238" customWidth="1" min="69" max="70"/>
  </cols>
  <sheetData>
    <row r="1" ht="3" customHeight="1">
      <c r="A1" s="440" t="inlineStr">
        <is>
          <t>`</t>
        </is>
      </c>
      <c r="B1" s="45" t="inlineStr">
        <is>
          <t>Type of req:
Reason:</t>
        </is>
      </c>
      <c r="C1" s="45" t="n"/>
      <c r="D1" s="441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0" t="n"/>
      <c r="T1" s="411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  <c r="BQ1" s="50" t="n"/>
      <c r="BR1" s="50" t="n"/>
    </row>
    <row r="2" ht="26.25" customHeight="1">
      <c r="A2" s="437" t="n"/>
      <c r="B2" s="52" t="inlineStr">
        <is>
          <t>Event Log</t>
        </is>
      </c>
      <c r="C2" s="52" t="n"/>
      <c r="D2" s="52" t="inlineStr">
        <is>
          <t>LABOUR DAY</t>
        </is>
      </c>
      <c r="E2" s="52" t="n"/>
      <c r="F2" s="52" t="n"/>
      <c r="G2" s="52" t="n"/>
      <c r="H2" s="52" t="n"/>
      <c r="I2" s="52" t="n"/>
      <c r="J2" s="52" t="n"/>
      <c r="K2" s="52" t="n"/>
      <c r="L2" s="52" t="n"/>
      <c r="M2" s="52" t="n"/>
      <c r="N2" s="52" t="inlineStr">
        <is>
          <t>DE</t>
        </is>
      </c>
      <c r="O2" s="52" t="inlineStr">
        <is>
          <t>DE</t>
        </is>
      </c>
      <c r="P2" s="52" t="inlineStr">
        <is>
          <t>DE, AMPT</t>
        </is>
      </c>
      <c r="Q2" s="52" t="inlineStr">
        <is>
          <t>DE</t>
        </is>
      </c>
      <c r="R2" s="52" t="n"/>
      <c r="S2" s="52" t="n"/>
      <c r="T2" s="52" t="n"/>
      <c r="U2" s="56" t="inlineStr">
        <is>
          <t>L,N VACC 2</t>
        </is>
      </c>
      <c r="V2" s="52" t="inlineStr">
        <is>
          <t>T VACC 2</t>
        </is>
      </c>
      <c r="W2" s="58" t="inlineStr">
        <is>
          <t>V VACC 1, AMPT</t>
        </is>
      </c>
      <c r="X2" s="52" t="inlineStr">
        <is>
          <t>F VACC 2</t>
        </is>
      </c>
      <c r="Y2" s="52" t="inlineStr">
        <is>
          <t>O,M VACC 2</t>
        </is>
      </c>
      <c r="Z2" s="52" t="n"/>
      <c r="AA2" s="52" t="n"/>
      <c r="AB2" s="52" t="inlineStr">
        <is>
          <t>W VACC 1</t>
        </is>
      </c>
      <c r="AC2" s="52" t="inlineStr">
        <is>
          <t>K VACC 1</t>
        </is>
      </c>
      <c r="AD2" s="52" t="inlineStr">
        <is>
          <t>HARI RAYA HAJI</t>
        </is>
      </c>
      <c r="AE2" s="52" t="n"/>
      <c r="AF2" s="52" t="inlineStr">
        <is>
          <t>K VACC 1</t>
        </is>
      </c>
      <c r="AG2" s="52" t="n"/>
      <c r="AH2" s="59" t="inlineStr">
        <is>
          <t>VESAK DAY</t>
        </is>
      </c>
      <c r="AI2" s="59" t="n"/>
      <c r="AJ2" s="59" t="n"/>
      <c r="AK2" s="59" t="n"/>
      <c r="AL2" s="59" t="n"/>
      <c r="AM2" s="59" t="n"/>
      <c r="AN2" s="59" t="n"/>
      <c r="AO2" s="59" t="n"/>
      <c r="AP2" s="59" t="n"/>
      <c r="AQ2" s="59" t="n"/>
      <c r="AR2" s="60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59" t="n"/>
      <c r="BC2" s="59" t="n"/>
      <c r="BD2" s="59" t="n"/>
      <c r="BE2" s="59" t="n"/>
      <c r="BF2" s="59" t="n"/>
      <c r="BG2" s="59" t="n"/>
      <c r="BH2" s="59" t="n"/>
      <c r="BI2" s="59" t="n"/>
      <c r="BJ2" s="59" t="n"/>
      <c r="BK2" s="59" t="n"/>
      <c r="BL2" s="59" t="n"/>
      <c r="BM2" s="59" t="n"/>
      <c r="BN2" s="59" t="n"/>
      <c r="BO2" s="59" t="n"/>
      <c r="BP2" s="59" t="n"/>
      <c r="BQ2" s="59" t="n"/>
      <c r="BR2" s="59" t="n"/>
    </row>
    <row r="3" ht="26.25" customHeight="1">
      <c r="A3" s="437" t="n"/>
      <c r="B3" s="52" t="inlineStr">
        <is>
          <t>Rostering</t>
        </is>
      </c>
      <c r="C3" s="52" t="n"/>
      <c r="D3" s="442" t="n">
        <v>46143</v>
      </c>
      <c r="E3" s="443">
        <f>D3+1</f>
        <v/>
      </c>
      <c r="F3" s="443">
        <f>E3+1</f>
        <v/>
      </c>
      <c r="G3" s="443">
        <f>F3+1</f>
        <v/>
      </c>
      <c r="H3" s="443">
        <f>G3+1</f>
        <v/>
      </c>
      <c r="I3" s="443">
        <f>H3+1</f>
        <v/>
      </c>
      <c r="J3" s="443">
        <f>I3+1</f>
        <v/>
      </c>
      <c r="K3" s="443">
        <f>J3+1</f>
        <v/>
      </c>
      <c r="L3" s="443">
        <f>K3+1</f>
        <v/>
      </c>
      <c r="M3" s="443">
        <f>L3+1</f>
        <v/>
      </c>
      <c r="N3" s="443">
        <f>M3+1</f>
        <v/>
      </c>
      <c r="O3" s="443">
        <f>N3+1</f>
        <v/>
      </c>
      <c r="P3" s="443">
        <f>O3+1</f>
        <v/>
      </c>
      <c r="Q3" s="443">
        <f>P3+1</f>
        <v/>
      </c>
      <c r="R3" s="443">
        <f>Q3+1</f>
        <v/>
      </c>
      <c r="S3" s="443">
        <f>R3+1</f>
        <v/>
      </c>
      <c r="T3" s="443">
        <f>S3+1</f>
        <v/>
      </c>
      <c r="U3" s="444">
        <f>T3+1</f>
        <v/>
      </c>
      <c r="V3" s="443">
        <f>U3+1</f>
        <v/>
      </c>
      <c r="W3" s="445">
        <f>V3+1</f>
        <v/>
      </c>
      <c r="X3" s="443">
        <f>W3+1</f>
        <v/>
      </c>
      <c r="Y3" s="443">
        <f>X3+1</f>
        <v/>
      </c>
      <c r="Z3" s="443">
        <f>Y3+1</f>
        <v/>
      </c>
      <c r="AA3" s="443">
        <f>Z3+1</f>
        <v/>
      </c>
      <c r="AB3" s="443">
        <f>AA3+1</f>
        <v/>
      </c>
      <c r="AC3" s="443">
        <f>AB3+1</f>
        <v/>
      </c>
      <c r="AD3" s="443">
        <f>AC3+1</f>
        <v/>
      </c>
      <c r="AE3" s="443">
        <f>AD3+1</f>
        <v/>
      </c>
      <c r="AF3" s="443">
        <f>AE3+1</f>
        <v/>
      </c>
      <c r="AG3" s="443">
        <f>AF3+1</f>
        <v/>
      </c>
      <c r="AH3" s="443">
        <f>AG3+1</f>
        <v/>
      </c>
      <c r="AI3" s="59">
        <f>'Setting key Duty'!$C7</f>
        <v/>
      </c>
      <c r="AJ3" s="59">
        <f>'Setting key Duty'!$C8</f>
        <v/>
      </c>
      <c r="AK3" s="59">
        <f>'Setting key Duty'!$C9</f>
        <v/>
      </c>
      <c r="AL3" s="59">
        <f>'Setting key Duty'!$C10</f>
        <v/>
      </c>
      <c r="AM3" s="59">
        <f>'Setting key Duty'!$C11</f>
        <v/>
      </c>
      <c r="AN3" s="59">
        <f>'Setting key Duty'!$C12</f>
        <v/>
      </c>
      <c r="AO3" s="59">
        <f>'Setting key Duty'!$C13</f>
        <v/>
      </c>
      <c r="AP3" s="59">
        <f>'Setting key Duty'!$C16</f>
        <v/>
      </c>
      <c r="AQ3" s="59">
        <f>'Setting key Duty'!C14</f>
        <v/>
      </c>
      <c r="AR3" s="66" t="inlineStr">
        <is>
          <t>TO ADD</t>
        </is>
      </c>
      <c r="AS3" s="66" t="inlineStr">
        <is>
          <t>TO MINUS</t>
        </is>
      </c>
      <c r="AT3" s="59" t="inlineStr">
        <is>
          <t>Weekday Duty</t>
        </is>
      </c>
      <c r="AU3" s="59" t="inlineStr">
        <is>
          <t>Weekday Extra</t>
        </is>
      </c>
      <c r="AV3" s="59" t="inlineStr">
        <is>
          <t>Friday Duty</t>
        </is>
      </c>
      <c r="AW3" s="59" t="inlineStr">
        <is>
          <t>Weekend Duty</t>
        </is>
      </c>
      <c r="AX3" s="59" t="inlineStr">
        <is>
          <t>Weekend Extra</t>
        </is>
      </c>
      <c r="AY3" s="59" t="inlineStr">
        <is>
          <t>Duty Point</t>
        </is>
      </c>
      <c r="AZ3" s="59" t="inlineStr">
        <is>
          <t>Total Duty</t>
        </is>
      </c>
      <c r="BA3" s="59" t="inlineStr">
        <is>
          <t>Total Cover</t>
        </is>
      </c>
      <c r="BB3" s="66" t="inlineStr">
        <is>
          <t>Total Point</t>
        </is>
      </c>
      <c r="BC3" s="59" t="inlineStr">
        <is>
          <t>Total Cover
Point</t>
        </is>
      </c>
      <c r="BD3" s="59" t="inlineStr">
        <is>
          <t>BTP</t>
        </is>
      </c>
      <c r="BE3" s="59" t="inlineStr">
        <is>
          <t>$BTP
Point</t>
        </is>
      </c>
      <c r="BF3" s="59" t="inlineStr">
        <is>
          <t>Mid Cover</t>
        </is>
      </c>
      <c r="BG3" s="59" t="inlineStr">
        <is>
          <t>$M 
Point</t>
        </is>
      </c>
      <c r="BH3" s="59" t="inlineStr">
        <is>
          <t>Cover
After Hour</t>
        </is>
      </c>
      <c r="BI3" s="59" t="inlineStr">
        <is>
          <t>$PM
Point</t>
        </is>
      </c>
      <c r="BJ3" s="59" t="inlineStr">
        <is>
          <t>Cover
Early</t>
        </is>
      </c>
      <c r="BK3" s="59" t="inlineStr">
        <is>
          <t>$AM
Point</t>
        </is>
      </c>
      <c r="BL3" s="59">
        <f>'Setting key Duty'!C52</f>
        <v/>
      </c>
      <c r="BM3" s="59" t="inlineStr">
        <is>
          <t>$FC
Point</t>
        </is>
      </c>
      <c r="BN3" s="59" t="inlineStr">
        <is>
          <t>diff</t>
        </is>
      </c>
      <c r="BO3" s="59">
        <f>'Setting key Duty'!$C15</f>
        <v/>
      </c>
      <c r="BP3" s="59">
        <f>'Setting key Duty'!C17</f>
        <v/>
      </c>
      <c r="BQ3" s="59">
        <f>'Setting key Duty'!$C22</f>
        <v/>
      </c>
      <c r="BR3" s="59" t="n"/>
    </row>
    <row r="4" ht="18" customHeight="1">
      <c r="A4" s="67" t="n"/>
      <c r="B4" s="68" t="inlineStr">
        <is>
          <t>Updated on: 26/10/2022</t>
        </is>
      </c>
      <c r="C4" s="68" t="n"/>
      <c r="D4" s="446">
        <f>TEXT(D3,"ddd")</f>
        <v/>
      </c>
      <c r="E4" s="447">
        <f>TEXT(E3,"ddd")</f>
        <v/>
      </c>
      <c r="F4" s="447">
        <f>TEXT(F3,"ddd")</f>
        <v/>
      </c>
      <c r="G4" s="447">
        <f>TEXT(G3,"ddd")</f>
        <v/>
      </c>
      <c r="H4" s="447">
        <f>TEXT(H3,"ddd")</f>
        <v/>
      </c>
      <c r="I4" s="447">
        <f>TEXT(I3,"ddd")</f>
        <v/>
      </c>
      <c r="J4" s="447">
        <f>TEXT(J3,"ddd")</f>
        <v/>
      </c>
      <c r="K4" s="447">
        <f>TEXT(K3,"ddd")</f>
        <v/>
      </c>
      <c r="L4" s="447">
        <f>TEXT(L3,"ddd")</f>
        <v/>
      </c>
      <c r="M4" s="447">
        <f>TEXT(M3,"ddd")</f>
        <v/>
      </c>
      <c r="N4" s="447">
        <f>TEXT(N3,"ddd")</f>
        <v/>
      </c>
      <c r="O4" s="447">
        <f>TEXT(O3,"ddd")</f>
        <v/>
      </c>
      <c r="P4" s="447">
        <f>TEXT(P3,"ddd")</f>
        <v/>
      </c>
      <c r="Q4" s="447">
        <f>TEXT(Q3,"ddd")</f>
        <v/>
      </c>
      <c r="R4" s="447">
        <f>TEXT(R3,"ddd")</f>
        <v/>
      </c>
      <c r="S4" s="447">
        <f>TEXT(S3,"ddd")</f>
        <v/>
      </c>
      <c r="T4" s="447">
        <f>TEXT(T3,"ddd")</f>
        <v/>
      </c>
      <c r="U4" s="446">
        <f>TEXT(U3,"ddd")</f>
        <v/>
      </c>
      <c r="V4" s="447">
        <f>TEXT(V3,"ddd")</f>
        <v/>
      </c>
      <c r="W4" s="448">
        <f>TEXT(W3,"ddd")</f>
        <v/>
      </c>
      <c r="X4" s="447">
        <f>TEXT(X3,"ddd")</f>
        <v/>
      </c>
      <c r="Y4" s="447">
        <f>TEXT(Y3,"ddd")</f>
        <v/>
      </c>
      <c r="Z4" s="447">
        <f>TEXT(Z3,"ddd")</f>
        <v/>
      </c>
      <c r="AA4" s="447">
        <f>TEXT(AA3,"ddd")</f>
        <v/>
      </c>
      <c r="AB4" s="447">
        <f>TEXT(AB3,"ddd")</f>
        <v/>
      </c>
      <c r="AC4" s="447">
        <f>TEXT(AC3,"ddd")</f>
        <v/>
      </c>
      <c r="AD4" s="447">
        <f>TEXT(AD3,"ddd")</f>
        <v/>
      </c>
      <c r="AE4" s="447">
        <f>TEXT(AE3,"ddd")</f>
        <v/>
      </c>
      <c r="AF4" s="447">
        <f>TEXT(AF3,"ddd")</f>
        <v/>
      </c>
      <c r="AG4" s="447">
        <f>TEXT(AG3,"ddd")</f>
        <v/>
      </c>
      <c r="AH4" s="447">
        <f>TEXT(AH3,"ddd")</f>
        <v/>
      </c>
      <c r="AI4" s="68">
        <f>'Setting key Duty'!$B7</f>
        <v/>
      </c>
      <c r="AJ4" s="68">
        <f>'Setting key Duty'!$B8</f>
        <v/>
      </c>
      <c r="AK4" s="68">
        <f>'Setting key Duty'!$B9</f>
        <v/>
      </c>
      <c r="AL4" s="68">
        <f>'Setting key Duty'!$B10</f>
        <v/>
      </c>
      <c r="AM4" s="68">
        <f>'Setting key Duty'!$B11</f>
        <v/>
      </c>
      <c r="AN4" s="68">
        <f>'Setting key Duty'!$B12</f>
        <v/>
      </c>
      <c r="AO4" s="68">
        <f>'Setting key Duty'!$B13</f>
        <v/>
      </c>
      <c r="AP4" s="68">
        <f>'Setting key Duty'!$B16</f>
        <v/>
      </c>
      <c r="AQ4" s="68">
        <f>'Setting key Duty'!B14</f>
        <v/>
      </c>
      <c r="AR4" s="439" t="n"/>
      <c r="AS4" s="439" t="n"/>
      <c r="AT4" s="68" t="n"/>
      <c r="AU4" s="68" t="n"/>
      <c r="AV4" s="68" t="n"/>
      <c r="AW4" s="68" t="n"/>
      <c r="AX4" s="68" t="n"/>
      <c r="AY4" s="68" t="n"/>
      <c r="AZ4" s="68" t="n"/>
      <c r="BA4" s="68" t="n"/>
      <c r="BB4" s="73" t="n"/>
      <c r="BC4" s="68" t="n"/>
      <c r="BD4" s="68" t="inlineStr">
        <is>
          <t>$BTP</t>
        </is>
      </c>
      <c r="BE4" s="68" t="n"/>
      <c r="BF4" s="68" t="inlineStr">
        <is>
          <t>$M</t>
        </is>
      </c>
      <c r="BG4" s="68" t="n"/>
      <c r="BH4" s="68" t="inlineStr">
        <is>
          <t>$PM</t>
        </is>
      </c>
      <c r="BI4" s="68" t="n"/>
      <c r="BJ4" s="68" t="inlineStr">
        <is>
          <t>$AM</t>
        </is>
      </c>
      <c r="BK4" s="68" t="n"/>
      <c r="BL4" s="68">
        <f>'Setting key Duty'!B52</f>
        <v/>
      </c>
      <c r="BM4" s="68" t="n"/>
      <c r="BN4" s="68" t="n"/>
      <c r="BO4" s="68">
        <f>'Setting key Duty'!$B15</f>
        <v/>
      </c>
      <c r="BP4" s="68">
        <f>'Setting key Duty'!B17</f>
        <v/>
      </c>
      <c r="BQ4" s="68">
        <f>'Setting key Duty'!$B22</f>
        <v/>
      </c>
      <c r="BR4" s="68" t="n"/>
    </row>
    <row r="5" hidden="1" ht="60" customHeight="1">
      <c r="A5" s="77" t="n"/>
      <c r="B5" s="77" t="inlineStr">
        <is>
          <t>CPL MUHAMAD LUTFIL AL-HADI</t>
        </is>
      </c>
      <c r="C5" s="76" t="n"/>
      <c r="D5" s="107" t="n"/>
      <c r="E5" s="107" t="n"/>
      <c r="F5" s="107" t="n"/>
      <c r="G5" s="107" t="inlineStr">
        <is>
          <t>CNY OIL</t>
        </is>
      </c>
      <c r="H5" s="107" t="inlineStr">
        <is>
          <t>AL</t>
        </is>
      </c>
      <c r="I5" s="107" t="n"/>
      <c r="J5" s="107" t="n"/>
      <c r="K5" s="107" t="inlineStr">
        <is>
          <t>AL</t>
        </is>
      </c>
      <c r="L5" s="107" t="n"/>
      <c r="M5" s="107" t="n"/>
      <c r="N5" s="107" t="inlineStr">
        <is>
          <t>AL</t>
        </is>
      </c>
      <c r="O5" s="107" t="inlineStr">
        <is>
          <t>AL</t>
        </is>
      </c>
      <c r="P5" s="107" t="n"/>
      <c r="Q5" s="107" t="n"/>
      <c r="R5" s="107" t="inlineStr">
        <is>
          <t>OWADIO</t>
        </is>
      </c>
      <c r="S5" s="107" t="n"/>
      <c r="T5" s="107" t="n"/>
      <c r="U5" s="107" t="n"/>
      <c r="V5" s="107" t="n"/>
      <c r="W5" s="107" t="n"/>
      <c r="X5" s="107" t="n"/>
      <c r="Y5" s="141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77">
        <f>COUNTIF($D5:$AG5,AI$4)</f>
        <v/>
      </c>
      <c r="AJ5" s="77">
        <f>COUNTIF($D5:$AG5,AJ$4)</f>
        <v/>
      </c>
      <c r="AK5" s="77">
        <f>COUNTIF($D5:$AG5,AK$4)</f>
        <v/>
      </c>
      <c r="AL5" s="77">
        <f>COUNTIF($D5:$AG5,AL$4)</f>
        <v/>
      </c>
      <c r="AM5" s="77">
        <f>COUNTIF($D5:$AG5,AM$4)</f>
        <v/>
      </c>
      <c r="AN5" s="77">
        <f>COUNTIF($D5:$AG5,AN$4)</f>
        <v/>
      </c>
      <c r="AO5" s="77">
        <f>COUNTIF($D5:$AG5,AO$4)</f>
        <v/>
      </c>
      <c r="AP5" s="77">
        <f>COUNTIF($D5:$AG5,AP$4)</f>
        <v/>
      </c>
      <c r="AQ5" s="77">
        <f>COUNTIF($D5:$AG5,AQ$4)</f>
        <v/>
      </c>
      <c r="AR5" s="76" t="n"/>
      <c r="AS5" s="76" t="n">
        <v>3</v>
      </c>
      <c r="AT5" s="77">
        <f t="array" ref="AT5">SUMPRODUCT(--(WEEKDAY(D$3:AG$3,2)&lt;5),--ISNUMBER(MATCH(D5:AG5,{"DM","CS1","CS2","SB1","AE","CS/B"},0)))</f>
        <v/>
      </c>
      <c r="AU5" s="77" t="n"/>
      <c r="AV5" s="77">
        <f t="array" ref="AV5">SUMPRODUCT(--(WEEKDAY(D$3:AG$3,2)=5),--ISNUMBER(MATCH(D5:AG5,{"DM","CS1","CS2","SB1","AE","CS/B"},0)))</f>
        <v/>
      </c>
      <c r="AW5" s="77">
        <f t="array" ref="AW5">SUMPRODUCT(--(WEEKDAY(D$3:AG$3,2)&gt;5),--ISNUMBER(MATCH(D5:AG5,{"DM","CS1","CS2","SB1","AE","CS/B"},0)))</f>
        <v/>
      </c>
      <c r="AX5" s="77" t="n"/>
      <c r="AY5" s="77">
        <f>(AT5-AU5)+AV5*1.5+(AW5-AX5)*2+AN5*0.5+AP5*0.5+AR5-AS5</f>
        <v/>
      </c>
      <c r="AZ5" s="77">
        <f>AT5+AV5+AW5</f>
        <v/>
      </c>
      <c r="BA5" s="77">
        <f>BD5+BF5+BH5+BJ5+BL5</f>
        <v/>
      </c>
      <c r="BB5" s="76">
        <f>AY5+BC5</f>
        <v/>
      </c>
      <c r="BC5" s="77">
        <f>BE5+BG5+BI5+BK5+BM5</f>
        <v/>
      </c>
      <c r="BD5" s="77">
        <f>COUNTIF(A5:AI5,"*$BTP*")</f>
        <v/>
      </c>
      <c r="BE5" s="77">
        <f>BD5*1.5</f>
        <v/>
      </c>
      <c r="BF5" s="77">
        <f>COUNTIF(A5:AI5,"*$M*")</f>
        <v/>
      </c>
      <c r="BG5" s="77">
        <f>BF5*1</f>
        <v/>
      </c>
      <c r="BH5" s="77">
        <f>COUNTIF(A5:AI5,"*$PM*")</f>
        <v/>
      </c>
      <c r="BI5" s="77">
        <f>BH5*0.5</f>
        <v/>
      </c>
      <c r="BJ5" s="77">
        <f>COUNTIF(A5:AI5,"*$AM*")</f>
        <v/>
      </c>
      <c r="BK5" s="77">
        <f>BJ5*0.5</f>
        <v/>
      </c>
      <c r="BL5" s="77">
        <f>COUNTIF(A5:AI5,"*$FC*")</f>
        <v/>
      </c>
      <c r="BM5" s="77">
        <f>BL5*1</f>
        <v/>
      </c>
      <c r="BN5" s="77" t="n"/>
      <c r="BO5" s="77">
        <f>COUNTIF($E5:$AB5,BO$4)</f>
        <v/>
      </c>
      <c r="BP5" s="77">
        <f>COUNTIF($E5:$AB5,BP$4)</f>
        <v/>
      </c>
      <c r="BQ5" s="77">
        <f>COUNTIF($E5:$AB5,BQ$4)</f>
        <v/>
      </c>
      <c r="BR5" s="77" t="n"/>
    </row>
    <row r="6" ht="87" customHeight="1">
      <c r="A6" s="74" t="n"/>
      <c r="B6" s="74" t="inlineStr">
        <is>
          <t xml:space="preserve">CPL GERALD TAN </t>
        </is>
      </c>
      <c r="C6" s="76" t="n"/>
      <c r="D6" s="110" t="n"/>
      <c r="E6" s="110" t="inlineStr">
        <is>
          <t>DM</t>
        </is>
      </c>
      <c r="F6" s="110" t="n"/>
      <c r="G6" s="110" t="n"/>
      <c r="H6" s="110" t="inlineStr">
        <is>
          <t>DM</t>
        </is>
      </c>
      <c r="I6" s="110" t="n"/>
      <c r="J6" s="110" t="inlineStr">
        <is>
          <t>SB2</t>
        </is>
      </c>
      <c r="K6" s="110" t="n"/>
      <c r="L6" s="110" t="n"/>
      <c r="M6" s="110" t="n"/>
      <c r="N6" s="110" t="inlineStr">
        <is>
          <t>AM MA + PM AL</t>
        </is>
      </c>
      <c r="O6" s="110" t="inlineStr">
        <is>
          <t>CS1</t>
        </is>
      </c>
      <c r="P6" s="110" t="inlineStr">
        <is>
          <t>SB2</t>
        </is>
      </c>
      <c r="Q6" s="110" t="n"/>
      <c r="R6" s="110" t="n"/>
      <c r="S6" s="110" t="n"/>
      <c r="T6" s="110" t="n"/>
      <c r="U6" s="110" t="n"/>
      <c r="V6" s="110" t="inlineStr">
        <is>
          <t>CS2</t>
        </is>
      </c>
      <c r="W6" s="110" t="n"/>
      <c r="X6" s="110" t="inlineStr">
        <is>
          <t>DM</t>
        </is>
      </c>
      <c r="Y6" s="110" t="n"/>
      <c r="Z6" s="110" t="n"/>
      <c r="AA6" s="110" t="n"/>
      <c r="AB6" s="110" t="inlineStr">
        <is>
          <t>Bday</t>
        </is>
      </c>
      <c r="AC6" s="110" t="n"/>
      <c r="AD6" s="110" t="n"/>
      <c r="AE6" s="110" t="n"/>
      <c r="AF6" s="110" t="inlineStr">
        <is>
          <t>DM</t>
        </is>
      </c>
      <c r="AG6" s="110" t="n"/>
      <c r="AH6" s="110" t="n"/>
      <c r="AI6" s="74">
        <f>COUNTIF($D6:$AG6,AI$4)</f>
        <v/>
      </c>
      <c r="AJ6" s="74">
        <f>COUNTIF($D6:$AG6,AJ$4)</f>
        <v/>
      </c>
      <c r="AK6" s="74">
        <f>COUNTIF($D6:$AG6,AK$4)</f>
        <v/>
      </c>
      <c r="AL6" s="74">
        <f>COUNTIF($D6:$AG6,AL$4)</f>
        <v/>
      </c>
      <c r="AM6" s="74">
        <f>COUNTIF($D6:$AG6,AM$4)</f>
        <v/>
      </c>
      <c r="AN6" s="74">
        <f>COUNTIF($D6:$AG6,AN$4)</f>
        <v/>
      </c>
      <c r="AO6" s="74">
        <f>COUNTIF($D6:$AG6,AO$4)</f>
        <v/>
      </c>
      <c r="AP6" s="74">
        <f>COUNTIF($D6:$AG6,AP$4)</f>
        <v/>
      </c>
      <c r="AQ6" s="74">
        <f>COUNTIF($D6:$AG6,AQ$4)</f>
        <v/>
      </c>
      <c r="AR6" s="76" t="n"/>
      <c r="AS6" s="76" t="n">
        <v>1</v>
      </c>
      <c r="AT6" s="74">
        <f>SUMPRODUCT(--(WEEKDAY(D$3:AH$3,2)&lt;5),--ISNUMBER(MATCH(D6:AH6,{"DM","CS1","CS2","SB1","AE","CS/B"},0)))</f>
        <v/>
      </c>
      <c r="AU6" s="74" t="n"/>
      <c r="AV6" s="74">
        <f>SUMPRODUCT(--(WEEKDAY(D$3:AH$3,2)=5),--ISNUMBER(MATCH(D6:AH6,{"DM","CS1","CS2","SB1","AE","CS/B","WEEKEND OUTFIELD RESERVE"},0)))</f>
        <v/>
      </c>
      <c r="AW6" s="74">
        <f>SUMPRODUCT(--(WEEKDAY(D$3:AH$3,2)&gt;5),--ISNUMBER(MATCH(D6:AH6,{"DM","CS1","CS2","SB1","AE","CS/B","WEEKEND OUTFIELD RESERVE"},0)))</f>
        <v/>
      </c>
      <c r="AX6" s="74" t="n"/>
      <c r="AY6" s="74">
        <f>(AT6-AU6)+AV6*1.5+(AW6-AX6)*2+AN6*0.5+AP6*0.5+AR6-AS6</f>
        <v/>
      </c>
      <c r="AZ6" s="74">
        <f>AT6+AV6+AW6</f>
        <v/>
      </c>
      <c r="BA6" s="74">
        <f>BD6+BF6+BH6+BJ6+BL6</f>
        <v/>
      </c>
      <c r="BB6" s="76">
        <f>AY6+BC6</f>
        <v/>
      </c>
      <c r="BC6" s="74">
        <f>BE6+BG6+BI6+BK6+BM6</f>
        <v/>
      </c>
      <c r="BD6" s="74">
        <f>COUNTIF(A6:AI6,"*$BTP*")</f>
        <v/>
      </c>
      <c r="BE6" s="74">
        <f>BD6*1.5</f>
        <v/>
      </c>
      <c r="BF6" s="74">
        <f>COUNTIF(A6:AI6,"*$M*")</f>
        <v/>
      </c>
      <c r="BG6" s="74">
        <f>BF6*1</f>
        <v/>
      </c>
      <c r="BH6" s="74">
        <f>COUNTIF(A6:AI6,"*$PM*")</f>
        <v/>
      </c>
      <c r="BI6" s="74">
        <f>BH6*0.5</f>
        <v/>
      </c>
      <c r="BJ6" s="74">
        <f>COUNTIF(A6:AI6,"*$AM*")</f>
        <v/>
      </c>
      <c r="BK6" s="74">
        <f>BJ6*0.5</f>
        <v/>
      </c>
      <c r="BL6" s="74">
        <f>COUNTIF(A6:AI6,"*$FC*")</f>
        <v/>
      </c>
      <c r="BM6" s="74">
        <f>BL6*1</f>
        <v/>
      </c>
      <c r="BN6" s="74">
        <f>(BB6-8)</f>
        <v/>
      </c>
      <c r="BO6" s="74">
        <f>COUNTIF($E6:$AA6,BO$4)</f>
        <v/>
      </c>
      <c r="BP6" s="74">
        <f>COUNTIF($E6:$AA6,BP$4)</f>
        <v/>
      </c>
      <c r="BQ6" s="74">
        <f>COUNTIF($E6:$AA6,BQ$4)</f>
        <v/>
      </c>
      <c r="BR6" s="74" t="n"/>
    </row>
    <row r="7" ht="73.5" customHeight="1">
      <c r="A7" s="77" t="n"/>
      <c r="B7" s="77" t="inlineStr">
        <is>
          <t>CPL FANG JIANGRUI</t>
        </is>
      </c>
      <c r="C7" s="76">
        <f>COUNTIF(D7:AG7,"DM")</f>
        <v/>
      </c>
      <c r="D7" s="107" t="n"/>
      <c r="E7" s="107" t="n"/>
      <c r="F7" s="107" t="n"/>
      <c r="G7" s="107" t="n"/>
      <c r="H7" s="107" t="n"/>
      <c r="I7" s="107" t="n"/>
      <c r="J7" s="107" t="n"/>
      <c r="K7" s="107" t="n"/>
      <c r="L7" s="107" t="n"/>
      <c r="M7" s="107" t="n"/>
      <c r="N7" s="107" t="n"/>
      <c r="O7" s="107" t="n"/>
      <c r="P7" s="107" t="n"/>
      <c r="Q7" s="107" t="n"/>
      <c r="R7" s="107" t="n"/>
      <c r="S7" s="107" t="n"/>
      <c r="T7" s="107" t="n"/>
      <c r="U7" s="107" t="n"/>
      <c r="V7" s="107" t="n"/>
      <c r="W7" s="107" t="inlineStr">
        <is>
          <t>AMPT</t>
        </is>
      </c>
      <c r="X7" s="107" t="inlineStr">
        <is>
          <t>SB2</t>
        </is>
      </c>
      <c r="Y7" s="107" t="n"/>
      <c r="Z7" s="107" t="n"/>
      <c r="AA7" s="107" t="n"/>
      <c r="AB7" s="107" t="inlineStr">
        <is>
          <t>AE</t>
        </is>
      </c>
      <c r="AD7" s="107" t="n"/>
      <c r="AE7" s="107" t="n"/>
      <c r="AF7" s="141" t="inlineStr">
        <is>
          <t>CS2</t>
        </is>
      </c>
      <c r="AG7" s="107" t="n"/>
      <c r="AH7" s="107" t="n"/>
      <c r="AI7" s="77">
        <f>COUNTIF($D7:$AG7,AI$4)</f>
        <v/>
      </c>
      <c r="AJ7" s="77">
        <f>COUNTIF($D7:$AG7,AJ$4)</f>
        <v/>
      </c>
      <c r="AK7" s="77">
        <f>COUNTIF($D7:$AG7,AK$4)</f>
        <v/>
      </c>
      <c r="AL7" s="77">
        <f>COUNTIF($D7:$AG7,AL$4)</f>
        <v/>
      </c>
      <c r="AM7" s="77">
        <f>COUNTIF($D7:$AG7,AM$4)</f>
        <v/>
      </c>
      <c r="AN7" s="77">
        <f>COUNTIF($D7:$AG7,AN$4)</f>
        <v/>
      </c>
      <c r="AO7" s="77">
        <f>COUNTIF($D7:$AG7,AO$4)</f>
        <v/>
      </c>
      <c r="AP7" s="77">
        <f>COUNTIF($D7:$AG7,AP$4)</f>
        <v/>
      </c>
      <c r="AQ7" s="77">
        <f>COUNTIF($D7:$AG7,AQ$4)</f>
        <v/>
      </c>
      <c r="AR7" s="76" t="n"/>
      <c r="AS7" s="76" t="n"/>
      <c r="AT7" s="77">
        <f>SUMPRODUCT(--(WEEKDAY(D$3:AH$3,2)&lt;5),--ISNUMBER(MATCH(D7:AH7,{"DM","CS1","CS2","SB1","AE","CS/B"},0)))</f>
        <v/>
      </c>
      <c r="AU7" s="77" t="n"/>
      <c r="AV7" s="77">
        <f>SUMPRODUCT(--(WEEKDAY(D$3:AH$3,2)=5),--ISNUMBER(MATCH(D7:AH7,{"DM","CS1","CS2","SB1","AE","CS/B","WEEKEND OUTFIELD RESERVE"},0)))</f>
        <v/>
      </c>
      <c r="AW7" s="77">
        <f>SUMPRODUCT(--(WEEKDAY(D$3:AH$3,2)&gt;5),--ISNUMBER(MATCH(D7:AH7,{"DM","CS1","CS2","SB1","AE","CS/B","WEEKEND OUTFIELD RESERVE"},0)))</f>
        <v/>
      </c>
      <c r="AX7" s="77" t="n"/>
      <c r="AY7" s="77">
        <f>(AT7-AU7)+AV7*1.5+(AW7-AX7)*2+AN7*0.5+AP7*0.5+AR7-AS7</f>
        <v/>
      </c>
      <c r="AZ7" s="77">
        <f>AT7+AV7+AW7</f>
        <v/>
      </c>
      <c r="BA7" s="77">
        <f>BD7+BF7+BH7+BJ7+BL7</f>
        <v/>
      </c>
      <c r="BB7" s="76">
        <f>AY7+BC7</f>
        <v/>
      </c>
      <c r="BC7" s="77">
        <f>BE7+BG7+BI7+BK7+BM7</f>
        <v/>
      </c>
      <c r="BD7" s="77">
        <f>COUNTIF(A7:AI7,"*$BTP*")</f>
        <v/>
      </c>
      <c r="BE7" s="77">
        <f>BD7*1.5</f>
        <v/>
      </c>
      <c r="BF7" s="77">
        <f>COUNTIF(A7:AI7,"*$M*")</f>
        <v/>
      </c>
      <c r="BG7" s="77">
        <f>BF7*1</f>
        <v/>
      </c>
      <c r="BH7" s="77">
        <f>COUNTIF(A7:AI7,"*$PM*")</f>
        <v/>
      </c>
      <c r="BI7" s="77">
        <f>BH7*0.5</f>
        <v/>
      </c>
      <c r="BJ7" s="77">
        <f>COUNTIF(A7:AI7,"*$AM*")</f>
        <v/>
      </c>
      <c r="BK7" s="77">
        <f>BJ7*0.5</f>
        <v/>
      </c>
      <c r="BL7" s="77">
        <f>COUNTIF(A7:AI7,"*$FC*")</f>
        <v/>
      </c>
      <c r="BM7" s="77">
        <f>BL7*1</f>
        <v/>
      </c>
      <c r="BN7" s="77">
        <f>(BB7-8)</f>
        <v/>
      </c>
      <c r="BO7" s="77">
        <f>COUNTIF($E7:$AB7,BO$4)</f>
        <v/>
      </c>
      <c r="BP7" s="77">
        <f>COUNTIF($E7:$AB7,BP$4)</f>
        <v/>
      </c>
      <c r="BQ7" s="77">
        <f>COUNTIF($E7:$AB7,BQ$4)</f>
        <v/>
      </c>
      <c r="BR7" s="77" t="n"/>
    </row>
    <row r="8" hidden="1" ht="73.5" customHeight="1">
      <c r="A8" s="74" t="n"/>
      <c r="B8" s="74" t="inlineStr">
        <is>
          <t>CFC JARRETT TSING KEE JIN</t>
        </is>
      </c>
      <c r="C8" s="76" t="n"/>
      <c r="D8" s="110" t="n"/>
      <c r="E8" s="74" t="n"/>
      <c r="F8" s="110" t="n"/>
      <c r="G8" s="110" t="inlineStr">
        <is>
          <t>HARI RAYA OIL</t>
        </is>
      </c>
      <c r="H8" s="110" t="n"/>
      <c r="I8" s="110" t="n"/>
      <c r="J8" s="110" t="n"/>
      <c r="K8" s="110" t="n"/>
      <c r="L8" s="110" t="n"/>
      <c r="M8" s="110" t="n"/>
      <c r="N8" s="110" t="inlineStr">
        <is>
          <t>OL</t>
        </is>
      </c>
      <c r="O8" s="110" t="n"/>
      <c r="P8" s="110" t="n"/>
      <c r="Q8" s="110" t="n"/>
      <c r="R8" s="110" t="inlineStr">
        <is>
          <t>OWADIO</t>
        </is>
      </c>
      <c r="S8" s="110" t="n"/>
      <c r="T8" s="110" t="n"/>
      <c r="U8" s="110" t="n"/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  <c r="AI8" s="74">
        <f>COUNTIF($D8:$AG8,AI$4)</f>
        <v/>
      </c>
      <c r="AJ8" s="74">
        <f>COUNTIF($D8:$AG8,AJ$4)</f>
        <v/>
      </c>
      <c r="AK8" s="74">
        <f>COUNTIF($D8:$AG8,AK$4)</f>
        <v/>
      </c>
      <c r="AL8" s="74">
        <f>COUNTIF($D8:$AG8,AL$4)</f>
        <v/>
      </c>
      <c r="AM8" s="74">
        <f>COUNTIF($D8:$AG8,AM$4)</f>
        <v/>
      </c>
      <c r="AN8" s="74">
        <f>COUNTIF($D8:$AG8,AN$4)</f>
        <v/>
      </c>
      <c r="AO8" s="74">
        <f>COUNTIF($D8:$AG8,AO$4)</f>
        <v/>
      </c>
      <c r="AP8" s="74">
        <f>COUNTIF($D8:$AG8,AP$4)</f>
        <v/>
      </c>
      <c r="AQ8" s="74">
        <f>COUNTIF($D8:$AG8,AQ$4)</f>
        <v/>
      </c>
      <c r="AR8" s="76" t="n"/>
      <c r="AS8" s="76" t="n"/>
      <c r="AT8" s="74">
        <f>SUMPRODUCT(--(WEEKDAY(D$3:AH$3,2)&lt;5),--ISNUMBER(MATCH(D8:AH8,{"DM","CS1","CS2","SB1","AE","CS/B"},0)))</f>
        <v/>
      </c>
      <c r="AU8" s="74" t="n"/>
      <c r="AV8" s="74">
        <f>SUMPRODUCT(--(WEEKDAY(D$3:AH$3,2)=5),--ISNUMBER(MATCH(D8:AH8,{"DM","CS1","CS2","SB1","AE","CS/B","WEEKEND OUTFIELD RESERVE"},0)))</f>
        <v/>
      </c>
      <c r="AW8" s="74">
        <f>SUMPRODUCT(--(WEEKDAY(D$3:AH$3,2)&gt;5),--ISNUMBER(MATCH(D8:AH8,{"DM","CS1","CS2","SB1","AE","CS/B","WEEKEND OUTFIELD RESERVE"},0)))</f>
        <v/>
      </c>
      <c r="AX8" s="74" t="n"/>
      <c r="AY8" s="74">
        <f>(AT8-AU8)+AV8*1.5+(AW8-AX8)*2+AN8*0.5+AP8*0.5+AR8-AS8</f>
        <v/>
      </c>
      <c r="AZ8" s="74">
        <f>AT8+AV8+AW8</f>
        <v/>
      </c>
      <c r="BA8" s="74">
        <f>BD8+BF8+BH8+BJ8+BL8</f>
        <v/>
      </c>
      <c r="BB8" s="76">
        <f>AY8+BC8</f>
        <v/>
      </c>
      <c r="BC8" s="74">
        <f>BE8+BG8+BI8+BK8+BM8</f>
        <v/>
      </c>
      <c r="BD8" s="74">
        <f>COUNTIF(A8:AI8,"*$BTP*")</f>
        <v/>
      </c>
      <c r="BE8" s="74">
        <f>BD8*1.5</f>
        <v/>
      </c>
      <c r="BF8" s="74">
        <f>COUNTIF(A8:AI8,"*$M*")</f>
        <v/>
      </c>
      <c r="BG8" s="74">
        <f>BF8*1</f>
        <v/>
      </c>
      <c r="BH8" s="74">
        <f>COUNTIF(A8:AI8,"*$PM*")</f>
        <v/>
      </c>
      <c r="BI8" s="74">
        <f>BH8*0.5</f>
        <v/>
      </c>
      <c r="BJ8" s="74">
        <f>COUNTIF(A8:AI8,"*$AM*")</f>
        <v/>
      </c>
      <c r="BK8" s="74">
        <f>BJ8*0.5</f>
        <v/>
      </c>
      <c r="BL8" s="74">
        <f>COUNTIF(A8:AI8,"*$FC*")</f>
        <v/>
      </c>
      <c r="BM8" s="74">
        <f>BL8*1</f>
        <v/>
      </c>
      <c r="BN8" s="74">
        <f>(BB8-8)</f>
        <v/>
      </c>
      <c r="BO8" s="74">
        <f>COUNTIF($E8:$AB8,BO$4)</f>
        <v/>
      </c>
      <c r="BP8" s="74">
        <f>COUNTIF($E8:$AB8,BP$4)</f>
        <v/>
      </c>
      <c r="BQ8" s="74">
        <f>COUNTIF($E8:$AB8,BQ$4)</f>
        <v/>
      </c>
      <c r="BR8" s="74" t="n"/>
    </row>
    <row r="9" ht="57" customHeight="1">
      <c r="A9" s="77" t="n"/>
      <c r="B9" s="77" t="inlineStr">
        <is>
          <t>CPL GOH DI XUAN</t>
        </is>
      </c>
      <c r="C9" s="76" t="n"/>
      <c r="D9" s="107" t="inlineStr">
        <is>
          <t>DM</t>
        </is>
      </c>
      <c r="E9" s="107" t="n"/>
      <c r="F9" s="107" t="n"/>
      <c r="G9" s="107" t="inlineStr">
        <is>
          <t>CS1</t>
        </is>
      </c>
      <c r="H9" s="107" t="n"/>
      <c r="J9" s="107" t="n"/>
      <c r="K9" s="107" t="n"/>
      <c r="L9" s="107" t="n"/>
      <c r="M9" s="107" t="n"/>
      <c r="N9" s="107" t="n"/>
      <c r="P9" s="107" t="n"/>
      <c r="Q9" s="107" t="n"/>
      <c r="R9" s="107" t="inlineStr">
        <is>
          <t>CS2</t>
        </is>
      </c>
      <c r="S9" s="107" t="n"/>
      <c r="T9" s="107" t="n"/>
      <c r="U9" s="107" t="n"/>
      <c r="V9" s="107" t="n"/>
      <c r="W9" s="107" t="inlineStr">
        <is>
          <t>DM</t>
        </is>
      </c>
      <c r="X9" s="107" t="n"/>
      <c r="Y9" s="107" t="n"/>
      <c r="Z9" s="107" t="n"/>
      <c r="AA9" s="107" t="inlineStr">
        <is>
          <t>DM</t>
        </is>
      </c>
      <c r="AB9" s="107" t="n"/>
      <c r="AC9" s="107" t="inlineStr">
        <is>
          <t>DM</t>
        </is>
      </c>
      <c r="AD9" s="107" t="n"/>
      <c r="AE9" s="107" t="n"/>
      <c r="AF9" s="107" t="n"/>
      <c r="AG9" s="107" t="n"/>
      <c r="AH9" s="107" t="n"/>
      <c r="AI9" s="77">
        <f>COUNTIF($D9:$AG9,AI$4)</f>
        <v/>
      </c>
      <c r="AJ9" s="77">
        <f>COUNTIF($D9:$AG9,AJ$4)</f>
        <v/>
      </c>
      <c r="AK9" s="77">
        <f>COUNTIF($D9:$AG9,AK$4)</f>
        <v/>
      </c>
      <c r="AL9" s="77">
        <f>COUNTIF($D9:$AG9,AL$4)</f>
        <v/>
      </c>
      <c r="AM9" s="77">
        <f>COUNTIF($D9:$AG9,AM$4)</f>
        <v/>
      </c>
      <c r="AN9" s="77">
        <f>COUNTIF($D9:$AG9,AN$4)</f>
        <v/>
      </c>
      <c r="AO9" s="77">
        <f>COUNTIF($D9:$AG9,AO$4)</f>
        <v/>
      </c>
      <c r="AP9" s="77">
        <f>COUNTIF($D9:$AG9,AP$4)</f>
        <v/>
      </c>
      <c r="AQ9" s="77">
        <f>COUNTIF($D9:$AG9,AQ$4)</f>
        <v/>
      </c>
      <c r="AR9" s="76" t="n"/>
      <c r="AS9" s="76" t="n">
        <v>1</v>
      </c>
      <c r="AT9" s="77">
        <f>SUMPRODUCT(--(WEEKDAY(D$3:AH$3,2)&lt;5),--ISNUMBER(MATCH(D9:AH9,{"DM","CS1","CS2","SB1","AE","CS/B"},0)))</f>
        <v/>
      </c>
      <c r="AU9" s="77" t="n"/>
      <c r="AV9" s="77">
        <f>SUMPRODUCT(--(WEEKDAY(D$3:AH$3,2)=5),--ISNUMBER(MATCH(D9:AH9,{"DM","CS1","CS2","SB1","AE","CS/B","WEEKEND OUTFIELD RESERVE"},0)))</f>
        <v/>
      </c>
      <c r="AW9" s="77">
        <f>SUMPRODUCT(--(WEEKDAY(D$3:AH$3,2)&gt;5),--ISNUMBER(MATCH(D9:AH9,{"DM","CS1","CS2","SB1","AE","CS/B","WEEKEND OUTFIELD RESERVE"},0)))</f>
        <v/>
      </c>
      <c r="AX9" s="77" t="n"/>
      <c r="AY9" s="77">
        <f>(AT9-AU9)+AV9*1.5+(AW9-AX9)*2+AN9*0.5+AP9*0.5+AR9-AS9</f>
        <v/>
      </c>
      <c r="AZ9" s="77">
        <f>AT9+AV9+AW9</f>
        <v/>
      </c>
      <c r="BA9" s="77">
        <f>BD9+BF9+BH9+BJ9+BL9</f>
        <v/>
      </c>
      <c r="BB9" s="76">
        <f>AY9+BC9</f>
        <v/>
      </c>
      <c r="BC9" s="77">
        <f>BE9+BG9+BI9+BK9+BM9</f>
        <v/>
      </c>
      <c r="BD9" s="77">
        <f>COUNTIF(A9:AI9,"*$BTP*")</f>
        <v/>
      </c>
      <c r="BE9" s="77">
        <f>BD9*1.5</f>
        <v/>
      </c>
      <c r="BF9" s="77">
        <f>COUNTIF(A9:AI9,"*$M*")</f>
        <v/>
      </c>
      <c r="BG9" s="77">
        <f>BF9*1</f>
        <v/>
      </c>
      <c r="BH9" s="77">
        <f>COUNTIF(A9:AI9,"*$PM*")</f>
        <v/>
      </c>
      <c r="BI9" s="77">
        <f>BH9*0.5</f>
        <v/>
      </c>
      <c r="BJ9" s="77">
        <f>COUNTIF(A9:AI9,"*$AM*")</f>
        <v/>
      </c>
      <c r="BK9" s="77">
        <f>BJ9*0.5</f>
        <v/>
      </c>
      <c r="BL9" s="77">
        <f>COUNTIF(A9:AI9,"*$FC*")</f>
        <v/>
      </c>
      <c r="BM9" s="77">
        <f>BL9*1</f>
        <v/>
      </c>
      <c r="BN9" s="77">
        <f>(BB9-8)</f>
        <v/>
      </c>
      <c r="BO9" s="77">
        <f>COUNTIF($E9:$AB9,BO$4)</f>
        <v/>
      </c>
      <c r="BP9" s="77">
        <f>COUNTIF($E9:$AB9,BP$4)</f>
        <v/>
      </c>
      <c r="BQ9" s="77">
        <f>COUNTIF($E9:$AB9,BQ$4)</f>
        <v/>
      </c>
      <c r="BR9" s="77" t="n"/>
    </row>
    <row r="10" ht="19.5" customHeight="1">
      <c r="A10" s="74" t="n"/>
      <c r="B10" s="74" t="inlineStr">
        <is>
          <t>LCP WONG JI FENG WILLARD</t>
        </is>
      </c>
      <c r="C10" s="76" t="n"/>
      <c r="E10" s="110" t="n"/>
      <c r="F10" s="110" t="n"/>
      <c r="G10" s="110" t="n"/>
      <c r="H10" s="110" t="inlineStr">
        <is>
          <t>R $FC</t>
        </is>
      </c>
      <c r="I10" s="110" t="inlineStr">
        <is>
          <t>R $FC</t>
        </is>
      </c>
      <c r="J10" s="110" t="inlineStr">
        <is>
          <t>R $FC</t>
        </is>
      </c>
      <c r="K10" s="110" t="inlineStr">
        <is>
          <t>R $FC</t>
        </is>
      </c>
      <c r="L10" s="110" t="n"/>
      <c r="M10" s="142" t="n"/>
      <c r="N10" s="143" t="inlineStr">
        <is>
          <t>OUTFIELD RESERVE</t>
        </is>
      </c>
      <c r="O10" s="110" t="n"/>
      <c r="P10" s="110" t="inlineStr">
        <is>
          <t>COVER RESERVE</t>
        </is>
      </c>
      <c r="Q10" s="110" t="inlineStr">
        <is>
          <t>R $PM RM (1530-1830)</t>
        </is>
      </c>
      <c r="R10" s="110" t="n"/>
      <c r="S10" s="110" t="n"/>
      <c r="T10" s="110" t="n"/>
      <c r="U10" s="110" t="inlineStr">
        <is>
          <t>RESERVE</t>
        </is>
      </c>
      <c r="V10" s="110" t="n"/>
      <c r="W10" s="110" t="n"/>
      <c r="X10" s="110" t="n"/>
      <c r="Z10" s="110" t="inlineStr">
        <is>
          <t>DM</t>
        </is>
      </c>
      <c r="AA10" s="110" t="n"/>
      <c r="AB10" s="110" t="inlineStr">
        <is>
          <t>SKILLSFUTURE</t>
        </is>
      </c>
      <c r="AC10" s="147" t="inlineStr">
        <is>
          <t>OL</t>
        </is>
      </c>
      <c r="AE10" s="110" t="n"/>
      <c r="AF10" s="110" t="n"/>
      <c r="AG10" s="110" t="n"/>
      <c r="AH10" s="110" t="n"/>
      <c r="AI10" s="74">
        <f>COUNTIF($D10:$AG10,AI$4)</f>
        <v/>
      </c>
      <c r="AJ10" s="74">
        <f>COUNTIF($D10:$AG10,AJ$4)</f>
        <v/>
      </c>
      <c r="AK10" s="74">
        <f>COUNTIF($D10:$AG10,AK$4)</f>
        <v/>
      </c>
      <c r="AL10" s="74">
        <f>COUNTIF($D10:$AG10,AL$4)</f>
        <v/>
      </c>
      <c r="AM10" s="74">
        <f>COUNTIF($D10:$AG10,AM$4)</f>
        <v/>
      </c>
      <c r="AN10" s="74">
        <f>COUNTIF($D10:$AG10,AN$4)</f>
        <v/>
      </c>
      <c r="AO10" s="74">
        <f>COUNTIF($D10:$AG10,AO$4)</f>
        <v/>
      </c>
      <c r="AP10" s="74">
        <f>COUNTIF($D10:$AG10,AP$4)</f>
        <v/>
      </c>
      <c r="AQ10" s="74">
        <f>COUNTIF($D10:$AG10,AQ$4)</f>
        <v/>
      </c>
      <c r="AR10" s="76" t="n">
        <v>1</v>
      </c>
      <c r="AS10" s="76" t="n"/>
      <c r="AT10" s="74">
        <f>SUMPRODUCT(--(WEEKDAY(D$3:AH$3,2)&lt;5),--ISNUMBER(MATCH(D10:AH10,{"DM","CS1","CS2","SB1","AE","CS/B"},0)))</f>
        <v/>
      </c>
      <c r="AU10" s="74" t="n"/>
      <c r="AV10" s="74">
        <f>SUMPRODUCT(--(WEEKDAY(D$3:AH$3,2)=5),--ISNUMBER(MATCH(D10:AH10,{"DM","CS1","CS2","SB1","AE","CS/B","WEEKEND OUTFIELD RESERVE"},0)))</f>
        <v/>
      </c>
      <c r="AW10" s="74">
        <f>SUMPRODUCT(--(WEEKDAY(D$3:AH$3,2)&gt;5),--ISNUMBER(MATCH(D10:AH10,{"DM","CS1","CS2","SB1","AE","CS/B","WEEKEND OUTFIELD RESERVE"},0)))</f>
        <v/>
      </c>
      <c r="AX10" s="74" t="n"/>
      <c r="AY10" s="74">
        <f>(AT10-AU10)+AV10*1.5+(AW10-AX10)*2+AN10*0.5+AP10*0.5+AR10-AS10</f>
        <v/>
      </c>
      <c r="AZ10" s="74">
        <f>AT10+AV10+AW10</f>
        <v/>
      </c>
      <c r="BA10" s="74">
        <f>BD10+BF10+BH10+BJ10+BL10</f>
        <v/>
      </c>
      <c r="BB10" s="76">
        <f>AY10+BC10</f>
        <v/>
      </c>
      <c r="BC10" s="74">
        <f>BE10+BG10+BI10+BK10+BM10</f>
        <v/>
      </c>
      <c r="BD10" s="74">
        <f>COUNTIF(A10:AI10,"*$BTP*")</f>
        <v/>
      </c>
      <c r="BE10" s="74">
        <f>BD10*1.5</f>
        <v/>
      </c>
      <c r="BF10" s="74">
        <f>COUNTIF(A10:AI10,"*$M*")</f>
        <v/>
      </c>
      <c r="BG10" s="74">
        <f>BF10*1</f>
        <v/>
      </c>
      <c r="BH10" s="74">
        <f>COUNTIF(A10:AI10,"*$PM*")</f>
        <v/>
      </c>
      <c r="BI10" s="74">
        <f>BH10*0.5</f>
        <v/>
      </c>
      <c r="BJ10" s="74">
        <f>COUNTIF(A10:AI10,"*$AM*")</f>
        <v/>
      </c>
      <c r="BK10" s="74">
        <f>BJ10*0.5</f>
        <v/>
      </c>
      <c r="BL10" s="74">
        <f>COUNTIF(A10:AI10,"*$FC*")</f>
        <v/>
      </c>
      <c r="BM10" s="74">
        <f>BL10*1</f>
        <v/>
      </c>
      <c r="BN10" s="74">
        <f>(BB10-8)</f>
        <v/>
      </c>
      <c r="BO10" s="74">
        <f>COUNTIF($E10:$AA10,BO$4)</f>
        <v/>
      </c>
      <c r="BP10" s="74">
        <f>COUNTIF($E10:$AA10,BP$4)</f>
        <v/>
      </c>
      <c r="BQ10" s="74">
        <f>COUNTIF($E10:$AA10,BQ$4)</f>
        <v/>
      </c>
      <c r="BR10" s="74" t="n"/>
    </row>
    <row r="11" ht="56.25" customHeight="1">
      <c r="A11" s="77" t="n"/>
      <c r="B11" s="77" t="inlineStr">
        <is>
          <t xml:space="preserve">LCP KOO YI XIAN RAPHAEL </t>
        </is>
      </c>
      <c r="C11" s="76" t="n"/>
      <c r="D11" s="77" t="inlineStr">
        <is>
          <t>CS2</t>
        </is>
      </c>
      <c r="E11" s="107" t="n"/>
      <c r="F11" s="107" t="n"/>
      <c r="G11" s="107" t="n"/>
      <c r="H11" s="107" t="inlineStr">
        <is>
          <t>OUTFIELD RESERVE</t>
        </is>
      </c>
      <c r="I11" s="145" t="n"/>
      <c r="J11" s="107" t="inlineStr">
        <is>
          <t>CS/B</t>
        </is>
      </c>
      <c r="K11" s="107" t="n"/>
      <c r="L11" s="107" t="n"/>
      <c r="M11" s="107" t="n"/>
      <c r="N11" s="107" t="inlineStr">
        <is>
          <t>RESERVE</t>
        </is>
      </c>
      <c r="O11" s="107" t="inlineStr">
        <is>
          <t>SB2</t>
        </is>
      </c>
      <c r="P11" s="107" t="inlineStr">
        <is>
          <t>GP OFF</t>
        </is>
      </c>
      <c r="Q11" s="107" t="inlineStr">
        <is>
          <t>CS1</t>
        </is>
      </c>
      <c r="R11" s="107" t="n"/>
      <c r="S11" s="107" t="n"/>
      <c r="T11" s="107" t="inlineStr">
        <is>
          <t>CS1</t>
        </is>
      </c>
      <c r="U11" s="107" t="n"/>
      <c r="V11" s="107" t="n"/>
      <c r="W11" s="107" t="inlineStr">
        <is>
          <t>CS2</t>
        </is>
      </c>
      <c r="Y11" s="107" t="inlineStr">
        <is>
          <t>COVER RESERVE</t>
        </is>
      </c>
      <c r="Z11" s="107" t="inlineStr">
        <is>
          <t>P $AM IPPT (0500-1000)</t>
        </is>
      </c>
      <c r="AA11" s="107" t="n"/>
      <c r="AB11" s="107" t="inlineStr">
        <is>
          <t>RESERVE</t>
        </is>
      </c>
      <c r="AD11" s="107" t="inlineStr">
        <is>
          <t>CS1</t>
        </is>
      </c>
      <c r="AE11" s="107" t="n"/>
      <c r="AF11" s="107" t="inlineStr">
        <is>
          <t>AL</t>
        </is>
      </c>
      <c r="AG11" s="107" t="n"/>
      <c r="AH11" s="107" t="n"/>
      <c r="AI11" s="77">
        <f>COUNTIF($D11:$AG11,AI$4)</f>
        <v/>
      </c>
      <c r="AJ11" s="77">
        <f>COUNTIF($D11:$AG11,AJ$4)</f>
        <v/>
      </c>
      <c r="AK11" s="77">
        <f>COUNTIF($D11:$AG11,AK$4)</f>
        <v/>
      </c>
      <c r="AL11" s="77">
        <f>COUNTIF($D11:$AG11,AL$4)</f>
        <v/>
      </c>
      <c r="AM11" s="77">
        <f>COUNTIF($D11:$AG11,AM$4)</f>
        <v/>
      </c>
      <c r="AN11" s="77">
        <f>COUNTIF($D11:$AG11,AN$4)</f>
        <v/>
      </c>
      <c r="AO11" s="77">
        <f>COUNTIF($D11:$AG11,AO$4)</f>
        <v/>
      </c>
      <c r="AP11" s="77">
        <f>COUNTIF($D11:$AG11,AP$4)</f>
        <v/>
      </c>
      <c r="AQ11" s="77">
        <f>COUNTIF($D11:$AG11,AQ$4)</f>
        <v/>
      </c>
      <c r="AR11" s="76" t="n"/>
      <c r="AS11" s="76" t="n">
        <v>0.5</v>
      </c>
      <c r="AT11" s="77">
        <f>SUMPRODUCT(--(WEEKDAY(D$3:AH$3,2)&lt;5),--ISNUMBER(MATCH(D11:AH11,{"DM","CS1","CS2","SB1","AE","CS/B"},0)))</f>
        <v/>
      </c>
      <c r="AU11" s="77" t="n"/>
      <c r="AV11" s="77">
        <f>SUMPRODUCT(--(WEEKDAY(D$3:AH$3,2)=5),--ISNUMBER(MATCH(D11:AH11,{"DM","CS1","CS2","SB1","AE","CS/B","WEEKEND OUTFIELD RESERVE"},0)))</f>
        <v/>
      </c>
      <c r="AW11" s="77">
        <f>SUMPRODUCT(--(WEEKDAY(D$3:AH$3,2)&gt;5),--ISNUMBER(MATCH(D11:AH11,{"DM","CS1","CS2","SB1","AE","CS/B","WEEKEND OUTFIELD RESERVE"},0)))</f>
        <v/>
      </c>
      <c r="AX11" s="77" t="n"/>
      <c r="AY11" s="77">
        <f>(AT11-AU11)+AV11*1.5+(AW11-AX11)*2+AN11*0.5+AP11*0.5+AR11-AS11</f>
        <v/>
      </c>
      <c r="AZ11" s="77">
        <f>AT11+AV11+AW11</f>
        <v/>
      </c>
      <c r="BA11" s="77">
        <f>BD11+BF11+BH11+BJ11+BL11</f>
        <v/>
      </c>
      <c r="BB11" s="76">
        <f>AY11+BC11</f>
        <v/>
      </c>
      <c r="BC11" s="77">
        <f>BE11+BG11+BI11+BK11+BM11</f>
        <v/>
      </c>
      <c r="BD11" s="77">
        <f>COUNTIF(A11:AI11,"*$BTP*")</f>
        <v/>
      </c>
      <c r="BE11" s="77">
        <f>BD11*1.5</f>
        <v/>
      </c>
      <c r="BF11" s="77">
        <f>COUNTIF(A11:AI11,"*$M*")</f>
        <v/>
      </c>
      <c r="BG11" s="77">
        <f>BF11*1</f>
        <v/>
      </c>
      <c r="BH11" s="77">
        <f>COUNTIF(A11:AI11,"*$PM*")</f>
        <v/>
      </c>
      <c r="BI11" s="77">
        <f>BH11*0.5</f>
        <v/>
      </c>
      <c r="BJ11" s="77">
        <f>COUNTIF(A11:AI11,"*$AM*")</f>
        <v/>
      </c>
      <c r="BK11" s="77">
        <f>BJ11*0.5</f>
        <v/>
      </c>
      <c r="BL11" s="77">
        <f>COUNTIF(A11:AI11,"*$FC*")</f>
        <v/>
      </c>
      <c r="BM11" s="77">
        <f>BL11*1</f>
        <v/>
      </c>
      <c r="BN11" s="77">
        <f>(BB11-8)</f>
        <v/>
      </c>
      <c r="BO11" s="77">
        <f>COUNTIF($E11:$AB11,BO$4)</f>
        <v/>
      </c>
      <c r="BP11" s="77">
        <f>COUNTIF($E11:$AB11,BP$4)</f>
        <v/>
      </c>
      <c r="BQ11" s="77">
        <f>COUNTIF($E11:$AB11,BQ$4)</f>
        <v/>
      </c>
      <c r="BR11" s="77" t="n"/>
    </row>
    <row r="12" ht="19.5" customHeight="1">
      <c r="A12" s="74" t="n"/>
      <c r="B12" s="74" t="inlineStr">
        <is>
          <t>3SG SAMUEL TAN ENG WEE</t>
        </is>
      </c>
      <c r="C12" s="146">
        <f>COUNTIF(D12:AG12,"DM")</f>
        <v/>
      </c>
      <c r="D12" s="110" t="inlineStr">
        <is>
          <t>RESERVE</t>
        </is>
      </c>
      <c r="E12" s="110" t="n"/>
      <c r="F12" s="110" t="inlineStr">
        <is>
          <t>RESERVE</t>
        </is>
      </c>
      <c r="G12" s="110" t="inlineStr">
        <is>
          <t>SB2</t>
        </is>
      </c>
      <c r="H12" s="110" t="inlineStr">
        <is>
          <t>E $AM IPPT (0500-1100)</t>
        </is>
      </c>
      <c r="J12" s="143" t="inlineStr">
        <is>
          <t>COVER RESERVE</t>
        </is>
      </c>
      <c r="K12" s="110" t="n"/>
      <c r="L12" s="110" t="inlineStr">
        <is>
          <t>DM</t>
        </is>
      </c>
      <c r="M12" s="110" t="n"/>
      <c r="O12" s="110" t="inlineStr">
        <is>
          <t>CS2</t>
        </is>
      </c>
      <c r="P12" s="147" t="inlineStr">
        <is>
          <t>AMPT</t>
        </is>
      </c>
      <c r="Q12" s="110" t="inlineStr">
        <is>
          <t>COVER RESERVE</t>
        </is>
      </c>
      <c r="R12" s="110" t="n"/>
      <c r="S12" s="110" t="inlineStr">
        <is>
          <t>RESERVE</t>
        </is>
      </c>
      <c r="T12" s="110" t="n"/>
      <c r="U12" s="110" t="n"/>
      <c r="V12" s="110" t="inlineStr">
        <is>
          <t>CS1</t>
        </is>
      </c>
      <c r="W12" s="110" t="n"/>
      <c r="X12" s="110" t="n"/>
      <c r="Y12" s="110" t="inlineStr">
        <is>
          <t>R $AM IPPT (0500-1000)</t>
        </is>
      </c>
      <c r="Z12" s="110" t="inlineStr">
        <is>
          <t>CS1</t>
        </is>
      </c>
      <c r="AA12" s="110" t="n"/>
      <c r="AB12" s="110" t="n"/>
      <c r="AC12" s="110" t="inlineStr">
        <is>
          <t>K $AM IPPT (0500-1100</t>
        </is>
      </c>
      <c r="AD12" s="110" t="n"/>
      <c r="AE12" s="110" t="inlineStr">
        <is>
          <t>CS1</t>
        </is>
      </c>
      <c r="AF12" s="110" t="n"/>
      <c r="AG12" s="110" t="inlineStr">
        <is>
          <t>DM</t>
        </is>
      </c>
      <c r="AH12" s="110" t="n"/>
      <c r="AI12" s="74">
        <f>COUNTIF($D12:$AG12,AI$4)</f>
        <v/>
      </c>
      <c r="AJ12" s="74">
        <f>COUNTIF($D12:$AG12,AJ$4)</f>
        <v/>
      </c>
      <c r="AK12" s="74">
        <f>COUNTIF($D12:$AG12,AK$4)</f>
        <v/>
      </c>
      <c r="AL12" s="74">
        <f>COUNTIF($D12:$AG12,AL$4)</f>
        <v/>
      </c>
      <c r="AM12" s="74">
        <f>COUNTIF($D12:$AG12,AM$4)</f>
        <v/>
      </c>
      <c r="AN12" s="74">
        <f>COUNTIF($D12:$AG12,AN$4)</f>
        <v/>
      </c>
      <c r="AO12" s="74">
        <f>COUNTIF($D12:$AG12,AO$4)</f>
        <v/>
      </c>
      <c r="AP12" s="74">
        <f>COUNTIF($D12:$AG12,AP$4)</f>
        <v/>
      </c>
      <c r="AQ12" s="74">
        <f>COUNTIF($D12:$AG12,AQ$4)</f>
        <v/>
      </c>
      <c r="AR12" s="76" t="n"/>
      <c r="AS12" s="76" t="n">
        <v>1</v>
      </c>
      <c r="AT12" s="74">
        <f>SUMPRODUCT(--(WEEKDAY(D$3:AH$3,2)&lt;5),--ISNUMBER(MATCH(D12:AH12,{"DM","CS1","CS2","SB1","AE","CS/B"},0)))</f>
        <v/>
      </c>
      <c r="AU12" s="74" t="n">
        <v>0</v>
      </c>
      <c r="AV12" s="74">
        <f>SUMPRODUCT(--(WEEKDAY(D$3:AH$3,2)=5),--ISNUMBER(MATCH(D12:AH12,{"DM","CS1","CS2","SB1","AE","CS/B","WEEKEND OUTFIELD RESERVE"},0)))</f>
        <v/>
      </c>
      <c r="AW12" s="74">
        <f>SUMPRODUCT(--(WEEKDAY(D$3:AH$3,2)&gt;5),--ISNUMBER(MATCH(D12:AH12,{"DM","CS1","CS2","SB1","AE","CS/B","WEEKEND OUTFIELD RESERVE"},0)))</f>
        <v/>
      </c>
      <c r="AX12" s="74" t="n"/>
      <c r="AY12" s="74">
        <f>(AT12-AU12)+AV12*1.5+(AW12-AX12)*2+AN12*0.5+AP12*0.5+AR12-AS12</f>
        <v/>
      </c>
      <c r="AZ12" s="74">
        <f>AT12+AV12+AW12</f>
        <v/>
      </c>
      <c r="BA12" s="74">
        <f>BD12+BF12+BH12+BJ12+BL12</f>
        <v/>
      </c>
      <c r="BB12" s="76">
        <f>AY12+BC12</f>
        <v/>
      </c>
      <c r="BC12" s="74">
        <f>BE12+BG12+BI12+BK12+BM12</f>
        <v/>
      </c>
      <c r="BD12" s="74">
        <f>COUNTIF(A12:AI12,"*$BTP*")</f>
        <v/>
      </c>
      <c r="BE12" s="74">
        <f>BD12*1.5</f>
        <v/>
      </c>
      <c r="BF12" s="74">
        <f>COUNTIF(A12:AI12,"*$M*")</f>
        <v/>
      </c>
      <c r="BG12" s="74">
        <f>BF12*1</f>
        <v/>
      </c>
      <c r="BH12" s="74">
        <f>COUNTIF(A12:AI12,"*$PM*")</f>
        <v/>
      </c>
      <c r="BI12" s="74">
        <f>BH12*0.5</f>
        <v/>
      </c>
      <c r="BJ12" s="74">
        <f>COUNTIF(A12:AI12,"*$AM*")</f>
        <v/>
      </c>
      <c r="BK12" s="74">
        <f>BJ12*0.5</f>
        <v/>
      </c>
      <c r="BL12" s="74">
        <f>COUNTIF(A12:AI12,"*$FC*")</f>
        <v/>
      </c>
      <c r="BM12" s="74">
        <f>BL12*1</f>
        <v/>
      </c>
      <c r="BN12" s="74">
        <f>(BB12-8)</f>
        <v/>
      </c>
      <c r="BO12" s="74">
        <f>COUNTIF($E12:$AB12,BO$4)</f>
        <v/>
      </c>
      <c r="BP12" s="74">
        <f>COUNTIF($E12:$AB12,BP$4)</f>
        <v/>
      </c>
      <c r="BQ12" s="74">
        <f>COUNTIF($E12:$AB12,BQ$4)</f>
        <v/>
      </c>
      <c r="BR12" s="74" t="n"/>
    </row>
    <row r="13" ht="51" customHeight="1">
      <c r="A13" s="77" t="n"/>
      <c r="B13" s="77" t="inlineStr">
        <is>
          <t>LCP MATTHEW HWANG YEW SENG</t>
        </is>
      </c>
      <c r="C13" s="146">
        <f>COUNTIF(D13:AG13,"DM")</f>
        <v/>
      </c>
      <c r="D13" s="107" t="n"/>
      <c r="E13" s="107" t="n"/>
      <c r="F13" s="107" t="inlineStr">
        <is>
          <t>DM</t>
        </is>
      </c>
      <c r="G13" s="107" t="n"/>
      <c r="H13" s="107" t="n"/>
      <c r="I13" s="107" t="n"/>
      <c r="J13" s="107" t="n"/>
      <c r="K13" s="107" t="n"/>
      <c r="L13" s="107" t="n"/>
      <c r="M13" s="107" t="n"/>
      <c r="N13" s="107" t="inlineStr">
        <is>
          <t>DM</t>
        </is>
      </c>
      <c r="O13" s="107" t="n"/>
      <c r="P13" s="141" t="inlineStr">
        <is>
          <t>AMPT</t>
        </is>
      </c>
      <c r="Q13" s="107" t="n"/>
      <c r="R13" s="107" t="inlineStr">
        <is>
          <t>RESERVE</t>
        </is>
      </c>
      <c r="S13" s="107" t="n"/>
      <c r="T13" s="107" t="n"/>
      <c r="U13" s="107" t="inlineStr">
        <is>
          <t>CS1</t>
        </is>
      </c>
      <c r="V13" s="107" t="n"/>
      <c r="X13" s="107" t="n"/>
      <c r="Y13" s="107" t="n"/>
      <c r="Z13" s="107" t="n"/>
      <c r="AA13" s="107" t="n"/>
      <c r="AB13" s="107" t="n"/>
      <c r="AC13" s="107" t="inlineStr">
        <is>
          <t>CS1</t>
        </is>
      </c>
      <c r="AD13" s="107" t="n"/>
      <c r="AE13" s="107" t="n"/>
      <c r="AF13" s="107" t="inlineStr">
        <is>
          <t>RESERVE</t>
        </is>
      </c>
      <c r="AG13" s="107" t="n"/>
      <c r="AH13" s="107" t="inlineStr">
        <is>
          <t>DM</t>
        </is>
      </c>
      <c r="AI13" s="77">
        <f>COUNTIF($D13:$AG13,AI$4)</f>
        <v/>
      </c>
      <c r="AJ13" s="77">
        <f>COUNTIF($D13:$AG13,AJ$4)</f>
        <v/>
      </c>
      <c r="AK13" s="77">
        <f>COUNTIF($D13:$AG13,AK$4)</f>
        <v/>
      </c>
      <c r="AL13" s="77">
        <f>COUNTIF($D13:$AG13,AL$4)</f>
        <v/>
      </c>
      <c r="AM13" s="77">
        <f>COUNTIF($D13:$AG13,AM$4)</f>
        <v/>
      </c>
      <c r="AN13" s="77">
        <f>COUNTIF($D13:$AG13,AN$4)</f>
        <v/>
      </c>
      <c r="AO13" s="77">
        <f>COUNTIF($D13:$AG13,AO$4)</f>
        <v/>
      </c>
      <c r="AP13" s="77">
        <f>COUNTIF($D13:$AG13,AP$4)</f>
        <v/>
      </c>
      <c r="AQ13" s="77">
        <f>COUNTIF($D13:$AG13,AQ$4)</f>
        <v/>
      </c>
      <c r="AR13" s="76" t="n">
        <v>1</v>
      </c>
      <c r="AS13" s="76" t="n"/>
      <c r="AT13" s="77">
        <f>SUMPRODUCT(--(WEEKDAY(D$3:AH$3,2)&lt;5),--ISNUMBER(MATCH(D13:AH13,{"DM","CS1","CS2","SB1","AE","CS/B"},0)))</f>
        <v/>
      </c>
      <c r="AU13" s="77" t="n"/>
      <c r="AV13" s="77">
        <f>SUMPRODUCT(--(WEEKDAY(D$3:AH$3,2)=5),--ISNUMBER(MATCH(D13:AH13,{"DM","CS1","CS2","SB1","AE","CS/B","WEEKEND OUTFIELD RESERVE"},0)))</f>
        <v/>
      </c>
      <c r="AW13" s="77">
        <f>SUMPRODUCT(--(WEEKDAY(D$3:AH$3,2)&gt;5),--ISNUMBER(MATCH(D13:AH13,{"DM","CS1","CS2","SB1","AE","CS/B","WEEKEND OUTFIELD RESERVE"},0)))</f>
        <v/>
      </c>
      <c r="AX13" s="77" t="n"/>
      <c r="AY13" s="77">
        <f>(AT13-AU13)+AV13*1.5+(AW13-AX13)*2+AN13*0.5+AP13*0.5+AR13-AS13</f>
        <v/>
      </c>
      <c r="AZ13" s="77">
        <f>AT13+AV13+AW13</f>
        <v/>
      </c>
      <c r="BA13" s="77">
        <f>BD13+BF13+BH13+BJ13+BL13</f>
        <v/>
      </c>
      <c r="BB13" s="76">
        <f>AY13+BC13</f>
        <v/>
      </c>
      <c r="BC13" s="77">
        <f>BE13+BG13+BI13+BK13+BM13</f>
        <v/>
      </c>
      <c r="BD13" s="77">
        <f>COUNTIF(A13:AI13,"*$BTP*")</f>
        <v/>
      </c>
      <c r="BE13" s="77">
        <f>BD13*1.5</f>
        <v/>
      </c>
      <c r="BF13" s="77">
        <f>COUNTIF(A13:AI13,"*$M*")</f>
        <v/>
      </c>
      <c r="BG13" s="77">
        <f>BF13*1</f>
        <v/>
      </c>
      <c r="BH13" s="77">
        <f>COUNTIF(A13:AI13,"*$PM*")</f>
        <v/>
      </c>
      <c r="BI13" s="77">
        <f>BH13*0.5</f>
        <v/>
      </c>
      <c r="BJ13" s="77">
        <f>COUNTIF(A13:AI13,"*$AM*")</f>
        <v/>
      </c>
      <c r="BK13" s="77">
        <f>BJ13*0.5</f>
        <v/>
      </c>
      <c r="BL13" s="77">
        <f>COUNTIF(A13:AI13,"*$FC*")</f>
        <v/>
      </c>
      <c r="BM13" s="77">
        <f>BL13*1</f>
        <v/>
      </c>
      <c r="BN13" s="77">
        <f>(BB13-8)</f>
        <v/>
      </c>
      <c r="BO13" s="77">
        <f>COUNTIF($E13:$AB13,BO$4)</f>
        <v/>
      </c>
      <c r="BP13" s="77">
        <f>COUNTIF($E13:$AB13,BP$4)</f>
        <v/>
      </c>
      <c r="BQ13" s="77">
        <f>COUNTIF($E13:$AB13,BQ$4)</f>
        <v/>
      </c>
      <c r="BR13" s="77" t="n"/>
    </row>
    <row r="14" ht="45" customHeight="1">
      <c r="A14" s="74" t="n"/>
      <c r="B14" s="74" t="inlineStr">
        <is>
          <t xml:space="preserve">LCP IGNATIUS QUEK </t>
        </is>
      </c>
      <c r="C14" s="76" t="n"/>
      <c r="D14" s="110" t="inlineStr">
        <is>
          <t>SB1</t>
        </is>
      </c>
      <c r="E14" s="110" t="inlineStr">
        <is>
          <t>RESERVE</t>
        </is>
      </c>
      <c r="F14" s="110" t="n"/>
      <c r="G14" s="110" t="inlineStr">
        <is>
          <t>COVER RESERVE</t>
        </is>
      </c>
      <c r="I14" s="110" t="inlineStr">
        <is>
          <t>AM MA</t>
        </is>
      </c>
      <c r="J14" s="110" t="n"/>
      <c r="K14" s="110" t="inlineStr">
        <is>
          <t>RESERVE</t>
        </is>
      </c>
      <c r="L14" s="110" t="n"/>
      <c r="M14" s="110" t="inlineStr">
        <is>
          <t>CS1</t>
        </is>
      </c>
      <c r="N14" s="110" t="n"/>
      <c r="O14" s="110" t="inlineStr">
        <is>
          <t>COVER RESERVE</t>
        </is>
      </c>
      <c r="P14" s="110" t="n"/>
      <c r="R14" s="110" t="n"/>
      <c r="S14" s="110" t="n"/>
      <c r="T14" s="110" t="n"/>
      <c r="U14" s="110" t="n"/>
      <c r="V14" s="110" t="n"/>
      <c r="W14" s="110" t="inlineStr">
        <is>
          <t>COVER RESERVE</t>
        </is>
      </c>
      <c r="X14" s="110" t="n"/>
      <c r="Y14" s="110" t="inlineStr">
        <is>
          <t>SB2</t>
        </is>
      </c>
      <c r="Z14" s="110" t="n"/>
      <c r="AA14" s="110" t="n"/>
      <c r="AB14" s="110" t="inlineStr">
        <is>
          <t>CS1</t>
        </is>
      </c>
      <c r="AD14" s="110" t="n"/>
      <c r="AF14" s="110" t="n"/>
      <c r="AG14" s="147" t="n"/>
      <c r="AH14" s="147" t="n"/>
      <c r="AI14" s="74">
        <f>COUNTIF($D14:$AG14,AI$4)</f>
        <v/>
      </c>
      <c r="AJ14" s="74">
        <f>COUNTIF($D14:$AG14,AJ$4)</f>
        <v/>
      </c>
      <c r="AK14" s="74">
        <f>COUNTIF($D14:$AG14,AK$4)</f>
        <v/>
      </c>
      <c r="AL14" s="74">
        <f>COUNTIF($D14:$AG14,AL$4)</f>
        <v/>
      </c>
      <c r="AM14" s="74">
        <f>COUNTIF($D14:$AG14,AM$4)</f>
        <v/>
      </c>
      <c r="AN14" s="74">
        <f>COUNTIF($D14:$AG14,AN$4)</f>
        <v/>
      </c>
      <c r="AO14" s="74">
        <f>COUNTIF($D14:$AG14,AO$4)</f>
        <v/>
      </c>
      <c r="AP14" s="74">
        <f>COUNTIF($D14:$AG14,AP$4)</f>
        <v/>
      </c>
      <c r="AQ14" s="74">
        <f>COUNTIF($D14:$AG14,AQ$4)</f>
        <v/>
      </c>
      <c r="AR14" s="76" t="n">
        <v>1</v>
      </c>
      <c r="AS14" s="76" t="n"/>
      <c r="AT14" s="74">
        <f>SUMPRODUCT(--(WEEKDAY(D$3:AH$3,2)&lt;5),--ISNUMBER(MATCH(D14:AH14,{"DM","CS1","CS2","SB1","AE","CS/B"},0)))</f>
        <v/>
      </c>
      <c r="AU14" s="74" t="n"/>
      <c r="AV14" s="74">
        <f>SUMPRODUCT(--(WEEKDAY(D$3:AH$3,2)=5),--ISNUMBER(MATCH(D14:AH14,{"DM","CS1","CS2","SB1","AE","CS/B","WEEKEND OUTFIELD RESERVE"},0)))</f>
        <v/>
      </c>
      <c r="AW14" s="74">
        <f>SUMPRODUCT(--(WEEKDAY(D$3:AH$3,2)&gt;5),--ISNUMBER(MATCH(D14:AH14,{"DM","CS1","CS2","SB1","AE","CS/B","WEEKEND OUTFIELD RESERVE"},0)))</f>
        <v/>
      </c>
      <c r="AX14" s="74" t="n"/>
      <c r="AY14" s="74">
        <f>(AT14-AU14)+AV14*1.5+(AW14-AX14)*2+AN14*0.5+AP14*0.5+AR14-AS14</f>
        <v/>
      </c>
      <c r="AZ14" s="74">
        <f>AT14+AV14+AW14</f>
        <v/>
      </c>
      <c r="BA14" s="74">
        <f>BD14+BF14+BH14+BJ14+BL14</f>
        <v/>
      </c>
      <c r="BB14" s="76">
        <f>AY14+BC14</f>
        <v/>
      </c>
      <c r="BC14" s="74">
        <f>BE14+BG14+BI14+BK14+BM14</f>
        <v/>
      </c>
      <c r="BD14" s="74">
        <f>COUNTIF(A14:AI14,"*$BTP*")</f>
        <v/>
      </c>
      <c r="BE14" s="74">
        <f>BD14*1.5</f>
        <v/>
      </c>
      <c r="BF14" s="74">
        <f>COUNTIF(A14:AI14,"*$M*")</f>
        <v/>
      </c>
      <c r="BG14" s="74">
        <f>BF14*1</f>
        <v/>
      </c>
      <c r="BH14" s="74">
        <f>COUNTIF(A14:AI14,"*$PM*")</f>
        <v/>
      </c>
      <c r="BI14" s="74">
        <f>BH14*0.5</f>
        <v/>
      </c>
      <c r="BJ14" s="74">
        <f>COUNTIF(A14:AI14,"*$AM*")</f>
        <v/>
      </c>
      <c r="BK14" s="74">
        <f>BJ14*0.5</f>
        <v/>
      </c>
      <c r="BL14" s="74">
        <f>COUNTIF(A14:AI14,"*$FC*")</f>
        <v/>
      </c>
      <c r="BM14" s="74">
        <f>BL14*1</f>
        <v/>
      </c>
      <c r="BN14" s="74">
        <f>(BB14-8)</f>
        <v/>
      </c>
      <c r="BO14" s="74">
        <f>COUNTIF($E14:$AB14,BO$4)</f>
        <v/>
      </c>
      <c r="BP14" s="74">
        <f>COUNTIF($E14:$AB14,BP$4)</f>
        <v/>
      </c>
      <c r="BQ14" s="74">
        <f>COUNTIF($E14:$AB14,BQ$4)</f>
        <v/>
      </c>
      <c r="BR14" s="74" t="n"/>
    </row>
    <row r="15" ht="39.75" customHeight="1">
      <c r="A15" s="77" t="n"/>
      <c r="B15" s="77" t="inlineStr">
        <is>
          <t>PTE MENDEZ RALPH JUSTINE MACALINO</t>
        </is>
      </c>
      <c r="C15" s="76" t="n"/>
      <c r="D15" s="107" t="n"/>
      <c r="E15" s="107" t="n"/>
      <c r="F15" s="107" t="n"/>
      <c r="G15" s="107" t="inlineStr">
        <is>
          <t>RESERVE</t>
        </is>
      </c>
      <c r="I15" s="107" t="inlineStr">
        <is>
          <t>COVER RESERVE</t>
        </is>
      </c>
      <c r="J15" s="107" t="n"/>
      <c r="K15" s="107" t="n"/>
      <c r="L15" s="107" t="n"/>
      <c r="M15" s="107" t="n"/>
      <c r="N15" s="145" t="n"/>
      <c r="O15" s="107" t="inlineStr">
        <is>
          <t>E $AM 8KM RM (0500-1100)</t>
        </is>
      </c>
      <c r="P15" s="107" t="n"/>
      <c r="Q15" s="107" t="inlineStr">
        <is>
          <t>AE</t>
        </is>
      </c>
      <c r="R15" s="107" t="n"/>
      <c r="S15" s="107" t="n"/>
      <c r="T15" s="107" t="n"/>
      <c r="U15" s="107" t="n"/>
      <c r="W15" s="107" t="n"/>
      <c r="X15" s="141" t="inlineStr">
        <is>
          <t>AM MA</t>
        </is>
      </c>
      <c r="Y15" s="107" t="inlineStr">
        <is>
          <t>AE</t>
        </is>
      </c>
      <c r="Z15" s="107" t="n"/>
      <c r="AA15" s="107" t="n"/>
      <c r="AB15" s="107" t="inlineStr">
        <is>
          <t>J $AM RE-IPPT (0500-1000)</t>
        </is>
      </c>
      <c r="AC15" s="107" t="inlineStr">
        <is>
          <t>SB1</t>
        </is>
      </c>
      <c r="AD15" s="107" t="n"/>
      <c r="AE15" s="107" t="n"/>
      <c r="AF15" s="107" t="inlineStr">
        <is>
          <t>SB1</t>
        </is>
      </c>
      <c r="AG15" s="107" t="n"/>
      <c r="AH15" s="107" t="n"/>
      <c r="AI15" s="77">
        <f>COUNTIF($D15:$AG15,AI$4)</f>
        <v/>
      </c>
      <c r="AJ15" s="77">
        <f>COUNTIF($D15:$AG15,AJ$4)</f>
        <v/>
      </c>
      <c r="AK15" s="77">
        <f>COUNTIF($D15:$AG15,AK$4)</f>
        <v/>
      </c>
      <c r="AL15" s="77">
        <f>COUNTIF($D15:$AG15,AL$4)</f>
        <v/>
      </c>
      <c r="AM15" s="77">
        <f>COUNTIF($D15:$AG15,AM$4)</f>
        <v/>
      </c>
      <c r="AN15" s="77">
        <f>COUNTIF($D15:$AG15,AN$4)</f>
        <v/>
      </c>
      <c r="AO15" s="77">
        <f>COUNTIF($D15:$AG15,AO$4)</f>
        <v/>
      </c>
      <c r="AP15" s="77">
        <f>COUNTIF($D15:$AG15,AP$4)</f>
        <v/>
      </c>
      <c r="AQ15" s="77">
        <f>COUNTIF($D15:$AG15,AQ$4)</f>
        <v/>
      </c>
      <c r="AR15" s="76" t="n">
        <v>0.5</v>
      </c>
      <c r="AS15" s="76" t="n"/>
      <c r="AT15" s="77">
        <f>SUMPRODUCT(--(WEEKDAY(D$3:AH$3,2)&lt;5),--ISNUMBER(MATCH(D15:AH15,{"DM","CS1","CS2","SB1","AE","CS/B"},0)))</f>
        <v/>
      </c>
      <c r="AU15" s="77" t="n"/>
      <c r="AV15" s="77">
        <f>SUMPRODUCT(--(WEEKDAY(D$3:AH$3,2)=5),--ISNUMBER(MATCH(D15:AH15,{"DM","CS1","CS2","SB1","AE","CS/B","WEEKEND OUTFIELD RESERVE"},0)))</f>
        <v/>
      </c>
      <c r="AW15" s="77">
        <f>SUMPRODUCT(--(WEEKDAY(D$3:AH$3,2)&gt;5),--ISNUMBER(MATCH(D15:AH15,{"DM","CS1","CS2","SB1","AE","CS/B","WEEKEND OUTFIELD RESERVE"},0)))</f>
        <v/>
      </c>
      <c r="AX15" s="77" t="n"/>
      <c r="AY15" s="77">
        <f>(AT15-AU15)+AV15*1.5+(AW15-AX15)*2+AN15*0.5+AP15*0.5+AR15-AS15</f>
        <v/>
      </c>
      <c r="AZ15" s="77">
        <f>AT15+AV15+AW15</f>
        <v/>
      </c>
      <c r="BA15" s="77">
        <f>BD15+BF15+BH15+BJ15+BL15</f>
        <v/>
      </c>
      <c r="BB15" s="76">
        <f>AY15+BC15</f>
        <v/>
      </c>
      <c r="BC15" s="77">
        <f>BE15+BG15+BI15+BK15+BM15</f>
        <v/>
      </c>
      <c r="BD15" s="77">
        <f>COUNTIF(A15:AI15,"*$BTP*")</f>
        <v/>
      </c>
      <c r="BE15" s="77">
        <f>BD15*1.5</f>
        <v/>
      </c>
      <c r="BF15" s="77">
        <f>COUNTIF(A15:AI15,"*$M*")</f>
        <v/>
      </c>
      <c r="BG15" s="77">
        <f>BF15*1</f>
        <v/>
      </c>
      <c r="BH15" s="77">
        <f>COUNTIF(A15:AI15,"*$PM*")</f>
        <v/>
      </c>
      <c r="BI15" s="77">
        <f>BH15*0.5</f>
        <v/>
      </c>
      <c r="BJ15" s="77">
        <f>COUNTIF(A15:AI15,"*$AM*")</f>
        <v/>
      </c>
      <c r="BK15" s="77">
        <f>BJ15*0.5</f>
        <v/>
      </c>
      <c r="BL15" s="77">
        <f>COUNTIF(A15:AI15,"*$FC*")</f>
        <v/>
      </c>
      <c r="BM15" s="77">
        <f>BL15*1</f>
        <v/>
      </c>
      <c r="BN15" s="77">
        <f>(BB15-8)</f>
        <v/>
      </c>
      <c r="BO15" s="77">
        <f>COUNTIF($E15:$AB15,BO$4)</f>
        <v/>
      </c>
      <c r="BP15" s="77">
        <f>COUNTIF($E15:$AB15,BP$4)</f>
        <v/>
      </c>
      <c r="BQ15" s="77">
        <f>COUNTIF($E15:$AB15,BQ$4)</f>
        <v/>
      </c>
      <c r="BR15" s="77" t="n"/>
    </row>
    <row r="16" ht="47.25" customHeight="1">
      <c r="A16" s="74" t="n"/>
      <c r="B16" s="74" t="inlineStr">
        <is>
          <t>PTE DANIEL ISKANDAR BIN SANUSI</t>
        </is>
      </c>
      <c r="C16" s="76" t="n"/>
      <c r="D16" s="110" t="n"/>
      <c r="E16" s="110" t="inlineStr">
        <is>
          <t>RESERVE</t>
        </is>
      </c>
      <c r="F16" s="110" t="n"/>
      <c r="G16" s="110" t="n"/>
      <c r="I16" s="110" t="n"/>
      <c r="J16" s="110" t="inlineStr">
        <is>
          <t>RESERVE</t>
        </is>
      </c>
      <c r="K16" s="110" t="inlineStr">
        <is>
          <t>AE</t>
        </is>
      </c>
      <c r="L16" s="110" t="n"/>
      <c r="M16" s="110" t="n"/>
      <c r="N16" s="110" t="n"/>
      <c r="O16" s="110" t="inlineStr">
        <is>
          <t>AE</t>
        </is>
      </c>
      <c r="P16" s="110" t="n"/>
      <c r="Q16" s="110" t="n"/>
      <c r="R16" s="110" t="n"/>
      <c r="S16" s="110" t="inlineStr">
        <is>
          <t>AE</t>
        </is>
      </c>
      <c r="T16" s="110" t="n"/>
      <c r="V16" s="110" t="n"/>
      <c r="X16" s="110" t="inlineStr">
        <is>
          <t>RESERVE</t>
        </is>
      </c>
      <c r="Z16" s="110" t="inlineStr">
        <is>
          <t>AE</t>
        </is>
      </c>
      <c r="AA16" s="110" t="n"/>
      <c r="AB16" s="110" t="n"/>
      <c r="AC16" s="110" t="inlineStr">
        <is>
          <t>SB2</t>
        </is>
      </c>
      <c r="AE16" s="110" t="n"/>
      <c r="AF16" s="110" t="n"/>
      <c r="AG16" s="110" t="inlineStr">
        <is>
          <t>AE</t>
        </is>
      </c>
      <c r="AH16" s="110" t="n"/>
      <c r="AI16" s="74">
        <f>COUNTIF($D16:$AG16,AI$4)</f>
        <v/>
      </c>
      <c r="AJ16" s="74">
        <f>COUNTIF($D16:$AG16,AJ$4)</f>
        <v/>
      </c>
      <c r="AK16" s="74">
        <f>COUNTIF($D16:$AG16,AK$4)</f>
        <v/>
      </c>
      <c r="AL16" s="74">
        <f>COUNTIF($D16:$AG16,AL$4)</f>
        <v/>
      </c>
      <c r="AM16" s="74">
        <f>COUNTIF($D16:$AG16,AM$4)</f>
        <v/>
      </c>
      <c r="AN16" s="74">
        <f>COUNTIF($D16:$AG16,AN$4)</f>
        <v/>
      </c>
      <c r="AO16" s="74">
        <f>COUNTIF($D16:$AG16,AO$4)</f>
        <v/>
      </c>
      <c r="AP16" s="74">
        <f>COUNTIF($D16:$AG16,AP$4)</f>
        <v/>
      </c>
      <c r="AQ16" s="74">
        <f>COUNTIF($D16:$AG16,AQ$4)</f>
        <v/>
      </c>
      <c r="AR16" s="76" t="n"/>
      <c r="AS16" s="76" t="n">
        <v>0.5</v>
      </c>
      <c r="AT16" s="74">
        <f>SUMPRODUCT(--(WEEKDAY(D$3:AH$3,2)&lt;5),--ISNUMBER(MATCH(D16:AH16,{"DM","CS1","CS2","SB1","AE","CS/B"},0)))</f>
        <v/>
      </c>
      <c r="AU16" s="74" t="n"/>
      <c r="AV16" s="74">
        <f>SUMPRODUCT(--(WEEKDAY(D$3:AH$3,2)=5),--ISNUMBER(MATCH(D16:AH16,{"DM","CS1","CS2","SB1","AE","CS/B","WEEKEND OUTFIELD RESERVE"},0)))</f>
        <v/>
      </c>
      <c r="AW16" s="74">
        <f>SUMPRODUCT(--(WEEKDAY(D$3:AH$3,2)&gt;5),--ISNUMBER(MATCH(D16:AH16,{"DM","CS1","CS2","SB1","AE","CS/B","WEEKEND OUTFIELD RESERVE"},0)))</f>
        <v/>
      </c>
      <c r="AX16" s="74" t="n"/>
      <c r="AY16" s="74">
        <f>(AT16-AU16)+AV16*1.5+(AW16-AX16)*2+AN16*0.5+AP16*0.5+AR16-AS16</f>
        <v/>
      </c>
      <c r="AZ16" s="74">
        <f>AT16+AV16+AW16</f>
        <v/>
      </c>
      <c r="BA16" s="74">
        <f>BD16+BF16+BH16+BJ16+BL16</f>
        <v/>
      </c>
      <c r="BB16" s="76">
        <f>AY16+BC16</f>
        <v/>
      </c>
      <c r="BC16" s="74">
        <f>BE16+BG16+BI16+BK16+BM16</f>
        <v/>
      </c>
      <c r="BD16" s="74">
        <f>COUNTIF(A16:AI16,"*$BTP*")</f>
        <v/>
      </c>
      <c r="BE16" s="74">
        <f>BD16*1.5</f>
        <v/>
      </c>
      <c r="BF16" s="74">
        <f>COUNTIF(A16:AI16,"*$M*")</f>
        <v/>
      </c>
      <c r="BG16" s="74">
        <f>BF16*1</f>
        <v/>
      </c>
      <c r="BH16" s="74">
        <f>COUNTIF(A16:AI16,"*$PM*")</f>
        <v/>
      </c>
      <c r="BI16" s="74">
        <f>BH16*0.5</f>
        <v/>
      </c>
      <c r="BJ16" s="74">
        <f>COUNTIF(A16:AI16,"*$AM*")</f>
        <v/>
      </c>
      <c r="BK16" s="74">
        <f>BJ16*0.5</f>
        <v/>
      </c>
      <c r="BL16" s="74">
        <f>COUNTIF(A16:AI16,"*$FC*")</f>
        <v/>
      </c>
      <c r="BM16" s="74">
        <f>BL16*1</f>
        <v/>
      </c>
      <c r="BN16" s="74">
        <f>(BB16-8)</f>
        <v/>
      </c>
      <c r="BO16" s="74">
        <f>COUNTIF($E16:$AB16,BO$4)</f>
        <v/>
      </c>
      <c r="BP16" s="74">
        <f>COUNTIF($E16:$AB16,BP$4)</f>
        <v/>
      </c>
      <c r="BQ16" s="74">
        <f>COUNTIF($E16:$AB16,BQ$4)</f>
        <v/>
      </c>
      <c r="BR16" s="74" t="n"/>
    </row>
    <row r="17" ht="45" customHeight="1">
      <c r="A17" s="77" t="n"/>
      <c r="B17" s="76" t="inlineStr">
        <is>
          <t>LCP APPLE YEO</t>
        </is>
      </c>
      <c r="C17" s="76" t="n"/>
      <c r="D17" s="107" t="n"/>
      <c r="E17" s="107" t="n"/>
      <c r="F17" s="107" t="inlineStr">
        <is>
          <t>CS1</t>
        </is>
      </c>
      <c r="G17" s="107" t="n"/>
      <c r="H17" s="141" t="inlineStr">
        <is>
          <t>SB2</t>
        </is>
      </c>
      <c r="I17" s="107" t="n"/>
      <c r="J17" s="107" t="n"/>
      <c r="K17" s="107" t="n"/>
      <c r="L17" s="141" t="n"/>
      <c r="M17" s="107" t="inlineStr">
        <is>
          <t>RESERVE</t>
        </is>
      </c>
      <c r="N17" s="107" t="inlineStr">
        <is>
          <t>CS/B</t>
        </is>
      </c>
      <c r="O17" s="107" t="n"/>
      <c r="P17" s="107" t="inlineStr">
        <is>
          <t>CS2</t>
        </is>
      </c>
      <c r="Q17" s="107" t="n"/>
      <c r="R17" s="107" t="n"/>
      <c r="S17" s="107" t="inlineStr">
        <is>
          <t>CS2</t>
        </is>
      </c>
      <c r="T17" s="107" t="n"/>
      <c r="U17" s="107" t="inlineStr">
        <is>
          <t>DM</t>
        </is>
      </c>
      <c r="V17" s="107" t="n"/>
      <c r="W17" s="107" t="inlineStr">
        <is>
          <t>CS1</t>
        </is>
      </c>
      <c r="X17" s="107" t="n"/>
      <c r="Y17" s="107" t="inlineStr">
        <is>
          <t>SB1</t>
        </is>
      </c>
      <c r="Z17" s="107" t="n"/>
      <c r="AA17" s="107" t="n"/>
      <c r="AB17" s="107" t="n"/>
      <c r="AC17" s="107" t="inlineStr">
        <is>
          <t>CS2</t>
        </is>
      </c>
      <c r="AD17" s="107" t="n"/>
      <c r="AE17" s="107" t="inlineStr">
        <is>
          <t>RESERVE</t>
        </is>
      </c>
      <c r="AF17" s="107" t="n"/>
      <c r="AG17" s="107" t="n"/>
      <c r="AH17" s="107" t="inlineStr">
        <is>
          <t>CS/B</t>
        </is>
      </c>
      <c r="AI17" s="77">
        <f>COUNTIF($D17:$AG17,AI$4)</f>
        <v/>
      </c>
      <c r="AJ17" s="77">
        <f>COUNTIF($D17:$AG17,AJ$4)</f>
        <v/>
      </c>
      <c r="AK17" s="77">
        <f>COUNTIF($D17:$AG17,AK$4)</f>
        <v/>
      </c>
      <c r="AL17" s="77">
        <f>COUNTIF($D17:$AG17,AL$4)</f>
        <v/>
      </c>
      <c r="AM17" s="77">
        <f>COUNTIF($D17:$AG17,AM$4)</f>
        <v/>
      </c>
      <c r="AN17" s="77">
        <f>COUNTIF($D17:$AG17,AN$4)</f>
        <v/>
      </c>
      <c r="AO17" s="77">
        <f>COUNTIF($D17:$AG17,AO$4)</f>
        <v/>
      </c>
      <c r="AP17" s="77">
        <f>COUNTIF($D17:$AG17,AP$4)</f>
        <v/>
      </c>
      <c r="AQ17" s="77">
        <f>COUNTIF($D17:$AG17,AQ$4)</f>
        <v/>
      </c>
      <c r="AR17" s="76" t="n"/>
      <c r="AS17" s="76" t="n"/>
      <c r="AT17" s="77">
        <f>SUMPRODUCT(--(WEEKDAY(D$3:AH$3,2)&lt;5),--ISNUMBER(MATCH(D17:AH17,{"DM","CS1","CS2","SB1","AE","CS/B"},0)))</f>
        <v/>
      </c>
      <c r="AU17" s="77" t="n"/>
      <c r="AV17" s="77">
        <f>SUMPRODUCT(--(WEEKDAY(D$3:AH$3,2)=5),--ISNUMBER(MATCH(D17:AH17,{"DM","CS1","CS2","SB1","AE","CS/B","WEEKEND OUTFIELD RESERVE"},0)))</f>
        <v/>
      </c>
      <c r="AW17" s="77">
        <f>SUMPRODUCT(--(WEEKDAY(D$3:AH$3,2)&gt;5),--ISNUMBER(MATCH(D17:AH17,{"DM","CS1","CS2","SB1","AE","CS/B","WEEKEND OUTFIELD RESERVE"},0)))</f>
        <v/>
      </c>
      <c r="AX17" s="77" t="n"/>
      <c r="AY17" s="77">
        <f>(AT17-AU17)+AV17*1.5+(AW17-AX17)*2+AN17*0.5+AP17*0.5+AR17-AS17</f>
        <v/>
      </c>
      <c r="AZ17" s="77">
        <f>AT17+AV17+AW17</f>
        <v/>
      </c>
      <c r="BA17" s="77">
        <f>BD17+BF17+BH17+BJ17+BL17</f>
        <v/>
      </c>
      <c r="BB17" s="76">
        <f>AY17+BC17</f>
        <v/>
      </c>
      <c r="BC17" s="77">
        <f>BE17+BG17+BI17+BK17+BM17</f>
        <v/>
      </c>
      <c r="BD17" s="77">
        <f>COUNTIF(A17:AI17,"*$BTP*")</f>
        <v/>
      </c>
      <c r="BE17" s="77">
        <f>BD17*1.5</f>
        <v/>
      </c>
      <c r="BF17" s="77">
        <f>COUNTIF(A17:AI17,"*$M*")</f>
        <v/>
      </c>
      <c r="BG17" s="77">
        <f>BF17*1</f>
        <v/>
      </c>
      <c r="BH17" s="77">
        <f>COUNTIF(A17:AI17,"*$PM*")</f>
        <v/>
      </c>
      <c r="BI17" s="77">
        <f>BH17*0.5</f>
        <v/>
      </c>
      <c r="BJ17" s="77">
        <f>COUNTIF(A17:AI17,"*$AM*")</f>
        <v/>
      </c>
      <c r="BK17" s="77">
        <f>BJ17*0.5</f>
        <v/>
      </c>
      <c r="BL17" s="77">
        <f>COUNTIF(A17:AI17,"*$FC*")</f>
        <v/>
      </c>
      <c r="BM17" s="77">
        <f>BL17*1</f>
        <v/>
      </c>
      <c r="BN17" s="77">
        <f>(BB17-10)</f>
        <v/>
      </c>
      <c r="BO17" s="77">
        <f>COUNTIF($E17:$AB17,BO$4)</f>
        <v/>
      </c>
      <c r="BP17" s="77">
        <f>COUNTIF($E17:$AB17,BP$4)</f>
        <v/>
      </c>
      <c r="BQ17" s="77">
        <f>COUNTIF($E17:$AB17,BQ$4)</f>
        <v/>
      </c>
      <c r="BR17" s="77" t="n"/>
    </row>
    <row r="18" ht="51" customHeight="1">
      <c r="A18" s="74" t="n"/>
      <c r="B18" s="76" t="inlineStr">
        <is>
          <t>CPL HO SHENGHUI HAYDEN</t>
        </is>
      </c>
      <c r="C18" s="76" t="n"/>
      <c r="D18" s="110" t="n"/>
      <c r="E18" s="110" t="n"/>
      <c r="F18" s="110" t="n"/>
      <c r="G18" s="110" t="n"/>
      <c r="H18" s="110" t="inlineStr">
        <is>
          <t>CS1</t>
        </is>
      </c>
      <c r="I18" s="110" t="n"/>
      <c r="J18" s="110" t="n"/>
      <c r="K18" s="110" t="inlineStr">
        <is>
          <t>DM</t>
        </is>
      </c>
      <c r="L18" s="110" t="n"/>
      <c r="M18" s="110" t="n"/>
      <c r="N18" s="110" t="inlineStr">
        <is>
          <t>COVER RESERVE</t>
        </is>
      </c>
      <c r="O18" s="110" t="n"/>
      <c r="P18" s="110" t="inlineStr">
        <is>
          <t>DM</t>
        </is>
      </c>
      <c r="Q18" s="110" t="n"/>
      <c r="R18" s="110" t="n"/>
      <c r="S18" s="110" t="n"/>
      <c r="T18" s="110" t="n"/>
      <c r="U18" s="110" t="n"/>
      <c r="V18" s="110" t="inlineStr">
        <is>
          <t>E $M RM (1400-2359)</t>
        </is>
      </c>
      <c r="W18" s="110" t="n"/>
      <c r="X18" s="110" t="n"/>
      <c r="Y18" s="110" t="inlineStr">
        <is>
          <t>CS2</t>
        </is>
      </c>
      <c r="Z18" s="110" t="n"/>
      <c r="AA18" s="110" t="n"/>
      <c r="AB18" s="110" t="inlineStr">
        <is>
          <t>DM</t>
        </is>
      </c>
      <c r="AE18" s="110" t="n"/>
      <c r="AF18" s="147" t="inlineStr">
        <is>
          <t>CS1</t>
        </is>
      </c>
      <c r="AG18" s="110" t="n"/>
      <c r="AH18" s="110" t="n"/>
      <c r="AI18" s="74">
        <f>COUNTIF($D18:$AG18,AI$4)</f>
        <v/>
      </c>
      <c r="AJ18" s="74">
        <f>COUNTIF($D18:$AG18,AJ$4)</f>
        <v/>
      </c>
      <c r="AK18" s="74">
        <f>COUNTIF($D18:$AG18,AK$4)</f>
        <v/>
      </c>
      <c r="AL18" s="74">
        <f>COUNTIF($D18:$AG18,AL$4)</f>
        <v/>
      </c>
      <c r="AM18" s="74">
        <f>COUNTIF($D18:$AG18,AM$4)</f>
        <v/>
      </c>
      <c r="AN18" s="74">
        <f>COUNTIF($D18:$AG18,AN$4)</f>
        <v/>
      </c>
      <c r="AO18" s="74">
        <f>COUNTIF($D18:$AG18,AO$4)</f>
        <v/>
      </c>
      <c r="AP18" s="74">
        <f>COUNTIF($D18:$AG18,AP$4)</f>
        <v/>
      </c>
      <c r="AQ18" s="74">
        <f>COUNTIF($D18:$AG18,AQ$4)</f>
        <v/>
      </c>
      <c r="AR18" s="76" t="n"/>
      <c r="AS18" s="76" t="n"/>
      <c r="AT18" s="74">
        <f>SUMPRODUCT(--(WEEKDAY(D$3:AH$3,2)&lt;5),--ISNUMBER(MATCH(D18:AH18,{"DM","CS1","CS2","SB1","AE","CS/B"},0)))</f>
        <v/>
      </c>
      <c r="AU18" s="74" t="n"/>
      <c r="AV18" s="74">
        <f>SUMPRODUCT(--(WEEKDAY(D$3:AH$3,2)=5),--ISNUMBER(MATCH(D18:AH18,{"DM","CS1","CS2","SB1","AE","CS/B","WEEKEND OUTFIELD RESERVE"},0)))</f>
        <v/>
      </c>
      <c r="AW18" s="74">
        <f>SUMPRODUCT(--(WEEKDAY(D$3:AH$3,2)&gt;5),--ISNUMBER(MATCH(D18:AH18,{"DM","CS1","CS2","SB1","AE","CS/B","WEEKEND OUTFIELD RESERVE"},0)))</f>
        <v/>
      </c>
      <c r="AX18" s="74" t="n"/>
      <c r="AY18" s="74">
        <f>(AT18-AU18)+AV18*1.5+(AW18-AX18)*2+AN18*0.5+AP18*0.5+AR18-AS18</f>
        <v/>
      </c>
      <c r="AZ18" s="74">
        <f>AT18+AV18+AW18</f>
        <v/>
      </c>
      <c r="BA18" s="74">
        <f>BD18+BF18+BH18+BJ18+BL18</f>
        <v/>
      </c>
      <c r="BB18" s="76">
        <f>AY18+BC18</f>
        <v/>
      </c>
      <c r="BC18" s="74">
        <f>BE18+BG18+BI18+BK18+BM18</f>
        <v/>
      </c>
      <c r="BD18" s="74">
        <f>COUNTIF(A18:AI18,"*$BTP*")</f>
        <v/>
      </c>
      <c r="BE18" s="74">
        <f>BD18*1.5</f>
        <v/>
      </c>
      <c r="BF18" s="74">
        <f>COUNTIF(A18:AI18,"*$M*")</f>
        <v/>
      </c>
      <c r="BG18" s="74">
        <f>BF18*1</f>
        <v/>
      </c>
      <c r="BH18" s="74">
        <f>COUNTIF(A18:AI18,"*$PM*")</f>
        <v/>
      </c>
      <c r="BI18" s="74">
        <f>BH18*0.5</f>
        <v/>
      </c>
      <c r="BJ18" s="74">
        <f>COUNTIF(A18:AI18,"*$AM*")</f>
        <v/>
      </c>
      <c r="BK18" s="74">
        <f>BJ18*0.5</f>
        <v/>
      </c>
      <c r="BL18" s="74">
        <f>COUNTIF(A18:AI18,"*$FC*")</f>
        <v/>
      </c>
      <c r="BM18" s="74">
        <f>BL18*1</f>
        <v/>
      </c>
      <c r="BN18" s="74">
        <f>(BB18-10)</f>
        <v/>
      </c>
      <c r="BO18" s="74">
        <f>COUNTIF($E18:$AB18,BO$4)</f>
        <v/>
      </c>
      <c r="BP18" s="74">
        <f>COUNTIF($E18:$AB18,BP$4)</f>
        <v/>
      </c>
      <c r="BQ18" s="74">
        <f>COUNTIF($E18:$AB18,BQ$4)</f>
        <v/>
      </c>
      <c r="BR18" s="74" t="n"/>
    </row>
    <row r="19" ht="19.5" customHeight="1">
      <c r="A19" s="77" t="n"/>
      <c r="B19" s="76" t="inlineStr">
        <is>
          <t>LCP QUEK ZI YI</t>
        </is>
      </c>
      <c r="C19" s="146" t="n"/>
      <c r="D19" s="107" t="n"/>
      <c r="E19" s="107" t="n"/>
      <c r="F19" s="107" t="n"/>
      <c r="G19" s="107" t="n"/>
      <c r="H19" s="107" t="inlineStr">
        <is>
          <t>F $M HG (0600-2300)</t>
        </is>
      </c>
      <c r="I19" s="107" t="n"/>
      <c r="J19" s="107" t="inlineStr">
        <is>
          <t>DM</t>
        </is>
      </c>
      <c r="K19" s="107" t="n"/>
      <c r="L19" s="107" t="n"/>
      <c r="M19" s="107" t="inlineStr">
        <is>
          <t>CS/B</t>
        </is>
      </c>
      <c r="N19" s="107" t="n"/>
      <c r="O19" s="107" t="inlineStr">
        <is>
          <t>R $BTP (0500-2359)</t>
        </is>
      </c>
      <c r="P19" s="107" t="n"/>
      <c r="Q19" s="107" t="inlineStr">
        <is>
          <t>E $AM RE-IPPT (0500-1100)</t>
        </is>
      </c>
      <c r="S19" s="107" t="n"/>
      <c r="T19" s="107" t="n"/>
      <c r="U19" s="107" t="n"/>
      <c r="V19" s="107" t="inlineStr">
        <is>
          <t>DM</t>
        </is>
      </c>
      <c r="W19" s="107" t="n"/>
      <c r="X19" s="107" t="inlineStr">
        <is>
          <t>SCH 3 $PM PERMSTAFF SOC (1730-1930)</t>
        </is>
      </c>
      <c r="Y19" s="107" t="inlineStr">
        <is>
          <t>E $AM SOC (0600-1100)</t>
        </is>
      </c>
      <c r="Z19" s="141" t="n"/>
      <c r="AA19" s="107" t="n"/>
      <c r="AB19" s="107" t="n"/>
      <c r="AC19" s="107" t="n"/>
      <c r="AD19" s="107" t="n"/>
      <c r="AE19" s="107" t="inlineStr">
        <is>
          <t>off</t>
        </is>
      </c>
      <c r="AF19" s="107" t="inlineStr">
        <is>
          <t>off</t>
        </is>
      </c>
      <c r="AG19" s="107" t="n"/>
      <c r="AH19" s="107" t="n"/>
      <c r="AI19" s="77">
        <f>COUNTIF($D19:$AG19,AI$4)</f>
        <v/>
      </c>
      <c r="AJ19" s="77">
        <f>COUNTIF($D19:$AG19,AJ$4)</f>
        <v/>
      </c>
      <c r="AK19" s="77">
        <f>COUNTIF($D19:$AG19,AK$4)</f>
        <v/>
      </c>
      <c r="AL19" s="77">
        <f>COUNTIF($D19:$AG19,AL$4)</f>
        <v/>
      </c>
      <c r="AM19" s="77">
        <f>COUNTIF($D19:$AG19,AM$4)</f>
        <v/>
      </c>
      <c r="AN19" s="77">
        <f>COUNTIF($D19:$AG19,AN$4)</f>
        <v/>
      </c>
      <c r="AO19" s="77">
        <f>COUNTIF($D19:$AG19,AO$4)</f>
        <v/>
      </c>
      <c r="AP19" s="77">
        <f>COUNTIF($D19:$AG19,AP$4)</f>
        <v/>
      </c>
      <c r="AQ19" s="77">
        <f>COUNTIF($D19:$AG19,AQ$4)</f>
        <v/>
      </c>
      <c r="AR19" s="76" t="n"/>
      <c r="AS19" s="76" t="n"/>
      <c r="AT19" s="77">
        <f>SUMPRODUCT(--(WEEKDAY(D$3:AH$3,2)&lt;5),--ISNUMBER(MATCH(D19:AH19,{"DM","CS1","CS2","SB1","AE","CS/B"},0)))</f>
        <v/>
      </c>
      <c r="AU19" s="77" t="n"/>
      <c r="AV19" s="77">
        <f>SUMPRODUCT(--(WEEKDAY(D$3:AH$3,2)=5),--ISNUMBER(MATCH(D19:AH19,{"DM","CS1","CS2","SB1","AE","CS/B","WEEKEND OUTFIELD RESERVE"},0)))</f>
        <v/>
      </c>
      <c r="AW19" s="77">
        <f>SUMPRODUCT(--(WEEKDAY(D$3:AH$3,2)&gt;5),--ISNUMBER(MATCH(D19:AH19,{"DM","CS1","CS2","SB1","AE","CS/B","WEEKEND OUTFIELD RESERVE"},0)))</f>
        <v/>
      </c>
      <c r="AX19" s="77" t="n"/>
      <c r="AY19" s="77">
        <f>(AT19-AU19)+AV19*1.5+(AW19-AX19)*2+AN19*0.5+AP19*0.5+AR19-AS19</f>
        <v/>
      </c>
      <c r="AZ19" s="77">
        <f>AT19+AV19+AW19</f>
        <v/>
      </c>
      <c r="BA19" s="77">
        <f>BD19+BF19+BH19+BJ19+BL19</f>
        <v/>
      </c>
      <c r="BB19" s="76">
        <f>AY19+BC19</f>
        <v/>
      </c>
      <c r="BC19" s="77">
        <f>BE19+BG19+BI19+BK19+BM19</f>
        <v/>
      </c>
      <c r="BD19" s="77">
        <f>COUNTIF(A19:AI19,"*$BTP*")</f>
        <v/>
      </c>
      <c r="BE19" s="77">
        <f>BD19*1.5</f>
        <v/>
      </c>
      <c r="BF19" s="77">
        <f>COUNTIF(A19:AI19,"*$M*")</f>
        <v/>
      </c>
      <c r="BG19" s="77">
        <f>BF19*1</f>
        <v/>
      </c>
      <c r="BH19" s="77">
        <f>COUNTIF(A19:AI19,"*$PM*")</f>
        <v/>
      </c>
      <c r="BI19" s="77">
        <f>BH19*0.5</f>
        <v/>
      </c>
      <c r="BJ19" s="77">
        <f>COUNTIF(A19:AI19,"*$AM*")</f>
        <v/>
      </c>
      <c r="BK19" s="77">
        <f>BJ19*0.5</f>
        <v/>
      </c>
      <c r="BL19" s="77">
        <f>COUNTIF(A19:AI19,"*$FC*")</f>
        <v/>
      </c>
      <c r="BM19" s="77">
        <f>BL19*1</f>
        <v/>
      </c>
      <c r="BN19" s="77">
        <f>(BB19-10)</f>
        <v/>
      </c>
      <c r="BO19" s="77">
        <f>COUNTIF($E19:$AB19,BO$4)</f>
        <v/>
      </c>
      <c r="BP19" s="77">
        <f>COUNTIF($E19:$AB19,BP$4)</f>
        <v/>
      </c>
      <c r="BQ19" s="77">
        <f>COUNTIF($E19:$AB19,BQ$4)</f>
        <v/>
      </c>
      <c r="BR19" s="77" t="n"/>
    </row>
    <row r="20" ht="90" customHeight="1">
      <c r="A20" s="74" t="n"/>
      <c r="B20" s="76" t="inlineStr">
        <is>
          <t>LCP EKLAYVA PINGALI</t>
        </is>
      </c>
      <c r="C20" s="76" t="n"/>
      <c r="D20" s="110" t="n"/>
      <c r="E20" s="110" t="n"/>
      <c r="F20" s="110" t="n"/>
      <c r="G20" s="110" t="inlineStr">
        <is>
          <t>DM</t>
        </is>
      </c>
      <c r="H20" s="110" t="n"/>
      <c r="I20" s="110" t="inlineStr">
        <is>
          <t>COVER RESERVE</t>
        </is>
      </c>
      <c r="K20" s="110" t="inlineStr">
        <is>
          <t>F $BTP (0500-2300)</t>
        </is>
      </c>
      <c r="L20" s="110" t="inlineStr">
        <is>
          <t>CS1</t>
        </is>
      </c>
      <c r="M20" s="110" t="n"/>
      <c r="P20" s="110" t="n"/>
      <c r="Q20" s="110" t="n"/>
      <c r="R20" s="110" t="inlineStr">
        <is>
          <t>DM</t>
        </is>
      </c>
      <c r="S20" s="110" t="n"/>
      <c r="T20" s="110" t="inlineStr">
        <is>
          <t>CS/B</t>
        </is>
      </c>
      <c r="U20" s="110" t="n"/>
      <c r="V20" s="147" t="inlineStr">
        <is>
          <t>MC</t>
        </is>
      </c>
      <c r="W20" s="110" t="inlineStr">
        <is>
          <t>MC</t>
        </is>
      </c>
      <c r="X20" s="147" t="inlineStr">
        <is>
          <t>MC</t>
        </is>
      </c>
      <c r="Y20" s="110" t="inlineStr">
        <is>
          <t>COVER RESERVE</t>
        </is>
      </c>
      <c r="Z20" s="110" t="n"/>
      <c r="AA20" s="110" t="n"/>
      <c r="AB20" s="147" t="inlineStr">
        <is>
          <t>SKILLSFUTURE</t>
        </is>
      </c>
      <c r="AC20" s="110" t="inlineStr">
        <is>
          <t>COVER RESERVE</t>
        </is>
      </c>
      <c r="AE20" s="110" t="n"/>
      <c r="AF20" s="110" t="n"/>
      <c r="AG20" s="110" t="inlineStr">
        <is>
          <t>CS2</t>
        </is>
      </c>
      <c r="AH20" s="110" t="n"/>
      <c r="AI20" s="74">
        <f>COUNTIF($D20:$AG20,AI$4)</f>
        <v/>
      </c>
      <c r="AJ20" s="74">
        <f>COUNTIF($D20:$AG20,AJ$4)</f>
        <v/>
      </c>
      <c r="AK20" s="74">
        <f>COUNTIF($D20:$AG20,AK$4)</f>
        <v/>
      </c>
      <c r="AL20" s="74">
        <f>COUNTIF($D20:$AG20,AL$4)</f>
        <v/>
      </c>
      <c r="AM20" s="74">
        <f>COUNTIF($D20:$AG20,AM$4)</f>
        <v/>
      </c>
      <c r="AN20" s="74">
        <f>COUNTIF($D20:$AG20,AN$4)</f>
        <v/>
      </c>
      <c r="AO20" s="74">
        <f>COUNTIF($D20:$AG20,AO$4)</f>
        <v/>
      </c>
      <c r="AP20" s="74">
        <f>COUNTIF($D20:$AG20,AP$4)</f>
        <v/>
      </c>
      <c r="AQ20" s="74">
        <f>COUNTIF($D20:$AG20,AQ$4)</f>
        <v/>
      </c>
      <c r="AR20" s="76" t="n"/>
      <c r="AS20" s="76" t="n">
        <v>0.5</v>
      </c>
      <c r="AT20" s="74">
        <f>SUMPRODUCT(--(WEEKDAY(D$3:AH$3,2)&lt;5),--ISNUMBER(MATCH(D20:AH20,{"DM","CS1","CS2","SB1","AE","CS/B"},0)))</f>
        <v/>
      </c>
      <c r="AU20" s="74" t="n"/>
      <c r="AV20" s="74">
        <f>SUMPRODUCT(--(WEEKDAY(D$3:AH$3,2)=5),--ISNUMBER(MATCH(D20:AH20,{"DM","CS1","CS2","SB1","AE","CS/B","WEEKEND OUTFIELD RESERVE"},0)))</f>
        <v/>
      </c>
      <c r="AW20" s="74">
        <f>SUMPRODUCT(--(WEEKDAY(D$3:AH$3,2)&gt;5),--ISNUMBER(MATCH(D20:AH20,{"DM","CS1","CS2","SB1","AE","CS/B","WEEKEND OUTFIELD RESERVE"},0)))</f>
        <v/>
      </c>
      <c r="AX20" s="74" t="n"/>
      <c r="AY20" s="74">
        <f>(AT20-AU20)+AV20*1.5+(AW20-AX20)*2+AN20*0.5+AP20*0.5+AR20-AS20</f>
        <v/>
      </c>
      <c r="AZ20" s="74">
        <f>AT20+AV20+AW20</f>
        <v/>
      </c>
      <c r="BA20" s="74">
        <f>BD20+BF20+BH20+BJ20+BL20</f>
        <v/>
      </c>
      <c r="BB20" s="76">
        <f>AY20+BC20</f>
        <v/>
      </c>
      <c r="BC20" s="74">
        <f>BE20+BG20+BI20+BK20+BM20</f>
        <v/>
      </c>
      <c r="BD20" s="74">
        <f>COUNTIF(A20:AI20,"*$BTP*")</f>
        <v/>
      </c>
      <c r="BE20" s="74">
        <f>BD20*1.5</f>
        <v/>
      </c>
      <c r="BF20" s="74">
        <f>COUNTIF(A20:AI20,"*$M*")</f>
        <v/>
      </c>
      <c r="BG20" s="74">
        <f>BF20*1</f>
        <v/>
      </c>
      <c r="BH20" s="74">
        <f>COUNTIF(A20:AI20,"*$PM*")</f>
        <v/>
      </c>
      <c r="BI20" s="74">
        <f>BH20*0.5</f>
        <v/>
      </c>
      <c r="BJ20" s="74">
        <f>COUNTIF(A20:AI20,"*$AM*")</f>
        <v/>
      </c>
      <c r="BK20" s="74">
        <f>BJ20*0.5</f>
        <v/>
      </c>
      <c r="BL20" s="74">
        <f>COUNTIF(A20:AI20,"*$FC*")</f>
        <v/>
      </c>
      <c r="BM20" s="74">
        <f>BL20*1</f>
        <v/>
      </c>
      <c r="BN20" s="74">
        <f>(BB20-10)</f>
        <v/>
      </c>
      <c r="BO20" s="74">
        <f>COUNTIF($E20:$AB20,BO$4)</f>
        <v/>
      </c>
      <c r="BP20" s="74">
        <f>COUNTIF($E20:$AB20,BP$4)</f>
        <v/>
      </c>
      <c r="BQ20" s="74">
        <f>COUNTIF($E20:$AB20,BQ$4)</f>
        <v/>
      </c>
      <c r="BR20" s="74" t="n"/>
    </row>
    <row r="21" hidden="1" ht="53.25" customHeight="1">
      <c r="A21" s="77" t="n"/>
      <c r="B21" s="76" t="inlineStr">
        <is>
          <t>CFC MARK WU</t>
        </is>
      </c>
      <c r="C21" s="76" t="n"/>
      <c r="D21" s="107" t="n"/>
      <c r="E21" s="107" t="n"/>
      <c r="F21" s="107" t="n"/>
      <c r="G21" s="107" t="n"/>
      <c r="H21" s="107" t="n"/>
      <c r="I21" s="107" t="n"/>
      <c r="J21" s="107" t="n"/>
      <c r="K21" s="107" t="n"/>
      <c r="L21" s="107" t="n"/>
      <c r="M21" s="107" t="n"/>
      <c r="N21" s="107" t="n"/>
      <c r="P21" s="107" t="n"/>
      <c r="Q21" s="107" t="n"/>
      <c r="R21" s="107" t="inlineStr">
        <is>
          <t>OWADIO</t>
        </is>
      </c>
      <c r="S21" s="107" t="n"/>
      <c r="T21" s="107" t="n"/>
      <c r="U21" s="107" t="n"/>
      <c r="V21" s="107" t="n"/>
      <c r="W21" s="107" t="n"/>
      <c r="X21" s="107" t="n"/>
      <c r="Y21" s="107" t="n"/>
      <c r="Z21" s="107" t="n"/>
      <c r="AA21" s="107" t="n"/>
      <c r="AB21" s="107" t="n"/>
      <c r="AC21" s="107" t="n"/>
      <c r="AD21" s="107" t="n"/>
      <c r="AE21" s="107" t="n"/>
      <c r="AF21" s="107" t="n"/>
      <c r="AG21" s="107" t="n"/>
      <c r="AH21" s="107" t="n"/>
      <c r="AI21" s="77">
        <f>COUNTIF($D21:$AG21,AI$4)</f>
        <v/>
      </c>
      <c r="AJ21" s="77">
        <f>COUNTIF($D21:$AG21,AJ$4)</f>
        <v/>
      </c>
      <c r="AK21" s="77">
        <f>COUNTIF($D21:$AG21,AK$4)</f>
        <v/>
      </c>
      <c r="AL21" s="77">
        <f>COUNTIF($D21:$AG21,AL$4)</f>
        <v/>
      </c>
      <c r="AM21" s="77">
        <f>COUNTIF($D21:$AG21,AM$4)</f>
        <v/>
      </c>
      <c r="AN21" s="77">
        <f>COUNTIF($D21:$AG21,AN$4)</f>
        <v/>
      </c>
      <c r="AO21" s="77">
        <f>COUNTIF($D21:$AG21,AO$4)</f>
        <v/>
      </c>
      <c r="AP21" s="77">
        <f>COUNTIF($D21:$AG21,AP$4)</f>
        <v/>
      </c>
      <c r="AQ21" s="77">
        <f>COUNTIF($D21:$AG21,AQ$4)</f>
        <v/>
      </c>
      <c r="AR21" s="76" t="n">
        <v>-6</v>
      </c>
      <c r="AS21" s="76" t="n">
        <v>5.5</v>
      </c>
      <c r="AT21" s="77">
        <f>SUMPRODUCT(--(WEEKDAY(D$3:AH$3,2)&lt;5),--ISNUMBER(MATCH(D21:AH21,{"DM","CS1","CS2","SB1","AE","CS/B"},0)))</f>
        <v/>
      </c>
      <c r="AU21" s="77" t="n"/>
      <c r="AV21" s="77">
        <f>SUMPRODUCT(--(WEEKDAY(D$3:AH$3,2)=5),--ISNUMBER(MATCH(D21:AH21,{"DM","CS1","CS2","SB1","AE","CS/B","WEEKEND OUTFIELD RESERVE"},0)))</f>
        <v/>
      </c>
      <c r="AW21" s="77">
        <f>SUMPRODUCT(--(WEEKDAY(D$3:AH$3,2)&gt;5),--ISNUMBER(MATCH(D21:AH21,{"DM","CS1","CS2","SB1","AE","CS/B","WEEKEND OUTFIELD RESERVE"},0)))</f>
        <v/>
      </c>
      <c r="AX21" s="77" t="n"/>
      <c r="AY21" s="77">
        <f>(AT21-AU21)+AV21*1.5+(AW21-AX21)*2+AN21*0.5+AP21*0.5+AR21-AS21</f>
        <v/>
      </c>
      <c r="AZ21" s="77">
        <f>AT21+AV21+AW21</f>
        <v/>
      </c>
      <c r="BA21" s="77">
        <f>BD21+BF21+BH21+BJ21+BL21</f>
        <v/>
      </c>
      <c r="BB21" s="76">
        <f>AY21+BC21</f>
        <v/>
      </c>
      <c r="BC21" s="77">
        <f>BE21+BG21+BI21+BK21+BM21</f>
        <v/>
      </c>
      <c r="BD21" s="77">
        <f>COUNTIF(A21:AI21,"*$BTP*")</f>
        <v/>
      </c>
      <c r="BE21" s="77">
        <f>BD21*1.5</f>
        <v/>
      </c>
      <c r="BF21" s="77">
        <f>COUNTIF(A21:AI21,"*$M*")</f>
        <v/>
      </c>
      <c r="BG21" s="77">
        <f>BF21*1</f>
        <v/>
      </c>
      <c r="BH21" s="77">
        <f>COUNTIF(A21:AI21,"*$PM*")</f>
        <v/>
      </c>
      <c r="BI21" s="77">
        <f>BH21*0.5</f>
        <v/>
      </c>
      <c r="BJ21" s="77">
        <f>COUNTIF(A21:AI21,"*$AM*")</f>
        <v/>
      </c>
      <c r="BK21" s="77">
        <f>BJ21*0.5</f>
        <v/>
      </c>
      <c r="BL21" s="77">
        <f>COUNTIF(A21:AI21,"*$FC*")</f>
        <v/>
      </c>
      <c r="BM21" s="77">
        <f>BL21*1</f>
        <v/>
      </c>
      <c r="BN21" s="77">
        <f>(BB21-10)</f>
        <v/>
      </c>
      <c r="BO21" s="77">
        <f>COUNTIF($E21:$AB21,BO$4)</f>
        <v/>
      </c>
      <c r="BP21" s="77">
        <f>COUNTIF($E21:$AB21,BP$4)</f>
        <v/>
      </c>
      <c r="BQ21" s="77">
        <f>COUNTIF($E21:$AB21,BQ$4)</f>
        <v/>
      </c>
      <c r="BR21" s="77" t="n"/>
    </row>
    <row r="22" ht="68.25" customHeight="1">
      <c r="A22" s="74" t="n"/>
      <c r="B22" s="76" t="inlineStr">
        <is>
          <t>CFC DERRICK CHIN</t>
        </is>
      </c>
      <c r="C22" s="76" t="n"/>
      <c r="D22" s="110" t="n"/>
      <c r="E22" s="110" t="inlineStr">
        <is>
          <t>CS1</t>
        </is>
      </c>
      <c r="F22" s="110" t="n"/>
      <c r="G22" s="110" t="inlineStr">
        <is>
          <t>COVER RESERVE</t>
        </is>
      </c>
      <c r="H22" s="110" t="n"/>
      <c r="I22" s="110" t="inlineStr">
        <is>
          <t>DM</t>
        </is>
      </c>
      <c r="J22" s="147" t="inlineStr">
        <is>
          <t>COVER RESERVE</t>
        </is>
      </c>
      <c r="K22" s="110" t="n"/>
      <c r="L22" s="110" t="n"/>
      <c r="M22" s="110" t="n"/>
      <c r="N22" s="110" t="inlineStr">
        <is>
          <t>SB2</t>
        </is>
      </c>
      <c r="O22" s="147" t="inlineStr">
        <is>
          <t>DM</t>
        </is>
      </c>
      <c r="P22" s="110" t="n"/>
      <c r="Q22" s="110" t="inlineStr">
        <is>
          <t>DM</t>
        </is>
      </c>
      <c r="R22" s="110" t="inlineStr">
        <is>
          <t>AL</t>
        </is>
      </c>
      <c r="S22" s="110" t="n"/>
      <c r="T22" s="110" t="n"/>
      <c r="V22" s="110" t="n"/>
      <c r="W22" s="110" t="inlineStr">
        <is>
          <t>R $M RM (1400-2359)</t>
        </is>
      </c>
      <c r="X22" s="110" t="n"/>
      <c r="Y22" s="110" t="inlineStr">
        <is>
          <t>DM</t>
        </is>
      </c>
      <c r="Z22" s="110" t="n"/>
      <c r="AA22" s="110" t="inlineStr">
        <is>
          <t>RESERVE</t>
        </is>
      </c>
      <c r="AB22" s="110" t="inlineStr">
        <is>
          <t>SKILLSFUTURE</t>
        </is>
      </c>
      <c r="AD22" s="110" t="n"/>
      <c r="AE22" s="110" t="inlineStr">
        <is>
          <t>DM</t>
        </is>
      </c>
      <c r="AF22" s="110" t="n"/>
      <c r="AG22" s="147" t="n"/>
      <c r="AH22" s="110" t="inlineStr">
        <is>
          <t>CS1</t>
        </is>
      </c>
      <c r="AI22" s="74">
        <f>COUNTIF($D22:$AG22,AI$4)</f>
        <v/>
      </c>
      <c r="AJ22" s="74">
        <f>COUNTIF($D22:$AG22,AJ$4)</f>
        <v/>
      </c>
      <c r="AK22" s="74">
        <f>COUNTIF($D22:$AG22,AK$4)</f>
        <v/>
      </c>
      <c r="AL22" s="74">
        <f>COUNTIF($D22:$AG22,AL$4)</f>
        <v/>
      </c>
      <c r="AM22" s="74">
        <f>COUNTIF($D22:$AG22,AM$4)</f>
        <v/>
      </c>
      <c r="AN22" s="74">
        <f>COUNTIF($D22:$AG22,AN$4)</f>
        <v/>
      </c>
      <c r="AO22" s="74">
        <f>COUNTIF($D22:$AG22,AO$4)</f>
        <v/>
      </c>
      <c r="AP22" s="74">
        <f>COUNTIF($D22:$AG22,AP$4)</f>
        <v/>
      </c>
      <c r="AQ22" s="74">
        <f>COUNTIF($D22:$AG22,AQ$4)</f>
        <v/>
      </c>
      <c r="AR22" s="76" t="n"/>
      <c r="AS22" s="76" t="n">
        <v>0.5</v>
      </c>
      <c r="AT22" s="74">
        <f>SUMPRODUCT(--(WEEKDAY(D$3:AH$3,2)&lt;5),--ISNUMBER(MATCH(D22:AH22,{"DM","CS1","CS2","SB1","AE","CS/B"},0)))</f>
        <v/>
      </c>
      <c r="AU22" s="74" t="n"/>
      <c r="AV22" s="74">
        <f>SUMPRODUCT(--(WEEKDAY(D$3:AH$3,2)=5),--ISNUMBER(MATCH(D22:AH22,{"DM","CS1","CS2","SB1","AE","CS/B","WEEKEND OUTFIELD RESERVE"},0)))</f>
        <v/>
      </c>
      <c r="AW22" s="74">
        <f>SUMPRODUCT(--(WEEKDAY(D$3:AH$3,2)&gt;5),--ISNUMBER(MATCH(D22:AH22,{"DM","CS1","CS2","SB1","AE","CS/B","WEEKEND OUTFIELD RESERVE"},0)))</f>
        <v/>
      </c>
      <c r="AX22" s="74" t="n"/>
      <c r="AY22" s="74">
        <f>(AT22-AU22)+AV22*1.5+(AW22-AX22)*2+AN22*0.5+AP22*0.5+AR22-AS22</f>
        <v/>
      </c>
      <c r="AZ22" s="74">
        <f>AT22+AV22+AW22</f>
        <v/>
      </c>
      <c r="BA22" s="74">
        <f>BD22+BF22+BH22+BJ22+BL22</f>
        <v/>
      </c>
      <c r="BB22" s="76">
        <f>AY22+BC22</f>
        <v/>
      </c>
      <c r="BC22" s="74">
        <f>BE22+BG22+BI22+BK22+BM22</f>
        <v/>
      </c>
      <c r="BD22" s="74">
        <f>COUNTIF(A22:AI22,"*$BTP*")</f>
        <v/>
      </c>
      <c r="BE22" s="74">
        <f>BD22*1.5</f>
        <v/>
      </c>
      <c r="BF22" s="74">
        <f>COUNTIF(A22:AI22,"*$M*")</f>
        <v/>
      </c>
      <c r="BG22" s="74">
        <f>BF22*1</f>
        <v/>
      </c>
      <c r="BH22" s="74">
        <f>COUNTIF(A22:AI22,"*$PM*")</f>
        <v/>
      </c>
      <c r="BI22" s="74">
        <f>BH22*0.5</f>
        <v/>
      </c>
      <c r="BJ22" s="74">
        <f>COUNTIF(A22:AI22,"*$AM*")</f>
        <v/>
      </c>
      <c r="BK22" s="74">
        <f>BJ22*0.5</f>
        <v/>
      </c>
      <c r="BL22" s="74">
        <f>COUNTIF(A22:AI22,"*$FC*")</f>
        <v/>
      </c>
      <c r="BM22" s="74">
        <f>BL22*1</f>
        <v/>
      </c>
      <c r="BN22" s="74">
        <f>(BB22-10)</f>
        <v/>
      </c>
      <c r="BO22" s="74">
        <f>COUNTIF($E22:$AB22,BO$4)</f>
        <v/>
      </c>
      <c r="BP22" s="74">
        <f>COUNTIF($E22:$AB22,BP$4)</f>
        <v/>
      </c>
      <c r="BQ22" s="74">
        <f>COUNTIF($E22:$AB22,BQ$4)</f>
        <v/>
      </c>
      <c r="BR22" s="74" t="n"/>
    </row>
    <row r="23" hidden="1" ht="75.75" customHeight="1">
      <c r="A23" s="77" t="n"/>
      <c r="B23" s="76" t="inlineStr">
        <is>
          <t>CPL ASHWIN GUNASEKERAN</t>
        </is>
      </c>
      <c r="C23" s="76" t="n"/>
      <c r="D23" s="107" t="n"/>
      <c r="E23" s="77" t="n"/>
      <c r="F23" s="107" t="n"/>
      <c r="G23" s="107" t="n"/>
      <c r="H23" s="107" t="n"/>
      <c r="I23" s="107" t="n"/>
      <c r="J23" s="107" t="n"/>
      <c r="K23" s="107" t="n"/>
      <c r="L23" s="107" t="n"/>
      <c r="M23" s="107" t="n"/>
      <c r="N23" s="107" t="n"/>
      <c r="O23" s="107" t="n"/>
      <c r="P23" s="107" t="n"/>
      <c r="Q23" s="107" t="n"/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77">
        <f>COUNTIF($D23:$AG23,AI$4)</f>
        <v/>
      </c>
      <c r="AJ23" s="77">
        <f>COUNTIF($D23:$AG23,AJ$4)</f>
        <v/>
      </c>
      <c r="AK23" s="77">
        <f>COUNTIF($D23:$AG23,AK$4)</f>
        <v/>
      </c>
      <c r="AL23" s="77">
        <f>COUNTIF($D23:$AG23,AL$4)</f>
        <v/>
      </c>
      <c r="AM23" s="77">
        <f>COUNTIF($D23:$AG23,AM$4)</f>
        <v/>
      </c>
      <c r="AN23" s="77">
        <f>COUNTIF($D23:$AG23,AN$4)</f>
        <v/>
      </c>
      <c r="AO23" s="77">
        <f>COUNTIF($D23:$AG23,AO$4)</f>
        <v/>
      </c>
      <c r="AP23" s="77">
        <f>COUNTIF($D23:$AG23,AP$4)</f>
        <v/>
      </c>
      <c r="AQ23" s="77">
        <f>COUNTIF($D23:$AG23,AQ$4)</f>
        <v/>
      </c>
      <c r="AR23" s="76" t="n"/>
      <c r="AS23" s="76" t="n">
        <v>5.5</v>
      </c>
      <c r="AT23" s="77">
        <f>SUMPRODUCT(--(WEEKDAY(D$3:AH$3,2)&lt;5),--ISNUMBER(MATCH(D23:AH23,{"DM","CS1","CS2","SB1","AE","CS/B"},0)))</f>
        <v/>
      </c>
      <c r="AU23" s="77" t="n"/>
      <c r="AV23" s="77">
        <f>SUMPRODUCT(--(WEEKDAY(D$3:AH$3,2)=5),--ISNUMBER(MATCH(D23:AH23,{"DM","CS1","CS2","SB1","AE","CS/B","WEEKEND OUTFIELD RESERVE"},0)))</f>
        <v/>
      </c>
      <c r="AW23" s="77">
        <f>SUMPRODUCT(--(WEEKDAY(D$3:AH$3,2)&gt;5),--ISNUMBER(MATCH(D23:AH23,{"DM","CS1","CS2","SB1","AE","CS/B","WEEKEND OUTFIELD RESERVE"},0)))</f>
        <v/>
      </c>
      <c r="AX23" s="77" t="n"/>
      <c r="AY23" s="77">
        <f>(AT23-AU23)+AV23*1.5+(AW23-AX23)*2+AN23*0.5+AP23*0.5+AR23-AS23</f>
        <v/>
      </c>
      <c r="AZ23" s="77">
        <f>AT23+AV23+AW23</f>
        <v/>
      </c>
      <c r="BA23" s="77">
        <f>BD23+BF23+BH23+BJ23+BL23</f>
        <v/>
      </c>
      <c r="BB23" s="76">
        <f>AY23+BC23</f>
        <v/>
      </c>
      <c r="BC23" s="77">
        <f>BE23+BG23+BI23+BK23+BM23</f>
        <v/>
      </c>
      <c r="BD23" s="77">
        <f>COUNTIF(A23:AI23,"*$BTP*")</f>
        <v/>
      </c>
      <c r="BE23" s="77">
        <f>BD23*1.5</f>
        <v/>
      </c>
      <c r="BF23" s="77">
        <f>COUNTIF(A23:AI23,"*$M*")</f>
        <v/>
      </c>
      <c r="BG23" s="77">
        <f>BF23*1</f>
        <v/>
      </c>
      <c r="BH23" s="77">
        <f>COUNTIF(A23:AI23,"*$PM*")</f>
        <v/>
      </c>
      <c r="BI23" s="77">
        <f>BH23*0.5</f>
        <v/>
      </c>
      <c r="BJ23" s="77">
        <f>COUNTIF(A23:AI23,"*$AM*")</f>
        <v/>
      </c>
      <c r="BK23" s="77">
        <f>BJ23*0.5</f>
        <v/>
      </c>
      <c r="BL23" s="77">
        <f>COUNTIF(A23:AI23,"*$FC*")</f>
        <v/>
      </c>
      <c r="BM23" s="77">
        <f>BL23*1</f>
        <v/>
      </c>
      <c r="BN23" s="77">
        <f>(BB23-10)</f>
        <v/>
      </c>
      <c r="BO23" s="77">
        <f>COUNTIF($E23:$AB23,BO$4)</f>
        <v/>
      </c>
      <c r="BP23" s="77">
        <f>COUNTIF($E23:$AB23,BP$4)</f>
        <v/>
      </c>
      <c r="BQ23" s="77">
        <f>COUNTIF($E23:$AB23,BQ$4)</f>
        <v/>
      </c>
      <c r="BR23" s="77" t="n"/>
    </row>
    <row r="24" ht="19.5" customHeight="1">
      <c r="A24" s="74" t="n"/>
      <c r="B24" s="76" t="inlineStr">
        <is>
          <t>LCP ZHANG ZHONGHAO</t>
        </is>
      </c>
      <c r="C24" s="146">
        <f>COUNTIF(D24:AG24,"DM")</f>
        <v/>
      </c>
      <c r="D24" s="110" t="n"/>
      <c r="E24" s="110" t="n"/>
      <c r="F24" s="110" t="n"/>
      <c r="G24" s="110" t="n"/>
      <c r="H24" s="110" t="inlineStr">
        <is>
          <t>CS2</t>
        </is>
      </c>
      <c r="I24" s="110" t="n"/>
      <c r="J24" s="110" t="inlineStr">
        <is>
          <t>T $BTP (0500-2359)</t>
        </is>
      </c>
      <c r="K24" s="110" t="n"/>
      <c r="L24" s="110" t="n"/>
      <c r="M24" s="110" t="inlineStr">
        <is>
          <t>DM</t>
        </is>
      </c>
      <c r="N24" s="110" t="n"/>
      <c r="O24" s="110" t="inlineStr">
        <is>
          <t>OUTFIELD RESERVE</t>
        </is>
      </c>
      <c r="P24" s="110" t="inlineStr">
        <is>
          <t>T $FC</t>
        </is>
      </c>
      <c r="Q24" s="110" t="inlineStr">
        <is>
          <t>T $FC</t>
        </is>
      </c>
      <c r="R24" s="110" t="n"/>
      <c r="S24" s="110" t="n"/>
      <c r="T24" s="110" t="n"/>
      <c r="U24" s="110" t="n"/>
      <c r="V24" s="110" t="inlineStr">
        <is>
          <t>SB1</t>
        </is>
      </c>
      <c r="W24" s="110" t="n"/>
      <c r="X24" s="110" t="n"/>
      <c r="Y24" s="110" t="inlineStr">
        <is>
          <t>CS1</t>
        </is>
      </c>
      <c r="Z24" s="147" t="n"/>
      <c r="AA24" s="110" t="n"/>
      <c r="AB24" s="110" t="inlineStr">
        <is>
          <t>CS/B</t>
        </is>
      </c>
      <c r="AD24" s="110" t="n"/>
      <c r="AE24" s="110" t="n"/>
      <c r="AF24" s="110" t="n"/>
      <c r="AG24" s="110" t="n"/>
      <c r="AH24" s="110" t="n"/>
      <c r="AI24" s="74">
        <f>COUNTIF($D24:$AG24,AI$4)</f>
        <v/>
      </c>
      <c r="AJ24" s="74">
        <f>COUNTIF($D24:$AG24,AJ$4)</f>
        <v/>
      </c>
      <c r="AK24" s="74">
        <f>COUNTIF($D24:$AG24,AK$4)</f>
        <v/>
      </c>
      <c r="AL24" s="74">
        <f>COUNTIF($D24:$AG24,AL$4)</f>
        <v/>
      </c>
      <c r="AM24" s="74">
        <f>COUNTIF($D24:$AG24,AM$4)</f>
        <v/>
      </c>
      <c r="AN24" s="74">
        <f>COUNTIF($D24:$AG24,AN$4)</f>
        <v/>
      </c>
      <c r="AO24" s="74">
        <f>COUNTIF($D24:$AG24,AO$4)</f>
        <v/>
      </c>
      <c r="AP24" s="74">
        <f>COUNTIF($D24:$AG24,AP$4)</f>
        <v/>
      </c>
      <c r="AQ24" s="74">
        <f>COUNTIF($D24:$AG24,AQ$4)</f>
        <v/>
      </c>
      <c r="AR24" s="76" t="n"/>
      <c r="AS24" s="76" t="n"/>
      <c r="AT24" s="74">
        <f>SUMPRODUCT(--(WEEKDAY(D$3:AH$3,2)&lt;5),--ISNUMBER(MATCH(D24:AH24,{"DM","CS1","CS2","SB1","AE","CS/B"},0)))</f>
        <v/>
      </c>
      <c r="AU24" s="74" t="n"/>
      <c r="AV24" s="74">
        <f>SUMPRODUCT(--(WEEKDAY(D$3:AH$3,2)=5),--ISNUMBER(MATCH(D24:AH24,{"DM","CS1","CS2","SB1","AE","CS/B","WEEKEND OUTFIELD RESERVE"},0)))</f>
        <v/>
      </c>
      <c r="AW24" s="74">
        <f>SUMPRODUCT(--(WEEKDAY(D$3:AH$3,2)&gt;5),--ISNUMBER(MATCH(D24:AH24,{"DM","CS1","CS2","SB1","AE","CS/B","WEEKEND OUTFIELD RESERVE"},0)))</f>
        <v/>
      </c>
      <c r="AX24" s="74" t="n"/>
      <c r="AY24" s="74">
        <f>(AT24-AU24)+AV24*1.5+(AW24-AX24)*2+AN24*0.5+AP24*0.5+AR24-AS24</f>
        <v/>
      </c>
      <c r="AZ24" s="74">
        <f>AT24+AV24+AW24</f>
        <v/>
      </c>
      <c r="BA24" s="74">
        <f>BD24+BF24+BH24+BJ24+BL24</f>
        <v/>
      </c>
      <c r="BB24" s="76">
        <f>AY24+BC24</f>
        <v/>
      </c>
      <c r="BC24" s="74">
        <f>BE24+BG24+BI24+BK24+BM24</f>
        <v/>
      </c>
      <c r="BD24" s="74">
        <f>COUNTIF(A24:AI24,"*$BTP*")</f>
        <v/>
      </c>
      <c r="BE24" s="74">
        <f>BD24*1.5</f>
        <v/>
      </c>
      <c r="BF24" s="74">
        <f>COUNTIF(A24:AI24,"*$M*")</f>
        <v/>
      </c>
      <c r="BG24" s="74">
        <f>BF24*1</f>
        <v/>
      </c>
      <c r="BH24" s="74">
        <f>COUNTIF(A24:AI24,"*$PM*")</f>
        <v/>
      </c>
      <c r="BI24" s="74">
        <f>BH24*0.5</f>
        <v/>
      </c>
      <c r="BJ24" s="74">
        <f>COUNTIF(A24:AI24,"*$AM*")</f>
        <v/>
      </c>
      <c r="BK24" s="74">
        <f>BJ24*0.5</f>
        <v/>
      </c>
      <c r="BL24" s="74">
        <f>COUNTIF(A24:AI24,"*$FC*")</f>
        <v/>
      </c>
      <c r="BM24" s="74">
        <f>BL24*1</f>
        <v/>
      </c>
      <c r="BN24" s="74">
        <f>(BB24-10)</f>
        <v/>
      </c>
      <c r="BO24" s="74">
        <f>COUNTIF($E24:$AB24,BO$4)</f>
        <v/>
      </c>
      <c r="BP24" s="74">
        <f>COUNTIF($E24:$AB24,BP$4)</f>
        <v/>
      </c>
      <c r="BQ24" s="74">
        <f>COUNTIF($E24:$AB24,BQ$4)</f>
        <v/>
      </c>
      <c r="BR24" s="74" t="n"/>
    </row>
    <row r="25" hidden="1" ht="48" customHeight="1">
      <c r="A25" s="77" t="n"/>
      <c r="B25" s="76" t="inlineStr">
        <is>
          <t xml:space="preserve">LCP KUEH YAN SHENG </t>
        </is>
      </c>
      <c r="C25" s="76">
        <f>COUNTIF(D25:AG25,"DM")</f>
        <v/>
      </c>
      <c r="D25" s="107" t="n"/>
      <c r="E25" s="107" t="n"/>
      <c r="F25" s="107" t="n"/>
      <c r="G25" s="107" t="n"/>
      <c r="H25" s="107" t="n"/>
      <c r="I25" s="107" t="n"/>
      <c r="J25" s="107" t="n"/>
      <c r="K25" s="107" t="n"/>
      <c r="L25" s="107" t="n"/>
      <c r="M25" s="107" t="n"/>
      <c r="N25" s="107" t="n"/>
      <c r="O25" s="107" t="n"/>
      <c r="P25" s="107" t="inlineStr">
        <is>
          <t>AMPT</t>
        </is>
      </c>
      <c r="Q25" s="107" t="n"/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inlineStr">
        <is>
          <t>SKILLSFUTURE</t>
        </is>
      </c>
      <c r="AC25" s="107" t="n"/>
      <c r="AD25" s="107" t="n"/>
      <c r="AE25" s="107" t="n"/>
      <c r="AF25" s="107" t="n"/>
      <c r="AG25" s="107" t="n"/>
      <c r="AH25" s="107" t="n"/>
      <c r="AI25" s="77">
        <f>COUNTIF($D25:$AG25,AI$4)</f>
        <v/>
      </c>
      <c r="AJ25" s="77">
        <f>COUNTIF($D25:$AG25,AJ$4)</f>
        <v/>
      </c>
      <c r="AK25" s="77">
        <f>COUNTIF($D25:$AG25,AK$4)</f>
        <v/>
      </c>
      <c r="AL25" s="77">
        <f>COUNTIF($D25:$AG25,AL$4)</f>
        <v/>
      </c>
      <c r="AM25" s="77">
        <f>COUNTIF($D25:$AG25,AM$4)</f>
        <v/>
      </c>
      <c r="AN25" s="77">
        <f>COUNTIF($D25:$AG25,AN$4)</f>
        <v/>
      </c>
      <c r="AO25" s="77">
        <f>COUNTIF($D25:$AG25,AO$4)</f>
        <v/>
      </c>
      <c r="AP25" s="77">
        <f>COUNTIF($D25:$AG25,AP$4)</f>
        <v/>
      </c>
      <c r="AQ25" s="77">
        <f>COUNTIF($D25:$AG25,AQ$4)</f>
        <v/>
      </c>
      <c r="AR25" s="76" t="n">
        <v>-17.5</v>
      </c>
      <c r="AS25" s="76" t="n"/>
      <c r="AT25" s="77">
        <f>SUMPRODUCT(--(WEEKDAY(D$3:AH$3,2)&lt;5),--ISNUMBER(MATCH(D25:AH25,{"DM","CS1","CS2","SB1","AE","CS/B"},0)))</f>
        <v/>
      </c>
      <c r="AU25" s="77" t="n"/>
      <c r="AV25" s="77">
        <f>SUMPRODUCT(--(WEEKDAY(D$3:AH$3,2)=5),--ISNUMBER(MATCH(D25:AH25,{"DM","CS1","CS2","SB1","AE","CS/B","WEEKEND OUTFIELD RESERVE"},0)))</f>
        <v/>
      </c>
      <c r="AW25" s="77">
        <f>SUMPRODUCT(--(WEEKDAY(D$3:AH$3,2)&gt;5),--ISNUMBER(MATCH(D25:AH25,{"DM","CS1","CS2","SB1","AE","CS/B","WEEKEND OUTFIELD RESERVE"},0)))</f>
        <v/>
      </c>
      <c r="AX25" s="77" t="n"/>
      <c r="AY25" s="77">
        <f>(AT25-AU25)+AV25*1.5+(AW25-AX25)*2+AN25*0.5+AP25*0.5+AR25-AS25</f>
        <v/>
      </c>
      <c r="AZ25" s="77">
        <f>AT25+AV25+AW25</f>
        <v/>
      </c>
      <c r="BA25" s="77">
        <f>BD25+BF25+BH25+BJ25+BL25</f>
        <v/>
      </c>
      <c r="BB25" s="76">
        <f>AY25+BC25</f>
        <v/>
      </c>
      <c r="BC25" s="77">
        <f>BE25+BG25+BI25+BK25+BM25</f>
        <v/>
      </c>
      <c r="BD25" s="77">
        <f>COUNTIF(A25:AI25,"*$BTP*")</f>
        <v/>
      </c>
      <c r="BE25" s="77">
        <f>BD25*1.5</f>
        <v/>
      </c>
      <c r="BF25" s="77">
        <f>COUNTIF(A25:AI25,"*$M*")</f>
        <v/>
      </c>
      <c r="BG25" s="77">
        <f>BF25*1</f>
        <v/>
      </c>
      <c r="BH25" s="77">
        <f>COUNTIF(A25:AI25,"*$PM*")</f>
        <v/>
      </c>
      <c r="BI25" s="77">
        <f>BH25*0.5</f>
        <v/>
      </c>
      <c r="BJ25" s="77">
        <f>COUNTIF(A25:AI25,"*$AM*")</f>
        <v/>
      </c>
      <c r="BK25" s="77">
        <f>BJ25*0.5</f>
        <v/>
      </c>
      <c r="BL25" s="77">
        <f>COUNTIF(A25:AI25,"*$FC*")</f>
        <v/>
      </c>
      <c r="BM25" s="77">
        <f>BL25*1</f>
        <v/>
      </c>
      <c r="BN25" s="77">
        <f>(BB25-10)</f>
        <v/>
      </c>
      <c r="BO25" s="77">
        <f>COUNTIF($E25:$AB25,BO$4)</f>
        <v/>
      </c>
      <c r="BP25" s="77">
        <f>COUNTIF($E25:$AB25,BP$4)</f>
        <v/>
      </c>
      <c r="BQ25" s="77">
        <f>COUNTIF($E25:$AB25,BQ$4)</f>
        <v/>
      </c>
      <c r="BR25" s="77" t="n"/>
    </row>
    <row r="26" ht="19.5" customHeight="1">
      <c r="A26" s="74" t="n"/>
      <c r="B26" s="76" t="inlineStr">
        <is>
          <t>LCP CHYE JING AN MAXIMUS</t>
        </is>
      </c>
      <c r="C26" s="146">
        <f>COUNTIF(D26:AG26,"DM")</f>
        <v/>
      </c>
      <c r="D26" s="110" t="n"/>
      <c r="E26" s="110" t="n"/>
      <c r="F26" s="110" t="inlineStr">
        <is>
          <t>CS/B</t>
        </is>
      </c>
      <c r="H26" s="110" t="inlineStr">
        <is>
          <t>SCH 3 $PM PERMSTAFF SOC (1730-1930)</t>
        </is>
      </c>
      <c r="I26" s="110" t="inlineStr">
        <is>
          <t>DM</t>
        </is>
      </c>
      <c r="L26" s="110" t="inlineStr">
        <is>
          <t>RESERVE</t>
        </is>
      </c>
      <c r="M26" s="147" t="n"/>
      <c r="N26" s="110" t="n"/>
      <c r="O26" s="110" t="inlineStr">
        <is>
          <t>COVER RESERVE</t>
        </is>
      </c>
      <c r="P26" s="110" t="inlineStr">
        <is>
          <t>AMPT</t>
        </is>
      </c>
      <c r="Q26" s="110" t="inlineStr">
        <is>
          <t>S $PM RM (1530-1830)</t>
        </is>
      </c>
      <c r="R26" s="110" t="inlineStr">
        <is>
          <t>CS1</t>
        </is>
      </c>
      <c r="S26" s="110" t="n"/>
      <c r="T26" s="110" t="inlineStr">
        <is>
          <t>DM</t>
        </is>
      </c>
      <c r="U26" s="110" t="n"/>
      <c r="V26" s="110" t="inlineStr">
        <is>
          <t>D $M RM (1400-2359)</t>
        </is>
      </c>
      <c r="X26" s="110" t="n"/>
      <c r="Z26" s="110" t="n"/>
      <c r="AA26" s="110" t="n"/>
      <c r="AC26" s="110" t="inlineStr">
        <is>
          <t>D $AM RE-IPPT (0500-1000)</t>
        </is>
      </c>
      <c r="AD26" s="110" t="inlineStr">
        <is>
          <t>DM</t>
        </is>
      </c>
      <c r="AE26" s="110" t="inlineStr">
        <is>
          <t>SB2</t>
        </is>
      </c>
      <c r="AF26" s="110" t="n"/>
      <c r="AG26" s="110" t="n"/>
      <c r="AH26" s="110" t="n"/>
      <c r="AI26" s="74">
        <f>COUNTIF($D26:$AG26,AI$4)</f>
        <v/>
      </c>
      <c r="AJ26" s="74">
        <f>COUNTIF($D26:$AG26,AJ$4)</f>
        <v/>
      </c>
      <c r="AK26" s="74">
        <f>COUNTIF($D26:$AG26,AK$4)</f>
        <v/>
      </c>
      <c r="AL26" s="74">
        <f>COUNTIF($D26:$AG26,AL$4)</f>
        <v/>
      </c>
      <c r="AM26" s="74">
        <f>COUNTIF($D26:$AG26,AM$4)</f>
        <v/>
      </c>
      <c r="AN26" s="74">
        <f>COUNTIF($D26:$AG26,AN$4)</f>
        <v/>
      </c>
      <c r="AO26" s="74">
        <f>COUNTIF($D26:$AG26,AO$4)</f>
        <v/>
      </c>
      <c r="AP26" s="74">
        <f>COUNTIF($D26:$AG26,AP$4)</f>
        <v/>
      </c>
      <c r="AQ26" s="74">
        <f>COUNTIF($D26:$AG26,AQ$4)</f>
        <v/>
      </c>
      <c r="AR26" s="76" t="n"/>
      <c r="AS26" s="76" t="n">
        <v>2.5</v>
      </c>
      <c r="AT26" s="74">
        <f>SUMPRODUCT(--(WEEKDAY(D$3:AH$3,2)&lt;5),--ISNUMBER(MATCH(D26:AH26,{"DM","CS1","CS2","SB1","AE","CS/B"},0)))</f>
        <v/>
      </c>
      <c r="AU26" s="74" t="n"/>
      <c r="AV26" s="74">
        <f>SUMPRODUCT(--(WEEKDAY(D$3:AH$3,2)=5),--ISNUMBER(MATCH(D26:AH26,{"DM","CS1","CS2","SB1","AE","CS/B","WEEKEND OUTFIELD RESERVE"},0)))</f>
        <v/>
      </c>
      <c r="AW26" s="74">
        <f>SUMPRODUCT(--(WEEKDAY(D$3:AH$3,2)&gt;5),--ISNUMBER(MATCH(D26:AH26,{"DM","CS1","CS2","SB1","AE","CS/B","WEEKEND OUTFIELD RESERVE"},0)))</f>
        <v/>
      </c>
      <c r="AX26" s="74" t="n"/>
      <c r="AY26" s="74">
        <f>(AT26-AU26)+AV26*1.5+(AW26-AX26)*2+AN26*0.5+AP26*0.5+AR26-AS26</f>
        <v/>
      </c>
      <c r="AZ26" s="74">
        <f>AT26+AV26+AW26</f>
        <v/>
      </c>
      <c r="BA26" s="74">
        <f>BD26+BF26+BH26+BJ26+BL26</f>
        <v/>
      </c>
      <c r="BB26" s="76">
        <f>AY26+BC26</f>
        <v/>
      </c>
      <c r="BC26" s="74">
        <f>BE26+BG26+BI26+BK26+BM26</f>
        <v/>
      </c>
      <c r="BD26" s="74">
        <f>COUNTIF(A26:AI26,"*$BTP*")</f>
        <v/>
      </c>
      <c r="BE26" s="74">
        <f>BD26*1.5</f>
        <v/>
      </c>
      <c r="BF26" s="74">
        <f>COUNTIF(A26:AI26,"*$M*")</f>
        <v/>
      </c>
      <c r="BG26" s="74">
        <f>BF26*1</f>
        <v/>
      </c>
      <c r="BH26" s="74">
        <f>COUNTIF(A26:AI26,"*$PM*")</f>
        <v/>
      </c>
      <c r="BI26" s="74">
        <f>BH26*0.5</f>
        <v/>
      </c>
      <c r="BJ26" s="74">
        <f>COUNTIF(A26:AI26,"*$AM*")</f>
        <v/>
      </c>
      <c r="BK26" s="74">
        <f>BJ26*0.5</f>
        <v/>
      </c>
      <c r="BL26" s="74">
        <f>COUNTIF(A26:AI26,"*$FC*")</f>
        <v/>
      </c>
      <c r="BM26" s="74">
        <f>BL26*1</f>
        <v/>
      </c>
      <c r="BN26" s="74">
        <f>(BB26-10)</f>
        <v/>
      </c>
      <c r="BO26" s="74">
        <f>COUNTIF($E26:$AB26,BO$4)</f>
        <v/>
      </c>
      <c r="BP26" s="74">
        <f>COUNTIF($E26:$AB26,BP$4)</f>
        <v/>
      </c>
      <c r="BQ26" s="74">
        <f>COUNTIF($E26:$AB26,BQ$4)</f>
        <v/>
      </c>
      <c r="BR26" s="74" t="n"/>
    </row>
    <row r="27" ht="19.5" customHeight="1">
      <c r="A27" s="77" t="n"/>
      <c r="B27" s="76" t="inlineStr">
        <is>
          <t>LCP TAN JUN YANG KELVIN</t>
        </is>
      </c>
      <c r="C27" s="146">
        <f>COUNTIF(D27:AG27,"DM")</f>
        <v/>
      </c>
      <c r="D27" s="107" t="n"/>
      <c r="E27" s="107" t="n"/>
      <c r="F27" s="107" t="n"/>
      <c r="G27" s="107" t="inlineStr">
        <is>
          <t>R $FC</t>
        </is>
      </c>
      <c r="H27" s="107" t="n"/>
      <c r="I27" s="107" t="inlineStr">
        <is>
          <t>AM MA</t>
        </is>
      </c>
      <c r="J27" s="107" t="n"/>
      <c r="K27" s="107" t="inlineStr">
        <is>
          <t>CS1</t>
        </is>
      </c>
      <c r="L27" s="107" t="n"/>
      <c r="M27" s="107" t="n"/>
      <c r="N27" s="107" t="inlineStr">
        <is>
          <t>R $BTP (0500-2359)</t>
        </is>
      </c>
      <c r="O27" s="107" t="n"/>
      <c r="P27" s="141" t="inlineStr">
        <is>
          <t>RESERVE</t>
        </is>
      </c>
      <c r="Q27" s="107" t="n"/>
      <c r="R27" s="107" t="n"/>
      <c r="S27" s="107" t="inlineStr">
        <is>
          <t>DM</t>
        </is>
      </c>
      <c r="T27" s="107" t="n"/>
      <c r="U27" s="107" t="inlineStr">
        <is>
          <t>R $M BIC (1300-2359)</t>
        </is>
      </c>
      <c r="V27" s="107" t="n"/>
      <c r="W27" s="107" t="inlineStr">
        <is>
          <t>AMPT</t>
        </is>
      </c>
      <c r="X27" s="107" t="n"/>
      <c r="Z27" s="141" t="n"/>
      <c r="AA27" s="107" t="n"/>
      <c r="AB27" s="107" t="inlineStr">
        <is>
          <t>AM MA</t>
        </is>
      </c>
      <c r="AE27" s="107" t="n"/>
      <c r="AF27" s="107" t="n"/>
      <c r="AG27" s="107" t="n"/>
      <c r="AH27" s="107" t="n"/>
      <c r="AI27" s="77">
        <f>COUNTIF($D27:$AG27,AI$4)</f>
        <v/>
      </c>
      <c r="AJ27" s="77">
        <f>COUNTIF($D27:$AG27,AJ$4)</f>
        <v/>
      </c>
      <c r="AK27" s="77">
        <f>COUNTIF($D27:$AG27,AK$4)</f>
        <v/>
      </c>
      <c r="AL27" s="77">
        <f>COUNTIF($D27:$AG27,AL$4)</f>
        <v/>
      </c>
      <c r="AM27" s="77">
        <f>COUNTIF($D27:$AG27,AM$4)</f>
        <v/>
      </c>
      <c r="AN27" s="77">
        <f>COUNTIF($D27:$AG27,AN$4)</f>
        <v/>
      </c>
      <c r="AO27" s="77">
        <f>COUNTIF($D27:$AG27,AO$4)</f>
        <v/>
      </c>
      <c r="AP27" s="77">
        <f>COUNTIF($D27:$AG27,AP$4)</f>
        <v/>
      </c>
      <c r="AQ27" s="77">
        <f>COUNTIF($D27:$AG27,AQ$4)</f>
        <v/>
      </c>
      <c r="AR27" s="76" t="n"/>
      <c r="AS27" s="76" t="n">
        <v>2.5</v>
      </c>
      <c r="AT27" s="77">
        <f>SUMPRODUCT(--(WEEKDAY(D$3:AH$3,2)&lt;5),--ISNUMBER(MATCH(D27:AH27,{"DM","CS1","CS2","SB1","AE","CS/B"},0)))</f>
        <v/>
      </c>
      <c r="AU27" s="77" t="n"/>
      <c r="AV27" s="77">
        <f>SUMPRODUCT(--(WEEKDAY(D$3:AH$3,2)=5),--ISNUMBER(MATCH(D27:AH27,{"DM","CS1","CS2","SB1","AE","CS/B","WEEKEND OUTFIELD RESERVE"},0)))</f>
        <v/>
      </c>
      <c r="AW27" s="77">
        <f>SUMPRODUCT(--(WEEKDAY(D$3:AH$3,2)&gt;5),--ISNUMBER(MATCH(D27:AH27,{"DM","CS1","CS2","SB1","AE","CS/B","WEEKEND OUTFIELD RESERVE"},0)))</f>
        <v/>
      </c>
      <c r="AX27" s="77" t="n"/>
      <c r="AY27" s="77">
        <f>(AT27-AU27)+AV27*1.5+(AW27-AX27)*2+AN27*0.5+AP27*0.5+AR27-AS27</f>
        <v/>
      </c>
      <c r="AZ27" s="77">
        <f>AT27+AV27+AW27</f>
        <v/>
      </c>
      <c r="BA27" s="77">
        <f>BD27+BF27+BH27+BJ27+BL27</f>
        <v/>
      </c>
      <c r="BB27" s="76">
        <f>AY27+BC27</f>
        <v/>
      </c>
      <c r="BC27" s="77">
        <f>BE27+BG27+BI27+BK27+BM27</f>
        <v/>
      </c>
      <c r="BD27" s="77">
        <f>COUNTIF(A27:AI27,"*$BTP*")</f>
        <v/>
      </c>
      <c r="BE27" s="77">
        <f>BD27*1.5</f>
        <v/>
      </c>
      <c r="BF27" s="77">
        <f>COUNTIF(A27:AI27,"*$M*")</f>
        <v/>
      </c>
      <c r="BG27" s="77">
        <f>BF27*1</f>
        <v/>
      </c>
      <c r="BH27" s="77">
        <f>COUNTIF(A27:AI27,"*$PM*")</f>
        <v/>
      </c>
      <c r="BI27" s="77">
        <f>BH27*0.5</f>
        <v/>
      </c>
      <c r="BJ27" s="77">
        <f>COUNTIF(A27:AI27,"*$AM*")</f>
        <v/>
      </c>
      <c r="BK27" s="77">
        <f>BJ27*0.5</f>
        <v/>
      </c>
      <c r="BL27" s="77">
        <f>COUNTIF(A27:AI27,"*$FC*")</f>
        <v/>
      </c>
      <c r="BM27" s="77">
        <f>BL27*1</f>
        <v/>
      </c>
      <c r="BN27" s="77">
        <f>(BB27-10)</f>
        <v/>
      </c>
      <c r="BO27" s="77">
        <f>COUNTIF($E27:$AB27,BO$4)</f>
        <v/>
      </c>
      <c r="BP27" s="77">
        <f>COUNTIF($E27:$AB27,BP$4)</f>
        <v/>
      </c>
      <c r="BQ27" s="77">
        <f>COUNTIF($E27:$AB27,BQ$4)</f>
        <v/>
      </c>
      <c r="BR27" s="77" t="n"/>
    </row>
    <row r="28" hidden="1" ht="47.25" customHeight="1">
      <c r="A28" s="74" t="n"/>
      <c r="B28" s="76" t="inlineStr">
        <is>
          <t>LCP MACASERO TROY ADRIAN LARUMBE</t>
        </is>
      </c>
      <c r="C28" s="76" t="n"/>
      <c r="D28" s="110" t="n"/>
      <c r="E28" s="110" t="n"/>
      <c r="F28" s="110" t="n"/>
      <c r="G28" s="110" t="n"/>
      <c r="H28" s="110" t="n"/>
      <c r="I28" s="110" t="n"/>
      <c r="J28" s="110" t="n"/>
      <c r="K28" s="110" t="n"/>
      <c r="L28" s="110" t="n"/>
      <c r="M28" s="110" t="n"/>
      <c r="N28" s="110" t="n"/>
      <c r="O28" s="110" t="n"/>
      <c r="P28" s="110" t="n"/>
      <c r="Q28" s="110" t="n"/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  <c r="AI28" s="74">
        <f>COUNTIF($D28:$AG28,AI$4)</f>
        <v/>
      </c>
      <c r="AJ28" s="74">
        <f>COUNTIF($D28:$AG28,AJ$4)</f>
        <v/>
      </c>
      <c r="AK28" s="74">
        <f>COUNTIF($D28:$AG28,AK$4)</f>
        <v/>
      </c>
      <c r="AL28" s="74">
        <f>COUNTIF($D28:$AG28,AL$4)</f>
        <v/>
      </c>
      <c r="AM28" s="74">
        <f>COUNTIF($D28:$AG28,AM$4)</f>
        <v/>
      </c>
      <c r="AN28" s="74">
        <f>COUNTIF($D28:$AG28,AN$4)</f>
        <v/>
      </c>
      <c r="AO28" s="74">
        <f>COUNTIF($D28:$AG28,AO$4)</f>
        <v/>
      </c>
      <c r="AP28" s="74">
        <f>COUNTIF($D28:$AG28,AP$4)</f>
        <v/>
      </c>
      <c r="AQ28" s="74">
        <f>COUNTIF($D28:$AG28,AQ$4)</f>
        <v/>
      </c>
      <c r="AR28" s="76" t="n"/>
      <c r="AS28" s="76" t="n">
        <v>1</v>
      </c>
      <c r="AT28" s="74">
        <f>SUMPRODUCT(--(WEEKDAY(D$3:AH$3,2)&lt;5),--ISNUMBER(MATCH(D28:AH28,{"DM","CS1","CS2","SB1","AE","CS/B"},0)))</f>
        <v/>
      </c>
      <c r="AU28" s="74" t="n"/>
      <c r="AV28" s="74">
        <f>SUMPRODUCT(--(WEEKDAY(D$3:AH$3,2)=5),--ISNUMBER(MATCH(D28:AH28,{"DM","CS1","CS2","SB1","AE","CS/B","WEEKEND OUTFIELD RESERVE"},0)))</f>
        <v/>
      </c>
      <c r="AW28" s="74">
        <f>SUMPRODUCT(--(WEEKDAY(D$3:AH$3,2)&gt;5),--ISNUMBER(MATCH(D28:AH28,{"DM","CS1","CS2","SB1","AE","CS/B","WEEKEND OUTFIELD RESERVE"},0)))</f>
        <v/>
      </c>
      <c r="AX28" s="74" t="n"/>
      <c r="AY28" s="74">
        <f>(AT28-AU28)+AV28*1.5+(AW28-AX28)*2+AN28*0.5+AP28*0.5+AR28-AS28</f>
        <v/>
      </c>
      <c r="AZ28" s="74">
        <f>AT28+AV28+AW28</f>
        <v/>
      </c>
      <c r="BA28" s="74">
        <f>BD28+BF28+BH28+BJ28+BL28</f>
        <v/>
      </c>
      <c r="BB28" s="76">
        <f>AY28+BC28</f>
        <v/>
      </c>
      <c r="BC28" s="74">
        <f>BE28+BG28+BI28+BK28+BM28</f>
        <v/>
      </c>
      <c r="BD28" s="74">
        <f>COUNTIF(A28:AI28,"*$BTP*")</f>
        <v/>
      </c>
      <c r="BE28" s="74">
        <f>BD28*1.5</f>
        <v/>
      </c>
      <c r="BF28" s="74">
        <f>COUNTIF(A28:AI28,"*$M*")</f>
        <v/>
      </c>
      <c r="BG28" s="74">
        <f>BF28*1</f>
        <v/>
      </c>
      <c r="BH28" s="74">
        <f>COUNTIF(A28:AI28,"*$PM*")</f>
        <v/>
      </c>
      <c r="BI28" s="74">
        <f>BH28*0.5</f>
        <v/>
      </c>
      <c r="BJ28" s="74">
        <f>COUNTIF(A28:AI28,"*$AM*")</f>
        <v/>
      </c>
      <c r="BK28" s="74">
        <f>BJ28*0.5</f>
        <v/>
      </c>
      <c r="BL28" s="74">
        <f>COUNTIF(A28:AI28,"*$FC*")</f>
        <v/>
      </c>
      <c r="BM28" s="74">
        <f>BL28*1</f>
        <v/>
      </c>
      <c r="BN28" s="74">
        <f>(BB28-10)</f>
        <v/>
      </c>
      <c r="BO28" s="74">
        <f>COUNTIF($E28:$AB28,BO$4)</f>
        <v/>
      </c>
      <c r="BP28" s="74">
        <f>COUNTIF($E28:$AB28,BP$4)</f>
        <v/>
      </c>
      <c r="BQ28" s="74">
        <f>COUNTIF($E28:$AB28,BQ$4)</f>
        <v/>
      </c>
      <c r="BR28" s="74" t="n"/>
    </row>
    <row r="29" ht="19.5" customHeight="1">
      <c r="A29" s="77" t="n"/>
      <c r="B29" s="76" t="inlineStr">
        <is>
          <t>LCP MUHAMAD ZULKHAIRI BIN MOHAMAD SAPARI</t>
        </is>
      </c>
      <c r="C29" s="146">
        <f>COUNTIF(D29:AG29,"DM")</f>
        <v/>
      </c>
      <c r="D29" s="107" t="n"/>
      <c r="E29" s="107" t="n"/>
      <c r="F29" s="107" t="n"/>
      <c r="G29" s="107" t="inlineStr">
        <is>
          <t>DM</t>
        </is>
      </c>
      <c r="H29" s="107" t="n"/>
      <c r="I29" s="107" t="inlineStr">
        <is>
          <t>CS2</t>
        </is>
      </c>
      <c r="J29" s="107" t="n"/>
      <c r="K29" s="107" t="n"/>
      <c r="L29" s="107" t="inlineStr">
        <is>
          <t>SB1</t>
        </is>
      </c>
      <c r="M29" s="107" t="n"/>
      <c r="N29" s="107" t="n"/>
      <c r="O29" s="75" t="inlineStr">
        <is>
          <t>D $PM 8KM RM (1400-2300)</t>
        </is>
      </c>
      <c r="P29" s="141" t="inlineStr">
        <is>
          <t>AMPT</t>
        </is>
      </c>
      <c r="R29" s="107" t="n"/>
      <c r="S29" s="141" t="n"/>
      <c r="T29" s="107" t="n"/>
      <c r="U29" s="107" t="n"/>
      <c r="W29" s="107" t="n"/>
      <c r="Y29" s="107" t="n"/>
      <c r="Z29" s="107" t="n"/>
      <c r="AA29" s="107" t="n"/>
      <c r="AC29" s="107" t="n"/>
      <c r="AD29" s="107" t="n"/>
      <c r="AF29" s="107" t="n"/>
      <c r="AG29" s="107" t="n"/>
      <c r="AH29" s="107" t="n"/>
      <c r="AI29" s="77">
        <f>COUNTIF($D29:$AG29,AI$4)</f>
        <v/>
      </c>
      <c r="AJ29" s="77">
        <f>COUNTIF($D29:$AG29,AJ$4)</f>
        <v/>
      </c>
      <c r="AK29" s="77">
        <f>COUNTIF($D29:$AG29,AK$4)</f>
        <v/>
      </c>
      <c r="AL29" s="77">
        <f>COUNTIF($D29:$AG29,AL$4)</f>
        <v/>
      </c>
      <c r="AM29" s="77">
        <f>COUNTIF($D29:$AG29,AM$4)</f>
        <v/>
      </c>
      <c r="AN29" s="77">
        <f>COUNTIF($D29:$AG29,AN$4)</f>
        <v/>
      </c>
      <c r="AO29" s="77">
        <f>COUNTIF($D29:$AG29,AO$4)</f>
        <v/>
      </c>
      <c r="AP29" s="77">
        <f>COUNTIF($D29:$AG29,AP$4)</f>
        <v/>
      </c>
      <c r="AQ29" s="77">
        <f>COUNTIF($D29:$AG29,AQ$4)</f>
        <v/>
      </c>
      <c r="AR29" s="76" t="n"/>
      <c r="AS29" s="76" t="n"/>
      <c r="AT29" s="77">
        <f>SUMPRODUCT(--(WEEKDAY(D$3:AH$3,2)&lt;5),--ISNUMBER(MATCH(D29:AH29,{"DM","CS1","CS2","SB1","AE","CS/B"},0)))</f>
        <v/>
      </c>
      <c r="AU29" s="77" t="n"/>
      <c r="AV29" s="77">
        <f>SUMPRODUCT(--(WEEKDAY(D$3:AH$3,2)=5),--ISNUMBER(MATCH(D29:AH29,{"DM","CS1","CS2","SB1","AE","CS/B","WEEKEND OUTFIELD RESERVE"},0)))</f>
        <v/>
      </c>
      <c r="AW29" s="77">
        <f>SUMPRODUCT(--(WEEKDAY(D$3:AH$3,2)&gt;5),--ISNUMBER(MATCH(D29:AH29,{"DM","CS1","CS2","SB1","AE","CS/B","WEEKEND OUTFIELD RESERVE"},0)))</f>
        <v/>
      </c>
      <c r="AX29" s="77" t="n"/>
      <c r="AY29" s="77">
        <f>(AT29-AU29)+AV29*1.5+(AW29-AX29)*2+AN29*0.5+AP29*0.5+AR29-AS29</f>
        <v/>
      </c>
      <c r="AZ29" s="77">
        <f>AT29+AV29+AW29</f>
        <v/>
      </c>
      <c r="BA29" s="77">
        <f>BD29+BF29+BH29+BJ29+BL29</f>
        <v/>
      </c>
      <c r="BB29" s="76">
        <f>AY29+BC29</f>
        <v/>
      </c>
      <c r="BC29" s="77">
        <f>BE29+BG29+BI29+BK29+BM29</f>
        <v/>
      </c>
      <c r="BD29" s="77">
        <f>COUNTIF(A29:AI29,"*$BTP*")</f>
        <v/>
      </c>
      <c r="BE29" s="77">
        <f>BD29*1.5</f>
        <v/>
      </c>
      <c r="BF29" s="77">
        <f>COUNTIF(A29:AI29,"*$M*")</f>
        <v/>
      </c>
      <c r="BG29" s="77">
        <f>BF29*1</f>
        <v/>
      </c>
      <c r="BH29" s="77">
        <f>COUNTIF(A29:AI29,"*$PM*")</f>
        <v/>
      </c>
      <c r="BI29" s="77">
        <f>BH29*0.5</f>
        <v/>
      </c>
      <c r="BJ29" s="77">
        <f>COUNTIF(A29:AI29,"*$AM*")</f>
        <v/>
      </c>
      <c r="BK29" s="77">
        <f>BJ29*0.5</f>
        <v/>
      </c>
      <c r="BL29" s="77">
        <f>COUNTIF(A29:AI29,"*$FC*")</f>
        <v/>
      </c>
      <c r="BM29" s="77">
        <f>BL29*1</f>
        <v/>
      </c>
      <c r="BN29" s="77">
        <f>(BB29-10)</f>
        <v/>
      </c>
      <c r="BO29" s="77">
        <f>COUNTIF($E29:$AA29,BO$4)</f>
        <v/>
      </c>
      <c r="BP29" s="77">
        <f>COUNTIF($E29:$AA29,BP$4)</f>
        <v/>
      </c>
      <c r="BQ29" s="77">
        <f>COUNTIF($E29:$AA29,BQ$4)</f>
        <v/>
      </c>
      <c r="BR29" s="77" t="n"/>
    </row>
    <row r="30" ht="48.75" customHeight="1">
      <c r="A30" s="74" t="n"/>
      <c r="B30" s="76" t="inlineStr">
        <is>
          <t>LCP MUHAMMAD YASIR BIN MUHAMMAD HIJAZ</t>
        </is>
      </c>
      <c r="C30" s="76" t="n"/>
      <c r="D30" s="110" t="n"/>
      <c r="E30" s="110" t="n"/>
      <c r="F30" s="110" t="n"/>
      <c r="G30" s="110" t="n"/>
      <c r="H30" s="110" t="inlineStr">
        <is>
          <t>HQ $AM IPPT (0530-1100)</t>
        </is>
      </c>
      <c r="I30" s="110" t="inlineStr">
        <is>
          <t>SB2</t>
        </is>
      </c>
      <c r="J30" s="143" t="n"/>
      <c r="K30" s="110" t="inlineStr">
        <is>
          <t>CS2</t>
        </is>
      </c>
      <c r="L30" s="110" t="n"/>
      <c r="M30" s="110" t="n"/>
      <c r="N30" s="110" t="n"/>
      <c r="O30" s="110" t="n"/>
      <c r="R30" s="110" t="n"/>
      <c r="S30" s="110" t="inlineStr">
        <is>
          <t>CS1</t>
        </is>
      </c>
      <c r="T30" s="110" t="n"/>
      <c r="U30" s="110" t="n"/>
      <c r="V30" s="110" t="inlineStr">
        <is>
          <t>F $M BIC (0500-2300)</t>
        </is>
      </c>
      <c r="W30" s="110" t="inlineStr">
        <is>
          <t>SB2</t>
        </is>
      </c>
      <c r="X30" s="110" t="inlineStr">
        <is>
          <t>CS/B</t>
        </is>
      </c>
      <c r="Y30" s="110" t="n"/>
      <c r="Z30" s="110" t="n"/>
      <c r="AA30" s="110" t="n"/>
      <c r="AB30" s="110" t="n"/>
      <c r="AC30" s="110" t="n"/>
      <c r="AD30" s="110" t="n"/>
      <c r="AE30" s="110" t="inlineStr">
        <is>
          <t>CS/B</t>
        </is>
      </c>
      <c r="AF30" s="147" t="inlineStr">
        <is>
          <t>SB2</t>
        </is>
      </c>
      <c r="AG30" s="147" t="n"/>
      <c r="AH30" s="110" t="n"/>
      <c r="AI30" s="74">
        <f>COUNTIF($D30:$AG30,AI$4)</f>
        <v/>
      </c>
      <c r="AJ30" s="74">
        <f>COUNTIF($D30:$AG30,AJ$4)</f>
        <v/>
      </c>
      <c r="AK30" s="74">
        <f>COUNTIF($D30:$AG30,AK$4)</f>
        <v/>
      </c>
      <c r="AL30" s="74">
        <f>COUNTIF($D30:$AG30,AL$4)</f>
        <v/>
      </c>
      <c r="AM30" s="74">
        <f>COUNTIF($D30:$AG30,AM$4)</f>
        <v/>
      </c>
      <c r="AN30" s="74">
        <f>COUNTIF($D30:$AG30,AN$4)</f>
        <v/>
      </c>
      <c r="AO30" s="74">
        <f>COUNTIF($D30:$AG30,AO$4)</f>
        <v/>
      </c>
      <c r="AP30" s="74">
        <f>COUNTIF($D30:$AG30,AP$4)</f>
        <v/>
      </c>
      <c r="AQ30" s="74">
        <f>COUNTIF($D30:$AG30,AQ$4)</f>
        <v/>
      </c>
      <c r="AR30" s="76" t="n"/>
      <c r="AS30" s="76" t="n">
        <v>0.5</v>
      </c>
      <c r="AT30" s="74">
        <f>SUMPRODUCT(--(WEEKDAY(D$3:AH$3,2)&lt;5),--ISNUMBER(MATCH(D30:AH30,{"DM","CS1","CS2","SB1","AE","CS/B"},0)))</f>
        <v/>
      </c>
      <c r="AU30" s="74" t="n"/>
      <c r="AV30" s="74">
        <f>SUMPRODUCT(--(WEEKDAY(D$3:AH$3,2)=5),--ISNUMBER(MATCH(D30:AH30,{"DM","CS1","CS2","SB1","AE","CS/B","WEEKEND OUTFIELD RESERVE"},0)))</f>
        <v/>
      </c>
      <c r="AW30" s="74">
        <f>SUMPRODUCT(--(WEEKDAY(D$3:AH$3,2)&gt;5),--ISNUMBER(MATCH(D30:AH30,{"DM","CS1","CS2","SB1","AE","CS/B","WEEKEND OUTFIELD RESERVE"},0)))</f>
        <v/>
      </c>
      <c r="AX30" s="74" t="n"/>
      <c r="AY30" s="74">
        <f>(AT30-AU30)+AV30*1.5+(AW30-AX30)*2+AN30*0.5+AP30*0.5+AR30-AS30</f>
        <v/>
      </c>
      <c r="AZ30" s="74">
        <f>AT30+AV30+AW30</f>
        <v/>
      </c>
      <c r="BA30" s="74">
        <f>BD30+BF30+BH30+BJ30+BL30</f>
        <v/>
      </c>
      <c r="BB30" s="76">
        <f>AY30+BC30</f>
        <v/>
      </c>
      <c r="BC30" s="74">
        <f>BE30+BG30+BI30+BK30+BM30</f>
        <v/>
      </c>
      <c r="BD30" s="74">
        <f>COUNTIF(A30:AI30,"*$BTP*")</f>
        <v/>
      </c>
      <c r="BE30" s="74">
        <f>BD30*1.5</f>
        <v/>
      </c>
      <c r="BF30" s="74">
        <f>COUNTIF(A30:AI30,"*$M*")</f>
        <v/>
      </c>
      <c r="BG30" s="74">
        <f>BF30*1</f>
        <v/>
      </c>
      <c r="BH30" s="74">
        <f>COUNTIF(A30:AI30,"*$PM*")</f>
        <v/>
      </c>
      <c r="BI30" s="74">
        <f>BH30*0.5</f>
        <v/>
      </c>
      <c r="BJ30" s="74">
        <f>COUNTIF(A30:AI30,"*$AM*")</f>
        <v/>
      </c>
      <c r="BK30" s="74">
        <f>BJ30*0.5</f>
        <v/>
      </c>
      <c r="BL30" s="74">
        <f>COUNTIF(A30:AI30,"*$FC*")</f>
        <v/>
      </c>
      <c r="BM30" s="74">
        <f>BL30*1</f>
        <v/>
      </c>
      <c r="BN30" s="74">
        <f>(BB30-10)</f>
        <v/>
      </c>
      <c r="BO30" s="74">
        <f>COUNTIF($E30:$AB30,BO$4)</f>
        <v/>
      </c>
      <c r="BP30" s="74">
        <f>COUNTIF($E30:$AB30,BP$4)</f>
        <v/>
      </c>
      <c r="BQ30" s="74">
        <f>COUNTIF($E30:$AB30,BQ$4)</f>
        <v/>
      </c>
      <c r="BR30" s="74" t="n"/>
    </row>
    <row r="31" ht="19.5" customHeight="1">
      <c r="A31" s="77" t="n"/>
      <c r="B31" s="76" t="inlineStr">
        <is>
          <t xml:space="preserve">LCP RON NG </t>
        </is>
      </c>
      <c r="C31" s="76" t="n"/>
      <c r="D31" s="107" t="n"/>
      <c r="E31" s="107" t="inlineStr">
        <is>
          <t>SB1</t>
        </is>
      </c>
      <c r="F31" s="107" t="n"/>
      <c r="G31" s="107" t="n"/>
      <c r="H31" s="107" t="inlineStr">
        <is>
          <t>COVER RESERVE</t>
        </is>
      </c>
      <c r="I31" s="107" t="n"/>
      <c r="J31" s="107" t="inlineStr">
        <is>
          <t>OUTFIELD RESERVE</t>
        </is>
      </c>
      <c r="K31" s="107" t="n"/>
      <c r="L31" s="107" t="n"/>
      <c r="M31" s="107" t="n"/>
      <c r="N31" s="107" t="n"/>
      <c r="O31" s="107" t="inlineStr">
        <is>
          <t>S $AM IPPT (1530-1830)</t>
        </is>
      </c>
      <c r="P31" s="107" t="inlineStr">
        <is>
          <t>SB1</t>
        </is>
      </c>
      <c r="Q31" s="107" t="inlineStr">
        <is>
          <t>OUTFIELD RESERVE</t>
        </is>
      </c>
      <c r="R31" s="107" t="inlineStr">
        <is>
          <t>SB2</t>
        </is>
      </c>
      <c r="S31" s="107" t="n"/>
      <c r="T31" s="107" t="n"/>
      <c r="U31" s="107" t="inlineStr">
        <is>
          <t>MC</t>
        </is>
      </c>
      <c r="V31" s="107" t="inlineStr">
        <is>
          <t>MC</t>
        </is>
      </c>
      <c r="W31" s="107" t="inlineStr">
        <is>
          <t>MC</t>
        </is>
      </c>
      <c r="X31" s="107" t="inlineStr">
        <is>
          <t>MC</t>
        </is>
      </c>
      <c r="Y31" s="107" t="inlineStr">
        <is>
          <t>MC</t>
        </is>
      </c>
      <c r="Z31" s="141" t="n"/>
      <c r="AA31" s="107" t="inlineStr">
        <is>
          <t>CS1</t>
        </is>
      </c>
      <c r="AB31" s="107" t="inlineStr">
        <is>
          <t>SKILLSFUTURE</t>
        </is>
      </c>
      <c r="AC31" s="107" t="inlineStr">
        <is>
          <t>HQ $PM TPP IPPT (1430-1830)</t>
        </is>
      </c>
      <c r="AD31" s="107" t="inlineStr">
        <is>
          <t>CS2</t>
        </is>
      </c>
      <c r="AE31" s="107" t="n"/>
      <c r="AF31" s="107" t="n"/>
      <c r="AG31" s="141" t="n"/>
      <c r="AH31" s="107" t="n"/>
      <c r="AI31" s="77">
        <f>COUNTIF($D31:$AG31,AI$4)</f>
        <v/>
      </c>
      <c r="AJ31" s="77">
        <f>COUNTIF($D31:$AG31,AJ$4)</f>
        <v/>
      </c>
      <c r="AK31" s="77">
        <f>COUNTIF($D31:$AG31,AK$4)</f>
        <v/>
      </c>
      <c r="AL31" s="77">
        <f>COUNTIF($D31:$AG31,AL$4)</f>
        <v/>
      </c>
      <c r="AM31" s="77">
        <f>COUNTIF($D31:$AG31,AM$4)</f>
        <v/>
      </c>
      <c r="AN31" s="77">
        <f>COUNTIF($D31:$AG31,AN$4)</f>
        <v/>
      </c>
      <c r="AO31" s="77">
        <f>COUNTIF($D31:$AG31,AO$4)</f>
        <v/>
      </c>
      <c r="AP31" s="77">
        <f>COUNTIF($D31:$AG31,AP$4)</f>
        <v/>
      </c>
      <c r="AQ31" s="77">
        <f>COUNTIF($D31:$AG31,AQ$4)</f>
        <v/>
      </c>
      <c r="AR31" s="76" t="n"/>
      <c r="AS31" s="76" t="n">
        <v>1.5</v>
      </c>
      <c r="AT31" s="77">
        <f>SUMPRODUCT(--(WEEKDAY(D$3:AH$3,2)&lt;5),--ISNUMBER(MATCH(D31:AH31,{"DM","CS1","CS2","SB1","AE","CS/B"},0)))</f>
        <v/>
      </c>
      <c r="AU31" s="77" t="n"/>
      <c r="AV31" s="77">
        <f>SUMPRODUCT(--(WEEKDAY(D$3:AH$3,2)=5),--ISNUMBER(MATCH(D31:AH31,{"DM","CS1","CS2","SB1","AE","CS/B","WEEKEND OUTFIELD RESERVE"},0)))</f>
        <v/>
      </c>
      <c r="AW31" s="77">
        <f>SUMPRODUCT(--(WEEKDAY(D$3:AH$3,2)&gt;5),--ISNUMBER(MATCH(D31:AH31,{"DM","CS1","CS2","SB1","AE","CS/B","WEEKEND OUTFIELD RESERVE"},0)))</f>
        <v/>
      </c>
      <c r="AX31" s="77" t="n"/>
      <c r="AY31" s="77">
        <f>(AT31-AU31)+AV31*1.5+(AW31-AX31)*2+AN31*0.5+AP31*0.5+AR31-AS31</f>
        <v/>
      </c>
      <c r="AZ31" s="77">
        <f>AT31+AV31+AW31</f>
        <v/>
      </c>
      <c r="BA31" s="77">
        <f>BD31+BF31+BH31+BJ31+BL31</f>
        <v/>
      </c>
      <c r="BB31" s="76">
        <f>AY31+BC31</f>
        <v/>
      </c>
      <c r="BC31" s="77">
        <f>BE31+BG31+BI31+BK31+BM31</f>
        <v/>
      </c>
      <c r="BD31" s="77">
        <f>COUNTIF(A31:AI31,"*$BTP*")</f>
        <v/>
      </c>
      <c r="BE31" s="77">
        <f>BD31*1.5</f>
        <v/>
      </c>
      <c r="BF31" s="77">
        <f>COUNTIF(A31:AI31,"*$M*")</f>
        <v/>
      </c>
      <c r="BG31" s="77">
        <f>BF31*1</f>
        <v/>
      </c>
      <c r="BH31" s="77">
        <f>COUNTIF(A31:AI31,"*$PM*")</f>
        <v/>
      </c>
      <c r="BI31" s="77">
        <f>BH31*0.5</f>
        <v/>
      </c>
      <c r="BJ31" s="77">
        <f>COUNTIF(A31:AI31,"*$AM*")</f>
        <v/>
      </c>
      <c r="BK31" s="77">
        <f>BJ31*0.5</f>
        <v/>
      </c>
      <c r="BL31" s="77">
        <f>COUNTIF(A31:AI31,"*$FC*")</f>
        <v/>
      </c>
      <c r="BM31" s="77">
        <f>BL31*1</f>
        <v/>
      </c>
      <c r="BN31" s="77">
        <f>(BB31-10)</f>
        <v/>
      </c>
      <c r="BO31" s="77">
        <f>COUNTIF($E31:$AA31,BO$4)</f>
        <v/>
      </c>
      <c r="BP31" s="77">
        <f>COUNTIF($E31:$AA31,BP$4)</f>
        <v/>
      </c>
      <c r="BQ31" s="77">
        <f>COUNTIF($E31:$AA31,BQ$4)</f>
        <v/>
      </c>
      <c r="BR31" s="77" t="n"/>
    </row>
    <row r="32" ht="19.5" customHeight="1">
      <c r="A32" s="74" t="n"/>
      <c r="B32" s="76" t="inlineStr">
        <is>
          <t>LCP TRAN MINH KHOA</t>
        </is>
      </c>
      <c r="C32" s="76" t="n"/>
      <c r="D32" s="110" t="n"/>
      <c r="E32" s="110" t="n"/>
      <c r="F32" s="110" t="n"/>
      <c r="G32" s="110" t="inlineStr">
        <is>
          <t>FC WEEKEND OIL</t>
        </is>
      </c>
      <c r="H32" s="110" t="n"/>
      <c r="I32" s="110" t="inlineStr">
        <is>
          <t>CS1</t>
        </is>
      </c>
      <c r="J32" s="110" t="n"/>
      <c r="K32" s="110" t="n"/>
      <c r="L32" s="110" t="inlineStr">
        <is>
          <t>CS2</t>
        </is>
      </c>
      <c r="M32" s="110" t="n"/>
      <c r="N32" s="110" t="inlineStr">
        <is>
          <t>D $M BIC (0500-2300)</t>
        </is>
      </c>
      <c r="O32" s="110" t="n"/>
      <c r="P32" s="110" t="inlineStr">
        <is>
          <t>CS1</t>
        </is>
      </c>
      <c r="Q32" s="110" t="n"/>
      <c r="R32" s="110" t="inlineStr">
        <is>
          <t>D $AM IPPT (0500-1100)</t>
        </is>
      </c>
      <c r="S32" s="110" t="n"/>
      <c r="T32" s="110" t="n"/>
      <c r="U32" s="110" t="inlineStr">
        <is>
          <t>CS/B</t>
        </is>
      </c>
      <c r="V32" s="147" t="inlineStr">
        <is>
          <t>mc</t>
        </is>
      </c>
      <c r="W32" s="147" t="inlineStr">
        <is>
          <t>mc</t>
        </is>
      </c>
      <c r="Y32" s="110" t="inlineStr">
        <is>
          <t>S $AM RE-IPPT (0500-1000)</t>
        </is>
      </c>
      <c r="Z32" s="142" t="inlineStr">
        <is>
          <t>CS2</t>
        </is>
      </c>
      <c r="AA32" s="147" t="n"/>
      <c r="AB32" s="110" t="inlineStr">
        <is>
          <t>SKILLSFUTURE</t>
        </is>
      </c>
      <c r="AC32" s="110" t="n"/>
      <c r="AE32" s="110" t="n"/>
      <c r="AF32" s="110" t="n"/>
      <c r="AG32" s="110" t="inlineStr">
        <is>
          <t>CS1</t>
        </is>
      </c>
      <c r="AH32" s="110" t="n"/>
      <c r="AI32" s="74">
        <f>COUNTIF($D32:$AG32,AI$4)</f>
        <v/>
      </c>
      <c r="AJ32" s="74">
        <f>COUNTIF($D32:$AG32,AJ$4)</f>
        <v/>
      </c>
      <c r="AK32" s="74">
        <f>COUNTIF($D32:$AG32,AK$4)</f>
        <v/>
      </c>
      <c r="AL32" s="74">
        <f>COUNTIF($D32:$AG32,AL$4)</f>
        <v/>
      </c>
      <c r="AM32" s="74">
        <f>COUNTIF($D32:$AG32,AM$4)</f>
        <v/>
      </c>
      <c r="AN32" s="74">
        <f>COUNTIF($D32:$AG32,AN$4)</f>
        <v/>
      </c>
      <c r="AO32" s="74">
        <f>COUNTIF($D32:$AG32,AO$4)</f>
        <v/>
      </c>
      <c r="AP32" s="74">
        <f>COUNTIF($D32:$AG32,AP$4)</f>
        <v/>
      </c>
      <c r="AQ32" s="74">
        <f>COUNTIF($D32:$AG32,AQ$4)</f>
        <v/>
      </c>
      <c r="AR32" s="76" t="n"/>
      <c r="AS32" s="76" t="n"/>
      <c r="AT32" s="74">
        <f>SUMPRODUCT(--(WEEKDAY(D$3:AH$3,2)&lt;5),--ISNUMBER(MATCH(D32:AH32,{"DM","CS1","CS2","SB1","AE","CS/B"},0)))</f>
        <v/>
      </c>
      <c r="AU32" s="74" t="n"/>
      <c r="AV32" s="74">
        <f>SUMPRODUCT(--(WEEKDAY(D$3:AH$3,2)=5),--ISNUMBER(MATCH(D32:AH32,{"DM","CS1","CS2","SB1","AE","CS/B","WEEKEND OUTFIELD RESERVE"},0)))</f>
        <v/>
      </c>
      <c r="AW32" s="74">
        <f>SUMPRODUCT(--(WEEKDAY(D$3:AH$3,2)&gt;5),--ISNUMBER(MATCH(D32:AH32,{"DM","CS1","CS2","SB1","AE","CS/B","WEEKEND OUTFIELD RESERVE"},0)))</f>
        <v/>
      </c>
      <c r="AX32" s="74" t="n"/>
      <c r="AY32" s="74">
        <f>(AT32-AU32)+AV32*1.5+(AW32-AX32)*2+AN32*0.5+AP32*0.5+AR32-AS32</f>
        <v/>
      </c>
      <c r="AZ32" s="74">
        <f>AT32+AV32+AW32</f>
        <v/>
      </c>
      <c r="BA32" s="74">
        <f>BD32+BF32+BH32+BJ32+BL32</f>
        <v/>
      </c>
      <c r="BB32" s="76">
        <f>AY32+BC32</f>
        <v/>
      </c>
      <c r="BC32" s="74">
        <f>BE32+BG32+BI32+BK32+BM32</f>
        <v/>
      </c>
      <c r="BD32" s="74">
        <f>COUNTIF(A32:AI32,"*$BTP*")</f>
        <v/>
      </c>
      <c r="BE32" s="74">
        <f>BD32*1.5</f>
        <v/>
      </c>
      <c r="BF32" s="74">
        <f>COUNTIF(A32:AI32,"*$M*")</f>
        <v/>
      </c>
      <c r="BG32" s="74">
        <f>BF32*1</f>
        <v/>
      </c>
      <c r="BH32" s="74">
        <f>COUNTIF(A32:AI32,"*$PM*")</f>
        <v/>
      </c>
      <c r="BI32" s="74">
        <f>BH32*0.5</f>
        <v/>
      </c>
      <c r="BJ32" s="74">
        <f>COUNTIF(A32:AI32,"*$AM*")</f>
        <v/>
      </c>
      <c r="BK32" s="74">
        <f>BJ32*0.5</f>
        <v/>
      </c>
      <c r="BL32" s="74">
        <f>COUNTIF(A32:AI32,"*$FC*")</f>
        <v/>
      </c>
      <c r="BM32" s="74">
        <f>BL32*1</f>
        <v/>
      </c>
      <c r="BN32" s="74">
        <f>(BB32-10)</f>
        <v/>
      </c>
      <c r="BO32" s="74">
        <f>COUNTIF($I32:$AB32,BO$4)</f>
        <v/>
      </c>
      <c r="BP32" s="74">
        <f>COUNTIF($I32:$AB32,BP$4)</f>
        <v/>
      </c>
      <c r="BQ32" s="74">
        <f>COUNTIF($I32:$AB32,BQ$4)</f>
        <v/>
      </c>
      <c r="BR32" s="74" t="n"/>
    </row>
    <row r="33" ht="51.75" customHeight="1">
      <c r="A33" s="77" t="n"/>
      <c r="B33" s="76" t="inlineStr">
        <is>
          <t xml:space="preserve">LCP STEPHEN TAY </t>
        </is>
      </c>
      <c r="C33" s="76" t="n"/>
      <c r="D33" s="107" t="n"/>
      <c r="E33" s="107" t="n"/>
      <c r="F33" s="107" t="n"/>
      <c r="H33" s="107" t="n"/>
      <c r="I33" s="107" t="inlineStr">
        <is>
          <t>RESERVE</t>
        </is>
      </c>
      <c r="J33" s="107" t="n"/>
      <c r="K33" s="107" t="inlineStr">
        <is>
          <t>SB1</t>
        </is>
      </c>
      <c r="L33" s="107" t="n"/>
      <c r="M33" s="107" t="n"/>
      <c r="N33" s="107" t="n"/>
      <c r="O33" s="107" t="inlineStr">
        <is>
          <t>SB1</t>
        </is>
      </c>
      <c r="P33" s="107" t="inlineStr">
        <is>
          <t>OUTFIELD RESERVE</t>
        </is>
      </c>
      <c r="Q33" s="107" t="inlineStr">
        <is>
          <t>SB2</t>
        </is>
      </c>
      <c r="S33" s="107" t="inlineStr">
        <is>
          <t>SB1</t>
        </is>
      </c>
      <c r="T33" s="107" t="n"/>
      <c r="U33" s="107" t="n"/>
      <c r="V33" s="107" t="inlineStr">
        <is>
          <t>AE</t>
        </is>
      </c>
      <c r="X33" s="107" t="inlineStr">
        <is>
          <t>AE</t>
        </is>
      </c>
      <c r="Z33" s="148" t="inlineStr">
        <is>
          <t>SB1</t>
        </is>
      </c>
      <c r="AA33" s="107" t="n"/>
      <c r="AB33" s="107" t="inlineStr">
        <is>
          <t>SKILLSFUTURE</t>
        </is>
      </c>
      <c r="AC33" s="107" t="inlineStr">
        <is>
          <t>RESERVE</t>
        </is>
      </c>
      <c r="AE33" s="107" t="inlineStr">
        <is>
          <t>AE</t>
        </is>
      </c>
      <c r="AG33" s="107" t="n"/>
      <c r="AH33" s="141" t="n"/>
      <c r="AI33" s="77">
        <f>COUNTIF($D33:$AG33,AI$4)</f>
        <v/>
      </c>
      <c r="AJ33" s="77">
        <f>COUNTIF($D33:$AG33,AJ$4)</f>
        <v/>
      </c>
      <c r="AK33" s="77">
        <f>COUNTIF($D33:$AG33,AK$4)</f>
        <v/>
      </c>
      <c r="AL33" s="77">
        <f>COUNTIF($D33:$AG33,AL$4)</f>
        <v/>
      </c>
      <c r="AM33" s="77">
        <f>COUNTIF($D33:$AG33,AM$4)</f>
        <v/>
      </c>
      <c r="AN33" s="77">
        <f>COUNTIF($D33:$AG33,AN$4)</f>
        <v/>
      </c>
      <c r="AO33" s="77">
        <f>COUNTIF($D33:$AG33,AO$4)</f>
        <v/>
      </c>
      <c r="AP33" s="77">
        <f>COUNTIF($D33:$AG33,AP$4)</f>
        <v/>
      </c>
      <c r="AQ33" s="77">
        <f>COUNTIF($D33:$AG33,AQ$4)</f>
        <v/>
      </c>
      <c r="AR33" s="76" t="n">
        <v>1.5</v>
      </c>
      <c r="AS33" s="76" t="n"/>
      <c r="AT33" s="77">
        <f>SUMPRODUCT(--(WEEKDAY(D$3:AH$3,2)&lt;5),--ISNUMBER(MATCH(D33:AH33,{"DM","CS1","CS2","SB1","AE","CS/B"},0)))</f>
        <v/>
      </c>
      <c r="AU33" s="77" t="n"/>
      <c r="AV33" s="77">
        <f>SUMPRODUCT(--(WEEKDAY(D$3:AH$3,2)=5),--ISNUMBER(MATCH(D33:AH33,{"DM","CS1","CS2","SB1","AE","CS/B","WEEKEND OUTFIELD RESERVE"},0)))</f>
        <v/>
      </c>
      <c r="AW33" s="77">
        <f>SUMPRODUCT(--(WEEKDAY(D$3:AH$3,2)&gt;5),--ISNUMBER(MATCH(D33:AH33,{"DM","CS1","CS2","SB1","AE","CS/B","WEEKEND OUTFIELD RESERVE"},0)))</f>
        <v/>
      </c>
      <c r="AX33" s="77" t="n"/>
      <c r="AY33" s="77">
        <f>(AT33-AU33)+AV33*1.5+(AW33-AX33)*2+AN33*0.5+AP33*0.5+AR33-AS33</f>
        <v/>
      </c>
      <c r="AZ33" s="77">
        <f>AT33+AV33+AW33</f>
        <v/>
      </c>
      <c r="BA33" s="77">
        <f>BD33+BF33+BH33+BJ33+BL33</f>
        <v/>
      </c>
      <c r="BB33" s="76">
        <f>AY33+BC33</f>
        <v/>
      </c>
      <c r="BC33" s="77">
        <f>BE33+BG33+BI33+BK33+BM33</f>
        <v/>
      </c>
      <c r="BD33" s="77">
        <f>COUNTIF(A33:AI33,"*$BTP*")</f>
        <v/>
      </c>
      <c r="BE33" s="77">
        <f>BD33*1.5</f>
        <v/>
      </c>
      <c r="BF33" s="77">
        <f>COUNTIF(A33:AI33,"*$M*")</f>
        <v/>
      </c>
      <c r="BG33" s="77">
        <f>BF33*1</f>
        <v/>
      </c>
      <c r="BH33" s="77">
        <f>COUNTIF(A33:AI33,"*$PM*")</f>
        <v/>
      </c>
      <c r="BI33" s="77">
        <f>BH33*0.5</f>
        <v/>
      </c>
      <c r="BJ33" s="77">
        <f>COUNTIF(A33:AI33,"*$AM*")</f>
        <v/>
      </c>
      <c r="BK33" s="77">
        <f>BJ33*0.5</f>
        <v/>
      </c>
      <c r="BL33" s="77">
        <f>COUNTIF(A33:AI33,"*$FC*")</f>
        <v/>
      </c>
      <c r="BM33" s="77">
        <f>BL33*1</f>
        <v/>
      </c>
      <c r="BN33" s="77">
        <f>(BB33-10)</f>
        <v/>
      </c>
      <c r="BO33" s="77">
        <f>COUNTIF($E33:$AA33,BO$4)</f>
        <v/>
      </c>
      <c r="BP33" s="77">
        <f>COUNTIF($E33:$AA33,BP$4)</f>
        <v/>
      </c>
      <c r="BQ33" s="77">
        <f>COUNTIF($E33:$AA33,BQ$4)</f>
        <v/>
      </c>
      <c r="BR33" s="77" t="n"/>
    </row>
    <row r="34" ht="19.5" customHeight="1">
      <c r="A34" s="74" t="n"/>
      <c r="B34" s="76" t="inlineStr">
        <is>
          <t xml:space="preserve">LCP EDWARD GAN BOON WEI </t>
        </is>
      </c>
      <c r="C34" s="76" t="n"/>
      <c r="D34" s="110" t="n"/>
      <c r="E34" s="110" t="inlineStr">
        <is>
          <t>CS2</t>
        </is>
      </c>
      <c r="F34" s="110" t="n"/>
      <c r="G34" s="110" t="inlineStr">
        <is>
          <t>OUTFIELD RESERVE</t>
        </is>
      </c>
      <c r="H34" s="110" t="n"/>
      <c r="I34" s="110" t="inlineStr">
        <is>
          <t>D $AM IPPT (0500-1100)</t>
        </is>
      </c>
      <c r="J34" s="110" t="inlineStr">
        <is>
          <t>CS1</t>
        </is>
      </c>
      <c r="K34" s="110" t="n"/>
      <c r="L34" s="110" t="inlineStr">
        <is>
          <t>COVER RESERVE</t>
        </is>
      </c>
      <c r="M34" s="110" t="n"/>
      <c r="N34" s="110" t="inlineStr">
        <is>
          <t>CS1</t>
        </is>
      </c>
      <c r="P34" s="110" t="n"/>
      <c r="Q34" s="110" t="inlineStr">
        <is>
          <t>CS/B</t>
        </is>
      </c>
      <c r="R34" s="110" t="n"/>
      <c r="S34" s="110" t="n"/>
      <c r="T34" s="110" t="n"/>
      <c r="U34" s="110" t="inlineStr">
        <is>
          <t>COVER RESERVE</t>
        </is>
      </c>
      <c r="V34" s="110" t="inlineStr">
        <is>
          <t>SB2</t>
        </is>
      </c>
      <c r="X34" s="110" t="inlineStr">
        <is>
          <t>CS1</t>
        </is>
      </c>
      <c r="Z34" s="110" t="n"/>
      <c r="AA34" s="110" t="inlineStr">
        <is>
          <t>CS/B</t>
        </is>
      </c>
      <c r="AB34" s="110" t="n"/>
      <c r="AC34" s="110" t="inlineStr">
        <is>
          <t>D $M RE-IFC (0700-1300)</t>
        </is>
      </c>
      <c r="AD34" s="110" t="n"/>
      <c r="AE34" s="110" t="n"/>
      <c r="AG34" s="110" t="n"/>
      <c r="AH34" s="110" t="n"/>
      <c r="AI34" s="74">
        <f>COUNTIF($D34:$AG34,AI$4)</f>
        <v/>
      </c>
      <c r="AJ34" s="74">
        <f>COUNTIF($D34:$AG34,AJ$4)</f>
        <v/>
      </c>
      <c r="AK34" s="74">
        <f>COUNTIF($D34:$AG34,AK$4)</f>
        <v/>
      </c>
      <c r="AL34" s="74">
        <f>COUNTIF($D34:$AG34,AL$4)</f>
        <v/>
      </c>
      <c r="AM34" s="74">
        <f>COUNTIF($D34:$AG34,AM$4)</f>
        <v/>
      </c>
      <c r="AN34" s="74">
        <f>COUNTIF($D34:$AG34,AN$4)</f>
        <v/>
      </c>
      <c r="AO34" s="74">
        <f>COUNTIF($D34:$AG34,AO$4)</f>
        <v/>
      </c>
      <c r="AP34" s="74">
        <f>COUNTIF($D34:$AG34,AP$4)</f>
        <v/>
      </c>
      <c r="AQ34" s="74">
        <f>COUNTIF($D34:$AG34,AQ$4)</f>
        <v/>
      </c>
      <c r="AR34" s="76" t="n"/>
      <c r="AS34" s="76" t="n">
        <v>0.5</v>
      </c>
      <c r="AT34" s="74">
        <f>SUMPRODUCT(--(WEEKDAY(D$3:AH$3,2)&lt;5),--ISNUMBER(MATCH(D34:AH34,{"DM","CS1","CS2","SB1","AE","CS/B"},0)))</f>
        <v/>
      </c>
      <c r="AU34" s="74" t="n"/>
      <c r="AV34" s="74">
        <f>SUMPRODUCT(--(WEEKDAY(D$3:AH$3,2)=5),--ISNUMBER(MATCH(D34:AH34,{"DM","CS1","CS2","SB1","AE","CS/B","WEEKEND OUTFIELD RESERVE"},0)))</f>
        <v/>
      </c>
      <c r="AW34" s="74">
        <f>SUMPRODUCT(--(WEEKDAY(D$3:AH$3,2)&gt;5),--ISNUMBER(MATCH(D34:AH34,{"DM","CS1","CS2","SB1","AE","CS/B","WEEKEND OUTFIELD RESERVE"},0)))</f>
        <v/>
      </c>
      <c r="AX34" s="74" t="n"/>
      <c r="AY34" s="74">
        <f>(AT34-AU34)+AV34*1.5+(AW34-AX34)*2+AN34*0.5+AP34*0.5+AR34-AS34</f>
        <v/>
      </c>
      <c r="AZ34" s="74">
        <f>AT34+AV34+AW34</f>
        <v/>
      </c>
      <c r="BA34" s="74">
        <f>BD34+BF34+BH34+BJ34+BL34</f>
        <v/>
      </c>
      <c r="BB34" s="76">
        <f>AY34+BC34</f>
        <v/>
      </c>
      <c r="BC34" s="74">
        <f>BE34+BG34+BI34+BK34+BM34</f>
        <v/>
      </c>
      <c r="BD34" s="74">
        <f>COUNTIF(A34:AI34,"*$BTP*")</f>
        <v/>
      </c>
      <c r="BE34" s="74">
        <f>BD34*1.5</f>
        <v/>
      </c>
      <c r="BF34" s="74">
        <f>COUNTIF(A34:AI34,"*$M*")</f>
        <v/>
      </c>
      <c r="BG34" s="74">
        <f>BF34*1</f>
        <v/>
      </c>
      <c r="BH34" s="74">
        <f>COUNTIF(A34:AI34,"*$PM*")</f>
        <v/>
      </c>
      <c r="BI34" s="74">
        <f>BH34*0.5</f>
        <v/>
      </c>
      <c r="BJ34" s="74">
        <f>COUNTIF(A34:AI34,"*$AM*")</f>
        <v/>
      </c>
      <c r="BK34" s="74">
        <f>BJ34*0.5</f>
        <v/>
      </c>
      <c r="BL34" s="74">
        <f>COUNTIF(A34:AI34,"*$FC*")</f>
        <v/>
      </c>
      <c r="BM34" s="74">
        <f>BL34*1</f>
        <v/>
      </c>
      <c r="BN34" s="74">
        <f>(BB34-10)</f>
        <v/>
      </c>
      <c r="BO34" s="74">
        <f>COUNTIF($E34:$AB34,BO$4)</f>
        <v/>
      </c>
      <c r="BP34" s="74">
        <f>COUNTIF($E34:$AB34,BP$4)</f>
        <v/>
      </c>
      <c r="BQ34" s="74">
        <f>COUNTIF($E34:$AB34,BQ$4)</f>
        <v/>
      </c>
      <c r="BR34" s="74" t="n"/>
    </row>
    <row r="35" ht="19.5" customHeight="1">
      <c r="A35" s="77" t="n"/>
      <c r="B35" s="76" t="inlineStr">
        <is>
          <t>LCP RAIYAN ZUFAYRI BIN MOHAMAD HELMY</t>
        </is>
      </c>
      <c r="C35" s="76" t="n"/>
      <c r="D35" s="107" t="inlineStr">
        <is>
          <t>CS1</t>
        </is>
      </c>
      <c r="E35" s="107" t="n"/>
      <c r="F35" s="107" t="n"/>
      <c r="G35" s="107" t="n"/>
      <c r="H35" s="107" t="inlineStr">
        <is>
          <t>SB1</t>
        </is>
      </c>
      <c r="I35" s="107" t="inlineStr">
        <is>
          <t>J $PM PERMSTAFF SOC (1530-2000)</t>
        </is>
      </c>
      <c r="K35" s="107" t="n"/>
      <c r="L35" s="107" t="inlineStr">
        <is>
          <t>F $BTP (0500-2300)</t>
        </is>
      </c>
      <c r="M35" s="107" t="n"/>
      <c r="R35" s="107" t="n"/>
      <c r="S35" s="107" t="n"/>
      <c r="T35" s="107" t="inlineStr">
        <is>
          <t>AE</t>
        </is>
      </c>
      <c r="U35" s="107" t="n"/>
      <c r="W35" s="107" t="inlineStr">
        <is>
          <t>SB1</t>
        </is>
      </c>
      <c r="Y35" s="107" t="n"/>
      <c r="Z35" s="107" t="n"/>
      <c r="AA35" s="107" t="n"/>
      <c r="AB35" s="107" t="inlineStr">
        <is>
          <t>E $M RE-RM 12KM (1400-2359)</t>
        </is>
      </c>
      <c r="AC35" s="107" t="inlineStr">
        <is>
          <t> </t>
        </is>
      </c>
      <c r="AD35" s="107" t="inlineStr">
        <is>
          <t>RESERVE</t>
        </is>
      </c>
      <c r="AE35" s="107" t="n"/>
      <c r="AG35" s="107" t="n"/>
      <c r="AH35" s="107" t="inlineStr">
        <is>
          <t>RESERVE</t>
        </is>
      </c>
      <c r="AI35" s="77">
        <f>COUNTIF($D35:$AG35,AI$4)</f>
        <v/>
      </c>
      <c r="AJ35" s="77">
        <f>COUNTIF($D35:$AG35,AJ$4)</f>
        <v/>
      </c>
      <c r="AK35" s="77">
        <f>COUNTIF($D35:$AG35,AK$4)</f>
        <v/>
      </c>
      <c r="AL35" s="77">
        <f>COUNTIF($D35:$AG35,AL$4)</f>
        <v/>
      </c>
      <c r="AM35" s="77">
        <f>COUNTIF($D35:$AG35,AM$4)</f>
        <v/>
      </c>
      <c r="AN35" s="77">
        <f>COUNTIF($D35:$AG35,AN$4)</f>
        <v/>
      </c>
      <c r="AO35" s="77">
        <f>COUNTIF($D35:$AG35,AO$4)</f>
        <v/>
      </c>
      <c r="AP35" s="77">
        <f>COUNTIF($D35:$AG35,AP$4)</f>
        <v/>
      </c>
      <c r="AQ35" s="77">
        <f>COUNTIF($D35:$AG35,AQ$4)</f>
        <v/>
      </c>
      <c r="AR35" s="76" t="n"/>
      <c r="AS35" s="76" t="n"/>
      <c r="AT35" s="77">
        <f>SUMPRODUCT(--(WEEKDAY(D$3:AH$3,2)&lt;5),--ISNUMBER(MATCH(D35:AH35,{"DM","CS1","CS2","SB1","AE","CS/B"},0)))</f>
        <v/>
      </c>
      <c r="AU35" s="77" t="n"/>
      <c r="AV35" s="77">
        <f>SUMPRODUCT(--(WEEKDAY(D$3:AH$3,2)=5),--ISNUMBER(MATCH(D35:AH35,{"DM","CS1","CS2","SB1","AE","CS/B","WEEKEND OUTFIELD RESERVE"},0)))</f>
        <v/>
      </c>
      <c r="AW35" s="77">
        <f>SUMPRODUCT(--(WEEKDAY(D$3:AH$3,2)&gt;5),--ISNUMBER(MATCH(D35:AH35,{"DM","CS1","CS2","SB1","AE","CS/B","WEEKEND OUTFIELD RESERVE"},0)))</f>
        <v/>
      </c>
      <c r="AX35" s="77" t="n"/>
      <c r="AY35" s="77">
        <f>(AT35-AU35)+AV35*1.5+(AW35-AX35)*2+AN35*0.5+AP35*0.5+AR35-AS35</f>
        <v/>
      </c>
      <c r="AZ35" s="77">
        <f>AT35+AV35+AW35</f>
        <v/>
      </c>
      <c r="BA35" s="77">
        <f>BD35+BF35+BH35+BJ35+BL35</f>
        <v/>
      </c>
      <c r="BB35" s="76">
        <f>AY35+BC35</f>
        <v/>
      </c>
      <c r="BC35" s="77">
        <f>BE35+BG35+BI35+BK35+BM35</f>
        <v/>
      </c>
      <c r="BD35" s="77">
        <f>COUNTIF(A35:AI35,"*$BTP*")</f>
        <v/>
      </c>
      <c r="BE35" s="77">
        <f>BD35*1.5</f>
        <v/>
      </c>
      <c r="BF35" s="77">
        <f>COUNTIF(A35:AI35,"*$M*")</f>
        <v/>
      </c>
      <c r="BG35" s="77">
        <f>BF35*1</f>
        <v/>
      </c>
      <c r="BH35" s="77">
        <f>COUNTIF(A35:AI35,"*$PM*")</f>
        <v/>
      </c>
      <c r="BI35" s="77">
        <f>BH35*0.5</f>
        <v/>
      </c>
      <c r="BJ35" s="77">
        <f>COUNTIF(A35:AI35,"*$AM*")</f>
        <v/>
      </c>
      <c r="BK35" s="77">
        <f>BJ35*0.5</f>
        <v/>
      </c>
      <c r="BL35" s="77">
        <f>COUNTIF(A35:AI35,"*$FC*")</f>
        <v/>
      </c>
      <c r="BM35" s="77">
        <f>BL35*1</f>
        <v/>
      </c>
      <c r="BN35" s="77">
        <f>(BB35-10)</f>
        <v/>
      </c>
      <c r="BO35" s="77">
        <f>COUNTIF($E35:$Z35,BO$4)</f>
        <v/>
      </c>
      <c r="BP35" s="77">
        <f>COUNTIF($E35:$Z35,BP$4)</f>
        <v/>
      </c>
      <c r="BQ35" s="77">
        <f>COUNTIF($E35:$Z35,BQ$4)</f>
        <v/>
      </c>
      <c r="BR35" s="77" t="n"/>
    </row>
    <row r="36" ht="19.5" customHeight="1">
      <c r="A36" s="74" t="n"/>
      <c r="B36" s="76" t="inlineStr">
        <is>
          <t>PTE CHOA ZONGHAN ETIENNE</t>
        </is>
      </c>
      <c r="C36" s="76" t="n"/>
      <c r="D36" s="110" t="inlineStr">
        <is>
          <t>AE</t>
        </is>
      </c>
      <c r="E36" s="110" t="n"/>
      <c r="F36" s="110" t="n"/>
      <c r="G36" s="110" t="inlineStr">
        <is>
          <t>CS/B</t>
        </is>
      </c>
      <c r="H36" s="110" t="n"/>
      <c r="I36" s="143" t="inlineStr">
        <is>
          <t>OUTFIELD RESERVE</t>
        </is>
      </c>
      <c r="J36" s="110" t="n"/>
      <c r="K36" s="110" t="n"/>
      <c r="L36" s="110" t="n"/>
      <c r="M36" s="110" t="n"/>
      <c r="R36" s="110" t="inlineStr">
        <is>
          <t>COVER RESERVE</t>
        </is>
      </c>
      <c r="S36" s="110" t="n"/>
      <c r="T36" s="110" t="n"/>
      <c r="U36" s="110" t="inlineStr">
        <is>
          <t>TAURUS $M RE-IFC (0500-1530)</t>
        </is>
      </c>
      <c r="V36" s="110" t="inlineStr">
        <is>
          <t>D $AM SOC (0600-1100)</t>
        </is>
      </c>
      <c r="W36" s="110" t="inlineStr">
        <is>
          <t>AE</t>
        </is>
      </c>
      <c r="X36" s="110" t="n"/>
      <c r="Y36" s="110" t="inlineStr">
        <is>
          <t>J $M RE-BTP (0515-2359)</t>
        </is>
      </c>
      <c r="Z36" s="142" t="n"/>
      <c r="AA36" s="110" t="n"/>
      <c r="AB36" s="110" t="inlineStr">
        <is>
          <t>SB2</t>
        </is>
      </c>
      <c r="AC36" s="110" t="inlineStr">
        <is>
          <t>T $M HG (0500-2359)</t>
        </is>
      </c>
      <c r="AD36" s="110" t="n"/>
      <c r="AE36" s="137" t="n"/>
      <c r="AF36" s="110" t="n"/>
      <c r="AG36" s="110" t="inlineStr">
        <is>
          <t>SB1</t>
        </is>
      </c>
      <c r="AH36" s="110" t="n"/>
      <c r="AI36" s="74">
        <f>COUNTIF($D36:$AG36,AI$4)</f>
        <v/>
      </c>
      <c r="AJ36" s="74">
        <f>COUNTIF($D36:$AG36,AJ$4)</f>
        <v/>
      </c>
      <c r="AK36" s="74">
        <f>COUNTIF($D36:$AG36,AK$4)</f>
        <v/>
      </c>
      <c r="AL36" s="74">
        <f>COUNTIF($D36:$AG36,AL$4)</f>
        <v/>
      </c>
      <c r="AM36" s="74">
        <f>COUNTIF($D36:$AG36,AM$4)</f>
        <v/>
      </c>
      <c r="AN36" s="74">
        <f>COUNTIF($D36:$AG36,AN$4)</f>
        <v/>
      </c>
      <c r="AO36" s="74">
        <f>COUNTIF($D36:$AG36,AO$4)</f>
        <v/>
      </c>
      <c r="AP36" s="74">
        <f>COUNTIF($D36:$AG36,AP$4)</f>
        <v/>
      </c>
      <c r="AQ36" s="74">
        <f>COUNTIF($D36:$AG36,AQ$4)</f>
        <v/>
      </c>
      <c r="AR36" s="76" t="n"/>
      <c r="AS36" s="76" t="n">
        <v>0.5</v>
      </c>
      <c r="AT36" s="74">
        <f>SUMPRODUCT(--(WEEKDAY(D$3:AH$3,2)&lt;5),--ISNUMBER(MATCH(D36:AH36,{"DM","CS1","CS2","SB1","AE","CS/B"},0)))</f>
        <v/>
      </c>
      <c r="AU36" s="74" t="n"/>
      <c r="AV36" s="74">
        <f>SUMPRODUCT(--(WEEKDAY(D$3:AH$3,2)=5),--ISNUMBER(MATCH(D36:AH36,{"DM","CS1","CS2","SB1","AE","CS/B","WEEKEND OUTFIELD RESERVE"},0)))</f>
        <v/>
      </c>
      <c r="AW36" s="74">
        <f>SUMPRODUCT(--(WEEKDAY(D$3:AH$3,2)&gt;5),--ISNUMBER(MATCH(D36:AH36,{"DM","CS1","CS2","SB1","AE","CS/B","WEEKEND OUTFIELD RESERVE"},0)))</f>
        <v/>
      </c>
      <c r="AX36" s="74" t="n"/>
      <c r="AY36" s="74">
        <f>(AT36-AU36)+AV36*1.5+(AW36-AX36)*2+AN36*0.5+AP36*0.5+AR36-AS36</f>
        <v/>
      </c>
      <c r="AZ36" s="74">
        <f>AT36+AV36+AW36</f>
        <v/>
      </c>
      <c r="BA36" s="74">
        <f>BD36+BF36+BH36+BJ36+BL36</f>
        <v/>
      </c>
      <c r="BB36" s="76">
        <f>AY36+BC36</f>
        <v/>
      </c>
      <c r="BC36" s="74">
        <f>BE36+BG36+BI36+BK36+BM36</f>
        <v/>
      </c>
      <c r="BD36" s="74">
        <f>COUNTIF(A36:AI36,"*$BTP*")</f>
        <v/>
      </c>
      <c r="BE36" s="74">
        <f>BD36*1.5</f>
        <v/>
      </c>
      <c r="BF36" s="74">
        <f>COUNTIF(A36:AI36,"*$M*")</f>
        <v/>
      </c>
      <c r="BG36" s="74">
        <f>BF36*1</f>
        <v/>
      </c>
      <c r="BH36" s="74">
        <f>COUNTIF(A36:AI36,"*$PM*")</f>
        <v/>
      </c>
      <c r="BI36" s="74">
        <f>BH36*0.5</f>
        <v/>
      </c>
      <c r="BJ36" s="74">
        <f>COUNTIF(A36:AI36,"*$AM*")</f>
        <v/>
      </c>
      <c r="BK36" s="74">
        <f>BJ36*0.5</f>
        <v/>
      </c>
      <c r="BL36" s="74">
        <f>COUNTIF(A36:AI36,"*$FC*")</f>
        <v/>
      </c>
      <c r="BM36" s="74">
        <f>BL36*1</f>
        <v/>
      </c>
      <c r="BN36" s="74">
        <f>(BB36-10)</f>
        <v/>
      </c>
      <c r="BO36" s="74">
        <f>COUNTIF($E36:$AA36,BO$4)</f>
        <v/>
      </c>
      <c r="BP36" s="74">
        <f>COUNTIF($E36:$AA36,BP$4)</f>
        <v/>
      </c>
      <c r="BQ36" s="74">
        <f>COUNTIF($E36:$AA36,BQ$4)</f>
        <v/>
      </c>
      <c r="BR36" s="74" t="n"/>
    </row>
    <row r="37" ht="19.5" customHeight="1">
      <c r="A37" s="77" t="n"/>
      <c r="B37" s="76" t="inlineStr">
        <is>
          <t>LCP SHLOK PUROHIT</t>
        </is>
      </c>
      <c r="C37" s="76" t="n"/>
      <c r="D37" s="107" t="n"/>
      <c r="E37" s="107" t="n"/>
      <c r="F37" s="107" t="n"/>
      <c r="G37" s="107" t="n"/>
      <c r="H37" s="107" t="inlineStr">
        <is>
          <t>RESERVE</t>
        </is>
      </c>
      <c r="I37" s="107" t="n"/>
      <c r="J37" s="107" t="inlineStr">
        <is>
          <t>AE</t>
        </is>
      </c>
      <c r="K37" s="107" t="inlineStr">
        <is>
          <t>SB2</t>
        </is>
      </c>
      <c r="L37" s="107" t="n"/>
      <c r="M37" s="107" t="n"/>
      <c r="N37" s="107" t="inlineStr">
        <is>
          <t>F $FC</t>
        </is>
      </c>
      <c r="O37" s="107" t="inlineStr">
        <is>
          <t>F $FC</t>
        </is>
      </c>
      <c r="P37" s="107" t="inlineStr">
        <is>
          <t>F $FC</t>
        </is>
      </c>
      <c r="Q37" s="107" t="inlineStr">
        <is>
          <t>F $FC</t>
        </is>
      </c>
      <c r="S37" s="107" t="n"/>
      <c r="T37" s="107" t="n"/>
      <c r="U37" s="107" t="inlineStr">
        <is>
          <t>SB2</t>
        </is>
      </c>
      <c r="W37" s="141" t="inlineStr">
        <is>
          <t>AMPT</t>
        </is>
      </c>
      <c r="X37" s="107" t="n"/>
      <c r="Y37" s="107" t="n"/>
      <c r="Z37" s="141" t="n"/>
      <c r="AA37" s="107" t="n"/>
      <c r="AB37" s="145" t="inlineStr">
        <is>
          <t>SKILLSFUTURE</t>
        </is>
      </c>
      <c r="AC37" s="107" t="n"/>
      <c r="AF37" s="107" t="n"/>
      <c r="AG37" s="107" t="n"/>
      <c r="AH37" s="107" t="n"/>
      <c r="AI37" s="77">
        <f>COUNTIF($D37:$AG37,AI$4)</f>
        <v/>
      </c>
      <c r="AJ37" s="77">
        <f>COUNTIF($D37:$AG37,AJ$4)</f>
        <v/>
      </c>
      <c r="AK37" s="77">
        <f>COUNTIF($D37:$AG37,AK$4)</f>
        <v/>
      </c>
      <c r="AL37" s="77">
        <f>COUNTIF($D37:$AG37,AL$4)</f>
        <v/>
      </c>
      <c r="AM37" s="77">
        <f>COUNTIF($D37:$AG37,AM$4)</f>
        <v/>
      </c>
      <c r="AN37" s="77">
        <f>COUNTIF($D37:$AG37,AN$4)</f>
        <v/>
      </c>
      <c r="AO37" s="77">
        <f>COUNTIF($D37:$AG37,AO$4)</f>
        <v/>
      </c>
      <c r="AP37" s="77">
        <f>COUNTIF($D37:$AG37,AP$4)</f>
        <v/>
      </c>
      <c r="AQ37" s="77">
        <f>COUNTIF($D37:$AG37,AQ$4)</f>
        <v/>
      </c>
      <c r="AR37" s="76" t="n"/>
      <c r="AS37" s="76" t="n">
        <v>0.5</v>
      </c>
      <c r="AT37" s="77">
        <f>SUMPRODUCT(--(WEEKDAY(D$3:AH$3,2)&lt;5),--ISNUMBER(MATCH(D37:AH37,{"DM","CS1","CS2","SB1","AE","CS/B"},0)))</f>
        <v/>
      </c>
      <c r="AU37" s="77" t="n"/>
      <c r="AV37" s="77">
        <f>SUMPRODUCT(--(WEEKDAY(D$3:AH$3,2)=5),--ISNUMBER(MATCH(D37:AH37,{"DM","CS1","CS2","SB1","AE","CS/B","WEEKEND OUTFIELD RESERVE"},0)))</f>
        <v/>
      </c>
      <c r="AW37" s="77">
        <f>SUMPRODUCT(--(WEEKDAY(D$3:AH$3,2)&gt;5),--ISNUMBER(MATCH(D37:AH37,{"DM","CS1","CS2","SB1","AE","CS/B","WEEKEND OUTFIELD RESERVE"},0)))</f>
        <v/>
      </c>
      <c r="AX37" s="77" t="n"/>
      <c r="AY37" s="77">
        <f>(AT37-AU37)+AV37*1.5+(AW37-AX37)*2+AN37*0.5+AP37*0.5+AR37-AS37</f>
        <v/>
      </c>
      <c r="AZ37" s="77">
        <f>AT37+AV37+AW37</f>
        <v/>
      </c>
      <c r="BA37" s="77">
        <f>BD37+BF37+BH37+BJ37+BL37</f>
        <v/>
      </c>
      <c r="BB37" s="76">
        <f>AY37+BC37</f>
        <v/>
      </c>
      <c r="BC37" s="77">
        <f>BE37+BG37+BI37+BK37+BM37</f>
        <v/>
      </c>
      <c r="BD37" s="77">
        <f>COUNTIF(A37:AI37,"*$BTP*")</f>
        <v/>
      </c>
      <c r="BE37" s="77">
        <f>BD37*1.5</f>
        <v/>
      </c>
      <c r="BF37" s="77">
        <f>COUNTIF(A37:AI37,"*$M*")</f>
        <v/>
      </c>
      <c r="BG37" s="77">
        <f>BF37*1</f>
        <v/>
      </c>
      <c r="BH37" s="77">
        <f>COUNTIF(A37:AI37,"*$PM*")</f>
        <v/>
      </c>
      <c r="BI37" s="77">
        <f>BH37*0.5</f>
        <v/>
      </c>
      <c r="BJ37" s="77">
        <f>COUNTIF(A37:AI37,"*$AM*")</f>
        <v/>
      </c>
      <c r="BK37" s="77">
        <f>BJ37*0.5</f>
        <v/>
      </c>
      <c r="BL37" s="77">
        <f>COUNTIF(A37:AI37,"*$FC*")</f>
        <v/>
      </c>
      <c r="BM37" s="77">
        <f>BL37*1</f>
        <v/>
      </c>
      <c r="BN37" s="77">
        <f>(BB37-10)</f>
        <v/>
      </c>
      <c r="BO37" s="77">
        <f>COUNTIF($E37:$AA37,BO$4)</f>
        <v/>
      </c>
      <c r="BP37" s="77">
        <f>COUNTIF($E37:$AA37,BP$4)</f>
        <v/>
      </c>
      <c r="BQ37" s="77">
        <f>COUNTIF($E37:$AA37,BQ$4)</f>
        <v/>
      </c>
      <c r="BR37" s="77" t="n"/>
    </row>
    <row r="38" ht="19.5" customHeight="1">
      <c r="A38" s="74" t="n"/>
      <c r="B38" s="76" t="inlineStr">
        <is>
          <t>LCP HYDER ISKANDAR BIN ZULKILFILY</t>
        </is>
      </c>
      <c r="C38" s="76" t="n"/>
      <c r="D38" s="110" t="n"/>
      <c r="E38" s="110" t="n"/>
      <c r="F38" s="110" t="n"/>
      <c r="G38" s="110" t="n"/>
      <c r="I38" s="110" t="inlineStr">
        <is>
          <t>SB1</t>
        </is>
      </c>
      <c r="K38" s="110" t="inlineStr">
        <is>
          <t>COVER RESERVE</t>
        </is>
      </c>
      <c r="L38" s="110" t="n"/>
      <c r="M38" s="110" t="n"/>
      <c r="N38" s="110" t="inlineStr">
        <is>
          <t>T $FC</t>
        </is>
      </c>
      <c r="O38" s="110" t="inlineStr">
        <is>
          <t>T $FC</t>
        </is>
      </c>
      <c r="P38" s="110" t="n"/>
      <c r="Q38" s="110" t="n"/>
      <c r="R38" s="110" t="inlineStr">
        <is>
          <t>SB1</t>
        </is>
      </c>
      <c r="S38" s="110" t="n"/>
      <c r="T38" s="110" t="n"/>
      <c r="U38" s="149" t="inlineStr">
        <is>
          <t>S $AM IPPT (0500-1000)</t>
        </is>
      </c>
      <c r="V38" s="143" t="inlineStr">
        <is>
          <t>T $AM IPPT (0500-1000)</t>
        </is>
      </c>
      <c r="W38" s="147" t="inlineStr">
        <is>
          <t>AMPT</t>
        </is>
      </c>
      <c r="X38" s="110" t="inlineStr">
        <is>
          <t>J $PM RE-IPPT (1530-1830)</t>
        </is>
      </c>
      <c r="Y38" s="110" t="n"/>
      <c r="Z38" s="110" t="n"/>
      <c r="AA38" s="110" t="n"/>
      <c r="AB38" s="143" t="inlineStr">
        <is>
          <t>SKILLSFUTURE</t>
        </is>
      </c>
      <c r="AC38" s="110" t="inlineStr">
        <is>
          <t>AE</t>
        </is>
      </c>
      <c r="AD38" s="110" t="n"/>
      <c r="AG38" s="110" t="n"/>
      <c r="AH38" s="110" t="inlineStr">
        <is>
          <t>AE</t>
        </is>
      </c>
      <c r="AI38" s="74">
        <f>COUNTIF($D38:$AG38,AI$4)</f>
        <v/>
      </c>
      <c r="AJ38" s="74">
        <f>COUNTIF($D38:$AG38,AJ$4)</f>
        <v/>
      </c>
      <c r="AK38" s="74">
        <f>COUNTIF($D38:$AG38,AK$4)</f>
        <v/>
      </c>
      <c r="AL38" s="74">
        <f>COUNTIF($D38:$AG38,AL$4)</f>
        <v/>
      </c>
      <c r="AM38" s="74">
        <f>COUNTIF($D38:$AG38,AM$4)</f>
        <v/>
      </c>
      <c r="AN38" s="74">
        <f>COUNTIF($D38:$AG38,AN$4)</f>
        <v/>
      </c>
      <c r="AO38" s="74">
        <f>COUNTIF($D38:$AG38,AO$4)</f>
        <v/>
      </c>
      <c r="AP38" s="74">
        <f>COUNTIF($D38:$AG38,AP$4)</f>
        <v/>
      </c>
      <c r="AQ38" s="74">
        <f>COUNTIF($D38:$AG38,AQ$4)</f>
        <v/>
      </c>
      <c r="AR38" s="76" t="n">
        <v>1</v>
      </c>
      <c r="AS38" s="76" t="n"/>
      <c r="AT38" s="74">
        <f>SUMPRODUCT(--(WEEKDAY(D$3:AH$3,2)&lt;5),--ISNUMBER(MATCH(D38:AH38,{"DM","CS1","CS2","SB1","AE","CS/B"},0)))</f>
        <v/>
      </c>
      <c r="AU38" s="74" t="n"/>
      <c r="AV38" s="74">
        <f>SUMPRODUCT(--(WEEKDAY(D$3:AH$3,2)=5),--ISNUMBER(MATCH(D38:AH38,{"DM","CS1","CS2","SB1","AE","CS/B","WEEKEND OUTFIELD RESERVE"},0)))</f>
        <v/>
      </c>
      <c r="AW38" s="74">
        <f>SUMPRODUCT(--(WEEKDAY(D$3:AH$3,2)&gt;5),--ISNUMBER(MATCH(D38:AH38,{"DM","CS1","CS2","SB1","AE","CS/B","WEEKEND OUTFIELD RESERVE"},0)))</f>
        <v/>
      </c>
      <c r="AX38" s="74" t="n"/>
      <c r="AY38" s="74">
        <f>(AT38-AU38)+AV38*1.5+(AW38-AX38)*2+AN38*0.5+AP38*0.5+AR38-AS38</f>
        <v/>
      </c>
      <c r="AZ38" s="74">
        <f>AT38+AV38+AW38</f>
        <v/>
      </c>
      <c r="BA38" s="74">
        <f>BD38+BF38+BH38+BJ38+BL38</f>
        <v/>
      </c>
      <c r="BB38" s="76">
        <f>AY38+BC38</f>
        <v/>
      </c>
      <c r="BC38" s="74">
        <f>BE38+BG38+BI38+BK38+BM38</f>
        <v/>
      </c>
      <c r="BD38" s="74">
        <f>COUNTIF(A38:AI38,"*$BTP*")</f>
        <v/>
      </c>
      <c r="BE38" s="74">
        <f>BD38*1.5</f>
        <v/>
      </c>
      <c r="BF38" s="74">
        <f>COUNTIF(A38:AI38,"*$M*")</f>
        <v/>
      </c>
      <c r="BG38" s="74">
        <f>BF38*1</f>
        <v/>
      </c>
      <c r="BH38" s="74">
        <f>COUNTIF(A38:AI38,"*$PM*")</f>
        <v/>
      </c>
      <c r="BI38" s="74">
        <f>BH38*0.5</f>
        <v/>
      </c>
      <c r="BJ38" s="74">
        <f>COUNTIF(A38:AI38,"*$AM*")</f>
        <v/>
      </c>
      <c r="BK38" s="74">
        <f>BJ38*0.5</f>
        <v/>
      </c>
      <c r="BL38" s="74">
        <f>COUNTIF(A38:AI38,"*$FC*")</f>
        <v/>
      </c>
      <c r="BM38" s="74">
        <f>BL38*1</f>
        <v/>
      </c>
      <c r="BN38" s="74">
        <f>(BB38-10)</f>
        <v/>
      </c>
      <c r="BO38" s="74">
        <f>COUNTIF($E38:$AA38,BO$4)</f>
        <v/>
      </c>
      <c r="BP38" s="74">
        <f>COUNTIF($E38:$AA38,BP$4)</f>
        <v/>
      </c>
      <c r="BQ38" s="74">
        <f>COUNTIF($E38:$AA38,BQ$4)</f>
        <v/>
      </c>
      <c r="BR38" s="74" t="n"/>
    </row>
    <row r="39" ht="19.5" customHeight="1">
      <c r="A39" s="77" t="n"/>
      <c r="B39" s="76" t="inlineStr">
        <is>
          <t>PTE MUHAMMAD SHAUKI BIN MOHD SHAM</t>
        </is>
      </c>
      <c r="C39" s="76" t="n"/>
      <c r="D39" s="107" t="n"/>
      <c r="E39" s="107" t="n"/>
      <c r="F39" s="107" t="n"/>
      <c r="G39" s="107" t="inlineStr">
        <is>
          <t>AE</t>
        </is>
      </c>
      <c r="H39" s="107" t="n"/>
      <c r="J39" s="75" t="inlineStr">
        <is>
          <t>E $AM 4KM RM (0600-?)</t>
        </is>
      </c>
      <c r="L39" s="107" t="n"/>
      <c r="M39" s="107" t="inlineStr">
        <is>
          <t>AE</t>
        </is>
      </c>
      <c r="N39" s="107" t="n"/>
      <c r="O39" s="107" t="inlineStr">
        <is>
          <t>J $M BIC (0515 2000)</t>
        </is>
      </c>
      <c r="Q39" s="145" t="n"/>
      <c r="S39" s="107" t="n"/>
      <c r="T39" s="107" t="n"/>
      <c r="U39" s="107" t="n"/>
      <c r="V39" s="107" t="inlineStr">
        <is>
          <t>COVER RESERVE</t>
        </is>
      </c>
      <c r="W39" s="141" t="inlineStr">
        <is>
          <t>MC</t>
        </is>
      </c>
      <c r="X39" s="141" t="inlineStr">
        <is>
          <t>MC</t>
        </is>
      </c>
      <c r="Y39" s="141" t="inlineStr">
        <is>
          <t>MC</t>
        </is>
      </c>
      <c r="Z39" s="107" t="n"/>
      <c r="AA39" s="107" t="n"/>
      <c r="AB39" s="145" t="inlineStr">
        <is>
          <t>SCH 3 $M RE-RM (1430-2359)</t>
        </is>
      </c>
      <c r="AC39" s="107" t="n"/>
      <c r="AD39" s="107" t="inlineStr">
        <is>
          <t>AE</t>
        </is>
      </c>
      <c r="AE39" s="107" t="n"/>
      <c r="AF39" s="107" t="inlineStr">
        <is>
          <t>AE</t>
        </is>
      </c>
      <c r="AG39" s="107" t="n"/>
      <c r="AH39" s="107" t="n"/>
      <c r="AI39" s="77">
        <f>COUNTIF($D39:$AG39,AI$4)</f>
        <v/>
      </c>
      <c r="AJ39" s="77">
        <f>COUNTIF($D39:$AG39,AJ$4)</f>
        <v/>
      </c>
      <c r="AK39" s="77">
        <f>COUNTIF($D39:$AG39,AK$4)</f>
        <v/>
      </c>
      <c r="AL39" s="77">
        <f>COUNTIF($D39:$AG39,AL$4)</f>
        <v/>
      </c>
      <c r="AM39" s="77">
        <f>COUNTIF($D39:$AG39,AM$4)</f>
        <v/>
      </c>
      <c r="AN39" s="77">
        <f>COUNTIF($D39:$AG39,AN$4)</f>
        <v/>
      </c>
      <c r="AO39" s="77">
        <f>COUNTIF($D39:$AG39,AO$4)</f>
        <v/>
      </c>
      <c r="AP39" s="77">
        <f>COUNTIF($D39:$AG39,AP$4)</f>
        <v/>
      </c>
      <c r="AQ39" s="77">
        <f>COUNTIF($D39:$AG39,AQ$4)</f>
        <v/>
      </c>
      <c r="AR39" s="76" t="n">
        <v>0</v>
      </c>
      <c r="AS39" s="76" t="n"/>
      <c r="AT39" s="77">
        <f>SUMPRODUCT(--(WEEKDAY(D$3:AH$3,2)&lt;5),--ISNUMBER(MATCH(D39:AH39,{"DM","CS1","CS2","SB1","AE","CS/B"},0)))</f>
        <v/>
      </c>
      <c r="AU39" s="77" t="n"/>
      <c r="AV39" s="77">
        <f>SUMPRODUCT(--(WEEKDAY(D$3:AH$3,2)=5),--ISNUMBER(MATCH(D39:AH39,{"DM","CS1","CS2","SB1","AE","CS/B","WEEKEND OUTFIELD RESERVE"},0)))</f>
        <v/>
      </c>
      <c r="AW39" s="77">
        <f>SUMPRODUCT(--(WEEKDAY(D$3:AH$3,2)&gt;5),--ISNUMBER(MATCH(D39:AH39,{"DM","CS1","CS2","SB1","AE","CS/B","WEEKEND OUTFIELD RESERVE"},0)))</f>
        <v/>
      </c>
      <c r="AX39" s="77" t="n"/>
      <c r="AY39" s="77">
        <f>(AT39-AU39)+AV39*1.5+(AW39-AX39)*2+AN39*0.5+AP39*0.5+AR39-AS39</f>
        <v/>
      </c>
      <c r="AZ39" s="77">
        <f>AT39+AV39+AW39</f>
        <v/>
      </c>
      <c r="BA39" s="77">
        <f>BD39+BF39+BH39+BJ39+BL39</f>
        <v/>
      </c>
      <c r="BB39" s="76">
        <f>AY39+BC39</f>
        <v/>
      </c>
      <c r="BC39" s="77">
        <f>BE39+BG39+BI39+BK39+BM39</f>
        <v/>
      </c>
      <c r="BD39" s="77">
        <f>COUNTIF(A39:AI39,"*$BTP*")</f>
        <v/>
      </c>
      <c r="BE39" s="77">
        <f>BD39*1.5</f>
        <v/>
      </c>
      <c r="BF39" s="77">
        <f>COUNTIF(A39:AI39,"*$M*")</f>
        <v/>
      </c>
      <c r="BG39" s="77">
        <f>BF39*1</f>
        <v/>
      </c>
      <c r="BH39" s="77">
        <f>COUNTIF(A39:AI39,"*$PM*")</f>
        <v/>
      </c>
      <c r="BI39" s="77">
        <f>BH39*0.5</f>
        <v/>
      </c>
      <c r="BJ39" s="77">
        <f>COUNTIF(A39:AI39,"*$AM*")</f>
        <v/>
      </c>
      <c r="BK39" s="77">
        <f>BJ39*0.5</f>
        <v/>
      </c>
      <c r="BL39" s="77">
        <f>COUNTIF(A39:AI39,"*$FC*")</f>
        <v/>
      </c>
      <c r="BM39" s="77">
        <f>BL39*1</f>
        <v/>
      </c>
      <c r="BN39" s="77">
        <f>(BB39-10)</f>
        <v/>
      </c>
      <c r="BO39" s="77">
        <f>COUNTIF($E39:$Z39,BO$4)</f>
        <v/>
      </c>
      <c r="BP39" s="77">
        <f>COUNTIF($E39:$Z39,BP$4)</f>
        <v/>
      </c>
      <c r="BQ39" s="77">
        <f>COUNTIF($E39:$Z39,BQ$4)</f>
        <v/>
      </c>
      <c r="BR39" s="77" t="n"/>
    </row>
    <row r="40" ht="19.5" customHeight="1">
      <c r="A40" s="74" t="n"/>
      <c r="B40" s="76" t="inlineStr">
        <is>
          <t>PTE HUANG JIHUI</t>
        </is>
      </c>
      <c r="C40" s="76" t="n"/>
      <c r="D40" s="110" t="n"/>
      <c r="E40" s="110" t="n"/>
      <c r="F40" s="110" t="n"/>
      <c r="G40" s="110" t="inlineStr">
        <is>
          <t>J $AM ER (0600-1100)</t>
        </is>
      </c>
      <c r="H40" s="110" t="n"/>
      <c r="I40" s="110" t="inlineStr">
        <is>
          <t>AE</t>
        </is>
      </c>
      <c r="J40" s="110" t="n"/>
      <c r="K40" s="110" t="n"/>
      <c r="L40" s="110" t="inlineStr">
        <is>
          <t>AE</t>
        </is>
      </c>
      <c r="M40" s="110" t="n"/>
      <c r="N40" s="110" t="n"/>
      <c r="P40" s="110" t="inlineStr">
        <is>
          <t>AE</t>
        </is>
      </c>
      <c r="Q40" s="110" t="n"/>
      <c r="R40" s="110" t="n"/>
      <c r="S40" s="110" t="n"/>
      <c r="T40" s="110" t="n"/>
      <c r="U40" s="110" t="inlineStr">
        <is>
          <t>J $M 12KM RM (1400-2359)</t>
        </is>
      </c>
      <c r="V40" s="110" t="n"/>
      <c r="W40" s="147" t="inlineStr">
        <is>
          <t>OL</t>
        </is>
      </c>
      <c r="X40" s="147" t="inlineStr">
        <is>
          <t>OL</t>
        </is>
      </c>
      <c r="Y40" s="147" t="inlineStr">
        <is>
          <t>OL</t>
        </is>
      </c>
      <c r="Z40" s="147" t="inlineStr">
        <is>
          <t>OL</t>
        </is>
      </c>
      <c r="AA40" s="147" t="inlineStr">
        <is>
          <t>OL</t>
        </is>
      </c>
      <c r="AB40" s="147" t="inlineStr">
        <is>
          <t>OL</t>
        </is>
      </c>
      <c r="AC40" s="147" t="inlineStr">
        <is>
          <t>OL</t>
        </is>
      </c>
      <c r="AD40" s="147" t="inlineStr">
        <is>
          <t>OL</t>
        </is>
      </c>
      <c r="AE40" s="147" t="inlineStr">
        <is>
          <t>OL</t>
        </is>
      </c>
      <c r="AF40" s="147" t="inlineStr">
        <is>
          <t>OL</t>
        </is>
      </c>
      <c r="AG40" s="147" t="inlineStr">
        <is>
          <t>OL</t>
        </is>
      </c>
      <c r="AH40" s="147" t="inlineStr">
        <is>
          <t>OL</t>
        </is>
      </c>
      <c r="AI40" s="74">
        <f>COUNTIF($D40:$AG40,AI$4)</f>
        <v/>
      </c>
      <c r="AJ40" s="74">
        <f>COUNTIF($D40:$AG40,AJ$4)</f>
        <v/>
      </c>
      <c r="AK40" s="74">
        <f>COUNTIF($D40:$AG40,AK$4)</f>
        <v/>
      </c>
      <c r="AL40" s="74">
        <f>COUNTIF($D40:$AG40,AL$4)</f>
        <v/>
      </c>
      <c r="AM40" s="74">
        <f>COUNTIF($D40:$AG40,AM$4)</f>
        <v/>
      </c>
      <c r="AN40" s="74">
        <f>COUNTIF($D40:$AG40,AN$4)</f>
        <v/>
      </c>
      <c r="AO40" s="74">
        <f>COUNTIF($D40:$AG40,AO$4)</f>
        <v/>
      </c>
      <c r="AP40" s="74">
        <f>COUNTIF($D40:$AG40,AP$4)</f>
        <v/>
      </c>
      <c r="AQ40" s="74">
        <f>COUNTIF($D40:$AG40,AQ$4)</f>
        <v/>
      </c>
      <c r="AR40" s="76" t="n">
        <v>2</v>
      </c>
      <c r="AS40" s="76" t="n"/>
      <c r="AT40" s="74">
        <f>SUMPRODUCT(--(WEEKDAY(D$3:AH$3,2)&lt;5),--ISNUMBER(MATCH(D40:AH40,{"DM","CS1","CS2","SB1","AE","CS/B"},0)))</f>
        <v/>
      </c>
      <c r="AU40" s="74" t="n"/>
      <c r="AV40" s="74">
        <f>SUMPRODUCT(--(WEEKDAY(D$3:AH$3,2)=5),--ISNUMBER(MATCH(D40:AH40,{"DM","CS1","CS2","SB1","AE","CS/B","WEEKEND OUTFIELD RESERVE"},0)))</f>
        <v/>
      </c>
      <c r="AW40" s="74">
        <f>SUMPRODUCT(--(WEEKDAY(D$3:AH$3,2)&gt;5),--ISNUMBER(MATCH(D40:AH40,{"DM","CS1","CS2","SB1","AE","CS/B","WEEKEND OUTFIELD RESERVE"},0)))</f>
        <v/>
      </c>
      <c r="AX40" s="74" t="n"/>
      <c r="AY40" s="74">
        <f>(AT40-AU40)+AV40*1.5+(AW40-AX40)*2+AN40*0.5+AP40*0.5+AR40-AS40</f>
        <v/>
      </c>
      <c r="AZ40" s="74">
        <f>AT40+AV40+AW40</f>
        <v/>
      </c>
      <c r="BA40" s="74">
        <f>BD40+BF40+BH40+BJ40+BL40</f>
        <v/>
      </c>
      <c r="BB40" s="76">
        <f>AY40+BC40</f>
        <v/>
      </c>
      <c r="BC40" s="74">
        <f>BE40+BG40+BI40+BK40+BM40</f>
        <v/>
      </c>
      <c r="BD40" s="74">
        <f>COUNTIF(A40:AI40,"*$BTP*")</f>
        <v/>
      </c>
      <c r="BE40" s="74">
        <f>BD40*1.5</f>
        <v/>
      </c>
      <c r="BF40" s="74">
        <f>COUNTIF(A40:AI40,"*$M*")</f>
        <v/>
      </c>
      <c r="BG40" s="74">
        <f>BF40*1</f>
        <v/>
      </c>
      <c r="BH40" s="74">
        <f>COUNTIF(A40:AI40,"*$PM*")</f>
        <v/>
      </c>
      <c r="BI40" s="74">
        <f>BH40*0.5</f>
        <v/>
      </c>
      <c r="BJ40" s="74">
        <f>COUNTIF(A40:AI40,"*$AM*")</f>
        <v/>
      </c>
      <c r="BK40" s="74">
        <f>BJ40*0.5</f>
        <v/>
      </c>
      <c r="BL40" s="74">
        <f>COUNTIF(A40:AI40,"*$FC*")</f>
        <v/>
      </c>
      <c r="BM40" s="74">
        <f>BL40*1</f>
        <v/>
      </c>
      <c r="BN40" s="74">
        <f>(BB40-10)</f>
        <v/>
      </c>
      <c r="BO40" s="74">
        <f>COUNTIF($E40:$AA40,BO$4)</f>
        <v/>
      </c>
      <c r="BP40" s="74">
        <f>COUNTIF($E40:$AA40,BP$4)</f>
        <v/>
      </c>
      <c r="BQ40" s="74">
        <f>COUNTIF($E40:$AA40,BQ$4)</f>
        <v/>
      </c>
      <c r="BR40" s="74" t="n"/>
    </row>
    <row r="41" ht="19.5" customHeight="1">
      <c r="A41" s="77" t="n"/>
      <c r="B41" s="76" t="inlineStr">
        <is>
          <t>PTE MUHAMMAD HAMZA ZUBERI</t>
        </is>
      </c>
      <c r="C41" s="76" t="n"/>
      <c r="D41" s="107" t="n"/>
      <c r="E41" s="107" t="inlineStr">
        <is>
          <t>AE</t>
        </is>
      </c>
      <c r="F41" s="107" t="n"/>
      <c r="G41" s="107" t="inlineStr">
        <is>
          <t>SCH 3 $PM PERMSTAFF SOC (1730-1930)</t>
        </is>
      </c>
      <c r="I41" s="107" t="inlineStr">
        <is>
          <t>T $BTP (0500-2359)</t>
        </is>
      </c>
      <c r="K41" s="107" t="inlineStr">
        <is>
          <t>WEEKEND OUTFIELD RESERVE</t>
        </is>
      </c>
      <c r="L41" s="107" t="n"/>
      <c r="M41" s="107" t="n"/>
      <c r="N41" s="107" t="inlineStr">
        <is>
          <t>AE</t>
        </is>
      </c>
      <c r="P41" s="107" t="inlineStr">
        <is>
          <t>E $AM 8KM RM</t>
        </is>
      </c>
      <c r="Q41" s="107" t="n"/>
      <c r="R41" s="107" t="inlineStr">
        <is>
          <t>AE</t>
        </is>
      </c>
      <c r="S41" s="107" t="n"/>
      <c r="T41" s="107" t="n"/>
      <c r="U41" s="107" t="inlineStr">
        <is>
          <t>AE</t>
        </is>
      </c>
      <c r="W41" s="107" t="inlineStr">
        <is>
          <t>S $M RM (1400-2359)</t>
        </is>
      </c>
      <c r="X41" s="107" t="n"/>
      <c r="Y41" s="107" t="n"/>
      <c r="Z41" s="107" t="n"/>
      <c r="AA41" s="107" t="n"/>
      <c r="AB41" s="107" t="inlineStr">
        <is>
          <t>COVER RESERVE</t>
        </is>
      </c>
      <c r="AD41" s="107" t="n"/>
      <c r="AE41" s="107" t="n"/>
      <c r="AG41" s="107" t="inlineStr">
        <is>
          <t>GP REHEARSAL $M (0800-1800)</t>
        </is>
      </c>
      <c r="AH41" s="107" t="n"/>
      <c r="AI41" s="77">
        <f>COUNTIF($D41:$AG41,AI$4)</f>
        <v/>
      </c>
      <c r="AJ41" s="77">
        <f>COUNTIF($D41:$AG41,AJ$4)</f>
        <v/>
      </c>
      <c r="AK41" s="77">
        <f>COUNTIF($D41:$AG41,AK$4)</f>
        <v/>
      </c>
      <c r="AL41" s="77">
        <f>COUNTIF($D41:$AG41,AL$4)</f>
        <v/>
      </c>
      <c r="AM41" s="77">
        <f>COUNTIF($D41:$AG41,AM$4)</f>
        <v/>
      </c>
      <c r="AN41" s="77">
        <f>COUNTIF($D41:$AG41,AN$4)</f>
        <v/>
      </c>
      <c r="AO41" s="77">
        <f>COUNTIF($D41:$AG41,AO$4)</f>
        <v/>
      </c>
      <c r="AP41" s="77">
        <f>COUNTIF($D41:$AG41,AP$4)</f>
        <v/>
      </c>
      <c r="AQ41" s="77">
        <f>COUNTIF($D41:$AG41,AQ$4)</f>
        <v/>
      </c>
      <c r="AR41" s="76" t="n">
        <v>0</v>
      </c>
      <c r="AS41" s="76" t="n"/>
      <c r="AT41" s="77">
        <f>SUMPRODUCT(--(WEEKDAY(D$3:AH$3,2)&lt;5),--ISNUMBER(MATCH(D41:AH41,{"DM","CS1","CS2","SB1","AE","CS/B"},0)))</f>
        <v/>
      </c>
      <c r="AU41" s="77" t="n"/>
      <c r="AV41" s="77">
        <f>SUMPRODUCT(--(WEEKDAY(D$3:AH$3,2)=5),--ISNUMBER(MATCH(D41:AH41,{"DM","CS1","CS2","SB1","AE","CS/B","WEEKEND OUTFIELD RESERVE"},0)))</f>
        <v/>
      </c>
      <c r="AW41" s="77">
        <f>SUMPRODUCT(--(WEEKDAY(D$3:AH$3,2)&gt;5),--ISNUMBER(MATCH(D41:AH41,{"DM","CS1","CS2","SB1","AE","CS/B","WEEKEND OUTFIELD RESERVE"},0)))</f>
        <v/>
      </c>
      <c r="AX41" s="77" t="n"/>
      <c r="AY41" s="77">
        <f>(AT41-AU41)+AV41*1.5+(AW41-AX41)*2+AN41*0.5+AP41*0.5+AR41-AS41</f>
        <v/>
      </c>
      <c r="AZ41" s="77">
        <f>AT41+AV41+AW41</f>
        <v/>
      </c>
      <c r="BA41" s="77">
        <f>BD41+BF41+BH41+BJ41+BL41</f>
        <v/>
      </c>
      <c r="BB41" s="76">
        <f>AY41+BC41</f>
        <v/>
      </c>
      <c r="BC41" s="77">
        <f>BE41+BG41+BI41+BK41+BM41</f>
        <v/>
      </c>
      <c r="BD41" s="77">
        <f>COUNTIF(A41:AI41,"*$BTP*")</f>
        <v/>
      </c>
      <c r="BE41" s="77">
        <f>BD41*1.5</f>
        <v/>
      </c>
      <c r="BF41" s="77">
        <f>COUNTIF(A41:AI41,"*$M*")</f>
        <v/>
      </c>
      <c r="BG41" s="77">
        <f>BF41*1</f>
        <v/>
      </c>
      <c r="BH41" s="77">
        <f>COUNTIF(A41:AI41,"*$PM*")</f>
        <v/>
      </c>
      <c r="BI41" s="77">
        <f>BH41*0.5</f>
        <v/>
      </c>
      <c r="BJ41" s="77">
        <f>COUNTIF(A41:AI41,"*$AM*")</f>
        <v/>
      </c>
      <c r="BK41" s="77">
        <f>BJ41*0.5</f>
        <v/>
      </c>
      <c r="BL41" s="77">
        <f>COUNTIF(A41:AI41,"*$FC*")</f>
        <v/>
      </c>
      <c r="BM41" s="77">
        <f>BL41*1</f>
        <v/>
      </c>
      <c r="BN41" s="77">
        <f>(BB41-10)</f>
        <v/>
      </c>
      <c r="BO41" s="77">
        <f>COUNTIF($E41:$AA41,BO$4)</f>
        <v/>
      </c>
      <c r="BP41" s="77">
        <f>COUNTIF($E41:$AA41,BP$4)</f>
        <v/>
      </c>
      <c r="BQ41" s="77">
        <f>COUNTIF($E41:$AA41,BQ$4)</f>
        <v/>
      </c>
      <c r="BR41" s="77" t="n"/>
    </row>
    <row r="42" ht="19.5" customHeight="1">
      <c r="A42" s="74" t="n"/>
      <c r="B42" s="76" t="inlineStr">
        <is>
          <t>PTE RAGURAMAN ANIRUDH</t>
        </is>
      </c>
      <c r="C42" s="76" t="n"/>
      <c r="D42" s="110" t="n"/>
      <c r="E42" s="110" t="n"/>
      <c r="F42" s="110" t="inlineStr">
        <is>
          <t>AE</t>
        </is>
      </c>
      <c r="G42" s="110" t="n"/>
      <c r="H42" s="110" t="inlineStr">
        <is>
          <t>AE</t>
        </is>
      </c>
      <c r="J42" s="110" t="inlineStr">
        <is>
          <t>J $PM 8KM RM (1530-2000)</t>
        </is>
      </c>
      <c r="L42" s="110" t="n"/>
      <c r="M42" s="110" t="n"/>
      <c r="N42" s="110" t="n"/>
      <c r="O42" s="110" t="n"/>
      <c r="P42" s="110" t="inlineStr">
        <is>
          <t>J $AM IPPT (0500-1100)</t>
        </is>
      </c>
      <c r="Q42" s="110" t="inlineStr">
        <is>
          <t>COVER RESERVE</t>
        </is>
      </c>
      <c r="R42" s="110" t="inlineStr">
        <is>
          <t>OIL</t>
        </is>
      </c>
      <c r="S42" s="110" t="n"/>
      <c r="T42" s="110" t="n"/>
      <c r="U42" s="110" t="inlineStr">
        <is>
          <t>AL</t>
        </is>
      </c>
      <c r="W42" s="110" t="inlineStr">
        <is>
          <t>PHLEBO</t>
        </is>
      </c>
      <c r="X42" s="147" t="inlineStr">
        <is>
          <t>PHLEBO</t>
        </is>
      </c>
      <c r="Y42" s="110" t="inlineStr">
        <is>
          <t>PHLEBO</t>
        </is>
      </c>
      <c r="Z42" s="110" t="n"/>
      <c r="AA42" s="110" t="inlineStr">
        <is>
          <t>AE</t>
        </is>
      </c>
      <c r="AB42" s="110" t="inlineStr">
        <is>
          <t>J $M 12KM RM (1400-2359)</t>
        </is>
      </c>
      <c r="AC42" s="110" t="n"/>
      <c r="AD42" s="110" t="inlineStr">
        <is>
          <t>SB1</t>
        </is>
      </c>
      <c r="AE42" s="110" t="n"/>
      <c r="AF42" s="110" t="inlineStr">
        <is>
          <t>GP REHEARSAL $M (0800-1800)</t>
        </is>
      </c>
      <c r="AG42" s="110" t="n"/>
      <c r="AH42" s="110" t="n"/>
      <c r="AI42" s="74">
        <f>COUNTIF($D42:$AG42,AI$4)</f>
        <v/>
      </c>
      <c r="AJ42" s="74">
        <f>COUNTIF($D42:$AG42,AJ$4)</f>
        <v/>
      </c>
      <c r="AK42" s="74">
        <f>COUNTIF($D42:$AG42,AK$4)</f>
        <v/>
      </c>
      <c r="AL42" s="74">
        <f>COUNTIF($D42:$AG42,AL$4)</f>
        <v/>
      </c>
      <c r="AM42" s="74">
        <f>COUNTIF($D42:$AG42,AM$4)</f>
        <v/>
      </c>
      <c r="AN42" s="74">
        <f>COUNTIF($D42:$AG42,AN$4)</f>
        <v/>
      </c>
      <c r="AO42" s="74">
        <f>COUNTIF($D42:$AG42,AO$4)</f>
        <v/>
      </c>
      <c r="AP42" s="74">
        <f>COUNTIF($D42:$AG42,AP$4)</f>
        <v/>
      </c>
      <c r="AQ42" s="74">
        <f>COUNTIF($D42:$AG42,AQ$4)</f>
        <v/>
      </c>
      <c r="AR42" s="76" t="n">
        <v>0.5</v>
      </c>
      <c r="AS42" s="76" t="n"/>
      <c r="AT42" s="74">
        <f>SUMPRODUCT(--(WEEKDAY(D$3:AH$3,2)&lt;5),--ISNUMBER(MATCH(D42:AH42,{"DM","CS1","CS2","SB1","AE","CS/B"},0)))</f>
        <v/>
      </c>
      <c r="AU42" s="74" t="n"/>
      <c r="AV42" s="74">
        <f>SUMPRODUCT(--(WEEKDAY(D$3:AH$3,2)=5),--ISNUMBER(MATCH(D42:AH42,{"DM","CS1","CS2","SB1","AE","CS/B","WEEKEND OUTFIELD RESERVE"},0)))</f>
        <v/>
      </c>
      <c r="AW42" s="74">
        <f>SUMPRODUCT(--(WEEKDAY(D$3:AH$3,2)&gt;5),--ISNUMBER(MATCH(D42:AH42,{"DM","CS1","CS2","SB1","AE","CS/B","WEEKEND OUTFIELD RESERVE"},0)))</f>
        <v/>
      </c>
      <c r="AX42" s="74" t="n"/>
      <c r="AY42" s="74">
        <f>(AT42-AU42)+AV42*1.5+(AW42-AX42)*2+AN42*0.5+AP42*0.5+AR42-AS42</f>
        <v/>
      </c>
      <c r="AZ42" s="74">
        <f>AT42+AV42+AW42</f>
        <v/>
      </c>
      <c r="BA42" s="74">
        <f>BD42+BF42+BH42+BJ42+BL42</f>
        <v/>
      </c>
      <c r="BB42" s="76">
        <f>AY42+BC42</f>
        <v/>
      </c>
      <c r="BC42" s="74">
        <f>BE42+BG42+BI42+BK42+BM42</f>
        <v/>
      </c>
      <c r="BD42" s="74">
        <f>COUNTIF(A42:AI42,"*$BTP*")</f>
        <v/>
      </c>
      <c r="BE42" s="74">
        <f>BD42*1.5</f>
        <v/>
      </c>
      <c r="BF42" s="74">
        <f>COUNTIF(A42:AI42,"*$M*")</f>
        <v/>
      </c>
      <c r="BG42" s="74">
        <f>BF42*1</f>
        <v/>
      </c>
      <c r="BH42" s="74">
        <f>COUNTIF(A42:AI42,"*$PM*")</f>
        <v/>
      </c>
      <c r="BI42" s="74">
        <f>BH42*0.5</f>
        <v/>
      </c>
      <c r="BJ42" s="74">
        <f>COUNTIF(A42:AI42,"*$AM*")</f>
        <v/>
      </c>
      <c r="BK42" s="74">
        <f>BJ42*0.5</f>
        <v/>
      </c>
      <c r="BL42" s="74">
        <f>COUNTIF(A42:AI42,"*$FC*")</f>
        <v/>
      </c>
      <c r="BM42" s="74">
        <f>BL42*1</f>
        <v/>
      </c>
      <c r="BN42" s="74">
        <f>(BB42-10)</f>
        <v/>
      </c>
      <c r="BO42" s="74">
        <f>COUNTIF($E42:$Z42,BO$4)</f>
        <v/>
      </c>
      <c r="BP42" s="74">
        <f>COUNTIF($E42:$Z42,BP$4)</f>
        <v/>
      </c>
      <c r="BQ42" s="74">
        <f>COUNTIF($E42:$Z42,BQ$4)</f>
        <v/>
      </c>
      <c r="BR42" s="74" t="n"/>
    </row>
    <row r="43" ht="19.5" customHeight="1">
      <c r="A43" s="77" t="n"/>
      <c r="B43" s="107" t="n"/>
      <c r="C43" s="107" t="n"/>
      <c r="D43" s="107" t="n"/>
      <c r="E43" s="107" t="n"/>
      <c r="F43" s="107" t="n"/>
      <c r="G43" s="107" t="n"/>
      <c r="H43" s="107" t="n"/>
      <c r="I43" s="107" t="n"/>
      <c r="J43" s="107" t="n"/>
      <c r="K43" s="107" t="n"/>
      <c r="L43" s="107" t="n"/>
      <c r="M43" s="107" t="n"/>
      <c r="N43" s="107" t="n"/>
      <c r="O43" s="107" t="n"/>
      <c r="P43" s="107" t="n"/>
      <c r="Q43" s="107" t="n"/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n"/>
      <c r="AI43" s="77" t="n"/>
      <c r="AJ43" s="77" t="n"/>
      <c r="AK43" s="77" t="n"/>
      <c r="AL43" s="77" t="n"/>
      <c r="AM43" s="77" t="n"/>
      <c r="AN43" s="77" t="n"/>
      <c r="AO43" s="77" t="n"/>
      <c r="AP43" s="77" t="n"/>
      <c r="AQ43" s="77" t="n"/>
      <c r="AR43" s="76" t="n"/>
      <c r="AS43" s="76" t="n"/>
      <c r="AT43" s="77" t="n"/>
      <c r="AU43" s="77" t="n"/>
      <c r="AV43" s="77" t="n"/>
      <c r="AW43" s="77">
        <f>SUMPRODUCT(--(WEEKDAY(D$3:AG$3,2)&gt;5),--ISNUMBER(MATCH(D43:AG43,{"DM","CS1","CS2","SB1","AE","CS/B"},0)))</f>
        <v/>
      </c>
      <c r="AX43" s="77" t="n"/>
      <c r="AY43" s="77" t="n"/>
      <c r="AZ43" s="77" t="n"/>
      <c r="BA43" s="77" t="n"/>
      <c r="BB43" s="76" t="n"/>
      <c r="BC43" s="77" t="n"/>
      <c r="BD43" s="77" t="n"/>
      <c r="BE43" s="77" t="n"/>
      <c r="BF43" s="77" t="n"/>
      <c r="BG43" s="77" t="n"/>
      <c r="BH43" s="77" t="n"/>
      <c r="BI43" s="77" t="n"/>
      <c r="BJ43" s="77" t="n"/>
      <c r="BK43" s="77" t="n"/>
      <c r="BL43" s="77" t="n"/>
      <c r="BM43" s="77" t="n"/>
      <c r="BN43" s="77" t="n"/>
      <c r="BO43" s="77" t="n"/>
      <c r="BP43" s="77" t="n"/>
      <c r="BQ43" s="77" t="n"/>
      <c r="BR43" s="77" t="n"/>
    </row>
    <row r="44" ht="19.5" customHeight="1">
      <c r="A44" s="74" t="n"/>
      <c r="B44" s="110" t="inlineStr">
        <is>
          <t>DM</t>
        </is>
      </c>
      <c r="C44" s="110" t="n"/>
      <c r="D44" s="150">
        <f>INDEX($B$4:$B$42,MATCH($B44,D$4:D$42,0))</f>
        <v/>
      </c>
      <c r="E44" s="150">
        <f>INDEX($B$4:$B$42,MATCH($B44,E$4:E$42,0))</f>
        <v/>
      </c>
      <c r="F44" s="150">
        <f>INDEX($B$4:$B$42,MATCH($B44,F$4:F$42,0))</f>
        <v/>
      </c>
      <c r="G44" s="150">
        <f>INDEX($B$4:$B$42,MATCH($B44,G$4:G$42,0))</f>
        <v/>
      </c>
      <c r="H44" s="150">
        <f>INDEX($B$4:$B$42,MATCH($B44,H$4:H$42,0))</f>
        <v/>
      </c>
      <c r="I44" s="150">
        <f>INDEX($B$4:$B$42,MATCH($B44,I$4:I$41,0))</f>
        <v/>
      </c>
      <c r="J44" s="150">
        <f>INDEX($B$4:$B$42,MATCH($B44,J$4:J$42,0))</f>
        <v/>
      </c>
      <c r="K44" s="150">
        <f>INDEX($B$4:$B$42,MATCH($B44,K$4:K$41,0))</f>
        <v/>
      </c>
      <c r="L44" s="150">
        <f>INDEX($B$4:$B$42,MATCH($B44,L$4:L$42,0))</f>
        <v/>
      </c>
      <c r="M44" s="150">
        <f>INDEX($B$4:$B$42,MATCH($B44,M$4:M$42,0))</f>
        <v/>
      </c>
      <c r="N44" s="150">
        <f>INDEX($B$4:$B$42,MATCH($B44,N$4:N$42,0))</f>
        <v/>
      </c>
      <c r="O44" s="150">
        <f>INDEX($B$4:$B$42,MATCH($B44,O$4:O$42,0))</f>
        <v/>
      </c>
      <c r="P44" s="150">
        <f>INDEX($B$4:$B$42,MATCH($B44,P$4:P$42,0))</f>
        <v/>
      </c>
      <c r="Q44" s="150">
        <f>INDEX($B$4:$B$42,MATCH($B44,Q$4:Q$42,0))</f>
        <v/>
      </c>
      <c r="R44" s="150">
        <f>INDEX($B$4:$B$42,MATCH($B44,R$4:R$42,0))</f>
        <v/>
      </c>
      <c r="S44" s="150">
        <f>INDEX($B$4:$B$42,MATCH($B44,S$4:S$42,0))</f>
        <v/>
      </c>
      <c r="T44" s="150">
        <f>INDEX($B$4:$B$42,MATCH($B44,T$4:T$42,0))</f>
        <v/>
      </c>
      <c r="U44" s="150">
        <f>INDEX($B$4:$B$42,MATCH($B44,U$4:U$42,0))</f>
        <v/>
      </c>
      <c r="V44" s="150">
        <f>INDEX($B$4:$B$42,MATCH($B44,V$4:V$41,0))</f>
        <v/>
      </c>
      <c r="W44" s="150">
        <f>INDEX($B$4:$B$42,MATCH($B44,W$4:W$42,0))</f>
        <v/>
      </c>
      <c r="X44" s="150">
        <f>INDEX($B$4:$B$42,MATCH($B44,X$4:X$41,0))</f>
        <v/>
      </c>
      <c r="Y44" s="150">
        <f>INDEX($B$4:$B$42,MATCH($B44,Y$4:Y$42,0))</f>
        <v/>
      </c>
      <c r="Z44" s="150" t="inlineStr">
        <is>
          <t> </t>
        </is>
      </c>
      <c r="AA44" s="150">
        <f t="array" ref="AA44">INDEX($B$4:$B$42,MATCH($B44,AA$4:AA$42,0))</f>
        <v/>
      </c>
      <c r="AB44" s="150">
        <f>INDEX($B$4:$B$42,MATCH($B44,AB$4:AB$41,0))</f>
        <v/>
      </c>
      <c r="AC44" s="150">
        <f>INDEX($B$4:$B$42,MATCH($B44,AC$4:AC$42,0))</f>
        <v/>
      </c>
      <c r="AD44" s="150">
        <f>INDEX($B$4:$B$42,MATCH($B44,AD$4:AD$42,0))</f>
        <v/>
      </c>
      <c r="AE44" s="150">
        <f>INDEX($B$4:$B$42,MATCH($B44,AE$4:AE$42,0))</f>
        <v/>
      </c>
      <c r="AF44" s="150">
        <f>INDEX($B$4:$B$42,MATCH($B44,AF$4:AF$42,0))</f>
        <v/>
      </c>
      <c r="AG44" s="150">
        <f>INDEX($B$4:$B$42,MATCH($B44,AG$4:AG$42,0))</f>
        <v/>
      </c>
      <c r="AH44" s="150">
        <f>INDEX($B$4:$B$42,MATCH($B44,AH$4:AH$42,0))</f>
        <v/>
      </c>
      <c r="AI44" s="74" t="n"/>
      <c r="AJ44" s="74" t="n"/>
      <c r="AK44" s="74" t="n"/>
      <c r="AL44" s="74" t="n"/>
      <c r="AM44" s="74" t="n"/>
      <c r="AN44" s="74" t="n"/>
      <c r="AO44" s="74" t="n"/>
      <c r="AP44" s="74" t="n"/>
      <c r="AQ44" s="74" t="n"/>
      <c r="AR44" s="76" t="n"/>
      <c r="AS44" s="76" t="n"/>
      <c r="AT44" s="74" t="n"/>
      <c r="AU44" s="74" t="n"/>
      <c r="AV44" s="74" t="n"/>
      <c r="AW44" s="74">
        <f>SUMPRODUCT(--(WEEKDAY(D$3:AG$3,2)&gt;5),--ISNUMBER(MATCH(D44:AG44,{"DM","CS1","CS2","SB1","AE","CS/B"},0)))</f>
        <v/>
      </c>
      <c r="AX44" s="74" t="n"/>
      <c r="AY44" s="74" t="n"/>
      <c r="AZ44" s="74" t="n"/>
      <c r="BA44" s="74" t="n"/>
      <c r="BB44" s="76" t="n"/>
      <c r="BC44" s="74" t="n"/>
      <c r="BD44" s="74" t="n"/>
      <c r="BE44" s="74" t="n"/>
      <c r="BF44" s="74" t="n"/>
      <c r="BG44" s="74" t="n"/>
      <c r="BH44" s="74" t="n"/>
      <c r="BI44" s="74" t="n"/>
      <c r="BJ44" s="74" t="n"/>
      <c r="BK44" s="74" t="n"/>
      <c r="BL44" s="74" t="n"/>
      <c r="BM44" s="74" t="n"/>
      <c r="BN44" s="74" t="n"/>
      <c r="BO44" s="74" t="n"/>
      <c r="BP44" s="74" t="n"/>
      <c r="BQ44" s="74" t="n"/>
      <c r="BR44" s="74" t="n"/>
    </row>
    <row r="45" ht="19.5" customHeight="1">
      <c r="A45" s="77" t="n"/>
      <c r="B45" s="107" t="inlineStr">
        <is>
          <t>CS1</t>
        </is>
      </c>
      <c r="C45" s="107" t="n"/>
      <c r="D45" s="103">
        <f>INDEX($B$4:$B$42,MATCH($B45,D$4:D$42,0))</f>
        <v/>
      </c>
      <c r="E45" s="103">
        <f>INDEX($B$4:$B$42,MATCH($B45,E$4:E$42,0))</f>
        <v/>
      </c>
      <c r="F45" s="103">
        <f>INDEX($B$4:$B$42,MATCH($B45,F$4:F$42,0))</f>
        <v/>
      </c>
      <c r="G45" s="103">
        <f>INDEX($B$4:$B$42,MATCH($B45,G$4:G$42,0))</f>
        <v/>
      </c>
      <c r="H45" s="103">
        <f>INDEX($B$4:$B$42,MATCH($B45,H$4:H$42,0))</f>
        <v/>
      </c>
      <c r="I45" s="103">
        <f>INDEX($B$4:$B$42,MATCH($B45,I$4:I$41,0))</f>
        <v/>
      </c>
      <c r="J45" s="103">
        <f>INDEX($B$4:$B$42,MATCH($B45,J$4:J$42,0))</f>
        <v/>
      </c>
      <c r="K45" s="103">
        <f>INDEX($B$4:$B$42,MATCH($B45,K$4:K$41,0))</f>
        <v/>
      </c>
      <c r="L45" s="103">
        <f>INDEX($B$4:$B$42,MATCH($B45,L$4:L$42,0))</f>
        <v/>
      </c>
      <c r="M45" s="103">
        <f>INDEX($B$4:$B$42,MATCH($B45,M$4:M$42,0))</f>
        <v/>
      </c>
      <c r="N45" s="103">
        <f>INDEX($B$4:$B$42,MATCH($B45,N$4:N$42,0))</f>
        <v/>
      </c>
      <c r="O45" s="103">
        <f>INDEX($B$4:$B$42,MATCH($B45,O$4:O$42,0))</f>
        <v/>
      </c>
      <c r="P45" s="103">
        <f>INDEX($B$4:$B$42,MATCH($B45,P$4:P$42,0))</f>
        <v/>
      </c>
      <c r="Q45" s="103">
        <f>INDEX($B$4:$B$42,MATCH($B45,Q$4:Q$42,0))</f>
        <v/>
      </c>
      <c r="R45" s="103">
        <f>INDEX($B$4:$B$42,MATCH($B45,R$4:R$42,0))</f>
        <v/>
      </c>
      <c r="S45" s="103">
        <f>INDEX($B$4:$B$42,MATCH($B45,S$4:S$42,0))</f>
        <v/>
      </c>
      <c r="T45" s="103">
        <f>INDEX($B$4:$B$42,MATCH($B45,T$4:T$42,0))</f>
        <v/>
      </c>
      <c r="U45" s="103">
        <f>INDEX($B$4:$B$42,MATCH($B45,U$4:U$42,0))</f>
        <v/>
      </c>
      <c r="V45" s="103">
        <f>INDEX($B$4:$B$42,MATCH($B45,V$4:V$41,0))</f>
        <v/>
      </c>
      <c r="W45" s="103">
        <f>INDEX($B$4:$B$42,MATCH($B45,W$4:W$42,0))</f>
        <v/>
      </c>
      <c r="X45" s="103">
        <f>INDEX($B$4:$B$42,MATCH($B45,X$4:X$41,0))</f>
        <v/>
      </c>
      <c r="Y45" s="103">
        <f>INDEX($B$4:$B$42,MATCH($B45,Y$4:Y$42,0))</f>
        <v/>
      </c>
      <c r="Z45" s="103">
        <f>INDEX($B$4:$B$42,MATCH($B45,Z$4:Z$42,0))</f>
        <v/>
      </c>
      <c r="AA45" s="103">
        <f>INDEX($B$4:$B$42,MATCH($B45,AA$4:AA$42,0))</f>
        <v/>
      </c>
      <c r="AB45" s="103">
        <f>INDEX($B$4:$B$42,MATCH($B45,AB$4:AB$41,0))</f>
        <v/>
      </c>
      <c r="AC45" s="103">
        <f>INDEX($B$4:$B$42,MATCH($B45,AC$4:AC$42,0))</f>
        <v/>
      </c>
      <c r="AD45" s="103">
        <f>INDEX($B$4:$B$42,MATCH($B45,AD$4:AD$42,0))</f>
        <v/>
      </c>
      <c r="AE45" s="103">
        <f>INDEX($B$4:$B$42,MATCH($B45,AE$4:AE$42,0))</f>
        <v/>
      </c>
      <c r="AF45" s="103">
        <f>INDEX($B$4:$B$42,MATCH($B45,AF$4:AF$42,0))</f>
        <v/>
      </c>
      <c r="AG45" s="103">
        <f>INDEX($B$4:$B$42,MATCH($B45,AG$4:AG$42,0))</f>
        <v/>
      </c>
      <c r="AH45" s="103">
        <f>INDEX($B$4:$B$42,MATCH($B45,AH$4:AH$42,0))</f>
        <v/>
      </c>
      <c r="AI45" s="77" t="n"/>
      <c r="AJ45" s="77" t="n"/>
      <c r="AK45" s="77" t="n"/>
      <c r="AL45" s="77" t="n"/>
      <c r="AM45" s="77" t="n"/>
      <c r="AN45" s="77" t="n"/>
      <c r="AO45" s="77" t="n"/>
      <c r="AP45" s="77" t="n"/>
      <c r="AQ45" s="77" t="n"/>
      <c r="AR45" s="76" t="n"/>
      <c r="AS45" s="76" t="n"/>
      <c r="AT45" s="77" t="n"/>
      <c r="AU45" s="77" t="n"/>
      <c r="AV45" s="77" t="n"/>
      <c r="AW45" s="77">
        <f>SUMPRODUCT(--(WEEKDAY(D$3:AG$3,2)&gt;5),--ISNUMBER(MATCH(D45:AG45,{"DM","CS1","CS2","SB1","AE","CS/B"},0)))</f>
        <v/>
      </c>
      <c r="AX45" s="77" t="n"/>
      <c r="AY45" s="77" t="n"/>
      <c r="AZ45" s="77" t="n"/>
      <c r="BA45" s="77" t="n"/>
      <c r="BB45" s="76" t="n"/>
      <c r="BC45" s="77" t="n"/>
      <c r="BD45" s="77" t="n"/>
      <c r="BE45" s="77" t="n"/>
      <c r="BF45" s="77" t="n"/>
      <c r="BG45" s="77" t="n"/>
      <c r="BH45" s="77" t="n"/>
      <c r="BI45" s="77" t="n"/>
      <c r="BJ45" s="77" t="n"/>
      <c r="BK45" s="77" t="n"/>
      <c r="BL45" s="77" t="n"/>
      <c r="BM45" s="77" t="n"/>
      <c r="BN45" s="77" t="n"/>
      <c r="BO45" s="77" t="n"/>
      <c r="BP45" s="77" t="n"/>
      <c r="BQ45" s="77" t="n"/>
      <c r="BR45" s="77" t="n"/>
    </row>
    <row r="46" ht="19.5" customHeight="1">
      <c r="A46" s="74" t="n"/>
      <c r="B46" s="110" t="inlineStr">
        <is>
          <t>CS2</t>
        </is>
      </c>
      <c r="C46" s="110" t="n"/>
      <c r="D46" s="150">
        <f>INDEX($B$4:$B$42,MATCH($B46,D$4:D$42,0))</f>
        <v/>
      </c>
      <c r="E46" s="150">
        <f>INDEX($B$4:$B$42,MATCH($B46,E$4:E$42,0))</f>
        <v/>
      </c>
      <c r="F46" s="150">
        <f>INDEX($B$4:$B$42,MATCH($B46,F$4:F$42,0))</f>
        <v/>
      </c>
      <c r="G46" s="150">
        <f>INDEX($B$4:$B$42,MATCH($B46,G$4:G$42,0))</f>
        <v/>
      </c>
      <c r="H46" s="150">
        <f>INDEX($B$4:$B$42,MATCH($B46,H$4:H$42,0))</f>
        <v/>
      </c>
      <c r="I46" s="150">
        <f>INDEX($B$4:$B$42,MATCH($B46,I$4:I$41,0))</f>
        <v/>
      </c>
      <c r="J46" s="150">
        <f>INDEX($B$4:$B$42,MATCH($B46,J$4:J$42,0))</f>
        <v/>
      </c>
      <c r="K46" s="150">
        <f>INDEX($B$4:$B$42,MATCH($B46,K$4:K$41,0))</f>
        <v/>
      </c>
      <c r="L46" s="150">
        <f>INDEX($B$4:$B$42,MATCH($B46,L$4:L$42,0))</f>
        <v/>
      </c>
      <c r="M46" s="150">
        <f>INDEX($B$4:$B$42,MATCH($B46,M$4:M$42,0))</f>
        <v/>
      </c>
      <c r="N46" s="150">
        <f>INDEX($B$4:$B$42,MATCH($B46,N$4:N$42,0))</f>
        <v/>
      </c>
      <c r="O46" s="150">
        <f>INDEX($B$4:$B$42,MATCH($B46,O$4:O$42,0))</f>
        <v/>
      </c>
      <c r="P46" s="150">
        <f>INDEX($B$4:$B$42,MATCH($B46,P$4:P$42,0))</f>
        <v/>
      </c>
      <c r="Q46" s="150">
        <f>INDEX($B$4:$B$42,MATCH($B46,Q$4:Q$42,0))</f>
        <v/>
      </c>
      <c r="R46" s="150">
        <f>INDEX($B$4:$B$42,MATCH($B46,R$4:R$42,0))</f>
        <v/>
      </c>
      <c r="S46" s="150">
        <f>INDEX($B$4:$B$42,MATCH($B46,S$4:S$42,0))</f>
        <v/>
      </c>
      <c r="T46" s="150">
        <f>INDEX($B$4:$B$42,MATCH($B46,T$4:T$42,0))</f>
        <v/>
      </c>
      <c r="U46" s="150">
        <f>INDEX($B$4:$B$42,MATCH($B46,U$4:U$42,0))</f>
        <v/>
      </c>
      <c r="V46" s="150">
        <f>INDEX($B$4:$B$42,MATCH($B46,V$4:V$41,0))</f>
        <v/>
      </c>
      <c r="W46" s="150">
        <f>INDEX($B$4:$B$42,MATCH($B46,W$4:W$42,0))</f>
        <v/>
      </c>
      <c r="X46" s="150">
        <f>INDEX($B$4:$B$42,MATCH($B46,X$4:X$41,0))</f>
        <v/>
      </c>
      <c r="Y46" s="150">
        <f>INDEX($B$4:$B$42,MATCH($B46,Y$4:Y$42,0))</f>
        <v/>
      </c>
      <c r="Z46" s="150">
        <f>INDEX($B$4:$B$42,MATCH($B46,Z$4:Z$42,0))</f>
        <v/>
      </c>
      <c r="AA46" s="150">
        <f>INDEX($B$4:$B$42,MATCH($B46,AA$4:AA$42,0))</f>
        <v/>
      </c>
      <c r="AB46" s="150">
        <f>INDEX($B$4:$B$42,MATCH($B46,AB$4:AB$41,0))</f>
        <v/>
      </c>
      <c r="AC46" s="150">
        <f>INDEX($B$4:$B$42,MATCH($B46,AC$4:AC$42,0))</f>
        <v/>
      </c>
      <c r="AD46" s="150">
        <f>INDEX($B$4:$B$42,MATCH($B46,AD$4:AD$42,0))</f>
        <v/>
      </c>
      <c r="AE46" s="150">
        <f>INDEX($B$4:$B$42,MATCH($B46,AE$4:AE$42,0))</f>
        <v/>
      </c>
      <c r="AF46" s="150">
        <f>INDEX($B$4:$B$42,MATCH($B46,AF$4:AF$42,0))</f>
        <v/>
      </c>
      <c r="AG46" s="150">
        <f>INDEX($B$4:$B$42,MATCH($B46,AG$4:AG$42,0))</f>
        <v/>
      </c>
      <c r="AH46" s="150">
        <f>INDEX($B$4:$B$42,MATCH($B46,AH$4:AH$42,0))</f>
        <v/>
      </c>
      <c r="AI46" s="74" t="n"/>
      <c r="AJ46" s="74" t="n"/>
      <c r="AK46" s="74" t="n"/>
      <c r="AL46" s="74" t="n"/>
      <c r="AM46" s="74" t="n"/>
      <c r="AN46" s="74" t="n"/>
      <c r="AO46" s="74" t="n"/>
      <c r="AP46" s="74" t="n"/>
      <c r="AQ46" s="74" t="n"/>
      <c r="AR46" s="76" t="n"/>
      <c r="AS46" s="76" t="n"/>
      <c r="AT46" s="74" t="n"/>
      <c r="AU46" s="74" t="n"/>
      <c r="AV46" s="74" t="n"/>
      <c r="AW46" s="74">
        <f>SUMPRODUCT(--(WEEKDAY(D$3:AG$3,2)&gt;5),--ISNUMBER(MATCH(D46:AG46,{"DM","CS1","CS2","SB1","AE","CS/B"},0)))</f>
        <v/>
      </c>
      <c r="AX46" s="74" t="n"/>
      <c r="AY46" s="74" t="n"/>
      <c r="AZ46" s="74" t="n"/>
      <c r="BA46" s="74" t="n"/>
      <c r="BB46" s="76" t="n"/>
      <c r="BC46" s="74" t="n"/>
      <c r="BD46" s="74" t="n"/>
      <c r="BE46" s="74" t="n"/>
      <c r="BF46" s="74" t="n"/>
      <c r="BG46" s="74" t="n"/>
      <c r="BH46" s="74" t="n"/>
      <c r="BI46" s="74" t="n"/>
      <c r="BJ46" s="74" t="n"/>
      <c r="BK46" s="74" t="n"/>
      <c r="BL46" s="74" t="n"/>
      <c r="BM46" s="74" t="n"/>
      <c r="BN46" s="74" t="n"/>
      <c r="BO46" s="74" t="n"/>
      <c r="BP46" s="74" t="n"/>
      <c r="BQ46" s="74" t="n"/>
      <c r="BR46" s="74" t="n"/>
    </row>
    <row r="47" ht="19.5" customHeight="1">
      <c r="A47" s="77" t="n"/>
      <c r="B47" s="107" t="inlineStr">
        <is>
          <t>CS/B</t>
        </is>
      </c>
      <c r="C47" s="107" t="n"/>
      <c r="D47" s="103">
        <f>INDEX($B$4:$B$42,MATCH($B47,D$4:D$42,0))</f>
        <v/>
      </c>
      <c r="E47" s="103">
        <f>INDEX($B$4:$B$42,MATCH($B47,E$4:E$42,0))</f>
        <v/>
      </c>
      <c r="F47" s="103">
        <f>INDEX($B$4:$B$42,MATCH($B47,F$4:F$42,0))</f>
        <v/>
      </c>
      <c r="G47" s="103">
        <f>INDEX($B$4:$B$42,MATCH($B47,G$4:G$42,0))</f>
        <v/>
      </c>
      <c r="H47" s="103">
        <f>INDEX($B$4:$B$42,MATCH($B47,H$4:H$42,0))</f>
        <v/>
      </c>
      <c r="I47" s="103">
        <f>INDEX($B$4:$B$42,MATCH($B47,I$4:I$41,0))</f>
        <v/>
      </c>
      <c r="J47" s="103">
        <f>INDEX($B$4:$B$42,MATCH($B47,J$4:J$42,0))</f>
        <v/>
      </c>
      <c r="K47" s="103">
        <f>INDEX($B$4:$B$42,MATCH($B47,K$4:K$41,0))</f>
        <v/>
      </c>
      <c r="L47" s="103">
        <f>INDEX($B$4:$B$42,MATCH($B47,L$4:L$42,0))</f>
        <v/>
      </c>
      <c r="M47" s="103">
        <f>INDEX($B$4:$B$42,MATCH($B47,M$4:M$42,0))</f>
        <v/>
      </c>
      <c r="N47" s="103">
        <f>INDEX($B$4:$B$42,MATCH($B47,N$4:N$42,0))</f>
        <v/>
      </c>
      <c r="O47" s="103">
        <f>INDEX($B$4:$B$42,MATCH($B47,O$4:O$42,0))</f>
        <v/>
      </c>
      <c r="P47" s="103">
        <f>INDEX($B$4:$B$42,MATCH($B47,P$4:P$42,0))</f>
        <v/>
      </c>
      <c r="Q47" s="103">
        <f>INDEX($B$4:$B$42,MATCH($B47,Q$4:Q$42,0))</f>
        <v/>
      </c>
      <c r="R47" s="103">
        <f>INDEX($B$4:$B$42,MATCH($B47,R$4:R$42,0))</f>
        <v/>
      </c>
      <c r="S47" s="103">
        <f>INDEX($B$4:$B$42,MATCH($B47,S$4:S$42,0))</f>
        <v/>
      </c>
      <c r="T47" s="103">
        <f>INDEX($B$4:$B$42,MATCH($B47,T$4:T$42,0))</f>
        <v/>
      </c>
      <c r="U47" s="103">
        <f>INDEX($B$4:$B$42,MATCH($B47,U$4:U$42,0))</f>
        <v/>
      </c>
      <c r="V47" s="103">
        <f>INDEX($B$4:$B$42,MATCH($B47,V$4:V$41,0))</f>
        <v/>
      </c>
      <c r="W47" s="103">
        <f>INDEX($B$4:$B$42,MATCH($B47,W$4:W$42,0))</f>
        <v/>
      </c>
      <c r="X47" s="103">
        <f>INDEX($B$4:$B$42,MATCH($B47,X$4:X$41,0))</f>
        <v/>
      </c>
      <c r="Y47" s="103">
        <f>INDEX($B$4:$B$42,MATCH($B47,Y$4:Y$42,0))</f>
        <v/>
      </c>
      <c r="Z47" s="103">
        <f>INDEX($B$4:$B$42,MATCH($B47,Z$4:Z$42,0))</f>
        <v/>
      </c>
      <c r="AA47" s="103">
        <f>INDEX($B$4:$B$42,MATCH($B47,AA$4:AA$42,0))</f>
        <v/>
      </c>
      <c r="AB47" s="103">
        <f>INDEX($B$4:$B$42,MATCH($B47,AB$4:AB$41,0))</f>
        <v/>
      </c>
      <c r="AC47" s="103">
        <f>INDEX($B$4:$B$42,MATCH($B47,AC$4:AC$42,0))</f>
        <v/>
      </c>
      <c r="AD47" s="103">
        <f>INDEX($B$4:$B$42,MATCH($B47,AD$4:AD$42,0))</f>
        <v/>
      </c>
      <c r="AE47" s="103">
        <f>INDEX($B$4:$B$42,MATCH($B47,AE$4:AE$42,0))</f>
        <v/>
      </c>
      <c r="AF47" s="103">
        <f>INDEX($B$4:$B$42,MATCH($B47,AF$4:AF$42,0))</f>
        <v/>
      </c>
      <c r="AG47" s="103">
        <f>INDEX($B$4:$B$42,MATCH($B47,AG$4:AG$42,0))</f>
        <v/>
      </c>
      <c r="AH47" s="103">
        <f>INDEX($B$4:$B$42,MATCH($B47,AH$4:AH$42,0))</f>
        <v/>
      </c>
      <c r="AI47" s="77" t="n"/>
      <c r="AJ47" s="77" t="n"/>
      <c r="AK47" s="77" t="n"/>
      <c r="AL47" s="77" t="n"/>
      <c r="AM47" s="77" t="n"/>
      <c r="AN47" s="77" t="n"/>
      <c r="AO47" s="77" t="n"/>
      <c r="AP47" s="77" t="n"/>
      <c r="AQ47" s="77" t="n"/>
      <c r="AR47" s="76" t="n"/>
      <c r="AS47" s="76" t="n"/>
      <c r="AT47" s="77" t="n"/>
      <c r="AU47" s="77" t="n"/>
      <c r="AV47" s="77" t="n"/>
      <c r="AW47" s="77">
        <f>SUMPRODUCT(--(WEEKDAY(D$3:AG$3,2)&gt;5),--ISNUMBER(MATCH(D47:AG47,{"DM","CS1","CS2","SB1","AE","CS/B"},0)))</f>
        <v/>
      </c>
      <c r="AX47" s="77" t="n"/>
      <c r="AY47" s="77" t="n"/>
      <c r="AZ47" s="77" t="n"/>
      <c r="BA47" s="77" t="n"/>
      <c r="BB47" s="76" t="n"/>
      <c r="BC47" s="77" t="n"/>
      <c r="BD47" s="77" t="n"/>
      <c r="BE47" s="77" t="n"/>
      <c r="BF47" s="77" t="n"/>
      <c r="BG47" s="77" t="n"/>
      <c r="BH47" s="77" t="n"/>
      <c r="BI47" s="77" t="n"/>
      <c r="BJ47" s="77" t="n"/>
      <c r="BK47" s="77" t="n"/>
      <c r="BL47" s="77" t="n"/>
      <c r="BM47" s="77" t="n"/>
      <c r="BN47" s="77" t="n"/>
      <c r="BO47" s="77" t="n"/>
      <c r="BP47" s="77" t="n"/>
      <c r="BQ47" s="77" t="n"/>
      <c r="BR47" s="77" t="n"/>
    </row>
    <row r="48" ht="19.5" customHeight="1">
      <c r="A48" s="74" t="n"/>
      <c r="B48" s="110" t="inlineStr">
        <is>
          <t>SB1</t>
        </is>
      </c>
      <c r="C48" s="110" t="n"/>
      <c r="D48" s="150">
        <f>INDEX($B$4:$B$42,MATCH($B48,D$4:D$42,0))</f>
        <v/>
      </c>
      <c r="E48" s="150">
        <f>INDEX($B$4:$B$42,MATCH($B48,E$4:E$42,0))</f>
        <v/>
      </c>
      <c r="F48" s="150">
        <f>INDEX($B$4:$B$42,MATCH($B48,F$4:F$42,0))</f>
        <v/>
      </c>
      <c r="G48" s="150">
        <f>INDEX($B$4:$B$42,MATCH($B48,G$4:G$42,0))</f>
        <v/>
      </c>
      <c r="H48" s="150">
        <f>INDEX($B$4:$B$42,MATCH($B48,H$4:H$42,0))</f>
        <v/>
      </c>
      <c r="I48" s="150">
        <f>INDEX($B$4:$B$42,MATCH($B48,I$4:I$41,0))</f>
        <v/>
      </c>
      <c r="J48" s="150">
        <f>INDEX($B$4:$B$42,MATCH($B48,J$4:J$42,0))</f>
        <v/>
      </c>
      <c r="K48" s="150">
        <f>INDEX($B$4:$B$42,MATCH($B48,K$4:K$41,0))</f>
        <v/>
      </c>
      <c r="L48" s="150">
        <f>INDEX($B$4:$B$42,MATCH($B48,L$4:L$42,0))</f>
        <v/>
      </c>
      <c r="M48" s="150">
        <f>INDEX($B$4:$B$42,MATCH($B48,M$4:M$42,0))</f>
        <v/>
      </c>
      <c r="N48" s="150">
        <f>INDEX($B$4:$B$42,MATCH($B48,N$4:N$42,0))</f>
        <v/>
      </c>
      <c r="O48" s="150">
        <f>INDEX($B$4:$B$42,MATCH($B48,O$4:O$42,0))</f>
        <v/>
      </c>
      <c r="P48" s="150">
        <f>INDEX($B$4:$B$42,MATCH($B48,P$4:P$42,0))</f>
        <v/>
      </c>
      <c r="Q48" s="150">
        <f>INDEX($B$4:$B$42,MATCH($B48,Q$4:Q$42,0))</f>
        <v/>
      </c>
      <c r="R48" s="150">
        <f>INDEX($B$4:$B$42,MATCH($B48,R$4:R$42,0))</f>
        <v/>
      </c>
      <c r="S48" s="150">
        <f>INDEX($B$4:$B$42,MATCH($B48,S$4:S$42,0))</f>
        <v/>
      </c>
      <c r="T48" s="150">
        <f>INDEX($B$4:$B$42,MATCH($B48,T$4:T$42,0))</f>
        <v/>
      </c>
      <c r="U48" s="150">
        <f>INDEX($B$4:$B$42,MATCH($B48,U$4:U$42,0))</f>
        <v/>
      </c>
      <c r="V48" s="150">
        <f>INDEX($B$4:$B$42,MATCH($B48,V$4:V$41,0))</f>
        <v/>
      </c>
      <c r="W48" s="150">
        <f>INDEX($B$4:$B$42,MATCH($B48,W$4:W$42,0))</f>
        <v/>
      </c>
      <c r="X48" s="150">
        <f>INDEX($B$4:$B$42,MATCH($B48,X$4:X$41,0))</f>
        <v/>
      </c>
      <c r="Y48" s="150">
        <f>INDEX($B$4:$B$42,MATCH($B48,Y$4:Y$42,0))</f>
        <v/>
      </c>
      <c r="Z48" s="150">
        <f>INDEX($B$4:$B$42,MATCH($B48,Z$4:Z$42,0))</f>
        <v/>
      </c>
      <c r="AA48" s="150">
        <f>INDEX($B$4:$B$42,MATCH($B48,AA$4:AA$42,0))</f>
        <v/>
      </c>
      <c r="AB48" s="150">
        <f>INDEX($B$4:$B$42,MATCH($B48,AB$4:AB$41,0))</f>
        <v/>
      </c>
      <c r="AC48" s="150">
        <f>INDEX($B$4:$B$42,MATCH($B48,AC$4:AC$42,0))</f>
        <v/>
      </c>
      <c r="AD48" s="150">
        <f>INDEX($B$4:$B$42,MATCH($B48,AD$4:AD$42,0))</f>
        <v/>
      </c>
      <c r="AE48" s="150">
        <f>INDEX($B$4:$B$42,MATCH($B48,AE$4:AE$42,0))</f>
        <v/>
      </c>
      <c r="AF48" s="150">
        <f>INDEX($B$4:$B$42,MATCH($B48,AF$4:AF$42,0))</f>
        <v/>
      </c>
      <c r="AG48" s="150">
        <f>INDEX($B$4:$B$42,MATCH($B48,AG$4:AG$42,0))</f>
        <v/>
      </c>
      <c r="AH48" s="150">
        <f>INDEX($B$4:$B$42,MATCH($B48,AH$4:AH$42,0))</f>
        <v/>
      </c>
      <c r="AI48" s="74" t="n"/>
      <c r="AJ48" s="74" t="n"/>
      <c r="AK48" s="74" t="n"/>
      <c r="AL48" s="74" t="n"/>
      <c r="AM48" s="74" t="n"/>
      <c r="AN48" s="74" t="n"/>
      <c r="AO48" s="74" t="n"/>
      <c r="AP48" s="74" t="n"/>
      <c r="AQ48" s="74" t="n"/>
      <c r="AR48" s="76" t="n"/>
      <c r="AS48" s="76" t="n"/>
      <c r="AT48" s="74" t="n"/>
      <c r="AU48" s="74" t="n"/>
      <c r="AV48" s="74" t="n"/>
      <c r="AW48" s="74">
        <f>SUMPRODUCT(--(WEEKDAY(D$3:AG$3,2)&gt;5),--ISNUMBER(MATCH(D48:AG48,{"DM","CS1","CS2","SB1","AE","CS/B"},0)))</f>
        <v/>
      </c>
      <c r="AX48" s="74" t="n"/>
      <c r="AY48" s="74" t="n"/>
      <c r="AZ48" s="74" t="n"/>
      <c r="BA48" s="74" t="n"/>
      <c r="BB48" s="76" t="n"/>
      <c r="BC48" s="74" t="n"/>
      <c r="BD48" s="74" t="n"/>
      <c r="BE48" s="74" t="n"/>
      <c r="BF48" s="74" t="n"/>
      <c r="BG48" s="74" t="n"/>
      <c r="BH48" s="74" t="n"/>
      <c r="BI48" s="74" t="n"/>
      <c r="BJ48" s="74" t="n"/>
      <c r="BK48" s="74" t="n"/>
      <c r="BL48" s="74" t="n"/>
      <c r="BM48" s="74" t="n"/>
      <c r="BN48" s="74" t="n"/>
      <c r="BO48" s="74" t="n"/>
      <c r="BP48" s="74" t="n"/>
      <c r="BQ48" s="74" t="n"/>
      <c r="BR48" s="74" t="n"/>
    </row>
    <row r="49" ht="19.5" customHeight="1">
      <c r="A49" s="77" t="n"/>
      <c r="B49" s="107" t="inlineStr">
        <is>
          <t>SB2</t>
        </is>
      </c>
      <c r="C49" s="107" t="n"/>
      <c r="D49" s="103">
        <f>INDEX($B$4:$B$42,MATCH($B49,D$4:D$42,0))</f>
        <v/>
      </c>
      <c r="E49" s="103">
        <f>INDEX($B$4:$B$42,MATCH($B49,E$4:E$42,0))</f>
        <v/>
      </c>
      <c r="F49" s="103">
        <f>INDEX($B$4:$B$42,MATCH($B49,F$4:F$42,0))</f>
        <v/>
      </c>
      <c r="G49" s="103">
        <f>INDEX($B$4:$B$42,MATCH($B49,G$4:G$42,0))</f>
        <v/>
      </c>
      <c r="H49" s="103">
        <f>INDEX($B$4:$B$42,MATCH($B49,H$4:H$42,0))</f>
        <v/>
      </c>
      <c r="I49" s="103">
        <f>INDEX($B$4:$B$42,MATCH($B49,I$4:I$41,0))</f>
        <v/>
      </c>
      <c r="J49" s="103">
        <f>INDEX($B$4:$B$42,MATCH($B49,J$4:J$42,0))</f>
        <v/>
      </c>
      <c r="K49" s="103">
        <f>INDEX($B$4:$B$42,MATCH($B49,K$4:K$41,0))</f>
        <v/>
      </c>
      <c r="L49" s="103">
        <f>INDEX($B$4:$B$42,MATCH($B49,L$4:L$42,0))</f>
        <v/>
      </c>
      <c r="M49" s="103">
        <f>INDEX($B$4:$B$42,MATCH($B49,M$4:M$42,0))</f>
        <v/>
      </c>
      <c r="N49" s="103">
        <f>INDEX($B$4:$B$42,MATCH($B49,N$4:N$42,0))</f>
        <v/>
      </c>
      <c r="O49" s="103">
        <f>INDEX($B$4:$B$42,MATCH($B49,O$4:O$42,0))</f>
        <v/>
      </c>
      <c r="P49" s="103">
        <f>INDEX($B$4:$B$42,MATCH($B49,P$4:P$42,0))</f>
        <v/>
      </c>
      <c r="Q49" s="103">
        <f>INDEX($B$4:$B$42,MATCH($B49,Q$4:Q$42,0))</f>
        <v/>
      </c>
      <c r="R49" s="103">
        <f>INDEX($B$4:$B$42,MATCH($B49,R$4:R$42,0))</f>
        <v/>
      </c>
      <c r="S49" s="103">
        <f>INDEX($B$4:$B$42,MATCH($B49,S$4:S$42,0))</f>
        <v/>
      </c>
      <c r="T49" s="103">
        <f>INDEX($B$4:$B$42,MATCH($B49,T$4:T$42,0))</f>
        <v/>
      </c>
      <c r="U49" s="103">
        <f>INDEX($B$4:$B$42,MATCH($B49,U$4:U$42,0))</f>
        <v/>
      </c>
      <c r="V49" s="103">
        <f>INDEX($B$4:$B$42,MATCH($B49,V$4:V$41,0))</f>
        <v/>
      </c>
      <c r="W49" s="103">
        <f>INDEX($B$4:$B$42,MATCH($B49,W$4:W$42,0))</f>
        <v/>
      </c>
      <c r="X49" s="103">
        <f>INDEX($B$4:$B$42,MATCH($B49,X$4:X$41,0))</f>
        <v/>
      </c>
      <c r="Y49" s="103">
        <f>INDEX($B$4:$B$42,MATCH($B49,Y$4:Y$42,0))</f>
        <v/>
      </c>
      <c r="Z49" s="103">
        <f>INDEX($B$4:$B$42,MATCH($B49,Z$4:Z$42,0))</f>
        <v/>
      </c>
      <c r="AA49" s="103">
        <f>INDEX($B$4:$B$42,MATCH($B49,AA$4:AA$42,0))</f>
        <v/>
      </c>
      <c r="AB49" s="103">
        <f>INDEX($B$4:$B$42,MATCH($B49,AB$4:AB$41,0))</f>
        <v/>
      </c>
      <c r="AC49" s="103">
        <f>INDEX($B$4:$B$42,MATCH($B49,AC$4:AC$42,0))</f>
        <v/>
      </c>
      <c r="AD49" s="103">
        <f>INDEX($B$4:$B$42,MATCH($B49,AD$4:AD$42,0))</f>
        <v/>
      </c>
      <c r="AE49" s="103">
        <f>INDEX($B$4:$B$42,MATCH($B49,AE$4:AE$42,0))</f>
        <v/>
      </c>
      <c r="AF49" s="103">
        <f>INDEX($B$4:$B$42,MATCH($B49,AF$4:AF$42,0))</f>
        <v/>
      </c>
      <c r="AG49" s="103">
        <f>INDEX($B$4:$B$42,MATCH($B49,AG$4:AG$42,0))</f>
        <v/>
      </c>
      <c r="AH49" s="103">
        <f>INDEX($B$4:$B$42,MATCH($B49,AH$4:AH$42,0))</f>
        <v/>
      </c>
      <c r="AI49" s="77" t="n"/>
      <c r="AJ49" s="77" t="n"/>
      <c r="AK49" s="77" t="n"/>
      <c r="AL49" s="77" t="n"/>
      <c r="AM49" s="77" t="n"/>
      <c r="AN49" s="77" t="n"/>
      <c r="AO49" s="77" t="n"/>
      <c r="AP49" s="77" t="n"/>
      <c r="AQ49" s="77" t="n"/>
      <c r="AR49" s="76" t="n"/>
      <c r="AS49" s="76" t="n"/>
      <c r="AT49" s="77" t="n"/>
      <c r="AU49" s="77" t="n"/>
      <c r="AV49" s="77" t="n"/>
      <c r="AW49" s="77">
        <f>SUMPRODUCT(--(WEEKDAY(D$3:AG$3,2)&gt;5),--ISNUMBER(MATCH(D49:AG49,{"DM","CS1","CS2","SB1","AE","CS/B"},0)))</f>
        <v/>
      </c>
      <c r="AX49" s="77" t="n"/>
      <c r="AY49" s="77" t="n"/>
      <c r="AZ49" s="77" t="n"/>
      <c r="BA49" s="77" t="n"/>
      <c r="BB49" s="76" t="n"/>
      <c r="BC49" s="77" t="n"/>
      <c r="BD49" s="77" t="n"/>
      <c r="BE49" s="77" t="n"/>
      <c r="BF49" s="77" t="n"/>
      <c r="BG49" s="77" t="n"/>
      <c r="BH49" s="77" t="n"/>
      <c r="BI49" s="77" t="n"/>
      <c r="BJ49" s="77" t="n"/>
      <c r="BK49" s="77" t="n"/>
      <c r="BL49" s="77" t="n"/>
      <c r="BM49" s="77" t="n"/>
      <c r="BN49" s="77" t="n"/>
      <c r="BO49" s="77" t="n"/>
      <c r="BP49" s="77" t="n"/>
      <c r="BQ49" s="77" t="n"/>
      <c r="BR49" s="77" t="n"/>
    </row>
    <row r="50" ht="19.5" customHeight="1">
      <c r="A50" s="74" t="n"/>
      <c r="B50" s="110" t="inlineStr">
        <is>
          <t>AE</t>
        </is>
      </c>
      <c r="C50" s="110" t="n"/>
      <c r="D50" s="150">
        <f>INDEX($B$4:$B$42,MATCH($B50,D$4:D$42,0))</f>
        <v/>
      </c>
      <c r="E50" s="150">
        <f>INDEX($B$4:$B$42,MATCH($B50,E$4:E$42,0))</f>
        <v/>
      </c>
      <c r="F50" s="150">
        <f>INDEX($B$4:$B$42,MATCH($B50,F$4:F$42,0))</f>
        <v/>
      </c>
      <c r="G50" s="150">
        <f>INDEX($B$4:$B$42,MATCH($B50,G$4:G$42,0))</f>
        <v/>
      </c>
      <c r="H50" s="150">
        <f>INDEX($B$4:$B$42,MATCH($B50,H$4:H$42,0))</f>
        <v/>
      </c>
      <c r="I50" s="150">
        <f>INDEX($B$4:$B$42,MATCH($B50,I$4:I$41,0))</f>
        <v/>
      </c>
      <c r="J50" s="150">
        <f>INDEX($B$4:$B$42,MATCH($B50,J$4:J$42,0))</f>
        <v/>
      </c>
      <c r="K50" s="150">
        <f>INDEX($B$4:$B$42,MATCH($B50,K$4:K$41,0))</f>
        <v/>
      </c>
      <c r="L50" s="150">
        <f>INDEX($B$4:$B$42,MATCH($B50,L$4:L$42,0))</f>
        <v/>
      </c>
      <c r="M50" s="150">
        <f>INDEX($B$4:$B$42,MATCH($B50,M$4:M$42,0))</f>
        <v/>
      </c>
      <c r="N50" s="150">
        <f>INDEX($B$4:$B$42,MATCH($B50,N$4:N$42,0))</f>
        <v/>
      </c>
      <c r="O50" s="150">
        <f>INDEX($B$4:$B$42,MATCH($B50,O$4:O$42,0))</f>
        <v/>
      </c>
      <c r="P50" s="150">
        <f>INDEX($B$4:$B$42,MATCH($B50,P$4:P$42,0))</f>
        <v/>
      </c>
      <c r="Q50" s="150">
        <f>INDEX($B$4:$B$42,MATCH($B50,Q$4:Q$42,0))</f>
        <v/>
      </c>
      <c r="R50" s="150">
        <f>INDEX($B$4:$B$42,MATCH($B50,R$4:R$42,0))</f>
        <v/>
      </c>
      <c r="S50" s="150">
        <f>INDEX($B$4:$B$42,MATCH($B50,S$4:S$42,0))</f>
        <v/>
      </c>
      <c r="T50" s="150">
        <f>INDEX($B$4:$B$42,MATCH($B50,T$4:T$42,0))</f>
        <v/>
      </c>
      <c r="U50" s="150">
        <f>INDEX($B$4:$B$42,MATCH($B50,U$4:U$42,0))</f>
        <v/>
      </c>
      <c r="V50" s="150">
        <f>INDEX($B$4:$B$42,MATCH($B50,V$4:V$41,0))</f>
        <v/>
      </c>
      <c r="W50" s="150">
        <f>INDEX($B$4:$B$42,MATCH($B50,W$4:W$42,0))</f>
        <v/>
      </c>
      <c r="X50" s="150">
        <f>INDEX($B$4:$B$42,MATCH($B50,X$4:X$41,0))</f>
        <v/>
      </c>
      <c r="Y50" s="150">
        <f>INDEX($B$4:$B$42,MATCH($B50,Y$4:Y$42,0))</f>
        <v/>
      </c>
      <c r="Z50" s="150">
        <f>INDEX($B$4:$B$42,MATCH($B50,Z$4:Z$42,0))</f>
        <v/>
      </c>
      <c r="AA50" s="150">
        <f>INDEX($B$4:$B$42,MATCH($B50,AA$4:AA$42,0))</f>
        <v/>
      </c>
      <c r="AB50" s="150">
        <f>INDEX($B$4:$B$42,MATCH($B50,AB$4:AB$41,0))</f>
        <v/>
      </c>
      <c r="AC50" s="150">
        <f>INDEX($B$4:$B$42,MATCH($B50,AC$4:AC$42,0))</f>
        <v/>
      </c>
      <c r="AD50" s="150">
        <f>INDEX($B$4:$B$42,MATCH($B50,AD$4:AD$42,0))</f>
        <v/>
      </c>
      <c r="AE50" s="150">
        <f>INDEX($B$4:$B$42,MATCH($B50,AE$4:AE$42,0))</f>
        <v/>
      </c>
      <c r="AF50" s="150">
        <f>INDEX($B$4:$B$42,MATCH($B50,AF$4:AF$42,0))</f>
        <v/>
      </c>
      <c r="AG50" s="150">
        <f>INDEX($B$4:$B$42,MATCH($B50,AG$4:AG$42,0))</f>
        <v/>
      </c>
      <c r="AH50" s="150">
        <f>INDEX($B$4:$B$42,MATCH($B50,AH$4:AH$42,0))</f>
        <v/>
      </c>
      <c r="AI50" s="74" t="n"/>
      <c r="AJ50" s="74" t="n"/>
      <c r="AK50" s="74" t="n"/>
      <c r="AL50" s="74" t="n"/>
      <c r="AM50" s="74" t="n"/>
      <c r="AN50" s="74" t="n"/>
      <c r="AO50" s="74" t="n"/>
      <c r="AP50" s="74" t="n"/>
      <c r="AQ50" s="74" t="n"/>
      <c r="AR50" s="76" t="n"/>
      <c r="AS50" s="76" t="n"/>
      <c r="AT50" s="74" t="n"/>
      <c r="AU50" s="74" t="n"/>
      <c r="AV50" s="74" t="n"/>
      <c r="AW50" s="74">
        <f>SUMPRODUCT(--(WEEKDAY(D$3:AG$3,2)&gt;5),--ISNUMBER(MATCH(D50:AG50,{"DM","CS1","CS2","SB1","AE","CS/B"},0)))</f>
        <v/>
      </c>
      <c r="AX50" s="74" t="n"/>
      <c r="AY50" s="74" t="n"/>
      <c r="AZ50" s="74" t="n"/>
      <c r="BA50" s="74" t="n"/>
      <c r="BB50" s="76" t="n"/>
      <c r="BC50" s="74" t="n"/>
      <c r="BD50" s="74" t="n"/>
      <c r="BE50" s="74" t="n"/>
      <c r="BF50" s="74" t="n"/>
      <c r="BG50" s="74" t="n"/>
      <c r="BH50" s="74" t="n"/>
      <c r="BI50" s="74" t="n"/>
      <c r="BJ50" s="74" t="n"/>
      <c r="BK50" s="74" t="n"/>
      <c r="BL50" s="74" t="n"/>
      <c r="BM50" s="74" t="n"/>
      <c r="BN50" s="74" t="n"/>
      <c r="BO50" s="74" t="n"/>
      <c r="BP50" s="74" t="n"/>
      <c r="BQ50" s="74" t="n"/>
      <c r="BR50" s="74" t="n"/>
    </row>
    <row r="51" ht="19.5" customHeight="1">
      <c r="A51" s="77" t="n"/>
      <c r="B51" s="107" t="inlineStr">
        <is>
          <t>RESERVE</t>
        </is>
      </c>
      <c r="C51" s="107" t="n"/>
      <c r="D51" s="103">
        <f>INDEX($B$4:$B$42,MATCH($B51,D$4:D$42,0))</f>
        <v/>
      </c>
      <c r="E51" s="103">
        <f>INDEX($B$4:$B$42,MATCH($B51,E$4:E$42,0))</f>
        <v/>
      </c>
      <c r="F51" s="103">
        <f>INDEX($B$4:$B$42,MATCH($B51,F$4:F$42,0))</f>
        <v/>
      </c>
      <c r="G51" s="103">
        <f>INDEX($B$4:$B$42,MATCH($B51,G$4:G$42,0))</f>
        <v/>
      </c>
      <c r="H51" s="103">
        <f>INDEX($B$4:$B$42,MATCH($B51,H$4:H$42,0))</f>
        <v/>
      </c>
      <c r="I51" s="103">
        <f>INDEX($B$4:$B$42,MATCH($B51,I$4:I$41,0))</f>
        <v/>
      </c>
      <c r="J51" s="103">
        <f>INDEX($B$4:$B$42,MATCH($B51,J$4:J$42,0))</f>
        <v/>
      </c>
      <c r="K51" s="103">
        <f>INDEX($B$4:$B$42,MATCH($B51,K$4:K$41,0))</f>
        <v/>
      </c>
      <c r="L51" s="103">
        <f>INDEX($B$4:$B$42,MATCH($B51,L$4:L$42,0))</f>
        <v/>
      </c>
      <c r="M51" s="103">
        <f>INDEX($B$4:$B$42,MATCH($B51,M$4:M$42,0))</f>
        <v/>
      </c>
      <c r="N51" s="103">
        <f>INDEX($B$4:$B$42,MATCH($B51,N$4:N$42,0))</f>
        <v/>
      </c>
      <c r="O51" s="103">
        <f>INDEX($B$4:$B$42,MATCH($B51,O$4:O$42,0))</f>
        <v/>
      </c>
      <c r="P51" s="103">
        <f>INDEX($B$4:$B$42,MATCH($B51,P$4:P$42,0))</f>
        <v/>
      </c>
      <c r="Q51" s="103">
        <f>INDEX($B$4:$B$42,MATCH($B51,Q$4:Q$42,0))</f>
        <v/>
      </c>
      <c r="R51" s="103">
        <f>INDEX($B$4:$B$42,MATCH($B51,R$4:R$42,0))</f>
        <v/>
      </c>
      <c r="S51" s="103">
        <f>INDEX($B$4:$B$42,MATCH($B51,S$4:S$42,0))</f>
        <v/>
      </c>
      <c r="T51" s="103">
        <f>INDEX($B$4:$B$42,MATCH($B51,T$4:T$42,0))</f>
        <v/>
      </c>
      <c r="U51" s="103">
        <f>INDEX($B$4:$B$42,MATCH($B51,U$4:U$42,0))</f>
        <v/>
      </c>
      <c r="V51" s="103">
        <f>INDEX($B$4:$B$42,MATCH($B51,V$4:V$41,0))</f>
        <v/>
      </c>
      <c r="W51" s="103">
        <f>INDEX($B$4:$B$42,MATCH($B51,W$4:W$42,0))</f>
        <v/>
      </c>
      <c r="X51" s="103">
        <f>INDEX($B$4:$B$42,MATCH($B51,X$4:X$41,0))</f>
        <v/>
      </c>
      <c r="Y51" s="103">
        <f>INDEX($B$4:$B$42,MATCH($B51,Y$4:Y$42,0))</f>
        <v/>
      </c>
      <c r="Z51" s="103">
        <f>INDEX($B$4:$B$42,MATCH($B51,Z$4:Z$42,0))</f>
        <v/>
      </c>
      <c r="AA51" s="103">
        <f>INDEX($B$4:$B$42,MATCH($B51,AA$4:AA$42,0))</f>
        <v/>
      </c>
      <c r="AB51" s="103">
        <f>INDEX($B$4:$B$42,MATCH($B51,AB$4:AB$41,0))</f>
        <v/>
      </c>
      <c r="AC51" s="103">
        <f>INDEX($B$4:$B$42,MATCH($B51,AC$4:AC$42,0))</f>
        <v/>
      </c>
      <c r="AD51" s="103">
        <f>INDEX($B$4:$B$42,MATCH($B51,AD$4:AD$42,0))</f>
        <v/>
      </c>
      <c r="AE51" s="103">
        <f>INDEX($B$4:$B$42,MATCH($B51,AE$4:AE$42,0))</f>
        <v/>
      </c>
      <c r="AF51" s="103">
        <f>INDEX($B$4:$B$42,MATCH($B51,AF$4:AF$42,0))</f>
        <v/>
      </c>
      <c r="AG51" s="103">
        <f>INDEX($B$4:$B$42,MATCH($B51,AG$4:AG$42,0))</f>
        <v/>
      </c>
      <c r="AH51" s="103">
        <f>INDEX($B$4:$B$42,MATCH($B51,AH$4:AH$42,0))</f>
        <v/>
      </c>
      <c r="AI51" s="77" t="n"/>
      <c r="AJ51" s="77" t="n"/>
      <c r="AK51" s="77" t="n"/>
      <c r="AL51" s="77" t="n"/>
      <c r="AM51" s="77" t="n"/>
      <c r="AN51" s="77" t="n"/>
      <c r="AO51" s="77" t="n"/>
      <c r="AP51" s="77" t="n"/>
      <c r="AQ51" s="77" t="n"/>
      <c r="AR51" s="76" t="n"/>
      <c r="AS51" s="76" t="n"/>
      <c r="AT51" s="77" t="n"/>
      <c r="AU51" s="77" t="n"/>
      <c r="AV51" s="77" t="n"/>
      <c r="AW51" s="77">
        <f>SUMPRODUCT(--(WEEKDAY(D$3:AG$3,2)&gt;5),--ISNUMBER(MATCH(D51:AG51,{"DM","CS1","CS2","SB1","AE","CS/B"},0)))</f>
        <v/>
      </c>
      <c r="AX51" s="77" t="n"/>
      <c r="AY51" s="77" t="n"/>
      <c r="AZ51" s="77" t="n"/>
      <c r="BA51" s="77" t="n"/>
      <c r="BB51" s="76" t="n"/>
      <c r="BC51" s="77" t="n"/>
      <c r="BD51" s="77" t="n"/>
      <c r="BE51" s="77" t="n"/>
      <c r="BF51" s="77" t="n"/>
      <c r="BG51" s="77" t="n"/>
      <c r="BH51" s="77" t="n"/>
      <c r="BI51" s="77" t="n"/>
      <c r="BJ51" s="77" t="n"/>
      <c r="BK51" s="77" t="n"/>
      <c r="BL51" s="77" t="n"/>
      <c r="BM51" s="77" t="n"/>
      <c r="BN51" s="77" t="n"/>
      <c r="BO51" s="77" t="n"/>
      <c r="BP51" s="77" t="n"/>
      <c r="BQ51" s="77" t="n"/>
      <c r="BR51" s="77" t="n"/>
    </row>
    <row r="52" ht="19.5" customHeight="1">
      <c r="A52" s="74" t="n"/>
      <c r="B52" s="105" t="n"/>
      <c r="C52" s="105" t="n"/>
      <c r="D52" s="102" t="n"/>
      <c r="E52" s="102" t="n"/>
      <c r="F52" s="102" t="n"/>
      <c r="G52" s="102" t="n"/>
      <c r="H52" s="102" t="n"/>
      <c r="I52" s="102" t="n"/>
      <c r="J52" s="102" t="n"/>
      <c r="K52" s="102" t="n"/>
      <c r="L52" s="102" t="n"/>
      <c r="M52" s="102" t="n"/>
      <c r="N52" s="102" t="n"/>
      <c r="O52" s="102" t="n"/>
      <c r="P52" s="102" t="n"/>
      <c r="Q52" s="102" t="n"/>
      <c r="R52" s="102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2" t="n"/>
      <c r="AB52" s="102" t="n"/>
      <c r="AC52" s="102" t="n"/>
      <c r="AD52" s="102" t="n"/>
      <c r="AE52" s="102" t="n"/>
      <c r="AF52" s="102" t="n"/>
      <c r="AG52" s="102" t="n"/>
      <c r="AH52" s="102" t="n"/>
      <c r="AI52" s="105">
        <f>COUNTIF($D52:$AG52,AI$4)</f>
        <v/>
      </c>
      <c r="AJ52" s="105">
        <f>COUNTIF($D52:$AG52,AJ$4)</f>
        <v/>
      </c>
      <c r="AK52" s="105">
        <f>COUNTIF($D52:$AG52,AK$4)</f>
        <v/>
      </c>
      <c r="AL52" s="105">
        <f>COUNTIF($D52:$AG52,AL$4)</f>
        <v/>
      </c>
      <c r="AM52" s="105">
        <f>COUNTIF($D52:$AG52,AM$4)</f>
        <v/>
      </c>
      <c r="AN52" s="105">
        <f>COUNTIF($D52:$AG52,AN$4)</f>
        <v/>
      </c>
      <c r="AO52" s="105">
        <f>COUNTIF($D52:$AG52,AO$4)</f>
        <v/>
      </c>
      <c r="AP52" s="105">
        <f>COUNTIF($D52:$AG52,AP$4)</f>
        <v/>
      </c>
      <c r="AQ52" s="105">
        <f>COUNTIF($D52:$AG52,AQ$4)</f>
        <v/>
      </c>
      <c r="AR52" s="105" t="n">
        <v>1</v>
      </c>
      <c r="AS52" s="105" t="n"/>
      <c r="AT52" s="105">
        <f t="array" ref="AT52">SUMPRODUCT(--(WEEKDAY(D$3:AG$3,2)&lt;5),--ISNUMBER(MATCH(D52:AG52,{"DM","CS1","CS2","SB1","AE","CS/B"},0)))</f>
        <v/>
      </c>
      <c r="AU52" s="105" t="n"/>
      <c r="AV52" s="105">
        <f t="array" ref="AV52">SUMPRODUCT(--(WEEKDAY(D$3:AG$3,2)=5),--ISNUMBER(MATCH(D52:AG52,{"DM","CS1","CS2","SB1","AE","CS/B"},0)))</f>
        <v/>
      </c>
      <c r="AW52" s="74">
        <f>SUMPRODUCT(--(WEEKDAY(D$3:AG$3,2)&gt;5),--ISNUMBER(MATCH(D52:AG52,{"DM","CS1","CS2","SB1","AE","CS/B"},0)))</f>
        <v/>
      </c>
      <c r="AX52" s="105" t="n"/>
      <c r="AY52" s="105">
        <f>(AT52-AU52)+AV52*1.5+(AW52-AX52)*2+AN52*0.5+AP52*0.5+AR52-AS52</f>
        <v/>
      </c>
      <c r="AZ52" s="105">
        <f>AT52+AV52+AW52</f>
        <v/>
      </c>
      <c r="BA52" s="105">
        <f>BD52+BF52+BH52+BJ52+BL52</f>
        <v/>
      </c>
      <c r="BB52" s="105">
        <f>AY52+BC52</f>
        <v/>
      </c>
      <c r="BC52" s="105">
        <f>BE52+BG52+BI52+BK52+BM52</f>
        <v/>
      </c>
      <c r="BD52" s="105">
        <f>COUNTIF(A52:AI52,"*$BTP*")</f>
        <v/>
      </c>
      <c r="BE52" s="105">
        <f>BD52*1.5</f>
        <v/>
      </c>
      <c r="BF52" s="105">
        <f>COUNTIF(A52:AI52,"*$M*")</f>
        <v/>
      </c>
      <c r="BG52" s="105">
        <f>BF52*1</f>
        <v/>
      </c>
      <c r="BH52" s="105">
        <f>COUNTIF(A52:AI52,"*$PM*")</f>
        <v/>
      </c>
      <c r="BI52" s="105">
        <f>BH52*0.5</f>
        <v/>
      </c>
      <c r="BJ52" s="105">
        <f>COUNTIF(A52:AI52,"*$AM*")</f>
        <v/>
      </c>
      <c r="BK52" s="105">
        <f>BJ52*0.5</f>
        <v/>
      </c>
      <c r="BL52" s="105">
        <f>COUNTIF(A52:AI52,"*$FC*")</f>
        <v/>
      </c>
      <c r="BM52" s="105">
        <f>BL52*1</f>
        <v/>
      </c>
      <c r="BN52" s="105" t="n"/>
      <c r="BO52" s="105">
        <f>COUNTIF($E52:$Z52,BO$4)</f>
        <v/>
      </c>
      <c r="BP52" s="105">
        <f>COUNTIF($E52:$Z52,BP$4)</f>
        <v/>
      </c>
      <c r="BQ52" s="105">
        <f>COUNTIF($E52:$Z52,BQ$4)</f>
        <v/>
      </c>
      <c r="BR52" s="105" t="n"/>
    </row>
    <row r="53" ht="19.5" customHeight="1">
      <c r="A53" s="77" t="n"/>
      <c r="B53" s="76" t="inlineStr">
        <is>
          <t>CPL TAN ZONG HONG JORDAN</t>
        </is>
      </c>
      <c r="C53" s="76" t="n"/>
      <c r="D53" s="107" t="n"/>
      <c r="E53" s="107" t="n"/>
      <c r="F53" s="107" t="n"/>
      <c r="G53" s="107" t="n"/>
      <c r="H53" s="107" t="n"/>
      <c r="I53" s="107" t="n"/>
      <c r="J53" s="107" t="inlineStr">
        <is>
          <t>DM</t>
        </is>
      </c>
      <c r="K53" s="107" t="n"/>
      <c r="L53" s="107" t="n"/>
      <c r="M53" s="107" t="n"/>
      <c r="N53" s="107" t="n"/>
      <c r="O53" s="107" t="n"/>
      <c r="P53" s="107" t="n"/>
      <c r="Q53" s="107" t="n"/>
      <c r="R53" s="107" t="n"/>
      <c r="S53" s="107" t="n"/>
      <c r="T53" s="107" t="n"/>
      <c r="U53" s="107" t="inlineStr">
        <is>
          <t>ORD</t>
        </is>
      </c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77">
        <f>COUNTIF($D53:$AG53,AI$4)</f>
        <v/>
      </c>
      <c r="AJ53" s="77">
        <f>COUNTIF($D53:$AG53,AJ$4)</f>
        <v/>
      </c>
      <c r="AK53" s="77">
        <f>COUNTIF($D53:$AG53,AK$4)</f>
        <v/>
      </c>
      <c r="AL53" s="77">
        <f>COUNTIF($D53:$AG53,AL$4)</f>
        <v/>
      </c>
      <c r="AM53" s="77">
        <f>COUNTIF($D53:$AG53,AM$4)</f>
        <v/>
      </c>
      <c r="AN53" s="77">
        <f>COUNTIF($D53:$AG53,AN$4)</f>
        <v/>
      </c>
      <c r="AO53" s="77">
        <f>COUNTIF($D53:$AG53,AO$4)</f>
        <v/>
      </c>
      <c r="AP53" s="77">
        <f>COUNTIF($D53:$AG53,AP$4)</f>
        <v/>
      </c>
      <c r="AQ53" s="77">
        <f>COUNTIF($D53:$AG53,AQ$4)</f>
        <v/>
      </c>
      <c r="AR53" s="76" t="n"/>
      <c r="AS53" s="76" t="n"/>
      <c r="AT53" s="77">
        <f>SUMPRODUCT(--(WEEKDAY(D$3:AG$3,2)&lt;5),--ISNUMBER(MATCH(D53:AG53,{"DM","CS1","CS2","SB1","SB2","AE","CS/B"},0)))</f>
        <v/>
      </c>
      <c r="AU53" s="77" t="n"/>
      <c r="AV53" s="77">
        <f>SUMPRODUCT(--(WEEKDAY(D$3:AG$3,2)=5),--ISNUMBER(MATCH(D53:AG53,{"DM","CS1","CS2","SB1","SB2","AE","CS/B"},0)))</f>
        <v/>
      </c>
      <c r="AW53" s="77">
        <f>SUMPRODUCT(--(WEEKDAY(D$3:AG$3,2)&gt;5),--ISNUMBER(MATCH(D53:AG53,{"DM","CS1","CS2","SB1","AE","CS/B","SB2"},0)))</f>
        <v/>
      </c>
      <c r="AX53" s="77" t="n"/>
      <c r="AY53" s="77">
        <f>(AT53-AU53)+AV53*1.5+(AW53-AX53)*2+AP53*0.5+AR53-AS53</f>
        <v/>
      </c>
      <c r="AZ53" s="77">
        <f>AT53+AV53+AW53</f>
        <v/>
      </c>
      <c r="BA53" s="77">
        <f>BD53+BF53+BH53+BJ53+BL53</f>
        <v/>
      </c>
      <c r="BB53" s="76">
        <f>AY53+BC53</f>
        <v/>
      </c>
      <c r="BC53" s="77">
        <f>BE53+BG53+BI53+BK53+BM53</f>
        <v/>
      </c>
      <c r="BD53" s="77">
        <f>COUNTIF(A53:AI53,"*$BTP*")</f>
        <v/>
      </c>
      <c r="BE53" s="77">
        <f>BD53*1.5</f>
        <v/>
      </c>
      <c r="BF53" s="77">
        <f>COUNTIF(A53:AI53,"*$M*")</f>
        <v/>
      </c>
      <c r="BG53" s="77">
        <f>BF53*1</f>
        <v/>
      </c>
      <c r="BH53" s="77">
        <f>COUNTIF(A53:AI53,"*$PM*")</f>
        <v/>
      </c>
      <c r="BI53" s="77">
        <f>BH53*0.5</f>
        <v/>
      </c>
      <c r="BJ53" s="77">
        <f>COUNTIF(A53:AI53,"*$AM*")</f>
        <v/>
      </c>
      <c r="BK53" s="77">
        <f>BJ53*0.5</f>
        <v/>
      </c>
      <c r="BL53" s="77">
        <f>COUNTIF(A53:AI53,"*$FC*")</f>
        <v/>
      </c>
      <c r="BM53" s="77">
        <f>BL53*1</f>
        <v/>
      </c>
      <c r="BN53" s="77" t="n"/>
      <c r="BO53" s="77">
        <f>COUNTIF($E53:$Z53,BO$4)</f>
        <v/>
      </c>
      <c r="BP53" s="77">
        <f>COUNTIF($E53:$Z53,BP$4)</f>
        <v/>
      </c>
      <c r="BQ53" s="77">
        <f>COUNTIF($E53:$Z53,BQ$4)</f>
        <v/>
      </c>
      <c r="BR53" s="77" t="n"/>
    </row>
    <row r="54" ht="19.5" customHeight="1">
      <c r="A54" s="74" t="n"/>
      <c r="B54" s="76" t="inlineStr">
        <is>
          <t>LCP GOH SONG YEE, ETHAN</t>
        </is>
      </c>
      <c r="C54" s="76" t="n"/>
      <c r="D54" s="110" t="n"/>
      <c r="E54" s="110" t="n"/>
      <c r="F54" s="110" t="n"/>
      <c r="G54" s="110" t="inlineStr">
        <is>
          <t>VACCINE SUPERVISOR COURSE</t>
        </is>
      </c>
      <c r="H54" s="110" t="inlineStr">
        <is>
          <t>AE</t>
        </is>
      </c>
      <c r="I54" s="110" t="n"/>
      <c r="J54" s="110" t="n"/>
      <c r="K54" s="110" t="inlineStr">
        <is>
          <t>AE</t>
        </is>
      </c>
      <c r="L54" s="110" t="n"/>
      <c r="M54" s="110" t="n"/>
      <c r="N54" s="110" t="inlineStr">
        <is>
          <t>4TH $PM CC PM</t>
        </is>
      </c>
      <c r="O54" s="110" t="inlineStr">
        <is>
          <t>SB1</t>
        </is>
      </c>
      <c r="P54" s="110" t="n"/>
      <c r="Q54" s="110" t="n"/>
      <c r="R54" s="110" t="inlineStr">
        <is>
          <t>CS1</t>
        </is>
      </c>
      <c r="S54" s="110" t="n"/>
      <c r="T54" s="110" t="inlineStr">
        <is>
          <t>SB1</t>
        </is>
      </c>
      <c r="U54" s="110" t="inlineStr">
        <is>
          <t>SB2</t>
        </is>
      </c>
      <c r="V54" s="110" t="n"/>
      <c r="W54" s="110" t="inlineStr">
        <is>
          <t>CS1</t>
        </is>
      </c>
      <c r="X54" s="110" t="inlineStr">
        <is>
          <t>PM MA</t>
        </is>
      </c>
      <c r="Y54" s="110" t="n"/>
      <c r="Z54" s="110" t="n"/>
      <c r="AA54" s="110" t="n"/>
      <c r="AB54" s="110" t="inlineStr">
        <is>
          <t>AM MA</t>
        </is>
      </c>
      <c r="AC54" s="142" t="n"/>
      <c r="AD54" s="110" t="n"/>
      <c r="AE54" s="110" t="inlineStr">
        <is>
          <t>CS1</t>
        </is>
      </c>
      <c r="AF54" s="110" t="n"/>
      <c r="AG54" s="110" t="n"/>
      <c r="AH54" s="110" t="n"/>
      <c r="AI54" s="74">
        <f>COUNTIF($D54:$AG54,AI$4)</f>
        <v/>
      </c>
      <c r="AJ54" s="74">
        <f>COUNTIF($D54:$AG54,AJ$4)</f>
        <v/>
      </c>
      <c r="AK54" s="74">
        <f>COUNTIF($D54:$AG54,AK$4)</f>
        <v/>
      </c>
      <c r="AL54" s="74">
        <f>COUNTIF($D54:$AG54,AL$4)</f>
        <v/>
      </c>
      <c r="AM54" s="74">
        <f>COUNTIF($D54:$AG54,AM$4)</f>
        <v/>
      </c>
      <c r="AN54" s="74">
        <f>COUNTIF($D54:$AG54,AN$4)</f>
        <v/>
      </c>
      <c r="AO54" s="74">
        <f>COUNTIF($D54:$AG54,AO$4)</f>
        <v/>
      </c>
      <c r="AP54" s="74">
        <f>COUNTIF($D54:$AG54,AP$4)</f>
        <v/>
      </c>
      <c r="AQ54" s="74">
        <f>COUNTIF($D54:$AG54,AQ$4)</f>
        <v/>
      </c>
      <c r="AR54" s="76" t="n"/>
      <c r="AS54" s="76" t="n"/>
      <c r="AT54" s="74">
        <f>SUMPRODUCT(--(WEEKDAY(D$3:AG$3,2)&lt;5),--ISNUMBER(MATCH(D54:AG54,{"DM","CS1","CS2","SB1","SB2","AE","CS/B"},0)))</f>
        <v/>
      </c>
      <c r="AU54" s="74" t="n"/>
      <c r="AV54" s="74">
        <f>SUMPRODUCT(--(WEEKDAY(D$3:AG$3,2)=5),--ISNUMBER(MATCH(D54:AG54,{"DM","CS1","CS2","SB1","SB2","AE","CS/B"},0)))</f>
        <v/>
      </c>
      <c r="AW54" s="74">
        <f>SUMPRODUCT(--(WEEKDAY(D$3:AG$3,2)&gt;5),--ISNUMBER(MATCH(D54:AG54,{"DM","CS1","CS2","SB1","AE","CS/B","SB2"},0)))</f>
        <v/>
      </c>
      <c r="AX54" s="74" t="n"/>
      <c r="AY54" s="74">
        <f>(AT54-AU54)+AV54*1.5+(AW54-AX54)*2+AN54*0.5+AP54*0.5+AR54-AS54</f>
        <v/>
      </c>
      <c r="AZ54" s="74">
        <f>AT54+AV54+AW54</f>
        <v/>
      </c>
      <c r="BA54" s="74">
        <f>BD54+BF54+BH54+BJ54+BL54</f>
        <v/>
      </c>
      <c r="BB54" s="76">
        <f>AY54+BC54</f>
        <v/>
      </c>
      <c r="BC54" s="74">
        <f>BE54+BG54+BI54+BK54+BM54</f>
        <v/>
      </c>
      <c r="BD54" s="74">
        <f>COUNTIF(A54:AI54,"*$BTP*")</f>
        <v/>
      </c>
      <c r="BE54" s="74">
        <f>BD54*1.5</f>
        <v/>
      </c>
      <c r="BF54" s="74">
        <f>COUNTIF(A54:AI54,"*$M*")</f>
        <v/>
      </c>
      <c r="BG54" s="74">
        <f>BF54*1</f>
        <v/>
      </c>
      <c r="BH54" s="74">
        <f>COUNTIF(A54:AI54,"*$PM*")</f>
        <v/>
      </c>
      <c r="BI54" s="74">
        <f>BH54*0.5</f>
        <v/>
      </c>
      <c r="BJ54" s="74">
        <f>COUNTIF(A54:AI54,"*$AM*")</f>
        <v/>
      </c>
      <c r="BK54" s="74">
        <f>BJ54*0.5</f>
        <v/>
      </c>
      <c r="BL54" s="74">
        <f>COUNTIF(A54:AI54,"*$FC*")</f>
        <v/>
      </c>
      <c r="BM54" s="74">
        <f>BL54*1</f>
        <v/>
      </c>
      <c r="BN54" s="74" t="n"/>
      <c r="BO54" s="74">
        <f>COUNTIF($E54:$Z54,BO$4)</f>
        <v/>
      </c>
      <c r="BP54" s="74">
        <f>COUNTIF($E54:$Z54,BP$4)</f>
        <v/>
      </c>
      <c r="BQ54" s="74">
        <f>COUNTIF($E54:$Z54,BQ$4)</f>
        <v/>
      </c>
      <c r="BR54" s="74" t="n"/>
    </row>
    <row r="55" ht="19.5" customHeight="1">
      <c r="A55" s="77" t="n"/>
      <c r="B55" s="76" t="inlineStr">
        <is>
          <t>PTE KOH KAH SENG</t>
        </is>
      </c>
      <c r="C55" s="76" t="n"/>
      <c r="D55" s="107" t="n"/>
      <c r="E55" s="107" t="n"/>
      <c r="F55" s="107" t="n"/>
      <c r="G55" s="107" t="inlineStr">
        <is>
          <t>HARI RAYA OIL</t>
        </is>
      </c>
      <c r="H55" s="107" t="inlineStr">
        <is>
          <t>SB1</t>
        </is>
      </c>
      <c r="I55" s="107" t="n"/>
      <c r="J55" s="107" t="n"/>
      <c r="K55" s="107" t="inlineStr">
        <is>
          <t>7TH $FC</t>
        </is>
      </c>
      <c r="L55" s="107" t="inlineStr">
        <is>
          <t>7TH $FC</t>
        </is>
      </c>
      <c r="M55" s="141" t="n"/>
      <c r="N55" s="107" t="n"/>
      <c r="O55" s="107" t="inlineStr">
        <is>
          <t>CS1</t>
        </is>
      </c>
      <c r="P55" s="107" t="n"/>
      <c r="Q55" s="107" t="n"/>
      <c r="R55" s="107" t="n"/>
      <c r="S55" s="107" t="n"/>
      <c r="T55" s="107" t="inlineStr">
        <is>
          <t>SB2</t>
        </is>
      </c>
      <c r="U55" s="107" t="n"/>
      <c r="V55" s="107" t="inlineStr">
        <is>
          <t>AE</t>
        </is>
      </c>
      <c r="W55" s="107" t="n"/>
      <c r="X55" s="148" t="inlineStr">
        <is>
          <t>SB1</t>
        </is>
      </c>
      <c r="Y55" s="107" t="n"/>
      <c r="Z55" s="107" t="n"/>
      <c r="AA55" s="107" t="n"/>
      <c r="AB55" s="107" t="n"/>
      <c r="AC55" s="107" t="inlineStr">
        <is>
          <t>5TH $AM IPPT AM</t>
        </is>
      </c>
      <c r="AD55" s="148" t="n"/>
      <c r="AE55" s="107" t="n"/>
      <c r="AF55" s="107" t="inlineStr">
        <is>
          <t>CS1</t>
        </is>
      </c>
      <c r="AG55" s="107" t="inlineStr">
        <is>
          <t>SB1</t>
        </is>
      </c>
      <c r="AH55" s="107" t="n"/>
      <c r="AI55" s="77">
        <f>COUNTIF($D55:$AG55,AI$4)</f>
        <v/>
      </c>
      <c r="AJ55" s="77">
        <f>COUNTIF($D55:$AG55,AJ$4)</f>
        <v/>
      </c>
      <c r="AK55" s="77">
        <f>COUNTIF($D55:$AG55,AK$4)</f>
        <v/>
      </c>
      <c r="AL55" s="77">
        <f>COUNTIF($D55:$AG55,AL$4)</f>
        <v/>
      </c>
      <c r="AM55" s="77">
        <f>COUNTIF($D55:$AG55,AM$4)</f>
        <v/>
      </c>
      <c r="AN55" s="77">
        <f>COUNTIF($D55:$AG55,AN$4)</f>
        <v/>
      </c>
      <c r="AO55" s="77">
        <f>COUNTIF($D55:$AG55,AO$4)</f>
        <v/>
      </c>
      <c r="AP55" s="77">
        <f>COUNTIF($D55:$AG55,AP$4)</f>
        <v/>
      </c>
      <c r="AQ55" s="77">
        <f>COUNTIF($D55:$AG55,AQ$4)</f>
        <v/>
      </c>
      <c r="AR55" s="76" t="n"/>
      <c r="AS55" s="76" t="n"/>
      <c r="AT55" s="77">
        <f>SUMPRODUCT(--(WEEKDAY(D$3:AG$3,2)&lt;5),--ISNUMBER(MATCH(D55:AG55,{"DM","CS1","CS2","SB1","SB2","AE","CS/B"},0)))</f>
        <v/>
      </c>
      <c r="AU55" s="77" t="n"/>
      <c r="AV55" s="77">
        <f>SUMPRODUCT(--(WEEKDAY(D$3:AG$3,2)=5),--ISNUMBER(MATCH(D55:AG55,{"DM","CS1","CS2","SB1","SB2","AE","CS/B"},0)))</f>
        <v/>
      </c>
      <c r="AW55" s="77">
        <f>SUMPRODUCT(--(WEEKDAY(D$3:AG$3,2)&gt;5),--ISNUMBER(MATCH(D55:AG55,{"DM","CS1","CS2","SB1","AE","CS/B","SB2"},0)))</f>
        <v/>
      </c>
      <c r="AX55" s="77" t="n"/>
      <c r="AY55" s="77">
        <f>(AT55-AU55)+AV55*1.5+(AW55-AX55)*2+AN55*0.5+AP55*0.5+AR55-AS55</f>
        <v/>
      </c>
      <c r="AZ55" s="77">
        <f>AT55+AV55+AW55</f>
        <v/>
      </c>
      <c r="BA55" s="77">
        <f>BD55+BF55+BH55+BJ55+BL55</f>
        <v/>
      </c>
      <c r="BB55" s="76">
        <f>AY55+BC55</f>
        <v/>
      </c>
      <c r="BC55" s="77">
        <f>BE55+BG55+BI55+BK55+BM55</f>
        <v/>
      </c>
      <c r="BD55" s="77">
        <f>COUNTIF(A55:AI55,"*$BTP*")</f>
        <v/>
      </c>
      <c r="BE55" s="77">
        <f>BD55*1.5</f>
        <v/>
      </c>
      <c r="BF55" s="77">
        <f>COUNTIF(A55:AI55,"*$M*")</f>
        <v/>
      </c>
      <c r="BG55" s="77">
        <f>BF55*1</f>
        <v/>
      </c>
      <c r="BH55" s="77">
        <f>COUNTIF(A55:AI55,"*$PM*")</f>
        <v/>
      </c>
      <c r="BI55" s="77">
        <f>BH55*0.5</f>
        <v/>
      </c>
      <c r="BJ55" s="77">
        <f>COUNTIF(A55:AI55,"*$AM*")</f>
        <v/>
      </c>
      <c r="BK55" s="77">
        <f>BJ55*0.5</f>
        <v/>
      </c>
      <c r="BL55" s="77">
        <f>COUNTIF(A55:AI55,"*$FC*")</f>
        <v/>
      </c>
      <c r="BM55" s="77">
        <f>BL55*1</f>
        <v/>
      </c>
      <c r="BN55" s="77" t="n"/>
      <c r="BO55" s="77">
        <f>COUNTIF($E55:$Z55,BO$4)</f>
        <v/>
      </c>
      <c r="BP55" s="77">
        <f>COUNTIF($E55:$Z55,BP$4)</f>
        <v/>
      </c>
      <c r="BQ55" s="77">
        <f>COUNTIF($E55:$Z55,BQ$4)</f>
        <v/>
      </c>
      <c r="BR55" s="77" t="n"/>
    </row>
    <row r="56" ht="19.5" customHeight="1">
      <c r="A56" s="74" t="n"/>
      <c r="B56" s="76" t="inlineStr">
        <is>
          <t>PTE LUTH HARITH AFIF BIN NORFIFI</t>
        </is>
      </c>
      <c r="C56" s="76" t="n"/>
      <c r="D56" s="110" t="n"/>
      <c r="E56" s="110" t="n"/>
      <c r="F56" s="110" t="inlineStr">
        <is>
          <t>SB2</t>
        </is>
      </c>
      <c r="G56" s="110" t="n"/>
      <c r="H56" s="110" t="n"/>
      <c r="I56" s="110" t="n"/>
      <c r="J56" s="142" t="inlineStr">
        <is>
          <t>PM MA</t>
        </is>
      </c>
      <c r="K56" s="110" t="inlineStr">
        <is>
          <t>SB1</t>
        </is>
      </c>
      <c r="L56" s="110" t="n"/>
      <c r="M56" s="110" t="n"/>
      <c r="N56" s="110" t="inlineStr">
        <is>
          <t>SB2</t>
        </is>
      </c>
      <c r="O56" s="110" t="n"/>
      <c r="P56" s="110" t="inlineStr">
        <is>
          <t>CS1</t>
        </is>
      </c>
      <c r="R56" s="110" t="n"/>
      <c r="S56" s="110" t="inlineStr">
        <is>
          <t>SB1</t>
        </is>
      </c>
      <c r="T56" s="110" t="n"/>
      <c r="U56" s="110" t="inlineStr">
        <is>
          <t>CS1</t>
        </is>
      </c>
      <c r="V56" s="110" t="inlineStr">
        <is>
          <t>CS1</t>
        </is>
      </c>
      <c r="W56" s="110" t="n"/>
      <c r="X56" s="110" t="inlineStr">
        <is>
          <t>PM MA</t>
        </is>
      </c>
      <c r="Y56" s="110" t="n"/>
      <c r="Z56" s="110" t="n"/>
      <c r="AA56" s="110" t="n"/>
      <c r="AB56" s="110" t="inlineStr">
        <is>
          <t>OL</t>
        </is>
      </c>
      <c r="AC56" s="110" t="inlineStr">
        <is>
          <t>OL</t>
        </is>
      </c>
      <c r="AD56" s="110" t="inlineStr">
        <is>
          <t>OL</t>
        </is>
      </c>
      <c r="AE56" s="110" t="inlineStr">
        <is>
          <t>OL</t>
        </is>
      </c>
      <c r="AF56" s="110" t="inlineStr">
        <is>
          <t>OL</t>
        </is>
      </c>
      <c r="AG56" s="110" t="inlineStr">
        <is>
          <t>OL</t>
        </is>
      </c>
      <c r="AH56" s="110" t="inlineStr">
        <is>
          <t>OL</t>
        </is>
      </c>
      <c r="AI56" s="74">
        <f>COUNTIF($D56:$AG56,AI$4)</f>
        <v/>
      </c>
      <c r="AJ56" s="74">
        <f>COUNTIF($D56:$AG56,AJ$4)</f>
        <v/>
      </c>
      <c r="AK56" s="74">
        <f>COUNTIF($D56:$AG56,AK$4)</f>
        <v/>
      </c>
      <c r="AL56" s="74">
        <f>COUNTIF($D56:$AG56,AL$4)</f>
        <v/>
      </c>
      <c r="AM56" s="74">
        <f>COUNTIF($D56:$AG56,AM$4)</f>
        <v/>
      </c>
      <c r="AN56" s="74">
        <f>COUNTIF($D56:$AG56,AN$4)</f>
        <v/>
      </c>
      <c r="AO56" s="74">
        <f>COUNTIF($D56:$AG56,AO$4)</f>
        <v/>
      </c>
      <c r="AP56" s="74">
        <f>COUNTIF($D56:$AG56,AP$4)</f>
        <v/>
      </c>
      <c r="AQ56" s="74">
        <f>COUNTIF($D56:$AG56,AQ$4)</f>
        <v/>
      </c>
      <c r="AR56" s="76" t="n"/>
      <c r="AS56" s="76" t="n"/>
      <c r="AT56" s="74">
        <f>SUMPRODUCT(--(WEEKDAY(D$3:AG$3,2)&lt;5),--ISNUMBER(MATCH(D56:AG56,{"DM","CS1","CS2","SB1","SB2","AE","CS/B"},0)))</f>
        <v/>
      </c>
      <c r="AU56" s="74" t="n"/>
      <c r="AV56" s="74">
        <f>SUMPRODUCT(--(WEEKDAY(D$3:AG$3,2)=5),--ISNUMBER(MATCH(D56:AG56,{"DM","CS1","CS2","SB1","SB2","AE","CS/B"},0)))</f>
        <v/>
      </c>
      <c r="AW56" s="74">
        <f>SUMPRODUCT(--(WEEKDAY(D$3:AG$3,2)&gt;5),--ISNUMBER(MATCH(D56:AG56,{"DM","CS1","CS2","SB1","AE","CS/B","SB2"},0)))</f>
        <v/>
      </c>
      <c r="AX56" s="74" t="n"/>
      <c r="AY56" s="74">
        <f>(AT56-AU56)+AV56*1.5+(AW56-AX56)*2+AN56*0.5+AP56*0.5+AR56-AS56</f>
        <v/>
      </c>
      <c r="AZ56" s="74">
        <f>AT56+AV56+AW56</f>
        <v/>
      </c>
      <c r="BA56" s="74">
        <f>BD56+BF56+BH56+BJ56+BL56</f>
        <v/>
      </c>
      <c r="BB56" s="76">
        <f>AY56+BC56</f>
        <v/>
      </c>
      <c r="BC56" s="74">
        <f>BE56+BG56+BI56+BK56+BM56</f>
        <v/>
      </c>
      <c r="BD56" s="74">
        <f>COUNTIF(A56:AI56,"*$BTP*")</f>
        <v/>
      </c>
      <c r="BE56" s="74">
        <f>BD56*1.5</f>
        <v/>
      </c>
      <c r="BF56" s="74">
        <f>COUNTIF(A56:AI56,"*$M*")</f>
        <v/>
      </c>
      <c r="BG56" s="74">
        <f>BF56*1</f>
        <v/>
      </c>
      <c r="BH56" s="74">
        <f>COUNTIF(A56:AI56,"*$PM*")</f>
        <v/>
      </c>
      <c r="BI56" s="74">
        <f>BH56*0.5</f>
        <v/>
      </c>
      <c r="BJ56" s="74">
        <f>COUNTIF(A56:AI56,"*$AM*")</f>
        <v/>
      </c>
      <c r="BK56" s="74">
        <f>BJ56*0.5</f>
        <v/>
      </c>
      <c r="BL56" s="74">
        <f>COUNTIF(A56:AI56,"*$FC*")</f>
        <v/>
      </c>
      <c r="BM56" s="74">
        <f>BL56*1</f>
        <v/>
      </c>
      <c r="BN56" s="74" t="n"/>
      <c r="BO56" s="74">
        <f>COUNTIF($E56:$Z56,BO$4)</f>
        <v/>
      </c>
      <c r="BP56" s="74">
        <f>COUNTIF($E56:$Z56,BP$4)</f>
        <v/>
      </c>
      <c r="BQ56" s="74">
        <f>COUNTIF($E56:$Z56,BQ$4)</f>
        <v/>
      </c>
      <c r="BR56" s="74" t="n"/>
    </row>
    <row r="57" ht="19.5" customHeight="1">
      <c r="A57" s="77" t="n"/>
      <c r="B57" s="76" t="inlineStr">
        <is>
          <t>PTE MATTHEW WILLIAM TAN</t>
        </is>
      </c>
      <c r="C57" s="76" t="n"/>
      <c r="D57" s="107" t="n"/>
      <c r="E57" s="107" t="n"/>
      <c r="F57" s="107" t="inlineStr">
        <is>
          <t>SB1</t>
        </is>
      </c>
      <c r="G57" s="107" t="n"/>
      <c r="H57" s="107" t="n"/>
      <c r="I57" s="107" t="n"/>
      <c r="J57" s="107" t="n"/>
      <c r="K57" s="107" t="n"/>
      <c r="L57" s="107" t="inlineStr">
        <is>
          <t>OL</t>
        </is>
      </c>
      <c r="M57" s="107" t="inlineStr">
        <is>
          <t>OL</t>
        </is>
      </c>
      <c r="N57" s="107" t="inlineStr">
        <is>
          <t>OL</t>
        </is>
      </c>
      <c r="O57" s="107" t="inlineStr">
        <is>
          <t>OL</t>
        </is>
      </c>
      <c r="P57" s="148" t="inlineStr">
        <is>
          <t>AM DA</t>
        </is>
      </c>
      <c r="Q57" s="107" t="inlineStr">
        <is>
          <t>AE</t>
        </is>
      </c>
      <c r="R57" s="107" t="n"/>
      <c r="S57" s="107" t="n"/>
      <c r="T57" s="107" t="n"/>
      <c r="U57" s="148" t="n"/>
      <c r="V57" s="107" t="n"/>
      <c r="W57" s="107" t="inlineStr">
        <is>
          <t>1ST + 5TH $PM WEAPON PRESENTATION</t>
        </is>
      </c>
      <c r="X57" s="107" t="inlineStr">
        <is>
          <t>PM MA</t>
        </is>
      </c>
      <c r="Y57" s="107" t="inlineStr">
        <is>
          <t>AE</t>
        </is>
      </c>
      <c r="Z57" s="107" t="n"/>
      <c r="AA57" s="107" t="inlineStr">
        <is>
          <t>1ST $AM IPPT</t>
        </is>
      </c>
      <c r="AB57" s="107" t="n"/>
      <c r="AC57" s="107" t="inlineStr">
        <is>
          <t>AE</t>
        </is>
      </c>
      <c r="AD57" s="107" t="n"/>
      <c r="AE57" s="107" t="inlineStr">
        <is>
          <t>AM MA</t>
        </is>
      </c>
      <c r="AF57" s="107" t="inlineStr">
        <is>
          <t>SB1</t>
        </is>
      </c>
      <c r="AG57" s="107" t="n"/>
      <c r="AH57" s="107" t="n"/>
      <c r="AI57" s="77">
        <f>COUNTIF($D57:$AG57,AI$4)</f>
        <v/>
      </c>
      <c r="AJ57" s="77">
        <f>COUNTIF($D57:$AG57,AJ$4)</f>
        <v/>
      </c>
      <c r="AK57" s="77">
        <f>COUNTIF($D57:$AG57,AK$4)</f>
        <v/>
      </c>
      <c r="AL57" s="77">
        <f>COUNTIF($D57:$AG57,AL$4)</f>
        <v/>
      </c>
      <c r="AM57" s="77">
        <f>COUNTIF($D57:$AG57,AM$4)</f>
        <v/>
      </c>
      <c r="AN57" s="77">
        <f>COUNTIF($D57:$AG57,AN$4)</f>
        <v/>
      </c>
      <c r="AO57" s="77">
        <f>COUNTIF($D57:$AG57,AO$4)</f>
        <v/>
      </c>
      <c r="AP57" s="77">
        <f>COUNTIF($D57:$AG57,AP$4)</f>
        <v/>
      </c>
      <c r="AQ57" s="77">
        <f>COUNTIF($D57:$AG57,AQ$4)</f>
        <v/>
      </c>
      <c r="AR57" s="76" t="n"/>
      <c r="AS57" s="76" t="n"/>
      <c r="AT57" s="77">
        <f>SUMPRODUCT(--(WEEKDAY(D$3:AG$3,2)&lt;5),--ISNUMBER(MATCH(D57:AG57,{"DM","CS1","CS2","SB1","SB2","AE","CS/B"},0)))</f>
        <v/>
      </c>
      <c r="AU57" s="77" t="n"/>
      <c r="AV57" s="77">
        <f>SUMPRODUCT(--(WEEKDAY(D$3:AG$3,2)=5),--ISNUMBER(MATCH(D57:AG57,{"DM","CS1","CS2","SB1","SB2","AE","CS/B"},0)))</f>
        <v/>
      </c>
      <c r="AW57" s="77">
        <f>SUMPRODUCT(--(WEEKDAY(D$3:AG$3,2)&gt;5),--ISNUMBER(MATCH(D57:AG57,{"DM","CS1","CS2","SB1","AE","CS/B","SB2"},0)))</f>
        <v/>
      </c>
      <c r="AX57" s="77" t="n"/>
      <c r="AY57" s="77">
        <f>(AT57-AU57)+AV57*1.5+(AW57-AX57)*2+AN57*0.5+AP57*0.5+AR57-AS57</f>
        <v/>
      </c>
      <c r="AZ57" s="77">
        <f>AT57+AV57+AW57</f>
        <v/>
      </c>
      <c r="BA57" s="77">
        <f>BD57+BF57+BH57+BJ57+BL57</f>
        <v/>
      </c>
      <c r="BB57" s="76">
        <f>AY57+BC57</f>
        <v/>
      </c>
      <c r="BC57" s="77">
        <f>BE57+BG57+BI57+BK57+BM57</f>
        <v/>
      </c>
      <c r="BD57" s="77">
        <f>COUNTIF(A57:AI57,"*$BTP*")</f>
        <v/>
      </c>
      <c r="BE57" s="77">
        <f>BD57*1.5</f>
        <v/>
      </c>
      <c r="BF57" s="77">
        <f>COUNTIF(A57:AI57,"*$M*")</f>
        <v/>
      </c>
      <c r="BG57" s="77">
        <f>BF57*1</f>
        <v/>
      </c>
      <c r="BH57" s="77">
        <f>COUNTIF(A57:AI57,"*$PM*")</f>
        <v/>
      </c>
      <c r="BI57" s="77">
        <f>BH57*0.5</f>
        <v/>
      </c>
      <c r="BJ57" s="77">
        <f>COUNTIF(A57:AI57,"*$AM*")</f>
        <v/>
      </c>
      <c r="BK57" s="77">
        <f>BJ57*0.5</f>
        <v/>
      </c>
      <c r="BL57" s="77">
        <f>COUNTIF(A57:AI57,"*$FC*")</f>
        <v/>
      </c>
      <c r="BM57" s="77">
        <f>BL57*1</f>
        <v/>
      </c>
      <c r="BN57" s="77" t="n"/>
      <c r="BO57" s="77">
        <f>COUNTIF($E57:$Z57,BO$4)</f>
        <v/>
      </c>
      <c r="BP57" s="77">
        <f>COUNTIF($E57:$Z57,BP$4)</f>
        <v/>
      </c>
      <c r="BQ57" s="77">
        <f>COUNTIF($E57:$Z57,BQ$4)</f>
        <v/>
      </c>
      <c r="BR57" s="77" t="n"/>
    </row>
    <row r="58" ht="19.5" customHeight="1">
      <c r="A58" s="74" t="n"/>
      <c r="B58" s="74" t="inlineStr">
        <is>
          <t>3SG THOTA DEV ADITYA</t>
        </is>
      </c>
      <c r="C58" s="151" t="n"/>
      <c r="D58" s="119" t="n"/>
      <c r="E58" s="121" t="n"/>
      <c r="F58" s="121" t="n"/>
      <c r="G58" s="152" t="inlineStr">
        <is>
          <t>DM</t>
        </is>
      </c>
      <c r="H58" s="110" t="n"/>
      <c r="I58" s="110" t="inlineStr">
        <is>
          <t>4TH $FC</t>
        </is>
      </c>
      <c r="J58" s="110" t="inlineStr">
        <is>
          <t>4TH $FC</t>
        </is>
      </c>
      <c r="K58" s="110" t="inlineStr">
        <is>
          <t>4TH $FC</t>
        </is>
      </c>
      <c r="L58" s="121" t="n"/>
      <c r="M58" s="121" t="n"/>
      <c r="N58" s="114" t="inlineStr">
        <is>
          <t>EX LANCER TRAINING @ SAFTI</t>
        </is>
      </c>
      <c r="O58" s="121" t="n"/>
      <c r="P58" s="121" t="n"/>
      <c r="Q58" s="114" t="inlineStr">
        <is>
          <t>EX LANCER TRAINING @ SAFTI</t>
        </is>
      </c>
      <c r="R58" s="110" t="n"/>
      <c r="S58" s="110" t="n"/>
      <c r="T58" s="121" t="n"/>
      <c r="U58" s="110" t="inlineStr">
        <is>
          <t>LANCER TRG</t>
        </is>
      </c>
      <c r="V58" s="114" t="n"/>
      <c r="W58" s="110" t="inlineStr">
        <is>
          <t>2ND $FC RE-SIT TEST</t>
        </is>
      </c>
      <c r="X58" s="110" t="inlineStr">
        <is>
          <t>2ND $FC RE-SIT TEST</t>
        </is>
      </c>
      <c r="Y58" s="114" t="inlineStr">
        <is>
          <t>DM</t>
        </is>
      </c>
      <c r="Z58" s="121" t="n"/>
      <c r="AA58" s="110" t="n"/>
      <c r="AB58" s="110" t="inlineStr">
        <is>
          <t>SAFTI</t>
        </is>
      </c>
      <c r="AC58" s="110" t="inlineStr">
        <is>
          <t>SAFTI</t>
        </is>
      </c>
      <c r="AD58" s="110" t="n"/>
      <c r="AE58" s="110" t="inlineStr">
        <is>
          <t>DM</t>
        </is>
      </c>
      <c r="AF58" s="114" t="inlineStr">
        <is>
          <t>EX LANCER</t>
        </is>
      </c>
      <c r="AG58" s="114" t="inlineStr">
        <is>
          <t>EX LANCER</t>
        </is>
      </c>
      <c r="AH58" s="114" t="inlineStr">
        <is>
          <t>EX LANCER</t>
        </is>
      </c>
      <c r="AI58" s="74">
        <f>COUNTIF($D58:$AG58,AI$4)</f>
        <v/>
      </c>
      <c r="AJ58" s="74">
        <f>COUNTIF($D58:$AG58,AJ$4)</f>
        <v/>
      </c>
      <c r="AK58" s="74">
        <f>COUNTIF($D58:$AG58,AK$4)</f>
        <v/>
      </c>
      <c r="AL58" s="74">
        <f>COUNTIF($D58:$AG58,AL$4)</f>
        <v/>
      </c>
      <c r="AM58" s="74">
        <f>COUNTIF($D58:$AG58,AM$4)</f>
        <v/>
      </c>
      <c r="AN58" s="74">
        <f>COUNTIF($D58:$AG58,AN$4)</f>
        <v/>
      </c>
      <c r="AO58" s="74">
        <f>COUNTIF($D58:$AG58,AO$4)</f>
        <v/>
      </c>
      <c r="AP58" s="74">
        <f>COUNTIF($D58:$AG58,AP$4)</f>
        <v/>
      </c>
      <c r="AQ58" s="74">
        <f>COUNTIF($D58:$AG58,AQ$4)</f>
        <v/>
      </c>
      <c r="AR58" s="76" t="n">
        <v>1</v>
      </c>
      <c r="AS58" s="76" t="n"/>
      <c r="AT58" s="74">
        <f>SUMPRODUCT(--(WEEKDAY(D$3:AG$3,2)&lt;5),--ISNUMBER(MATCH(D58:AG58,{"DM","CS1","CS2","SB1","SB2","AE","CS/B"},0)))</f>
        <v/>
      </c>
      <c r="AU58" s="74" t="n"/>
      <c r="AV58" s="74">
        <f>SUMPRODUCT(--(WEEKDAY(D$3:AG$3,2)=5),--ISNUMBER(MATCH(D58:AG58,{"DM","CS1","CS2","SB1","SB2","AE","CS/B"},0)))</f>
        <v/>
      </c>
      <c r="AW58" s="74">
        <f>SUMPRODUCT(--(WEEKDAY(D$3:AG$3,2)&gt;5),--ISNUMBER(MATCH(D58:AG58,{"DM","CS1","CS2","SB1","AE","CS/B","SB2"},0)))</f>
        <v/>
      </c>
      <c r="AX58" s="74" t="n"/>
      <c r="AY58" s="74">
        <f>(AT58-AU58)+AV58*1.5+(AW58-AX58)*2+AN58*0.5+AP58*0.5+AR58-AS58</f>
        <v/>
      </c>
      <c r="AZ58" s="74">
        <f>AT58+AV58+AW58</f>
        <v/>
      </c>
      <c r="BA58" s="74">
        <f>BD58+BF58+BH58+BJ58+BL58</f>
        <v/>
      </c>
      <c r="BB58" s="76">
        <f>AY58+BC58</f>
        <v/>
      </c>
      <c r="BC58" s="74">
        <f>BE58+BG58+BI58+BK58+BM58</f>
        <v/>
      </c>
      <c r="BD58" s="74">
        <f>COUNTIF(A58:AI58,"*$BTP*")</f>
        <v/>
      </c>
      <c r="BE58" s="74">
        <f>BD58*1.5</f>
        <v/>
      </c>
      <c r="BF58" s="74">
        <f>COUNTIF(A58:AI58,"*$M*")</f>
        <v/>
      </c>
      <c r="BG58" s="74">
        <f>BF58*1</f>
        <v/>
      </c>
      <c r="BH58" s="74">
        <f>COUNTIF(A58:AI58,"*$PM*")</f>
        <v/>
      </c>
      <c r="BI58" s="74">
        <f>BH58*0.5</f>
        <v/>
      </c>
      <c r="BJ58" s="74">
        <f>COUNTIF(A58:AI58,"*$AM*")</f>
        <v/>
      </c>
      <c r="BK58" s="74">
        <f>BJ58*0.5</f>
        <v/>
      </c>
      <c r="BL58" s="74">
        <f>COUNTIF(A58:AI58,"*$FC*")</f>
        <v/>
      </c>
      <c r="BM58" s="74">
        <f>BL58*1</f>
        <v/>
      </c>
      <c r="BN58" s="74" t="n"/>
      <c r="BO58" s="74">
        <f>COUNTIF($E58:$Z58,BO$4)</f>
        <v/>
      </c>
      <c r="BP58" s="74">
        <f>COUNTIF($E58:$Z58,BP$4)</f>
        <v/>
      </c>
      <c r="BQ58" s="74">
        <f>COUNTIF($E58:$Z58,BQ$4)</f>
        <v/>
      </c>
      <c r="BR58" s="74" t="n"/>
    </row>
    <row r="59" ht="19.5" customHeight="1">
      <c r="A59" s="107" t="n"/>
      <c r="B59" s="107" t="inlineStr">
        <is>
          <t>CFC MUHAMMAD AMSYAR SUFI BIN SUNARDI</t>
        </is>
      </c>
      <c r="C59" s="107" t="n"/>
      <c r="D59" s="107" t="n"/>
      <c r="E59" s="107" t="n"/>
      <c r="F59" s="107" t="n"/>
      <c r="G59" s="107" t="inlineStr">
        <is>
          <t>CS1</t>
        </is>
      </c>
      <c r="H59" s="107" t="n"/>
      <c r="I59" s="107" t="inlineStr">
        <is>
          <t>OUTFIELD RESERVE</t>
        </is>
      </c>
      <c r="J59" s="107" t="inlineStr">
        <is>
          <t>AM DA</t>
        </is>
      </c>
      <c r="K59" s="107" t="n"/>
      <c r="L59" s="107" t="n"/>
      <c r="M59" s="107" t="n"/>
      <c r="N59" s="107" t="n"/>
      <c r="O59" s="107" t="inlineStr">
        <is>
          <t>ORD</t>
        </is>
      </c>
      <c r="P59" s="107" t="inlineStr">
        <is>
          <t>STC LEAVE</t>
        </is>
      </c>
      <c r="Q59" s="107" t="inlineStr">
        <is>
          <t>CS1</t>
        </is>
      </c>
      <c r="R59" s="107" t="inlineStr">
        <is>
          <t>AE</t>
        </is>
      </c>
      <c r="S59" s="107" t="n"/>
      <c r="T59" s="107" t="n"/>
      <c r="U59" s="107" t="inlineStr">
        <is>
          <t>DM</t>
        </is>
      </c>
      <c r="V59" s="107" t="n"/>
      <c r="W59" s="107" t="inlineStr">
        <is>
          <t>DM</t>
        </is>
      </c>
      <c r="X59" s="107" t="inlineStr">
        <is>
          <t>4TH $M BIC PM</t>
        </is>
      </c>
      <c r="Y59" s="107" t="n"/>
      <c r="Z59" s="107" t="n"/>
      <c r="AA59" s="107" t="n"/>
      <c r="AB59" s="107" t="inlineStr">
        <is>
          <t>DM</t>
        </is>
      </c>
      <c r="AC59" s="107" t="inlineStr">
        <is>
          <t>AM DA</t>
        </is>
      </c>
      <c r="AD59" s="107" t="n"/>
      <c r="AE59" s="107" t="n"/>
      <c r="AF59" s="107" t="inlineStr">
        <is>
          <t>DM</t>
        </is>
      </c>
      <c r="AG59" s="107" t="n"/>
      <c r="AH59" s="107" t="inlineStr">
        <is>
          <t>SB1</t>
        </is>
      </c>
      <c r="AI59" s="77">
        <f>COUNTIF($D59:$AG59,AI$4)</f>
        <v/>
      </c>
      <c r="AJ59" s="77">
        <f>COUNTIF($D59:$AG59,AJ$4)</f>
        <v/>
      </c>
      <c r="AK59" s="77">
        <f>COUNTIF($D59:$AG59,AK$4)</f>
        <v/>
      </c>
      <c r="AL59" s="77">
        <f>COUNTIF($D59:$AG59,AL$4)</f>
        <v/>
      </c>
      <c r="AM59" s="77">
        <f>COUNTIF($D59:$AG59,AM$4)</f>
        <v/>
      </c>
      <c r="AN59" s="77">
        <f>COUNTIF($D59:$AG59,AN$4)</f>
        <v/>
      </c>
      <c r="AO59" s="77">
        <f>COUNTIF($D59:$AG59,AO$4)</f>
        <v/>
      </c>
      <c r="AP59" s="77">
        <f>COUNTIF($D59:$AG59,AP$4)</f>
        <v/>
      </c>
      <c r="AQ59" s="77">
        <f>COUNTIF($D59:$AG59,AQ$4)</f>
        <v/>
      </c>
      <c r="AR59" s="76" t="n"/>
      <c r="AS59" s="76" t="n"/>
      <c r="AT59" s="77">
        <f>SUMPRODUCT(--(WEEKDAY(D$3:AG$3,2)&lt;5),--ISNUMBER(MATCH(D59:AG59,{"DM","CS1","CS2","SB1","SB2","AE","CS/B"},0)))</f>
        <v/>
      </c>
      <c r="AU59" s="77" t="n"/>
      <c r="AV59" s="77">
        <f>SUMPRODUCT(--(WEEKDAY(D$3:AG$3,2)=5),--ISNUMBER(MATCH(D59:AG59,{"DM","CS1","CS2","SB1","SB2","AE","CS/B"},0)))</f>
        <v/>
      </c>
      <c r="AW59" s="77">
        <f>SUMPRODUCT(--(WEEKDAY(D$3:AG$3,2)&gt;5),--ISNUMBER(MATCH(D59:AG59,{"DM","CS1","CS2","SB1","AE","CS/B","SB2"},0)))</f>
        <v/>
      </c>
      <c r="AX59" s="77" t="n"/>
      <c r="AY59" s="77">
        <f>(AT59-AU59)+AV59*1.5+(AW59-AX59)*2+AN59*0.5+AP59*0.5+AR59-AS59</f>
        <v/>
      </c>
      <c r="AZ59" s="77">
        <f>AT59+AV59+AW59</f>
        <v/>
      </c>
      <c r="BA59" s="77">
        <f>BD59+BF59+BH59+BJ59+BL59</f>
        <v/>
      </c>
      <c r="BB59" s="76">
        <f>AY59+BC59</f>
        <v/>
      </c>
      <c r="BC59" s="77">
        <f>BE59+BG59+BI59+BK59+BM59</f>
        <v/>
      </c>
      <c r="BD59" s="77">
        <f>COUNTIF(A59:AI59,"*$BTP*")</f>
        <v/>
      </c>
      <c r="BE59" s="77">
        <f>BD59*1.5</f>
        <v/>
      </c>
      <c r="BF59" s="77">
        <f>COUNTIF(A59:AI59,"*$M*")</f>
        <v/>
      </c>
      <c r="BG59" s="77">
        <f>BF59*1</f>
        <v/>
      </c>
      <c r="BH59" s="77">
        <f>COUNTIF(A59:AI59,"*$PM*")</f>
        <v/>
      </c>
      <c r="BI59" s="77">
        <f>BH59*0.5</f>
        <v/>
      </c>
      <c r="BJ59" s="77">
        <f>COUNTIF(A59:AI59,"*$AM*")</f>
        <v/>
      </c>
      <c r="BK59" s="77">
        <f>BJ59*0.5</f>
        <v/>
      </c>
      <c r="BL59" s="77">
        <f>COUNTIF(A59:AI59,"*$FC*")</f>
        <v/>
      </c>
      <c r="BM59" s="77">
        <f>BL59*1</f>
        <v/>
      </c>
      <c r="BN59" s="77" t="n"/>
      <c r="BO59" s="77">
        <f>COUNTIF($E59:$Z59,BO$4)</f>
        <v/>
      </c>
      <c r="BP59" s="77">
        <f>COUNTIF($E59:$Z59,BP$4)</f>
        <v/>
      </c>
      <c r="BQ59" s="77">
        <f>COUNTIF($E59:$Z59,BQ$4)</f>
        <v/>
      </c>
      <c r="BR59" s="107" t="n"/>
    </row>
    <row r="60" ht="19.5" customHeight="1">
      <c r="A60" s="110" t="n"/>
      <c r="B60" s="110" t="inlineStr">
        <is>
          <t>CFC BRENDON TOH YI CHEN</t>
        </is>
      </c>
      <c r="C60" s="110" t="n"/>
      <c r="D60" s="110" t="inlineStr">
        <is>
          <t>SB1</t>
        </is>
      </c>
      <c r="E60" s="110" t="n"/>
      <c r="F60" s="110" t="n"/>
      <c r="G60" s="110" t="inlineStr">
        <is>
          <t>SB2</t>
        </is>
      </c>
      <c r="H60" s="110" t="inlineStr">
        <is>
          <t>CS1</t>
        </is>
      </c>
      <c r="I60" s="110" t="n"/>
      <c r="J60" s="110" t="inlineStr">
        <is>
          <t>CS1</t>
        </is>
      </c>
      <c r="K60" s="142" t="n"/>
      <c r="L60" s="110" t="n"/>
      <c r="M60" s="110" t="n"/>
      <c r="N60" s="110" t="inlineStr">
        <is>
          <t>RESERVE</t>
        </is>
      </c>
      <c r="O60" s="110" t="inlineStr">
        <is>
          <t>DM</t>
        </is>
      </c>
      <c r="P60" s="110" t="n"/>
      <c r="Q60" s="110" t="n"/>
      <c r="R60" s="110" t="n"/>
      <c r="S60" s="110" t="inlineStr">
        <is>
          <t>OL</t>
        </is>
      </c>
      <c r="T60" s="110" t="inlineStr">
        <is>
          <t>OL</t>
        </is>
      </c>
      <c r="U60" s="110" t="inlineStr">
        <is>
          <t>OL</t>
        </is>
      </c>
      <c r="V60" s="110" t="inlineStr">
        <is>
          <t>OL</t>
        </is>
      </c>
      <c r="W60" s="110" t="inlineStr">
        <is>
          <t>OL</t>
        </is>
      </c>
      <c r="X60" s="110" t="inlineStr">
        <is>
          <t>OL</t>
        </is>
      </c>
      <c r="Y60" s="110" t="inlineStr">
        <is>
          <t>OL</t>
        </is>
      </c>
      <c r="Z60" s="110" t="inlineStr">
        <is>
          <t>OL</t>
        </is>
      </c>
      <c r="AA60" s="110" t="inlineStr">
        <is>
          <t>OL</t>
        </is>
      </c>
      <c r="AB60" s="110" t="inlineStr">
        <is>
          <t>OL</t>
        </is>
      </c>
      <c r="AC60" s="110" t="inlineStr">
        <is>
          <t>OL</t>
        </is>
      </c>
      <c r="AD60" s="110" t="inlineStr">
        <is>
          <t>OL</t>
        </is>
      </c>
      <c r="AE60" s="110" t="inlineStr">
        <is>
          <t>OL</t>
        </is>
      </c>
      <c r="AF60" s="110" t="inlineStr">
        <is>
          <t>OL</t>
        </is>
      </c>
      <c r="AG60" s="110" t="n"/>
      <c r="AH60" s="110" t="n"/>
      <c r="AI60" s="74">
        <f>COUNTIF($D60:$AG60,AI$4)</f>
        <v/>
      </c>
      <c r="AJ60" s="74">
        <f>COUNTIF($D60:$AG60,AJ$4)</f>
        <v/>
      </c>
      <c r="AK60" s="74">
        <f>COUNTIF($D60:$AG60,AK$4)</f>
        <v/>
      </c>
      <c r="AL60" s="74">
        <f>COUNTIF($D60:$AG60,AL$4)</f>
        <v/>
      </c>
      <c r="AM60" s="74">
        <f>COUNTIF($D60:$AG60,AM$4)</f>
        <v/>
      </c>
      <c r="AN60" s="74">
        <f>COUNTIF($D60:$AG60,AN$4)</f>
        <v/>
      </c>
      <c r="AO60" s="74">
        <f>COUNTIF($D60:$AG60,AO$4)</f>
        <v/>
      </c>
      <c r="AP60" s="74">
        <f>COUNTIF($D60:$AG60,AP$4)</f>
        <v/>
      </c>
      <c r="AQ60" s="74">
        <f>COUNTIF($D60:$AG60,AQ$4)</f>
        <v/>
      </c>
      <c r="AR60" s="76" t="n">
        <v>3.5</v>
      </c>
      <c r="AS60" s="76" t="n"/>
      <c r="AT60" s="74">
        <f>SUMPRODUCT(--(WEEKDAY(D$3:AG$3,2)&lt;5),--ISNUMBER(MATCH(D60:AG60,{"DM","CS1","CS2","SB1","SB2","AE","CS/B"},0)))</f>
        <v/>
      </c>
      <c r="AU60" s="74" t="n"/>
      <c r="AV60" s="74">
        <f>SUMPRODUCT(--(WEEKDAY(D$3:AG$3,2)=5),--ISNUMBER(MATCH(D60:AG60,{"DM","CS1","CS2","SB1","SB2","AE","CS/B"},0)))</f>
        <v/>
      </c>
      <c r="AW60" s="74">
        <f>SUMPRODUCT(--(WEEKDAY(D$3:AG$3,2)&gt;5),--ISNUMBER(MATCH(D60:AG60,{"DM","CS1","CS2","SB1","AE","CS/B","SB2"},0)))</f>
        <v/>
      </c>
      <c r="AX60" s="74" t="n"/>
      <c r="AY60" s="74">
        <f>(AT60-AU60)+AV60*1.5+(AW60-AX60)*2+AN60*0.5+AP60*0.5+AR60-AS60</f>
        <v/>
      </c>
      <c r="AZ60" s="74">
        <f>AT60+AV60+AW60</f>
        <v/>
      </c>
      <c r="BA60" s="74">
        <f>BD60+BF60+BH60+BJ60+BL60</f>
        <v/>
      </c>
      <c r="BB60" s="76">
        <f>AY60+BC60</f>
        <v/>
      </c>
      <c r="BC60" s="74">
        <f>BE60+BG60+BI60+BK60+BM60</f>
        <v/>
      </c>
      <c r="BD60" s="74">
        <f>COUNTIF(A60:AI60,"*$BTP*")</f>
        <v/>
      </c>
      <c r="BE60" s="74">
        <f>BD60*1.5</f>
        <v/>
      </c>
      <c r="BF60" s="74">
        <f>COUNTIF(A60:AI60,"*$M*")</f>
        <v/>
      </c>
      <c r="BG60" s="74">
        <f>BF60*1</f>
        <v/>
      </c>
      <c r="BH60" s="74">
        <f>COUNTIF(A60:AI60,"*$PM*")</f>
        <v/>
      </c>
      <c r="BI60" s="74">
        <f>BH60*0.5</f>
        <v/>
      </c>
      <c r="BJ60" s="74">
        <f>COUNTIF(A60:AI60,"*$AM*")</f>
        <v/>
      </c>
      <c r="BK60" s="74">
        <f>BJ60*0.5</f>
        <v/>
      </c>
      <c r="BL60" s="74">
        <f>COUNTIF(A60:AI60,"*$FC*")</f>
        <v/>
      </c>
      <c r="BM60" s="74">
        <f>BL60*1</f>
        <v/>
      </c>
      <c r="BN60" s="74" t="n"/>
      <c r="BO60" s="74">
        <f>COUNTIF($E60:$Z60,BO$4)</f>
        <v/>
      </c>
      <c r="BP60" s="74">
        <f>COUNTIF($E60:$Z60,BP$4)</f>
        <v/>
      </c>
      <c r="BQ60" s="74">
        <f>COUNTIF($E60:$Z60,BQ$4)</f>
        <v/>
      </c>
      <c r="BR60" s="110" t="n"/>
    </row>
    <row r="61" ht="19.5" customHeight="1">
      <c r="A61" s="107" t="n"/>
      <c r="B61" s="107" t="inlineStr">
        <is>
          <t>CFC AINSLEY YAP SHENG JIE</t>
        </is>
      </c>
      <c r="C61" s="107" t="n"/>
      <c r="D61" s="107" t="n"/>
      <c r="E61" s="107" t="inlineStr">
        <is>
          <t>SB1</t>
        </is>
      </c>
      <c r="F61" s="107" t="n"/>
      <c r="G61" s="107" t="n"/>
      <c r="H61" s="107" t="inlineStr">
        <is>
          <t>DM</t>
        </is>
      </c>
      <c r="I61" s="107" t="n"/>
      <c r="J61" s="107" t="inlineStr">
        <is>
          <t>OUTFIELD RESERVE</t>
        </is>
      </c>
      <c r="K61" s="107" t="n"/>
      <c r="L61" s="107" t="n"/>
      <c r="M61" s="107" t="inlineStr">
        <is>
          <t>4TH $AM 8KM RM</t>
        </is>
      </c>
      <c r="N61" s="107" t="inlineStr">
        <is>
          <t>AE</t>
        </is>
      </c>
      <c r="O61" s="107" t="n"/>
      <c r="P61" s="107" t="n"/>
      <c r="Q61" s="107" t="inlineStr">
        <is>
          <t>DM</t>
        </is>
      </c>
      <c r="R61" s="107" t="n"/>
      <c r="S61" s="107" t="n"/>
      <c r="T61" s="107" t="n"/>
      <c r="U61" s="107" t="n"/>
      <c r="V61" s="107" t="n"/>
      <c r="W61" s="107" t="n"/>
      <c r="X61" s="107" t="n"/>
      <c r="Y61" s="107" t="inlineStr">
        <is>
          <t>OL</t>
        </is>
      </c>
      <c r="Z61" s="107" t="inlineStr">
        <is>
          <t>OL</t>
        </is>
      </c>
      <c r="AA61" s="107" t="inlineStr">
        <is>
          <t>OL</t>
        </is>
      </c>
      <c r="AB61" s="107" t="inlineStr">
        <is>
          <t>OL</t>
        </is>
      </c>
      <c r="AC61" s="107" t="inlineStr">
        <is>
          <t>OL</t>
        </is>
      </c>
      <c r="AD61" s="107" t="inlineStr">
        <is>
          <t>OL</t>
        </is>
      </c>
      <c r="AE61" s="107" t="inlineStr">
        <is>
          <t>OL</t>
        </is>
      </c>
      <c r="AF61" s="107" t="inlineStr">
        <is>
          <t>OL</t>
        </is>
      </c>
      <c r="AG61" s="107" t="inlineStr">
        <is>
          <t>OL</t>
        </is>
      </c>
      <c r="AH61" s="107" t="inlineStr">
        <is>
          <t>OL</t>
        </is>
      </c>
      <c r="AI61" s="77">
        <f>COUNTIF($D61:$AG61,AI$4)</f>
        <v/>
      </c>
      <c r="AJ61" s="77">
        <f>COUNTIF($D61:$AG61,AJ$4)</f>
        <v/>
      </c>
      <c r="AK61" s="77">
        <f>COUNTIF($D61:$AG61,AK$4)</f>
        <v/>
      </c>
      <c r="AL61" s="77">
        <f>COUNTIF($D61:$AG61,AL$4)</f>
        <v/>
      </c>
      <c r="AM61" s="77">
        <f>COUNTIF($D61:$AG61,AM$4)</f>
        <v/>
      </c>
      <c r="AN61" s="77">
        <f>COUNTIF($D61:$AG61,AN$4)</f>
        <v/>
      </c>
      <c r="AO61" s="77">
        <f>COUNTIF($D61:$AG61,AO$4)</f>
        <v/>
      </c>
      <c r="AP61" s="77">
        <f>COUNTIF($D61:$AG61,AP$4)</f>
        <v/>
      </c>
      <c r="AQ61" s="77">
        <f>COUNTIF($D61:$AG61,AQ$4)</f>
        <v/>
      </c>
      <c r="AR61" s="76" t="n">
        <v>3.5</v>
      </c>
      <c r="AS61" s="76" t="n"/>
      <c r="AT61" s="77">
        <f>SUMPRODUCT(--(WEEKDAY(D$3:AG$3,2)&lt;5),--ISNUMBER(MATCH(D61:AG61,{"DM","CS1","CS2","SB1","SB2","AE","CS/B"},0)))</f>
        <v/>
      </c>
      <c r="AU61" s="77" t="n"/>
      <c r="AV61" s="77">
        <f>SUMPRODUCT(--(WEEKDAY(D$3:AG$3,2)=5),--ISNUMBER(MATCH(D61:AG61,{"DM","CS1","CS2","SB1","SB2","AE","CS/B"},0)))</f>
        <v/>
      </c>
      <c r="AW61" s="77">
        <f>SUMPRODUCT(--(WEEKDAY(D$3:AG$3,2)&gt;5),--ISNUMBER(MATCH(D61:AG61,{"DM","CS1","CS2","SB1","AE","CS/B","SB2"},0)))</f>
        <v/>
      </c>
      <c r="AX61" s="77" t="n"/>
      <c r="AY61" s="77">
        <f>(AT61-AU61)+AV61*1.5+(AW61-AX61)*2+AN61*0.5+AP61*0.5+AR61-AS61</f>
        <v/>
      </c>
      <c r="AZ61" s="77">
        <f>AT61+AV61+AW61</f>
        <v/>
      </c>
      <c r="BA61" s="77">
        <f>BD61+BF61+BH61+BJ61+BL61</f>
        <v/>
      </c>
      <c r="BB61" s="76">
        <f>AY61+BC61</f>
        <v/>
      </c>
      <c r="BC61" s="77">
        <f>BE61+BG61+BI61+BK61+BM61</f>
        <v/>
      </c>
      <c r="BD61" s="77">
        <f>COUNTIF(A61:AI61,"*$BTP*")</f>
        <v/>
      </c>
      <c r="BE61" s="77">
        <f>BD61*1.5</f>
        <v/>
      </c>
      <c r="BF61" s="77">
        <f>COUNTIF(A61:AI61,"*$M*")</f>
        <v/>
      </c>
      <c r="BG61" s="77">
        <f>BF61*1</f>
        <v/>
      </c>
      <c r="BH61" s="77">
        <f>COUNTIF(A61:AI61,"*$PM*")</f>
        <v/>
      </c>
      <c r="BI61" s="77">
        <f>BH61*0.5</f>
        <v/>
      </c>
      <c r="BJ61" s="77">
        <f>COUNTIF(A61:AI61,"*$AM*")</f>
        <v/>
      </c>
      <c r="BK61" s="77">
        <f>BJ61*0.5</f>
        <v/>
      </c>
      <c r="BL61" s="77">
        <f>COUNTIF(A61:AI61,"*$FC*")</f>
        <v/>
      </c>
      <c r="BM61" s="77">
        <f>BL61*1</f>
        <v/>
      </c>
      <c r="BN61" s="77" t="n"/>
      <c r="BO61" s="77">
        <f>COUNTIF($E61:$Z61,BO$4)</f>
        <v/>
      </c>
      <c r="BP61" s="77">
        <f>COUNTIF($E61:$Z61,BP$4)</f>
        <v/>
      </c>
      <c r="BQ61" s="77">
        <f>COUNTIF($E61:$Z61,BQ$4)</f>
        <v/>
      </c>
      <c r="BR61" s="107" t="n"/>
    </row>
    <row r="62" ht="19.5" customHeight="1">
      <c r="A62" s="110" t="n"/>
      <c r="B62" s="110" t="inlineStr">
        <is>
          <t>CFC KOH KAI JIE, ETHAN</t>
        </is>
      </c>
      <c r="C62" s="110" t="n"/>
      <c r="D62" s="110" t="n"/>
      <c r="E62" s="110" t="n"/>
      <c r="F62" s="110" t="n"/>
      <c r="G62" s="110" t="inlineStr">
        <is>
          <t>OUTFIELD/BTP RESERVE</t>
        </is>
      </c>
      <c r="H62" s="411" t="n"/>
      <c r="I62" s="110" t="inlineStr">
        <is>
          <t>DM</t>
        </is>
      </c>
      <c r="J62" s="142" t="inlineStr">
        <is>
          <t>SB2</t>
        </is>
      </c>
      <c r="K62" s="110" t="n"/>
      <c r="L62" s="110" t="n"/>
      <c r="M62" s="110" t="n"/>
      <c r="N62" s="110" t="inlineStr">
        <is>
          <t>CS1</t>
        </is>
      </c>
      <c r="O62" s="110" t="n"/>
      <c r="P62" s="110" t="inlineStr">
        <is>
          <t>AMPT</t>
        </is>
      </c>
      <c r="Q62" s="110" t="inlineStr">
        <is>
          <t>SB2</t>
        </is>
      </c>
      <c r="R62" s="110" t="inlineStr">
        <is>
          <t>DM</t>
        </is>
      </c>
      <c r="S62" s="110" t="n"/>
      <c r="T62" s="110" t="n"/>
      <c r="U62" s="155" t="n"/>
      <c r="V62" s="155" t="inlineStr">
        <is>
          <t> </t>
        </is>
      </c>
      <c r="W62" s="110" t="inlineStr">
        <is>
          <t>PHLEBO</t>
        </is>
      </c>
      <c r="X62" s="110" t="inlineStr">
        <is>
          <t>PHLEBO</t>
        </is>
      </c>
      <c r="Y62" s="110" t="inlineStr">
        <is>
          <t>PHLEBO</t>
        </is>
      </c>
      <c r="Z62" s="110" t="inlineStr">
        <is>
          <t>SB1</t>
        </is>
      </c>
      <c r="AA62" s="110" t="n"/>
      <c r="AB62" s="147" t="inlineStr">
        <is>
          <t>SB2</t>
        </is>
      </c>
      <c r="AC62" s="110" t="inlineStr">
        <is>
          <t>DM</t>
        </is>
      </c>
      <c r="AD62" s="110" t="n"/>
      <c r="AE62" s="147" t="inlineStr">
        <is>
          <t>SB1</t>
        </is>
      </c>
      <c r="AF62" s="110" t="n"/>
      <c r="AG62" s="110" t="n"/>
      <c r="AH62" s="147" t="n"/>
      <c r="AI62" s="74">
        <f>COUNTIF($D62:$AG62,AI$4)</f>
        <v/>
      </c>
      <c r="AJ62" s="74">
        <f>COUNTIF($D62:$AG62,AJ$4)</f>
        <v/>
      </c>
      <c r="AK62" s="74">
        <f>COUNTIF($D62:$AG62,AK$4)</f>
        <v/>
      </c>
      <c r="AL62" s="74">
        <f>COUNTIF($D62:$AG62,AL$4)</f>
        <v/>
      </c>
      <c r="AM62" s="74">
        <f>COUNTIF($D62:$AG62,AM$4)</f>
        <v/>
      </c>
      <c r="AN62" s="74">
        <f>COUNTIF($D62:$AG62,AN$4)</f>
        <v/>
      </c>
      <c r="AO62" s="74">
        <f>COUNTIF($D62:$AG62,AO$4)</f>
        <v/>
      </c>
      <c r="AP62" s="74">
        <f>COUNTIF($D62:$AG62,AP$4)</f>
        <v/>
      </c>
      <c r="AQ62" s="74">
        <f>COUNTIF($D62:$AG62,AQ$4)</f>
        <v/>
      </c>
      <c r="AR62" s="76" t="n"/>
      <c r="AS62" s="76" t="n">
        <v>1.5</v>
      </c>
      <c r="AT62" s="74">
        <f>SUMPRODUCT(--(WEEKDAY(D$3:AG$3,2)&lt;5),--ISNUMBER(MATCH(D62:AG62,{"DM","CS1","CS2","SB1","SB2","AE","CS/B"},0)))</f>
        <v/>
      </c>
      <c r="AU62" s="74" t="n"/>
      <c r="AV62" s="74">
        <f>SUMPRODUCT(--(WEEKDAY(D$3:AG$3,2)=5),--ISNUMBER(MATCH(D62:AG62,{"DM","CS1","CS2","SB1","SB2","AE","CS/B"},0)))</f>
        <v/>
      </c>
      <c r="AW62" s="74">
        <f>SUMPRODUCT(--(WEEKDAY(D$3:AG$3,2)&gt;5),--ISNUMBER(MATCH(D62:AG62,{"DM","CS1","CS2","SB1","AE","CS/B","SB2"},0)))</f>
        <v/>
      </c>
      <c r="AX62" s="74" t="n"/>
      <c r="AY62" s="74">
        <f>(AT62-AU62)+AV62*1.5+(AW62-AX62)*2+AN62*0.5+AP62*0.5+AR62-AS62</f>
        <v/>
      </c>
      <c r="AZ62" s="74">
        <f>AT62+AV62+AW62</f>
        <v/>
      </c>
      <c r="BA62" s="74">
        <f>BD62+BF62+BH62+BJ62+BL62</f>
        <v/>
      </c>
      <c r="BB62" s="76">
        <f>AY62+BC62</f>
        <v/>
      </c>
      <c r="BC62" s="74">
        <f>BE62+BG62+BI62+BK62+BM62</f>
        <v/>
      </c>
      <c r="BD62" s="74">
        <f>COUNTIF(A62:AI62,"*$BTP*")</f>
        <v/>
      </c>
      <c r="BE62" s="74">
        <f>BD62*1.5</f>
        <v/>
      </c>
      <c r="BF62" s="74">
        <f>COUNTIF(A62:AI62,"*$M*")</f>
        <v/>
      </c>
      <c r="BG62" s="74">
        <f>BF62*1</f>
        <v/>
      </c>
      <c r="BH62" s="74">
        <f>COUNTIF(A62:AI62,"*$PM*")</f>
        <v/>
      </c>
      <c r="BI62" s="74">
        <f>BH62*0.5</f>
        <v/>
      </c>
      <c r="BJ62" s="74">
        <f>COUNTIF(A62:AI62,"*$AM*")</f>
        <v/>
      </c>
      <c r="BK62" s="74">
        <f>BJ62*0.5</f>
        <v/>
      </c>
      <c r="BL62" s="74">
        <f>COUNTIF(A62:AI62,"*$FC*")</f>
        <v/>
      </c>
      <c r="BM62" s="74">
        <f>BL62*1</f>
        <v/>
      </c>
      <c r="BN62" s="74" t="n"/>
      <c r="BO62" s="74">
        <f>COUNTIF($E62:$Z62,BO$4)</f>
        <v/>
      </c>
      <c r="BP62" s="74">
        <f>COUNTIF($E62:$Z62,BP$4)</f>
        <v/>
      </c>
      <c r="BQ62" s="74">
        <f>COUNTIF($E62:$Z62,BQ$4)</f>
        <v/>
      </c>
      <c r="BR62" s="110" t="n"/>
    </row>
    <row r="63" ht="19.5" customHeight="1">
      <c r="A63" s="107" t="n"/>
      <c r="B63" s="107" t="inlineStr">
        <is>
          <t>LCP LIM CHU FENG</t>
        </is>
      </c>
      <c r="C63" s="107" t="n"/>
      <c r="D63" s="107" t="n"/>
      <c r="E63" s="107" t="n"/>
      <c r="F63" s="107" t="n"/>
      <c r="G63" s="107" t="inlineStr">
        <is>
          <t>SB1</t>
        </is>
      </c>
      <c r="H63" s="107" t="n"/>
      <c r="I63" s="107" t="n"/>
      <c r="J63" s="107" t="inlineStr">
        <is>
          <t>2ND $FC</t>
        </is>
      </c>
      <c r="K63" s="107" t="inlineStr">
        <is>
          <t>2ND $FC</t>
        </is>
      </c>
      <c r="L63" s="107" t="inlineStr">
        <is>
          <t>2ND $FC</t>
        </is>
      </c>
      <c r="M63" s="107" t="n"/>
      <c r="N63" s="107" t="inlineStr">
        <is>
          <t>DM</t>
        </is>
      </c>
      <c r="O63" s="107" t="n"/>
      <c r="P63" s="107" t="inlineStr">
        <is>
          <t>DM</t>
        </is>
      </c>
      <c r="Q63" s="107" t="inlineStr">
        <is>
          <t>RESERVE</t>
        </is>
      </c>
      <c r="R63" s="107" t="inlineStr">
        <is>
          <t>2ND $AM IPPT</t>
        </is>
      </c>
      <c r="S63" s="107" t="n"/>
      <c r="T63" s="107" t="n"/>
      <c r="U63" s="148" t="inlineStr">
        <is>
          <t>AE</t>
        </is>
      </c>
      <c r="V63" s="107" t="n"/>
      <c r="W63" s="107" t="n"/>
      <c r="X63" s="107" t="inlineStr">
        <is>
          <t>DM</t>
        </is>
      </c>
      <c r="Y63" s="107" t="n"/>
      <c r="Z63" s="148" t="n"/>
      <c r="AA63" s="107" t="n"/>
      <c r="AB63" s="107" t="inlineStr">
        <is>
          <t>SCH WIDE $AM RE-RM</t>
        </is>
      </c>
      <c r="AC63" s="107" t="n"/>
      <c r="AD63" s="107" t="n"/>
      <c r="AE63" s="107" t="n"/>
      <c r="AF63" s="148" t="n"/>
      <c r="AG63" s="107" t="n"/>
      <c r="AH63" s="107" t="n"/>
      <c r="AI63" s="77">
        <f>COUNTIF($D63:$AG63,AI$4)</f>
        <v/>
      </c>
      <c r="AJ63" s="77">
        <f>COUNTIF($D63:$AG63,AJ$4)</f>
        <v/>
      </c>
      <c r="AK63" s="77">
        <f>COUNTIF($D63:$AG63,AK$4)</f>
        <v/>
      </c>
      <c r="AL63" s="77">
        <f>COUNTIF($D63:$AG63,AL$4)</f>
        <v/>
      </c>
      <c r="AM63" s="77">
        <f>COUNTIF($D63:$AG63,AM$4)</f>
        <v/>
      </c>
      <c r="AN63" s="77">
        <f>COUNTIF($D63:$AG63,AN$4)</f>
        <v/>
      </c>
      <c r="AO63" s="77">
        <f>COUNTIF($D63:$AG63,AO$4)</f>
        <v/>
      </c>
      <c r="AP63" s="77">
        <f>COUNTIF($D63:$AG63,AP$4)</f>
        <v/>
      </c>
      <c r="AQ63" s="77">
        <f>COUNTIF($D63:$AG63,AQ$4)</f>
        <v/>
      </c>
      <c r="AR63" s="76" t="n">
        <v>0.5</v>
      </c>
      <c r="AS63" s="76" t="n"/>
      <c r="AT63" s="77">
        <f>SUMPRODUCT(--(WEEKDAY(D$3:AG$3,2)&lt;5),--ISNUMBER(MATCH(D63:AG63,{"DM","CS1","CS2","SB1","SB2","AE","CS/B"},0)))</f>
        <v/>
      </c>
      <c r="AU63" s="77" t="n"/>
      <c r="AV63" s="77">
        <f>SUMPRODUCT(--(WEEKDAY(D$3:AG$3,2)=5),--ISNUMBER(MATCH(D63:AG63,{"DM","CS1","CS2","SB1","SB2","AE","CS/B"},0)))</f>
        <v/>
      </c>
      <c r="AW63" s="77">
        <f>SUMPRODUCT(--(WEEKDAY(D$3:AG$3,2)&gt;5),--ISNUMBER(MATCH(D63:AG63,{"DM","CS1","CS2","SB1","AE","CS/B","SB2"},0)))</f>
        <v/>
      </c>
      <c r="AX63" s="77" t="n"/>
      <c r="AY63" s="77">
        <f>(AT63-AU63)+AV63*1.5+(AW63-AX63)*2+AN63*0.5+AP63*0.5+AR63-AS63</f>
        <v/>
      </c>
      <c r="AZ63" s="77">
        <f>AT63+AV63+AW63</f>
        <v/>
      </c>
      <c r="BA63" s="77">
        <f>BD63+BF63+BH63+BJ63+BL63</f>
        <v/>
      </c>
      <c r="BB63" s="76">
        <f>AY63+BC63</f>
        <v/>
      </c>
      <c r="BC63" s="77">
        <f>BE63+BG63+BI63+BK63+BM63</f>
        <v/>
      </c>
      <c r="BD63" s="77">
        <f>COUNTIF(A63:AI63,"*$BTP*")</f>
        <v/>
      </c>
      <c r="BE63" s="77">
        <f>BD63*1.5</f>
        <v/>
      </c>
      <c r="BF63" s="77">
        <f>COUNTIF(A63:AI63,"*$M*")</f>
        <v/>
      </c>
      <c r="BG63" s="77">
        <f>BF63*1</f>
        <v/>
      </c>
      <c r="BH63" s="77">
        <f>COUNTIF(A63:AI63,"*$PM*")</f>
        <v/>
      </c>
      <c r="BI63" s="77">
        <f>BH63*0.5</f>
        <v/>
      </c>
      <c r="BJ63" s="77">
        <f>COUNTIF(A63:AI63,"*$AM*")</f>
        <v/>
      </c>
      <c r="BK63" s="77">
        <f>BJ63*0.5</f>
        <v/>
      </c>
      <c r="BL63" s="77">
        <f>COUNTIF(A63:AI63,"*$FC*")</f>
        <v/>
      </c>
      <c r="BM63" s="77">
        <f>BL63*1</f>
        <v/>
      </c>
      <c r="BN63" s="77" t="n"/>
      <c r="BO63" s="77">
        <f>COUNTIF($E63:$Y63,BO$4)</f>
        <v/>
      </c>
      <c r="BP63" s="77">
        <f>COUNTIF($E63:$Y63,BP$4)</f>
        <v/>
      </c>
      <c r="BQ63" s="77">
        <f>COUNTIF($E63:$Y63,BQ$4)</f>
        <v/>
      </c>
      <c r="BR63" s="107" t="n"/>
    </row>
    <row r="64" ht="19.5" customHeight="1">
      <c r="A64" s="110" t="n"/>
      <c r="B64" s="110" t="inlineStr">
        <is>
          <t>CPL TAN TZE JUE JULIAN</t>
        </is>
      </c>
      <c r="C64" s="110" t="n"/>
      <c r="D64" s="110" t="n"/>
      <c r="E64" s="110" t="n"/>
      <c r="F64" s="110" t="n"/>
      <c r="G64" s="110" t="inlineStr">
        <is>
          <t>AE</t>
        </is>
      </c>
      <c r="H64" s="110" t="n"/>
      <c r="I64" s="110" t="inlineStr">
        <is>
          <t>CS1</t>
        </is>
      </c>
      <c r="J64" s="110" t="n"/>
      <c r="K64" s="110" t="inlineStr">
        <is>
          <t>DM</t>
        </is>
      </c>
      <c r="L64" s="110" t="n"/>
      <c r="M64" s="110" t="inlineStr">
        <is>
          <t>SB1</t>
        </is>
      </c>
      <c r="N64" s="142" t="n"/>
      <c r="O64" s="110" t="n"/>
      <c r="P64" s="110" t="inlineStr">
        <is>
          <t>4TH $BTP (0500-2300)</t>
        </is>
      </c>
      <c r="R64" s="110" t="n"/>
      <c r="S64" s="110" t="n"/>
      <c r="T64" s="155" t="n"/>
      <c r="U64" s="110" t="n"/>
      <c r="V64" s="110" t="n"/>
      <c r="W64" s="142" t="inlineStr">
        <is>
          <t>$FC RE-IFC SCH WIDE</t>
        </is>
      </c>
      <c r="X64" s="110" t="inlineStr">
        <is>
          <t>CS1</t>
        </is>
      </c>
      <c r="Y64" s="110" t="inlineStr">
        <is>
          <t>SB1</t>
        </is>
      </c>
      <c r="Z64" s="110" t="n"/>
      <c r="AA64" s="110" t="n"/>
      <c r="AB64" s="110" t="inlineStr">
        <is>
          <t>AE</t>
        </is>
      </c>
      <c r="AC64" s="110" t="n"/>
      <c r="AD64" s="110" t="n"/>
      <c r="AE64" s="110" t="inlineStr">
        <is>
          <t>OFF (GOOD PERFORMANCE)</t>
        </is>
      </c>
      <c r="AF64" s="110" t="n"/>
      <c r="AG64" s="110" t="n"/>
      <c r="AH64" s="110" t="n"/>
      <c r="AI64" s="74">
        <f>COUNTIF($D64:$AG64,AI$4)</f>
        <v/>
      </c>
      <c r="AJ64" s="74">
        <f>COUNTIF($D64:$AG64,AJ$4)</f>
        <v/>
      </c>
      <c r="AK64" s="74">
        <f>COUNTIF($D64:$AG64,AK$4)</f>
        <v/>
      </c>
      <c r="AL64" s="74">
        <f>COUNTIF($D64:$AG64,AL$4)</f>
        <v/>
      </c>
      <c r="AM64" s="74">
        <f>COUNTIF($D64:$AG64,AM$4)</f>
        <v/>
      </c>
      <c r="AN64" s="74">
        <f>COUNTIF($D64:$AG64,AN$4)</f>
        <v/>
      </c>
      <c r="AO64" s="74">
        <f>COUNTIF($D64:$AG64,AO$4)</f>
        <v/>
      </c>
      <c r="AP64" s="74">
        <f>COUNTIF($D64:$AG64,AP$4)</f>
        <v/>
      </c>
      <c r="AQ64" s="74">
        <f>COUNTIF($D64:$AG64,AQ$4)</f>
        <v/>
      </c>
      <c r="AR64" s="76" t="n"/>
      <c r="AS64" s="76" t="n">
        <v>2</v>
      </c>
      <c r="AT64" s="74">
        <f>SUMPRODUCT(--(WEEKDAY(D$3:AG$3,2)&lt;5),--ISNUMBER(MATCH(D64:AG64,{"DM","CS1","CS2","SB1","SB2","AE","CS/B"},0)))</f>
        <v/>
      </c>
      <c r="AU64" s="74" t="n"/>
      <c r="AV64" s="74">
        <f>SUMPRODUCT(--(WEEKDAY(D$3:AG$3,2)=5),--ISNUMBER(MATCH(D64:AG64,{"DM","CS1","CS2","SB1","SB2","AE","CS/B"},0)))</f>
        <v/>
      </c>
      <c r="AW64" s="74">
        <f>SUMPRODUCT(--(WEEKDAY(D$3:AG$3,2)&gt;5),--ISNUMBER(MATCH(D64:AG64,{"DM","CS1","CS2","SB1","AE","CS/B","SB2"},0)))</f>
        <v/>
      </c>
      <c r="AX64" s="74" t="n"/>
      <c r="AY64" s="74">
        <f>(AT64-AU64)+AV64*1.5+(AW64-AX64)*2+AN64*0.5+AP64*0.5+AR64-AS64</f>
        <v/>
      </c>
      <c r="AZ64" s="74">
        <f>AT64+AV64+AW64</f>
        <v/>
      </c>
      <c r="BA64" s="74">
        <f>BD64+BF64+BH64+BJ64+BL64</f>
        <v/>
      </c>
      <c r="BB64" s="76">
        <f>AY64+BC64</f>
        <v/>
      </c>
      <c r="BC64" s="74">
        <f>BE64+BG64+BI64+BK64+BM64</f>
        <v/>
      </c>
      <c r="BD64" s="74">
        <f>COUNTIF(A64:AI64,"*$BTP*")</f>
        <v/>
      </c>
      <c r="BE64" s="74">
        <f>BD64*1.5</f>
        <v/>
      </c>
      <c r="BF64" s="74">
        <f>COUNTIF(A64:AI64,"*$M*")</f>
        <v/>
      </c>
      <c r="BG64" s="74">
        <f>BF64*1</f>
        <v/>
      </c>
      <c r="BH64" s="74">
        <f>COUNTIF(A64:AI64,"*$PM*")</f>
        <v/>
      </c>
      <c r="BI64" s="74">
        <f>BH64*0.5</f>
        <v/>
      </c>
      <c r="BJ64" s="74">
        <f>COUNTIF(A64:AI64,"*$AM*")</f>
        <v/>
      </c>
      <c r="BK64" s="74">
        <f>BJ64*0.5</f>
        <v/>
      </c>
      <c r="BL64" s="74">
        <f>COUNTIF(A64:AI64,"*$FC*")</f>
        <v/>
      </c>
      <c r="BM64" s="74">
        <f>BL64*1</f>
        <v/>
      </c>
      <c r="BN64" s="74" t="n"/>
      <c r="BO64" s="74">
        <f>COUNTIF($E64:$Z64,BO$4)</f>
        <v/>
      </c>
      <c r="BP64" s="74">
        <f>COUNTIF($E64:$Z64,BP$4)</f>
        <v/>
      </c>
      <c r="BQ64" s="74">
        <f>COUNTIF($E64:$Z64,BQ$4)</f>
        <v/>
      </c>
      <c r="BR64" s="110" t="n"/>
    </row>
    <row r="65" ht="19.5" customHeight="1">
      <c r="A65" s="107" t="n"/>
      <c r="B65" s="107" t="inlineStr">
        <is>
          <t>3SG HO JI XUAN ISAAC</t>
        </is>
      </c>
      <c r="C65" s="107" t="n"/>
      <c r="D65" s="107" t="n"/>
      <c r="E65" s="107" t="n"/>
      <c r="F65" s="107" t="n"/>
      <c r="G65" s="107" t="inlineStr">
        <is>
          <t>VACCINE SUPERVISOR COURSE</t>
        </is>
      </c>
      <c r="H65" s="107" t="n"/>
      <c r="I65" s="107" t="inlineStr">
        <is>
          <t>OUTFIELD/BTP RESERVE</t>
        </is>
      </c>
      <c r="J65" s="107" t="n"/>
      <c r="K65" s="107" t="inlineStr">
        <is>
          <t>CS1</t>
        </is>
      </c>
      <c r="L65" s="107" t="n"/>
      <c r="M65" s="107" t="inlineStr">
        <is>
          <t>SB2</t>
        </is>
      </c>
      <c r="N65" s="107" t="n"/>
      <c r="O65" s="107" t="n"/>
      <c r="P65" s="107" t="inlineStr">
        <is>
          <t>2ND $AM 8KM RM</t>
        </is>
      </c>
      <c r="Q65" s="107" t="n"/>
      <c r="R65" s="107" t="n"/>
      <c r="S65" s="107" t="n"/>
      <c r="T65" s="107" t="n"/>
      <c r="U65" s="107" t="n"/>
      <c r="V65" s="107" t="n"/>
      <c r="W65" s="107" t="n"/>
      <c r="X65" s="107" t="inlineStr">
        <is>
          <t>AE</t>
        </is>
      </c>
      <c r="Y65" s="107" t="inlineStr">
        <is>
          <t>CS1</t>
        </is>
      </c>
      <c r="Z65" s="148" t="n"/>
      <c r="AA65" s="107" t="n"/>
      <c r="AB65" s="107" t="inlineStr">
        <is>
          <t>$PM SOC PERMSTAFF</t>
        </is>
      </c>
      <c r="AC65" s="107" t="inlineStr">
        <is>
          <t>SB1</t>
        </is>
      </c>
      <c r="AD65" s="107" t="inlineStr">
        <is>
          <t>SB1</t>
        </is>
      </c>
      <c r="AE65" s="107" t="inlineStr">
        <is>
          <t>SB2</t>
        </is>
      </c>
      <c r="AF65" s="107" t="n"/>
      <c r="AG65" s="107" t="n"/>
      <c r="AH65" s="107" t="n"/>
      <c r="AI65" s="77">
        <f>COUNTIF($D65:$AG65,AI$4)</f>
        <v/>
      </c>
      <c r="AJ65" s="77">
        <f>COUNTIF($D65:$AG65,AJ$4)</f>
        <v/>
      </c>
      <c r="AK65" s="77">
        <f>COUNTIF($D65:$AG65,AK$4)</f>
        <v/>
      </c>
      <c r="AL65" s="77">
        <f>COUNTIF($D65:$AG65,AL$4)</f>
        <v/>
      </c>
      <c r="AM65" s="77">
        <f>COUNTIF($D65:$AG65,AM$4)</f>
        <v/>
      </c>
      <c r="AN65" s="77">
        <f>COUNTIF($D65:$AG65,AN$4)</f>
        <v/>
      </c>
      <c r="AO65" s="77">
        <f>COUNTIF($D65:$AG65,AO$4)</f>
        <v/>
      </c>
      <c r="AP65" s="77">
        <f>COUNTIF($D65:$AG65,AP$4)</f>
        <v/>
      </c>
      <c r="AQ65" s="77">
        <f>COUNTIF($D65:$AG65,AQ$4)</f>
        <v/>
      </c>
      <c r="AR65" s="76" t="n"/>
      <c r="AS65" s="76" t="n">
        <v>1.5</v>
      </c>
      <c r="AT65" s="77">
        <f>SUMPRODUCT(--(WEEKDAY(D$3:AG$3,2)&lt;5),--ISNUMBER(MATCH(D65:AG65,{"DM","CS1","CS2","SB1","SB2","AE","CS/B"},0)))</f>
        <v/>
      </c>
      <c r="AU65" s="77" t="n"/>
      <c r="AV65" s="77">
        <f>SUMPRODUCT(--(WEEKDAY(D$3:AG$3,2)=5),--ISNUMBER(MATCH(D65:AG65,{"DM","CS1","CS2","SB1","SB2","AE","CS/B"},0)))</f>
        <v/>
      </c>
      <c r="AW65" s="77">
        <f>SUMPRODUCT(--(WEEKDAY(D$3:AG$3,2)&gt;5),--ISNUMBER(MATCH(D65:AG65,{"DM","CS1","CS2","SB1","AE","CS/B","SB2"},0)))</f>
        <v/>
      </c>
      <c r="AX65" s="77" t="n"/>
      <c r="AY65" s="77">
        <f>(AT65-AU65)+AV65*1.5+(AW65-AX65)*2+AN65*0.5+AP65*0.5+AR65-AS65</f>
        <v/>
      </c>
      <c r="AZ65" s="77">
        <f>AT65+AV65+AW65</f>
        <v/>
      </c>
      <c r="BA65" s="77">
        <f>BD65+BF65+BH65+BJ65+BL65</f>
        <v/>
      </c>
      <c r="BB65" s="76">
        <f>AY65+BC65</f>
        <v/>
      </c>
      <c r="BC65" s="77">
        <f>BE65+BG65+BI65+BK65+BM65</f>
        <v/>
      </c>
      <c r="BD65" s="77">
        <f>COUNTIF(A65:AI65,"*$BTP*")</f>
        <v/>
      </c>
      <c r="BE65" s="77">
        <f>BD65*1.5</f>
        <v/>
      </c>
      <c r="BF65" s="77">
        <f>COUNTIF(A65:AI65,"*$M*")</f>
        <v/>
      </c>
      <c r="BG65" s="77">
        <f>BF65*1</f>
        <v/>
      </c>
      <c r="BH65" s="77">
        <f>COUNTIF(A65:AI65,"*$PM*")</f>
        <v/>
      </c>
      <c r="BI65" s="77">
        <f>BH65*0.5</f>
        <v/>
      </c>
      <c r="BJ65" s="77">
        <f>COUNTIF(A65:AI65,"*$AM*")</f>
        <v/>
      </c>
      <c r="BK65" s="77">
        <f>BJ65*0.5</f>
        <v/>
      </c>
      <c r="BL65" s="77">
        <f>COUNTIF(A65:AI65,"*$FC*")</f>
        <v/>
      </c>
      <c r="BM65" s="77">
        <f>BL65*1</f>
        <v/>
      </c>
      <c r="BN65" s="77" t="n"/>
      <c r="BO65" s="77">
        <f>COUNTIF($E65:$Z65,BO$4)</f>
        <v/>
      </c>
      <c r="BP65" s="77">
        <f>COUNTIF($E65:$Z65,BP$4)</f>
        <v/>
      </c>
      <c r="BQ65" s="77">
        <f>COUNTIF($E65:$Z65,BQ$4)</f>
        <v/>
      </c>
      <c r="BR65" s="107" t="n"/>
    </row>
    <row r="66" ht="19.5" customHeight="1">
      <c r="A66" s="110" t="n"/>
      <c r="B66" s="110" t="inlineStr">
        <is>
          <t>LCP JOVAN CHUA RUI CHENG</t>
        </is>
      </c>
      <c r="C66" s="110" t="n"/>
      <c r="D66" s="110" t="n"/>
      <c r="E66" s="110" t="n"/>
      <c r="F66" s="110" t="n"/>
      <c r="G66" s="110" t="inlineStr">
        <is>
          <t>4TH $FC</t>
        </is>
      </c>
      <c r="H66" s="110" t="inlineStr">
        <is>
          <t>4TH $FC</t>
        </is>
      </c>
      <c r="I66" s="110" t="inlineStr">
        <is>
          <t>4TH $FC</t>
        </is>
      </c>
      <c r="J66" s="110" t="n"/>
      <c r="K66" s="110" t="inlineStr">
        <is>
          <t>AM MA</t>
        </is>
      </c>
      <c r="L66" s="110" t="n"/>
      <c r="M66" s="110" t="n"/>
      <c r="N66" s="110" t="n"/>
      <c r="O66" s="110" t="inlineStr">
        <is>
          <t>AE</t>
        </is>
      </c>
      <c r="P66" s="110" t="inlineStr">
        <is>
          <t>SB1</t>
        </is>
      </c>
      <c r="Q66" s="110" t="n"/>
      <c r="R66" s="110" t="inlineStr">
        <is>
          <t>AM MA</t>
        </is>
      </c>
      <c r="S66" s="110" t="n"/>
      <c r="T66" s="110" t="n"/>
      <c r="U66" s="142" t="n"/>
      <c r="V66" s="110" t="inlineStr">
        <is>
          <t>2ND + 4TH $PM 12KM RM</t>
        </is>
      </c>
      <c r="W66" s="110" t="inlineStr">
        <is>
          <t>AE</t>
        </is>
      </c>
      <c r="X66" s="110" t="n"/>
      <c r="Y66" s="110" t="n"/>
      <c r="Z66" s="110" t="n"/>
      <c r="AA66" s="110" t="inlineStr">
        <is>
          <t>SB2</t>
        </is>
      </c>
      <c r="AB66" s="110" t="inlineStr">
        <is>
          <t>CS1</t>
        </is>
      </c>
      <c r="AC66" s="110" t="inlineStr">
        <is>
          <t>CS1</t>
        </is>
      </c>
      <c r="AD66" s="110" t="n"/>
      <c r="AE66" s="110" t="inlineStr">
        <is>
          <t>AE</t>
        </is>
      </c>
      <c r="AF66" s="110" t="inlineStr">
        <is>
          <t>AE</t>
        </is>
      </c>
      <c r="AG66" s="110" t="n"/>
      <c r="AH66" s="110" t="n"/>
      <c r="AI66" s="74">
        <f>COUNTIF($D66:$AG66,AI$4)</f>
        <v/>
      </c>
      <c r="AJ66" s="74">
        <f>COUNTIF($D66:$AG66,AJ$4)</f>
        <v/>
      </c>
      <c r="AK66" s="74">
        <f>COUNTIF($D66:$AG66,AK$4)</f>
        <v/>
      </c>
      <c r="AL66" s="74">
        <f>COUNTIF($D66:$AG66,AL$4)</f>
        <v/>
      </c>
      <c r="AM66" s="74">
        <f>COUNTIF($D66:$AG66,AM$4)</f>
        <v/>
      </c>
      <c r="AN66" s="74">
        <f>COUNTIF($D66:$AG66,AN$4)</f>
        <v/>
      </c>
      <c r="AO66" s="74">
        <f>COUNTIF($D66:$AG66,AO$4)</f>
        <v/>
      </c>
      <c r="AP66" s="74">
        <f>COUNTIF($D66:$AG66,AP$4)</f>
        <v/>
      </c>
      <c r="AQ66" s="74">
        <f>COUNTIF($D66:$AG66,AQ$4)</f>
        <v/>
      </c>
      <c r="AR66" s="76" t="n"/>
      <c r="AS66" s="76" t="n">
        <v>4</v>
      </c>
      <c r="AT66" s="74">
        <f>SUMPRODUCT(--(WEEKDAY(D$3:AG$3,2)&lt;5),--ISNUMBER(MATCH(D66:AG66,{"DM","CS1","CS2","SB1","SB2","AE","CS/B"},0)))</f>
        <v/>
      </c>
      <c r="AU66" s="74" t="n"/>
      <c r="AV66" s="74">
        <f>SUMPRODUCT(--(WEEKDAY(D$3:AG$3,2)=5),--ISNUMBER(MATCH(D66:AG66,{"DM","CS1","CS2","SB1","SB2","AE","CS/B"},0)))</f>
        <v/>
      </c>
      <c r="AW66" s="74">
        <f>SUMPRODUCT(--(WEEKDAY(D$3:AG$3,2)&gt;5),--ISNUMBER(MATCH(D66:AG66,{"DM","CS1","CS2","SB1","AE","CS/B","SB2"},0)))</f>
        <v/>
      </c>
      <c r="AX66" s="74" t="n"/>
      <c r="AY66" s="74">
        <f>(AT66-AU66)+AV66*1.5+(AW66-AX66)*2+AN66*0.5+AP66*0.5+AR66-AS66</f>
        <v/>
      </c>
      <c r="AZ66" s="74">
        <f>AT66+AV66+AW66</f>
        <v/>
      </c>
      <c r="BA66" s="74">
        <f>BD66+BF66+BH66+BJ66+BL66</f>
        <v/>
      </c>
      <c r="BB66" s="76">
        <f>AY66+BC66</f>
        <v/>
      </c>
      <c r="BC66" s="74">
        <f>BE66+BG66+BI66+BK66+BM66</f>
        <v/>
      </c>
      <c r="BD66" s="74">
        <f>COUNTIF(A66:AI66,"*$BTP*")</f>
        <v/>
      </c>
      <c r="BE66" s="74">
        <f>BD66*1.5</f>
        <v/>
      </c>
      <c r="BF66" s="74">
        <f>COUNTIF(A66:AI66,"*$M*")</f>
        <v/>
      </c>
      <c r="BG66" s="74">
        <f>BF66*1</f>
        <v/>
      </c>
      <c r="BH66" s="74">
        <f>COUNTIF(A66:AI66,"*$PM*")</f>
        <v/>
      </c>
      <c r="BI66" s="74">
        <f>BH66*0.5</f>
        <v/>
      </c>
      <c r="BJ66" s="74">
        <f>COUNTIF(A66:AI66,"*$AM*")</f>
        <v/>
      </c>
      <c r="BK66" s="74">
        <f>BJ66*0.5</f>
        <v/>
      </c>
      <c r="BL66" s="74">
        <f>COUNTIF(A66:AI66,"*$FC*")</f>
        <v/>
      </c>
      <c r="BM66" s="74">
        <f>BL66*1</f>
        <v/>
      </c>
      <c r="BN66" s="74" t="n"/>
      <c r="BO66" s="74">
        <f>COUNTIF($E66:$Z66,BO$4)</f>
        <v/>
      </c>
      <c r="BP66" s="74">
        <f>COUNTIF($E66:$Z66,BP$4)</f>
        <v/>
      </c>
      <c r="BQ66" s="74">
        <f>COUNTIF($E66:$Z66,BQ$4)</f>
        <v/>
      </c>
      <c r="BR66" s="110" t="n"/>
    </row>
    <row r="67" ht="19.5" customHeight="1">
      <c r="A67" s="107" t="n"/>
      <c r="B67" s="107" t="inlineStr">
        <is>
          <t>LCP LAN ZHI XIANG</t>
        </is>
      </c>
      <c r="C67" s="107" t="n"/>
      <c r="D67" s="107" t="n"/>
      <c r="E67" s="107" t="n"/>
      <c r="F67" s="107" t="n"/>
      <c r="G67" s="107" t="inlineStr">
        <is>
          <t>PM MA</t>
        </is>
      </c>
      <c r="H67" s="107" t="n"/>
      <c r="I67" s="107" t="inlineStr">
        <is>
          <t>SB1</t>
        </is>
      </c>
      <c r="J67" s="107" t="n"/>
      <c r="K67" s="107" t="inlineStr">
        <is>
          <t>PM MA</t>
        </is>
      </c>
      <c r="L67" s="107" t="n"/>
      <c r="M67" s="107" t="n"/>
      <c r="N67" s="107" t="inlineStr">
        <is>
          <t>SB1</t>
        </is>
      </c>
      <c r="O67" s="107" t="n"/>
      <c r="P67" s="148" t="n"/>
      <c r="Q67" s="107" t="inlineStr">
        <is>
          <t>4TH $BTP (0500 - 2300)</t>
        </is>
      </c>
      <c r="R67" s="148" t="n"/>
      <c r="S67" s="107" t="n"/>
      <c r="T67" s="107" t="n"/>
      <c r="U67" s="107" t="n"/>
      <c r="V67" s="107" t="inlineStr">
        <is>
          <t>SB1</t>
        </is>
      </c>
      <c r="W67" s="141" t="inlineStr">
        <is>
          <t>SB1</t>
        </is>
      </c>
      <c r="X67" s="107" t="inlineStr">
        <is>
          <t>SB2</t>
        </is>
      </c>
      <c r="Y67" s="107" t="inlineStr">
        <is>
          <t>PM MA</t>
        </is>
      </c>
      <c r="Z67" s="107" t="n"/>
      <c r="AA67" s="107" t="inlineStr">
        <is>
          <t>SB1</t>
        </is>
      </c>
      <c r="AB67" s="107" t="inlineStr">
        <is>
          <t>SB1</t>
        </is>
      </c>
      <c r="AC67" s="107" t="n"/>
      <c r="AD67" s="107" t="n"/>
      <c r="AE67" s="107" t="n"/>
      <c r="AF67" s="107" t="n"/>
      <c r="AG67" s="107" t="n"/>
      <c r="AH67" s="107" t="n"/>
      <c r="AI67" s="77">
        <f>COUNTIF($D67:$AG67,AI$4)</f>
        <v/>
      </c>
      <c r="AJ67" s="77">
        <f>COUNTIF($D67:$AG67,AJ$4)</f>
        <v/>
      </c>
      <c r="AK67" s="77">
        <f>COUNTIF($D67:$AG67,AK$4)</f>
        <v/>
      </c>
      <c r="AL67" s="77">
        <f>COUNTIF($D67:$AG67,AL$4)</f>
        <v/>
      </c>
      <c r="AM67" s="77">
        <f>COUNTIF($D67:$AG67,AM$4)</f>
        <v/>
      </c>
      <c r="AN67" s="77">
        <f>COUNTIF($D67:$AG67,AN$4)</f>
        <v/>
      </c>
      <c r="AO67" s="77">
        <f>COUNTIF($D67:$AG67,AO$4)</f>
        <v/>
      </c>
      <c r="AP67" s="77">
        <f>COUNTIF($D67:$AG67,AP$4)</f>
        <v/>
      </c>
      <c r="AQ67" s="77">
        <f>COUNTIF($D67:$AG67,AQ$4)</f>
        <v/>
      </c>
      <c r="AR67" s="76" t="n"/>
      <c r="AS67" s="76" t="n">
        <v>0.5</v>
      </c>
      <c r="AT67" s="77">
        <f>SUMPRODUCT(--(WEEKDAY(D$3:AG$3,2)&lt;5),--ISNUMBER(MATCH(D67:AG67,{"DM","CS1","CS2","SB1","SB2","AE","CS/B"},0)))</f>
        <v/>
      </c>
      <c r="AU67" s="77" t="n"/>
      <c r="AV67" s="77">
        <f>SUMPRODUCT(--(WEEKDAY(D$3:AG$3,2)=5),--ISNUMBER(MATCH(D67:AG67,{"DM","CS1","CS2","SB1","SB2","AE","CS/B"},0)))</f>
        <v/>
      </c>
      <c r="AW67" s="77">
        <f>SUMPRODUCT(--(WEEKDAY(D$3:AG$3,2)&gt;5),--ISNUMBER(MATCH(D67:AG67,{"DM","CS1","CS2","SB1","AE","CS/B","SB2"},0)))</f>
        <v/>
      </c>
      <c r="AX67" s="77" t="n"/>
      <c r="AY67" s="77">
        <f>(AT67-AU67)+AV67*1.5+(AW67-AX67)*2+AN67*0.5+AP67*0.5+AR67-AS67</f>
        <v/>
      </c>
      <c r="AZ67" s="77">
        <f>AT67+AV67+AW67</f>
        <v/>
      </c>
      <c r="BA67" s="77">
        <f>BD67+BF67+BH67+BJ67+BL67</f>
        <v/>
      </c>
      <c r="BB67" s="76">
        <f>AY67+BC67</f>
        <v/>
      </c>
      <c r="BC67" s="77">
        <f>BE67+BG67+BI67+BK67+BM67</f>
        <v/>
      </c>
      <c r="BD67" s="77">
        <f>COUNTIF(A67:AI67,"*$BTP*")</f>
        <v/>
      </c>
      <c r="BE67" s="77">
        <f>BD67*1.5</f>
        <v/>
      </c>
      <c r="BF67" s="77">
        <f>COUNTIF(A67:AI67,"*$M*")</f>
        <v/>
      </c>
      <c r="BG67" s="77">
        <f>BF67*1</f>
        <v/>
      </c>
      <c r="BH67" s="77">
        <f>COUNTIF(A67:AI67,"*$PM*")</f>
        <v/>
      </c>
      <c r="BI67" s="77">
        <f>BH67*0.5</f>
        <v/>
      </c>
      <c r="BJ67" s="77">
        <f>COUNTIF(A67:AI67,"*$AM*")</f>
        <v/>
      </c>
      <c r="BK67" s="77">
        <f>BJ67*0.5</f>
        <v/>
      </c>
      <c r="BL67" s="77">
        <f>COUNTIF(A67:AI67,"*$FC*")</f>
        <v/>
      </c>
      <c r="BM67" s="77">
        <f>BL67*1</f>
        <v/>
      </c>
      <c r="BN67" s="77" t="n"/>
      <c r="BO67" s="77">
        <f>COUNTIF($E67:$Z67,BO$4)</f>
        <v/>
      </c>
      <c r="BP67" s="77">
        <f>COUNTIF($E67:$Z67,BP$4)</f>
        <v/>
      </c>
      <c r="BQ67" s="77">
        <f>COUNTIF($E67:$Z67,BQ$4)</f>
        <v/>
      </c>
      <c r="BR67" s="107" t="n"/>
    </row>
    <row r="68" ht="19.5" customHeight="1">
      <c r="A68" s="110" t="n"/>
      <c r="B68" s="110" t="inlineStr">
        <is>
          <t>PTE DAANYAAL ABDUL AZEEZ JANJUA</t>
        </is>
      </c>
      <c r="C68" s="110" t="n"/>
      <c r="D68" s="110" t="n"/>
      <c r="E68" s="110" t="n"/>
      <c r="F68" s="110" t="n"/>
      <c r="G68" s="110" t="inlineStr">
        <is>
          <t>2ND $BTP (0500 - 2300)</t>
        </is>
      </c>
      <c r="H68" s="110" t="n"/>
      <c r="I68" s="110" t="inlineStr">
        <is>
          <t>AE</t>
        </is>
      </c>
      <c r="J68" s="110" t="inlineStr">
        <is>
          <t>SB1</t>
        </is>
      </c>
      <c r="K68" s="110" t="n"/>
      <c r="L68" s="110" t="inlineStr">
        <is>
          <t>2ND $FC</t>
        </is>
      </c>
      <c r="M68" s="110" t="inlineStr">
        <is>
          <t>2ND $FC</t>
        </is>
      </c>
      <c r="N68" s="110" t="inlineStr">
        <is>
          <t>2ND $FC</t>
        </is>
      </c>
      <c r="O68" s="110" t="n"/>
      <c r="P68" s="110" t="inlineStr">
        <is>
          <t>RESERVE</t>
        </is>
      </c>
      <c r="Q68" s="110" t="inlineStr">
        <is>
          <t>SB1</t>
        </is>
      </c>
      <c r="R68" s="110" t="n"/>
      <c r="S68" s="110" t="n"/>
      <c r="T68" s="110" t="n"/>
      <c r="U68" s="110" t="inlineStr">
        <is>
          <t>OL</t>
        </is>
      </c>
      <c r="V68" s="110" t="inlineStr">
        <is>
          <t>OL</t>
        </is>
      </c>
      <c r="W68" s="110" t="inlineStr">
        <is>
          <t>OL</t>
        </is>
      </c>
      <c r="X68" s="110" t="inlineStr">
        <is>
          <t>OL</t>
        </is>
      </c>
      <c r="Y68" s="110" t="inlineStr">
        <is>
          <t>OL</t>
        </is>
      </c>
      <c r="Z68" s="110" t="inlineStr">
        <is>
          <t>OL</t>
        </is>
      </c>
      <c r="AA68" s="110" t="inlineStr">
        <is>
          <t>OL</t>
        </is>
      </c>
      <c r="AB68" s="110" t="inlineStr">
        <is>
          <t>OL</t>
        </is>
      </c>
      <c r="AC68" s="110" t="n"/>
      <c r="AD68" s="110" t="n"/>
      <c r="AE68" s="110" t="n"/>
      <c r="AF68" s="110" t="n"/>
      <c r="AG68" s="110" t="n"/>
      <c r="AH68" s="110" t="n"/>
      <c r="AI68" s="74">
        <f>COUNTIF($D68:$AG68,AI$4)</f>
        <v/>
      </c>
      <c r="AJ68" s="74">
        <f>COUNTIF($D68:$AG68,AJ$4)</f>
        <v/>
      </c>
      <c r="AK68" s="74">
        <f>COUNTIF($D68:$AG68,AK$4)</f>
        <v/>
      </c>
      <c r="AL68" s="74">
        <f>COUNTIF($D68:$AG68,AL$4)</f>
        <v/>
      </c>
      <c r="AM68" s="74">
        <f>COUNTIF($D68:$AG68,AM$4)</f>
        <v/>
      </c>
      <c r="AN68" s="74">
        <f>COUNTIF($D68:$AG68,AN$4)</f>
        <v/>
      </c>
      <c r="AO68" s="74">
        <f>COUNTIF($D68:$AG68,AO$4)</f>
        <v/>
      </c>
      <c r="AP68" s="74">
        <f>COUNTIF($D68:$AG68,AP$4)</f>
        <v/>
      </c>
      <c r="AQ68" s="74">
        <f>COUNTIF($D68:$AG68,AQ$4)</f>
        <v/>
      </c>
      <c r="AR68" s="76" t="n">
        <v>1</v>
      </c>
      <c r="AS68" s="76" t="n"/>
      <c r="AT68" s="74">
        <f>SUMPRODUCT(--(WEEKDAY(D$3:AG$3,2)&lt;5),--ISNUMBER(MATCH(D68:AG68,{"DM","CS1","CS2","SB1","SB2","AE","CS/B"},0)))</f>
        <v/>
      </c>
      <c r="AU68" s="74" t="n"/>
      <c r="AV68" s="74">
        <f>SUMPRODUCT(--(WEEKDAY(D$3:AG$3,2)=5),--ISNUMBER(MATCH(D68:AG68,{"DM","CS1","CS2","SB1","SB2","AE","CS/B"},0)))</f>
        <v/>
      </c>
      <c r="AW68" s="74">
        <f>SUMPRODUCT(--(WEEKDAY(D$3:AG$3,2)&gt;5),--ISNUMBER(MATCH(D68:AG68,{"DM","CS1","CS2","SB1","AE","CS/B","SB2"},0)))</f>
        <v/>
      </c>
      <c r="AX68" s="74" t="n"/>
      <c r="AY68" s="74">
        <f>(AT68-AU68)+AV68*1.5+(AW68-AX68)*2+AN68*0.5+AP68*0.5+AR68-AS68</f>
        <v/>
      </c>
      <c r="AZ68" s="74">
        <f>AT68+AV68+AW68</f>
        <v/>
      </c>
      <c r="BA68" s="74">
        <f>BD68+BF68+BH68+BJ68+BL68</f>
        <v/>
      </c>
      <c r="BB68" s="76">
        <f>AY68+BC68</f>
        <v/>
      </c>
      <c r="BC68" s="74">
        <f>BE68+BG68+BI68+BK68+BM68</f>
        <v/>
      </c>
      <c r="BD68" s="74">
        <f>COUNTIF(A68:AI68,"*$BTP*")</f>
        <v/>
      </c>
      <c r="BE68" s="74">
        <f>BD68*1.5</f>
        <v/>
      </c>
      <c r="BF68" s="74">
        <f>COUNTIF(A68:AI68,"*$M*")</f>
        <v/>
      </c>
      <c r="BG68" s="74">
        <f>BF68*1</f>
        <v/>
      </c>
      <c r="BH68" s="74">
        <f>COUNTIF(A68:AI68,"*$PM*")</f>
        <v/>
      </c>
      <c r="BI68" s="74">
        <f>BH68*0.5</f>
        <v/>
      </c>
      <c r="BJ68" s="74">
        <f>COUNTIF(A68:AI68,"*$AM*")</f>
        <v/>
      </c>
      <c r="BK68" s="74">
        <f>BJ68*0.5</f>
        <v/>
      </c>
      <c r="BL68" s="74">
        <f>COUNTIF(A68:AI68,"*$FC*")</f>
        <v/>
      </c>
      <c r="BM68" s="74">
        <f>BL68*1</f>
        <v/>
      </c>
      <c r="BN68" s="74" t="n"/>
      <c r="BO68" s="74">
        <f>COUNTIF($E68:$Z68,BO$4)</f>
        <v/>
      </c>
      <c r="BP68" s="74">
        <f>COUNTIF($E68:$Z68,BP$4)</f>
        <v/>
      </c>
      <c r="BQ68" s="74">
        <f>COUNTIF($E68:$Z68,BQ$4)</f>
        <v/>
      </c>
      <c r="BR68" s="110" t="n"/>
    </row>
    <row r="69" ht="19.5" customHeight="1">
      <c r="A69" s="107" t="n"/>
      <c r="B69" s="107" t="inlineStr">
        <is>
          <t>PTE SUNDARARAJU DHANUSH</t>
        </is>
      </c>
      <c r="C69" s="107" t="n"/>
      <c r="D69" s="107" t="n"/>
      <c r="E69" s="107" t="n"/>
      <c r="F69" s="148" t="n"/>
      <c r="G69" s="107" t="n"/>
      <c r="H69" s="107" t="inlineStr">
        <is>
          <t>2ND $BTP (0500 - 2300)</t>
        </is>
      </c>
      <c r="I69" s="107" t="n"/>
      <c r="J69" s="107" t="inlineStr">
        <is>
          <t>AE</t>
        </is>
      </c>
      <c r="K69" s="107" t="n"/>
      <c r="L69" s="107" t="inlineStr">
        <is>
          <t>SB1</t>
        </is>
      </c>
      <c r="M69" s="107" t="n"/>
      <c r="N69" s="107" t="n"/>
      <c r="O69" s="107" t="n"/>
      <c r="P69" s="107" t="inlineStr">
        <is>
          <t>AE</t>
        </is>
      </c>
      <c r="Q69" s="107" t="inlineStr">
        <is>
          <t>2ND $M BIC AM</t>
        </is>
      </c>
      <c r="R69" s="107" t="inlineStr">
        <is>
          <t>SB1</t>
        </is>
      </c>
      <c r="S69" s="107" t="n"/>
      <c r="T69" s="107" t="n"/>
      <c r="U69" s="107" t="inlineStr">
        <is>
          <t>SB1</t>
        </is>
      </c>
      <c r="V69" s="107" t="n"/>
      <c r="W69" s="107" t="inlineStr">
        <is>
          <t>T $PM 6KM RM</t>
        </is>
      </c>
      <c r="X69" s="107" t="inlineStr">
        <is>
          <t xml:space="preserve">4TH $AM IPPT </t>
        </is>
      </c>
      <c r="Y69" s="107" t="n"/>
      <c r="Z69" s="107" t="inlineStr">
        <is>
          <t>OL</t>
        </is>
      </c>
      <c r="AA69" s="107" t="inlineStr">
        <is>
          <t>OL</t>
        </is>
      </c>
      <c r="AB69" s="107" t="inlineStr">
        <is>
          <t>OL</t>
        </is>
      </c>
      <c r="AC69" s="107" t="inlineStr">
        <is>
          <t>OL</t>
        </is>
      </c>
      <c r="AD69" s="107" t="inlineStr">
        <is>
          <t>OL</t>
        </is>
      </c>
      <c r="AE69" s="107" t="inlineStr">
        <is>
          <t>OL</t>
        </is>
      </c>
      <c r="AF69" s="107" t="inlineStr">
        <is>
          <t>OL</t>
        </is>
      </c>
      <c r="AG69" s="107" t="inlineStr">
        <is>
          <t>OL</t>
        </is>
      </c>
      <c r="AH69" s="107" t="inlineStr">
        <is>
          <t>OL</t>
        </is>
      </c>
      <c r="AI69" s="77">
        <f>COUNTIF($D69:$AG69,AI$4)</f>
        <v/>
      </c>
      <c r="AJ69" s="77">
        <f>COUNTIF($D69:$AG69,AJ$4)</f>
        <v/>
      </c>
      <c r="AK69" s="77">
        <f>COUNTIF($D69:$AG69,AK$4)</f>
        <v/>
      </c>
      <c r="AL69" s="77">
        <f>COUNTIF($D69:$AG69,AL$4)</f>
        <v/>
      </c>
      <c r="AM69" s="77">
        <f>COUNTIF($D69:$AG69,AM$4)</f>
        <v/>
      </c>
      <c r="AN69" s="77">
        <f>COUNTIF($D69:$AG69,AN$4)</f>
        <v/>
      </c>
      <c r="AO69" s="77">
        <f>COUNTIF($D69:$AG69,AO$4)</f>
        <v/>
      </c>
      <c r="AP69" s="77">
        <f>COUNTIF($D69:$AG69,AP$4)</f>
        <v/>
      </c>
      <c r="AQ69" s="77">
        <f>COUNTIF($D69:$AG69,AQ$4)</f>
        <v/>
      </c>
      <c r="AR69" s="76" t="n"/>
      <c r="AS69" s="76" t="n">
        <v>0.5</v>
      </c>
      <c r="AT69" s="77">
        <f>SUMPRODUCT(--(WEEKDAY(D$3:AG$3,2)&lt;5),--ISNUMBER(MATCH(D69:AG69,{"DM","CS1","CS2","SB1","SB2","AE","CS/B"},0)))</f>
        <v/>
      </c>
      <c r="AU69" s="77" t="n"/>
      <c r="AV69" s="77">
        <f>SUMPRODUCT(--(WEEKDAY(D$3:AG$3,2)=5),--ISNUMBER(MATCH(D69:AG69,{"DM","CS1","CS2","SB1","SB2","AE","CS/B"},0)))</f>
        <v/>
      </c>
      <c r="AW69" s="77">
        <f>SUMPRODUCT(--(WEEKDAY(D$3:AG$3,2)&gt;5),--ISNUMBER(MATCH(D69:AG69,{"DM","CS1","CS2","SB1","AE","CS/B","SB2"},0)))</f>
        <v/>
      </c>
      <c r="AX69" s="77" t="n"/>
      <c r="AY69" s="77">
        <f>(AT69-AU69)+AV69*1.5+(AW69-AX69)*2+AN69*0.5+AP69*0.5+AR69-AS69</f>
        <v/>
      </c>
      <c r="AZ69" s="77">
        <f>AT69+AV69+AW69</f>
        <v/>
      </c>
      <c r="BA69" s="77">
        <f>BD69+BF69+BH69+BJ69+BL69</f>
        <v/>
      </c>
      <c r="BB69" s="76">
        <f>AY69+BC69</f>
        <v/>
      </c>
      <c r="BC69" s="77">
        <f>BE69+BG69+BI69+BK69+BM69</f>
        <v/>
      </c>
      <c r="BD69" s="77">
        <f>COUNTIF(A69:AI69,"*$BTP*")</f>
        <v/>
      </c>
      <c r="BE69" s="77">
        <f>BD69*1.5</f>
        <v/>
      </c>
      <c r="BF69" s="77">
        <f>COUNTIF(A69:AI69,"*$M*")</f>
        <v/>
      </c>
      <c r="BG69" s="77">
        <f>BF69*1</f>
        <v/>
      </c>
      <c r="BH69" s="77">
        <f>COUNTIF(A69:AI69,"*$PM*")</f>
        <v/>
      </c>
      <c r="BI69" s="77">
        <f>BH69*0.5</f>
        <v/>
      </c>
      <c r="BJ69" s="77">
        <f>COUNTIF(A69:AI69,"*$AM*")</f>
        <v/>
      </c>
      <c r="BK69" s="77">
        <f>BJ69*0.5</f>
        <v/>
      </c>
      <c r="BL69" s="77">
        <f>COUNTIF(A69:AI69,"*$FC*")</f>
        <v/>
      </c>
      <c r="BM69" s="77">
        <f>BL69*1</f>
        <v/>
      </c>
      <c r="BN69" s="77" t="n"/>
      <c r="BO69" s="77">
        <f>COUNTIF($E69:$Z69,BO$4)</f>
        <v/>
      </c>
      <c r="BP69" s="77">
        <f>COUNTIF($E69:$Z69,BP$4)</f>
        <v/>
      </c>
      <c r="BQ69" s="77">
        <f>COUNTIF($E69:$Z69,BQ$4)</f>
        <v/>
      </c>
      <c r="BR69" s="107" t="n"/>
    </row>
    <row r="70" ht="19.5" customHeight="1">
      <c r="A70" s="74" t="n"/>
      <c r="B70" s="115" t="inlineStr">
        <is>
          <t>COMBAT POINTS</t>
        </is>
      </c>
      <c r="C70" s="115" t="n"/>
      <c r="D70" s="119" t="n"/>
      <c r="E70" s="121" t="n"/>
      <c r="F70" s="121" t="n"/>
      <c r="G70" s="121" t="n"/>
      <c r="H70" s="121" t="n"/>
      <c r="I70" s="121" t="n"/>
      <c r="J70" s="121" t="n"/>
      <c r="K70" s="121" t="n"/>
      <c r="L70" s="121" t="n"/>
      <c r="M70" s="121" t="n"/>
      <c r="N70" s="110" t="n"/>
      <c r="O70" s="121" t="n"/>
      <c r="P70" s="121" t="n"/>
      <c r="Q70" s="121" t="n"/>
      <c r="R70" s="110" t="n"/>
      <c r="S70" s="110" t="n"/>
      <c r="T70" s="121" t="n"/>
      <c r="U70" s="110" t="n"/>
      <c r="V70" s="121" t="inlineStr">
        <is>
          <t>             </t>
        </is>
      </c>
      <c r="W70" s="156" t="n"/>
      <c r="X70" s="121" t="n"/>
      <c r="Y70" s="121" t="n"/>
      <c r="Z70" s="121" t="n"/>
      <c r="AA70" s="121" t="n"/>
      <c r="AB70" s="121" t="n"/>
      <c r="AC70" s="121" t="n"/>
      <c r="AD70" s="121" t="n"/>
      <c r="AE70" s="121" t="n"/>
      <c r="AF70" s="121" t="n"/>
      <c r="AG70" s="121" t="n"/>
      <c r="AH70" s="121" t="n"/>
      <c r="AI70" s="74" t="n"/>
      <c r="AJ70" s="74" t="n"/>
      <c r="AK70" s="74" t="n"/>
      <c r="AL70" s="74" t="n"/>
      <c r="AM70" s="74" t="n"/>
      <c r="AN70" s="74" t="n"/>
      <c r="AO70" s="74" t="n"/>
      <c r="AP70" s="74" t="n"/>
      <c r="AQ70" s="74" t="n"/>
      <c r="AR70" s="74" t="n"/>
      <c r="AS70" s="74" t="n"/>
      <c r="AT70" s="74" t="n"/>
      <c r="AU70" s="74" t="n"/>
      <c r="AV70" s="74" t="n"/>
      <c r="AW70" s="74" t="n"/>
      <c r="AX70" s="74" t="n"/>
      <c r="AY70" s="74" t="n"/>
      <c r="AZ70" s="74" t="n"/>
      <c r="BA70" s="74" t="n"/>
      <c r="BB70" s="74" t="n"/>
      <c r="BC70" s="74" t="n"/>
      <c r="BD70" s="74" t="n"/>
      <c r="BE70" s="74" t="n"/>
      <c r="BF70" s="74" t="n"/>
      <c r="BG70" s="74" t="n"/>
      <c r="BH70" s="74" t="n"/>
      <c r="BI70" s="74" t="n"/>
      <c r="BJ70" s="74" t="n"/>
      <c r="BK70" s="74" t="n"/>
      <c r="BL70" s="74" t="n"/>
      <c r="BM70" s="74" t="n"/>
      <c r="BN70" s="74" t="n"/>
      <c r="BO70" s="74" t="n"/>
      <c r="BP70" s="74" t="n"/>
      <c r="BQ70" s="74" t="n"/>
      <c r="BR70" s="74" t="n"/>
    </row>
    <row r="71" ht="19.5" customHeight="1">
      <c r="A71" s="77" t="n"/>
      <c r="B71" s="115" t="inlineStr">
        <is>
          <t>TOTAL POINTS</t>
        </is>
      </c>
      <c r="C71" s="115" t="n"/>
      <c r="D71" s="119" t="n"/>
      <c r="E71" s="157" t="n"/>
      <c r="F71" s="157" t="n"/>
      <c r="G71" s="157" t="n"/>
      <c r="H71" s="157" t="n"/>
      <c r="I71" s="157" t="n"/>
      <c r="J71" s="157" t="n"/>
      <c r="K71" s="157" t="n"/>
      <c r="L71" s="157" t="n"/>
      <c r="M71" s="157" t="n"/>
      <c r="N71" s="107" t="n"/>
      <c r="O71" s="157" t="n"/>
      <c r="P71" s="157" t="n"/>
      <c r="Q71" s="157" t="n"/>
      <c r="R71" s="107" t="n"/>
      <c r="S71" s="107" t="n"/>
      <c r="T71" s="157" t="n"/>
      <c r="U71" s="107" t="n"/>
      <c r="V71" s="121" t="n"/>
      <c r="W71" s="158" t="n"/>
      <c r="X71" s="157" t="n"/>
      <c r="Y71" s="157" t="n"/>
      <c r="Z71" s="157" t="n"/>
      <c r="AA71" s="157" t="n"/>
      <c r="AB71" s="157" t="n"/>
      <c r="AC71" s="157" t="n"/>
      <c r="AD71" s="157" t="n"/>
      <c r="AE71" s="157" t="n"/>
      <c r="AF71" s="157" t="n"/>
      <c r="AG71" s="157" t="n"/>
      <c r="AH71" s="157" t="n"/>
      <c r="AI71" s="77" t="n"/>
      <c r="AJ71" s="77" t="n"/>
      <c r="AK71" s="77" t="n"/>
      <c r="AL71" s="77" t="n"/>
      <c r="AM71" s="77" t="n"/>
      <c r="AN71" s="77" t="n"/>
      <c r="AO71" s="77" t="n"/>
      <c r="AP71" s="77" t="n"/>
      <c r="AQ71" s="77" t="n"/>
      <c r="AR71" s="77" t="n"/>
      <c r="AS71" s="77" t="n"/>
      <c r="AT71" s="77" t="n"/>
      <c r="AU71" s="77" t="n"/>
      <c r="AV71" s="77" t="n"/>
      <c r="AW71" s="77" t="n"/>
      <c r="AX71" s="77" t="n"/>
      <c r="AY71" s="77" t="n"/>
      <c r="AZ71" s="77" t="n"/>
      <c r="BA71" s="77" t="n"/>
      <c r="BB71" s="77" t="n"/>
      <c r="BC71" s="77" t="n"/>
      <c r="BD71" s="77" t="n"/>
      <c r="BE71" s="77" t="n"/>
      <c r="BF71" s="77" t="n"/>
      <c r="BG71" s="77" t="n"/>
      <c r="BH71" s="77" t="n"/>
      <c r="BI71" s="77" t="n"/>
      <c r="BJ71" s="77" t="n"/>
      <c r="BK71" s="77" t="n"/>
      <c r="BL71" s="77" t="n"/>
      <c r="BM71" s="77" t="n"/>
      <c r="BN71" s="77" t="n"/>
      <c r="BO71" s="77" t="n"/>
      <c r="BP71" s="77" t="n"/>
      <c r="BQ71" s="77" t="n"/>
      <c r="BR71" s="77" t="n"/>
    </row>
    <row r="72" ht="19.5" customHeight="1">
      <c r="A72" s="67" t="n"/>
      <c r="B72" s="105" t="n"/>
      <c r="C72" s="105" t="n"/>
      <c r="D72" s="123" t="n"/>
      <c r="E72" s="123" t="n"/>
      <c r="F72" s="123" t="n"/>
      <c r="G72" s="123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  <c r="AA72" s="123" t="n"/>
      <c r="AB72" s="123" t="n"/>
      <c r="AC72" s="123" t="n"/>
      <c r="AD72" s="123" t="n"/>
      <c r="AE72" s="123" t="n"/>
      <c r="AF72" s="123" t="n"/>
      <c r="AG72" s="123" t="n"/>
      <c r="AH72" s="123" t="n"/>
      <c r="AI72" s="105" t="n"/>
      <c r="AJ72" s="105" t="n"/>
      <c r="AK72" s="105" t="n"/>
      <c r="AL72" s="105" t="n"/>
      <c r="AM72" s="105" t="n"/>
      <c r="AN72" s="105" t="n"/>
      <c r="AO72" s="105" t="n"/>
      <c r="AP72" s="105" t="n"/>
      <c r="AQ72" s="105" t="n"/>
      <c r="AR72" s="105" t="n"/>
      <c r="AS72" s="105" t="n"/>
      <c r="AT72" s="105" t="n"/>
      <c r="AU72" s="105" t="n"/>
      <c r="AV72" s="105" t="n"/>
      <c r="AW72" s="105">
        <f>SUMPRODUCT(--WEEKDAY(D$3:AG$3,2)&gt;5,--((D72:AG72="DM"))+(D72:AG72="CS1")+((D72:AG72="CS2"))+(D72:AG72="SB1")+(D72:AG72="AE")+(D72:AG72="EM"))</f>
        <v/>
      </c>
      <c r="AX72" s="105" t="n"/>
      <c r="AY72" s="105">
        <f>(AT72-AU72)/2+(AW72-AX72)</f>
        <v/>
      </c>
      <c r="AZ72" s="105" t="n"/>
      <c r="BA72" s="105" t="n"/>
      <c r="BB72" s="105" t="n"/>
      <c r="BC72" s="105" t="n"/>
      <c r="BD72" s="105" t="n"/>
      <c r="BE72" s="105" t="n"/>
      <c r="BF72" s="105" t="n"/>
      <c r="BG72" s="105" t="n"/>
      <c r="BH72" s="105" t="n"/>
      <c r="BI72" s="105" t="n"/>
      <c r="BJ72" s="105" t="n"/>
      <c r="BK72" s="105" t="n"/>
      <c r="BL72" s="105" t="n"/>
      <c r="BM72" s="105" t="n"/>
      <c r="BN72" s="105" t="n"/>
      <c r="BO72" s="105" t="n"/>
      <c r="BP72" s="105" t="n"/>
      <c r="BQ72" s="105" t="n"/>
      <c r="BR72" s="105" t="n"/>
    </row>
    <row r="73" ht="19.5" customHeight="1">
      <c r="A73" s="67" t="n"/>
      <c r="B73" s="124" t="inlineStr">
        <is>
          <t>DM</t>
        </is>
      </c>
      <c r="C73" s="124" t="n"/>
      <c r="D73" s="125">
        <f>VLOOKUP("DM",D53:D69,1,FALSE)</f>
        <v/>
      </c>
      <c r="E73" s="125">
        <f>VLOOKUP("DM",E53:E69,1,FALSE)</f>
        <v/>
      </c>
      <c r="F73" s="125">
        <f>VLOOKUP("DM",F53:F69,1,FALSE)</f>
        <v/>
      </c>
      <c r="G73" s="125">
        <f>VLOOKUP("DM",G53:G69,1,FALSE)</f>
        <v/>
      </c>
      <c r="H73" s="125">
        <f>VLOOKUP("DM",H53:H69,1,FALSE)</f>
        <v/>
      </c>
      <c r="I73" s="125">
        <f>VLOOKUP("DM",I53:I69,1,FALSE)</f>
        <v/>
      </c>
      <c r="J73" s="125">
        <f>VLOOKUP("DM",J53:J69,1,FALSE)</f>
        <v/>
      </c>
      <c r="K73" s="125">
        <f>VLOOKUP("DM",K53:K69,1,FALSE)</f>
        <v/>
      </c>
      <c r="L73" s="125">
        <f>VLOOKUP("DM",L53:L69,1,FALSE)</f>
        <v/>
      </c>
      <c r="M73" s="125">
        <f>VLOOKUP("DM",M53:M69,1,FALSE)</f>
        <v/>
      </c>
      <c r="N73" s="125">
        <f>VLOOKUP("DM",N53:N69,1,FALSE)</f>
        <v/>
      </c>
      <c r="O73" s="125">
        <f>VLOOKUP("DM",O53:O69,1,FALSE)</f>
        <v/>
      </c>
      <c r="P73" s="125">
        <f>VLOOKUP("DM",P53:P69,1,FALSE)</f>
        <v/>
      </c>
      <c r="Q73" s="125">
        <f>VLOOKUP("DM",Q53:Q69,1,FALSE)</f>
        <v/>
      </c>
      <c r="R73" s="125">
        <f>VLOOKUP("DM",R53:R69,1,FALSE)</f>
        <v/>
      </c>
      <c r="S73" s="125">
        <f>VLOOKUP("DM",S53:S69,1,FALSE)</f>
        <v/>
      </c>
      <c r="T73" s="125">
        <f>VLOOKUP("DM",T53:T69,1,FALSE)</f>
        <v/>
      </c>
      <c r="U73" s="125">
        <f>VLOOKUP("DM",U53:U69,1,FALSE)</f>
        <v/>
      </c>
      <c r="V73" s="125">
        <f>VLOOKUP("DM",V53:V69,1,FALSE)</f>
        <v/>
      </c>
      <c r="W73" s="125">
        <f>VLOOKUP("DM",W53:W69,1,FALSE)</f>
        <v/>
      </c>
      <c r="X73" s="125">
        <f>VLOOKUP("DM",X53:X69,1,FALSE)</f>
        <v/>
      </c>
      <c r="Y73" s="125">
        <f>VLOOKUP("DM",Y53:Y69,1,FALSE)</f>
        <v/>
      </c>
      <c r="Z73" s="125">
        <f>VLOOKUP("DM",Z53:Z69,1,FALSE)</f>
        <v/>
      </c>
      <c r="AA73" s="125">
        <f>VLOOKUP("DM",AA53:AA69,1,FALSE)</f>
        <v/>
      </c>
      <c r="AB73" s="125">
        <f>VLOOKUP("DM",AB53:AB69,1,FALSE)</f>
        <v/>
      </c>
      <c r="AC73" s="125">
        <f>VLOOKUP("DM",AC53:AC69,1,FALSE)</f>
        <v/>
      </c>
      <c r="AD73" s="125">
        <f>VLOOKUP("DM",AD53:AD69,1,FALSE)</f>
        <v/>
      </c>
      <c r="AE73" s="125">
        <f>VLOOKUP("DM",AE53:AE69,1,FALSE)</f>
        <v/>
      </c>
      <c r="AF73" s="125">
        <f>VLOOKUP("DM",AF53:AF69,1,FALSE)</f>
        <v/>
      </c>
      <c r="AG73" s="125">
        <f>VLOOKUP("DM",AG53:AG69,1,FALSE)</f>
        <v/>
      </c>
      <c r="AH73" s="125">
        <f>VLOOKUP("DM",AH53:AH69,1,FALSE)</f>
        <v/>
      </c>
      <c r="AI73" s="67" t="n"/>
      <c r="AJ73" s="67" t="n"/>
      <c r="AK73" s="67" t="n"/>
      <c r="AL73" s="67" t="n"/>
      <c r="AM73" s="77" t="n"/>
      <c r="AN73" s="77" t="n"/>
      <c r="AO73" s="77" t="n"/>
      <c r="AP73" s="77" t="n"/>
      <c r="AQ73" s="77" t="n"/>
      <c r="AR73" s="77" t="n"/>
      <c r="AS73" s="77" t="n"/>
      <c r="AT73" s="77" t="n"/>
      <c r="AU73" s="77" t="n"/>
      <c r="AV73" s="77" t="n"/>
      <c r="AW73" s="77" t="n"/>
      <c r="AX73" s="77" t="n"/>
      <c r="AY73" s="77" t="n"/>
      <c r="AZ73" s="77" t="n"/>
      <c r="BA73" s="77" t="n"/>
      <c r="BB73" s="77" t="n"/>
      <c r="BC73" s="77" t="n"/>
      <c r="BD73" s="77" t="n"/>
      <c r="BE73" s="77" t="n"/>
      <c r="BF73" s="77" t="n"/>
      <c r="BG73" s="77" t="n"/>
      <c r="BH73" s="77" t="n"/>
      <c r="BI73" s="77" t="n"/>
      <c r="BJ73" s="77" t="n"/>
      <c r="BK73" s="77" t="n"/>
      <c r="BL73" s="77" t="n"/>
      <c r="BM73" s="77" t="n"/>
      <c r="BN73" s="77" t="n"/>
      <c r="BO73" s="77" t="n"/>
      <c r="BP73" s="77" t="n"/>
      <c r="BQ73" s="77" t="n"/>
      <c r="BR73" s="77" t="n"/>
    </row>
    <row r="74" ht="19.5" customHeight="1">
      <c r="A74" s="67" t="n"/>
      <c r="B74" s="126" t="inlineStr">
        <is>
          <t>CS1</t>
        </is>
      </c>
      <c r="C74" s="126" t="n"/>
      <c r="D74" s="125">
        <f>VLOOKUP("CS1",D53:D69,1,FALSE)</f>
        <v/>
      </c>
      <c r="E74" s="125">
        <f>VLOOKUP("CS1",E53:E69,1,FALSE)</f>
        <v/>
      </c>
      <c r="F74" s="125">
        <f>VLOOKUP("CS1",F53:F69,1,FALSE)</f>
        <v/>
      </c>
      <c r="G74" s="125">
        <f>VLOOKUP("CS1",G53:G69,1,FALSE)</f>
        <v/>
      </c>
      <c r="H74" s="125">
        <f>VLOOKUP("CS1",H53:H69,1,FALSE)</f>
        <v/>
      </c>
      <c r="I74" s="125">
        <f>VLOOKUP("CS1",I53:I69,1,FALSE)</f>
        <v/>
      </c>
      <c r="J74" s="125">
        <f>VLOOKUP("CS1",J53:J69,1,FALSE)</f>
        <v/>
      </c>
      <c r="K74" s="125">
        <f>VLOOKUP("CS1",K53:K69,1,FALSE)</f>
        <v/>
      </c>
      <c r="L74" s="125">
        <f>VLOOKUP("CS1",L53:L69,1,FALSE)</f>
        <v/>
      </c>
      <c r="M74" s="125">
        <f>VLOOKUP("CS1",M53:M69,1,FALSE)</f>
        <v/>
      </c>
      <c r="N74" s="125">
        <f>VLOOKUP("CS1",N53:N69,1,FALSE)</f>
        <v/>
      </c>
      <c r="O74" s="125">
        <f>VLOOKUP("CS1",O53:O69,1,FALSE)</f>
        <v/>
      </c>
      <c r="P74" s="125">
        <f>VLOOKUP("CS1",P53:P69,1,FALSE)</f>
        <v/>
      </c>
      <c r="Q74" s="125">
        <f>VLOOKUP("CS1",Q53:Q69,1,FALSE)</f>
        <v/>
      </c>
      <c r="R74" s="125">
        <f>VLOOKUP("CS1",R53:R69,1,FALSE)</f>
        <v/>
      </c>
      <c r="S74" s="125">
        <f>VLOOKUP("CS1",S53:S69,1,FALSE)</f>
        <v/>
      </c>
      <c r="T74" s="125">
        <f>VLOOKUP("CS1",T53:T69,1,FALSE)</f>
        <v/>
      </c>
      <c r="U74" s="125">
        <f>VLOOKUP("CS1",U53:U69,1,FALSE)</f>
        <v/>
      </c>
      <c r="V74" s="125">
        <f>VLOOKUP("CS1",V53:V69,1,FALSE)</f>
        <v/>
      </c>
      <c r="W74" s="125">
        <f>VLOOKUP("CS1",W53:W69,1,FALSE)</f>
        <v/>
      </c>
      <c r="X74" s="125">
        <f>VLOOKUP("CS1",X53:X69,1,FALSE)</f>
        <v/>
      </c>
      <c r="Y74" s="125">
        <f>VLOOKUP("CS1",Y53:Y69,1,FALSE)</f>
        <v/>
      </c>
      <c r="Z74" s="125">
        <f>VLOOKUP("CS1",Z53:Z69,1,FALSE)</f>
        <v/>
      </c>
      <c r="AA74" s="125">
        <f>VLOOKUP("CS1",AA53:AA69,1,FALSE)</f>
        <v/>
      </c>
      <c r="AB74" s="125">
        <f>VLOOKUP("CS1",AB53:AB69,1,FALSE)</f>
        <v/>
      </c>
      <c r="AC74" s="125">
        <f>VLOOKUP("CS1",AC53:AC69,1,FALSE)</f>
        <v/>
      </c>
      <c r="AD74" s="125">
        <f>VLOOKUP("CS1",AD53:AD69,1,FALSE)</f>
        <v/>
      </c>
      <c r="AE74" s="125">
        <f>VLOOKUP("CS1",AE53:AE69,1,FALSE)</f>
        <v/>
      </c>
      <c r="AF74" s="125">
        <f>VLOOKUP("CS1",AF53:AF69,1,FALSE)</f>
        <v/>
      </c>
      <c r="AG74" s="125">
        <f>VLOOKUP("CS1",AG53:AG69,1,FALSE)</f>
        <v/>
      </c>
      <c r="AH74" s="125">
        <f>VLOOKUP("CS1",AH53:AH69,1,FALSE)</f>
        <v/>
      </c>
      <c r="AI74" s="67" t="n"/>
      <c r="AJ74" s="67" t="n"/>
      <c r="AK74" s="67" t="n"/>
      <c r="AL74" s="6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</row>
    <row r="75" ht="19.5" customHeight="1">
      <c r="A75" s="67" t="n"/>
      <c r="B75" s="127" t="inlineStr">
        <is>
          <t>SB1</t>
        </is>
      </c>
      <c r="C75" s="127" t="n"/>
      <c r="D75" s="125">
        <f>VLOOKUP("SB1",D5:D69,1,FALSE)</f>
        <v/>
      </c>
      <c r="E75" s="125">
        <f>VLOOKUP("SB1",E5:E69,1,FALSE)</f>
        <v/>
      </c>
      <c r="F75" s="125">
        <f>VLOOKUP("SB1",F5:F69,1,FALSE)</f>
        <v/>
      </c>
      <c r="G75" s="125">
        <f>VLOOKUP("SB1",G5:G69,1,FALSE)</f>
        <v/>
      </c>
      <c r="H75" s="125">
        <f>VLOOKUP("SB1",H5:H69,1,FALSE)</f>
        <v/>
      </c>
      <c r="I75" s="125">
        <f>VLOOKUP("SB1",I5:I69,1,FALSE)</f>
        <v/>
      </c>
      <c r="J75" s="125">
        <f>VLOOKUP("SB1",J5:J69,1,FALSE)</f>
        <v/>
      </c>
      <c r="K75" s="125">
        <f>VLOOKUP("SB1",K5:K69,1,FALSE)</f>
        <v/>
      </c>
      <c r="L75" s="125">
        <f>VLOOKUP("SB1",L5:L69,1,FALSE)</f>
        <v/>
      </c>
      <c r="M75" s="125">
        <f>VLOOKUP("SB1",M5:M69,1,FALSE)</f>
        <v/>
      </c>
      <c r="N75" s="125">
        <f>VLOOKUP("SB1",N5:N69,1,FALSE)</f>
        <v/>
      </c>
      <c r="O75" s="125">
        <f>VLOOKUP("SB1",O5:O69,1,FALSE)</f>
        <v/>
      </c>
      <c r="P75" s="125">
        <f>VLOOKUP("SB1",P5:P69,1,FALSE)</f>
        <v/>
      </c>
      <c r="Q75" s="125">
        <f>VLOOKUP("SB1",Q5:Q69,1,FALSE)</f>
        <v/>
      </c>
      <c r="R75" s="125">
        <f>VLOOKUP("SB1",R5:R69,1,FALSE)</f>
        <v/>
      </c>
      <c r="S75" s="125">
        <f>VLOOKUP("SB1",S5:S69,1,FALSE)</f>
        <v/>
      </c>
      <c r="T75" s="125">
        <f>VLOOKUP("SB1",T5:T69,1,FALSE)</f>
        <v/>
      </c>
      <c r="U75" s="125">
        <f>VLOOKUP("SB1",U5:U69,1,FALSE)</f>
        <v/>
      </c>
      <c r="V75" s="125">
        <f>VLOOKUP("SB1",V5:V69,1,FALSE)</f>
        <v/>
      </c>
      <c r="W75" s="125">
        <f>VLOOKUP("SB1",W5:W69,1,FALSE)</f>
        <v/>
      </c>
      <c r="X75" s="125">
        <f>VLOOKUP("SB1",X5:X69,1,FALSE)</f>
        <v/>
      </c>
      <c r="Y75" s="125">
        <f>VLOOKUP("SB1",Y6:Y69,1,FALSE)</f>
        <v/>
      </c>
      <c r="Z75" s="125">
        <f>VLOOKUP("SB1",Z5:Z69,1,FALSE)</f>
        <v/>
      </c>
      <c r="AA75" s="125">
        <f>VLOOKUP("SB1",AA5:AA69,1,FALSE)</f>
        <v/>
      </c>
      <c r="AB75" s="125">
        <f>VLOOKUP("SB1",AB5:AB69,1,FALSE)</f>
        <v/>
      </c>
      <c r="AC75" s="125">
        <f>VLOOKUP("SB1",AC5:AC69,1,FALSE)</f>
        <v/>
      </c>
      <c r="AD75" s="125">
        <f>VLOOKUP("SB1",AD5:AD69,1,FALSE)</f>
        <v/>
      </c>
      <c r="AE75" s="125">
        <f>VLOOKUP("SB1",AE5:AE69,1,FALSE)</f>
        <v/>
      </c>
      <c r="AF75" s="125">
        <f>VLOOKUP("SB1",AF5:AF69,1,FALSE)</f>
        <v/>
      </c>
      <c r="AG75" s="125">
        <f>VLOOKUP("SB1",AG5:AG69,1,FALSE)</f>
        <v/>
      </c>
      <c r="AH75" s="125">
        <f>VLOOKUP("SB1",AH5:AH69,1,FALSE)</f>
        <v/>
      </c>
      <c r="AI75" s="67" t="n"/>
      <c r="AJ75" s="67" t="n"/>
      <c r="AK75" s="67" t="n"/>
      <c r="AL75" s="67" t="n"/>
      <c r="AM75" s="77" t="n"/>
      <c r="AN75" s="77" t="n"/>
      <c r="AO75" s="77" t="n"/>
      <c r="AP75" s="77" t="n"/>
      <c r="AQ75" s="77" t="n"/>
      <c r="AR75" s="77" t="n"/>
      <c r="AS75" s="77" t="n"/>
      <c r="AT75" s="77" t="n"/>
      <c r="AU75" s="77" t="n"/>
      <c r="AV75" s="77" t="n"/>
      <c r="AW75" s="77" t="n"/>
      <c r="AX75" s="77" t="n"/>
      <c r="AY75" s="77" t="n"/>
      <c r="AZ75" s="77" t="n"/>
      <c r="BA75" s="77" t="n"/>
      <c r="BB75" s="77" t="n"/>
      <c r="BC75" s="77" t="n"/>
      <c r="BD75" s="77" t="n"/>
      <c r="BE75" s="77" t="n"/>
      <c r="BF75" s="77" t="n"/>
      <c r="BG75" s="77" t="n"/>
      <c r="BH75" s="77" t="n"/>
      <c r="BI75" s="77" t="n"/>
      <c r="BJ75" s="77" t="n"/>
      <c r="BK75" s="77" t="n"/>
      <c r="BL75" s="77" t="n"/>
      <c r="BM75" s="77" t="n"/>
      <c r="BN75" s="77" t="n"/>
      <c r="BO75" s="77" t="n"/>
      <c r="BP75" s="77" t="n"/>
      <c r="BQ75" s="77" t="n"/>
      <c r="BR75" s="77" t="n"/>
    </row>
    <row r="76" ht="18.75" customHeight="1">
      <c r="A76" s="67" t="n"/>
      <c r="B76" s="128" t="inlineStr">
        <is>
          <t>SB2</t>
        </is>
      </c>
      <c r="C76" s="128" t="n"/>
      <c r="D76" s="125">
        <f>VLOOKUP("SB2",D53:D69,1,FALSE)</f>
        <v/>
      </c>
      <c r="E76" s="125">
        <f>VLOOKUP("SB2",E53:E69,1,FALSE)</f>
        <v/>
      </c>
      <c r="F76" s="125">
        <f>VLOOKUP("SB2",F53:F69,1,FALSE)</f>
        <v/>
      </c>
      <c r="G76" s="125">
        <f>VLOOKUP("SB2",G53:G69,1,FALSE)</f>
        <v/>
      </c>
      <c r="H76" s="125">
        <f>VLOOKUP("SB2",H53:H69,1,FALSE)</f>
        <v/>
      </c>
      <c r="I76" s="125">
        <f>VLOOKUP("SB2",I53:I69,1,FALSE)</f>
        <v/>
      </c>
      <c r="J76" s="125">
        <f>VLOOKUP("SB2",J53:J69,1,FALSE)</f>
        <v/>
      </c>
      <c r="K76" s="125">
        <f>VLOOKUP("SB2",K53:K69,1,FALSE)</f>
        <v/>
      </c>
      <c r="L76" s="125">
        <f>VLOOKUP("SB2",L53:L69,1,FALSE)</f>
        <v/>
      </c>
      <c r="M76" s="125">
        <f>VLOOKUP("SB2",M53:M69,1,FALSE)</f>
        <v/>
      </c>
      <c r="N76" s="125">
        <f>VLOOKUP("SB2",N53:N69,1,FALSE)</f>
        <v/>
      </c>
      <c r="O76" s="125">
        <f>VLOOKUP("SB2",O53:O69,1,FALSE)</f>
        <v/>
      </c>
      <c r="P76" s="125">
        <f>VLOOKUP("SB2",P53:P69,1,FALSE)</f>
        <v/>
      </c>
      <c r="Q76" s="125">
        <f>VLOOKUP("SB2",Q53:Q69,1,FALSE)</f>
        <v/>
      </c>
      <c r="R76" s="125">
        <f>VLOOKUP("SB2",R53:R69,1,FALSE)</f>
        <v/>
      </c>
      <c r="S76" s="125">
        <f>VLOOKUP("SB2",S53:S69,1,FALSE)</f>
        <v/>
      </c>
      <c r="T76" s="125">
        <f>VLOOKUP("SB2",T53:T69,1,FALSE)</f>
        <v/>
      </c>
      <c r="U76" s="125">
        <f>VLOOKUP("SB2",U53:U69,1,FALSE)</f>
        <v/>
      </c>
      <c r="V76" s="125">
        <f>VLOOKUP("SB2",V53:V69,1,FALSE)</f>
        <v/>
      </c>
      <c r="W76" s="125">
        <f>VLOOKUP("SB2",W53:W69,1,FALSE)</f>
        <v/>
      </c>
      <c r="X76" s="125">
        <f>VLOOKUP("SB2",X53:X69,1,FALSE)</f>
        <v/>
      </c>
      <c r="Y76" s="125">
        <f>VLOOKUP("SB2",Y53:Y69,1,FALSE)</f>
        <v/>
      </c>
      <c r="Z76" s="125">
        <f>VLOOKUP("SB2",Z53:Z69,1,FALSE)</f>
        <v/>
      </c>
      <c r="AA76" s="125">
        <f>VLOOKUP("SB2",AA53:AA69,1,FALSE)</f>
        <v/>
      </c>
      <c r="AB76" s="125">
        <f>VLOOKUP("SB2",AB53:AB69,1,FALSE)</f>
        <v/>
      </c>
      <c r="AC76" s="125">
        <f>VLOOKUP("SB2",AC53:AC69,1,FALSE)</f>
        <v/>
      </c>
      <c r="AD76" s="125">
        <f>VLOOKUP("SB2",AD53:AD69,1,FALSE)</f>
        <v/>
      </c>
      <c r="AE76" s="125">
        <f>VLOOKUP("SB2",AE53:AE69,1,FALSE)</f>
        <v/>
      </c>
      <c r="AF76" s="125">
        <f>VLOOKUP("SB2",AF53:AF69,1,FALSE)</f>
        <v/>
      </c>
      <c r="AG76" s="125">
        <f>VLOOKUP("SB2",AG53:AG69,1,FALSE)</f>
        <v/>
      </c>
      <c r="AH76" s="125">
        <f>VLOOKUP("SB2",AH53:AH69,1,FALSE)</f>
        <v/>
      </c>
      <c r="AI76" s="67" t="n"/>
      <c r="AJ76" s="67" t="n"/>
      <c r="AK76" s="67" t="n"/>
      <c r="AL76" s="6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</row>
    <row r="77" ht="19.5" customHeight="1">
      <c r="A77" s="67" t="n"/>
      <c r="B77" s="129" t="inlineStr">
        <is>
          <t>AE</t>
        </is>
      </c>
      <c r="C77" s="129" t="n"/>
      <c r="D77" s="125">
        <f>VLOOKUP("AE",D53:D69,1,FALSE)</f>
        <v/>
      </c>
      <c r="E77" s="125">
        <f>VLOOKUP("AE",E53:E69,1,FALSE)</f>
        <v/>
      </c>
      <c r="F77" s="125">
        <f>VLOOKUP("AE",F53:F69,1,FALSE)</f>
        <v/>
      </c>
      <c r="G77" s="125">
        <f>VLOOKUP("AE",G53:G69,1,FALSE)</f>
        <v/>
      </c>
      <c r="H77" s="125">
        <f>VLOOKUP("AE",H53:H69,1,FALSE)</f>
        <v/>
      </c>
      <c r="I77" s="125">
        <f>VLOOKUP("AE",I53:I69,1,FALSE)</f>
        <v/>
      </c>
      <c r="J77" s="125">
        <f>VLOOKUP("AE",J53:J69,1,FALSE)</f>
        <v/>
      </c>
      <c r="K77" s="125">
        <f>VLOOKUP("AE",K53:K69,1,FALSE)</f>
        <v/>
      </c>
      <c r="L77" s="125">
        <f>VLOOKUP("AE",L53:L69,1,FALSE)</f>
        <v/>
      </c>
      <c r="M77" s="125">
        <f>VLOOKUP("AE",M53:M69,1,FALSE)</f>
        <v/>
      </c>
      <c r="N77" s="125">
        <f>VLOOKUP("AE",N53:N69,1,FALSE)</f>
        <v/>
      </c>
      <c r="O77" s="125">
        <f>VLOOKUP("AE",O53:O69,1,FALSE)</f>
        <v/>
      </c>
      <c r="P77" s="125">
        <f>VLOOKUP("AE",P53:P69,1,FALSE)</f>
        <v/>
      </c>
      <c r="Q77" s="125">
        <f>VLOOKUP("AE",Q53:Q69,1,FALSE)</f>
        <v/>
      </c>
      <c r="R77" s="125">
        <f>VLOOKUP("AE",R53:R69,1,FALSE)</f>
        <v/>
      </c>
      <c r="S77" s="125">
        <f>VLOOKUP("AE",S53:S69,1,FALSE)</f>
        <v/>
      </c>
      <c r="T77" s="125">
        <f>VLOOKUP("AE",T53:T69,1,FALSE)</f>
        <v/>
      </c>
      <c r="U77" s="125">
        <f>VLOOKUP("AE",U53:U69,1,FALSE)</f>
        <v/>
      </c>
      <c r="V77" s="125">
        <f>VLOOKUP("AE",V53:V69,1,FALSE)</f>
        <v/>
      </c>
      <c r="W77" s="125">
        <f>VLOOKUP("AE",W53:W69,1,FALSE)</f>
        <v/>
      </c>
      <c r="X77" s="125">
        <f>VLOOKUP("AE",X53:X69,1,FALSE)</f>
        <v/>
      </c>
      <c r="Y77" s="125">
        <f>VLOOKUP("AE",Y53:Y69,1,FALSE)</f>
        <v/>
      </c>
      <c r="Z77" s="125">
        <f>VLOOKUP("AE",Z53:Z69,1,FALSE)</f>
        <v/>
      </c>
      <c r="AA77" s="125">
        <f>VLOOKUP("AE",AA53:AA69,1,FALSE)</f>
        <v/>
      </c>
      <c r="AB77" s="125">
        <f>VLOOKUP("AE",AB53:AB69,1,FALSE)</f>
        <v/>
      </c>
      <c r="AC77" s="125">
        <f>VLOOKUP("AE",AC53:AC69,1,FALSE)</f>
        <v/>
      </c>
      <c r="AD77" s="125">
        <f>VLOOKUP("AE",AD53:AD69,1,FALSE)</f>
        <v/>
      </c>
      <c r="AE77" s="125">
        <f>VLOOKUP("AE",AE53:AE69,1,FALSE)</f>
        <v/>
      </c>
      <c r="AF77" s="125">
        <f>VLOOKUP("AE",AF53:AF69,1,FALSE)</f>
        <v/>
      </c>
      <c r="AG77" s="125">
        <f>VLOOKUP("AE",AG53:AG69,1,FALSE)</f>
        <v/>
      </c>
      <c r="AH77" s="125">
        <f>VLOOKUP("AE",AH53:AH69,1,FALSE)</f>
        <v/>
      </c>
      <c r="AI77" s="67" t="n"/>
      <c r="AJ77" s="67" t="n"/>
      <c r="AK77" s="67" t="n"/>
      <c r="AL77" s="67" t="n"/>
      <c r="AM77" s="77" t="n"/>
      <c r="AN77" s="77" t="n"/>
      <c r="AO77" s="77" t="n"/>
      <c r="AP77" s="77" t="n"/>
      <c r="AQ77" s="77" t="n"/>
      <c r="AR77" s="77" t="n"/>
      <c r="AS77" s="77" t="n"/>
      <c r="AT77" s="77" t="n"/>
      <c r="AU77" s="77" t="n"/>
      <c r="AV77" s="77" t="n"/>
      <c r="AW77" s="77" t="n"/>
      <c r="AX77" s="77" t="n"/>
      <c r="AY77" s="77" t="n"/>
      <c r="AZ77" s="77" t="n"/>
      <c r="BA77" s="77" t="n"/>
      <c r="BB77" s="77" t="n"/>
      <c r="BC77" s="77" t="n"/>
      <c r="BD77" s="77" t="n"/>
      <c r="BE77" s="77" t="n"/>
      <c r="BF77" s="77" t="n"/>
      <c r="BG77" s="77" t="n"/>
      <c r="BH77" s="77" t="n"/>
      <c r="BI77" s="77" t="n"/>
      <c r="BJ77" s="77" t="n"/>
      <c r="BK77" s="77" t="n"/>
      <c r="BL77" s="77" t="n"/>
      <c r="BM77" s="77" t="n"/>
      <c r="BN77" s="77" t="n"/>
      <c r="BO77" s="77" t="n"/>
      <c r="BP77" s="77" t="n"/>
      <c r="BQ77" s="77" t="n"/>
      <c r="BR77" s="77" t="n"/>
    </row>
    <row r="78" ht="19.5" customHeight="1">
      <c r="A78" s="67" t="n"/>
      <c r="B78" s="60" t="inlineStr">
        <is>
          <t>RESERVE</t>
        </is>
      </c>
      <c r="C78" s="60" t="n"/>
      <c r="D78" s="60">
        <f>VLOOKUP("RESERVE",D53:D69,1,FALSE)</f>
        <v/>
      </c>
      <c r="E78" s="60">
        <f>VLOOKUP("RESERVE",E53:E69,1,FALSE)</f>
        <v/>
      </c>
      <c r="F78" s="60">
        <f>VLOOKUP("RESERVE",F53:F69,1,FALSE)</f>
        <v/>
      </c>
      <c r="G78" s="60">
        <f>VLOOKUP("RESERVE",G53:G69,1,FALSE)</f>
        <v/>
      </c>
      <c r="H78" s="60">
        <f>VLOOKUP("RESERVE",H53:H69,1,FALSE)</f>
        <v/>
      </c>
      <c r="I78" s="60">
        <f>VLOOKUP("RESERVE",I53:I69,1,FALSE)</f>
        <v/>
      </c>
      <c r="J78" s="60">
        <f>VLOOKUP("RESERVE",J53:J69,1,FALSE)</f>
        <v/>
      </c>
      <c r="K78" s="60">
        <f>VLOOKUP("RESERVE",K53:K69,1,FALSE)</f>
        <v/>
      </c>
      <c r="L78" s="60">
        <f>VLOOKUP("RESERVE",L53:L69,1,FALSE)</f>
        <v/>
      </c>
      <c r="M78" s="60">
        <f>VLOOKUP("RESERVE",M53:M69,1,FALSE)</f>
        <v/>
      </c>
      <c r="N78" s="60">
        <f>VLOOKUP("RESERVE",N53:N69,1,FALSE)</f>
        <v/>
      </c>
      <c r="O78" s="60">
        <f>VLOOKUP("RESERVE",O53:O69,1,FALSE)</f>
        <v/>
      </c>
      <c r="P78" s="60">
        <f>VLOOKUP("RESERVE",P53:P69,1,FALSE)</f>
        <v/>
      </c>
      <c r="Q78" s="60">
        <f>VLOOKUP("RESERVE",Q53:Q69,1,FALSE)</f>
        <v/>
      </c>
      <c r="R78" s="60">
        <f>VLOOKUP("RESERVE",R53:R69,1,FALSE)</f>
        <v/>
      </c>
      <c r="S78" s="60">
        <f>VLOOKUP("RESERVE",S53:S69,1,FALSE)</f>
        <v/>
      </c>
      <c r="T78" s="60">
        <f>VLOOKUP("RESERVE",T53:T69,1,FALSE)</f>
        <v/>
      </c>
      <c r="U78" s="60">
        <f>VLOOKUP("RESERVE",U53:U69,1,FALSE)</f>
        <v/>
      </c>
      <c r="V78" s="60">
        <f>VLOOKUP("RESERVE",V53:V69,1,FALSE)</f>
        <v/>
      </c>
      <c r="W78" s="60">
        <f>VLOOKUP("RESERVE",W53:W69,1,FALSE)</f>
        <v/>
      </c>
      <c r="X78" s="60">
        <f>VLOOKUP("RESERVE",X53:X69,1,FALSE)</f>
        <v/>
      </c>
      <c r="Y78" s="60">
        <f>VLOOKUP("RESERVE",Y53:Y69,1,FALSE)</f>
        <v/>
      </c>
      <c r="Z78" s="60">
        <f>VLOOKUP("RESERVE",Z53:Z69,1,FALSE)</f>
        <v/>
      </c>
      <c r="AA78" s="60">
        <f>VLOOKUP("RESERVE",AA53:AA69,1,FALSE)</f>
        <v/>
      </c>
      <c r="AB78" s="60">
        <f>VLOOKUP("RESERVE",AB53:AB69,1,FALSE)</f>
        <v/>
      </c>
      <c r="AC78" s="60">
        <f>VLOOKUP("RESERVE",AC53:AC69,1,FALSE)</f>
        <v/>
      </c>
      <c r="AD78" s="60">
        <f>VLOOKUP("RESERVE",AD53:AD69,1,FALSE)</f>
        <v/>
      </c>
      <c r="AE78" s="60">
        <f>VLOOKUP("RESERVE",AE53:AE69,1,FALSE)</f>
        <v/>
      </c>
      <c r="AF78" s="60">
        <f>VLOOKUP("RESERVE",AF53:AF69,1,FALSE)</f>
        <v/>
      </c>
      <c r="AG78" s="60">
        <f>VLOOKUP("RESERVE",AG53:AG69,1,FALSE)</f>
        <v/>
      </c>
      <c r="AH78" s="60">
        <f>VLOOKUP("RESERVE",AH53:AH69,1,FALSE)</f>
        <v/>
      </c>
      <c r="AI78" s="67" t="n"/>
      <c r="AJ78" s="67" t="n"/>
      <c r="AK78" s="67" t="n"/>
      <c r="AL78" s="6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</row>
    <row r="79" ht="19.5" customHeight="1">
      <c r="A79" s="67" t="n"/>
      <c r="B79" s="60" t="inlineStr">
        <is>
          <t>NUMBER OF DM</t>
        </is>
      </c>
      <c r="C79" s="60" t="n"/>
      <c r="D79" s="60">
        <f>COUNTIF(D53:D69,"DM")</f>
        <v/>
      </c>
      <c r="E79" s="60">
        <f>COUNTIF(E53:E69,"DM")</f>
        <v/>
      </c>
      <c r="F79" s="60">
        <f>COUNTIF(F53:F69,"DM")</f>
        <v/>
      </c>
      <c r="G79" s="60">
        <f>COUNTIF(G53:G69,"DM")</f>
        <v/>
      </c>
      <c r="H79" s="60">
        <f>COUNTIF(H53:H69,"DM")</f>
        <v/>
      </c>
      <c r="I79" s="60">
        <f>COUNTIF(I53:I69,"DM")</f>
        <v/>
      </c>
      <c r="J79" s="60">
        <f>COUNTIF(J53:J69,"DM")</f>
        <v/>
      </c>
      <c r="K79" s="60">
        <f>COUNTIF(K53:K69,"DM")</f>
        <v/>
      </c>
      <c r="L79" s="60">
        <f>COUNTIF(L53:L69,"DM")</f>
        <v/>
      </c>
      <c r="M79" s="60">
        <f>COUNTIF(M53:M69,"DM")</f>
        <v/>
      </c>
      <c r="N79" s="60">
        <f>COUNTIF(N53:N69,"DM")</f>
        <v/>
      </c>
      <c r="O79" s="60">
        <f>COUNTIF(O53:O69,"DM")</f>
        <v/>
      </c>
      <c r="P79" s="60">
        <f>COUNTIF(P53:P69,"DM")</f>
        <v/>
      </c>
      <c r="Q79" s="60">
        <f>COUNTIF(Q53:Q69,"DM")</f>
        <v/>
      </c>
      <c r="R79" s="60">
        <f>COUNTIF(R53:R69,"DM")</f>
        <v/>
      </c>
      <c r="S79" s="60">
        <f>COUNTIF(S53:S69,"DM")</f>
        <v/>
      </c>
      <c r="T79" s="60">
        <f>COUNTIF(T53:T69,"DM")</f>
        <v/>
      </c>
      <c r="U79" s="60">
        <f>COUNTIF(U53:U69,"DM")</f>
        <v/>
      </c>
      <c r="V79" s="60">
        <f>COUNTIF(V53:V69,"DM")</f>
        <v/>
      </c>
      <c r="W79" s="60">
        <f>COUNTIF(W53:W69,"DM")</f>
        <v/>
      </c>
      <c r="X79" s="60">
        <f>COUNTIF(X53:X69,"DM")</f>
        <v/>
      </c>
      <c r="Y79" s="60">
        <f>COUNTIF(Y53:Y69,"DM")</f>
        <v/>
      </c>
      <c r="Z79" s="60">
        <f>COUNTIF(Z53:Z69,"DM")</f>
        <v/>
      </c>
      <c r="AA79" s="60">
        <f>COUNTIF(AA53:AA69,"DM")</f>
        <v/>
      </c>
      <c r="AB79" s="60">
        <f>COUNTIF(AB53:AB69,"DM")</f>
        <v/>
      </c>
      <c r="AC79" s="60">
        <f>COUNTIF(AC53:AC69,"DM")</f>
        <v/>
      </c>
      <c r="AD79" s="60">
        <f>COUNTIF(AD53:AD69,"DM")</f>
        <v/>
      </c>
      <c r="AE79" s="60">
        <f>COUNTIF(AE53:AE69,"DM")</f>
        <v/>
      </c>
      <c r="AF79" s="60">
        <f>COUNTIF(AF53:AF69,"DM")</f>
        <v/>
      </c>
      <c r="AG79" s="60">
        <f>COUNTIF(AG53:AG69,"DM")</f>
        <v/>
      </c>
      <c r="AH79" s="60">
        <f>COUNTIF(AH53:AH69,"DM")</f>
        <v/>
      </c>
      <c r="AI79" s="67" t="n"/>
      <c r="AJ79" s="67" t="n"/>
      <c r="AK79" s="67" t="n"/>
      <c r="AL79" s="67" t="n"/>
      <c r="AM79" s="77" t="n"/>
      <c r="AN79" s="77" t="n"/>
      <c r="AO79" s="77" t="n"/>
      <c r="AP79" s="77" t="n"/>
      <c r="AQ79" s="77" t="n"/>
      <c r="AR79" s="77" t="n"/>
      <c r="AS79" s="77" t="n"/>
      <c r="AT79" s="77" t="n"/>
      <c r="AU79" s="77" t="n"/>
      <c r="AV79" s="77" t="n"/>
      <c r="AW79" s="77" t="n"/>
      <c r="AX79" s="77" t="n"/>
      <c r="AY79" s="77" t="n"/>
      <c r="AZ79" s="77" t="n"/>
      <c r="BA79" s="77" t="n"/>
      <c r="BB79" s="77" t="n"/>
      <c r="BC79" s="77" t="n"/>
      <c r="BD79" s="77" t="n"/>
      <c r="BE79" s="77" t="n"/>
      <c r="BF79" s="77" t="n"/>
      <c r="BG79" s="77" t="n"/>
      <c r="BH79" s="77" t="n"/>
      <c r="BI79" s="77" t="n"/>
      <c r="BJ79" s="77" t="n"/>
      <c r="BK79" s="77" t="n"/>
      <c r="BL79" s="77" t="n"/>
      <c r="BM79" s="77" t="n"/>
      <c r="BN79" s="77" t="n"/>
      <c r="BO79" s="77" t="n"/>
      <c r="BP79" s="77" t="n"/>
      <c r="BQ79" s="77" t="n"/>
      <c r="BR79" s="77" t="n"/>
    </row>
    <row r="80" ht="19.5" customHeight="1">
      <c r="A80" s="159" t="n"/>
      <c r="B80" s="60" t="inlineStr">
        <is>
          <t>NUMBER OF SB</t>
        </is>
      </c>
      <c r="C80" s="60" t="n"/>
      <c r="D80" s="60">
        <f>COUNTIF(D53:D69,"SB1")+COUNTIF(D53:D69,"SB2")</f>
        <v/>
      </c>
      <c r="E80" s="60">
        <f>COUNTIF(E53:E69,"SB1")+COUNTIF(E53:E69,"SB2")</f>
        <v/>
      </c>
      <c r="F80" s="60">
        <f>COUNTIF(F53:F69,"SB1")+COUNTIF(F53:F69,"SB2")</f>
        <v/>
      </c>
      <c r="G80" s="60">
        <f>COUNTIF(G53:G69,"SB1")+COUNTIF(G53:G69,"SB2")</f>
        <v/>
      </c>
      <c r="H80" s="60">
        <f>COUNTIF(H53:H69,"SB1")+COUNTIF(H53:H69,"SB2")</f>
        <v/>
      </c>
      <c r="I80" s="60">
        <f>COUNTIF(I53:I69,"SB1")+COUNTIF(I53:I69,"SB2")</f>
        <v/>
      </c>
      <c r="J80" s="60">
        <f>COUNTIF(J53:J69,"SB1")+COUNTIF(J53:J69,"SB2")</f>
        <v/>
      </c>
      <c r="K80" s="60">
        <f>COUNTIF(K53:K69,"SB1")+COUNTIF(K53:K69,"SB2")</f>
        <v/>
      </c>
      <c r="L80" s="60">
        <f>COUNTIF(L53:L69,"SB1")+COUNTIF(L53:L69,"SB2")</f>
        <v/>
      </c>
      <c r="M80" s="60">
        <f>COUNTIF(M53:M69,"SB1")+COUNTIF(M53:M69,"SB2")</f>
        <v/>
      </c>
      <c r="N80" s="60">
        <f>COUNTIF(N53:N69,"SB1")+COUNTIF(N53:N69,"SB2")</f>
        <v/>
      </c>
      <c r="O80" s="60">
        <f>COUNTIF(O53:O69,"SB1")+COUNTIF(O53:O69,"SB2")</f>
        <v/>
      </c>
      <c r="P80" s="60">
        <f>COUNTIF(P53:P69,"SB1")+COUNTIF(P53:P69,"SB2")</f>
        <v/>
      </c>
      <c r="Q80" s="60">
        <f>COUNTIF(Q53:Q69,"SB1")+COUNTIF(Q53:Q69,"SB2")</f>
        <v/>
      </c>
      <c r="R80" s="60">
        <f>COUNTIF(R53:R69,"SB1")+COUNTIF(R53:R69,"SB2")</f>
        <v/>
      </c>
      <c r="S80" s="60">
        <f>COUNTIF(S53:S69,"SB1")+COUNTIF(S53:S69,"SB2")</f>
        <v/>
      </c>
      <c r="T80" s="60">
        <f>COUNTIF(T53:T69,"SB1")+COUNTIF(T53:T69,"SB2")</f>
        <v/>
      </c>
      <c r="U80" s="60">
        <f>COUNTIF(U53:U69,"SB1")+COUNTIF(U53:U69,"SB2")</f>
        <v/>
      </c>
      <c r="V80" s="60">
        <f>COUNTIF(V53:V69,"SB1")+COUNTIF(V53:V69,"SB2")</f>
        <v/>
      </c>
      <c r="W80" s="60">
        <f>COUNTIF(W53:W69,"SB1")+COUNTIF(W53:W69,"SB2")</f>
        <v/>
      </c>
      <c r="X80" s="60">
        <f>COUNTIF(X53:X69,"SB1")+COUNTIF(X53:X69,"SB2")</f>
        <v/>
      </c>
      <c r="Y80" s="60">
        <f>COUNTIF(Y53:Y69,"SB1")+COUNTIF(Y53:Y69,"SB2")</f>
        <v/>
      </c>
      <c r="Z80" s="60">
        <f>COUNTIF(Z53:Z69,"SB1")+COUNTIF(Z53:Z69,"SB2")</f>
        <v/>
      </c>
      <c r="AA80" s="60">
        <f>COUNTIF(AA53:AA69,"SB1")+COUNTIF(AA53:AA69,"SB2")</f>
        <v/>
      </c>
      <c r="AB80" s="60">
        <f>COUNTIF(AB53:AB69,"SB1")+COUNTIF(AB53:AB69,"SB2")</f>
        <v/>
      </c>
      <c r="AC80" s="60">
        <f>COUNTIF(AC53:AC69,"SB1")+COUNTIF(AC53:AC69,"SB2")</f>
        <v/>
      </c>
      <c r="AD80" s="60">
        <f>COUNTIF(AD53:AD69,"SB1")+COUNTIF(AD53:AD69,"SB2")</f>
        <v/>
      </c>
      <c r="AE80" s="60">
        <f>COUNTIF(AE53:AE69,"SB1")+COUNTIF(AE53:AE69,"SB2")</f>
        <v/>
      </c>
      <c r="AF80" s="60">
        <f>COUNTIF(AF53:AF69,"SB1")+COUNTIF(AF53:AF69,"SB2")</f>
        <v/>
      </c>
      <c r="AG80" s="60">
        <f>COUNTIF(AG53:AG69,"SB1")+COUNTIF(AG53:AG69,"SB2")</f>
        <v/>
      </c>
      <c r="AH80" s="60">
        <f>COUNTIF(AH53:AH69,"SB1")+COUNTIF(AH53:AH69,"SB2")</f>
        <v/>
      </c>
      <c r="AI80" s="159" t="n"/>
      <c r="AJ80" s="159" t="n"/>
      <c r="AK80" s="159" t="n"/>
      <c r="AL80" s="159" t="n"/>
      <c r="AM80" s="160" t="n"/>
      <c r="AN80" s="160" t="n"/>
      <c r="AO80" s="160" t="n"/>
      <c r="AP80" s="160" t="n"/>
      <c r="AQ80" s="160" t="n"/>
      <c r="AR80" s="160" t="n"/>
      <c r="AS80" s="160" t="n"/>
      <c r="AT80" s="160" t="n"/>
      <c r="AU80" s="160" t="n"/>
      <c r="AV80" s="160" t="n"/>
      <c r="AW80" s="160" t="n"/>
      <c r="AX80" s="160" t="n"/>
      <c r="AY80" s="160" t="n"/>
      <c r="AZ80" s="160" t="n"/>
      <c r="BA80" s="160" t="n"/>
      <c r="BB80" s="160" t="n"/>
      <c r="BC80" s="160" t="n"/>
      <c r="BD80" s="160" t="n"/>
      <c r="BE80" s="160" t="n"/>
      <c r="BF80" s="160" t="n"/>
      <c r="BG80" s="160" t="n"/>
      <c r="BH80" s="160" t="n"/>
      <c r="BI80" s="160" t="n"/>
      <c r="BJ80" s="160" t="n"/>
      <c r="BK80" s="160" t="n"/>
      <c r="BL80" s="160" t="n"/>
      <c r="BM80" s="160" t="n"/>
      <c r="BN80" s="160" t="n"/>
      <c r="BO80" s="160" t="n"/>
      <c r="BP80" s="160" t="n"/>
      <c r="BQ80" s="160" t="n"/>
      <c r="BR80" s="160" t="n"/>
    </row>
    <row r="81" ht="19.5" customHeight="1">
      <c r="A81" s="159" t="n"/>
      <c r="B81" s="60" t="inlineStr">
        <is>
          <t>NUMBER OF CS</t>
        </is>
      </c>
      <c r="C81" s="60" t="n"/>
      <c r="D81" s="60">
        <f>COUNTIF(D53:D69,"CS1")</f>
        <v/>
      </c>
      <c r="E81" s="60">
        <f>COUNTIF(E53:E69,"CS1")</f>
        <v/>
      </c>
      <c r="F81" s="60">
        <f>COUNTIF(F53:F69,"CS1")</f>
        <v/>
      </c>
      <c r="G81" s="60">
        <f>COUNTIF(G53:G69,"CS1")</f>
        <v/>
      </c>
      <c r="H81" s="60">
        <f>COUNTIF(H53:H69,"CS1")</f>
        <v/>
      </c>
      <c r="I81" s="60">
        <f>COUNTIF(I53:I69,"CS1")</f>
        <v/>
      </c>
      <c r="J81" s="60">
        <f>COUNTIF(J53:J69,"CS1")</f>
        <v/>
      </c>
      <c r="K81" s="60">
        <f>COUNTIF(K53:K69,"CS1")</f>
        <v/>
      </c>
      <c r="L81" s="60">
        <f>COUNTIF(L53:L69,"CS1")</f>
        <v/>
      </c>
      <c r="M81" s="60">
        <f>COUNTIF(M53:M69,"CS1")</f>
        <v/>
      </c>
      <c r="N81" s="60">
        <f>COUNTIF(N53:N69,"CS1")</f>
        <v/>
      </c>
      <c r="O81" s="60">
        <f>COUNTIF(O53:O69,"CS1")</f>
        <v/>
      </c>
      <c r="P81" s="60">
        <f>COUNTIF(P53:P69,"CS1")</f>
        <v/>
      </c>
      <c r="Q81" s="60">
        <f>COUNTIF(Q53:Q69,"CS1")</f>
        <v/>
      </c>
      <c r="R81" s="60">
        <f>COUNTIF(R53:R69,"CS1")</f>
        <v/>
      </c>
      <c r="S81" s="60">
        <f>COUNTIF(S53:S69,"CS1")</f>
        <v/>
      </c>
      <c r="T81" s="60">
        <f>COUNTIF(T53:T69,"CS1")</f>
        <v/>
      </c>
      <c r="U81" s="60">
        <f>COUNTIF(U53:U69,"CS1")</f>
        <v/>
      </c>
      <c r="V81" s="60">
        <f>COUNTIF(V53:V69,"CS1")</f>
        <v/>
      </c>
      <c r="W81" s="60">
        <f>COUNTIF(W53:W69,"CS1")</f>
        <v/>
      </c>
      <c r="X81" s="60">
        <f>COUNTIF(X53:X69,"CS1")</f>
        <v/>
      </c>
      <c r="Y81" s="60">
        <f>COUNTIF(Y53:Y69,"CS1")</f>
        <v/>
      </c>
      <c r="Z81" s="60">
        <f>COUNTIF(Z53:Z69,"CS1")</f>
        <v/>
      </c>
      <c r="AA81" s="60">
        <f>COUNTIF(AA53:AA69,"CS1")</f>
        <v/>
      </c>
      <c r="AB81" s="60">
        <f>COUNTIF(AB53:AB69,"CS1")</f>
        <v/>
      </c>
      <c r="AC81" s="60">
        <f>COUNTIF(AC53:AC69,"CS1")</f>
        <v/>
      </c>
      <c r="AD81" s="60">
        <f>COUNTIF(AD53:AD69,"CS1")</f>
        <v/>
      </c>
      <c r="AE81" s="60">
        <f>COUNTIF(AE53:AE69,"CS1")</f>
        <v/>
      </c>
      <c r="AF81" s="60">
        <f>COUNTIF(AF53:AF69,"CS1")</f>
        <v/>
      </c>
      <c r="AG81" s="60">
        <f>COUNTIF(AG53:AG69,"CS1")</f>
        <v/>
      </c>
      <c r="AH81" s="60">
        <f>COUNTIF(AH53:AH69,"CS1")</f>
        <v/>
      </c>
      <c r="AI81" s="159" t="n"/>
      <c r="AJ81" s="159" t="n"/>
      <c r="AK81" s="159" t="n"/>
      <c r="AL81" s="159" t="n"/>
      <c r="AM81" s="160" t="n"/>
      <c r="AN81" s="160" t="n"/>
      <c r="AO81" s="160" t="n"/>
      <c r="AP81" s="160" t="n"/>
      <c r="AQ81" s="160" t="n"/>
      <c r="AR81" s="160" t="n"/>
      <c r="AS81" s="160" t="n"/>
      <c r="AT81" s="160" t="n"/>
      <c r="AU81" s="160" t="n"/>
      <c r="AV81" s="160" t="n"/>
      <c r="AW81" s="160" t="n"/>
      <c r="AX81" s="160" t="n"/>
      <c r="AY81" s="160" t="n"/>
      <c r="AZ81" s="160" t="n"/>
      <c r="BA81" s="160" t="n"/>
      <c r="BB81" s="160" t="n"/>
      <c r="BC81" s="160" t="n"/>
      <c r="BD81" s="160" t="n"/>
      <c r="BE81" s="160" t="n"/>
      <c r="BF81" s="160" t="n"/>
      <c r="BG81" s="160" t="n"/>
      <c r="BH81" s="160" t="n"/>
      <c r="BI81" s="160" t="n"/>
      <c r="BJ81" s="160" t="n"/>
      <c r="BK81" s="160" t="n"/>
      <c r="BL81" s="160" t="n"/>
      <c r="BM81" s="160" t="n"/>
      <c r="BN81" s="160" t="n"/>
      <c r="BO81" s="160" t="n"/>
      <c r="BP81" s="160" t="n"/>
      <c r="BQ81" s="160" t="n"/>
      <c r="BR81" s="160" t="n"/>
    </row>
    <row r="82" ht="19.5" customHeight="1">
      <c r="A82" s="159" t="n"/>
      <c r="B82" s="60" t="inlineStr">
        <is>
          <t>NUMBER OF AE</t>
        </is>
      </c>
      <c r="C82" s="60" t="n"/>
      <c r="D82" s="60">
        <f>COUNTIF(D53:D69,"AE")</f>
        <v/>
      </c>
      <c r="E82" s="60">
        <f>COUNTIF(E53:E69,"AE")</f>
        <v/>
      </c>
      <c r="F82" s="60">
        <f>COUNTIF(F53:F69,"AE")</f>
        <v/>
      </c>
      <c r="G82" s="60">
        <f>COUNTIF(G53:G69,"AE")</f>
        <v/>
      </c>
      <c r="H82" s="60">
        <f>COUNTIF(H53:H69,"AE")</f>
        <v/>
      </c>
      <c r="I82" s="60">
        <f>COUNTIF(I53:I69,"AE")</f>
        <v/>
      </c>
      <c r="J82" s="60">
        <f>COUNTIF(J53:J69,"AE")</f>
        <v/>
      </c>
      <c r="K82" s="60">
        <f>COUNTIF(K53:K69,"AE")</f>
        <v/>
      </c>
      <c r="L82" s="60">
        <f>COUNTIF(L53:L69,"AE")</f>
        <v/>
      </c>
      <c r="M82" s="60">
        <f>COUNTIF(M53:M69,"AE")</f>
        <v/>
      </c>
      <c r="N82" s="60">
        <f>COUNTIF(N53:N69,"AE")</f>
        <v/>
      </c>
      <c r="O82" s="60">
        <f>COUNTIF(O53:O69,"AE")</f>
        <v/>
      </c>
      <c r="P82" s="60">
        <f>COUNTIF(P53:P69,"AE")</f>
        <v/>
      </c>
      <c r="Q82" s="60">
        <f>COUNTIF(Q53:Q69,"AE")</f>
        <v/>
      </c>
      <c r="R82" s="60">
        <f>COUNTIF(R53:R69,"AE")</f>
        <v/>
      </c>
      <c r="S82" s="60">
        <f>COUNTIF(S53:S69,"AE")</f>
        <v/>
      </c>
      <c r="T82" s="60">
        <f>COUNTIF(T53:T69,"AE")</f>
        <v/>
      </c>
      <c r="U82" s="60">
        <f>COUNTIF(U53:U69,"AE")</f>
        <v/>
      </c>
      <c r="V82" s="60">
        <f>COUNTIF(V53:V69,"AE")</f>
        <v/>
      </c>
      <c r="W82" s="60">
        <f>COUNTIF(W53:W69,"AE")</f>
        <v/>
      </c>
      <c r="X82" s="60">
        <f>COUNTIF(X53:X69,"AE")</f>
        <v/>
      </c>
      <c r="Y82" s="60">
        <f>COUNTIF(Y53:Y69,"AE")</f>
        <v/>
      </c>
      <c r="Z82" s="60">
        <f>COUNTIF(Z53:Z69,"AE")</f>
        <v/>
      </c>
      <c r="AA82" s="60">
        <f>COUNTIF(AA53:AA69,"AE")</f>
        <v/>
      </c>
      <c r="AB82" s="60">
        <f>COUNTIF(AB53:AB69,"AE")</f>
        <v/>
      </c>
      <c r="AC82" s="60">
        <f>COUNTIF(AC53:AC69,"AE")</f>
        <v/>
      </c>
      <c r="AD82" s="60">
        <f>COUNTIF(AD53:AD69,"AE")</f>
        <v/>
      </c>
      <c r="AE82" s="60">
        <f>COUNTIF(AE53:AE69,"AE")</f>
        <v/>
      </c>
      <c r="AF82" s="60">
        <f>COUNTIF(AF53:AF69,"AE")</f>
        <v/>
      </c>
      <c r="AG82" s="60">
        <f>COUNTIF(AG53:AG69,"AE")</f>
        <v/>
      </c>
      <c r="AH82" s="60">
        <f>COUNTIF(AH53:AH69,"AE")</f>
        <v/>
      </c>
      <c r="AI82" s="159" t="n"/>
      <c r="AJ82" s="159" t="n"/>
      <c r="AK82" s="159" t="n"/>
      <c r="AL82" s="159" t="n"/>
      <c r="AM82" s="160" t="n"/>
      <c r="AN82" s="160" t="n"/>
      <c r="AO82" s="160" t="n"/>
      <c r="AP82" s="160" t="n"/>
      <c r="AQ82" s="160" t="n"/>
      <c r="AR82" s="160" t="n"/>
      <c r="AS82" s="160" t="n"/>
      <c r="AT82" s="160" t="n"/>
      <c r="AU82" s="160" t="n"/>
      <c r="AV82" s="160" t="n"/>
      <c r="AW82" s="160" t="n"/>
      <c r="AX82" s="160" t="n"/>
      <c r="AY82" s="160" t="n"/>
      <c r="AZ82" s="160" t="n"/>
      <c r="BA82" s="160" t="n"/>
      <c r="BB82" s="160" t="n"/>
      <c r="BC82" s="160" t="n"/>
      <c r="BD82" s="160" t="n"/>
      <c r="BE82" s="160" t="n"/>
      <c r="BF82" s="160" t="n"/>
      <c r="BG82" s="160" t="n"/>
      <c r="BH82" s="160" t="n"/>
      <c r="BI82" s="160" t="n"/>
      <c r="BJ82" s="160" t="n"/>
      <c r="BK82" s="160" t="n"/>
      <c r="BL82" s="160" t="n"/>
      <c r="BM82" s="160" t="n"/>
      <c r="BN82" s="160" t="n"/>
      <c r="BO82" s="160" t="n"/>
      <c r="BP82" s="160" t="n"/>
      <c r="BQ82" s="160" t="n"/>
      <c r="BR82" s="160" t="n"/>
    </row>
    <row r="83" ht="19.5" customHeight="1">
      <c r="A83" s="159" t="n"/>
      <c r="B83" s="60" t="inlineStr">
        <is>
          <t>TOTAL DUTY TEAM STRENGTH</t>
        </is>
      </c>
      <c r="C83" s="161" t="n"/>
      <c r="D83" s="60">
        <f>SUM(D79:D82)</f>
        <v/>
      </c>
      <c r="E83" s="60">
        <f>SUM(E79:E82)</f>
        <v/>
      </c>
      <c r="F83" s="60">
        <f>SUM(F79:F82)</f>
        <v/>
      </c>
      <c r="G83" s="60">
        <f>SUM(G79:G82)</f>
        <v/>
      </c>
      <c r="H83" s="60">
        <f>SUM(H79:H82)</f>
        <v/>
      </c>
      <c r="I83" s="60">
        <f>SUM(I79:I82)</f>
        <v/>
      </c>
      <c r="J83" s="60">
        <f>SUM(J79:J82)</f>
        <v/>
      </c>
      <c r="K83" s="60">
        <f>SUM(K79:K82)</f>
        <v/>
      </c>
      <c r="L83" s="60">
        <f>SUM(L79:L82)</f>
        <v/>
      </c>
      <c r="M83" s="60">
        <f>SUM(M79:M82)</f>
        <v/>
      </c>
      <c r="N83" s="60">
        <f>SUM(N79:N82)</f>
        <v/>
      </c>
      <c r="O83" s="60">
        <f>SUM(O79:O82)</f>
        <v/>
      </c>
      <c r="P83" s="60">
        <f>SUM(P79:P82)</f>
        <v/>
      </c>
      <c r="Q83" s="60">
        <f>SUM(Q79:Q82)</f>
        <v/>
      </c>
      <c r="R83" s="60">
        <f>SUM(R79:R82)</f>
        <v/>
      </c>
      <c r="S83" s="60">
        <f>SUM(S79:S82)</f>
        <v/>
      </c>
      <c r="T83" s="60">
        <f>SUM(T79:T82)</f>
        <v/>
      </c>
      <c r="U83" s="60">
        <f>SUM(U79:U82)</f>
        <v/>
      </c>
      <c r="V83" s="60">
        <f>SUM(V79:V82)</f>
        <v/>
      </c>
      <c r="W83" s="60">
        <f>SUM(W79:W82)</f>
        <v/>
      </c>
      <c r="X83" s="60">
        <f>SUM(X79:X82)</f>
        <v/>
      </c>
      <c r="Y83" s="60">
        <f>SUM(Y79:Y82)</f>
        <v/>
      </c>
      <c r="Z83" s="60">
        <f>SUM(Z79:Z82)</f>
        <v/>
      </c>
      <c r="AA83" s="60">
        <f>SUM(AA79:AA82)</f>
        <v/>
      </c>
      <c r="AB83" s="60">
        <f>SUM(AB79:AB82)</f>
        <v/>
      </c>
      <c r="AC83" s="60">
        <f>SUM(AC79:AC82)</f>
        <v/>
      </c>
      <c r="AD83" s="60">
        <f>SUM(AD79:AD82)</f>
        <v/>
      </c>
      <c r="AE83" s="60">
        <f>SUM(AE79:AE82)</f>
        <v/>
      </c>
      <c r="AF83" s="60">
        <f>SUM(AF79:AF82)</f>
        <v/>
      </c>
      <c r="AG83" s="60">
        <f>SUM(AG79:AG82)</f>
        <v/>
      </c>
      <c r="AH83" s="60">
        <f>SUM(AH79:AH82)</f>
        <v/>
      </c>
      <c r="AI83" s="159" t="n"/>
      <c r="AJ83" s="159" t="n"/>
      <c r="AK83" s="159" t="n"/>
      <c r="AL83" s="159" t="n"/>
      <c r="AM83" s="160" t="n"/>
      <c r="AN83" s="160" t="n"/>
      <c r="AO83" s="160" t="n"/>
      <c r="AP83" s="160" t="n"/>
      <c r="AQ83" s="160" t="n"/>
      <c r="AR83" s="160" t="n"/>
      <c r="AS83" s="160" t="n"/>
      <c r="AT83" s="160" t="n"/>
      <c r="AU83" s="160" t="n"/>
      <c r="AV83" s="160" t="n"/>
      <c r="AW83" s="160" t="n"/>
      <c r="AX83" s="160" t="n"/>
      <c r="AY83" s="160" t="n"/>
      <c r="AZ83" s="160" t="n"/>
      <c r="BA83" s="160" t="n"/>
      <c r="BB83" s="160" t="n"/>
      <c r="BC83" s="160" t="n"/>
      <c r="BD83" s="160" t="n"/>
      <c r="BE83" s="160" t="n"/>
      <c r="BF83" s="160" t="n"/>
      <c r="BG83" s="160" t="n"/>
      <c r="BH83" s="160" t="n"/>
      <c r="BI83" s="160" t="n"/>
      <c r="BJ83" s="160" t="n"/>
      <c r="BK83" s="160" t="n"/>
      <c r="BL83" s="160" t="n"/>
      <c r="BM83" s="160" t="n"/>
      <c r="BN83" s="160" t="n"/>
      <c r="BO83" s="160" t="n"/>
      <c r="BP83" s="160" t="n"/>
      <c r="BQ83" s="160" t="n"/>
      <c r="BR83" s="160" t="n"/>
    </row>
    <row r="84" ht="19.5" customHeight="1">
      <c r="A84" s="159" t="n"/>
      <c r="B84" s="161" t="n"/>
      <c r="C84" s="161" t="n"/>
      <c r="D84" s="161" t="n"/>
      <c r="E84" s="161" t="n"/>
      <c r="F84" s="161" t="n"/>
      <c r="G84" s="161" t="n"/>
      <c r="H84" s="161" t="n"/>
      <c r="I84" s="161" t="n"/>
      <c r="J84" s="161" t="n"/>
      <c r="K84" s="161" t="n"/>
      <c r="L84" s="161" t="n"/>
      <c r="M84" s="161" t="n"/>
      <c r="N84" s="161" t="n"/>
      <c r="O84" s="161" t="n"/>
      <c r="P84" s="161" t="n"/>
      <c r="Q84" s="161" t="n"/>
      <c r="R84" s="161" t="n"/>
      <c r="S84" s="161" t="n"/>
      <c r="T84" s="161" t="n"/>
      <c r="U84" s="161" t="n"/>
      <c r="V84" s="161" t="n"/>
      <c r="W84" s="161" t="n"/>
      <c r="X84" s="161" t="n"/>
      <c r="Y84" s="161" t="n"/>
      <c r="Z84" s="161" t="n"/>
      <c r="AA84" s="161" t="n"/>
      <c r="AB84" s="161" t="n"/>
      <c r="AC84" s="161" t="n"/>
      <c r="AD84" s="161" t="n"/>
      <c r="AE84" s="161" t="n"/>
      <c r="AF84" s="161" t="n"/>
      <c r="AG84" s="161" t="n"/>
      <c r="AH84" s="161" t="n"/>
      <c r="AI84" s="159" t="n"/>
      <c r="AJ84" s="159" t="n"/>
      <c r="AK84" s="159" t="n"/>
      <c r="AL84" s="159" t="n"/>
      <c r="AM84" s="160" t="n"/>
      <c r="AN84" s="160" t="n"/>
      <c r="AO84" s="160" t="n"/>
      <c r="AP84" s="160" t="n"/>
      <c r="AQ84" s="160" t="n"/>
      <c r="AR84" s="160" t="n"/>
      <c r="AS84" s="160" t="n"/>
      <c r="AT84" s="160" t="n"/>
      <c r="AU84" s="160" t="n"/>
      <c r="AV84" s="160" t="n"/>
      <c r="AW84" s="160" t="n"/>
      <c r="AX84" s="160" t="n"/>
      <c r="AY84" s="160" t="n"/>
      <c r="AZ84" s="160" t="n"/>
      <c r="BA84" s="160" t="n"/>
      <c r="BB84" s="160" t="n"/>
      <c r="BC84" s="160" t="n"/>
      <c r="BD84" s="160" t="n"/>
      <c r="BE84" s="160" t="n"/>
      <c r="BF84" s="160" t="n"/>
      <c r="BG84" s="160" t="n"/>
      <c r="BH84" s="160" t="n"/>
      <c r="BI84" s="160" t="n"/>
      <c r="BJ84" s="160" t="n"/>
      <c r="BK84" s="160" t="n"/>
      <c r="BL84" s="160" t="n"/>
      <c r="BM84" s="160" t="n"/>
      <c r="BN84" s="160" t="n"/>
      <c r="BO84" s="160" t="n"/>
      <c r="BP84" s="160" t="n"/>
      <c r="BQ84" s="160" t="n"/>
      <c r="BR84" s="160" t="n"/>
    </row>
    <row r="85" ht="19.5" customHeight="1">
      <c r="A85" s="159" t="n"/>
      <c r="B85" s="161" t="n"/>
      <c r="C85" s="161" t="n"/>
      <c r="D85" s="161" t="n"/>
      <c r="E85" s="161" t="n"/>
      <c r="F85" s="161" t="n"/>
      <c r="G85" s="161" t="n"/>
      <c r="H85" s="161" t="n"/>
      <c r="I85" s="161" t="n"/>
      <c r="J85" s="161" t="n"/>
      <c r="K85" s="161" t="n"/>
      <c r="L85" s="161" t="n"/>
      <c r="M85" s="161" t="n"/>
      <c r="N85" s="161" t="n"/>
      <c r="O85" s="161" t="n"/>
      <c r="P85" s="161" t="n"/>
      <c r="Q85" s="161" t="n"/>
      <c r="R85" s="161" t="n"/>
      <c r="S85" s="161" t="n"/>
      <c r="T85" s="161" t="n"/>
      <c r="U85" s="161" t="n"/>
      <c r="V85" s="161" t="n"/>
      <c r="W85" s="161" t="n"/>
      <c r="X85" s="161" t="n"/>
      <c r="Y85" s="161" t="n"/>
      <c r="Z85" s="161" t="n"/>
      <c r="AA85" s="161" t="n"/>
      <c r="AB85" s="161" t="n"/>
      <c r="AC85" s="161" t="n"/>
      <c r="AD85" s="161" t="n"/>
      <c r="AE85" s="161" t="n"/>
      <c r="AF85" s="161" t="n"/>
      <c r="AG85" s="161" t="n"/>
      <c r="AH85" s="161" t="n"/>
      <c r="AI85" s="159" t="n"/>
      <c r="AJ85" s="159" t="n"/>
      <c r="AK85" s="159" t="n"/>
      <c r="AL85" s="159" t="n"/>
      <c r="AM85" s="160" t="n"/>
      <c r="AN85" s="160" t="n"/>
      <c r="AO85" s="160" t="n"/>
      <c r="AP85" s="160" t="n"/>
      <c r="AQ85" s="160" t="n"/>
      <c r="AR85" s="160" t="n"/>
      <c r="AS85" s="160" t="n"/>
      <c r="AT85" s="160" t="n"/>
      <c r="AU85" s="160" t="n"/>
      <c r="AV85" s="160" t="n"/>
      <c r="AW85" s="160" t="n"/>
      <c r="AX85" s="160" t="n"/>
      <c r="AY85" s="160" t="n"/>
      <c r="AZ85" s="160" t="n"/>
      <c r="BA85" s="160" t="n"/>
      <c r="BB85" s="160" t="n"/>
      <c r="BC85" s="160" t="n"/>
      <c r="BD85" s="160" t="n"/>
      <c r="BE85" s="160" t="n"/>
      <c r="BF85" s="160" t="n"/>
      <c r="BG85" s="160" t="n"/>
      <c r="BH85" s="160" t="n"/>
      <c r="BI85" s="160" t="n"/>
      <c r="BJ85" s="160" t="n"/>
      <c r="BK85" s="160" t="n"/>
      <c r="BL85" s="160" t="n"/>
      <c r="BM85" s="160" t="n"/>
      <c r="BN85" s="160" t="n"/>
      <c r="BO85" s="160" t="n"/>
      <c r="BP85" s="160" t="n"/>
      <c r="BQ85" s="160" t="n"/>
      <c r="BR85" s="160" t="n"/>
    </row>
    <row r="86" ht="19.5" customHeight="1">
      <c r="A86" s="159" t="n"/>
      <c r="B86" s="161" t="n"/>
      <c r="C86" s="161" t="n"/>
      <c r="D86" s="161" t="n"/>
      <c r="E86" s="161" t="n"/>
      <c r="F86" s="161" t="n"/>
      <c r="G86" s="161" t="n"/>
      <c r="H86" s="161" t="n"/>
      <c r="I86" s="161" t="n"/>
      <c r="J86" s="161" t="n"/>
      <c r="K86" s="161" t="n"/>
      <c r="L86" s="161" t="n"/>
      <c r="M86" s="161" t="n"/>
      <c r="N86" s="161" t="n"/>
      <c r="O86" s="161" t="n"/>
      <c r="P86" s="161" t="n"/>
      <c r="Q86" s="161" t="n"/>
      <c r="R86" s="161" t="n"/>
      <c r="S86" s="161" t="n"/>
      <c r="T86" s="161" t="n"/>
      <c r="U86" s="161" t="n"/>
      <c r="V86" s="161" t="n"/>
      <c r="W86" s="161" t="n"/>
      <c r="X86" s="161" t="n"/>
      <c r="Y86" s="161" t="n"/>
      <c r="Z86" s="161" t="n"/>
      <c r="AA86" s="161" t="n"/>
      <c r="AB86" s="161" t="n"/>
      <c r="AC86" s="161" t="n"/>
      <c r="AD86" s="161" t="n"/>
      <c r="AE86" s="161" t="n"/>
      <c r="AF86" s="161" t="n"/>
      <c r="AG86" s="161" t="n"/>
      <c r="AH86" s="161" t="n"/>
      <c r="AI86" s="159" t="n"/>
      <c r="AJ86" s="159" t="n"/>
      <c r="AK86" s="159" t="n"/>
      <c r="AL86" s="159" t="n"/>
      <c r="AM86" s="160" t="n"/>
      <c r="AN86" s="160" t="n"/>
      <c r="AO86" s="160" t="n"/>
      <c r="AP86" s="160" t="n"/>
      <c r="AQ86" s="160" t="n"/>
      <c r="AR86" s="160" t="n"/>
      <c r="AS86" s="160" t="n"/>
      <c r="AT86" s="160" t="n"/>
      <c r="AU86" s="160" t="n"/>
      <c r="AV86" s="160" t="n"/>
      <c r="AW86" s="160" t="n"/>
      <c r="AX86" s="160" t="n"/>
      <c r="AY86" s="160" t="n"/>
      <c r="AZ86" s="160" t="n"/>
      <c r="BA86" s="160" t="n"/>
      <c r="BB86" s="160" t="n"/>
      <c r="BC86" s="160" t="n"/>
      <c r="BD86" s="160" t="n"/>
      <c r="BE86" s="160" t="n"/>
      <c r="BF86" s="160" t="n"/>
      <c r="BG86" s="160" t="n"/>
      <c r="BH86" s="160" t="n"/>
      <c r="BI86" s="160" t="n"/>
      <c r="BJ86" s="160" t="n"/>
      <c r="BK86" s="160" t="n"/>
      <c r="BL86" s="160" t="n"/>
      <c r="BM86" s="160" t="n"/>
      <c r="BN86" s="160" t="n"/>
      <c r="BO86" s="160" t="n"/>
      <c r="BP86" s="160" t="n"/>
      <c r="BQ86" s="160" t="n"/>
      <c r="BR86" s="160" t="n"/>
    </row>
    <row r="87" ht="19.5" customHeight="1">
      <c r="A87" s="159" t="n"/>
      <c r="B87" s="161" t="n"/>
      <c r="C87" s="161" t="n"/>
      <c r="D87" s="161" t="n"/>
      <c r="E87" s="161" t="n"/>
      <c r="F87" s="161" t="n"/>
      <c r="G87" s="161" t="n"/>
      <c r="H87" s="161" t="n"/>
      <c r="I87" s="161" t="n"/>
      <c r="J87" s="161" t="n"/>
      <c r="K87" s="161" t="n"/>
      <c r="L87" s="161" t="n"/>
      <c r="M87" s="161" t="n"/>
      <c r="N87" s="161" t="n"/>
      <c r="O87" s="161" t="n"/>
      <c r="P87" s="161" t="n"/>
      <c r="Q87" s="161" t="n"/>
      <c r="R87" s="161" t="n"/>
      <c r="S87" s="161" t="n"/>
      <c r="T87" s="161" t="n"/>
      <c r="U87" s="161" t="n"/>
      <c r="V87" s="161" t="n"/>
      <c r="W87" s="161" t="n"/>
      <c r="X87" s="161" t="n"/>
      <c r="Y87" s="161" t="n"/>
      <c r="Z87" s="161" t="n"/>
      <c r="AA87" s="161" t="n"/>
      <c r="AB87" s="161" t="n"/>
      <c r="AC87" s="161" t="n"/>
      <c r="AD87" s="161" t="n"/>
      <c r="AE87" s="161" t="n"/>
      <c r="AF87" s="161" t="n"/>
      <c r="AG87" s="161" t="n"/>
      <c r="AH87" s="161" t="n"/>
      <c r="AI87" s="159" t="n"/>
      <c r="AJ87" s="159" t="n"/>
      <c r="AK87" s="159" t="n"/>
      <c r="AL87" s="159" t="n"/>
      <c r="AM87" s="160" t="n"/>
      <c r="AN87" s="160" t="n"/>
      <c r="AO87" s="160" t="n"/>
      <c r="AP87" s="160" t="n"/>
      <c r="AQ87" s="160" t="n"/>
      <c r="AR87" s="160" t="n"/>
      <c r="AS87" s="160" t="n"/>
      <c r="AT87" s="160" t="n"/>
      <c r="AU87" s="160" t="n"/>
      <c r="AV87" s="160" t="n"/>
      <c r="AW87" s="160" t="n"/>
      <c r="AX87" s="160" t="n"/>
      <c r="AY87" s="160" t="n"/>
      <c r="AZ87" s="160" t="n"/>
      <c r="BA87" s="160" t="n"/>
      <c r="BB87" s="160" t="n"/>
      <c r="BC87" s="160" t="n"/>
      <c r="BD87" s="160" t="n"/>
      <c r="BE87" s="160" t="n"/>
      <c r="BF87" s="160" t="n"/>
      <c r="BG87" s="160" t="n"/>
      <c r="BH87" s="160" t="n"/>
      <c r="BI87" s="160" t="n"/>
      <c r="BJ87" s="160" t="n"/>
      <c r="BK87" s="160" t="n"/>
      <c r="BL87" s="160" t="n"/>
      <c r="BM87" s="160" t="n"/>
      <c r="BN87" s="160" t="n"/>
      <c r="BO87" s="160" t="n"/>
      <c r="BP87" s="160" t="n"/>
      <c r="BQ87" s="160" t="n"/>
      <c r="BR87" s="160" t="n"/>
    </row>
  </sheetData>
  <mergeCells count="4">
    <mergeCell ref="AR3:AR4"/>
    <mergeCell ref="G62:H62"/>
    <mergeCell ref="AS3:AS4"/>
    <mergeCell ref="D1:T1"/>
  </mergeCells>
  <conditionalFormatting sqref="E25">
    <cfRule type="expression" priority="5" dxfId="136">
      <formula>WEEKDAY(H$3,2)&gt;5</formula>
    </cfRule>
    <cfRule type="expression" priority="6" dxfId="136">
      <formula>WEEKDAY(G$3,2)&gt;5</formula>
    </cfRule>
  </conditionalFormatting>
  <conditionalFormatting sqref="X62">
    <cfRule type="expression" priority="1" dxfId="136">
      <formula>WEEKDAY(W$3,2)&gt;5</formula>
    </cfRule>
  </conditionalFormatting>
  <conditionalFormatting sqref="D22:D23">
    <cfRule type="expression" priority="8" dxfId="136">
      <formula>WEEKDAY(E$3,2)&gt;5</formula>
    </cfRule>
  </conditionalFormatting>
  <conditionalFormatting sqref="A1:BR87">
    <cfRule type="cellIs" priority="75" operator="equal" dxfId="155">
      <formula>"RESERVE"</formula>
    </cfRule>
  </conditionalFormatting>
  <conditionalFormatting sqref="B44:B50 D3:T71 U2:Y71 Z3:AH71">
    <cfRule type="expression" priority="68" dxfId="136">
      <formula>WEEKDAY(U$3,2)&gt;5</formula>
    </cfRule>
  </conditionalFormatting>
  <conditionalFormatting sqref="B44:B50 D5:J87 K4:K87 L5:AA87 AB4:AB87 AC5:AH87">
    <cfRule type="cellIs" priority="53" operator="equal" dxfId="137">
      <formula>"B"</formula>
    </cfRule>
    <cfRule type="cellIs" priority="54" operator="equal" dxfId="137">
      <formula>"AL"</formula>
    </cfRule>
    <cfRule type="cellIs" priority="55" operator="equal" dxfId="138">
      <formula>"DM"</formula>
    </cfRule>
    <cfRule type="cellIs" priority="56" operator="equal" dxfId="139">
      <formula>"CS1"</formula>
    </cfRule>
    <cfRule type="cellIs" priority="57" operator="equal" dxfId="140">
      <formula>"CS2"</formula>
    </cfRule>
    <cfRule type="cellIs" priority="58" operator="equal" dxfId="141">
      <formula>"SB1"</formula>
    </cfRule>
    <cfRule type="cellIs" priority="59" operator="equal" dxfId="142">
      <formula>"SB2"</formula>
    </cfRule>
    <cfRule type="cellIs" priority="60" operator="equal" dxfId="143">
      <formula>"AE"</formula>
    </cfRule>
  </conditionalFormatting>
  <conditionalFormatting sqref="B44:B50 D5:J71 K4:K71 L5:AA71 AB4:AB71 AC5:AH71">
    <cfRule type="cellIs" priority="62" operator="equal" dxfId="137">
      <formula>"DB"</formula>
    </cfRule>
    <cfRule type="containsText" priority="63" operator="between" dxfId="144" text="$AM">
      <formula>NOT(ISERROR(SEARCH("$AM",B4)))</formula>
    </cfRule>
    <cfRule type="containsText" priority="64" operator="between" dxfId="145" text="$PM">
      <formula>NOT(ISERROR(SEARCH("$PM",B4)))</formula>
    </cfRule>
    <cfRule type="containsText" priority="65" operator="between" dxfId="146" text="$L">
      <formula>NOT(ISERROR(SEARCH("$L",B4)))</formula>
    </cfRule>
    <cfRule type="containsText" priority="66" operator="between" dxfId="147" text="$BTP">
      <formula>NOT(ISERROR(SEARCH("$BTP",B4)))</formula>
    </cfRule>
    <cfRule type="containsText" priority="67" operator="between" dxfId="148" text="$M">
      <formula>NOT(ISERROR(SEARCH("$M",B4)))</formula>
    </cfRule>
    <cfRule type="containsText" priority="69" operator="between" dxfId="149" text="$N">
      <formula>NOT(ISERROR(SEARCH("$N",B4)))</formula>
    </cfRule>
    <cfRule type="containsText" priority="70" operator="between" dxfId="150" text="$FC">
      <formula>NOT(ISERROR(SEARCH("$FC",B4)))</formula>
    </cfRule>
    <cfRule type="containsText" priority="71" operator="between" dxfId="151" text="OAL">
      <formula>NOT(ISERROR(SEARCH("OAL",B4)))</formula>
    </cfRule>
    <cfRule type="containsText" priority="72" operator="between" dxfId="152" text="S+">
      <formula>NOT(ISERROR(SEARCH("S+",B4)))</formula>
    </cfRule>
    <cfRule type="containsText" priority="73" operator="between" dxfId="153" text="EX-D">
      <formula>NOT(ISERROR(SEARCH("EX-D",B4)))</formula>
    </cfRule>
  </conditionalFormatting>
  <conditionalFormatting sqref="B44:B50 D5:D10 D12:D26 D32 D38:D57 E6 E8:F8 E12:E19 E21:E26 E28 E30:E32 E37 E44:E51 F5:F6 F10:F12 F14:F21 F24:F26 F29:F30 F32:H32 F34:I34 F36:F56 G6:G13 G16:G27 G29 G36:H37 G40:G41 G44:H51 G60 H5:H15 H19:H27 H30 H42 I5 I7:I8 I10:I26 I28:I30 I37 I39:I41 I43:I56 I60 I66 J5:J10 J13:J16 J18:J19 J21:J30 J33 J36:J38 J42 J44:J51 K4:K6 K8 K10:K16 K18:K21 K23:K26 K28:K30 K33:K55 K57 L5:L12 L14:L16 L18:L23 L25 L27:L28 L30 L33 L35:L40 L42:L57 M6:M9 M12 M14:M18 M22:M27 M29:M30 M34:N34 M38:M54 M56:M57 M64 N5:O7 N9:N12 N14:N25 N27 N29:N32 N37:N53 N55:N57 O10 O12 O14:O15 O17:O20 O23:O27 O29:O30 O37:O38 O44:O51 P5:P6 P8:P9 P11 P14:P21 P23:P30 P32:P33 P35:P38 P40 P42:P51 Q5:R5 Q7:Q8 Q16:Q25 Q27:Q28 Q30:Q31 Q36:Q38 Q41 Q44:Q51 R7:R19 R21:R27 R29 R32 R42:R54 R56:R57 S5:S6 S8:S10 S12:S30 S32:S33 S35 S38:S57 T5:T9 T11:T12 T14:T30 T32 T37:T38 T41 T44:V51 U6 U9:U15 U17:U21 U23:U26 U31 U33 U36:V36 U38 U40:U41 V9 V11:V22 V24:V25 V27:V31 V58:V61 V63:V71 W6 W8 W10:W13 W15:W22 W24:W36 W38 W40:W56 X5:X7 X9:X10 X12:X26 X28:X33 X37:X57 X62 Y5 Y7:Y8 Y10:Y30 Y32:Y36 Y38:Y57 Z5:Z57 AA5:AA69 AB5:AB64 AB66:AB69 AC5:AC69 AD5:AD31 AD33:AD69 AE5:AE27 AE29:AE33 AE38:AE69 AF5 AF8:AF14 AF16:AF27 AF29:AF32 AF35 AF37:AF42 AF44:AH51 AF56:AH56 AF64:AH64 AG5:AG15 AG17:AG19 AG21:AH27 AG29 AG32 AG40:AG41 AH5:AH19 AH29:AH31 AH40">
    <cfRule type="containsText" priority="74" operator="between" dxfId="154" text="VACC">
      <formula>NOT(ISERROR(SEARCH("VACC",B4)))</formula>
    </cfRule>
  </conditionalFormatting>
  <conditionalFormatting sqref="B44:B50 D5:D10 D12:D30 D32 D38:D57 E6 E8:F8 E12:E19 E21 E24:F26 E28 E30:E32 E37 E44:E51 F5:F6 F10:F12 F14:F16 F18:F21 F29:F30 F32:H32 F34:I34 F36:F56 G6:G13 G16:G27 G29 G36:H37 G40:G41 G44:H51 G60 H5:H15 H19:H22 H24:H27 H30 H42 I5 I7:I8 I10:I26 I28:K30 I37 I39:I41 I43:I56 I60 I66 J5:J10 J13:J16 J18:J19 J21:J26 J33:L33 J36:J38 J42 J44:K51 K5:L6 K8 K10:K15 K20:K21 K23:K25 K36:K39 L9 L11:L12 L15:L16 L18:L23 L27:L28 L30 L35 L37:L40 L42:L57 M6:M9 M12 M14:M18 M21:M26 M29:M30 M34:N34 M38:M54 M56:M57 M64 N5:N12 N14:N16 N18:N25 N27 N30:N32 N37:N53 N55:N57 O5 O7 O10 O14:O15 O18:O19 O23 O26:O27 O29:O30 O37:O38 O44:O51 P5:P6 P8:P9 P14:P19 P21 P23:P28 P30:Q30 P32 P35:P38 P40 P42:P51 Q5:R5 Q7:R8 Q16 Q18:Q21 Q23:Q25 Q27:Q28 Q36:Q38 Q41 Q44:Q51 R11:R18 R21:R24 R27 R32 R42:R54 R56:R57 S5:S36 S38:S57 T5:T6 T8:T9 T11 T15:T21 T23:U25 T27:T30 T32 T37 T41 T44:W51 U10:U13 U15 U17:U21 U31 U33 U36:V36 U38 U40:U41 V9 V11:V13 V15:V22 V24 V27 V29:W30 W6 W10:W11 W13 W15 W17:W22 W26:W27 W32:W33 W35 X5:X7 X9:X10 X12:X19 X21:X22 X24:X26 X29:X33 X37:X38 X40:Y57 Y5 Y8 Y11 Y13:Y23 Y27:Y30 Y32 Y34:Y36 Y38 Z5:Z8 Z11:Z22 Z29:AA29 Z44:Z51 Z56 AA6 AA10:AA12 AA15:AB17 AA19 AA21 AA24:AA25 AA39 AA42:AA69 AB13:AF13 AB21:AB22 AB27 AB30 AB32:AC32 AB36 AB41 AB43:AB64 AB66:AB69 AC6 AC8 AC15:AD15 AC17:AC21 AC23:AC24 AC29 AC35:AD35 AC38:AC40 AC42:AC69 AD6:AD10 AD21:AD26 AD28:AD30 AD33 AD37 AD39:AE69 AE6:AE11 AE15:AE21 AE23 AE32:AF32 AF5:AH5 AF8:AF11 AF16:AF21 AF23:AF27 AF30 AF35 AF39 AF41:AF42 AF44:AH51 AF56:AH56 AF64:AH64 AG8:AH13 AG15 AG18:AH18 AG21 AG23 AG29:AH29 AG41 AH15:AH16 AH21:AH23">
    <cfRule type="cellIs" priority="9" operator="equal" dxfId="137">
      <formula>"B"</formula>
    </cfRule>
    <cfRule type="cellIs" priority="10" operator="equal" dxfId="137">
      <formula>"AL"</formula>
    </cfRule>
    <cfRule type="cellIs" priority="11" operator="equal" dxfId="138">
      <formula>"DM"</formula>
    </cfRule>
    <cfRule type="cellIs" priority="12" operator="equal" dxfId="139">
      <formula>"CS1"</formula>
    </cfRule>
    <cfRule type="cellIs" priority="13" operator="equal" dxfId="140">
      <formula>"CS2"</formula>
    </cfRule>
    <cfRule type="cellIs" priority="14" operator="equal" dxfId="141">
      <formula>"SB1"</formula>
    </cfRule>
    <cfRule type="cellIs" priority="15" operator="equal" dxfId="142">
      <formula>"SB2"</formula>
    </cfRule>
    <cfRule type="cellIs" priority="16" operator="equal" dxfId="143">
      <formula>"AE"</formula>
    </cfRule>
    <cfRule type="cellIs" priority="17" operator="equal" dxfId="137">
      <formula>"DB"</formula>
    </cfRule>
    <cfRule type="containsText" priority="18" operator="between" dxfId="144" text="$AM">
      <formula>NOT(ISERROR(SEARCH("$AM",B5)))</formula>
    </cfRule>
    <cfRule type="containsText" priority="19" operator="between" dxfId="145" text="$PM">
      <formula>NOT(ISERROR(SEARCH("$PM",B5)))</formula>
    </cfRule>
    <cfRule type="containsText" priority="20" operator="between" dxfId="146" text="$L">
      <formula>NOT(ISERROR(SEARCH("$L",B5)))</formula>
    </cfRule>
    <cfRule type="containsText" priority="21" operator="between" dxfId="147" text="$BTP">
      <formula>NOT(ISERROR(SEARCH("$BTP",B5)))</formula>
    </cfRule>
    <cfRule type="containsText" priority="22" operator="between" dxfId="148" text="$M">
      <formula>NOT(ISERROR(SEARCH("$M",B5)))</formula>
    </cfRule>
    <cfRule type="containsText" priority="23" operator="between" dxfId="149" text="$N">
      <formula>NOT(ISERROR(SEARCH("$N",B5)))</formula>
    </cfRule>
    <cfRule type="containsText" priority="24" operator="between" dxfId="150" text="$FC">
      <formula>NOT(ISERROR(SEARCH("$FC",B5)))</formula>
    </cfRule>
    <cfRule type="containsText" priority="25" operator="between" dxfId="151" text="OAL">
      <formula>NOT(ISERROR(SEARCH("OAL",B5)))</formula>
    </cfRule>
    <cfRule type="containsText" priority="26" operator="between" dxfId="152" text="S+">
      <formula>NOT(ISERROR(SEARCH("S+",B5)))</formula>
    </cfRule>
    <cfRule type="containsText" priority="27" operator="between" dxfId="153" text="EX-D">
      <formula>NOT(ISERROR(SEARCH("EX-D",B5)))</formula>
    </cfRule>
  </conditionalFormatting>
  <conditionalFormatting sqref="B44:B50 D5:D10 D12:D26 D32 D38:D57 E6 E8:F8 E12:E19 E21 E24:F26 E28 E30:E32 E37 E44:E51 F5:F6 F10:F12 F14:F16 F18:F21 F29:F30 F32:H32 F34:I34 F36:F56 G6:G13 G16:G27 G29 G36:H37 G40:G41 G44:H51 G60 H5:H15 H19:H27 H30 H42 I5 I7:I8 I10:I26 I28:I30 I37 I39:I41 I43:I56 I60 I66 J5:J10 J13:J16 J18:J19 J21:J30 J33 J36:J38 J42 J44:K51 K5:K6 K8:K15 K20:K21 K23:K25 K28:K30 K33:K39 L5:L7 L9 L11:L12 L15:L16 L18:L23 L27:L28 L30 L33 L35 L37:L40 L42:L57 M6 M8:M9 M12 M14:M18 M22:M27 M29:M30 M34:N34 M38:M54 M56:M57 M64 N5:N7 N9:N12 N14:N16 N18:N25 N27 N29:N32 N37:N53 N55:N57 O5 O7 O10 O12 O14:O15 O18:O20 O23 O26:O27 O29:O30 O37:O38 O44:Q51 P5:P6 P8:P9 P14:P17 P19 P21 P23:P28 P30:Q30 P32 P35:P38 P40 Q5:R5 Q7:R8 Q16 Q18:Q25 Q27:Q28 Q36:Q38 Q41 R10:R18 R21:R24 R27 R32 R42:R54 R56:R57 S5:T6 S8:S10 S12:S30 S32:S33 S35 S38:S57 T8:T9 T11 T15:T21 T23:T24 T27:T30 T32 T37 T41 T44:V51 U10:U13 U15 U17:U21 U23:U26 U31 U33 U36:V36 U38 U40:U41 V9 V11:V13 V15:W22 V24 V27 V29:V30 W6 W10:W11 W13 W26:W27 W29:X33 W35:W36 W38 W40 W42:W56 X5:X7 X9:X10 X12:X19 X21:X22 X24:X26 X37:X38 X40:Y57 Y5 Y8 Y11 Y13:Y23 Y27:Y30 Y32 Y34:Y36 Y38 Z5:Z8 Z11:Z18 Z21:Z22 Z27 Z35 Z40 Z44:Z51 Z56 AA5:AB6 AA10:AA12 AA14:AA17 AA19 AA21 AA23:AA26 AA28:AA30 AA34:AA35 AA38:AA69 AB10:AB28 AB30 AB32:AC32 AB34:AB39 AB41 AB43:AB64 AB66:AB69 AC5:AC9 AC11:AC24 AC27:AC30 AC34:AC40 AC42:AC69 AD5:AD10 AD12:AD15 AD20:AD31 AD33 AD35 AD37:AD69 AE5:AE21 AE23 AE27 AE30:AF30 AE32:AE33 AE38:AE69 AF5:AH5 AF8:AH13 AF16:AF21 AF23:AF27 AF32 AF35 AF37:AF42 AF44:AH51 AF56:AH56 AF64:AH64 AG15 AG18:AH18 AG21 AG23 AG26:AH26 AG29:AH29 AG40:AG41 AH15:AH16 AH21:AH23 AH40">
    <cfRule type="expression" priority="28" dxfId="136">
      <formula>WEEKDAY(#REF!,2)&gt;5</formula>
    </cfRule>
  </conditionalFormatting>
  <conditionalFormatting sqref="B44:B50 D5:D10 D12:D26 D32 D38:D57 E6 E8:F8 E12:E19 E21:E26 E28 E30:E32 E37 E44:E51 F5:F6 F10:F12 F14:F21 F24:F26 F29:F30 F32:H32 F34:I34 F36:F56 G6:G13 G16:G27 G29 G36:H37 G40:G41 G44:H51 G60 H5:H15 H19:H27 H30 H42 I5 I7:I8 I10:I26 I28:I30 I37 I39:I41 I43:I56 I60 I66 J5:J10 J13:J16 J18:J19 J21:J30 J33 J36:J38 J42 J44:J51 K5:K6 K8 K10:K16 K18:K21 K23:K26 K28:K30 K33:K55 K57 L5:L12 L14:L16 L18:L23 L25 L27:L28 L30 L33 L35:L40 L42:L57 M6:M9 M12 M14:M18 M22:M27 M29:M30 M34:N34 M38:M54 M56:M57 M64 N5:O7 N9:N11 N14:N19 N21:N25 N27 N29:N32 N37:N53 N55:N57 O10 O12 O14:O15 O17:O20 O23:O27 O29:O30 O37:O38 O44:O51 P5:P6 P8:P9 P11 P14:P21 P23:P30 P32:P33 P35:P38 P40 P42:P51 Q5:R5 Q7:Q8 Q16:Q25 Q27:Q28 Q30:Q31 Q36:Q38 Q41 Q44:Q51 R7:R19 R21:R27 R29 R32:T32 R42:R54 R56:R57 S5:S6 S10 S12:S30 S35 S38:S57 T5:T9 T11:T12 T14:T30 T37:T38 T41 T44:V51 U6 U9:U15 U17:U21 U23:U26 U31 U33 U36:V36 U38 U40:U41 V9 V12:V22 V24:V25 V27:V31 V58:V61 V63:V71 W6 W8 W10:W13 W15:W22 W24:W36 W38 W40:W56 X5:X7 X9:X10 X12:X26 X28:X33 X37:X57 X62 Y5 Y7:Y8 Y10:Y30 Y32:Y36 Y38:Y57 Z5:Z57 AA5:AA69 AB5:AB64 AB66:AB69 AC5:AC69 AD5:AD31 AD33:AD69 AE5:AE27 AE29:AE33 AE38:AE69 AF5 AF8:AF14 AF16:AF27 AF29:AF32 AF35 AF37:AF42 AF44:AH51 AF56:AH56 AF64:AH64 AG5:AG15 AG17:AG19 AG21:AH27 AG29 AG32 AG40:AG41 AH5:AH19 AH29:AH31 AH40">
    <cfRule type="cellIs" priority="32" operator="equal" dxfId="137">
      <formula>"B"</formula>
    </cfRule>
    <cfRule type="cellIs" priority="33" operator="equal" dxfId="137">
      <formula>"AL"</formula>
    </cfRule>
    <cfRule type="cellIs" priority="34" operator="equal" dxfId="138">
      <formula>"DM"</formula>
    </cfRule>
    <cfRule type="cellIs" priority="35" operator="equal" dxfId="139">
      <formula>"CS1"</formula>
    </cfRule>
    <cfRule type="cellIs" priority="36" operator="equal" dxfId="140">
      <formula>"CS2"</formula>
    </cfRule>
    <cfRule type="cellIs" priority="37" operator="equal" dxfId="141">
      <formula>"SB1"</formula>
    </cfRule>
    <cfRule type="cellIs" priority="38" operator="equal" dxfId="142">
      <formula>"SB2"</formula>
    </cfRule>
    <cfRule type="cellIs" priority="39" operator="equal" dxfId="143">
      <formula>"AE"</formula>
    </cfRule>
    <cfRule type="cellIs" priority="41" operator="equal" dxfId="137">
      <formula>"DB"</formula>
    </cfRule>
    <cfRule type="containsText" priority="42" operator="between" dxfId="144" text="$AM">
      <formula>NOT(ISERROR(SEARCH("$AM",B5)))</formula>
    </cfRule>
    <cfRule type="containsText" priority="43" operator="between" dxfId="145" text="$PM">
      <formula>NOT(ISERROR(SEARCH("$PM",B5)))</formula>
    </cfRule>
    <cfRule type="containsText" priority="44" operator="between" dxfId="146" text="$L">
      <formula>NOT(ISERROR(SEARCH("$L",B5)))</formula>
    </cfRule>
    <cfRule type="containsText" priority="45" operator="between" dxfId="147" text="$BTP">
      <formula>NOT(ISERROR(SEARCH("$BTP",B5)))</formula>
    </cfRule>
    <cfRule type="containsText" priority="46" operator="between" dxfId="148" text="$M">
      <formula>NOT(ISERROR(SEARCH("$M",B5)))</formula>
    </cfRule>
    <cfRule type="containsText" priority="47" operator="between" dxfId="149" text="$N">
      <formula>NOT(ISERROR(SEARCH("$N",B5)))</formula>
    </cfRule>
    <cfRule type="containsText" priority="48" operator="between" dxfId="150" text="$FC">
      <formula>NOT(ISERROR(SEARCH("$FC",B5)))</formula>
    </cfRule>
    <cfRule type="containsText" priority="49" operator="between" dxfId="151" text="OAL">
      <formula>NOT(ISERROR(SEARCH("OAL",B5)))</formula>
    </cfRule>
    <cfRule type="containsText" priority="50" operator="between" dxfId="152" text="S+">
      <formula>NOT(ISERROR(SEARCH("S+",B5)))</formula>
    </cfRule>
    <cfRule type="containsText" priority="51" operator="between" dxfId="153" text="EX-D">
      <formula>NOT(ISERROR(SEARCH("EX-D",B5)))</formula>
    </cfRule>
    <cfRule type="expression" priority="52" dxfId="136">
      <formula>WEEKDAY(#REF!,2)&gt;5</formula>
    </cfRule>
  </conditionalFormatting>
  <conditionalFormatting sqref="B44:B50 D5:AH87">
    <cfRule type="containsText" priority="40" operator="between" dxfId="1388" text="CS/B">
      <formula>NOT(ISERROR(SEARCH("CS/B",B5)))</formula>
    </cfRule>
  </conditionalFormatting>
  <conditionalFormatting sqref="D12 H12 T8:T9 T11 T19 T37 U13 V12 W17 W20 W35 X7 X10 X12 X24 X26 Y5 Y13:Z13 Y20 Y32 Y36 Z11 AA10:AA11 AA15:AA16 AA19 AA24 AB13 AB15 AB32:AC32 AD26 AD29 AE10 AF26 AG15:AH15">
    <cfRule type="expression" priority="29" dxfId="136">
      <formula>WEEKDAY(AA$3,2)&gt;5</formula>
    </cfRule>
  </conditionalFormatting>
  <conditionalFormatting sqref="T11 T19 T37 U13 V12 V58:V61 V63:V71 W17 W20 W35 X7 X10 X12 X24 X26 Y5 Y13:Z13 Y20 Y32 Y36 Z11 AA10:AA12 AA15:AA16 AA19 AA24 AB13 AB15 AB32:AC32 AD26 AD29 AE10 AF26 AG15:AH15">
    <cfRule type="expression" priority="30" dxfId="136">
      <formula>WEEKDAY(Z$3,2)&gt;5</formula>
    </cfRule>
  </conditionalFormatting>
  <conditionalFormatting sqref="BQ5:BR71">
    <cfRule type="cellIs" priority="61" operator="lessThan" dxfId="155">
      <formula>1</formula>
    </cfRule>
  </conditionalFormatting>
  <conditionalFormatting sqref="D12:E12 D25 E28 G21:I21 G24 H25:I25 I18 I30 N25 S8:S9 S26 T23 U24">
    <cfRule type="expression" priority="7" dxfId="136">
      <formula>WEEKDAY(T$3,2)&gt;5</formula>
    </cfRule>
  </conditionalFormatting>
  <conditionalFormatting sqref="D9 D12 D18 D21 D32:H32 F21 H12 K21 S17:S18 S20 S22 S33 T8:T9 T18 T21 T23 AA21 AD21:AF21">
    <cfRule type="expression" priority="31" dxfId="136">
      <formula>WEEKDAY(V$3,2)&gt;5</formula>
    </cfRule>
  </conditionalFormatting>
  <conditionalFormatting sqref="D12:E12 S9">
    <cfRule type="expression" priority="2" dxfId="136">
      <formula>WEEKDAY(U$3,2)&gt;5</formula>
    </cfRule>
  </conditionalFormatting>
  <conditionalFormatting sqref="R18 R21 S23">
    <cfRule type="expression" priority="3" dxfId="136">
      <formula>WEEKDAY(U$3,2)&gt;5</formula>
    </cfRule>
    <cfRule type="expression" priority="4" dxfId="136">
      <formula>WEEKDAY(V$3,2)&gt;5</formula>
    </cfRule>
  </conditionalFormatting>
  <conditionalFormatting sqref="AB54 AD54:AF54">
    <cfRule type="cellIs" priority="76" operator="equal" dxfId="1735">
      <formula>"CS"</formula>
    </cfRule>
  </conditionalFormatting>
  <dataValidations count="4">
    <dataValidation sqref="D5 D6:F8 D9 D11 D13:F16 D17:G17 D18:J18 D19:N19 D20:F20 D22:H23 D24:J24 D25:I25 D26:F26 D27 D28:I28 D29:H29 D30:I30 D31:F31 D32:I32 D33:F33 D34:J34 D35:H35 D36:G36 D37:I37 D39:F39 D40:E40 D41:G41 D42:F42 D52:P53 D54:M54 D55:L55 D56:I56 D57:E57 E38:G38 F5 F10:K10 F11 F12:H12 F27:H27 G40:K40 G60:H60 H20:I20 H26 H31:I31 H33 H39 I17:K17 I38 I41 J9 J27 J29:K29 J33:N33 J39 J42 J57:O57 J60 K5 K6:N6 K12:M12 K15:M15 K16:P16 K20 K22:N22 K23 K25:M25 K28 K31:Q31 K32 K35:M36 K37:Q37 K41:L41 L8:M8 L13:M13 L14:P14 L24 L26:L27 L30:O30 L38 L42:O42 L56:O56 M5 M7 M9 M17:Z17 M20 M23 M28:O28 M34:N34 M39:O39 M64 N11 N18 N24:V24 N29:O29 N38:R38 N40:N41 N55:P55 O10 O12 O15:U15 O23 O25:AH25 O26:P26 O32:P32 O54:P54 P6 P9 P11 P18:P19 P20:U20 P22:R22 P33:Q33 P34 P41 P66 Q27:X27 Q40 R7:R9 R11 R12:V12 R13:S13 R14:W14 R16:T16 R18:U18 R23 R26:S26 R29 R34:V34 R35:T35 R36:S36 R41:U41 S19:W19 S28:T28 S31:Y31 S37 S39:U40 T5:T6 T11:U11 T22 T23:W23 T29 T33:U33 T42:U42 T52:X54 T56:T57 U10 U13:V13 U26 U30:W30 U32 U36:X36 U38 U55:W55 U69:U71 V6 V16 V22:AB22 V28:X28 V56:X56 V57 W9 W10:X10 W11 W15 W20 W29 W42 X6:X7 X12 X16 X24:Y24 X26 X33 X38:AA38 X41:AA41 X57 Y11 Y13:AA13 Y14:Z14 Y19 Y29:AA29 Y32 Y35:AA35 Y37 Z6:AH6 Z7:AB7 Z8:AA10 Z12 Z15:Z16 Z18:AB18 Z20 Z23:AH23 Z26:AA26 Z28:AF28 Z30:AC30 Z34:AB34 Z39 Z42 Z52:Z55 Z57 AA11:AB11 AA19 AA27:AB27 AA31:AF31 AA33:AC33 AA36:AA37 AB24 AB42 AC8:AH8 AC19:AH19 AC20 AC26:AH26 AC29:AD29 AC35 AC37 AD7:AE7 AD11:AH11 AD22:AF22 AD34:AE34 AD36:AH36 AE9:AH10 AE18 AE20:AH21 AE24:AH24 AF15 AF29 AF52:AH55 AF57:AH57 AG5:AH5 AG7:AH7 AG13:AH13 AG16 AG17:AH18 AG27:AH27 AG32:AH32 AG33 AG34:AH35 AG37:AH39 AG42:AH42 AH30:AH31 AH41 AH43" showDropDown="0" showInputMessage="0" showErrorMessage="0" allowBlank="1" type="custom">
      <formula1>NOT(ISERROR(SEARCH((#REF!),(D5))))</formula1>
    </dataValidation>
    <dataValidation sqref="D12:E12 D21:L21 E11 J37 L5 L18:M18 L23 L28 M38 N21 N23 N27 N32 O18:O19 P8:Q8 P21:X21 P23:Q23 P28:Q28 P40 Q18 Q41 R42 R52:R54 R56:R57 S10 S22:S23 S30 T8:T9 T32 T37 W18 Y8 Y15 Y18 Y20 Y23 Y36 Z11 Z21:AD21 AA15:AE15 AA16:AB16 AA39:AF39 AA42 AA52:AE53 AA54:AB54 AA55:AC55 AA57:AE57 AB13 AB17:AC17 AB32:AC32 AB36 AB41 AB56:AH56 AC38 AC42 AD35 AD54:AE54 AD59 AE13:AF13 AE16 AE17:AF17 AE32:AF32 AE42:AF42 AE55 AF27 AG12:AH12 AG15:AH15 AG29:AH29 AG41 AH16" showDropDown="1" showInputMessage="0" showErrorMessage="0" allowBlank="1" type="list">
      <formula1>'Setting key Duty'!$B$7:$B$54</formula1>
    </dataValidation>
    <dataValidation sqref="B5:B11 B13:B18 B20:B23 B25:B27 B30 D58:G59 D60:F60 D61:G65 D66:F66 D67:G68 D69:E69 D70:M71 F57 G69:H69 J59:M59 J61:M61 J63:M63 J64:L64 J65:M67 J68:O68 J69:M69 K38 K56 K62:M62 L40 L58:Q58 L60:M60 O59:P59 O60 O61:Q63 O64:P64 O65:Q65 O66:O67 O69 O70:Q71 P56 Q60 Q66:Q69 S5 T55 T58:V59 T61:V61 T62:T63 T66 T67:V67 T68:AB68 T69:T71 U56 U64:V64 U65 V63 V66 V69 V70:AH71 W62:X62 Y58:Z59 Y61:AH61 Y63 Y64:Z64 Y65 Y66:Z67 Y69:AH69 Z62 AE66:AH66 AF58:AH59 AF62:AG62 AF65:AH65 AF67:AH68 AG60:AH60 AG63:AH63" showDropDown="1" showInputMessage="0" showErrorMessage="0" allowBlank="1" type="list">
      <formula1>'Setting key Duty'!$B$7:$B$56</formula1>
    </dataValidation>
    <dataValidation sqref="D43:AG43 D44:AH51 D72:AH77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0"/>
    <pageSetUpPr fitToPage="1"/>
  </sheetPr>
  <dimension ref="A1:BQ81"/>
  <sheetViews>
    <sheetView showGridLines="0" zoomScale="70" zoomScaleNormal="70" workbookViewId="0">
      <pane xSplit="2" ySplit="4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B62" sqref="B62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11"/>
    <col width="9.38095238095238" customWidth="1" min="12" max="12"/>
    <col width="10.6285714285714" customWidth="1" min="13" max="13"/>
    <col width="9.24761904761905" customWidth="1" min="14" max="14"/>
    <col width="10" customWidth="1" min="15" max="15"/>
    <col width="10.752380952381" customWidth="1" min="16" max="16"/>
    <col width="10.247619047619" customWidth="1" min="17" max="17"/>
    <col width="9.62857142857143" customWidth="1" min="18" max="18"/>
    <col width="9.133333333333329" customWidth="1" min="19" max="19"/>
    <col width="9.24761904761905" customWidth="1" min="20" max="23"/>
    <col width="12.8761904761905" customWidth="1" min="24" max="24"/>
    <col width="9.24761904761905" customWidth="1" min="25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3"/>
    <col outlineLevel="1" width="9.38095238095238" customWidth="1" min="34" max="40"/>
    <col outlineLevel="1" width="12" customWidth="1" min="41" max="41"/>
    <col outlineLevel="1" width="9.38095238095238" customWidth="1" min="42" max="42"/>
    <col width="6.75238095238095" customWidth="1" min="43" max="44"/>
    <col outlineLevel="1" width="8.87619047619048" customWidth="1" min="45" max="45"/>
    <col outlineLevel="1" width="7.87619047619048" customWidth="1" min="46" max="47"/>
    <col outlineLevel="1" width="9.133333333333329" customWidth="1" min="48" max="48"/>
    <col outlineLevel="1" width="8.24761904761905" customWidth="1" min="49" max="49"/>
    <col outlineLevel="1" width="5.5047619047619" customWidth="1" min="50" max="50"/>
    <col width="9.38095238095238" customWidth="1" min="51" max="54"/>
    <col hidden="1" outlineLevel="1" width="9.38095238095238" customWidth="1" min="55" max="65"/>
    <col collapsed="1" width="9.38095238095238" customWidth="1" min="66" max="66"/>
    <col width="9.504761904761899" customWidth="1" min="67" max="67"/>
    <col width="9.38095238095238" customWidth="1" min="68" max="69"/>
  </cols>
  <sheetData>
    <row r="1" ht="3" customHeight="1">
      <c r="A1" s="440" t="inlineStr">
        <is>
          <t>f</t>
        </is>
      </c>
      <c r="B1" s="45" t="inlineStr">
        <is>
          <t>Type of req:
Reason:</t>
        </is>
      </c>
      <c r="C1" s="441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  <c r="BQ1" s="50" t="n"/>
    </row>
    <row r="2" ht="26.25" customHeight="1">
      <c r="A2" s="437" t="n"/>
      <c r="B2" s="52" t="inlineStr">
        <is>
          <t>Event Log</t>
        </is>
      </c>
      <c r="C2" s="52" t="inlineStr">
        <is>
          <t xml:space="preserve">VESAK DAY </t>
        </is>
      </c>
      <c r="D2" s="52" t="n"/>
      <c r="E2" s="52" t="inlineStr">
        <is>
          <t>GX</t>
        </is>
      </c>
      <c r="F2" s="52" t="inlineStr">
        <is>
          <t>GX</t>
        </is>
      </c>
      <c r="G2" s="52" t="inlineStr">
        <is>
          <t>GP RECCE</t>
        </is>
      </c>
      <c r="H2" s="52" t="inlineStr">
        <is>
          <t>GP</t>
        </is>
      </c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6" t="n"/>
      <c r="U2" s="52" t="n"/>
      <c r="V2" s="58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60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59" t="n"/>
      <c r="BC2" s="59" t="n"/>
      <c r="BD2" s="59" t="n"/>
      <c r="BE2" s="59" t="n"/>
      <c r="BF2" s="59" t="n"/>
      <c r="BG2" s="59" t="n"/>
      <c r="BH2" s="59" t="n"/>
      <c r="BI2" s="59" t="n"/>
      <c r="BJ2" s="59" t="n"/>
      <c r="BK2" s="59" t="n"/>
      <c r="BL2" s="59" t="n"/>
      <c r="BM2" s="59" t="n"/>
      <c r="BN2" s="59" t="n"/>
      <c r="BO2" s="59" t="n"/>
      <c r="BP2" s="59" t="n"/>
      <c r="BQ2" s="59" t="n"/>
    </row>
    <row r="3" ht="26.25" customHeight="1">
      <c r="A3" s="437" t="n"/>
      <c r="B3" s="52" t="inlineStr">
        <is>
          <t>Rostering</t>
        </is>
      </c>
      <c r="C3" s="442" t="n">
        <v>46174</v>
      </c>
      <c r="D3" s="443">
        <f>C3+1</f>
        <v/>
      </c>
      <c r="E3" s="443">
        <f>D3+1</f>
        <v/>
      </c>
      <c r="F3" s="443">
        <f>E3+1</f>
        <v/>
      </c>
      <c r="G3" s="443">
        <f>F3+1</f>
        <v/>
      </c>
      <c r="H3" s="443">
        <f>G3+1</f>
        <v/>
      </c>
      <c r="I3" s="443">
        <f>H3+1</f>
        <v/>
      </c>
      <c r="J3" s="443">
        <f>I3+1</f>
        <v/>
      </c>
      <c r="K3" s="443">
        <f>J3+1</f>
        <v/>
      </c>
      <c r="L3" s="443">
        <f>K3+1</f>
        <v/>
      </c>
      <c r="M3" s="443">
        <f>L3+1</f>
        <v/>
      </c>
      <c r="N3" s="443">
        <f>M3+1</f>
        <v/>
      </c>
      <c r="O3" s="443">
        <f>N3+1</f>
        <v/>
      </c>
      <c r="P3" s="443">
        <f>O3+1</f>
        <v/>
      </c>
      <c r="Q3" s="443">
        <f>P3+1</f>
        <v/>
      </c>
      <c r="R3" s="443">
        <f>Q3+1</f>
        <v/>
      </c>
      <c r="S3" s="443">
        <f>R3+1</f>
        <v/>
      </c>
      <c r="T3" s="444">
        <f>S3+1</f>
        <v/>
      </c>
      <c r="U3" s="443">
        <f>T3+1</f>
        <v/>
      </c>
      <c r="V3" s="445">
        <f>U3+1</f>
        <v/>
      </c>
      <c r="W3" s="443">
        <f>V3+1</f>
        <v/>
      </c>
      <c r="X3" s="443">
        <f>W3+1</f>
        <v/>
      </c>
      <c r="Y3" s="443">
        <f>X3+1</f>
        <v/>
      </c>
      <c r="Z3" s="443">
        <f>Y3+1</f>
        <v/>
      </c>
      <c r="AA3" s="443">
        <f>Z3+1</f>
        <v/>
      </c>
      <c r="AB3" s="443">
        <f>AA3+1</f>
        <v/>
      </c>
      <c r="AC3" s="443">
        <f>AB3+1</f>
        <v/>
      </c>
      <c r="AD3" s="443">
        <f>AC3+1</f>
        <v/>
      </c>
      <c r="AE3" s="443">
        <f>AD3+1</f>
        <v/>
      </c>
      <c r="AF3" s="443">
        <f>AE3+1</f>
        <v/>
      </c>
      <c r="AG3" s="443">
        <f>AF3+1</f>
        <v/>
      </c>
      <c r="AH3" s="59">
        <f>'Setting key Duty'!$C7</f>
        <v/>
      </c>
      <c r="AI3" s="59">
        <f>'Setting key Duty'!$C8</f>
        <v/>
      </c>
      <c r="AJ3" s="59">
        <f>'Setting key Duty'!$C9</f>
        <v/>
      </c>
      <c r="AK3" s="59">
        <f>'Setting key Duty'!$C10</f>
        <v/>
      </c>
      <c r="AL3" s="59">
        <f>'Setting key Duty'!$C11</f>
        <v/>
      </c>
      <c r="AM3" s="59">
        <f>'Setting key Duty'!$C12</f>
        <v/>
      </c>
      <c r="AN3" s="59">
        <f>'Setting key Duty'!$C13</f>
        <v/>
      </c>
      <c r="AO3" s="59">
        <f>'Setting key Duty'!$C16</f>
        <v/>
      </c>
      <c r="AP3" s="59">
        <f>'Setting key Duty'!C14</f>
        <v/>
      </c>
      <c r="AQ3" s="66" t="inlineStr">
        <is>
          <t>TO ADD</t>
        </is>
      </c>
      <c r="AR3" s="66" t="inlineStr">
        <is>
          <t>TO MINUS</t>
        </is>
      </c>
      <c r="AS3" s="59" t="inlineStr">
        <is>
          <t>Weekday Duty</t>
        </is>
      </c>
      <c r="AT3" s="59" t="inlineStr">
        <is>
          <t>Weekday Extra</t>
        </is>
      </c>
      <c r="AU3" s="59" t="inlineStr">
        <is>
          <t>Friday Duty</t>
        </is>
      </c>
      <c r="AV3" s="59" t="inlineStr">
        <is>
          <t>Weekend Duty</t>
        </is>
      </c>
      <c r="AW3" s="59" t="inlineStr">
        <is>
          <t>Weekend Extra</t>
        </is>
      </c>
      <c r="AX3" s="59" t="inlineStr">
        <is>
          <t>Duty Point</t>
        </is>
      </c>
      <c r="AY3" s="59" t="inlineStr">
        <is>
          <t>Total Duty</t>
        </is>
      </c>
      <c r="AZ3" s="59" t="inlineStr">
        <is>
          <t>Total Cover</t>
        </is>
      </c>
      <c r="BA3" s="66" t="inlineStr">
        <is>
          <t>Total Point</t>
        </is>
      </c>
      <c r="BB3" s="66" t="n"/>
      <c r="BC3" s="59" t="inlineStr">
        <is>
          <t>Total Cover
Point</t>
        </is>
      </c>
      <c r="BD3" s="59" t="inlineStr">
        <is>
          <t>BTP</t>
        </is>
      </c>
      <c r="BE3" s="59" t="inlineStr">
        <is>
          <t>$BTP
Point</t>
        </is>
      </c>
      <c r="BF3" s="59" t="inlineStr">
        <is>
          <t>Mid Cover</t>
        </is>
      </c>
      <c r="BG3" s="59" t="inlineStr">
        <is>
          <t>$M 
Point</t>
        </is>
      </c>
      <c r="BH3" s="59" t="inlineStr">
        <is>
          <t>Cover
After Hour</t>
        </is>
      </c>
      <c r="BI3" s="59" t="inlineStr">
        <is>
          <t>$PM
Point</t>
        </is>
      </c>
      <c r="BJ3" s="59" t="inlineStr">
        <is>
          <t>Cover
Early</t>
        </is>
      </c>
      <c r="BK3" s="59" t="inlineStr">
        <is>
          <t>$AM
Point</t>
        </is>
      </c>
      <c r="BL3" s="59">
        <f>'Setting key Duty'!C52</f>
        <v/>
      </c>
      <c r="BM3" s="59" t="inlineStr">
        <is>
          <t>$FC
Point</t>
        </is>
      </c>
      <c r="BN3" s="59">
        <f>'Setting key Duty'!$C15</f>
        <v/>
      </c>
      <c r="BO3" s="59">
        <f>'Setting key Duty'!C17</f>
        <v/>
      </c>
      <c r="BP3" s="59">
        <f>'Setting key Duty'!$C22</f>
        <v/>
      </c>
      <c r="BQ3" s="59" t="n"/>
    </row>
    <row r="4" ht="18" customHeight="1">
      <c r="A4" s="67" t="n"/>
      <c r="B4" s="68" t="inlineStr">
        <is>
          <t>Updated on: 26/10/2022</t>
        </is>
      </c>
      <c r="C4" s="446">
        <f>TEXT(C3,"ddd")</f>
        <v/>
      </c>
      <c r="D4" s="447">
        <f>TEXT(D3,"ddd")</f>
        <v/>
      </c>
      <c r="E4" s="447">
        <f>TEXT(E3,"ddd")</f>
        <v/>
      </c>
      <c r="F4" s="447">
        <f>TEXT(F3,"ddd")</f>
        <v/>
      </c>
      <c r="G4" s="447">
        <f>TEXT(G3,"ddd")</f>
        <v/>
      </c>
      <c r="H4" s="447">
        <f>TEXT(H3,"ddd")</f>
        <v/>
      </c>
      <c r="I4" s="447">
        <f>TEXT(I3,"ddd")</f>
        <v/>
      </c>
      <c r="J4" s="447">
        <f>TEXT(J3,"ddd")</f>
        <v/>
      </c>
      <c r="K4" s="447">
        <f>TEXT(K3,"ddd")</f>
        <v/>
      </c>
      <c r="L4" s="447">
        <f>TEXT(L3,"ddd")</f>
        <v/>
      </c>
      <c r="M4" s="447">
        <f>TEXT(M3,"ddd")</f>
        <v/>
      </c>
      <c r="N4" s="447">
        <f>TEXT(N3,"ddd")</f>
        <v/>
      </c>
      <c r="O4" s="447">
        <f>TEXT(O3,"ddd")</f>
        <v/>
      </c>
      <c r="P4" s="447">
        <f>TEXT(P3,"ddd")</f>
        <v/>
      </c>
      <c r="Q4" s="447">
        <f>TEXT(Q3,"ddd")</f>
        <v/>
      </c>
      <c r="R4" s="447">
        <f>TEXT(R3,"ddd")</f>
        <v/>
      </c>
      <c r="S4" s="447">
        <f>TEXT(S3,"ddd")</f>
        <v/>
      </c>
      <c r="T4" s="446">
        <f>TEXT(T3,"ddd")</f>
        <v/>
      </c>
      <c r="U4" s="447">
        <f>TEXT(U3,"ddd")</f>
        <v/>
      </c>
      <c r="V4" s="448">
        <f>TEXT(V3,"ddd")</f>
        <v/>
      </c>
      <c r="W4" s="447">
        <f>TEXT(W3,"ddd")</f>
        <v/>
      </c>
      <c r="X4" s="447">
        <f>TEXT(X3,"ddd")</f>
        <v/>
      </c>
      <c r="Y4" s="447">
        <f>TEXT(Y3,"ddd")</f>
        <v/>
      </c>
      <c r="Z4" s="447">
        <f>TEXT(Z3,"ddd")</f>
        <v/>
      </c>
      <c r="AA4" s="447">
        <f>TEXT(AA3,"ddd")</f>
        <v/>
      </c>
      <c r="AB4" s="447">
        <f>TEXT(AB3,"ddd")</f>
        <v/>
      </c>
      <c r="AC4" s="447">
        <f>TEXT(AC3,"ddd")</f>
        <v/>
      </c>
      <c r="AD4" s="447">
        <f>TEXT(AD3,"ddd")</f>
        <v/>
      </c>
      <c r="AE4" s="447">
        <f>TEXT(AE3,"ddd")</f>
        <v/>
      </c>
      <c r="AF4" s="447">
        <f>TEXT(AF3,"ddd")</f>
        <v/>
      </c>
      <c r="AG4" s="447">
        <f>TEXT(AG3,"ddd")</f>
        <v/>
      </c>
      <c r="AH4" s="68">
        <f>'Setting key Duty'!$B7</f>
        <v/>
      </c>
      <c r="AI4" s="68">
        <f>'Setting key Duty'!$B8</f>
        <v/>
      </c>
      <c r="AJ4" s="68">
        <f>'Setting key Duty'!$B9</f>
        <v/>
      </c>
      <c r="AK4" s="68">
        <f>'Setting key Duty'!$B10</f>
        <v/>
      </c>
      <c r="AL4" s="68">
        <f>'Setting key Duty'!$B11</f>
        <v/>
      </c>
      <c r="AM4" s="68">
        <f>'Setting key Duty'!$B12</f>
        <v/>
      </c>
      <c r="AN4" s="68">
        <f>'Setting key Duty'!$B13</f>
        <v/>
      </c>
      <c r="AO4" s="68">
        <f>'Setting key Duty'!$B16</f>
        <v/>
      </c>
      <c r="AP4" s="68">
        <f>'Setting key Duty'!B14</f>
        <v/>
      </c>
      <c r="AQ4" s="439" t="n"/>
      <c r="AR4" s="439" t="n"/>
      <c r="AS4" s="68" t="n"/>
      <c r="AT4" s="68" t="n"/>
      <c r="AU4" s="68" t="n"/>
      <c r="AV4" s="68" t="n"/>
      <c r="AW4" s="68" t="n"/>
      <c r="AX4" s="68" t="n"/>
      <c r="AY4" s="68" t="n"/>
      <c r="AZ4" s="68" t="n"/>
      <c r="BA4" s="73" t="n"/>
      <c r="BB4" s="73" t="n"/>
      <c r="BC4" s="68" t="n"/>
      <c r="BD4" s="68" t="inlineStr">
        <is>
          <t>$BTP</t>
        </is>
      </c>
      <c r="BE4" s="68" t="n"/>
      <c r="BF4" s="68" t="inlineStr">
        <is>
          <t>$M</t>
        </is>
      </c>
      <c r="BG4" s="68" t="n"/>
      <c r="BH4" s="68" t="inlineStr">
        <is>
          <t>$PM</t>
        </is>
      </c>
      <c r="BI4" s="68" t="n"/>
      <c r="BJ4" s="68" t="inlineStr">
        <is>
          <t>$AM</t>
        </is>
      </c>
      <c r="BK4" s="68" t="n"/>
      <c r="BL4" s="68">
        <f>'Setting key Duty'!B52</f>
        <v/>
      </c>
      <c r="BM4" s="68" t="n"/>
      <c r="BN4" s="68">
        <f>'Setting key Duty'!$B15</f>
        <v/>
      </c>
      <c r="BO4" s="68">
        <f>'Setting key Duty'!B17</f>
        <v/>
      </c>
      <c r="BP4" s="68">
        <f>'Setting key Duty'!$B22</f>
        <v/>
      </c>
      <c r="BQ4" s="68" t="n"/>
    </row>
    <row r="5" ht="87" customHeight="1">
      <c r="A5" s="67" t="n"/>
      <c r="B5" s="74" t="inlineStr">
        <is>
          <t xml:space="preserve">CPL GERALD TAN </t>
        </is>
      </c>
      <c r="C5" s="107" t="n"/>
      <c r="D5" s="107" t="inlineStr">
        <is>
          <t>AM MA PM AL</t>
        </is>
      </c>
      <c r="E5" s="136" t="n"/>
      <c r="F5" s="60" t="n"/>
      <c r="G5" s="60" t="inlineStr">
        <is>
          <t>GP</t>
        </is>
      </c>
      <c r="H5" s="60" t="inlineStr">
        <is>
          <t>GP $M</t>
        </is>
      </c>
      <c r="I5" s="60" t="n"/>
      <c r="J5" s="60" t="inlineStr">
        <is>
          <t>AL</t>
        </is>
      </c>
      <c r="K5" s="60" t="inlineStr">
        <is>
          <t>DM</t>
        </is>
      </c>
      <c r="L5" s="136" t="n"/>
      <c r="M5" s="53" t="inlineStr">
        <is>
          <t>AM MA PM AL</t>
        </is>
      </c>
      <c r="N5" s="136" t="n"/>
      <c r="O5" s="60" t="n"/>
      <c r="P5" s="60" t="inlineStr">
        <is>
          <t>CS1</t>
        </is>
      </c>
      <c r="Q5" s="136" t="n"/>
      <c r="R5" s="1" t="inlineStr">
        <is>
          <t>RESERVE</t>
        </is>
      </c>
      <c r="T5" s="53" t="inlineStr">
        <is>
          <t>OPERATION</t>
        </is>
      </c>
      <c r="U5" s="60" t="inlineStr">
        <is>
          <t>HL?</t>
        </is>
      </c>
      <c r="V5" s="60" t="inlineStr">
        <is>
          <t>HL?</t>
        </is>
      </c>
      <c r="W5" s="60" t="inlineStr">
        <is>
          <t>HL?</t>
        </is>
      </c>
      <c r="X5" s="60" t="inlineStr">
        <is>
          <t>HL?</t>
        </is>
      </c>
      <c r="Y5" s="60" t="inlineStr">
        <is>
          <t>SB2</t>
        </is>
      </c>
      <c r="Z5" s="60" t="inlineStr">
        <is>
          <t>HL?</t>
        </is>
      </c>
      <c r="AA5" s="60" t="inlineStr">
        <is>
          <t>HL?</t>
        </is>
      </c>
      <c r="AB5" s="60" t="inlineStr">
        <is>
          <t>HL?</t>
        </is>
      </c>
      <c r="AC5" s="60" t="inlineStr">
        <is>
          <t>HL?</t>
        </is>
      </c>
      <c r="AD5" s="60" t="inlineStr">
        <is>
          <t>HL?</t>
        </is>
      </c>
      <c r="AE5" s="60" t="inlineStr">
        <is>
          <t>HL?</t>
        </is>
      </c>
      <c r="AF5" s="60" t="inlineStr">
        <is>
          <t>HL?</t>
        </is>
      </c>
      <c r="AG5" s="60" t="inlineStr">
        <is>
          <t>HL?</t>
        </is>
      </c>
      <c r="AH5" s="67">
        <f>COUNTIF($C5:$AF5,AH$4)</f>
        <v/>
      </c>
      <c r="AI5" s="67">
        <f>COUNTIF($C5:$AF5,AI$4)</f>
        <v/>
      </c>
      <c r="AJ5" s="67">
        <f>COUNTIF($C5:$AF5,AJ$4)</f>
        <v/>
      </c>
      <c r="AK5" s="67">
        <f>COUNTIF($C5:$AF5,AK$4)</f>
        <v/>
      </c>
      <c r="AL5" s="67">
        <f>COUNTIF($C5:$AF5,AL$4)</f>
        <v/>
      </c>
      <c r="AM5" s="67">
        <f>COUNTIF($C5:$AF5,AM$4)</f>
        <v/>
      </c>
      <c r="AN5" s="67">
        <f>COUNTIF($C5:$AF5,AN$4)</f>
        <v/>
      </c>
      <c r="AO5" s="67">
        <f>COUNTIF($C5:$AF5,AO$4)</f>
        <v/>
      </c>
      <c r="AP5" s="67">
        <f>COUNTIF($C5:$AF5,AP$4)</f>
        <v/>
      </c>
      <c r="AQ5" s="76" t="n"/>
      <c r="AR5" s="76" t="n">
        <v>0.5</v>
      </c>
      <c r="AS5" s="77">
        <f>SUMPRODUCT(--(WEEKDAY(C$3:AG$3,2)&lt;5),--ISNUMBER(MATCH(C5:AG5,{"DM","CS1","CS2","SB1","AE","CS/B"},0)))</f>
        <v/>
      </c>
      <c r="AT5" s="77" t="n"/>
      <c r="AU5" s="77">
        <f>SUMPRODUCT(--(WEEKDAY(C$3:AG$3,2)=5),--ISNUMBER(MATCH(C5:AG5,{"DM","CS1","CS2","SB1","AE","CS/B","WEEKEND OUTFIELD RESERVE"},0)))</f>
        <v/>
      </c>
      <c r="AV5" s="77">
        <f>SUMPRODUCT(--(WEEKDAY(C$3:AG$3,2)&gt;5),--ISNUMBER(MATCH(C5:AG5,{"DM","CS1","CS2","SB1","AE","CS/B","WEEKEND OUTFIELD RESERVE"},0)))</f>
        <v/>
      </c>
      <c r="AW5" s="77" t="n"/>
      <c r="AX5" s="77">
        <f>(AS5-AT5)+AU5*1.5+(AV5-AW5)*2+AM5*0.5+AO5*0.5+AQ5-AR5</f>
        <v/>
      </c>
      <c r="AY5" s="77">
        <f>AS5+AU5+AV5</f>
        <v/>
      </c>
      <c r="AZ5" s="77">
        <f>BD5+BF5+BH5+BJ5+BL5</f>
        <v/>
      </c>
      <c r="BA5" s="76">
        <f>AX5+BC5</f>
        <v/>
      </c>
      <c r="BB5" s="76">
        <f>(BA5-5)</f>
        <v/>
      </c>
      <c r="BC5" s="77">
        <f>BE5+BG5+BI5+BK5+BM5</f>
        <v/>
      </c>
      <c r="BD5" s="77">
        <f>COUNTIF(A5:AH5,"*$BTP*")</f>
        <v/>
      </c>
      <c r="BE5" s="77">
        <f>BD5*1.5</f>
        <v/>
      </c>
      <c r="BF5" s="77">
        <f>COUNTIF(A5:AH5,"*$M*")</f>
        <v/>
      </c>
      <c r="BG5" s="77">
        <f>BF5*1</f>
        <v/>
      </c>
      <c r="BH5" s="77">
        <f>COUNTIF(A5:AH5,"*$PM*")</f>
        <v/>
      </c>
      <c r="BI5" s="77">
        <f>BH5*0.5</f>
        <v/>
      </c>
      <c r="BJ5" s="77">
        <f>COUNTIF(A5:AH5,"*$AM*")</f>
        <v/>
      </c>
      <c r="BK5" s="77">
        <f>BJ5*0.5</f>
        <v/>
      </c>
      <c r="BL5" s="77">
        <f>COUNTIF(A5:AH5,"*$FC*")</f>
        <v/>
      </c>
      <c r="BM5" s="77">
        <f>BL5*1</f>
        <v/>
      </c>
      <c r="BN5" s="77">
        <f>COUNTIF($D5:$Z5,BN$4)</f>
        <v/>
      </c>
      <c r="BO5" s="77">
        <f>COUNTIF($D5:$Z5,BO$4)</f>
        <v/>
      </c>
      <c r="BP5" s="77">
        <f>COUNTIF($D5:$Z5,BP$4)</f>
        <v/>
      </c>
      <c r="BQ5" s="77" t="n"/>
    </row>
    <row r="6" ht="73.5" customHeight="1">
      <c r="A6" s="67" t="n"/>
      <c r="B6" s="77" t="inlineStr">
        <is>
          <t>CPL FANG JIANGRUI</t>
        </is>
      </c>
      <c r="C6" s="110" t="n"/>
      <c r="D6" s="110" t="inlineStr">
        <is>
          <t>DM</t>
        </is>
      </c>
      <c r="E6" s="136" t="n"/>
      <c r="F6" s="60" t="inlineStr">
        <is>
          <t>GP</t>
        </is>
      </c>
      <c r="G6" s="60" t="inlineStr">
        <is>
          <t>GP</t>
        </is>
      </c>
      <c r="H6" s="60" t="inlineStr">
        <is>
          <t>GP $M</t>
        </is>
      </c>
      <c r="I6" s="60" t="n"/>
      <c r="J6" s="60" t="n"/>
      <c r="K6" s="60" t="n"/>
      <c r="L6" s="60" t="n"/>
      <c r="M6" s="136" t="n"/>
      <c r="N6" s="60" t="n"/>
      <c r="O6" s="60" t="inlineStr">
        <is>
          <t>CS1</t>
        </is>
      </c>
      <c r="P6" s="60" t="n"/>
      <c r="Q6" s="53" t="inlineStr">
        <is>
          <t>WISDOM</t>
        </is>
      </c>
      <c r="R6" s="53" t="inlineStr">
        <is>
          <t>WISDOM</t>
        </is>
      </c>
      <c r="S6" s="53" t="inlineStr">
        <is>
          <t>WISDOM</t>
        </is>
      </c>
      <c r="T6" s="53" t="inlineStr">
        <is>
          <t>WISDOM</t>
        </is>
      </c>
      <c r="U6" s="53" t="inlineStr">
        <is>
          <t>WISDOM</t>
        </is>
      </c>
      <c r="V6" s="53" t="inlineStr">
        <is>
          <t>WISDOM</t>
        </is>
      </c>
      <c r="W6" s="53" t="inlineStr">
        <is>
          <t>WISDOM</t>
        </is>
      </c>
      <c r="X6" s="60" t="inlineStr">
        <is>
          <t>DM</t>
        </is>
      </c>
      <c r="Y6" s="136" t="inlineStr">
        <is>
          <t>MA</t>
        </is>
      </c>
      <c r="Z6" s="60" t="inlineStr">
        <is>
          <t>DM</t>
        </is>
      </c>
      <c r="AA6" s="136" t="n"/>
      <c r="AB6" s="60" t="inlineStr">
        <is>
          <t>SB2</t>
        </is>
      </c>
      <c r="AC6" s="136" t="n"/>
      <c r="AD6" s="60" t="n"/>
      <c r="AE6" s="136" t="n"/>
      <c r="AF6" s="136" t="inlineStr">
        <is>
          <t>CS1</t>
        </is>
      </c>
      <c r="AG6" s="60" t="n"/>
      <c r="AH6" s="67">
        <f>COUNTIF($C6:$AF6,AH$4)</f>
        <v/>
      </c>
      <c r="AI6" s="67">
        <f>COUNTIF($C6:$AF6,AI$4)</f>
        <v/>
      </c>
      <c r="AJ6" s="67">
        <f>COUNTIF($C6:$AF6,AJ$4)</f>
        <v/>
      </c>
      <c r="AK6" s="67">
        <f>COUNTIF($C6:$AF6,AK$4)</f>
        <v/>
      </c>
      <c r="AL6" s="67">
        <f>COUNTIF($C6:$AF6,AL$4)</f>
        <v/>
      </c>
      <c r="AM6" s="67">
        <f>COUNTIF($C6:$AF6,AM$4)</f>
        <v/>
      </c>
      <c r="AN6" s="67">
        <f>COUNTIF($C6:$AF6,AN$4)</f>
        <v/>
      </c>
      <c r="AO6" s="67">
        <f>COUNTIF($C6:$AF6,AO$4)</f>
        <v/>
      </c>
      <c r="AP6" s="67">
        <f>COUNTIF($C6:$AF6,AP$4)</f>
        <v/>
      </c>
      <c r="AQ6" s="76" t="n"/>
      <c r="AR6" s="76" t="n">
        <v>5</v>
      </c>
      <c r="AS6" s="77">
        <f>SUMPRODUCT(--(WEEKDAY(C$3:AG$3,2)&lt;5),--ISNUMBER(MATCH(C6:AG6,{"DM","CS1","CS2","SB1","AE","CS/B"},0)))</f>
        <v/>
      </c>
      <c r="AT6" s="77" t="n"/>
      <c r="AU6" s="77">
        <f>SUMPRODUCT(--(WEEKDAY(C$3:AG$3,2)=5),--ISNUMBER(MATCH(C6:AG6,{"DM","CS1","CS2","SB1","AE","CS/B","WEEKEND OUTFIELD RESERVE"},0)))</f>
        <v/>
      </c>
      <c r="AV6" s="77">
        <f>SUMPRODUCT(--(WEEKDAY(C$3:AG$3,2)&gt;5),--ISNUMBER(MATCH(C6:AG6,{"DM","CS1","CS2","SB1","AE","CS/B","WEEKEND OUTFIELD RESERVE"},0)))</f>
        <v/>
      </c>
      <c r="AW6" s="77" t="n"/>
      <c r="AX6" s="77">
        <f>(AS6-AT6)+AU6*1.5+(AV6-AW6)*2+AM6*0.5+AO6*0.5+AQ6-AR6</f>
        <v/>
      </c>
      <c r="AY6" s="77">
        <f>AS6+AU6+AV6</f>
        <v/>
      </c>
      <c r="AZ6" s="77">
        <f>BD6+BF6+BH6+BJ6+BL6</f>
        <v/>
      </c>
      <c r="BA6" s="76">
        <f>AX6+BC6</f>
        <v/>
      </c>
      <c r="BB6" s="76">
        <f>(BA6-5)</f>
        <v/>
      </c>
      <c r="BC6" s="77">
        <f>BE6+BG6+BI6+BK6+BM6</f>
        <v/>
      </c>
      <c r="BD6" s="77">
        <f>COUNTIF(A6:AH6,"*$BTP*")</f>
        <v/>
      </c>
      <c r="BE6" s="77">
        <f>BD6*1.5</f>
        <v/>
      </c>
      <c r="BF6" s="77">
        <f>COUNTIF(A6:AH6,"*$M*")</f>
        <v/>
      </c>
      <c r="BG6" s="77">
        <f>BF6*1</f>
        <v/>
      </c>
      <c r="BH6" s="77">
        <f>COUNTIF(A6:AH6,"*$PM*")</f>
        <v/>
      </c>
      <c r="BI6" s="77">
        <f>BH6*0.5</f>
        <v/>
      </c>
      <c r="BJ6" s="77">
        <f>COUNTIF(A6:AH6,"*$AM*")</f>
        <v/>
      </c>
      <c r="BK6" s="77">
        <f>BJ6*0.5</f>
        <v/>
      </c>
      <c r="BL6" s="77">
        <f>COUNTIF(A6:AH6,"*$FC*")</f>
        <v/>
      </c>
      <c r="BM6" s="77">
        <f>BL6*1</f>
        <v/>
      </c>
      <c r="BN6" s="77">
        <f>COUNTIF($D6:$AA6,BN$4)</f>
        <v/>
      </c>
      <c r="BO6" s="77">
        <f>COUNTIF($D6:$AA6,BO$4)</f>
        <v/>
      </c>
      <c r="BP6" s="77">
        <f>COUNTIF($D6:$AA6,BP$4)</f>
        <v/>
      </c>
      <c r="BQ6" s="77" t="n"/>
    </row>
    <row r="7" ht="80.25" customHeight="1">
      <c r="A7" s="67" t="n"/>
      <c r="B7" s="74" t="inlineStr">
        <is>
          <t>CPL GOH DI XUAN</t>
        </is>
      </c>
      <c r="C7" s="110" t="n"/>
      <c r="D7" s="60" t="n"/>
      <c r="E7" s="53" t="inlineStr">
        <is>
          <t>DM</t>
        </is>
      </c>
      <c r="F7" s="60" t="n"/>
      <c r="G7" s="60" t="inlineStr">
        <is>
          <t>AL-'APPROVED</t>
        </is>
      </c>
      <c r="H7" s="53" t="n"/>
      <c r="I7" s="60" t="n"/>
      <c r="J7" s="60" t="inlineStr">
        <is>
          <t>AL-'APPROVED</t>
        </is>
      </c>
      <c r="K7" s="60" t="n"/>
      <c r="L7" s="60" t="inlineStr">
        <is>
          <t>DM</t>
        </is>
      </c>
      <c r="M7" s="60" t="n"/>
      <c r="N7" s="53" t="n"/>
      <c r="O7" s="60" t="n"/>
      <c r="P7" s="60" t="n"/>
      <c r="Q7" s="53" t="inlineStr">
        <is>
          <t>AL</t>
        </is>
      </c>
      <c r="R7" s="60" t="inlineStr">
        <is>
          <t>AL</t>
        </is>
      </c>
      <c r="S7" s="60" t="inlineStr">
        <is>
          <t>AL</t>
        </is>
      </c>
      <c r="T7" s="53" t="inlineStr">
        <is>
          <t>AL</t>
        </is>
      </c>
      <c r="U7" s="60" t="inlineStr">
        <is>
          <t>AL</t>
        </is>
      </c>
      <c r="V7" s="60" t="n"/>
      <c r="W7" s="60" t="n"/>
      <c r="X7" s="60" t="inlineStr">
        <is>
          <t>PM MA</t>
        </is>
      </c>
      <c r="Y7" s="60" t="n"/>
      <c r="Z7" s="60" t="n"/>
      <c r="AA7" s="110" t="inlineStr">
        <is>
          <t>RESERVE</t>
        </is>
      </c>
      <c r="AB7" s="60" t="n"/>
      <c r="AC7" s="60" t="inlineStr">
        <is>
          <t>DM</t>
        </is>
      </c>
      <c r="AD7" s="60" t="n"/>
      <c r="AE7" s="136" t="n"/>
      <c r="AF7" s="60" t="n"/>
      <c r="AG7" s="60" t="n"/>
      <c r="AH7" s="67">
        <f>COUNTIF($C7:$AF7,AH$4)</f>
        <v/>
      </c>
      <c r="AI7" s="67">
        <f>COUNTIF($C7:$AF7,AI$4)</f>
        <v/>
      </c>
      <c r="AJ7" s="67">
        <f>COUNTIF($C7:$AF7,AJ$4)</f>
        <v/>
      </c>
      <c r="AK7" s="67">
        <f>COUNTIF($C7:$AF7,AK$4)</f>
        <v/>
      </c>
      <c r="AL7" s="67">
        <f>COUNTIF($C7:$AF7,AL$4)</f>
        <v/>
      </c>
      <c r="AM7" s="67">
        <f>COUNTIF($C7:$AF7,AM$4)</f>
        <v/>
      </c>
      <c r="AN7" s="67">
        <f>COUNTIF($C7:$AF7,AN$4)</f>
        <v/>
      </c>
      <c r="AO7" s="67">
        <f>COUNTIF($C7:$AF7,AO$4)</f>
        <v/>
      </c>
      <c r="AP7" s="67">
        <f>COUNTIF($C7:$AF7,AP$4)</f>
        <v/>
      </c>
      <c r="AQ7" s="76" t="n">
        <v>1</v>
      </c>
      <c r="AR7" s="76" t="n"/>
      <c r="AS7" s="77">
        <f>SUMPRODUCT(--(WEEKDAY(C$3:AG$3,2)&lt;5),--ISNUMBER(MATCH(C7:AG7,{"DM","CS1","CS2","SB1","AE","CS/B"},0)))</f>
        <v/>
      </c>
      <c r="AT7" s="77" t="n"/>
      <c r="AU7" s="77">
        <f>SUMPRODUCT(--(WEEKDAY(C$3:AG$3,2)=5),--ISNUMBER(MATCH(C7:AG7,{"DM","CS1","CS2","SB1","AE","CS/B","WEEKEND OUTFIELD RESERVE"},0)))</f>
        <v/>
      </c>
      <c r="AV7" s="77">
        <f>SUMPRODUCT(--(WEEKDAY(C$3:AG$3,2)&gt;5),--ISNUMBER(MATCH(C7:AG7,{"DM","CS1","CS2","SB1","AE","CS/B","WEEKEND OUTFIELD RESERVE"},0)))</f>
        <v/>
      </c>
      <c r="AW7" s="77" t="n"/>
      <c r="AX7" s="77">
        <f>(AS7-AT7)+AU7*1.5+(AV7-AW7)*2+AM7*0.5+AO7*0.5+AQ7-AR7</f>
        <v/>
      </c>
      <c r="AY7" s="77">
        <f>AS7+AU7+AV7</f>
        <v/>
      </c>
      <c r="AZ7" s="77">
        <f>BD7+BF7+BH7+BJ7+BL7</f>
        <v/>
      </c>
      <c r="BA7" s="76">
        <f>AX7+BC7</f>
        <v/>
      </c>
      <c r="BB7" s="76">
        <f>(BA7-5)</f>
        <v/>
      </c>
      <c r="BC7" s="77">
        <f>BE7+BG7+BI7+BK7+BM7</f>
        <v/>
      </c>
      <c r="BD7" s="77">
        <f>COUNTIF(A7:AH7,"*$BTP*")</f>
        <v/>
      </c>
      <c r="BE7" s="77">
        <f>BD7*1.5</f>
        <v/>
      </c>
      <c r="BF7" s="77">
        <f>COUNTIF(A7:AH7,"*$M*")</f>
        <v/>
      </c>
      <c r="BG7" s="77">
        <f>BF7*1</f>
        <v/>
      </c>
      <c r="BH7" s="77">
        <f>COUNTIF(A7:AH7,"*$PM*")</f>
        <v/>
      </c>
      <c r="BI7" s="77">
        <f>BH7*0.5</f>
        <v/>
      </c>
      <c r="BJ7" s="77">
        <f>COUNTIF(A7:AH7,"*$AM*")</f>
        <v/>
      </c>
      <c r="BK7" s="77">
        <f>BJ7*0.5</f>
        <v/>
      </c>
      <c r="BL7" s="77">
        <f>COUNTIF(A7:AH7,"*$FC*")</f>
        <v/>
      </c>
      <c r="BM7" s="77">
        <f>BL7*1</f>
        <v/>
      </c>
      <c r="BN7" s="77">
        <f>COUNTIF($D7:$AA7,BN$4)</f>
        <v/>
      </c>
      <c r="BO7" s="77">
        <f>COUNTIF($D7:$AA7,BO$4)</f>
        <v/>
      </c>
      <c r="BP7" s="77">
        <f>COUNTIF($D7:$AA7,BP$4)</f>
        <v/>
      </c>
      <c r="BQ7" s="77" t="n"/>
    </row>
    <row r="8" ht="19.5" customHeight="1">
      <c r="A8" s="67" t="n"/>
      <c r="B8" s="74" t="inlineStr">
        <is>
          <t>LCP WONG JI FENG WILLARD</t>
        </is>
      </c>
      <c r="C8" s="53" t="n"/>
      <c r="D8" s="60" t="inlineStr">
        <is>
          <t>SB1</t>
        </is>
      </c>
      <c r="E8" s="136" t="n"/>
      <c r="F8" s="60" t="inlineStr">
        <is>
          <t>GP</t>
        </is>
      </c>
      <c r="G8" s="60" t="inlineStr">
        <is>
          <t>GP</t>
        </is>
      </c>
      <c r="H8" s="60" t="inlineStr">
        <is>
          <t>GP $M</t>
        </is>
      </c>
      <c r="I8" s="60" t="n"/>
      <c r="J8" s="110" t="inlineStr">
        <is>
          <t>RESERVE</t>
        </is>
      </c>
      <c r="K8" s="60" t="n"/>
      <c r="L8" s="136" t="n"/>
      <c r="M8" s="53" t="n"/>
      <c r="N8" s="60" t="n"/>
      <c r="P8" s="60" t="n"/>
      <c r="Q8" s="136" t="n"/>
      <c r="R8" s="136" t="inlineStr">
        <is>
          <t>COVER RESERVE</t>
        </is>
      </c>
      <c r="S8" s="60" t="n"/>
      <c r="T8" s="53" t="inlineStr">
        <is>
          <t>DM</t>
        </is>
      </c>
      <c r="U8" s="136" t="n"/>
      <c r="V8" s="60" t="inlineStr">
        <is>
          <t>DM</t>
        </is>
      </c>
      <c r="W8" s="60" t="n"/>
      <c r="X8" s="53" t="n"/>
      <c r="Y8" s="60" t="inlineStr">
        <is>
          <t>DM</t>
        </is>
      </c>
      <c r="Z8" s="136" t="n"/>
      <c r="AA8" s="136" t="n"/>
      <c r="AC8" s="53" t="n"/>
      <c r="AD8" s="60" t="n"/>
      <c r="AE8" s="60" t="n"/>
      <c r="AF8" s="60" t="n"/>
      <c r="AG8" s="60" t="n"/>
      <c r="AH8" s="67">
        <f>COUNTIF($C8:$AF8,AH$4)</f>
        <v/>
      </c>
      <c r="AI8" s="67">
        <f>COUNTIF($C8:$AF8,AI$4)</f>
        <v/>
      </c>
      <c r="AJ8" s="67">
        <f>COUNTIF($C8:$AF8,AJ$4)</f>
        <v/>
      </c>
      <c r="AK8" s="67">
        <f>COUNTIF($C8:$AF8,AK$4)</f>
        <v/>
      </c>
      <c r="AL8" s="67">
        <f>COUNTIF($C8:$AF8,AL$4)</f>
        <v/>
      </c>
      <c r="AM8" s="67">
        <f>COUNTIF($C8:$AF8,AM$4)</f>
        <v/>
      </c>
      <c r="AN8" s="67">
        <f>COUNTIF($C8:$AF8,AN$4)</f>
        <v/>
      </c>
      <c r="AO8" s="67">
        <f>COUNTIF($C8:$AF8,AO$4)</f>
        <v/>
      </c>
      <c r="AP8" s="67">
        <f>COUNTIF($C8:$AF8,AP$4)</f>
        <v/>
      </c>
      <c r="AQ8" s="76" t="n">
        <v>0</v>
      </c>
      <c r="AR8" s="76" t="n"/>
      <c r="AS8" s="77">
        <f>SUMPRODUCT(--(WEEKDAY(C$3:AG$3,2)&lt;5),--ISNUMBER(MATCH(C8:AG8,{"DM","CS1","CS2","SB1","AE","CS/B"},0)))</f>
        <v/>
      </c>
      <c r="AT8" s="77" t="n"/>
      <c r="AU8" s="77">
        <f>SUMPRODUCT(--(WEEKDAY(C$3:AG$3,2)=5),--ISNUMBER(MATCH(C8:AG8,{"DM","CS1","CS2","SB1","AE","CS/B","WEEKEND OUTFIELD RESERVE"},0)))</f>
        <v/>
      </c>
      <c r="AV8" s="77">
        <f>SUMPRODUCT(--(WEEKDAY(C$3:AG$3,2)&gt;5),--ISNUMBER(MATCH(C8:AG8,{"DM","CS1","CS2","SB1","AE","CS/B","WEEKEND OUTFIELD RESERVE"},0)))</f>
        <v/>
      </c>
      <c r="AW8" s="77" t="n"/>
      <c r="AX8" s="77">
        <f>(AS8-AT8)+AU8*1.5+(AV8-AW8)*2+AM8*0.5+AO8*0.5+AQ8-AR8</f>
        <v/>
      </c>
      <c r="AY8" s="77">
        <f>AS8+AU8+AV8</f>
        <v/>
      </c>
      <c r="AZ8" s="77">
        <f>BD8+BF8+BH8+BJ8+BL8</f>
        <v/>
      </c>
      <c r="BA8" s="76">
        <f>AX8+BC8</f>
        <v/>
      </c>
      <c r="BB8" s="76">
        <f>(BA8-5)</f>
        <v/>
      </c>
      <c r="BC8" s="77">
        <f>BE8+BG8+BI8+BK8+BM8</f>
        <v/>
      </c>
      <c r="BD8" s="77">
        <f>COUNTIF(A8:AH8,"*$BTP*")</f>
        <v/>
      </c>
      <c r="BE8" s="77">
        <f>BD8*1.5</f>
        <v/>
      </c>
      <c r="BF8" s="77">
        <f>COUNTIF(A8:AH8,"*$M*")</f>
        <v/>
      </c>
      <c r="BG8" s="77">
        <f>BF8*1</f>
        <v/>
      </c>
      <c r="BH8" s="77">
        <f>COUNTIF(A8:AH8,"*$PM*")</f>
        <v/>
      </c>
      <c r="BI8" s="77">
        <f>BH8*0.5</f>
        <v/>
      </c>
      <c r="BJ8" s="77">
        <f>COUNTIF(A8:AH8,"*$AM*")</f>
        <v/>
      </c>
      <c r="BK8" s="77">
        <f>BJ8*0.5</f>
        <v/>
      </c>
      <c r="BL8" s="77">
        <f>COUNTIF(A8:AH8,"*$FC*")</f>
        <v/>
      </c>
      <c r="BM8" s="77">
        <f>BL8*1</f>
        <v/>
      </c>
      <c r="BN8" s="77">
        <f>COUNTIF($D8:$X8,BN$4)</f>
        <v/>
      </c>
      <c r="BO8" s="77">
        <f>COUNTIF($D8:$X8,BO$4)</f>
        <v/>
      </c>
      <c r="BP8" s="77">
        <f>COUNTIF($D8:$X8,BP$4)</f>
        <v/>
      </c>
      <c r="BQ8" s="77" t="n"/>
    </row>
    <row r="9" ht="56.25" customHeight="1">
      <c r="A9" s="67" t="n"/>
      <c r="B9" s="77" t="inlineStr">
        <is>
          <t xml:space="preserve">LCP KOO YI XIAN RAPHAEL </t>
        </is>
      </c>
      <c r="C9" s="74" t="inlineStr">
        <is>
          <t>RESERVE</t>
        </is>
      </c>
      <c r="D9" s="60" t="n"/>
      <c r="E9" s="136" t="inlineStr">
        <is>
          <t>COVER RESERVE</t>
        </is>
      </c>
      <c r="F9" s="60" t="inlineStr">
        <is>
          <t>GP</t>
        </is>
      </c>
      <c r="G9" s="60" t="inlineStr">
        <is>
          <t>GP</t>
        </is>
      </c>
      <c r="H9" s="53" t="inlineStr">
        <is>
          <t>GP $M</t>
        </is>
      </c>
      <c r="I9" s="60" t="n"/>
      <c r="J9" s="60" t="n"/>
      <c r="K9" s="60" t="n"/>
      <c r="L9" s="60" t="n"/>
      <c r="M9" s="60" t="n"/>
      <c r="N9" s="60" t="inlineStr">
        <is>
          <t>CS1</t>
        </is>
      </c>
      <c r="O9" s="60" t="n"/>
      <c r="P9" s="60" t="n"/>
      <c r="Q9" s="136" t="n"/>
      <c r="R9" s="136" t="n"/>
      <c r="S9" s="60" t="inlineStr">
        <is>
          <t>CS2</t>
        </is>
      </c>
      <c r="T9" s="136" t="n"/>
      <c r="U9" s="110" t="inlineStr">
        <is>
          <t>RESERVE</t>
        </is>
      </c>
      <c r="V9" s="60" t="n"/>
      <c r="W9" s="53" t="inlineStr">
        <is>
          <t>CS1</t>
        </is>
      </c>
      <c r="X9" s="60" t="n"/>
      <c r="Y9" s="60" t="n"/>
      <c r="Z9" s="53" t="n"/>
      <c r="AA9" s="60" t="n"/>
      <c r="AB9" s="53" t="inlineStr">
        <is>
          <t>GP OFF</t>
        </is>
      </c>
      <c r="AC9" s="60" t="n"/>
      <c r="AD9" s="60" t="n"/>
      <c r="AE9" s="60" t="inlineStr">
        <is>
          <t>DM</t>
        </is>
      </c>
      <c r="AF9" s="60" t="n"/>
      <c r="AG9" s="60" t="n"/>
      <c r="AH9" s="67">
        <f>COUNTIF($C9:$AF9,AH$4)</f>
        <v/>
      </c>
      <c r="AI9" s="67">
        <f>COUNTIF($C9:$AF9,AI$4)</f>
        <v/>
      </c>
      <c r="AJ9" s="67">
        <f>COUNTIF($C9:$AF9,AJ$4)</f>
        <v/>
      </c>
      <c r="AK9" s="67">
        <f>COUNTIF($C9:$AF9,AK$4)</f>
        <v/>
      </c>
      <c r="AL9" s="67">
        <f>COUNTIF($C9:$AF9,AL$4)</f>
        <v/>
      </c>
      <c r="AM9" s="67">
        <f>COUNTIF($C9:$AF9,AM$4)</f>
        <v/>
      </c>
      <c r="AN9" s="67">
        <f>COUNTIF($C9:$AF9,AN$4)</f>
        <v/>
      </c>
      <c r="AO9" s="67">
        <f>COUNTIF($C9:$AF9,AO$4)</f>
        <v/>
      </c>
      <c r="AP9" s="67">
        <f>COUNTIF($C9:$AF9,AP$4)</f>
        <v/>
      </c>
      <c r="AQ9" s="76" t="n">
        <v>0.5</v>
      </c>
      <c r="AR9" s="76" t="n"/>
      <c r="AS9" s="77">
        <f>SUMPRODUCT(--(WEEKDAY(C$3:AG$3,2)&lt;5),--ISNUMBER(MATCH(C9:AG9,{"DM","CS1","CS2","SB1","AE","CS/B"},0)))</f>
        <v/>
      </c>
      <c r="AT9" s="77" t="n"/>
      <c r="AU9" s="77">
        <f>SUMPRODUCT(--(WEEKDAY(C$3:AG$3,2)=5),--ISNUMBER(MATCH(C9:AG9,{"DM","CS1","CS2","SB1","AE","CS/B","WEEKEND OUTFIELD RESERVE"},0)))</f>
        <v/>
      </c>
      <c r="AV9" s="77">
        <f>SUMPRODUCT(--(WEEKDAY(C$3:AG$3,2)&gt;5),--ISNUMBER(MATCH(C9:AG9,{"DM","CS1","CS2","SB1","AE","CS/B","WEEKEND OUTFIELD RESERVE"},0)))</f>
        <v/>
      </c>
      <c r="AW9" s="77" t="n"/>
      <c r="AX9" s="77">
        <f>(AS9-AT9)+AU9*1.5+(AV9-AW9)*2+AM9*0.5+AO9*0.5+AQ9-AR9</f>
        <v/>
      </c>
      <c r="AY9" s="77">
        <f>AS9+AU9+AV9</f>
        <v/>
      </c>
      <c r="AZ9" s="77">
        <f>BD9+BF9+BH9+BJ9+BL9</f>
        <v/>
      </c>
      <c r="BA9" s="76">
        <f>AX9+BC9</f>
        <v/>
      </c>
      <c r="BB9" s="76">
        <f>(BA9-5)</f>
        <v/>
      </c>
      <c r="BC9" s="77">
        <f>BE9+BG9+BI9+BK9+BM9</f>
        <v/>
      </c>
      <c r="BD9" s="77">
        <f>COUNTIF(A9:AH9,"*$BTP*")</f>
        <v/>
      </c>
      <c r="BE9" s="77">
        <f>BD9*1.5</f>
        <v/>
      </c>
      <c r="BF9" s="77">
        <f>COUNTIF(A9:AH9,"*$M*")</f>
        <v/>
      </c>
      <c r="BG9" s="77">
        <f>BF9*1</f>
        <v/>
      </c>
      <c r="BH9" s="77">
        <f>COUNTIF(A9:AH9,"*$PM*")</f>
        <v/>
      </c>
      <c r="BI9" s="77">
        <f>BH9*0.5</f>
        <v/>
      </c>
      <c r="BJ9" s="77">
        <f>COUNTIF(A9:AH9,"*$AM*")</f>
        <v/>
      </c>
      <c r="BK9" s="77">
        <f>BJ9*0.5</f>
        <v/>
      </c>
      <c r="BL9" s="77">
        <f>COUNTIF(A9:AH9,"*$FC*")</f>
        <v/>
      </c>
      <c r="BM9" s="77">
        <f>BL9*1</f>
        <v/>
      </c>
      <c r="BN9" s="77">
        <f>COUNTIF($D9:$AA9,BN$4)</f>
        <v/>
      </c>
      <c r="BO9" s="77">
        <f>COUNTIF($D9:$AA9,BO$4)</f>
        <v/>
      </c>
      <c r="BP9" s="77">
        <f>COUNTIF($D9:$AA9,BP$4)</f>
        <v/>
      </c>
      <c r="BQ9" s="77" t="n"/>
    </row>
    <row r="10" ht="19.5" customHeight="1">
      <c r="A10" s="67" t="n"/>
      <c r="B10" s="77" t="inlineStr">
        <is>
          <t>3SG SAMUEL TAN ENG WEE</t>
        </is>
      </c>
      <c r="C10" s="110" t="n"/>
      <c r="D10" s="110" t="inlineStr">
        <is>
          <t>RESERVE</t>
        </is>
      </c>
      <c r="E10" s="60" t="n"/>
      <c r="F10" s="60" t="inlineStr">
        <is>
          <t>GP</t>
        </is>
      </c>
      <c r="G10" s="60" t="inlineStr">
        <is>
          <t>GP</t>
        </is>
      </c>
      <c r="H10" s="60" t="inlineStr">
        <is>
          <t>GP $M</t>
        </is>
      </c>
      <c r="I10" s="53" t="n"/>
      <c r="J10" s="60" t="n"/>
      <c r="K10" s="60" t="n"/>
      <c r="L10" s="60" t="inlineStr">
        <is>
          <t>OL</t>
        </is>
      </c>
      <c r="M10" s="60" t="inlineStr">
        <is>
          <t>OL</t>
        </is>
      </c>
      <c r="N10" s="60" t="inlineStr">
        <is>
          <t>OL</t>
        </is>
      </c>
      <c r="O10" s="53" t="inlineStr">
        <is>
          <t>OL</t>
        </is>
      </c>
      <c r="P10" s="60" t="n"/>
      <c r="Q10" s="60" t="n"/>
      <c r="R10" s="60" t="inlineStr">
        <is>
          <t>CS1</t>
        </is>
      </c>
      <c r="S10" s="60" t="n"/>
      <c r="T10" s="110" t="inlineStr">
        <is>
          <t>CS2</t>
        </is>
      </c>
      <c r="U10" s="136" t="n"/>
      <c r="V10" s="136" t="n"/>
      <c r="W10" s="60" t="n"/>
      <c r="X10" s="60" t="inlineStr">
        <is>
          <t>AE</t>
        </is>
      </c>
      <c r="Y10" s="60" t="inlineStr">
        <is>
          <t>COVER RESERVE</t>
        </is>
      </c>
      <c r="Z10" s="60" t="n"/>
      <c r="AB10" s="53" t="inlineStr">
        <is>
          <t>DM</t>
        </is>
      </c>
      <c r="AC10" s="60" t="n"/>
      <c r="AD10" s="60" t="n"/>
      <c r="AE10" s="60" t="n"/>
      <c r="AF10" s="1" t="inlineStr">
        <is>
          <t>COVER RESERVE</t>
        </is>
      </c>
      <c r="AG10" s="60" t="n"/>
      <c r="AH10" s="67">
        <f>COUNTIF($C10:$AF10,AH$4)</f>
        <v/>
      </c>
      <c r="AI10" s="67">
        <f>COUNTIF($C10:$AF10,AI$4)</f>
        <v/>
      </c>
      <c r="AJ10" s="67">
        <f>COUNTIF($C10:$AF10,AJ$4)</f>
        <v/>
      </c>
      <c r="AK10" s="67">
        <f>COUNTIF($C10:$AF10,AK$4)</f>
        <v/>
      </c>
      <c r="AL10" s="67">
        <f>COUNTIF($C10:$AF10,AL$4)</f>
        <v/>
      </c>
      <c r="AM10" s="67">
        <f>COUNTIF($C10:$AF10,AM$4)</f>
        <v/>
      </c>
      <c r="AN10" s="67">
        <f>COUNTIF($C10:$AF10,AN$4)</f>
        <v/>
      </c>
      <c r="AO10" s="67">
        <f>COUNTIF($C10:$AF10,AO$4)</f>
        <v/>
      </c>
      <c r="AP10" s="67">
        <f>COUNTIF($C10:$AF10,AP$4)</f>
        <v/>
      </c>
      <c r="AQ10" s="76" t="n">
        <v>2</v>
      </c>
      <c r="AR10" s="76" t="n"/>
      <c r="AS10" s="77">
        <f>SUMPRODUCT(--(WEEKDAY(C$3:AG$3,2)&lt;5),--ISNUMBER(MATCH(C10:AG10,{"DM","CS1","CS2","SB1","AE","CS/B"},0)))</f>
        <v/>
      </c>
      <c r="AT10" s="77" t="n">
        <v>0</v>
      </c>
      <c r="AU10" s="77">
        <f>SUMPRODUCT(--(WEEKDAY(C$3:AG$3,2)=5),--ISNUMBER(MATCH(C10:AG10,{"DM","CS1","CS2","SB1","AE","CS/B","WEEKEND OUTFIELD RESERVE"},0)))</f>
        <v/>
      </c>
      <c r="AV10" s="77">
        <f>SUMPRODUCT(--(WEEKDAY(C$3:AG$3,2)&gt;5),--ISNUMBER(MATCH(C10:AG10,{"DM","CS1","CS2","SB1","AE","CS/B","WEEKEND OUTFIELD RESERVE"},0)))</f>
        <v/>
      </c>
      <c r="AW10" s="77" t="n"/>
      <c r="AX10" s="77">
        <f>(AS10-AT10)+AU10*1.5+(AV10-AW10)*2+AM10*0.5+AO10*0.5+AQ10-AR10</f>
        <v/>
      </c>
      <c r="AY10" s="77">
        <f>AS10+AU10+AV10</f>
        <v/>
      </c>
      <c r="AZ10" s="77">
        <f>BD10+BF10+BH10+BJ10+BL10</f>
        <v/>
      </c>
      <c r="BA10" s="76">
        <f>AX10+BC10</f>
        <v/>
      </c>
      <c r="BB10" s="76">
        <f>(BA10-5)</f>
        <v/>
      </c>
      <c r="BC10" s="77">
        <f>BE10+BG10+BI10+BK10+BM10</f>
        <v/>
      </c>
      <c r="BD10" s="77">
        <f>COUNTIF(A10:AH10,"*$BTP*")</f>
        <v/>
      </c>
      <c r="BE10" s="77">
        <f>BD10*1.5</f>
        <v/>
      </c>
      <c r="BF10" s="77">
        <f>COUNTIF(A10:AH10,"*$M*")</f>
        <v/>
      </c>
      <c r="BG10" s="77">
        <f>BF10*1</f>
        <v/>
      </c>
      <c r="BH10" s="77">
        <f>COUNTIF(A10:AH10,"*$PM*")</f>
        <v/>
      </c>
      <c r="BI10" s="77">
        <f>BH10*0.5</f>
        <v/>
      </c>
      <c r="BJ10" s="77">
        <f>COUNTIF(A10:AH10,"*$AM*")</f>
        <v/>
      </c>
      <c r="BK10" s="77">
        <f>BJ10*0.5</f>
        <v/>
      </c>
      <c r="BL10" s="77">
        <f>COUNTIF(A10:AH10,"*$FC*")</f>
        <v/>
      </c>
      <c r="BM10" s="77">
        <f>BL10*1</f>
        <v/>
      </c>
      <c r="BN10" s="77">
        <f>COUNTIF($D10:$AA10,BN$4)</f>
        <v/>
      </c>
      <c r="BO10" s="77">
        <f>COUNTIF($D10:$AA10,BO$4)</f>
        <v/>
      </c>
      <c r="BP10" s="77">
        <f>COUNTIF($D10:$AA10,BP$4)</f>
        <v/>
      </c>
      <c r="BQ10" s="77" t="n"/>
    </row>
    <row r="11" ht="51" customHeight="1">
      <c r="A11" s="67" t="n"/>
      <c r="B11" s="74" t="inlineStr">
        <is>
          <t>LCP MATTHEW HWANG YEW SENG</t>
        </is>
      </c>
      <c r="C11" s="110" t="n"/>
      <c r="D11" s="110" t="n"/>
      <c r="E11" s="60" t="inlineStr">
        <is>
          <t>CS1</t>
        </is>
      </c>
      <c r="F11" s="60" t="n"/>
      <c r="G11" s="60" t="n"/>
      <c r="H11" s="60" t="inlineStr">
        <is>
          <t>DM</t>
        </is>
      </c>
      <c r="J11" s="60" t="n"/>
      <c r="K11" s="110" t="inlineStr">
        <is>
          <t>RESERVE</t>
        </is>
      </c>
      <c r="L11" s="60" t="n"/>
      <c r="M11" s="60" t="inlineStr">
        <is>
          <t>CS1</t>
        </is>
      </c>
      <c r="N11" s="60" t="n"/>
      <c r="O11" s="53" t="n"/>
      <c r="P11" s="60" t="n"/>
      <c r="Q11" s="60" t="n"/>
      <c r="R11" s="60" t="inlineStr">
        <is>
          <t>CS2</t>
        </is>
      </c>
      <c r="S11" s="60" t="n"/>
      <c r="T11" s="110" t="n"/>
      <c r="U11" s="136" t="inlineStr">
        <is>
          <t>COVER RESERVE</t>
        </is>
      </c>
      <c r="V11" s="53" t="n"/>
      <c r="W11" s="60" t="n"/>
      <c r="X11" s="60" t="inlineStr">
        <is>
          <t>CS1</t>
        </is>
      </c>
      <c r="Y11" s="60" t="n"/>
      <c r="Z11" s="136" t="n"/>
      <c r="AA11" s="60" t="inlineStr">
        <is>
          <t>CS1</t>
        </is>
      </c>
      <c r="AB11" s="60" t="n"/>
      <c r="AC11" s="60" t="n"/>
      <c r="AD11" s="60" t="inlineStr">
        <is>
          <t>DM</t>
        </is>
      </c>
      <c r="AE11" s="136" t="inlineStr">
        <is>
          <t>COVER RESERVE</t>
        </is>
      </c>
      <c r="AF11" s="60" t="n"/>
      <c r="AG11" s="60" t="n"/>
      <c r="AH11" s="67">
        <f>COUNTIF($C11:$AF11,AH$4)</f>
        <v/>
      </c>
      <c r="AI11" s="67">
        <f>COUNTIF($C11:$AF11,AI$4)</f>
        <v/>
      </c>
      <c r="AJ11" s="67">
        <f>COUNTIF($C11:$AF11,AJ$4)</f>
        <v/>
      </c>
      <c r="AK11" s="67">
        <f>COUNTIF($C11:$AF11,AK$4)</f>
        <v/>
      </c>
      <c r="AL11" s="67">
        <f>COUNTIF($C11:$AF11,AL$4)</f>
        <v/>
      </c>
      <c r="AM11" s="67">
        <f>COUNTIF($C11:$AF11,AM$4)</f>
        <v/>
      </c>
      <c r="AN11" s="67">
        <f>COUNTIF($C11:$AF11,AN$4)</f>
        <v/>
      </c>
      <c r="AO11" s="67">
        <f>COUNTIF($C11:$AF11,AO$4)</f>
        <v/>
      </c>
      <c r="AP11" s="67">
        <f>COUNTIF($C11:$AF11,AP$4)</f>
        <v/>
      </c>
      <c r="AQ11" s="76" t="n">
        <v>0</v>
      </c>
      <c r="AR11" s="76" t="n"/>
      <c r="AS11" s="77">
        <f>SUMPRODUCT(--(WEEKDAY(C$3:AG$3,2)&lt;5),--ISNUMBER(MATCH(C11:AG11,{"DM","CS1","CS2","SB1","AE","CS/B"},0)))</f>
        <v/>
      </c>
      <c r="AT11" s="77" t="n"/>
      <c r="AU11" s="77">
        <f>SUMPRODUCT(--(WEEKDAY(C$3:AG$3,2)=5),--ISNUMBER(MATCH(C11:AG11,{"DM","CS1","CS2","SB1","AE","CS/B","WEEKEND OUTFIELD RESERVE"},0)))</f>
        <v/>
      </c>
      <c r="AV11" s="77">
        <f>SUMPRODUCT(--(WEEKDAY(C$3:AG$3,2)&gt;5),--ISNUMBER(MATCH(C11:AG11,{"DM","CS1","CS2","SB1","AE","CS/B","WEEKEND OUTFIELD RESERVE"},0)))</f>
        <v/>
      </c>
      <c r="AW11" s="77" t="n"/>
      <c r="AX11" s="77">
        <f>(AS11-AT11)+AU11*1.5+(AV11-AW11)*2+AM11*0.5+AO11*0.5+AQ11-AR11</f>
        <v/>
      </c>
      <c r="AY11" s="77">
        <f>AS11+AU11+AV11</f>
        <v/>
      </c>
      <c r="AZ11" s="77">
        <f>BD11+BF11+BH11+BJ11+BL11</f>
        <v/>
      </c>
      <c r="BA11" s="76">
        <f>AX11+BC11</f>
        <v/>
      </c>
      <c r="BB11" s="76">
        <f>(BA11-5)</f>
        <v/>
      </c>
      <c r="BC11" s="77">
        <f>BE11+BG11+BI11+BK11+BM11</f>
        <v/>
      </c>
      <c r="BD11" s="77">
        <f>COUNTIF(A11:AH11,"*$BTP*")</f>
        <v/>
      </c>
      <c r="BE11" s="77">
        <f>BD11*1.5</f>
        <v/>
      </c>
      <c r="BF11" s="77">
        <f>COUNTIF(A11:AH11,"*$M*")</f>
        <v/>
      </c>
      <c r="BG11" s="77">
        <f>BF11*1</f>
        <v/>
      </c>
      <c r="BH11" s="77">
        <f>COUNTIF(A11:AH11,"*$PM*")</f>
        <v/>
      </c>
      <c r="BI11" s="77">
        <f>BH11*0.5</f>
        <v/>
      </c>
      <c r="BJ11" s="77">
        <f>COUNTIF(A11:AH11,"*$AM*")</f>
        <v/>
      </c>
      <c r="BK11" s="77">
        <f>BJ11*0.5</f>
        <v/>
      </c>
      <c r="BL11" s="77">
        <f>COUNTIF(A11:AH11,"*$FC*")</f>
        <v/>
      </c>
      <c r="BM11" s="77">
        <f>BL11*1</f>
        <v/>
      </c>
      <c r="BN11" s="77">
        <f>COUNTIF($D11:$AA11,BN$4)</f>
        <v/>
      </c>
      <c r="BO11" s="77">
        <f>COUNTIF($D11:$AA11,BO$4)</f>
        <v/>
      </c>
      <c r="BP11" s="77">
        <f>COUNTIF($D11:$AA11,BP$4)</f>
        <v/>
      </c>
      <c r="BQ11" s="77" t="n"/>
    </row>
    <row r="12" ht="45" customHeight="1">
      <c r="A12" s="67" t="n"/>
      <c r="B12" s="74" t="inlineStr">
        <is>
          <t xml:space="preserve">LCP IGNATIUS QUEK </t>
        </is>
      </c>
      <c r="C12" s="107" t="inlineStr">
        <is>
          <t>HL</t>
        </is>
      </c>
      <c r="D12" s="107" t="inlineStr">
        <is>
          <t>HL</t>
        </is>
      </c>
      <c r="E12" s="107" t="inlineStr">
        <is>
          <t>HL</t>
        </is>
      </c>
      <c r="F12" s="107" t="inlineStr">
        <is>
          <t>HL</t>
        </is>
      </c>
      <c r="G12" s="107" t="inlineStr">
        <is>
          <t>HL</t>
        </is>
      </c>
      <c r="H12" s="107" t="inlineStr">
        <is>
          <t>HL</t>
        </is>
      </c>
      <c r="I12" s="107" t="inlineStr">
        <is>
          <t>HL</t>
        </is>
      </c>
      <c r="J12" s="107" t="inlineStr">
        <is>
          <t>HL</t>
        </is>
      </c>
      <c r="K12" s="107" t="inlineStr">
        <is>
          <t>HL</t>
        </is>
      </c>
      <c r="L12" s="107" t="inlineStr">
        <is>
          <t>HL</t>
        </is>
      </c>
      <c r="M12" s="107" t="inlineStr">
        <is>
          <t>HL</t>
        </is>
      </c>
      <c r="N12" s="107" t="inlineStr">
        <is>
          <t>HL</t>
        </is>
      </c>
      <c r="O12" s="107" t="inlineStr">
        <is>
          <t>HL</t>
        </is>
      </c>
      <c r="P12" s="107" t="inlineStr">
        <is>
          <t>HL</t>
        </is>
      </c>
      <c r="Q12" s="107" t="inlineStr">
        <is>
          <t>HL</t>
        </is>
      </c>
      <c r="R12" s="136" t="n"/>
      <c r="T12" s="60" t="n"/>
      <c r="U12" s="60" t="inlineStr">
        <is>
          <t>OL</t>
        </is>
      </c>
      <c r="V12" s="60" t="inlineStr">
        <is>
          <t>CS2</t>
        </is>
      </c>
      <c r="W12" s="60" t="n"/>
      <c r="Y12" s="60" t="n"/>
      <c r="Z12" s="60" t="n"/>
      <c r="AA12" s="60" t="n"/>
      <c r="AB12" s="53" t="n"/>
      <c r="AD12" s="53" t="n"/>
      <c r="AE12" s="60" t="n"/>
      <c r="AF12" s="60" t="n"/>
      <c r="AG12" s="53" t="n"/>
      <c r="AH12" s="67">
        <f>COUNTIF($C12:$AF12,AH$4)</f>
        <v/>
      </c>
      <c r="AI12" s="67">
        <f>COUNTIF($C12:$AF12,AI$4)</f>
        <v/>
      </c>
      <c r="AJ12" s="67">
        <f>COUNTIF($C12:$AF12,AJ$4)</f>
        <v/>
      </c>
      <c r="AK12" s="67">
        <f>COUNTIF($C12:$AF12,AK$4)</f>
        <v/>
      </c>
      <c r="AL12" s="67">
        <f>COUNTIF($C12:$AF12,AL$4)</f>
        <v/>
      </c>
      <c r="AM12" s="67">
        <f>COUNTIF($C12:$AF12,AM$4)</f>
        <v/>
      </c>
      <c r="AN12" s="67">
        <f>COUNTIF($C12:$AF12,AN$4)</f>
        <v/>
      </c>
      <c r="AO12" s="67">
        <f>COUNTIF($C12:$AF12,AO$4)</f>
        <v/>
      </c>
      <c r="AP12" s="67">
        <f>COUNTIF($C12:$AF12,AP$4)</f>
        <v/>
      </c>
      <c r="AQ12" s="76" t="n">
        <v>0</v>
      </c>
      <c r="AR12" s="76" t="n"/>
      <c r="AS12" s="77">
        <f>SUMPRODUCT(--(WEEKDAY(C$3:AG$3,2)&lt;5),--ISNUMBER(MATCH(C12:AG12,{"DM","CS1","CS2","SB1","AE","CS/B"},0)))</f>
        <v/>
      </c>
      <c r="AT12" s="77" t="n"/>
      <c r="AU12" s="77">
        <f>SUMPRODUCT(--(WEEKDAY(C$3:AG$3,2)=5),--ISNUMBER(MATCH(C12:AG12,{"DM","CS1","CS2","SB1","AE","CS/B","WEEKEND OUTFIELD RESERVE"},0)))</f>
        <v/>
      </c>
      <c r="AV12" s="77">
        <f>SUMPRODUCT(--(WEEKDAY(C$3:AG$3,2)&gt;5),--ISNUMBER(MATCH(C12:AG12,{"DM","CS1","CS2","SB1","AE","CS/B","WEEKEND OUTFIELD RESERVE"},0)))</f>
        <v/>
      </c>
      <c r="AW12" s="77" t="n"/>
      <c r="AX12" s="77">
        <f>(AS12-AT12)+AU12*1.5+(AV12-AW12)*2+AM12*0.5+AO12*0.5+AQ12-AR12</f>
        <v/>
      </c>
      <c r="AY12" s="77">
        <f>AS12+AU12+AV12</f>
        <v/>
      </c>
      <c r="AZ12" s="77">
        <f>BD12+BF12+BH12+BJ12+BL12</f>
        <v/>
      </c>
      <c r="BA12" s="76">
        <f>AX12+BC12</f>
        <v/>
      </c>
      <c r="BB12" s="76">
        <f>(BA12-5)</f>
        <v/>
      </c>
      <c r="BC12" s="77">
        <f>BE12+BG12+BI12+BK12+BM12</f>
        <v/>
      </c>
      <c r="BD12" s="77">
        <f>COUNTIF(A12:AH12,"*$BTP*")</f>
        <v/>
      </c>
      <c r="BE12" s="77">
        <f>BD12*1.5</f>
        <v/>
      </c>
      <c r="BF12" s="77">
        <f>COUNTIF(A12:AH12,"*$M*")</f>
        <v/>
      </c>
      <c r="BG12" s="77">
        <f>BF12*1</f>
        <v/>
      </c>
      <c r="BH12" s="77">
        <f>COUNTIF(A12:AH12,"*$PM*")</f>
        <v/>
      </c>
      <c r="BI12" s="77">
        <f>BH12*0.5</f>
        <v/>
      </c>
      <c r="BJ12" s="77">
        <f>COUNTIF(A12:AH12,"*$AM*")</f>
        <v/>
      </c>
      <c r="BK12" s="77">
        <f>BJ12*0.5</f>
        <v/>
      </c>
      <c r="BL12" s="77">
        <f>COUNTIF(A12:AH12,"*$FC*")</f>
        <v/>
      </c>
      <c r="BM12" s="77">
        <f>BL12*1</f>
        <v/>
      </c>
      <c r="BN12" s="77">
        <f>COUNTIF($D12:$AA12,BN$4)</f>
        <v/>
      </c>
      <c r="BO12" s="77">
        <f>COUNTIF($D12:$AA12,BO$4)</f>
        <v/>
      </c>
      <c r="BP12" s="77">
        <f>COUNTIF($D12:$AA12,BP$4)</f>
        <v/>
      </c>
      <c r="BQ12" s="77" t="n"/>
    </row>
    <row r="13" ht="39.75" customHeight="1">
      <c r="A13" s="67" t="n"/>
      <c r="B13" s="77" t="inlineStr">
        <is>
          <t>PTE MENDEZ RALPH JUSTINE MACALINO</t>
        </is>
      </c>
      <c r="C13" s="110" t="n"/>
      <c r="D13" s="110" t="n"/>
      <c r="E13" s="60" t="inlineStr">
        <is>
          <t>R $AM GX PHASE 1 (0400-1230)</t>
        </is>
      </c>
      <c r="F13" s="60" t="inlineStr">
        <is>
          <t>AE</t>
        </is>
      </c>
      <c r="H13" s="60" t="n"/>
      <c r="I13" s="60" t="n"/>
      <c r="J13" s="60" t="n"/>
      <c r="K13" s="60" t="n"/>
      <c r="L13" s="60" t="inlineStr">
        <is>
          <t>AE</t>
        </is>
      </c>
      <c r="M13" s="53" t="n"/>
      <c r="N13" s="60" t="n"/>
      <c r="O13" s="60" t="n"/>
      <c r="P13" s="60" t="n"/>
      <c r="Q13" s="110" t="inlineStr">
        <is>
          <t>RESERVE</t>
        </is>
      </c>
      <c r="R13" s="60" t="n"/>
      <c r="S13" s="60" t="n"/>
      <c r="T13" s="60" t="inlineStr">
        <is>
          <t>OL</t>
        </is>
      </c>
      <c r="U13" s="53" t="inlineStr">
        <is>
          <t>OL</t>
        </is>
      </c>
      <c r="V13" s="60" t="inlineStr">
        <is>
          <t>OL</t>
        </is>
      </c>
      <c r="W13" s="53" t="n"/>
      <c r="Z13" s="60" t="n"/>
      <c r="AA13" s="60" t="n"/>
      <c r="AB13" s="60" t="n"/>
      <c r="AC13" s="60" t="inlineStr">
        <is>
          <t>AE</t>
        </is>
      </c>
      <c r="AD13" s="60" t="n"/>
      <c r="AE13" s="60" t="n"/>
      <c r="AF13" s="53" t="inlineStr">
        <is>
          <t>AE</t>
        </is>
      </c>
      <c r="AG13" s="60" t="n"/>
      <c r="AH13" s="67">
        <f>COUNTIF($C13:$AF13,AH$4)</f>
        <v/>
      </c>
      <c r="AI13" s="67">
        <f>COUNTIF($C13:$AF13,AI$4)</f>
        <v/>
      </c>
      <c r="AJ13" s="67">
        <f>COUNTIF($C13:$AF13,AJ$4)</f>
        <v/>
      </c>
      <c r="AK13" s="67">
        <f>COUNTIF($C13:$AF13,AK$4)</f>
        <v/>
      </c>
      <c r="AL13" s="67">
        <f>COUNTIF($C13:$AF13,AL$4)</f>
        <v/>
      </c>
      <c r="AM13" s="67">
        <f>COUNTIF($C13:$AF13,AM$4)</f>
        <v/>
      </c>
      <c r="AN13" s="67">
        <f>COUNTIF($C13:$AF13,AN$4)</f>
        <v/>
      </c>
      <c r="AO13" s="67">
        <f>COUNTIF($C13:$AF13,AO$4)</f>
        <v/>
      </c>
      <c r="AP13" s="67">
        <f>COUNTIF($C13:$AF13,AP$4)</f>
        <v/>
      </c>
      <c r="AQ13" s="76" t="n"/>
      <c r="AR13" s="76" t="n">
        <v>1.5</v>
      </c>
      <c r="AS13" s="77">
        <f>SUMPRODUCT(--(WEEKDAY(C$3:AG$3,2)&lt;5),--ISNUMBER(MATCH(C13:AG13,{"DM","CS1","CS2","SB1","AE","CS/B"},0)))</f>
        <v/>
      </c>
      <c r="AT13" s="77" t="n"/>
      <c r="AU13" s="77">
        <f>SUMPRODUCT(--(WEEKDAY(C$3:AG$3,2)=5),--ISNUMBER(MATCH(C13:AG13,{"DM","CS1","CS2","SB1","AE","CS/B","WEEKEND OUTFIELD RESERVE"},0)))</f>
        <v/>
      </c>
      <c r="AV13" s="77">
        <f>SUMPRODUCT(--(WEEKDAY(C$3:AG$3,2)&gt;5),--ISNUMBER(MATCH(C13:AG13,{"DM","CS1","CS2","SB1","AE","CS/B","WEEKEND OUTFIELD RESERVE"},0)))</f>
        <v/>
      </c>
      <c r="AW13" s="77" t="n"/>
      <c r="AX13" s="77">
        <f>(AS13-AT13)+AU13*1.5+(AV13-AW13)*2+AM13*0.5+AO13*0.5+AQ13-AR13</f>
        <v/>
      </c>
      <c r="AY13" s="77">
        <f>AS13+AU13+AV13</f>
        <v/>
      </c>
      <c r="AZ13" s="77">
        <f>BD13+BF13+BH13+BJ13+BL13</f>
        <v/>
      </c>
      <c r="BA13" s="76">
        <f>AX13+BC13</f>
        <v/>
      </c>
      <c r="BB13" s="76">
        <f>(BA13-5)</f>
        <v/>
      </c>
      <c r="BC13" s="77">
        <f>BE13+BG13+BI13+BK13+BM13</f>
        <v/>
      </c>
      <c r="BD13" s="77">
        <f>COUNTIF(A13:AH13,"*$BTP*")</f>
        <v/>
      </c>
      <c r="BE13" s="77">
        <f>BD13*1.5</f>
        <v/>
      </c>
      <c r="BF13" s="77">
        <f>COUNTIF(A13:AH13,"*$M*")</f>
        <v/>
      </c>
      <c r="BG13" s="77">
        <f>BF13*1</f>
        <v/>
      </c>
      <c r="BH13" s="77">
        <f>COUNTIF(A13:AH13,"*$PM*")</f>
        <v/>
      </c>
      <c r="BI13" s="77">
        <f>BH13*0.5</f>
        <v/>
      </c>
      <c r="BJ13" s="77">
        <f>COUNTIF(A13:AH13,"*$AM*")</f>
        <v/>
      </c>
      <c r="BK13" s="77">
        <f>BJ13*0.5</f>
        <v/>
      </c>
      <c r="BL13" s="77">
        <f>COUNTIF(A13:AH13,"*$FC*")</f>
        <v/>
      </c>
      <c r="BM13" s="77">
        <f>BL13*1</f>
        <v/>
      </c>
      <c r="BN13" s="77">
        <f>COUNTIF($D13:$AA13,BN$4)</f>
        <v/>
      </c>
      <c r="BO13" s="77">
        <f>COUNTIF($D13:$AA13,BO$4)</f>
        <v/>
      </c>
      <c r="BP13" s="77">
        <f>COUNTIF($D13:$AA13,BP$4)</f>
        <v/>
      </c>
      <c r="BQ13" s="77" t="n"/>
    </row>
    <row r="14" ht="47.25" customHeight="1">
      <c r="A14" s="67" t="n"/>
      <c r="B14" s="76" t="inlineStr">
        <is>
          <t>PTE DANIEL ISKANDAR BIN SANUSI</t>
        </is>
      </c>
      <c r="C14" s="107" t="n"/>
      <c r="E14" s="60" t="n"/>
      <c r="G14" s="53" t="inlineStr">
        <is>
          <t>AE</t>
        </is>
      </c>
      <c r="H14" s="60" t="n"/>
      <c r="I14" s="60" t="n"/>
      <c r="J14" s="60" t="n"/>
      <c r="K14" s="60" t="n"/>
      <c r="L14" s="136" t="n"/>
      <c r="M14" s="110" t="inlineStr">
        <is>
          <t>RESERVE</t>
        </is>
      </c>
      <c r="N14" s="60" t="n"/>
      <c r="O14" s="60" t="inlineStr">
        <is>
          <t>AE</t>
        </is>
      </c>
      <c r="P14" s="60" t="n"/>
      <c r="Q14" s="60" t="n"/>
      <c r="R14" s="60" t="n"/>
      <c r="S14" s="60" t="inlineStr">
        <is>
          <t>AE</t>
        </is>
      </c>
      <c r="T14" s="53" t="inlineStr">
        <is>
          <t>RESERVE</t>
        </is>
      </c>
      <c r="U14" s="60" t="n"/>
      <c r="V14" s="60" t="n"/>
      <c r="W14" s="60" t="n"/>
      <c r="X14" s="60" t="n"/>
      <c r="Y14" s="60" t="inlineStr">
        <is>
          <t>AE</t>
        </is>
      </c>
      <c r="Z14" s="60" t="n"/>
      <c r="AA14" s="60" t="n"/>
      <c r="AC14" s="53" t="n"/>
      <c r="AD14" s="60" t="n"/>
      <c r="AE14" s="60" t="n"/>
      <c r="AF14" s="60" t="n"/>
      <c r="AG14" s="60" t="n"/>
      <c r="AH14" s="67">
        <f>COUNTIF($C14:$AF14,AH$4)</f>
        <v/>
      </c>
      <c r="AI14" s="67">
        <f>COUNTIF($C14:$AF14,AI$4)</f>
        <v/>
      </c>
      <c r="AJ14" s="67">
        <f>COUNTIF($C14:$AF14,AJ$4)</f>
        <v/>
      </c>
      <c r="AK14" s="67">
        <f>COUNTIF($C14:$AF14,AK$4)</f>
        <v/>
      </c>
      <c r="AL14" s="67">
        <f>COUNTIF($C14:$AF14,AL$4)</f>
        <v/>
      </c>
      <c r="AM14" s="67">
        <f>COUNTIF($C14:$AF14,AM$4)</f>
        <v/>
      </c>
      <c r="AN14" s="67">
        <f>COUNTIF($C14:$AF14,AN$4)</f>
        <v/>
      </c>
      <c r="AO14" s="67">
        <f>COUNTIF($C14:$AF14,AO$4)</f>
        <v/>
      </c>
      <c r="AP14" s="67">
        <f>COUNTIF($C14:$AF14,AP$4)</f>
        <v/>
      </c>
      <c r="AQ14" s="76" t="n">
        <v>0.5</v>
      </c>
      <c r="AR14" s="76" t="n"/>
      <c r="AS14" s="77">
        <f>SUMPRODUCT(--(WEEKDAY(C$3:AG$3,2)&lt;5),--ISNUMBER(MATCH(C14:AG14,{"DM","CS1","CS2","SB1","AE","CS/B"},0)))</f>
        <v/>
      </c>
      <c r="AT14" s="77" t="n"/>
      <c r="AU14" s="77">
        <f>SUMPRODUCT(--(WEEKDAY(C$3:AG$3,2)=5),--ISNUMBER(MATCH(C14:AG14,{"DM","CS1","CS2","SB1","AE","CS/B","WEEKEND OUTFIELD RESERVE"},0)))</f>
        <v/>
      </c>
      <c r="AV14" s="77">
        <f>SUMPRODUCT(--(WEEKDAY(C$3:AG$3,2)&gt;5),--ISNUMBER(MATCH(C14:AG14,{"DM","CS1","CS2","SB1","AE","CS/B","WEEKEND OUTFIELD RESERVE"},0)))</f>
        <v/>
      </c>
      <c r="AW14" s="77" t="n"/>
      <c r="AX14" s="77">
        <f>(AS14-AT14)+AU14*1.5+(AV14-AW14)*2+AM14*0.5+AO14*0.5+AQ14-AR14</f>
        <v/>
      </c>
      <c r="AY14" s="77">
        <f>AS14+AU14+AV14</f>
        <v/>
      </c>
      <c r="AZ14" s="77">
        <f>BD14+BF14+BH14+BJ14+BL14</f>
        <v/>
      </c>
      <c r="BA14" s="76">
        <f>AX14+BC14</f>
        <v/>
      </c>
      <c r="BB14" s="76">
        <f>(BA14-5)</f>
        <v/>
      </c>
      <c r="BC14" s="77">
        <f>BE14+BG14+BI14+BK14+BM14</f>
        <v/>
      </c>
      <c r="BD14" s="77">
        <f>COUNTIF(A14:AH14,"*$BTP*")</f>
        <v/>
      </c>
      <c r="BE14" s="77">
        <f>BD14*1.5</f>
        <v/>
      </c>
      <c r="BF14" s="77">
        <f>COUNTIF(A14:AH14,"*$M*")</f>
        <v/>
      </c>
      <c r="BG14" s="77">
        <f>BF14*1</f>
        <v/>
      </c>
      <c r="BH14" s="77">
        <f>COUNTIF(A14:AH14,"*$PM*")</f>
        <v/>
      </c>
      <c r="BI14" s="77">
        <f>BH14*0.5</f>
        <v/>
      </c>
      <c r="BJ14" s="77">
        <f>COUNTIF(A14:AH14,"*$AM*")</f>
        <v/>
      </c>
      <c r="BK14" s="77">
        <f>BJ14*0.5</f>
        <v/>
      </c>
      <c r="BL14" s="77">
        <f>COUNTIF(A14:AH14,"*$FC*")</f>
        <v/>
      </c>
      <c r="BM14" s="77">
        <f>BL14*1</f>
        <v/>
      </c>
      <c r="BN14" s="77">
        <f>COUNTIF($D14:$AA14,BN$4)</f>
        <v/>
      </c>
      <c r="BO14" s="77">
        <f>COUNTIF($D14:$AA14,BO$4)</f>
        <v/>
      </c>
      <c r="BP14" s="77">
        <f>COUNTIF($D14:$AA14,BP$4)</f>
        <v/>
      </c>
      <c r="BQ14" s="77" t="n"/>
    </row>
    <row r="15" ht="45" customHeight="1">
      <c r="A15" s="67" t="n"/>
      <c r="B15" s="76" t="inlineStr">
        <is>
          <t>LCP APPLE YEO</t>
        </is>
      </c>
      <c r="C15" s="110" t="n"/>
      <c r="D15" s="110" t="n"/>
      <c r="E15" s="60" t="inlineStr">
        <is>
          <t>CS2</t>
        </is>
      </c>
      <c r="F15" s="60" t="n"/>
      <c r="G15" s="53" t="n"/>
      <c r="H15" s="53" t="inlineStr">
        <is>
          <t>CS2</t>
        </is>
      </c>
      <c r="J15" s="60" t="n"/>
      <c r="K15" s="53" t="n"/>
      <c r="L15" s="60" t="n"/>
      <c r="M15" s="60" t="inlineStr">
        <is>
          <t>DM</t>
        </is>
      </c>
      <c r="N15" s="60" t="n"/>
      <c r="O15" s="60" t="n"/>
      <c r="P15" s="60" t="n"/>
      <c r="Q15" s="60" t="n"/>
      <c r="R15" s="136" t="inlineStr">
        <is>
          <t>DM</t>
        </is>
      </c>
      <c r="S15" s="60" t="n"/>
      <c r="V15" s="60" t="n"/>
      <c r="W15" s="60" t="n"/>
      <c r="X15" s="60" t="inlineStr">
        <is>
          <t>OPERATION</t>
        </is>
      </c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7">
        <f>COUNTIF($C15:$AF15,AH$4)</f>
        <v/>
      </c>
      <c r="AI15" s="67">
        <f>COUNTIF($C15:$AF15,AI$4)</f>
        <v/>
      </c>
      <c r="AJ15" s="67">
        <f>COUNTIF($C15:$AF15,AJ$4)</f>
        <v/>
      </c>
      <c r="AK15" s="67">
        <f>COUNTIF($C15:$AF15,AK$4)</f>
        <v/>
      </c>
      <c r="AL15" s="67">
        <f>COUNTIF($C15:$AF15,AL$4)</f>
        <v/>
      </c>
      <c r="AM15" s="67">
        <f>COUNTIF($C15:$AF15,AM$4)</f>
        <v/>
      </c>
      <c r="AN15" s="67">
        <f>COUNTIF($C15:$AF15,AN$4)</f>
        <v/>
      </c>
      <c r="AO15" s="67">
        <f>COUNTIF($C15:$AF15,AO$4)</f>
        <v/>
      </c>
      <c r="AP15" s="67">
        <f>COUNTIF($C15:$AF15,AP$4)</f>
        <v/>
      </c>
      <c r="AQ15" s="76" t="n">
        <v>3</v>
      </c>
      <c r="AR15" s="76" t="n"/>
      <c r="AS15" s="77">
        <f>SUMPRODUCT(--(WEEKDAY(C$3:AG$3,2)&lt;5),--ISNUMBER(MATCH(C15:AG15,{"DM","CS1","CS2","SB1","AE","CS/B"},0)))</f>
        <v/>
      </c>
      <c r="AT15" s="77" t="n"/>
      <c r="AU15" s="77">
        <f>SUMPRODUCT(--(WEEKDAY(C$3:AG$3,2)=5),--ISNUMBER(MATCH(C15:AG15,{"DM","CS1","CS2","SB1","AE","CS/B","WEEKEND OUTFIELD RESERVE"},0)))</f>
        <v/>
      </c>
      <c r="AV15" s="77">
        <f>SUMPRODUCT(--(WEEKDAY(C$3:AG$3,2)&gt;5),--ISNUMBER(MATCH(C15:AG15,{"DM","CS1","CS2","SB1","AE","CS/B","WEEKEND OUTFIELD RESERVE"},0)))</f>
        <v/>
      </c>
      <c r="AW15" s="77" t="n"/>
      <c r="AX15" s="77">
        <f>(AS15-AT15)+AU15*1.5+(AV15-AW15)*2+AM15*0.5+AO15*0.5+AQ15-AR15</f>
        <v/>
      </c>
      <c r="AY15" s="77">
        <f>AS15+AU15+AV15</f>
        <v/>
      </c>
      <c r="AZ15" s="77">
        <f>BD15+BF15+BH15+BJ15+BL15</f>
        <v/>
      </c>
      <c r="BA15" s="76">
        <f>AX15+BC15</f>
        <v/>
      </c>
      <c r="BB15" s="76">
        <f>(BA15-7)</f>
        <v/>
      </c>
      <c r="BC15" s="77">
        <f>BE15+BG15+BI15+BK15+BM15</f>
        <v/>
      </c>
      <c r="BD15" s="77">
        <f>COUNTIF(A15:AH15,"*$BTP*")</f>
        <v/>
      </c>
      <c r="BE15" s="77">
        <f>BD15*1.5</f>
        <v/>
      </c>
      <c r="BF15" s="77">
        <f>COUNTIF(A15:AH15,"*$M*")</f>
        <v/>
      </c>
      <c r="BG15" s="77">
        <f>BF15*1</f>
        <v/>
      </c>
      <c r="BH15" s="77">
        <f>COUNTIF(A15:AH15,"*$PM*")</f>
        <v/>
      </c>
      <c r="BI15" s="77">
        <f>BH15*0.5</f>
        <v/>
      </c>
      <c r="BJ15" s="77">
        <f>COUNTIF(A15:AH15,"*$AM*")</f>
        <v/>
      </c>
      <c r="BK15" s="77">
        <f>BJ15*0.5</f>
        <v/>
      </c>
      <c r="BL15" s="77">
        <f>COUNTIF(A15:AH15,"*$FC*")</f>
        <v/>
      </c>
      <c r="BM15" s="77">
        <f>BL15*1</f>
        <v/>
      </c>
      <c r="BN15" s="77">
        <f>COUNTIF($D15:$AA15,BN$4)</f>
        <v/>
      </c>
      <c r="BO15" s="77">
        <f>COUNTIF($D15:$AA15,BO$4)</f>
        <v/>
      </c>
      <c r="BP15" s="77">
        <f>COUNTIF($D15:$AA15,BP$4)</f>
        <v/>
      </c>
      <c r="BQ15" s="77" t="n"/>
    </row>
    <row r="16" ht="51" customHeight="1">
      <c r="A16" s="67" t="n"/>
      <c r="B16" s="76" t="inlineStr">
        <is>
          <t>CPL HO SHENGHUI HAYDEN</t>
        </is>
      </c>
      <c r="C16" s="107" t="inlineStr">
        <is>
          <t>GX</t>
        </is>
      </c>
      <c r="D16" s="107" t="inlineStr">
        <is>
          <t>GX</t>
        </is>
      </c>
      <c r="E16" s="107" t="inlineStr">
        <is>
          <t>GX</t>
        </is>
      </c>
      <c r="F16" s="107" t="inlineStr">
        <is>
          <t>GX</t>
        </is>
      </c>
      <c r="G16" s="60" t="n"/>
      <c r="H16" s="60" t="n"/>
      <c r="I16" s="60" t="n"/>
      <c r="J16" s="60" t="inlineStr">
        <is>
          <t>ALB RETURN STORES</t>
        </is>
      </c>
      <c r="K16" s="60" t="n"/>
      <c r="L16" s="60" t="n"/>
      <c r="M16" s="60" t="inlineStr">
        <is>
          <t>CS2</t>
        </is>
      </c>
      <c r="N16" s="60" t="n"/>
      <c r="O16" s="60" t="n"/>
      <c r="P16" s="60" t="inlineStr">
        <is>
          <t>CS2</t>
        </is>
      </c>
      <c r="Q16" s="60" t="n"/>
      <c r="R16" s="60" t="n"/>
      <c r="S16" s="60" t="inlineStr">
        <is>
          <t>OL</t>
        </is>
      </c>
      <c r="T16" s="60" t="inlineStr">
        <is>
          <t>OL</t>
        </is>
      </c>
      <c r="U16" s="60" t="inlineStr">
        <is>
          <t>DM</t>
        </is>
      </c>
      <c r="V16" s="60" t="n"/>
      <c r="W16" s="60" t="n"/>
      <c r="X16" s="60" t="n"/>
      <c r="Y16" s="60" t="inlineStr">
        <is>
          <t>P $AM ER (0500-1030)</t>
        </is>
      </c>
      <c r="Z16" s="60" t="inlineStr">
        <is>
          <t>CS1</t>
        </is>
      </c>
      <c r="AA16" s="60" t="n"/>
      <c r="AB16" s="60" t="inlineStr">
        <is>
          <t>CS1</t>
        </is>
      </c>
      <c r="AC16" s="53" t="n"/>
      <c r="AD16" s="60" t="n"/>
      <c r="AE16" s="60" t="n"/>
      <c r="AF16" s="60" t="inlineStr">
        <is>
          <t>DM</t>
        </is>
      </c>
      <c r="AG16" s="60" t="n"/>
      <c r="AH16" s="67">
        <f>COUNTIF($C16:$AF16,AH$4)</f>
        <v/>
      </c>
      <c r="AI16" s="67">
        <f>COUNTIF($C16:$AF16,AI$4)</f>
        <v/>
      </c>
      <c r="AJ16" s="67">
        <f>COUNTIF($C16:$AF16,AJ$4)</f>
        <v/>
      </c>
      <c r="AK16" s="67">
        <f>COUNTIF($C16:$AF16,AK$4)</f>
        <v/>
      </c>
      <c r="AL16" s="67">
        <f>COUNTIF($C16:$AF16,AL$4)</f>
        <v/>
      </c>
      <c r="AM16" s="67">
        <f>COUNTIF($C16:$AF16,AM$4)</f>
        <v/>
      </c>
      <c r="AN16" s="67">
        <f>COUNTIF($C16:$AF16,AN$4)</f>
        <v/>
      </c>
      <c r="AO16" s="67">
        <f>COUNTIF($C16:$AF16,AO$4)</f>
        <v/>
      </c>
      <c r="AP16" s="67">
        <f>COUNTIF($C16:$AF16,AP$4)</f>
        <v/>
      </c>
      <c r="AQ16" s="76" t="n"/>
      <c r="AR16" s="76" t="n">
        <v>1.5</v>
      </c>
      <c r="AS16" s="77">
        <f>SUMPRODUCT(--(WEEKDAY(C$3:AG$3,2)&lt;5),--ISNUMBER(MATCH(C16:AG16,{"DM","CS1","CS2","SB1","AE","CS/B"},0)))</f>
        <v/>
      </c>
      <c r="AT16" s="77" t="n"/>
      <c r="AU16" s="77">
        <f>SUMPRODUCT(--(WEEKDAY(C$3:AG$3,2)=5),--ISNUMBER(MATCH(C16:AG16,{"DM","CS1","CS2","SB1","AE","CS/B","WEEKEND OUTFIELD RESERVE"},0)))</f>
        <v/>
      </c>
      <c r="AV16" s="77">
        <f>SUMPRODUCT(--(WEEKDAY(C$3:AG$3,2)&gt;5),--ISNUMBER(MATCH(C16:AG16,{"DM","CS1","CS2","SB1","AE","CS/B","WEEKEND OUTFIELD RESERVE"},0)))</f>
        <v/>
      </c>
      <c r="AW16" s="77" t="n"/>
      <c r="AX16" s="77">
        <f>(AS16-AT16)+AU16*1.5+(AV16-AW16)*2+AM16*0.5+AO16*0.5+AQ16-AR16</f>
        <v/>
      </c>
      <c r="AY16" s="77">
        <f>AS16+AU16+AV16</f>
        <v/>
      </c>
      <c r="AZ16" s="77">
        <f>BD16+BF16+BH16+BJ16+BL16</f>
        <v/>
      </c>
      <c r="BA16" s="76">
        <f>AX16+BC16</f>
        <v/>
      </c>
      <c r="BB16" s="76">
        <f>(BA16-7)</f>
        <v/>
      </c>
      <c r="BC16" s="77">
        <f>BE16+BG16+BI16+BK16+BM16</f>
        <v/>
      </c>
      <c r="BD16" s="77">
        <f>COUNTIF(A16:AH16,"*$BTP*")</f>
        <v/>
      </c>
      <c r="BE16" s="77">
        <f>BD16*1.5</f>
        <v/>
      </c>
      <c r="BF16" s="77">
        <f>COUNTIF(A16:AH16,"*$M*")</f>
        <v/>
      </c>
      <c r="BG16" s="77">
        <f>BF16*1</f>
        <v/>
      </c>
      <c r="BH16" s="77">
        <f>COUNTIF(A16:AH16,"*$PM*")</f>
        <v/>
      </c>
      <c r="BI16" s="77">
        <f>BH16*0.5</f>
        <v/>
      </c>
      <c r="BJ16" s="77">
        <f>COUNTIF(A16:AH16,"*$AM*")</f>
        <v/>
      </c>
      <c r="BK16" s="77">
        <f>BJ16*0.5</f>
        <v/>
      </c>
      <c r="BL16" s="77">
        <f>COUNTIF(A16:AH16,"*$FC*")</f>
        <v/>
      </c>
      <c r="BM16" s="77">
        <f>BL16*1</f>
        <v/>
      </c>
      <c r="BN16" s="77">
        <f>COUNTIF($D16:$AA16,BN$4)</f>
        <v/>
      </c>
      <c r="BO16" s="77">
        <f>COUNTIF($D16:$AA16,BO$4)</f>
        <v/>
      </c>
      <c r="BP16" s="77">
        <f>COUNTIF($D16:$AA16,BP$4)</f>
        <v/>
      </c>
      <c r="BQ16" s="77" t="n"/>
    </row>
    <row r="17" ht="19.5" customHeight="1">
      <c r="A17" s="67" t="n"/>
      <c r="B17" s="76" t="inlineStr">
        <is>
          <t>LCP QUEK ZI YI</t>
        </is>
      </c>
      <c r="C17" s="107" t="n"/>
      <c r="D17" s="107" t="inlineStr">
        <is>
          <t>DM</t>
        </is>
      </c>
      <c r="E17" s="60" t="inlineStr">
        <is>
          <t>SB2</t>
        </is>
      </c>
      <c r="F17" s="60" t="inlineStr">
        <is>
          <t>WISDOM</t>
        </is>
      </c>
      <c r="G17" s="60" t="inlineStr">
        <is>
          <t>MC</t>
        </is>
      </c>
      <c r="H17" s="60" t="inlineStr">
        <is>
          <t>MC</t>
        </is>
      </c>
      <c r="I17" s="60" t="inlineStr">
        <is>
          <t>MC</t>
        </is>
      </c>
      <c r="J17" s="60" t="inlineStr">
        <is>
          <t>MC</t>
        </is>
      </c>
      <c r="K17" s="60" t="inlineStr">
        <is>
          <t>MC</t>
        </is>
      </c>
      <c r="L17" s="60" t="inlineStr">
        <is>
          <t>MC</t>
        </is>
      </c>
      <c r="M17" s="60" t="inlineStr">
        <is>
          <t>MC</t>
        </is>
      </c>
      <c r="N17" s="60" t="inlineStr">
        <is>
          <t>MC</t>
        </is>
      </c>
      <c r="O17" s="60" t="inlineStr">
        <is>
          <t>DM</t>
        </is>
      </c>
      <c r="P17" s="60" t="n"/>
      <c r="Q17" s="136" t="n"/>
      <c r="R17" s="136" t="n"/>
      <c r="S17" s="60" t="inlineStr">
        <is>
          <t>DM</t>
        </is>
      </c>
      <c r="U17" s="136" t="n"/>
      <c r="W17" s="136" t="n"/>
      <c r="X17" s="1" t="inlineStr">
        <is>
          <t>AL</t>
        </is>
      </c>
      <c r="Y17" s="53" t="inlineStr">
        <is>
          <t>AL</t>
        </is>
      </c>
      <c r="Z17" s="1" t="inlineStr">
        <is>
          <t>AL</t>
        </is>
      </c>
      <c r="AA17" s="60" t="inlineStr">
        <is>
          <t>WISDOM</t>
        </is>
      </c>
      <c r="AB17" s="60" t="inlineStr">
        <is>
          <t>MC</t>
        </is>
      </c>
      <c r="AC17" s="60" t="inlineStr">
        <is>
          <t>MC</t>
        </is>
      </c>
      <c r="AD17" s="60" t="inlineStr">
        <is>
          <t>MC</t>
        </is>
      </c>
      <c r="AE17" s="60" t="inlineStr">
        <is>
          <t>MC</t>
        </is>
      </c>
      <c r="AF17" s="60" t="inlineStr">
        <is>
          <t>MC</t>
        </is>
      </c>
      <c r="AG17" s="60" t="inlineStr">
        <is>
          <t>MC</t>
        </is>
      </c>
      <c r="AH17" s="67">
        <f>COUNTIF($C17:$Z17,AH$4)</f>
        <v/>
      </c>
      <c r="AI17" s="67">
        <f>COUNTIF($C17:$Z17,AI$4)</f>
        <v/>
      </c>
      <c r="AJ17" s="67">
        <f>COUNTIF($C17:$Z17,AJ$4)</f>
        <v/>
      </c>
      <c r="AK17" s="67">
        <f>COUNTIF($C17:$Z17,AK$4)</f>
        <v/>
      </c>
      <c r="AL17" s="67">
        <f>COUNTIF($C17:$Z17,AL$4)</f>
        <v/>
      </c>
      <c r="AM17" s="67">
        <f>COUNTIF($C17:$Z17,AM$4)</f>
        <v/>
      </c>
      <c r="AN17" s="67">
        <f>COUNTIF($C17:$Z17,AN$4)</f>
        <v/>
      </c>
      <c r="AO17" s="67">
        <f>COUNTIF($C17:$Z17,AO$4)</f>
        <v/>
      </c>
      <c r="AP17" s="67">
        <f>COUNTIF($C17:$Z17,AP$4)</f>
        <v/>
      </c>
      <c r="AQ17" s="76" t="n"/>
      <c r="AR17" s="76" t="n">
        <v>2</v>
      </c>
      <c r="AS17" s="77">
        <f>SUMPRODUCT(--(WEEKDAY(C$3:AG$3,2)&lt;5),--ISNUMBER(MATCH(C17:AG17,{"DM","CS1","CS2","SB1","AE","CS/B"},0)))</f>
        <v/>
      </c>
      <c r="AT17" s="67" t="n"/>
      <c r="AU17" s="77">
        <f>SUMPRODUCT(--(WEEKDAY(C$3:AG$3,2)=5),--ISNUMBER(MATCH(C17:AG17,{"DM","CS1","CS2","SB1","AE","CS/B","WEEKEND OUTFIELD RESERVE"},0)))</f>
        <v/>
      </c>
      <c r="AV17" s="77">
        <f>SUMPRODUCT(--(WEEKDAY(C$3:AG$3,2)&gt;5),--ISNUMBER(MATCH(C17:AG17,{"DM","CS1","CS2","SB1","AE","CS/B","WEEKEND OUTFIELD RESERVE"},0)))</f>
        <v/>
      </c>
      <c r="AW17" s="67" t="n"/>
      <c r="AX17" s="77">
        <f>(AS17-AT17)+AU17*1.5+(AV17-AW17)*2+AM17*0.5+AO17*0.5+AQ17-AR17</f>
        <v/>
      </c>
      <c r="AY17" s="77">
        <f>AS17+AU17+AV17</f>
        <v/>
      </c>
      <c r="AZ17" s="77">
        <f>BD17+BF17+BH17+BJ17+BL17</f>
        <v/>
      </c>
      <c r="BA17" s="76">
        <f>AX17+BC17</f>
        <v/>
      </c>
      <c r="BB17" s="76">
        <f>(BA17-7)</f>
        <v/>
      </c>
      <c r="BC17" s="77">
        <f>BE17+BG17+BI17+BK17+BM17</f>
        <v/>
      </c>
      <c r="BD17" s="77">
        <f>COUNTIF(A17:AH17,"*$BTP*")</f>
        <v/>
      </c>
      <c r="BE17" s="77">
        <f>BD17*1.5</f>
        <v/>
      </c>
      <c r="BF17" s="77">
        <f>COUNTIF(A17:AH17,"*$M*")</f>
        <v/>
      </c>
      <c r="BG17" s="77">
        <f>BF17*1</f>
        <v/>
      </c>
      <c r="BH17" s="77">
        <f>COUNTIF(A17:AH17,"*$PM*")</f>
        <v/>
      </c>
      <c r="BI17" s="77">
        <f>BH17*0.5</f>
        <v/>
      </c>
      <c r="BJ17" s="77">
        <f>COUNTIF(A17:AH17,"*$AM*")</f>
        <v/>
      </c>
      <c r="BK17" s="77">
        <f>BJ17*0.5</f>
        <v/>
      </c>
      <c r="BL17" s="77">
        <f>COUNTIF(A17:AH17,"*$FC*")</f>
        <v/>
      </c>
      <c r="BM17" s="77">
        <f>BL17*1</f>
        <v/>
      </c>
      <c r="BN17" s="77">
        <f>COUNTIF($D17:$Z17,BN$4)</f>
        <v/>
      </c>
      <c r="BO17" s="77">
        <f>COUNTIF($D17:$Z17,BO$4)</f>
        <v/>
      </c>
      <c r="BP17" s="77">
        <f>COUNTIF($D17:$Z17,BP$4)</f>
        <v/>
      </c>
      <c r="BQ17" s="67" t="n"/>
    </row>
    <row r="18" ht="103.5" customHeight="1">
      <c r="A18" s="67" t="n"/>
      <c r="B18" s="76" t="inlineStr">
        <is>
          <t>LCP EKLAYVA PINGALI</t>
        </is>
      </c>
      <c r="C18" s="107" t="inlineStr">
        <is>
          <t>DM</t>
        </is>
      </c>
      <c r="D18" s="107" t="inlineStr">
        <is>
          <t>SB2</t>
        </is>
      </c>
      <c r="E18" s="110" t="inlineStr">
        <is>
          <t>RESERVE</t>
        </is>
      </c>
      <c r="F18" s="60" t="n"/>
      <c r="G18" s="60" t="inlineStr">
        <is>
          <t>GP</t>
        </is>
      </c>
      <c r="H18" s="60" t="inlineStr">
        <is>
          <t>GP $M</t>
        </is>
      </c>
      <c r="I18" s="53" t="n"/>
      <c r="J18" s="60" t="inlineStr">
        <is>
          <t>DM</t>
        </is>
      </c>
      <c r="K18" s="60" t="n"/>
      <c r="L18" s="60" t="inlineStr">
        <is>
          <t>CS2</t>
        </is>
      </c>
      <c r="M18" s="53" t="n"/>
      <c r="N18" s="53" t="n"/>
      <c r="O18" s="60" t="inlineStr">
        <is>
          <t>OL</t>
        </is>
      </c>
      <c r="P18" s="60" t="inlineStr">
        <is>
          <t>OL</t>
        </is>
      </c>
      <c r="Q18" s="60" t="inlineStr">
        <is>
          <t>OL</t>
        </is>
      </c>
      <c r="R18" s="60" t="inlineStr">
        <is>
          <t>OL</t>
        </is>
      </c>
      <c r="S18" s="60" t="inlineStr">
        <is>
          <t>OL</t>
        </is>
      </c>
      <c r="T18" s="60" t="inlineStr">
        <is>
          <t>OL</t>
        </is>
      </c>
      <c r="U18" s="60" t="inlineStr">
        <is>
          <t>OL</t>
        </is>
      </c>
      <c r="V18" s="60" t="inlineStr">
        <is>
          <t>OL</t>
        </is>
      </c>
      <c r="W18" s="60" t="inlineStr">
        <is>
          <t>OL</t>
        </is>
      </c>
      <c r="X18" s="60" t="inlineStr">
        <is>
          <t>OL</t>
        </is>
      </c>
      <c r="Y18" s="60" t="inlineStr">
        <is>
          <t>OL</t>
        </is>
      </c>
      <c r="Z18" s="60" t="inlineStr">
        <is>
          <t>OL</t>
        </is>
      </c>
      <c r="AA18" s="60" t="inlineStr">
        <is>
          <t>OL</t>
        </is>
      </c>
      <c r="AB18" s="60" t="inlineStr">
        <is>
          <t>OL</t>
        </is>
      </c>
      <c r="AC18" s="60" t="inlineStr">
        <is>
          <t>OL</t>
        </is>
      </c>
      <c r="AD18" s="60" t="inlineStr">
        <is>
          <t>OL</t>
        </is>
      </c>
      <c r="AE18" s="60" t="n"/>
      <c r="AF18" s="136" t="inlineStr">
        <is>
          <t>R $AM PERMSTAFF SOC (0500-1030)</t>
        </is>
      </c>
      <c r="AG18" s="60" t="n"/>
      <c r="AH18" s="67">
        <f>COUNTIF($C18:$AF18,AH$4)</f>
        <v/>
      </c>
      <c r="AI18" s="67">
        <f>COUNTIF($C18:$AF18,AI$4)</f>
        <v/>
      </c>
      <c r="AJ18" s="67">
        <f>COUNTIF($C18:$AF18,AJ$4)</f>
        <v/>
      </c>
      <c r="AK18" s="67">
        <f>COUNTIF($C18:$AF18,AK$4)</f>
        <v/>
      </c>
      <c r="AL18" s="67">
        <f>COUNTIF($C18:$AF18,AL$4)</f>
        <v/>
      </c>
      <c r="AM18" s="67">
        <f>COUNTIF($C18:$AF18,AM$4)</f>
        <v/>
      </c>
      <c r="AN18" s="67">
        <f>COUNTIF($C18:$AF18,AN$4)</f>
        <v/>
      </c>
      <c r="AO18" s="67">
        <f>COUNTIF($C18:$AF18,AO$4)</f>
        <v/>
      </c>
      <c r="AP18" s="67">
        <f>COUNTIF($C18:$AF18,AP$4)</f>
        <v/>
      </c>
      <c r="AQ18" s="76" t="n"/>
      <c r="AR18" s="76" t="n">
        <v>0.5</v>
      </c>
      <c r="AS18" s="77">
        <f>SUMPRODUCT(--(WEEKDAY(C$3:AG$3,2)&lt;5),--ISNUMBER(MATCH(C18:AG18,{"DM","CS1","CS2","SB1","AE","CS/B"},0)))</f>
        <v/>
      </c>
      <c r="AT18" s="77" t="n"/>
      <c r="AU18" s="77">
        <f>SUMPRODUCT(--(WEEKDAY(C$3:AG$3,2)=5),--ISNUMBER(MATCH(C18:AG18,{"DM","CS1","CS2","SB1","AE","CS/B","WEEKEND OUTFIELD RESERVE"},0)))</f>
        <v/>
      </c>
      <c r="AV18" s="77">
        <f>SUMPRODUCT(--(WEEKDAY(C$3:AG$3,2)&gt;5),--ISNUMBER(MATCH(C18:AG18,{"DM","CS1","CS2","SB1","AE","CS/B","WEEKEND OUTFIELD RESERVE"},0)))</f>
        <v/>
      </c>
      <c r="AW18" s="77" t="n"/>
      <c r="AX18" s="77">
        <f>(AS18-AT18)+AU18*1.5+(AV18-AW18)*2+AM18*0.5+AO18*0.5+AQ18-AR18</f>
        <v/>
      </c>
      <c r="AY18" s="77">
        <f>AS18+AU18+AV18</f>
        <v/>
      </c>
      <c r="AZ18" s="77">
        <f>BD18+BF18+BH18+BJ18+BL18</f>
        <v/>
      </c>
      <c r="BA18" s="76">
        <f>AX18+BC18</f>
        <v/>
      </c>
      <c r="BB18" s="76">
        <f>(BA18-7)</f>
        <v/>
      </c>
      <c r="BC18" s="77">
        <f>BE18+BG18+BI18+BK18+BM18</f>
        <v/>
      </c>
      <c r="BD18" s="77">
        <f>COUNTIF(A18:AH18,"*$BTP*")</f>
        <v/>
      </c>
      <c r="BE18" s="77">
        <f>BD18*1.5</f>
        <v/>
      </c>
      <c r="BF18" s="77">
        <f>COUNTIF(A18:AH18,"*$M*")</f>
        <v/>
      </c>
      <c r="BG18" s="77">
        <f>BF18*1</f>
        <v/>
      </c>
      <c r="BH18" s="77">
        <f>COUNTIF(A18:AH18,"*$PM*")</f>
        <v/>
      </c>
      <c r="BI18" s="77">
        <f>BH18*0.5</f>
        <v/>
      </c>
      <c r="BJ18" s="77">
        <f>COUNTIF(A18:AH18,"*$AM*")</f>
        <v/>
      </c>
      <c r="BK18" s="77">
        <f>BJ18*0.5</f>
        <v/>
      </c>
      <c r="BL18" s="77">
        <f>COUNTIF(A18:AH18,"*$FC*")</f>
        <v/>
      </c>
      <c r="BM18" s="77">
        <f>BL18*1</f>
        <v/>
      </c>
      <c r="BN18" s="77">
        <f>COUNTIF($D18:$AA18,BN$4)</f>
        <v/>
      </c>
      <c r="BO18" s="77">
        <f>COUNTIF($D18:$AA18,BO$4)</f>
        <v/>
      </c>
      <c r="BP18" s="77">
        <f>COUNTIF($D18:$AA18,BP$4)</f>
        <v/>
      </c>
      <c r="BQ18" s="77" t="n"/>
    </row>
    <row r="19" ht="68.25" customHeight="1">
      <c r="A19" s="67" t="n"/>
      <c r="B19" s="76" t="inlineStr">
        <is>
          <t>CFC DERRICK CHIN</t>
        </is>
      </c>
      <c r="C19" s="110" t="inlineStr">
        <is>
          <t>GX</t>
        </is>
      </c>
      <c r="D19" s="110" t="inlineStr">
        <is>
          <t>GX</t>
        </is>
      </c>
      <c r="E19" s="110" t="inlineStr">
        <is>
          <t>GX $M</t>
        </is>
      </c>
      <c r="F19" s="110" t="inlineStr">
        <is>
          <t>GX</t>
        </is>
      </c>
      <c r="G19" s="60" t="n"/>
      <c r="H19" s="60" t="n"/>
      <c r="I19" s="53" t="n"/>
      <c r="J19" s="60" t="inlineStr">
        <is>
          <t>ALB RETURN STORES</t>
        </is>
      </c>
      <c r="K19" s="136" t="n"/>
      <c r="L19" s="60" t="n"/>
      <c r="M19" s="60" t="n"/>
      <c r="N19" s="53" t="n"/>
      <c r="O19" s="60" t="n"/>
      <c r="P19" s="60" t="n"/>
      <c r="Q19" s="60" t="inlineStr">
        <is>
          <t>DM</t>
        </is>
      </c>
      <c r="R19" s="60" t="n"/>
      <c r="S19" s="110" t="inlineStr">
        <is>
          <t>OL</t>
        </is>
      </c>
      <c r="U19" s="60" t="inlineStr">
        <is>
          <t>CS2</t>
        </is>
      </c>
      <c r="V19" s="60" t="n"/>
      <c r="W19" s="60" t="inlineStr">
        <is>
          <t>DM</t>
        </is>
      </c>
      <c r="X19" s="60" t="n"/>
      <c r="Y19" s="60" t="inlineStr">
        <is>
          <t>WISDOM TOOTH EXTRACTION</t>
        </is>
      </c>
      <c r="Z19" s="60" t="inlineStr">
        <is>
          <t>MC</t>
        </is>
      </c>
      <c r="AA19" s="60" t="inlineStr">
        <is>
          <t>MC</t>
        </is>
      </c>
      <c r="AB19" s="60" t="inlineStr">
        <is>
          <t>MC</t>
        </is>
      </c>
      <c r="AC19" s="60" t="n"/>
      <c r="AD19" s="60" t="n"/>
      <c r="AE19" s="60" t="inlineStr">
        <is>
          <t>CS1</t>
        </is>
      </c>
      <c r="AF19" s="53" t="n"/>
      <c r="AG19" s="60" t="n"/>
      <c r="AH19" s="67">
        <f>COUNTIF($C19:$AF19,AH$4)</f>
        <v/>
      </c>
      <c r="AI19" s="67">
        <f>COUNTIF($C19:$AF19,AI$4)</f>
        <v/>
      </c>
      <c r="AJ19" s="67">
        <f>COUNTIF($C19:$AF19,AJ$4)</f>
        <v/>
      </c>
      <c r="AK19" s="67">
        <f>COUNTIF($C19:$AF19,AK$4)</f>
        <v/>
      </c>
      <c r="AL19" s="67">
        <f>COUNTIF($C19:$AF19,AL$4)</f>
        <v/>
      </c>
      <c r="AM19" s="67">
        <f>COUNTIF($C19:$AF19,AM$4)</f>
        <v/>
      </c>
      <c r="AN19" s="67">
        <f>COUNTIF($C19:$AF19,AN$4)</f>
        <v/>
      </c>
      <c r="AO19" s="67">
        <f>COUNTIF($C19:$AF19,AO$4)</f>
        <v/>
      </c>
      <c r="AP19" s="67">
        <f>COUNTIF($C19:$AF19,AP$4)</f>
        <v/>
      </c>
      <c r="AQ19" s="76" t="n">
        <v>0.5</v>
      </c>
      <c r="AR19" s="76" t="n"/>
      <c r="AS19" s="77">
        <f>SUMPRODUCT(--(WEEKDAY(C$3:AG$3,2)&lt;5),--ISNUMBER(MATCH(C19:AG19,{"DM","CS1","CS2","SB1","AE","CS/B"},0)))</f>
        <v/>
      </c>
      <c r="AT19" s="77" t="n"/>
      <c r="AU19" s="77">
        <f>SUMPRODUCT(--(WEEKDAY(C$3:AG$3,2)=5),--ISNUMBER(MATCH(C19:AG19,{"DM","CS1","CS2","SB1","AE","CS/B","WEEKEND OUTFIELD RESERVE"},0)))</f>
        <v/>
      </c>
      <c r="AV19" s="77">
        <f>SUMPRODUCT(--(WEEKDAY(C$3:AG$3,2)&gt;5),--ISNUMBER(MATCH(C19:AG19,{"DM","CS1","CS2","SB1","AE","CS/B","WEEKEND OUTFIELD RESERVE"},0)))</f>
        <v/>
      </c>
      <c r="AW19" s="77" t="n"/>
      <c r="AX19" s="77">
        <f>(AS19-AT19)+AU19*1.5+(AV19-AW19)*2+AM19*0.5+AO19*0.5+AQ19-AR19</f>
        <v/>
      </c>
      <c r="AY19" s="77">
        <f>AS19+AU19+AV19</f>
        <v/>
      </c>
      <c r="AZ19" s="77">
        <f>BD19+BF19+BH19+BJ19+BL19</f>
        <v/>
      </c>
      <c r="BA19" s="76">
        <f>AX19+BC19</f>
        <v/>
      </c>
      <c r="BB19" s="76">
        <f>(BA19-7)</f>
        <v/>
      </c>
      <c r="BC19" s="77">
        <f>BE19+BG19+BI19+BK19+BM19</f>
        <v/>
      </c>
      <c r="BD19" s="77">
        <f>COUNTIF(A19:AH19,"*$BTP*")</f>
        <v/>
      </c>
      <c r="BE19" s="77">
        <f>BD19*1.5</f>
        <v/>
      </c>
      <c r="BF19" s="77">
        <f>COUNTIF(A19:AH19,"*$M*")</f>
        <v/>
      </c>
      <c r="BG19" s="77">
        <f>BF19*1</f>
        <v/>
      </c>
      <c r="BH19" s="77">
        <f>COUNTIF(A19:AH19,"*$PM*")</f>
        <v/>
      </c>
      <c r="BI19" s="77">
        <f>BH19*0.5</f>
        <v/>
      </c>
      <c r="BJ19" s="77">
        <f>COUNTIF(A19:AH19,"*$AM*")</f>
        <v/>
      </c>
      <c r="BK19" s="77">
        <f>BJ19*0.5</f>
        <v/>
      </c>
      <c r="BL19" s="77">
        <f>COUNTIF(A19:AH19,"*$FC*")</f>
        <v/>
      </c>
      <c r="BM19" s="77">
        <f>BL19*1</f>
        <v/>
      </c>
      <c r="BN19" s="77">
        <f>COUNTIF($D19:$AA19,BN$4)</f>
        <v/>
      </c>
      <c r="BO19" s="77">
        <f>COUNTIF($D19:$AA19,BO$4)</f>
        <v/>
      </c>
      <c r="BP19" s="77">
        <f>COUNTIF($D19:$AA19,BP$4)</f>
        <v/>
      </c>
      <c r="BQ19" s="77" t="n"/>
    </row>
    <row r="20" ht="19.5" customHeight="1">
      <c r="A20" s="67" t="n"/>
      <c r="B20" s="76" t="inlineStr">
        <is>
          <t>LCP ZHANG ZHONGHAO</t>
        </is>
      </c>
      <c r="C20" s="110" t="n"/>
      <c r="D20" s="110" t="n"/>
      <c r="E20" s="136" t="n"/>
      <c r="F20" s="136" t="n"/>
      <c r="G20" s="60" t="inlineStr">
        <is>
          <t>DM</t>
        </is>
      </c>
      <c r="H20" s="60" t="n"/>
      <c r="I20" s="60" t="n"/>
      <c r="K20" s="60" t="n"/>
      <c r="L20" s="60" t="n"/>
      <c r="M20" s="60" t="n"/>
      <c r="N20" s="60" t="n"/>
      <c r="O20" s="60" t="n"/>
      <c r="P20" s="110" t="inlineStr">
        <is>
          <t>RESERVE</t>
        </is>
      </c>
      <c r="Q20" s="60" t="inlineStr">
        <is>
          <t>SB2</t>
        </is>
      </c>
      <c r="R20" s="60" t="n"/>
      <c r="S20" s="60" t="n"/>
      <c r="T20" s="60" t="inlineStr">
        <is>
          <t>CS1</t>
        </is>
      </c>
      <c r="U20" s="60" t="n"/>
      <c r="V20" s="60" t="inlineStr">
        <is>
          <t>CS1</t>
        </is>
      </c>
      <c r="W20" s="60" t="n"/>
      <c r="X20" s="60" t="inlineStr">
        <is>
          <t>CS2</t>
        </is>
      </c>
      <c r="Y20" s="53" t="n"/>
      <c r="Z20" s="60" t="inlineStr">
        <is>
          <t>CS2</t>
        </is>
      </c>
      <c r="AA20" s="60" t="n"/>
      <c r="AB20" s="53" t="n"/>
      <c r="AC20" s="110" t="n"/>
      <c r="AD20" s="53" t="inlineStr">
        <is>
          <t>CS1</t>
        </is>
      </c>
      <c r="AE20" s="60" t="n"/>
      <c r="AF20" s="50" t="inlineStr">
        <is>
          <t>5TH $PM ER</t>
        </is>
      </c>
      <c r="AG20" s="60" t="n"/>
      <c r="AH20" s="67">
        <f>COUNTIF($C20:$AF20,AH$4)</f>
        <v/>
      </c>
      <c r="AI20" s="67">
        <f>COUNTIF($C20:$AF20,AI$4)</f>
        <v/>
      </c>
      <c r="AJ20" s="67">
        <f>COUNTIF($C20:$AF20,AJ$4)</f>
        <v/>
      </c>
      <c r="AK20" s="67">
        <f>COUNTIF($C20:$AF20,AK$4)</f>
        <v/>
      </c>
      <c r="AL20" s="67">
        <f>COUNTIF($C20:$AF20,AL$4)</f>
        <v/>
      </c>
      <c r="AM20" s="67">
        <f>COUNTIF($C20:$AF20,AM$4)</f>
        <v/>
      </c>
      <c r="AN20" s="67">
        <f>COUNTIF($C20:$AF20,AN$4)</f>
        <v/>
      </c>
      <c r="AO20" s="67">
        <f>COUNTIF($C20:$AF20,AO$4)</f>
        <v/>
      </c>
      <c r="AP20" s="67">
        <f>COUNTIF($C20:$AF20,AP$4)</f>
        <v/>
      </c>
      <c r="AQ20" s="76" t="n">
        <v>0.5</v>
      </c>
      <c r="AR20" s="76" t="n"/>
      <c r="AS20" s="77">
        <f>SUMPRODUCT(--(WEEKDAY(C$3:AG$3,2)&lt;5),--ISNUMBER(MATCH(C20:AG20,{"DM","CS1","CS2","SB1","AE","CS/B"},0)))</f>
        <v/>
      </c>
      <c r="AT20" s="67" t="n"/>
      <c r="AU20" s="77">
        <f>SUMPRODUCT(--(WEEKDAY(C$3:AG$3,2)=5),--ISNUMBER(MATCH(C20:AG20,{"DM","CS1","CS2","SB1","AE","CS/B","WEEKEND OUTFIELD RESERVE"},0)))</f>
        <v/>
      </c>
      <c r="AV20" s="77">
        <f>SUMPRODUCT(--(WEEKDAY(C$3:AG$3,2)&gt;5),--ISNUMBER(MATCH(C20:AG20,{"DM","CS1","CS2","SB1","AE","CS/B","WEEKEND OUTFIELD RESERVE"},0)))</f>
        <v/>
      </c>
      <c r="AW20" s="67" t="n"/>
      <c r="AX20" s="77">
        <f>(AS20-AT20)+AU20*1.5+(AV20-AW20)*2+AM20*0.5+AO20*0.5+AQ20-AR20</f>
        <v/>
      </c>
      <c r="AY20" s="77">
        <f>AS20+AU20+AV20</f>
        <v/>
      </c>
      <c r="AZ20" s="77">
        <f>BD20+BF20+BH20+BJ20+BL20</f>
        <v/>
      </c>
      <c r="BA20" s="76">
        <f>AX20+BC20</f>
        <v/>
      </c>
      <c r="BB20" s="76">
        <f>(BA20-7)</f>
        <v/>
      </c>
      <c r="BC20" s="77">
        <f>BE20+BG20+BI20+BK20+BM20</f>
        <v/>
      </c>
      <c r="BD20" s="77">
        <f>COUNTIF(A20:AH20,"*$BTP*")</f>
        <v/>
      </c>
      <c r="BE20" s="77">
        <f>BD20*1.5</f>
        <v/>
      </c>
      <c r="BF20" s="77">
        <f>COUNTIF(A20:AH20,"*$M*")</f>
        <v/>
      </c>
      <c r="BG20" s="77">
        <f>BF20*1</f>
        <v/>
      </c>
      <c r="BH20" s="77">
        <f>COUNTIF(A20:AH20,"*$PM*")</f>
        <v/>
      </c>
      <c r="BI20" s="77">
        <f>BH20*0.5</f>
        <v/>
      </c>
      <c r="BJ20" s="77">
        <f>COUNTIF(A20:AH20,"*$AM*")</f>
        <v/>
      </c>
      <c r="BK20" s="77">
        <f>BJ20*0.5</f>
        <v/>
      </c>
      <c r="BL20" s="77">
        <f>COUNTIF(A20:AH20,"*$FC*")</f>
        <v/>
      </c>
      <c r="BM20" s="77">
        <f>BL20*1</f>
        <v/>
      </c>
      <c r="BN20" s="77">
        <f>COUNTIF($D20:$AA20,BN$4)</f>
        <v/>
      </c>
      <c r="BO20" s="77">
        <f>COUNTIF($D20:$AA20,BO$4)</f>
        <v/>
      </c>
      <c r="BP20" s="77">
        <f>COUNTIF($D20:$AA20,BP$4)</f>
        <v/>
      </c>
      <c r="BQ20" s="67" t="n"/>
    </row>
    <row r="21" ht="48" customHeight="1">
      <c r="A21" s="67" t="n"/>
      <c r="B21" s="76" t="inlineStr">
        <is>
          <t xml:space="preserve">LCP KUEH YAN SHENG </t>
        </is>
      </c>
      <c r="C21" s="110" t="n"/>
      <c r="D21" s="11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inlineStr">
        <is>
          <t>AL</t>
        </is>
      </c>
      <c r="O21" s="60" t="n"/>
      <c r="P21" s="60" t="n"/>
      <c r="Q21" s="60" t="inlineStr">
        <is>
          <t>AL</t>
        </is>
      </c>
      <c r="R21" s="60" t="n"/>
      <c r="S21" s="60" t="n"/>
      <c r="T21" s="60" t="n"/>
      <c r="U21" s="60" t="inlineStr">
        <is>
          <t>AL</t>
        </is>
      </c>
      <c r="V21" s="60" t="n"/>
      <c r="W21" s="60" t="n"/>
      <c r="X21" s="60" t="inlineStr">
        <is>
          <t>AL</t>
        </is>
      </c>
      <c r="Y21" s="60" t="n"/>
      <c r="Z21" s="60" t="n"/>
      <c r="AA21" s="60" t="inlineStr">
        <is>
          <t>AL</t>
        </is>
      </c>
      <c r="AB21" s="60" t="inlineStr">
        <is>
          <t>AL</t>
        </is>
      </c>
      <c r="AC21" s="60" t="n"/>
      <c r="AD21" s="60" t="n"/>
      <c r="AE21" s="60" t="inlineStr">
        <is>
          <t>AL</t>
        </is>
      </c>
      <c r="AF21" s="60" t="n"/>
      <c r="AG21" s="60" t="n"/>
      <c r="AH21" s="67">
        <f>COUNTIF($C21:$AF21,AH$4)</f>
        <v/>
      </c>
      <c r="AI21" s="67">
        <f>COUNTIF($C21:$AF21,AI$4)</f>
        <v/>
      </c>
      <c r="AJ21" s="67">
        <f>COUNTIF($C21:$AF21,AJ$4)</f>
        <v/>
      </c>
      <c r="AK21" s="67">
        <f>COUNTIF($C21:$AF21,AK$4)</f>
        <v/>
      </c>
      <c r="AL21" s="67">
        <f>COUNTIF($C21:$AF21,AL$4)</f>
        <v/>
      </c>
      <c r="AM21" s="67">
        <f>COUNTIF($C21:$AF21,AM$4)</f>
        <v/>
      </c>
      <c r="AN21" s="67">
        <f>COUNTIF($C21:$AF21,AN$4)</f>
        <v/>
      </c>
      <c r="AO21" s="67">
        <f>COUNTIF($C21:$AF21,AO$4)</f>
        <v/>
      </c>
      <c r="AP21" s="67">
        <f>COUNTIF($C21:$AF21,AP$4)</f>
        <v/>
      </c>
      <c r="AQ21" s="76" t="n"/>
      <c r="AR21" s="76" t="n"/>
      <c r="AS21" s="77">
        <f>SUMPRODUCT(--(WEEKDAY(C$3:AG$3,2)&lt;5),--ISNUMBER(MATCH(C21:AG21,{"DM","CS1","CS2","SB1","AE","CS/B"},0)))</f>
        <v/>
      </c>
      <c r="AT21" s="77" t="n"/>
      <c r="AU21" s="77">
        <f>SUMPRODUCT(--(WEEKDAY(C$3:AG$3,2)=5),--ISNUMBER(MATCH(C21:AG21,{"DM","CS1","CS2","SB1","AE","CS/B","WEEKEND OUTFIELD RESERVE"},0)))</f>
        <v/>
      </c>
      <c r="AV21" s="77">
        <f>SUMPRODUCT(--(WEEKDAY(C$3:AG$3,2)&gt;5),--ISNUMBER(MATCH(C21:AG21,{"DM","CS1","CS2","SB1","AE","CS/B","WEEKEND OUTFIELD RESERVE"},0)))</f>
        <v/>
      </c>
      <c r="AW21" s="77" t="n"/>
      <c r="AX21" s="77">
        <f>(AS21-AT21)+AU21*1.5+(AV21-AW21)*2+AM21*0.5+AO21*0.5+AQ21-AR21</f>
        <v/>
      </c>
      <c r="AY21" s="77">
        <f>AS21+AU21+AV21</f>
        <v/>
      </c>
      <c r="AZ21" s="77">
        <f>BD21+BF21+BH21+BJ21+BL21</f>
        <v/>
      </c>
      <c r="BA21" s="76">
        <f>AX21+BC21</f>
        <v/>
      </c>
      <c r="BB21" s="76">
        <f>(BA21-7)</f>
        <v/>
      </c>
      <c r="BC21" s="77">
        <f>BE21+BG21+BI21+BK21+BM21</f>
        <v/>
      </c>
      <c r="BD21" s="77">
        <f>COUNTIF(A21:AH21,"*$BTP*")</f>
        <v/>
      </c>
      <c r="BE21" s="77">
        <f>BD21*1.5</f>
        <v/>
      </c>
      <c r="BF21" s="77">
        <f>COUNTIF(A21:AH21,"*$M*")</f>
        <v/>
      </c>
      <c r="BG21" s="77">
        <f>BF21*1</f>
        <v/>
      </c>
      <c r="BH21" s="77">
        <f>COUNTIF(A21:AH21,"*$PM*")</f>
        <v/>
      </c>
      <c r="BI21" s="77">
        <f>BH21*0.5</f>
        <v/>
      </c>
      <c r="BJ21" s="77">
        <f>COUNTIF(A21:AH21,"*$AM*")</f>
        <v/>
      </c>
      <c r="BK21" s="77">
        <f>BJ21*0.5</f>
        <v/>
      </c>
      <c r="BL21" s="77">
        <f>COUNTIF(A21:AH21,"*$FC*")</f>
        <v/>
      </c>
      <c r="BM21" s="77">
        <f>BL21*1</f>
        <v/>
      </c>
      <c r="BN21" s="77">
        <f>COUNTIF($D21:$AA21,BN$4)</f>
        <v/>
      </c>
      <c r="BO21" s="77">
        <f>COUNTIF($D21:$AA21,BO$4)</f>
        <v/>
      </c>
      <c r="BP21" s="77">
        <f>COUNTIF($D21:$AA21,BP$4)</f>
        <v/>
      </c>
      <c r="BQ21" s="77" t="n"/>
    </row>
    <row r="22" ht="19.5" customHeight="1">
      <c r="A22" s="67" t="n"/>
      <c r="B22" s="76" t="inlineStr">
        <is>
          <t>LCP CHYE JING AN MAXIMUS</t>
        </is>
      </c>
      <c r="C22" s="107" t="n"/>
      <c r="D22" s="107" t="inlineStr">
        <is>
          <t>CS1</t>
        </is>
      </c>
      <c r="E22" s="60" t="n"/>
      <c r="F22" s="53" t="inlineStr">
        <is>
          <t>DM</t>
        </is>
      </c>
      <c r="G22" s="60" t="n"/>
      <c r="I22" s="60" t="inlineStr">
        <is>
          <t>DM</t>
        </is>
      </c>
      <c r="J22" s="53" t="n"/>
      <c r="K22" s="60" t="inlineStr">
        <is>
          <t>CS1</t>
        </is>
      </c>
      <c r="M22" s="60" t="n"/>
      <c r="N22" s="53" t="inlineStr">
        <is>
          <t>DM</t>
        </is>
      </c>
      <c r="O22" s="60" t="n"/>
      <c r="P22" s="60" t="n"/>
      <c r="Q22" s="60" t="n"/>
      <c r="R22" s="60" t="n"/>
      <c r="S22" s="60" t="n"/>
      <c r="T22" s="60" t="n"/>
      <c r="U22" s="60" t="inlineStr">
        <is>
          <t>OL</t>
        </is>
      </c>
      <c r="V22" s="53" t="n"/>
      <c r="W22" s="60" t="n"/>
      <c r="X22" s="60" t="n"/>
      <c r="Y22" s="60" t="n"/>
      <c r="Z22" s="50" t="inlineStr">
        <is>
          <t>5TH $AM ER (0730-0920)</t>
        </is>
      </c>
      <c r="AA22" s="53" t="inlineStr">
        <is>
          <t>DM</t>
        </is>
      </c>
      <c r="AB22" s="60" t="n"/>
      <c r="AC22" s="60" t="inlineStr">
        <is>
          <t>CS1</t>
        </is>
      </c>
      <c r="AD22" s="60" t="n"/>
      <c r="AE22" s="60" t="inlineStr">
        <is>
          <t>DM</t>
        </is>
      </c>
      <c r="AF22" s="60" t="n"/>
      <c r="AG22" s="60" t="n"/>
      <c r="AH22" s="67">
        <f>COUNTIF($C22:$AF22,AH$4)</f>
        <v/>
      </c>
      <c r="AI22" s="67">
        <f>COUNTIF($C22:$AF22,AI$4)</f>
        <v/>
      </c>
      <c r="AJ22" s="67">
        <f>COUNTIF($C22:$AF22,AJ$4)</f>
        <v/>
      </c>
      <c r="AK22" s="67">
        <f>COUNTIF($C22:$AF22,AK$4)</f>
        <v/>
      </c>
      <c r="AL22" s="67">
        <f>COUNTIF($C22:$AF22,AL$4)</f>
        <v/>
      </c>
      <c r="AM22" s="67">
        <f>COUNTIF($C22:$AF22,AM$4)</f>
        <v/>
      </c>
      <c r="AN22" s="67">
        <f>COUNTIF($C22:$AF22,AN$4)</f>
        <v/>
      </c>
      <c r="AO22" s="67">
        <f>COUNTIF($C22:$AF22,AO$4)</f>
        <v/>
      </c>
      <c r="AP22" s="67">
        <f>COUNTIF($C22:$AF22,AP$4)</f>
        <v/>
      </c>
      <c r="AQ22" s="76" t="n"/>
      <c r="AR22" s="76" t="n">
        <v>2</v>
      </c>
      <c r="AS22" s="77">
        <f>SUMPRODUCT(--(WEEKDAY(C$3:AG$3,2)&lt;5),--ISNUMBER(MATCH(C22:AG22,{"DM","CS1","CS2","SB1","AE","CS/B"},0)))</f>
        <v/>
      </c>
      <c r="AT22" s="67" t="n"/>
      <c r="AU22" s="77">
        <f>SUMPRODUCT(--(WEEKDAY(C$3:AG$3,2)=5),--ISNUMBER(MATCH(C22:AG22,{"DM","CS1","CS2","SB1","AE","CS/B","WEEKEND OUTFIELD RESERVE"},0)))</f>
        <v/>
      </c>
      <c r="AV22" s="77">
        <f>SUMPRODUCT(--(WEEKDAY(C$3:AG$3,2)&gt;5),--ISNUMBER(MATCH(C22:AG22,{"DM","CS1","CS2","SB1","AE","CS/B","WEEKEND OUTFIELD RESERVE"},0)))</f>
        <v/>
      </c>
      <c r="AW22" s="67" t="n"/>
      <c r="AX22" s="77">
        <f>(AS22-AT22)+AU22*1.5+(AV22-AW22)*2+AM22*0.5+AO22*0.5+AQ22-AR22</f>
        <v/>
      </c>
      <c r="AY22" s="77">
        <f>AS22+AU22+AV22</f>
        <v/>
      </c>
      <c r="AZ22" s="77">
        <f>BD22+BF22+BH22+BJ22+BL22</f>
        <v/>
      </c>
      <c r="BA22" s="76">
        <f>AX22+BC22</f>
        <v/>
      </c>
      <c r="BB22" s="76">
        <f>(BA22-7)</f>
        <v/>
      </c>
      <c r="BC22" s="77">
        <f>BE22+BG22+BI22+BK22+BM22</f>
        <v/>
      </c>
      <c r="BD22" s="77">
        <f>COUNTIF(A22:AH22,"*$BTP*")</f>
        <v/>
      </c>
      <c r="BE22" s="77">
        <f>BD22*1.5</f>
        <v/>
      </c>
      <c r="BF22" s="77">
        <f>COUNTIF(A22:AH22,"*$M*")</f>
        <v/>
      </c>
      <c r="BG22" s="77">
        <f>BF22*1</f>
        <v/>
      </c>
      <c r="BH22" s="77">
        <f>COUNTIF(A22:AH22,"*$PM*")</f>
        <v/>
      </c>
      <c r="BI22" s="77">
        <f>BH22*0.5</f>
        <v/>
      </c>
      <c r="BJ22" s="77">
        <f>COUNTIF(A22:AH22,"*$AM*")</f>
        <v/>
      </c>
      <c r="BK22" s="77">
        <f>BJ22*0.5</f>
        <v/>
      </c>
      <c r="BL22" s="77">
        <f>COUNTIF(A22:AH22,"*$FC*")</f>
        <v/>
      </c>
      <c r="BM22" s="77">
        <f>BL22*1</f>
        <v/>
      </c>
      <c r="BN22" s="77">
        <f>COUNTIF($D22:$AA22,BN$4)</f>
        <v/>
      </c>
      <c r="BO22" s="77">
        <f>COUNTIF($D22:$AA22,BO$4)</f>
        <v/>
      </c>
      <c r="BP22" s="77">
        <f>COUNTIF($D22:$AA22,BP$4)</f>
        <v/>
      </c>
      <c r="BQ22" s="67" t="n"/>
    </row>
    <row r="23" ht="19.5" customHeight="1">
      <c r="A23" s="67" t="n"/>
      <c r="B23" s="76" t="inlineStr">
        <is>
          <t>LCP TAN JUN YANG KELVIN</t>
        </is>
      </c>
      <c r="C23" s="110" t="n"/>
      <c r="D23" s="60" t="n"/>
      <c r="E23" s="60" t="inlineStr">
        <is>
          <t>AMPT</t>
        </is>
      </c>
      <c r="F23" s="60" t="n"/>
      <c r="G23" s="60" t="inlineStr">
        <is>
          <t>AL</t>
        </is>
      </c>
      <c r="H23" s="60" t="n"/>
      <c r="I23" s="60" t="inlineStr">
        <is>
          <t>CS1</t>
        </is>
      </c>
      <c r="J23" s="60" t="n"/>
      <c r="L23" s="53" t="inlineStr">
        <is>
          <t>CS1</t>
        </is>
      </c>
      <c r="M23" s="60" t="n"/>
      <c r="O23" s="53" t="n"/>
      <c r="P23" s="60" t="inlineStr">
        <is>
          <t>DM</t>
        </is>
      </c>
      <c r="Q23" s="60" t="n"/>
      <c r="R23" s="53" t="inlineStr">
        <is>
          <t>SB2</t>
        </is>
      </c>
      <c r="S23" s="60" t="inlineStr">
        <is>
          <t>AM MA</t>
        </is>
      </c>
      <c r="T23" s="60" t="inlineStr">
        <is>
          <t>P $AM ER (0500-1030)</t>
        </is>
      </c>
      <c r="U23" s="60" t="inlineStr">
        <is>
          <t>OL</t>
        </is>
      </c>
      <c r="V23" s="60" t="n"/>
      <c r="W23" s="60" t="n"/>
      <c r="X23" s="53" t="n"/>
      <c r="Y23" s="60" t="inlineStr">
        <is>
          <t>CS1</t>
        </is>
      </c>
      <c r="Z23" s="136" t="n"/>
      <c r="AB23" s="53" t="n"/>
      <c r="AC23" s="53" t="n"/>
      <c r="AE23" s="60" t="n"/>
      <c r="AG23" s="60" t="n"/>
      <c r="AH23" s="67">
        <f>COUNTIF($C23:$AF23,AH$4)</f>
        <v/>
      </c>
      <c r="AI23" s="67">
        <f>COUNTIF($C23:$AF23,AI$4)</f>
        <v/>
      </c>
      <c r="AJ23" s="67">
        <f>COUNTIF($C23:$AF23,AJ$4)</f>
        <v/>
      </c>
      <c r="AK23" s="67">
        <f>COUNTIF($C23:$AF23,AK$4)</f>
        <v/>
      </c>
      <c r="AL23" s="67">
        <f>COUNTIF($C23:$AF23,AL$4)</f>
        <v/>
      </c>
      <c r="AM23" s="67">
        <f>COUNTIF($C23:$AF23,AM$4)</f>
        <v/>
      </c>
      <c r="AN23" s="67">
        <f>COUNTIF($C23:$AF23,AN$4)</f>
        <v/>
      </c>
      <c r="AO23" s="67">
        <f>COUNTIF($C23:$AF23,AO$4)</f>
        <v/>
      </c>
      <c r="AP23" s="67">
        <f>COUNTIF($C23:$AF23,AP$4)</f>
        <v/>
      </c>
      <c r="AQ23" s="76" t="n">
        <v>0.5</v>
      </c>
      <c r="AR23" s="76" t="n">
        <v>5.5</v>
      </c>
      <c r="AS23" s="77">
        <f>SUMPRODUCT(--(WEEKDAY(C$3:AG$3,2)&lt;5),--ISNUMBER(MATCH(C23:AG23,{"DM","CS1","CS2","SB1","AE","CS/B"},0)))</f>
        <v/>
      </c>
      <c r="AT23" s="67" t="n"/>
      <c r="AU23" s="77">
        <f>SUMPRODUCT(--(WEEKDAY(C$3:AG$3,2)=5),--ISNUMBER(MATCH(C23:AG23,{"DM","CS1","CS2","SB1","AE","CS/B","WEEKEND OUTFIELD RESERVE"},0)))</f>
        <v/>
      </c>
      <c r="AV23" s="77">
        <f>SUMPRODUCT(--(WEEKDAY(C$3:AG$3,2)&gt;5),--ISNUMBER(MATCH(C23:AG23,{"DM","CS1","CS2","SB1","AE","CS/B","WEEKEND OUTFIELD RESERVE"},0)))</f>
        <v/>
      </c>
      <c r="AW23" s="67" t="n"/>
      <c r="AX23" s="77">
        <f>(AS23-AT23)+AU23*1.5+(AV23-AW23)*2+AM23*0.5+AO23*0.5+AQ23-AR23</f>
        <v/>
      </c>
      <c r="AY23" s="77">
        <f>AS23+AU23+AV23</f>
        <v/>
      </c>
      <c r="AZ23" s="77">
        <f>BD23+BF23+BH23+BJ23+BL23</f>
        <v/>
      </c>
      <c r="BA23" s="76">
        <f>AX23+BC23</f>
        <v/>
      </c>
      <c r="BB23" s="76">
        <f>(BA23-7)</f>
        <v/>
      </c>
      <c r="BC23" s="77">
        <f>BE23+BG23+BI23+BK23+BM23</f>
        <v/>
      </c>
      <c r="BD23" s="77">
        <f>COUNTIF(A23:AH23,"*$BTP*")</f>
        <v/>
      </c>
      <c r="BE23" s="77">
        <f>BD23*1.5</f>
        <v/>
      </c>
      <c r="BF23" s="77">
        <f>COUNTIF(A23:AH23,"*$M*")</f>
        <v/>
      </c>
      <c r="BG23" s="77">
        <f>BF23*1</f>
        <v/>
      </c>
      <c r="BH23" s="77">
        <f>COUNTIF(A23:AH23,"*$PM*")</f>
        <v/>
      </c>
      <c r="BI23" s="77">
        <f>BH23*0.5</f>
        <v/>
      </c>
      <c r="BJ23" s="77">
        <f>COUNTIF(A23:AH23,"*$AM*")</f>
        <v/>
      </c>
      <c r="BK23" s="77">
        <f>BJ23*0.5</f>
        <v/>
      </c>
      <c r="BL23" s="77">
        <f>COUNTIF(A23:AH23,"*$FC*")</f>
        <v/>
      </c>
      <c r="BM23" s="77">
        <f>BL23*1</f>
        <v/>
      </c>
      <c r="BN23" s="77">
        <f>COUNTIF($D23:$AA23,BN$4)</f>
        <v/>
      </c>
      <c r="BO23" s="77">
        <f>COUNTIF($D23:$AA23,BO$4)</f>
        <v/>
      </c>
      <c r="BP23" s="77">
        <f>COUNTIF($D23:$AA23,BP$4)</f>
        <v/>
      </c>
      <c r="BQ23" s="67" t="n"/>
    </row>
    <row r="24" ht="19.5" customHeight="1">
      <c r="A24" s="67" t="n"/>
      <c r="B24" s="76" t="inlineStr">
        <is>
          <t>LCP MUHAMAD ZULKHAIRI BIN MOHAMAD SAPARI</t>
        </is>
      </c>
      <c r="C24" s="110" t="n"/>
      <c r="D24" s="110" t="n"/>
      <c r="E24" s="60" t="inlineStr">
        <is>
          <t>AMPT</t>
        </is>
      </c>
      <c r="F24" s="110" t="inlineStr">
        <is>
          <t>RESERVE</t>
        </is>
      </c>
      <c r="I24" s="60" t="n"/>
      <c r="J24" s="60" t="n"/>
      <c r="K24" s="136" t="n"/>
      <c r="M24" s="60" t="n"/>
      <c r="O24" s="53" t="n"/>
      <c r="P24" s="53" t="n"/>
      <c r="T24" s="60" t="n"/>
      <c r="V24" s="60" t="n"/>
      <c r="X24" s="60" t="n"/>
      <c r="Z24" s="60" t="n"/>
      <c r="AA24" s="53" t="n"/>
      <c r="AC24" s="60" t="n"/>
      <c r="AD24" s="53" t="n"/>
      <c r="AE24" s="60" t="n"/>
      <c r="AF24" s="60" t="n"/>
      <c r="AG24" s="60" t="n"/>
      <c r="AH24" s="67">
        <f>COUNTIF($C24:$AF24,AH$4)</f>
        <v/>
      </c>
      <c r="AI24" s="67">
        <f>COUNTIF($C24:$AF24,AI$4)</f>
        <v/>
      </c>
      <c r="AJ24" s="67">
        <f>COUNTIF($C24:$AF24,AJ$4)</f>
        <v/>
      </c>
      <c r="AK24" s="67">
        <f>COUNTIF($C24:$AF24,AK$4)</f>
        <v/>
      </c>
      <c r="AL24" s="67">
        <f>COUNTIF($C24:$AF24,AL$4)</f>
        <v/>
      </c>
      <c r="AM24" s="67">
        <f>COUNTIF($C24:$AF24,AM$4)</f>
        <v/>
      </c>
      <c r="AN24" s="67">
        <f>COUNTIF($C24:$AF24,AN$4)</f>
        <v/>
      </c>
      <c r="AO24" s="67">
        <f>COUNTIF($C24:$AF24,AO$4)</f>
        <v/>
      </c>
      <c r="AP24" s="67">
        <f>COUNTIF($C24:$AF24,AP$4)</f>
        <v/>
      </c>
      <c r="AQ24" s="76" t="n"/>
      <c r="AR24" s="76" t="n">
        <v>5.5</v>
      </c>
      <c r="AS24" s="77">
        <f>SUMPRODUCT(--(WEEKDAY(C$3:AG$3,2)&lt;5),--ISNUMBER(MATCH(C24:AG24,{"DM","CS1","CS2","SB1","AE","CS/B"},0)))</f>
        <v/>
      </c>
      <c r="AT24" s="67" t="n"/>
      <c r="AU24" s="77">
        <f>SUMPRODUCT(--(WEEKDAY(C$3:AG$3,2)=5),--ISNUMBER(MATCH(C24:AG24,{"DM","CS1","CS2","SB1","AE","CS/B","WEEKEND OUTFIELD RESERVE"},0)))</f>
        <v/>
      </c>
      <c r="AV24" s="77">
        <f>SUMPRODUCT(--(WEEKDAY(C$3:AG$3,2)&gt;5),--ISNUMBER(MATCH(C24:AG24,{"DM","CS1","CS2","SB1","AE","CS/B","WEEKEND OUTFIELD RESERVE"},0)))</f>
        <v/>
      </c>
      <c r="AW24" s="67" t="n"/>
      <c r="AX24" s="77">
        <f>(AS24-AT24)+AU24*1.5+(AV24-AW24)*2+AM24*0.5+AO24*0.5+AQ24-AR24</f>
        <v/>
      </c>
      <c r="AY24" s="77">
        <f>AS24+AU24+AV24</f>
        <v/>
      </c>
      <c r="AZ24" s="77">
        <f>BD24+BF24+BH24+BJ24+BL24</f>
        <v/>
      </c>
      <c r="BA24" s="76">
        <f>AX24+BC24</f>
        <v/>
      </c>
      <c r="BB24" s="76">
        <f>(BA24-7)</f>
        <v/>
      </c>
      <c r="BC24" s="77">
        <f>BE24+BG24+BI24+BK24+BM24</f>
        <v/>
      </c>
      <c r="BD24" s="77">
        <f>COUNTIF(A24:AH24,"*$BTP*")</f>
        <v/>
      </c>
      <c r="BE24" s="77">
        <f>BD24*1.5</f>
        <v/>
      </c>
      <c r="BF24" s="77">
        <f>COUNTIF(A24:AH24,"*$M*")</f>
        <v/>
      </c>
      <c r="BG24" s="77">
        <f>BF24*1</f>
        <v/>
      </c>
      <c r="BH24" s="77">
        <f>COUNTIF(A24:AH24,"*$PM*")</f>
        <v/>
      </c>
      <c r="BI24" s="77">
        <f>BH24*0.5</f>
        <v/>
      </c>
      <c r="BJ24" s="77">
        <f>COUNTIF(A24:AH24,"*$AM*")</f>
        <v/>
      </c>
      <c r="BK24" s="77">
        <f>BJ24*0.5</f>
        <v/>
      </c>
      <c r="BL24" s="77">
        <f>COUNTIF(A24:AH24,"*$FC*")</f>
        <v/>
      </c>
      <c r="BM24" s="77">
        <f>BL24*1</f>
        <v/>
      </c>
      <c r="BN24" s="77">
        <f>COUNTIF($D24:$Z24,BN$4)</f>
        <v/>
      </c>
      <c r="BO24" s="77">
        <f>COUNTIF($D24:$Z24,BO$4)</f>
        <v/>
      </c>
      <c r="BP24" s="77">
        <f>COUNTIF($D24:$Z24,BP$4)</f>
        <v/>
      </c>
      <c r="BQ24" s="67" t="n"/>
    </row>
    <row r="25" ht="48.75" customHeight="1">
      <c r="A25" s="67" t="n"/>
      <c r="B25" s="76" t="inlineStr">
        <is>
          <t>LCP MUHAMMAD YASIR BIN MUHAMMAD HIJAZ</t>
        </is>
      </c>
      <c r="C25" s="107" t="inlineStr">
        <is>
          <t>CS1</t>
        </is>
      </c>
      <c r="D25" s="107" t="n"/>
      <c r="E25" s="60" t="inlineStr">
        <is>
          <t>S $AM GX PHASE 1 (0400-1230)</t>
        </is>
      </c>
      <c r="F25" s="60" t="inlineStr">
        <is>
          <t>CS/B</t>
        </is>
      </c>
      <c r="G25" s="60" t="n"/>
      <c r="H25" s="60" t="n"/>
      <c r="I25" s="53" t="n"/>
      <c r="J25" s="60" t="inlineStr">
        <is>
          <t>CS2</t>
        </is>
      </c>
      <c r="K25" s="60" t="n"/>
      <c r="L25" s="60" t="n"/>
      <c r="M25" s="60" t="inlineStr">
        <is>
          <t>C $M ISAD (0600-1800)</t>
        </is>
      </c>
      <c r="N25" s="60" t="inlineStr">
        <is>
          <t>PM AL</t>
        </is>
      </c>
      <c r="O25" s="60" t="inlineStr">
        <is>
          <t>CS2</t>
        </is>
      </c>
      <c r="P25" s="53" t="n"/>
      <c r="R25" s="60" t="n"/>
      <c r="S25" s="60" t="n"/>
      <c r="U25" s="136" t="n"/>
      <c r="V25" s="60" t="n"/>
      <c r="W25" s="110" t="inlineStr">
        <is>
          <t>RESERVE</t>
        </is>
      </c>
      <c r="X25" s="60" t="inlineStr">
        <is>
          <t>SB2</t>
        </is>
      </c>
      <c r="Z25" s="60" t="n"/>
      <c r="AA25" s="60" t="inlineStr">
        <is>
          <t>DM</t>
        </is>
      </c>
      <c r="AB25" s="60" t="n"/>
      <c r="AC25" s="60" t="inlineStr">
        <is>
          <t>CS2</t>
        </is>
      </c>
      <c r="AD25" s="60" t="n"/>
      <c r="AE25" s="60" t="n"/>
      <c r="AF25" s="60" t="n"/>
      <c r="AG25" s="60" t="n"/>
      <c r="AH25" s="67">
        <f>COUNTIF($C25:$AF25,AH$4)</f>
        <v/>
      </c>
      <c r="AI25" s="67">
        <f>COUNTIF($C25:$AF25,AI$4)</f>
        <v/>
      </c>
      <c r="AJ25" s="67">
        <f>COUNTIF($C25:$AF25,AJ$4)</f>
        <v/>
      </c>
      <c r="AK25" s="67">
        <f>COUNTIF($C25:$AF25,AK$4)</f>
        <v/>
      </c>
      <c r="AL25" s="67">
        <f>COUNTIF($C25:$AF25,AL$4)</f>
        <v/>
      </c>
      <c r="AM25" s="67">
        <f>COUNTIF($C25:$AF25,AM$4)</f>
        <v/>
      </c>
      <c r="AN25" s="67">
        <f>COUNTIF($C25:$AF25,AN$4)</f>
        <v/>
      </c>
      <c r="AO25" s="67">
        <f>COUNTIF($C25:$AF25,AO$4)</f>
        <v/>
      </c>
      <c r="AP25" s="67">
        <f>COUNTIF($C25:$AF25,AP$4)</f>
        <v/>
      </c>
      <c r="AQ25" s="76" t="n"/>
      <c r="AR25" s="76" t="n">
        <v>2</v>
      </c>
      <c r="AS25" s="77">
        <f>SUMPRODUCT(--(WEEKDAY(C$3:AG$3,2)&lt;5),--ISNUMBER(MATCH(C25:AG25,{"DM","CS1","CS2","SB1","AE","CS/B"},0)))</f>
        <v/>
      </c>
      <c r="AT25" s="77" t="n"/>
      <c r="AU25" s="77">
        <f>SUMPRODUCT(--(WEEKDAY(C$3:AG$3,2)=5),--ISNUMBER(MATCH(C25:AG25,{"DM","CS1","CS2","SB1","AE","CS/B","WEEKEND OUTFIELD RESERVE"},0)))</f>
        <v/>
      </c>
      <c r="AV25" s="77">
        <f>SUMPRODUCT(--(WEEKDAY(C$3:AG$3,2)&gt;5),--ISNUMBER(MATCH(C25:AG25,{"DM","CS1","CS2","SB1","AE","CS/B","WEEKEND OUTFIELD RESERVE"},0)))</f>
        <v/>
      </c>
      <c r="AW25" s="77" t="n"/>
      <c r="AX25" s="77">
        <f>(AS25-AT25)+AU25*1.5+(AV25-AW25)*2+AM25*0.5+AO25*0.5+AQ25-AR25</f>
        <v/>
      </c>
      <c r="AY25" s="77">
        <f>AS25+AU25+AV25</f>
        <v/>
      </c>
      <c r="AZ25" s="77">
        <f>BD25+BF25+BH25+BJ25+BL25</f>
        <v/>
      </c>
      <c r="BA25" s="76">
        <f>AX25+BC25</f>
        <v/>
      </c>
      <c r="BB25" s="76">
        <f>(BA25-7)</f>
        <v/>
      </c>
      <c r="BC25" s="77">
        <f>BE25+BG25+BI25+BK25+BM25</f>
        <v/>
      </c>
      <c r="BD25" s="77">
        <f>COUNTIF(A25:AH25,"*$BTP*")</f>
        <v/>
      </c>
      <c r="BE25" s="77">
        <f>BD25*1.5</f>
        <v/>
      </c>
      <c r="BF25" s="77">
        <f>COUNTIF(A25:AH25,"*$M*")</f>
        <v/>
      </c>
      <c r="BG25" s="77">
        <f>BF25*1</f>
        <v/>
      </c>
      <c r="BH25" s="77">
        <f>COUNTIF(A25:AH25,"*$PM*")</f>
        <v/>
      </c>
      <c r="BI25" s="77">
        <f>BH25*0.5</f>
        <v/>
      </c>
      <c r="BJ25" s="77">
        <f>COUNTIF(A25:AH25,"*$AM*")</f>
        <v/>
      </c>
      <c r="BK25" s="77">
        <f>BJ25*0.5</f>
        <v/>
      </c>
      <c r="BL25" s="77">
        <f>COUNTIF(A25:AH25,"*$FC*")</f>
        <v/>
      </c>
      <c r="BM25" s="77">
        <f>BL25*1</f>
        <v/>
      </c>
      <c r="BN25" s="77">
        <f>COUNTIF($D25:$AA25,BN$4)</f>
        <v/>
      </c>
      <c r="BO25" s="77">
        <f>COUNTIF($D25:$AA25,BO$4)</f>
        <v/>
      </c>
      <c r="BP25" s="77">
        <f>COUNTIF($D25:$AA25,BP$4)</f>
        <v/>
      </c>
      <c r="BQ25" s="77" t="n"/>
    </row>
    <row r="26" ht="19.5" customHeight="1">
      <c r="A26" s="67" t="n"/>
      <c r="B26" s="76" t="inlineStr">
        <is>
          <t xml:space="preserve">LCP RON NG </t>
        </is>
      </c>
      <c r="C26" s="107" t="n"/>
      <c r="D26" s="107" t="inlineStr">
        <is>
          <t>CS2</t>
        </is>
      </c>
      <c r="E26" s="136" t="n"/>
      <c r="F26" s="60" t="inlineStr">
        <is>
          <t>SB2</t>
        </is>
      </c>
      <c r="G26" s="60" t="n"/>
      <c r="H26" s="60" t="inlineStr">
        <is>
          <t>CS1</t>
        </is>
      </c>
      <c r="I26" s="60" t="n"/>
      <c r="J26" s="60" t="n"/>
      <c r="K26" s="60" t="n"/>
      <c r="L26" s="60" t="n"/>
      <c r="M26" s="60" t="inlineStr">
        <is>
          <t>SB2</t>
        </is>
      </c>
      <c r="N26" s="60" t="n"/>
      <c r="O26" s="110" t="inlineStr">
        <is>
          <t>RESERVE</t>
        </is>
      </c>
      <c r="P26" s="60" t="n"/>
      <c r="Q26" s="60" t="inlineStr">
        <is>
          <t>K $AM ER (0600-1100)</t>
        </is>
      </c>
      <c r="S26" s="60" t="n"/>
      <c r="T26" s="60" t="inlineStr">
        <is>
          <t>C $AM IPPT (0500-1100)</t>
        </is>
      </c>
      <c r="U26" s="60" t="n"/>
      <c r="V26" s="60" t="n"/>
      <c r="W26" s="53" t="inlineStr">
        <is>
          <t>CS2</t>
        </is>
      </c>
      <c r="X26" s="60" t="n"/>
      <c r="Y26" s="136" t="inlineStr">
        <is>
          <t xml:space="preserve">4TH COY $PM PERMSTAFF SOC </t>
        </is>
      </c>
      <c r="Z26" s="60" t="inlineStr">
        <is>
          <t>COVER RESERVE</t>
        </is>
      </c>
      <c r="AA26" s="60" t="n"/>
      <c r="AB26" s="60" t="inlineStr">
        <is>
          <t>DM</t>
        </is>
      </c>
      <c r="AC26" s="60" t="n"/>
      <c r="AD26" s="60" t="n"/>
      <c r="AE26" s="60" t="inlineStr">
        <is>
          <t>CS2</t>
        </is>
      </c>
      <c r="AF26" s="60" t="n"/>
      <c r="AG26" s="60" t="n"/>
      <c r="AH26" s="67">
        <f>COUNTIF($C26:$AF26,AH$4)</f>
        <v/>
      </c>
      <c r="AI26" s="67">
        <f>COUNTIF($C26:$AF26,AI$4)</f>
        <v/>
      </c>
      <c r="AJ26" s="67">
        <f>COUNTIF($C26:$AF26,AJ$4)</f>
        <v/>
      </c>
      <c r="AK26" s="67">
        <f>COUNTIF($C26:$AF26,AK$4)</f>
        <v/>
      </c>
      <c r="AL26" s="67">
        <f>COUNTIF($C26:$AF26,AL$4)</f>
        <v/>
      </c>
      <c r="AM26" s="67">
        <f>COUNTIF($C26:$AF26,AM$4)</f>
        <v/>
      </c>
      <c r="AN26" s="67">
        <f>COUNTIF($C26:$AF26,AN$4)</f>
        <v/>
      </c>
      <c r="AO26" s="67">
        <f>COUNTIF($C26:$AF26,AO$4)</f>
        <v/>
      </c>
      <c r="AP26" s="67">
        <f>COUNTIF($C26:$AF26,AP$4)</f>
        <v/>
      </c>
      <c r="AQ26" s="76" t="n"/>
      <c r="AR26" s="76" t="n">
        <v>2</v>
      </c>
      <c r="AS26" s="77">
        <f>SUMPRODUCT(--(WEEKDAY(C$3:AG$3,2)&lt;5),--ISNUMBER(MATCH(C26:AG26,{"DM","CS1","CS2","SB1","AE","CS/B"},0)))</f>
        <v/>
      </c>
      <c r="AT26" s="67" t="n"/>
      <c r="AU26" s="77">
        <f>SUMPRODUCT(--(WEEKDAY(C$3:AG$3,2)=5),--ISNUMBER(MATCH(C26:AG26,{"DM","CS1","CS2","SB1","AE","CS/B","WEEKEND OUTFIELD RESERVE"},0)))</f>
        <v/>
      </c>
      <c r="AV26" s="77">
        <f>SUMPRODUCT(--(WEEKDAY(C$3:AG$3,2)&gt;5),--ISNUMBER(MATCH(C26:AG26,{"DM","CS1","CS2","SB1","AE","CS/B","WEEKEND OUTFIELD RESERVE"},0)))</f>
        <v/>
      </c>
      <c r="AW26" s="67" t="n"/>
      <c r="AX26" s="77">
        <f>(AS26-AT26)+AU26*1.5+(AV26-AW26)*2+AM26*0.5+AO26*0.5+AQ26-AR26</f>
        <v/>
      </c>
      <c r="AY26" s="77">
        <f>AS26+AU26+AV26</f>
        <v/>
      </c>
      <c r="AZ26" s="77">
        <f>BD26+BF26+BH26+BJ26+BL26</f>
        <v/>
      </c>
      <c r="BA26" s="76">
        <f>AX26+BC26</f>
        <v/>
      </c>
      <c r="BB26" s="76">
        <f>(BA26-7)</f>
        <v/>
      </c>
      <c r="BC26" s="77">
        <f>BE26+BG26+BI26+BK26+BM26</f>
        <v/>
      </c>
      <c r="BD26" s="77">
        <f>COUNTIF(A26:AH26,"*$BTP*")</f>
        <v/>
      </c>
      <c r="BE26" s="77">
        <f>BD26*1.5</f>
        <v/>
      </c>
      <c r="BF26" s="77">
        <f>COUNTIF(A26:AH26,"*$M*")</f>
        <v/>
      </c>
      <c r="BG26" s="77">
        <f>BF26*1</f>
        <v/>
      </c>
      <c r="BH26" s="77">
        <f>COUNTIF(A26:AH26,"*$PM*")</f>
        <v/>
      </c>
      <c r="BI26" s="77">
        <f>BH26*0.5</f>
        <v/>
      </c>
      <c r="BJ26" s="77">
        <f>COUNTIF(A26:AH26,"*$AM*")</f>
        <v/>
      </c>
      <c r="BK26" s="77">
        <f>BJ26*0.5</f>
        <v/>
      </c>
      <c r="BL26" s="77">
        <f>COUNTIF(A26:AH26,"*$FC*")</f>
        <v/>
      </c>
      <c r="BM26" s="77">
        <f>BL26*1</f>
        <v/>
      </c>
      <c r="BN26" s="77">
        <f>COUNTIF($D26:$Z26,BN$4)</f>
        <v/>
      </c>
      <c r="BO26" s="77">
        <f>COUNTIF($D26:$Z26,BO$4)</f>
        <v/>
      </c>
      <c r="BP26" s="77">
        <f>COUNTIF($D26:$Z26,BP$4)</f>
        <v/>
      </c>
      <c r="BQ26" s="67" t="n"/>
    </row>
    <row r="27" ht="19.5" customHeight="1">
      <c r="A27" s="67" t="n"/>
      <c r="B27" s="76" t="inlineStr">
        <is>
          <t>LCP TRAN MINH KHOA</t>
        </is>
      </c>
      <c r="C27" s="110" t="inlineStr">
        <is>
          <t>CS2</t>
        </is>
      </c>
      <c r="D27" s="136" t="n"/>
      <c r="E27" s="60" t="inlineStr">
        <is>
          <t>SB1</t>
        </is>
      </c>
      <c r="F27" s="60" t="n"/>
      <c r="G27" s="60" t="inlineStr">
        <is>
          <t>CS1</t>
        </is>
      </c>
      <c r="H27" s="60" t="n"/>
      <c r="I27" s="60" t="n"/>
      <c r="J27" s="60" t="n"/>
      <c r="K27" s="136" t="n"/>
      <c r="L27" s="60" t="n"/>
      <c r="M27" s="60" t="n"/>
      <c r="N27" s="60" t="n"/>
      <c r="P27" s="60" t="n"/>
      <c r="Q27" s="60" t="n"/>
      <c r="R27" s="60" t="n"/>
      <c r="S27" s="60" t="n"/>
      <c r="T27" s="136" t="n"/>
      <c r="U27" s="60" t="inlineStr">
        <is>
          <t>SB2</t>
        </is>
      </c>
      <c r="V27" s="53" t="n"/>
      <c r="W27" s="53" t="n"/>
      <c r="X27" s="60" t="n"/>
      <c r="Y27" s="60" t="inlineStr">
        <is>
          <t>DM</t>
        </is>
      </c>
      <c r="Z27" s="53" t="n"/>
      <c r="AA27" s="60" t="inlineStr">
        <is>
          <t>P $AM IPPT (0500-1030)</t>
        </is>
      </c>
      <c r="AB27" s="60" t="n"/>
      <c r="AC27" s="60" t="n"/>
      <c r="AD27" s="136" t="n"/>
      <c r="AE27" s="60" t="n"/>
      <c r="AF27" s="60" t="inlineStr">
        <is>
          <t>P $AM ER (0500-1030)</t>
        </is>
      </c>
      <c r="AG27" s="60" t="n"/>
      <c r="AH27" s="67">
        <f>COUNTIF($C27:$AF27,AH$4)</f>
        <v/>
      </c>
      <c r="AI27" s="67">
        <f>COUNTIF($C27:$AF27,AI$4)</f>
        <v/>
      </c>
      <c r="AJ27" s="67">
        <f>COUNTIF($C27:$AF27,AJ$4)</f>
        <v/>
      </c>
      <c r="AK27" s="67">
        <f>COUNTIF($C27:$AF27,AK$4)</f>
        <v/>
      </c>
      <c r="AL27" s="67">
        <f>COUNTIF($C27:$AF27,AL$4)</f>
        <v/>
      </c>
      <c r="AM27" s="67">
        <f>COUNTIF($C27:$AF27,AM$4)</f>
        <v/>
      </c>
      <c r="AN27" s="67">
        <f>COUNTIF($C27:$AF27,AN$4)</f>
        <v/>
      </c>
      <c r="AO27" s="67">
        <f>COUNTIF($C27:$AF27,AO$4)</f>
        <v/>
      </c>
      <c r="AP27" s="67">
        <f>COUNTIF($C27:$AF27,AP$4)</f>
        <v/>
      </c>
      <c r="AQ27" s="76" t="n">
        <v>1</v>
      </c>
      <c r="AR27" s="76" t="n"/>
      <c r="AS27" s="77">
        <f>SUMPRODUCT(--(WEEKDAY(C$3:AG$3,2)&lt;5),--ISNUMBER(MATCH(C27:AG27,{"DM","CS1","CS2","SB1","AE","CS/B"},0)))</f>
        <v/>
      </c>
      <c r="AT27" s="67" t="n"/>
      <c r="AU27" s="77">
        <f>SUMPRODUCT(--(WEEKDAY(C$3:AG$3,2)=5),--ISNUMBER(MATCH(C27:AG27,{"DM","CS1","CS2","SB1","AE","CS/B","WEEKEND OUTFIELD RESERVE"},0)))</f>
        <v/>
      </c>
      <c r="AV27" s="77">
        <f>SUMPRODUCT(--(WEEKDAY(C$3:AG$3,2)&gt;5),--ISNUMBER(MATCH(C27:AG27,{"DM","CS1","CS2","SB1","AE","CS/B","WEEKEND OUTFIELD RESERVE"},0)))</f>
        <v/>
      </c>
      <c r="AW27" s="67" t="n"/>
      <c r="AX27" s="77">
        <f>(AS27-AT27)+AU27*1.5+(AV27-AW27)*2+AM27*0.5+AO27*0.5+AQ27-AR27</f>
        <v/>
      </c>
      <c r="AY27" s="77">
        <f>AS27+AU27+AV27</f>
        <v/>
      </c>
      <c r="AZ27" s="77">
        <f>BD27+BF27+BH27+BJ27+BL27</f>
        <v/>
      </c>
      <c r="BA27" s="76">
        <f>AX27+BC27</f>
        <v/>
      </c>
      <c r="BB27" s="76">
        <f>(BA27-7)</f>
        <v/>
      </c>
      <c r="BC27" s="77">
        <f>BE27+BG27+BI27+BK27+BM27</f>
        <v/>
      </c>
      <c r="BD27" s="77">
        <f>COUNTIF(A27:AH27,"*$BTP*")</f>
        <v/>
      </c>
      <c r="BE27" s="77">
        <f>BD27*1.5</f>
        <v/>
      </c>
      <c r="BF27" s="77">
        <f>COUNTIF(A27:AH27,"*$M*")</f>
        <v/>
      </c>
      <c r="BG27" s="77">
        <f>BF27*1</f>
        <v/>
      </c>
      <c r="BH27" s="77">
        <f>COUNTIF(A27:AH27,"*$PM*")</f>
        <v/>
      </c>
      <c r="BI27" s="77">
        <f>BH27*0.5</f>
        <v/>
      </c>
      <c r="BJ27" s="77">
        <f>COUNTIF(A27:AH27,"*$AM*")</f>
        <v/>
      </c>
      <c r="BK27" s="77">
        <f>BJ27*0.5</f>
        <v/>
      </c>
      <c r="BL27" s="77">
        <f>COUNTIF(A27:AH27,"*$FC*")</f>
        <v/>
      </c>
      <c r="BM27" s="77">
        <f>BL27*1</f>
        <v/>
      </c>
      <c r="BN27" s="77">
        <f>COUNTIF($H27:$AA27,BN$4)</f>
        <v/>
      </c>
      <c r="BO27" s="77">
        <f>COUNTIF($H27:$AA27,BO$4)</f>
        <v/>
      </c>
      <c r="BP27" s="77">
        <f>COUNTIF($H27:$AA27,BP$4)</f>
        <v/>
      </c>
      <c r="BQ27" s="67" t="n"/>
    </row>
    <row r="28" ht="51.75" customHeight="1">
      <c r="A28" s="67" t="n"/>
      <c r="B28" s="76" t="inlineStr">
        <is>
          <t xml:space="preserve">LCP STEPHEN TAY </t>
        </is>
      </c>
      <c r="C28" s="107" t="n"/>
      <c r="D28" s="107" t="n"/>
      <c r="E28" s="60" t="inlineStr">
        <is>
          <t>AE</t>
        </is>
      </c>
      <c r="F28" s="53" t="n"/>
      <c r="G28" s="110" t="inlineStr">
        <is>
          <t>RESERVE</t>
        </is>
      </c>
      <c r="H28" s="60" t="n"/>
      <c r="I28" s="60" t="n"/>
      <c r="J28" s="60" t="n"/>
      <c r="K28" s="60" t="n"/>
      <c r="L28" s="60" t="inlineStr">
        <is>
          <t>SB2</t>
        </is>
      </c>
      <c r="M28" s="60" t="n"/>
      <c r="N28" s="60" t="n"/>
      <c r="O28" s="60" t="n"/>
      <c r="P28" s="60" t="n"/>
      <c r="Q28" s="53" t="n"/>
      <c r="R28" s="60" t="n"/>
      <c r="S28" s="60" t="n"/>
      <c r="T28" s="60" t="n"/>
      <c r="U28" s="53" t="inlineStr">
        <is>
          <t>CS1</t>
        </is>
      </c>
      <c r="V28" s="53" t="n"/>
      <c r="W28" s="60" t="n"/>
      <c r="X28" s="53" t="n"/>
      <c r="Y28" s="60" t="n"/>
      <c r="AA28" s="60" t="inlineStr">
        <is>
          <t>CS2</t>
        </is>
      </c>
      <c r="AB28" s="60" t="n"/>
      <c r="AC28" s="53" t="n"/>
      <c r="AD28" s="136" t="inlineStr">
        <is>
          <t>CS1</t>
        </is>
      </c>
      <c r="AE28" s="53" t="inlineStr">
        <is>
          <t>SB2</t>
        </is>
      </c>
      <c r="AF28" s="60" t="n"/>
      <c r="AG28" s="53" t="n"/>
      <c r="AH28" s="67">
        <f>COUNTIF($C28:$AF28,AH$4)</f>
        <v/>
      </c>
      <c r="AI28" s="67">
        <f>COUNTIF($C28:$AF28,AI$4)</f>
        <v/>
      </c>
      <c r="AJ28" s="67">
        <f>COUNTIF($C28:$AF28,AJ$4)</f>
        <v/>
      </c>
      <c r="AK28" s="67">
        <f>COUNTIF($C28:$AF28,AK$4)</f>
        <v/>
      </c>
      <c r="AL28" s="67">
        <f>COUNTIF($C28:$AF28,AL$4)</f>
        <v/>
      </c>
      <c r="AM28" s="67">
        <f>COUNTIF($C28:$AF28,AM$4)</f>
        <v/>
      </c>
      <c r="AN28" s="67">
        <f>COUNTIF($C28:$AF28,AN$4)</f>
        <v/>
      </c>
      <c r="AO28" s="67">
        <f>COUNTIF($C28:$AF28,AO$4)</f>
        <v/>
      </c>
      <c r="AP28" s="67">
        <f>COUNTIF($C28:$AF28,AP$4)</f>
        <v/>
      </c>
      <c r="AQ28" s="76" t="n">
        <v>2</v>
      </c>
      <c r="AR28" s="76" t="n"/>
      <c r="AS28" s="77">
        <f>SUMPRODUCT(--(WEEKDAY(C$3:AG$3,2)&lt;5),--ISNUMBER(MATCH(C28:AG28,{"DM","CS1","CS2","SB1","AE","CS/B"},0)))</f>
        <v/>
      </c>
      <c r="AT28" s="67" t="n"/>
      <c r="AU28" s="77">
        <f>SUMPRODUCT(--(WEEKDAY(C$3:AG$3,2)=5),--ISNUMBER(MATCH(C28:AG28,{"DM","CS1","CS2","SB1","AE","CS/B","WEEKEND OUTFIELD RESERVE"},0)))</f>
        <v/>
      </c>
      <c r="AV28" s="77">
        <f>SUMPRODUCT(--(WEEKDAY(C$3:AG$3,2)&gt;5),--ISNUMBER(MATCH(C28:AG28,{"DM","CS1","CS2","SB1","AE","CS/B","WEEKEND OUTFIELD RESERVE"},0)))</f>
        <v/>
      </c>
      <c r="AW28" s="67" t="n"/>
      <c r="AX28" s="77">
        <f>(AS28-AT28)+AU28*1.5+(AV28-AW28)*2+AM28*0.5+AO28*0.5+AQ28-AR28</f>
        <v/>
      </c>
      <c r="AY28" s="77">
        <f>AS28+AU28+AV28</f>
        <v/>
      </c>
      <c r="AZ28" s="77">
        <f>BD28+BF28+BH28+BJ28+BL28</f>
        <v/>
      </c>
      <c r="BA28" s="76">
        <f>AX28+BC28</f>
        <v/>
      </c>
      <c r="BB28" s="76">
        <f>(BA28-7)</f>
        <v/>
      </c>
      <c r="BC28" s="77">
        <f>BE28+BG28+BI28+BK28+BM28</f>
        <v/>
      </c>
      <c r="BD28" s="77">
        <f>COUNTIF(A28:AH28,"*$BTP*")</f>
        <v/>
      </c>
      <c r="BE28" s="77">
        <f>BD28*1.5</f>
        <v/>
      </c>
      <c r="BF28" s="77">
        <f>COUNTIF(A28:AH28,"*$M*")</f>
        <v/>
      </c>
      <c r="BG28" s="77">
        <f>BF28*1</f>
        <v/>
      </c>
      <c r="BH28" s="77">
        <f>COUNTIF(A28:AH28,"*$PM*")</f>
        <v/>
      </c>
      <c r="BI28" s="77">
        <f>BH28*0.5</f>
        <v/>
      </c>
      <c r="BJ28" s="77">
        <f>COUNTIF(A28:AH28,"*$AM*")</f>
        <v/>
      </c>
      <c r="BK28" s="77">
        <f>BJ28*0.5</f>
        <v/>
      </c>
      <c r="BL28" s="77">
        <f>COUNTIF(A28:AH28,"*$FC*")</f>
        <v/>
      </c>
      <c r="BM28" s="77">
        <f>BL28*1</f>
        <v/>
      </c>
      <c r="BN28" s="77">
        <f>COUNTIF($D28:$Z28,BN$4)</f>
        <v/>
      </c>
      <c r="BO28" s="77">
        <f>COUNTIF($D28:$Z28,BO$4)</f>
        <v/>
      </c>
      <c r="BP28" s="77">
        <f>COUNTIF($D28:$Z28,BP$4)</f>
        <v/>
      </c>
      <c r="BQ28" s="67" t="n"/>
    </row>
    <row r="29" ht="19.5" customHeight="1">
      <c r="A29" s="67" t="n"/>
      <c r="B29" s="76" t="inlineStr">
        <is>
          <t xml:space="preserve">LCP EDWARD GAN BOON WEI </t>
        </is>
      </c>
      <c r="C29" s="110" t="n"/>
      <c r="D29" s="110" t="n"/>
      <c r="E29" s="60" t="inlineStr">
        <is>
          <t>GX $M</t>
        </is>
      </c>
      <c r="F29" s="60" t="n"/>
      <c r="G29" s="60" t="inlineStr">
        <is>
          <t>SB2</t>
        </is>
      </c>
      <c r="H29" s="60" t="inlineStr">
        <is>
          <t>SB1</t>
        </is>
      </c>
      <c r="I29" s="60" t="n"/>
      <c r="J29" s="60" t="n"/>
      <c r="K29" s="60" t="inlineStr">
        <is>
          <t>CS2</t>
        </is>
      </c>
      <c r="L29" s="60" t="n"/>
      <c r="M29" s="60" t="n"/>
      <c r="N29" s="53" t="n"/>
      <c r="O29" s="60" t="n"/>
      <c r="P29" s="60" t="n"/>
      <c r="Q29" s="60" t="n"/>
      <c r="R29" s="60" t="inlineStr">
        <is>
          <t>K $AM ER (0600-1100)</t>
        </is>
      </c>
      <c r="S29" s="60" t="n"/>
      <c r="T29" s="60" t="inlineStr">
        <is>
          <t>OL</t>
        </is>
      </c>
      <c r="U29" s="60" t="inlineStr">
        <is>
          <t>OL</t>
        </is>
      </c>
      <c r="V29" s="53" t="inlineStr">
        <is>
          <t>OL</t>
        </is>
      </c>
      <c r="W29" s="60" t="inlineStr">
        <is>
          <t>OL</t>
        </is>
      </c>
      <c r="X29" s="53" t="inlineStr">
        <is>
          <t>OL</t>
        </is>
      </c>
      <c r="Y29" s="60" t="inlineStr">
        <is>
          <t>OL</t>
        </is>
      </c>
      <c r="Z29" s="110" t="inlineStr">
        <is>
          <t>RESERVE</t>
        </is>
      </c>
      <c r="AA29" s="60" t="n"/>
      <c r="AB29" s="60" t="inlineStr">
        <is>
          <t>CS2</t>
        </is>
      </c>
      <c r="AC29" s="60" t="n"/>
      <c r="AD29" s="60" t="n"/>
      <c r="AE29" s="53" t="n"/>
      <c r="AF29" s="60" t="n"/>
      <c r="AG29" s="60" t="n"/>
      <c r="AH29" s="67">
        <f>COUNTIF($C29:$AF29,AH$4)</f>
        <v/>
      </c>
      <c r="AI29" s="67">
        <f>COUNTIF($C29:$AF29,AI$4)</f>
        <v/>
      </c>
      <c r="AJ29" s="67">
        <f>COUNTIF($C29:$AF29,AJ$4)</f>
        <v/>
      </c>
      <c r="AK29" s="67">
        <f>COUNTIF($C29:$AF29,AK$4)</f>
        <v/>
      </c>
      <c r="AL29" s="67">
        <f>COUNTIF($C29:$AF29,AL$4)</f>
        <v/>
      </c>
      <c r="AM29" s="67">
        <f>COUNTIF($C29:$AF29,AM$4)</f>
        <v/>
      </c>
      <c r="AN29" s="67">
        <f>COUNTIF($C29:$AF29,AN$4)</f>
        <v/>
      </c>
      <c r="AO29" s="67">
        <f>COUNTIF($C29:$AF29,AO$4)</f>
        <v/>
      </c>
      <c r="AP29" s="67">
        <f>COUNTIF($C29:$AF29,AP$4)</f>
        <v/>
      </c>
      <c r="AQ29" s="76" t="n"/>
      <c r="AR29" s="76" t="n"/>
      <c r="AS29" s="77">
        <f>SUMPRODUCT(--(WEEKDAY(C$3:AG$3,2)&lt;5),--ISNUMBER(MATCH(C29:AG29,{"DM","CS1","CS2","SB1","AE","CS/B"},0)))</f>
        <v/>
      </c>
      <c r="AT29" s="67" t="n"/>
      <c r="AU29" s="77">
        <f>SUMPRODUCT(--(WEEKDAY(C$3:AG$3,2)=5),--ISNUMBER(MATCH(C29:AG29,{"DM","CS1","CS2","SB1","AE","CS/B","WEEKEND OUTFIELD RESERVE"},0)))</f>
        <v/>
      </c>
      <c r="AV29" s="77">
        <f>SUMPRODUCT(--(WEEKDAY(C$3:AG$3,2)&gt;5),--ISNUMBER(MATCH(C29:AG29,{"DM","CS1","CS2","SB1","AE","CS/B","WEEKEND OUTFIELD RESERVE"},0)))</f>
        <v/>
      </c>
      <c r="AW29" s="67" t="n"/>
      <c r="AX29" s="77">
        <f>(AS29-AT29)+AU29*1.5+(AV29-AW29)*2+AM29*0.5+AO29*0.5+AQ29-AR29</f>
        <v/>
      </c>
      <c r="AY29" s="77">
        <f>AS29+AU29+AV29</f>
        <v/>
      </c>
      <c r="AZ29" s="77">
        <f>BD29+BF29+BH29+BJ29+BL29</f>
        <v/>
      </c>
      <c r="BA29" s="76">
        <f>AX29+BC29</f>
        <v/>
      </c>
      <c r="BB29" s="76">
        <f>(BA29-7)</f>
        <v/>
      </c>
      <c r="BC29" s="77">
        <f>BE29+BG29+BI29+BK29+BM29</f>
        <v/>
      </c>
      <c r="BD29" s="77">
        <f>COUNTIF(A29:AH29,"*$BTP*")</f>
        <v/>
      </c>
      <c r="BE29" s="77">
        <f>BD29*1.5</f>
        <v/>
      </c>
      <c r="BF29" s="77">
        <f>COUNTIF(A29:AH29,"*$M*")</f>
        <v/>
      </c>
      <c r="BG29" s="77">
        <f>BF29*1</f>
        <v/>
      </c>
      <c r="BH29" s="77">
        <f>COUNTIF(A29:AH29,"*$PM*")</f>
        <v/>
      </c>
      <c r="BI29" s="77">
        <f>BH29*0.5</f>
        <v/>
      </c>
      <c r="BJ29" s="77">
        <f>COUNTIF(A29:AH29,"*$AM*")</f>
        <v/>
      </c>
      <c r="BK29" s="77">
        <f>BJ29*0.5</f>
        <v/>
      </c>
      <c r="BL29" s="77">
        <f>COUNTIF(A29:AH29,"*$FC*")</f>
        <v/>
      </c>
      <c r="BM29" s="77">
        <f>BL29*1</f>
        <v/>
      </c>
      <c r="BN29" s="77">
        <f>COUNTIF($D29:$AA29,BN$4)</f>
        <v/>
      </c>
      <c r="BO29" s="77">
        <f>COUNTIF($D29:$AA29,BO$4)</f>
        <v/>
      </c>
      <c r="BP29" s="77">
        <f>COUNTIF($D29:$AA29,BP$4)</f>
        <v/>
      </c>
      <c r="BQ29" s="67" t="n"/>
    </row>
    <row r="30" ht="19.5" customHeight="1">
      <c r="A30" s="67" t="n"/>
      <c r="B30" s="76" t="inlineStr">
        <is>
          <t>LCP RAIYAN ZUFAYRI BIN MOHAMAD HELMY</t>
        </is>
      </c>
      <c r="C30" s="107" t="n"/>
      <c r="D30" s="107" t="n"/>
      <c r="E30" s="60" t="inlineStr">
        <is>
          <t>T $AM GX PHASE 1 (0400-1230)</t>
        </is>
      </c>
      <c r="F30" s="60" t="inlineStr">
        <is>
          <t>CS1</t>
        </is>
      </c>
      <c r="G30" s="60" t="n"/>
      <c r="H30" s="60" t="n"/>
      <c r="I30" s="53" t="n"/>
      <c r="J30" s="60" t="inlineStr">
        <is>
          <t>CS1</t>
        </is>
      </c>
      <c r="K30" s="60" t="inlineStr">
        <is>
          <t>SB2</t>
        </is>
      </c>
      <c r="L30" s="60" t="n"/>
      <c r="M30" s="53" t="n"/>
      <c r="N30" s="60" t="inlineStr">
        <is>
          <t>CS2</t>
        </is>
      </c>
      <c r="O30" s="53" t="n"/>
      <c r="P30" s="53" t="n"/>
      <c r="Q30" s="60" t="inlineStr">
        <is>
          <t>CS1</t>
        </is>
      </c>
      <c r="R30" s="60" t="n"/>
      <c r="S30" s="60" t="n"/>
      <c r="T30" s="60" t="inlineStr">
        <is>
          <t>OL</t>
        </is>
      </c>
      <c r="U30" s="53" t="inlineStr">
        <is>
          <t>OL</t>
        </is>
      </c>
      <c r="V30" s="60" t="inlineStr">
        <is>
          <t>OL</t>
        </is>
      </c>
      <c r="W30" s="53" t="n"/>
      <c r="X30" s="60" t="inlineStr">
        <is>
          <t>CNY OIL</t>
        </is>
      </c>
      <c r="Y30" s="60" t="n"/>
      <c r="Z30" s="136" t="inlineStr">
        <is>
          <t>SB2</t>
        </is>
      </c>
      <c r="AA30" s="136" t="n"/>
      <c r="AB30" s="136" t="inlineStr">
        <is>
          <t>HQ $AM IPPT (0720-1320)</t>
        </is>
      </c>
      <c r="AC30" s="60" t="n"/>
      <c r="AD30" s="60" t="inlineStr">
        <is>
          <t>AE</t>
        </is>
      </c>
      <c r="AE30" s="60" t="n"/>
      <c r="AF30" s="110" t="inlineStr">
        <is>
          <t>RESERVE</t>
        </is>
      </c>
      <c r="AG30" s="60" t="n"/>
      <c r="AH30" s="67">
        <f>COUNTIF($C30:$AF30,AH$4)</f>
        <v/>
      </c>
      <c r="AI30" s="67">
        <f>COUNTIF($C30:$AF30,AI$4)</f>
        <v/>
      </c>
      <c r="AJ30" s="67">
        <f>COUNTIF($C30:$AF30,AJ$4)</f>
        <v/>
      </c>
      <c r="AK30" s="67">
        <f>COUNTIF($C30:$AF30,AK$4)</f>
        <v/>
      </c>
      <c r="AL30" s="67">
        <f>COUNTIF($C30:$AF30,AL$4)</f>
        <v/>
      </c>
      <c r="AM30" s="67">
        <f>COUNTIF($C30:$AF30,AM$4)</f>
        <v/>
      </c>
      <c r="AN30" s="67">
        <f>COUNTIF($C30:$AF30,AN$4)</f>
        <v/>
      </c>
      <c r="AO30" s="67">
        <f>COUNTIF($C30:$AF30,AO$4)</f>
        <v/>
      </c>
      <c r="AP30" s="67">
        <f>COUNTIF($C30:$AF30,AP$4)</f>
        <v/>
      </c>
      <c r="AQ30" s="76" t="n"/>
      <c r="AR30" s="76" t="n">
        <v>1.5</v>
      </c>
      <c r="AS30" s="77">
        <f>SUMPRODUCT(--(WEEKDAY(C$3:AG$3,2)&lt;5),--ISNUMBER(MATCH(C30:AG30,{"DM","CS1","CS2","SB1","AE","CS/B"},0)))</f>
        <v/>
      </c>
      <c r="AT30" s="67" t="n"/>
      <c r="AU30" s="77">
        <f>SUMPRODUCT(--(WEEKDAY(C$3:AG$3,2)=5),--ISNUMBER(MATCH(C30:AG30,{"DM","CS1","CS2","SB1","AE","CS/B","WEEKEND OUTFIELD RESERVE"},0)))</f>
        <v/>
      </c>
      <c r="AV30" s="77">
        <f>SUMPRODUCT(--(WEEKDAY(C$3:AG$3,2)&gt;5),--ISNUMBER(MATCH(C30:AG30,{"DM","CS1","CS2","SB1","AE","CS/B","WEEKEND OUTFIELD RESERVE"},0)))</f>
        <v/>
      </c>
      <c r="AW30" s="67" t="n"/>
      <c r="AX30" s="77">
        <f>(AS30-AT30)+AU30*1.5+(AV30-AW30)*2+AM30*0.5+AO30*0.5+AQ30-AR30</f>
        <v/>
      </c>
      <c r="AY30" s="77">
        <f>AS30+AU30+AV30</f>
        <v/>
      </c>
      <c r="AZ30" s="77">
        <f>BD30+BF30+BH30+BJ30+BL30</f>
        <v/>
      </c>
      <c r="BA30" s="76">
        <f>AX30+BC30</f>
        <v/>
      </c>
      <c r="BB30" s="76">
        <f>(BA30-7)</f>
        <v/>
      </c>
      <c r="BC30" s="77">
        <f>BE30+BG30+BI30+BK30+BM30</f>
        <v/>
      </c>
      <c r="BD30" s="77">
        <f>COUNTIF(A30:AH30,"*$BTP*")</f>
        <v/>
      </c>
      <c r="BE30" s="77">
        <f>BD30*1.5</f>
        <v/>
      </c>
      <c r="BF30" s="77">
        <f>COUNTIF(A30:AH30,"*$M*")</f>
        <v/>
      </c>
      <c r="BG30" s="77">
        <f>BF30*1</f>
        <v/>
      </c>
      <c r="BH30" s="77">
        <f>COUNTIF(A30:AH30,"*$PM*")</f>
        <v/>
      </c>
      <c r="BI30" s="77">
        <f>BH30*0.5</f>
        <v/>
      </c>
      <c r="BJ30" s="77">
        <f>COUNTIF(A30:AH30,"*$AM*")</f>
        <v/>
      </c>
      <c r="BK30" s="77">
        <f>BJ30*0.5</f>
        <v/>
      </c>
      <c r="BL30" s="77">
        <f>COUNTIF(A30:AH30,"*$FC*")</f>
        <v/>
      </c>
      <c r="BM30" s="77">
        <f>BL30*1</f>
        <v/>
      </c>
      <c r="BN30" s="77">
        <f>COUNTIF($D30:$Y30,BN$4)</f>
        <v/>
      </c>
      <c r="BO30" s="77">
        <f>COUNTIF($D30:$Y30,BO$4)</f>
        <v/>
      </c>
      <c r="BP30" s="77">
        <f>COUNTIF($D30:$Y30,BP$4)</f>
        <v/>
      </c>
      <c r="BQ30" s="67" t="n"/>
    </row>
    <row r="31" ht="19.5" customHeight="1">
      <c r="A31" s="67" t="n"/>
      <c r="B31" s="76" t="inlineStr">
        <is>
          <t>PTE CHOA ZONGHAN ETIENNE</t>
        </is>
      </c>
      <c r="C31" s="110" t="inlineStr">
        <is>
          <t>SB1</t>
        </is>
      </c>
      <c r="D31" s="110" t="n"/>
      <c r="E31" s="60" t="inlineStr">
        <is>
          <t>GX $PM</t>
        </is>
      </c>
      <c r="F31" s="60" t="inlineStr">
        <is>
          <t>GX</t>
        </is>
      </c>
      <c r="G31" s="60" t="n"/>
      <c r="J31" s="60" t="inlineStr">
        <is>
          <t>OL</t>
        </is>
      </c>
      <c r="K31" s="60" t="inlineStr">
        <is>
          <t>OL</t>
        </is>
      </c>
      <c r="L31" s="60" t="inlineStr">
        <is>
          <t>OL</t>
        </is>
      </c>
      <c r="M31" s="53" t="inlineStr">
        <is>
          <t>OL</t>
        </is>
      </c>
      <c r="N31" s="60" t="inlineStr">
        <is>
          <t>SB2</t>
        </is>
      </c>
      <c r="O31" s="53" t="n"/>
      <c r="P31" s="53" t="n"/>
      <c r="Q31" s="60" t="inlineStr">
        <is>
          <t>AE</t>
        </is>
      </c>
      <c r="R31" s="60" t="n"/>
      <c r="S31" s="60" t="n"/>
      <c r="T31" s="60" t="inlineStr">
        <is>
          <t>OL</t>
        </is>
      </c>
      <c r="U31" s="60" t="inlineStr">
        <is>
          <t>OL</t>
        </is>
      </c>
      <c r="V31" s="60" t="inlineStr">
        <is>
          <t>OL</t>
        </is>
      </c>
      <c r="W31" s="60" t="n"/>
      <c r="X31" s="60" t="n"/>
      <c r="Y31" s="60" t="n"/>
      <c r="Z31" s="60" t="inlineStr">
        <is>
          <t>K $AM IPPT</t>
        </is>
      </c>
      <c r="AA31" s="136" t="inlineStr">
        <is>
          <t>SB2</t>
        </is>
      </c>
      <c r="AB31" s="60" t="n"/>
      <c r="AC31" s="136" t="n"/>
      <c r="AD31" s="53" t="inlineStr">
        <is>
          <t>CS2</t>
        </is>
      </c>
      <c r="AE31" s="60" t="n"/>
      <c r="AF31" s="60" t="inlineStr">
        <is>
          <t>CS2</t>
        </is>
      </c>
      <c r="AG31" s="60" t="n"/>
      <c r="AH31" s="67">
        <f>COUNTIF($C31:$AF31,AH$4)</f>
        <v/>
      </c>
      <c r="AI31" s="67">
        <f>COUNTIF($C31:$AF31,AI$4)</f>
        <v/>
      </c>
      <c r="AJ31" s="67">
        <f>COUNTIF($C31:$AF31,AJ$4)</f>
        <v/>
      </c>
      <c r="AK31" s="67">
        <f>COUNTIF($C31:$AF31,AK$4)</f>
        <v/>
      </c>
      <c r="AL31" s="67">
        <f>COUNTIF($C31:$AF31,AL$4)</f>
        <v/>
      </c>
      <c r="AM31" s="67">
        <f>COUNTIF($C31:$AF31,AM$4)</f>
        <v/>
      </c>
      <c r="AN31" s="67">
        <f>COUNTIF($C31:$AF31,AN$4)</f>
        <v/>
      </c>
      <c r="AO31" s="67">
        <f>COUNTIF($C31:$AF31,AO$4)</f>
        <v/>
      </c>
      <c r="AP31" s="67">
        <f>COUNTIF($C31:$AF31,AP$4)</f>
        <v/>
      </c>
      <c r="AQ31" s="76" t="n"/>
      <c r="AR31" s="76" t="n">
        <v>0.5</v>
      </c>
      <c r="AS31" s="77">
        <f>SUMPRODUCT(--(WEEKDAY(C$3:AG$3,2)&lt;5),--ISNUMBER(MATCH(C31:AG31,{"DM","CS1","CS2","SB1","AE","CS/B"},0)))</f>
        <v/>
      </c>
      <c r="AT31" s="67" t="n"/>
      <c r="AU31" s="77">
        <f>SUMPRODUCT(--(WEEKDAY(C$3:AG$3,2)=5),--ISNUMBER(MATCH(C31:AG31,{"DM","CS1","CS2","SB1","AE","CS/B","WEEKEND OUTFIELD RESERVE"},0)))</f>
        <v/>
      </c>
      <c r="AV31" s="77">
        <f>SUMPRODUCT(--(WEEKDAY(C$3:AG$3,2)&gt;5),--ISNUMBER(MATCH(C31:AG31,{"DM","CS1","CS2","SB1","AE","CS/B","WEEKEND OUTFIELD RESERVE"},0)))</f>
        <v/>
      </c>
      <c r="AW31" s="67" t="n"/>
      <c r="AX31" s="77">
        <f>(AS31-AT31)+AU31*1.5+(AV31-AW31)*2+AM31*0.5+AO31*0.5+AQ31-AR31</f>
        <v/>
      </c>
      <c r="AY31" s="77">
        <f>AS31+AU31+AV31</f>
        <v/>
      </c>
      <c r="AZ31" s="77">
        <f>BD31+BF31+BH31+BJ31+BL31</f>
        <v/>
      </c>
      <c r="BA31" s="76">
        <f>AX31+BC31</f>
        <v/>
      </c>
      <c r="BB31" s="76">
        <f>(BA31-7)</f>
        <v/>
      </c>
      <c r="BC31" s="77">
        <f>BE31+BG31+BI31+BK31+BM31</f>
        <v/>
      </c>
      <c r="BD31" s="77">
        <f>COUNTIF(A31:AH31,"*$BTP*")</f>
        <v/>
      </c>
      <c r="BE31" s="77">
        <f>BD31*1.5</f>
        <v/>
      </c>
      <c r="BF31" s="77">
        <f>COUNTIF(A31:AH31,"*$M*")</f>
        <v/>
      </c>
      <c r="BG31" s="77">
        <f>BF31*1</f>
        <v/>
      </c>
      <c r="BH31" s="77">
        <f>COUNTIF(A31:AH31,"*$PM*")</f>
        <v/>
      </c>
      <c r="BI31" s="77">
        <f>BH31*0.5</f>
        <v/>
      </c>
      <c r="BJ31" s="77">
        <f>COUNTIF(A31:AH31,"*$AM*")</f>
        <v/>
      </c>
      <c r="BK31" s="77">
        <f>BJ31*0.5</f>
        <v/>
      </c>
      <c r="BL31" s="77">
        <f>COUNTIF(A31:AH31,"*$FC*")</f>
        <v/>
      </c>
      <c r="BM31" s="77">
        <f>BL31*1</f>
        <v/>
      </c>
      <c r="BN31" s="77">
        <f>COUNTIF($D31:$Z31,BN$4)</f>
        <v/>
      </c>
      <c r="BO31" s="77">
        <f>COUNTIF($D31:$Z31,BO$4)</f>
        <v/>
      </c>
      <c r="BP31" s="77">
        <f>COUNTIF($D31:$Z31,BP$4)</f>
        <v/>
      </c>
      <c r="BQ31" s="67" t="n"/>
    </row>
    <row r="32" ht="19.5" customHeight="1">
      <c r="A32" s="67" t="n"/>
      <c r="B32" s="76" t="inlineStr">
        <is>
          <t>LCP SHLOK PUROHIT</t>
        </is>
      </c>
      <c r="C32" s="60" t="n"/>
      <c r="D32" s="60" t="n"/>
      <c r="E32" s="60" t="inlineStr">
        <is>
          <t>AMPT</t>
        </is>
      </c>
      <c r="F32" s="60" t="n"/>
      <c r="G32" s="60" t="inlineStr">
        <is>
          <t>CS2</t>
        </is>
      </c>
      <c r="H32" s="60" t="n"/>
      <c r="I32" s="60" t="n"/>
      <c r="J32" s="60" t="inlineStr">
        <is>
          <t>SB2</t>
        </is>
      </c>
      <c r="K32" s="60" t="n"/>
      <c r="L32" s="60" t="n"/>
      <c r="M32" s="60" t="n"/>
      <c r="N32" s="110" t="inlineStr">
        <is>
          <t>RESERVE</t>
        </is>
      </c>
      <c r="O32" s="60" t="n"/>
      <c r="P32" s="60" t="n"/>
      <c r="Q32" s="53" t="inlineStr">
        <is>
          <t>COVER RESERVE</t>
        </is>
      </c>
      <c r="R32" s="60" t="inlineStr">
        <is>
          <t>MA</t>
        </is>
      </c>
      <c r="S32" s="60" t="inlineStr">
        <is>
          <t>CS1</t>
        </is>
      </c>
      <c r="T32" s="136" t="inlineStr">
        <is>
          <t>SB2</t>
        </is>
      </c>
      <c r="U32" s="1" t="inlineStr">
        <is>
          <t>OL</t>
        </is>
      </c>
      <c r="V32" s="1" t="inlineStr">
        <is>
          <t>OL</t>
        </is>
      </c>
      <c r="W32" s="1" t="inlineStr">
        <is>
          <t>OL</t>
        </is>
      </c>
      <c r="X32" s="1" t="inlineStr">
        <is>
          <t>OL</t>
        </is>
      </c>
      <c r="Y32" s="1" t="inlineStr">
        <is>
          <t>OL</t>
        </is>
      </c>
      <c r="Z32" s="1" t="inlineStr">
        <is>
          <t>OL</t>
        </is>
      </c>
      <c r="AA32" s="1" t="inlineStr">
        <is>
          <t>OL</t>
        </is>
      </c>
      <c r="AB32" s="1" t="inlineStr">
        <is>
          <t>OL</t>
        </is>
      </c>
      <c r="AC32" s="1" t="inlineStr">
        <is>
          <t>OL</t>
        </is>
      </c>
      <c r="AE32" s="60" t="inlineStr">
        <is>
          <t>1ST $PM ER (1630-1820)</t>
        </is>
      </c>
      <c r="AF32" s="60" t="inlineStr">
        <is>
          <t>SB2</t>
        </is>
      </c>
      <c r="AG32" s="60" t="n"/>
      <c r="AH32" s="67">
        <f>COUNTIF($C32:$AF32,AH$4)</f>
        <v/>
      </c>
      <c r="AI32" s="67">
        <f>COUNTIF($C32:$AF32,AI$4)</f>
        <v/>
      </c>
      <c r="AJ32" s="67">
        <f>COUNTIF($C32:$AF32,AJ$4)</f>
        <v/>
      </c>
      <c r="AK32" s="67">
        <f>COUNTIF($C32:$AF32,AK$4)</f>
        <v/>
      </c>
      <c r="AL32" s="67">
        <f>COUNTIF($C32:$AF32,AL$4)</f>
        <v/>
      </c>
      <c r="AM32" s="67">
        <f>COUNTIF($C32:$AF32,AM$4)</f>
        <v/>
      </c>
      <c r="AN32" s="67">
        <f>COUNTIF($C32:$AF32,AN$4)</f>
        <v/>
      </c>
      <c r="AO32" s="67">
        <f>COUNTIF($C32:$AF32,AO$4)</f>
        <v/>
      </c>
      <c r="AP32" s="67">
        <f>COUNTIF($C32:$AF32,AP$4)</f>
        <v/>
      </c>
      <c r="AQ32" s="76" t="n"/>
      <c r="AR32" s="76" t="n">
        <v>4.5</v>
      </c>
      <c r="AS32" s="77">
        <f>SUMPRODUCT(--(WEEKDAY(C$3:AG$3,2)&lt;5),--ISNUMBER(MATCH(C32:AG32,{"DM","CS1","CS2","SB1","AE","CS/B"},0)))</f>
        <v/>
      </c>
      <c r="AT32" s="67" t="n"/>
      <c r="AU32" s="77">
        <f>SUMPRODUCT(--(WEEKDAY(C$3:AG$3,2)=5),--ISNUMBER(MATCH(C32:AG32,{"DM","CS1","CS2","SB1","AE","CS/B","WEEKEND OUTFIELD RESERVE"},0)))</f>
        <v/>
      </c>
      <c r="AV32" s="77">
        <f>SUMPRODUCT(--(WEEKDAY(C$3:AG$3,2)&gt;5),--ISNUMBER(MATCH(C32:AG32,{"DM","CS1","CS2","SB1","AE","CS/B","WEEKEND OUTFIELD RESERVE"},0)))</f>
        <v/>
      </c>
      <c r="AW32" s="67" t="n"/>
      <c r="AX32" s="77">
        <f>(AS32-AT32)+AU32*1.5+(AV32-AW32)*2+AM32*0.5+AO32*0.5+AQ32-AR32</f>
        <v/>
      </c>
      <c r="AY32" s="77">
        <f>AS32+AU32+AV32</f>
        <v/>
      </c>
      <c r="AZ32" s="77">
        <f>BD32+BF32+BH32+BJ32+BL32</f>
        <v/>
      </c>
      <c r="BA32" s="76">
        <f>AX32+BC32</f>
        <v/>
      </c>
      <c r="BB32" s="76">
        <f>(BA32-7)</f>
        <v/>
      </c>
      <c r="BC32" s="77">
        <f>BE32+BG32+BI32+BK32+BM32</f>
        <v/>
      </c>
      <c r="BD32" s="77">
        <f>COUNTIF(A32:AH32,"*$BTP*")</f>
        <v/>
      </c>
      <c r="BE32" s="77">
        <f>BD32*1.5</f>
        <v/>
      </c>
      <c r="BF32" s="77">
        <f>COUNTIF(A32:AH32,"*$M*")</f>
        <v/>
      </c>
      <c r="BG32" s="77">
        <f>BF32*1</f>
        <v/>
      </c>
      <c r="BH32" s="77">
        <f>COUNTIF(A32:AH32,"*$PM*")</f>
        <v/>
      </c>
      <c r="BI32" s="77">
        <f>BH32*0.5</f>
        <v/>
      </c>
      <c r="BJ32" s="77">
        <f>COUNTIF(A32:AH32,"*$AM*")</f>
        <v/>
      </c>
      <c r="BK32" s="77">
        <f>BJ32*0.5</f>
        <v/>
      </c>
      <c r="BL32" s="77">
        <f>COUNTIF(A32:AH32,"*$FC*")</f>
        <v/>
      </c>
      <c r="BM32" s="77">
        <f>BL32*1</f>
        <v/>
      </c>
      <c r="BN32" s="77">
        <f>COUNTIF($D32:$Z32,BN$4)</f>
        <v/>
      </c>
      <c r="BO32" s="77">
        <f>COUNTIF($D32:$Z32,BO$4)</f>
        <v/>
      </c>
      <c r="BP32" s="77">
        <f>COUNTIF($D32:$Z32,BP$4)</f>
        <v/>
      </c>
      <c r="BQ32" s="67" t="n"/>
    </row>
    <row r="33" ht="19.5" customHeight="1">
      <c r="A33" s="67" t="n"/>
      <c r="B33" s="76" t="inlineStr">
        <is>
          <t>LCP HYDER ISKANDAR BIN ZULKILFILY</t>
        </is>
      </c>
      <c r="C33" s="60" t="n"/>
      <c r="D33" s="110" t="n"/>
      <c r="E33" s="60" t="inlineStr">
        <is>
          <t>GX $M</t>
        </is>
      </c>
      <c r="F33" s="60" t="inlineStr">
        <is>
          <t>GX</t>
        </is>
      </c>
      <c r="G33" s="60" t="inlineStr">
        <is>
          <t>SB1</t>
        </is>
      </c>
      <c r="H33" s="60" t="n"/>
      <c r="I33" s="53" t="inlineStr">
        <is>
          <t>CS2</t>
        </is>
      </c>
      <c r="J33" s="60" t="n"/>
      <c r="K33" s="60" t="inlineStr">
        <is>
          <t>OL</t>
        </is>
      </c>
      <c r="L33" s="60" t="inlineStr">
        <is>
          <t>OL</t>
        </is>
      </c>
      <c r="M33" s="60" t="inlineStr">
        <is>
          <t>OL</t>
        </is>
      </c>
      <c r="N33" s="60" t="n"/>
      <c r="O33" s="60" t="n"/>
      <c r="P33" s="60" t="n"/>
      <c r="Q33" s="60" t="inlineStr">
        <is>
          <t>CS2</t>
        </is>
      </c>
      <c r="R33" s="136" t="n"/>
      <c r="S33" s="60" t="n"/>
      <c r="T33" s="137" t="inlineStr">
        <is>
          <t>OL</t>
        </is>
      </c>
      <c r="U33" s="53" t="inlineStr">
        <is>
          <t>OL</t>
        </is>
      </c>
      <c r="V33" s="53" t="inlineStr">
        <is>
          <t>OL</t>
        </is>
      </c>
      <c r="W33" s="60" t="n"/>
      <c r="X33" s="60" t="n"/>
      <c r="Y33" s="60" t="inlineStr">
        <is>
          <t>CS2</t>
        </is>
      </c>
      <c r="Z33" s="60" t="n"/>
      <c r="AA33" s="53" t="inlineStr">
        <is>
          <t>COVER RESERVE</t>
        </is>
      </c>
      <c r="AB33" s="60" t="n"/>
      <c r="AC33" s="60" t="n"/>
      <c r="AD33" s="1" t="inlineStr">
        <is>
          <t>RESERVE</t>
        </is>
      </c>
      <c r="AE33" s="53" t="n"/>
      <c r="AF33" s="60" t="n"/>
      <c r="AG33" s="60" t="n"/>
      <c r="AH33" s="67">
        <f>COUNTIF($C33:$AF33,AH$4)</f>
        <v/>
      </c>
      <c r="AI33" s="67">
        <f>COUNTIF($C33:$AF33,AI$4)</f>
        <v/>
      </c>
      <c r="AJ33" s="67">
        <f>COUNTIF($C33:$AF33,AJ$4)</f>
        <v/>
      </c>
      <c r="AK33" s="67">
        <f>COUNTIF($C33:$AF33,AK$4)</f>
        <v/>
      </c>
      <c r="AL33" s="67">
        <f>COUNTIF($C33:$AF33,AL$4)</f>
        <v/>
      </c>
      <c r="AM33" s="67">
        <f>COUNTIF($C33:$AF33,AM$4)</f>
        <v/>
      </c>
      <c r="AN33" s="67">
        <f>COUNTIF($C33:$AF33,AN$4)</f>
        <v/>
      </c>
      <c r="AO33" s="67">
        <f>COUNTIF($C33:$AF33,AO$4)</f>
        <v/>
      </c>
      <c r="AP33" s="67">
        <f>COUNTIF($C33:$AF33,AP$4)</f>
        <v/>
      </c>
      <c r="AQ33" s="76" t="n"/>
      <c r="AR33" s="76" t="n"/>
      <c r="AS33" s="77">
        <f>SUMPRODUCT(--(WEEKDAY(C$3:AG$3,2)&lt;5),--ISNUMBER(MATCH(C33:AG33,{"DM","CS1","CS2","SB1","AE","CS/B"},0)))</f>
        <v/>
      </c>
      <c r="AT33" s="67" t="n"/>
      <c r="AU33" s="77">
        <f>SUMPRODUCT(--(WEEKDAY(C$3:AG$3,2)=5),--ISNUMBER(MATCH(C33:AG33,{"DM","CS1","CS2","SB1","AE","CS/B","WEEKEND OUTFIELD RESERVE"},0)))</f>
        <v/>
      </c>
      <c r="AV33" s="77">
        <f>SUMPRODUCT(--(WEEKDAY(C$3:AG$3,2)&gt;5),--ISNUMBER(MATCH(C33:AG33,{"DM","CS1","CS2","SB1","AE","CS/B","WEEKEND OUTFIELD RESERVE"},0)))</f>
        <v/>
      </c>
      <c r="AW33" s="67" t="n"/>
      <c r="AX33" s="77">
        <f>(AS33-AT33)+AU33*1.5+(AV33-AW33)*2+AM33*0.5+AO33*0.5+AQ33-AR33</f>
        <v/>
      </c>
      <c r="AY33" s="77">
        <f>AS33+AU33+AV33</f>
        <v/>
      </c>
      <c r="AZ33" s="77">
        <f>BD33+BF33+BH33+BJ33+BL33</f>
        <v/>
      </c>
      <c r="BA33" s="76">
        <f>AX33+BC33</f>
        <v/>
      </c>
      <c r="BB33" s="76">
        <f>(BA33-7)</f>
        <v/>
      </c>
      <c r="BC33" s="77">
        <f>BE33+BG33+BI33+BK33+BM33</f>
        <v/>
      </c>
      <c r="BD33" s="77">
        <f>COUNTIF(A33:AH33,"*$BTP*")</f>
        <v/>
      </c>
      <c r="BE33" s="77">
        <f>BD33*1.5</f>
        <v/>
      </c>
      <c r="BF33" s="77">
        <f>COUNTIF(A33:AH33,"*$M*")</f>
        <v/>
      </c>
      <c r="BG33" s="77">
        <f>BF33*1</f>
        <v/>
      </c>
      <c r="BH33" s="77">
        <f>COUNTIF(A33:AH33,"*$PM*")</f>
        <v/>
      </c>
      <c r="BI33" s="77">
        <f>BH33*0.5</f>
        <v/>
      </c>
      <c r="BJ33" s="77">
        <f>COUNTIF(A33:AH33,"*$AM*")</f>
        <v/>
      </c>
      <c r="BK33" s="77">
        <f>BJ33*0.5</f>
        <v/>
      </c>
      <c r="BL33" s="77">
        <f>COUNTIF(A33:AH33,"*$FC*")</f>
        <v/>
      </c>
      <c r="BM33" s="77">
        <f>BL33*1</f>
        <v/>
      </c>
      <c r="BN33" s="77">
        <f>COUNTIF($D33:$Z33,BN$4)</f>
        <v/>
      </c>
      <c r="BO33" s="77">
        <f>COUNTIF($D33:$Z33,BO$4)</f>
        <v/>
      </c>
      <c r="BP33" s="77">
        <f>COUNTIF($D33:$Z33,BP$4)</f>
        <v/>
      </c>
      <c r="BQ33" s="67" t="n"/>
    </row>
    <row r="34" ht="19.5" customHeight="1">
      <c r="A34" s="67" t="n"/>
      <c r="B34" s="76" t="inlineStr">
        <is>
          <t>PTE MUHAMMAD SHAUKI BIN MOHD SHAM</t>
        </is>
      </c>
      <c r="C34" s="60" t="inlineStr">
        <is>
          <t>AE</t>
        </is>
      </c>
      <c r="D34" s="60" t="inlineStr">
        <is>
          <t>GP REHEARSAL $M</t>
        </is>
      </c>
      <c r="E34" s="60" t="inlineStr">
        <is>
          <t>GX $PM</t>
        </is>
      </c>
      <c r="F34" s="60" t="inlineStr">
        <is>
          <t>GX</t>
        </is>
      </c>
      <c r="G34" s="60" t="n"/>
      <c r="H34" s="53" t="n"/>
      <c r="J34" s="53" t="n"/>
      <c r="K34" s="60" t="n"/>
      <c r="L34" s="60" t="n"/>
      <c r="M34" s="60" t="inlineStr">
        <is>
          <t>AE</t>
        </is>
      </c>
      <c r="N34" s="60" t="n"/>
      <c r="O34" s="53" t="n"/>
      <c r="P34" s="53" t="inlineStr">
        <is>
          <t>AE</t>
        </is>
      </c>
      <c r="Q34" s="53" t="n"/>
      <c r="S34" s="60" t="n"/>
      <c r="T34" s="136" t="inlineStr">
        <is>
          <t>AE</t>
        </is>
      </c>
      <c r="U34" s="60" t="n"/>
      <c r="V34" s="60" t="n"/>
      <c r="W34" s="60" t="n"/>
      <c r="X34" s="60" t="inlineStr">
        <is>
          <t>PENDING OIL</t>
        </is>
      </c>
      <c r="Z34" s="60" t="inlineStr">
        <is>
          <t>AE</t>
        </is>
      </c>
      <c r="AA34" s="138" t="n"/>
      <c r="AB34" s="53" t="inlineStr">
        <is>
          <t>AE</t>
        </is>
      </c>
      <c r="AC34" s="60" t="n"/>
      <c r="AD34" s="60" t="n"/>
      <c r="AE34" s="60" t="n"/>
      <c r="AG34" s="60" t="n"/>
      <c r="AH34" s="67">
        <f>COUNTIF($C34:$AF34,AH$4)</f>
        <v/>
      </c>
      <c r="AI34" s="67">
        <f>COUNTIF($C34:$AF34,AI$4)</f>
        <v/>
      </c>
      <c r="AJ34" s="67">
        <f>COUNTIF($C34:$AF34,AJ$4)</f>
        <v/>
      </c>
      <c r="AK34" s="67">
        <f>COUNTIF($C34:$AF34,AK$4)</f>
        <v/>
      </c>
      <c r="AL34" s="67">
        <f>COUNTIF($C34:$AF34,AL$4)</f>
        <v/>
      </c>
      <c r="AM34" s="67">
        <f>COUNTIF($C34:$AF34,AM$4)</f>
        <v/>
      </c>
      <c r="AN34" s="67">
        <f>COUNTIF($C34:$AF34,AN$4)</f>
        <v/>
      </c>
      <c r="AO34" s="67">
        <f>COUNTIF($C34:$AF34,AO$4)</f>
        <v/>
      </c>
      <c r="AP34" s="67">
        <f>COUNTIF($C34:$AF34,AP$4)</f>
        <v/>
      </c>
      <c r="AQ34" s="76" t="n"/>
      <c r="AR34" s="76" t="n">
        <v>2.5</v>
      </c>
      <c r="AS34" s="77">
        <f>SUMPRODUCT(--(WEEKDAY(C$3:AG$3,2)&lt;5),--ISNUMBER(MATCH(C34:AG34,{"DM","CS1","CS2","SB1","AE","CS/B"},0)))</f>
        <v/>
      </c>
      <c r="AT34" s="67" t="n"/>
      <c r="AU34" s="77">
        <f>SUMPRODUCT(--(WEEKDAY(C$3:AG$3,2)=5),--ISNUMBER(MATCH(C34:AG34,{"DM","CS1","CS2","SB1","AE","CS/B","WEEKEND OUTFIELD RESERVE"},0)))</f>
        <v/>
      </c>
      <c r="AV34" s="77">
        <f>SUMPRODUCT(--(WEEKDAY(C$3:AG$3,2)&gt;5),--ISNUMBER(MATCH(C34:AG34,{"DM","CS1","CS2","SB1","AE","CS/B","WEEKEND OUTFIELD RESERVE"},0)))</f>
        <v/>
      </c>
      <c r="AW34" s="67" t="n"/>
      <c r="AX34" s="77">
        <f>(AS34-AT34)+AU34*1.5+(AV34-AW34)*2+AM34*0.5+AO34*0.5+AQ34-AR34</f>
        <v/>
      </c>
      <c r="AY34" s="77">
        <f>AS34+AU34+AV34</f>
        <v/>
      </c>
      <c r="AZ34" s="77">
        <f>BD34+BF34+BH34+BJ34+BL34</f>
        <v/>
      </c>
      <c r="BA34" s="76">
        <f>AX34+BC34</f>
        <v/>
      </c>
      <c r="BB34" s="76">
        <f>(BA34-7)</f>
        <v/>
      </c>
      <c r="BC34" s="77">
        <f>BE34+BG34+BI34+BK34+BM34</f>
        <v/>
      </c>
      <c r="BD34" s="77">
        <f>COUNTIF(A34:AH34,"*$BTP*")</f>
        <v/>
      </c>
      <c r="BE34" s="77">
        <f>BD34*1.5</f>
        <v/>
      </c>
      <c r="BF34" s="77">
        <f>COUNTIF(A34:AH34,"*$M*")</f>
        <v/>
      </c>
      <c r="BG34" s="77">
        <f>BF34*1</f>
        <v/>
      </c>
      <c r="BH34" s="77">
        <f>COUNTIF(A34:AH34,"*$PM*")</f>
        <v/>
      </c>
      <c r="BI34" s="77">
        <f>BH34*0.5</f>
        <v/>
      </c>
      <c r="BJ34" s="77">
        <f>COUNTIF(A34:AH34,"*$AM*")</f>
        <v/>
      </c>
      <c r="BK34" s="77">
        <f>BJ34*0.5</f>
        <v/>
      </c>
      <c r="BL34" s="77">
        <f>COUNTIF(A34:AH34,"*$FC*")</f>
        <v/>
      </c>
      <c r="BM34" s="77">
        <f>BL34*1</f>
        <v/>
      </c>
      <c r="BN34" s="77">
        <f>COUNTIF($D34:$Y34,BN$4)</f>
        <v/>
      </c>
      <c r="BO34" s="77">
        <f>COUNTIF($D34:$Y34,BO$4)</f>
        <v/>
      </c>
      <c r="BP34" s="77">
        <f>COUNTIF($D34:$Y34,BP$4)</f>
        <v/>
      </c>
      <c r="BQ34" s="67" t="n"/>
    </row>
    <row r="35" ht="19.5" customHeight="1">
      <c r="A35" s="67" t="n"/>
      <c r="B35" s="76" t="inlineStr">
        <is>
          <t>PTE HUANG JIHUI</t>
        </is>
      </c>
      <c r="C35" s="60" t="inlineStr">
        <is>
          <t>  </t>
        </is>
      </c>
      <c r="D35" s="107" t="inlineStr">
        <is>
          <t>AE</t>
        </is>
      </c>
      <c r="E35" s="60" t="inlineStr">
        <is>
          <t>GX $M</t>
        </is>
      </c>
      <c r="F35" s="60" t="inlineStr">
        <is>
          <t>GX</t>
        </is>
      </c>
      <c r="G35" s="60" t="n"/>
      <c r="H35" s="60" t="inlineStr">
        <is>
          <t>AE</t>
        </is>
      </c>
      <c r="I35" s="60" t="n"/>
      <c r="J35" s="60" t="inlineStr">
        <is>
          <t>AE</t>
        </is>
      </c>
      <c r="K35" s="60" t="n"/>
      <c r="L35" s="60" t="n"/>
      <c r="M35" s="60" t="n"/>
      <c r="N35" s="53" t="n"/>
      <c r="O35" s="60" t="n"/>
      <c r="P35" s="60" t="n"/>
      <c r="Q35" s="60" t="n"/>
      <c r="R35" s="60" t="inlineStr">
        <is>
          <t>1ST $AM ER (0730-0920)</t>
        </is>
      </c>
      <c r="S35" s="136" t="inlineStr">
        <is>
          <t>SB2</t>
        </is>
      </c>
      <c r="T35" s="60" t="n"/>
      <c r="U35" s="53" t="inlineStr">
        <is>
          <t>AE</t>
        </is>
      </c>
      <c r="V35" s="53" t="n"/>
      <c r="W35" s="53" t="n"/>
      <c r="X35" s="53" t="n"/>
      <c r="Y35" s="110" t="inlineStr">
        <is>
          <t>RESERVE</t>
        </is>
      </c>
      <c r="Z35" s="53" t="n"/>
      <c r="AA35" s="60" t="inlineStr">
        <is>
          <t>AE</t>
        </is>
      </c>
      <c r="AB35" s="53" t="n"/>
      <c r="AC35" s="53" t="n"/>
      <c r="AD35" s="53" t="n"/>
      <c r="AE35" s="53" t="inlineStr">
        <is>
          <t>DISPENSE COURSE</t>
        </is>
      </c>
      <c r="AF35" s="53" t="inlineStr">
        <is>
          <t>DISPENSE COURSE</t>
        </is>
      </c>
      <c r="AG35" s="53" t="n"/>
      <c r="AH35" s="67">
        <f>COUNTIF($C35:$AF35,AH$4)</f>
        <v/>
      </c>
      <c r="AI35" s="67">
        <f>COUNTIF($C35:$AF35,AI$4)</f>
        <v/>
      </c>
      <c r="AJ35" s="67">
        <f>COUNTIF($C35:$AF35,AJ$4)</f>
        <v/>
      </c>
      <c r="AK35" s="67">
        <f>COUNTIF($C35:$AF35,AK$4)</f>
        <v/>
      </c>
      <c r="AL35" s="67">
        <f>COUNTIF($C35:$AF35,AL$4)</f>
        <v/>
      </c>
      <c r="AM35" s="67">
        <f>COUNTIF($C35:$AF35,AM$4)</f>
        <v/>
      </c>
      <c r="AN35" s="67">
        <f>COUNTIF($C35:$AF35,AN$4)</f>
        <v/>
      </c>
      <c r="AO35" s="67">
        <f>COUNTIF($C35:$AF35,AO$4)</f>
        <v/>
      </c>
      <c r="AP35" s="67">
        <f>COUNTIF($C35:$AF35,AP$4)</f>
        <v/>
      </c>
      <c r="AQ35" s="76" t="n"/>
      <c r="AR35" s="76" t="n">
        <v>2.5</v>
      </c>
      <c r="AS35" s="77">
        <f>SUMPRODUCT(--(WEEKDAY(C$3:AG$3,2)&lt;5),--ISNUMBER(MATCH(C35:AG35,{"DM","CS1","CS2","SB1","AE","CS/B"},0)))</f>
        <v/>
      </c>
      <c r="AT35" s="67" t="n"/>
      <c r="AU35" s="77">
        <f>SUMPRODUCT(--(WEEKDAY(C$3:AG$3,2)=5),--ISNUMBER(MATCH(C35:AG35,{"DM","CS1","CS2","SB1","AE","CS/B","WEEKEND OUTFIELD RESERVE"},0)))</f>
        <v/>
      </c>
      <c r="AV35" s="77">
        <f>SUMPRODUCT(--(WEEKDAY(C$3:AG$3,2)&gt;5),--ISNUMBER(MATCH(C35:AG35,{"DM","CS1","CS2","SB1","AE","CS/B","WEEKEND OUTFIELD RESERVE"},0)))</f>
        <v/>
      </c>
      <c r="AW35" s="67" t="n"/>
      <c r="AX35" s="77">
        <f>(AS35-AT35)+AU35*1.5+(AV35-AW35)*2+AM35*0.5+AO35*0.5+AQ35-AR35</f>
        <v/>
      </c>
      <c r="AY35" s="77">
        <f>AS35+AU35+AV35</f>
        <v/>
      </c>
      <c r="AZ35" s="77">
        <f>BD35+BF35+BH35+BJ35+BL35</f>
        <v/>
      </c>
      <c r="BA35" s="76">
        <f>AX35+BC35</f>
        <v/>
      </c>
      <c r="BB35" s="76">
        <f>(BA35-7)</f>
        <v/>
      </c>
      <c r="BC35" s="77">
        <f>BE35+BG35+BI35+BK35+BM35</f>
        <v/>
      </c>
      <c r="BD35" s="77">
        <f>COUNTIF(A35:AH35,"*$BTP*")</f>
        <v/>
      </c>
      <c r="BE35" s="77">
        <f>BD35*1.5</f>
        <v/>
      </c>
      <c r="BF35" s="77">
        <f>COUNTIF(A35:AH35,"*$M*")</f>
        <v/>
      </c>
      <c r="BG35" s="77">
        <f>BF35*1</f>
        <v/>
      </c>
      <c r="BH35" s="77">
        <f>COUNTIF(A35:AH35,"*$PM*")</f>
        <v/>
      </c>
      <c r="BI35" s="77">
        <f>BH35*0.5</f>
        <v/>
      </c>
      <c r="BJ35" s="77">
        <f>COUNTIF(A35:AH35,"*$AM*")</f>
        <v/>
      </c>
      <c r="BK35" s="77">
        <f>BJ35*0.5</f>
        <v/>
      </c>
      <c r="BL35" s="77">
        <f>COUNTIF(A35:AH35,"*$FC*")</f>
        <v/>
      </c>
      <c r="BM35" s="77">
        <f>BL35*1</f>
        <v/>
      </c>
      <c r="BN35" s="77">
        <f>COUNTIF($D35:$Z35,BN$4)</f>
        <v/>
      </c>
      <c r="BO35" s="77">
        <f>COUNTIF($D35:$Z35,BO$4)</f>
        <v/>
      </c>
      <c r="BP35" s="77">
        <f>COUNTIF($D35:$Z35,BP$4)</f>
        <v/>
      </c>
      <c r="BQ35" s="67" t="n"/>
    </row>
    <row r="36" ht="19.5" customHeight="1">
      <c r="A36" s="67" t="n"/>
      <c r="B36" s="76" t="inlineStr">
        <is>
          <t>PTE MUHAMMAD HAMZA ZUBERI</t>
        </is>
      </c>
      <c r="C36" s="60" t="n"/>
      <c r="D36" s="60" t="n"/>
      <c r="E36" s="60" t="inlineStr">
        <is>
          <t>GX $M</t>
        </is>
      </c>
      <c r="F36" s="60" t="inlineStr">
        <is>
          <t>GX</t>
        </is>
      </c>
      <c r="G36" s="53" t="n"/>
      <c r="H36" s="60" t="inlineStr">
        <is>
          <t>RESERVE</t>
        </is>
      </c>
      <c r="I36" s="53" t="n"/>
      <c r="J36" s="60" t="n"/>
      <c r="K36" s="60" t="inlineStr">
        <is>
          <t>AE</t>
        </is>
      </c>
      <c r="L36" s="60" t="n"/>
      <c r="M36" s="60" t="n"/>
      <c r="N36" s="53" t="n"/>
      <c r="O36" s="60" t="n"/>
      <c r="P36" s="60" t="n"/>
      <c r="Q36" s="60" t="inlineStr">
        <is>
          <t>P $AM ER (0500-1030)</t>
        </is>
      </c>
      <c r="R36" s="60" t="inlineStr">
        <is>
          <t>AE</t>
        </is>
      </c>
      <c r="S36" s="60" t="n"/>
      <c r="T36" s="60" t="inlineStr">
        <is>
          <t>COVER RESERVE</t>
        </is>
      </c>
      <c r="U36" s="53" t="n"/>
      <c r="V36" s="60" t="n"/>
      <c r="W36" s="60" t="inlineStr">
        <is>
          <t>AE</t>
        </is>
      </c>
      <c r="X36" s="60" t="n"/>
      <c r="Y36" s="60" t="inlineStr">
        <is>
          <t>F CS/ATP $BTP (0600-2359)</t>
        </is>
      </c>
      <c r="AA36" s="136" t="n"/>
      <c r="AC36" s="60" t="n"/>
      <c r="AD36" s="60" t="n"/>
      <c r="AE36" s="60" t="inlineStr">
        <is>
          <t>AE</t>
        </is>
      </c>
      <c r="AF36" s="53" t="n"/>
      <c r="AG36" s="60" t="n"/>
      <c r="AH36" s="67">
        <f>COUNTIF($C36:$AF36,AH$4)</f>
        <v/>
      </c>
      <c r="AI36" s="67">
        <f>COUNTIF($C36:$AF36,AI$4)</f>
        <v/>
      </c>
      <c r="AJ36" s="67">
        <f>COUNTIF($C36:$AF36,AJ$4)</f>
        <v/>
      </c>
      <c r="AK36" s="67">
        <f>COUNTIF($C36:$AF36,AK$4)</f>
        <v/>
      </c>
      <c r="AL36" s="67">
        <f>COUNTIF($C36:$AF36,AL$4)</f>
        <v/>
      </c>
      <c r="AM36" s="67">
        <f>COUNTIF($C36:$AF36,AM$4)</f>
        <v/>
      </c>
      <c r="AN36" s="67">
        <f>COUNTIF($C36:$AF36,AN$4)</f>
        <v/>
      </c>
      <c r="AO36" s="67">
        <f>COUNTIF($C36:$AF36,AO$4)</f>
        <v/>
      </c>
      <c r="AP36" s="67">
        <f>COUNTIF($C36:$AF36,AP$4)</f>
        <v/>
      </c>
      <c r="AQ36" s="76" t="n">
        <v>1.5</v>
      </c>
      <c r="AR36" s="76" t="n"/>
      <c r="AS36" s="77">
        <f>SUMPRODUCT(--(WEEKDAY(C$3:AG$3,2)&lt;5),--ISNUMBER(MATCH(C36:AG36,{"DM","CS1","CS2","SB1","AE","CS/B"},0)))</f>
        <v/>
      </c>
      <c r="AT36" s="67" t="n"/>
      <c r="AU36" s="77">
        <f>SUMPRODUCT(--(WEEKDAY(C$3:AG$3,2)=5),--ISNUMBER(MATCH(C36:AG36,{"DM","CS1","CS2","SB1","AE","CS/B","WEEKEND OUTFIELD RESERVE"},0)))</f>
        <v/>
      </c>
      <c r="AV36" s="77">
        <f>SUMPRODUCT(--(WEEKDAY(C$3:AG$3,2)&gt;5),--ISNUMBER(MATCH(C36:AG36,{"DM","CS1","CS2","SB1","AE","CS/B","WEEKEND OUTFIELD RESERVE"},0)))</f>
        <v/>
      </c>
      <c r="AW36" s="67" t="n"/>
      <c r="AX36" s="77">
        <f>(AS36-AT36)+AU36*1.5+(AV36-AW36)*2+AM36*0.5+AO36*0.5+AQ36-AR36</f>
        <v/>
      </c>
      <c r="AY36" s="77">
        <f>AS36+AU36+AV36</f>
        <v/>
      </c>
      <c r="AZ36" s="77">
        <f>BD36+BF36+BH36+BJ36+BL36</f>
        <v/>
      </c>
      <c r="BA36" s="76">
        <f>AX36+BC36</f>
        <v/>
      </c>
      <c r="BB36" s="76">
        <f>(BA36-7)</f>
        <v/>
      </c>
      <c r="BC36" s="77">
        <f>BE36+BG36+BI36+BK36+BM36</f>
        <v/>
      </c>
      <c r="BD36" s="77">
        <f>COUNTIF(A36:AH36,"*$BTP*")</f>
        <v/>
      </c>
      <c r="BE36" s="77">
        <f>BD36*1.5</f>
        <v/>
      </c>
      <c r="BF36" s="77">
        <f>COUNTIF(A36:AH36,"*$M*")</f>
        <v/>
      </c>
      <c r="BG36" s="77">
        <f>BF36*1</f>
        <v/>
      </c>
      <c r="BH36" s="77">
        <f>COUNTIF(A36:AH36,"*$PM*")</f>
        <v/>
      </c>
      <c r="BI36" s="77">
        <f>BH36*0.5</f>
        <v/>
      </c>
      <c r="BJ36" s="77">
        <f>COUNTIF(A36:AH36,"*$AM*")</f>
        <v/>
      </c>
      <c r="BK36" s="77">
        <f>BJ36*0.5</f>
        <v/>
      </c>
      <c r="BL36" s="77">
        <f>COUNTIF(A36:AH36,"*$FC*")</f>
        <v/>
      </c>
      <c r="BM36" s="77">
        <f>BL36*1</f>
        <v/>
      </c>
      <c r="BN36" s="77">
        <f>COUNTIF($D36:$Y36,BN$4)</f>
        <v/>
      </c>
      <c r="BO36" s="77">
        <f>COUNTIF($D36:$Y36,BO$4)</f>
        <v/>
      </c>
      <c r="BP36" s="77">
        <f>COUNTIF($D36:$Y36,BP$4)</f>
        <v/>
      </c>
      <c r="BQ36" s="67" t="n"/>
    </row>
    <row r="37" ht="19.5" customHeight="1">
      <c r="A37" s="67" t="n"/>
      <c r="B37" s="76" t="inlineStr">
        <is>
          <t>PTE RAGURAMAN ANIRUDH</t>
        </is>
      </c>
      <c r="C37" s="60" t="n"/>
      <c r="D37" s="60" t="n"/>
      <c r="E37" s="60" t="inlineStr">
        <is>
          <t>GX $M</t>
        </is>
      </c>
      <c r="F37" s="60" t="inlineStr">
        <is>
          <t>GX</t>
        </is>
      </c>
      <c r="G37" s="136" t="n"/>
      <c r="H37" s="53" t="n"/>
      <c r="I37" s="53" t="inlineStr">
        <is>
          <t>AE</t>
        </is>
      </c>
      <c r="J37" s="53" t="n"/>
      <c r="K37" s="60" t="n"/>
      <c r="L37" s="60" t="n"/>
      <c r="M37" s="60" t="n"/>
      <c r="N37" s="60" t="inlineStr">
        <is>
          <t>AE</t>
        </is>
      </c>
      <c r="O37" s="60" t="n"/>
      <c r="P37" s="60" t="n"/>
      <c r="Q37" s="60" t="n"/>
      <c r="R37" s="60" t="n"/>
      <c r="S37" s="60" t="inlineStr">
        <is>
          <t>COVER RESERVE</t>
        </is>
      </c>
      <c r="T37" s="60" t="n"/>
      <c r="U37" s="60" t="inlineStr">
        <is>
          <t>1ST $AM ER (0720-0930)</t>
        </is>
      </c>
      <c r="V37" s="60" t="inlineStr">
        <is>
          <t>AE</t>
        </is>
      </c>
      <c r="W37" s="53" t="n"/>
      <c r="X37" s="60" t="n"/>
      <c r="Y37" s="60" t="n"/>
      <c r="AA37" s="60" t="n"/>
      <c r="AB37" s="60" t="n"/>
      <c r="AC37" s="60" t="n"/>
      <c r="AD37" s="60" t="n"/>
      <c r="AE37" s="110" t="inlineStr">
        <is>
          <t>RESERVE</t>
        </is>
      </c>
      <c r="AF37" s="136" t="n"/>
      <c r="AG37" s="60" t="n"/>
      <c r="AH37" s="67">
        <f>COUNTIF($C37:$AF37,AH$4)</f>
        <v/>
      </c>
      <c r="AI37" s="67">
        <f>COUNTIF($C37:$AF37,AI$4)</f>
        <v/>
      </c>
      <c r="AJ37" s="67">
        <f>COUNTIF($C37:$AF37,AJ$4)</f>
        <v/>
      </c>
      <c r="AK37" s="67">
        <f>COUNTIF($C37:$AF37,AK$4)</f>
        <v/>
      </c>
      <c r="AL37" s="67">
        <f>COUNTIF($C37:$AF37,AL$4)</f>
        <v/>
      </c>
      <c r="AM37" s="67">
        <f>COUNTIF($C37:$AF37,AM$4)</f>
        <v/>
      </c>
      <c r="AN37" s="67">
        <f>COUNTIF($C37:$AF37,AN$4)</f>
        <v/>
      </c>
      <c r="AO37" s="67">
        <f>COUNTIF($C37:$AF37,AO$4)</f>
        <v/>
      </c>
      <c r="AP37" s="67">
        <f>COUNTIF($C37:$AF37,AP$4)</f>
        <v/>
      </c>
      <c r="AQ37" s="76" t="n"/>
      <c r="AR37" s="76" t="n"/>
      <c r="AS37" s="77">
        <f>SUMPRODUCT(--(WEEKDAY(C$3:AG$3,2)&lt;5),--ISNUMBER(MATCH(C37:AG37,{"DM","CS1","CS2","SB1","AE","CS/B"},0)))</f>
        <v/>
      </c>
      <c r="AT37" s="67" t="n"/>
      <c r="AU37" s="77">
        <f>SUMPRODUCT(--(WEEKDAY(C$3:AG$3,2)=5),--ISNUMBER(MATCH(C37:AG37,{"DM","CS1","CS2","SB1","AE","CS/B","WEEKEND OUTFIELD RESERVE"},0)))</f>
        <v/>
      </c>
      <c r="AV37" s="77">
        <f>SUMPRODUCT(--(WEEKDAY(C$3:AG$3,2)&gt;5),--ISNUMBER(MATCH(C37:AG37,{"DM","CS1","CS2","SB1","AE","CS/B","WEEKEND OUTFIELD RESERVE"},0)))</f>
        <v/>
      </c>
      <c r="AW37" s="67" t="n"/>
      <c r="AX37" s="77">
        <f>(AS37-AT37)+AU37*1.5+(AV37-AW37)*2+AM37*0.5+AO37*0.5+AQ37-AR37</f>
        <v/>
      </c>
      <c r="AY37" s="77">
        <f>AS37+AU37+AV37</f>
        <v/>
      </c>
      <c r="AZ37" s="77">
        <f>BD37+BF37+BH37+BJ37+BL37</f>
        <v/>
      </c>
      <c r="BA37" s="76">
        <f>AX37+BC37</f>
        <v/>
      </c>
      <c r="BB37" s="76">
        <f>(BA37-7)</f>
        <v/>
      </c>
      <c r="BC37" s="77">
        <f>BE37+BG37+BI37+BK37+BM37</f>
        <v/>
      </c>
      <c r="BD37" s="77">
        <f>COUNTIF(A37:AH37,"*$BTP*")</f>
        <v/>
      </c>
      <c r="BE37" s="77">
        <f>BD37*1.5</f>
        <v/>
      </c>
      <c r="BF37" s="77">
        <f>COUNTIF(A37:AH37,"*$M*")</f>
        <v/>
      </c>
      <c r="BG37" s="77">
        <f>BF37*1</f>
        <v/>
      </c>
      <c r="BH37" s="77">
        <f>COUNTIF(A37:AH37,"*$PM*")</f>
        <v/>
      </c>
      <c r="BI37" s="77">
        <f>BH37*0.5</f>
        <v/>
      </c>
      <c r="BJ37" s="77">
        <f>COUNTIF(A37:AH37,"*$AM*")</f>
        <v/>
      </c>
      <c r="BK37" s="77">
        <f>BJ37*0.5</f>
        <v/>
      </c>
      <c r="BL37" s="77">
        <f>COUNTIF(A37:AH37,"*$FC*")</f>
        <v/>
      </c>
      <c r="BM37" s="77">
        <f>BL37*1</f>
        <v/>
      </c>
      <c r="BN37" s="77">
        <f>COUNTIF($D37:$Y37,BN$4)</f>
        <v/>
      </c>
      <c r="BO37" s="77">
        <f>COUNTIF($D37:$Y37,BO$4)</f>
        <v/>
      </c>
      <c r="BP37" s="77">
        <f>COUNTIF($D37:$Y37,BP$4)</f>
        <v/>
      </c>
      <c r="BQ37" s="67" t="n"/>
    </row>
    <row r="38" ht="19.5" customHeight="1">
      <c r="A38" s="67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P38" s="102" t="n"/>
      <c r="Q38" s="102" t="n"/>
      <c r="R38" s="102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2" t="n"/>
      <c r="AB38" s="102" t="n"/>
      <c r="AC38" s="102" t="n"/>
      <c r="AD38" s="102" t="n"/>
      <c r="AE38" s="102" t="n"/>
      <c r="AF38" s="102" t="n"/>
      <c r="AG38" s="60" t="n"/>
      <c r="AH38" s="67" t="n"/>
      <c r="AI38" s="67" t="n"/>
      <c r="AJ38" s="67" t="n"/>
      <c r="AK38" s="67" t="n"/>
      <c r="AL38" s="67" t="n"/>
      <c r="AM38" s="67" t="n"/>
      <c r="AN38" s="67" t="n"/>
      <c r="AO38" s="67" t="n"/>
      <c r="AP38" s="67" t="n"/>
      <c r="AQ38" s="76" t="n"/>
      <c r="AR38" s="76" t="n"/>
      <c r="AS38" s="77" t="n"/>
      <c r="AT38" s="67" t="n"/>
      <c r="AU38" s="77" t="n"/>
      <c r="AV38" s="77">
        <f>SUMPRODUCT(--(WEEKDAY(C$3:AF$3,2)&gt;5),--ISNUMBER(MATCH(C38:AF38,{"DM","CS1","CS2","SB1","AE","CS/B"},0)))</f>
        <v/>
      </c>
      <c r="AW38" s="67" t="n"/>
      <c r="AX38" s="77" t="n"/>
      <c r="AY38" s="77" t="n"/>
      <c r="AZ38" s="77" t="n"/>
      <c r="BA38" s="76" t="n"/>
      <c r="BB38" s="76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67" t="n"/>
    </row>
    <row r="39" ht="19.5" customHeight="1">
      <c r="A39" s="67" t="n"/>
      <c r="B39" s="60" t="inlineStr">
        <is>
          <t>DM</t>
        </is>
      </c>
      <c r="C39" s="103">
        <f>INDEX($B$4:$B$37,MATCH($B39,C$4:C$37,0))</f>
        <v/>
      </c>
      <c r="D39" s="103">
        <f>INDEX($B$4:$B$37,MATCH($B39,D$4:D$37,0))</f>
        <v/>
      </c>
      <c r="E39" s="103">
        <f>INDEX($B$4:$B$37,MATCH($B39,E$4:E$37,0))</f>
        <v/>
      </c>
      <c r="F39" s="103">
        <f>INDEX($B$4:$B$37,MATCH($B39,F$4:F$37,0))</f>
        <v/>
      </c>
      <c r="G39" s="103">
        <f>INDEX($B$4:$B$37,MATCH($B39,G$4:G$36,0))</f>
        <v/>
      </c>
      <c r="H39" s="103">
        <f>INDEX($B$4:$B$37,MATCH($B39,H$4:H$36,0))</f>
        <v/>
      </c>
      <c r="I39" s="103">
        <f>INDEX($B$4:$B$37,MATCH($B39,I$4:I$37,0))</f>
        <v/>
      </c>
      <c r="J39" s="103">
        <f>INDEX($B$4:$B$37,MATCH($B39,J$4:J$36,0))</f>
        <v/>
      </c>
      <c r="K39" s="103">
        <f>INDEX($B$4:$B$37,MATCH($B39,K$4:K$37,0))</f>
        <v/>
      </c>
      <c r="L39" s="103">
        <f>INDEX($B$4:$B$37,MATCH($B39,L$4:L$37,0))</f>
        <v/>
      </c>
      <c r="M39" s="103">
        <f>INDEX($B$4:$B$37,MATCH($B39,M$4:M$37,0))</f>
        <v/>
      </c>
      <c r="N39" s="103">
        <f>INDEX($B$4:$B$37,MATCH($B39,N$4:N$37,0))</f>
        <v/>
      </c>
      <c r="O39" s="103">
        <f>INDEX($B$4:$B$37,MATCH($B39,O$4:O$37,0))</f>
        <v/>
      </c>
      <c r="P39" s="103">
        <f>INDEX($B$4:$B$37,MATCH($B39,P$4:P$37,0))</f>
        <v/>
      </c>
      <c r="Q39" s="103">
        <f>INDEX($B$4:$B$37,MATCH($B39,Q$4:Q$37,0))</f>
        <v/>
      </c>
      <c r="R39" s="103">
        <f>INDEX($B$4:$B$37,MATCH($B39,R$4:R$37,0))</f>
        <v/>
      </c>
      <c r="S39" s="103">
        <f>INDEX($B$4:$B$37,MATCH($B39,S$4:S$37,0))</f>
        <v/>
      </c>
      <c r="T39" s="103">
        <f>INDEX($B$4:$B$37,MATCH($B39,T$4:T$37,0))</f>
        <v/>
      </c>
      <c r="U39" s="103">
        <f>INDEX($B$4:$B$37,MATCH($B39,U$4:U$36,0))</f>
        <v/>
      </c>
      <c r="V39" s="103">
        <f>INDEX($B$4:$B$37,MATCH($B39,V$4:V$37,0))</f>
        <v/>
      </c>
      <c r="W39" s="103">
        <f>INDEX($B$4:$B$37,MATCH($B39,W$4:W$36,0))</f>
        <v/>
      </c>
      <c r="X39" s="103">
        <f>INDEX($B$4:$B$37,MATCH($B39,X$4:X$37,0))</f>
        <v/>
      </c>
      <c r="Y39" s="103">
        <f>INDEX($B$4:$B$37,MATCH($B39,Y$4:Y$37,0))</f>
        <v/>
      </c>
      <c r="Z39" s="103">
        <f>INDEX($B$4:$B$37,MATCH($B39,Z$4:Z$36,0))</f>
        <v/>
      </c>
      <c r="AA39" s="103">
        <f>INDEX($B$4:$B$37,MATCH($B39,AA$4:AA$35,0))</f>
        <v/>
      </c>
      <c r="AB39" s="103">
        <f>INDEX($B$4:$B$37,MATCH($B39,AB$4:AB$37,0))</f>
        <v/>
      </c>
      <c r="AC39" s="103">
        <f>INDEX($B$4:$B$37,MATCH($B39,AC$4:AC$37,0))</f>
        <v/>
      </c>
      <c r="AD39" s="103">
        <f>INDEX($B$4:$B$37,MATCH($B39,AD$4:AD$37,0))</f>
        <v/>
      </c>
      <c r="AE39" s="103">
        <f>INDEX($B$4:$B$37,MATCH($B39,AE$4:AE$37,0))</f>
        <v/>
      </c>
      <c r="AF39" s="103">
        <f>INDEX($B$4:$B$37,MATCH($B39,AF$4:AF$36,0))</f>
        <v/>
      </c>
      <c r="AG39" s="103">
        <f>INDEX($B$4:$B$37,MATCH($B39,AG$4:AG$37,0))</f>
        <v/>
      </c>
      <c r="AH39" s="67" t="n"/>
      <c r="AI39" s="67" t="n"/>
      <c r="AJ39" s="67" t="n"/>
      <c r="AK39" s="67" t="n"/>
      <c r="AL39" s="67" t="n"/>
      <c r="AM39" s="67" t="n"/>
      <c r="AN39" s="67" t="n"/>
      <c r="AO39" s="67" t="n"/>
      <c r="AP39" s="67" t="n"/>
      <c r="AQ39" s="76" t="n"/>
      <c r="AR39" s="76" t="n"/>
      <c r="AS39" s="77" t="n"/>
      <c r="AT39" s="67" t="n"/>
      <c r="AU39" s="77" t="n"/>
      <c r="AV39" s="77">
        <f>SUMPRODUCT(--(WEEKDAY(C$3:AF$3,2)&gt;5),--ISNUMBER(MATCH(C39:AF39,{"DM","CS1","CS2","SB1","AE","CS/B"},0)))</f>
        <v/>
      </c>
      <c r="AW39" s="67" t="n"/>
      <c r="AX39" s="77" t="n"/>
      <c r="AY39" s="77" t="n"/>
      <c r="AZ39" s="77" t="n"/>
      <c r="BA39" s="76" t="n"/>
      <c r="BB39" s="76" t="n"/>
      <c r="BC39" s="77" t="n"/>
      <c r="BD39" s="77" t="n"/>
      <c r="BE39" s="77" t="n"/>
      <c r="BF39" s="77" t="n"/>
      <c r="BG39" s="77" t="n"/>
      <c r="BH39" s="77" t="n"/>
      <c r="BI39" s="77" t="n"/>
      <c r="BJ39" s="77" t="n"/>
      <c r="BK39" s="77" t="n"/>
      <c r="BL39" s="77" t="n"/>
      <c r="BM39" s="77" t="n"/>
      <c r="BN39" s="77" t="n"/>
      <c r="BO39" s="77" t="n"/>
      <c r="BP39" s="77" t="n"/>
      <c r="BQ39" s="67" t="n"/>
    </row>
    <row r="40" ht="19.5" customHeight="1">
      <c r="A40" s="67" t="n"/>
      <c r="B40" s="60" t="inlineStr">
        <is>
          <t>CS1</t>
        </is>
      </c>
      <c r="C40" s="103">
        <f>INDEX($B$4:$B$37,MATCH($B40,C$4:C$37,0))</f>
        <v/>
      </c>
      <c r="D40" s="103">
        <f>INDEX($B$4:$B$37,MATCH($B40,D$4:D$37,0))</f>
        <v/>
      </c>
      <c r="E40" s="103">
        <f>INDEX($B$4:$B$37,MATCH($B40,E$4:E$37,0))</f>
        <v/>
      </c>
      <c r="F40" s="103">
        <f>INDEX($B$4:$B$37,MATCH($B40,F$4:F$37,0))</f>
        <v/>
      </c>
      <c r="G40" s="103">
        <f>INDEX($B$4:$B$37,MATCH($B40,G$4:G$36,0))</f>
        <v/>
      </c>
      <c r="H40" s="103">
        <f>INDEX($B$4:$B$37,MATCH($B40,H$4:H$36,0))</f>
        <v/>
      </c>
      <c r="I40" s="103">
        <f>INDEX($B$4:$B$37,MATCH($B40,I$4:I$37,0))</f>
        <v/>
      </c>
      <c r="J40" s="103">
        <f>INDEX($B$4:$B$37,MATCH($B40,J$4:J$36,0))</f>
        <v/>
      </c>
      <c r="K40" s="103">
        <f>INDEX($B$4:$B$37,MATCH($B40,K$4:K$37,0))</f>
        <v/>
      </c>
      <c r="L40" s="103">
        <f>INDEX($B$4:$B$37,MATCH($B40,L$4:L$37,0))</f>
        <v/>
      </c>
      <c r="M40" s="103">
        <f>INDEX($B$4:$B$37,MATCH($B40,M$4:M$37,0))</f>
        <v/>
      </c>
      <c r="N40" s="103">
        <f>INDEX($B$4:$B$37,MATCH($B40,N$4:N$37,0))</f>
        <v/>
      </c>
      <c r="O40" s="103">
        <f>INDEX($B$4:$B$37,MATCH($B40,O$4:O$37,0))</f>
        <v/>
      </c>
      <c r="P40" s="103">
        <f>INDEX($B$4:$B$37,MATCH($B40,P$4:P$37,0))</f>
        <v/>
      </c>
      <c r="Q40" s="103">
        <f>INDEX($B$4:$B$37,MATCH($B40,Q$4:Q$37,0))</f>
        <v/>
      </c>
      <c r="R40" s="103">
        <f>INDEX($B$4:$B$37,MATCH($B40,R$4:R$37,0))</f>
        <v/>
      </c>
      <c r="S40" s="103">
        <f>INDEX($B$4:$B$37,MATCH($B40,S$4:S$37,0))</f>
        <v/>
      </c>
      <c r="T40" s="103">
        <f>INDEX($B$4:$B$37,MATCH($B40,T$4:T$37,0))</f>
        <v/>
      </c>
      <c r="U40" s="103">
        <f>INDEX($B$4:$B$37,MATCH($B40,U$4:U$36,0))</f>
        <v/>
      </c>
      <c r="V40" s="103">
        <f>INDEX($B$4:$B$37,MATCH($B40,V$4:V$37,0))</f>
        <v/>
      </c>
      <c r="W40" s="103">
        <f>INDEX($B$4:$B$37,MATCH($B40,W$4:W$36,0))</f>
        <v/>
      </c>
      <c r="X40" s="103">
        <f>INDEX($B$4:$B$37,MATCH($B40,X$4:X$37,0))</f>
        <v/>
      </c>
      <c r="Y40" s="103">
        <f>INDEX($B$4:$B$37,MATCH($B40,Y$4:Y$37,0))</f>
        <v/>
      </c>
      <c r="Z40" s="103">
        <f>INDEX($B$4:$B$37,MATCH($B40,Z$4:Z$36,0))</f>
        <v/>
      </c>
      <c r="AA40" s="103">
        <f>INDEX($B$4:$B$37,MATCH($B40,AA$4:AA$35,0))</f>
        <v/>
      </c>
      <c r="AB40" s="103">
        <f>INDEX($B$4:$B$37,MATCH($B40,AB$4:AB$37,0))</f>
        <v/>
      </c>
      <c r="AC40" s="103">
        <f>INDEX($B$4:$B$37,MATCH($B40,AC$4:AC$37,0))</f>
        <v/>
      </c>
      <c r="AD40" s="103">
        <f>INDEX($B$4:$B$37,MATCH($B40,AD$4:AD$37,0))</f>
        <v/>
      </c>
      <c r="AE40" s="103">
        <f>INDEX($B$4:$B$37,MATCH($B40,AE$4:AE$37,0))</f>
        <v/>
      </c>
      <c r="AF40" s="103">
        <f>INDEX($B$4:$B$37,MATCH($B40,AF$4:AF$36,0))</f>
        <v/>
      </c>
      <c r="AG40" s="103">
        <f>INDEX($B$4:$B$37,MATCH($B40,AG$4:AG$37,0))</f>
        <v/>
      </c>
      <c r="AH40" s="67" t="n"/>
      <c r="AI40" s="67" t="n"/>
      <c r="AJ40" s="67" t="n"/>
      <c r="AK40" s="67" t="n"/>
      <c r="AL40" s="67" t="n"/>
      <c r="AM40" s="67" t="n"/>
      <c r="AN40" s="67" t="n"/>
      <c r="AO40" s="67" t="n"/>
      <c r="AP40" s="67" t="n"/>
      <c r="AQ40" s="76" t="n"/>
      <c r="AR40" s="76" t="n"/>
      <c r="AS40" s="77" t="n"/>
      <c r="AT40" s="67" t="n"/>
      <c r="AU40" s="77" t="n"/>
      <c r="AV40" s="77">
        <f>SUMPRODUCT(--(WEEKDAY(C$3:AF$3,2)&gt;5),--ISNUMBER(MATCH(C40:AF40,{"DM","CS1","CS2","SB1","AE","CS/B"},0)))</f>
        <v/>
      </c>
      <c r="AW40" s="67" t="n"/>
      <c r="AX40" s="77" t="n"/>
      <c r="AY40" s="77" t="n"/>
      <c r="AZ40" s="77" t="n"/>
      <c r="BA40" s="76" t="n"/>
      <c r="BB40" s="76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67" t="n"/>
    </row>
    <row r="41" ht="19.5" customHeight="1">
      <c r="A41" s="67" t="n"/>
      <c r="B41" s="60" t="inlineStr">
        <is>
          <t>CS2</t>
        </is>
      </c>
      <c r="C41" s="103">
        <f>INDEX($B$4:$B$37,MATCH($B41,C$4:C$37,0))</f>
        <v/>
      </c>
      <c r="D41" s="103">
        <f>INDEX($B$4:$B$37,MATCH($B41,D$4:D$37,0))</f>
        <v/>
      </c>
      <c r="E41" s="103">
        <f>INDEX($B$4:$B$37,MATCH($B41,E$4:E$37,0))</f>
        <v/>
      </c>
      <c r="F41" s="103">
        <f>INDEX($B$4:$B$37,MATCH($B41,F$4:F$37,0))</f>
        <v/>
      </c>
      <c r="G41" s="103">
        <f>INDEX($B$4:$B$37,MATCH($B41,G$4:G$36,0))</f>
        <v/>
      </c>
      <c r="H41" s="103">
        <f>INDEX($B$4:$B$37,MATCH($B41,H$4:H$36,0))</f>
        <v/>
      </c>
      <c r="I41" s="103">
        <f>INDEX($B$4:$B$37,MATCH($B41,I$4:I$37,0))</f>
        <v/>
      </c>
      <c r="J41" s="103">
        <f>INDEX($B$4:$B$37,MATCH($B41,J$4:J$36,0))</f>
        <v/>
      </c>
      <c r="K41" s="103">
        <f>INDEX($B$4:$B$37,MATCH($B41,K$4:K$37,0))</f>
        <v/>
      </c>
      <c r="L41" s="103">
        <f>INDEX($B$4:$B$37,MATCH($B41,L$4:L$37,0))</f>
        <v/>
      </c>
      <c r="M41" s="103">
        <f>INDEX($B$4:$B$37,MATCH($B41,M$4:M$37,0))</f>
        <v/>
      </c>
      <c r="N41" s="103">
        <f>INDEX($B$4:$B$37,MATCH($B41,N$4:N$37,0))</f>
        <v/>
      </c>
      <c r="O41" s="103">
        <f>INDEX($B$4:$B$37,MATCH($B41,O$4:O$37,0))</f>
        <v/>
      </c>
      <c r="P41" s="103">
        <f>INDEX($B$4:$B$37,MATCH($B41,P$4:P$37,0))</f>
        <v/>
      </c>
      <c r="Q41" s="103">
        <f>INDEX($B$4:$B$37,MATCH($B41,Q$4:Q$37,0))</f>
        <v/>
      </c>
      <c r="R41" s="103">
        <f>INDEX($B$4:$B$37,MATCH($B41,R$4:R$37,0))</f>
        <v/>
      </c>
      <c r="S41" s="103">
        <f>INDEX($B$4:$B$37,MATCH($B41,S$4:S$37,0))</f>
        <v/>
      </c>
      <c r="T41" s="103">
        <f>INDEX($B$4:$B$37,MATCH($B41,T$4:T$37,0))</f>
        <v/>
      </c>
      <c r="U41" s="103">
        <f>INDEX($B$4:$B$37,MATCH($B41,U$4:U$36,0))</f>
        <v/>
      </c>
      <c r="V41" s="103">
        <f>INDEX($B$4:$B$37,MATCH($B41,V$4:V$37,0))</f>
        <v/>
      </c>
      <c r="W41" s="103">
        <f>INDEX($B$4:$B$37,MATCH($B41,W$4:W$36,0))</f>
        <v/>
      </c>
      <c r="X41" s="103">
        <f>INDEX($B$4:$B$37,MATCH($B41,X$4:X$37,0))</f>
        <v/>
      </c>
      <c r="Y41" s="103">
        <f>INDEX($B$4:$B$37,MATCH($B41,Y$4:Y$37,0))</f>
        <v/>
      </c>
      <c r="Z41" s="103">
        <f>INDEX($B$4:$B$37,MATCH($B41,Z$4:Z$36,0))</f>
        <v/>
      </c>
      <c r="AA41" s="103">
        <f>INDEX($B$4:$B$37,MATCH($B41,AA$4:AA$35,0))</f>
        <v/>
      </c>
      <c r="AB41" s="103">
        <f>INDEX($B$4:$B$37,MATCH($B41,AB$4:AB$37,0))</f>
        <v/>
      </c>
      <c r="AC41" s="103">
        <f>INDEX($B$4:$B$37,MATCH($B41,AC$4:AC$37,0))</f>
        <v/>
      </c>
      <c r="AD41" s="103">
        <f>INDEX($B$4:$B$37,MATCH($B41,AD$4:AD$37,0))</f>
        <v/>
      </c>
      <c r="AE41" s="103">
        <f>INDEX($B$4:$B$37,MATCH($B41,AE$4:AE$37,0))</f>
        <v/>
      </c>
      <c r="AF41" s="103">
        <f>INDEX($B$4:$B$37,MATCH($B41,AF$4:AF$36,0))</f>
        <v/>
      </c>
      <c r="AG41" s="103">
        <f>INDEX($B$4:$B$37,MATCH($B41,AG$4:AG$37,0))</f>
        <v/>
      </c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76" t="n"/>
      <c r="AR41" s="76" t="n"/>
      <c r="AS41" s="77" t="n"/>
      <c r="AT41" s="67" t="n"/>
      <c r="AU41" s="77" t="n"/>
      <c r="AV41" s="77">
        <f>SUMPRODUCT(--(WEEKDAY(C$3:AF$3,2)&gt;5),--ISNUMBER(MATCH(C41:AF41,{"DM","CS1","CS2","SB1","AE","CS/B"},0)))</f>
        <v/>
      </c>
      <c r="AW41" s="67" t="n"/>
      <c r="AX41" s="77" t="n"/>
      <c r="AY41" s="77" t="n"/>
      <c r="AZ41" s="77" t="n"/>
      <c r="BA41" s="76" t="n"/>
      <c r="BB41" s="76" t="n"/>
      <c r="BC41" s="77" t="n"/>
      <c r="BD41" s="77" t="n"/>
      <c r="BE41" s="77" t="n"/>
      <c r="BF41" s="77" t="n"/>
      <c r="BG41" s="77" t="n"/>
      <c r="BH41" s="77" t="n"/>
      <c r="BI41" s="77" t="n"/>
      <c r="BJ41" s="77" t="n"/>
      <c r="BK41" s="77" t="n"/>
      <c r="BL41" s="77" t="n"/>
      <c r="BM41" s="77" t="n"/>
      <c r="BN41" s="77" t="n"/>
      <c r="BO41" s="77" t="n"/>
      <c r="BP41" s="77" t="n"/>
      <c r="BQ41" s="67" t="n"/>
    </row>
    <row r="42" ht="19.5" customHeight="1">
      <c r="A42" s="67" t="n"/>
      <c r="B42" s="60" t="inlineStr">
        <is>
          <t>CS/B</t>
        </is>
      </c>
      <c r="C42" s="103">
        <f>INDEX($B$4:$B$37,MATCH($B42,C$4:C$37,0))</f>
        <v/>
      </c>
      <c r="D42" s="103">
        <f>INDEX($B$4:$B$37,MATCH($B42,D$4:D$37,0))</f>
        <v/>
      </c>
      <c r="E42" s="103">
        <f>INDEX($B$4:$B$37,MATCH($B42,E$4:E$37,0))</f>
        <v/>
      </c>
      <c r="F42" s="103">
        <f>INDEX($B$4:$B$37,MATCH($B42,F$4:F$37,0))</f>
        <v/>
      </c>
      <c r="G42" s="103">
        <f>INDEX($B$4:$B$37,MATCH($B42,G$4:G$36,0))</f>
        <v/>
      </c>
      <c r="H42" s="103">
        <f>INDEX($B$4:$B$37,MATCH($B42,H$4:H$36,0))</f>
        <v/>
      </c>
      <c r="I42" s="103">
        <f>INDEX($B$4:$B$37,MATCH($B42,I$4:I$37,0))</f>
        <v/>
      </c>
      <c r="J42" s="103">
        <f>INDEX($B$4:$B$37,MATCH($B42,J$4:J$36,0))</f>
        <v/>
      </c>
      <c r="K42" s="103">
        <f>INDEX($B$4:$B$37,MATCH($B42,K$4:K$37,0))</f>
        <v/>
      </c>
      <c r="L42" s="103">
        <f>INDEX($B$4:$B$37,MATCH($B42,L$4:L$37,0))</f>
        <v/>
      </c>
      <c r="M42" s="103">
        <f>INDEX($B$4:$B$37,MATCH($B42,M$4:M$37,0))</f>
        <v/>
      </c>
      <c r="N42" s="103">
        <f>INDEX($B$4:$B$37,MATCH($B42,N$4:N$37,0))</f>
        <v/>
      </c>
      <c r="O42" s="103">
        <f>INDEX($B$4:$B$37,MATCH($B42,O$4:O$37,0))</f>
        <v/>
      </c>
      <c r="P42" s="103">
        <f>INDEX($B$4:$B$37,MATCH($B42,P$4:P$37,0))</f>
        <v/>
      </c>
      <c r="Q42" s="103">
        <f>INDEX($B$4:$B$37,MATCH($B42,Q$4:Q$37,0))</f>
        <v/>
      </c>
      <c r="R42" s="103">
        <f>INDEX($B$4:$B$37,MATCH($B42,R$4:R$37,0))</f>
        <v/>
      </c>
      <c r="S42" s="103">
        <f>INDEX($B$4:$B$37,MATCH($B42,S$4:S$37,0))</f>
        <v/>
      </c>
      <c r="T42" s="103">
        <f>INDEX($B$4:$B$37,MATCH($B42,T$4:T$37,0))</f>
        <v/>
      </c>
      <c r="U42" s="103">
        <f>INDEX($B$4:$B$37,MATCH($B42,U$4:U$36,0))</f>
        <v/>
      </c>
      <c r="V42" s="103">
        <f>INDEX($B$4:$B$37,MATCH($B42,V$4:V$37,0))</f>
        <v/>
      </c>
      <c r="W42" s="103">
        <f>INDEX($B$4:$B$37,MATCH($B42,W$4:W$36,0))</f>
        <v/>
      </c>
      <c r="X42" s="103">
        <f>INDEX($B$4:$B$37,MATCH($B42,X$4:X$37,0))</f>
        <v/>
      </c>
      <c r="Y42" s="103">
        <f>INDEX($B$4:$B$37,MATCH($B42,Y$4:Y$37,0))</f>
        <v/>
      </c>
      <c r="Z42" s="103">
        <f>INDEX($B$4:$B$37,MATCH($B42,Z$4:Z$36,0))</f>
        <v/>
      </c>
      <c r="AA42" s="103">
        <f>INDEX($B$4:$B$37,MATCH($B42,AA$4:AA$35,0))</f>
        <v/>
      </c>
      <c r="AB42" s="103">
        <f>INDEX($B$4:$B$37,MATCH($B42,AB$4:AB$37,0))</f>
        <v/>
      </c>
      <c r="AC42" s="103">
        <f>INDEX($B$4:$B$37,MATCH($B42,AC$4:AC$37,0))</f>
        <v/>
      </c>
      <c r="AD42" s="103">
        <f>INDEX($B$4:$B$37,MATCH($B42,AD$4:AD$37,0))</f>
        <v/>
      </c>
      <c r="AE42" s="103">
        <f>INDEX($B$4:$B$37,MATCH($B42,AE$4:AE$37,0))</f>
        <v/>
      </c>
      <c r="AF42" s="103">
        <f>INDEX($B$4:$B$37,MATCH($B42,AF$4:AF$36,0))</f>
        <v/>
      </c>
      <c r="AG42" s="103">
        <f>INDEX($B$4:$B$37,MATCH($B42,AG$4:AG$37,0))</f>
        <v/>
      </c>
      <c r="AH42" s="67" t="n"/>
      <c r="AI42" s="67" t="n"/>
      <c r="AJ42" s="67" t="n"/>
      <c r="AK42" s="67" t="n"/>
      <c r="AL42" s="67" t="n"/>
      <c r="AM42" s="67" t="n"/>
      <c r="AN42" s="67" t="n"/>
      <c r="AO42" s="67" t="n"/>
      <c r="AP42" s="67" t="n"/>
      <c r="AQ42" s="76" t="n"/>
      <c r="AR42" s="76" t="n"/>
      <c r="AS42" s="77" t="n"/>
      <c r="AT42" s="67" t="n"/>
      <c r="AU42" s="77" t="n"/>
      <c r="AV42" s="77">
        <f>SUMPRODUCT(--(WEEKDAY(C$3:AF$3,2)&gt;5),--ISNUMBER(MATCH(C42:AF42,{"DM","CS1","CS2","SB1","AE","CS/B"},0)))</f>
        <v/>
      </c>
      <c r="AW42" s="67" t="n"/>
      <c r="AX42" s="77" t="n"/>
      <c r="AY42" s="77" t="n"/>
      <c r="AZ42" s="77" t="n"/>
      <c r="BA42" s="76" t="n"/>
      <c r="BB42" s="76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67" t="n"/>
    </row>
    <row r="43" ht="19.5" customHeight="1">
      <c r="A43" s="67" t="n"/>
      <c r="B43" s="60" t="inlineStr">
        <is>
          <t>SB1</t>
        </is>
      </c>
      <c r="C43" s="103">
        <f>INDEX($B$4:$B$37,MATCH($B43,C$4:C$37,0))</f>
        <v/>
      </c>
      <c r="D43" s="103">
        <f>INDEX($B$4:$B$37,MATCH($B43,D$4:D$37,0))</f>
        <v/>
      </c>
      <c r="E43" s="103">
        <f>INDEX($B$4:$B$37,MATCH($B43,E$4:E$37,0))</f>
        <v/>
      </c>
      <c r="F43" s="103">
        <f>INDEX($B$4:$B$37,MATCH($B43,F$4:F$37,0))</f>
        <v/>
      </c>
      <c r="G43" s="103">
        <f>INDEX($B$4:$B$37,MATCH($B43,G$4:G$36,0))</f>
        <v/>
      </c>
      <c r="H43" s="103">
        <f>INDEX($B$4:$B$37,MATCH($B43,H$4:H$36,0))</f>
        <v/>
      </c>
      <c r="I43" s="103">
        <f>INDEX($B$4:$B$37,MATCH($B43,I$4:I$37,0))</f>
        <v/>
      </c>
      <c r="J43" s="103">
        <f>INDEX($B$4:$B$37,MATCH($B43,J$4:J$36,0))</f>
        <v/>
      </c>
      <c r="K43" s="103">
        <f>INDEX($B$4:$B$37,MATCH($B43,K$4:K$37,0))</f>
        <v/>
      </c>
      <c r="L43" s="103">
        <f>INDEX($B$4:$B$37,MATCH($B43,L$4:L$37,0))</f>
        <v/>
      </c>
      <c r="M43" s="103">
        <f>INDEX($B$4:$B$37,MATCH($B43,M$4:M$37,0))</f>
        <v/>
      </c>
      <c r="N43" s="103">
        <f>INDEX($B$4:$B$37,MATCH($B43,N$4:N$37,0))</f>
        <v/>
      </c>
      <c r="O43" s="103">
        <f>INDEX($B$4:$B$37,MATCH($B43,O$4:O$37,0))</f>
        <v/>
      </c>
      <c r="P43" s="103">
        <f>INDEX($B$4:$B$37,MATCH($B43,P$4:P$37,0))</f>
        <v/>
      </c>
      <c r="Q43" s="103">
        <f>INDEX($B$4:$B$37,MATCH($B43,Q$4:Q$37,0))</f>
        <v/>
      </c>
      <c r="R43" s="103">
        <f>INDEX($B$4:$B$37,MATCH($B43,R$4:R$37,0))</f>
        <v/>
      </c>
      <c r="S43" s="103">
        <f>INDEX($B$4:$B$37,MATCH($B43,S$4:S$37,0))</f>
        <v/>
      </c>
      <c r="T43" s="103">
        <f>INDEX($B$4:$B$37,MATCH($B43,T$4:T$37,0))</f>
        <v/>
      </c>
      <c r="U43" s="103">
        <f>INDEX($B$4:$B$37,MATCH($B43,U$4:U$36,0))</f>
        <v/>
      </c>
      <c r="V43" s="103">
        <f>INDEX($B$4:$B$37,MATCH($B43,V$4:V$37,0))</f>
        <v/>
      </c>
      <c r="W43" s="103">
        <f>INDEX($B$4:$B$37,MATCH($B43,W$4:W$36,0))</f>
        <v/>
      </c>
      <c r="X43" s="103">
        <f>INDEX($B$4:$B$37,MATCH($B43,X$4:X$37,0))</f>
        <v/>
      </c>
      <c r="Y43" s="103">
        <f>INDEX($B$4:$B$37,MATCH($B43,Y$4:Y$37,0))</f>
        <v/>
      </c>
      <c r="Z43" s="103">
        <f>INDEX($B$4:$B$37,MATCH($B43,Z$4:Z$36,0))</f>
        <v/>
      </c>
      <c r="AA43" s="103">
        <f>INDEX($B$4:$B$37,MATCH($B43,AA$4:AA$35,0))</f>
        <v/>
      </c>
      <c r="AB43" s="103">
        <f>INDEX($B$4:$B$37,MATCH($B43,AB$4:AB$37,0))</f>
        <v/>
      </c>
      <c r="AC43" s="103">
        <f>INDEX($B$4:$B$37,MATCH($B43,AC$4:AC$37,0))</f>
        <v/>
      </c>
      <c r="AD43" s="103">
        <f>INDEX($B$4:$B$37,MATCH($B43,AD$4:AD$37,0))</f>
        <v/>
      </c>
      <c r="AE43" s="103">
        <f>INDEX($B$4:$B$37,MATCH($B43,AE$4:AE$37,0))</f>
        <v/>
      </c>
      <c r="AF43" s="103">
        <f>INDEX($B$4:$B$37,MATCH($B43,AF$4:AF$36,0))</f>
        <v/>
      </c>
      <c r="AG43" s="103">
        <f>INDEX($B$4:$B$37,MATCH($B43,AG$4:AG$37,0))</f>
        <v/>
      </c>
      <c r="AH43" s="67" t="n"/>
      <c r="AI43" s="67" t="n"/>
      <c r="AJ43" s="67" t="n"/>
      <c r="AK43" s="67" t="n"/>
      <c r="AL43" s="67" t="n"/>
      <c r="AM43" s="67" t="n"/>
      <c r="AN43" s="67" t="n"/>
      <c r="AO43" s="67" t="n"/>
      <c r="AP43" s="67" t="n"/>
      <c r="AQ43" s="76" t="n"/>
      <c r="AR43" s="76" t="n"/>
      <c r="AS43" s="77" t="n"/>
      <c r="AT43" s="67" t="n"/>
      <c r="AU43" s="77" t="n"/>
      <c r="AV43" s="77">
        <f>SUMPRODUCT(--(WEEKDAY(C$3:AF$3,2)&gt;5),--ISNUMBER(MATCH(C43:AF43,{"DM","CS1","CS2","SB1","AE","CS/B"},0)))</f>
        <v/>
      </c>
      <c r="AW43" s="67" t="n"/>
      <c r="AX43" s="77" t="n"/>
      <c r="AY43" s="77" t="n"/>
      <c r="AZ43" s="77" t="n"/>
      <c r="BA43" s="76" t="n"/>
      <c r="BB43" s="76" t="n"/>
      <c r="BC43" s="77" t="n"/>
      <c r="BD43" s="77" t="n"/>
      <c r="BE43" s="77" t="n"/>
      <c r="BF43" s="77" t="n"/>
      <c r="BG43" s="77" t="n"/>
      <c r="BH43" s="77" t="n"/>
      <c r="BI43" s="77" t="n"/>
      <c r="BJ43" s="77" t="n"/>
      <c r="BK43" s="77" t="n"/>
      <c r="BL43" s="77" t="n"/>
      <c r="BM43" s="77" t="n"/>
      <c r="BN43" s="77" t="n"/>
      <c r="BO43" s="77" t="n"/>
      <c r="BP43" s="77" t="n"/>
      <c r="BQ43" s="67" t="n"/>
    </row>
    <row r="44" ht="19.5" customHeight="1">
      <c r="A44" s="67" t="n"/>
      <c r="B44" s="60" t="inlineStr">
        <is>
          <t>SB2</t>
        </is>
      </c>
      <c r="C44" s="103">
        <f>INDEX($B$4:$B$37,MATCH($B44,C$4:C$37,0))</f>
        <v/>
      </c>
      <c r="D44" s="103">
        <f>INDEX($B$4:$B$37,MATCH($B44,D$4:D$37,0))</f>
        <v/>
      </c>
      <c r="E44" s="103">
        <f>INDEX($B$4:$B$37,MATCH($B44,E$4:E$37,0))</f>
        <v/>
      </c>
      <c r="F44" s="103">
        <f>INDEX($B$4:$B$37,MATCH($B44,F$4:F$37,0))</f>
        <v/>
      </c>
      <c r="G44" s="103">
        <f>INDEX($B$4:$B$37,MATCH($B44,G$4:G$36,0))</f>
        <v/>
      </c>
      <c r="H44" s="103">
        <f>INDEX($B$4:$B$37,MATCH($B44,H$4:H$36,0))</f>
        <v/>
      </c>
      <c r="I44" s="103">
        <f>INDEX($B$4:$B$37,MATCH($B44,I$4:I$37,0))</f>
        <v/>
      </c>
      <c r="J44" s="103">
        <f>INDEX($B$4:$B$37,MATCH($B44,J$4:J$36,0))</f>
        <v/>
      </c>
      <c r="K44" s="103">
        <f>INDEX($B$4:$B$37,MATCH($B44,K$4:K$37,0))</f>
        <v/>
      </c>
      <c r="L44" s="103">
        <f>INDEX($B$4:$B$37,MATCH($B44,L$4:L$37,0))</f>
        <v/>
      </c>
      <c r="M44" s="103">
        <f>INDEX($B$4:$B$37,MATCH($B44,M$4:M$37,0))</f>
        <v/>
      </c>
      <c r="N44" s="103">
        <f>INDEX($B$4:$B$37,MATCH($B44,N$4:N$37,0))</f>
        <v/>
      </c>
      <c r="O44" s="103">
        <f>INDEX($B$4:$B$37,MATCH($B44,O$4:O$37,0))</f>
        <v/>
      </c>
      <c r="P44" s="103">
        <f>INDEX($B$4:$B$37,MATCH($B44,P$4:P$37,0))</f>
        <v/>
      </c>
      <c r="Q44" s="103">
        <f>INDEX($B$4:$B$37,MATCH($B44,Q$4:Q$37,0))</f>
        <v/>
      </c>
      <c r="R44" s="103">
        <f>INDEX($B$4:$B$37,MATCH($B44,R$4:R$37,0))</f>
        <v/>
      </c>
      <c r="S44" s="103">
        <f>INDEX($B$4:$B$37,MATCH($B44,S$4:S$37,0))</f>
        <v/>
      </c>
      <c r="T44" s="103">
        <f>INDEX($B$4:$B$37,MATCH($B44,T$4:T$37,0))</f>
        <v/>
      </c>
      <c r="U44" s="103">
        <f>INDEX($B$4:$B$37,MATCH($B44,U$4:U$36,0))</f>
        <v/>
      </c>
      <c r="V44" s="103">
        <f>INDEX($B$4:$B$37,MATCH($B44,V$4:V$37,0))</f>
        <v/>
      </c>
      <c r="W44" s="103">
        <f>INDEX($B$4:$B$37,MATCH($B44,W$4:W$36,0))</f>
        <v/>
      </c>
      <c r="X44" s="103">
        <f>INDEX($B$4:$B$37,MATCH($B44,X$4:X$37,0))</f>
        <v/>
      </c>
      <c r="Y44" s="103">
        <f>INDEX($B$4:$B$37,MATCH($B44,Y$4:Y$37,0))</f>
        <v/>
      </c>
      <c r="Z44" s="103">
        <f>INDEX($B$4:$B$37,MATCH($B44,Z$4:Z$36,0))</f>
        <v/>
      </c>
      <c r="AA44" s="103">
        <f>INDEX($B$4:$B$37,MATCH($B44,AA$4:AA$35,0))</f>
        <v/>
      </c>
      <c r="AB44" s="103">
        <f>INDEX($B$4:$B$37,MATCH($B44,AB$4:AB$37,0))</f>
        <v/>
      </c>
      <c r="AC44" s="103">
        <f>INDEX($B$4:$B$37,MATCH($B44,AC$4:AC$37,0))</f>
        <v/>
      </c>
      <c r="AD44" s="103">
        <f>INDEX($B$4:$B$37,MATCH($B44,AD$4:AD$37,0))</f>
        <v/>
      </c>
      <c r="AE44" s="103">
        <f>INDEX($B$4:$B$37,MATCH($B44,AE$4:AE$37,0))</f>
        <v/>
      </c>
      <c r="AF44" s="103">
        <f>INDEX($B$4:$B$37,MATCH($B44,AF$4:AF$36,0))</f>
        <v/>
      </c>
      <c r="AG44" s="103">
        <f>INDEX($B$4:$B$37,MATCH($B44,AG$4:AG$37,0))</f>
        <v/>
      </c>
      <c r="AH44" s="67" t="n"/>
      <c r="AI44" s="67" t="n"/>
      <c r="AJ44" s="67" t="n"/>
      <c r="AK44" s="67" t="n"/>
      <c r="AL44" s="67" t="n"/>
      <c r="AM44" s="67" t="n"/>
      <c r="AN44" s="67" t="n"/>
      <c r="AO44" s="67" t="n"/>
      <c r="AP44" s="67" t="n"/>
      <c r="AQ44" s="76" t="n"/>
      <c r="AR44" s="76" t="n"/>
      <c r="AS44" s="77" t="n"/>
      <c r="AT44" s="67" t="n"/>
      <c r="AU44" s="77" t="n"/>
      <c r="AV44" s="77">
        <f>SUMPRODUCT(--(WEEKDAY(C$3:AF$3,2)&gt;5),--ISNUMBER(MATCH(C44:AF44,{"DM","CS1","CS2","SB1","AE","CS/B"},0)))</f>
        <v/>
      </c>
      <c r="AW44" s="67" t="n"/>
      <c r="AX44" s="77" t="n"/>
      <c r="AY44" s="77" t="n"/>
      <c r="AZ44" s="77" t="n"/>
      <c r="BA44" s="76" t="n"/>
      <c r="BB44" s="76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67" t="n"/>
    </row>
    <row r="45" ht="19.5" customHeight="1">
      <c r="A45" s="67" t="n"/>
      <c r="B45" s="60" t="inlineStr">
        <is>
          <t>AE</t>
        </is>
      </c>
      <c r="C45" s="103">
        <f>INDEX($B$4:$B$37,MATCH($B45,C$4:C$37,0))</f>
        <v/>
      </c>
      <c r="D45" s="103">
        <f>INDEX($B$4:$B$37,MATCH($B45,D$4:D$37,0))</f>
        <v/>
      </c>
      <c r="E45" s="103">
        <f>INDEX($B$4:$B$37,MATCH($B45,E$4:E$37,0))</f>
        <v/>
      </c>
      <c r="F45" s="103">
        <f>INDEX($B$4:$B$37,MATCH($B45,F$4:F$37,0))</f>
        <v/>
      </c>
      <c r="G45" s="103">
        <f>INDEX($B$4:$B$37,MATCH($B45,G$4:G$36,0))</f>
        <v/>
      </c>
      <c r="H45" s="103">
        <f>INDEX($B$4:$B$37,MATCH($B45,H$4:H$36,0))</f>
        <v/>
      </c>
      <c r="I45" s="103">
        <f>INDEX($B$4:$B$37,MATCH($B45,I$4:I$37,0))</f>
        <v/>
      </c>
      <c r="J45" s="103">
        <f>INDEX($B$4:$B$37,MATCH($B45,J$4:J$36,0))</f>
        <v/>
      </c>
      <c r="K45" s="103">
        <f>INDEX($B$4:$B$37,MATCH($B45,K$4:K$37,0))</f>
        <v/>
      </c>
      <c r="L45" s="103">
        <f>INDEX($B$4:$B$37,MATCH($B45,L$4:L$37,0))</f>
        <v/>
      </c>
      <c r="M45" s="103">
        <f>INDEX($B$4:$B$37,MATCH($B45,M$4:M$37,0))</f>
        <v/>
      </c>
      <c r="N45" s="103">
        <f>INDEX($B$4:$B$37,MATCH($B45,N$4:N$37,0))</f>
        <v/>
      </c>
      <c r="O45" s="103">
        <f>INDEX($B$4:$B$37,MATCH($B45,O$4:O$37,0))</f>
        <v/>
      </c>
      <c r="P45" s="103">
        <f>INDEX($B$4:$B$37,MATCH($B45,P$4:P$37,0))</f>
        <v/>
      </c>
      <c r="Q45" s="103">
        <f>INDEX($B$4:$B$37,MATCH($B45,Q$4:Q$37,0))</f>
        <v/>
      </c>
      <c r="R45" s="103">
        <f>INDEX($B$4:$B$37,MATCH($B45,R$4:R$37,0))</f>
        <v/>
      </c>
      <c r="S45" s="103">
        <f>INDEX($B$4:$B$37,MATCH($B45,S$4:S$37,0))</f>
        <v/>
      </c>
      <c r="T45" s="103">
        <f>INDEX($B$4:$B$37,MATCH($B45,T$4:T$37,0))</f>
        <v/>
      </c>
      <c r="U45" s="103">
        <f>INDEX($B$4:$B$37,MATCH($B45,U$4:U$36,0))</f>
        <v/>
      </c>
      <c r="V45" s="103">
        <f>INDEX($B$4:$B$37,MATCH($B45,V$4:V$37,0))</f>
        <v/>
      </c>
      <c r="W45" s="103">
        <f>INDEX($B$4:$B$37,MATCH($B45,W$4:W$36,0))</f>
        <v/>
      </c>
      <c r="X45" s="103">
        <f>INDEX($B$4:$B$37,MATCH($B45,X$4:X$37,0))</f>
        <v/>
      </c>
      <c r="Y45" s="103">
        <f>INDEX($B$4:$B$37,MATCH($B45,Y$4:Y$37,0))</f>
        <v/>
      </c>
      <c r="Z45" s="103">
        <f>INDEX($B$4:$B$37,MATCH($B45,Z$4:Z$36,0))</f>
        <v/>
      </c>
      <c r="AA45" s="103">
        <f>INDEX($B$4:$B$37,MATCH($B45,AA$4:AA$35,0))</f>
        <v/>
      </c>
      <c r="AB45" s="103">
        <f>INDEX($B$4:$B$37,MATCH($B45,AB$4:AB$37,0))</f>
        <v/>
      </c>
      <c r="AC45" s="103">
        <f>INDEX($B$4:$B$37,MATCH($B45,AC$4:AC$37,0))</f>
        <v/>
      </c>
      <c r="AD45" s="103">
        <f>INDEX($B$4:$B$37,MATCH($B45,AD$4:AD$37,0))</f>
        <v/>
      </c>
      <c r="AE45" s="103">
        <f>INDEX($B$4:$B$37,MATCH($B45,AE$4:AE$37,0))</f>
        <v/>
      </c>
      <c r="AF45" s="103">
        <f>INDEX($B$4:$B$37,MATCH($B45,AF$4:AF$36,0))</f>
        <v/>
      </c>
      <c r="AG45" s="103">
        <f>INDEX($B$4:$B$37,MATCH($B45,AG$4:AG$37,0))</f>
        <v/>
      </c>
      <c r="AH45" s="67" t="n"/>
      <c r="AI45" s="67" t="n"/>
      <c r="AJ45" s="67" t="n"/>
      <c r="AK45" s="67" t="n"/>
      <c r="AL45" s="67" t="n"/>
      <c r="AM45" s="67" t="n"/>
      <c r="AN45" s="67" t="n"/>
      <c r="AO45" s="67" t="n"/>
      <c r="AP45" s="67" t="n"/>
      <c r="AQ45" s="76" t="n"/>
      <c r="AR45" s="76" t="n"/>
      <c r="AS45" s="77" t="n"/>
      <c r="AT45" s="67" t="n"/>
      <c r="AU45" s="77" t="n"/>
      <c r="AV45" s="77">
        <f>SUMPRODUCT(--(WEEKDAY(C$3:AF$3,2)&gt;5),--ISNUMBER(MATCH(C45:AF45,{"DM","CS1","CS2","SB1","AE","CS/B"},0)))</f>
        <v/>
      </c>
      <c r="AW45" s="67" t="n"/>
      <c r="AX45" s="77" t="n"/>
      <c r="AY45" s="77" t="n"/>
      <c r="AZ45" s="77" t="n"/>
      <c r="BA45" s="76" t="n"/>
      <c r="BB45" s="76" t="n"/>
      <c r="BC45" s="77" t="n"/>
      <c r="BD45" s="77" t="n"/>
      <c r="BE45" s="77" t="n"/>
      <c r="BF45" s="77" t="n"/>
      <c r="BG45" s="77" t="n"/>
      <c r="BH45" s="77" t="n"/>
      <c r="BI45" s="77" t="n"/>
      <c r="BJ45" s="77" t="n"/>
      <c r="BK45" s="77" t="n"/>
      <c r="BL45" s="77" t="n"/>
      <c r="BM45" s="77" t="n"/>
      <c r="BN45" s="77" t="n"/>
      <c r="BO45" s="77" t="n"/>
      <c r="BP45" s="77" t="n"/>
      <c r="BQ45" s="67" t="n"/>
    </row>
    <row r="46" ht="19.5" customHeight="1">
      <c r="A46" s="67" t="n"/>
      <c r="B46" s="104" t="inlineStr">
        <is>
          <t>RESERVE</t>
        </is>
      </c>
      <c r="C46" s="103">
        <f>INDEX($B$4:$B$37,MATCH($B46,C$4:C$37,0))</f>
        <v/>
      </c>
      <c r="D46" s="103">
        <f>INDEX($B$4:$B$37,MATCH($B46,D$4:D$37,0))</f>
        <v/>
      </c>
      <c r="E46" s="103">
        <f>INDEX($B$4:$B$37,MATCH($B46,E$4:E$37,0))</f>
        <v/>
      </c>
      <c r="F46" s="103">
        <f>INDEX($B$4:$B$37,MATCH($B46,F$4:F$37,0))</f>
        <v/>
      </c>
      <c r="G46" s="103">
        <f>INDEX($B$4:$B$37,MATCH($B46,G$4:G$36,0))</f>
        <v/>
      </c>
      <c r="H46" s="103">
        <f>INDEX($B$4:$B$37,MATCH($B46,H$4:H$36,0))</f>
        <v/>
      </c>
      <c r="I46" s="103">
        <f>INDEX($B$4:$B$37,MATCH($B46,I$4:I$37,0))</f>
        <v/>
      </c>
      <c r="J46" s="103">
        <f>INDEX($B$4:$B$37,MATCH($B46,J$4:J$36,0))</f>
        <v/>
      </c>
      <c r="K46" s="103">
        <f>INDEX($B$4:$B$37,MATCH($B46,K$4:K$37,0))</f>
        <v/>
      </c>
      <c r="L46" s="103">
        <f>INDEX($B$4:$B$37,MATCH($B46,L$4:L$37,0))</f>
        <v/>
      </c>
      <c r="M46" s="103">
        <f>INDEX($B$4:$B$37,MATCH($B46,M$4:M$37,0))</f>
        <v/>
      </c>
      <c r="N46" s="103">
        <f>INDEX($B$4:$B$37,MATCH($B46,N$4:N$37,0))</f>
        <v/>
      </c>
      <c r="O46" s="103">
        <f>INDEX($B$4:$B$37,MATCH($B46,O$4:O$37,0))</f>
        <v/>
      </c>
      <c r="P46" s="103">
        <f>INDEX($B$4:$B$37,MATCH($B46,P$4:P$37,0))</f>
        <v/>
      </c>
      <c r="Q46" s="103">
        <f>INDEX($B$4:$B$37,MATCH($B46,Q$4:Q$37,0))</f>
        <v/>
      </c>
      <c r="R46" s="103">
        <f>INDEX($B$4:$B$37,MATCH($B46,R$4:R$37,0))</f>
        <v/>
      </c>
      <c r="S46" s="103">
        <f>INDEX($B$4:$B$37,MATCH($B46,S$4:S$37,0))</f>
        <v/>
      </c>
      <c r="T46" s="103">
        <f>INDEX($B$4:$B$37,MATCH($B46,T$4:T$37,0))</f>
        <v/>
      </c>
      <c r="U46" s="103">
        <f>INDEX($B$4:$B$37,MATCH($B46,U$4:U$36,0))</f>
        <v/>
      </c>
      <c r="V46" s="103">
        <f>INDEX($B$4:$B$37,MATCH($B46,V$4:V$37,0))</f>
        <v/>
      </c>
      <c r="W46" s="103">
        <f>INDEX($B$4:$B$37,MATCH($B46,W$4:W$36,0))</f>
        <v/>
      </c>
      <c r="X46" s="103">
        <f>INDEX($B$4:$B$37,MATCH($B46,X$4:X$37,0))</f>
        <v/>
      </c>
      <c r="Y46" s="103">
        <f>INDEX($B$4:$B$37,MATCH($B46,Y$4:Y$37,0))</f>
        <v/>
      </c>
      <c r="Z46" s="103">
        <f>INDEX($B$4:$B$37,MATCH($B46,Z$4:Z$36,0))</f>
        <v/>
      </c>
      <c r="AA46" s="103">
        <f>INDEX($B$4:$B$37,MATCH($B46,AA$4:AA$35,0))</f>
        <v/>
      </c>
      <c r="AB46" s="103">
        <f>INDEX($B$4:$B$37,MATCH($B46,AB$4:AB$37,0))</f>
        <v/>
      </c>
      <c r="AC46" s="103">
        <f>INDEX($B$4:$B$37,MATCH($B46,AC$4:AC$37,0))</f>
        <v/>
      </c>
      <c r="AD46" s="103">
        <f>INDEX($B$4:$B$37,MATCH($B46,AD$4:AD$37,0))</f>
        <v/>
      </c>
      <c r="AE46" s="103">
        <f>INDEX($B$4:$B$37,MATCH($B46,AE$4:AE$37,0))</f>
        <v/>
      </c>
      <c r="AF46" s="103">
        <f>INDEX($B$4:$B$37,MATCH($B46,AF$4:AF$36,0))</f>
        <v/>
      </c>
      <c r="AG46" s="103">
        <f>INDEX($B$4:$B$37,MATCH($B46,AG$4:AG$37,0))</f>
        <v/>
      </c>
      <c r="AH46" s="67" t="n"/>
      <c r="AI46" s="67" t="n"/>
      <c r="AJ46" s="67" t="n"/>
      <c r="AK46" s="67" t="n"/>
      <c r="AL46" s="67" t="n"/>
      <c r="AM46" s="67" t="n"/>
      <c r="AN46" s="67" t="n"/>
      <c r="AO46" s="67" t="n"/>
      <c r="AP46" s="67" t="n"/>
      <c r="AQ46" s="76" t="n"/>
      <c r="AR46" s="76" t="n"/>
      <c r="AS46" s="77" t="n"/>
      <c r="AT46" s="67" t="n"/>
      <c r="AU46" s="77" t="n"/>
      <c r="AV46" s="77">
        <f>SUMPRODUCT(--(WEEKDAY(C$3:AF$3,2)&gt;5),--ISNUMBER(MATCH(C46:AF46,{"DM","CS1","CS2","SB1","AE","CS/B"},0)))</f>
        <v/>
      </c>
      <c r="AW46" s="67" t="n"/>
      <c r="AX46" s="77" t="n"/>
      <c r="AY46" s="77" t="n"/>
      <c r="AZ46" s="77" t="n"/>
      <c r="BA46" s="76" t="n"/>
      <c r="BB46" s="76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67" t="n"/>
    </row>
    <row r="47" ht="19.5" customHeight="1">
      <c r="A47" s="67" t="n"/>
      <c r="B47" s="105" t="n"/>
      <c r="C47" s="102" t="n"/>
      <c r="D47" s="102" t="n"/>
      <c r="E47" s="102" t="n"/>
      <c r="F47" s="102" t="n"/>
      <c r="G47" s="102" t="n"/>
      <c r="H47" s="102" t="n"/>
      <c r="I47" s="102" t="n"/>
      <c r="J47" s="102" t="n"/>
      <c r="K47" s="102" t="n"/>
      <c r="L47" s="102" t="n"/>
      <c r="M47" s="102" t="n"/>
      <c r="N47" s="102" t="n"/>
      <c r="O47" s="102" t="n"/>
      <c r="P47" s="102" t="n"/>
      <c r="Q47" s="102" t="n"/>
      <c r="R47" s="102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2" t="n"/>
      <c r="AB47" s="102" t="n"/>
      <c r="AC47" s="102" t="n"/>
      <c r="AD47" s="102" t="n"/>
      <c r="AE47" s="102" t="n"/>
      <c r="AF47" s="102" t="n"/>
      <c r="AG47" s="102" t="n"/>
      <c r="AH47" s="105">
        <f>COUNTIF($C47:$AF47,AH$4)</f>
        <v/>
      </c>
      <c r="AI47" s="105">
        <f>COUNTIF($C47:$AF47,AI$4)</f>
        <v/>
      </c>
      <c r="AJ47" s="105">
        <f>COUNTIF($C47:$AF47,AJ$4)</f>
        <v/>
      </c>
      <c r="AK47" s="105">
        <f>COUNTIF($C47:$AF47,AK$4)</f>
        <v/>
      </c>
      <c r="AL47" s="105">
        <f>COUNTIF($C47:$AF47,AL$4)</f>
        <v/>
      </c>
      <c r="AM47" s="105">
        <f>COUNTIF($C47:$AF47,AM$4)</f>
        <v/>
      </c>
      <c r="AN47" s="105">
        <f>COUNTIF($C47:$AF47,AN$4)</f>
        <v/>
      </c>
      <c r="AO47" s="105">
        <f>COUNTIF($C47:$AF47,AO$4)</f>
        <v/>
      </c>
      <c r="AP47" s="105">
        <f>COUNTIF($C47:$AF47,AP$4)</f>
        <v/>
      </c>
      <c r="AQ47" s="105" t="n">
        <v>1</v>
      </c>
      <c r="AR47" s="105" t="n"/>
      <c r="AS47" s="105">
        <f t="array" ref="AS47">SUMPRODUCT(--(WEEKDAY(C$3:AF$3,2)&lt;5),--ISNUMBER(MATCH(C47:AF47,{"DM","CS1","CS2","SB1","AE","CS/B"},0)))</f>
        <v/>
      </c>
      <c r="AT47" s="105" t="n"/>
      <c r="AU47" s="105">
        <f t="array" ref="AU47">SUMPRODUCT(--(WEEKDAY(C$3:AF$3,2)=5),--ISNUMBER(MATCH(C47:AF47,{"DM","CS1","CS2","SB1","AE","CS/B"},0)))</f>
        <v/>
      </c>
      <c r="AV47" s="77">
        <f>SUMPRODUCT(--(WEEKDAY(C$3:AF$3,2)&gt;5),--ISNUMBER(MATCH(C47:AF47,{"DM","CS1","CS2","SB1","AE","CS/B"},0)))</f>
        <v/>
      </c>
      <c r="AW47" s="105" t="n"/>
      <c r="AX47" s="105">
        <f>(AS47-AT47)+AU47*1.5+(AV47-AW47)*2+AM47*0.5+AO47*0.5+AQ47-AR47</f>
        <v/>
      </c>
      <c r="AY47" s="105">
        <f>AS47+AU47+AV47</f>
        <v/>
      </c>
      <c r="AZ47" s="105">
        <f>BD47+BF47+BH47+BJ47+BL47</f>
        <v/>
      </c>
      <c r="BA47" s="105">
        <f>AX47+BC47</f>
        <v/>
      </c>
      <c r="BB47" s="105" t="n"/>
      <c r="BC47" s="105">
        <f>BE47+BG47+BI47+BK47+BM47</f>
        <v/>
      </c>
      <c r="BD47" s="105">
        <f>COUNTIF(A47:AH47,"*$BTP*")</f>
        <v/>
      </c>
      <c r="BE47" s="105">
        <f>BD47*1.5</f>
        <v/>
      </c>
      <c r="BF47" s="105">
        <f>COUNTIF(A47:AH47,"*$M*")</f>
        <v/>
      </c>
      <c r="BG47" s="105">
        <f>BF47*1</f>
        <v/>
      </c>
      <c r="BH47" s="105">
        <f>COUNTIF(A47:AH47,"*$PM*")</f>
        <v/>
      </c>
      <c r="BI47" s="105">
        <f>BH47*0.5</f>
        <v/>
      </c>
      <c r="BJ47" s="105">
        <f>COUNTIF(A47:AH47,"*$AM*")</f>
        <v/>
      </c>
      <c r="BK47" s="105">
        <f>BJ47*0.5</f>
        <v/>
      </c>
      <c r="BL47" s="105">
        <f>COUNTIF(A47:AH47,"*$FC*")</f>
        <v/>
      </c>
      <c r="BM47" s="105">
        <f>BL47*1</f>
        <v/>
      </c>
      <c r="BN47" s="105">
        <f>COUNTIF($D47:$Y47,BN$4)</f>
        <v/>
      </c>
      <c r="BO47" s="105">
        <f>COUNTIF($D47:$Y47,BO$4)</f>
        <v/>
      </c>
      <c r="BP47" s="105" t="n"/>
      <c r="BQ47" s="105" t="n"/>
    </row>
    <row r="48" ht="19.5" customHeight="1">
      <c r="A48" s="67" t="n"/>
      <c r="B48" s="76" t="inlineStr">
        <is>
          <t>LCP GOH SONG YEE, ETHAN</t>
        </is>
      </c>
      <c r="C48" s="60" t="inlineStr">
        <is>
          <t>SB1</t>
        </is>
      </c>
      <c r="D48" s="136" t="n"/>
      <c r="E48" s="54" t="inlineStr">
        <is>
          <t>GX $M</t>
        </is>
      </c>
      <c r="F48" s="60" t="inlineStr">
        <is>
          <t>GX OFF</t>
        </is>
      </c>
      <c r="G48" s="60" t="inlineStr">
        <is>
          <t>CS1</t>
        </is>
      </c>
      <c r="H48" s="60" t="n"/>
      <c r="I48" s="60" t="n"/>
      <c r="J48" s="60" t="n"/>
      <c r="K48" s="53" t="n"/>
      <c r="L48" s="53" t="inlineStr">
        <is>
          <t>SB1</t>
        </is>
      </c>
      <c r="M48" s="53" t="n"/>
      <c r="N48" s="60" t="n"/>
      <c r="O48" s="60" t="n"/>
      <c r="P48" s="60" t="n"/>
      <c r="Q48" s="136" t="inlineStr">
        <is>
          <t>DM</t>
        </is>
      </c>
      <c r="R48" s="53" t="n"/>
      <c r="S48" s="60" t="n"/>
      <c r="T48" s="136" t="inlineStr">
        <is>
          <t>CS1</t>
        </is>
      </c>
      <c r="U48" s="60" t="n"/>
      <c r="V48" s="60" t="n"/>
      <c r="W48" s="60" t="n"/>
      <c r="X48" s="60" t="inlineStr">
        <is>
          <t>OFF (WEEKEND FIELDCAMP COVER)</t>
        </is>
      </c>
      <c r="Y48" s="136" t="n"/>
      <c r="Z48" s="60" t="inlineStr">
        <is>
          <t>CS1</t>
        </is>
      </c>
      <c r="AA48" s="53" t="n"/>
      <c r="AB48" s="60" t="inlineStr">
        <is>
          <t>OFF (WEEKEND FIELDCAMP COVER)</t>
        </is>
      </c>
      <c r="AC48" s="60" t="n"/>
      <c r="AD48" s="60" t="n"/>
      <c r="AE48" s="136" t="inlineStr">
        <is>
          <t>FULL 5 DAY IFC COVER OFF</t>
        </is>
      </c>
      <c r="AF48" s="60" t="n"/>
      <c r="AG48" s="136" t="n"/>
      <c r="AH48" s="67">
        <f>COUNTIF($C48:$AF48,AH$4)</f>
        <v/>
      </c>
      <c r="AI48" s="67">
        <f>COUNTIF($C48:$AF48,AI$4)</f>
        <v/>
      </c>
      <c r="AJ48" s="67">
        <f>COUNTIF($C48:$AF48,AJ$4)</f>
        <v/>
      </c>
      <c r="AK48" s="67">
        <f>COUNTIF($C48:$AF48,AK$4)</f>
        <v/>
      </c>
      <c r="AL48" s="67">
        <f>COUNTIF($C48:$AF48,AL$4)</f>
        <v/>
      </c>
      <c r="AM48" s="67">
        <f>COUNTIF($C48:$AF48,AM$4)</f>
        <v/>
      </c>
      <c r="AN48" s="67">
        <f>COUNTIF($C48:$AF48,AN$4)</f>
        <v/>
      </c>
      <c r="AO48" s="67">
        <f>COUNTIF($C48:$AF48,AO$4)</f>
        <v/>
      </c>
      <c r="AP48" s="67">
        <f>COUNTIF($C48:$AF48,AP$4)</f>
        <v/>
      </c>
      <c r="AQ48" s="76" t="n"/>
      <c r="AR48" s="76" t="n"/>
      <c r="AS48" s="77">
        <f>SUMPRODUCT(--(WEEKDAY(C$3:AG$3,2)&lt;5),--ISNUMBER(MATCH(C48:AG48,{"SB1","SB2"},0)))</f>
        <v/>
      </c>
      <c r="AT48" s="67" t="n"/>
      <c r="AU48" s="77">
        <f>SUMPRODUCT(--(WEEKDAY(C$3:AG$3,2)=5),--ISNUMBER(MATCH(C48:AG48,{"SB1","SB2"},0)))</f>
        <v/>
      </c>
      <c r="AV48" s="77">
        <f>SUMPRODUCT(--(WEEKDAY(C$3:AG$3,2)&gt;5),--ISNUMBER(MATCH(C48:AG48,{"SB1","SB2"},0)))</f>
        <v/>
      </c>
      <c r="AW48" s="67" t="n"/>
      <c r="AX48" s="77">
        <f>(AS48-AT48)+AU48*1.5+(AV48-AW48)*2+(AO48+AH48+AI48+AJ48+AK48+AN48)*0.5+AQ48-AR48</f>
        <v/>
      </c>
      <c r="AY48" s="77">
        <f>AS48+AU48+AV48</f>
        <v/>
      </c>
      <c r="AZ48" s="77">
        <f>BD48+BF48+BH48+BJ48+BL48</f>
        <v/>
      </c>
      <c r="BA48" s="76">
        <f>AX48+BC48</f>
        <v/>
      </c>
      <c r="BB48" s="76" t="n"/>
      <c r="BC48" s="77">
        <f>BE48+BG48+BI48+BK48+BM48</f>
        <v/>
      </c>
      <c r="BD48" s="77">
        <f>COUNTIF(A48:AH48,"*$BTP*")</f>
        <v/>
      </c>
      <c r="BE48" s="77">
        <f>BD48*1.5</f>
        <v/>
      </c>
      <c r="BF48" s="77">
        <f>COUNTIF(A48:AH48,"*$M*")</f>
        <v/>
      </c>
      <c r="BG48" s="77">
        <f>BF48*1</f>
        <v/>
      </c>
      <c r="BH48" s="77">
        <f>COUNTIF(A48:AH48,"*$PM*")</f>
        <v/>
      </c>
      <c r="BI48" s="77">
        <f>BH48*0.5</f>
        <v/>
      </c>
      <c r="BJ48" s="77">
        <f>COUNTIF(A48:AH48,"*$AM*")</f>
        <v/>
      </c>
      <c r="BK48" s="77">
        <f>BJ48*0.5</f>
        <v/>
      </c>
      <c r="BL48" s="77">
        <f>COUNTIF(A48:AH48,"*$FC*")</f>
        <v/>
      </c>
      <c r="BM48" s="77">
        <f>BL48*1</f>
        <v/>
      </c>
      <c r="BN48" s="77">
        <f>COUNTIF($E48:$AG48,BN$4)</f>
        <v/>
      </c>
      <c r="BO48" s="77">
        <f>COUNTIF($E48:$AG48,BO$4)</f>
        <v/>
      </c>
      <c r="BP48" s="77">
        <f>COUNTIF($E48:$Y48,BP$4)</f>
        <v/>
      </c>
      <c r="BQ48" s="67" t="n"/>
    </row>
    <row r="49" ht="19.5" customHeight="1">
      <c r="A49" s="67" t="n"/>
      <c r="B49" s="76" t="inlineStr">
        <is>
          <t>LCP KOH KAH SENG</t>
        </is>
      </c>
      <c r="C49" s="60" t="n"/>
      <c r="D49" s="53" t="inlineStr">
        <is>
          <t>SHADOW DM</t>
        </is>
      </c>
      <c r="E49" s="60" t="inlineStr">
        <is>
          <t>SCH 4 $AM GX PHASE 1 (0400-1230)</t>
        </is>
      </c>
      <c r="F49" s="107" t="inlineStr">
        <is>
          <t>SB2</t>
        </is>
      </c>
      <c r="G49" s="60" t="inlineStr">
        <is>
          <t>AE</t>
        </is>
      </c>
      <c r="H49" s="60" t="n"/>
      <c r="I49" s="60" t="n"/>
      <c r="J49" s="60" t="inlineStr">
        <is>
          <t>AM MA + PM OFF (WEEKEND BIC COVER)</t>
        </is>
      </c>
      <c r="K49" s="53" t="n"/>
      <c r="L49" s="53" t="n"/>
      <c r="M49" s="60" t="n"/>
      <c r="N49" s="60" t="inlineStr">
        <is>
          <t>SB1</t>
        </is>
      </c>
      <c r="O49" s="60" t="inlineStr">
        <is>
          <t>SB1</t>
        </is>
      </c>
      <c r="P49" s="60" t="n"/>
      <c r="Q49" s="107" t="n"/>
      <c r="R49" s="136" t="n"/>
      <c r="S49" s="54" t="n"/>
      <c r="T49" s="60" t="inlineStr">
        <is>
          <t>DM</t>
        </is>
      </c>
      <c r="U49" s="114" t="n"/>
      <c r="V49" s="60" t="n"/>
      <c r="W49" s="60" t="n"/>
      <c r="X49" s="60" t="n"/>
      <c r="Y49" s="60" t="n"/>
      <c r="Z49" s="60" t="inlineStr">
        <is>
          <t>SCH 4 PERMSTAFF ATP/CS $BTP</t>
        </is>
      </c>
      <c r="AA49" s="53" t="n"/>
      <c r="AB49" s="60" t="n"/>
      <c r="AC49" s="60" t="n"/>
      <c r="AD49" s="60" t="n"/>
      <c r="AE49" s="60" t="n"/>
      <c r="AF49" s="60" t="inlineStr">
        <is>
          <t>SB1</t>
        </is>
      </c>
      <c r="AG49" s="60" t="n"/>
      <c r="AH49" s="67">
        <f>COUNTIF($C49:$AF49,AH$4)</f>
        <v/>
      </c>
      <c r="AI49" s="67">
        <f>COUNTIF($C49:$AF49,AI$4)</f>
        <v/>
      </c>
      <c r="AJ49" s="67">
        <f>COUNTIF($C49:$AF49,AJ$4)</f>
        <v/>
      </c>
      <c r="AK49" s="67">
        <f>COUNTIF($C49:$AF49,AK$4)</f>
        <v/>
      </c>
      <c r="AL49" s="67">
        <f>COUNTIF($C49:$AF49,AL$4)</f>
        <v/>
      </c>
      <c r="AM49" s="67">
        <f>COUNTIF($C49:$AF49,AM$4)</f>
        <v/>
      </c>
      <c r="AN49" s="67">
        <f>COUNTIF($C49:$AF49,AN$4)</f>
        <v/>
      </c>
      <c r="AO49" s="67">
        <f>COUNTIF($C49:$AF49,AO$4)</f>
        <v/>
      </c>
      <c r="AP49" s="67">
        <f>COUNTIF($C49:$AF49,AP$4)</f>
        <v/>
      </c>
      <c r="AQ49" s="76" t="n"/>
      <c r="AR49" s="76" t="n"/>
      <c r="AS49" s="77">
        <f>SUMPRODUCT(--(WEEKDAY(C$3:AG$3,2)&lt;5),--ISNUMBER(MATCH(C49:AG49,{"SB1","SB2"},0)))</f>
        <v/>
      </c>
      <c r="AT49" s="67" t="n"/>
      <c r="AU49" s="77">
        <f>SUMPRODUCT(--(WEEKDAY(C$3:AG$3,2)=5),--ISNUMBER(MATCH(C49:AG49,{"SB1","SB2"},0)))</f>
        <v/>
      </c>
      <c r="AV49" s="77">
        <f>SUMPRODUCT(--(WEEKDAY(C$3:AG$3,2)&gt;5),--ISNUMBER(MATCH(C49:AG49,{"SB1","SB2"},0)))</f>
        <v/>
      </c>
      <c r="AW49" s="67" t="n"/>
      <c r="AX49" s="77">
        <f>(AS49-AT49)+AU49*1.5+(AV49-AW49)*2+(AO49+AH49+AI49+AJ49+AK49+AN49)*0.5+AQ49-AR49</f>
        <v/>
      </c>
      <c r="AY49" s="77">
        <f>AS49+AU49+AV49</f>
        <v/>
      </c>
      <c r="AZ49" s="77">
        <f>BD49+BF49+BH49+BJ49+BL49</f>
        <v/>
      </c>
      <c r="BA49" s="76">
        <f>AX49+BC49</f>
        <v/>
      </c>
      <c r="BB49" s="76" t="n"/>
      <c r="BC49" s="77">
        <f>BE49+BG49+BI49+BK49+BM49</f>
        <v/>
      </c>
      <c r="BD49" s="77">
        <f>COUNTIF(A49:AH49,"*$BTP*")</f>
        <v/>
      </c>
      <c r="BE49" s="77">
        <f>BD49*1.5</f>
        <v/>
      </c>
      <c r="BF49" s="77">
        <f>COUNTIF(A49:AH49,"*$M*")</f>
        <v/>
      </c>
      <c r="BG49" s="77">
        <f>BF49*1</f>
        <v/>
      </c>
      <c r="BH49" s="77">
        <f>COUNTIF(A49:AH49,"*$PM*")</f>
        <v/>
      </c>
      <c r="BI49" s="77">
        <f>BH49*0.5</f>
        <v/>
      </c>
      <c r="BJ49" s="77">
        <f>COUNTIF(A49:AH49,"*$AM*")</f>
        <v/>
      </c>
      <c r="BK49" s="77">
        <f>BJ49*0.5</f>
        <v/>
      </c>
      <c r="BL49" s="77">
        <f>COUNTIF(A49:AH49,"*$FC*")</f>
        <v/>
      </c>
      <c r="BM49" s="77">
        <f>BL49*1</f>
        <v/>
      </c>
      <c r="BN49" s="77">
        <f>COUNTIF($E49:$AG49,BN$4)</f>
        <v/>
      </c>
      <c r="BO49" s="77">
        <f>COUNTIF($E49:$AG49,BO$4)</f>
        <v/>
      </c>
      <c r="BP49" s="77">
        <f>COUNTIF($D49:$Y49,BP$4)</f>
        <v/>
      </c>
      <c r="BQ49" s="67" t="n"/>
    </row>
    <row r="50" ht="19.5" customHeight="1">
      <c r="A50" s="67" t="n"/>
      <c r="B50" s="76" t="inlineStr">
        <is>
          <t>PTE LUTH HARITH AFIF BIN NORFIFI</t>
        </is>
      </c>
      <c r="C50" s="60" t="n"/>
      <c r="D50" s="60" t="n"/>
      <c r="E50" s="60" t="inlineStr">
        <is>
          <t>SHADOW DM</t>
        </is>
      </c>
      <c r="F50" s="60" t="inlineStr">
        <is>
          <t>SB1</t>
        </is>
      </c>
      <c r="G50" s="136" t="n"/>
      <c r="H50" s="60" t="inlineStr">
        <is>
          <t>SB2</t>
        </is>
      </c>
      <c r="I50" s="60" t="n"/>
      <c r="J50" s="107" t="inlineStr">
        <is>
          <t>AE</t>
        </is>
      </c>
      <c r="K50" s="60" t="n"/>
      <c r="L50" s="60" t="inlineStr">
        <is>
          <t>AM MA</t>
        </is>
      </c>
      <c r="M50" s="60" t="n"/>
      <c r="N50" s="60" t="n"/>
      <c r="O50" s="60" t="n"/>
      <c r="P50" s="60" t="n"/>
      <c r="Q50" s="60" t="n"/>
      <c r="R50" s="60" t="inlineStr">
        <is>
          <t>CS1</t>
        </is>
      </c>
      <c r="S50" s="60" t="n"/>
      <c r="T50" s="54" t="n"/>
      <c r="U50" s="60" t="n"/>
      <c r="V50" s="60" t="n"/>
      <c r="W50" s="60" t="n"/>
      <c r="X50" s="60" t="n"/>
      <c r="Y50" s="60" t="n"/>
      <c r="Z50" s="60" t="n"/>
      <c r="AA50" s="60" t="n"/>
      <c r="AB50" s="60" t="inlineStr">
        <is>
          <t>AM MA</t>
        </is>
      </c>
      <c r="AC50" s="60" t="n"/>
      <c r="AD50" s="60" t="n"/>
      <c r="AE50" s="60" t="inlineStr">
        <is>
          <t>AE</t>
        </is>
      </c>
      <c r="AF50" s="60" t="n"/>
      <c r="AG50" s="60" t="n"/>
      <c r="AH50" s="67">
        <f>COUNTIF($C50:$AF50,AH$4)</f>
        <v/>
      </c>
      <c r="AI50" s="67">
        <f>COUNTIF($C50:$AF50,AI$4)</f>
        <v/>
      </c>
      <c r="AJ50" s="67">
        <f>COUNTIF($C50:$AF50,AJ$4)</f>
        <v/>
      </c>
      <c r="AK50" s="67">
        <f>COUNTIF($C50:$AF50,AK$4)</f>
        <v/>
      </c>
      <c r="AL50" s="67">
        <f>COUNTIF($C50:$AF50,AL$4)</f>
        <v/>
      </c>
      <c r="AM50" s="67">
        <f>COUNTIF($C50:$AF50,AM$4)</f>
        <v/>
      </c>
      <c r="AN50" s="67">
        <f>COUNTIF($C50:$AF50,AN$4)</f>
        <v/>
      </c>
      <c r="AO50" s="67">
        <f>COUNTIF($C50:$AF50,AO$4)</f>
        <v/>
      </c>
      <c r="AP50" s="67">
        <f>COUNTIF($C50:$AF50,AP$4)</f>
        <v/>
      </c>
      <c r="AQ50" s="76" t="n"/>
      <c r="AR50" s="76" t="n"/>
      <c r="AS50" s="77">
        <f>SUMPRODUCT(--(WEEKDAY(C$3:AG$3,2)&lt;5),--ISNUMBER(MATCH(C50:AG50,{"SB1","SB2"},0)))</f>
        <v/>
      </c>
      <c r="AT50" s="67" t="n"/>
      <c r="AU50" s="77">
        <f>SUMPRODUCT(--(WEEKDAY(C$3:AG$3,2)=5),--ISNUMBER(MATCH(C50:AG50,{"SB1","SB2"},0)))</f>
        <v/>
      </c>
      <c r="AV50" s="77">
        <f>SUMPRODUCT(--(WEEKDAY(C$3:AG$3,2)&gt;5),--ISNUMBER(MATCH(C50:AG50,{"SB1","SB2"},0)))</f>
        <v/>
      </c>
      <c r="AW50" s="67" t="n"/>
      <c r="AX50" s="77">
        <f>(AS50-AT50)+AU50*1.5+(AV50-AW50)*2+(AO50+AH50+AI50+AJ50+AK50+AN50)*0.5+AQ50-AR50</f>
        <v/>
      </c>
      <c r="AY50" s="77">
        <f>AS50+AU50+AV50</f>
        <v/>
      </c>
      <c r="AZ50" s="77">
        <f>BD50+BF50+BH50+BJ50+BL50</f>
        <v/>
      </c>
      <c r="BA50" s="76">
        <f>AX50+BC50</f>
        <v/>
      </c>
      <c r="BB50" s="76" t="n"/>
      <c r="BC50" s="77">
        <f>BE50+BG50+BI50+BK50+BM50</f>
        <v/>
      </c>
      <c r="BD50" s="77">
        <f>COUNTIF(A50:AH50,"*$BTP*")</f>
        <v/>
      </c>
      <c r="BE50" s="77">
        <f>BD50*1.5</f>
        <v/>
      </c>
      <c r="BF50" s="77">
        <f>COUNTIF(A50:AH50,"*$M*")</f>
        <v/>
      </c>
      <c r="BG50" s="77">
        <f>BF50*1</f>
        <v/>
      </c>
      <c r="BH50" s="77">
        <f>COUNTIF(A50:AH50,"*$PM*")</f>
        <v/>
      </c>
      <c r="BI50" s="77">
        <f>BH50*0.5</f>
        <v/>
      </c>
      <c r="BJ50" s="77">
        <f>COUNTIF(A50:AH50,"*$AM*")</f>
        <v/>
      </c>
      <c r="BK50" s="77">
        <f>BJ50*0.5</f>
        <v/>
      </c>
      <c r="BL50" s="77">
        <f>COUNTIF(A50:AH50,"*$FC*")</f>
        <v/>
      </c>
      <c r="BM50" s="77">
        <f>BL50*1</f>
        <v/>
      </c>
      <c r="BN50" s="77">
        <f>COUNTIF($E50:$AG50,BN$4)</f>
        <v/>
      </c>
      <c r="BO50" s="77">
        <f>COUNTIF($E50:$AG50,BO$4)</f>
        <v/>
      </c>
      <c r="BP50" s="77">
        <f>COUNTIF($D50:$Y50,BP$4)</f>
        <v/>
      </c>
      <c r="BQ50" s="67" t="n"/>
    </row>
    <row r="51" ht="19.5" customHeight="1">
      <c r="A51" s="67" t="n"/>
      <c r="B51" s="76" t="inlineStr">
        <is>
          <t>PTE MATTHEW WILLIAM TAN</t>
        </is>
      </c>
      <c r="C51" s="60" t="n"/>
      <c r="D51" s="60" t="n"/>
      <c r="E51" s="54" t="inlineStr">
        <is>
          <t>GX $M</t>
        </is>
      </c>
      <c r="F51" s="60" t="inlineStr">
        <is>
          <t>GX OFF</t>
        </is>
      </c>
      <c r="G51" s="60" t="inlineStr">
        <is>
          <t>PM DA</t>
        </is>
      </c>
      <c r="H51" s="60" t="n"/>
      <c r="I51" s="60" t="n"/>
      <c r="J51" s="107" t="inlineStr">
        <is>
          <t>SHADOW CS</t>
        </is>
      </c>
      <c r="K51" s="60" t="inlineStr">
        <is>
          <t>A $PM SOC (1530-2000)</t>
        </is>
      </c>
      <c r="L51" s="60" t="inlineStr">
        <is>
          <t>PM DA</t>
        </is>
      </c>
      <c r="M51" s="60" t="n"/>
      <c r="N51" s="60" t="inlineStr">
        <is>
          <t>CS1</t>
        </is>
      </c>
      <c r="O51" s="60" t="n"/>
      <c r="P51" s="60" t="n"/>
      <c r="Q51" s="60" t="n"/>
      <c r="R51" s="60" t="n"/>
      <c r="S51" s="60" t="inlineStr">
        <is>
          <t>CS1</t>
        </is>
      </c>
      <c r="T51" s="60" t="n"/>
      <c r="U51" s="60" t="inlineStr">
        <is>
          <t>STOCKTAKE OFF</t>
        </is>
      </c>
      <c r="V51" s="107" t="inlineStr">
        <is>
          <t>OL</t>
        </is>
      </c>
      <c r="W51" s="107" t="inlineStr">
        <is>
          <t>OL</t>
        </is>
      </c>
      <c r="X51" s="107" t="inlineStr">
        <is>
          <t>OL</t>
        </is>
      </c>
      <c r="Y51" s="107" t="inlineStr">
        <is>
          <t>OL</t>
        </is>
      </c>
      <c r="Z51" s="107" t="inlineStr">
        <is>
          <t>OL</t>
        </is>
      </c>
      <c r="AA51" s="107" t="inlineStr">
        <is>
          <t>OL</t>
        </is>
      </c>
      <c r="AB51" s="107" t="inlineStr">
        <is>
          <t>OL</t>
        </is>
      </c>
      <c r="AC51" s="107" t="inlineStr">
        <is>
          <t>OL</t>
        </is>
      </c>
      <c r="AD51" s="107" t="inlineStr">
        <is>
          <t>OL</t>
        </is>
      </c>
      <c r="AE51" s="60" t="inlineStr">
        <is>
          <t>CS1</t>
        </is>
      </c>
      <c r="AF51" s="60" t="inlineStr">
        <is>
          <t>CS1</t>
        </is>
      </c>
      <c r="AG51" s="60" t="n"/>
      <c r="AH51" s="67">
        <f>COUNTIF($C51:$AF51,AH$4)</f>
        <v/>
      </c>
      <c r="AI51" s="67">
        <f>COUNTIF($C51:$AF51,AI$4)</f>
        <v/>
      </c>
      <c r="AJ51" s="67">
        <f>COUNTIF($C51:$AF51,AJ$4)</f>
        <v/>
      </c>
      <c r="AK51" s="67">
        <f>COUNTIF($C51:$AF51,AK$4)</f>
        <v/>
      </c>
      <c r="AL51" s="67">
        <f>COUNTIF($C51:$AF51,AL$4)</f>
        <v/>
      </c>
      <c r="AM51" s="67">
        <f>COUNTIF($C51:$AF51,AM$4)</f>
        <v/>
      </c>
      <c r="AN51" s="67">
        <f>COUNTIF($C51:$AF51,AN$4)</f>
        <v/>
      </c>
      <c r="AO51" s="67">
        <f>COUNTIF($C51:$AF51,AO$4)</f>
        <v/>
      </c>
      <c r="AP51" s="67">
        <f>COUNTIF($C51:$AF51,AP$4)</f>
        <v/>
      </c>
      <c r="AQ51" s="76" t="n">
        <v>0.5</v>
      </c>
      <c r="AR51" s="76" t="n"/>
      <c r="AS51" s="77">
        <f>SUMPRODUCT(--(WEEKDAY(C$3:AG$3,2)&lt;5),--ISNUMBER(MATCH(C51:AG51,{"SB1","SB2"},0)))</f>
        <v/>
      </c>
      <c r="AT51" s="67" t="n"/>
      <c r="AU51" s="77">
        <f>SUMPRODUCT(--(WEEKDAY(C$3:AG$3,2)=5),--ISNUMBER(MATCH(C51:AG51,{"SB1","SB2"},0)))</f>
        <v/>
      </c>
      <c r="AV51" s="77">
        <f>SUMPRODUCT(--(WEEKDAY(C$3:AG$3,2)&gt;5),--ISNUMBER(MATCH(C51:AG51,{"SB1","SB2"},0)))</f>
        <v/>
      </c>
      <c r="AW51" s="67" t="n"/>
      <c r="AX51" s="77">
        <f>(AS51-AT51)+AU51*1.5+(AV51-AW51)*2+(AO51+AH51+AI51+AJ51+AK51+AN51)*0.5+AQ51-AR51</f>
        <v/>
      </c>
      <c r="AY51" s="77">
        <f>AS51+AU51+AV51</f>
        <v/>
      </c>
      <c r="AZ51" s="77">
        <f>BD51+BF51+BH51+BJ51+BL51</f>
        <v/>
      </c>
      <c r="BA51" s="76">
        <f>AX51+BC51</f>
        <v/>
      </c>
      <c r="BB51" s="76" t="n"/>
      <c r="BC51" s="77">
        <f>BE51+BG51+BI51+BK51+BM51</f>
        <v/>
      </c>
      <c r="BD51" s="77">
        <f>COUNTIF(A51:AH51,"*$BTP*")</f>
        <v/>
      </c>
      <c r="BE51" s="77">
        <f>BD51*1.5</f>
        <v/>
      </c>
      <c r="BF51" s="77">
        <f>COUNTIF(A51:AH51,"*$M*")</f>
        <v/>
      </c>
      <c r="BG51" s="77">
        <f>BF51*1</f>
        <v/>
      </c>
      <c r="BH51" s="77">
        <f>COUNTIF(A51:AH51,"*$PM*")</f>
        <v/>
      </c>
      <c r="BI51" s="77">
        <f>BH51*0.5</f>
        <v/>
      </c>
      <c r="BJ51" s="77">
        <f>COUNTIF(A51:AH51,"*$AM*")</f>
        <v/>
      </c>
      <c r="BK51" s="77">
        <f>BJ51*0.5</f>
        <v/>
      </c>
      <c r="BL51" s="77">
        <f>COUNTIF(A51:AH51,"*$FC*")</f>
        <v/>
      </c>
      <c r="BM51" s="77">
        <f>BL51*1</f>
        <v/>
      </c>
      <c r="BN51" s="77">
        <f>COUNTIF($E51:$AG51,BN$4)</f>
        <v/>
      </c>
      <c r="BO51" s="77">
        <f>COUNTIF($E51:$AG51,BO$4)</f>
        <v/>
      </c>
      <c r="BP51" s="77">
        <f>COUNTIF($D51:$Y51,BP$4)</f>
        <v/>
      </c>
      <c r="BQ51" s="67" t="n"/>
    </row>
    <row r="52" ht="19.5" customHeight="1">
      <c r="A52" s="67" t="n"/>
      <c r="B52" s="67" t="inlineStr">
        <is>
          <t>3SG THOTA DEV ADITYA</t>
        </is>
      </c>
      <c r="C52" s="139" t="inlineStr">
        <is>
          <t>EX LANCER</t>
        </is>
      </c>
      <c r="D52" s="139" t="inlineStr">
        <is>
          <t>EX LANCER</t>
        </is>
      </c>
      <c r="E52" s="139" t="inlineStr">
        <is>
          <t>EX LANCER</t>
        </is>
      </c>
      <c r="F52" s="139" t="inlineStr">
        <is>
          <t>EX LANCER</t>
        </is>
      </c>
      <c r="G52" s="139" t="inlineStr">
        <is>
          <t>EX LANCER</t>
        </is>
      </c>
      <c r="H52" s="139" t="inlineStr">
        <is>
          <t>EX LANCER</t>
        </is>
      </c>
      <c r="I52" s="139" t="inlineStr">
        <is>
          <t>EX LANCER</t>
        </is>
      </c>
      <c r="J52" s="139" t="inlineStr">
        <is>
          <t>EX LANCER</t>
        </is>
      </c>
      <c r="K52" s="139" t="inlineStr">
        <is>
          <t>EX LANCER</t>
        </is>
      </c>
      <c r="L52" s="139" t="inlineStr">
        <is>
          <t>EX LANCER</t>
        </is>
      </c>
      <c r="M52" s="139" t="inlineStr">
        <is>
          <t>EX LANCER</t>
        </is>
      </c>
      <c r="N52" s="139" t="inlineStr">
        <is>
          <t>EX LANCER</t>
        </is>
      </c>
      <c r="O52" s="139" t="inlineStr">
        <is>
          <t>EX LANCER</t>
        </is>
      </c>
      <c r="P52" s="139" t="inlineStr">
        <is>
          <t>EX LANCER</t>
        </is>
      </c>
      <c r="Q52" s="139" t="inlineStr">
        <is>
          <t>EX LANCER</t>
        </is>
      </c>
      <c r="R52" s="139" t="inlineStr">
        <is>
          <t>EX LANCER</t>
        </is>
      </c>
      <c r="S52" s="139" t="inlineStr">
        <is>
          <t>EX LANCER</t>
        </is>
      </c>
      <c r="T52" s="54" t="n"/>
      <c r="U52" s="110" t="inlineStr">
        <is>
          <t>DM</t>
        </is>
      </c>
      <c r="V52" s="60" t="inlineStr">
        <is>
          <t>SB (EXTRA)</t>
        </is>
      </c>
      <c r="W52" s="60" t="n"/>
      <c r="X52" s="108" t="inlineStr">
        <is>
          <t>AE</t>
        </is>
      </c>
      <c r="Y52" s="108" t="inlineStr">
        <is>
          <t>AE</t>
        </is>
      </c>
      <c r="Z52" s="54" t="inlineStr">
        <is>
          <t>DM</t>
        </is>
      </c>
      <c r="AA52" s="60" t="inlineStr">
        <is>
          <t>RESERVE</t>
        </is>
      </c>
      <c r="AB52" s="136" t="inlineStr">
        <is>
          <t>AE</t>
        </is>
      </c>
      <c r="AC52" s="60" t="n"/>
      <c r="AD52" s="60" t="n"/>
      <c r="AE52" s="108" t="n"/>
      <c r="AF52" s="54" t="inlineStr">
        <is>
          <t>AE</t>
        </is>
      </c>
      <c r="AG52" s="108" t="n"/>
      <c r="AH52" s="67">
        <f>COUNTIF($C52:$AF52,AH$4)</f>
        <v/>
      </c>
      <c r="AI52" s="67">
        <f>COUNTIF($C52:$AF52,AI$4)</f>
        <v/>
      </c>
      <c r="AJ52" s="67">
        <f>COUNTIF($C52:$AF52,AJ$4)</f>
        <v/>
      </c>
      <c r="AK52" s="67">
        <f>COUNTIF($C52:$AF52,AK$4)</f>
        <v/>
      </c>
      <c r="AL52" s="67">
        <f>COUNTIF($C52:$AF52,AL$4)</f>
        <v/>
      </c>
      <c r="AM52" s="67">
        <f>COUNTIF($C52:$AF52,AM$4)</f>
        <v/>
      </c>
      <c r="AN52" s="67">
        <f>COUNTIF($C52:$AF52,AN$4)</f>
        <v/>
      </c>
      <c r="AO52" s="67">
        <f>COUNTIF($C52:$AF52,AO$4)</f>
        <v/>
      </c>
      <c r="AP52" s="67">
        <f>COUNTIF($C52:$AF52,AP$4)</f>
        <v/>
      </c>
      <c r="AQ52" s="76" t="n">
        <v>2.5</v>
      </c>
      <c r="AR52" s="76" t="n"/>
      <c r="AS52" s="77">
        <f>SUMPRODUCT(--(WEEKDAY(C$3:AG$3,2)&lt;5),--ISNUMBER(MATCH(C52:AG52,{"SB1","SB2"},0)))</f>
        <v/>
      </c>
      <c r="AT52" s="67" t="n"/>
      <c r="AU52" s="77">
        <f>SUMPRODUCT(--(WEEKDAY(C$3:AG$3,2)=5),--ISNUMBER(MATCH(C52:AG52,{"SB1","SB2"},0)))</f>
        <v/>
      </c>
      <c r="AV52" s="77">
        <f>SUMPRODUCT(--(WEEKDAY(C$3:AG$3,2)&gt;5),--ISNUMBER(MATCH(C52:AG52,{"SB1","SB2"},0)))</f>
        <v/>
      </c>
      <c r="AW52" s="67" t="n"/>
      <c r="AX52" s="77">
        <f>(AS52-AT52)+AU52*1.5+(AV52-AW52)*2+(AO52+AH52+AI52+AJ52+AK52+AN52)*0.5+AQ52-AR52</f>
        <v/>
      </c>
      <c r="AY52" s="77">
        <f>AS52+AU52+AV52</f>
        <v/>
      </c>
      <c r="AZ52" s="77">
        <f>BD52+BF52+BH52+BJ52+BL52</f>
        <v/>
      </c>
      <c r="BA52" s="76">
        <f>AX52+BC52</f>
        <v/>
      </c>
      <c r="BB52" s="76" t="n"/>
      <c r="BC52" s="77">
        <f>BE52+BG52+BI52+BK52+BM52</f>
        <v/>
      </c>
      <c r="BD52" s="77">
        <f>COUNTIF(A52:AH52,"*$BTP*")</f>
        <v/>
      </c>
      <c r="BE52" s="77">
        <f>BD52*1.5</f>
        <v/>
      </c>
      <c r="BF52" s="77">
        <f>COUNTIF(A52:AH52,"*$M*")</f>
        <v/>
      </c>
      <c r="BG52" s="77">
        <f>BF52*1</f>
        <v/>
      </c>
      <c r="BH52" s="77">
        <f>COUNTIF(A52:AH52,"*$PM*")</f>
        <v/>
      </c>
      <c r="BI52" s="77">
        <f>BH52*0.5</f>
        <v/>
      </c>
      <c r="BJ52" s="77">
        <f>COUNTIF(A52:AH52,"*$AM*")</f>
        <v/>
      </c>
      <c r="BK52" s="77">
        <f>BJ52*0.5</f>
        <v/>
      </c>
      <c r="BL52" s="77">
        <f>COUNTIF(A52:AH52,"*$FC*")</f>
        <v/>
      </c>
      <c r="BM52" s="77">
        <f>BL52*1</f>
        <v/>
      </c>
      <c r="BN52" s="77">
        <f>COUNTIF($E52:$AG52,BN$4)</f>
        <v/>
      </c>
      <c r="BO52" s="77">
        <f>COUNTIF($E52:$AG52,BO$4)</f>
        <v/>
      </c>
      <c r="BP52" s="77">
        <f>COUNTIF($D52:$Y52,BP$4)</f>
        <v/>
      </c>
      <c r="BQ52" s="67" t="n"/>
    </row>
    <row r="53" ht="19.5" customHeight="1">
      <c r="A53" s="107" t="n"/>
      <c r="B53" s="107" t="inlineStr">
        <is>
          <t>CFC MUHAMMAD AMSYAR SUFI BIN SUNARDI</t>
        </is>
      </c>
      <c r="C53" s="54" t="n"/>
      <c r="D53" s="136" t="inlineStr">
        <is>
          <t>DM</t>
        </is>
      </c>
      <c r="E53" s="54" t="inlineStr">
        <is>
          <t>GX $M</t>
        </is>
      </c>
      <c r="F53" s="60" t="inlineStr">
        <is>
          <t>GX OFF</t>
        </is>
      </c>
      <c r="G53" s="107" t="inlineStr">
        <is>
          <t>DM</t>
        </is>
      </c>
      <c r="H53" s="107" t="n"/>
      <c r="I53" s="107" t="n"/>
      <c r="J53" s="107" t="n"/>
      <c r="K53" s="136" t="n"/>
      <c r="L53" s="54" t="inlineStr">
        <is>
          <t>AE</t>
        </is>
      </c>
      <c r="M53" s="107" t="inlineStr">
        <is>
          <t>CS1</t>
        </is>
      </c>
      <c r="N53" s="107" t="n"/>
      <c r="O53" s="107" t="n"/>
      <c r="P53" s="60" t="n"/>
      <c r="Q53" s="107" t="n"/>
      <c r="R53" s="54" t="n"/>
      <c r="S53" s="54" t="n"/>
      <c r="T53" s="54" t="n"/>
      <c r="U53" s="110" t="inlineStr">
        <is>
          <t>AE</t>
        </is>
      </c>
      <c r="V53" s="107" t="n"/>
      <c r="W53" s="110" t="n"/>
      <c r="X53" s="107" t="n"/>
      <c r="Y53" s="54" t="inlineStr">
        <is>
          <t>CS1</t>
        </is>
      </c>
      <c r="Z53" s="54" t="n"/>
      <c r="AA53" s="107" t="inlineStr">
        <is>
          <t>AE</t>
        </is>
      </c>
      <c r="AB53" s="107" t="inlineStr">
        <is>
          <t>VESAK DAY OIL</t>
        </is>
      </c>
      <c r="AC53" s="60" t="n"/>
      <c r="AD53" s="107" t="n"/>
      <c r="AE53" s="107" t="n"/>
      <c r="AF53" s="54" t="inlineStr">
        <is>
          <t>DM</t>
        </is>
      </c>
      <c r="AG53" s="54" t="n"/>
      <c r="AH53" s="67">
        <f>COUNTIF($C53:$AF53,AH$4)</f>
        <v/>
      </c>
      <c r="AI53" s="67">
        <f>COUNTIF($C53:$AF53,AI$4)</f>
        <v/>
      </c>
      <c r="AJ53" s="67">
        <f>COUNTIF($C53:$AF53,AJ$4)</f>
        <v/>
      </c>
      <c r="AK53" s="67">
        <f>COUNTIF($C53:$AF53,AK$4)</f>
        <v/>
      </c>
      <c r="AL53" s="67">
        <f>COUNTIF($C53:$AF53,AL$4)</f>
        <v/>
      </c>
      <c r="AM53" s="67">
        <f>COUNTIF($C53:$AF53,AM$4)</f>
        <v/>
      </c>
      <c r="AN53" s="67">
        <f>COUNTIF($C53:$AF53,AN$4)</f>
        <v/>
      </c>
      <c r="AO53" s="67">
        <f>COUNTIF($C53:$AF53,AO$4)</f>
        <v/>
      </c>
      <c r="AP53" s="67">
        <f>COUNTIF($C53:$AF53,AP$4)</f>
        <v/>
      </c>
      <c r="AQ53" s="76" t="n"/>
      <c r="AR53" s="76" t="n"/>
      <c r="AS53" s="77">
        <f>SUMPRODUCT(--(WEEKDAY(C$3:AG$3,2)&lt;5),--ISNUMBER(MATCH(C53:AG53,{"SB1","SB2"},0)))</f>
        <v/>
      </c>
      <c r="AT53" s="67" t="n"/>
      <c r="AU53" s="77">
        <f>SUMPRODUCT(--(WEEKDAY(C$3:AG$3,2)=5),--ISNUMBER(MATCH(C53:AG53,{"SB1","SB2"},0)))</f>
        <v/>
      </c>
      <c r="AV53" s="77">
        <f>SUMPRODUCT(--(WEEKDAY(C$3:AG$3,2)&gt;5),--ISNUMBER(MATCH(C53:AG53,{"SB1","SB2"},0)))</f>
        <v/>
      </c>
      <c r="AW53" s="67" t="n"/>
      <c r="AX53" s="77">
        <f>(AS53-AT53)+AU53*1.5+(AV53-AW53)*2+(AO53+AH53+AI53+AJ53+AK53+AN53)*0.5+AQ53-AR53</f>
        <v/>
      </c>
      <c r="AY53" s="77">
        <f>AS53+AU53+AV53</f>
        <v/>
      </c>
      <c r="AZ53" s="77">
        <f>BD53+BF53+BH53+BJ53+BL53</f>
        <v/>
      </c>
      <c r="BA53" s="76">
        <f>AX53+BC53</f>
        <v/>
      </c>
      <c r="BB53" s="76" t="n"/>
      <c r="BC53" s="77">
        <f>BE53+BG53+BI53+BK53+BM53</f>
        <v/>
      </c>
      <c r="BD53" s="77">
        <f>COUNTIF(A53:AH53,"*$BTP*")</f>
        <v/>
      </c>
      <c r="BE53" s="77">
        <f>BD53*1.5</f>
        <v/>
      </c>
      <c r="BF53" s="77">
        <f>COUNTIF(A53:AH53,"*$M*")</f>
        <v/>
      </c>
      <c r="BG53" s="77">
        <f>BF53*1</f>
        <v/>
      </c>
      <c r="BH53" s="77">
        <f>COUNTIF(A53:AH53,"*$PM*")</f>
        <v/>
      </c>
      <c r="BI53" s="77">
        <f>BH53*0.5</f>
        <v/>
      </c>
      <c r="BJ53" s="77">
        <f>COUNTIF(A53:AH53,"*$AM*")</f>
        <v/>
      </c>
      <c r="BK53" s="77">
        <f>BJ53*0.5</f>
        <v/>
      </c>
      <c r="BL53" s="77">
        <f>COUNTIF(A53:AH53,"*$FC*")</f>
        <v/>
      </c>
      <c r="BM53" s="77">
        <f>BL53*1</f>
        <v/>
      </c>
      <c r="BN53" s="77">
        <f>COUNTIF($E53:$AG53,BN$4)</f>
        <v/>
      </c>
      <c r="BO53" s="77">
        <f>COUNTIF($E53:$AG53,BO$4)</f>
        <v/>
      </c>
      <c r="BP53" s="77">
        <f>COUNTIF($E53:$Y53,BP$4)</f>
        <v/>
      </c>
      <c r="BQ53" s="107" t="n"/>
    </row>
    <row r="54" ht="19.5" customHeight="1">
      <c r="A54" s="107" t="n"/>
      <c r="B54" s="107" t="inlineStr">
        <is>
          <t>CFC BRENDON TOH YI CHEN</t>
        </is>
      </c>
      <c r="C54" s="54" t="n"/>
      <c r="D54" s="54" t="inlineStr">
        <is>
          <t>AE</t>
        </is>
      </c>
      <c r="E54" s="54" t="n"/>
      <c r="F54" s="60" t="inlineStr">
        <is>
          <t>CS1</t>
        </is>
      </c>
      <c r="G54" s="140" t="inlineStr">
        <is>
          <t>GP RECCE</t>
        </is>
      </c>
      <c r="H54" s="54" t="inlineStr">
        <is>
          <t>GP $M</t>
        </is>
      </c>
      <c r="I54" s="60" t="n"/>
      <c r="J54" s="60" t="n"/>
      <c r="K54" s="54" t="inlineStr">
        <is>
          <t>SB1</t>
        </is>
      </c>
      <c r="L54" s="54" t="n"/>
      <c r="M54" s="107" t="n"/>
      <c r="N54" s="107" t="inlineStr">
        <is>
          <t>AE</t>
        </is>
      </c>
      <c r="O54" s="60" t="n"/>
      <c r="P54" s="107" t="n"/>
      <c r="Q54" s="107" t="inlineStr">
        <is>
          <t>CS1</t>
        </is>
      </c>
      <c r="R54" s="54" t="inlineStr">
        <is>
          <t>DM</t>
        </is>
      </c>
      <c r="S54" s="54" t="n"/>
      <c r="T54" s="54" t="n"/>
      <c r="U54" s="54" t="n"/>
      <c r="V54" s="54" t="n"/>
      <c r="W54" s="54" t="inlineStr">
        <is>
          <t>SB1</t>
        </is>
      </c>
      <c r="X54" s="54" t="n"/>
      <c r="Y54" s="54" t="n"/>
      <c r="Z54" s="136" t="n"/>
      <c r="AA54" s="54" t="n"/>
      <c r="AB54" s="60" t="inlineStr">
        <is>
          <t>DM</t>
        </is>
      </c>
      <c r="AC54" s="54" t="n"/>
      <c r="AD54" s="54" t="n"/>
      <c r="AF54" s="54" t="n"/>
      <c r="AG54" s="54" t="n"/>
      <c r="AH54" s="67">
        <f>COUNTIF($C54:$AF54,AH$4)</f>
        <v/>
      </c>
      <c r="AI54" s="67">
        <f>COUNTIF($C54:$AF54,AI$4)</f>
        <v/>
      </c>
      <c r="AJ54" s="67">
        <f>COUNTIF($C54:$AF54,AJ$4)</f>
        <v/>
      </c>
      <c r="AK54" s="67">
        <f>COUNTIF($C54:$AF54,AK$4)</f>
        <v/>
      </c>
      <c r="AL54" s="67">
        <f>COUNTIF($C54:$AF54,AL$4)</f>
        <v/>
      </c>
      <c r="AM54" s="67">
        <f>COUNTIF($C54:$AF54,AM$4)</f>
        <v/>
      </c>
      <c r="AN54" s="67">
        <f>COUNTIF($C54:$AF54,AN$4)</f>
        <v/>
      </c>
      <c r="AO54" s="67">
        <f>COUNTIF($C54:$AF54,AO$4)</f>
        <v/>
      </c>
      <c r="AP54" s="67">
        <f>COUNTIF($C54:$AF54,AP$4)</f>
        <v/>
      </c>
      <c r="AQ54" s="76" t="n"/>
      <c r="AR54" s="76" t="n"/>
      <c r="AS54" s="77">
        <f>SUMPRODUCT(--(WEEKDAY(C$3:AG$3,2)&lt;5),--ISNUMBER(MATCH(C54:AG54,{"SB1","SB2"},0)))</f>
        <v/>
      </c>
      <c r="AT54" s="67" t="n"/>
      <c r="AU54" s="77">
        <f>SUMPRODUCT(--(WEEKDAY(C$3:AG$3,2)=5),--ISNUMBER(MATCH(C54:AG54,{"SB1","SB2"},0)))</f>
        <v/>
      </c>
      <c r="AV54" s="77">
        <f>SUMPRODUCT(--(WEEKDAY(C$3:AG$3,2)&gt;5),--ISNUMBER(MATCH(C54:AG54,{"SB1","SB2"},0)))</f>
        <v/>
      </c>
      <c r="AW54" s="67" t="n"/>
      <c r="AX54" s="77">
        <f>(AS54-AT54)+AU54*1.5+(AV54-AW54)*2+(AO54+AH54+AI54+AJ54+AK54+AN54)*0.5+AQ54-AR54</f>
        <v/>
      </c>
      <c r="AY54" s="77">
        <f>AS54+AU54+AV54</f>
        <v/>
      </c>
      <c r="AZ54" s="77">
        <f>BD54+BF54+BH54+BJ54+BL54</f>
        <v/>
      </c>
      <c r="BA54" s="76">
        <f>AX54+BC54</f>
        <v/>
      </c>
      <c r="BB54" s="76" t="n"/>
      <c r="BC54" s="77">
        <f>BE54+BG54+BI54+BK54+BM54</f>
        <v/>
      </c>
      <c r="BD54" s="77">
        <f>COUNTIF(A54:AH54,"*$BTP*")</f>
        <v/>
      </c>
      <c r="BE54" s="77">
        <f>BD54*1.5</f>
        <v/>
      </c>
      <c r="BF54" s="77">
        <f>COUNTIF(A54:AH54,"*$M*")</f>
        <v/>
      </c>
      <c r="BG54" s="77">
        <f>BF54*1</f>
        <v/>
      </c>
      <c r="BH54" s="77">
        <f>COUNTIF(A54:AH54,"*$PM*")</f>
        <v/>
      </c>
      <c r="BI54" s="77">
        <f>BH54*0.5</f>
        <v/>
      </c>
      <c r="BJ54" s="77">
        <f>COUNTIF(A54:AH54,"*$AM*")</f>
        <v/>
      </c>
      <c r="BK54" s="77">
        <f>BJ54*0.5</f>
        <v/>
      </c>
      <c r="BL54" s="77">
        <f>COUNTIF(A54:AH54,"*$FC*")</f>
        <v/>
      </c>
      <c r="BM54" s="77">
        <f>BL54*1</f>
        <v/>
      </c>
      <c r="BN54" s="77">
        <f>COUNTIF($E54:$AG54,BN$4)</f>
        <v/>
      </c>
      <c r="BO54" s="77">
        <f>COUNTIF($E54:$AG54,BO$4)</f>
        <v/>
      </c>
      <c r="BP54" s="77">
        <f>COUNTIF($D54:$Y54,BP$4)</f>
        <v/>
      </c>
      <c r="BQ54" s="107" t="n"/>
    </row>
    <row r="55" ht="19.5" customHeight="1">
      <c r="A55" s="107" t="n"/>
      <c r="B55" s="107" t="inlineStr">
        <is>
          <t>CFC AINSLEY YAP SHENG JIE</t>
        </is>
      </c>
      <c r="C55" s="54" t="n"/>
      <c r="D55" s="136" t="inlineStr">
        <is>
          <t>CS1</t>
        </is>
      </c>
      <c r="E55" s="54" t="inlineStr">
        <is>
          <t>GX $M</t>
        </is>
      </c>
      <c r="F55" s="60" t="inlineStr">
        <is>
          <t>GX OFF</t>
        </is>
      </c>
      <c r="G55" s="107" t="inlineStr">
        <is>
          <t>AM MA</t>
        </is>
      </c>
      <c r="H55" s="54" t="n"/>
      <c r="I55" s="107" t="n"/>
      <c r="J55" s="107" t="n"/>
      <c r="K55" s="54" t="inlineStr">
        <is>
          <t>CS1</t>
        </is>
      </c>
      <c r="L55" s="54" t="n"/>
      <c r="M55" s="107" t="inlineStr">
        <is>
          <t>AE</t>
        </is>
      </c>
      <c r="N55" s="107" t="n"/>
      <c r="O55" s="107" t="n"/>
      <c r="P55" s="107" t="n"/>
      <c r="Q55" s="107" t="n"/>
      <c r="R55" s="60" t="inlineStr">
        <is>
          <t>SB2</t>
        </is>
      </c>
      <c r="S55" s="54" t="n"/>
      <c r="T55" s="54" t="inlineStr">
        <is>
          <t>SB2</t>
        </is>
      </c>
      <c r="U55" s="110" t="n"/>
      <c r="V55" s="110" t="n"/>
      <c r="W55" s="136" t="n"/>
      <c r="X55" s="107" t="n"/>
      <c r="Y55" s="107" t="n"/>
      <c r="Z55" s="107" t="n"/>
      <c r="AA55" s="107" t="inlineStr">
        <is>
          <t>CS1</t>
        </is>
      </c>
      <c r="AB55" s="107" t="inlineStr">
        <is>
          <t>AM DA</t>
        </is>
      </c>
      <c r="AC55" s="107" t="inlineStr">
        <is>
          <t>SB1</t>
        </is>
      </c>
      <c r="AD55" s="107" t="n"/>
      <c r="AE55" s="107" t="inlineStr">
        <is>
          <t>AMPT FIRST TIME PASS OFF</t>
        </is>
      </c>
      <c r="AF55" s="107" t="inlineStr">
        <is>
          <t>AMPT FIRST TIME PASS OFF</t>
        </is>
      </c>
      <c r="AG55" s="60" t="n"/>
      <c r="AH55" s="67">
        <f>COUNTIF($C55:$AF55,AH$4)</f>
        <v/>
      </c>
      <c r="AI55" s="67">
        <f>COUNTIF($C55:$AF55,AI$4)</f>
        <v/>
      </c>
      <c r="AJ55" s="67">
        <f>COUNTIF($C55:$AF55,AJ$4)</f>
        <v/>
      </c>
      <c r="AK55" s="67">
        <f>COUNTIF($C55:$AF55,AK$4)</f>
        <v/>
      </c>
      <c r="AL55" s="67">
        <f>COUNTIF($C55:$AF55,AL$4)</f>
        <v/>
      </c>
      <c r="AM55" s="67">
        <f>COUNTIF($C55:$AF55,AM$4)</f>
        <v/>
      </c>
      <c r="AN55" s="67">
        <f>COUNTIF($C55:$AF55,AN$4)</f>
        <v/>
      </c>
      <c r="AO55" s="67">
        <f>COUNTIF($C55:$AF55,AO$4)</f>
        <v/>
      </c>
      <c r="AP55" s="67">
        <f>COUNTIF($C55:$AF55,AP$4)</f>
        <v/>
      </c>
      <c r="AQ55" s="76" t="n"/>
      <c r="AR55" s="76" t="n"/>
      <c r="AS55" s="77">
        <f>SUMPRODUCT(--(WEEKDAY(C$3:AG$3,2)&lt;5),--ISNUMBER(MATCH(C55:AG55,{"SB1","SB2"},0)))</f>
        <v/>
      </c>
      <c r="AT55" s="67" t="n"/>
      <c r="AU55" s="77">
        <f>SUMPRODUCT(--(WEEKDAY(C$3:AG$3,2)=5),--ISNUMBER(MATCH(C55:AG55,{"SB1","SB2"},0)))</f>
        <v/>
      </c>
      <c r="AV55" s="77">
        <f>SUMPRODUCT(--(WEEKDAY(C$3:AG$3,2)&gt;5),--ISNUMBER(MATCH(C55:AG55,{"SB1","SB2"},0)))</f>
        <v/>
      </c>
      <c r="AW55" s="67" t="n"/>
      <c r="AX55" s="77">
        <f>(AS55-AT55)+AU55*1.5+(AV55-AW55)*2+(AO55+AH55+AI55+AJ55+AK55+AN55)*0.5+AQ55-AR55</f>
        <v/>
      </c>
      <c r="AY55" s="77">
        <f>AS55+AU55+AV55</f>
        <v/>
      </c>
      <c r="AZ55" s="77">
        <f>BD55+BF55+BH55+BJ55+BL55</f>
        <v/>
      </c>
      <c r="BA55" s="76">
        <f>AX55+BC55</f>
        <v/>
      </c>
      <c r="BB55" s="76" t="n"/>
      <c r="BC55" s="77">
        <f>BE55+BG55+BI55+BK55+BM55</f>
        <v/>
      </c>
      <c r="BD55" s="77">
        <f>COUNTIF(A55:AH55,"*$BTP*")</f>
        <v/>
      </c>
      <c r="BE55" s="77">
        <f>BD55*1.5</f>
        <v/>
      </c>
      <c r="BF55" s="77">
        <f>COUNTIF(A55:AH55,"*$M*")</f>
        <v/>
      </c>
      <c r="BG55" s="77">
        <f>BF55*1</f>
        <v/>
      </c>
      <c r="BH55" s="77">
        <f>COUNTIF(A55:AH55,"*$PM*")</f>
        <v/>
      </c>
      <c r="BI55" s="77">
        <f>BH55*0.5</f>
        <v/>
      </c>
      <c r="BJ55" s="77">
        <f>COUNTIF(A55:AH55,"*$AM*")</f>
        <v/>
      </c>
      <c r="BK55" s="77">
        <f>BJ55*0.5</f>
        <v/>
      </c>
      <c r="BL55" s="77">
        <f>COUNTIF(A55:AH55,"*$FC*")</f>
        <v/>
      </c>
      <c r="BM55" s="77">
        <f>BL55*1</f>
        <v/>
      </c>
      <c r="BN55" s="77">
        <f>COUNTIF($E55:$AG55,BN$4)</f>
        <v/>
      </c>
      <c r="BO55" s="77">
        <f>COUNTIF($E55:$AG55,BO$4)</f>
        <v/>
      </c>
      <c r="BP55" s="77">
        <f>COUNTIF($E55:$Y55,BP$4)</f>
        <v/>
      </c>
      <c r="BQ55" s="107" t="n"/>
    </row>
    <row r="56" ht="19.5" customHeight="1">
      <c r="A56" s="107" t="n"/>
      <c r="B56" s="107" t="inlineStr">
        <is>
          <t>CFC KOH KAI JIE, ETHAN</t>
        </is>
      </c>
      <c r="C56" s="54" t="n"/>
      <c r="D56" s="54" t="n"/>
      <c r="E56" s="54" t="inlineStr">
        <is>
          <t>DM</t>
        </is>
      </c>
      <c r="F56" s="106" t="n"/>
      <c r="G56" s="140" t="inlineStr">
        <is>
          <t>GP RECCE</t>
        </is>
      </c>
      <c r="H56" s="54" t="inlineStr">
        <is>
          <t>GP $M</t>
        </is>
      </c>
      <c r="I56" s="60" t="n"/>
      <c r="J56" s="107" t="inlineStr">
        <is>
          <t>SB1</t>
        </is>
      </c>
      <c r="K56" s="54" t="inlineStr">
        <is>
          <t>RESERVE</t>
        </is>
      </c>
      <c r="L56" s="136" t="n"/>
      <c r="M56" s="107" t="inlineStr">
        <is>
          <t>GP OFF</t>
        </is>
      </c>
      <c r="N56" s="107" t="inlineStr">
        <is>
          <t>DM</t>
        </is>
      </c>
      <c r="O56" s="107" t="n"/>
      <c r="P56" s="107" t="n"/>
      <c r="Q56" s="60" t="n"/>
      <c r="R56" s="54" t="n"/>
      <c r="S56" s="54" t="n"/>
      <c r="T56" s="53" t="inlineStr">
        <is>
          <t>PHLEBO @ NSC</t>
        </is>
      </c>
      <c r="U56" s="53" t="inlineStr">
        <is>
          <t>OL</t>
        </is>
      </c>
      <c r="V56" s="53" t="inlineStr">
        <is>
          <t>OL</t>
        </is>
      </c>
      <c r="W56" s="53" t="inlineStr">
        <is>
          <t>OL</t>
        </is>
      </c>
      <c r="X56" s="53" t="inlineStr">
        <is>
          <t>OL</t>
        </is>
      </c>
      <c r="Y56" s="53" t="inlineStr">
        <is>
          <t>OL</t>
        </is>
      </c>
      <c r="Z56" s="53" t="inlineStr">
        <is>
          <t>OL</t>
        </is>
      </c>
      <c r="AA56" s="53" t="inlineStr">
        <is>
          <t>1B MOBILEMET AM OFF</t>
        </is>
      </c>
      <c r="AB56" s="136" t="inlineStr">
        <is>
          <t>1B MOBILEMET AM OFF</t>
        </is>
      </c>
      <c r="AC56" s="107" t="n"/>
      <c r="AD56" s="107" t="n"/>
      <c r="AE56" s="60" t="inlineStr">
        <is>
          <t xml:space="preserve">5TH $PM ER (1630-1820) </t>
        </is>
      </c>
      <c r="AF56" s="54" t="inlineStr">
        <is>
          <t>POST MARCH GX BOOK IN</t>
        </is>
      </c>
      <c r="AG56" s="53" t="n"/>
      <c r="AH56" s="67">
        <f>COUNTIF($C56:$AF56,AH$4)</f>
        <v/>
      </c>
      <c r="AI56" s="67">
        <f>COUNTIF($C56:$AF56,AI$4)</f>
        <v/>
      </c>
      <c r="AJ56" s="67">
        <f>COUNTIF($C56:$AF56,AJ$4)</f>
        <v/>
      </c>
      <c r="AK56" s="67">
        <f>COUNTIF($C56:$AF56,AK$4)</f>
        <v/>
      </c>
      <c r="AL56" s="67">
        <f>COUNTIF($C56:$AF56,AL$4)</f>
        <v/>
      </c>
      <c r="AM56" s="67">
        <f>COUNTIF($C56:$AF56,AM$4)</f>
        <v/>
      </c>
      <c r="AN56" s="67">
        <f>COUNTIF($C56:$AF56,AN$4)</f>
        <v/>
      </c>
      <c r="AO56" s="67">
        <f>COUNTIF($C56:$AF56,AO$4)</f>
        <v/>
      </c>
      <c r="AP56" s="67">
        <f>COUNTIF($C56:$AF56,AP$4)</f>
        <v/>
      </c>
      <c r="AQ56" s="76" t="n"/>
      <c r="AR56" s="76" t="n"/>
      <c r="AS56" s="77">
        <f>SUMPRODUCT(--(WEEKDAY(C$3:AG$3,2)&lt;5),--ISNUMBER(MATCH(C56:AG56,{"SB1","SB2"},0)))</f>
        <v/>
      </c>
      <c r="AT56" s="67" t="n"/>
      <c r="AU56" s="77">
        <f>SUMPRODUCT(--(WEEKDAY(C$3:AG$3,2)=5),--ISNUMBER(MATCH(C56:AG56,{"SB1","SB2"},0)))</f>
        <v/>
      </c>
      <c r="AV56" s="77">
        <f>SUMPRODUCT(--(WEEKDAY(C$3:AG$3,2)&gt;5),--ISNUMBER(MATCH(C56:AG56,{"SB1","SB2"},0)))</f>
        <v/>
      </c>
      <c r="AW56" s="67" t="n"/>
      <c r="AX56" s="77">
        <f>(AS56-AT56)+AU56*1.5+(AV56-AW56)*2+(AO56+AH56+AI56+AJ56+AK56+AN56)*0.5+AQ56-AR56</f>
        <v/>
      </c>
      <c r="AY56" s="77">
        <f>AS56+AU56+AV56</f>
        <v/>
      </c>
      <c r="AZ56" s="77">
        <f>BD56+BF56+BH56+BJ56+BL56</f>
        <v/>
      </c>
      <c r="BA56" s="76">
        <f>AX56+BC56</f>
        <v/>
      </c>
      <c r="BB56" s="76" t="n"/>
      <c r="BC56" s="77">
        <f>BE56+BG56+BI56+BK56+BM56</f>
        <v/>
      </c>
      <c r="BD56" s="77">
        <f>COUNTIF(A56:AH56,"*$BTP*")</f>
        <v/>
      </c>
      <c r="BE56" s="77">
        <f>BD56*1.5</f>
        <v/>
      </c>
      <c r="BF56" s="77">
        <f>COUNTIF(A56:AH56,"*$M*")</f>
        <v/>
      </c>
      <c r="BG56" s="77">
        <f>BF56*1</f>
        <v/>
      </c>
      <c r="BH56" s="77">
        <f>COUNTIF(A56:AH56,"*$PM*")</f>
        <v/>
      </c>
      <c r="BI56" s="77">
        <f>BH56*0.5</f>
        <v/>
      </c>
      <c r="BJ56" s="77">
        <f>COUNTIF(A56:AH56,"*$AM*")</f>
        <v/>
      </c>
      <c r="BK56" s="77">
        <f>BJ56*0.5</f>
        <v/>
      </c>
      <c r="BL56" s="77">
        <f>COUNTIF(A56:AH56,"*$FC*")</f>
        <v/>
      </c>
      <c r="BM56" s="77">
        <f>BL56*1</f>
        <v/>
      </c>
      <c r="BN56" s="77">
        <f>COUNTIF($E56:$AG56,BN$4)</f>
        <v/>
      </c>
      <c r="BO56" s="77">
        <f>COUNTIF($E56:$AG56,BO$4)</f>
        <v/>
      </c>
      <c r="BP56" s="77">
        <f>COUNTIF($D56:$Y56,BP$4)</f>
        <v/>
      </c>
      <c r="BQ56" s="107" t="n"/>
    </row>
    <row r="57" ht="19.5" customHeight="1">
      <c r="A57" s="107" t="n"/>
      <c r="B57" s="107" t="inlineStr">
        <is>
          <t>LCP LIM CHU FENG</t>
        </is>
      </c>
      <c r="C57" s="54" t="n"/>
      <c r="D57" s="54" t="inlineStr">
        <is>
          <t>HARI RAYA OIL</t>
        </is>
      </c>
      <c r="E57" s="54" t="inlineStr">
        <is>
          <t>OL</t>
        </is>
      </c>
      <c r="F57" s="54" t="inlineStr">
        <is>
          <t>OL</t>
        </is>
      </c>
      <c r="G57" s="54" t="inlineStr">
        <is>
          <t>OL</t>
        </is>
      </c>
      <c r="H57" s="107" t="n"/>
      <c r="I57" s="107" t="inlineStr">
        <is>
          <t>SB1</t>
        </is>
      </c>
      <c r="J57" s="107" t="n"/>
      <c r="K57" s="54" t="inlineStr">
        <is>
          <t>DM</t>
        </is>
      </c>
      <c r="L57" s="54" t="inlineStr">
        <is>
          <t>DM</t>
        </is>
      </c>
      <c r="M57" s="107" t="n"/>
      <c r="N57" s="107" t="n"/>
      <c r="O57" s="107" t="n"/>
      <c r="P57" s="107" t="n"/>
      <c r="Q57" s="107" t="n"/>
      <c r="R57" s="54" t="n"/>
      <c r="S57" s="54" t="inlineStr">
        <is>
          <t>DM</t>
        </is>
      </c>
      <c r="T57" s="60" t="inlineStr">
        <is>
          <t>5TH $AM ER (0720-0930)</t>
        </is>
      </c>
      <c r="U57" s="110" t="n"/>
      <c r="V57" s="107" t="n"/>
      <c r="W57" s="110" t="n"/>
      <c r="X57" s="107" t="n"/>
      <c r="Y57" s="60" t="inlineStr">
        <is>
          <t>RESERVE</t>
        </is>
      </c>
      <c r="Z57" s="54" t="n"/>
      <c r="AA57" s="107" t="inlineStr">
        <is>
          <t>DM</t>
        </is>
      </c>
      <c r="AB57" s="107" t="n"/>
      <c r="AC57" s="107" t="n"/>
      <c r="AD57" s="107" t="n"/>
      <c r="AE57" s="60" t="n"/>
      <c r="AF57" s="54" t="inlineStr">
        <is>
          <t xml:space="preserve">GOOD PERFORMANCE OFF (CSFFI) </t>
        </is>
      </c>
      <c r="AG57" s="54" t="n"/>
      <c r="AH57" s="67">
        <f>COUNTIF($C57:$AF57,AH$4)</f>
        <v/>
      </c>
      <c r="AI57" s="67">
        <f>COUNTIF($C57:$AF57,AI$4)</f>
        <v/>
      </c>
      <c r="AJ57" s="67">
        <f>COUNTIF($C57:$AF57,AJ$4)</f>
        <v/>
      </c>
      <c r="AK57" s="67">
        <f>COUNTIF($C57:$AF57,AK$4)</f>
        <v/>
      </c>
      <c r="AL57" s="67">
        <f>COUNTIF($C57:$AF57,AL$4)</f>
        <v/>
      </c>
      <c r="AM57" s="67">
        <f>COUNTIF($C57:$AF57,AM$4)</f>
        <v/>
      </c>
      <c r="AN57" s="67">
        <f>COUNTIF($C57:$AF57,AN$4)</f>
        <v/>
      </c>
      <c r="AO57" s="67">
        <f>COUNTIF($C57:$AF57,AO$4)</f>
        <v/>
      </c>
      <c r="AP57" s="67">
        <f>COUNTIF($C57:$AF57,AP$4)</f>
        <v/>
      </c>
      <c r="AQ57" s="76" t="n"/>
      <c r="AR57" s="76" t="n"/>
      <c r="AS57" s="77">
        <f>SUMPRODUCT(--(WEEKDAY(C$3:AG$3,2)&lt;5),--ISNUMBER(MATCH(C57:AG57,{"SB1","SB2"},0)))</f>
        <v/>
      </c>
      <c r="AT57" s="67" t="n"/>
      <c r="AU57" s="77">
        <f>SUMPRODUCT(--(WEEKDAY(C$3:AG$3,2)=5),--ISNUMBER(MATCH(C57:AG57,{"SB1","SB2"},0)))</f>
        <v/>
      </c>
      <c r="AV57" s="77">
        <f>SUMPRODUCT(--(WEEKDAY(C$3:AG$3,2)&gt;5),--ISNUMBER(MATCH(C57:AG57,{"SB1","SB2"},0)))</f>
        <v/>
      </c>
      <c r="AW57" s="67" t="n"/>
      <c r="AX57" s="77">
        <f>(AS57-AT57)+AU57*1.5+(AV57-AW57)*2+(AO57+AH57+AI57+AJ57+AK57+AN57)*0.5+AQ57-AR57</f>
        <v/>
      </c>
      <c r="AY57" s="77">
        <f>AS57+AU57+AV57</f>
        <v/>
      </c>
      <c r="AZ57" s="77">
        <f>BD57+BF57+BH57+BJ57+BL57</f>
        <v/>
      </c>
      <c r="BA57" s="76">
        <f>AX57+BC57</f>
        <v/>
      </c>
      <c r="BB57" s="76" t="n"/>
      <c r="BC57" s="77">
        <f>BE57+BG57+BI57+BK57+BM57</f>
        <v/>
      </c>
      <c r="BD57" s="77">
        <f>COUNTIF(A57:AH57,"*$BTP*")</f>
        <v/>
      </c>
      <c r="BE57" s="77">
        <f>BD57*1.5</f>
        <v/>
      </c>
      <c r="BF57" s="77">
        <f>COUNTIF(A57:AH57,"*$M*")</f>
        <v/>
      </c>
      <c r="BG57" s="77">
        <f>BF57*1</f>
        <v/>
      </c>
      <c r="BH57" s="77">
        <f>COUNTIF(A57:AH57,"*$PM*")</f>
        <v/>
      </c>
      <c r="BI57" s="77">
        <f>BH57*0.5</f>
        <v/>
      </c>
      <c r="BJ57" s="77">
        <f>COUNTIF(A57:AH57,"*$AM*")</f>
        <v/>
      </c>
      <c r="BK57" s="77">
        <f>BJ57*0.5</f>
        <v/>
      </c>
      <c r="BL57" s="77">
        <f>COUNTIF(A57:AH57,"*$FC*")</f>
        <v/>
      </c>
      <c r="BM57" s="77">
        <f>BL57*1</f>
        <v/>
      </c>
      <c r="BN57" s="77">
        <f>COUNTIF($E57:$AG57,BN$4)</f>
        <v/>
      </c>
      <c r="BO57" s="77">
        <f>COUNTIF($E57:$AG57,BO$4)</f>
        <v/>
      </c>
      <c r="BP57" s="77">
        <f>COUNTIF($D57:$X57,BP$4)</f>
        <v/>
      </c>
      <c r="BQ57" s="107" t="n"/>
    </row>
    <row r="58" ht="19.5" customHeight="1">
      <c r="A58" s="107" t="n"/>
      <c r="B58" s="107" t="inlineStr">
        <is>
          <t>CPL TAN TZE JUE JULIAN</t>
        </is>
      </c>
      <c r="C58" s="54" t="n"/>
      <c r="D58" s="54" t="n"/>
      <c r="E58" s="54" t="n"/>
      <c r="F58" s="107" t="inlineStr">
        <is>
          <t>AE</t>
        </is>
      </c>
      <c r="G58" s="140" t="inlineStr">
        <is>
          <t>GP RECCE</t>
        </is>
      </c>
      <c r="H58" s="54" t="inlineStr">
        <is>
          <t>GP $M</t>
        </is>
      </c>
      <c r="I58" s="107" t="n"/>
      <c r="J58" s="107" t="inlineStr">
        <is>
          <t>CS1</t>
        </is>
      </c>
      <c r="K58" s="54" t="n"/>
      <c r="L58" s="60" t="n"/>
      <c r="M58" s="136" t="n"/>
      <c r="N58" s="107" t="n"/>
      <c r="O58" s="107" t="n"/>
      <c r="P58" s="53" t="n"/>
      <c r="Q58" s="107" t="inlineStr">
        <is>
          <t>SB1</t>
        </is>
      </c>
      <c r="R58" s="54" t="n"/>
      <c r="S58" s="53" t="n"/>
      <c r="T58" s="54" t="inlineStr">
        <is>
          <t>RESERVE</t>
        </is>
      </c>
      <c r="U58" s="136" t="n"/>
      <c r="V58" s="60" t="n"/>
      <c r="W58" s="110" t="n"/>
      <c r="X58" s="107" t="n"/>
      <c r="Y58" s="54" t="inlineStr">
        <is>
          <t>SB1</t>
        </is>
      </c>
      <c r="Z58" s="54" t="n"/>
      <c r="AA58" s="107" t="n"/>
      <c r="AB58" s="107" t="inlineStr">
        <is>
          <t>CS1</t>
        </is>
      </c>
      <c r="AC58" s="107" t="n"/>
      <c r="AD58" s="107" t="inlineStr">
        <is>
          <t>SB2</t>
        </is>
      </c>
      <c r="AE58" s="107" t="inlineStr">
        <is>
          <t>DM</t>
        </is>
      </c>
      <c r="AF58" s="107" t="n"/>
      <c r="AG58" s="107" t="n"/>
      <c r="AH58" s="67">
        <f>COUNTIF($C58:$AF58,AH$4)</f>
        <v/>
      </c>
      <c r="AI58" s="67">
        <f>COUNTIF($C58:$AF58,AI$4)</f>
        <v/>
      </c>
      <c r="AJ58" s="67">
        <f>COUNTIF($C58:$AF58,AJ$4)</f>
        <v/>
      </c>
      <c r="AK58" s="67">
        <f>COUNTIF($C58:$AF58,AK$4)</f>
        <v/>
      </c>
      <c r="AL58" s="67">
        <f>COUNTIF($C58:$AF58,AL$4)</f>
        <v/>
      </c>
      <c r="AM58" s="67">
        <f>COUNTIF($C58:$AF58,AM$4)</f>
        <v/>
      </c>
      <c r="AN58" s="67">
        <f>COUNTIF($C58:$AF58,AN$4)</f>
        <v/>
      </c>
      <c r="AO58" s="67">
        <f>COUNTIF($C58:$AF58,AO$4)</f>
        <v/>
      </c>
      <c r="AP58" s="67">
        <f>COUNTIF($C58:$AF58,AP$4)</f>
        <v/>
      </c>
      <c r="AQ58" s="76" t="n"/>
      <c r="AR58" s="76" t="n"/>
      <c r="AS58" s="77">
        <f>SUMPRODUCT(--(WEEKDAY(C$3:AG$3,2)&lt;5),--ISNUMBER(MATCH(C58:AG58,{"SB1","SB2"},0)))</f>
        <v/>
      </c>
      <c r="AT58" s="67" t="n"/>
      <c r="AU58" s="77">
        <f>SUMPRODUCT(--(WEEKDAY(C$3:AG$3,2)=5),--ISNUMBER(MATCH(C58:AG58,{"SB1","SB2"},0)))</f>
        <v/>
      </c>
      <c r="AV58" s="77">
        <f>SUMPRODUCT(--(WEEKDAY(C$3:AG$3,2)&gt;5),--ISNUMBER(MATCH(C58:AG58,{"SB1","SB2"},0)))</f>
        <v/>
      </c>
      <c r="AW58" s="67" t="n"/>
      <c r="AX58" s="77">
        <f>(AS58-AT58)+AU58*1.5+(AV58-AW58)*2+(AO58+AH58+AI58+AJ58+AK58+AN58)*0.5+AQ58-AR58</f>
        <v/>
      </c>
      <c r="AY58" s="77">
        <f>AS58+AU58+AV58</f>
        <v/>
      </c>
      <c r="AZ58" s="77">
        <f>BD58+BF58+BH58+BJ58+BL58</f>
        <v/>
      </c>
      <c r="BA58" s="76">
        <f>AX58+BC58</f>
        <v/>
      </c>
      <c r="BB58" s="76" t="n"/>
      <c r="BC58" s="77">
        <f>BE58+BG58+BI58+BK58+BM58</f>
        <v/>
      </c>
      <c r="BD58" s="77">
        <f>COUNTIF(A58:AH58,"*$BTP*")</f>
        <v/>
      </c>
      <c r="BE58" s="77">
        <f>BD58*1.5</f>
        <v/>
      </c>
      <c r="BF58" s="77">
        <f>COUNTIF(A58:AH58,"*$M*")</f>
        <v/>
      </c>
      <c r="BG58" s="77">
        <f>BF58*1</f>
        <v/>
      </c>
      <c r="BH58" s="77">
        <f>COUNTIF(A58:AH58,"*$PM*")</f>
        <v/>
      </c>
      <c r="BI58" s="77">
        <f>BH58*0.5</f>
        <v/>
      </c>
      <c r="BJ58" s="77">
        <f>COUNTIF(A58:AH58,"*$AM*")</f>
        <v/>
      </c>
      <c r="BK58" s="77">
        <f>BJ58*0.5</f>
        <v/>
      </c>
      <c r="BL58" s="77">
        <f>COUNTIF(A58:AH58,"*$FC*")</f>
        <v/>
      </c>
      <c r="BM58" s="77">
        <f>BL58*1</f>
        <v/>
      </c>
      <c r="BN58" s="77">
        <f>COUNTIF($E58:$AG58,BN$4)</f>
        <v/>
      </c>
      <c r="BO58" s="77">
        <f>COUNTIF($E58:$AG58,BO$4)</f>
        <v/>
      </c>
      <c r="BP58" s="77">
        <f>COUNTIF($D58:$Y58,BP$4)</f>
        <v/>
      </c>
      <c r="BQ58" s="107" t="n"/>
    </row>
    <row r="59" ht="19.5" customHeight="1">
      <c r="A59" s="107" t="n"/>
      <c r="B59" s="107" t="inlineStr">
        <is>
          <t>3SG HO JI XUAN ISAAC</t>
        </is>
      </c>
      <c r="C59" s="54" t="n"/>
      <c r="D59" s="53" t="inlineStr">
        <is>
          <t>SHADOW DM</t>
        </is>
      </c>
      <c r="E59" s="54" t="inlineStr">
        <is>
          <t>CS1</t>
        </is>
      </c>
      <c r="F59" s="107" t="n"/>
      <c r="G59" s="140" t="inlineStr">
        <is>
          <t>GP RECCE</t>
        </is>
      </c>
      <c r="H59" s="54" t="inlineStr">
        <is>
          <t>GP $M</t>
        </is>
      </c>
      <c r="I59" s="107" t="n"/>
      <c r="J59" s="107" t="n"/>
      <c r="K59" s="54" t="n"/>
      <c r="L59" s="54" t="n"/>
      <c r="M59" s="107" t="inlineStr">
        <is>
          <t>DM</t>
        </is>
      </c>
      <c r="N59" s="107" t="n"/>
      <c r="O59" s="107" t="n"/>
      <c r="P59" s="107" t="n"/>
      <c r="Q59" s="107" t="inlineStr">
        <is>
          <t>AE</t>
        </is>
      </c>
      <c r="R59" s="54" t="n"/>
      <c r="S59" s="60" t="n"/>
      <c r="T59" s="54" t="n"/>
      <c r="U59" s="136" t="n"/>
      <c r="V59" s="107" t="n"/>
      <c r="W59" s="107" t="n"/>
      <c r="X59" s="107" t="inlineStr">
        <is>
          <t>DM</t>
        </is>
      </c>
      <c r="Y59" s="60" t="inlineStr">
        <is>
          <t>1ST $AM IPPT (0730-0920)</t>
        </is>
      </c>
      <c r="Z59" s="54" t="n"/>
      <c r="AA59" s="110" t="inlineStr">
        <is>
          <t>SB2</t>
        </is>
      </c>
      <c r="AB59" s="107" t="n"/>
      <c r="AC59" s="107" t="n"/>
      <c r="AD59" s="107" t="n"/>
      <c r="AE59" s="107" t="inlineStr">
        <is>
          <t>GOOD PERFORMANCE OFF (SAS STOCKTAKE)</t>
        </is>
      </c>
      <c r="AF59" s="54" t="inlineStr">
        <is>
          <t>GP OFF (JUNE)</t>
        </is>
      </c>
      <c r="AG59" s="54" t="n"/>
      <c r="AH59" s="67">
        <f>COUNTIF($C59:$AF59,AH$4)</f>
        <v/>
      </c>
      <c r="AI59" s="67">
        <f>COUNTIF($C59:$AF59,AI$4)</f>
        <v/>
      </c>
      <c r="AJ59" s="67">
        <f>COUNTIF($C59:$AF59,AJ$4)</f>
        <v/>
      </c>
      <c r="AK59" s="67">
        <f>COUNTIF($C59:$AF59,AK$4)</f>
        <v/>
      </c>
      <c r="AL59" s="67">
        <f>COUNTIF($C59:$AF59,AL$4)</f>
        <v/>
      </c>
      <c r="AM59" s="67">
        <f>COUNTIF($C59:$AF59,AM$4)</f>
        <v/>
      </c>
      <c r="AN59" s="67">
        <f>COUNTIF($C59:$AF59,AN$4)</f>
        <v/>
      </c>
      <c r="AO59" s="67">
        <f>COUNTIF($C59:$AF59,AO$4)</f>
        <v/>
      </c>
      <c r="AP59" s="67">
        <f>COUNTIF($C59:$AF59,AP$4)</f>
        <v/>
      </c>
      <c r="AQ59" s="76" t="n"/>
      <c r="AR59" s="76" t="n">
        <v>1.5</v>
      </c>
      <c r="AS59" s="77">
        <f>SUMPRODUCT(--(WEEKDAY(C$3:AG$3,2)&lt;5),--ISNUMBER(MATCH(C59:AG59,{"SB1","SB2"},0)))</f>
        <v/>
      </c>
      <c r="AT59" s="67" t="n"/>
      <c r="AU59" s="77">
        <f>SUMPRODUCT(--(WEEKDAY(C$3:AG$3,2)=5),--ISNUMBER(MATCH(C59:AG59,{"SB1","SB2"},0)))</f>
        <v/>
      </c>
      <c r="AV59" s="77">
        <f>SUMPRODUCT(--(WEEKDAY(C$3:AG$3,2)&gt;5),--ISNUMBER(MATCH(C59:AG59,{"SB1","SB2"},0)))</f>
        <v/>
      </c>
      <c r="AW59" s="67" t="n"/>
      <c r="AX59" s="77">
        <f>(AS59-AT59)+AU59*1.5+(AV59-AW59)*2+(AO59+AH59+AI59+AJ59+AK59+AN59)*0.5+AQ59-AR59</f>
        <v/>
      </c>
      <c r="AY59" s="77">
        <f>AS59+AU59+AV59</f>
        <v/>
      </c>
      <c r="AZ59" s="77">
        <f>BD59+BF59+BH59+BJ59+BL59</f>
        <v/>
      </c>
      <c r="BA59" s="76">
        <f>AX59+BC59</f>
        <v/>
      </c>
      <c r="BB59" s="76" t="n"/>
      <c r="BC59" s="77">
        <f>BE59+BG59+BI59+BK59+BM59</f>
        <v/>
      </c>
      <c r="BD59" s="77">
        <f>COUNTIF(A59:AH59,"*$BTP*")</f>
        <v/>
      </c>
      <c r="BE59" s="77">
        <f>BD59*1.5</f>
        <v/>
      </c>
      <c r="BF59" s="77">
        <f>COUNTIF(A59:AH59,"*$M*")</f>
        <v/>
      </c>
      <c r="BG59" s="77">
        <f>BF59*1</f>
        <v/>
      </c>
      <c r="BH59" s="77">
        <f>COUNTIF(A59:AH59,"*$PM*")</f>
        <v/>
      </c>
      <c r="BI59" s="77">
        <f>BH59*0.5</f>
        <v/>
      </c>
      <c r="BJ59" s="77">
        <f>COUNTIF(A59:AH59,"*$AM*")</f>
        <v/>
      </c>
      <c r="BK59" s="77">
        <f>BJ59*0.5</f>
        <v/>
      </c>
      <c r="BL59" s="77">
        <f>COUNTIF(A59:AH59,"*$FC*")</f>
        <v/>
      </c>
      <c r="BM59" s="77">
        <f>BL59*1</f>
        <v/>
      </c>
      <c r="BN59" s="77">
        <f>COUNTIF($E59:$AG59,BN$4)</f>
        <v/>
      </c>
      <c r="BO59" s="77">
        <f>COUNTIF($E59:$AG59,BO$4)</f>
        <v/>
      </c>
      <c r="BP59" s="77">
        <f>COUNTIF($D59:$Y59,BP$4)</f>
        <v/>
      </c>
      <c r="BQ59" s="107" t="n"/>
    </row>
    <row r="60" ht="19.5" customHeight="1">
      <c r="A60" s="107" t="n"/>
      <c r="B60" s="107" t="inlineStr">
        <is>
          <t>CPL JOVAN CHUA RUI CHENG</t>
        </is>
      </c>
      <c r="C60" s="54" t="n"/>
      <c r="D60" s="53" t="inlineStr">
        <is>
          <t>SHADOW DM</t>
        </is>
      </c>
      <c r="E60" s="54" t="inlineStr">
        <is>
          <t>AE</t>
        </is>
      </c>
      <c r="F60" s="106" t="n"/>
      <c r="G60" s="140" t="inlineStr">
        <is>
          <t>GP RECCE</t>
        </is>
      </c>
      <c r="H60" s="54" t="inlineStr">
        <is>
          <t>GP $M</t>
        </is>
      </c>
      <c r="I60" s="107" t="n"/>
      <c r="J60" s="107" t="n"/>
      <c r="K60" s="60" t="n"/>
      <c r="L60" s="54" t="n"/>
      <c r="M60" s="60" t="inlineStr">
        <is>
          <t>SB2</t>
        </is>
      </c>
      <c r="N60" s="107" t="n"/>
      <c r="O60" s="60" t="n"/>
      <c r="P60" s="107" t="n"/>
      <c r="Q60" s="107" t="n"/>
      <c r="R60" s="54" t="n"/>
      <c r="S60" s="54" t="inlineStr">
        <is>
          <t>AE</t>
        </is>
      </c>
      <c r="T60" s="60" t="n"/>
      <c r="U60" s="60" t="inlineStr">
        <is>
          <t>CS1</t>
        </is>
      </c>
      <c r="V60" s="107" t="n"/>
      <c r="W60" s="110" t="n"/>
      <c r="X60" s="107" t="n"/>
      <c r="Y60" s="54" t="inlineStr">
        <is>
          <t>OFF - GOOD PERFORMANCE FOR CS FFI BY DR SAKTHI</t>
        </is>
      </c>
      <c r="Z60" s="54" t="inlineStr">
        <is>
          <t>OL</t>
        </is>
      </c>
      <c r="AA60" s="54" t="inlineStr">
        <is>
          <t>OL</t>
        </is>
      </c>
      <c r="AB60" s="54" t="inlineStr">
        <is>
          <t>OL</t>
        </is>
      </c>
      <c r="AC60" s="54" t="inlineStr">
        <is>
          <t>OL</t>
        </is>
      </c>
      <c r="AD60" s="54" t="inlineStr">
        <is>
          <t>OL</t>
        </is>
      </c>
      <c r="AE60" s="107" t="inlineStr">
        <is>
          <t>OFF - GP MARCH 2026</t>
        </is>
      </c>
      <c r="AF60" s="136" t="inlineStr">
        <is>
          <t>GP OFF (JUNE)</t>
        </is>
      </c>
      <c r="AG60" s="54" t="n"/>
      <c r="AH60" s="67">
        <f>COUNTIF($C60:$AF60,AH$4)</f>
        <v/>
      </c>
      <c r="AI60" s="67">
        <f>COUNTIF($C60:$AF60,AI$4)</f>
        <v/>
      </c>
      <c r="AJ60" s="67">
        <f>COUNTIF($C60:$AF60,AJ$4)</f>
        <v/>
      </c>
      <c r="AK60" s="67">
        <f>COUNTIF($C60:$AF60,AK$4)</f>
        <v/>
      </c>
      <c r="AL60" s="67">
        <f>COUNTIF($C60:$AF60,AL$4)</f>
        <v/>
      </c>
      <c r="AM60" s="67">
        <f>COUNTIF($C60:$AF60,AM$4)</f>
        <v/>
      </c>
      <c r="AN60" s="67">
        <f>COUNTIF($C60:$AF60,AN$4)</f>
        <v/>
      </c>
      <c r="AO60" s="67">
        <f>COUNTIF($C60:$AF60,AO$4)</f>
        <v/>
      </c>
      <c r="AP60" s="67">
        <f>COUNTIF($C60:$AF60,AP$4)</f>
        <v/>
      </c>
      <c r="AQ60" s="76" t="n"/>
      <c r="AR60" s="76" t="n">
        <v>1</v>
      </c>
      <c r="AS60" s="77">
        <f>SUMPRODUCT(--(WEEKDAY(C$3:AG$3,2)&lt;5),--ISNUMBER(MATCH(C60:AG60,{"SB1","SB2"},0)))</f>
        <v/>
      </c>
      <c r="AT60" s="67" t="n"/>
      <c r="AU60" s="77">
        <f>SUMPRODUCT(--(WEEKDAY(C$3:AG$3,2)=5),--ISNUMBER(MATCH(C60:AG60,{"SB1","SB2"},0)))</f>
        <v/>
      </c>
      <c r="AV60" s="77">
        <f>SUMPRODUCT(--(WEEKDAY(C$3:AG$3,2)&gt;5),--ISNUMBER(MATCH(C60:AG60,{"SB1","SB2"},0)))</f>
        <v/>
      </c>
      <c r="AW60" s="67" t="n"/>
      <c r="AX60" s="77">
        <f>(AS60-AT60)+AU60*1.5+(AV60-AW60)*2+(AO60+AH60+AI60+AJ60+AK60+AN60)*0.5+AQ60-AR60</f>
        <v/>
      </c>
      <c r="AY60" s="77">
        <f>AS60+AU60+AV60</f>
        <v/>
      </c>
      <c r="AZ60" s="77">
        <f>BD60+BF60+BH60+BJ60+BL60</f>
        <v/>
      </c>
      <c r="BA60" s="76">
        <f>AX60+BC60</f>
        <v/>
      </c>
      <c r="BB60" s="76" t="n"/>
      <c r="BC60" s="77">
        <f>BE60+BG60+BI60+BK60+BM60</f>
        <v/>
      </c>
      <c r="BD60" s="77">
        <f>COUNTIF(A60:AH60,"*$BTP*")</f>
        <v/>
      </c>
      <c r="BE60" s="77">
        <f>BD60*1.5</f>
        <v/>
      </c>
      <c r="BF60" s="77">
        <f>COUNTIF(A60:AH60,"*$M*")</f>
        <v/>
      </c>
      <c r="BG60" s="77">
        <f>BF60*1</f>
        <v/>
      </c>
      <c r="BH60" s="77">
        <f>COUNTIF(A60:AH60,"*$PM*")</f>
        <v/>
      </c>
      <c r="BI60" s="77">
        <f>BH60*0.5</f>
        <v/>
      </c>
      <c r="BJ60" s="77">
        <f>COUNTIF(A60:AH60,"*$AM*")</f>
        <v/>
      </c>
      <c r="BK60" s="77">
        <f>BJ60*0.5</f>
        <v/>
      </c>
      <c r="BL60" s="77">
        <f>COUNTIF(A60:AH60,"*$FC*")</f>
        <v/>
      </c>
      <c r="BM60" s="77">
        <f>BL60*1</f>
        <v/>
      </c>
      <c r="BN60" s="77">
        <f>COUNTIF($E60:$AG60,BN$4)</f>
        <v/>
      </c>
      <c r="BO60" s="77">
        <f>COUNTIF($E60:$AG60,BO$4)</f>
        <v/>
      </c>
      <c r="BP60" s="77">
        <f>COUNTIF($D60:$Y60,BP$4)</f>
        <v/>
      </c>
      <c r="BQ60" s="107" t="n"/>
    </row>
    <row r="61" ht="19.5" customHeight="1">
      <c r="A61" s="107" t="n"/>
      <c r="B61" s="107" t="inlineStr">
        <is>
          <t>CPL LAN ZHI XIANG</t>
        </is>
      </c>
      <c r="C61" s="54" t="n"/>
      <c r="D61" s="53" t="inlineStr">
        <is>
          <t>SHADOW DM</t>
        </is>
      </c>
      <c r="E61" s="54" t="inlineStr">
        <is>
          <t>SB1</t>
        </is>
      </c>
      <c r="F61" s="53" t="inlineStr">
        <is>
          <t>DM</t>
        </is>
      </c>
      <c r="G61" s="140" t="inlineStr">
        <is>
          <t>GP RECCE</t>
        </is>
      </c>
      <c r="H61" s="54" t="inlineStr">
        <is>
          <t>GP $M</t>
        </is>
      </c>
      <c r="I61" s="107" t="n"/>
      <c r="J61" s="107" t="inlineStr">
        <is>
          <t>DM</t>
        </is>
      </c>
      <c r="K61" s="54" t="n"/>
      <c r="L61" s="54" t="inlineStr">
        <is>
          <t>RESERVE</t>
        </is>
      </c>
      <c r="M61" s="53" t="n"/>
      <c r="N61" s="107" t="n"/>
      <c r="O61" s="60" t="n"/>
      <c r="P61" s="107" t="inlineStr">
        <is>
          <t>SB1</t>
        </is>
      </c>
      <c r="Q61" s="60" t="inlineStr">
        <is>
          <t>5TH $PM ER (1630-1820)</t>
        </is>
      </c>
      <c r="R61" s="54" t="inlineStr">
        <is>
          <t>AE</t>
        </is>
      </c>
      <c r="S61" s="54" t="n"/>
      <c r="T61" s="54" t="n"/>
      <c r="U61" s="110" t="n"/>
      <c r="V61" s="53" t="n"/>
      <c r="W61" s="110" t="n"/>
      <c r="X61" s="107" t="n"/>
      <c r="Y61" s="54" t="inlineStr">
        <is>
          <t>DM</t>
        </is>
      </c>
      <c r="Z61" s="54" t="inlineStr">
        <is>
          <t>SB1</t>
        </is>
      </c>
      <c r="AA61" s="107" t="n"/>
      <c r="AB61" s="107" t="inlineStr">
        <is>
          <t>AM MA NEW YEAR OIL PM OFF</t>
        </is>
      </c>
      <c r="AC61" s="107" t="n"/>
      <c r="AD61" s="107" t="n"/>
      <c r="AE61" s="107" t="inlineStr">
        <is>
          <t>GX OFF (MARCH)</t>
        </is>
      </c>
      <c r="AF61" s="54" t="inlineStr">
        <is>
          <t>GP OFF (JUNE)</t>
        </is>
      </c>
      <c r="AG61" s="54" t="n"/>
      <c r="AH61" s="67">
        <f>COUNTIF($C61:$AF61,AH$4)</f>
        <v/>
      </c>
      <c r="AI61" s="67">
        <f>COUNTIF($C61:$AF61,AI$4)</f>
        <v/>
      </c>
      <c r="AJ61" s="67">
        <f>COUNTIF($C61:$AF61,AJ$4)</f>
        <v/>
      </c>
      <c r="AK61" s="67">
        <f>COUNTIF($C61:$AF61,AK$4)</f>
        <v/>
      </c>
      <c r="AL61" s="67">
        <f>COUNTIF($C61:$AF61,AL$4)</f>
        <v/>
      </c>
      <c r="AM61" s="67">
        <f>COUNTIF($C61:$AF61,AM$4)</f>
        <v/>
      </c>
      <c r="AN61" s="67">
        <f>COUNTIF($C61:$AF61,AN$4)</f>
        <v/>
      </c>
      <c r="AO61" s="67">
        <f>COUNTIF($C61:$AF61,AO$4)</f>
        <v/>
      </c>
      <c r="AP61" s="67">
        <f>COUNTIF($C61:$AF61,AP$4)</f>
        <v/>
      </c>
      <c r="AQ61" s="76" t="n"/>
      <c r="AR61" s="76" t="n">
        <v>1.5</v>
      </c>
      <c r="AS61" s="77">
        <f>SUMPRODUCT(--(WEEKDAY(C$3:AG$3,2)&lt;5),--ISNUMBER(MATCH(C61:AG61,{"SB1","SB2"},0)))</f>
        <v/>
      </c>
      <c r="AT61" s="67" t="n"/>
      <c r="AU61" s="77">
        <f>SUMPRODUCT(--(WEEKDAY(C$3:AG$3,2)=5),--ISNUMBER(MATCH(C61:AG61,{"SB1","SB2"},0)))</f>
        <v/>
      </c>
      <c r="AV61" s="77">
        <f>SUMPRODUCT(--(WEEKDAY(C$3:AG$3,2)&gt;5),--ISNUMBER(MATCH(C61:AG61,{"SB1","SB2"},0)))</f>
        <v/>
      </c>
      <c r="AW61" s="67" t="n"/>
      <c r="AX61" s="77">
        <f>(AS61-AT61)+AU61*1.5+(AV61-AW61)*2+(AO61+AH61+AI61+AJ61+AK61+AN61)*0.5+AQ61-AR61</f>
        <v/>
      </c>
      <c r="AY61" s="77">
        <f>AS61+AU61+AV61</f>
        <v/>
      </c>
      <c r="AZ61" s="77">
        <f>BD61+BF61+BH61+BJ61+BL61</f>
        <v/>
      </c>
      <c r="BA61" s="76">
        <f>AX61+BC61</f>
        <v/>
      </c>
      <c r="BB61" s="76" t="n"/>
      <c r="BC61" s="77">
        <f>BE61+BG61+BI61+BK61+BM61</f>
        <v/>
      </c>
      <c r="BD61" s="77">
        <f>COUNTIF(A61:AH61,"*$BTP*")</f>
        <v/>
      </c>
      <c r="BE61" s="77">
        <f>BD61*1.5</f>
        <v/>
      </c>
      <c r="BF61" s="77">
        <f>COUNTIF(A61:AH61,"*$M*")</f>
        <v/>
      </c>
      <c r="BG61" s="77">
        <f>BF61*1</f>
        <v/>
      </c>
      <c r="BH61" s="77">
        <f>COUNTIF(A61:AH61,"*$PM*")</f>
        <v/>
      </c>
      <c r="BI61" s="77">
        <f>BH61*0.5</f>
        <v/>
      </c>
      <c r="BJ61" s="77">
        <f>COUNTIF(A61:AH61,"*$AM*")</f>
        <v/>
      </c>
      <c r="BK61" s="77">
        <f>BJ61*0.5</f>
        <v/>
      </c>
      <c r="BL61" s="77">
        <f>COUNTIF(A61:AH61,"*$FC*")</f>
        <v/>
      </c>
      <c r="BM61" s="77">
        <f>BL61*1</f>
        <v/>
      </c>
      <c r="BN61" s="77">
        <f>COUNTIF($E61:$AG61,BN$4)</f>
        <v/>
      </c>
      <c r="BO61" s="77">
        <f>COUNTIF($E61:$AG61,BO$4)</f>
        <v/>
      </c>
      <c r="BP61" s="77">
        <f>COUNTIF($D61:$Y61,BP$4)</f>
        <v/>
      </c>
      <c r="BQ61" s="107" t="n"/>
    </row>
    <row r="62" ht="19.5" customHeight="1">
      <c r="A62" s="107" t="n"/>
      <c r="B62" s="107" t="inlineStr">
        <is>
          <t>LCP DAANYAAL ABDUL AZEEZ JANJUA</t>
        </is>
      </c>
      <c r="C62" s="54" t="n"/>
      <c r="D62" s="136" t="inlineStr">
        <is>
          <t>SB1</t>
        </is>
      </c>
      <c r="E62" s="54" t="inlineStr">
        <is>
          <t>GX $M</t>
        </is>
      </c>
      <c r="F62" s="60" t="inlineStr">
        <is>
          <t>GX OFF</t>
        </is>
      </c>
      <c r="G62" s="107" t="inlineStr">
        <is>
          <t>SB1</t>
        </is>
      </c>
      <c r="H62" s="107" t="n"/>
      <c r="I62" s="107" t="n"/>
      <c r="J62" s="107" t="inlineStr">
        <is>
          <t>SHADOW CS</t>
        </is>
      </c>
      <c r="K62" s="107" t="n"/>
      <c r="L62" s="107" t="inlineStr">
        <is>
          <t>CS1</t>
        </is>
      </c>
      <c r="M62" s="136" t="n"/>
      <c r="N62" s="107" t="n"/>
      <c r="O62" s="107" t="n"/>
      <c r="P62" s="107" t="n"/>
      <c r="Q62" s="107" t="n"/>
      <c r="R62" s="54" t="n"/>
      <c r="S62" s="54" t="n"/>
      <c r="T62" s="54" t="n"/>
      <c r="U62" s="54" t="n"/>
      <c r="V62" s="54" t="n"/>
      <c r="W62" s="54" t="n"/>
      <c r="X62" s="54" t="inlineStr">
        <is>
          <t>CS1</t>
        </is>
      </c>
      <c r="Y62" s="54" t="inlineStr">
        <is>
          <t>PM MA</t>
        </is>
      </c>
      <c r="Z62" s="54" t="inlineStr">
        <is>
          <t>AE</t>
        </is>
      </c>
      <c r="AA62" s="60" t="inlineStr">
        <is>
          <t>5TH $AM IPPT (0730-0920)</t>
        </is>
      </c>
      <c r="AB62" s="107" t="inlineStr">
        <is>
          <t>SB1</t>
        </is>
      </c>
      <c r="AC62" s="107" t="n"/>
      <c r="AD62" s="107" t="n"/>
      <c r="AE62" s="107" t="inlineStr">
        <is>
          <t>OFF - GOOD PERFORMANCE FOR STOCK TAKE BY DR CALEB</t>
        </is>
      </c>
      <c r="AF62" s="54" t="n"/>
      <c r="AG62" s="54" t="n"/>
      <c r="AH62" s="67">
        <f>COUNTIF($C62:$AF62,AH$4)</f>
        <v/>
      </c>
      <c r="AI62" s="67">
        <f>COUNTIF($C62:$AF62,AI$4)</f>
        <v/>
      </c>
      <c r="AJ62" s="67">
        <f>COUNTIF($C62:$AF62,AJ$4)</f>
        <v/>
      </c>
      <c r="AK62" s="67">
        <f>COUNTIF($C62:$AF62,AK$4)</f>
        <v/>
      </c>
      <c r="AL62" s="67">
        <f>COUNTIF($C62:$AF62,AL$4)</f>
        <v/>
      </c>
      <c r="AM62" s="67">
        <f>COUNTIF($C62:$AF62,AM$4)</f>
        <v/>
      </c>
      <c r="AN62" s="67">
        <f>COUNTIF($C62:$AF62,AN$4)</f>
        <v/>
      </c>
      <c r="AO62" s="67">
        <f>COUNTIF($C62:$AF62,AO$4)</f>
        <v/>
      </c>
      <c r="AP62" s="67">
        <f>COUNTIF($C62:$AF62,AP$4)</f>
        <v/>
      </c>
      <c r="AQ62" s="76" t="n">
        <v>0.5</v>
      </c>
      <c r="AR62" s="76" t="n"/>
      <c r="AS62" s="77">
        <f>SUMPRODUCT(--(WEEKDAY(C$3:AG$3,2)&lt;5),--ISNUMBER(MATCH(C62:AG62,{"SB1","SB2"},0)))</f>
        <v/>
      </c>
      <c r="AT62" s="67" t="n"/>
      <c r="AU62" s="77">
        <f>SUMPRODUCT(--(WEEKDAY(C$3:AG$3,2)=5),--ISNUMBER(MATCH(C62:AG62,{"SB1","SB2"},0)))</f>
        <v/>
      </c>
      <c r="AV62" s="77">
        <f>SUMPRODUCT(--(WEEKDAY(C$3:AG$3,2)&gt;5),--ISNUMBER(MATCH(C62:AG62,{"SB1","SB2"},0)))</f>
        <v/>
      </c>
      <c r="AW62" s="67" t="n"/>
      <c r="AX62" s="77">
        <f>(AS62-AT62)+AU62*1.5+(AV62-AW62)*2+(AO62+AH62+AI62+AJ62+AK62+AN62)*0.5+AQ62-AR62</f>
        <v/>
      </c>
      <c r="AY62" s="77">
        <f>AS62+AU62+AV62</f>
        <v/>
      </c>
      <c r="AZ62" s="77">
        <f>BD62+BF62+BH62+BJ62+BL62</f>
        <v/>
      </c>
      <c r="BA62" s="76">
        <f>AX62+BC62</f>
        <v/>
      </c>
      <c r="BB62" s="76" t="n"/>
      <c r="BC62" s="77">
        <f>BE62+BG62+BI62+BK62+BM62</f>
        <v/>
      </c>
      <c r="BD62" s="77">
        <f>COUNTIF(A62:AH62,"*$BTP*")</f>
        <v/>
      </c>
      <c r="BE62" s="77">
        <f>BD62*1.5</f>
        <v/>
      </c>
      <c r="BF62" s="77">
        <f>COUNTIF(A62:AH62,"*$M*")</f>
        <v/>
      </c>
      <c r="BG62" s="77">
        <f>BF62*1</f>
        <v/>
      </c>
      <c r="BH62" s="77">
        <f>COUNTIF(A62:AH62,"*$PM*")</f>
        <v/>
      </c>
      <c r="BI62" s="77">
        <f>BH62*0.5</f>
        <v/>
      </c>
      <c r="BJ62" s="77">
        <f>COUNTIF(A62:AH62,"*$AM*")</f>
        <v/>
      </c>
      <c r="BK62" s="77">
        <f>BJ62*0.5</f>
        <v/>
      </c>
      <c r="BL62" s="77">
        <f>COUNTIF(A62:AH62,"*$FC*")</f>
        <v/>
      </c>
      <c r="BM62" s="77">
        <f>BL62*1</f>
        <v/>
      </c>
      <c r="BN62" s="77">
        <f>COUNTIF($E62:$AG62,BN$4)</f>
        <v/>
      </c>
      <c r="BO62" s="77">
        <f>COUNTIF($E62:$AG62,BO$4)</f>
        <v/>
      </c>
      <c r="BP62" s="77">
        <f>COUNTIF($E62:$Y62,BP$4)</f>
        <v/>
      </c>
      <c r="BQ62" s="107" t="n"/>
    </row>
    <row r="63" ht="19.5" customHeight="1">
      <c r="A63" s="107" t="n"/>
      <c r="B63" s="107" t="inlineStr">
        <is>
          <t>PTE SUNDARARAJU DHANUSH</t>
        </is>
      </c>
      <c r="C63" s="54" t="inlineStr">
        <is>
          <t>OL</t>
        </is>
      </c>
      <c r="D63" s="54" t="inlineStr">
        <is>
          <t>OL</t>
        </is>
      </c>
      <c r="E63" s="54" t="inlineStr">
        <is>
          <t>OL</t>
        </is>
      </c>
      <c r="F63" s="54" t="inlineStr">
        <is>
          <t>OL</t>
        </is>
      </c>
      <c r="G63" s="54" t="inlineStr">
        <is>
          <t>OL</t>
        </is>
      </c>
      <c r="H63" s="107" t="n"/>
      <c r="I63" s="107" t="n"/>
      <c r="J63" s="107" t="inlineStr">
        <is>
          <t>SHADOW CS</t>
        </is>
      </c>
      <c r="K63" s="54" t="inlineStr">
        <is>
          <t>AE</t>
        </is>
      </c>
      <c r="L63" s="60" t="inlineStr">
        <is>
          <t>1ST + 5TH $M ISAD (0730-1120) (CONDUCTED BY 5TH, K COY JOINING)</t>
        </is>
      </c>
      <c r="M63" s="107" t="n"/>
      <c r="N63" s="107" t="inlineStr">
        <is>
          <t>RESERVE</t>
        </is>
      </c>
      <c r="O63" s="60" t="n"/>
      <c r="P63" s="107" t="n"/>
      <c r="Q63" s="107" t="n"/>
      <c r="R63" s="54" t="n"/>
      <c r="S63" s="54" t="inlineStr">
        <is>
          <t>SB1</t>
        </is>
      </c>
      <c r="T63" s="60" t="inlineStr">
        <is>
          <t>AE</t>
        </is>
      </c>
      <c r="U63" s="110" t="inlineStr">
        <is>
          <t>SB1</t>
        </is>
      </c>
      <c r="V63" s="107" t="n"/>
      <c r="W63" s="110" t="n"/>
      <c r="X63" s="107" t="inlineStr">
        <is>
          <t>SB1</t>
        </is>
      </c>
      <c r="Y63" s="54" t="n"/>
      <c r="Z63" s="54" t="n"/>
      <c r="AA63" s="136" t="n"/>
      <c r="AB63" s="60" t="inlineStr">
        <is>
          <t>OFF - GOOD PERFORMANCE FOR STOCK TAKE BY DR CALEB</t>
        </is>
      </c>
      <c r="AC63" s="54" t="n"/>
      <c r="AD63" s="54" t="n"/>
      <c r="AE63" s="54" t="inlineStr">
        <is>
          <t>SB1</t>
        </is>
      </c>
      <c r="AF63" s="54" t="n"/>
      <c r="AG63" s="54" t="n"/>
      <c r="AH63" s="67">
        <f>COUNTIF($C63:$AF63,AH$4)</f>
        <v/>
      </c>
      <c r="AI63" s="67">
        <f>COUNTIF($C63:$AF63,AI$4)</f>
        <v/>
      </c>
      <c r="AJ63" s="67">
        <f>COUNTIF($C63:$AF63,AJ$4)</f>
        <v/>
      </c>
      <c r="AK63" s="67">
        <f>COUNTIF($C63:$AF63,AK$4)</f>
        <v/>
      </c>
      <c r="AL63" s="67">
        <f>COUNTIF($C63:$AF63,AL$4)</f>
        <v/>
      </c>
      <c r="AM63" s="67">
        <f>COUNTIF($C63:$AF63,AM$4)</f>
        <v/>
      </c>
      <c r="AN63" s="67">
        <f>COUNTIF($C63:$AF63,AN$4)</f>
        <v/>
      </c>
      <c r="AO63" s="67">
        <f>COUNTIF($C63:$AF63,AO$4)</f>
        <v/>
      </c>
      <c r="AP63" s="67">
        <f>COUNTIF($C63:$AF63,AP$4)</f>
        <v/>
      </c>
      <c r="AQ63" s="76" t="n"/>
      <c r="AR63" s="76" t="n"/>
      <c r="AS63" s="77">
        <f>SUMPRODUCT(--(WEEKDAY(C$3:AG$3,2)&lt;5),--ISNUMBER(MATCH(C63:AG63,{"SB1","SB2"},0)))</f>
        <v/>
      </c>
      <c r="AT63" s="67" t="n"/>
      <c r="AU63" s="77">
        <f>SUMPRODUCT(--(WEEKDAY(C$3:AG$3,2)=5),--ISNUMBER(MATCH(C63:AG63,{"SB1","SB2"},0)))</f>
        <v/>
      </c>
      <c r="AV63" s="77">
        <f>SUMPRODUCT(--(WEEKDAY(C$3:AG$3,2)&gt;5),--ISNUMBER(MATCH(C63:AG63,{"SB1","SB2"},0)))</f>
        <v/>
      </c>
      <c r="AW63" s="67" t="n"/>
      <c r="AX63" s="77">
        <f>(AS63-AT63)+AU63*1.5+(AV63-AW63)*2+(AO63+AH63+AI63+AJ63+AK63+AN63)*0.5+AQ63-AR63</f>
        <v/>
      </c>
      <c r="AY63" s="77">
        <f>AS63+AU63+AV63</f>
        <v/>
      </c>
      <c r="AZ63" s="77">
        <f>BD63+BF63+BH63+BJ63+BL63</f>
        <v/>
      </c>
      <c r="BA63" s="76">
        <f>AX63+BC63</f>
        <v/>
      </c>
      <c r="BB63" s="76" t="n"/>
      <c r="BC63" s="77">
        <f>BE63+BG63+BI63+BK63+BM63</f>
        <v/>
      </c>
      <c r="BD63" s="77">
        <f>COUNTIF(A63:AH63,"*$BTP*")</f>
        <v/>
      </c>
      <c r="BE63" s="77">
        <f>BD63*1.5</f>
        <v/>
      </c>
      <c r="BF63" s="77">
        <f>COUNTIF(A63:AH63,"*$M*")</f>
        <v/>
      </c>
      <c r="BG63" s="77">
        <f>BF63*1</f>
        <v/>
      </c>
      <c r="BH63" s="77">
        <f>COUNTIF(A63:AH63,"*$PM*")</f>
        <v/>
      </c>
      <c r="BI63" s="77">
        <f>BH63*0.5</f>
        <v/>
      </c>
      <c r="BJ63" s="77">
        <f>COUNTIF(A63:AH63,"*$AM*")</f>
        <v/>
      </c>
      <c r="BK63" s="77">
        <f>BJ63*0.5</f>
        <v/>
      </c>
      <c r="BL63" s="77">
        <f>COUNTIF(A63:AH63,"*$FC*")</f>
        <v/>
      </c>
      <c r="BM63" s="77">
        <f>BL63*1</f>
        <v/>
      </c>
      <c r="BN63" s="77">
        <f>COUNTIF($E63:$AG63,BN$4)</f>
        <v/>
      </c>
      <c r="BO63" s="77">
        <f>COUNTIF($E63:$AG63,BO$4)</f>
        <v/>
      </c>
      <c r="BP63" s="77">
        <f>COUNTIF($D63:$Y63,BP$4)</f>
        <v/>
      </c>
      <c r="BQ63" s="107" t="n"/>
    </row>
    <row r="64" ht="19.5" customHeight="1">
      <c r="A64" s="67" t="n"/>
      <c r="B64" s="115" t="inlineStr">
        <is>
          <t>COMBAT POINTS</t>
        </is>
      </c>
      <c r="C64" s="119" t="n"/>
      <c r="D64" s="120" t="n"/>
      <c r="E64" s="120" t="n"/>
      <c r="F64" s="120" t="n"/>
      <c r="G64" s="120" t="n"/>
      <c r="H64" s="120" t="n"/>
      <c r="I64" s="120" t="n"/>
      <c r="J64" s="120" t="n"/>
      <c r="K64" s="120" t="n"/>
      <c r="L64" s="120" t="n"/>
      <c r="M64" s="60" t="n"/>
      <c r="N64" s="120" t="n"/>
      <c r="O64" s="120" t="n"/>
      <c r="P64" s="120" t="n"/>
      <c r="Q64" s="60" t="n"/>
      <c r="R64" s="60" t="n"/>
      <c r="S64" s="120" t="n"/>
      <c r="T64" s="60" t="n"/>
      <c r="U64" s="121" t="inlineStr">
        <is>
          <t>             </t>
        </is>
      </c>
      <c r="V64" s="122" t="n"/>
      <c r="W64" s="120" t="n"/>
      <c r="X64" s="120" t="n"/>
      <c r="Y64" s="120" t="n"/>
      <c r="Z64" s="120" t="n"/>
      <c r="AA64" s="120" t="n"/>
      <c r="AB64" s="120" t="n"/>
      <c r="AC64" s="120" t="n"/>
      <c r="AD64" s="120" t="n"/>
      <c r="AE64" s="120" t="n"/>
      <c r="AF64" s="120" t="n"/>
      <c r="AG64" s="120" t="n"/>
      <c r="AH64" s="67" t="n"/>
      <c r="AI64" s="67" t="n"/>
      <c r="AJ64" s="67" t="n"/>
      <c r="AK64" s="67" t="n"/>
      <c r="AL64" s="67" t="n"/>
      <c r="AM64" s="67" t="n"/>
      <c r="AN64" s="67" t="n"/>
      <c r="AO64" s="67" t="n"/>
      <c r="AP64" s="67" t="n"/>
      <c r="AQ64" s="67" t="n"/>
      <c r="AR64" s="67" t="n"/>
      <c r="AS64" s="77" t="n"/>
      <c r="AT64" s="67" t="n"/>
      <c r="AU64" s="67" t="n"/>
      <c r="AV64" s="77" t="n"/>
      <c r="AW64" s="67" t="n"/>
      <c r="AX64" s="6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67" t="n"/>
      <c r="BO64" s="67" t="n"/>
      <c r="BP64" s="67" t="n"/>
      <c r="BQ64" s="67" t="n"/>
    </row>
    <row r="65" ht="19.5" customHeight="1">
      <c r="A65" s="67" t="n"/>
      <c r="B65" s="115" t="inlineStr">
        <is>
          <t>TOTAL POINTS</t>
        </is>
      </c>
      <c r="C65" s="119" t="n"/>
      <c r="D65" s="120" t="n"/>
      <c r="E65" s="120" t="n"/>
      <c r="F65" s="120" t="n"/>
      <c r="G65" s="120" t="n"/>
      <c r="H65" s="120" t="n"/>
      <c r="I65" s="120" t="n"/>
      <c r="J65" s="120" t="n"/>
      <c r="K65" s="120" t="n"/>
      <c r="L65" s="120" t="n"/>
      <c r="M65" s="60" t="n"/>
      <c r="N65" s="120" t="n"/>
      <c r="O65" s="120" t="n"/>
      <c r="P65" s="120" t="n"/>
      <c r="Q65" s="60" t="n"/>
      <c r="R65" s="60" t="n"/>
      <c r="S65" s="120" t="n"/>
      <c r="T65" s="60" t="n"/>
      <c r="U65" s="121" t="n"/>
      <c r="V65" s="122" t="n"/>
      <c r="W65" s="120" t="n"/>
      <c r="X65" s="120" t="n"/>
      <c r="Y65" s="120" t="n"/>
      <c r="Z65" s="120" t="n"/>
      <c r="AA65" s="120" t="n"/>
      <c r="AB65" s="120" t="n"/>
      <c r="AC65" s="120" t="n"/>
      <c r="AD65" s="120" t="n"/>
      <c r="AE65" s="120" t="n"/>
      <c r="AF65" s="120" t="n"/>
      <c r="AG65" s="120" t="n"/>
      <c r="AH65" s="67" t="n"/>
      <c r="AI65" s="67" t="n"/>
      <c r="AJ65" s="67" t="n"/>
      <c r="AK65" s="67" t="n"/>
      <c r="AL65" s="67" t="n"/>
      <c r="AM65" s="67" t="n"/>
      <c r="AN65" s="67" t="n"/>
      <c r="AO65" s="67" t="n"/>
      <c r="AP65" s="67" t="n"/>
      <c r="AQ65" s="67" t="n"/>
      <c r="AR65" s="67" t="n"/>
      <c r="AS65" s="77" t="n"/>
      <c r="AT65" s="67" t="n"/>
      <c r="AU65" s="67" t="n"/>
      <c r="AV65" s="77" t="n"/>
      <c r="AW65" s="67" t="n"/>
      <c r="AX65" s="67" t="n"/>
      <c r="AY65" s="77" t="n"/>
      <c r="AZ65" s="77" t="n"/>
      <c r="BA65" s="77" t="n"/>
      <c r="BB65" s="77" t="n"/>
      <c r="BC65" s="77" t="n"/>
      <c r="BD65" s="77" t="n"/>
      <c r="BE65" s="77" t="n"/>
      <c r="BF65" s="77" t="n"/>
      <c r="BG65" s="77" t="n"/>
      <c r="BH65" s="77" t="n"/>
      <c r="BI65" s="77" t="n"/>
      <c r="BJ65" s="77" t="n"/>
      <c r="BK65" s="77" t="n"/>
      <c r="BL65" s="77" t="n"/>
      <c r="BM65" s="77" t="n"/>
      <c r="BN65" s="67" t="n"/>
      <c r="BO65" s="67" t="n"/>
      <c r="BP65" s="67" t="n"/>
      <c r="BQ65" s="67" t="n"/>
    </row>
    <row r="66" ht="19.5" customHeight="1">
      <c r="A66" s="67" t="n"/>
      <c r="B66" s="105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  <c r="AA66" s="123" t="n"/>
      <c r="AB66" s="123" t="n"/>
      <c r="AC66" s="123" t="n"/>
      <c r="AD66" s="123" t="n"/>
      <c r="AE66" s="123" t="n"/>
      <c r="AF66" s="123" t="n"/>
      <c r="AG66" s="123" t="n"/>
      <c r="AH66" s="105" t="n"/>
      <c r="AI66" s="105" t="n"/>
      <c r="AJ66" s="105" t="n"/>
      <c r="AK66" s="105" t="n"/>
      <c r="AL66" s="105" t="n"/>
      <c r="AM66" s="105" t="n"/>
      <c r="AN66" s="105" t="n"/>
      <c r="AO66" s="105" t="n"/>
      <c r="AP66" s="105" t="n"/>
      <c r="AQ66" s="105" t="n"/>
      <c r="AR66" s="105" t="n"/>
      <c r="AS66" s="105" t="n"/>
      <c r="AT66" s="105" t="n"/>
      <c r="AU66" s="105" t="n"/>
      <c r="AV66" s="105">
        <f>SUMPRODUCT(--WEEKDAY(C$3:AF$3,2)&gt;5,--((C66:AF66="DM"))+(C66:AF66="CS1")+((C66:AF66="CS2"))+(C66:AF66="SB1")+(C66:AF66="AE")+(C66:AF66="EM"))</f>
        <v/>
      </c>
      <c r="AW66" s="105" t="n"/>
      <c r="AX66" s="105">
        <f>(AS66-AT66)/2+(AV66-AW66)</f>
        <v/>
      </c>
      <c r="AY66" s="105" t="n"/>
      <c r="AZ66" s="105" t="n"/>
      <c r="BA66" s="105" t="n"/>
      <c r="BB66" s="105" t="n"/>
      <c r="BC66" s="105" t="n"/>
      <c r="BD66" s="105" t="n"/>
      <c r="BE66" s="105" t="n"/>
      <c r="BF66" s="105" t="n"/>
      <c r="BG66" s="105" t="n"/>
      <c r="BH66" s="105" t="n"/>
      <c r="BI66" s="105" t="n"/>
      <c r="BJ66" s="105" t="n"/>
      <c r="BK66" s="105" t="n"/>
      <c r="BL66" s="105" t="n"/>
      <c r="BM66" s="105" t="n"/>
      <c r="BN66" s="105" t="n"/>
      <c r="BO66" s="105" t="n"/>
      <c r="BP66" s="105" t="n"/>
      <c r="BQ66" s="105" t="n"/>
    </row>
    <row r="67" ht="19.5" customHeight="1">
      <c r="A67" s="67" t="n"/>
      <c r="B67" s="124" t="inlineStr">
        <is>
          <t>DM</t>
        </is>
      </c>
      <c r="C67" s="125">
        <f>INDEX($B$48:$B$63,MATCH($B67,C$48:C$63,0))</f>
        <v/>
      </c>
      <c r="D67" s="125">
        <f>INDEX($B$48:$B$63,MATCH($B67,D$48:D$63,0))</f>
        <v/>
      </c>
      <c r="E67" s="125">
        <f>INDEX($B$48:$B$63,MATCH($B67,E$48:E$63,0))</f>
        <v/>
      </c>
      <c r="F67" s="125">
        <f>INDEX($B$48:$B$63,MATCH($B67,F$48:F$63,0))</f>
        <v/>
      </c>
      <c r="G67" s="125">
        <f>INDEX($B$48:$B$63,MATCH($B67,G$48:G$63,0))</f>
        <v/>
      </c>
      <c r="H67" s="125">
        <f>INDEX($B$48:$B$63,MATCH($B67,H$48:H$63,0))</f>
        <v/>
      </c>
      <c r="I67" s="125">
        <f>INDEX($B$48:$B$63,MATCH($B67,I$48:I$63,0))</f>
        <v/>
      </c>
      <c r="J67" s="125">
        <f>INDEX($B$48:$B$63,MATCH($B67,J$48:J$63,0))</f>
        <v/>
      </c>
      <c r="K67" s="125">
        <f>INDEX($B$48:$B$63,MATCH($B67,K$48:K$63,0))</f>
        <v/>
      </c>
      <c r="L67" s="125">
        <f>INDEX($B$48:$B$63,MATCH($B67,L$48:L$63,0))</f>
        <v/>
      </c>
      <c r="M67" s="125">
        <f>INDEX($B$48:$B$63,MATCH($B67,M$48:M$63,0))</f>
        <v/>
      </c>
      <c r="N67" s="125">
        <f>INDEX($B$48:$B$63,MATCH($B67,N$48:N$63,0))</f>
        <v/>
      </c>
      <c r="O67" s="125">
        <f>INDEX($B$48:$B$63,MATCH($B67,O$48:O$63,0))</f>
        <v/>
      </c>
      <c r="P67" s="125">
        <f>INDEX($B$48:$B$63,MATCH($B67,P$48:P$63,0))</f>
        <v/>
      </c>
      <c r="Q67" s="125">
        <f>INDEX($B$48:$B$63,MATCH($B67,Q$48:Q$63,0))</f>
        <v/>
      </c>
      <c r="R67" s="125">
        <f>INDEX($B$48:$B$63,MATCH($B67,R$48:R$63,0))</f>
        <v/>
      </c>
      <c r="S67" s="125">
        <f>INDEX($B$48:$B$63,MATCH($B67,S$48:S$63,0))</f>
        <v/>
      </c>
      <c r="T67" s="125">
        <f>INDEX($B$48:$B$63,MATCH($B67,T$48:T$63,0))</f>
        <v/>
      </c>
      <c r="U67" s="125">
        <f>INDEX($B$48:$B$63,MATCH($B67,U$48:U$63,0))</f>
        <v/>
      </c>
      <c r="V67" s="125">
        <f>INDEX($B$48:$B$63,MATCH($B67,V$48:V$63,0))</f>
        <v/>
      </c>
      <c r="W67" s="125">
        <f>INDEX($B$48:$B$63,MATCH($B67,W$48:W$63,0))</f>
        <v/>
      </c>
      <c r="X67" s="125">
        <f>INDEX($B$48:$B$63,MATCH($B67,X$48:X$63,0))</f>
        <v/>
      </c>
      <c r="Y67" s="125">
        <f>INDEX($B$48:$B$63,MATCH($B67,Y$48:Y$63,0))</f>
        <v/>
      </c>
      <c r="Z67" s="125">
        <f>INDEX($B$48:$B$63,MATCH($B67,Z$48:Z$63,0))</f>
        <v/>
      </c>
      <c r="AA67" s="125">
        <f>INDEX($B$48:$B$63,MATCH($B67,AA$48:AA$63,0))</f>
        <v/>
      </c>
      <c r="AB67" s="125">
        <f>INDEX($B$48:$B$63,MATCH($B67,AB$48:AB$63,0))</f>
        <v/>
      </c>
      <c r="AC67" s="125">
        <f>INDEX($B$48:$B$63,MATCH($B67,AC$48:AC$63,0))</f>
        <v/>
      </c>
      <c r="AD67" s="125">
        <f>INDEX($B$48:$B$63,MATCH($B67,AD$48:AD$63,0))</f>
        <v/>
      </c>
      <c r="AE67" s="125">
        <f>INDEX($B$48:$B$63,MATCH($B67,AE$48:AE$63,0))</f>
        <v/>
      </c>
      <c r="AF67" s="125">
        <f>INDEX($B$48:$B$63,MATCH($B67,AF$48:AF$63,0))</f>
        <v/>
      </c>
      <c r="AG67" s="125">
        <f>INDEX($B$48:$B$63,MATCH($B67,AG$48:AG$63,0))</f>
        <v/>
      </c>
      <c r="AH67" s="67" t="n"/>
      <c r="AI67" s="67" t="n"/>
      <c r="AJ67" s="67" t="n"/>
      <c r="AK67" s="67" t="n"/>
      <c r="AL67" s="77" t="n"/>
      <c r="AM67" s="77" t="n"/>
      <c r="AN67" s="77" t="n"/>
      <c r="AO67" s="77" t="n"/>
      <c r="AP67" s="77" t="n"/>
      <c r="AQ67" s="77" t="n"/>
      <c r="AR67" s="77" t="n"/>
      <c r="AS67" s="77" t="n"/>
      <c r="AT67" s="77" t="n"/>
      <c r="AU67" s="77" t="n"/>
      <c r="AV67" s="77" t="n"/>
      <c r="AW67" s="77" t="n"/>
      <c r="AX67" s="77" t="n"/>
      <c r="AY67" s="77" t="n"/>
      <c r="AZ67" s="77" t="n"/>
      <c r="BA67" s="77" t="n"/>
      <c r="BB67" s="77" t="n"/>
      <c r="BC67" s="77" t="n"/>
      <c r="BD67" s="77" t="n"/>
      <c r="BE67" s="77" t="n"/>
      <c r="BF67" s="77" t="n"/>
      <c r="BG67" s="77" t="n"/>
      <c r="BH67" s="77" t="n"/>
      <c r="BI67" s="77" t="n"/>
      <c r="BJ67" s="77" t="n"/>
      <c r="BK67" s="77" t="n"/>
      <c r="BL67" s="77" t="n"/>
      <c r="BM67" s="77" t="n"/>
      <c r="BN67" s="77" t="n"/>
      <c r="BO67" s="77" t="n"/>
      <c r="BP67" s="77" t="n"/>
      <c r="BQ67" s="77" t="n"/>
    </row>
    <row r="68" ht="19.5" customHeight="1">
      <c r="A68" s="67" t="n"/>
      <c r="B68" s="126" t="inlineStr">
        <is>
          <t>CS1</t>
        </is>
      </c>
      <c r="C68" s="125">
        <f>INDEX($B$48:$B$63,MATCH($B68,C$48:C$63,0))</f>
        <v/>
      </c>
      <c r="D68" s="125">
        <f>INDEX($B$48:$B$63,MATCH($B68,D$48:D$63,0))</f>
        <v/>
      </c>
      <c r="E68" s="125">
        <f>INDEX($B$48:$B$63,MATCH($B68,E$48:E$63,0))</f>
        <v/>
      </c>
      <c r="F68" s="125">
        <f>INDEX($B$48:$B$63,MATCH($B68,F$48:F$63,0))</f>
        <v/>
      </c>
      <c r="G68" s="125">
        <f>INDEX($B$48:$B$63,MATCH($B68,G$48:G$63,0))</f>
        <v/>
      </c>
      <c r="H68" s="125">
        <f>INDEX($B$48:$B$63,MATCH($B68,H$48:H$63,0))</f>
        <v/>
      </c>
      <c r="I68" s="125">
        <f>INDEX($B$48:$B$63,MATCH($B68,I$48:I$63,0))</f>
        <v/>
      </c>
      <c r="J68" s="125">
        <f>INDEX($B$48:$B$63,MATCH($B68,J$48:J$63,0))</f>
        <v/>
      </c>
      <c r="K68" s="125">
        <f>INDEX($B$48:$B$63,MATCH($B68,K$48:K$63,0))</f>
        <v/>
      </c>
      <c r="L68" s="125">
        <f>INDEX($B$48:$B$63,MATCH($B68,L$48:L$63,0))</f>
        <v/>
      </c>
      <c r="M68" s="125">
        <f>INDEX($B$48:$B$63,MATCH($B68,M$48:M$63,0))</f>
        <v/>
      </c>
      <c r="N68" s="125">
        <f>INDEX($B$48:$B$63,MATCH($B68,N$48:N$63,0))</f>
        <v/>
      </c>
      <c r="O68" s="125">
        <f>INDEX($B$48:$B$63,MATCH($B68,O$48:O$63,0))</f>
        <v/>
      </c>
      <c r="P68" s="125">
        <f>INDEX($B$48:$B$63,MATCH($B68,P$48:P$63,0))</f>
        <v/>
      </c>
      <c r="Q68" s="125">
        <f>INDEX($B$48:$B$63,MATCH($B68,Q$48:Q$63,0))</f>
        <v/>
      </c>
      <c r="R68" s="125">
        <f>INDEX($B$48:$B$63,MATCH($B68,R$48:R$63,0))</f>
        <v/>
      </c>
      <c r="S68" s="125">
        <f>INDEX($B$48:$B$63,MATCH($B68,S$48:S$63,0))</f>
        <v/>
      </c>
      <c r="T68" s="125">
        <f>INDEX($B$48:$B$63,MATCH($B68,T$48:T$63,0))</f>
        <v/>
      </c>
      <c r="U68" s="125">
        <f>INDEX($B$48:$B$63,MATCH($B68,U$48:U$63,0))</f>
        <v/>
      </c>
      <c r="V68" s="125">
        <f>INDEX($B$48:$B$63,MATCH($B68,V$48:V$63,0))</f>
        <v/>
      </c>
      <c r="W68" s="125">
        <f>INDEX($B$48:$B$63,MATCH($B68,W$48:W$63,0))</f>
        <v/>
      </c>
      <c r="X68" s="125">
        <f>INDEX($B$48:$B$63,MATCH($B68,X$48:X$63,0))</f>
        <v/>
      </c>
      <c r="Y68" s="125">
        <f>INDEX($B$48:$B$63,MATCH($B68,Y$48:Y$63,0))</f>
        <v/>
      </c>
      <c r="Z68" s="125">
        <f>INDEX($B$48:$B$63,MATCH($B68,Z$48:Z$63,0))</f>
        <v/>
      </c>
      <c r="AA68" s="125">
        <f>INDEX($B$48:$B$63,MATCH($B68,AA$48:AA$63,0))</f>
        <v/>
      </c>
      <c r="AB68" s="125">
        <f>INDEX($B$48:$B$63,MATCH($B68,AB$48:AB$63,0))</f>
        <v/>
      </c>
      <c r="AC68" s="125">
        <f>INDEX($B$48:$B$63,MATCH($B68,AC$48:AC$63,0))</f>
        <v/>
      </c>
      <c r="AD68" s="125">
        <f>INDEX($B$48:$B$63,MATCH($B68,AD$48:AD$63,0))</f>
        <v/>
      </c>
      <c r="AE68" s="125">
        <f>INDEX($B$48:$B$63,MATCH($B68,AE$48:AE$63,0))</f>
        <v/>
      </c>
      <c r="AF68" s="125">
        <f>INDEX($B$48:$B$63,MATCH($B68,AF$48:AF$63,0))</f>
        <v/>
      </c>
      <c r="AG68" s="125">
        <f>INDEX($B$48:$B$63,MATCH($B68,AG$48:AG$63,0))</f>
        <v/>
      </c>
      <c r="AH68" s="67" t="n"/>
      <c r="AI68" s="67" t="n"/>
      <c r="AJ68" s="67" t="n"/>
      <c r="AK68" s="6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</row>
    <row r="69" ht="19.5" customHeight="1">
      <c r="A69" s="67" t="n"/>
      <c r="B69" s="127" t="inlineStr">
        <is>
          <t>SB1</t>
        </is>
      </c>
      <c r="C69" s="125">
        <f>INDEX($B$48:$B$63,MATCH($B69,C$48:C$63,0))</f>
        <v/>
      </c>
      <c r="D69" s="125">
        <f>INDEX($B$48:$B$63,MATCH($B69,D$48:D$63,0))</f>
        <v/>
      </c>
      <c r="E69" s="125">
        <f>INDEX($B$48:$B$63,MATCH($B69,E$48:E$63,0))</f>
        <v/>
      </c>
      <c r="F69" s="125">
        <f>INDEX($B$48:$B$63,MATCH($B69,F$48:F$63,0))</f>
        <v/>
      </c>
      <c r="G69" s="125">
        <f>INDEX($B$48:$B$63,MATCH($B69,G$48:G$63,0))</f>
        <v/>
      </c>
      <c r="H69" s="125">
        <f>INDEX($B$48:$B$63,MATCH($B69,H$48:H$63,0))</f>
        <v/>
      </c>
      <c r="I69" s="125">
        <f>INDEX($B$48:$B$63,MATCH($B69,I$48:I$63,0))</f>
        <v/>
      </c>
      <c r="J69" s="125">
        <f>INDEX($B$48:$B$63,MATCH($B69,J$48:J$63,0))</f>
        <v/>
      </c>
      <c r="K69" s="125">
        <f>INDEX($B$48:$B$63,MATCH($B69,K$48:K$63,0))</f>
        <v/>
      </c>
      <c r="L69" s="125">
        <f>INDEX($B$48:$B$63,MATCH($B69,L$48:L$63,0))</f>
        <v/>
      </c>
      <c r="M69" s="125">
        <f>INDEX($B$48:$B$63,MATCH($B69,M$48:M$63,0))</f>
        <v/>
      </c>
      <c r="N69" s="125">
        <f>INDEX($B$48:$B$63,MATCH($B69,N$48:N$63,0))</f>
        <v/>
      </c>
      <c r="O69" s="125">
        <f>INDEX($B$48:$B$63,MATCH($B69,O$48:O$63,0))</f>
        <v/>
      </c>
      <c r="P69" s="125">
        <f>INDEX($B$48:$B$63,MATCH($B69,P$48:P$63,0))</f>
        <v/>
      </c>
      <c r="Q69" s="125">
        <f>INDEX($B$48:$B$63,MATCH($B69,Q$48:Q$63,0))</f>
        <v/>
      </c>
      <c r="R69" s="125">
        <f>INDEX($B$48:$B$63,MATCH($B69,R$48:R$63,0))</f>
        <v/>
      </c>
      <c r="S69" s="125">
        <f>INDEX($B$48:$B$63,MATCH($B69,S$48:S$63,0))</f>
        <v/>
      </c>
      <c r="T69" s="125">
        <f>INDEX($B$48:$B$63,MATCH($B69,T$48:T$63,0))</f>
        <v/>
      </c>
      <c r="U69" s="125">
        <f>INDEX($B$48:$B$63,MATCH($B69,U$48:U$63,0))</f>
        <v/>
      </c>
      <c r="V69" s="125">
        <f>INDEX($B$48:$B$63,MATCH($B69,V$48:V$63,0))</f>
        <v/>
      </c>
      <c r="W69" s="125">
        <f>INDEX($B$48:$B$63,MATCH($B69,W$48:W$63,0))</f>
        <v/>
      </c>
      <c r="X69" s="125">
        <f>INDEX($B$48:$B$63,MATCH($B69,X$48:X$63,0))</f>
        <v/>
      </c>
      <c r="Y69" s="125">
        <f>INDEX($B$48:$B$63,MATCH($B69,Y$48:Y$63,0))</f>
        <v/>
      </c>
      <c r="Z69" s="125">
        <f>INDEX($B$48:$B$63,MATCH($B69,Z$48:Z$63,0))</f>
        <v/>
      </c>
      <c r="AA69" s="125">
        <f>INDEX($B$48:$B$63,MATCH($B69,AA$48:AA$63,0))</f>
        <v/>
      </c>
      <c r="AB69" s="125">
        <f>INDEX($B$48:$B$63,MATCH($B69,AB$48:AB$63,0))</f>
        <v/>
      </c>
      <c r="AC69" s="125">
        <f>INDEX($B$48:$B$63,MATCH($B69,AC$48:AC$63,0))</f>
        <v/>
      </c>
      <c r="AD69" s="125">
        <f>INDEX($B$48:$B$63,MATCH($B69,AD$48:AD$63,0))</f>
        <v/>
      </c>
      <c r="AE69" s="125">
        <f>INDEX($B$48:$B$63,MATCH($B69,AE$48:AE$63,0))</f>
        <v/>
      </c>
      <c r="AF69" s="125">
        <f>INDEX($B$48:$B$63,MATCH($B69,AF$48:AF$63,0))</f>
        <v/>
      </c>
      <c r="AG69" s="125">
        <f>INDEX($B$48:$B$63,MATCH($B69,AG$48:AG$63,0))</f>
        <v/>
      </c>
      <c r="AH69" s="67" t="n"/>
      <c r="AI69" s="67" t="n"/>
      <c r="AJ69" s="67" t="n"/>
      <c r="AK69" s="67" t="n"/>
      <c r="AL69" s="77" t="n"/>
      <c r="AM69" s="77" t="n"/>
      <c r="AN69" s="77" t="n"/>
      <c r="AO69" s="77" t="n"/>
      <c r="AP69" s="77" t="n"/>
      <c r="AQ69" s="77" t="n"/>
      <c r="AR69" s="77" t="n"/>
      <c r="AS69" s="77" t="n"/>
      <c r="AT69" s="77" t="n"/>
      <c r="AU69" s="77" t="n"/>
      <c r="AV69" s="77" t="n"/>
      <c r="AW69" s="77" t="n"/>
      <c r="AX69" s="77" t="n"/>
      <c r="AY69" s="77" t="n"/>
      <c r="AZ69" s="77" t="n"/>
      <c r="BA69" s="77" t="n"/>
      <c r="BB69" s="77" t="n"/>
      <c r="BC69" s="77" t="n"/>
      <c r="BD69" s="77" t="n"/>
      <c r="BE69" s="77" t="n"/>
      <c r="BF69" s="77" t="n"/>
      <c r="BG69" s="77" t="n"/>
      <c r="BH69" s="77" t="n"/>
      <c r="BI69" s="77" t="n"/>
      <c r="BJ69" s="77" t="n"/>
      <c r="BK69" s="77" t="n"/>
      <c r="BL69" s="77" t="n"/>
      <c r="BM69" s="77" t="n"/>
      <c r="BN69" s="77" t="n"/>
      <c r="BO69" s="77" t="n"/>
      <c r="BP69" s="77" t="n"/>
      <c r="BQ69" s="77" t="n"/>
    </row>
    <row r="70" ht="63.75" customHeight="1">
      <c r="A70" s="67" t="n"/>
      <c r="B70" s="128" t="inlineStr">
        <is>
          <t>SB2</t>
        </is>
      </c>
      <c r="C70" s="125">
        <f>INDEX($B$48:$B$63,MATCH($B70,C$48:C$63,0))</f>
        <v/>
      </c>
      <c r="D70" s="125">
        <f>INDEX($B$48:$B$63,MATCH($B70,D$48:D$63,0))</f>
        <v/>
      </c>
      <c r="E70" s="125">
        <f>INDEX($B$48:$B$63,MATCH($B70,E$48:E$63,0))</f>
        <v/>
      </c>
      <c r="F70" s="125">
        <f>INDEX($B$48:$B$63,MATCH($B70,F$48:F$63,0))</f>
        <v/>
      </c>
      <c r="G70" s="125">
        <f>INDEX($B$48:$B$63,MATCH($B70,G$48:G$63,0))</f>
        <v/>
      </c>
      <c r="H70" s="125">
        <f>INDEX($B$48:$B$63,MATCH($B70,H$48:H$63,0))</f>
        <v/>
      </c>
      <c r="I70" s="125">
        <f>INDEX($B$48:$B$63,MATCH($B70,I$48:I$63,0))</f>
        <v/>
      </c>
      <c r="J70" s="125">
        <f>INDEX($B$48:$B$63,MATCH($B70,J$48:J$63,0))</f>
        <v/>
      </c>
      <c r="K70" s="125">
        <f>INDEX($B$48:$B$63,MATCH($B70,K$48:K$63,0))</f>
        <v/>
      </c>
      <c r="L70" s="125">
        <f>INDEX($B$48:$B$63,MATCH($B70,L$48:L$63,0))</f>
        <v/>
      </c>
      <c r="M70" s="125">
        <f>INDEX($B$48:$B$63,MATCH($B70,M$48:M$63,0))</f>
        <v/>
      </c>
      <c r="N70" s="125">
        <f>INDEX($B$48:$B$63,MATCH($B70,N$48:N$63,0))</f>
        <v/>
      </c>
      <c r="O70" s="125">
        <f>INDEX($B$48:$B$63,MATCH($B70,O$48:O$63,0))</f>
        <v/>
      </c>
      <c r="P70" s="125">
        <f>INDEX($B$48:$B$63,MATCH($B70,P$48:P$63,0))</f>
        <v/>
      </c>
      <c r="Q70" s="125">
        <f>INDEX($B$48:$B$63,MATCH($B70,Q$48:Q$63,0))</f>
        <v/>
      </c>
      <c r="R70" s="125">
        <f>INDEX($B$48:$B$63,MATCH($B70,R$48:R$63,0))</f>
        <v/>
      </c>
      <c r="S70" s="125">
        <f>INDEX($B$48:$B$63,MATCH($B70,S$48:S$63,0))</f>
        <v/>
      </c>
      <c r="T70" s="125">
        <f>INDEX($B$48:$B$63,MATCH($B70,T$48:T$63,0))</f>
        <v/>
      </c>
      <c r="U70" s="125">
        <f>INDEX($B$48:$B$63,MATCH($B70,U$48:U$63,0))</f>
        <v/>
      </c>
      <c r="V70" s="125">
        <f>INDEX($B$48:$B$63,MATCH($B70,V$48:V$63,0))</f>
        <v/>
      </c>
      <c r="W70" s="125">
        <f>INDEX($B$48:$B$63,MATCH($B70,W$48:W$63,0))</f>
        <v/>
      </c>
      <c r="X70" s="125">
        <f>INDEX($B$48:$B$63,MATCH($B70,X$48:X$63,0))</f>
        <v/>
      </c>
      <c r="Y70" s="125">
        <f>INDEX($B$48:$B$63,MATCH($B70,Y$48:Y$63,0))</f>
        <v/>
      </c>
      <c r="Z70" s="125">
        <f>INDEX($B$48:$B$63,MATCH($B70,Z$48:Z$63,0))</f>
        <v/>
      </c>
      <c r="AA70" s="125">
        <f>INDEX($B$48:$B$63,MATCH($B70,AA$48:AA$63,0))</f>
        <v/>
      </c>
      <c r="AB70" s="125">
        <f>INDEX($B$48:$B$63,MATCH($B70,AB$48:AB$63,0))</f>
        <v/>
      </c>
      <c r="AC70" s="125">
        <f>INDEX($B$48:$B$63,MATCH($B70,AC$48:AC$63,0))</f>
        <v/>
      </c>
      <c r="AD70" s="125">
        <f>INDEX($B$48:$B$63,MATCH($B70,AD$48:AD$63,0))</f>
        <v/>
      </c>
      <c r="AE70" s="125">
        <f>INDEX($B$48:$B$63,MATCH($B70,AE$48:AE$63,0))</f>
        <v/>
      </c>
      <c r="AF70" s="125">
        <f>INDEX($B$48:$B$63,MATCH($B70,AF$48:AF$63,0))</f>
        <v/>
      </c>
      <c r="AG70" s="125">
        <f>INDEX($B$48:$B$63,MATCH($B70,AG$48:AG$63,0))</f>
        <v/>
      </c>
      <c r="AH70" s="67" t="n"/>
      <c r="AI70" s="67" t="n"/>
      <c r="AJ70" s="67" t="n"/>
      <c r="AK70" s="6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</row>
    <row r="71" ht="19.5" customHeight="1">
      <c r="A71" s="67" t="n"/>
      <c r="B71" s="129" t="inlineStr">
        <is>
          <t>AE</t>
        </is>
      </c>
      <c r="C71" s="125">
        <f>INDEX($B$48:$B$63,MATCH($B71,C$48:C$63,0))</f>
        <v/>
      </c>
      <c r="D71" s="125">
        <f>INDEX($B$48:$B$63,MATCH($B71,D$48:D$63,0))</f>
        <v/>
      </c>
      <c r="E71" s="125">
        <f>INDEX($B$48:$B$63,MATCH($B71,E$48:E$63,0))</f>
        <v/>
      </c>
      <c r="F71" s="125">
        <f>INDEX($B$48:$B$63,MATCH($B71,F$48:F$63,0))</f>
        <v/>
      </c>
      <c r="G71" s="125">
        <f>INDEX($B$48:$B$63,MATCH($B71,G$48:G$63,0))</f>
        <v/>
      </c>
      <c r="H71" s="125">
        <f>INDEX($B$48:$B$63,MATCH($B71,H$48:H$63,0))</f>
        <v/>
      </c>
      <c r="I71" s="125">
        <f>INDEX($B$48:$B$63,MATCH($B71,I$48:I$63,0))</f>
        <v/>
      </c>
      <c r="J71" s="125">
        <f>INDEX($B$48:$B$63,MATCH($B71,J$48:J$63,0))</f>
        <v/>
      </c>
      <c r="K71" s="125">
        <f>INDEX($B$48:$B$63,MATCH($B71,K$48:K$63,0))</f>
        <v/>
      </c>
      <c r="L71" s="125">
        <f>INDEX($B$48:$B$63,MATCH($B71,L$48:L$63,0))</f>
        <v/>
      </c>
      <c r="M71" s="125">
        <f>INDEX($B$48:$B$63,MATCH($B71,M$48:M$63,0))</f>
        <v/>
      </c>
      <c r="N71" s="125">
        <f>INDEX($B$48:$B$63,MATCH($B71,N$48:N$63,0))</f>
        <v/>
      </c>
      <c r="O71" s="125">
        <f>INDEX($B$48:$B$63,MATCH($B71,O$48:O$63,0))</f>
        <v/>
      </c>
      <c r="P71" s="125">
        <f>INDEX($B$48:$B$63,MATCH($B71,P$48:P$63,0))</f>
        <v/>
      </c>
      <c r="Q71" s="125">
        <f>INDEX($B$48:$B$63,MATCH($B71,Q$48:Q$63,0))</f>
        <v/>
      </c>
      <c r="R71" s="125">
        <f>INDEX($B$48:$B$63,MATCH($B71,R$48:R$63,0))</f>
        <v/>
      </c>
      <c r="S71" s="125">
        <f>INDEX($B$48:$B$63,MATCH($B71,S$48:S$63,0))</f>
        <v/>
      </c>
      <c r="T71" s="125">
        <f>INDEX($B$48:$B$63,MATCH($B71,T$48:T$63,0))</f>
        <v/>
      </c>
      <c r="U71" s="125">
        <f>INDEX($B$48:$B$63,MATCH($B71,U$48:U$63,0))</f>
        <v/>
      </c>
      <c r="V71" s="125">
        <f>INDEX($B$48:$B$63,MATCH($B71,V$48:V$63,0))</f>
        <v/>
      </c>
      <c r="W71" s="125">
        <f>INDEX($B$48:$B$63,MATCH($B71,W$48:W$63,0))</f>
        <v/>
      </c>
      <c r="X71" s="125">
        <f>INDEX($B$48:$B$63,MATCH($B71,X$48:X$63,0))</f>
        <v/>
      </c>
      <c r="Y71" s="125">
        <f>INDEX($B$48:$B$63,MATCH($B71,Y$48:Y$63,0))</f>
        <v/>
      </c>
      <c r="Z71" s="125">
        <f>INDEX($B$48:$B$63,MATCH($B71,Z$48:Z$63,0))</f>
        <v/>
      </c>
      <c r="AA71" s="125">
        <f>INDEX($B$48:$B$63,MATCH($B71,AA$48:AA$63,0))</f>
        <v/>
      </c>
      <c r="AB71" s="125">
        <f>INDEX($B$48:$B$63,MATCH($B71,AB$48:AB$63,0))</f>
        <v/>
      </c>
      <c r="AC71" s="125">
        <f>INDEX($B$48:$B$63,MATCH($B71,AC$48:AC$63,0))</f>
        <v/>
      </c>
      <c r="AD71" s="125">
        <f>INDEX($B$48:$B$63,MATCH($B71,AD$48:AD$63,0))</f>
        <v/>
      </c>
      <c r="AE71" s="125">
        <f>INDEX($B$48:$B$63,MATCH($B71,AE$48:AE$63,0))</f>
        <v/>
      </c>
      <c r="AF71" s="125">
        <f>INDEX($B$48:$B$63,MATCH($B71,AF$48:AF$63,0))</f>
        <v/>
      </c>
      <c r="AG71" s="125">
        <f>INDEX($B$48:$B$63,MATCH($B71,AG$48:AG$63,0))</f>
        <v/>
      </c>
      <c r="AH71" s="67" t="n"/>
      <c r="AI71" s="67" t="n"/>
      <c r="AJ71" s="67" t="n"/>
      <c r="AK71" s="67" t="n"/>
      <c r="AL71" s="77" t="n"/>
      <c r="AM71" s="77" t="n"/>
      <c r="AN71" s="77" t="n"/>
      <c r="AO71" s="77" t="n"/>
      <c r="AP71" s="77" t="n"/>
      <c r="AQ71" s="77" t="n"/>
      <c r="AR71" s="77" t="n"/>
      <c r="AS71" s="77" t="n"/>
      <c r="AT71" s="77" t="n"/>
      <c r="AU71" s="77" t="n"/>
      <c r="AV71" s="77" t="n"/>
      <c r="AW71" s="77" t="n"/>
      <c r="AX71" s="77" t="n"/>
      <c r="AY71" s="77" t="n"/>
      <c r="AZ71" s="77" t="n"/>
      <c r="BA71" s="77" t="n"/>
      <c r="BB71" s="77" t="n"/>
      <c r="BC71" s="77" t="n"/>
      <c r="BD71" s="77" t="n"/>
      <c r="BE71" s="77" t="n"/>
      <c r="BF71" s="77" t="n"/>
      <c r="BG71" s="77" t="n"/>
      <c r="BH71" s="77" t="n"/>
      <c r="BI71" s="77" t="n"/>
      <c r="BJ71" s="77" t="n"/>
      <c r="BK71" s="77" t="n"/>
      <c r="BL71" s="77" t="n"/>
      <c r="BM71" s="77" t="n"/>
      <c r="BN71" s="77" t="n"/>
      <c r="BO71" s="77" t="n"/>
      <c r="BP71" s="77" t="n"/>
      <c r="BQ71" s="77" t="n"/>
    </row>
    <row r="72" ht="19.5" customHeight="1">
      <c r="A72" s="67" t="n"/>
      <c r="B72" s="60" t="inlineStr">
        <is>
          <t>RESERVE</t>
        </is>
      </c>
      <c r="C72" s="60">
        <f>INDEX($B$48:$B$63,MATCH($B72,C$48:C$63,0))</f>
        <v/>
      </c>
      <c r="D72" s="60">
        <f>INDEX($B$48:$B$63,MATCH($B72,D$48:D$63,0))</f>
        <v/>
      </c>
      <c r="E72" s="60">
        <f>INDEX($B$48:$B$63,MATCH($B72,E$48:E$63,0))</f>
        <v/>
      </c>
      <c r="F72" s="60">
        <f>INDEX($B$48:$B$63,MATCH($B72,F$48:F$63,0))</f>
        <v/>
      </c>
      <c r="G72" s="60">
        <f>INDEX($B$48:$B$63,MATCH($B72,G$48:G$63,0))</f>
        <v/>
      </c>
      <c r="H72" s="60">
        <f>INDEX($B$48:$B$63,MATCH($B72,H$48:H$63,0))</f>
        <v/>
      </c>
      <c r="I72" s="60">
        <f>INDEX($B$48:$B$63,MATCH($B72,I$48:I$63,0))</f>
        <v/>
      </c>
      <c r="J72" s="60">
        <f>INDEX($B$48:$B$63,MATCH($B72,J$48:J$63,0))</f>
        <v/>
      </c>
      <c r="K72" s="60">
        <f>INDEX($B$48:$B$63,MATCH($B72,K$48:K$63,0))</f>
        <v/>
      </c>
      <c r="L72" s="60">
        <f>INDEX($B$48:$B$63,MATCH($B72,L$48:L$63,0))</f>
        <v/>
      </c>
      <c r="M72" s="60">
        <f>INDEX($B$48:$B$63,MATCH($B72,M$48:M$63,0))</f>
        <v/>
      </c>
      <c r="N72" s="60">
        <f>INDEX($B$48:$B$63,MATCH($B72,N$48:N$63,0))</f>
        <v/>
      </c>
      <c r="O72" s="60">
        <f>INDEX($B$48:$B$63,MATCH($B72,O$48:O$63,0))</f>
        <v/>
      </c>
      <c r="P72" s="60">
        <f>INDEX($B$48:$B$63,MATCH($B72,P$48:P$63,0))</f>
        <v/>
      </c>
      <c r="Q72" s="60">
        <f>INDEX($B$48:$B$63,MATCH($B72,Q$48:Q$63,0))</f>
        <v/>
      </c>
      <c r="R72" s="60">
        <f>INDEX($B$48:$B$63,MATCH($B72,R$48:R$63,0))</f>
        <v/>
      </c>
      <c r="S72" s="60">
        <f>INDEX($B$48:$B$63,MATCH($B72,S$48:S$63,0))</f>
        <v/>
      </c>
      <c r="T72" s="60">
        <f>INDEX($B$48:$B$63,MATCH($B72,T$48:T$63,0))</f>
        <v/>
      </c>
      <c r="U72" s="60">
        <f>INDEX($B$48:$B$63,MATCH($B72,U$48:U$63,0))</f>
        <v/>
      </c>
      <c r="V72" s="60">
        <f>INDEX($B$48:$B$63,MATCH($B72,V$48:V$63,0))</f>
        <v/>
      </c>
      <c r="W72" s="60">
        <f>INDEX($B$48:$B$63,MATCH($B72,W$48:W$63,0))</f>
        <v/>
      </c>
      <c r="X72" s="60">
        <f>INDEX($B$48:$B$63,MATCH($B72,X$48:X$63,0))</f>
        <v/>
      </c>
      <c r="Y72" s="60">
        <f>INDEX($B$48:$B$63,MATCH($B72,Y$48:Y$63,0))</f>
        <v/>
      </c>
      <c r="Z72" s="60">
        <f>INDEX($B$48:$B$63,MATCH($B72,Z$48:Z$63,0))</f>
        <v/>
      </c>
      <c r="AA72" s="60">
        <f>INDEX($B$48:$B$63,MATCH($B72,AA$48:AA$63,0))</f>
        <v/>
      </c>
      <c r="AB72" s="60">
        <f>INDEX($B$48:$B$63,MATCH($B72,AB$48:AB$63,0))</f>
        <v/>
      </c>
      <c r="AC72" s="60">
        <f>INDEX($B$48:$B$63,MATCH($B72,AC$48:AC$63,0))</f>
        <v/>
      </c>
      <c r="AD72" s="60">
        <f>INDEX($B$48:$B$63,MATCH($B72,AD$48:AD$63,0))</f>
        <v/>
      </c>
      <c r="AE72" s="60">
        <f>INDEX($B$48:$B$63,MATCH($B72,AE$48:AE$63,0))</f>
        <v/>
      </c>
      <c r="AF72" s="60">
        <f>INDEX($B$48:$B$63,MATCH($B72,AF$48:AF$63,0))</f>
        <v/>
      </c>
      <c r="AG72" s="60">
        <f>INDEX($B$48:$B$63,MATCH($B72,AG$48:AG$63,0))</f>
        <v/>
      </c>
      <c r="AH72" s="67" t="n"/>
      <c r="AI72" s="67" t="n"/>
      <c r="AJ72" s="67" t="n"/>
      <c r="AK72" s="6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</row>
    <row r="73" ht="19.5" customHeight="1">
      <c r="A73" s="67" t="n"/>
      <c r="B73" s="60" t="inlineStr">
        <is>
          <t>NUMBER OF DM</t>
        </is>
      </c>
      <c r="C73" s="60">
        <f>COUNTIF(C48:C63,"DM")</f>
        <v/>
      </c>
      <c r="D73" s="60">
        <f>COUNTIF(D48:D63,"DM")</f>
        <v/>
      </c>
      <c r="E73" s="60">
        <f>COUNTIF(E48:E63,"DM")</f>
        <v/>
      </c>
      <c r="F73" s="60">
        <f>COUNTIF(F48:F63,"DM")</f>
        <v/>
      </c>
      <c r="G73" s="60">
        <f>COUNTIF(G48:G63,"DM")</f>
        <v/>
      </c>
      <c r="H73" s="60">
        <f>COUNTIF(H48:H63,"DM")</f>
        <v/>
      </c>
      <c r="I73" s="60">
        <f>COUNTIF(I48:I63,"DM")</f>
        <v/>
      </c>
      <c r="J73" s="60">
        <f>COUNTIF(J48:J63,"DM")</f>
        <v/>
      </c>
      <c r="K73" s="60">
        <f>COUNTIF(K48:K63,"DM")</f>
        <v/>
      </c>
      <c r="L73" s="60">
        <f>COUNTIF(L48:L63,"DM")</f>
        <v/>
      </c>
      <c r="M73" s="60">
        <f>COUNTIF(M48:M63,"DM")</f>
        <v/>
      </c>
      <c r="N73" s="60">
        <f>COUNTIF(N48:N63,"DM")</f>
        <v/>
      </c>
      <c r="O73" s="60">
        <f>COUNTIF(O48:O63,"DM")</f>
        <v/>
      </c>
      <c r="P73" s="60">
        <f>COUNTIF(P48:P63,"DM")</f>
        <v/>
      </c>
      <c r="Q73" s="60">
        <f>COUNTIF(Q48:Q63,"DM")</f>
        <v/>
      </c>
      <c r="R73" s="60">
        <f>COUNTIF(R48:R63,"DM")</f>
        <v/>
      </c>
      <c r="S73" s="60">
        <f>COUNTIF(S48:S63,"DM")</f>
        <v/>
      </c>
      <c r="T73" s="60">
        <f>COUNTIF(T48:T63,"DM")</f>
        <v/>
      </c>
      <c r="U73" s="60">
        <f>COUNTIF(U48:U63,"DM")</f>
        <v/>
      </c>
      <c r="V73" s="60">
        <f>COUNTIF(V48:V63,"DM")</f>
        <v/>
      </c>
      <c r="W73" s="60">
        <f>COUNTIF(W48:W63,"DM")</f>
        <v/>
      </c>
      <c r="X73" s="60">
        <f>COUNTIF(X48:X63,"DM")</f>
        <v/>
      </c>
      <c r="Y73" s="60">
        <f>COUNTIF(Y48:Y63,"DM")</f>
        <v/>
      </c>
      <c r="Z73" s="60">
        <f>COUNTIF(Z48:Z63,"DM")</f>
        <v/>
      </c>
      <c r="AA73" s="60">
        <f>COUNTIF(AA48:AA63,"DM")</f>
        <v/>
      </c>
      <c r="AB73" s="60">
        <f>COUNTIF(AB48:AB63,"DM")</f>
        <v/>
      </c>
      <c r="AC73" s="60">
        <f>COUNTIF(AC48:AC63,"DM")</f>
        <v/>
      </c>
      <c r="AD73" s="60">
        <f>COUNTIF(AD48:AD63,"DM")</f>
        <v/>
      </c>
      <c r="AE73" s="60">
        <f>COUNTIF(AE48:AE63,"DM")</f>
        <v/>
      </c>
      <c r="AF73" s="60">
        <f>COUNTIF(AF48:AF63,"DM")</f>
        <v/>
      </c>
      <c r="AG73" s="60">
        <f>COUNTIF(AG48:AG63,"DM")</f>
        <v/>
      </c>
      <c r="AH73" s="67" t="n"/>
      <c r="AI73" s="67" t="n"/>
      <c r="AJ73" s="67" t="n"/>
      <c r="AK73" s="67" t="n"/>
      <c r="AL73" s="77" t="n"/>
      <c r="AM73" s="77" t="n"/>
      <c r="AN73" s="77" t="n"/>
      <c r="AO73" s="77" t="n"/>
      <c r="AP73" s="77" t="n"/>
      <c r="AQ73" s="77" t="n"/>
      <c r="AR73" s="77" t="n"/>
      <c r="AS73" s="77" t="n"/>
      <c r="AT73" s="77" t="n"/>
      <c r="AU73" s="77" t="n"/>
      <c r="AV73" s="77" t="n"/>
      <c r="AW73" s="77" t="n"/>
      <c r="AX73" s="77" t="n"/>
      <c r="AY73" s="77" t="n"/>
      <c r="AZ73" s="77" t="n"/>
      <c r="BA73" s="77" t="n"/>
      <c r="BB73" s="77" t="n"/>
      <c r="BC73" s="77" t="n"/>
      <c r="BD73" s="77" t="n"/>
      <c r="BE73" s="77" t="n"/>
      <c r="BF73" s="77" t="n"/>
      <c r="BG73" s="77" t="n"/>
      <c r="BH73" s="77" t="n"/>
      <c r="BI73" s="77" t="n"/>
      <c r="BJ73" s="77" t="n"/>
      <c r="BK73" s="77" t="n"/>
      <c r="BL73" s="77" t="n"/>
      <c r="BM73" s="77" t="n"/>
      <c r="BN73" s="77" t="n"/>
      <c r="BO73" s="77" t="n"/>
      <c r="BP73" s="77" t="n"/>
      <c r="BQ73" s="77" t="n"/>
    </row>
    <row r="74" ht="19.5" customHeight="1">
      <c r="A74" s="67" t="n"/>
      <c r="B74" s="60" t="inlineStr">
        <is>
          <t>NUMBER OF SB</t>
        </is>
      </c>
      <c r="C74" s="60">
        <f>COUNTIF(C48:C63,"SB1")+COUNTIF(C48:C63,"SB2")</f>
        <v/>
      </c>
      <c r="D74" s="60">
        <f>COUNTIF(D48:D63,"SB1")+COUNTIF(D48:D63,"SB2")</f>
        <v/>
      </c>
      <c r="E74" s="60">
        <f>COUNTIF(E48:E63,"SB1")+COUNTIF(E48:E63,"SB2")</f>
        <v/>
      </c>
      <c r="F74" s="60">
        <f>COUNTIF(F48:F63,"SB1")+COUNTIF(F48:F63,"SB2")</f>
        <v/>
      </c>
      <c r="G74" s="60">
        <f>COUNTIF(G48:G63,"SB1")+COUNTIF(G48:G63,"SB2")</f>
        <v/>
      </c>
      <c r="H74" s="60">
        <f>COUNTIF(H48:H63,"SB1")+COUNTIF(H48:H63,"SB2")</f>
        <v/>
      </c>
      <c r="I74" s="60">
        <f>COUNTIF(I48:I63,"SB1")+COUNTIF(I48:I63,"SB2")</f>
        <v/>
      </c>
      <c r="J74" s="60">
        <f>COUNTIF(J48:J63,"SB1")+COUNTIF(J48:J63,"SB2")</f>
        <v/>
      </c>
      <c r="K74" s="60">
        <f>COUNTIF(K48:K63,"SB1")+COUNTIF(K48:K63,"SB2")</f>
        <v/>
      </c>
      <c r="L74" s="60">
        <f>COUNTIF(L48:L63,"SB1")+COUNTIF(L48:L63,"SB2")</f>
        <v/>
      </c>
      <c r="M74" s="60">
        <f>COUNTIF(M48:M63,"SB1")+COUNTIF(M48:M63,"SB2")</f>
        <v/>
      </c>
      <c r="N74" s="60">
        <f>COUNTIF(N48:N63,"SB1")+COUNTIF(N48:N63,"SB2")</f>
        <v/>
      </c>
      <c r="O74" s="60">
        <f>COUNTIF(O48:O63,"SB1")+COUNTIF(O48:O63,"SB2")</f>
        <v/>
      </c>
      <c r="P74" s="60">
        <f>COUNTIF(P48:P63,"SB1")+COUNTIF(P48:P63,"SB2")</f>
        <v/>
      </c>
      <c r="Q74" s="60">
        <f>COUNTIF(Q48:Q63,"SB1")+COUNTIF(Q48:Q63,"SB2")</f>
        <v/>
      </c>
      <c r="R74" s="60">
        <f>COUNTIF(R48:R63,"SB1")+COUNTIF(R48:R63,"SB2")</f>
        <v/>
      </c>
      <c r="S74" s="60">
        <f>COUNTIF(S48:S63,"SB1")+COUNTIF(S48:S63,"SB2")</f>
        <v/>
      </c>
      <c r="T74" s="60">
        <f>COUNTIF(T48:T63,"SB1")+COUNTIF(T48:T63,"SB2")</f>
        <v/>
      </c>
      <c r="U74" s="60">
        <f>COUNTIF(U48:U63,"SB1")+COUNTIF(U48:U63,"SB2")</f>
        <v/>
      </c>
      <c r="V74" s="60">
        <f>COUNTIF(V48:V63,"SB1")+COUNTIF(V48:V63,"SB2")</f>
        <v/>
      </c>
      <c r="W74" s="60">
        <f>COUNTIF(W48:W63,"SB1")+COUNTIF(W48:W63,"SB2")</f>
        <v/>
      </c>
      <c r="X74" s="60">
        <f>COUNTIF(X48:X63,"SB1")+COUNTIF(X48:X63,"SB2")</f>
        <v/>
      </c>
      <c r="Y74" s="60">
        <f>COUNTIF(Y48:Y63,"SB1")+COUNTIF(Y48:Y63,"SB2")</f>
        <v/>
      </c>
      <c r="Z74" s="60">
        <f>COUNTIF(Z48:Z63,"SB1")+COUNTIF(Z48:Z63,"SB2")</f>
        <v/>
      </c>
      <c r="AA74" s="60">
        <f>COUNTIF(AA48:AA63,"SB1")+COUNTIF(AA48:AA63,"SB2")</f>
        <v/>
      </c>
      <c r="AB74" s="60">
        <f>COUNTIF(AB48:AB63,"SB1")+COUNTIF(AB48:AB63,"SB2")</f>
        <v/>
      </c>
      <c r="AC74" s="60">
        <f>COUNTIF(AC48:AC63,"SB1")+COUNTIF(AC48:AC63,"SB2")</f>
        <v/>
      </c>
      <c r="AD74" s="60">
        <f>COUNTIF(AD48:AD63,"SB1")+COUNTIF(AD48:AD63,"SB2")</f>
        <v/>
      </c>
      <c r="AE74" s="60">
        <f>COUNTIF(AE48:AE63,"SB1")+COUNTIF(AE48:AE63,"SB2")</f>
        <v/>
      </c>
      <c r="AF74" s="60">
        <f>COUNTIF(AF48:AF63,"SB1")+COUNTIF(AF48:AF63,"SB2")</f>
        <v/>
      </c>
      <c r="AG74" s="60">
        <f>COUNTIF(AG48:AG63,"SB1")+COUNTIF(AG48:AG63,"SB2")</f>
        <v/>
      </c>
      <c r="AH74" s="67" t="n"/>
      <c r="AI74" s="67" t="n"/>
      <c r="AJ74" s="67" t="n"/>
      <c r="AK74" s="6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</row>
    <row r="75" ht="19.5" customHeight="1">
      <c r="A75" s="67" t="n"/>
      <c r="B75" s="60" t="inlineStr">
        <is>
          <t>NUMBER OF CS</t>
        </is>
      </c>
      <c r="C75" s="60">
        <f>COUNTIF(C48:C63,"CS1")</f>
        <v/>
      </c>
      <c r="D75" s="60">
        <f>COUNTIF(D48:D63,"CS1")</f>
        <v/>
      </c>
      <c r="E75" s="60">
        <f>COUNTIF(E48:E63,"CS1")</f>
        <v/>
      </c>
      <c r="F75" s="60">
        <f>COUNTIF(F48:F63,"CS1")</f>
        <v/>
      </c>
      <c r="G75" s="60">
        <f>COUNTIF(G48:G63,"CS1")</f>
        <v/>
      </c>
      <c r="H75" s="60">
        <f>COUNTIF(H48:H63,"CS1")</f>
        <v/>
      </c>
      <c r="I75" s="60">
        <f>COUNTIF(I48:I63,"CS1")</f>
        <v/>
      </c>
      <c r="J75" s="60">
        <f>COUNTIF(J48:J63,"CS1")</f>
        <v/>
      </c>
      <c r="K75" s="60">
        <f>COUNTIF(K48:K63,"CS1")</f>
        <v/>
      </c>
      <c r="L75" s="60">
        <f>COUNTIF(L48:L63,"CS1")</f>
        <v/>
      </c>
      <c r="M75" s="60">
        <f>COUNTIF(M48:M63,"CS1")</f>
        <v/>
      </c>
      <c r="N75" s="60">
        <f>COUNTIF(N48:N63,"CS1")</f>
        <v/>
      </c>
      <c r="O75" s="60">
        <f>COUNTIF(O48:O63,"CS1")</f>
        <v/>
      </c>
      <c r="P75" s="60">
        <f>COUNTIF(P48:P63,"CS1")</f>
        <v/>
      </c>
      <c r="Q75" s="60">
        <f>COUNTIF(Q48:Q63,"CS1")</f>
        <v/>
      </c>
      <c r="R75" s="60">
        <f>COUNTIF(R48:R63,"CS1")</f>
        <v/>
      </c>
      <c r="S75" s="60">
        <f>COUNTIF(S48:S63,"CS1")</f>
        <v/>
      </c>
      <c r="T75" s="60">
        <f>COUNTIF(T48:T63,"CS1")</f>
        <v/>
      </c>
      <c r="U75" s="60">
        <f>COUNTIF(U48:U63,"CS1")</f>
        <v/>
      </c>
      <c r="V75" s="60">
        <f>COUNTIF(V48:V63,"CS1")</f>
        <v/>
      </c>
      <c r="W75" s="60">
        <f>COUNTIF(W48:W63,"CS1")</f>
        <v/>
      </c>
      <c r="X75" s="60">
        <f>COUNTIF(X48:X63,"CS1")</f>
        <v/>
      </c>
      <c r="Y75" s="60">
        <f>COUNTIF(Y48:Y63,"CS1")</f>
        <v/>
      </c>
      <c r="Z75" s="60">
        <f>COUNTIF(Z48:Z63,"CS1")</f>
        <v/>
      </c>
      <c r="AA75" s="60">
        <f>COUNTIF(AA48:AA63,"CS1")</f>
        <v/>
      </c>
      <c r="AB75" s="60">
        <f>COUNTIF(AB48:AB63,"CS1")</f>
        <v/>
      </c>
      <c r="AC75" s="60">
        <f>COUNTIF(AC48:AC63,"CS1")</f>
        <v/>
      </c>
      <c r="AD75" s="60">
        <f>COUNTIF(AD48:AD63,"CS1")</f>
        <v/>
      </c>
      <c r="AE75" s="60">
        <f>COUNTIF(AE48:AE63,"CS1")</f>
        <v/>
      </c>
      <c r="AF75" s="60">
        <f>COUNTIF(AF48:AF63,"CS1")</f>
        <v/>
      </c>
      <c r="AG75" s="60">
        <f>COUNTIF(AG48:AG63,"CS1")</f>
        <v/>
      </c>
      <c r="AH75" s="67" t="n"/>
      <c r="AI75" s="67" t="n"/>
      <c r="AJ75" s="67" t="n"/>
      <c r="AK75" s="67" t="n"/>
      <c r="AL75" s="77" t="n"/>
      <c r="AM75" s="77" t="n"/>
      <c r="AN75" s="77" t="n"/>
      <c r="AO75" s="77" t="n"/>
      <c r="AP75" s="77" t="n"/>
      <c r="AQ75" s="77" t="n"/>
      <c r="AR75" s="77" t="n"/>
      <c r="AS75" s="77" t="n"/>
      <c r="AT75" s="77" t="n"/>
      <c r="AU75" s="77" t="n"/>
      <c r="AV75" s="77" t="n"/>
      <c r="AW75" s="77" t="n"/>
      <c r="AX75" s="77" t="n"/>
      <c r="AY75" s="77" t="n"/>
      <c r="AZ75" s="77" t="n"/>
      <c r="BA75" s="77" t="n"/>
      <c r="BB75" s="77" t="n"/>
      <c r="BC75" s="77" t="n"/>
      <c r="BD75" s="77" t="n"/>
      <c r="BE75" s="77" t="n"/>
      <c r="BF75" s="77" t="n"/>
      <c r="BG75" s="77" t="n"/>
      <c r="BH75" s="77" t="n"/>
      <c r="BI75" s="77" t="n"/>
      <c r="BJ75" s="77" t="n"/>
      <c r="BK75" s="77" t="n"/>
      <c r="BL75" s="77" t="n"/>
      <c r="BM75" s="77" t="n"/>
      <c r="BN75" s="77" t="n"/>
      <c r="BO75" s="77" t="n"/>
      <c r="BP75" s="77" t="n"/>
      <c r="BQ75" s="77" t="n"/>
    </row>
    <row r="76" ht="19.5" customHeight="1">
      <c r="A76" s="67" t="n"/>
      <c r="B76" s="60" t="inlineStr">
        <is>
          <t>NUMBER OF AE</t>
        </is>
      </c>
      <c r="C76" s="60">
        <f>COUNTIF(C48:C63,"AE")</f>
        <v/>
      </c>
      <c r="D76" s="60">
        <f>COUNTIF(D48:D63,"AE")</f>
        <v/>
      </c>
      <c r="E76" s="60">
        <f>COUNTIF(E48:E63,"AE")</f>
        <v/>
      </c>
      <c r="F76" s="60">
        <f>COUNTIF(F48:F63,"AE")</f>
        <v/>
      </c>
      <c r="G76" s="60">
        <f>COUNTIF(G48:G63,"AE")</f>
        <v/>
      </c>
      <c r="H76" s="60">
        <f>COUNTIF(H48:H63,"AE")</f>
        <v/>
      </c>
      <c r="I76" s="60">
        <f>COUNTIF(I48:I63,"AE")</f>
        <v/>
      </c>
      <c r="J76" s="60">
        <f>COUNTIF(J48:J63,"AE")</f>
        <v/>
      </c>
      <c r="K76" s="60">
        <f>COUNTIF(K48:K63,"AE")</f>
        <v/>
      </c>
      <c r="L76" s="60">
        <f>COUNTIF(L48:L63,"AE")</f>
        <v/>
      </c>
      <c r="M76" s="60">
        <f>COUNTIF(M48:M63,"AE")</f>
        <v/>
      </c>
      <c r="N76" s="60">
        <f>COUNTIF(N48:N63,"AE")</f>
        <v/>
      </c>
      <c r="O76" s="60">
        <f>COUNTIF(O48:O63,"AE")</f>
        <v/>
      </c>
      <c r="P76" s="60">
        <f>COUNTIF(P48:P63,"AE")</f>
        <v/>
      </c>
      <c r="Q76" s="60">
        <f>COUNTIF(Q48:Q63,"AE")</f>
        <v/>
      </c>
      <c r="R76" s="60">
        <f>COUNTIF(R48:R63,"AE")</f>
        <v/>
      </c>
      <c r="S76" s="60">
        <f>COUNTIF(S48:S63,"AE")</f>
        <v/>
      </c>
      <c r="T76" s="60">
        <f>COUNTIF(T48:T63,"AE")</f>
        <v/>
      </c>
      <c r="U76" s="60">
        <f>COUNTIF(U48:U63,"AE")</f>
        <v/>
      </c>
      <c r="V76" s="60">
        <f>COUNTIF(V48:V63,"AE")</f>
        <v/>
      </c>
      <c r="W76" s="60">
        <f>COUNTIF(W48:W63,"AE")</f>
        <v/>
      </c>
      <c r="X76" s="60">
        <f>COUNTIF(X48:X63,"AE")</f>
        <v/>
      </c>
      <c r="Y76" s="60">
        <f>COUNTIF(Y48:Y63,"AE")</f>
        <v/>
      </c>
      <c r="Z76" s="60">
        <f>COUNTIF(Z48:Z63,"AE")</f>
        <v/>
      </c>
      <c r="AA76" s="60">
        <f>COUNTIF(AA48:AA63,"AE")</f>
        <v/>
      </c>
      <c r="AB76" s="60">
        <f>COUNTIF(AB48:AB63,"AE")</f>
        <v/>
      </c>
      <c r="AC76" s="60">
        <f>COUNTIF(AC48:AC63,"AE")</f>
        <v/>
      </c>
      <c r="AD76" s="60">
        <f>COUNTIF(AD48:AD63,"AE")</f>
        <v/>
      </c>
      <c r="AE76" s="60">
        <f>COUNTIF(AE48:AE63,"AE")</f>
        <v/>
      </c>
      <c r="AF76" s="60">
        <f>COUNTIF(AF48:AF63,"AE")</f>
        <v/>
      </c>
      <c r="AG76" s="60">
        <f>COUNTIF(AG48:AG63,"AE")</f>
        <v/>
      </c>
      <c r="AH76" s="67" t="n"/>
      <c r="AI76" s="67" t="n"/>
      <c r="AJ76" s="67" t="n"/>
      <c r="AK76" s="6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</row>
    <row r="77" ht="19.5" customHeight="1">
      <c r="A77" s="67" t="n"/>
      <c r="B77" s="60" t="inlineStr">
        <is>
          <t>TOTAL DUTY TEAM STRENGTH</t>
        </is>
      </c>
      <c r="C77" s="60">
        <f>SUM(C73:C76)</f>
        <v/>
      </c>
      <c r="D77" s="60">
        <f>SUM(D73:D76)</f>
        <v/>
      </c>
      <c r="E77" s="60">
        <f>SUM(E73:E76)</f>
        <v/>
      </c>
      <c r="F77" s="60">
        <f>SUM(F73:F76)</f>
        <v/>
      </c>
      <c r="G77" s="60">
        <f>SUM(G73:G76)</f>
        <v/>
      </c>
      <c r="H77" s="60">
        <f>SUM(H73:H76)</f>
        <v/>
      </c>
      <c r="I77" s="60">
        <f>SUM(I73:I76)</f>
        <v/>
      </c>
      <c r="J77" s="60">
        <f>SUM(J73:J76)</f>
        <v/>
      </c>
      <c r="K77" s="60">
        <f>SUM(K73:K76)</f>
        <v/>
      </c>
      <c r="L77" s="60">
        <f>SUM(L73:L76)</f>
        <v/>
      </c>
      <c r="M77" s="60">
        <f>SUM(M73:M76)</f>
        <v/>
      </c>
      <c r="N77" s="60">
        <f>SUM(N73:N76)</f>
        <v/>
      </c>
      <c r="O77" s="60">
        <f>SUM(O73:O76)</f>
        <v/>
      </c>
      <c r="P77" s="60">
        <f>SUM(P73:P76)</f>
        <v/>
      </c>
      <c r="Q77" s="60">
        <f>SUM(Q73:Q76)</f>
        <v/>
      </c>
      <c r="R77" s="60">
        <f>SUM(R73:R76)</f>
        <v/>
      </c>
      <c r="S77" s="60">
        <f>SUM(S73:S76)</f>
        <v/>
      </c>
      <c r="T77" s="60">
        <f>SUM(T73:T76)</f>
        <v/>
      </c>
      <c r="U77" s="60">
        <f>SUM(U73:U76)</f>
        <v/>
      </c>
      <c r="V77" s="60">
        <f>SUM(V73:V76)</f>
        <v/>
      </c>
      <c r="W77" s="60">
        <f>SUM(W73:W76)</f>
        <v/>
      </c>
      <c r="X77" s="60">
        <f>SUM(X73:X76)</f>
        <v/>
      </c>
      <c r="Y77" s="60">
        <f>SUM(Y73:Y76)</f>
        <v/>
      </c>
      <c r="Z77" s="60">
        <f>SUM(Z73:Z76)</f>
        <v/>
      </c>
      <c r="AA77" s="60">
        <f>SUM(AA73:AA76)</f>
        <v/>
      </c>
      <c r="AB77" s="60">
        <f>SUM(AB73:AB76)</f>
        <v/>
      </c>
      <c r="AC77" s="60">
        <f>SUM(AC73:AC76)</f>
        <v/>
      </c>
      <c r="AD77" s="60">
        <f>SUM(AD73:AD76)</f>
        <v/>
      </c>
      <c r="AE77" s="60">
        <f>SUM(AE73:AE76)</f>
        <v/>
      </c>
      <c r="AF77" s="60">
        <f>SUM(AF73:AF76)</f>
        <v/>
      </c>
      <c r="AG77" s="60">
        <f>SUM(AG73:AG76)</f>
        <v/>
      </c>
      <c r="AH77" s="67" t="n"/>
      <c r="AI77" s="67" t="n"/>
      <c r="AJ77" s="67" t="n"/>
      <c r="AK77" s="67" t="n"/>
      <c r="AL77" s="77" t="n"/>
      <c r="AM77" s="77" t="n"/>
      <c r="AN77" s="77" t="n"/>
      <c r="AO77" s="77" t="n"/>
      <c r="AP77" s="77" t="n"/>
      <c r="AQ77" s="77" t="n"/>
      <c r="AR77" s="77" t="n"/>
      <c r="AS77" s="77" t="n"/>
      <c r="AT77" s="77" t="n"/>
      <c r="AU77" s="77" t="n"/>
      <c r="AV77" s="77" t="n"/>
      <c r="AW77" s="77" t="n"/>
      <c r="AX77" s="77" t="n"/>
      <c r="AY77" s="77" t="n"/>
      <c r="AZ77" s="77" t="n"/>
      <c r="BA77" s="77" t="n"/>
      <c r="BB77" s="77" t="n"/>
      <c r="BC77" s="77" t="n"/>
      <c r="BD77" s="77" t="n"/>
      <c r="BE77" s="77" t="n"/>
      <c r="BF77" s="77" t="n"/>
      <c r="BG77" s="77" t="n"/>
      <c r="BH77" s="77" t="n"/>
      <c r="BI77" s="77" t="n"/>
      <c r="BJ77" s="77" t="n"/>
      <c r="BK77" s="77" t="n"/>
      <c r="BL77" s="77" t="n"/>
      <c r="BM77" s="77" t="n"/>
      <c r="BN77" s="77" t="n"/>
      <c r="BO77" s="77" t="n"/>
      <c r="BP77" s="77" t="n"/>
      <c r="BQ77" s="77" t="n"/>
    </row>
    <row r="78" ht="19.5" customHeight="1">
      <c r="A78" s="67" t="n"/>
      <c r="B78" s="60" t="n"/>
      <c r="C78" s="60" t="n"/>
      <c r="D78" s="60" t="n"/>
      <c r="E78" s="60" t="n"/>
      <c r="F78" s="60" t="n"/>
      <c r="G78" s="60" t="n"/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  <c r="AA78" s="60" t="n"/>
      <c r="AB78" s="60" t="n"/>
      <c r="AC78" s="60" t="n"/>
      <c r="AD78" s="60" t="n"/>
      <c r="AE78" s="60" t="n"/>
      <c r="AF78" s="60" t="n"/>
      <c r="AG78" s="60" t="n"/>
      <c r="AH78" s="67" t="n"/>
      <c r="AI78" s="67" t="n"/>
      <c r="AJ78" s="67" t="n"/>
      <c r="AK78" s="6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</row>
    <row r="79" ht="19.5" customHeight="1">
      <c r="A79" s="67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  <c r="AA79" s="60" t="n"/>
      <c r="AB79" s="60" t="n"/>
      <c r="AC79" s="60" t="n"/>
      <c r="AD79" s="60" t="n"/>
      <c r="AE79" s="60" t="n"/>
      <c r="AF79" s="60" t="n"/>
      <c r="AG79" s="60" t="n"/>
      <c r="AH79" s="67" t="n"/>
      <c r="AI79" s="67" t="n"/>
      <c r="AJ79" s="67" t="n"/>
      <c r="AK79" s="67" t="n"/>
      <c r="AL79" s="77" t="n"/>
      <c r="AM79" s="77" t="n"/>
      <c r="AN79" s="77" t="n"/>
      <c r="AO79" s="77" t="n"/>
      <c r="AP79" s="77" t="n"/>
      <c r="AQ79" s="77" t="n"/>
      <c r="AR79" s="77" t="n"/>
      <c r="AS79" s="77" t="n"/>
      <c r="AT79" s="77" t="n"/>
      <c r="AU79" s="77" t="n"/>
      <c r="AV79" s="77" t="n"/>
      <c r="AW79" s="77" t="n"/>
      <c r="AX79" s="77" t="n"/>
      <c r="AY79" s="77" t="n"/>
      <c r="AZ79" s="77" t="n"/>
      <c r="BA79" s="77" t="n"/>
      <c r="BB79" s="77" t="n"/>
      <c r="BC79" s="77" t="n"/>
      <c r="BD79" s="77" t="n"/>
      <c r="BE79" s="77" t="n"/>
      <c r="BF79" s="77" t="n"/>
      <c r="BG79" s="77" t="n"/>
      <c r="BH79" s="77" t="n"/>
      <c r="BI79" s="77" t="n"/>
      <c r="BJ79" s="77" t="n"/>
      <c r="BK79" s="77" t="n"/>
      <c r="BL79" s="77" t="n"/>
      <c r="BM79" s="77" t="n"/>
      <c r="BN79" s="77" t="n"/>
      <c r="BO79" s="77" t="n"/>
      <c r="BP79" s="77" t="n"/>
      <c r="BQ79" s="77" t="n"/>
    </row>
    <row r="80" ht="19.5" customHeight="1">
      <c r="A80" s="67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7" t="n"/>
      <c r="AI80" s="67" t="n"/>
      <c r="AJ80" s="67" t="n"/>
      <c r="AK80" s="6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</row>
    <row r="81" ht="19.5" customHeight="1">
      <c r="A81" s="67" t="n"/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7" t="n"/>
      <c r="AI81" s="67" t="n"/>
      <c r="AJ81" s="67" t="n"/>
      <c r="AK81" s="67" t="n"/>
      <c r="AL81" s="77" t="n"/>
      <c r="AM81" s="77" t="n"/>
      <c r="AN81" s="77" t="n"/>
      <c r="AO81" s="77" t="n"/>
      <c r="AP81" s="77" t="n"/>
      <c r="AQ81" s="77" t="n"/>
      <c r="AR81" s="77" t="n"/>
      <c r="AS81" s="77" t="n"/>
      <c r="AT81" s="77" t="n"/>
      <c r="AU81" s="77" t="n"/>
      <c r="AV81" s="77" t="n"/>
      <c r="AW81" s="77" t="n"/>
      <c r="AX81" s="77" t="n"/>
      <c r="AY81" s="77" t="n"/>
      <c r="AZ81" s="77" t="n"/>
      <c r="BA81" s="77" t="n"/>
      <c r="BB81" s="77" t="n"/>
      <c r="BC81" s="77" t="n"/>
      <c r="BD81" s="77" t="n"/>
      <c r="BE81" s="77" t="n"/>
      <c r="BF81" s="77" t="n"/>
      <c r="BG81" s="77" t="n"/>
      <c r="BH81" s="77" t="n"/>
      <c r="BI81" s="77" t="n"/>
      <c r="BJ81" s="77" t="n"/>
      <c r="BK81" s="77" t="n"/>
      <c r="BL81" s="77" t="n"/>
      <c r="BM81" s="77" t="n"/>
      <c r="BN81" s="77" t="n"/>
      <c r="BO81" s="77" t="n"/>
      <c r="BP81" s="77" t="n"/>
      <c r="BQ81" s="77" t="n"/>
    </row>
  </sheetData>
  <mergeCells count="3">
    <mergeCell ref="AQ3:AQ4"/>
    <mergeCell ref="C1:S1"/>
    <mergeCell ref="AR3:AR4"/>
  </mergeCells>
  <conditionalFormatting sqref="Q16">
    <cfRule type="expression" priority="6" dxfId="136">
      <formula>WEEKDAY(T$3,2)&gt;5</formula>
    </cfRule>
    <cfRule type="expression" priority="7" dxfId="136">
      <formula>WEEKDAY(U$3,2)&gt;5</formula>
    </cfRule>
  </conditionalFormatting>
  <conditionalFormatting sqref="AC17">
    <cfRule type="expression" priority="2" dxfId="136">
      <formula>WEEKDAY(T$3,2)&gt;5</formula>
    </cfRule>
    <cfRule type="expression" priority="3" dxfId="136">
      <formula>WEEKDAY(U$3,2)&gt;5</formula>
    </cfRule>
  </conditionalFormatting>
  <conditionalFormatting sqref="C19:F19">
    <cfRule type="expression" priority="11" dxfId="136">
      <formula>WEEKDAY(D$3,2)&gt;5</formula>
    </cfRule>
  </conditionalFormatting>
  <conditionalFormatting sqref="G20">
    <cfRule type="expression" priority="1" dxfId="136">
      <formula>WEEKDAY(G$3,2)&gt;5</formula>
    </cfRule>
  </conditionalFormatting>
  <conditionalFormatting sqref="D21">
    <cfRule type="expression" priority="8" dxfId="136">
      <formula>WEEKDAY(G$3,2)&gt;5</formula>
    </cfRule>
    <cfRule type="expression" priority="9" dxfId="136">
      <formula>WEEKDAY(F$3,2)&gt;5</formula>
    </cfRule>
  </conditionalFormatting>
  <conditionalFormatting sqref="W56">
    <cfRule type="expression" priority="4" dxfId="136">
      <formula>WEEKDAY(V$3,2)&gt;5</formula>
    </cfRule>
  </conditionalFormatting>
  <conditionalFormatting sqref="A1:BQ81">
    <cfRule type="cellIs" priority="78" operator="equal" dxfId="155">
      <formula>"RESERVE"</formula>
    </cfRule>
  </conditionalFormatting>
  <conditionalFormatting sqref="B39:B45 C3:S65 T2:X65 Y3:AG65">
    <cfRule type="expression" priority="71" dxfId="136">
      <formula>WEEKDAY(T$3,2)&gt;5</formula>
    </cfRule>
  </conditionalFormatting>
  <conditionalFormatting sqref="B39:B45 C5:I81 J4:J81 K5:Z81 AA4:AA81 AB5:AG81">
    <cfRule type="cellIs" priority="56" operator="equal" dxfId="137">
      <formula>"B"</formula>
    </cfRule>
    <cfRule type="cellIs" priority="57" operator="equal" dxfId="137">
      <formula>"AL"</formula>
    </cfRule>
    <cfRule type="cellIs" priority="58" operator="equal" dxfId="138">
      <formula>"DM"</formula>
    </cfRule>
    <cfRule type="cellIs" priority="59" operator="equal" dxfId="139">
      <formula>"CS1"</formula>
    </cfRule>
    <cfRule type="cellIs" priority="60" operator="equal" dxfId="140">
      <formula>"CS2"</formula>
    </cfRule>
    <cfRule type="cellIs" priority="61" operator="equal" dxfId="141">
      <formula>"SB1"</formula>
    </cfRule>
    <cfRule type="cellIs" priority="62" operator="equal" dxfId="142">
      <formula>"SB2"</formula>
    </cfRule>
    <cfRule type="cellIs" priority="63" operator="equal" dxfId="143">
      <formula>"AE"</formula>
    </cfRule>
  </conditionalFormatting>
  <conditionalFormatting sqref="B39:B45 C5:I65 J4:J65 K5:Z65 AA4:AA65 AB5:AG65">
    <cfRule type="cellIs" priority="65" operator="equal" dxfId="137">
      <formula>"DB"</formula>
    </cfRule>
    <cfRule type="containsText" priority="66" operator="between" dxfId="144" text="$AM">
      <formula>NOT(ISERROR(SEARCH("$AM",B4)))</formula>
    </cfRule>
    <cfRule type="containsText" priority="67" operator="between" dxfId="145" text="$PM">
      <formula>NOT(ISERROR(SEARCH("$PM",B4)))</formula>
    </cfRule>
    <cfRule type="containsText" priority="68" operator="between" dxfId="146" text="$L">
      <formula>NOT(ISERROR(SEARCH("$L",B4)))</formula>
    </cfRule>
    <cfRule type="containsText" priority="69" operator="between" dxfId="147" text="$BTP">
      <formula>NOT(ISERROR(SEARCH("$BTP",B4)))</formula>
    </cfRule>
    <cfRule type="containsText" priority="70" operator="between" dxfId="148" text="$M">
      <formula>NOT(ISERROR(SEARCH("$M",B4)))</formula>
    </cfRule>
    <cfRule type="containsText" priority="72" operator="between" dxfId="149" text="$N">
      <formula>NOT(ISERROR(SEARCH("$N",B4)))</formula>
    </cfRule>
    <cfRule type="containsText" priority="73" operator="between" dxfId="150" text="$FC">
      <formula>NOT(ISERROR(SEARCH("$FC",B4)))</formula>
    </cfRule>
    <cfRule type="containsText" priority="74" operator="between" dxfId="151" text="OAL">
      <formula>NOT(ISERROR(SEARCH("OAL",B4)))</formula>
    </cfRule>
    <cfRule type="containsText" priority="75" operator="between" dxfId="152" text="S+">
      <formula>NOT(ISERROR(SEARCH("S+",B4)))</formula>
    </cfRule>
    <cfRule type="containsText" priority="76" operator="between" dxfId="153" text="EX-D">
      <formula>NOT(ISERROR(SEARCH("EX-D",B4)))</formula>
    </cfRule>
  </conditionalFormatting>
  <conditionalFormatting sqref="B39:B45 C5:C8 C10:C22 C27 C33:C51 D5 D10:D13 D15:D22 D25:D27 D32 D35 D39:D46 E5:E10 E12:E19 E22 E24:E25 E29:E47 E49:E50 F5:F13 F15:F20 F22:F24 F27 F29 F31:F32 F35:F36 F39:G46 F54 G5:G12 G14 G17:G23 G25 G27:G28 G31:G33 H6 H8:H21 H24:J25 H29 H32:I32 H34:H36 H38:H50 H54:H56 H58:H61 I5:I8 I11:I20 I22 I28 I39:I46 J4:J5 J8:J14 J16 J18 J20:J22 J28:J49 J51 K5 K7:K10 K12:K14 K16:K21 K25:L25 K28 K30:K35 K37:K48 K50:L51 K60 L5:L7 L10 L12:L13 L15:L23 L29:M29 L32:M47 L58 L63 M5:M10 M12:M21 M23:M27 M49:M51 N6 N8 N10 N12:N13 N15:N18 N20:N22 N25 N30:O33 N39:N46 N48 O5:O7 O9 O12:O16 O18 O20:O25 O27:O28 O35 O37:O46 P6 P12 P14:P21 P23 P25:P26 P31:P33 P36:Q36 P39:P46 Q6:S7 Q9:Q20 Q22:Q23 Q27 Q38:Q47 Q50:R51 Q61 R10:R14 R16:R25 R27:R30 R34 R36:R47 R55 S9:S10 S13:S25 S27 S29 S32:S33 S36 S39:U46 T5:T7 T11:T13 T16 T18 T20:T23 T26 T28 T31:T33 T35:T36 T57:U57 U6:U7 U9:U10 U12:U15 U17:U21 U23 U26:U27 U31 U35 U49 U52:U55 U59:U65 V5:V6 V8:V11 V13:V31 V33:V50 W5:W8 W10:W20 W22 W24:W28 W32:W51 W56 X6 X8:X20 X22:X25 X27:X31 X33:X51 Y5:Y24 Y27:Y47 Y49:Y51 Y59 Z5:Z63 AA5:AA58 AA60:AA63 AB5:AB63 AC5 AC7:AC29 AC31:AC63 AD5:AD26 AD30:AE30 AD32 AD34:AD63 AE7:AE15 AE17:AE27 AE32:AE37 AE39:AG46 AE49:AF50 AE58:AG58 AF5:AF13 AF15:AF22 AF24:AF27 AF31 AF34:AF35 AG5:AG26 AG35 AG50">
    <cfRule type="containsText" priority="77" operator="between" dxfId="154" text="VACC">
      <formula>NOT(ISERROR(SEARCH("VACC",B4)))</formula>
    </cfRule>
  </conditionalFormatting>
  <conditionalFormatting sqref="B39:B45 C5:C8 C10:C25 C27 C33:C51 D5 D10:D13 D15:D22 D25:D27 D32 D35 D39:D46 E5:E10 E12:E14 E16:E19 E22 E24:E25 E29:E47 E49:E50 F5:F13 F15:F20 F22:F24 F27 F29 F31:F32 F35:F36 F39:G46 F54 G5:G12 G14 G17:G23 G25 G27:G28 G31:G33 H6 H8:H21 H24:J25 H29 H32:I32 H34:H36 H38:H50 H54:H56 H58:H61 I5:I8 I11:I20 I22 I28:K28 I39:J46 J5:K5 J8:J13 J18 J20:J21 J31:J34 K7 K9:K10 K12:K14 K16:K18 K25:L25 K30 K32:K35 K37:K48 K50:L51 K60 L5:L7 L10 L12:L13 L15:L17 L19:L21 L23:M23 L29:M29 L32:M47 L58 L63 M5:M10 M12:M14 M16:M21 M25:M27 M49:M51 N6 N8 N10 N12:N13 N16:N17 N22 N25:P25 N30:O33 N39:N46 O5:O7 O12:O16 O20:O23 O27 O35 O37:O46 P6 P12 P14 P16:P18 P20:P21 P23:Q23 P31:P33 P36:Q36 P39:P46 Q10:Q20 Q26:Q27 Q38:Q47 Q50:R51 Q61 R5:R25 R27:R31 R33:R48 R55 S7 S9 S13:T13 S15:S18 S20:T21 S23:S25 S27 S29 S32 S36 S39:V46 T6 T11 T16 T18 T23:U23 T28 T31:T33 T35:T36 T57 U7 U9:U10 U13:U15 U17:U20 U27 U31 U35 V5 V9 V11 V13 V15:V16 V18:V19 V22:V25 V27:V28 V30:V31 V34 W5:W8 W10:W20 W22 W24:W28 W32:W51 X9:X12 X14:X20 X23:X24 X27 X29:X31 X33:X51 Y5:Z5 Y8:Y9 Y11:Y13 Y15:Y19 Y24:Z24 Y39:Y46 Y50 Y59 Z9:Z10 Z14:Z15 Z21:Z22 Z30 Z34 Z37:Z63 AA13:AA15 AA17 AA19 AA25 AA35:AB35 AA38:AA47 AA49:AA58 AA60:AA61 AB5:AB6 AB11 AB13 AB15:AB18 AB20 AB24 AB27 AB33 AB37:AB63 AC5 AC7:AC8 AC11:AC13 AC17 AC19:AC20 AC22 AC24:AC25 AC27:AC28 AC34:AD63 AD5:AD9 AD13:AE15 AD17:AE18 AE8:AE9 AE11:AF11 AE21:AE23 AE25 AE27 AE30 AE32 AE34 AE36:AE37 AE39:AG46 AE49:AF50 AE58:AG58 AF7:AF9 AF16:AF17 AF20 AF24:AF27 AF31 AG7:AG11 AG13:AG14 AG16:AG19 AG24 AG50">
    <cfRule type="cellIs" priority="12" operator="equal" dxfId="137">
      <formula>"B"</formula>
    </cfRule>
    <cfRule type="cellIs" priority="13" operator="equal" dxfId="137">
      <formula>"AL"</formula>
    </cfRule>
    <cfRule type="cellIs" priority="14" operator="equal" dxfId="138">
      <formula>"DM"</formula>
    </cfRule>
    <cfRule type="cellIs" priority="15" operator="equal" dxfId="139">
      <formula>"CS1"</formula>
    </cfRule>
    <cfRule type="cellIs" priority="16" operator="equal" dxfId="140">
      <formula>"CS2"</formula>
    </cfRule>
    <cfRule type="cellIs" priority="17" operator="equal" dxfId="141">
      <formula>"SB1"</formula>
    </cfRule>
    <cfRule type="cellIs" priority="18" operator="equal" dxfId="142">
      <formula>"SB2"</formula>
    </cfRule>
    <cfRule type="cellIs" priority="19" operator="equal" dxfId="143">
      <formula>"AE"</formula>
    </cfRule>
    <cfRule type="cellIs" priority="20" operator="equal" dxfId="137">
      <formula>"DB"</formula>
    </cfRule>
    <cfRule type="containsText" priority="21" operator="between" dxfId="144" text="$AM">
      <formula>NOT(ISERROR(SEARCH("$AM",B5)))</formula>
    </cfRule>
    <cfRule type="containsText" priority="22" operator="between" dxfId="145" text="$PM">
      <formula>NOT(ISERROR(SEARCH("$PM",B5)))</formula>
    </cfRule>
    <cfRule type="containsText" priority="23" operator="between" dxfId="146" text="$L">
      <formula>NOT(ISERROR(SEARCH("$L",B5)))</formula>
    </cfRule>
    <cfRule type="containsText" priority="24" operator="between" dxfId="147" text="$BTP">
      <formula>NOT(ISERROR(SEARCH("$BTP",B5)))</formula>
    </cfRule>
    <cfRule type="containsText" priority="25" operator="between" dxfId="148" text="$M">
      <formula>NOT(ISERROR(SEARCH("$M",B5)))</formula>
    </cfRule>
    <cfRule type="containsText" priority="26" operator="between" dxfId="149" text="$N">
      <formula>NOT(ISERROR(SEARCH("$N",B5)))</formula>
    </cfRule>
    <cfRule type="containsText" priority="27" operator="between" dxfId="150" text="$FC">
      <formula>NOT(ISERROR(SEARCH("$FC",B5)))</formula>
    </cfRule>
    <cfRule type="containsText" priority="28" operator="between" dxfId="151" text="OAL">
      <formula>NOT(ISERROR(SEARCH("OAL",B5)))</formula>
    </cfRule>
    <cfRule type="containsText" priority="29" operator="between" dxfId="152" text="S+">
      <formula>NOT(ISERROR(SEARCH("S+",B5)))</formula>
    </cfRule>
    <cfRule type="containsText" priority="30" operator="between" dxfId="153" text="EX-D">
      <formula>NOT(ISERROR(SEARCH("EX-D",B5)))</formula>
    </cfRule>
  </conditionalFormatting>
  <conditionalFormatting sqref="B39:B45 C5:C8 C10:C22 C27 C33:C51 D5 D10:D13 D15:D22 D25:D27 D32 D35 D39:D46 E5:E10 E12:E14 E16:E19 E21:E22 E24:E25 E29:E47 E49:E50 F5:F13 F15:F20 F22:F24 F27 F29 F31:F32 F35:F36 F39:G46 F54 G5:G12 G14 G17:G23 G25 G27:G28 G31:G33 H6 H8:H21 H24:J25 H29 H32:I32 H34:H36 H38:H50 H54:H56 H58:H61 I5:I8 I11:I20 I22 I28 I39:J46 J5:L5 J7:J13 J18 J20:J21 J28:J34 K7:L7 K9:K10 K12:K14 K16:K19 K25:L25 K28 K30 K32:K35 K37:K48 K50:L51 K60 L10 L12:L13 L15:L23 L29:M29 L32:M47 L58 L63 M5:M10 M12:M14 M16:M21 M23:M27 M49:M51 N6 N8 N10 N12:N13 N16:N18 N22 N25:P25 N30:O33 N39:P46 O5:O7 O12:O15 O20:O23 O27 O35 P6 P12 P14 P16:P21 P23:Q23 P31:P33 P36:Q36 Q7:S7 Q10:Q20 Q27 Q38:Q47 Q50:R51 Q61 R10:R14 R16:R25 R27:R30 R34 R36:R47 R55 S9 S13:T13 S15:S18 S20 S23:S25 S27 S29 S32 S36 S39:U46 T6 T11 T16 T18 T20:T23 T28 T31:T33 T35:T36 T57 U7 U9:U10 U13:U15 U17:U20 U23 U27 U31 U35 V5 V9 V11 V13:V16 V18:V19 V22:V28 V30:V31 V33:V35 V37:V50 W5:W8 W10:W20 W22 W24:W28 W32:W51 X9:X12 X14:X20 X23:X24 X27 X29:X31 X33:X51 Y5:AA5 Y9:Y13 Y15:Y19 Y30 Y35 Y39:Y46 Y50 Y59 Z8:Z10 Z12:Z15 Z21:Z22 Z24:Z25 Z29:Z31 Z33:Z35 Z37:Z63 AA8:AA15 AA17:AA20 AA22 AA25 AA29:AA35 AA38:AA47 AA49:AA58 AA60:AA61 AB5:AB7 AB9 AB11:AB13 AB15:AB20 AB23:AB25 AB27 AB29:AB63 AC5 AC7:AC8 AC10:AC13 AC17:AC28 AC33:AC63 AD5:AD15 AD17:AE18 AD20 AD23 AD25:AE25 AD30:AE30 AD34:AD63 AE7:AG11 AE13:AE15 AE21:AE23 AE27 AE32:AE37 AE39:AG46 AE49:AF50 AE58:AG58 AF13 AF16:AF17 AF20 AF22:AG22 AF24:AF27 AF31 AF35:AG35 AG13:AG14 AG16:AG19 AG24 AG50">
    <cfRule type="expression" priority="31" dxfId="136">
      <formula>WEEKDAY(#REF!,2)&gt;5</formula>
    </cfRule>
  </conditionalFormatting>
  <conditionalFormatting sqref="B39:B45 C5:C8 C10:C22 C27 C33:C51 D5 D10:D13 D15:D22 D25:D27 D32 D35 D39:D46 E5:E10 E12:E19 E22 E24:E25 E29:E47 E49:E50 F5:F13 F15:F20 F22:F24 F27 F29 F31:F32 F35:F36 F39:G46 F54 G5:G12 G14 G17:G23 G25 G27:G28 G31:G33 H6 H8:H21 H24:J25 H29 H32:I32 H34:H36 H38:H50 H54:H56 H58:H61 I5:I8 I11:I20 I22 I28 I39:I46 J5:K5 J8:J14 J16 J18 J20:J22 J28:J49 J51 K7:K10 K12:K14 K16:K21 K25:L25 K28 K30:K35 K37:K48 K50:L51 K60 L5:L7 L10 L12:L13 L15:L23 L29:M29 L32:M47 L58 L63 M5:M10 M12:M21 M23:M27 M49:M51 N6 N8 N10 N12:N13 N15:N18 N20:N22 N25 N30:O33 N39:N46 N48 O5:O7 O9 O12:O16 O18 O20:O25 O27:O28 O35 O37:O46 P6 P12 P14:P21 P23 P25:P26 P31:P33 P36:Q36 P39:P46 Q6:Q7 Q9:Q20 Q22:Q23 Q27:S27 Q38:Q47 Q50:R51 Q61 R6 R10:R14 R16:R25 R29:R30 R34 R36:R47 R55 S6:S7 S9:S10 S13:S25 S29 S32:S33 S36 S39:U46 T5:T7 T11:T13 T16 T18 T20:T23 T26 T28 T31:T33 T35:T36 T57:U57 U6:U7 U9:U10 U12:U15 U17:U21 U23 U26:U27 U31 U35 U49 U52:U55 U59:U65 V5:V6 V8:V11 V13:V31 V33:V50 W5:W8 W10:W20 W22 W24:W28 W32:W51 W56 X6 X8:X20 X22:X25 X27:X31 X33:X51 Y5:Y24 Y27:Y47 Y49:Y51 Y59 Z5:Z63 AA5:AA58 AA60:AA63 AB5:AB63 AC5 AC7:AC29 AC31:AC63 AD5:AD26 AD30:AE30 AD32 AD34:AD63 AE7:AE15 AE17:AE27 AE32:AE37 AE39:AG46 AE49:AF50 AE58:AG58 AF5:AF13 AF15:AF22 AF24:AF27 AF31 AF34:AF35 AG5:AG26 AG35 AG50">
    <cfRule type="cellIs" priority="35" operator="equal" dxfId="137">
      <formula>"B"</formula>
    </cfRule>
    <cfRule type="cellIs" priority="36" operator="equal" dxfId="137">
      <formula>"AL"</formula>
    </cfRule>
    <cfRule type="cellIs" priority="37" operator="equal" dxfId="138">
      <formula>"DM"</formula>
    </cfRule>
    <cfRule type="cellIs" priority="38" operator="equal" dxfId="139">
      <formula>"CS1"</formula>
    </cfRule>
    <cfRule type="cellIs" priority="39" operator="equal" dxfId="140">
      <formula>"CS2"</formula>
    </cfRule>
    <cfRule type="cellIs" priority="40" operator="equal" dxfId="141">
      <formula>"SB1"</formula>
    </cfRule>
    <cfRule type="cellIs" priority="41" operator="equal" dxfId="142">
      <formula>"SB2"</formula>
    </cfRule>
    <cfRule type="cellIs" priority="42" operator="equal" dxfId="143">
      <formula>"AE"</formula>
    </cfRule>
    <cfRule type="cellIs" priority="44" operator="equal" dxfId="137">
      <formula>"DB"</formula>
    </cfRule>
    <cfRule type="containsText" priority="45" operator="between" dxfId="144" text="$AM">
      <formula>NOT(ISERROR(SEARCH("$AM",B5)))</formula>
    </cfRule>
    <cfRule type="containsText" priority="46" operator="between" dxfId="145" text="$PM">
      <formula>NOT(ISERROR(SEARCH("$PM",B5)))</formula>
    </cfRule>
    <cfRule type="containsText" priority="47" operator="between" dxfId="146" text="$L">
      <formula>NOT(ISERROR(SEARCH("$L",B5)))</formula>
    </cfRule>
    <cfRule type="containsText" priority="48" operator="between" dxfId="147" text="$BTP">
      <formula>NOT(ISERROR(SEARCH("$BTP",B5)))</formula>
    </cfRule>
    <cfRule type="containsText" priority="49" operator="between" dxfId="148" text="$M">
      <formula>NOT(ISERROR(SEARCH("$M",B5)))</formula>
    </cfRule>
    <cfRule type="containsText" priority="50" operator="between" dxfId="149" text="$N">
      <formula>NOT(ISERROR(SEARCH("$N",B5)))</formula>
    </cfRule>
    <cfRule type="containsText" priority="51" operator="between" dxfId="150" text="$FC">
      <formula>NOT(ISERROR(SEARCH("$FC",B5)))</formula>
    </cfRule>
    <cfRule type="containsText" priority="52" operator="between" dxfId="151" text="OAL">
      <formula>NOT(ISERROR(SEARCH("OAL",B5)))</formula>
    </cfRule>
    <cfRule type="containsText" priority="53" operator="between" dxfId="152" text="S+">
      <formula>NOT(ISERROR(SEARCH("S+",B5)))</formula>
    </cfRule>
    <cfRule type="containsText" priority="54" operator="between" dxfId="153" text="EX-D">
      <formula>NOT(ISERROR(SEARCH("EX-D",B5)))</formula>
    </cfRule>
    <cfRule type="expression" priority="55" dxfId="136">
      <formula>WEEKDAY(#REF!,2)&gt;5</formula>
    </cfRule>
  </conditionalFormatting>
  <conditionalFormatting sqref="B39:B45 C5:AG81">
    <cfRule type="containsText" priority="43" operator="between" dxfId="1388" text="CS/B">
      <formula>NOT(ISERROR(SEARCH("CS/B",B5)))</formula>
    </cfRule>
  </conditionalFormatting>
  <conditionalFormatting sqref="BP5:BQ65">
    <cfRule type="cellIs" priority="64" operator="lessThan" dxfId="155">
      <formula>1</formula>
    </cfRule>
  </conditionalFormatting>
  <conditionalFormatting sqref="C10 G10 S7 S9 S32 T11 U9 V15 V18 V30 W6 W8 W10 W20 W22 X18 X27 X31 Y9:Z9 Y11 Z14 AA13 AB27 AC24 AD8 AE25 AG13">
    <cfRule type="expression" priority="32" dxfId="136">
      <formula>WEEKDAY(Y$3,2)&gt;5</formula>
    </cfRule>
  </conditionalFormatting>
  <conditionalFormatting sqref="S9 S32 T11 U9 U49 U52:U55 U57 U59:U65 V15 V18 V30 W6 W8 W10 W20 W22 X18 X27 X31 Y9 Y11 Z9:Z10 Z14 AA13 AB27 AC24 AD8 AE25 AG13">
    <cfRule type="expression" priority="33" dxfId="136">
      <formula>WEEKDAY(X$3,2)&gt;5</formula>
    </cfRule>
  </conditionalFormatting>
  <conditionalFormatting sqref="C10:D10 E18 F24 G28 R7">
    <cfRule type="expression" priority="5" dxfId="136">
      <formula>WEEKDAY(T$3,2)&gt;5</formula>
    </cfRule>
  </conditionalFormatting>
  <conditionalFormatting sqref="C10:D10 C21 E18 F24 G21:H21 G28 H16 H25 M21 R7 R22 T20">
    <cfRule type="expression" priority="10" dxfId="136">
      <formula>WEEKDAY(S$3,2)&gt;5</formula>
    </cfRule>
  </conditionalFormatting>
  <conditionalFormatting sqref="C7 C10 C16:F16 C27:D27 F27:G27 G10 R16:S16 R18:R19 R28 S7">
    <cfRule type="expression" priority="34" dxfId="136">
      <formula>WEEKDAY(U$3,2)&gt;5</formula>
    </cfRule>
  </conditionalFormatting>
  <conditionalFormatting sqref="AB54 AC48:AD48">
    <cfRule type="cellIs" priority="79" operator="equal" dxfId="1735">
      <formula>"CS"</formula>
    </cfRule>
  </conditionalFormatting>
  <dataValidations count="4">
    <dataValidation sqref="C5:D6 C7 C9 C11:E11 C12:Q12 C13:E13 C14 C15:F15 C16:I16 C17:N17 C18:D18 C19:G19 C20:D20 C21:H21 C22:E22 C23 C24:E24 C25:H25 C26:D26 C27 C28:E28 C29:I29 C30:G30 C31:F31 C32:H32 C34:G34 C35:J35 C36:F37 C47:O47 C48:C49 C50:F50 C51:D51 D33:F33 E10:G10 E14 E23:G23 E27:H27 E49 F8:I8 F54 G18 G20:I20 G22 G26:H26 G48:J49 H33 H36 H50 I7 I23 I24:J24 I28:M28 I37 I51 I54 J5:K5 J10:N10 J13:L13 J14:K14 J15 J18:J19 J21:L21 J26:N26 J27 J30:L31 J32:M32 J36:K36 K20 K25:O25 K33 K37:N37 K50:Q50 K51:N51 K60 L6:L7 L11 L15:Q15 L19:M19 L29:M29 L34:N34 L58 L63 M9 M16 M20:O20 M24 M33:Q33 M35:M36 M49:O49 N8 N13:P13 N14:O14 N21:AG21 N22:O22 N27 N30 O5:O7 O9 O16 O18:AE18 O19:Q19 O28:P28 O29 O32:P32 O36 O48 O60 P17 P23:Q23 P26:Q26 P35 Q10:S10 Q11:R11 Q14:S14 Q16:T16 Q20:U20 Q22:R22 Q29 Q30:S30 Q31:R31 Q36:T36 Q61 R13:T13 R32 S9 S15 S17 S23:W23 S26 S28:T28 S34 S37:T37 S47:W47 S48 S50:S51 T11 T12:V12 T22 T29:U29 T31:W31 T33 T35 T49 T57 T63:T65 U5:AG5 U14:Y14 U19:AA19 U26:V26 U27 U48:W48 U50:W50 U51 V7 V9 V13 V15:W15 V24:V25 V37 V49 W8 W10:Y10 W20:X20 W22:Z22 W28 W33:Z33 W36:Y36 X9 X11:Y11 X24 X26:X27 X30:Y30 Y7:Z7 Y8 Y12 Y15 Y16:AB16 Y28:Y29 Y31:Z31 Y37 Y47 Y49 Y59 Z6 Z9:AA9 Z13 Z20:AA20 Z24 Z25:AB25 Z26:AE26 AA17:AG17 AA27 AA28:AB28 AA29 AA37 AB6 AB22:AD22 AC9:AG9 AC19:AE19 AC24 AC29:AD29 AD6:AD7 AD8:AG8 AD16:AG16 AE20:AG20 AE24 AE25:AG25 AE31 AE32:AG32 AE47:AG47 AE51:AG51 AE56 AF7:AG7 AF11:AG11 AF12 AF14 AF15:AG15 AF22:AG22 AF27:AG27 AF28 AF29:AG29 AF33:AG33 AF48 AG6 AG18 AG23 AG26 AG30:AG31 AG34 AG36:AG38 AG49 AG55" showDropDown="0" showInputMessage="0" showErrorMessage="0" allowBlank="1" type="custom">
      <formula1>NOT(ISERROR(SEARCH((#REF!),(C5))))</formula1>
    </dataValidation>
    <dataValidation sqref="C10:D10 D9 E18 F24 G28 I32 J8 K11 K16:L16 L33 M14 M23 M27 N16 N32 O26 O35 P16 P20 P36 Q13 Q47 Q51 R19:S19 R25 S7 S27 S32 T10 U9 V16 V34:X34 W25 X15:X16 X31 Y9 Y35 Z14:AA14 Z29 Z34:AA34 Z47:AD47 Z48:Z49 AA7 AA13:AE13 AA15:AB15 AA35 AA50:AG50 AB27:AC27 AB33 AB37:AE37 AB49:AF49 AB54 AC20 AC34:AE34 AC48:AD48 AC53 AD14 AD15:AE15 AE22:AE23 AE27 AE30:AF30 AF24:AG24 AF26 AF31 AG10 AG13:AG14" showDropDown="1" showInputMessage="0" showErrorMessage="0" allowBlank="1" type="list">
      <formula1>'Setting key Duty'!$B$7:$B$54</formula1>
    </dataValidation>
    <dataValidation sqref="B5:B9 B11:B16 B18:B19 B21:B23 B25 C52:U52 C53 C54:E54 C55 C56:E56 C57:G57 C58:K58 C59:C62 C63:G63 C64:L65 E48 E51 E53 E55 E59:L59 E60:E62 F49 G54:H54 G56:H56 G60:J60 G61:L61 H55:L55 I53:J53 I57:L57 I62:L62 I63:K63 J33 J50:J51 J56:K56 K35 K54:L54 L53 L60 M56:P56 N53:O53 N54 N55:P55 N57:P57 N58:O58 N59:P59 N60:N61 N62:Q62 N63 N64:P65 P54 P60:P61 P63 S49 S53:U53 S55:U55 S56:S57 S60 S61:U61 S62:Z62 S63:S65 T50 T58:T59 U49 U57 U63 U64:AG65 X52:Y53 X55:AF55 X57 X58:Y58 X59 X60:Y61 X63:Z63 AC63:AD63 AE52:AG53 AE59:AG59 AE60 AE61:AG62 AF54:AG54 AF56 AF57:AG57 AF63:AG63 AG60" showDropDown="1" showInputMessage="0" showErrorMessage="0" allowBlank="1" type="list">
      <formula1>'Setting key Duty'!$B$7:$B$56</formula1>
    </dataValidation>
    <dataValidation sqref="C38:AF38 C39:AG46 C66:AG71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0"/>
    <pageSetUpPr fitToPage="1"/>
  </sheetPr>
  <dimension ref="A1:BP95"/>
  <sheetViews>
    <sheetView showGridLines="0" zoomScale="70" zoomScaleNormal="70" workbookViewId="0">
      <pane xSplit="2" ySplit="4" topLeftCell="C31" activePane="bottomRight" state="frozen"/>
      <selection activeCell="A1" sqref="A1"/>
      <selection pane="topRight" activeCell="A1" sqref="A1"/>
      <selection pane="bottomLeft" activeCell="A1" sqref="A1"/>
      <selection pane="bottomRight" activeCell="C46" sqref="C46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8"/>
    <col width="10.1333333333333" customWidth="1" min="9" max="9"/>
    <col width="9.24761904761905" customWidth="1" min="10" max="11"/>
    <col width="9.38095238095238" customWidth="1" min="12" max="12"/>
    <col width="9.75238095238095" customWidth="1" min="13" max="13"/>
    <col width="9.24761904761905" customWidth="1" min="14" max="14"/>
    <col width="10" customWidth="1" min="15" max="15"/>
    <col width="10.752380952381" customWidth="1" min="16" max="16"/>
    <col width="10.247619047619" customWidth="1" min="17" max="17"/>
    <col width="10.1333333333333" customWidth="1" min="18" max="18"/>
    <col width="9.504761904761899" customWidth="1" min="19" max="19"/>
    <col width="10" customWidth="1" min="20" max="20"/>
    <col width="9.24761904761905" customWidth="1" min="21" max="23"/>
    <col width="12.8761904761905" customWidth="1" min="24" max="24"/>
    <col width="9.24761904761905" customWidth="1" min="25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3"/>
    <col hidden="1" outlineLevel="1" width="9.38095238095238" customWidth="1" min="34" max="40"/>
    <col hidden="1" outlineLevel="1" width="12" customWidth="1" min="41" max="41"/>
    <col hidden="1" outlineLevel="1" width="9.38095238095238" customWidth="1" min="42" max="42"/>
    <col collapsed="1" width="6.75238095238095" customWidth="1" min="43" max="43"/>
    <col width="6.75238095238095" customWidth="1" min="44" max="44"/>
    <col outlineLevel="1" width="8.87619047619048" customWidth="1" min="45" max="45"/>
    <col outlineLevel="1" width="7.87619047619048" customWidth="1" min="46" max="47"/>
    <col outlineLevel="1" width="9.133333333333329" customWidth="1" min="48" max="48"/>
    <col outlineLevel="1" width="8.24761904761905" customWidth="1" min="49" max="49"/>
    <col outlineLevel="1" width="5.5047619047619" customWidth="1" min="50" max="50"/>
    <col width="9.38095238095238" customWidth="1" min="51" max="53"/>
    <col hidden="1" outlineLevel="1" width="9.38095238095238" customWidth="1" min="54" max="64"/>
    <col collapsed="1" width="9.38095238095238" customWidth="1" min="65" max="65"/>
    <col width="9.504761904761899" customWidth="1" min="66" max="66"/>
    <col width="9.38095238095238" customWidth="1" min="67" max="68"/>
  </cols>
  <sheetData>
    <row r="1" ht="3" customHeight="1">
      <c r="A1" s="440" t="inlineStr">
        <is>
          <t>f</t>
        </is>
      </c>
      <c r="B1" s="45" t="inlineStr">
        <is>
          <t>Type of req:
Reason:</t>
        </is>
      </c>
      <c r="C1" s="441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</row>
    <row r="2" ht="26.25" customHeight="1">
      <c r="A2" s="437" t="n"/>
      <c r="B2" s="52" t="inlineStr">
        <is>
          <t>Event Log</t>
        </is>
      </c>
      <c r="C2" s="52" t="n"/>
      <c r="D2" s="53" t="inlineStr">
        <is>
          <t>6TH COY VACC 1</t>
        </is>
      </c>
      <c r="E2" s="54" t="inlineStr">
        <is>
          <t>2ND COY VACC 1</t>
        </is>
      </c>
      <c r="F2" s="52" t="n"/>
      <c r="G2" s="55" t="n"/>
      <c r="H2" s="52" t="n"/>
      <c r="I2" s="52" t="n"/>
      <c r="J2" s="52" t="n"/>
      <c r="K2" s="52" t="n"/>
      <c r="L2" s="52" t="n"/>
      <c r="M2" s="52" t="n"/>
      <c r="N2" s="55" t="n"/>
      <c r="O2" s="52" t="n"/>
      <c r="P2" s="52" t="n"/>
      <c r="Q2" s="52" t="n"/>
      <c r="R2" s="52" t="n"/>
      <c r="S2" s="52" t="n"/>
      <c r="T2" s="56" t="n"/>
      <c r="U2" s="57" t="n"/>
      <c r="V2" s="58" t="n"/>
      <c r="W2" s="52" t="n"/>
      <c r="X2" s="52" t="n"/>
      <c r="Y2" s="52" t="n"/>
      <c r="Z2" s="52" t="n"/>
      <c r="AA2" s="52" t="n"/>
      <c r="AB2" s="55" t="n"/>
      <c r="AC2" s="52" t="n"/>
      <c r="AD2" s="52" t="n"/>
      <c r="AE2" s="52" t="n"/>
      <c r="AF2" s="52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60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59" t="n"/>
      <c r="BC2" s="59" t="n"/>
      <c r="BD2" s="59" t="n"/>
      <c r="BE2" s="59" t="n"/>
      <c r="BF2" s="59" t="n"/>
      <c r="BG2" s="59" t="n"/>
      <c r="BH2" s="59" t="n"/>
      <c r="BI2" s="59" t="n"/>
      <c r="BJ2" s="59" t="n"/>
      <c r="BK2" s="59" t="n"/>
      <c r="BL2" s="59" t="n"/>
      <c r="BM2" s="59" t="n"/>
      <c r="BN2" s="59" t="n"/>
      <c r="BO2" s="59" t="n"/>
      <c r="BP2" s="59" t="n"/>
    </row>
    <row r="3" ht="26.25" customHeight="1">
      <c r="A3" s="437" t="n"/>
      <c r="B3" s="52" t="inlineStr">
        <is>
          <t>Rostering</t>
        </is>
      </c>
      <c r="C3" s="442" t="n">
        <v>46204</v>
      </c>
      <c r="D3" s="443">
        <f>C3+1</f>
        <v/>
      </c>
      <c r="E3" s="443">
        <f>D3+1</f>
        <v/>
      </c>
      <c r="F3" s="443">
        <f>E3+1</f>
        <v/>
      </c>
      <c r="G3" s="443">
        <f>F3+1</f>
        <v/>
      </c>
      <c r="H3" s="443">
        <f>G3+1</f>
        <v/>
      </c>
      <c r="I3" s="443">
        <f>H3+1</f>
        <v/>
      </c>
      <c r="J3" s="443">
        <f>I3+1</f>
        <v/>
      </c>
      <c r="K3" s="443">
        <f>J3+1</f>
        <v/>
      </c>
      <c r="L3" s="443">
        <f>K3+1</f>
        <v/>
      </c>
      <c r="M3" s="443">
        <f>L3+1</f>
        <v/>
      </c>
      <c r="N3" s="443">
        <f>M3+1</f>
        <v/>
      </c>
      <c r="O3" s="443">
        <f>N3+1</f>
        <v/>
      </c>
      <c r="P3" s="443">
        <f>O3+1</f>
        <v/>
      </c>
      <c r="Q3" s="443">
        <f>P3+1</f>
        <v/>
      </c>
      <c r="R3" s="443">
        <f>Q3+1</f>
        <v/>
      </c>
      <c r="S3" s="443">
        <f>R3+1</f>
        <v/>
      </c>
      <c r="T3" s="444">
        <f>S3+1</f>
        <v/>
      </c>
      <c r="U3" s="443">
        <f>T3+1</f>
        <v/>
      </c>
      <c r="V3" s="445">
        <f>U3+1</f>
        <v/>
      </c>
      <c r="W3" s="443">
        <f>V3+1</f>
        <v/>
      </c>
      <c r="X3" s="443">
        <f>W3+1</f>
        <v/>
      </c>
      <c r="Y3" s="443">
        <f>X3+1</f>
        <v/>
      </c>
      <c r="Z3" s="443">
        <f>Y3+1</f>
        <v/>
      </c>
      <c r="AA3" s="443">
        <f>Z3+1</f>
        <v/>
      </c>
      <c r="AB3" s="443">
        <f>AA3+1</f>
        <v/>
      </c>
      <c r="AC3" s="443">
        <f>AB3+1</f>
        <v/>
      </c>
      <c r="AD3" s="443">
        <f>AC3+1</f>
        <v/>
      </c>
      <c r="AE3" s="443">
        <f>AD3+1</f>
        <v/>
      </c>
      <c r="AF3" s="443">
        <f>AE3+1</f>
        <v/>
      </c>
      <c r="AG3" s="443">
        <f>AF3+1</f>
        <v/>
      </c>
      <c r="AH3" s="59">
        <f>'Setting key Duty'!$C7</f>
        <v/>
      </c>
      <c r="AI3" s="59">
        <f>'Setting key Duty'!$C8</f>
        <v/>
      </c>
      <c r="AJ3" s="59">
        <f>'Setting key Duty'!$C9</f>
        <v/>
      </c>
      <c r="AK3" s="59">
        <f>'Setting key Duty'!$C10</f>
        <v/>
      </c>
      <c r="AL3" s="59">
        <f>'Setting key Duty'!$C11</f>
        <v/>
      </c>
      <c r="AM3" s="59">
        <f>'Setting key Duty'!$C12</f>
        <v/>
      </c>
      <c r="AN3" s="59">
        <f>'Setting key Duty'!$C13</f>
        <v/>
      </c>
      <c r="AO3" s="59">
        <f>'Setting key Duty'!$C16</f>
        <v/>
      </c>
      <c r="AP3" s="59">
        <f>'Setting key Duty'!C14</f>
        <v/>
      </c>
      <c r="AQ3" s="66" t="inlineStr">
        <is>
          <t>TO ADD</t>
        </is>
      </c>
      <c r="AR3" s="66" t="inlineStr">
        <is>
          <t>TO MINUS</t>
        </is>
      </c>
      <c r="AS3" s="59" t="inlineStr">
        <is>
          <t>Weekday Duty</t>
        </is>
      </c>
      <c r="AT3" s="59" t="inlineStr">
        <is>
          <t>Weekday Extra</t>
        </is>
      </c>
      <c r="AU3" s="59" t="inlineStr">
        <is>
          <t>Friday Duty</t>
        </is>
      </c>
      <c r="AV3" s="59" t="inlineStr">
        <is>
          <t>Weekend Duty</t>
        </is>
      </c>
      <c r="AW3" s="59" t="inlineStr">
        <is>
          <t>Weekend Extra</t>
        </is>
      </c>
      <c r="AX3" s="59" t="inlineStr">
        <is>
          <t>Duty Point</t>
        </is>
      </c>
      <c r="AY3" s="59" t="inlineStr">
        <is>
          <t>Total Duty</t>
        </is>
      </c>
      <c r="AZ3" s="59" t="inlineStr">
        <is>
          <t>Total Cover</t>
        </is>
      </c>
      <c r="BA3" s="66" t="inlineStr">
        <is>
          <t>Total Point</t>
        </is>
      </c>
      <c r="BB3" s="59" t="inlineStr">
        <is>
          <t>Total Cover
Point</t>
        </is>
      </c>
      <c r="BC3" s="59" t="inlineStr">
        <is>
          <t>BTP</t>
        </is>
      </c>
      <c r="BD3" s="59" t="inlineStr">
        <is>
          <t>$BTP
Point</t>
        </is>
      </c>
      <c r="BE3" s="59" t="inlineStr">
        <is>
          <t>Mid Cover</t>
        </is>
      </c>
      <c r="BF3" s="59" t="inlineStr">
        <is>
          <t>$M 
Point</t>
        </is>
      </c>
      <c r="BG3" s="59" t="inlineStr">
        <is>
          <t>Cover
After Hour</t>
        </is>
      </c>
      <c r="BH3" s="59" t="inlineStr">
        <is>
          <t>$PM
Point</t>
        </is>
      </c>
      <c r="BI3" s="59" t="inlineStr">
        <is>
          <t>Cover
Early</t>
        </is>
      </c>
      <c r="BJ3" s="59" t="inlineStr">
        <is>
          <t>$AM
Point</t>
        </is>
      </c>
      <c r="BK3" s="59">
        <f>'Setting key Duty'!C52</f>
        <v/>
      </c>
      <c r="BL3" s="59" t="inlineStr">
        <is>
          <t>$FC
Point</t>
        </is>
      </c>
      <c r="BM3" s="59">
        <f>'Setting key Duty'!$C15</f>
        <v/>
      </c>
      <c r="BN3" s="59">
        <f>'Setting key Duty'!C17</f>
        <v/>
      </c>
      <c r="BO3" s="59">
        <f>'Setting key Duty'!$C22</f>
        <v/>
      </c>
      <c r="BP3" s="59" t="n"/>
    </row>
    <row r="4" ht="18" customHeight="1">
      <c r="A4" s="67" t="n"/>
      <c r="B4" s="68" t="inlineStr">
        <is>
          <t>Updated on: 26/10/2022</t>
        </is>
      </c>
      <c r="C4" s="446">
        <f>TEXT(C3,"ddd")</f>
        <v/>
      </c>
      <c r="D4" s="447">
        <f>TEXT(D3,"ddd")</f>
        <v/>
      </c>
      <c r="E4" s="447">
        <f>TEXT(E3,"ddd")</f>
        <v/>
      </c>
      <c r="F4" s="447">
        <f>TEXT(F3,"ddd")</f>
        <v/>
      </c>
      <c r="G4" s="447">
        <f>TEXT(G3,"ddd")</f>
        <v/>
      </c>
      <c r="H4" s="447">
        <f>TEXT(H3,"ddd")</f>
        <v/>
      </c>
      <c r="I4" s="447">
        <f>TEXT(I3,"ddd")</f>
        <v/>
      </c>
      <c r="J4" s="447">
        <f>TEXT(J3,"ddd")</f>
        <v/>
      </c>
      <c r="K4" s="447">
        <f>TEXT(K3,"ddd")</f>
        <v/>
      </c>
      <c r="L4" s="447">
        <f>TEXT(L3,"ddd")</f>
        <v/>
      </c>
      <c r="M4" s="447">
        <f>TEXT(M3,"ddd")</f>
        <v/>
      </c>
      <c r="N4" s="447">
        <f>TEXT(N3,"ddd")</f>
        <v/>
      </c>
      <c r="O4" s="447">
        <f>TEXT(O3,"ddd")</f>
        <v/>
      </c>
      <c r="P4" s="447">
        <f>TEXT(P3,"ddd")</f>
        <v/>
      </c>
      <c r="Q4" s="447">
        <f>TEXT(Q3,"ddd")</f>
        <v/>
      </c>
      <c r="R4" s="447">
        <f>TEXT(R3,"ddd")</f>
        <v/>
      </c>
      <c r="S4" s="447">
        <f>TEXT(S3,"ddd")</f>
        <v/>
      </c>
      <c r="T4" s="446">
        <f>TEXT(T3,"ddd")</f>
        <v/>
      </c>
      <c r="U4" s="447">
        <f>TEXT(U3,"ddd")</f>
        <v/>
      </c>
      <c r="V4" s="448">
        <f>TEXT(V3,"ddd")</f>
        <v/>
      </c>
      <c r="W4" s="447">
        <f>TEXT(W3,"ddd")</f>
        <v/>
      </c>
      <c r="X4" s="447">
        <f>TEXT(X3,"ddd")</f>
        <v/>
      </c>
      <c r="Y4" s="447">
        <f>TEXT(Y3,"ddd")</f>
        <v/>
      </c>
      <c r="Z4" s="447">
        <f>TEXT(Z3,"ddd")</f>
        <v/>
      </c>
      <c r="AA4" s="447">
        <f>TEXT(AA3,"ddd")</f>
        <v/>
      </c>
      <c r="AB4" s="447">
        <f>TEXT(AB3,"ddd")</f>
        <v/>
      </c>
      <c r="AC4" s="447">
        <f>TEXT(AC3,"ddd")</f>
        <v/>
      </c>
      <c r="AD4" s="447">
        <f>TEXT(AD3,"ddd")</f>
        <v/>
      </c>
      <c r="AE4" s="447">
        <f>TEXT(AE3,"ddd")</f>
        <v/>
      </c>
      <c r="AF4" s="447">
        <f>TEXT(AF3,"ddd")</f>
        <v/>
      </c>
      <c r="AG4" s="447">
        <f>TEXT(AG3,"ddd")</f>
        <v/>
      </c>
      <c r="AH4" s="68">
        <f>'Setting key Duty'!$B7</f>
        <v/>
      </c>
      <c r="AI4" s="68">
        <f>'Setting key Duty'!$B8</f>
        <v/>
      </c>
      <c r="AJ4" s="68">
        <f>'Setting key Duty'!$B9</f>
        <v/>
      </c>
      <c r="AK4" s="68">
        <f>'Setting key Duty'!$B10</f>
        <v/>
      </c>
      <c r="AL4" s="68">
        <f>'Setting key Duty'!$B11</f>
        <v/>
      </c>
      <c r="AM4" s="68">
        <f>'Setting key Duty'!$B12</f>
        <v/>
      </c>
      <c r="AN4" s="68">
        <f>'Setting key Duty'!$B13</f>
        <v/>
      </c>
      <c r="AO4" s="68">
        <f>'Setting key Duty'!$B16</f>
        <v/>
      </c>
      <c r="AP4" s="68">
        <f>'Setting key Duty'!B14</f>
        <v/>
      </c>
      <c r="AQ4" s="439" t="n"/>
      <c r="AR4" s="439" t="n"/>
      <c r="AS4" s="68" t="n"/>
      <c r="AT4" s="68" t="n"/>
      <c r="AU4" s="68" t="n"/>
      <c r="AV4" s="68" t="n"/>
      <c r="AW4" s="68" t="n"/>
      <c r="AX4" s="68" t="n"/>
      <c r="AY4" s="68" t="n"/>
      <c r="AZ4" s="68" t="n"/>
      <c r="BA4" s="73" t="n"/>
      <c r="BB4" s="68" t="n"/>
      <c r="BC4" s="68" t="inlineStr">
        <is>
          <t>$BTP</t>
        </is>
      </c>
      <c r="BD4" s="68" t="n"/>
      <c r="BE4" s="68" t="inlineStr">
        <is>
          <t>$M</t>
        </is>
      </c>
      <c r="BF4" s="68" t="n"/>
      <c r="BG4" s="68" t="inlineStr">
        <is>
          <t>$PM</t>
        </is>
      </c>
      <c r="BH4" s="68" t="n"/>
      <c r="BI4" s="68" t="inlineStr">
        <is>
          <t>$AM</t>
        </is>
      </c>
      <c r="BJ4" s="68" t="n"/>
      <c r="BK4" s="68">
        <f>'Setting key Duty'!B52</f>
        <v/>
      </c>
      <c r="BL4" s="68" t="n"/>
      <c r="BM4" s="68">
        <f>'Setting key Duty'!$B15</f>
        <v/>
      </c>
      <c r="BN4" s="68">
        <f>'Setting key Duty'!B17</f>
        <v/>
      </c>
      <c r="BO4" s="68">
        <f>'Setting key Duty'!$B22</f>
        <v/>
      </c>
      <c r="BP4" s="68" t="n"/>
    </row>
    <row r="5" ht="87" customHeight="1">
      <c r="A5" s="67" t="n"/>
      <c r="B5" s="74" t="inlineStr">
        <is>
          <t xml:space="preserve">CFC GERALD TAN </t>
        </is>
      </c>
      <c r="C5" s="53" t="n"/>
      <c r="D5" s="60" t="n"/>
      <c r="E5" s="53" t="inlineStr">
        <is>
          <t>GP OFF</t>
        </is>
      </c>
      <c r="F5" s="60" t="n"/>
      <c r="G5" s="60" t="inlineStr">
        <is>
          <t>CS1</t>
        </is>
      </c>
      <c r="H5" s="53" t="n"/>
      <c r="I5" s="60" t="n"/>
      <c r="J5" s="60" t="inlineStr">
        <is>
          <t>MA</t>
        </is>
      </c>
      <c r="K5" s="60" t="inlineStr">
        <is>
          <t>COMPONENT TRAINING</t>
        </is>
      </c>
      <c r="L5" s="53" t="n"/>
      <c r="M5" s="53" t="n"/>
      <c r="N5" s="60" t="n"/>
      <c r="O5" s="60" t="inlineStr">
        <is>
          <t>MSP REHEARSAL</t>
        </is>
      </c>
      <c r="P5" s="60" t="inlineStr">
        <is>
          <t>MSP REHEARSAL</t>
        </is>
      </c>
      <c r="Q5" s="60" t="inlineStr">
        <is>
          <t>DM</t>
        </is>
      </c>
      <c r="R5" s="53" t="n"/>
      <c r="S5" s="53" t="inlineStr">
        <is>
          <t>MSP</t>
        </is>
      </c>
      <c r="T5" s="53" t="n"/>
      <c r="U5" s="57" t="n"/>
      <c r="V5" s="53" t="n"/>
      <c r="W5" s="53" t="n"/>
      <c r="X5" s="53" t="inlineStr">
        <is>
          <t>CS1</t>
        </is>
      </c>
      <c r="Y5" s="53" t="n"/>
      <c r="Z5" s="53" t="n"/>
      <c r="AA5" s="60" t="n"/>
      <c r="AB5" s="60" t="n"/>
      <c r="AC5" s="60" t="inlineStr">
        <is>
          <t>SB2</t>
        </is>
      </c>
      <c r="AD5" s="60" t="inlineStr">
        <is>
          <t>AM MA + PM AL</t>
        </is>
      </c>
      <c r="AE5" s="75" t="inlineStr">
        <is>
          <t>WISDOM</t>
        </is>
      </c>
      <c r="AF5" s="53" t="inlineStr">
        <is>
          <t>MC</t>
        </is>
      </c>
      <c r="AG5" s="53" t="inlineStr">
        <is>
          <t>MC</t>
        </is>
      </c>
      <c r="AH5" s="67">
        <f>COUNTIF($C5:$AF5,AH$4)</f>
        <v/>
      </c>
      <c r="AI5" s="67">
        <f>COUNTIF($C5:$AF5,AI$4)</f>
        <v/>
      </c>
      <c r="AJ5" s="67">
        <f>COUNTIF($C5:$AF5,AJ$4)</f>
        <v/>
      </c>
      <c r="AK5" s="67">
        <f>COUNTIF($C5:$AF5,AK$4)</f>
        <v/>
      </c>
      <c r="AL5" s="67">
        <f>COUNTIF($C5:$AF5,AL$4)</f>
        <v/>
      </c>
      <c r="AM5" s="67">
        <f>COUNTIF($C5:$AF5,AM$4)</f>
        <v/>
      </c>
      <c r="AN5" s="67">
        <f>COUNTIF($C5:$AF5,AN$4)</f>
        <v/>
      </c>
      <c r="AO5" s="67">
        <f>COUNTIF($C5:$AF5,AO$4)</f>
        <v/>
      </c>
      <c r="AP5" s="67">
        <f>COUNTIF($C5:$AF5,AP$4)</f>
        <v/>
      </c>
      <c r="AQ5" s="76" t="n"/>
      <c r="AR5" s="76" t="n">
        <v>1</v>
      </c>
      <c r="AS5" s="77">
        <f>SUMPRODUCT(--(WEEKDAY(C$3:AG$3,2)&lt;5),--ISNUMBER(MATCH(C5:AG5,{"DM","CS1","CS2","SB1","AE","CS/B"},0)))</f>
        <v/>
      </c>
      <c r="AT5" s="77" t="n"/>
      <c r="AU5" s="77">
        <f>SUMPRODUCT(--(WEEKDAY(C$3:AG$3,2)=5),--ISNUMBER(MATCH(C5:AG5,{"DM","CS1","CS2","SB1","AE","CS/B","WEEKEND OUTFIELD RESERVE"},0)))</f>
        <v/>
      </c>
      <c r="AV5" s="77">
        <f>SUMPRODUCT(--(WEEKDAY(C$3:AG$3,2)&gt;5),--ISNUMBER(MATCH(C5:AG5,{"DM","CS1","CS2","SB1","AE","CS/B","WEEKEND OUTFIELD RESERVE"},0)))</f>
        <v/>
      </c>
      <c r="AW5" s="77" t="n"/>
      <c r="AX5" s="77">
        <f>(AS5-AT5)+AU5*1.5+(AV5-AW5)*2+AM5*0.5+AO5*0.5+AQ5-AR5</f>
        <v/>
      </c>
      <c r="AY5" s="77">
        <f>AS5+AU5+AV5</f>
        <v/>
      </c>
      <c r="AZ5" s="77">
        <f>BC5+BE5+BG5+BI5+BK5</f>
        <v/>
      </c>
      <c r="BA5" s="76">
        <f>AX5+BB5</f>
        <v/>
      </c>
      <c r="BB5" s="77">
        <f>BD5+BF5+BH5+BJ5+BL5</f>
        <v/>
      </c>
      <c r="BC5" s="77">
        <f>COUNTIF(A5:AH5,"*$BTP*")</f>
        <v/>
      </c>
      <c r="BD5" s="77">
        <f>BC5*1.5</f>
        <v/>
      </c>
      <c r="BE5" s="77">
        <f>COUNTIF(A5:AH5,"*$M*")</f>
        <v/>
      </c>
      <c r="BF5" s="77">
        <f>BE5*1</f>
        <v/>
      </c>
      <c r="BG5" s="77">
        <f>COUNTIF(A5:AH5,"*$PM*")</f>
        <v/>
      </c>
      <c r="BH5" s="77">
        <f>BG5*0.5</f>
        <v/>
      </c>
      <c r="BI5" s="77">
        <f>COUNTIF(A5:AH5,"*$AM*")</f>
        <v/>
      </c>
      <c r="BJ5" s="77">
        <f>BI5*0.5</f>
        <v/>
      </c>
      <c r="BK5" s="77">
        <f>COUNTIF(A5:AH5,"*$FC*")</f>
        <v/>
      </c>
      <c r="BL5" s="77">
        <f>BK5*1</f>
        <v/>
      </c>
      <c r="BM5" s="77">
        <f>COUNTIF($D5:$Z5,BM$4)</f>
        <v/>
      </c>
      <c r="BN5" s="77">
        <f>COUNTIF($D5:$Z5,BN$4)</f>
        <v/>
      </c>
      <c r="BO5" s="77">
        <f>COUNTIF($D5:$Z5,BO$4)</f>
        <v/>
      </c>
      <c r="BP5" s="77" t="n"/>
    </row>
    <row r="6" ht="73.5" customHeight="1">
      <c r="A6" s="67" t="n"/>
      <c r="B6" s="77" t="inlineStr">
        <is>
          <t>CPL FANG JIANGRUI</t>
        </is>
      </c>
      <c r="C6" s="53" t="n"/>
      <c r="E6" s="53" t="n"/>
      <c r="F6" s="60" t="inlineStr">
        <is>
          <t>RESERVE</t>
        </is>
      </c>
      <c r="G6" s="60" t="n"/>
      <c r="H6" s="60" t="inlineStr">
        <is>
          <t>GP OFF</t>
        </is>
      </c>
      <c r="I6" s="53" t="n"/>
      <c r="J6" s="53" t="n"/>
      <c r="K6" s="60" t="inlineStr">
        <is>
          <t>COMPONENT TRAINING</t>
        </is>
      </c>
      <c r="L6" s="60" t="inlineStr">
        <is>
          <t>AM AL + PM MA</t>
        </is>
      </c>
      <c r="M6" s="53" t="inlineStr">
        <is>
          <t>DM</t>
        </is>
      </c>
      <c r="N6" s="60" t="n"/>
      <c r="O6" s="60" t="inlineStr">
        <is>
          <t>MSP REHEARSAL</t>
        </is>
      </c>
      <c r="P6" s="60" t="inlineStr">
        <is>
          <t>MSP REHEARSAL</t>
        </is>
      </c>
      <c r="Q6" s="53" t="inlineStr">
        <is>
          <t>CS1</t>
        </is>
      </c>
      <c r="R6" s="53" t="n"/>
      <c r="S6" s="53" t="inlineStr">
        <is>
          <t>MSP</t>
        </is>
      </c>
      <c r="T6" s="53" t="inlineStr">
        <is>
          <t>CS2</t>
        </is>
      </c>
      <c r="U6" s="53" t="n"/>
      <c r="V6" s="53" t="inlineStr">
        <is>
          <t>AL</t>
        </is>
      </c>
      <c r="W6" s="53" t="inlineStr">
        <is>
          <t>S $PM PERMSTAFF SOC (1630-1930)</t>
        </is>
      </c>
      <c r="X6" s="53" t="n"/>
      <c r="Y6" s="53" t="n"/>
      <c r="Z6" s="53" t="n"/>
      <c r="AA6" s="53" t="n"/>
      <c r="AB6" s="60" t="n"/>
      <c r="AC6" s="53" t="inlineStr">
        <is>
          <t>AL</t>
        </is>
      </c>
      <c r="AD6" s="53" t="n"/>
      <c r="AE6" s="78" t="inlineStr">
        <is>
          <t>AM MA + PM AL</t>
        </is>
      </c>
      <c r="AF6" s="53" t="inlineStr">
        <is>
          <t>CS1</t>
        </is>
      </c>
      <c r="AG6" s="53" t="n"/>
      <c r="AH6" s="67">
        <f>COUNTIF($C6:$AF6,AH$4)</f>
        <v/>
      </c>
      <c r="AI6" s="67">
        <f>COUNTIF($C6:$AF6,AI$4)</f>
        <v/>
      </c>
      <c r="AJ6" s="67">
        <f>COUNTIF($C6:$AF6,AJ$4)</f>
        <v/>
      </c>
      <c r="AK6" s="67">
        <f>COUNTIF($C6:$AF6,AK$4)</f>
        <v/>
      </c>
      <c r="AL6" s="67">
        <f>COUNTIF($C6:$AF6,AL$4)</f>
        <v/>
      </c>
      <c r="AM6" s="67">
        <f>COUNTIF($C6:$AF6,AM$4)</f>
        <v/>
      </c>
      <c r="AN6" s="67">
        <f>COUNTIF($C6:$AF6,AN$4)</f>
        <v/>
      </c>
      <c r="AO6" s="67">
        <f>COUNTIF($C6:$AF6,AO$4)</f>
        <v/>
      </c>
      <c r="AP6" s="67">
        <f>COUNTIF($C6:$AF6,AP$4)</f>
        <v/>
      </c>
      <c r="AQ6" s="76" t="n"/>
      <c r="AR6" s="76" t="n">
        <v>2.5</v>
      </c>
      <c r="AS6" s="77">
        <f>SUMPRODUCT(--(WEEKDAY(C$3:AG$3,2)&lt;5),--ISNUMBER(MATCH(C6:AG6,{"DM","CS1","CS2","SB1","AE","CS/B"},0)))</f>
        <v/>
      </c>
      <c r="AT6" s="77" t="n"/>
      <c r="AU6" s="77">
        <f>SUMPRODUCT(--(WEEKDAY(C$3:AG$3,2)=5),--ISNUMBER(MATCH(C6:AG6,{"DM","CS1","CS2","SB1","AE","CS/B","WEEKEND OUTFIELD RESERVE"},0)))</f>
        <v/>
      </c>
      <c r="AV6" s="77">
        <f>SUMPRODUCT(--(WEEKDAY(C$3:AG$3,2)&gt;5),--ISNUMBER(MATCH(C6:AG6,{"DM","CS1","CS2","SB1","AE","CS/B","WEEKEND OUTFIELD RESERVE"},0)))</f>
        <v/>
      </c>
      <c r="AW6" s="77" t="n"/>
      <c r="AX6" s="77">
        <f>(AS6-AT6)+AU6*1.5+(AV6-AW6)*2+AM6*0.5+AO6*0.5+AQ6-AR6</f>
        <v/>
      </c>
      <c r="AY6" s="77">
        <f>AS6+AU6+AV6</f>
        <v/>
      </c>
      <c r="AZ6" s="77">
        <f>BC6+BE6+BG6+BI6+BK6</f>
        <v/>
      </c>
      <c r="BA6" s="76">
        <f>AX6+BB6</f>
        <v/>
      </c>
      <c r="BB6" s="77">
        <f>BD6+BF6+BH6+BJ6+BL6</f>
        <v/>
      </c>
      <c r="BC6" s="77">
        <f>COUNTIF(A6:AH6,"*$BTP*")</f>
        <v/>
      </c>
      <c r="BD6" s="77">
        <f>BC6*1.5</f>
        <v/>
      </c>
      <c r="BE6" s="77">
        <f>COUNTIF(A6:AH6,"*$M*")</f>
        <v/>
      </c>
      <c r="BF6" s="77">
        <f>BE6*1</f>
        <v/>
      </c>
      <c r="BG6" s="77">
        <f>COUNTIF(A6:AH6,"*$PM*")</f>
        <v/>
      </c>
      <c r="BH6" s="77">
        <f>BG6*0.5</f>
        <v/>
      </c>
      <c r="BI6" s="77">
        <f>COUNTIF(A6:AH6,"*$AM*")</f>
        <v/>
      </c>
      <c r="BJ6" s="77">
        <f>BI6*0.5</f>
        <v/>
      </c>
      <c r="BK6" s="77">
        <f>COUNTIF(A6:AH6,"*$FC*")</f>
        <v/>
      </c>
      <c r="BL6" s="77">
        <f>BK6*1</f>
        <v/>
      </c>
      <c r="BM6" s="77">
        <f>COUNTIF($D6:$AA6,BM$4)</f>
        <v/>
      </c>
      <c r="BN6" s="77">
        <f>COUNTIF($D6:$AA6,BN$4)</f>
        <v/>
      </c>
      <c r="BO6" s="77">
        <f>COUNTIF($D6:$AA6,BO$4)</f>
        <v/>
      </c>
      <c r="BP6" s="77" t="n"/>
    </row>
    <row r="7" ht="19.5" customHeight="1">
      <c r="A7" s="67" t="n"/>
      <c r="B7" s="74" t="inlineStr">
        <is>
          <t>CPL WONG JI FENG WILLARD</t>
        </is>
      </c>
      <c r="C7" s="53" t="inlineStr">
        <is>
          <t>DM</t>
        </is>
      </c>
      <c r="D7" s="53" t="n"/>
      <c r="E7" s="53" t="n"/>
      <c r="F7" s="60" t="inlineStr">
        <is>
          <t>CS2</t>
        </is>
      </c>
      <c r="G7" s="60" t="n"/>
      <c r="H7" s="60" t="n"/>
      <c r="I7" s="53" t="inlineStr">
        <is>
          <t>RESERVE</t>
        </is>
      </c>
      <c r="J7" s="60" t="n"/>
      <c r="K7" s="60" t="inlineStr">
        <is>
          <t>P $AM IPPT (0500-1030)</t>
        </is>
      </c>
      <c r="L7" s="53" t="n"/>
      <c r="M7" s="53" t="n"/>
      <c r="N7" s="53" t="n"/>
      <c r="O7" s="53" t="inlineStr">
        <is>
          <t>RESERVE</t>
        </is>
      </c>
      <c r="P7" s="60" t="inlineStr">
        <is>
          <t>S $AM IPPT (0500-1030)</t>
        </is>
      </c>
      <c r="Q7" s="53" t="n"/>
      <c r="R7" s="53" t="inlineStr">
        <is>
          <t>DM</t>
        </is>
      </c>
      <c r="S7" s="53" t="n"/>
      <c r="T7" s="53" t="n"/>
      <c r="U7" s="53" t="n"/>
      <c r="V7" s="60" t="n"/>
      <c r="W7" s="60" t="inlineStr">
        <is>
          <t>OL</t>
        </is>
      </c>
      <c r="X7" s="60" t="inlineStr">
        <is>
          <t>OL</t>
        </is>
      </c>
      <c r="Y7" s="60" t="inlineStr">
        <is>
          <t>OL</t>
        </is>
      </c>
      <c r="Z7" s="60" t="inlineStr">
        <is>
          <t>OL</t>
        </is>
      </c>
      <c r="AA7" s="53" t="n"/>
      <c r="AB7" s="53" t="n"/>
      <c r="AC7" s="53" t="n"/>
      <c r="AD7" s="53" t="inlineStr">
        <is>
          <t>DM</t>
        </is>
      </c>
      <c r="AE7" s="79" t="n"/>
      <c r="AF7" s="60" t="inlineStr">
        <is>
          <t>OUTFIELD RESERVE</t>
        </is>
      </c>
      <c r="AG7" s="60" t="n"/>
      <c r="AH7" s="67">
        <f>COUNTIF($C7:$AF7,AH$4)</f>
        <v/>
      </c>
      <c r="AI7" s="67">
        <f>COUNTIF($C7:$AF7,AI$4)</f>
        <v/>
      </c>
      <c r="AJ7" s="67">
        <f>COUNTIF($C7:$AF7,AJ$4)</f>
        <v/>
      </c>
      <c r="AK7" s="67">
        <f>COUNTIF($C7:$AF7,AK$4)</f>
        <v/>
      </c>
      <c r="AL7" s="67">
        <f>COUNTIF($C7:$AF7,AL$4)</f>
        <v/>
      </c>
      <c r="AM7" s="67">
        <f>COUNTIF($C7:$AF7,AM$4)</f>
        <v/>
      </c>
      <c r="AN7" s="67">
        <f>COUNTIF($C7:$AF7,AN$4)</f>
        <v/>
      </c>
      <c r="AO7" s="67">
        <f>COUNTIF($C7:$AF7,AO$4)</f>
        <v/>
      </c>
      <c r="AP7" s="67">
        <f>COUNTIF($C7:$AF7,AP$4)</f>
        <v/>
      </c>
      <c r="AQ7" s="76" t="n">
        <v>1</v>
      </c>
      <c r="AR7" s="76" t="n"/>
      <c r="AS7" s="77">
        <f>SUMPRODUCT(--(WEEKDAY(C$3:AG$3,2)&lt;5),--ISNUMBER(MATCH(C7:AG7,{"DM","CS1","CS2","SB1","AE","CS/B"},0)))</f>
        <v/>
      </c>
      <c r="AT7" s="77" t="n"/>
      <c r="AU7" s="77">
        <f>SUMPRODUCT(--(WEEKDAY(C$3:AG$3,2)=5),--ISNUMBER(MATCH(C7:AG7,{"DM","CS1","CS2","SB1","AE","CS/B","WEEKEND OUTFIELD RESERVE"},0)))</f>
        <v/>
      </c>
      <c r="AV7" s="77">
        <f>SUMPRODUCT(--(WEEKDAY(C$3:AG$3,2)&gt;5),--ISNUMBER(MATCH(C7:AG7,{"DM","CS1","CS2","SB1","AE","CS/B","WEEKEND OUTFIELD RESERVE"},0)))</f>
        <v/>
      </c>
      <c r="AW7" s="77" t="n"/>
      <c r="AX7" s="77">
        <f>(AS7-AT7)+AU7*1.5+(AV7-AW7)*2+AM7*0.5+AO7*0.5+AQ7-AR7</f>
        <v/>
      </c>
      <c r="AY7" s="77">
        <f>AS7+AU7+AV7</f>
        <v/>
      </c>
      <c r="AZ7" s="77">
        <f>BC7+BE7+BG7+BI7+BK7</f>
        <v/>
      </c>
      <c r="BA7" s="76">
        <f>AX7+BB7</f>
        <v/>
      </c>
      <c r="BB7" s="77">
        <f>BD7+BF7+BH7+BJ7+BL7</f>
        <v/>
      </c>
      <c r="BC7" s="77">
        <f>COUNTIF(A7:AH7,"*$BTP*")</f>
        <v/>
      </c>
      <c r="BD7" s="77">
        <f>BC7*1.5</f>
        <v/>
      </c>
      <c r="BE7" s="77">
        <f>COUNTIF(A7:AH7,"*$M*")</f>
        <v/>
      </c>
      <c r="BF7" s="77">
        <f>BE7*1</f>
        <v/>
      </c>
      <c r="BG7" s="77">
        <f>COUNTIF(A7:AH7,"*$PM*")</f>
        <v/>
      </c>
      <c r="BH7" s="77">
        <f>BG7*0.5</f>
        <v/>
      </c>
      <c r="BI7" s="77">
        <f>COUNTIF(A7:AH7,"*$AM*")</f>
        <v/>
      </c>
      <c r="BJ7" s="77">
        <f>BI7*0.5</f>
        <v/>
      </c>
      <c r="BK7" s="77">
        <f>COUNTIF(A7:AH7,"*$FC*")</f>
        <v/>
      </c>
      <c r="BL7" s="77">
        <f>BK7*1</f>
        <v/>
      </c>
      <c r="BM7" s="77">
        <f>COUNTIF($D7:$X7,BM$4)</f>
        <v/>
      </c>
      <c r="BN7" s="77">
        <f>COUNTIF($D7:$X7,BN$4)</f>
        <v/>
      </c>
      <c r="BO7" s="77">
        <f>COUNTIF($D7:$X7,BO$4)</f>
        <v/>
      </c>
      <c r="BP7" s="77" t="n"/>
    </row>
    <row r="8" ht="56.25" customHeight="1">
      <c r="A8" s="67" t="n"/>
      <c r="B8" s="77" t="inlineStr">
        <is>
          <t xml:space="preserve">LCP KOO YI XIAN RAPHAEL </t>
        </is>
      </c>
      <c r="C8" s="67" t="inlineStr">
        <is>
          <t>DM</t>
        </is>
      </c>
      <c r="D8" s="60" t="n"/>
      <c r="E8" s="53" t="n"/>
      <c r="F8" s="60" t="n"/>
      <c r="G8" s="60" t="n"/>
      <c r="H8" s="53" t="inlineStr">
        <is>
          <t>DM</t>
        </is>
      </c>
      <c r="I8" s="60" t="n"/>
      <c r="J8" s="60" t="n"/>
      <c r="K8" s="53" t="n"/>
      <c r="L8" s="53" t="inlineStr">
        <is>
          <t>CS2</t>
        </is>
      </c>
      <c r="M8" s="53" t="n"/>
      <c r="N8" s="60" t="n"/>
      <c r="P8" s="53" t="inlineStr">
        <is>
          <t>DM</t>
        </is>
      </c>
      <c r="Q8" s="53" t="n"/>
      <c r="R8" s="53" t="n"/>
      <c r="S8" s="60" t="inlineStr">
        <is>
          <t>COVER RESERVE</t>
        </is>
      </c>
      <c r="T8" s="53" t="n"/>
      <c r="U8" s="60" t="inlineStr">
        <is>
          <t>RESERVE</t>
        </is>
      </c>
      <c r="V8" s="60" t="n"/>
      <c r="W8" s="53" t="n"/>
      <c r="X8" s="53" t="inlineStr">
        <is>
          <t>AMPT</t>
        </is>
      </c>
      <c r="Y8" s="53" t="n"/>
      <c r="Z8" s="53" t="n"/>
      <c r="AB8" s="60" t="inlineStr">
        <is>
          <t>CS1</t>
        </is>
      </c>
      <c r="AC8" s="60" t="n"/>
      <c r="AE8" s="80" t="inlineStr">
        <is>
          <t>RESERVE</t>
        </is>
      </c>
      <c r="AF8" s="60" t="n"/>
      <c r="AG8" s="60" t="n"/>
      <c r="AH8" s="67">
        <f>COUNTIF($C8:$AF8,AH$4)</f>
        <v/>
      </c>
      <c r="AI8" s="67">
        <f>COUNTIF($C8:$AF8,AI$4)</f>
        <v/>
      </c>
      <c r="AJ8" s="67">
        <f>COUNTIF($C8:$AF8,AJ$4)</f>
        <v/>
      </c>
      <c r="AK8" s="67">
        <f>COUNTIF($C8:$AF8,AK$4)</f>
        <v/>
      </c>
      <c r="AL8" s="67">
        <f>COUNTIF($C8:$AF8,AL$4)</f>
        <v/>
      </c>
      <c r="AM8" s="67">
        <f>COUNTIF($C8:$AF8,AM$4)</f>
        <v/>
      </c>
      <c r="AN8" s="67">
        <f>COUNTIF($C8:$AF8,AN$4)</f>
        <v/>
      </c>
      <c r="AO8" s="67">
        <f>COUNTIF($C8:$AF8,AO$4)</f>
        <v/>
      </c>
      <c r="AP8" s="67">
        <f>COUNTIF($C8:$AF8,AP$4)</f>
        <v/>
      </c>
      <c r="AQ8" s="76" t="n">
        <v>2</v>
      </c>
      <c r="AR8" s="76" t="n"/>
      <c r="AS8" s="77">
        <f>SUMPRODUCT(--(WEEKDAY(C$3:AG$3,2)&lt;5),--ISNUMBER(MATCH(C8:AG8,{"DM","CS1","CS2","SB1","AE","CS/B"},0)))</f>
        <v/>
      </c>
      <c r="AT8" s="77" t="n"/>
      <c r="AU8" s="77">
        <f>SUMPRODUCT(--(WEEKDAY(C$3:AG$3,2)=5),--ISNUMBER(MATCH(C8:AG8,{"DM","CS1","CS2","SB1","AE","CS/B","WEEKEND OUTFIELD RESERVE"},0)))</f>
        <v/>
      </c>
      <c r="AV8" s="77">
        <f>SUMPRODUCT(--(WEEKDAY(C$3:AG$3,2)&gt;5),--ISNUMBER(MATCH(C8:AG8,{"DM","CS1","CS2","SB1","AE","CS/B","WEEKEND OUTFIELD RESERVE"},0)))</f>
        <v/>
      </c>
      <c r="AW8" s="77" t="n"/>
      <c r="AX8" s="77">
        <f>(AS8-AT8)+AU8*1.5+(AV8-AW8)*2+AM8*0.5+AO8*0.5+AQ8-AR8</f>
        <v/>
      </c>
      <c r="AY8" s="77">
        <f>AS8+AU8+AV8</f>
        <v/>
      </c>
      <c r="AZ8" s="77">
        <f>BC8+BE8+BG8+BI8+BK8</f>
        <v/>
      </c>
      <c r="BA8" s="76">
        <f>AX8+BB8</f>
        <v/>
      </c>
      <c r="BB8" s="77">
        <f>BD8+BF8+BH8+BJ8+BL8</f>
        <v/>
      </c>
      <c r="BC8" s="77">
        <f>COUNTIF(A8:AH8,"*$BTP*")</f>
        <v/>
      </c>
      <c r="BD8" s="77">
        <f>BC8*1.5</f>
        <v/>
      </c>
      <c r="BE8" s="77">
        <f>COUNTIF(A8:AH8,"*$M*")</f>
        <v/>
      </c>
      <c r="BF8" s="77">
        <f>BE8*1</f>
        <v/>
      </c>
      <c r="BG8" s="77">
        <f>COUNTIF(A8:AH8,"*$PM*")</f>
        <v/>
      </c>
      <c r="BH8" s="77">
        <f>BG8*0.5</f>
        <v/>
      </c>
      <c r="BI8" s="77">
        <f>COUNTIF(A8:AH8,"*$AM*")</f>
        <v/>
      </c>
      <c r="BJ8" s="77">
        <f>BI8*0.5</f>
        <v/>
      </c>
      <c r="BK8" s="77">
        <f>COUNTIF(A8:AH8,"*$FC*")</f>
        <v/>
      </c>
      <c r="BL8" s="77">
        <f>BK8*1</f>
        <v/>
      </c>
      <c r="BM8" s="77">
        <f>COUNTIF($D8:$AA8,BM$4)</f>
        <v/>
      </c>
      <c r="BN8" s="77">
        <f>COUNTIF($D8:$AA8,BN$4)</f>
        <v/>
      </c>
      <c r="BO8" s="77">
        <f>COUNTIF($D8:$AA8,BO$4)</f>
        <v/>
      </c>
      <c r="BP8" s="77" t="n"/>
    </row>
    <row r="9" ht="19.5" customHeight="1">
      <c r="A9" s="67" t="n"/>
      <c r="B9" s="77" t="inlineStr">
        <is>
          <t>3SG SAMUEL TAN ENG WEE</t>
        </is>
      </c>
      <c r="C9" s="60" t="inlineStr">
        <is>
          <t>SB1</t>
        </is>
      </c>
      <c r="D9" s="60" t="n"/>
      <c r="E9" s="60" t="n"/>
      <c r="F9" s="60" t="n"/>
      <c r="G9" s="60" t="n"/>
      <c r="H9" s="60" t="inlineStr">
        <is>
          <t>RESERVE</t>
        </is>
      </c>
      <c r="I9" s="53" t="n"/>
      <c r="J9" s="53" t="inlineStr">
        <is>
          <t>DM</t>
        </is>
      </c>
      <c r="K9" s="53" t="n"/>
      <c r="L9" s="53" t="n"/>
      <c r="N9" s="60" t="n"/>
      <c r="O9" s="53" t="inlineStr">
        <is>
          <t>DM</t>
        </is>
      </c>
      <c r="Q9" s="60" t="n"/>
      <c r="R9" s="60" t="inlineStr">
        <is>
          <t>CS/B</t>
        </is>
      </c>
      <c r="S9" s="53" t="n"/>
      <c r="T9" s="60" t="n"/>
      <c r="U9" s="53" t="n"/>
      <c r="V9" s="60" t="inlineStr">
        <is>
          <t>COVER RESERVE</t>
        </is>
      </c>
      <c r="W9" s="53" t="n"/>
      <c r="X9" s="53" t="inlineStr">
        <is>
          <t>CS2</t>
        </is>
      </c>
      <c r="Y9" s="60" t="n"/>
      <c r="Z9" s="60" t="inlineStr">
        <is>
          <t>RESERVE</t>
        </is>
      </c>
      <c r="AA9" s="60" t="inlineStr">
        <is>
          <t>SB1</t>
        </is>
      </c>
      <c r="AB9" s="53" t="n"/>
      <c r="AC9" s="53" t="inlineStr">
        <is>
          <t>RESERVE</t>
        </is>
      </c>
      <c r="AD9" s="53" t="n"/>
      <c r="AE9" s="81" t="inlineStr">
        <is>
          <t>CS1</t>
        </is>
      </c>
      <c r="AF9" s="53" t="n"/>
      <c r="AG9" s="60" t="n"/>
      <c r="AH9" s="67">
        <f>COUNTIF($C9:$AF9,AH$4)</f>
        <v/>
      </c>
      <c r="AI9" s="67">
        <f>COUNTIF($C9:$AF9,AI$4)</f>
        <v/>
      </c>
      <c r="AJ9" s="67">
        <f>COUNTIF($C9:$AF9,AJ$4)</f>
        <v/>
      </c>
      <c r="AK9" s="67">
        <f>COUNTIF($C9:$AF9,AK$4)</f>
        <v/>
      </c>
      <c r="AL9" s="67">
        <f>COUNTIF($C9:$AF9,AL$4)</f>
        <v/>
      </c>
      <c r="AM9" s="67">
        <f>COUNTIF($C9:$AF9,AM$4)</f>
        <v/>
      </c>
      <c r="AN9" s="67">
        <f>COUNTIF($C9:$AF9,AN$4)</f>
        <v/>
      </c>
      <c r="AO9" s="67">
        <f>COUNTIF($C9:$AF9,AO$4)</f>
        <v/>
      </c>
      <c r="AP9" s="67">
        <f>COUNTIF($C9:$AF9,AP$4)</f>
        <v/>
      </c>
      <c r="AQ9" s="76" t="n">
        <v>2.5</v>
      </c>
      <c r="AR9" s="76" t="n"/>
      <c r="AS9" s="77">
        <f>SUMPRODUCT(--(WEEKDAY(C$3:AG$3,2)&lt;5),--ISNUMBER(MATCH(C9:AG9,{"DM","CS1","CS2","SB1","AE","CS/B"},0)))</f>
        <v/>
      </c>
      <c r="AT9" s="77" t="n">
        <v>0</v>
      </c>
      <c r="AU9" s="77">
        <f>SUMPRODUCT(--(WEEKDAY(C$3:AG$3,2)=5),--ISNUMBER(MATCH(C9:AG9,{"DM","CS1","CS2","SB1","AE","CS/B","WEEKEND OUTFIELD RESERVE"},0)))</f>
        <v/>
      </c>
      <c r="AV9" s="77">
        <f>SUMPRODUCT(--(WEEKDAY(C$3:AG$3,2)&gt;5),--ISNUMBER(MATCH(C9:AG9,{"DM","CS1","CS2","SB1","AE","CS/B","WEEKEND OUTFIELD RESERVE"},0)))</f>
        <v/>
      </c>
      <c r="AW9" s="77" t="n"/>
      <c r="AX9" s="77">
        <f>(AS9-AT9)+AU9*1.5+(AV9-AW9)*2+AM9*0.5+AO9*0.5+AQ9-AR9</f>
        <v/>
      </c>
      <c r="AY9" s="77">
        <f>AS9+AU9+AV9</f>
        <v/>
      </c>
      <c r="AZ9" s="77">
        <f>BC9+BE9+BG9+BI9+BK9</f>
        <v/>
      </c>
      <c r="BA9" s="76">
        <f>AX9+BB9</f>
        <v/>
      </c>
      <c r="BB9" s="77">
        <f>BD9+BF9+BH9+BJ9+BL9</f>
        <v/>
      </c>
      <c r="BC9" s="77">
        <f>COUNTIF(A9:AH9,"*$BTP*")</f>
        <v/>
      </c>
      <c r="BD9" s="77">
        <f>BC9*1.5</f>
        <v/>
      </c>
      <c r="BE9" s="77">
        <f>COUNTIF(A9:AH9,"*$M*")</f>
        <v/>
      </c>
      <c r="BF9" s="77">
        <f>BE9*1</f>
        <v/>
      </c>
      <c r="BG9" s="77">
        <f>COUNTIF(A9:AH9,"*$PM*")</f>
        <v/>
      </c>
      <c r="BH9" s="77">
        <f>BG9*0.5</f>
        <v/>
      </c>
      <c r="BI9" s="77">
        <f>COUNTIF(A9:AH9,"*$AM*")</f>
        <v/>
      </c>
      <c r="BJ9" s="77">
        <f>BI9*0.5</f>
        <v/>
      </c>
      <c r="BK9" s="77">
        <f>COUNTIF(A9:AH9,"*$FC*")</f>
        <v/>
      </c>
      <c r="BL9" s="77">
        <f>BK9*1</f>
        <v/>
      </c>
      <c r="BM9" s="77">
        <f>COUNTIF($D9:$AA9,BM$4)</f>
        <v/>
      </c>
      <c r="BN9" s="77">
        <f>COUNTIF($D9:$AA9,BN$4)</f>
        <v/>
      </c>
      <c r="BO9" s="77">
        <f>COUNTIF($D9:$AA9,BO$4)</f>
        <v/>
      </c>
      <c r="BP9" s="77" t="n"/>
    </row>
    <row r="10" ht="51" customHeight="1">
      <c r="A10" s="67" t="n"/>
      <c r="B10" s="74" t="inlineStr">
        <is>
          <t>LCP MATTHEW HWANG YEW SENG</t>
        </is>
      </c>
      <c r="C10" s="60" t="n"/>
      <c r="D10" s="53" t="inlineStr">
        <is>
          <t>RESERVE</t>
        </is>
      </c>
      <c r="E10" s="60" t="n"/>
      <c r="F10" s="60" t="n"/>
      <c r="G10" s="60" t="n"/>
      <c r="H10" s="60" t="inlineStr">
        <is>
          <t>DM</t>
        </is>
      </c>
      <c r="I10" s="53" t="n"/>
      <c r="J10" s="60" t="n"/>
      <c r="K10" s="60" t="inlineStr">
        <is>
          <t>RESERVE</t>
        </is>
      </c>
      <c r="L10" s="60" t="n"/>
      <c r="M10" s="53" t="n"/>
      <c r="N10" s="1" t="inlineStr">
        <is>
          <t>RESERVE</t>
        </is>
      </c>
      <c r="O10" s="53" t="n"/>
      <c r="P10" s="60" t="n"/>
      <c r="Q10" s="60" t="n"/>
      <c r="R10" s="60" t="inlineStr">
        <is>
          <t>AL</t>
        </is>
      </c>
      <c r="S10" s="53" t="inlineStr">
        <is>
          <t>CS2</t>
        </is>
      </c>
      <c r="T10" s="60" t="n"/>
      <c r="U10" s="53" t="n"/>
      <c r="V10" s="53" t="inlineStr">
        <is>
          <t>RESERVE</t>
        </is>
      </c>
      <c r="W10" s="53" t="n"/>
      <c r="X10" s="53" t="n"/>
      <c r="Y10" s="60" t="n"/>
      <c r="Z10" s="53" t="inlineStr">
        <is>
          <t>DM</t>
        </is>
      </c>
      <c r="AA10" s="60" t="n"/>
      <c r="AB10" s="60" t="inlineStr">
        <is>
          <t>RESERVE</t>
        </is>
      </c>
      <c r="AC10" s="53" t="n"/>
      <c r="AD10" s="53" t="n"/>
      <c r="AE10" s="82" t="inlineStr">
        <is>
          <t>CS2</t>
        </is>
      </c>
      <c r="AF10" s="53" t="n"/>
      <c r="AG10" s="53" t="n"/>
      <c r="AH10" s="67">
        <f>COUNTIF($C10:$AF10,AH$4)</f>
        <v/>
      </c>
      <c r="AI10" s="67">
        <f>COUNTIF($C10:$AF10,AI$4)</f>
        <v/>
      </c>
      <c r="AJ10" s="67">
        <f>COUNTIF($C10:$AF10,AJ$4)</f>
        <v/>
      </c>
      <c r="AK10" s="67">
        <f>COUNTIF($C10:$AF10,AK$4)</f>
        <v/>
      </c>
      <c r="AL10" s="67">
        <f>COUNTIF($C10:$AF10,AL$4)</f>
        <v/>
      </c>
      <c r="AM10" s="67">
        <f>COUNTIF($C10:$AF10,AM$4)</f>
        <v/>
      </c>
      <c r="AN10" s="67">
        <f>COUNTIF($C10:$AF10,AN$4)</f>
        <v/>
      </c>
      <c r="AO10" s="67">
        <f>COUNTIF($C10:$AF10,AO$4)</f>
        <v/>
      </c>
      <c r="AP10" s="67">
        <f>COUNTIF($C10:$AF10,AP$4)</f>
        <v/>
      </c>
      <c r="AQ10" s="76" t="n">
        <v>2</v>
      </c>
      <c r="AR10" s="76" t="n"/>
      <c r="AS10" s="77">
        <f>SUMPRODUCT(--(WEEKDAY(C$3:AG$3,2)&lt;5),--ISNUMBER(MATCH(C10:AG10,{"DM","CS1","CS2","SB1","AE","CS/B"},0)))</f>
        <v/>
      </c>
      <c r="AT10" s="77" t="n"/>
      <c r="AU10" s="77">
        <f>SUMPRODUCT(--(WEEKDAY(C$3:AG$3,2)=5),--ISNUMBER(MATCH(C10:AG10,{"DM","CS1","CS2","SB1","AE","CS/B","WEEKEND OUTFIELD RESERVE"},0)))</f>
        <v/>
      </c>
      <c r="AV10" s="77">
        <f>SUMPRODUCT(--(WEEKDAY(C$3:AG$3,2)&gt;5),--ISNUMBER(MATCH(C10:AG10,{"DM","CS1","CS2","SB1","AE","CS/B","WEEKEND OUTFIELD RESERVE"},0)))</f>
        <v/>
      </c>
      <c r="AW10" s="77" t="n"/>
      <c r="AX10" s="77">
        <f>(AS10-AT10)+AU10*1.5+(AV10-AW10)*2+AM10*0.5+AO10*0.5+AQ10-AR10</f>
        <v/>
      </c>
      <c r="AY10" s="77">
        <f>AS10+AU10+AV10</f>
        <v/>
      </c>
      <c r="AZ10" s="77">
        <f>BC10+BE10+BG10+BI10+BK10</f>
        <v/>
      </c>
      <c r="BA10" s="76">
        <f>AX10+BB10</f>
        <v/>
      </c>
      <c r="BB10" s="77">
        <f>BD10+BF10+BH10+BJ10+BL10</f>
        <v/>
      </c>
      <c r="BC10" s="77">
        <f>COUNTIF(A10:AH10,"*$BTP*")</f>
        <v/>
      </c>
      <c r="BD10" s="77">
        <f>BC10*1.5</f>
        <v/>
      </c>
      <c r="BE10" s="77">
        <f>COUNTIF(A10:AH10,"*$M*")</f>
        <v/>
      </c>
      <c r="BF10" s="77">
        <f>BE10*1</f>
        <v/>
      </c>
      <c r="BG10" s="77">
        <f>COUNTIF(A10:AH10,"*$PM*")</f>
        <v/>
      </c>
      <c r="BH10" s="77">
        <f>BG10*0.5</f>
        <v/>
      </c>
      <c r="BI10" s="77">
        <f>COUNTIF(A10:AH10,"*$AM*")</f>
        <v/>
      </c>
      <c r="BJ10" s="77">
        <f>BI10*0.5</f>
        <v/>
      </c>
      <c r="BK10" s="77">
        <f>COUNTIF(A10:AH10,"*$FC*")</f>
        <v/>
      </c>
      <c r="BL10" s="77">
        <f>BK10*1</f>
        <v/>
      </c>
      <c r="BM10" s="77">
        <f>COUNTIF($D10:$AA10,BM$4)</f>
        <v/>
      </c>
      <c r="BN10" s="77">
        <f>COUNTIF($D10:$AA10,BN$4)</f>
        <v/>
      </c>
      <c r="BO10" s="77">
        <f>COUNTIF($D10:$AA10,BO$4)</f>
        <v/>
      </c>
      <c r="BP10" s="77" t="n"/>
    </row>
    <row r="11" ht="45" customHeight="1">
      <c r="A11" s="67" t="n"/>
      <c r="B11" s="74" t="inlineStr">
        <is>
          <t xml:space="preserve">LCP IGNATIUS QUEK </t>
        </is>
      </c>
      <c r="C11" s="60" t="inlineStr">
        <is>
          <t>MC</t>
        </is>
      </c>
      <c r="D11" s="60" t="inlineStr">
        <is>
          <t>MC</t>
        </is>
      </c>
      <c r="E11" s="60" t="inlineStr">
        <is>
          <t>MC</t>
        </is>
      </c>
      <c r="F11" s="60" t="inlineStr">
        <is>
          <t>MC</t>
        </is>
      </c>
      <c r="G11" s="60" t="inlineStr">
        <is>
          <t>MC</t>
        </is>
      </c>
      <c r="H11" s="60" t="inlineStr">
        <is>
          <t>MC</t>
        </is>
      </c>
      <c r="I11" s="60" t="inlineStr">
        <is>
          <t>MC</t>
        </is>
      </c>
      <c r="J11" s="60" t="inlineStr">
        <is>
          <t>MC</t>
        </is>
      </c>
      <c r="K11" s="60" t="inlineStr">
        <is>
          <t>MC</t>
        </is>
      </c>
      <c r="L11" s="60" t="inlineStr">
        <is>
          <t>MC</t>
        </is>
      </c>
      <c r="M11" s="60" t="inlineStr">
        <is>
          <t>MC</t>
        </is>
      </c>
      <c r="N11" s="60" t="inlineStr">
        <is>
          <t>MC</t>
        </is>
      </c>
      <c r="O11" s="60" t="inlineStr">
        <is>
          <t>MC</t>
        </is>
      </c>
      <c r="P11" s="60" t="inlineStr">
        <is>
          <t>MC</t>
        </is>
      </c>
      <c r="Q11" s="60" t="inlineStr">
        <is>
          <t>MC</t>
        </is>
      </c>
      <c r="R11" s="60" t="inlineStr">
        <is>
          <t>MC</t>
        </is>
      </c>
      <c r="S11" s="60" t="inlineStr">
        <is>
          <t>MC</t>
        </is>
      </c>
      <c r="T11" s="60" t="inlineStr">
        <is>
          <t>MC</t>
        </is>
      </c>
      <c r="U11" s="60" t="inlineStr">
        <is>
          <t>MC</t>
        </is>
      </c>
      <c r="V11" s="60" t="inlineStr">
        <is>
          <t>MC</t>
        </is>
      </c>
      <c r="W11" s="60" t="inlineStr">
        <is>
          <t>MC</t>
        </is>
      </c>
      <c r="X11" s="60" t="inlineStr">
        <is>
          <t>MC</t>
        </is>
      </c>
      <c r="Y11" s="60" t="inlineStr">
        <is>
          <t>MC</t>
        </is>
      </c>
      <c r="Z11" s="60" t="inlineStr">
        <is>
          <t>MC</t>
        </is>
      </c>
      <c r="AA11" s="53" t="n"/>
      <c r="AB11" s="60" t="inlineStr">
        <is>
          <t>CS/B</t>
        </is>
      </c>
      <c r="AC11" s="53" t="n"/>
      <c r="AD11" s="53" t="n"/>
      <c r="AE11" s="83" t="inlineStr">
        <is>
          <t>AMPT</t>
        </is>
      </c>
      <c r="AF11" s="53" t="inlineStr">
        <is>
          <t>CS/B</t>
        </is>
      </c>
      <c r="AG11" s="53" t="n"/>
      <c r="AH11" s="67">
        <f>COUNTIF($C11:$Z11,AH$4)</f>
        <v/>
      </c>
      <c r="AI11" s="67">
        <f>COUNTIF($C11:$Z11,AI$4)</f>
        <v/>
      </c>
      <c r="AJ11" s="67">
        <f>COUNTIF($C11:$Z11,AJ$4)</f>
        <v/>
      </c>
      <c r="AK11" s="67">
        <f>COUNTIF($C11:$Z11,AK$4)</f>
        <v/>
      </c>
      <c r="AL11" s="67">
        <f>COUNTIF($C11:$Z11,AL$4)</f>
        <v/>
      </c>
      <c r="AM11" s="67">
        <f>COUNTIF($C11:$Z11,AM$4)</f>
        <v/>
      </c>
      <c r="AN11" s="67">
        <f>COUNTIF($C11:$Z11,AN$4)</f>
        <v/>
      </c>
      <c r="AO11" s="67">
        <f>COUNTIF($C11:$Z11,AO$4)</f>
        <v/>
      </c>
      <c r="AP11" s="67">
        <f>COUNTIF($C11:$Z11,AP$4)</f>
        <v/>
      </c>
      <c r="AQ11" s="76" t="n"/>
      <c r="AR11" s="76" t="n">
        <v>3</v>
      </c>
      <c r="AS11" s="77">
        <f>SUMPRODUCT(--(WEEKDAY(C$3:AG$3,2)&lt;5),--ISNUMBER(MATCH(C11:AG11,{"DM","CS1","CS2","SB1","AE","CS/B"},0)))</f>
        <v/>
      </c>
      <c r="AT11" s="77" t="n"/>
      <c r="AU11" s="77">
        <f>SUMPRODUCT(--(WEEKDAY(C$3:AG$3,2)=5),--ISNUMBER(MATCH(C11:AG11,{"DM","CS1","CS2","SB1","AE","CS/B","WEEKEND OUTFIELD RESERVE"},0)))</f>
        <v/>
      </c>
      <c r="AV11" s="77">
        <f>SUMPRODUCT(--(WEEKDAY(C$3:AG$3,2)&gt;5),--ISNUMBER(MATCH(C11:AG11,{"DM","CS1","CS2","SB1","AE","CS/B","WEEKEND OUTFIELD RESERVE"},0)))</f>
        <v/>
      </c>
      <c r="AW11" s="77" t="n"/>
      <c r="AX11" s="77">
        <f>(AS11-AT11)+AU11*1.5+(AV11-AW11)*2+AM11*0.5+AO11*0.5+AQ11-AR11</f>
        <v/>
      </c>
      <c r="AY11" s="77">
        <f>AS11+AU11+AV11</f>
        <v/>
      </c>
      <c r="AZ11" s="77">
        <f>BC11+BE11+BG11+BI11+BK11</f>
        <v/>
      </c>
      <c r="BA11" s="76">
        <f>AX11+BB11</f>
        <v/>
      </c>
      <c r="BB11" s="77">
        <f>BD11+BF11+BH11+BJ11+BL11</f>
        <v/>
      </c>
      <c r="BC11" s="77">
        <f>COUNTIF(A11:AH11,"*$BTP*")</f>
        <v/>
      </c>
      <c r="BD11" s="77">
        <f>BC11*1.5</f>
        <v/>
      </c>
      <c r="BE11" s="77">
        <f>COUNTIF(A11:AH11,"*$M*")</f>
        <v/>
      </c>
      <c r="BF11" s="77">
        <f>BE11*1</f>
        <v/>
      </c>
      <c r="BG11" s="77">
        <f>COUNTIF(A11:AH11,"*$PM*")</f>
        <v/>
      </c>
      <c r="BH11" s="77">
        <f>BG11*0.5</f>
        <v/>
      </c>
      <c r="BI11" s="77">
        <f>COUNTIF(A11:AH11,"*$AM*")</f>
        <v/>
      </c>
      <c r="BJ11" s="77">
        <f>BI11*0.5</f>
        <v/>
      </c>
      <c r="BK11" s="77">
        <f>COUNTIF(A11:AH11,"*$FC*")</f>
        <v/>
      </c>
      <c r="BL11" s="77">
        <f>BK11*1</f>
        <v/>
      </c>
      <c r="BM11" s="77">
        <f>COUNTIF($D11:$Z11,BM$4)</f>
        <v/>
      </c>
      <c r="BN11" s="77">
        <f>COUNTIF($D11:$Z11,BN$4)</f>
        <v/>
      </c>
      <c r="BO11" s="77">
        <f>COUNTIF($D11:$Z11,BO$4)</f>
        <v/>
      </c>
      <c r="BP11" s="77" t="n"/>
    </row>
    <row r="12" ht="25.5" customHeight="1">
      <c r="A12" s="67" t="n"/>
      <c r="B12" s="77" t="inlineStr">
        <is>
          <t>PTE MENDEZ RALPH JUSTINE MACALINO</t>
        </is>
      </c>
      <c r="C12" s="60" t="n"/>
      <c r="D12" s="60" t="n"/>
      <c r="E12" s="60" t="n"/>
      <c r="F12" s="60" t="n"/>
      <c r="G12" s="53" t="n"/>
      <c r="H12" s="60" t="n"/>
      <c r="I12" s="60" t="n"/>
      <c r="J12" s="60" t="inlineStr">
        <is>
          <t>CS1</t>
        </is>
      </c>
      <c r="K12" s="60" t="n"/>
      <c r="L12" s="60" t="n"/>
      <c r="M12" s="60" t="inlineStr">
        <is>
          <t>SB1</t>
        </is>
      </c>
      <c r="N12" s="60" t="n"/>
      <c r="O12" s="60" t="n"/>
      <c r="P12" s="60" t="n"/>
      <c r="Q12" s="53" t="n"/>
      <c r="R12" s="53" t="inlineStr">
        <is>
          <t>CS1</t>
        </is>
      </c>
      <c r="S12" s="53" t="n"/>
      <c r="T12" s="60" t="n"/>
      <c r="U12" s="53" t="n"/>
      <c r="V12" s="60" t="inlineStr">
        <is>
          <t>CS/B</t>
        </is>
      </c>
      <c r="W12" s="53" t="n"/>
      <c r="X12" s="60" t="n"/>
      <c r="Y12" s="60" t="n"/>
      <c r="Z12" s="60" t="inlineStr">
        <is>
          <t>CS1</t>
        </is>
      </c>
      <c r="AA12" s="60" t="n"/>
      <c r="AB12" s="53" t="n"/>
      <c r="AC12" s="53" t="n"/>
      <c r="AD12" s="60" t="inlineStr">
        <is>
          <t>RESERVE</t>
        </is>
      </c>
      <c r="AE12" s="84" t="n"/>
      <c r="AF12" s="53" t="inlineStr">
        <is>
          <t>AE</t>
        </is>
      </c>
      <c r="AG12" s="60" t="n"/>
      <c r="AH12" s="67">
        <f>COUNTIF($C12:$AF12,AH$4)</f>
        <v/>
      </c>
      <c r="AI12" s="67">
        <f>COUNTIF($C12:$AF12,AI$4)</f>
        <v/>
      </c>
      <c r="AJ12" s="67">
        <f>COUNTIF($C12:$AF12,AJ$4)</f>
        <v/>
      </c>
      <c r="AK12" s="67">
        <f>COUNTIF($C12:$AF12,AK$4)</f>
        <v/>
      </c>
      <c r="AL12" s="67">
        <f>COUNTIF($C12:$AF12,AL$4)</f>
        <v/>
      </c>
      <c r="AM12" s="67">
        <f>COUNTIF($C12:$AF12,AM$4)</f>
        <v/>
      </c>
      <c r="AN12" s="67">
        <f>COUNTIF($C12:$AF12,AN$4)</f>
        <v/>
      </c>
      <c r="AO12" s="67">
        <f>COUNTIF($C12:$AF12,AO$4)</f>
        <v/>
      </c>
      <c r="AP12" s="67">
        <f>COUNTIF($C12:$AF12,AP$4)</f>
        <v/>
      </c>
      <c r="AQ12" s="76" t="n"/>
      <c r="AR12" s="76" t="n">
        <v>1</v>
      </c>
      <c r="AS12" s="77">
        <f>SUMPRODUCT(--(WEEKDAY(C$3:AG$3,2)&lt;5),--ISNUMBER(MATCH(C12:AG12,{"DM","CS1","CS2","SB1","AE","CS/B"},0)))</f>
        <v/>
      </c>
      <c r="AT12" s="77" t="n"/>
      <c r="AU12" s="77">
        <f>SUMPRODUCT(--(WEEKDAY(C$3:AG$3,2)=5),--ISNUMBER(MATCH(C12:AG12,{"DM","CS1","CS2","SB1","AE","CS/B","WEEKEND OUTFIELD RESERVE"},0)))</f>
        <v/>
      </c>
      <c r="AV12" s="77">
        <f>SUMPRODUCT(--(WEEKDAY(C$3:AG$3,2)&gt;5),--ISNUMBER(MATCH(C12:AG12,{"DM","CS1","CS2","SB1","AE","CS/B","WEEKEND OUTFIELD RESERVE"},0)))</f>
        <v/>
      </c>
      <c r="AW12" s="77" t="n"/>
      <c r="AX12" s="77">
        <f>(AS12-AT12)+AU12*1.5+(AV12-AW12)*2+AM12*0.5+AO12*0.5+AQ12-AR12</f>
        <v/>
      </c>
      <c r="AY12" s="77">
        <f>AS12+AU12+AV12</f>
        <v/>
      </c>
      <c r="AZ12" s="77">
        <f>BC12+BE12+BG12+BI12+BK12</f>
        <v/>
      </c>
      <c r="BA12" s="76">
        <f>AX12+BB12</f>
        <v/>
      </c>
      <c r="BB12" s="77">
        <f>BD12+BF12+BH12+BJ12+BL12</f>
        <v/>
      </c>
      <c r="BC12" s="77">
        <f>COUNTIF(A12:AH12,"*$BTP*")</f>
        <v/>
      </c>
      <c r="BD12" s="77">
        <f>BC12*1.5</f>
        <v/>
      </c>
      <c r="BE12" s="77">
        <f>COUNTIF(A12:AH12,"*$M*")</f>
        <v/>
      </c>
      <c r="BF12" s="77">
        <f>BE12*1</f>
        <v/>
      </c>
      <c r="BG12" s="77">
        <f>COUNTIF(A12:AH12,"*$PM*")</f>
        <v/>
      </c>
      <c r="BH12" s="77">
        <f>BG12*0.5</f>
        <v/>
      </c>
      <c r="BI12" s="77">
        <f>COUNTIF(A12:AH12,"*$AM*")</f>
        <v/>
      </c>
      <c r="BJ12" s="77">
        <f>BI12*0.5</f>
        <v/>
      </c>
      <c r="BK12" s="77">
        <f>COUNTIF(A12:AH12,"*$FC*")</f>
        <v/>
      </c>
      <c r="BL12" s="77">
        <f>BK12*1</f>
        <v/>
      </c>
      <c r="BM12" s="77">
        <f>COUNTIF($D12:$AA12,BM$4)</f>
        <v/>
      </c>
      <c r="BN12" s="77">
        <f>COUNTIF($D12:$AA12,BN$4)</f>
        <v/>
      </c>
      <c r="BO12" s="77">
        <f>COUNTIF($D12:$AA12,BO$4)</f>
        <v/>
      </c>
      <c r="BP12" s="77" t="n"/>
    </row>
    <row r="13" ht="47.25" customHeight="1">
      <c r="A13" s="67" t="n"/>
      <c r="B13" s="76" t="inlineStr">
        <is>
          <t>PTE DANIEL ISKANDAR BIN SANUSI</t>
        </is>
      </c>
      <c r="C13" s="60" t="n"/>
      <c r="D13" s="53" t="n"/>
      <c r="E13" s="60" t="inlineStr">
        <is>
          <t>AE</t>
        </is>
      </c>
      <c r="F13" s="53" t="n"/>
      <c r="G13" s="53" t="n"/>
      <c r="H13" s="60" t="n"/>
      <c r="I13" s="60" t="n"/>
      <c r="J13" s="60" t="inlineStr">
        <is>
          <t>RESERVE</t>
        </is>
      </c>
      <c r="K13" s="60" t="n"/>
      <c r="L13" s="53" t="inlineStr">
        <is>
          <t>CS1</t>
        </is>
      </c>
      <c r="M13" s="60" t="n"/>
      <c r="N13" s="60" t="n"/>
      <c r="P13" s="60" t="n"/>
      <c r="Q13" s="60" t="n"/>
      <c r="R13" s="60" t="n"/>
      <c r="S13" s="60" t="inlineStr">
        <is>
          <t>RESERVE</t>
        </is>
      </c>
      <c r="T13" s="53" t="n"/>
      <c r="U13" s="60" t="n"/>
      <c r="V13" s="60" t="n"/>
      <c r="W13" s="60" t="inlineStr">
        <is>
          <t>MA</t>
        </is>
      </c>
      <c r="X13" s="60" t="n"/>
      <c r="Y13" s="60" t="n"/>
      <c r="Z13" s="60" t="n"/>
      <c r="AA13" s="53" t="inlineStr">
        <is>
          <t xml:space="preserve">CS1 </t>
        </is>
      </c>
      <c r="AB13" s="53" t="n"/>
      <c r="AE13" s="79" t="n"/>
      <c r="AF13" s="53" t="n"/>
      <c r="AG13" s="53" t="inlineStr">
        <is>
          <t>AE</t>
        </is>
      </c>
      <c r="AH13" s="67">
        <f>COUNTIF($C13:$AF13,AH$4)</f>
        <v/>
      </c>
      <c r="AI13" s="67">
        <f>COUNTIF($C13:$AF13,AI$4)</f>
        <v/>
      </c>
      <c r="AJ13" s="67">
        <f>COUNTIF($C13:$AF13,AJ$4)</f>
        <v/>
      </c>
      <c r="AK13" s="67">
        <f>COUNTIF($C13:$AF13,AK$4)</f>
        <v/>
      </c>
      <c r="AL13" s="67">
        <f>COUNTIF($C13:$AF13,AL$4)</f>
        <v/>
      </c>
      <c r="AM13" s="67">
        <f>COUNTIF($C13:$AF13,AM$4)</f>
        <v/>
      </c>
      <c r="AN13" s="67">
        <f>COUNTIF($C13:$AF13,AN$4)</f>
        <v/>
      </c>
      <c r="AO13" s="67">
        <f>COUNTIF($C13:$AF13,AO$4)</f>
        <v/>
      </c>
      <c r="AP13" s="67">
        <f>COUNTIF($C13:$AF13,AP$4)</f>
        <v/>
      </c>
      <c r="AQ13" s="76" t="n">
        <v>1</v>
      </c>
      <c r="AR13" s="76" t="n"/>
      <c r="AS13" s="77">
        <f>SUMPRODUCT(--(WEEKDAY(C$3:AG$3,2)&lt;5),--ISNUMBER(MATCH(C13:AG13,{"DM","CS1","CS2","SB1","AE","CS/B"},0)))</f>
        <v/>
      </c>
      <c r="AT13" s="77" t="n"/>
      <c r="AU13" s="77">
        <f>SUMPRODUCT(--(WEEKDAY(C$3:AG$3,2)=5),--ISNUMBER(MATCH(C13:AG13,{"DM","CS1","CS2","SB1","AE","CS/B","WEEKEND OUTFIELD RESERVE"},0)))</f>
        <v/>
      </c>
      <c r="AV13" s="77">
        <f>SUMPRODUCT(--(WEEKDAY(C$3:AG$3,2)&gt;5),--ISNUMBER(MATCH(C13:AG13,{"DM","CS1","CS2","SB1","AE","CS/B","WEEKEND OUTFIELD RESERVE"},0)))</f>
        <v/>
      </c>
      <c r="AW13" s="77" t="n"/>
      <c r="AX13" s="77">
        <f>(AS13-AT13)+AU13*1.5+(AV13-AW13)*2+AM13*0.5+AO13*0.5+AQ13-AR13</f>
        <v/>
      </c>
      <c r="AY13" s="77">
        <f>AS13+AU13+AV13</f>
        <v/>
      </c>
      <c r="AZ13" s="77">
        <f>BC13+BE13+BG13+BI13+BK13</f>
        <v/>
      </c>
      <c r="BA13" s="76">
        <f>AX13+BB13</f>
        <v/>
      </c>
      <c r="BB13" s="77">
        <f>BD13+BF13+BH13+BJ13+BL13</f>
        <v/>
      </c>
      <c r="BC13" s="77">
        <f>COUNTIF(A13:AH13,"*$BTP*")</f>
        <v/>
      </c>
      <c r="BD13" s="77">
        <f>BC13*1.5</f>
        <v/>
      </c>
      <c r="BE13" s="77">
        <f>COUNTIF(A13:AH13,"*$M*")</f>
        <v/>
      </c>
      <c r="BF13" s="77">
        <f>BE13*1</f>
        <v/>
      </c>
      <c r="BG13" s="77">
        <f>COUNTIF(A13:AH13,"*$PM*")</f>
        <v/>
      </c>
      <c r="BH13" s="77">
        <f>BG13*0.5</f>
        <v/>
      </c>
      <c r="BI13" s="77">
        <f>COUNTIF(A13:AH13,"*$AM*")</f>
        <v/>
      </c>
      <c r="BJ13" s="77">
        <f>BI13*0.5</f>
        <v/>
      </c>
      <c r="BK13" s="77">
        <f>COUNTIF(A13:AH13,"*$FC*")</f>
        <v/>
      </c>
      <c r="BL13" s="77">
        <f>BK13*1</f>
        <v/>
      </c>
      <c r="BM13" s="77">
        <f>COUNTIF($D13:$AA13,BM$4)</f>
        <v/>
      </c>
      <c r="BN13" s="77">
        <f>COUNTIF($D13:$AA13,BN$4)</f>
        <v/>
      </c>
      <c r="BO13" s="77">
        <f>COUNTIF($D13:$AA13,BO$4)</f>
        <v/>
      </c>
      <c r="BP13" s="77" t="n"/>
    </row>
    <row r="14" ht="47.25" customHeight="1">
      <c r="A14" s="67" t="n"/>
      <c r="B14" s="76" t="inlineStr">
        <is>
          <t>PTE KERK NATHAN</t>
        </is>
      </c>
      <c r="C14" s="60" t="inlineStr">
        <is>
          <t>SB2</t>
        </is>
      </c>
      <c r="D14" s="53" t="n"/>
      <c r="E14" s="60" t="inlineStr">
        <is>
          <t>SB2</t>
        </is>
      </c>
      <c r="F14" s="53" t="n"/>
      <c r="G14" s="53" t="n"/>
      <c r="H14" s="60" t="n"/>
      <c r="I14" s="60" t="n"/>
      <c r="J14" s="60" t="n"/>
      <c r="K14" s="60" t="n"/>
      <c r="L14" s="53" t="n"/>
      <c r="N14" s="60" t="n"/>
      <c r="O14" s="60" t="inlineStr">
        <is>
          <t>RHMC</t>
        </is>
      </c>
      <c r="P14" s="60" t="inlineStr">
        <is>
          <t>RHMC</t>
        </is>
      </c>
      <c r="Q14" s="60" t="inlineStr">
        <is>
          <t>RHMC</t>
        </is>
      </c>
      <c r="R14" s="60" t="inlineStr">
        <is>
          <t>RHMC</t>
        </is>
      </c>
      <c r="S14" s="60" t="inlineStr">
        <is>
          <t>RHMC</t>
        </is>
      </c>
      <c r="T14" s="60" t="inlineStr">
        <is>
          <t>RHMC</t>
        </is>
      </c>
      <c r="U14" s="60" t="inlineStr">
        <is>
          <t>RHMC</t>
        </is>
      </c>
      <c r="V14" s="60" t="inlineStr">
        <is>
          <t>RHMC</t>
        </is>
      </c>
      <c r="W14" s="60" t="inlineStr">
        <is>
          <t>RHMC</t>
        </is>
      </c>
      <c r="X14" s="60" t="inlineStr">
        <is>
          <t>RHMC</t>
        </is>
      </c>
      <c r="Y14" s="60" t="inlineStr">
        <is>
          <t>RHMC</t>
        </is>
      </c>
      <c r="Z14" s="60" t="inlineStr">
        <is>
          <t>RHMC</t>
        </is>
      </c>
      <c r="AA14" s="60" t="inlineStr">
        <is>
          <t>RHMC</t>
        </is>
      </c>
      <c r="AB14" s="60" t="inlineStr">
        <is>
          <t>RHMC</t>
        </is>
      </c>
      <c r="AC14" s="60" t="inlineStr">
        <is>
          <t>RHMC</t>
        </is>
      </c>
      <c r="AD14" s="60" t="inlineStr">
        <is>
          <t>RHMC</t>
        </is>
      </c>
      <c r="AE14" s="78" t="inlineStr">
        <is>
          <t>RHMC</t>
        </is>
      </c>
      <c r="AF14" s="60" t="inlineStr">
        <is>
          <t>RHMC</t>
        </is>
      </c>
      <c r="AG14" s="60" t="inlineStr">
        <is>
          <t>RHMC</t>
        </is>
      </c>
      <c r="AH14" s="67">
        <f>COUNTIF($C14:$AF14,AH$4)</f>
        <v/>
      </c>
      <c r="AI14" s="67">
        <f>COUNTIF($C14:$AF14,AI$4)</f>
        <v/>
      </c>
      <c r="AJ14" s="67">
        <f>COUNTIF($C14:$AF14,AJ$4)</f>
        <v/>
      </c>
      <c r="AK14" s="67">
        <f>COUNTIF($C14:$AF14,AK$4)</f>
        <v/>
      </c>
      <c r="AL14" s="67">
        <f>COUNTIF($C14:$AF14,AL$4)</f>
        <v/>
      </c>
      <c r="AM14" s="67">
        <f>COUNTIF($C14:$AF14,AM$4)</f>
        <v/>
      </c>
      <c r="AN14" s="67">
        <f>COUNTIF($C14:$AF14,AN$4)</f>
        <v/>
      </c>
      <c r="AO14" s="67">
        <f>COUNTIF($C14:$AF14,AO$4)</f>
        <v/>
      </c>
      <c r="AP14" s="67">
        <f>COUNTIF($C14:$AF14,AP$4)</f>
        <v/>
      </c>
      <c r="AQ14" s="76" t="n"/>
      <c r="AR14" s="76" t="n"/>
      <c r="AS14" s="77">
        <f>SUMPRODUCT(--(WEEKDAY(C$3:AG$3,2)&lt;5),--ISNUMBER(MATCH(C14:AG14,{"DM","CS1","CS2","SB1","AE","CS/B"},0)))</f>
        <v/>
      </c>
      <c r="AT14" s="77" t="n"/>
      <c r="AU14" s="77">
        <f>SUMPRODUCT(--(WEEKDAY(C$3:AG$3,2)=5),--ISNUMBER(MATCH(C14:AG14,{"DM","CS1","CS2","SB1","AE","CS/B","WEEKEND OUTFIELD RESERVE"},0)))</f>
        <v/>
      </c>
      <c r="AV14" s="77">
        <f>SUMPRODUCT(--(WEEKDAY(C$3:AG$3,2)&gt;5),--ISNUMBER(MATCH(C14:AG14,{"DM","CS1","CS2","SB1","AE","CS/B","WEEKEND OUTFIELD RESERVE"},0)))</f>
        <v/>
      </c>
      <c r="AW14" s="77" t="n"/>
      <c r="AX14" s="77">
        <f>(AS14-AT14)+AU14*1.5+(AV14-AW14)*2+AM14*0.5+AO14*0.5+AQ14-AR14</f>
        <v/>
      </c>
      <c r="AY14" s="77">
        <f>AS14+AU14+AV14</f>
        <v/>
      </c>
      <c r="AZ14" s="77">
        <f>BC14+BE14+BG14+BI14+BK14</f>
        <v/>
      </c>
      <c r="BA14" s="76">
        <f>AX14+BB14</f>
        <v/>
      </c>
      <c r="BB14" s="77">
        <f>BD14+BF14+BH14+BJ14+BL14</f>
        <v/>
      </c>
      <c r="BC14" s="77">
        <f>COUNTIF(A14:AH14,"*$BTP*")</f>
        <v/>
      </c>
      <c r="BD14" s="77">
        <f>BC14*1.5</f>
        <v/>
      </c>
      <c r="BE14" s="77">
        <f>COUNTIF(A14:AH14,"*$M*")</f>
        <v/>
      </c>
      <c r="BF14" s="77">
        <f>BE14*1</f>
        <v/>
      </c>
      <c r="BG14" s="77">
        <f>COUNTIF(A14:AH14,"*$PM*")</f>
        <v/>
      </c>
      <c r="BH14" s="77">
        <f>BG14*0.5</f>
        <v/>
      </c>
      <c r="BI14" s="77">
        <f>COUNTIF(A14:AH14,"*$AM*")</f>
        <v/>
      </c>
      <c r="BJ14" s="77">
        <f>BI14*0.5</f>
        <v/>
      </c>
      <c r="BK14" s="77">
        <f>COUNTIF(A14:AH14,"*$FC*")</f>
        <v/>
      </c>
      <c r="BL14" s="77">
        <f>BK14*1</f>
        <v/>
      </c>
      <c r="BM14" s="77">
        <f>COUNTIF($D14:$AA14,BM$4)</f>
        <v/>
      </c>
      <c r="BN14" s="77">
        <f>COUNTIF($D14:$AA14,BN$4)</f>
        <v/>
      </c>
      <c r="BO14" s="77">
        <f>COUNTIF($D14:$AA14,BO$4)</f>
        <v/>
      </c>
      <c r="BP14" s="77" t="n"/>
    </row>
    <row r="15" ht="47.25" customHeight="1">
      <c r="A15" s="67" t="n"/>
      <c r="B15" s="76" t="inlineStr">
        <is>
          <t>PTE OWEN LEE</t>
        </is>
      </c>
      <c r="C15" s="60" t="n"/>
      <c r="D15" s="53" t="n"/>
      <c r="E15" s="60" t="n"/>
      <c r="F15" s="53" t="n"/>
      <c r="G15" s="53" t="inlineStr">
        <is>
          <t>AE</t>
        </is>
      </c>
      <c r="H15" s="60" t="n"/>
      <c r="I15" s="60" t="n"/>
      <c r="J15" s="60" t="n"/>
      <c r="K15" s="60" t="n"/>
      <c r="L15" s="53" t="n"/>
      <c r="M15" s="60" t="n"/>
      <c r="N15" s="60" t="n"/>
      <c r="O15" s="60" t="inlineStr">
        <is>
          <t>RHMC</t>
        </is>
      </c>
      <c r="P15" s="60" t="inlineStr">
        <is>
          <t>RHMC</t>
        </is>
      </c>
      <c r="Q15" s="60" t="inlineStr">
        <is>
          <t>RHMC</t>
        </is>
      </c>
      <c r="R15" s="60" t="inlineStr">
        <is>
          <t>RHMC</t>
        </is>
      </c>
      <c r="S15" s="60" t="inlineStr">
        <is>
          <t>RHMC</t>
        </is>
      </c>
      <c r="T15" s="60" t="inlineStr">
        <is>
          <t>RHMC</t>
        </is>
      </c>
      <c r="U15" s="60" t="inlineStr">
        <is>
          <t>RHMC</t>
        </is>
      </c>
      <c r="V15" s="60" t="inlineStr">
        <is>
          <t>RHMC</t>
        </is>
      </c>
      <c r="W15" s="60" t="inlineStr">
        <is>
          <t>RHMC</t>
        </is>
      </c>
      <c r="X15" s="60" t="inlineStr">
        <is>
          <t>RHMC</t>
        </is>
      </c>
      <c r="Y15" s="60" t="inlineStr">
        <is>
          <t>RHMC</t>
        </is>
      </c>
      <c r="Z15" s="60" t="inlineStr">
        <is>
          <t>RHMC</t>
        </is>
      </c>
      <c r="AA15" s="60" t="inlineStr">
        <is>
          <t>RHMC</t>
        </is>
      </c>
      <c r="AB15" s="60" t="inlineStr">
        <is>
          <t>RHMC</t>
        </is>
      </c>
      <c r="AC15" s="60" t="inlineStr">
        <is>
          <t>RHMC</t>
        </is>
      </c>
      <c r="AD15" s="60" t="inlineStr">
        <is>
          <t>RHMC</t>
        </is>
      </c>
      <c r="AE15" s="83" t="inlineStr">
        <is>
          <t>RHMC</t>
        </is>
      </c>
      <c r="AF15" s="60" t="inlineStr">
        <is>
          <t>RHMC</t>
        </is>
      </c>
      <c r="AG15" s="60" t="inlineStr">
        <is>
          <t>RHMC</t>
        </is>
      </c>
      <c r="AH15" s="67">
        <f>COUNTIF($C15:$AF15,AH$4)</f>
        <v/>
      </c>
      <c r="AI15" s="67">
        <f>COUNTIF($C15:$AF15,AI$4)</f>
        <v/>
      </c>
      <c r="AJ15" s="67">
        <f>COUNTIF($C15:$AF15,AJ$4)</f>
        <v/>
      </c>
      <c r="AK15" s="67">
        <f>COUNTIF($C15:$AF15,AK$4)</f>
        <v/>
      </c>
      <c r="AL15" s="67">
        <f>COUNTIF($C15:$AF15,AL$4)</f>
        <v/>
      </c>
      <c r="AM15" s="67">
        <f>COUNTIF($C15:$AF15,AM$4)</f>
        <v/>
      </c>
      <c r="AN15" s="67">
        <f>COUNTIF($C15:$AF15,AN$4)</f>
        <v/>
      </c>
      <c r="AO15" s="67">
        <f>COUNTIF($C15:$AF15,AO$4)</f>
        <v/>
      </c>
      <c r="AP15" s="67">
        <f>COUNTIF($C15:$AF15,AP$4)</f>
        <v/>
      </c>
      <c r="AQ15" s="76" t="n"/>
      <c r="AR15" s="76" t="n"/>
      <c r="AS15" s="77">
        <f>SUMPRODUCT(--(WEEKDAY(C$3:AG$3,2)&lt;5),--ISNUMBER(MATCH(C15:AG15,{"DM","CS1","CS2","SB1","AE","CS/B"},0)))</f>
        <v/>
      </c>
      <c r="AT15" s="77" t="n"/>
      <c r="AU15" s="77">
        <f>SUMPRODUCT(--(WEEKDAY(C$3:AG$3,2)=5),--ISNUMBER(MATCH(C15:AG15,{"DM","CS1","CS2","SB1","AE","CS/B","WEEKEND OUTFIELD RESERVE"},0)))</f>
        <v/>
      </c>
      <c r="AV15" s="77">
        <f>SUMPRODUCT(--(WEEKDAY(C$3:AG$3,2)&gt;5),--ISNUMBER(MATCH(C15:AG15,{"DM","CS1","CS2","SB1","AE","CS/B","WEEKEND OUTFIELD RESERVE"},0)))</f>
        <v/>
      </c>
      <c r="AW15" s="77" t="n"/>
      <c r="AX15" s="77">
        <f>(AS15-AT15)+AU15*1.5+(AV15-AW15)*2+AM15*0.5+AO15*0.5+AQ15-AR15</f>
        <v/>
      </c>
      <c r="AY15" s="77">
        <f>AS15+AU15+AV15</f>
        <v/>
      </c>
      <c r="AZ15" s="77">
        <f>BC15+BE15+BG15+BI15+BK15</f>
        <v/>
      </c>
      <c r="BA15" s="76">
        <f>AX15+BB15</f>
        <v/>
      </c>
      <c r="BB15" s="77">
        <f>BD15+BF15+BH15+BJ15+BL15</f>
        <v/>
      </c>
      <c r="BC15" s="77">
        <f>COUNTIF(A15:AH15,"*$BTP*")</f>
        <v/>
      </c>
      <c r="BD15" s="77">
        <f>BC15*1.5</f>
        <v/>
      </c>
      <c r="BE15" s="77">
        <f>COUNTIF(A15:AH15,"*$M*")</f>
        <v/>
      </c>
      <c r="BF15" s="77">
        <f>BE15*1</f>
        <v/>
      </c>
      <c r="BG15" s="77">
        <f>COUNTIF(A15:AH15,"*$PM*")</f>
        <v/>
      </c>
      <c r="BH15" s="77">
        <f>BG15*0.5</f>
        <v/>
      </c>
      <c r="BI15" s="77">
        <f>COUNTIF(A15:AH15,"*$AM*")</f>
        <v/>
      </c>
      <c r="BJ15" s="77">
        <f>BI15*0.5</f>
        <v/>
      </c>
      <c r="BK15" s="77">
        <f>COUNTIF(A15:AH15,"*$FC*")</f>
        <v/>
      </c>
      <c r="BL15" s="77">
        <f>BK15*1</f>
        <v/>
      </c>
      <c r="BM15" s="77">
        <f>COUNTIF($D15:$AA15,BM$4)</f>
        <v/>
      </c>
      <c r="BN15" s="77">
        <f>COUNTIF($D15:$AA15,BN$4)</f>
        <v/>
      </c>
      <c r="BO15" s="77">
        <f>COUNTIF($D15:$AA15,BO$4)</f>
        <v/>
      </c>
      <c r="BP15" s="77" t="n"/>
    </row>
    <row r="16" ht="47.25" customHeight="1">
      <c r="A16" s="67" t="n"/>
      <c r="B16" s="76" t="inlineStr">
        <is>
          <t>LCP JARED JUAY (BCF)</t>
        </is>
      </c>
      <c r="C16" s="60" t="n"/>
      <c r="D16" s="53" t="n"/>
      <c r="E16" s="60" t="n"/>
      <c r="F16" s="53" t="n"/>
      <c r="G16" s="53" t="n"/>
      <c r="H16" s="60" t="n"/>
      <c r="I16" s="60" t="n"/>
      <c r="J16" s="60" t="n"/>
      <c r="K16" s="60" t="n"/>
      <c r="L16" s="53" t="inlineStr">
        <is>
          <t>SB1</t>
        </is>
      </c>
      <c r="M16" s="60" t="n"/>
      <c r="N16" s="60" t="n"/>
      <c r="O16" s="60" t="inlineStr">
        <is>
          <t>SB2</t>
        </is>
      </c>
      <c r="P16" s="60" t="n"/>
      <c r="Q16" s="60" t="n"/>
      <c r="R16" s="60" t="n"/>
      <c r="S16" s="60" t="n"/>
      <c r="T16" s="53" t="n"/>
      <c r="U16" s="60" t="n"/>
      <c r="V16" s="60" t="n"/>
      <c r="W16" s="60" t="n"/>
      <c r="X16" s="60" t="n"/>
      <c r="Y16" s="60" t="n"/>
      <c r="Z16" s="60" t="n"/>
      <c r="AA16" s="60" t="n"/>
      <c r="AB16" s="53" t="n"/>
      <c r="AC16" s="53" t="n"/>
      <c r="AD16" s="60" t="n"/>
      <c r="AE16" s="98" t="inlineStr">
        <is>
          <t>SB2</t>
        </is>
      </c>
      <c r="AF16" s="60" t="n"/>
      <c r="AG16" s="60" t="n"/>
      <c r="AH16" s="67">
        <f>COUNTIF($C16:$AF16,AH$4)</f>
        <v/>
      </c>
      <c r="AI16" s="67">
        <f>COUNTIF($C16:$AF16,AI$4)</f>
        <v/>
      </c>
      <c r="AJ16" s="67">
        <f>COUNTIF($C16:$AF16,AJ$4)</f>
        <v/>
      </c>
      <c r="AK16" s="67">
        <f>COUNTIF($C16:$AF16,AK$4)</f>
        <v/>
      </c>
      <c r="AL16" s="67">
        <f>COUNTIF($C16:$AF16,AL$4)</f>
        <v/>
      </c>
      <c r="AM16" s="67">
        <f>COUNTIF($C16:$AF16,AM$4)</f>
        <v/>
      </c>
      <c r="AN16" s="67">
        <f>COUNTIF($C16:$AF16,AN$4)</f>
        <v/>
      </c>
      <c r="AO16" s="67">
        <f>COUNTIF($C16:$AF16,AO$4)</f>
        <v/>
      </c>
      <c r="AP16" s="67">
        <f>COUNTIF($C16:$AF16,AP$4)</f>
        <v/>
      </c>
      <c r="AQ16" s="76" t="n"/>
      <c r="AR16" s="76" t="n"/>
      <c r="AS16" s="77">
        <f>SUMPRODUCT(--(WEEKDAY(C$3:AG$3,2)&lt;5),--ISNUMBER(MATCH(C16:AG16,{"DM","CS1","CS2","SB1","AE","CS/B"},0)))</f>
        <v/>
      </c>
      <c r="AT16" s="77" t="n"/>
      <c r="AU16" s="77">
        <f>SUMPRODUCT(--(WEEKDAY(C$3:AG$3,2)=5),--ISNUMBER(MATCH(C16:AG16,{"DM","CS1","CS2","SB1","AE","CS/B","WEEKEND OUTFIELD RESERVE"},0)))</f>
        <v/>
      </c>
      <c r="AV16" s="77">
        <f>SUMPRODUCT(--(WEEKDAY(C$3:AG$3,2)&gt;5),--ISNUMBER(MATCH(C16:AG16,{"DM","CS1","CS2","SB1","AE","CS/B","WEEKEND OUTFIELD RESERVE"},0)))</f>
        <v/>
      </c>
      <c r="AW16" s="77" t="n"/>
      <c r="AX16" s="77">
        <f>(AS16-AT16)+AU16*1.5+(AV16-AW16)*2+AM16*0.5+AO16*0.5+AQ16-AR16</f>
        <v/>
      </c>
      <c r="AY16" s="77">
        <f>AS16+AU16+AV16</f>
        <v/>
      </c>
      <c r="AZ16" s="77">
        <f>BC16+BE16+BG16+BI16+BK16</f>
        <v/>
      </c>
      <c r="BA16" s="76">
        <f>AX16+BB16</f>
        <v/>
      </c>
      <c r="BB16" s="77">
        <f>BD16+BF16+BH16+BJ16+BL16</f>
        <v/>
      </c>
      <c r="BC16" s="77">
        <f>COUNTIF(A16:AH16,"*$BTP*")</f>
        <v/>
      </c>
      <c r="BD16" s="77">
        <f>BC16*1.5</f>
        <v/>
      </c>
      <c r="BE16" s="77">
        <f>COUNTIF(A16:AH16,"*$M*")</f>
        <v/>
      </c>
      <c r="BF16" s="77">
        <f>BE16*1</f>
        <v/>
      </c>
      <c r="BG16" s="77">
        <f>COUNTIF(A16:AH16,"*$PM*")</f>
        <v/>
      </c>
      <c r="BH16" s="77">
        <f>BG16*0.5</f>
        <v/>
      </c>
      <c r="BI16" s="77">
        <f>COUNTIF(A16:AH16,"*$AM*")</f>
        <v/>
      </c>
      <c r="BJ16" s="77">
        <f>BI16*0.5</f>
        <v/>
      </c>
      <c r="BK16" s="77">
        <f>COUNTIF(A16:AH16,"*$FC*")</f>
        <v/>
      </c>
      <c r="BL16" s="77">
        <f>BK16*1</f>
        <v/>
      </c>
      <c r="BM16" s="77">
        <f>COUNTIF($D16:$AA16,BM$4)</f>
        <v/>
      </c>
      <c r="BN16" s="77">
        <f>COUNTIF($D16:$AA16,BN$4)</f>
        <v/>
      </c>
      <c r="BO16" s="77">
        <f>COUNTIF($D16:$AA16,BO$4)</f>
        <v/>
      </c>
      <c r="BP16" s="77" t="n"/>
    </row>
    <row r="17" ht="47.25" customHeight="1">
      <c r="A17" s="67" t="n"/>
      <c r="B17" s="76" t="inlineStr">
        <is>
          <t>LCP AHMAD IMRAN (BCF)</t>
        </is>
      </c>
      <c r="C17" s="60" t="n"/>
      <c r="D17" s="53" t="n"/>
      <c r="E17" s="60" t="n"/>
      <c r="F17" s="53" t="n"/>
      <c r="G17" s="53" t="n"/>
      <c r="H17" s="60" t="n"/>
      <c r="I17" s="60" t="n"/>
      <c r="J17" s="60" t="n"/>
      <c r="K17" s="60" t="n"/>
      <c r="L17" s="53" t="n"/>
      <c r="M17" s="60" t="n"/>
      <c r="N17" s="60" t="n"/>
      <c r="O17" s="53" t="n"/>
      <c r="P17" s="60" t="inlineStr">
        <is>
          <t>AE</t>
        </is>
      </c>
      <c r="Q17" s="60" t="n"/>
      <c r="R17" s="60" t="n"/>
      <c r="S17" s="60" t="n"/>
      <c r="T17" s="53" t="n"/>
      <c r="U17" s="60" t="n"/>
      <c r="V17" s="60" t="n"/>
      <c r="W17" s="60" t="n"/>
      <c r="X17" s="60" t="n"/>
      <c r="Y17" s="60" t="inlineStr">
        <is>
          <t>AE</t>
        </is>
      </c>
      <c r="Z17" s="60" t="n"/>
      <c r="AA17" s="60" t="n"/>
      <c r="AB17" s="53" t="n"/>
      <c r="AC17" s="53" t="n"/>
      <c r="AD17" s="60" t="n"/>
      <c r="AE17" s="79" t="n"/>
      <c r="AF17" s="60" t="n"/>
      <c r="AG17" s="60" t="n"/>
      <c r="AH17" s="67">
        <f>COUNTIF($C17:$AF17,AH$4)</f>
        <v/>
      </c>
      <c r="AI17" s="67">
        <f>COUNTIF($C17:$AF17,AI$4)</f>
        <v/>
      </c>
      <c r="AJ17" s="67">
        <f>COUNTIF($C17:$AF17,AJ$4)</f>
        <v/>
      </c>
      <c r="AK17" s="67">
        <f>COUNTIF($C17:$AF17,AK$4)</f>
        <v/>
      </c>
      <c r="AL17" s="67">
        <f>COUNTIF($C17:$AF17,AL$4)</f>
        <v/>
      </c>
      <c r="AM17" s="67">
        <f>COUNTIF($C17:$AF17,AM$4)</f>
        <v/>
      </c>
      <c r="AN17" s="67">
        <f>COUNTIF($C17:$AF17,AN$4)</f>
        <v/>
      </c>
      <c r="AO17" s="67">
        <f>COUNTIF($C17:$AF17,AO$4)</f>
        <v/>
      </c>
      <c r="AP17" s="67">
        <f>COUNTIF($C17:$AF17,AP$4)</f>
        <v/>
      </c>
      <c r="AQ17" s="76" t="n"/>
      <c r="AR17" s="76" t="n"/>
      <c r="AS17" s="77">
        <f>SUMPRODUCT(--(WEEKDAY(C$3:AG$3,2)&lt;5),--ISNUMBER(MATCH(C17:AG17,{"DM","CS1","CS2","SB1","AE","CS/B"},0)))</f>
        <v/>
      </c>
      <c r="AT17" s="77" t="n"/>
      <c r="AU17" s="77">
        <f>SUMPRODUCT(--(WEEKDAY(C$3:AG$3,2)=5),--ISNUMBER(MATCH(C17:AG17,{"DM","CS1","CS2","SB1","AE","CS/B","WEEKEND OUTFIELD RESERVE"},0)))</f>
        <v/>
      </c>
      <c r="AV17" s="77">
        <f>SUMPRODUCT(--(WEEKDAY(C$3:AG$3,2)&gt;5),--ISNUMBER(MATCH(C17:AG17,{"DM","CS1","CS2","SB1","AE","CS/B","WEEKEND OUTFIELD RESERVE"},0)))</f>
        <v/>
      </c>
      <c r="AW17" s="77" t="n"/>
      <c r="AX17" s="77">
        <f>(AS17-AT17)+AU17*1.5+(AV17-AW17)*2+AM17*0.5+AO17*0.5+AQ17-AR17</f>
        <v/>
      </c>
      <c r="AY17" s="77">
        <f>AS17+AU17+AV17</f>
        <v/>
      </c>
      <c r="AZ17" s="77">
        <f>BC17+BE17+BG17+BI17+BK17</f>
        <v/>
      </c>
      <c r="BA17" s="76">
        <f>AX17+BB17</f>
        <v/>
      </c>
      <c r="BB17" s="77">
        <f>BD17+BF17+BH17+BJ17+BL17</f>
        <v/>
      </c>
      <c r="BC17" s="77">
        <f>COUNTIF(A17:AH17,"*$BTP*")</f>
        <v/>
      </c>
      <c r="BD17" s="77">
        <f>BC17*1.5</f>
        <v/>
      </c>
      <c r="BE17" s="77">
        <f>COUNTIF(A17:AH17,"*$M*")</f>
        <v/>
      </c>
      <c r="BF17" s="77">
        <f>BE17*1</f>
        <v/>
      </c>
      <c r="BG17" s="77">
        <f>COUNTIF(A17:AH17,"*$PM*")</f>
        <v/>
      </c>
      <c r="BH17" s="77">
        <f>BG17*0.5</f>
        <v/>
      </c>
      <c r="BI17" s="77">
        <f>COUNTIF(A17:AH17,"*$AM*")</f>
        <v/>
      </c>
      <c r="BJ17" s="77">
        <f>BI17*0.5</f>
        <v/>
      </c>
      <c r="BK17" s="77">
        <f>COUNTIF(A17:AH17,"*$FC*")</f>
        <v/>
      </c>
      <c r="BL17" s="77">
        <f>BK17*1</f>
        <v/>
      </c>
      <c r="BM17" s="77">
        <f>COUNTIF($D17:$AA17,BM$4)</f>
        <v/>
      </c>
      <c r="BN17" s="77">
        <f>COUNTIF($D17:$AA17,BN$4)</f>
        <v/>
      </c>
      <c r="BO17" s="77">
        <f>COUNTIF($D17:$AA17,BO$4)</f>
        <v/>
      </c>
      <c r="BP17" s="77" t="n"/>
    </row>
    <row r="18" ht="47.25" customHeight="1">
      <c r="A18" s="67" t="n"/>
      <c r="B18" s="76" t="inlineStr">
        <is>
          <t>LCP LAU KAN SHEN (BCF)</t>
        </is>
      </c>
      <c r="C18" s="60" t="n"/>
      <c r="D18" s="53" t="n"/>
      <c r="E18" s="60" t="n"/>
      <c r="F18" s="53" t="n"/>
      <c r="G18" s="53" t="n"/>
      <c r="H18" s="60" t="n"/>
      <c r="I18" s="60" t="n"/>
      <c r="J18" s="60" t="n"/>
      <c r="K18" s="60" t="n"/>
      <c r="L18" s="53" t="n"/>
      <c r="M18" s="60" t="inlineStr">
        <is>
          <t>AE</t>
        </is>
      </c>
      <c r="N18" s="60" t="n"/>
      <c r="O18" s="60" t="n"/>
      <c r="P18" s="60" t="n"/>
      <c r="Q18" s="60" t="n"/>
      <c r="R18" s="60" t="n"/>
      <c r="S18" s="60" t="n"/>
      <c r="T18" s="53" t="n"/>
      <c r="U18" s="60" t="n"/>
      <c r="V18" s="60" t="n"/>
      <c r="W18" s="60" t="n"/>
      <c r="X18" s="60" t="n"/>
      <c r="Y18" s="60" t="inlineStr">
        <is>
          <t>SB2</t>
        </is>
      </c>
      <c r="Z18" s="60" t="n"/>
      <c r="AA18" s="60" t="n"/>
      <c r="AB18" s="53" t="n"/>
      <c r="AC18" s="53" t="inlineStr">
        <is>
          <t>AE</t>
        </is>
      </c>
      <c r="AD18" s="60" t="n"/>
      <c r="AE18" s="84" t="n"/>
      <c r="AF18" s="60" t="inlineStr">
        <is>
          <t>   </t>
        </is>
      </c>
      <c r="AG18" s="60" t="n"/>
      <c r="AH18" s="67">
        <f>COUNTIF($C18:$AF18,AH$4)</f>
        <v/>
      </c>
      <c r="AI18" s="67">
        <f>COUNTIF($C18:$AF18,AI$4)</f>
        <v/>
      </c>
      <c r="AJ18" s="67">
        <f>COUNTIF($C18:$AF18,AJ$4)</f>
        <v/>
      </c>
      <c r="AK18" s="67">
        <f>COUNTIF($C18:$AF18,AK$4)</f>
        <v/>
      </c>
      <c r="AL18" s="67">
        <f>COUNTIF($C18:$AF18,AL$4)</f>
        <v/>
      </c>
      <c r="AM18" s="67">
        <f>COUNTIF($C18:$AF18,AM$4)</f>
        <v/>
      </c>
      <c r="AN18" s="67">
        <f>COUNTIF($C18:$AF18,AN$4)</f>
        <v/>
      </c>
      <c r="AO18" s="67">
        <f>COUNTIF($C18:$AF18,AO$4)</f>
        <v/>
      </c>
      <c r="AP18" s="67">
        <f>COUNTIF($C18:$AF18,AP$4)</f>
        <v/>
      </c>
      <c r="AQ18" s="76" t="n"/>
      <c r="AR18" s="76" t="n"/>
      <c r="AS18" s="77">
        <f>SUMPRODUCT(--(WEEKDAY(C$3:AG$3,2)&lt;5),--ISNUMBER(MATCH(C18:AG18,{"DM","CS1","CS2","SB1","AE","CS/B"},0)))</f>
        <v/>
      </c>
      <c r="AT18" s="77" t="n"/>
      <c r="AU18" s="77">
        <f>SUMPRODUCT(--(WEEKDAY(C$3:AG$3,2)=5),--ISNUMBER(MATCH(C18:AG18,{"DM","CS1","CS2","SB1","AE","CS/B","WEEKEND OUTFIELD RESERVE"},0)))</f>
        <v/>
      </c>
      <c r="AV18" s="77">
        <f>SUMPRODUCT(--(WEEKDAY(C$3:AG$3,2)&gt;5),--ISNUMBER(MATCH(C18:AG18,{"DM","CS1","CS2","SB1","AE","CS/B","WEEKEND OUTFIELD RESERVE"},0)))</f>
        <v/>
      </c>
      <c r="AW18" s="77" t="n"/>
      <c r="AX18" s="77">
        <f>(AS18-AT18)+AU18*1.5+(AV18-AW18)*2+AM18*0.5+AO18*0.5+AQ18-AR18</f>
        <v/>
      </c>
      <c r="AY18" s="77">
        <f>AS18+AU18+AV18</f>
        <v/>
      </c>
      <c r="AZ18" s="77">
        <f>BC18+BE18+BG18+BI18+BK18</f>
        <v/>
      </c>
      <c r="BA18" s="76">
        <f>AX18+BB18</f>
        <v/>
      </c>
      <c r="BB18" s="77">
        <f>BD18+BF18+BH18+BJ18+BL18</f>
        <v/>
      </c>
      <c r="BC18" s="77">
        <f>COUNTIF(A18:AH18,"*$BTP*")</f>
        <v/>
      </c>
      <c r="BD18" s="77">
        <f>BC18*1.5</f>
        <v/>
      </c>
      <c r="BE18" s="77">
        <f>COUNTIF(A18:AH18,"*$M*")</f>
        <v/>
      </c>
      <c r="BF18" s="77">
        <f>BE18*1</f>
        <v/>
      </c>
      <c r="BG18" s="77">
        <f>COUNTIF(A18:AH18,"*$PM*")</f>
        <v/>
      </c>
      <c r="BH18" s="77">
        <f>BG18*0.5</f>
        <v/>
      </c>
      <c r="BI18" s="77">
        <f>COUNTIF(A18:AH18,"*$AM*")</f>
        <v/>
      </c>
      <c r="BJ18" s="77">
        <f>BI18*0.5</f>
        <v/>
      </c>
      <c r="BK18" s="77">
        <f>COUNTIF(A18:AH18,"*$FC*")</f>
        <v/>
      </c>
      <c r="BL18" s="77">
        <f>BK18*1</f>
        <v/>
      </c>
      <c r="BM18" s="77">
        <f>COUNTIF($D18:$AA18,BM$4)</f>
        <v/>
      </c>
      <c r="BN18" s="77">
        <f>COUNTIF($D18:$AA18,BN$4)</f>
        <v/>
      </c>
      <c r="BO18" s="77">
        <f>COUNTIF($D18:$AA18,BO$4)</f>
        <v/>
      </c>
      <c r="BP18" s="77" t="n"/>
    </row>
    <row r="19" ht="47.25" customHeight="1">
      <c r="A19" s="67" t="n"/>
      <c r="B19" s="76" t="inlineStr">
        <is>
          <t>PTE JEROME TEO (BCF)</t>
        </is>
      </c>
      <c r="C19" s="60" t="n"/>
      <c r="D19" s="53" t="n"/>
      <c r="E19" s="60" t="n"/>
      <c r="F19" s="53" t="n"/>
      <c r="G19" s="53" t="n"/>
      <c r="H19" s="60" t="n"/>
      <c r="I19" s="60" t="n"/>
      <c r="J19" s="60" t="n"/>
      <c r="K19" s="60" t="n"/>
      <c r="L19" s="60" t="inlineStr">
        <is>
          <t>AE</t>
        </is>
      </c>
      <c r="M19" s="60" t="n"/>
      <c r="N19" s="60" t="inlineStr">
        <is>
          <t>AE</t>
        </is>
      </c>
      <c r="O19" s="60" t="n"/>
      <c r="P19" s="60" t="n"/>
      <c r="Q19" s="60" t="n"/>
      <c r="R19" s="60" t="n"/>
      <c r="S19" s="60" t="n"/>
      <c r="T19" s="53" t="n"/>
      <c r="U19" s="60" t="n"/>
      <c r="V19" s="60" t="n"/>
      <c r="W19" s="60" t="inlineStr">
        <is>
          <t>COVER RESERVE</t>
        </is>
      </c>
      <c r="X19" s="53" t="inlineStr">
        <is>
          <t>SB1</t>
        </is>
      </c>
      <c r="Y19" s="60" t="n"/>
      <c r="Z19" s="60" t="inlineStr">
        <is>
          <t>SB2</t>
        </is>
      </c>
      <c r="AA19" s="60" t="inlineStr">
        <is>
          <t>AE</t>
        </is>
      </c>
      <c r="AB19" s="53" t="n"/>
      <c r="AC19" s="53" t="n"/>
      <c r="AE19" s="79" t="n"/>
      <c r="AF19" s="60" t="n"/>
      <c r="AG19" s="60" t="n"/>
      <c r="AH19" s="67">
        <f>COUNTIF($C19:$AF19,AH$4)</f>
        <v/>
      </c>
      <c r="AI19" s="67">
        <f>COUNTIF($C19:$AF19,AI$4)</f>
        <v/>
      </c>
      <c r="AJ19" s="67">
        <f>COUNTIF($C19:$AF19,AJ$4)</f>
        <v/>
      </c>
      <c r="AK19" s="67">
        <f>COUNTIF($C19:$AF19,AK$4)</f>
        <v/>
      </c>
      <c r="AL19" s="67">
        <f>COUNTIF($C19:$AF19,AL$4)</f>
        <v/>
      </c>
      <c r="AM19" s="67">
        <f>COUNTIF($C19:$AF19,AM$4)</f>
        <v/>
      </c>
      <c r="AN19" s="67">
        <f>COUNTIF($C19:$AF19,AN$4)</f>
        <v/>
      </c>
      <c r="AO19" s="67">
        <f>COUNTIF($C19:$AF19,AO$4)</f>
        <v/>
      </c>
      <c r="AP19" s="67">
        <f>COUNTIF($C19:$AF19,AP$4)</f>
        <v/>
      </c>
      <c r="AQ19" s="76" t="n"/>
      <c r="AR19" s="76" t="n"/>
      <c r="AS19" s="77">
        <f>SUMPRODUCT(--(WEEKDAY(C$3:AG$3,2)&lt;5),--ISNUMBER(MATCH(C19:AG19,{"DM","CS1","CS2","SB1","AE","CS/B"},0)))</f>
        <v/>
      </c>
      <c r="AT19" s="77" t="n"/>
      <c r="AU19" s="77">
        <f>SUMPRODUCT(--(WEEKDAY(C$3:AG$3,2)=5),--ISNUMBER(MATCH(C19:AG19,{"DM","CS1","CS2","SB1","AE","CS/B","WEEKEND OUTFIELD RESERVE"},0)))</f>
        <v/>
      </c>
      <c r="AV19" s="77">
        <f>SUMPRODUCT(--(WEEKDAY(C$3:AG$3,2)&gt;5),--ISNUMBER(MATCH(C19:AG19,{"DM","CS1","CS2","SB1","AE","CS/B","WEEKEND OUTFIELD RESERVE"},0)))</f>
        <v/>
      </c>
      <c r="AW19" s="77" t="n"/>
      <c r="AX19" s="77">
        <f>(AS19-AT19)+AU19*1.5+(AV19-AW19)*2+AM19*0.5+AO19*0.5+AQ19-AR19</f>
        <v/>
      </c>
      <c r="AY19" s="77">
        <f>AS19+AU19+AV19</f>
        <v/>
      </c>
      <c r="AZ19" s="77">
        <f>BC19+BE19+BG19+BI19+BK19</f>
        <v/>
      </c>
      <c r="BA19" s="76">
        <f>AX19+BB19</f>
        <v/>
      </c>
      <c r="BB19" s="77">
        <f>BD19+BF19+BH19+BJ19+BL19</f>
        <v/>
      </c>
      <c r="BC19" s="77">
        <f>COUNTIF(A19:AH19,"*$BTP*")</f>
        <v/>
      </c>
      <c r="BD19" s="77">
        <f>BC19*1.5</f>
        <v/>
      </c>
      <c r="BE19" s="77">
        <f>COUNTIF(A19:AH19,"*$M*")</f>
        <v/>
      </c>
      <c r="BF19" s="77">
        <f>BE19*1</f>
        <v/>
      </c>
      <c r="BG19" s="77">
        <f>COUNTIF(A19:AH19,"*$PM*")</f>
        <v/>
      </c>
      <c r="BH19" s="77">
        <f>BG19*0.5</f>
        <v/>
      </c>
      <c r="BI19" s="77">
        <f>COUNTIF(A19:AH19,"*$AM*")</f>
        <v/>
      </c>
      <c r="BJ19" s="77">
        <f>BI19*0.5</f>
        <v/>
      </c>
      <c r="BK19" s="77">
        <f>COUNTIF(A19:AH19,"*$FC*")</f>
        <v/>
      </c>
      <c r="BL19" s="77">
        <f>BK19*1</f>
        <v/>
      </c>
      <c r="BM19" s="77">
        <f>COUNTIF($D19:$AA19,BM$4)</f>
        <v/>
      </c>
      <c r="BN19" s="77">
        <f>COUNTIF($D19:$AA19,BN$4)</f>
        <v/>
      </c>
      <c r="BO19" s="77">
        <f>COUNTIF($D19:$AA19,BO$4)</f>
        <v/>
      </c>
      <c r="BP19" s="77" t="n"/>
    </row>
    <row r="20" ht="47.25" customHeight="1">
      <c r="A20" s="67" t="n"/>
      <c r="B20" s="76" t="inlineStr">
        <is>
          <t>PTE EUGENE ANG (BCF)</t>
        </is>
      </c>
      <c r="C20" s="60" t="n"/>
      <c r="D20" s="53" t="n"/>
      <c r="E20" s="60" t="n"/>
      <c r="F20" s="53" t="n"/>
      <c r="G20" s="53" t="n"/>
      <c r="H20" s="60" t="n"/>
      <c r="I20" s="60" t="n"/>
      <c r="J20" s="60" t="n"/>
      <c r="K20" s="60" t="n"/>
      <c r="L20" s="53" t="n"/>
      <c r="M20" s="60" t="n"/>
      <c r="N20" s="60" t="n"/>
      <c r="O20" s="60" t="n"/>
      <c r="P20" s="60" t="inlineStr">
        <is>
          <t>SB2</t>
        </is>
      </c>
      <c r="Q20" s="60" t="n"/>
      <c r="R20" s="60" t="n"/>
      <c r="T20" s="53" t="n"/>
      <c r="U20" s="60" t="n"/>
      <c r="V20" s="60" t="n"/>
      <c r="W20" s="60" t="n"/>
      <c r="X20" s="60" t="n"/>
      <c r="Y20" s="60" t="n"/>
      <c r="AA20" s="60" t="n"/>
      <c r="AB20" s="53" t="n"/>
      <c r="AC20" s="53" t="n"/>
      <c r="AD20" s="60" t="n"/>
      <c r="AE20" s="84" t="n"/>
      <c r="AF20" s="60" t="n"/>
      <c r="AG20" s="60" t="n"/>
      <c r="AH20" s="67">
        <f>COUNTIF($C20:$AF20,AH$4)</f>
        <v/>
      </c>
      <c r="AI20" s="67">
        <f>COUNTIF($C20:$AF20,AI$4)</f>
        <v/>
      </c>
      <c r="AJ20" s="67">
        <f>COUNTIF($C20:$AF20,AJ$4)</f>
        <v/>
      </c>
      <c r="AK20" s="67">
        <f>COUNTIF($C20:$AF20,AK$4)</f>
        <v/>
      </c>
      <c r="AL20" s="67">
        <f>COUNTIF($C20:$AF20,AL$4)</f>
        <v/>
      </c>
      <c r="AM20" s="67">
        <f>COUNTIF($C20:$AF20,AM$4)</f>
        <v/>
      </c>
      <c r="AN20" s="67">
        <f>COUNTIF($C20:$AF20,AN$4)</f>
        <v/>
      </c>
      <c r="AO20" s="67">
        <f>COUNTIF($C20:$AF20,AO$4)</f>
        <v/>
      </c>
      <c r="AP20" s="67">
        <f>COUNTIF($C20:$AF20,AP$4)</f>
        <v/>
      </c>
      <c r="AQ20" s="76" t="n"/>
      <c r="AR20" s="76" t="n"/>
      <c r="AS20" s="77">
        <f>SUMPRODUCT(--(WEEKDAY(C$3:AG$3,2)&lt;5),--ISNUMBER(MATCH(C20:AG20,{"DM","CS1","CS2","SB1","AE","CS/B"},0)))</f>
        <v/>
      </c>
      <c r="AT20" s="77" t="n"/>
      <c r="AU20" s="77">
        <f>SUMPRODUCT(--(WEEKDAY(C$3:AG$3,2)=5),--ISNUMBER(MATCH(C20:AG20,{"DM","CS1","CS2","SB1","AE","CS/B","WEEKEND OUTFIELD RESERVE"},0)))</f>
        <v/>
      </c>
      <c r="AV20" s="77">
        <f>SUMPRODUCT(--(WEEKDAY(C$3:AG$3,2)&gt;5),--ISNUMBER(MATCH(C20:AG20,{"DM","CS1","CS2","SB1","AE","CS/B","WEEKEND OUTFIELD RESERVE"},0)))</f>
        <v/>
      </c>
      <c r="AW20" s="77" t="n"/>
      <c r="AX20" s="77">
        <f>(AS20-AT20)+AU20*1.5+(AV20-AW20)*2+AM20*0.5+AO20*0.5+AQ20-AR20</f>
        <v/>
      </c>
      <c r="AY20" s="77">
        <f>AS20+AU20+AV20</f>
        <v/>
      </c>
      <c r="AZ20" s="77">
        <f>BC20+BE20+BG20+BI20+BK20</f>
        <v/>
      </c>
      <c r="BA20" s="76">
        <f>AX20+BB20</f>
        <v/>
      </c>
      <c r="BB20" s="77">
        <f>BD20+BF20+BH20+BJ20+BL20</f>
        <v/>
      </c>
      <c r="BC20" s="77">
        <f>COUNTIF(A20:AH20,"*$BTP*")</f>
        <v/>
      </c>
      <c r="BD20" s="77">
        <f>BC20*1.5</f>
        <v/>
      </c>
      <c r="BE20" s="77">
        <f>COUNTIF(A20:AH20,"*$M*")</f>
        <v/>
      </c>
      <c r="BF20" s="77">
        <f>BE20*1</f>
        <v/>
      </c>
      <c r="BG20" s="77">
        <f>COUNTIF(A20:AH20,"*$PM*")</f>
        <v/>
      </c>
      <c r="BH20" s="77">
        <f>BG20*0.5</f>
        <v/>
      </c>
      <c r="BI20" s="77">
        <f>COUNTIF(A20:AH20,"*$AM*")</f>
        <v/>
      </c>
      <c r="BJ20" s="77">
        <f>BI20*0.5</f>
        <v/>
      </c>
      <c r="BK20" s="77">
        <f>COUNTIF(A20:AH20,"*$FC*")</f>
        <v/>
      </c>
      <c r="BL20" s="77">
        <f>BK20*1</f>
        <v/>
      </c>
      <c r="BM20" s="77">
        <f>COUNTIF($D20:$AA20,BM$4)</f>
        <v/>
      </c>
      <c r="BN20" s="77">
        <f>COUNTIF($D20:$AA20,BN$4)</f>
        <v/>
      </c>
      <c r="BO20" s="77">
        <f>COUNTIF($D20:$AA20,BO$4)</f>
        <v/>
      </c>
      <c r="BP20" s="77" t="n"/>
    </row>
    <row r="21" ht="88.5" customHeight="1">
      <c r="A21" s="67" t="n"/>
      <c r="B21" s="76" t="inlineStr">
        <is>
          <t>PTE JAR RUI (BCF)</t>
        </is>
      </c>
      <c r="C21" s="60" t="n"/>
      <c r="D21" s="53" t="n"/>
      <c r="E21" s="60" t="n"/>
      <c r="F21" s="53" t="n"/>
      <c r="G21" s="53" t="n"/>
      <c r="H21" s="60" t="n"/>
      <c r="I21" s="60" t="n"/>
      <c r="J21" s="60" t="n"/>
      <c r="K21" s="60" t="n"/>
      <c r="L21" s="53" t="n"/>
      <c r="M21" s="60" t="n"/>
      <c r="N21" s="60" t="n"/>
      <c r="O21" s="60" t="n"/>
      <c r="P21" s="60" t="n"/>
      <c r="Q21" s="60" t="n"/>
      <c r="R21" s="60" t="n"/>
      <c r="S21" s="60" t="inlineStr">
        <is>
          <t>SB1</t>
        </is>
      </c>
      <c r="T21" s="53" t="n"/>
      <c r="U21" s="60" t="n"/>
      <c r="V21" s="60" t="n"/>
      <c r="W21" s="60" t="inlineStr">
        <is>
          <t>AE</t>
        </is>
      </c>
      <c r="X21" s="60" t="n"/>
      <c r="Y21" s="60" t="n"/>
      <c r="Z21" s="60" t="n"/>
      <c r="AA21" s="60" t="n"/>
      <c r="AB21" s="53" t="n"/>
      <c r="AC21" s="53" t="n"/>
      <c r="AD21" s="60" t="inlineStr">
        <is>
          <t>AE</t>
        </is>
      </c>
      <c r="AE21" s="79" t="n"/>
      <c r="AF21" s="60" t="n"/>
      <c r="AG21" s="60" t="inlineStr">
        <is>
          <t>SB1</t>
        </is>
      </c>
      <c r="AH21" s="67">
        <f>COUNTIF($C21:$AF21,AH$4)</f>
        <v/>
      </c>
      <c r="AI21" s="67">
        <f>COUNTIF($C21:$AF21,AI$4)</f>
        <v/>
      </c>
      <c r="AJ21" s="67">
        <f>COUNTIF($C21:$AF21,AJ$4)</f>
        <v/>
      </c>
      <c r="AK21" s="67">
        <f>COUNTIF($C21:$AF21,AK$4)</f>
        <v/>
      </c>
      <c r="AL21" s="67">
        <f>COUNTIF($C21:$AF21,AL$4)</f>
        <v/>
      </c>
      <c r="AM21" s="67">
        <f>COUNTIF($C21:$AF21,AM$4)</f>
        <v/>
      </c>
      <c r="AN21" s="67">
        <f>COUNTIF($C21:$AF21,AN$4)</f>
        <v/>
      </c>
      <c r="AO21" s="67">
        <f>COUNTIF($C21:$AF21,AO$4)</f>
        <v/>
      </c>
      <c r="AP21" s="67">
        <f>COUNTIF($C21:$AF21,AP$4)</f>
        <v/>
      </c>
      <c r="AQ21" s="76" t="n"/>
      <c r="AR21" s="76" t="n"/>
      <c r="AS21" s="77">
        <f>SUMPRODUCT(--(WEEKDAY(C$3:AG$3,2)&lt;5),--ISNUMBER(MATCH(C21:AG21,{"DM","CS1","CS2","SB1","AE","CS/B"},0)))</f>
        <v/>
      </c>
      <c r="AT21" s="77" t="n"/>
      <c r="AU21" s="77">
        <f>SUMPRODUCT(--(WEEKDAY(C$3:AG$3,2)=5),--ISNUMBER(MATCH(C21:AG21,{"DM","CS1","CS2","SB1","AE","CS/B","WEEKEND OUTFIELD RESERVE"},0)))</f>
        <v/>
      </c>
      <c r="AV21" s="77">
        <f>SUMPRODUCT(--(WEEKDAY(C$3:AG$3,2)&gt;5),--ISNUMBER(MATCH(C21:AG21,{"DM","CS1","CS2","SB1","AE","CS/B","WEEKEND OUTFIELD RESERVE"},0)))</f>
        <v/>
      </c>
      <c r="AW21" s="77" t="n"/>
      <c r="AX21" s="77">
        <f>(AS21-AT21)+AU21*1.5+(AV21-AW21)*2+AM21*0.5+AO21*0.5+AQ21-AR21</f>
        <v/>
      </c>
      <c r="AY21" s="77">
        <f>AS21+AU21+AV21</f>
        <v/>
      </c>
      <c r="AZ21" s="77">
        <f>BC21+BE21+BG21+BI21+BK21</f>
        <v/>
      </c>
      <c r="BA21" s="76">
        <f>AX21+BB21</f>
        <v/>
      </c>
      <c r="BB21" s="77">
        <f>BD21+BF21+BH21+BJ21+BL21</f>
        <v/>
      </c>
      <c r="BC21" s="77">
        <f>COUNTIF(A21:AH21,"*$BTP*")</f>
        <v/>
      </c>
      <c r="BD21" s="77">
        <f>BC21*1.5</f>
        <v/>
      </c>
      <c r="BE21" s="77">
        <f>COUNTIF(A21:AH21,"*$M*")</f>
        <v/>
      </c>
      <c r="BF21" s="77">
        <f>BE21*1</f>
        <v/>
      </c>
      <c r="BG21" s="77">
        <f>COUNTIF(A21:AH21,"*$PM*")</f>
        <v/>
      </c>
      <c r="BH21" s="77">
        <f>BG21*0.5</f>
        <v/>
      </c>
      <c r="BI21" s="77">
        <f>COUNTIF(A21:AH21,"*$AM*")</f>
        <v/>
      </c>
      <c r="BJ21" s="77">
        <f>BI21*0.5</f>
        <v/>
      </c>
      <c r="BK21" s="77">
        <f>COUNTIF(A21:AH21,"*$FC*")</f>
        <v/>
      </c>
      <c r="BL21" s="77">
        <f>BK21*1</f>
        <v/>
      </c>
      <c r="BM21" s="77">
        <f>COUNTIF($D21:$AA21,BM$4)</f>
        <v/>
      </c>
      <c r="BN21" s="77">
        <f>COUNTIF($D21:$AA21,BN$4)</f>
        <v/>
      </c>
      <c r="BO21" s="77">
        <f>COUNTIF($D21:$AA21,BO$4)</f>
        <v/>
      </c>
      <c r="BP21" s="77" t="n"/>
    </row>
    <row r="22" ht="45" customHeight="1">
      <c r="A22" s="67" t="n"/>
      <c r="B22" s="76" t="inlineStr">
        <is>
          <t>LCP APPLE YEO</t>
        </is>
      </c>
      <c r="C22" s="60" t="n"/>
      <c r="D22" s="60" t="n"/>
      <c r="E22" s="60" t="n"/>
      <c r="F22" s="60" t="n"/>
      <c r="G22" s="53" t="n"/>
      <c r="H22" s="53" t="n"/>
      <c r="I22" s="53" t="n"/>
      <c r="J22" s="60" t="n"/>
      <c r="K22" s="53" t="n"/>
      <c r="L22" s="60" t="n"/>
      <c r="M22" s="60" t="n"/>
      <c r="N22" s="60" t="n"/>
      <c r="O22" s="60" t="n"/>
      <c r="P22" s="60" t="n"/>
      <c r="Q22" s="60" t="n"/>
      <c r="R22" s="53" t="n"/>
      <c r="S22" s="60" t="n"/>
      <c r="T22" s="53" t="n"/>
      <c r="U22" s="53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84" t="n"/>
      <c r="AF22" s="60" t="n"/>
      <c r="AG22" s="60" t="n"/>
      <c r="AH22" s="67">
        <f>COUNTIF($C22:$AF22,AH$4)</f>
        <v/>
      </c>
      <c r="AI22" s="67">
        <f>COUNTIF($C22:$AF22,AI$4)</f>
        <v/>
      </c>
      <c r="AJ22" s="67">
        <f>COUNTIF($C22:$AF22,AJ$4)</f>
        <v/>
      </c>
      <c r="AK22" s="67">
        <f>COUNTIF($C22:$AF22,AK$4)</f>
        <v/>
      </c>
      <c r="AL22" s="67">
        <f>COUNTIF($C22:$AF22,AL$4)</f>
        <v/>
      </c>
      <c r="AM22" s="67">
        <f>COUNTIF($C22:$AF22,AM$4)</f>
        <v/>
      </c>
      <c r="AN22" s="67">
        <f>COUNTIF($C22:$AF22,AN$4)</f>
        <v/>
      </c>
      <c r="AO22" s="67">
        <f>COUNTIF($C22:$AF22,AO$4)</f>
        <v/>
      </c>
      <c r="AP22" s="67">
        <f>COUNTIF($C22:$AF22,AP$4)</f>
        <v/>
      </c>
      <c r="AQ22" s="76" t="n">
        <v>1</v>
      </c>
      <c r="AR22" s="76" t="n"/>
      <c r="AS22" s="77">
        <f>SUMPRODUCT(--(WEEKDAY(C$3:AG$3,2)&lt;5),--ISNUMBER(MATCH(C22:AG22,{"DM","CS1","CS2","SB1","AE","CS/B"},0)))</f>
        <v/>
      </c>
      <c r="AT22" s="77" t="n"/>
      <c r="AU22" s="77">
        <f>SUMPRODUCT(--(WEEKDAY(C$3:AG$3,2)=5),--ISNUMBER(MATCH(C22:AG22,{"DM","CS1","CS2","SB1","AE","CS/B","WEEKEND OUTFIELD RESERVE"},0)))</f>
        <v/>
      </c>
      <c r="AV22" s="77">
        <f>SUMPRODUCT(--(WEEKDAY(C$3:AG$3,2)&gt;5),--ISNUMBER(MATCH(C22:AG22,{"DM","CS1","CS2","SB1","AE","CS/B","WEEKEND OUTFIELD RESERVE"},0)))</f>
        <v/>
      </c>
      <c r="AW22" s="77" t="n"/>
      <c r="AX22" s="77">
        <f>(AS22-AT22)+AU22*1.5+(AV22-AW22)*2+AM22*0.5+AO22*0.5+AQ22-AR22</f>
        <v/>
      </c>
      <c r="AY22" s="77">
        <f>AS22+AU22+AV22</f>
        <v/>
      </c>
      <c r="AZ22" s="77">
        <f>BC22+BE22+BG22+BI22+BK22</f>
        <v/>
      </c>
      <c r="BA22" s="76">
        <f>AX22+BB22</f>
        <v/>
      </c>
      <c r="BB22" s="77">
        <f>BD22+BF22+BH22+BJ22+BL22</f>
        <v/>
      </c>
      <c r="BC22" s="77">
        <f>COUNTIF(A22:AH22,"*$BTP*")</f>
        <v/>
      </c>
      <c r="BD22" s="77">
        <f>BC22*1.5</f>
        <v/>
      </c>
      <c r="BE22" s="77">
        <f>COUNTIF(A22:AH22,"*$M*")</f>
        <v/>
      </c>
      <c r="BF22" s="77">
        <f>BE22*1</f>
        <v/>
      </c>
      <c r="BG22" s="77">
        <f>COUNTIF(A22:AH22,"*$PM*")</f>
        <v/>
      </c>
      <c r="BH22" s="77">
        <f>BG22*0.5</f>
        <v/>
      </c>
      <c r="BI22" s="77">
        <f>COUNTIF(A22:AH22,"*$AM*")</f>
        <v/>
      </c>
      <c r="BJ22" s="77">
        <f>BI22*0.5</f>
        <v/>
      </c>
      <c r="BK22" s="77">
        <f>COUNTIF(A22:AH22,"*$FC*")</f>
        <v/>
      </c>
      <c r="BL22" s="77">
        <f>BK22*1</f>
        <v/>
      </c>
      <c r="BM22" s="77">
        <f>COUNTIF($D22:$AA22,BM$4)</f>
        <v/>
      </c>
      <c r="BN22" s="77">
        <f>COUNTIF($D22:$AA22,BN$4)</f>
        <v/>
      </c>
      <c r="BO22" s="77">
        <f>COUNTIF($D22:$AA22,BO$4)</f>
        <v/>
      </c>
      <c r="BP22" s="77" t="n"/>
    </row>
    <row r="23" ht="51" customHeight="1">
      <c r="A23" s="67" t="n"/>
      <c r="B23" s="76" t="inlineStr">
        <is>
          <t>CPL HO SHENGHUI HAYDEN</t>
        </is>
      </c>
      <c r="C23" s="60" t="n"/>
      <c r="D23" s="60" t="n"/>
      <c r="E23" s="60" t="inlineStr">
        <is>
          <t>CS1</t>
        </is>
      </c>
      <c r="F23" s="60" t="n"/>
      <c r="G23" s="60" t="n"/>
      <c r="H23" s="60" t="inlineStr">
        <is>
          <t>AL</t>
        </is>
      </c>
      <c r="I23" s="60" t="inlineStr">
        <is>
          <t>SB1</t>
        </is>
      </c>
      <c r="J23" s="60" t="n"/>
      <c r="L23" s="60" t="n"/>
      <c r="N23" s="60" t="inlineStr">
        <is>
          <t>CS1</t>
        </is>
      </c>
      <c r="O23" s="60" t="inlineStr">
        <is>
          <t>AL</t>
        </is>
      </c>
      <c r="P23" s="60" t="inlineStr">
        <is>
          <t>RESERVE</t>
        </is>
      </c>
      <c r="Q23" s="60" t="n"/>
      <c r="S23" s="60" t="n"/>
      <c r="T23" s="60" t="n"/>
      <c r="U23" s="60" t="n"/>
      <c r="V23" s="60" t="inlineStr">
        <is>
          <t>AL</t>
        </is>
      </c>
      <c r="W23" s="60" t="n"/>
      <c r="X23" s="60" t="inlineStr">
        <is>
          <t>SB2</t>
        </is>
      </c>
      <c r="Y23" s="60" t="n"/>
      <c r="Z23" s="53" t="n"/>
      <c r="AA23" s="60" t="n"/>
      <c r="AB23" s="60" t="n"/>
      <c r="AC23" s="53" t="inlineStr">
        <is>
          <t>AL</t>
        </is>
      </c>
      <c r="AD23" s="60" t="n"/>
      <c r="AE23" s="79" t="n"/>
      <c r="AF23" s="60" t="inlineStr">
        <is>
          <t>O $M HG (0515-2200)</t>
        </is>
      </c>
      <c r="AG23" s="60" t="n"/>
      <c r="AH23" s="67">
        <f>COUNTIF($C23:$AF23,AH$4)</f>
        <v/>
      </c>
      <c r="AI23" s="67">
        <f>COUNTIF($C23:$AF23,AI$4)</f>
        <v/>
      </c>
      <c r="AJ23" s="67">
        <f>COUNTIF($C23:$AF23,AJ$4)</f>
        <v/>
      </c>
      <c r="AK23" s="67">
        <f>COUNTIF($C23:$AF23,AK$4)</f>
        <v/>
      </c>
      <c r="AL23" s="67">
        <f>COUNTIF($C23:$AF23,AL$4)</f>
        <v/>
      </c>
      <c r="AM23" s="67">
        <f>COUNTIF($C23:$AF23,AM$4)</f>
        <v/>
      </c>
      <c r="AN23" s="67">
        <f>COUNTIF($C23:$AF23,AN$4)</f>
        <v/>
      </c>
      <c r="AO23" s="67">
        <f>COUNTIF($C23:$AF23,AO$4)</f>
        <v/>
      </c>
      <c r="AP23" s="67">
        <f>COUNTIF($C23:$AF23,AP$4)</f>
        <v/>
      </c>
      <c r="AQ23" s="76" t="n">
        <v>0</v>
      </c>
      <c r="AR23" s="76" t="n"/>
      <c r="AS23" s="77">
        <f>SUMPRODUCT(--(WEEKDAY(C$3:AG$3,2)&lt;5),--ISNUMBER(MATCH(C23:AG23,{"DM","CS1","CS2","SB1","AE","CS/B"},0)))</f>
        <v/>
      </c>
      <c r="AT23" s="77" t="n"/>
      <c r="AU23" s="77">
        <f>SUMPRODUCT(--(WEEKDAY(C$3:AG$3,2)=5),--ISNUMBER(MATCH(C23:AG23,{"DM","CS1","CS2","SB1","AE","CS/B","WEEKEND OUTFIELD RESERVE"},0)))</f>
        <v/>
      </c>
      <c r="AV23" s="77">
        <f>SUMPRODUCT(--(WEEKDAY(C$3:AG$3,2)&gt;5),--ISNUMBER(MATCH(C23:AG23,{"DM","CS1","CS2","SB1","AE","CS/B","WEEKEND OUTFIELD RESERVE"},0)))</f>
        <v/>
      </c>
      <c r="AW23" s="77" t="n"/>
      <c r="AX23" s="77">
        <f>(AS23-AT23)+AU23*1.5+(AV23-AW23)*2+AM23*0.5+AO23*0.5+AQ23-AR23</f>
        <v/>
      </c>
      <c r="AY23" s="77">
        <f>AS23+AU23+AV23</f>
        <v/>
      </c>
      <c r="AZ23" s="77">
        <f>BC23+BE23+BG23+BI23+BK23</f>
        <v/>
      </c>
      <c r="BA23" s="76">
        <f>AX23+BB23</f>
        <v/>
      </c>
      <c r="BB23" s="77">
        <f>BD23+BF23+BH23+BJ23+BL23</f>
        <v/>
      </c>
      <c r="BC23" s="77">
        <f>COUNTIF(A23:AH23,"*$BTP*")</f>
        <v/>
      </c>
      <c r="BD23" s="77">
        <f>BC23*1.5</f>
        <v/>
      </c>
      <c r="BE23" s="77">
        <f>COUNTIF(A23:AH23,"*$M*")</f>
        <v/>
      </c>
      <c r="BF23" s="77">
        <f>BE23*1</f>
        <v/>
      </c>
      <c r="BG23" s="77">
        <f>COUNTIF(A23:AH23,"*$PM*")</f>
        <v/>
      </c>
      <c r="BH23" s="77">
        <f>BG23*0.5</f>
        <v/>
      </c>
      <c r="BI23" s="77">
        <f>COUNTIF(A23:AH23,"*$AM*")</f>
        <v/>
      </c>
      <c r="BJ23" s="77">
        <f>BI23*0.5</f>
        <v/>
      </c>
      <c r="BK23" s="77">
        <f>COUNTIF(A23:AH23,"*$FC*")</f>
        <v/>
      </c>
      <c r="BL23" s="77">
        <f>BK23*1</f>
        <v/>
      </c>
      <c r="BM23" s="77">
        <f>COUNTIF($D23:$AA23,BM$4)</f>
        <v/>
      </c>
      <c r="BN23" s="77">
        <f>COUNTIF($D23:$AA23,BN$4)</f>
        <v/>
      </c>
      <c r="BO23" s="77">
        <f>COUNTIF($D23:$AA23,BO$4)</f>
        <v/>
      </c>
      <c r="BP23" s="77" t="n"/>
    </row>
    <row r="24" ht="19.5" customHeight="1">
      <c r="A24" s="67" t="n"/>
      <c r="B24" s="76" t="inlineStr">
        <is>
          <t>CPL QUEK ZI YI</t>
        </is>
      </c>
      <c r="C24" s="60" t="n"/>
      <c r="D24" s="60" t="inlineStr">
        <is>
          <t>CS/B</t>
        </is>
      </c>
      <c r="E24" s="60" t="n"/>
      <c r="F24" s="60" t="n"/>
      <c r="G24" s="60" t="n"/>
      <c r="H24" s="60" t="n"/>
      <c r="I24" s="60" t="inlineStr">
        <is>
          <t>AL</t>
        </is>
      </c>
      <c r="J24" s="60" t="inlineStr">
        <is>
          <t>STARLIGHT OIL</t>
        </is>
      </c>
      <c r="K24" s="60" t="inlineStr">
        <is>
          <t>OL</t>
        </is>
      </c>
      <c r="L24" s="60" t="inlineStr">
        <is>
          <t>OL</t>
        </is>
      </c>
      <c r="M24" s="60" t="inlineStr">
        <is>
          <t>OL</t>
        </is>
      </c>
      <c r="N24" s="60" t="inlineStr">
        <is>
          <t>OL</t>
        </is>
      </c>
      <c r="O24" s="60" t="n"/>
      <c r="P24" s="60" t="n"/>
      <c r="Q24" s="53" t="inlineStr">
        <is>
          <t>CS2</t>
        </is>
      </c>
      <c r="R24" s="53" t="n"/>
      <c r="S24" s="60" t="n"/>
      <c r="T24" s="53" t="inlineStr">
        <is>
          <t>DM</t>
        </is>
      </c>
      <c r="U24" s="53" t="n"/>
      <c r="V24" s="60" t="n"/>
      <c r="W24" s="53" t="n"/>
      <c r="X24" s="60" t="inlineStr">
        <is>
          <t>P $AM IPPT (0530-1030)</t>
        </is>
      </c>
      <c r="Y24" s="53" t="n"/>
      <c r="Z24" s="53" t="n"/>
      <c r="AA24" s="60" t="n"/>
      <c r="AB24" s="60" t="n"/>
      <c r="AC24" s="60" t="n"/>
      <c r="AD24" s="60" t="n"/>
      <c r="AE24" s="84" t="n"/>
      <c r="AF24" s="60" t="n"/>
      <c r="AG24" s="60" t="n"/>
      <c r="AH24" s="67">
        <f>COUNTIF($C24:$Z24,AH$4)</f>
        <v/>
      </c>
      <c r="AI24" s="67">
        <f>COUNTIF($C24:$Z24,AI$4)</f>
        <v/>
      </c>
      <c r="AJ24" s="67">
        <f>COUNTIF($C24:$Z24,AJ$4)</f>
        <v/>
      </c>
      <c r="AK24" s="67">
        <f>COUNTIF($C24:$Z24,AK$4)</f>
        <v/>
      </c>
      <c r="AL24" s="67">
        <f>COUNTIF($C24:$Z24,AL$4)</f>
        <v/>
      </c>
      <c r="AM24" s="67">
        <f>COUNTIF($C24:$Z24,AM$4)</f>
        <v/>
      </c>
      <c r="AN24" s="67">
        <f>COUNTIF($C24:$Z24,AN$4)</f>
        <v/>
      </c>
      <c r="AO24" s="67">
        <f>COUNTIF($C24:$Z24,AO$4)</f>
        <v/>
      </c>
      <c r="AP24" s="67">
        <f>COUNTIF($C24:$Z24,AP$4)</f>
        <v/>
      </c>
      <c r="AQ24" s="76" t="n"/>
      <c r="AR24" s="76" t="n">
        <v>4.5</v>
      </c>
      <c r="AS24" s="77">
        <f>SUMPRODUCT(--(WEEKDAY(C$3:AG$3,2)&lt;5),--ISNUMBER(MATCH(C24:AG24,{"DM","CS1","CS2","SB1","AE","CS/B"},0)))</f>
        <v/>
      </c>
      <c r="AT24" s="67" t="n"/>
      <c r="AU24" s="77">
        <f>SUMPRODUCT(--(WEEKDAY(C$3:AG$3,2)=5),--ISNUMBER(MATCH(C24:AG24,{"DM","CS1","CS2","SB1","AE","CS/B","WEEKEND OUTFIELD RESERVE"},0)))</f>
        <v/>
      </c>
      <c r="AV24" s="77">
        <f>SUMPRODUCT(--(WEEKDAY(C$3:AG$3,2)&gt;5),--ISNUMBER(MATCH(C24:AG24,{"DM","CS1","CS2","SB1","AE","CS/B","WEEKEND OUTFIELD RESERVE"},0)))</f>
        <v/>
      </c>
      <c r="AW24" s="67" t="n"/>
      <c r="AX24" s="77">
        <f>(AS24-AT24)+AU24*1.5+(AV24-AW24)*2+AM24*0.5+AO24*0.5+AQ24-AR24</f>
        <v/>
      </c>
      <c r="AY24" s="77">
        <f>AS24+AU24+AV24</f>
        <v/>
      </c>
      <c r="AZ24" s="77">
        <f>BC24+BE24+BG24+BI24+BK24</f>
        <v/>
      </c>
      <c r="BA24" s="76">
        <f>AX24+BB24</f>
        <v/>
      </c>
      <c r="BB24" s="77">
        <f>BD24+BF24+BH24+BJ24+BL24</f>
        <v/>
      </c>
      <c r="BC24" s="77">
        <f>COUNTIF(A24:AH24,"*$BTP*")</f>
        <v/>
      </c>
      <c r="BD24" s="77">
        <f>BC24*1.5</f>
        <v/>
      </c>
      <c r="BE24" s="77">
        <f>COUNTIF(A24:AH24,"*$M*")</f>
        <v/>
      </c>
      <c r="BF24" s="77">
        <f>BE24*1</f>
        <v/>
      </c>
      <c r="BG24" s="77">
        <f>COUNTIF(A24:AH24,"*$PM*")</f>
        <v/>
      </c>
      <c r="BH24" s="77">
        <f>BG24*0.5</f>
        <v/>
      </c>
      <c r="BI24" s="77">
        <f>COUNTIF(A24:AH24,"*$AM*")</f>
        <v/>
      </c>
      <c r="BJ24" s="77">
        <f>BI24*0.5</f>
        <v/>
      </c>
      <c r="BK24" s="77">
        <f>COUNTIF(A24:AH24,"*$FC*")</f>
        <v/>
      </c>
      <c r="BL24" s="77">
        <f>BK24*1</f>
        <v/>
      </c>
      <c r="BM24" s="77">
        <f>COUNTIF($D24:$Z24,BM$4)</f>
        <v/>
      </c>
      <c r="BN24" s="77">
        <f>COUNTIF($D24:$Z24,BN$4)</f>
        <v/>
      </c>
      <c r="BO24" s="77">
        <f>COUNTIF($D24:$Z24,BO$4)</f>
        <v/>
      </c>
      <c r="BP24" s="67" t="n"/>
    </row>
    <row r="25" ht="103.5" customHeight="1">
      <c r="A25" s="67" t="n"/>
      <c r="B25" s="76" t="inlineStr">
        <is>
          <t>LCP EKLAYVA PINGALI</t>
        </is>
      </c>
      <c r="C25" s="60" t="n"/>
      <c r="D25" s="60" t="inlineStr">
        <is>
          <t>COVER RESERVE</t>
        </is>
      </c>
      <c r="E25" s="60" t="n"/>
      <c r="F25" s="60" t="inlineStr">
        <is>
          <t>CS1</t>
        </is>
      </c>
      <c r="G25" s="60" t="n"/>
      <c r="H25" s="60" t="n"/>
      <c r="I25" s="60" t="inlineStr">
        <is>
          <t>K $BTP (0515-2359)</t>
        </is>
      </c>
      <c r="J25" s="60" t="n"/>
      <c r="K25" s="60" t="inlineStr">
        <is>
          <t>COMPONENT TRAINING</t>
        </is>
      </c>
      <c r="L25" s="53" t="n"/>
      <c r="M25" s="60" t="inlineStr">
        <is>
          <t>CS1</t>
        </is>
      </c>
      <c r="N25" s="60" t="n"/>
      <c r="O25" s="60" t="inlineStr">
        <is>
          <t>MSP REHEARSAL</t>
        </is>
      </c>
      <c r="P25" s="60" t="inlineStr">
        <is>
          <t>MSP REHEARSAL</t>
        </is>
      </c>
      <c r="Q25" s="60" t="n"/>
      <c r="R25" s="53" t="n"/>
      <c r="S25" s="53" t="inlineStr">
        <is>
          <t>MSP</t>
        </is>
      </c>
      <c r="T25" s="60" t="n"/>
      <c r="U25" s="60" t="inlineStr">
        <is>
          <t>bday</t>
        </is>
      </c>
      <c r="V25" s="60" t="n"/>
      <c r="W25" s="60" t="inlineStr">
        <is>
          <t>P $PM CC (1530-1830)</t>
        </is>
      </c>
      <c r="X25" s="60" t="n"/>
      <c r="Y25" s="60" t="inlineStr">
        <is>
          <t>DM</t>
        </is>
      </c>
      <c r="Z25" s="60" t="n"/>
      <c r="AB25" s="60" t="n"/>
      <c r="AC25" s="60" t="n"/>
      <c r="AD25" s="60" t="inlineStr">
        <is>
          <t>CS2</t>
        </is>
      </c>
      <c r="AE25" s="79" t="n"/>
      <c r="AF25" s="60" t="inlineStr">
        <is>
          <t>SB2</t>
        </is>
      </c>
      <c r="AG25" s="60" t="inlineStr">
        <is>
          <t>DM</t>
        </is>
      </c>
      <c r="AH25" s="67">
        <f>COUNTIF($C25:$AF25,AH$4)</f>
        <v/>
      </c>
      <c r="AI25" s="67">
        <f>COUNTIF($C25:$AF25,AI$4)</f>
        <v/>
      </c>
      <c r="AJ25" s="67">
        <f>COUNTIF($C25:$AF25,AJ$4)</f>
        <v/>
      </c>
      <c r="AK25" s="67">
        <f>COUNTIF($C25:$AF25,AK$4)</f>
        <v/>
      </c>
      <c r="AL25" s="67">
        <f>COUNTIF($C25:$AF25,AL$4)</f>
        <v/>
      </c>
      <c r="AM25" s="67">
        <f>COUNTIF($C25:$AF25,AM$4)</f>
        <v/>
      </c>
      <c r="AN25" s="67">
        <f>COUNTIF($C25:$AF25,AN$4)</f>
        <v/>
      </c>
      <c r="AO25" s="67">
        <f>COUNTIF($C25:$AF25,AO$4)</f>
        <v/>
      </c>
      <c r="AP25" s="67">
        <f>COUNTIF($C25:$AF25,AP$4)</f>
        <v/>
      </c>
      <c r="AQ25" s="76" t="n"/>
      <c r="AR25" s="76" t="n">
        <v>2.5</v>
      </c>
      <c r="AS25" s="77">
        <f>SUMPRODUCT(--(WEEKDAY(C$3:AG$3,2)&lt;5),--ISNUMBER(MATCH(C25:AG25,{"DM","CS1","CS2","SB1","AE","CS/B"},0)))</f>
        <v/>
      </c>
      <c r="AT25" s="77" t="n"/>
      <c r="AU25" s="77">
        <f>SUMPRODUCT(--(WEEKDAY(C$3:AG$3,2)=5),--ISNUMBER(MATCH(C25:AG25,{"DM","CS1","CS2","SB1","AE","CS/B","WEEKEND OUTFIELD RESERVE"},0)))</f>
        <v/>
      </c>
      <c r="AV25" s="77">
        <f>SUMPRODUCT(--(WEEKDAY(C$3:AG$3,2)&gt;5),--ISNUMBER(MATCH(C25:AG25,{"DM","CS1","CS2","SB1","AE","CS/B","WEEKEND OUTFIELD RESERVE"},0)))</f>
        <v/>
      </c>
      <c r="AW25" s="77" t="n"/>
      <c r="AX25" s="77">
        <f>(AS25-AT25)+AU25*1.5+(AV25-AW25)*2+AM25*0.5+AO25*0.5+AQ25-AR25</f>
        <v/>
      </c>
      <c r="AY25" s="77">
        <f>AS25+AU25+AV25</f>
        <v/>
      </c>
      <c r="AZ25" s="77">
        <f>BC25+BE25+BG25+BI25+BK25</f>
        <v/>
      </c>
      <c r="BA25" s="76">
        <f>AX25+BB25</f>
        <v/>
      </c>
      <c r="BB25" s="77">
        <f>BD25+BF25+BH25+BJ25+BL25</f>
        <v/>
      </c>
      <c r="BC25" s="77">
        <f>COUNTIF(A25:AH25,"*$BTP*")</f>
        <v/>
      </c>
      <c r="BD25" s="77">
        <f>BC25*1.5</f>
        <v/>
      </c>
      <c r="BE25" s="77">
        <f>COUNTIF(A25:AH25,"*$M*")</f>
        <v/>
      </c>
      <c r="BF25" s="77">
        <f>BE25*1</f>
        <v/>
      </c>
      <c r="BG25" s="77">
        <f>COUNTIF(A25:AH25,"*$PM*")</f>
        <v/>
      </c>
      <c r="BH25" s="77">
        <f>BG25*0.5</f>
        <v/>
      </c>
      <c r="BI25" s="77">
        <f>COUNTIF(A25:AH25,"*$AM*")</f>
        <v/>
      </c>
      <c r="BJ25" s="77">
        <f>BI25*0.5</f>
        <v/>
      </c>
      <c r="BK25" s="77">
        <f>COUNTIF(A25:AH25,"*$FC*")</f>
        <v/>
      </c>
      <c r="BL25" s="77">
        <f>BK25*1</f>
        <v/>
      </c>
      <c r="BM25" s="77">
        <f>COUNTIF($D25:$AA25,BM$4)</f>
        <v/>
      </c>
      <c r="BN25" s="77">
        <f>COUNTIF($D25:$AA25,BN$4)</f>
        <v/>
      </c>
      <c r="BO25" s="77">
        <f>COUNTIF($D25:$AA25,BO$4)</f>
        <v/>
      </c>
      <c r="BP25" s="77" t="n"/>
    </row>
    <row r="26" ht="68.25" customHeight="1">
      <c r="A26" s="67" t="n"/>
      <c r="B26" s="76" t="inlineStr">
        <is>
          <t>CFC DERRICK CHIN</t>
        </is>
      </c>
      <c r="C26" s="53" t="n"/>
      <c r="D26" s="60" t="inlineStr">
        <is>
          <t>SB2</t>
        </is>
      </c>
      <c r="E26" s="60" t="n"/>
      <c r="F26" s="60" t="inlineStr">
        <is>
          <t>DM</t>
        </is>
      </c>
      <c r="G26" s="53" t="n"/>
      <c r="H26" s="60" t="inlineStr">
        <is>
          <t>APS</t>
        </is>
      </c>
      <c r="I26" s="53" t="inlineStr">
        <is>
          <t>AL</t>
        </is>
      </c>
      <c r="J26" s="60" t="inlineStr">
        <is>
          <t>MA</t>
        </is>
      </c>
      <c r="K26" s="53" t="inlineStr">
        <is>
          <t>DM</t>
        </is>
      </c>
      <c r="L26" s="60" t="n"/>
      <c r="M26" s="60" t="n"/>
      <c r="N26" s="53" t="n"/>
      <c r="O26" s="130" t="n"/>
      <c r="Q26" s="131" t="n"/>
      <c r="R26" s="132" t="inlineStr">
        <is>
          <t>RESERVE</t>
        </is>
      </c>
      <c r="S26" s="131" t="n"/>
      <c r="T26" s="133" t="n"/>
      <c r="U26" s="133" t="n"/>
      <c r="V26" s="134" t="inlineStr">
        <is>
          <t>AL</t>
        </is>
      </c>
      <c r="W26" s="130" t="inlineStr">
        <is>
          <t>AL</t>
        </is>
      </c>
      <c r="X26" s="96" t="inlineStr">
        <is>
          <t>2nd $PM CC (1630-1820)</t>
        </is>
      </c>
      <c r="Y26" s="135" t="inlineStr">
        <is>
          <t>AL</t>
        </is>
      </c>
      <c r="Z26" s="60" t="n"/>
      <c r="AA26" s="60" t="n"/>
      <c r="AB26" s="60" t="n"/>
      <c r="AC26" s="60" t="inlineStr">
        <is>
          <t>WISDOM TOOTH</t>
        </is>
      </c>
      <c r="AD26" s="60" t="inlineStr">
        <is>
          <t>MC</t>
        </is>
      </c>
      <c r="AE26" s="78" t="inlineStr">
        <is>
          <t>MC</t>
        </is>
      </c>
      <c r="AF26" s="53" t="n"/>
      <c r="AG26" s="60" t="n"/>
      <c r="AH26" s="67">
        <f>COUNTIF($C26:$AF26,AH$4)</f>
        <v/>
      </c>
      <c r="AI26" s="67">
        <f>COUNTIF($C26:$AF26,AI$4)</f>
        <v/>
      </c>
      <c r="AJ26" s="67">
        <f>COUNTIF($C26:$AF26,AJ$4)</f>
        <v/>
      </c>
      <c r="AK26" s="67">
        <f>COUNTIF($C26:$AF26,AK$4)</f>
        <v/>
      </c>
      <c r="AL26" s="67">
        <f>COUNTIF($C26:$AF26,AL$4)</f>
        <v/>
      </c>
      <c r="AM26" s="67">
        <f>COUNTIF($C26:$AF26,AM$4)</f>
        <v/>
      </c>
      <c r="AN26" s="67">
        <f>COUNTIF($C26:$AF26,AN$4)</f>
        <v/>
      </c>
      <c r="AO26" s="67">
        <f>COUNTIF($C26:$AF26,AO$4)</f>
        <v/>
      </c>
      <c r="AP26" s="67">
        <f>COUNTIF($C26:$AF26,AP$4)</f>
        <v/>
      </c>
      <c r="AQ26" s="76" t="n"/>
      <c r="AR26" s="76" t="n"/>
      <c r="AS26" s="77">
        <f>SUMPRODUCT(--(WEEKDAY(C$3:AG$3,2)&lt;5),--ISNUMBER(MATCH(C26:AG26,{"DM","CS1","CS2","SB1","AE","CS/B"},0)))</f>
        <v/>
      </c>
      <c r="AT26" s="77" t="n"/>
      <c r="AU26" s="77">
        <f>SUMPRODUCT(--(WEEKDAY(C$3:AG$3,2)=5),--ISNUMBER(MATCH(C26:AG26,{"DM","CS1","CS2","SB1","AE","CS/B","WEEKEND OUTFIELD RESERVE"},0)))</f>
        <v/>
      </c>
      <c r="AV26" s="77">
        <f>SUMPRODUCT(--(WEEKDAY(C$3:AG$3,2)&gt;5),--ISNUMBER(MATCH(C26:AG26,{"DM","CS1","CS2","SB1","AE","CS/B","WEEKEND OUTFIELD RESERVE"},0)))</f>
        <v/>
      </c>
      <c r="AW26" s="77" t="n"/>
      <c r="AX26" s="77">
        <f>(AS26-AT26)+AU26*1.5+(AV26-AW26)*2+AM26*0.5+AO26*0.5+AQ26-AR26</f>
        <v/>
      </c>
      <c r="AY26" s="77">
        <f>AS26+AU26+AV26</f>
        <v/>
      </c>
      <c r="AZ26" s="77">
        <f>BC26+BE26+BG26+BI26+BK26</f>
        <v/>
      </c>
      <c r="BA26" s="76">
        <f>AX26+BB26</f>
        <v/>
      </c>
      <c r="BB26" s="77">
        <f>BD26+BF26+BH26+BJ26+BL26</f>
        <v/>
      </c>
      <c r="BC26" s="77">
        <f>COUNTIF(A26:AH26,"*$BTP*")</f>
        <v/>
      </c>
      <c r="BD26" s="77">
        <f>BC26*1.5</f>
        <v/>
      </c>
      <c r="BE26" s="77">
        <f>COUNTIF(A26:AH26,"*$M*")</f>
        <v/>
      </c>
      <c r="BF26" s="77">
        <f>BE26*1</f>
        <v/>
      </c>
      <c r="BG26" s="77">
        <f>COUNTIF(A26:AH26,"*$PM*")</f>
        <v/>
      </c>
      <c r="BH26" s="77">
        <f>BG26*0.5</f>
        <v/>
      </c>
      <c r="BI26" s="77">
        <f>COUNTIF(A26:AH26,"*$AM*")</f>
        <v/>
      </c>
      <c r="BJ26" s="77">
        <f>BI26*0.5</f>
        <v/>
      </c>
      <c r="BK26" s="77">
        <f>COUNTIF(A26:AH26,"*$FC*")</f>
        <v/>
      </c>
      <c r="BL26" s="77">
        <f>BK26*1</f>
        <v/>
      </c>
      <c r="BM26" s="77">
        <f>COUNTIF($D26:$AA26,BM$4)</f>
        <v/>
      </c>
      <c r="BN26" s="77">
        <f>COUNTIF($D26:$AA26,BN$4)</f>
        <v/>
      </c>
      <c r="BO26" s="77">
        <f>COUNTIF($D26:$AA26,BO$4)</f>
        <v/>
      </c>
      <c r="BP26" s="77" t="n"/>
    </row>
    <row r="27" ht="19.5" customHeight="1">
      <c r="A27" s="67" t="n"/>
      <c r="B27" s="76" t="inlineStr">
        <is>
          <t>CPL ZHANG ZHONGHAO</t>
        </is>
      </c>
      <c r="C27" s="60" t="n"/>
      <c r="D27" s="60" t="n"/>
      <c r="E27" s="53" t="inlineStr">
        <is>
          <t>DM</t>
        </is>
      </c>
      <c r="F27" s="53" t="n"/>
      <c r="G27" s="60" t="n"/>
      <c r="H27" s="60" t="inlineStr">
        <is>
          <t>COVER RESERVE</t>
        </is>
      </c>
      <c r="I27" s="60" t="n"/>
      <c r="J27" s="53" t="inlineStr">
        <is>
          <t>COVER RESERVE</t>
        </is>
      </c>
      <c r="K27" s="60" t="inlineStr">
        <is>
          <t>COMPONENT TRAINING</t>
        </is>
      </c>
      <c r="L27" s="53" t="inlineStr">
        <is>
          <t>OL</t>
        </is>
      </c>
      <c r="M27" s="53" t="inlineStr">
        <is>
          <t>OL</t>
        </is>
      </c>
      <c r="N27" s="60" t="inlineStr">
        <is>
          <t>OL</t>
        </is>
      </c>
      <c r="O27" s="60" t="inlineStr">
        <is>
          <t>MSP REHEARSAL</t>
        </is>
      </c>
      <c r="P27" s="60" t="inlineStr">
        <is>
          <t>MSP REHEARSAL</t>
        </is>
      </c>
      <c r="Q27" s="60" t="n"/>
      <c r="R27" s="53" t="n"/>
      <c r="S27" s="53" t="inlineStr">
        <is>
          <t>MSP</t>
        </is>
      </c>
      <c r="T27" s="60" t="n"/>
      <c r="U27" s="60" t="inlineStr">
        <is>
          <t>DM</t>
        </is>
      </c>
      <c r="V27" s="60" t="n"/>
      <c r="W27" s="53" t="inlineStr">
        <is>
          <t>HQ $AM IPPT</t>
        </is>
      </c>
      <c r="X27" s="60" t="inlineStr">
        <is>
          <t>DM</t>
        </is>
      </c>
      <c r="Y27" s="53" t="n"/>
      <c r="Z27" s="53" t="n"/>
      <c r="AA27" s="60" t="inlineStr">
        <is>
          <t>RESERVE</t>
        </is>
      </c>
      <c r="AB27" s="53" t="n"/>
      <c r="AC27" s="141" t="inlineStr">
        <is>
          <t>COVER RESERVE</t>
        </is>
      </c>
      <c r="AD27" s="87" t="inlineStr">
        <is>
          <t>SB2</t>
        </is>
      </c>
      <c r="AE27" s="88" t="inlineStr">
        <is>
          <t>SB1</t>
        </is>
      </c>
      <c r="AF27" s="60" t="n"/>
      <c r="AG27" s="60" t="n"/>
      <c r="AH27" s="67">
        <f>COUNTIF($C27:$AF27,AH$4)</f>
        <v/>
      </c>
      <c r="AI27" s="67">
        <f>COUNTIF($C27:$AF27,AI$4)</f>
        <v/>
      </c>
      <c r="AJ27" s="67">
        <f>COUNTIF($C27:$AF27,AJ$4)</f>
        <v/>
      </c>
      <c r="AK27" s="67">
        <f>COUNTIF($C27:$AF27,AK$4)</f>
        <v/>
      </c>
      <c r="AL27" s="67">
        <f>COUNTIF($C27:$AF27,AL$4)</f>
        <v/>
      </c>
      <c r="AM27" s="67">
        <f>COUNTIF($C27:$AF27,AM$4)</f>
        <v/>
      </c>
      <c r="AN27" s="67">
        <f>COUNTIF($C27:$AF27,AN$4)</f>
        <v/>
      </c>
      <c r="AO27" s="67">
        <f>COUNTIF($C27:$AF27,AO$4)</f>
        <v/>
      </c>
      <c r="AP27" s="67">
        <f>COUNTIF($C27:$AF27,AP$4)</f>
        <v/>
      </c>
      <c r="AQ27" s="76" t="n">
        <v>3</v>
      </c>
      <c r="AR27" s="76" t="n"/>
      <c r="AS27" s="77">
        <f>SUMPRODUCT(--(WEEKDAY(C$3:AG$3,2)&lt;5),--ISNUMBER(MATCH(C27:AG27,{"DM","CS1","CS2","SB1","AE","CS/B"},0)))</f>
        <v/>
      </c>
      <c r="AT27" s="67" t="n"/>
      <c r="AU27" s="77">
        <f>SUMPRODUCT(--(WEEKDAY(C$3:AG$3,2)=5),--ISNUMBER(MATCH(C27:AG27,{"DM","CS1","CS2","SB1","AE","CS/B","WEEKEND OUTFIELD RESERVE"},0)))</f>
        <v/>
      </c>
      <c r="AV27" s="77">
        <f>SUMPRODUCT(--(WEEKDAY(C$3:AG$3,2)&gt;5),--ISNUMBER(MATCH(C27:AG27,{"DM","CS1","CS2","SB1","AE","CS/B","WEEKEND OUTFIELD RESERVE"},0)))</f>
        <v/>
      </c>
      <c r="AW27" s="67" t="n"/>
      <c r="AX27" s="77">
        <f>(AS27-AT27)+AU27*1.5+(AV27-AW27)*2+AM27*0.5+AO27*0.5+AQ27-AR27</f>
        <v/>
      </c>
      <c r="AY27" s="77">
        <f>AS27+AU27+AV27</f>
        <v/>
      </c>
      <c r="AZ27" s="77">
        <f>BC27+BE27+BG27+BI27+BK27</f>
        <v/>
      </c>
      <c r="BA27" s="76">
        <f>AX27+BB27</f>
        <v/>
      </c>
      <c r="BB27" s="77">
        <f>BD27+BF27+BH27+BJ27+BL27</f>
        <v/>
      </c>
      <c r="BC27" s="77">
        <f>COUNTIF(A27:AH27,"*$BTP*")</f>
        <v/>
      </c>
      <c r="BD27" s="77">
        <f>BC27*1.5</f>
        <v/>
      </c>
      <c r="BE27" s="77">
        <f>COUNTIF(A27:AH27,"*$M*")</f>
        <v/>
      </c>
      <c r="BF27" s="77">
        <f>BE27*1</f>
        <v/>
      </c>
      <c r="BG27" s="77">
        <f>COUNTIF(A27:AH27,"*$PM*")</f>
        <v/>
      </c>
      <c r="BH27" s="77">
        <f>BG27*0.5</f>
        <v/>
      </c>
      <c r="BI27" s="77">
        <f>COUNTIF(A27:AH27,"*$AM*")</f>
        <v/>
      </c>
      <c r="BJ27" s="77">
        <f>BI27*0.5</f>
        <v/>
      </c>
      <c r="BK27" s="77">
        <f>COUNTIF(A27:AH27,"*$FC*")</f>
        <v/>
      </c>
      <c r="BL27" s="77">
        <f>BK27*1</f>
        <v/>
      </c>
      <c r="BM27" s="77">
        <f>COUNTIF($D27:$AA27,BM$4)</f>
        <v/>
      </c>
      <c r="BN27" s="77">
        <f>COUNTIF($D27:$AA27,BN$4)</f>
        <v/>
      </c>
      <c r="BO27" s="77">
        <f>COUNTIF($D27:$AA27,BO$4)</f>
        <v/>
      </c>
      <c r="BP27" s="67" t="n"/>
    </row>
    <row r="28" ht="48" customHeight="1">
      <c r="A28" s="67" t="n"/>
      <c r="B28" s="76" t="inlineStr">
        <is>
          <t xml:space="preserve">LCP KUEH YAN SHENG </t>
        </is>
      </c>
      <c r="C28" s="53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X28" s="60" t="n"/>
      <c r="Y28" s="60" t="n"/>
      <c r="Z28" s="60" t="n"/>
      <c r="AA28" s="60" t="n"/>
      <c r="AB28" s="60" t="n"/>
      <c r="AC28" s="155" t="n"/>
      <c r="AD28" s="155" t="n"/>
      <c r="AE28" s="84" t="n"/>
      <c r="AF28" s="60" t="n"/>
      <c r="AG28" s="60" t="n"/>
      <c r="AH28" s="67">
        <f>COUNTIF($C28:$AF28,AH$4)</f>
        <v/>
      </c>
      <c r="AI28" s="67">
        <f>COUNTIF($C28:$AF28,AI$4)</f>
        <v/>
      </c>
      <c r="AJ28" s="67">
        <f>COUNTIF($C28:$AF28,AJ$4)</f>
        <v/>
      </c>
      <c r="AK28" s="67">
        <f>COUNTIF($C28:$AF28,AK$4)</f>
        <v/>
      </c>
      <c r="AL28" s="67">
        <f>COUNTIF($C28:$AF28,AL$4)</f>
        <v/>
      </c>
      <c r="AM28" s="67">
        <f>COUNTIF($C28:$AF28,AM$4)</f>
        <v/>
      </c>
      <c r="AN28" s="67">
        <f>COUNTIF($C28:$AF28,AN$4)</f>
        <v/>
      </c>
      <c r="AO28" s="67">
        <f>COUNTIF($C28:$AF28,AO$4)</f>
        <v/>
      </c>
      <c r="AP28" s="67">
        <f>COUNTIF($C28:$AF28,AP$4)</f>
        <v/>
      </c>
      <c r="AQ28" s="76" t="n"/>
      <c r="AR28" s="76" t="n">
        <v>7</v>
      </c>
      <c r="AS28" s="77">
        <f>SUMPRODUCT(--(WEEKDAY(C$3:AG$3,2)&lt;5),--ISNUMBER(MATCH(C28:AG28,{"DM","CS1","CS2","SB1","AE","CS/B"},0)))</f>
        <v/>
      </c>
      <c r="AT28" s="77" t="n"/>
      <c r="AU28" s="77">
        <f>SUMPRODUCT(--(WEEKDAY(C$3:AG$3,2)=5),--ISNUMBER(MATCH(C28:AG28,{"DM","CS1","CS2","SB1","AE","CS/B","WEEKEND OUTFIELD RESERVE"},0)))</f>
        <v/>
      </c>
      <c r="AV28" s="77">
        <f>SUMPRODUCT(--(WEEKDAY(C$3:AG$3,2)&gt;5),--ISNUMBER(MATCH(C28:AG28,{"DM","CS1","CS2","SB1","AE","CS/B","WEEKEND OUTFIELD RESERVE"},0)))</f>
        <v/>
      </c>
      <c r="AW28" s="77" t="n"/>
      <c r="AX28" s="77">
        <f>(AS28-AT28)+AU28*1.5+(AV28-AW28)*2+AM28*0.5+AO28*0.5+AQ28-AR28</f>
        <v/>
      </c>
      <c r="AY28" s="77">
        <f>AS28+AU28+AV28</f>
        <v/>
      </c>
      <c r="AZ28" s="77">
        <f>BC28+BE28+BG28+BI28+BK28</f>
        <v/>
      </c>
      <c r="BA28" s="76">
        <f>AX28+BB28</f>
        <v/>
      </c>
      <c r="BB28" s="77">
        <f>BD28+BF28+BH28+BJ28+BL28</f>
        <v/>
      </c>
      <c r="BC28" s="77">
        <f>COUNTIF(A28:AH28,"*$BTP*")</f>
        <v/>
      </c>
      <c r="BD28" s="77">
        <f>BC28*1.5</f>
        <v/>
      </c>
      <c r="BE28" s="77">
        <f>COUNTIF(A28:AH28,"*$M*")</f>
        <v/>
      </c>
      <c r="BF28" s="77">
        <f>BE28*1</f>
        <v/>
      </c>
      <c r="BG28" s="77">
        <f>COUNTIF(A28:AH28,"*$PM*")</f>
        <v/>
      </c>
      <c r="BH28" s="77">
        <f>BG28*0.5</f>
        <v/>
      </c>
      <c r="BI28" s="77">
        <f>COUNTIF(A28:AH28,"*$AM*")</f>
        <v/>
      </c>
      <c r="BJ28" s="77">
        <f>BI28*0.5</f>
        <v/>
      </c>
      <c r="BK28" s="77">
        <f>COUNTIF(A28:AH28,"*$FC*")</f>
        <v/>
      </c>
      <c r="BL28" s="77">
        <f>BK28*1</f>
        <v/>
      </c>
      <c r="BM28" s="77">
        <f>COUNTIF($D28:$AA28,BM$4)</f>
        <v/>
      </c>
      <c r="BN28" s="77">
        <f>COUNTIF($D28:$AA28,BN$4)</f>
        <v/>
      </c>
      <c r="BO28" s="77">
        <f>COUNTIF($D28:$AA28,BO$4)</f>
        <v/>
      </c>
      <c r="BP28" s="77" t="n"/>
    </row>
    <row r="29" ht="19.5" customHeight="1">
      <c r="A29" s="67" t="n"/>
      <c r="B29" s="76" t="inlineStr">
        <is>
          <t>LCP CHYE JING AN MAXIMUS</t>
        </is>
      </c>
      <c r="C29" s="60" t="inlineStr">
        <is>
          <t>CS1</t>
        </is>
      </c>
      <c r="D29" s="60" t="n"/>
      <c r="E29" s="60" t="inlineStr">
        <is>
          <t>COVER RESERVE</t>
        </is>
      </c>
      <c r="F29" s="53" t="n"/>
      <c r="G29" s="60" t="inlineStr">
        <is>
          <t>RESERVE</t>
        </is>
      </c>
      <c r="H29" s="53" t="n"/>
      <c r="I29" s="60" t="inlineStr">
        <is>
          <t>DM</t>
        </is>
      </c>
      <c r="J29" s="53" t="n"/>
      <c r="K29" s="60" t="inlineStr">
        <is>
          <t>CS1</t>
        </is>
      </c>
      <c r="L29" s="53" t="n"/>
      <c r="M29" s="53" t="n"/>
      <c r="N29" s="53" t="n"/>
      <c r="O29" s="60" t="n"/>
      <c r="P29" s="60" t="inlineStr">
        <is>
          <t>CS1</t>
        </is>
      </c>
      <c r="Q29" s="60" t="n"/>
      <c r="R29" s="60" t="n"/>
      <c r="S29" s="60" t="inlineStr">
        <is>
          <t>DM</t>
        </is>
      </c>
      <c r="T29" s="60" t="n"/>
      <c r="U29" s="60" t="n"/>
      <c r="V29" s="53" t="n"/>
      <c r="W29" s="60" t="n"/>
      <c r="X29" s="60" t="inlineStr">
        <is>
          <t xml:space="preserve"> 5th $AM CC (0730-0920)</t>
        </is>
      </c>
      <c r="Y29" s="60" t="n"/>
      <c r="Z29" s="60" t="n"/>
      <c r="AA29" s="53" t="inlineStr">
        <is>
          <t>DM</t>
        </is>
      </c>
      <c r="AB29" s="60" t="n"/>
      <c r="AC29" s="90" t="n"/>
      <c r="AD29" s="91" t="inlineStr">
        <is>
          <t>HQ $AM IPPT</t>
        </is>
      </c>
      <c r="AE29" s="79" t="n"/>
      <c r="AF29" s="60" t="inlineStr">
        <is>
          <t>COVER RESERVE</t>
        </is>
      </c>
      <c r="AG29" s="60" t="n"/>
      <c r="AH29" s="67">
        <f>COUNTIF($C29:$AF29,AH$4)</f>
        <v/>
      </c>
      <c r="AI29" s="67">
        <f>COUNTIF($C29:$AF29,AI$4)</f>
        <v/>
      </c>
      <c r="AJ29" s="67">
        <f>COUNTIF($C29:$AF29,AJ$4)</f>
        <v/>
      </c>
      <c r="AK29" s="67">
        <f>COUNTIF($C29:$AF29,AK$4)</f>
        <v/>
      </c>
      <c r="AL29" s="67">
        <f>COUNTIF($C29:$AF29,AL$4)</f>
        <v/>
      </c>
      <c r="AM29" s="67">
        <f>COUNTIF($C29:$AF29,AM$4)</f>
        <v/>
      </c>
      <c r="AN29" s="67">
        <f>COUNTIF($C29:$AF29,AN$4)</f>
        <v/>
      </c>
      <c r="AO29" s="67">
        <f>COUNTIF($C29:$AF29,AO$4)</f>
        <v/>
      </c>
      <c r="AP29" s="67">
        <f>COUNTIF($C29:$AF29,AP$4)</f>
        <v/>
      </c>
      <c r="AQ29" s="76" t="n">
        <v>2</v>
      </c>
      <c r="AR29" s="76" t="n"/>
      <c r="AS29" s="77">
        <f>SUMPRODUCT(--(WEEKDAY(C$3:AG$3,2)&lt;5),--ISNUMBER(MATCH(C29:AG29,{"DM","CS1","CS2","SB1","AE","CS/B"},0)))</f>
        <v/>
      </c>
      <c r="AT29" s="67" t="n"/>
      <c r="AU29" s="77">
        <f>SUMPRODUCT(--(WEEKDAY(C$3:AG$3,2)=5),--ISNUMBER(MATCH(C29:AG29,{"DM","CS1","CS2","SB1","AE","CS/B","WEEKEND OUTFIELD RESERVE"},0)))</f>
        <v/>
      </c>
      <c r="AV29" s="77">
        <f>SUMPRODUCT(--(WEEKDAY(C$3:AG$3,2)&gt;5),--ISNUMBER(MATCH(C29:AG29,{"DM","CS1","CS2","SB1","AE","CS/B","WEEKEND OUTFIELD RESERVE"},0)))</f>
        <v/>
      </c>
      <c r="AW29" s="67" t="n"/>
      <c r="AX29" s="77">
        <f>(AS29-AT29)+AU29*1.5+(AV29-AW29)*2+AM29*0.5+AO29*0.5+AQ29-AR29</f>
        <v/>
      </c>
      <c r="AY29" s="77">
        <f>AS29+AU29+AV29</f>
        <v/>
      </c>
      <c r="AZ29" s="77">
        <f>BC29+BE29+BG29+BI29+BK29</f>
        <v/>
      </c>
      <c r="BA29" s="76">
        <f>AX29+BB29</f>
        <v/>
      </c>
      <c r="BB29" s="77">
        <f>BD29+BF29+BH29+BJ29+BL29</f>
        <v/>
      </c>
      <c r="BC29" s="77">
        <f>COUNTIF(A29:AH29,"*$BTP*")</f>
        <v/>
      </c>
      <c r="BD29" s="77">
        <f>BC29*1.5</f>
        <v/>
      </c>
      <c r="BE29" s="77">
        <f>COUNTIF(A29:AH29,"*$M*")</f>
        <v/>
      </c>
      <c r="BF29" s="77">
        <f>BE29*1</f>
        <v/>
      </c>
      <c r="BG29" s="77">
        <f>COUNTIF(A29:AH29,"*$PM*")</f>
        <v/>
      </c>
      <c r="BH29" s="77">
        <f>BG29*0.5</f>
        <v/>
      </c>
      <c r="BI29" s="77">
        <f>COUNTIF(A29:AH29,"*$AM*")</f>
        <v/>
      </c>
      <c r="BJ29" s="77">
        <f>BI29*0.5</f>
        <v/>
      </c>
      <c r="BK29" s="77">
        <f>COUNTIF(A29:AH29,"*$FC*")</f>
        <v/>
      </c>
      <c r="BL29" s="77">
        <f>BK29*1</f>
        <v/>
      </c>
      <c r="BM29" s="77">
        <f>COUNTIF($D29:$AA29,BM$4)</f>
        <v/>
      </c>
      <c r="BN29" s="77">
        <f>COUNTIF($D29:$AA29,BN$4)</f>
        <v/>
      </c>
      <c r="BO29" s="77">
        <f>COUNTIF($D29:$AA29,BO$4)</f>
        <v/>
      </c>
      <c r="BP29" s="67" t="n"/>
    </row>
    <row r="30" ht="19.5" customHeight="1">
      <c r="A30" s="67" t="n"/>
      <c r="B30" s="76" t="inlineStr">
        <is>
          <t>CPL TAN JUN YANG KELVIN</t>
        </is>
      </c>
      <c r="C30" s="60" t="n"/>
      <c r="D30" s="60" t="inlineStr">
        <is>
          <t>DM</t>
        </is>
      </c>
      <c r="E30" s="60" t="n"/>
      <c r="F30" s="53" t="n"/>
      <c r="G30" s="60" t="inlineStr">
        <is>
          <t>DM</t>
        </is>
      </c>
      <c r="H30" s="60" t="n"/>
      <c r="I30" s="60" t="inlineStr">
        <is>
          <t>COVER RESERVE</t>
        </is>
      </c>
      <c r="J30" s="53" t="inlineStr">
        <is>
          <t>A $PM PERMSTAFF SOC (1500-2000)</t>
        </is>
      </c>
      <c r="L30" s="53" t="inlineStr">
        <is>
          <t>DM</t>
        </is>
      </c>
      <c r="M30" s="60" t="n"/>
      <c r="N30" s="53" t="inlineStr">
        <is>
          <t>DM</t>
        </is>
      </c>
      <c r="O30" s="53" t="n"/>
      <c r="P30" s="85" t="inlineStr">
        <is>
          <t xml:space="preserve">1st $AM CC (0730-0920)   </t>
        </is>
      </c>
      <c r="Q30" s="60" t="inlineStr">
        <is>
          <t>SB2</t>
        </is>
      </c>
      <c r="R30" s="53" t="n"/>
      <c r="S30" s="60" t="n"/>
      <c r="T30" s="60" t="inlineStr">
        <is>
          <t>CS1</t>
        </is>
      </c>
      <c r="U30" s="60" t="n"/>
      <c r="W30" s="60" t="n"/>
      <c r="X30" s="60" t="inlineStr">
        <is>
          <t xml:space="preserve">1st $AM IPPT (0730-0920)    </t>
        </is>
      </c>
      <c r="Y30" s="60" t="inlineStr">
        <is>
          <t>CS1</t>
        </is>
      </c>
      <c r="Z30" s="53" t="n"/>
      <c r="AA30" s="60" t="n"/>
      <c r="AB30" s="53" t="n"/>
      <c r="AC30" s="92" t="inlineStr">
        <is>
          <t>A $BTP (0530-2359)</t>
        </is>
      </c>
      <c r="AD30" s="155" t="n"/>
      <c r="AE30" s="93" t="inlineStr">
        <is>
          <t>DM</t>
        </is>
      </c>
      <c r="AF30" s="60" t="n"/>
      <c r="AG30" s="60" t="inlineStr">
        <is>
          <t>COVER RESERVE</t>
        </is>
      </c>
      <c r="AH30" s="67">
        <f>COUNTIF($C30:$AF30,AH$4)</f>
        <v/>
      </c>
      <c r="AI30" s="67">
        <f>COUNTIF($C30:$AF30,AI$4)</f>
        <v/>
      </c>
      <c r="AJ30" s="67">
        <f>COUNTIF($C30:$AF30,AJ$4)</f>
        <v/>
      </c>
      <c r="AK30" s="67">
        <f>COUNTIF($C30:$AF30,AK$4)</f>
        <v/>
      </c>
      <c r="AL30" s="67">
        <f>COUNTIF($C30:$AF30,AL$4)</f>
        <v/>
      </c>
      <c r="AM30" s="67">
        <f>COUNTIF($C30:$AF30,AM$4)</f>
        <v/>
      </c>
      <c r="AN30" s="67">
        <f>COUNTIF($C30:$AF30,AN$4)</f>
        <v/>
      </c>
      <c r="AO30" s="67">
        <f>COUNTIF($C30:$AF30,AO$4)</f>
        <v/>
      </c>
      <c r="AP30" s="67">
        <f>COUNTIF($C30:$AF30,AP$4)</f>
        <v/>
      </c>
      <c r="AQ30" s="76" t="n"/>
      <c r="AR30" s="76" t="n">
        <v>5</v>
      </c>
      <c r="AS30" s="77">
        <f>SUMPRODUCT(--(WEEKDAY(C$3:AG$3,2)&lt;5),--ISNUMBER(MATCH(C30:AG30,{"DM","CS1","CS2","SB1","AE","CS/B"},0)))</f>
        <v/>
      </c>
      <c r="AT30" s="67" t="n"/>
      <c r="AU30" s="77">
        <f>SUMPRODUCT(--(WEEKDAY(C$3:AG$3,2)=5),--ISNUMBER(MATCH(C30:AG30,{"DM","CS1","CS2","SB1","AE","CS/B","WEEKEND OUTFIELD RESERVE"},0)))</f>
        <v/>
      </c>
      <c r="AV30" s="77">
        <f>SUMPRODUCT(--(WEEKDAY(C$3:AG$3,2)&gt;5),--ISNUMBER(MATCH(C30:AG30,{"DM","CS1","CS2","SB1","AE","CS/B","WEEKEND OUTFIELD RESERVE"},0)))</f>
        <v/>
      </c>
      <c r="AW30" s="67" t="n"/>
      <c r="AX30" s="77">
        <f>(AS30-AT30)+AU30*1.5+(AV30-AW30)*2+AM30*0.5+AO30*0.5+AQ30-AR30</f>
        <v/>
      </c>
      <c r="AY30" s="77">
        <f>AS30+AU30+AV30</f>
        <v/>
      </c>
      <c r="AZ30" s="77">
        <f>BC30+BE30+BG30+BI30+BK30</f>
        <v/>
      </c>
      <c r="BA30" s="76">
        <f>AX30+BB30</f>
        <v/>
      </c>
      <c r="BB30" s="77">
        <f>BD30+BF30+BH30+BJ30+BL30</f>
        <v/>
      </c>
      <c r="BC30" s="77">
        <f>COUNTIF(A30:AH30,"*$BTP*")</f>
        <v/>
      </c>
      <c r="BD30" s="77">
        <f>BC30*1.5</f>
        <v/>
      </c>
      <c r="BE30" s="77">
        <f>COUNTIF(A30:AH30,"*$M*")</f>
        <v/>
      </c>
      <c r="BF30" s="77">
        <f>BE30*1</f>
        <v/>
      </c>
      <c r="BG30" s="77">
        <f>COUNTIF(A30:AH30,"*$PM*")</f>
        <v/>
      </c>
      <c r="BH30" s="77">
        <f>BG30*0.5</f>
        <v/>
      </c>
      <c r="BI30" s="77">
        <f>COUNTIF(A30:AH30,"*$AM*")</f>
        <v/>
      </c>
      <c r="BJ30" s="77">
        <f>BI30*0.5</f>
        <v/>
      </c>
      <c r="BK30" s="77">
        <f>COUNTIF(A30:AH30,"*$FC*")</f>
        <v/>
      </c>
      <c r="BL30" s="77">
        <f>BK30*1</f>
        <v/>
      </c>
      <c r="BM30" s="77">
        <f>COUNTIF($D30:$AA30,BM$4)</f>
        <v/>
      </c>
      <c r="BN30" s="77">
        <f>COUNTIF($D30:$AA30,BN$4)</f>
        <v/>
      </c>
      <c r="BO30" s="77">
        <f>COUNTIF($D30:$AA30,BO$4)</f>
        <v/>
      </c>
      <c r="BP30" s="67" t="n"/>
    </row>
    <row r="31" ht="19.5" customHeight="1">
      <c r="A31" s="67" t="n"/>
      <c r="B31" s="76" t="inlineStr">
        <is>
          <t>LCP MUHAMAD ZULKHAIRI BIN MOHAMAD SAPARI</t>
        </is>
      </c>
      <c r="C31" s="60" t="n"/>
      <c r="D31" s="60" t="n"/>
      <c r="E31" s="60" t="n"/>
      <c r="F31" s="60" t="n"/>
      <c r="G31" s="53" t="n"/>
      <c r="H31" s="53" t="inlineStr">
        <is>
          <t>APS</t>
        </is>
      </c>
      <c r="I31" s="60" t="n"/>
      <c r="J31" s="60" t="inlineStr">
        <is>
          <t>AMPT</t>
        </is>
      </c>
      <c r="L31" s="53" t="n"/>
      <c r="M31" s="60" t="inlineStr">
        <is>
          <t>OL</t>
        </is>
      </c>
      <c r="N31" s="60" t="inlineStr">
        <is>
          <t>OL</t>
        </is>
      </c>
      <c r="O31" s="60" t="inlineStr">
        <is>
          <t>OL</t>
        </is>
      </c>
      <c r="P31" s="60" t="inlineStr">
        <is>
          <t>OL</t>
        </is>
      </c>
      <c r="Q31" s="60" t="inlineStr">
        <is>
          <t>OL</t>
        </is>
      </c>
      <c r="R31" s="60" t="inlineStr">
        <is>
          <t>OL</t>
        </is>
      </c>
      <c r="S31" s="60" t="inlineStr">
        <is>
          <t>OL</t>
        </is>
      </c>
      <c r="T31" s="60" t="inlineStr">
        <is>
          <t>OL</t>
        </is>
      </c>
      <c r="U31" s="53" t="inlineStr">
        <is>
          <t>CS1</t>
        </is>
      </c>
      <c r="V31" s="60" t="n"/>
      <c r="W31" s="53" t="inlineStr">
        <is>
          <t>SB2</t>
        </is>
      </c>
      <c r="X31" s="60" t="inlineStr">
        <is>
          <t>S $M HG (0500-2030)</t>
        </is>
      </c>
      <c r="Y31" s="53" t="n"/>
      <c r="Z31" s="85" t="inlineStr">
        <is>
          <t xml:space="preserve">1st $AM CC (0730-0920)   </t>
        </is>
      </c>
      <c r="AA31" s="53" t="n"/>
      <c r="AB31" s="60" t="inlineStr">
        <is>
          <t>C $FC</t>
        </is>
      </c>
      <c r="AC31" s="94" t="inlineStr">
        <is>
          <t>C $FC</t>
        </is>
      </c>
      <c r="AD31" s="94" t="inlineStr">
        <is>
          <t>C $FC</t>
        </is>
      </c>
      <c r="AE31" s="95" t="inlineStr">
        <is>
          <t>C $FC</t>
        </is>
      </c>
      <c r="AF31" s="60" t="inlineStr">
        <is>
          <t>C $FC</t>
        </is>
      </c>
      <c r="AG31" s="60" t="n"/>
      <c r="AH31" s="67">
        <f>COUNTIF($C31:$AF31,AH$4)</f>
        <v/>
      </c>
      <c r="AI31" s="67">
        <f>COUNTIF($C31:$AF31,AI$4)</f>
        <v/>
      </c>
      <c r="AJ31" s="67">
        <f>COUNTIF($C31:$AF31,AJ$4)</f>
        <v/>
      </c>
      <c r="AK31" s="67">
        <f>COUNTIF($C31:$AF31,AK$4)</f>
        <v/>
      </c>
      <c r="AL31" s="67">
        <f>COUNTIF($C31:$AF31,AL$4)</f>
        <v/>
      </c>
      <c r="AM31" s="67">
        <f>COUNTIF($C31:$AF31,AM$4)</f>
        <v/>
      </c>
      <c r="AN31" s="67">
        <f>COUNTIF($C31:$AF31,AN$4)</f>
        <v/>
      </c>
      <c r="AO31" s="67">
        <f>COUNTIF($C31:$AF31,AO$4)</f>
        <v/>
      </c>
      <c r="AP31" s="67">
        <f>COUNTIF($C31:$AF31,AP$4)</f>
        <v/>
      </c>
      <c r="AQ31" s="76" t="n"/>
      <c r="AR31" s="76" t="n">
        <v>12.5</v>
      </c>
      <c r="AS31" s="77">
        <f>SUMPRODUCT(--(WEEKDAY(C$3:AG$3,2)&lt;5),--ISNUMBER(MATCH(C31:AG31,{"DM","CS1","CS2","SB1","AE","CS/B"},0)))</f>
        <v/>
      </c>
      <c r="AT31" s="67" t="n"/>
      <c r="AU31" s="77">
        <f>SUMPRODUCT(--(WEEKDAY(C$3:AG$3,2)=5),--ISNUMBER(MATCH(C31:AG31,{"DM","CS1","CS2","SB1","AE","CS/B","WEEKEND OUTFIELD RESERVE"},0)))</f>
        <v/>
      </c>
      <c r="AV31" s="77">
        <f>SUMPRODUCT(--(WEEKDAY(C$3:AG$3,2)&gt;5),--ISNUMBER(MATCH(C31:AG31,{"DM","CS1","CS2","SB1","AE","CS/B","WEEKEND OUTFIELD RESERVE"},0)))</f>
        <v/>
      </c>
      <c r="AW31" s="67" t="n"/>
      <c r="AX31" s="77">
        <f>(AS31-AT31)+AU31*1.5+(AV31-AW31)*2+AM31*0.5+AO31*0.5+AQ31-AR31</f>
        <v/>
      </c>
      <c r="AY31" s="77">
        <f>AS31+AU31+AV31</f>
        <v/>
      </c>
      <c r="AZ31" s="77">
        <f>BC31+BE31+BG31+BI31+BK31</f>
        <v/>
      </c>
      <c r="BA31" s="76">
        <f>AX31+BB31</f>
        <v/>
      </c>
      <c r="BB31" s="77">
        <f>BD31+BF31+BH31+BJ31+BL31</f>
        <v/>
      </c>
      <c r="BC31" s="77">
        <f>COUNTIF(A31:AH31,"*$BTP*")</f>
        <v/>
      </c>
      <c r="BD31" s="77">
        <f>BC31*1.5</f>
        <v/>
      </c>
      <c r="BE31" s="77">
        <f>COUNTIF(A31:AH31,"*$M*")</f>
        <v/>
      </c>
      <c r="BF31" s="77">
        <f>BE31*1</f>
        <v/>
      </c>
      <c r="BG31" s="77">
        <f>COUNTIF(A31:AH31,"*$PM*")</f>
        <v/>
      </c>
      <c r="BH31" s="77">
        <f>BG31*0.5</f>
        <v/>
      </c>
      <c r="BI31" s="77">
        <f>COUNTIF(A31:AH31,"*$AM*")</f>
        <v/>
      </c>
      <c r="BJ31" s="77">
        <f>BI31*0.5</f>
        <v/>
      </c>
      <c r="BK31" s="77">
        <f>COUNTIF(A31:AH31,"*$FC*")</f>
        <v/>
      </c>
      <c r="BL31" s="77">
        <f>BK31*1</f>
        <v/>
      </c>
      <c r="BM31" s="77">
        <f>COUNTIF($D31:$Z31,BM$4)</f>
        <v/>
      </c>
      <c r="BN31" s="77">
        <f>COUNTIF($D31:$Z31,BN$4)</f>
        <v/>
      </c>
      <c r="BO31" s="77">
        <f>COUNTIF($D31:$Z31,BO$4)</f>
        <v/>
      </c>
      <c r="BP31" s="67" t="n"/>
    </row>
    <row r="32" ht="48.75" customHeight="1">
      <c r="A32" s="67" t="n"/>
      <c r="B32" s="76" t="inlineStr">
        <is>
          <t>LCP MUHAMMAD YASIR BIN MUHAMMAD HIJAZ</t>
        </is>
      </c>
      <c r="C32" s="60" t="inlineStr">
        <is>
          <t>HQ $AM SAF DAY (0615-0930)</t>
        </is>
      </c>
      <c r="D32" s="60" t="inlineStr">
        <is>
          <t>DM</t>
        </is>
      </c>
      <c r="E32" s="60" t="inlineStr">
        <is>
          <t>PM AL</t>
        </is>
      </c>
      <c r="F32" s="60" t="n"/>
      <c r="G32" s="60" t="n"/>
      <c r="H32" s="60" t="n"/>
      <c r="I32" s="53" t="n"/>
      <c r="J32" s="60" t="n"/>
      <c r="K32" s="60" t="inlineStr">
        <is>
          <t>CS/B</t>
        </is>
      </c>
      <c r="L32" s="60" t="n"/>
      <c r="M32" s="60" t="inlineStr">
        <is>
          <t>CS2</t>
        </is>
      </c>
      <c r="O32" s="60" t="n"/>
      <c r="Q32" s="53" t="n"/>
      <c r="R32" s="60" t="n"/>
      <c r="S32" s="60" t="inlineStr">
        <is>
          <t>A $AM IPPT (0530-11000</t>
        </is>
      </c>
      <c r="T32" s="53" t="n"/>
      <c r="U32" s="53" t="n"/>
      <c r="V32" s="60" t="n"/>
      <c r="W32" s="60" t="inlineStr">
        <is>
          <t>COVER RESERVE</t>
        </is>
      </c>
      <c r="X32" s="60" t="n"/>
      <c r="Y32" s="53" t="inlineStr">
        <is>
          <t>DM</t>
        </is>
      </c>
      <c r="Z32" s="60" t="n"/>
      <c r="AA32" s="60" t="n"/>
      <c r="AB32" s="60" t="n"/>
      <c r="AC32" s="96" t="inlineStr">
        <is>
          <t>DM</t>
        </is>
      </c>
      <c r="AD32" s="155" t="n"/>
      <c r="AE32" s="78" t="inlineStr">
        <is>
          <t>AMPT</t>
        </is>
      </c>
      <c r="AF32" s="60" t="n"/>
      <c r="AG32" s="60" t="inlineStr">
        <is>
          <t>CS2</t>
        </is>
      </c>
      <c r="AH32" s="67">
        <f>COUNTIF($C32:$AF32,AH$4)</f>
        <v/>
      </c>
      <c r="AI32" s="67">
        <f>COUNTIF($C32:$AF32,AI$4)</f>
        <v/>
      </c>
      <c r="AJ32" s="67">
        <f>COUNTIF($C32:$AF32,AJ$4)</f>
        <v/>
      </c>
      <c r="AK32" s="67">
        <f>COUNTIF($C32:$AF32,AK$4)</f>
        <v/>
      </c>
      <c r="AL32" s="67">
        <f>COUNTIF($C32:$AF32,AL$4)</f>
        <v/>
      </c>
      <c r="AM32" s="67">
        <f>COUNTIF($C32:$AF32,AM$4)</f>
        <v/>
      </c>
      <c r="AN32" s="67">
        <f>COUNTIF($C32:$AF32,AN$4)</f>
        <v/>
      </c>
      <c r="AO32" s="67">
        <f>COUNTIF($C32:$AF32,AO$4)</f>
        <v/>
      </c>
      <c r="AP32" s="67">
        <f>COUNTIF($C32:$AF32,AP$4)</f>
        <v/>
      </c>
      <c r="AQ32" s="76" t="n">
        <v>1</v>
      </c>
      <c r="AR32" s="76" t="n"/>
      <c r="AS32" s="77">
        <f>SUMPRODUCT(--(WEEKDAY(C$3:AG$3,2)&lt;5),--ISNUMBER(MATCH(C32:AG32,{"DM","CS1","CS2","SB1","AE","CS/B"},0)))</f>
        <v/>
      </c>
      <c r="AT32" s="77" t="n"/>
      <c r="AU32" s="77">
        <f>SUMPRODUCT(--(WEEKDAY(C$3:AG$3,2)=5),--ISNUMBER(MATCH(C32:AG32,{"DM","CS1","CS2","SB1","AE","CS/B","WEEKEND OUTFIELD RESERVE"},0)))</f>
        <v/>
      </c>
      <c r="AV32" s="77">
        <f>SUMPRODUCT(--(WEEKDAY(C$3:AG$3,2)&gt;5),--ISNUMBER(MATCH(C32:AG32,{"DM","CS1","CS2","SB1","AE","CS/B","WEEKEND OUTFIELD RESERVE"},0)))</f>
        <v/>
      </c>
      <c r="AW32" s="77" t="n"/>
      <c r="AX32" s="77">
        <f>(AS32-AT32)+AU32*1.5+(AV32-AW32)*2+AM32*0.5+AO32*0.5+AQ32-AR32</f>
        <v/>
      </c>
      <c r="AY32" s="77">
        <f>AS32+AU32+AV32</f>
        <v/>
      </c>
      <c r="AZ32" s="77">
        <f>BC32+BE32+BG32+BI32+BK32</f>
        <v/>
      </c>
      <c r="BA32" s="76">
        <f>AX32+BB32</f>
        <v/>
      </c>
      <c r="BB32" s="77">
        <f>BD32+BF32+BH32+BJ32+BL32</f>
        <v/>
      </c>
      <c r="BC32" s="77">
        <f>COUNTIF(A32:AH32,"*$BTP*")</f>
        <v/>
      </c>
      <c r="BD32" s="77">
        <f>BC32*1.5</f>
        <v/>
      </c>
      <c r="BE32" s="77">
        <f>COUNTIF(A32:AH32,"*$M*")</f>
        <v/>
      </c>
      <c r="BF32" s="77">
        <f>BE32*1</f>
        <v/>
      </c>
      <c r="BG32" s="77">
        <f>COUNTIF(A32:AH32,"*$PM*")</f>
        <v/>
      </c>
      <c r="BH32" s="77">
        <f>BG32*0.5</f>
        <v/>
      </c>
      <c r="BI32" s="77">
        <f>COUNTIF(A32:AH32,"*$AM*")</f>
        <v/>
      </c>
      <c r="BJ32" s="77">
        <f>BI32*0.5</f>
        <v/>
      </c>
      <c r="BK32" s="77">
        <f>COUNTIF(A32:AH32,"*$FC*")</f>
        <v/>
      </c>
      <c r="BL32" s="77">
        <f>BK32*1</f>
        <v/>
      </c>
      <c r="BM32" s="77">
        <f>COUNTIF($D32:$AA32,BM$4)</f>
        <v/>
      </c>
      <c r="BN32" s="77">
        <f>COUNTIF($D32:$AA32,BN$4)</f>
        <v/>
      </c>
      <c r="BO32" s="77">
        <f>COUNTIF($D32:$AA32,BO$4)</f>
        <v/>
      </c>
      <c r="BP32" s="77" t="n"/>
    </row>
    <row r="33" ht="19.5" customHeight="1">
      <c r="A33" s="67" t="n"/>
      <c r="B33" s="76" t="inlineStr">
        <is>
          <t xml:space="preserve">LCP RON NG </t>
        </is>
      </c>
      <c r="C33" s="60" t="n"/>
      <c r="D33" s="60" t="inlineStr">
        <is>
          <t>AL</t>
        </is>
      </c>
      <c r="E33" s="53" t="inlineStr">
        <is>
          <t>OL</t>
        </is>
      </c>
      <c r="F33" s="60" t="inlineStr">
        <is>
          <t>OL</t>
        </is>
      </c>
      <c r="G33" s="60" t="inlineStr">
        <is>
          <t>OL</t>
        </is>
      </c>
      <c r="H33" s="60" t="inlineStr">
        <is>
          <t>APS</t>
        </is>
      </c>
      <c r="I33" s="60" t="inlineStr">
        <is>
          <t>DM</t>
        </is>
      </c>
      <c r="J33" s="60" t="n"/>
      <c r="K33" s="60" t="inlineStr">
        <is>
          <t>DM</t>
        </is>
      </c>
      <c r="L33" s="60" t="n"/>
      <c r="M33" s="60" t="n"/>
      <c r="N33" s="60" t="n"/>
      <c r="O33" s="60" t="n"/>
      <c r="Q33" s="60" t="n"/>
      <c r="R33" s="53" t="inlineStr">
        <is>
          <t>SB2</t>
        </is>
      </c>
      <c r="S33" s="60" t="n"/>
      <c r="T33" s="60" t="n"/>
      <c r="U33" s="60" t="inlineStr">
        <is>
          <t>CS/B</t>
        </is>
      </c>
      <c r="V33" s="60" t="n"/>
      <c r="W33" s="53" t="inlineStr">
        <is>
          <t>DM</t>
        </is>
      </c>
      <c r="X33" s="53" t="n"/>
      <c r="Y33" s="53" t="n"/>
      <c r="Z33" s="60" t="n"/>
      <c r="AA33" s="60" t="n"/>
      <c r="AB33" s="60" t="n"/>
      <c r="AC33" s="75" t="inlineStr">
        <is>
          <t>OUTFIELD RESERVE</t>
        </is>
      </c>
      <c r="AD33" s="75" t="inlineStr">
        <is>
          <t>OUTFIELD RESERVE</t>
        </is>
      </c>
      <c r="AE33" s="79" t="n"/>
      <c r="AF33" s="60" t="inlineStr">
        <is>
          <t>DM</t>
        </is>
      </c>
      <c r="AG33" s="60" t="n"/>
      <c r="AH33" s="67">
        <f>COUNTIF($C33:$AF33,AH$4)</f>
        <v/>
      </c>
      <c r="AI33" s="67">
        <f>COUNTIF($C33:$AF33,AI$4)</f>
        <v/>
      </c>
      <c r="AJ33" s="67">
        <f>COUNTIF($C33:$AF33,AJ$4)</f>
        <v/>
      </c>
      <c r="AK33" s="67">
        <f>COUNTIF($C33:$AF33,AK$4)</f>
        <v/>
      </c>
      <c r="AL33" s="67">
        <f>COUNTIF($C33:$AF33,AL$4)</f>
        <v/>
      </c>
      <c r="AM33" s="67">
        <f>COUNTIF($C33:$AF33,AM$4)</f>
        <v/>
      </c>
      <c r="AN33" s="67">
        <f>COUNTIF($C33:$AF33,AN$4)</f>
        <v/>
      </c>
      <c r="AO33" s="67">
        <f>COUNTIF($C33:$AF33,AO$4)</f>
        <v/>
      </c>
      <c r="AP33" s="67">
        <f>COUNTIF($C33:$AF33,AP$4)</f>
        <v/>
      </c>
      <c r="AQ33" s="76" t="n">
        <v>1</v>
      </c>
      <c r="AR33" s="76" t="n"/>
      <c r="AS33" s="77">
        <f>SUMPRODUCT(--(WEEKDAY(C$3:AG$3,2)&lt;5),--ISNUMBER(MATCH(C33:AG33,{"DM","CS1","CS2","SB1","AE","CS/B"},0)))</f>
        <v/>
      </c>
      <c r="AT33" s="67" t="n"/>
      <c r="AU33" s="77">
        <f>SUMPRODUCT(--(WEEKDAY(C$3:AG$3,2)=5),--ISNUMBER(MATCH(C33:AG33,{"DM","CS1","CS2","SB1","AE","CS/B","WEEKEND OUTFIELD RESERVE"},0)))</f>
        <v/>
      </c>
      <c r="AV33" s="77">
        <f>SUMPRODUCT(--(WEEKDAY(C$3:AG$3,2)&gt;5),--ISNUMBER(MATCH(C33:AG33,{"DM","CS1","CS2","SB1","AE","CS/B","WEEKEND OUTFIELD RESERVE"},0)))</f>
        <v/>
      </c>
      <c r="AW33" s="67" t="n"/>
      <c r="AX33" s="77">
        <f>(AS33-AT33)+AU33*1.5+(AV33-AW33)*2+AM33*0.5+AO33*0.5+AQ33-AR33</f>
        <v/>
      </c>
      <c r="AY33" s="77">
        <f>AS33+AU33+AV33</f>
        <v/>
      </c>
      <c r="AZ33" s="77">
        <f>BC33+BE33+BG33+BI33+BK33</f>
        <v/>
      </c>
      <c r="BA33" s="76">
        <f>AX33+BB33</f>
        <v/>
      </c>
      <c r="BB33" s="77">
        <f>BD33+BF33+BH33+BJ33+BL33</f>
        <v/>
      </c>
      <c r="BC33" s="77">
        <f>COUNTIF(A33:AH33,"*$BTP*")</f>
        <v/>
      </c>
      <c r="BD33" s="77">
        <f>BC33*1.5</f>
        <v/>
      </c>
      <c r="BE33" s="77">
        <f>COUNTIF(A33:AH33,"*$M*")</f>
        <v/>
      </c>
      <c r="BF33" s="77">
        <f>BE33*1</f>
        <v/>
      </c>
      <c r="BG33" s="77">
        <f>COUNTIF(A33:AH33,"*$PM*")</f>
        <v/>
      </c>
      <c r="BH33" s="77">
        <f>BG33*0.5</f>
        <v/>
      </c>
      <c r="BI33" s="77">
        <f>COUNTIF(A33:AH33,"*$AM*")</f>
        <v/>
      </c>
      <c r="BJ33" s="77">
        <f>BI33*0.5</f>
        <v/>
      </c>
      <c r="BK33" s="77">
        <f>COUNTIF(A33:AH33,"*$FC*")</f>
        <v/>
      </c>
      <c r="BL33" s="77">
        <f>BK33*1</f>
        <v/>
      </c>
      <c r="BM33" s="77">
        <f>COUNTIF($D33:$Z33,BM$4)</f>
        <v/>
      </c>
      <c r="BN33" s="77">
        <f>COUNTIF($D33:$Z33,BN$4)</f>
        <v/>
      </c>
      <c r="BO33" s="77">
        <f>COUNTIF($D33:$Z33,BO$4)</f>
        <v/>
      </c>
      <c r="BP33" s="67" t="n"/>
    </row>
    <row r="34" ht="19.5" customHeight="1">
      <c r="A34" s="67" t="n"/>
      <c r="B34" s="76" t="inlineStr">
        <is>
          <t>LCP TRAN MINH KHOA</t>
        </is>
      </c>
      <c r="D34" s="53" t="inlineStr">
        <is>
          <t>P $AM ER</t>
        </is>
      </c>
      <c r="E34" s="60" t="inlineStr">
        <is>
          <t>DM</t>
        </is>
      </c>
      <c r="F34" s="60" t="n"/>
      <c r="G34" s="60" t="n"/>
      <c r="H34" s="60" t="inlineStr">
        <is>
          <t>APS</t>
        </is>
      </c>
      <c r="I34" s="60" t="n"/>
      <c r="K34" s="60" t="inlineStr">
        <is>
          <t>COMPONENT TRAINING</t>
        </is>
      </c>
      <c r="L34" s="53" t="n"/>
      <c r="M34" s="60" t="inlineStr">
        <is>
          <t>DM</t>
        </is>
      </c>
      <c r="N34" s="60" t="n"/>
      <c r="O34" s="60" t="inlineStr">
        <is>
          <t>MSP REHEARSAL</t>
        </is>
      </c>
      <c r="P34" s="60" t="inlineStr">
        <is>
          <t>MSP REHEARSAL</t>
        </is>
      </c>
      <c r="Q34" s="60" t="n"/>
      <c r="R34" s="53" t="n"/>
      <c r="S34" s="53" t="inlineStr">
        <is>
          <t>MSP</t>
        </is>
      </c>
      <c r="T34" s="53" t="n"/>
      <c r="U34" s="60" t="n"/>
      <c r="V34" s="53" t="inlineStr">
        <is>
          <t>DM</t>
        </is>
      </c>
      <c r="W34" s="53" t="n"/>
      <c r="Z34" s="53" t="n"/>
      <c r="AA34" s="60" t="n"/>
      <c r="AB34" s="60" t="inlineStr">
        <is>
          <t>DM</t>
        </is>
      </c>
      <c r="AC34" s="155" t="n"/>
      <c r="AD34" s="155" t="n"/>
      <c r="AE34" s="78" t="inlineStr">
        <is>
          <t>OUTFIELD RESERVE</t>
        </is>
      </c>
      <c r="AF34" s="60" t="inlineStr">
        <is>
          <t>OUTFIELD RESERVE</t>
        </is>
      </c>
      <c r="AG34" s="60" t="inlineStr">
        <is>
          <t>CS1</t>
        </is>
      </c>
      <c r="AH34" s="67">
        <f>COUNTIF($C34:$AF34,AH$4)</f>
        <v/>
      </c>
      <c r="AI34" s="67">
        <f>COUNTIF($C34:$AF34,AI$4)</f>
        <v/>
      </c>
      <c r="AJ34" s="67">
        <f>COUNTIF($C34:$AF34,AJ$4)</f>
        <v/>
      </c>
      <c r="AK34" s="67">
        <f>COUNTIF($C34:$AF34,AK$4)</f>
        <v/>
      </c>
      <c r="AL34" s="67">
        <f>COUNTIF($C34:$AF34,AL$4)</f>
        <v/>
      </c>
      <c r="AM34" s="67">
        <f>COUNTIF($C34:$AF34,AM$4)</f>
        <v/>
      </c>
      <c r="AN34" s="67">
        <f>COUNTIF($C34:$AF34,AN$4)</f>
        <v/>
      </c>
      <c r="AO34" s="67">
        <f>COUNTIF($C34:$AF34,AO$4)</f>
        <v/>
      </c>
      <c r="AP34" s="67">
        <f>COUNTIF($C34:$AF34,AP$4)</f>
        <v/>
      </c>
      <c r="AQ34" s="76" t="n">
        <v>0</v>
      </c>
      <c r="AR34" s="76" t="n"/>
      <c r="AS34" s="77">
        <f>SUMPRODUCT(--(WEEKDAY(C$3:AG$3,2)&lt;5),--ISNUMBER(MATCH(C34:AG34,{"DM","CS1","CS2","SB1","AE","CS/B"},0)))</f>
        <v/>
      </c>
      <c r="AT34" s="67" t="n"/>
      <c r="AU34" s="77">
        <f>SUMPRODUCT(--(WEEKDAY(C$3:AG$3,2)=5),--ISNUMBER(MATCH(C34:AG34,{"DM","CS1","CS2","SB1","AE","CS/B","WEEKEND OUTFIELD RESERVE"},0)))</f>
        <v/>
      </c>
      <c r="AV34" s="77">
        <f>SUMPRODUCT(--(WEEKDAY(C$3:AG$3,2)&gt;5),--ISNUMBER(MATCH(C34:AG34,{"DM","CS1","CS2","SB1","AE","CS/B","WEEKEND OUTFIELD RESERVE"},0)))</f>
        <v/>
      </c>
      <c r="AW34" s="67" t="n"/>
      <c r="AX34" s="77">
        <f>(AS34-AT34)+AU34*1.5+(AV34-AW34)*2+AM34*0.5+AO34*0.5+AQ34-AR34</f>
        <v/>
      </c>
      <c r="AY34" s="77">
        <f>AS34+AU34+AV34</f>
        <v/>
      </c>
      <c r="AZ34" s="77">
        <f>BC34+BE34+BG34+BI34+BK34</f>
        <v/>
      </c>
      <c r="BA34" s="76">
        <f>AX34+BB34</f>
        <v/>
      </c>
      <c r="BB34" s="77">
        <f>BD34+BF34+BH34+BJ34+BL34</f>
        <v/>
      </c>
      <c r="BC34" s="77">
        <f>COUNTIF(A34:AH34,"*$BTP*")</f>
        <v/>
      </c>
      <c r="BD34" s="77">
        <f>BC34*1.5</f>
        <v/>
      </c>
      <c r="BE34" s="77">
        <f>COUNTIF(A34:AH34,"*$M*")</f>
        <v/>
      </c>
      <c r="BF34" s="77">
        <f>BE34*1</f>
        <v/>
      </c>
      <c r="BG34" s="77">
        <f>COUNTIF(A34:AH34,"*$PM*")</f>
        <v/>
      </c>
      <c r="BH34" s="77">
        <f>BG34*0.5</f>
        <v/>
      </c>
      <c r="BI34" s="77">
        <f>COUNTIF(A34:AH34,"*$AM*")</f>
        <v/>
      </c>
      <c r="BJ34" s="77">
        <f>BI34*0.5</f>
        <v/>
      </c>
      <c r="BK34" s="77">
        <f>COUNTIF(A34:AH34,"*$FC*")</f>
        <v/>
      </c>
      <c r="BL34" s="77">
        <f>BK34*1</f>
        <v/>
      </c>
      <c r="BM34" s="77">
        <f>COUNTIF($H34:$AA34,BM$4)</f>
        <v/>
      </c>
      <c r="BN34" s="77">
        <f>COUNTIF($H34:$AA34,BN$4)</f>
        <v/>
      </c>
      <c r="BO34" s="77">
        <f>COUNTIF($H34:$AA34,BO$4)</f>
        <v/>
      </c>
      <c r="BP34" s="67" t="n"/>
    </row>
    <row r="35" ht="51.75" customHeight="1">
      <c r="A35" s="67" t="n"/>
      <c r="B35" s="76" t="inlineStr">
        <is>
          <t xml:space="preserve">LCP STEPHEN TAY </t>
        </is>
      </c>
      <c r="C35" s="60" t="n"/>
      <c r="D35" s="60" t="n"/>
      <c r="E35" s="60" t="inlineStr">
        <is>
          <t>SB1</t>
        </is>
      </c>
      <c r="F35" s="53" t="n"/>
      <c r="G35" s="60" t="n"/>
      <c r="H35" s="60" t="inlineStr">
        <is>
          <t>APS</t>
        </is>
      </c>
      <c r="I35" s="60" t="inlineStr">
        <is>
          <t>CS1</t>
        </is>
      </c>
      <c r="J35" s="60" t="n"/>
      <c r="K35" s="60" t="inlineStr">
        <is>
          <t>SB2</t>
        </is>
      </c>
      <c r="L35" s="60" t="n"/>
      <c r="M35" s="60" t="n"/>
      <c r="N35" s="60" t="n"/>
      <c r="O35" s="60" t="inlineStr">
        <is>
          <t>AE</t>
        </is>
      </c>
      <c r="P35" s="60" t="n"/>
      <c r="Q35" s="53" t="inlineStr">
        <is>
          <t>RESERVE</t>
        </is>
      </c>
      <c r="R35" s="60" t="n"/>
      <c r="S35" s="60" t="inlineStr">
        <is>
          <t>SB2</t>
        </is>
      </c>
      <c r="T35" s="60" t="n"/>
      <c r="U35" s="53" t="n"/>
      <c r="V35" s="53" t="inlineStr">
        <is>
          <t>AE</t>
        </is>
      </c>
      <c r="W35" s="53" t="n"/>
      <c r="X35" s="53" t="n"/>
      <c r="Y35" s="60" t="inlineStr">
        <is>
          <t>RESERVE</t>
        </is>
      </c>
      <c r="Z35" s="60" t="n"/>
      <c r="AA35" s="60" t="n"/>
      <c r="AB35" s="60" t="inlineStr">
        <is>
          <t>AE</t>
        </is>
      </c>
      <c r="AC35" s="90" t="n"/>
      <c r="AD35" s="90" t="n"/>
      <c r="AE35" s="83" t="inlineStr">
        <is>
          <t>AMPT</t>
        </is>
      </c>
      <c r="AF35" s="60" t="n"/>
      <c r="AH35" s="67">
        <f>COUNTIF($C35:$AF35,AH$4)</f>
        <v/>
      </c>
      <c r="AI35" s="67">
        <f>COUNTIF($C35:$AF35,AI$4)</f>
        <v/>
      </c>
      <c r="AJ35" s="67">
        <f>COUNTIF($C35:$AF35,AJ$4)</f>
        <v/>
      </c>
      <c r="AK35" s="67">
        <f>COUNTIF($C35:$AF35,AK$4)</f>
        <v/>
      </c>
      <c r="AL35" s="67">
        <f>COUNTIF($C35:$AF35,AL$4)</f>
        <v/>
      </c>
      <c r="AM35" s="67">
        <f>COUNTIF($C35:$AF35,AM$4)</f>
        <v/>
      </c>
      <c r="AN35" s="67">
        <f>COUNTIF($C35:$AF35,AN$4)</f>
        <v/>
      </c>
      <c r="AO35" s="67">
        <f>COUNTIF($C35:$AF35,AO$4)</f>
        <v/>
      </c>
      <c r="AP35" s="67">
        <f>COUNTIF($C35:$AF35,AP$4)</f>
        <v/>
      </c>
      <c r="AQ35" s="76" t="n">
        <v>1.5</v>
      </c>
      <c r="AR35" s="76" t="n"/>
      <c r="AS35" s="77">
        <f>SUMPRODUCT(--(WEEKDAY(C$3:AG$3,2)&lt;5),--ISNUMBER(MATCH(C35:AG35,{"DM","CS1","CS2","SB1","AE","CS/B"},0)))</f>
        <v/>
      </c>
      <c r="AT35" s="67" t="n"/>
      <c r="AU35" s="77">
        <f>SUMPRODUCT(--(WEEKDAY(C$3:AG$3,2)=5),--ISNUMBER(MATCH(C35:AG35,{"DM","CS1","CS2","SB1","AE","CS/B","WEEKEND OUTFIELD RESERVE"},0)))</f>
        <v/>
      </c>
      <c r="AV35" s="77">
        <f>SUMPRODUCT(--(WEEKDAY(C$3:AG$3,2)&gt;5),--ISNUMBER(MATCH(C35:AG35,{"DM","CS1","CS2","SB1","AE","CS/B","WEEKEND OUTFIELD RESERVE"},0)))</f>
        <v/>
      </c>
      <c r="AW35" s="67" t="n"/>
      <c r="AX35" s="77">
        <f>(AS35-AT35)+AU35*1.5+(AV35-AW35)*2+AM35*0.5+AO35*0.5+AQ35-AR35</f>
        <v/>
      </c>
      <c r="AY35" s="77">
        <f>AS35+AU35+AV35</f>
        <v/>
      </c>
      <c r="AZ35" s="77">
        <f>BC35+BE35+BG35+BI35+BK35</f>
        <v/>
      </c>
      <c r="BA35" s="76">
        <f>AX35+BB35</f>
        <v/>
      </c>
      <c r="BB35" s="77">
        <f>BD35+BF35+BH35+BJ35+BL35</f>
        <v/>
      </c>
      <c r="BC35" s="77">
        <f>COUNTIF(A35:AH35,"*$BTP*")</f>
        <v/>
      </c>
      <c r="BD35" s="77">
        <f>BC35*1.5</f>
        <v/>
      </c>
      <c r="BE35" s="77">
        <f>COUNTIF(A35:AH35,"*$M*")</f>
        <v/>
      </c>
      <c r="BF35" s="77">
        <f>BE35*1</f>
        <v/>
      </c>
      <c r="BG35" s="77">
        <f>COUNTIF(A35:AH35,"*$PM*")</f>
        <v/>
      </c>
      <c r="BH35" s="77">
        <f>BG35*0.5</f>
        <v/>
      </c>
      <c r="BI35" s="77">
        <f>COUNTIF(A35:AH35,"*$AM*")</f>
        <v/>
      </c>
      <c r="BJ35" s="77">
        <f>BI35*0.5</f>
        <v/>
      </c>
      <c r="BK35" s="77">
        <f>COUNTIF(A35:AH35,"*$FC*")</f>
        <v/>
      </c>
      <c r="BL35" s="77">
        <f>BK35*1</f>
        <v/>
      </c>
      <c r="BM35" s="77">
        <f>COUNTIF($D35:$Z35,BM$4)</f>
        <v/>
      </c>
      <c r="BN35" s="77">
        <f>COUNTIF($D35:$Z35,BN$4)</f>
        <v/>
      </c>
      <c r="BO35" s="77">
        <f>COUNTIF($D35:$Z35,BO$4)</f>
        <v/>
      </c>
      <c r="BP35" s="67" t="n"/>
    </row>
    <row r="36" ht="19.5" customHeight="1">
      <c r="A36" s="67" t="n"/>
      <c r="B36" s="76" t="inlineStr">
        <is>
          <t xml:space="preserve">LCP EDWARD GAN BOON WEI </t>
        </is>
      </c>
      <c r="C36" s="60" t="inlineStr">
        <is>
          <t>K $PM ER (1530-2000)</t>
        </is>
      </c>
      <c r="D36" s="53" t="inlineStr">
        <is>
          <t>K $AM IPPT (0500-1100)</t>
        </is>
      </c>
      <c r="E36" s="60" t="inlineStr">
        <is>
          <t>CS2</t>
        </is>
      </c>
      <c r="F36" s="60" t="n"/>
      <c r="G36" s="60" t="n"/>
      <c r="H36" s="60" t="n"/>
      <c r="I36" s="60" t="inlineStr">
        <is>
          <t>SB2</t>
        </is>
      </c>
      <c r="J36" s="60" t="inlineStr">
        <is>
          <t>K $BTP (0515-2359)</t>
        </is>
      </c>
      <c r="K36" s="60" t="n"/>
      <c r="L36" s="60" t="inlineStr">
        <is>
          <t>RESERVE</t>
        </is>
      </c>
      <c r="M36" s="60" t="n"/>
      <c r="N36" s="53" t="n"/>
      <c r="O36" s="60" t="inlineStr">
        <is>
          <t>CS1</t>
        </is>
      </c>
      <c r="P36" s="78" t="inlineStr">
        <is>
          <t>K $PM PERM SOC (1530-2000)</t>
        </is>
      </c>
      <c r="Q36" s="60" t="n"/>
      <c r="R36" s="60" t="n"/>
      <c r="S36" s="60" t="n"/>
      <c r="T36" s="60" t="inlineStr">
        <is>
          <t>SB1</t>
        </is>
      </c>
      <c r="U36" s="60" t="n"/>
      <c r="V36" s="53" t="n"/>
      <c r="W36" s="60" t="inlineStr">
        <is>
          <t>A $M HG (0530-2000)</t>
        </is>
      </c>
      <c r="X36" s="53" t="n"/>
      <c r="Y36" s="60" t="inlineStr">
        <is>
          <t>AL</t>
        </is>
      </c>
      <c r="Z36" s="60" t="inlineStr">
        <is>
          <t>AL</t>
        </is>
      </c>
      <c r="AA36" s="60" t="n"/>
      <c r="AB36" s="60" t="n"/>
      <c r="AC36" s="155" t="n"/>
      <c r="AD36" s="92" t="inlineStr">
        <is>
          <t>A $BTP (0530-2359)</t>
        </is>
      </c>
      <c r="AF36" s="136" t="inlineStr">
        <is>
          <t>P $BTP (0500-2359)</t>
        </is>
      </c>
      <c r="AH36" s="67">
        <f>COUNTIF($C36:$AF36,AH$4)</f>
        <v/>
      </c>
      <c r="AI36" s="67">
        <f>COUNTIF($C36:$AF36,AI$4)</f>
        <v/>
      </c>
      <c r="AJ36" s="67">
        <f>COUNTIF($C36:$AF36,AJ$4)</f>
        <v/>
      </c>
      <c r="AK36" s="67">
        <f>COUNTIF($C36:$AF36,AK$4)</f>
        <v/>
      </c>
      <c r="AL36" s="67">
        <f>COUNTIF($C36:$AF36,AL$4)</f>
        <v/>
      </c>
      <c r="AM36" s="67">
        <f>COUNTIF($C36:$AF36,AM$4)</f>
        <v/>
      </c>
      <c r="AN36" s="67">
        <f>COUNTIF($C36:$AF36,AN$4)</f>
        <v/>
      </c>
      <c r="AO36" s="67">
        <f>COUNTIF($C36:$AF36,AO$4)</f>
        <v/>
      </c>
      <c r="AP36" s="67">
        <f>COUNTIF($C36:$AF36,AP$4)</f>
        <v/>
      </c>
      <c r="AQ36" s="76" t="n"/>
      <c r="AR36" s="76" t="n">
        <v>0.5</v>
      </c>
      <c r="AS36" s="77">
        <f>SUMPRODUCT(--(WEEKDAY(C$3:AG$3,2)&lt;5),--ISNUMBER(MATCH(C36:AG36,{"DM","CS1","CS2","SB1","AE","CS/B"},0)))</f>
        <v/>
      </c>
      <c r="AT36" s="67" t="n"/>
      <c r="AU36" s="77">
        <f>SUMPRODUCT(--(WEEKDAY(C$3:AG$3,2)=5),--ISNUMBER(MATCH(C36:AG36,{"DM","CS1","CS2","SB1","AE","CS/B","WEEKEND OUTFIELD RESERVE"},0)))</f>
        <v/>
      </c>
      <c r="AV36" s="77">
        <f>SUMPRODUCT(--(WEEKDAY(C$3:AG$3,2)&gt;5),--ISNUMBER(MATCH(C36:AG36,{"DM","CS1","CS2","SB1","AE","CS/B","WEEKEND OUTFIELD RESERVE"},0)))</f>
        <v/>
      </c>
      <c r="AW36" s="67" t="n"/>
      <c r="AX36" s="77">
        <f>(AS36-AT36)+AU36*1.5+(AV36-AW36)*2+AM36*0.5+AO36*0.5+AQ36-AR36</f>
        <v/>
      </c>
      <c r="AY36" s="77">
        <f>AS36+AU36+AV36</f>
        <v/>
      </c>
      <c r="AZ36" s="77">
        <f>BC36+BE36+BG36+BI36+BK36</f>
        <v/>
      </c>
      <c r="BA36" s="76">
        <f>AX36+BB36</f>
        <v/>
      </c>
      <c r="BB36" s="77">
        <f>BD36+BF36+BH36+BJ36+BL36</f>
        <v/>
      </c>
      <c r="BC36" s="77">
        <f>COUNTIF(A36:AH36,"*$BTP*")</f>
        <v/>
      </c>
      <c r="BD36" s="77">
        <f>BC36*1.5</f>
        <v/>
      </c>
      <c r="BE36" s="77">
        <f>COUNTIF(A36:AH36,"*$M*")</f>
        <v/>
      </c>
      <c r="BF36" s="77">
        <f>BE36*1</f>
        <v/>
      </c>
      <c r="BG36" s="77">
        <f>COUNTIF(A36:AH36,"*$PM*")</f>
        <v/>
      </c>
      <c r="BH36" s="77">
        <f>BG36*0.5</f>
        <v/>
      </c>
      <c r="BI36" s="77">
        <f>COUNTIF(A36:AH36,"*$AM*")</f>
        <v/>
      </c>
      <c r="BJ36" s="77">
        <f>BI36*0.5</f>
        <v/>
      </c>
      <c r="BK36" s="77">
        <f>COUNTIF(A36:AH36,"*$FC*")</f>
        <v/>
      </c>
      <c r="BL36" s="77">
        <f>BK36*1</f>
        <v/>
      </c>
      <c r="BM36" s="77">
        <f>COUNTIF($D36:$AA36,BM$4)</f>
        <v/>
      </c>
      <c r="BN36" s="77">
        <f>COUNTIF($D36:$AA36,BN$4)</f>
        <v/>
      </c>
      <c r="BO36" s="77">
        <f>COUNTIF($D36:$AA36,BO$4)</f>
        <v/>
      </c>
      <c r="BP36" s="67" t="n"/>
    </row>
    <row r="37" ht="19.5" customHeight="1">
      <c r="A37" s="67" t="n"/>
      <c r="B37" s="76" t="inlineStr">
        <is>
          <t>LCP RAIYAN ZUFAYRI BIN MOHAMAD HELMY</t>
        </is>
      </c>
      <c r="C37" s="53" t="inlineStr">
        <is>
          <t>CS2</t>
        </is>
      </c>
      <c r="D37" s="53" t="n"/>
      <c r="E37" s="60" t="n"/>
      <c r="F37" s="60" t="inlineStr">
        <is>
          <t>SB1</t>
        </is>
      </c>
      <c r="G37" s="60" t="n"/>
      <c r="H37" s="60" t="inlineStr">
        <is>
          <t>CS/B</t>
        </is>
      </c>
      <c r="I37" s="53" t="n"/>
      <c r="J37" s="60" t="inlineStr">
        <is>
          <t>SB2</t>
        </is>
      </c>
      <c r="K37" s="60" t="inlineStr">
        <is>
          <t>COVER RESERVE</t>
        </is>
      </c>
      <c r="L37" s="60" t="n"/>
      <c r="M37" s="53" t="inlineStr">
        <is>
          <t>B $M ISAD (0600-2000)</t>
        </is>
      </c>
      <c r="N37" s="60" t="n"/>
      <c r="O37" s="53" t="n"/>
      <c r="P37" s="53" t="inlineStr">
        <is>
          <t>SB1</t>
        </is>
      </c>
      <c r="Q37" s="60" t="n"/>
      <c r="R37" s="60" t="n"/>
      <c r="S37" s="60" t="inlineStr">
        <is>
          <t>AE</t>
        </is>
      </c>
      <c r="T37" s="60" t="n"/>
      <c r="U37" s="53" t="n"/>
      <c r="W37" s="53" t="inlineStr">
        <is>
          <t>SB1</t>
        </is>
      </c>
      <c r="X37" s="60" t="inlineStr">
        <is>
          <t>COVER RESERVE</t>
        </is>
      </c>
      <c r="Y37" s="60" t="n"/>
      <c r="Z37" s="60" t="inlineStr">
        <is>
          <t>OL</t>
        </is>
      </c>
      <c r="AA37" s="53" t="inlineStr">
        <is>
          <t>OL</t>
        </is>
      </c>
      <c r="AB37" s="53" t="inlineStr">
        <is>
          <t>OL</t>
        </is>
      </c>
      <c r="AC37" s="90" t="n"/>
      <c r="AD37" s="75" t="inlineStr">
        <is>
          <t>COVER RESERVE</t>
        </is>
      </c>
      <c r="AE37" s="79" t="n"/>
      <c r="AG37" s="60" t="n"/>
      <c r="AH37" s="67">
        <f>COUNTIF($C37:$AF37,AH$4)</f>
        <v/>
      </c>
      <c r="AI37" s="67">
        <f>COUNTIF($C37:$AF37,AI$4)</f>
        <v/>
      </c>
      <c r="AJ37" s="67">
        <f>COUNTIF($C37:$AF37,AJ$4)</f>
        <v/>
      </c>
      <c r="AK37" s="67">
        <f>COUNTIF($C37:$AF37,AK$4)</f>
        <v/>
      </c>
      <c r="AL37" s="67">
        <f>COUNTIF($C37:$AF37,AL$4)</f>
        <v/>
      </c>
      <c r="AM37" s="67">
        <f>COUNTIF($C37:$AF37,AM$4)</f>
        <v/>
      </c>
      <c r="AN37" s="67">
        <f>COUNTIF($C37:$AF37,AN$4)</f>
        <v/>
      </c>
      <c r="AO37" s="67">
        <f>COUNTIF($C37:$AF37,AO$4)</f>
        <v/>
      </c>
      <c r="AP37" s="67">
        <f>COUNTIF($C37:$AF37,AP$4)</f>
        <v/>
      </c>
      <c r="AQ37" s="76" t="n">
        <v>0</v>
      </c>
      <c r="AR37" s="76" t="n"/>
      <c r="AS37" s="77">
        <f>SUMPRODUCT(--(WEEKDAY(C$3:AG$3,2)&lt;5),--ISNUMBER(MATCH(C37:AG37,{"DM","CS1","CS2","SB1","AE","CS/B"},0)))</f>
        <v/>
      </c>
      <c r="AT37" s="67" t="n"/>
      <c r="AU37" s="77">
        <f>SUMPRODUCT(--(WEEKDAY(C$3:AG$3,2)=5),--ISNUMBER(MATCH(C37:AG37,{"DM","CS1","CS2","SB1","AE","CS/B","WEEKEND OUTFIELD RESERVE"},0)))</f>
        <v/>
      </c>
      <c r="AV37" s="77">
        <f>SUMPRODUCT(--(WEEKDAY(C$3:AG$3,2)&gt;5),--ISNUMBER(MATCH(C37:AG37,{"DM","CS1","CS2","SB1","AE","CS/B","WEEKEND OUTFIELD RESERVE"},0)))</f>
        <v/>
      </c>
      <c r="AW37" s="67" t="n"/>
      <c r="AX37" s="77">
        <f>(AS37-AT37)+AU37*1.5+(AV37-AW37)*2+AM37*0.5+AO37*0.5+AQ37-AR37</f>
        <v/>
      </c>
      <c r="AY37" s="77">
        <f>AS37+AU37+AV37</f>
        <v/>
      </c>
      <c r="AZ37" s="77">
        <f>BC37+BE37+BG37+BI37+BK37</f>
        <v/>
      </c>
      <c r="BA37" s="76">
        <f>AX37+BB37</f>
        <v/>
      </c>
      <c r="BB37" s="77">
        <f>BD37+BF37+BH37+BJ37+BL37</f>
        <v/>
      </c>
      <c r="BC37" s="77">
        <f>COUNTIF(A37:AH37,"*$BTP*")</f>
        <v/>
      </c>
      <c r="BD37" s="77">
        <f>BC37*1.5</f>
        <v/>
      </c>
      <c r="BE37" s="77">
        <f>COUNTIF(A37:AH37,"*$M*")</f>
        <v/>
      </c>
      <c r="BF37" s="77">
        <f>BE37*1</f>
        <v/>
      </c>
      <c r="BG37" s="77">
        <f>COUNTIF(A37:AH37,"*$PM*")</f>
        <v/>
      </c>
      <c r="BH37" s="77">
        <f>BG37*0.5</f>
        <v/>
      </c>
      <c r="BI37" s="77">
        <f>COUNTIF(A37:AH37,"*$AM*")</f>
        <v/>
      </c>
      <c r="BJ37" s="77">
        <f>BI37*0.5</f>
        <v/>
      </c>
      <c r="BK37" s="77">
        <f>COUNTIF(A37:AH37,"*$FC*")</f>
        <v/>
      </c>
      <c r="BL37" s="77">
        <f>BK37*1</f>
        <v/>
      </c>
      <c r="BM37" s="77">
        <f>COUNTIF($D37:$Y37,BM$4)</f>
        <v/>
      </c>
      <c r="BN37" s="77">
        <f>COUNTIF($D37:$Y37,BN$4)</f>
        <v/>
      </c>
      <c r="BO37" s="77">
        <f>COUNTIF($D37:$Y37,BO$4)</f>
        <v/>
      </c>
      <c r="BP37" s="67" t="n"/>
    </row>
    <row r="38" ht="19.5" customHeight="1">
      <c r="A38" s="67" t="n"/>
      <c r="B38" s="76" t="inlineStr">
        <is>
          <t>LCP CHOA ZONGHAN ETIENNE</t>
        </is>
      </c>
      <c r="C38" s="60" t="n"/>
      <c r="D38" s="53" t="n"/>
      <c r="E38" s="60" t="n"/>
      <c r="F38" s="60" t="n"/>
      <c r="G38" s="60" t="n"/>
      <c r="H38" s="53" t="inlineStr">
        <is>
          <t>CS1</t>
        </is>
      </c>
      <c r="I38" s="53" t="n"/>
      <c r="J38" s="60" t="inlineStr">
        <is>
          <t>SB1</t>
        </is>
      </c>
      <c r="K38" s="60" t="n"/>
      <c r="L38" s="60" t="inlineStr">
        <is>
          <t>SB2</t>
        </is>
      </c>
      <c r="M38" s="53" t="n"/>
      <c r="N38" s="60" t="inlineStr">
        <is>
          <t>S $M ISAD (0500-1730)</t>
        </is>
      </c>
      <c r="P38" s="60" t="inlineStr">
        <is>
          <t>C $BTP (0530-2359)</t>
        </is>
      </c>
      <c r="Q38" s="60" t="n"/>
      <c r="R38" s="60" t="n"/>
      <c r="S38" s="60" t="inlineStr">
        <is>
          <t>5th $PM CC (1630-1820)</t>
        </is>
      </c>
      <c r="T38" s="60" t="n"/>
      <c r="U38" s="60" t="n"/>
      <c r="V38" s="60" t="inlineStr">
        <is>
          <t>CS1</t>
        </is>
      </c>
      <c r="X38" s="60" t="inlineStr">
        <is>
          <t>RESERVE</t>
        </is>
      </c>
      <c r="Z38" s="53" t="n"/>
      <c r="AA38" s="53" t="n"/>
      <c r="AB38" s="60" t="n"/>
      <c r="AC38" s="94" t="inlineStr">
        <is>
          <t>S $FC</t>
        </is>
      </c>
      <c r="AD38" s="94" t="inlineStr">
        <is>
          <t>S $FC</t>
        </is>
      </c>
      <c r="AE38" s="95" t="inlineStr">
        <is>
          <t>S $FC</t>
        </is>
      </c>
      <c r="AF38" s="60" t="inlineStr">
        <is>
          <t>S $FC</t>
        </is>
      </c>
      <c r="AG38" s="60" t="inlineStr">
        <is>
          <t>S $FC</t>
        </is>
      </c>
      <c r="AH38" s="67">
        <f>COUNTIF($C38:$AB38,AH$4)</f>
        <v/>
      </c>
      <c r="AI38" s="67">
        <f>COUNTIF($C38:$AB38,AI$4)</f>
        <v/>
      </c>
      <c r="AJ38" s="67">
        <f>COUNTIF($C38:$AB38,AJ$4)</f>
        <v/>
      </c>
      <c r="AK38" s="67">
        <f>COUNTIF($C38:$AB38,AK$4)</f>
        <v/>
      </c>
      <c r="AL38" s="67">
        <f>COUNTIF($C38:$AB38,AL$4)</f>
        <v/>
      </c>
      <c r="AM38" s="67">
        <f>COUNTIF($C38:$AB38,AM$4)</f>
        <v/>
      </c>
      <c r="AN38" s="67">
        <f>COUNTIF($C38:$AB38,AN$4)</f>
        <v/>
      </c>
      <c r="AO38" s="67">
        <f>COUNTIF($C38:$AB38,AO$4)</f>
        <v/>
      </c>
      <c r="AP38" s="67">
        <f>COUNTIF($C38:$AB38,AP$4)</f>
        <v/>
      </c>
      <c r="AQ38" s="76" t="n"/>
      <c r="AR38" s="76" t="n">
        <v>0.5</v>
      </c>
      <c r="AS38" s="77">
        <f>SUMPRODUCT(--(WEEKDAY(C$3:AG$3,2)&lt;5),--ISNUMBER(MATCH(C38:AG38,{"DM","CS1","CS2","SB1","AE","CS/B"},0)))</f>
        <v/>
      </c>
      <c r="AT38" s="67" t="n"/>
      <c r="AU38" s="77">
        <f>SUMPRODUCT(--(WEEKDAY(C$3:AG$3,2)=5),--ISNUMBER(MATCH(C38:AG38,{"DM","CS1","CS2","SB1","AE","CS/B","WEEKEND OUTFIELD RESERVE"},0)))</f>
        <v/>
      </c>
      <c r="AV38" s="77">
        <f>SUMPRODUCT(--(WEEKDAY(C$3:AG$3,2)&gt;5),--ISNUMBER(MATCH(C38:AG38,{"DM","CS1","CS2","SB1","AE","CS/B","WEEKEND OUTFIELD RESERVE"},0)))</f>
        <v/>
      </c>
      <c r="AW38" s="67" t="n"/>
      <c r="AX38" s="77">
        <f>(AS38-AT38)+AU38*1.5+(AV38-AW38)*2+AM38*0.5+AO38*0.5+AQ38-AR38</f>
        <v/>
      </c>
      <c r="AY38" s="77">
        <f>AS38+AU38+AV38</f>
        <v/>
      </c>
      <c r="AZ38" s="77">
        <f>BC38+BE38+BG38+BI38+BK38</f>
        <v/>
      </c>
      <c r="BA38" s="76">
        <f>AX38+BB38</f>
        <v/>
      </c>
      <c r="BB38" s="77">
        <f>BD38+BF38+BH38+BJ38+BL38</f>
        <v/>
      </c>
      <c r="BC38" s="77">
        <f>COUNTIF(A38:AH38,"*$BTP*")</f>
        <v/>
      </c>
      <c r="BD38" s="77">
        <f>BC38*1.5</f>
        <v/>
      </c>
      <c r="BE38" s="77">
        <f>COUNTIF(A38:AH38,"*$M*")</f>
        <v/>
      </c>
      <c r="BF38" s="77">
        <f>BE38*1</f>
        <v/>
      </c>
      <c r="BG38" s="77">
        <f>COUNTIF(A38:AH38,"*$PM*")</f>
        <v/>
      </c>
      <c r="BH38" s="77">
        <f>BG38*0.5</f>
        <v/>
      </c>
      <c r="BI38" s="77">
        <f>COUNTIF(A38:AH38,"*$AM*")</f>
        <v/>
      </c>
      <c r="BJ38" s="77">
        <f>BI38*0.5</f>
        <v/>
      </c>
      <c r="BK38" s="77">
        <f>COUNTIF(A38:AH38,"*$FC*")</f>
        <v/>
      </c>
      <c r="BL38" s="77">
        <f>BK38*1</f>
        <v/>
      </c>
      <c r="BM38" s="77">
        <f>COUNTIF($D38:$Z38,BM$4)</f>
        <v/>
      </c>
      <c r="BN38" s="77">
        <f>COUNTIF($D38:$Z38,BN$4)</f>
        <v/>
      </c>
      <c r="BO38" s="77">
        <f>COUNTIF($D38:$Z38,BO$4)</f>
        <v/>
      </c>
      <c r="BP38" s="67" t="n"/>
    </row>
    <row r="39" ht="19.5" customHeight="1">
      <c r="A39" s="67" t="n"/>
      <c r="B39" s="76" t="inlineStr">
        <is>
          <t>LCP SHLOK PUROHIT</t>
        </is>
      </c>
      <c r="D39" s="53" t="inlineStr">
        <is>
          <t>CS1</t>
        </is>
      </c>
      <c r="E39" s="60" t="n"/>
      <c r="F39" s="60" t="n"/>
      <c r="G39" s="60" t="inlineStr">
        <is>
          <t>CS/B</t>
        </is>
      </c>
      <c r="I39" s="53" t="n"/>
      <c r="J39" s="60" t="inlineStr">
        <is>
          <t>CS2</t>
        </is>
      </c>
      <c r="K39" s="60" t="n"/>
      <c r="L39" s="60" t="n"/>
      <c r="M39" s="60" t="n"/>
      <c r="N39" s="60" t="inlineStr">
        <is>
          <t>CS/B</t>
        </is>
      </c>
      <c r="O39" s="53" t="n"/>
      <c r="Q39" s="53" t="n"/>
      <c r="R39" s="53" t="inlineStr">
        <is>
          <t>C $AM IPPT (0530-1100)</t>
        </is>
      </c>
      <c r="S39" s="60" t="inlineStr">
        <is>
          <t>CS1</t>
        </is>
      </c>
      <c r="T39" s="53" t="n"/>
      <c r="U39" s="53" t="n"/>
      <c r="V39" s="53" t="n"/>
      <c r="W39" s="60" t="inlineStr">
        <is>
          <t>CS2</t>
        </is>
      </c>
      <c r="Y39" s="60" t="inlineStr">
        <is>
          <t>CS/B</t>
        </is>
      </c>
      <c r="Z39" s="60" t="inlineStr">
        <is>
          <t>COVER RESERVE</t>
        </is>
      </c>
      <c r="AA39" s="53" t="n"/>
      <c r="AB39" s="60" t="n"/>
      <c r="AD39" s="97" t="inlineStr">
        <is>
          <t>SB1</t>
        </is>
      </c>
      <c r="AF39" s="53" t="inlineStr">
        <is>
          <t>RESERVE</t>
        </is>
      </c>
      <c r="AG39" s="60" t="inlineStr">
        <is>
          <t>SB2</t>
        </is>
      </c>
      <c r="AH39" s="67">
        <f>COUNTIF($C39:$AB39,AH$4)</f>
        <v/>
      </c>
      <c r="AI39" s="67">
        <f>COUNTIF($C39:$AB39,AI$4)</f>
        <v/>
      </c>
      <c r="AJ39" s="67">
        <f>COUNTIF($C39:$AB39,AJ$4)</f>
        <v/>
      </c>
      <c r="AK39" s="67">
        <f>COUNTIF($C39:$AB39,AK$4)</f>
        <v/>
      </c>
      <c r="AL39" s="67">
        <f>COUNTIF($C39:$AB39,AL$4)</f>
        <v/>
      </c>
      <c r="AM39" s="67">
        <f>COUNTIF($C39:$AB39,AM$4)</f>
        <v/>
      </c>
      <c r="AN39" s="67">
        <f>COUNTIF($C39:$AB39,AN$4)</f>
        <v/>
      </c>
      <c r="AO39" s="67">
        <f>COUNTIF($C39:$AB39,AO$4)</f>
        <v/>
      </c>
      <c r="AP39" s="67">
        <f>COUNTIF($C39:$AB39,AP$4)</f>
        <v/>
      </c>
      <c r="AQ39" s="76" t="n"/>
      <c r="AR39" s="76" t="n">
        <v>7</v>
      </c>
      <c r="AS39" s="77">
        <f>SUMPRODUCT(--(WEEKDAY(C$3:AG$3,2)&lt;5),--ISNUMBER(MATCH(C39:AG39,{"DM","CS1","CS2","SB1","AE","CS/B"},0)))</f>
        <v/>
      </c>
      <c r="AT39" s="67" t="n"/>
      <c r="AU39" s="77">
        <f>SUMPRODUCT(--(WEEKDAY(C$3:AG$3,2)=5),--ISNUMBER(MATCH(C39:AG39,{"DM","CS1","CS2","SB1","AE","CS/B","WEEKEND OUTFIELD RESERVE"},0)))</f>
        <v/>
      </c>
      <c r="AV39" s="77">
        <f>SUMPRODUCT(--(WEEKDAY(C$3:AG$3,2)&gt;5),--ISNUMBER(MATCH(C39:AG39,{"DM","CS1","CS2","SB1","AE","CS/B","WEEKEND OUTFIELD RESERVE"},0)))</f>
        <v/>
      </c>
      <c r="AW39" s="67" t="n"/>
      <c r="AX39" s="77">
        <f>(AS39-AT39)+AU39*1.5+(AV39-AW39)*2+AM39*0.5+AO39*0.5+AQ39-AR39</f>
        <v/>
      </c>
      <c r="AY39" s="77">
        <f>AS39+AU39+AV39</f>
        <v/>
      </c>
      <c r="AZ39" s="77">
        <f>BC39+BE39+BG39+BI39+BK39</f>
        <v/>
      </c>
      <c r="BA39" s="76">
        <f>AX39+BB39</f>
        <v/>
      </c>
      <c r="BB39" s="77">
        <f>BD39+BF39+BH39+BJ39+BL39</f>
        <v/>
      </c>
      <c r="BC39" s="77">
        <f>COUNTIF(A39:AH39,"*$BTP*")</f>
        <v/>
      </c>
      <c r="BD39" s="77">
        <f>BC39*1.5</f>
        <v/>
      </c>
      <c r="BE39" s="77">
        <f>COUNTIF(A39:AH39,"*$M*")</f>
        <v/>
      </c>
      <c r="BF39" s="77">
        <f>BE39*1</f>
        <v/>
      </c>
      <c r="BG39" s="77">
        <f>COUNTIF(A39:AH39,"*$PM*")</f>
        <v/>
      </c>
      <c r="BH39" s="77">
        <f>BG39*0.5</f>
        <v/>
      </c>
      <c r="BI39" s="77">
        <f>COUNTIF(A39:AH39,"*$AM*")</f>
        <v/>
      </c>
      <c r="BJ39" s="77">
        <f>BI39*0.5</f>
        <v/>
      </c>
      <c r="BK39" s="77">
        <f>COUNTIF(A39:AH39,"*$FC*")</f>
        <v/>
      </c>
      <c r="BL39" s="77">
        <f>BK39*1</f>
        <v/>
      </c>
      <c r="BM39" s="77">
        <f>COUNTIF($D39:$Z39,BM$4)</f>
        <v/>
      </c>
      <c r="BN39" s="77">
        <f>COUNTIF($D39:$Z39,BN$4)</f>
        <v/>
      </c>
      <c r="BO39" s="77">
        <f>COUNTIF($D39:$Z39,BO$4)</f>
        <v/>
      </c>
      <c r="BP39" s="67" t="n"/>
    </row>
    <row r="40" ht="19.5" customHeight="1">
      <c r="A40" s="67" t="n"/>
      <c r="B40" s="76" t="inlineStr">
        <is>
          <t>CPL HYDER ISKANDAR BIN ZULKILFILY</t>
        </is>
      </c>
      <c r="C40" s="60" t="inlineStr">
        <is>
          <t>COVER RESERVE</t>
        </is>
      </c>
      <c r="D40" s="85" t="inlineStr">
        <is>
          <t>1st $AM ER (0730-0920)</t>
        </is>
      </c>
      <c r="E40" s="60" t="n"/>
      <c r="F40" s="60" t="n"/>
      <c r="G40" s="60" t="n"/>
      <c r="H40" s="60" t="inlineStr">
        <is>
          <t>APS</t>
        </is>
      </c>
      <c r="I40" s="53" t="inlineStr">
        <is>
          <t>CS2</t>
        </is>
      </c>
      <c r="K40" s="60" t="n"/>
      <c r="L40" s="60" t="n"/>
      <c r="M40" s="60" t="inlineStr">
        <is>
          <t>S $AM CC (0530-1030)</t>
        </is>
      </c>
      <c r="N40" s="60" t="n"/>
      <c r="O40" s="60" t="inlineStr">
        <is>
          <t>CS/B</t>
        </is>
      </c>
      <c r="P40" s="60" t="n"/>
      <c r="Q40" s="60" t="inlineStr">
        <is>
          <t>SB1</t>
        </is>
      </c>
      <c r="R40" s="53" t="n"/>
      <c r="T40" s="53" t="inlineStr">
        <is>
          <t>RESERVE</t>
        </is>
      </c>
      <c r="U40" s="53" t="n"/>
      <c r="V40" s="53" t="inlineStr">
        <is>
          <t>SB2</t>
        </is>
      </c>
      <c r="W40" s="53" t="inlineStr">
        <is>
          <t>K $AM IPPT (0500-1100)</t>
        </is>
      </c>
      <c r="Y40" s="53" t="inlineStr">
        <is>
          <t>K $PM PERMSTAFF SOC (1530-2000)</t>
        </is>
      </c>
      <c r="Z40" s="60" t="inlineStr">
        <is>
          <t>SB1</t>
        </is>
      </c>
      <c r="AB40" s="60" t="n"/>
      <c r="AC40" s="99" t="inlineStr">
        <is>
          <t>CS1</t>
        </is>
      </c>
      <c r="AH40" s="67">
        <f>COUNTIF($C40:$AB40,AH$4)</f>
        <v/>
      </c>
      <c r="AI40" s="67">
        <f>COUNTIF($C40:$AB40,AI$4)</f>
        <v/>
      </c>
      <c r="AJ40" s="67">
        <f>COUNTIF($C40:$AB40,AJ$4)</f>
        <v/>
      </c>
      <c r="AK40" s="67">
        <f>COUNTIF($C40:$AB40,AK$4)</f>
        <v/>
      </c>
      <c r="AL40" s="67">
        <f>COUNTIF($C40:$AB40,AL$4)</f>
        <v/>
      </c>
      <c r="AM40" s="67">
        <f>COUNTIF($C40:$AB40,AM$4)</f>
        <v/>
      </c>
      <c r="AN40" s="67">
        <f>COUNTIF($C40:$AB40,AN$4)</f>
        <v/>
      </c>
      <c r="AO40" s="67">
        <f>COUNTIF($C40:$AB40,AO$4)</f>
        <v/>
      </c>
      <c r="AP40" s="67">
        <f>COUNTIF($C40:$AB40,AP$4)</f>
        <v/>
      </c>
      <c r="AQ40" s="76" t="n"/>
      <c r="AR40" s="76" t="n">
        <v>0.5</v>
      </c>
      <c r="AS40" s="77">
        <f>SUMPRODUCT(--(WEEKDAY(C$3:AG$3,2)&lt;5),--ISNUMBER(MATCH(C40:AG40,{"DM","CS1","CS2","SB1","AE","CS/B"},0)))</f>
        <v/>
      </c>
      <c r="AT40" s="67" t="n"/>
      <c r="AU40" s="77">
        <f>SUMPRODUCT(--(WEEKDAY(C$3:AG$3,2)=5),--ISNUMBER(MATCH(C40:AG40,{"DM","CS1","CS2","SB1","AE","CS/B","WEEKEND OUTFIELD RESERVE"},0)))</f>
        <v/>
      </c>
      <c r="AV40" s="77">
        <f>SUMPRODUCT(--(WEEKDAY(C$3:AG$3,2)&gt;5),--ISNUMBER(MATCH(C40:AG40,{"DM","CS1","CS2","SB1","AE","CS/B","WEEKEND OUTFIELD RESERVE"},0)))</f>
        <v/>
      </c>
      <c r="AW40" s="67" t="n"/>
      <c r="AX40" s="77">
        <f>(AS40-AT40)+AU40*1.5+(AV40-AW40)*2+AM40*0.5+AO40*0.5+AQ40-AR40</f>
        <v/>
      </c>
      <c r="AY40" s="77">
        <f>AS40+AU40+AV40</f>
        <v/>
      </c>
      <c r="AZ40" s="77">
        <f>BC40+BE40+BG40+BI40+BK40</f>
        <v/>
      </c>
      <c r="BA40" s="76">
        <f>AX40+BB40</f>
        <v/>
      </c>
      <c r="BB40" s="77">
        <f>BD40+BF40+BH40+BJ40+BL40</f>
        <v/>
      </c>
      <c r="BC40" s="77">
        <f>COUNTIF(A40:AH40,"*$BTP*")</f>
        <v/>
      </c>
      <c r="BD40" s="77">
        <f>BC40*1.5</f>
        <v/>
      </c>
      <c r="BE40" s="77">
        <f>COUNTIF(A40:AH40,"*$M*")</f>
        <v/>
      </c>
      <c r="BF40" s="77">
        <f>BE40*1</f>
        <v/>
      </c>
      <c r="BG40" s="77">
        <f>COUNTIF(A40:AH40,"*$PM*")</f>
        <v/>
      </c>
      <c r="BH40" s="77">
        <f>BG40*0.5</f>
        <v/>
      </c>
      <c r="BI40" s="77">
        <f>COUNTIF(A40:AH40,"*$AM*")</f>
        <v/>
      </c>
      <c r="BJ40" s="77">
        <f>BI40*0.5</f>
        <v/>
      </c>
      <c r="BK40" s="77">
        <f>COUNTIF(A40:AH40,"*$FC*")</f>
        <v/>
      </c>
      <c r="BL40" s="77">
        <f>BK40*1</f>
        <v/>
      </c>
      <c r="BM40" s="77">
        <f>COUNTIF($D40:$Z40,BM$4)</f>
        <v/>
      </c>
      <c r="BN40" s="77">
        <f>COUNTIF($D40:$Z40,BN$4)</f>
        <v/>
      </c>
      <c r="BO40" s="77">
        <f>COUNTIF($D40:$Z40,BO$4)</f>
        <v/>
      </c>
      <c r="BP40" s="67" t="n"/>
    </row>
    <row r="41" ht="19.5" customHeight="1">
      <c r="A41" s="67" t="n"/>
      <c r="B41" s="76" t="inlineStr">
        <is>
          <t>LCP MUHAMMAD SHAUKI BIN MOHD SHAM</t>
        </is>
      </c>
      <c r="C41" s="53" t="inlineStr">
        <is>
          <t>AL</t>
        </is>
      </c>
      <c r="D41" s="53" t="inlineStr">
        <is>
          <t>AL</t>
        </is>
      </c>
      <c r="E41" s="60" t="inlineStr">
        <is>
          <t>AL</t>
        </is>
      </c>
      <c r="F41" s="60" t="n"/>
      <c r="G41" s="60" t="n"/>
      <c r="H41" s="53" t="inlineStr">
        <is>
          <t>SB2</t>
        </is>
      </c>
      <c r="I41" s="53" t="n"/>
      <c r="J41" s="60" t="n"/>
      <c r="K41" s="60" t="inlineStr">
        <is>
          <t>AE</t>
        </is>
      </c>
      <c r="L41" s="60" t="n"/>
      <c r="M41" s="60" t="n"/>
      <c r="O41" s="53" t="n"/>
      <c r="P41" s="53" t="inlineStr">
        <is>
          <t>COVER RESERVE</t>
        </is>
      </c>
      <c r="R41" s="53" t="inlineStr">
        <is>
          <t>AE</t>
        </is>
      </c>
      <c r="T41" s="53" t="n"/>
      <c r="U41" s="60" t="inlineStr">
        <is>
          <t>AE</t>
        </is>
      </c>
      <c r="V41" s="53" t="n"/>
      <c r="W41" s="60" t="inlineStr">
        <is>
          <t>CS1</t>
        </is>
      </c>
      <c r="X41" s="60" t="n"/>
      <c r="Y41" s="53" t="inlineStr">
        <is>
          <t>5th $AM IPPT (0730-0920)</t>
        </is>
      </c>
      <c r="AA41" s="60" t="inlineStr">
        <is>
          <t>K $FC</t>
        </is>
      </c>
      <c r="AB41" s="60" t="inlineStr">
        <is>
          <t>K $FC</t>
        </is>
      </c>
      <c r="AD41" s="53" t="inlineStr">
        <is>
          <t>CS1</t>
        </is>
      </c>
      <c r="AE41" s="100" t="inlineStr">
        <is>
          <t xml:space="preserve">OUTFIELD RESERVE </t>
        </is>
      </c>
      <c r="AF41" s="53" t="n"/>
      <c r="AG41" s="60" t="inlineStr">
        <is>
          <t>A $AM IPPT (0530-1100)</t>
        </is>
      </c>
      <c r="AH41" s="67">
        <f>COUNTIF($E41:$AF41,AH$4)</f>
        <v/>
      </c>
      <c r="AI41" s="67">
        <f>COUNTIF($E41:$AF41,AI$4)</f>
        <v/>
      </c>
      <c r="AJ41" s="67">
        <f>COUNTIF($E41:$AF41,AJ$4)</f>
        <v/>
      </c>
      <c r="AK41" s="67">
        <f>COUNTIF($E41:$AF41,AK$4)</f>
        <v/>
      </c>
      <c r="AL41" s="67">
        <f>COUNTIF($E41:$AF41,AL$4)</f>
        <v/>
      </c>
      <c r="AM41" s="67">
        <f>COUNTIF($E41:$AF41,AM$4)</f>
        <v/>
      </c>
      <c r="AN41" s="67">
        <f>COUNTIF($E41:$AF41,AN$4)</f>
        <v/>
      </c>
      <c r="AO41" s="67">
        <f>COUNTIF($E41:$AF41,AO$4)</f>
        <v/>
      </c>
      <c r="AP41" s="67">
        <f>COUNTIF($E41:$AF41,AP$4)</f>
        <v/>
      </c>
      <c r="AQ41" s="76" t="n"/>
      <c r="AR41" s="76" t="n"/>
      <c r="AS41" s="77">
        <f>SUMPRODUCT(--(WEEKDAY(C$3:AG$3,2)&lt;5),--ISNUMBER(MATCH(C41:AG41,{"DM","CS1","CS2","SB1","AE","CS/B"},0)))</f>
        <v/>
      </c>
      <c r="AT41" s="67" t="n"/>
      <c r="AU41" s="77">
        <f>SUMPRODUCT(--(WEEKDAY(C$3:AG$3,2)=5),--ISNUMBER(MATCH(C41:AG41,{"DM","CS1","CS2","SB1","AE","CS/B","WEEKEND OUTFIELD RESERVE"},0)))</f>
        <v/>
      </c>
      <c r="AV41" s="77">
        <f>SUMPRODUCT(--(WEEKDAY(C$3:AG$3,2)&gt;5),--ISNUMBER(MATCH(C41:AG41,{"DM","CS1","CS2","SB1","AE","CS/B","WEEKEND OUTFIELD RESERVE"},0)))</f>
        <v/>
      </c>
      <c r="AW41" s="67" t="n"/>
      <c r="AX41" s="77">
        <f>(AS41-AT41)+AU41*1.5+(AV41-AW41)*2+AM41*0.5+AO41*0.5+AQ41-AR41</f>
        <v/>
      </c>
      <c r="AY41" s="77">
        <f>AS41+AU41+AV41</f>
        <v/>
      </c>
      <c r="AZ41" s="77">
        <f>BC41+BE41+BG41+BI41+BK41</f>
        <v/>
      </c>
      <c r="BA41" s="76">
        <f>AX41+BB41</f>
        <v/>
      </c>
      <c r="BB41" s="77">
        <f>BD41+BF41+BH41+BJ41+BL41</f>
        <v/>
      </c>
      <c r="BC41" s="77">
        <f>COUNTIF(A41:AH41,"*$BTP*")</f>
        <v/>
      </c>
      <c r="BD41" s="77">
        <f>BC41*1.5</f>
        <v/>
      </c>
      <c r="BE41" s="77">
        <f>COUNTIF(A41:AH41,"*$M*")</f>
        <v/>
      </c>
      <c r="BF41" s="77">
        <f>BE41*1</f>
        <v/>
      </c>
      <c r="BG41" s="77">
        <f>COUNTIF(A41:AH41,"*$PM*")</f>
        <v/>
      </c>
      <c r="BH41" s="77">
        <f>BG41*0.5</f>
        <v/>
      </c>
      <c r="BI41" s="77">
        <f>COUNTIF(A41:AH41,"*$AM*")</f>
        <v/>
      </c>
      <c r="BJ41" s="77">
        <f>BI41*0.5</f>
        <v/>
      </c>
      <c r="BK41" s="77">
        <f>COUNTIF(A41:AH41,"*$FC*")</f>
        <v/>
      </c>
      <c r="BL41" s="77">
        <f>BK41*1</f>
        <v/>
      </c>
      <c r="BM41" s="77">
        <f>COUNTIF($K41:$Y41,BM$4)</f>
        <v/>
      </c>
      <c r="BN41" s="77">
        <f>COUNTIF($K41:$Y41,BN$4)</f>
        <v/>
      </c>
      <c r="BO41" s="77">
        <f>COUNTIF($K41:$Y41,BO$4)</f>
        <v/>
      </c>
      <c r="BP41" s="67" t="n"/>
    </row>
    <row r="42" ht="19.5" customHeight="1">
      <c r="A42" s="67" t="n"/>
      <c r="B42" s="76" t="inlineStr">
        <is>
          <t>LCP HUANG JIHUI</t>
        </is>
      </c>
      <c r="C42" s="53" t="inlineStr">
        <is>
          <t>DISPENSE COURSE</t>
        </is>
      </c>
      <c r="D42" s="53" t="inlineStr">
        <is>
          <t>DISPENSE COURSE</t>
        </is>
      </c>
      <c r="E42" s="53" t="inlineStr">
        <is>
          <t>DISPENSE COURSE</t>
        </is>
      </c>
      <c r="F42" s="53" t="inlineStr">
        <is>
          <t>AE</t>
        </is>
      </c>
      <c r="G42" s="53" t="n"/>
      <c r="H42" s="53" t="inlineStr">
        <is>
          <t>DISPENSE COURSE</t>
        </is>
      </c>
      <c r="I42" s="53" t="inlineStr">
        <is>
          <t>DISPENSE COURSE</t>
        </is>
      </c>
      <c r="J42" s="53" t="inlineStr">
        <is>
          <t>DISPENSE COURSE</t>
        </is>
      </c>
      <c r="K42" s="53" t="inlineStr">
        <is>
          <t>DISPENSE COURSE</t>
        </is>
      </c>
      <c r="L42" s="53" t="inlineStr">
        <is>
          <t>DISPENSE COURSE</t>
        </is>
      </c>
      <c r="M42" s="60" t="inlineStr">
        <is>
          <t>OL</t>
        </is>
      </c>
      <c r="N42" s="53" t="inlineStr">
        <is>
          <t>OL</t>
        </is>
      </c>
      <c r="O42" s="60" t="n"/>
      <c r="P42" s="60" t="inlineStr">
        <is>
          <t>CS2</t>
        </is>
      </c>
      <c r="Q42" s="60" t="n"/>
      <c r="R42" s="60" t="n"/>
      <c r="S42" s="60" t="inlineStr">
        <is>
          <t>K $AM CC (0600-1100)</t>
        </is>
      </c>
      <c r="T42" s="60" t="n"/>
      <c r="U42" s="53" t="n"/>
      <c r="V42" s="53" t="n"/>
      <c r="W42" s="53" t="n"/>
      <c r="X42" s="53" t="inlineStr">
        <is>
          <t>AE</t>
        </is>
      </c>
      <c r="Y42" s="60" t="n"/>
      <c r="Z42" s="53" t="inlineStr">
        <is>
          <t>AE</t>
        </is>
      </c>
      <c r="AA42" s="60" t="n"/>
      <c r="AB42" s="53" t="n"/>
      <c r="AC42" s="53" t="inlineStr">
        <is>
          <t>CS/B</t>
        </is>
      </c>
      <c r="AD42" s="53" t="n"/>
      <c r="AE42" s="101" t="inlineStr">
        <is>
          <t>AE</t>
        </is>
      </c>
      <c r="AF42" s="60" t="inlineStr">
        <is>
          <t>6th $PM CC (1630-1820)</t>
        </is>
      </c>
      <c r="AG42" s="60" t="inlineStr">
        <is>
          <t>RESERVE</t>
        </is>
      </c>
      <c r="AH42" s="67">
        <f>COUNTIF($C42:$AF42,AH$4)</f>
        <v/>
      </c>
      <c r="AI42" s="67">
        <f>COUNTIF($C42:$AF42,AI$4)</f>
        <v/>
      </c>
      <c r="AJ42" s="67">
        <f>COUNTIF($C42:$AF42,AJ$4)</f>
        <v/>
      </c>
      <c r="AK42" s="67">
        <f>COUNTIF($C42:$AF42,AK$4)</f>
        <v/>
      </c>
      <c r="AL42" s="67">
        <f>COUNTIF($C42:$AF42,AL$4)</f>
        <v/>
      </c>
      <c r="AM42" s="67">
        <f>COUNTIF($C42:$AF42,AM$4)</f>
        <v/>
      </c>
      <c r="AN42" s="67">
        <f>COUNTIF($C42:$AF42,AN$4)</f>
        <v/>
      </c>
      <c r="AO42" s="67">
        <f>COUNTIF($C42:$AF42,AO$4)</f>
        <v/>
      </c>
      <c r="AP42" s="67">
        <f>COUNTIF($C42:$AF42,AP$4)</f>
        <v/>
      </c>
      <c r="AQ42" s="76" t="n"/>
      <c r="AR42" s="76" t="n">
        <v>1</v>
      </c>
      <c r="AS42" s="77">
        <f>SUMPRODUCT(--(WEEKDAY(C$3:AG$3,2)&lt;5),--ISNUMBER(MATCH(C42:AG42,{"DM","CS1","CS2","SB1","AE","CS/B"},0)))</f>
        <v/>
      </c>
      <c r="AT42" s="67" t="n"/>
      <c r="AU42" s="77">
        <f>SUMPRODUCT(--(WEEKDAY(C$3:AG$3,2)=5),--ISNUMBER(MATCH(C42:AG42,{"DM","CS1","CS2","SB1","AE","CS/B","WEEKEND OUTFIELD RESERVE"},0)))</f>
        <v/>
      </c>
      <c r="AV42" s="77">
        <f>SUMPRODUCT(--(WEEKDAY(C$3:AG$3,2)&gt;5),--ISNUMBER(MATCH(C42:AG42,{"DM","CS1","CS2","SB1","AE","CS/B","WEEKEND OUTFIELD RESERVE"},0)))</f>
        <v/>
      </c>
      <c r="AW42" s="67" t="n"/>
      <c r="AX42" s="77">
        <f>(AS42-AT42)+AU42*1.5+(AV42-AW42)*2+AM42*0.5+AO42*0.5+AQ42-AR42</f>
        <v/>
      </c>
      <c r="AY42" s="77">
        <f>AS42+AU42+AV42</f>
        <v/>
      </c>
      <c r="AZ42" s="77">
        <f>BC42+BE42+BG42+BI42+BK42</f>
        <v/>
      </c>
      <c r="BA42" s="76">
        <f>AX42+BB42</f>
        <v/>
      </c>
      <c r="BB42" s="77">
        <f>BD42+BF42+BH42+BJ42+BL42</f>
        <v/>
      </c>
      <c r="BC42" s="77">
        <f>COUNTIF(A42:AH42,"*$BTP*")</f>
        <v/>
      </c>
      <c r="BD42" s="77">
        <f>BC42*1.5</f>
        <v/>
      </c>
      <c r="BE42" s="77">
        <f>COUNTIF(A42:AH42,"*$M*")</f>
        <v/>
      </c>
      <c r="BF42" s="77">
        <f>BE42*1</f>
        <v/>
      </c>
      <c r="BG42" s="77">
        <f>COUNTIF(A42:AH42,"*$PM*")</f>
        <v/>
      </c>
      <c r="BH42" s="77">
        <f>BG42*0.5</f>
        <v/>
      </c>
      <c r="BI42" s="77">
        <f>COUNTIF(A42:AH42,"*$AM*")</f>
        <v/>
      </c>
      <c r="BJ42" s="77">
        <f>BI42*0.5</f>
        <v/>
      </c>
      <c r="BK42" s="77">
        <f>COUNTIF(A42:AH42,"*$FC*")</f>
        <v/>
      </c>
      <c r="BL42" s="77">
        <f>BK42*1</f>
        <v/>
      </c>
      <c r="BM42" s="77">
        <f>COUNTIF($D42:$Z42,BM$4)</f>
        <v/>
      </c>
      <c r="BN42" s="77">
        <f>COUNTIF($D42:$Z42,BN$4)</f>
        <v/>
      </c>
      <c r="BO42" s="77">
        <f>COUNTIF($D42:$Z42,BO$4)</f>
        <v/>
      </c>
      <c r="BP42" s="67" t="n"/>
    </row>
    <row r="43" ht="19.5" customHeight="1">
      <c r="A43" s="67" t="n"/>
      <c r="B43" s="76" t="inlineStr">
        <is>
          <t>LCP MUHAMMAD HAMZA ZUBERI</t>
        </is>
      </c>
      <c r="C43" s="60" t="inlineStr">
        <is>
          <t>AE</t>
        </is>
      </c>
      <c r="D43" s="60" t="n"/>
      <c r="E43" s="60" t="inlineStr">
        <is>
          <t>RESERVE</t>
        </is>
      </c>
      <c r="F43" s="60" t="n"/>
      <c r="G43" s="53" t="n"/>
      <c r="H43" s="60" t="n"/>
      <c r="I43" s="53" t="inlineStr">
        <is>
          <t>AE</t>
        </is>
      </c>
      <c r="J43" s="60" t="n"/>
      <c r="L43" s="60" t="n"/>
      <c r="M43" s="53" t="n"/>
      <c r="N43" s="53" t="n"/>
      <c r="O43" s="60" t="inlineStr">
        <is>
          <t>C $BTP (0530-2359)</t>
        </is>
      </c>
      <c r="P43" s="53" t="n"/>
      <c r="Q43" s="60" t="inlineStr">
        <is>
          <t>AE</t>
        </is>
      </c>
      <c r="S43" s="60" t="n"/>
      <c r="T43" s="60" t="n"/>
      <c r="U43" s="53" t="n"/>
      <c r="V43" s="60" t="inlineStr">
        <is>
          <t>O $AM ER (0600-1100)</t>
        </is>
      </c>
      <c r="W43" s="60" t="inlineStr">
        <is>
          <t>RESERVE</t>
        </is>
      </c>
      <c r="X43" s="60" t="n"/>
      <c r="Y43" s="60" t="inlineStr">
        <is>
          <t>COVER RESERVE</t>
        </is>
      </c>
      <c r="Z43" s="53" t="n"/>
      <c r="AA43" s="53" t="inlineStr">
        <is>
          <t>CS2</t>
        </is>
      </c>
      <c r="AB43" s="53" t="n"/>
      <c r="AC43" s="60" t="inlineStr">
        <is>
          <t>OUTFIELD RESERVE</t>
        </is>
      </c>
      <c r="AD43" s="60" t="inlineStr">
        <is>
          <t>OUTFIELD RESERVE</t>
        </is>
      </c>
      <c r="AE43" s="136" t="inlineStr">
        <is>
          <t>P $BTP (0500-2359)</t>
        </is>
      </c>
      <c r="AF43" s="60" t="inlineStr">
        <is>
          <t>2nd $AM IPPT (0730-0920)</t>
        </is>
      </c>
      <c r="AG43" s="60" t="inlineStr">
        <is>
          <t>WEEKEND OUTFIELD RESERVE</t>
        </is>
      </c>
      <c r="AH43" s="67">
        <f>COUNTIF($C43:$AF43,AH$4)</f>
        <v/>
      </c>
      <c r="AI43" s="67">
        <f>COUNTIF($C43:$AF43,AI$4)</f>
        <v/>
      </c>
      <c r="AJ43" s="67">
        <f>COUNTIF($C43:$AF43,AJ$4)</f>
        <v/>
      </c>
      <c r="AK43" s="67">
        <f>COUNTIF($C43:$AF43,AK$4)</f>
        <v/>
      </c>
      <c r="AL43" s="67">
        <f>COUNTIF($C43:$AF43,AL$4)</f>
        <v/>
      </c>
      <c r="AM43" s="67">
        <f>COUNTIF($C43:$AF43,AM$4)</f>
        <v/>
      </c>
      <c r="AN43" s="67">
        <f>COUNTIF($C43:$AF43,AN$4)</f>
        <v/>
      </c>
      <c r="AO43" s="67">
        <f>COUNTIF($C43:$AF43,AO$4)</f>
        <v/>
      </c>
      <c r="AP43" s="67">
        <f>COUNTIF($C43:$AF43,AP$4)</f>
        <v/>
      </c>
      <c r="AQ43" s="76" t="n">
        <v>2.5</v>
      </c>
      <c r="AR43" s="76" t="n"/>
      <c r="AS43" s="77">
        <f>SUMPRODUCT(--(WEEKDAY(C$3:AG$3,2)&lt;5),--ISNUMBER(MATCH(C43:AG43,{"DM","CS1","CS2","SB1","AE","CS/B"},0)))</f>
        <v/>
      </c>
      <c r="AT43" s="67" t="n"/>
      <c r="AU43" s="77">
        <f>SUMPRODUCT(--(WEEKDAY(C$3:AG$3,2)=5),--ISNUMBER(MATCH(C43:AG43,{"DM","CS1","CS2","SB1","AE","CS/B","WEEKEND OUTFIELD RESERVE"},0)))</f>
        <v/>
      </c>
      <c r="AV43" s="77">
        <f>SUMPRODUCT(--(WEEKDAY(C$3:AG$3,2)&gt;5),--ISNUMBER(MATCH(C43:AG43,{"DM","CS1","CS2","SB1","AE","CS/B","WEEKEND OUTFIELD RESERVE"},0)))</f>
        <v/>
      </c>
      <c r="AW43" s="67" t="n"/>
      <c r="AX43" s="77">
        <f>(AS43-AT43)+AU43*1.5+(AV43-AW43)*2+AM43*0.5+AO43*0.5+AQ43-AR43</f>
        <v/>
      </c>
      <c r="AY43" s="77">
        <f>AS43+AU43+AV43</f>
        <v/>
      </c>
      <c r="AZ43" s="77">
        <f>BC43+BE43+BG43+BI43+BK43</f>
        <v/>
      </c>
      <c r="BA43" s="76">
        <f>AX43+BB43</f>
        <v/>
      </c>
      <c r="BB43" s="77">
        <f>BD43+BF43+BH43+BJ43+BL43</f>
        <v/>
      </c>
      <c r="BC43" s="77">
        <f>COUNTIF(A43:AH43,"*$BTP*")</f>
        <v/>
      </c>
      <c r="BD43" s="77">
        <f>BC43*1.5</f>
        <v/>
      </c>
      <c r="BE43" s="77">
        <f>COUNTIF(A43:AH43,"*$M*")</f>
        <v/>
      </c>
      <c r="BF43" s="77">
        <f>BE43*1</f>
        <v/>
      </c>
      <c r="BG43" s="77">
        <f>COUNTIF(A43:AH43,"*$PM*")</f>
        <v/>
      </c>
      <c r="BH43" s="77">
        <f>BG43*0.5</f>
        <v/>
      </c>
      <c r="BI43" s="77">
        <f>COUNTIF(A43:AH43,"*$AM*")</f>
        <v/>
      </c>
      <c r="BJ43" s="77">
        <f>BI43*0.5</f>
        <v/>
      </c>
      <c r="BK43" s="77">
        <f>COUNTIF(A43:AH43,"*$FC*")</f>
        <v/>
      </c>
      <c r="BL43" s="77">
        <f>BK43*1</f>
        <v/>
      </c>
      <c r="BM43" s="77">
        <f>COUNTIF($D43:$Y43,BM$4)</f>
        <v/>
      </c>
      <c r="BN43" s="77">
        <f>COUNTIF($D43:$Y43,BN$4)</f>
        <v/>
      </c>
      <c r="BO43" s="77">
        <f>COUNTIF($D43:$Y43,BO$4)</f>
        <v/>
      </c>
      <c r="BP43" s="67" t="n"/>
    </row>
    <row r="44" ht="49.5" customHeight="1">
      <c r="A44" s="67" t="n"/>
      <c r="B44" s="76" t="inlineStr">
        <is>
          <t>LCP RAGURAMAN ANIRUDH</t>
        </is>
      </c>
      <c r="C44" s="60" t="n"/>
      <c r="D44" s="60" t="inlineStr">
        <is>
          <t>AE</t>
        </is>
      </c>
      <c r="E44" s="60" t="n"/>
      <c r="F44" s="60" t="n"/>
      <c r="G44" s="53" t="n"/>
      <c r="H44" s="60" t="inlineStr">
        <is>
          <t>C $M HG (0600-2000)</t>
        </is>
      </c>
      <c r="I44" s="53" t="n"/>
      <c r="J44" s="53" t="n"/>
      <c r="K44" s="85" t="inlineStr">
        <is>
          <t>1st $M HG (0500-2000)</t>
        </is>
      </c>
      <c r="L44" s="60" t="n"/>
      <c r="M44" s="60" t="n"/>
      <c r="N44" s="60" t="n"/>
      <c r="O44" s="60" t="inlineStr">
        <is>
          <t>COVER RESERVE</t>
        </is>
      </c>
      <c r="P44" s="60" t="n"/>
      <c r="Q44" s="60" t="n"/>
      <c r="S44" s="60" t="n"/>
      <c r="T44" s="60" t="inlineStr">
        <is>
          <t>AE</t>
        </is>
      </c>
      <c r="U44" s="53" t="n"/>
      <c r="V44" s="60" t="n"/>
      <c r="W44" s="53" t="n"/>
      <c r="X44" s="60" t="inlineStr">
        <is>
          <t>COVER RESERVE</t>
        </is>
      </c>
      <c r="Y44" s="60" t="n"/>
      <c r="Z44" s="60" t="n"/>
      <c r="AC44" s="60" t="inlineStr">
        <is>
          <t>K $FC</t>
        </is>
      </c>
      <c r="AD44" s="60" t="inlineStr">
        <is>
          <t>K $FC</t>
        </is>
      </c>
      <c r="AE44" s="95" t="inlineStr">
        <is>
          <t>K $FC</t>
        </is>
      </c>
      <c r="AF44" s="53" t="n"/>
      <c r="AG44" s="60" t="inlineStr">
        <is>
          <t>WEEKEND OUTFIELD RESERVE</t>
        </is>
      </c>
      <c r="AH44" s="67">
        <f>COUNTIF($C44:$AF44,AH$4)</f>
        <v/>
      </c>
      <c r="AI44" s="67">
        <f>COUNTIF($C44:$AF44,AI$4)</f>
        <v/>
      </c>
      <c r="AJ44" s="67">
        <f>COUNTIF($C44:$AF44,AJ$4)</f>
        <v/>
      </c>
      <c r="AK44" s="67">
        <f>COUNTIF($C44:$AF44,AK$4)</f>
        <v/>
      </c>
      <c r="AL44" s="67">
        <f>COUNTIF($C44:$AF44,AL$4)</f>
        <v/>
      </c>
      <c r="AM44" s="67">
        <f>COUNTIF($C44:$AF44,AM$4)</f>
        <v/>
      </c>
      <c r="AN44" s="67">
        <f>COUNTIF($C44:$AF44,AN$4)</f>
        <v/>
      </c>
      <c r="AO44" s="67">
        <f>COUNTIF($C44:$AF44,AO$4)</f>
        <v/>
      </c>
      <c r="AP44" s="67">
        <f>COUNTIF($C44:$AF44,AP$4)</f>
        <v/>
      </c>
      <c r="AQ44" s="76" t="n">
        <v>0</v>
      </c>
      <c r="AR44" s="76" t="n"/>
      <c r="AS44" s="77">
        <f>SUMPRODUCT(--(WEEKDAY(C$3:AG$3,2)&lt;5),--ISNUMBER(MATCH(C44:AG44,{"DM","CS1","CS2","SB1","AE","CS/B"},0)))</f>
        <v/>
      </c>
      <c r="AT44" s="67" t="n"/>
      <c r="AU44" s="77">
        <f>SUMPRODUCT(--(WEEKDAY(C$3:AG$3,2)=5),--ISNUMBER(MATCH(C44:AG44,{"DM","CS1","CS2","SB1","AE","CS/B","WEEKEND OUTFIELD RESERVE"},0)))</f>
        <v/>
      </c>
      <c r="AV44" s="77">
        <f>SUMPRODUCT(--(WEEKDAY(C$3:AG$3,2)&gt;5),--ISNUMBER(MATCH(C44:AG44,{"DM","CS1","CS2","SB1","AE","CS/B","WEEKEND OUTFIELD RESERVE"},0)))</f>
        <v/>
      </c>
      <c r="AW44" s="67" t="n"/>
      <c r="AX44" s="77">
        <f>(AS44-AT44)+AU44*1.5+(AV44-AW44)*2+AM44*0.5+AO44*0.5+AQ44-AR44</f>
        <v/>
      </c>
      <c r="AY44" s="77">
        <f>AS44+AU44+AV44</f>
        <v/>
      </c>
      <c r="AZ44" s="77">
        <f>BC44+BE44+BG44+BI44+BK44</f>
        <v/>
      </c>
      <c r="BA44" s="76">
        <f>AX44+BB44</f>
        <v/>
      </c>
      <c r="BB44" s="77">
        <f>BD44+BF44+BH44+BJ44+BL44</f>
        <v/>
      </c>
      <c r="BC44" s="77">
        <f>COUNTIF(A44:AH44,"*$BTP*")</f>
        <v/>
      </c>
      <c r="BD44" s="77">
        <f>BC44*1.5</f>
        <v/>
      </c>
      <c r="BE44" s="77">
        <f>COUNTIF(A44:AH44,"*$M*")</f>
        <v/>
      </c>
      <c r="BF44" s="77">
        <f>BE44*1</f>
        <v/>
      </c>
      <c r="BG44" s="77">
        <f>COUNTIF(A44:AH44,"*$PM*")</f>
        <v/>
      </c>
      <c r="BH44" s="77">
        <f>BG44*0.5</f>
        <v/>
      </c>
      <c r="BI44" s="77">
        <f>COUNTIF(A44:AH44,"*$AM*")</f>
        <v/>
      </c>
      <c r="BJ44" s="77">
        <f>BI44*0.5</f>
        <v/>
      </c>
      <c r="BK44" s="77">
        <f>COUNTIF(A44:AH44,"*$FC*")</f>
        <v/>
      </c>
      <c r="BL44" s="77">
        <f>BK44*1</f>
        <v/>
      </c>
      <c r="BM44" s="77">
        <f>COUNTIF($D44:$Y44,BM$4)</f>
        <v/>
      </c>
      <c r="BN44" s="77">
        <f>COUNTIF($D44:$Y44,BN$4)</f>
        <v/>
      </c>
      <c r="BO44" s="77">
        <f>COUNTIF($D44:$Y44,BO$4)</f>
        <v/>
      </c>
      <c r="BP44" s="67" t="n"/>
    </row>
    <row r="45" ht="37.5" customHeight="1">
      <c r="A45" s="67" t="n"/>
      <c r="B45" s="76" t="inlineStr">
        <is>
          <t>PTE PATIL AMEYA MANOJ</t>
        </is>
      </c>
      <c r="C45" s="60" t="n"/>
      <c r="D45" s="60" t="n"/>
      <c r="E45" s="60" t="n"/>
      <c r="F45" s="60" t="n"/>
      <c r="G45" s="53" t="n"/>
      <c r="H45" s="53" t="inlineStr">
        <is>
          <t>AE</t>
        </is>
      </c>
      <c r="I45" s="53" t="n"/>
      <c r="J45" s="53" t="inlineStr">
        <is>
          <t>AE</t>
        </is>
      </c>
      <c r="L45" s="60" t="n"/>
      <c r="M45" s="60" t="n"/>
      <c r="N45" s="60" t="n"/>
      <c r="O45" s="60" t="inlineStr">
        <is>
          <t>RHMC</t>
        </is>
      </c>
      <c r="P45" s="60" t="inlineStr">
        <is>
          <t>RHMC</t>
        </is>
      </c>
      <c r="Q45" s="60" t="inlineStr">
        <is>
          <t>RHMC</t>
        </is>
      </c>
      <c r="R45" s="60" t="inlineStr">
        <is>
          <t>RHMC</t>
        </is>
      </c>
      <c r="S45" s="60" t="inlineStr">
        <is>
          <t>RHMC</t>
        </is>
      </c>
      <c r="T45" s="60" t="inlineStr">
        <is>
          <t>RHMC</t>
        </is>
      </c>
      <c r="U45" s="60" t="inlineStr">
        <is>
          <t>RHMC</t>
        </is>
      </c>
      <c r="V45" s="60" t="inlineStr">
        <is>
          <t>RHMC</t>
        </is>
      </c>
      <c r="W45" s="60" t="inlineStr">
        <is>
          <t>RHMC</t>
        </is>
      </c>
      <c r="X45" s="60" t="inlineStr">
        <is>
          <t>RHMC</t>
        </is>
      </c>
      <c r="Y45" s="60" t="inlineStr">
        <is>
          <t>RHMC</t>
        </is>
      </c>
      <c r="Z45" s="60" t="inlineStr">
        <is>
          <t>RHMC</t>
        </is>
      </c>
      <c r="AA45" s="60" t="inlineStr">
        <is>
          <t>RHMC</t>
        </is>
      </c>
      <c r="AB45" s="60" t="inlineStr">
        <is>
          <t>RHMC</t>
        </is>
      </c>
      <c r="AC45" s="60" t="inlineStr">
        <is>
          <t>RHMC</t>
        </is>
      </c>
      <c r="AD45" s="60" t="inlineStr">
        <is>
          <t>RHMC</t>
        </is>
      </c>
      <c r="AE45" s="83" t="inlineStr">
        <is>
          <t>RHMC</t>
        </is>
      </c>
      <c r="AF45" s="60" t="inlineStr">
        <is>
          <t>RHMC</t>
        </is>
      </c>
      <c r="AG45" s="60" t="inlineStr">
        <is>
          <t>RHMC</t>
        </is>
      </c>
      <c r="AH45" s="67">
        <f>COUNTIF($C45:$AF45,AH$4)</f>
        <v/>
      </c>
      <c r="AI45" s="67">
        <f>COUNTIF($C45:$AF45,AI$4)</f>
        <v/>
      </c>
      <c r="AJ45" s="67">
        <f>COUNTIF($C45:$AF45,AJ$4)</f>
        <v/>
      </c>
      <c r="AK45" s="67">
        <f>COUNTIF($C45:$AF45,AK$4)</f>
        <v/>
      </c>
      <c r="AL45" s="67">
        <f>COUNTIF($C45:$AF45,AL$4)</f>
        <v/>
      </c>
      <c r="AM45" s="67">
        <f>COUNTIF($C45:$AF45,AM$4)</f>
        <v/>
      </c>
      <c r="AN45" s="67">
        <f>COUNTIF($C45:$AF45,AN$4)</f>
        <v/>
      </c>
      <c r="AO45" s="67">
        <f>COUNTIF($C45:$AF45,AO$4)</f>
        <v/>
      </c>
      <c r="AP45" s="67">
        <f>COUNTIF($C45:$AF45,AP$4)</f>
        <v/>
      </c>
      <c r="AQ45" s="76" t="n"/>
      <c r="AR45" s="76" t="n"/>
      <c r="AS45" s="77">
        <f>SUMPRODUCT(--(WEEKDAY(C$3:AG$3,2)&lt;5),--ISNUMBER(MATCH(C45:AG45,{"DM","CS1","CS2","SB1","AE","CS/B"},0)))</f>
        <v/>
      </c>
      <c r="AT45" s="67" t="n"/>
      <c r="AU45" s="77">
        <f>SUMPRODUCT(--(WEEKDAY(C$3:AG$3,2)=5),--ISNUMBER(MATCH(C45:AG45,{"DM","CS1","CS2","SB1","AE","CS/B","WEEKEND OUTFIELD RESERVE"},0)))</f>
        <v/>
      </c>
      <c r="AV45" s="77">
        <f>SUMPRODUCT(--(WEEKDAY(C$3:AG$3,2)&gt;5),--ISNUMBER(MATCH(C45:AG45,{"DM","CS1","CS2","SB1","AE","CS/B","WEEKEND OUTFIELD RESERVE"},0)))</f>
        <v/>
      </c>
      <c r="AW45" s="67" t="n"/>
      <c r="AX45" s="77">
        <f>(AS45-AT45)+AU45*1.5+(AV45-AW45)*2+AM45*0.5+AO45*0.5+AQ45-AR45</f>
        <v/>
      </c>
      <c r="AY45" s="77">
        <f>AS45+AU45+AV45</f>
        <v/>
      </c>
      <c r="AZ45" s="77">
        <f>BC45+BE45+BG45+BI45+BK45</f>
        <v/>
      </c>
      <c r="BA45" s="76">
        <f>AX45+BB45</f>
        <v/>
      </c>
      <c r="BB45" s="77">
        <f>BD45+BF45+BH45+BJ45+BL45</f>
        <v/>
      </c>
      <c r="BC45" s="77">
        <f>COUNTIF(A45:AH45,"*$BTP*")</f>
        <v/>
      </c>
      <c r="BD45" s="77">
        <f>BC45*1.5</f>
        <v/>
      </c>
      <c r="BE45" s="77">
        <f>COUNTIF(A45:AH45,"*$M*")</f>
        <v/>
      </c>
      <c r="BF45" s="77">
        <f>BE45*1</f>
        <v/>
      </c>
      <c r="BG45" s="77">
        <f>COUNTIF(A45:AH45,"*$PM*")</f>
        <v/>
      </c>
      <c r="BH45" s="77">
        <f>BG45*0.5</f>
        <v/>
      </c>
      <c r="BI45" s="77">
        <f>COUNTIF(A45:AH45,"*$AM*")</f>
        <v/>
      </c>
      <c r="BJ45" s="77">
        <f>BI45*0.5</f>
        <v/>
      </c>
      <c r="BK45" s="77">
        <f>COUNTIF(A45:AH45,"*$FC*")</f>
        <v/>
      </c>
      <c r="BL45" s="77">
        <f>BK45*1</f>
        <v/>
      </c>
      <c r="BM45" s="77">
        <f>COUNTIF($D45:$Y45,BM$4)</f>
        <v/>
      </c>
      <c r="BN45" s="77">
        <f>COUNTIF($D45:$Y45,BN$4)</f>
        <v/>
      </c>
      <c r="BO45" s="77">
        <f>COUNTIF($D45:$Y45,BO$4)</f>
        <v/>
      </c>
      <c r="BP45" s="67" t="n"/>
    </row>
    <row r="46" ht="43.5" customHeight="1">
      <c r="A46" s="67" t="n"/>
      <c r="B46" s="76" t="inlineStr">
        <is>
          <t>PTE ROYSTON SEOW</t>
        </is>
      </c>
      <c r="C46" s="60" t="inlineStr">
        <is>
          <t>SERVE+</t>
        </is>
      </c>
      <c r="D46" s="60" t="inlineStr">
        <is>
          <t>SERVE+</t>
        </is>
      </c>
      <c r="E46" s="60" t="inlineStr">
        <is>
          <t>SERVE+</t>
        </is>
      </c>
      <c r="F46" s="60" t="inlineStr">
        <is>
          <t>SERVE+</t>
        </is>
      </c>
      <c r="G46" s="60" t="inlineStr">
        <is>
          <t>SERVE+</t>
        </is>
      </c>
      <c r="H46" s="60" t="inlineStr">
        <is>
          <t>SERVE+</t>
        </is>
      </c>
      <c r="I46" s="60" t="inlineStr">
        <is>
          <t>SERVE+</t>
        </is>
      </c>
      <c r="J46" s="60" t="inlineStr">
        <is>
          <t>SERVE+</t>
        </is>
      </c>
      <c r="K46" s="60" t="inlineStr">
        <is>
          <t>SERVE+</t>
        </is>
      </c>
      <c r="L46" s="60" t="inlineStr">
        <is>
          <t>SERVE+</t>
        </is>
      </c>
      <c r="M46" s="60" t="inlineStr">
        <is>
          <t>SERVE+</t>
        </is>
      </c>
      <c r="N46" s="60" t="inlineStr">
        <is>
          <t>SERVE+</t>
        </is>
      </c>
      <c r="O46" s="60" t="inlineStr">
        <is>
          <t>SERVE+</t>
        </is>
      </c>
      <c r="P46" s="60" t="inlineStr">
        <is>
          <t>SERVE+</t>
        </is>
      </c>
      <c r="Q46" s="60" t="inlineStr">
        <is>
          <t>SERVE+</t>
        </is>
      </c>
      <c r="R46" s="60" t="inlineStr">
        <is>
          <t>SERVE+</t>
        </is>
      </c>
      <c r="S46" s="60" t="inlineStr">
        <is>
          <t>SERVE+</t>
        </is>
      </c>
      <c r="T46" s="60" t="inlineStr">
        <is>
          <t>SERVE+</t>
        </is>
      </c>
      <c r="U46" s="60" t="inlineStr">
        <is>
          <t>SERVE+</t>
        </is>
      </c>
      <c r="V46" s="60" t="inlineStr">
        <is>
          <t>SERVE+</t>
        </is>
      </c>
      <c r="W46" s="60" t="inlineStr">
        <is>
          <t>SERVE+</t>
        </is>
      </c>
      <c r="X46" s="60" t="inlineStr">
        <is>
          <t>SERVE+</t>
        </is>
      </c>
      <c r="Y46" s="60" t="inlineStr">
        <is>
          <t>SERVE+</t>
        </is>
      </c>
      <c r="Z46" s="60" t="inlineStr">
        <is>
          <t>SERVE+</t>
        </is>
      </c>
      <c r="AA46" s="60" t="inlineStr">
        <is>
          <t>SERVE+</t>
        </is>
      </c>
      <c r="AB46" s="60" t="inlineStr">
        <is>
          <t>SERVE+</t>
        </is>
      </c>
      <c r="AC46" s="60" t="inlineStr">
        <is>
          <t>SERVE+</t>
        </is>
      </c>
      <c r="AD46" s="60" t="inlineStr">
        <is>
          <t>SERVE+</t>
        </is>
      </c>
      <c r="AE46" s="78" t="inlineStr">
        <is>
          <t>SERVE+</t>
        </is>
      </c>
      <c r="AF46" s="60" t="inlineStr">
        <is>
          <t>SERVE+</t>
        </is>
      </c>
      <c r="AG46" s="60" t="inlineStr">
        <is>
          <t>SERVE+</t>
        </is>
      </c>
      <c r="AH46" s="67">
        <f>COUNTIF($C46:$AF46,AH$4)</f>
        <v/>
      </c>
      <c r="AI46" s="67">
        <f>COUNTIF($C46:$AF46,AI$4)</f>
        <v/>
      </c>
      <c r="AJ46" s="67">
        <f>COUNTIF($C46:$AF46,AJ$4)</f>
        <v/>
      </c>
      <c r="AK46" s="67">
        <f>COUNTIF($C46:$AF46,AK$4)</f>
        <v/>
      </c>
      <c r="AL46" s="67">
        <f>COUNTIF($C46:$AF46,AL$4)</f>
        <v/>
      </c>
      <c r="AM46" s="67">
        <f>COUNTIF($C46:$AF46,AM$4)</f>
        <v/>
      </c>
      <c r="AN46" s="67">
        <f>COUNTIF($C46:$AF46,AN$4)</f>
        <v/>
      </c>
      <c r="AO46" s="67">
        <f>COUNTIF($C46:$AF46,AO$4)</f>
        <v/>
      </c>
      <c r="AP46" s="67">
        <f>COUNTIF($C46:$AF46,AP$4)</f>
        <v/>
      </c>
      <c r="AQ46" s="76" t="n"/>
      <c r="AR46" s="76" t="n"/>
      <c r="AS46" s="77">
        <f>SUMPRODUCT(--(WEEKDAY(C$3:AG$3,2)&lt;5),--ISNUMBER(MATCH(C46:AG46,{"DM","CS1","CS2","SB1","AE","CS/B"},0)))</f>
        <v/>
      </c>
      <c r="AT46" s="67" t="n"/>
      <c r="AU46" s="77">
        <f>SUMPRODUCT(--(WEEKDAY(C$3:AG$3,2)=5),--ISNUMBER(MATCH(C46:AG46,{"DM","CS1","CS2","SB1","AE","CS/B","WEEKEND OUTFIELD RESERVE"},0)))</f>
        <v/>
      </c>
      <c r="AV46" s="77">
        <f>SUMPRODUCT(--(WEEKDAY(C$3:AG$3,2)&gt;5),--ISNUMBER(MATCH(C46:AG46,{"DM","CS1","CS2","SB1","AE","CS/B","WEEKEND OUTFIELD RESERVE"},0)))</f>
        <v/>
      </c>
      <c r="AW46" s="67" t="n"/>
      <c r="AX46" s="77">
        <f>(AS46-AT46)+AU46*1.5+(AV46-AW46)*2+AM46*0.5+AO46*0.5+AQ46-AR46</f>
        <v/>
      </c>
      <c r="AY46" s="77">
        <f>AS46+AU46+AV46</f>
        <v/>
      </c>
      <c r="AZ46" s="77">
        <f>BC46+BE46+BG46+BI46+BK46</f>
        <v/>
      </c>
      <c r="BA46" s="76">
        <f>AX46+BB46</f>
        <v/>
      </c>
      <c r="BB46" s="77">
        <f>BD46+BF46+BH46+BJ46+BL46</f>
        <v/>
      </c>
      <c r="BC46" s="77">
        <f>COUNTIF(A46:AH46,"*$BTP*")</f>
        <v/>
      </c>
      <c r="BD46" s="77">
        <f>BC46*1.5</f>
        <v/>
      </c>
      <c r="BE46" s="77">
        <f>COUNTIF(A46:AH46,"*$M*")</f>
        <v/>
      </c>
      <c r="BF46" s="77">
        <f>BE46*1</f>
        <v/>
      </c>
      <c r="BG46" s="77">
        <f>COUNTIF(A46:AH46,"*$PM*")</f>
        <v/>
      </c>
      <c r="BH46" s="77">
        <f>BG46*0.5</f>
        <v/>
      </c>
      <c r="BI46" s="77">
        <f>COUNTIF(A46:AH46,"*$AM*")</f>
        <v/>
      </c>
      <c r="BJ46" s="77">
        <f>BI46*0.5</f>
        <v/>
      </c>
      <c r="BK46" s="77">
        <f>COUNTIF(A46:AH46,"*$FC*")</f>
        <v/>
      </c>
      <c r="BL46" s="77">
        <f>BK46*1</f>
        <v/>
      </c>
      <c r="BM46" s="77">
        <f>COUNTIF($D46:$Y46,BM$4)</f>
        <v/>
      </c>
      <c r="BN46" s="77">
        <f>COUNTIF($D46:$Y46,BN$4)</f>
        <v/>
      </c>
      <c r="BO46" s="77">
        <f>COUNTIF($D46:$Y46,BO$4)</f>
        <v/>
      </c>
      <c r="BP46" s="67" t="n"/>
    </row>
    <row r="47" ht="19.5" customHeight="1">
      <c r="A47" s="67" t="n"/>
      <c r="B47" s="102" t="n"/>
      <c r="C47" s="102" t="n"/>
      <c r="D47" s="102" t="n"/>
      <c r="E47" s="102" t="n"/>
      <c r="F47" s="102" t="n"/>
      <c r="G47" s="102" t="n"/>
      <c r="H47" s="102" t="n"/>
      <c r="I47" s="102" t="n"/>
      <c r="J47" s="102" t="n"/>
      <c r="K47" s="102" t="n"/>
      <c r="L47" s="102" t="n"/>
      <c r="M47" s="102" t="n"/>
      <c r="N47" s="102" t="n"/>
      <c r="O47" s="102" t="n"/>
      <c r="P47" s="102" t="n"/>
      <c r="Q47" s="102" t="n"/>
      <c r="R47" s="102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2" t="n"/>
      <c r="AB47" s="102" t="n"/>
      <c r="AC47" s="102" t="n"/>
      <c r="AD47" s="102" t="n"/>
      <c r="AE47" s="102" t="n"/>
      <c r="AF47" s="102" t="n"/>
      <c r="AG47" s="60" t="n"/>
      <c r="AH47" s="67" t="n"/>
      <c r="AI47" s="67" t="n"/>
      <c r="AJ47" s="67" t="n"/>
      <c r="AK47" s="67" t="n"/>
      <c r="AL47" s="67" t="n"/>
      <c r="AM47" s="67" t="n"/>
      <c r="AN47" s="67" t="n"/>
      <c r="AO47" s="67" t="n"/>
      <c r="AP47" s="67" t="n"/>
      <c r="AQ47" s="76" t="n"/>
      <c r="AR47" s="76" t="n"/>
      <c r="AS47" s="77" t="n"/>
      <c r="AT47" s="67" t="n"/>
      <c r="AU47" s="77" t="n"/>
      <c r="AV47" s="77">
        <f>SUMPRODUCT(--(WEEKDAY(C$3:AF$3,2)&gt;5),--ISNUMBER(MATCH(C47:AF47,{"DM","CS1","CS2","SB1","AE","CS/B"},0)))</f>
        <v/>
      </c>
      <c r="AW47" s="67" t="n"/>
      <c r="AX47" s="77" t="n"/>
      <c r="AY47" s="77" t="n"/>
      <c r="AZ47" s="77" t="n"/>
      <c r="BA47" s="76" t="n"/>
      <c r="BB47" s="77" t="n"/>
      <c r="BC47" s="77" t="n"/>
      <c r="BD47" s="77" t="n"/>
      <c r="BE47" s="77" t="n"/>
      <c r="BF47" s="77" t="n"/>
      <c r="BG47" s="77" t="n"/>
      <c r="BH47" s="77" t="n"/>
      <c r="BI47" s="77" t="n"/>
      <c r="BJ47" s="77" t="n"/>
      <c r="BK47" s="77" t="n"/>
      <c r="BL47" s="77" t="n"/>
      <c r="BM47" s="77" t="n"/>
      <c r="BN47" s="77" t="n"/>
      <c r="BO47" s="77" t="n"/>
      <c r="BP47" s="67" t="n"/>
    </row>
    <row r="48" ht="19.5" customHeight="1">
      <c r="A48" s="67" t="n"/>
      <c r="B48" s="60" t="inlineStr">
        <is>
          <t>DM</t>
        </is>
      </c>
      <c r="C48" s="103">
        <f>INDEX($B$4:$B$46,MATCH($B48,C$4:C$46,0))</f>
        <v/>
      </c>
      <c r="D48" s="103">
        <f>INDEX($B$4:$B$46,MATCH($B48,D$4:D$46,0))</f>
        <v/>
      </c>
      <c r="E48" s="103">
        <f>INDEX($B$4:$B$46,MATCH($B48,E$4:E$46,0))</f>
        <v/>
      </c>
      <c r="F48" s="103">
        <f>INDEX($B$4:$B$46,MATCH($B48,F$4:F$46,0))</f>
        <v/>
      </c>
      <c r="G48" s="103">
        <f>INDEX($B$4:$B$46,MATCH($B48,G$4:G$46,0))</f>
        <v/>
      </c>
      <c r="H48" s="103">
        <f>INDEX($B$4:$B$46,MATCH($B48,H$4:H$46,0))</f>
        <v/>
      </c>
      <c r="I48" s="103">
        <f>INDEX($B$4:$B$46,MATCH($B48,I$4:I$46,0))</f>
        <v/>
      </c>
      <c r="J48" s="103">
        <f>INDEX($B$4:$B$46,MATCH($B48,J$4:J$46,0))</f>
        <v/>
      </c>
      <c r="K48" s="103">
        <f>INDEX($B$4:$B$46,MATCH($B48,K$4:K$46,0))</f>
        <v/>
      </c>
      <c r="L48" s="103">
        <f>INDEX($B$4:$B$46,MATCH($B48,L$4:L$46,0))</f>
        <v/>
      </c>
      <c r="M48" s="103">
        <f>INDEX($B$4:$B$46,MATCH($B48,M$4:M$46,0))</f>
        <v/>
      </c>
      <c r="N48" s="103">
        <f>INDEX($B$4:$B$46,MATCH($B48,N$4:N$46,0))</f>
        <v/>
      </c>
      <c r="O48" s="103">
        <f>INDEX($B$4:$B$46,MATCH($B48,O$4:O$46,0))</f>
        <v/>
      </c>
      <c r="P48" s="103">
        <f>INDEX($B$4:$B$46,MATCH($B48,P$4:P$46,0))</f>
        <v/>
      </c>
      <c r="Q48" s="103">
        <f>INDEX($B$4:$B$46,MATCH($B48,Q$4:Q$46,0))</f>
        <v/>
      </c>
      <c r="R48" s="103">
        <f>INDEX($B$4:$B$46,MATCH($B48,R$4:R$46,0))</f>
        <v/>
      </c>
      <c r="S48" s="103">
        <f>INDEX($B$4:$B$46,MATCH($B48,S$4:S$46,0))</f>
        <v/>
      </c>
      <c r="T48" s="103">
        <f>INDEX($B$4:$B$46,MATCH($B48,T$4:T$46,0))</f>
        <v/>
      </c>
      <c r="U48" s="103">
        <f>INDEX($B$4:$B$46,MATCH($B48,U$4:U$46,0))</f>
        <v/>
      </c>
      <c r="V48" s="103">
        <f>INDEX($B$4:$B$46,MATCH($B48,V$4:V$46,0))</f>
        <v/>
      </c>
      <c r="W48" s="103">
        <f>INDEX($B$4:$B$46,MATCH($B48,W$4:W$46,0))</f>
        <v/>
      </c>
      <c r="X48" s="103">
        <f>INDEX($B$4:$B$46,MATCH($B48,X$4:X$46,0))</f>
        <v/>
      </c>
      <c r="Y48" s="103">
        <f>INDEX($B$4:$B$46,MATCH($B48,Y$4:Y$46,0))</f>
        <v/>
      </c>
      <c r="Z48" s="103">
        <f>INDEX($B$4:$B$46,MATCH($B48,Z$4:Z$46,0))</f>
        <v/>
      </c>
      <c r="AA48" s="103">
        <f>INDEX($B$4:$B$46,MATCH($B48,AA$4:AA$46,0))</f>
        <v/>
      </c>
      <c r="AB48" s="103">
        <f>INDEX($B$4:$B$46,MATCH($B48,AB$4:AB$46,0))</f>
        <v/>
      </c>
      <c r="AC48" s="103">
        <f>INDEX($B$4:$B$46,MATCH($B48,AC$4:AC$46,0))</f>
        <v/>
      </c>
      <c r="AD48" s="103">
        <f>INDEX($B$4:$B$46,MATCH($B48,AD$4:AD$46,0))</f>
        <v/>
      </c>
      <c r="AE48" s="103">
        <f>INDEX($B$4:$B$46,MATCH($B48,AE$4:AE$46,0))</f>
        <v/>
      </c>
      <c r="AF48" s="103">
        <f>INDEX($B$4:$B$46,MATCH($B48,AF$4:AF$46,0))</f>
        <v/>
      </c>
      <c r="AG48" s="103">
        <f>INDEX($B$4:$B$46,MATCH($B48,AG$4:AG$46,0))</f>
        <v/>
      </c>
      <c r="AH48" s="67" t="n"/>
      <c r="AI48" s="67" t="n"/>
      <c r="AJ48" s="67" t="n"/>
      <c r="AK48" s="67" t="n"/>
      <c r="AL48" s="67" t="n"/>
      <c r="AM48" s="67" t="n"/>
      <c r="AN48" s="67" t="n"/>
      <c r="AO48" s="67" t="n"/>
      <c r="AP48" s="67" t="n"/>
      <c r="AQ48" s="76" t="n"/>
      <c r="AR48" s="76" t="n"/>
      <c r="AS48" s="77" t="n"/>
      <c r="AT48" s="67" t="n"/>
      <c r="AU48" s="77" t="n"/>
      <c r="AV48" s="77">
        <f>SUMPRODUCT(--(WEEKDAY(C$3:AF$3,2)&gt;5),--ISNUMBER(MATCH(C48:AF48,{"DM","CS1","CS2","SB1","AE","CS/B"},0)))</f>
        <v/>
      </c>
      <c r="AW48" s="67" t="n"/>
      <c r="AX48" s="77" t="n"/>
      <c r="AY48" s="77" t="n"/>
      <c r="AZ48" s="77" t="n"/>
      <c r="BA48" s="76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67" t="n"/>
    </row>
    <row r="49" ht="19.5" customHeight="1">
      <c r="A49" s="67" t="n"/>
      <c r="B49" s="60" t="inlineStr">
        <is>
          <t>CS1</t>
        </is>
      </c>
      <c r="C49" s="103">
        <f>INDEX($B$4:$B$46,MATCH($B49,C$4:C$46,0))</f>
        <v/>
      </c>
      <c r="D49" s="103">
        <f>INDEX($B$4:$B$46,MATCH($B49,D$4:D$46,0))</f>
        <v/>
      </c>
      <c r="E49" s="103">
        <f>INDEX($B$4:$B$46,MATCH($B49,E$4:E$46,0))</f>
        <v/>
      </c>
      <c r="F49" s="103">
        <f>INDEX($B$4:$B$46,MATCH($B49,F$4:F$46,0))</f>
        <v/>
      </c>
      <c r="G49" s="103">
        <f>INDEX($B$4:$B$46,MATCH($B49,G$4:G$46,0))</f>
        <v/>
      </c>
      <c r="H49" s="103">
        <f>INDEX($B$4:$B$46,MATCH($B49,H$4:H$46,0))</f>
        <v/>
      </c>
      <c r="I49" s="103">
        <f>INDEX($B$4:$B$46,MATCH($B49,I$4:I$46,0))</f>
        <v/>
      </c>
      <c r="J49" s="103">
        <f>INDEX($B$4:$B$46,MATCH($B49,J$4:J$46,0))</f>
        <v/>
      </c>
      <c r="K49" s="103">
        <f>INDEX($B$4:$B$46,MATCH($B49,K$4:K$46,0))</f>
        <v/>
      </c>
      <c r="L49" s="103">
        <f>INDEX($B$4:$B$46,MATCH($B49,L$4:L$46,0))</f>
        <v/>
      </c>
      <c r="M49" s="103">
        <f>INDEX($B$4:$B$46,MATCH($B49,M$4:M$46,0))</f>
        <v/>
      </c>
      <c r="N49" s="103">
        <f>INDEX($B$4:$B$46,MATCH($B49,N$4:N$46,0))</f>
        <v/>
      </c>
      <c r="O49" s="103">
        <f>INDEX($B$4:$B$46,MATCH($B49,O$4:O$46,0))</f>
        <v/>
      </c>
      <c r="P49" s="103">
        <f>INDEX($B$4:$B$46,MATCH($B49,P$4:P$46,0))</f>
        <v/>
      </c>
      <c r="Q49" s="103">
        <f>INDEX($B$4:$B$46,MATCH($B49,Q$4:Q$46,0))</f>
        <v/>
      </c>
      <c r="R49" s="103">
        <f>INDEX($B$4:$B$46,MATCH($B49,R$4:R$46,0))</f>
        <v/>
      </c>
      <c r="S49" s="103">
        <f>INDEX($B$4:$B$46,MATCH($B49,S$4:S$46,0))</f>
        <v/>
      </c>
      <c r="T49" s="103">
        <f>INDEX($B$4:$B$46,MATCH($B49,T$4:T$46,0))</f>
        <v/>
      </c>
      <c r="U49" s="103">
        <f>INDEX($B$4:$B$46,MATCH($B49,U$4:U$46,0))</f>
        <v/>
      </c>
      <c r="V49" s="103">
        <f>INDEX($B$4:$B$46,MATCH($B49,V$4:V$46,0))</f>
        <v/>
      </c>
      <c r="W49" s="103">
        <f>INDEX($B$4:$B$46,MATCH($B49,W$4:W$46,0))</f>
        <v/>
      </c>
      <c r="X49" s="103">
        <f>INDEX($B$4:$B$46,MATCH($B49,X$4:X$46,0))</f>
        <v/>
      </c>
      <c r="Y49" s="103">
        <f>INDEX($B$4:$B$46,MATCH($B49,Y$4:Y$46,0))</f>
        <v/>
      </c>
      <c r="Z49" s="103">
        <f>INDEX($B$4:$B$46,MATCH($B49,Z$4:Z$46,0))</f>
        <v/>
      </c>
      <c r="AA49" s="103">
        <f>INDEX($B$4:$B$46,MATCH($B49,AA$4:AA$46,0))</f>
        <v/>
      </c>
      <c r="AB49" s="103">
        <f>INDEX($B$4:$B$46,MATCH($B49,AB$4:AB$46,0))</f>
        <v/>
      </c>
      <c r="AC49" s="103">
        <f>INDEX($B$4:$B$46,MATCH($B49,AC$4:AC$46,0))</f>
        <v/>
      </c>
      <c r="AD49" s="103">
        <f>INDEX($B$4:$B$46,MATCH($B49,AD$4:AD$46,0))</f>
        <v/>
      </c>
      <c r="AE49" s="103">
        <f>INDEX($B$4:$B$46,MATCH($B49,AE$4:AE$46,0))</f>
        <v/>
      </c>
      <c r="AF49" s="103">
        <f>INDEX($B$4:$B$46,MATCH($B49,AF$4:AF$46,0))</f>
        <v/>
      </c>
      <c r="AG49" s="103">
        <f>INDEX($B$4:$B$46,MATCH($B49,AG$4:AG$46,0))</f>
        <v/>
      </c>
      <c r="AH49" s="67" t="n"/>
      <c r="AI49" s="67" t="n"/>
      <c r="AJ49" s="67" t="n"/>
      <c r="AK49" s="67" t="n"/>
      <c r="AL49" s="67" t="n"/>
      <c r="AM49" s="67" t="n"/>
      <c r="AN49" s="67" t="n"/>
      <c r="AO49" s="67" t="n"/>
      <c r="AP49" s="67" t="n"/>
      <c r="AQ49" s="76" t="n"/>
      <c r="AR49" s="76" t="n"/>
      <c r="AS49" s="77" t="n"/>
      <c r="AT49" s="67" t="n"/>
      <c r="AU49" s="77" t="n"/>
      <c r="AV49" s="77">
        <f>SUMPRODUCT(--(WEEKDAY(C$3:AF$3,2)&gt;5),--ISNUMBER(MATCH(C49:AF49,{"DM","CS1","CS2","SB1","AE","CS/B"},0)))</f>
        <v/>
      </c>
      <c r="AW49" s="67" t="n"/>
      <c r="AX49" s="77" t="n"/>
      <c r="AY49" s="77" t="n"/>
      <c r="AZ49" s="77" t="n"/>
      <c r="BA49" s="76" t="n"/>
      <c r="BB49" s="77" t="n"/>
      <c r="BC49" s="77" t="n"/>
      <c r="BD49" s="77" t="n"/>
      <c r="BE49" s="77" t="n"/>
      <c r="BF49" s="77" t="n"/>
      <c r="BG49" s="77" t="n"/>
      <c r="BH49" s="77" t="n"/>
      <c r="BI49" s="77" t="n"/>
      <c r="BJ49" s="77" t="n"/>
      <c r="BK49" s="77" t="n"/>
      <c r="BL49" s="77" t="n"/>
      <c r="BM49" s="77" t="n"/>
      <c r="BN49" s="77" t="n"/>
      <c r="BO49" s="77" t="n"/>
      <c r="BP49" s="67" t="n"/>
    </row>
    <row r="50" ht="19.5" customHeight="1">
      <c r="A50" s="67" t="n"/>
      <c r="B50" s="60" t="inlineStr">
        <is>
          <t>CS2</t>
        </is>
      </c>
      <c r="C50" s="103">
        <f>INDEX($B$4:$B$46,MATCH($B50,C$4:C$46,0))</f>
        <v/>
      </c>
      <c r="D50" s="103">
        <f>INDEX($B$4:$B$44,MATCH($B50,D$4:D$46,0))</f>
        <v/>
      </c>
      <c r="E50" s="103">
        <f>INDEX($B$4:$B$44,MATCH($B50,E$4:E$46,0))</f>
        <v/>
      </c>
      <c r="F50" s="103">
        <f>INDEX($B$4:$B$44,MATCH($B50,F$4:F$46,0))</f>
        <v/>
      </c>
      <c r="G50" s="103">
        <f>INDEX($B$4:$B$44,MATCH($B50,G$4:G$46,0))</f>
        <v/>
      </c>
      <c r="H50" s="103">
        <f>INDEX($B$4:$B$44,MATCH($B50,H$4:H$46,0))</f>
        <v/>
      </c>
      <c r="I50" s="103">
        <f>INDEX($B$4:$B$44,MATCH($B50,I$4:I$46,0))</f>
        <v/>
      </c>
      <c r="J50" s="103">
        <f>INDEX($B$4:$B$44,MATCH($B50,J$4:J$46,0))</f>
        <v/>
      </c>
      <c r="K50" s="103">
        <f>INDEX($B$4:$B$44,MATCH($B50,K$4:K$46,0))</f>
        <v/>
      </c>
      <c r="L50" s="103">
        <f>INDEX($B$4:$B$44,MATCH($B50,L$4:L$46,0))</f>
        <v/>
      </c>
      <c r="M50" s="103">
        <f>INDEX($B$4:$B$44,MATCH($B50,M$4:M$46,0))</f>
        <v/>
      </c>
      <c r="N50" s="103">
        <f>INDEX($B$4:$B$44,MATCH($B50,N$4:N$46,0))</f>
        <v/>
      </c>
      <c r="O50" s="103">
        <f>INDEX($B$4:$B$44,MATCH($B50,O$4:O$46,0))</f>
        <v/>
      </c>
      <c r="P50" s="103">
        <f>INDEX($B$4:$B$44,MATCH($B50,P$4:P$46,0))</f>
        <v/>
      </c>
      <c r="Q50" s="103">
        <f>INDEX($B$4:$B$44,MATCH($B50,Q$4:Q$46,0))</f>
        <v/>
      </c>
      <c r="R50" s="103">
        <f>INDEX($B$4:$B$44,MATCH($B50,R$4:R$46,0))</f>
        <v/>
      </c>
      <c r="S50" s="103">
        <f>INDEX($B$4:$B$44,MATCH($B50,S$4:S$46,0))</f>
        <v/>
      </c>
      <c r="T50" s="103">
        <f>INDEX($B$4:$B$44,MATCH($B50,T$4:T$46,0))</f>
        <v/>
      </c>
      <c r="U50" s="103">
        <f>INDEX($B$4:$B$44,MATCH($B50,U$4:U$46,0))</f>
        <v/>
      </c>
      <c r="V50" s="103">
        <f>INDEX($B$4:$B$44,MATCH($B50,V$4:V$46,0))</f>
        <v/>
      </c>
      <c r="W50" s="103">
        <f>INDEX($B$4:$B$44,MATCH($B50,W$4:W$46,0))</f>
        <v/>
      </c>
      <c r="X50" s="103">
        <f>INDEX($B$4:$B$44,MATCH($B50,X$4:X$46,0))</f>
        <v/>
      </c>
      <c r="Y50" s="103">
        <f>INDEX($B$4:$B$44,MATCH($B50,Y$4:Y$46,0))</f>
        <v/>
      </c>
      <c r="Z50" s="103">
        <f>INDEX($B$4:$B$44,MATCH($B50,Z$4:Z$46,0))</f>
        <v/>
      </c>
      <c r="AA50" s="103">
        <f>INDEX($B$4:$B$44,MATCH($B50,AA$4:AA$46,0))</f>
        <v/>
      </c>
      <c r="AB50" s="103">
        <f>INDEX($B$4:$B$44,MATCH($B50,AB$4:AB$46,0))</f>
        <v/>
      </c>
      <c r="AC50" s="103">
        <f>INDEX($B$4:$B$44,MATCH($B50,AC$4:AC$46,0))</f>
        <v/>
      </c>
      <c r="AD50" s="103">
        <f>INDEX($B$4:$B$44,MATCH($B50,AD$4:AD$46,0))</f>
        <v/>
      </c>
      <c r="AE50" s="103">
        <f>INDEX($B$4:$B$44,MATCH($B50,AE$4:AE$46,0))</f>
        <v/>
      </c>
      <c r="AF50" s="103">
        <f>INDEX($B$4:$B$44,MATCH($B50,AF$4:AF$46,0))</f>
        <v/>
      </c>
      <c r="AG50" s="103">
        <f>INDEX($B$4:$B$44,MATCH($B50,AG$4:AG$46,0))</f>
        <v/>
      </c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76" t="n"/>
      <c r="AR50" s="76" t="n"/>
      <c r="AS50" s="77" t="n"/>
      <c r="AT50" s="67" t="n"/>
      <c r="AU50" s="77" t="n"/>
      <c r="AV50" s="77">
        <f>SUMPRODUCT(--(WEEKDAY(C$3:AF$3,2)&gt;5),--ISNUMBER(MATCH(C50:AF50,{"DM","CS1","CS2","SB1","AE","CS/B"},0)))</f>
        <v/>
      </c>
      <c r="AW50" s="67" t="n"/>
      <c r="AX50" s="77" t="n"/>
      <c r="AY50" s="77" t="n"/>
      <c r="AZ50" s="77" t="n"/>
      <c r="BA50" s="76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67" t="n"/>
    </row>
    <row r="51" ht="19.5" customHeight="1">
      <c r="A51" s="67" t="n"/>
      <c r="B51" s="60" t="inlineStr">
        <is>
          <t>CS/B</t>
        </is>
      </c>
      <c r="C51" s="103">
        <f>INDEX($B$4:$B$46,MATCH($B51,C$4:C$46,0))</f>
        <v/>
      </c>
      <c r="D51" s="103">
        <f>INDEX($B$4:$B$46,MATCH($B51,D$4:D$46,0))</f>
        <v/>
      </c>
      <c r="E51" s="103">
        <f>INDEX($B$4:$B$46,MATCH($B51,E$4:E$46,0))</f>
        <v/>
      </c>
      <c r="F51" s="103">
        <f>INDEX($B$4:$B$46,MATCH($B51,F$4:F$46,0))</f>
        <v/>
      </c>
      <c r="G51" s="103">
        <f>INDEX($B$4:$B$46,MATCH($B51,G$4:G$46,0))</f>
        <v/>
      </c>
      <c r="H51" s="103">
        <f>INDEX($B$4:$B$46,MATCH($B51,H$4:H$46,0))</f>
        <v/>
      </c>
      <c r="I51" s="103">
        <f>INDEX($B$4:$B$46,MATCH($B51,I$4:I$46,0))</f>
        <v/>
      </c>
      <c r="J51" s="103">
        <f>INDEX($B$4:$B$46,MATCH($B51,J$4:J$46,0))</f>
        <v/>
      </c>
      <c r="K51" s="103">
        <f>INDEX($B$4:$B$46,MATCH($B51,K$4:K$46,0))</f>
        <v/>
      </c>
      <c r="L51" s="103">
        <f>INDEX($B$4:$B$46,MATCH($B51,L$4:L$46,0))</f>
        <v/>
      </c>
      <c r="M51" s="103">
        <f>INDEX($B$4:$B$46,MATCH($B51,M$4:M$46,0))</f>
        <v/>
      </c>
      <c r="N51" s="103">
        <f>INDEX($B$4:$B$46,MATCH($B51,N$4:N$46,0))</f>
        <v/>
      </c>
      <c r="O51" s="103">
        <f>INDEX($B$4:$B$46,MATCH($B51,O$4:O$46,0))</f>
        <v/>
      </c>
      <c r="P51" s="103">
        <f>INDEX($B$4:$B$46,MATCH($B51,P$4:P$46,0))</f>
        <v/>
      </c>
      <c r="Q51" s="103">
        <f>INDEX($B$4:$B$46,MATCH($B51,Q$4:Q$46,0))</f>
        <v/>
      </c>
      <c r="R51" s="103">
        <f>INDEX($B$4:$B$46,MATCH($B51,R$4:R$46,0))</f>
        <v/>
      </c>
      <c r="S51" s="103">
        <f>INDEX($B$4:$B$46,MATCH($B51,S$4:S$46,0))</f>
        <v/>
      </c>
      <c r="T51" s="103">
        <f>INDEX($B$4:$B$46,MATCH($B51,T$4:T$46,0))</f>
        <v/>
      </c>
      <c r="U51" s="103">
        <f>INDEX($B$4:$B$46,MATCH($B51,U$4:U$46,0))</f>
        <v/>
      </c>
      <c r="V51" s="103">
        <f>INDEX($B$4:$B$46,MATCH($B51,V$4:V$46,0))</f>
        <v/>
      </c>
      <c r="W51" s="103">
        <f>INDEX($B$4:$B$46,MATCH($B51,W$4:W$46,0))</f>
        <v/>
      </c>
      <c r="X51" s="103">
        <f>INDEX($B$4:$B$46,MATCH($B51,X$4:X$46,0))</f>
        <v/>
      </c>
      <c r="Y51" s="103">
        <f>INDEX($B$4:$B$46,MATCH($B51,Y$4:Y$46,0))</f>
        <v/>
      </c>
      <c r="Z51" s="103">
        <f>INDEX($B$4:$B$46,MATCH($B51,Z$4:Z$46,0))</f>
        <v/>
      </c>
      <c r="AA51" s="103">
        <f>INDEX($B$4:$B$46,MATCH($B51,AA$4:AA$46,0))</f>
        <v/>
      </c>
      <c r="AB51" s="103">
        <f>INDEX($B$4:$B$46,MATCH($B51,AB$4:AB$46,0))</f>
        <v/>
      </c>
      <c r="AC51" s="103">
        <f>INDEX($B$4:$B$46,MATCH($B51,AC$4:AC$46,0))</f>
        <v/>
      </c>
      <c r="AD51" s="103">
        <f>INDEX($B$4:$B$46,MATCH($B51,AD$4:AD$46,0))</f>
        <v/>
      </c>
      <c r="AE51" s="103">
        <f>INDEX($B$4:$B$46,MATCH($B51,AE$4:AE$46,0))</f>
        <v/>
      </c>
      <c r="AF51" s="103">
        <f>INDEX($B$4:$B$46,MATCH($B51,AF$4:AF$46,0))</f>
        <v/>
      </c>
      <c r="AG51" s="103">
        <f>INDEX($B$4:$B$46,MATCH($B51,AG$4:AG$46,0))</f>
        <v/>
      </c>
      <c r="AH51" s="67" t="n"/>
      <c r="AI51" s="67" t="n"/>
      <c r="AJ51" s="67" t="n"/>
      <c r="AK51" s="67" t="n"/>
      <c r="AL51" s="67" t="n"/>
      <c r="AM51" s="67" t="n"/>
      <c r="AN51" s="67" t="n"/>
      <c r="AO51" s="67" t="n"/>
      <c r="AP51" s="67" t="n"/>
      <c r="AQ51" s="76" t="n"/>
      <c r="AR51" s="76" t="n"/>
      <c r="AS51" s="77" t="n"/>
      <c r="AT51" s="67" t="n"/>
      <c r="AU51" s="77" t="n"/>
      <c r="AV51" s="77">
        <f>SUMPRODUCT(--(WEEKDAY(C$3:AF$3,2)&gt;5),--ISNUMBER(MATCH(C51:AF51,{"DM","CS1","CS2","SB1","AE","CS/B"},0)))</f>
        <v/>
      </c>
      <c r="AW51" s="67" t="n"/>
      <c r="AX51" s="77" t="n"/>
      <c r="AY51" s="77" t="n"/>
      <c r="AZ51" s="77" t="n"/>
      <c r="BA51" s="76" t="n"/>
      <c r="BB51" s="77" t="n"/>
      <c r="BC51" s="77" t="n"/>
      <c r="BD51" s="77" t="n"/>
      <c r="BE51" s="77" t="n"/>
      <c r="BF51" s="77" t="n"/>
      <c r="BG51" s="77" t="n"/>
      <c r="BH51" s="77" t="n"/>
      <c r="BI51" s="77" t="n"/>
      <c r="BJ51" s="77" t="n"/>
      <c r="BK51" s="77" t="n"/>
      <c r="BL51" s="77" t="n"/>
      <c r="BM51" s="77" t="n"/>
      <c r="BN51" s="77" t="n"/>
      <c r="BO51" s="77" t="n"/>
      <c r="BP51" s="67" t="n"/>
    </row>
    <row r="52" ht="19.5" customHeight="1">
      <c r="A52" s="67" t="n"/>
      <c r="B52" s="60" t="inlineStr">
        <is>
          <t>SB1</t>
        </is>
      </c>
      <c r="C52" s="103">
        <f>INDEX($B$4:$B$46,MATCH($B52,C$4:C$46,0))</f>
        <v/>
      </c>
      <c r="D52" s="103">
        <f>INDEX($B$4:$B$46,MATCH($B52,D$4:D$46,0))</f>
        <v/>
      </c>
      <c r="E52" s="103">
        <f>INDEX($B$4:$B$46,MATCH($B52,E$4:E$46,0))</f>
        <v/>
      </c>
      <c r="F52" s="103">
        <f>INDEX($B$4:$B$46,MATCH($B52,F$4:F$46,0))</f>
        <v/>
      </c>
      <c r="G52" s="103">
        <f>INDEX($B$4:$B$46,MATCH($B52,G$4:G$46,0))</f>
        <v/>
      </c>
      <c r="H52" s="103">
        <f>INDEX($B$4:$B$46,MATCH($B52,H$4:H$46,0))</f>
        <v/>
      </c>
      <c r="I52" s="103">
        <f>INDEX($B$4:$B$46,MATCH($B52,I$4:I$46,0))</f>
        <v/>
      </c>
      <c r="J52" s="103">
        <f>INDEX($B$4:$B$46,MATCH($B52,J$4:J$46,0))</f>
        <v/>
      </c>
      <c r="K52" s="103">
        <f>INDEX($B$4:$B$46,MATCH($B52,K$4:K$46,0))</f>
        <v/>
      </c>
      <c r="L52" s="103">
        <f>INDEX($B$4:$B$46,MATCH($B52,L$4:L$46,0))</f>
        <v/>
      </c>
      <c r="M52" s="103">
        <f>INDEX($B$4:$B$46,MATCH($B52,M$4:M$46,0))</f>
        <v/>
      </c>
      <c r="N52" s="103">
        <f>INDEX($B$4:$B$46,MATCH($B52,N$4:N$46,0))</f>
        <v/>
      </c>
      <c r="O52" s="103">
        <f>INDEX($B$4:$B$46,MATCH($B52,O$4:O$46,0))</f>
        <v/>
      </c>
      <c r="P52" s="103">
        <f>INDEX($B$4:$B$46,MATCH($B52,P$4:P$46,0))</f>
        <v/>
      </c>
      <c r="Q52" s="103">
        <f>INDEX($B$4:$B$46,MATCH($B52,Q$4:Q$46,0))</f>
        <v/>
      </c>
      <c r="R52" s="103">
        <f>INDEX($B$4:$B$46,MATCH($B52,R$4:R$46,0))</f>
        <v/>
      </c>
      <c r="S52" s="103">
        <f>INDEX($B$4:$B$46,MATCH($B52,S$4:S$46,0))</f>
        <v/>
      </c>
      <c r="T52" s="103">
        <f>INDEX($B$4:$B$46,MATCH($B52,T$4:T$46,0))</f>
        <v/>
      </c>
      <c r="U52" s="103">
        <f>INDEX($B$4:$B$46,MATCH($B52,U$4:U$46,0))</f>
        <v/>
      </c>
      <c r="V52" s="103">
        <f>INDEX($B$4:$B$46,MATCH($B52,V$4:V$46,0))</f>
        <v/>
      </c>
      <c r="W52" s="103">
        <f>INDEX($B$4:$B$46,MATCH($B52,W$4:W$46,0))</f>
        <v/>
      </c>
      <c r="X52" s="103">
        <f>INDEX($B$4:$B$46,MATCH($B52,X$4:X$46,0))</f>
        <v/>
      </c>
      <c r="Y52" s="103">
        <f>INDEX($B$4:$B$46,MATCH($B52,Y$4:Y$46,0))</f>
        <v/>
      </c>
      <c r="Z52" s="103">
        <f>INDEX($B$4:$B$46,MATCH($B52,Z$4:Z$46,0))</f>
        <v/>
      </c>
      <c r="AA52" s="103">
        <f>INDEX($B$4:$B$46,MATCH($B52,AA$4:AA$46,0))</f>
        <v/>
      </c>
      <c r="AB52" s="103">
        <f>INDEX($B$4:$B$46,MATCH($B52,AB$4:AB$46,0))</f>
        <v/>
      </c>
      <c r="AC52" s="103">
        <f>INDEX($B$4:$B$46,MATCH($B52,AC$4:AC$46,0))</f>
        <v/>
      </c>
      <c r="AD52" s="103">
        <f>INDEX($B$4:$B$46,MATCH($B52,AD$4:AD$46,0))</f>
        <v/>
      </c>
      <c r="AE52" s="103">
        <f>INDEX($B$4:$B$46,MATCH($B52,AE$4:AE$46,0))</f>
        <v/>
      </c>
      <c r="AF52" s="103">
        <f>INDEX($B$4:$B$46,MATCH($B52,AF$4:AF$46,0))</f>
        <v/>
      </c>
      <c r="AG52" s="103">
        <f>INDEX($B$4:$B$46,MATCH($B52,AG$4:AG$46,0))</f>
        <v/>
      </c>
      <c r="AH52" s="67" t="n"/>
      <c r="AI52" s="67" t="n"/>
      <c r="AJ52" s="67" t="n"/>
      <c r="AK52" s="67" t="n"/>
      <c r="AL52" s="67" t="n"/>
      <c r="AM52" s="67" t="n"/>
      <c r="AN52" s="67" t="n"/>
      <c r="AO52" s="67" t="n"/>
      <c r="AP52" s="67" t="n"/>
      <c r="AQ52" s="76" t="n"/>
      <c r="AR52" s="76" t="n"/>
      <c r="AS52" s="77" t="n"/>
      <c r="AT52" s="67" t="n"/>
      <c r="AU52" s="77" t="n"/>
      <c r="AV52" s="77">
        <f>SUMPRODUCT(--(WEEKDAY(C$3:AF$3,2)&gt;5),--ISNUMBER(MATCH(C52:AF52,{"DM","CS1","CS2","SB1","AE","CS/B"},0)))</f>
        <v/>
      </c>
      <c r="AW52" s="67" t="n"/>
      <c r="AX52" s="77" t="n"/>
      <c r="AY52" s="77" t="n"/>
      <c r="AZ52" s="77" t="n"/>
      <c r="BA52" s="76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67" t="n"/>
    </row>
    <row r="53" ht="19.5" customHeight="1">
      <c r="A53" s="67" t="n"/>
      <c r="B53" s="60" t="inlineStr">
        <is>
          <t>SB2</t>
        </is>
      </c>
      <c r="C53" s="103">
        <f>INDEX($B$4:$B$46,MATCH($B53,C$4:C$46,0))</f>
        <v/>
      </c>
      <c r="D53" s="103">
        <f>INDEX($B$4:$B$46,MATCH($B53,D$4:D$46,0))</f>
        <v/>
      </c>
      <c r="E53" s="103">
        <f>INDEX($B$4:$B$46,MATCH($B53,E$4:E$46,0))</f>
        <v/>
      </c>
      <c r="F53" s="103">
        <f>INDEX($B$4:$B$46,MATCH($B53,F$4:F$46,0))</f>
        <v/>
      </c>
      <c r="G53" s="103">
        <f>INDEX($B$4:$B$46,MATCH($B53,G$4:G$46,0))</f>
        <v/>
      </c>
      <c r="H53" s="103">
        <f>INDEX($B$4:$B$46,MATCH($B53,H$4:H$46,0))</f>
        <v/>
      </c>
      <c r="I53" s="103">
        <f>INDEX($B$4:$B$46,MATCH($B53,I$4:I$46,0))</f>
        <v/>
      </c>
      <c r="J53" s="103">
        <f>INDEX($B$4:$B$46,MATCH($B53,J$4:J$46,0))</f>
        <v/>
      </c>
      <c r="K53" s="103">
        <f>INDEX($B$4:$B$46,MATCH($B53,K$4:K$46,0))</f>
        <v/>
      </c>
      <c r="L53" s="103">
        <f>INDEX($B$4:$B$46,MATCH($B53,L$4:L$46,0))</f>
        <v/>
      </c>
      <c r="M53" s="103">
        <f>INDEX($B$4:$B$46,MATCH($B53,M$4:M$46,0))</f>
        <v/>
      </c>
      <c r="N53" s="103">
        <f>INDEX($B$4:$B$46,MATCH($B53,N$4:N$46,0))</f>
        <v/>
      </c>
      <c r="O53" s="103">
        <f>INDEX($B$4:$B$46,MATCH($B53,O$4:O$46,0))</f>
        <v/>
      </c>
      <c r="P53" s="103">
        <f>INDEX($B$4:$B$46,MATCH($B53,P$4:P$46,0))</f>
        <v/>
      </c>
      <c r="Q53" s="103">
        <f>INDEX($B$4:$B$46,MATCH($B53,Q$4:Q$46,0))</f>
        <v/>
      </c>
      <c r="R53" s="103">
        <f>INDEX($B$4:$B$46,MATCH($B53,R$4:R$46,0))</f>
        <v/>
      </c>
      <c r="S53" s="103">
        <f>INDEX($B$4:$B$46,MATCH($B53,S$4:S$46,0))</f>
        <v/>
      </c>
      <c r="T53" s="103">
        <f>INDEX($B$4:$B$46,MATCH($B53,T$4:T$46,0))</f>
        <v/>
      </c>
      <c r="U53" s="103">
        <f>INDEX($B$4:$B$46,MATCH($B53,U$4:U$46,0))</f>
        <v/>
      </c>
      <c r="V53" s="103">
        <f>INDEX($B$4:$B$46,MATCH($B53,V$4:V$46,0))</f>
        <v/>
      </c>
      <c r="W53" s="103">
        <f>INDEX($B$4:$B$46,MATCH($B53,W$4:W$46,0))</f>
        <v/>
      </c>
      <c r="X53" s="103">
        <f>INDEX($B$4:$B$46,MATCH($B53,X$4:X$46,0))</f>
        <v/>
      </c>
      <c r="Y53" s="103">
        <f>INDEX($B$4:$B$46,MATCH($B53,Y$4:Y$46,0))</f>
        <v/>
      </c>
      <c r="Z53" s="103">
        <f>INDEX($B$4:$B$46,MATCH($B53,Z$4:Z$46,0))</f>
        <v/>
      </c>
      <c r="AA53" s="103">
        <f>INDEX($B$4:$B$46,MATCH($B53,AA$4:AA$46,0))</f>
        <v/>
      </c>
      <c r="AB53" s="103">
        <f>INDEX($B$4:$B$46,MATCH($B53,AB$4:AB$46,0))</f>
        <v/>
      </c>
      <c r="AC53" s="103">
        <f>INDEX($B$4:$B$46,MATCH($B53,AC$4:AC$46,0))</f>
        <v/>
      </c>
      <c r="AD53" s="103">
        <f>INDEX($B$4:$B$46,MATCH($B53,AD$4:AD$46,0))</f>
        <v/>
      </c>
      <c r="AE53" s="103">
        <f>INDEX($B$4:$B$46,MATCH($B53,AE$4:AE$46,0))</f>
        <v/>
      </c>
      <c r="AF53" s="103">
        <f>INDEX($B$4:$B$46,MATCH($B53,AF$4:AF$46,0))</f>
        <v/>
      </c>
      <c r="AG53" s="103">
        <f>INDEX($B$4:$B$46,MATCH($B53,AG$4:AG$46,0))</f>
        <v/>
      </c>
      <c r="AH53" s="67" t="n"/>
      <c r="AI53" s="67" t="n"/>
      <c r="AJ53" s="67" t="n"/>
      <c r="AK53" s="67" t="n"/>
      <c r="AL53" s="67" t="n"/>
      <c r="AM53" s="67" t="n"/>
      <c r="AN53" s="67" t="n"/>
      <c r="AO53" s="67" t="n"/>
      <c r="AP53" s="67" t="n"/>
      <c r="AQ53" s="76" t="n"/>
      <c r="AR53" s="76" t="n"/>
      <c r="AS53" s="77" t="n"/>
      <c r="AT53" s="67" t="n"/>
      <c r="AU53" s="77" t="n"/>
      <c r="AV53" s="77">
        <f>SUMPRODUCT(--(WEEKDAY(C$3:AF$3,2)&gt;5),--ISNUMBER(MATCH(C53:AF53,{"DM","CS1","CS2","SB1","AE","CS/B"},0)))</f>
        <v/>
      </c>
      <c r="AW53" s="67" t="n"/>
      <c r="AX53" s="77" t="n"/>
      <c r="AY53" s="77" t="n"/>
      <c r="AZ53" s="77" t="n"/>
      <c r="BA53" s="76" t="n"/>
      <c r="BB53" s="77" t="n"/>
      <c r="BC53" s="77" t="n"/>
      <c r="BD53" s="77" t="n"/>
      <c r="BE53" s="77" t="n"/>
      <c r="BF53" s="77" t="n"/>
      <c r="BG53" s="77" t="n"/>
      <c r="BH53" s="77" t="n"/>
      <c r="BI53" s="77" t="n"/>
      <c r="BJ53" s="77" t="n"/>
      <c r="BK53" s="77" t="n"/>
      <c r="BL53" s="77" t="n"/>
      <c r="BM53" s="77" t="n"/>
      <c r="BN53" s="77" t="n"/>
      <c r="BO53" s="77" t="n"/>
      <c r="BP53" s="67" t="n"/>
    </row>
    <row r="54" ht="19.5" customHeight="1">
      <c r="A54" s="67" t="n"/>
      <c r="B54" s="60" t="inlineStr">
        <is>
          <t>AE</t>
        </is>
      </c>
      <c r="C54" s="103">
        <f>INDEX($B$4:$B$46,MATCH($B54,C$4:C$46,0))</f>
        <v/>
      </c>
      <c r="D54" s="103">
        <f>INDEX($B$4:$B$46,MATCH($B54,D$4:D$46,0))</f>
        <v/>
      </c>
      <c r="E54" s="103">
        <f>INDEX($B$4:$B$46,MATCH($B54,E$4:E$46,0))</f>
        <v/>
      </c>
      <c r="F54" s="103">
        <f>INDEX($B$4:$B$46,MATCH($B54,F$4:F$46,0))</f>
        <v/>
      </c>
      <c r="G54" s="103">
        <f>INDEX($B$4:$B$46,MATCH($B54,G$4:G$46,0))</f>
        <v/>
      </c>
      <c r="H54" s="103">
        <f>INDEX($B$4:$B$46,MATCH($B54,H$4:H$46,0))</f>
        <v/>
      </c>
      <c r="I54" s="103">
        <f>INDEX($B$4:$B$46,MATCH($B54,I$4:I$46,0))</f>
        <v/>
      </c>
      <c r="J54" s="103">
        <f>INDEX($B$4:$B$46,MATCH($B54,J$4:J$46,0))</f>
        <v/>
      </c>
      <c r="K54" s="103">
        <f>INDEX($B$4:$B$46,MATCH($B54,K$4:K$46,0))</f>
        <v/>
      </c>
      <c r="L54" s="103">
        <f>INDEX($B$4:$B$46,MATCH($B54,L$4:L$46,0))</f>
        <v/>
      </c>
      <c r="M54" s="103">
        <f>INDEX($B$4:$B$46,MATCH($B54,M$4:M$46,0))</f>
        <v/>
      </c>
      <c r="N54" s="103">
        <f>INDEX($B$4:$B$46,MATCH($B54,N$4:N$46,0))</f>
        <v/>
      </c>
      <c r="O54" s="103">
        <f>INDEX($B$4:$B$46,MATCH($B54,O$4:O$46,0))</f>
        <v/>
      </c>
      <c r="P54" s="103">
        <f>INDEX($B$4:$B$46,MATCH($B54,P$4:P$46,0))</f>
        <v/>
      </c>
      <c r="Q54" s="103">
        <f>INDEX($B$4:$B$46,MATCH($B54,Q$4:Q$46,0))</f>
        <v/>
      </c>
      <c r="R54" s="103">
        <f>INDEX($B$4:$B$46,MATCH($B54,R$4:R$46,0))</f>
        <v/>
      </c>
      <c r="S54" s="103">
        <f>INDEX($B$4:$B$46,MATCH($B54,S$4:S$46,0))</f>
        <v/>
      </c>
      <c r="T54" s="103">
        <f>INDEX($B$4:$B$46,MATCH($B54,T$4:T$46,0))</f>
        <v/>
      </c>
      <c r="U54" s="103">
        <f>INDEX($B$4:$B$46,MATCH($B54,U$4:U$46,0))</f>
        <v/>
      </c>
      <c r="V54" s="103">
        <f>INDEX($B$4:$B$46,MATCH($B54,V$4:V$46,0))</f>
        <v/>
      </c>
      <c r="W54" s="103">
        <f>INDEX($B$4:$B$46,MATCH($B54,W$4:W$46,0))</f>
        <v/>
      </c>
      <c r="X54" s="103">
        <f>INDEX($B$4:$B$46,MATCH($B54,X$4:X$46,0))</f>
        <v/>
      </c>
      <c r="Y54" s="103">
        <f>INDEX($B$4:$B$46,MATCH($B54,Y$4:Y$46,0))</f>
        <v/>
      </c>
      <c r="Z54" s="103">
        <f>INDEX($B$4:$B$46,MATCH($B54,Z$4:Z$46,0))</f>
        <v/>
      </c>
      <c r="AA54" s="103">
        <f>INDEX($B$4:$B$46,MATCH($B54,AA$4:AA$46,0))</f>
        <v/>
      </c>
      <c r="AB54" s="103">
        <f>INDEX($B$4:$B$46,MATCH($B54,AB$4:AB$46,0))</f>
        <v/>
      </c>
      <c r="AC54" s="103">
        <f>INDEX($B$4:$B$46,MATCH($B54,AC$4:AC$46,0))</f>
        <v/>
      </c>
      <c r="AD54" s="103">
        <f>INDEX($B$4:$B$46,MATCH($B54,AD$4:AD$46,0))</f>
        <v/>
      </c>
      <c r="AE54" s="103">
        <f>INDEX($B$4:$B$46,MATCH($B54,AE$4:AE$46,0))</f>
        <v/>
      </c>
      <c r="AF54" s="103">
        <f>INDEX($B$4:$B$46,MATCH($B54,AF$4:AF$46,0))</f>
        <v/>
      </c>
      <c r="AG54" s="103">
        <f>INDEX($B$4:$B$46,MATCH($B54,AG$4:AG$46,0))</f>
        <v/>
      </c>
      <c r="AH54" s="67" t="n"/>
      <c r="AI54" s="67" t="n"/>
      <c r="AJ54" s="67" t="n"/>
      <c r="AK54" s="67" t="n"/>
      <c r="AL54" s="67" t="n"/>
      <c r="AM54" s="67" t="n"/>
      <c r="AN54" s="67" t="n"/>
      <c r="AO54" s="67" t="n"/>
      <c r="AP54" s="67" t="n"/>
      <c r="AQ54" s="76" t="n"/>
      <c r="AR54" s="76" t="n"/>
      <c r="AS54" s="77" t="n"/>
      <c r="AT54" s="67" t="n"/>
      <c r="AU54" s="77" t="n"/>
      <c r="AV54" s="77">
        <f>SUMPRODUCT(--(WEEKDAY(C$3:AF$3,2)&gt;5),--ISNUMBER(MATCH(C54:AF54,{"DM","CS1","CS2","SB1","AE","CS/B"},0)))</f>
        <v/>
      </c>
      <c r="AW54" s="67" t="n"/>
      <c r="AX54" s="77" t="n"/>
      <c r="AY54" s="77" t="n"/>
      <c r="AZ54" s="77" t="n"/>
      <c r="BA54" s="76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67" t="n"/>
    </row>
    <row r="55" ht="19.5" customHeight="1">
      <c r="A55" s="67" t="n"/>
      <c r="B55" s="104" t="inlineStr">
        <is>
          <t>RESERVE</t>
        </is>
      </c>
      <c r="C55" s="103">
        <f>INDEX($B$4:$B$46,MATCH($B55,C$4:C$46,0))</f>
        <v/>
      </c>
      <c r="D55" s="103">
        <f>INDEX($B$4:$B$46,MATCH($B55,D$4:D$46,0))</f>
        <v/>
      </c>
      <c r="E55" s="103">
        <f>INDEX($B$4:$B$46,MATCH($B55,E$4:E$46,0))</f>
        <v/>
      </c>
      <c r="F55" s="103">
        <f>INDEX($B$4:$B$46,MATCH($B55,F$4:F$46,0))</f>
        <v/>
      </c>
      <c r="G55" s="103">
        <f>INDEX($B$4:$B$46,MATCH($B55,G$4:G$46,0))</f>
        <v/>
      </c>
      <c r="H55" s="103">
        <f>INDEX($B$4:$B$46,MATCH($B55,H$4:H$46,0))</f>
        <v/>
      </c>
      <c r="I55" s="103">
        <f>INDEX($B$4:$B$46,MATCH($B55,I$4:I$46,0))</f>
        <v/>
      </c>
      <c r="J55" s="103">
        <f>INDEX($B$4:$B$46,MATCH($B55,J$4:J$46,0))</f>
        <v/>
      </c>
      <c r="K55" s="103">
        <f>INDEX($B$4:$B$46,MATCH($B55,K$4:K$46,0))</f>
        <v/>
      </c>
      <c r="L55" s="103">
        <f>INDEX($B$4:$B$46,MATCH($B55,L$4:L$46,0))</f>
        <v/>
      </c>
      <c r="M55" s="103">
        <f>INDEX($B$4:$B$46,MATCH($B55,M$4:M$46,0))</f>
        <v/>
      </c>
      <c r="N55" s="103">
        <f>INDEX($B$4:$B$46,MATCH($B55,N$4:N$46,0))</f>
        <v/>
      </c>
      <c r="O55" s="103">
        <f>INDEX($B$4:$B$46,MATCH($B55,O$4:O$46,0))</f>
        <v/>
      </c>
      <c r="P55" s="103">
        <f>INDEX($B$4:$B$46,MATCH($B55,P$4:P$46,0))</f>
        <v/>
      </c>
      <c r="Q55" s="103">
        <f>INDEX($B$4:$B$46,MATCH($B55,Q$4:Q$46,0))</f>
        <v/>
      </c>
      <c r="R55" s="103">
        <f>INDEX($B$4:$B$46,MATCH($B55,R$4:R$46,0))</f>
        <v/>
      </c>
      <c r="S55" s="103">
        <f>INDEX($B$4:$B$46,MATCH($B55,S$4:S$46,0))</f>
        <v/>
      </c>
      <c r="T55" s="103">
        <f>INDEX($B$4:$B$46,MATCH($B55,T$4:T$46,0))</f>
        <v/>
      </c>
      <c r="U55" s="103">
        <f>INDEX($B$4:$B$46,MATCH($B55,U$4:U$46,0))</f>
        <v/>
      </c>
      <c r="V55" s="103">
        <f>INDEX($B$4:$B$46,MATCH($B55,V$4:V$46,0))</f>
        <v/>
      </c>
      <c r="W55" s="103">
        <f>INDEX($B$4:$B$46,MATCH($B55,W$4:W$46,0))</f>
        <v/>
      </c>
      <c r="X55" s="103">
        <f>INDEX($B$4:$B$46,MATCH($B55,X$4:X$46,0))</f>
        <v/>
      </c>
      <c r="Y55" s="103">
        <f>INDEX($B$4:$B$46,MATCH($B55,Y$4:Y$46,0))</f>
        <v/>
      </c>
      <c r="Z55" s="103">
        <f>INDEX($B$4:$B$46,MATCH($B55,Z$4:Z$46,0))</f>
        <v/>
      </c>
      <c r="AA55" s="103">
        <f>INDEX($B$4:$B$46,MATCH($B55,AA$4:AA$46,0))</f>
        <v/>
      </c>
      <c r="AB55" s="103">
        <f>INDEX($B$4:$B$46,MATCH($B55,AB$4:AB$46,0))</f>
        <v/>
      </c>
      <c r="AC55" s="103">
        <f>INDEX($B$4:$B$46,MATCH($B55,AC$4:AC$46,0))</f>
        <v/>
      </c>
      <c r="AD55" s="103">
        <f>INDEX($B$4:$B$46,MATCH($B55,AD$4:AD$46,0))</f>
        <v/>
      </c>
      <c r="AE55" s="103">
        <f>INDEX($B$4:$B$46,MATCH($B55,AE$4:AE$46,0))</f>
        <v/>
      </c>
      <c r="AF55" s="103">
        <f>INDEX($B$4:$B$46,MATCH($B55,AF$4:AF$46,0))</f>
        <v/>
      </c>
      <c r="AG55" s="103">
        <f>INDEX($B$4:$B$46,MATCH($B55,AG$4:AG$46,0))</f>
        <v/>
      </c>
      <c r="AH55" s="67" t="n"/>
      <c r="AI55" s="67" t="n"/>
      <c r="AJ55" s="67" t="n"/>
      <c r="AK55" s="67" t="n"/>
      <c r="AL55" s="67" t="n"/>
      <c r="AM55" s="67" t="n"/>
      <c r="AN55" s="67" t="n"/>
      <c r="AO55" s="67" t="n"/>
      <c r="AP55" s="67" t="n"/>
      <c r="AQ55" s="76" t="n"/>
      <c r="AR55" s="76" t="n"/>
      <c r="AS55" s="77" t="n"/>
      <c r="AT55" s="67" t="n"/>
      <c r="AU55" s="77" t="n"/>
      <c r="AV55" s="77">
        <f>SUMPRODUCT(--(WEEKDAY(C$3:AF$3,2)&gt;5),--ISNUMBER(MATCH(C55:AF55,{"DM","CS1","CS2","SB1","AE","CS/B"},0)))</f>
        <v/>
      </c>
      <c r="AW55" s="67" t="n"/>
      <c r="AX55" s="77" t="n"/>
      <c r="AY55" s="77" t="n"/>
      <c r="AZ55" s="77" t="n"/>
      <c r="BA55" s="76" t="n"/>
      <c r="BB55" s="77" t="n"/>
      <c r="BC55" s="77" t="n"/>
      <c r="BD55" s="77" t="n"/>
      <c r="BE55" s="77" t="n"/>
      <c r="BF55" s="77" t="n"/>
      <c r="BG55" s="77" t="n"/>
      <c r="BH55" s="77" t="n"/>
      <c r="BI55" s="77" t="n"/>
      <c r="BJ55" s="77" t="n"/>
      <c r="BK55" s="77" t="n"/>
      <c r="BL55" s="77" t="n"/>
      <c r="BM55" s="77" t="n"/>
      <c r="BN55" s="77" t="n"/>
      <c r="BO55" s="77" t="n"/>
      <c r="BP55" s="67" t="n"/>
    </row>
    <row r="56" ht="19.5" customHeight="1">
      <c r="A56" s="67" t="n"/>
      <c r="B56" s="105" t="n"/>
      <c r="C56" s="102" t="n"/>
      <c r="D56" s="102" t="n"/>
      <c r="E56" s="102" t="n"/>
      <c r="F56" s="102" t="n"/>
      <c r="G56" s="102" t="n"/>
      <c r="H56" s="102" t="n"/>
      <c r="I56" s="102" t="n"/>
      <c r="J56" s="102" t="n"/>
      <c r="K56" s="102" t="n"/>
      <c r="L56" s="102" t="n"/>
      <c r="M56" s="102" t="n"/>
      <c r="N56" s="102" t="n"/>
      <c r="O56" s="102" t="n"/>
      <c r="P56" s="102" t="n"/>
      <c r="Q56" s="102" t="n"/>
      <c r="R56" s="102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2" t="n"/>
      <c r="AB56" s="102" t="n"/>
      <c r="AC56" s="102" t="n"/>
      <c r="AD56" s="102" t="n"/>
      <c r="AE56" s="102" t="n"/>
      <c r="AF56" s="102" t="n"/>
      <c r="AG56" s="102" t="n"/>
      <c r="AH56" s="105">
        <f>COUNTIF($C56:$AF56,AH$4)</f>
        <v/>
      </c>
      <c r="AI56" s="105">
        <f>COUNTIF($C56:$AF56,AI$4)</f>
        <v/>
      </c>
      <c r="AJ56" s="105">
        <f>COUNTIF($C56:$AF56,AJ$4)</f>
        <v/>
      </c>
      <c r="AK56" s="105">
        <f>COUNTIF($C56:$AF56,AK$4)</f>
        <v/>
      </c>
      <c r="AL56" s="105">
        <f>COUNTIF($C56:$AF56,AL$4)</f>
        <v/>
      </c>
      <c r="AM56" s="105">
        <f>COUNTIF($C56:$AF56,AM$4)</f>
        <v/>
      </c>
      <c r="AN56" s="105">
        <f>COUNTIF($C56:$AF56,AN$4)</f>
        <v/>
      </c>
      <c r="AO56" s="105">
        <f>COUNTIF($C56:$AF56,AO$4)</f>
        <v/>
      </c>
      <c r="AP56" s="105">
        <f>COUNTIF($C56:$AF56,AP$4)</f>
        <v/>
      </c>
      <c r="AQ56" s="105" t="n">
        <v>1</v>
      </c>
      <c r="AR56" s="105" t="n"/>
      <c r="AS56" s="105">
        <f t="array" ref="AS56">SUMPRODUCT(--(WEEKDAY(C$3:AF$3,2)&lt;5),--ISNUMBER(MATCH(C56:AF56,{"DM","CS1","CS2","SB1","AE","CS/B"},0)))</f>
        <v/>
      </c>
      <c r="AT56" s="105" t="n"/>
      <c r="AU56" s="105">
        <f t="array" ref="AU56">SUMPRODUCT(--(WEEKDAY(C$3:AF$3,2)=5),--ISNUMBER(MATCH(C56:AF56,{"DM","CS1","CS2","SB1","AE","CS/B"},0)))</f>
        <v/>
      </c>
      <c r="AV56" s="77">
        <f>SUMPRODUCT(--(WEEKDAY(C$3:AF$3,2)&gt;5),--ISNUMBER(MATCH(C56:AF56,{"DM","CS1","CS2","SB1","AE","CS/B"},0)))</f>
        <v/>
      </c>
      <c r="AW56" s="105" t="n"/>
      <c r="AX56" s="105">
        <f>(AS56-AT56)+AU56*1.5+(AV56-AW56)*2+AM56*0.5+AO56*0.5+AQ56-AR56</f>
        <v/>
      </c>
      <c r="AY56" s="105">
        <f>AS56+AU56+AV56</f>
        <v/>
      </c>
      <c r="AZ56" s="105">
        <f>BC56+BE56+BG56+BI56+BK56</f>
        <v/>
      </c>
      <c r="BA56" s="105">
        <f>AX56+BB56</f>
        <v/>
      </c>
      <c r="BB56" s="105">
        <f>BD56+BF56+BH56+BJ56+BL56</f>
        <v/>
      </c>
      <c r="BC56" s="105">
        <f>COUNTIF(A56:AH56,"*$BTP*")</f>
        <v/>
      </c>
      <c r="BD56" s="105">
        <f>BC56*1.5</f>
        <v/>
      </c>
      <c r="BE56" s="105">
        <f>COUNTIF(A56:AH56,"*$M*")</f>
        <v/>
      </c>
      <c r="BF56" s="105">
        <f>BE56*1</f>
        <v/>
      </c>
      <c r="BG56" s="105">
        <f>COUNTIF(A56:AH56,"*$PM*")</f>
        <v/>
      </c>
      <c r="BH56" s="105">
        <f>BG56*0.5</f>
        <v/>
      </c>
      <c r="BI56" s="105">
        <f>COUNTIF(A56:AH56,"*$AM*")</f>
        <v/>
      </c>
      <c r="BJ56" s="105">
        <f>BI56*0.5</f>
        <v/>
      </c>
      <c r="BK56" s="105">
        <f>COUNTIF(A56:AH56,"*$FC*")</f>
        <v/>
      </c>
      <c r="BL56" s="105">
        <f>BK56*1</f>
        <v/>
      </c>
      <c r="BM56" s="105">
        <f>COUNTIF($D56:$Y56,BM$4)</f>
        <v/>
      </c>
      <c r="BN56" s="105">
        <f>COUNTIF($D56:$Y56,BN$4)</f>
        <v/>
      </c>
      <c r="BO56" s="105" t="n"/>
      <c r="BP56" s="105" t="n"/>
    </row>
    <row r="57" ht="19.5" customHeight="1">
      <c r="A57" s="67" t="n"/>
      <c r="B57" s="76" t="inlineStr">
        <is>
          <t>LCP GOH SONG YEE, ETHAN</t>
        </is>
      </c>
      <c r="C57" s="53" t="n"/>
      <c r="D57" s="106" t="n"/>
      <c r="E57" s="106" t="n"/>
      <c r="F57" s="60" t="n"/>
      <c r="G57" s="60" t="n"/>
      <c r="H57" s="60" t="n"/>
      <c r="I57" s="60" t="inlineStr">
        <is>
          <t>AM MA</t>
        </is>
      </c>
      <c r="J57" s="60" t="inlineStr">
        <is>
          <t>CS1</t>
        </is>
      </c>
      <c r="K57" s="53" t="n"/>
      <c r="L57" s="60" t="n"/>
      <c r="M57" s="53" t="inlineStr">
        <is>
          <t>B</t>
        </is>
      </c>
      <c r="N57" s="60" t="n"/>
      <c r="O57" s="60" t="inlineStr">
        <is>
          <t>SB2</t>
        </is>
      </c>
      <c r="P57" s="60" t="n"/>
      <c r="Q57" s="53" t="n"/>
      <c r="R57" s="53" t="inlineStr">
        <is>
          <t>CS1</t>
        </is>
      </c>
      <c r="S57" s="60" t="inlineStr">
        <is>
          <t>SB1</t>
        </is>
      </c>
      <c r="T57" s="53" t="inlineStr">
        <is>
          <t>SB1</t>
        </is>
      </c>
      <c r="U57" s="60" t="n"/>
      <c r="V57" s="60" t="n"/>
      <c r="W57" s="60" t="n"/>
      <c r="X57" s="60" t="inlineStr">
        <is>
          <t>AMPT</t>
        </is>
      </c>
      <c r="Y57" s="60" t="inlineStr">
        <is>
          <t>K $AM CC (0600-1100)</t>
        </is>
      </c>
      <c r="Z57" s="60" t="inlineStr">
        <is>
          <t>CS1</t>
        </is>
      </c>
      <c r="AA57" s="53" t="n"/>
      <c r="AB57" s="60" t="n"/>
      <c r="AC57" s="60" t="inlineStr">
        <is>
          <t>1st $FC</t>
        </is>
      </c>
      <c r="AD57" s="1" t="inlineStr">
        <is>
          <t>1st $FC</t>
        </is>
      </c>
      <c r="AE57" s="108" t="inlineStr">
        <is>
          <t xml:space="preserve">1st $FC           </t>
        </is>
      </c>
      <c r="AF57" s="108" t="n"/>
      <c r="AG57" s="108" t="n"/>
      <c r="AH57" s="67">
        <f>COUNTIF($C57:$AD57,AH$4)</f>
        <v/>
      </c>
      <c r="AI57" s="67">
        <f>COUNTIF($C57:$AD57,AI$4)</f>
        <v/>
      </c>
      <c r="AJ57" s="67">
        <f>COUNTIF($C57:$AD57,AJ$4)</f>
        <v/>
      </c>
      <c r="AK57" s="67">
        <f>COUNTIF($C57:$AD57,AK$4)</f>
        <v/>
      </c>
      <c r="AL57" s="67">
        <f>COUNTIF($C57:$AD57,AL$4)</f>
        <v/>
      </c>
      <c r="AM57" s="67">
        <f>COUNTIF($C57:$AD57,AM$4)</f>
        <v/>
      </c>
      <c r="AN57" s="67">
        <f>COUNTIF($C57:$AD57,AN$4)</f>
        <v/>
      </c>
      <c r="AO57" s="67">
        <f>COUNTIF($C57:$AD57,AO$4)</f>
        <v/>
      </c>
      <c r="AP57" s="67">
        <f>COUNTIF($C57:$AD57,AP$4)</f>
        <v/>
      </c>
      <c r="AQ57" s="76" t="n"/>
      <c r="AR57" s="76" t="n"/>
      <c r="AS57" s="77">
        <f>SUMPRODUCT(--(WEEKDAY(C$3:AG$3,2)&lt;5),--ISNUMBER(MATCH(C57:AG57,{"SB1","SB2"},0)))</f>
        <v/>
      </c>
      <c r="AT57" s="67" t="n"/>
      <c r="AU57" s="77">
        <f>SUMPRODUCT(--(WEEKDAY(C$3:AG$3,2)=5),--ISNUMBER(MATCH(C57:AG57,{"SB1","SB2"},0)))</f>
        <v/>
      </c>
      <c r="AV57" s="77">
        <f>SUMPRODUCT(--(WEEKDAY(C$3:AG$3,2)&gt;5),--ISNUMBER(MATCH(C57:AG57,{"SB1","SB2"},0)))</f>
        <v/>
      </c>
      <c r="AW57" s="67" t="n"/>
      <c r="AX57" s="77">
        <f>(AS57-AT57)+AU57*1.5+(AV57-AW57)*2+(AO57+AH57+AI57+AJ57+AK57+AN57)*0.5+AQ57-AR57</f>
        <v/>
      </c>
      <c r="AY57" s="77">
        <f>AS57+AU57+AV57</f>
        <v/>
      </c>
      <c r="AZ57" s="77">
        <f>BC57+BE57+BG57+BI57+BK57</f>
        <v/>
      </c>
      <c r="BA57" s="76">
        <f>AX57+BB57</f>
        <v/>
      </c>
      <c r="BB57" s="77">
        <f>BD57+BF57+BH57+BJ57+BL57</f>
        <v/>
      </c>
      <c r="BC57" s="77">
        <f>COUNTIF(A57:AH57,"*$BTP*")</f>
        <v/>
      </c>
      <c r="BD57" s="77">
        <f>BC57*1.5</f>
        <v/>
      </c>
      <c r="BE57" s="77">
        <f>COUNTIF(A57:AH57,"*$M*")</f>
        <v/>
      </c>
      <c r="BF57" s="77">
        <f>BE57*1</f>
        <v/>
      </c>
      <c r="BG57" s="77">
        <f>COUNTIF(A57:AH57,"*$PM*")</f>
        <v/>
      </c>
      <c r="BH57" s="77">
        <f>BG57*0.5</f>
        <v/>
      </c>
      <c r="BI57" s="77">
        <f>COUNTIF(A57:AH57,"*$AM*")</f>
        <v/>
      </c>
      <c r="BJ57" s="77">
        <f>BI57*0.5</f>
        <v/>
      </c>
      <c r="BK57" s="77">
        <f>COUNTIF(A57:AH57,"*$FC*")</f>
        <v/>
      </c>
      <c r="BL57" s="77">
        <f>BK57*1</f>
        <v/>
      </c>
      <c r="BM57" s="77">
        <f>COUNTIF($E57:$AG57,BM$4)</f>
        <v/>
      </c>
      <c r="BN57" s="77">
        <f>COUNTIF($E57:$AG57,BN$4)</f>
        <v/>
      </c>
      <c r="BO57" s="77">
        <f>COUNTIF($E57:$Y57,BO$4)</f>
        <v/>
      </c>
      <c r="BP57" s="67" t="n"/>
    </row>
    <row r="58" ht="19.5" customHeight="1">
      <c r="A58" s="67" t="inlineStr">
        <is>
          <t> </t>
        </is>
      </c>
      <c r="B58" s="76" t="inlineStr">
        <is>
          <t>LCP KOH KAH SENG</t>
        </is>
      </c>
      <c r="C58" s="60" t="n"/>
      <c r="D58" s="53" t="inlineStr">
        <is>
          <t>DM</t>
        </is>
      </c>
      <c r="E58" s="60" t="inlineStr">
        <is>
          <t>CS1</t>
        </is>
      </c>
      <c r="F58" s="107" t="n"/>
      <c r="G58" s="107" t="inlineStr">
        <is>
          <t>SB1</t>
        </is>
      </c>
      <c r="H58" s="60" t="n"/>
      <c r="I58" s="60" t="inlineStr">
        <is>
          <t>AL</t>
        </is>
      </c>
      <c r="J58" s="60" t="inlineStr">
        <is>
          <t>AL</t>
        </is>
      </c>
      <c r="K58" s="60" t="inlineStr">
        <is>
          <t>AL</t>
        </is>
      </c>
      <c r="L58" s="60" t="inlineStr">
        <is>
          <t>AL</t>
        </is>
      </c>
      <c r="M58" s="60" t="inlineStr">
        <is>
          <t>B</t>
        </is>
      </c>
      <c r="N58" s="60" t="inlineStr">
        <is>
          <t>B</t>
        </is>
      </c>
      <c r="O58" s="60" t="inlineStr">
        <is>
          <t>AM MA          PM OFF</t>
        </is>
      </c>
      <c r="P58" s="60" t="inlineStr">
        <is>
          <t>CS1</t>
        </is>
      </c>
      <c r="Q58" s="60" t="n"/>
      <c r="R58" s="60" t="inlineStr">
        <is>
          <t>AE</t>
        </is>
      </c>
      <c r="S58" s="108" t="n"/>
      <c r="T58" s="60" t="n"/>
      <c r="V58" s="60" t="n"/>
      <c r="W58" s="53" t="inlineStr">
        <is>
          <t>AE</t>
        </is>
      </c>
      <c r="X58" s="60" t="inlineStr">
        <is>
          <t>CS1</t>
        </is>
      </c>
      <c r="Y58" s="60" t="inlineStr">
        <is>
          <t>SB2</t>
        </is>
      </c>
      <c r="Z58" s="60" t="n"/>
      <c r="AA58" s="53" t="n"/>
      <c r="AB58" s="60" t="n"/>
      <c r="AC58" s="60" t="inlineStr">
        <is>
          <t>SB2</t>
        </is>
      </c>
      <c r="AD58" s="106" t="n"/>
      <c r="AE58" s="106" t="inlineStr">
        <is>
          <t>DM</t>
        </is>
      </c>
      <c r="AF58" s="60" t="inlineStr">
        <is>
          <t>B</t>
        </is>
      </c>
      <c r="AG58" s="60" t="inlineStr">
        <is>
          <t>OFF</t>
        </is>
      </c>
      <c r="AH58" s="67">
        <f>COUNTIF($C58:$AF58,AH$4)</f>
        <v/>
      </c>
      <c r="AI58" s="67">
        <f>COUNTIF($C58:$AF58,AI$4)</f>
        <v/>
      </c>
      <c r="AJ58" s="67">
        <f>COUNTIF($C58:$AF58,AJ$4)</f>
        <v/>
      </c>
      <c r="AK58" s="67">
        <f>COUNTIF($C58:$AF58,AK$4)</f>
        <v/>
      </c>
      <c r="AL58" s="67">
        <f>COUNTIF($C58:$AF58,AL$4)</f>
        <v/>
      </c>
      <c r="AM58" s="67">
        <f>COUNTIF($C58:$AF58,AM$4)</f>
        <v/>
      </c>
      <c r="AN58" s="67">
        <f>COUNTIF($C58:$AF58,AN$4)</f>
        <v/>
      </c>
      <c r="AO58" s="67">
        <f>COUNTIF($C58:$AF58,AO$4)</f>
        <v/>
      </c>
      <c r="AP58" s="67">
        <f>COUNTIF($C58:$AF58,AP$4)</f>
        <v/>
      </c>
      <c r="AQ58" s="76" t="n"/>
      <c r="AR58" s="76" t="n"/>
      <c r="AS58" s="77">
        <f>SUMPRODUCT(--(WEEKDAY(C$3:AG$3,2)&lt;5),--ISNUMBER(MATCH(C58:AG58,{"SB1","SB2"},0)))</f>
        <v/>
      </c>
      <c r="AT58" s="67" t="n"/>
      <c r="AU58" s="77">
        <f>SUMPRODUCT(--(WEEKDAY(C$3:AG$3,2)=5),--ISNUMBER(MATCH(C58:AG58,{"SB1","SB2"},0)))</f>
        <v/>
      </c>
      <c r="AV58" s="77">
        <f>SUMPRODUCT(--(WEEKDAY(C$3:AG$3,2)&gt;5),--ISNUMBER(MATCH(C58:AG58,{"SB1","SB2"},0)))</f>
        <v/>
      </c>
      <c r="AW58" s="67" t="n"/>
      <c r="AX58" s="77">
        <f>(AS58-AT58)+AU58*1.5+(AV58-AW58)*2+(AO58+AH58+AI58+AJ58+AK58+AN58)*0.5+AQ58-AR58</f>
        <v/>
      </c>
      <c r="AY58" s="77">
        <f>AS58+AU58+AV58</f>
        <v/>
      </c>
      <c r="AZ58" s="77">
        <f>BC58+BE58+BG58+BI58+BK58</f>
        <v/>
      </c>
      <c r="BA58" s="76">
        <f>AX58+BB58</f>
        <v/>
      </c>
      <c r="BB58" s="77">
        <f>BD58+BF58+BH58+BJ58+BL58</f>
        <v/>
      </c>
      <c r="BC58" s="77">
        <f>COUNTIF(A58:AH58,"*$BTP*")</f>
        <v/>
      </c>
      <c r="BD58" s="77">
        <f>BC58*1.5</f>
        <v/>
      </c>
      <c r="BE58" s="77">
        <f>COUNTIF(A58:AH58,"*$M*")</f>
        <v/>
      </c>
      <c r="BF58" s="77">
        <f>BE58*1</f>
        <v/>
      </c>
      <c r="BG58" s="77">
        <f>COUNTIF(A58:AH58,"*$PM*")</f>
        <v/>
      </c>
      <c r="BH58" s="77">
        <f>BG58*0.5</f>
        <v/>
      </c>
      <c r="BI58" s="77">
        <f>COUNTIF(A58:AH58,"*$AM*")</f>
        <v/>
      </c>
      <c r="BJ58" s="77">
        <f>BI58*0.5</f>
        <v/>
      </c>
      <c r="BK58" s="77">
        <f>COUNTIF(A58:AH58,"*$FC*")</f>
        <v/>
      </c>
      <c r="BL58" s="77">
        <f>BK58*1</f>
        <v/>
      </c>
      <c r="BM58" s="77">
        <f>COUNTIF($E58:$AG58,BM$4)</f>
        <v/>
      </c>
      <c r="BN58" s="77">
        <f>COUNTIF($E58:$AG58,BN$4)</f>
        <v/>
      </c>
      <c r="BO58" s="77">
        <f>COUNTIF($D58:$Y58,BO$4)</f>
        <v/>
      </c>
      <c r="BP58" s="67" t="n"/>
    </row>
    <row r="59" ht="19.5" customHeight="1">
      <c r="A59" s="67" t="n"/>
      <c r="B59" s="76" t="inlineStr">
        <is>
          <t>PTE LUTH HARITH AFIF BIN NORFIFI</t>
        </is>
      </c>
      <c r="C59" s="60" t="n"/>
      <c r="D59" s="60" t="inlineStr">
        <is>
          <t>PM MA</t>
        </is>
      </c>
      <c r="E59" s="60" t="inlineStr">
        <is>
          <t>AE</t>
        </is>
      </c>
      <c r="F59" s="60" t="n"/>
      <c r="G59" s="53" t="inlineStr">
        <is>
          <t>B</t>
        </is>
      </c>
      <c r="H59" s="60" t="n"/>
      <c r="I59" s="60" t="inlineStr">
        <is>
          <t>B</t>
        </is>
      </c>
      <c r="J59" s="107" t="inlineStr">
        <is>
          <t>B</t>
        </is>
      </c>
      <c r="L59" s="60" t="n"/>
      <c r="M59" s="60" t="n"/>
      <c r="O59" s="60" t="n"/>
      <c r="P59" s="60" t="n"/>
      <c r="Q59" s="60" t="n"/>
      <c r="R59" s="106" t="n"/>
      <c r="S59" s="107" t="inlineStr">
        <is>
          <t>DM</t>
        </is>
      </c>
      <c r="T59" s="54" t="inlineStr">
        <is>
          <t>B</t>
        </is>
      </c>
      <c r="U59" s="60" t="n"/>
      <c r="V59" s="1" t="inlineStr">
        <is>
          <t>DM</t>
        </is>
      </c>
      <c r="W59" s="60" t="n"/>
      <c r="X59" s="60" t="inlineStr">
        <is>
          <t>DM</t>
        </is>
      </c>
      <c r="Y59" s="108" t="inlineStr">
        <is>
          <t>DM</t>
        </is>
      </c>
      <c r="AA59" s="60" t="n"/>
      <c r="AB59" s="60" t="n"/>
      <c r="AC59" s="107" t="inlineStr">
        <is>
          <t>CS1</t>
        </is>
      </c>
      <c r="AD59" s="60" t="n"/>
      <c r="AE59" s="106" t="n"/>
      <c r="AF59" s="60" t="inlineStr">
        <is>
          <t>CS1</t>
        </is>
      </c>
      <c r="AG59" s="54" t="inlineStr">
        <is>
          <t>DM</t>
        </is>
      </c>
      <c r="AH59" s="67">
        <f>COUNTIF($C59:$AF59,AH$4)</f>
        <v/>
      </c>
      <c r="AI59" s="67">
        <f>COUNTIF($C59:$AF59,AI$4)</f>
        <v/>
      </c>
      <c r="AJ59" s="67">
        <f>COUNTIF($C59:$AF59,AJ$4)</f>
        <v/>
      </c>
      <c r="AK59" s="67">
        <f>COUNTIF($C59:$AF59,AK$4)</f>
        <v/>
      </c>
      <c r="AL59" s="67">
        <f>COUNTIF($C59:$AF59,AL$4)</f>
        <v/>
      </c>
      <c r="AM59" s="67">
        <f>COUNTIF($C59:$AF59,AM$4)</f>
        <v/>
      </c>
      <c r="AN59" s="67">
        <f>COUNTIF($C59:$AF59,AN$4)</f>
        <v/>
      </c>
      <c r="AO59" s="67">
        <f>COUNTIF($C59:$AF59,AO$4)</f>
        <v/>
      </c>
      <c r="AP59" s="67">
        <f>COUNTIF($C59:$AF59,AP$4)</f>
        <v/>
      </c>
      <c r="AQ59" s="76" t="n"/>
      <c r="AR59" s="76" t="n"/>
      <c r="AS59" s="77">
        <f>SUMPRODUCT(--(WEEKDAY(C$3:AG$3,2)&lt;5),--ISNUMBER(MATCH(C59:AG59,{"SB1","SB2"},0)))</f>
        <v/>
      </c>
      <c r="AT59" s="67" t="n"/>
      <c r="AU59" s="77">
        <f>SUMPRODUCT(--(WEEKDAY(C$3:AG$3,2)=5),--ISNUMBER(MATCH(C59:AG59,{"SB1","SB2"},0)))</f>
        <v/>
      </c>
      <c r="AV59" s="77">
        <f>SUMPRODUCT(--(WEEKDAY(C$3:AG$3,2)&gt;5),--ISNUMBER(MATCH(C59:AG59,{"SB1","SB2"},0)))</f>
        <v/>
      </c>
      <c r="AW59" s="67" t="n"/>
      <c r="AX59" s="77">
        <f>(AS59-AT59)+AU59*1.5+(AV59-AW59)*2+(AO59+AH59+AI59+AJ59+AK59+AN59)*0.5+AQ59-AR59</f>
        <v/>
      </c>
      <c r="AY59" s="77">
        <f>AS59+AU59+AV59</f>
        <v/>
      </c>
      <c r="AZ59" s="77">
        <f>BC59+BE59+BG59+BI59+BK59</f>
        <v/>
      </c>
      <c r="BA59" s="76">
        <f>AX59+BB59</f>
        <v/>
      </c>
      <c r="BB59" s="77">
        <f>BD59+BF59+BH59+BJ59+BL59</f>
        <v/>
      </c>
      <c r="BC59" s="77">
        <f>COUNTIF(A59:AH59,"*$BTP*")</f>
        <v/>
      </c>
      <c r="BD59" s="77">
        <f>BC59*1.5</f>
        <v/>
      </c>
      <c r="BE59" s="77">
        <f>COUNTIF(A59:AH59,"*$M*")</f>
        <v/>
      </c>
      <c r="BF59" s="77">
        <f>BE59*1</f>
        <v/>
      </c>
      <c r="BG59" s="77">
        <f>COUNTIF(A59:AH59,"*$PM*")</f>
        <v/>
      </c>
      <c r="BH59" s="77">
        <f>BG59*0.5</f>
        <v/>
      </c>
      <c r="BI59" s="77">
        <f>COUNTIF(A59:AH59,"*$AM*")</f>
        <v/>
      </c>
      <c r="BJ59" s="77">
        <f>BI59*0.5</f>
        <v/>
      </c>
      <c r="BK59" s="77">
        <f>COUNTIF(A59:AH59,"*$FC*")</f>
        <v/>
      </c>
      <c r="BL59" s="77">
        <f>BK59*1</f>
        <v/>
      </c>
      <c r="BM59" s="77">
        <f>COUNTIF($E59:$AG59,BM$4)</f>
        <v/>
      </c>
      <c r="BN59" s="77">
        <f>COUNTIF($E59:$AG59,BN$4)</f>
        <v/>
      </c>
      <c r="BO59" s="77">
        <f>COUNTIF($D59:$Y59,BO$4)</f>
        <v/>
      </c>
      <c r="BP59" s="67" t="n"/>
    </row>
    <row r="60" ht="19.5" customHeight="1">
      <c r="A60" s="67" t="n"/>
      <c r="B60" s="76" t="inlineStr">
        <is>
          <t>PTE MATTHEW WILLIAM TAN</t>
        </is>
      </c>
      <c r="C60" s="60" t="n"/>
      <c r="D60" s="60" t="n"/>
      <c r="E60" s="54" t="inlineStr">
        <is>
          <t>SB1</t>
        </is>
      </c>
      <c r="F60" s="60" t="n"/>
      <c r="G60" s="60" t="n"/>
      <c r="H60" s="60" t="inlineStr">
        <is>
          <t>SB1</t>
        </is>
      </c>
      <c r="I60" s="60" t="n"/>
      <c r="J60" s="107" t="inlineStr">
        <is>
          <t>AM DA</t>
        </is>
      </c>
      <c r="K60" s="60" t="n"/>
      <c r="L60" s="60" t="inlineStr">
        <is>
          <t>CS1</t>
        </is>
      </c>
      <c r="M60" s="60" t="inlineStr">
        <is>
          <t>B</t>
        </is>
      </c>
      <c r="N60" s="60" t="inlineStr">
        <is>
          <t>B</t>
        </is>
      </c>
      <c r="O60" s="60" t="inlineStr">
        <is>
          <t>CS1</t>
        </is>
      </c>
      <c r="P60" s="60" t="inlineStr">
        <is>
          <t>6th $AM IPPT (0730-0920)</t>
        </is>
      </c>
      <c r="Q60" s="60" t="inlineStr">
        <is>
          <t>CS1</t>
        </is>
      </c>
      <c r="S60" s="60" t="n"/>
      <c r="T60" s="60" t="inlineStr">
        <is>
          <t>B</t>
        </is>
      </c>
      <c r="U60" s="60" t="inlineStr">
        <is>
          <t>B</t>
        </is>
      </c>
      <c r="V60" s="1" t="n"/>
      <c r="W60" s="107" t="n"/>
      <c r="X60" s="107" t="inlineStr">
        <is>
          <t>PM DA</t>
        </is>
      </c>
      <c r="Y60" s="108" t="inlineStr">
        <is>
          <t>AE</t>
        </is>
      </c>
      <c r="Z60" s="60" t="inlineStr">
        <is>
          <t>6th $M HG (0500-2000)</t>
        </is>
      </c>
      <c r="AA60" s="108" t="n"/>
      <c r="AB60" s="108" t="n"/>
      <c r="AC60" s="108" t="n"/>
      <c r="AD60" s="108" t="inlineStr">
        <is>
          <t>CS1</t>
        </is>
      </c>
      <c r="AE60" s="60" t="n"/>
      <c r="AF60" s="60" t="inlineStr">
        <is>
          <t>SB1</t>
        </is>
      </c>
      <c r="AG60" s="60" t="inlineStr">
        <is>
          <t>AE</t>
        </is>
      </c>
      <c r="AH60" s="67">
        <f>COUNTIF($C60:$AF60,AH$4)</f>
        <v/>
      </c>
      <c r="AI60" s="67">
        <f>COUNTIF($C60:$AF60,AI$4)</f>
        <v/>
      </c>
      <c r="AJ60" s="67">
        <f>COUNTIF($C60:$AF60,AJ$4)</f>
        <v/>
      </c>
      <c r="AK60" s="67">
        <f>COUNTIF($C60:$AF60,AK$4)</f>
        <v/>
      </c>
      <c r="AL60" s="67">
        <f>COUNTIF($C60:$AF60,AL$4)</f>
        <v/>
      </c>
      <c r="AM60" s="67">
        <f>COUNTIF($C60:$AF60,AM$4)</f>
        <v/>
      </c>
      <c r="AN60" s="67">
        <f>COUNTIF($C60:$AF60,AN$4)</f>
        <v/>
      </c>
      <c r="AO60" s="67">
        <f>COUNTIF($C60:$AF60,AO$4)</f>
        <v/>
      </c>
      <c r="AP60" s="67">
        <f>COUNTIF($C60:$AF60,AP$4)</f>
        <v/>
      </c>
      <c r="AQ60" s="76" t="n">
        <v>0.5</v>
      </c>
      <c r="AR60" s="76" t="n"/>
      <c r="AS60" s="77">
        <f>SUMPRODUCT(--(WEEKDAY(C$3:AG$3,2)&lt;5),--ISNUMBER(MATCH(C60:AG60,{"SB1","SB2"},0)))</f>
        <v/>
      </c>
      <c r="AT60" s="67" t="n"/>
      <c r="AU60" s="77">
        <f>SUMPRODUCT(--(WEEKDAY(C$3:AG$3,2)=5),--ISNUMBER(MATCH(C60:AG60,{"SB1","SB2"},0)))</f>
        <v/>
      </c>
      <c r="AV60" s="77">
        <f>SUMPRODUCT(--(WEEKDAY(C$3:AG$3,2)&gt;5),--ISNUMBER(MATCH(C60:AG60,{"SB1","SB2"},0)))</f>
        <v/>
      </c>
      <c r="AW60" s="67" t="n"/>
      <c r="AX60" s="77">
        <f>(AS60-AT60)+AU60*1.5+(AV60-AW60)*2+(AO60+AH60+AI60+AJ60+AK60+AN60)*0.5+AQ60-AR60</f>
        <v/>
      </c>
      <c r="AY60" s="77">
        <f>AS60+AU60+AV60</f>
        <v/>
      </c>
      <c r="AZ60" s="77">
        <f>BC60+BE60+BG60+BI60+BK60</f>
        <v/>
      </c>
      <c r="BA60" s="76">
        <f>AX60+BB60</f>
        <v/>
      </c>
      <c r="BB60" s="77">
        <f>BD60+BF60+BH60+BJ60+BL60</f>
        <v/>
      </c>
      <c r="BC60" s="77">
        <f>COUNTIF(A60:AH60,"*$BTP*")</f>
        <v/>
      </c>
      <c r="BD60" s="77">
        <f>BC60*1.5</f>
        <v/>
      </c>
      <c r="BE60" s="77">
        <f>COUNTIF(A60:AH60,"*$M*")</f>
        <v/>
      </c>
      <c r="BF60" s="77">
        <f>BE60*1</f>
        <v/>
      </c>
      <c r="BG60" s="77">
        <f>COUNTIF(A60:AH60,"*$PM*")</f>
        <v/>
      </c>
      <c r="BH60" s="77">
        <f>BG60*0.5</f>
        <v/>
      </c>
      <c r="BI60" s="77">
        <f>COUNTIF(A60:AH60,"*$AM*")</f>
        <v/>
      </c>
      <c r="BJ60" s="77">
        <f>BI60*0.5</f>
        <v/>
      </c>
      <c r="BK60" s="77">
        <f>COUNTIF(A60:AH60,"*$FC*")</f>
        <v/>
      </c>
      <c r="BL60" s="77">
        <f>BK60*1</f>
        <v/>
      </c>
      <c r="BM60" s="77">
        <f>COUNTIF($E60:$AG60,BM$4)</f>
        <v/>
      </c>
      <c r="BN60" s="77">
        <f>COUNTIF($E60:$AG60,BN$4)</f>
        <v/>
      </c>
      <c r="BO60" s="77">
        <f>COUNTIF($D60:$Y60,BO$4)</f>
        <v/>
      </c>
      <c r="BP60" s="67" t="n"/>
    </row>
    <row r="61" ht="24.75" customHeight="1">
      <c r="A61" s="67" t="n"/>
      <c r="B61" s="76" t="inlineStr">
        <is>
          <t>PTE KERK NATHAN</t>
        </is>
      </c>
      <c r="C61" s="60" t="inlineStr">
        <is>
          <t>PTMC</t>
        </is>
      </c>
      <c r="D61" s="60" t="inlineStr">
        <is>
          <t>PTMC</t>
        </is>
      </c>
      <c r="E61" s="60" t="inlineStr">
        <is>
          <t>PTMC</t>
        </is>
      </c>
      <c r="F61" s="60" t="inlineStr">
        <is>
          <t>PTMC</t>
        </is>
      </c>
      <c r="G61" s="60" t="inlineStr">
        <is>
          <t>PTMC</t>
        </is>
      </c>
      <c r="H61" s="60" t="inlineStr">
        <is>
          <t>PTMC</t>
        </is>
      </c>
      <c r="I61" s="60" t="inlineStr">
        <is>
          <t>PTMC</t>
        </is>
      </c>
      <c r="J61" s="60" t="inlineStr">
        <is>
          <t>PTMC</t>
        </is>
      </c>
      <c r="K61" s="60" t="inlineStr">
        <is>
          <t>PTMC</t>
        </is>
      </c>
      <c r="L61" s="60" t="inlineStr">
        <is>
          <t>PTMC</t>
        </is>
      </c>
      <c r="M61" s="60" t="inlineStr">
        <is>
          <t>PTMC</t>
        </is>
      </c>
      <c r="N61" s="60" t="inlineStr">
        <is>
          <t>PTMC</t>
        </is>
      </c>
      <c r="O61" s="60" t="inlineStr">
        <is>
          <t>AM DA</t>
        </is>
      </c>
      <c r="P61" s="60" t="n"/>
      <c r="Q61" s="60" t="n"/>
      <c r="R61" s="60" t="inlineStr">
        <is>
          <t>AM MA</t>
        </is>
      </c>
      <c r="S61" s="60" t="inlineStr">
        <is>
          <t>AE</t>
        </is>
      </c>
      <c r="T61" s="60" t="inlineStr">
        <is>
          <t>B</t>
        </is>
      </c>
      <c r="U61" s="60" t="inlineStr">
        <is>
          <t>B</t>
        </is>
      </c>
      <c r="V61" s="60" t="inlineStr">
        <is>
          <t>AE</t>
        </is>
      </c>
      <c r="W61" s="60" t="n"/>
      <c r="X61" s="60" t="inlineStr">
        <is>
          <t>AE</t>
        </is>
      </c>
      <c r="Y61" s="60" t="n"/>
      <c r="Z61" s="54" t="inlineStr">
        <is>
          <t>AE</t>
        </is>
      </c>
      <c r="AA61" s="60" t="inlineStr">
        <is>
          <t>B</t>
        </is>
      </c>
      <c r="AB61" s="60" t="inlineStr">
        <is>
          <t>B</t>
        </is>
      </c>
      <c r="AC61" s="60" t="n"/>
      <c r="AD61" s="60" t="inlineStr">
        <is>
          <t>AE</t>
        </is>
      </c>
      <c r="AE61" s="60" t="n"/>
      <c r="AF61" s="60" t="n"/>
      <c r="AG61" s="54" t="n"/>
      <c r="AH61" s="67">
        <f>COUNTIF($C61:$AF61,AH$4)</f>
        <v/>
      </c>
      <c r="AI61" s="67">
        <f>COUNTIF($C61:$AF61,AI$4)</f>
        <v/>
      </c>
      <c r="AJ61" s="67">
        <f>COUNTIF($C61:$AF61,AJ$4)</f>
        <v/>
      </c>
      <c r="AK61" s="67">
        <f>COUNTIF($C61:$AF61,AK$4)</f>
        <v/>
      </c>
      <c r="AL61" s="67">
        <f>COUNTIF($C61:$AF61,AL$4)</f>
        <v/>
      </c>
      <c r="AM61" s="67">
        <f>COUNTIF($C61:$AF61,AM$4)</f>
        <v/>
      </c>
      <c r="AN61" s="67">
        <f>COUNTIF($C61:$AF61,AN$4)</f>
        <v/>
      </c>
      <c r="AO61" s="67">
        <f>COUNTIF($C61:$AF61,AO$4)</f>
        <v/>
      </c>
      <c r="AP61" s="67">
        <f>COUNTIF($C61:$AF61,AP$4)</f>
        <v/>
      </c>
      <c r="AQ61" s="76" t="n"/>
      <c r="AR61" s="76" t="n"/>
      <c r="AS61" s="77">
        <f>SUMPRODUCT(--(WEEKDAY(C$3:AG$3,2)&lt;5),--ISNUMBER(MATCH(C61:AG61,{"SB1","SB2"},0)))</f>
        <v/>
      </c>
      <c r="AT61" s="67" t="n"/>
      <c r="AU61" s="77">
        <f>SUMPRODUCT(--(WEEKDAY(C$3:AG$3,2)=5),--ISNUMBER(MATCH(C61:AG61,{"SB1","SB2"},0)))</f>
        <v/>
      </c>
      <c r="AV61" s="77">
        <f>SUMPRODUCT(--(WEEKDAY(C$3:AG$3,2)&gt;5),--ISNUMBER(MATCH(C61:AG61,{"SB1","SB2"},0)))</f>
        <v/>
      </c>
      <c r="AW61" s="67" t="n"/>
      <c r="AX61" s="77">
        <f>(AS61-AT61)+AU61*1.5+(AV61-AW61)*2+(AO61+AH61+AI61+AJ61+AK61+AN61)*0.5+AQ61-AR61</f>
        <v/>
      </c>
      <c r="AY61" s="77">
        <f>AS61+AU61+AV61</f>
        <v/>
      </c>
      <c r="AZ61" s="77">
        <f>BC61+BE61+BG61+BI61+BK61</f>
        <v/>
      </c>
      <c r="BA61" s="76">
        <f>AX61+BB61</f>
        <v/>
      </c>
      <c r="BB61" s="77">
        <f>BD61+BF61+BH61+BJ61+BL61</f>
        <v/>
      </c>
      <c r="BC61" s="77">
        <f>COUNTIF(A61:AH61,"*$BTP*")</f>
        <v/>
      </c>
      <c r="BD61" s="77">
        <f>BC61*1.5</f>
        <v/>
      </c>
      <c r="BE61" s="77">
        <f>COUNTIF(A61:AH61,"*$M*")</f>
        <v/>
      </c>
      <c r="BF61" s="77">
        <f>BE61*1</f>
        <v/>
      </c>
      <c r="BG61" s="77">
        <f>COUNTIF(A61:AH61,"*$PM*")</f>
        <v/>
      </c>
      <c r="BH61" s="77">
        <f>BG61*0.5</f>
        <v/>
      </c>
      <c r="BI61" s="77">
        <f>COUNTIF(A61:AH61,"*$AM*")</f>
        <v/>
      </c>
      <c r="BJ61" s="77">
        <f>BI61*0.5</f>
        <v/>
      </c>
      <c r="BK61" s="77">
        <f>COUNTIF(A61:AH61,"*$FC*")</f>
        <v/>
      </c>
      <c r="BL61" s="77">
        <f>BK61*1</f>
        <v/>
      </c>
      <c r="BM61" s="77">
        <f>COUNTIF($D61:$AA61,BM$4)</f>
        <v/>
      </c>
      <c r="BN61" s="77">
        <f>COUNTIF($D61:$AA61,BN$4)</f>
        <v/>
      </c>
      <c r="BO61" s="77">
        <f>COUNTIF($D61:$AA61,BO$4)</f>
        <v/>
      </c>
      <c r="BP61" s="77" t="n"/>
    </row>
    <row r="62" ht="24.75" customHeight="1">
      <c r="A62" s="67" t="n"/>
      <c r="B62" s="76" t="inlineStr">
        <is>
          <t>PTE OWEN LEE</t>
        </is>
      </c>
      <c r="C62" s="60" t="inlineStr">
        <is>
          <t>PTMC</t>
        </is>
      </c>
      <c r="D62" s="60" t="inlineStr">
        <is>
          <t>PTMC</t>
        </is>
      </c>
      <c r="E62" s="60" t="inlineStr">
        <is>
          <t>PTMC</t>
        </is>
      </c>
      <c r="F62" s="60" t="inlineStr">
        <is>
          <t>PTMC</t>
        </is>
      </c>
      <c r="G62" s="60" t="inlineStr">
        <is>
          <t>PTMC</t>
        </is>
      </c>
      <c r="H62" s="60" t="inlineStr">
        <is>
          <t>PTMC</t>
        </is>
      </c>
      <c r="I62" s="60" t="inlineStr">
        <is>
          <t>PTMC</t>
        </is>
      </c>
      <c r="J62" s="60" t="inlineStr">
        <is>
          <t>PTMC</t>
        </is>
      </c>
      <c r="K62" s="60" t="inlineStr">
        <is>
          <t>PTMC</t>
        </is>
      </c>
      <c r="L62" s="60" t="inlineStr">
        <is>
          <t>PTMC</t>
        </is>
      </c>
      <c r="M62" s="60" t="inlineStr">
        <is>
          <t>PTMC</t>
        </is>
      </c>
      <c r="N62" s="60" t="inlineStr">
        <is>
          <t>PTMC</t>
        </is>
      </c>
      <c r="O62" s="60" t="n"/>
      <c r="P62" s="60" t="n"/>
      <c r="Q62" s="60" t="n"/>
      <c r="R62" s="60" t="inlineStr">
        <is>
          <t>SB1</t>
        </is>
      </c>
      <c r="S62" s="53" t="inlineStr">
        <is>
          <t>PM MA</t>
        </is>
      </c>
      <c r="T62" s="60" t="n"/>
      <c r="U62" s="60" t="n"/>
      <c r="V62" s="60" t="inlineStr">
        <is>
          <t>SB2</t>
        </is>
      </c>
      <c r="W62" s="60" t="n"/>
      <c r="X62" s="60" t="n"/>
      <c r="Y62" s="60" t="n"/>
      <c r="Z62" s="60" t="n"/>
      <c r="AA62" s="107" t="inlineStr">
        <is>
          <t>SB1</t>
        </is>
      </c>
      <c r="AB62" s="60" t="n"/>
      <c r="AC62" s="60" t="inlineStr">
        <is>
          <t>AE</t>
        </is>
      </c>
      <c r="AD62" s="60" t="n"/>
      <c r="AE62" s="60" t="inlineStr">
        <is>
          <t>AE</t>
        </is>
      </c>
      <c r="AF62" s="108" t="n"/>
      <c r="AG62" s="108" t="n"/>
      <c r="AH62" s="67">
        <f>COUNTIF($C62:$AE62,AH$4)</f>
        <v/>
      </c>
      <c r="AI62" s="67">
        <f>COUNTIF($C62:$AE62,AI$4)</f>
        <v/>
      </c>
      <c r="AJ62" s="67">
        <f>COUNTIF($C62:$AE62,AJ$4)</f>
        <v/>
      </c>
      <c r="AK62" s="67">
        <f>COUNTIF($C62:$AE62,AK$4)</f>
        <v/>
      </c>
      <c r="AL62" s="67">
        <f>COUNTIF($C62:$AE62,AL$4)</f>
        <v/>
      </c>
      <c r="AM62" s="67">
        <f>COUNTIF($C62:$AE62,AM$4)</f>
        <v/>
      </c>
      <c r="AN62" s="67">
        <f>COUNTIF($C62:$AE62,AN$4)</f>
        <v/>
      </c>
      <c r="AO62" s="67">
        <f>COUNTIF($C62:$AE62,AO$4)</f>
        <v/>
      </c>
      <c r="AP62" s="67">
        <f>COUNTIF($C62:$AE62,AP$4)</f>
        <v/>
      </c>
      <c r="AQ62" s="76" t="n"/>
      <c r="AR62" s="76" t="n"/>
      <c r="AS62" s="77">
        <f>SUMPRODUCT(--(WEEKDAY(C$3:AG$3,2)&lt;5),--ISNUMBER(MATCH(C62:AG62,{"SB1","SB2"},0)))</f>
        <v/>
      </c>
      <c r="AT62" s="67" t="n"/>
      <c r="AU62" s="77">
        <f>SUMPRODUCT(--(WEEKDAY(C$3:AG$3,2)=5),--ISNUMBER(MATCH(C62:AG62,{"SB1","SB2"},0)))</f>
        <v/>
      </c>
      <c r="AV62" s="77">
        <f>SUMPRODUCT(--(WEEKDAY(C$3:AG$3,2)&gt;5),--ISNUMBER(MATCH(C62:AG62,{"SB1","SB2"},0)))</f>
        <v/>
      </c>
      <c r="AW62" s="67" t="n"/>
      <c r="AX62" s="77">
        <f>(AS62-AT62)+AU62*1.5+(AV62-AW62)*2+(AO62+AH62+AI62+AJ62+AK62+AN62)*0.5+AQ62-AR62</f>
        <v/>
      </c>
      <c r="AY62" s="77">
        <f>AS62+AU62+AV62</f>
        <v/>
      </c>
      <c r="AZ62" s="77">
        <f>BC62+BE62+BG62+BI62+BK62</f>
        <v/>
      </c>
      <c r="BA62" s="76">
        <f>AX62+BB62</f>
        <v/>
      </c>
      <c r="BB62" s="77">
        <f>BD62+BF62+BH62+BJ62+BL62</f>
        <v/>
      </c>
      <c r="BC62" s="77">
        <f>COUNTIF(A62:AH62,"*$BTP*")</f>
        <v/>
      </c>
      <c r="BD62" s="77">
        <f>BC62*1.5</f>
        <v/>
      </c>
      <c r="BE62" s="77">
        <f>COUNTIF(A62:AH62,"*$M*")</f>
        <v/>
      </c>
      <c r="BF62" s="77">
        <f>BE62*1</f>
        <v/>
      </c>
      <c r="BG62" s="77">
        <f>COUNTIF(A62:AH62,"*$PM*")</f>
        <v/>
      </c>
      <c r="BH62" s="77">
        <f>BG62*0.5</f>
        <v/>
      </c>
      <c r="BI62" s="77">
        <f>COUNTIF(A62:AH62,"*$AM*")</f>
        <v/>
      </c>
      <c r="BJ62" s="77">
        <f>BI62*0.5</f>
        <v/>
      </c>
      <c r="BK62" s="77">
        <f>COUNTIF(A62:AH62,"*$FC*")</f>
        <v/>
      </c>
      <c r="BL62" s="77">
        <f>BK62*1</f>
        <v/>
      </c>
      <c r="BM62" s="77">
        <f>COUNTIF($D62:$AA62,BM$4)</f>
        <v/>
      </c>
      <c r="BN62" s="77">
        <f>COUNTIF($D62:$AA62,BN$4)</f>
        <v/>
      </c>
      <c r="BO62" s="77">
        <f>COUNTIF($D62:$AA62,BO$4)</f>
        <v/>
      </c>
      <c r="BP62" s="77" t="n"/>
    </row>
    <row r="63" ht="19.5" customHeight="1">
      <c r="A63" s="67" t="n"/>
      <c r="B63" s="67" t="inlineStr">
        <is>
          <t>3SG THOTA DEV ADITYA</t>
        </is>
      </c>
      <c r="C63" s="108" t="inlineStr">
        <is>
          <t>AL</t>
        </is>
      </c>
      <c r="D63" s="109" t="inlineStr">
        <is>
          <t>AL</t>
        </is>
      </c>
      <c r="E63" s="109" t="inlineStr">
        <is>
          <t>AL</t>
        </is>
      </c>
      <c r="F63" s="109" t="inlineStr">
        <is>
          <t>B</t>
        </is>
      </c>
      <c r="G63" s="109" t="inlineStr">
        <is>
          <t>B</t>
        </is>
      </c>
      <c r="H63" s="109" t="inlineStr">
        <is>
          <t>OFF - LANCER</t>
        </is>
      </c>
      <c r="I63" s="108" t="inlineStr">
        <is>
          <t>AL</t>
        </is>
      </c>
      <c r="J63" s="108" t="inlineStr">
        <is>
          <t>AL</t>
        </is>
      </c>
      <c r="K63" s="108" t="inlineStr">
        <is>
          <t>AL</t>
        </is>
      </c>
      <c r="L63" s="108" t="inlineStr">
        <is>
          <t>AL</t>
        </is>
      </c>
      <c r="M63" s="108" t="n"/>
      <c r="N63" s="108" t="n"/>
      <c r="O63" s="108" t="inlineStr">
        <is>
          <t>DM</t>
        </is>
      </c>
      <c r="P63" s="108" t="inlineStr">
        <is>
          <t>LANCER OFF</t>
        </is>
      </c>
      <c r="Q63" s="108" t="inlineStr">
        <is>
          <t>DM</t>
        </is>
      </c>
      <c r="R63" s="108" t="inlineStr">
        <is>
          <t>LANCER OFF</t>
        </is>
      </c>
      <c r="S63" s="109" t="inlineStr">
        <is>
          <t>OWADIO</t>
        </is>
      </c>
      <c r="T63" s="54" t="n"/>
      <c r="U63" s="110" t="inlineStr">
        <is>
          <t>NIL</t>
        </is>
      </c>
      <c r="V63" s="60" t="inlineStr">
        <is>
          <t>NIL</t>
        </is>
      </c>
      <c r="W63" s="60" t="inlineStr">
        <is>
          <t>NIL</t>
        </is>
      </c>
      <c r="X63" s="60" t="inlineStr">
        <is>
          <t>NIL</t>
        </is>
      </c>
      <c r="Y63" s="60" t="inlineStr">
        <is>
          <t>NIL</t>
        </is>
      </c>
      <c r="Z63" s="60" t="inlineStr">
        <is>
          <t>NIL</t>
        </is>
      </c>
      <c r="AA63" s="60" t="inlineStr">
        <is>
          <t>NIL</t>
        </is>
      </c>
      <c r="AB63" s="60" t="inlineStr">
        <is>
          <t>NIL</t>
        </is>
      </c>
      <c r="AC63" s="60" t="inlineStr">
        <is>
          <t>NIL</t>
        </is>
      </c>
      <c r="AD63" s="60" t="inlineStr">
        <is>
          <t>NIL</t>
        </is>
      </c>
      <c r="AE63" s="60" t="inlineStr">
        <is>
          <t>NIL</t>
        </is>
      </c>
      <c r="AF63" s="60" t="inlineStr">
        <is>
          <t>NIL</t>
        </is>
      </c>
      <c r="AG63" s="60" t="inlineStr">
        <is>
          <t>NIL</t>
        </is>
      </c>
      <c r="AH63" s="67">
        <f>COUNTIF($C63:$AF63,AH$4)</f>
        <v/>
      </c>
      <c r="AI63" s="67">
        <f>COUNTIF($C63:$AF63,AI$4)</f>
        <v/>
      </c>
      <c r="AJ63" s="67">
        <f>COUNTIF($C63:$AF63,AJ$4)</f>
        <v/>
      </c>
      <c r="AK63" s="67">
        <f>COUNTIF($C63:$AF63,AK$4)</f>
        <v/>
      </c>
      <c r="AL63" s="67">
        <f>COUNTIF($C63:$AF63,AL$4)</f>
        <v/>
      </c>
      <c r="AM63" s="67">
        <f>COUNTIF($C63:$AF63,AM$4)</f>
        <v/>
      </c>
      <c r="AN63" s="67">
        <f>COUNTIF($C63:$AF63,AN$4)</f>
        <v/>
      </c>
      <c r="AO63" s="67">
        <f>COUNTIF($C63:$AF63,AO$4)</f>
        <v/>
      </c>
      <c r="AP63" s="67">
        <f>COUNTIF($C63:$AF63,AP$4)</f>
        <v/>
      </c>
      <c r="AQ63" s="76" t="n"/>
      <c r="AR63" s="76" t="n"/>
      <c r="AS63" s="77">
        <f>SUMPRODUCT(--(WEEKDAY(C$3:AG$3,2)&lt;5),--ISNUMBER(MATCH(C63:AG63,{"SB1","SB2"},0)))</f>
        <v/>
      </c>
      <c r="AT63" s="67" t="n"/>
      <c r="AU63" s="77">
        <f>SUMPRODUCT(--(WEEKDAY(C$3:AG$3,2)=5),--ISNUMBER(MATCH(C63:AG63,{"SB1","SB2"},0)))</f>
        <v/>
      </c>
      <c r="AV63" s="77">
        <f>SUMPRODUCT(--(WEEKDAY(C$3:AG$3,2)&gt;5),--ISNUMBER(MATCH(C63:AG63,{"SB1","SB2"},0)))</f>
        <v/>
      </c>
      <c r="AW63" s="67" t="n"/>
      <c r="AX63" s="77">
        <f>(AS63-AT63)+AU63*1.5+(AV63-AW63)*2+(AO63+AH63+AI63+AJ63+AK63+AN63)*0.5+AQ63-AR63</f>
        <v/>
      </c>
      <c r="AY63" s="77">
        <f>AS63+AU63+AV63</f>
        <v/>
      </c>
      <c r="AZ63" s="77">
        <f>BC63+BE63+BG63+BI63+BK63</f>
        <v/>
      </c>
      <c r="BA63" s="76">
        <f>AX63+BB63</f>
        <v/>
      </c>
      <c r="BB63" s="77">
        <f>BD63+BF63+BH63+BJ63+BL63</f>
        <v/>
      </c>
      <c r="BC63" s="77">
        <f>COUNTIF(A63:AH63,"*$BTP*")</f>
        <v/>
      </c>
      <c r="BD63" s="77">
        <f>BC63*1.5</f>
        <v/>
      </c>
      <c r="BE63" s="77">
        <f>COUNTIF(A63:AH63,"*$M*")</f>
        <v/>
      </c>
      <c r="BF63" s="77">
        <f>BE63*1</f>
        <v/>
      </c>
      <c r="BG63" s="77">
        <f>COUNTIF(A63:AH63,"*$PM*")</f>
        <v/>
      </c>
      <c r="BH63" s="77">
        <f>BG63*0.5</f>
        <v/>
      </c>
      <c r="BI63" s="77">
        <f>COUNTIF(A63:AH63,"*$AM*")</f>
        <v/>
      </c>
      <c r="BJ63" s="77">
        <f>BI63*0.5</f>
        <v/>
      </c>
      <c r="BK63" s="77">
        <f>COUNTIF(A63:AH63,"*$FC*")</f>
        <v/>
      </c>
      <c r="BL63" s="77">
        <f>BK63*1</f>
        <v/>
      </c>
      <c r="BM63" s="77">
        <f>COUNTIF($E63:$AG63,BM$4)</f>
        <v/>
      </c>
      <c r="BN63" s="77">
        <f>COUNTIF($E63:$AG63,BN$4)</f>
        <v/>
      </c>
      <c r="BO63" s="77">
        <f>COUNTIF($D63:$Y63,BO$4)</f>
        <v/>
      </c>
      <c r="BP63" s="67" t="n"/>
    </row>
    <row r="64" ht="19.5" customHeight="1">
      <c r="A64" s="107" t="n"/>
      <c r="B64" s="107" t="inlineStr">
        <is>
          <t>CFC MUHAMMAD AMSYAR SUFI BIN SUNARDI</t>
        </is>
      </c>
      <c r="C64" s="54" t="n"/>
      <c r="D64" s="53" t="n"/>
      <c r="E64" s="54" t="inlineStr">
        <is>
          <t>PM DA</t>
        </is>
      </c>
      <c r="F64" s="60" t="n"/>
      <c r="G64" s="107" t="n"/>
      <c r="H64" s="107" t="n"/>
      <c r="I64" s="108" t="inlineStr">
        <is>
          <t>CS1</t>
        </is>
      </c>
      <c r="J64" s="107" t="n"/>
      <c r="K64" s="53" t="inlineStr">
        <is>
          <t>SB1</t>
        </is>
      </c>
      <c r="L64" s="108" t="inlineStr">
        <is>
          <t>DM</t>
        </is>
      </c>
      <c r="M64" s="107" t="n"/>
      <c r="N64" s="107" t="n"/>
      <c r="O64" s="108" t="inlineStr">
        <is>
          <t>AE</t>
        </is>
      </c>
      <c r="P64" s="60" t="n"/>
      <c r="Q64" s="107" t="inlineStr">
        <is>
          <t>DA PM</t>
        </is>
      </c>
      <c r="R64" s="54" t="inlineStr">
        <is>
          <t>good preformance off</t>
        </is>
      </c>
      <c r="S64" s="54" t="inlineStr">
        <is>
          <t>B</t>
        </is>
      </c>
      <c r="T64" s="54" t="n"/>
      <c r="U64" s="110" t="n"/>
      <c r="V64" s="107" t="inlineStr">
        <is>
          <t>CS1</t>
        </is>
      </c>
      <c r="W64" s="111" t="n"/>
      <c r="X64" s="111" t="n"/>
      <c r="Y64" s="111" t="n"/>
      <c r="Z64" s="111" t="n"/>
      <c r="AA64" s="111" t="n"/>
      <c r="AB64" s="111" t="n"/>
      <c r="AC64" s="111" t="n"/>
      <c r="AD64" s="111" t="n"/>
      <c r="AE64" s="111" t="n"/>
      <c r="AF64" s="111" t="n"/>
      <c r="AG64" s="111" t="n"/>
      <c r="AH64" s="67">
        <f>COUNTIF($C64:$AF64,AH$4)</f>
        <v/>
      </c>
      <c r="AI64" s="67">
        <f>COUNTIF($C64:$AF64,AI$4)</f>
        <v/>
      </c>
      <c r="AJ64" s="67">
        <f>COUNTIF($C64:$AF64,AJ$4)</f>
        <v/>
      </c>
      <c r="AK64" s="67">
        <f>COUNTIF($C64:$AF64,AK$4)</f>
        <v/>
      </c>
      <c r="AL64" s="67">
        <f>COUNTIF($C64:$AF64,AL$4)</f>
        <v/>
      </c>
      <c r="AM64" s="67">
        <f>COUNTIF($C64:$AF64,AM$4)</f>
        <v/>
      </c>
      <c r="AN64" s="67">
        <f>COUNTIF($C64:$AF64,AN$4)</f>
        <v/>
      </c>
      <c r="AO64" s="67">
        <f>COUNTIF($C64:$AF64,AO$4)</f>
        <v/>
      </c>
      <c r="AP64" s="67">
        <f>COUNTIF($C64:$AF64,AP$4)</f>
        <v/>
      </c>
      <c r="AQ64" s="76" t="n"/>
      <c r="AR64" s="76" t="n"/>
      <c r="AS64" s="77">
        <f>SUMPRODUCT(--(WEEKDAY(C$3:AG$3,2)&lt;5),--ISNUMBER(MATCH(C64:AG64,{"SB1","SB2"},0)))</f>
        <v/>
      </c>
      <c r="AT64" s="67" t="n"/>
      <c r="AU64" s="77">
        <f>SUMPRODUCT(--(WEEKDAY(C$3:AG$3,2)=5),--ISNUMBER(MATCH(C64:AG64,{"SB1","SB2"},0)))</f>
        <v/>
      </c>
      <c r="AV64" s="77">
        <f>SUMPRODUCT(--(WEEKDAY(C$3:AG$3,2)&gt;5),--ISNUMBER(MATCH(C64:AG64,{"SB1","SB2"},0)))</f>
        <v/>
      </c>
      <c r="AW64" s="67" t="n"/>
      <c r="AX64" s="77">
        <f>(AS64-AT64)+AU64*1.5+(AV64-AW64)*2+(AO64+AH64+AI64+AJ64+AK64+AN64)*0.5+AQ64-AR64</f>
        <v/>
      </c>
      <c r="AY64" s="77">
        <f>AS64+AU64+AV64</f>
        <v/>
      </c>
      <c r="AZ64" s="77">
        <f>BC64+BE64+BG64+BI64+BK64</f>
        <v/>
      </c>
      <c r="BA64" s="76">
        <f>AX64+BB64</f>
        <v/>
      </c>
      <c r="BB64" s="77">
        <f>BD64+BF64+BH64+BJ64+BL64</f>
        <v/>
      </c>
      <c r="BC64" s="77">
        <f>COUNTIF(A64:AH64,"*$BTP*")</f>
        <v/>
      </c>
      <c r="BD64" s="77">
        <f>BC64*1.5</f>
        <v/>
      </c>
      <c r="BE64" s="77">
        <f>COUNTIF(A64:AH64,"*$M*")</f>
        <v/>
      </c>
      <c r="BF64" s="77">
        <f>BE64*1</f>
        <v/>
      </c>
      <c r="BG64" s="77">
        <f>COUNTIF(A64:AH64,"*$PM*")</f>
        <v/>
      </c>
      <c r="BH64" s="77">
        <f>BG64*0.5</f>
        <v/>
      </c>
      <c r="BI64" s="77">
        <f>COUNTIF(A64:AH64,"*$AM*")</f>
        <v/>
      </c>
      <c r="BJ64" s="77">
        <f>BI64*0.5</f>
        <v/>
      </c>
      <c r="BK64" s="77">
        <f>COUNTIF(A64:AH64,"*$FC*")</f>
        <v/>
      </c>
      <c r="BL64" s="77">
        <f>BK64*1</f>
        <v/>
      </c>
      <c r="BM64" s="77">
        <f>COUNTIF($E64:$AG64,BM$4)</f>
        <v/>
      </c>
      <c r="BN64" s="77">
        <f>COUNTIF($E64:$AG64,BN$4)</f>
        <v/>
      </c>
      <c r="BO64" s="77">
        <f>COUNTIF($E64:$Y64,BO$4)</f>
        <v/>
      </c>
      <c r="BP64" s="107" t="n"/>
    </row>
    <row r="65" ht="19.5" customHeight="1">
      <c r="A65" s="107" t="n"/>
      <c r="B65" s="107" t="inlineStr">
        <is>
          <t>CFC BRENDON TOH YI CHEN</t>
        </is>
      </c>
      <c r="C65" s="54" t="inlineStr">
        <is>
          <t>AE</t>
        </is>
      </c>
      <c r="D65" s="54" t="n"/>
      <c r="E65" s="54" t="inlineStr">
        <is>
          <t>OFF</t>
        </is>
      </c>
      <c r="F65" s="60" t="n"/>
      <c r="H65" s="54" t="n"/>
      <c r="I65" s="108" t="inlineStr">
        <is>
          <t>AE</t>
        </is>
      </c>
      <c r="J65" s="60" t="n"/>
      <c r="K65" s="54" t="n"/>
      <c r="L65" s="108" t="n"/>
      <c r="M65" s="107" t="n"/>
      <c r="N65" s="107" t="n"/>
      <c r="O65" s="60" t="n"/>
      <c r="P65" s="107" t="inlineStr">
        <is>
          <t>B</t>
        </is>
      </c>
      <c r="Q65" s="107" t="n"/>
      <c r="R65" s="54" t="inlineStr">
        <is>
          <t>SB2</t>
        </is>
      </c>
      <c r="S65" s="54" t="n"/>
      <c r="T65" s="54" t="n"/>
      <c r="U65" s="54" t="n"/>
      <c r="V65" s="54" t="inlineStr">
        <is>
          <t>B</t>
        </is>
      </c>
      <c r="W65" s="111" t="n"/>
      <c r="X65" s="111" t="n"/>
      <c r="Y65" s="111" t="n"/>
      <c r="Z65" s="53" t="inlineStr">
        <is>
          <t>DM</t>
        </is>
      </c>
      <c r="AA65" s="111" t="n"/>
      <c r="AB65" s="111" t="n"/>
      <c r="AC65" s="111" t="n"/>
      <c r="AD65" s="111" t="n"/>
      <c r="AE65" s="111" t="n"/>
      <c r="AF65" s="111" t="n"/>
      <c r="AG65" s="111" t="n"/>
      <c r="AH65" s="67">
        <f>COUNTIF($C65:$AF65,AH$4)</f>
        <v/>
      </c>
      <c r="AI65" s="67">
        <f>COUNTIF($C65:$AF65,AI$4)</f>
        <v/>
      </c>
      <c r="AJ65" s="67">
        <f>COUNTIF($C65:$AF65,AJ$4)</f>
        <v/>
      </c>
      <c r="AK65" s="67">
        <f>COUNTIF($C65:$AF65,AK$4)</f>
        <v/>
      </c>
      <c r="AL65" s="67">
        <f>COUNTIF($C65:$AF65,AL$4)</f>
        <v/>
      </c>
      <c r="AM65" s="67">
        <f>COUNTIF($C65:$AF65,AM$4)</f>
        <v/>
      </c>
      <c r="AN65" s="67">
        <f>COUNTIF($C65:$AF65,AN$4)</f>
        <v/>
      </c>
      <c r="AO65" s="67">
        <f>COUNTIF($C65:$AF65,AO$4)</f>
        <v/>
      </c>
      <c r="AP65" s="67">
        <f>COUNTIF($C65:$AF65,AP$4)</f>
        <v/>
      </c>
      <c r="AQ65" s="76" t="n"/>
      <c r="AR65" s="76" t="n"/>
      <c r="AS65" s="77">
        <f>SUMPRODUCT(--(WEEKDAY(C$3:AG$3,2)&lt;5),--ISNUMBER(MATCH(C65:AG65,{"SB1","SB2"},0)))</f>
        <v/>
      </c>
      <c r="AT65" s="67" t="n"/>
      <c r="AU65" s="77">
        <f>SUMPRODUCT(--(WEEKDAY(C$3:AG$3,2)=5),--ISNUMBER(MATCH(C65:AG65,{"SB1","SB2"},0)))</f>
        <v/>
      </c>
      <c r="AV65" s="77">
        <f>SUMPRODUCT(--(WEEKDAY(C$3:AG$3,2)&gt;5),--ISNUMBER(MATCH(C65:AG65,{"SB1","SB2"},0)))</f>
        <v/>
      </c>
      <c r="AW65" s="67" t="n"/>
      <c r="AX65" s="77">
        <f>(AS65-AT65)+AU65*1.5+(AV65-AW65)*2+(AO65+AH65+AI65+AJ65+AK65+AN65)*0.5+AQ65-AR65</f>
        <v/>
      </c>
      <c r="AY65" s="77">
        <f>AS65+AU65+AV65</f>
        <v/>
      </c>
      <c r="AZ65" s="77">
        <f>BC65+BE65+BG65+BI65+BK65</f>
        <v/>
      </c>
      <c r="BA65" s="76">
        <f>AX65+BB65</f>
        <v/>
      </c>
      <c r="BB65" s="77">
        <f>BD65+BF65+BH65+BJ65+BL65</f>
        <v/>
      </c>
      <c r="BC65" s="77">
        <f>COUNTIF(A65:AH65,"*$BTP*")</f>
        <v/>
      </c>
      <c r="BD65" s="77">
        <f>BC65*1.5</f>
        <v/>
      </c>
      <c r="BE65" s="77">
        <f>COUNTIF(A65:AH65,"*$M*")</f>
        <v/>
      </c>
      <c r="BF65" s="77">
        <f>BE65*1</f>
        <v/>
      </c>
      <c r="BG65" s="77">
        <f>COUNTIF(A65:AH65,"*$PM*")</f>
        <v/>
      </c>
      <c r="BH65" s="77">
        <f>BG65*0.5</f>
        <v/>
      </c>
      <c r="BI65" s="77">
        <f>COUNTIF(A65:AH65,"*$AM*")</f>
        <v/>
      </c>
      <c r="BJ65" s="77">
        <f>BI65*0.5</f>
        <v/>
      </c>
      <c r="BK65" s="77">
        <f>COUNTIF(A65:AH65,"*$FC*")</f>
        <v/>
      </c>
      <c r="BL65" s="77">
        <f>BK65*1</f>
        <v/>
      </c>
      <c r="BM65" s="77">
        <f>COUNTIF($E65:$AG65,BM$4)</f>
        <v/>
      </c>
      <c r="BN65" s="77">
        <f>COUNTIF($E65:$AG65,BN$4)</f>
        <v/>
      </c>
      <c r="BO65" s="77">
        <f>COUNTIF($D65:$Y65,BO$4)</f>
        <v/>
      </c>
      <c r="BP65" s="107" t="n"/>
    </row>
    <row r="66" ht="19.5" customHeight="1">
      <c r="A66" s="107" t="n"/>
      <c r="B66" s="107" t="inlineStr">
        <is>
          <t>CFC AINSLEY YAP SHENG JIE</t>
        </is>
      </c>
      <c r="C66" s="60" t="inlineStr">
        <is>
          <t>MARCH GP COVER AM OFF</t>
        </is>
      </c>
      <c r="D66" s="53" t="inlineStr">
        <is>
          <t>HARI RAYA OIL</t>
        </is>
      </c>
      <c r="E66" s="53" t="inlineStr">
        <is>
          <t>NEW YEARS OIL</t>
        </is>
      </c>
      <c r="F66" s="53" t="n"/>
      <c r="G66" s="53" t="n"/>
      <c r="H66" s="53" t="inlineStr">
        <is>
          <t>AL</t>
        </is>
      </c>
      <c r="I66" s="53" t="inlineStr">
        <is>
          <t>AL</t>
        </is>
      </c>
      <c r="J66" s="107" t="inlineStr">
        <is>
          <t>AL</t>
        </is>
      </c>
      <c r="K66" s="54" t="inlineStr">
        <is>
          <t>MSP REHEARSAL</t>
        </is>
      </c>
      <c r="L66" s="54" t="inlineStr">
        <is>
          <t>AL</t>
        </is>
      </c>
      <c r="M66" s="107" t="n"/>
      <c r="N66" s="107" t="n"/>
      <c r="O66" s="107" t="inlineStr">
        <is>
          <t xml:space="preserve">MSP REHEARSAL </t>
        </is>
      </c>
      <c r="P66" s="107" t="inlineStr">
        <is>
          <t xml:space="preserve">MSP REHEARSAL </t>
        </is>
      </c>
      <c r="Q66" s="60" t="n"/>
      <c r="R66" s="107" t="n"/>
      <c r="S66" s="1" t="inlineStr">
        <is>
          <t>MSP</t>
        </is>
      </c>
      <c r="T66" s="54" t="n"/>
      <c r="U66" s="110" t="n"/>
      <c r="V66" s="110" t="inlineStr">
        <is>
          <t>MC</t>
        </is>
      </c>
      <c r="W66" s="110" t="inlineStr">
        <is>
          <t>MC</t>
        </is>
      </c>
      <c r="X66" s="110" t="inlineStr">
        <is>
          <t>MC</t>
        </is>
      </c>
      <c r="Y66" s="110" t="inlineStr">
        <is>
          <t>MC</t>
        </is>
      </c>
      <c r="Z66" s="110" t="inlineStr">
        <is>
          <t>MC</t>
        </is>
      </c>
      <c r="AA66" s="110" t="inlineStr">
        <is>
          <t>MC</t>
        </is>
      </c>
      <c r="AB66" s="110" t="inlineStr">
        <is>
          <t>MC</t>
        </is>
      </c>
      <c r="AC66" s="107" t="n"/>
      <c r="AD66" s="107" t="n"/>
      <c r="AE66" s="107" t="inlineStr">
        <is>
          <t>CS1</t>
        </is>
      </c>
      <c r="AF66" s="107" t="n"/>
      <c r="AG66" s="60" t="n"/>
      <c r="AH66" s="67">
        <f>COUNTIF($C66:$AF66,AH$4)</f>
        <v/>
      </c>
      <c r="AI66" s="67">
        <f>COUNTIF($C66:$AF66,AI$4)</f>
        <v/>
      </c>
      <c r="AJ66" s="67">
        <f>COUNTIF($C66:$AF66,AJ$4)</f>
        <v/>
      </c>
      <c r="AK66" s="67">
        <f>COUNTIF($C66:$AF66,AK$4)</f>
        <v/>
      </c>
      <c r="AL66" s="67">
        <f>COUNTIF($C66:$AF66,AL$4)</f>
        <v/>
      </c>
      <c r="AM66" s="67">
        <f>COUNTIF($C66:$AF66,AM$4)</f>
        <v/>
      </c>
      <c r="AN66" s="67">
        <f>COUNTIF($C66:$AF66,AN$4)</f>
        <v/>
      </c>
      <c r="AO66" s="67">
        <f>COUNTIF($C66:$AF66,AO$4)</f>
        <v/>
      </c>
      <c r="AP66" s="67">
        <f>COUNTIF($C66:$AF66,AP$4)</f>
        <v/>
      </c>
      <c r="AQ66" s="76" t="n"/>
      <c r="AR66" s="76" t="n"/>
      <c r="AS66" s="77">
        <f>SUMPRODUCT(--(WEEKDAY(C$3:AG$3,2)&lt;5),--ISNUMBER(MATCH(C66:AG66,{"SB1","SB2"},0)))</f>
        <v/>
      </c>
      <c r="AT66" s="67" t="n"/>
      <c r="AU66" s="77">
        <f>SUMPRODUCT(--(WEEKDAY(C$3:AG$3,2)=5),--ISNUMBER(MATCH(C66:AG66,{"SB1","SB2"},0)))</f>
        <v/>
      </c>
      <c r="AV66" s="77">
        <f>SUMPRODUCT(--(WEEKDAY(C$3:AG$3,2)&gt;5),--ISNUMBER(MATCH(C66:AG66,{"SB1","SB2"},0)))</f>
        <v/>
      </c>
      <c r="AW66" s="67" t="n"/>
      <c r="AX66" s="77">
        <f>(AS66-AT66)+AU66*1.5+(AV66-AW66)*2+(AO66+AH66+AI66+AJ66+AK66+AN66)*0.5+AQ66-AR66</f>
        <v/>
      </c>
      <c r="AY66" s="77">
        <f>AS66+AU66+AV66</f>
        <v/>
      </c>
      <c r="AZ66" s="77">
        <f>BC66+BE66+BG66+BI66+BK66</f>
        <v/>
      </c>
      <c r="BA66" s="76">
        <f>AX66+BB66</f>
        <v/>
      </c>
      <c r="BB66" s="77">
        <f>BD66+BF66+BH66+BJ66+BL66</f>
        <v/>
      </c>
      <c r="BC66" s="77">
        <f>COUNTIF(A66:AH66,"*$BTP*")</f>
        <v/>
      </c>
      <c r="BD66" s="77">
        <f>BC66*1.5</f>
        <v/>
      </c>
      <c r="BE66" s="77">
        <f>COUNTIF(A66:AH66,"*$M*")</f>
        <v/>
      </c>
      <c r="BF66" s="77">
        <f>BE66*1</f>
        <v/>
      </c>
      <c r="BG66" s="77">
        <f>COUNTIF(A66:AH66,"*$PM*")</f>
        <v/>
      </c>
      <c r="BH66" s="77">
        <f>BG66*0.5</f>
        <v/>
      </c>
      <c r="BI66" s="77">
        <f>COUNTIF(A66:AH66,"*$AM*")</f>
        <v/>
      </c>
      <c r="BJ66" s="77">
        <f>BI66*0.5</f>
        <v/>
      </c>
      <c r="BK66" s="77">
        <f>COUNTIF(A66:AH66,"*$FC*")</f>
        <v/>
      </c>
      <c r="BL66" s="77">
        <f>BK66*1</f>
        <v/>
      </c>
      <c r="BM66" s="77">
        <f>COUNTIF($E66:$AG66,BM$4)</f>
        <v/>
      </c>
      <c r="BN66" s="77">
        <f>COUNTIF($E66:$AG66,BN$4)</f>
        <v/>
      </c>
      <c r="BO66" s="77">
        <f>COUNTIF($E66:$Y66,BO$4)</f>
        <v/>
      </c>
      <c r="BP66" s="107" t="n"/>
    </row>
    <row r="67" ht="19.5" customHeight="1">
      <c r="A67" s="107" t="n"/>
      <c r="B67" s="107" t="inlineStr">
        <is>
          <t>CFC KOH KAI JIE, ETHAN</t>
        </is>
      </c>
      <c r="C67" s="53" t="n"/>
      <c r="D67" s="54" t="inlineStr">
        <is>
          <t>SB1</t>
        </is>
      </c>
      <c r="E67" s="54" t="n"/>
      <c r="F67" s="53" t="n"/>
      <c r="G67" s="107" t="n"/>
      <c r="H67" s="54" t="inlineStr">
        <is>
          <t>DM</t>
        </is>
      </c>
      <c r="I67" s="60" t="n"/>
      <c r="J67" s="107" t="inlineStr">
        <is>
          <t>AE</t>
        </is>
      </c>
      <c r="K67" s="60" t="inlineStr">
        <is>
          <t>SB2</t>
        </is>
      </c>
      <c r="L67" s="53" t="n"/>
      <c r="M67" s="107" t="n"/>
      <c r="N67" s="60" t="inlineStr">
        <is>
          <t>SB1</t>
        </is>
      </c>
      <c r="O67" s="107" t="inlineStr">
        <is>
          <t>B</t>
        </is>
      </c>
      <c r="P67" s="106" t="n"/>
      <c r="Q67" s="106" t="n"/>
      <c r="R67" s="54" t="n"/>
      <c r="T67" s="53" t="n"/>
      <c r="U67" s="53" t="n"/>
      <c r="V67" s="107" t="n"/>
      <c r="W67" s="108" t="inlineStr">
        <is>
          <t>6TH $PM CC (1630-1820)</t>
        </is>
      </c>
      <c r="Y67" s="53" t="n"/>
      <c r="Z67" s="53" t="n"/>
      <c r="AA67" s="53" t="inlineStr">
        <is>
          <t>5TH $FC</t>
        </is>
      </c>
      <c r="AB67" s="53" t="inlineStr">
        <is>
          <t>5TH $FC</t>
        </is>
      </c>
      <c r="AC67" s="53" t="inlineStr">
        <is>
          <t>5TH $FC</t>
        </is>
      </c>
      <c r="AD67" s="107" t="inlineStr">
        <is>
          <t>2ND $PM CC</t>
        </is>
      </c>
      <c r="AE67" s="106" t="inlineStr">
        <is>
          <t>SB1</t>
        </is>
      </c>
      <c r="AF67" s="107" t="inlineStr">
        <is>
          <t>DM</t>
        </is>
      </c>
      <c r="AG67" s="106" t="n"/>
      <c r="AH67" s="67">
        <f>COUNTIF($C67:$AF67,AH$4)</f>
        <v/>
      </c>
      <c r="AI67" s="67">
        <f>COUNTIF($C67:$AF67,AI$4)</f>
        <v/>
      </c>
      <c r="AJ67" s="67">
        <f>COUNTIF($C67:$AF67,AJ$4)</f>
        <v/>
      </c>
      <c r="AK67" s="67">
        <f>COUNTIF($C67:$AF67,AK$4)</f>
        <v/>
      </c>
      <c r="AL67" s="67">
        <f>COUNTIF($C67:$AF67,AL$4)</f>
        <v/>
      </c>
      <c r="AM67" s="67">
        <f>COUNTIF($C67:$AF67,AM$4)</f>
        <v/>
      </c>
      <c r="AN67" s="67">
        <f>COUNTIF($C67:$AF67,AN$4)</f>
        <v/>
      </c>
      <c r="AO67" s="67">
        <f>COUNTIF($C67:$AF67,AO$4)</f>
        <v/>
      </c>
      <c r="AP67" s="67">
        <f>COUNTIF($C67:$AF67,AP$4)</f>
        <v/>
      </c>
      <c r="AQ67" s="76" t="n"/>
      <c r="AR67" s="76" t="n"/>
      <c r="AS67" s="77">
        <f>SUMPRODUCT(--(WEEKDAY(C$3:AG$3,2)&lt;5),--ISNUMBER(MATCH(C67:AG67,{"SB1","SB2"},0)))</f>
        <v/>
      </c>
      <c r="AT67" s="67" t="n"/>
      <c r="AU67" s="77">
        <f>SUMPRODUCT(--(WEEKDAY(C$3:AG$3,2)=5),--ISNUMBER(MATCH(C67:AG67,{"SB1","SB2"},0)))</f>
        <v/>
      </c>
      <c r="AV67" s="77">
        <f>SUMPRODUCT(--(WEEKDAY(C$3:AG$3,2)&gt;5),--ISNUMBER(MATCH(C67:AG67,{"SB1","SB2"},0)))</f>
        <v/>
      </c>
      <c r="AW67" s="67" t="n"/>
      <c r="AX67" s="77">
        <f>(AS67-AT67)+AU67*1.5+(AV67-AW67)*2+(AO67+AH67+AI67+AJ67+AK67+AN67)*0.5+AQ67-AR67</f>
        <v/>
      </c>
      <c r="AY67" s="77">
        <f>AS67+AU67+AV67</f>
        <v/>
      </c>
      <c r="AZ67" s="77">
        <f>BC67+BE67+BG67+BI67+BK67</f>
        <v/>
      </c>
      <c r="BA67" s="76">
        <f>AX67+BB67</f>
        <v/>
      </c>
      <c r="BB67" s="77">
        <f>BD67+BF67+BH67+BJ67+BL67</f>
        <v/>
      </c>
      <c r="BC67" s="77">
        <f>COUNTIF(A67:AH67,"*$BTP*")</f>
        <v/>
      </c>
      <c r="BD67" s="77">
        <f>BC67*1.5</f>
        <v/>
      </c>
      <c r="BE67" s="77">
        <f>COUNTIF(A67:AH67,"*$M*")</f>
        <v/>
      </c>
      <c r="BF67" s="77">
        <f>BE67*1</f>
        <v/>
      </c>
      <c r="BG67" s="77">
        <f>COUNTIF(A67:AH67,"*$PM*")</f>
        <v/>
      </c>
      <c r="BH67" s="77">
        <f>BG67*0.5</f>
        <v/>
      </c>
      <c r="BI67" s="77">
        <f>COUNTIF(A67:AH67,"*$AM*")</f>
        <v/>
      </c>
      <c r="BJ67" s="77">
        <f>BI67*0.5</f>
        <v/>
      </c>
      <c r="BK67" s="77">
        <f>COUNTIF(A67:AH67,"*$FC*")</f>
        <v/>
      </c>
      <c r="BL67" s="77">
        <f>BK67*1</f>
        <v/>
      </c>
      <c r="BM67" s="77">
        <f>COUNTIF($E67:$AG67,BM$4)</f>
        <v/>
      </c>
      <c r="BN67" s="77">
        <f>COUNTIF($E67:$AG67,BN$4)</f>
        <v/>
      </c>
      <c r="BO67" s="77">
        <f>COUNTIF($D67:$Y67,BO$4)</f>
        <v/>
      </c>
      <c r="BP67" s="107" t="n"/>
    </row>
    <row r="68" ht="19.5" customHeight="1">
      <c r="A68" s="107" t="n"/>
      <c r="B68" s="107" t="inlineStr">
        <is>
          <t>LCP LIM CHU FENG</t>
        </is>
      </c>
      <c r="C68" s="54" t="n"/>
      <c r="D68" s="54" t="n"/>
      <c r="E68" s="54" t="n"/>
      <c r="F68" s="54" t="n"/>
      <c r="G68" s="54" t="inlineStr">
        <is>
          <t>SB2</t>
        </is>
      </c>
      <c r="H68" s="107" t="n"/>
      <c r="I68" s="107" t="inlineStr">
        <is>
          <t>SB1</t>
        </is>
      </c>
      <c r="J68" s="107" t="n"/>
      <c r="K68" s="54" t="n"/>
      <c r="L68" s="53" t="inlineStr">
        <is>
          <t>P $AM CC (0500-1030)</t>
        </is>
      </c>
      <c r="M68" s="107" t="n"/>
      <c r="N68" s="107" t="n"/>
      <c r="O68" s="108" t="n"/>
      <c r="P68" s="107" t="inlineStr">
        <is>
          <t>B</t>
        </is>
      </c>
      <c r="Q68" s="107" t="n"/>
      <c r="R68" s="60" t="n"/>
      <c r="S68" s="54" t="n"/>
      <c r="T68" s="60" t="n"/>
      <c r="U68" s="110" t="n"/>
      <c r="V68" s="1" t="inlineStr">
        <is>
          <t>SB1</t>
        </is>
      </c>
      <c r="W68" s="110" t="n"/>
      <c r="X68" s="53" t="inlineStr">
        <is>
          <t>AMPT</t>
        </is>
      </c>
      <c r="Y68" s="108" t="inlineStr">
        <is>
          <t xml:space="preserve">2nd $M HG (0500-2000)    </t>
        </is>
      </c>
      <c r="Z68" s="54" t="n"/>
      <c r="AA68" s="107" t="n"/>
      <c r="AB68" s="107" t="n"/>
      <c r="AC68" s="107" t="inlineStr">
        <is>
          <t>DM</t>
        </is>
      </c>
      <c r="AD68" s="1" t="n"/>
      <c r="AE68" s="60" t="inlineStr">
        <is>
          <t>O $AM ER (0600-1100)</t>
        </is>
      </c>
      <c r="AF68" s="1" t="inlineStr">
        <is>
          <t>AE</t>
        </is>
      </c>
      <c r="AG68" s="60" t="inlineStr">
        <is>
          <t>B $AM IPPT (0530-1100)</t>
        </is>
      </c>
      <c r="AH68" s="67">
        <f>COUNTIF($C68:$AF68,AH$4)</f>
        <v/>
      </c>
      <c r="AI68" s="67">
        <f>COUNTIF($C68:$AF68,AI$4)</f>
        <v/>
      </c>
      <c r="AJ68" s="67">
        <f>COUNTIF($C68:$AF68,AJ$4)</f>
        <v/>
      </c>
      <c r="AK68" s="67">
        <f>COUNTIF($C68:$AF68,AK$4)</f>
        <v/>
      </c>
      <c r="AL68" s="67">
        <f>COUNTIF($C68:$AF68,AL$4)</f>
        <v/>
      </c>
      <c r="AM68" s="67">
        <f>COUNTIF($C68:$AF68,AM$4)</f>
        <v/>
      </c>
      <c r="AN68" s="67">
        <f>COUNTIF($C68:$AF68,AN$4)</f>
        <v/>
      </c>
      <c r="AO68" s="67">
        <f>COUNTIF($C68:$AF68,AO$4)</f>
        <v/>
      </c>
      <c r="AP68" s="67">
        <f>COUNTIF($C68:$AF68,AP$4)</f>
        <v/>
      </c>
      <c r="AQ68" s="76" t="n"/>
      <c r="AR68" s="76" t="n"/>
      <c r="AS68" s="77">
        <f>SUMPRODUCT(--(WEEKDAY(C$3:AG$3,2)&lt;5),--ISNUMBER(MATCH(C68:AG68,{"SB1","SB2"},0)))</f>
        <v/>
      </c>
      <c r="AT68" s="67" t="n"/>
      <c r="AU68" s="77">
        <f>SUMPRODUCT(--(WEEKDAY(C$3:AG$3,2)=5),--ISNUMBER(MATCH(C68:AG68,{"SB1","SB2"},0)))</f>
        <v/>
      </c>
      <c r="AV68" s="77">
        <f>SUMPRODUCT(--(WEEKDAY(C$3:AG$3,2)&gt;5),--ISNUMBER(MATCH(C68:AG68,{"SB1","SB2"},0)))</f>
        <v/>
      </c>
      <c r="AW68" s="67" t="n"/>
      <c r="AX68" s="77">
        <f>(AS68-AT68)+AU68*1.5+(AV68-AW68)*2+(AO68+AH68+AI68+AJ68+AK68+AN68)*0.5+AQ68-AR68</f>
        <v/>
      </c>
      <c r="AY68" s="77">
        <f>AS68+AU68+AV68</f>
        <v/>
      </c>
      <c r="AZ68" s="77">
        <f>BC68+BE68+BG68+BI68+BK68</f>
        <v/>
      </c>
      <c r="BA68" s="76">
        <f>AX68+BB68</f>
        <v/>
      </c>
      <c r="BB68" s="77">
        <f>BD68+BF68+BH68+BJ68+BL68</f>
        <v/>
      </c>
      <c r="BC68" s="77">
        <f>COUNTIF(A68:AH68,"*$BTP*")</f>
        <v/>
      </c>
      <c r="BD68" s="77">
        <f>BC68*1.5</f>
        <v/>
      </c>
      <c r="BE68" s="77">
        <f>COUNTIF(A68:AH68,"*$M*")</f>
        <v/>
      </c>
      <c r="BF68" s="77">
        <f>BE68*1</f>
        <v/>
      </c>
      <c r="BG68" s="77">
        <f>COUNTIF(A68:AH68,"*$PM*")</f>
        <v/>
      </c>
      <c r="BH68" s="77">
        <f>BG68*0.5</f>
        <v/>
      </c>
      <c r="BI68" s="77">
        <f>COUNTIF(A68:AH68,"*$AM*")</f>
        <v/>
      </c>
      <c r="BJ68" s="77">
        <f>BI68*0.5</f>
        <v/>
      </c>
      <c r="BK68" s="77">
        <f>COUNTIF(A68:AH68,"*$FC*")</f>
        <v/>
      </c>
      <c r="BL68" s="77">
        <f>BK68*1</f>
        <v/>
      </c>
      <c r="BM68" s="77">
        <f>COUNTIF($E68:$AG68,BM$4)</f>
        <v/>
      </c>
      <c r="BN68" s="77">
        <f>COUNTIF($E68:$AG68,BN$4)</f>
        <v/>
      </c>
      <c r="BO68" s="77">
        <f>COUNTIF($D68:$X68,BO$4)</f>
        <v/>
      </c>
      <c r="BP68" s="107" t="n"/>
    </row>
    <row r="69" ht="84.75" customHeight="1">
      <c r="A69" s="107" t="n"/>
      <c r="B69" s="107" t="inlineStr">
        <is>
          <t>CPL TAN TZE JUE JULIAN</t>
        </is>
      </c>
      <c r="C69" s="107" t="inlineStr">
        <is>
          <t>SB1</t>
        </is>
      </c>
      <c r="D69" s="54" t="inlineStr">
        <is>
          <t>CS1</t>
        </is>
      </c>
      <c r="E69" s="54" t="inlineStr">
        <is>
          <t>DM</t>
        </is>
      </c>
      <c r="F69" s="107" t="n"/>
      <c r="G69" s="107" t="n"/>
      <c r="H69" s="54" t="inlineStr">
        <is>
          <t>SB2</t>
        </is>
      </c>
      <c r="I69" s="107" t="inlineStr">
        <is>
          <t>DM</t>
        </is>
      </c>
      <c r="J69" s="107" t="inlineStr">
        <is>
          <t>DM</t>
        </is>
      </c>
      <c r="K69" s="54" t="n"/>
      <c r="L69" s="108" t="inlineStr">
        <is>
          <t xml:space="preserve">2ND + 6TH $AM ISAD (0730-0920)  </t>
        </is>
      </c>
      <c r="M69" s="53" t="n"/>
      <c r="N69" s="107" t="inlineStr">
        <is>
          <t>SB2</t>
        </is>
      </c>
      <c r="O69" s="108" t="n"/>
      <c r="P69" s="136" t="inlineStr">
        <is>
          <t>OFF- FULL IFC OFF</t>
        </is>
      </c>
      <c r="Q69" s="107" t="inlineStr">
        <is>
          <t>AMPT</t>
        </is>
      </c>
      <c r="R69" s="54" t="inlineStr">
        <is>
          <t>DM</t>
        </is>
      </c>
      <c r="S69" s="54" t="inlineStr">
        <is>
          <t>CS1</t>
        </is>
      </c>
      <c r="T69" s="54" t="n"/>
      <c r="U69" s="53" t="n"/>
      <c r="V69" s="60" t="inlineStr">
        <is>
          <t>5TH $PM CC</t>
        </is>
      </c>
      <c r="X69" s="107" t="inlineStr">
        <is>
          <t>OL</t>
        </is>
      </c>
      <c r="Y69" s="107" t="inlineStr">
        <is>
          <t>OL</t>
        </is>
      </c>
      <c r="Z69" s="107" t="inlineStr">
        <is>
          <t>OL</t>
        </is>
      </c>
      <c r="AA69" s="107" t="inlineStr">
        <is>
          <t>OL</t>
        </is>
      </c>
      <c r="AB69" s="107" t="inlineStr">
        <is>
          <t>OL</t>
        </is>
      </c>
      <c r="AC69" s="107" t="inlineStr">
        <is>
          <t>OL</t>
        </is>
      </c>
      <c r="AD69" s="107" t="inlineStr">
        <is>
          <t>OL</t>
        </is>
      </c>
      <c r="AE69" s="107" t="n"/>
      <c r="AG69" s="107" t="inlineStr">
        <is>
          <t>CS1</t>
        </is>
      </c>
      <c r="AH69" s="67">
        <f>COUNTIF($C69:$AF69,AH$4)</f>
        <v/>
      </c>
      <c r="AI69" s="67">
        <f>COUNTIF($C69:$AF69,AI$4)</f>
        <v/>
      </c>
      <c r="AJ69" s="67">
        <f>COUNTIF($C69:$AF69,AJ$4)</f>
        <v/>
      </c>
      <c r="AK69" s="67">
        <f>COUNTIF($C69:$AF69,AK$4)</f>
        <v/>
      </c>
      <c r="AL69" s="67">
        <f>COUNTIF($C69:$AF69,AL$4)</f>
        <v/>
      </c>
      <c r="AM69" s="67">
        <f>COUNTIF($C69:$AF69,AM$4)</f>
        <v/>
      </c>
      <c r="AN69" s="67">
        <f>COUNTIF($C69:$AF69,AN$4)</f>
        <v/>
      </c>
      <c r="AO69" s="67">
        <f>COUNTIF($C69:$AF69,AO$4)</f>
        <v/>
      </c>
      <c r="AP69" s="67">
        <f>COUNTIF($C69:$AF69,AP$4)</f>
        <v/>
      </c>
      <c r="AQ69" s="76" t="n"/>
      <c r="AR69" s="76" t="n"/>
      <c r="AS69" s="77">
        <f>SUMPRODUCT(--(WEEKDAY(C$3:AG$3,2)&lt;5),--ISNUMBER(MATCH(C69:AG69,{"SB1","SB2"},0)))</f>
        <v/>
      </c>
      <c r="AT69" s="67" t="n"/>
      <c r="AU69" s="77">
        <f>SUMPRODUCT(--(WEEKDAY(C$3:AG$3,2)=5),--ISNUMBER(MATCH(C69:AG69,{"SB1","SB2"},0)))</f>
        <v/>
      </c>
      <c r="AV69" s="77">
        <f>SUMPRODUCT(--(WEEKDAY(C$3:AG$3,2)&gt;5),--ISNUMBER(MATCH(C69:AG69,{"SB1","SB2"},0)))</f>
        <v/>
      </c>
      <c r="AW69" s="67" t="n"/>
      <c r="AX69" s="77">
        <f>(AS69-AT69)+AU69*1.5+(AV69-AW69)*2+(AO69+AH69+AI69+AJ69+AK69+AN69)*0.5+AQ69-AR69</f>
        <v/>
      </c>
      <c r="AY69" s="77">
        <f>AS69+AU69+AV69</f>
        <v/>
      </c>
      <c r="AZ69" s="77">
        <f>BC69+BE69+BG69+BI69+BK69</f>
        <v/>
      </c>
      <c r="BA69" s="76">
        <f>AX69+BB69</f>
        <v/>
      </c>
      <c r="BB69" s="77">
        <f>BD69+BF69+BH69+BJ69+BL69</f>
        <v/>
      </c>
      <c r="BC69" s="77">
        <f>COUNTIF(A69:AH69,"*$BTP*")</f>
        <v/>
      </c>
      <c r="BD69" s="77">
        <f>BC69*1.5</f>
        <v/>
      </c>
      <c r="BE69" s="77">
        <f>COUNTIF(A69:AH69,"*$M*")</f>
        <v/>
      </c>
      <c r="BF69" s="77">
        <f>BE69*1</f>
        <v/>
      </c>
      <c r="BG69" s="77">
        <f>COUNTIF(A69:AH69,"*$PM*")</f>
        <v/>
      </c>
      <c r="BH69" s="77">
        <f>BG69*0.5</f>
        <v/>
      </c>
      <c r="BI69" s="77">
        <f>COUNTIF(A69:AH69,"*$AM*")</f>
        <v/>
      </c>
      <c r="BJ69" s="77">
        <f>BI69*0.5</f>
        <v/>
      </c>
      <c r="BK69" s="77">
        <f>COUNTIF(A69:AH69,"*$FC*")</f>
        <v/>
      </c>
      <c r="BL69" s="77">
        <f>BK69*1</f>
        <v/>
      </c>
      <c r="BM69" s="77">
        <f>COUNTIF($E69:$AG69,BM$4)</f>
        <v/>
      </c>
      <c r="BN69" s="77">
        <f>COUNTIF($E69:$AG69,BN$4)</f>
        <v/>
      </c>
      <c r="BO69" s="77">
        <f>COUNTIF($D69:$Y69,BO$4)</f>
        <v/>
      </c>
      <c r="BP69" s="107" t="n"/>
    </row>
    <row r="70" ht="19.5" customHeight="1">
      <c r="A70" s="107" t="n"/>
      <c r="B70" s="107" t="inlineStr">
        <is>
          <t>3SG HO JI XUAN ISAAC</t>
        </is>
      </c>
      <c r="C70" s="54" t="inlineStr">
        <is>
          <t>GP OFF (AM)</t>
        </is>
      </c>
      <c r="D70" s="53" t="n"/>
      <c r="E70" s="54" t="n"/>
      <c r="F70" s="107" t="n"/>
      <c r="G70" s="107" t="n"/>
      <c r="H70" s="54" t="inlineStr">
        <is>
          <t>B</t>
        </is>
      </c>
      <c r="I70" s="107" t="inlineStr">
        <is>
          <t>B</t>
        </is>
      </c>
      <c r="J70" s="107" t="inlineStr">
        <is>
          <t>B</t>
        </is>
      </c>
      <c r="K70" s="54" t="inlineStr">
        <is>
          <t>DM</t>
        </is>
      </c>
      <c r="L70" s="54" t="inlineStr">
        <is>
          <t>AE</t>
        </is>
      </c>
      <c r="M70" s="107" t="inlineStr">
        <is>
          <t>B</t>
        </is>
      </c>
      <c r="N70" s="107" t="inlineStr">
        <is>
          <t>B</t>
        </is>
      </c>
      <c r="O70" s="107" t="inlineStr">
        <is>
          <t>2nd $AM IPPT (0730-0920)</t>
        </is>
      </c>
      <c r="P70" s="107" t="inlineStr">
        <is>
          <t>DM</t>
        </is>
      </c>
      <c r="Q70" s="107" t="inlineStr">
        <is>
          <t>SB1</t>
        </is>
      </c>
      <c r="R70" s="54" t="n"/>
      <c r="S70" s="60" t="n"/>
      <c r="T70" s="54" t="n"/>
      <c r="U70" s="53" t="inlineStr">
        <is>
          <t>SB2</t>
        </is>
      </c>
      <c r="V70" s="107" t="n"/>
      <c r="W70" s="107" t="inlineStr">
        <is>
          <t>DM</t>
        </is>
      </c>
      <c r="X70" s="107" t="n"/>
      <c r="Y70" s="60" t="n"/>
      <c r="Z70" s="54" t="n"/>
      <c r="AA70" s="110" t="n"/>
      <c r="AB70" s="107" t="inlineStr">
        <is>
          <t>SB2</t>
        </is>
      </c>
      <c r="AC70" s="60" t="n"/>
      <c r="AD70" s="60" t="inlineStr">
        <is>
          <t>DM</t>
        </is>
      </c>
      <c r="AE70" s="60" t="inlineStr">
        <is>
          <t xml:space="preserve"> 1st $FC</t>
        </is>
      </c>
      <c r="AF70" s="54" t="inlineStr">
        <is>
          <t>1st $FC</t>
        </is>
      </c>
      <c r="AG70" s="54" t="inlineStr">
        <is>
          <t>1st $FC</t>
        </is>
      </c>
      <c r="AH70" s="67">
        <f>COUNTIF($C70:$AF70,AH$4)</f>
        <v/>
      </c>
      <c r="AI70" s="67">
        <f>COUNTIF($C70:$AF70,AI$4)</f>
        <v/>
      </c>
      <c r="AJ70" s="67">
        <f>COUNTIF($C70:$AF70,AJ$4)</f>
        <v/>
      </c>
      <c r="AK70" s="67">
        <f>COUNTIF($C70:$AF70,AK$4)</f>
        <v/>
      </c>
      <c r="AL70" s="67">
        <f>COUNTIF($C70:$AF70,AL$4)</f>
        <v/>
      </c>
      <c r="AM70" s="67">
        <f>COUNTIF($C70:$AF70,AM$4)</f>
        <v/>
      </c>
      <c r="AN70" s="67">
        <f>COUNTIF($C70:$AF70,AN$4)</f>
        <v/>
      </c>
      <c r="AO70" s="67">
        <f>COUNTIF($C70:$AF70,AO$4)</f>
        <v/>
      </c>
      <c r="AP70" s="67">
        <f>COUNTIF($C70:$AF70,AP$4)</f>
        <v/>
      </c>
      <c r="AQ70" s="76" t="n"/>
      <c r="AR70" s="76" t="n"/>
      <c r="AS70" s="77">
        <f>SUMPRODUCT(--(WEEKDAY(C$3:AG$3,2)&lt;5),--ISNUMBER(MATCH(C70:AG70,{"SB1","SB2"},0)))</f>
        <v/>
      </c>
      <c r="AT70" s="67" t="n"/>
      <c r="AU70" s="77">
        <f>SUMPRODUCT(--(WEEKDAY(C$3:AG$3,2)=5),--ISNUMBER(MATCH(C70:AG70,{"SB1","SB2"},0)))</f>
        <v/>
      </c>
      <c r="AV70" s="77">
        <f>SUMPRODUCT(--(WEEKDAY(C$3:AG$3,2)&gt;5),--ISNUMBER(MATCH(C70:AG70,{"SB1","SB2"},0)))</f>
        <v/>
      </c>
      <c r="AW70" s="67" t="n"/>
      <c r="AX70" s="77">
        <f>(AS70-AT70)+AU70*1.5+(AV70-AW70)*2+(AO70+AH70+AI70+AJ70+AK70+AN70)*0.5+AQ70-AR70</f>
        <v/>
      </c>
      <c r="AY70" s="77">
        <f>AS70+AU70+AV70</f>
        <v/>
      </c>
      <c r="AZ70" s="77">
        <f>BC70+BE70+BG70+BI70+BK70</f>
        <v/>
      </c>
      <c r="BA70" s="76">
        <f>AX70+BB70</f>
        <v/>
      </c>
      <c r="BB70" s="77">
        <f>BD70+BF70+BH70+BJ70+BL70</f>
        <v/>
      </c>
      <c r="BC70" s="77">
        <f>COUNTIF(A70:AH70,"*$BTP*")</f>
        <v/>
      </c>
      <c r="BD70" s="77">
        <f>BC70*1.5</f>
        <v/>
      </c>
      <c r="BE70" s="77">
        <f>COUNTIF(A70:AH70,"*$M*")</f>
        <v/>
      </c>
      <c r="BF70" s="77">
        <f>BE70*1</f>
        <v/>
      </c>
      <c r="BG70" s="77">
        <f>COUNTIF(A70:AH70,"*$PM*")</f>
        <v/>
      </c>
      <c r="BH70" s="77">
        <f>BG70*0.5</f>
        <v/>
      </c>
      <c r="BI70" s="77">
        <f>COUNTIF(A70:AH70,"*$AM*")</f>
        <v/>
      </c>
      <c r="BJ70" s="77">
        <f>BI70*0.5</f>
        <v/>
      </c>
      <c r="BK70" s="77">
        <f>COUNTIF(A70:AH70,"*$FC*")</f>
        <v/>
      </c>
      <c r="BL70" s="77">
        <f>BK70*1</f>
        <v/>
      </c>
      <c r="BM70" s="77">
        <f>COUNTIF($E70:$AG70,BM$4)</f>
        <v/>
      </c>
      <c r="BN70" s="77">
        <f>COUNTIF($E70:$AG70,BN$4)</f>
        <v/>
      </c>
      <c r="BO70" s="77">
        <f>COUNTIF($D70:$Y70,BO$4)</f>
        <v/>
      </c>
      <c r="BP70" s="107" t="n"/>
    </row>
    <row r="71" ht="19.5" customHeight="1">
      <c r="A71" s="107" t="n"/>
      <c r="B71" s="107" t="inlineStr">
        <is>
          <t>CPL JOVAN CHUA RUI CHENG</t>
        </is>
      </c>
      <c r="C71" s="54" t="inlineStr">
        <is>
          <t>DM</t>
        </is>
      </c>
      <c r="D71" s="53" t="inlineStr">
        <is>
          <t>AE</t>
        </is>
      </c>
      <c r="E71" s="54" t="inlineStr">
        <is>
          <t>AM MA</t>
        </is>
      </c>
      <c r="F71" s="53" t="n"/>
      <c r="G71" s="107" t="n"/>
      <c r="H71" s="54" t="inlineStr">
        <is>
          <t>SURGERY</t>
        </is>
      </c>
      <c r="I71" s="107" t="inlineStr">
        <is>
          <t>HL</t>
        </is>
      </c>
      <c r="J71" s="107" t="inlineStr">
        <is>
          <t>HL</t>
        </is>
      </c>
      <c r="K71" s="107" t="inlineStr">
        <is>
          <t>HL</t>
        </is>
      </c>
      <c r="L71" s="107" t="inlineStr">
        <is>
          <t>HL</t>
        </is>
      </c>
      <c r="M71" s="107" t="inlineStr">
        <is>
          <t>HL</t>
        </is>
      </c>
      <c r="N71" s="107" t="inlineStr">
        <is>
          <t>HL</t>
        </is>
      </c>
      <c r="O71" s="107" t="inlineStr">
        <is>
          <t>HL</t>
        </is>
      </c>
      <c r="P71" s="107" t="inlineStr">
        <is>
          <t>HL</t>
        </is>
      </c>
      <c r="Q71" s="107" t="inlineStr">
        <is>
          <t>HL</t>
        </is>
      </c>
      <c r="R71" s="107" t="inlineStr">
        <is>
          <t>HL</t>
        </is>
      </c>
      <c r="S71" s="107" t="inlineStr">
        <is>
          <t>HL</t>
        </is>
      </c>
      <c r="T71" s="107" t="inlineStr">
        <is>
          <t>HL</t>
        </is>
      </c>
      <c r="U71" s="107" t="inlineStr">
        <is>
          <t>HL</t>
        </is>
      </c>
      <c r="V71" s="107" t="inlineStr">
        <is>
          <t>HL</t>
        </is>
      </c>
      <c r="W71" s="107" t="inlineStr">
        <is>
          <t>HL</t>
        </is>
      </c>
      <c r="X71" s="107" t="inlineStr">
        <is>
          <t>HL</t>
        </is>
      </c>
      <c r="Y71" s="107" t="inlineStr">
        <is>
          <t>HL</t>
        </is>
      </c>
      <c r="Z71" s="107" t="inlineStr">
        <is>
          <t>HL</t>
        </is>
      </c>
      <c r="AA71" s="107" t="inlineStr">
        <is>
          <t>HL</t>
        </is>
      </c>
      <c r="AB71" s="107" t="inlineStr">
        <is>
          <t>HL</t>
        </is>
      </c>
      <c r="AC71" s="107" t="inlineStr">
        <is>
          <t>HL</t>
        </is>
      </c>
      <c r="AD71" s="107" t="n"/>
      <c r="AE71" s="107" t="inlineStr">
        <is>
          <t>PM OFF</t>
        </is>
      </c>
      <c r="AF71" s="107" t="inlineStr">
        <is>
          <t>MA AM</t>
        </is>
      </c>
      <c r="AG71" s="107" t="inlineStr">
        <is>
          <t>OIL CNY DUTY</t>
        </is>
      </c>
      <c r="AH71" s="67">
        <f>COUNTIF($C71:$AF71,AH$4)</f>
        <v/>
      </c>
      <c r="AI71" s="67">
        <f>COUNTIF($C71:$AF71,AI$4)</f>
        <v/>
      </c>
      <c r="AJ71" s="67">
        <f>COUNTIF($C71:$AF71,AJ$4)</f>
        <v/>
      </c>
      <c r="AK71" s="67">
        <f>COUNTIF($C71:$AF71,AK$4)</f>
        <v/>
      </c>
      <c r="AL71" s="67">
        <f>COUNTIF($C71:$AF71,AL$4)</f>
        <v/>
      </c>
      <c r="AM71" s="67">
        <f>COUNTIF($C71:$AF71,AM$4)</f>
        <v/>
      </c>
      <c r="AN71" s="67">
        <f>COUNTIF($C71:$AF71,AN$4)</f>
        <v/>
      </c>
      <c r="AO71" s="67">
        <f>COUNTIF($C71:$AF71,AO$4)</f>
        <v/>
      </c>
      <c r="AP71" s="67">
        <f>COUNTIF($C71:$AF71,AP$4)</f>
        <v/>
      </c>
      <c r="AQ71" s="76" t="n"/>
      <c r="AR71" s="76" t="n"/>
      <c r="AS71" s="77">
        <f>SUMPRODUCT(--(WEEKDAY(C$3:AG$3,2)&lt;5),--ISNUMBER(MATCH(C71:AG71,{"SB1","SB2"},0)))</f>
        <v/>
      </c>
      <c r="AT71" s="67" t="n"/>
      <c r="AU71" s="77">
        <f>SUMPRODUCT(--(WEEKDAY(C$3:AG$3,2)=5),--ISNUMBER(MATCH(C71:AG71,{"SB1","SB2"},0)))</f>
        <v/>
      </c>
      <c r="AV71" s="77">
        <f>SUMPRODUCT(--(WEEKDAY(C$3:AG$3,2)&gt;5),--ISNUMBER(MATCH(C71:AG71,{"SB1","SB2"},0)))</f>
        <v/>
      </c>
      <c r="AW71" s="67" t="n"/>
      <c r="AX71" s="77">
        <f>(AS71-AT71)+AU71*1.5+(AV71-AW71)*2+(AO71+AH71+AI71+AJ71+AK71+AN71)*0.5+AQ71-AR71</f>
        <v/>
      </c>
      <c r="AY71" s="77">
        <f>AS71+AU71+AV71</f>
        <v/>
      </c>
      <c r="AZ71" s="77">
        <f>BC71+BE71+BG71+BI71+BK71</f>
        <v/>
      </c>
      <c r="BA71" s="76">
        <f>AX71+BB71</f>
        <v/>
      </c>
      <c r="BB71" s="77">
        <f>BD71+BF71+BH71+BJ71+BL71</f>
        <v/>
      </c>
      <c r="BC71" s="77">
        <f>COUNTIF(A71:AH71,"*$BTP*")</f>
        <v/>
      </c>
      <c r="BD71" s="77">
        <f>BC71*1.5</f>
        <v/>
      </c>
      <c r="BE71" s="77">
        <f>COUNTIF(A71:AH71,"*$M*")</f>
        <v/>
      </c>
      <c r="BF71" s="77">
        <f>BE71*1</f>
        <v/>
      </c>
      <c r="BG71" s="77">
        <f>COUNTIF(A71:AH71,"*$PM*")</f>
        <v/>
      </c>
      <c r="BH71" s="77">
        <f>BG71*0.5</f>
        <v/>
      </c>
      <c r="BI71" s="77">
        <f>COUNTIF(A71:AH71,"*$AM*")</f>
        <v/>
      </c>
      <c r="BJ71" s="77">
        <f>BI71*0.5</f>
        <v/>
      </c>
      <c r="BK71" s="77">
        <f>COUNTIF(A71:AH71,"*$FC*")</f>
        <v/>
      </c>
      <c r="BL71" s="77">
        <f>BK71*1</f>
        <v/>
      </c>
      <c r="BM71" s="77">
        <f>COUNTIF($E71:$AG71,BM$4)</f>
        <v/>
      </c>
      <c r="BN71" s="77">
        <f>COUNTIF($E71:$AG71,BN$4)</f>
        <v/>
      </c>
      <c r="BO71" s="77">
        <f>COUNTIF($D71:$Y71,BO$4)</f>
        <v/>
      </c>
      <c r="BP71" s="107" t="n"/>
    </row>
    <row r="72" ht="19.5" customHeight="1">
      <c r="A72" s="107" t="n"/>
      <c r="B72" s="107" t="inlineStr">
        <is>
          <t>CPL LAN ZHI XIANG</t>
        </is>
      </c>
      <c r="C72" s="60" t="n"/>
      <c r="D72" s="53" t="n"/>
      <c r="E72" s="54" t="n"/>
      <c r="F72" s="53" t="inlineStr">
        <is>
          <t>SB1</t>
        </is>
      </c>
      <c r="G72" s="107" t="n"/>
      <c r="H72" s="54" t="inlineStr">
        <is>
          <t>AE</t>
        </is>
      </c>
      <c r="I72" s="107" t="inlineStr">
        <is>
          <t>2ND + 6TH $PM WEAPON PRES (1930-2130)</t>
        </is>
      </c>
      <c r="J72" s="107" t="n"/>
      <c r="K72" s="54" t="n"/>
      <c r="L72" s="60" t="n"/>
      <c r="M72" s="53" t="n"/>
      <c r="N72" s="107" t="inlineStr">
        <is>
          <t>B</t>
        </is>
      </c>
      <c r="O72" s="60" t="n"/>
      <c r="P72" s="107" t="inlineStr">
        <is>
          <t>SB1</t>
        </is>
      </c>
      <c r="Q72" s="60" t="n"/>
      <c r="R72" s="112" t="n"/>
      <c r="S72" s="108" t="n"/>
      <c r="T72" s="108" t="n"/>
      <c r="U72" s="110" t="n"/>
      <c r="V72" s="53" t="inlineStr">
        <is>
          <t>B</t>
        </is>
      </c>
      <c r="W72" s="110" t="n"/>
      <c r="X72" s="54" t="inlineStr">
        <is>
          <t>SB1</t>
        </is>
      </c>
      <c r="Y72" s="53" t="inlineStr">
        <is>
          <t>SB1</t>
        </is>
      </c>
      <c r="Z72" s="54" t="inlineStr">
        <is>
          <t>PM MA</t>
        </is>
      </c>
      <c r="AA72" s="107" t="n"/>
      <c r="AB72" s="107" t="n"/>
      <c r="AC72" s="1" t="inlineStr">
        <is>
          <t>SB1</t>
        </is>
      </c>
      <c r="AD72" s="107" t="inlineStr">
        <is>
          <t>SB1</t>
        </is>
      </c>
      <c r="AE72" s="60" t="n"/>
      <c r="AF72" s="54" t="n"/>
      <c r="AH72" s="67">
        <f>COUNTIF($C72:$AF72,AH$4)</f>
        <v/>
      </c>
      <c r="AI72" s="67">
        <f>COUNTIF($C72:$AF72,AI$4)</f>
        <v/>
      </c>
      <c r="AJ72" s="67">
        <f>COUNTIF($C72:$AF72,AJ$4)</f>
        <v/>
      </c>
      <c r="AK72" s="67">
        <f>COUNTIF($C72:$AF72,AK$4)</f>
        <v/>
      </c>
      <c r="AL72" s="67">
        <f>COUNTIF($C72:$AF72,AL$4)</f>
        <v/>
      </c>
      <c r="AM72" s="67">
        <f>COUNTIF($C72:$AF72,AM$4)</f>
        <v/>
      </c>
      <c r="AN72" s="67">
        <f>COUNTIF($C72:$AF72,AN$4)</f>
        <v/>
      </c>
      <c r="AO72" s="67">
        <f>COUNTIF($C72:$AF72,AO$4)</f>
        <v/>
      </c>
      <c r="AP72" s="67">
        <f>COUNTIF($C72:$AF72,AP$4)</f>
        <v/>
      </c>
      <c r="AQ72" s="76" t="n"/>
      <c r="AR72" s="76" t="n"/>
      <c r="AS72" s="77">
        <f>SUMPRODUCT(--(WEEKDAY(C$3:AG$3,2)&lt;5),--ISNUMBER(MATCH(C72:AG72,{"SB1","SB2"},0)))</f>
        <v/>
      </c>
      <c r="AT72" s="67" t="n"/>
      <c r="AU72" s="77">
        <f>SUMPRODUCT(--(WEEKDAY(C$3:AG$3,2)=5),--ISNUMBER(MATCH(C72:AG72,{"SB1","SB2"},0)))</f>
        <v/>
      </c>
      <c r="AV72" s="77">
        <f>SUMPRODUCT(--(WEEKDAY(C$3:AG$3,2)&gt;5),--ISNUMBER(MATCH(C72:AG72,{"SB1","SB2"},0)))</f>
        <v/>
      </c>
      <c r="AW72" s="67" t="n"/>
      <c r="AX72" s="77">
        <f>(AS72-AT72)+AU72*1.5+(AV72-AW72)*2+(AO72+AH72+AI72+AJ72+AK72+AN72)*0.5+AQ72-AR72</f>
        <v/>
      </c>
      <c r="AY72" s="77">
        <f>AS72+AU72+AV72</f>
        <v/>
      </c>
      <c r="AZ72" s="77">
        <f>BC72+BE72+BG72+BI72+BK72</f>
        <v/>
      </c>
      <c r="BA72" s="76">
        <f>AX72+BB72</f>
        <v/>
      </c>
      <c r="BB72" s="77">
        <f>BD72+BF72+BH72+BJ72+BL72</f>
        <v/>
      </c>
      <c r="BC72" s="77">
        <f>COUNTIF(A72:AH72,"*$BTP*")</f>
        <v/>
      </c>
      <c r="BD72" s="77">
        <f>BC72*1.5</f>
        <v/>
      </c>
      <c r="BE72" s="77">
        <f>COUNTIF(A72:AH72,"*$M*")</f>
        <v/>
      </c>
      <c r="BF72" s="77">
        <f>BE72*1</f>
        <v/>
      </c>
      <c r="BG72" s="77">
        <f>COUNTIF(A72:AH72,"*$PM*")</f>
        <v/>
      </c>
      <c r="BH72" s="77">
        <f>BG72*0.5</f>
        <v/>
      </c>
      <c r="BI72" s="77">
        <f>COUNTIF(A72:AH72,"*$AM*")</f>
        <v/>
      </c>
      <c r="BJ72" s="77">
        <f>BI72*0.5</f>
        <v/>
      </c>
      <c r="BK72" s="77">
        <f>COUNTIF(A72:AH72,"*$FC*")</f>
        <v/>
      </c>
      <c r="BL72" s="77">
        <f>BK72*1</f>
        <v/>
      </c>
      <c r="BM72" s="77">
        <f>COUNTIF($E72:$AG72,BM$4)</f>
        <v/>
      </c>
      <c r="BN72" s="77">
        <f>COUNTIF($E72:$AG72,BN$4)</f>
        <v/>
      </c>
      <c r="BO72" s="77">
        <f>COUNTIF($D72:$Y72,BO$4)</f>
        <v/>
      </c>
      <c r="BP72" s="107" t="n"/>
    </row>
    <row r="73" ht="19.5" customHeight="1">
      <c r="A73" s="107" t="n"/>
      <c r="B73" s="107" t="inlineStr">
        <is>
          <t>LCP DAANYAAL ABDUL AZEEZ JANJUA</t>
        </is>
      </c>
      <c r="C73" s="54" t="inlineStr">
        <is>
          <t>CS1</t>
        </is>
      </c>
      <c r="D73" s="53" t="n"/>
      <c r="E73" s="54" t="inlineStr">
        <is>
          <t>AL</t>
        </is>
      </c>
      <c r="F73" s="60" t="inlineStr">
        <is>
          <t>B</t>
        </is>
      </c>
      <c r="G73" s="107" t="inlineStr">
        <is>
          <t>B</t>
        </is>
      </c>
      <c r="H73" s="107" t="inlineStr">
        <is>
          <t>B</t>
        </is>
      </c>
      <c r="I73" s="107" t="n"/>
      <c r="J73" s="107" t="inlineStr">
        <is>
          <t>SB1</t>
        </is>
      </c>
      <c r="K73" s="107" t="inlineStr">
        <is>
          <t>CS1</t>
        </is>
      </c>
      <c r="L73" s="107" t="inlineStr">
        <is>
          <t>SB1</t>
        </is>
      </c>
      <c r="M73" s="113" t="inlineStr">
        <is>
          <t>SB1 (EXTRA)</t>
        </is>
      </c>
      <c r="N73" s="107" t="n"/>
      <c r="O73" s="107" t="n"/>
      <c r="P73" s="1" t="inlineStr">
        <is>
          <t>AE</t>
        </is>
      </c>
      <c r="Q73" s="60" t="n"/>
      <c r="S73" s="54" t="n"/>
      <c r="T73" s="54" t="n"/>
      <c r="U73" s="114" t="n"/>
      <c r="W73" s="110" t="inlineStr">
        <is>
          <t>SB1</t>
        </is>
      </c>
      <c r="X73" s="54" t="inlineStr">
        <is>
          <t>AM MA</t>
        </is>
      </c>
      <c r="Y73" s="53" t="inlineStr">
        <is>
          <t>5th $AM IPPT (0730-0920)</t>
        </is>
      </c>
      <c r="Z73" s="54" t="inlineStr">
        <is>
          <t>PERMSTAFF $AM SOC</t>
        </is>
      </c>
      <c r="AA73" s="60" t="n"/>
      <c r="AB73" s="107" t="n"/>
      <c r="AC73" s="107" t="n"/>
      <c r="AD73" s="107" t="inlineStr">
        <is>
          <t>6TH $AM IPPT</t>
        </is>
      </c>
      <c r="AE73" s="60" t="n"/>
      <c r="AF73" s="54" t="n"/>
      <c r="AG73" s="54" t="inlineStr">
        <is>
          <t>2ND $FC</t>
        </is>
      </c>
      <c r="AH73" s="67">
        <f>COUNTIF($C73:$AF73,AH$4)</f>
        <v/>
      </c>
      <c r="AI73" s="67">
        <f>COUNTIF($C73:$AF73,AI$4)</f>
        <v/>
      </c>
      <c r="AJ73" s="67">
        <f>COUNTIF($C73:$AF73,AJ$4)</f>
        <v/>
      </c>
      <c r="AK73" s="67">
        <f>COUNTIF($C73:$AF73,AK$4)</f>
        <v/>
      </c>
      <c r="AL73" s="67">
        <f>COUNTIF($C73:$AF73,AL$4)</f>
        <v/>
      </c>
      <c r="AM73" s="67">
        <f>COUNTIF($C73:$AF73,AM$4)</f>
        <v/>
      </c>
      <c r="AN73" s="67">
        <f>COUNTIF($C73:$AF73,AN$4)</f>
        <v/>
      </c>
      <c r="AO73" s="67">
        <f>COUNTIF($C73:$AF73,AO$4)</f>
        <v/>
      </c>
      <c r="AP73" s="67">
        <f>COUNTIF($C73:$AF73,AP$4)</f>
        <v/>
      </c>
      <c r="AQ73" s="76" t="n"/>
      <c r="AR73" s="76" t="n"/>
      <c r="AS73" s="77">
        <f>SUMPRODUCT(--(WEEKDAY(C$3:AG$3,2)&lt;5),--ISNUMBER(MATCH(C73:AG73,{"SB1","SB2"},0)))</f>
        <v/>
      </c>
      <c r="AT73" s="67" t="n"/>
      <c r="AU73" s="77">
        <f>SUMPRODUCT(--(WEEKDAY(C$3:AG$3,2)=5),--ISNUMBER(MATCH(C73:AG73,{"SB1","SB2"},0)))</f>
        <v/>
      </c>
      <c r="AV73" s="77">
        <f>SUMPRODUCT(--(WEEKDAY(C$3:AG$3,2)&gt;5),--ISNUMBER(MATCH(C73:AG73,{"SB1","SB2"},0)))</f>
        <v/>
      </c>
      <c r="AW73" s="67" t="n"/>
      <c r="AX73" s="77">
        <f>(AS73-AT73)+AU73*1.5+(AV73-AW73)*2+(AO73+AH73+AI73+AJ73+AK73+AN73)*0.5+AQ73-AR73</f>
        <v/>
      </c>
      <c r="AY73" s="77">
        <f>AS73+AU73+AV73</f>
        <v/>
      </c>
      <c r="AZ73" s="77">
        <f>BC73+BE73+BG73+BI73+BK73</f>
        <v/>
      </c>
      <c r="BA73" s="76">
        <f>AX73+BB73</f>
        <v/>
      </c>
      <c r="BB73" s="77">
        <f>BD73+BF73+BH73+BJ73+BL73</f>
        <v/>
      </c>
      <c r="BC73" s="77">
        <f>COUNTIF(A73:AH73,"*$BTP*")</f>
        <v/>
      </c>
      <c r="BD73" s="77">
        <f>BC73*1.5</f>
        <v/>
      </c>
      <c r="BE73" s="77">
        <f>COUNTIF(A73:AH73,"*$M*")</f>
        <v/>
      </c>
      <c r="BF73" s="77">
        <f>BE73*1</f>
        <v/>
      </c>
      <c r="BG73" s="77">
        <f>COUNTIF(A73:AH73,"*$PM*")</f>
        <v/>
      </c>
      <c r="BH73" s="77">
        <f>BG73*0.5</f>
        <v/>
      </c>
      <c r="BI73" s="77">
        <f>COUNTIF(A73:AH73,"*$AM*")</f>
        <v/>
      </c>
      <c r="BJ73" s="77">
        <f>BI73*0.5</f>
        <v/>
      </c>
      <c r="BK73" s="77">
        <f>COUNTIF(A73:AH73,"*$FC*")</f>
        <v/>
      </c>
      <c r="BL73" s="77">
        <f>BK73*1</f>
        <v/>
      </c>
      <c r="BM73" s="77">
        <f>COUNTIF($E73:$AG73,BM$4)</f>
        <v/>
      </c>
      <c r="BN73" s="77">
        <f>COUNTIF($E73:$AG73,BN$4)</f>
        <v/>
      </c>
      <c r="BO73" s="77">
        <f>COUNTIF($E73:$Y73,BO$4)</f>
        <v/>
      </c>
      <c r="BP73" s="107" t="n"/>
    </row>
    <row r="74" ht="19.5" customHeight="1">
      <c r="A74" s="107" t="n"/>
      <c r="B74" s="107" t="inlineStr">
        <is>
          <t>PTE SUNDARARAJU DHANUSH</t>
        </is>
      </c>
      <c r="C74" s="54" t="n"/>
      <c r="D74" s="54" t="inlineStr">
        <is>
          <t>SB2</t>
        </is>
      </c>
      <c r="E74" s="54" t="n"/>
      <c r="F74" s="54" t="n"/>
      <c r="G74" s="54" t="n"/>
      <c r="H74" s="107" t="n"/>
      <c r="I74" s="108" t="inlineStr">
        <is>
          <t>5TH $M HG (0500-2000)</t>
        </is>
      </c>
      <c r="J74" s="107" t="n"/>
      <c r="K74" s="54" t="inlineStr">
        <is>
          <t>AE</t>
        </is>
      </c>
      <c r="L74" s="108" t="n"/>
      <c r="M74" s="107" t="n"/>
      <c r="N74" s="107" t="n"/>
      <c r="O74" s="60" t="inlineStr">
        <is>
          <t>SB1</t>
        </is>
      </c>
      <c r="P74" s="107" t="n"/>
      <c r="Q74" s="107" t="n"/>
      <c r="R74" s="54" t="n"/>
      <c r="S74" s="108" t="n"/>
      <c r="T74" s="60" t="n"/>
      <c r="U74" s="110" t="n"/>
      <c r="V74" s="107" t="n"/>
      <c r="W74" s="110" t="inlineStr">
        <is>
          <t>CS1</t>
        </is>
      </c>
      <c r="X74" s="107" t="n"/>
      <c r="Y74" s="54" t="inlineStr">
        <is>
          <t>CS1</t>
        </is>
      </c>
      <c r="Z74" s="54" t="n"/>
      <c r="AA74" s="53" t="n"/>
      <c r="AB74" s="60" t="n"/>
      <c r="AC74" s="108" t="inlineStr">
        <is>
          <t xml:space="preserve">5th $FC       </t>
        </is>
      </c>
      <c r="AD74" s="108" t="inlineStr">
        <is>
          <t xml:space="preserve">5th $FC       </t>
        </is>
      </c>
      <c r="AE74" s="108" t="inlineStr">
        <is>
          <t xml:space="preserve">5th $FC       </t>
        </is>
      </c>
      <c r="AF74" s="54" t="n"/>
      <c r="AG74" s="54" t="inlineStr">
        <is>
          <t>SB1</t>
        </is>
      </c>
      <c r="AH74" s="67">
        <f>COUNTIF($C74:$AF74,AH$4)</f>
        <v/>
      </c>
      <c r="AI74" s="67">
        <f>COUNTIF($C74:$AF74,AI$4)</f>
        <v/>
      </c>
      <c r="AJ74" s="67">
        <f>COUNTIF($C74:$AF74,AJ$4)</f>
        <v/>
      </c>
      <c r="AK74" s="67">
        <f>COUNTIF($C74:$AF74,AK$4)</f>
        <v/>
      </c>
      <c r="AL74" s="67">
        <f>COUNTIF($C74:$AF74,AL$4)</f>
        <v/>
      </c>
      <c r="AM74" s="67">
        <f>COUNTIF($C74:$AF74,AM$4)</f>
        <v/>
      </c>
      <c r="AN74" s="67">
        <f>COUNTIF($C74:$AF74,AN$4)</f>
        <v/>
      </c>
      <c r="AO74" s="67">
        <f>COUNTIF($C74:$AF74,AO$4)</f>
        <v/>
      </c>
      <c r="AP74" s="67">
        <f>COUNTIF($C74:$AF74,AP$4)</f>
        <v/>
      </c>
      <c r="AQ74" s="76" t="n"/>
      <c r="AR74" s="76" t="n"/>
      <c r="AS74" s="77">
        <f>SUMPRODUCT(--(WEEKDAY(C$3:AG$3,2)&lt;5),--ISNUMBER(MATCH(C74:AG74,{"SB1","SB2"},0)))</f>
        <v/>
      </c>
      <c r="AT74" s="67" t="n"/>
      <c r="AU74" s="77">
        <f>SUMPRODUCT(--(WEEKDAY(C$3:AG$3,2)=5),--ISNUMBER(MATCH(C74:AG74,{"SB1","SB2"},0)))</f>
        <v/>
      </c>
      <c r="AV74" s="77">
        <f>SUMPRODUCT(--(WEEKDAY(C$3:AG$3,2)&gt;5),--ISNUMBER(MATCH(C74:AG74,{"SB1","SB2"},0)))</f>
        <v/>
      </c>
      <c r="AW74" s="67" t="n"/>
      <c r="AX74" s="77">
        <f>(AS74-AT74)+AU74*1.5+(AV74-AW74)*2+(AO74+AH74+AI74+AJ74+AK74+AN74)*0.5+AQ74-AR74</f>
        <v/>
      </c>
      <c r="AY74" s="77">
        <f>AS74+AU74+AV74</f>
        <v/>
      </c>
      <c r="AZ74" s="77">
        <f>BC74+BE74+BG74+BI74+BK74</f>
        <v/>
      </c>
      <c r="BA74" s="76">
        <f>AX74+BB74</f>
        <v/>
      </c>
      <c r="BB74" s="77">
        <f>BD74+BF74+BH74+BJ74+BL74</f>
        <v/>
      </c>
      <c r="BC74" s="77">
        <f>COUNTIF(A74:AH74,"*$BTP*")</f>
        <v/>
      </c>
      <c r="BD74" s="77">
        <f>BC74*1.5</f>
        <v/>
      </c>
      <c r="BE74" s="77">
        <f>COUNTIF(A74:AH74,"*$M*")</f>
        <v/>
      </c>
      <c r="BF74" s="77">
        <f>BE74*1</f>
        <v/>
      </c>
      <c r="BG74" s="77">
        <f>COUNTIF(A74:AH74,"*$PM*")</f>
        <v/>
      </c>
      <c r="BH74" s="77">
        <f>BG74*0.5</f>
        <v/>
      </c>
      <c r="BI74" s="77">
        <f>COUNTIF(A74:AH74,"*$AM*")</f>
        <v/>
      </c>
      <c r="BJ74" s="77">
        <f>BI74*0.5</f>
        <v/>
      </c>
      <c r="BK74" s="77">
        <f>COUNTIF(A74:AH74,"*$FC*")</f>
        <v/>
      </c>
      <c r="BL74" s="77">
        <f>BK74*1</f>
        <v/>
      </c>
      <c r="BM74" s="77">
        <f>COUNTIF($E74:$AG74,BM$4)</f>
        <v/>
      </c>
      <c r="BN74" s="77">
        <f>COUNTIF($E74:$AG74,BN$4)</f>
        <v/>
      </c>
      <c r="BO74" s="77">
        <f>COUNTIF($D74:$Y74,BO$4)</f>
        <v/>
      </c>
      <c r="BP74" s="107" t="n"/>
    </row>
    <row r="75" ht="31.5" customHeight="1">
      <c r="A75" s="67" t="n"/>
      <c r="B75" s="74" t="inlineStr">
        <is>
          <t>PTE PATIL AMEYA MANOJ</t>
        </is>
      </c>
      <c r="C75" s="60" t="inlineStr">
        <is>
          <t>PTMC</t>
        </is>
      </c>
      <c r="D75" s="60" t="inlineStr">
        <is>
          <t>PTMC</t>
        </is>
      </c>
      <c r="E75" s="60" t="inlineStr">
        <is>
          <t>PTMC</t>
        </is>
      </c>
      <c r="F75" s="60" t="inlineStr">
        <is>
          <t>PTMC</t>
        </is>
      </c>
      <c r="G75" s="60" t="inlineStr">
        <is>
          <t>PTMC</t>
        </is>
      </c>
      <c r="H75" s="60" t="inlineStr">
        <is>
          <t>PTMC</t>
        </is>
      </c>
      <c r="I75" s="60" t="inlineStr">
        <is>
          <t>PTMC</t>
        </is>
      </c>
      <c r="J75" s="60" t="inlineStr">
        <is>
          <t>PTMC</t>
        </is>
      </c>
      <c r="K75" s="60" t="inlineStr">
        <is>
          <t>PTMC</t>
        </is>
      </c>
      <c r="L75" s="60" t="inlineStr">
        <is>
          <t>PTMC</t>
        </is>
      </c>
      <c r="M75" s="60" t="inlineStr">
        <is>
          <t>PTMC</t>
        </is>
      </c>
      <c r="N75" s="60" t="inlineStr">
        <is>
          <t>PTMC</t>
        </is>
      </c>
      <c r="O75" s="60" t="n"/>
      <c r="P75" s="60" t="n"/>
      <c r="Q75" s="107" t="inlineStr">
        <is>
          <t>AE</t>
        </is>
      </c>
      <c r="R75" s="60" t="n"/>
      <c r="S75" s="60" t="n"/>
      <c r="T75" s="60" t="n"/>
      <c r="U75" s="114" t="inlineStr">
        <is>
          <t>SB1</t>
        </is>
      </c>
      <c r="V75" s="60" t="n"/>
      <c r="W75" s="60" t="n"/>
      <c r="X75" s="60" t="n"/>
      <c r="Z75" s="60" t="inlineStr">
        <is>
          <t>SB1</t>
        </is>
      </c>
      <c r="AA75" s="60" t="n"/>
      <c r="AB75" s="60" t="inlineStr">
        <is>
          <t>SB1</t>
        </is>
      </c>
      <c r="AC75" s="60" t="n"/>
      <c r="AD75" s="60" t="inlineStr">
        <is>
          <t>AM MA</t>
        </is>
      </c>
      <c r="AE75" s="60" t="n"/>
      <c r="AF75" s="54" t="inlineStr">
        <is>
          <t>SB2</t>
        </is>
      </c>
      <c r="AG75" s="60" t="n"/>
      <c r="AH75" s="67">
        <f>COUNTIF($C75:$AF75,AH$4)</f>
        <v/>
      </c>
      <c r="AI75" s="67">
        <f>COUNTIF($C75:$AF75,AI$4)</f>
        <v/>
      </c>
      <c r="AJ75" s="67">
        <f>COUNTIF($C75:$AF75,AJ$4)</f>
        <v/>
      </c>
      <c r="AK75" s="67">
        <f>COUNTIF($C75:$AF75,AK$4)</f>
        <v/>
      </c>
      <c r="AL75" s="67">
        <f>COUNTIF($C75:$AF75,AL$4)</f>
        <v/>
      </c>
      <c r="AM75" s="67">
        <f>COUNTIF($C75:$AF75,AM$4)</f>
        <v/>
      </c>
      <c r="AN75" s="67">
        <f>COUNTIF($C75:$AF75,AN$4)</f>
        <v/>
      </c>
      <c r="AO75" s="67">
        <f>COUNTIF($C75:$AF75,AO$4)</f>
        <v/>
      </c>
      <c r="AP75" s="67">
        <f>COUNTIF($C75:$AF75,AP$4)</f>
        <v/>
      </c>
      <c r="AQ75" s="76" t="n"/>
      <c r="AR75" s="76" t="n"/>
      <c r="AS75" s="77">
        <f>SUMPRODUCT(--(WEEKDAY(C$3:AG$3,2)&lt;5),--ISNUMBER(MATCH(C75:AG75,{"SB1","SB2"},0)))</f>
        <v/>
      </c>
      <c r="AT75" s="67" t="n"/>
      <c r="AU75" s="77">
        <f>SUMPRODUCT(--(WEEKDAY(C$3:AG$3,2)=5),--ISNUMBER(MATCH(C75:AG75,{"SB1","SB2"},0)))</f>
        <v/>
      </c>
      <c r="AV75" s="77">
        <f>SUMPRODUCT(--(WEEKDAY(C$3:AG$3,2)&gt;5),--ISNUMBER(MATCH(C75:AG75,{"SB1","SB2"},0)))</f>
        <v/>
      </c>
      <c r="AW75" s="67" t="n"/>
      <c r="AX75" s="77">
        <f>(AS75-AT75)+AU75*1.5+(AV75-AW75)*2+(AO75+AH75+AI75+AJ75+AK75+AN75)*0.5+AQ75-AR75</f>
        <v/>
      </c>
      <c r="AY75" s="77">
        <f>AS75+AU75+AV75</f>
        <v/>
      </c>
      <c r="AZ75" s="77">
        <f>BC75+BE75+BG75+BI75+BK75</f>
        <v/>
      </c>
      <c r="BA75" s="76">
        <f>AX75+BB75</f>
        <v/>
      </c>
      <c r="BB75" s="77">
        <f>BD75+BF75+BH75+BJ75+BL75</f>
        <v/>
      </c>
      <c r="BC75" s="77">
        <f>COUNTIF(A75:AH75,"*$BTP*")</f>
        <v/>
      </c>
      <c r="BD75" s="77">
        <f>BC75*1.5</f>
        <v/>
      </c>
      <c r="BE75" s="77">
        <f>COUNTIF(A75:AH75,"*$M*")</f>
        <v/>
      </c>
      <c r="BF75" s="77">
        <f>BE75*1</f>
        <v/>
      </c>
      <c r="BG75" s="77">
        <f>COUNTIF(A75:AH75,"*$PM*")</f>
        <v/>
      </c>
      <c r="BH75" s="77">
        <f>BG75*0.5</f>
        <v/>
      </c>
      <c r="BI75" s="77">
        <f>COUNTIF(A75:AH75,"*$AM*")</f>
        <v/>
      </c>
      <c r="BJ75" s="77">
        <f>BI75*0.5</f>
        <v/>
      </c>
      <c r="BK75" s="77">
        <f>COUNTIF(A75:AH75,"*$FC*")</f>
        <v/>
      </c>
      <c r="BL75" s="77">
        <f>BK75*1</f>
        <v/>
      </c>
      <c r="BM75" s="77">
        <f>COUNTIF($D75:$Y75,BM$4)</f>
        <v/>
      </c>
      <c r="BN75" s="77">
        <f>COUNTIF($D75:$Y75,BN$4)</f>
        <v/>
      </c>
      <c r="BO75" s="77">
        <f>COUNTIF($D75:$Y75,BO$4)</f>
        <v/>
      </c>
      <c r="BP75" s="67" t="n"/>
    </row>
    <row r="76" ht="31.5" customHeight="1">
      <c r="A76" s="67" t="n"/>
      <c r="B76" s="74" t="inlineStr">
        <is>
          <t>PTE ROYSTON SEOW</t>
        </is>
      </c>
      <c r="C76" s="60" t="inlineStr">
        <is>
          <t>SERVE+</t>
        </is>
      </c>
      <c r="D76" s="60" t="inlineStr">
        <is>
          <t>SERVE+</t>
        </is>
      </c>
      <c r="E76" s="60" t="inlineStr">
        <is>
          <t>SERVE+</t>
        </is>
      </c>
      <c r="F76" s="60" t="inlineStr">
        <is>
          <t>SERVE+</t>
        </is>
      </c>
      <c r="G76" s="60" t="inlineStr">
        <is>
          <t>SERVE+</t>
        </is>
      </c>
      <c r="H76" s="60" t="inlineStr">
        <is>
          <t>SERVE+</t>
        </is>
      </c>
      <c r="I76" s="60" t="inlineStr">
        <is>
          <t>SERVE+</t>
        </is>
      </c>
      <c r="J76" s="60" t="inlineStr">
        <is>
          <t>SERVE+</t>
        </is>
      </c>
      <c r="K76" s="60" t="inlineStr">
        <is>
          <t>SERVE+</t>
        </is>
      </c>
      <c r="L76" s="60" t="inlineStr">
        <is>
          <t>SERVE+</t>
        </is>
      </c>
      <c r="M76" s="60" t="inlineStr">
        <is>
          <t>SERVE+</t>
        </is>
      </c>
      <c r="N76" s="60" t="inlineStr">
        <is>
          <t>SERVE+</t>
        </is>
      </c>
      <c r="O76" s="60" t="inlineStr">
        <is>
          <t>SERVE+</t>
        </is>
      </c>
      <c r="P76" s="60" t="inlineStr">
        <is>
          <t>SERVE+</t>
        </is>
      </c>
      <c r="Q76" s="60" t="inlineStr">
        <is>
          <t>SERVE+</t>
        </is>
      </c>
      <c r="R76" s="60" t="inlineStr">
        <is>
          <t>SERVE+</t>
        </is>
      </c>
      <c r="S76" s="60" t="inlineStr">
        <is>
          <t>SERVE+</t>
        </is>
      </c>
      <c r="T76" s="60" t="inlineStr">
        <is>
          <t>SERVE+</t>
        </is>
      </c>
      <c r="U76" s="60" t="inlineStr">
        <is>
          <t>SERVE+</t>
        </is>
      </c>
      <c r="V76" s="60" t="inlineStr">
        <is>
          <t>SERVE+</t>
        </is>
      </c>
      <c r="W76" s="60" t="inlineStr">
        <is>
          <t>SERVE+</t>
        </is>
      </c>
      <c r="X76" s="60" t="inlineStr">
        <is>
          <t>SERVE+</t>
        </is>
      </c>
      <c r="Y76" s="60" t="inlineStr">
        <is>
          <t>SERVE+</t>
        </is>
      </c>
      <c r="Z76" s="60" t="inlineStr">
        <is>
          <t>SERVE+</t>
        </is>
      </c>
      <c r="AA76" s="60" t="inlineStr">
        <is>
          <t>SERVE+</t>
        </is>
      </c>
      <c r="AB76" s="60" t="inlineStr">
        <is>
          <t>SERVE+</t>
        </is>
      </c>
      <c r="AC76" s="60" t="inlineStr">
        <is>
          <t>SERVE+</t>
        </is>
      </c>
      <c r="AD76" s="60" t="inlineStr">
        <is>
          <t>SERVE+</t>
        </is>
      </c>
      <c r="AE76" s="60" t="inlineStr">
        <is>
          <t>SERVE+</t>
        </is>
      </c>
      <c r="AF76" s="60" t="inlineStr">
        <is>
          <t>SERVE+</t>
        </is>
      </c>
      <c r="AG76" s="60" t="inlineStr">
        <is>
          <t>SERVE+</t>
        </is>
      </c>
      <c r="AH76" s="67">
        <f>COUNTIF($C76:$AF76,AH$4)</f>
        <v/>
      </c>
      <c r="AI76" s="67">
        <f>COUNTIF($C76:$AF76,AI$4)</f>
        <v/>
      </c>
      <c r="AJ76" s="67">
        <f>COUNTIF($C76:$AF76,AJ$4)</f>
        <v/>
      </c>
      <c r="AK76" s="67">
        <f>COUNTIF($C76:$AF76,AK$4)</f>
        <v/>
      </c>
      <c r="AL76" s="67">
        <f>COUNTIF($C76:$AF76,AL$4)</f>
        <v/>
      </c>
      <c r="AM76" s="67">
        <f>COUNTIF($C76:$AF76,AM$4)</f>
        <v/>
      </c>
      <c r="AN76" s="67">
        <f>COUNTIF($C76:$AF76,AN$4)</f>
        <v/>
      </c>
      <c r="AO76" s="67">
        <f>COUNTIF($C76:$AF76,AO$4)</f>
        <v/>
      </c>
      <c r="AP76" s="67">
        <f>COUNTIF($C76:$AF76,AP$4)</f>
        <v/>
      </c>
      <c r="AQ76" s="76" t="n"/>
      <c r="AR76" s="76" t="n"/>
      <c r="AS76" s="77">
        <f>SUMPRODUCT(--(WEEKDAY(C$3:AG$3,2)&lt;5),--ISNUMBER(MATCH(C76:AG76,{"SB1","SB2"},0)))</f>
        <v/>
      </c>
      <c r="AT76" s="67" t="n"/>
      <c r="AU76" s="77">
        <f>SUMPRODUCT(--(WEEKDAY(C$3:AG$3,2)=5),--ISNUMBER(MATCH(C76:AG76,{"SB1","SB2"},0)))</f>
        <v/>
      </c>
      <c r="AV76" s="77">
        <f>SUMPRODUCT(--(WEEKDAY(C$3:AG$3,2)&gt;5),--ISNUMBER(MATCH(C76:AG76,{"SB1","SB2"},0)))</f>
        <v/>
      </c>
      <c r="AW76" s="67" t="n"/>
      <c r="AX76" s="77">
        <f>(AS76-AT76)+AU76*1.5+(AV76-AW76)*2+(AO76+AH76+AI76+AJ76+AK76+AN76)*0.5+AQ76-AR76</f>
        <v/>
      </c>
      <c r="AY76" s="77">
        <f>AS76+AU76+AV76</f>
        <v/>
      </c>
      <c r="AZ76" s="77">
        <f>BC76+BE76+BG76+BI76+BK76</f>
        <v/>
      </c>
      <c r="BA76" s="76">
        <f>AX76+BB76</f>
        <v/>
      </c>
      <c r="BB76" s="77">
        <f>BD76+BF76+BH76+BJ76+BL76</f>
        <v/>
      </c>
      <c r="BC76" s="77">
        <f>COUNTIF(A76:AH76,"*$BTP*")</f>
        <v/>
      </c>
      <c r="BD76" s="77">
        <f>BC76*1.5</f>
        <v/>
      </c>
      <c r="BE76" s="77">
        <f>COUNTIF(A76:AH76,"*$M*")</f>
        <v/>
      </c>
      <c r="BF76" s="77">
        <f>BE76*1</f>
        <v/>
      </c>
      <c r="BG76" s="77">
        <f>COUNTIF(A76:AH76,"*$PM*")</f>
        <v/>
      </c>
      <c r="BH76" s="77">
        <f>BG76*0.5</f>
        <v/>
      </c>
      <c r="BI76" s="77">
        <f>COUNTIF(A76:AH76,"*$AM*")</f>
        <v/>
      </c>
      <c r="BJ76" s="77">
        <f>BI76*0.5</f>
        <v/>
      </c>
      <c r="BK76" s="77">
        <f>COUNTIF(A76:AH76,"*$FC*")</f>
        <v/>
      </c>
      <c r="BL76" s="77">
        <f>BK76*1</f>
        <v/>
      </c>
      <c r="BM76" s="77">
        <f>COUNTIF($D76:$Y76,BM$4)</f>
        <v/>
      </c>
      <c r="BN76" s="77">
        <f>COUNTIF($D76:$Y76,BN$4)</f>
        <v/>
      </c>
      <c r="BO76" s="77">
        <f>COUNTIF($D76:$Y76,BO$4)</f>
        <v/>
      </c>
      <c r="BP76" s="67" t="n"/>
    </row>
    <row r="77" ht="19.5" customHeight="1">
      <c r="A77" s="67" t="n"/>
      <c r="B77" s="115" t="inlineStr">
        <is>
          <t>temp cover row</t>
        </is>
      </c>
      <c r="C77" s="116" t="n"/>
      <c r="D77" s="53" t="n"/>
      <c r="E77" s="85" t="n"/>
      <c r="F77" s="85" t="n"/>
      <c r="G77" s="85" t="n"/>
      <c r="H77" s="85" t="n"/>
      <c r="I77" s="53" t="n"/>
      <c r="J77" s="85" t="n"/>
      <c r="K77" s="53" t="n"/>
      <c r="L77" s="53" t="n"/>
      <c r="M77" s="60" t="n"/>
      <c r="N77" s="85" t="n"/>
      <c r="O77" s="53" t="n"/>
      <c r="P77" s="53" t="n"/>
      <c r="Q77" s="53" t="n"/>
      <c r="R77" s="53" t="n"/>
      <c r="S77" s="53" t="n"/>
      <c r="T77" s="53" t="n"/>
      <c r="U77" s="117" t="n"/>
      <c r="V77" s="118" t="n"/>
      <c r="W77" s="53" t="n"/>
      <c r="X77" s="85" t="inlineStr">
        <is>
          <t>      </t>
        </is>
      </c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67" t="n"/>
      <c r="AI77" s="67" t="n"/>
      <c r="AJ77" s="67" t="n"/>
      <c r="AK77" s="67" t="n"/>
      <c r="AL77" s="67" t="n"/>
      <c r="AM77" s="67" t="n"/>
      <c r="AN77" s="67" t="n"/>
      <c r="AO77" s="67" t="n"/>
      <c r="AP77" s="67" t="n"/>
      <c r="AQ77" s="67" t="n"/>
      <c r="AR77" s="67" t="n"/>
      <c r="AS77" s="77" t="n"/>
      <c r="AT77" s="67" t="n"/>
      <c r="AU77" s="67" t="n"/>
      <c r="AV77" s="77" t="n"/>
      <c r="AW77" s="67" t="n"/>
      <c r="AX77" s="67" t="n"/>
      <c r="AY77" s="77" t="n"/>
      <c r="AZ77" s="77" t="n"/>
      <c r="BA77" s="77" t="n"/>
      <c r="BB77" s="77" t="n"/>
      <c r="BC77" s="77" t="n"/>
      <c r="BD77" s="77" t="n"/>
      <c r="BE77" s="77" t="n"/>
      <c r="BF77" s="77" t="n"/>
      <c r="BG77" s="77" t="n"/>
      <c r="BH77" s="77" t="n"/>
      <c r="BI77" s="77" t="n"/>
      <c r="BJ77" s="77" t="n"/>
      <c r="BK77" s="77" t="n"/>
      <c r="BL77" s="77" t="n"/>
      <c r="BM77" s="67" t="n"/>
      <c r="BN77" s="67" t="n"/>
      <c r="BO77" s="67" t="n"/>
      <c r="BP77" s="67" t="n"/>
    </row>
    <row r="78" ht="19.5" customHeight="1">
      <c r="A78" s="67" t="n"/>
      <c r="B78" s="115" t="inlineStr">
        <is>
          <t>COMBAT POINTS</t>
        </is>
      </c>
      <c r="C78" s="119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60" t="n"/>
      <c r="N78" s="120" t="n"/>
      <c r="O78" s="120" t="n"/>
      <c r="P78" s="120" t="n"/>
      <c r="Q78" s="60" t="n"/>
      <c r="R78" s="60" t="n"/>
      <c r="S78" s="120" t="n"/>
      <c r="T78" s="60" t="n"/>
      <c r="U78" s="121" t="inlineStr">
        <is>
          <t>             </t>
        </is>
      </c>
      <c r="V78" s="122" t="n"/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20" t="n"/>
      <c r="AG78" s="120" t="n"/>
      <c r="AH78" s="67" t="n"/>
      <c r="AI78" s="67" t="n"/>
      <c r="AJ78" s="67" t="n"/>
      <c r="AK78" s="67" t="n"/>
      <c r="AL78" s="67" t="n"/>
      <c r="AM78" s="67" t="n"/>
      <c r="AN78" s="67" t="n"/>
      <c r="AO78" s="67" t="n"/>
      <c r="AP78" s="67" t="n"/>
      <c r="AQ78" s="67" t="n"/>
      <c r="AR78" s="67" t="n"/>
      <c r="AS78" s="77" t="n"/>
      <c r="AT78" s="67" t="n"/>
      <c r="AU78" s="67" t="n"/>
      <c r="AV78" s="77" t="n"/>
      <c r="AW78" s="67" t="n"/>
      <c r="AX78" s="6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67" t="n"/>
      <c r="BN78" s="67" t="n"/>
      <c r="BO78" s="67" t="n"/>
      <c r="BP78" s="67" t="n"/>
    </row>
    <row r="79" ht="19.5" customHeight="1">
      <c r="A79" s="67" t="n"/>
      <c r="B79" s="115" t="inlineStr">
        <is>
          <t>TOTAL POINTS</t>
        </is>
      </c>
      <c r="C79" s="119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60" t="n"/>
      <c r="N79" s="120" t="n"/>
      <c r="O79" s="120" t="n"/>
      <c r="P79" s="120" t="n"/>
      <c r="Q79" s="60" t="n"/>
      <c r="R79" s="60" t="n"/>
      <c r="S79" s="120" t="n"/>
      <c r="T79" s="60" t="n"/>
      <c r="U79" s="121" t="n"/>
      <c r="V79" s="122" t="n"/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20" t="n"/>
      <c r="AG79" s="120" t="n"/>
      <c r="AH79" s="67" t="n"/>
      <c r="AI79" s="67" t="n"/>
      <c r="AJ79" s="67" t="n"/>
      <c r="AK79" s="67" t="n"/>
      <c r="AL79" s="67" t="n"/>
      <c r="AM79" s="67" t="n"/>
      <c r="AN79" s="67" t="n"/>
      <c r="AO79" s="67" t="n"/>
      <c r="AP79" s="67" t="n"/>
      <c r="AQ79" s="67" t="n"/>
      <c r="AR79" s="67" t="n"/>
      <c r="AS79" s="77" t="n"/>
      <c r="AT79" s="67" t="n"/>
      <c r="AU79" s="67" t="n"/>
      <c r="AV79" s="77" t="n"/>
      <c r="AW79" s="67" t="n"/>
      <c r="AX79" s="67" t="n"/>
      <c r="AY79" s="77" t="n"/>
      <c r="AZ79" s="77" t="n"/>
      <c r="BA79" s="77" t="n"/>
      <c r="BB79" s="77" t="n"/>
      <c r="BC79" s="77" t="n"/>
      <c r="BD79" s="77" t="n"/>
      <c r="BE79" s="77" t="n"/>
      <c r="BF79" s="77" t="n"/>
      <c r="BG79" s="77" t="n"/>
      <c r="BH79" s="77" t="n"/>
      <c r="BI79" s="77" t="n"/>
      <c r="BJ79" s="77" t="n"/>
      <c r="BK79" s="77" t="n"/>
      <c r="BL79" s="77" t="n"/>
      <c r="BM79" s="67" t="n"/>
      <c r="BN79" s="67" t="n"/>
      <c r="BO79" s="67" t="n"/>
      <c r="BP79" s="67" t="n"/>
    </row>
    <row r="80" ht="19.5" customHeight="1">
      <c r="A80" s="67" t="n"/>
      <c r="B80" s="105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  <c r="AA80" s="123" t="n"/>
      <c r="AB80" s="123" t="n"/>
      <c r="AC80" s="123" t="n"/>
      <c r="AD80" s="123" t="n"/>
      <c r="AE80" s="123" t="n"/>
      <c r="AF80" s="123" t="n"/>
      <c r="AG80" s="123" t="n"/>
      <c r="AH80" s="105" t="n"/>
      <c r="AI80" s="105" t="n"/>
      <c r="AJ80" s="105" t="n"/>
      <c r="AK80" s="105" t="n"/>
      <c r="AL80" s="105" t="n"/>
      <c r="AM80" s="105" t="n"/>
      <c r="AN80" s="105" t="n"/>
      <c r="AO80" s="105" t="n"/>
      <c r="AP80" s="105" t="n"/>
      <c r="AQ80" s="105" t="n"/>
      <c r="AR80" s="105" t="n"/>
      <c r="AS80" s="105" t="n"/>
      <c r="AT80" s="105" t="n"/>
      <c r="AU80" s="105" t="n"/>
      <c r="AV80" s="105">
        <f>SUMPRODUCT(--WEEKDAY(C$3:AF$3,2)&gt;5,--((C80:AF80="DM"))+(C80:AF80="CS1")+((C80:AF80="CS2"))+(C80:AF80="SB1")+(C80:AF80="AE")+(C80:AF80="EM"))</f>
        <v/>
      </c>
      <c r="AW80" s="105" t="n"/>
      <c r="AX80" s="105">
        <f>(AS80-AT80)/2+(AV80-AW80)</f>
        <v/>
      </c>
      <c r="AY80" s="105" t="n"/>
      <c r="AZ80" s="105" t="n"/>
      <c r="BA80" s="105" t="n"/>
      <c r="BB80" s="105" t="n"/>
      <c r="BC80" s="105" t="n"/>
      <c r="BD80" s="105" t="n"/>
      <c r="BE80" s="105" t="n"/>
      <c r="BF80" s="105" t="n"/>
      <c r="BG80" s="105" t="n"/>
      <c r="BH80" s="105" t="n"/>
      <c r="BI80" s="105" t="n"/>
      <c r="BJ80" s="105" t="n"/>
      <c r="BK80" s="105" t="n"/>
      <c r="BL80" s="105" t="n"/>
      <c r="BM80" s="105" t="n"/>
      <c r="BN80" s="105" t="n"/>
      <c r="BO80" s="105" t="n"/>
      <c r="BP80" s="105" t="n"/>
    </row>
    <row r="81" ht="19.5" customHeight="1">
      <c r="A81" s="67" t="n"/>
      <c r="B81" s="124" t="inlineStr">
        <is>
          <t>DM</t>
        </is>
      </c>
      <c r="C81" s="125">
        <f>INDEX($B$57:$B$74,MATCH($B81,C$57:C$76,0))</f>
        <v/>
      </c>
      <c r="D81" s="125">
        <f>INDEX($B$57:$B$74,MATCH($B81,D$57:D$76,0))</f>
        <v/>
      </c>
      <c r="E81" s="125">
        <f>INDEX($B$57:$B$74,MATCH($B81,E$57:E$76,0))</f>
        <v/>
      </c>
      <c r="F81" s="125">
        <f>INDEX($B$57:$B$74,MATCH($B81,F$57:F$76,0))</f>
        <v/>
      </c>
      <c r="G81" s="125">
        <f>INDEX($B$57:$B$74,MATCH($B81,G$57:G$76,0))</f>
        <v/>
      </c>
      <c r="H81" s="125">
        <f>INDEX($B$57:$B$74,MATCH($B81,H$57:H$76,0))</f>
        <v/>
      </c>
      <c r="I81" s="125">
        <f>INDEX($B$57:$B$74,MATCH($B81,I$57:I$76,0))</f>
        <v/>
      </c>
      <c r="J81" s="125">
        <f>INDEX($B$57:$B$74,MATCH($B81,J$57:J$76,0))</f>
        <v/>
      </c>
      <c r="K81" s="125">
        <f>INDEX($B$57:$B$74,MATCH($B81,K$57:K$76,0))</f>
        <v/>
      </c>
      <c r="L81" s="125">
        <f>INDEX($B$57:$B$74,MATCH($B81,L$57:L$76,0))</f>
        <v/>
      </c>
      <c r="M81" s="125">
        <f>INDEX($B$57:$B$74,MATCH($B81,M$57:M$76,0))</f>
        <v/>
      </c>
      <c r="N81" s="125">
        <f>INDEX($B$57:$B$74,MATCH($B81,N$57:N$76,0))</f>
        <v/>
      </c>
      <c r="O81" s="125">
        <f>INDEX($B$57:$B$74,MATCH($B81,O$57:O$76,0))</f>
        <v/>
      </c>
      <c r="P81" s="125">
        <f>INDEX($B$57:$B$74,MATCH($B81,P$57:P$76,0))</f>
        <v/>
      </c>
      <c r="Q81" s="125">
        <f>INDEX($B$57:$B$74,MATCH($B81,Q$57:Q$76,0))</f>
        <v/>
      </c>
      <c r="R81" s="125">
        <f>INDEX($B$57:$B$74,MATCH($B81,R$57:R$76,0))</f>
        <v/>
      </c>
      <c r="S81" s="125">
        <f>INDEX($B$57:$B$74,MATCH($B81,S$57:S$76,0))</f>
        <v/>
      </c>
      <c r="T81" s="125">
        <f>INDEX($B$57:$B$74,MATCH($B81,T$57:T$76,0))</f>
        <v/>
      </c>
      <c r="U81" s="125">
        <f>INDEX($B$57:$B$74,MATCH($B81,U$57:U$76,0))</f>
        <v/>
      </c>
      <c r="V81" s="125">
        <f>INDEX($B$57:$B$74,MATCH($B81,V$57:V$76,0))</f>
        <v/>
      </c>
      <c r="W81" s="125">
        <f>INDEX($B$57:$B$74,MATCH($B81,W$57:W$76,0))</f>
        <v/>
      </c>
      <c r="X81" s="125">
        <f>INDEX($B$57:$B$74,MATCH($B81,X$57:X$76,0))</f>
        <v/>
      </c>
      <c r="Y81" s="125">
        <f>INDEX($B$57:$B$74,MATCH($B81,Y$57:Y$76,0))</f>
        <v/>
      </c>
      <c r="Z81" s="125">
        <f>INDEX($B$57:$B$74,MATCH($B81,Z$57:Z$76,0))</f>
        <v/>
      </c>
      <c r="AA81" s="125">
        <f>INDEX($B$57:$B$74,MATCH($B81,AA$57:AA$76,0))</f>
        <v/>
      </c>
      <c r="AB81" s="125">
        <f>INDEX($B$57:$B$74,MATCH($B81,AB$57:AB$76,0))</f>
        <v/>
      </c>
      <c r="AC81" s="125">
        <f>INDEX($B$57:$B$74,MATCH($B81,AC$57:AC$76,0))</f>
        <v/>
      </c>
      <c r="AD81" s="125">
        <f>INDEX($B$57:$B$74,MATCH($B81,AD$58:AD$76,0))</f>
        <v/>
      </c>
      <c r="AE81" s="125">
        <f>INDEX($B$57:$B$74,MATCH($B81,AE$57:AE$76,0))</f>
        <v/>
      </c>
      <c r="AF81" s="125">
        <f>INDEX($B$57:$B$74,MATCH($B81,AF$57:AF$76,0))</f>
        <v/>
      </c>
      <c r="AG81" s="125">
        <f>INDEX($B$57:$B$74,MATCH($B81,AG$57:AG$76,0))</f>
        <v/>
      </c>
      <c r="AH81" s="67" t="n"/>
      <c r="AI81" s="67" t="n"/>
      <c r="AJ81" s="67" t="n"/>
      <c r="AK81" s="67" t="n"/>
      <c r="AL81" s="77" t="n"/>
      <c r="AM81" s="77" t="n"/>
      <c r="AN81" s="77" t="n"/>
      <c r="AO81" s="77" t="n"/>
      <c r="AP81" s="77" t="n"/>
      <c r="AQ81" s="77" t="n"/>
      <c r="AR81" s="77" t="n"/>
      <c r="AS81" s="77" t="n"/>
      <c r="AT81" s="77" t="n"/>
      <c r="AU81" s="77" t="n"/>
      <c r="AV81" s="77" t="n"/>
      <c r="AW81" s="77" t="n"/>
      <c r="AX81" s="77" t="n"/>
      <c r="AY81" s="77" t="n"/>
      <c r="AZ81" s="77" t="n"/>
      <c r="BA81" s="77" t="n"/>
      <c r="BB81" s="77" t="n"/>
      <c r="BC81" s="77" t="n"/>
      <c r="BD81" s="77" t="n"/>
      <c r="BE81" s="77" t="n"/>
      <c r="BF81" s="77" t="n"/>
      <c r="BG81" s="77" t="n"/>
      <c r="BH81" s="77" t="n"/>
      <c r="BI81" s="77" t="n"/>
      <c r="BJ81" s="77" t="n"/>
      <c r="BK81" s="77" t="n"/>
      <c r="BL81" s="77" t="n"/>
      <c r="BM81" s="77" t="n"/>
      <c r="BN81" s="77" t="n"/>
      <c r="BO81" s="77" t="n"/>
      <c r="BP81" s="77" t="n"/>
    </row>
    <row r="82" ht="19.5" customHeight="1">
      <c r="A82" s="67" t="n"/>
      <c r="B82" s="126" t="inlineStr">
        <is>
          <t>CS1</t>
        </is>
      </c>
      <c r="C82" s="125">
        <f>INDEX($B$57:$B$74,MATCH($B82,C$57:C$76,0))</f>
        <v/>
      </c>
      <c r="D82" s="125">
        <f>INDEX($B$57:$B$74,MATCH($B82,D$57:D$76,0))</f>
        <v/>
      </c>
      <c r="E82" s="125">
        <f>INDEX($B$57:$B$74,MATCH($B82,E$57:E$76,0))</f>
        <v/>
      </c>
      <c r="F82" s="125">
        <f>INDEX($B$57:$B$74,MATCH($B82,F$57:F$76,0))</f>
        <v/>
      </c>
      <c r="G82" s="125">
        <f>INDEX($B$57:$B$74,MATCH($B82,G$57:G$76,0))</f>
        <v/>
      </c>
      <c r="H82" s="125">
        <f>INDEX($B$57:$B$74,MATCH($B82,H$57:H$76,0))</f>
        <v/>
      </c>
      <c r="I82" s="125">
        <f>INDEX($B$57:$B$74,MATCH($B82,I$57:I$76,0))</f>
        <v/>
      </c>
      <c r="J82" s="125">
        <f>INDEX($B$57:$B$74,MATCH($B82,J$57:J$76,0))</f>
        <v/>
      </c>
      <c r="K82" s="125">
        <f>INDEX($B$57:$B$74,MATCH($B82,K$57:K$76,0))</f>
        <v/>
      </c>
      <c r="L82" s="125">
        <f>INDEX($B$57:$B$74,MATCH($B82,L$57:L$76,0))</f>
        <v/>
      </c>
      <c r="M82" s="125">
        <f>INDEX($B$57:$B$74,MATCH($B82,M$57:M$76,0))</f>
        <v/>
      </c>
      <c r="N82" s="125">
        <f>INDEX($B$57:$B$74,MATCH($B82,N$57:N$76,0))</f>
        <v/>
      </c>
      <c r="O82" s="125">
        <f>INDEX($B$57:$B$74,MATCH($B82,O$57:O$76,0))</f>
        <v/>
      </c>
      <c r="P82" s="125">
        <f>INDEX($B$57:$B$74,MATCH($B82,P$57:P$76,0))</f>
        <v/>
      </c>
      <c r="Q82" s="125">
        <f>INDEX($B$57:$B$74,MATCH($B82,Q$57:Q$76,0))</f>
        <v/>
      </c>
      <c r="R82" s="125">
        <f>INDEX($B$57:$B$74,MATCH($B82,R$57:R$76,0))</f>
        <v/>
      </c>
      <c r="S82" s="125">
        <f>INDEX($B$57:$B$74,MATCH($B82,S$57:S$76,0))</f>
        <v/>
      </c>
      <c r="T82" s="125">
        <f>INDEX($B$57:$B$74,MATCH($B82,T$57:T$76,0))</f>
        <v/>
      </c>
      <c r="U82" s="125">
        <f>INDEX($B$57:$B$74,MATCH($B82,U$57:U$76,0))</f>
        <v/>
      </c>
      <c r="V82" s="125">
        <f>INDEX($B$57:$B$74,MATCH($B82,V$57:V$76,0))</f>
        <v/>
      </c>
      <c r="W82" s="125">
        <f>INDEX($B$57:$B$74,MATCH($B82,W$57:W$76,0))</f>
        <v/>
      </c>
      <c r="X82" s="125">
        <f>INDEX($B$57:$B$74,MATCH($B82,X$57:X$76,0))</f>
        <v/>
      </c>
      <c r="Y82" s="125">
        <f>INDEX($B$57:$B$74,MATCH($B82,Y$57:Y$76,0))</f>
        <v/>
      </c>
      <c r="Z82" s="125">
        <f>INDEX($B$57:$B$74,MATCH($B82,Z$57:Z$76,0))</f>
        <v/>
      </c>
      <c r="AA82" s="125">
        <f>INDEX($B$57:$B$74,MATCH($B82,AA$57:AA$76,0))</f>
        <v/>
      </c>
      <c r="AB82" s="125">
        <f>INDEX($B$57:$B$74,MATCH($B82,AB$57:AB$76,0))</f>
        <v/>
      </c>
      <c r="AC82" s="125">
        <f>INDEX($B$57:$B$74,MATCH($B82,AC$57:AC$76,0))</f>
        <v/>
      </c>
      <c r="AD82" s="125">
        <f>INDEX($B$57:$B$74,MATCH($B82,AD$58:AD$76,0))</f>
        <v/>
      </c>
      <c r="AE82" s="125">
        <f>INDEX($B$57:$B$74,MATCH($B82,AE$57:AE$76,0))</f>
        <v/>
      </c>
      <c r="AF82" s="125">
        <f>INDEX($B$57:$B$74,MATCH($B82,AF$57:AF$76,0))</f>
        <v/>
      </c>
      <c r="AG82" s="125">
        <f>INDEX($B$57:$B$74,MATCH($B82,AG$57:AG$76,0))</f>
        <v/>
      </c>
      <c r="AH82" s="67" t="n"/>
      <c r="AI82" s="67" t="n"/>
      <c r="AJ82" s="67" t="n"/>
      <c r="AK82" s="6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</row>
    <row r="83" ht="19.5" customHeight="1">
      <c r="A83" s="67" t="n"/>
      <c r="B83" s="127" t="inlineStr">
        <is>
          <t>SB1</t>
        </is>
      </c>
      <c r="C83" s="125">
        <f>INDEX($B$57:$B$74,MATCH($B83,C$57:C$76,0))</f>
        <v/>
      </c>
      <c r="D83" s="125">
        <f>INDEX($B$57:$B$74,MATCH($B83,D$57:D$76,0))</f>
        <v/>
      </c>
      <c r="E83" s="125">
        <f>INDEX($B$57:$B$74,MATCH($B83,E$57:E$76,0))</f>
        <v/>
      </c>
      <c r="F83" s="125">
        <f>INDEX($B$57:$B$74,MATCH($B83,F$57:F$76,0))</f>
        <v/>
      </c>
      <c r="G83" s="125">
        <f>INDEX($B$57:$B$74,MATCH($B83,G$57:G$76,0))</f>
        <v/>
      </c>
      <c r="H83" s="125">
        <f>INDEX($B$57:$B$74,MATCH($B83,H$57:H$76,0))</f>
        <v/>
      </c>
      <c r="I83" s="125">
        <f>INDEX($B$57:$B$74,MATCH($B83,I$57:I$76,0))</f>
        <v/>
      </c>
      <c r="J83" s="125">
        <f>INDEX($B$57:$B$74,MATCH($B83,J$57:J$76,0))</f>
        <v/>
      </c>
      <c r="K83" s="125">
        <f>INDEX($B$57:$B$74,MATCH($B83,K$57:K$76,0))</f>
        <v/>
      </c>
      <c r="L83" s="125">
        <f>INDEX($B$57:$B$74,MATCH($B83,L$57:L$76,0))</f>
        <v/>
      </c>
      <c r="M83" s="125">
        <f>INDEX($B$57:$B$74,MATCH($B83,M$57:M$76,0))</f>
        <v/>
      </c>
      <c r="N83" s="125">
        <f>INDEX($B$57:$B$74,MATCH($B83,N$57:N$76,0))</f>
        <v/>
      </c>
      <c r="O83" s="125">
        <f>INDEX($B$57:$B$74,MATCH($B83,O$57:O$76,0))</f>
        <v/>
      </c>
      <c r="P83" s="125">
        <f>INDEX($B$57:$B$74,MATCH($B83,P$57:P$76,0))</f>
        <v/>
      </c>
      <c r="Q83" s="125">
        <f>INDEX($B$57:$B$74,MATCH($B83,Q$57:Q$76,0))</f>
        <v/>
      </c>
      <c r="R83" s="125">
        <f>INDEX($B$57:$B$74,MATCH($B83,R$57:R$76,0))</f>
        <v/>
      </c>
      <c r="S83" s="125">
        <f>INDEX($B$57:$B$74,MATCH($B83,S$57:S$76,0))</f>
        <v/>
      </c>
      <c r="T83" s="125">
        <f>INDEX($B$57:$B$74,MATCH($B83,T$57:T$76,0))</f>
        <v/>
      </c>
      <c r="U83" s="125">
        <f>INDEX($B$57:$B$74,MATCH($B83,U$57:U$76,0))</f>
        <v/>
      </c>
      <c r="V83" s="125">
        <f>INDEX($B$57:$B$74,MATCH($B83,V$57:V$76,0))</f>
        <v/>
      </c>
      <c r="W83" s="125">
        <f>INDEX($B$57:$B$74,MATCH($B83,W$57:W$76,0))</f>
        <v/>
      </c>
      <c r="X83" s="125">
        <f>INDEX($B$57:$B$74,MATCH($B83,X$57:X$76,0))</f>
        <v/>
      </c>
      <c r="Y83" s="125">
        <f>INDEX($B$57:$B$74,MATCH($B83,Y$57:Y$76,0))</f>
        <v/>
      </c>
      <c r="Z83" s="125">
        <f>INDEX($B$57:$B$74,MATCH($B83,Z$57:Z$76,0))</f>
        <v/>
      </c>
      <c r="AA83" s="125">
        <f>INDEX($B$57:$B$74,MATCH($B83,AA$57:AA$76,0))</f>
        <v/>
      </c>
      <c r="AB83" s="125">
        <f>INDEX($B$57:$B$74,MATCH($B83,AB$57:AB$76,0))</f>
        <v/>
      </c>
      <c r="AC83" s="125">
        <f>INDEX($B$57:$B$74,MATCH($B83,AC$57:AC$76,0))</f>
        <v/>
      </c>
      <c r="AD83" s="125">
        <f>INDEX($B$57:$B$74,MATCH($B83,AD$58:AD$76,0))</f>
        <v/>
      </c>
      <c r="AE83" s="125">
        <f>INDEX($B$57:$B$74,MATCH($B83,AE$57:AE$76,0))</f>
        <v/>
      </c>
      <c r="AF83" s="125">
        <f>INDEX($B$57:$B$74,MATCH($B83,AF$57:AF$76,0))</f>
        <v/>
      </c>
      <c r="AG83" s="125">
        <f>INDEX($B$57:$B$74,MATCH($B83,AG$57:AG$76,0))</f>
        <v/>
      </c>
      <c r="AH83" s="67" t="n"/>
      <c r="AI83" s="67" t="n"/>
      <c r="AJ83" s="67" t="n"/>
      <c r="AK83" s="67" t="n"/>
      <c r="AL83" s="77" t="n"/>
      <c r="AM83" s="77" t="n"/>
      <c r="AN83" s="77" t="n"/>
      <c r="AO83" s="77" t="n"/>
      <c r="AP83" s="77" t="n"/>
      <c r="AQ83" s="77" t="n"/>
      <c r="AR83" s="77" t="n"/>
      <c r="AS83" s="77" t="n"/>
      <c r="AT83" s="77" t="n"/>
      <c r="AU83" s="77" t="n"/>
      <c r="AV83" s="77" t="n"/>
      <c r="AW83" s="77" t="n"/>
      <c r="AX83" s="77" t="n"/>
      <c r="AY83" s="77" t="n"/>
      <c r="AZ83" s="77" t="n"/>
      <c r="BA83" s="77" t="n"/>
      <c r="BB83" s="77" t="n"/>
      <c r="BC83" s="77" t="n"/>
      <c r="BD83" s="77" t="n"/>
      <c r="BE83" s="77" t="n"/>
      <c r="BF83" s="77" t="n"/>
      <c r="BG83" s="77" t="n"/>
      <c r="BH83" s="77" t="n"/>
      <c r="BI83" s="77" t="n"/>
      <c r="BJ83" s="77" t="n"/>
      <c r="BK83" s="77" t="n"/>
      <c r="BL83" s="77" t="n"/>
      <c r="BM83" s="77" t="n"/>
      <c r="BN83" s="77" t="n"/>
      <c r="BO83" s="77" t="n"/>
      <c r="BP83" s="77" t="n"/>
    </row>
    <row r="84" ht="63.75" customHeight="1">
      <c r="A84" s="67" t="n"/>
      <c r="B84" s="128" t="inlineStr">
        <is>
          <t>SB2</t>
        </is>
      </c>
      <c r="C84" s="125">
        <f>INDEX($B$57:$B$74,MATCH($B84,C$57:C$76,0))</f>
        <v/>
      </c>
      <c r="D84" s="125">
        <f>INDEX($B$57:$B$74,MATCH($B84,D$57:D$76,0))</f>
        <v/>
      </c>
      <c r="E84" s="125">
        <f>INDEX($B$57:$B$74,MATCH($B84,E$57:E$76,0))</f>
        <v/>
      </c>
      <c r="F84" s="125">
        <f>INDEX($B$57:$B$74,MATCH($B84,F$57:F$76,0))</f>
        <v/>
      </c>
      <c r="G84" s="125">
        <f>INDEX($B$57:$B$74,MATCH($B84,G$57:G$76,0))</f>
        <v/>
      </c>
      <c r="H84" s="125">
        <f>INDEX($B$57:$B$74,MATCH($B84,H$57:H$76,0))</f>
        <v/>
      </c>
      <c r="I84" s="125">
        <f>INDEX($B$57:$B$74,MATCH($B84,I$57:I$76,0))</f>
        <v/>
      </c>
      <c r="J84" s="125">
        <f>INDEX($B$57:$B$74,MATCH($B84,J$57:J$76,0))</f>
        <v/>
      </c>
      <c r="K84" s="125">
        <f>INDEX($B$57:$B$74,MATCH($B84,K$57:K$76,0))</f>
        <v/>
      </c>
      <c r="L84" s="125">
        <f>INDEX($B$57:$B$74,MATCH($B84,L$57:L$76,0))</f>
        <v/>
      </c>
      <c r="M84" s="125">
        <f>INDEX($B$57:$B$74,MATCH($B84,M$57:M$76,0))</f>
        <v/>
      </c>
      <c r="N84" s="125">
        <f>INDEX($B$57:$B$74,MATCH($B84,N$57:N$76,0))</f>
        <v/>
      </c>
      <c r="O84" s="125">
        <f>INDEX($B$57:$B$74,MATCH($B84,O$57:O$76,0))</f>
        <v/>
      </c>
      <c r="P84" s="125">
        <f>INDEX($B$57:$B$74,MATCH($B84,P$57:P$76,0))</f>
        <v/>
      </c>
      <c r="Q84" s="125">
        <f>INDEX($B$57:$B$74,MATCH($B84,Q$57:Q$76,0))</f>
        <v/>
      </c>
      <c r="R84" s="125">
        <f>INDEX($B$57:$B$74,MATCH($B84,R$57:R$76,0))</f>
        <v/>
      </c>
      <c r="S84" s="125">
        <f>INDEX($B$57:$B$74,MATCH($B84,S$57:S$76,0))</f>
        <v/>
      </c>
      <c r="T84" s="125">
        <f>INDEX($B$57:$B$74,MATCH($B84,T$57:T$76,0))</f>
        <v/>
      </c>
      <c r="U84" s="125">
        <f>INDEX($B$57:$B$74,MATCH($B84,U$57:U$76,0))</f>
        <v/>
      </c>
      <c r="V84" s="125">
        <f>INDEX($B$57:$B$74,MATCH($B84,V$57:V$76,0))</f>
        <v/>
      </c>
      <c r="W84" s="125">
        <f>INDEX($B$57:$B$74,MATCH($B84,W$57:W$76,0))</f>
        <v/>
      </c>
      <c r="X84" s="125">
        <f>INDEX($B$57:$B$74,MATCH($B84,X$57:X$76,0))</f>
        <v/>
      </c>
      <c r="Y84" s="125">
        <f>INDEX($B$57:$B$74,MATCH($B84,Y$57:Y$76,0))</f>
        <v/>
      </c>
      <c r="Z84" s="125">
        <f>INDEX($B$57:$B$74,MATCH($B84,Z$57:Z$76,0))</f>
        <v/>
      </c>
      <c r="AA84" s="125">
        <f>INDEX($B$57:$B$74,MATCH($B84,AA$57:AA$76,0))</f>
        <v/>
      </c>
      <c r="AB84" s="125">
        <f>INDEX($B$57:$B$74,MATCH($B84,AB$57:AB$76,0))</f>
        <v/>
      </c>
      <c r="AC84" s="125">
        <f>INDEX($B$57:$B$74,MATCH($B84,AC$57:AC$76,0))</f>
        <v/>
      </c>
      <c r="AD84" s="125">
        <f>INDEX($B$57:$B$74,MATCH($B84,AD$58:AD$76,0))</f>
        <v/>
      </c>
      <c r="AE84" s="125">
        <f>INDEX($B$57:$B$74,MATCH($B84,AE$57:AE$76,0))</f>
        <v/>
      </c>
      <c r="AF84" s="125">
        <f>INDEX($B$57:$B$74,MATCH($B84,AF$57:AF$76,0))</f>
        <v/>
      </c>
      <c r="AG84" s="125">
        <f>INDEX($B$57:$B$74,MATCH($B84,AG$57:AG$76,0))</f>
        <v/>
      </c>
      <c r="AH84" s="67" t="n"/>
      <c r="AI84" s="67" t="n"/>
      <c r="AJ84" s="67" t="n"/>
      <c r="AK84" s="6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</row>
    <row r="85" ht="19.5" customHeight="1">
      <c r="A85" s="67" t="n"/>
      <c r="B85" s="129" t="inlineStr">
        <is>
          <t>AE</t>
        </is>
      </c>
      <c r="C85" s="125">
        <f>INDEX($B$57:$B$74,MATCH($B85,C$57:C$76,0))</f>
        <v/>
      </c>
      <c r="D85" s="125">
        <f>INDEX($B$57:$B$74,MATCH($B85,D$57:D$76,0))</f>
        <v/>
      </c>
      <c r="E85" s="125">
        <f>INDEX($B$57:$B$74,MATCH($B85,E$57:E$76,0))</f>
        <v/>
      </c>
      <c r="F85" s="125">
        <f>INDEX($B$57:$B$74,MATCH($B85,F$57:F$76,0))</f>
        <v/>
      </c>
      <c r="G85" s="125">
        <f>INDEX($B$57:$B$74,MATCH($B85,G$57:G$76,0))</f>
        <v/>
      </c>
      <c r="H85" s="125">
        <f>INDEX($B$57:$B$74,MATCH($B85,H$57:H$76,0))</f>
        <v/>
      </c>
      <c r="I85" s="125">
        <f>INDEX($B$57:$B$74,MATCH($B85,I$57:I$76,0))</f>
        <v/>
      </c>
      <c r="J85" s="125">
        <f>INDEX($B$57:$B$74,MATCH($B85,J$57:J$76,0))</f>
        <v/>
      </c>
      <c r="K85" s="125">
        <f>INDEX($B$57:$B$74,MATCH($B85,K$57:K$76,0))</f>
        <v/>
      </c>
      <c r="L85" s="125">
        <f>INDEX($B$57:$B$74,MATCH($B85,L$57:L$76,0))</f>
        <v/>
      </c>
      <c r="M85" s="125">
        <f>INDEX($B$57:$B$74,MATCH($B85,M$57:M$76,0))</f>
        <v/>
      </c>
      <c r="N85" s="125">
        <f>INDEX($B$57:$B$74,MATCH($B85,N$57:N$76,0))</f>
        <v/>
      </c>
      <c r="O85" s="125">
        <f>INDEX($B$57:$B$74,MATCH($B85,O$57:O$76,0))</f>
        <v/>
      </c>
      <c r="P85" s="125">
        <f>INDEX($B$57:$B$74,MATCH($B85,P$57:P$76,0))</f>
        <v/>
      </c>
      <c r="Q85" s="125">
        <f>INDEX($B$57:$B$74,MATCH($B85,Q$57:Q$76,0))</f>
        <v/>
      </c>
      <c r="R85" s="125">
        <f>INDEX($B$57:$B$74,MATCH($B85,R$57:R$76,0))</f>
        <v/>
      </c>
      <c r="S85" s="125">
        <f>INDEX($B$57:$B$74,MATCH($B85,S$57:S$76,0))</f>
        <v/>
      </c>
      <c r="T85" s="125">
        <f>INDEX($B$57:$B$74,MATCH($B85,T$57:T$76,0))</f>
        <v/>
      </c>
      <c r="U85" s="125">
        <f>INDEX($B$57:$B$74,MATCH($B85,U$57:U$76,0))</f>
        <v/>
      </c>
      <c r="V85" s="125">
        <f>INDEX($B$57:$B$74,MATCH($B85,V$57:V$76,0))</f>
        <v/>
      </c>
      <c r="W85" s="125">
        <f>INDEX($B$57:$B$74,MATCH($B85,W$57:W$76,0))</f>
        <v/>
      </c>
      <c r="X85" s="125">
        <f>INDEX($B$57:$B$74,MATCH($B85,X$57:X$76,0))</f>
        <v/>
      </c>
      <c r="Y85" s="125">
        <f>INDEX($B$57:$B$74,MATCH($B85,Y$57:Y$76,0))</f>
        <v/>
      </c>
      <c r="Z85" s="125">
        <f>INDEX($B$57:$B$74,MATCH($B85,Z$57:Z$76,0))</f>
        <v/>
      </c>
      <c r="AA85" s="125">
        <f>INDEX($B$57:$B$74,MATCH($B85,AA$57:AA$76,0))</f>
        <v/>
      </c>
      <c r="AB85" s="125">
        <f>INDEX($B$57:$B$74,MATCH($B85,AB$57:AB$76,0))</f>
        <v/>
      </c>
      <c r="AC85" s="125">
        <f>INDEX($B$57:$B$74,MATCH($B85,AC$57:AC$76,0))</f>
        <v/>
      </c>
      <c r="AD85" s="125">
        <f>INDEX($B$57:$B$74,MATCH($B85,AD$58:AD$76,0))</f>
        <v/>
      </c>
      <c r="AE85" s="125">
        <f>INDEX($B$57:$B$74,MATCH($B85,AE$57:AE$76,0))</f>
        <v/>
      </c>
      <c r="AF85" s="125">
        <f>INDEX($B$57:$B$74,MATCH($B85,AF$57:AF$76,0))</f>
        <v/>
      </c>
      <c r="AG85" s="125">
        <f>INDEX($B$57:$B$74,MATCH($B85,AG$57:AG$76,0))</f>
        <v/>
      </c>
      <c r="AH85" s="67" t="n"/>
      <c r="AI85" s="67" t="n"/>
      <c r="AJ85" s="67" t="n"/>
      <c r="AK85" s="67" t="n"/>
      <c r="AL85" s="77" t="n"/>
      <c r="AM85" s="77" t="n"/>
      <c r="AN85" s="77" t="n"/>
      <c r="AO85" s="77" t="n"/>
      <c r="AP85" s="77" t="n"/>
      <c r="AQ85" s="77" t="n"/>
      <c r="AR85" s="77" t="n"/>
      <c r="AS85" s="77" t="n"/>
      <c r="AT85" s="77" t="n"/>
      <c r="AU85" s="77" t="n"/>
      <c r="AV85" s="77" t="n"/>
      <c r="AW85" s="77" t="n"/>
      <c r="AX85" s="77" t="n"/>
      <c r="AY85" s="77" t="n"/>
      <c r="AZ85" s="77" t="n"/>
      <c r="BA85" s="77" t="n"/>
      <c r="BB85" s="77" t="n"/>
      <c r="BC85" s="77" t="n"/>
      <c r="BD85" s="77" t="n"/>
      <c r="BE85" s="77" t="n"/>
      <c r="BF85" s="77" t="n"/>
      <c r="BG85" s="77" t="n"/>
      <c r="BH85" s="77" t="n"/>
      <c r="BI85" s="77" t="n"/>
      <c r="BJ85" s="77" t="n"/>
      <c r="BK85" s="77" t="n"/>
      <c r="BL85" s="77" t="n"/>
      <c r="BM85" s="77" t="n"/>
      <c r="BN85" s="77" t="n"/>
      <c r="BO85" s="77" t="n"/>
      <c r="BP85" s="77" t="n"/>
    </row>
    <row r="86" ht="19.5" customHeight="1">
      <c r="A86" s="67" t="n"/>
      <c r="B86" s="60" t="inlineStr">
        <is>
          <t>RESERVE</t>
        </is>
      </c>
      <c r="C86" s="60">
        <f>INDEX($B$57:$B$74,MATCH($B86,C$57:C$76,0))</f>
        <v/>
      </c>
      <c r="D86" s="60">
        <f>INDEX($B$57:$B$74,MATCH($B86,D$57:D$76,0))</f>
        <v/>
      </c>
      <c r="E86" s="60">
        <f>INDEX($B$57:$B$74,MATCH($B86,E$57:E$76,0))</f>
        <v/>
      </c>
      <c r="F86" s="60">
        <f>INDEX($B$57:$B$74,MATCH($B86,F$57:F$76,0))</f>
        <v/>
      </c>
      <c r="G86" s="60">
        <f>INDEX($B$57:$B$74,MATCH($B86,G$57:G$76,0))</f>
        <v/>
      </c>
      <c r="H86" s="60">
        <f>INDEX($B$57:$B$74,MATCH($B86,H$57:H$76,0))</f>
        <v/>
      </c>
      <c r="I86" s="60">
        <f>INDEX($B$57:$B$74,MATCH($B86,I$57:I$76,0))</f>
        <v/>
      </c>
      <c r="J86" s="60">
        <f>INDEX($B$57:$B$74,MATCH($B86,J$57:J$76,0))</f>
        <v/>
      </c>
      <c r="K86" s="60">
        <f>INDEX($B$57:$B$74,MATCH($B86,K$57:K$76,0))</f>
        <v/>
      </c>
      <c r="L86" s="60">
        <f>INDEX($B$57:$B$74,MATCH($B86,L$57:L$76,0))</f>
        <v/>
      </c>
      <c r="M86" s="60">
        <f>INDEX($B$57:$B$74,MATCH($B86,M$57:M$76,0))</f>
        <v/>
      </c>
      <c r="N86" s="60">
        <f>INDEX($B$57:$B$74,MATCH($B86,N$57:N$76,0))</f>
        <v/>
      </c>
      <c r="O86" s="60">
        <f>INDEX($B$57:$B$74,MATCH($B86,O$57:O$76,0))</f>
        <v/>
      </c>
      <c r="P86" s="60">
        <f>INDEX($B$57:$B$74,MATCH($B86,P$57:P$76,0))</f>
        <v/>
      </c>
      <c r="Q86" s="60">
        <f>INDEX($B$57:$B$74,MATCH($B86,Q$57:Q$76,0))</f>
        <v/>
      </c>
      <c r="R86" s="60">
        <f>INDEX($B$57:$B$74,MATCH($B86,R$57:R$76,0))</f>
        <v/>
      </c>
      <c r="S86" s="60">
        <f>INDEX($B$57:$B$74,MATCH($B86,S$57:S$76,0))</f>
        <v/>
      </c>
      <c r="T86" s="60">
        <f>INDEX($B$57:$B$74,MATCH($B86,T$57:T$76,0))</f>
        <v/>
      </c>
      <c r="U86" s="60">
        <f>INDEX($B$57:$B$74,MATCH($B86,U$57:U$76,0))</f>
        <v/>
      </c>
      <c r="V86" s="60">
        <f>INDEX($B$57:$B$74,MATCH($B86,V$57:V$76,0))</f>
        <v/>
      </c>
      <c r="W86" s="60">
        <f>INDEX($B$57:$B$74,MATCH($B86,W$57:W$76,0))</f>
        <v/>
      </c>
      <c r="X86" s="60">
        <f>INDEX($B$57:$B$74,MATCH($B86,X$57:X$76,0))</f>
        <v/>
      </c>
      <c r="Y86" s="60">
        <f>INDEX($B$57:$B$74,MATCH($B86,Y$57:Y$76,0))</f>
        <v/>
      </c>
      <c r="Z86" s="60">
        <f>INDEX($B$57:$B$74,MATCH($B86,Z$57:Z$76,0))</f>
        <v/>
      </c>
      <c r="AA86" s="60">
        <f>INDEX($B$57:$B$74,MATCH($B86,AA$57:AA$76,0))</f>
        <v/>
      </c>
      <c r="AB86" s="60">
        <f>INDEX($B$57:$B$74,MATCH($B86,AB$57:AB$76,0))</f>
        <v/>
      </c>
      <c r="AC86" s="60">
        <f>INDEX($B$57:$B$74,MATCH($B86,AC$57:AC$76,0))</f>
        <v/>
      </c>
      <c r="AD86" s="60">
        <f>INDEX($B$57:$B$74,MATCH($B86,AD$58:AD$76,0))</f>
        <v/>
      </c>
      <c r="AE86" s="60">
        <f>INDEX($B$57:$B$74,MATCH($B86,AE$57:AE$76,0))</f>
        <v/>
      </c>
      <c r="AF86" s="60">
        <f>INDEX($B$57:$B$74,MATCH($B86,AF$57:AF$76,0))</f>
        <v/>
      </c>
      <c r="AG86" s="60">
        <f>INDEX($B$57:$B$74,MATCH($B86,AG$57:AG$76,0))</f>
        <v/>
      </c>
      <c r="AH86" s="67" t="n"/>
      <c r="AI86" s="67" t="n"/>
      <c r="AJ86" s="67" t="n"/>
      <c r="AK86" s="6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</row>
    <row r="87" ht="19.5" customHeight="1">
      <c r="A87" s="67" t="n"/>
      <c r="B87" s="60" t="inlineStr">
        <is>
          <t>NUMBER OF DM</t>
        </is>
      </c>
      <c r="C87" s="60">
        <f>COUNTIF(C57:C74,"DM")</f>
        <v/>
      </c>
      <c r="D87" s="60">
        <f>COUNTIF(D2:D74,"DM")</f>
        <v/>
      </c>
      <c r="E87" s="60">
        <f>COUNTIF(E2:E74,"DM")</f>
        <v/>
      </c>
      <c r="F87" s="60">
        <f>COUNTIF(F57:F74,"DM")</f>
        <v/>
      </c>
      <c r="G87" s="60">
        <f>COUNTIF(G57:G74,"DM")</f>
        <v/>
      </c>
      <c r="H87" s="60">
        <f>COUNTIF(H57:H74,"DM")</f>
        <v/>
      </c>
      <c r="I87" s="60">
        <f>COUNTIF(I57:I74,"DM")</f>
        <v/>
      </c>
      <c r="J87" s="60">
        <f>COUNTIF(J57:J74,"DM")</f>
        <v/>
      </c>
      <c r="K87" s="60">
        <f>COUNTIF(K57:K74,"DM")</f>
        <v/>
      </c>
      <c r="L87" s="60">
        <f>COUNTIF(L57:L74,"DM")</f>
        <v/>
      </c>
      <c r="M87" s="60">
        <f>COUNTIF(M57:M74,"DM")</f>
        <v/>
      </c>
      <c r="N87" s="60">
        <f>COUNTIF(N57:N74,"DM")</f>
        <v/>
      </c>
      <c r="O87" s="60">
        <f>COUNTIF(O57:O74,"DM")</f>
        <v/>
      </c>
      <c r="P87" s="60">
        <f>COUNTIF(P57:P74,"DM")</f>
        <v/>
      </c>
      <c r="Q87" s="60">
        <f>COUNTIF(Q57:Q74,"DM")</f>
        <v/>
      </c>
      <c r="R87" s="60">
        <f>COUNTIF(R57:R74,"DM")</f>
        <v/>
      </c>
      <c r="S87" s="60">
        <f>COUNTIF(S57:S74,"DM")</f>
        <v/>
      </c>
      <c r="T87" s="60">
        <f>COUNTIF(T57:T74,"DM")</f>
        <v/>
      </c>
      <c r="U87" s="60">
        <f>COUNTIF(U57:U74,"DM")</f>
        <v/>
      </c>
      <c r="V87" s="60">
        <f>COUNTIF(V57:V74,"DM")</f>
        <v/>
      </c>
      <c r="W87" s="60">
        <f>COUNTIF(W57:W74,"DM")</f>
        <v/>
      </c>
      <c r="X87" s="60">
        <f>COUNTIF(X57:X74,"DM")</f>
        <v/>
      </c>
      <c r="Y87" s="60">
        <f>COUNTIF(Y57:Y74,"DM")</f>
        <v/>
      </c>
      <c r="Z87" s="60">
        <f>COUNTIF(Z57:Z74,"DM")</f>
        <v/>
      </c>
      <c r="AA87" s="60">
        <f>COUNTIF(AA57:AA74,"DM")</f>
        <v/>
      </c>
      <c r="AB87" s="60">
        <f>COUNTIF(AB57:AB74,"DM")</f>
        <v/>
      </c>
      <c r="AC87" s="60">
        <f>COUNTIF(AC57:AC74,"DM")</f>
        <v/>
      </c>
      <c r="AD87" s="60">
        <f>COUNTIF(AD58:AD74,"DM")</f>
        <v/>
      </c>
      <c r="AE87" s="60">
        <f>COUNTIF(AE57:AE74,"DM")</f>
        <v/>
      </c>
      <c r="AF87" s="60">
        <f>COUNTIF(AF57:AF74,"DM")</f>
        <v/>
      </c>
      <c r="AG87" s="60">
        <f>COUNTIF(AG57:AG74,"DM")</f>
        <v/>
      </c>
      <c r="AH87" s="67" t="n"/>
      <c r="AI87" s="67" t="n"/>
      <c r="AJ87" s="67" t="n"/>
      <c r="AK87" s="6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77" t="n"/>
      <c r="BN87" s="77" t="n"/>
      <c r="BO87" s="77" t="n"/>
      <c r="BP87" s="77" t="n"/>
    </row>
    <row r="88" ht="19.5" customHeight="1">
      <c r="A88" s="67" t="n"/>
      <c r="B88" s="60" t="inlineStr">
        <is>
          <t>NUMBER OF SB</t>
        </is>
      </c>
      <c r="C88" s="60">
        <f>COUNTIF(C57:C74,"SB1")+COUNTIF(C57:C74,"SB2")</f>
        <v/>
      </c>
      <c r="D88" s="60">
        <f>COUNTIF(D2:D74,"SB1")+COUNTIF(D2:D74,"SB2")</f>
        <v/>
      </c>
      <c r="E88" s="60">
        <f>COUNTIF(E2:E74,"SB1")+COUNTIF(E2:E74,"SB2")</f>
        <v/>
      </c>
      <c r="F88" s="60">
        <f>COUNTIF(F57:F74,"SB1")+COUNTIF(F57:F74,"SB2")</f>
        <v/>
      </c>
      <c r="G88" s="60">
        <f>COUNTIF(G57:G74,"SB1")+COUNTIF(G57:G74,"SB2")</f>
        <v/>
      </c>
      <c r="H88" s="60">
        <f>COUNTIF(H57:H74,"SB1")+COUNTIF(H57:H74,"SB2")</f>
        <v/>
      </c>
      <c r="I88" s="60">
        <f>COUNTIF(I57:I74,"SB1")+COUNTIF(I57:I74,"SB2")</f>
        <v/>
      </c>
      <c r="J88" s="60">
        <f>COUNTIF(J57:J74,"SB1")+COUNTIF(J57:J74,"SB2")</f>
        <v/>
      </c>
      <c r="K88" s="60">
        <f>COUNTIF(K57:K74,"SB1")+COUNTIF(K57:K74,"SB2")</f>
        <v/>
      </c>
      <c r="L88" s="60">
        <f>COUNTIF(L57:L74,"SB1")+COUNTIF(L57:L74,"SB2")</f>
        <v/>
      </c>
      <c r="M88" s="60">
        <f>COUNTIF(M57:M74,"SB1")+COUNTIF(M57:M74,"SB2")</f>
        <v/>
      </c>
      <c r="N88" s="60">
        <f>COUNTIF(N57:N74,"SB1")+COUNTIF(N57:N74,"SB2")</f>
        <v/>
      </c>
      <c r="O88" s="60">
        <f>COUNTIF(O57:O74,"SB1")+COUNTIF(O57:O74,"SB2")</f>
        <v/>
      </c>
      <c r="P88" s="60">
        <f>COUNTIF(P57:P74,"SB1")+COUNTIF(P57:P74,"SB2")</f>
        <v/>
      </c>
      <c r="Q88" s="60">
        <f>COUNTIF(Q57:Q74,"SB1")+COUNTIF(Q57:Q74,"SB2")</f>
        <v/>
      </c>
      <c r="R88" s="60">
        <f>COUNTIF(R57:R74,"SB1")+COUNTIF(R57:R74,"SB2")</f>
        <v/>
      </c>
      <c r="S88" s="60">
        <f>COUNTIF(S57:S74,"SB1")+COUNTIF(S57:S74,"SB2")</f>
        <v/>
      </c>
      <c r="T88" s="60">
        <f>COUNTIF(T57:T74,"SB1")+COUNTIF(T57:T74,"SB2")</f>
        <v/>
      </c>
      <c r="U88" s="60">
        <f>COUNTIF(U57:U74,"SB1")+COUNTIF(U57:U74,"SB2")</f>
        <v/>
      </c>
      <c r="V88" s="60">
        <f>COUNTIF(V57:V74,"SB1")+COUNTIF(V57:V74,"SB2")</f>
        <v/>
      </c>
      <c r="W88" s="60">
        <f>COUNTIF(W57:W74,"SB1")+COUNTIF(W57:W74,"SB2")</f>
        <v/>
      </c>
      <c r="X88" s="60">
        <f>COUNTIF(X57:X74,"SB1")+COUNTIF(X57:X74,"SB2")</f>
        <v/>
      </c>
      <c r="Y88" s="60">
        <f>COUNTIF(Y57:Y74,"SB1")+COUNTIF(Y57:Y74,"SB2")</f>
        <v/>
      </c>
      <c r="Z88" s="60">
        <f>COUNTIF(Z57:Z74,"SB1")+COUNTIF(Z57:Z74,"SB2")</f>
        <v/>
      </c>
      <c r="AA88" s="60">
        <f>COUNTIF(AA57:AA74,"SB1")+COUNTIF(AA57:AA74,"SB2")</f>
        <v/>
      </c>
      <c r="AB88" s="60">
        <f>COUNTIF(AB57:AB74,"SB1")+COUNTIF(AB57:AB74,"SB2")</f>
        <v/>
      </c>
      <c r="AC88" s="60">
        <f>COUNTIF(AC57:AC74,"SB1")+COUNTIF(AC57:AC74,"SB2")</f>
        <v/>
      </c>
      <c r="AD88" s="60">
        <f>COUNTIF(AD58:AD74,"SB1")+COUNTIF(AD58:AD74,"SB2")</f>
        <v/>
      </c>
      <c r="AE88" s="60">
        <f>COUNTIF(AE57:AE74,"SB1")+COUNTIF(AE57:AE74,"SB2")</f>
        <v/>
      </c>
      <c r="AF88" s="60">
        <f>COUNTIF(AF57:AF74,"SB1")+COUNTIF(AF57:AF74,"SB2")</f>
        <v/>
      </c>
      <c r="AG88" s="60">
        <f>COUNTIF(AG57:AG74,"SB1")+COUNTIF(AG57:AG74,"SB2")</f>
        <v/>
      </c>
      <c r="AH88" s="67" t="n"/>
      <c r="AI88" s="67" t="n"/>
      <c r="AJ88" s="67" t="n"/>
      <c r="AK88" s="6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</row>
    <row r="89" ht="19.5" customHeight="1">
      <c r="A89" s="67" t="n"/>
      <c r="B89" s="60" t="inlineStr">
        <is>
          <t>NUMBER OF CS</t>
        </is>
      </c>
      <c r="C89" s="60">
        <f>COUNTIF(C57:C74,"CS1")</f>
        <v/>
      </c>
      <c r="D89" s="60">
        <f>COUNTIF(D2:D74,"CS1")</f>
        <v/>
      </c>
      <c r="E89" s="60">
        <f>COUNTIF(E2:E74,"CS1")</f>
        <v/>
      </c>
      <c r="F89" s="60">
        <f>COUNTIF(F57:F74,"CS1")</f>
        <v/>
      </c>
      <c r="G89" s="60">
        <f>COUNTIF(G57:G74,"CS1")</f>
        <v/>
      </c>
      <c r="H89" s="60">
        <f>COUNTIF(H57:H74,"CS1")</f>
        <v/>
      </c>
      <c r="I89" s="60">
        <f>COUNTIF(I57:I74,"CS1")</f>
        <v/>
      </c>
      <c r="J89" s="60">
        <f>COUNTIF(J57:J74,"CS1")</f>
        <v/>
      </c>
      <c r="K89" s="60">
        <f>COUNTIF(K57:K74,"CS1")</f>
        <v/>
      </c>
      <c r="L89" s="60">
        <f>COUNTIF(L57:L74,"CS1")</f>
        <v/>
      </c>
      <c r="M89" s="60">
        <f>COUNTIF(M57:M74,"CS1")</f>
        <v/>
      </c>
      <c r="N89" s="60">
        <f>COUNTIF(N57:N74,"CS1")</f>
        <v/>
      </c>
      <c r="O89" s="60">
        <f>COUNTIF(O57:O74,"CS1")</f>
        <v/>
      </c>
      <c r="P89" s="60">
        <f>COUNTIF(P57:P74,"CS1")</f>
        <v/>
      </c>
      <c r="Q89" s="60">
        <f>COUNTIF(Q57:Q74,"CS1")</f>
        <v/>
      </c>
      <c r="R89" s="60">
        <f>COUNTIF(R57:R74,"CS1")</f>
        <v/>
      </c>
      <c r="S89" s="60">
        <f>COUNTIF(S57:S74,"CS1")</f>
        <v/>
      </c>
      <c r="T89" s="60">
        <f>COUNTIF(T57:T74,"CS1")</f>
        <v/>
      </c>
      <c r="U89" s="60">
        <f>COUNTIF(U57:U74,"CS1")</f>
        <v/>
      </c>
      <c r="V89" s="60">
        <f>COUNTIF(V57:V74,"CS1")</f>
        <v/>
      </c>
      <c r="W89" s="60">
        <f>COUNTIF(W57:W74,"CS1")</f>
        <v/>
      </c>
      <c r="X89" s="60">
        <f>COUNTIF(X57:X74,"CS1")</f>
        <v/>
      </c>
      <c r="Y89" s="60">
        <f>COUNTIF(Y57:Y74,"CS1")</f>
        <v/>
      </c>
      <c r="Z89" s="60">
        <f>COUNTIF(Z57:Z74,"CS1")</f>
        <v/>
      </c>
      <c r="AA89" s="60">
        <f>COUNTIF(AA57:AA74,"CS1")</f>
        <v/>
      </c>
      <c r="AB89" s="60">
        <f>COUNTIF(AB57:AB74,"CS1")</f>
        <v/>
      </c>
      <c r="AC89" s="60">
        <f>COUNTIF(AC57:AC74,"CS1")</f>
        <v/>
      </c>
      <c r="AD89" s="60">
        <f>COUNTIF(AD58:AD74,"CS1")</f>
        <v/>
      </c>
      <c r="AE89" s="60">
        <f>COUNTIF(AE57:AE74,"CS1")</f>
        <v/>
      </c>
      <c r="AF89" s="60">
        <f>COUNTIF(AF57:AF74,"CS1")</f>
        <v/>
      </c>
      <c r="AG89" s="60">
        <f>COUNTIF(AG57:AG74,"CS1")</f>
        <v/>
      </c>
      <c r="AH89" s="67" t="n"/>
      <c r="AI89" s="67" t="n"/>
      <c r="AJ89" s="67" t="n"/>
      <c r="AK89" s="6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77" t="n"/>
      <c r="BN89" s="77" t="n"/>
      <c r="BO89" s="77" t="n"/>
      <c r="BP89" s="77" t="n"/>
    </row>
    <row r="90" ht="19.5" customHeight="1">
      <c r="A90" s="67" t="n"/>
      <c r="B90" s="60" t="inlineStr">
        <is>
          <t>NUMBER OF AE</t>
        </is>
      </c>
      <c r="C90" s="60">
        <f>COUNTIF(C57:C74,"AE")</f>
        <v/>
      </c>
      <c r="D90" s="60">
        <f>COUNTIF(D2:D74,"AE")</f>
        <v/>
      </c>
      <c r="E90" s="60">
        <f>COUNTIF(E2:E74,"AE")</f>
        <v/>
      </c>
      <c r="F90" s="60">
        <f>COUNTIF(F57:F74,"AE")</f>
        <v/>
      </c>
      <c r="G90" s="60">
        <f>COUNTIF(G57:G74,"AE")</f>
        <v/>
      </c>
      <c r="H90" s="60">
        <f>COUNTIF(H57:H74,"AE")</f>
        <v/>
      </c>
      <c r="I90" s="60">
        <f>COUNTIF(I57:I74,"AE")</f>
        <v/>
      </c>
      <c r="J90" s="60">
        <f>COUNTIF(J57:J74,"AE")</f>
        <v/>
      </c>
      <c r="K90" s="60">
        <f>COUNTIF(K57:K74,"AE")</f>
        <v/>
      </c>
      <c r="L90" s="60">
        <f>COUNTIF(L57:L74,"AE")</f>
        <v/>
      </c>
      <c r="M90" s="60">
        <f>COUNTIF(M57:M74,"AE")</f>
        <v/>
      </c>
      <c r="N90" s="60">
        <f>COUNTIF(N57:N74,"AE")</f>
        <v/>
      </c>
      <c r="O90" s="60">
        <f>COUNTIF(O57:O74,"AE")</f>
        <v/>
      </c>
      <c r="P90" s="60">
        <f>COUNTIF(P57:P74,"AE")</f>
        <v/>
      </c>
      <c r="Q90" s="60">
        <f>COUNTIF(Q57:Q74,"AE")</f>
        <v/>
      </c>
      <c r="R90" s="60">
        <f>COUNTIF(R57:R74,"AE")</f>
        <v/>
      </c>
      <c r="S90" s="60">
        <f>COUNTIF(S57:S74,"AE")</f>
        <v/>
      </c>
      <c r="T90" s="60">
        <f>COUNTIF(T57:T74,"AE")</f>
        <v/>
      </c>
      <c r="U90" s="60">
        <f>COUNTIF(U57:U74,"AE")</f>
        <v/>
      </c>
      <c r="V90" s="60">
        <f>COUNTIF(V57:V74,"AE")</f>
        <v/>
      </c>
      <c r="W90" s="60">
        <f>COUNTIF(W57:W74,"AE")</f>
        <v/>
      </c>
      <c r="X90" s="60">
        <f>COUNTIF(X57:X74,"AE")</f>
        <v/>
      </c>
      <c r="Y90" s="60">
        <f>COUNTIF(Y57:Y74,"AE")</f>
        <v/>
      </c>
      <c r="Z90" s="60">
        <f>COUNTIF(Z57:Z74,"AE")</f>
        <v/>
      </c>
      <c r="AA90" s="60">
        <f>COUNTIF(AA57:AA74,"AE")</f>
        <v/>
      </c>
      <c r="AB90" s="60">
        <f>COUNTIF(AB57:AB74,"AE")</f>
        <v/>
      </c>
      <c r="AC90" s="60">
        <f>COUNTIF(AC57:AC74,"AE")</f>
        <v/>
      </c>
      <c r="AD90" s="60">
        <f>COUNTIF(AD58:AD74,"AE")</f>
        <v/>
      </c>
      <c r="AE90" s="60">
        <f>COUNTIF(AE57:AE74,"AE")</f>
        <v/>
      </c>
      <c r="AF90" s="60">
        <f>COUNTIF(AF57:AF74,"AE")</f>
        <v/>
      </c>
      <c r="AG90" s="60">
        <f>COUNTIF(AG57:AG74,"AE")</f>
        <v/>
      </c>
      <c r="AH90" s="67" t="n"/>
      <c r="AI90" s="67" t="n"/>
      <c r="AJ90" s="67" t="n"/>
      <c r="AK90" s="6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</row>
    <row r="91" ht="19.5" customHeight="1">
      <c r="A91" s="67" t="n"/>
      <c r="B91" s="60" t="inlineStr">
        <is>
          <t>TOTAL DUTY TEAM STRENGTH</t>
        </is>
      </c>
      <c r="C91" s="60">
        <f>SUM(C87:C90)</f>
        <v/>
      </c>
      <c r="D91" s="60">
        <f>SUM(D87:D90)</f>
        <v/>
      </c>
      <c r="E91" s="60">
        <f>SUM(E87:E90)</f>
        <v/>
      </c>
      <c r="F91" s="60">
        <f>SUM(F87:F90)</f>
        <v/>
      </c>
      <c r="G91" s="60">
        <f>SUM(G87:G90)</f>
        <v/>
      </c>
      <c r="H91" s="60">
        <f>SUM(H87:H90)</f>
        <v/>
      </c>
      <c r="I91" s="60">
        <f>SUM(I87:I90)</f>
        <v/>
      </c>
      <c r="J91" s="60">
        <f>SUM(J87:J90)</f>
        <v/>
      </c>
      <c r="K91" s="60">
        <f>SUM(K87:K90)</f>
        <v/>
      </c>
      <c r="L91" s="60">
        <f>SUM(L87:L90)</f>
        <v/>
      </c>
      <c r="M91" s="60">
        <f>SUM(M87:M90)</f>
        <v/>
      </c>
      <c r="N91" s="60">
        <f>SUM(N87:N90)</f>
        <v/>
      </c>
      <c r="O91" s="60">
        <f>SUM(O87:O90)</f>
        <v/>
      </c>
      <c r="P91" s="60">
        <f>SUM(P87:P90)</f>
        <v/>
      </c>
      <c r="Q91" s="60">
        <f>SUM(Q87:Q90)</f>
        <v/>
      </c>
      <c r="R91" s="60">
        <f>SUM(R87:R90)</f>
        <v/>
      </c>
      <c r="S91" s="60">
        <f>SUM(S87:S90)</f>
        <v/>
      </c>
      <c r="T91" s="60">
        <f>SUM(T87:T90)</f>
        <v/>
      </c>
      <c r="U91" s="60">
        <f>SUM(U87:U90)</f>
        <v/>
      </c>
      <c r="V91" s="60">
        <f>SUM(V87:V90)</f>
        <v/>
      </c>
      <c r="W91" s="60">
        <f>SUM(W87:W90)</f>
        <v/>
      </c>
      <c r="X91" s="60">
        <f>SUM(X87:X90)</f>
        <v/>
      </c>
      <c r="Y91" s="60">
        <f>SUM(Y87:Y90)</f>
        <v/>
      </c>
      <c r="Z91" s="60">
        <f>SUM(Z87:Z90)</f>
        <v/>
      </c>
      <c r="AA91" s="60">
        <f>SUM(AA87:AA90)</f>
        <v/>
      </c>
      <c r="AB91" s="60">
        <f>SUM(AB87:AB90)</f>
        <v/>
      </c>
      <c r="AC91" s="60">
        <f>SUM(AC87:AC90)</f>
        <v/>
      </c>
      <c r="AD91" s="60">
        <f>SUM(AD87:AD90)</f>
        <v/>
      </c>
      <c r="AE91" s="60">
        <f>SUM(AE87:AE90)</f>
        <v/>
      </c>
      <c r="AF91" s="60">
        <f>SUM(AF87:AF90)</f>
        <v/>
      </c>
      <c r="AG91" s="60">
        <f>SUM(AG87:AG90)</f>
        <v/>
      </c>
      <c r="AH91" s="67" t="n"/>
      <c r="AI91" s="67" t="n"/>
      <c r="AJ91" s="67" t="n"/>
      <c r="AK91" s="67" t="n"/>
      <c r="AL91" s="77" t="n"/>
      <c r="AM91" s="77" t="n"/>
      <c r="AN91" s="77" t="n"/>
      <c r="AO91" s="77" t="n"/>
      <c r="AP91" s="77" t="n"/>
      <c r="AQ91" s="77" t="n"/>
      <c r="AR91" s="77" t="n"/>
      <c r="AS91" s="77" t="n"/>
      <c r="AT91" s="77" t="n"/>
      <c r="AU91" s="77" t="n"/>
      <c r="AV91" s="77" t="n"/>
      <c r="AW91" s="77" t="n"/>
      <c r="AX91" s="77" t="n"/>
      <c r="AY91" s="77" t="n"/>
      <c r="AZ91" s="77" t="n"/>
      <c r="BA91" s="77" t="n"/>
      <c r="BB91" s="77" t="n"/>
      <c r="BC91" s="77" t="n"/>
      <c r="BD91" s="77" t="n"/>
      <c r="BE91" s="77" t="n"/>
      <c r="BF91" s="77" t="n"/>
      <c r="BG91" s="77" t="n"/>
      <c r="BH91" s="77" t="n"/>
      <c r="BI91" s="77" t="n"/>
      <c r="BJ91" s="77" t="n"/>
      <c r="BK91" s="77" t="n"/>
      <c r="BL91" s="77" t="n"/>
      <c r="BM91" s="77" t="n"/>
      <c r="BN91" s="77" t="n"/>
      <c r="BO91" s="77" t="n"/>
      <c r="BP91" s="77" t="n"/>
    </row>
    <row r="92" ht="19.5" customHeight="1">
      <c r="A92" s="67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  <c r="AA92" s="60" t="n"/>
      <c r="AB92" s="60" t="n"/>
      <c r="AC92" s="60" t="n"/>
      <c r="AD92" s="60" t="n"/>
      <c r="AE92" s="60" t="n"/>
      <c r="AF92" s="60" t="n"/>
      <c r="AG92" s="60" t="n"/>
      <c r="AH92" s="67" t="n"/>
      <c r="AI92" s="67" t="n"/>
      <c r="AJ92" s="67" t="n"/>
      <c r="AK92" s="6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</row>
    <row r="93" ht="19.5" customHeight="1">
      <c r="A93" s="67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  <c r="AA93" s="60" t="n"/>
      <c r="AB93" s="60" t="n"/>
      <c r="AC93" s="60" t="n"/>
      <c r="AD93" s="60" t="n"/>
      <c r="AE93" s="60" t="n"/>
      <c r="AF93" s="60" t="n"/>
      <c r="AG93" s="60" t="n"/>
      <c r="AH93" s="67" t="n"/>
      <c r="AI93" s="67" t="n"/>
      <c r="AJ93" s="67" t="n"/>
      <c r="AK93" s="67" t="n"/>
      <c r="AL93" s="77" t="n"/>
      <c r="AM93" s="77" t="n"/>
      <c r="AN93" s="77" t="n"/>
      <c r="AO93" s="77" t="n"/>
      <c r="AP93" s="77" t="n"/>
      <c r="AQ93" s="77" t="n"/>
      <c r="AR93" s="77" t="n"/>
      <c r="AS93" s="77" t="n"/>
      <c r="AT93" s="77" t="n"/>
      <c r="AU93" s="77" t="n"/>
      <c r="AV93" s="77" t="n"/>
      <c r="AW93" s="77" t="n"/>
      <c r="AX93" s="77" t="n"/>
      <c r="AY93" s="77" t="n"/>
      <c r="AZ93" s="77" t="n"/>
      <c r="BA93" s="77" t="n"/>
      <c r="BB93" s="77" t="n"/>
      <c r="BC93" s="77" t="n"/>
      <c r="BD93" s="77" t="n"/>
      <c r="BE93" s="77" t="n"/>
      <c r="BF93" s="77" t="n"/>
      <c r="BG93" s="77" t="n"/>
      <c r="BH93" s="77" t="n"/>
      <c r="BI93" s="77" t="n"/>
      <c r="BJ93" s="77" t="n"/>
      <c r="BK93" s="77" t="n"/>
      <c r="BL93" s="77" t="n"/>
      <c r="BM93" s="77" t="n"/>
      <c r="BN93" s="77" t="n"/>
      <c r="BO93" s="77" t="n"/>
      <c r="BP93" s="77" t="n"/>
    </row>
    <row r="94" ht="19.5" customHeight="1">
      <c r="A94" s="67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  <c r="AA94" s="60" t="n"/>
      <c r="AB94" s="60" t="n"/>
      <c r="AC94" s="60" t="n"/>
      <c r="AD94" s="60" t="n"/>
      <c r="AE94" s="60" t="n"/>
      <c r="AF94" s="60" t="n"/>
      <c r="AG94" s="60" t="n"/>
      <c r="AH94" s="67" t="n"/>
      <c r="AI94" s="67" t="n"/>
      <c r="AJ94" s="67" t="n"/>
      <c r="AK94" s="6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</row>
    <row r="95" ht="19.5" customHeight="1">
      <c r="A95" s="67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  <c r="AA95" s="60" t="n"/>
      <c r="AB95" s="60" t="n"/>
      <c r="AC95" s="60" t="n"/>
      <c r="AD95" s="60" t="n"/>
      <c r="AE95" s="60" t="n"/>
      <c r="AF95" s="60" t="n"/>
      <c r="AG95" s="60" t="n"/>
      <c r="AH95" s="67" t="n"/>
      <c r="AI95" s="67" t="n"/>
      <c r="AJ95" s="67" t="n"/>
      <c r="AK95" s="67" t="n"/>
      <c r="AL95" s="77" t="n"/>
      <c r="AM95" s="77" t="n"/>
      <c r="AN95" s="77" t="n"/>
      <c r="AO95" s="77" t="n"/>
      <c r="AP95" s="77" t="n"/>
      <c r="AQ95" s="77" t="n"/>
      <c r="AR95" s="77" t="n"/>
      <c r="AS95" s="77" t="n"/>
      <c r="AT95" s="77" t="n"/>
      <c r="AU95" s="77" t="n"/>
      <c r="AV95" s="77" t="n"/>
      <c r="AW95" s="77" t="n"/>
      <c r="AX95" s="77" t="n"/>
      <c r="AY95" s="77" t="n"/>
      <c r="AZ95" s="77" t="n"/>
      <c r="BA95" s="77" t="n"/>
      <c r="BB95" s="77" t="n"/>
      <c r="BC95" s="77" t="n"/>
      <c r="BD95" s="77" t="n"/>
      <c r="BE95" s="77" t="n"/>
      <c r="BF95" s="77" t="n"/>
      <c r="BG95" s="77" t="n"/>
      <c r="BH95" s="77" t="n"/>
      <c r="BI95" s="77" t="n"/>
      <c r="BJ95" s="77" t="n"/>
      <c r="BK95" s="77" t="n"/>
      <c r="BL95" s="77" t="n"/>
      <c r="BM95" s="77" t="n"/>
      <c r="BN95" s="77" t="n"/>
      <c r="BO95" s="77" t="n"/>
      <c r="BP95" s="77" t="n"/>
    </row>
  </sheetData>
  <mergeCells count="3">
    <mergeCell ref="AQ3:AQ4"/>
    <mergeCell ref="C1:S1"/>
    <mergeCell ref="AR3:AR4"/>
  </mergeCells>
  <conditionalFormatting sqref="P23">
    <cfRule type="expression" priority="1" dxfId="136">
      <formula>WEEKDAY(AJ$3,2)&gt;5</formula>
    </cfRule>
  </conditionalFormatting>
  <conditionalFormatting sqref="Q23">
    <cfRule type="expression" priority="6" dxfId="136">
      <formula>WEEKDAY(T$3,2)&gt;5</formula>
    </cfRule>
    <cfRule type="expression" priority="7" dxfId="136">
      <formula>WEEKDAY(U$3,2)&gt;5</formula>
    </cfRule>
  </conditionalFormatting>
  <conditionalFormatting sqref="AC24">
    <cfRule type="expression" priority="3" dxfId="136">
      <formula>WEEKDAY(T$3,2)&gt;5</formula>
    </cfRule>
    <cfRule type="expression" priority="4" dxfId="136">
      <formula>WEEKDAY(U$3,2)&gt;5</formula>
    </cfRule>
  </conditionalFormatting>
  <conditionalFormatting sqref="G27">
    <cfRule type="expression" priority="2" dxfId="136">
      <formula>WEEKDAY(G$3,2)&gt;5</formula>
    </cfRule>
  </conditionalFormatting>
  <conditionalFormatting sqref="D28">
    <cfRule type="expression" priority="8" dxfId="136">
      <formula>WEEKDAY(G$3,2)&gt;5</formula>
    </cfRule>
    <cfRule type="expression" priority="9" dxfId="136">
      <formula>WEEKDAY(F$3,2)&gt;5</formula>
    </cfRule>
  </conditionalFormatting>
  <conditionalFormatting sqref="A1:BP95">
    <cfRule type="cellIs" priority="78" operator="equal" dxfId="155">
      <formula>"RESERVE"</formula>
    </cfRule>
  </conditionalFormatting>
  <conditionalFormatting sqref="B48:B54 C5:C95 D2:E2 D5:E56 D58:E95 F5:AG95">
    <cfRule type="containsText" priority="43" operator="between" dxfId="1388" text="CS/B">
      <formula>NOT(ISERROR(SEARCH("CS/B",B2)))</formula>
    </cfRule>
  </conditionalFormatting>
  <conditionalFormatting sqref="B48:B54 C5:C95 D2:E2 D5:E56 D58:E95 F5:I95 J4:J95 K5:Z95 AA4:AA95 AB5:AG95">
    <cfRule type="cellIs" priority="56" operator="equal" dxfId="137">
      <formula>"B"</formula>
    </cfRule>
    <cfRule type="cellIs" priority="57" operator="equal" dxfId="137">
      <formula>"AL"</formula>
    </cfRule>
    <cfRule type="cellIs" priority="58" operator="equal" dxfId="138">
      <formula>"DM"</formula>
    </cfRule>
    <cfRule type="cellIs" priority="59" operator="equal" dxfId="139">
      <formula>"CS1"</formula>
    </cfRule>
    <cfRule type="cellIs" priority="60" operator="equal" dxfId="140">
      <formula>"CS2"</formula>
    </cfRule>
    <cfRule type="cellIs" priority="61" operator="equal" dxfId="141">
      <formula>"SB1"</formula>
    </cfRule>
    <cfRule type="cellIs" priority="62" operator="equal" dxfId="142">
      <formula>"SB2"</formula>
    </cfRule>
    <cfRule type="cellIs" priority="63" operator="equal" dxfId="143">
      <formula>"AE"</formula>
    </cfRule>
  </conditionalFormatting>
  <conditionalFormatting sqref="B48:B54 C5:C79 D2:E2 D5:E56 D58:E79 F5:I79 J4:J79 K5:Z79 AA4:AA79 AB5:AG79">
    <cfRule type="cellIs" priority="65" operator="equal" dxfId="137">
      <formula>"DB"</formula>
    </cfRule>
    <cfRule type="containsText" priority="66" operator="between" dxfId="144" text="$AM">
      <formula>NOT(ISERROR(SEARCH("$AM",B2)))</formula>
    </cfRule>
    <cfRule type="containsText" priority="67" operator="between" dxfId="145" text="$PM">
      <formula>NOT(ISERROR(SEARCH("$PM",B2)))</formula>
    </cfRule>
    <cfRule type="containsText" priority="68" operator="between" dxfId="146" text="$L">
      <formula>NOT(ISERROR(SEARCH("$L",B2)))</formula>
    </cfRule>
    <cfRule type="containsText" priority="69" operator="between" dxfId="147" text="$BTP">
      <formula>NOT(ISERROR(SEARCH("$BTP",B2)))</formula>
    </cfRule>
    <cfRule type="containsText" priority="70" operator="between" dxfId="148" text="$M">
      <formula>NOT(ISERROR(SEARCH("$M",B2)))</formula>
    </cfRule>
    <cfRule type="containsText" priority="72" operator="between" dxfId="149" text="$N">
      <formula>NOT(ISERROR(SEARCH("$N",B2)))</formula>
    </cfRule>
    <cfRule type="containsText" priority="73" operator="between" dxfId="150" text="$FC">
      <formula>NOT(ISERROR(SEARCH("$FC",B2)))</formula>
    </cfRule>
    <cfRule type="containsText" priority="74" operator="between" dxfId="151" text="OAL">
      <formula>NOT(ISERROR(SEARCH("OAL",B2)))</formula>
    </cfRule>
    <cfRule type="containsText" priority="75" operator="between" dxfId="152" text="S+">
      <formula>NOT(ISERROR(SEARCH("S+",B2)))</formula>
    </cfRule>
    <cfRule type="containsText" priority="76" operator="between" dxfId="153" text="EX-D">
      <formula>NOT(ISERROR(SEARCH("EX-D",B2)))</formula>
    </cfRule>
  </conditionalFormatting>
  <conditionalFormatting sqref="B48:B54 C3:C79 D2:E56 D58:E79 F3:S79 T2:X79 Y3:AG79">
    <cfRule type="expression" priority="71" dxfId="136">
      <formula>WEEKDAY(D$3,2)&gt;5</formula>
    </cfRule>
  </conditionalFormatting>
  <conditionalFormatting sqref="B48:B54 C6:C7 C9:C27 C29 C32 C34 C36 C40:C62 C69 C75:K76 D5 D9 D11:D12 D22:D30 D32:D34 D42 D46 D48:D55 D61:I62 E5:E9 E11:E26 E29 E31:E32 E36:E56 E58:E59 F5:F12 F22:F27 F29:F31 F34 F36 F38:F39 F42:F43 F46:G46 F48:G55 F65 G5:G11 G13:G21 G24:G30 G32 G34:G35 G38:G40 G42 H6:H28 H31:I32 H36 H39:I39 H41:H43 H46:H59 H65:H67 H69:H72 I5 I10:I27 I29 I35 I41:I42 I46 I48:I55 J4:J5 J7:J8 J10:J21 J23 J25 J27:J32 J35:J58 J60:K62 K5 K7 K11:K22 K24:K29 K32:L32 K34:K35 K38:K42 K45:K57 K67 K71 L5:L6 L11:L12 L19 L22:L30 L34 L36 L39:L57 L59:L63 L65 L68:L69 L74:L76 M5:M9 M11 M13:M33 M36:M37 M39:M42 M44:M56 M58:M62 M75:T76 N5:N7 N9 N11:N12 N22:N25 N27:N29 N31:N32 N34 N37:N40 N46 N48:N55 N57 N61:P62 O5:O6 O8 O11:O25 O27:O32 O34:O35 O37:O38 O40:P40 O42:O55 P5:P8 P11 P13:P28 P31:P32 P34:Q34 P38 P45:P46 P48:P55 Q5 Q8:Q11 Q13:Q27 Q29:Q31 Q43:R43 Q45:Q56 Q59:Q62 Q72:R72 R9:R11 R13:R21 R23:R32 R34:R37 R39 R45:R57 R61:R62 R66 S5:S6 S8:S9 S11 S13:S19 S21:S32 S34 S36:S38 S41:S43 S45:U46 S48:U55 S57 S61 S70 T6:T7 T10:T12 T14:T15 T23 T25 T27:T31 T33 T35 T38:T40 T42:T43 T61:T62 T68:U68 U6 U8:U9 U11:U22 U24:U28 U30 U33:U34 U38:V38 U42 U58 U61:U66 U70:U79 V5:V36 V40:V58 V61:V62 V75:Y76 W5 W7 W9 W11:W26 W29 W31:W37 W40:W57 W59:W62 X6:X8 X11:X23 X25:X27 X29:X37 X40:X62 Y5:Z7 Y9:Y56 Y58:Y62 Y68 Y70 Y72:Y73 Z9:Z22 Z24:Z30 Z32:Z72 Z74:Z76 AA5:AA10 AA12:AA59 AA61:AA69 AA71:AA76 AB5:AB8 AB10:AC59 AB61:AD76 AC5 AC7:AC8 AD5:AD6 AD8:AE8 AD10:AD33 AD36:AD38 AD40:AD59 AE10:AE22 AE24:AE34 AE37:AE46 AE48:AG55 AE60:AE63 AE68:AE70 AE72:AE76 AF7:AF8 AF10:AF12 AF14:AF15 AF22:AF34 AF36:AF38 AF40 AF42:AF43 AF45:AG46 AF58:AF59 AF61:AG61 AF67 AF75:AG76 AG7:AG10 AG12 AG14:AG33 AG38 AG40:AG41 AG68:AG69">
    <cfRule type="containsText" priority="77" operator="between" dxfId="154" text="VACC">
      <formula>NOT(ISERROR(SEARCH("VACC",B4)))</formula>
    </cfRule>
  </conditionalFormatting>
  <conditionalFormatting sqref="B48:B54 C5:C7 C9:C27 C29:C32 C34 C36 C40:C76 D5 D9 D11:D12 D22:D30 D32:D34 D42 D46 D48:D55 D61:J62 D75:K76 E5:E9 E11:E21 E23:E26 E29 E31:E32 E36:E56 E58:E59 F5:F12 F22:F27 F29:F31 F34 F36 F38:F39 F42:F43 F46:G46 F48:G55 F65 G5:G11 G13:G21 G24:G30 G32 G34:G35 G38:G40 G42 H6:H28 H31:J32 H36 H39:I39 H41:H43 H46:H59 H65:H67 H69:H72 I5:K5 I10:I27 I29 I35 I41:I42 I46:J46 I48:J55 J7:J8 J10:J12 J25 J27:J28 J35:J36 J38:J42 K7 K11:K22 K24:K25 K27 K32:L32 K34:K35 K39:K42 K45:K57 K60:K62 K67 K71 L5:L6 L11:L12 L19 L22:L28 L30:M30 L34 L36 L39:L57 L59:L63 L65 L68:L69 L74:L76 M5:M9 M11 M13:M21 M23:M28 M32:M33 M36:M37 M39:M42 M44:M56 M58:M62 M75:Y76 N5:N7 N9 N11:O12 N23:N25 N27 N29 N32:O32 N34 N37:N40 N46 N48:N55 N61:P62 O5:O6 O14:O25 O27:O30 O34:O35 O37:O38 O40:P40 O42:O55 P5:P8 P11 P13:P21 P23:P25 P27:P28 P34 P38 P45:P46 P48:P55 Q5:R5 Q9:Q11 Q13:Q27 Q30 Q33:Q34 Q43 Q45:Q56 Q59:Q62 Q72:R72 R7:R11 R13:R25 R27:R32 R34:R40 R42:R43 R45:R57 R61:R62 R66 S8:S9 S11 S13:S19 S21:S25 S27:T28 S30:S32 S34 S36:S38 S41:S43 S45:V46 S48:V55 S57 S61 S70 T6:T7 T10:T12 T14:T15 T23 T25 T30:U30 T35 T38:T40 T42:T43 T61:V62 T68 U8:U9 U11:U22 U24:U27 U34 U38:V38 U42 V5:W5 V7:V12 V14:V15 V22:V23 V25:V26 V29:V32 V34:V35 V42:V43 W7:Z7 W9 W11:W26 W29 W31:W37 W40:W57 W59:W62 X11:X23 X25 X27 X29:X30 X34 X36:X37 X40:X62 Y10:Y26 Y31:Y32 Y43 Y45:Y46 Y48:Y55 Y58:Y62 Y68 Y70 Y72 Z5 Z9 Z11 Z13:Z19 Z21:Z22 Z27:Z29 Z40:Z41 Z44:Z56 Z58:Z72 Z74:Z76 AA10 AA12 AA14:AA22 AA24 AA26 AA32 AA42 AA45:AA56 AA58:AA59 AA61:AA69 AA71:AA72 AA75:AA76 AB5:AB6 AB10:AB11 AB14:AC15 AB22:AB25 AB27 AB31 AB34 AB40:AB42 AB44:AB59 AB61:AD76 AC5:AD5 AC10:AD12 AC24 AC26:AC27 AC29:AC35 AC38:AD38 AC40 AC42:AD59 AD8:AE8 AD14:AD22 AD24:AE25 AD27 AD29 AD31 AD33 AD36 AE10 AE12:AE15 AE17:AE22 AE28:AE30 AE32 AE34 AE37:AF38 AE41 AE44:AE46 AE48:AG55 AE60:AE63 AE68:AE70 AE72:AE76 AF7:AF8 AF10:AF11 AF14:AF15 AF23:AF25 AF30:AF34 AF43 AF45:AG46 AF58:AF59 AF61:AG61 AF67 AF75:AG76 AG7:AG10 AG12 AG14:AG21 AG23:AG26 AG31 AG38 AG69">
    <cfRule type="cellIs" priority="12" operator="equal" dxfId="137">
      <formula>"B"</formula>
    </cfRule>
    <cfRule type="cellIs" priority="13" operator="equal" dxfId="137">
      <formula>"AL"</formula>
    </cfRule>
    <cfRule type="cellIs" priority="14" operator="equal" dxfId="138">
      <formula>"DM"</formula>
    </cfRule>
    <cfRule type="cellIs" priority="15" operator="equal" dxfId="139">
      <formula>"CS1"</formula>
    </cfRule>
    <cfRule type="cellIs" priority="16" operator="equal" dxfId="140">
      <formula>"CS2"</formula>
    </cfRule>
    <cfRule type="cellIs" priority="17" operator="equal" dxfId="141">
      <formula>"SB1"</formula>
    </cfRule>
    <cfRule type="cellIs" priority="18" operator="equal" dxfId="142">
      <formula>"SB2"</formula>
    </cfRule>
    <cfRule type="cellIs" priority="19" operator="equal" dxfId="143">
      <formula>"AE"</formula>
    </cfRule>
    <cfRule type="cellIs" priority="20" operator="equal" dxfId="137">
      <formula>"DB"</formula>
    </cfRule>
    <cfRule type="containsText" priority="21" operator="between" dxfId="144" text="$AM">
      <formula>NOT(ISERROR(SEARCH("$AM",B5)))</formula>
    </cfRule>
    <cfRule type="containsText" priority="22" operator="between" dxfId="145" text="$PM">
      <formula>NOT(ISERROR(SEARCH("$PM",B5)))</formula>
    </cfRule>
    <cfRule type="containsText" priority="23" operator="between" dxfId="146" text="$L">
      <formula>NOT(ISERROR(SEARCH("$L",B5)))</formula>
    </cfRule>
    <cfRule type="containsText" priority="24" operator="between" dxfId="147" text="$BTP">
      <formula>NOT(ISERROR(SEARCH("$BTP",B5)))</formula>
    </cfRule>
    <cfRule type="containsText" priority="25" operator="between" dxfId="148" text="$M">
      <formula>NOT(ISERROR(SEARCH("$M",B5)))</formula>
    </cfRule>
    <cfRule type="containsText" priority="26" operator="between" dxfId="149" text="$N">
      <formula>NOT(ISERROR(SEARCH("$N",B5)))</formula>
    </cfRule>
    <cfRule type="containsText" priority="27" operator="between" dxfId="150" text="$FC">
      <formula>NOT(ISERROR(SEARCH("$FC",B5)))</formula>
    </cfRule>
    <cfRule type="containsText" priority="28" operator="between" dxfId="151" text="OAL">
      <formula>NOT(ISERROR(SEARCH("OAL",B5)))</formula>
    </cfRule>
    <cfRule type="containsText" priority="29" operator="between" dxfId="152" text="S+">
      <formula>NOT(ISERROR(SEARCH("S+",B5)))</formula>
    </cfRule>
    <cfRule type="containsText" priority="30" operator="between" dxfId="153" text="EX-D">
      <formula>NOT(ISERROR(SEARCH("EX-D",B5)))</formula>
    </cfRule>
  </conditionalFormatting>
  <conditionalFormatting sqref="B48:B54 C6:C7 C9:C27 C29 C32 C34 C36 C40:C62 C69 C75:K76 D5 D9 D11:D12 D22:D30 D32:D34 D42 D46 D48:D55 D61:J62 E5:E9 E11:E21 E23:E26 E28:E29 E31:E32 E36:E56 E58:E59 F5:F12 F22:F27 F29:F31 F34 F36 F38:F39 F42:F43 F46:G46 F48:G55 F65 G5:G11 G13:G21 G24:G30 G32 G34:G35 G38:G40 G42 H6:H28 H31:I32 H36 H39:I39 H41:H43 H46:H59 H65:H67 H69:H72 I5:L5 I10:I27 I29 I35 I41:I42 I46:J46 I48:J55 J7:J8 J10:J12 J25 J27:J28 J30:J32 J35:J42 K7 K11:K22 K24:K27 K32:L32 K34:K35 K39:K42 K45:K57 K60:K62 K67 K71 L11:L12 L19 L22:L30 L34 L36 L39:L57 L59:L63 L65 L68:L69 L74:L76 M5:M9 M11 M13:M21 M23:M33 M36:M37 M39:M42 M44:M56 M58:M62 M75:N76 N5:N7 N9 N11:O12 N23:N25 N27 N29 N31:N32 N34 N37:N40 N46:P46 N48:P55 N61:P62 O5:O6 O14:O22 O24:O25 O27:O32 O34:O35 O37 O40:P40 O42:O44 O76:Q76 P5:P8 P11 P13:P21 P23:P28 P31 P34:Q34 P38 Q5 Q9:R11 Q13:Q27 Q30:Q31 Q43:R43 Q46:Q56 Q59:Q62 Q72:R72 R13:R21 R23:R32 R34:R37 R39 R45:R56 R61:R62 R66 R75:R76 S8:S9 S11 S13:S19 S21:S25 S27 S30:S32 S34 S36:S38 S41:S43 S46:U46 S48:U55 S57 S61 S70 S76:U76 T6:T7 T10:T12 T14:T15 T23 T25 T27:T31 T35 T38:T40 T42:T43 T61:V62 T68 U8:U9 U11:U22 U24:U27 U30 U34 U38:V38 U42 V5:W5 V7:V23 V25:V26 V29:V35 V40 V42:V58 V75:X76 W7:Z7 W9 W11:W26 W29 W31:W37 W40:W57 W59:W62 X11:X23 X25 X27 X29:X30 X34 X36:X37 X40:X62 Y9:Y26 Y32:AA32 Y37 Y42:Y43 Y46 Y48:Y55 Y58:Y62 Y68 Y70 Y76 Z5:AA5 Z9 Z11:Z22 Z27:Z29 Z36 Z40:Z42 Z44:AA56 Z58:Z72 Z74:Z76 AA7:AA10 AA12:AA22 AA24:AA27 AA29:AA30 AA36:AB42 AA58:AA59 AA61:AA69 AA71:AA72 AA75:AA76 AB5:AB6 AB8 AB10:AB27 AB30:AB32 AB34 AB44:AB59 AB61:AD76 AC5:AD5 AC7:AC8 AC10:AD12 AC14:AC15 AC24:AC35 AC38:AC40 AC42:AD59 AD8:AE8 AD14:AD22 AD24:AE25 AD27 AD29:AD33 AD36:AD38 AE10:AE22 AE28:AE32 AE34 AE37:AE39 AE41:AE46 AE48:AG55 AE60:AE63 AE68:AE70 AE72:AE76 AF7:AF8 AF10:AF11 AF14:AF15 AF23:AF25 AF29:AF34 AF37:AF38 AF43 AF46:AG46 AF58:AF59 AF61:AG61 AF67 AF76:AG76 AG7:AG10 AG12 AG14:AG21 AG23:AG26 AG29 AG31 AG38 AG69">
    <cfRule type="expression" priority="31" dxfId="136">
      <formula>WEEKDAY(#REF!,2)&gt;5</formula>
    </cfRule>
  </conditionalFormatting>
  <conditionalFormatting sqref="B48:B54 C6:C7 C9:C27 C29 C32 C34 C36 C40:C62 C75:K76 D5 D9 D11:D12 D22:D30 D32:D34 D42 D46 D48:D55 D61:I62 E5:E9 E11:E26 E29 E31:E32 E36:E56 E58:E59 F5:F12 F22:F27 F29:F31 F34 F36 F38:F39 F42:F43 F46:G46 F48:G55 F65 G5:G11 G13:G21 G24:G30 G32 G34:G35 G38:G40 G42 H6:H28 H31:I32 H36 H39:I39 H41:H43 H46:H59 H65:H67 H69:H72 I5:K5 I10:I27 I29 I35 I41:I42 I46 I48:I55 J7:J8 J10:J21 J23 J25 J27:J32 J35:J58 J60:K62 K7 K11:K22 K24:K29 K32:L32 K34:K35 K38:K42 K45:K57 K67 K71 L5:L6 L11:L12 L19 L22:L30 L34 L36 L39:L57 L59:L63 L65 L68:L69 L74:L76 M5:M9 M11 M13:M33 M36:M37 M39:M42 M44:M56 M58:M62 M75:T76 N5:N7 N9 N11:N12 N22:N25 N27:N29 N31:N32 N34 N37:N40 N46 N48:N55 N57 N61:P62 O5:O6 O8 O11:O25 O27:O32 O34:O35 O37:O38 O40:P40 O42:O55 P5:P8 P11 P13:P28 P31:P32 P34:S34 P38 P45:P46 P48:P55 Q5 Q8:Q11 Q13:Q27 Q29:Q31 Q43:R43 Q45:Q56 Q59:Q62 Q72:R72 R9:R11 R13:R21 R23:R32 R36:R37 R39 R45:R57 R61:R62 R66 S5:S6 S8:S9 S11 S13:S19 S21:S32 S36:S38 S41:S43 S45:U46 S48:U55 S57 S61 S70 T6:T7 T10:T12 T14:T15 T23 T25 T27:T31 T33 T35 T38:T40 T42:T43 T61:T62 T68:U68 U6 U8:U9 U11:U22 U24:U28 U30 U33:U34 U38:V38 U42 U58 U61:U66 U70:U79 V5:V36 V40:V58 V61:V62 V75:Y76 W5 W7 W9 W11:W26 W29 W31:W37 W40:W57 W59:W62 X6:X8 X11:X23 X25:X27 X29:X37 X40:X62 Y5:Z7 Y9:Y56 Y58:Y62 Y68 Y70 Y72:Y73 Z9:Z22 Z24:Z30 Z32:Z72 Z74:Z76 AA5:AA10 AA12:AA59 AA61:AA69 AA71:AA76 AB5:AB8 AB10:AC59 AB61:AD76 AC5 AC7:AC8 AD5:AD6 AD8:AE8 AD10:AD33 AD36:AD38 AD40:AD59 AE10:AE22 AE24:AE34 AE37:AE46 AE48:AG55 AE60:AE63 AE68:AE70 AE72:AE76 AF7:AF8 AF10:AF12 AF14:AF15 AF22:AF34 AF36:AF38 AF40 AF42:AF43 AF45:AG46 AF58:AF59 AF61:AG61 AF67 AF75:AG76 AG7:AG10 AG12 AG14:AG33 AG38 AG40:AG41 AG68:AG69">
    <cfRule type="cellIs" priority="35" operator="equal" dxfId="137">
      <formula>"B"</formula>
    </cfRule>
    <cfRule type="cellIs" priority="36" operator="equal" dxfId="137">
      <formula>"AL"</formula>
    </cfRule>
    <cfRule type="cellIs" priority="37" operator="equal" dxfId="138">
      <formula>"DM"</formula>
    </cfRule>
    <cfRule type="cellIs" priority="38" operator="equal" dxfId="139">
      <formula>"CS1"</formula>
    </cfRule>
    <cfRule type="cellIs" priority="39" operator="equal" dxfId="140">
      <formula>"CS2"</formula>
    </cfRule>
    <cfRule type="cellIs" priority="40" operator="equal" dxfId="141">
      <formula>"SB1"</formula>
    </cfRule>
    <cfRule type="cellIs" priority="41" operator="equal" dxfId="142">
      <formula>"SB2"</formula>
    </cfRule>
    <cfRule type="cellIs" priority="42" operator="equal" dxfId="143">
      <formula>"AE"</formula>
    </cfRule>
    <cfRule type="cellIs" priority="44" operator="equal" dxfId="137">
      <formula>"DB"</formula>
    </cfRule>
    <cfRule type="containsText" priority="45" operator="between" dxfId="144" text="$AM">
      <formula>NOT(ISERROR(SEARCH("$AM",B5)))</formula>
    </cfRule>
    <cfRule type="containsText" priority="46" operator="between" dxfId="145" text="$PM">
      <formula>NOT(ISERROR(SEARCH("$PM",B5)))</formula>
    </cfRule>
    <cfRule type="containsText" priority="47" operator="between" dxfId="146" text="$L">
      <formula>NOT(ISERROR(SEARCH("$L",B5)))</formula>
    </cfRule>
    <cfRule type="containsText" priority="48" operator="between" dxfId="147" text="$BTP">
      <formula>NOT(ISERROR(SEARCH("$BTP",B5)))</formula>
    </cfRule>
    <cfRule type="containsText" priority="49" operator="between" dxfId="148" text="$M">
      <formula>NOT(ISERROR(SEARCH("$M",B5)))</formula>
    </cfRule>
    <cfRule type="containsText" priority="50" operator="between" dxfId="149" text="$N">
      <formula>NOT(ISERROR(SEARCH("$N",B5)))</formula>
    </cfRule>
    <cfRule type="containsText" priority="51" operator="between" dxfId="150" text="$FC">
      <formula>NOT(ISERROR(SEARCH("$FC",B5)))</formula>
    </cfRule>
    <cfRule type="containsText" priority="52" operator="between" dxfId="151" text="OAL">
      <formula>NOT(ISERROR(SEARCH("OAL",B5)))</formula>
    </cfRule>
    <cfRule type="containsText" priority="53" operator="between" dxfId="152" text="S+">
      <formula>NOT(ISERROR(SEARCH("S+",B5)))</formula>
    </cfRule>
    <cfRule type="containsText" priority="54" operator="between" dxfId="153" text="EX-D">
      <formula>NOT(ISERROR(SEARCH("EX-D",B5)))</formula>
    </cfRule>
    <cfRule type="expression" priority="55" dxfId="136">
      <formula>WEEKDAY(#REF!,2)&gt;5</formula>
    </cfRule>
  </conditionalFormatting>
  <conditionalFormatting sqref="BO5:BP79">
    <cfRule type="cellIs" priority="64" operator="lessThan" dxfId="155">
      <formula>1</formula>
    </cfRule>
  </conditionalFormatting>
  <conditionalFormatting sqref="G9 S32 S37 S42 S57 S70 T10 U8 V22 V25 W7:Z7 W29 W40 X25 X30 Y10 Z13:Z19 Z21 Z61:Z62 AA10 AA12 AB34 AC29 AD36 AE32 AF43 AG12">
    <cfRule type="expression" priority="32" dxfId="136">
      <formula>WEEKDAY(Y$3,2)&gt;5</formula>
    </cfRule>
  </conditionalFormatting>
  <conditionalFormatting sqref="S37 S42 T10 U8 U58 U63:U66 U68 U70:U79 V22 V25 W7:Z7 W29 W40 X25 X30 Y10 Z9 Z13:Z19 Z21 Z61:Z62 AA10 AA12 AB34 AC29 AD36 AE32 AF43 AG12">
    <cfRule type="expression" priority="33" dxfId="136">
      <formula>WEEKDAY(X$3,2)&gt;5</formula>
    </cfRule>
  </conditionalFormatting>
  <conditionalFormatting sqref="C9 C23:F23 C34:D34 F34:G34 G9 R25 R35 S23 S32 S57 S70">
    <cfRule type="expression" priority="34" dxfId="136">
      <formula>WEEKDAY(U$3,2)&gt;5</formula>
    </cfRule>
  </conditionalFormatting>
  <conditionalFormatting sqref="D9 E25 F31 G35">
    <cfRule type="expression" priority="5" dxfId="136">
      <formula>WEEKDAY(F$3,2)&gt;5</formula>
    </cfRule>
  </conditionalFormatting>
  <conditionalFormatting sqref="D9 E25 F31 G28:H28 G35 H23 H32 M28 R29 T27">
    <cfRule type="expression" priority="10" dxfId="136">
      <formula>WEEKDAY(E$3,2)&gt;5</formula>
    </cfRule>
  </conditionalFormatting>
  <conditionalFormatting sqref="C29 D26:E26">
    <cfRule type="expression" priority="11" dxfId="136">
      <formula>WEEKDAY(E$3,2)&gt;5</formula>
    </cfRule>
  </conditionalFormatting>
  <conditionalFormatting sqref="AB65 AC57 AD67">
    <cfRule type="cellIs" priority="79" operator="equal" dxfId="1735">
      <formula>"CS"</formula>
    </cfRule>
  </conditionalFormatting>
  <dataValidations count="4">
    <dataValidation sqref="B5:B8 B10:B23 B25:B26 B28:B30 B32 B61:B62 C63:U63 C64 C65:E65 C68:G68 C70:C73 C74:G74 C77 C78:L79 D40 D67:E67 D69:L69 E2 E60 E64 E70:L70 E71:E73 E77:H77 F58:G58 G67:H67 G71:AG71 G72:L72 H65:I65 I64:J64 I68:K68 I73:L74 J59:J60 J66:L66 J67 J77 K44 K65:L65 L64 M67 N64:O64 N65 N66:P66 N68:P68 N69:O69 N70:P70 N72 N73:O73 N74 N77 N78:P79 O67 P30 P65 P72 P74 R66 S58 S59:T59 S64:U64 S68 S69:T69 S72:U73 S74 S78:S79 T66:U66 T70 U68 U74:U75 U77:V77 U78:AG79 W67 X64:Y64 X69:AD69 X70 X72:X73 X74:Z74 X77 Y59:Y60 Y68 Z31 Z73 AA60:AD60 AC66:AF66 AC74:AG74 AE57:AG57 AE64:AG64 AF62:AG62 AF65:AG65 AF70:AG70 AF72 AF73:AG73 AF75 AG59" showDropDown="1" showInputMessage="0" showErrorMessage="0" allowBlank="1" type="list">
      <formula1>'Setting key Duty'!$B$7:$B$56</formula1>
    </dataValidation>
    <dataValidation sqref="C8:C10 C11:Z11 C12:E12 C13:C21 C22:F22 C23:I23 C24:P24 C25:D25 C27:D27 C29:E31 C32:H32 C33:D33 C35:E35 C36 C38 C42:M42 C43:F45 C46:AG46 C56:O56 C58 C60:D60 C61:AG61 C62:Q62 C66 C75:N75 C76:AG76 D5 D26:F26 D28:H28 D59:F59 E9:G9 E10 E13:E21 E34:H34 E36:I36 E37:G37 E38:F38 E39:G39 E40:F40 E41:G41 E58 F7:H7 F65 G25 G27:I27 G29:G30 G33:H33 G57:J57 H40 H43 H58:O58 H59 I30 I31:J31 I35:M35 I44:I45 I60 J5 J12:L12 J13:K18 J19:L19 J20:K21 J22 J25:J26 J28:L28 J33:N33 J37:L38 J39:M39 J41:M41 J43 K32:M32 K40 K60:N60 K67 L6 L10 L22:Q22 L26:M26 L36:M36 L44:O44 L45:N45 L59:M59 M25 M31:T31 M34 M40:Q40 N9 N12:P12 N13 N14:AG15 N16:O16 N17 N18:O21 N23:Q23 N28:V28 N29:O29 N37 N67 O5:O6 O25:O27 O32 O34 O35:P35 O36 O43 O57 O59:Q59 P7 P17:S17 P38:V38 P42 Q9:R10 Q13:S13 Q16:S16 Q18:S19 Q20:R20 Q21:S21 Q26:R26 Q29:R29 Q30 Q33 Q36 Q37:R37 Q43 Q66 Q72 S8 S22 S23:T23 S24 S30:U30 S33 S35:T35 S39 S42:T44 S56:W56 S60 S75 T10 T12 T25:V25 T26:AA26 T27:U27 T29 T36:U36 T40 T58 T62:U62 T68 T74 T78:T79 U5 U13:Y13 U16:Y18 U19:W19 U20:Y21 U33:V33 U34 U57:W57 U59:U60 V8:V9 V12 V22:W22 V31 V32:W32 V43:Y43 V44 V58 W7:Z7 W29:Z29 W30 W36 W59 W62:Z62 X12:Z12 X24 X25:Z25 X27 X28:AG28 X37:Z37 X38 X44:Y44 Y9:Y10 Y19 Y22:Y23 Y35:AB35 Y36 Y39:Z39 Y56 Y57:Z58 Y70 Z32:AC32 Z33:AB33 Z60 AA5:AE5 AA9 AA23:AB23 AA24:AG24 AA27 AA30 AA34 AA36 AA41:AB41 AB6 AB8:AC8 AB25:AE25 AB29 AB39 AB62 AB75 AC26:AE26 AC31 AC36:AD37 AC44:AE44 AD12 AD23:AG23 AD29 AD30:AG30 AE27:AG27 AE31 AE32:AG32 AE33 AE41 AE56:AG56 AE62 AE72:AE73 AF8:AG8 AF16:AF21 AF22:AG22 AF29:AG29 AF35 AF42:AG42 AF60:AG60 AG7 AG25 AG33:AG34 AG37 AG39 AG41 AG43:AG44 AG47 AG58 AG66 AG68" showDropDown="0" showInputMessage="0" showErrorMessage="0" allowBlank="1" type="custom">
      <formula1>NOT(ISERROR(SEARCH((#REF!),(C5))))</formula1>
    </dataValidation>
    <dataValidation sqref="C59 D8:D9 E25 F31 G35 J7 K10 L23 L40 M13 M15:M21 M30 N39 O33 O42 Q56 Q60 R32:S32 S26 S37 S57 S70 T9 U8 V7 V23 W41:X41 X22:X23 X30 Y42 Z13 Z16:AA19 Z21:AA21 Z36 Z40 Z44 Z56:AD56 AA10 AA12 AA20 AA22:AB22 AA42 AA59:AB59 AB11 AB34:AE34 AB40:AC40 AB58:AC58 AB65 AC27:AD27 AC29 AC33 AC35 AC57 AC62:AD62 AC64 AC70:AE70 AD16:AD18 AD20:AD21 AD22:AE22 AD31 AD59 AE29 AE37 AE60 AE68 AF25 AF33 AF43 AF58:AF59 AG9 AG12 AG16:AG21 AG31" showDropDown="1" showInputMessage="0" showErrorMessage="0" allowBlank="1" type="list">
      <formula1>'Setting key Duty'!$B$7:$B$54</formula1>
    </dataValidation>
    <dataValidation sqref="C47:AF47 C48:AG55 C80:AG85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0"/>
    <pageSetUpPr fitToPage="1"/>
  </sheetPr>
  <dimension ref="A1:BP95"/>
  <sheetViews>
    <sheetView showGridLines="0" tabSelected="1" zoomScale="55" zoomScaleNormal="55" workbookViewId="0">
      <pane xSplit="2" ySplit="4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C3" sqref="C3"/>
    </sheetView>
  </sheetViews>
  <sheetFormatPr baseColWidth="8" defaultColWidth="12.6285714285714" defaultRowHeight="15.75" customHeight="1"/>
  <cols>
    <col width="2.13333333333333" customWidth="1" min="1" max="1"/>
    <col width="29.752380952381" customWidth="1" min="2" max="2"/>
    <col width="9.24761904761905" customWidth="1" min="3" max="8"/>
    <col width="10.1333333333333" customWidth="1" min="9" max="9"/>
    <col width="9.24761904761905" customWidth="1" min="10" max="11"/>
    <col width="9.38095238095238" customWidth="1" min="12" max="12"/>
    <col width="9.75238095238095" customWidth="1" min="13" max="13"/>
    <col width="9.24761904761905" customWidth="1" min="14" max="14"/>
    <col width="10" customWidth="1" min="15" max="15"/>
    <col width="10.752380952381" customWidth="1" min="16" max="16"/>
    <col width="10.247619047619" customWidth="1" min="17" max="17"/>
    <col width="10.1333333333333" customWidth="1" min="18" max="18"/>
    <col width="9.504761904761899" customWidth="1" min="19" max="19"/>
    <col width="10" customWidth="1" min="20" max="20"/>
    <col width="9.24761904761905" customWidth="1" min="21" max="23"/>
    <col width="12.8761904761905" customWidth="1" min="24" max="24"/>
    <col width="9.24761904761905" customWidth="1" min="25" max="26"/>
    <col width="10.5047619047619" customWidth="1" min="27" max="27"/>
    <col width="9.24761904761905" customWidth="1" min="28" max="30"/>
    <col width="10.5047619047619" customWidth="1" min="31" max="31"/>
    <col width="9.38095238095238" customWidth="1" min="32" max="33"/>
    <col hidden="1" outlineLevel="1" width="9.38095238095238" customWidth="1" min="34" max="40"/>
    <col hidden="1" outlineLevel="1" width="12" customWidth="1" min="41" max="41"/>
    <col hidden="1" outlineLevel="1" width="9.38095238095238" customWidth="1" min="42" max="42"/>
    <col collapsed="1" width="6.75238095238095" customWidth="1" min="43" max="43"/>
    <col width="6.75238095238095" customWidth="1" min="44" max="44"/>
    <col outlineLevel="1" width="8.87619047619048" customWidth="1" min="45" max="45"/>
    <col outlineLevel="1" width="7.87619047619048" customWidth="1" min="46" max="47"/>
    <col outlineLevel="1" width="9.133333333333329" customWidth="1" min="48" max="48"/>
    <col outlineLevel="1" width="8.24761904761905" customWidth="1" min="49" max="49"/>
    <col outlineLevel="1" width="5.5047619047619" customWidth="1" min="50" max="50"/>
    <col width="9.38095238095238" customWidth="1" min="51" max="53"/>
    <col hidden="1" outlineLevel="1" width="9.38095238095238" customWidth="1" min="54" max="64"/>
    <col collapsed="1" width="9.38095238095238" customWidth="1" min="65" max="65"/>
    <col width="9.504761904761899" customWidth="1" min="66" max="66"/>
    <col width="9.38095238095238" customWidth="1" min="67" max="68"/>
  </cols>
  <sheetData>
    <row r="1" ht="3" customHeight="1">
      <c r="A1" s="440" t="inlineStr">
        <is>
          <t>f</t>
        </is>
      </c>
      <c r="B1" s="45" t="inlineStr">
        <is>
          <t>Type of req:
Reason:</t>
        </is>
      </c>
      <c r="C1" s="441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/>
      </c>
      <c r="D1" s="410" t="n"/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1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</row>
    <row r="2" ht="26.25" customHeight="1">
      <c r="A2" s="437" t="n"/>
      <c r="B2" s="52" t="inlineStr">
        <is>
          <t>Event Log</t>
        </is>
      </c>
      <c r="C2" s="52" t="n"/>
      <c r="D2" s="53" t="inlineStr">
        <is>
          <t>6TH COY VACC 1</t>
        </is>
      </c>
      <c r="E2" s="54" t="inlineStr">
        <is>
          <t>2ND COY VACC 1</t>
        </is>
      </c>
      <c r="F2" s="52" t="n"/>
      <c r="G2" s="55" t="n"/>
      <c r="H2" s="52" t="n"/>
      <c r="I2" s="52" t="n"/>
      <c r="J2" s="52" t="n"/>
      <c r="K2" s="52" t="n"/>
      <c r="L2" s="52" t="n"/>
      <c r="M2" s="52" t="n"/>
      <c r="N2" s="55" t="n"/>
      <c r="O2" s="52" t="n"/>
      <c r="P2" s="52" t="n"/>
      <c r="Q2" s="52" t="n"/>
      <c r="R2" s="52" t="n"/>
      <c r="S2" s="52" t="n"/>
      <c r="T2" s="56" t="n"/>
      <c r="U2" s="57" t="n"/>
      <c r="V2" s="58" t="n"/>
      <c r="W2" s="52" t="n"/>
      <c r="X2" s="52" t="n"/>
      <c r="Y2" s="52" t="n"/>
      <c r="Z2" s="52" t="n"/>
      <c r="AA2" s="52" t="n"/>
      <c r="AB2" s="55" t="n"/>
      <c r="AC2" s="52" t="n"/>
      <c r="AD2" s="52" t="n"/>
      <c r="AE2" s="52" t="n"/>
      <c r="AF2" s="52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60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59" t="n"/>
      <c r="BC2" s="59" t="n"/>
      <c r="BD2" s="59" t="n"/>
      <c r="BE2" s="59" t="n"/>
      <c r="BF2" s="59" t="n"/>
      <c r="BG2" s="59" t="n"/>
      <c r="BH2" s="59" t="n"/>
      <c r="BI2" s="59" t="n"/>
      <c r="BJ2" s="59" t="n"/>
      <c r="BK2" s="59" t="n"/>
      <c r="BL2" s="59" t="n"/>
      <c r="BM2" s="59" t="n"/>
      <c r="BN2" s="59" t="n"/>
      <c r="BO2" s="59" t="n"/>
      <c r="BP2" s="59" t="n"/>
    </row>
    <row r="3" ht="26.25" customHeight="1">
      <c r="A3" s="437" t="n"/>
      <c r="B3" s="52" t="inlineStr">
        <is>
          <t>Rostering</t>
        </is>
      </c>
      <c r="C3" s="442" t="n">
        <v>46235</v>
      </c>
      <c r="D3" s="443">
        <f>C3+1</f>
        <v/>
      </c>
      <c r="E3" s="443">
        <f>D3+1</f>
        <v/>
      </c>
      <c r="F3" s="443">
        <f>E3+1</f>
        <v/>
      </c>
      <c r="G3" s="443">
        <f>F3+1</f>
        <v/>
      </c>
      <c r="H3" s="443">
        <f>G3+1</f>
        <v/>
      </c>
      <c r="I3" s="443">
        <f>H3+1</f>
        <v/>
      </c>
      <c r="J3" s="443">
        <f>I3+1</f>
        <v/>
      </c>
      <c r="K3" s="443">
        <f>J3+1</f>
        <v/>
      </c>
      <c r="L3" s="443">
        <f>K3+1</f>
        <v/>
      </c>
      <c r="M3" s="443">
        <f>L3+1</f>
        <v/>
      </c>
      <c r="N3" s="443">
        <f>M3+1</f>
        <v/>
      </c>
      <c r="O3" s="443">
        <f>N3+1</f>
        <v/>
      </c>
      <c r="P3" s="443">
        <f>O3+1</f>
        <v/>
      </c>
      <c r="Q3" s="443">
        <f>P3+1</f>
        <v/>
      </c>
      <c r="R3" s="443">
        <f>Q3+1</f>
        <v/>
      </c>
      <c r="S3" s="443">
        <f>R3+1</f>
        <v/>
      </c>
      <c r="T3" s="444">
        <f>S3+1</f>
        <v/>
      </c>
      <c r="U3" s="443">
        <f>T3+1</f>
        <v/>
      </c>
      <c r="V3" s="445">
        <f>U3+1</f>
        <v/>
      </c>
      <c r="W3" s="443">
        <f>V3+1</f>
        <v/>
      </c>
      <c r="X3" s="443">
        <f>W3+1</f>
        <v/>
      </c>
      <c r="Y3" s="443">
        <f>X3+1</f>
        <v/>
      </c>
      <c r="Z3" s="443">
        <f>Y3+1</f>
        <v/>
      </c>
      <c r="AA3" s="443">
        <f>Z3+1</f>
        <v/>
      </c>
      <c r="AB3" s="443">
        <f>AA3+1</f>
        <v/>
      </c>
      <c r="AC3" s="443">
        <f>AB3+1</f>
        <v/>
      </c>
      <c r="AD3" s="443">
        <f>AC3+1</f>
        <v/>
      </c>
      <c r="AE3" s="443">
        <f>AD3+1</f>
        <v/>
      </c>
      <c r="AF3" s="443">
        <f>AE3+1</f>
        <v/>
      </c>
      <c r="AG3" s="443">
        <f>AF3+1</f>
        <v/>
      </c>
      <c r="AH3" s="59">
        <f>'Setting key Duty'!$C7</f>
        <v/>
      </c>
      <c r="AI3" s="59">
        <f>'Setting key Duty'!$C8</f>
        <v/>
      </c>
      <c r="AJ3" s="59">
        <f>'Setting key Duty'!$C9</f>
        <v/>
      </c>
      <c r="AK3" s="59">
        <f>'Setting key Duty'!$C10</f>
        <v/>
      </c>
      <c r="AL3" s="59">
        <f>'Setting key Duty'!$C11</f>
        <v/>
      </c>
      <c r="AM3" s="59">
        <f>'Setting key Duty'!$C12</f>
        <v/>
      </c>
      <c r="AN3" s="59">
        <f>'Setting key Duty'!$C13</f>
        <v/>
      </c>
      <c r="AO3" s="59">
        <f>'Setting key Duty'!$C16</f>
        <v/>
      </c>
      <c r="AP3" s="59">
        <f>'Setting key Duty'!C14</f>
        <v/>
      </c>
      <c r="AQ3" s="66" t="inlineStr">
        <is>
          <t>TO ADD</t>
        </is>
      </c>
      <c r="AR3" s="66" t="inlineStr">
        <is>
          <t>TO MINUS</t>
        </is>
      </c>
      <c r="AS3" s="59" t="inlineStr">
        <is>
          <t>Weekday Duty</t>
        </is>
      </c>
      <c r="AT3" s="59" t="inlineStr">
        <is>
          <t>Weekday Extra</t>
        </is>
      </c>
      <c r="AU3" s="59" t="inlineStr">
        <is>
          <t>Friday Duty</t>
        </is>
      </c>
      <c r="AV3" s="59" t="inlineStr">
        <is>
          <t>Weekend Duty</t>
        </is>
      </c>
      <c r="AW3" s="59" t="inlineStr">
        <is>
          <t>Weekend Extra</t>
        </is>
      </c>
      <c r="AX3" s="59" t="inlineStr">
        <is>
          <t>Duty Point</t>
        </is>
      </c>
      <c r="AY3" s="59" t="inlineStr">
        <is>
          <t>Total Duty</t>
        </is>
      </c>
      <c r="AZ3" s="59" t="inlineStr">
        <is>
          <t>Total Cover</t>
        </is>
      </c>
      <c r="BA3" s="66" t="inlineStr">
        <is>
          <t>Total Point</t>
        </is>
      </c>
      <c r="BB3" s="59" t="inlineStr">
        <is>
          <t>Total Cover
Point</t>
        </is>
      </c>
      <c r="BC3" s="59" t="inlineStr">
        <is>
          <t>BTP</t>
        </is>
      </c>
      <c r="BD3" s="59" t="inlineStr">
        <is>
          <t>$BTP
Point</t>
        </is>
      </c>
      <c r="BE3" s="59" t="inlineStr">
        <is>
          <t>Mid Cover</t>
        </is>
      </c>
      <c r="BF3" s="59" t="inlineStr">
        <is>
          <t>$M 
Point</t>
        </is>
      </c>
      <c r="BG3" s="59" t="inlineStr">
        <is>
          <t>Cover
After Hour</t>
        </is>
      </c>
      <c r="BH3" s="59" t="inlineStr">
        <is>
          <t>$PM
Point</t>
        </is>
      </c>
      <c r="BI3" s="59" t="inlineStr">
        <is>
          <t>Cover
Early</t>
        </is>
      </c>
      <c r="BJ3" s="59" t="inlineStr">
        <is>
          <t>$AM
Point</t>
        </is>
      </c>
      <c r="BK3" s="59">
        <f>'Setting key Duty'!C52</f>
        <v/>
      </c>
      <c r="BL3" s="59" t="inlineStr">
        <is>
          <t>$FC
Point</t>
        </is>
      </c>
      <c r="BM3" s="59">
        <f>'Setting key Duty'!$C15</f>
        <v/>
      </c>
      <c r="BN3" s="59">
        <f>'Setting key Duty'!C17</f>
        <v/>
      </c>
      <c r="BO3" s="59">
        <f>'Setting key Duty'!$C22</f>
        <v/>
      </c>
      <c r="BP3" s="59" t="n"/>
    </row>
    <row r="4" ht="18" customHeight="1">
      <c r="A4" s="67" t="n"/>
      <c r="B4" s="68" t="inlineStr">
        <is>
          <t>Updated on: 26/10/2022</t>
        </is>
      </c>
      <c r="C4" s="446">
        <f>TEXT(C3,"ddd")</f>
        <v/>
      </c>
      <c r="D4" s="447">
        <f>TEXT(D3,"ddd")</f>
        <v/>
      </c>
      <c r="E4" s="447">
        <f>TEXT(E3,"ddd")</f>
        <v/>
      </c>
      <c r="F4" s="447">
        <f>TEXT(F3,"ddd")</f>
        <v/>
      </c>
      <c r="G4" s="447">
        <f>TEXT(G3,"ddd")</f>
        <v/>
      </c>
      <c r="H4" s="447">
        <f>TEXT(H3,"ddd")</f>
        <v/>
      </c>
      <c r="I4" s="447">
        <f>TEXT(I3,"ddd")</f>
        <v/>
      </c>
      <c r="J4" s="447">
        <f>TEXT(J3,"ddd")</f>
        <v/>
      </c>
      <c r="K4" s="447">
        <f>TEXT(K3,"ddd")</f>
        <v/>
      </c>
      <c r="L4" s="447">
        <f>TEXT(L3,"ddd")</f>
        <v/>
      </c>
      <c r="M4" s="447">
        <f>TEXT(M3,"ddd")</f>
        <v/>
      </c>
      <c r="N4" s="447">
        <f>TEXT(N3,"ddd")</f>
        <v/>
      </c>
      <c r="O4" s="447">
        <f>TEXT(O3,"ddd")</f>
        <v/>
      </c>
      <c r="P4" s="447">
        <f>TEXT(P3,"ddd")</f>
        <v/>
      </c>
      <c r="Q4" s="447">
        <f>TEXT(Q3,"ddd")</f>
        <v/>
      </c>
      <c r="R4" s="447">
        <f>TEXT(R3,"ddd")</f>
        <v/>
      </c>
      <c r="S4" s="447">
        <f>TEXT(S3,"ddd")</f>
        <v/>
      </c>
      <c r="T4" s="446">
        <f>TEXT(T3,"ddd")</f>
        <v/>
      </c>
      <c r="U4" s="447">
        <f>TEXT(U3,"ddd")</f>
        <v/>
      </c>
      <c r="V4" s="448">
        <f>TEXT(V3,"ddd")</f>
        <v/>
      </c>
      <c r="W4" s="447">
        <f>TEXT(W3,"ddd")</f>
        <v/>
      </c>
      <c r="X4" s="447">
        <f>TEXT(X3,"ddd")</f>
        <v/>
      </c>
      <c r="Y4" s="447">
        <f>TEXT(Y3,"ddd")</f>
        <v/>
      </c>
      <c r="Z4" s="447">
        <f>TEXT(Z3,"ddd")</f>
        <v/>
      </c>
      <c r="AA4" s="447">
        <f>TEXT(AA3,"ddd")</f>
        <v/>
      </c>
      <c r="AB4" s="447">
        <f>TEXT(AB3,"ddd")</f>
        <v/>
      </c>
      <c r="AC4" s="447">
        <f>TEXT(AC3,"ddd")</f>
        <v/>
      </c>
      <c r="AD4" s="447">
        <f>TEXT(AD3,"ddd")</f>
        <v/>
      </c>
      <c r="AE4" s="447">
        <f>TEXT(AE3,"ddd")</f>
        <v/>
      </c>
      <c r="AF4" s="447">
        <f>TEXT(AF3,"ddd")</f>
        <v/>
      </c>
      <c r="AG4" s="447">
        <f>TEXT(AG3,"ddd")</f>
        <v/>
      </c>
      <c r="AH4" s="68">
        <f>'Setting key Duty'!$B7</f>
        <v/>
      </c>
      <c r="AI4" s="68">
        <f>'Setting key Duty'!$B8</f>
        <v/>
      </c>
      <c r="AJ4" s="68">
        <f>'Setting key Duty'!$B9</f>
        <v/>
      </c>
      <c r="AK4" s="68">
        <f>'Setting key Duty'!$B10</f>
        <v/>
      </c>
      <c r="AL4" s="68">
        <f>'Setting key Duty'!$B11</f>
        <v/>
      </c>
      <c r="AM4" s="68">
        <f>'Setting key Duty'!$B12</f>
        <v/>
      </c>
      <c r="AN4" s="68">
        <f>'Setting key Duty'!$B13</f>
        <v/>
      </c>
      <c r="AO4" s="68">
        <f>'Setting key Duty'!$B16</f>
        <v/>
      </c>
      <c r="AP4" s="68">
        <f>'Setting key Duty'!B14</f>
        <v/>
      </c>
      <c r="AQ4" s="439" t="n"/>
      <c r="AR4" s="439" t="n"/>
      <c r="AS4" s="68" t="n"/>
      <c r="AT4" s="68" t="n"/>
      <c r="AU4" s="68" t="n"/>
      <c r="AV4" s="68" t="n"/>
      <c r="AW4" s="68" t="n"/>
      <c r="AX4" s="68" t="n"/>
      <c r="AY4" s="68" t="n"/>
      <c r="AZ4" s="68" t="n"/>
      <c r="BA4" s="73" t="n"/>
      <c r="BB4" s="68" t="n"/>
      <c r="BC4" s="68" t="inlineStr">
        <is>
          <t>$BTP</t>
        </is>
      </c>
      <c r="BD4" s="68" t="n"/>
      <c r="BE4" s="68" t="inlineStr">
        <is>
          <t>$M</t>
        </is>
      </c>
      <c r="BF4" s="68" t="n"/>
      <c r="BG4" s="68" t="inlineStr">
        <is>
          <t>$PM</t>
        </is>
      </c>
      <c r="BH4" s="68" t="n"/>
      <c r="BI4" s="68" t="inlineStr">
        <is>
          <t>$AM</t>
        </is>
      </c>
      <c r="BJ4" s="68" t="n"/>
      <c r="BK4" s="68">
        <f>'Setting key Duty'!B52</f>
        <v/>
      </c>
      <c r="BL4" s="68" t="n"/>
      <c r="BM4" s="68">
        <f>'Setting key Duty'!$B15</f>
        <v/>
      </c>
      <c r="BN4" s="68">
        <f>'Setting key Duty'!B17</f>
        <v/>
      </c>
      <c r="BO4" s="68">
        <f>'Setting key Duty'!$B22</f>
        <v/>
      </c>
      <c r="BP4" s="68" t="n"/>
    </row>
    <row r="5" ht="87" customHeight="1">
      <c r="A5" s="67" t="n"/>
      <c r="B5" s="74" t="inlineStr">
        <is>
          <t xml:space="preserve">CFC GERALD TAN </t>
        </is>
      </c>
      <c r="C5" s="53" t="n"/>
      <c r="D5" s="60" t="n"/>
      <c r="E5" s="53" t="inlineStr">
        <is>
          <t>CS1</t>
        </is>
      </c>
      <c r="F5" s="60" t="n"/>
      <c r="G5" s="60" t="n"/>
      <c r="H5" s="53" t="inlineStr">
        <is>
          <t>CS/B</t>
        </is>
      </c>
      <c r="I5" s="60" t="n"/>
      <c r="J5" s="60" t="inlineStr">
        <is>
          <t>MA</t>
        </is>
      </c>
      <c r="K5" s="60" t="inlineStr">
        <is>
          <t>COMPONENT TRAINING</t>
        </is>
      </c>
      <c r="L5" s="53" t="inlineStr">
        <is>
          <t>CS2</t>
        </is>
      </c>
      <c r="M5" s="53" t="n"/>
      <c r="N5" s="60" t="n"/>
      <c r="O5" s="60" t="inlineStr">
        <is>
          <t>CS2</t>
        </is>
      </c>
      <c r="P5" s="60" t="inlineStr">
        <is>
          <t>MSP REHEARSAL</t>
        </is>
      </c>
      <c r="Q5" s="60" t="n"/>
      <c r="R5" s="53" t="n"/>
      <c r="S5" s="53" t="inlineStr">
        <is>
          <t>DM</t>
        </is>
      </c>
      <c r="T5" s="53" t="n"/>
      <c r="U5" s="57" t="n"/>
      <c r="V5" s="53" t="n"/>
      <c r="W5" s="53" t="n"/>
      <c r="X5" s="53" t="n"/>
      <c r="Y5" s="53" t="n"/>
      <c r="Z5" s="53" t="n"/>
      <c r="AA5" s="60" t="n"/>
      <c r="AB5" s="60" t="n"/>
      <c r="AC5" s="60" t="n"/>
      <c r="AD5" s="60" t="inlineStr">
        <is>
          <t>AM MA + PM AL</t>
        </is>
      </c>
      <c r="AE5" s="75" t="inlineStr">
        <is>
          <t>WISDOM</t>
        </is>
      </c>
      <c r="AF5" s="53" t="inlineStr">
        <is>
          <t>MC</t>
        </is>
      </c>
      <c r="AG5" s="53" t="inlineStr">
        <is>
          <t>MC</t>
        </is>
      </c>
      <c r="AH5" s="67">
        <f>COUNTIF($C5:$AF5,AH$4)</f>
        <v/>
      </c>
      <c r="AI5" s="67">
        <f>COUNTIF($C5:$AF5,AI$4)</f>
        <v/>
      </c>
      <c r="AJ5" s="67">
        <f>COUNTIF($C5:$AF5,AJ$4)</f>
        <v/>
      </c>
      <c r="AK5" s="67">
        <f>COUNTIF($C5:$AF5,AK$4)</f>
        <v/>
      </c>
      <c r="AL5" s="67">
        <f>COUNTIF($C5:$AF5,AL$4)</f>
        <v/>
      </c>
      <c r="AM5" s="67">
        <f>COUNTIF($C5:$AF5,AM$4)</f>
        <v/>
      </c>
      <c r="AN5" s="67">
        <f>COUNTIF($C5:$AF5,AN$4)</f>
        <v/>
      </c>
      <c r="AO5" s="67">
        <f>COUNTIF($C5:$AF5,AO$4)</f>
        <v/>
      </c>
      <c r="AP5" s="67">
        <f>COUNTIF($C5:$AF5,AP$4)</f>
        <v/>
      </c>
      <c r="AQ5" s="76" t="n"/>
      <c r="AR5" s="76" t="n">
        <v>1</v>
      </c>
      <c r="AS5" s="77">
        <f>SUMPRODUCT(--(WEEKDAY(C$3:AG$3,2)&lt;5),--ISNUMBER(MATCH(C5:AG5,{"DM","CS1","CS2","SB1","AE","CS/B"},0)))</f>
        <v/>
      </c>
      <c r="AT5" s="77" t="n"/>
      <c r="AU5" s="77">
        <f>SUMPRODUCT(--(WEEKDAY(C$3:AG$3,2)=5),--ISNUMBER(MATCH(C5:AG5,{"DM","CS1","CS2","SB1","AE","CS/B","WEEKEND OUTFIELD RESERVE"},0)))</f>
        <v/>
      </c>
      <c r="AV5" s="77">
        <f>SUMPRODUCT(--(WEEKDAY(C$3:AG$3,2)&gt;5),--ISNUMBER(MATCH(C5:AG5,{"DM","CS1","CS2","SB1","AE","CS/B","WEEKEND OUTFIELD RESERVE"},0)))</f>
        <v/>
      </c>
      <c r="AW5" s="77" t="n"/>
      <c r="AX5" s="77">
        <f>(AS5-AT5)+AU5*1.5+(AV5-AW5)*2+AM5*0.5+AO5*0.5+AQ5-AR5</f>
        <v/>
      </c>
      <c r="AY5" s="77">
        <f>AS5+AU5+AV5</f>
        <v/>
      </c>
      <c r="AZ5" s="77">
        <f>BC5+BE5+BG5+BI5+BK5</f>
        <v/>
      </c>
      <c r="BA5" s="76">
        <f>AX5+BB5</f>
        <v/>
      </c>
      <c r="BB5" s="77">
        <f>BD5+BF5+BH5+BJ5+BL5</f>
        <v/>
      </c>
      <c r="BC5" s="77">
        <f>COUNTIF(A5:AH5,"*$BTP*")</f>
        <v/>
      </c>
      <c r="BD5" s="77">
        <f>BC5*1.5</f>
        <v/>
      </c>
      <c r="BE5" s="77">
        <f>COUNTIF(A5:AH5,"*$M*")</f>
        <v/>
      </c>
      <c r="BF5" s="77">
        <f>BE5*1</f>
        <v/>
      </c>
      <c r="BG5" s="77">
        <f>COUNTIF(A5:AH5,"*$PM*")</f>
        <v/>
      </c>
      <c r="BH5" s="77">
        <f>BG5*0.5</f>
        <v/>
      </c>
      <c r="BI5" s="77">
        <f>COUNTIF(A5:AH5,"*$AM*")</f>
        <v/>
      </c>
      <c r="BJ5" s="77">
        <f>BI5*0.5</f>
        <v/>
      </c>
      <c r="BK5" s="77">
        <f>COUNTIF(A5:AH5,"*$FC*")</f>
        <v/>
      </c>
      <c r="BL5" s="77">
        <f>BK5*1</f>
        <v/>
      </c>
      <c r="BM5" s="77">
        <f>COUNTIF($D5:$Z5,BM$4)</f>
        <v/>
      </c>
      <c r="BN5" s="77">
        <f>COUNTIF($D5:$Z5,BN$4)</f>
        <v/>
      </c>
      <c r="BO5" s="77">
        <f>COUNTIF($D5:$Z5,BO$4)</f>
        <v/>
      </c>
      <c r="BP5" s="77" t="n"/>
    </row>
    <row r="6" ht="73.5" customHeight="1">
      <c r="A6" s="67" t="n"/>
      <c r="B6" s="77" t="inlineStr">
        <is>
          <t>CPL FANG JIANGRUI</t>
        </is>
      </c>
      <c r="C6" s="53" t="n"/>
      <c r="E6" s="53" t="n"/>
      <c r="F6" s="60" t="inlineStr">
        <is>
          <t>RESERVE</t>
        </is>
      </c>
      <c r="G6" s="60" t="n"/>
      <c r="H6" s="60" t="inlineStr">
        <is>
          <t>GP OFF</t>
        </is>
      </c>
      <c r="I6" s="53" t="n"/>
      <c r="J6" s="53" t="n"/>
      <c r="K6" s="60" t="inlineStr">
        <is>
          <t>CS1</t>
        </is>
      </c>
      <c r="L6" s="60" t="inlineStr">
        <is>
          <t>AM AL + PM MA</t>
        </is>
      </c>
      <c r="M6" s="53" t="n"/>
      <c r="N6" s="60" t="n"/>
      <c r="O6" s="60" t="inlineStr">
        <is>
          <t>MSP REHEARSAL</t>
        </is>
      </c>
      <c r="P6" s="60" t="inlineStr">
        <is>
          <t>MSP REHEARSAL</t>
        </is>
      </c>
      <c r="Q6" s="53" t="n"/>
      <c r="R6" s="53" t="n"/>
      <c r="S6" s="53" t="inlineStr">
        <is>
          <t>MSP</t>
        </is>
      </c>
      <c r="T6" s="53" t="n"/>
      <c r="U6" s="53" t="n"/>
      <c r="V6" s="53" t="inlineStr">
        <is>
          <t>AL</t>
        </is>
      </c>
      <c r="W6" s="53" t="n"/>
      <c r="X6" s="53" t="n"/>
      <c r="Y6" s="53" t="n"/>
      <c r="Z6" s="53" t="n"/>
      <c r="AA6" s="53" t="n"/>
      <c r="AB6" s="60" t="n"/>
      <c r="AC6" s="53" t="inlineStr">
        <is>
          <t>AL</t>
        </is>
      </c>
      <c r="AD6" s="53" t="n"/>
      <c r="AE6" s="78" t="inlineStr">
        <is>
          <t>AM MA + PM AL</t>
        </is>
      </c>
      <c r="AF6" s="53" t="n"/>
      <c r="AG6" s="53" t="n"/>
      <c r="AH6" s="67">
        <f>COUNTIF($C6:$AF6,AH$4)</f>
        <v/>
      </c>
      <c r="AI6" s="67">
        <f>COUNTIF($C6:$AF6,AI$4)</f>
        <v/>
      </c>
      <c r="AJ6" s="67">
        <f>COUNTIF($C6:$AF6,AJ$4)</f>
        <v/>
      </c>
      <c r="AK6" s="67">
        <f>COUNTIF($C6:$AF6,AK$4)</f>
        <v/>
      </c>
      <c r="AL6" s="67">
        <f>COUNTIF($C6:$AF6,AL$4)</f>
        <v/>
      </c>
      <c r="AM6" s="67">
        <f>COUNTIF($C6:$AF6,AM$4)</f>
        <v/>
      </c>
      <c r="AN6" s="67">
        <f>COUNTIF($C6:$AF6,AN$4)</f>
        <v/>
      </c>
      <c r="AO6" s="67">
        <f>COUNTIF($C6:$AF6,AO$4)</f>
        <v/>
      </c>
      <c r="AP6" s="67">
        <f>COUNTIF($C6:$AF6,AP$4)</f>
        <v/>
      </c>
      <c r="AQ6" s="76" t="n"/>
      <c r="AR6" s="76" t="n">
        <v>2.5</v>
      </c>
      <c r="AS6" s="77">
        <f>SUMPRODUCT(--(WEEKDAY(C$3:AG$3,2)&lt;5),--ISNUMBER(MATCH(C6:AG6,{"DM","CS1","CS2","SB1","AE","CS/B"},0)))</f>
        <v/>
      </c>
      <c r="AT6" s="77" t="n"/>
      <c r="AU6" s="77">
        <f>SUMPRODUCT(--(WEEKDAY(C$3:AG$3,2)=5),--ISNUMBER(MATCH(C6:AG6,{"DM","CS1","CS2","SB1","AE","CS/B","WEEKEND OUTFIELD RESERVE"},0)))</f>
        <v/>
      </c>
      <c r="AV6" s="77">
        <f>SUMPRODUCT(--(WEEKDAY(C$3:AG$3,2)&gt;5),--ISNUMBER(MATCH(C6:AG6,{"DM","CS1","CS2","SB1","AE","CS/B","WEEKEND OUTFIELD RESERVE"},0)))</f>
        <v/>
      </c>
      <c r="AW6" s="77" t="n"/>
      <c r="AX6" s="77">
        <f>(AS6-AT6)+AU6*1.5+(AV6-AW6)*2+AM6*0.5+AO6*0.5+AQ6-AR6</f>
        <v/>
      </c>
      <c r="AY6" s="77">
        <f>AS6+AU6+AV6</f>
        <v/>
      </c>
      <c r="AZ6" s="77">
        <f>BC6+BE6+BG6+BI6+BK6</f>
        <v/>
      </c>
      <c r="BA6" s="76">
        <f>AX6+BB6</f>
        <v/>
      </c>
      <c r="BB6" s="77">
        <f>BD6+BF6+BH6+BJ6+BL6</f>
        <v/>
      </c>
      <c r="BC6" s="77">
        <f>COUNTIF(A6:AH6,"*$BTP*")</f>
        <v/>
      </c>
      <c r="BD6" s="77">
        <f>BC6*1.5</f>
        <v/>
      </c>
      <c r="BE6" s="77">
        <f>COUNTIF(A6:AH6,"*$M*")</f>
        <v/>
      </c>
      <c r="BF6" s="77">
        <f>BE6*1</f>
        <v/>
      </c>
      <c r="BG6" s="77">
        <f>COUNTIF(A6:AH6,"*$PM*")</f>
        <v/>
      </c>
      <c r="BH6" s="77">
        <f>BG6*0.5</f>
        <v/>
      </c>
      <c r="BI6" s="77">
        <f>COUNTIF(A6:AH6,"*$AM*")</f>
        <v/>
      </c>
      <c r="BJ6" s="77">
        <f>BI6*0.5</f>
        <v/>
      </c>
      <c r="BK6" s="77">
        <f>COUNTIF(A6:AH6,"*$FC*")</f>
        <v/>
      </c>
      <c r="BL6" s="77">
        <f>BK6*1</f>
        <v/>
      </c>
      <c r="BM6" s="77">
        <f>COUNTIF($D6:$AA6,BM$4)</f>
        <v/>
      </c>
      <c r="BN6" s="77">
        <f>COUNTIF($D6:$AA6,BN$4)</f>
        <v/>
      </c>
      <c r="BO6" s="77">
        <f>COUNTIF($D6:$AA6,BO$4)</f>
        <v/>
      </c>
      <c r="BP6" s="77" t="n"/>
    </row>
    <row r="7" ht="19.5" customHeight="1">
      <c r="A7" s="67" t="n"/>
      <c r="B7" s="74" t="inlineStr">
        <is>
          <t>CPL WONG JI FENG WILLARD</t>
        </is>
      </c>
      <c r="C7" s="53" t="inlineStr">
        <is>
          <t>CS2</t>
        </is>
      </c>
      <c r="D7" s="53" t="n"/>
      <c r="E7" s="53" t="n"/>
      <c r="F7" s="60" t="inlineStr">
        <is>
          <t>CS1</t>
        </is>
      </c>
      <c r="G7" s="60" t="n"/>
      <c r="H7" s="60" t="n"/>
      <c r="I7" s="53" t="inlineStr">
        <is>
          <t>RESERVE</t>
        </is>
      </c>
      <c r="J7" s="60" t="inlineStr">
        <is>
          <t>DM</t>
        </is>
      </c>
      <c r="K7" s="60" t="n"/>
      <c r="L7" s="53" t="n"/>
      <c r="M7" s="53" t="inlineStr">
        <is>
          <t>CS2</t>
        </is>
      </c>
      <c r="N7" s="53" t="n"/>
      <c r="O7" s="53" t="inlineStr">
        <is>
          <t>RESERVE</t>
        </is>
      </c>
      <c r="P7" s="53" t="n"/>
      <c r="Q7" s="53" t="inlineStr">
        <is>
          <t>DM</t>
        </is>
      </c>
      <c r="R7" s="53" t="n"/>
      <c r="S7" s="53" t="n"/>
      <c r="T7" s="53" t="n"/>
      <c r="U7" s="53" t="n"/>
      <c r="V7" s="60" t="inlineStr">
        <is>
          <t>DM</t>
        </is>
      </c>
      <c r="W7" s="60" t="inlineStr">
        <is>
          <t>OL</t>
        </is>
      </c>
      <c r="X7" s="60" t="inlineStr">
        <is>
          <t>OL</t>
        </is>
      </c>
      <c r="Y7" s="60" t="inlineStr">
        <is>
          <t>OL</t>
        </is>
      </c>
      <c r="Z7" s="60" t="inlineStr">
        <is>
          <t>CS2</t>
        </is>
      </c>
      <c r="AA7" s="53" t="n"/>
      <c r="AB7" s="53" t="n"/>
      <c r="AC7" s="53" t="n"/>
      <c r="AD7" s="53" t="inlineStr">
        <is>
          <t>SB2</t>
        </is>
      </c>
      <c r="AE7" s="79" t="n"/>
      <c r="AF7" s="60" t="inlineStr">
        <is>
          <t>OUTFIELD RESERVE</t>
        </is>
      </c>
      <c r="AG7" s="60" t="n"/>
      <c r="AH7" s="67">
        <f>COUNTIF($C7:$AF7,AH$4)</f>
        <v/>
      </c>
      <c r="AI7" s="67">
        <f>COUNTIF($C7:$AF7,AI$4)</f>
        <v/>
      </c>
      <c r="AJ7" s="67">
        <f>COUNTIF($C7:$AF7,AJ$4)</f>
        <v/>
      </c>
      <c r="AK7" s="67">
        <f>COUNTIF($C7:$AF7,AK$4)</f>
        <v/>
      </c>
      <c r="AL7" s="67">
        <f>COUNTIF($C7:$AF7,AL$4)</f>
        <v/>
      </c>
      <c r="AM7" s="67">
        <f>COUNTIF($C7:$AF7,AM$4)</f>
        <v/>
      </c>
      <c r="AN7" s="67">
        <f>COUNTIF($C7:$AF7,AN$4)</f>
        <v/>
      </c>
      <c r="AO7" s="67">
        <f>COUNTIF($C7:$AF7,AO$4)</f>
        <v/>
      </c>
      <c r="AP7" s="67">
        <f>COUNTIF($C7:$AF7,AP$4)</f>
        <v/>
      </c>
      <c r="AQ7" s="76" t="n">
        <v>1</v>
      </c>
      <c r="AR7" s="76" t="n"/>
      <c r="AS7" s="77">
        <f>SUMPRODUCT(--(WEEKDAY(C$3:AG$3,2)&lt;5),--ISNUMBER(MATCH(C7:AG7,{"DM","CS1","CS2","SB1","AE","CS/B"},0)))</f>
        <v/>
      </c>
      <c r="AT7" s="77" t="n"/>
      <c r="AU7" s="77">
        <f>SUMPRODUCT(--(WEEKDAY(C$3:AG$3,2)=5),--ISNUMBER(MATCH(C7:AG7,{"DM","CS1","CS2","SB1","AE","CS/B","WEEKEND OUTFIELD RESERVE"},0)))</f>
        <v/>
      </c>
      <c r="AV7" s="77">
        <f>SUMPRODUCT(--(WEEKDAY(C$3:AG$3,2)&gt;5),--ISNUMBER(MATCH(C7:AG7,{"DM","CS1","CS2","SB1","AE","CS/B","WEEKEND OUTFIELD RESERVE"},0)))</f>
        <v/>
      </c>
      <c r="AW7" s="77" t="n"/>
      <c r="AX7" s="77">
        <f>(AS7-AT7)+AU7*1.5+(AV7-AW7)*2+AM7*0.5+AO7*0.5+AQ7-AR7</f>
        <v/>
      </c>
      <c r="AY7" s="77">
        <f>AS7+AU7+AV7</f>
        <v/>
      </c>
      <c r="AZ7" s="77">
        <f>BC7+BE7+BG7+BI7+BK7</f>
        <v/>
      </c>
      <c r="BA7" s="76">
        <f>AX7+BB7</f>
        <v/>
      </c>
      <c r="BB7" s="77">
        <f>BD7+BF7+BH7+BJ7+BL7</f>
        <v/>
      </c>
      <c r="BC7" s="77">
        <f>COUNTIF(A7:AH7,"*$BTP*")</f>
        <v/>
      </c>
      <c r="BD7" s="77">
        <f>BC7*1.5</f>
        <v/>
      </c>
      <c r="BE7" s="77">
        <f>COUNTIF(A7:AH7,"*$M*")</f>
        <v/>
      </c>
      <c r="BF7" s="77">
        <f>BE7*1</f>
        <v/>
      </c>
      <c r="BG7" s="77">
        <f>COUNTIF(A7:AH7,"*$PM*")</f>
        <v/>
      </c>
      <c r="BH7" s="77">
        <f>BG7*0.5</f>
        <v/>
      </c>
      <c r="BI7" s="77">
        <f>COUNTIF(A7:AH7,"*$AM*")</f>
        <v/>
      </c>
      <c r="BJ7" s="77">
        <f>BI7*0.5</f>
        <v/>
      </c>
      <c r="BK7" s="77">
        <f>COUNTIF(A7:AH7,"*$FC*")</f>
        <v/>
      </c>
      <c r="BL7" s="77">
        <f>BK7*1</f>
        <v/>
      </c>
      <c r="BM7" s="77">
        <f>COUNTIF($D7:$X7,BM$4)</f>
        <v/>
      </c>
      <c r="BN7" s="77">
        <f>COUNTIF($D7:$X7,BN$4)</f>
        <v/>
      </c>
      <c r="BO7" s="77">
        <f>COUNTIF($D7:$X7,BO$4)</f>
        <v/>
      </c>
      <c r="BP7" s="77" t="n"/>
    </row>
    <row r="8" ht="56.25" customHeight="1">
      <c r="A8" s="67" t="n"/>
      <c r="B8" s="77" t="inlineStr">
        <is>
          <t xml:space="preserve">LCP KOO YI XIAN RAPHAEL </t>
        </is>
      </c>
      <c r="C8" s="67" t="n"/>
      <c r="D8" s="60" t="n"/>
      <c r="E8" s="53" t="n"/>
      <c r="F8" s="60" t="n"/>
      <c r="G8" s="60" t="n"/>
      <c r="H8" s="53" t="n"/>
      <c r="I8" s="60" t="n"/>
      <c r="J8" s="60" t="n"/>
      <c r="K8" s="53" t="n"/>
      <c r="L8" s="53" t="n"/>
      <c r="M8" s="53" t="n"/>
      <c r="N8" s="60" t="n"/>
      <c r="O8" s="53" t="n"/>
      <c r="P8" s="53" t="n"/>
      <c r="Q8" s="53" t="n"/>
      <c r="R8" s="53" t="n"/>
      <c r="S8" s="60" t="inlineStr">
        <is>
          <t>COVER RESERVE</t>
        </is>
      </c>
      <c r="T8" s="53" t="n"/>
      <c r="U8" s="60" t="inlineStr">
        <is>
          <t>RESERVE</t>
        </is>
      </c>
      <c r="V8" s="60" t="inlineStr">
        <is>
          <t>SB1</t>
        </is>
      </c>
      <c r="W8" s="53" t="n"/>
      <c r="X8" s="53" t="inlineStr">
        <is>
          <t>AMPT</t>
        </is>
      </c>
      <c r="Y8" s="53" t="n"/>
      <c r="Z8" s="53" t="n"/>
      <c r="AA8" s="60" t="n"/>
      <c r="AB8" s="60" t="inlineStr">
        <is>
          <t>DM</t>
        </is>
      </c>
      <c r="AC8" s="60" t="n"/>
      <c r="AE8" s="80" t="inlineStr">
        <is>
          <t>RESERVE</t>
        </is>
      </c>
      <c r="AF8" s="60" t="inlineStr">
        <is>
          <t>CS/B</t>
        </is>
      </c>
      <c r="AG8" s="60" t="n"/>
      <c r="AH8" s="67">
        <f>COUNTIF($C8:$AF8,AH$4)</f>
        <v/>
      </c>
      <c r="AI8" s="67">
        <f>COUNTIF($C8:$AF8,AI$4)</f>
        <v/>
      </c>
      <c r="AJ8" s="67">
        <f>COUNTIF($C8:$AF8,AJ$4)</f>
        <v/>
      </c>
      <c r="AK8" s="67">
        <f>COUNTIF($C8:$AF8,AK$4)</f>
        <v/>
      </c>
      <c r="AL8" s="67">
        <f>COUNTIF($C8:$AF8,AL$4)</f>
        <v/>
      </c>
      <c r="AM8" s="67">
        <f>COUNTIF($C8:$AF8,AM$4)</f>
        <v/>
      </c>
      <c r="AN8" s="67">
        <f>COUNTIF($C8:$AF8,AN$4)</f>
        <v/>
      </c>
      <c r="AO8" s="67">
        <f>COUNTIF($C8:$AF8,AO$4)</f>
        <v/>
      </c>
      <c r="AP8" s="67">
        <f>COUNTIF($C8:$AF8,AP$4)</f>
        <v/>
      </c>
      <c r="AQ8" s="76" t="n">
        <v>2</v>
      </c>
      <c r="AR8" s="76" t="n"/>
      <c r="AS8" s="77">
        <f>SUMPRODUCT(--(WEEKDAY(C$3:AG$3,2)&lt;5),--ISNUMBER(MATCH(C8:AG8,{"DM","CS1","CS2","SB1","AE","CS/B"},0)))</f>
        <v/>
      </c>
      <c r="AT8" s="77" t="n"/>
      <c r="AU8" s="77">
        <f>SUMPRODUCT(--(WEEKDAY(C$3:AG$3,2)=5),--ISNUMBER(MATCH(C8:AG8,{"DM","CS1","CS2","SB1","AE","CS/B","WEEKEND OUTFIELD RESERVE"},0)))</f>
        <v/>
      </c>
      <c r="AV8" s="77">
        <f>SUMPRODUCT(--(WEEKDAY(C$3:AG$3,2)&gt;5),--ISNUMBER(MATCH(C8:AG8,{"DM","CS1","CS2","SB1","AE","CS/B","WEEKEND OUTFIELD RESERVE"},0)))</f>
        <v/>
      </c>
      <c r="AW8" s="77" t="n"/>
      <c r="AX8" s="77">
        <f>(AS8-AT8)+AU8*1.5+(AV8-AW8)*2+AM8*0.5+AO8*0.5+AQ8-AR8</f>
        <v/>
      </c>
      <c r="AY8" s="77">
        <f>AS8+AU8+AV8</f>
        <v/>
      </c>
      <c r="AZ8" s="77">
        <f>BC8+BE8+BG8+BI8+BK8</f>
        <v/>
      </c>
      <c r="BA8" s="76">
        <f>AX8+BB8</f>
        <v/>
      </c>
      <c r="BB8" s="77">
        <f>BD8+BF8+BH8+BJ8+BL8</f>
        <v/>
      </c>
      <c r="BC8" s="77">
        <f>COUNTIF(A8:AH8,"*$BTP*")</f>
        <v/>
      </c>
      <c r="BD8" s="77">
        <f>BC8*1.5</f>
        <v/>
      </c>
      <c r="BE8" s="77">
        <f>COUNTIF(A8:AH8,"*$M*")</f>
        <v/>
      </c>
      <c r="BF8" s="77">
        <f>BE8*1</f>
        <v/>
      </c>
      <c r="BG8" s="77">
        <f>COUNTIF(A8:AH8,"*$PM*")</f>
        <v/>
      </c>
      <c r="BH8" s="77">
        <f>BG8*0.5</f>
        <v/>
      </c>
      <c r="BI8" s="77">
        <f>COUNTIF(A8:AH8,"*$AM*")</f>
        <v/>
      </c>
      <c r="BJ8" s="77">
        <f>BI8*0.5</f>
        <v/>
      </c>
      <c r="BK8" s="77">
        <f>COUNTIF(A8:AH8,"*$FC*")</f>
        <v/>
      </c>
      <c r="BL8" s="77">
        <f>BK8*1</f>
        <v/>
      </c>
      <c r="BM8" s="77">
        <f>COUNTIF($D8:$AA8,BM$4)</f>
        <v/>
      </c>
      <c r="BN8" s="77">
        <f>COUNTIF($D8:$AA8,BN$4)</f>
        <v/>
      </c>
      <c r="BO8" s="77">
        <f>COUNTIF($D8:$AA8,BO$4)</f>
        <v/>
      </c>
      <c r="BP8" s="77" t="n"/>
    </row>
    <row r="9" ht="19.5" customHeight="1">
      <c r="A9" s="67" t="n"/>
      <c r="B9" s="77" t="inlineStr">
        <is>
          <t>3SG SAMUEL TAN ENG WEE</t>
        </is>
      </c>
      <c r="C9" s="60" t="n"/>
      <c r="D9" s="60" t="n"/>
      <c r="E9" s="60" t="n"/>
      <c r="F9" s="60" t="n"/>
      <c r="G9" s="60" t="n"/>
      <c r="H9" s="60" t="inlineStr">
        <is>
          <t>RESERVE</t>
        </is>
      </c>
      <c r="I9" s="53" t="n"/>
      <c r="J9" s="53" t="n"/>
      <c r="K9" s="53" t="n"/>
      <c r="L9" s="53" t="n"/>
      <c r="M9" s="60" t="n"/>
      <c r="N9" s="60" t="n"/>
      <c r="O9" s="53" t="n"/>
      <c r="P9" s="53" t="n"/>
      <c r="Q9" s="60" t="n"/>
      <c r="R9" s="60" t="n"/>
      <c r="S9" s="53" t="n"/>
      <c r="T9" s="60" t="n"/>
      <c r="U9" s="53" t="n"/>
      <c r="V9" s="60" t="inlineStr">
        <is>
          <t>COVER RESERVE</t>
        </is>
      </c>
      <c r="W9" s="53" t="inlineStr">
        <is>
          <t>SB1</t>
        </is>
      </c>
      <c r="X9" s="53" t="n"/>
      <c r="Y9" s="60" t="n"/>
      <c r="Z9" s="60" t="inlineStr">
        <is>
          <t>RESERVE</t>
        </is>
      </c>
      <c r="AA9" s="60" t="n"/>
      <c r="AB9" s="53" t="n"/>
      <c r="AC9" s="53" t="inlineStr">
        <is>
          <t>SB1</t>
        </is>
      </c>
      <c r="AD9" s="53" t="n"/>
      <c r="AE9" s="81" t="n"/>
      <c r="AF9" s="53" t="n"/>
      <c r="AG9" s="60" t="n"/>
      <c r="AH9" s="67">
        <f>COUNTIF($C9:$AF9,AH$4)</f>
        <v/>
      </c>
      <c r="AI9" s="67">
        <f>COUNTIF($C9:$AF9,AI$4)</f>
        <v/>
      </c>
      <c r="AJ9" s="67">
        <f>COUNTIF($C9:$AF9,AJ$4)</f>
        <v/>
      </c>
      <c r="AK9" s="67">
        <f>COUNTIF($C9:$AF9,AK$4)</f>
        <v/>
      </c>
      <c r="AL9" s="67">
        <f>COUNTIF($C9:$AF9,AL$4)</f>
        <v/>
      </c>
      <c r="AM9" s="67">
        <f>COUNTIF($C9:$AF9,AM$4)</f>
        <v/>
      </c>
      <c r="AN9" s="67">
        <f>COUNTIF($C9:$AF9,AN$4)</f>
        <v/>
      </c>
      <c r="AO9" s="67">
        <f>COUNTIF($C9:$AF9,AO$4)</f>
        <v/>
      </c>
      <c r="AP9" s="67">
        <f>COUNTIF($C9:$AF9,AP$4)</f>
        <v/>
      </c>
      <c r="AQ9" s="76" t="n">
        <v>2.5</v>
      </c>
      <c r="AR9" s="76" t="n"/>
      <c r="AS9" s="77">
        <f>SUMPRODUCT(--(WEEKDAY(C$3:AG$3,2)&lt;5),--ISNUMBER(MATCH(C9:AG9,{"DM","CS1","CS2","SB1","AE","CS/B"},0)))</f>
        <v/>
      </c>
      <c r="AT9" s="77" t="n">
        <v>0</v>
      </c>
      <c r="AU9" s="77">
        <f>SUMPRODUCT(--(WEEKDAY(C$3:AG$3,2)=5),--ISNUMBER(MATCH(C9:AG9,{"DM","CS1","CS2","SB1","AE","CS/B","WEEKEND OUTFIELD RESERVE"},0)))</f>
        <v/>
      </c>
      <c r="AV9" s="77">
        <f>SUMPRODUCT(--(WEEKDAY(C$3:AG$3,2)&gt;5),--ISNUMBER(MATCH(C9:AG9,{"DM","CS1","CS2","SB1","AE","CS/B","WEEKEND OUTFIELD RESERVE"},0)))</f>
        <v/>
      </c>
      <c r="AW9" s="77" t="n"/>
      <c r="AX9" s="77">
        <f>(AS9-AT9)+AU9*1.5+(AV9-AW9)*2+AM9*0.5+AO9*0.5+AQ9-AR9</f>
        <v/>
      </c>
      <c r="AY9" s="77">
        <f>AS9+AU9+AV9</f>
        <v/>
      </c>
      <c r="AZ9" s="77">
        <f>BC9+BE9+BG9+BI9+BK9</f>
        <v/>
      </c>
      <c r="BA9" s="76">
        <f>AX9+BB9</f>
        <v/>
      </c>
      <c r="BB9" s="77">
        <f>BD9+BF9+BH9+BJ9+BL9</f>
        <v/>
      </c>
      <c r="BC9" s="77">
        <f>COUNTIF(A9:AH9,"*$BTP*")</f>
        <v/>
      </c>
      <c r="BD9" s="77">
        <f>BC9*1.5</f>
        <v/>
      </c>
      <c r="BE9" s="77">
        <f>COUNTIF(A9:AH9,"*$M*")</f>
        <v/>
      </c>
      <c r="BF9" s="77">
        <f>BE9*1</f>
        <v/>
      </c>
      <c r="BG9" s="77">
        <f>COUNTIF(A9:AH9,"*$PM*")</f>
        <v/>
      </c>
      <c r="BH9" s="77">
        <f>BG9*0.5</f>
        <v/>
      </c>
      <c r="BI9" s="77">
        <f>COUNTIF(A9:AH9,"*$AM*")</f>
        <v/>
      </c>
      <c r="BJ9" s="77">
        <f>BI9*0.5</f>
        <v/>
      </c>
      <c r="BK9" s="77">
        <f>COUNTIF(A9:AH9,"*$FC*")</f>
        <v/>
      </c>
      <c r="BL9" s="77">
        <f>BK9*1</f>
        <v/>
      </c>
      <c r="BM9" s="77">
        <f>COUNTIF($D9:$AA9,BM$4)</f>
        <v/>
      </c>
      <c r="BN9" s="77">
        <f>COUNTIF($D9:$AA9,BN$4)</f>
        <v/>
      </c>
      <c r="BO9" s="77">
        <f>COUNTIF($D9:$AA9,BO$4)</f>
        <v/>
      </c>
      <c r="BP9" s="77" t="n"/>
    </row>
    <row r="10" ht="51" customHeight="1">
      <c r="A10" s="67" t="n"/>
      <c r="B10" s="74" t="inlineStr">
        <is>
          <t>LCP MATTHEW HWANG YEW SENG</t>
        </is>
      </c>
      <c r="C10" s="60" t="n"/>
      <c r="D10" s="53" t="inlineStr">
        <is>
          <t>RESERVE</t>
        </is>
      </c>
      <c r="E10" s="60" t="n"/>
      <c r="F10" s="60" t="n"/>
      <c r="G10" s="60" t="n"/>
      <c r="H10" s="60" t="n"/>
      <c r="I10" s="53" t="n"/>
      <c r="J10" s="60" t="n"/>
      <c r="K10" s="60" t="inlineStr">
        <is>
          <t>RESERVE</t>
        </is>
      </c>
      <c r="L10" s="60" t="n"/>
      <c r="M10" s="53" t="n"/>
      <c r="N10" s="1" t="inlineStr">
        <is>
          <t>RESERVE</t>
        </is>
      </c>
      <c r="O10" s="53" t="n"/>
      <c r="P10" s="60" t="inlineStr">
        <is>
          <t>CS2</t>
        </is>
      </c>
      <c r="Q10" s="60" t="n"/>
      <c r="R10" s="60" t="inlineStr">
        <is>
          <t>AL</t>
        </is>
      </c>
      <c r="S10" s="53" t="n"/>
      <c r="T10" s="60" t="n"/>
      <c r="U10" s="53" t="n"/>
      <c r="V10" s="53" t="inlineStr">
        <is>
          <t>RESERVE</t>
        </is>
      </c>
      <c r="W10" s="53" t="inlineStr">
        <is>
          <t>CS2</t>
        </is>
      </c>
      <c r="X10" s="53" t="n"/>
      <c r="Y10" s="60" t="n"/>
      <c r="Z10" s="53" t="n"/>
      <c r="AA10" s="60" t="n"/>
      <c r="AB10" s="60" t="inlineStr">
        <is>
          <t>CS1</t>
        </is>
      </c>
      <c r="AC10" s="53" t="n"/>
      <c r="AD10" s="53" t="n"/>
      <c r="AE10" s="82" t="n"/>
      <c r="AF10" s="53" t="inlineStr">
        <is>
          <t>CS2</t>
        </is>
      </c>
      <c r="AG10" s="53" t="n"/>
      <c r="AH10" s="67">
        <f>COUNTIF($C10:$AF10,AH$4)</f>
        <v/>
      </c>
      <c r="AI10" s="67">
        <f>COUNTIF($C10:$AF10,AI$4)</f>
        <v/>
      </c>
      <c r="AJ10" s="67">
        <f>COUNTIF($C10:$AF10,AJ$4)</f>
        <v/>
      </c>
      <c r="AK10" s="67">
        <f>COUNTIF($C10:$AF10,AK$4)</f>
        <v/>
      </c>
      <c r="AL10" s="67">
        <f>COUNTIF($C10:$AF10,AL$4)</f>
        <v/>
      </c>
      <c r="AM10" s="67">
        <f>COUNTIF($C10:$AF10,AM$4)</f>
        <v/>
      </c>
      <c r="AN10" s="67">
        <f>COUNTIF($C10:$AF10,AN$4)</f>
        <v/>
      </c>
      <c r="AO10" s="67">
        <f>COUNTIF($C10:$AF10,AO$4)</f>
        <v/>
      </c>
      <c r="AP10" s="67">
        <f>COUNTIF($C10:$AF10,AP$4)</f>
        <v/>
      </c>
      <c r="AQ10" s="76" t="n">
        <v>2</v>
      </c>
      <c r="AR10" s="76" t="n"/>
      <c r="AS10" s="77">
        <f>SUMPRODUCT(--(WEEKDAY(C$3:AG$3,2)&lt;5),--ISNUMBER(MATCH(C10:AG10,{"DM","CS1","CS2","SB1","AE","CS/B"},0)))</f>
        <v/>
      </c>
      <c r="AT10" s="77" t="n"/>
      <c r="AU10" s="77">
        <f>SUMPRODUCT(--(WEEKDAY(C$3:AG$3,2)=5),--ISNUMBER(MATCH(C10:AG10,{"DM","CS1","CS2","SB1","AE","CS/B","WEEKEND OUTFIELD RESERVE"},0)))</f>
        <v/>
      </c>
      <c r="AV10" s="77">
        <f>SUMPRODUCT(--(WEEKDAY(C$3:AG$3,2)&gt;5),--ISNUMBER(MATCH(C10:AG10,{"DM","CS1","CS2","SB1","AE","CS/B","WEEKEND OUTFIELD RESERVE"},0)))</f>
        <v/>
      </c>
      <c r="AW10" s="77" t="n"/>
      <c r="AX10" s="77">
        <f>(AS10-AT10)+AU10*1.5+(AV10-AW10)*2+AM10*0.5+AO10*0.5+AQ10-AR10</f>
        <v/>
      </c>
      <c r="AY10" s="77">
        <f>AS10+AU10+AV10</f>
        <v/>
      </c>
      <c r="AZ10" s="77">
        <f>BC10+BE10+BG10+BI10+BK10</f>
        <v/>
      </c>
      <c r="BA10" s="76">
        <f>AX10+BB10</f>
        <v/>
      </c>
      <c r="BB10" s="77">
        <f>BD10+BF10+BH10+BJ10+BL10</f>
        <v/>
      </c>
      <c r="BC10" s="77">
        <f>COUNTIF(A10:AH10,"*$BTP*")</f>
        <v/>
      </c>
      <c r="BD10" s="77">
        <f>BC10*1.5</f>
        <v/>
      </c>
      <c r="BE10" s="77">
        <f>COUNTIF(A10:AH10,"*$M*")</f>
        <v/>
      </c>
      <c r="BF10" s="77">
        <f>BE10*1</f>
        <v/>
      </c>
      <c r="BG10" s="77">
        <f>COUNTIF(A10:AH10,"*$PM*")</f>
        <v/>
      </c>
      <c r="BH10" s="77">
        <f>BG10*0.5</f>
        <v/>
      </c>
      <c r="BI10" s="77">
        <f>COUNTIF(A10:AH10,"*$AM*")</f>
        <v/>
      </c>
      <c r="BJ10" s="77">
        <f>BI10*0.5</f>
        <v/>
      </c>
      <c r="BK10" s="77">
        <f>COUNTIF(A10:AH10,"*$FC*")</f>
        <v/>
      </c>
      <c r="BL10" s="77">
        <f>BK10*1</f>
        <v/>
      </c>
      <c r="BM10" s="77">
        <f>COUNTIF($D10:$AA10,BM$4)</f>
        <v/>
      </c>
      <c r="BN10" s="77">
        <f>COUNTIF($D10:$AA10,BN$4)</f>
        <v/>
      </c>
      <c r="BO10" s="77">
        <f>COUNTIF($D10:$AA10,BO$4)</f>
        <v/>
      </c>
      <c r="BP10" s="77" t="n"/>
    </row>
    <row r="11" ht="45" customHeight="1">
      <c r="A11" s="67" t="n"/>
      <c r="B11" s="74" t="inlineStr">
        <is>
          <t xml:space="preserve">LCP IGNATIUS QUEK </t>
        </is>
      </c>
      <c r="C11" s="60" t="inlineStr">
        <is>
          <t>MC</t>
        </is>
      </c>
      <c r="D11" s="60" t="inlineStr">
        <is>
          <t>MC</t>
        </is>
      </c>
      <c r="E11" s="60" t="inlineStr">
        <is>
          <t>MC</t>
        </is>
      </c>
      <c r="F11" s="60" t="inlineStr">
        <is>
          <t>MC</t>
        </is>
      </c>
      <c r="G11" s="60" t="inlineStr">
        <is>
          <t>MC</t>
        </is>
      </c>
      <c r="H11" s="60" t="inlineStr">
        <is>
          <t>MC</t>
        </is>
      </c>
      <c r="I11" s="60" t="inlineStr">
        <is>
          <t>MC</t>
        </is>
      </c>
      <c r="J11" s="60" t="inlineStr">
        <is>
          <t>MC</t>
        </is>
      </c>
      <c r="K11" s="60" t="inlineStr">
        <is>
          <t>MC</t>
        </is>
      </c>
      <c r="L11" s="60" t="inlineStr">
        <is>
          <t>MC</t>
        </is>
      </c>
      <c r="M11" s="60" t="inlineStr">
        <is>
          <t>MC</t>
        </is>
      </c>
      <c r="N11" s="60" t="inlineStr">
        <is>
          <t>CS2</t>
        </is>
      </c>
      <c r="O11" s="60" t="inlineStr">
        <is>
          <t>MC</t>
        </is>
      </c>
      <c r="P11" s="60" t="inlineStr">
        <is>
          <t>MC</t>
        </is>
      </c>
      <c r="Q11" s="60" t="inlineStr">
        <is>
          <t>MC</t>
        </is>
      </c>
      <c r="R11" s="60" t="inlineStr">
        <is>
          <t>CS2</t>
        </is>
      </c>
      <c r="S11" s="60" t="inlineStr">
        <is>
          <t>MC</t>
        </is>
      </c>
      <c r="T11" s="60" t="inlineStr">
        <is>
          <t>MC</t>
        </is>
      </c>
      <c r="U11" s="60" t="inlineStr">
        <is>
          <t>MC</t>
        </is>
      </c>
      <c r="V11" s="60" t="inlineStr">
        <is>
          <t>MC</t>
        </is>
      </c>
      <c r="W11" s="60" t="inlineStr">
        <is>
          <t>MC</t>
        </is>
      </c>
      <c r="X11" s="60" t="inlineStr">
        <is>
          <t>MC</t>
        </is>
      </c>
      <c r="Y11" s="60" t="inlineStr">
        <is>
          <t>DM</t>
        </is>
      </c>
      <c r="Z11" s="60" t="inlineStr">
        <is>
          <t>MC</t>
        </is>
      </c>
      <c r="AA11" s="53" t="n"/>
      <c r="AB11" s="60" t="n"/>
      <c r="AC11" s="53" t="n"/>
      <c r="AD11" s="53" t="n"/>
      <c r="AE11" s="83" t="inlineStr">
        <is>
          <t>CS1</t>
        </is>
      </c>
      <c r="AF11" s="53" t="n"/>
      <c r="AG11" s="53" t="n"/>
      <c r="AH11" s="67">
        <f>COUNTIF($C11:$Z11,AH$4)</f>
        <v/>
      </c>
      <c r="AI11" s="67">
        <f>COUNTIF($C11:$Z11,AI$4)</f>
        <v/>
      </c>
      <c r="AJ11" s="67">
        <f>COUNTIF($C11:$Z11,AJ$4)</f>
        <v/>
      </c>
      <c r="AK11" s="67">
        <f>COUNTIF($C11:$Z11,AK$4)</f>
        <v/>
      </c>
      <c r="AL11" s="67">
        <f>COUNTIF($C11:$Z11,AL$4)</f>
        <v/>
      </c>
      <c r="AM11" s="67">
        <f>COUNTIF($C11:$Z11,AM$4)</f>
        <v/>
      </c>
      <c r="AN11" s="67">
        <f>COUNTIF($C11:$Z11,AN$4)</f>
        <v/>
      </c>
      <c r="AO11" s="67">
        <f>COUNTIF($C11:$Z11,AO$4)</f>
        <v/>
      </c>
      <c r="AP11" s="67">
        <f>COUNTIF($C11:$Z11,AP$4)</f>
        <v/>
      </c>
      <c r="AQ11" s="76" t="n"/>
      <c r="AR11" s="76" t="n">
        <v>3</v>
      </c>
      <c r="AS11" s="77">
        <f>SUMPRODUCT(--(WEEKDAY(C$3:AG$3,2)&lt;5),--ISNUMBER(MATCH(C11:AG11,{"DM","CS1","CS2","SB1","AE","CS/B"},0)))</f>
        <v/>
      </c>
      <c r="AT11" s="77" t="n"/>
      <c r="AU11" s="77">
        <f>SUMPRODUCT(--(WEEKDAY(C$3:AG$3,2)=5),--ISNUMBER(MATCH(C11:AG11,{"DM","CS1","CS2","SB1","AE","CS/B","WEEKEND OUTFIELD RESERVE"},0)))</f>
        <v/>
      </c>
      <c r="AV11" s="77">
        <f>SUMPRODUCT(--(WEEKDAY(C$3:AG$3,2)&gt;5),--ISNUMBER(MATCH(C11:AG11,{"DM","CS1","CS2","SB1","AE","CS/B","WEEKEND OUTFIELD RESERVE"},0)))</f>
        <v/>
      </c>
      <c r="AW11" s="77" t="n"/>
      <c r="AX11" s="77">
        <f>(AS11-AT11)+AU11*1.5+(AV11-AW11)*2+AM11*0.5+AO11*0.5+AQ11-AR11</f>
        <v/>
      </c>
      <c r="AY11" s="77">
        <f>AS11+AU11+AV11</f>
        <v/>
      </c>
      <c r="AZ11" s="77">
        <f>BC11+BE11+BG11+BI11+BK11</f>
        <v/>
      </c>
      <c r="BA11" s="76">
        <f>AX11+BB11</f>
        <v/>
      </c>
      <c r="BB11" s="77">
        <f>BD11+BF11+BH11+BJ11+BL11</f>
        <v/>
      </c>
      <c r="BC11" s="77">
        <f>COUNTIF(A11:AH11,"*$BTP*")</f>
        <v/>
      </c>
      <c r="BD11" s="77">
        <f>BC11*1.5</f>
        <v/>
      </c>
      <c r="BE11" s="77">
        <f>COUNTIF(A11:AH11,"*$M*")</f>
        <v/>
      </c>
      <c r="BF11" s="77">
        <f>BE11*1</f>
        <v/>
      </c>
      <c r="BG11" s="77">
        <f>COUNTIF(A11:AH11,"*$PM*")</f>
        <v/>
      </c>
      <c r="BH11" s="77">
        <f>BG11*0.5</f>
        <v/>
      </c>
      <c r="BI11" s="77">
        <f>COUNTIF(A11:AH11,"*$AM*")</f>
        <v/>
      </c>
      <c r="BJ11" s="77">
        <f>BI11*0.5</f>
        <v/>
      </c>
      <c r="BK11" s="77">
        <f>COUNTIF(A11:AH11,"*$FC*")</f>
        <v/>
      </c>
      <c r="BL11" s="77">
        <f>BK11*1</f>
        <v/>
      </c>
      <c r="BM11" s="77">
        <f>COUNTIF($D11:$Z11,BM$4)</f>
        <v/>
      </c>
      <c r="BN11" s="77">
        <f>COUNTIF($D11:$Z11,BN$4)</f>
        <v/>
      </c>
      <c r="BO11" s="77">
        <f>COUNTIF($D11:$Z11,BO$4)</f>
        <v/>
      </c>
      <c r="BP11" s="77" t="n"/>
    </row>
    <row r="12" ht="25.5" customHeight="1">
      <c r="A12" s="67" t="n"/>
      <c r="B12" s="77" t="inlineStr">
        <is>
          <t>PTE MENDEZ RALPH JUSTINE MACALINO</t>
        </is>
      </c>
      <c r="C12" s="60" t="n"/>
      <c r="D12" s="60" t="n"/>
      <c r="E12" s="60" t="n"/>
      <c r="F12" s="60" t="n"/>
      <c r="G12" s="53" t="n"/>
      <c r="H12" s="60" t="n"/>
      <c r="I12" s="60" t="n"/>
      <c r="J12" s="60" t="n"/>
      <c r="K12" s="60" t="inlineStr">
        <is>
          <t>CS/B</t>
        </is>
      </c>
      <c r="L12" s="60" t="n"/>
      <c r="M12" s="60" t="n"/>
      <c r="N12" s="60" t="n"/>
      <c r="O12" s="60" t="n"/>
      <c r="P12" s="60" t="n"/>
      <c r="Q12" s="53" t="n"/>
      <c r="R12" s="53" t="inlineStr">
        <is>
          <t>CS1</t>
        </is>
      </c>
      <c r="S12" s="53" t="n"/>
      <c r="T12" s="60" t="n"/>
      <c r="U12" s="53" t="n"/>
      <c r="V12" s="60" t="inlineStr">
        <is>
          <t>CS2</t>
        </is>
      </c>
      <c r="W12" s="53" t="n"/>
      <c r="X12" s="60" t="n"/>
      <c r="Y12" s="60" t="n"/>
      <c r="Z12" s="60" t="n"/>
      <c r="AA12" s="60" t="inlineStr">
        <is>
          <t>CS2</t>
        </is>
      </c>
      <c r="AB12" s="53" t="n"/>
      <c r="AC12" s="53" t="n"/>
      <c r="AD12" s="60" t="inlineStr">
        <is>
          <t>RESERVE</t>
        </is>
      </c>
      <c r="AE12" s="84" t="n"/>
      <c r="AF12" s="53" t="inlineStr">
        <is>
          <t>CS1</t>
        </is>
      </c>
      <c r="AG12" s="60" t="n"/>
      <c r="AH12" s="67">
        <f>COUNTIF($C12:$AF12,AH$4)</f>
        <v/>
      </c>
      <c r="AI12" s="67">
        <f>COUNTIF($C12:$AF12,AI$4)</f>
        <v/>
      </c>
      <c r="AJ12" s="67">
        <f>COUNTIF($C12:$AF12,AJ$4)</f>
        <v/>
      </c>
      <c r="AK12" s="67">
        <f>COUNTIF($C12:$AF12,AK$4)</f>
        <v/>
      </c>
      <c r="AL12" s="67">
        <f>COUNTIF($C12:$AF12,AL$4)</f>
        <v/>
      </c>
      <c r="AM12" s="67">
        <f>COUNTIF($C12:$AF12,AM$4)</f>
        <v/>
      </c>
      <c r="AN12" s="67">
        <f>COUNTIF($C12:$AF12,AN$4)</f>
        <v/>
      </c>
      <c r="AO12" s="67">
        <f>COUNTIF($C12:$AF12,AO$4)</f>
        <v/>
      </c>
      <c r="AP12" s="67">
        <f>COUNTIF($C12:$AF12,AP$4)</f>
        <v/>
      </c>
      <c r="AQ12" s="76" t="n"/>
      <c r="AR12" s="76" t="n">
        <v>1</v>
      </c>
      <c r="AS12" s="77">
        <f>SUMPRODUCT(--(WEEKDAY(C$3:AG$3,2)&lt;5),--ISNUMBER(MATCH(C12:AG12,{"DM","CS1","CS2","SB1","AE","CS/B"},0)))</f>
        <v/>
      </c>
      <c r="AT12" s="77" t="n"/>
      <c r="AU12" s="77">
        <f>SUMPRODUCT(--(WEEKDAY(C$3:AG$3,2)=5),--ISNUMBER(MATCH(C12:AG12,{"DM","CS1","CS2","SB1","AE","CS/B","WEEKEND OUTFIELD RESERVE"},0)))</f>
        <v/>
      </c>
      <c r="AV12" s="77">
        <f>SUMPRODUCT(--(WEEKDAY(C$3:AG$3,2)&gt;5),--ISNUMBER(MATCH(C12:AG12,{"DM","CS1","CS2","SB1","AE","CS/B","WEEKEND OUTFIELD RESERVE"},0)))</f>
        <v/>
      </c>
      <c r="AW12" s="77" t="n"/>
      <c r="AX12" s="77">
        <f>(AS12-AT12)+AU12*1.5+(AV12-AW12)*2+AM12*0.5+AO12*0.5+AQ12-AR12</f>
        <v/>
      </c>
      <c r="AY12" s="77">
        <f>AS12+AU12+AV12</f>
        <v/>
      </c>
      <c r="AZ12" s="77">
        <f>BC12+BE12+BG12+BI12+BK12</f>
        <v/>
      </c>
      <c r="BA12" s="76">
        <f>AX12+BB12</f>
        <v/>
      </c>
      <c r="BB12" s="77">
        <f>BD12+BF12+BH12+BJ12+BL12</f>
        <v/>
      </c>
      <c r="BC12" s="77">
        <f>COUNTIF(A12:AH12,"*$BTP*")</f>
        <v/>
      </c>
      <c r="BD12" s="77">
        <f>BC12*1.5</f>
        <v/>
      </c>
      <c r="BE12" s="77">
        <f>COUNTIF(A12:AH12,"*$M*")</f>
        <v/>
      </c>
      <c r="BF12" s="77">
        <f>BE12*1</f>
        <v/>
      </c>
      <c r="BG12" s="77">
        <f>COUNTIF(A12:AH12,"*$PM*")</f>
        <v/>
      </c>
      <c r="BH12" s="77">
        <f>BG12*0.5</f>
        <v/>
      </c>
      <c r="BI12" s="77">
        <f>COUNTIF(A12:AH12,"*$AM*")</f>
        <v/>
      </c>
      <c r="BJ12" s="77">
        <f>BI12*0.5</f>
        <v/>
      </c>
      <c r="BK12" s="77">
        <f>COUNTIF(A12:AH12,"*$FC*")</f>
        <v/>
      </c>
      <c r="BL12" s="77">
        <f>BK12*1</f>
        <v/>
      </c>
      <c r="BM12" s="77">
        <f>COUNTIF($D12:$AA12,BM$4)</f>
        <v/>
      </c>
      <c r="BN12" s="77">
        <f>COUNTIF($D12:$AA12,BN$4)</f>
        <v/>
      </c>
      <c r="BO12" s="77">
        <f>COUNTIF($D12:$AA12,BO$4)</f>
        <v/>
      </c>
      <c r="BP12" s="77" t="n"/>
    </row>
    <row r="13" ht="47.25" customHeight="1">
      <c r="A13" s="67" t="n"/>
      <c r="B13" s="76" t="inlineStr">
        <is>
          <t>PTE DANIEL ISKANDAR BIN SANUSI</t>
        </is>
      </c>
      <c r="C13" s="60" t="n"/>
      <c r="D13" s="53" t="n"/>
      <c r="E13" s="60" t="n"/>
      <c r="F13" s="53" t="n"/>
      <c r="G13" s="53" t="n"/>
      <c r="H13" s="60" t="n"/>
      <c r="I13" s="60" t="n"/>
      <c r="J13" s="60" t="inlineStr">
        <is>
          <t>RESERVE</t>
        </is>
      </c>
      <c r="K13" s="60" t="n"/>
      <c r="L13" s="53" t="n"/>
      <c r="M13" s="60" t="n"/>
      <c r="N13" s="60" t="n"/>
      <c r="O13" s="60" t="n"/>
      <c r="P13" s="60" t="n"/>
      <c r="Q13" s="60" t="n"/>
      <c r="R13" s="60" t="n"/>
      <c r="S13" s="60" t="inlineStr">
        <is>
          <t>RESERVE</t>
        </is>
      </c>
      <c r="T13" s="53" t="n"/>
      <c r="U13" s="60" t="n"/>
      <c r="V13" s="60" t="n"/>
      <c r="W13" s="60" t="inlineStr">
        <is>
          <t>MA</t>
        </is>
      </c>
      <c r="X13" s="60" t="n"/>
      <c r="Y13" s="60" t="inlineStr">
        <is>
          <t>CS2</t>
        </is>
      </c>
      <c r="Z13" s="60" t="n"/>
      <c r="AA13" s="60" t="n"/>
      <c r="AB13" s="53" t="n"/>
      <c r="AC13" s="53" t="n"/>
      <c r="AD13" s="53" t="n"/>
      <c r="AE13" s="79" t="n"/>
      <c r="AF13" s="53" t="n"/>
      <c r="AG13" s="60" t="n"/>
      <c r="AH13" s="67">
        <f>COUNTIF($C13:$AF13,AH$4)</f>
        <v/>
      </c>
      <c r="AI13" s="67">
        <f>COUNTIF($C13:$AF13,AI$4)</f>
        <v/>
      </c>
      <c r="AJ13" s="67">
        <f>COUNTIF($C13:$AF13,AJ$4)</f>
        <v/>
      </c>
      <c r="AK13" s="67">
        <f>COUNTIF($C13:$AF13,AK$4)</f>
        <v/>
      </c>
      <c r="AL13" s="67">
        <f>COUNTIF($C13:$AF13,AL$4)</f>
        <v/>
      </c>
      <c r="AM13" s="67">
        <f>COUNTIF($C13:$AF13,AM$4)</f>
        <v/>
      </c>
      <c r="AN13" s="67">
        <f>COUNTIF($C13:$AF13,AN$4)</f>
        <v/>
      </c>
      <c r="AO13" s="67">
        <f>COUNTIF($C13:$AF13,AO$4)</f>
        <v/>
      </c>
      <c r="AP13" s="67">
        <f>COUNTIF($C13:$AF13,AP$4)</f>
        <v/>
      </c>
      <c r="AQ13" s="76" t="n">
        <v>1</v>
      </c>
      <c r="AR13" s="76" t="n"/>
      <c r="AS13" s="77">
        <f>SUMPRODUCT(--(WEEKDAY(C$3:AG$3,2)&lt;5),--ISNUMBER(MATCH(C13:AG13,{"DM","CS1","CS2","SB1","AE","CS/B"},0)))</f>
        <v/>
      </c>
      <c r="AT13" s="77" t="n"/>
      <c r="AU13" s="77">
        <f>SUMPRODUCT(--(WEEKDAY(C$3:AG$3,2)=5),--ISNUMBER(MATCH(C13:AG13,{"DM","CS1","CS2","SB1","AE","CS/B","WEEKEND OUTFIELD RESERVE"},0)))</f>
        <v/>
      </c>
      <c r="AV13" s="77">
        <f>SUMPRODUCT(--(WEEKDAY(C$3:AG$3,2)&gt;5),--ISNUMBER(MATCH(C13:AG13,{"DM","CS1","CS2","SB1","AE","CS/B","WEEKEND OUTFIELD RESERVE"},0)))</f>
        <v/>
      </c>
      <c r="AW13" s="77" t="n"/>
      <c r="AX13" s="77">
        <f>(AS13-AT13)+AU13*1.5+(AV13-AW13)*2+AM13*0.5+AO13*0.5+AQ13-AR13</f>
        <v/>
      </c>
      <c r="AY13" s="77">
        <f>AS13+AU13+AV13</f>
        <v/>
      </c>
      <c r="AZ13" s="77">
        <f>BC13+BE13+BG13+BI13+BK13</f>
        <v/>
      </c>
      <c r="BA13" s="76">
        <f>AX13+BB13</f>
        <v/>
      </c>
      <c r="BB13" s="77">
        <f>BD13+BF13+BH13+BJ13+BL13</f>
        <v/>
      </c>
      <c r="BC13" s="77">
        <f>COUNTIF(A13:AH13,"*$BTP*")</f>
        <v/>
      </c>
      <c r="BD13" s="77">
        <f>BC13*1.5</f>
        <v/>
      </c>
      <c r="BE13" s="77">
        <f>COUNTIF(A13:AH13,"*$M*")</f>
        <v/>
      </c>
      <c r="BF13" s="77">
        <f>BE13*1</f>
        <v/>
      </c>
      <c r="BG13" s="77">
        <f>COUNTIF(A13:AH13,"*$PM*")</f>
        <v/>
      </c>
      <c r="BH13" s="77">
        <f>BG13*0.5</f>
        <v/>
      </c>
      <c r="BI13" s="77">
        <f>COUNTIF(A13:AH13,"*$AM*")</f>
        <v/>
      </c>
      <c r="BJ13" s="77">
        <f>BI13*0.5</f>
        <v/>
      </c>
      <c r="BK13" s="77">
        <f>COUNTIF(A13:AH13,"*$FC*")</f>
        <v/>
      </c>
      <c r="BL13" s="77">
        <f>BK13*1</f>
        <v/>
      </c>
      <c r="BM13" s="77">
        <f>COUNTIF($D13:$AA13,BM$4)</f>
        <v/>
      </c>
      <c r="BN13" s="77">
        <f>COUNTIF($D13:$AA13,BN$4)</f>
        <v/>
      </c>
      <c r="BO13" s="77">
        <f>COUNTIF($D13:$AA13,BO$4)</f>
        <v/>
      </c>
      <c r="BP13" s="77" t="n"/>
    </row>
    <row r="14" ht="47.25" customHeight="1">
      <c r="A14" s="67" t="n"/>
      <c r="B14" s="76" t="inlineStr">
        <is>
          <t>PTE KERK NATHAN</t>
        </is>
      </c>
      <c r="C14" s="60" t="inlineStr">
        <is>
          <t>SB2</t>
        </is>
      </c>
      <c r="D14" s="53" t="n"/>
      <c r="E14" s="60" t="inlineStr">
        <is>
          <t>SB2</t>
        </is>
      </c>
      <c r="F14" s="53" t="n"/>
      <c r="G14" s="53" t="n"/>
      <c r="H14" s="60" t="n"/>
      <c r="I14" s="60" t="n"/>
      <c r="J14" s="60" t="n"/>
      <c r="K14" s="60" t="n"/>
      <c r="L14" s="53" t="n"/>
      <c r="M14" s="60" t="inlineStr">
        <is>
          <t>AE</t>
        </is>
      </c>
      <c r="N14" s="60" t="n"/>
      <c r="O14" s="60" t="inlineStr">
        <is>
          <t>RHMC</t>
        </is>
      </c>
      <c r="P14" s="60" t="inlineStr">
        <is>
          <t>RHMC</t>
        </is>
      </c>
      <c r="Q14" s="60" t="inlineStr">
        <is>
          <t>RHMC</t>
        </is>
      </c>
      <c r="R14" s="60" t="inlineStr">
        <is>
          <t>RHMC</t>
        </is>
      </c>
      <c r="S14" s="60" t="inlineStr">
        <is>
          <t>RHMC</t>
        </is>
      </c>
      <c r="T14" s="60" t="inlineStr">
        <is>
          <t>RHMC</t>
        </is>
      </c>
      <c r="U14" s="60" t="inlineStr">
        <is>
          <t>RHMC</t>
        </is>
      </c>
      <c r="V14" s="60" t="inlineStr">
        <is>
          <t>RHMC</t>
        </is>
      </c>
      <c r="W14" s="60" t="inlineStr">
        <is>
          <t>RHMC</t>
        </is>
      </c>
      <c r="X14" s="60" t="inlineStr">
        <is>
          <t>RHMC</t>
        </is>
      </c>
      <c r="Y14" s="60" t="inlineStr">
        <is>
          <t>RHMC</t>
        </is>
      </c>
      <c r="Z14" s="60" t="inlineStr">
        <is>
          <t>RHMC</t>
        </is>
      </c>
      <c r="AA14" s="60" t="inlineStr">
        <is>
          <t>RHMC</t>
        </is>
      </c>
      <c r="AB14" s="60" t="inlineStr">
        <is>
          <t>RHMC</t>
        </is>
      </c>
      <c r="AC14" s="60" t="inlineStr">
        <is>
          <t>RHMC</t>
        </is>
      </c>
      <c r="AD14" s="60" t="inlineStr">
        <is>
          <t>RHMC</t>
        </is>
      </c>
      <c r="AE14" s="78" t="inlineStr">
        <is>
          <t>RHMC</t>
        </is>
      </c>
      <c r="AF14" s="60" t="inlineStr">
        <is>
          <t>RHMC</t>
        </is>
      </c>
      <c r="AG14" s="60" t="inlineStr">
        <is>
          <t>RHMC</t>
        </is>
      </c>
      <c r="AH14" s="67">
        <f>COUNTIF($C14:$AF14,AH$4)</f>
        <v/>
      </c>
      <c r="AI14" s="67">
        <f>COUNTIF($C14:$AF14,AI$4)</f>
        <v/>
      </c>
      <c r="AJ14" s="67">
        <f>COUNTIF($C14:$AF14,AJ$4)</f>
        <v/>
      </c>
      <c r="AK14" s="67">
        <f>COUNTIF($C14:$AF14,AK$4)</f>
        <v/>
      </c>
      <c r="AL14" s="67">
        <f>COUNTIF($C14:$AF14,AL$4)</f>
        <v/>
      </c>
      <c r="AM14" s="67">
        <f>COUNTIF($C14:$AF14,AM$4)</f>
        <v/>
      </c>
      <c r="AN14" s="67">
        <f>COUNTIF($C14:$AF14,AN$4)</f>
        <v/>
      </c>
      <c r="AO14" s="67">
        <f>COUNTIF($C14:$AF14,AO$4)</f>
        <v/>
      </c>
      <c r="AP14" s="67">
        <f>COUNTIF($C14:$AF14,AP$4)</f>
        <v/>
      </c>
      <c r="AQ14" s="76" t="n"/>
      <c r="AR14" s="76" t="n"/>
      <c r="AS14" s="77">
        <f>SUMPRODUCT(--(WEEKDAY(C$3:AG$3,2)&lt;5),--ISNUMBER(MATCH(C14:AG14,{"DM","CS1","CS2","SB1","AE","CS/B"},0)))</f>
        <v/>
      </c>
      <c r="AT14" s="77" t="n"/>
      <c r="AU14" s="77">
        <f>SUMPRODUCT(--(WEEKDAY(C$3:AG$3,2)=5),--ISNUMBER(MATCH(C14:AG14,{"DM","CS1","CS2","SB1","AE","CS/B","WEEKEND OUTFIELD RESERVE"},0)))</f>
        <v/>
      </c>
      <c r="AV14" s="77">
        <f>SUMPRODUCT(--(WEEKDAY(C$3:AG$3,2)&gt;5),--ISNUMBER(MATCH(C14:AG14,{"DM","CS1","CS2","SB1","AE","CS/B","WEEKEND OUTFIELD RESERVE"},0)))</f>
        <v/>
      </c>
      <c r="AW14" s="77" t="n"/>
      <c r="AX14" s="77">
        <f>(AS14-AT14)+AU14*1.5+(AV14-AW14)*2+AM14*0.5+AO14*0.5+AQ14-AR14</f>
        <v/>
      </c>
      <c r="AY14" s="77">
        <f>AS14+AU14+AV14</f>
        <v/>
      </c>
      <c r="AZ14" s="77">
        <f>BC14+BE14+BG14+BI14+BK14</f>
        <v/>
      </c>
      <c r="BA14" s="76">
        <f>AX14+BB14</f>
        <v/>
      </c>
      <c r="BB14" s="77">
        <f>BD14+BF14+BH14+BJ14+BL14</f>
        <v/>
      </c>
      <c r="BC14" s="77">
        <f>COUNTIF(A14:AH14,"*$BTP*")</f>
        <v/>
      </c>
      <c r="BD14" s="77">
        <f>BC14*1.5</f>
        <v/>
      </c>
      <c r="BE14" s="77">
        <f>COUNTIF(A14:AH14,"*$M*")</f>
        <v/>
      </c>
      <c r="BF14" s="77">
        <f>BE14*1</f>
        <v/>
      </c>
      <c r="BG14" s="77">
        <f>COUNTIF(A14:AH14,"*$PM*")</f>
        <v/>
      </c>
      <c r="BH14" s="77">
        <f>BG14*0.5</f>
        <v/>
      </c>
      <c r="BI14" s="77">
        <f>COUNTIF(A14:AH14,"*$AM*")</f>
        <v/>
      </c>
      <c r="BJ14" s="77">
        <f>BI14*0.5</f>
        <v/>
      </c>
      <c r="BK14" s="77">
        <f>COUNTIF(A14:AH14,"*$FC*")</f>
        <v/>
      </c>
      <c r="BL14" s="77">
        <f>BK14*1</f>
        <v/>
      </c>
      <c r="BM14" s="77">
        <f>COUNTIF($D14:$AA14,BM$4)</f>
        <v/>
      </c>
      <c r="BN14" s="77">
        <f>COUNTIF($D14:$AA14,BN$4)</f>
        <v/>
      </c>
      <c r="BO14" s="77">
        <f>COUNTIF($D14:$AA14,BO$4)</f>
        <v/>
      </c>
      <c r="BP14" s="77" t="n"/>
    </row>
    <row r="15" ht="47.25" customHeight="1">
      <c r="A15" s="67" t="n"/>
      <c r="B15" s="76" t="inlineStr">
        <is>
          <t>PTE OWEN LEE</t>
        </is>
      </c>
      <c r="C15" s="60" t="n"/>
      <c r="D15" s="53" t="n"/>
      <c r="E15" s="60" t="n"/>
      <c r="F15" s="53" t="n"/>
      <c r="G15" s="53" t="inlineStr">
        <is>
          <t>AE</t>
        </is>
      </c>
      <c r="H15" s="60" t="n"/>
      <c r="I15" s="60" t="n"/>
      <c r="J15" s="60" t="n"/>
      <c r="K15" s="60" t="n"/>
      <c r="L15" s="53" t="n"/>
      <c r="M15" s="60" t="n"/>
      <c r="N15" s="60" t="n"/>
      <c r="O15" s="60" t="inlineStr">
        <is>
          <t>RHMC</t>
        </is>
      </c>
      <c r="P15" s="60" t="inlineStr">
        <is>
          <t>RHMC</t>
        </is>
      </c>
      <c r="Q15" s="60" t="inlineStr">
        <is>
          <t>RHMC</t>
        </is>
      </c>
      <c r="R15" s="60" t="inlineStr">
        <is>
          <t>RHMC</t>
        </is>
      </c>
      <c r="S15" s="60" t="inlineStr">
        <is>
          <t>RHMC</t>
        </is>
      </c>
      <c r="T15" s="60" t="inlineStr">
        <is>
          <t>RHMC</t>
        </is>
      </c>
      <c r="U15" s="60" t="inlineStr">
        <is>
          <t>RHMC</t>
        </is>
      </c>
      <c r="V15" s="60" t="inlineStr">
        <is>
          <t>RHMC</t>
        </is>
      </c>
      <c r="W15" s="60" t="inlineStr">
        <is>
          <t>RHMC</t>
        </is>
      </c>
      <c r="X15" s="60" t="inlineStr">
        <is>
          <t>RHMC</t>
        </is>
      </c>
      <c r="Y15" s="60" t="inlineStr">
        <is>
          <t>RHMC</t>
        </is>
      </c>
      <c r="Z15" s="60" t="inlineStr">
        <is>
          <t>RHMC</t>
        </is>
      </c>
      <c r="AA15" s="60" t="inlineStr">
        <is>
          <t>RHMC</t>
        </is>
      </c>
      <c r="AB15" s="60" t="inlineStr">
        <is>
          <t>RHMC</t>
        </is>
      </c>
      <c r="AC15" s="60" t="inlineStr">
        <is>
          <t>RHMC</t>
        </is>
      </c>
      <c r="AD15" s="60" t="inlineStr">
        <is>
          <t>RHMC</t>
        </is>
      </c>
      <c r="AE15" s="83" t="inlineStr">
        <is>
          <t>RHMC</t>
        </is>
      </c>
      <c r="AF15" s="60" t="inlineStr">
        <is>
          <t>RHMC</t>
        </is>
      </c>
      <c r="AG15" s="60" t="inlineStr">
        <is>
          <t>RHMC</t>
        </is>
      </c>
      <c r="AH15" s="67">
        <f>COUNTIF($C15:$AF15,AH$4)</f>
        <v/>
      </c>
      <c r="AI15" s="67">
        <f>COUNTIF($C15:$AF15,AI$4)</f>
        <v/>
      </c>
      <c r="AJ15" s="67">
        <f>COUNTIF($C15:$AF15,AJ$4)</f>
        <v/>
      </c>
      <c r="AK15" s="67">
        <f>COUNTIF($C15:$AF15,AK$4)</f>
        <v/>
      </c>
      <c r="AL15" s="67">
        <f>COUNTIF($C15:$AF15,AL$4)</f>
        <v/>
      </c>
      <c r="AM15" s="67">
        <f>COUNTIF($C15:$AF15,AM$4)</f>
        <v/>
      </c>
      <c r="AN15" s="67">
        <f>COUNTIF($C15:$AF15,AN$4)</f>
        <v/>
      </c>
      <c r="AO15" s="67">
        <f>COUNTIF($C15:$AF15,AO$4)</f>
        <v/>
      </c>
      <c r="AP15" s="67">
        <f>COUNTIF($C15:$AF15,AP$4)</f>
        <v/>
      </c>
      <c r="AQ15" s="76" t="n"/>
      <c r="AR15" s="76" t="n"/>
      <c r="AS15" s="77">
        <f>SUMPRODUCT(--(WEEKDAY(C$3:AG$3,2)&lt;5),--ISNUMBER(MATCH(C15:AG15,{"DM","CS1","CS2","SB1","AE","CS/B"},0)))</f>
        <v/>
      </c>
      <c r="AT15" s="77" t="n"/>
      <c r="AU15" s="77">
        <f>SUMPRODUCT(--(WEEKDAY(C$3:AG$3,2)=5),--ISNUMBER(MATCH(C15:AG15,{"DM","CS1","CS2","SB1","AE","CS/B","WEEKEND OUTFIELD RESERVE"},0)))</f>
        <v/>
      </c>
      <c r="AV15" s="77">
        <f>SUMPRODUCT(--(WEEKDAY(C$3:AG$3,2)&gt;5),--ISNUMBER(MATCH(C15:AG15,{"DM","CS1","CS2","SB1","AE","CS/B","WEEKEND OUTFIELD RESERVE"},0)))</f>
        <v/>
      </c>
      <c r="AW15" s="77" t="n"/>
      <c r="AX15" s="77">
        <f>(AS15-AT15)+AU15*1.5+(AV15-AW15)*2+AM15*0.5+AO15*0.5+AQ15-AR15</f>
        <v/>
      </c>
      <c r="AY15" s="77">
        <f>AS15+AU15+AV15</f>
        <v/>
      </c>
      <c r="AZ15" s="77">
        <f>BC15+BE15+BG15+BI15+BK15</f>
        <v/>
      </c>
      <c r="BA15" s="76">
        <f>AX15+BB15</f>
        <v/>
      </c>
      <c r="BB15" s="77">
        <f>BD15+BF15+BH15+BJ15+BL15</f>
        <v/>
      </c>
      <c r="BC15" s="77">
        <f>COUNTIF(A15:AH15,"*$BTP*")</f>
        <v/>
      </c>
      <c r="BD15" s="77">
        <f>BC15*1.5</f>
        <v/>
      </c>
      <c r="BE15" s="77">
        <f>COUNTIF(A15:AH15,"*$M*")</f>
        <v/>
      </c>
      <c r="BF15" s="77">
        <f>BE15*1</f>
        <v/>
      </c>
      <c r="BG15" s="77">
        <f>COUNTIF(A15:AH15,"*$PM*")</f>
        <v/>
      </c>
      <c r="BH15" s="77">
        <f>BG15*0.5</f>
        <v/>
      </c>
      <c r="BI15" s="77">
        <f>COUNTIF(A15:AH15,"*$AM*")</f>
        <v/>
      </c>
      <c r="BJ15" s="77">
        <f>BI15*0.5</f>
        <v/>
      </c>
      <c r="BK15" s="77">
        <f>COUNTIF(A15:AH15,"*$FC*")</f>
        <v/>
      </c>
      <c r="BL15" s="77">
        <f>BK15*1</f>
        <v/>
      </c>
      <c r="BM15" s="77">
        <f>COUNTIF($D15:$AA15,BM$4)</f>
        <v/>
      </c>
      <c r="BN15" s="77">
        <f>COUNTIF($D15:$AA15,BN$4)</f>
        <v/>
      </c>
      <c r="BO15" s="77">
        <f>COUNTIF($D15:$AA15,BO$4)</f>
        <v/>
      </c>
      <c r="BP15" s="77" t="n"/>
    </row>
    <row r="16" ht="47.25" customHeight="1">
      <c r="A16" s="67" t="n"/>
      <c r="B16" s="76" t="inlineStr">
        <is>
          <t>LCP JARED JUAY (BCF)</t>
        </is>
      </c>
      <c r="C16" s="60" t="n"/>
      <c r="D16" s="53" t="inlineStr">
        <is>
          <t>AE</t>
        </is>
      </c>
      <c r="E16" s="60" t="n"/>
      <c r="F16" s="53" t="n"/>
      <c r="G16" s="53" t="inlineStr">
        <is>
          <t>SB2</t>
        </is>
      </c>
      <c r="H16" s="60" t="n"/>
      <c r="I16" s="60" t="n"/>
      <c r="J16" s="60" t="inlineStr">
        <is>
          <t>SB1</t>
        </is>
      </c>
      <c r="K16" s="60" t="n"/>
      <c r="L16" s="53" t="n"/>
      <c r="M16" s="60" t="n"/>
      <c r="N16" s="60" t="inlineStr">
        <is>
          <t>SB2</t>
        </is>
      </c>
      <c r="O16" s="60" t="n"/>
      <c r="P16" s="60" t="n"/>
      <c r="Q16" s="60" t="n"/>
      <c r="R16" s="60" t="inlineStr">
        <is>
          <t>AE</t>
        </is>
      </c>
      <c r="S16" s="60" t="n"/>
      <c r="T16" s="53" t="n"/>
      <c r="U16" s="60" t="n"/>
      <c r="V16" s="60" t="inlineStr">
        <is>
          <t>SB2</t>
        </is>
      </c>
      <c r="W16" s="60" t="n"/>
      <c r="X16" s="60" t="n"/>
      <c r="Y16" s="60" t="n"/>
      <c r="Z16" s="60" t="n"/>
      <c r="AA16" s="60" t="inlineStr">
        <is>
          <t>SB1</t>
        </is>
      </c>
      <c r="AB16" s="53" t="n"/>
      <c r="AC16" s="53" t="n"/>
      <c r="AD16" s="60" t="n"/>
      <c r="AE16" s="84" t="n"/>
      <c r="AF16" s="60" t="inlineStr">
        <is>
          <t>AE</t>
        </is>
      </c>
      <c r="AG16" s="60" t="n"/>
      <c r="AH16" s="67">
        <f>COUNTIF($C16:$AF16,AH$4)</f>
        <v/>
      </c>
      <c r="AI16" s="67">
        <f>COUNTIF($C16:$AF16,AI$4)</f>
        <v/>
      </c>
      <c r="AJ16" s="67">
        <f>COUNTIF($C16:$AF16,AJ$4)</f>
        <v/>
      </c>
      <c r="AK16" s="67">
        <f>COUNTIF($C16:$AF16,AK$4)</f>
        <v/>
      </c>
      <c r="AL16" s="67">
        <f>COUNTIF($C16:$AF16,AL$4)</f>
        <v/>
      </c>
      <c r="AM16" s="67">
        <f>COUNTIF($C16:$AF16,AM$4)</f>
        <v/>
      </c>
      <c r="AN16" s="67">
        <f>COUNTIF($C16:$AF16,AN$4)</f>
        <v/>
      </c>
      <c r="AO16" s="67">
        <f>COUNTIF($C16:$AF16,AO$4)</f>
        <v/>
      </c>
      <c r="AP16" s="67">
        <f>COUNTIF($C16:$AF16,AP$4)</f>
        <v/>
      </c>
      <c r="AQ16" s="76" t="n"/>
      <c r="AR16" s="76" t="n"/>
      <c r="AS16" s="77">
        <f>SUMPRODUCT(--(WEEKDAY(C$3:AG$3,2)&lt;5),--ISNUMBER(MATCH(C16:AG16,{"DM","CS1","CS2","SB1","AE","CS/B"},0)))</f>
        <v/>
      </c>
      <c r="AT16" s="77" t="n"/>
      <c r="AU16" s="77">
        <f>SUMPRODUCT(--(WEEKDAY(C$3:AG$3,2)=5),--ISNUMBER(MATCH(C16:AG16,{"DM","CS1","CS2","SB1","AE","CS/B","WEEKEND OUTFIELD RESERVE"},0)))</f>
        <v/>
      </c>
      <c r="AV16" s="77">
        <f>SUMPRODUCT(--(WEEKDAY(C$3:AG$3,2)&gt;5),--ISNUMBER(MATCH(C16:AG16,{"DM","CS1","CS2","SB1","AE","CS/B","WEEKEND OUTFIELD RESERVE"},0)))</f>
        <v/>
      </c>
      <c r="AW16" s="77" t="n"/>
      <c r="AX16" s="77">
        <f>(AS16-AT16)+AU16*1.5+(AV16-AW16)*2+AM16*0.5+AO16*0.5+AQ16-AR16</f>
        <v/>
      </c>
      <c r="AY16" s="77">
        <f>AS16+AU16+AV16</f>
        <v/>
      </c>
      <c r="AZ16" s="77">
        <f>BC16+BE16+BG16+BI16+BK16</f>
        <v/>
      </c>
      <c r="BA16" s="76">
        <f>AX16+BB16</f>
        <v/>
      </c>
      <c r="BB16" s="77">
        <f>BD16+BF16+BH16+BJ16+BL16</f>
        <v/>
      </c>
      <c r="BC16" s="77">
        <f>COUNTIF(A16:AH16,"*$BTP*")</f>
        <v/>
      </c>
      <c r="BD16" s="77">
        <f>BC16*1.5</f>
        <v/>
      </c>
      <c r="BE16" s="77">
        <f>COUNTIF(A16:AH16,"*$M*")</f>
        <v/>
      </c>
      <c r="BF16" s="77">
        <f>BE16*1</f>
        <v/>
      </c>
      <c r="BG16" s="77">
        <f>COUNTIF(A16:AH16,"*$PM*")</f>
        <v/>
      </c>
      <c r="BH16" s="77">
        <f>BG16*0.5</f>
        <v/>
      </c>
      <c r="BI16" s="77">
        <f>COUNTIF(A16:AH16,"*$AM*")</f>
        <v/>
      </c>
      <c r="BJ16" s="77">
        <f>BI16*0.5</f>
        <v/>
      </c>
      <c r="BK16" s="77">
        <f>COUNTIF(A16:AH16,"*$FC*")</f>
        <v/>
      </c>
      <c r="BL16" s="77">
        <f>BK16*1</f>
        <v/>
      </c>
      <c r="BM16" s="77">
        <f>COUNTIF($D16:$AA16,BM$4)</f>
        <v/>
      </c>
      <c r="BN16" s="77">
        <f>COUNTIF($D16:$AA16,BN$4)</f>
        <v/>
      </c>
      <c r="BO16" s="77">
        <f>COUNTIF($D16:$AA16,BO$4)</f>
        <v/>
      </c>
      <c r="BP16" s="77" t="n"/>
    </row>
    <row r="17" ht="47.25" customHeight="1">
      <c r="A17" s="67" t="n"/>
      <c r="B17" s="76" t="inlineStr">
        <is>
          <t>LCP AHMAD IMRAN (BCF)</t>
        </is>
      </c>
      <c r="C17" s="60" t="inlineStr">
        <is>
          <t>AE</t>
        </is>
      </c>
      <c r="D17" s="53" t="n"/>
      <c r="E17" s="60" t="n"/>
      <c r="F17" s="53" t="inlineStr">
        <is>
          <t>AE</t>
        </is>
      </c>
      <c r="G17" s="53" t="n"/>
      <c r="H17" s="60" t="n"/>
      <c r="I17" s="60" t="n"/>
      <c r="J17" s="60" t="inlineStr">
        <is>
          <t>AE</t>
        </is>
      </c>
      <c r="K17" s="60" t="n"/>
      <c r="L17" s="53" t="n"/>
      <c r="M17" s="60" t="n"/>
      <c r="N17" s="60" t="inlineStr">
        <is>
          <t>AE</t>
        </is>
      </c>
      <c r="O17" s="53" t="n"/>
      <c r="P17" s="60" t="n"/>
      <c r="Q17" s="60" t="inlineStr">
        <is>
          <t>AE</t>
        </is>
      </c>
      <c r="R17" s="60" t="n"/>
      <c r="S17" s="60" t="n"/>
      <c r="T17" s="53" t="n"/>
      <c r="U17" s="60" t="n"/>
      <c r="V17" s="60" t="inlineStr">
        <is>
          <t>AE</t>
        </is>
      </c>
      <c r="W17" s="60" t="n"/>
      <c r="X17" s="60" t="n"/>
      <c r="Y17" s="60" t="n"/>
      <c r="Z17" s="60" t="inlineStr">
        <is>
          <t>SB2</t>
        </is>
      </c>
      <c r="AA17" s="60" t="n"/>
      <c r="AB17" s="53" t="n"/>
      <c r="AC17" s="53" t="n"/>
      <c r="AD17" s="60" t="n"/>
      <c r="AE17" s="79" t="inlineStr">
        <is>
          <t>AE</t>
        </is>
      </c>
      <c r="AF17" s="60" t="n"/>
      <c r="AG17" s="60" t="n"/>
      <c r="AH17" s="67">
        <f>COUNTIF($C17:$AF17,AH$4)</f>
        <v/>
      </c>
      <c r="AI17" s="67">
        <f>COUNTIF($C17:$AF17,AI$4)</f>
        <v/>
      </c>
      <c r="AJ17" s="67">
        <f>COUNTIF($C17:$AF17,AJ$4)</f>
        <v/>
      </c>
      <c r="AK17" s="67">
        <f>COUNTIF($C17:$AF17,AK$4)</f>
        <v/>
      </c>
      <c r="AL17" s="67">
        <f>COUNTIF($C17:$AF17,AL$4)</f>
        <v/>
      </c>
      <c r="AM17" s="67">
        <f>COUNTIF($C17:$AF17,AM$4)</f>
        <v/>
      </c>
      <c r="AN17" s="67">
        <f>COUNTIF($C17:$AF17,AN$4)</f>
        <v/>
      </c>
      <c r="AO17" s="67">
        <f>COUNTIF($C17:$AF17,AO$4)</f>
        <v/>
      </c>
      <c r="AP17" s="67">
        <f>COUNTIF($C17:$AF17,AP$4)</f>
        <v/>
      </c>
      <c r="AQ17" s="76" t="n"/>
      <c r="AR17" s="76" t="n"/>
      <c r="AS17" s="77">
        <f>SUMPRODUCT(--(WEEKDAY(C$3:AG$3,2)&lt;5),--ISNUMBER(MATCH(C17:AG17,{"DM","CS1","CS2","SB1","AE","CS/B"},0)))</f>
        <v/>
      </c>
      <c r="AT17" s="77" t="n"/>
      <c r="AU17" s="77">
        <f>SUMPRODUCT(--(WEEKDAY(C$3:AG$3,2)=5),--ISNUMBER(MATCH(C17:AG17,{"DM","CS1","CS2","SB1","AE","CS/B","WEEKEND OUTFIELD RESERVE"},0)))</f>
        <v/>
      </c>
      <c r="AV17" s="77">
        <f>SUMPRODUCT(--(WEEKDAY(C$3:AG$3,2)&gt;5),--ISNUMBER(MATCH(C17:AG17,{"DM","CS1","CS2","SB1","AE","CS/B","WEEKEND OUTFIELD RESERVE"},0)))</f>
        <v/>
      </c>
      <c r="AW17" s="77" t="n"/>
      <c r="AX17" s="77">
        <f>(AS17-AT17)+AU17*1.5+(AV17-AW17)*2+AM17*0.5+AO17*0.5+AQ17-AR17</f>
        <v/>
      </c>
      <c r="AY17" s="77">
        <f>AS17+AU17+AV17</f>
        <v/>
      </c>
      <c r="AZ17" s="77">
        <f>BC17+BE17+BG17+BI17+BK17</f>
        <v/>
      </c>
      <c r="BA17" s="76">
        <f>AX17+BB17</f>
        <v/>
      </c>
      <c r="BB17" s="77">
        <f>BD17+BF17+BH17+BJ17+BL17</f>
        <v/>
      </c>
      <c r="BC17" s="77">
        <f>COUNTIF(A17:AH17,"*$BTP*")</f>
        <v/>
      </c>
      <c r="BD17" s="77">
        <f>BC17*1.5</f>
        <v/>
      </c>
      <c r="BE17" s="77">
        <f>COUNTIF(A17:AH17,"*$M*")</f>
        <v/>
      </c>
      <c r="BF17" s="77">
        <f>BE17*1</f>
        <v/>
      </c>
      <c r="BG17" s="77">
        <f>COUNTIF(A17:AH17,"*$PM*")</f>
        <v/>
      </c>
      <c r="BH17" s="77">
        <f>BG17*0.5</f>
        <v/>
      </c>
      <c r="BI17" s="77">
        <f>COUNTIF(A17:AH17,"*$AM*")</f>
        <v/>
      </c>
      <c r="BJ17" s="77">
        <f>BI17*0.5</f>
        <v/>
      </c>
      <c r="BK17" s="77">
        <f>COUNTIF(A17:AH17,"*$FC*")</f>
        <v/>
      </c>
      <c r="BL17" s="77">
        <f>BK17*1</f>
        <v/>
      </c>
      <c r="BM17" s="77">
        <f>COUNTIF($D17:$AA17,BM$4)</f>
        <v/>
      </c>
      <c r="BN17" s="77">
        <f>COUNTIF($D17:$AA17,BN$4)</f>
        <v/>
      </c>
      <c r="BO17" s="77">
        <f>COUNTIF($D17:$AA17,BO$4)</f>
        <v/>
      </c>
      <c r="BP17" s="77" t="n"/>
    </row>
    <row r="18" ht="47.25" customHeight="1">
      <c r="A18" s="67" t="n"/>
      <c r="B18" s="76" t="inlineStr">
        <is>
          <t>LCP LAU KAN SHEN (BCF)</t>
        </is>
      </c>
      <c r="C18" s="60" t="inlineStr">
        <is>
          <t>SB1</t>
        </is>
      </c>
      <c r="D18" s="53" t="n"/>
      <c r="E18" s="60" t="inlineStr">
        <is>
          <t>SB2</t>
        </is>
      </c>
      <c r="F18" s="53" t="n"/>
      <c r="G18" s="53" t="n"/>
      <c r="H18" s="60" t="inlineStr">
        <is>
          <t>AE</t>
        </is>
      </c>
      <c r="I18" s="60" t="n"/>
      <c r="J18" s="60" t="n"/>
      <c r="K18" s="60" t="inlineStr">
        <is>
          <t>AE</t>
        </is>
      </c>
      <c r="L18" s="53" t="n"/>
      <c r="M18" s="60" t="inlineStr">
        <is>
          <t>SB1</t>
        </is>
      </c>
      <c r="N18" s="60" t="n"/>
      <c r="O18" s="60" t="n"/>
      <c r="P18" s="60" t="inlineStr">
        <is>
          <t>SB1</t>
        </is>
      </c>
      <c r="Q18" s="60" t="n"/>
      <c r="R18" s="60" t="n"/>
      <c r="S18" s="60" t="n"/>
      <c r="T18" s="53" t="inlineStr">
        <is>
          <t>SB2</t>
        </is>
      </c>
      <c r="U18" s="60" t="n"/>
      <c r="V18" s="60" t="n"/>
      <c r="W18" s="60" t="n"/>
      <c r="X18" s="60" t="inlineStr">
        <is>
          <t>SB1</t>
        </is>
      </c>
      <c r="Y18" s="60" t="n"/>
      <c r="Z18" s="60" t="n"/>
      <c r="AA18" s="60" t="n"/>
      <c r="AB18" s="53" t="n"/>
      <c r="AC18" s="53" t="inlineStr">
        <is>
          <t>SB2</t>
        </is>
      </c>
      <c r="AD18" s="60" t="n"/>
      <c r="AE18" s="84" t="n"/>
      <c r="AF18" s="60" t="inlineStr">
        <is>
          <t>   </t>
        </is>
      </c>
      <c r="AG18" s="60" t="n"/>
      <c r="AH18" s="67">
        <f>COUNTIF($C18:$AF18,AH$4)</f>
        <v/>
      </c>
      <c r="AI18" s="67">
        <f>COUNTIF($C18:$AF18,AI$4)</f>
        <v/>
      </c>
      <c r="AJ18" s="67">
        <f>COUNTIF($C18:$AF18,AJ$4)</f>
        <v/>
      </c>
      <c r="AK18" s="67">
        <f>COUNTIF($C18:$AF18,AK$4)</f>
        <v/>
      </c>
      <c r="AL18" s="67">
        <f>COUNTIF($C18:$AF18,AL$4)</f>
        <v/>
      </c>
      <c r="AM18" s="67">
        <f>COUNTIF($C18:$AF18,AM$4)</f>
        <v/>
      </c>
      <c r="AN18" s="67">
        <f>COUNTIF($C18:$AF18,AN$4)</f>
        <v/>
      </c>
      <c r="AO18" s="67">
        <f>COUNTIF($C18:$AF18,AO$4)</f>
        <v/>
      </c>
      <c r="AP18" s="67">
        <f>COUNTIF($C18:$AF18,AP$4)</f>
        <v/>
      </c>
      <c r="AQ18" s="76" t="n"/>
      <c r="AR18" s="76" t="n"/>
      <c r="AS18" s="77">
        <f>SUMPRODUCT(--(WEEKDAY(C$3:AG$3,2)&lt;5),--ISNUMBER(MATCH(C18:AG18,{"DM","CS1","CS2","SB1","AE","CS/B"},0)))</f>
        <v/>
      </c>
      <c r="AT18" s="77" t="n"/>
      <c r="AU18" s="77">
        <f>SUMPRODUCT(--(WEEKDAY(C$3:AG$3,2)=5),--ISNUMBER(MATCH(C18:AG18,{"DM","CS1","CS2","SB1","AE","CS/B","WEEKEND OUTFIELD RESERVE"},0)))</f>
        <v/>
      </c>
      <c r="AV18" s="77">
        <f>SUMPRODUCT(--(WEEKDAY(C$3:AG$3,2)&gt;5),--ISNUMBER(MATCH(C18:AG18,{"DM","CS1","CS2","SB1","AE","CS/B","WEEKEND OUTFIELD RESERVE"},0)))</f>
        <v/>
      </c>
      <c r="AW18" s="77" t="n"/>
      <c r="AX18" s="77">
        <f>(AS18-AT18)+AU18*1.5+(AV18-AW18)*2+AM18*0.5+AO18*0.5+AQ18-AR18</f>
        <v/>
      </c>
      <c r="AY18" s="77">
        <f>AS18+AU18+AV18</f>
        <v/>
      </c>
      <c r="AZ18" s="77">
        <f>BC18+BE18+BG18+BI18+BK18</f>
        <v/>
      </c>
      <c r="BA18" s="76">
        <f>AX18+BB18</f>
        <v/>
      </c>
      <c r="BB18" s="77">
        <f>BD18+BF18+BH18+BJ18+BL18</f>
        <v/>
      </c>
      <c r="BC18" s="77">
        <f>COUNTIF(A18:AH18,"*$BTP*")</f>
        <v/>
      </c>
      <c r="BD18" s="77">
        <f>BC18*1.5</f>
        <v/>
      </c>
      <c r="BE18" s="77">
        <f>COUNTIF(A18:AH18,"*$M*")</f>
        <v/>
      </c>
      <c r="BF18" s="77">
        <f>BE18*1</f>
        <v/>
      </c>
      <c r="BG18" s="77">
        <f>COUNTIF(A18:AH18,"*$PM*")</f>
        <v/>
      </c>
      <c r="BH18" s="77">
        <f>BG18*0.5</f>
        <v/>
      </c>
      <c r="BI18" s="77">
        <f>COUNTIF(A18:AH18,"*$AM*")</f>
        <v/>
      </c>
      <c r="BJ18" s="77">
        <f>BI18*0.5</f>
        <v/>
      </c>
      <c r="BK18" s="77">
        <f>COUNTIF(A18:AH18,"*$FC*")</f>
        <v/>
      </c>
      <c r="BL18" s="77">
        <f>BK18*1</f>
        <v/>
      </c>
      <c r="BM18" s="77">
        <f>COUNTIF($D18:$AA18,BM$4)</f>
        <v/>
      </c>
      <c r="BN18" s="77">
        <f>COUNTIF($D18:$AA18,BN$4)</f>
        <v/>
      </c>
      <c r="BO18" s="77">
        <f>COUNTIF($D18:$AA18,BO$4)</f>
        <v/>
      </c>
      <c r="BP18" s="77" t="n"/>
    </row>
    <row r="19" ht="47.25" customHeight="1">
      <c r="A19" s="67" t="n"/>
      <c r="B19" s="76" t="inlineStr">
        <is>
          <t>PTE JEROME TEO (BCF)</t>
        </is>
      </c>
      <c r="C19" s="60" t="n"/>
      <c r="D19" s="53" t="inlineStr">
        <is>
          <t>SB1</t>
        </is>
      </c>
      <c r="E19" s="60" t="n"/>
      <c r="F19" s="53" t="inlineStr">
        <is>
          <t>SB1</t>
        </is>
      </c>
      <c r="G19" s="53" t="n"/>
      <c r="H19" s="60" t="inlineStr">
        <is>
          <t>SB1</t>
        </is>
      </c>
      <c r="I19" s="60" t="n"/>
      <c r="J19" s="60" t="n"/>
      <c r="K19" s="60" t="inlineStr">
        <is>
          <t>SB1</t>
        </is>
      </c>
      <c r="L19" s="60" t="n"/>
      <c r="M19" s="60" t="n"/>
      <c r="N19" s="60" t="inlineStr">
        <is>
          <t>SB1</t>
        </is>
      </c>
      <c r="O19" s="60" t="n"/>
      <c r="P19" s="60" t="inlineStr">
        <is>
          <t>SB2</t>
        </is>
      </c>
      <c r="Q19" s="60" t="n"/>
      <c r="R19" s="60" t="n"/>
      <c r="S19" s="60" t="n"/>
      <c r="T19" s="53" t="n"/>
      <c r="U19" s="60" t="inlineStr">
        <is>
          <t>SB1</t>
        </is>
      </c>
      <c r="V19" s="60" t="n"/>
      <c r="W19" s="60" t="inlineStr">
        <is>
          <t>COVER RESERVE</t>
        </is>
      </c>
      <c r="X19" s="60" t="n"/>
      <c r="Y19" s="60" t="inlineStr">
        <is>
          <t>AE</t>
        </is>
      </c>
      <c r="Z19" s="60" t="n"/>
      <c r="AA19" s="60" t="n"/>
      <c r="AB19" s="53" t="n"/>
      <c r="AC19" s="53" t="n"/>
      <c r="AD19" s="60" t="inlineStr">
        <is>
          <t>SB1</t>
        </is>
      </c>
      <c r="AE19" s="79" t="n"/>
      <c r="AF19" s="60" t="n"/>
      <c r="AG19" s="60" t="n"/>
      <c r="AH19" s="67">
        <f>COUNTIF($C19:$AF19,AH$4)</f>
        <v/>
      </c>
      <c r="AI19" s="67">
        <f>COUNTIF($C19:$AF19,AI$4)</f>
        <v/>
      </c>
      <c r="AJ19" s="67">
        <f>COUNTIF($C19:$AF19,AJ$4)</f>
        <v/>
      </c>
      <c r="AK19" s="67">
        <f>COUNTIF($C19:$AF19,AK$4)</f>
        <v/>
      </c>
      <c r="AL19" s="67">
        <f>COUNTIF($C19:$AF19,AL$4)</f>
        <v/>
      </c>
      <c r="AM19" s="67">
        <f>COUNTIF($C19:$AF19,AM$4)</f>
        <v/>
      </c>
      <c r="AN19" s="67">
        <f>COUNTIF($C19:$AF19,AN$4)</f>
        <v/>
      </c>
      <c r="AO19" s="67">
        <f>COUNTIF($C19:$AF19,AO$4)</f>
        <v/>
      </c>
      <c r="AP19" s="67">
        <f>COUNTIF($C19:$AF19,AP$4)</f>
        <v/>
      </c>
      <c r="AQ19" s="76" t="n"/>
      <c r="AR19" s="76" t="n"/>
      <c r="AS19" s="77">
        <f>SUMPRODUCT(--(WEEKDAY(C$3:AG$3,2)&lt;5),--ISNUMBER(MATCH(C19:AG19,{"DM","CS1","CS2","SB1","AE","CS/B"},0)))</f>
        <v/>
      </c>
      <c r="AT19" s="77" t="n"/>
      <c r="AU19" s="77">
        <f>SUMPRODUCT(--(WEEKDAY(C$3:AG$3,2)=5),--ISNUMBER(MATCH(C19:AG19,{"DM","CS1","CS2","SB1","AE","CS/B","WEEKEND OUTFIELD RESERVE"},0)))</f>
        <v/>
      </c>
      <c r="AV19" s="77">
        <f>SUMPRODUCT(--(WEEKDAY(C$3:AG$3,2)&gt;5),--ISNUMBER(MATCH(C19:AG19,{"DM","CS1","CS2","SB1","AE","CS/B","WEEKEND OUTFIELD RESERVE"},0)))</f>
        <v/>
      </c>
      <c r="AW19" s="77" t="n"/>
      <c r="AX19" s="77">
        <f>(AS19-AT19)+AU19*1.5+(AV19-AW19)*2+AM19*0.5+AO19*0.5+AQ19-AR19</f>
        <v/>
      </c>
      <c r="AY19" s="77">
        <f>AS19+AU19+AV19</f>
        <v/>
      </c>
      <c r="AZ19" s="77">
        <f>BC19+BE19+BG19+BI19+BK19</f>
        <v/>
      </c>
      <c r="BA19" s="76">
        <f>AX19+BB19</f>
        <v/>
      </c>
      <c r="BB19" s="77">
        <f>BD19+BF19+BH19+BJ19+BL19</f>
        <v/>
      </c>
      <c r="BC19" s="77">
        <f>COUNTIF(A19:AH19,"*$BTP*")</f>
        <v/>
      </c>
      <c r="BD19" s="77">
        <f>BC19*1.5</f>
        <v/>
      </c>
      <c r="BE19" s="77">
        <f>COUNTIF(A19:AH19,"*$M*")</f>
        <v/>
      </c>
      <c r="BF19" s="77">
        <f>BE19*1</f>
        <v/>
      </c>
      <c r="BG19" s="77">
        <f>COUNTIF(A19:AH19,"*$PM*")</f>
        <v/>
      </c>
      <c r="BH19" s="77">
        <f>BG19*0.5</f>
        <v/>
      </c>
      <c r="BI19" s="77">
        <f>COUNTIF(A19:AH19,"*$AM*")</f>
        <v/>
      </c>
      <c r="BJ19" s="77">
        <f>BI19*0.5</f>
        <v/>
      </c>
      <c r="BK19" s="77">
        <f>COUNTIF(A19:AH19,"*$FC*")</f>
        <v/>
      </c>
      <c r="BL19" s="77">
        <f>BK19*1</f>
        <v/>
      </c>
      <c r="BM19" s="77">
        <f>COUNTIF($D19:$AA19,BM$4)</f>
        <v/>
      </c>
      <c r="BN19" s="77">
        <f>COUNTIF($D19:$AA19,BN$4)</f>
        <v/>
      </c>
      <c r="BO19" s="77">
        <f>COUNTIF($D19:$AA19,BO$4)</f>
        <v/>
      </c>
      <c r="BP19" s="77" t="n"/>
    </row>
    <row r="20" ht="47.25" customHeight="1">
      <c r="A20" s="67" t="n"/>
      <c r="B20" s="76" t="inlineStr">
        <is>
          <t>PTE EUGENE ANG (BCF)</t>
        </is>
      </c>
      <c r="C20" s="60" t="n"/>
      <c r="D20" s="53" t="n"/>
      <c r="E20" s="60" t="inlineStr">
        <is>
          <t>AE</t>
        </is>
      </c>
      <c r="F20" s="53" t="n"/>
      <c r="G20" s="53" t="inlineStr">
        <is>
          <t>AE</t>
        </is>
      </c>
      <c r="H20" s="60" t="n"/>
      <c r="I20" s="60" t="inlineStr">
        <is>
          <t>AE</t>
        </is>
      </c>
      <c r="J20" s="60" t="n"/>
      <c r="K20" s="60" t="n"/>
      <c r="L20" s="53" t="inlineStr">
        <is>
          <t>AE</t>
        </is>
      </c>
      <c r="M20" s="60" t="n"/>
      <c r="N20" s="60" t="n"/>
      <c r="O20" s="60" t="inlineStr">
        <is>
          <t>AE</t>
        </is>
      </c>
      <c r="P20" s="60" t="n"/>
      <c r="Q20" s="60" t="n"/>
      <c r="R20" s="60" t="n"/>
      <c r="S20" t="inlineStr">
        <is>
          <t>AE</t>
        </is>
      </c>
      <c r="T20" s="53" t="n"/>
      <c r="U20" s="60" t="inlineStr">
        <is>
          <t>AE</t>
        </is>
      </c>
      <c r="V20" s="60" t="n"/>
      <c r="W20" s="60" t="inlineStr">
        <is>
          <t>AE</t>
        </is>
      </c>
      <c r="X20" s="60" t="n"/>
      <c r="Y20" s="60" t="n"/>
      <c r="Z20" s="60" t="n"/>
      <c r="AA20" s="60" t="n"/>
      <c r="AB20" s="53" t="inlineStr">
        <is>
          <t>AE</t>
        </is>
      </c>
      <c r="AC20" s="53" t="n"/>
      <c r="AD20" s="60" t="n"/>
      <c r="AE20" s="84" t="n"/>
      <c r="AF20" s="60" t="inlineStr">
        <is>
          <t>SB1</t>
        </is>
      </c>
      <c r="AG20" s="60" t="n"/>
      <c r="AH20" s="67">
        <f>COUNTIF($C20:$AF20,AH$4)</f>
        <v/>
      </c>
      <c r="AI20" s="67">
        <f>COUNTIF($C20:$AF20,AI$4)</f>
        <v/>
      </c>
      <c r="AJ20" s="67">
        <f>COUNTIF($C20:$AF20,AJ$4)</f>
        <v/>
      </c>
      <c r="AK20" s="67">
        <f>COUNTIF($C20:$AF20,AK$4)</f>
        <v/>
      </c>
      <c r="AL20" s="67">
        <f>COUNTIF($C20:$AF20,AL$4)</f>
        <v/>
      </c>
      <c r="AM20" s="67">
        <f>COUNTIF($C20:$AF20,AM$4)</f>
        <v/>
      </c>
      <c r="AN20" s="67">
        <f>COUNTIF($C20:$AF20,AN$4)</f>
        <v/>
      </c>
      <c r="AO20" s="67">
        <f>COUNTIF($C20:$AF20,AO$4)</f>
        <v/>
      </c>
      <c r="AP20" s="67">
        <f>COUNTIF($C20:$AF20,AP$4)</f>
        <v/>
      </c>
      <c r="AQ20" s="76" t="n"/>
      <c r="AR20" s="76" t="n"/>
      <c r="AS20" s="77">
        <f>SUMPRODUCT(--(WEEKDAY(C$3:AG$3,2)&lt;5),--ISNUMBER(MATCH(C20:AG20,{"DM","CS1","CS2","SB1","AE","CS/B"},0)))</f>
        <v/>
      </c>
      <c r="AT20" s="77" t="n"/>
      <c r="AU20" s="77">
        <f>SUMPRODUCT(--(WEEKDAY(C$3:AG$3,2)=5),--ISNUMBER(MATCH(C20:AG20,{"DM","CS1","CS2","SB1","AE","CS/B","WEEKEND OUTFIELD RESERVE"},0)))</f>
        <v/>
      </c>
      <c r="AV20" s="77">
        <f>SUMPRODUCT(--(WEEKDAY(C$3:AG$3,2)&gt;5),--ISNUMBER(MATCH(C20:AG20,{"DM","CS1","CS2","SB1","AE","CS/B","WEEKEND OUTFIELD RESERVE"},0)))</f>
        <v/>
      </c>
      <c r="AW20" s="77" t="n"/>
      <c r="AX20" s="77">
        <f>(AS20-AT20)+AU20*1.5+(AV20-AW20)*2+AM20*0.5+AO20*0.5+AQ20-AR20</f>
        <v/>
      </c>
      <c r="AY20" s="77">
        <f>AS20+AU20+AV20</f>
        <v/>
      </c>
      <c r="AZ20" s="77">
        <f>BC20+BE20+BG20+BI20+BK20</f>
        <v/>
      </c>
      <c r="BA20" s="76">
        <f>AX20+BB20</f>
        <v/>
      </c>
      <c r="BB20" s="77">
        <f>BD20+BF20+BH20+BJ20+BL20</f>
        <v/>
      </c>
      <c r="BC20" s="77">
        <f>COUNTIF(A20:AH20,"*$BTP*")</f>
        <v/>
      </c>
      <c r="BD20" s="77">
        <f>BC20*1.5</f>
        <v/>
      </c>
      <c r="BE20" s="77">
        <f>COUNTIF(A20:AH20,"*$M*")</f>
        <v/>
      </c>
      <c r="BF20" s="77">
        <f>BE20*1</f>
        <v/>
      </c>
      <c r="BG20" s="77">
        <f>COUNTIF(A20:AH20,"*$PM*")</f>
        <v/>
      </c>
      <c r="BH20" s="77">
        <f>BG20*0.5</f>
        <v/>
      </c>
      <c r="BI20" s="77">
        <f>COUNTIF(A20:AH20,"*$AM*")</f>
        <v/>
      </c>
      <c r="BJ20" s="77">
        <f>BI20*0.5</f>
        <v/>
      </c>
      <c r="BK20" s="77">
        <f>COUNTIF(A20:AH20,"*$FC*")</f>
        <v/>
      </c>
      <c r="BL20" s="77">
        <f>BK20*1</f>
        <v/>
      </c>
      <c r="BM20" s="77">
        <f>COUNTIF($D20:$AA20,BM$4)</f>
        <v/>
      </c>
      <c r="BN20" s="77">
        <f>COUNTIF($D20:$AA20,BN$4)</f>
        <v/>
      </c>
      <c r="BO20" s="77">
        <f>COUNTIF($D20:$AA20,BO$4)</f>
        <v/>
      </c>
      <c r="BP20" s="77" t="n"/>
    </row>
    <row r="21" ht="47.25" customHeight="1">
      <c r="A21" s="67" t="n"/>
      <c r="B21" s="76" t="inlineStr">
        <is>
          <t>PTE JAR RUI (BCF)</t>
        </is>
      </c>
      <c r="C21" s="60" t="n"/>
      <c r="D21" s="53" t="n"/>
      <c r="E21" s="60" t="inlineStr">
        <is>
          <t>SB1</t>
        </is>
      </c>
      <c r="F21" s="53" t="n"/>
      <c r="G21" s="53" t="inlineStr">
        <is>
          <t>SB1</t>
        </is>
      </c>
      <c r="H21" s="60" t="n"/>
      <c r="I21" s="60" t="inlineStr">
        <is>
          <t>SB1</t>
        </is>
      </c>
      <c r="J21" s="60" t="n"/>
      <c r="K21" s="60" t="n"/>
      <c r="L21" s="53" t="inlineStr">
        <is>
          <t>SB1</t>
        </is>
      </c>
      <c r="M21" s="60" t="n"/>
      <c r="N21" s="60" t="n"/>
      <c r="O21" s="60" t="inlineStr">
        <is>
          <t>SB1</t>
        </is>
      </c>
      <c r="P21" s="60" t="n"/>
      <c r="Q21" s="60" t="n"/>
      <c r="R21" s="60" t="n"/>
      <c r="S21" s="60" t="inlineStr">
        <is>
          <t>SB1</t>
        </is>
      </c>
      <c r="T21" s="53" t="n"/>
      <c r="U21" s="60" t="inlineStr">
        <is>
          <t>SB2</t>
        </is>
      </c>
      <c r="V21" s="60" t="n"/>
      <c r="W21" s="60" t="n"/>
      <c r="X21" s="60" t="inlineStr">
        <is>
          <t>AE</t>
        </is>
      </c>
      <c r="Y21" s="60" t="n"/>
      <c r="Z21" s="60" t="n"/>
      <c r="AA21" s="60" t="n"/>
      <c r="AB21" s="53" t="inlineStr">
        <is>
          <t>SB2</t>
        </is>
      </c>
      <c r="AC21" s="53" t="n"/>
      <c r="AD21" s="60" t="n"/>
      <c r="AE21" s="79" t="n"/>
      <c r="AF21" s="60" t="n"/>
      <c r="AG21" s="60" t="inlineStr">
        <is>
          <t>AE</t>
        </is>
      </c>
      <c r="AH21" s="67">
        <f>COUNTIF($C21:$AF21,AH$4)</f>
        <v/>
      </c>
      <c r="AI21" s="67">
        <f>COUNTIF($C21:$AF21,AI$4)</f>
        <v/>
      </c>
      <c r="AJ21" s="67">
        <f>COUNTIF($C21:$AF21,AJ$4)</f>
        <v/>
      </c>
      <c r="AK21" s="67">
        <f>COUNTIF($C21:$AF21,AK$4)</f>
        <v/>
      </c>
      <c r="AL21" s="67">
        <f>COUNTIF($C21:$AF21,AL$4)</f>
        <v/>
      </c>
      <c r="AM21" s="67">
        <f>COUNTIF($C21:$AF21,AM$4)</f>
        <v/>
      </c>
      <c r="AN21" s="67">
        <f>COUNTIF($C21:$AF21,AN$4)</f>
        <v/>
      </c>
      <c r="AO21" s="67">
        <f>COUNTIF($C21:$AF21,AO$4)</f>
        <v/>
      </c>
      <c r="AP21" s="67">
        <f>COUNTIF($C21:$AF21,AP$4)</f>
        <v/>
      </c>
      <c r="AQ21" s="76" t="n"/>
      <c r="AR21" s="76" t="n"/>
      <c r="AS21" s="77">
        <f>SUMPRODUCT(--(WEEKDAY(C$3:AG$3,2)&lt;5),--ISNUMBER(MATCH(C21:AG21,{"DM","CS1","CS2","SB1","AE","CS/B"},0)))</f>
        <v/>
      </c>
      <c r="AT21" s="77" t="n"/>
      <c r="AU21" s="77">
        <f>SUMPRODUCT(--(WEEKDAY(C$3:AG$3,2)=5),--ISNUMBER(MATCH(C21:AG21,{"DM","CS1","CS2","SB1","AE","CS/B","WEEKEND OUTFIELD RESERVE"},0)))</f>
        <v/>
      </c>
      <c r="AV21" s="77">
        <f>SUMPRODUCT(--(WEEKDAY(C$3:AG$3,2)&gt;5),--ISNUMBER(MATCH(C21:AG21,{"DM","CS1","CS2","SB1","AE","CS/B","WEEKEND OUTFIELD RESERVE"},0)))</f>
        <v/>
      </c>
      <c r="AW21" s="77" t="n"/>
      <c r="AX21" s="77">
        <f>(AS21-AT21)+AU21*1.5+(AV21-AW21)*2+AM21*0.5+AO21*0.5+AQ21-AR21</f>
        <v/>
      </c>
      <c r="AY21" s="77">
        <f>AS21+AU21+AV21</f>
        <v/>
      </c>
      <c r="AZ21" s="77">
        <f>BC21+BE21+BG21+BI21+BK21</f>
        <v/>
      </c>
      <c r="BA21" s="76">
        <f>AX21+BB21</f>
        <v/>
      </c>
      <c r="BB21" s="77">
        <f>BD21+BF21+BH21+BJ21+BL21</f>
        <v/>
      </c>
      <c r="BC21" s="77">
        <f>COUNTIF(A21:AH21,"*$BTP*")</f>
        <v/>
      </c>
      <c r="BD21" s="77">
        <f>BC21*1.5</f>
        <v/>
      </c>
      <c r="BE21" s="77">
        <f>COUNTIF(A21:AH21,"*$M*")</f>
        <v/>
      </c>
      <c r="BF21" s="77">
        <f>BE21*1</f>
        <v/>
      </c>
      <c r="BG21" s="77">
        <f>COUNTIF(A21:AH21,"*$PM*")</f>
        <v/>
      </c>
      <c r="BH21" s="77">
        <f>BG21*0.5</f>
        <v/>
      </c>
      <c r="BI21" s="77">
        <f>COUNTIF(A21:AH21,"*$AM*")</f>
        <v/>
      </c>
      <c r="BJ21" s="77">
        <f>BI21*0.5</f>
        <v/>
      </c>
      <c r="BK21" s="77">
        <f>COUNTIF(A21:AH21,"*$FC*")</f>
        <v/>
      </c>
      <c r="BL21" s="77">
        <f>BK21*1</f>
        <v/>
      </c>
      <c r="BM21" s="77">
        <f>COUNTIF($D21:$AA21,BM$4)</f>
        <v/>
      </c>
      <c r="BN21" s="77">
        <f>COUNTIF($D21:$AA21,BN$4)</f>
        <v/>
      </c>
      <c r="BO21" s="77">
        <f>COUNTIF($D21:$AA21,BO$4)</f>
        <v/>
      </c>
      <c r="BP21" s="77" t="n"/>
    </row>
    <row r="22" ht="45" customHeight="1">
      <c r="A22" s="67" t="n"/>
      <c r="B22" s="76" t="inlineStr">
        <is>
          <t>LCP APPLE YEO</t>
        </is>
      </c>
      <c r="C22" s="60" t="n"/>
      <c r="D22" s="60" t="n"/>
      <c r="E22" s="60" t="n"/>
      <c r="F22" s="60" t="n"/>
      <c r="G22" s="53" t="n"/>
      <c r="H22" s="53" t="n"/>
      <c r="I22" s="53" t="n"/>
      <c r="J22" s="60" t="n"/>
      <c r="K22" s="53" t="n"/>
      <c r="L22" s="60" t="n"/>
      <c r="M22" s="60" t="n"/>
      <c r="N22" s="60" t="n"/>
      <c r="O22" s="60" t="n"/>
      <c r="P22" s="60" t="n"/>
      <c r="Q22" s="60" t="n"/>
      <c r="R22" s="53" t="n"/>
      <c r="S22" s="60" t="n"/>
      <c r="T22" s="53" t="n"/>
      <c r="U22" s="53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84" t="n"/>
      <c r="AF22" s="60" t="n"/>
      <c r="AG22" s="60" t="n"/>
      <c r="AH22" s="67">
        <f>COUNTIF($C22:$AF22,AH$4)</f>
        <v/>
      </c>
      <c r="AI22" s="67">
        <f>COUNTIF($C22:$AF22,AI$4)</f>
        <v/>
      </c>
      <c r="AJ22" s="67">
        <f>COUNTIF($C22:$AF22,AJ$4)</f>
        <v/>
      </c>
      <c r="AK22" s="67">
        <f>COUNTIF($C22:$AF22,AK$4)</f>
        <v/>
      </c>
      <c r="AL22" s="67">
        <f>COUNTIF($C22:$AF22,AL$4)</f>
        <v/>
      </c>
      <c r="AM22" s="67">
        <f>COUNTIF($C22:$AF22,AM$4)</f>
        <v/>
      </c>
      <c r="AN22" s="67">
        <f>COUNTIF($C22:$AF22,AN$4)</f>
        <v/>
      </c>
      <c r="AO22" s="67">
        <f>COUNTIF($C22:$AF22,AO$4)</f>
        <v/>
      </c>
      <c r="AP22" s="67">
        <f>COUNTIF($C22:$AF22,AP$4)</f>
        <v/>
      </c>
      <c r="AQ22" s="76" t="n">
        <v>1</v>
      </c>
      <c r="AR22" s="76" t="n"/>
      <c r="AS22" s="77">
        <f>SUMPRODUCT(--(WEEKDAY(C$3:AG$3,2)&lt;5),--ISNUMBER(MATCH(C22:AG22,{"DM","CS1","CS2","SB1","AE","CS/B"},0)))</f>
        <v/>
      </c>
      <c r="AT22" s="77" t="n"/>
      <c r="AU22" s="77">
        <f>SUMPRODUCT(--(WEEKDAY(C$3:AG$3,2)=5),--ISNUMBER(MATCH(C22:AG22,{"DM","CS1","CS2","SB1","AE","CS/B","WEEKEND OUTFIELD RESERVE"},0)))</f>
        <v/>
      </c>
      <c r="AV22" s="77">
        <f>SUMPRODUCT(--(WEEKDAY(C$3:AG$3,2)&gt;5),--ISNUMBER(MATCH(C22:AG22,{"DM","CS1","CS2","SB1","AE","CS/B","WEEKEND OUTFIELD RESERVE"},0)))</f>
        <v/>
      </c>
      <c r="AW22" s="77" t="n"/>
      <c r="AX22" s="77">
        <f>(AS22-AT22)+AU22*1.5+(AV22-AW22)*2+AM22*0.5+AO22*0.5+AQ22-AR22</f>
        <v/>
      </c>
      <c r="AY22" s="77">
        <f>AS22+AU22+AV22</f>
        <v/>
      </c>
      <c r="AZ22" s="77">
        <f>BC22+BE22+BG22+BI22+BK22</f>
        <v/>
      </c>
      <c r="BA22" s="76">
        <f>AX22+BB22</f>
        <v/>
      </c>
      <c r="BB22" s="77">
        <f>BD22+BF22+BH22+BJ22+BL22</f>
        <v/>
      </c>
      <c r="BC22" s="77">
        <f>COUNTIF(A22:AH22,"*$BTP*")</f>
        <v/>
      </c>
      <c r="BD22" s="77">
        <f>BC22*1.5</f>
        <v/>
      </c>
      <c r="BE22" s="77">
        <f>COUNTIF(A22:AH22,"*$M*")</f>
        <v/>
      </c>
      <c r="BF22" s="77">
        <f>BE22*1</f>
        <v/>
      </c>
      <c r="BG22" s="77">
        <f>COUNTIF(A22:AH22,"*$PM*")</f>
        <v/>
      </c>
      <c r="BH22" s="77">
        <f>BG22*0.5</f>
        <v/>
      </c>
      <c r="BI22" s="77">
        <f>COUNTIF(A22:AH22,"*$AM*")</f>
        <v/>
      </c>
      <c r="BJ22" s="77">
        <f>BI22*0.5</f>
        <v/>
      </c>
      <c r="BK22" s="77">
        <f>COUNTIF(A22:AH22,"*$FC*")</f>
        <v/>
      </c>
      <c r="BL22" s="77">
        <f>BK22*1</f>
        <v/>
      </c>
      <c r="BM22" s="77">
        <f>COUNTIF($D22:$AA22,BM$4)</f>
        <v/>
      </c>
      <c r="BN22" s="77">
        <f>COUNTIF($D22:$AA22,BN$4)</f>
        <v/>
      </c>
      <c r="BO22" s="77">
        <f>COUNTIF($D22:$AA22,BO$4)</f>
        <v/>
      </c>
      <c r="BP22" s="77" t="n"/>
    </row>
    <row r="23" ht="51" customHeight="1">
      <c r="A23" s="67" t="n"/>
      <c r="B23" s="76" t="inlineStr">
        <is>
          <t>CPL HO SHENGHUI HAYDEN</t>
        </is>
      </c>
      <c r="C23" s="60" t="n"/>
      <c r="D23" s="60" t="n"/>
      <c r="E23" s="60" t="n"/>
      <c r="F23" s="60" t="n"/>
      <c r="G23" s="60" t="n"/>
      <c r="H23" s="60" t="inlineStr">
        <is>
          <t>AL</t>
        </is>
      </c>
      <c r="I23" s="60" t="n"/>
      <c r="J23" s="60" t="n"/>
      <c r="K23" s="85" t="inlineStr">
        <is>
          <t>1st $M HG (0500-2000)</t>
        </is>
      </c>
      <c r="L23" s="60" t="n"/>
      <c r="N23" s="60" t="n"/>
      <c r="O23" s="60" t="inlineStr">
        <is>
          <t>AL</t>
        </is>
      </c>
      <c r="P23" s="60" t="n"/>
      <c r="Q23" s="60" t="n"/>
      <c r="R23" s="60" t="inlineStr">
        <is>
          <t>RESERVE</t>
        </is>
      </c>
      <c r="S23" s="60" t="n"/>
      <c r="T23" s="60" t="n"/>
      <c r="U23" s="60" t="n"/>
      <c r="V23" s="60" t="inlineStr">
        <is>
          <t>AL</t>
        </is>
      </c>
      <c r="W23" s="60" t="n"/>
      <c r="X23" s="60" t="n"/>
      <c r="Y23" s="60" t="n"/>
      <c r="Z23" s="53" t="n"/>
      <c r="AA23" s="60" t="n"/>
      <c r="AB23" s="60" t="n"/>
      <c r="AC23" s="53" t="inlineStr">
        <is>
          <t>AL</t>
        </is>
      </c>
      <c r="AD23" s="60" t="n"/>
      <c r="AE23" s="79" t="n"/>
      <c r="AF23" s="60" t="n"/>
      <c r="AG23" s="60" t="n"/>
      <c r="AH23" s="67">
        <f>COUNTIF($C23:$AF23,AH$4)</f>
        <v/>
      </c>
      <c r="AI23" s="67">
        <f>COUNTIF($C23:$AF23,AI$4)</f>
        <v/>
      </c>
      <c r="AJ23" s="67">
        <f>COUNTIF($C23:$AF23,AJ$4)</f>
        <v/>
      </c>
      <c r="AK23" s="67">
        <f>COUNTIF($C23:$AF23,AK$4)</f>
        <v/>
      </c>
      <c r="AL23" s="67">
        <f>COUNTIF($C23:$AF23,AL$4)</f>
        <v/>
      </c>
      <c r="AM23" s="67">
        <f>COUNTIF($C23:$AF23,AM$4)</f>
        <v/>
      </c>
      <c r="AN23" s="67">
        <f>COUNTIF($C23:$AF23,AN$4)</f>
        <v/>
      </c>
      <c r="AO23" s="67">
        <f>COUNTIF($C23:$AF23,AO$4)</f>
        <v/>
      </c>
      <c r="AP23" s="67">
        <f>COUNTIF($C23:$AF23,AP$4)</f>
        <v/>
      </c>
      <c r="AQ23" s="76" t="n">
        <v>0</v>
      </c>
      <c r="AR23" s="76" t="n"/>
      <c r="AS23" s="77">
        <f>SUMPRODUCT(--(WEEKDAY(C$3:AG$3,2)&lt;5),--ISNUMBER(MATCH(C23:AG23,{"DM","CS1","CS2","SB1","AE","CS/B"},0)))</f>
        <v/>
      </c>
      <c r="AT23" s="77" t="n"/>
      <c r="AU23" s="77">
        <f>SUMPRODUCT(--(WEEKDAY(C$3:AG$3,2)=5),--ISNUMBER(MATCH(C23:AG23,{"DM","CS1","CS2","SB1","AE","CS/B","WEEKEND OUTFIELD RESERVE"},0)))</f>
        <v/>
      </c>
      <c r="AV23" s="77">
        <f>SUMPRODUCT(--(WEEKDAY(C$3:AG$3,2)&gt;5),--ISNUMBER(MATCH(C23:AG23,{"DM","CS1","CS2","SB1","AE","CS/B","WEEKEND OUTFIELD RESERVE"},0)))</f>
        <v/>
      </c>
      <c r="AW23" s="77" t="n"/>
      <c r="AX23" s="77">
        <f>(AS23-AT23)+AU23*1.5+(AV23-AW23)*2+AM23*0.5+AO23*0.5+AQ23-AR23</f>
        <v/>
      </c>
      <c r="AY23" s="77">
        <f>AS23+AU23+AV23</f>
        <v/>
      </c>
      <c r="AZ23" s="77">
        <f>BC23+BE23+BG23+BI23+BK23</f>
        <v/>
      </c>
      <c r="BA23" s="76">
        <f>AX23+BB23</f>
        <v/>
      </c>
      <c r="BB23" s="77">
        <f>BD23+BF23+BH23+BJ23+BL23</f>
        <v/>
      </c>
      <c r="BC23" s="77">
        <f>COUNTIF(A23:AH23,"*$BTP*")</f>
        <v/>
      </c>
      <c r="BD23" s="77">
        <f>BC23*1.5</f>
        <v/>
      </c>
      <c r="BE23" s="77">
        <f>COUNTIF(A23:AH23,"*$M*")</f>
        <v/>
      </c>
      <c r="BF23" s="77">
        <f>BE23*1</f>
        <v/>
      </c>
      <c r="BG23" s="77">
        <f>COUNTIF(A23:AH23,"*$PM*")</f>
        <v/>
      </c>
      <c r="BH23" s="77">
        <f>BG23*0.5</f>
        <v/>
      </c>
      <c r="BI23" s="77">
        <f>COUNTIF(A23:AH23,"*$AM*")</f>
        <v/>
      </c>
      <c r="BJ23" s="77">
        <f>BI23*0.5</f>
        <v/>
      </c>
      <c r="BK23" s="77">
        <f>COUNTIF(A23:AH23,"*$FC*")</f>
        <v/>
      </c>
      <c r="BL23" s="77">
        <f>BK23*1</f>
        <v/>
      </c>
      <c r="BM23" s="77">
        <f>COUNTIF($D23:$AA23,BM$4)</f>
        <v/>
      </c>
      <c r="BN23" s="77">
        <f>COUNTIF($D23:$AA23,BN$4)</f>
        <v/>
      </c>
      <c r="BO23" s="77">
        <f>COUNTIF($D23:$AA23,BO$4)</f>
        <v/>
      </c>
      <c r="BP23" s="77" t="n"/>
    </row>
    <row r="24" ht="19.5" customHeight="1">
      <c r="A24" s="67" t="n"/>
      <c r="B24" s="76" t="inlineStr">
        <is>
          <t>CPL QUEK ZI YI</t>
        </is>
      </c>
      <c r="C24" s="60" t="n"/>
      <c r="D24" s="60" t="n"/>
      <c r="E24" s="60" t="n"/>
      <c r="F24" s="60" t="n"/>
      <c r="G24" s="60" t="n"/>
      <c r="H24" s="60" t="n"/>
      <c r="I24" s="60" t="inlineStr">
        <is>
          <t>AL</t>
        </is>
      </c>
      <c r="J24" s="60" t="inlineStr">
        <is>
          <t>STARLIGHT OIL</t>
        </is>
      </c>
      <c r="K24" s="60" t="inlineStr">
        <is>
          <t>OL</t>
        </is>
      </c>
      <c r="L24" s="60" t="inlineStr">
        <is>
          <t>OL</t>
        </is>
      </c>
      <c r="M24" s="60" t="inlineStr">
        <is>
          <t>OL</t>
        </is>
      </c>
      <c r="N24" s="60" t="inlineStr">
        <is>
          <t>OL</t>
        </is>
      </c>
      <c r="O24" s="60" t="n"/>
      <c r="P24" s="60" t="n"/>
      <c r="Q24" s="53" t="n"/>
      <c r="R24" s="53" t="n"/>
      <c r="S24" s="60" t="n"/>
      <c r="T24" s="53" t="n"/>
      <c r="U24" s="53" t="n"/>
      <c r="V24" s="60" t="n"/>
      <c r="W24" s="53" t="n"/>
      <c r="X24" s="60" t="inlineStr">
        <is>
          <t>P $AM IPPT (0530-1030)</t>
        </is>
      </c>
      <c r="Y24" s="53" t="n"/>
      <c r="Z24" s="53" t="n"/>
      <c r="AA24" s="60" t="n"/>
      <c r="AB24" s="60" t="n"/>
      <c r="AC24" s="60" t="n"/>
      <c r="AD24" s="60" t="n"/>
      <c r="AE24" s="84" t="n"/>
      <c r="AF24" s="60" t="n"/>
      <c r="AG24" s="60" t="n"/>
      <c r="AH24" s="67">
        <f>COUNTIF($C24:$Z24,AH$4)</f>
        <v/>
      </c>
      <c r="AI24" s="67">
        <f>COUNTIF($C24:$Z24,AI$4)</f>
        <v/>
      </c>
      <c r="AJ24" s="67">
        <f>COUNTIF($C24:$Z24,AJ$4)</f>
        <v/>
      </c>
      <c r="AK24" s="67">
        <f>COUNTIF($C24:$Z24,AK$4)</f>
        <v/>
      </c>
      <c r="AL24" s="67">
        <f>COUNTIF($C24:$Z24,AL$4)</f>
        <v/>
      </c>
      <c r="AM24" s="67">
        <f>COUNTIF($C24:$Z24,AM$4)</f>
        <v/>
      </c>
      <c r="AN24" s="67">
        <f>COUNTIF($C24:$Z24,AN$4)</f>
        <v/>
      </c>
      <c r="AO24" s="67">
        <f>COUNTIF($C24:$Z24,AO$4)</f>
        <v/>
      </c>
      <c r="AP24" s="67">
        <f>COUNTIF($C24:$Z24,AP$4)</f>
        <v/>
      </c>
      <c r="AQ24" s="76" t="n"/>
      <c r="AR24" s="76" t="n">
        <v>4.5</v>
      </c>
      <c r="AS24" s="77">
        <f>SUMPRODUCT(--(WEEKDAY(C$3:AG$3,2)&lt;5),--ISNUMBER(MATCH(C24:AG24,{"DM","CS1","CS2","SB1","AE","CS/B"},0)))</f>
        <v/>
      </c>
      <c r="AT24" s="67" t="n"/>
      <c r="AU24" s="77">
        <f>SUMPRODUCT(--(WEEKDAY(C$3:AG$3,2)=5),--ISNUMBER(MATCH(C24:AG24,{"DM","CS1","CS2","SB1","AE","CS/B","WEEKEND OUTFIELD RESERVE"},0)))</f>
        <v/>
      </c>
      <c r="AV24" s="77">
        <f>SUMPRODUCT(--(WEEKDAY(C$3:AG$3,2)&gt;5),--ISNUMBER(MATCH(C24:AG24,{"DM","CS1","CS2","SB1","AE","CS/B","WEEKEND OUTFIELD RESERVE"},0)))</f>
        <v/>
      </c>
      <c r="AW24" s="67" t="n"/>
      <c r="AX24" s="77">
        <f>(AS24-AT24)+AU24*1.5+(AV24-AW24)*2+AM24*0.5+AO24*0.5+AQ24-AR24</f>
        <v/>
      </c>
      <c r="AY24" s="77">
        <f>AS24+AU24+AV24</f>
        <v/>
      </c>
      <c r="AZ24" s="77">
        <f>BC24+BE24+BG24+BI24+BK24</f>
        <v/>
      </c>
      <c r="BA24" s="76">
        <f>AX24+BB24</f>
        <v/>
      </c>
      <c r="BB24" s="77">
        <f>BD24+BF24+BH24+BJ24+BL24</f>
        <v/>
      </c>
      <c r="BC24" s="77">
        <f>COUNTIF(A24:AH24,"*$BTP*")</f>
        <v/>
      </c>
      <c r="BD24" s="77">
        <f>BC24*1.5</f>
        <v/>
      </c>
      <c r="BE24" s="77">
        <f>COUNTIF(A24:AH24,"*$M*")</f>
        <v/>
      </c>
      <c r="BF24" s="77">
        <f>BE24*1</f>
        <v/>
      </c>
      <c r="BG24" s="77">
        <f>COUNTIF(A24:AH24,"*$PM*")</f>
        <v/>
      </c>
      <c r="BH24" s="77">
        <f>BG24*0.5</f>
        <v/>
      </c>
      <c r="BI24" s="77">
        <f>COUNTIF(A24:AH24,"*$AM*")</f>
        <v/>
      </c>
      <c r="BJ24" s="77">
        <f>BI24*0.5</f>
        <v/>
      </c>
      <c r="BK24" s="77">
        <f>COUNTIF(A24:AH24,"*$FC*")</f>
        <v/>
      </c>
      <c r="BL24" s="77">
        <f>BK24*1</f>
        <v/>
      </c>
      <c r="BM24" s="77">
        <f>COUNTIF($D24:$Z24,BM$4)</f>
        <v/>
      </c>
      <c r="BN24" s="77">
        <f>COUNTIF($D24:$Z24,BN$4)</f>
        <v/>
      </c>
      <c r="BO24" s="77">
        <f>COUNTIF($D24:$Z24,BO$4)</f>
        <v/>
      </c>
      <c r="BP24" s="67" t="n"/>
    </row>
    <row r="25" ht="103.5" customHeight="1">
      <c r="A25" s="67" t="n"/>
      <c r="B25" s="76" t="inlineStr">
        <is>
          <t>LCP EKLAYVA PINGALI</t>
        </is>
      </c>
      <c r="C25" s="60" t="n"/>
      <c r="D25" s="60" t="inlineStr">
        <is>
          <t>COVER RESERVE</t>
        </is>
      </c>
      <c r="E25" s="60" t="n"/>
      <c r="F25" s="60" t="n"/>
      <c r="G25" s="60" t="n"/>
      <c r="H25" s="60" t="n"/>
      <c r="I25" s="60" t="inlineStr">
        <is>
          <t>K $BTP (0515-2359)</t>
        </is>
      </c>
      <c r="J25" s="60" t="n"/>
      <c r="K25" s="60" t="inlineStr">
        <is>
          <t>COMPONENT TRAINING</t>
        </is>
      </c>
      <c r="L25" s="53" t="n"/>
      <c r="M25" s="53" t="inlineStr">
        <is>
          <t>RESERVE</t>
        </is>
      </c>
      <c r="N25" s="60" t="n"/>
      <c r="O25" s="60" t="inlineStr">
        <is>
          <t>MSP REHEARSAL</t>
        </is>
      </c>
      <c r="P25" s="60" t="inlineStr">
        <is>
          <t>MSP REHEARSAL</t>
        </is>
      </c>
      <c r="Q25" s="60" t="inlineStr">
        <is>
          <t>SB1</t>
        </is>
      </c>
      <c r="R25" s="53" t="n"/>
      <c r="S25" s="53" t="inlineStr">
        <is>
          <t>MSP</t>
        </is>
      </c>
      <c r="T25" s="60" t="n"/>
      <c r="U25" s="60" t="inlineStr">
        <is>
          <t>bday</t>
        </is>
      </c>
      <c r="V25" s="60" t="n"/>
      <c r="W25" s="60" t="inlineStr">
        <is>
          <t>P $PM CC (1530-1830)</t>
        </is>
      </c>
      <c r="X25" s="60" t="n"/>
      <c r="Y25" s="60" t="inlineStr">
        <is>
          <t>SB1</t>
        </is>
      </c>
      <c r="Z25" s="60" t="n"/>
      <c r="AA25" s="60" t="n"/>
      <c r="AB25" s="60" t="n"/>
      <c r="AC25" s="60" t="n"/>
      <c r="AD25" s="60" t="n"/>
      <c r="AE25" s="79" t="n"/>
      <c r="AF25" s="53" t="n"/>
      <c r="AG25" s="60" t="inlineStr">
        <is>
          <t>SB1</t>
        </is>
      </c>
      <c r="AH25" s="67">
        <f>COUNTIF($C25:$AF25,AH$4)</f>
        <v/>
      </c>
      <c r="AI25" s="67">
        <f>COUNTIF($C25:$AF25,AI$4)</f>
        <v/>
      </c>
      <c r="AJ25" s="67">
        <f>COUNTIF($C25:$AF25,AJ$4)</f>
        <v/>
      </c>
      <c r="AK25" s="67">
        <f>COUNTIF($C25:$AF25,AK$4)</f>
        <v/>
      </c>
      <c r="AL25" s="67">
        <f>COUNTIF($C25:$AF25,AL$4)</f>
        <v/>
      </c>
      <c r="AM25" s="67">
        <f>COUNTIF($C25:$AF25,AM$4)</f>
        <v/>
      </c>
      <c r="AN25" s="67">
        <f>COUNTIF($C25:$AF25,AN$4)</f>
        <v/>
      </c>
      <c r="AO25" s="67">
        <f>COUNTIF($C25:$AF25,AO$4)</f>
        <v/>
      </c>
      <c r="AP25" s="67">
        <f>COUNTIF($C25:$AF25,AP$4)</f>
        <v/>
      </c>
      <c r="AQ25" s="76" t="n"/>
      <c r="AR25" s="76" t="n">
        <v>2.5</v>
      </c>
      <c r="AS25" s="77">
        <f>SUMPRODUCT(--(WEEKDAY(C$3:AG$3,2)&lt;5),--ISNUMBER(MATCH(C25:AG25,{"DM","CS1","CS2","SB1","AE","CS/B"},0)))</f>
        <v/>
      </c>
      <c r="AT25" s="77" t="n"/>
      <c r="AU25" s="77">
        <f>SUMPRODUCT(--(WEEKDAY(C$3:AG$3,2)=5),--ISNUMBER(MATCH(C25:AG25,{"DM","CS1","CS2","SB1","AE","CS/B","WEEKEND OUTFIELD RESERVE"},0)))</f>
        <v/>
      </c>
      <c r="AV25" s="77">
        <f>SUMPRODUCT(--(WEEKDAY(C$3:AG$3,2)&gt;5),--ISNUMBER(MATCH(C25:AG25,{"DM","CS1","CS2","SB1","AE","CS/B","WEEKEND OUTFIELD RESERVE"},0)))</f>
        <v/>
      </c>
      <c r="AW25" s="77" t="n"/>
      <c r="AX25" s="77">
        <f>(AS25-AT25)+AU25*1.5+(AV25-AW25)*2+AM25*0.5+AO25*0.5+AQ25-AR25</f>
        <v/>
      </c>
      <c r="AY25" s="77">
        <f>AS25+AU25+AV25</f>
        <v/>
      </c>
      <c r="AZ25" s="77">
        <f>BC25+BE25+BG25+BI25+BK25</f>
        <v/>
      </c>
      <c r="BA25" s="76">
        <f>AX25+BB25</f>
        <v/>
      </c>
      <c r="BB25" s="77">
        <f>BD25+BF25+BH25+BJ25+BL25</f>
        <v/>
      </c>
      <c r="BC25" s="77">
        <f>COUNTIF(A25:AH25,"*$BTP*")</f>
        <v/>
      </c>
      <c r="BD25" s="77">
        <f>BC25*1.5</f>
        <v/>
      </c>
      <c r="BE25" s="77">
        <f>COUNTIF(A25:AH25,"*$M*")</f>
        <v/>
      </c>
      <c r="BF25" s="77">
        <f>BE25*1</f>
        <v/>
      </c>
      <c r="BG25" s="77">
        <f>COUNTIF(A25:AH25,"*$PM*")</f>
        <v/>
      </c>
      <c r="BH25" s="77">
        <f>BG25*0.5</f>
        <v/>
      </c>
      <c r="BI25" s="77">
        <f>COUNTIF(A25:AH25,"*$AM*")</f>
        <v/>
      </c>
      <c r="BJ25" s="77">
        <f>BI25*0.5</f>
        <v/>
      </c>
      <c r="BK25" s="77">
        <f>COUNTIF(A25:AH25,"*$FC*")</f>
        <v/>
      </c>
      <c r="BL25" s="77">
        <f>BK25*1</f>
        <v/>
      </c>
      <c r="BM25" s="77">
        <f>COUNTIF($D25:$AA25,BM$4)</f>
        <v/>
      </c>
      <c r="BN25" s="77">
        <f>COUNTIF($D25:$AA25,BN$4)</f>
        <v/>
      </c>
      <c r="BO25" s="77">
        <f>COUNTIF($D25:$AA25,BO$4)</f>
        <v/>
      </c>
      <c r="BP25" s="77" t="n"/>
    </row>
    <row r="26" ht="68.25" customHeight="1">
      <c r="A26" s="67" t="n"/>
      <c r="B26" s="76" t="inlineStr">
        <is>
          <t>CFC DERRICK CHIN</t>
        </is>
      </c>
      <c r="C26" s="53" t="n"/>
      <c r="D26" s="60" t="n"/>
      <c r="E26" s="60" t="n"/>
      <c r="F26" s="60" t="n"/>
      <c r="G26" s="53" t="n"/>
      <c r="H26" s="60" t="inlineStr">
        <is>
          <t>APS</t>
        </is>
      </c>
      <c r="I26" s="53" t="inlineStr">
        <is>
          <t>AL</t>
        </is>
      </c>
      <c r="J26" s="60" t="inlineStr">
        <is>
          <t>MA</t>
        </is>
      </c>
      <c r="K26" s="53" t="n"/>
      <c r="L26" s="60" t="n"/>
      <c r="M26" s="60" t="n"/>
      <c r="N26" s="53" t="n"/>
      <c r="O26" s="60" t="inlineStr">
        <is>
          <t>AL</t>
        </is>
      </c>
      <c r="P26" s="60" t="inlineStr">
        <is>
          <t>RESERVE</t>
        </is>
      </c>
      <c r="Q26" s="60" t="n"/>
      <c r="R26" s="60" t="n"/>
      <c r="S26" s="60" t="n"/>
      <c r="T26" s="53" t="n"/>
      <c r="U26" s="60" t="n"/>
      <c r="V26" s="60" t="inlineStr">
        <is>
          <t>AL</t>
        </is>
      </c>
      <c r="W26" s="60" t="n"/>
      <c r="X26" s="53" t="inlineStr">
        <is>
          <t>2nd $PM CC (1630-1820)</t>
        </is>
      </c>
      <c r="Y26" s="60" t="n"/>
      <c r="Z26" s="60" t="n"/>
      <c r="AA26" s="60" t="n"/>
      <c r="AB26" s="60" t="n"/>
      <c r="AC26" s="60" t="inlineStr">
        <is>
          <t>WISDOM TOOTH</t>
        </is>
      </c>
      <c r="AD26" s="60" t="inlineStr">
        <is>
          <t>MC</t>
        </is>
      </c>
      <c r="AE26" s="78" t="inlineStr">
        <is>
          <t>MC</t>
        </is>
      </c>
      <c r="AF26" s="53" t="n"/>
      <c r="AG26" s="60" t="n"/>
      <c r="AH26" s="67">
        <f>COUNTIF($C26:$AF26,AH$4)</f>
        <v/>
      </c>
      <c r="AI26" s="67">
        <f>COUNTIF($C26:$AF26,AI$4)</f>
        <v/>
      </c>
      <c r="AJ26" s="67">
        <f>COUNTIF($C26:$AF26,AJ$4)</f>
        <v/>
      </c>
      <c r="AK26" s="67">
        <f>COUNTIF($C26:$AF26,AK$4)</f>
        <v/>
      </c>
      <c r="AL26" s="67">
        <f>COUNTIF($C26:$AF26,AL$4)</f>
        <v/>
      </c>
      <c r="AM26" s="67">
        <f>COUNTIF($C26:$AF26,AM$4)</f>
        <v/>
      </c>
      <c r="AN26" s="67">
        <f>COUNTIF($C26:$AF26,AN$4)</f>
        <v/>
      </c>
      <c r="AO26" s="67">
        <f>COUNTIF($C26:$AF26,AO$4)</f>
        <v/>
      </c>
      <c r="AP26" s="67">
        <f>COUNTIF($C26:$AF26,AP$4)</f>
        <v/>
      </c>
      <c r="AQ26" s="76" t="n"/>
      <c r="AR26" s="76" t="n"/>
      <c r="AS26" s="77">
        <f>SUMPRODUCT(--(WEEKDAY(C$3:AG$3,2)&lt;5),--ISNUMBER(MATCH(C26:AG26,{"DM","CS1","CS2","SB1","AE","CS/B"},0)))</f>
        <v/>
      </c>
      <c r="AT26" s="77" t="n"/>
      <c r="AU26" s="77">
        <f>SUMPRODUCT(--(WEEKDAY(C$3:AG$3,2)=5),--ISNUMBER(MATCH(C26:AG26,{"DM","CS1","CS2","SB1","AE","CS/B","WEEKEND OUTFIELD RESERVE"},0)))</f>
        <v/>
      </c>
      <c r="AV26" s="77">
        <f>SUMPRODUCT(--(WEEKDAY(C$3:AG$3,2)&gt;5),--ISNUMBER(MATCH(C26:AG26,{"DM","CS1","CS2","SB1","AE","CS/B","WEEKEND OUTFIELD RESERVE"},0)))</f>
        <v/>
      </c>
      <c r="AW26" s="77" t="n"/>
      <c r="AX26" s="77">
        <f>(AS26-AT26)+AU26*1.5+(AV26-AW26)*2+AM26*0.5+AO26*0.5+AQ26-AR26</f>
        <v/>
      </c>
      <c r="AY26" s="77">
        <f>AS26+AU26+AV26</f>
        <v/>
      </c>
      <c r="AZ26" s="77">
        <f>BC26+BE26+BG26+BI26+BK26</f>
        <v/>
      </c>
      <c r="BA26" s="76">
        <f>AX26+BB26</f>
        <v/>
      </c>
      <c r="BB26" s="77">
        <f>BD26+BF26+BH26+BJ26+BL26</f>
        <v/>
      </c>
      <c r="BC26" s="77">
        <f>COUNTIF(A26:AH26,"*$BTP*")</f>
        <v/>
      </c>
      <c r="BD26" s="77">
        <f>BC26*1.5</f>
        <v/>
      </c>
      <c r="BE26" s="77">
        <f>COUNTIF(A26:AH26,"*$M*")</f>
        <v/>
      </c>
      <c r="BF26" s="77">
        <f>BE26*1</f>
        <v/>
      </c>
      <c r="BG26" s="77">
        <f>COUNTIF(A26:AH26,"*$PM*")</f>
        <v/>
      </c>
      <c r="BH26" s="77">
        <f>BG26*0.5</f>
        <v/>
      </c>
      <c r="BI26" s="77">
        <f>COUNTIF(A26:AH26,"*$AM*")</f>
        <v/>
      </c>
      <c r="BJ26" s="77">
        <f>BI26*0.5</f>
        <v/>
      </c>
      <c r="BK26" s="77">
        <f>COUNTIF(A26:AH26,"*$FC*")</f>
        <v/>
      </c>
      <c r="BL26" s="77">
        <f>BK26*1</f>
        <v/>
      </c>
      <c r="BM26" s="77">
        <f>COUNTIF($D26:$AA26,BM$4)</f>
        <v/>
      </c>
      <c r="BN26" s="77">
        <f>COUNTIF($D26:$AA26,BN$4)</f>
        <v/>
      </c>
      <c r="BO26" s="77">
        <f>COUNTIF($D26:$AA26,BO$4)</f>
        <v/>
      </c>
      <c r="BP26" s="77" t="n"/>
    </row>
    <row r="27" ht="19.5" customHeight="1">
      <c r="A27" s="67" t="n"/>
      <c r="B27" s="76" t="inlineStr">
        <is>
          <t>CPL ZHANG ZHONGHAO</t>
        </is>
      </c>
      <c r="C27" s="60" t="n"/>
      <c r="D27" s="60" t="inlineStr">
        <is>
          <t>DM</t>
        </is>
      </c>
      <c r="E27" s="53" t="n"/>
      <c r="F27" s="53" t="inlineStr">
        <is>
          <t>CS2</t>
        </is>
      </c>
      <c r="G27" s="60" t="n"/>
      <c r="H27" s="60" t="inlineStr">
        <is>
          <t>COVER RESERVE</t>
        </is>
      </c>
      <c r="I27" s="60" t="inlineStr">
        <is>
          <t>CS2</t>
        </is>
      </c>
      <c r="J27" s="53" t="inlineStr">
        <is>
          <t>COVER RESERVE</t>
        </is>
      </c>
      <c r="K27" s="60" t="inlineStr">
        <is>
          <t>COMPONENT TRAINING</t>
        </is>
      </c>
      <c r="L27" s="53" t="inlineStr">
        <is>
          <t>CS1</t>
        </is>
      </c>
      <c r="M27" s="53" t="inlineStr">
        <is>
          <t>OL</t>
        </is>
      </c>
      <c r="N27" s="60" t="inlineStr">
        <is>
          <t>OL</t>
        </is>
      </c>
      <c r="O27" s="60" t="inlineStr">
        <is>
          <t>SB2</t>
        </is>
      </c>
      <c r="P27" s="60" t="inlineStr">
        <is>
          <t>MSP REHEARSAL</t>
        </is>
      </c>
      <c r="Q27" s="60" t="n"/>
      <c r="R27" s="53" t="n"/>
      <c r="S27" s="53" t="inlineStr">
        <is>
          <t>CS/B</t>
        </is>
      </c>
      <c r="T27" s="60" t="n"/>
      <c r="U27" s="60" t="n"/>
      <c r="V27" s="60" t="inlineStr">
        <is>
          <t>CS1</t>
        </is>
      </c>
      <c r="W27" s="53" t="inlineStr">
        <is>
          <t>HQ $AM IPPT</t>
        </is>
      </c>
      <c r="X27" s="60" t="n"/>
      <c r="Y27" s="53" t="n"/>
      <c r="Z27" s="53" t="inlineStr">
        <is>
          <t>CS1</t>
        </is>
      </c>
      <c r="AA27" s="60" t="inlineStr">
        <is>
          <t>RESERVE</t>
        </is>
      </c>
      <c r="AB27" s="53" t="n"/>
      <c r="AC27" s="141" t="inlineStr">
        <is>
          <t>AE</t>
        </is>
      </c>
      <c r="AD27" s="87" t="n"/>
      <c r="AE27" s="88" t="n"/>
      <c r="AF27" s="60" t="n"/>
      <c r="AG27" s="60" t="inlineStr">
        <is>
          <t>CS/B</t>
        </is>
      </c>
      <c r="AH27" s="67">
        <f>COUNTIF($C27:$AF27,AH$4)</f>
        <v/>
      </c>
      <c r="AI27" s="67">
        <f>COUNTIF($C27:$AF27,AI$4)</f>
        <v/>
      </c>
      <c r="AJ27" s="67">
        <f>COUNTIF($C27:$AF27,AJ$4)</f>
        <v/>
      </c>
      <c r="AK27" s="67">
        <f>COUNTIF($C27:$AF27,AK$4)</f>
        <v/>
      </c>
      <c r="AL27" s="67">
        <f>COUNTIF($C27:$AF27,AL$4)</f>
        <v/>
      </c>
      <c r="AM27" s="67">
        <f>COUNTIF($C27:$AF27,AM$4)</f>
        <v/>
      </c>
      <c r="AN27" s="67">
        <f>COUNTIF($C27:$AF27,AN$4)</f>
        <v/>
      </c>
      <c r="AO27" s="67">
        <f>COUNTIF($C27:$AF27,AO$4)</f>
        <v/>
      </c>
      <c r="AP27" s="67">
        <f>COUNTIF($C27:$AF27,AP$4)</f>
        <v/>
      </c>
      <c r="AQ27" s="76" t="n">
        <v>3</v>
      </c>
      <c r="AR27" s="76" t="n"/>
      <c r="AS27" s="77">
        <f>SUMPRODUCT(--(WEEKDAY(C$3:AG$3,2)&lt;5),--ISNUMBER(MATCH(C27:AG27,{"DM","CS1","CS2","SB1","AE","CS/B"},0)))</f>
        <v/>
      </c>
      <c r="AT27" s="67" t="n"/>
      <c r="AU27" s="77">
        <f>SUMPRODUCT(--(WEEKDAY(C$3:AG$3,2)=5),--ISNUMBER(MATCH(C27:AG27,{"DM","CS1","CS2","SB1","AE","CS/B","WEEKEND OUTFIELD RESERVE"},0)))</f>
        <v/>
      </c>
      <c r="AV27" s="77">
        <f>SUMPRODUCT(--(WEEKDAY(C$3:AG$3,2)&gt;5),--ISNUMBER(MATCH(C27:AG27,{"DM","CS1","CS2","SB1","AE","CS/B","WEEKEND OUTFIELD RESERVE"},0)))</f>
        <v/>
      </c>
      <c r="AW27" s="67" t="n"/>
      <c r="AX27" s="77">
        <f>(AS27-AT27)+AU27*1.5+(AV27-AW27)*2+AM27*0.5+AO27*0.5+AQ27-AR27</f>
        <v/>
      </c>
      <c r="AY27" s="77">
        <f>AS27+AU27+AV27</f>
        <v/>
      </c>
      <c r="AZ27" s="77">
        <f>BC27+BE27+BG27+BI27+BK27</f>
        <v/>
      </c>
      <c r="BA27" s="76">
        <f>AX27+BB27</f>
        <v/>
      </c>
      <c r="BB27" s="77">
        <f>BD27+BF27+BH27+BJ27+BL27</f>
        <v/>
      </c>
      <c r="BC27" s="77">
        <f>COUNTIF(A27:AH27,"*$BTP*")</f>
        <v/>
      </c>
      <c r="BD27" s="77">
        <f>BC27*1.5</f>
        <v/>
      </c>
      <c r="BE27" s="77">
        <f>COUNTIF(A27:AH27,"*$M*")</f>
        <v/>
      </c>
      <c r="BF27" s="77">
        <f>BE27*1</f>
        <v/>
      </c>
      <c r="BG27" s="77">
        <f>COUNTIF(A27:AH27,"*$PM*")</f>
        <v/>
      </c>
      <c r="BH27" s="77">
        <f>BG27*0.5</f>
        <v/>
      </c>
      <c r="BI27" s="77">
        <f>COUNTIF(A27:AH27,"*$AM*")</f>
        <v/>
      </c>
      <c r="BJ27" s="77">
        <f>BI27*0.5</f>
        <v/>
      </c>
      <c r="BK27" s="77">
        <f>COUNTIF(A27:AH27,"*$FC*")</f>
        <v/>
      </c>
      <c r="BL27" s="77">
        <f>BK27*1</f>
        <v/>
      </c>
      <c r="BM27" s="77">
        <f>COUNTIF($D27:$AA27,BM$4)</f>
        <v/>
      </c>
      <c r="BN27" s="77">
        <f>COUNTIF($D27:$AA27,BN$4)</f>
        <v/>
      </c>
      <c r="BO27" s="77">
        <f>COUNTIF($D27:$AA27,BO$4)</f>
        <v/>
      </c>
      <c r="BP27" s="67" t="n"/>
    </row>
    <row r="28" ht="48" customHeight="1">
      <c r="A28" s="67" t="n"/>
      <c r="B28" s="76" t="inlineStr">
        <is>
          <t xml:space="preserve">LCP KUEH YAN SHENG </t>
        </is>
      </c>
      <c r="C28" s="53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X28" s="60" t="n"/>
      <c r="Y28" s="60" t="n"/>
      <c r="Z28" s="60" t="n"/>
      <c r="AA28" s="60" t="n"/>
      <c r="AB28" s="60" t="n"/>
      <c r="AC28" s="155" t="n"/>
      <c r="AD28" s="155" t="n"/>
      <c r="AE28" s="84" t="n"/>
      <c r="AF28" s="60" t="n"/>
      <c r="AG28" s="60" t="n"/>
      <c r="AH28" s="67">
        <f>COUNTIF($C28:$AF28,AH$4)</f>
        <v/>
      </c>
      <c r="AI28" s="67">
        <f>COUNTIF($C28:$AF28,AI$4)</f>
        <v/>
      </c>
      <c r="AJ28" s="67">
        <f>COUNTIF($C28:$AF28,AJ$4)</f>
        <v/>
      </c>
      <c r="AK28" s="67">
        <f>COUNTIF($C28:$AF28,AK$4)</f>
        <v/>
      </c>
      <c r="AL28" s="67">
        <f>COUNTIF($C28:$AF28,AL$4)</f>
        <v/>
      </c>
      <c r="AM28" s="67">
        <f>COUNTIF($C28:$AF28,AM$4)</f>
        <v/>
      </c>
      <c r="AN28" s="67">
        <f>COUNTIF($C28:$AF28,AN$4)</f>
        <v/>
      </c>
      <c r="AO28" s="67">
        <f>COUNTIF($C28:$AF28,AO$4)</f>
        <v/>
      </c>
      <c r="AP28" s="67">
        <f>COUNTIF($C28:$AF28,AP$4)</f>
        <v/>
      </c>
      <c r="AQ28" s="76" t="n"/>
      <c r="AR28" s="76" t="n">
        <v>7</v>
      </c>
      <c r="AS28" s="77">
        <f>SUMPRODUCT(--(WEEKDAY(C$3:AG$3,2)&lt;5),--ISNUMBER(MATCH(C28:AG28,{"DM","CS1","CS2","SB1","AE","CS/B"},0)))</f>
        <v/>
      </c>
      <c r="AT28" s="77" t="n"/>
      <c r="AU28" s="77">
        <f>SUMPRODUCT(--(WEEKDAY(C$3:AG$3,2)=5),--ISNUMBER(MATCH(C28:AG28,{"DM","CS1","CS2","SB1","AE","CS/B","WEEKEND OUTFIELD RESERVE"},0)))</f>
        <v/>
      </c>
      <c r="AV28" s="77">
        <f>SUMPRODUCT(--(WEEKDAY(C$3:AG$3,2)&gt;5),--ISNUMBER(MATCH(C28:AG28,{"DM","CS1","CS2","SB1","AE","CS/B","WEEKEND OUTFIELD RESERVE"},0)))</f>
        <v/>
      </c>
      <c r="AW28" s="77" t="n"/>
      <c r="AX28" s="77">
        <f>(AS28-AT28)+AU28*1.5+(AV28-AW28)*2+AM28*0.5+AO28*0.5+AQ28-AR28</f>
        <v/>
      </c>
      <c r="AY28" s="77">
        <f>AS28+AU28+AV28</f>
        <v/>
      </c>
      <c r="AZ28" s="77">
        <f>BC28+BE28+BG28+BI28+BK28</f>
        <v/>
      </c>
      <c r="BA28" s="76">
        <f>AX28+BB28</f>
        <v/>
      </c>
      <c r="BB28" s="77">
        <f>BD28+BF28+BH28+BJ28+BL28</f>
        <v/>
      </c>
      <c r="BC28" s="77">
        <f>COUNTIF(A28:AH28,"*$BTP*")</f>
        <v/>
      </c>
      <c r="BD28" s="77">
        <f>BC28*1.5</f>
        <v/>
      </c>
      <c r="BE28" s="77">
        <f>COUNTIF(A28:AH28,"*$M*")</f>
        <v/>
      </c>
      <c r="BF28" s="77">
        <f>BE28*1</f>
        <v/>
      </c>
      <c r="BG28" s="77">
        <f>COUNTIF(A28:AH28,"*$PM*")</f>
        <v/>
      </c>
      <c r="BH28" s="77">
        <f>BG28*0.5</f>
        <v/>
      </c>
      <c r="BI28" s="77">
        <f>COUNTIF(A28:AH28,"*$AM*")</f>
        <v/>
      </c>
      <c r="BJ28" s="77">
        <f>BI28*0.5</f>
        <v/>
      </c>
      <c r="BK28" s="77">
        <f>COUNTIF(A28:AH28,"*$FC*")</f>
        <v/>
      </c>
      <c r="BL28" s="77">
        <f>BK28*1</f>
        <v/>
      </c>
      <c r="BM28" s="77">
        <f>COUNTIF($D28:$AA28,BM$4)</f>
        <v/>
      </c>
      <c r="BN28" s="77">
        <f>COUNTIF($D28:$AA28,BN$4)</f>
        <v/>
      </c>
      <c r="BO28" s="77">
        <f>COUNTIF($D28:$AA28,BO$4)</f>
        <v/>
      </c>
      <c r="BP28" s="77" t="n"/>
    </row>
    <row r="29" ht="19.5" customHeight="1">
      <c r="A29" s="67" t="n"/>
      <c r="B29" s="76" t="inlineStr">
        <is>
          <t>LCP CHYE JING AN MAXIMUS</t>
        </is>
      </c>
      <c r="C29" s="60" t="n"/>
      <c r="D29" s="60" t="n"/>
      <c r="E29" s="60" t="inlineStr">
        <is>
          <t>COVER RESERVE</t>
        </is>
      </c>
      <c r="F29" s="53" t="n"/>
      <c r="G29" s="60" t="inlineStr">
        <is>
          <t>RESERVE</t>
        </is>
      </c>
      <c r="H29" s="53" t="n"/>
      <c r="I29" s="60" t="n"/>
      <c r="J29" s="53" t="n"/>
      <c r="K29" s="60" t="inlineStr">
        <is>
          <t>P $AM IPPT (0500-1030)</t>
        </is>
      </c>
      <c r="L29" s="53" t="n"/>
      <c r="M29" s="53" t="n"/>
      <c r="N29" s="53" t="n"/>
      <c r="O29" s="60" t="n"/>
      <c r="P29" s="60" t="n"/>
      <c r="Q29" s="60" t="n"/>
      <c r="R29" s="60" t="n"/>
      <c r="S29" s="60" t="n"/>
      <c r="T29" s="60" t="n"/>
      <c r="U29" s="60" t="inlineStr">
        <is>
          <t>CS1</t>
        </is>
      </c>
      <c r="V29" s="53" t="n"/>
      <c r="W29" s="60" t="n"/>
      <c r="X29" s="60" t="inlineStr">
        <is>
          <t xml:space="preserve"> 5th $AM CC (0730-0920)</t>
        </is>
      </c>
      <c r="Y29" s="60" t="n"/>
      <c r="Z29" s="60" t="n"/>
      <c r="AA29" s="53" t="inlineStr">
        <is>
          <t>CS1</t>
        </is>
      </c>
      <c r="AB29" s="60" t="n"/>
      <c r="AC29" s="90" t="n"/>
      <c r="AD29" s="91" t="inlineStr">
        <is>
          <t>HQ $AM IPPT</t>
        </is>
      </c>
      <c r="AE29" s="79" t="inlineStr">
        <is>
          <t>CS2</t>
        </is>
      </c>
      <c r="AF29" s="60" t="inlineStr">
        <is>
          <t>COVER RESERVE</t>
        </is>
      </c>
      <c r="AG29" s="60" t="n"/>
      <c r="AH29" s="67">
        <f>COUNTIF($C29:$AF29,AH$4)</f>
        <v/>
      </c>
      <c r="AI29" s="67">
        <f>COUNTIF($C29:$AF29,AI$4)</f>
        <v/>
      </c>
      <c r="AJ29" s="67">
        <f>COUNTIF($C29:$AF29,AJ$4)</f>
        <v/>
      </c>
      <c r="AK29" s="67">
        <f>COUNTIF($C29:$AF29,AK$4)</f>
        <v/>
      </c>
      <c r="AL29" s="67">
        <f>COUNTIF($C29:$AF29,AL$4)</f>
        <v/>
      </c>
      <c r="AM29" s="67">
        <f>COUNTIF($C29:$AF29,AM$4)</f>
        <v/>
      </c>
      <c r="AN29" s="67">
        <f>COUNTIF($C29:$AF29,AN$4)</f>
        <v/>
      </c>
      <c r="AO29" s="67">
        <f>COUNTIF($C29:$AF29,AO$4)</f>
        <v/>
      </c>
      <c r="AP29" s="67">
        <f>COUNTIF($C29:$AF29,AP$4)</f>
        <v/>
      </c>
      <c r="AQ29" s="76" t="n">
        <v>2</v>
      </c>
      <c r="AR29" s="76" t="n"/>
      <c r="AS29" s="77">
        <f>SUMPRODUCT(--(WEEKDAY(C$3:AG$3,2)&lt;5),--ISNUMBER(MATCH(C29:AG29,{"DM","CS1","CS2","SB1","AE","CS/B"},0)))</f>
        <v/>
      </c>
      <c r="AT29" s="67" t="n"/>
      <c r="AU29" s="77">
        <f>SUMPRODUCT(--(WEEKDAY(C$3:AG$3,2)=5),--ISNUMBER(MATCH(C29:AG29,{"DM","CS1","CS2","SB1","AE","CS/B","WEEKEND OUTFIELD RESERVE"},0)))</f>
        <v/>
      </c>
      <c r="AV29" s="77">
        <f>SUMPRODUCT(--(WEEKDAY(C$3:AG$3,2)&gt;5),--ISNUMBER(MATCH(C29:AG29,{"DM","CS1","CS2","SB1","AE","CS/B","WEEKEND OUTFIELD RESERVE"},0)))</f>
        <v/>
      </c>
      <c r="AW29" s="67" t="n"/>
      <c r="AX29" s="77">
        <f>(AS29-AT29)+AU29*1.5+(AV29-AW29)*2+AM29*0.5+AO29*0.5+AQ29-AR29</f>
        <v/>
      </c>
      <c r="AY29" s="77">
        <f>AS29+AU29+AV29</f>
        <v/>
      </c>
      <c r="AZ29" s="77">
        <f>BC29+BE29+BG29+BI29+BK29</f>
        <v/>
      </c>
      <c r="BA29" s="76">
        <f>AX29+BB29</f>
        <v/>
      </c>
      <c r="BB29" s="77">
        <f>BD29+BF29+BH29+BJ29+BL29</f>
        <v/>
      </c>
      <c r="BC29" s="77">
        <f>COUNTIF(A29:AH29,"*$BTP*")</f>
        <v/>
      </c>
      <c r="BD29" s="77">
        <f>BC29*1.5</f>
        <v/>
      </c>
      <c r="BE29" s="77">
        <f>COUNTIF(A29:AH29,"*$M*")</f>
        <v/>
      </c>
      <c r="BF29" s="77">
        <f>BE29*1</f>
        <v/>
      </c>
      <c r="BG29" s="77">
        <f>COUNTIF(A29:AH29,"*$PM*")</f>
        <v/>
      </c>
      <c r="BH29" s="77">
        <f>BG29*0.5</f>
        <v/>
      </c>
      <c r="BI29" s="77">
        <f>COUNTIF(A29:AH29,"*$AM*")</f>
        <v/>
      </c>
      <c r="BJ29" s="77">
        <f>BI29*0.5</f>
        <v/>
      </c>
      <c r="BK29" s="77">
        <f>COUNTIF(A29:AH29,"*$FC*")</f>
        <v/>
      </c>
      <c r="BL29" s="77">
        <f>BK29*1</f>
        <v/>
      </c>
      <c r="BM29" s="77">
        <f>COUNTIF($D29:$AA29,BM$4)</f>
        <v/>
      </c>
      <c r="BN29" s="77">
        <f>COUNTIF($D29:$AA29,BN$4)</f>
        <v/>
      </c>
      <c r="BO29" s="77">
        <f>COUNTIF($D29:$AA29,BO$4)</f>
        <v/>
      </c>
      <c r="BP29" s="67" t="n"/>
    </row>
    <row r="30" ht="19.5" customHeight="1">
      <c r="A30" s="67" t="n"/>
      <c r="B30" s="76" t="inlineStr">
        <is>
          <t>CPL TAN JUN YANG KELVIN</t>
        </is>
      </c>
      <c r="C30" s="60" t="inlineStr">
        <is>
          <t>CS1</t>
        </is>
      </c>
      <c r="D30" s="60" t="n"/>
      <c r="E30" s="60" t="inlineStr">
        <is>
          <t>CS2</t>
        </is>
      </c>
      <c r="F30" s="53" t="n"/>
      <c r="G30" s="60" t="n"/>
      <c r="H30" s="60" t="inlineStr">
        <is>
          <t>CS2</t>
        </is>
      </c>
      <c r="I30" s="60" t="inlineStr">
        <is>
          <t>COVER RESERVE</t>
        </is>
      </c>
      <c r="J30" s="53" t="inlineStr">
        <is>
          <t>A $PM PERMSTAFF SOC (1500-2000)</t>
        </is>
      </c>
      <c r="K30" s="53" t="inlineStr">
        <is>
          <t>CS2</t>
        </is>
      </c>
      <c r="L30" s="53" t="n"/>
      <c r="M30" s="60" t="n"/>
      <c r="N30" s="53" t="n"/>
      <c r="O30" s="53" t="inlineStr">
        <is>
          <t>CS1</t>
        </is>
      </c>
      <c r="P30" s="85" t="inlineStr">
        <is>
          <t xml:space="preserve">1st $AM CC (0730-0920)   </t>
        </is>
      </c>
      <c r="Q30" s="60" t="n"/>
      <c r="R30" s="53" t="n"/>
      <c r="S30" s="60" t="n"/>
      <c r="T30" s="60" t="inlineStr">
        <is>
          <t>DM</t>
        </is>
      </c>
      <c r="U30" s="60" t="n"/>
      <c r="W30" s="60" t="n"/>
      <c r="X30" s="60" t="inlineStr">
        <is>
          <t>CS2</t>
        </is>
      </c>
      <c r="Y30" s="60" t="n"/>
      <c r="Z30" s="53" t="n"/>
      <c r="AA30" s="60" t="n"/>
      <c r="AB30" s="53" t="n"/>
      <c r="AC30" s="92" t="inlineStr">
        <is>
          <t>DM</t>
        </is>
      </c>
      <c r="AD30" s="155" t="n"/>
      <c r="AE30" s="93" t="n"/>
      <c r="AF30" s="60" t="n"/>
      <c r="AG30" s="60" t="inlineStr">
        <is>
          <t>COVER RESERVE</t>
        </is>
      </c>
      <c r="AH30" s="67">
        <f>COUNTIF($C30:$AF30,AH$4)</f>
        <v/>
      </c>
      <c r="AI30" s="67">
        <f>COUNTIF($C30:$AF30,AI$4)</f>
        <v/>
      </c>
      <c r="AJ30" s="67">
        <f>COUNTIF($C30:$AF30,AJ$4)</f>
        <v/>
      </c>
      <c r="AK30" s="67">
        <f>COUNTIF($C30:$AF30,AK$4)</f>
        <v/>
      </c>
      <c r="AL30" s="67">
        <f>COUNTIF($C30:$AF30,AL$4)</f>
        <v/>
      </c>
      <c r="AM30" s="67">
        <f>COUNTIF($C30:$AF30,AM$4)</f>
        <v/>
      </c>
      <c r="AN30" s="67">
        <f>COUNTIF($C30:$AF30,AN$4)</f>
        <v/>
      </c>
      <c r="AO30" s="67">
        <f>COUNTIF($C30:$AF30,AO$4)</f>
        <v/>
      </c>
      <c r="AP30" s="67">
        <f>COUNTIF($C30:$AF30,AP$4)</f>
        <v/>
      </c>
      <c r="AQ30" s="76" t="n"/>
      <c r="AR30" s="76" t="n">
        <v>5</v>
      </c>
      <c r="AS30" s="77">
        <f>SUMPRODUCT(--(WEEKDAY(C$3:AG$3,2)&lt;5),--ISNUMBER(MATCH(C30:AG30,{"DM","CS1","CS2","SB1","AE","CS/B"},0)))</f>
        <v/>
      </c>
      <c r="AT30" s="67" t="n"/>
      <c r="AU30" s="77">
        <f>SUMPRODUCT(--(WEEKDAY(C$3:AG$3,2)=5),--ISNUMBER(MATCH(C30:AG30,{"DM","CS1","CS2","SB1","AE","CS/B","WEEKEND OUTFIELD RESERVE"},0)))</f>
        <v/>
      </c>
      <c r="AV30" s="77">
        <f>SUMPRODUCT(--(WEEKDAY(C$3:AG$3,2)&gt;5),--ISNUMBER(MATCH(C30:AG30,{"DM","CS1","CS2","SB1","AE","CS/B","WEEKEND OUTFIELD RESERVE"},0)))</f>
        <v/>
      </c>
      <c r="AW30" s="67" t="n"/>
      <c r="AX30" s="77">
        <f>(AS30-AT30)+AU30*1.5+(AV30-AW30)*2+AM30*0.5+AO30*0.5+AQ30-AR30</f>
        <v/>
      </c>
      <c r="AY30" s="77">
        <f>AS30+AU30+AV30</f>
        <v/>
      </c>
      <c r="AZ30" s="77">
        <f>BC30+BE30+BG30+BI30+BK30</f>
        <v/>
      </c>
      <c r="BA30" s="76">
        <f>AX30+BB30</f>
        <v/>
      </c>
      <c r="BB30" s="77">
        <f>BD30+BF30+BH30+BJ30+BL30</f>
        <v/>
      </c>
      <c r="BC30" s="77">
        <f>COUNTIF(A30:AH30,"*$BTP*")</f>
        <v/>
      </c>
      <c r="BD30" s="77">
        <f>BC30*1.5</f>
        <v/>
      </c>
      <c r="BE30" s="77">
        <f>COUNTIF(A30:AH30,"*$M*")</f>
        <v/>
      </c>
      <c r="BF30" s="77">
        <f>BE30*1</f>
        <v/>
      </c>
      <c r="BG30" s="77">
        <f>COUNTIF(A30:AH30,"*$PM*")</f>
        <v/>
      </c>
      <c r="BH30" s="77">
        <f>BG30*0.5</f>
        <v/>
      </c>
      <c r="BI30" s="77">
        <f>COUNTIF(A30:AH30,"*$AM*")</f>
        <v/>
      </c>
      <c r="BJ30" s="77">
        <f>BI30*0.5</f>
        <v/>
      </c>
      <c r="BK30" s="77">
        <f>COUNTIF(A30:AH30,"*$FC*")</f>
        <v/>
      </c>
      <c r="BL30" s="77">
        <f>BK30*1</f>
        <v/>
      </c>
      <c r="BM30" s="77">
        <f>COUNTIF($D30:$AA30,BM$4)</f>
        <v/>
      </c>
      <c r="BN30" s="77">
        <f>COUNTIF($D30:$AA30,BN$4)</f>
        <v/>
      </c>
      <c r="BO30" s="77">
        <f>COUNTIF($D30:$AA30,BO$4)</f>
        <v/>
      </c>
      <c r="BP30" s="67" t="n"/>
    </row>
    <row r="31" ht="19.5" customHeight="1">
      <c r="A31" s="67" t="n"/>
      <c r="B31" s="76" t="inlineStr">
        <is>
          <t>LCP MUHAMAD ZULKHAIRI BIN MOHAMAD SAPARI</t>
        </is>
      </c>
      <c r="C31" s="60" t="n"/>
      <c r="D31" s="60" t="n"/>
      <c r="E31" s="60" t="n"/>
      <c r="F31" s="60" t="n"/>
      <c r="G31" s="53" t="n"/>
      <c r="H31" s="53" t="inlineStr">
        <is>
          <t>CS1</t>
        </is>
      </c>
      <c r="I31" s="60" t="n"/>
      <c r="J31" s="60" t="inlineStr">
        <is>
          <t>AMPT</t>
        </is>
      </c>
      <c r="L31" s="53" t="n"/>
      <c r="M31" s="60" t="inlineStr">
        <is>
          <t>CS1</t>
        </is>
      </c>
      <c r="N31" s="60" t="inlineStr">
        <is>
          <t>OL</t>
        </is>
      </c>
      <c r="O31" s="60" t="inlineStr">
        <is>
          <t>OL</t>
        </is>
      </c>
      <c r="P31" s="60" t="inlineStr">
        <is>
          <t>AE</t>
        </is>
      </c>
      <c r="Q31" s="60" t="inlineStr">
        <is>
          <t>OL</t>
        </is>
      </c>
      <c r="R31" s="60" t="inlineStr">
        <is>
          <t>OL</t>
        </is>
      </c>
      <c r="S31" s="60" t="inlineStr">
        <is>
          <t>OL</t>
        </is>
      </c>
      <c r="T31" s="60" t="inlineStr">
        <is>
          <t>CS2</t>
        </is>
      </c>
      <c r="U31" s="53" t="n"/>
      <c r="V31" s="60" t="n"/>
      <c r="W31" s="53" t="n"/>
      <c r="X31" s="60" t="inlineStr">
        <is>
          <t>S $M HG (0500-2030)</t>
        </is>
      </c>
      <c r="Y31" s="53" t="n"/>
      <c r="Z31" s="85" t="inlineStr">
        <is>
          <t>DM</t>
        </is>
      </c>
      <c r="AA31" s="53" t="n"/>
      <c r="AB31" s="60" t="inlineStr">
        <is>
          <t>C $FC</t>
        </is>
      </c>
      <c r="AC31" s="94" t="inlineStr">
        <is>
          <t>CS1</t>
        </is>
      </c>
      <c r="AD31" s="94" t="inlineStr">
        <is>
          <t>C $FC</t>
        </is>
      </c>
      <c r="AE31" s="95" t="inlineStr">
        <is>
          <t>C $FC</t>
        </is>
      </c>
      <c r="AF31" s="60" t="inlineStr">
        <is>
          <t>C $FC</t>
        </is>
      </c>
      <c r="AG31" s="60" t="inlineStr">
        <is>
          <t>CS1</t>
        </is>
      </c>
      <c r="AH31" s="67">
        <f>COUNTIF($C31:$AF31,AH$4)</f>
        <v/>
      </c>
      <c r="AI31" s="67">
        <f>COUNTIF($C31:$AF31,AI$4)</f>
        <v/>
      </c>
      <c r="AJ31" s="67">
        <f>COUNTIF($C31:$AF31,AJ$4)</f>
        <v/>
      </c>
      <c r="AK31" s="67">
        <f>COUNTIF($C31:$AF31,AK$4)</f>
        <v/>
      </c>
      <c r="AL31" s="67">
        <f>COUNTIF($C31:$AF31,AL$4)</f>
        <v/>
      </c>
      <c r="AM31" s="67">
        <f>COUNTIF($C31:$AF31,AM$4)</f>
        <v/>
      </c>
      <c r="AN31" s="67">
        <f>COUNTIF($C31:$AF31,AN$4)</f>
        <v/>
      </c>
      <c r="AO31" s="67">
        <f>COUNTIF($C31:$AF31,AO$4)</f>
        <v/>
      </c>
      <c r="AP31" s="67">
        <f>COUNTIF($C31:$AF31,AP$4)</f>
        <v/>
      </c>
      <c r="AQ31" s="76" t="n"/>
      <c r="AR31" s="76" t="n">
        <v>12.5</v>
      </c>
      <c r="AS31" s="77">
        <f>SUMPRODUCT(--(WEEKDAY(C$3:AG$3,2)&lt;5),--ISNUMBER(MATCH(C31:AG31,{"DM","CS1","CS2","SB1","AE","CS/B"},0)))</f>
        <v/>
      </c>
      <c r="AT31" s="67" t="n"/>
      <c r="AU31" s="77">
        <f>SUMPRODUCT(--(WEEKDAY(C$3:AG$3,2)=5),--ISNUMBER(MATCH(C31:AG31,{"DM","CS1","CS2","SB1","AE","CS/B","WEEKEND OUTFIELD RESERVE"},0)))</f>
        <v/>
      </c>
      <c r="AV31" s="77">
        <f>SUMPRODUCT(--(WEEKDAY(C$3:AG$3,2)&gt;5),--ISNUMBER(MATCH(C31:AG31,{"DM","CS1","CS2","SB1","AE","CS/B","WEEKEND OUTFIELD RESERVE"},0)))</f>
        <v/>
      </c>
      <c r="AW31" s="67" t="n"/>
      <c r="AX31" s="77">
        <f>(AS31-AT31)+AU31*1.5+(AV31-AW31)*2+AM31*0.5+AO31*0.5+AQ31-AR31</f>
        <v/>
      </c>
      <c r="AY31" s="77">
        <f>AS31+AU31+AV31</f>
        <v/>
      </c>
      <c r="AZ31" s="77">
        <f>BC31+BE31+BG31+BI31+BK31</f>
        <v/>
      </c>
      <c r="BA31" s="76">
        <f>AX31+BB31</f>
        <v/>
      </c>
      <c r="BB31" s="77">
        <f>BD31+BF31+BH31+BJ31+BL31</f>
        <v/>
      </c>
      <c r="BC31" s="77">
        <f>COUNTIF(A31:AH31,"*$BTP*")</f>
        <v/>
      </c>
      <c r="BD31" s="77">
        <f>BC31*1.5</f>
        <v/>
      </c>
      <c r="BE31" s="77">
        <f>COUNTIF(A31:AH31,"*$M*")</f>
        <v/>
      </c>
      <c r="BF31" s="77">
        <f>BE31*1</f>
        <v/>
      </c>
      <c r="BG31" s="77">
        <f>COUNTIF(A31:AH31,"*$PM*")</f>
        <v/>
      </c>
      <c r="BH31" s="77">
        <f>BG31*0.5</f>
        <v/>
      </c>
      <c r="BI31" s="77">
        <f>COUNTIF(A31:AH31,"*$AM*")</f>
        <v/>
      </c>
      <c r="BJ31" s="77">
        <f>BI31*0.5</f>
        <v/>
      </c>
      <c r="BK31" s="77">
        <f>COUNTIF(A31:AH31,"*$FC*")</f>
        <v/>
      </c>
      <c r="BL31" s="77">
        <f>BK31*1</f>
        <v/>
      </c>
      <c r="BM31" s="77">
        <f>COUNTIF($D31:$Z31,BM$4)</f>
        <v/>
      </c>
      <c r="BN31" s="77">
        <f>COUNTIF($D31:$Z31,BN$4)</f>
        <v/>
      </c>
      <c r="BO31" s="77">
        <f>COUNTIF($D31:$Z31,BO$4)</f>
        <v/>
      </c>
      <c r="BP31" s="67" t="n"/>
    </row>
    <row r="32" ht="48.75" customHeight="1">
      <c r="A32" s="67" t="n"/>
      <c r="B32" s="76" t="inlineStr">
        <is>
          <t>LCP MUHAMMAD YASIR BIN MUHAMMAD HIJAZ</t>
        </is>
      </c>
      <c r="C32" s="60" t="inlineStr">
        <is>
          <t>HQ $AM SAF DAY (0615-0930)</t>
        </is>
      </c>
      <c r="D32" s="60" t="n"/>
      <c r="E32" s="60" t="inlineStr">
        <is>
          <t>PM AL</t>
        </is>
      </c>
      <c r="F32" s="60" t="n"/>
      <c r="G32" s="60" t="n"/>
      <c r="H32" s="60" t="n"/>
      <c r="I32" s="53" t="n"/>
      <c r="J32" s="60" t="n"/>
      <c r="K32" s="60" t="n"/>
      <c r="L32" s="60" t="n"/>
      <c r="M32" s="60" t="n"/>
      <c r="O32" s="60" t="n"/>
      <c r="P32" s="53" t="n"/>
      <c r="Q32" s="53" t="n"/>
      <c r="R32" s="60" t="n"/>
      <c r="S32" s="60" t="inlineStr">
        <is>
          <t>A $AM IPPT (0530-11000</t>
        </is>
      </c>
      <c r="T32" s="53" t="n"/>
      <c r="U32" s="53" t="n"/>
      <c r="V32" s="60" t="n"/>
      <c r="W32" s="60" t="inlineStr">
        <is>
          <t>SB2</t>
        </is>
      </c>
      <c r="X32" s="60" t="n"/>
      <c r="Y32" s="53" t="n"/>
      <c r="Z32" s="60" t="n"/>
      <c r="AA32" s="60" t="n"/>
      <c r="AB32" s="60" t="n"/>
      <c r="AC32" s="96" t="n"/>
      <c r="AD32" s="155" t="inlineStr">
        <is>
          <t>DM</t>
        </is>
      </c>
      <c r="AE32" s="78" t="inlineStr">
        <is>
          <t>AMPT</t>
        </is>
      </c>
      <c r="AF32" s="60" t="n"/>
      <c r="AG32" s="60" t="n"/>
      <c r="AH32" s="67">
        <f>COUNTIF($C32:$AF32,AH$4)</f>
        <v/>
      </c>
      <c r="AI32" s="67">
        <f>COUNTIF($C32:$AF32,AI$4)</f>
        <v/>
      </c>
      <c r="AJ32" s="67">
        <f>COUNTIF($C32:$AF32,AJ$4)</f>
        <v/>
      </c>
      <c r="AK32" s="67">
        <f>COUNTIF($C32:$AF32,AK$4)</f>
        <v/>
      </c>
      <c r="AL32" s="67">
        <f>COUNTIF($C32:$AF32,AL$4)</f>
        <v/>
      </c>
      <c r="AM32" s="67">
        <f>COUNTIF($C32:$AF32,AM$4)</f>
        <v/>
      </c>
      <c r="AN32" s="67">
        <f>COUNTIF($C32:$AF32,AN$4)</f>
        <v/>
      </c>
      <c r="AO32" s="67">
        <f>COUNTIF($C32:$AF32,AO$4)</f>
        <v/>
      </c>
      <c r="AP32" s="67">
        <f>COUNTIF($C32:$AF32,AP$4)</f>
        <v/>
      </c>
      <c r="AQ32" s="76" t="n">
        <v>1</v>
      </c>
      <c r="AR32" s="76" t="n"/>
      <c r="AS32" s="77">
        <f>SUMPRODUCT(--(WEEKDAY(C$3:AG$3,2)&lt;5),--ISNUMBER(MATCH(C32:AG32,{"DM","CS1","CS2","SB1","AE","CS/B"},0)))</f>
        <v/>
      </c>
      <c r="AT32" s="77" t="n"/>
      <c r="AU32" s="77">
        <f>SUMPRODUCT(--(WEEKDAY(C$3:AG$3,2)=5),--ISNUMBER(MATCH(C32:AG32,{"DM","CS1","CS2","SB1","AE","CS/B","WEEKEND OUTFIELD RESERVE"},0)))</f>
        <v/>
      </c>
      <c r="AV32" s="77">
        <f>SUMPRODUCT(--(WEEKDAY(C$3:AG$3,2)&gt;5),--ISNUMBER(MATCH(C32:AG32,{"DM","CS1","CS2","SB1","AE","CS/B","WEEKEND OUTFIELD RESERVE"},0)))</f>
        <v/>
      </c>
      <c r="AW32" s="77" t="n"/>
      <c r="AX32" s="77">
        <f>(AS32-AT32)+AU32*1.5+(AV32-AW32)*2+AM32*0.5+AO32*0.5+AQ32-AR32</f>
        <v/>
      </c>
      <c r="AY32" s="77">
        <f>AS32+AU32+AV32</f>
        <v/>
      </c>
      <c r="AZ32" s="77">
        <f>BC32+BE32+BG32+BI32+BK32</f>
        <v/>
      </c>
      <c r="BA32" s="76">
        <f>AX32+BB32</f>
        <v/>
      </c>
      <c r="BB32" s="77">
        <f>BD32+BF32+BH32+BJ32+BL32</f>
        <v/>
      </c>
      <c r="BC32" s="77">
        <f>COUNTIF(A32:AH32,"*$BTP*")</f>
        <v/>
      </c>
      <c r="BD32" s="77">
        <f>BC32*1.5</f>
        <v/>
      </c>
      <c r="BE32" s="77">
        <f>COUNTIF(A32:AH32,"*$M*")</f>
        <v/>
      </c>
      <c r="BF32" s="77">
        <f>BE32*1</f>
        <v/>
      </c>
      <c r="BG32" s="77">
        <f>COUNTIF(A32:AH32,"*$PM*")</f>
        <v/>
      </c>
      <c r="BH32" s="77">
        <f>BG32*0.5</f>
        <v/>
      </c>
      <c r="BI32" s="77">
        <f>COUNTIF(A32:AH32,"*$AM*")</f>
        <v/>
      </c>
      <c r="BJ32" s="77">
        <f>BI32*0.5</f>
        <v/>
      </c>
      <c r="BK32" s="77">
        <f>COUNTIF(A32:AH32,"*$FC*")</f>
        <v/>
      </c>
      <c r="BL32" s="77">
        <f>BK32*1</f>
        <v/>
      </c>
      <c r="BM32" s="77">
        <f>COUNTIF($D32:$AA32,BM$4)</f>
        <v/>
      </c>
      <c r="BN32" s="77">
        <f>COUNTIF($D32:$AA32,BN$4)</f>
        <v/>
      </c>
      <c r="BO32" s="77">
        <f>COUNTIF($D32:$AA32,BO$4)</f>
        <v/>
      </c>
      <c r="BP32" s="77" t="n"/>
    </row>
    <row r="33" ht="19.5" customHeight="1">
      <c r="A33" s="67" t="n"/>
      <c r="B33" s="76" t="inlineStr">
        <is>
          <t xml:space="preserve">LCP RON NG </t>
        </is>
      </c>
      <c r="C33" s="60" t="n"/>
      <c r="D33" s="60" t="inlineStr">
        <is>
          <t>AL</t>
        </is>
      </c>
      <c r="E33" s="53" t="inlineStr">
        <is>
          <t>OL</t>
        </is>
      </c>
      <c r="F33" s="60" t="inlineStr">
        <is>
          <t>OL</t>
        </is>
      </c>
      <c r="G33" s="60" t="inlineStr">
        <is>
          <t>OL</t>
        </is>
      </c>
      <c r="H33" s="60" t="inlineStr">
        <is>
          <t>APS</t>
        </is>
      </c>
      <c r="I33" s="60" t="n"/>
      <c r="J33" s="60" t="n"/>
      <c r="K33" s="60" t="n"/>
      <c r="L33" s="60" t="n"/>
      <c r="M33" s="60" t="n"/>
      <c r="N33" s="60" t="n"/>
      <c r="O33" s="60" t="n"/>
      <c r="P33" s="60" t="inlineStr">
        <is>
          <t>C $BTP (0530-2359)</t>
        </is>
      </c>
      <c r="Q33" s="60" t="n"/>
      <c r="R33" s="53" t="n"/>
      <c r="S33" s="60" t="inlineStr">
        <is>
          <t>CS1</t>
        </is>
      </c>
      <c r="T33" s="60" t="n"/>
      <c r="U33" s="60" t="n"/>
      <c r="V33" s="60" t="n"/>
      <c r="W33" s="53" t="n"/>
      <c r="X33" s="53" t="n"/>
      <c r="Y33" s="53" t="inlineStr">
        <is>
          <t>CS/B</t>
        </is>
      </c>
      <c r="Z33" s="60" t="n"/>
      <c r="AA33" s="60" t="n"/>
      <c r="AB33" s="60" t="n"/>
      <c r="AC33" s="75" t="inlineStr">
        <is>
          <t>OUTFIELD RESERVE</t>
        </is>
      </c>
      <c r="AD33" s="75" t="inlineStr">
        <is>
          <t>CS2</t>
        </is>
      </c>
      <c r="AE33" s="79" t="n"/>
      <c r="AF33" s="60" t="n"/>
      <c r="AG33" s="60" t="n"/>
      <c r="AH33" s="67">
        <f>COUNTIF($C33:$AF33,AH$4)</f>
        <v/>
      </c>
      <c r="AI33" s="67">
        <f>COUNTIF($C33:$AF33,AI$4)</f>
        <v/>
      </c>
      <c r="AJ33" s="67">
        <f>COUNTIF($C33:$AF33,AJ$4)</f>
        <v/>
      </c>
      <c r="AK33" s="67">
        <f>COUNTIF($C33:$AF33,AK$4)</f>
        <v/>
      </c>
      <c r="AL33" s="67">
        <f>COUNTIF($C33:$AF33,AL$4)</f>
        <v/>
      </c>
      <c r="AM33" s="67">
        <f>COUNTIF($C33:$AF33,AM$4)</f>
        <v/>
      </c>
      <c r="AN33" s="67">
        <f>COUNTIF($C33:$AF33,AN$4)</f>
        <v/>
      </c>
      <c r="AO33" s="67">
        <f>COUNTIF($C33:$AF33,AO$4)</f>
        <v/>
      </c>
      <c r="AP33" s="67">
        <f>COUNTIF($C33:$AF33,AP$4)</f>
        <v/>
      </c>
      <c r="AQ33" s="76" t="n">
        <v>1</v>
      </c>
      <c r="AR33" s="76" t="n"/>
      <c r="AS33" s="77">
        <f>SUMPRODUCT(--(WEEKDAY(C$3:AG$3,2)&lt;5),--ISNUMBER(MATCH(C33:AG33,{"DM","CS1","CS2","SB1","AE","CS/B"},0)))</f>
        <v/>
      </c>
      <c r="AT33" s="67" t="n"/>
      <c r="AU33" s="77">
        <f>SUMPRODUCT(--(WEEKDAY(C$3:AG$3,2)=5),--ISNUMBER(MATCH(C33:AG33,{"DM","CS1","CS2","SB1","AE","CS/B","WEEKEND OUTFIELD RESERVE"},0)))</f>
        <v/>
      </c>
      <c r="AV33" s="77">
        <f>SUMPRODUCT(--(WEEKDAY(C$3:AG$3,2)&gt;5),--ISNUMBER(MATCH(C33:AG33,{"DM","CS1","CS2","SB1","AE","CS/B","WEEKEND OUTFIELD RESERVE"},0)))</f>
        <v/>
      </c>
      <c r="AW33" s="67" t="n"/>
      <c r="AX33" s="77">
        <f>(AS33-AT33)+AU33*1.5+(AV33-AW33)*2+AM33*0.5+AO33*0.5+AQ33-AR33</f>
        <v/>
      </c>
      <c r="AY33" s="77">
        <f>AS33+AU33+AV33</f>
        <v/>
      </c>
      <c r="AZ33" s="77">
        <f>BC33+BE33+BG33+BI33+BK33</f>
        <v/>
      </c>
      <c r="BA33" s="76">
        <f>AX33+BB33</f>
        <v/>
      </c>
      <c r="BB33" s="77">
        <f>BD33+BF33+BH33+BJ33+BL33</f>
        <v/>
      </c>
      <c r="BC33" s="77">
        <f>COUNTIF(A33:AH33,"*$BTP*")</f>
        <v/>
      </c>
      <c r="BD33" s="77">
        <f>BC33*1.5</f>
        <v/>
      </c>
      <c r="BE33" s="77">
        <f>COUNTIF(A33:AH33,"*$M*")</f>
        <v/>
      </c>
      <c r="BF33" s="77">
        <f>BE33*1</f>
        <v/>
      </c>
      <c r="BG33" s="77">
        <f>COUNTIF(A33:AH33,"*$PM*")</f>
        <v/>
      </c>
      <c r="BH33" s="77">
        <f>BG33*0.5</f>
        <v/>
      </c>
      <c r="BI33" s="77">
        <f>COUNTIF(A33:AH33,"*$AM*")</f>
        <v/>
      </c>
      <c r="BJ33" s="77">
        <f>BI33*0.5</f>
        <v/>
      </c>
      <c r="BK33" s="77">
        <f>COUNTIF(A33:AH33,"*$FC*")</f>
        <v/>
      </c>
      <c r="BL33" s="77">
        <f>BK33*1</f>
        <v/>
      </c>
      <c r="BM33" s="77">
        <f>COUNTIF($D33:$Z33,BM$4)</f>
        <v/>
      </c>
      <c r="BN33" s="77">
        <f>COUNTIF($D33:$Z33,BN$4)</f>
        <v/>
      </c>
      <c r="BO33" s="77">
        <f>COUNTIF($D33:$Z33,BO$4)</f>
        <v/>
      </c>
      <c r="BP33" s="67" t="n"/>
    </row>
    <row r="34" ht="19.5" customHeight="1">
      <c r="A34" s="67" t="n"/>
      <c r="B34" s="76" t="inlineStr">
        <is>
          <t>LCP TRAN MINH KHOA</t>
        </is>
      </c>
      <c r="D34" s="53" t="inlineStr">
        <is>
          <t>P $AM ER</t>
        </is>
      </c>
      <c r="E34" s="60" t="n"/>
      <c r="F34" s="60" t="n"/>
      <c r="G34" s="60" t="n"/>
      <c r="H34" s="60" t="inlineStr">
        <is>
          <t>APS</t>
        </is>
      </c>
      <c r="I34" s="60" t="n"/>
      <c r="J34" s="60" t="n"/>
      <c r="K34" s="60" t="inlineStr">
        <is>
          <t>COMPONENT TRAINING</t>
        </is>
      </c>
      <c r="L34" s="53" t="n"/>
      <c r="M34" s="53" t="n"/>
      <c r="N34" s="60" t="n"/>
      <c r="O34" s="60" t="inlineStr">
        <is>
          <t>MSP REHEARSAL</t>
        </is>
      </c>
      <c r="P34" s="60" t="inlineStr">
        <is>
          <t>MSP REHEARSAL</t>
        </is>
      </c>
      <c r="Q34" s="60" t="n"/>
      <c r="R34" s="53" t="n"/>
      <c r="S34" s="53" t="inlineStr">
        <is>
          <t>MSP</t>
        </is>
      </c>
      <c r="T34" s="53" t="n"/>
      <c r="U34" s="60" t="n"/>
      <c r="V34" s="53" t="n"/>
      <c r="W34" s="53" t="n"/>
      <c r="Y34" s="60" t="n"/>
      <c r="Z34" s="53" t="n"/>
      <c r="AA34" s="60" t="n"/>
      <c r="AB34" s="60" t="n"/>
      <c r="AC34" s="155" t="n"/>
      <c r="AD34" s="155" t="n"/>
      <c r="AE34" s="78" t="inlineStr">
        <is>
          <t>OUTFIELD RESERVE</t>
        </is>
      </c>
      <c r="AF34" s="60" t="inlineStr">
        <is>
          <t>OUTFIELD RESERVE</t>
        </is>
      </c>
      <c r="AG34" s="60" t="n"/>
      <c r="AH34" s="67">
        <f>COUNTIF($C34:$AF34,AH$4)</f>
        <v/>
      </c>
      <c r="AI34" s="67">
        <f>COUNTIF($C34:$AF34,AI$4)</f>
        <v/>
      </c>
      <c r="AJ34" s="67">
        <f>COUNTIF($C34:$AF34,AJ$4)</f>
        <v/>
      </c>
      <c r="AK34" s="67">
        <f>COUNTIF($C34:$AF34,AK$4)</f>
        <v/>
      </c>
      <c r="AL34" s="67">
        <f>COUNTIF($C34:$AF34,AL$4)</f>
        <v/>
      </c>
      <c r="AM34" s="67">
        <f>COUNTIF($C34:$AF34,AM$4)</f>
        <v/>
      </c>
      <c r="AN34" s="67">
        <f>COUNTIF($C34:$AF34,AN$4)</f>
        <v/>
      </c>
      <c r="AO34" s="67">
        <f>COUNTIF($C34:$AF34,AO$4)</f>
        <v/>
      </c>
      <c r="AP34" s="67">
        <f>COUNTIF($C34:$AF34,AP$4)</f>
        <v/>
      </c>
      <c r="AQ34" s="76" t="n">
        <v>0</v>
      </c>
      <c r="AR34" s="76" t="n"/>
      <c r="AS34" s="77">
        <f>SUMPRODUCT(--(WEEKDAY(C$3:AG$3,2)&lt;5),--ISNUMBER(MATCH(C34:AG34,{"DM","CS1","CS2","SB1","AE","CS/B"},0)))</f>
        <v/>
      </c>
      <c r="AT34" s="67" t="n"/>
      <c r="AU34" s="77">
        <f>SUMPRODUCT(--(WEEKDAY(C$3:AG$3,2)=5),--ISNUMBER(MATCH(C34:AG34,{"DM","CS1","CS2","SB1","AE","CS/B","WEEKEND OUTFIELD RESERVE"},0)))</f>
        <v/>
      </c>
      <c r="AV34" s="77">
        <f>SUMPRODUCT(--(WEEKDAY(C$3:AG$3,2)&gt;5),--ISNUMBER(MATCH(C34:AG34,{"DM","CS1","CS2","SB1","AE","CS/B","WEEKEND OUTFIELD RESERVE"},0)))</f>
        <v/>
      </c>
      <c r="AW34" s="67" t="n"/>
      <c r="AX34" s="77">
        <f>(AS34-AT34)+AU34*1.5+(AV34-AW34)*2+AM34*0.5+AO34*0.5+AQ34-AR34</f>
        <v/>
      </c>
      <c r="AY34" s="77">
        <f>AS34+AU34+AV34</f>
        <v/>
      </c>
      <c r="AZ34" s="77">
        <f>BC34+BE34+BG34+BI34+BK34</f>
        <v/>
      </c>
      <c r="BA34" s="76">
        <f>AX34+BB34</f>
        <v/>
      </c>
      <c r="BB34" s="77">
        <f>BD34+BF34+BH34+BJ34+BL34</f>
        <v/>
      </c>
      <c r="BC34" s="77">
        <f>COUNTIF(A34:AH34,"*$BTP*")</f>
        <v/>
      </c>
      <c r="BD34" s="77">
        <f>BC34*1.5</f>
        <v/>
      </c>
      <c r="BE34" s="77">
        <f>COUNTIF(A34:AH34,"*$M*")</f>
        <v/>
      </c>
      <c r="BF34" s="77">
        <f>BE34*1</f>
        <v/>
      </c>
      <c r="BG34" s="77">
        <f>COUNTIF(A34:AH34,"*$PM*")</f>
        <v/>
      </c>
      <c r="BH34" s="77">
        <f>BG34*0.5</f>
        <v/>
      </c>
      <c r="BI34" s="77">
        <f>COUNTIF(A34:AH34,"*$AM*")</f>
        <v/>
      </c>
      <c r="BJ34" s="77">
        <f>BI34*0.5</f>
        <v/>
      </c>
      <c r="BK34" s="77">
        <f>COUNTIF(A34:AH34,"*$FC*")</f>
        <v/>
      </c>
      <c r="BL34" s="77">
        <f>BK34*1</f>
        <v/>
      </c>
      <c r="BM34" s="77">
        <f>COUNTIF($H34:$AA34,BM$4)</f>
        <v/>
      </c>
      <c r="BN34" s="77">
        <f>COUNTIF($H34:$AA34,BN$4)</f>
        <v/>
      </c>
      <c r="BO34" s="77">
        <f>COUNTIF($H34:$AA34,BO$4)</f>
        <v/>
      </c>
      <c r="BP34" s="67" t="n"/>
    </row>
    <row r="35" ht="51.75" customHeight="1">
      <c r="A35" s="67" t="n"/>
      <c r="B35" s="76" t="inlineStr">
        <is>
          <t xml:space="preserve">LCP STEPHEN TAY </t>
        </is>
      </c>
      <c r="C35" s="60" t="n"/>
      <c r="D35" s="60" t="n"/>
      <c r="E35" s="60" t="n"/>
      <c r="F35" s="53" t="n"/>
      <c r="G35" s="60" t="n"/>
      <c r="H35" s="60" t="inlineStr">
        <is>
          <t>APS</t>
        </is>
      </c>
      <c r="I35" s="60" t="n"/>
      <c r="J35" s="60" t="n"/>
      <c r="K35" s="60" t="n"/>
      <c r="L35" s="60" t="n"/>
      <c r="M35" s="60" t="n"/>
      <c r="N35" s="60" t="n"/>
      <c r="O35" s="60" t="n"/>
      <c r="P35" s="60" t="n"/>
      <c r="Q35" s="53" t="inlineStr">
        <is>
          <t>RESERVE</t>
        </is>
      </c>
      <c r="R35" s="60" t="n"/>
      <c r="S35" s="60" t="n"/>
      <c r="T35" s="60" t="n"/>
      <c r="U35" s="53" t="n"/>
      <c r="V35" s="53" t="n"/>
      <c r="W35" s="53" t="n"/>
      <c r="X35" s="53" t="n"/>
      <c r="Y35" s="60" t="inlineStr">
        <is>
          <t>RESERVE</t>
        </is>
      </c>
      <c r="Z35" s="60" t="n"/>
      <c r="AA35" s="60" t="inlineStr">
        <is>
          <t>AE</t>
        </is>
      </c>
      <c r="AB35" s="60" t="n"/>
      <c r="AC35" s="90" t="n"/>
      <c r="AD35" s="90" t="n"/>
      <c r="AE35" s="83" t="inlineStr">
        <is>
          <t>AMPT</t>
        </is>
      </c>
      <c r="AF35" s="60" t="n"/>
      <c r="AG35" s="53" t="n"/>
      <c r="AH35" s="67">
        <f>COUNTIF($C35:$AF35,AH$4)</f>
        <v/>
      </c>
      <c r="AI35" s="67">
        <f>COUNTIF($C35:$AF35,AI$4)</f>
        <v/>
      </c>
      <c r="AJ35" s="67">
        <f>COUNTIF($C35:$AF35,AJ$4)</f>
        <v/>
      </c>
      <c r="AK35" s="67">
        <f>COUNTIF($C35:$AF35,AK$4)</f>
        <v/>
      </c>
      <c r="AL35" s="67">
        <f>COUNTIF($C35:$AF35,AL$4)</f>
        <v/>
      </c>
      <c r="AM35" s="67">
        <f>COUNTIF($C35:$AF35,AM$4)</f>
        <v/>
      </c>
      <c r="AN35" s="67">
        <f>COUNTIF($C35:$AF35,AN$4)</f>
        <v/>
      </c>
      <c r="AO35" s="67">
        <f>COUNTIF($C35:$AF35,AO$4)</f>
        <v/>
      </c>
      <c r="AP35" s="67">
        <f>COUNTIF($C35:$AF35,AP$4)</f>
        <v/>
      </c>
      <c r="AQ35" s="76" t="n"/>
      <c r="AR35" s="76" t="n">
        <v>0.5</v>
      </c>
      <c r="AS35" s="77">
        <f>SUMPRODUCT(--(WEEKDAY(C$3:AG$3,2)&lt;5),--ISNUMBER(MATCH(C35:AG35,{"DM","CS1","CS2","SB1","AE","CS/B"},0)))</f>
        <v/>
      </c>
      <c r="AT35" s="67" t="n"/>
      <c r="AU35" s="77">
        <f>SUMPRODUCT(--(WEEKDAY(C$3:AG$3,2)=5),--ISNUMBER(MATCH(C35:AG35,{"DM","CS1","CS2","SB1","AE","CS/B","WEEKEND OUTFIELD RESERVE"},0)))</f>
        <v/>
      </c>
      <c r="AV35" s="77">
        <f>SUMPRODUCT(--(WEEKDAY(C$3:AG$3,2)&gt;5),--ISNUMBER(MATCH(C35:AG35,{"DM","CS1","CS2","SB1","AE","CS/B","WEEKEND OUTFIELD RESERVE"},0)))</f>
        <v/>
      </c>
      <c r="AW35" s="67" t="n"/>
      <c r="AX35" s="77">
        <f>(AS35-AT35)+AU35*1.5+(AV35-AW35)*2+AM35*0.5+AO35*0.5+AQ35-AR35</f>
        <v/>
      </c>
      <c r="AY35" s="77">
        <f>AS35+AU35+AV35</f>
        <v/>
      </c>
      <c r="AZ35" s="77">
        <f>BC35+BE35+BG35+BI35+BK35</f>
        <v/>
      </c>
      <c r="BA35" s="76">
        <f>AX35+BB35</f>
        <v/>
      </c>
      <c r="BB35" s="77">
        <f>BD35+BF35+BH35+BJ35+BL35</f>
        <v/>
      </c>
      <c r="BC35" s="77">
        <f>COUNTIF(A35:AH35,"*$BTP*")</f>
        <v/>
      </c>
      <c r="BD35" s="77">
        <f>BC35*1.5</f>
        <v/>
      </c>
      <c r="BE35" s="77">
        <f>COUNTIF(A35:AH35,"*$M*")</f>
        <v/>
      </c>
      <c r="BF35" s="77">
        <f>BE35*1</f>
        <v/>
      </c>
      <c r="BG35" s="77">
        <f>COUNTIF(A35:AH35,"*$PM*")</f>
        <v/>
      </c>
      <c r="BH35" s="77">
        <f>BG35*0.5</f>
        <v/>
      </c>
      <c r="BI35" s="77">
        <f>COUNTIF(A35:AH35,"*$AM*")</f>
        <v/>
      </c>
      <c r="BJ35" s="77">
        <f>BI35*0.5</f>
        <v/>
      </c>
      <c r="BK35" s="77">
        <f>COUNTIF(A35:AH35,"*$FC*")</f>
        <v/>
      </c>
      <c r="BL35" s="77">
        <f>BK35*1</f>
        <v/>
      </c>
      <c r="BM35" s="77">
        <f>COUNTIF($D35:$Z35,BM$4)</f>
        <v/>
      </c>
      <c r="BN35" s="77">
        <f>COUNTIF($D35:$Z35,BN$4)</f>
        <v/>
      </c>
      <c r="BO35" s="77">
        <f>COUNTIF($D35:$Z35,BO$4)</f>
        <v/>
      </c>
      <c r="BP35" s="67" t="n"/>
    </row>
    <row r="36" ht="19.5" customHeight="1">
      <c r="A36" s="67" t="n"/>
      <c r="B36" s="76" t="inlineStr">
        <is>
          <t xml:space="preserve">LCP EDWARD GAN BOON WEI </t>
        </is>
      </c>
      <c r="C36" s="60" t="inlineStr">
        <is>
          <t>K $PM ER (1530-2000)</t>
        </is>
      </c>
      <c r="D36" s="53" t="inlineStr">
        <is>
          <t>K $AM IPPT (0500-1100)</t>
        </is>
      </c>
      <c r="E36" s="60" t="n"/>
      <c r="F36" s="60" t="n"/>
      <c r="G36" s="60" t="n"/>
      <c r="H36" s="60" t="n"/>
      <c r="I36" s="60" t="n"/>
      <c r="J36" s="60" t="inlineStr">
        <is>
          <t>K $BTP (0515-2359)</t>
        </is>
      </c>
      <c r="K36" s="60" t="n"/>
      <c r="L36" s="60" t="inlineStr">
        <is>
          <t>RESERVE</t>
        </is>
      </c>
      <c r="M36" s="60" t="n"/>
      <c r="N36" s="53" t="n"/>
      <c r="O36" s="60" t="n"/>
      <c r="P36" s="53" t="n"/>
      <c r="Q36" s="60" t="n"/>
      <c r="R36" s="60" t="n"/>
      <c r="S36" s="60" t="n"/>
      <c r="T36" s="60" t="inlineStr">
        <is>
          <t>SB1</t>
        </is>
      </c>
      <c r="U36" s="60" t="n"/>
      <c r="V36" s="53" t="n"/>
      <c r="W36" s="60" t="n"/>
      <c r="X36" s="53" t="n"/>
      <c r="Y36" s="60" t="inlineStr">
        <is>
          <t>AL</t>
        </is>
      </c>
      <c r="Z36" s="60" t="inlineStr">
        <is>
          <t>AE</t>
        </is>
      </c>
      <c r="AA36" s="60" t="n"/>
      <c r="AB36" s="60" t="n"/>
      <c r="AC36" s="155" t="n"/>
      <c r="AD36" s="92" t="inlineStr">
        <is>
          <t>A $BTP (0530-2359)</t>
        </is>
      </c>
      <c r="AE36" s="84" t="inlineStr">
        <is>
          <t>SB1</t>
        </is>
      </c>
      <c r="AF36" s="60" t="n"/>
      <c r="AG36" s="60" t="n"/>
      <c r="AH36" s="67">
        <f>COUNTIF($C36:$AF36,AH$4)</f>
        <v/>
      </c>
      <c r="AI36" s="67">
        <f>COUNTIF($C36:$AF36,AI$4)</f>
        <v/>
      </c>
      <c r="AJ36" s="67">
        <f>COUNTIF($C36:$AF36,AJ$4)</f>
        <v/>
      </c>
      <c r="AK36" s="67">
        <f>COUNTIF($C36:$AF36,AK$4)</f>
        <v/>
      </c>
      <c r="AL36" s="67">
        <f>COUNTIF($C36:$AF36,AL$4)</f>
        <v/>
      </c>
      <c r="AM36" s="67">
        <f>COUNTIF($C36:$AF36,AM$4)</f>
        <v/>
      </c>
      <c r="AN36" s="67">
        <f>COUNTIF($C36:$AF36,AN$4)</f>
        <v/>
      </c>
      <c r="AO36" s="67">
        <f>COUNTIF($C36:$AF36,AO$4)</f>
        <v/>
      </c>
      <c r="AP36" s="67">
        <f>COUNTIF($C36:$AF36,AP$4)</f>
        <v/>
      </c>
      <c r="AQ36" s="76" t="n"/>
      <c r="AR36" s="76" t="n">
        <v>0.5</v>
      </c>
      <c r="AS36" s="77">
        <f>SUMPRODUCT(--(WEEKDAY(C$3:AG$3,2)&lt;5),--ISNUMBER(MATCH(C36:AG36,{"DM","CS1","CS2","SB1","AE","CS/B"},0)))</f>
        <v/>
      </c>
      <c r="AT36" s="67" t="n"/>
      <c r="AU36" s="77">
        <f>SUMPRODUCT(--(WEEKDAY(C$3:AG$3,2)=5),--ISNUMBER(MATCH(C36:AG36,{"DM","CS1","CS2","SB1","AE","CS/B","WEEKEND OUTFIELD RESERVE"},0)))</f>
        <v/>
      </c>
      <c r="AV36" s="77">
        <f>SUMPRODUCT(--(WEEKDAY(C$3:AG$3,2)&gt;5),--ISNUMBER(MATCH(C36:AG36,{"DM","CS1","CS2","SB1","AE","CS/B","WEEKEND OUTFIELD RESERVE"},0)))</f>
        <v/>
      </c>
      <c r="AW36" s="67" t="n"/>
      <c r="AX36" s="77">
        <f>(AS36-AT36)+AU36*1.5+(AV36-AW36)*2+AM36*0.5+AO36*0.5+AQ36-AR36</f>
        <v/>
      </c>
      <c r="AY36" s="77">
        <f>AS36+AU36+AV36</f>
        <v/>
      </c>
      <c r="AZ36" s="77">
        <f>BC36+BE36+BG36+BI36+BK36</f>
        <v/>
      </c>
      <c r="BA36" s="76">
        <f>AX36+BB36</f>
        <v/>
      </c>
      <c r="BB36" s="77">
        <f>BD36+BF36+BH36+BJ36+BL36</f>
        <v/>
      </c>
      <c r="BC36" s="77">
        <f>COUNTIF(A36:AH36,"*$BTP*")</f>
        <v/>
      </c>
      <c r="BD36" s="77">
        <f>BC36*1.5</f>
        <v/>
      </c>
      <c r="BE36" s="77">
        <f>COUNTIF(A36:AH36,"*$M*")</f>
        <v/>
      </c>
      <c r="BF36" s="77">
        <f>BE36*1</f>
        <v/>
      </c>
      <c r="BG36" s="77">
        <f>COUNTIF(A36:AH36,"*$PM*")</f>
        <v/>
      </c>
      <c r="BH36" s="77">
        <f>BG36*0.5</f>
        <v/>
      </c>
      <c r="BI36" s="77">
        <f>COUNTIF(A36:AH36,"*$AM*")</f>
        <v/>
      </c>
      <c r="BJ36" s="77">
        <f>BI36*0.5</f>
        <v/>
      </c>
      <c r="BK36" s="77">
        <f>COUNTIF(A36:AH36,"*$FC*")</f>
        <v/>
      </c>
      <c r="BL36" s="77">
        <f>BK36*1</f>
        <v/>
      </c>
      <c r="BM36" s="77">
        <f>COUNTIF($D36:$AA36,BM$4)</f>
        <v/>
      </c>
      <c r="BN36" s="77">
        <f>COUNTIF($D36:$AA36,BN$4)</f>
        <v/>
      </c>
      <c r="BO36" s="77">
        <f>COUNTIF($D36:$AA36,BO$4)</f>
        <v/>
      </c>
      <c r="BP36" s="67" t="n"/>
    </row>
    <row r="37" ht="19.5" customHeight="1">
      <c r="A37" s="67" t="n"/>
      <c r="B37" s="76" t="inlineStr">
        <is>
          <t>LCP RAIYAN ZUFAYRI BIN MOHAMAD HELMY</t>
        </is>
      </c>
      <c r="C37" s="53" t="n"/>
      <c r="D37" s="53" t="n"/>
      <c r="E37" s="60" t="n"/>
      <c r="F37" s="60" t="n"/>
      <c r="G37" s="60" t="n"/>
      <c r="H37" s="60" t="n"/>
      <c r="I37" s="53" t="n"/>
      <c r="J37" s="60" t="n"/>
      <c r="K37" s="60" t="inlineStr">
        <is>
          <t>COVER RESERVE</t>
        </is>
      </c>
      <c r="L37" s="60" t="n"/>
      <c r="M37" s="53" t="inlineStr">
        <is>
          <t>SB2</t>
        </is>
      </c>
      <c r="N37" s="60" t="n"/>
      <c r="O37" s="53" t="n"/>
      <c r="P37" s="53" t="n"/>
      <c r="Q37" s="60" t="n"/>
      <c r="R37" s="60" t="n"/>
      <c r="S37" s="60" t="inlineStr">
        <is>
          <t>SB2</t>
        </is>
      </c>
      <c r="T37" s="60" t="n"/>
      <c r="U37" s="53" t="n"/>
      <c r="V37" s="53" t="n"/>
      <c r="W37" s="53" t="inlineStr">
        <is>
          <t>CS1</t>
        </is>
      </c>
      <c r="X37" s="60" t="inlineStr">
        <is>
          <t>COVER RESERVE</t>
        </is>
      </c>
      <c r="Y37" s="60" t="n"/>
      <c r="Z37" s="60" t="inlineStr">
        <is>
          <t>OL</t>
        </is>
      </c>
      <c r="AA37" s="53" t="inlineStr">
        <is>
          <t>SB2</t>
        </is>
      </c>
      <c r="AB37" s="53" t="inlineStr">
        <is>
          <t>OL</t>
        </is>
      </c>
      <c r="AC37" s="90" t="n"/>
      <c r="AD37" s="75" t="inlineStr">
        <is>
          <t>COVER RESERVE</t>
        </is>
      </c>
      <c r="AE37" s="79" t="n"/>
      <c r="AF37" s="60" t="inlineStr">
        <is>
          <t>DM</t>
        </is>
      </c>
      <c r="AG37" s="60" t="n"/>
      <c r="AH37" s="67">
        <f>COUNTIF($C37:$AF37,AH$4)</f>
        <v/>
      </c>
      <c r="AI37" s="67">
        <f>COUNTIF($C37:$AF37,AI$4)</f>
        <v/>
      </c>
      <c r="AJ37" s="67">
        <f>COUNTIF($C37:$AF37,AJ$4)</f>
        <v/>
      </c>
      <c r="AK37" s="67">
        <f>COUNTIF($C37:$AF37,AK$4)</f>
        <v/>
      </c>
      <c r="AL37" s="67">
        <f>COUNTIF($C37:$AF37,AL$4)</f>
        <v/>
      </c>
      <c r="AM37" s="67">
        <f>COUNTIF($C37:$AF37,AM$4)</f>
        <v/>
      </c>
      <c r="AN37" s="67">
        <f>COUNTIF($C37:$AF37,AN$4)</f>
        <v/>
      </c>
      <c r="AO37" s="67">
        <f>COUNTIF($C37:$AF37,AO$4)</f>
        <v/>
      </c>
      <c r="AP37" s="67">
        <f>COUNTIF($C37:$AF37,AP$4)</f>
        <v/>
      </c>
      <c r="AQ37" s="76" t="n">
        <v>0</v>
      </c>
      <c r="AR37" s="76" t="n"/>
      <c r="AS37" s="77">
        <f>SUMPRODUCT(--(WEEKDAY(C$3:AG$3,2)&lt;5),--ISNUMBER(MATCH(C37:AG37,{"DM","CS1","CS2","SB1","AE","CS/B"},0)))</f>
        <v/>
      </c>
      <c r="AT37" s="67" t="n"/>
      <c r="AU37" s="77">
        <f>SUMPRODUCT(--(WEEKDAY(C$3:AG$3,2)=5),--ISNUMBER(MATCH(C37:AG37,{"DM","CS1","CS2","SB1","AE","CS/B","WEEKEND OUTFIELD RESERVE"},0)))</f>
        <v/>
      </c>
      <c r="AV37" s="77">
        <f>SUMPRODUCT(--(WEEKDAY(C$3:AG$3,2)&gt;5),--ISNUMBER(MATCH(C37:AG37,{"DM","CS1","CS2","SB1","AE","CS/B","WEEKEND OUTFIELD RESERVE"},0)))</f>
        <v/>
      </c>
      <c r="AW37" s="67" t="n"/>
      <c r="AX37" s="77">
        <f>(AS37-AT37)+AU37*1.5+(AV37-AW37)*2+AM37*0.5+AO37*0.5+AQ37-AR37</f>
        <v/>
      </c>
      <c r="AY37" s="77">
        <f>AS37+AU37+AV37</f>
        <v/>
      </c>
      <c r="AZ37" s="77">
        <f>BC37+BE37+BG37+BI37+BK37</f>
        <v/>
      </c>
      <c r="BA37" s="76">
        <f>AX37+BB37</f>
        <v/>
      </c>
      <c r="BB37" s="77">
        <f>BD37+BF37+BH37+BJ37+BL37</f>
        <v/>
      </c>
      <c r="BC37" s="77">
        <f>COUNTIF(A37:AH37,"*$BTP*")</f>
        <v/>
      </c>
      <c r="BD37" s="77">
        <f>BC37*1.5</f>
        <v/>
      </c>
      <c r="BE37" s="77">
        <f>COUNTIF(A37:AH37,"*$M*")</f>
        <v/>
      </c>
      <c r="BF37" s="77">
        <f>BE37*1</f>
        <v/>
      </c>
      <c r="BG37" s="77">
        <f>COUNTIF(A37:AH37,"*$PM*")</f>
        <v/>
      </c>
      <c r="BH37" s="77">
        <f>BG37*0.5</f>
        <v/>
      </c>
      <c r="BI37" s="77">
        <f>COUNTIF(A37:AH37,"*$AM*")</f>
        <v/>
      </c>
      <c r="BJ37" s="77">
        <f>BI37*0.5</f>
        <v/>
      </c>
      <c r="BK37" s="77">
        <f>COUNTIF(A37:AH37,"*$FC*")</f>
        <v/>
      </c>
      <c r="BL37" s="77">
        <f>BK37*1</f>
        <v/>
      </c>
      <c r="BM37" s="77">
        <f>COUNTIF($D37:$Y37,BM$4)</f>
        <v/>
      </c>
      <c r="BN37" s="77">
        <f>COUNTIF($D37:$Y37,BN$4)</f>
        <v/>
      </c>
      <c r="BO37" s="77">
        <f>COUNTIF($D37:$Y37,BO$4)</f>
        <v/>
      </c>
      <c r="BP37" s="67" t="n"/>
    </row>
    <row r="38" ht="19.5" customHeight="1">
      <c r="A38" s="67" t="n"/>
      <c r="B38" s="76" t="inlineStr">
        <is>
          <t>LCP CHOA ZONGHAN ETIENNE</t>
        </is>
      </c>
      <c r="C38" s="60" t="n"/>
      <c r="D38" s="53" t="inlineStr">
        <is>
          <t>CS/B</t>
        </is>
      </c>
      <c r="E38" s="60" t="n"/>
      <c r="F38" s="60" t="inlineStr">
        <is>
          <t>SB2</t>
        </is>
      </c>
      <c r="G38" s="60" t="n"/>
      <c r="H38" s="53" t="n"/>
      <c r="I38" s="53" t="n"/>
      <c r="J38" s="60" t="inlineStr">
        <is>
          <t>CS1</t>
        </is>
      </c>
      <c r="K38" s="60" t="n"/>
      <c r="L38" s="60" t="n"/>
      <c r="M38" s="53" t="n"/>
      <c r="N38" s="60" t="inlineStr">
        <is>
          <t>DM</t>
        </is>
      </c>
      <c r="P38" s="60" t="inlineStr">
        <is>
          <t>COVER RESERVE</t>
        </is>
      </c>
      <c r="Q38" s="60" t="inlineStr">
        <is>
          <t>CS2</t>
        </is>
      </c>
      <c r="R38" s="60" t="n"/>
      <c r="S38" s="60" t="inlineStr">
        <is>
          <t>5th $PM CC (1630-1820)</t>
        </is>
      </c>
      <c r="T38" s="60" t="n"/>
      <c r="U38" s="60" t="n"/>
      <c r="V38" s="60" t="inlineStr">
        <is>
          <t>CS/B</t>
        </is>
      </c>
      <c r="W38" s="60" t="n"/>
      <c r="X38" s="53" t="n"/>
      <c r="Y38" s="60" t="n"/>
      <c r="Z38" s="53" t="n"/>
      <c r="AA38" s="53" t="inlineStr">
        <is>
          <t>DM</t>
        </is>
      </c>
      <c r="AB38" s="60" t="n"/>
      <c r="AC38" s="155" t="n"/>
      <c r="AD38" s="97" t="n"/>
      <c r="AE38" s="84" t="inlineStr">
        <is>
          <t>DM</t>
        </is>
      </c>
      <c r="AF38" s="60" t="n"/>
      <c r="AG38" s="60" t="inlineStr">
        <is>
          <t>RESERVE</t>
        </is>
      </c>
      <c r="AH38" s="67">
        <f>COUNTIF($C38:$AF38,AH$4)</f>
        <v/>
      </c>
      <c r="AI38" s="67">
        <f>COUNTIF($C38:$AF38,AI$4)</f>
        <v/>
      </c>
      <c r="AJ38" s="67">
        <f>COUNTIF($C38:$AF38,AJ$4)</f>
        <v/>
      </c>
      <c r="AK38" s="67">
        <f>COUNTIF($C38:$AF38,AK$4)</f>
        <v/>
      </c>
      <c r="AL38" s="67">
        <f>COUNTIF($C38:$AF38,AL$4)</f>
        <v/>
      </c>
      <c r="AM38" s="67">
        <f>COUNTIF($C38:$AF38,AM$4)</f>
        <v/>
      </c>
      <c r="AN38" s="67">
        <f>COUNTIF($C38:$AF38,AN$4)</f>
        <v/>
      </c>
      <c r="AO38" s="67">
        <f>COUNTIF($C38:$AF38,AO$4)</f>
        <v/>
      </c>
      <c r="AP38" s="67">
        <f>COUNTIF($C38:$AF38,AP$4)</f>
        <v/>
      </c>
      <c r="AQ38" s="76" t="n"/>
      <c r="AR38" s="76" t="n">
        <v>0.5</v>
      </c>
      <c r="AS38" s="77">
        <f>SUMPRODUCT(--(WEEKDAY(C$3:AG$3,2)&lt;5),--ISNUMBER(MATCH(C38:AG38,{"DM","CS1","CS2","SB1","AE","CS/B"},0)))</f>
        <v/>
      </c>
      <c r="AT38" s="67" t="n"/>
      <c r="AU38" s="77">
        <f>SUMPRODUCT(--(WEEKDAY(C$3:AG$3,2)=5),--ISNUMBER(MATCH(C38:AG38,{"DM","CS1","CS2","SB1","AE","CS/B","WEEKEND OUTFIELD RESERVE"},0)))</f>
        <v/>
      </c>
      <c r="AV38" s="77">
        <f>SUMPRODUCT(--(WEEKDAY(C$3:AG$3,2)&gt;5),--ISNUMBER(MATCH(C38:AG38,{"DM","CS1","CS2","SB1","AE","CS/B","WEEKEND OUTFIELD RESERVE"},0)))</f>
        <v/>
      </c>
      <c r="AW38" s="67" t="n"/>
      <c r="AX38" s="77">
        <f>(AS38-AT38)+AU38*1.5+(AV38-AW38)*2+AM38*0.5+AO38*0.5+AQ38-AR38</f>
        <v/>
      </c>
      <c r="AY38" s="77">
        <f>AS38+AU38+AV38</f>
        <v/>
      </c>
      <c r="AZ38" s="77">
        <f>BC38+BE38+BG38+BI38+BK38</f>
        <v/>
      </c>
      <c r="BA38" s="76">
        <f>AX38+BB38</f>
        <v/>
      </c>
      <c r="BB38" s="77">
        <f>BD38+BF38+BH38+BJ38+BL38</f>
        <v/>
      </c>
      <c r="BC38" s="77">
        <f>COUNTIF(A38:AH38,"*$BTP*")</f>
        <v/>
      </c>
      <c r="BD38" s="77">
        <f>BC38*1.5</f>
        <v/>
      </c>
      <c r="BE38" s="77">
        <f>COUNTIF(A38:AH38,"*$M*")</f>
        <v/>
      </c>
      <c r="BF38" s="77">
        <f>BE38*1</f>
        <v/>
      </c>
      <c r="BG38" s="77">
        <f>COUNTIF(A38:AH38,"*$PM*")</f>
        <v/>
      </c>
      <c r="BH38" s="77">
        <f>BG38*0.5</f>
        <v/>
      </c>
      <c r="BI38" s="77">
        <f>COUNTIF(A38:AH38,"*$AM*")</f>
        <v/>
      </c>
      <c r="BJ38" s="77">
        <f>BI38*0.5</f>
        <v/>
      </c>
      <c r="BK38" s="77">
        <f>COUNTIF(A38:AH38,"*$FC*")</f>
        <v/>
      </c>
      <c r="BL38" s="77">
        <f>BK38*1</f>
        <v/>
      </c>
      <c r="BM38" s="77">
        <f>COUNTIF($D38:$Z38,BM$4)</f>
        <v/>
      </c>
      <c r="BN38" s="77">
        <f>COUNTIF($D38:$Z38,BN$4)</f>
        <v/>
      </c>
      <c r="BO38" s="77">
        <f>COUNTIF($D38:$Z38,BO$4)</f>
        <v/>
      </c>
      <c r="BP38" s="67" t="n"/>
    </row>
    <row r="39" ht="19.5" customHeight="1">
      <c r="A39" s="67" t="n"/>
      <c r="B39" s="76" t="inlineStr">
        <is>
          <t>LCP SHLOK PUROHIT</t>
        </is>
      </c>
      <c r="D39" s="53" t="n"/>
      <c r="E39" s="60" t="n"/>
      <c r="F39" s="60" t="n"/>
      <c r="G39" s="60" t="n"/>
      <c r="H39" t="inlineStr">
        <is>
          <t>SB2</t>
        </is>
      </c>
      <c r="I39" s="53" t="n"/>
      <c r="J39" s="60" t="n"/>
      <c r="K39" s="60" t="n"/>
      <c r="L39" s="60" t="inlineStr">
        <is>
          <t>SB2</t>
        </is>
      </c>
      <c r="M39" s="60" t="n"/>
      <c r="N39" s="60" t="n"/>
      <c r="O39" s="53" t="n"/>
      <c r="P39" s="60" t="inlineStr">
        <is>
          <t>DM</t>
        </is>
      </c>
      <c r="Q39" s="53" t="n"/>
      <c r="R39" s="60" t="n"/>
      <c r="S39" s="60" t="inlineStr">
        <is>
          <t>CS2</t>
        </is>
      </c>
      <c r="T39" s="53" t="n"/>
      <c r="U39" s="53" t="n"/>
      <c r="V39" s="53" t="n"/>
      <c r="W39" s="60" t="inlineStr">
        <is>
          <t>A $M HG (0530-2000)</t>
        </is>
      </c>
      <c r="X39" s="60" t="inlineStr">
        <is>
          <t>DM</t>
        </is>
      </c>
      <c r="Y39" s="60" t="n"/>
      <c r="Z39" s="60" t="inlineStr">
        <is>
          <t>COVER RESERVE</t>
        </is>
      </c>
      <c r="AA39" s="53" t="n"/>
      <c r="AB39" s="60" t="n"/>
      <c r="AC39" s="94" t="inlineStr">
        <is>
          <t>CS/B</t>
        </is>
      </c>
      <c r="AD39" s="94" t="inlineStr">
        <is>
          <t>S $FC</t>
        </is>
      </c>
      <c r="AE39" s="95" t="inlineStr">
        <is>
          <t>S $FC</t>
        </is>
      </c>
      <c r="AF39" s="60" t="inlineStr">
        <is>
          <t>S $FC</t>
        </is>
      </c>
      <c r="AG39" s="60" t="inlineStr">
        <is>
          <t>S $FC</t>
        </is>
      </c>
      <c r="AH39" s="67">
        <f>COUNTIF($C39:$AB39,AH$4)</f>
        <v/>
      </c>
      <c r="AI39" s="67">
        <f>COUNTIF($C39:$AB39,AI$4)</f>
        <v/>
      </c>
      <c r="AJ39" s="67">
        <f>COUNTIF($C39:$AB39,AJ$4)</f>
        <v/>
      </c>
      <c r="AK39" s="67">
        <f>COUNTIF($C39:$AB39,AK$4)</f>
        <v/>
      </c>
      <c r="AL39" s="67">
        <f>COUNTIF($C39:$AB39,AL$4)</f>
        <v/>
      </c>
      <c r="AM39" s="67">
        <f>COUNTIF($C39:$AB39,AM$4)</f>
        <v/>
      </c>
      <c r="AN39" s="67">
        <f>COUNTIF($C39:$AB39,AN$4)</f>
        <v/>
      </c>
      <c r="AO39" s="67">
        <f>COUNTIF($C39:$AB39,AO$4)</f>
        <v/>
      </c>
      <c r="AP39" s="67">
        <f>COUNTIF($C39:$AB39,AP$4)</f>
        <v/>
      </c>
      <c r="AQ39" s="76" t="n"/>
      <c r="AR39" s="76" t="n">
        <v>7</v>
      </c>
      <c r="AS39" s="77">
        <f>SUMPRODUCT(--(WEEKDAY(C$3:AG$3,2)&lt;5),--ISNUMBER(MATCH(C39:AG39,{"DM","CS1","CS2","SB1","AE","CS/B"},0)))</f>
        <v/>
      </c>
      <c r="AT39" s="67" t="n"/>
      <c r="AU39" s="77">
        <f>SUMPRODUCT(--(WEEKDAY(C$3:AG$3,2)=5),--ISNUMBER(MATCH(C39:AG39,{"DM","CS1","CS2","SB1","AE","CS/B","WEEKEND OUTFIELD RESERVE"},0)))</f>
        <v/>
      </c>
      <c r="AV39" s="77">
        <f>SUMPRODUCT(--(WEEKDAY(C$3:AG$3,2)&gt;5),--ISNUMBER(MATCH(C39:AG39,{"DM","CS1","CS2","SB1","AE","CS/B","WEEKEND OUTFIELD RESERVE"},0)))</f>
        <v/>
      </c>
      <c r="AW39" s="67" t="n"/>
      <c r="AX39" s="77">
        <f>(AS39-AT39)+AU39*1.5+(AV39-AW39)*2+AM39*0.5+AO39*0.5+AQ39-AR39</f>
        <v/>
      </c>
      <c r="AY39" s="77">
        <f>AS39+AU39+AV39</f>
        <v/>
      </c>
      <c r="AZ39" s="77">
        <f>BC39+BE39+BG39+BI39+BK39</f>
        <v/>
      </c>
      <c r="BA39" s="76">
        <f>AX39+BB39</f>
        <v/>
      </c>
      <c r="BB39" s="77">
        <f>BD39+BF39+BH39+BJ39+BL39</f>
        <v/>
      </c>
      <c r="BC39" s="77">
        <f>COUNTIF(A39:AH39,"*$BTP*")</f>
        <v/>
      </c>
      <c r="BD39" s="77">
        <f>BC39*1.5</f>
        <v/>
      </c>
      <c r="BE39" s="77">
        <f>COUNTIF(A39:AH39,"*$M*")</f>
        <v/>
      </c>
      <c r="BF39" s="77">
        <f>BE39*1</f>
        <v/>
      </c>
      <c r="BG39" s="77">
        <f>COUNTIF(A39:AH39,"*$PM*")</f>
        <v/>
      </c>
      <c r="BH39" s="77">
        <f>BG39*0.5</f>
        <v/>
      </c>
      <c r="BI39" s="77">
        <f>COUNTIF(A39:AH39,"*$AM*")</f>
        <v/>
      </c>
      <c r="BJ39" s="77">
        <f>BI39*0.5</f>
        <v/>
      </c>
      <c r="BK39" s="77">
        <f>COUNTIF(A39:AH39,"*$FC*")</f>
        <v/>
      </c>
      <c r="BL39" s="77">
        <f>BK39*1</f>
        <v/>
      </c>
      <c r="BM39" s="77">
        <f>COUNTIF($D39:$Z39,BM$4)</f>
        <v/>
      </c>
      <c r="BN39" s="77">
        <f>COUNTIF($D39:$Z39,BN$4)</f>
        <v/>
      </c>
      <c r="BO39" s="77">
        <f>COUNTIF($D39:$Z39,BO$4)</f>
        <v/>
      </c>
      <c r="BP39" s="67" t="n"/>
    </row>
    <row r="40" ht="19.5" customHeight="1">
      <c r="A40" s="67" t="n"/>
      <c r="B40" s="76" t="inlineStr">
        <is>
          <t>CPL HYDER ISKANDAR BIN ZULKILFILY</t>
        </is>
      </c>
      <c r="C40" s="60" t="inlineStr">
        <is>
          <t>DM</t>
        </is>
      </c>
      <c r="D40" s="85" t="inlineStr">
        <is>
          <t>1st $AM ER (0730-0920)</t>
        </is>
      </c>
      <c r="E40" s="60" t="n"/>
      <c r="F40" s="60" t="inlineStr">
        <is>
          <t>DM</t>
        </is>
      </c>
      <c r="G40" s="60" t="n"/>
      <c r="H40" s="60" t="inlineStr">
        <is>
          <t>APS</t>
        </is>
      </c>
      <c r="I40" s="53" t="inlineStr">
        <is>
          <t>SB2</t>
        </is>
      </c>
      <c r="J40" s="60" t="n"/>
      <c r="K40" s="60" t="n"/>
      <c r="L40" s="60" t="n"/>
      <c r="M40" s="60" t="inlineStr">
        <is>
          <t>DM</t>
        </is>
      </c>
      <c r="N40" s="60" t="n"/>
      <c r="O40" s="60" t="n"/>
      <c r="P40" s="60" t="inlineStr">
        <is>
          <t>CS1</t>
        </is>
      </c>
      <c r="Q40" s="60" t="n"/>
      <c r="R40" s="53" t="n"/>
      <c r="S40" s="60" t="n"/>
      <c r="T40" s="53" t="inlineStr">
        <is>
          <t>CS1</t>
        </is>
      </c>
      <c r="U40" s="53" t="n"/>
      <c r="V40" s="53" t="n"/>
      <c r="W40" s="53" t="inlineStr">
        <is>
          <t>K $AM IPPT (0500-1100)</t>
        </is>
      </c>
      <c r="X40" s="53" t="inlineStr">
        <is>
          <t>CS1</t>
        </is>
      </c>
      <c r="Y40" s="53" t="n"/>
      <c r="Z40" s="60" t="n"/>
      <c r="AA40" s="53" t="n"/>
      <c r="AB40" s="60" t="inlineStr">
        <is>
          <t>CS2</t>
        </is>
      </c>
      <c r="AC40" s="97" t="n"/>
      <c r="AD40" s="155" t="n"/>
      <c r="AE40" s="98" t="n"/>
      <c r="AF40" s="53" t="inlineStr">
        <is>
          <t>RESERVE</t>
        </is>
      </c>
      <c r="AG40" s="60" t="inlineStr">
        <is>
          <t>SB2</t>
        </is>
      </c>
      <c r="AH40" s="67">
        <f>COUNTIF($C40:$AF40,AH$4)</f>
        <v/>
      </c>
      <c r="AI40" s="67">
        <f>COUNTIF($C40:$AF40,AI$4)</f>
        <v/>
      </c>
      <c r="AJ40" s="67">
        <f>COUNTIF($C40:$AF40,AJ$4)</f>
        <v/>
      </c>
      <c r="AK40" s="67">
        <f>COUNTIF($C40:$AF40,AK$4)</f>
        <v/>
      </c>
      <c r="AL40" s="67">
        <f>COUNTIF($C40:$AF40,AL$4)</f>
        <v/>
      </c>
      <c r="AM40" s="67">
        <f>COUNTIF($C40:$AF40,AM$4)</f>
        <v/>
      </c>
      <c r="AN40" s="67">
        <f>COUNTIF($C40:$AF40,AN$4)</f>
        <v/>
      </c>
      <c r="AO40" s="67">
        <f>COUNTIF($C40:$AF40,AO$4)</f>
        <v/>
      </c>
      <c r="AP40" s="67">
        <f>COUNTIF($C40:$AF40,AP$4)</f>
        <v/>
      </c>
      <c r="AQ40" s="76" t="n"/>
      <c r="AR40" s="76" t="n">
        <v>0.5</v>
      </c>
      <c r="AS40" s="77">
        <f>SUMPRODUCT(--(WEEKDAY(C$3:AG$3,2)&lt;5),--ISNUMBER(MATCH(C40:AG40,{"DM","CS1","CS2","SB1","AE","CS/B"},0)))</f>
        <v/>
      </c>
      <c r="AT40" s="67" t="n"/>
      <c r="AU40" s="77">
        <f>SUMPRODUCT(--(WEEKDAY(C$3:AG$3,2)=5),--ISNUMBER(MATCH(C40:AG40,{"DM","CS1","CS2","SB1","AE","CS/B","WEEKEND OUTFIELD RESERVE"},0)))</f>
        <v/>
      </c>
      <c r="AV40" s="77">
        <f>SUMPRODUCT(--(WEEKDAY(C$3:AG$3,2)&gt;5),--ISNUMBER(MATCH(C40:AG40,{"DM","CS1","CS2","SB1","AE","CS/B","WEEKEND OUTFIELD RESERVE"},0)))</f>
        <v/>
      </c>
      <c r="AW40" s="67" t="n"/>
      <c r="AX40" s="77">
        <f>(AS40-AT40)+AU40*1.5+(AV40-AW40)*2+AM40*0.5+AO40*0.5+AQ40-AR40</f>
        <v/>
      </c>
      <c r="AY40" s="77">
        <f>AS40+AU40+AV40</f>
        <v/>
      </c>
      <c r="AZ40" s="77">
        <f>BC40+BE40+BG40+BI40+BK40</f>
        <v/>
      </c>
      <c r="BA40" s="76">
        <f>AX40+BB40</f>
        <v/>
      </c>
      <c r="BB40" s="77">
        <f>BD40+BF40+BH40+BJ40+BL40</f>
        <v/>
      </c>
      <c r="BC40" s="77">
        <f>COUNTIF(A40:AH40,"*$BTP*")</f>
        <v/>
      </c>
      <c r="BD40" s="77">
        <f>BC40*1.5</f>
        <v/>
      </c>
      <c r="BE40" s="77">
        <f>COUNTIF(A40:AH40,"*$M*")</f>
        <v/>
      </c>
      <c r="BF40" s="77">
        <f>BE40*1</f>
        <v/>
      </c>
      <c r="BG40" s="77">
        <f>COUNTIF(A40:AH40,"*$PM*")</f>
        <v/>
      </c>
      <c r="BH40" s="77">
        <f>BG40*0.5</f>
        <v/>
      </c>
      <c r="BI40" s="77">
        <f>COUNTIF(A40:AH40,"*$AM*")</f>
        <v/>
      </c>
      <c r="BJ40" s="77">
        <f>BI40*0.5</f>
        <v/>
      </c>
      <c r="BK40" s="77">
        <f>COUNTIF(A40:AH40,"*$FC*")</f>
        <v/>
      </c>
      <c r="BL40" s="77">
        <f>BK40*1</f>
        <v/>
      </c>
      <c r="BM40" s="77">
        <f>COUNTIF($D40:$Z40,BM$4)</f>
        <v/>
      </c>
      <c r="BN40" s="77">
        <f>COUNTIF($D40:$Z40,BN$4)</f>
        <v/>
      </c>
      <c r="BO40" s="77">
        <f>COUNTIF($D40:$Z40,BO$4)</f>
        <v/>
      </c>
      <c r="BP40" s="67" t="n"/>
    </row>
    <row r="41" ht="19.5" customHeight="1">
      <c r="A41" s="67" t="n"/>
      <c r="B41" s="76" t="inlineStr">
        <is>
          <t>LCP MUHAMMAD SHAUKI BIN MOHD SHAM</t>
        </is>
      </c>
      <c r="C41" s="53" t="inlineStr">
        <is>
          <t>AL</t>
        </is>
      </c>
      <c r="D41" s="53" t="inlineStr">
        <is>
          <t>CS1</t>
        </is>
      </c>
      <c r="E41" s="60" t="inlineStr">
        <is>
          <t>AL</t>
        </is>
      </c>
      <c r="F41" s="60" t="n"/>
      <c r="G41" s="60" t="n"/>
      <c r="H41" s="53" t="inlineStr">
        <is>
          <t>DM</t>
        </is>
      </c>
      <c r="I41" s="53" t="n"/>
      <c r="J41" s="60" t="inlineStr">
        <is>
          <t>AL</t>
        </is>
      </c>
      <c r="K41" s="60" t="inlineStr">
        <is>
          <t>DM</t>
        </is>
      </c>
      <c r="L41" s="60" t="n"/>
      <c r="M41" s="60" t="n"/>
      <c r="N41" s="60" t="inlineStr">
        <is>
          <t>CS1</t>
        </is>
      </c>
      <c r="O41" s="53" t="n"/>
      <c r="P41" s="53" t="n"/>
      <c r="Q41" s="53" t="n"/>
      <c r="R41" s="53" t="inlineStr">
        <is>
          <t>DM</t>
        </is>
      </c>
      <c r="S41" s="60" t="n"/>
      <c r="T41" s="53" t="n"/>
      <c r="U41" s="60" t="n"/>
      <c r="V41" s="53" t="n"/>
      <c r="W41" s="60" t="inlineStr">
        <is>
          <t>DM</t>
        </is>
      </c>
      <c r="X41" s="60" t="n"/>
      <c r="Y41" s="53" t="inlineStr">
        <is>
          <t>5th $AM IPPT (0730-0920)</t>
        </is>
      </c>
      <c r="Z41" s="60" t="n"/>
      <c r="AA41" s="53" t="n"/>
      <c r="AB41" s="60" t="inlineStr">
        <is>
          <t>SB1</t>
        </is>
      </c>
      <c r="AC41" s="99" t="n"/>
      <c r="AD41" s="141" t="n"/>
      <c r="AE41" s="100" t="inlineStr">
        <is>
          <t xml:space="preserve">OUTFIELD RESERVE </t>
        </is>
      </c>
      <c r="AF41" s="53" t="n"/>
      <c r="AG41" s="60" t="inlineStr">
        <is>
          <t>DM</t>
        </is>
      </c>
      <c r="AH41" s="67">
        <f>COUNTIF($E41:$AF41,AH$4)</f>
        <v/>
      </c>
      <c r="AI41" s="67">
        <f>COUNTIF($E41:$AF41,AI$4)</f>
        <v/>
      </c>
      <c r="AJ41" s="67">
        <f>COUNTIF($E41:$AF41,AJ$4)</f>
        <v/>
      </c>
      <c r="AK41" s="67">
        <f>COUNTIF($E41:$AF41,AK$4)</f>
        <v/>
      </c>
      <c r="AL41" s="67">
        <f>COUNTIF($E41:$AF41,AL$4)</f>
        <v/>
      </c>
      <c r="AM41" s="67">
        <f>COUNTIF($E41:$AF41,AM$4)</f>
        <v/>
      </c>
      <c r="AN41" s="67">
        <f>COUNTIF($E41:$AF41,AN$4)</f>
        <v/>
      </c>
      <c r="AO41" s="67">
        <f>COUNTIF($E41:$AF41,AO$4)</f>
        <v/>
      </c>
      <c r="AP41" s="67">
        <f>COUNTIF($E41:$AF41,AP$4)</f>
        <v/>
      </c>
      <c r="AQ41" s="76" t="n"/>
      <c r="AR41" s="76" t="n"/>
      <c r="AS41" s="77">
        <f>SUMPRODUCT(--(WEEKDAY(C$3:AG$3,2)&lt;5),--ISNUMBER(MATCH(C41:AG41,{"DM","CS1","CS2","SB1","AE","CS/B"},0)))</f>
        <v/>
      </c>
      <c r="AT41" s="67" t="n"/>
      <c r="AU41" s="77">
        <f>SUMPRODUCT(--(WEEKDAY(C$3:AG$3,2)=5),--ISNUMBER(MATCH(C41:AG41,{"DM","CS1","CS2","SB1","AE","CS/B","WEEKEND OUTFIELD RESERVE"},0)))</f>
        <v/>
      </c>
      <c r="AV41" s="77">
        <f>SUMPRODUCT(--(WEEKDAY(C$3:AG$3,2)&gt;5),--ISNUMBER(MATCH(C41:AG41,{"DM","CS1","CS2","SB1","AE","CS/B","WEEKEND OUTFIELD RESERVE"},0)))</f>
        <v/>
      </c>
      <c r="AW41" s="67" t="n"/>
      <c r="AX41" s="77">
        <f>(AS41-AT41)+AU41*1.5+(AV41-AW41)*2+AM41*0.5+AO41*0.5+AQ41-AR41</f>
        <v/>
      </c>
      <c r="AY41" s="77">
        <f>AS41+AU41+AV41</f>
        <v/>
      </c>
      <c r="AZ41" s="77">
        <f>BC41+BE41+BG41+BI41+BK41</f>
        <v/>
      </c>
      <c r="BA41" s="76">
        <f>AX41+BB41</f>
        <v/>
      </c>
      <c r="BB41" s="77">
        <f>BD41+BF41+BH41+BJ41+BL41</f>
        <v/>
      </c>
      <c r="BC41" s="77">
        <f>COUNTIF(A41:AH41,"*$BTP*")</f>
        <v/>
      </c>
      <c r="BD41" s="77">
        <f>BC41*1.5</f>
        <v/>
      </c>
      <c r="BE41" s="77">
        <f>COUNTIF(A41:AH41,"*$M*")</f>
        <v/>
      </c>
      <c r="BF41" s="77">
        <f>BE41*1</f>
        <v/>
      </c>
      <c r="BG41" s="77">
        <f>COUNTIF(A41:AH41,"*$PM*")</f>
        <v/>
      </c>
      <c r="BH41" s="77">
        <f>BG41*0.5</f>
        <v/>
      </c>
      <c r="BI41" s="77">
        <f>COUNTIF(A41:AH41,"*$AM*")</f>
        <v/>
      </c>
      <c r="BJ41" s="77">
        <f>BI41*0.5</f>
        <v/>
      </c>
      <c r="BK41" s="77">
        <f>COUNTIF(A41:AH41,"*$FC*")</f>
        <v/>
      </c>
      <c r="BL41" s="77">
        <f>BK41*1</f>
        <v/>
      </c>
      <c r="BM41" s="77">
        <f>COUNTIF($K41:$Y41,BM$4)</f>
        <v/>
      </c>
      <c r="BN41" s="77">
        <f>COUNTIF($K41:$Y41,BN$4)</f>
        <v/>
      </c>
      <c r="BO41" s="77">
        <f>COUNTIF($K41:$Y41,BO$4)</f>
        <v/>
      </c>
      <c r="BP41" s="67" t="n"/>
    </row>
    <row r="42" ht="19.5" customHeight="1">
      <c r="A42" s="67" t="n"/>
      <c r="B42" s="76" t="inlineStr">
        <is>
          <t>LCP HUANG JIHUI</t>
        </is>
      </c>
      <c r="C42" s="53" t="inlineStr">
        <is>
          <t>DISPENSE COURSE</t>
        </is>
      </c>
      <c r="D42" s="53" t="inlineStr">
        <is>
          <t>CS2</t>
        </is>
      </c>
      <c r="E42" s="53" t="inlineStr">
        <is>
          <t>DISPENSE COURSE</t>
        </is>
      </c>
      <c r="F42" s="53" t="n"/>
      <c r="G42" s="53" t="inlineStr">
        <is>
          <t>CS2</t>
        </is>
      </c>
      <c r="H42" s="53" t="inlineStr">
        <is>
          <t>DISPENSE COURSE</t>
        </is>
      </c>
      <c r="I42" s="53" t="inlineStr">
        <is>
          <t>DISPENSE COURSE</t>
        </is>
      </c>
      <c r="J42" s="53" t="inlineStr">
        <is>
          <t>CS2</t>
        </is>
      </c>
      <c r="K42" s="53" t="inlineStr">
        <is>
          <t>DISPENSE COURSE</t>
        </is>
      </c>
      <c r="L42" s="53" t="inlineStr">
        <is>
          <t>DISPENSE COURSE</t>
        </is>
      </c>
      <c r="M42" s="60" t="inlineStr">
        <is>
          <t>AE</t>
        </is>
      </c>
      <c r="N42" s="53" t="inlineStr">
        <is>
          <t>OL</t>
        </is>
      </c>
      <c r="O42" s="60" t="n"/>
      <c r="P42" s="60" t="n"/>
      <c r="Q42" s="60" t="inlineStr">
        <is>
          <t>CS1</t>
        </is>
      </c>
      <c r="R42" s="60" t="n"/>
      <c r="S42" s="60" t="inlineStr">
        <is>
          <t>K $AM CC (0600-1100)</t>
        </is>
      </c>
      <c r="T42" s="60" t="n"/>
      <c r="U42" s="53" t="inlineStr">
        <is>
          <t>CS2</t>
        </is>
      </c>
      <c r="V42" s="53" t="n"/>
      <c r="W42" s="53" t="n"/>
      <c r="X42" s="53" t="n"/>
      <c r="Y42" s="60" t="n"/>
      <c r="Z42" s="53" t="inlineStr">
        <is>
          <t>SB1</t>
        </is>
      </c>
      <c r="AA42" s="60" t="n"/>
      <c r="AB42" s="53" t="n"/>
      <c r="AC42" s="53" t="n"/>
      <c r="AD42" s="53" t="inlineStr">
        <is>
          <t>AE</t>
        </is>
      </c>
      <c r="AE42" s="101" t="n"/>
      <c r="AF42" s="60" t="inlineStr">
        <is>
          <t>6th $PM CC (1630-1820)</t>
        </is>
      </c>
      <c r="AG42" s="53" t="n"/>
      <c r="AH42" s="67">
        <f>COUNTIF($C42:$AF42,AH$4)</f>
        <v/>
      </c>
      <c r="AI42" s="67">
        <f>COUNTIF($C42:$AF42,AI$4)</f>
        <v/>
      </c>
      <c r="AJ42" s="67">
        <f>COUNTIF($C42:$AF42,AJ$4)</f>
        <v/>
      </c>
      <c r="AK42" s="67">
        <f>COUNTIF($C42:$AF42,AK$4)</f>
        <v/>
      </c>
      <c r="AL42" s="67">
        <f>COUNTIF($C42:$AF42,AL$4)</f>
        <v/>
      </c>
      <c r="AM42" s="67">
        <f>COUNTIF($C42:$AF42,AM$4)</f>
        <v/>
      </c>
      <c r="AN42" s="67">
        <f>COUNTIF($C42:$AF42,AN$4)</f>
        <v/>
      </c>
      <c r="AO42" s="67">
        <f>COUNTIF($C42:$AF42,AO$4)</f>
        <v/>
      </c>
      <c r="AP42" s="67">
        <f>COUNTIF($C42:$AF42,AP$4)</f>
        <v/>
      </c>
      <c r="AQ42" s="76" t="n"/>
      <c r="AR42" s="76" t="n">
        <v>1</v>
      </c>
      <c r="AS42" s="77">
        <f>SUMPRODUCT(--(WEEKDAY(C$3:AG$3,2)&lt;5),--ISNUMBER(MATCH(C42:AG42,{"DM","CS1","CS2","SB1","AE","CS/B"},0)))</f>
        <v/>
      </c>
      <c r="AT42" s="67" t="n"/>
      <c r="AU42" s="77">
        <f>SUMPRODUCT(--(WEEKDAY(C$3:AG$3,2)=5),--ISNUMBER(MATCH(C42:AG42,{"DM","CS1","CS2","SB1","AE","CS/B","WEEKEND OUTFIELD RESERVE"},0)))</f>
        <v/>
      </c>
      <c r="AV42" s="77">
        <f>SUMPRODUCT(--(WEEKDAY(C$3:AG$3,2)&gt;5),--ISNUMBER(MATCH(C42:AG42,{"DM","CS1","CS2","SB1","AE","CS/B","WEEKEND OUTFIELD RESERVE"},0)))</f>
        <v/>
      </c>
      <c r="AW42" s="67" t="n"/>
      <c r="AX42" s="77">
        <f>(AS42-AT42)+AU42*1.5+(AV42-AW42)*2+AM42*0.5+AO42*0.5+AQ42-AR42</f>
        <v/>
      </c>
      <c r="AY42" s="77">
        <f>AS42+AU42+AV42</f>
        <v/>
      </c>
      <c r="AZ42" s="77">
        <f>BC42+BE42+BG42+BI42+BK42</f>
        <v/>
      </c>
      <c r="BA42" s="76">
        <f>AX42+BB42</f>
        <v/>
      </c>
      <c r="BB42" s="77">
        <f>BD42+BF42+BH42+BJ42+BL42</f>
        <v/>
      </c>
      <c r="BC42" s="77">
        <f>COUNTIF(A42:AH42,"*$BTP*")</f>
        <v/>
      </c>
      <c r="BD42" s="77">
        <f>BC42*1.5</f>
        <v/>
      </c>
      <c r="BE42" s="77">
        <f>COUNTIF(A42:AH42,"*$M*")</f>
        <v/>
      </c>
      <c r="BF42" s="77">
        <f>BE42*1</f>
        <v/>
      </c>
      <c r="BG42" s="77">
        <f>COUNTIF(A42:AH42,"*$PM*")</f>
        <v/>
      </c>
      <c r="BH42" s="77">
        <f>BG42*0.5</f>
        <v/>
      </c>
      <c r="BI42" s="77">
        <f>COUNTIF(A42:AH42,"*$AM*")</f>
        <v/>
      </c>
      <c r="BJ42" s="77">
        <f>BI42*0.5</f>
        <v/>
      </c>
      <c r="BK42" s="77">
        <f>COUNTIF(A42:AH42,"*$FC*")</f>
        <v/>
      </c>
      <c r="BL42" s="77">
        <f>BK42*1</f>
        <v/>
      </c>
      <c r="BM42" s="77">
        <f>COUNTIF($D42:$Z42,BM$4)</f>
        <v/>
      </c>
      <c r="BN42" s="77">
        <f>COUNTIF($D42:$Z42,BN$4)</f>
        <v/>
      </c>
      <c r="BO42" s="77">
        <f>COUNTIF($D42:$Z42,BO$4)</f>
        <v/>
      </c>
      <c r="BP42" s="67" t="n"/>
    </row>
    <row r="43" ht="19.5" customHeight="1">
      <c r="A43" s="67" t="n"/>
      <c r="B43" s="76" t="inlineStr">
        <is>
          <t>LCP MUHAMMAD HAMZA ZUBERI</t>
        </is>
      </c>
      <c r="C43" s="60" t="n"/>
      <c r="D43" s="60" t="n"/>
      <c r="E43" s="60" t="inlineStr">
        <is>
          <t>DM</t>
        </is>
      </c>
      <c r="F43" s="60" t="n"/>
      <c r="G43" s="53" t="inlineStr">
        <is>
          <t>DM</t>
        </is>
      </c>
      <c r="H43" s="60" t="n"/>
      <c r="I43" s="53" t="inlineStr">
        <is>
          <t>DM</t>
        </is>
      </c>
      <c r="J43" s="60" t="n"/>
      <c r="K43" s="60" t="n"/>
      <c r="L43" s="60" t="inlineStr">
        <is>
          <t>DM</t>
        </is>
      </c>
      <c r="M43" s="53" t="n"/>
      <c r="N43" s="53" t="n"/>
      <c r="O43" s="60" t="inlineStr">
        <is>
          <t>DM</t>
        </is>
      </c>
      <c r="P43" s="53" t="n"/>
      <c r="Q43" s="60" t="n"/>
      <c r="R43" s="60" t="inlineStr">
        <is>
          <t>CS/B</t>
        </is>
      </c>
      <c r="S43" s="60" t="n"/>
      <c r="T43" s="60" t="n"/>
      <c r="U43" s="53" t="inlineStr">
        <is>
          <t>DM</t>
        </is>
      </c>
      <c r="V43" s="60" t="inlineStr">
        <is>
          <t>O $AM ER (0600-1100)</t>
        </is>
      </c>
      <c r="W43" s="60" t="inlineStr">
        <is>
          <t>RESERVE</t>
        </is>
      </c>
      <c r="X43" s="60" t="n"/>
      <c r="Y43" s="60" t="inlineStr">
        <is>
          <t>COVER RESERVE</t>
        </is>
      </c>
      <c r="Z43" s="53" t="inlineStr">
        <is>
          <t>CS/B</t>
        </is>
      </c>
      <c r="AA43" s="53" t="n"/>
      <c r="AB43" s="53" t="n"/>
      <c r="AC43" s="60" t="inlineStr">
        <is>
          <t>CS2</t>
        </is>
      </c>
      <c r="AD43" s="60" t="inlineStr">
        <is>
          <t>OUTFIELD RESERVE</t>
        </is>
      </c>
      <c r="AE43" s="79" t="n"/>
      <c r="AF43" s="60" t="inlineStr">
        <is>
          <t>2nd $AM IPPT (0730-0920)</t>
        </is>
      </c>
      <c r="AG43" s="60" t="inlineStr">
        <is>
          <t>CS2</t>
        </is>
      </c>
      <c r="AH43" s="67">
        <f>COUNTIF($C43:$AF43,AH$4)</f>
        <v/>
      </c>
      <c r="AI43" s="67">
        <f>COUNTIF($C43:$AF43,AI$4)</f>
        <v/>
      </c>
      <c r="AJ43" s="67">
        <f>COUNTIF($C43:$AF43,AJ$4)</f>
        <v/>
      </c>
      <c r="AK43" s="67">
        <f>COUNTIF($C43:$AF43,AK$4)</f>
        <v/>
      </c>
      <c r="AL43" s="67">
        <f>COUNTIF($C43:$AF43,AL$4)</f>
        <v/>
      </c>
      <c r="AM43" s="67">
        <f>COUNTIF($C43:$AF43,AM$4)</f>
        <v/>
      </c>
      <c r="AN43" s="67">
        <f>COUNTIF($C43:$AF43,AN$4)</f>
        <v/>
      </c>
      <c r="AO43" s="67">
        <f>COUNTIF($C43:$AF43,AO$4)</f>
        <v/>
      </c>
      <c r="AP43" s="67">
        <f>COUNTIF($C43:$AF43,AP$4)</f>
        <v/>
      </c>
      <c r="AQ43" s="76" t="n">
        <v>2.5</v>
      </c>
      <c r="AR43" s="76" t="n"/>
      <c r="AS43" s="77">
        <f>SUMPRODUCT(--(WEEKDAY(C$3:AG$3,2)&lt;5),--ISNUMBER(MATCH(C43:AG43,{"DM","CS1","CS2","SB1","AE","CS/B"},0)))</f>
        <v/>
      </c>
      <c r="AT43" s="67" t="n"/>
      <c r="AU43" s="77">
        <f>SUMPRODUCT(--(WEEKDAY(C$3:AG$3,2)=5),--ISNUMBER(MATCH(C43:AG43,{"DM","CS1","CS2","SB1","AE","CS/B","WEEKEND OUTFIELD RESERVE"},0)))</f>
        <v/>
      </c>
      <c r="AV43" s="77">
        <f>SUMPRODUCT(--(WEEKDAY(C$3:AG$3,2)&gt;5),--ISNUMBER(MATCH(C43:AG43,{"DM","CS1","CS2","SB1","AE","CS/B","WEEKEND OUTFIELD RESERVE"},0)))</f>
        <v/>
      </c>
      <c r="AW43" s="67" t="n"/>
      <c r="AX43" s="77">
        <f>(AS43-AT43)+AU43*1.5+(AV43-AW43)*2+AM43*0.5+AO43*0.5+AQ43-AR43</f>
        <v/>
      </c>
      <c r="AY43" s="77">
        <f>AS43+AU43+AV43</f>
        <v/>
      </c>
      <c r="AZ43" s="77">
        <f>BC43+BE43+BG43+BI43+BK43</f>
        <v/>
      </c>
      <c r="BA43" s="76">
        <f>AX43+BB43</f>
        <v/>
      </c>
      <c r="BB43" s="77">
        <f>BD43+BF43+BH43+BJ43+BL43</f>
        <v/>
      </c>
      <c r="BC43" s="77">
        <f>COUNTIF(A43:AH43,"*$BTP*")</f>
        <v/>
      </c>
      <c r="BD43" s="77">
        <f>BC43*1.5</f>
        <v/>
      </c>
      <c r="BE43" s="77">
        <f>COUNTIF(A43:AH43,"*$M*")</f>
        <v/>
      </c>
      <c r="BF43" s="77">
        <f>BE43*1</f>
        <v/>
      </c>
      <c r="BG43" s="77">
        <f>COUNTIF(A43:AH43,"*$PM*")</f>
        <v/>
      </c>
      <c r="BH43" s="77">
        <f>BG43*0.5</f>
        <v/>
      </c>
      <c r="BI43" s="77">
        <f>COUNTIF(A43:AH43,"*$AM*")</f>
        <v/>
      </c>
      <c r="BJ43" s="77">
        <f>BI43*0.5</f>
        <v/>
      </c>
      <c r="BK43" s="77">
        <f>COUNTIF(A43:AH43,"*$FC*")</f>
        <v/>
      </c>
      <c r="BL43" s="77">
        <f>BK43*1</f>
        <v/>
      </c>
      <c r="BM43" s="77">
        <f>COUNTIF($D43:$Y43,BM$4)</f>
        <v/>
      </c>
      <c r="BN43" s="77">
        <f>COUNTIF($D43:$Y43,BN$4)</f>
        <v/>
      </c>
      <c r="BO43" s="77">
        <f>COUNTIF($D43:$Y43,BO$4)</f>
        <v/>
      </c>
      <c r="BP43" s="67" t="n"/>
    </row>
    <row r="44" ht="49.5" customHeight="1">
      <c r="A44" s="67" t="n"/>
      <c r="B44" s="76" t="inlineStr">
        <is>
          <t>LCP RAGURAMAN ANIRUDH</t>
        </is>
      </c>
      <c r="C44" s="60" t="n"/>
      <c r="D44" s="60" t="n"/>
      <c r="E44" s="60" t="inlineStr">
        <is>
          <t>CS/B</t>
        </is>
      </c>
      <c r="F44" s="60" t="n"/>
      <c r="G44" s="53" t="inlineStr">
        <is>
          <t>CS1</t>
        </is>
      </c>
      <c r="H44" s="60" t="inlineStr">
        <is>
          <t>C $M HG (0600-2000)</t>
        </is>
      </c>
      <c r="I44" s="53" t="inlineStr">
        <is>
          <t>CS1</t>
        </is>
      </c>
      <c r="J44" s="53" t="n"/>
      <c r="K44" s="60" t="n"/>
      <c r="L44" s="60" t="inlineStr">
        <is>
          <t>CS/B</t>
        </is>
      </c>
      <c r="M44" s="60" t="n"/>
      <c r="N44" s="60" t="n"/>
      <c r="O44" s="60" t="inlineStr">
        <is>
          <t>CS/B</t>
        </is>
      </c>
      <c r="P44" s="60" t="n"/>
      <c r="Q44" s="60" t="n"/>
      <c r="R44" s="60" t="inlineStr">
        <is>
          <t>SB1</t>
        </is>
      </c>
      <c r="S44" s="60" t="n"/>
      <c r="T44" s="60" t="inlineStr">
        <is>
          <t>AE</t>
        </is>
      </c>
      <c r="U44" s="53" t="n"/>
      <c r="V44" s="60" t="n"/>
      <c r="W44" s="53" t="n"/>
      <c r="X44" s="60" t="inlineStr">
        <is>
          <t>COVER RESERVE</t>
        </is>
      </c>
      <c r="Y44" s="60" t="inlineStr">
        <is>
          <t>CS1</t>
        </is>
      </c>
      <c r="Z44" s="60" t="n"/>
      <c r="AA44" s="60" t="inlineStr">
        <is>
          <t>K $FC</t>
        </is>
      </c>
      <c r="AB44" s="60" t="inlineStr">
        <is>
          <t>K $FC</t>
        </is>
      </c>
      <c r="AC44" s="60" t="inlineStr">
        <is>
          <t>K $FC</t>
        </is>
      </c>
      <c r="AD44" s="60" t="inlineStr">
        <is>
          <t>CS1</t>
        </is>
      </c>
      <c r="AE44" s="95" t="inlineStr">
        <is>
          <t>K $FC</t>
        </is>
      </c>
      <c r="AF44" s="53" t="n"/>
      <c r="AG44" s="60" t="inlineStr">
        <is>
          <t>WEEKEND OUTFIELD RESERVE</t>
        </is>
      </c>
      <c r="AH44" s="67">
        <f>COUNTIF($C44:$AF44,AH$4)</f>
        <v/>
      </c>
      <c r="AI44" s="67">
        <f>COUNTIF($C44:$AF44,AI$4)</f>
        <v/>
      </c>
      <c r="AJ44" s="67">
        <f>COUNTIF($C44:$AF44,AJ$4)</f>
        <v/>
      </c>
      <c r="AK44" s="67">
        <f>COUNTIF($C44:$AF44,AK$4)</f>
        <v/>
      </c>
      <c r="AL44" s="67">
        <f>COUNTIF($C44:$AF44,AL$4)</f>
        <v/>
      </c>
      <c r="AM44" s="67">
        <f>COUNTIF($C44:$AF44,AM$4)</f>
        <v/>
      </c>
      <c r="AN44" s="67">
        <f>COUNTIF($C44:$AF44,AN$4)</f>
        <v/>
      </c>
      <c r="AO44" s="67">
        <f>COUNTIF($C44:$AF44,AO$4)</f>
        <v/>
      </c>
      <c r="AP44" s="67">
        <f>COUNTIF($C44:$AF44,AP$4)</f>
        <v/>
      </c>
      <c r="AQ44" s="76" t="n">
        <v>0</v>
      </c>
      <c r="AR44" s="76" t="n"/>
      <c r="AS44" s="77">
        <f>SUMPRODUCT(--(WEEKDAY(C$3:AG$3,2)&lt;5),--ISNUMBER(MATCH(C44:AG44,{"DM","CS1","CS2","SB1","AE","CS/B"},0)))</f>
        <v/>
      </c>
      <c r="AT44" s="67" t="n"/>
      <c r="AU44" s="77">
        <f>SUMPRODUCT(--(WEEKDAY(C$3:AG$3,2)=5),--ISNUMBER(MATCH(C44:AG44,{"DM","CS1","CS2","SB1","AE","CS/B","WEEKEND OUTFIELD RESERVE"},0)))</f>
        <v/>
      </c>
      <c r="AV44" s="77">
        <f>SUMPRODUCT(--(WEEKDAY(C$3:AG$3,2)&gt;5),--ISNUMBER(MATCH(C44:AG44,{"DM","CS1","CS2","SB1","AE","CS/B","WEEKEND OUTFIELD RESERVE"},0)))</f>
        <v/>
      </c>
      <c r="AW44" s="67" t="n"/>
      <c r="AX44" s="77">
        <f>(AS44-AT44)+AU44*1.5+(AV44-AW44)*2+AM44*0.5+AO44*0.5+AQ44-AR44</f>
        <v/>
      </c>
      <c r="AY44" s="77">
        <f>AS44+AU44+AV44</f>
        <v/>
      </c>
      <c r="AZ44" s="77">
        <f>BC44+BE44+BG44+BI44+BK44</f>
        <v/>
      </c>
      <c r="BA44" s="76">
        <f>AX44+BB44</f>
        <v/>
      </c>
      <c r="BB44" s="77">
        <f>BD44+BF44+BH44+BJ44+BL44</f>
        <v/>
      </c>
      <c r="BC44" s="77">
        <f>COUNTIF(A44:AH44,"*$BTP*")</f>
        <v/>
      </c>
      <c r="BD44" s="77">
        <f>BC44*1.5</f>
        <v/>
      </c>
      <c r="BE44" s="77">
        <f>COUNTIF(A44:AH44,"*$M*")</f>
        <v/>
      </c>
      <c r="BF44" s="77">
        <f>BE44*1</f>
        <v/>
      </c>
      <c r="BG44" s="77">
        <f>COUNTIF(A44:AH44,"*$PM*")</f>
        <v/>
      </c>
      <c r="BH44" s="77">
        <f>BG44*0.5</f>
        <v/>
      </c>
      <c r="BI44" s="77">
        <f>COUNTIF(A44:AH44,"*$AM*")</f>
        <v/>
      </c>
      <c r="BJ44" s="77">
        <f>BI44*0.5</f>
        <v/>
      </c>
      <c r="BK44" s="77">
        <f>COUNTIF(A44:AH44,"*$FC*")</f>
        <v/>
      </c>
      <c r="BL44" s="77">
        <f>BK44*1</f>
        <v/>
      </c>
      <c r="BM44" s="77">
        <f>COUNTIF($D44:$Y44,BM$4)</f>
        <v/>
      </c>
      <c r="BN44" s="77">
        <f>COUNTIF($D44:$Y44,BN$4)</f>
        <v/>
      </c>
      <c r="BO44" s="77">
        <f>COUNTIF($D44:$Y44,BO$4)</f>
        <v/>
      </c>
      <c r="BP44" s="67" t="n"/>
    </row>
    <row r="45" ht="37.5" customHeight="1">
      <c r="A45" s="67" t="n"/>
      <c r="B45" s="76" t="inlineStr">
        <is>
          <t>PTE PATIL AMEYA MANOJ</t>
        </is>
      </c>
      <c r="C45" s="60" t="n"/>
      <c r="D45" s="60" t="n"/>
      <c r="E45" s="60" t="n"/>
      <c r="F45" s="60" t="n"/>
      <c r="G45" s="53" t="n"/>
      <c r="H45" s="53" t="inlineStr">
        <is>
          <t>AE</t>
        </is>
      </c>
      <c r="I45" s="53" t="n"/>
      <c r="J45" s="53" t="inlineStr">
        <is>
          <t>AE</t>
        </is>
      </c>
      <c r="K45" s="60" t="n"/>
      <c r="L45" s="60" t="n"/>
      <c r="M45" s="60" t="n"/>
      <c r="N45" s="60" t="n"/>
      <c r="O45" s="60" t="inlineStr">
        <is>
          <t>RHMC</t>
        </is>
      </c>
      <c r="P45" s="60" t="inlineStr">
        <is>
          <t>RHMC</t>
        </is>
      </c>
      <c r="Q45" s="60" t="inlineStr">
        <is>
          <t>RHMC</t>
        </is>
      </c>
      <c r="R45" s="60" t="inlineStr">
        <is>
          <t>RHMC</t>
        </is>
      </c>
      <c r="S45" s="60" t="inlineStr">
        <is>
          <t>RHMC</t>
        </is>
      </c>
      <c r="T45" s="60" t="inlineStr">
        <is>
          <t>RHMC</t>
        </is>
      </c>
      <c r="U45" s="60" t="inlineStr">
        <is>
          <t>RHMC</t>
        </is>
      </c>
      <c r="V45" s="60" t="inlineStr">
        <is>
          <t>RHMC</t>
        </is>
      </c>
      <c r="W45" s="60" t="inlineStr">
        <is>
          <t>RHMC</t>
        </is>
      </c>
      <c r="X45" s="60" t="inlineStr">
        <is>
          <t>RHMC</t>
        </is>
      </c>
      <c r="Y45" s="60" t="inlineStr">
        <is>
          <t>RHMC</t>
        </is>
      </c>
      <c r="Z45" s="60" t="inlineStr">
        <is>
          <t>RHMC</t>
        </is>
      </c>
      <c r="AA45" s="60" t="inlineStr">
        <is>
          <t>RHMC</t>
        </is>
      </c>
      <c r="AB45" s="60" t="inlineStr">
        <is>
          <t>RHMC</t>
        </is>
      </c>
      <c r="AC45" s="60" t="inlineStr">
        <is>
          <t>RHMC</t>
        </is>
      </c>
      <c r="AD45" s="60" t="inlineStr">
        <is>
          <t>RHMC</t>
        </is>
      </c>
      <c r="AE45" s="83" t="inlineStr">
        <is>
          <t>RHMC</t>
        </is>
      </c>
      <c r="AF45" s="60" t="inlineStr">
        <is>
          <t>RHMC</t>
        </is>
      </c>
      <c r="AG45" s="60" t="inlineStr">
        <is>
          <t>RHMC</t>
        </is>
      </c>
      <c r="AH45" s="67">
        <f>COUNTIF($C45:$AF45,AH$4)</f>
        <v/>
      </c>
      <c r="AI45" s="67">
        <f>COUNTIF($C45:$AF45,AI$4)</f>
        <v/>
      </c>
      <c r="AJ45" s="67">
        <f>COUNTIF($C45:$AF45,AJ$4)</f>
        <v/>
      </c>
      <c r="AK45" s="67">
        <f>COUNTIF($C45:$AF45,AK$4)</f>
        <v/>
      </c>
      <c r="AL45" s="67">
        <f>COUNTIF($C45:$AF45,AL$4)</f>
        <v/>
      </c>
      <c r="AM45" s="67">
        <f>COUNTIF($C45:$AF45,AM$4)</f>
        <v/>
      </c>
      <c r="AN45" s="67">
        <f>COUNTIF($C45:$AF45,AN$4)</f>
        <v/>
      </c>
      <c r="AO45" s="67">
        <f>COUNTIF($C45:$AF45,AO$4)</f>
        <v/>
      </c>
      <c r="AP45" s="67">
        <f>COUNTIF($C45:$AF45,AP$4)</f>
        <v/>
      </c>
      <c r="AQ45" s="76" t="n"/>
      <c r="AR45" s="76" t="n"/>
      <c r="AS45" s="77">
        <f>SUMPRODUCT(--(WEEKDAY(C$3:AG$3,2)&lt;5),--ISNUMBER(MATCH(C45:AG45,{"DM","CS1","CS2","SB1","AE","CS/B"},0)))</f>
        <v/>
      </c>
      <c r="AT45" s="67" t="n"/>
      <c r="AU45" s="77">
        <f>SUMPRODUCT(--(WEEKDAY(C$3:AG$3,2)=5),--ISNUMBER(MATCH(C45:AG45,{"DM","CS1","CS2","SB1","AE","CS/B","WEEKEND OUTFIELD RESERVE"},0)))</f>
        <v/>
      </c>
      <c r="AV45" s="77">
        <f>SUMPRODUCT(--(WEEKDAY(C$3:AG$3,2)&gt;5),--ISNUMBER(MATCH(C45:AG45,{"DM","CS1","CS2","SB1","AE","CS/B","WEEKEND OUTFIELD RESERVE"},0)))</f>
        <v/>
      </c>
      <c r="AW45" s="67" t="n"/>
      <c r="AX45" s="77">
        <f>(AS45-AT45)+AU45*1.5+(AV45-AW45)*2+AM45*0.5+AO45*0.5+AQ45-AR45</f>
        <v/>
      </c>
      <c r="AY45" s="77">
        <f>AS45+AU45+AV45</f>
        <v/>
      </c>
      <c r="AZ45" s="77">
        <f>BC45+BE45+BG45+BI45+BK45</f>
        <v/>
      </c>
      <c r="BA45" s="76">
        <f>AX45+BB45</f>
        <v/>
      </c>
      <c r="BB45" s="77">
        <f>BD45+BF45+BH45+BJ45+BL45</f>
        <v/>
      </c>
      <c r="BC45" s="77">
        <f>COUNTIF(A45:AH45,"*$BTP*")</f>
        <v/>
      </c>
      <c r="BD45" s="77">
        <f>BC45*1.5</f>
        <v/>
      </c>
      <c r="BE45" s="77">
        <f>COUNTIF(A45:AH45,"*$M*")</f>
        <v/>
      </c>
      <c r="BF45" s="77">
        <f>BE45*1</f>
        <v/>
      </c>
      <c r="BG45" s="77">
        <f>COUNTIF(A45:AH45,"*$PM*")</f>
        <v/>
      </c>
      <c r="BH45" s="77">
        <f>BG45*0.5</f>
        <v/>
      </c>
      <c r="BI45" s="77">
        <f>COUNTIF(A45:AH45,"*$AM*")</f>
        <v/>
      </c>
      <c r="BJ45" s="77">
        <f>BI45*0.5</f>
        <v/>
      </c>
      <c r="BK45" s="77">
        <f>COUNTIF(A45:AH45,"*$FC*")</f>
        <v/>
      </c>
      <c r="BL45" s="77">
        <f>BK45*1</f>
        <v/>
      </c>
      <c r="BM45" s="77">
        <f>COUNTIF($D45:$Y45,BM$4)</f>
        <v/>
      </c>
      <c r="BN45" s="77">
        <f>COUNTIF($D45:$Y45,BN$4)</f>
        <v/>
      </c>
      <c r="BO45" s="77">
        <f>COUNTIF($D45:$Y45,BO$4)</f>
        <v/>
      </c>
      <c r="BP45" s="67" t="n"/>
    </row>
    <row r="46" ht="43.5" customHeight="1">
      <c r="A46" s="67" t="n"/>
      <c r="B46" s="76" t="inlineStr">
        <is>
          <t>PTE ROYSTON SEOW</t>
        </is>
      </c>
      <c r="C46" s="60" t="inlineStr">
        <is>
          <t>SERVE+</t>
        </is>
      </c>
      <c r="D46" s="60" t="inlineStr">
        <is>
          <t>SERVE+</t>
        </is>
      </c>
      <c r="E46" s="60" t="inlineStr">
        <is>
          <t>SERVE+</t>
        </is>
      </c>
      <c r="F46" s="60" t="inlineStr">
        <is>
          <t>SERVE+</t>
        </is>
      </c>
      <c r="G46" s="60" t="inlineStr">
        <is>
          <t>SERVE+</t>
        </is>
      </c>
      <c r="H46" s="60" t="inlineStr">
        <is>
          <t>SERVE+</t>
        </is>
      </c>
      <c r="I46" s="60" t="inlineStr">
        <is>
          <t>SERVE+</t>
        </is>
      </c>
      <c r="J46" s="60" t="inlineStr">
        <is>
          <t>SERVE+</t>
        </is>
      </c>
      <c r="K46" s="60" t="inlineStr">
        <is>
          <t>SERVE+</t>
        </is>
      </c>
      <c r="L46" s="60" t="inlineStr">
        <is>
          <t>SERVE+</t>
        </is>
      </c>
      <c r="M46" s="60" t="inlineStr">
        <is>
          <t>SERVE+</t>
        </is>
      </c>
      <c r="N46" s="60" t="inlineStr">
        <is>
          <t>SERVE+</t>
        </is>
      </c>
      <c r="O46" s="60" t="inlineStr">
        <is>
          <t>SERVE+</t>
        </is>
      </c>
      <c r="P46" s="60" t="inlineStr">
        <is>
          <t>SERVE+</t>
        </is>
      </c>
      <c r="Q46" s="60" t="inlineStr">
        <is>
          <t>SERVE+</t>
        </is>
      </c>
      <c r="R46" s="60" t="inlineStr">
        <is>
          <t>SERVE+</t>
        </is>
      </c>
      <c r="S46" s="60" t="inlineStr">
        <is>
          <t>SERVE+</t>
        </is>
      </c>
      <c r="T46" s="60" t="inlineStr">
        <is>
          <t>SERVE+</t>
        </is>
      </c>
      <c r="U46" s="60" t="inlineStr">
        <is>
          <t>SERVE+</t>
        </is>
      </c>
      <c r="V46" s="60" t="inlineStr">
        <is>
          <t>SERVE+</t>
        </is>
      </c>
      <c r="W46" s="60" t="inlineStr">
        <is>
          <t>SERVE+</t>
        </is>
      </c>
      <c r="X46" s="60" t="inlineStr">
        <is>
          <t>SERVE+</t>
        </is>
      </c>
      <c r="Y46" s="60" t="inlineStr">
        <is>
          <t>SERVE+</t>
        </is>
      </c>
      <c r="Z46" s="60" t="inlineStr">
        <is>
          <t>SERVE+</t>
        </is>
      </c>
      <c r="AA46" s="60" t="inlineStr">
        <is>
          <t>SERVE+</t>
        </is>
      </c>
      <c r="AB46" s="60" t="inlineStr">
        <is>
          <t>SERVE+</t>
        </is>
      </c>
      <c r="AC46" s="60" t="inlineStr">
        <is>
          <t>SERVE+</t>
        </is>
      </c>
      <c r="AD46" s="60" t="inlineStr">
        <is>
          <t>SERVE+</t>
        </is>
      </c>
      <c r="AE46" s="78" t="inlineStr">
        <is>
          <t>SERVE+</t>
        </is>
      </c>
      <c r="AF46" s="60" t="inlineStr">
        <is>
          <t>SERVE+</t>
        </is>
      </c>
      <c r="AG46" s="60" t="inlineStr">
        <is>
          <t>SERVE+</t>
        </is>
      </c>
      <c r="AH46" s="67">
        <f>COUNTIF($C46:$AF46,AH$4)</f>
        <v/>
      </c>
      <c r="AI46" s="67">
        <f>COUNTIF($C46:$AF46,AI$4)</f>
        <v/>
      </c>
      <c r="AJ46" s="67">
        <f>COUNTIF($C46:$AF46,AJ$4)</f>
        <v/>
      </c>
      <c r="AK46" s="67">
        <f>COUNTIF($C46:$AF46,AK$4)</f>
        <v/>
      </c>
      <c r="AL46" s="67">
        <f>COUNTIF($C46:$AF46,AL$4)</f>
        <v/>
      </c>
      <c r="AM46" s="67">
        <f>COUNTIF($C46:$AF46,AM$4)</f>
        <v/>
      </c>
      <c r="AN46" s="67">
        <f>COUNTIF($C46:$AF46,AN$4)</f>
        <v/>
      </c>
      <c r="AO46" s="67">
        <f>COUNTIF($C46:$AF46,AO$4)</f>
        <v/>
      </c>
      <c r="AP46" s="67">
        <f>COUNTIF($C46:$AF46,AP$4)</f>
        <v/>
      </c>
      <c r="AQ46" s="76" t="n"/>
      <c r="AR46" s="76" t="n"/>
      <c r="AS46" s="77">
        <f>SUMPRODUCT(--(WEEKDAY(C$3:AG$3,2)&lt;5),--ISNUMBER(MATCH(C46:AG46,{"DM","CS1","CS2","SB1","AE","CS/B"},0)))</f>
        <v/>
      </c>
      <c r="AT46" s="67" t="n"/>
      <c r="AU46" s="77">
        <f>SUMPRODUCT(--(WEEKDAY(C$3:AG$3,2)=5),--ISNUMBER(MATCH(C46:AG46,{"DM","CS1","CS2","SB1","AE","CS/B","WEEKEND OUTFIELD RESERVE"},0)))</f>
        <v/>
      </c>
      <c r="AV46" s="77">
        <f>SUMPRODUCT(--(WEEKDAY(C$3:AG$3,2)&gt;5),--ISNUMBER(MATCH(C46:AG46,{"DM","CS1","CS2","SB1","AE","CS/B","WEEKEND OUTFIELD RESERVE"},0)))</f>
        <v/>
      </c>
      <c r="AW46" s="67" t="n"/>
      <c r="AX46" s="77">
        <f>(AS46-AT46)+AU46*1.5+(AV46-AW46)*2+AM46*0.5+AO46*0.5+AQ46-AR46</f>
        <v/>
      </c>
      <c r="AY46" s="77">
        <f>AS46+AU46+AV46</f>
        <v/>
      </c>
      <c r="AZ46" s="77">
        <f>BC46+BE46+BG46+BI46+BK46</f>
        <v/>
      </c>
      <c r="BA46" s="76">
        <f>AX46+BB46</f>
        <v/>
      </c>
      <c r="BB46" s="77">
        <f>BD46+BF46+BH46+BJ46+BL46</f>
        <v/>
      </c>
      <c r="BC46" s="77">
        <f>COUNTIF(A46:AH46,"*$BTP*")</f>
        <v/>
      </c>
      <c r="BD46" s="77">
        <f>BC46*1.5</f>
        <v/>
      </c>
      <c r="BE46" s="77">
        <f>COUNTIF(A46:AH46,"*$M*")</f>
        <v/>
      </c>
      <c r="BF46" s="77">
        <f>BE46*1</f>
        <v/>
      </c>
      <c r="BG46" s="77">
        <f>COUNTIF(A46:AH46,"*$PM*")</f>
        <v/>
      </c>
      <c r="BH46" s="77">
        <f>BG46*0.5</f>
        <v/>
      </c>
      <c r="BI46" s="77">
        <f>COUNTIF(A46:AH46,"*$AM*")</f>
        <v/>
      </c>
      <c r="BJ46" s="77">
        <f>BI46*0.5</f>
        <v/>
      </c>
      <c r="BK46" s="77">
        <f>COUNTIF(A46:AH46,"*$FC*")</f>
        <v/>
      </c>
      <c r="BL46" s="77">
        <f>BK46*1</f>
        <v/>
      </c>
      <c r="BM46" s="77">
        <f>COUNTIF($D46:$Y46,BM$4)</f>
        <v/>
      </c>
      <c r="BN46" s="77">
        <f>COUNTIF($D46:$Y46,BN$4)</f>
        <v/>
      </c>
      <c r="BO46" s="77">
        <f>COUNTIF($D46:$Y46,BO$4)</f>
        <v/>
      </c>
      <c r="BP46" s="67" t="n"/>
    </row>
    <row r="47" ht="19.5" customHeight="1">
      <c r="A47" s="67" t="n"/>
      <c r="B47" s="102" t="n"/>
      <c r="C47" s="102" t="n"/>
      <c r="D47" s="102" t="n"/>
      <c r="E47" s="102" t="n"/>
      <c r="F47" s="102" t="n"/>
      <c r="G47" s="102" t="n"/>
      <c r="H47" s="102" t="n"/>
      <c r="I47" s="102" t="n"/>
      <c r="J47" s="102" t="n"/>
      <c r="K47" s="102" t="n"/>
      <c r="L47" s="102" t="n"/>
      <c r="M47" s="102" t="n"/>
      <c r="N47" s="102" t="n"/>
      <c r="O47" s="102" t="n"/>
      <c r="P47" s="102" t="n"/>
      <c r="Q47" s="102" t="n"/>
      <c r="R47" s="102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2" t="n"/>
      <c r="AB47" s="102" t="n"/>
      <c r="AC47" s="102" t="n"/>
      <c r="AD47" s="102" t="n"/>
      <c r="AE47" s="102" t="n"/>
      <c r="AF47" s="102" t="n"/>
      <c r="AG47" s="60" t="n"/>
      <c r="AH47" s="67" t="n"/>
      <c r="AI47" s="67" t="n"/>
      <c r="AJ47" s="67" t="n"/>
      <c r="AK47" s="67" t="n"/>
      <c r="AL47" s="67" t="n"/>
      <c r="AM47" s="67" t="n"/>
      <c r="AN47" s="67" t="n"/>
      <c r="AO47" s="67" t="n"/>
      <c r="AP47" s="67" t="n"/>
      <c r="AQ47" s="76" t="n"/>
      <c r="AR47" s="76" t="n"/>
      <c r="AS47" s="77" t="n"/>
      <c r="AT47" s="67" t="n"/>
      <c r="AU47" s="77" t="n"/>
      <c r="AV47" s="77">
        <f>SUMPRODUCT(--(WEEKDAY(C$3:AF$3,2)&gt;5),--ISNUMBER(MATCH(C47:AF47,{"DM","CS1","CS2","SB1","AE","CS/B"},0)))</f>
        <v/>
      </c>
      <c r="AW47" s="67" t="n"/>
      <c r="AX47" s="77" t="n"/>
      <c r="AY47" s="77" t="n"/>
      <c r="AZ47" s="77" t="n"/>
      <c r="BA47" s="76" t="n"/>
      <c r="BB47" s="77" t="n"/>
      <c r="BC47" s="77" t="n"/>
      <c r="BD47" s="77" t="n"/>
      <c r="BE47" s="77" t="n"/>
      <c r="BF47" s="77" t="n"/>
      <c r="BG47" s="77" t="n"/>
      <c r="BH47" s="77" t="n"/>
      <c r="BI47" s="77" t="n"/>
      <c r="BJ47" s="77" t="n"/>
      <c r="BK47" s="77" t="n"/>
      <c r="BL47" s="77" t="n"/>
      <c r="BM47" s="77" t="n"/>
      <c r="BN47" s="77" t="n"/>
      <c r="BO47" s="77" t="n"/>
      <c r="BP47" s="67" t="n"/>
    </row>
    <row r="48" ht="19.5" customHeight="1">
      <c r="A48" s="67" t="n"/>
      <c r="B48" s="60" t="inlineStr">
        <is>
          <t>DM</t>
        </is>
      </c>
      <c r="C48" s="103">
        <f>INDEX($B$4:$B$46,MATCH($B48,C$4:C$46,0))</f>
        <v/>
      </c>
      <c r="D48" s="103">
        <f>INDEX($B$4:$B$46,MATCH($B48,D$4:D$46,0))</f>
        <v/>
      </c>
      <c r="E48" s="103">
        <f>INDEX($B$4:$B$46,MATCH($B48,E$4:E$46,0))</f>
        <v/>
      </c>
      <c r="F48" s="103">
        <f>INDEX($B$4:$B$46,MATCH($B48,F$4:F$46,0))</f>
        <v/>
      </c>
      <c r="G48" s="103">
        <f>INDEX($B$4:$B$46,MATCH($B48,G$4:G$46,0))</f>
        <v/>
      </c>
      <c r="H48" s="103">
        <f>INDEX($B$4:$B$46,MATCH($B48,H$4:H$46,0))</f>
        <v/>
      </c>
      <c r="I48" s="103">
        <f>INDEX($B$4:$B$46,MATCH($B48,I$4:I$46,0))</f>
        <v/>
      </c>
      <c r="J48" s="103">
        <f>INDEX($B$4:$B$46,MATCH($B48,J$4:J$46,0))</f>
        <v/>
      </c>
      <c r="K48" s="103">
        <f>INDEX($B$4:$B$46,MATCH($B48,K$4:K$46,0))</f>
        <v/>
      </c>
      <c r="L48" s="103">
        <f>INDEX($B$4:$B$46,MATCH($B48,L$4:L$46,0))</f>
        <v/>
      </c>
      <c r="M48" s="103">
        <f>INDEX($B$4:$B$46,MATCH($B48,M$4:M$46,0))</f>
        <v/>
      </c>
      <c r="N48" s="103">
        <f>INDEX($B$4:$B$46,MATCH($B48,N$4:N$46,0))</f>
        <v/>
      </c>
      <c r="O48" s="103">
        <f>INDEX($B$4:$B$46,MATCH($B48,O$4:O$46,0))</f>
        <v/>
      </c>
      <c r="P48" s="103">
        <f>INDEX($B$4:$B$46,MATCH($B48,P$4:P$46,0))</f>
        <v/>
      </c>
      <c r="Q48" s="103">
        <f>INDEX($B$4:$B$46,MATCH($B48,Q$4:Q$46,0))</f>
        <v/>
      </c>
      <c r="R48" s="103">
        <f>INDEX($B$4:$B$46,MATCH($B48,R$4:R$46,0))</f>
        <v/>
      </c>
      <c r="S48" s="103">
        <f>INDEX($B$4:$B$46,MATCH($B48,S$4:S$46,0))</f>
        <v/>
      </c>
      <c r="T48" s="103">
        <f>INDEX($B$4:$B$46,MATCH($B48,T$4:T$46,0))</f>
        <v/>
      </c>
      <c r="U48" s="103">
        <f>INDEX($B$4:$B$46,MATCH($B48,U$4:U$46,0))</f>
        <v/>
      </c>
      <c r="V48" s="103">
        <f>INDEX($B$4:$B$46,MATCH($B48,V$4:V$46,0))</f>
        <v/>
      </c>
      <c r="W48" s="103">
        <f>INDEX($B$4:$B$46,MATCH($B48,W$4:W$46,0))</f>
        <v/>
      </c>
      <c r="X48" s="103">
        <f>INDEX($B$4:$B$46,MATCH($B48,X$4:X$46,0))</f>
        <v/>
      </c>
      <c r="Y48" s="103">
        <f>INDEX($B$4:$B$46,MATCH($B48,Y$4:Y$46,0))</f>
        <v/>
      </c>
      <c r="Z48" s="103">
        <f>INDEX($B$4:$B$46,MATCH($B48,Z$4:Z$46,0))</f>
        <v/>
      </c>
      <c r="AA48" s="103">
        <f>INDEX($B$4:$B$46,MATCH($B48,AA$4:AA$46,0))</f>
        <v/>
      </c>
      <c r="AB48" s="103">
        <f>INDEX($B$4:$B$46,MATCH($B48,AB$4:AB$46,0))</f>
        <v/>
      </c>
      <c r="AC48" s="103">
        <f>INDEX($B$4:$B$46,MATCH($B48,AC$4:AC$46,0))</f>
        <v/>
      </c>
      <c r="AD48" s="103">
        <f>INDEX($B$4:$B$46,MATCH($B48,AD$4:AD$46,0))</f>
        <v/>
      </c>
      <c r="AE48" s="103">
        <f>INDEX($B$4:$B$46,MATCH($B48,AE$4:AE$46,0))</f>
        <v/>
      </c>
      <c r="AF48" s="103">
        <f>INDEX($B$4:$B$46,MATCH($B48,AF$4:AF$46,0))</f>
        <v/>
      </c>
      <c r="AG48" s="103">
        <f>INDEX($B$4:$B$46,MATCH($B48,AG$4:AG$46,0))</f>
        <v/>
      </c>
      <c r="AH48" s="67" t="n"/>
      <c r="AI48" s="67" t="n"/>
      <c r="AJ48" s="67" t="n"/>
      <c r="AK48" s="67" t="n"/>
      <c r="AL48" s="67" t="n"/>
      <c r="AM48" s="67" t="n"/>
      <c r="AN48" s="67" t="n"/>
      <c r="AO48" s="67" t="n"/>
      <c r="AP48" s="67" t="n"/>
      <c r="AQ48" s="76" t="n"/>
      <c r="AR48" s="76" t="n"/>
      <c r="AS48" s="77" t="n"/>
      <c r="AT48" s="67" t="n"/>
      <c r="AU48" s="77" t="n"/>
      <c r="AV48" s="77">
        <f>SUMPRODUCT(--(WEEKDAY(C$3:AF$3,2)&gt;5),--ISNUMBER(MATCH(C48:AF48,{"DM","CS1","CS2","SB1","AE","CS/B"},0)))</f>
        <v/>
      </c>
      <c r="AW48" s="67" t="n"/>
      <c r="AX48" s="77" t="n"/>
      <c r="AY48" s="77" t="n"/>
      <c r="AZ48" s="77" t="n"/>
      <c r="BA48" s="76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67" t="n"/>
    </row>
    <row r="49" ht="19.5" customHeight="1">
      <c r="A49" s="67" t="n"/>
      <c r="B49" s="60" t="inlineStr">
        <is>
          <t>CS1</t>
        </is>
      </c>
      <c r="C49" s="103">
        <f>INDEX($B$4:$B$46,MATCH($B49,C$4:C$46,0))</f>
        <v/>
      </c>
      <c r="D49" s="103">
        <f>INDEX($B$4:$B$46,MATCH($B49,D$4:D$46,0))</f>
        <v/>
      </c>
      <c r="E49" s="103">
        <f>INDEX($B$4:$B$46,MATCH($B49,E$4:E$46,0))</f>
        <v/>
      </c>
      <c r="F49" s="103">
        <f>INDEX($B$4:$B$46,MATCH($B49,F$4:F$46,0))</f>
        <v/>
      </c>
      <c r="G49" s="103">
        <f>INDEX($B$4:$B$46,MATCH($B49,G$4:G$46,0))</f>
        <v/>
      </c>
      <c r="H49" s="103">
        <f>INDEX($B$4:$B$46,MATCH($B49,H$4:H$46,0))</f>
        <v/>
      </c>
      <c r="I49" s="103">
        <f>INDEX($B$4:$B$46,MATCH($B49,I$4:I$46,0))</f>
        <v/>
      </c>
      <c r="J49" s="103">
        <f>INDEX($B$4:$B$46,MATCH($B49,J$4:J$46,0))</f>
        <v/>
      </c>
      <c r="K49" s="103">
        <f>INDEX($B$4:$B$46,MATCH($B49,K$4:K$46,0))</f>
        <v/>
      </c>
      <c r="L49" s="103">
        <f>INDEX($B$4:$B$46,MATCH($B49,L$4:L$46,0))</f>
        <v/>
      </c>
      <c r="M49" s="103">
        <f>INDEX($B$4:$B$46,MATCH($B49,M$4:M$46,0))</f>
        <v/>
      </c>
      <c r="N49" s="103">
        <f>INDEX($B$4:$B$46,MATCH($B49,N$4:N$46,0))</f>
        <v/>
      </c>
      <c r="O49" s="103">
        <f>INDEX($B$4:$B$46,MATCH($B49,O$4:O$46,0))</f>
        <v/>
      </c>
      <c r="P49" s="103">
        <f>INDEX($B$4:$B$46,MATCH($B49,P$4:P$46,0))</f>
        <v/>
      </c>
      <c r="Q49" s="103">
        <f>INDEX($B$4:$B$46,MATCH($B49,Q$4:Q$46,0))</f>
        <v/>
      </c>
      <c r="R49" s="103">
        <f>INDEX($B$4:$B$46,MATCH($B49,R$4:R$46,0))</f>
        <v/>
      </c>
      <c r="S49" s="103">
        <f>INDEX($B$4:$B$46,MATCH($B49,S$4:S$46,0))</f>
        <v/>
      </c>
      <c r="T49" s="103">
        <f>INDEX($B$4:$B$46,MATCH($B49,T$4:T$46,0))</f>
        <v/>
      </c>
      <c r="U49" s="103">
        <f>INDEX($B$4:$B$46,MATCH($B49,U$4:U$46,0))</f>
        <v/>
      </c>
      <c r="V49" s="103">
        <f>INDEX($B$4:$B$46,MATCH($B49,V$4:V$46,0))</f>
        <v/>
      </c>
      <c r="W49" s="103">
        <f>INDEX($B$4:$B$46,MATCH($B49,W$4:W$46,0))</f>
        <v/>
      </c>
      <c r="X49" s="103">
        <f>INDEX($B$4:$B$46,MATCH($B49,X$4:X$46,0))</f>
        <v/>
      </c>
      <c r="Y49" s="103">
        <f>INDEX($B$4:$B$46,MATCH($B49,Y$4:Y$46,0))</f>
        <v/>
      </c>
      <c r="Z49" s="103">
        <f>INDEX($B$4:$B$46,MATCH($B49,Z$4:Z$46,0))</f>
        <v/>
      </c>
      <c r="AA49" s="103">
        <f>INDEX($B$4:$B$46,MATCH($B49,AA$4:AA$46,0))</f>
        <v/>
      </c>
      <c r="AB49" s="103">
        <f>INDEX($B$4:$B$46,MATCH($B49,AB$4:AB$46,0))</f>
        <v/>
      </c>
      <c r="AC49" s="103">
        <f>INDEX($B$4:$B$46,MATCH($B49,AC$4:AC$46,0))</f>
        <v/>
      </c>
      <c r="AD49" s="103">
        <f>INDEX($B$4:$B$46,MATCH($B49,AD$4:AD$46,0))</f>
        <v/>
      </c>
      <c r="AE49" s="103">
        <f>INDEX($B$4:$B$46,MATCH($B49,AE$4:AE$46,0))</f>
        <v/>
      </c>
      <c r="AF49" s="103">
        <f>INDEX($B$4:$B$46,MATCH($B49,AF$4:AF$46,0))</f>
        <v/>
      </c>
      <c r="AG49" s="103">
        <f>INDEX($B$4:$B$46,MATCH($B49,AG$4:AG$46,0))</f>
        <v/>
      </c>
      <c r="AH49" s="67" t="n"/>
      <c r="AI49" s="67" t="n"/>
      <c r="AJ49" s="67" t="n"/>
      <c r="AK49" s="67" t="n"/>
      <c r="AL49" s="67" t="n"/>
      <c r="AM49" s="67" t="n"/>
      <c r="AN49" s="67" t="n"/>
      <c r="AO49" s="67" t="n"/>
      <c r="AP49" s="67" t="n"/>
      <c r="AQ49" s="76" t="n"/>
      <c r="AR49" s="76" t="n"/>
      <c r="AS49" s="77" t="n"/>
      <c r="AT49" s="67" t="n"/>
      <c r="AU49" s="77" t="n"/>
      <c r="AV49" s="77">
        <f>SUMPRODUCT(--(WEEKDAY(C$3:AF$3,2)&gt;5),--ISNUMBER(MATCH(C49:AF49,{"DM","CS1","CS2","SB1","AE","CS/B"},0)))</f>
        <v/>
      </c>
      <c r="AW49" s="67" t="n"/>
      <c r="AX49" s="77" t="n"/>
      <c r="AY49" s="77" t="n"/>
      <c r="AZ49" s="77" t="n"/>
      <c r="BA49" s="76" t="n"/>
      <c r="BB49" s="77" t="n"/>
      <c r="BC49" s="77" t="n"/>
      <c r="BD49" s="77" t="n"/>
      <c r="BE49" s="77" t="n"/>
      <c r="BF49" s="77" t="n"/>
      <c r="BG49" s="77" t="n"/>
      <c r="BH49" s="77" t="n"/>
      <c r="BI49" s="77" t="n"/>
      <c r="BJ49" s="77" t="n"/>
      <c r="BK49" s="77" t="n"/>
      <c r="BL49" s="77" t="n"/>
      <c r="BM49" s="77" t="n"/>
      <c r="BN49" s="77" t="n"/>
      <c r="BO49" s="77" t="n"/>
      <c r="BP49" s="67" t="n"/>
    </row>
    <row r="50" ht="19.5" customHeight="1">
      <c r="A50" s="67" t="n"/>
      <c r="B50" s="60" t="inlineStr">
        <is>
          <t>CS2</t>
        </is>
      </c>
      <c r="C50" s="103">
        <f>INDEX($B$4:$B$46,MATCH($B50,C$4:C$46,0))</f>
        <v/>
      </c>
      <c r="D50" s="103">
        <f>INDEX($B$4:$B$44,MATCH($B50,D$4:D$46,0))</f>
        <v/>
      </c>
      <c r="E50" s="103">
        <f>INDEX($B$4:$B$44,MATCH($B50,E$4:E$46,0))</f>
        <v/>
      </c>
      <c r="F50" s="103">
        <f>INDEX($B$4:$B$44,MATCH($B50,F$4:F$46,0))</f>
        <v/>
      </c>
      <c r="G50" s="103">
        <f>INDEX($B$4:$B$44,MATCH($B50,G$4:G$46,0))</f>
        <v/>
      </c>
      <c r="H50" s="103">
        <f>INDEX($B$4:$B$44,MATCH($B50,H$4:H$46,0))</f>
        <v/>
      </c>
      <c r="I50" s="103">
        <f>INDEX($B$4:$B$44,MATCH($B50,I$4:I$46,0))</f>
        <v/>
      </c>
      <c r="J50" s="103">
        <f>INDEX($B$4:$B$44,MATCH($B50,J$4:J$46,0))</f>
        <v/>
      </c>
      <c r="K50" s="103">
        <f>INDEX($B$4:$B$44,MATCH($B50,K$4:K$46,0))</f>
        <v/>
      </c>
      <c r="L50" s="103">
        <f>INDEX($B$4:$B$44,MATCH($B50,L$4:L$46,0))</f>
        <v/>
      </c>
      <c r="M50" s="103">
        <f>INDEX($B$4:$B$44,MATCH($B50,M$4:M$46,0))</f>
        <v/>
      </c>
      <c r="N50" s="103">
        <f>INDEX($B$4:$B$44,MATCH($B50,N$4:N$46,0))</f>
        <v/>
      </c>
      <c r="O50" s="103">
        <f>INDEX($B$4:$B$44,MATCH($B50,O$4:O$46,0))</f>
        <v/>
      </c>
      <c r="P50" s="103">
        <f>INDEX($B$4:$B$44,MATCH($B50,P$4:P$46,0))</f>
        <v/>
      </c>
      <c r="Q50" s="103">
        <f>INDEX($B$4:$B$44,MATCH($B50,Q$4:Q$46,0))</f>
        <v/>
      </c>
      <c r="R50" s="103">
        <f>INDEX($B$4:$B$44,MATCH($B50,R$4:R$46,0))</f>
        <v/>
      </c>
      <c r="S50" s="103">
        <f>INDEX($B$4:$B$44,MATCH($B50,S$4:S$46,0))</f>
        <v/>
      </c>
      <c r="T50" s="103">
        <f>INDEX($B$4:$B$44,MATCH($B50,T$4:T$46,0))</f>
        <v/>
      </c>
      <c r="U50" s="103">
        <f>INDEX($B$4:$B$44,MATCH($B50,U$4:U$46,0))</f>
        <v/>
      </c>
      <c r="V50" s="103">
        <f>INDEX($B$4:$B$44,MATCH($B50,V$4:V$46,0))</f>
        <v/>
      </c>
      <c r="W50" s="103">
        <f>INDEX($B$4:$B$44,MATCH($B50,W$4:W$46,0))</f>
        <v/>
      </c>
      <c r="X50" s="103">
        <f>INDEX($B$4:$B$44,MATCH($B50,X$4:X$46,0))</f>
        <v/>
      </c>
      <c r="Y50" s="103">
        <f>INDEX($B$4:$B$44,MATCH($B50,Y$4:Y$46,0))</f>
        <v/>
      </c>
      <c r="Z50" s="103">
        <f>INDEX($B$4:$B$44,MATCH($B50,Z$4:Z$46,0))</f>
        <v/>
      </c>
      <c r="AA50" s="103">
        <f>INDEX($B$4:$B$44,MATCH($B50,AA$4:AA$46,0))</f>
        <v/>
      </c>
      <c r="AB50" s="103">
        <f>INDEX($B$4:$B$44,MATCH($B50,AB$4:AB$46,0))</f>
        <v/>
      </c>
      <c r="AC50" s="103">
        <f>INDEX($B$4:$B$44,MATCH($B50,AC$4:AC$46,0))</f>
        <v/>
      </c>
      <c r="AD50" s="103">
        <f>INDEX($B$4:$B$44,MATCH($B50,AD$4:AD$46,0))</f>
        <v/>
      </c>
      <c r="AE50" s="103">
        <f>INDEX($B$4:$B$44,MATCH($B50,AE$4:AE$46,0))</f>
        <v/>
      </c>
      <c r="AF50" s="103">
        <f>INDEX($B$4:$B$44,MATCH($B50,AF$4:AF$46,0))</f>
        <v/>
      </c>
      <c r="AG50" s="103">
        <f>INDEX($B$4:$B$44,MATCH($B50,AG$4:AG$46,0))</f>
        <v/>
      </c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76" t="n"/>
      <c r="AR50" s="76" t="n"/>
      <c r="AS50" s="77" t="n"/>
      <c r="AT50" s="67" t="n"/>
      <c r="AU50" s="77" t="n"/>
      <c r="AV50" s="77">
        <f>SUMPRODUCT(--(WEEKDAY(C$3:AF$3,2)&gt;5),--ISNUMBER(MATCH(C50:AF50,{"DM","CS1","CS2","SB1","AE","CS/B"},0)))</f>
        <v/>
      </c>
      <c r="AW50" s="67" t="n"/>
      <c r="AX50" s="77" t="n"/>
      <c r="AY50" s="77" t="n"/>
      <c r="AZ50" s="77" t="n"/>
      <c r="BA50" s="76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67" t="n"/>
    </row>
    <row r="51" ht="19.5" customHeight="1">
      <c r="A51" s="67" t="n"/>
      <c r="B51" s="60" t="inlineStr">
        <is>
          <t>CS/B</t>
        </is>
      </c>
      <c r="C51" s="103">
        <f>INDEX($B$4:$B$46,MATCH($B51,C$4:C$46,0))</f>
        <v/>
      </c>
      <c r="D51" s="103">
        <f>INDEX($B$4:$B$46,MATCH($B51,D$4:D$46,0))</f>
        <v/>
      </c>
      <c r="E51" s="103">
        <f>INDEX($B$4:$B$46,MATCH($B51,E$4:E$46,0))</f>
        <v/>
      </c>
      <c r="F51" s="103">
        <f>INDEX($B$4:$B$46,MATCH($B51,F$4:F$46,0))</f>
        <v/>
      </c>
      <c r="G51" s="103">
        <f>INDEX($B$4:$B$46,MATCH($B51,G$4:G$46,0))</f>
        <v/>
      </c>
      <c r="H51" s="103">
        <f>INDEX($B$4:$B$46,MATCH($B51,H$4:H$46,0))</f>
        <v/>
      </c>
      <c r="I51" s="103">
        <f>INDEX($B$4:$B$46,MATCH($B51,I$4:I$46,0))</f>
        <v/>
      </c>
      <c r="J51" s="103">
        <f>INDEX($B$4:$B$46,MATCH($B51,J$4:J$46,0))</f>
        <v/>
      </c>
      <c r="K51" s="103">
        <f>INDEX($B$4:$B$46,MATCH($B51,K$4:K$46,0))</f>
        <v/>
      </c>
      <c r="L51" s="103">
        <f>INDEX($B$4:$B$46,MATCH($B51,L$4:L$46,0))</f>
        <v/>
      </c>
      <c r="M51" s="103">
        <f>INDEX($B$4:$B$46,MATCH($B51,M$4:M$46,0))</f>
        <v/>
      </c>
      <c r="N51" s="103">
        <f>INDEX($B$4:$B$46,MATCH($B51,N$4:N$46,0))</f>
        <v/>
      </c>
      <c r="O51" s="103">
        <f>INDEX($B$4:$B$46,MATCH($B51,O$4:O$46,0))</f>
        <v/>
      </c>
      <c r="P51" s="103">
        <f>INDEX($B$4:$B$46,MATCH($B51,P$4:P$46,0))</f>
        <v/>
      </c>
      <c r="Q51" s="103">
        <f>INDEX($B$4:$B$46,MATCH($B51,Q$4:Q$46,0))</f>
        <v/>
      </c>
      <c r="R51" s="103">
        <f>INDEX($B$4:$B$46,MATCH($B51,R$4:R$46,0))</f>
        <v/>
      </c>
      <c r="S51" s="103">
        <f>INDEX($B$4:$B$46,MATCH($B51,S$4:S$46,0))</f>
        <v/>
      </c>
      <c r="T51" s="103">
        <f>INDEX($B$4:$B$46,MATCH($B51,T$4:T$46,0))</f>
        <v/>
      </c>
      <c r="U51" s="103">
        <f>INDEX($B$4:$B$46,MATCH($B51,U$4:U$46,0))</f>
        <v/>
      </c>
      <c r="V51" s="103">
        <f>INDEX($B$4:$B$46,MATCH($B51,V$4:V$46,0))</f>
        <v/>
      </c>
      <c r="W51" s="103">
        <f>INDEX($B$4:$B$46,MATCH($B51,W$4:W$46,0))</f>
        <v/>
      </c>
      <c r="X51" s="103">
        <f>INDEX($B$4:$B$46,MATCH($B51,X$4:X$46,0))</f>
        <v/>
      </c>
      <c r="Y51" s="103">
        <f>INDEX($B$4:$B$46,MATCH($B51,Y$4:Y$46,0))</f>
        <v/>
      </c>
      <c r="Z51" s="103">
        <f>INDEX($B$4:$B$46,MATCH($B51,Z$4:Z$46,0))</f>
        <v/>
      </c>
      <c r="AA51" s="103">
        <f>INDEX($B$4:$B$46,MATCH($B51,AA$4:AA$46,0))</f>
        <v/>
      </c>
      <c r="AB51" s="103">
        <f>INDEX($B$4:$B$46,MATCH($B51,AB$4:AB$46,0))</f>
        <v/>
      </c>
      <c r="AC51" s="103">
        <f>INDEX($B$4:$B$46,MATCH($B51,AC$4:AC$46,0))</f>
        <v/>
      </c>
      <c r="AD51" s="103">
        <f>INDEX($B$4:$B$46,MATCH($B51,AD$4:AD$46,0))</f>
        <v/>
      </c>
      <c r="AE51" s="103">
        <f>INDEX($B$4:$B$46,MATCH($B51,AE$4:AE$46,0))</f>
        <v/>
      </c>
      <c r="AF51" s="103">
        <f>INDEX($B$4:$B$46,MATCH($B51,AF$4:AF$46,0))</f>
        <v/>
      </c>
      <c r="AG51" s="103">
        <f>INDEX($B$4:$B$46,MATCH($B51,AG$4:AG$46,0))</f>
        <v/>
      </c>
      <c r="AH51" s="67" t="n"/>
      <c r="AI51" s="67" t="n"/>
      <c r="AJ51" s="67" t="n"/>
      <c r="AK51" s="67" t="n"/>
      <c r="AL51" s="67" t="n"/>
      <c r="AM51" s="67" t="n"/>
      <c r="AN51" s="67" t="n"/>
      <c r="AO51" s="67" t="n"/>
      <c r="AP51" s="67" t="n"/>
      <c r="AQ51" s="76" t="n"/>
      <c r="AR51" s="76" t="n"/>
      <c r="AS51" s="77" t="n"/>
      <c r="AT51" s="67" t="n"/>
      <c r="AU51" s="77" t="n"/>
      <c r="AV51" s="77">
        <f>SUMPRODUCT(--(WEEKDAY(C$3:AF$3,2)&gt;5),--ISNUMBER(MATCH(C51:AF51,{"DM","CS1","CS2","SB1","AE","CS/B"},0)))</f>
        <v/>
      </c>
      <c r="AW51" s="67" t="n"/>
      <c r="AX51" s="77" t="n"/>
      <c r="AY51" s="77" t="n"/>
      <c r="AZ51" s="77" t="n"/>
      <c r="BA51" s="76" t="n"/>
      <c r="BB51" s="77" t="n"/>
      <c r="BC51" s="77" t="n"/>
      <c r="BD51" s="77" t="n"/>
      <c r="BE51" s="77" t="n"/>
      <c r="BF51" s="77" t="n"/>
      <c r="BG51" s="77" t="n"/>
      <c r="BH51" s="77" t="n"/>
      <c r="BI51" s="77" t="n"/>
      <c r="BJ51" s="77" t="n"/>
      <c r="BK51" s="77" t="n"/>
      <c r="BL51" s="77" t="n"/>
      <c r="BM51" s="77" t="n"/>
      <c r="BN51" s="77" t="n"/>
      <c r="BO51" s="77" t="n"/>
      <c r="BP51" s="67" t="n"/>
    </row>
    <row r="52" ht="19.5" customHeight="1">
      <c r="A52" s="67" t="n"/>
      <c r="B52" s="60" t="inlineStr">
        <is>
          <t>SB1</t>
        </is>
      </c>
      <c r="C52" s="103">
        <f>INDEX($B$4:$B$46,MATCH($B52,C$4:C$46,0))</f>
        <v/>
      </c>
      <c r="D52" s="103">
        <f>INDEX($B$4:$B$46,MATCH($B52,D$4:D$46,0))</f>
        <v/>
      </c>
      <c r="E52" s="103">
        <f>INDEX($B$4:$B$46,MATCH($B52,E$4:E$46,0))</f>
        <v/>
      </c>
      <c r="F52" s="103">
        <f>INDEX($B$4:$B$46,MATCH($B52,F$4:F$46,0))</f>
        <v/>
      </c>
      <c r="G52" s="103">
        <f>INDEX($B$4:$B$46,MATCH($B52,G$4:G$46,0))</f>
        <v/>
      </c>
      <c r="H52" s="103">
        <f>INDEX($B$4:$B$46,MATCH($B52,H$4:H$46,0))</f>
        <v/>
      </c>
      <c r="I52" s="103">
        <f>INDEX($B$4:$B$46,MATCH($B52,I$4:I$46,0))</f>
        <v/>
      </c>
      <c r="J52" s="103">
        <f>INDEX($B$4:$B$46,MATCH($B52,J$4:J$46,0))</f>
        <v/>
      </c>
      <c r="K52" s="103">
        <f>INDEX($B$4:$B$46,MATCH($B52,K$4:K$46,0))</f>
        <v/>
      </c>
      <c r="L52" s="103">
        <f>INDEX($B$4:$B$46,MATCH($B52,L$4:L$46,0))</f>
        <v/>
      </c>
      <c r="M52" s="103">
        <f>INDEX($B$4:$B$46,MATCH($B52,M$4:M$46,0))</f>
        <v/>
      </c>
      <c r="N52" s="103">
        <f>INDEX($B$4:$B$46,MATCH($B52,N$4:N$46,0))</f>
        <v/>
      </c>
      <c r="O52" s="103">
        <f>INDEX($B$4:$B$46,MATCH($B52,O$4:O$46,0))</f>
        <v/>
      </c>
      <c r="P52" s="103">
        <f>INDEX($B$4:$B$46,MATCH($B52,P$4:P$46,0))</f>
        <v/>
      </c>
      <c r="Q52" s="103">
        <f>INDEX($B$4:$B$46,MATCH($B52,Q$4:Q$46,0))</f>
        <v/>
      </c>
      <c r="R52" s="103">
        <f>INDEX($B$4:$B$46,MATCH($B52,R$4:R$46,0))</f>
        <v/>
      </c>
      <c r="S52" s="103">
        <f>INDEX($B$4:$B$46,MATCH($B52,S$4:S$46,0))</f>
        <v/>
      </c>
      <c r="T52" s="103">
        <f>INDEX($B$4:$B$46,MATCH($B52,T$4:T$46,0))</f>
        <v/>
      </c>
      <c r="U52" s="103">
        <f>INDEX($B$4:$B$46,MATCH($B52,U$4:U$46,0))</f>
        <v/>
      </c>
      <c r="V52" s="103">
        <f>INDEX($B$4:$B$46,MATCH($B52,V$4:V$46,0))</f>
        <v/>
      </c>
      <c r="W52" s="103">
        <f>INDEX($B$4:$B$46,MATCH($B52,W$4:W$46,0))</f>
        <v/>
      </c>
      <c r="X52" s="103">
        <f>INDEX($B$4:$B$46,MATCH($B52,X$4:X$46,0))</f>
        <v/>
      </c>
      <c r="Y52" s="103">
        <f>INDEX($B$4:$B$46,MATCH($B52,Y$4:Y$46,0))</f>
        <v/>
      </c>
      <c r="Z52" s="103">
        <f>INDEX($B$4:$B$46,MATCH($B52,Z$4:Z$46,0))</f>
        <v/>
      </c>
      <c r="AA52" s="103">
        <f>INDEX($B$4:$B$46,MATCH($B52,AA$4:AA$46,0))</f>
        <v/>
      </c>
      <c r="AB52" s="103">
        <f>INDEX($B$4:$B$46,MATCH($B52,AB$4:AB$46,0))</f>
        <v/>
      </c>
      <c r="AC52" s="103">
        <f>INDEX($B$4:$B$46,MATCH($B52,AC$4:AC$46,0))</f>
        <v/>
      </c>
      <c r="AD52" s="103">
        <f>INDEX($B$4:$B$46,MATCH($B52,AD$4:AD$46,0))</f>
        <v/>
      </c>
      <c r="AE52" s="103">
        <f>INDEX($B$4:$B$46,MATCH($B52,AE$4:AE$46,0))</f>
        <v/>
      </c>
      <c r="AF52" s="103">
        <f>INDEX($B$4:$B$46,MATCH($B52,AF$4:AF$46,0))</f>
        <v/>
      </c>
      <c r="AG52" s="103">
        <f>INDEX($B$4:$B$46,MATCH($B52,AG$4:AG$46,0))</f>
        <v/>
      </c>
      <c r="AH52" s="67" t="n"/>
      <c r="AI52" s="67" t="n"/>
      <c r="AJ52" s="67" t="n"/>
      <c r="AK52" s="67" t="n"/>
      <c r="AL52" s="67" t="n"/>
      <c r="AM52" s="67" t="n"/>
      <c r="AN52" s="67" t="n"/>
      <c r="AO52" s="67" t="n"/>
      <c r="AP52" s="67" t="n"/>
      <c r="AQ52" s="76" t="n"/>
      <c r="AR52" s="76" t="n"/>
      <c r="AS52" s="77" t="n"/>
      <c r="AT52" s="67" t="n"/>
      <c r="AU52" s="77" t="n"/>
      <c r="AV52" s="77">
        <f>SUMPRODUCT(--(WEEKDAY(C$3:AF$3,2)&gt;5),--ISNUMBER(MATCH(C52:AF52,{"DM","CS1","CS2","SB1","AE","CS/B"},0)))</f>
        <v/>
      </c>
      <c r="AW52" s="67" t="n"/>
      <c r="AX52" s="77" t="n"/>
      <c r="AY52" s="77" t="n"/>
      <c r="AZ52" s="77" t="n"/>
      <c r="BA52" s="76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67" t="n"/>
    </row>
    <row r="53" ht="19.5" customHeight="1">
      <c r="A53" s="67" t="n"/>
      <c r="B53" s="60" t="inlineStr">
        <is>
          <t>SB2</t>
        </is>
      </c>
      <c r="C53" s="103">
        <f>INDEX($B$4:$B$46,MATCH($B53,C$4:C$46,0))</f>
        <v/>
      </c>
      <c r="D53" s="103">
        <f>INDEX($B$4:$B$46,MATCH($B53,D$4:D$46,0))</f>
        <v/>
      </c>
      <c r="E53" s="103">
        <f>INDEX($B$4:$B$46,MATCH($B53,E$4:E$46,0))</f>
        <v/>
      </c>
      <c r="F53" s="103">
        <f>INDEX($B$4:$B$46,MATCH($B53,F$4:F$46,0))</f>
        <v/>
      </c>
      <c r="G53" s="103">
        <f>INDEX($B$4:$B$46,MATCH($B53,G$4:G$46,0))</f>
        <v/>
      </c>
      <c r="H53" s="103">
        <f>INDEX($B$4:$B$46,MATCH($B53,H$4:H$46,0))</f>
        <v/>
      </c>
      <c r="I53" s="103">
        <f>INDEX($B$4:$B$46,MATCH($B53,I$4:I$46,0))</f>
        <v/>
      </c>
      <c r="J53" s="103">
        <f>INDEX($B$4:$B$46,MATCH($B53,J$4:J$46,0))</f>
        <v/>
      </c>
      <c r="K53" s="103">
        <f>INDEX($B$4:$B$46,MATCH($B53,K$4:K$46,0))</f>
        <v/>
      </c>
      <c r="L53" s="103">
        <f>INDEX($B$4:$B$46,MATCH($B53,L$4:L$46,0))</f>
        <v/>
      </c>
      <c r="M53" s="103">
        <f>INDEX($B$4:$B$46,MATCH($B53,M$4:M$46,0))</f>
        <v/>
      </c>
      <c r="N53" s="103">
        <f>INDEX($B$4:$B$46,MATCH($B53,N$4:N$46,0))</f>
        <v/>
      </c>
      <c r="O53" s="103">
        <f>INDEX($B$4:$B$46,MATCH($B53,O$4:O$46,0))</f>
        <v/>
      </c>
      <c r="P53" s="103">
        <f>INDEX($B$4:$B$46,MATCH($B53,P$4:P$46,0))</f>
        <v/>
      </c>
      <c r="Q53" s="103">
        <f>INDEX($B$4:$B$46,MATCH($B53,Q$4:Q$46,0))</f>
        <v/>
      </c>
      <c r="R53" s="103">
        <f>INDEX($B$4:$B$46,MATCH($B53,R$4:R$46,0))</f>
        <v/>
      </c>
      <c r="S53" s="103">
        <f>INDEX($B$4:$B$46,MATCH($B53,S$4:S$46,0))</f>
        <v/>
      </c>
      <c r="T53" s="103">
        <f>INDEX($B$4:$B$46,MATCH($B53,T$4:T$46,0))</f>
        <v/>
      </c>
      <c r="U53" s="103">
        <f>INDEX($B$4:$B$46,MATCH($B53,U$4:U$46,0))</f>
        <v/>
      </c>
      <c r="V53" s="103">
        <f>INDEX($B$4:$B$46,MATCH($B53,V$4:V$46,0))</f>
        <v/>
      </c>
      <c r="W53" s="103">
        <f>INDEX($B$4:$B$46,MATCH($B53,W$4:W$46,0))</f>
        <v/>
      </c>
      <c r="X53" s="103">
        <f>INDEX($B$4:$B$46,MATCH($B53,X$4:X$46,0))</f>
        <v/>
      </c>
      <c r="Y53" s="103">
        <f>INDEX($B$4:$B$46,MATCH($B53,Y$4:Y$46,0))</f>
        <v/>
      </c>
      <c r="Z53" s="103">
        <f>INDEX($B$4:$B$46,MATCH($B53,Z$4:Z$46,0))</f>
        <v/>
      </c>
      <c r="AA53" s="103">
        <f>INDEX($B$4:$B$46,MATCH($B53,AA$4:AA$46,0))</f>
        <v/>
      </c>
      <c r="AB53" s="103">
        <f>INDEX($B$4:$B$46,MATCH($B53,AB$4:AB$46,0))</f>
        <v/>
      </c>
      <c r="AC53" s="103">
        <f>INDEX($B$4:$B$46,MATCH($B53,AC$4:AC$46,0))</f>
        <v/>
      </c>
      <c r="AD53" s="103">
        <f>INDEX($B$4:$B$46,MATCH($B53,AD$4:AD$46,0))</f>
        <v/>
      </c>
      <c r="AE53" s="103">
        <f>INDEX($B$4:$B$46,MATCH($B53,AE$4:AE$46,0))</f>
        <v/>
      </c>
      <c r="AF53" s="103">
        <f>INDEX($B$4:$B$46,MATCH($B53,AF$4:AF$46,0))</f>
        <v/>
      </c>
      <c r="AG53" s="103">
        <f>INDEX($B$4:$B$46,MATCH($B53,AG$4:AG$46,0))</f>
        <v/>
      </c>
      <c r="AH53" s="67" t="n"/>
      <c r="AI53" s="67" t="n"/>
      <c r="AJ53" s="67" t="n"/>
      <c r="AK53" s="67" t="n"/>
      <c r="AL53" s="67" t="n"/>
      <c r="AM53" s="67" t="n"/>
      <c r="AN53" s="67" t="n"/>
      <c r="AO53" s="67" t="n"/>
      <c r="AP53" s="67" t="n"/>
      <c r="AQ53" s="76" t="n"/>
      <c r="AR53" s="76" t="n"/>
      <c r="AS53" s="77" t="n"/>
      <c r="AT53" s="67" t="n"/>
      <c r="AU53" s="77" t="n"/>
      <c r="AV53" s="77">
        <f>SUMPRODUCT(--(WEEKDAY(C$3:AF$3,2)&gt;5),--ISNUMBER(MATCH(C53:AF53,{"DM","CS1","CS2","SB1","AE","CS/B"},0)))</f>
        <v/>
      </c>
      <c r="AW53" s="67" t="n"/>
      <c r="AX53" s="77" t="n"/>
      <c r="AY53" s="77" t="n"/>
      <c r="AZ53" s="77" t="n"/>
      <c r="BA53" s="76" t="n"/>
      <c r="BB53" s="77" t="n"/>
      <c r="BC53" s="77" t="n"/>
      <c r="BD53" s="77" t="n"/>
      <c r="BE53" s="77" t="n"/>
      <c r="BF53" s="77" t="n"/>
      <c r="BG53" s="77" t="n"/>
      <c r="BH53" s="77" t="n"/>
      <c r="BI53" s="77" t="n"/>
      <c r="BJ53" s="77" t="n"/>
      <c r="BK53" s="77" t="n"/>
      <c r="BL53" s="77" t="n"/>
      <c r="BM53" s="77" t="n"/>
      <c r="BN53" s="77" t="n"/>
      <c r="BO53" s="77" t="n"/>
      <c r="BP53" s="67" t="n"/>
    </row>
    <row r="54" ht="19.5" customHeight="1">
      <c r="A54" s="67" t="n"/>
      <c r="B54" s="60" t="inlineStr">
        <is>
          <t>AE</t>
        </is>
      </c>
      <c r="C54" s="103">
        <f>INDEX($B$4:$B$46,MATCH($B54,C$4:C$46,0))</f>
        <v/>
      </c>
      <c r="D54" s="103">
        <f>INDEX($B$4:$B$46,MATCH($B54,D$4:D$46,0))</f>
        <v/>
      </c>
      <c r="E54" s="103">
        <f>INDEX($B$4:$B$46,MATCH($B54,E$4:E$46,0))</f>
        <v/>
      </c>
      <c r="F54" s="103">
        <f>INDEX($B$4:$B$46,MATCH($B54,F$4:F$46,0))</f>
        <v/>
      </c>
      <c r="G54" s="103">
        <f>INDEX($B$4:$B$46,MATCH($B54,G$4:G$46,0))</f>
        <v/>
      </c>
      <c r="H54" s="103">
        <f>INDEX($B$4:$B$46,MATCH($B54,H$4:H$46,0))</f>
        <v/>
      </c>
      <c r="I54" s="103">
        <f>INDEX($B$4:$B$46,MATCH($B54,I$4:I$46,0))</f>
        <v/>
      </c>
      <c r="J54" s="103">
        <f>INDEX($B$4:$B$46,MATCH($B54,J$4:J$46,0))</f>
        <v/>
      </c>
      <c r="K54" s="103">
        <f>INDEX($B$4:$B$46,MATCH($B54,K$4:K$46,0))</f>
        <v/>
      </c>
      <c r="L54" s="103">
        <f>INDEX($B$4:$B$46,MATCH($B54,L$4:L$46,0))</f>
        <v/>
      </c>
      <c r="M54" s="103">
        <f>INDEX($B$4:$B$46,MATCH($B54,M$4:M$46,0))</f>
        <v/>
      </c>
      <c r="N54" s="103">
        <f>INDEX($B$4:$B$46,MATCH($B54,N$4:N$46,0))</f>
        <v/>
      </c>
      <c r="O54" s="103">
        <f>INDEX($B$4:$B$46,MATCH($B54,O$4:O$46,0))</f>
        <v/>
      </c>
      <c r="P54" s="103">
        <f>INDEX($B$4:$B$46,MATCH($B54,P$4:P$46,0))</f>
        <v/>
      </c>
      <c r="Q54" s="103">
        <f>INDEX($B$4:$B$46,MATCH($B54,Q$4:Q$46,0))</f>
        <v/>
      </c>
      <c r="R54" s="103">
        <f>INDEX($B$4:$B$46,MATCH($B54,R$4:R$46,0))</f>
        <v/>
      </c>
      <c r="S54" s="103">
        <f>INDEX($B$4:$B$46,MATCH($B54,S$4:S$46,0))</f>
        <v/>
      </c>
      <c r="T54" s="103">
        <f>INDEX($B$4:$B$46,MATCH($B54,T$4:T$46,0))</f>
        <v/>
      </c>
      <c r="U54" s="103">
        <f>INDEX($B$4:$B$46,MATCH($B54,U$4:U$46,0))</f>
        <v/>
      </c>
      <c r="V54" s="103">
        <f>INDEX($B$4:$B$46,MATCH($B54,V$4:V$46,0))</f>
        <v/>
      </c>
      <c r="W54" s="103">
        <f>INDEX($B$4:$B$46,MATCH($B54,W$4:W$46,0))</f>
        <v/>
      </c>
      <c r="X54" s="103">
        <f>INDEX($B$4:$B$46,MATCH($B54,X$4:X$46,0))</f>
        <v/>
      </c>
      <c r="Y54" s="103">
        <f>INDEX($B$4:$B$46,MATCH($B54,Y$4:Y$46,0))</f>
        <v/>
      </c>
      <c r="Z54" s="103">
        <f>INDEX($B$4:$B$46,MATCH($B54,Z$4:Z$46,0))</f>
        <v/>
      </c>
      <c r="AA54" s="103">
        <f>INDEX($B$4:$B$46,MATCH($B54,AA$4:AA$46,0))</f>
        <v/>
      </c>
      <c r="AB54" s="103">
        <f>INDEX($B$4:$B$46,MATCH($B54,AB$4:AB$46,0))</f>
        <v/>
      </c>
      <c r="AC54" s="103">
        <f>INDEX($B$4:$B$46,MATCH($B54,AC$4:AC$46,0))</f>
        <v/>
      </c>
      <c r="AD54" s="103">
        <f>INDEX($B$4:$B$46,MATCH($B54,AD$4:AD$46,0))</f>
        <v/>
      </c>
      <c r="AE54" s="103">
        <f>INDEX($B$4:$B$46,MATCH($B54,AE$4:AE$46,0))</f>
        <v/>
      </c>
      <c r="AF54" s="103">
        <f>INDEX($B$4:$B$46,MATCH($B54,AF$4:AF$46,0))</f>
        <v/>
      </c>
      <c r="AG54" s="103">
        <f>INDEX($B$4:$B$46,MATCH($B54,AG$4:AG$46,0))</f>
        <v/>
      </c>
      <c r="AH54" s="67" t="n"/>
      <c r="AI54" s="67" t="n"/>
      <c r="AJ54" s="67" t="n"/>
      <c r="AK54" s="67" t="n"/>
      <c r="AL54" s="67" t="n"/>
      <c r="AM54" s="67" t="n"/>
      <c r="AN54" s="67" t="n"/>
      <c r="AO54" s="67" t="n"/>
      <c r="AP54" s="67" t="n"/>
      <c r="AQ54" s="76" t="n"/>
      <c r="AR54" s="76" t="n"/>
      <c r="AS54" s="77" t="n"/>
      <c r="AT54" s="67" t="n"/>
      <c r="AU54" s="77" t="n"/>
      <c r="AV54" s="77">
        <f>SUMPRODUCT(--(WEEKDAY(C$3:AF$3,2)&gt;5),--ISNUMBER(MATCH(C54:AF54,{"DM","CS1","CS2","SB1","AE","CS/B"},0)))</f>
        <v/>
      </c>
      <c r="AW54" s="67" t="n"/>
      <c r="AX54" s="77" t="n"/>
      <c r="AY54" s="77" t="n"/>
      <c r="AZ54" s="77" t="n"/>
      <c r="BA54" s="76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67" t="n"/>
    </row>
    <row r="55" ht="19.5" customHeight="1">
      <c r="A55" s="67" t="n"/>
      <c r="B55" s="104" t="inlineStr">
        <is>
          <t>RESERVE</t>
        </is>
      </c>
      <c r="C55" s="103">
        <f>INDEX($B$4:$B$46,MATCH($B55,C$4:C$46,0))</f>
        <v/>
      </c>
      <c r="D55" s="103">
        <f>INDEX($B$4:$B$46,MATCH($B55,D$4:D$46,0))</f>
        <v/>
      </c>
      <c r="E55" s="103">
        <f>INDEX($B$4:$B$46,MATCH($B55,E$4:E$46,0))</f>
        <v/>
      </c>
      <c r="F55" s="103">
        <f>INDEX($B$4:$B$46,MATCH($B55,F$4:F$46,0))</f>
        <v/>
      </c>
      <c r="G55" s="103">
        <f>INDEX($B$4:$B$46,MATCH($B55,G$4:G$46,0))</f>
        <v/>
      </c>
      <c r="H55" s="103">
        <f>INDEX($B$4:$B$46,MATCH($B55,H$4:H$46,0))</f>
        <v/>
      </c>
      <c r="I55" s="103">
        <f>INDEX($B$4:$B$46,MATCH($B55,I$4:I$46,0))</f>
        <v/>
      </c>
      <c r="J55" s="103">
        <f>INDEX($B$4:$B$46,MATCH($B55,J$4:J$46,0))</f>
        <v/>
      </c>
      <c r="K55" s="103">
        <f>INDEX($B$4:$B$46,MATCH($B55,K$4:K$46,0))</f>
        <v/>
      </c>
      <c r="L55" s="103">
        <f>INDEX($B$4:$B$46,MATCH($B55,L$4:L$46,0))</f>
        <v/>
      </c>
      <c r="M55" s="103">
        <f>INDEX($B$4:$B$46,MATCH($B55,M$4:M$46,0))</f>
        <v/>
      </c>
      <c r="N55" s="103">
        <f>INDEX($B$4:$B$46,MATCH($B55,N$4:N$46,0))</f>
        <v/>
      </c>
      <c r="O55" s="103">
        <f>INDEX($B$4:$B$46,MATCH($B55,O$4:O$46,0))</f>
        <v/>
      </c>
      <c r="P55" s="103">
        <f>INDEX($B$4:$B$46,MATCH($B55,P$4:P$46,0))</f>
        <v/>
      </c>
      <c r="Q55" s="103">
        <f>INDEX($B$4:$B$46,MATCH($B55,Q$4:Q$46,0))</f>
        <v/>
      </c>
      <c r="R55" s="103">
        <f>INDEX($B$4:$B$46,MATCH($B55,R$4:R$46,0))</f>
        <v/>
      </c>
      <c r="S55" s="103">
        <f>INDEX($B$4:$B$46,MATCH($B55,S$4:S$46,0))</f>
        <v/>
      </c>
      <c r="T55" s="103">
        <f>INDEX($B$4:$B$46,MATCH($B55,T$4:T$46,0))</f>
        <v/>
      </c>
      <c r="U55" s="103">
        <f>INDEX($B$4:$B$46,MATCH($B55,U$4:U$46,0))</f>
        <v/>
      </c>
      <c r="V55" s="103">
        <f>INDEX($B$4:$B$46,MATCH($B55,V$4:V$46,0))</f>
        <v/>
      </c>
      <c r="W55" s="103">
        <f>INDEX($B$4:$B$46,MATCH($B55,W$4:W$46,0))</f>
        <v/>
      </c>
      <c r="X55" s="103">
        <f>INDEX($B$4:$B$46,MATCH($B55,X$4:X$46,0))</f>
        <v/>
      </c>
      <c r="Y55" s="103">
        <f>INDEX($B$4:$B$46,MATCH($B55,Y$4:Y$46,0))</f>
        <v/>
      </c>
      <c r="Z55" s="103">
        <f>INDEX($B$4:$B$46,MATCH($B55,Z$4:Z$46,0))</f>
        <v/>
      </c>
      <c r="AA55" s="103">
        <f>INDEX($B$4:$B$46,MATCH($B55,AA$4:AA$46,0))</f>
        <v/>
      </c>
      <c r="AB55" s="103">
        <f>INDEX($B$4:$B$46,MATCH($B55,AB$4:AB$46,0))</f>
        <v/>
      </c>
      <c r="AC55" s="103">
        <f>INDEX($B$4:$B$46,MATCH($B55,AC$4:AC$46,0))</f>
        <v/>
      </c>
      <c r="AD55" s="103">
        <f>INDEX($B$4:$B$46,MATCH($B55,AD$4:AD$46,0))</f>
        <v/>
      </c>
      <c r="AE55" s="103">
        <f>INDEX($B$4:$B$46,MATCH($B55,AE$4:AE$46,0))</f>
        <v/>
      </c>
      <c r="AF55" s="103">
        <f>INDEX($B$4:$B$46,MATCH($B55,AF$4:AF$46,0))</f>
        <v/>
      </c>
      <c r="AG55" s="103">
        <f>INDEX($B$4:$B$46,MATCH($B55,AG$4:AG$46,0))</f>
        <v/>
      </c>
      <c r="AH55" s="67" t="n"/>
      <c r="AI55" s="67" t="n"/>
      <c r="AJ55" s="67" t="n"/>
      <c r="AK55" s="67" t="n"/>
      <c r="AL55" s="67" t="n"/>
      <c r="AM55" s="67" t="n"/>
      <c r="AN55" s="67" t="n"/>
      <c r="AO55" s="67" t="n"/>
      <c r="AP55" s="67" t="n"/>
      <c r="AQ55" s="76" t="n"/>
      <c r="AR55" s="76" t="n"/>
      <c r="AS55" s="77" t="n"/>
      <c r="AT55" s="67" t="n"/>
      <c r="AU55" s="77" t="n"/>
      <c r="AV55" s="77">
        <f>SUMPRODUCT(--(WEEKDAY(C$3:AF$3,2)&gt;5),--ISNUMBER(MATCH(C55:AF55,{"DM","CS1","CS2","SB1","AE","CS/B"},0)))</f>
        <v/>
      </c>
      <c r="AW55" s="67" t="n"/>
      <c r="AX55" s="77" t="n"/>
      <c r="AY55" s="77" t="n"/>
      <c r="AZ55" s="77" t="n"/>
      <c r="BA55" s="76" t="n"/>
      <c r="BB55" s="77" t="n"/>
      <c r="BC55" s="77" t="n"/>
      <c r="BD55" s="77" t="n"/>
      <c r="BE55" s="77" t="n"/>
      <c r="BF55" s="77" t="n"/>
      <c r="BG55" s="77" t="n"/>
      <c r="BH55" s="77" t="n"/>
      <c r="BI55" s="77" t="n"/>
      <c r="BJ55" s="77" t="n"/>
      <c r="BK55" s="77" t="n"/>
      <c r="BL55" s="77" t="n"/>
      <c r="BM55" s="77" t="n"/>
      <c r="BN55" s="77" t="n"/>
      <c r="BO55" s="77" t="n"/>
      <c r="BP55" s="67" t="n"/>
    </row>
    <row r="56" ht="19.5" customHeight="1">
      <c r="A56" s="67" t="n"/>
      <c r="B56" s="105" t="n"/>
      <c r="C56" s="102" t="n"/>
      <c r="D56" s="102" t="n"/>
      <c r="E56" s="102" t="n"/>
      <c r="F56" s="102" t="n"/>
      <c r="G56" s="102" t="n"/>
      <c r="H56" s="102" t="n"/>
      <c r="I56" s="102" t="n"/>
      <c r="J56" s="102" t="n"/>
      <c r="K56" s="102" t="n"/>
      <c r="L56" s="102" t="n"/>
      <c r="M56" s="102" t="n"/>
      <c r="N56" s="102" t="n"/>
      <c r="O56" s="102" t="n"/>
      <c r="P56" s="102" t="n"/>
      <c r="Q56" s="102" t="n"/>
      <c r="R56" s="102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2" t="n"/>
      <c r="AB56" s="102" t="n"/>
      <c r="AC56" s="102" t="n"/>
      <c r="AD56" s="102" t="n"/>
      <c r="AE56" s="102" t="n"/>
      <c r="AF56" s="102" t="n"/>
      <c r="AG56" s="102" t="n"/>
      <c r="AH56" s="105">
        <f>COUNTIF($C56:$AF56,AH$4)</f>
        <v/>
      </c>
      <c r="AI56" s="105">
        <f>COUNTIF($C56:$AF56,AI$4)</f>
        <v/>
      </c>
      <c r="AJ56" s="105">
        <f>COUNTIF($C56:$AF56,AJ$4)</f>
        <v/>
      </c>
      <c r="AK56" s="105">
        <f>COUNTIF($C56:$AF56,AK$4)</f>
        <v/>
      </c>
      <c r="AL56" s="105">
        <f>COUNTIF($C56:$AF56,AL$4)</f>
        <v/>
      </c>
      <c r="AM56" s="105">
        <f>COUNTIF($C56:$AF56,AM$4)</f>
        <v/>
      </c>
      <c r="AN56" s="105">
        <f>COUNTIF($C56:$AF56,AN$4)</f>
        <v/>
      </c>
      <c r="AO56" s="105">
        <f>COUNTIF($C56:$AF56,AO$4)</f>
        <v/>
      </c>
      <c r="AP56" s="105">
        <f>COUNTIF($C56:$AF56,AP$4)</f>
        <v/>
      </c>
      <c r="AQ56" s="105" t="n">
        <v>1</v>
      </c>
      <c r="AR56" s="105" t="n"/>
      <c r="AS56" s="105">
        <f t="array" ref="AS56">SUMPRODUCT(--(WEEKDAY(C$3:AF$3,2)&lt;5),--ISNUMBER(MATCH(C56:AF56,{"DM","CS1","CS2","SB1","AE","CS/B"},0)))</f>
        <v/>
      </c>
      <c r="AT56" s="105" t="n"/>
      <c r="AU56" s="105">
        <f t="array" ref="AU56">SUMPRODUCT(--(WEEKDAY(C$3:AF$3,2)=5),--ISNUMBER(MATCH(C56:AF56,{"DM","CS1","CS2","SB1","AE","CS/B"},0)))</f>
        <v/>
      </c>
      <c r="AV56" s="77">
        <f>SUMPRODUCT(--(WEEKDAY(C$3:AF$3,2)&gt;5),--ISNUMBER(MATCH(C56:AF56,{"DM","CS1","CS2","SB1","AE","CS/B"},0)))</f>
        <v/>
      </c>
      <c r="AW56" s="105" t="n"/>
      <c r="AX56" s="105">
        <f>(AS56-AT56)+AU56*1.5+(AV56-AW56)*2+AM56*0.5+AO56*0.5+AQ56-AR56</f>
        <v/>
      </c>
      <c r="AY56" s="105">
        <f>AS56+AU56+AV56</f>
        <v/>
      </c>
      <c r="AZ56" s="105">
        <f>BC56+BE56+BG56+BI56+BK56</f>
        <v/>
      </c>
      <c r="BA56" s="105">
        <f>AX56+BB56</f>
        <v/>
      </c>
      <c r="BB56" s="105">
        <f>BD56+BF56+BH56+BJ56+BL56</f>
        <v/>
      </c>
      <c r="BC56" s="105">
        <f>COUNTIF(A56:AH56,"*$BTP*")</f>
        <v/>
      </c>
      <c r="BD56" s="105">
        <f>BC56*1.5</f>
        <v/>
      </c>
      <c r="BE56" s="105">
        <f>COUNTIF(A56:AH56,"*$M*")</f>
        <v/>
      </c>
      <c r="BF56" s="105">
        <f>BE56*1</f>
        <v/>
      </c>
      <c r="BG56" s="105">
        <f>COUNTIF(A56:AH56,"*$PM*")</f>
        <v/>
      </c>
      <c r="BH56" s="105">
        <f>BG56*0.5</f>
        <v/>
      </c>
      <c r="BI56" s="105">
        <f>COUNTIF(A56:AH56,"*$AM*")</f>
        <v/>
      </c>
      <c r="BJ56" s="105">
        <f>BI56*0.5</f>
        <v/>
      </c>
      <c r="BK56" s="105">
        <f>COUNTIF(A56:AH56,"*$FC*")</f>
        <v/>
      </c>
      <c r="BL56" s="105">
        <f>BK56*1</f>
        <v/>
      </c>
      <c r="BM56" s="105">
        <f>COUNTIF($D56:$Y56,BM$4)</f>
        <v/>
      </c>
      <c r="BN56" s="105">
        <f>COUNTIF($D56:$Y56,BN$4)</f>
        <v/>
      </c>
      <c r="BO56" s="105" t="n"/>
      <c r="BP56" s="105" t="n"/>
    </row>
    <row r="57" ht="19.5" customHeight="1">
      <c r="A57" s="67" t="n"/>
      <c r="B57" s="76" t="inlineStr">
        <is>
          <t>LCP GOH SONG YEE, ETHAN</t>
        </is>
      </c>
      <c r="C57" s="53" t="n"/>
      <c r="D57" s="106" t="n"/>
      <c r="E57" s="106" t="n"/>
      <c r="F57" s="60" t="n"/>
      <c r="G57" s="60" t="n"/>
      <c r="H57" s="60" t="n"/>
      <c r="I57" s="60" t="n"/>
      <c r="J57" s="60" t="n"/>
      <c r="K57" s="53" t="n"/>
      <c r="L57" s="60" t="n"/>
      <c r="M57" s="53" t="n"/>
      <c r="N57" s="60" t="n"/>
      <c r="O57" s="60" t="n"/>
      <c r="P57" s="60" t="n"/>
      <c r="Q57" s="53" t="n"/>
      <c r="R57" s="53" t="n"/>
      <c r="S57" s="60" t="n"/>
      <c r="T57" s="53" t="n"/>
      <c r="U57" s="60" t="n"/>
      <c r="V57" s="60" t="n"/>
      <c r="W57" s="60" t="n"/>
      <c r="X57" s="60" t="n"/>
      <c r="Y57" s="60" t="n"/>
      <c r="Z57" s="60" t="n"/>
      <c r="AA57" s="53" t="n"/>
      <c r="AB57" s="60" t="n"/>
      <c r="AC57" s="60" t="n"/>
      <c r="AD57" s="107" t="n"/>
      <c r="AE57" s="60" t="n"/>
      <c r="AF57" s="60" t="n"/>
      <c r="AG57" s="60" t="n"/>
      <c r="AH57" s="67">
        <f>COUNTIF($C57:$AF57,AH$4)</f>
        <v/>
      </c>
      <c r="AI57" s="67">
        <f>COUNTIF($C57:$AF57,AI$4)</f>
        <v/>
      </c>
      <c r="AJ57" s="67">
        <f>COUNTIF($C57:$AF57,AJ$4)</f>
        <v/>
      </c>
      <c r="AK57" s="67">
        <f>COUNTIF($C57:$AF57,AK$4)</f>
        <v/>
      </c>
      <c r="AL57" s="67">
        <f>COUNTIF($C57:$AF57,AL$4)</f>
        <v/>
      </c>
      <c r="AM57" s="67">
        <f>COUNTIF($C57:$AF57,AM$4)</f>
        <v/>
      </c>
      <c r="AN57" s="67">
        <f>COUNTIF($C57:$AF57,AN$4)</f>
        <v/>
      </c>
      <c r="AO57" s="67">
        <f>COUNTIF($C57:$AF57,AO$4)</f>
        <v/>
      </c>
      <c r="AP57" s="67">
        <f>COUNTIF($C57:$AF57,AP$4)</f>
        <v/>
      </c>
      <c r="AQ57" s="76" t="n"/>
      <c r="AR57" s="76" t="n"/>
      <c r="AS57" s="77">
        <f>SUMPRODUCT(--(WEEKDAY(C$3:AG$3,2)&lt;5),--ISNUMBER(MATCH(C57:AG57,{"SB1","SB2"},0)))</f>
        <v/>
      </c>
      <c r="AT57" s="67" t="n"/>
      <c r="AU57" s="77">
        <f>SUMPRODUCT(--(WEEKDAY(C$3:AG$3,2)=5),--ISNUMBER(MATCH(C57:AG57,{"SB1","SB2"},0)))</f>
        <v/>
      </c>
      <c r="AV57" s="77">
        <f>SUMPRODUCT(--(WEEKDAY(C$3:AG$3,2)&gt;5),--ISNUMBER(MATCH(C57:AG57,{"SB1","SB2"},0)))</f>
        <v/>
      </c>
      <c r="AW57" s="67" t="n"/>
      <c r="AX57" s="77">
        <f>(AS57-AT57)+AU57*1.5+(AV57-AW57)*2+(AO57+AH57+AI57+AJ57+AK57+AN57)*0.5+AQ57-AR57</f>
        <v/>
      </c>
      <c r="AY57" s="77">
        <f>AS57+AU57+AV57</f>
        <v/>
      </c>
      <c r="AZ57" s="77">
        <f>BC57+BE57+BG57+BI57+BK57</f>
        <v/>
      </c>
      <c r="BA57" s="76">
        <f>AX57+BB57</f>
        <v/>
      </c>
      <c r="BB57" s="77">
        <f>BD57+BF57+BH57+BJ57+BL57</f>
        <v/>
      </c>
      <c r="BC57" s="77">
        <f>COUNTIF(A57:AH57,"*$BTP*")</f>
        <v/>
      </c>
      <c r="BD57" s="77">
        <f>BC57*1.5</f>
        <v/>
      </c>
      <c r="BE57" s="77">
        <f>COUNTIF(A57:AH57,"*$M*")</f>
        <v/>
      </c>
      <c r="BF57" s="77">
        <f>BE57*1</f>
        <v/>
      </c>
      <c r="BG57" s="77">
        <f>COUNTIF(A57:AH57,"*$PM*")</f>
        <v/>
      </c>
      <c r="BH57" s="77">
        <f>BG57*0.5</f>
        <v/>
      </c>
      <c r="BI57" s="77">
        <f>COUNTIF(A57:AH57,"*$AM*")</f>
        <v/>
      </c>
      <c r="BJ57" s="77">
        <f>BI57*0.5</f>
        <v/>
      </c>
      <c r="BK57" s="77">
        <f>COUNTIF(A57:AH57,"*$FC*")</f>
        <v/>
      </c>
      <c r="BL57" s="77">
        <f>BK57*1</f>
        <v/>
      </c>
      <c r="BM57" s="77">
        <f>COUNTIF($E57:$AG57,BM$4)</f>
        <v/>
      </c>
      <c r="BN57" s="77">
        <f>COUNTIF($E57:$AG57,BN$4)</f>
        <v/>
      </c>
      <c r="BO57" s="77">
        <f>COUNTIF($E57:$Y57,BO$4)</f>
        <v/>
      </c>
      <c r="BP57" s="67" t="n"/>
    </row>
    <row r="58" ht="19.5" customHeight="1">
      <c r="A58" s="67" t="inlineStr">
        <is>
          <t> </t>
        </is>
      </c>
      <c r="B58" s="76" t="inlineStr">
        <is>
          <t>LCP KOH KAH SENG</t>
        </is>
      </c>
      <c r="C58" s="60" t="n"/>
      <c r="D58" s="53" t="n"/>
      <c r="E58" s="60" t="inlineStr">
        <is>
          <t>SB1</t>
        </is>
      </c>
      <c r="F58" s="107" t="n"/>
      <c r="G58" s="107" t="n"/>
      <c r="H58" s="60" t="inlineStr">
        <is>
          <t>SB1</t>
        </is>
      </c>
      <c r="I58" s="60" t="n"/>
      <c r="J58" s="60" t="n"/>
      <c r="K58" s="60" t="n"/>
      <c r="L58" s="60" t="inlineStr">
        <is>
          <t>SB2</t>
        </is>
      </c>
      <c r="M58" s="60" t="n"/>
      <c r="N58" s="60" t="n"/>
      <c r="O58" s="60" t="n"/>
      <c r="P58" s="60" t="inlineStr">
        <is>
          <t>SB1</t>
        </is>
      </c>
      <c r="Q58" s="60" t="n"/>
      <c r="R58" s="60" t="n"/>
      <c r="S58" s="108" t="n"/>
      <c r="T58" s="60" t="n"/>
      <c r="V58" s="60" t="inlineStr">
        <is>
          <t>SB1</t>
        </is>
      </c>
      <c r="W58" s="53" t="n"/>
      <c r="X58" s="60" t="n"/>
      <c r="Y58" s="60" t="n"/>
      <c r="Z58" s="60" t="inlineStr">
        <is>
          <t>SB2</t>
        </is>
      </c>
      <c r="AA58" s="53" t="n"/>
      <c r="AB58" s="60" t="n"/>
      <c r="AC58" s="60" t="n"/>
      <c r="AD58" s="106" t="n"/>
      <c r="AE58" s="106" t="n"/>
      <c r="AF58" s="60" t="n"/>
      <c r="AG58" s="60" t="inlineStr">
        <is>
          <t>SB2</t>
        </is>
      </c>
      <c r="AH58" s="67">
        <f>COUNTIF($C58:$AF58,AH$4)</f>
        <v/>
      </c>
      <c r="AI58" s="67">
        <f>COUNTIF($C58:$AF58,AI$4)</f>
        <v/>
      </c>
      <c r="AJ58" s="67">
        <f>COUNTIF($C58:$AF58,AJ$4)</f>
        <v/>
      </c>
      <c r="AK58" s="67">
        <f>COUNTIF($C58:$AF58,AK$4)</f>
        <v/>
      </c>
      <c r="AL58" s="67">
        <f>COUNTIF($C58:$AF58,AL$4)</f>
        <v/>
      </c>
      <c r="AM58" s="67">
        <f>COUNTIF($C58:$AF58,AM$4)</f>
        <v/>
      </c>
      <c r="AN58" s="67">
        <f>COUNTIF($C58:$AF58,AN$4)</f>
        <v/>
      </c>
      <c r="AO58" s="67">
        <f>COUNTIF($C58:$AF58,AO$4)</f>
        <v/>
      </c>
      <c r="AP58" s="67">
        <f>COUNTIF($C58:$AF58,AP$4)</f>
        <v/>
      </c>
      <c r="AQ58" s="76" t="n"/>
      <c r="AR58" s="76" t="n"/>
      <c r="AS58" s="77">
        <f>SUMPRODUCT(--(WEEKDAY(C$3:AG$3,2)&lt;5),--ISNUMBER(MATCH(C58:AG58,{"SB1","SB2"},0)))</f>
        <v/>
      </c>
      <c r="AT58" s="67" t="n"/>
      <c r="AU58" s="77">
        <f>SUMPRODUCT(--(WEEKDAY(C$3:AG$3,2)=5),--ISNUMBER(MATCH(C58:AG58,{"SB1","SB2"},0)))</f>
        <v/>
      </c>
      <c r="AV58" s="77">
        <f>SUMPRODUCT(--(WEEKDAY(C$3:AG$3,2)&gt;5),--ISNUMBER(MATCH(C58:AG58,{"SB1","SB2"},0)))</f>
        <v/>
      </c>
      <c r="AW58" s="67" t="n"/>
      <c r="AX58" s="77">
        <f>(AS58-AT58)+AU58*1.5+(AV58-AW58)*2+(AO58+AH58+AI58+AJ58+AK58+AN58)*0.5+AQ58-AR58</f>
        <v/>
      </c>
      <c r="AY58" s="77">
        <f>AS58+AU58+AV58</f>
        <v/>
      </c>
      <c r="AZ58" s="77">
        <f>BC58+BE58+BG58+BI58+BK58</f>
        <v/>
      </c>
      <c r="BA58" s="76">
        <f>AX58+BB58</f>
        <v/>
      </c>
      <c r="BB58" s="77">
        <f>BD58+BF58+BH58+BJ58+BL58</f>
        <v/>
      </c>
      <c r="BC58" s="77">
        <f>COUNTIF(A58:AH58,"*$BTP*")</f>
        <v/>
      </c>
      <c r="BD58" s="77">
        <f>BC58*1.5</f>
        <v/>
      </c>
      <c r="BE58" s="77">
        <f>COUNTIF(A58:AH58,"*$M*")</f>
        <v/>
      </c>
      <c r="BF58" s="77">
        <f>BE58*1</f>
        <v/>
      </c>
      <c r="BG58" s="77">
        <f>COUNTIF(A58:AH58,"*$PM*")</f>
        <v/>
      </c>
      <c r="BH58" s="77">
        <f>BG58*0.5</f>
        <v/>
      </c>
      <c r="BI58" s="77">
        <f>COUNTIF(A58:AH58,"*$AM*")</f>
        <v/>
      </c>
      <c r="BJ58" s="77">
        <f>BI58*0.5</f>
        <v/>
      </c>
      <c r="BK58" s="77">
        <f>COUNTIF(A58:AH58,"*$FC*")</f>
        <v/>
      </c>
      <c r="BL58" s="77">
        <f>BK58*1</f>
        <v/>
      </c>
      <c r="BM58" s="77">
        <f>COUNTIF($E58:$AG58,BM$4)</f>
        <v/>
      </c>
      <c r="BN58" s="77">
        <f>COUNTIF($E58:$AG58,BN$4)</f>
        <v/>
      </c>
      <c r="BO58" s="77">
        <f>COUNTIF($D58:$Y58,BO$4)</f>
        <v/>
      </c>
      <c r="BP58" s="67" t="n"/>
    </row>
    <row r="59" ht="19.5" customHeight="1">
      <c r="A59" s="67" t="n"/>
      <c r="B59" s="76" t="inlineStr">
        <is>
          <t>PTE LUTH HARITH AFIF BIN NORFIFI</t>
        </is>
      </c>
      <c r="C59" s="60" t="n"/>
      <c r="D59" s="60" t="n"/>
      <c r="E59" s="60" t="n"/>
      <c r="F59" s="60" t="n"/>
      <c r="G59" s="53" t="n"/>
      <c r="H59" s="60" t="n"/>
      <c r="I59" s="60" t="n"/>
      <c r="J59" s="107" t="n"/>
      <c r="L59" s="60" t="n"/>
      <c r="M59" s="60" t="n"/>
      <c r="N59" s="60" t="n"/>
      <c r="O59" s="60" t="n"/>
      <c r="P59" s="60" t="n"/>
      <c r="Q59" s="60" t="n"/>
      <c r="S59" s="107" t="n"/>
      <c r="T59" s="54" t="n"/>
      <c r="U59" s="60" t="n"/>
      <c r="W59" s="60" t="n"/>
      <c r="X59" s="60" t="n"/>
      <c r="Y59" s="108" t="n"/>
      <c r="Z59" s="60" t="n"/>
      <c r="AA59" s="60" t="n"/>
      <c r="AB59" s="60" t="n"/>
      <c r="AC59" s="107" t="n"/>
      <c r="AD59" s="60" t="n"/>
      <c r="AE59" s="106" t="n"/>
      <c r="AF59" s="60" t="n"/>
      <c r="AG59" s="60" t="n"/>
      <c r="AH59" s="67">
        <f>COUNTIF($C59:$AF59,AH$4)</f>
        <v/>
      </c>
      <c r="AI59" s="67">
        <f>COUNTIF($C59:$AF59,AI$4)</f>
        <v/>
      </c>
      <c r="AJ59" s="67">
        <f>COUNTIF($C59:$AF59,AJ$4)</f>
        <v/>
      </c>
      <c r="AK59" s="67">
        <f>COUNTIF($C59:$AF59,AK$4)</f>
        <v/>
      </c>
      <c r="AL59" s="67">
        <f>COUNTIF($C59:$AF59,AL$4)</f>
        <v/>
      </c>
      <c r="AM59" s="67">
        <f>COUNTIF($C59:$AF59,AM$4)</f>
        <v/>
      </c>
      <c r="AN59" s="67">
        <f>COUNTIF($C59:$AF59,AN$4)</f>
        <v/>
      </c>
      <c r="AO59" s="67">
        <f>COUNTIF($C59:$AF59,AO$4)</f>
        <v/>
      </c>
      <c r="AP59" s="67">
        <f>COUNTIF($C59:$AF59,AP$4)</f>
        <v/>
      </c>
      <c r="AQ59" s="76" t="n"/>
      <c r="AR59" s="76" t="n"/>
      <c r="AS59" s="77">
        <f>SUMPRODUCT(--(WEEKDAY(C$3:AG$3,2)&lt;5),--ISNUMBER(MATCH(C59:AG59,{"SB1","SB2"},0)))</f>
        <v/>
      </c>
      <c r="AT59" s="67" t="n"/>
      <c r="AU59" s="77">
        <f>SUMPRODUCT(--(WEEKDAY(C$3:AG$3,2)=5),--ISNUMBER(MATCH(C59:AG59,{"SB1","SB2"},0)))</f>
        <v/>
      </c>
      <c r="AV59" s="77">
        <f>SUMPRODUCT(--(WEEKDAY(C$3:AG$3,2)&gt;5),--ISNUMBER(MATCH(C59:AG59,{"SB1","SB2"},0)))</f>
        <v/>
      </c>
      <c r="AW59" s="67" t="n"/>
      <c r="AX59" s="77">
        <f>(AS59-AT59)+AU59*1.5+(AV59-AW59)*2+(AO59+AH59+AI59+AJ59+AK59+AN59)*0.5+AQ59-AR59</f>
        <v/>
      </c>
      <c r="AY59" s="77">
        <f>AS59+AU59+AV59</f>
        <v/>
      </c>
      <c r="AZ59" s="77">
        <f>BC59+BE59+BG59+BI59+BK59</f>
        <v/>
      </c>
      <c r="BA59" s="76">
        <f>AX59+BB59</f>
        <v/>
      </c>
      <c r="BB59" s="77">
        <f>BD59+BF59+BH59+BJ59+BL59</f>
        <v/>
      </c>
      <c r="BC59" s="77">
        <f>COUNTIF(A59:AH59,"*$BTP*")</f>
        <v/>
      </c>
      <c r="BD59" s="77">
        <f>BC59*1.5</f>
        <v/>
      </c>
      <c r="BE59" s="77">
        <f>COUNTIF(A59:AH59,"*$M*")</f>
        <v/>
      </c>
      <c r="BF59" s="77">
        <f>BE59*1</f>
        <v/>
      </c>
      <c r="BG59" s="77">
        <f>COUNTIF(A59:AH59,"*$PM*")</f>
        <v/>
      </c>
      <c r="BH59" s="77">
        <f>BG59*0.5</f>
        <v/>
      </c>
      <c r="BI59" s="77">
        <f>COUNTIF(A59:AH59,"*$AM*")</f>
        <v/>
      </c>
      <c r="BJ59" s="77">
        <f>BI59*0.5</f>
        <v/>
      </c>
      <c r="BK59" s="77">
        <f>COUNTIF(A59:AH59,"*$FC*")</f>
        <v/>
      </c>
      <c r="BL59" s="77">
        <f>BK59*1</f>
        <v/>
      </c>
      <c r="BM59" s="77">
        <f>COUNTIF($E59:$AG59,BM$4)</f>
        <v/>
      </c>
      <c r="BN59" s="77">
        <f>COUNTIF($E59:$AG59,BN$4)</f>
        <v/>
      </c>
      <c r="BO59" s="77">
        <f>COUNTIF($D59:$Y59,BO$4)</f>
        <v/>
      </c>
      <c r="BP59" s="67" t="n"/>
    </row>
    <row r="60" ht="19.5" customHeight="1">
      <c r="A60" s="67" t="n"/>
      <c r="B60" s="76" t="inlineStr">
        <is>
          <t>PTE MATTHEW WILLIAM TAN</t>
        </is>
      </c>
      <c r="C60" s="60" t="n"/>
      <c r="D60" s="60" t="n"/>
      <c r="E60" s="54" t="n"/>
      <c r="F60" s="60" t="n"/>
      <c r="G60" s="60" t="n"/>
      <c r="H60" s="60" t="n"/>
      <c r="I60" s="60" t="n"/>
      <c r="J60" s="107" t="n"/>
      <c r="K60" s="60" t="n"/>
      <c r="L60" s="60" t="n"/>
      <c r="M60" s="60" t="n"/>
      <c r="N60" s="60" t="n"/>
      <c r="O60" s="60" t="n"/>
      <c r="P60" s="60" t="n"/>
      <c r="Q60" s="60" t="n"/>
      <c r="R60" s="53" t="n"/>
      <c r="S60" s="60" t="n"/>
      <c r="T60" s="60" t="n"/>
      <c r="U60" s="60" t="n"/>
      <c r="W60" s="107" t="n"/>
      <c r="X60" s="107" t="n"/>
      <c r="Y60" s="108" t="n"/>
      <c r="Z60" s="60" t="n"/>
      <c r="AA60" s="108" t="n"/>
      <c r="AB60" s="108" t="n"/>
      <c r="AC60" s="108" t="n"/>
      <c r="AD60" s="108" t="n"/>
      <c r="AE60" s="60" t="n"/>
      <c r="AF60" s="60" t="inlineStr">
        <is>
          <t>SB2</t>
        </is>
      </c>
      <c r="AG60" s="60" t="n"/>
      <c r="AH60" s="67">
        <f>COUNTIF($C60:$AF60,AH$4)</f>
        <v/>
      </c>
      <c r="AI60" s="67">
        <f>COUNTIF($C60:$AF60,AI$4)</f>
        <v/>
      </c>
      <c r="AJ60" s="67">
        <f>COUNTIF($C60:$AF60,AJ$4)</f>
        <v/>
      </c>
      <c r="AK60" s="67">
        <f>COUNTIF($C60:$AF60,AK$4)</f>
        <v/>
      </c>
      <c r="AL60" s="67">
        <f>COUNTIF($C60:$AF60,AL$4)</f>
        <v/>
      </c>
      <c r="AM60" s="67">
        <f>COUNTIF($C60:$AF60,AM$4)</f>
        <v/>
      </c>
      <c r="AN60" s="67">
        <f>COUNTIF($C60:$AF60,AN$4)</f>
        <v/>
      </c>
      <c r="AO60" s="67">
        <f>COUNTIF($C60:$AF60,AO$4)</f>
        <v/>
      </c>
      <c r="AP60" s="67">
        <f>COUNTIF($C60:$AF60,AP$4)</f>
        <v/>
      </c>
      <c r="AQ60" s="76" t="n">
        <v>0.5</v>
      </c>
      <c r="AR60" s="76" t="n"/>
      <c r="AS60" s="77">
        <f>SUMPRODUCT(--(WEEKDAY(C$3:AG$3,2)&lt;5),--ISNUMBER(MATCH(C60:AG60,{"SB1","SB2"},0)))</f>
        <v/>
      </c>
      <c r="AT60" s="67" t="n"/>
      <c r="AU60" s="77">
        <f>SUMPRODUCT(--(WEEKDAY(C$3:AG$3,2)=5),--ISNUMBER(MATCH(C60:AG60,{"SB1","SB2"},0)))</f>
        <v/>
      </c>
      <c r="AV60" s="77">
        <f>SUMPRODUCT(--(WEEKDAY(C$3:AG$3,2)&gt;5),--ISNUMBER(MATCH(C60:AG60,{"SB1","SB2"},0)))</f>
        <v/>
      </c>
      <c r="AW60" s="67" t="n"/>
      <c r="AX60" s="77">
        <f>(AS60-AT60)+AU60*1.5+(AV60-AW60)*2+(AO60+AH60+AI60+AJ60+AK60+AN60)*0.5+AQ60-AR60</f>
        <v/>
      </c>
      <c r="AY60" s="77">
        <f>AS60+AU60+AV60</f>
        <v/>
      </c>
      <c r="AZ60" s="77">
        <f>BC60+BE60+BG60+BI60+BK60</f>
        <v/>
      </c>
      <c r="BA60" s="76">
        <f>AX60+BB60</f>
        <v/>
      </c>
      <c r="BB60" s="77">
        <f>BD60+BF60+BH60+BJ60+BL60</f>
        <v/>
      </c>
      <c r="BC60" s="77">
        <f>COUNTIF(A60:AH60,"*$BTP*")</f>
        <v/>
      </c>
      <c r="BD60" s="77">
        <f>BC60*1.5</f>
        <v/>
      </c>
      <c r="BE60" s="77">
        <f>COUNTIF(A60:AH60,"*$M*")</f>
        <v/>
      </c>
      <c r="BF60" s="77">
        <f>BE60*1</f>
        <v/>
      </c>
      <c r="BG60" s="77">
        <f>COUNTIF(A60:AH60,"*$PM*")</f>
        <v/>
      </c>
      <c r="BH60" s="77">
        <f>BG60*0.5</f>
        <v/>
      </c>
      <c r="BI60" s="77">
        <f>COUNTIF(A60:AH60,"*$AM*")</f>
        <v/>
      </c>
      <c r="BJ60" s="77">
        <f>BI60*0.5</f>
        <v/>
      </c>
      <c r="BK60" s="77">
        <f>COUNTIF(A60:AH60,"*$FC*")</f>
        <v/>
      </c>
      <c r="BL60" s="77">
        <f>BK60*1</f>
        <v/>
      </c>
      <c r="BM60" s="77">
        <f>COUNTIF($E60:$AG60,BM$4)</f>
        <v/>
      </c>
      <c r="BN60" s="77">
        <f>COUNTIF($E60:$AG60,BN$4)</f>
        <v/>
      </c>
      <c r="BO60" s="77">
        <f>COUNTIF($D60:$Y60,BO$4)</f>
        <v/>
      </c>
      <c r="BP60" s="67" t="n"/>
    </row>
    <row r="61" ht="24.75" customHeight="1">
      <c r="A61" s="67" t="n"/>
      <c r="B61" s="76" t="inlineStr">
        <is>
          <t>PTE KERK NATHAN</t>
        </is>
      </c>
      <c r="C61" s="60" t="n"/>
      <c r="D61" s="60" t="n"/>
      <c r="E61" s="60" t="inlineStr">
        <is>
          <t>SB2</t>
        </is>
      </c>
      <c r="F61" s="60" t="n"/>
      <c r="G61" s="60" t="n"/>
      <c r="H61" s="60" t="inlineStr">
        <is>
          <t>SB2</t>
        </is>
      </c>
      <c r="I61" s="60" t="n"/>
      <c r="J61" s="60" t="n"/>
      <c r="K61" s="60" t="n"/>
      <c r="L61" s="60" t="n"/>
      <c r="M61" s="60" t="inlineStr">
        <is>
          <t>SB1</t>
        </is>
      </c>
      <c r="N61" s="60" t="n"/>
      <c r="O61" s="60" t="n"/>
      <c r="P61" s="60" t="n"/>
      <c r="Q61" s="60" t="inlineStr">
        <is>
          <t>SB1</t>
        </is>
      </c>
      <c r="R61" s="60" t="n"/>
      <c r="S61" s="60" t="n"/>
      <c r="T61" s="60" t="n"/>
      <c r="U61" s="60" t="n"/>
      <c r="V61" s="60" t="n"/>
      <c r="W61" s="60" t="inlineStr">
        <is>
          <t>SB1</t>
        </is>
      </c>
      <c r="X61" s="60" t="n"/>
      <c r="Y61" s="60" t="n"/>
      <c r="Z61" s="54" t="n"/>
      <c r="AA61" s="60" t="n"/>
      <c r="AB61" s="60" t="n"/>
      <c r="AC61" s="60" t="n"/>
      <c r="AD61" s="60" t="n"/>
      <c r="AE61" s="60" t="inlineStr">
        <is>
          <t>SB1</t>
        </is>
      </c>
      <c r="AF61" s="60" t="n"/>
      <c r="AG61" s="54" t="n"/>
      <c r="AH61" s="67">
        <f>COUNTIF($C61:$AF61,AH$4)</f>
        <v/>
      </c>
      <c r="AI61" s="67">
        <f>COUNTIF($C61:$AF61,AI$4)</f>
        <v/>
      </c>
      <c r="AJ61" s="67">
        <f>COUNTIF($C61:$AF61,AJ$4)</f>
        <v/>
      </c>
      <c r="AK61" s="67">
        <f>COUNTIF($C61:$AF61,AK$4)</f>
        <v/>
      </c>
      <c r="AL61" s="67">
        <f>COUNTIF($C61:$AF61,AL$4)</f>
        <v/>
      </c>
      <c r="AM61" s="67">
        <f>COUNTIF($C61:$AF61,AM$4)</f>
        <v/>
      </c>
      <c r="AN61" s="67">
        <f>COUNTIF($C61:$AF61,AN$4)</f>
        <v/>
      </c>
      <c r="AO61" s="67">
        <f>COUNTIF($C61:$AF61,AO$4)</f>
        <v/>
      </c>
      <c r="AP61" s="67">
        <f>COUNTIF($C61:$AF61,AP$4)</f>
        <v/>
      </c>
      <c r="AQ61" s="76" t="n"/>
      <c r="AR61" s="76" t="n"/>
      <c r="AS61" s="77">
        <f>SUMPRODUCT(--(WEEKDAY(C$3:AG$3,2)&lt;5),--ISNUMBER(MATCH(C61:AG61,{"SB1","SB2"},0)))</f>
        <v/>
      </c>
      <c r="AT61" s="67" t="n"/>
      <c r="AU61" s="77">
        <f>SUMPRODUCT(--(WEEKDAY(C$3:AG$3,2)=5),--ISNUMBER(MATCH(C61:AG61,{"SB1","SB2"},0)))</f>
        <v/>
      </c>
      <c r="AV61" s="77">
        <f>SUMPRODUCT(--(WEEKDAY(C$3:AG$3,2)&gt;5),--ISNUMBER(MATCH(C61:AG61,{"SB1","SB2"},0)))</f>
        <v/>
      </c>
      <c r="AW61" s="67" t="n"/>
      <c r="AX61" s="77">
        <f>(AS61-AT61)+AU61*1.5+(AV61-AW61)*2+(AO61+AH61+AI61+AJ61+AK61+AN61)*0.5+AQ61-AR61</f>
        <v/>
      </c>
      <c r="AY61" s="77">
        <f>AS61+AU61+AV61</f>
        <v/>
      </c>
      <c r="AZ61" s="77">
        <f>BC61+BE61+BG61+BI61+BK61</f>
        <v/>
      </c>
      <c r="BA61" s="76">
        <f>AX61+BB61</f>
        <v/>
      </c>
      <c r="BB61" s="77">
        <f>BD61+BF61+BH61+BJ61+BL61</f>
        <v/>
      </c>
      <c r="BC61" s="77">
        <f>COUNTIF(A61:AH61,"*$BTP*")</f>
        <v/>
      </c>
      <c r="BD61" s="77">
        <f>BC61*1.5</f>
        <v/>
      </c>
      <c r="BE61" s="77">
        <f>COUNTIF(A61:AH61,"*$M*")</f>
        <v/>
      </c>
      <c r="BF61" s="77">
        <f>BE61*1</f>
        <v/>
      </c>
      <c r="BG61" s="77">
        <f>COUNTIF(A61:AH61,"*$PM*")</f>
        <v/>
      </c>
      <c r="BH61" s="77">
        <f>BG61*0.5</f>
        <v/>
      </c>
      <c r="BI61" s="77">
        <f>COUNTIF(A61:AH61,"*$AM*")</f>
        <v/>
      </c>
      <c r="BJ61" s="77">
        <f>BI61*0.5</f>
        <v/>
      </c>
      <c r="BK61" s="77">
        <f>COUNTIF(A61:AH61,"*$FC*")</f>
        <v/>
      </c>
      <c r="BL61" s="77">
        <f>BK61*1</f>
        <v/>
      </c>
      <c r="BM61" s="77">
        <f>COUNTIF($D61:$AA61,BM$4)</f>
        <v/>
      </c>
      <c r="BN61" s="77">
        <f>COUNTIF($D61:$AA61,BN$4)</f>
        <v/>
      </c>
      <c r="BO61" s="77">
        <f>COUNTIF($D61:$AA61,BO$4)</f>
        <v/>
      </c>
      <c r="BP61" s="77" t="n"/>
    </row>
    <row r="62" ht="24.75" customHeight="1">
      <c r="A62" s="67" t="n"/>
      <c r="B62" s="76" t="inlineStr">
        <is>
          <t>PTE OWEN LEE</t>
        </is>
      </c>
      <c r="C62" s="60" t="n"/>
      <c r="D62" s="60" t="n"/>
      <c r="E62" s="60" t="n"/>
      <c r="F62" s="60" t="inlineStr">
        <is>
          <t>SB1</t>
        </is>
      </c>
      <c r="G62" s="60" t="n"/>
      <c r="H62" s="60" t="n"/>
      <c r="I62" s="60" t="inlineStr">
        <is>
          <t>SB1</t>
        </is>
      </c>
      <c r="J62" s="60" t="n"/>
      <c r="K62" s="60" t="n"/>
      <c r="L62" s="60" t="n"/>
      <c r="M62" s="60" t="n"/>
      <c r="N62" s="60" t="inlineStr">
        <is>
          <t>SB1</t>
        </is>
      </c>
      <c r="O62" s="60" t="n"/>
      <c r="P62" s="60" t="n"/>
      <c r="Q62" s="60" t="n"/>
      <c r="R62" s="60" t="n"/>
      <c r="S62" s="53" t="inlineStr">
        <is>
          <t>SB1</t>
        </is>
      </c>
      <c r="T62" s="60" t="n"/>
      <c r="U62" s="60" t="n"/>
      <c r="V62" s="60" t="n"/>
      <c r="W62" s="60" t="n"/>
      <c r="X62" s="60" t="n"/>
      <c r="Y62" s="60" t="inlineStr">
        <is>
          <t>SB1</t>
        </is>
      </c>
      <c r="Z62" s="60" t="n"/>
      <c r="AA62" s="107" t="n"/>
      <c r="AB62" s="60" t="n"/>
      <c r="AC62" s="60" t="n"/>
      <c r="AD62" s="60" t="n"/>
      <c r="AE62" s="60" t="n"/>
      <c r="AF62" s="108" t="inlineStr">
        <is>
          <t>SB1</t>
        </is>
      </c>
      <c r="AG62" s="108" t="n"/>
      <c r="AH62" s="67">
        <f>COUNTIF($C62:$AE62,AH$4)</f>
        <v/>
      </c>
      <c r="AI62" s="67">
        <f>COUNTIF($C62:$AE62,AI$4)</f>
        <v/>
      </c>
      <c r="AJ62" s="67">
        <f>COUNTIF($C62:$AE62,AJ$4)</f>
        <v/>
      </c>
      <c r="AK62" s="67">
        <f>COUNTIF($C62:$AE62,AK$4)</f>
        <v/>
      </c>
      <c r="AL62" s="67">
        <f>COUNTIF($C62:$AE62,AL$4)</f>
        <v/>
      </c>
      <c r="AM62" s="67">
        <f>COUNTIF($C62:$AE62,AM$4)</f>
        <v/>
      </c>
      <c r="AN62" s="67">
        <f>COUNTIF($C62:$AE62,AN$4)</f>
        <v/>
      </c>
      <c r="AO62" s="67">
        <f>COUNTIF($C62:$AE62,AO$4)</f>
        <v/>
      </c>
      <c r="AP62" s="67">
        <f>COUNTIF($C62:$AE62,AP$4)</f>
        <v/>
      </c>
      <c r="AQ62" s="76" t="n"/>
      <c r="AR62" s="76" t="n"/>
      <c r="AS62" s="77">
        <f>SUMPRODUCT(--(WEEKDAY(C$3:AG$3,2)&lt;5),--ISNUMBER(MATCH(C62:AG62,{"SB1","SB2"},0)))</f>
        <v/>
      </c>
      <c r="AT62" s="67" t="n"/>
      <c r="AU62" s="77">
        <f>SUMPRODUCT(--(WEEKDAY(C$3:AG$3,2)=5),--ISNUMBER(MATCH(C62:AG62,{"SB1","SB2"},0)))</f>
        <v/>
      </c>
      <c r="AV62" s="77">
        <f>SUMPRODUCT(--(WEEKDAY(C$3:AG$3,2)&gt;5),--ISNUMBER(MATCH(C62:AG62,{"SB1","SB2"},0)))</f>
        <v/>
      </c>
      <c r="AW62" s="67" t="n"/>
      <c r="AX62" s="77">
        <f>(AS62-AT62)+AU62*1.5+(AV62-AW62)*2+(AO62+AH62+AI62+AJ62+AK62+AN62)*0.5+AQ62-AR62</f>
        <v/>
      </c>
      <c r="AY62" s="77">
        <f>AS62+AU62+AV62</f>
        <v/>
      </c>
      <c r="AZ62" s="77">
        <f>BC62+BE62+BG62+BI62+BK62</f>
        <v/>
      </c>
      <c r="BA62" s="76">
        <f>AX62+BB62</f>
        <v/>
      </c>
      <c r="BB62" s="77">
        <f>BD62+BF62+BH62+BJ62+BL62</f>
        <v/>
      </c>
      <c r="BC62" s="77">
        <f>COUNTIF(A62:AH62,"*$BTP*")</f>
        <v/>
      </c>
      <c r="BD62" s="77">
        <f>BC62*1.5</f>
        <v/>
      </c>
      <c r="BE62" s="77">
        <f>COUNTIF(A62:AH62,"*$M*")</f>
        <v/>
      </c>
      <c r="BF62" s="77">
        <f>BE62*1</f>
        <v/>
      </c>
      <c r="BG62" s="77">
        <f>COUNTIF(A62:AH62,"*$PM*")</f>
        <v/>
      </c>
      <c r="BH62" s="77">
        <f>BG62*0.5</f>
        <v/>
      </c>
      <c r="BI62" s="77">
        <f>COUNTIF(A62:AH62,"*$AM*")</f>
        <v/>
      </c>
      <c r="BJ62" s="77">
        <f>BI62*0.5</f>
        <v/>
      </c>
      <c r="BK62" s="77">
        <f>COUNTIF(A62:AH62,"*$FC*")</f>
        <v/>
      </c>
      <c r="BL62" s="77">
        <f>BK62*1</f>
        <v/>
      </c>
      <c r="BM62" s="77">
        <f>COUNTIF($D62:$AA62,BM$4)</f>
        <v/>
      </c>
      <c r="BN62" s="77">
        <f>COUNTIF($D62:$AA62,BN$4)</f>
        <v/>
      </c>
      <c r="BO62" s="77">
        <f>COUNTIF($D62:$AA62,BO$4)</f>
        <v/>
      </c>
      <c r="BP62" s="77" t="n"/>
    </row>
    <row r="63" ht="19.5" customHeight="1">
      <c r="A63" s="67" t="n"/>
      <c r="B63" s="67" t="inlineStr">
        <is>
          <t>3SG THOTA DEV ADITYA</t>
        </is>
      </c>
      <c r="C63" s="108" t="n"/>
      <c r="D63" s="109" t="n"/>
      <c r="E63" s="109" t="n"/>
      <c r="F63" s="109" t="n"/>
      <c r="G63" s="109" t="n"/>
      <c r="H63" s="109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9" t="n"/>
      <c r="T63" s="54" t="n"/>
      <c r="U63" s="110" t="n"/>
      <c r="V63" s="60" t="n"/>
      <c r="W63" s="60" t="n"/>
      <c r="X63" s="60" t="n"/>
      <c r="Y63" s="60" t="n"/>
      <c r="Z63" s="60" t="n"/>
      <c r="AA63" s="60" t="n"/>
      <c r="AB63" s="60" t="n"/>
      <c r="AC63" s="60" t="n"/>
      <c r="AD63" s="60" t="n"/>
      <c r="AE63" s="60" t="n"/>
      <c r="AF63" s="60" t="n"/>
      <c r="AG63" s="60" t="n"/>
      <c r="AH63" s="67">
        <f>COUNTIF($C63:$AF63,AH$4)</f>
        <v/>
      </c>
      <c r="AI63" s="67">
        <f>COUNTIF($C63:$AF63,AI$4)</f>
        <v/>
      </c>
      <c r="AJ63" s="67">
        <f>COUNTIF($C63:$AF63,AJ$4)</f>
        <v/>
      </c>
      <c r="AK63" s="67">
        <f>COUNTIF($C63:$AF63,AK$4)</f>
        <v/>
      </c>
      <c r="AL63" s="67">
        <f>COUNTIF($C63:$AF63,AL$4)</f>
        <v/>
      </c>
      <c r="AM63" s="67">
        <f>COUNTIF($C63:$AF63,AM$4)</f>
        <v/>
      </c>
      <c r="AN63" s="67">
        <f>COUNTIF($C63:$AF63,AN$4)</f>
        <v/>
      </c>
      <c r="AO63" s="67">
        <f>COUNTIF($C63:$AF63,AO$4)</f>
        <v/>
      </c>
      <c r="AP63" s="67">
        <f>COUNTIF($C63:$AF63,AP$4)</f>
        <v/>
      </c>
      <c r="AQ63" s="76" t="n"/>
      <c r="AR63" s="76" t="n"/>
      <c r="AS63" s="77">
        <f>SUMPRODUCT(--(WEEKDAY(C$3:AG$3,2)&lt;5),--ISNUMBER(MATCH(C63:AG63,{"SB1","SB2"},0)))</f>
        <v/>
      </c>
      <c r="AT63" s="67" t="n"/>
      <c r="AU63" s="77">
        <f>SUMPRODUCT(--(WEEKDAY(C$3:AG$3,2)=5),--ISNUMBER(MATCH(C63:AG63,{"SB1","SB2"},0)))</f>
        <v/>
      </c>
      <c r="AV63" s="77">
        <f>SUMPRODUCT(--(WEEKDAY(C$3:AG$3,2)&gt;5),--ISNUMBER(MATCH(C63:AG63,{"SB1","SB2"},0)))</f>
        <v/>
      </c>
      <c r="AW63" s="67" t="n"/>
      <c r="AX63" s="77">
        <f>(AS63-AT63)+AU63*1.5+(AV63-AW63)*2+(AO63+AH63+AI63+AJ63+AK63+AN63)*0.5+AQ63-AR63</f>
        <v/>
      </c>
      <c r="AY63" s="77">
        <f>AS63+AU63+AV63</f>
        <v/>
      </c>
      <c r="AZ63" s="77">
        <f>BC63+BE63+BG63+BI63+BK63</f>
        <v/>
      </c>
      <c r="BA63" s="76">
        <f>AX63+BB63</f>
        <v/>
      </c>
      <c r="BB63" s="77">
        <f>BD63+BF63+BH63+BJ63+BL63</f>
        <v/>
      </c>
      <c r="BC63" s="77">
        <f>COUNTIF(A63:AH63,"*$BTP*")</f>
        <v/>
      </c>
      <c r="BD63" s="77">
        <f>BC63*1.5</f>
        <v/>
      </c>
      <c r="BE63" s="77">
        <f>COUNTIF(A63:AH63,"*$M*")</f>
        <v/>
      </c>
      <c r="BF63" s="77">
        <f>BE63*1</f>
        <v/>
      </c>
      <c r="BG63" s="77">
        <f>COUNTIF(A63:AH63,"*$PM*")</f>
        <v/>
      </c>
      <c r="BH63" s="77">
        <f>BG63*0.5</f>
        <v/>
      </c>
      <c r="BI63" s="77">
        <f>COUNTIF(A63:AH63,"*$AM*")</f>
        <v/>
      </c>
      <c r="BJ63" s="77">
        <f>BI63*0.5</f>
        <v/>
      </c>
      <c r="BK63" s="77">
        <f>COUNTIF(A63:AH63,"*$FC*")</f>
        <v/>
      </c>
      <c r="BL63" s="77">
        <f>BK63*1</f>
        <v/>
      </c>
      <c r="BM63" s="77">
        <f>COUNTIF($E63:$AG63,BM$4)</f>
        <v/>
      </c>
      <c r="BN63" s="77">
        <f>COUNTIF($E63:$AG63,BN$4)</f>
        <v/>
      </c>
      <c r="BO63" s="77">
        <f>COUNTIF($D63:$Y63,BO$4)</f>
        <v/>
      </c>
      <c r="BP63" s="67" t="n"/>
    </row>
    <row r="64" ht="19.5" customHeight="1">
      <c r="A64" s="107" t="n"/>
      <c r="B64" s="107" t="inlineStr">
        <is>
          <t>CFC MUHAMMAD AMSYAR SUFI BIN SUNARDI</t>
        </is>
      </c>
      <c r="C64" s="54" t="n"/>
      <c r="D64" s="53" t="n"/>
      <c r="E64" s="54" t="n"/>
      <c r="F64" s="60" t="n"/>
      <c r="G64" s="107" t="n"/>
      <c r="H64" s="107" t="n"/>
      <c r="I64" s="108" t="n"/>
      <c r="J64" s="107" t="n"/>
      <c r="K64" s="53" t="n"/>
      <c r="L64" s="108" t="n"/>
      <c r="M64" s="107" t="n"/>
      <c r="N64" s="107" t="n"/>
      <c r="O64" s="108" t="n"/>
      <c r="P64" s="60" t="n"/>
      <c r="Q64" s="107" t="n"/>
      <c r="R64" s="54" t="n"/>
      <c r="S64" s="54" t="n"/>
      <c r="T64" s="54" t="n"/>
      <c r="U64" s="110" t="n"/>
      <c r="V64" s="107" t="n"/>
      <c r="W64" s="111" t="n"/>
      <c r="X64" s="111" t="n"/>
      <c r="Y64" s="111" t="n"/>
      <c r="Z64" s="111" t="n"/>
      <c r="AA64" s="111" t="n"/>
      <c r="AB64" s="111" t="n"/>
      <c r="AC64" s="111" t="n"/>
      <c r="AD64" s="111" t="n"/>
      <c r="AE64" s="111" t="n"/>
      <c r="AF64" s="111" t="n"/>
      <c r="AG64" s="111" t="n"/>
      <c r="AH64" s="67">
        <f>COUNTIF($C64:$AF64,AH$4)</f>
        <v/>
      </c>
      <c r="AI64" s="67">
        <f>COUNTIF($C64:$AF64,AI$4)</f>
        <v/>
      </c>
      <c r="AJ64" s="67">
        <f>COUNTIF($C64:$AF64,AJ$4)</f>
        <v/>
      </c>
      <c r="AK64" s="67">
        <f>COUNTIF($C64:$AF64,AK$4)</f>
        <v/>
      </c>
      <c r="AL64" s="67">
        <f>COUNTIF($C64:$AF64,AL$4)</f>
        <v/>
      </c>
      <c r="AM64" s="67">
        <f>COUNTIF($C64:$AF64,AM$4)</f>
        <v/>
      </c>
      <c r="AN64" s="67">
        <f>COUNTIF($C64:$AF64,AN$4)</f>
        <v/>
      </c>
      <c r="AO64" s="67">
        <f>COUNTIF($C64:$AF64,AO$4)</f>
        <v/>
      </c>
      <c r="AP64" s="67">
        <f>COUNTIF($C64:$AF64,AP$4)</f>
        <v/>
      </c>
      <c r="AQ64" s="76" t="n"/>
      <c r="AR64" s="76" t="n"/>
      <c r="AS64" s="77">
        <f>SUMPRODUCT(--(WEEKDAY(C$3:AG$3,2)&lt;5),--ISNUMBER(MATCH(C64:AG64,{"SB1","SB2"},0)))</f>
        <v/>
      </c>
      <c r="AT64" s="67" t="n"/>
      <c r="AU64" s="77">
        <f>SUMPRODUCT(--(WEEKDAY(C$3:AG$3,2)=5),--ISNUMBER(MATCH(C64:AG64,{"SB1","SB2"},0)))</f>
        <v/>
      </c>
      <c r="AV64" s="77">
        <f>SUMPRODUCT(--(WEEKDAY(C$3:AG$3,2)&gt;5),--ISNUMBER(MATCH(C64:AG64,{"SB1","SB2"},0)))</f>
        <v/>
      </c>
      <c r="AW64" s="67" t="n"/>
      <c r="AX64" s="77">
        <f>(AS64-AT64)+AU64*1.5+(AV64-AW64)*2+(AO64+AH64+AI64+AJ64+AK64+AN64)*0.5+AQ64-AR64</f>
        <v/>
      </c>
      <c r="AY64" s="77">
        <f>AS64+AU64+AV64</f>
        <v/>
      </c>
      <c r="AZ64" s="77">
        <f>BC64+BE64+BG64+BI64+BK64</f>
        <v/>
      </c>
      <c r="BA64" s="76">
        <f>AX64+BB64</f>
        <v/>
      </c>
      <c r="BB64" s="77">
        <f>BD64+BF64+BH64+BJ64+BL64</f>
        <v/>
      </c>
      <c r="BC64" s="77">
        <f>COUNTIF(A64:AH64,"*$BTP*")</f>
        <v/>
      </c>
      <c r="BD64" s="77">
        <f>BC64*1.5</f>
        <v/>
      </c>
      <c r="BE64" s="77">
        <f>COUNTIF(A64:AH64,"*$M*")</f>
        <v/>
      </c>
      <c r="BF64" s="77">
        <f>BE64*1</f>
        <v/>
      </c>
      <c r="BG64" s="77">
        <f>COUNTIF(A64:AH64,"*$PM*")</f>
        <v/>
      </c>
      <c r="BH64" s="77">
        <f>BG64*0.5</f>
        <v/>
      </c>
      <c r="BI64" s="77">
        <f>COUNTIF(A64:AH64,"*$AM*")</f>
        <v/>
      </c>
      <c r="BJ64" s="77">
        <f>BI64*0.5</f>
        <v/>
      </c>
      <c r="BK64" s="77">
        <f>COUNTIF(A64:AH64,"*$FC*")</f>
        <v/>
      </c>
      <c r="BL64" s="77">
        <f>BK64*1</f>
        <v/>
      </c>
      <c r="BM64" s="77">
        <f>COUNTIF($E64:$AG64,BM$4)</f>
        <v/>
      </c>
      <c r="BN64" s="77">
        <f>COUNTIF($E64:$AG64,BN$4)</f>
        <v/>
      </c>
      <c r="BO64" s="77">
        <f>COUNTIF($E64:$Y64,BO$4)</f>
        <v/>
      </c>
      <c r="BP64" s="107" t="n"/>
    </row>
    <row r="65" ht="19.5" customHeight="1">
      <c r="A65" s="107" t="n"/>
      <c r="B65" s="107" t="inlineStr">
        <is>
          <t>CFC BRENDON TOH YI CHEN</t>
        </is>
      </c>
      <c r="C65" s="54" t="n"/>
      <c r="D65" s="54" t="n"/>
      <c r="E65" s="54" t="n"/>
      <c r="F65" s="60" t="n"/>
      <c r="H65" s="54" t="n"/>
      <c r="I65" s="108" t="n"/>
      <c r="J65" s="60" t="n"/>
      <c r="K65" s="54" t="n"/>
      <c r="L65" s="108" t="n"/>
      <c r="M65" s="107" t="n"/>
      <c r="N65" s="107" t="n"/>
      <c r="O65" s="60" t="n"/>
      <c r="P65" s="107" t="n"/>
      <c r="Q65" s="107" t="n"/>
      <c r="R65" s="54" t="n"/>
      <c r="S65" s="54" t="n"/>
      <c r="T65" s="54" t="n"/>
      <c r="U65" s="54" t="n"/>
      <c r="V65" s="54" t="n"/>
      <c r="W65" s="111" t="n"/>
      <c r="X65" s="111" t="inlineStr">
        <is>
          <t>SB1</t>
        </is>
      </c>
      <c r="Y65" s="111" t="n"/>
      <c r="Z65" s="53" t="n"/>
      <c r="AA65" s="111" t="n"/>
      <c r="AB65" s="111" t="n"/>
      <c r="AC65" s="111" t="n"/>
      <c r="AD65" s="111" t="n"/>
      <c r="AE65" s="111" t="n"/>
      <c r="AF65" s="111" t="n"/>
      <c r="AG65" s="111" t="n"/>
      <c r="AH65" s="67">
        <f>COUNTIF($C65:$AF65,AH$4)</f>
        <v/>
      </c>
      <c r="AI65" s="67">
        <f>COUNTIF($C65:$AF65,AI$4)</f>
        <v/>
      </c>
      <c r="AJ65" s="67">
        <f>COUNTIF($C65:$AF65,AJ$4)</f>
        <v/>
      </c>
      <c r="AK65" s="67">
        <f>COUNTIF($C65:$AF65,AK$4)</f>
        <v/>
      </c>
      <c r="AL65" s="67">
        <f>COUNTIF($C65:$AF65,AL$4)</f>
        <v/>
      </c>
      <c r="AM65" s="67">
        <f>COUNTIF($C65:$AF65,AM$4)</f>
        <v/>
      </c>
      <c r="AN65" s="67">
        <f>COUNTIF($C65:$AF65,AN$4)</f>
        <v/>
      </c>
      <c r="AO65" s="67">
        <f>COUNTIF($C65:$AF65,AO$4)</f>
        <v/>
      </c>
      <c r="AP65" s="67">
        <f>COUNTIF($C65:$AF65,AP$4)</f>
        <v/>
      </c>
      <c r="AQ65" s="76" t="n"/>
      <c r="AR65" s="76" t="n"/>
      <c r="AS65" s="77">
        <f>SUMPRODUCT(--(WEEKDAY(C$3:AG$3,2)&lt;5),--ISNUMBER(MATCH(C65:AG65,{"SB1","SB2"},0)))</f>
        <v/>
      </c>
      <c r="AT65" s="67" t="n"/>
      <c r="AU65" s="77">
        <f>SUMPRODUCT(--(WEEKDAY(C$3:AG$3,2)=5),--ISNUMBER(MATCH(C65:AG65,{"SB1","SB2"},0)))</f>
        <v/>
      </c>
      <c r="AV65" s="77">
        <f>SUMPRODUCT(--(WEEKDAY(C$3:AG$3,2)&gt;5),--ISNUMBER(MATCH(C65:AG65,{"SB1","SB2"},0)))</f>
        <v/>
      </c>
      <c r="AW65" s="67" t="n"/>
      <c r="AX65" s="77">
        <f>(AS65-AT65)+AU65*1.5+(AV65-AW65)*2+(AO65+AH65+AI65+AJ65+AK65+AN65)*0.5+AQ65-AR65</f>
        <v/>
      </c>
      <c r="AY65" s="77">
        <f>AS65+AU65+AV65</f>
        <v/>
      </c>
      <c r="AZ65" s="77">
        <f>BC65+BE65+BG65+BI65+BK65</f>
        <v/>
      </c>
      <c r="BA65" s="76">
        <f>AX65+BB65</f>
        <v/>
      </c>
      <c r="BB65" s="77">
        <f>BD65+BF65+BH65+BJ65+BL65</f>
        <v/>
      </c>
      <c r="BC65" s="77">
        <f>COUNTIF(A65:AH65,"*$BTP*")</f>
        <v/>
      </c>
      <c r="BD65" s="77">
        <f>BC65*1.5</f>
        <v/>
      </c>
      <c r="BE65" s="77">
        <f>COUNTIF(A65:AH65,"*$M*")</f>
        <v/>
      </c>
      <c r="BF65" s="77">
        <f>BE65*1</f>
        <v/>
      </c>
      <c r="BG65" s="77">
        <f>COUNTIF(A65:AH65,"*$PM*")</f>
        <v/>
      </c>
      <c r="BH65" s="77">
        <f>BG65*0.5</f>
        <v/>
      </c>
      <c r="BI65" s="77">
        <f>COUNTIF(A65:AH65,"*$AM*")</f>
        <v/>
      </c>
      <c r="BJ65" s="77">
        <f>BI65*0.5</f>
        <v/>
      </c>
      <c r="BK65" s="77">
        <f>COUNTIF(A65:AH65,"*$FC*")</f>
        <v/>
      </c>
      <c r="BL65" s="77">
        <f>BK65*1</f>
        <v/>
      </c>
      <c r="BM65" s="77">
        <f>COUNTIF($E65:$AG65,BM$4)</f>
        <v/>
      </c>
      <c r="BN65" s="77">
        <f>COUNTIF($E65:$AG65,BN$4)</f>
        <v/>
      </c>
      <c r="BO65" s="77">
        <f>COUNTIF($D65:$Y65,BO$4)</f>
        <v/>
      </c>
      <c r="BP65" s="107" t="n"/>
    </row>
    <row r="66" ht="19.5" customHeight="1">
      <c r="A66" s="107" t="n"/>
      <c r="B66" s="107" t="inlineStr">
        <is>
          <t>CFC AINSLEY YAP SHENG JIE</t>
        </is>
      </c>
      <c r="C66" s="60" t="n"/>
      <c r="D66" s="53" t="n"/>
      <c r="E66" s="53" t="n"/>
      <c r="F66" s="53" t="n"/>
      <c r="G66" s="53" t="n"/>
      <c r="H66" s="53" t="n"/>
      <c r="I66" s="53" t="n"/>
      <c r="J66" s="107" t="n"/>
      <c r="K66" s="54" t="n"/>
      <c r="L66" s="54" t="n"/>
      <c r="M66" s="107" t="n"/>
      <c r="N66" s="107" t="n"/>
      <c r="O66" s="107" t="n"/>
      <c r="P66" s="107" t="n"/>
      <c r="Q66" s="60" t="n"/>
      <c r="R66" s="107" t="n"/>
      <c r="T66" s="54" t="n"/>
      <c r="U66" s="110" t="inlineStr">
        <is>
          <t>SB1</t>
        </is>
      </c>
      <c r="V66" s="110" t="n"/>
      <c r="W66" s="110" t="n"/>
      <c r="X66" s="110" t="n"/>
      <c r="Y66" s="110" t="n"/>
      <c r="Z66" s="110" t="n"/>
      <c r="AA66" s="110" t="n"/>
      <c r="AB66" s="110" t="n"/>
      <c r="AC66" s="107" t="inlineStr">
        <is>
          <t>SB1</t>
        </is>
      </c>
      <c r="AD66" s="107" t="n"/>
      <c r="AE66" s="107" t="n"/>
      <c r="AF66" s="107" t="n"/>
      <c r="AG66" s="60" t="n"/>
      <c r="AH66" s="67">
        <f>COUNTIF($C66:$AF66,AH$4)</f>
        <v/>
      </c>
      <c r="AI66" s="67">
        <f>COUNTIF($C66:$AF66,AI$4)</f>
        <v/>
      </c>
      <c r="AJ66" s="67">
        <f>COUNTIF($C66:$AF66,AJ$4)</f>
        <v/>
      </c>
      <c r="AK66" s="67">
        <f>COUNTIF($C66:$AF66,AK$4)</f>
        <v/>
      </c>
      <c r="AL66" s="67">
        <f>COUNTIF($C66:$AF66,AL$4)</f>
        <v/>
      </c>
      <c r="AM66" s="67">
        <f>COUNTIF($C66:$AF66,AM$4)</f>
        <v/>
      </c>
      <c r="AN66" s="67">
        <f>COUNTIF($C66:$AF66,AN$4)</f>
        <v/>
      </c>
      <c r="AO66" s="67">
        <f>COUNTIF($C66:$AF66,AO$4)</f>
        <v/>
      </c>
      <c r="AP66" s="67">
        <f>COUNTIF($C66:$AF66,AP$4)</f>
        <v/>
      </c>
      <c r="AQ66" s="76" t="n"/>
      <c r="AR66" s="76" t="n"/>
      <c r="AS66" s="77">
        <f>SUMPRODUCT(--(WEEKDAY(C$3:AG$3,2)&lt;5),--ISNUMBER(MATCH(C66:AG66,{"SB1","SB2"},0)))</f>
        <v/>
      </c>
      <c r="AT66" s="67" t="n"/>
      <c r="AU66" s="77">
        <f>SUMPRODUCT(--(WEEKDAY(C$3:AG$3,2)=5),--ISNUMBER(MATCH(C66:AG66,{"SB1","SB2"},0)))</f>
        <v/>
      </c>
      <c r="AV66" s="77">
        <f>SUMPRODUCT(--(WEEKDAY(C$3:AG$3,2)&gt;5),--ISNUMBER(MATCH(C66:AG66,{"SB1","SB2"},0)))</f>
        <v/>
      </c>
      <c r="AW66" s="67" t="n"/>
      <c r="AX66" s="77">
        <f>(AS66-AT66)+AU66*1.5+(AV66-AW66)*2+(AO66+AH66+AI66+AJ66+AK66+AN66)*0.5+AQ66-AR66</f>
        <v/>
      </c>
      <c r="AY66" s="77">
        <f>AS66+AU66+AV66</f>
        <v/>
      </c>
      <c r="AZ66" s="77">
        <f>BC66+BE66+BG66+BI66+BK66</f>
        <v/>
      </c>
      <c r="BA66" s="76">
        <f>AX66+BB66</f>
        <v/>
      </c>
      <c r="BB66" s="77">
        <f>BD66+BF66+BH66+BJ66+BL66</f>
        <v/>
      </c>
      <c r="BC66" s="77">
        <f>COUNTIF(A66:AH66,"*$BTP*")</f>
        <v/>
      </c>
      <c r="BD66" s="77">
        <f>BC66*1.5</f>
        <v/>
      </c>
      <c r="BE66" s="77">
        <f>COUNTIF(A66:AH66,"*$M*")</f>
        <v/>
      </c>
      <c r="BF66" s="77">
        <f>BE66*1</f>
        <v/>
      </c>
      <c r="BG66" s="77">
        <f>COUNTIF(A66:AH66,"*$PM*")</f>
        <v/>
      </c>
      <c r="BH66" s="77">
        <f>BG66*0.5</f>
        <v/>
      </c>
      <c r="BI66" s="77">
        <f>COUNTIF(A66:AH66,"*$AM*")</f>
        <v/>
      </c>
      <c r="BJ66" s="77">
        <f>BI66*0.5</f>
        <v/>
      </c>
      <c r="BK66" s="77">
        <f>COUNTIF(A66:AH66,"*$FC*")</f>
        <v/>
      </c>
      <c r="BL66" s="77">
        <f>BK66*1</f>
        <v/>
      </c>
      <c r="BM66" s="77">
        <f>COUNTIF($E66:$AG66,BM$4)</f>
        <v/>
      </c>
      <c r="BN66" s="77">
        <f>COUNTIF($E66:$AG66,BN$4)</f>
        <v/>
      </c>
      <c r="BO66" s="77">
        <f>COUNTIF($E66:$Y66,BO$4)</f>
        <v/>
      </c>
      <c r="BP66" s="107" t="n"/>
    </row>
    <row r="67" ht="19.5" customHeight="1">
      <c r="A67" s="107" t="n"/>
      <c r="B67" s="107" t="inlineStr">
        <is>
          <t>CFC KOH KAI JIE, ETHAN</t>
        </is>
      </c>
      <c r="C67" s="53" t="n"/>
      <c r="D67" s="54" t="n"/>
      <c r="E67" s="54" t="n"/>
      <c r="F67" s="53" t="n"/>
      <c r="G67" s="107" t="n"/>
      <c r="H67" s="54" t="n"/>
      <c r="I67" s="60" t="n"/>
      <c r="J67" s="107" t="n"/>
      <c r="K67" s="60" t="n"/>
      <c r="L67" s="53" t="n"/>
      <c r="M67" s="107" t="n"/>
      <c r="N67" s="107" t="n"/>
      <c r="O67" s="107" t="n"/>
      <c r="P67" s="106" t="n"/>
      <c r="Q67" s="106" t="n"/>
      <c r="R67" s="54" t="n"/>
      <c r="S67" s="54" t="n"/>
      <c r="T67" s="53" t="n"/>
      <c r="U67" s="53" t="n"/>
      <c r="V67" s="107" t="n"/>
      <c r="W67" s="108" t="n"/>
      <c r="Y67" s="53" t="n"/>
      <c r="Z67" s="53" t="n"/>
      <c r="AA67" s="53" t="n"/>
      <c r="AB67" s="53" t="n"/>
      <c r="AC67" s="53" t="n"/>
      <c r="AD67" s="107" t="n"/>
      <c r="AE67" s="108" t="n"/>
      <c r="AF67" s="108" t="n"/>
      <c r="AG67" s="108" t="n"/>
      <c r="AH67" s="67">
        <f>COUNTIF($C67:$AF67,AH$4)</f>
        <v/>
      </c>
      <c r="AI67" s="67">
        <f>COUNTIF($C67:$AF67,AI$4)</f>
        <v/>
      </c>
      <c r="AJ67" s="67">
        <f>COUNTIF($C67:$AF67,AJ$4)</f>
        <v/>
      </c>
      <c r="AK67" s="67">
        <f>COUNTIF($C67:$AF67,AK$4)</f>
        <v/>
      </c>
      <c r="AL67" s="67">
        <f>COUNTIF($C67:$AF67,AL$4)</f>
        <v/>
      </c>
      <c r="AM67" s="67">
        <f>COUNTIF($C67:$AF67,AM$4)</f>
        <v/>
      </c>
      <c r="AN67" s="67">
        <f>COUNTIF($C67:$AF67,AN$4)</f>
        <v/>
      </c>
      <c r="AO67" s="67">
        <f>COUNTIF($C67:$AF67,AO$4)</f>
        <v/>
      </c>
      <c r="AP67" s="67">
        <f>COUNTIF($C67:$AF67,AP$4)</f>
        <v/>
      </c>
      <c r="AQ67" s="76" t="n"/>
      <c r="AR67" s="76" t="n"/>
      <c r="AS67" s="77">
        <f>SUMPRODUCT(--(WEEKDAY(C$3:AG$3,2)&lt;5),--ISNUMBER(MATCH(C67:AG67,{"SB1","SB2"},0)))</f>
        <v/>
      </c>
      <c r="AT67" s="67" t="n"/>
      <c r="AU67" s="77">
        <f>SUMPRODUCT(--(WEEKDAY(C$3:AG$3,2)=5),--ISNUMBER(MATCH(C67:AG67,{"SB1","SB2"},0)))</f>
        <v/>
      </c>
      <c r="AV67" s="77">
        <f>SUMPRODUCT(--(WEEKDAY(C$3:AG$3,2)&gt;5),--ISNUMBER(MATCH(C67:AG67,{"SB1","SB2"},0)))</f>
        <v/>
      </c>
      <c r="AW67" s="67" t="n"/>
      <c r="AX67" s="77">
        <f>(AS67-AT67)+AU67*1.5+(AV67-AW67)*2+(AO67+AH67+AI67+AJ67+AK67+AN67)*0.5+AQ67-AR67</f>
        <v/>
      </c>
      <c r="AY67" s="77">
        <f>AS67+AU67+AV67</f>
        <v/>
      </c>
      <c r="AZ67" s="77">
        <f>BC67+BE67+BG67+BI67+BK67</f>
        <v/>
      </c>
      <c r="BA67" s="76">
        <f>AX67+BB67</f>
        <v/>
      </c>
      <c r="BB67" s="77">
        <f>BD67+BF67+BH67+BJ67+BL67</f>
        <v/>
      </c>
      <c r="BC67" s="77">
        <f>COUNTIF(A67:AH67,"*$BTP*")</f>
        <v/>
      </c>
      <c r="BD67" s="77">
        <f>BC67*1.5</f>
        <v/>
      </c>
      <c r="BE67" s="77">
        <f>COUNTIF(A67:AH67,"*$M*")</f>
        <v/>
      </c>
      <c r="BF67" s="77">
        <f>BE67*1</f>
        <v/>
      </c>
      <c r="BG67" s="77">
        <f>COUNTIF(A67:AH67,"*$PM*")</f>
        <v/>
      </c>
      <c r="BH67" s="77">
        <f>BG67*0.5</f>
        <v/>
      </c>
      <c r="BI67" s="77">
        <f>COUNTIF(A67:AH67,"*$AM*")</f>
        <v/>
      </c>
      <c r="BJ67" s="77">
        <f>BI67*0.5</f>
        <v/>
      </c>
      <c r="BK67" s="77">
        <f>COUNTIF(A67:AH67,"*$FC*")</f>
        <v/>
      </c>
      <c r="BL67" s="77">
        <f>BK67*1</f>
        <v/>
      </c>
      <c r="BM67" s="77">
        <f>COUNTIF($E67:$AG67,BM$4)</f>
        <v/>
      </c>
      <c r="BN67" s="77">
        <f>COUNTIF($E67:$AG67,BN$4)</f>
        <v/>
      </c>
      <c r="BO67" s="77">
        <f>COUNTIF($D67:$Y67,BO$4)</f>
        <v/>
      </c>
      <c r="BP67" s="107" t="n"/>
    </row>
    <row r="68" ht="19.5" customHeight="1">
      <c r="A68" s="107" t="n"/>
      <c r="B68" s="107" t="inlineStr">
        <is>
          <t>LCP LIM CHU FENG</t>
        </is>
      </c>
      <c r="C68" s="54" t="n"/>
      <c r="D68" s="54" t="n"/>
      <c r="E68" s="54" t="n"/>
      <c r="F68" s="54" t="n"/>
      <c r="G68" s="54" t="n"/>
      <c r="H68" s="107" t="n"/>
      <c r="I68" s="107" t="n"/>
      <c r="J68" s="107" t="n"/>
      <c r="K68" s="54" t="n"/>
      <c r="L68" s="53" t="n"/>
      <c r="M68" s="107" t="n"/>
      <c r="N68" s="107" t="n"/>
      <c r="O68" s="108" t="n"/>
      <c r="P68" s="107" t="n"/>
      <c r="Q68" s="107" t="n"/>
      <c r="R68" s="60" t="n"/>
      <c r="S68" s="54" t="n"/>
      <c r="T68" s="60" t="n"/>
      <c r="U68" s="110" t="n"/>
      <c r="V68" t="inlineStr">
        <is>
          <t>SB2</t>
        </is>
      </c>
      <c r="W68" s="110" t="n"/>
      <c r="X68" s="53" t="n"/>
      <c r="Y68" s="108" t="n"/>
      <c r="Z68" s="54" t="n"/>
      <c r="AA68" s="107" t="n"/>
      <c r="AB68" s="107" t="n"/>
      <c r="AC68" s="107" t="inlineStr">
        <is>
          <t>SB2</t>
        </is>
      </c>
      <c r="AE68" s="60" t="n"/>
      <c r="AG68" s="60" t="n"/>
      <c r="AH68" s="67">
        <f>COUNTIF($C68:$AF68,AH$4)</f>
        <v/>
      </c>
      <c r="AI68" s="67">
        <f>COUNTIF($C68:$AF68,AI$4)</f>
        <v/>
      </c>
      <c r="AJ68" s="67">
        <f>COUNTIF($C68:$AF68,AJ$4)</f>
        <v/>
      </c>
      <c r="AK68" s="67">
        <f>COUNTIF($C68:$AF68,AK$4)</f>
        <v/>
      </c>
      <c r="AL68" s="67">
        <f>COUNTIF($C68:$AF68,AL$4)</f>
        <v/>
      </c>
      <c r="AM68" s="67">
        <f>COUNTIF($C68:$AF68,AM$4)</f>
        <v/>
      </c>
      <c r="AN68" s="67">
        <f>COUNTIF($C68:$AF68,AN$4)</f>
        <v/>
      </c>
      <c r="AO68" s="67">
        <f>COUNTIF($C68:$AF68,AO$4)</f>
        <v/>
      </c>
      <c r="AP68" s="67">
        <f>COUNTIF($C68:$AF68,AP$4)</f>
        <v/>
      </c>
      <c r="AQ68" s="76" t="n"/>
      <c r="AR68" s="76" t="n"/>
      <c r="AS68" s="77">
        <f>SUMPRODUCT(--(WEEKDAY(C$3:AG$3,2)&lt;5),--ISNUMBER(MATCH(C68:AG68,{"SB1","SB2"},0)))</f>
        <v/>
      </c>
      <c r="AT68" s="67" t="n"/>
      <c r="AU68" s="77">
        <f>SUMPRODUCT(--(WEEKDAY(C$3:AG$3,2)=5),--ISNUMBER(MATCH(C68:AG68,{"SB1","SB2"},0)))</f>
        <v/>
      </c>
      <c r="AV68" s="77">
        <f>SUMPRODUCT(--(WEEKDAY(C$3:AG$3,2)&gt;5),--ISNUMBER(MATCH(C68:AG68,{"SB1","SB2"},0)))</f>
        <v/>
      </c>
      <c r="AW68" s="67" t="n"/>
      <c r="AX68" s="77">
        <f>(AS68-AT68)+AU68*1.5+(AV68-AW68)*2+(AO68+AH68+AI68+AJ68+AK68+AN68)*0.5+AQ68-AR68</f>
        <v/>
      </c>
      <c r="AY68" s="77">
        <f>AS68+AU68+AV68</f>
        <v/>
      </c>
      <c r="AZ68" s="77">
        <f>BC68+BE68+BG68+BI68+BK68</f>
        <v/>
      </c>
      <c r="BA68" s="76">
        <f>AX68+BB68</f>
        <v/>
      </c>
      <c r="BB68" s="77">
        <f>BD68+BF68+BH68+BJ68+BL68</f>
        <v/>
      </c>
      <c r="BC68" s="77">
        <f>COUNTIF(A68:AH68,"*$BTP*")</f>
        <v/>
      </c>
      <c r="BD68" s="77">
        <f>BC68*1.5</f>
        <v/>
      </c>
      <c r="BE68" s="77">
        <f>COUNTIF(A68:AH68,"*$M*")</f>
        <v/>
      </c>
      <c r="BF68" s="77">
        <f>BE68*1</f>
        <v/>
      </c>
      <c r="BG68" s="77">
        <f>COUNTIF(A68:AH68,"*$PM*")</f>
        <v/>
      </c>
      <c r="BH68" s="77">
        <f>BG68*0.5</f>
        <v/>
      </c>
      <c r="BI68" s="77">
        <f>COUNTIF(A68:AH68,"*$AM*")</f>
        <v/>
      </c>
      <c r="BJ68" s="77">
        <f>BI68*0.5</f>
        <v/>
      </c>
      <c r="BK68" s="77">
        <f>COUNTIF(A68:AH68,"*$FC*")</f>
        <v/>
      </c>
      <c r="BL68" s="77">
        <f>BK68*1</f>
        <v/>
      </c>
      <c r="BM68" s="77">
        <f>COUNTIF($E68:$AG68,BM$4)</f>
        <v/>
      </c>
      <c r="BN68" s="77">
        <f>COUNTIF($E68:$AG68,BN$4)</f>
        <v/>
      </c>
      <c r="BO68" s="77">
        <f>COUNTIF($D68:$X68,BO$4)</f>
        <v/>
      </c>
      <c r="BP68" s="107" t="n"/>
    </row>
    <row r="69" ht="84.75" customHeight="1">
      <c r="A69" s="107" t="n"/>
      <c r="B69" s="107" t="inlineStr">
        <is>
          <t>CPL TAN TZE JUE JULIAN</t>
        </is>
      </c>
      <c r="C69" s="107" t="n"/>
      <c r="D69" s="54" t="n"/>
      <c r="E69" s="54" t="n"/>
      <c r="F69" s="107" t="n"/>
      <c r="G69" s="107" t="n"/>
      <c r="H69" s="54" t="n"/>
      <c r="I69" s="107" t="n"/>
      <c r="J69" s="107" t="n"/>
      <c r="K69" s="54" t="n"/>
      <c r="L69" s="108" t="n"/>
      <c r="M69" s="53" t="n"/>
      <c r="N69" s="107" t="n"/>
      <c r="O69" s="108" t="n"/>
      <c r="P69" s="107" t="n"/>
      <c r="Q69" s="107" t="n"/>
      <c r="R69" s="54" t="n"/>
      <c r="S69" s="53" t="n"/>
      <c r="T69" s="54" t="n"/>
      <c r="U69" s="53" t="n"/>
      <c r="V69" s="60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67">
        <f>COUNTIF($C69:$AF69,AH$4)</f>
        <v/>
      </c>
      <c r="AI69" s="67">
        <f>COUNTIF($C69:$AF69,AI$4)</f>
        <v/>
      </c>
      <c r="AJ69" s="67">
        <f>COUNTIF($C69:$AF69,AJ$4)</f>
        <v/>
      </c>
      <c r="AK69" s="67">
        <f>COUNTIF($C69:$AF69,AK$4)</f>
        <v/>
      </c>
      <c r="AL69" s="67">
        <f>COUNTIF($C69:$AF69,AL$4)</f>
        <v/>
      </c>
      <c r="AM69" s="67">
        <f>COUNTIF($C69:$AF69,AM$4)</f>
        <v/>
      </c>
      <c r="AN69" s="67">
        <f>COUNTIF($C69:$AF69,AN$4)</f>
        <v/>
      </c>
      <c r="AO69" s="67">
        <f>COUNTIF($C69:$AF69,AO$4)</f>
        <v/>
      </c>
      <c r="AP69" s="67">
        <f>COUNTIF($C69:$AF69,AP$4)</f>
        <v/>
      </c>
      <c r="AQ69" s="76" t="n"/>
      <c r="AR69" s="76" t="n"/>
      <c r="AS69" s="77">
        <f>SUMPRODUCT(--(WEEKDAY(C$3:AG$3,2)&lt;5),--ISNUMBER(MATCH(C69:AG69,{"SB1","SB2"},0)))</f>
        <v/>
      </c>
      <c r="AT69" s="67" t="n"/>
      <c r="AU69" s="77">
        <f>SUMPRODUCT(--(WEEKDAY(C$3:AG$3,2)=5),--ISNUMBER(MATCH(C69:AG69,{"SB1","SB2"},0)))</f>
        <v/>
      </c>
      <c r="AV69" s="77">
        <f>SUMPRODUCT(--(WEEKDAY(C$3:AG$3,2)&gt;5),--ISNUMBER(MATCH(C69:AG69,{"SB1","SB2"},0)))</f>
        <v/>
      </c>
      <c r="AW69" s="67" t="n"/>
      <c r="AX69" s="77">
        <f>(AS69-AT69)+AU69*1.5+(AV69-AW69)*2+(AO69+AH69+AI69+AJ69+AK69+AN69)*0.5+AQ69-AR69</f>
        <v/>
      </c>
      <c r="AY69" s="77">
        <f>AS69+AU69+AV69</f>
        <v/>
      </c>
      <c r="AZ69" s="77">
        <f>BC69+BE69+BG69+BI69+BK69</f>
        <v/>
      </c>
      <c r="BA69" s="76">
        <f>AX69+BB69</f>
        <v/>
      </c>
      <c r="BB69" s="77">
        <f>BD69+BF69+BH69+BJ69+BL69</f>
        <v/>
      </c>
      <c r="BC69" s="77">
        <f>COUNTIF(A69:AH69,"*$BTP*")</f>
        <v/>
      </c>
      <c r="BD69" s="77">
        <f>BC69*1.5</f>
        <v/>
      </c>
      <c r="BE69" s="77">
        <f>COUNTIF(A69:AH69,"*$M*")</f>
        <v/>
      </c>
      <c r="BF69" s="77">
        <f>BE69*1</f>
        <v/>
      </c>
      <c r="BG69" s="77">
        <f>COUNTIF(A69:AH69,"*$PM*")</f>
        <v/>
      </c>
      <c r="BH69" s="77">
        <f>BG69*0.5</f>
        <v/>
      </c>
      <c r="BI69" s="77">
        <f>COUNTIF(A69:AH69,"*$AM*")</f>
        <v/>
      </c>
      <c r="BJ69" s="77">
        <f>BI69*0.5</f>
        <v/>
      </c>
      <c r="BK69" s="77">
        <f>COUNTIF(A69:AH69,"*$FC*")</f>
        <v/>
      </c>
      <c r="BL69" s="77">
        <f>BK69*1</f>
        <v/>
      </c>
      <c r="BM69" s="77">
        <f>COUNTIF($E69:$AG69,BM$4)</f>
        <v/>
      </c>
      <c r="BN69" s="77">
        <f>COUNTIF($E69:$AG69,BN$4)</f>
        <v/>
      </c>
      <c r="BO69" s="77">
        <f>COUNTIF($D69:$Y69,BO$4)</f>
        <v/>
      </c>
      <c r="BP69" s="107" t="n"/>
    </row>
    <row r="70" ht="19.5" customHeight="1">
      <c r="A70" s="107" t="n"/>
      <c r="B70" s="107" t="inlineStr">
        <is>
          <t>3SG HO JI XUAN ISAAC</t>
        </is>
      </c>
      <c r="C70" s="54" t="n"/>
      <c r="D70" s="53" t="n"/>
      <c r="E70" s="54" t="n"/>
      <c r="F70" s="107" t="n"/>
      <c r="G70" s="107" t="n"/>
      <c r="H70" s="54" t="n"/>
      <c r="I70" s="107" t="n"/>
      <c r="J70" s="107" t="n"/>
      <c r="K70" s="54" t="n"/>
      <c r="L70" s="54" t="n"/>
      <c r="M70" s="107" t="n"/>
      <c r="N70" s="107" t="n"/>
      <c r="O70" s="107" t="n"/>
      <c r="P70" s="107" t="n"/>
      <c r="Q70" s="107" t="n"/>
      <c r="R70" s="54" t="n"/>
      <c r="S70" s="60" t="n"/>
      <c r="T70" s="54" t="n"/>
      <c r="U70" s="53" t="n"/>
      <c r="V70" s="107" t="n"/>
      <c r="W70" s="107" t="n"/>
      <c r="X70" s="107" t="n"/>
      <c r="Y70" s="60" t="n"/>
      <c r="Z70" s="54" t="n"/>
      <c r="AA70" s="110" t="n"/>
      <c r="AB70" s="107" t="n"/>
      <c r="AC70" s="60" t="n"/>
      <c r="AD70" s="60" t="n"/>
      <c r="AE70" s="60" t="n"/>
      <c r="AF70" s="54" t="n"/>
      <c r="AG70" s="54" t="n"/>
      <c r="AH70" s="67">
        <f>COUNTIF($C70:$AF70,AH$4)</f>
        <v/>
      </c>
      <c r="AI70" s="67">
        <f>COUNTIF($C70:$AF70,AI$4)</f>
        <v/>
      </c>
      <c r="AJ70" s="67">
        <f>COUNTIF($C70:$AF70,AJ$4)</f>
        <v/>
      </c>
      <c r="AK70" s="67">
        <f>COUNTIF($C70:$AF70,AK$4)</f>
        <v/>
      </c>
      <c r="AL70" s="67">
        <f>COUNTIF($C70:$AF70,AL$4)</f>
        <v/>
      </c>
      <c r="AM70" s="67">
        <f>COUNTIF($C70:$AF70,AM$4)</f>
        <v/>
      </c>
      <c r="AN70" s="67">
        <f>COUNTIF($C70:$AF70,AN$4)</f>
        <v/>
      </c>
      <c r="AO70" s="67">
        <f>COUNTIF($C70:$AF70,AO$4)</f>
        <v/>
      </c>
      <c r="AP70" s="67">
        <f>COUNTIF($C70:$AF70,AP$4)</f>
        <v/>
      </c>
      <c r="AQ70" s="76" t="n"/>
      <c r="AR70" s="76" t="n"/>
      <c r="AS70" s="77">
        <f>SUMPRODUCT(--(WEEKDAY(C$3:AG$3,2)&lt;5),--ISNUMBER(MATCH(C70:AG70,{"SB1","SB2"},0)))</f>
        <v/>
      </c>
      <c r="AT70" s="67" t="n"/>
      <c r="AU70" s="77">
        <f>SUMPRODUCT(--(WEEKDAY(C$3:AG$3,2)=5),--ISNUMBER(MATCH(C70:AG70,{"SB1","SB2"},0)))</f>
        <v/>
      </c>
      <c r="AV70" s="77">
        <f>SUMPRODUCT(--(WEEKDAY(C$3:AG$3,2)&gt;5),--ISNUMBER(MATCH(C70:AG70,{"SB1","SB2"},0)))</f>
        <v/>
      </c>
      <c r="AW70" s="67" t="n"/>
      <c r="AX70" s="77">
        <f>(AS70-AT70)+AU70*1.5+(AV70-AW70)*2+(AO70+AH70+AI70+AJ70+AK70+AN70)*0.5+AQ70-AR70</f>
        <v/>
      </c>
      <c r="AY70" s="77">
        <f>AS70+AU70+AV70</f>
        <v/>
      </c>
      <c r="AZ70" s="77">
        <f>BC70+BE70+BG70+BI70+BK70</f>
        <v/>
      </c>
      <c r="BA70" s="76">
        <f>AX70+BB70</f>
        <v/>
      </c>
      <c r="BB70" s="77">
        <f>BD70+BF70+BH70+BJ70+BL70</f>
        <v/>
      </c>
      <c r="BC70" s="77">
        <f>COUNTIF(A70:AH70,"*$BTP*")</f>
        <v/>
      </c>
      <c r="BD70" s="77">
        <f>BC70*1.5</f>
        <v/>
      </c>
      <c r="BE70" s="77">
        <f>COUNTIF(A70:AH70,"*$M*")</f>
        <v/>
      </c>
      <c r="BF70" s="77">
        <f>BE70*1</f>
        <v/>
      </c>
      <c r="BG70" s="77">
        <f>COUNTIF(A70:AH70,"*$PM*")</f>
        <v/>
      </c>
      <c r="BH70" s="77">
        <f>BG70*0.5</f>
        <v/>
      </c>
      <c r="BI70" s="77">
        <f>COUNTIF(A70:AH70,"*$AM*")</f>
        <v/>
      </c>
      <c r="BJ70" s="77">
        <f>BI70*0.5</f>
        <v/>
      </c>
      <c r="BK70" s="77">
        <f>COUNTIF(A70:AH70,"*$FC*")</f>
        <v/>
      </c>
      <c r="BL70" s="77">
        <f>BK70*1</f>
        <v/>
      </c>
      <c r="BM70" s="77">
        <f>COUNTIF($E70:$AG70,BM$4)</f>
        <v/>
      </c>
      <c r="BN70" s="77">
        <f>COUNTIF($E70:$AG70,BN$4)</f>
        <v/>
      </c>
      <c r="BO70" s="77">
        <f>COUNTIF($D70:$Y70,BO$4)</f>
        <v/>
      </c>
      <c r="BP70" s="107" t="n"/>
    </row>
    <row r="71" ht="19.5" customHeight="1">
      <c r="A71" s="107" t="n"/>
      <c r="B71" s="107" t="inlineStr">
        <is>
          <t>CPL JOVAN CHUA RUI CHENG</t>
        </is>
      </c>
      <c r="C71" s="54" t="inlineStr">
        <is>
          <t>SB1</t>
        </is>
      </c>
      <c r="D71" s="53" t="n"/>
      <c r="E71" s="54" t="n"/>
      <c r="F71" s="53" t="n"/>
      <c r="G71" s="107" t="n"/>
      <c r="H71" s="54" t="n"/>
      <c r="I71" s="107" t="n"/>
      <c r="J71" s="107" t="n"/>
      <c r="K71" s="107" t="inlineStr">
        <is>
          <t>SB1</t>
        </is>
      </c>
      <c r="L71" s="107" t="n"/>
      <c r="M71" s="107" t="n"/>
      <c r="N71" s="107" t="n"/>
      <c r="O71" s="107" t="n"/>
      <c r="P71" s="107" t="n"/>
      <c r="Q71" s="107" t="n"/>
      <c r="R71" s="107" t="inlineStr">
        <is>
          <t>SB1</t>
        </is>
      </c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inlineStr">
        <is>
          <t>SB1</t>
        </is>
      </c>
      <c r="AB71" s="107" t="n"/>
      <c r="AC71" s="107" t="n"/>
      <c r="AD71" s="107" t="n"/>
      <c r="AE71" s="107" t="n"/>
      <c r="AF71" s="107" t="n"/>
      <c r="AG71" s="107" t="n"/>
      <c r="AH71" s="67">
        <f>COUNTIF($C71:$AF71,AH$4)</f>
        <v/>
      </c>
      <c r="AI71" s="67">
        <f>COUNTIF($C71:$AF71,AI$4)</f>
        <v/>
      </c>
      <c r="AJ71" s="67">
        <f>COUNTIF($C71:$AF71,AJ$4)</f>
        <v/>
      </c>
      <c r="AK71" s="67">
        <f>COUNTIF($C71:$AF71,AK$4)</f>
        <v/>
      </c>
      <c r="AL71" s="67">
        <f>COUNTIF($C71:$AF71,AL$4)</f>
        <v/>
      </c>
      <c r="AM71" s="67">
        <f>COUNTIF($C71:$AF71,AM$4)</f>
        <v/>
      </c>
      <c r="AN71" s="67">
        <f>COUNTIF($C71:$AF71,AN$4)</f>
        <v/>
      </c>
      <c r="AO71" s="67">
        <f>COUNTIF($C71:$AF71,AO$4)</f>
        <v/>
      </c>
      <c r="AP71" s="67">
        <f>COUNTIF($C71:$AF71,AP$4)</f>
        <v/>
      </c>
      <c r="AQ71" s="76" t="n"/>
      <c r="AR71" s="76" t="n"/>
      <c r="AS71" s="77">
        <f>SUMPRODUCT(--(WEEKDAY(C$3:AG$3,2)&lt;5),--ISNUMBER(MATCH(C71:AG71,{"SB1","SB2"},0)))</f>
        <v/>
      </c>
      <c r="AT71" s="67" t="n"/>
      <c r="AU71" s="77">
        <f>SUMPRODUCT(--(WEEKDAY(C$3:AG$3,2)=5),--ISNUMBER(MATCH(C71:AG71,{"SB1","SB2"},0)))</f>
        <v/>
      </c>
      <c r="AV71" s="77">
        <f>SUMPRODUCT(--(WEEKDAY(C$3:AG$3,2)&gt;5),--ISNUMBER(MATCH(C71:AG71,{"SB1","SB2"},0)))</f>
        <v/>
      </c>
      <c r="AW71" s="67" t="n"/>
      <c r="AX71" s="77">
        <f>(AS71-AT71)+AU71*1.5+(AV71-AW71)*2+(AO71+AH71+AI71+AJ71+AK71+AN71)*0.5+AQ71-AR71</f>
        <v/>
      </c>
      <c r="AY71" s="77">
        <f>AS71+AU71+AV71</f>
        <v/>
      </c>
      <c r="AZ71" s="77">
        <f>BC71+BE71+BG71+BI71+BK71</f>
        <v/>
      </c>
      <c r="BA71" s="76">
        <f>AX71+BB71</f>
        <v/>
      </c>
      <c r="BB71" s="77">
        <f>BD71+BF71+BH71+BJ71+BL71</f>
        <v/>
      </c>
      <c r="BC71" s="77">
        <f>COUNTIF(A71:AH71,"*$BTP*")</f>
        <v/>
      </c>
      <c r="BD71" s="77">
        <f>BC71*1.5</f>
        <v/>
      </c>
      <c r="BE71" s="77">
        <f>COUNTIF(A71:AH71,"*$M*")</f>
        <v/>
      </c>
      <c r="BF71" s="77">
        <f>BE71*1</f>
        <v/>
      </c>
      <c r="BG71" s="77">
        <f>COUNTIF(A71:AH71,"*$PM*")</f>
        <v/>
      </c>
      <c r="BH71" s="77">
        <f>BG71*0.5</f>
        <v/>
      </c>
      <c r="BI71" s="77">
        <f>COUNTIF(A71:AH71,"*$AM*")</f>
        <v/>
      </c>
      <c r="BJ71" s="77">
        <f>BI71*0.5</f>
        <v/>
      </c>
      <c r="BK71" s="77">
        <f>COUNTIF(A71:AH71,"*$FC*")</f>
        <v/>
      </c>
      <c r="BL71" s="77">
        <f>BK71*1</f>
        <v/>
      </c>
      <c r="BM71" s="77">
        <f>COUNTIF($E71:$AG71,BM$4)</f>
        <v/>
      </c>
      <c r="BN71" s="77">
        <f>COUNTIF($E71:$AG71,BN$4)</f>
        <v/>
      </c>
      <c r="BO71" s="77">
        <f>COUNTIF($D71:$Y71,BO$4)</f>
        <v/>
      </c>
      <c r="BP71" s="107" t="n"/>
    </row>
    <row r="72" ht="19.5" customHeight="1">
      <c r="A72" s="107" t="n"/>
      <c r="B72" s="107" t="inlineStr">
        <is>
          <t>CPL LAN ZHI XIANG</t>
        </is>
      </c>
      <c r="C72" s="60" t="n"/>
      <c r="D72" s="53" t="inlineStr">
        <is>
          <t>SB1</t>
        </is>
      </c>
      <c r="E72" s="54" t="n"/>
      <c r="F72" s="53" t="n"/>
      <c r="G72" s="107" t="n"/>
      <c r="H72" s="54" t="n"/>
      <c r="I72" s="107" t="n"/>
      <c r="J72" s="107" t="n"/>
      <c r="K72" s="54" t="inlineStr">
        <is>
          <t>SB2</t>
        </is>
      </c>
      <c r="L72" s="60" t="n"/>
      <c r="M72" s="53" t="n"/>
      <c r="N72" s="107" t="n"/>
      <c r="O72" s="60" t="n"/>
      <c r="P72" s="107" t="n"/>
      <c r="Q72" s="60" t="n"/>
      <c r="R72" s="112" t="inlineStr">
        <is>
          <t>SB2</t>
        </is>
      </c>
      <c r="S72" s="108" t="n"/>
      <c r="T72" s="108" t="n"/>
      <c r="U72" s="110" t="n"/>
      <c r="V72" s="53" t="n"/>
      <c r="W72" s="110" t="n"/>
      <c r="X72" s="54" t="n"/>
      <c r="Y72" s="60" t="n"/>
      <c r="Z72" s="54" t="n"/>
      <c r="AA72" s="107" t="n"/>
      <c r="AB72" s="107" t="inlineStr">
        <is>
          <t>SB1</t>
        </is>
      </c>
      <c r="AD72" s="107" t="n"/>
      <c r="AE72" s="60" t="n"/>
      <c r="AF72" s="54" t="n"/>
      <c r="AG72" s="54" t="n"/>
      <c r="AH72" s="67">
        <f>COUNTIF($C72:$AF72,AH$4)</f>
        <v/>
      </c>
      <c r="AI72" s="67">
        <f>COUNTIF($C72:$AF72,AI$4)</f>
        <v/>
      </c>
      <c r="AJ72" s="67">
        <f>COUNTIF($C72:$AF72,AJ$4)</f>
        <v/>
      </c>
      <c r="AK72" s="67">
        <f>COUNTIF($C72:$AF72,AK$4)</f>
        <v/>
      </c>
      <c r="AL72" s="67">
        <f>COUNTIF($C72:$AF72,AL$4)</f>
        <v/>
      </c>
      <c r="AM72" s="67">
        <f>COUNTIF($C72:$AF72,AM$4)</f>
        <v/>
      </c>
      <c r="AN72" s="67">
        <f>COUNTIF($C72:$AF72,AN$4)</f>
        <v/>
      </c>
      <c r="AO72" s="67">
        <f>COUNTIF($C72:$AF72,AO$4)</f>
        <v/>
      </c>
      <c r="AP72" s="67">
        <f>COUNTIF($C72:$AF72,AP$4)</f>
        <v/>
      </c>
      <c r="AQ72" s="76" t="n"/>
      <c r="AR72" s="76" t="n"/>
      <c r="AS72" s="77">
        <f>SUMPRODUCT(--(WEEKDAY(C$3:AG$3,2)&lt;5),--ISNUMBER(MATCH(C72:AG72,{"SB1","SB2"},0)))</f>
        <v/>
      </c>
      <c r="AT72" s="67" t="n"/>
      <c r="AU72" s="77">
        <f>SUMPRODUCT(--(WEEKDAY(C$3:AG$3,2)=5),--ISNUMBER(MATCH(C72:AG72,{"SB1","SB2"},0)))</f>
        <v/>
      </c>
      <c r="AV72" s="77">
        <f>SUMPRODUCT(--(WEEKDAY(C$3:AG$3,2)&gt;5),--ISNUMBER(MATCH(C72:AG72,{"SB1","SB2"},0)))</f>
        <v/>
      </c>
      <c r="AW72" s="67" t="n"/>
      <c r="AX72" s="77">
        <f>(AS72-AT72)+AU72*1.5+(AV72-AW72)*2+(AO72+AH72+AI72+AJ72+AK72+AN72)*0.5+AQ72-AR72</f>
        <v/>
      </c>
      <c r="AY72" s="77">
        <f>AS72+AU72+AV72</f>
        <v/>
      </c>
      <c r="AZ72" s="77">
        <f>BC72+BE72+BG72+BI72+BK72</f>
        <v/>
      </c>
      <c r="BA72" s="76">
        <f>AX72+BB72</f>
        <v/>
      </c>
      <c r="BB72" s="77">
        <f>BD72+BF72+BH72+BJ72+BL72</f>
        <v/>
      </c>
      <c r="BC72" s="77">
        <f>COUNTIF(A72:AH72,"*$BTP*")</f>
        <v/>
      </c>
      <c r="BD72" s="77">
        <f>BC72*1.5</f>
        <v/>
      </c>
      <c r="BE72" s="77">
        <f>COUNTIF(A72:AH72,"*$M*")</f>
        <v/>
      </c>
      <c r="BF72" s="77">
        <f>BE72*1</f>
        <v/>
      </c>
      <c r="BG72" s="77">
        <f>COUNTIF(A72:AH72,"*$PM*")</f>
        <v/>
      </c>
      <c r="BH72" s="77">
        <f>BG72*0.5</f>
        <v/>
      </c>
      <c r="BI72" s="77">
        <f>COUNTIF(A72:AH72,"*$AM*")</f>
        <v/>
      </c>
      <c r="BJ72" s="77">
        <f>BI72*0.5</f>
        <v/>
      </c>
      <c r="BK72" s="77">
        <f>COUNTIF(A72:AH72,"*$FC*")</f>
        <v/>
      </c>
      <c r="BL72" s="77">
        <f>BK72*1</f>
        <v/>
      </c>
      <c r="BM72" s="77">
        <f>COUNTIF($E72:$AG72,BM$4)</f>
        <v/>
      </c>
      <c r="BN72" s="77">
        <f>COUNTIF($E72:$AG72,BN$4)</f>
        <v/>
      </c>
      <c r="BO72" s="77">
        <f>COUNTIF($D72:$Y72,BO$4)</f>
        <v/>
      </c>
      <c r="BP72" s="107" t="n"/>
    </row>
    <row r="73" ht="19.5" customHeight="1">
      <c r="A73" s="107" t="n"/>
      <c r="B73" s="107" t="inlineStr">
        <is>
          <t>LCP DAANYAAL ABDUL AZEEZ JANJUA</t>
        </is>
      </c>
      <c r="C73" s="54" t="inlineStr">
        <is>
          <t>2nd $FC</t>
        </is>
      </c>
      <c r="D73" s="53" t="inlineStr">
        <is>
          <t>SB2</t>
        </is>
      </c>
      <c r="E73" s="54" t="n"/>
      <c r="F73" s="60" t="n"/>
      <c r="G73" s="107" t="n"/>
      <c r="H73" s="107" t="n"/>
      <c r="I73" s="107" t="n"/>
      <c r="J73" s="107" t="n"/>
      <c r="K73" s="107" t="n"/>
      <c r="L73" s="107" t="inlineStr">
        <is>
          <t>SB1</t>
        </is>
      </c>
      <c r="M73" s="113" t="n"/>
      <c r="N73" s="107" t="n"/>
      <c r="O73" s="107" t="inlineStr">
        <is>
          <t>SB2</t>
        </is>
      </c>
      <c r="Q73" s="60" t="n"/>
      <c r="S73" s="54" t="inlineStr">
        <is>
          <t>SB2</t>
        </is>
      </c>
      <c r="T73" s="54" t="n"/>
      <c r="U73" s="114" t="n"/>
      <c r="V73" s="54" t="n"/>
      <c r="W73" s="110" t="n"/>
      <c r="X73" s="54" t="n"/>
      <c r="Y73" s="53" t="inlineStr">
        <is>
          <t>SB2</t>
        </is>
      </c>
      <c r="Z73" s="60" t="n"/>
      <c r="AA73" s="60" t="n"/>
      <c r="AB73" s="107" t="n"/>
      <c r="AC73" s="107" t="n"/>
      <c r="AD73" s="107" t="n"/>
      <c r="AE73" s="60" t="n"/>
      <c r="AF73" s="54" t="n"/>
      <c r="AG73" s="54" t="n"/>
      <c r="AH73" s="67">
        <f>COUNTIF($C73:$AF73,AH$4)</f>
        <v/>
      </c>
      <c r="AI73" s="67">
        <f>COUNTIF($C73:$AF73,AI$4)</f>
        <v/>
      </c>
      <c r="AJ73" s="67">
        <f>COUNTIF($C73:$AF73,AJ$4)</f>
        <v/>
      </c>
      <c r="AK73" s="67">
        <f>COUNTIF($C73:$AF73,AK$4)</f>
        <v/>
      </c>
      <c r="AL73" s="67">
        <f>COUNTIF($C73:$AF73,AL$4)</f>
        <v/>
      </c>
      <c r="AM73" s="67">
        <f>COUNTIF($C73:$AF73,AM$4)</f>
        <v/>
      </c>
      <c r="AN73" s="67">
        <f>COUNTIF($C73:$AF73,AN$4)</f>
        <v/>
      </c>
      <c r="AO73" s="67">
        <f>COUNTIF($C73:$AF73,AO$4)</f>
        <v/>
      </c>
      <c r="AP73" s="67">
        <f>COUNTIF($C73:$AF73,AP$4)</f>
        <v/>
      </c>
      <c r="AQ73" s="76" t="n"/>
      <c r="AR73" s="76" t="n"/>
      <c r="AS73" s="77">
        <f>SUMPRODUCT(--(WEEKDAY(C$3:AG$3,2)&lt;5),--ISNUMBER(MATCH(C73:AG73,{"SB1","SB2"},0)))</f>
        <v/>
      </c>
      <c r="AT73" s="67" t="n"/>
      <c r="AU73" s="77">
        <f>SUMPRODUCT(--(WEEKDAY(C$3:AG$3,2)=5),--ISNUMBER(MATCH(C73:AG73,{"SB1","SB2"},0)))</f>
        <v/>
      </c>
      <c r="AV73" s="77">
        <f>SUMPRODUCT(--(WEEKDAY(C$3:AG$3,2)&gt;5),--ISNUMBER(MATCH(C73:AG73,{"SB1","SB2"},0)))</f>
        <v/>
      </c>
      <c r="AW73" s="67" t="n"/>
      <c r="AX73" s="77">
        <f>(AS73-AT73)+AU73*1.5+(AV73-AW73)*2+(AO73+AH73+AI73+AJ73+AK73+AN73)*0.5+AQ73-AR73</f>
        <v/>
      </c>
      <c r="AY73" s="77">
        <f>AS73+AU73+AV73</f>
        <v/>
      </c>
      <c r="AZ73" s="77">
        <f>BC73+BE73+BG73+BI73+BK73</f>
        <v/>
      </c>
      <c r="BA73" s="76">
        <f>AX73+BB73</f>
        <v/>
      </c>
      <c r="BB73" s="77">
        <f>BD73+BF73+BH73+BJ73+BL73</f>
        <v/>
      </c>
      <c r="BC73" s="77">
        <f>COUNTIF(A73:AH73,"*$BTP*")</f>
        <v/>
      </c>
      <c r="BD73" s="77">
        <f>BC73*1.5</f>
        <v/>
      </c>
      <c r="BE73" s="77">
        <f>COUNTIF(A73:AH73,"*$M*")</f>
        <v/>
      </c>
      <c r="BF73" s="77">
        <f>BE73*1</f>
        <v/>
      </c>
      <c r="BG73" s="77">
        <f>COUNTIF(A73:AH73,"*$PM*")</f>
        <v/>
      </c>
      <c r="BH73" s="77">
        <f>BG73*0.5</f>
        <v/>
      </c>
      <c r="BI73" s="77">
        <f>COUNTIF(A73:AH73,"*$AM*")</f>
        <v/>
      </c>
      <c r="BJ73" s="77">
        <f>BI73*0.5</f>
        <v/>
      </c>
      <c r="BK73" s="77">
        <f>COUNTIF(A73:AH73,"*$FC*")</f>
        <v/>
      </c>
      <c r="BL73" s="77">
        <f>BK73*1</f>
        <v/>
      </c>
      <c r="BM73" s="77">
        <f>COUNTIF($E73:$AG73,BM$4)</f>
        <v/>
      </c>
      <c r="BN73" s="77">
        <f>COUNTIF($E73:$AG73,BN$4)</f>
        <v/>
      </c>
      <c r="BO73" s="77">
        <f>COUNTIF($E73:$Y73,BO$4)</f>
        <v/>
      </c>
      <c r="BP73" s="107" t="n"/>
    </row>
    <row r="74" ht="19.5" customHeight="1">
      <c r="A74" s="107" t="n"/>
      <c r="B74" s="107" t="inlineStr">
        <is>
          <t>PTE SUNDARARAJU DHANUSH</t>
        </is>
      </c>
      <c r="C74" s="54" t="n"/>
      <c r="D74" s="54" t="n"/>
      <c r="E74" s="54" t="n"/>
      <c r="F74" s="54" t="n"/>
      <c r="G74" s="54" t="n"/>
      <c r="H74" s="107" t="n"/>
      <c r="I74" s="108" t="n"/>
      <c r="J74" s="107" t="n"/>
      <c r="K74" s="54" t="n"/>
      <c r="L74" s="108" t="n"/>
      <c r="M74" s="107" t="n"/>
      <c r="N74" s="107" t="n"/>
      <c r="O74" s="60" t="n"/>
      <c r="P74" s="107" t="n"/>
      <c r="Q74" s="107" t="n"/>
      <c r="R74" s="54" t="n"/>
      <c r="S74" s="108" t="n"/>
      <c r="T74" s="60" t="n"/>
      <c r="U74" s="110" t="n"/>
      <c r="V74" s="107" t="n"/>
      <c r="W74" s="110" t="n"/>
      <c r="X74" s="107" t="n"/>
      <c r="Y74" s="54" t="n"/>
      <c r="Z74" s="54" t="n"/>
      <c r="AA74" s="53" t="n"/>
      <c r="AB74" s="60" t="n"/>
      <c r="AC74" s="108" t="n"/>
      <c r="AD74" s="108" t="inlineStr">
        <is>
          <t>SB1</t>
        </is>
      </c>
      <c r="AE74" s="108" t="n"/>
      <c r="AF74" s="54" t="n"/>
      <c r="AG74" s="54" t="n"/>
      <c r="AH74" s="67">
        <f>COUNTIF($C74:$AF74,AH$4)</f>
        <v/>
      </c>
      <c r="AI74" s="67">
        <f>COUNTIF($C74:$AF74,AI$4)</f>
        <v/>
      </c>
      <c r="AJ74" s="67">
        <f>COUNTIF($C74:$AF74,AJ$4)</f>
        <v/>
      </c>
      <c r="AK74" s="67">
        <f>COUNTIF($C74:$AF74,AK$4)</f>
        <v/>
      </c>
      <c r="AL74" s="67">
        <f>COUNTIF($C74:$AF74,AL$4)</f>
        <v/>
      </c>
      <c r="AM74" s="67">
        <f>COUNTIF($C74:$AF74,AM$4)</f>
        <v/>
      </c>
      <c r="AN74" s="67">
        <f>COUNTIF($C74:$AF74,AN$4)</f>
        <v/>
      </c>
      <c r="AO74" s="67">
        <f>COUNTIF($C74:$AF74,AO$4)</f>
        <v/>
      </c>
      <c r="AP74" s="67">
        <f>COUNTIF($C74:$AF74,AP$4)</f>
        <v/>
      </c>
      <c r="AQ74" s="76" t="n"/>
      <c r="AR74" s="76" t="n"/>
      <c r="AS74" s="77">
        <f>SUMPRODUCT(--(WEEKDAY(C$3:AG$3,2)&lt;5),--ISNUMBER(MATCH(C74:AG74,{"SB1","SB2"},0)))</f>
        <v/>
      </c>
      <c r="AT74" s="67" t="n"/>
      <c r="AU74" s="77">
        <f>SUMPRODUCT(--(WEEKDAY(C$3:AG$3,2)=5),--ISNUMBER(MATCH(C74:AG74,{"SB1","SB2"},0)))</f>
        <v/>
      </c>
      <c r="AV74" s="77">
        <f>SUMPRODUCT(--(WEEKDAY(C$3:AG$3,2)&gt;5),--ISNUMBER(MATCH(C74:AG74,{"SB1","SB2"},0)))</f>
        <v/>
      </c>
      <c r="AW74" s="67" t="n"/>
      <c r="AX74" s="77">
        <f>(AS74-AT74)+AU74*1.5+(AV74-AW74)*2+(AO74+AH74+AI74+AJ74+AK74+AN74)*0.5+AQ74-AR74</f>
        <v/>
      </c>
      <c r="AY74" s="77">
        <f>AS74+AU74+AV74</f>
        <v/>
      </c>
      <c r="AZ74" s="77">
        <f>BC74+BE74+BG74+BI74+BK74</f>
        <v/>
      </c>
      <c r="BA74" s="76">
        <f>AX74+BB74</f>
        <v/>
      </c>
      <c r="BB74" s="77">
        <f>BD74+BF74+BH74+BJ74+BL74</f>
        <v/>
      </c>
      <c r="BC74" s="77">
        <f>COUNTIF(A74:AH74,"*$BTP*")</f>
        <v/>
      </c>
      <c r="BD74" s="77">
        <f>BC74*1.5</f>
        <v/>
      </c>
      <c r="BE74" s="77">
        <f>COUNTIF(A74:AH74,"*$M*")</f>
        <v/>
      </c>
      <c r="BF74" s="77">
        <f>BE74*1</f>
        <v/>
      </c>
      <c r="BG74" s="77">
        <f>COUNTIF(A74:AH74,"*$PM*")</f>
        <v/>
      </c>
      <c r="BH74" s="77">
        <f>BG74*0.5</f>
        <v/>
      </c>
      <c r="BI74" s="77">
        <f>COUNTIF(A74:AH74,"*$AM*")</f>
        <v/>
      </c>
      <c r="BJ74" s="77">
        <f>BI74*0.5</f>
        <v/>
      </c>
      <c r="BK74" s="77">
        <f>COUNTIF(A74:AH74,"*$FC*")</f>
        <v/>
      </c>
      <c r="BL74" s="77">
        <f>BK74*1</f>
        <v/>
      </c>
      <c r="BM74" s="77">
        <f>COUNTIF($E74:$AG74,BM$4)</f>
        <v/>
      </c>
      <c r="BN74" s="77">
        <f>COUNTIF($E74:$AG74,BN$4)</f>
        <v/>
      </c>
      <c r="BO74" s="77">
        <f>COUNTIF($D74:$Y74,BO$4)</f>
        <v/>
      </c>
      <c r="BP74" s="107" t="n"/>
    </row>
    <row r="75" ht="31.5" customHeight="1">
      <c r="A75" s="67" t="n"/>
      <c r="B75" s="74" t="inlineStr">
        <is>
          <t>PTE PATIL AMEYA MANOJ</t>
        </is>
      </c>
      <c r="C75" s="60" t="n"/>
      <c r="D75" s="60" t="n"/>
      <c r="E75" s="60" t="n"/>
      <c r="F75" s="60" t="n"/>
      <c r="G75" s="60" t="inlineStr">
        <is>
          <t>SB1</t>
        </is>
      </c>
      <c r="H75" s="60" t="n"/>
      <c r="I75" s="60" t="n"/>
      <c r="J75" s="60" t="inlineStr">
        <is>
          <t>SB1</t>
        </is>
      </c>
      <c r="K75" s="60" t="n"/>
      <c r="L75" s="60" t="n"/>
      <c r="M75" s="60" t="n"/>
      <c r="N75" s="60" t="n"/>
      <c r="O75" s="60" t="inlineStr">
        <is>
          <t>SB1</t>
        </is>
      </c>
      <c r="P75" s="60" t="n"/>
      <c r="Q75" s="107" t="n"/>
      <c r="R75" s="60" t="n"/>
      <c r="S75" s="60" t="n"/>
      <c r="T75" s="60" t="inlineStr">
        <is>
          <t>SB1</t>
        </is>
      </c>
      <c r="U75" s="114" t="n"/>
      <c r="V75" s="60" t="n"/>
      <c r="W75" s="60" t="n"/>
      <c r="X75" s="60" t="n"/>
      <c r="Y75" s="53" t="n"/>
      <c r="Z75" s="60" t="inlineStr">
        <is>
          <t>SB1</t>
        </is>
      </c>
      <c r="AA75" s="60" t="n"/>
      <c r="AB75" s="60" t="n"/>
      <c r="AC75" s="60" t="n"/>
      <c r="AD75" s="60" t="n"/>
      <c r="AE75" s="60" t="n"/>
      <c r="AF75" s="54" t="n"/>
      <c r="AG75" s="60" t="inlineStr">
        <is>
          <t>SB1</t>
        </is>
      </c>
      <c r="AH75" s="67">
        <f>COUNTIF($C75:$AF75,AH$4)</f>
        <v/>
      </c>
      <c r="AI75" s="67">
        <f>COUNTIF($C75:$AF75,AI$4)</f>
        <v/>
      </c>
      <c r="AJ75" s="67">
        <f>COUNTIF($C75:$AF75,AJ$4)</f>
        <v/>
      </c>
      <c r="AK75" s="67">
        <f>COUNTIF($C75:$AF75,AK$4)</f>
        <v/>
      </c>
      <c r="AL75" s="67">
        <f>COUNTIF($C75:$AF75,AL$4)</f>
        <v/>
      </c>
      <c r="AM75" s="67">
        <f>COUNTIF($C75:$AF75,AM$4)</f>
        <v/>
      </c>
      <c r="AN75" s="67">
        <f>COUNTIF($C75:$AF75,AN$4)</f>
        <v/>
      </c>
      <c r="AO75" s="67">
        <f>COUNTIF($C75:$AF75,AO$4)</f>
        <v/>
      </c>
      <c r="AP75" s="67">
        <f>COUNTIF($C75:$AF75,AP$4)</f>
        <v/>
      </c>
      <c r="AQ75" s="76" t="n"/>
      <c r="AR75" s="76" t="n"/>
      <c r="AS75" s="77">
        <f>SUMPRODUCT(--(WEEKDAY(C$3:AG$3,2)&lt;5),--ISNUMBER(MATCH(C75:AG75,{"SB1","SB2"},0)))</f>
        <v/>
      </c>
      <c r="AT75" s="67" t="n"/>
      <c r="AU75" s="77">
        <f>SUMPRODUCT(--(WEEKDAY(C$3:AG$3,2)=5),--ISNUMBER(MATCH(C75:AG75,{"SB1","SB2"},0)))</f>
        <v/>
      </c>
      <c r="AV75" s="77">
        <f>SUMPRODUCT(--(WEEKDAY(C$3:AG$3,2)&gt;5),--ISNUMBER(MATCH(C75:AG75,{"SB1","SB2"},0)))</f>
        <v/>
      </c>
      <c r="AW75" s="67" t="n"/>
      <c r="AX75" s="77">
        <f>(AS75-AT75)+AU75*1.5+(AV75-AW75)*2+(AO75+AH75+AI75+AJ75+AK75+AN75)*0.5+AQ75-AR75</f>
        <v/>
      </c>
      <c r="AY75" s="77">
        <f>AS75+AU75+AV75</f>
        <v/>
      </c>
      <c r="AZ75" s="77">
        <f>BC75+BE75+BG75+BI75+BK75</f>
        <v/>
      </c>
      <c r="BA75" s="76">
        <f>AX75+BB75</f>
        <v/>
      </c>
      <c r="BB75" s="77">
        <f>BD75+BF75+BH75+BJ75+BL75</f>
        <v/>
      </c>
      <c r="BC75" s="77">
        <f>COUNTIF(A75:AH75,"*$BTP*")</f>
        <v/>
      </c>
      <c r="BD75" s="77">
        <f>BC75*1.5</f>
        <v/>
      </c>
      <c r="BE75" s="77">
        <f>COUNTIF(A75:AH75,"*$M*")</f>
        <v/>
      </c>
      <c r="BF75" s="77">
        <f>BE75*1</f>
        <v/>
      </c>
      <c r="BG75" s="77">
        <f>COUNTIF(A75:AH75,"*$PM*")</f>
        <v/>
      </c>
      <c r="BH75" s="77">
        <f>BG75*0.5</f>
        <v/>
      </c>
      <c r="BI75" s="77">
        <f>COUNTIF(A75:AH75,"*$AM*")</f>
        <v/>
      </c>
      <c r="BJ75" s="77">
        <f>BI75*0.5</f>
        <v/>
      </c>
      <c r="BK75" s="77">
        <f>COUNTIF(A75:AH75,"*$FC*")</f>
        <v/>
      </c>
      <c r="BL75" s="77">
        <f>BK75*1</f>
        <v/>
      </c>
      <c r="BM75" s="77">
        <f>COUNTIF($D75:$Y75,BM$4)</f>
        <v/>
      </c>
      <c r="BN75" s="77">
        <f>COUNTIF($D75:$Y75,BN$4)</f>
        <v/>
      </c>
      <c r="BO75" s="77">
        <f>COUNTIF($D75:$Y75,BO$4)</f>
        <v/>
      </c>
      <c r="BP75" s="67" t="n"/>
    </row>
    <row r="76" ht="31.5" customHeight="1">
      <c r="A76" s="67" t="n"/>
      <c r="B76" s="74" t="inlineStr">
        <is>
          <t>PTE ROYSTON SEOW</t>
        </is>
      </c>
      <c r="C76" s="60" t="inlineStr">
        <is>
          <t>SERVE+</t>
        </is>
      </c>
      <c r="D76" s="60" t="inlineStr">
        <is>
          <t>SERVE+</t>
        </is>
      </c>
      <c r="E76" s="60" t="inlineStr">
        <is>
          <t>SERVE+</t>
        </is>
      </c>
      <c r="F76" s="60" t="inlineStr">
        <is>
          <t>SERVE+</t>
        </is>
      </c>
      <c r="G76" s="60" t="inlineStr">
        <is>
          <t>SERVE+</t>
        </is>
      </c>
      <c r="H76" s="60" t="inlineStr">
        <is>
          <t>SERVE+</t>
        </is>
      </c>
      <c r="I76" s="60" t="inlineStr">
        <is>
          <t>SERVE+</t>
        </is>
      </c>
      <c r="J76" s="60" t="inlineStr">
        <is>
          <t>SERVE+</t>
        </is>
      </c>
      <c r="K76" s="60" t="inlineStr">
        <is>
          <t>SERVE+</t>
        </is>
      </c>
      <c r="L76" s="60" t="inlineStr">
        <is>
          <t>SERVE+</t>
        </is>
      </c>
      <c r="M76" s="60" t="inlineStr">
        <is>
          <t>SERVE+</t>
        </is>
      </c>
      <c r="N76" s="60" t="inlineStr">
        <is>
          <t>SERVE+</t>
        </is>
      </c>
      <c r="O76" s="60" t="inlineStr">
        <is>
          <t>SERVE+</t>
        </is>
      </c>
      <c r="P76" s="60" t="inlineStr">
        <is>
          <t>SERVE+</t>
        </is>
      </c>
      <c r="Q76" s="60" t="inlineStr">
        <is>
          <t>SERVE+</t>
        </is>
      </c>
      <c r="R76" s="60" t="inlineStr">
        <is>
          <t>SERVE+</t>
        </is>
      </c>
      <c r="S76" s="60" t="inlineStr">
        <is>
          <t>SERVE+</t>
        </is>
      </c>
      <c r="T76" s="60" t="inlineStr">
        <is>
          <t>SERVE+</t>
        </is>
      </c>
      <c r="U76" s="60" t="inlineStr">
        <is>
          <t>SERVE+</t>
        </is>
      </c>
      <c r="V76" s="60" t="inlineStr">
        <is>
          <t>SERVE+</t>
        </is>
      </c>
      <c r="W76" s="60" t="inlineStr">
        <is>
          <t>SERVE+</t>
        </is>
      </c>
      <c r="X76" s="60" t="inlineStr">
        <is>
          <t>SERVE+</t>
        </is>
      </c>
      <c r="Y76" s="60" t="inlineStr">
        <is>
          <t>SERVE+</t>
        </is>
      </c>
      <c r="Z76" s="60" t="inlineStr">
        <is>
          <t>SERVE+</t>
        </is>
      </c>
      <c r="AA76" s="60" t="inlineStr">
        <is>
          <t>SERVE+</t>
        </is>
      </c>
      <c r="AB76" s="60" t="inlineStr">
        <is>
          <t>SERVE+</t>
        </is>
      </c>
      <c r="AC76" s="60" t="inlineStr">
        <is>
          <t>SERVE+</t>
        </is>
      </c>
      <c r="AD76" s="60" t="inlineStr">
        <is>
          <t>SERVE+</t>
        </is>
      </c>
      <c r="AE76" s="60" t="inlineStr">
        <is>
          <t>SERVE+</t>
        </is>
      </c>
      <c r="AF76" s="60" t="inlineStr">
        <is>
          <t>SERVE+</t>
        </is>
      </c>
      <c r="AG76" s="60" t="inlineStr">
        <is>
          <t>SERVE+</t>
        </is>
      </c>
      <c r="AH76" s="67">
        <f>COUNTIF($C76:$AF76,AH$4)</f>
        <v/>
      </c>
      <c r="AI76" s="67">
        <f>COUNTIF($C76:$AF76,AI$4)</f>
        <v/>
      </c>
      <c r="AJ76" s="67">
        <f>COUNTIF($C76:$AF76,AJ$4)</f>
        <v/>
      </c>
      <c r="AK76" s="67">
        <f>COUNTIF($C76:$AF76,AK$4)</f>
        <v/>
      </c>
      <c r="AL76" s="67">
        <f>COUNTIF($C76:$AF76,AL$4)</f>
        <v/>
      </c>
      <c r="AM76" s="67">
        <f>COUNTIF($C76:$AF76,AM$4)</f>
        <v/>
      </c>
      <c r="AN76" s="67">
        <f>COUNTIF($C76:$AF76,AN$4)</f>
        <v/>
      </c>
      <c r="AO76" s="67">
        <f>COUNTIF($C76:$AF76,AO$4)</f>
        <v/>
      </c>
      <c r="AP76" s="67">
        <f>COUNTIF($C76:$AF76,AP$4)</f>
        <v/>
      </c>
      <c r="AQ76" s="76" t="n"/>
      <c r="AR76" s="76" t="n"/>
      <c r="AS76" s="77">
        <f>SUMPRODUCT(--(WEEKDAY(C$3:AG$3,2)&lt;5),--ISNUMBER(MATCH(C76:AG76,{"SB1","SB2"},0)))</f>
        <v/>
      </c>
      <c r="AT76" s="67" t="n"/>
      <c r="AU76" s="77">
        <f>SUMPRODUCT(--(WEEKDAY(C$3:AG$3,2)=5),--ISNUMBER(MATCH(C76:AG76,{"SB1","SB2"},0)))</f>
        <v/>
      </c>
      <c r="AV76" s="77">
        <f>SUMPRODUCT(--(WEEKDAY(C$3:AG$3,2)&gt;5),--ISNUMBER(MATCH(C76:AG76,{"SB1","SB2"},0)))</f>
        <v/>
      </c>
      <c r="AW76" s="67" t="n"/>
      <c r="AX76" s="77">
        <f>(AS76-AT76)+AU76*1.5+(AV76-AW76)*2+(AO76+AH76+AI76+AJ76+AK76+AN76)*0.5+AQ76-AR76</f>
        <v/>
      </c>
      <c r="AY76" s="77">
        <f>AS76+AU76+AV76</f>
        <v/>
      </c>
      <c r="AZ76" s="77">
        <f>BC76+BE76+BG76+BI76+BK76</f>
        <v/>
      </c>
      <c r="BA76" s="76">
        <f>AX76+BB76</f>
        <v/>
      </c>
      <c r="BB76" s="77">
        <f>BD76+BF76+BH76+BJ76+BL76</f>
        <v/>
      </c>
      <c r="BC76" s="77">
        <f>COUNTIF(A76:AH76,"*$BTP*")</f>
        <v/>
      </c>
      <c r="BD76" s="77">
        <f>BC76*1.5</f>
        <v/>
      </c>
      <c r="BE76" s="77">
        <f>COUNTIF(A76:AH76,"*$M*")</f>
        <v/>
      </c>
      <c r="BF76" s="77">
        <f>BE76*1</f>
        <v/>
      </c>
      <c r="BG76" s="77">
        <f>COUNTIF(A76:AH76,"*$PM*")</f>
        <v/>
      </c>
      <c r="BH76" s="77">
        <f>BG76*0.5</f>
        <v/>
      </c>
      <c r="BI76" s="77">
        <f>COUNTIF(A76:AH76,"*$AM*")</f>
        <v/>
      </c>
      <c r="BJ76" s="77">
        <f>BI76*0.5</f>
        <v/>
      </c>
      <c r="BK76" s="77">
        <f>COUNTIF(A76:AH76,"*$FC*")</f>
        <v/>
      </c>
      <c r="BL76" s="77">
        <f>BK76*1</f>
        <v/>
      </c>
      <c r="BM76" s="77">
        <f>COUNTIF($D76:$Y76,BM$4)</f>
        <v/>
      </c>
      <c r="BN76" s="77">
        <f>COUNTIF($D76:$Y76,BN$4)</f>
        <v/>
      </c>
      <c r="BO76" s="77">
        <f>COUNTIF($D76:$Y76,BO$4)</f>
        <v/>
      </c>
      <c r="BP76" s="67" t="n"/>
    </row>
    <row r="77" ht="19.5" customHeight="1">
      <c r="A77" s="67" t="n"/>
      <c r="B77" s="115" t="inlineStr">
        <is>
          <t>temp cover row</t>
        </is>
      </c>
      <c r="C77" s="116" t="n"/>
      <c r="D77" s="53" t="n"/>
      <c r="E77" s="85" t="n"/>
      <c r="F77" s="85" t="n"/>
      <c r="G77" s="85" t="n"/>
      <c r="H77" s="85" t="n"/>
      <c r="I77" s="53" t="n"/>
      <c r="J77" s="85" t="n"/>
      <c r="K77" s="53" t="n"/>
      <c r="L77" s="53" t="n"/>
      <c r="M77" s="60" t="n"/>
      <c r="N77" s="85" t="n"/>
      <c r="O77" s="53" t="n"/>
      <c r="P77" s="53" t="n"/>
      <c r="Q77" s="53" t="n"/>
      <c r="R77" s="53" t="n"/>
      <c r="S77" s="53" t="n"/>
      <c r="T77" s="53" t="n"/>
      <c r="U77" s="117" t="n"/>
      <c r="V77" s="118" t="n"/>
      <c r="W77" s="53" t="n"/>
      <c r="X77" s="85" t="inlineStr">
        <is>
          <t>      </t>
        </is>
      </c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67" t="n"/>
      <c r="AI77" s="67" t="n"/>
      <c r="AJ77" s="67" t="n"/>
      <c r="AK77" s="67" t="n"/>
      <c r="AL77" s="67" t="n"/>
      <c r="AM77" s="67" t="n"/>
      <c r="AN77" s="67" t="n"/>
      <c r="AO77" s="67" t="n"/>
      <c r="AP77" s="67" t="n"/>
      <c r="AQ77" s="67" t="n"/>
      <c r="AR77" s="67" t="n"/>
      <c r="AS77" s="77" t="n"/>
      <c r="AT77" s="67" t="n"/>
      <c r="AU77" s="67" t="n"/>
      <c r="AV77" s="77" t="n"/>
      <c r="AW77" s="67" t="n"/>
      <c r="AX77" s="67" t="n"/>
      <c r="AY77" s="77" t="n"/>
      <c r="AZ77" s="77" t="n"/>
      <c r="BA77" s="77" t="n"/>
      <c r="BB77" s="77" t="n"/>
      <c r="BC77" s="77" t="n"/>
      <c r="BD77" s="77" t="n"/>
      <c r="BE77" s="77" t="n"/>
      <c r="BF77" s="77" t="n"/>
      <c r="BG77" s="77" t="n"/>
      <c r="BH77" s="77" t="n"/>
      <c r="BI77" s="77" t="n"/>
      <c r="BJ77" s="77" t="n"/>
      <c r="BK77" s="77" t="n"/>
      <c r="BL77" s="77" t="n"/>
      <c r="BM77" s="67" t="n"/>
      <c r="BN77" s="67" t="n"/>
      <c r="BO77" s="67" t="n"/>
      <c r="BP77" s="67" t="n"/>
    </row>
    <row r="78" ht="19.5" customHeight="1">
      <c r="A78" s="67" t="n"/>
      <c r="B78" s="115" t="inlineStr">
        <is>
          <t>COMBAT POINTS</t>
        </is>
      </c>
      <c r="C78" s="119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60" t="n"/>
      <c r="N78" s="120" t="n"/>
      <c r="O78" s="120" t="n"/>
      <c r="P78" s="120" t="n"/>
      <c r="Q78" s="60" t="n"/>
      <c r="R78" s="60" t="n"/>
      <c r="S78" s="120" t="n"/>
      <c r="T78" s="60" t="n"/>
      <c r="U78" s="121" t="inlineStr">
        <is>
          <t>             </t>
        </is>
      </c>
      <c r="V78" s="122" t="n"/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20" t="n"/>
      <c r="AG78" s="120" t="n"/>
      <c r="AH78" s="67" t="n"/>
      <c r="AI78" s="67" t="n"/>
      <c r="AJ78" s="67" t="n"/>
      <c r="AK78" s="67" t="n"/>
      <c r="AL78" s="67" t="n"/>
      <c r="AM78" s="67" t="n"/>
      <c r="AN78" s="67" t="n"/>
      <c r="AO78" s="67" t="n"/>
      <c r="AP78" s="67" t="n"/>
      <c r="AQ78" s="67" t="n"/>
      <c r="AR78" s="67" t="n"/>
      <c r="AS78" s="77" t="n"/>
      <c r="AT78" s="67" t="n"/>
      <c r="AU78" s="67" t="n"/>
      <c r="AV78" s="77" t="n"/>
      <c r="AW78" s="67" t="n"/>
      <c r="AX78" s="6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67" t="n"/>
      <c r="BN78" s="67" t="n"/>
      <c r="BO78" s="67" t="n"/>
      <c r="BP78" s="67" t="n"/>
    </row>
    <row r="79" ht="19.5" customHeight="1">
      <c r="A79" s="67" t="n"/>
      <c r="B79" s="115" t="inlineStr">
        <is>
          <t>TOTAL POINTS</t>
        </is>
      </c>
      <c r="C79" s="119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60" t="n"/>
      <c r="N79" s="120" t="n"/>
      <c r="O79" s="120" t="n"/>
      <c r="P79" s="120" t="n"/>
      <c r="Q79" s="60" t="n"/>
      <c r="R79" s="60" t="n"/>
      <c r="S79" s="120" t="n"/>
      <c r="T79" s="60" t="n"/>
      <c r="U79" s="121" t="n"/>
      <c r="V79" s="122" t="n"/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20" t="n"/>
      <c r="AG79" s="120" t="n"/>
      <c r="AH79" s="67" t="n"/>
      <c r="AI79" s="67" t="n"/>
      <c r="AJ79" s="67" t="n"/>
      <c r="AK79" s="67" t="n"/>
      <c r="AL79" s="67" t="n"/>
      <c r="AM79" s="67" t="n"/>
      <c r="AN79" s="67" t="n"/>
      <c r="AO79" s="67" t="n"/>
      <c r="AP79" s="67" t="n"/>
      <c r="AQ79" s="67" t="n"/>
      <c r="AR79" s="67" t="n"/>
      <c r="AS79" s="77" t="n"/>
      <c r="AT79" s="67" t="n"/>
      <c r="AU79" s="67" t="n"/>
      <c r="AV79" s="77" t="n"/>
      <c r="AW79" s="67" t="n"/>
      <c r="AX79" s="67" t="n"/>
      <c r="AY79" s="77" t="n"/>
      <c r="AZ79" s="77" t="n"/>
      <c r="BA79" s="77" t="n"/>
      <c r="BB79" s="77" t="n"/>
      <c r="BC79" s="77" t="n"/>
      <c r="BD79" s="77" t="n"/>
      <c r="BE79" s="77" t="n"/>
      <c r="BF79" s="77" t="n"/>
      <c r="BG79" s="77" t="n"/>
      <c r="BH79" s="77" t="n"/>
      <c r="BI79" s="77" t="n"/>
      <c r="BJ79" s="77" t="n"/>
      <c r="BK79" s="77" t="n"/>
      <c r="BL79" s="77" t="n"/>
      <c r="BM79" s="67" t="n"/>
      <c r="BN79" s="67" t="n"/>
      <c r="BO79" s="67" t="n"/>
      <c r="BP79" s="67" t="n"/>
    </row>
    <row r="80" ht="19.5" customHeight="1">
      <c r="A80" s="67" t="n"/>
      <c r="B80" s="105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  <c r="AA80" s="123" t="n"/>
      <c r="AB80" s="123" t="n"/>
      <c r="AC80" s="123" t="n"/>
      <c r="AD80" s="123" t="n"/>
      <c r="AE80" s="123" t="n"/>
      <c r="AF80" s="123" t="n"/>
      <c r="AG80" s="123" t="n"/>
      <c r="AH80" s="105" t="n"/>
      <c r="AI80" s="105" t="n"/>
      <c r="AJ80" s="105" t="n"/>
      <c r="AK80" s="105" t="n"/>
      <c r="AL80" s="105" t="n"/>
      <c r="AM80" s="105" t="n"/>
      <c r="AN80" s="105" t="n"/>
      <c r="AO80" s="105" t="n"/>
      <c r="AP80" s="105" t="n"/>
      <c r="AQ80" s="105" t="n"/>
      <c r="AR80" s="105" t="n"/>
      <c r="AS80" s="105" t="n"/>
      <c r="AT80" s="105" t="n"/>
      <c r="AU80" s="105" t="n"/>
      <c r="AV80" s="105">
        <f>SUMPRODUCT(--WEEKDAY(C$3:AF$3,2)&gt;5,--((C80:AF80="DM"))+(C80:AF80="CS1")+((C80:AF80="CS2"))+(C80:AF80="SB1")+(C80:AF80="AE")+(C80:AF80="EM"))</f>
        <v/>
      </c>
      <c r="AW80" s="105" t="n"/>
      <c r="AX80" s="105">
        <f>(AS80-AT80)/2+(AV80-AW80)</f>
        <v/>
      </c>
      <c r="AY80" s="105" t="n"/>
      <c r="AZ80" s="105" t="n"/>
      <c r="BA80" s="105" t="n"/>
      <c r="BB80" s="105" t="n"/>
      <c r="BC80" s="105" t="n"/>
      <c r="BD80" s="105" t="n"/>
      <c r="BE80" s="105" t="n"/>
      <c r="BF80" s="105" t="n"/>
      <c r="BG80" s="105" t="n"/>
      <c r="BH80" s="105" t="n"/>
      <c r="BI80" s="105" t="n"/>
      <c r="BJ80" s="105" t="n"/>
      <c r="BK80" s="105" t="n"/>
      <c r="BL80" s="105" t="n"/>
      <c r="BM80" s="105" t="n"/>
      <c r="BN80" s="105" t="n"/>
      <c r="BO80" s="105" t="n"/>
      <c r="BP80" s="105" t="n"/>
    </row>
    <row r="81" ht="19.5" customHeight="1">
      <c r="A81" s="67" t="n"/>
      <c r="B81" s="124" t="inlineStr">
        <is>
          <t>DM</t>
        </is>
      </c>
      <c r="C81" s="125">
        <f>INDEX($B$57:$B$74,MATCH($B81,C$57:C$76,0))</f>
        <v/>
      </c>
      <c r="D81" s="125">
        <f>INDEX($B$57:$B$74,MATCH($B81,D$57:D$76,0))</f>
        <v/>
      </c>
      <c r="E81" s="125">
        <f>INDEX($B$57:$B$74,MATCH($B81,E$57:E$76,0))</f>
        <v/>
      </c>
      <c r="F81" s="125">
        <f>INDEX($B$57:$B$74,MATCH($B81,F$57:F$76,0))</f>
        <v/>
      </c>
      <c r="G81" s="125">
        <f>INDEX($B$57:$B$74,MATCH($B81,G$57:G$76,0))</f>
        <v/>
      </c>
      <c r="H81" s="125">
        <f>INDEX($B$57:$B$74,MATCH($B81,H$57:H$76,0))</f>
        <v/>
      </c>
      <c r="I81" s="125">
        <f>INDEX($B$57:$B$74,MATCH($B81,I$57:I$76,0))</f>
        <v/>
      </c>
      <c r="J81" s="125">
        <f>INDEX($B$57:$B$74,MATCH($B81,J$57:J$76,0))</f>
        <v/>
      </c>
      <c r="K81" s="125">
        <f>INDEX($B$57:$B$74,MATCH($B81,K$57:K$76,0))</f>
        <v/>
      </c>
      <c r="L81" s="125">
        <f>INDEX($B$57:$B$74,MATCH($B81,L$57:L$76,0))</f>
        <v/>
      </c>
      <c r="M81" s="125">
        <f>INDEX($B$57:$B$74,MATCH($B81,M$57:M$76,0))</f>
        <v/>
      </c>
      <c r="N81" s="125">
        <f>INDEX($B$57:$B$74,MATCH($B81,N$57:N$76,0))</f>
        <v/>
      </c>
      <c r="O81" s="125">
        <f>INDEX($B$57:$B$74,MATCH($B81,O$57:O$76,0))</f>
        <v/>
      </c>
      <c r="P81" s="125">
        <f>INDEX($B$57:$B$74,MATCH($B81,P$57:P$76,0))</f>
        <v/>
      </c>
      <c r="Q81" s="125">
        <f>INDEX($B$57:$B$74,MATCH($B81,Q$57:Q$76,0))</f>
        <v/>
      </c>
      <c r="R81" s="125">
        <f>INDEX($B$57:$B$74,MATCH($B81,R$57:R$76,0))</f>
        <v/>
      </c>
      <c r="S81" s="125">
        <f>INDEX($B$57:$B$74,MATCH($B81,S$57:S$76,0))</f>
        <v/>
      </c>
      <c r="T81" s="125">
        <f>INDEX($B$57:$B$74,MATCH($B81,T$57:T$76,0))</f>
        <v/>
      </c>
      <c r="U81" s="125">
        <f>INDEX($B$57:$B$74,MATCH($B81,U$57:U$76,0))</f>
        <v/>
      </c>
      <c r="V81" s="125">
        <f>INDEX($B$57:$B$74,MATCH($B81,V$57:V$76,0))</f>
        <v/>
      </c>
      <c r="W81" s="125">
        <f>INDEX($B$57:$B$74,MATCH($B81,W$57:W$76,0))</f>
        <v/>
      </c>
      <c r="X81" s="125">
        <f>INDEX($B$57:$B$74,MATCH($B81,X$57:X$76,0))</f>
        <v/>
      </c>
      <c r="Y81" s="125">
        <f>INDEX($B$57:$B$74,MATCH($B81,Y$57:Y$76,0))</f>
        <v/>
      </c>
      <c r="Z81" s="125">
        <f>INDEX($B$57:$B$74,MATCH($B81,Z$57:Z$76,0))</f>
        <v/>
      </c>
      <c r="AA81" s="125">
        <f>INDEX($B$57:$B$74,MATCH($B81,AA$57:AA$76,0))</f>
        <v/>
      </c>
      <c r="AB81" s="125">
        <f>INDEX($B$57:$B$74,MATCH($B81,AB$57:AB$76,0))</f>
        <v/>
      </c>
      <c r="AC81" s="125">
        <f>INDEX($B$57:$B$74,MATCH($B81,AC$57:AC$76,0))</f>
        <v/>
      </c>
      <c r="AD81" s="125">
        <f>INDEX($B$57:$B$74,MATCH($B81,AD$57:AD$76,0))</f>
        <v/>
      </c>
      <c r="AE81" s="125">
        <f>INDEX($B$57:$B$74,MATCH($B81,AE$57:AE$76,0))</f>
        <v/>
      </c>
      <c r="AF81" s="125">
        <f>INDEX($B$57:$B$74,MATCH($B81,AF$57:AF$76,0))</f>
        <v/>
      </c>
      <c r="AG81" s="125">
        <f>INDEX($B$57:$B$74,MATCH($B81,AG$57:AG$76,0))</f>
        <v/>
      </c>
      <c r="AH81" s="67" t="n"/>
      <c r="AI81" s="67" t="n"/>
      <c r="AJ81" s="67" t="n"/>
      <c r="AK81" s="67" t="n"/>
      <c r="AL81" s="77" t="n"/>
      <c r="AM81" s="77" t="n"/>
      <c r="AN81" s="77" t="n"/>
      <c r="AO81" s="77" t="n"/>
      <c r="AP81" s="77" t="n"/>
      <c r="AQ81" s="77" t="n"/>
      <c r="AR81" s="77" t="n"/>
      <c r="AS81" s="77" t="n"/>
      <c r="AT81" s="77" t="n"/>
      <c r="AU81" s="77" t="n"/>
      <c r="AV81" s="77" t="n"/>
      <c r="AW81" s="77" t="n"/>
      <c r="AX81" s="77" t="n"/>
      <c r="AY81" s="77" t="n"/>
      <c r="AZ81" s="77" t="n"/>
      <c r="BA81" s="77" t="n"/>
      <c r="BB81" s="77" t="n"/>
      <c r="BC81" s="77" t="n"/>
      <c r="BD81" s="77" t="n"/>
      <c r="BE81" s="77" t="n"/>
      <c r="BF81" s="77" t="n"/>
      <c r="BG81" s="77" t="n"/>
      <c r="BH81" s="77" t="n"/>
      <c r="BI81" s="77" t="n"/>
      <c r="BJ81" s="77" t="n"/>
      <c r="BK81" s="77" t="n"/>
      <c r="BL81" s="77" t="n"/>
      <c r="BM81" s="77" t="n"/>
      <c r="BN81" s="77" t="n"/>
      <c r="BO81" s="77" t="n"/>
      <c r="BP81" s="77" t="n"/>
    </row>
    <row r="82" ht="19.5" customHeight="1">
      <c r="A82" s="67" t="n"/>
      <c r="B82" s="126" t="inlineStr">
        <is>
          <t>CS1</t>
        </is>
      </c>
      <c r="C82" s="125">
        <f>INDEX($B$57:$B$74,MATCH($B82,C$57:C$76,0))</f>
        <v/>
      </c>
      <c r="D82" s="125">
        <f>INDEX($B$57:$B$74,MATCH($B82,D$57:D$76,0))</f>
        <v/>
      </c>
      <c r="E82" s="125">
        <f>INDEX($B$57:$B$74,MATCH($B82,E$57:E$76,0))</f>
        <v/>
      </c>
      <c r="F82" s="125">
        <f>INDEX($B$57:$B$74,MATCH($B82,F$57:F$76,0))</f>
        <v/>
      </c>
      <c r="G82" s="125">
        <f>INDEX($B$57:$B$74,MATCH($B82,G$57:G$76,0))</f>
        <v/>
      </c>
      <c r="H82" s="125">
        <f>INDEX($B$57:$B$74,MATCH($B82,H$57:H$76,0))</f>
        <v/>
      </c>
      <c r="I82" s="125">
        <f>INDEX($B$57:$B$74,MATCH($B82,I$57:I$76,0))</f>
        <v/>
      </c>
      <c r="J82" s="125">
        <f>INDEX($B$57:$B$74,MATCH($B82,J$57:J$76,0))</f>
        <v/>
      </c>
      <c r="K82" s="125">
        <f>INDEX($B$57:$B$74,MATCH($B82,K$57:K$76,0))</f>
        <v/>
      </c>
      <c r="L82" s="125">
        <f>INDEX($B$57:$B$74,MATCH($B82,L$57:L$76,0))</f>
        <v/>
      </c>
      <c r="M82" s="125">
        <f>INDEX($B$57:$B$74,MATCH($B82,M$57:M$76,0))</f>
        <v/>
      </c>
      <c r="N82" s="125">
        <f>INDEX($B$57:$B$74,MATCH($B82,N$57:N$76,0))</f>
        <v/>
      </c>
      <c r="O82" s="125">
        <f>INDEX($B$57:$B$74,MATCH($B82,O$57:O$76,0))</f>
        <v/>
      </c>
      <c r="P82" s="125">
        <f>INDEX($B$57:$B$74,MATCH($B82,P$57:P$76,0))</f>
        <v/>
      </c>
      <c r="Q82" s="125">
        <f>INDEX($B$57:$B$74,MATCH($B82,Q$57:Q$76,0))</f>
        <v/>
      </c>
      <c r="R82" s="125">
        <f>INDEX($B$57:$B$74,MATCH($B82,R$57:R$76,0))</f>
        <v/>
      </c>
      <c r="S82" s="125">
        <f>INDEX($B$57:$B$74,MATCH($B82,S$57:S$76,0))</f>
        <v/>
      </c>
      <c r="T82" s="125">
        <f>INDEX($B$57:$B$74,MATCH($B82,T$57:T$76,0))</f>
        <v/>
      </c>
      <c r="U82" s="125">
        <f>INDEX($B$57:$B$74,MATCH($B82,U$57:U$76,0))</f>
        <v/>
      </c>
      <c r="V82" s="125">
        <f>INDEX($B$57:$B$74,MATCH($B82,V$57:V$76,0))</f>
        <v/>
      </c>
      <c r="W82" s="125">
        <f>INDEX($B$57:$B$74,MATCH($B82,W$57:W$76,0))</f>
        <v/>
      </c>
      <c r="X82" s="125">
        <f>INDEX($B$57:$B$74,MATCH($B82,X$57:X$76,0))</f>
        <v/>
      </c>
      <c r="Y82" s="125">
        <f>INDEX($B$57:$B$74,MATCH($B82,Y$57:Y$76,0))</f>
        <v/>
      </c>
      <c r="Z82" s="125">
        <f>INDEX($B$57:$B$74,MATCH($B82,Z$57:Z$76,0))</f>
        <v/>
      </c>
      <c r="AA82" s="125">
        <f>INDEX($B$57:$B$74,MATCH($B82,AA$57:AA$76,0))</f>
        <v/>
      </c>
      <c r="AB82" s="125">
        <f>INDEX($B$57:$B$74,MATCH($B82,AB$57:AB$76,0))</f>
        <v/>
      </c>
      <c r="AC82" s="125">
        <f>INDEX($B$57:$B$74,MATCH($B82,AC$57:AC$76,0))</f>
        <v/>
      </c>
      <c r="AD82" s="125">
        <f>INDEX($B$57:$B$74,MATCH($B82,AD$57:AD$76,0))</f>
        <v/>
      </c>
      <c r="AE82" s="125">
        <f>INDEX($B$57:$B$74,MATCH($B82,AE$57:AE$76,0))</f>
        <v/>
      </c>
      <c r="AF82" s="125">
        <f>INDEX($B$57:$B$74,MATCH($B82,AF$57:AF$76,0))</f>
        <v/>
      </c>
      <c r="AG82" s="125">
        <f>INDEX($B$57:$B$74,MATCH($B82,AG$57:AG$76,0))</f>
        <v/>
      </c>
      <c r="AH82" s="67" t="n"/>
      <c r="AI82" s="67" t="n"/>
      <c r="AJ82" s="67" t="n"/>
      <c r="AK82" s="6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</row>
    <row r="83" ht="19.5" customHeight="1">
      <c r="A83" s="67" t="n"/>
      <c r="B83" s="127" t="inlineStr">
        <is>
          <t>SB1</t>
        </is>
      </c>
      <c r="C83" s="125">
        <f>INDEX($B$57:$B$74,MATCH($B83,C$57:C$76,0))</f>
        <v/>
      </c>
      <c r="D83" s="125">
        <f>INDEX($B$57:$B$74,MATCH($B83,D$57:D$76,0))</f>
        <v/>
      </c>
      <c r="E83" s="125">
        <f>INDEX($B$57:$B$74,MATCH($B83,E$57:E$76,0))</f>
        <v/>
      </c>
      <c r="F83" s="125">
        <f>INDEX($B$57:$B$74,MATCH($B83,F$57:F$76,0))</f>
        <v/>
      </c>
      <c r="G83" s="125">
        <f>INDEX($B$57:$B$74,MATCH($B83,G$57:G$76,0))</f>
        <v/>
      </c>
      <c r="H83" s="125">
        <f>INDEX($B$57:$B$74,MATCH($B83,H$57:H$76,0))</f>
        <v/>
      </c>
      <c r="I83" s="125">
        <f>INDEX($B$57:$B$74,MATCH($B83,I$57:I$76,0))</f>
        <v/>
      </c>
      <c r="J83" s="125">
        <f>INDEX($B$57:$B$74,MATCH($B83,J$57:J$76,0))</f>
        <v/>
      </c>
      <c r="K83" s="125">
        <f>INDEX($B$57:$B$74,MATCH($B83,K$57:K$76,0))</f>
        <v/>
      </c>
      <c r="L83" s="125">
        <f>INDEX($B$57:$B$74,MATCH($B83,L$57:L$76,0))</f>
        <v/>
      </c>
      <c r="M83" s="125">
        <f>INDEX($B$57:$B$74,MATCH($B83,M$57:M$76,0))</f>
        <v/>
      </c>
      <c r="N83" s="125">
        <f>INDEX($B$57:$B$74,MATCH($B83,N$57:N$76,0))</f>
        <v/>
      </c>
      <c r="O83" s="125">
        <f>INDEX($B$57:$B$74,MATCH($B83,O$57:O$76,0))</f>
        <v/>
      </c>
      <c r="P83" s="125">
        <f>INDEX($B$57:$B$74,MATCH($B83,P$57:P$76,0))</f>
        <v/>
      </c>
      <c r="Q83" s="125">
        <f>INDEX($B$57:$B$74,MATCH($B83,Q$57:Q$76,0))</f>
        <v/>
      </c>
      <c r="R83" s="125">
        <f>INDEX($B$57:$B$74,MATCH($B83,R$57:R$76,0))</f>
        <v/>
      </c>
      <c r="S83" s="125">
        <f>INDEX($B$57:$B$74,MATCH($B83,S$57:S$76,0))</f>
        <v/>
      </c>
      <c r="T83" s="125">
        <f>INDEX($B$57:$B$74,MATCH($B83,T$57:T$76,0))</f>
        <v/>
      </c>
      <c r="U83" s="125">
        <f>INDEX($B$57:$B$74,MATCH($B83,U$57:U$76,0))</f>
        <v/>
      </c>
      <c r="V83" s="125">
        <f>INDEX($B$57:$B$74,MATCH($B83,V$57:V$76,0))</f>
        <v/>
      </c>
      <c r="W83" s="125">
        <f>INDEX($B$57:$B$74,MATCH($B83,W$57:W$76,0))</f>
        <v/>
      </c>
      <c r="X83" s="125">
        <f>INDEX($B$57:$B$74,MATCH($B83,X$57:X$76,0))</f>
        <v/>
      </c>
      <c r="Y83" s="125">
        <f>INDEX($B$57:$B$74,MATCH($B83,Y$57:Y$76,0))</f>
        <v/>
      </c>
      <c r="Z83" s="125">
        <f>INDEX($B$57:$B$74,MATCH($B83,Z$57:Z$76,0))</f>
        <v/>
      </c>
      <c r="AA83" s="125">
        <f>INDEX($B$57:$B$74,MATCH($B83,AA$57:AA$76,0))</f>
        <v/>
      </c>
      <c r="AB83" s="125">
        <f>INDEX($B$57:$B$74,MATCH($B83,AB$57:AB$76,0))</f>
        <v/>
      </c>
      <c r="AC83" s="125">
        <f>INDEX($B$57:$B$74,MATCH($B83,AC$57:AC$76,0))</f>
        <v/>
      </c>
      <c r="AD83" s="125">
        <f>INDEX($B$57:$B$74,MATCH($B83,AD$57:AD$76,0))</f>
        <v/>
      </c>
      <c r="AE83" s="125">
        <f>INDEX($B$57:$B$74,MATCH($B83,AE$57:AE$76,0))</f>
        <v/>
      </c>
      <c r="AF83" s="125">
        <f>INDEX($B$57:$B$74,MATCH($B83,AF$57:AF$76,0))</f>
        <v/>
      </c>
      <c r="AG83" s="125">
        <f>INDEX($B$57:$B$74,MATCH($B83,AG$57:AG$76,0))</f>
        <v/>
      </c>
      <c r="AH83" s="67" t="n"/>
      <c r="AI83" s="67" t="n"/>
      <c r="AJ83" s="67" t="n"/>
      <c r="AK83" s="67" t="n"/>
      <c r="AL83" s="77" t="n"/>
      <c r="AM83" s="77" t="n"/>
      <c r="AN83" s="77" t="n"/>
      <c r="AO83" s="77" t="n"/>
      <c r="AP83" s="77" t="n"/>
      <c r="AQ83" s="77" t="n"/>
      <c r="AR83" s="77" t="n"/>
      <c r="AS83" s="77" t="n"/>
      <c r="AT83" s="77" t="n"/>
      <c r="AU83" s="77" t="n"/>
      <c r="AV83" s="77" t="n"/>
      <c r="AW83" s="77" t="n"/>
      <c r="AX83" s="77" t="n"/>
      <c r="AY83" s="77" t="n"/>
      <c r="AZ83" s="77" t="n"/>
      <c r="BA83" s="77" t="n"/>
      <c r="BB83" s="77" t="n"/>
      <c r="BC83" s="77" t="n"/>
      <c r="BD83" s="77" t="n"/>
      <c r="BE83" s="77" t="n"/>
      <c r="BF83" s="77" t="n"/>
      <c r="BG83" s="77" t="n"/>
      <c r="BH83" s="77" t="n"/>
      <c r="BI83" s="77" t="n"/>
      <c r="BJ83" s="77" t="n"/>
      <c r="BK83" s="77" t="n"/>
      <c r="BL83" s="77" t="n"/>
      <c r="BM83" s="77" t="n"/>
      <c r="BN83" s="77" t="n"/>
      <c r="BO83" s="77" t="n"/>
      <c r="BP83" s="77" t="n"/>
    </row>
    <row r="84" ht="12.75" customHeight="1">
      <c r="A84" s="67" t="n"/>
      <c r="B84" s="128" t="inlineStr">
        <is>
          <t>SB2</t>
        </is>
      </c>
      <c r="C84" s="125">
        <f>INDEX($B$57:$B$74,MATCH($B84,C$57:C$76,0))</f>
        <v/>
      </c>
      <c r="D84" s="125">
        <f>INDEX($B$57:$B$74,MATCH($B84,D$57:D$76,0))</f>
        <v/>
      </c>
      <c r="E84" s="125">
        <f>INDEX($B$57:$B$74,MATCH($B84,E$57:E$76,0))</f>
        <v/>
      </c>
      <c r="F84" s="125">
        <f>INDEX($B$57:$B$74,MATCH($B84,F$57:F$76,0))</f>
        <v/>
      </c>
      <c r="G84" s="125">
        <f>INDEX($B$57:$B$74,MATCH($B84,G$57:G$76,0))</f>
        <v/>
      </c>
      <c r="H84" s="125">
        <f>INDEX($B$57:$B$74,MATCH($B84,H$57:H$76,0))</f>
        <v/>
      </c>
      <c r="I84" s="125">
        <f>INDEX($B$57:$B$74,MATCH($B84,I$57:I$76,0))</f>
        <v/>
      </c>
      <c r="J84" s="125">
        <f>INDEX($B$57:$B$74,MATCH($B84,J$57:J$76,0))</f>
        <v/>
      </c>
      <c r="K84" s="125">
        <f>INDEX($B$57:$B$74,MATCH($B84,K$57:K$76,0))</f>
        <v/>
      </c>
      <c r="L84" s="125">
        <f>INDEX($B$57:$B$74,MATCH($B84,L$57:L$76,0))</f>
        <v/>
      </c>
      <c r="M84" s="125">
        <f>INDEX($B$57:$B$74,MATCH($B84,M$57:M$76,0))</f>
        <v/>
      </c>
      <c r="N84" s="125">
        <f>INDEX($B$57:$B$74,MATCH($B84,N$57:N$76,0))</f>
        <v/>
      </c>
      <c r="O84" s="125">
        <f>INDEX($B$57:$B$74,MATCH($B84,O$57:O$76,0))</f>
        <v/>
      </c>
      <c r="P84" s="125">
        <f>INDEX($B$57:$B$74,MATCH($B84,P$57:P$76,0))</f>
        <v/>
      </c>
      <c r="Q84" s="125">
        <f>INDEX($B$57:$B$74,MATCH($B84,Q$57:Q$76,0))</f>
        <v/>
      </c>
      <c r="R84" s="125">
        <f>INDEX($B$57:$B$74,MATCH($B84,R$57:R$76,0))</f>
        <v/>
      </c>
      <c r="S84" s="125">
        <f>INDEX($B$57:$B$74,MATCH($B84,S$57:S$76,0))</f>
        <v/>
      </c>
      <c r="T84" s="125">
        <f>INDEX($B$57:$B$74,MATCH($B84,T$57:T$76,0))</f>
        <v/>
      </c>
      <c r="U84" s="125">
        <f>INDEX($B$57:$B$74,MATCH($B84,U$57:U$76,0))</f>
        <v/>
      </c>
      <c r="V84" s="125">
        <f>INDEX($B$57:$B$74,MATCH($B84,V$57:V$76,0))</f>
        <v/>
      </c>
      <c r="W84" s="125">
        <f>INDEX($B$57:$B$74,MATCH($B84,W$57:W$76,0))</f>
        <v/>
      </c>
      <c r="X84" s="125">
        <f>INDEX($B$57:$B$74,MATCH($B84,X$57:X$76,0))</f>
        <v/>
      </c>
      <c r="Y84" s="125">
        <f>INDEX($B$57:$B$74,MATCH($B84,Y$57:Y$76,0))</f>
        <v/>
      </c>
      <c r="Z84" s="125">
        <f>INDEX($B$57:$B$74,MATCH($B84,Z$57:Z$76,0))</f>
        <v/>
      </c>
      <c r="AA84" s="125">
        <f>INDEX($B$57:$B$74,MATCH($B84,AA$57:AA$76,0))</f>
        <v/>
      </c>
      <c r="AB84" s="125">
        <f>INDEX($B$57:$B$74,MATCH($B84,AB$57:AB$76,0))</f>
        <v/>
      </c>
      <c r="AC84" s="125">
        <f>INDEX($B$57:$B$74,MATCH($B84,AC$57:AC$76,0))</f>
        <v/>
      </c>
      <c r="AD84" s="125">
        <f>INDEX($B$57:$B$74,MATCH($B84,AD$57:AD$76,0))</f>
        <v/>
      </c>
      <c r="AE84" s="125">
        <f>INDEX($B$57:$B$74,MATCH($B84,AE$57:AE$76,0))</f>
        <v/>
      </c>
      <c r="AF84" s="125">
        <f>INDEX($B$57:$B$74,MATCH($B84,AF$57:AF$76,0))</f>
        <v/>
      </c>
      <c r="AG84" s="125">
        <f>INDEX($B$57:$B$74,MATCH($B84,AG$57:AG$76,0))</f>
        <v/>
      </c>
      <c r="AH84" s="67" t="n"/>
      <c r="AI84" s="67" t="n"/>
      <c r="AJ84" s="67" t="n"/>
      <c r="AK84" s="6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</row>
    <row r="85" ht="19.5" customHeight="1">
      <c r="A85" s="67" t="n"/>
      <c r="B85" s="129" t="inlineStr">
        <is>
          <t>AE</t>
        </is>
      </c>
      <c r="C85" s="125">
        <f>INDEX($B$57:$B$74,MATCH($B85,C$57:C$76,0))</f>
        <v/>
      </c>
      <c r="D85" s="125">
        <f>INDEX($B$57:$B$74,MATCH($B85,D$57:D$76,0))</f>
        <v/>
      </c>
      <c r="E85" s="125">
        <f>INDEX($B$57:$B$74,MATCH($B85,E$57:E$76,0))</f>
        <v/>
      </c>
      <c r="F85" s="125">
        <f>INDEX($B$57:$B$74,MATCH($B85,F$57:F$76,0))</f>
        <v/>
      </c>
      <c r="G85" s="125">
        <f>INDEX($B$57:$B$74,MATCH($B85,G$57:G$76,0))</f>
        <v/>
      </c>
      <c r="H85" s="125">
        <f>INDEX($B$57:$B$74,MATCH($B85,H$57:H$76,0))</f>
        <v/>
      </c>
      <c r="I85" s="125">
        <f>INDEX($B$57:$B$74,MATCH($B85,I$57:I$76,0))</f>
        <v/>
      </c>
      <c r="J85" s="125">
        <f>INDEX($B$57:$B$74,MATCH($B85,J$57:J$76,0))</f>
        <v/>
      </c>
      <c r="K85" s="125">
        <f>INDEX($B$57:$B$74,MATCH($B85,K$57:K$76,0))</f>
        <v/>
      </c>
      <c r="L85" s="125">
        <f>INDEX($B$57:$B$74,MATCH($B85,L$57:L$76,0))</f>
        <v/>
      </c>
      <c r="M85" s="125">
        <f>INDEX($B$57:$B$74,MATCH($B85,M$57:M$76,0))</f>
        <v/>
      </c>
      <c r="N85" s="125">
        <f>INDEX($B$57:$B$74,MATCH($B85,N$57:N$76,0))</f>
        <v/>
      </c>
      <c r="O85" s="125">
        <f>INDEX($B$57:$B$74,MATCH($B85,O$57:O$76,0))</f>
        <v/>
      </c>
      <c r="P85" s="125">
        <f>INDEX($B$57:$B$74,MATCH($B85,P$57:P$76,0))</f>
        <v/>
      </c>
      <c r="Q85" s="125">
        <f>INDEX($B$57:$B$74,MATCH($B85,Q$57:Q$76,0))</f>
        <v/>
      </c>
      <c r="R85" s="125">
        <f>INDEX($B$57:$B$74,MATCH($B85,R$57:R$76,0))</f>
        <v/>
      </c>
      <c r="S85" s="125">
        <f>INDEX($B$57:$B$74,MATCH($B85,S$57:S$76,0))</f>
        <v/>
      </c>
      <c r="T85" s="125">
        <f>INDEX($B$57:$B$74,MATCH($B85,T$57:T$76,0))</f>
        <v/>
      </c>
      <c r="U85" s="125">
        <f>INDEX($B$57:$B$74,MATCH($B85,U$57:U$76,0))</f>
        <v/>
      </c>
      <c r="V85" s="125">
        <f>INDEX($B$57:$B$74,MATCH($B85,V$57:V$76,0))</f>
        <v/>
      </c>
      <c r="W85" s="125">
        <f>INDEX($B$57:$B$74,MATCH($B85,W$57:W$76,0))</f>
        <v/>
      </c>
      <c r="X85" s="125">
        <f>INDEX($B$57:$B$74,MATCH($B85,X$57:X$76,0))</f>
        <v/>
      </c>
      <c r="Y85" s="125">
        <f>INDEX($B$57:$B$74,MATCH($B85,Y$57:Y$76,0))</f>
        <v/>
      </c>
      <c r="Z85" s="125">
        <f>INDEX($B$57:$B$74,MATCH($B85,Z$57:Z$76,0))</f>
        <v/>
      </c>
      <c r="AA85" s="125">
        <f>INDEX($B$57:$B$74,MATCH($B85,AA$57:AA$76,0))</f>
        <v/>
      </c>
      <c r="AB85" s="125">
        <f>INDEX($B$57:$B$74,MATCH($B85,AB$57:AB$76,0))</f>
        <v/>
      </c>
      <c r="AC85" s="125">
        <f>INDEX($B$57:$B$74,MATCH($B85,AC$57:AC$76,0))</f>
        <v/>
      </c>
      <c r="AD85" s="125">
        <f>INDEX($B$57:$B$74,MATCH($B85,AD$57:AD$76,0))</f>
        <v/>
      </c>
      <c r="AE85" s="125">
        <f>INDEX($B$57:$B$74,MATCH($B85,AE$57:AE$76,0))</f>
        <v/>
      </c>
      <c r="AF85" s="125">
        <f>INDEX($B$57:$B$74,MATCH($B85,AF$57:AF$76,0))</f>
        <v/>
      </c>
      <c r="AG85" s="125">
        <f>INDEX($B$57:$B$74,MATCH($B85,AG$57:AG$76,0))</f>
        <v/>
      </c>
      <c r="AH85" s="67" t="n"/>
      <c r="AI85" s="67" t="n"/>
      <c r="AJ85" s="67" t="n"/>
      <c r="AK85" s="67" t="n"/>
      <c r="AL85" s="77" t="n"/>
      <c r="AM85" s="77" t="n"/>
      <c r="AN85" s="77" t="n"/>
      <c r="AO85" s="77" t="n"/>
      <c r="AP85" s="77" t="n"/>
      <c r="AQ85" s="77" t="n"/>
      <c r="AR85" s="77" t="n"/>
      <c r="AS85" s="77" t="n"/>
      <c r="AT85" s="77" t="n"/>
      <c r="AU85" s="77" t="n"/>
      <c r="AV85" s="77" t="n"/>
      <c r="AW85" s="77" t="n"/>
      <c r="AX85" s="77" t="n"/>
      <c r="AY85" s="77" t="n"/>
      <c r="AZ85" s="77" t="n"/>
      <c r="BA85" s="77" t="n"/>
      <c r="BB85" s="77" t="n"/>
      <c r="BC85" s="77" t="n"/>
      <c r="BD85" s="77" t="n"/>
      <c r="BE85" s="77" t="n"/>
      <c r="BF85" s="77" t="n"/>
      <c r="BG85" s="77" t="n"/>
      <c r="BH85" s="77" t="n"/>
      <c r="BI85" s="77" t="n"/>
      <c r="BJ85" s="77" t="n"/>
      <c r="BK85" s="77" t="n"/>
      <c r="BL85" s="77" t="n"/>
      <c r="BM85" s="77" t="n"/>
      <c r="BN85" s="77" t="n"/>
      <c r="BO85" s="77" t="n"/>
      <c r="BP85" s="77" t="n"/>
    </row>
    <row r="86" ht="19.5" customHeight="1">
      <c r="A86" s="67" t="n"/>
      <c r="B86" s="60" t="inlineStr">
        <is>
          <t>RESERVE</t>
        </is>
      </c>
      <c r="C86" s="60">
        <f>INDEX($B$57:$B$74,MATCH($B86,C$57:C$76,0))</f>
        <v/>
      </c>
      <c r="D86" s="60">
        <f>INDEX($B$57:$B$74,MATCH($B86,D$57:D$76,0))</f>
        <v/>
      </c>
      <c r="E86" s="60">
        <f>INDEX($B$57:$B$74,MATCH($B86,E$57:E$76,0))</f>
        <v/>
      </c>
      <c r="F86" s="60">
        <f>INDEX($B$57:$B$74,MATCH($B86,F$57:F$76,0))</f>
        <v/>
      </c>
      <c r="G86" s="60">
        <f>INDEX($B$57:$B$74,MATCH($B86,G$57:G$76,0))</f>
        <v/>
      </c>
      <c r="H86" s="60">
        <f>INDEX($B$57:$B$74,MATCH($B86,H$57:H$76,0))</f>
        <v/>
      </c>
      <c r="I86" s="60">
        <f>INDEX($B$57:$B$74,MATCH($B86,I$57:I$76,0))</f>
        <v/>
      </c>
      <c r="J86" s="60">
        <f>INDEX($B$57:$B$74,MATCH($B86,J$57:J$76,0))</f>
        <v/>
      </c>
      <c r="K86" s="60">
        <f>INDEX($B$57:$B$74,MATCH($B86,K$57:K$76,0))</f>
        <v/>
      </c>
      <c r="L86" s="60">
        <f>INDEX($B$57:$B$74,MATCH($B86,L$57:L$76,0))</f>
        <v/>
      </c>
      <c r="M86" s="60">
        <f>INDEX($B$57:$B$74,MATCH($B86,M$57:M$76,0))</f>
        <v/>
      </c>
      <c r="N86" s="60">
        <f>INDEX($B$57:$B$74,MATCH($B86,N$57:N$76,0))</f>
        <v/>
      </c>
      <c r="O86" s="60">
        <f>INDEX($B$57:$B$74,MATCH($B86,O$57:O$76,0))</f>
        <v/>
      </c>
      <c r="P86" s="60">
        <f>INDEX($B$57:$B$74,MATCH($B86,P$57:P$76,0))</f>
        <v/>
      </c>
      <c r="Q86" s="60">
        <f>INDEX($B$57:$B$74,MATCH($B86,Q$57:Q$76,0))</f>
        <v/>
      </c>
      <c r="R86" s="60">
        <f>INDEX($B$57:$B$74,MATCH($B86,R$57:R$76,0))</f>
        <v/>
      </c>
      <c r="S86" s="60">
        <f>INDEX($B$57:$B$74,MATCH($B86,S$57:S$76,0))</f>
        <v/>
      </c>
      <c r="T86" s="60">
        <f>INDEX($B$57:$B$74,MATCH($B86,T$57:T$76,0))</f>
        <v/>
      </c>
      <c r="U86" s="60">
        <f>INDEX($B$57:$B$74,MATCH($B86,U$57:U$76,0))</f>
        <v/>
      </c>
      <c r="V86" s="60">
        <f>INDEX($B$57:$B$74,MATCH($B86,V$57:V$76,0))</f>
        <v/>
      </c>
      <c r="W86" s="60">
        <f>INDEX($B$57:$B$74,MATCH($B86,W$57:W$76,0))</f>
        <v/>
      </c>
      <c r="X86" s="60">
        <f>INDEX($B$57:$B$74,MATCH($B86,X$57:X$76,0))</f>
        <v/>
      </c>
      <c r="Y86" s="60">
        <f>INDEX($B$57:$B$74,MATCH($B86,Y$57:Y$76,0))</f>
        <v/>
      </c>
      <c r="Z86" s="60">
        <f>INDEX($B$57:$B$74,MATCH($B86,Z$57:Z$76,0))</f>
        <v/>
      </c>
      <c r="AA86" s="60">
        <f>INDEX($B$57:$B$74,MATCH($B86,AA$57:AA$76,0))</f>
        <v/>
      </c>
      <c r="AB86" s="60">
        <f>INDEX($B$57:$B$74,MATCH($B86,AB$57:AB$76,0))</f>
        <v/>
      </c>
      <c r="AC86" s="60">
        <f>INDEX($B$57:$B$74,MATCH($B86,AC$57:AC$76,0))</f>
        <v/>
      </c>
      <c r="AD86" s="60">
        <f>INDEX($B$57:$B$74,MATCH($B86,AD$57:AD$76,0))</f>
        <v/>
      </c>
      <c r="AE86" s="60">
        <f>INDEX($B$57:$B$74,MATCH($B86,AE$57:AE$76,0))</f>
        <v/>
      </c>
      <c r="AF86" s="60">
        <f>INDEX($B$57:$B$74,MATCH($B86,AF$57:AF$76,0))</f>
        <v/>
      </c>
      <c r="AG86" s="60">
        <f>INDEX($B$57:$B$74,MATCH($B86,AG$57:AG$76,0))</f>
        <v/>
      </c>
      <c r="AH86" s="67" t="n"/>
      <c r="AI86" s="67" t="n"/>
      <c r="AJ86" s="67" t="n"/>
      <c r="AK86" s="6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</row>
    <row r="87" ht="19.5" customHeight="1">
      <c r="A87" s="67" t="n"/>
      <c r="B87" s="60" t="inlineStr">
        <is>
          <t>NUMBER OF DM</t>
        </is>
      </c>
      <c r="C87" s="60">
        <f>COUNTIF(C57:C74,"DM")</f>
        <v/>
      </c>
      <c r="D87" s="60">
        <f>COUNTIF(D2:D74,"DM")</f>
        <v/>
      </c>
      <c r="E87" s="60">
        <f>COUNTIF(E2:E74,"DM")</f>
        <v/>
      </c>
      <c r="F87" s="60">
        <f>COUNTIF(F57:F74,"DM")</f>
        <v/>
      </c>
      <c r="G87" s="60">
        <f>COUNTIF(G57:G74,"DM")</f>
        <v/>
      </c>
      <c r="H87" s="60">
        <f>COUNTIF(H57:H74,"DM")</f>
        <v/>
      </c>
      <c r="I87" s="60">
        <f>COUNTIF(I57:I74,"DM")</f>
        <v/>
      </c>
      <c r="J87" s="60">
        <f>COUNTIF(J57:J74,"DM")</f>
        <v/>
      </c>
      <c r="K87" s="60">
        <f>COUNTIF(K57:K74,"DM")</f>
        <v/>
      </c>
      <c r="L87" s="60">
        <f>COUNTIF(L57:L74,"DM")</f>
        <v/>
      </c>
      <c r="M87" s="60">
        <f>COUNTIF(M57:M74,"DM")</f>
        <v/>
      </c>
      <c r="N87" s="60">
        <f>COUNTIF(N57:N74,"DM")</f>
        <v/>
      </c>
      <c r="O87" s="60">
        <f>COUNTIF(O57:O74,"DM")</f>
        <v/>
      </c>
      <c r="P87" s="60">
        <f>COUNTIF(P57:P74,"DM")</f>
        <v/>
      </c>
      <c r="Q87" s="60">
        <f>COUNTIF(Q57:Q74,"DM")</f>
        <v/>
      </c>
      <c r="R87" s="60">
        <f>COUNTIF(R57:R74,"DM")</f>
        <v/>
      </c>
      <c r="S87" s="60">
        <f>COUNTIF(S57:S74,"DM")</f>
        <v/>
      </c>
      <c r="T87" s="60">
        <f>COUNTIF(T57:T74,"DM")</f>
        <v/>
      </c>
      <c r="U87" s="60">
        <f>COUNTIF(U57:U74,"DM")</f>
        <v/>
      </c>
      <c r="V87" s="60">
        <f>COUNTIF(V57:V74,"DM")</f>
        <v/>
      </c>
      <c r="W87" s="60">
        <f>COUNTIF(W57:W74,"DM")</f>
        <v/>
      </c>
      <c r="X87" s="60">
        <f>COUNTIF(X57:X74,"DM")</f>
        <v/>
      </c>
      <c r="Y87" s="60">
        <f>COUNTIF(Y57:Y74,"DM")</f>
        <v/>
      </c>
      <c r="Z87" s="60">
        <f>COUNTIF(Z57:Z74,"DM")</f>
        <v/>
      </c>
      <c r="AA87" s="60">
        <f>COUNTIF(AA57:AA74,"DM")</f>
        <v/>
      </c>
      <c r="AB87" s="60">
        <f>COUNTIF(AB57:AB74,"DM")</f>
        <v/>
      </c>
      <c r="AC87" s="60">
        <f>COUNTIF(AC57:AC74,"DM")</f>
        <v/>
      </c>
      <c r="AD87" s="60">
        <f>COUNTIF(AD57:AD74,"DM")</f>
        <v/>
      </c>
      <c r="AE87" s="60">
        <f>COUNTIF(AE57:AE74,"DM")</f>
        <v/>
      </c>
      <c r="AF87" s="60">
        <f>COUNTIF(AF57:AF74,"DM")</f>
        <v/>
      </c>
      <c r="AG87" s="60">
        <f>COUNTIF(AG57:AG74,"DM")</f>
        <v/>
      </c>
      <c r="AH87" s="67" t="n"/>
      <c r="AI87" s="67" t="n"/>
      <c r="AJ87" s="67" t="n"/>
      <c r="AK87" s="6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77" t="n"/>
      <c r="BN87" s="77" t="n"/>
      <c r="BO87" s="77" t="n"/>
      <c r="BP87" s="77" t="n"/>
    </row>
    <row r="88" ht="19.5" customHeight="1">
      <c r="A88" s="67" t="n"/>
      <c r="B88" s="60" t="inlineStr">
        <is>
          <t>NUMBER OF SB</t>
        </is>
      </c>
      <c r="C88" s="60">
        <f>COUNTIF(C57:C74,"SB1")+COUNTIF(C57:C74,"SB2")</f>
        <v/>
      </c>
      <c r="D88" s="60">
        <f>COUNTIF(D2:D74,"SB1")+COUNTIF(D2:D74,"SB2")</f>
        <v/>
      </c>
      <c r="E88" s="60">
        <f>COUNTIF(E2:E74,"SB1")+COUNTIF(E2:E74,"SB2")</f>
        <v/>
      </c>
      <c r="F88" s="60">
        <f>COUNTIF(F57:F74,"SB1")+COUNTIF(F57:F74,"SB2")</f>
        <v/>
      </c>
      <c r="G88" s="60">
        <f>COUNTIF(G57:G74,"SB1")+COUNTIF(G57:G74,"SB2")</f>
        <v/>
      </c>
      <c r="H88" s="60">
        <f>COUNTIF(H57:H74,"SB1")+COUNTIF(H57:H74,"SB2")</f>
        <v/>
      </c>
      <c r="I88" s="60">
        <f>COUNTIF(I57:I74,"SB1")+COUNTIF(I57:I74,"SB2")</f>
        <v/>
      </c>
      <c r="J88" s="60">
        <f>COUNTIF(J57:J74,"SB1")+COUNTIF(J57:J74,"SB2")</f>
        <v/>
      </c>
      <c r="K88" s="60">
        <f>COUNTIF(K57:K74,"SB1")+COUNTIF(K57:K74,"SB2")</f>
        <v/>
      </c>
      <c r="L88" s="60">
        <f>COUNTIF(L57:L74,"SB1")+COUNTIF(L57:L74,"SB2")</f>
        <v/>
      </c>
      <c r="M88" s="60">
        <f>COUNTIF(M57:M74,"SB1")+COUNTIF(M57:M74,"SB2")</f>
        <v/>
      </c>
      <c r="N88" s="60">
        <f>COUNTIF(N57:N74,"SB1")+COUNTIF(N57:N74,"SB2")</f>
        <v/>
      </c>
      <c r="O88" s="60">
        <f>COUNTIF(O57:O74,"SB1")+COUNTIF(O57:O74,"SB2")</f>
        <v/>
      </c>
      <c r="P88" s="60">
        <f>COUNTIF(P57:P74,"SB1")+COUNTIF(P57:P74,"SB2")</f>
        <v/>
      </c>
      <c r="Q88" s="60">
        <f>COUNTIF(Q57:Q74,"SB1")+COUNTIF(Q57:Q74,"SB2")</f>
        <v/>
      </c>
      <c r="R88" s="60">
        <f>COUNTIF(R57:R74,"SB1")+COUNTIF(R57:R74,"SB2")</f>
        <v/>
      </c>
      <c r="S88" s="60">
        <f>COUNTIF(S57:S74,"SB1")+COUNTIF(S57:S74,"SB2")</f>
        <v/>
      </c>
      <c r="T88" s="60">
        <f>COUNTIF(T57:T74,"SB1")+COUNTIF(T57:T74,"SB2")</f>
        <v/>
      </c>
      <c r="U88" s="60">
        <f>COUNTIF(U57:U74,"SB1")+COUNTIF(U57:U74,"SB2")</f>
        <v/>
      </c>
      <c r="V88" s="60">
        <f>COUNTIF(V57:V74,"SB1")+COUNTIF(V57:V74,"SB2")</f>
        <v/>
      </c>
      <c r="W88" s="60">
        <f>COUNTIF(W57:W74,"SB1")+COUNTIF(W57:W74,"SB2")</f>
        <v/>
      </c>
      <c r="X88" s="60">
        <f>COUNTIF(X57:X74,"SB1")+COUNTIF(X57:X74,"SB2")</f>
        <v/>
      </c>
      <c r="Y88" s="60">
        <f>COUNTIF(Y57:Y74,"SB1")+COUNTIF(Y57:Y74,"SB2")</f>
        <v/>
      </c>
      <c r="Z88" s="60">
        <f>COUNTIF(Z57:Z74,"SB1")+COUNTIF(Z57:Z74,"SB2")</f>
        <v/>
      </c>
      <c r="AA88" s="60">
        <f>COUNTIF(AA57:AA74,"SB1")+COUNTIF(AA57:AA74,"SB2")</f>
        <v/>
      </c>
      <c r="AB88" s="60">
        <f>COUNTIF(AB57:AB74,"SB1")+COUNTIF(AB57:AB74,"SB2")</f>
        <v/>
      </c>
      <c r="AC88" s="60">
        <f>COUNTIF(AC57:AC74,"SB1")+COUNTIF(AC57:AC74,"SB2")</f>
        <v/>
      </c>
      <c r="AD88" s="60">
        <f>COUNTIF(AD57:AD74,"SB1")+COUNTIF(AD57:AD74,"SB2")</f>
        <v/>
      </c>
      <c r="AE88" s="60">
        <f>COUNTIF(AE57:AE74,"SB1")+COUNTIF(AE57:AE74,"SB2")</f>
        <v/>
      </c>
      <c r="AF88" s="60">
        <f>COUNTIF(AF57:AF74,"SB1")+COUNTIF(AF57:AF74,"SB2")</f>
        <v/>
      </c>
      <c r="AG88" s="60">
        <f>COUNTIF(AG57:AG74,"SB1")+COUNTIF(AG57:AG74,"SB2")</f>
        <v/>
      </c>
      <c r="AH88" s="67" t="n"/>
      <c r="AI88" s="67" t="n"/>
      <c r="AJ88" s="67" t="n"/>
      <c r="AK88" s="6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</row>
    <row r="89" ht="19.5" customHeight="1">
      <c r="A89" s="67" t="n"/>
      <c r="B89" s="60" t="inlineStr">
        <is>
          <t>NUMBER OF CS</t>
        </is>
      </c>
      <c r="C89" s="60">
        <f>COUNTIF(C57:C74,"CS1")</f>
        <v/>
      </c>
      <c r="D89" s="60">
        <f>COUNTIF(D2:D74,"CS1")</f>
        <v/>
      </c>
      <c r="E89" s="60">
        <f>COUNTIF(E2:E74,"CS1")</f>
        <v/>
      </c>
      <c r="F89" s="60">
        <f>COUNTIF(F57:F74,"CS1")</f>
        <v/>
      </c>
      <c r="G89" s="60">
        <f>COUNTIF(G57:G74,"CS1")</f>
        <v/>
      </c>
      <c r="H89" s="60">
        <f>COUNTIF(H57:H74,"CS1")</f>
        <v/>
      </c>
      <c r="I89" s="60">
        <f>COUNTIF(I57:I74,"CS1")</f>
        <v/>
      </c>
      <c r="J89" s="60">
        <f>COUNTIF(J57:J74,"CS1")</f>
        <v/>
      </c>
      <c r="K89" s="60">
        <f>COUNTIF(K57:K74,"CS1")</f>
        <v/>
      </c>
      <c r="L89" s="60">
        <f>COUNTIF(L57:L74,"CS1")</f>
        <v/>
      </c>
      <c r="M89" s="60">
        <f>COUNTIF(M57:M74,"CS1")</f>
        <v/>
      </c>
      <c r="N89" s="60">
        <f>COUNTIF(N57:N74,"CS1")</f>
        <v/>
      </c>
      <c r="O89" s="60">
        <f>COUNTIF(O57:O74,"CS1")</f>
        <v/>
      </c>
      <c r="P89" s="60">
        <f>COUNTIF(P57:P74,"CS1")</f>
        <v/>
      </c>
      <c r="Q89" s="60">
        <f>COUNTIF(Q57:Q74,"CS1")</f>
        <v/>
      </c>
      <c r="R89" s="60">
        <f>COUNTIF(R57:R74,"CS1")</f>
        <v/>
      </c>
      <c r="S89" s="60">
        <f>COUNTIF(S57:S74,"CS1")</f>
        <v/>
      </c>
      <c r="T89" s="60">
        <f>COUNTIF(T57:T74,"CS1")</f>
        <v/>
      </c>
      <c r="U89" s="60">
        <f>COUNTIF(U57:U74,"CS1")</f>
        <v/>
      </c>
      <c r="V89" s="60">
        <f>COUNTIF(V57:V74,"CS1")</f>
        <v/>
      </c>
      <c r="W89" s="60">
        <f>COUNTIF(W57:W74,"CS1")</f>
        <v/>
      </c>
      <c r="X89" s="60">
        <f>COUNTIF(X57:X74,"CS1")</f>
        <v/>
      </c>
      <c r="Y89" s="60">
        <f>COUNTIF(Y57:Y74,"CS1")</f>
        <v/>
      </c>
      <c r="Z89" s="60">
        <f>COUNTIF(Z57:Z74,"CS1")</f>
        <v/>
      </c>
      <c r="AA89" s="60">
        <f>COUNTIF(AA57:AA74,"CS1")</f>
        <v/>
      </c>
      <c r="AB89" s="60">
        <f>COUNTIF(AB57:AB74,"CS1")</f>
        <v/>
      </c>
      <c r="AC89" s="60">
        <f>COUNTIF(AC57:AC74,"CS1")</f>
        <v/>
      </c>
      <c r="AD89" s="60">
        <f>COUNTIF(AD57:AD74,"CS1")</f>
        <v/>
      </c>
      <c r="AE89" s="60">
        <f>COUNTIF(AE57:AE74,"CS1")</f>
        <v/>
      </c>
      <c r="AF89" s="60">
        <f>COUNTIF(AF57:AF74,"CS1")</f>
        <v/>
      </c>
      <c r="AG89" s="60">
        <f>COUNTIF(AG57:AG74,"CS1")</f>
        <v/>
      </c>
      <c r="AH89" s="67" t="n"/>
      <c r="AI89" s="67" t="n"/>
      <c r="AJ89" s="67" t="n"/>
      <c r="AK89" s="6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77" t="n"/>
      <c r="BN89" s="77" t="n"/>
      <c r="BO89" s="77" t="n"/>
      <c r="BP89" s="77" t="n"/>
    </row>
    <row r="90" ht="19.5" customHeight="1">
      <c r="A90" s="67" t="n"/>
      <c r="B90" s="60" t="inlineStr">
        <is>
          <t>NUMBER OF AE</t>
        </is>
      </c>
      <c r="C90" s="60">
        <f>COUNTIF(C57:C74,"AE")</f>
        <v/>
      </c>
      <c r="D90" s="60">
        <f>COUNTIF(D2:D74,"AE")</f>
        <v/>
      </c>
      <c r="E90" s="60">
        <f>COUNTIF(E2:E74,"AE")</f>
        <v/>
      </c>
      <c r="F90" s="60">
        <f>COUNTIF(F57:F74,"AE")</f>
        <v/>
      </c>
      <c r="G90" s="60">
        <f>COUNTIF(G57:G74,"AE")</f>
        <v/>
      </c>
      <c r="H90" s="60">
        <f>COUNTIF(H57:H74,"AE")</f>
        <v/>
      </c>
      <c r="I90" s="60">
        <f>COUNTIF(I57:I74,"AE")</f>
        <v/>
      </c>
      <c r="J90" s="60">
        <f>COUNTIF(J57:J74,"AE")</f>
        <v/>
      </c>
      <c r="K90" s="60">
        <f>COUNTIF(K57:K74,"AE")</f>
        <v/>
      </c>
      <c r="L90" s="60">
        <f>COUNTIF(L57:L74,"AE")</f>
        <v/>
      </c>
      <c r="M90" s="60">
        <f>COUNTIF(M57:M74,"AE")</f>
        <v/>
      </c>
      <c r="N90" s="60">
        <f>COUNTIF(N57:N74,"AE")</f>
        <v/>
      </c>
      <c r="O90" s="60">
        <f>COUNTIF(O57:O74,"AE")</f>
        <v/>
      </c>
      <c r="P90" s="60">
        <f>COUNTIF(P57:P74,"AE")</f>
        <v/>
      </c>
      <c r="Q90" s="60">
        <f>COUNTIF(Q57:Q74,"AE")</f>
        <v/>
      </c>
      <c r="R90" s="60">
        <f>COUNTIF(R57:R74,"AE")</f>
        <v/>
      </c>
      <c r="S90" s="60">
        <f>COUNTIF(S57:S74,"AE")</f>
        <v/>
      </c>
      <c r="T90" s="60">
        <f>COUNTIF(T57:T74,"AE")</f>
        <v/>
      </c>
      <c r="U90" s="60">
        <f>COUNTIF(U57:U74,"AE")</f>
        <v/>
      </c>
      <c r="V90" s="60">
        <f>COUNTIF(V57:V74,"AE")</f>
        <v/>
      </c>
      <c r="W90" s="60">
        <f>COUNTIF(W57:W74,"AE")</f>
        <v/>
      </c>
      <c r="X90" s="60">
        <f>COUNTIF(X57:X74,"AE")</f>
        <v/>
      </c>
      <c r="Y90" s="60">
        <f>COUNTIF(Y57:Y74,"AE")</f>
        <v/>
      </c>
      <c r="Z90" s="60">
        <f>COUNTIF(Z57:Z74,"AE")</f>
        <v/>
      </c>
      <c r="AA90" s="60">
        <f>COUNTIF(AA57:AA74,"AE")</f>
        <v/>
      </c>
      <c r="AB90" s="60">
        <f>COUNTIF(AB57:AB74,"AE")</f>
        <v/>
      </c>
      <c r="AC90" s="60">
        <f>COUNTIF(AC57:AC74,"AE")</f>
        <v/>
      </c>
      <c r="AD90" s="60">
        <f>COUNTIF(AD57:AD74,"AE")</f>
        <v/>
      </c>
      <c r="AE90" s="60">
        <f>COUNTIF(AE57:AE74,"AE")</f>
        <v/>
      </c>
      <c r="AF90" s="60">
        <f>COUNTIF(AF57:AF74,"AE")</f>
        <v/>
      </c>
      <c r="AG90" s="60">
        <f>COUNTIF(AG57:AG74,"AE")</f>
        <v/>
      </c>
      <c r="AH90" s="67" t="n"/>
      <c r="AI90" s="67" t="n"/>
      <c r="AJ90" s="67" t="n"/>
      <c r="AK90" s="6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</row>
    <row r="91" ht="19.5" customHeight="1">
      <c r="A91" s="67" t="n"/>
      <c r="B91" s="60" t="inlineStr">
        <is>
          <t>TOTAL DUTY TEAM STRENGTH</t>
        </is>
      </c>
      <c r="C91" s="60">
        <f>SUM(C87:C90)</f>
        <v/>
      </c>
      <c r="D91" s="60">
        <f>SUM(D87:D90)</f>
        <v/>
      </c>
      <c r="E91" s="60">
        <f>SUM(E87:E90)</f>
        <v/>
      </c>
      <c r="F91" s="60">
        <f>SUM(F87:F90)</f>
        <v/>
      </c>
      <c r="G91" s="60">
        <f>SUM(G87:G90)</f>
        <v/>
      </c>
      <c r="H91" s="60">
        <f>SUM(H87:H90)</f>
        <v/>
      </c>
      <c r="I91" s="60">
        <f>SUM(I87:I90)</f>
        <v/>
      </c>
      <c r="J91" s="60">
        <f>SUM(J87:J90)</f>
        <v/>
      </c>
      <c r="K91" s="60">
        <f>SUM(K87:K90)</f>
        <v/>
      </c>
      <c r="L91" s="60">
        <f>SUM(L87:L90)</f>
        <v/>
      </c>
      <c r="M91" s="60">
        <f>SUM(M87:M90)</f>
        <v/>
      </c>
      <c r="N91" s="60">
        <f>SUM(N87:N90)</f>
        <v/>
      </c>
      <c r="O91" s="60">
        <f>SUM(O87:O90)</f>
        <v/>
      </c>
      <c r="P91" s="60">
        <f>SUM(P87:P90)</f>
        <v/>
      </c>
      <c r="Q91" s="60">
        <f>SUM(Q87:Q90)</f>
        <v/>
      </c>
      <c r="R91" s="60">
        <f>SUM(R87:R90)</f>
        <v/>
      </c>
      <c r="S91" s="60">
        <f>SUM(S87:S90)</f>
        <v/>
      </c>
      <c r="T91" s="60">
        <f>SUM(T87:T90)</f>
        <v/>
      </c>
      <c r="U91" s="60">
        <f>SUM(U87:U90)</f>
        <v/>
      </c>
      <c r="V91" s="60">
        <f>SUM(V87:V90)</f>
        <v/>
      </c>
      <c r="W91" s="60">
        <f>SUM(W87:W90)</f>
        <v/>
      </c>
      <c r="X91" s="60">
        <f>SUM(X87:X90)</f>
        <v/>
      </c>
      <c r="Y91" s="60">
        <f>SUM(Y87:Y90)</f>
        <v/>
      </c>
      <c r="Z91" s="60">
        <f>SUM(Z87:Z90)</f>
        <v/>
      </c>
      <c r="AA91" s="60">
        <f>SUM(AA87:AA90)</f>
        <v/>
      </c>
      <c r="AB91" s="60">
        <f>SUM(AB87:AB90)</f>
        <v/>
      </c>
      <c r="AC91" s="60">
        <f>SUM(AC87:AC90)</f>
        <v/>
      </c>
      <c r="AD91" s="60">
        <f>SUM(AD87:AD90)</f>
        <v/>
      </c>
      <c r="AE91" s="60">
        <f>SUM(AE87:AE90)</f>
        <v/>
      </c>
      <c r="AF91" s="60">
        <f>SUM(AF87:AF90)</f>
        <v/>
      </c>
      <c r="AG91" s="60">
        <f>SUM(AG87:AG90)</f>
        <v/>
      </c>
      <c r="AH91" s="67" t="n"/>
      <c r="AI91" s="67" t="n"/>
      <c r="AJ91" s="67" t="n"/>
      <c r="AK91" s="67" t="n"/>
      <c r="AL91" s="77" t="n"/>
      <c r="AM91" s="77" t="n"/>
      <c r="AN91" s="77" t="n"/>
      <c r="AO91" s="77" t="n"/>
      <c r="AP91" s="77" t="n"/>
      <c r="AQ91" s="77" t="n"/>
      <c r="AR91" s="77" t="n"/>
      <c r="AS91" s="77" t="n"/>
      <c r="AT91" s="77" t="n"/>
      <c r="AU91" s="77" t="n"/>
      <c r="AV91" s="77" t="n"/>
      <c r="AW91" s="77" t="n"/>
      <c r="AX91" s="77" t="n"/>
      <c r="AY91" s="77" t="n"/>
      <c r="AZ91" s="77" t="n"/>
      <c r="BA91" s="77" t="n"/>
      <c r="BB91" s="77" t="n"/>
      <c r="BC91" s="77" t="n"/>
      <c r="BD91" s="77" t="n"/>
      <c r="BE91" s="77" t="n"/>
      <c r="BF91" s="77" t="n"/>
      <c r="BG91" s="77" t="n"/>
      <c r="BH91" s="77" t="n"/>
      <c r="BI91" s="77" t="n"/>
      <c r="BJ91" s="77" t="n"/>
      <c r="BK91" s="77" t="n"/>
      <c r="BL91" s="77" t="n"/>
      <c r="BM91" s="77" t="n"/>
      <c r="BN91" s="77" t="n"/>
      <c r="BO91" s="77" t="n"/>
      <c r="BP91" s="77" t="n"/>
    </row>
    <row r="92" ht="19.5" customHeight="1">
      <c r="A92" s="67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  <c r="AA92" s="60" t="n"/>
      <c r="AB92" s="60" t="n"/>
      <c r="AC92" s="60" t="n"/>
      <c r="AD92" s="60" t="n"/>
      <c r="AE92" s="60" t="n"/>
      <c r="AF92" s="60" t="n"/>
      <c r="AG92" s="60" t="n"/>
      <c r="AH92" s="67" t="n"/>
      <c r="AI92" s="67" t="n"/>
      <c r="AJ92" s="67" t="n"/>
      <c r="AK92" s="6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</row>
    <row r="93" ht="19.5" customHeight="1">
      <c r="A93" s="67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  <c r="AA93" s="60" t="n"/>
      <c r="AB93" s="60" t="n"/>
      <c r="AC93" s="60" t="n"/>
      <c r="AD93" s="60" t="n"/>
      <c r="AE93" s="60" t="n"/>
      <c r="AF93" s="60" t="n"/>
      <c r="AG93" s="60" t="n"/>
      <c r="AH93" s="67" t="n"/>
      <c r="AI93" s="67" t="n"/>
      <c r="AJ93" s="67" t="n"/>
      <c r="AK93" s="67" t="n"/>
      <c r="AL93" s="77" t="n"/>
      <c r="AM93" s="77" t="n"/>
      <c r="AN93" s="77" t="n"/>
      <c r="AO93" s="77" t="n"/>
      <c r="AP93" s="77" t="n"/>
      <c r="AQ93" s="77" t="n"/>
      <c r="AR93" s="77" t="n"/>
      <c r="AS93" s="77" t="n"/>
      <c r="AT93" s="77" t="n"/>
      <c r="AU93" s="77" t="n"/>
      <c r="AV93" s="77" t="n"/>
      <c r="AW93" s="77" t="n"/>
      <c r="AX93" s="77" t="n"/>
      <c r="AY93" s="77" t="n"/>
      <c r="AZ93" s="77" t="n"/>
      <c r="BA93" s="77" t="n"/>
      <c r="BB93" s="77" t="n"/>
      <c r="BC93" s="77" t="n"/>
      <c r="BD93" s="77" t="n"/>
      <c r="BE93" s="77" t="n"/>
      <c r="BF93" s="77" t="n"/>
      <c r="BG93" s="77" t="n"/>
      <c r="BH93" s="77" t="n"/>
      <c r="BI93" s="77" t="n"/>
      <c r="BJ93" s="77" t="n"/>
      <c r="BK93" s="77" t="n"/>
      <c r="BL93" s="77" t="n"/>
      <c r="BM93" s="77" t="n"/>
      <c r="BN93" s="77" t="n"/>
      <c r="BO93" s="77" t="n"/>
      <c r="BP93" s="77" t="n"/>
    </row>
    <row r="94" ht="19.5" customHeight="1">
      <c r="A94" s="67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  <c r="AA94" s="60" t="n"/>
      <c r="AB94" s="60" t="n"/>
      <c r="AC94" s="60" t="n"/>
      <c r="AD94" s="60" t="n"/>
      <c r="AE94" s="60" t="n"/>
      <c r="AF94" s="60" t="n"/>
      <c r="AG94" s="60" t="n"/>
      <c r="AH94" s="67" t="n"/>
      <c r="AI94" s="67" t="n"/>
      <c r="AJ94" s="67" t="n"/>
      <c r="AK94" s="6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</row>
    <row r="95" ht="19.5" customHeight="1">
      <c r="A95" s="67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  <c r="AA95" s="60" t="n"/>
      <c r="AB95" s="60" t="n"/>
      <c r="AC95" s="60" t="n"/>
      <c r="AD95" s="60" t="n"/>
      <c r="AE95" s="60" t="n"/>
      <c r="AF95" s="60" t="n"/>
      <c r="AG95" s="60" t="n"/>
      <c r="AH95" s="67" t="n"/>
      <c r="AI95" s="67" t="n"/>
      <c r="AJ95" s="67" t="n"/>
      <c r="AK95" s="67" t="n"/>
      <c r="AL95" s="77" t="n"/>
      <c r="AM95" s="77" t="n"/>
      <c r="AN95" s="77" t="n"/>
      <c r="AO95" s="77" t="n"/>
      <c r="AP95" s="77" t="n"/>
      <c r="AQ95" s="77" t="n"/>
      <c r="AR95" s="77" t="n"/>
      <c r="AS95" s="77" t="n"/>
      <c r="AT95" s="77" t="n"/>
      <c r="AU95" s="77" t="n"/>
      <c r="AV95" s="77" t="n"/>
      <c r="AW95" s="77" t="n"/>
      <c r="AX95" s="77" t="n"/>
      <c r="AY95" s="77" t="n"/>
      <c r="AZ95" s="77" t="n"/>
      <c r="BA95" s="77" t="n"/>
      <c r="BB95" s="77" t="n"/>
      <c r="BC95" s="77" t="n"/>
      <c r="BD95" s="77" t="n"/>
      <c r="BE95" s="77" t="n"/>
      <c r="BF95" s="77" t="n"/>
      <c r="BG95" s="77" t="n"/>
      <c r="BH95" s="77" t="n"/>
      <c r="BI95" s="77" t="n"/>
      <c r="BJ95" s="77" t="n"/>
      <c r="BK95" s="77" t="n"/>
      <c r="BL95" s="77" t="n"/>
      <c r="BM95" s="77" t="n"/>
      <c r="BN95" s="77" t="n"/>
      <c r="BO95" s="77" t="n"/>
      <c r="BP95" s="77" t="n"/>
    </row>
  </sheetData>
  <mergeCells count="3">
    <mergeCell ref="AQ3:AQ4"/>
    <mergeCell ref="C1:S1"/>
    <mergeCell ref="AR3:AR4"/>
  </mergeCells>
  <conditionalFormatting sqref="Q23">
    <cfRule type="expression" priority="5" dxfId="136">
      <formula>WEEKDAY(T$3,2)&gt;5</formula>
    </cfRule>
    <cfRule type="expression" priority="6" dxfId="136">
      <formula>WEEKDAY(U$3,2)&gt;5</formula>
    </cfRule>
  </conditionalFormatting>
  <conditionalFormatting sqref="AC24">
    <cfRule type="expression" priority="2" dxfId="136">
      <formula>WEEKDAY(T$3,2)&gt;5</formula>
    </cfRule>
    <cfRule type="expression" priority="3" dxfId="136">
      <formula>WEEKDAY(U$3,2)&gt;5</formula>
    </cfRule>
  </conditionalFormatting>
  <conditionalFormatting sqref="G27">
    <cfRule type="expression" priority="1" dxfId="136">
      <formula>WEEKDAY(G$3,2)&gt;5</formula>
    </cfRule>
  </conditionalFormatting>
  <conditionalFormatting sqref="D28">
    <cfRule type="expression" priority="7" dxfId="136">
      <formula>WEEKDAY(G$3,2)&gt;5</formula>
    </cfRule>
    <cfRule type="expression" priority="8" dxfId="136">
      <formula>WEEKDAY(F$3,2)&gt;5</formula>
    </cfRule>
  </conditionalFormatting>
  <conditionalFormatting sqref="A1:BP95">
    <cfRule type="cellIs" priority="77" operator="equal" dxfId="155">
      <formula>"RESERVE"</formula>
    </cfRule>
  </conditionalFormatting>
  <conditionalFormatting sqref="B48:B54 C5:C95 D2:E2 D5:E56 D58:E95 F5:AG95">
    <cfRule type="containsText" priority="42" operator="between" dxfId="1388" text="CS/B">
      <formula>NOT(ISERROR(SEARCH("CS/B",B2)))</formula>
    </cfRule>
  </conditionalFormatting>
  <conditionalFormatting sqref="B48:B54 C5:C95 D2:E2 D5:E56 D58:E95 F5:I95 J4:J95 K5:Z95 AA4:AA95 AB5:AG95">
    <cfRule type="cellIs" priority="55" operator="equal" dxfId="137">
      <formula>"B"</formula>
    </cfRule>
    <cfRule type="cellIs" priority="56" operator="equal" dxfId="137">
      <formula>"AL"</formula>
    </cfRule>
    <cfRule type="cellIs" priority="57" operator="equal" dxfId="138">
      <formula>"DM"</formula>
    </cfRule>
    <cfRule type="cellIs" priority="58" operator="equal" dxfId="139">
      <formula>"CS1"</formula>
    </cfRule>
    <cfRule type="cellIs" priority="59" operator="equal" dxfId="140">
      <formula>"CS2"</formula>
    </cfRule>
    <cfRule type="cellIs" priority="60" operator="equal" dxfId="141">
      <formula>"SB1"</formula>
    </cfRule>
    <cfRule type="cellIs" priority="61" operator="equal" dxfId="142">
      <formula>"SB2"</formula>
    </cfRule>
    <cfRule type="cellIs" priority="62" operator="equal" dxfId="143">
      <formula>"AE"</formula>
    </cfRule>
  </conditionalFormatting>
  <conditionalFormatting sqref="B48:B54 C5:C79 D2:E2 D5:E56 D58:E79 F5:I79 J4:J79 K5:Z79 AA4:AA79 AB5:AG79">
    <cfRule type="cellIs" priority="64" operator="equal" dxfId="137">
      <formula>"DB"</formula>
    </cfRule>
    <cfRule type="containsText" priority="65" operator="between" dxfId="144" text="$AM">
      <formula>NOT(ISERROR(SEARCH("$AM",B2)))</formula>
    </cfRule>
    <cfRule type="containsText" priority="66" operator="between" dxfId="145" text="$PM">
      <formula>NOT(ISERROR(SEARCH("$PM",B2)))</formula>
    </cfRule>
    <cfRule type="containsText" priority="67" operator="between" dxfId="146" text="$L">
      <formula>NOT(ISERROR(SEARCH("$L",B2)))</formula>
    </cfRule>
    <cfRule type="containsText" priority="68" operator="between" dxfId="147" text="$BTP">
      <formula>NOT(ISERROR(SEARCH("$BTP",B2)))</formula>
    </cfRule>
    <cfRule type="containsText" priority="69" operator="between" dxfId="148" text="$M">
      <formula>NOT(ISERROR(SEARCH("$M",B2)))</formula>
    </cfRule>
    <cfRule type="containsText" priority="71" operator="between" dxfId="149" text="$N">
      <formula>NOT(ISERROR(SEARCH("$N",B2)))</formula>
    </cfRule>
    <cfRule type="containsText" priority="72" operator="between" dxfId="150" text="$FC">
      <formula>NOT(ISERROR(SEARCH("$FC",B2)))</formula>
    </cfRule>
    <cfRule type="containsText" priority="73" operator="between" dxfId="151" text="OAL">
      <formula>NOT(ISERROR(SEARCH("OAL",B2)))</formula>
    </cfRule>
    <cfRule type="containsText" priority="74" operator="between" dxfId="152" text="S+">
      <formula>NOT(ISERROR(SEARCH("S+",B2)))</formula>
    </cfRule>
    <cfRule type="containsText" priority="75" operator="between" dxfId="153" text="EX-D">
      <formula>NOT(ISERROR(SEARCH("EX-D",B2)))</formula>
    </cfRule>
  </conditionalFormatting>
  <conditionalFormatting sqref="B48:B54 C3:C79 D2:E56 D58:E79 F3:S79 T2:X79 Y3:AG79">
    <cfRule type="expression" priority="70" dxfId="136">
      <formula>WEEKDAY(D$3,2)&gt;5</formula>
    </cfRule>
  </conditionalFormatting>
  <conditionalFormatting sqref="B48:B54 C6:C7 C9:C27 C29 C32 C34 C36 C40:C62 C69 C75:K76 D5 D9 D11:D12 D22:D30 D32:D34 D42 D46 D48:D55 D61:I62 E5:E9 E11:E26 E29 E31:E32 E36:E56 E58:E59 F5:F12 F22:F27 F29:F31 F34 F36 F38:F39 F42:F43 F46:G46 F48:G55 F65 G5:G11 G13:G21 G24:G30 G32 G34:G35 G38:G40 G42 H6:H28 H31:I32 H36 H39:I39 H41:H43 H46:H59 H65:H67 H69:H72 I5 I10:I27 I29 I35 I41:I42 I46 I48:I55 J4:J5 J7:J8 J10:J21 J23 J25 J27:J32 J35:J58 J60:K62 K5 K7 K11:K22 K24:K29 K32:L32 K34:K35 K38:K42 K44:K57 K67 K71 L5:L6 L11:L12 L19 L22:L30 L34 L36 L39:L57 L59:L63 L65 L68:L69 L74:L76 M5:M9 M11 M13:M34 M36:M37 M39:M42 M44:M56 M58:M62 M75:T76 N5:N7 N9 N11:N12 N22:N25 N27:N29 N31:N32 N34 N37:N40 N46 N48:N55 N57 N61:P62 O5:P6 O8:P8 O11:O25 O27:O32 O34:O35 O37:O38 O40:P40 O42:O55 P11 P13:P28 P31:P34 P38 P45:P46 P48:P55 Q5 Q8:Q11 Q13:Q27 Q29:Q31 Q34 Q43 Q45:Q56 Q59:Q62 Q72:R72 R9:R11 R13:R21 R23:R32 R34:R37 R41 R43:R57 R60:R62 R66 S5:S6 S8:S9 S11 S13:S19 S21:S32 S34 S36 S38:S43 S45:U46 S48:U55 S57 S61 S70 T6:T7 T10:T12 T14:T15 T23 T25 T27:T31 T33 T35 T38:T40 T42:T43 T61:T62 T68:U68 U6 U8:U9 U11:U22 U24:U28 U30 U33:U34 U38 U42 U58 U61:U66 U70:U79 V5:V38 V40:V58 V61:V62 V75:Y76 W5:W7 W9 W11:W26 W29 W31:W35 W39:W57 W59:W62 X6:X8 X11:X23 X25:X27 X29:X37 X40:X62 Y5:Z7 Y9:Y56 Y58:Y62 Y68 Y70 Y72:Y73 Z9:Z22 Z24:Z30 Z32:Z76 AA5:AA10 AA12:AA59 AA61:AA69 AA71:AA76 AB5:AB8 AB10:AC59 AB61:AD76 AC5 AC7:AC8 AD5:AD6 AD8:AE8 AD10:AD33 AD36:AD37 AD39 AD41:AD59 AE10:AE22 AE24:AE34 AE37 AE39:AE46 AE48:AG55 AE57 AE60:AE63 AE68:AE70 AE72:AE76 AF7:AF8 AF10:AF12 AF14:AF15 AF22:AF34 AF37:AF39 AF42:AF43 AF45:AG46 AF58:AF59 AF61:AG61 AF69 AF75:AG76 AG7:AG10 AG12:AG33 AG39 AG41:AG42 AG57 AG59 AG68:AG69">
    <cfRule type="containsText" priority="76" operator="between" dxfId="154" text="VACC">
      <formula>NOT(ISERROR(SEARCH("VACC",B4)))</formula>
    </cfRule>
  </conditionalFormatting>
  <conditionalFormatting sqref="B48:B54 C5:C7 C9:C27 C29:C32 C34 C36 C40:C76 D5 D9 D11:D12 D22:D30 D32:D34 D42 D46 D48:D55 D61:J62 D75:K76 E5:E9 E11:E21 E23:E26 E29 E31:E32 E36:E56 E58:E59 F5:F12 F22:F27 F29:F31 F34 F36 F38:F39 F42:F43 F46:G46 F48:G55 F65 G5:G11 G13:G21 G24:G30 G32 G34:G35 G38:G40 G42 H6:H28 H31:J32 H36 H39:I39 H41:H43 H46:H59 H65:H67 H69:H72 I5:K5 I10:I27 I29 I35 I41:I42 I46:J46 I48:J55 J7:J8 J10:J12 J25 J27:J28 J35:J36 J38:J42 K11:K22 K24:K25 K27 K29 K32:L32 K34:K35 K39:K42 K44:K57 K60:K62 K67 K71 L5:L6 L11:L12 L19 L22:L28 L30:M30 L34 L36 L39:L57 L59:L63 L65 L68:L69 L74:L76 M5:M9 M11 M13:M21 M23:M28 M32:M34 M36:M37 M39:M42 M44:M56 M58:M62 M75:Y76 N5:N7 N9 N11:N12 N23:N25 N27 N29 N32:O32 N34:O34 N37:N40 N46 N48:N55 N61:P62 O5:P6 O8 O11:O25 O27:O30 O37:O38 O40:P40 O42:O55 P11 P13:P21 P23:P25 P27:P28 P32:P34 P38 P45:P46 P48:P55 Q5:R5 Q9:Q11 Q13:Q27 Q30 Q33:Q34 Q43 Q45:Q56 Q59:Q62 Q72:R72 R7:R11 R13:R32 R34:R38 R40:R57 R60:R62 R66 S8:S9 S11 S13:S19 S21:S25 S27:T28 S30:S32 S34 S36 S38:S39 S41:S43 S45:V46 S48:V55 S57 S61 S70 T6:T7 T10:T12 T14:T15 T23 T25 T30:U30 T35 T38:T40 T42:T43 T61:V62 T68 U8:U9 U11:U22 U24:U27 U34 U38:V38 U42 V5 V7:V12 V14:V15 V22:V23 V25:V26 V29:V32 V34:V35 V42:V43 W5:W7 W9 W11:W26 W29 W31:W35 W39:W57 W59:W62 X7:Z7 X11:X23 X25 X27 X29:X30 X34 X36:X37 X40:X62 Y10:Y26 Y31 Y43 Y45:Y46 Y48:Y55 Y58:Y62 Y68 Y70 Y72 Z5 Z9 Z11 Z13:Z22 Z27:Z29 Z41 Z44:Z56 Z58:Z76 AA10 AA12:AA22 AA24 AA26 AA32 AA42 AA45:AA56 AA58:AA59 AA61:AA69 AA71:AA72 AA75:AA76 AB5:AB6 AB10:AB11 AB14:AC15 AB22:AB25 AB27 AB31 AB34 AB40:AB42 AB44:AB59 AB61:AD76 AC5:AD5 AC10:AD12 AC24 AC26:AC27 AC29:AC35 AC39:AE39 AC41:AC59 AD8:AE8 AD14:AD22 AD24:AE25 AD27 AD29 AD31 AD33 AD36 AD42:AD59 AE10 AE12:AE22 AE28:AE30 AE32 AE34 AE37 AE41 AE43:AE46 AE48:AG55 AE57 AE60:AE63 AE68:AE70 AE72:AE76 AF7:AF8 AF10:AF11 AF14:AF15 AF23:AF24 AF30:AF34 AF37:AF39 AF43 AF45:AG46 AF58:AF59 AF61:AG61 AF69:AG69 AF75:AG76 AG7:AG10 AG12:AG21 AG23:AG26 AG31 AG39 AG59">
    <cfRule type="cellIs" priority="11" operator="equal" dxfId="137">
      <formula>"B"</formula>
    </cfRule>
    <cfRule type="cellIs" priority="12" operator="equal" dxfId="137">
      <formula>"AL"</formula>
    </cfRule>
    <cfRule type="cellIs" priority="13" operator="equal" dxfId="138">
      <formula>"DM"</formula>
    </cfRule>
    <cfRule type="cellIs" priority="14" operator="equal" dxfId="139">
      <formula>"CS1"</formula>
    </cfRule>
    <cfRule type="cellIs" priority="15" operator="equal" dxfId="140">
      <formula>"CS2"</formula>
    </cfRule>
    <cfRule type="cellIs" priority="16" operator="equal" dxfId="141">
      <formula>"SB1"</formula>
    </cfRule>
    <cfRule type="cellIs" priority="17" operator="equal" dxfId="142">
      <formula>"SB2"</formula>
    </cfRule>
    <cfRule type="cellIs" priority="18" operator="equal" dxfId="143">
      <formula>"AE"</formula>
    </cfRule>
    <cfRule type="cellIs" priority="19" operator="equal" dxfId="137">
      <formula>"DB"</formula>
    </cfRule>
    <cfRule type="containsText" priority="20" operator="between" dxfId="144" text="$AM">
      <formula>NOT(ISERROR(SEARCH("$AM",B5)))</formula>
    </cfRule>
    <cfRule type="containsText" priority="21" operator="between" dxfId="145" text="$PM">
      <formula>NOT(ISERROR(SEARCH("$PM",B5)))</formula>
    </cfRule>
    <cfRule type="containsText" priority="22" operator="between" dxfId="146" text="$L">
      <formula>NOT(ISERROR(SEARCH("$L",B5)))</formula>
    </cfRule>
    <cfRule type="containsText" priority="23" operator="between" dxfId="147" text="$BTP">
      <formula>NOT(ISERROR(SEARCH("$BTP",B5)))</formula>
    </cfRule>
    <cfRule type="containsText" priority="24" operator="between" dxfId="148" text="$M">
      <formula>NOT(ISERROR(SEARCH("$M",B5)))</formula>
    </cfRule>
    <cfRule type="containsText" priority="25" operator="between" dxfId="149" text="$N">
      <formula>NOT(ISERROR(SEARCH("$N",B5)))</formula>
    </cfRule>
    <cfRule type="containsText" priority="26" operator="between" dxfId="150" text="$FC">
      <formula>NOT(ISERROR(SEARCH("$FC",B5)))</formula>
    </cfRule>
    <cfRule type="containsText" priority="27" operator="between" dxfId="151" text="OAL">
      <formula>NOT(ISERROR(SEARCH("OAL",B5)))</formula>
    </cfRule>
    <cfRule type="containsText" priority="28" operator="between" dxfId="152" text="S+">
      <formula>NOT(ISERROR(SEARCH("S+",B5)))</formula>
    </cfRule>
    <cfRule type="containsText" priority="29" operator="between" dxfId="153" text="EX-D">
      <formula>NOT(ISERROR(SEARCH("EX-D",B5)))</formula>
    </cfRule>
  </conditionalFormatting>
  <conditionalFormatting sqref="B48:B54 C6:C7 C9:C27 C29 C32 C34 C36 C40:C62 C69 C75:K76 D5 D9 D11:D12 D22:D30 D32:D34 D42 D46 D48:D55 D61:J62 E5:E9 E11:E21 E23:E26 E28:E29 E31:E32 E36:E56 E58:E59 F5:F12 F22:F27 F29:F31 F34 F36 F38:F39 F42:F43 F46:G46 F48:G55 F65 G5:G11 G13:G21 G24:G30 G32 G34:G35 G38:G40 G42 H6:H28 H31:I32 H36 H39:I39 H41:H43 H46:H59 H65:H67 H69:H72 I5:L5 I10:I27 I29 I35 I41:I42 I46:J46 I48:J55 J7:J8 J10:J12 J25 J27:J28 J30:J32 J35:J42 K11:K22 K24:K27 K29 K32:L32 K34:K35 K39:K42 K44:K57 K60:K62 K67 K71 L11:L12 L19 L22:L30 L34 L36 L39:L57 L59:L63 L65 L68:L69 L74:L76 M5:M9 M11 M13:M21 M23:M34 M36:M37 M39:M42 M44:M56 M58:M62 M75:N76 N5:N7 N9 N11:N12 N23:N25 N27 N29 N31:N32 N34:O34 N37:N40 N46:P46 N48:P55 N61:P62 O5:P6 O8 O11:O22 O24:O25 O27:O32 O37 O40:P40 O42:O44 O76:Q76 P11 P13:P21 P23:P28 P31:P34 P38 Q5 Q9:R11 Q13:Q27 Q30:Q31 Q34 Q43 Q46:Q56 Q59:Q62 Q72:R72 R13:R21 R23:R32 R34:R37 R41 R43:R56 R60:R62 R66 R75:R76 S8:S9 S11 S13:S19 S21:S25 S27 S30:S32 S34 S36 S38:S39 S41:S43 S46:U46 S48:U55 S57 S61 S70 S76:U76 T6:T7 T10:T12 T14:T15 T23 T25 T27:T31 T35 T38:T40 T42:T43 T61:V62 T68 U8:U9 U11:U22 U24:U27 U30 U34 U38 U42 V5 V7:V23 V25:V26 V29:V35 V37:V38 V40 V42:V58 V75:X76 W5:W7 W9 W11:W26 W29 W31:W35 W39:W57 W59:W62 X7:Z7 X11:X23 X25 X27 X29:X30 X34 X36:X37 X40:X62 Y9:Y26 Y37 Y42:Y43 Y46 Y48:Y55 Y58:Y62 Y68 Y70 Y72 Y76 Z5:AA5 Z9 Z11:Z22 Z27:Z29 Z32:AA32 Z36 Z40:Z42 Z44:AA56 Z58:Z76 AA7:AA10 AA12:AA22 AA24:AA27 AA29:AA30 AA36:AB42 AA58:AA59 AA61:AA69 AA71:AA72 AA75:AA76 AB5:AB6 AB8 AB10:AB27 AB30:AB32 AB34 AB44:AB59 AB61:AD76 AC5:AD5 AC7:AC8 AC10:AD12 AC14:AC15 AC24:AC35 AC39:AC59 AD8:AE8 AD14:AD22 AD24:AE25 AD27 AD29:AD33 AD36:AD37 AD39 AD42:AD59 AE10:AE22 AE28:AE32 AE34 AE37 AE39:AE46 AE48:AG55 AE57 AE60:AE63 AE68:AE70 AE72:AE76 AF7:AF8 AF10:AF11 AF14:AF15 AF23:AF24 AF29:AF34 AF37:AF39 AF43 AF46:AG46 AF58:AF59 AF61:AG61 AF69:AG69 AF76:AG76 AG7:AG10 AG12:AG21 AG23:AG26 AG29 AG31 AG39 AG42 AG59">
    <cfRule type="expression" priority="30" dxfId="136">
      <formula>WEEKDAY(#REF!,2)&gt;5</formula>
    </cfRule>
  </conditionalFormatting>
  <conditionalFormatting sqref="B48:B54 C6:C7 C9:C27 C29 C32 C34 C36 C40:C62 C75:K76 D5 D9 D11:D12 D22:D30 D32:D34 D42 D46 D48:D55 D61:I62 E5:E9 E11:E26 E29 E31:E32 E36:E56 E58:E59 F5:F12 F22:F27 F29:F31 F34 F36 F38:F39 F42:F43 F46:G46 F48:G55 F65 G5:G11 G13:G21 G24:G30 G32 G34:G35 G38:G40 G42 H6:H28 H31:I32 H36 H39:I39 H41:H43 H46:H59 H65:H67 H69:H72 I5:K5 I10:I27 I29 I35 I41:I42 I46 I48:I55 J7:J8 J10:J21 J23 J25 J27:J32 J35:J58 J60:K62 K7 K11:K22 K24:K29 K32:L32 K34:K35 K38:K42 K44:K57 K67 K71 L5:L6 L11:L12 L19 L22:L30 L34 L36 L39:L57 L59:L63 L65 L68:L69 L74:L76 M5:M9 M11 M13:M34 M36:M37 M39:M42 M44:M56 M58:M62 M75:T76 N5:N7 N9 N11:N12 N22:N25 N27:N29 N31:N32 N34 N37:N40 N46 N48:N55 N57 N61:P62 O5:P6 O8:P8 O11:O25 O27:O32 O34:O35 O37:O38 O40:P40 O42:O55 P11 P13:P28 P31:P34 P38 P45:P46 P48:P55 Q5 Q8:Q11 Q13:Q27 Q29:Q31 Q34:S34 Q43 Q45:Q56 Q59:Q62 Q72:R72 R9:R11 R13:R21 R23:R32 R36:R37 R41 R43:R57 R60:R62 R66 S5:S6 S8:S9 S11 S13:S19 S21:S32 S36 S38:S43 S45:U46 S48:U55 S57 S61 S70 T6:T7 T10:T12 T14:T15 T23 T25 T27:T31 T33 T35 T38:T40 T42:T43 T61:T62 T68:U68 U6 U8:U9 U11:U22 U24:U28 U30 U33:U34 U38 U42 U58 U61:U66 U70:U79 V5:V38 V40:V58 V61:V62 V75:Y76 W5:W7 W9 W11:W26 W29 W31:W35 W39:W57 W59:W62 X6:X8 X11:X23 X25:X27 X29:X37 X40:X62 Y5:Z7 Y9:Y56 Y58:Y62 Y68 Y70 Y72:Y73 Z9:Z22 Z24:Z30 Z32:Z76 AA5:AA10 AA12:AA59 AA61:AA69 AA71:AA76 AB5:AB8 AB10:AC59 AB61:AD76 AC5 AC7:AC8 AD5:AD6 AD8:AE8 AD10:AD33 AD36:AD37 AD39 AD41:AD59 AE10:AE22 AE24:AE34 AE37 AE39:AE46 AE48:AG55 AE57 AE60:AE63 AE68:AE70 AE72:AE76 AF7:AF8 AF10:AF12 AF14:AF15 AF22:AF34 AF37:AF39 AF42:AF43 AF45:AG46 AF58:AF59 AF61:AG61 AF69 AF75:AG76 AG7:AG10 AG12:AG33 AG39 AG41:AG42 AG57 AG59 AG68:AG69">
    <cfRule type="cellIs" priority="34" operator="equal" dxfId="137">
      <formula>"B"</formula>
    </cfRule>
    <cfRule type="cellIs" priority="35" operator="equal" dxfId="137">
      <formula>"AL"</formula>
    </cfRule>
    <cfRule type="cellIs" priority="36" operator="equal" dxfId="138">
      <formula>"DM"</formula>
    </cfRule>
    <cfRule type="cellIs" priority="37" operator="equal" dxfId="139">
      <formula>"CS1"</formula>
    </cfRule>
    <cfRule type="cellIs" priority="38" operator="equal" dxfId="140">
      <formula>"CS2"</formula>
    </cfRule>
    <cfRule type="cellIs" priority="39" operator="equal" dxfId="141">
      <formula>"SB1"</formula>
    </cfRule>
    <cfRule type="cellIs" priority="40" operator="equal" dxfId="142">
      <formula>"SB2"</formula>
    </cfRule>
    <cfRule type="cellIs" priority="41" operator="equal" dxfId="143">
      <formula>"AE"</formula>
    </cfRule>
    <cfRule type="cellIs" priority="43" operator="equal" dxfId="137">
      <formula>"DB"</formula>
    </cfRule>
    <cfRule type="containsText" priority="44" operator="between" dxfId="144" text="$AM">
      <formula>NOT(ISERROR(SEARCH("$AM",B5)))</formula>
    </cfRule>
    <cfRule type="containsText" priority="45" operator="between" dxfId="145" text="$PM">
      <formula>NOT(ISERROR(SEARCH("$PM",B5)))</formula>
    </cfRule>
    <cfRule type="containsText" priority="46" operator="between" dxfId="146" text="$L">
      <formula>NOT(ISERROR(SEARCH("$L",B5)))</formula>
    </cfRule>
    <cfRule type="containsText" priority="47" operator="between" dxfId="147" text="$BTP">
      <formula>NOT(ISERROR(SEARCH("$BTP",B5)))</formula>
    </cfRule>
    <cfRule type="containsText" priority="48" operator="between" dxfId="148" text="$M">
      <formula>NOT(ISERROR(SEARCH("$M",B5)))</formula>
    </cfRule>
    <cfRule type="containsText" priority="49" operator="between" dxfId="149" text="$N">
      <formula>NOT(ISERROR(SEARCH("$N",B5)))</formula>
    </cfRule>
    <cfRule type="containsText" priority="50" operator="between" dxfId="150" text="$FC">
      <formula>NOT(ISERROR(SEARCH("$FC",B5)))</formula>
    </cfRule>
    <cfRule type="containsText" priority="51" operator="between" dxfId="151" text="OAL">
      <formula>NOT(ISERROR(SEARCH("OAL",B5)))</formula>
    </cfRule>
    <cfRule type="containsText" priority="52" operator="between" dxfId="152" text="S+">
      <formula>NOT(ISERROR(SEARCH("S+",B5)))</formula>
    </cfRule>
    <cfRule type="containsText" priority="53" operator="between" dxfId="153" text="EX-D">
      <formula>NOT(ISERROR(SEARCH("EX-D",B5)))</formula>
    </cfRule>
    <cfRule type="expression" priority="54" dxfId="136">
      <formula>WEEKDAY(#REF!,2)&gt;5</formula>
    </cfRule>
  </conditionalFormatting>
  <conditionalFormatting sqref="BO5:BP79">
    <cfRule type="cellIs" priority="63" operator="lessThan" dxfId="155">
      <formula>1</formula>
    </cfRule>
  </conditionalFormatting>
  <conditionalFormatting sqref="G9 S32 S39 S42 S57 S70 T10 U8 V22 V25 W7:Z7 W29 W40 X25 X30 Y10 Z13:Z19 Z21 Z61:Z62 AA10 AA12 AB34 AC29 AD36 AE32 AF43 AG12">
    <cfRule type="expression" priority="31" dxfId="136">
      <formula>WEEKDAY(Y$3,2)&gt;5</formula>
    </cfRule>
  </conditionalFormatting>
  <conditionalFormatting sqref="S39 S42 T10 U8 U58 U63:U66 U68 U70:U79 V22 V25 W7:Z7 W29 W40 X25 X30 Y10 Z9 Z13:Z19 Z21 Z61:Z62 AA10 AA12 AB34 AC29 AD36 AE32 AF43 AG12">
    <cfRule type="expression" priority="32" dxfId="136">
      <formula>WEEKDAY(X$3,2)&gt;5</formula>
    </cfRule>
  </conditionalFormatting>
  <conditionalFormatting sqref="C9 C23:F23 C34:D34 F34:G34 G9 R23:S23 R25:R26 R35 S32 S57 S70">
    <cfRule type="expression" priority="33" dxfId="136">
      <formula>WEEKDAY(U$3,2)&gt;5</formula>
    </cfRule>
  </conditionalFormatting>
  <conditionalFormatting sqref="D9 E25 F31 G35">
    <cfRule type="expression" priority="4" dxfId="136">
      <formula>WEEKDAY(F$3,2)&gt;5</formula>
    </cfRule>
  </conditionalFormatting>
  <conditionalFormatting sqref="D9 E25 F31 G28:H28 G35 H23 H32 M28 R29 T27">
    <cfRule type="expression" priority="9" dxfId="136">
      <formula>WEEKDAY(E$3,2)&gt;5</formula>
    </cfRule>
  </conditionalFormatting>
  <conditionalFormatting sqref="C29 D26:E26">
    <cfRule type="expression" priority="10" dxfId="136">
      <formula>WEEKDAY(E$3,2)&gt;5</formula>
    </cfRule>
  </conditionalFormatting>
  <conditionalFormatting sqref="AB65 AC57:AD57">
    <cfRule type="cellIs" priority="78" operator="equal" dxfId="1735">
      <formula>"CS"</formula>
    </cfRule>
  </conditionalFormatting>
  <dataValidations count="4">
    <dataValidation sqref="B5:B8 B10:B23 B25:B26 B28:B30 B32 B61:B62 C63:U63 C64 C65:E65 C68:G68 C70:C73 C74:G74 C77 C78:L79 D40 D67:E67 D69:L69 E2 E60 E64 E70:L70 E71:E73 E77:H77 F58:G58 G67:H67 G71:AG71 G72:L72 H65:I65 I64:J64 I68:K68 I73:L74 J40 J59:J60 J66:L66 J67 J77 K23 K65:L65 L64 M67:O67 N64:O64 N65 N66:P66 N68:P70 N72 N73:O73 N74 N77 N78:P79 P30 P65 P72 P74 R66 S58 S59:T59 S64:U64 S67:S68 S72:U72 S73:V73 S74 S78:S79 T66:U66 T69:T70 U68 U74:U75 U77:V77 U78:AG79 W67 X64:Y64 X69:AD69 X70 X72:X73 X74:Z74 X77 Y59:Y60 Y68 Z31 AA60:AD60 AC66:AF66 AC74:AG74 AE64:AG64 AE67:AG67 AF62:AG62 AF65:AG65 AF70:AG70 AF72:AG73 AF75" showDropDown="1" showInputMessage="0" showErrorMessage="0" allowBlank="1" type="list">
      <formula1>'Setting key Duty'!$B$7:$B$56</formula1>
    </dataValidation>
    <dataValidation sqref="C8:C10 C11:Z11 C12:E12 C13:C21 C22:F22 C23:I23 C24:P24 C25:D25 C27:D27 C29:E31 C32:H32 C33:D33 C35:E35 C36 C38 C42:M42 C43:F45 C46:AG46 C56:O56 C58 C60:D60 C61:AG61 C62:Q62 C66 C75:N75 C76:AG76 D5 D26:F26 D28:H28 D59:F59 E9:G9 E10 E13:E21 E34:H34 E36:I36 E37:G37 E38:F38 E39:G39 E40:F40 E41:G41 E58 F7:H7 F65 G25 G27:I27 G29:G30 G33:H33 G57:J57 H40 H43 H58:O58 H59 I30 I31:J31 I35:M35 I44:I45 I60 J5 J12:L12 J13:K18 J19:L19 J20:K21 J22 J25:J26 J28:L28 J33:N33 J34 J37:L38 J39:M39 J41:N41 J43:K43 K32:M32 K40 K44:O44 K45:N45 K60:N60 K67 L6 L10 L22:Q22 L26:M26 L36:M36 L59:Q59 M9:N9 M31:T31 M40:Q40 N12:P12 N13:O13 N14:AG15 N16:O16 N17 N18:O21 N23:O23 N28:V28 N29:O29 N37 O5:O6 O25 O26:Q26 O27 O32 O34 O35:P35 O36 O43 O57 P17:S17 P33:Q33 P38:W38 P42 Q9:R10 Q13:S13 Q16:S16 Q18:S19 Q20:R20 Q21:S21 Q23:T23 Q29:R29 Q30 Q36 Q37:S37 Q43:T43 Q66 Q72 R39 S8 S22 S24 S30:U30 S33 S35:T35 S41 S42:T42 S44:T44 S56:W56 S60 S75 T10 T12 T25:V25 T27:U27 T29 T36:U36 T40 T58 T62:U62 T68 T74 T78:T79 U5 U13:Y13 U16:Y21 U26:W26 U33:V33 U34 U57:W57 U59:U60 V8:V9 V12 V22:W22 V31 V32:W32 V43:Y43 V44 V58 W7:Z7 W29:Z29 W30 W39:Z39 W59 W62:Z62 X12:Z12 X24 X25:AE25 X27 X28:AG28 X37:Z37 X44:Y44 Y9:Y10 Y22:Y23 Y26:AA26 Y35:AB35 Y36 Y38 Y56 Y57:Z58 Y70 Y72 Z32:AC32 Z33:AB33 Z40:Z41 Z60 Z73 AA5:AE5 AA8:AC8 AA23:AB23 AA24:AG24 AA27 AA30 AA34 AA36 AA44:AE44 AB6 AB29 AB39 AB62 AB75 AC26:AE26 AC31 AC36:AG36 AC37:AD37 AD12 AD23:AG23 AD29 AD30:AG30 AE27:AG27 AE31 AE32:AG32 AE33 AE38 AE41 AE56:AG57 AE62 AE72:AE73 AF8:AG8 AF16:AF21 AF22:AG22 AF29:AG29 AF35 AF37:AG37 AF42 AF60:AG60 AG7 AG25 AG33:AG34 AG38 AG40:AG41 AG43:AG44 AG47 AG58 AG66 AG68" showDropDown="0" showInputMessage="0" showErrorMessage="0" allowBlank="1" type="custom">
      <formula1>NOT(ISERROR(SEARCH((#REF!),(C5))))</formula1>
    </dataValidation>
    <dataValidation sqref="C59 D8:D9 E25 F31 G35 J7 K10 L23 L40 M13:M21 M30 N39 O33 O42 P23 Q56 Q60 R26:S26 R32:S32 S39 S57 S70 T9 U8 V7 V23 W41:X41 X22:X23 X30 Y42 Z13:AA13 Z16:AA21 Z36 Z44 Z56:AD56 AA10 AA12 AA22:AB22 AA41:AC41 AA42 AA59:AB59 AB11 AB34:AE34 AB40 AB58:AC58 AB65 AC27:AD27 AC29 AC33 AC35 AC57 AC62:AD62 AC64 AC70:AE70 AD16:AD21 AD22:AE22 AD31 AD59 AE29 AE37 AE60 AE68 AF33 AF38 AF43 AF58 AF59:AG59 AG9 AG12:AG13 AG16:AG21 AG31" showDropDown="1" showInputMessage="0" showErrorMessage="0" allowBlank="1" type="list">
      <formula1>'Setting key Duty'!$B$7:$B$54</formula1>
    </dataValidation>
    <dataValidation sqref="C47:AF47 C48:AG55 C80:AG85" showDropDown="1" showInputMessage="0" showErrorMessage="0" allowBlank="1" type="list">
      <formula1>'Setting key Duty'!$B$7:$B$23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4" sqref="A14"/>
    </sheetView>
  </sheetViews>
  <sheetFormatPr baseColWidth="8" defaultColWidth="9.142857142857141" defaultRowHeight="12.75"/>
  <cols>
    <col width="51" customWidth="1" min="1" max="1"/>
    <col width="15" customWidth="1" min="3" max="3"/>
    <col width="14.7142857142857" customWidth="1" min="4" max="4"/>
    <col width="16.2857142857143" customWidth="1" style="449" min="5" max="5"/>
    <col width="19" customWidth="1" min="6" max="8"/>
    <col width="46.5714285714286" customWidth="1" min="9" max="9"/>
    <col width="15" customWidth="1" min="11" max="11"/>
    <col width="14.7142857142857" customWidth="1" min="12" max="12"/>
    <col width="16.2857142857143" customWidth="1" style="449" min="13" max="13"/>
    <col width="19" customWidth="1" min="14" max="14"/>
  </cols>
  <sheetData>
    <row r="1">
      <c r="A1" s="35" t="inlineStr">
        <is>
          <t>PT PERSONNEL</t>
        </is>
      </c>
      <c r="E1" s="450" t="n"/>
      <c r="I1" s="37" t="inlineStr">
        <is>
          <t>RH PERSONNEL</t>
        </is>
      </c>
    </row>
    <row r="2">
      <c r="A2" t="inlineStr">
        <is>
          <t>NAME</t>
        </is>
      </c>
      <c r="B2" t="inlineStr">
        <is>
          <t>BATCH</t>
        </is>
      </c>
      <c r="C2" t="inlineStr">
        <is>
          <t>AMPT STATUS</t>
        </is>
      </c>
      <c r="D2" t="inlineStr">
        <is>
          <t>DEPARTMENT</t>
        </is>
      </c>
      <c r="E2" s="449" t="inlineStr">
        <is>
          <t>LEAVING  DATE</t>
        </is>
      </c>
      <c r="F2" t="inlineStr">
        <is>
          <t>LEAVING REASON</t>
        </is>
      </c>
      <c r="G2" t="inlineStr">
        <is>
          <t>DURATION</t>
        </is>
      </c>
      <c r="I2" s="39" t="inlineStr">
        <is>
          <t>NAME</t>
        </is>
      </c>
      <c r="K2" t="inlineStr">
        <is>
          <t>AMPT STATUS</t>
        </is>
      </c>
      <c r="L2" t="inlineStr">
        <is>
          <t>DEPARTMENT</t>
        </is>
      </c>
      <c r="M2" s="449" t="inlineStr">
        <is>
          <t>LEAVING  DATE</t>
        </is>
      </c>
      <c r="N2" t="inlineStr">
        <is>
          <t>LEAVING REASON</t>
        </is>
      </c>
      <c r="O2" t="inlineStr">
        <is>
          <t>DURATION</t>
        </is>
      </c>
    </row>
    <row r="3">
      <c r="A3" s="40" t="inlineStr">
        <is>
          <t xml:space="preserve">CFC GERALD TAN </t>
        </is>
      </c>
      <c r="B3" t="inlineStr">
        <is>
          <t>P061</t>
        </is>
      </c>
      <c r="C3" t="inlineStr">
        <is>
          <t>PASS</t>
        </is>
      </c>
      <c r="D3" t="inlineStr">
        <is>
          <t>ADMIN</t>
        </is>
      </c>
      <c r="E3" s="449" t="n">
        <v>46253</v>
      </c>
      <c r="F3" t="inlineStr">
        <is>
          <t>ORD</t>
        </is>
      </c>
      <c r="I3" s="41" t="inlineStr">
        <is>
          <t>LCP KOH KAH SENG</t>
        </is>
      </c>
      <c r="K3" t="inlineStr">
        <is>
          <t>PASS</t>
        </is>
      </c>
      <c r="L3" t="inlineStr">
        <is>
          <t>ADMIN</t>
        </is>
      </c>
    </row>
    <row r="4">
      <c r="A4" s="42" t="inlineStr">
        <is>
          <t>CPL FANG JIANGRUI</t>
        </is>
      </c>
      <c r="B4" t="inlineStr">
        <is>
          <t>P061</t>
        </is>
      </c>
      <c r="C4" t="inlineStr">
        <is>
          <t>PASS</t>
        </is>
      </c>
      <c r="D4" t="inlineStr">
        <is>
          <t>ADMIN</t>
        </is>
      </c>
      <c r="E4" s="449" t="n">
        <v>46252</v>
      </c>
      <c r="F4" t="inlineStr">
        <is>
          <t>ORD</t>
        </is>
      </c>
      <c r="I4" s="43" t="inlineStr">
        <is>
          <t>CFC MUHAMMAD AMSYAR SUFI BIN SUNARDI</t>
        </is>
      </c>
      <c r="K4" t="inlineStr">
        <is>
          <t>PASS</t>
        </is>
      </c>
      <c r="L4" t="inlineStr">
        <is>
          <t>DISPENSARY</t>
        </is>
      </c>
    </row>
    <row r="5">
      <c r="A5" s="41" t="inlineStr">
        <is>
          <t>PTE DANIEL ISKANDAR BIN SANUSI</t>
        </is>
      </c>
      <c r="B5" t="inlineStr">
        <is>
          <t>P066</t>
        </is>
      </c>
      <c r="C5" t="inlineStr">
        <is>
          <t>PASS</t>
        </is>
      </c>
      <c r="D5" t="inlineStr">
        <is>
          <t>ADMIN</t>
        </is>
      </c>
      <c r="F5" t="inlineStr">
        <is>
          <t>ORD</t>
        </is>
      </c>
      <c r="I5" s="41" t="inlineStr">
        <is>
          <t>PTE LUTH HARITH AFIF BIN NORFIFI</t>
        </is>
      </c>
      <c r="K5" t="inlineStr">
        <is>
          <t>PASS</t>
        </is>
      </c>
      <c r="L5" t="inlineStr">
        <is>
          <t>DISPENSARY</t>
        </is>
      </c>
    </row>
    <row r="6">
      <c r="A6" s="41" t="inlineStr">
        <is>
          <t>LCP APPLE YEO</t>
        </is>
      </c>
      <c r="B6" t="inlineStr">
        <is>
          <t>P061</t>
        </is>
      </c>
      <c r="C6" t="inlineStr">
        <is>
          <t>PASS</t>
        </is>
      </c>
      <c r="D6" t="inlineStr">
        <is>
          <t>ADMIN</t>
        </is>
      </c>
      <c r="E6" s="449" t="n">
        <v>46252</v>
      </c>
      <c r="F6" t="inlineStr">
        <is>
          <t>ORD</t>
        </is>
      </c>
      <c r="I6" s="41" t="inlineStr">
        <is>
          <t>PTE PATIL AMEYA MANOJ</t>
        </is>
      </c>
      <c r="J6" t="inlineStr">
        <is>
          <t>P067</t>
        </is>
      </c>
      <c r="K6" t="inlineStr">
        <is>
          <t>PASS</t>
        </is>
      </c>
      <c r="L6" t="inlineStr">
        <is>
          <t>OJT</t>
        </is>
      </c>
    </row>
    <row r="7">
      <c r="A7" s="41" t="inlineStr">
        <is>
          <t xml:space="preserve">LCP KUEH YAN SHENG </t>
        </is>
      </c>
      <c r="B7" t="inlineStr">
        <is>
          <t>P062</t>
        </is>
      </c>
      <c r="C7" t="inlineStr">
        <is>
          <t>FAIL</t>
        </is>
      </c>
      <c r="D7" t="inlineStr">
        <is>
          <t>ADMIN</t>
        </is>
      </c>
      <c r="F7" t="inlineStr">
        <is>
          <t>ORD</t>
        </is>
      </c>
      <c r="I7" s="41" t="inlineStr">
        <is>
          <t>PTE ROYSTON SEOW</t>
        </is>
      </c>
      <c r="J7" t="inlineStr">
        <is>
          <t>P067</t>
        </is>
      </c>
      <c r="K7" t="inlineStr">
        <is>
          <t>PASS</t>
        </is>
      </c>
      <c r="L7" t="inlineStr">
        <is>
          <t>OJT</t>
        </is>
      </c>
      <c r="M7" s="449" t="n">
        <v>46204</v>
      </c>
      <c r="N7" t="inlineStr">
        <is>
          <t>SERVE+</t>
        </is>
      </c>
    </row>
    <row r="8">
      <c r="A8" s="41" t="inlineStr">
        <is>
          <t>LCP MUHAMMAD YASIR BIN MUHAMMAD HIJAZ</t>
        </is>
      </c>
      <c r="B8" t="inlineStr">
        <is>
          <t>P064</t>
        </is>
      </c>
      <c r="C8" t="inlineStr">
        <is>
          <t>PASS</t>
        </is>
      </c>
      <c r="D8" t="inlineStr">
        <is>
          <t>ADMIN</t>
        </is>
      </c>
      <c r="F8" t="inlineStr">
        <is>
          <t>ORD</t>
        </is>
      </c>
      <c r="I8" s="41" t="inlineStr">
        <is>
          <t>PTE KERK NATHAN</t>
        </is>
      </c>
      <c r="J8" t="inlineStr">
        <is>
          <t>P067</t>
        </is>
      </c>
      <c r="K8" t="inlineStr">
        <is>
          <t>PASS</t>
        </is>
      </c>
      <c r="L8" t="inlineStr">
        <is>
          <t>OJT</t>
        </is>
      </c>
    </row>
    <row r="9">
      <c r="A9" s="41" t="inlineStr">
        <is>
          <t>LCP RAIYAN ZUFAYRI BIN MOHAMAD HELMY</t>
        </is>
      </c>
      <c r="B9" t="inlineStr">
        <is>
          <t>P065</t>
        </is>
      </c>
      <c r="C9" t="inlineStr">
        <is>
          <t>PASS</t>
        </is>
      </c>
      <c r="D9" t="inlineStr">
        <is>
          <t>ADMIN</t>
        </is>
      </c>
      <c r="F9" t="inlineStr">
        <is>
          <t>ORD</t>
        </is>
      </c>
      <c r="I9" s="41" t="inlineStr">
        <is>
          <t>PTE OWEN LEE</t>
        </is>
      </c>
      <c r="J9" t="inlineStr">
        <is>
          <t>P067</t>
        </is>
      </c>
      <c r="K9" t="inlineStr">
        <is>
          <t>PASS</t>
        </is>
      </c>
      <c r="L9" t="inlineStr">
        <is>
          <t>OJT</t>
        </is>
      </c>
    </row>
    <row r="10">
      <c r="A10" s="41" t="inlineStr">
        <is>
          <t>LCP CHOA ZONGHAN ETIENNE</t>
        </is>
      </c>
      <c r="B10" t="inlineStr">
        <is>
          <t>P065</t>
        </is>
      </c>
      <c r="C10" t="inlineStr">
        <is>
          <t>PASS</t>
        </is>
      </c>
      <c r="D10" t="inlineStr">
        <is>
          <t>ADMIN</t>
        </is>
      </c>
      <c r="F10" t="inlineStr">
        <is>
          <t>ORD</t>
        </is>
      </c>
      <c r="I10" s="42" t="inlineStr">
        <is>
          <t>3SG THOTA DEV ADITYA</t>
        </is>
      </c>
      <c r="K10" t="inlineStr">
        <is>
          <t>PASS</t>
        </is>
      </c>
      <c r="L10" t="inlineStr">
        <is>
          <t>OPS</t>
        </is>
      </c>
      <c r="M10" s="449" t="n">
        <v>46220</v>
      </c>
      <c r="N10" t="inlineStr">
        <is>
          <t>ORD</t>
        </is>
      </c>
    </row>
    <row r="11">
      <c r="A11" s="41" t="inlineStr">
        <is>
          <t>CPL HYDER ISKANDAR BIN ZULKILFILY</t>
        </is>
      </c>
      <c r="B11" t="inlineStr">
        <is>
          <t>P063</t>
        </is>
      </c>
      <c r="C11" t="inlineStr">
        <is>
          <t>PASS</t>
        </is>
      </c>
      <c r="D11" t="inlineStr">
        <is>
          <t>ADMIN</t>
        </is>
      </c>
      <c r="F11" t="inlineStr">
        <is>
          <t>ORD</t>
        </is>
      </c>
      <c r="I11" s="41" t="inlineStr">
        <is>
          <t>LCP GOH SONG YEE, ETHAN</t>
        </is>
      </c>
      <c r="K11" t="inlineStr">
        <is>
          <t>PASS</t>
        </is>
      </c>
      <c r="L11" t="inlineStr">
        <is>
          <t>TREATMENT</t>
        </is>
      </c>
    </row>
    <row r="12">
      <c r="A12" s="41" t="inlineStr">
        <is>
          <t>LCP MUHAMMAD HAMZA ZUBERI</t>
        </is>
      </c>
      <c r="B12" t="inlineStr">
        <is>
          <t>P066</t>
        </is>
      </c>
      <c r="C12" t="inlineStr">
        <is>
          <t>PASS</t>
        </is>
      </c>
      <c r="D12" t="inlineStr">
        <is>
          <t>ADMIN</t>
        </is>
      </c>
      <c r="F12" t="inlineStr">
        <is>
          <t>ORD</t>
        </is>
      </c>
      <c r="I12" s="43" t="inlineStr">
        <is>
          <t>CFC BRENDON TOH YI CHEN</t>
        </is>
      </c>
      <c r="K12" t="inlineStr">
        <is>
          <t>PASS</t>
        </is>
      </c>
    </row>
    <row r="13">
      <c r="A13" s="40" t="inlineStr">
        <is>
          <t>LCP MATTHEW HWANG YEW SENG</t>
        </is>
      </c>
      <c r="B13" t="inlineStr">
        <is>
          <t>P063</t>
        </is>
      </c>
      <c r="C13" t="inlineStr">
        <is>
          <t>PASS</t>
        </is>
      </c>
      <c r="D13" t="inlineStr">
        <is>
          <t>DISPENSARY</t>
        </is>
      </c>
      <c r="F13" t="inlineStr">
        <is>
          <t>ORD</t>
        </is>
      </c>
      <c r="I13" s="43" t="inlineStr">
        <is>
          <t>CFC AINSLEY YAP SHENG JIE</t>
        </is>
      </c>
      <c r="K13" t="inlineStr">
        <is>
          <t>PASS</t>
        </is>
      </c>
    </row>
    <row r="14">
      <c r="A14" s="40" t="inlineStr">
        <is>
          <t xml:space="preserve">LCP IGNATIUS QUEK </t>
        </is>
      </c>
      <c r="B14" t="inlineStr">
        <is>
          <t>P064</t>
        </is>
      </c>
      <c r="C14" t="inlineStr">
        <is>
          <t>PASS</t>
        </is>
      </c>
      <c r="D14" t="inlineStr">
        <is>
          <t>DISPENSARY</t>
        </is>
      </c>
      <c r="F14" t="inlineStr">
        <is>
          <t>ORD</t>
        </is>
      </c>
      <c r="I14" s="43" t="inlineStr">
        <is>
          <t>CFC KOH KAI JIE, ETHAN</t>
        </is>
      </c>
      <c r="K14" t="inlineStr">
        <is>
          <t>PASS</t>
        </is>
      </c>
    </row>
    <row r="15">
      <c r="A15" s="41" t="inlineStr">
        <is>
          <t>CPL QUEK ZI YI</t>
        </is>
      </c>
      <c r="B15" t="inlineStr">
        <is>
          <t>P061</t>
        </is>
      </c>
      <c r="C15" t="inlineStr">
        <is>
          <t>PASS</t>
        </is>
      </c>
      <c r="D15" t="inlineStr">
        <is>
          <t>DISPENSARY</t>
        </is>
      </c>
      <c r="E15" s="449" t="n">
        <v>46234</v>
      </c>
      <c r="F15" t="inlineStr">
        <is>
          <t>DISRUPTION</t>
        </is>
      </c>
      <c r="I15" s="43" t="inlineStr">
        <is>
          <t>LCP LIM CHU FENG</t>
        </is>
      </c>
      <c r="K15" t="inlineStr">
        <is>
          <t>PASS</t>
        </is>
      </c>
    </row>
    <row r="16">
      <c r="A16" s="41" t="inlineStr">
        <is>
          <t>CPL ZHANG ZHONGHAO</t>
        </is>
      </c>
      <c r="B16" t="inlineStr">
        <is>
          <t>P062</t>
        </is>
      </c>
      <c r="C16" t="inlineStr">
        <is>
          <t>PASS</t>
        </is>
      </c>
      <c r="D16" t="inlineStr">
        <is>
          <t>DISPENSARY</t>
        </is>
      </c>
      <c r="F16" t="inlineStr">
        <is>
          <t>ORD</t>
        </is>
      </c>
      <c r="I16" s="43" t="inlineStr">
        <is>
          <t>CPL TAN TZE JUE JULIAN</t>
        </is>
      </c>
      <c r="K16" t="inlineStr">
        <is>
          <t>PASS</t>
        </is>
      </c>
    </row>
    <row r="17">
      <c r="A17" s="41" t="inlineStr">
        <is>
          <t>CPL TAN JUN YANG KELVIN</t>
        </is>
      </c>
      <c r="B17" t="inlineStr">
        <is>
          <t>P063</t>
        </is>
      </c>
      <c r="C17" t="inlineStr">
        <is>
          <t>PASS</t>
        </is>
      </c>
      <c r="D17" t="inlineStr">
        <is>
          <t>DISPENSARY</t>
        </is>
      </c>
      <c r="F17" t="inlineStr">
        <is>
          <t>ORD</t>
        </is>
      </c>
      <c r="I17" s="43" t="inlineStr">
        <is>
          <t>3SG HO JI XUAN ISAAC</t>
        </is>
      </c>
      <c r="K17" t="inlineStr">
        <is>
          <t>PASS</t>
        </is>
      </c>
    </row>
    <row r="18">
      <c r="A18" s="41" t="inlineStr">
        <is>
          <t xml:space="preserve">LCP STEPHEN TAY </t>
        </is>
      </c>
      <c r="B18" t="inlineStr">
        <is>
          <t>P064</t>
        </is>
      </c>
      <c r="C18" t="inlineStr">
        <is>
          <t>PASS</t>
        </is>
      </c>
      <c r="D18" t="inlineStr">
        <is>
          <t>DISPENSARY</t>
        </is>
      </c>
      <c r="F18" t="inlineStr">
        <is>
          <t>ORD</t>
        </is>
      </c>
      <c r="I18" s="43" t="inlineStr">
        <is>
          <t>CPL JOVAN CHUA RUI CHENG</t>
        </is>
      </c>
      <c r="K18" t="inlineStr">
        <is>
          <t>PASS</t>
        </is>
      </c>
    </row>
    <row r="19">
      <c r="A19" s="41" t="inlineStr">
        <is>
          <t>LCP HUANG JIHUI</t>
        </is>
      </c>
      <c r="B19" t="inlineStr">
        <is>
          <t>P066</t>
        </is>
      </c>
      <c r="C19" t="inlineStr">
        <is>
          <t>PASS</t>
        </is>
      </c>
      <c r="D19" t="inlineStr">
        <is>
          <t>DISPENSARY</t>
        </is>
      </c>
      <c r="F19" t="inlineStr">
        <is>
          <t>ORD</t>
        </is>
      </c>
      <c r="I19" s="43" t="inlineStr">
        <is>
          <t>CPL LAN ZHI XIANG</t>
        </is>
      </c>
      <c r="K19" t="inlineStr">
        <is>
          <t>PASS</t>
        </is>
      </c>
    </row>
    <row r="20">
      <c r="A20" s="42" t="inlineStr">
        <is>
          <t>3SG SAMUEL TAN ENG WEE</t>
        </is>
      </c>
      <c r="B20" t="inlineStr">
        <is>
          <t>P063</t>
        </is>
      </c>
      <c r="C20" t="inlineStr">
        <is>
          <t>PASS</t>
        </is>
      </c>
      <c r="D20" t="inlineStr">
        <is>
          <t>OPS</t>
        </is>
      </c>
      <c r="F20" t="inlineStr">
        <is>
          <t>ORD</t>
        </is>
      </c>
      <c r="I20" s="43" t="inlineStr">
        <is>
          <t>LCP DAANYAAL ABDUL AZEEZ JANJUA</t>
        </is>
      </c>
      <c r="K20" t="inlineStr">
        <is>
          <t>PASS</t>
        </is>
      </c>
    </row>
    <row r="21">
      <c r="A21" s="41" t="inlineStr">
        <is>
          <t>LCP EKLAYVA PINGALI</t>
        </is>
      </c>
      <c r="B21" t="inlineStr">
        <is>
          <t>P062</t>
        </is>
      </c>
      <c r="C21" t="inlineStr">
        <is>
          <t>PASS</t>
        </is>
      </c>
      <c r="D21" t="inlineStr">
        <is>
          <t>OPS</t>
        </is>
      </c>
      <c r="F21" t="inlineStr">
        <is>
          <t>ORD</t>
        </is>
      </c>
      <c r="I21" s="43" t="inlineStr">
        <is>
          <t>PTE SUNDARARAJU DHANUSH</t>
        </is>
      </c>
      <c r="K21" t="inlineStr">
        <is>
          <t>PASS</t>
        </is>
      </c>
    </row>
    <row r="22">
      <c r="A22" s="42" t="inlineStr">
        <is>
          <t>PTE MENDEZ RALPH JUSTINE MACALINO</t>
        </is>
      </c>
      <c r="B22" t="inlineStr">
        <is>
          <t>P065</t>
        </is>
      </c>
      <c r="C22" t="inlineStr">
        <is>
          <t>PASS</t>
        </is>
      </c>
      <c r="D22" t="inlineStr">
        <is>
          <t>SICKBAY</t>
        </is>
      </c>
      <c r="F22" t="inlineStr">
        <is>
          <t>ORD</t>
        </is>
      </c>
      <c r="I22" s="41" t="inlineStr">
        <is>
          <t>PTE MATTHEW WILLIAM TAN</t>
        </is>
      </c>
      <c r="K22" t="inlineStr">
        <is>
          <t>PASS</t>
        </is>
      </c>
    </row>
    <row r="23">
      <c r="A23" s="41" t="inlineStr">
        <is>
          <t>LCP JARED JUAY (BCF)</t>
        </is>
      </c>
      <c r="C23" t="inlineStr">
        <is>
          <t>PASS</t>
        </is>
      </c>
      <c r="D23" t="inlineStr">
        <is>
          <t>SICKBAY</t>
        </is>
      </c>
      <c r="F23" t="inlineStr">
        <is>
          <t>ORD</t>
        </is>
      </c>
    </row>
    <row r="24">
      <c r="A24" s="41" t="inlineStr">
        <is>
          <t>LCP AHMAD IMRAN (BCF)</t>
        </is>
      </c>
      <c r="C24" t="inlineStr">
        <is>
          <t>PASS</t>
        </is>
      </c>
      <c r="D24" t="inlineStr">
        <is>
          <t>SICKBAY</t>
        </is>
      </c>
      <c r="F24" t="inlineStr">
        <is>
          <t>ORD</t>
        </is>
      </c>
    </row>
    <row r="25">
      <c r="A25" s="41" t="inlineStr">
        <is>
          <t>PTE EUGENE ANG (BCF)</t>
        </is>
      </c>
      <c r="C25" t="inlineStr">
        <is>
          <t>PASS</t>
        </is>
      </c>
      <c r="D25" t="inlineStr">
        <is>
          <t>SICKBAY</t>
        </is>
      </c>
      <c r="F25" t="inlineStr">
        <is>
          <t>ORD</t>
        </is>
      </c>
    </row>
    <row r="26">
      <c r="A26" s="41" t="inlineStr">
        <is>
          <t>PTE JAR RUI (BCF)</t>
        </is>
      </c>
      <c r="C26" t="inlineStr">
        <is>
          <t>PASS</t>
        </is>
      </c>
      <c r="D26" t="inlineStr">
        <is>
          <t>SICKBAY</t>
        </is>
      </c>
      <c r="F26" t="inlineStr">
        <is>
          <t>ORD</t>
        </is>
      </c>
    </row>
    <row r="27">
      <c r="A27" s="41" t="inlineStr">
        <is>
          <t>LCP MUHAMAD ZULKHAIRI BIN MOHAMAD SAPARI</t>
        </is>
      </c>
      <c r="B27" t="inlineStr">
        <is>
          <t>P063</t>
        </is>
      </c>
      <c r="C27" t="inlineStr">
        <is>
          <t>PASS</t>
        </is>
      </c>
      <c r="D27" t="inlineStr">
        <is>
          <t>SICKBAY</t>
        </is>
      </c>
      <c r="F27" t="inlineStr">
        <is>
          <t>ORD</t>
        </is>
      </c>
    </row>
    <row r="28">
      <c r="A28" s="41" t="inlineStr">
        <is>
          <t xml:space="preserve">LCP RON NG </t>
        </is>
      </c>
      <c r="B28" t="inlineStr">
        <is>
          <t>P064</t>
        </is>
      </c>
      <c r="C28" t="inlineStr">
        <is>
          <t>PASS</t>
        </is>
      </c>
      <c r="D28" t="inlineStr">
        <is>
          <t>SICKBAY</t>
        </is>
      </c>
      <c r="F28" t="inlineStr">
        <is>
          <t>ORD</t>
        </is>
      </c>
    </row>
    <row r="29">
      <c r="A29" s="41" t="inlineStr">
        <is>
          <t>LCP TRAN MINH KHOA</t>
        </is>
      </c>
      <c r="B29" t="inlineStr">
        <is>
          <t>P064</t>
        </is>
      </c>
      <c r="C29" t="inlineStr">
        <is>
          <t>FAIL</t>
        </is>
      </c>
      <c r="D29" t="inlineStr">
        <is>
          <t>SICKBAY</t>
        </is>
      </c>
      <c r="F29" t="inlineStr">
        <is>
          <t>ORD</t>
        </is>
      </c>
    </row>
    <row r="30">
      <c r="A30" s="41" t="inlineStr">
        <is>
          <t>PTE JEROME TEO (BCF)</t>
        </is>
      </c>
      <c r="C30" t="inlineStr">
        <is>
          <t>PASS</t>
        </is>
      </c>
      <c r="D30" t="inlineStr">
        <is>
          <t>STORES</t>
        </is>
      </c>
      <c r="F30" t="inlineStr">
        <is>
          <t>ORD</t>
        </is>
      </c>
    </row>
    <row r="31">
      <c r="A31" s="41" t="inlineStr">
        <is>
          <t>CPL HO SHENGHUI HAYDEN</t>
        </is>
      </c>
      <c r="B31" t="inlineStr">
        <is>
          <t>P061</t>
        </is>
      </c>
      <c r="C31" t="inlineStr">
        <is>
          <t>PASS</t>
        </is>
      </c>
      <c r="D31" t="inlineStr">
        <is>
          <t>STORES</t>
        </is>
      </c>
      <c r="E31" s="449" t="n">
        <v>46238</v>
      </c>
      <c r="F31" t="inlineStr">
        <is>
          <t>ORD</t>
        </is>
      </c>
    </row>
    <row r="32">
      <c r="A32" s="41" t="inlineStr">
        <is>
          <t>CFC DERRICK CHIN</t>
        </is>
      </c>
      <c r="B32" t="inlineStr">
        <is>
          <t>P062</t>
        </is>
      </c>
      <c r="C32" t="inlineStr">
        <is>
          <t>PASS</t>
        </is>
      </c>
      <c r="D32" t="inlineStr">
        <is>
          <t>STORES</t>
        </is>
      </c>
      <c r="E32" s="449" t="n">
        <v>46234</v>
      </c>
      <c r="F32" t="inlineStr">
        <is>
          <t>DISRUPTION</t>
        </is>
      </c>
    </row>
    <row r="33">
      <c r="A33" s="41" t="inlineStr">
        <is>
          <t xml:space="preserve">LCP EDWARD GAN BOON WEI </t>
        </is>
      </c>
      <c r="B33" t="inlineStr">
        <is>
          <t>P065</t>
        </is>
      </c>
      <c r="C33" t="inlineStr">
        <is>
          <t>PASS</t>
        </is>
      </c>
      <c r="D33" t="inlineStr">
        <is>
          <t>STORES</t>
        </is>
      </c>
      <c r="F33" t="inlineStr">
        <is>
          <t>ORD</t>
        </is>
      </c>
    </row>
    <row r="34">
      <c r="A34" s="40" t="inlineStr">
        <is>
          <t>CPL WONG JI FENG WILLARD</t>
        </is>
      </c>
      <c r="B34" t="inlineStr">
        <is>
          <t>P062</t>
        </is>
      </c>
      <c r="C34" t="inlineStr">
        <is>
          <t>PASS</t>
        </is>
      </c>
      <c r="D34" t="inlineStr">
        <is>
          <t>TREATMENT</t>
        </is>
      </c>
      <c r="F34" t="inlineStr">
        <is>
          <t>OVERSEAS EX.</t>
        </is>
      </c>
    </row>
    <row r="35">
      <c r="A35" s="42" t="inlineStr">
        <is>
          <t xml:space="preserve">LCP KOO YI XIAN RAPHAEL </t>
        </is>
      </c>
      <c r="B35" t="inlineStr">
        <is>
          <t>P064</t>
        </is>
      </c>
      <c r="C35" t="inlineStr">
        <is>
          <t>PASS</t>
        </is>
      </c>
      <c r="D35" t="inlineStr">
        <is>
          <t>TREATMENT</t>
        </is>
      </c>
      <c r="F35" t="inlineStr">
        <is>
          <t>ORD</t>
        </is>
      </c>
    </row>
    <row r="36">
      <c r="A36" s="41" t="inlineStr">
        <is>
          <t>LCP CHYE JING AN MAXIMUS</t>
        </is>
      </c>
      <c r="B36" t="inlineStr">
        <is>
          <t>P063</t>
        </is>
      </c>
      <c r="C36" t="inlineStr">
        <is>
          <t>PASS</t>
        </is>
      </c>
      <c r="D36" t="inlineStr">
        <is>
          <t>TREATMENT</t>
        </is>
      </c>
      <c r="F36" t="inlineStr">
        <is>
          <t>ORD</t>
        </is>
      </c>
    </row>
    <row r="37">
      <c r="A37" s="41" t="inlineStr">
        <is>
          <t>LCP SHLOK PUROHIT</t>
        </is>
      </c>
      <c r="B37" t="inlineStr">
        <is>
          <t>P063</t>
        </is>
      </c>
      <c r="C37" t="inlineStr">
        <is>
          <t>PASS</t>
        </is>
      </c>
      <c r="D37" t="inlineStr">
        <is>
          <t>TREATMENT</t>
        </is>
      </c>
      <c r="F37" t="inlineStr">
        <is>
          <t>DISRUPTION</t>
        </is>
      </c>
    </row>
    <row r="38">
      <c r="A38" s="41" t="inlineStr">
        <is>
          <t>LCP MUHAMMAD SHAUKI BIN MOHD SHAM</t>
        </is>
      </c>
      <c r="B38" t="inlineStr">
        <is>
          <t>P066</t>
        </is>
      </c>
      <c r="C38" t="inlineStr">
        <is>
          <t>PASS</t>
        </is>
      </c>
      <c r="D38" t="inlineStr">
        <is>
          <t>TREATMENT</t>
        </is>
      </c>
      <c r="F38" t="inlineStr">
        <is>
          <t>ORD</t>
        </is>
      </c>
    </row>
    <row r="39">
      <c r="A39" s="41" t="inlineStr">
        <is>
          <t>LCP RAGURAMAN ANIRUDH</t>
        </is>
      </c>
      <c r="B39" t="inlineStr">
        <is>
          <t>P066</t>
        </is>
      </c>
      <c r="C39" t="inlineStr">
        <is>
          <t>PASS</t>
        </is>
      </c>
      <c r="D39" t="inlineStr">
        <is>
          <t>TREATMENT</t>
        </is>
      </c>
      <c r="F39" t="inlineStr">
        <is>
          <t>ORD</t>
        </is>
      </c>
    </row>
    <row r="40">
      <c r="A40" s="41" t="inlineStr">
        <is>
          <t>LCP LAU KAN SHEN (BCF)</t>
        </is>
      </c>
      <c r="C40" t="inlineStr">
        <is>
          <t>PASS</t>
        </is>
      </c>
      <c r="F40" t="inlineStr">
        <is>
          <t>ORD</t>
        </is>
      </c>
    </row>
  </sheetData>
  <mergeCells count="2">
    <mergeCell ref="I1:L1"/>
    <mergeCell ref="A1:D1"/>
  </mergeCells>
  <conditionalFormatting sqref="I21:I22">
    <cfRule type="cellIs" priority="1" operator="equal" dxfId="155">
      <formula>"RESERVE"</formula>
    </cfRule>
  </conditionalFormatting>
  <conditionalFormatting sqref="A3:A11 A12:A14 A15:A18 A19:A20 A21:A40 I1:I2 I3:I11 I12:I14 I15:I18 I19:I20">
    <cfRule type="cellIs" priority="64" operator="equal" dxfId="155">
      <formula>"RESERVE"</formula>
    </cfRule>
  </conditionalFormatting>
  <dataValidations count="1">
    <dataValidation sqref="A3:A6 A8:A19 A21:A22 A24:A26 A28 I21:I22" showDropDown="1" showInputMessage="0" showErrorMessage="0" allowBlank="1" type="list">
      <formula1>'Setting key Duty'!$B$7:$B$56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J56"/>
  <sheetViews>
    <sheetView showGridLines="0" topLeftCell="A35" workbookViewId="0">
      <selection activeCell="F13" sqref="F13"/>
    </sheetView>
  </sheetViews>
  <sheetFormatPr baseColWidth="8" defaultColWidth="12.6285714285714" defaultRowHeight="15.75" customHeight="1"/>
  <cols>
    <col width="5.13333333333333" customWidth="1" min="1" max="1"/>
    <col width="13.6285714285714" customWidth="1" min="2" max="2"/>
    <col width="45.1333333333333" customWidth="1" min="3" max="3"/>
    <col width="5.13333333333333" customWidth="1" min="4" max="5"/>
    <col width="10.752380952381" customWidth="1" min="6" max="6"/>
    <col width="11.6285714285714" customWidth="1" min="7" max="7"/>
    <col width="5.13333333333333" customWidth="1" min="8" max="8"/>
    <col width="6.62857142857143" customWidth="1" min="9" max="9"/>
    <col width="10" customWidth="1" min="10" max="10"/>
  </cols>
  <sheetData>
    <row r="1" ht="36" customHeight="1">
      <c r="A1" s="12" t="n"/>
      <c r="B1" s="13" t="inlineStr">
        <is>
          <t>SETTINGS</t>
        </is>
      </c>
      <c r="D1" s="12" t="n"/>
      <c r="E1" s="12" t="n"/>
      <c r="F1" s="12" t="n"/>
      <c r="G1" s="12" t="n"/>
      <c r="H1" s="12" t="n"/>
      <c r="I1" s="12" t="n"/>
      <c r="J1" s="12" t="n"/>
    </row>
    <row r="2" ht="36" customHeight="1">
      <c r="A2" s="14" t="n"/>
      <c r="B2" s="15" t="inlineStr">
        <is>
          <t>Setting</t>
        </is>
      </c>
      <c r="C2" s="451" t="n"/>
      <c r="D2" s="14" t="n"/>
      <c r="E2" s="14" t="n"/>
      <c r="F2" s="17" t="n"/>
      <c r="G2" s="17" t="n"/>
      <c r="H2" s="17" t="n"/>
      <c r="I2" s="17" t="n"/>
      <c r="J2" s="17" t="n"/>
    </row>
    <row r="3" ht="24" customHeight="1">
      <c r="A3" s="18" t="n"/>
      <c r="B3" s="19" t="inlineStr">
        <is>
          <t>Change the Setting key by updating the values below.</t>
        </is>
      </c>
      <c r="D3" s="18" t="n"/>
      <c r="E3" s="18" t="n"/>
      <c r="F3" s="18" t="n"/>
      <c r="G3" s="18" t="n"/>
      <c r="H3" s="18" t="n"/>
      <c r="I3" s="18" t="n"/>
      <c r="J3" s="18" t="n"/>
    </row>
    <row r="4" ht="36" customHeight="1">
      <c r="A4" s="20" t="n"/>
      <c r="B4" s="21" t="inlineStr">
        <is>
          <t>Add worksheet by duplicating the 'Roster' sheet tab. 
New tabs will reference this same attendance key.</t>
        </is>
      </c>
      <c r="D4" s="20" t="n"/>
      <c r="E4" s="20" t="n"/>
      <c r="F4" s="20" t="n"/>
      <c r="G4" s="20" t="n"/>
      <c r="H4" s="20" t="n"/>
      <c r="I4" s="20" t="n"/>
      <c r="J4" s="20" t="n"/>
    </row>
    <row r="5" ht="18" customHeight="1">
      <c r="A5" s="25" t="n"/>
      <c r="B5" s="23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 ht="24" customHeight="1">
      <c r="A6" s="25" t="n"/>
      <c r="B6" s="24" t="inlineStr">
        <is>
          <t>Setting KEY Duty</t>
        </is>
      </c>
      <c r="D6" s="25" t="inlineStr">
        <is>
          <t>Points</t>
        </is>
      </c>
      <c r="E6" s="25" t="n"/>
      <c r="F6" s="25" t="inlineStr">
        <is>
          <t>Point System</t>
        </is>
      </c>
      <c r="G6" s="25" t="n"/>
      <c r="H6" s="25" t="n"/>
      <c r="I6" s="25" t="n"/>
      <c r="J6" s="25" t="n"/>
    </row>
    <row r="7" ht="19.5" customHeight="1">
      <c r="A7" s="25" t="n"/>
      <c r="B7" s="26" t="inlineStr">
        <is>
          <t>DM</t>
        </is>
      </c>
      <c r="C7" s="27" t="inlineStr">
        <is>
          <t>DM</t>
        </is>
      </c>
      <c r="D7" s="27" t="n"/>
      <c r="E7" s="25" t="n"/>
      <c r="F7" s="25" t="inlineStr">
        <is>
          <t>REQUIREMENT</t>
        </is>
      </c>
      <c r="H7" s="25" t="n"/>
      <c r="I7" s="25" t="inlineStr">
        <is>
          <t>Point awarded</t>
        </is>
      </c>
      <c r="J7" s="25" t="n"/>
    </row>
    <row r="8" ht="19.5" customHeight="1">
      <c r="A8" s="25" t="n"/>
      <c r="B8" s="26" t="inlineStr">
        <is>
          <t>CS1</t>
        </is>
      </c>
      <c r="C8" s="27" t="inlineStr">
        <is>
          <t>CS1</t>
        </is>
      </c>
      <c r="D8" s="27" t="n"/>
      <c r="E8" s="25" t="n"/>
      <c r="F8" s="1" t="inlineStr">
        <is>
          <t>Before 0745</t>
        </is>
      </c>
      <c r="H8" s="25" t="n"/>
      <c r="I8" s="25" t="n">
        <v>0.125</v>
      </c>
      <c r="J8" s="25" t="n"/>
    </row>
    <row r="9" ht="19.5" customHeight="1">
      <c r="A9" s="25" t="n"/>
      <c r="B9" s="26" t="inlineStr">
        <is>
          <t>CS2</t>
        </is>
      </c>
      <c r="C9" s="27" t="inlineStr">
        <is>
          <t>CS2</t>
        </is>
      </c>
      <c r="D9" s="27" t="n"/>
      <c r="E9" s="25" t="n"/>
      <c r="F9" s="1" t="inlineStr">
        <is>
          <t>After 1730</t>
        </is>
      </c>
      <c r="H9" s="25" t="n"/>
      <c r="I9" s="25" t="n">
        <v>0.125</v>
      </c>
      <c r="J9" s="25" t="n"/>
    </row>
    <row r="10" ht="19.5" customHeight="1">
      <c r="A10" s="25" t="n"/>
      <c r="B10" s="26" t="inlineStr">
        <is>
          <t>CS/B</t>
        </is>
      </c>
      <c r="C10" s="27" t="inlineStr">
        <is>
          <t>CS/B</t>
        </is>
      </c>
      <c r="D10" s="27" t="n"/>
      <c r="E10" s="25" t="n"/>
      <c r="F10" s="1" t="inlineStr">
        <is>
          <t>Pass 0000</t>
        </is>
      </c>
      <c r="H10" s="25" t="n"/>
      <c r="I10" s="25" t="n">
        <v>0.5</v>
      </c>
      <c r="J10" s="25" t="n"/>
    </row>
    <row r="11" ht="19.5" customHeight="1">
      <c r="A11" s="25" t="n"/>
      <c r="B11" s="26" t="inlineStr">
        <is>
          <t>SB1</t>
        </is>
      </c>
      <c r="C11" s="27" t="inlineStr">
        <is>
          <t>SB1</t>
        </is>
      </c>
      <c r="D11" s="27" t="n"/>
      <c r="E11" s="25" t="n"/>
      <c r="F11" s="1" t="inlineStr">
        <is>
          <t>Stay in due to ferry</t>
        </is>
      </c>
      <c r="H11" s="25" t="n"/>
      <c r="I11" s="25" t="n">
        <v>0.0625</v>
      </c>
      <c r="J11" s="25" t="n"/>
    </row>
    <row r="12" ht="19.5" customHeight="1">
      <c r="A12" s="25" t="n"/>
      <c r="B12" s="26" t="inlineStr">
        <is>
          <t>SB2</t>
        </is>
      </c>
      <c r="C12" s="27" t="inlineStr">
        <is>
          <t>SB2</t>
        </is>
      </c>
      <c r="D12" s="27" t="n"/>
      <c r="E12" s="25" t="n"/>
      <c r="F12" s="25" t="inlineStr">
        <is>
          <t>12 km/ long cover with likely stay in</t>
        </is>
      </c>
      <c r="G12" s="25" t="n"/>
      <c r="H12" s="25" t="n"/>
      <c r="I12" s="25" t="n">
        <v>0.3125</v>
      </c>
      <c r="J12" s="25" t="n"/>
    </row>
    <row r="13" ht="19.5" customHeight="1">
      <c r="A13" s="25" t="n"/>
      <c r="B13" s="26" t="inlineStr">
        <is>
          <t>AE</t>
        </is>
      </c>
      <c r="C13" s="27" t="inlineStr">
        <is>
          <t>AE</t>
        </is>
      </c>
      <c r="D13" s="27" t="n"/>
      <c r="E13" s="25" t="n"/>
      <c r="F13" s="25" t="inlineStr">
        <is>
          <t>Each Consecutive days
To caculate manually</t>
        </is>
      </c>
      <c r="G13" s="25" t="n"/>
      <c r="H13" s="25" t="n"/>
      <c r="I13" s="25" t="inlineStr">
        <is>
          <t>0.09, 0.11, 0.13, 0.17</t>
        </is>
      </c>
      <c r="J13" s="25" t="n"/>
    </row>
    <row r="14" ht="19.5" customHeight="1">
      <c r="A14" s="25" t="n"/>
      <c r="B14" s="26" t="inlineStr">
        <is>
          <t>EM</t>
        </is>
      </c>
      <c r="C14" s="27" t="inlineStr">
        <is>
          <t>EM</t>
        </is>
      </c>
      <c r="D14" s="27" t="n"/>
      <c r="E14" s="25" t="n"/>
      <c r="F14" s="25" t="n"/>
      <c r="G14" s="25" t="n"/>
      <c r="H14" s="25" t="n"/>
      <c r="I14" s="25" t="n"/>
      <c r="J14" s="25" t="n"/>
    </row>
    <row r="15" ht="19.5" customHeight="1">
      <c r="A15" s="25" t="n"/>
      <c r="B15" s="26" t="n"/>
      <c r="C15" s="27" t="inlineStr">
        <is>
          <t>Block</t>
        </is>
      </c>
      <c r="D15" s="27" t="n"/>
      <c r="E15" s="25" t="n"/>
      <c r="F15" s="25" t="n"/>
      <c r="G15" s="25" t="n"/>
      <c r="H15" s="25" t="n"/>
      <c r="I15" s="25" t="n"/>
      <c r="J15" s="25" t="n"/>
    </row>
    <row r="16" ht="19.5" customHeight="1">
      <c r="A16" s="25" t="n"/>
      <c r="B16" s="26" t="inlineStr">
        <is>
          <t>Outfield Reserve</t>
        </is>
      </c>
      <c r="C16" s="27" t="inlineStr">
        <is>
          <t>Outfield Reserve</t>
        </is>
      </c>
      <c r="D16" s="27" t="n"/>
      <c r="E16" s="25" t="n"/>
      <c r="F16" s="25" t="n"/>
      <c r="G16" s="25" t="n"/>
      <c r="H16" s="25" t="n"/>
      <c r="I16" s="25" t="n"/>
      <c r="J16" s="25" t="n"/>
    </row>
    <row r="17" ht="19.5" customHeight="1">
      <c r="A17" s="25" t="n"/>
      <c r="B17" s="28" t="inlineStr">
        <is>
          <t>RESERVE</t>
        </is>
      </c>
      <c r="C17" s="27" t="inlineStr">
        <is>
          <t>Reserve</t>
        </is>
      </c>
      <c r="D17" s="27" t="n"/>
      <c r="E17" s="25" t="n"/>
      <c r="F17" s="25" t="n"/>
      <c r="G17" s="25" t="n"/>
      <c r="H17" s="25" t="n"/>
      <c r="I17" s="25" t="n"/>
      <c r="J17" s="25" t="n"/>
    </row>
    <row r="18" ht="19.5" customHeight="1">
      <c r="A18" s="25" t="n"/>
      <c r="B18" s="26" t="inlineStr">
        <is>
          <t>S+</t>
        </is>
      </c>
      <c r="C18" s="27" t="inlineStr">
        <is>
          <t>Serve Plus</t>
        </is>
      </c>
      <c r="D18" s="27" t="n"/>
      <c r="E18" s="25" t="n"/>
      <c r="F18" s="25" t="n"/>
      <c r="G18" s="25" t="n"/>
      <c r="H18" s="25" t="n"/>
      <c r="I18" s="25" t="n"/>
      <c r="J18" s="25" t="n"/>
    </row>
    <row r="19" ht="19.5" customHeight="1">
      <c r="A19" s="25" t="n"/>
      <c r="B19" s="26" t="inlineStr">
        <is>
          <t>EX-D</t>
        </is>
      </c>
      <c r="C19" s="27" t="inlineStr">
        <is>
          <t>Excused duties</t>
        </is>
      </c>
      <c r="D19" s="27" t="n"/>
      <c r="E19" s="25" t="n"/>
      <c r="F19" s="25" t="n"/>
      <c r="G19" s="25" t="n"/>
      <c r="H19" s="25" t="n"/>
      <c r="I19" s="25" t="n"/>
      <c r="J19" s="25" t="n"/>
    </row>
    <row r="20" ht="19.5" customHeight="1">
      <c r="A20" s="25" t="n"/>
      <c r="B20" s="26" t="inlineStr">
        <is>
          <t>VACC</t>
        </is>
      </c>
      <c r="C20" s="27" t="inlineStr">
        <is>
          <t xml:space="preserve">Vaccination </t>
        </is>
      </c>
      <c r="D20" s="27" t="n"/>
      <c r="E20" s="25" t="n"/>
      <c r="F20" s="25" t="n"/>
      <c r="G20" s="25" t="n"/>
      <c r="H20" s="25" t="n"/>
      <c r="I20" s="25" t="n"/>
      <c r="J20" s="25" t="n"/>
    </row>
    <row r="21" ht="19.5" customHeight="1">
      <c r="A21" s="25" t="n"/>
      <c r="B21" s="26" t="inlineStr">
        <is>
          <t>OL</t>
        </is>
      </c>
      <c r="C21" s="27" t="inlineStr">
        <is>
          <t>OL</t>
        </is>
      </c>
      <c r="D21" s="27" t="n"/>
      <c r="E21" s="25" t="n"/>
      <c r="F21" s="25" t="n"/>
      <c r="G21" s="25" t="n"/>
      <c r="H21" s="25" t="n"/>
      <c r="I21" s="25" t="n"/>
      <c r="J21" s="25" t="n"/>
    </row>
    <row r="22" ht="19.5" customHeight="1">
      <c r="A22" s="25" t="n"/>
      <c r="B22" s="26" t="inlineStr">
        <is>
          <t>AL</t>
        </is>
      </c>
      <c r="C22" s="27" t="inlineStr">
        <is>
          <t>AL</t>
        </is>
      </c>
      <c r="D22" s="27" t="n"/>
      <c r="E22" s="25" t="n"/>
      <c r="F22" s="25" t="n"/>
      <c r="G22" s="25" t="n"/>
      <c r="H22" s="25" t="n"/>
      <c r="I22" s="25" t="n"/>
      <c r="J22" s="25" t="n"/>
    </row>
    <row r="23" hidden="1" ht="19.5" customHeight="1">
      <c r="A23" s="25" t="n"/>
      <c r="B23" s="29" t="n"/>
      <c r="C23" s="27" t="n"/>
      <c r="D23" s="27" t="n"/>
      <c r="E23" s="25" t="n"/>
      <c r="F23" s="25" t="n"/>
      <c r="G23" s="25" t="n"/>
      <c r="H23" s="25" t="n"/>
      <c r="I23" s="25" t="n"/>
      <c r="J23" s="25" t="n"/>
    </row>
    <row r="24" ht="19.5" customHeight="1">
      <c r="A24" s="25" t="n"/>
      <c r="B24" s="26" t="inlineStr">
        <is>
          <t>$AM BRT</t>
        </is>
      </c>
      <c r="C24" s="30" t="inlineStr">
        <is>
          <t>Bedok RT AM</t>
        </is>
      </c>
      <c r="D24" s="30" t="n">
        <v>0.5</v>
      </c>
      <c r="E24" s="25" t="n"/>
      <c r="F24" s="25" t="n"/>
      <c r="G24" s="25" t="n"/>
      <c r="H24" s="25" t="n"/>
      <c r="I24" s="25" t="n"/>
      <c r="J24" s="25" t="n"/>
    </row>
    <row r="25" ht="19.5" customHeight="1">
      <c r="A25" s="25" t="n"/>
      <c r="B25" s="26" t="inlineStr">
        <is>
          <t>$AM IPPT</t>
        </is>
      </c>
      <c r="C25" s="27" t="inlineStr">
        <is>
          <t>IPPT AM</t>
        </is>
      </c>
      <c r="D25" s="30" t="n">
        <v>0.5</v>
      </c>
      <c r="E25" s="25" t="n"/>
      <c r="F25" s="25" t="n"/>
      <c r="G25" s="25" t="n"/>
      <c r="H25" s="25" t="n"/>
      <c r="I25" s="25" t="n"/>
      <c r="J25" s="25" t="n"/>
    </row>
    <row r="26" ht="19.5" customHeight="1">
      <c r="A26" s="25" t="n"/>
      <c r="B26" s="26" t="inlineStr">
        <is>
          <t>$AM 3KM</t>
        </is>
      </c>
      <c r="C26" s="27" t="inlineStr">
        <is>
          <t>3KM AM</t>
        </is>
      </c>
      <c r="D26" s="30" t="n">
        <v>0.5</v>
      </c>
      <c r="E26" s="25" t="n"/>
      <c r="F26" s="25" t="n"/>
      <c r="G26" s="25" t="n"/>
      <c r="H26" s="25" t="n"/>
      <c r="I26" s="25" t="n"/>
      <c r="J26" s="25" t="n"/>
    </row>
    <row r="27" ht="19.5" customHeight="1">
      <c r="A27" s="25" t="n"/>
      <c r="B27" s="26" t="inlineStr">
        <is>
          <t>$AM 4KM</t>
        </is>
      </c>
      <c r="C27" s="27" t="inlineStr">
        <is>
          <t>4KM AM</t>
        </is>
      </c>
      <c r="D27" s="30" t="n">
        <v>0.5</v>
      </c>
      <c r="E27" s="25" t="n"/>
      <c r="F27" s="25" t="n"/>
      <c r="G27" s="25" t="n"/>
      <c r="H27" s="25" t="n"/>
      <c r="I27" s="25" t="n"/>
      <c r="J27" s="25" t="n"/>
    </row>
    <row r="28" ht="19.5" customHeight="1">
      <c r="A28" s="25" t="n"/>
      <c r="B28" s="26" t="inlineStr">
        <is>
          <t>$AM 6KM</t>
        </is>
      </c>
      <c r="C28" s="27" t="inlineStr">
        <is>
          <t>6KM AM</t>
        </is>
      </c>
      <c r="D28" s="30" t="n">
        <v>0.5</v>
      </c>
      <c r="E28" s="25" t="n"/>
      <c r="F28" s="25" t="n"/>
      <c r="G28" s="25" t="n"/>
      <c r="H28" s="25" t="n"/>
      <c r="I28" s="25" t="n"/>
      <c r="J28" s="25" t="n"/>
    </row>
    <row r="29" ht="19.5" customHeight="1">
      <c r="A29" s="25" t="n"/>
      <c r="B29" s="26" t="inlineStr">
        <is>
          <t>$AM 8KM</t>
        </is>
      </c>
      <c r="C29" s="27" t="inlineStr">
        <is>
          <t>8KM AM</t>
        </is>
      </c>
      <c r="D29" s="30" t="n">
        <v>0.5</v>
      </c>
      <c r="E29" s="25" t="n"/>
      <c r="F29" s="25" t="n"/>
      <c r="G29" s="25" t="n"/>
      <c r="H29" s="25" t="n"/>
      <c r="I29" s="25" t="n"/>
      <c r="J29" s="25" t="n"/>
    </row>
    <row r="30" ht="19.5" customHeight="1">
      <c r="A30" s="25" t="n"/>
      <c r="B30" s="26" t="inlineStr">
        <is>
          <t>$AM AGR</t>
        </is>
      </c>
      <c r="C30" s="27" t="inlineStr">
        <is>
          <t>AGR AM</t>
        </is>
      </c>
      <c r="D30" s="30" t="n">
        <v>0.5</v>
      </c>
      <c r="E30" s="25" t="n"/>
      <c r="F30" s="25" t="n"/>
      <c r="G30" s="25" t="n"/>
      <c r="H30" s="25" t="n"/>
      <c r="I30" s="25" t="n"/>
      <c r="J30" s="25" t="n"/>
    </row>
    <row r="31" ht="19.5" customHeight="1">
      <c r="A31" s="25" t="n"/>
      <c r="B31" s="26" t="inlineStr">
        <is>
          <t>$AM CC</t>
        </is>
      </c>
      <c r="C31" s="27" t="inlineStr">
        <is>
          <t>CC AM</t>
        </is>
      </c>
      <c r="D31" s="30" t="n">
        <v>0.5</v>
      </c>
      <c r="E31" s="25" t="n"/>
      <c r="F31" s="25" t="n"/>
      <c r="G31" s="25" t="n"/>
      <c r="H31" s="25" t="n"/>
      <c r="I31" s="25" t="n"/>
      <c r="J31" s="25" t="n"/>
    </row>
    <row r="32" ht="19.5" customHeight="1">
      <c r="A32" s="25" t="n"/>
      <c r="B32" s="26" t="inlineStr">
        <is>
          <t>$AM CATRUN</t>
        </is>
      </c>
      <c r="C32" s="27" t="inlineStr">
        <is>
          <t>CAT RUN AM</t>
        </is>
      </c>
      <c r="D32" s="30" t="n">
        <v>0.5</v>
      </c>
      <c r="E32" s="25" t="n"/>
      <c r="F32" s="25" t="n"/>
      <c r="G32" s="25" t="n"/>
      <c r="H32" s="25" t="n"/>
      <c r="I32" s="25" t="n"/>
      <c r="J32" s="25" t="n"/>
    </row>
    <row r="33" ht="19.5" customHeight="1">
      <c r="A33" s="25" t="n"/>
      <c r="B33" s="26" t="inlineStr">
        <is>
          <t>$AM SOC</t>
        </is>
      </c>
      <c r="C33" s="27" t="inlineStr">
        <is>
          <t>SOC AM</t>
        </is>
      </c>
      <c r="D33" s="30" t="n">
        <v>0.5</v>
      </c>
      <c r="E33" s="25" t="n"/>
      <c r="F33" s="25" t="n"/>
      <c r="G33" s="25" t="n"/>
      <c r="H33" s="25" t="n"/>
      <c r="I33" s="25" t="n"/>
      <c r="J33" s="25" t="n"/>
    </row>
    <row r="34" ht="19.5" customHeight="1">
      <c r="A34" s="25" t="n"/>
      <c r="B34" s="26" t="inlineStr">
        <is>
          <t>$PM BRT</t>
        </is>
      </c>
      <c r="C34" s="27" t="inlineStr">
        <is>
          <t>Bedok RT PM</t>
        </is>
      </c>
      <c r="D34" s="30" t="n">
        <v>0.5</v>
      </c>
      <c r="E34" s="25" t="n"/>
      <c r="F34" s="25" t="n"/>
      <c r="G34" s="25" t="n"/>
      <c r="H34" s="25" t="n"/>
      <c r="I34" s="25" t="n"/>
      <c r="J34" s="25" t="n"/>
    </row>
    <row r="35" ht="19.5" customHeight="1">
      <c r="A35" s="25" t="n"/>
      <c r="B35" s="26" t="inlineStr">
        <is>
          <t>$PM IPPT</t>
        </is>
      </c>
      <c r="C35" s="27" t="inlineStr">
        <is>
          <t>IPPT PM</t>
        </is>
      </c>
      <c r="D35" s="30" t="n">
        <v>0.5</v>
      </c>
      <c r="E35" s="25" t="n"/>
      <c r="F35" s="25" t="n"/>
      <c r="G35" s="25" t="n"/>
      <c r="H35" s="25" t="n"/>
      <c r="I35" s="25" t="n"/>
      <c r="J35" s="25" t="n"/>
    </row>
    <row r="36" ht="19.5" customHeight="1">
      <c r="A36" s="25" t="n"/>
      <c r="B36" s="26" t="inlineStr">
        <is>
          <t>$PM 3KM</t>
        </is>
      </c>
      <c r="C36" s="27" t="inlineStr">
        <is>
          <t>3KM PM</t>
        </is>
      </c>
      <c r="D36" s="30" t="n">
        <v>0.5</v>
      </c>
      <c r="E36" s="25" t="n"/>
      <c r="F36" s="25" t="n"/>
      <c r="G36" s="25" t="n"/>
      <c r="H36" s="25" t="n"/>
      <c r="I36" s="25" t="n"/>
      <c r="J36" s="25" t="n"/>
    </row>
    <row r="37" ht="19.5" customHeight="1">
      <c r="A37" s="25" t="n"/>
      <c r="B37" s="26" t="inlineStr">
        <is>
          <t>$PM 4KM</t>
        </is>
      </c>
      <c r="C37" s="27" t="inlineStr">
        <is>
          <t>4KM PM</t>
        </is>
      </c>
      <c r="D37" s="30" t="n">
        <v>0.5</v>
      </c>
      <c r="E37" s="25" t="n"/>
      <c r="F37" s="25" t="n"/>
      <c r="G37" s="25" t="n"/>
      <c r="H37" s="25" t="n"/>
      <c r="I37" s="25" t="n"/>
      <c r="J37" s="25" t="n"/>
    </row>
    <row r="38" ht="19.5" customHeight="1">
      <c r="A38" s="25" t="n"/>
      <c r="B38" s="26" t="inlineStr">
        <is>
          <t>$PM 6KM</t>
        </is>
      </c>
      <c r="C38" s="27" t="inlineStr">
        <is>
          <t>6KM PM</t>
        </is>
      </c>
      <c r="D38" s="30" t="n">
        <v>0.5</v>
      </c>
      <c r="E38" s="25" t="n"/>
      <c r="F38" s="25" t="n"/>
      <c r="G38" s="25" t="n"/>
      <c r="H38" s="25" t="n"/>
      <c r="I38" s="25" t="n"/>
      <c r="J38" s="25" t="n"/>
    </row>
    <row r="39" ht="19.5" customHeight="1">
      <c r="A39" s="25" t="n"/>
      <c r="B39" s="26" t="inlineStr">
        <is>
          <t>$PM 8KM</t>
        </is>
      </c>
      <c r="C39" s="27" t="inlineStr">
        <is>
          <t>8KM PM</t>
        </is>
      </c>
      <c r="D39" s="30" t="n">
        <v>0.5</v>
      </c>
      <c r="E39" s="25" t="n"/>
      <c r="F39" s="25" t="n"/>
      <c r="G39" s="25" t="n"/>
      <c r="H39" s="25" t="n"/>
      <c r="I39" s="25" t="n"/>
      <c r="J39" s="25" t="n"/>
    </row>
    <row r="40" ht="19.5" customHeight="1">
      <c r="A40" s="25" t="n"/>
      <c r="B40" s="26" t="inlineStr">
        <is>
          <t>$PM AGR</t>
        </is>
      </c>
      <c r="C40" s="27" t="inlineStr">
        <is>
          <t>AGR PM</t>
        </is>
      </c>
      <c r="D40" s="30" t="n">
        <v>0.5</v>
      </c>
      <c r="E40" s="25" t="n"/>
      <c r="F40" s="25" t="n"/>
      <c r="G40" s="25" t="n"/>
      <c r="H40" s="25" t="n"/>
      <c r="I40" s="25" t="n"/>
      <c r="J40" s="25" t="n"/>
    </row>
    <row r="41" ht="19.5" customHeight="1">
      <c r="A41" s="25" t="n"/>
      <c r="B41" s="26" t="inlineStr">
        <is>
          <t>$PM CC</t>
        </is>
      </c>
      <c r="C41" s="27" t="inlineStr">
        <is>
          <t>CC PM</t>
        </is>
      </c>
      <c r="D41" s="30" t="n">
        <v>0.5</v>
      </c>
      <c r="E41" s="25" t="n"/>
      <c r="F41" s="25" t="n"/>
      <c r="G41" s="25" t="n"/>
      <c r="H41" s="25" t="n"/>
      <c r="I41" s="25" t="n"/>
      <c r="J41" s="25" t="n"/>
    </row>
    <row r="42" ht="19.5" customHeight="1">
      <c r="A42" s="25" t="n"/>
      <c r="B42" s="26" t="inlineStr">
        <is>
          <t>$PM CATRUN</t>
        </is>
      </c>
      <c r="C42" s="27" t="inlineStr">
        <is>
          <t>CAT RUN PM</t>
        </is>
      </c>
      <c r="D42" s="30" t="n">
        <v>0.5</v>
      </c>
      <c r="E42" s="25" t="n"/>
      <c r="F42" s="25" t="n"/>
      <c r="G42" s="25" t="n"/>
      <c r="H42" s="25" t="n"/>
      <c r="I42" s="25" t="n"/>
      <c r="J42" s="25" t="n"/>
    </row>
    <row r="43" ht="19.5" customHeight="1">
      <c r="A43" s="25" t="n"/>
      <c r="B43" s="26" t="inlineStr">
        <is>
          <t>$PM SOC</t>
        </is>
      </c>
      <c r="C43" s="27" t="inlineStr">
        <is>
          <t>SOC PM</t>
        </is>
      </c>
      <c r="D43" s="30" t="n">
        <v>0.5</v>
      </c>
      <c r="E43" s="25" t="n"/>
      <c r="F43" s="25" t="n"/>
      <c r="G43" s="25" t="n"/>
      <c r="H43" s="25" t="n"/>
      <c r="I43" s="25" t="n"/>
      <c r="J43" s="25" t="n"/>
    </row>
    <row r="44" ht="19.5" customHeight="1">
      <c r="A44" s="25" t="n"/>
      <c r="B44" s="26" t="inlineStr">
        <is>
          <t>$M HG</t>
        </is>
      </c>
      <c r="C44" s="27" t="inlineStr">
        <is>
          <t>Hand granade long</t>
        </is>
      </c>
      <c r="D44" s="30" t="n">
        <v>1</v>
      </c>
      <c r="E44" s="25" t="n"/>
      <c r="F44" s="25" t="n"/>
      <c r="G44" s="25" t="n"/>
      <c r="H44" s="25" t="n"/>
      <c r="I44" s="25" t="n"/>
      <c r="J44" s="25" t="n"/>
    </row>
    <row r="45" ht="19.5" customHeight="1">
      <c r="A45" s="25" t="n"/>
      <c r="B45" s="26" t="inlineStr">
        <is>
          <t>$M BIC</t>
        </is>
      </c>
      <c r="C45" s="27" t="inlineStr">
        <is>
          <t>BIC long</t>
        </is>
      </c>
      <c r="D45" s="30" t="n">
        <v>1</v>
      </c>
      <c r="E45" s="25" t="n"/>
      <c r="F45" s="25" t="n"/>
      <c r="G45" s="25" t="n"/>
      <c r="H45" s="25" t="n"/>
      <c r="I45" s="25" t="n"/>
      <c r="J45" s="25" t="n"/>
    </row>
    <row r="46" ht="19.5" customHeight="1">
      <c r="A46" s="25" t="n"/>
      <c r="B46" s="26" t="inlineStr">
        <is>
          <t>$M 12KM</t>
        </is>
      </c>
      <c r="C46" s="27" t="inlineStr">
        <is>
          <t>12KM long</t>
        </is>
      </c>
      <c r="D46" s="30" t="n">
        <v>1</v>
      </c>
      <c r="E46" s="25" t="n"/>
      <c r="F46" s="25" t="n"/>
      <c r="G46" s="25" t="n"/>
      <c r="H46" s="25" t="n"/>
      <c r="I46" s="25" t="n"/>
      <c r="J46" s="25" t="n"/>
    </row>
    <row r="47" ht="19.5" customHeight="1">
      <c r="A47" s="25" t="n"/>
      <c r="B47" s="26" t="inlineStr">
        <is>
          <t>$M DE</t>
        </is>
      </c>
      <c r="C47" s="27" t="inlineStr">
        <is>
          <t>DE Long</t>
        </is>
      </c>
      <c r="D47" s="30" t="n">
        <v>1</v>
      </c>
      <c r="E47" s="25" t="n"/>
      <c r="F47" s="25" t="n"/>
      <c r="G47" s="25" t="n"/>
      <c r="H47" s="25" t="n"/>
      <c r="I47" s="25" t="n"/>
      <c r="J47" s="25" t="n"/>
    </row>
    <row r="48" ht="19.5" customHeight="1">
      <c r="A48" s="25" t="n"/>
      <c r="B48" s="26" t="inlineStr">
        <is>
          <t>$L 16KM</t>
        </is>
      </c>
      <c r="C48" s="27" t="inlineStr">
        <is>
          <t>16km l</t>
        </is>
      </c>
      <c r="D48" s="30" t="n">
        <v>1</v>
      </c>
      <c r="E48" s="25" t="n"/>
      <c r="J48" s="25" t="n"/>
    </row>
    <row r="49" ht="19.5" customHeight="1">
      <c r="A49" s="25" t="n"/>
      <c r="B49" s="31" t="inlineStr">
        <is>
          <t>$L RE-SIT</t>
        </is>
      </c>
      <c r="C49" s="32" t="inlineStr">
        <is>
          <t xml:space="preserve">RE SIT-TEST </t>
        </is>
      </c>
      <c r="D49" s="30" t="n">
        <v>1</v>
      </c>
      <c r="E49" s="25" t="n"/>
      <c r="J49" s="25" t="n"/>
    </row>
    <row r="50" ht="19.5" customHeight="1">
      <c r="A50" s="25" t="n"/>
      <c r="B50" s="26" t="inlineStr">
        <is>
          <t>$L CQB</t>
        </is>
      </c>
      <c r="C50" s="27" t="inlineStr">
        <is>
          <t>CQB</t>
        </is>
      </c>
      <c r="D50" s="30" t="n">
        <v>1</v>
      </c>
      <c r="E50" s="25" t="n"/>
      <c r="J50" s="25" t="n"/>
    </row>
    <row r="51" ht="19.5" customHeight="1">
      <c r="A51" s="25" t="n"/>
      <c r="B51" s="26" t="inlineStr">
        <is>
          <t>$BTP</t>
        </is>
      </c>
      <c r="C51" s="27" t="inlineStr">
        <is>
          <t>BTP</t>
        </is>
      </c>
      <c r="D51" s="30" t="n">
        <v>1.5</v>
      </c>
      <c r="E51" s="25" t="n"/>
      <c r="J51" s="25" t="n"/>
    </row>
    <row r="52" ht="19.5" customHeight="1">
      <c r="A52" s="25" t="n"/>
      <c r="B52" s="26" t="inlineStr">
        <is>
          <t>$FC</t>
        </is>
      </c>
      <c r="C52" s="27" t="inlineStr">
        <is>
          <t>Field Camp</t>
        </is>
      </c>
      <c r="D52" s="30" t="n">
        <v>1</v>
      </c>
      <c r="E52" s="25" t="n"/>
      <c r="J52" s="25" t="n"/>
    </row>
    <row r="53" ht="19.5" customHeight="1">
      <c r="A53" s="25" t="n"/>
      <c r="B53" s="33" t="n"/>
      <c r="C53" s="25" t="n"/>
      <c r="D53" s="25" t="n"/>
      <c r="E53" s="25" t="n"/>
      <c r="J53" s="25" t="n"/>
    </row>
    <row r="54" ht="19.5" customHeight="1">
      <c r="A54" s="25" t="n"/>
      <c r="B54" s="33" t="n"/>
      <c r="C54" s="25" t="n"/>
      <c r="D54" s="25" t="n"/>
      <c r="E54" s="25" t="n"/>
      <c r="J54" s="25" t="n"/>
    </row>
    <row r="55" ht="19.5" customHeight="1">
      <c r="A55" s="25" t="n"/>
      <c r="B55" s="33" t="n"/>
      <c r="C55" s="25" t="n"/>
      <c r="D55" s="25" t="n"/>
      <c r="E55" s="25" t="n"/>
      <c r="J55" s="25" t="n"/>
    </row>
    <row r="56" ht="19.5" customHeight="1">
      <c r="A56" s="25" t="n"/>
      <c r="B56" s="33" t="n"/>
      <c r="C56" s="25" t="n"/>
      <c r="D56" s="25" t="n"/>
      <c r="E56" s="25" t="n"/>
      <c r="J56" s="25" t="n"/>
    </row>
  </sheetData>
  <mergeCells count="5">
    <mergeCell ref="B6:C6"/>
    <mergeCell ref="B2:C2"/>
    <mergeCell ref="B3:C3"/>
    <mergeCell ref="B1:C1"/>
    <mergeCell ref="B4:C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G39"/>
  <sheetViews>
    <sheetView workbookViewId="0">
      <selection activeCell="A1" sqref="A1"/>
    </sheetView>
  </sheetViews>
  <sheetFormatPr baseColWidth="8" defaultColWidth="12.6285714285714" defaultRowHeight="15.75" customHeight="1"/>
  <cols>
    <col width="13.1333333333333" customWidth="1" min="1" max="1"/>
    <col width="14.3809523809524" customWidth="1" min="2" max="2"/>
    <col width="37.3809523809524" customWidth="1" min="3" max="3"/>
  </cols>
  <sheetData>
    <row r="1">
      <c r="A1" s="1" t="n"/>
      <c r="B1" s="2" t="inlineStr">
        <is>
          <t>TEKONG 8KM</t>
        </is>
      </c>
      <c r="C1" s="2" t="inlineStr">
        <is>
          <t>NAME</t>
        </is>
      </c>
      <c r="D1" s="2" t="inlineStr">
        <is>
          <t>UNIT</t>
        </is>
      </c>
      <c r="G1" s="3" t="n"/>
    </row>
    <row r="2">
      <c r="A2" s="1" t="n"/>
      <c r="B2" s="106" t="inlineStr">
        <is>
          <t>SCH 3</t>
        </is>
      </c>
      <c r="C2" s="5" t="inlineStr">
        <is>
          <t>LCP YASIR</t>
        </is>
      </c>
      <c r="D2" s="106" t="inlineStr">
        <is>
          <t>PTMC</t>
        </is>
      </c>
      <c r="G2" s="3" t="n"/>
    </row>
    <row r="3">
      <c r="A3" s="1" t="n"/>
      <c r="B3" s="6" t="inlineStr">
        <is>
          <t>SCH 3</t>
        </is>
      </c>
      <c r="C3" s="7" t="inlineStr">
        <is>
          <t>PTE RALPH</t>
        </is>
      </c>
      <c r="D3" s="6" t="inlineStr">
        <is>
          <t>PTMC</t>
        </is>
      </c>
      <c r="G3" s="3" t="n"/>
    </row>
    <row r="4">
      <c r="A4" s="1" t="n"/>
      <c r="B4" s="6" t="inlineStr">
        <is>
          <t>SCH 3</t>
        </is>
      </c>
      <c r="C4" s="7" t="inlineStr">
        <is>
          <t>LCP RAIYAN</t>
        </is>
      </c>
      <c r="D4" s="6" t="inlineStr">
        <is>
          <t>PTMC</t>
        </is>
      </c>
      <c r="G4" s="3" t="n"/>
    </row>
    <row r="5">
      <c r="A5" s="1" t="n"/>
      <c r="B5" s="6" t="inlineStr">
        <is>
          <t>SCH 4</t>
        </is>
      </c>
      <c r="C5" s="7" t="inlineStr">
        <is>
          <t>PTE KOH KAH SENG</t>
        </is>
      </c>
      <c r="D5" s="8" t="inlineStr">
        <is>
          <t>RHMC</t>
        </is>
      </c>
      <c r="G5" s="3" t="n"/>
    </row>
    <row r="6">
      <c r="A6" s="1" t="n"/>
      <c r="B6" s="1" t="n"/>
      <c r="C6" s="1" t="n"/>
      <c r="D6" s="1" t="n"/>
      <c r="G6" s="3" t="n"/>
    </row>
    <row r="7">
      <c r="A7" s="1" t="n"/>
      <c r="B7" s="1" t="n"/>
      <c r="C7" s="1" t="n"/>
      <c r="D7" s="1" t="n"/>
      <c r="G7" s="3" t="n"/>
    </row>
    <row r="8">
      <c r="A8" s="1" t="n"/>
      <c r="B8" s="2" t="inlineStr">
        <is>
          <t>OUTSIDE 16KM</t>
        </is>
      </c>
      <c r="C8" s="2" t="inlineStr">
        <is>
          <t>NAME</t>
        </is>
      </c>
      <c r="D8" s="2" t="inlineStr">
        <is>
          <t>UNIT</t>
        </is>
      </c>
    </row>
    <row r="9">
      <c r="A9" s="1" t="n"/>
      <c r="B9" s="106" t="inlineStr">
        <is>
          <t>SFT</t>
        </is>
      </c>
      <c r="C9" s="5" t="inlineStr">
        <is>
          <t>LCP ETIENNE</t>
        </is>
      </c>
      <c r="D9" s="106" t="inlineStr">
        <is>
          <t>PTMC</t>
        </is>
      </c>
    </row>
    <row r="10">
      <c r="A10" s="1" t="n"/>
      <c r="B10" s="9" t="inlineStr">
        <is>
          <t>SP1 (SV)</t>
        </is>
      </c>
      <c r="C10" s="10" t="inlineStr">
        <is>
          <t>LCP SHAUKI</t>
        </is>
      </c>
      <c r="D10" s="106" t="inlineStr">
        <is>
          <t>PTMC</t>
        </is>
      </c>
    </row>
    <row r="11">
      <c r="A11" s="1" t="n"/>
      <c r="B11" s="9" t="inlineStr">
        <is>
          <t>RP1 (RP)</t>
        </is>
      </c>
      <c r="C11" s="10" t="inlineStr">
        <is>
          <t>LCP HAMZA</t>
        </is>
      </c>
      <c r="D11" s="106" t="inlineStr">
        <is>
          <t>PTMC</t>
        </is>
      </c>
    </row>
    <row r="12">
      <c r="A12" s="1" t="n"/>
      <c r="B12" s="106" t="inlineStr">
        <is>
          <t>RP1 (SV)</t>
        </is>
      </c>
      <c r="C12" s="5" t="inlineStr">
        <is>
          <t>PTE MATTHEW TAN</t>
        </is>
      </c>
      <c r="D12" s="8" t="inlineStr">
        <is>
          <t>RHMC</t>
        </is>
      </c>
    </row>
    <row r="13">
      <c r="A13" s="1" t="n"/>
      <c r="B13" s="9" t="inlineStr">
        <is>
          <t>RP2 (RP)</t>
        </is>
      </c>
      <c r="C13" s="10" t="inlineStr">
        <is>
          <t>LCP EDWARD GAN</t>
        </is>
      </c>
      <c r="D13" s="106" t="inlineStr">
        <is>
          <t>PTMC</t>
        </is>
      </c>
    </row>
    <row r="14">
      <c r="A14" s="1" t="n"/>
      <c r="B14" s="9" t="inlineStr">
        <is>
          <t>RP2 (RP)</t>
        </is>
      </c>
      <c r="C14" s="10" t="inlineStr">
        <is>
          <t>CFC DERRICK CHIN</t>
        </is>
      </c>
      <c r="D14" s="106" t="inlineStr">
        <is>
          <t>PTMC</t>
        </is>
      </c>
    </row>
    <row r="15">
      <c r="A15" s="1" t="n"/>
      <c r="B15" s="9" t="inlineStr">
        <is>
          <t>RP2 (SV)</t>
        </is>
      </c>
      <c r="C15" s="10" t="inlineStr">
        <is>
          <t>LCP ANIRUDH</t>
        </is>
      </c>
      <c r="D15" s="106" t="inlineStr">
        <is>
          <t>PTMC</t>
        </is>
      </c>
    </row>
    <row r="16">
      <c r="A16" s="1" t="n"/>
      <c r="B16" s="106" t="inlineStr">
        <is>
          <t>RP3 (RP)</t>
        </is>
      </c>
      <c r="C16" s="5" t="inlineStr">
        <is>
          <t>LCP ETHAN GOH</t>
        </is>
      </c>
      <c r="D16" s="8" t="inlineStr">
        <is>
          <t>RHMC</t>
        </is>
      </c>
    </row>
    <row r="17">
      <c r="A17" s="1" t="n"/>
      <c r="B17" s="106" t="inlineStr">
        <is>
          <t>RP3 (RP)</t>
        </is>
      </c>
      <c r="C17" s="5" t="inlineStr">
        <is>
          <t>CFC AINSLEY</t>
        </is>
      </c>
      <c r="D17" s="8" t="inlineStr">
        <is>
          <t>RHMC</t>
        </is>
      </c>
    </row>
    <row r="18">
      <c r="A18" s="1" t="n"/>
      <c r="B18" s="106" t="inlineStr">
        <is>
          <t>RP3 (SV)</t>
        </is>
      </c>
      <c r="C18" s="5" t="inlineStr">
        <is>
          <t>CFC AMSYAR</t>
        </is>
      </c>
      <c r="D18" s="8" t="inlineStr">
        <is>
          <t>RHMC</t>
        </is>
      </c>
    </row>
    <row r="19">
      <c r="A19" s="1" t="n"/>
      <c r="B19" s="9" t="inlineStr">
        <is>
          <t>EP (RP)</t>
        </is>
      </c>
      <c r="C19" s="10" t="inlineStr">
        <is>
          <t>NIL</t>
        </is>
      </c>
      <c r="D19" s="106" t="n"/>
    </row>
    <row r="20">
      <c r="A20" s="1" t="n"/>
      <c r="B20" s="9" t="inlineStr">
        <is>
          <t>EP (SV)</t>
        </is>
      </c>
      <c r="C20" s="10" t="inlineStr">
        <is>
          <t>LCP JIHUI</t>
        </is>
      </c>
      <c r="D20" s="106" t="inlineStr">
        <is>
          <t>PTMC</t>
        </is>
      </c>
    </row>
    <row r="21">
      <c r="A21" s="1" t="n"/>
      <c r="B21" s="9" t="inlineStr">
        <is>
          <t>MMU 1</t>
        </is>
      </c>
      <c r="C21" s="10" t="inlineStr">
        <is>
          <t>LCP HYDER</t>
        </is>
      </c>
      <c r="D21" s="106" t="inlineStr">
        <is>
          <t>PTMC</t>
        </is>
      </c>
    </row>
    <row r="22">
      <c r="A22" s="1" t="n"/>
      <c r="B22" s="106" t="inlineStr">
        <is>
          <t>MMU 2</t>
        </is>
      </c>
      <c r="C22" s="5" t="inlineStr">
        <is>
          <t>PTE DAANYAAL</t>
        </is>
      </c>
      <c r="D22" s="8" t="inlineStr">
        <is>
          <t>RHMC</t>
        </is>
      </c>
    </row>
    <row r="27">
      <c r="B27" s="2" t="inlineStr">
        <is>
          <t>GP ROLES</t>
        </is>
      </c>
      <c r="C27" s="2" t="inlineStr">
        <is>
          <t>NAME</t>
        </is>
      </c>
      <c r="D27" s="2" t="inlineStr">
        <is>
          <t>UNIT</t>
        </is>
      </c>
    </row>
    <row r="28">
      <c r="B28" s="6" t="inlineStr">
        <is>
          <t xml:space="preserve">FAP 1 IC </t>
        </is>
      </c>
      <c r="C28" s="11" t="inlineStr">
        <is>
          <t>3SG SAMUEL TAN</t>
        </is>
      </c>
      <c r="D28" s="106" t="inlineStr">
        <is>
          <t>PTMC</t>
        </is>
      </c>
    </row>
    <row r="29">
      <c r="B29" s="6" t="inlineStr">
        <is>
          <t>FAP 2 IC</t>
        </is>
      </c>
      <c r="C29" s="6" t="inlineStr">
        <is>
          <t>CPL JIANG RUI</t>
        </is>
      </c>
      <c r="D29" s="106" t="inlineStr">
        <is>
          <t>PTMC</t>
        </is>
      </c>
    </row>
    <row r="30">
      <c r="B30" s="6" t="inlineStr">
        <is>
          <t>FAP 3 IC</t>
        </is>
      </c>
      <c r="C30" s="6" t="inlineStr">
        <is>
          <t>LCP RAPHAEL</t>
        </is>
      </c>
      <c r="D30" s="106" t="inlineStr">
        <is>
          <t>PTMC</t>
        </is>
      </c>
    </row>
    <row r="31">
      <c r="B31" s="6" t="inlineStr">
        <is>
          <t xml:space="preserve">FAP 4 IC </t>
        </is>
      </c>
      <c r="C31" s="6" t="inlineStr">
        <is>
          <t>CPL WILLARD</t>
        </is>
      </c>
      <c r="D31" s="106" t="inlineStr">
        <is>
          <t>PTMC</t>
        </is>
      </c>
    </row>
    <row r="32">
      <c r="B32" s="6" t="inlineStr">
        <is>
          <t>Spotter</t>
        </is>
      </c>
      <c r="C32" s="6" t="inlineStr">
        <is>
          <t>CFC ETHAN KOH</t>
        </is>
      </c>
      <c r="D32" s="8" t="inlineStr">
        <is>
          <t>RHMC</t>
        </is>
      </c>
    </row>
    <row r="33">
      <c r="B33" s="6" t="inlineStr">
        <is>
          <t>Spotter</t>
        </is>
      </c>
      <c r="C33" s="6" t="inlineStr">
        <is>
          <t>CFC BRENDON TOH</t>
        </is>
      </c>
      <c r="D33" s="8" t="inlineStr">
        <is>
          <t>RHMC</t>
        </is>
      </c>
    </row>
    <row r="34">
      <c r="B34" s="6" t="inlineStr">
        <is>
          <t>Stretcher Party</t>
        </is>
      </c>
      <c r="C34" s="6" t="inlineStr">
        <is>
          <t>LCP LAN ZHI XIANG</t>
        </is>
      </c>
      <c r="D34" s="8" t="inlineStr">
        <is>
          <t>RHMC</t>
        </is>
      </c>
    </row>
    <row r="35">
      <c r="B35" s="6" t="inlineStr">
        <is>
          <t>Stretcher Party</t>
        </is>
      </c>
      <c r="C35" s="6" t="inlineStr">
        <is>
          <t>LCP JOVAN CHUA</t>
        </is>
      </c>
      <c r="D35" s="8" t="inlineStr">
        <is>
          <t>RHMC</t>
        </is>
      </c>
    </row>
    <row r="36">
      <c r="B36" s="6" t="inlineStr">
        <is>
          <t>Stretcher Party</t>
        </is>
      </c>
      <c r="C36" s="6" t="inlineStr">
        <is>
          <t>3SG ISAAC HO</t>
        </is>
      </c>
      <c r="D36" s="8" t="inlineStr">
        <is>
          <t>RHMC</t>
        </is>
      </c>
    </row>
    <row r="37">
      <c r="B37" s="6" t="inlineStr">
        <is>
          <t>Stretcher Party</t>
        </is>
      </c>
      <c r="C37" s="6" t="inlineStr">
        <is>
          <t>CPL JULIAN TAN</t>
        </is>
      </c>
      <c r="D37" s="8" t="inlineStr">
        <is>
          <t>RHMC</t>
        </is>
      </c>
    </row>
    <row r="38">
      <c r="B38" s="6" t="inlineStr">
        <is>
          <t>AMB IC</t>
        </is>
      </c>
      <c r="C38" s="6" t="inlineStr">
        <is>
          <t>LCP EKLAVYA</t>
        </is>
      </c>
      <c r="D38" s="106" t="inlineStr">
        <is>
          <t>PTMC</t>
        </is>
      </c>
    </row>
    <row r="39">
      <c r="B39" s="6" t="inlineStr">
        <is>
          <t>AMB IC</t>
        </is>
      </c>
      <c r="C39" s="6" t="inlineStr">
        <is>
          <t>CFC GERALD TAN</t>
        </is>
      </c>
      <c r="D39" s="106" t="inlineStr">
        <is>
          <t>PTMC</t>
        </is>
      </c>
    </row>
  </sheetData>
  <conditionalFormatting sqref="C28">
    <cfRule type="cellIs" priority="1" operator="equal" dxfId="155">
      <formula>"RESERVE"</formula>
    </cfRule>
  </conditionalFormatting>
  <dataValidations count="1">
    <dataValidation sqref="C28" showDropDown="1" showInputMessage="0" showErrorMessage="0" allowBlank="1" type="list">
      <formula1>'Setting key Duty'!$B$7:$B$56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2026-07-19T09:53:00Z</dcterms:created>
  <dcterms:modified xsi:type="dcterms:W3CDTF">2026-07-19T16:35:54Z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ReadingLayout" fmtid="{D5CDD505-2E9C-101B-9397-08002B2CF9AE}" pid="2">
    <vt:bool>1</vt:bool>
  </property>
  <property name="ICV" fmtid="{D5CDD505-2E9C-101B-9397-08002B2CF9AE}" pid="3">
    <vt:lpwstr>BBE8D4D7984D475FA8A6030F49FCE18D_12</vt:lpwstr>
  </property>
  <property name="KSOProductBuildVer" fmtid="{D5CDD505-2E9C-101B-9397-08002B2CF9AE}" pid="4">
    <vt:lpwstr>1033-12.1.0.27458</vt:lpwstr>
  </property>
  <property name="CalculationRule" fmtid="{D5CDD505-2E9C-101B-9397-08002B2CF9AE}" pid="5">
    <vt:i4>0</vt:i4>
  </property>
</Properties>
</file>