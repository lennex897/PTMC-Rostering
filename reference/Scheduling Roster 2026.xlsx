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  <Override PartName="/xl/tables/table28.xml" ContentType="application/vnd.openxmlformats-officedocument.spreadsheetml.table+xml"/>
  <Override PartName="/xl/tables/table4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13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0.xml" ContentType="application/vnd.openxmlformats-officedocument.spreadsheetml.table+xml"/>
  <Override PartName="/xl/tables/table25.xml" ContentType="application/vnd.openxmlformats-officedocument.spreadsheetml.table+xml"/>
  <Override PartName="/xl/tables/table14.xml" ContentType="application/vnd.openxmlformats-officedocument.spreadsheetml.table+xml"/>
  <Override PartName="/xl/tables/table11.xml" ContentType="application/vnd.openxmlformats-officedocument.spreadsheetml.table+xml"/>
  <Override PartName="/xl/tables/table1.xml" ContentType="application/vnd.openxmlformats-officedocument.spreadsheetml.table+xml"/>
  <Override PartName="/xl/tables/table29.xml" ContentType="application/vnd.openxmlformats-officedocument.spreadsheetml.table+xml"/>
  <Override PartName="/xl/tables/table17.xml" ContentType="application/vnd.openxmlformats-officedocument.spreadsheetml.table+xml"/>
  <Override PartName="/xl/tables/table9.xml" ContentType="application/vnd.openxmlformats-officedocument.spreadsheetml.table+xml"/>
  <Override PartName="/xl/tables/table21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2.xml" ContentType="application/vnd.openxmlformats-officedocument.spreadsheetml.table+xml"/>
  <Override PartName="/xl/tables/table15.xml" ContentType="application/vnd.openxmlformats-officedocument.spreadsheetml.table+xml"/>
  <Override PartName="/xl/tables/table23.xml" ContentType="application/vnd.openxmlformats-officedocument.spreadsheetml.table+xml"/>
  <Override PartName="/xl/tables/table16.xml" ContentType="application/vnd.openxmlformats-officedocument.spreadsheetml.table+xml"/>
  <Override PartName="/xl/tables/table26.xml" ContentType="application/vnd.openxmlformats-officedocument.spreadsheetml.table+xml"/>
  <Override PartName="/xl/tables/table10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2.xml" ContentType="application/vnd.openxmlformats-officedocument.spreadsheetml.table+xml"/>
  <Override PartName="/xl/tables/table24.xml" ContentType="application/vnd.openxmlformats-officedocument.spreadsheetml.table+xml"/>
  <Override PartName="/xl/tables/table8.xml" ContentType="application/vnd.openxmlformats-officedocument.spreadsheetml.table+xml"/>
  <Override PartName="/xl/tables/table2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5"/>
  </bookViews>
  <sheets>
    <sheet name="Nov-2024-Roster" sheetId="1" state="visible" r:id="rId3"/>
    <sheet name="Dec-2024-Roster" sheetId="2" state="visible" r:id="rId4"/>
    <sheet name="Jan-2025-Roster" sheetId="3" state="visible" r:id="rId5"/>
    <sheet name="Feb-2025-Roster" sheetId="4" state="visible" r:id="rId6"/>
    <sheet name="Mar-2025-Roster" sheetId="5" state="visible" r:id="rId7"/>
    <sheet name="Apr-2025-Roster" sheetId="6" state="visible" r:id="rId8"/>
    <sheet name="May-2025-Roster" sheetId="7" state="visible" r:id="rId9"/>
    <sheet name="Jun-2025-Roster" sheetId="8" state="visible" r:id="rId10"/>
    <sheet name="Jul-2025-Roster" sheetId="9" state="visible" r:id="rId11"/>
    <sheet name="Feb-2026-Roster" sheetId="10" state="visible" r:id="rId12"/>
    <sheet name="Mar-2026-Roster" sheetId="11" state="visible" r:id="rId13"/>
    <sheet name="Apr-2026-Roster" sheetId="12" state="visible" r:id="rId14"/>
    <sheet name="May-2026-Roster" sheetId="13" state="visible" r:id="rId15"/>
    <sheet name="Jun-2026 Roster" sheetId="14" state="visible" r:id="rId16"/>
    <sheet name="Jul-2026 Roster" sheetId="15" state="visible" r:id="rId17"/>
    <sheet name="Aug-2026 Roster" sheetId="16" state="visible" r:id="rId18"/>
    <sheet name="Personnel" sheetId="17" state="visible" r:id="rId19"/>
    <sheet name="Setting key Duty" sheetId="18" state="visible" r:id="rId20"/>
    <sheet name="GPGX ROLES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<sst xmlns="http://schemas.openxmlformats.org/spreadsheetml/2006/main" count="8645" uniqueCount="1182">
  <si>
    <t xml:space="preserve">Type of req:
Reason:</t>
  </si>
  <si>
    <t xml:space="preserve">Event Log</t>
  </si>
  <si>
    <t xml:space="preserve">C VACC 2</t>
  </si>
  <si>
    <t xml:space="preserve">F VACC 2</t>
  </si>
  <si>
    <t xml:space="preserve">E VACC 1</t>
  </si>
  <si>
    <t xml:space="preserve">T VACC 1</t>
  </si>
  <si>
    <t xml:space="preserve">B VACC 1</t>
  </si>
  <si>
    <t xml:space="preserve">U VACC 2</t>
  </si>
  <si>
    <t xml:space="preserve">A VACC 1</t>
  </si>
  <si>
    <t xml:space="preserve">V VACC 2</t>
  </si>
  <si>
    <t xml:space="preserve">W VACC 2</t>
  </si>
  <si>
    <t xml:space="preserve">O VACC 2</t>
  </si>
  <si>
    <t xml:space="preserve">N VACC 1</t>
  </si>
  <si>
    <t xml:space="preserve">R VACC 2</t>
  </si>
  <si>
    <t xml:space="preserve">P VACC 1</t>
  </si>
  <si>
    <t xml:space="preserve">S VACC 1</t>
  </si>
  <si>
    <t xml:space="preserve">0.3125+0.0625+0.5
long+stay+pass12</t>
  </si>
  <si>
    <t xml:space="preserve">0.3125+0.125
Long hr+aft 1730</t>
  </si>
  <si>
    <t xml:space="preserve">0.125+0.125+0.0625
Bef 0730+Aft1730+stay</t>
  </si>
  <si>
    <t xml:space="preserve">0.125
after 1730</t>
  </si>
  <si>
    <t xml:space="preserve">stay in+ bef 0730</t>
  </si>
  <si>
    <t xml:space="preserve">Rostering</t>
  </si>
  <si>
    <t xml:space="preserve">Weekday Duty</t>
  </si>
  <si>
    <t xml:space="preserve">Weekday Extra</t>
  </si>
  <si>
    <t xml:space="preserve">Weekend Duty</t>
  </si>
  <si>
    <t xml:space="preserve">Weekend Extra</t>
  </si>
  <si>
    <t xml:space="preserve">Duty Point</t>
  </si>
  <si>
    <t xml:space="preserve">Total Duty</t>
  </si>
  <si>
    <t xml:space="preserve">Total Cover</t>
  </si>
  <si>
    <t xml:space="preserve">Total Point</t>
  </si>
  <si>
    <t xml:space="preserve">Total Cover
Point</t>
  </si>
  <si>
    <t xml:space="preserve">Bedok RT</t>
  </si>
  <si>
    <t xml:space="preserve">BTP</t>
  </si>
  <si>
    <t xml:space="preserve">$BTP
Point</t>
  </si>
  <si>
    <t xml:space="preserve">Long Cover</t>
  </si>
  <si>
    <t xml:space="preserve">$L
Point</t>
  </si>
  <si>
    <t xml:space="preserve">Mid Cover</t>
  </si>
  <si>
    <t xml:space="preserve">$M 
Point</t>
  </si>
  <si>
    <t xml:space="preserve">Cover
 Normal Hour</t>
  </si>
  <si>
    <t xml:space="preserve">Cover
After Hour</t>
  </si>
  <si>
    <t xml:space="preserve">$PM
Point</t>
  </si>
  <si>
    <t xml:space="preserve">Cover
Early</t>
  </si>
  <si>
    <t xml:space="preserve">$AM
Point</t>
  </si>
  <si>
    <t xml:space="preserve">$FC
Point</t>
  </si>
  <si>
    <t xml:space="preserve">Updated on: 26/10/1018</t>
  </si>
  <si>
    <t xml:space="preserve">BRT</t>
  </si>
  <si>
    <t xml:space="preserve">$BTP</t>
  </si>
  <si>
    <t xml:space="preserve">$L</t>
  </si>
  <si>
    <t xml:space="preserve">$M</t>
  </si>
  <si>
    <t xml:space="preserve">$N</t>
  </si>
  <si>
    <t xml:space="preserve">$PM</t>
  </si>
  <si>
    <t xml:space="preserve">$AM</t>
  </si>
  <si>
    <t xml:space="preserve">X</t>
  </si>
  <si>
    <t xml:space="preserve">CFC MUHAMAD HAZMI BIN MOHD ZULKIFLI</t>
  </si>
  <si>
    <t xml:space="preserve">OL</t>
  </si>
  <si>
    <t xml:space="preserve">AL</t>
  </si>
  <si>
    <t xml:space="preserve">CS1</t>
  </si>
  <si>
    <t xml:space="preserve">DM</t>
  </si>
  <si>
    <t xml:space="preserve">SB1</t>
  </si>
  <si>
    <t xml:space="preserve">CS2</t>
  </si>
  <si>
    <t xml:space="preserve">CPL MUHAMMAD IZZAN RIZAL</t>
  </si>
  <si>
    <t xml:space="preserve">AMPT</t>
  </si>
  <si>
    <t xml:space="preserve">LCP KARTHIKRAM KRISHNAN</t>
  </si>
  <si>
    <t xml:space="preserve">CPL MUHAMMAD AQIL BIN ABDULLAH</t>
  </si>
  <si>
    <t xml:space="preserve">LCP FARABI BIN ZULKIFLI</t>
  </si>
  <si>
    <t xml:space="preserve">AE</t>
  </si>
  <si>
    <t xml:space="preserve">CFC MOHAMAD HIDAYAT BIN MOHAMAD YUSOFF</t>
  </si>
  <si>
    <t xml:space="preserve">DA</t>
  </si>
  <si>
    <t xml:space="preserve">LCP MUHAMMAD KHIDIR BIN ZAKARIA</t>
  </si>
  <si>
    <t xml:space="preserve">MA</t>
  </si>
  <si>
    <t xml:space="preserve">CPL MOHD AMEER KHAN S/O BASHIR ISMAIL</t>
  </si>
  <si>
    <t xml:space="preserve">MC</t>
  </si>
  <si>
    <t xml:space="preserve">LCP ALPHA KELVIN ISAAC BIN MUHAMMAD MCKEVIN LAWRENCE</t>
  </si>
  <si>
    <t xml:space="preserve">R $FC</t>
  </si>
  <si>
    <t xml:space="preserve">C $M 12 KM RM (1400-2359)</t>
  </si>
  <si>
    <t xml:space="preserve">E $M ISAD (0530-2000)</t>
  </si>
  <si>
    <t xml:space="preserve">LCP RAZIN HILMANSYAH BIN ROSLI</t>
  </si>
  <si>
    <t xml:space="preserve">B (MALAYSIA)</t>
  </si>
  <si>
    <t xml:space="preserve">LCP RICKY NG RUIQI</t>
  </si>
  <si>
    <t xml:space="preserve">LCP MUHAMED AMIR BIN AHMAD FAIZAL</t>
  </si>
  <si>
    <t xml:space="preserve">BAIL</t>
  </si>
  <si>
    <t xml:space="preserve">LCP MARK TAN YIH</t>
  </si>
  <si>
    <t xml:space="preserve">CFC MOK CHENGXUN</t>
  </si>
  <si>
    <t xml:space="preserve">CPL PANG JUN YUAN</t>
  </si>
  <si>
    <t xml:space="preserve">LCP SEE WEI ZHI</t>
  </si>
  <si>
    <t xml:space="preserve">LCP ESWARAN SENTHILKUMAR</t>
  </si>
  <si>
    <t xml:space="preserve">CFC TAN WAI KEAT</t>
  </si>
  <si>
    <t xml:space="preserve">LCP WAN FARID BIN ABDULLAH</t>
  </si>
  <si>
    <t xml:space="preserve">K $FC</t>
  </si>
  <si>
    <t xml:space="preserve">R $M 12KM RM (1600-2359)</t>
  </si>
  <si>
    <t xml:space="preserve">H $M RE 12 KM RM (1700 - 2359)</t>
  </si>
  <si>
    <t xml:space="preserve">PTE JAY DEOL FROST</t>
  </si>
  <si>
    <t xml:space="preserve">D $FC</t>
  </si>
  <si>
    <t xml:space="preserve">SB2</t>
  </si>
  <si>
    <t xml:space="preserve">R $PM PERSMTAFF SOC (1530 -2000)</t>
  </si>
  <si>
    <t xml:space="preserve">O $FC</t>
  </si>
  <si>
    <t xml:space="preserve">OFF</t>
  </si>
  <si>
    <t xml:space="preserve">L $PM ER (1530-2000)</t>
  </si>
  <si>
    <t xml:space="preserve">H $M 12KM RM (1400-2359)</t>
  </si>
  <si>
    <t xml:space="preserve">LCP MUHAMMAD AQIL HAMZAH BIN SYELDRICK</t>
  </si>
  <si>
    <t xml:space="preserve">O $BTP (0530-2359)</t>
  </si>
  <si>
    <t xml:space="preserve">C $AM 8KM (0600-1100) </t>
  </si>
  <si>
    <t xml:space="preserve">HQ NSMEN $AM IPPT (0530-1000)</t>
  </si>
  <si>
    <t xml:space="preserve">R $AM 8KM (0600-1000)</t>
  </si>
  <si>
    <t xml:space="preserve">C $AM IPPT (0500-1100)</t>
  </si>
  <si>
    <t xml:space="preserve">F $M 12 KM RM (1400-2359)</t>
  </si>
  <si>
    <t xml:space="preserve">N $AM IPPT (0500-1100)</t>
  </si>
  <si>
    <t xml:space="preserve">N $M ISAD (0530-2000)</t>
  </si>
  <si>
    <t xml:space="preserve">PTE JASON TAN JIAN CHEN</t>
  </si>
  <si>
    <t xml:space="preserve">L $M BIC (0530-2000)</t>
  </si>
  <si>
    <t xml:space="preserve">F $AM 8KM (0600-1100)</t>
  </si>
  <si>
    <t xml:space="preserve">L $AM 8KM (0600-1100)</t>
  </si>
  <si>
    <t xml:space="preserve">K $M HG (0530-2000)</t>
  </si>
  <si>
    <t xml:space="preserve">O $PM ER (1530 - 20000)</t>
  </si>
  <si>
    <t xml:space="preserve">K $BTP (0530 -2359)</t>
  </si>
  <si>
    <t xml:space="preserve">C $M RE-IFC (0600-1500)</t>
  </si>
  <si>
    <t xml:space="preserve">R $AM IPPT (0530-1000)</t>
  </si>
  <si>
    <t xml:space="preserve">L $M 12KM RM (1400-2359)</t>
  </si>
  <si>
    <t xml:space="preserve">H $M RE IFC (0700-1400)</t>
  </si>
  <si>
    <t xml:space="preserve">PTE MUHAMAD LUTFIL AL-HADI</t>
  </si>
  <si>
    <t xml:space="preserve">WEDDING</t>
  </si>
  <si>
    <t xml:space="preserve">PTE JARRETT TSING KEE JIN</t>
  </si>
  <si>
    <t xml:space="preserve"> F $M BIC (0530 -2000)</t>
  </si>
  <si>
    <t xml:space="preserve">D $AM 8KM (0600-1100)</t>
  </si>
  <si>
    <t xml:space="preserve">K $PM ER (1530-2000)</t>
  </si>
  <si>
    <t xml:space="preserve">K $M BIC (0530-2000)</t>
  </si>
  <si>
    <t xml:space="preserve">F $AM RE-IPPT (0500-1100)</t>
  </si>
  <si>
    <t xml:space="preserve">O $M HG (0530-2000)</t>
  </si>
  <si>
    <t xml:space="preserve">COURSE</t>
  </si>
  <si>
    <t xml:space="preserve">PTE CHEN DENG FENG</t>
  </si>
  <si>
    <t xml:space="preserve">EXAM</t>
  </si>
  <si>
    <t xml:space="preserve">L $AM ER (0600-1100)</t>
  </si>
  <si>
    <t xml:space="preserve">L $AM IPPT (0500-1100)</t>
  </si>
  <si>
    <t xml:space="preserve">F $AM IPPT (0500-1100)</t>
  </si>
  <si>
    <t xml:space="preserve">PTE MARK WU</t>
  </si>
  <si>
    <t xml:space="preserve">H $AM 8KM (0600-1100)</t>
  </si>
  <si>
    <t xml:space="preserve">D $M BIC (0530-2000)</t>
  </si>
  <si>
    <t xml:space="preserve">D $M HG (0530-2000)</t>
  </si>
  <si>
    <t xml:space="preserve">H $PM ER (1530-2000)</t>
  </si>
  <si>
    <t xml:space="preserve">H $PM IPPT (1530-2000)</t>
  </si>
  <si>
    <t xml:space="preserve">L $AM PERSMTAFF SOC(0540-1100)</t>
  </si>
  <si>
    <t xml:space="preserve">SCH1 $M HQ GP REHEARSAL(0800 - 1700)</t>
  </si>
  <si>
    <t xml:space="preserve">PTE EUAN TING</t>
  </si>
  <si>
    <t xml:space="preserve">L $PM PERSMTAFF SOC (1530 -2000)</t>
  </si>
  <si>
    <t xml:space="preserve">D $AM IPPT (0500-1100)</t>
  </si>
  <si>
    <t xml:space="preserve">D $M 12 KM RM (1400-2359)</t>
  </si>
  <si>
    <t xml:space="preserve">C $M RE-12KM RM (1400-2359)</t>
  </si>
  <si>
    <t xml:space="preserve">L $AM PERSMTAFF SOC(0600-1100)</t>
  </si>
  <si>
    <t xml:space="preserve">Leave a blank row after the last name ^</t>
  </si>
  <si>
    <t xml:space="preserve">GX24</t>
  </si>
  <si>
    <t xml:space="preserve">GP</t>
  </si>
  <si>
    <t xml:space="preserve">LULL PERIOD (NO MORE SB1)</t>
  </si>
  <si>
    <t xml:space="preserve">CST?</t>
  </si>
  <si>
    <t xml:space="preserve">CHRISTMAS</t>
  </si>
  <si>
    <t xml:space="preserve">P VACC 2 (42SAR)</t>
  </si>
  <si>
    <t xml:space="preserve">S VACC 2 (42SAR) / NEW YEARS EVE</t>
  </si>
  <si>
    <t xml:space="preserve">Updated on: 26/10/2022</t>
  </si>
  <si>
    <t xml:space="preserve">CAREER FAIR</t>
  </si>
  <si>
    <t xml:space="preserve">DENTAL</t>
  </si>
  <si>
    <t xml:space="preserve">GP STORES</t>
  </si>
  <si>
    <t xml:space="preserve">GP REHEARSAL</t>
  </si>
  <si>
    <t xml:space="preserve">GP B</t>
  </si>
  <si>
    <t xml:space="preserve">MSP</t>
  </si>
  <si>
    <t xml:space="preserve">BAND</t>
  </si>
  <si>
    <t xml:space="preserve">PM AL</t>
  </si>
  <si>
    <t xml:space="preserve">SCH2 $AM TEKONG 8 KM (0515-1100</t>
  </si>
  <si>
    <t xml:space="preserve">PERFORMANCE</t>
  </si>
  <si>
    <t xml:space="preserve">HL</t>
  </si>
  <si>
    <t xml:space="preserve">TX B</t>
  </si>
  <si>
    <t xml:space="preserve">N $FC</t>
  </si>
  <si>
    <t xml:space="preserve">SCH1 $AM TEKONG 8KM (0515-1100)</t>
  </si>
  <si>
    <t xml:space="preserve">CPL MARK TAN YIH</t>
  </si>
  <si>
    <t xml:space="preserve">PTT</t>
  </si>
  <si>
    <t xml:space="preserve">RM</t>
  </si>
  <si>
    <t xml:space="preserve">RM OFF</t>
  </si>
  <si>
    <t xml:space="preserve">RM RECCE</t>
  </si>
  <si>
    <t xml:space="preserve">PHLEBO</t>
  </si>
  <si>
    <t xml:space="preserve">N $AM IPPPT (0500-1100)</t>
  </si>
  <si>
    <t xml:space="preserve">R $L ATP/CS (0600-2359)</t>
  </si>
  <si>
    <t xml:space="preserve">SCH 2 $M RE GX (0600-1300)</t>
  </si>
  <si>
    <t xml:space="preserve">E $AM IPPT (0500-1100)</t>
  </si>
  <si>
    <t xml:space="preserve">N $AM ER (0600-1100)</t>
  </si>
  <si>
    <t xml:space="preserve">42SAR $M ISAD (1000-2200)</t>
  </si>
  <si>
    <t xml:space="preserve">N $PM PS SOC TEST (1600-2000)</t>
  </si>
  <si>
    <t xml:space="preserve">HQBMTC $M GP REHEARSAL  (0800-1700)</t>
  </si>
  <si>
    <t xml:space="preserve">B $AM IPPT (0530-1100)</t>
  </si>
  <si>
    <t xml:space="preserve">OIL</t>
  </si>
  <si>
    <t xml:space="preserve">H $L ATP/CS (0515-2359)</t>
  </si>
  <si>
    <t xml:space="preserve">A $AM IPPT (0500-1100)</t>
  </si>
  <si>
    <t xml:space="preserve">PTE GERALD TAN</t>
  </si>
  <si>
    <t xml:space="preserve">UIP</t>
  </si>
  <si>
    <t xml:space="preserve">PTE FANG JIANGRUI</t>
  </si>
  <si>
    <t xml:space="preserve">PTE HO SHENGHUI HAYDEN</t>
  </si>
  <si>
    <t xml:space="preserve">PTE CHIA TECK IAN</t>
  </si>
  <si>
    <t xml:space="preserve">PTE ADBEEL YEO</t>
  </si>
  <si>
    <t xml:space="preserve">PTE QUEK ZI YI</t>
  </si>
  <si>
    <t xml:space="preserve">NEW YEARS</t>
  </si>
  <si>
    <t xml:space="preserve">DE</t>
  </si>
  <si>
    <t xml:space="preserve">U VACC 1 (42SAR)</t>
  </si>
  <si>
    <t xml:space="preserve">N VACC 2</t>
  </si>
  <si>
    <t xml:space="preserve">P VACC 1 (BMT)</t>
  </si>
  <si>
    <t xml:space="preserve">T VACC 1 (42SAR)</t>
  </si>
  <si>
    <t xml:space="preserve">F VACC 1</t>
  </si>
  <si>
    <t xml:space="preserve">MSP / L VACC 1</t>
  </si>
  <si>
    <t xml:space="preserve">M VACC 1</t>
  </si>
  <si>
    <t xml:space="preserve">R VACC 1</t>
  </si>
  <si>
    <t xml:space="preserve">K VACC 1</t>
  </si>
  <si>
    <t xml:space="preserve">CONFINEMENT ENDS</t>
  </si>
  <si>
    <t xml:space="preserve">CNY EVE</t>
  </si>
  <si>
    <t xml:space="preserve">CNY</t>
  </si>
  <si>
    <t xml:space="preserve">d</t>
  </si>
  <si>
    <t xml:space="preserve">CPL KARTHIKRAM KRISHNAN</t>
  </si>
  <si>
    <t xml:space="preserve">AMEER/WAN BACK UP</t>
  </si>
  <si>
    <t xml:space="preserve">FARABI BACK UP</t>
  </si>
  <si>
    <t xml:space="preserve">BCLS COURSE</t>
  </si>
  <si>
    <t xml:space="preserve">CPL FARABI BIN ZULKIFLI</t>
  </si>
  <si>
    <t xml:space="preserve">PM OFF</t>
  </si>
  <si>
    <t xml:space="preserve">N $PM CC (1530-2000)</t>
  </si>
  <si>
    <t xml:space="preserve">DISPENSE COURSE</t>
  </si>
  <si>
    <t xml:space="preserve">N $PM SOC (1530-2000)</t>
  </si>
  <si>
    <t xml:space="preserve">A $AM IPPT (0500-1000)</t>
  </si>
  <si>
    <t xml:space="preserve">B $AM IPPT(0500-1100)</t>
  </si>
  <si>
    <t xml:space="preserve">AMPT </t>
  </si>
  <si>
    <t xml:space="preserve">MM</t>
  </si>
  <si>
    <t xml:space="preserve">CPL RICKY NG RUIQI</t>
  </si>
  <si>
    <t xml:space="preserve">RC $FC</t>
  </si>
  <si>
    <t xml:space="preserve">CPL MUHAMED AMIR BIN AHMAD FAIZAL</t>
  </si>
  <si>
    <t xml:space="preserve">N $M HG (0515-2000)</t>
  </si>
  <si>
    <t xml:space="preserve"> M $AM IPPT (0500-1100)</t>
  </si>
  <si>
    <t xml:space="preserve">BIRTHDAY</t>
  </si>
  <si>
    <t xml:space="preserve">N $BTP (0515-2359)</t>
  </si>
  <si>
    <t xml:space="preserve">E $FC</t>
  </si>
  <si>
    <t xml:space="preserve">STAY IN</t>
  </si>
  <si>
    <t xml:space="preserve">CPL WAN FARID BIN ABDULLAH</t>
  </si>
  <si>
    <t xml:space="preserve">N $PM CC (1530-20000</t>
  </si>
  <si>
    <t xml:space="preserve">R $AM CC (0600-1000)</t>
  </si>
  <si>
    <t xml:space="preserve">L $AM CC (0600-1100)</t>
  </si>
  <si>
    <t xml:space="preserve">A $BTP (0530-2359)</t>
  </si>
  <si>
    <t xml:space="preserve">B $BTP (0630-2359)</t>
  </si>
  <si>
    <t xml:space="preserve">ALPHA BACK UP</t>
  </si>
  <si>
    <t xml:space="preserve">A $M HG (0530-2000)</t>
  </si>
  <si>
    <t xml:space="preserve">M $AM IPPT (0500-1100</t>
  </si>
  <si>
    <t xml:space="preserve">A $FC</t>
  </si>
  <si>
    <t xml:space="preserve">FC OFF?</t>
  </si>
  <si>
    <t xml:space="preserve">B $AM IPPT (0500-1100)</t>
  </si>
  <si>
    <t xml:space="preserve">R $AM IPPT (0500-1000)</t>
  </si>
  <si>
    <t xml:space="preserve">K $AM ER (0600-1100)</t>
  </si>
  <si>
    <t xml:space="preserve">R $PM SOC (1530-2000)</t>
  </si>
  <si>
    <t xml:space="preserve">R $PM IPPT (1500-2000)</t>
  </si>
  <si>
    <t xml:space="preserve">BACKUP</t>
  </si>
  <si>
    <t xml:space="preserve">F $AM CC (0600-1100)</t>
  </si>
  <si>
    <t xml:space="preserve">F $AM IPPT(0500-1100)</t>
  </si>
  <si>
    <t xml:space="preserve">L $M HG (0515-2000)</t>
  </si>
  <si>
    <t xml:space="preserve">PM MA</t>
  </si>
  <si>
    <t xml:space="preserve">SHADOW?</t>
  </si>
  <si>
    <t xml:space="preserve">E $BTP (0530-2359)</t>
  </si>
  <si>
    <t xml:space="preserve">B $FC</t>
  </si>
  <si>
    <t xml:space="preserve">F $M ISAD (0530-2000)</t>
  </si>
  <si>
    <t xml:space="preserve">M $AM CC (0600-1100)</t>
  </si>
  <si>
    <t xml:space="preserve">F $M HG (0530-2000)</t>
  </si>
  <si>
    <t xml:space="preserve">R $BTP (0530-2359)</t>
  </si>
  <si>
    <t xml:space="preserve">AM MA</t>
  </si>
  <si>
    <t xml:space="preserve">PTE APPLE YEO</t>
  </si>
  <si>
    <t xml:space="preserve">M $M ISAD (0515-2000)</t>
  </si>
  <si>
    <t xml:space="preserve">A VACC 2</t>
  </si>
  <si>
    <t xml:space="preserve">B VACC 2</t>
  </si>
  <si>
    <t xml:space="preserve">E VACC 2</t>
  </si>
  <si>
    <t xml:space="preserve">P VACC 2</t>
  </si>
  <si>
    <t xml:space="preserve">J VACC 1</t>
  </si>
  <si>
    <t xml:space="preserve">L VACC 2 M VACC 2</t>
  </si>
  <si>
    <t xml:space="preserve">K VACC 2</t>
  </si>
  <si>
    <t xml:space="preserve">W VACC 1</t>
  </si>
  <si>
    <t xml:space="preserve">T VACC 2</t>
  </si>
  <si>
    <t xml:space="preserve">V VACC 1</t>
  </si>
  <si>
    <t xml:space="preserve">N $AM 8KM (0600-1100)</t>
  </si>
  <si>
    <t xml:space="preserve">J $AM IPPT (0500-1100)</t>
  </si>
  <si>
    <t xml:space="preserve">M $AM 8KM (0600-1100)</t>
  </si>
  <si>
    <t xml:space="preserve">UNC</t>
  </si>
  <si>
    <t xml:space="preserve">CHALET</t>
  </si>
  <si>
    <t xml:space="preserve">E $M HG (0530-2000)</t>
  </si>
  <si>
    <t xml:space="preserve">NSMEN $AM IPPT</t>
  </si>
  <si>
    <t xml:space="preserve">F $BTP (0530-2359)</t>
  </si>
  <si>
    <t xml:space="preserve">L $M RE-IFC (0530-1500)</t>
  </si>
  <si>
    <t xml:space="preserve">SCH1 $M GP REHEARSAL (0700-1700)</t>
  </si>
  <si>
    <t xml:space="preserve">S $M RE-SIT TEST (1800-2359)</t>
  </si>
  <si>
    <t xml:space="preserve">S $M RE-SIT TEST (0000-1800)</t>
  </si>
  <si>
    <t xml:space="preserve">LCP JAY DEOL FROST</t>
  </si>
  <si>
    <t xml:space="preserve">R $M 12KM (1615 - 2359)</t>
  </si>
  <si>
    <t xml:space="preserve">E $AM REIPPT (0500-1100)</t>
  </si>
  <si>
    <t xml:space="preserve">LCP JASON TAN JIAN CHEN</t>
  </si>
  <si>
    <t xml:space="preserve">E $AM 8KM (0600-1100)</t>
  </si>
  <si>
    <t xml:space="preserve">N $M 12KM (1400-2359)</t>
  </si>
  <si>
    <t xml:space="preserve">FC OFF</t>
  </si>
  <si>
    <t xml:space="preserve">J $M ISAD (0515-2000)</t>
  </si>
  <si>
    <t xml:space="preserve">SCH1 HQ $M GP REHEARSAL (0700-1700)</t>
  </si>
  <si>
    <t xml:space="preserve">A $AM 8KM (0600-1100)</t>
  </si>
  <si>
    <t xml:space="preserve">M $PM IPPT (1500-2000)</t>
  </si>
  <si>
    <t xml:space="preserve">K $M HG (0515-2000)</t>
  </si>
  <si>
    <t xml:space="preserve">D</t>
  </si>
  <si>
    <t xml:space="preserve">B $M REIFC (0700-1300)</t>
  </si>
  <si>
    <t xml:space="preserve">CFC MARK TAN YIH</t>
  </si>
  <si>
    <t xml:space="preserve">BYE :(</t>
  </si>
  <si>
    <t xml:space="preserve">LCP CHEN DENG FENG</t>
  </si>
  <si>
    <t xml:space="preserve">B $M BIC (0530-2000)</t>
  </si>
  <si>
    <t xml:space="preserve">R $M HG (0500-2000)</t>
  </si>
  <si>
    <t xml:space="preserve">F $M RE12KM (1400-2359)</t>
  </si>
  <si>
    <t xml:space="preserve">LCP EUAN TING</t>
  </si>
  <si>
    <t xml:space="preserve">N $AM PS SOC (0600-1100)</t>
  </si>
  <si>
    <t xml:space="preserve">K $BTP (0515-2359)</t>
  </si>
  <si>
    <t xml:space="preserve">R $AM PS SOC (0600-1000)</t>
  </si>
  <si>
    <t xml:space="preserve">L $M 12KM (1400-2359)</t>
  </si>
  <si>
    <t xml:space="preserve">N $M BIC (0630-1400)</t>
  </si>
  <si>
    <t xml:space="preserve">LCP MARK WU</t>
  </si>
  <si>
    <t xml:space="preserve">FCOFF</t>
  </si>
  <si>
    <t xml:space="preserve">6TH $AM ICT IPPT (0500-1030)</t>
  </si>
  <si>
    <t xml:space="preserve">E $M 12KM (1400-2359)</t>
  </si>
  <si>
    <t xml:space="preserve">L $AM PS SOC (0600-1100)</t>
  </si>
  <si>
    <t xml:space="preserve">K $M BIC (1000-1700)</t>
  </si>
  <si>
    <t xml:space="preserve">HQ NSMEN $AM IPPT</t>
  </si>
  <si>
    <t xml:space="preserve">HQ $M BLAST GRENADE TRIALS (0800-1800)</t>
  </si>
  <si>
    <t xml:space="preserve">A $PM PS SOC (1500-2000)</t>
  </si>
  <si>
    <t xml:space="preserve">L $M BIC (0515-2000)</t>
  </si>
  <si>
    <t xml:space="preserve">L $AM PS SOC(0600-1100)</t>
  </si>
  <si>
    <t xml:space="preserve">B $M HG (0530-2000)</t>
  </si>
  <si>
    <t xml:space="preserve">B $AM 8KM (0600-1100)</t>
  </si>
  <si>
    <t xml:space="preserve">F $M BIC (0530-2000)</t>
  </si>
  <si>
    <t xml:space="preserve">N $M BIC (0515-2000)</t>
  </si>
  <si>
    <t xml:space="preserve">N $M RE 12 KM (1400-2359)</t>
  </si>
  <si>
    <t xml:space="preserve">C $M ISAD (0530-2000)</t>
  </si>
  <si>
    <t xml:space="preserve">F $FC</t>
  </si>
  <si>
    <t xml:space="preserve">L $BTP (0515-2359)</t>
  </si>
  <si>
    <t xml:space="preserve">A $M 12KM (1400-2359)</t>
  </si>
  <si>
    <t xml:space="preserve">L $M RE 12 KM (1400-2359)</t>
  </si>
  <si>
    <t xml:space="preserve">M $PM CC (1530-2000)</t>
  </si>
  <si>
    <t xml:space="preserve">N $PM PS SOC (1530-2000)</t>
  </si>
  <si>
    <t xml:space="preserve">N $PM ER (1530-2000)</t>
  </si>
  <si>
    <t xml:space="preserve">N $PM IPPT (1530-2000)</t>
  </si>
  <si>
    <t xml:space="preserve">A $PM SOC ( 1530-2000)</t>
  </si>
  <si>
    <t xml:space="preserve">R $PM IPPT (1530-2000)</t>
  </si>
  <si>
    <t xml:space="preserve">L $FC</t>
  </si>
  <si>
    <t xml:space="preserve">L $BTP (0515 -2359)</t>
  </si>
  <si>
    <t xml:space="preserve">F $M 12KM (1400-2359)</t>
  </si>
  <si>
    <t xml:space="preserve">K $M RE 12 KM (1400-2359)</t>
  </si>
  <si>
    <t xml:space="preserve">R $M BIC (0500-1200)</t>
  </si>
  <si>
    <t xml:space="preserve">RAMADHAN STARTS</t>
  </si>
  <si>
    <t xml:space="preserve">GRADUATION</t>
  </si>
  <si>
    <t xml:space="preserve">D VACC 1</t>
  </si>
  <si>
    <t xml:space="preserve">C VACC 1</t>
  </si>
  <si>
    <t xml:space="preserve">HARI RAYA</t>
  </si>
  <si>
    <t xml:space="preserve">USS</t>
  </si>
  <si>
    <t xml:space="preserve">RESERVE</t>
  </si>
  <si>
    <t xml:space="preserve">CNY OFF</t>
  </si>
  <si>
    <r>
      <rPr>
        <b val="true"/>
        <sz val="9"/>
        <color rgb="FF000000"/>
        <rFont val="Times New Roman"/>
        <family val="0"/>
      </rPr>
      <t xml:space="preserve">PMO</t>
    </r>
    <r>
      <rPr>
        <b val="true"/>
        <sz val="1"/>
        <color rgb="FF000000"/>
        <rFont val="Times New Roman"/>
        <family val="0"/>
      </rPr>
      <t xml:space="preserve">FF</t>
    </r>
  </si>
  <si>
    <t xml:space="preserve">CPL RAZIN HILMANSYAH BIN ROSLI</t>
  </si>
  <si>
    <t xml:space="preserve">J $AM ER (0600-1100)</t>
  </si>
  <si>
    <t xml:space="preserve">CPL SEE WEI ZHI</t>
  </si>
  <si>
    <t xml:space="preserve">SCH 1/2 $BTP (0530-2359)</t>
  </si>
  <si>
    <t xml:space="preserve">REGX $AM (0630-0900)</t>
  </si>
  <si>
    <t xml:space="preserve">AM MA </t>
  </si>
  <si>
    <t xml:space="preserve">K $AM SOC</t>
  </si>
  <si>
    <t xml:space="preserve">SCH 3/4 $BTP (0530-2359)</t>
  </si>
  <si>
    <t xml:space="preserve">TPP $AM IPPT (0600-1100)</t>
  </si>
  <si>
    <t xml:space="preserve">SURGERY</t>
  </si>
  <si>
    <t xml:space="preserve">BYE</t>
  </si>
  <si>
    <t xml:space="preserve">RC $FC (0500-2100)</t>
  </si>
  <si>
    <t xml:space="preserve">PTE EKLAYVA</t>
  </si>
  <si>
    <t xml:space="preserve">PTE ASHWIN</t>
  </si>
  <si>
    <t xml:space="preserve">PTE ZHONGHAO</t>
  </si>
  <si>
    <t xml:space="preserve">PTE DERRICK</t>
  </si>
  <si>
    <t xml:space="preserve">PTE GOH DI XUAN</t>
  </si>
  <si>
    <t xml:space="preserve">LCP HAZIQ</t>
  </si>
  <si>
    <t xml:space="preserve">PTE WILLARD</t>
  </si>
  <si>
    <t xml:space="preserve">J VACC 2</t>
  </si>
  <si>
    <t xml:space="preserve">O VACC 1</t>
  </si>
  <si>
    <t xml:space="preserve">GOOD FRIDAY</t>
  </si>
  <si>
    <t xml:space="preserve">labour day</t>
  </si>
  <si>
    <t xml:space="preserve">DIPESNSE COURSE</t>
  </si>
  <si>
    <t xml:space="preserve">CFC FARABI BIN ZULKIFLI</t>
  </si>
  <si>
    <t xml:space="preserve">EM</t>
  </si>
  <si>
    <t xml:space="preserve">MSP BRIEFING</t>
  </si>
  <si>
    <t xml:space="preserve">MSP REHEARSAL</t>
  </si>
  <si>
    <t xml:space="preserve">OWADIO!!</t>
  </si>
  <si>
    <t xml:space="preserve">CFC PANG JUN YUAN</t>
  </si>
  <si>
    <t xml:space="preserve">J $M HG (0515-2000)</t>
  </si>
  <si>
    <t xml:space="preserve">C $AM CC (0500-1100)</t>
  </si>
  <si>
    <t xml:space="preserve">HQ BMTC $AM IPPT (0530-0930)</t>
  </si>
  <si>
    <t xml:space="preserve">J $AM CC (0600-1100)</t>
  </si>
  <si>
    <t xml:space="preserve">O $AM IPPT (0500-1100)</t>
  </si>
  <si>
    <t xml:space="preserve">CPL MARK WU</t>
  </si>
  <si>
    <t xml:space="preserve">PMMA</t>
  </si>
  <si>
    <t xml:space="preserve">D $BTP (0530-2359</t>
  </si>
  <si>
    <t xml:space="preserve">J $BTP (0515-2359)</t>
  </si>
  <si>
    <t xml:space="preserve">O $M ISAD (0515-2000)</t>
  </si>
  <si>
    <t xml:space="preserve">O $M HG (0515-2000)</t>
  </si>
  <si>
    <t xml:space="preserve">J $AM SOC (0600-1100)</t>
  </si>
  <si>
    <t xml:space="preserve">J $AM IPPT (0600-1100)</t>
  </si>
  <si>
    <t xml:space="preserve">O $PM SOC PERMSTAFF (1530-2000)</t>
  </si>
  <si>
    <t xml:space="preserve">N PS $PM SOC (1530-2000)</t>
  </si>
  <si>
    <t xml:space="preserve">O $PM SOC (1530-2000)</t>
  </si>
  <si>
    <t xml:space="preserve">O $PM CC (1530-2000)</t>
  </si>
  <si>
    <t xml:space="preserve">R $PM SOC(1530-2000)</t>
  </si>
  <si>
    <t xml:space="preserve">J $PM SOC (1530-2000)</t>
  </si>
  <si>
    <t xml:space="preserve">O $BTP (0515-2359)</t>
  </si>
  <si>
    <t xml:space="preserve">C $BTP (0530-2359</t>
  </si>
  <si>
    <t xml:space="preserve">J $FC</t>
  </si>
  <si>
    <t xml:space="preserve">C $FC </t>
  </si>
  <si>
    <t xml:space="preserve">D $FC </t>
  </si>
  <si>
    <t xml:space="preserve">C $AM PS SOC (0600-1100)</t>
  </si>
  <si>
    <t xml:space="preserve">C $PM PS SOC (1530-2000)</t>
  </si>
  <si>
    <t xml:space="preserve">SERVE+</t>
  </si>
  <si>
    <t xml:space="preserve">PTE YAN SHENG</t>
  </si>
  <si>
    <t xml:space="preserve">LABOUR DAY</t>
  </si>
  <si>
    <t xml:space="preserve">POLLING DAY</t>
  </si>
  <si>
    <t xml:space="preserve">D VACC 2</t>
  </si>
  <si>
    <t xml:space="preserve">VESAK DAY</t>
  </si>
  <si>
    <t xml:space="preserve">K VACC 2 N VACC 2</t>
  </si>
  <si>
    <t xml:space="preserve">S VACC 2</t>
  </si>
  <si>
    <t xml:space="preserve">A VACC 1 R VACC 2</t>
  </si>
  <si>
    <t xml:space="preserve">U VACC 1</t>
  </si>
  <si>
    <t xml:space="preserve">L VACC 1</t>
  </si>
  <si>
    <t xml:space="preserve">LCP MUHAMAD LUTFIL AL-HADI</t>
  </si>
  <si>
    <t xml:space="preserve">NSC</t>
  </si>
  <si>
    <t xml:space="preserve">D $M 12KM(1400-2359)</t>
  </si>
  <si>
    <t xml:space="preserve">PMO</t>
  </si>
  <si>
    <t xml:space="preserve">ICT $AM IPPT (0600-1100)</t>
  </si>
  <si>
    <t xml:space="preserve">BDAY</t>
  </si>
  <si>
    <t xml:space="preserve">CPL JASON TAN JIAN CHEN</t>
  </si>
  <si>
    <t xml:space="preserve">LCP JARRETT TSING KEE JIN</t>
  </si>
  <si>
    <t xml:space="preserve">GP $M REHEARSAL (0730-1700)</t>
  </si>
  <si>
    <t xml:space="preserve">C $M 12KM (1400-2359)</t>
  </si>
  <si>
    <t xml:space="preserve">C $M HG (0500-2000)</t>
  </si>
  <si>
    <t xml:space="preserve">D $M 12KM (1400-2359)</t>
  </si>
  <si>
    <t xml:space="preserve">J $AM ER(0600-1100)</t>
  </si>
  <si>
    <t xml:space="preserve">A $AM IPPT(0500-1100)</t>
  </si>
  <si>
    <t xml:space="preserve">LCP HO SHENGHUI HAYDEN</t>
  </si>
  <si>
    <t xml:space="preserve">C $PM SOC (1500-2000)</t>
  </si>
  <si>
    <t xml:space="preserve">LCP CHIA TECK IAN</t>
  </si>
  <si>
    <t xml:space="preserve">O $PM 8KM (1530-2000)</t>
  </si>
  <si>
    <t xml:space="preserve">R $M 8KM RM (1600-2000)</t>
  </si>
  <si>
    <t xml:space="preserve">R $PM IPPT(1500-2000)</t>
  </si>
  <si>
    <t xml:space="preserve">J $M 12KM (1400-2359)</t>
  </si>
  <si>
    <t xml:space="preserve">SCH1 $MRE RE 12KM (1600-2359)</t>
  </si>
  <si>
    <t xml:space="preserve">LCP QUEK ZI YI</t>
  </si>
  <si>
    <t xml:space="preserve">W $FC</t>
  </si>
  <si>
    <t xml:space="preserve">O $M 12KM (1400-2359)</t>
  </si>
  <si>
    <t xml:space="preserve">N $M RE-12KM (1400-2359)</t>
  </si>
  <si>
    <t xml:space="preserve">off</t>
  </si>
  <si>
    <t xml:space="preserve">D $AM IPPT (0500-100)</t>
  </si>
  <si>
    <t xml:space="preserve">J $AM 8KM (0600-1100)</t>
  </si>
  <si>
    <t xml:space="preserve">SAF DP</t>
  </si>
  <si>
    <t xml:space="preserve">M $AM IPPT(0500-1100)</t>
  </si>
  <si>
    <t xml:space="preserve">R $M BIC (0500-1300)</t>
  </si>
  <si>
    <t xml:space="preserve">C $AM 8KM (0600-1100)</t>
  </si>
  <si>
    <t xml:space="preserve">FC OIL</t>
  </si>
  <si>
    <t xml:space="preserve">R $BTP (0500-2359)</t>
  </si>
  <si>
    <t xml:space="preserve">A $PM PS SOC (1530-2000)</t>
  </si>
  <si>
    <t xml:space="preserve">S $M RE-IFC (0600-1500)</t>
  </si>
  <si>
    <t xml:space="preserve">C $AM IPPT (0500-1000)</t>
  </si>
  <si>
    <t xml:space="preserve">J $M BIC (0515-2000)</t>
  </si>
  <si>
    <t xml:space="preserve">AL </t>
  </si>
  <si>
    <t xml:space="preserve">R $AM SOC (0530-1000)</t>
  </si>
  <si>
    <t xml:space="preserve">O $FC RE-SIT TEST (1800)</t>
  </si>
  <si>
    <t xml:space="preserve">O $FC RE-SIT TEST</t>
  </si>
  <si>
    <t xml:space="preserve">C  RE$BTP(0600-2000)</t>
  </si>
  <si>
    <t xml:space="preserve">PM OL</t>
  </si>
  <si>
    <t xml:space="preserve">Hari Raya Haji</t>
  </si>
  <si>
    <t xml:space="preserve">ALB</t>
  </si>
  <si>
    <t xml:space="preserve">CPL MUHAMMAD AQIL HAMZAH BIN SYELDRICK</t>
  </si>
  <si>
    <t xml:space="preserve">GX $AM 8KM</t>
  </si>
  <si>
    <t xml:space="preserve">Labour Day OIL</t>
  </si>
  <si>
    <t xml:space="preserve">F $AM ER 0600-1100</t>
  </si>
  <si>
    <t xml:space="preserve">BMT $PM SAF DAY</t>
  </si>
  <si>
    <t xml:space="preserve">CPL CHEN DENG FENG</t>
  </si>
  <si>
    <t xml:space="preserve">CPL EUAN TING</t>
  </si>
  <si>
    <t xml:space="preserve">NDP</t>
  </si>
  <si>
    <t xml:space="preserve">CPL SEE WEI ZHI </t>
  </si>
  <si>
    <t xml:space="preserve">VESAK OIL</t>
  </si>
  <si>
    <t xml:space="preserve">DISPENSE</t>
  </si>
  <si>
    <t xml:space="preserve">CPL WAN FARID BIN ABDULLAH </t>
  </si>
  <si>
    <t xml:space="preserve">PTE GERALD TAN </t>
  </si>
  <si>
    <t xml:space="preserve">M $AM IPPT 0500-1100</t>
  </si>
  <si>
    <t xml:space="preserve">M $AM ER 0600-1100</t>
  </si>
  <si>
    <t xml:space="preserve">APS </t>
  </si>
  <si>
    <t xml:space="preserve">WISDOM TOOTH</t>
  </si>
  <si>
    <t xml:space="preserve">BMT $AM SAF DAY</t>
  </si>
  <si>
    <t xml:space="preserve">R $PM SOC (1530-1800)</t>
  </si>
  <si>
    <t xml:space="preserve">SCH 2 $AM SOC (0600-1100)</t>
  </si>
  <si>
    <t xml:space="preserve"> </t>
  </si>
  <si>
    <t xml:space="preserve">TPP $PM IPPT (1530-1720)</t>
  </si>
  <si>
    <t xml:space="preserve">PTE EKLAYVA </t>
  </si>
  <si>
    <t xml:space="preserve">SAF DAY TRAINING</t>
  </si>
  <si>
    <t xml:space="preserve">SCH 1 $M ISAD 0530-2000</t>
  </si>
  <si>
    <t xml:space="preserve">SAF DAY - 2200 hrs report</t>
  </si>
  <si>
    <t xml:space="preserve">SAF DAY PARADE</t>
  </si>
  <si>
    <t xml:space="preserve">PTE ASHWIN </t>
  </si>
  <si>
    <t xml:space="preserve">B $AM IPPT 0500-1100</t>
  </si>
  <si>
    <t xml:space="preserve">U $L ATP/CS (0530-2359)</t>
  </si>
  <si>
    <t xml:space="preserve">F $AM IPPT 0500-1100</t>
  </si>
  <si>
    <t xml:space="preserve">R $AM IPPT (0500-1100)</t>
  </si>
  <si>
    <t xml:space="preserve">N $L ATP/CS  0515-2359</t>
  </si>
  <si>
    <t xml:space="preserve">GP $M REHERSEAL (0700-1200)</t>
  </si>
  <si>
    <t xml:space="preserve">A $AM IPPT 0500-1100</t>
  </si>
  <si>
    <t xml:space="preserve">SCH 3 $AM IPPT (0500-1000)</t>
  </si>
  <si>
    <t xml:space="preserve">DE (1GDS)</t>
  </si>
  <si>
    <t xml:space="preserve">DE (K B3/B4) (O)</t>
  </si>
  <si>
    <t xml:space="preserve">GOOD FRIDAY OFF</t>
  </si>
  <si>
    <t xml:space="preserve">EMSA BRIEF @NSC</t>
  </si>
  <si>
    <t xml:space="preserve">HARI RAYA OIL</t>
  </si>
  <si>
    <t xml:space="preserve">WISDOM SURGERY</t>
  </si>
  <si>
    <t xml:space="preserve">AWARD CEREMONY</t>
  </si>
  <si>
    <t xml:space="preserve">Wedding Prep</t>
  </si>
  <si>
    <t xml:space="preserve">PM MA </t>
  </si>
  <si>
    <t xml:space="preserve">V $AM IPPT (0500-1000)</t>
  </si>
  <si>
    <t xml:space="preserve">W $AM CC (0600-1000)</t>
  </si>
  <si>
    <t xml:space="preserve">DUTY</t>
  </si>
  <si>
    <t xml:space="preserve">TPP $AM IPPT (0900-1050)</t>
  </si>
  <si>
    <t xml:space="preserve">W $AM IPPT (0500-1000)</t>
  </si>
  <si>
    <t xml:space="preserve">M $BTP (0515-1100)</t>
  </si>
  <si>
    <t xml:space="preserve">LCP EKLAYVA PENGALI</t>
  </si>
  <si>
    <t xml:space="preserve">O $AM IPPT (0600-1100)</t>
  </si>
  <si>
    <t xml:space="preserve">LCP ASHWIN GUNASEKERAN</t>
  </si>
  <si>
    <t xml:space="preserve">B $PM SOC TEST (1530-2000)</t>
  </si>
  <si>
    <t xml:space="preserve">LCP ZHAO ZHONGHAO</t>
  </si>
  <si>
    <t xml:space="preserve">R PS $PM SOC TEST (1500-2000)</t>
  </si>
  <si>
    <t xml:space="preserve">LCP DERRICK CHIN</t>
  </si>
  <si>
    <t xml:space="preserve">V $M HG (0500-2000)</t>
  </si>
  <si>
    <t xml:space="preserve">LCP GOH DI XUAN</t>
  </si>
  <si>
    <t xml:space="preserve">LCP MUHAMMAD HAZIQ BIN MOHAMED HESHAM</t>
  </si>
  <si>
    <t xml:space="preserve">M $AM ER (0600-1100)</t>
  </si>
  <si>
    <t xml:space="preserve">PTE WONG JI FENG WILLARD</t>
  </si>
  <si>
    <t xml:space="preserve">LCP KUEH YAN SHENG</t>
  </si>
  <si>
    <t xml:space="preserve">PTE MUHAMAD ZULKHAIRI BIN MOHAMAD SAPARI</t>
  </si>
  <si>
    <t xml:space="preserve">A $PM ER (1530-20000</t>
  </si>
  <si>
    <t xml:space="preserve">R PS $AM SOC TEST (0500-1000)</t>
  </si>
  <si>
    <t xml:space="preserve">M $FC</t>
  </si>
  <si>
    <t xml:space="preserve">PTE SAMUEL TAN ENG WEE</t>
  </si>
  <si>
    <t xml:space="preserve">B $BTP (0530-2359)</t>
  </si>
  <si>
    <t xml:space="preserve">M $PM ER (1530-20000</t>
  </si>
  <si>
    <t xml:space="preserve">A $PM ER (1530-2000)</t>
  </si>
  <si>
    <t xml:space="preserve">PTE CHYE JING AN MAXIMUS</t>
  </si>
  <si>
    <t xml:space="preserve">M $AM IPPT (0500-1100)</t>
  </si>
  <si>
    <t xml:space="preserve">D $M ISAD (0530-2000)</t>
  </si>
  <si>
    <t xml:space="preserve">D $BTP (0530-2359)</t>
  </si>
  <si>
    <t xml:space="preserve">W $BTP (0500-2359)</t>
  </si>
  <si>
    <t xml:space="preserve">PTE MATTHEW HWANG YEW SENG</t>
  </si>
  <si>
    <t xml:space="preserve">R/V/W $M ISAD (0500-2000)</t>
  </si>
  <si>
    <t xml:space="preserve">D $M HG (0530-20000</t>
  </si>
  <si>
    <t xml:space="preserve">PTE TAN JUN YANG KELVIN</t>
  </si>
  <si>
    <t xml:space="preserve">F $PM ER (1530-2000)</t>
  </si>
  <si>
    <t xml:space="preserve">F $AM ER (0600-1100)</t>
  </si>
  <si>
    <t xml:space="preserve">Svc total = 58</t>
  </si>
  <si>
    <t xml:space="preserve">P VACC 2 &amp; R VACC 1</t>
  </si>
  <si>
    <t xml:space="preserve">N VACC 1 &amp; W VACC 2</t>
  </si>
  <si>
    <t xml:space="preserve">CMC VISIT &amp; K VACC 2</t>
  </si>
  <si>
    <t xml:space="preserve">CNY DAY 1</t>
  </si>
  <si>
    <t xml:space="preserve">CNY DAY 2</t>
  </si>
  <si>
    <t xml:space="preserve">L VACC 2</t>
  </si>
  <si>
    <t xml:space="preserve">M VACC 2</t>
  </si>
  <si>
    <t xml:space="preserve">Svc avg = 7.25</t>
  </si>
  <si>
    <t xml:space="preserve">TO ADD</t>
  </si>
  <si>
    <t xml:space="preserve">TO MINUS</t>
  </si>
  <si>
    <t xml:space="preserve">Friday Duty</t>
  </si>
  <si>
    <t xml:space="preserve">CPL MUHAMAD LUTFIL AL-HADI</t>
  </si>
  <si>
    <t xml:space="preserve">BREAK FAST</t>
  </si>
  <si>
    <t xml:space="preserve">CHRISTMAS OIL</t>
  </si>
  <si>
    <t xml:space="preserve">CPL GERALD TAN </t>
  </si>
  <si>
    <t xml:space="preserve">CS/B</t>
  </si>
  <si>
    <t xml:space="preserve">CPL FANG JIANGRUI</t>
  </si>
  <si>
    <t xml:space="preserve">CFC JAY DEOL FROST</t>
  </si>
  <si>
    <t xml:space="preserve">no more duty</t>
  </si>
  <si>
    <t xml:space="preserve">owadio</t>
  </si>
  <si>
    <t xml:space="preserve">CPL JARRETT TSING KEE JIN</t>
  </si>
  <si>
    <t xml:space="preserve">COHESION</t>
  </si>
  <si>
    <t xml:space="preserve">COVER RESERVE</t>
  </si>
  <si>
    <t xml:space="preserve">LCP WONG JI FENG WILLARD</t>
  </si>
  <si>
    <t xml:space="preserve">PTE KOO YI XIAN RAPHAEL </t>
  </si>
  <si>
    <t xml:space="preserve">Outfield Reserve</t>
  </si>
  <si>
    <t xml:space="preserve">F $AM RM (0600-1100)</t>
  </si>
  <si>
    <t xml:space="preserve">SHADOW CS</t>
  </si>
  <si>
    <t xml:space="preserve">A $PM SOC (1530-2000)</t>
  </si>
  <si>
    <t xml:space="preserve">MEDICAL RECCE</t>
  </si>
  <si>
    <t xml:space="preserve">R $AM ER (0500-1000)</t>
  </si>
  <si>
    <t xml:space="preserve">CPL SAMUEL TAN ENG WEE</t>
  </si>
  <si>
    <t xml:space="preserve">SCH 1 RE-IPPT $AM (0500-1100)</t>
  </si>
  <si>
    <t xml:space="preserve">LCP MATTHEW HWANG YEW SENG</t>
  </si>
  <si>
    <t xml:space="preserve">PTE IGNATIUS QUEK </t>
  </si>
  <si>
    <t xml:space="preserve">xmas oil</t>
  </si>
  <si>
    <t xml:space="preserve">Al</t>
  </si>
  <si>
    <t xml:space="preserve">al</t>
  </si>
  <si>
    <t xml:space="preserve">P $AM IPPT (0500-1000)</t>
  </si>
  <si>
    <t xml:space="preserve">SHADOW SENDOUT</t>
  </si>
  <si>
    <t xml:space="preserve">PTE MENDEZ RALPH JUSTINE MACALINO</t>
  </si>
  <si>
    <t xml:space="preserve">LCP APPLE YEO</t>
  </si>
  <si>
    <t xml:space="preserve">New Year OIL</t>
  </si>
  <si>
    <t xml:space="preserve">LCP EKLAYVA PINGALI</t>
  </si>
  <si>
    <t xml:space="preserve">C $FC</t>
  </si>
  <si>
    <t xml:space="preserve">CFC MARK WU</t>
  </si>
  <si>
    <t xml:space="preserve">burfday</t>
  </si>
  <si>
    <t xml:space="preserve">CPL HO SHENGHUI HAYDEN</t>
  </si>
  <si>
    <t xml:space="preserve">BMTC $BTP ASM (0400-2359)</t>
  </si>
  <si>
    <t xml:space="preserve">CPL DERRICK CHIN</t>
  </si>
  <si>
    <t xml:space="preserve">P $PM PERM SOC (1700-2000)</t>
  </si>
  <si>
    <t xml:space="preserve">P $BTP (0500-2359)</t>
  </si>
  <si>
    <t xml:space="preserve">OVERSEAS</t>
  </si>
  <si>
    <t xml:space="preserve">CPL ASHWIN GUNASEKERAN</t>
  </si>
  <si>
    <t xml:space="preserve">P $AM 8KM (0500-1100)</t>
  </si>
  <si>
    <t xml:space="preserve">F $AM SOC (0600-1100)</t>
  </si>
  <si>
    <t xml:space="preserve">Birthday</t>
  </si>
  <si>
    <t xml:space="preserve">Birthday plans</t>
  </si>
  <si>
    <t xml:space="preserve">LCP KUEH YAN SHENG </t>
  </si>
  <si>
    <t xml:space="preserve">LCP MUHAMMAD YASIR BIN MUHAMMAD HIJAZ</t>
  </si>
  <si>
    <t xml:space="preserve">M $PM IPPT (1530-2000)</t>
  </si>
  <si>
    <t xml:space="preserve">NEW YEAR OIL</t>
  </si>
  <si>
    <t xml:space="preserve">CFC JASON TAN JIAN CHEN</t>
  </si>
  <si>
    <t xml:space="preserve">LCP CHYE JING AN MAXIMUS</t>
  </si>
  <si>
    <t xml:space="preserve">C $AM FC</t>
  </si>
  <si>
    <t xml:space="preserve">F $M RM (1400-2359)</t>
  </si>
  <si>
    <t xml:space="preserve">C $PM PERM SOC (1700-2000)</t>
  </si>
  <si>
    <t xml:space="preserve">LCP TAN JUN YANG KELVIN</t>
  </si>
  <si>
    <t xml:space="preserve">L $PM PERM SOC (1700-2000)</t>
  </si>
  <si>
    <t xml:space="preserve">A $AM RM (0600-1100)</t>
  </si>
  <si>
    <t xml:space="preserve">B for BDAY🤪</t>
  </si>
  <si>
    <t xml:space="preserve">P $M RE RM (2000-0100)</t>
  </si>
  <si>
    <t xml:space="preserve">LCP ZHANG ZHONGHAO</t>
  </si>
  <si>
    <t xml:space="preserve">M $BTP (0515-2359)</t>
  </si>
  <si>
    <t xml:space="preserve">LCP MACASERO TROY ADRIAN LARUMBE</t>
  </si>
  <si>
    <t xml:space="preserve">SHADOW CS (READ CS GUIDE)</t>
  </si>
  <si>
    <t xml:space="preserve">LCP MUHAMAD ZULKHAIRI BIN MOHAMAD SAPARI</t>
  </si>
  <si>
    <t xml:space="preserve">BMTC $BTP ASM (0400-2359) @SAFTI</t>
  </si>
  <si>
    <t xml:space="preserve">B $AM RM (0600-1100)</t>
  </si>
  <si>
    <t xml:space="preserve">P $M 12KM (1600-2359)</t>
  </si>
  <si>
    <t xml:space="preserve">RE-IFC $M (0600-1400), 7th Coy</t>
  </si>
  <si>
    <t xml:space="preserve">C $AM PERM SOC (0600-1100)</t>
  </si>
  <si>
    <t xml:space="preserve">LCP RON NG </t>
  </si>
  <si>
    <t xml:space="preserve">M $M RESITEST (1800-2359)</t>
  </si>
  <si>
    <t xml:space="preserve">M $M RESITEST (0515-2359)</t>
  </si>
  <si>
    <t xml:space="preserve">S $PM IPPT (1600-2359)</t>
  </si>
  <si>
    <t xml:space="preserve">LCP TRAN MINH KHOA</t>
  </si>
  <si>
    <t xml:space="preserve">C $M RM (1400-2359)</t>
  </si>
  <si>
    <t xml:space="preserve">LCP STEPHEN TAY </t>
  </si>
  <si>
    <t xml:space="preserve">HQ $AM IPPT (0730-0920)</t>
  </si>
  <si>
    <t xml:space="preserve">PTE EDWARD GAN BOON WEI </t>
  </si>
  <si>
    <t xml:space="preserve">P $M HG (0500-2000)</t>
  </si>
  <si>
    <t xml:space="preserve">A $M BIC (0530-2000)</t>
  </si>
  <si>
    <t xml:space="preserve">J $PM IPPT (1530-2000)</t>
  </si>
  <si>
    <t xml:space="preserve">SCH 1 $M RE-RM (1400-2359)</t>
  </si>
  <si>
    <t xml:space="preserve">PTE RAIYAN ZUFAYRI BIN MOHAMAD HELMY</t>
  </si>
  <si>
    <t xml:space="preserve">B $M RM (1400-2359)</t>
  </si>
  <si>
    <t xml:space="preserve">C $PM IPPT (1530-2000)</t>
  </si>
  <si>
    <t xml:space="preserve">PTE CHOA ZONGHAN ETIENNE</t>
  </si>
  <si>
    <t xml:space="preserve">P $FC</t>
  </si>
  <si>
    <t xml:space="preserve">C $M BIC (0530-2000)</t>
  </si>
  <si>
    <t xml:space="preserve">B $PM IPPT(1530-2000)</t>
  </si>
  <si>
    <t xml:space="preserve">A $M RM (1400-2359)</t>
  </si>
  <si>
    <t xml:space="preserve">P $M BIC (1330-1830)</t>
  </si>
  <si>
    <t xml:space="preserve">L $M RE 12KM RM (1400-2359)</t>
  </si>
  <si>
    <t xml:space="preserve">L $BTP (0545-2359)</t>
  </si>
  <si>
    <t xml:space="preserve">LCP SHLOK PUROHIT</t>
  </si>
  <si>
    <t xml:space="preserve">C $PM CC (1530-2000)</t>
  </si>
  <si>
    <t xml:space="preserve">LCP HYDER ISKANDAR BIN ZULKILFILY</t>
  </si>
  <si>
    <t xml:space="preserve">C $M HG (0530-2000)</t>
  </si>
  <si>
    <t xml:space="preserve">DENTAL MA</t>
  </si>
  <si>
    <t xml:space="preserve">C $M RE-12KM (0530-1000)</t>
  </si>
  <si>
    <t xml:space="preserve">Cbt total =</t>
  </si>
  <si>
    <t xml:space="preserve">SERVICE POINTS</t>
  </si>
  <si>
    <t xml:space="preserve">Cbt avg = </t>
  </si>
  <si>
    <t xml:space="preserve">8.78 ~ 9</t>
  </si>
  <si>
    <t xml:space="preserve">COMBAT POINTS</t>
  </si>
  <si>
    <t xml:space="preserve">TOTAL POINTS</t>
  </si>
  <si>
    <t xml:space="preserve">SKILLS FUTURE</t>
  </si>
  <si>
    <t xml:space="preserve">GP (at night)</t>
  </si>
  <si>
    <t xml:space="preserve">GP $M</t>
  </si>
  <si>
    <t xml:space="preserve">WISDOM</t>
  </si>
  <si>
    <t xml:space="preserve">SCH 1 $AM GX PHASE 1 (0400-1200)</t>
  </si>
  <si>
    <t xml:space="preserve">SCT SAMUEL TAN ENG WEE</t>
  </si>
  <si>
    <t xml:space="preserve">ADMIN SPEC CADET COURSE</t>
  </si>
  <si>
    <t xml:space="preserve">COVER RESERVE </t>
  </si>
  <si>
    <t xml:space="preserve">GX $PM</t>
  </si>
  <si>
    <t xml:space="preserve">GX</t>
  </si>
  <si>
    <t xml:space="preserve">HQ $AM TPP IPPT (0600-1030)</t>
  </si>
  <si>
    <t xml:space="preserve">GX $M</t>
  </si>
  <si>
    <t xml:space="preserve">Mum's Birthday</t>
  </si>
  <si>
    <t xml:space="preserve">S $M ATP/CS (0500-2359)</t>
  </si>
  <si>
    <t xml:space="preserve">SCH 1 $M GP REHEARSAL (0800-1700)</t>
  </si>
  <si>
    <t xml:space="preserve">SHADOW OUTSIDE CS</t>
  </si>
  <si>
    <t xml:space="preserve">S $AM IPPT (0500-1000)</t>
  </si>
  <si>
    <t xml:space="preserve">L $AM GX PHASE 1 (0400-1200)</t>
  </si>
  <si>
    <t xml:space="preserve">P $AM GX PHASE 1 (0400-1200)</t>
  </si>
  <si>
    <t xml:space="preserve">R/S $M ISAD (0500-1430)</t>
  </si>
  <si>
    <t xml:space="preserve">T $PM SOC (1700-2000)</t>
  </si>
  <si>
    <t xml:space="preserve">(1430HRS) MA</t>
  </si>
  <si>
    <t xml:space="preserve">(0910HRS) MA</t>
  </si>
  <si>
    <t xml:space="preserve">L $BTP ATP/REBTP (0515-2359)</t>
  </si>
  <si>
    <t xml:space="preserve">RAYA VISITING</t>
  </si>
  <si>
    <t xml:space="preserve">S $AM ER (0500-1000)</t>
  </si>
  <si>
    <t xml:space="preserve">S $PM ER (1530-1830)</t>
  </si>
  <si>
    <t xml:space="preserve">REMEDIAL COY $FC</t>
  </si>
  <si>
    <t xml:space="preserve">B (Dental)</t>
  </si>
  <si>
    <t xml:space="preserve">svc avg = 6</t>
  </si>
  <si>
    <t xml:space="preserve">cbt avg = 7.5</t>
  </si>
  <si>
    <t xml:space="preserve">             </t>
  </si>
  <si>
    <t xml:space="preserve">DE </t>
  </si>
  <si>
    <t xml:space="preserve">LUTFIL OPEN HSE</t>
  </si>
  <si>
    <t xml:space="preserve">N RE-VACC</t>
  </si>
  <si>
    <t xml:space="preserve">60 Finale</t>
  </si>
  <si>
    <t xml:space="preserve">MSP / O RE VACC</t>
  </si>
  <si>
    <t xml:space="preserve">Friends Open house</t>
  </si>
  <si>
    <t xml:space="preserve">COMPONENT TRAINING</t>
  </si>
  <si>
    <t xml:space="preserve">       </t>
  </si>
  <si>
    <t xml:space="preserve">AM MA PM AL</t>
  </si>
  <si>
    <t xml:space="preserve">CFC JARRETT TSING KEE JIN</t>
  </si>
  <si>
    <t xml:space="preserve">PM WISDOM</t>
  </si>
  <si>
    <t xml:space="preserve">R $AM CC (0500-1000)</t>
  </si>
  <si>
    <t xml:space="preserve">WEEKEND OUTFIELD RESERVE</t>
  </si>
  <si>
    <t xml:space="preserve">LCP KOO YI XIAN RAPHAEL </t>
  </si>
  <si>
    <t xml:space="preserve">3SG SAMUEL TAN ENG WEE</t>
  </si>
  <si>
    <t xml:space="preserve">D $AM IPPT (0530-1100) CFM ALR AH</t>
  </si>
  <si>
    <t xml:space="preserve">LCP IGNATIUS QUEK </t>
  </si>
  <si>
    <t xml:space="preserve">PTE DANIEL ISKANDAR BIN SANUSI</t>
  </si>
  <si>
    <t xml:space="preserve">S $M HG (0500-1830)</t>
  </si>
  <si>
    <t xml:space="preserve">QINGMING</t>
  </si>
  <si>
    <t xml:space="preserve">S $PM CC (1530-1830)</t>
  </si>
  <si>
    <t xml:space="preserve">SISTER BIRTHDAY</t>
  </si>
  <si>
    <t xml:space="preserve">R $PM CC (1530-1830)</t>
  </si>
  <si>
    <t xml:space="preserve">OWADIO</t>
  </si>
  <si>
    <t xml:space="preserve">CFC DERRICK CHIN</t>
  </si>
  <si>
    <t xml:space="preserve">D $M HG (0500-2000)</t>
  </si>
  <si>
    <t xml:space="preserve">T $PM IPPT (1530-1830)</t>
  </si>
  <si>
    <t xml:space="preserve">S $BTP (0500-2359)</t>
  </si>
  <si>
    <t xml:space="preserve"> DISPENSE </t>
  </si>
  <si>
    <t xml:space="preserve">DISPENSE </t>
  </si>
  <si>
    <t xml:space="preserve">(STARLIGHT)</t>
  </si>
  <si>
    <t xml:space="preserve">T $AM ER (0500-1000)</t>
  </si>
  <si>
    <t xml:space="preserve">J PERM SOC $PM (1500-2000)</t>
  </si>
  <si>
    <t xml:space="preserve">T $AM IPPT (0500-1000)</t>
  </si>
  <si>
    <t xml:space="preserve">R $PM IPPT (1530-1830)</t>
  </si>
  <si>
    <t xml:space="preserve">LCP EDWARD GAN BOON WEI </t>
  </si>
  <si>
    <t xml:space="preserve">SHADOW INSIDE CS</t>
  </si>
  <si>
    <t xml:space="preserve">J $BTP (0530-2359)</t>
  </si>
  <si>
    <t xml:space="preserve">LCP RAIYAN ZUFAYRI BIN MOHAMAD HELMY</t>
  </si>
  <si>
    <t xml:space="preserve">E $BTP (0500-2300)</t>
  </si>
  <si>
    <t xml:space="preserve">S PERM $PM SOC (1700-2000)</t>
  </si>
  <si>
    <t xml:space="preserve">T $M ISAD (0500-1730)</t>
  </si>
  <si>
    <t xml:space="preserve">S $AM CC (0500-1000)</t>
  </si>
  <si>
    <t xml:space="preserve">PTE MUHAMMAD SHAUKI BIN MOHD SHAM</t>
  </si>
  <si>
    <t xml:space="preserve">SHADOW COVER</t>
  </si>
  <si>
    <t xml:space="preserve">D $BTP (0500-2300)</t>
  </si>
  <si>
    <t xml:space="preserve">T $PM ER (1630-1830)</t>
  </si>
  <si>
    <t xml:space="preserve">PTE HUANG JIHUI</t>
  </si>
  <si>
    <t xml:space="preserve">E $M HG (0500-2000)</t>
  </si>
  <si>
    <t xml:space="preserve">HQ ICT $AM IPPT (0600-1030) </t>
  </si>
  <si>
    <t xml:space="preserve">E $FC </t>
  </si>
  <si>
    <t xml:space="preserve">PTE MUHAMMAD HAMZA ZUBERI</t>
  </si>
  <si>
    <t xml:space="preserve">PTE RAGURAMAN ANIRUDH</t>
  </si>
  <si>
    <t xml:space="preserve">S $FC</t>
  </si>
  <si>
    <t xml:space="preserve">NUMBER OF DM</t>
  </si>
  <si>
    <t xml:space="preserve">`</t>
  </si>
  <si>
    <t xml:space="preserve">DE, AMPT</t>
  </si>
  <si>
    <t xml:space="preserve">L,N VACC 2</t>
  </si>
  <si>
    <t xml:space="preserve">V VACC 1, AMPT</t>
  </si>
  <si>
    <t xml:space="preserve">O,M VACC 2</t>
  </si>
  <si>
    <t xml:space="preserve">HARI RAYA HAJI</t>
  </si>
  <si>
    <t xml:space="preserve">diff</t>
  </si>
  <si>
    <t xml:space="preserve">CNY OIL</t>
  </si>
  <si>
    <t xml:space="preserve">AM MA + PM AL</t>
  </si>
  <si>
    <t xml:space="preserve">Bday</t>
  </si>
  <si>
    <t xml:space="preserve">CPL GOH DI XUAN</t>
  </si>
  <si>
    <t xml:space="preserve">OUTFIELD RESERVE</t>
  </si>
  <si>
    <t xml:space="preserve">R $PM RM (1530-1830)</t>
  </si>
  <si>
    <t xml:space="preserve">SKILLSFUTURE</t>
  </si>
  <si>
    <t xml:space="preserve">GP OFF</t>
  </si>
  <si>
    <t xml:space="preserve">K $AM IPPT (0500-1100</t>
  </si>
  <si>
    <t xml:space="preserve">E $AM 8KM RM (0500-1100)</t>
  </si>
  <si>
    <t xml:space="preserve">J $AM RE-IPPT (0500-1000)</t>
  </si>
  <si>
    <t xml:space="preserve">E $M RM (1400-2359)</t>
  </si>
  <si>
    <t xml:space="preserve">F $M HG (0600-2300)</t>
  </si>
  <si>
    <t xml:space="preserve">E $AM RE-IPPT (0500-1100)</t>
  </si>
  <si>
    <t xml:space="preserve">SCH 3 $PM PERMSTAFF SOC (1730-1930)</t>
  </si>
  <si>
    <t xml:space="preserve">E $AM SOC (0600-1100)</t>
  </si>
  <si>
    <t xml:space="preserve">F $BTP (0500-2300)</t>
  </si>
  <si>
    <t xml:space="preserve">R $M RM (1400-2359)</t>
  </si>
  <si>
    <t xml:space="preserve">T $BTP (0500-2359)</t>
  </si>
  <si>
    <t xml:space="preserve">T $FC</t>
  </si>
  <si>
    <t xml:space="preserve">S $PM RM (1530-1830)</t>
  </si>
  <si>
    <t xml:space="preserve">D $M RM (1400-2359)</t>
  </si>
  <si>
    <t xml:space="preserve">D $AM RE-IPPT (0500-1000)</t>
  </si>
  <si>
    <t xml:space="preserve">R $M BIC (1300-2359)</t>
  </si>
  <si>
    <t xml:space="preserve">D $PM 8KM RM (1400-2300)</t>
  </si>
  <si>
    <t xml:space="preserve">HQ $AM IPPT (0530-1100)</t>
  </si>
  <si>
    <t xml:space="preserve">F $M BIC (0500-2300)</t>
  </si>
  <si>
    <t xml:space="preserve">S $AM IPPT (1530-1830)</t>
  </si>
  <si>
    <t xml:space="preserve">HQ $PM TPP IPPT (1430-1830)</t>
  </si>
  <si>
    <t xml:space="preserve">FC WEEKEND OIL</t>
  </si>
  <si>
    <t xml:space="preserve">D $M BIC (0500-2300)</t>
  </si>
  <si>
    <t xml:space="preserve">mc</t>
  </si>
  <si>
    <t xml:space="preserve">S $AM RE-IPPT (0500-1000)</t>
  </si>
  <si>
    <t xml:space="preserve">D $M RE-IFC (0700-1300)</t>
  </si>
  <si>
    <t xml:space="preserve">J $PM PERMSTAFF SOC (1530-2000)</t>
  </si>
  <si>
    <t xml:space="preserve">E $M RE-RM 12KM (1400-2359)</t>
  </si>
  <si>
    <t xml:space="preserve">TAURUS $M RE-IFC (0500-1530)</t>
  </si>
  <si>
    <t xml:space="preserve">D $AM SOC (0600-1100)</t>
  </si>
  <si>
    <t xml:space="preserve">J $M RE-BTP (0515-2359)</t>
  </si>
  <si>
    <t xml:space="preserve">T $M HG (0500-2359)</t>
  </si>
  <si>
    <t xml:space="preserve">J $PM RE-IPPT (1530-1830)</t>
  </si>
  <si>
    <t xml:space="preserve">E $AM 4KM RM (0600-?)</t>
  </si>
  <si>
    <t xml:space="preserve">J $M BIC (0515 2000)</t>
  </si>
  <si>
    <t xml:space="preserve">SCH 3 $M RE-RM (1430-2359)</t>
  </si>
  <si>
    <t xml:space="preserve">J $M 12KM RM (1400-2359)</t>
  </si>
  <si>
    <t xml:space="preserve">E $AM 8KM RM</t>
  </si>
  <si>
    <t xml:space="preserve">S $M RM (1400-2359)</t>
  </si>
  <si>
    <t xml:space="preserve">GP REHEARSAL $M (0800-1800)</t>
  </si>
  <si>
    <t xml:space="preserve">J $PM 8KM RM (1530-2000)</t>
  </si>
  <si>
    <t xml:space="preserve">CPL TAN ZONG HONG JORDAN</t>
  </si>
  <si>
    <t xml:space="preserve">ORD</t>
  </si>
  <si>
    <t xml:space="preserve">LCP GOH SONG YEE, ETHAN</t>
  </si>
  <si>
    <t xml:space="preserve">VACCINE SUPERVISOR COURSE</t>
  </si>
  <si>
    <t xml:space="preserve">4TH $PM CC PM</t>
  </si>
  <si>
    <t xml:space="preserve">PTE KOH KAH SENG</t>
  </si>
  <si>
    <t xml:space="preserve">7TH $FC</t>
  </si>
  <si>
    <t xml:space="preserve">5TH $AM IPPT AM</t>
  </si>
  <si>
    <t xml:space="preserve">PTE LUTH HARITH AFIF BIN NORFIFI</t>
  </si>
  <si>
    <t xml:space="preserve">PTE MATTHEW WILLIAM TAN</t>
  </si>
  <si>
    <t xml:space="preserve">AM DA</t>
  </si>
  <si>
    <t xml:space="preserve">1ST + 5TH $PM WEAPON PRESENTATION</t>
  </si>
  <si>
    <t xml:space="preserve">1ST $AM IPPT</t>
  </si>
  <si>
    <t xml:space="preserve">3SG THOTA DEV ADITYA</t>
  </si>
  <si>
    <t xml:space="preserve">4TH $FC</t>
  </si>
  <si>
    <t xml:space="preserve">EX LANCER TRAINING @ SAFTI</t>
  </si>
  <si>
    <t xml:space="preserve">LANCER TRG</t>
  </si>
  <si>
    <t xml:space="preserve">2ND $FC RE-SIT TEST</t>
  </si>
  <si>
    <t xml:space="preserve">SAFTI</t>
  </si>
  <si>
    <t xml:space="preserve">EX LANCER</t>
  </si>
  <si>
    <t xml:space="preserve">CFC MUHAMMAD AMSYAR SUFI BIN SUNARDI</t>
  </si>
  <si>
    <t xml:space="preserve">STC LEAVE</t>
  </si>
  <si>
    <t xml:space="preserve">4TH $M BIC PM</t>
  </si>
  <si>
    <t xml:space="preserve">CFC BRENDON TOH YI CHEN</t>
  </si>
  <si>
    <t xml:space="preserve">CFC AINSLEY YAP SHENG JIE</t>
  </si>
  <si>
    <t xml:space="preserve">4TH $AM 8KM RM</t>
  </si>
  <si>
    <t xml:space="preserve">CFC KOH KAI JIE, ETHAN</t>
  </si>
  <si>
    <t xml:space="preserve">OUTFIELD/BTP RESERVE</t>
  </si>
  <si>
    <t xml:space="preserve">LCP LIM CHU FENG</t>
  </si>
  <si>
    <t xml:space="preserve">2ND $FC</t>
  </si>
  <si>
    <t xml:space="preserve">2ND $AM IPPT</t>
  </si>
  <si>
    <t xml:space="preserve">SCH WIDE $AM RE-RM</t>
  </si>
  <si>
    <t xml:space="preserve">CPL TAN TZE JUE JULIAN</t>
  </si>
  <si>
    <t xml:space="preserve">4TH $BTP (0500-2300)</t>
  </si>
  <si>
    <t xml:space="preserve">$FC RE-IFC SCH WIDE</t>
  </si>
  <si>
    <t xml:space="preserve">OFF (GOOD PERFORMANCE)</t>
  </si>
  <si>
    <t xml:space="preserve">3SG HO JI XUAN ISAAC</t>
  </si>
  <si>
    <t xml:space="preserve">2ND $AM 8KM RM</t>
  </si>
  <si>
    <t xml:space="preserve">$PM SOC PERMSTAFF</t>
  </si>
  <si>
    <t xml:space="preserve">LCP JOVAN CHUA RUI CHENG</t>
  </si>
  <si>
    <t xml:space="preserve">2ND + 4TH $PM 12KM RM</t>
  </si>
  <si>
    <t xml:space="preserve">LCP LAN ZHI XIANG</t>
  </si>
  <si>
    <t xml:space="preserve">4TH $BTP (0500 - 2300)</t>
  </si>
  <si>
    <t xml:space="preserve">PTE DAANYAAL ABDUL AZEEZ JANJUA</t>
  </si>
  <si>
    <t xml:space="preserve">2ND $BTP (0500 - 2300)</t>
  </si>
  <si>
    <t xml:space="preserve">PTE SUNDARARAJU DHANUSH</t>
  </si>
  <si>
    <t xml:space="preserve">2ND $M BIC AM</t>
  </si>
  <si>
    <t xml:space="preserve">T $PM 6KM RM</t>
  </si>
  <si>
    <t xml:space="preserve">4TH $AM IPPT </t>
  </si>
  <si>
    <t xml:space="preserve">NUMBER OF SB</t>
  </si>
  <si>
    <t xml:space="preserve">NUMBER OF CS</t>
  </si>
  <si>
    <t xml:space="preserve">NUMBER OF AE</t>
  </si>
  <si>
    <t xml:space="preserve">TOTAL DUTY TEAM STRENGTH</t>
  </si>
  <si>
    <t xml:space="preserve">f</t>
  </si>
  <si>
    <t xml:space="preserve">VESAK DAY </t>
  </si>
  <si>
    <t xml:space="preserve">GP RECCE</t>
  </si>
  <si>
    <t xml:space="preserve">OPERATION</t>
  </si>
  <si>
    <t xml:space="preserve">HL?</t>
  </si>
  <si>
    <t xml:space="preserve">AL-'APPROVED</t>
  </si>
  <si>
    <t xml:space="preserve">R $AM GX PHASE 1 (0400-1230)</t>
  </si>
  <si>
    <t xml:space="preserve">ALB RETURN STORES</t>
  </si>
  <si>
    <t xml:space="preserve">P $AM ER (0500-1030)</t>
  </si>
  <si>
    <t xml:space="preserve">R $AM PERMSTAFF SOC (0500-1030)</t>
  </si>
  <si>
    <t xml:space="preserve">WISDOM TOOTH EXTRACTION</t>
  </si>
  <si>
    <t xml:space="preserve">5TH $PM ER</t>
  </si>
  <si>
    <t xml:space="preserve">5TH $AM ER (0730-0920)</t>
  </si>
  <si>
    <t xml:space="preserve">S $AM GX PHASE 1 (0400-1230)</t>
  </si>
  <si>
    <t xml:space="preserve">C $M ISAD (0600-1800)</t>
  </si>
  <si>
    <t xml:space="preserve">4TH COY $PM PERMSTAFF SOC </t>
  </si>
  <si>
    <t xml:space="preserve">P $AM IPPT (0500-1030)</t>
  </si>
  <si>
    <t xml:space="preserve">T $AM GX PHASE 1 (0400-1230)</t>
  </si>
  <si>
    <t xml:space="preserve">HQ $AM IPPT (0720-1320)</t>
  </si>
  <si>
    <t xml:space="preserve">K $AM IPPT</t>
  </si>
  <si>
    <t xml:space="preserve">1ST $PM ER (1630-1820)</t>
  </si>
  <si>
    <t xml:space="preserve">GP REHEARSAL $M</t>
  </si>
  <si>
    <t xml:space="preserve">PENDING OIL</t>
  </si>
  <si>
    <t xml:space="preserve">  </t>
  </si>
  <si>
    <t xml:space="preserve">1ST $AM ER (0730-0920)</t>
  </si>
  <si>
    <t xml:space="preserve">F CS/ATP $BTP (0600-2359)</t>
  </si>
  <si>
    <t xml:space="preserve">1ST $AM ER (0720-0930)</t>
  </si>
  <si>
    <t xml:space="preserve">GX OFF</t>
  </si>
  <si>
    <t xml:space="preserve">OFF (WEEKEND FIELDCAMP COVER)</t>
  </si>
  <si>
    <t xml:space="preserve">FULL 5 DAY IFC COVER OFF</t>
  </si>
  <si>
    <t xml:space="preserve">LCP KOH KAH SENG</t>
  </si>
  <si>
    <t xml:space="preserve">SHADOW DM</t>
  </si>
  <si>
    <t xml:space="preserve">SCH 4 $AM GX PHASE 1 (0400-1230)</t>
  </si>
  <si>
    <t xml:space="preserve">AM MA + PM OFF (WEEKEND BIC COVER)</t>
  </si>
  <si>
    <t xml:space="preserve">SCH 4 PERMSTAFF ATP/CS $BTP</t>
  </si>
  <si>
    <t xml:space="preserve">PM DA</t>
  </si>
  <si>
    <t xml:space="preserve">STOCKTAKE OFF</t>
  </si>
  <si>
    <t xml:space="preserve">SB (EXTRA)</t>
  </si>
  <si>
    <t xml:space="preserve">VESAK DAY OIL</t>
  </si>
  <si>
    <t xml:space="preserve">AMPT FIRST TIME PASS OFF</t>
  </si>
  <si>
    <t xml:space="preserve">PHLEBO @ NSC</t>
  </si>
  <si>
    <t xml:space="preserve">1B MOBILEMET AM OFF</t>
  </si>
  <si>
    <t xml:space="preserve">5TH $PM ER (1630-1820) </t>
  </si>
  <si>
    <t xml:space="preserve">POST MARCH GX BOOK IN</t>
  </si>
  <si>
    <t xml:space="preserve">5TH $AM ER (0720-0930)</t>
  </si>
  <si>
    <t xml:space="preserve">GOOD PERFORMANCE OFF (CSFFI) </t>
  </si>
  <si>
    <t xml:space="preserve">1ST $AM IPPT (0730-0920)</t>
  </si>
  <si>
    <t xml:space="preserve">GOOD PERFORMANCE OFF (SAS STOCKTAKE)</t>
  </si>
  <si>
    <t xml:space="preserve">GP OFF (JUNE)</t>
  </si>
  <si>
    <t xml:space="preserve">CPL JOVAN CHUA RUI CHENG</t>
  </si>
  <si>
    <t xml:space="preserve">OFF - GOOD PERFORMANCE FOR CS FFI BY DR SAKTHI</t>
  </si>
  <si>
    <t xml:space="preserve">OFF - GP MARCH 2026</t>
  </si>
  <si>
    <t xml:space="preserve">CPL LAN ZHI XIANG</t>
  </si>
  <si>
    <t xml:space="preserve">5TH $PM ER (1630-1820)</t>
  </si>
  <si>
    <t xml:space="preserve">AM MA NEW YEAR OIL PM OFF</t>
  </si>
  <si>
    <t xml:space="preserve">GX OFF (MARCH)</t>
  </si>
  <si>
    <t xml:space="preserve">LCP DAANYAAL ABDUL AZEEZ JANJUA</t>
  </si>
  <si>
    <t xml:space="preserve">5TH $AM IPPT (0730-0920)</t>
  </si>
  <si>
    <t xml:space="preserve">OFF - GOOD PERFORMANCE FOR STOCK TAKE BY DR CALEB</t>
  </si>
  <si>
    <t xml:space="preserve">1ST + 5TH $M ISAD (0730-1120) (CONDUCTED BY 5TH, K COY JOINING)</t>
  </si>
  <si>
    <t xml:space="preserve">6TH COY VACC 1</t>
  </si>
  <si>
    <t xml:space="preserve">2ND COY VACC 1</t>
  </si>
  <si>
    <t xml:space="preserve">CFC GERALD TAN </t>
  </si>
  <si>
    <t xml:space="preserve">AM AL + PM MA</t>
  </si>
  <si>
    <t xml:space="preserve">S $PM PERMSTAFF SOC (1630-1930)</t>
  </si>
  <si>
    <t xml:space="preserve">CPL WONG JI FENG WILLARD</t>
  </si>
  <si>
    <t xml:space="preserve">S $AM IPPT (0500-1030)</t>
  </si>
  <si>
    <t xml:space="preserve">CS1 </t>
  </si>
  <si>
    <t xml:space="preserve">PTE KERK NATHAN</t>
  </si>
  <si>
    <t xml:space="preserve">RHMC</t>
  </si>
  <si>
    <t xml:space="preserve">PTE OWEN LEE</t>
  </si>
  <si>
    <t xml:space="preserve">LCP JARED JUAY (BCF)</t>
  </si>
  <si>
    <t xml:space="preserve">LCP AHMAD IMRAN (BCF)</t>
  </si>
  <si>
    <t xml:space="preserve">LCP LAU KAN SHEN (BCF)</t>
  </si>
  <si>
    <t xml:space="preserve">   </t>
  </si>
  <si>
    <t xml:space="preserve">PTE JEROME TEO (BCF)</t>
  </si>
  <si>
    <t xml:space="preserve">PTE EUGENE ANG (BCF)</t>
  </si>
  <si>
    <t xml:space="preserve">PTE JAR RUI (BCF)</t>
  </si>
  <si>
    <t xml:space="preserve">O $M HG (0515-2200)</t>
  </si>
  <si>
    <t xml:space="preserve">CPL QUEK ZI YI</t>
  </si>
  <si>
    <t xml:space="preserve">STARLIGHT OIL</t>
  </si>
  <si>
    <t xml:space="preserve">P $AM IPPT (0530-1030)</t>
  </si>
  <si>
    <t xml:space="preserve">bday</t>
  </si>
  <si>
    <t xml:space="preserve">P $PM CC (1530-1830)</t>
  </si>
  <si>
    <t xml:space="preserve">APS</t>
  </si>
  <si>
    <t xml:space="preserve">2nd $PM CC (1630-1820)</t>
  </si>
  <si>
    <t xml:space="preserve">CPL ZHANG ZHONGHAO</t>
  </si>
  <si>
    <t xml:space="preserve">HQ $AM IPPT</t>
  </si>
  <si>
    <t xml:space="preserve"> 5th $AM CC (0730-0920)</t>
  </si>
  <si>
    <t xml:space="preserve">CPL TAN JUN YANG KELVIN</t>
  </si>
  <si>
    <t xml:space="preserve">A $PM PERMSTAFF SOC (1500-2000)</t>
  </si>
  <si>
    <t xml:space="preserve">1st $AM CC (0730-0920)   </t>
  </si>
  <si>
    <t xml:space="preserve">1st $AM IPPT (0730-0920)    </t>
  </si>
  <si>
    <t xml:space="preserve">S $M HG (0500-2030)</t>
  </si>
  <si>
    <t xml:space="preserve">HQ $AM SAF DAY (0615-0930)</t>
  </si>
  <si>
    <t xml:space="preserve">A $AM IPPT (0530-11000</t>
  </si>
  <si>
    <t xml:space="preserve">P $AM ER</t>
  </si>
  <si>
    <t xml:space="preserve">K $AM IPPT (0500-1100)</t>
  </si>
  <si>
    <t xml:space="preserve">K $PM PERM SOC (1530-2000)</t>
  </si>
  <si>
    <t xml:space="preserve">B $M ISAD (0600-2000)</t>
  </si>
  <si>
    <t xml:space="preserve">LCP CHOA ZONGHAN ETIENNE</t>
  </si>
  <si>
    <t xml:space="preserve">S $M ISAD (0500-1730)</t>
  </si>
  <si>
    <t xml:space="preserve">C $BTP (0530-2359)</t>
  </si>
  <si>
    <t xml:space="preserve">5th $PM CC (1630-1820)</t>
  </si>
  <si>
    <t xml:space="preserve">C $AM IPPT (0530-1100)</t>
  </si>
  <si>
    <t xml:space="preserve">CPL HYDER ISKANDAR BIN ZULKILFILY</t>
  </si>
  <si>
    <t xml:space="preserve">1st $AM ER (0730-0920)</t>
  </si>
  <si>
    <t xml:space="preserve">S $AM CC (0530-1030)</t>
  </si>
  <si>
    <t xml:space="preserve">K $PM PERMSTAFF SOC (1530-2000)</t>
  </si>
  <si>
    <t xml:space="preserve">LCP MUHAMMAD SHAUKI BIN MOHD SHAM</t>
  </si>
  <si>
    <t xml:space="preserve">5th $AM IPPT (0730-0920)</t>
  </si>
  <si>
    <t xml:space="preserve">OUTFIELD RESERVE </t>
  </si>
  <si>
    <t xml:space="preserve">A $AM IPPT (0530-1100)</t>
  </si>
  <si>
    <t xml:space="preserve">LCP HUANG JIHUI</t>
  </si>
  <si>
    <t xml:space="preserve">K $AM CC (0600-1100)</t>
  </si>
  <si>
    <t xml:space="preserve">6th $PM CC (1630-1820)</t>
  </si>
  <si>
    <t xml:space="preserve">LCP MUHAMMAD HAMZA ZUBERI</t>
  </si>
  <si>
    <t xml:space="preserve">O $AM ER (0600-1100)</t>
  </si>
  <si>
    <t xml:space="preserve">2nd $AM IPPT (0730-0920)</t>
  </si>
  <si>
    <t xml:space="preserve">LCP RAGURAMAN ANIRUDH</t>
  </si>
  <si>
    <t xml:space="preserve">C $M HG (0600-2000)</t>
  </si>
  <si>
    <t xml:space="preserve">1st $M HG (0500-2000)</t>
  </si>
  <si>
    <t xml:space="preserve">PTE PATIL AMEYA MANOJ</t>
  </si>
  <si>
    <t xml:space="preserve">PTE ROYSTON SEOW</t>
  </si>
  <si>
    <t xml:space="preserve">B</t>
  </si>
  <si>
    <t xml:space="preserve">1st $FC</t>
  </si>
  <si>
    <t xml:space="preserve">1st $FC           </t>
  </si>
  <si>
    <t xml:space="preserve">AM MA          PM OFF</t>
  </si>
  <si>
    <t xml:space="preserve">6th $AM IPPT (0730-0920)</t>
  </si>
  <si>
    <t xml:space="preserve">6th $M HG (0500-2000)</t>
  </si>
  <si>
    <t xml:space="preserve">PTMC</t>
  </si>
  <si>
    <t xml:space="preserve">OFF - LANCER</t>
  </si>
  <si>
    <t xml:space="preserve">LANCER OFF</t>
  </si>
  <si>
    <t xml:space="preserve">NIL</t>
  </si>
  <si>
    <t xml:space="preserve">DA PM</t>
  </si>
  <si>
    <t xml:space="preserve">good preformance off</t>
  </si>
  <si>
    <t xml:space="preserve">MARCH GP COVER AM OFF</t>
  </si>
  <si>
    <t xml:space="preserve">NEW YEARS OIL</t>
  </si>
  <si>
    <t xml:space="preserve">MSP REHEARSAL </t>
  </si>
  <si>
    <t xml:space="preserve">6TH $PM CC (1630-1820)</t>
  </si>
  <si>
    <t xml:space="preserve">5TH $FC</t>
  </si>
  <si>
    <t xml:space="preserve">2ND $PM CC</t>
  </si>
  <si>
    <t xml:space="preserve">P $AM CC (0500-1030)</t>
  </si>
  <si>
    <t xml:space="preserve">2nd $M HG (0500-2000)    </t>
  </si>
  <si>
    <t xml:space="preserve">2ND + 6TH $AM ISAD (0730-0920)  </t>
  </si>
  <si>
    <t xml:space="preserve">OFF- FULL IFC OFF</t>
  </si>
  <si>
    <t xml:space="preserve">5TH $PM CC</t>
  </si>
  <si>
    <t xml:space="preserve">GP OFF (AM)</t>
  </si>
  <si>
    <t xml:space="preserve"> 1st $FC</t>
  </si>
  <si>
    <t xml:space="preserve">MA AM</t>
  </si>
  <si>
    <t xml:space="preserve">OIL CNY DUTY</t>
  </si>
  <si>
    <t xml:space="preserve">2ND + 6TH $PM WEAPON PRES (1930-2130)</t>
  </si>
  <si>
    <t xml:space="preserve">SB1 (EXTRA)</t>
  </si>
  <si>
    <t xml:space="preserve">PERMSTAFF $AM SOC</t>
  </si>
  <si>
    <t xml:space="preserve">6TH $AM IPPT</t>
  </si>
  <si>
    <t xml:space="preserve">5TH $M HG (0500-2000)</t>
  </si>
  <si>
    <t xml:space="preserve">5th $FC       </t>
  </si>
  <si>
    <t xml:space="preserve">temp cover row</t>
  </si>
  <si>
    <t xml:space="preserve">      </t>
  </si>
  <si>
    <t xml:space="preserve">PT PERSONNEL</t>
  </si>
  <si>
    <t xml:space="preserve">RH PERSONNEL</t>
  </si>
  <si>
    <t xml:space="preserve">NAME</t>
  </si>
  <si>
    <t xml:space="preserve">BATCH</t>
  </si>
  <si>
    <t xml:space="preserve">AMPT STATUS</t>
  </si>
  <si>
    <t xml:space="preserve">DEPARTMENT</t>
  </si>
  <si>
    <t xml:space="preserve">LEAVING  DATE</t>
  </si>
  <si>
    <t xml:space="preserve">LEAVING REASON</t>
  </si>
  <si>
    <t xml:space="preserve">DURATION</t>
  </si>
  <si>
    <t xml:space="preserve">P061</t>
  </si>
  <si>
    <t xml:space="preserve">PASS</t>
  </si>
  <si>
    <t xml:space="preserve">ADMIN</t>
  </si>
  <si>
    <t xml:space="preserve">DISPENSARY</t>
  </si>
  <si>
    <t xml:space="preserve">P066</t>
  </si>
  <si>
    <t xml:space="preserve">P067</t>
  </si>
  <si>
    <t xml:space="preserve">OJT</t>
  </si>
  <si>
    <t xml:space="preserve">P062</t>
  </si>
  <si>
    <t xml:space="preserve">FAIL</t>
  </si>
  <si>
    <t xml:space="preserve">P064</t>
  </si>
  <si>
    <t xml:space="preserve">P065</t>
  </si>
  <si>
    <t xml:space="preserve">OPS</t>
  </si>
  <si>
    <t xml:space="preserve">P063</t>
  </si>
  <si>
    <t xml:space="preserve">TREATMENT</t>
  </si>
  <si>
    <t xml:space="preserve">DISRUPTION</t>
  </si>
  <si>
    <t xml:space="preserve">SICKBAY</t>
  </si>
  <si>
    <t xml:space="preserve">STORES</t>
  </si>
  <si>
    <t xml:space="preserve">OVERSEAS EX.</t>
  </si>
  <si>
    <t xml:space="preserve">SETTINGS</t>
  </si>
  <si>
    <t xml:space="preserve">Setting</t>
  </si>
  <si>
    <t xml:space="preserve">Change the Setting key by updating the values below.</t>
  </si>
  <si>
    <t xml:space="preserve">Add worksheet by duplicating the 'Roster' sheet tab. 
New tabs will reference this same attendance key.</t>
  </si>
  <si>
    <t xml:space="preserve">Setting KEY Duty</t>
  </si>
  <si>
    <t xml:space="preserve">Points</t>
  </si>
  <si>
    <t xml:space="preserve">Point System</t>
  </si>
  <si>
    <t xml:space="preserve">REQUIREMENT</t>
  </si>
  <si>
    <t xml:space="preserve">Point awarded</t>
  </si>
  <si>
    <t xml:space="preserve">Before 0745</t>
  </si>
  <si>
    <t xml:space="preserve">After 1730</t>
  </si>
  <si>
    <t xml:space="preserve">Pass 0000</t>
  </si>
  <si>
    <t xml:space="preserve">Stay in due to ferry</t>
  </si>
  <si>
    <t xml:space="preserve">12 km/ long cover with likely stay in</t>
  </si>
  <si>
    <t xml:space="preserve">Each Consecutive days
To caculate manually</t>
  </si>
  <si>
    <t xml:space="preserve">0.09, 0.11, 0.13, 0.17</t>
  </si>
  <si>
    <t xml:space="preserve">Block</t>
  </si>
  <si>
    <t xml:space="preserve">Reserve</t>
  </si>
  <si>
    <t xml:space="preserve">S+</t>
  </si>
  <si>
    <t xml:space="preserve">Serve Plus</t>
  </si>
  <si>
    <t xml:space="preserve">EX-D</t>
  </si>
  <si>
    <t xml:space="preserve">Excused duties</t>
  </si>
  <si>
    <t xml:space="preserve">VACC</t>
  </si>
  <si>
    <t xml:space="preserve">Vaccination </t>
  </si>
  <si>
    <t xml:space="preserve">$AM BRT</t>
  </si>
  <si>
    <t xml:space="preserve">Bedok RT AM</t>
  </si>
  <si>
    <t xml:space="preserve">$AM IPPT</t>
  </si>
  <si>
    <t xml:space="preserve">IPPT AM</t>
  </si>
  <si>
    <t xml:space="preserve">$AM 3KM</t>
  </si>
  <si>
    <t xml:space="preserve">3KM AM</t>
  </si>
  <si>
    <t xml:space="preserve">$AM 4KM</t>
  </si>
  <si>
    <t xml:space="preserve">4KM AM</t>
  </si>
  <si>
    <t xml:space="preserve">$AM 6KM</t>
  </si>
  <si>
    <t xml:space="preserve">6KM AM</t>
  </si>
  <si>
    <t xml:space="preserve">$AM 8KM</t>
  </si>
  <si>
    <t xml:space="preserve">8KM AM</t>
  </si>
  <si>
    <t xml:space="preserve">$AM AGR</t>
  </si>
  <si>
    <t xml:space="preserve">AGR AM</t>
  </si>
  <si>
    <t xml:space="preserve">$AM CC</t>
  </si>
  <si>
    <t xml:space="preserve">CC AM</t>
  </si>
  <si>
    <t xml:space="preserve">$AM CATRUN</t>
  </si>
  <si>
    <t xml:space="preserve">CAT RUN AM</t>
  </si>
  <si>
    <t xml:space="preserve">$AM SOC</t>
  </si>
  <si>
    <t xml:space="preserve">SOC AM</t>
  </si>
  <si>
    <t xml:space="preserve">$PM BRT</t>
  </si>
  <si>
    <t xml:space="preserve">Bedok RT PM</t>
  </si>
  <si>
    <t xml:space="preserve">$PM IPPT</t>
  </si>
  <si>
    <t xml:space="preserve">IPPT PM</t>
  </si>
  <si>
    <t xml:space="preserve">$PM 3KM</t>
  </si>
  <si>
    <t xml:space="preserve">3KM PM</t>
  </si>
  <si>
    <t xml:space="preserve">$PM 4KM</t>
  </si>
  <si>
    <t xml:space="preserve">4KM PM</t>
  </si>
  <si>
    <t xml:space="preserve">$PM 6KM</t>
  </si>
  <si>
    <t xml:space="preserve">6KM PM</t>
  </si>
  <si>
    <t xml:space="preserve">$PM 8KM</t>
  </si>
  <si>
    <t xml:space="preserve">8KM PM</t>
  </si>
  <si>
    <t xml:space="preserve">$PM AGR</t>
  </si>
  <si>
    <t xml:space="preserve">AGR PM</t>
  </si>
  <si>
    <t xml:space="preserve">$PM CC</t>
  </si>
  <si>
    <t xml:space="preserve">CC PM</t>
  </si>
  <si>
    <t xml:space="preserve">$PM CATRUN</t>
  </si>
  <si>
    <t xml:space="preserve">CAT RUN PM</t>
  </si>
  <si>
    <t xml:space="preserve">$PM SOC</t>
  </si>
  <si>
    <t xml:space="preserve">SOC PM</t>
  </si>
  <si>
    <t xml:space="preserve">$M HG</t>
  </si>
  <si>
    <t xml:space="preserve">Hand granade long</t>
  </si>
  <si>
    <t xml:space="preserve">$M BIC</t>
  </si>
  <si>
    <t xml:space="preserve">BIC long</t>
  </si>
  <si>
    <t xml:space="preserve">$M 12KM</t>
  </si>
  <si>
    <t xml:space="preserve">12KM long</t>
  </si>
  <si>
    <t xml:space="preserve">$M DE</t>
  </si>
  <si>
    <t xml:space="preserve">DE Long</t>
  </si>
  <si>
    <t xml:space="preserve">$L 16KM</t>
  </si>
  <si>
    <t xml:space="preserve">16km l</t>
  </si>
  <si>
    <t xml:space="preserve">$L RE-SIT</t>
  </si>
  <si>
    <t xml:space="preserve">RE SIT-TEST </t>
  </si>
  <si>
    <t xml:space="preserve">$L CQB</t>
  </si>
  <si>
    <t xml:space="preserve">CQB</t>
  </si>
  <si>
    <t xml:space="preserve">$FC</t>
  </si>
  <si>
    <t xml:space="preserve">Field Camp</t>
  </si>
  <si>
    <t xml:space="preserve">TEKONG 8KM</t>
  </si>
  <si>
    <t xml:space="preserve">UNIT</t>
  </si>
  <si>
    <t xml:space="preserve">SCH 3</t>
  </si>
  <si>
    <t xml:space="preserve">LCP YASIR</t>
  </si>
  <si>
    <t xml:space="preserve">PTE RALPH</t>
  </si>
  <si>
    <t xml:space="preserve">LCP RAIYAN</t>
  </si>
  <si>
    <t xml:space="preserve">SCH 4</t>
  </si>
  <si>
    <t xml:space="preserve">OUTSIDE 16KM</t>
  </si>
  <si>
    <t xml:space="preserve">SFT</t>
  </si>
  <si>
    <t xml:space="preserve">LCP ETIENNE</t>
  </si>
  <si>
    <t xml:space="preserve">SP1 (SV)</t>
  </si>
  <si>
    <t xml:space="preserve">LCP SHAUKI</t>
  </si>
  <si>
    <t xml:space="preserve">RP1 (RP)</t>
  </si>
  <si>
    <t xml:space="preserve">LCP HAMZA</t>
  </si>
  <si>
    <t xml:space="preserve">RP1 (SV)</t>
  </si>
  <si>
    <t xml:space="preserve">PTE MATTHEW TAN</t>
  </si>
  <si>
    <t xml:space="preserve">RP2 (RP)</t>
  </si>
  <si>
    <t xml:space="preserve">LCP EDWARD GAN</t>
  </si>
  <si>
    <t xml:space="preserve">RP2 (SV)</t>
  </si>
  <si>
    <t xml:space="preserve">LCP ANIRUDH</t>
  </si>
  <si>
    <t xml:space="preserve">RP3 (RP)</t>
  </si>
  <si>
    <t xml:space="preserve">LCP ETHAN GOH</t>
  </si>
  <si>
    <t xml:space="preserve">CFC AINSLEY</t>
  </si>
  <si>
    <t xml:space="preserve">RP3 (SV)</t>
  </si>
  <si>
    <t xml:space="preserve">CFC AMSYAR</t>
  </si>
  <si>
    <t xml:space="preserve">EP (RP)</t>
  </si>
  <si>
    <t xml:space="preserve">EP (SV)</t>
  </si>
  <si>
    <t xml:space="preserve">LCP JIHUI</t>
  </si>
  <si>
    <t xml:space="preserve">MMU 1</t>
  </si>
  <si>
    <t xml:space="preserve">LCP HYDER</t>
  </si>
  <si>
    <t xml:space="preserve">MMU 2</t>
  </si>
  <si>
    <t xml:space="preserve">PTE DAANYAAL</t>
  </si>
  <si>
    <t xml:space="preserve">GP ROLES</t>
  </si>
  <si>
    <t xml:space="preserve">FAP 1 IC </t>
  </si>
  <si>
    <t xml:space="preserve">3SG SAMUEL TAN</t>
  </si>
  <si>
    <t xml:space="preserve">FAP 2 IC</t>
  </si>
  <si>
    <t xml:space="preserve">CPL JIANG RUI</t>
  </si>
  <si>
    <t xml:space="preserve">FAP 3 IC</t>
  </si>
  <si>
    <t xml:space="preserve">LCP RAPHAEL</t>
  </si>
  <si>
    <t xml:space="preserve">FAP 4 IC </t>
  </si>
  <si>
    <t xml:space="preserve">CPL WILLARD</t>
  </si>
  <si>
    <t xml:space="preserve">Spotter</t>
  </si>
  <si>
    <t xml:space="preserve">CFC ETHAN KOH</t>
  </si>
  <si>
    <t xml:space="preserve">CFC BRENDON TOH</t>
  </si>
  <si>
    <t xml:space="preserve">Stretcher Party</t>
  </si>
  <si>
    <t xml:space="preserve">LCP JOVAN CHUA</t>
  </si>
  <si>
    <t xml:space="preserve">3SG ISAAC HO</t>
  </si>
  <si>
    <t xml:space="preserve">CPL JULIAN TAN</t>
  </si>
  <si>
    <t xml:space="preserve">AMB IC</t>
  </si>
  <si>
    <t xml:space="preserve">LCP EKLAVYA</t>
  </si>
  <si>
    <t xml:space="preserve">CFC GERALD TAN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</si>
</sst>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£-809]#,##0.00"/>
    <numFmt numFmtId="166" formatCode="m/d"/>
    <numFmt numFmtId="167" formatCode="d/m"/>
    <numFmt numFmtId="168" formatCode="ddd"/>
    <numFmt numFmtId="169" formatCode="d/m/yyyy;@"/>
  </numFmts>
  <fonts count="48">
    <font>
      <sz val="10"/>
      <color rgb="FF00000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color rgb="FFFFFFFF"/>
      <name val="Roboto"/>
      <family val="0"/>
    </font>
    <font>
      <sz val="12"/>
      <color rgb="FFFFFFFF"/>
      <name val="Roboto"/>
      <family val="0"/>
    </font>
    <font>
      <i val="true"/>
      <sz val="10"/>
      <color rgb="FFC5CAE9"/>
      <name val="Roboto Condensed"/>
      <family val="0"/>
    </font>
    <font>
      <i val="true"/>
      <sz val="10"/>
      <color rgb="FFC5CAE9"/>
      <name val="Roboto"/>
      <family val="0"/>
    </font>
    <font>
      <sz val="10"/>
      <name val="Roboto"/>
      <family val="0"/>
    </font>
    <font>
      <b val="true"/>
      <sz val="10"/>
      <color rgb="FF303F9F"/>
      <name val="Roboto"/>
      <family val="0"/>
    </font>
    <font>
      <b val="true"/>
      <sz val="9"/>
      <color rgb="FF303F9F"/>
      <name val="Roboto"/>
      <family val="0"/>
    </font>
    <font>
      <b val="true"/>
      <sz val="11"/>
      <color rgb="FF303F9F"/>
      <name val="Roboto"/>
      <family val="0"/>
    </font>
    <font>
      <i val="true"/>
      <sz val="10"/>
      <color rgb="FF6772AD"/>
      <name val="Roboto"/>
      <family val="0"/>
    </font>
    <font>
      <sz val="10"/>
      <color rgb="FF6772AD"/>
      <name val="Roboto"/>
      <family val="0"/>
    </font>
    <font>
      <b val="true"/>
      <sz val="9"/>
      <color rgb="FF000000"/>
      <name val="Times New Roman"/>
      <family val="0"/>
    </font>
    <font>
      <b val="true"/>
      <i val="true"/>
      <sz val="9"/>
      <color rgb="FF000000"/>
      <name val="Times New Roman"/>
      <family val="0"/>
    </font>
    <font>
      <b val="true"/>
      <sz val="9"/>
      <name val="Times New Roman"/>
      <family val="0"/>
    </font>
    <font>
      <b val="true"/>
      <sz val="6"/>
      <name val="Arial"/>
      <family val="0"/>
    </font>
    <font>
      <b val="true"/>
      <sz val="10"/>
      <color rgb="FF000000"/>
      <name val="Times New Roman"/>
      <family val="0"/>
    </font>
    <font>
      <b val="true"/>
      <sz val="10"/>
      <name val="Roboto"/>
      <family val="0"/>
    </font>
    <font>
      <sz val="10"/>
      <color rgb="FF666666"/>
      <name val="Roboto"/>
      <family val="0"/>
    </font>
    <font>
      <b val="true"/>
      <sz val="12"/>
      <color rgb="FF303F9F"/>
      <name val="Roboto"/>
      <family val="0"/>
    </font>
    <font>
      <b val="true"/>
      <sz val="1"/>
      <color rgb="FF000000"/>
      <name val="Times New Roman"/>
      <family val="0"/>
    </font>
    <font>
      <i val="true"/>
      <sz val="10"/>
      <name val="Roboto"/>
      <family val="0"/>
    </font>
    <font>
      <sz val="10"/>
      <color rgb="FFFFFFFF"/>
      <name val="Arial"/>
      <family val="0"/>
    </font>
    <font>
      <b val="true"/>
      <sz val="10"/>
      <color rgb="FF1C4587"/>
      <name val="Roboto"/>
      <family val="0"/>
    </font>
    <font>
      <sz val="10"/>
      <color rgb="FF1C4587"/>
      <name val="Roboto"/>
      <family val="0"/>
    </font>
    <font>
      <sz val="10"/>
      <name val="Times New Roman"/>
      <family val="0"/>
    </font>
    <font>
      <sz val="9"/>
      <name val="Times New Roman"/>
      <family val="0"/>
    </font>
    <font>
      <sz val="24"/>
      <name val="Roboto"/>
      <family val="0"/>
    </font>
    <font>
      <sz val="9"/>
      <color rgb="FF000000"/>
      <name val="Arial"/>
      <family val="0"/>
    </font>
    <font>
      <strike val="true"/>
      <sz val="10"/>
      <name val="Arial"/>
      <family val="0"/>
    </font>
    <font>
      <b val="true"/>
      <sz val="10"/>
      <name val="Times New Roman"/>
      <family val="0"/>
    </font>
    <font>
      <sz val="12"/>
      <color rgb="FFC5CAE9"/>
      <name val="Roboto"/>
      <family val="0"/>
    </font>
    <font>
      <sz val="12"/>
      <color rgb="FFC5CAE9"/>
      <name val="Roboto Condensed"/>
      <family val="0"/>
    </font>
    <font>
      <sz val="18"/>
      <color rgb="FFFFFFFF"/>
      <name val="Roboto"/>
      <family val="0"/>
    </font>
    <font>
      <sz val="20"/>
      <color rgb="FFFFFFFF"/>
      <name val="Roboto"/>
      <family val="0"/>
    </font>
    <font>
      <sz val="10"/>
      <color rgb="FF303F9F"/>
      <name val="Roboto"/>
      <family val="0"/>
    </font>
    <font>
      <i val="true"/>
      <sz val="10"/>
      <color rgb="FF303F9F"/>
      <name val="Roboto Condensed"/>
      <family val="0"/>
    </font>
    <font>
      <sz val="10"/>
      <color rgb="FF434343"/>
      <name val="Roboto"/>
      <family val="0"/>
    </font>
    <font>
      <b val="true"/>
      <sz val="10"/>
      <color rgb="FF434343"/>
      <name val="Roboto"/>
      <family val="0"/>
    </font>
    <font>
      <b val="true"/>
      <sz val="10"/>
      <color rgb="FF000000"/>
      <name val="Roboto"/>
      <family val="0"/>
    </font>
    <font>
      <b val="true"/>
      <sz val="11"/>
      <color rgb="FF434343"/>
      <name val="Roboto"/>
      <family val="0"/>
    </font>
    <font>
      <sz val="11"/>
      <color rgb="FF434343"/>
      <name val="Roboto"/>
      <family val="0"/>
    </font>
    <font>
      <b val="true"/>
      <sz val="11"/>
      <name val="Arial"/>
      <family val="0"/>
    </font>
    <font>
      <b val="true"/>
      <sz val="10"/>
      <name val="Arial"/>
      <family val="0"/>
    </font>
    <font>
      <b val="true"/>
      <sz val="10"/>
      <color rgb="FF000000"/>
      <name val="Arial"/>
      <family val="0"/>
    </font>
    <font>
      <b val="true"/>
      <sz val="10"/>
      <color rgb="FFFFFFFF"/>
      <name val="Arial"/>
      <family val="0"/>
    </font>
  </fonts>
  <fills count="31">
    <fill>
      <patternFill patternType="none"/>
    </fill>
    <fill>
      <patternFill patternType="gray125"/>
    </fill>
    <fill>
      <patternFill patternType="solid">
        <fgColor rgb="FF2A3990"/>
        <bgColor rgb="FF303F9F"/>
      </patternFill>
    </fill>
    <fill>
      <patternFill patternType="solid">
        <fgColor rgb="FFFFFFFF"/>
        <bgColor rgb="FFF3F3F3"/>
      </patternFill>
    </fill>
    <fill>
      <patternFill patternType="solid">
        <fgColor rgb="FFF3F3F3"/>
        <bgColor rgb="FFE8EAF6"/>
      </patternFill>
    </fill>
    <fill>
      <patternFill patternType="solid">
        <fgColor rgb="FFD9D9D9"/>
        <bgColor rgb="FFCCCCCC"/>
      </patternFill>
    </fill>
    <fill>
      <patternFill patternType="solid">
        <fgColor rgb="FFFF00FF"/>
        <bgColor rgb="FFFF00FF"/>
      </patternFill>
    </fill>
    <fill>
      <patternFill patternType="solid">
        <fgColor rgb="FF000000"/>
        <bgColor rgb="FF003300"/>
      </patternFill>
    </fill>
    <fill>
      <patternFill patternType="solid">
        <fgColor rgb="FFF6B26B"/>
        <bgColor rgb="FFEA9999"/>
      </patternFill>
    </fill>
    <fill>
      <patternFill patternType="solid">
        <fgColor rgb="FFFFD966"/>
        <bgColor rgb="FFFFE599"/>
      </patternFill>
    </fill>
    <fill>
      <patternFill patternType="solid">
        <fgColor rgb="FF93C47D"/>
        <bgColor rgb="FF76A5AF"/>
      </patternFill>
    </fill>
    <fill>
      <patternFill patternType="solid">
        <fgColor rgb="FF76A5AF"/>
        <bgColor rgb="FF76A5B0"/>
      </patternFill>
    </fill>
    <fill>
      <patternFill patternType="solid">
        <fgColor rgb="FF6D9EEB"/>
        <bgColor rgb="FF6FA8DC"/>
      </patternFill>
    </fill>
    <fill>
      <patternFill patternType="solid">
        <fgColor rgb="FF6FA8DC"/>
        <bgColor rgb="FF6D9EEB"/>
      </patternFill>
    </fill>
    <fill>
      <patternFill patternType="solid">
        <fgColor rgb="FFCCCCCC"/>
        <bgColor rgb="FFC5CAE9"/>
      </patternFill>
    </fill>
    <fill>
      <patternFill patternType="solid">
        <fgColor rgb="FFFFFF00"/>
        <bgColor rgb="FFFFFF00"/>
      </patternFill>
    </fill>
    <fill>
      <patternFill patternType="solid">
        <fgColor rgb="FF4C1130"/>
        <bgColor rgb="FF800000"/>
      </patternFill>
    </fill>
    <fill>
      <patternFill patternType="solid">
        <fgColor rgb="FFFF0000"/>
        <bgColor rgb="FF993300"/>
      </patternFill>
    </fill>
    <fill>
      <patternFill patternType="solid">
        <fgColor rgb="FFFFE599"/>
        <bgColor rgb="FFFFD966"/>
      </patternFill>
    </fill>
    <fill>
      <patternFill patternType="solid">
        <fgColor rgb="FFEA9999"/>
        <bgColor rgb="FFD5A6BD"/>
      </patternFill>
    </fill>
    <fill>
      <patternFill patternType="solid">
        <fgColor rgb="FFD5A6BD"/>
        <bgColor rgb="FFEA9999"/>
      </patternFill>
    </fill>
    <fill>
      <patternFill patternType="solid">
        <fgColor rgb="FF3C78D8"/>
        <bgColor rgb="FF3D85C6"/>
      </patternFill>
    </fill>
    <fill>
      <patternFill patternType="solid">
        <fgColor rgb="FFFF9900"/>
        <bgColor rgb="FFF6B26B"/>
      </patternFill>
    </fill>
    <fill>
      <patternFill patternType="solid">
        <fgColor rgb="FF3D85C6"/>
        <bgColor rgb="FF3C78D8"/>
      </patternFill>
    </fill>
    <fill>
      <patternFill patternType="solid">
        <fgColor rgb="FF1155CC"/>
        <bgColor rgb="FF1C4587"/>
      </patternFill>
    </fill>
    <fill>
      <patternFill patternType="solid">
        <fgColor rgb="FF38761D"/>
        <bgColor rgb="FF666666"/>
      </patternFill>
    </fill>
    <fill>
      <patternFill patternType="solid">
        <fgColor rgb="FF00FFFF"/>
        <bgColor rgb="FF00FFFF"/>
      </patternFill>
    </fill>
    <fill>
      <patternFill patternType="solid">
        <fgColor rgb="FF76A5B0"/>
        <bgColor rgb="FF76A5AF"/>
      </patternFill>
    </fill>
    <fill>
      <patternFill patternType="solid">
        <fgColor rgb="FFE8EAF6"/>
        <bgColor rgb="FFF3F3F3"/>
      </patternFill>
    </fill>
    <fill>
      <patternFill patternType="solid">
        <fgColor rgb="FF00FF00"/>
        <bgColor rgb="FF00FFFF"/>
      </patternFill>
    </fill>
    <fill>
      <patternFill patternType="solid">
        <fgColor rgb="FF434343"/>
        <bgColor rgb="FF2A3990"/>
      </patternFill>
    </fill>
  </fills>
  <borders count="2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>
        <color rgb="FF303F9F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>
        <color rgb="FFE8EAF6"/>
      </right>
      <top/>
      <bottom/>
      <diagonal/>
    </border>
    <border diagonalUp="false" diagonalDown="false">
      <left style="thin">
        <color rgb="FFE8EAF6"/>
      </left>
      <right style="thin">
        <color rgb="FFE8EAF6"/>
      </right>
      <top/>
      <bottom/>
      <diagonal/>
    </border>
    <border diagonalUp="false" diagonalDown="false">
      <left style="thin">
        <color rgb="FFE8EAF6"/>
      </left>
      <right/>
      <top/>
      <bottom/>
      <diagonal/>
    </border>
    <border diagonalUp="false" diagonalDown="false">
      <left/>
      <right/>
      <top/>
      <bottom style="thin">
        <color rgb="FFC5CAE9"/>
      </bottom>
      <diagonal/>
    </border>
    <border diagonalUp="false" diagonalDown="false">
      <left/>
      <right style="thin">
        <color rgb="FFE8EAF6"/>
      </right>
      <top/>
      <bottom style="thin">
        <color rgb="FFC5CAE9"/>
      </bottom>
      <diagonal/>
    </border>
    <border diagonalUp="false" diagonalDown="false">
      <left style="thin">
        <color rgb="FFE8EAF6"/>
      </left>
      <right style="thin">
        <color rgb="FFE8EAF6"/>
      </right>
      <top/>
      <bottom style="thin">
        <color rgb="FFC5CAE9"/>
      </bottom>
      <diagonal/>
    </border>
    <border diagonalUp="false" diagonalDown="false">
      <left style="thin">
        <color rgb="FFE8EAF6"/>
      </left>
      <right/>
      <top/>
      <bottom style="thin">
        <color rgb="FFC5CAE9"/>
      </bottom>
      <diagonal/>
    </border>
    <border diagonalUp="false" diagonalDown="false">
      <left style="thin">
        <color rgb="FFC5CAE9"/>
      </left>
      <right style="thin">
        <color rgb="FFC5CAE9"/>
      </right>
      <top/>
      <bottom/>
      <diagonal/>
    </border>
    <border diagonalUp="false" diagonalDown="false">
      <left style="thin">
        <color rgb="FFC5CAE9"/>
      </left>
      <right/>
      <top/>
      <bottom/>
      <diagonal/>
    </border>
    <border diagonalUp="false" diagonalDown="false">
      <left style="thin"/>
      <right/>
      <top/>
      <bottom style="thick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thin"/>
      <bottom style="thick"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ck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/>
      <bottom style="thick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7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1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1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1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3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2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2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" fillId="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4" fillId="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21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9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2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18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8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8" fontId="13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2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8" borderId="1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8" borderId="1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3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7" fillId="6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3" borderId="1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4" borderId="1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1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3" borderId="1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18" borderId="1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18" borderId="1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18" borderId="2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18" borderId="1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18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18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18" borderId="1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18" borderId="1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18" borderId="2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18" borderId="2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5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7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" fillId="1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" fillId="21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9" fillId="18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" fillId="2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21" fillId="5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9" fillId="5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25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18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3" fillId="5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26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18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18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" fillId="4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18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" fillId="4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" fillId="3" borderId="2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" fillId="7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30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19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0" fillId="7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" fillId="1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" fillId="17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" fillId="5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30" fillId="5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" fillId="4" borderId="2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17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" fillId="3" borderId="1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" fillId="4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" fillId="17" borderId="2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" fillId="10" borderId="1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" fillId="9" borderId="1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" fillId="4" borderId="1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" fillId="3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" fillId="23" borderId="1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" fillId="6" borderId="2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" fillId="3" borderId="2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" fillId="17" borderId="1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" fillId="5" borderId="2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" fillId="6" borderId="2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" fillId="2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" fillId="24" borderId="1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" fillId="1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" fillId="2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" fillId="22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" fillId="2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" fillId="25" borderId="1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" fillId="2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" fillId="4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" fillId="13" borderId="1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" fillId="26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" fillId="27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5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32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9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18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18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5" fillId="2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6" fillId="2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35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7" fillId="2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28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7" fillId="28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8" fillId="28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1" fillId="1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2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" fillId="2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3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7" fillId="3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9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7"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D9EEB"/>
          <bgColor rgb="FF000000"/>
        </patternFill>
      </fill>
    </dxf>
    <dxf>
      <fill>
        <patternFill patternType="solid">
          <fgColor rgb="FF76A5A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6B26B"/>
          <bgColor rgb="FF000000"/>
        </patternFill>
      </fill>
    </dxf>
    <dxf>
      <fill>
        <patternFill patternType="solid">
          <fgColor rgb="FFFF00FF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8761D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6FA8DC"/>
          <bgColor rgb="FF000000"/>
        </patternFill>
      </fill>
    </dxf>
    <dxf>
      <fill>
        <patternFill patternType="solid">
          <fgColor rgb="FF93C47D"/>
          <bgColor rgb="FF000000"/>
        </patternFill>
      </fill>
    </dxf>
    <dxf>
      <fill>
        <patternFill patternType="solid">
          <fgColor rgb="FFFF9900"/>
          <bgColor rgb="FF000000"/>
        </patternFill>
      </fill>
    </dxf>
    <dxf>
      <fill>
        <patternFill patternType="solid">
          <fgColor rgb="FF9900FF"/>
          <bgColor rgb="FF000000"/>
        </patternFill>
      </fill>
    </dxf>
    <dxf>
      <fill>
        <patternFill patternType="solid">
          <fgColor rgb="FFF3F3F3"/>
          <bgColor rgb="FF000000"/>
        </patternFill>
      </fill>
    </dxf>
    <dxf>
      <fill>
        <patternFill patternType="solid">
          <fgColor rgb="FF2A399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ont>
        <name val="Arial"/>
        <family val="0"/>
        <color rgb="FF000000"/>
      </font>
      <fill>
        <patternFill>
          <bgColor rgb="FFD9D9D9"/>
        </patternFill>
      </fill>
    </dxf>
    <dxf>
      <font>
        <name val="Arial"/>
        <family val="0"/>
        <color rgb="FFFFFFFF"/>
      </font>
      <fill>
        <patternFill>
          <bgColor rgb="FF434343"/>
        </patternFill>
      </fill>
    </dxf>
    <dxf>
      <font>
        <name val="Arial"/>
        <family val="0"/>
        <color rgb="FF000000"/>
      </font>
      <fill>
        <patternFill>
          <bgColor rgb="FFFF00FF"/>
        </patternFill>
      </fill>
    </dxf>
    <dxf>
      <font>
        <name val="Arial"/>
        <family val="0"/>
        <color rgb="FF000000"/>
      </font>
      <fill>
        <patternFill>
          <bgColor rgb="FFF6B26B"/>
        </patternFill>
      </fill>
    </dxf>
    <dxf>
      <font>
        <name val="Arial"/>
        <family val="0"/>
        <color rgb="FF000000"/>
      </font>
      <fill>
        <patternFill>
          <bgColor rgb="FFFFD966"/>
        </patternFill>
      </fill>
    </dxf>
    <dxf>
      <font>
        <name val="Arial"/>
        <family val="0"/>
        <color rgb="FF000000"/>
      </font>
      <fill>
        <patternFill>
          <bgColor rgb="FF93C47D"/>
        </patternFill>
      </fill>
    </dxf>
    <dxf>
      <font>
        <name val="Arial"/>
        <family val="0"/>
        <color rgb="FF000000"/>
      </font>
      <fill>
        <patternFill>
          <bgColor rgb="FF76A5AF"/>
        </patternFill>
      </fill>
    </dxf>
    <dxf>
      <font>
        <name val="Arial"/>
        <family val="0"/>
        <color rgb="FF000000"/>
      </font>
      <fill>
        <patternFill>
          <bgColor rgb="FF6D9EEB"/>
        </patternFill>
      </fill>
    </dxf>
    <dxf>
      <font>
        <name val="Arial"/>
        <family val="0"/>
        <color rgb="FF000000"/>
      </font>
      <fill>
        <patternFill>
          <bgColor rgb="FF6FA8DC"/>
        </patternFill>
      </fill>
    </dxf>
    <dxf>
      <font>
        <name val="Arial"/>
        <family val="0"/>
        <color rgb="FF000000"/>
      </font>
      <fill>
        <patternFill>
          <bgColor rgb="FFFFFF00"/>
        </patternFill>
      </fill>
    </dxf>
    <dxf>
      <font>
        <name val="Arial"/>
        <family val="0"/>
        <color rgb="FF000000"/>
      </font>
      <fill>
        <patternFill>
          <bgColor rgb="FFFF9900"/>
        </patternFill>
      </fill>
    </dxf>
    <dxf>
      <font>
        <name val="Arial"/>
        <family val="0"/>
        <color rgb="FF000000"/>
      </font>
      <fill>
        <patternFill>
          <bgColor rgb="FFE06666"/>
        </patternFill>
      </fill>
    </dxf>
    <dxf>
      <font>
        <name val="Arial"/>
        <family val="0"/>
        <color rgb="FF000000"/>
      </font>
      <fill>
        <patternFill>
          <bgColor rgb="FFF4CCCC"/>
        </patternFill>
      </fill>
    </dxf>
    <dxf>
      <font>
        <name val="Arial"/>
        <family val="0"/>
        <color rgb="FF000000"/>
      </font>
      <fill>
        <patternFill>
          <bgColor rgb="FF9900FF"/>
        </patternFill>
      </fill>
    </dxf>
    <dxf>
      <font>
        <name val="Arial"/>
        <family val="0"/>
        <color rgb="FF000000"/>
      </font>
      <fill>
        <patternFill>
          <bgColor rgb="FFD5A6BD"/>
        </patternFill>
      </fill>
    </dxf>
    <dxf>
      <font>
        <name val="Arial"/>
        <family val="0"/>
        <color rgb="FF000000"/>
      </font>
      <fill>
        <patternFill>
          <bgColor rgb="FF38761D"/>
        </patternFill>
      </fill>
    </dxf>
    <dxf>
      <font>
        <name val="Arial"/>
        <family val="0"/>
        <b val="1"/>
        <color rgb="FFFFFF00"/>
      </font>
      <fill>
        <patternFill>
          <bgColor rgb="FFFF0000"/>
        </patternFill>
      </fill>
    </dxf>
    <dxf>
      <font>
        <name val="Arial"/>
        <family val="0"/>
        <b val="1"/>
        <color rgb="FF000000"/>
      </font>
      <fill>
        <patternFill>
          <bgColor rgb="FF666666"/>
        </patternFill>
      </fill>
    </dxf>
    <dxf>
      <font>
        <name val="Arial"/>
        <family val="0"/>
        <color rgb="FFFFFFFF"/>
      </font>
      <fill>
        <patternFill>
          <bgColor rgb="FFFF0000"/>
        </patternFill>
      </fill>
    </dxf>
    <dxf>
      <font>
        <name val="Arial"/>
        <family val="0"/>
        <color rgb="FF000000"/>
      </font>
      <fill>
        <patternFill>
          <bgColor rgb="FF875EAC"/>
        </patternFill>
      </fill>
    </dxf>
    <dxf>
      <font>
        <name val="Arial"/>
        <family val="0"/>
        <color rgb="FF000000"/>
      </font>
      <fill>
        <patternFill>
          <bgColor rgb="FFFF0000"/>
        </patternFill>
      </fill>
    </dxf>
    <dxf>
      <fill>
        <patternFill patternType="solid">
          <fgColor rgb="FFE06666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4C1130"/>
          <bgColor rgb="FF000000"/>
        </patternFill>
      </fill>
    </dxf>
    <dxf>
      <font>
        <name val="Arial"/>
        <family val="0"/>
        <color rgb="FF000000"/>
      </font>
      <fill>
        <patternFill>
          <bgColor rgb="FFB7E1CD"/>
        </patternFill>
      </fill>
    </dxf>
    <dxf>
      <fill>
        <patternFill patternType="solid">
          <fgColor rgb="FFEA9999"/>
          <bgColor rgb="FF000000"/>
        </patternFill>
      </fill>
    </dxf>
    <dxf>
      <fill>
        <patternFill patternType="solid">
          <fgColor rgb="FFFFE599"/>
          <bgColor rgb="FF000000"/>
        </patternFill>
      </fill>
    </dxf>
    <dxf>
      <fill>
        <patternFill patternType="solid">
          <fgColor rgb="FFB4A7D6"/>
          <bgColor rgb="FF000000"/>
        </patternFill>
      </fill>
    </dxf>
    <dxf>
      <fill>
        <patternFill patternType="solid">
          <fgColor rgb="FFD5A6BD"/>
          <bgColor rgb="FF000000"/>
        </patternFill>
      </fill>
    </dxf>
    <dxf>
      <font>
        <name val="Arial"/>
        <family val="0"/>
        <color rgb="FF000000"/>
      </font>
      <fill>
        <patternFill>
          <bgColor rgb="FFB4A7D6"/>
        </patternFill>
      </fill>
    </dxf>
    <dxf>
      <fill>
        <patternFill patternType="solid">
          <fgColor rgb="FF0000FF"/>
          <bgColor rgb="FF000000"/>
        </patternFill>
      </fill>
    </dxf>
    <dxf>
      <font>
        <name val="Arial"/>
        <family val="0"/>
        <color rgb="FF000000"/>
      </font>
      <fill>
        <patternFill>
          <bgColor rgb="FF0000FF"/>
        </patternFill>
      </fill>
    </dxf>
    <dxf>
      <font>
        <name val="Arial"/>
        <family val="0"/>
        <color rgb="FF000000"/>
      </font>
      <fill>
        <patternFill>
          <bgColor rgb="FF00FFFF"/>
        </patternFill>
      </fill>
    </dxf>
    <dxf>
      <fill>
        <patternFill patternType="solid">
          <fgColor rgb="FF76A5B0"/>
          <bgColor rgb="FF000000"/>
        </patternFill>
      </fill>
    </dxf>
    <dxf>
      <fill>
        <patternFill patternType="solid">
          <fgColor rgb="FF303F9F"/>
          <bgColor rgb="FF000000"/>
        </patternFill>
      </fill>
    </dxf>
    <dxf>
      <fill>
        <patternFill patternType="solid">
          <fgColor rgb="FF00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38761D"/>
      <rgbColor rgb="FF000080"/>
      <rgbColor rgb="FFD5A6BD"/>
      <rgbColor rgb="FF9900FF"/>
      <rgbColor rgb="FF008080"/>
      <rgbColor rgb="FFCCCCCC"/>
      <rgbColor rgb="FF666666"/>
      <rgbColor rgb="FF6D9EEB"/>
      <rgbColor rgb="FF875EAC"/>
      <rgbColor rgb="FFF3F3F3"/>
      <rgbColor rgb="FFE8EAF6"/>
      <rgbColor rgb="FF4C1130"/>
      <rgbColor rgb="FFE06666"/>
      <rgbColor rgb="FF1155CC"/>
      <rgbColor rgb="FFC5CA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B7E1CD"/>
      <rgbColor rgb="FFFFE599"/>
      <rgbColor rgb="FF6FA8DC"/>
      <rgbColor rgb="FFEA9999"/>
      <rgbColor rgb="FFB4A7D6"/>
      <rgbColor rgb="FFF4CCCC"/>
      <rgbColor rgb="FF3C78D8"/>
      <rgbColor rgb="FF76A5B0"/>
      <rgbColor rgb="FF93C47D"/>
      <rgbColor rgb="FFFFD966"/>
      <rgbColor rgb="FFFF9900"/>
      <rgbColor rgb="FFF6B26B"/>
      <rgbColor rgb="FF6772AD"/>
      <rgbColor rgb="FF76A5AF"/>
      <rgbColor rgb="FF1C4587"/>
      <rgbColor rgb="FF3D85C6"/>
      <rgbColor rgb="FF003300"/>
      <rgbColor rgb="FF303F9F"/>
      <rgbColor rgb="FF993300"/>
      <rgbColor rgb="FF993366"/>
      <rgbColor rgb="FF2A3990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_58" displayName="Table_58" ref="A5:BP33" headerRowCount="0" totalsRowCount="0" totalsRowShown="0">
  <tableColumns count="6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</tableColumns>
</table>
</file>

<file path=xl/tables/table2.xml><?xml version="1.0" encoding="utf-8"?>
<table xmlns="http://schemas.openxmlformats.org/spreadsheetml/2006/main" id="2" name="Table_59" displayName="Table_59" ref="B34:BP40" headerRowCount="0" totalsRowCount="0" totalsRowShown="0">
  <tableColumns count="6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</tableColumns>
</table>
</file>

<file path=xl/tables/table3.xml><?xml version="1.0" encoding="utf-8"?>
<table xmlns="http://schemas.openxmlformats.org/spreadsheetml/2006/main" id="3" name="Table_60" displayName="Table_60" ref="A5:BP39" headerRowCount="0" totalsRowCount="0" totalsRowShown="0">
  <tableColumns count="6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</tableColumns>
</table>
</file>

<file path=xl/tables/table4.xml><?xml version="1.0" encoding="utf-8"?>
<table xmlns="http://schemas.openxmlformats.org/spreadsheetml/2006/main" id="4" name="Table_61" displayName="Table_61" ref="B40:BP46" headerRowCount="0" totalsRowCount="0" totalsRowShown="0">
  <tableColumns count="6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</tableColumns>
</table>
</file>

<file path=xl/tables/table5.xml><?xml version="1.0" encoding="utf-8"?>
<table xmlns="http://schemas.openxmlformats.org/spreadsheetml/2006/main" id="5" name="Table_62" displayName="Table_62" ref="A5:BP39" headerRowCount="0" totalsRowCount="0" totalsRowShown="0">
  <tableColumns count="6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</tableColumns>
</table>
</file>

<file path=xl/tables/table6.xml><?xml version="1.0" encoding="utf-8"?>
<table xmlns="http://schemas.openxmlformats.org/spreadsheetml/2006/main" id="6" name="Table_63" displayName="Table_63" ref="B40:BP46" headerRowCount="0" totalsRowCount="0" totalsRowShown="0">
  <tableColumns count="6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</tableColumns>
</table>
</file>

<file path=xl/tables/table7.xml><?xml version="1.0" encoding="utf-8"?>
<table xmlns="http://schemas.openxmlformats.org/spreadsheetml/2006/main" id="7" name="Table_64" displayName="Table_64" ref="A5:BQ35" headerRowCount="0" totalsRowCount="0" totalsRowShown="0">
  <tableColumns count="6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  <tableColumn id="69" name="Column69"/>
  </tableColumns>
</table>
</file>

<file path=xl/tables/table8.xml><?xml version="1.0" encoding="utf-8"?>
<table xmlns="http://schemas.openxmlformats.org/spreadsheetml/2006/main" id="8" name="Table_65" displayName="Table_65" ref="B36:BQ42" headerRowCount="0" totalsRowCount="0" totalsRowShown="0">
  <tableColumns count="6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</tableColumns>
</table>
</file>

<file path=xl/tables/table9.xml><?xml version="1.0" encoding="utf-8"?>
<table xmlns="http://schemas.openxmlformats.org/spreadsheetml/2006/main" id="9" name="Table_66" displayName="Table_66" ref="A5:BQ40" headerRowCount="0" totalsRowCount="0" totalsRowShown="0">
  <tableColumns count="6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  <tableColumn id="69" name="Column69"/>
  </tableColumns>
</table>
</file>

<file path=xl/tables/table10.xml><?xml version="1.0" encoding="utf-8"?>
<table xmlns="http://schemas.openxmlformats.org/spreadsheetml/2006/main" id="10" name="Table_67" displayName="Table_67" ref="B41:BQ47" headerRowCount="0" totalsRowCount="0" totalsRowShown="0">
  <tableColumns count="6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</tableColumns>
</table>
</file>

<file path=xl/tables/table11.xml><?xml version="1.0" encoding="utf-8"?>
<table xmlns="http://schemas.openxmlformats.org/spreadsheetml/2006/main" id="11" name="Table_70" displayName="Table_70" ref="A5:BQ41" headerRowCount="0" totalsRowCount="0" totalsRowShown="0">
  <tableColumns count="6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  <tableColumn id="69" name="Column69"/>
  </tableColumns>
</table>
</file>

<file path=xl/tables/table12.xml><?xml version="1.0" encoding="utf-8"?>
<table xmlns="http://schemas.openxmlformats.org/spreadsheetml/2006/main" id="12" name="Table_71" displayName="Table_71" ref="B42:BQ48" headerRowCount="0" totalsRowCount="0" totalsRowShown="0">
  <tableColumns count="6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</tableColumns>
</table>
</file>

<file path=xl/tables/table13.xml><?xml version="1.0" encoding="utf-8"?>
<table xmlns="http://schemas.openxmlformats.org/spreadsheetml/2006/main" id="13" name="Table_72" displayName="Table_72" ref="A5:BQ41" headerRowCount="0" totalsRowCount="0" totalsRowShown="0">
  <tableColumns count="6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  <tableColumn id="69" name="Column69"/>
  </tableColumns>
</table>
</file>

<file path=xl/tables/table14.xml><?xml version="1.0" encoding="utf-8"?>
<table xmlns="http://schemas.openxmlformats.org/spreadsheetml/2006/main" id="14" name="Table_73" displayName="Table_73" ref="B42:BQ48" headerRowCount="0" totalsRowCount="0" totalsRowShown="0">
  <tableColumns count="6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</tableColumns>
</table>
</file>

<file path=xl/tables/table15.xml><?xml version="1.0" encoding="utf-8"?>
<table xmlns="http://schemas.openxmlformats.org/spreadsheetml/2006/main" id="15" name="Table_74" displayName="Table_74" ref="A5:BQ37" headerRowCount="0" totalsRowCount="0" totalsRowShown="0">
  <tableColumns count="6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  <tableColumn id="69" name="Column69"/>
  </tableColumns>
</table>
</file>

<file path=xl/tables/table16.xml><?xml version="1.0" encoding="utf-8"?>
<table xmlns="http://schemas.openxmlformats.org/spreadsheetml/2006/main" id="16" name="Table_75" displayName="Table_75" ref="B38:BQ44" headerRowCount="0" totalsRowCount="0" totalsRowShown="0">
  <tableColumns count="6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</tableColumns>
</table>
</file>

<file path=xl/tables/table17.xml><?xml version="1.0" encoding="utf-8"?>
<table xmlns="http://schemas.openxmlformats.org/spreadsheetml/2006/main" id="17" name="Table_80" displayName="Table_80" ref="A5:BQ42" headerRowCount="0" totalsRowCount="0" totalsRowShown="0">
  <tableColumns count="6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  <tableColumn id="69" name="Column69"/>
  </tableColumns>
</table>
</file>

<file path=xl/tables/table18.xml><?xml version="1.0" encoding="utf-8"?>
<table xmlns="http://schemas.openxmlformats.org/spreadsheetml/2006/main" id="18" name="Table_81" displayName="Table_81" ref="B43:BQ49" headerRowCount="0" totalsRowCount="0" totalsRowShown="0">
  <tableColumns count="6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</tableColumns>
</table>
</file>

<file path=xl/tables/table19.xml><?xml version="1.0" encoding="utf-8"?>
<table xmlns="http://schemas.openxmlformats.org/spreadsheetml/2006/main" id="19" name="Table_82" displayName="Table_82" ref="A5:BR46" headerRowCount="0" totalsRowCount="0" totalsRowShown="0">
  <tableColumns count="70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  <tableColumn id="69" name="Column69"/>
    <tableColumn id="70" name="Column70"/>
  </tableColumns>
</table>
</file>

<file path=xl/tables/table20.xml><?xml version="1.0" encoding="utf-8"?>
<table xmlns="http://schemas.openxmlformats.org/spreadsheetml/2006/main" id="20" name="Table_83" displayName="Table_83" ref="B47:BR54" headerRowCount="0" totalsRowCount="0" totalsRowShown="0">
  <tableColumns count="6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  <tableColumn id="69" name="Column69"/>
  </tableColumns>
</table>
</file>

<file path=xl/tables/table21.xml><?xml version="1.0" encoding="utf-8"?>
<table xmlns="http://schemas.openxmlformats.org/spreadsheetml/2006/main" id="21" name="Table_84" displayName="Table_84" ref="A5:BR43" headerRowCount="0" totalsRowCount="0" totalsRowShown="0">
  <tableColumns count="70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  <tableColumn id="69" name="Column69"/>
    <tableColumn id="70" name="Column70"/>
  </tableColumns>
</table>
</file>

<file path=xl/tables/table22.xml><?xml version="1.0" encoding="utf-8"?>
<table xmlns="http://schemas.openxmlformats.org/spreadsheetml/2006/main" id="22" name="Table_85" displayName="Table_85" ref="B44:BR52" headerRowCount="0" totalsRowCount="0" totalsRowShown="0">
  <tableColumns count="6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  <tableColumn id="69" name="Column69"/>
  </tableColumns>
</table>
</file>

<file path=xl/tables/table23.xml><?xml version="1.0" encoding="utf-8"?>
<table xmlns="http://schemas.openxmlformats.org/spreadsheetml/2006/main" id="23" name="Table_86" displayName="Table_86" ref="A5:BQ46" headerRowCount="0" totalsRowCount="0" totalsRowShown="0">
  <tableColumns count="6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  <tableColumn id="69" name="Column69"/>
  </tableColumns>
</table>
</file>

<file path=xl/tables/table24.xml><?xml version="1.0" encoding="utf-8"?>
<table xmlns="http://schemas.openxmlformats.org/spreadsheetml/2006/main" id="24" name="Table_87" displayName="Table_87" ref="B47:BQ56" headerRowCount="0" totalsRowCount="0" totalsRowShown="0">
  <tableColumns count="6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</tableColumns>
</table>
</file>

<file path=xl/tables/table25.xml><?xml version="1.0" encoding="utf-8"?>
<table xmlns="http://schemas.openxmlformats.org/spreadsheetml/2006/main" id="25" name="Table_88" displayName="Table_88" ref="B72:BR87" headerRowCount="0" totalsRowCount="0" totalsRowShown="0">
  <tableColumns count="6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  <tableColumn id="69" name="Column69"/>
  </tableColumns>
</table>
</file>

<file path=xl/tables/table26.xml><?xml version="1.0" encoding="utf-8"?>
<table xmlns="http://schemas.openxmlformats.org/spreadsheetml/2006/main" id="26" name="Table_89" displayName="Table_89" ref="A5:BQ65" headerRowCount="0" totalsRowCount="0" totalsRowShown="0">
  <tableColumns count="6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  <tableColumn id="69" name="Column69"/>
  </tableColumns>
</table>
</file>

<file path=xl/tables/table27.xml><?xml version="1.0" encoding="utf-8"?>
<table xmlns="http://schemas.openxmlformats.org/spreadsheetml/2006/main" id="27" name="Table_90" displayName="Table_90" ref="B66:BQ81" headerRowCount="0" totalsRowCount="0" totalsRowShown="0">
  <tableColumns count="6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</tableColumns>
</table>
</file>

<file path=xl/tables/table28.xml><?xml version="1.0" encoding="utf-8"?>
<table xmlns="http://schemas.openxmlformats.org/spreadsheetml/2006/main" id="28" name="Table_91" displayName="Table_91" ref="A5:BP79" headerRowCount="0" totalsRowCount="0" totalsRowShown="0">
  <tableColumns count="6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</tableColumns>
</table>
</file>

<file path=xl/tables/table29.xml><?xml version="1.0" encoding="utf-8"?>
<table xmlns="http://schemas.openxmlformats.org/spreadsheetml/2006/main" id="29" name="Table_92" displayName="Table_92" ref="B80:BP95" headerRowCount="0" totalsRowCount="0" totalsRowShown="0">
  <tableColumns count="6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</tableColumns>
</table>
</file>

<file path=xl/tables/table30.xml><?xml version="1.0" encoding="utf-8"?>
<table xmlns="http://schemas.openxmlformats.org/spreadsheetml/2006/main" id="30" name="Table_93" displayName="Table_93" ref="A5:BP74" headerRowCount="0" totalsRowCount="0" totalsRowShown="0">
  <tableColumns count="6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</tableColumns>
</table>
</file>

<file path=xl/tables/table31.xml><?xml version="1.0" encoding="utf-8"?>
<table xmlns="http://schemas.openxmlformats.org/spreadsheetml/2006/main" id="31" name="Table_94" displayName="Table_94" ref="B75:BP90" headerRowCount="0" totalsRowCount="0" totalsRowShown="0">
  <tableColumns count="6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3.xml"/><Relationship Id="rId2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5.xml"/><Relationship Id="rId2" Type="http://schemas.openxmlformats.org/officeDocument/2006/relationships/table" Target="../tables/table6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<Relationship Id="rId2" Type="http://schemas.openxmlformats.org/officeDocument/2006/relationships/table" Target="../tables/table8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9.xml"/><Relationship Id="rId2" Type="http://schemas.openxmlformats.org/officeDocument/2006/relationships/table" Target="../tables/table10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1.xml"/><Relationship Id="rId2" Type="http://schemas.openxmlformats.org/officeDocument/2006/relationships/table" Target="../tables/table1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3.xml"/><Relationship Id="rId2" Type="http://schemas.openxmlformats.org/officeDocument/2006/relationships/table" Target="../tables/table1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15.xml"/><Relationship Id="rId2" Type="http://schemas.openxmlformats.org/officeDocument/2006/relationships/table" Target="../tables/table1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17.xml"/><Relationship Id="rId2" Type="http://schemas.openxmlformats.org/officeDocument/2006/relationships/table" Target="../tables/table1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9.xml"/><Relationship Id="rId2" Type="http://schemas.openxmlformats.org/officeDocument/2006/relationships/table" Target="../tables/table2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21.xml"/><Relationship Id="rId2" Type="http://schemas.openxmlformats.org/officeDocument/2006/relationships/table" Target="../tables/table2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23.xml"/><Relationship Id="rId2" Type="http://schemas.openxmlformats.org/officeDocument/2006/relationships/table" Target="../tables/table24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26.xml"/><Relationship Id="rId2" Type="http://schemas.openxmlformats.org/officeDocument/2006/relationships/table" Target="../tables/table27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28.xml"/><Relationship Id="rId2" Type="http://schemas.openxmlformats.org/officeDocument/2006/relationships/table" Target="../tables/table29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30.xml"/><Relationship Id="rId2" Type="http://schemas.openxmlformats.org/officeDocument/2006/relationships/table" Target="../tables/table3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P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5" activeCellId="0" sqref="C5"/>
    </sheetView>
  </sheetViews>
  <sheetFormatPr defaultColWidth="12.6328125" defaultRowHeight="15.75" customHeight="true" zeroHeight="false" outlineLevelRow="0" outlineLevelCol="1"/>
  <cols>
    <col collapsed="false" customWidth="true" hidden="false" outlineLevel="0" max="1" min="1" style="0" width="2.13"/>
    <col collapsed="false" customWidth="true" hidden="false" outlineLevel="0" max="2" min="2" style="0" width="29.76"/>
    <col collapsed="false" customWidth="true" hidden="false" outlineLevel="0" max="11" min="3" style="0" width="9.24"/>
    <col collapsed="false" customWidth="true" hidden="false" outlineLevel="0" max="12" min="12" style="0" width="9.38"/>
    <col collapsed="false" customWidth="true" hidden="false" outlineLevel="0" max="13" min="13" style="0" width="10.63"/>
    <col collapsed="false" customWidth="true" hidden="false" outlineLevel="0" max="14" min="14" style="0" width="9.24"/>
    <col collapsed="false" customWidth="true" hidden="false" outlineLevel="0" max="15" min="15" style="0" width="10"/>
    <col collapsed="false" customWidth="true" hidden="false" outlineLevel="0" max="17" min="16" style="0" width="9.24"/>
    <col collapsed="false" customWidth="true" hidden="false" outlineLevel="0" max="18" min="18" style="0" width="9.63"/>
    <col collapsed="false" customWidth="true" hidden="false" outlineLevel="0" max="19" min="19" style="0" width="9.14"/>
    <col collapsed="false" customWidth="true" hidden="false" outlineLevel="0" max="26" min="20" style="0" width="9.24"/>
    <col collapsed="false" customWidth="true" hidden="false" outlineLevel="0" max="27" min="27" style="0" width="10.51"/>
    <col collapsed="false" customWidth="true" hidden="false" outlineLevel="0" max="30" min="28" style="0" width="9.24"/>
    <col collapsed="false" customWidth="true" hidden="false" outlineLevel="0" max="31" min="31" style="0" width="10.51"/>
    <col collapsed="false" customWidth="true" hidden="false" outlineLevel="0" max="32" min="32" style="0" width="9.38"/>
    <col collapsed="false" customWidth="true" hidden="false" outlineLevel="0" max="33" min="33" style="0" width="9.24"/>
    <col collapsed="false" customWidth="true" hidden="true" outlineLevel="1" max="40" min="34" style="0" width="9.38"/>
    <col collapsed="false" customWidth="true" hidden="false" outlineLevel="0" max="41" min="41" style="0" width="6.76"/>
    <col collapsed="false" customWidth="true" hidden="false" outlineLevel="1" max="42" min="42" style="0" width="8.87"/>
    <col collapsed="false" customWidth="true" hidden="false" outlineLevel="1" max="43" min="43" style="0" width="7.88"/>
    <col collapsed="false" customWidth="true" hidden="false" outlineLevel="1" max="44" min="44" style="0" width="9.14"/>
    <col collapsed="false" customWidth="true" hidden="false" outlineLevel="1" max="45" min="45" style="0" width="8.24"/>
    <col collapsed="false" customWidth="true" hidden="false" outlineLevel="1" max="46" min="46" style="0" width="5.51"/>
    <col collapsed="false" customWidth="true" hidden="false" outlineLevel="0" max="49" min="47" style="0" width="9.38"/>
    <col collapsed="false" customWidth="true" hidden="false" outlineLevel="1" max="57" min="50" style="0" width="9.38"/>
    <col collapsed="false" customWidth="true" hidden="false" outlineLevel="1" max="58" min="58" style="0" width="10"/>
    <col collapsed="false" customWidth="true" hidden="false" outlineLevel="1" max="64" min="59" style="0" width="9.38"/>
    <col collapsed="false" customWidth="true" hidden="false" outlineLevel="0" max="65" min="65" style="0" width="9.38"/>
    <col collapsed="false" customWidth="true" hidden="false" outlineLevel="0" max="66" min="66" style="0" width="9.51"/>
    <col collapsed="false" customWidth="true" hidden="false" outlineLevel="0" max="68" min="67" style="0" width="9.38"/>
  </cols>
  <sheetData>
    <row r="1" customFormat="false" ht="3" hidden="false" customHeight="true" outlineLevel="0" collapsed="false">
      <c r="A1" s="1"/>
      <c r="B1" s="2" t="s">
        <v>0</v>
      </c>
      <c r="C1" s="3" t="str">
        <f aca="false"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</row>
    <row r="2" customFormat="false" ht="26.25" hidden="false" customHeight="true" outlineLevel="0" collapsed="false">
      <c r="A2" s="7"/>
      <c r="B2" s="8" t="s">
        <v>1</v>
      </c>
      <c r="C2" s="9"/>
      <c r="D2" s="9"/>
      <c r="E2" s="9"/>
      <c r="F2" s="9"/>
      <c r="G2" s="10"/>
      <c r="I2" s="9" t="s">
        <v>2</v>
      </c>
      <c r="J2" s="9"/>
      <c r="L2" s="9"/>
      <c r="M2" s="9" t="s">
        <v>3</v>
      </c>
      <c r="N2" s="9" t="s">
        <v>4</v>
      </c>
      <c r="O2" s="9" t="s">
        <v>5</v>
      </c>
      <c r="P2" s="9" t="s">
        <v>6</v>
      </c>
      <c r="Q2" s="9" t="s">
        <v>7</v>
      </c>
      <c r="R2" s="9"/>
      <c r="S2" s="9"/>
      <c r="T2" s="9" t="s">
        <v>8</v>
      </c>
      <c r="U2" s="9" t="s">
        <v>9</v>
      </c>
      <c r="V2" s="9" t="s">
        <v>10</v>
      </c>
      <c r="W2" s="9" t="s">
        <v>11</v>
      </c>
      <c r="X2" s="9" t="s">
        <v>12</v>
      </c>
      <c r="Y2" s="9"/>
      <c r="Z2" s="9"/>
      <c r="AA2" s="11" t="s">
        <v>13</v>
      </c>
      <c r="AB2" s="9" t="s">
        <v>14</v>
      </c>
      <c r="AC2" s="9"/>
      <c r="AD2" s="9"/>
      <c r="AE2" s="9" t="s">
        <v>15</v>
      </c>
      <c r="AF2" s="9"/>
      <c r="AG2" s="9"/>
      <c r="AH2" s="12"/>
      <c r="AI2" s="12"/>
      <c r="AJ2" s="12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4" t="s">
        <v>16</v>
      </c>
      <c r="BA2" s="14"/>
      <c r="BB2" s="14" t="s">
        <v>17</v>
      </c>
      <c r="BC2" s="14"/>
      <c r="BD2" s="14" t="s">
        <v>18</v>
      </c>
      <c r="BE2" s="14"/>
      <c r="BF2" s="14"/>
      <c r="BG2" s="14" t="s">
        <v>19</v>
      </c>
      <c r="BH2" s="14"/>
      <c r="BI2" s="14" t="s">
        <v>20</v>
      </c>
      <c r="BJ2" s="14"/>
      <c r="BK2" s="14"/>
      <c r="BL2" s="14"/>
      <c r="BM2" s="13"/>
      <c r="BN2" s="13"/>
      <c r="BO2" s="13"/>
      <c r="BP2" s="15"/>
    </row>
    <row r="3" customFormat="false" ht="26.25" hidden="false" customHeight="true" outlineLevel="0" collapsed="false">
      <c r="A3" s="7"/>
      <c r="B3" s="8" t="s">
        <v>21</v>
      </c>
      <c r="C3" s="16" t="n">
        <v>45597</v>
      </c>
      <c r="D3" s="17" t="n">
        <f aca="false">C3+1</f>
        <v>45598</v>
      </c>
      <c r="E3" s="17" t="n">
        <f aca="false">D3+1</f>
        <v>45599</v>
      </c>
      <c r="F3" s="17" t="n">
        <f aca="false">E3+1</f>
        <v>45600</v>
      </c>
      <c r="G3" s="17" t="n">
        <f aca="false">F3+1</f>
        <v>45601</v>
      </c>
      <c r="H3" s="17" t="n">
        <f aca="false">G3+1</f>
        <v>45602</v>
      </c>
      <c r="I3" s="17" t="n">
        <f aca="false">H3+1</f>
        <v>45603</v>
      </c>
      <c r="J3" s="17" t="n">
        <f aca="false">I3+1</f>
        <v>45604</v>
      </c>
      <c r="K3" s="17" t="n">
        <f aca="false">J3+1</f>
        <v>45605</v>
      </c>
      <c r="L3" s="17" t="n">
        <f aca="false">K3+1</f>
        <v>45606</v>
      </c>
      <c r="M3" s="17" t="n">
        <f aca="false">L3+1</f>
        <v>45607</v>
      </c>
      <c r="N3" s="17" t="n">
        <f aca="false">M3+1</f>
        <v>45608</v>
      </c>
      <c r="O3" s="17" t="n">
        <f aca="false">N3+1</f>
        <v>45609</v>
      </c>
      <c r="P3" s="17" t="n">
        <f aca="false">O3+1</f>
        <v>45610</v>
      </c>
      <c r="Q3" s="17" t="n">
        <f aca="false">P3+1</f>
        <v>45611</v>
      </c>
      <c r="R3" s="17" t="n">
        <f aca="false">Q3+1</f>
        <v>45612</v>
      </c>
      <c r="S3" s="17" t="n">
        <f aca="false">R3+1</f>
        <v>45613</v>
      </c>
      <c r="T3" s="17" t="n">
        <f aca="false">S3+1</f>
        <v>45614</v>
      </c>
      <c r="U3" s="17" t="n">
        <f aca="false">T3+1</f>
        <v>45615</v>
      </c>
      <c r="V3" s="17" t="n">
        <f aca="false">U3+1</f>
        <v>45616</v>
      </c>
      <c r="W3" s="17" t="n">
        <f aca="false">V3+1</f>
        <v>45617</v>
      </c>
      <c r="X3" s="17" t="n">
        <f aca="false">W3+1</f>
        <v>45618</v>
      </c>
      <c r="Y3" s="17" t="n">
        <f aca="false">X3+1</f>
        <v>45619</v>
      </c>
      <c r="Z3" s="17" t="n">
        <f aca="false">Y3+1</f>
        <v>45620</v>
      </c>
      <c r="AA3" s="17" t="n">
        <f aca="false">Z3+1</f>
        <v>45621</v>
      </c>
      <c r="AB3" s="17" t="n">
        <f aca="false">AA3+1</f>
        <v>45622</v>
      </c>
      <c r="AC3" s="17" t="n">
        <f aca="false">AB3+1</f>
        <v>45623</v>
      </c>
      <c r="AD3" s="17" t="n">
        <f aca="false">AC3+1</f>
        <v>45624</v>
      </c>
      <c r="AE3" s="17" t="n">
        <f aca="false">AD3+1</f>
        <v>45625</v>
      </c>
      <c r="AF3" s="17" t="n">
        <f aca="false">AE3+1</f>
        <v>45626</v>
      </c>
      <c r="AG3" s="17" t="n">
        <f aca="false">AF3+1</f>
        <v>45627</v>
      </c>
      <c r="AH3" s="18" t="str">
        <f aca="false">'Setting key Duty'!$C7</f>
        <v>DM</v>
      </c>
      <c r="AI3" s="19" t="str">
        <f aca="false">'Setting key Duty'!$C8</f>
        <v>CS1</v>
      </c>
      <c r="AJ3" s="20" t="str">
        <f aca="false">'Setting key Duty'!$C9</f>
        <v>CS2</v>
      </c>
      <c r="AK3" s="21" t="str">
        <f aca="false">'Setting key Duty'!$C11</f>
        <v>SB1</v>
      </c>
      <c r="AL3" s="21" t="str">
        <f aca="false">'Setting key Duty'!$C12</f>
        <v>SB2</v>
      </c>
      <c r="AM3" s="21" t="str">
        <f aca="false">'Setting key Duty'!$C13</f>
        <v>AE</v>
      </c>
      <c r="AN3" s="21" t="str">
        <f aca="false">'Setting key Duty'!C14</f>
        <v>EM</v>
      </c>
      <c r="AO3" s="20"/>
      <c r="AP3" s="20" t="s">
        <v>22</v>
      </c>
      <c r="AQ3" s="20" t="s">
        <v>23</v>
      </c>
      <c r="AR3" s="20" t="s">
        <v>24</v>
      </c>
      <c r="AS3" s="20" t="s">
        <v>25</v>
      </c>
      <c r="AT3" s="20" t="s">
        <v>26</v>
      </c>
      <c r="AU3" s="20" t="s">
        <v>27</v>
      </c>
      <c r="AV3" s="20" t="s">
        <v>28</v>
      </c>
      <c r="AW3" s="20" t="s">
        <v>29</v>
      </c>
      <c r="AX3" s="20" t="s">
        <v>30</v>
      </c>
      <c r="AY3" s="20" t="s">
        <v>31</v>
      </c>
      <c r="AZ3" s="21" t="s">
        <v>32</v>
      </c>
      <c r="BA3" s="20" t="s">
        <v>33</v>
      </c>
      <c r="BB3" s="21" t="s">
        <v>34</v>
      </c>
      <c r="BC3" s="20" t="s">
        <v>35</v>
      </c>
      <c r="BD3" s="21" t="s">
        <v>36</v>
      </c>
      <c r="BE3" s="20" t="s">
        <v>37</v>
      </c>
      <c r="BF3" s="20" t="s">
        <v>38</v>
      </c>
      <c r="BG3" s="20" t="s">
        <v>39</v>
      </c>
      <c r="BH3" s="20" t="s">
        <v>40</v>
      </c>
      <c r="BI3" s="20" t="s">
        <v>41</v>
      </c>
      <c r="BJ3" s="20" t="s">
        <v>42</v>
      </c>
      <c r="BK3" s="21" t="str">
        <f aca="false">'Setting key Duty'!C52</f>
        <v>Field Camp</v>
      </c>
      <c r="BL3" s="20" t="s">
        <v>43</v>
      </c>
      <c r="BM3" s="21" t="str">
        <f aca="false">'Setting key Duty'!$C15</f>
        <v>Block</v>
      </c>
      <c r="BN3" s="21" t="str">
        <f aca="false">'Setting key Duty'!C17</f>
        <v>Reserve</v>
      </c>
      <c r="BO3" s="21" t="str">
        <f aca="false">'Setting key Duty'!$C22</f>
        <v>AL</v>
      </c>
      <c r="BP3" s="15"/>
    </row>
    <row r="4" customFormat="false" ht="18" hidden="false" customHeight="true" outlineLevel="0" collapsed="false">
      <c r="A4" s="22"/>
      <c r="B4" s="23" t="s">
        <v>44</v>
      </c>
      <c r="C4" s="24" t="str">
        <f aca="false">TEXT(C3,"ddd")</f>
        <v>Fri</v>
      </c>
      <c r="D4" s="24" t="str">
        <f aca="false">TEXT(D3,"ddd")</f>
        <v>Sat</v>
      </c>
      <c r="E4" s="24" t="str">
        <f aca="false">TEXT(E3,"ddd")</f>
        <v>Sun</v>
      </c>
      <c r="F4" s="24" t="str">
        <f aca="false">TEXT(F3,"ddd")</f>
        <v>Mon</v>
      </c>
      <c r="G4" s="24" t="str">
        <f aca="false">TEXT(G3,"ddd")</f>
        <v>Tue</v>
      </c>
      <c r="H4" s="24" t="str">
        <f aca="false">TEXT(H3,"ddd")</f>
        <v>Wed</v>
      </c>
      <c r="I4" s="24" t="str">
        <f aca="false">TEXT(I3,"ddd")</f>
        <v>Thu</v>
      </c>
      <c r="J4" s="24" t="str">
        <f aca="false">TEXT(J3,"ddd")</f>
        <v>Fri</v>
      </c>
      <c r="K4" s="24" t="str">
        <f aca="false">TEXT(K3,"ddd")</f>
        <v>Sat</v>
      </c>
      <c r="L4" s="24" t="str">
        <f aca="false">TEXT(L3,"ddd")</f>
        <v>Sun</v>
      </c>
      <c r="M4" s="24" t="str">
        <f aca="false">TEXT(M3,"ddd")</f>
        <v>Mon</v>
      </c>
      <c r="N4" s="24" t="str">
        <f aca="false">TEXT(N3,"ddd")</f>
        <v>Tue</v>
      </c>
      <c r="O4" s="24" t="str">
        <f aca="false">TEXT(O3,"ddd")</f>
        <v>Wed</v>
      </c>
      <c r="P4" s="24" t="str">
        <f aca="false">TEXT(P3,"ddd")</f>
        <v>Thu</v>
      </c>
      <c r="Q4" s="24" t="str">
        <f aca="false">TEXT(Q3,"ddd")</f>
        <v>Fri</v>
      </c>
      <c r="R4" s="24" t="str">
        <f aca="false">TEXT(R3,"ddd")</f>
        <v>Sat</v>
      </c>
      <c r="S4" s="24" t="str">
        <f aca="false">TEXT(S3,"ddd")</f>
        <v>Sun</v>
      </c>
      <c r="T4" s="24" t="str">
        <f aca="false">TEXT(T3,"ddd")</f>
        <v>Mon</v>
      </c>
      <c r="U4" s="24" t="str">
        <f aca="false">TEXT(U3,"ddd")</f>
        <v>Tue</v>
      </c>
      <c r="V4" s="24" t="str">
        <f aca="false">TEXT(V3,"ddd")</f>
        <v>Wed</v>
      </c>
      <c r="W4" s="24" t="str">
        <f aca="false">TEXT(W3,"ddd")</f>
        <v>Thu</v>
      </c>
      <c r="X4" s="24" t="str">
        <f aca="false">TEXT(X3,"ddd")</f>
        <v>Fri</v>
      </c>
      <c r="Y4" s="24" t="str">
        <f aca="false">TEXT(Y3,"ddd")</f>
        <v>Sat</v>
      </c>
      <c r="Z4" s="24" t="str">
        <f aca="false">TEXT(Z3,"ddd")</f>
        <v>Sun</v>
      </c>
      <c r="AA4" s="24" t="str">
        <f aca="false">TEXT(AA3,"ddd")</f>
        <v>Mon</v>
      </c>
      <c r="AB4" s="24" t="str">
        <f aca="false">TEXT(AB3,"ddd")</f>
        <v>Tue</v>
      </c>
      <c r="AC4" s="24" t="str">
        <f aca="false">TEXT(AC3,"ddd")</f>
        <v>Wed</v>
      </c>
      <c r="AD4" s="24" t="str">
        <f aca="false">TEXT(AD3,"ddd")</f>
        <v>Thu</v>
      </c>
      <c r="AE4" s="24" t="str">
        <f aca="false">TEXT(AE3,"ddd")</f>
        <v>Fri</v>
      </c>
      <c r="AF4" s="24" t="str">
        <f aca="false">TEXT(AF3,"ddd")</f>
        <v>Sat</v>
      </c>
      <c r="AG4" s="24" t="str">
        <f aca="false">TEXT(AG3,"ddd")</f>
        <v>Sun</v>
      </c>
      <c r="AH4" s="25" t="str">
        <f aca="false">'Setting key Duty'!$B7</f>
        <v>DM</v>
      </c>
      <c r="AI4" s="26" t="str">
        <f aca="false">'Setting key Duty'!$B8</f>
        <v>CS1</v>
      </c>
      <c r="AJ4" s="27" t="str">
        <f aca="false">'Setting key Duty'!$B9</f>
        <v>CS2</v>
      </c>
      <c r="AK4" s="28" t="str">
        <f aca="false">'Setting key Duty'!$B11</f>
        <v>SB1</v>
      </c>
      <c r="AL4" s="28" t="str">
        <f aca="false">'Setting key Duty'!$B12</f>
        <v>SB2</v>
      </c>
      <c r="AM4" s="28" t="str">
        <f aca="false">'Setting key Duty'!$B13</f>
        <v>AE</v>
      </c>
      <c r="AN4" s="28" t="str">
        <f aca="false">'Setting key Duty'!B14</f>
        <v>EM</v>
      </c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 t="s">
        <v>45</v>
      </c>
      <c r="AZ4" s="28" t="s">
        <v>46</v>
      </c>
      <c r="BA4" s="28"/>
      <c r="BB4" s="28" t="s">
        <v>47</v>
      </c>
      <c r="BC4" s="28"/>
      <c r="BD4" s="28" t="s">
        <v>48</v>
      </c>
      <c r="BE4" s="28"/>
      <c r="BF4" s="28" t="s">
        <v>49</v>
      </c>
      <c r="BG4" s="28" t="s">
        <v>50</v>
      </c>
      <c r="BH4" s="28"/>
      <c r="BI4" s="28" t="s">
        <v>51</v>
      </c>
      <c r="BJ4" s="28"/>
      <c r="BK4" s="28" t="str">
        <f aca="false">'Setting key Duty'!B52</f>
        <v>$FC</v>
      </c>
      <c r="BL4" s="28"/>
      <c r="BM4" s="28" t="n">
        <f aca="false">'Setting key Duty'!$B15</f>
        <v>0</v>
      </c>
      <c r="BN4" s="28" t="str">
        <f aca="false">'Setting key Duty'!B17</f>
        <v>RESERVE</v>
      </c>
      <c r="BO4" s="28" t="str">
        <f aca="false">'Setting key Duty'!$B22</f>
        <v>AL</v>
      </c>
      <c r="BP4" s="29"/>
    </row>
    <row r="5" customFormat="false" ht="19.5" hidden="false" customHeight="true" outlineLevel="0" collapsed="false">
      <c r="A5" s="30" t="s">
        <v>52</v>
      </c>
      <c r="B5" s="31" t="s">
        <v>53</v>
      </c>
      <c r="C5" s="32" t="s">
        <v>54</v>
      </c>
      <c r="D5" s="32" t="s">
        <v>55</v>
      </c>
      <c r="E5" s="32" t="s">
        <v>55</v>
      </c>
      <c r="F5" s="33"/>
      <c r="G5" s="33"/>
      <c r="H5" s="32" t="s">
        <v>56</v>
      </c>
      <c r="I5" s="32"/>
      <c r="J5" s="33"/>
      <c r="K5" s="32" t="s">
        <v>57</v>
      </c>
      <c r="L5" s="33"/>
      <c r="M5" s="32" t="s">
        <v>56</v>
      </c>
      <c r="N5" s="32"/>
      <c r="O5" s="32" t="s">
        <v>58</v>
      </c>
      <c r="P5" s="33"/>
      <c r="Q5" s="32" t="s">
        <v>55</v>
      </c>
      <c r="R5" s="32"/>
      <c r="S5" s="32"/>
      <c r="T5" s="32" t="s">
        <v>59</v>
      </c>
      <c r="U5" s="32" t="s">
        <v>55</v>
      </c>
      <c r="V5" s="32" t="s">
        <v>59</v>
      </c>
      <c r="W5" s="32"/>
      <c r="X5" s="32" t="s">
        <v>56</v>
      </c>
      <c r="Y5" s="34"/>
      <c r="Z5" s="33"/>
      <c r="AA5" s="33"/>
      <c r="AD5" s="32" t="s">
        <v>57</v>
      </c>
      <c r="AE5" s="32"/>
      <c r="AF5" s="32" t="s">
        <v>57</v>
      </c>
      <c r="AG5" s="32"/>
      <c r="AH5" s="35" t="n">
        <f aca="false">COUNTIF($C5:$AE5,AH$4)</f>
        <v>2</v>
      </c>
      <c r="AI5" s="36" t="n">
        <f aca="false">COUNTIF($C5:$AE5,AI$4)</f>
        <v>3</v>
      </c>
      <c r="AJ5" s="35" t="n">
        <f aca="false">COUNTIF($C5:$AE5,AJ$4)</f>
        <v>2</v>
      </c>
      <c r="AK5" s="37" t="n">
        <f aca="false">COUNTIF($C5:$AE5,AK$4)</f>
        <v>1</v>
      </c>
      <c r="AL5" s="37" t="n">
        <f aca="false">COUNTIF($C5:$AE5,AL$4)</f>
        <v>0</v>
      </c>
      <c r="AM5" s="37" t="n">
        <f aca="false">COUNTIF($C5:$AE5,AM$4)</f>
        <v>0</v>
      </c>
      <c r="AN5" s="37" t="n">
        <f aca="false">COUNTIF($C5:$AE5,AN$4)</f>
        <v>0</v>
      </c>
      <c r="AO5" s="38"/>
      <c r="AP5" s="37" t="n">
        <f aca="false">SUMPRODUCT(--WEEKDAY(C$3:AG$3,2)&lt;6,--((C5:AG5="DM"))+(C5:AG5="CS1")+((C5:AG5="CS2"))+(C5:AG5="SB1")+(C5:AG5="AE")+(C5:AG5="EM"))</f>
        <v>7</v>
      </c>
      <c r="AQ5" s="38"/>
      <c r="AR5" s="38" t="n">
        <f aca="false">SUMPRODUCT(--WEEKDAY(C$3:AG$3,2)&gt;5,--((C5:AG5="DM"))+(C5:AG5="CS1")+((C5:AG5="CS2"))+(C5:AG5="SB1")+(C5:AG5="AE")+(C5:AG5="EM"))</f>
        <v>2</v>
      </c>
      <c r="AS5" s="38"/>
      <c r="AT5" s="38" t="n">
        <f aca="false">(AP5-AQ5)/2+(AR5-AS5)</f>
        <v>0</v>
      </c>
      <c r="AU5" s="38" t="n">
        <f aca="false">AH5+AI5+AJ5+AK5+AM5+AN5</f>
        <v>8</v>
      </c>
      <c r="AV5" s="38" t="n">
        <f aca="false">BF5+BG5+BI5+BD5+BB5+AZ5+BK5</f>
        <v>0</v>
      </c>
      <c r="AW5" s="38" t="e">
        <f aca="false">AT5+AX5</f>
        <v>#VALUE!</v>
      </c>
      <c r="AX5" s="37" t="e">
        <f aca="false"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37" t="n">
        <f aca="false">COUNTIF(C5:AE5,"*BRT*")</f>
        <v>0</v>
      </c>
      <c r="AZ5" s="37" t="n">
        <f aca="false">COUNTIF(A5:AH5,"*$BTP*")</f>
        <v>0</v>
      </c>
      <c r="BA5" s="37" t="e">
        <f aca="false">AZ5*('Setting key Duty'!$I$13+'Setting key Duty'!$I$12+'Setting key Duty'!$I$11)</f>
        <v>#VALUE!</v>
      </c>
      <c r="BB5" s="37" t="n">
        <f aca="false">COUNTIF(A5:AH5,"*$L*")</f>
        <v>0</v>
      </c>
      <c r="BC5" s="37" t="e">
        <f aca="false">BB5*('Setting key Duty'!$I$13+'Setting key Duty'!$I$9)</f>
        <v>#VALUE!</v>
      </c>
      <c r="BD5" s="37" t="n">
        <f aca="false">COUNTIF(A5:AH5,"*$M*")</f>
        <v>0</v>
      </c>
      <c r="BE5" s="37" t="n">
        <f aca="false">BD5*('Setting key Duty'!$I$8+'Setting key Duty'!$I$9+'Setting key Duty'!$I$12)</f>
        <v>0</v>
      </c>
      <c r="BF5" s="37" t="n">
        <f aca="false">COUNTIF(AF5:AH5,"*$N*")</f>
        <v>0</v>
      </c>
      <c r="BG5" s="37" t="n">
        <f aca="false">COUNTIF(AF5:AH5,"*$PM*")</f>
        <v>0</v>
      </c>
      <c r="BH5" s="37" t="n">
        <f aca="false">BG5*('Setting key Duty'!$I$9)</f>
        <v>0</v>
      </c>
      <c r="BI5" s="37" t="n">
        <f aca="false">COUNTIF(A5:AH5,"*$AM*")</f>
        <v>0</v>
      </c>
      <c r="BJ5" s="37" t="n">
        <f aca="false">BI5*('Setting key Duty'!$I$12+'Setting key Duty'!$I$8)</f>
        <v>0</v>
      </c>
      <c r="BK5" s="37" t="n">
        <f aca="false">COUNTIF(C5:AH5,"*$FC*")</f>
        <v>0</v>
      </c>
      <c r="BL5" s="37" t="n">
        <f aca="false">BK5*('Setting key Duty'!$J$11+'Setting key Duty'!$I$8)</f>
        <v>0</v>
      </c>
      <c r="BM5" s="37" t="n">
        <f aca="false">COUNTIF($C5:$AE5,BM$4)</f>
        <v>0</v>
      </c>
      <c r="BN5" s="37" t="n">
        <f aca="false">COUNTIF($C5:$AE5,BN$4)</f>
        <v>0</v>
      </c>
      <c r="BO5" s="37" t="n">
        <f aca="false">COUNTIF($C5:$AE5,BO$4)</f>
        <v>4</v>
      </c>
      <c r="BP5" s="39"/>
    </row>
    <row r="6" customFormat="false" ht="36" hidden="false" customHeight="true" outlineLevel="0" collapsed="false">
      <c r="A6" s="30"/>
      <c r="B6" s="40" t="s">
        <v>60</v>
      </c>
      <c r="C6" s="32"/>
      <c r="E6" s="32" t="s">
        <v>58</v>
      </c>
      <c r="F6" s="32"/>
      <c r="G6" s="33"/>
      <c r="H6" s="32" t="s">
        <v>58</v>
      </c>
      <c r="I6" s="33"/>
      <c r="J6" s="32" t="s">
        <v>56</v>
      </c>
      <c r="K6" s="32"/>
      <c r="L6" s="32"/>
      <c r="M6" s="32"/>
      <c r="N6" s="32"/>
      <c r="O6" s="32" t="s">
        <v>61</v>
      </c>
      <c r="P6" s="32"/>
      <c r="Q6" s="33"/>
      <c r="R6" s="33"/>
      <c r="S6" s="32" t="s">
        <v>59</v>
      </c>
      <c r="T6" s="32"/>
      <c r="U6" s="32" t="s">
        <v>59</v>
      </c>
      <c r="V6" s="33"/>
      <c r="W6" s="32" t="s">
        <v>56</v>
      </c>
      <c r="Y6" s="32"/>
      <c r="Z6" s="34"/>
      <c r="AA6" s="32" t="s">
        <v>59</v>
      </c>
      <c r="AD6" s="32" t="s">
        <v>55</v>
      </c>
      <c r="AE6" s="32" t="s">
        <v>55</v>
      </c>
      <c r="AF6" s="32" t="s">
        <v>55</v>
      </c>
      <c r="AG6" s="32" t="s">
        <v>55</v>
      </c>
      <c r="AH6" s="35" t="n">
        <f aca="false">COUNTIF($C6:$AE6,AH$4)</f>
        <v>0</v>
      </c>
      <c r="AI6" s="36" t="n">
        <f aca="false">COUNTIF($C6:$AE6,AI$4)</f>
        <v>2</v>
      </c>
      <c r="AJ6" s="35" t="n">
        <f aca="false">COUNTIF($C6:$AE6,AJ$4)</f>
        <v>3</v>
      </c>
      <c r="AK6" s="37" t="n">
        <f aca="false">COUNTIF($C6:$AE6,AK$4)</f>
        <v>2</v>
      </c>
      <c r="AL6" s="37" t="n">
        <f aca="false">COUNTIF($C6:$AE6,AL$4)</f>
        <v>0</v>
      </c>
      <c r="AM6" s="37" t="n">
        <f aca="false">COUNTIF($C6:$AE6,AM$4)</f>
        <v>0</v>
      </c>
      <c r="AN6" s="37" t="n">
        <f aca="false">COUNTIF($C6:$AE6,AN$4)</f>
        <v>0</v>
      </c>
      <c r="AO6" s="38"/>
      <c r="AP6" s="37" t="n">
        <f aca="false">SUMPRODUCT(--WEEKDAY(C$3:AG$3,2)&lt;6,--((C6:AG6="DM"))+(C6:AG6="CS1")+((C6:AG6="CS2"))+(C6:AG6="SB1")+(C6:AG6="AE")+(C6:AG6="EM"))</f>
        <v>5</v>
      </c>
      <c r="AQ6" s="38"/>
      <c r="AR6" s="38" t="n">
        <f aca="false">SUMPRODUCT(--WEEKDAY(C$3:AG$3,2)&gt;5,--((C6:AG6="DM"))+(C6:AG6="CS1")+((C6:AG6="CS2"))+(C6:AG6="SB1")+(C6:AG6="AE")+(C6:AG6="EM"))</f>
        <v>2</v>
      </c>
      <c r="AS6" s="38"/>
      <c r="AT6" s="38" t="n">
        <f aca="false">(AP6-AQ6)/2+(AR6-AS6)</f>
        <v>0</v>
      </c>
      <c r="AU6" s="38" t="n">
        <f aca="false">AH6+AI6+AJ6+AK6+AM6+AN6</f>
        <v>7</v>
      </c>
      <c r="AV6" s="38" t="e">
        <f aca="false">AT6+AX6</f>
        <v>#VALUE!</v>
      </c>
      <c r="AW6" s="38" t="e">
        <f aca="false">AT6+AX6</f>
        <v>#VALUE!</v>
      </c>
      <c r="AX6" s="37" t="e">
        <f aca="false"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37" t="n">
        <f aca="false">COUNTIF(C6:AE6,"*BRT*")</f>
        <v>0</v>
      </c>
      <c r="AZ6" s="37" t="n">
        <f aca="false">COUNTIF(A6:AH6,"*$BTP*")</f>
        <v>0</v>
      </c>
      <c r="BA6" s="37" t="e">
        <f aca="false">AZ6*('Setting key Duty'!$I$13+'Setting key Duty'!$I$12+'Setting key Duty'!$I$11)</f>
        <v>#VALUE!</v>
      </c>
      <c r="BB6" s="37" t="n">
        <f aca="false">COUNTIF(A6:AH6,"*$L*")</f>
        <v>0</v>
      </c>
      <c r="BC6" s="37" t="e">
        <f aca="false">BB6*('Setting key Duty'!$I$13+'Setting key Duty'!$I$9)</f>
        <v>#VALUE!</v>
      </c>
      <c r="BD6" s="37" t="n">
        <f aca="false">COUNTIF(A6:AH6,"*$M*")</f>
        <v>0</v>
      </c>
      <c r="BE6" s="37" t="n">
        <f aca="false">BD6*('Setting key Duty'!$I$8+'Setting key Duty'!$I$9+'Setting key Duty'!$I$12)</f>
        <v>0</v>
      </c>
      <c r="BF6" s="37" t="n">
        <f aca="false">COUNTIF(AF6:AH6,"*$N*")</f>
        <v>0</v>
      </c>
      <c r="BG6" s="37" t="n">
        <f aca="false">COUNTIF(AF6:AH6,"*$PM*")</f>
        <v>0</v>
      </c>
      <c r="BH6" s="37" t="n">
        <f aca="false">BG6*('Setting key Duty'!$I$9)</f>
        <v>0</v>
      </c>
      <c r="BI6" s="37" t="n">
        <f aca="false">COUNTIF(A6:AH6,"*$AM*")</f>
        <v>0</v>
      </c>
      <c r="BJ6" s="37" t="n">
        <f aca="false">BI6*('Setting key Duty'!$I$12+'Setting key Duty'!$I$8)</f>
        <v>0</v>
      </c>
      <c r="BK6" s="37" t="n">
        <f aca="false">COUNTIF(C6:AH6,"*$FC*")</f>
        <v>0</v>
      </c>
      <c r="BL6" s="37" t="n">
        <f aca="false">BK6*('Setting key Duty'!$J$11+'Setting key Duty'!$I$8)</f>
        <v>0</v>
      </c>
      <c r="BM6" s="37" t="n">
        <f aca="false">COUNTIF($C6:$AE6,BM$4)</f>
        <v>0</v>
      </c>
      <c r="BN6" s="37" t="n">
        <f aca="false">COUNTIF($C6:$AE6,BN$4)</f>
        <v>0</v>
      </c>
      <c r="BO6" s="37" t="n">
        <f aca="false">COUNTIF($C6:$AE6,BO$4)</f>
        <v>2</v>
      </c>
      <c r="BP6" s="39"/>
    </row>
    <row r="7" customFormat="false" ht="19.5" hidden="false" customHeight="true" outlineLevel="0" collapsed="false">
      <c r="A7" s="30"/>
      <c r="B7" s="41" t="s">
        <v>62</v>
      </c>
      <c r="C7" s="32" t="s">
        <v>58</v>
      </c>
      <c r="D7" s="32"/>
      <c r="E7" s="32"/>
      <c r="F7" s="33"/>
      <c r="G7" s="42" t="s">
        <v>59</v>
      </c>
      <c r="H7" s="33"/>
      <c r="I7" s="32" t="s">
        <v>56</v>
      </c>
      <c r="J7" s="32"/>
      <c r="K7" s="32"/>
      <c r="L7" s="32" t="s">
        <v>57</v>
      </c>
      <c r="M7" s="33"/>
      <c r="N7" s="32"/>
      <c r="O7" s="32" t="s">
        <v>61</v>
      </c>
      <c r="P7" s="32" t="s">
        <v>59</v>
      </c>
      <c r="Q7" s="33"/>
      <c r="R7" s="32"/>
      <c r="S7" s="32"/>
      <c r="T7" s="32"/>
      <c r="U7" s="32"/>
      <c r="V7" s="32" t="s">
        <v>56</v>
      </c>
      <c r="W7" s="33"/>
      <c r="X7" s="33"/>
      <c r="Y7" s="32"/>
      <c r="Z7" s="32" t="s">
        <v>57</v>
      </c>
      <c r="AA7" s="32"/>
      <c r="AB7" s="33"/>
      <c r="AC7" s="33"/>
      <c r="AD7" s="32"/>
      <c r="AE7" s="32"/>
      <c r="AF7" s="32"/>
      <c r="AG7" s="32" t="s">
        <v>57</v>
      </c>
      <c r="AH7" s="35" t="n">
        <f aca="false">COUNTIF($C7:$D7,AH$4)</f>
        <v>0</v>
      </c>
      <c r="AI7" s="36" t="n">
        <f aca="false">COUNTIF($C7:$D7,AI$4)</f>
        <v>0</v>
      </c>
      <c r="AJ7" s="35" t="n">
        <f aca="false">COUNTIF($C7:$D7,AJ$4)</f>
        <v>0</v>
      </c>
      <c r="AK7" s="37" t="n">
        <f aca="false">COUNTIF($C7:$D7,AK$4)</f>
        <v>1</v>
      </c>
      <c r="AL7" s="37" t="n">
        <f aca="false">COUNTIF($C7:$D7,AL$4)</f>
        <v>0</v>
      </c>
      <c r="AM7" s="37" t="n">
        <f aca="false">COUNTIF($C7:$D7,AM$4)</f>
        <v>0</v>
      </c>
      <c r="AN7" s="37" t="n">
        <f aca="false">COUNTIF($C7:$D7,AN$4)</f>
        <v>0</v>
      </c>
      <c r="AO7" s="38"/>
      <c r="AP7" s="37" t="n">
        <f aca="false">SUMPRODUCT(--WEEKDAY(C$3:AG$3,2)&lt;6,--((C7:AG7="DM"))+(C7:AG7="CS1")+((C7:AG7="CS2"))+(C7:AG7="SB1")+(C7:AG7="AE")+(C7:AG7="EM"))</f>
        <v>5</v>
      </c>
      <c r="AQ7" s="38"/>
      <c r="AR7" s="38" t="n">
        <f aca="false">SUMPRODUCT(--WEEKDAY(C$3:AG$3,2)&gt;5,--((C7:AG7="DM"))+(C7:AG7="CS1")+((C7:AG7="CS2"))+(C7:AG7="SB1")+(C7:AG7="AE")+(C7:AG7="EM"))</f>
        <v>3</v>
      </c>
      <c r="AS7" s="38"/>
      <c r="AT7" s="38" t="n">
        <f aca="false">(AP7-AQ7)/2+(AR7-AS7)</f>
        <v>0</v>
      </c>
      <c r="AU7" s="38" t="n">
        <f aca="false">AH7+AI7+AJ7+AK7+AM7+AN7</f>
        <v>1</v>
      </c>
      <c r="AV7" s="38" t="n">
        <f aca="false">BF7+BG7+BI7+BD7+BB7+AZ7+BK7</f>
        <v>0</v>
      </c>
      <c r="AW7" s="38" t="e">
        <f aca="false">AT7+AX7</f>
        <v>#VALUE!</v>
      </c>
      <c r="AX7" s="37" t="e">
        <f aca="false"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37" t="n">
        <f aca="false">COUNTIF(C7:D7,"*BRT*")</f>
        <v>0</v>
      </c>
      <c r="AZ7" s="37" t="n">
        <f aca="false">COUNTIF(A7:AH7,"*$BTP*")</f>
        <v>0</v>
      </c>
      <c r="BA7" s="37" t="e">
        <f aca="false">AZ7*('Setting key Duty'!$I$13+'Setting key Duty'!$I$12+'Setting key Duty'!$I$11)</f>
        <v>#VALUE!</v>
      </c>
      <c r="BB7" s="37" t="n">
        <f aca="false">COUNTIF(A7:AH7,"*$L*")</f>
        <v>0</v>
      </c>
      <c r="BC7" s="37" t="e">
        <f aca="false">BB7*('Setting key Duty'!$I$13+'Setting key Duty'!$I$9)</f>
        <v>#VALUE!</v>
      </c>
      <c r="BD7" s="37" t="n">
        <f aca="false">COUNTIF(A7:AH7,"*$M*")</f>
        <v>0</v>
      </c>
      <c r="BE7" s="37" t="n">
        <f aca="false">BD7*('Setting key Duty'!$I$8+'Setting key Duty'!$I$9+'Setting key Duty'!$I$12)</f>
        <v>0</v>
      </c>
      <c r="BF7" s="37" t="n">
        <f aca="false">COUNTIF(A7:AH7,"*$N*")</f>
        <v>0</v>
      </c>
      <c r="BG7" s="37" t="n">
        <f aca="false">COUNTIF(AG7:AH7,"*$PM*")</f>
        <v>0</v>
      </c>
      <c r="BH7" s="37" t="n">
        <f aca="false">BG7*('Setting key Duty'!$I$9)</f>
        <v>0</v>
      </c>
      <c r="BI7" s="37" t="n">
        <f aca="false">COUNTIF(A7:AH7,"*$AM*")</f>
        <v>0</v>
      </c>
      <c r="BJ7" s="37" t="n">
        <f aca="false">BI7*('Setting key Duty'!$I$12+'Setting key Duty'!$I$8)</f>
        <v>0</v>
      </c>
      <c r="BK7" s="37" t="n">
        <f aca="false">COUNTIF(C7:AH7,"*$FC*")</f>
        <v>0</v>
      </c>
      <c r="BL7" s="37" t="n">
        <f aca="false">BK7*('Setting key Duty'!$J$11+'Setting key Duty'!$I$8)</f>
        <v>0</v>
      </c>
      <c r="BM7" s="37" t="n">
        <f aca="false">COUNTIF($C7:$D7,BM$4)</f>
        <v>0</v>
      </c>
      <c r="BN7" s="37" t="n">
        <f aca="false">COUNTIF($C7:$D7,BN$4)</f>
        <v>0</v>
      </c>
      <c r="BO7" s="37" t="n">
        <f aca="false">COUNTIF($C7:$D7,BO$4)</f>
        <v>0</v>
      </c>
      <c r="BP7" s="39"/>
    </row>
    <row r="8" customFormat="false" ht="19.5" hidden="false" customHeight="true" outlineLevel="0" collapsed="false">
      <c r="A8" s="30"/>
      <c r="B8" s="41" t="s">
        <v>63</v>
      </c>
      <c r="C8" s="32"/>
      <c r="D8" s="32"/>
      <c r="F8" s="32"/>
      <c r="G8" s="33"/>
      <c r="H8" s="33"/>
      <c r="I8" s="32"/>
      <c r="J8" s="32"/>
      <c r="K8" s="32"/>
      <c r="M8" s="32"/>
      <c r="N8" s="32"/>
      <c r="O8" s="32"/>
      <c r="P8" s="32"/>
      <c r="Q8" s="32"/>
      <c r="R8" s="32"/>
      <c r="S8" s="33"/>
      <c r="T8" s="32"/>
      <c r="U8" s="33"/>
      <c r="V8" s="32" t="s">
        <v>58</v>
      </c>
      <c r="X8" s="32"/>
      <c r="AA8" s="32" t="s">
        <v>57</v>
      </c>
      <c r="AB8" s="34"/>
      <c r="AC8" s="32" t="s">
        <v>58</v>
      </c>
      <c r="AD8" s="32"/>
      <c r="AE8" s="32"/>
      <c r="AG8" s="32" t="s">
        <v>56</v>
      </c>
      <c r="AH8" s="35"/>
      <c r="AI8" s="36"/>
      <c r="AJ8" s="35"/>
      <c r="AK8" s="37"/>
      <c r="AL8" s="37"/>
      <c r="AM8" s="37"/>
      <c r="AN8" s="37"/>
      <c r="AO8" s="38"/>
      <c r="AP8" s="37" t="n">
        <f aca="false">SUMPRODUCT(--WEEKDAY(C$3:AG$3,2)&lt;6,--((C8:AG8="DM"))+(C8:AG8="CS1")+((C8:AG8="CS2"))+(C8:AG8="SB1")+(C8:AG8="AE")+(C8:AG8="EM"))</f>
        <v>3</v>
      </c>
      <c r="AQ8" s="38"/>
      <c r="AR8" s="38" t="n">
        <f aca="false">SUMPRODUCT(--WEEKDAY(C$3:AG$3,2)&gt;5,--((C8:AG8="DM"))+(C8:AG8="CS1")+((C8:AG8="CS2"))+(C8:AG8="SB1")+(C8:AG8="AE")+(C8:AG8="EM"))</f>
        <v>1</v>
      </c>
      <c r="AS8" s="38"/>
      <c r="AT8" s="38"/>
      <c r="AU8" s="38"/>
      <c r="AV8" s="38"/>
      <c r="AW8" s="38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9"/>
    </row>
    <row r="9" customFormat="false" ht="19.5" hidden="false" customHeight="true" outlineLevel="0" collapsed="false">
      <c r="A9" s="30"/>
      <c r="B9" s="43" t="s">
        <v>64</v>
      </c>
      <c r="C9" s="32" t="s">
        <v>65</v>
      </c>
      <c r="D9" s="32"/>
      <c r="F9" s="32"/>
      <c r="G9" s="33"/>
      <c r="H9" s="33"/>
      <c r="I9" s="32" t="s">
        <v>58</v>
      </c>
      <c r="J9" s="32"/>
      <c r="K9" s="32" t="s">
        <v>59</v>
      </c>
      <c r="M9" s="32"/>
      <c r="N9" s="32" t="s">
        <v>58</v>
      </c>
      <c r="O9" s="32"/>
      <c r="P9" s="32"/>
      <c r="Q9" s="32" t="s">
        <v>56</v>
      </c>
      <c r="R9" s="32"/>
      <c r="S9" s="33"/>
      <c r="T9" s="32"/>
      <c r="U9" s="33"/>
      <c r="V9" s="32" t="s">
        <v>65</v>
      </c>
      <c r="W9" s="32"/>
      <c r="X9" s="32" t="s">
        <v>55</v>
      </c>
      <c r="Y9" s="32"/>
      <c r="Z9" s="32"/>
      <c r="AA9" s="32" t="s">
        <v>55</v>
      </c>
      <c r="AB9" s="34" t="s">
        <v>58</v>
      </c>
      <c r="AD9" s="32"/>
      <c r="AE9" s="32" t="s">
        <v>55</v>
      </c>
      <c r="AF9" s="32"/>
      <c r="AG9" s="32" t="s">
        <v>59</v>
      </c>
      <c r="AH9" s="35"/>
      <c r="AI9" s="36"/>
      <c r="AJ9" s="35"/>
      <c r="AK9" s="37"/>
      <c r="AL9" s="37"/>
      <c r="AM9" s="37"/>
      <c r="AN9" s="37"/>
      <c r="AO9" s="38"/>
      <c r="AP9" s="37" t="n">
        <f aca="false">SUMPRODUCT(--WEEKDAY(C$3:AG$3,2)&lt;6,--((C9:AG9="DM"))+(C9:AG9="CS1")+((C9:AG9="CS2"))+(C9:AG9="SB1")+(C9:AG9="AE")+(C9:AG9="EM"))</f>
        <v>6</v>
      </c>
      <c r="AQ9" s="38"/>
      <c r="AR9" s="38" t="n">
        <f aca="false">SUMPRODUCT(--WEEKDAY(C$3:AG$3,2)&gt;5,--((C9:AG9="DM"))+(C9:AG9="CS1")+((C9:AG9="CS2"))+(C9:AG9="SB1")+(C9:AG9="AE")+(C9:AG9="EM"))</f>
        <v>2</v>
      </c>
      <c r="AS9" s="38"/>
      <c r="AT9" s="38" t="n">
        <f aca="false">(AP9-AQ9)/2+(AR9-AS9)</f>
        <v>5</v>
      </c>
      <c r="AU9" s="38" t="n">
        <f aca="false">AH9+AI9+AJ9+AK9+AM9+AN9</f>
        <v>0</v>
      </c>
      <c r="AV9" s="38" t="n">
        <f aca="false">BF9+BG9+BI9+BD9+BB9+AZ9+BK9</f>
        <v>0</v>
      </c>
      <c r="AW9" s="38" t="e">
        <f aca="false">AT9+AX9</f>
        <v>#VALUE!</v>
      </c>
      <c r="AX9" s="37" t="e">
        <f aca="false"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37" t="n">
        <f aca="false">COUNTIF(D9:Z9,"*BRT*")</f>
        <v>0</v>
      </c>
      <c r="AZ9" s="37" t="n">
        <f aca="false">COUNTIF(A9:AH9,"*$BTP*")</f>
        <v>0</v>
      </c>
      <c r="BA9" s="37" t="e">
        <f aca="false">AZ9*('Setting key Duty'!$I$13+'Setting key Duty'!$I$12+'Setting key Duty'!$I$11)</f>
        <v>#VALUE!</v>
      </c>
      <c r="BB9" s="37" t="n">
        <f aca="false">COUNTIF(A9:AH9,"*$L*")</f>
        <v>0</v>
      </c>
      <c r="BC9" s="37" t="e">
        <f aca="false">BB9*('Setting key Duty'!$I$13+'Setting key Duty'!$I$9)</f>
        <v>#VALUE!</v>
      </c>
      <c r="BD9" s="37" t="n">
        <f aca="false">COUNTIF(A9:AH9,"*$M*")</f>
        <v>0</v>
      </c>
      <c r="BE9" s="37" t="n">
        <f aca="false">BD9*('Setting key Duty'!$I$8+'Setting key Duty'!$I$9+'Setting key Duty'!$I$12)</f>
        <v>0</v>
      </c>
      <c r="BF9" s="37" t="n">
        <f aca="false">COUNTIF(AH9,"*$N*")</f>
        <v>0</v>
      </c>
      <c r="BG9" s="37" t="n">
        <f aca="false">COUNTIF(AH9,"*$PM*")</f>
        <v>0</v>
      </c>
      <c r="BH9" s="37" t="n">
        <f aca="false">BG9*('Setting key Duty'!$I$9)</f>
        <v>0</v>
      </c>
      <c r="BI9" s="37" t="n">
        <f aca="false">COUNTIF(A9:AH9,"*$AM*")</f>
        <v>0</v>
      </c>
      <c r="BJ9" s="37" t="n">
        <f aca="false">BI9*('Setting key Duty'!$I$12+'Setting key Duty'!$I$8)</f>
        <v>0</v>
      </c>
      <c r="BK9" s="37" t="n">
        <f aca="false">COUNTIF(D9:AH9,"*$FC*")</f>
        <v>0</v>
      </c>
      <c r="BL9" s="37" t="n">
        <f aca="false">BK9*('Setting key Duty'!$J$11+'Setting key Duty'!$I$8)</f>
        <v>0</v>
      </c>
      <c r="BM9" s="37" t="n">
        <f aca="false">COUNTIF($D9:$Z9,BM$4)</f>
        <v>0</v>
      </c>
      <c r="BN9" s="37" t="n">
        <f aca="false">COUNTIF($D9:$Z9,BN$4)</f>
        <v>0</v>
      </c>
      <c r="BO9" s="37" t="n">
        <f aca="false">COUNTIF($D9:$Z9,BO$4)</f>
        <v>1</v>
      </c>
      <c r="BP9" s="39"/>
    </row>
    <row r="10" customFormat="false" ht="14.9" hidden="false" customHeight="false" outlineLevel="0" collapsed="false">
      <c r="A10" s="30"/>
      <c r="B10" s="40" t="s">
        <v>66</v>
      </c>
      <c r="C10" s="32" t="s">
        <v>55</v>
      </c>
      <c r="D10" s="32"/>
      <c r="E10" s="32" t="s">
        <v>57</v>
      </c>
      <c r="F10" s="33"/>
      <c r="G10" s="32"/>
      <c r="H10" s="33"/>
      <c r="I10" s="32"/>
      <c r="J10" s="32" t="s">
        <v>58</v>
      </c>
      <c r="K10" s="32"/>
      <c r="L10" s="32"/>
      <c r="M10" s="32" t="s">
        <v>57</v>
      </c>
      <c r="N10" s="32"/>
      <c r="O10" s="32" t="s">
        <v>67</v>
      </c>
      <c r="P10" s="33"/>
      <c r="Q10" s="32" t="s">
        <v>57</v>
      </c>
      <c r="R10" s="44"/>
      <c r="S10" s="32"/>
      <c r="T10" s="32"/>
      <c r="U10" s="32"/>
      <c r="V10" s="32" t="s">
        <v>57</v>
      </c>
      <c r="W10" s="32"/>
      <c r="X10" s="32" t="s">
        <v>55</v>
      </c>
      <c r="Y10" s="32"/>
      <c r="Z10" s="32"/>
      <c r="AA10" s="32" t="s">
        <v>56</v>
      </c>
      <c r="AB10" s="32"/>
      <c r="AD10" s="32" t="s">
        <v>56</v>
      </c>
      <c r="AE10" s="32"/>
      <c r="AF10" s="32"/>
      <c r="AG10" s="32"/>
      <c r="AH10" s="35" t="n">
        <f aca="false">COUNTIF($C10:$AE10,AH$4)</f>
        <v>4</v>
      </c>
      <c r="AI10" s="36" t="n">
        <f aca="false">COUNTIF($C10:$AE10,AI$4)</f>
        <v>2</v>
      </c>
      <c r="AJ10" s="35" t="n">
        <f aca="false">COUNTIF($C10:$AE10,AJ$4)</f>
        <v>0</v>
      </c>
      <c r="AK10" s="37" t="n">
        <f aca="false">COUNTIF($C10:$AE10,AK$4)</f>
        <v>1</v>
      </c>
      <c r="AL10" s="37" t="n">
        <f aca="false">COUNTIF($C10:$AE10,AL$4)</f>
        <v>0</v>
      </c>
      <c r="AM10" s="37" t="n">
        <f aca="false">COUNTIF($C10:$AE10,AM$4)</f>
        <v>0</v>
      </c>
      <c r="AN10" s="37" t="n">
        <f aca="false">COUNTIF($C10:$AE10,AN$4)</f>
        <v>0</v>
      </c>
      <c r="AO10" s="38"/>
      <c r="AP10" s="37" t="n">
        <f aca="false">SUMPRODUCT(--WEEKDAY(C$3:AG$3,2)&lt;6,--((C10:AG10="DM"))+(C10:AG10="CS1")+((C10:AG10="CS2"))+(C10:AG10="SB1")+(C10:AG10="AE")+(C10:AG10="EM"))</f>
        <v>6</v>
      </c>
      <c r="AQ10" s="38"/>
      <c r="AR10" s="38" t="n">
        <f aca="false">SUMPRODUCT(--WEEKDAY(C$3:AG$3,2)&gt;5,--((C10:AG10="DM"))+(C10:AG10="CS1")+((C10:AG10="CS2"))+(C10:AG10="SB1")+(C10:AG10="AE")+(C10:AG10="EM"))</f>
        <v>1</v>
      </c>
      <c r="AS10" s="38"/>
      <c r="AT10" s="38" t="n">
        <f aca="false">(AP10-AQ10)/2+(AR10-AS10)</f>
        <v>4</v>
      </c>
      <c r="AU10" s="38" t="n">
        <f aca="false">AH10+AI10+AJ10+AK10+AM10+AN10</f>
        <v>7</v>
      </c>
      <c r="AV10" s="38" t="n">
        <f aca="false">BF10+BG10+BI10+BD10+BB10+AZ10+BK10</f>
        <v>0</v>
      </c>
      <c r="AW10" s="38" t="e">
        <f aca="false">AT10+AX10</f>
        <v>#VALUE!</v>
      </c>
      <c r="AX10" s="37" t="e">
        <f aca="false"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37" t="n">
        <f aca="false">COUNTIF(C10:AE10,"*BRT*")</f>
        <v>0</v>
      </c>
      <c r="AZ10" s="37" t="n">
        <f aca="false">COUNTIF(A10:AH10,"*$BTP*")</f>
        <v>0</v>
      </c>
      <c r="BA10" s="37" t="e">
        <f aca="false">AZ10*('Setting key Duty'!$I$13+'Setting key Duty'!$I$12+'Setting key Duty'!$I$11)</f>
        <v>#VALUE!</v>
      </c>
      <c r="BB10" s="37" t="n">
        <f aca="false">COUNTIF(A10:AH10,"*$L*")</f>
        <v>0</v>
      </c>
      <c r="BC10" s="37" t="e">
        <f aca="false">BB10*('Setting key Duty'!$I$13+'Setting key Duty'!$I$9)</f>
        <v>#VALUE!</v>
      </c>
      <c r="BD10" s="37" t="n">
        <f aca="false">COUNTIF(A10:AH10,"*$M*")</f>
        <v>0</v>
      </c>
      <c r="BE10" s="37" t="n">
        <f aca="false">BD10*('Setting key Duty'!$I$8+'Setting key Duty'!$I$9+'Setting key Duty'!$I$12)</f>
        <v>0</v>
      </c>
      <c r="BF10" s="37" t="n">
        <f aca="false">COUNTIF(A10:AH10,"*$N*")</f>
        <v>0</v>
      </c>
      <c r="BG10" s="37" t="n">
        <f aca="false">COUNTIF(AF10:AH10,"*$PM*")</f>
        <v>0</v>
      </c>
      <c r="BH10" s="37" t="n">
        <f aca="false">BG10*('Setting key Duty'!$I$9)</f>
        <v>0</v>
      </c>
      <c r="BI10" s="37" t="n">
        <f aca="false">COUNTIF(A10:AH10,"*$AM*")</f>
        <v>0</v>
      </c>
      <c r="BJ10" s="37" t="n">
        <f aca="false">BI10*('Setting key Duty'!$I$12+'Setting key Duty'!$I$8)</f>
        <v>0</v>
      </c>
      <c r="BK10" s="37" t="n">
        <f aca="false">COUNTIF(C10:AH10,"*$FC*")</f>
        <v>0</v>
      </c>
      <c r="BL10" s="37" t="n">
        <f aca="false">BK10*('Setting key Duty'!$J$11+'Setting key Duty'!$I$8)</f>
        <v>0</v>
      </c>
      <c r="BM10" s="37" t="n">
        <f aca="false">COUNTIF($C10:$AE10,BM$4)</f>
        <v>0</v>
      </c>
      <c r="BN10" s="37" t="n">
        <f aca="false">COUNTIF($C10:$AE10,BN$4)</f>
        <v>0</v>
      </c>
      <c r="BO10" s="37" t="n">
        <f aca="false">COUNTIF($C10:$AE10,BO$4)</f>
        <v>2</v>
      </c>
      <c r="BP10" s="39"/>
    </row>
    <row r="11" customFormat="false" ht="19.5" hidden="false" customHeight="true" outlineLevel="0" collapsed="false">
      <c r="A11" s="30"/>
      <c r="B11" s="41" t="s">
        <v>68</v>
      </c>
      <c r="C11" s="33"/>
      <c r="E11" s="45" t="s">
        <v>59</v>
      </c>
      <c r="F11" s="33"/>
      <c r="G11" s="32" t="s">
        <v>58</v>
      </c>
      <c r="H11" s="33"/>
      <c r="I11" s="33"/>
      <c r="J11" s="33"/>
      <c r="L11" s="32" t="s">
        <v>56</v>
      </c>
      <c r="M11" s="33"/>
      <c r="N11" s="32" t="s">
        <v>56</v>
      </c>
      <c r="O11" s="32"/>
      <c r="P11" s="33"/>
      <c r="Q11" s="42" t="s">
        <v>59</v>
      </c>
      <c r="R11" s="32"/>
      <c r="S11" s="33"/>
      <c r="T11" s="33"/>
      <c r="U11" s="32" t="s">
        <v>56</v>
      </c>
      <c r="V11" s="33"/>
      <c r="W11" s="32" t="s">
        <v>69</v>
      </c>
      <c r="X11" s="32" t="s">
        <v>55</v>
      </c>
      <c r="Y11" s="32" t="s">
        <v>54</v>
      </c>
      <c r="Z11" s="32" t="s">
        <v>54</v>
      </c>
      <c r="AA11" s="32" t="s">
        <v>55</v>
      </c>
      <c r="AB11" s="32"/>
      <c r="AC11" s="32" t="s">
        <v>59</v>
      </c>
      <c r="AD11" s="32"/>
      <c r="AE11" s="32" t="s">
        <v>56</v>
      </c>
      <c r="AF11" s="32"/>
      <c r="AG11" s="32"/>
      <c r="AH11" s="35"/>
      <c r="AI11" s="36"/>
      <c r="AJ11" s="35"/>
      <c r="AK11" s="37"/>
      <c r="AL11" s="37"/>
      <c r="AM11" s="37"/>
      <c r="AN11" s="37"/>
      <c r="AO11" s="38"/>
      <c r="AP11" s="37" t="n">
        <f aca="false">SUMPRODUCT(--WEEKDAY(C$3:AG$3,2)&lt;6,--((C11:AG11="DM"))+(C11:AG11="CS1")+((C11:AG11="CS2"))+(C11:AG11="SB1")+(C11:AG11="AE")+(C11:AG11="EM"))</f>
        <v>6</v>
      </c>
      <c r="AQ11" s="38"/>
      <c r="AR11" s="38" t="n">
        <f aca="false">SUMPRODUCT(--WEEKDAY(C$3:AG$3,2)&gt;5,--((C11:AG11="DM"))+(C11:AG11="CS1")+((C11:AG11="CS2"))+(C11:AG11="SB1")+(C11:AG11="AE")+(C11:AG11="EM"))</f>
        <v>2</v>
      </c>
      <c r="AS11" s="38"/>
      <c r="AT11" s="38" t="n">
        <f aca="false">(AP11-AQ11)/2+(AR11-AS11)</f>
        <v>5</v>
      </c>
      <c r="AU11" s="38" t="n">
        <f aca="false">AH11+AI11+AJ11+AK11+AM11+AN11</f>
        <v>0</v>
      </c>
      <c r="AV11" s="38" t="n">
        <f aca="false">BF11+BG11+BI11+BD11+BB11+AZ11+BK11</f>
        <v>0</v>
      </c>
      <c r="AW11" s="38" t="e">
        <f aca="false">AT11+AX11</f>
        <v>#VALUE!</v>
      </c>
      <c r="AX11" s="37" t="e">
        <f aca="false"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37" t="e">
        <f aca="false">COUNTIF(#REF!,"*BRT*")</f>
        <v>#REF!</v>
      </c>
      <c r="AZ11" s="37" t="n">
        <f aca="false">COUNTIF(A11:AH11,"*$BTP*")</f>
        <v>0</v>
      </c>
      <c r="BA11" s="37" t="e">
        <f aca="false">AZ11*('Setting key Duty'!$I$13+'Setting key Duty'!$I$12+'Setting key Duty'!$I$11)</f>
        <v>#VALUE!</v>
      </c>
      <c r="BB11" s="37" t="n">
        <f aca="false">COUNTIF(A11:AH11,"*$L*")</f>
        <v>0</v>
      </c>
      <c r="BC11" s="37" t="e">
        <f aca="false">BB11*('Setting key Duty'!$I$13+'Setting key Duty'!$I$9)</f>
        <v>#VALUE!</v>
      </c>
      <c r="BD11" s="37" t="n">
        <f aca="false">COUNTIF(A11:AH11,"*$M*")</f>
        <v>0</v>
      </c>
      <c r="BE11" s="37" t="n">
        <f aca="false">BD11*('Setting key Duty'!$I$8+'Setting key Duty'!$I$9+'Setting key Duty'!$I$12)</f>
        <v>0</v>
      </c>
      <c r="BF11" s="37" t="n">
        <f aca="false">COUNTIF(AH11,"*$N*")</f>
        <v>0</v>
      </c>
      <c r="BG11" s="37" t="n">
        <f aca="false">COUNTIF(AH11,"*$PM*")</f>
        <v>0</v>
      </c>
      <c r="BH11" s="37" t="n">
        <f aca="false">BG11*('Setting key Duty'!$I$9)</f>
        <v>0</v>
      </c>
      <c r="BI11" s="37" t="n">
        <f aca="false">COUNTIF(A11:AH11,"*$AM*")</f>
        <v>0</v>
      </c>
      <c r="BJ11" s="37" t="n">
        <f aca="false">BI11*('Setting key Duty'!$I$12+'Setting key Duty'!$I$8)</f>
        <v>0</v>
      </c>
      <c r="BK11" s="37" t="n">
        <f aca="false">COUNTIF(E11:AH11,"*$FC*")</f>
        <v>0</v>
      </c>
      <c r="BL11" s="37" t="n">
        <f aca="false">BK11*('Setting key Duty'!$J$11+'Setting key Duty'!$I$8)</f>
        <v>0</v>
      </c>
      <c r="BM11" s="37" t="e">
        <f aca="false">COUNTIF(#REF!,BM$4)</f>
        <v>#REF!</v>
      </c>
      <c r="BN11" s="37" t="e">
        <f aca="false">COUNTIF(#REF!,BN$4)</f>
        <v>#REF!</v>
      </c>
      <c r="BO11" s="37" t="e">
        <f aca="false">COUNTIF(#REF!,BO$4)</f>
        <v>#REF!</v>
      </c>
      <c r="BP11" s="39"/>
    </row>
    <row r="12" customFormat="false" ht="19.5" hidden="false" customHeight="true" outlineLevel="0" collapsed="false">
      <c r="A12" s="30"/>
      <c r="B12" s="31" t="s">
        <v>70</v>
      </c>
      <c r="C12" s="32"/>
      <c r="D12" s="42" t="s">
        <v>59</v>
      </c>
      <c r="E12" s="32"/>
      <c r="F12" s="32"/>
      <c r="G12" s="32"/>
      <c r="H12" s="32" t="s">
        <v>65</v>
      </c>
      <c r="I12" s="32"/>
      <c r="J12" s="32" t="s">
        <v>55</v>
      </c>
      <c r="L12" s="42" t="s">
        <v>59</v>
      </c>
      <c r="N12" s="32"/>
      <c r="O12" s="32"/>
      <c r="P12" s="32"/>
      <c r="Q12" s="32" t="s">
        <v>58</v>
      </c>
      <c r="R12" s="33"/>
      <c r="S12" s="32"/>
      <c r="T12" s="32" t="s">
        <v>58</v>
      </c>
      <c r="U12" s="33"/>
      <c r="V12" s="46" t="s">
        <v>71</v>
      </c>
      <c r="W12" s="47" t="s">
        <v>71</v>
      </c>
      <c r="X12" s="32" t="s">
        <v>55</v>
      </c>
      <c r="Y12" s="32" t="s">
        <v>55</v>
      </c>
      <c r="Z12" s="32" t="s">
        <v>55</v>
      </c>
      <c r="AA12" s="32"/>
      <c r="AB12" s="32" t="s">
        <v>65</v>
      </c>
      <c r="AD12" s="32"/>
      <c r="AE12" s="32" t="s">
        <v>59</v>
      </c>
      <c r="AF12" s="33"/>
      <c r="AG12" s="34"/>
      <c r="AH12" s="35"/>
      <c r="AI12" s="36"/>
      <c r="AJ12" s="35"/>
      <c r="AK12" s="37"/>
      <c r="AL12" s="37"/>
      <c r="AM12" s="37"/>
      <c r="AN12" s="37"/>
      <c r="AO12" s="38"/>
      <c r="AP12" s="37" t="n">
        <f aca="false">SUMPRODUCT(--WEEKDAY(C$3:AG$3,2)&lt;6,--((C12:AG12="DM"))+(C12:AG12="CS1")+((C12:AG12="CS2"))+(C12:AG12="SB1")+(C12:AG12="AE")+(C12:AG12="EM"))</f>
        <v>5</v>
      </c>
      <c r="AQ12" s="38"/>
      <c r="AR12" s="38" t="n">
        <f aca="false">SUMPRODUCT(--WEEKDAY(C$3:AG$3,2)&gt;5,--((C12:AG12="DM"))+(C12:AG12="CS1")+((C12:AG12="CS2"))+(C12:AG12="SB1")+(C12:AG12="AE")+(C12:AG12="EM"))</f>
        <v>2</v>
      </c>
      <c r="AS12" s="38"/>
      <c r="AT12" s="38" t="n">
        <f aca="false">(AP12-AQ12)/2+(AR12-AS12)</f>
        <v>4.5</v>
      </c>
      <c r="AU12" s="38" t="n">
        <f aca="false">AH12+AI12+AJ12+AK12+AM12+AN12</f>
        <v>0</v>
      </c>
      <c r="AV12" s="38" t="n">
        <f aca="false">BF12+BG12+BI12+BD12+BB12+AZ12+BK12</f>
        <v>0</v>
      </c>
      <c r="AW12" s="38" t="e">
        <f aca="false">AT12+AX12</f>
        <v>#VALUE!</v>
      </c>
      <c r="AX12" s="37" t="e">
        <f aca="false"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37" t="n">
        <f aca="false">COUNTIF(D12:AC12,"*BRT*")</f>
        <v>0</v>
      </c>
      <c r="AZ12" s="37" t="n">
        <f aca="false">COUNTIF(A12:AH12,"*$BTP*")</f>
        <v>0</v>
      </c>
      <c r="BA12" s="37" t="e">
        <f aca="false">AZ12*('Setting key Duty'!$I$13+'Setting key Duty'!$I$12+'Setting key Duty'!$I$11)</f>
        <v>#VALUE!</v>
      </c>
      <c r="BB12" s="37" t="n">
        <f aca="false">COUNTIF(A12:AH12,"*$L*")</f>
        <v>0</v>
      </c>
      <c r="BC12" s="37" t="e">
        <f aca="false">BB12*('Setting key Duty'!$I$13+'Setting key Duty'!$I$9)</f>
        <v>#VALUE!</v>
      </c>
      <c r="BD12" s="37" t="n">
        <f aca="false">COUNTIF(A12:AH12,"*$M*")</f>
        <v>0</v>
      </c>
      <c r="BE12" s="37" t="n">
        <f aca="false">BD12*('Setting key Duty'!$I$8+'Setting key Duty'!$I$9+'Setting key Duty'!$I$12)</f>
        <v>0</v>
      </c>
      <c r="BF12" s="37" t="n">
        <f aca="false">COUNTIF(AF12:AH12,"*$N*")</f>
        <v>0</v>
      </c>
      <c r="BG12" s="37" t="n">
        <f aca="false">COUNTIF(AF12:AH12,"*$PM*")</f>
        <v>0</v>
      </c>
      <c r="BH12" s="37" t="n">
        <f aca="false">BG12*('Setting key Duty'!$I$9)</f>
        <v>0</v>
      </c>
      <c r="BI12" s="37" t="n">
        <f aca="false">COUNTIF(A12:AH12,"*$AM*")</f>
        <v>0</v>
      </c>
      <c r="BJ12" s="37" t="n">
        <f aca="false">BI12*('Setting key Duty'!$I$12+'Setting key Duty'!$I$8)</f>
        <v>0</v>
      </c>
      <c r="BK12" s="37" t="n">
        <f aca="false">COUNTIF(D12:AH12,"*$FC*")</f>
        <v>0</v>
      </c>
      <c r="BL12" s="37" t="n">
        <f aca="false">BK12*('Setting key Duty'!$J$11+'Setting key Duty'!$I$8)</f>
        <v>0</v>
      </c>
      <c r="BM12" s="37" t="n">
        <f aca="false">COUNTIF($D12:$AE12,BM$4)</f>
        <v>0</v>
      </c>
      <c r="BN12" s="37" t="n">
        <f aca="false">COUNTIF($D12:$AE12,BN$4)</f>
        <v>0</v>
      </c>
      <c r="BO12" s="37" t="n">
        <f aca="false">COUNTIF($D12:$AE12,BO$4)</f>
        <v>4</v>
      </c>
      <c r="BP12" s="39"/>
    </row>
    <row r="13" customFormat="false" ht="19.5" hidden="false" customHeight="true" outlineLevel="0" collapsed="false">
      <c r="A13" s="30"/>
      <c r="B13" s="48" t="s">
        <v>72</v>
      </c>
      <c r="C13" s="32"/>
      <c r="D13" s="32"/>
      <c r="E13" s="32" t="s">
        <v>73</v>
      </c>
      <c r="F13" s="32" t="s">
        <v>73</v>
      </c>
      <c r="G13" s="32" t="s">
        <v>73</v>
      </c>
      <c r="H13" s="32" t="s">
        <v>73</v>
      </c>
      <c r="I13" s="32" t="s">
        <v>73</v>
      </c>
      <c r="J13" s="32"/>
      <c r="K13" s="32"/>
      <c r="L13" s="32"/>
      <c r="M13" s="33"/>
      <c r="N13" s="32" t="s">
        <v>59</v>
      </c>
      <c r="P13" s="32" t="s">
        <v>58</v>
      </c>
      <c r="Q13" s="33"/>
      <c r="R13" s="32" t="s">
        <v>59</v>
      </c>
      <c r="S13" s="33"/>
      <c r="T13" s="32"/>
      <c r="U13" s="32" t="s">
        <v>58</v>
      </c>
      <c r="V13" s="32" t="s">
        <v>74</v>
      </c>
      <c r="W13" s="33"/>
      <c r="X13" s="32" t="s">
        <v>59</v>
      </c>
      <c r="Y13" s="32"/>
      <c r="Z13" s="32"/>
      <c r="AA13" s="32"/>
      <c r="AB13" s="34" t="s">
        <v>75</v>
      </c>
      <c r="AC13" s="32" t="s">
        <v>65</v>
      </c>
      <c r="AD13" s="33"/>
      <c r="AE13" s="32"/>
      <c r="AF13" s="32"/>
      <c r="AG13" s="32"/>
      <c r="AH13" s="35"/>
      <c r="AI13" s="36"/>
      <c r="AJ13" s="35"/>
      <c r="AK13" s="37"/>
      <c r="AL13" s="37"/>
      <c r="AM13" s="37"/>
      <c r="AN13" s="37"/>
      <c r="AO13" s="38"/>
      <c r="AP13" s="37" t="n">
        <f aca="false">SUMPRODUCT(--WEEKDAY(C$3:AG$3,2)&lt;6,--((C13:AG13="DM"))+(C13:AG13="CS1")+((C13:AG13="CS2"))+(C13:AG13="SB1")+(C13:AG13="AE")+(C13:AG13="EM"))</f>
        <v>5</v>
      </c>
      <c r="AQ13" s="38"/>
      <c r="AR13" s="38" t="n">
        <f aca="false">SUMPRODUCT(--WEEKDAY(C$3:AG$3,2)&gt;5,--((C13:AG13="DM"))+(C13:AG13="CS1")+((C13:AG13="CS2"))+(C13:AG13="SB1")+(C13:AG13="AE")+(C13:AG13="EM"))</f>
        <v>1</v>
      </c>
      <c r="AS13" s="38"/>
      <c r="AT13" s="38" t="n">
        <f aca="false">(AP13-AQ13)/2+(AR13-AS13)</f>
        <v>3.5</v>
      </c>
      <c r="AU13" s="38" t="n">
        <f aca="false">AH13+AI13+AJ13+AK13+AM13+AN13</f>
        <v>0</v>
      </c>
      <c r="AV13" s="38" t="n">
        <f aca="false">BF13+BG13+BI13+BD13+BB13+AZ13+BK13</f>
        <v>7</v>
      </c>
      <c r="AW13" s="38" t="e">
        <f aca="false">AT13+AX13</f>
        <v>#VALUE!</v>
      </c>
      <c r="AX13" s="37" t="e">
        <f aca="false"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37" t="n">
        <f aca="false">COUNTIF(D13:X13,"*BRT*")</f>
        <v>0</v>
      </c>
      <c r="AZ13" s="37" t="n">
        <f aca="false">COUNTIF(A13:AH13,"*$BTP*")</f>
        <v>0</v>
      </c>
      <c r="BA13" s="37" t="e">
        <f aca="false">AZ13*('Setting key Duty'!$I$13+'Setting key Duty'!$I$12+'Setting key Duty'!$I$11)</f>
        <v>#VALUE!</v>
      </c>
      <c r="BB13" s="37" t="n">
        <f aca="false">COUNTIF(A13:AH13,"*$L*")</f>
        <v>0</v>
      </c>
      <c r="BC13" s="37" t="e">
        <f aca="false">BB13*('Setting key Duty'!$I$13+'Setting key Duty'!$I$9)</f>
        <v>#VALUE!</v>
      </c>
      <c r="BD13" s="37" t="n">
        <f aca="false">COUNTIF(A13:AH13,"*$M*")</f>
        <v>2</v>
      </c>
      <c r="BE13" s="37" t="n">
        <f aca="false">BD13*('Setting key Duty'!$I$8+'Setting key Duty'!$I$9+'Setting key Duty'!$I$12)</f>
        <v>1.125</v>
      </c>
      <c r="BF13" s="37" t="n">
        <f aca="false">COUNTIF(AH13,"*$N*")</f>
        <v>0</v>
      </c>
      <c r="BG13" s="37" t="n">
        <f aca="false">COUNTIF(AH13,"*$PM*")</f>
        <v>0</v>
      </c>
      <c r="BH13" s="37" t="n">
        <f aca="false">BG13*('Setting key Duty'!$I$9)</f>
        <v>0</v>
      </c>
      <c r="BI13" s="37" t="n">
        <f aca="false">COUNTIF(A13:AH13,"*$AM*")</f>
        <v>0</v>
      </c>
      <c r="BJ13" s="37" t="n">
        <f aca="false">BI13*('Setting key Duty'!$I$12+'Setting key Duty'!$I$8)</f>
        <v>0</v>
      </c>
      <c r="BK13" s="37" t="n">
        <f aca="false">COUNTIF(D13:AH13,"*$FC*")</f>
        <v>5</v>
      </c>
      <c r="BL13" s="37" t="n">
        <f aca="false">BK13*('Setting key Duty'!$J$11+'Setting key Duty'!$I$8)</f>
        <v>0.625</v>
      </c>
      <c r="BM13" s="37" t="n">
        <f aca="false">COUNTIF($D13:$X13,BM$4)</f>
        <v>0</v>
      </c>
      <c r="BN13" s="37" t="n">
        <f aca="false">COUNTIF($D13:$X13,BN$4)</f>
        <v>0</v>
      </c>
      <c r="BO13" s="37" t="n">
        <f aca="false">COUNTIF($D13:$X13,BO$4)</f>
        <v>0</v>
      </c>
      <c r="BP13" s="39"/>
    </row>
    <row r="14" customFormat="false" ht="24" hidden="false" customHeight="true" outlineLevel="0" collapsed="false">
      <c r="A14" s="30"/>
      <c r="B14" s="49" t="s">
        <v>76</v>
      </c>
      <c r="C14" s="32"/>
      <c r="D14" s="50" t="s">
        <v>77</v>
      </c>
      <c r="E14" s="32" t="s">
        <v>56</v>
      </c>
      <c r="F14" s="32"/>
      <c r="G14" s="32"/>
      <c r="H14" s="32" t="s">
        <v>59</v>
      </c>
      <c r="I14" s="32"/>
      <c r="J14" s="32" t="s">
        <v>57</v>
      </c>
      <c r="K14" s="32"/>
      <c r="L14" s="32"/>
      <c r="M14" s="32"/>
      <c r="O14" s="32" t="s">
        <v>61</v>
      </c>
      <c r="P14" s="32" t="s">
        <v>57</v>
      </c>
      <c r="Q14" s="32"/>
      <c r="R14" s="32" t="s">
        <v>58</v>
      </c>
      <c r="S14" s="32"/>
      <c r="T14" s="32"/>
      <c r="U14" s="32" t="s">
        <v>57</v>
      </c>
      <c r="V14" s="33"/>
      <c r="X14" s="32" t="s">
        <v>55</v>
      </c>
      <c r="Y14" s="32" t="s">
        <v>54</v>
      </c>
      <c r="Z14" s="32" t="s">
        <v>54</v>
      </c>
      <c r="AA14" s="32" t="s">
        <v>55</v>
      </c>
      <c r="AB14" s="32" t="s">
        <v>55</v>
      </c>
      <c r="AC14" s="32" t="s">
        <v>55</v>
      </c>
      <c r="AD14" s="34" t="s">
        <v>69</v>
      </c>
      <c r="AE14" s="32" t="s">
        <v>57</v>
      </c>
      <c r="AF14" s="33"/>
      <c r="AG14" s="32"/>
      <c r="AH14" s="35" t="n">
        <f aca="false">COUNTIF($C14:$AA14,AH$4)</f>
        <v>3</v>
      </c>
      <c r="AI14" s="36" t="n">
        <f aca="false">COUNTIF($C14:$AA14,AI$4)</f>
        <v>1</v>
      </c>
      <c r="AJ14" s="35" t="n">
        <f aca="false">COUNTIF($C14:$AA14,AJ$4)</f>
        <v>1</v>
      </c>
      <c r="AK14" s="37" t="n">
        <f aca="false">COUNTIF($C14:$AA14,AK$4)</f>
        <v>1</v>
      </c>
      <c r="AL14" s="37" t="n">
        <f aca="false">COUNTIF($C14:$AA14,AL$4)</f>
        <v>0</v>
      </c>
      <c r="AM14" s="37" t="n">
        <f aca="false">COUNTIF($C14:$AA14,AM$4)</f>
        <v>0</v>
      </c>
      <c r="AN14" s="37" t="n">
        <f aca="false">COUNTIF($C14:$AA14,AN$4)</f>
        <v>0</v>
      </c>
      <c r="AO14" s="38"/>
      <c r="AP14" s="37" t="n">
        <f aca="false">SUMPRODUCT(--WEEKDAY(C$3:AG$3,2)&lt;6,--((C14:AG14="DM"))+(C14:AG14="CS1")+((C14:AG14="CS2"))+(C14:AG14="SB1")+(C14:AG14="AE")+(C14:AG14="EM"))</f>
        <v>5</v>
      </c>
      <c r="AQ14" s="38"/>
      <c r="AR14" s="38" t="n">
        <f aca="false">SUMPRODUCT(--WEEKDAY(C$3:AG$3,2)&gt;5,--((C14:AG14="DM"))+(C14:AG14="CS1")+((C14:AG14="CS2"))+(C14:AG14="SB1")+(C14:AG14="AE")+(C14:AG14="EM"))</f>
        <v>2</v>
      </c>
      <c r="AS14" s="38"/>
      <c r="AT14" s="38" t="n">
        <f aca="false">(AP14-AQ14)/2+(AR14-AS14)</f>
        <v>4.5</v>
      </c>
      <c r="AU14" s="38" t="n">
        <f aca="false">AH14+AI14+AJ14+AK14+AM14+AN14</f>
        <v>6</v>
      </c>
      <c r="AV14" s="38" t="n">
        <f aca="false">BF14+BG14+BI14+BD14+BB14+AZ14+BK14</f>
        <v>0</v>
      </c>
      <c r="AW14" s="38" t="e">
        <f aca="false">AT14+AX14</f>
        <v>#VALUE!</v>
      </c>
      <c r="AX14" s="37" t="e">
        <f aca="false"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37" t="n">
        <f aca="false">COUNTIF(C14:AA14,"*BRT*")</f>
        <v>0</v>
      </c>
      <c r="AZ14" s="37" t="n">
        <f aca="false">COUNTIF(A14:AH14,"*$BTP*")</f>
        <v>0</v>
      </c>
      <c r="BA14" s="37" t="e">
        <f aca="false">AZ14*('Setting key Duty'!$I$13+'Setting key Duty'!$I$12+'Setting key Duty'!$I$11)</f>
        <v>#VALUE!</v>
      </c>
      <c r="BB14" s="37" t="n">
        <f aca="false">COUNTIF(A14:AH14,"*$L*")</f>
        <v>0</v>
      </c>
      <c r="BC14" s="37" t="e">
        <f aca="false">BB14*('Setting key Duty'!$I$13+'Setting key Duty'!$I$9)</f>
        <v>#VALUE!</v>
      </c>
      <c r="BD14" s="37" t="n">
        <f aca="false">COUNTIF(A14:AH14,"*$M*")</f>
        <v>0</v>
      </c>
      <c r="BE14" s="37" t="n">
        <f aca="false">BD14*('Setting key Duty'!$I$8+'Setting key Duty'!$I$9+'Setting key Duty'!$I$12)</f>
        <v>0</v>
      </c>
      <c r="BF14" s="37" t="n">
        <f aca="false">COUNTIF(A14:AH14,"*$N*")</f>
        <v>0</v>
      </c>
      <c r="BG14" s="37" t="n">
        <f aca="false">COUNTIF(AH14,"*$PM*")</f>
        <v>0</v>
      </c>
      <c r="BH14" s="37" t="n">
        <f aca="false">BG14*('Setting key Duty'!$I$9)</f>
        <v>0</v>
      </c>
      <c r="BI14" s="37" t="n">
        <f aca="false">COUNTIF(A14:AH14,"*$AM*")</f>
        <v>0</v>
      </c>
      <c r="BJ14" s="37" t="n">
        <f aca="false">BI14*('Setting key Duty'!$I$12+'Setting key Duty'!$I$8)</f>
        <v>0</v>
      </c>
      <c r="BK14" s="37" t="n">
        <f aca="false">COUNTIF(C14:AH14,"*$FC*")</f>
        <v>0</v>
      </c>
      <c r="BL14" s="37" t="n">
        <f aca="false">BK14*('Setting key Duty'!$J$11+'Setting key Duty'!$I$8)</f>
        <v>0</v>
      </c>
      <c r="BM14" s="37" t="n">
        <f aca="false">COUNTIF($C14:$AA14,BM$4)</f>
        <v>0</v>
      </c>
      <c r="BN14" s="37" t="n">
        <f aca="false">COUNTIF($C14:$AA14,BN$4)</f>
        <v>0</v>
      </c>
      <c r="BO14" s="37" t="n">
        <f aca="false">COUNTIF($C14:$AA14,BO$4)</f>
        <v>2</v>
      </c>
      <c r="BP14" s="39"/>
    </row>
    <row r="15" customFormat="false" ht="37.5" hidden="false" customHeight="true" outlineLevel="0" collapsed="false">
      <c r="A15" s="30"/>
      <c r="B15" s="48" t="s">
        <v>78</v>
      </c>
      <c r="C15" s="32" t="s">
        <v>56</v>
      </c>
      <c r="D15" s="32"/>
      <c r="F15" s="33"/>
      <c r="G15" s="33"/>
      <c r="H15" s="32" t="s">
        <v>61</v>
      </c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 t="s">
        <v>61</v>
      </c>
      <c r="X15" s="33"/>
      <c r="Y15" s="32" t="s">
        <v>56</v>
      </c>
      <c r="AA15" s="34"/>
      <c r="AB15" s="34" t="s">
        <v>57</v>
      </c>
      <c r="AC15" s="32"/>
      <c r="AF15" s="32"/>
      <c r="AG15" s="32" t="s">
        <v>58</v>
      </c>
      <c r="AH15" s="35" t="n">
        <f aca="false">COUNTIF($D15:$AC15,AH$4)</f>
        <v>1</v>
      </c>
      <c r="AI15" s="36" t="n">
        <f aca="false">COUNTIF($D15:$AC15,AI$4)</f>
        <v>1</v>
      </c>
      <c r="AJ15" s="35" t="n">
        <f aca="false">COUNTIF($D15:$AC15,AJ$4)</f>
        <v>0</v>
      </c>
      <c r="AK15" s="37" t="n">
        <f aca="false">COUNTIF($D15:$AC15,AK$4)</f>
        <v>0</v>
      </c>
      <c r="AL15" s="37" t="n">
        <f aca="false">COUNTIF($D15:$AC15,AL$4)</f>
        <v>0</v>
      </c>
      <c r="AM15" s="37" t="n">
        <f aca="false">COUNTIF($D15:$AC15,AM$4)</f>
        <v>0</v>
      </c>
      <c r="AN15" s="37" t="n">
        <f aca="false">COUNTIF($D15:$AC15,AN$4)</f>
        <v>0</v>
      </c>
      <c r="AO15" s="38"/>
      <c r="AP15" s="37" t="n">
        <f aca="false">SUMPRODUCT(--WEEKDAY(C$3:AG$3,2)&lt;6,--((C15:AG15="DM"))+(C15:AG15="CS1")+((C15:AG15="CS2"))+(C15:AG15="SB1")+(C15:AG15="AE")+(C15:AG15="EM"))</f>
        <v>2</v>
      </c>
      <c r="AQ15" s="38"/>
      <c r="AR15" s="38" t="n">
        <f aca="false">SUMPRODUCT(--WEEKDAY(C$3:AG$3,2)&gt;5,--((C15:AG15="DM"))+(C15:AG15="CS1")+((C15:AG15="CS2"))+(C15:AG15="SB1")+(C15:AG15="AE")+(C15:AG15="EM"))</f>
        <v>2</v>
      </c>
      <c r="AS15" s="38"/>
      <c r="AT15" s="38" t="n">
        <f aca="false">(AP15-AQ15)/2+(AR15-AS15)</f>
        <v>3</v>
      </c>
      <c r="AU15" s="38" t="n">
        <f aca="false">AH15+AI15+AJ15+AK15+AM15+AN15</f>
        <v>2</v>
      </c>
      <c r="AV15" s="38" t="n">
        <f aca="false">BF15+BG15+BI15+BD15+BB15+AZ15+BK15</f>
        <v>0</v>
      </c>
      <c r="AW15" s="38" t="e">
        <f aca="false">AT15+AX15</f>
        <v>#VALUE!</v>
      </c>
      <c r="AX15" s="37" t="e">
        <f aca="false"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37" t="n">
        <f aca="false">COUNTIF(C15:AC15,"*BRT*")</f>
        <v>0</v>
      </c>
      <c r="AZ15" s="37" t="n">
        <f aca="false">COUNTIF(A15:AH15,"*$BTP*")</f>
        <v>0</v>
      </c>
      <c r="BA15" s="37" t="e">
        <f aca="false">AZ15*('Setting key Duty'!$I$13+'Setting key Duty'!$I$12+'Setting key Duty'!$I$11)</f>
        <v>#VALUE!</v>
      </c>
      <c r="BB15" s="37" t="n">
        <f aca="false">COUNTIF(A15:AH15,"*$L*")</f>
        <v>0</v>
      </c>
      <c r="BC15" s="37" t="e">
        <f aca="false">BB15*('Setting key Duty'!$I$13+'Setting key Duty'!$I$9)</f>
        <v>#VALUE!</v>
      </c>
      <c r="BD15" s="37" t="n">
        <f aca="false">COUNTIF(A15:AH15,"*$M*")</f>
        <v>0</v>
      </c>
      <c r="BE15" s="37" t="n">
        <f aca="false">BD15*('Setting key Duty'!$I$8+'Setting key Duty'!$I$9+'Setting key Duty'!$I$12)</f>
        <v>0</v>
      </c>
      <c r="BF15" s="37" t="n">
        <f aca="false">COUNTIF(AH15,"*$N*")</f>
        <v>0</v>
      </c>
      <c r="BG15" s="37" t="n">
        <f aca="false">COUNTIF(AH15,"*$PM*")</f>
        <v>0</v>
      </c>
      <c r="BH15" s="37" t="n">
        <f aca="false">BG15*('Setting key Duty'!$I$9)</f>
        <v>0</v>
      </c>
      <c r="BI15" s="37" t="n">
        <f aca="false">COUNTIF(A15:AH15,"*$AM*")</f>
        <v>0</v>
      </c>
      <c r="BJ15" s="37" t="n">
        <f aca="false">BI15*('Setting key Duty'!$I$12+'Setting key Duty'!$I$8)</f>
        <v>0</v>
      </c>
      <c r="BK15" s="37" t="n">
        <f aca="false">COUNTIF(C15:AH15,"*$FC*")</f>
        <v>0</v>
      </c>
      <c r="BL15" s="37" t="n">
        <f aca="false">BK15*('Setting key Duty'!$J$11+'Setting key Duty'!$I$8)</f>
        <v>0</v>
      </c>
      <c r="BM15" s="37" t="n">
        <f aca="false">COUNTIF($C15:$AC15,BM$4)</f>
        <v>0</v>
      </c>
      <c r="BN15" s="37" t="n">
        <f aca="false">COUNTIF($C15:$AC15,BN$4)</f>
        <v>0</v>
      </c>
      <c r="BO15" s="37" t="n">
        <f aca="false">COUNTIF($C15:$AC15,BO$4)</f>
        <v>0</v>
      </c>
      <c r="BP15" s="39"/>
    </row>
    <row r="16" customFormat="false" ht="19.5" hidden="false" customHeight="true" outlineLevel="0" collapsed="false">
      <c r="A16" s="30"/>
      <c r="B16" s="31" t="s">
        <v>79</v>
      </c>
      <c r="C16" s="32"/>
      <c r="D16" s="32" t="s">
        <v>58</v>
      </c>
      <c r="E16" s="32"/>
      <c r="F16" s="32" t="s">
        <v>80</v>
      </c>
      <c r="G16" s="32"/>
      <c r="H16" s="32" t="s">
        <v>57</v>
      </c>
      <c r="J16" s="34"/>
      <c r="K16" s="32" t="s">
        <v>56</v>
      </c>
      <c r="L16" s="32"/>
      <c r="M16" s="33"/>
      <c r="N16" s="32"/>
      <c r="O16" s="32" t="s">
        <v>61</v>
      </c>
      <c r="P16" s="33"/>
      <c r="Q16" s="32"/>
      <c r="S16" s="51"/>
      <c r="T16" s="33"/>
      <c r="U16" s="32"/>
      <c r="V16" s="32" t="s">
        <v>61</v>
      </c>
      <c r="W16" s="32" t="s">
        <v>55</v>
      </c>
      <c r="X16" s="32" t="s">
        <v>55</v>
      </c>
      <c r="Y16" s="32" t="s">
        <v>55</v>
      </c>
      <c r="Z16" s="32" t="s">
        <v>55</v>
      </c>
      <c r="AA16" s="32"/>
      <c r="AC16" s="32"/>
      <c r="AD16" s="32" t="s">
        <v>58</v>
      </c>
      <c r="AE16" s="32"/>
      <c r="AF16" s="52" t="s">
        <v>59</v>
      </c>
      <c r="AG16" s="32"/>
      <c r="AH16" s="35" t="n">
        <f aca="false">COUNTIF($C16:$AA16,AH$4)</f>
        <v>1</v>
      </c>
      <c r="AI16" s="36" t="n">
        <f aca="false">COUNTIF($C16:$AA16,AI$4)</f>
        <v>1</v>
      </c>
      <c r="AJ16" s="35" t="n">
        <f aca="false">COUNTIF($C16:$AA16,AJ$4)</f>
        <v>0</v>
      </c>
      <c r="AK16" s="37" t="n">
        <f aca="false">COUNTIF($C16:$AA16,AK$4)</f>
        <v>1</v>
      </c>
      <c r="AL16" s="37" t="n">
        <f aca="false">COUNTIF($C16:$AA16,AL$4)</f>
        <v>0</v>
      </c>
      <c r="AM16" s="37" t="n">
        <f aca="false">COUNTIF($C16:$AA16,AM$4)</f>
        <v>0</v>
      </c>
      <c r="AN16" s="37" t="n">
        <f aca="false">COUNTIF($C16:$AA16,AN$4)</f>
        <v>0</v>
      </c>
      <c r="AO16" s="38"/>
      <c r="AP16" s="37" t="n">
        <f aca="false">SUMPRODUCT(--WEEKDAY(C$3:AG$3,2)&lt;6,--((C16:AG16="DM"))+(C16:AG16="CS1")+((C16:AG16="CS2"))+(C16:AG16="SB1")+(C16:AG16="AE")+(C16:AG16="EM"))</f>
        <v>2</v>
      </c>
      <c r="AQ16" s="38"/>
      <c r="AR16" s="38" t="n">
        <f aca="false">SUMPRODUCT(--WEEKDAY(C$3:AG$3,2)&gt;5,--((C16:AG16="DM"))+(C16:AG16="CS1")+((C16:AG16="CS2"))+(C16:AG16="SB1")+(C16:AG16="AE")+(C16:AG16="EM"))</f>
        <v>3</v>
      </c>
      <c r="AS16" s="38"/>
      <c r="AT16" s="38" t="n">
        <f aca="false">(AP16-AQ16)/2+(AR16-AS16)</f>
        <v>4</v>
      </c>
      <c r="AU16" s="38" t="n">
        <f aca="false">AH16+AI16+AJ16+AK16+AM16+AN16</f>
        <v>3</v>
      </c>
      <c r="AV16" s="38" t="n">
        <f aca="false">BF16+BG16+BI16+BD16+BB16+AZ16+BK16</f>
        <v>0</v>
      </c>
      <c r="AW16" s="38" t="e">
        <f aca="false">AT16+AX16</f>
        <v>#VALUE!</v>
      </c>
      <c r="AX16" s="37" t="e">
        <f aca="false"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37" t="n">
        <f aca="false">COUNTIF(C16:AA16,"*BRT*")</f>
        <v>0</v>
      </c>
      <c r="AZ16" s="37" t="n">
        <f aca="false">COUNTIF(A16:AH16,"*$BTP*")</f>
        <v>0</v>
      </c>
      <c r="BA16" s="37" t="e">
        <f aca="false">AZ16*('Setting key Duty'!$I$13+'Setting key Duty'!$I$12+'Setting key Duty'!$I$11)</f>
        <v>#VALUE!</v>
      </c>
      <c r="BB16" s="37" t="n">
        <f aca="false">COUNTIF(A16:AH16,"*$L*")</f>
        <v>0</v>
      </c>
      <c r="BC16" s="37" t="e">
        <f aca="false">BB16*('Setting key Duty'!$I$13+'Setting key Duty'!$I$9)</f>
        <v>#VALUE!</v>
      </c>
      <c r="BD16" s="37" t="n">
        <f aca="false">COUNTIF(A16:AH16,"*$M*")</f>
        <v>0</v>
      </c>
      <c r="BE16" s="37" t="n">
        <f aca="false">BD16*('Setting key Duty'!$I$8+'Setting key Duty'!$I$9+'Setting key Duty'!$I$12)</f>
        <v>0</v>
      </c>
      <c r="BF16" s="37" t="n">
        <f aca="false">COUNTIF(A16:AH16,"*$N*")</f>
        <v>0</v>
      </c>
      <c r="BG16" s="37" t="n">
        <f aca="false">COUNTIF(AH16,"*$PM*")</f>
        <v>0</v>
      </c>
      <c r="BH16" s="37" t="n">
        <f aca="false">BG16*('Setting key Duty'!$I$9)</f>
        <v>0</v>
      </c>
      <c r="BI16" s="37" t="n">
        <f aca="false">COUNTIF(A16:AH16,"*$AM*")</f>
        <v>0</v>
      </c>
      <c r="BJ16" s="37" t="n">
        <f aca="false">BI16*('Setting key Duty'!$I$12+'Setting key Duty'!$I$8)</f>
        <v>0</v>
      </c>
      <c r="BK16" s="37" t="n">
        <f aca="false">COUNTIF(C16:AH16,"*$FC*")</f>
        <v>0</v>
      </c>
      <c r="BL16" s="37" t="n">
        <f aca="false">BK16*('Setting key Duty'!$J$11+'Setting key Duty'!$I$8)</f>
        <v>0</v>
      </c>
      <c r="BM16" s="37" t="n">
        <f aca="false">COUNTIF($C16:$AA16,BM$4)</f>
        <v>0</v>
      </c>
      <c r="BN16" s="37" t="n">
        <f aca="false">COUNTIF($C16:$AA16,BN$4)</f>
        <v>0</v>
      </c>
      <c r="BO16" s="37" t="n">
        <f aca="false">COUNTIF($C16:$AA16,BO$4)</f>
        <v>4</v>
      </c>
      <c r="BP16" s="39"/>
    </row>
    <row r="17" customFormat="false" ht="19.5" hidden="false" customHeight="true" outlineLevel="0" collapsed="false">
      <c r="A17" s="30"/>
      <c r="B17" s="53" t="s">
        <v>81</v>
      </c>
      <c r="C17" s="32" t="s">
        <v>59</v>
      </c>
      <c r="D17" s="32"/>
      <c r="E17" s="32"/>
      <c r="F17" s="32" t="s">
        <v>56</v>
      </c>
      <c r="G17" s="32"/>
      <c r="H17" s="32" t="s">
        <v>61</v>
      </c>
      <c r="I17" s="33"/>
      <c r="J17" s="34" t="s">
        <v>54</v>
      </c>
      <c r="K17" s="34" t="s">
        <v>54</v>
      </c>
      <c r="L17" s="34" t="s">
        <v>54</v>
      </c>
      <c r="M17" s="32" t="s">
        <v>58</v>
      </c>
      <c r="N17" s="32"/>
      <c r="O17" s="32"/>
      <c r="P17" s="32" t="s">
        <v>56</v>
      </c>
      <c r="Q17" s="33"/>
      <c r="R17" s="32"/>
      <c r="S17" s="32"/>
      <c r="T17" s="32" t="s">
        <v>55</v>
      </c>
      <c r="U17" s="32" t="s">
        <v>55</v>
      </c>
      <c r="V17" s="33"/>
      <c r="W17" s="32" t="s">
        <v>58</v>
      </c>
      <c r="X17" s="33"/>
      <c r="Z17" s="32" t="s">
        <v>56</v>
      </c>
      <c r="AA17" s="34"/>
      <c r="AB17" s="32" t="s">
        <v>56</v>
      </c>
      <c r="AD17" s="52" t="s">
        <v>59</v>
      </c>
      <c r="AE17" s="32"/>
      <c r="AF17" s="33"/>
      <c r="AG17" s="33"/>
      <c r="AH17" s="35"/>
      <c r="AI17" s="36"/>
      <c r="AJ17" s="35"/>
      <c r="AK17" s="37"/>
      <c r="AL17" s="37"/>
      <c r="AM17" s="37"/>
      <c r="AN17" s="37"/>
      <c r="AO17" s="38"/>
      <c r="AP17" s="37" t="n">
        <f aca="false">SUMPRODUCT(--WEEKDAY(C$3:AG$3,2)&lt;6,--((C17:AG17="DM"))+(C17:AG17="CS1")+((C17:AG17="CS2"))+(C17:AG17="SB1")+(C17:AG17="AE")+(C17:AG17="EM"))</f>
        <v>7</v>
      </c>
      <c r="AQ17" s="38"/>
      <c r="AR17" s="38" t="n">
        <f aca="false">SUMPRODUCT(--WEEKDAY(C$3:AG$3,2)&gt;5,--((C17:AG17="DM"))+(C17:AG17="CS1")+((C17:AG17="CS2"))+(C17:AG17="SB1")+(C17:AG17="AE")+(C17:AG17="EM"))</f>
        <v>1</v>
      </c>
      <c r="AS17" s="38"/>
      <c r="AT17" s="38" t="n">
        <f aca="false">(AP17-AQ17)/2+(AR17-AS17)</f>
        <v>4.5</v>
      </c>
      <c r="AU17" s="38" t="n">
        <f aca="false">AH17+AI17+AJ17+AK17+AM17+AN17</f>
        <v>0</v>
      </c>
      <c r="AV17" s="38" t="n">
        <f aca="false">BF17+BG17+BI17+BD17+BB17+AZ17+BK17</f>
        <v>0</v>
      </c>
      <c r="AW17" s="38" t="e">
        <f aca="false">AT17+AX17</f>
        <v>#VALUE!</v>
      </c>
      <c r="AX17" s="37" t="e">
        <f aca="false"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37" t="n">
        <f aca="false">COUNTIF(E17:AA17,"*BRT*")</f>
        <v>0</v>
      </c>
      <c r="AZ17" s="37" t="n">
        <f aca="false">COUNTIF(A17:AH17,"*$BTP*")</f>
        <v>0</v>
      </c>
      <c r="BA17" s="37" t="e">
        <f aca="false">AZ17*('Setting key Duty'!$I$13+'Setting key Duty'!$I$12+'Setting key Duty'!$I$11)</f>
        <v>#VALUE!</v>
      </c>
      <c r="BB17" s="37" t="n">
        <f aca="false">COUNTIF(A17:AH17,"*$L*")</f>
        <v>0</v>
      </c>
      <c r="BC17" s="37" t="e">
        <f aca="false">BB17*('Setting key Duty'!$I$13+'Setting key Duty'!$I$9)</f>
        <v>#VALUE!</v>
      </c>
      <c r="BD17" s="37" t="n">
        <f aca="false">COUNTIF(A17:AH17,"*$M*")</f>
        <v>0</v>
      </c>
      <c r="BE17" s="37" t="n">
        <f aca="false">BD17*('Setting key Duty'!$I$8+'Setting key Duty'!$I$9+'Setting key Duty'!$I$12)</f>
        <v>0</v>
      </c>
      <c r="BF17" s="37" t="n">
        <f aca="false">COUNTIF(AG17:AH17,"*$N*")</f>
        <v>0</v>
      </c>
      <c r="BG17" s="37" t="n">
        <f aca="false">COUNTIF(AG17:AH17,"*$PM*")</f>
        <v>0</v>
      </c>
      <c r="BH17" s="37" t="n">
        <f aca="false">BG17*('Setting key Duty'!$I$9)</f>
        <v>0</v>
      </c>
      <c r="BI17" s="37" t="n">
        <f aca="false">COUNTIF(A17:AH17,"*$AM*")</f>
        <v>0</v>
      </c>
      <c r="BJ17" s="37" t="n">
        <f aca="false">BI17*('Setting key Duty'!$I$12+'Setting key Duty'!$I$8)</f>
        <v>0</v>
      </c>
      <c r="BK17" s="37" t="n">
        <f aca="false">COUNTIF(E17:AH17,"*$FC*")</f>
        <v>0</v>
      </c>
      <c r="BL17" s="37" t="n">
        <f aca="false">BK17*('Setting key Duty'!$J$11+'Setting key Duty'!$I$8)</f>
        <v>0</v>
      </c>
      <c r="BM17" s="37" t="n">
        <f aca="false">COUNTIF($E17:$AA17,BM$4)</f>
        <v>0</v>
      </c>
      <c r="BN17" s="37" t="n">
        <f aca="false">COUNTIF($E17:$AA17,BN$4)</f>
        <v>0</v>
      </c>
      <c r="BO17" s="37" t="n">
        <f aca="false">COUNTIF($E17:$AA17,BO$4)</f>
        <v>2</v>
      </c>
      <c r="BP17" s="39"/>
    </row>
    <row r="18" customFormat="false" ht="19.5" hidden="false" customHeight="true" outlineLevel="0" collapsed="false">
      <c r="A18" s="30"/>
      <c r="B18" s="54" t="s">
        <v>82</v>
      </c>
      <c r="C18" s="34"/>
      <c r="D18" s="32" t="s">
        <v>57</v>
      </c>
      <c r="F18" s="32" t="s">
        <v>57</v>
      </c>
      <c r="H18" s="32" t="s">
        <v>61</v>
      </c>
      <c r="I18" s="32"/>
      <c r="J18" s="32"/>
      <c r="K18" s="32"/>
      <c r="L18" s="34"/>
      <c r="M18" s="34"/>
      <c r="N18" s="32"/>
      <c r="O18" s="32" t="s">
        <v>57</v>
      </c>
      <c r="P18" s="32"/>
      <c r="Q18" s="32"/>
      <c r="R18" s="32" t="s">
        <v>57</v>
      </c>
      <c r="S18" s="33"/>
      <c r="T18" s="32"/>
      <c r="U18" s="32"/>
      <c r="V18" s="32" t="s">
        <v>69</v>
      </c>
      <c r="W18" s="32"/>
      <c r="Y18" s="32"/>
      <c r="Z18" s="32"/>
      <c r="AA18" s="32"/>
      <c r="AB18" s="32" t="s">
        <v>69</v>
      </c>
      <c r="AC18" s="32" t="s">
        <v>57</v>
      </c>
      <c r="AE18" s="32"/>
      <c r="AF18" s="32"/>
      <c r="AG18" s="32"/>
      <c r="AH18" s="35"/>
      <c r="AI18" s="36"/>
      <c r="AJ18" s="35"/>
      <c r="AK18" s="37"/>
      <c r="AL18" s="37"/>
      <c r="AM18" s="37"/>
      <c r="AN18" s="37"/>
      <c r="AO18" s="38"/>
      <c r="AP18" s="37" t="n">
        <f aca="false">SUMPRODUCT(--WEEKDAY(C$3:AG$3,2)&lt;6,--((C18:AG18="DM"))+(C18:AG18="CS1")+((C18:AG18="CS2"))+(C18:AG18="SB1")+(C18:AG18="AE")+(C18:AG18="EM"))</f>
        <v>3</v>
      </c>
      <c r="AQ18" s="38"/>
      <c r="AR18" s="38" t="n">
        <f aca="false">SUMPRODUCT(--WEEKDAY(C$3:AG$3,2)&gt;5,--((C18:AG18="DM"))+(C18:AG18="CS1")+((C18:AG18="CS2"))+(C18:AG18="SB1")+(C18:AG18="AE")+(C18:AG18="EM"))</f>
        <v>2</v>
      </c>
      <c r="AS18" s="38"/>
      <c r="AT18" s="38" t="n">
        <f aca="false">(AP18-AQ18)/2+(AR18-AS18)</f>
        <v>3.5</v>
      </c>
      <c r="AU18" s="38" t="n">
        <f aca="false">AH18+AI18+AJ18+AK18+AM18+AN18</f>
        <v>0</v>
      </c>
      <c r="AV18" s="38" t="n">
        <f aca="false">BF18+BG18+BI18+BD18+BB18+AZ18+BK18</f>
        <v>0</v>
      </c>
      <c r="AW18" s="38" t="e">
        <f aca="false">AT18+AX18</f>
        <v>#VALUE!</v>
      </c>
      <c r="AX18" s="37" t="e">
        <f aca="false"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37" t="n">
        <f aca="false">COUNTIF(C18:AC18,"*BRT*")</f>
        <v>0</v>
      </c>
      <c r="AZ18" s="37" t="n">
        <f aca="false">COUNTIF(A18:AH18,"*$BTP*")</f>
        <v>0</v>
      </c>
      <c r="BA18" s="37" t="e">
        <f aca="false">AZ18*('Setting key Duty'!$I$13+'Setting key Duty'!$I$12+'Setting key Duty'!$I$11)</f>
        <v>#VALUE!</v>
      </c>
      <c r="BB18" s="37" t="n">
        <f aca="false">COUNTIF(A18:AH18,"*$L*")</f>
        <v>0</v>
      </c>
      <c r="BC18" s="37" t="e">
        <f aca="false">BB18*('Setting key Duty'!$I$13+'Setting key Duty'!$I$9)</f>
        <v>#VALUE!</v>
      </c>
      <c r="BD18" s="37" t="n">
        <f aca="false">COUNTIF(A18:AH18,"*$M*")</f>
        <v>0</v>
      </c>
      <c r="BE18" s="37" t="n">
        <f aca="false">BD18*('Setting key Duty'!$I$8+'Setting key Duty'!$I$9+'Setting key Duty'!$I$12)</f>
        <v>0</v>
      </c>
      <c r="BF18" s="37" t="n">
        <f aca="false">COUNTIF(AH18,"*$N*")</f>
        <v>0</v>
      </c>
      <c r="BG18" s="37" t="n">
        <f aca="false">COUNTIF(AH18,"*$PM*")</f>
        <v>0</v>
      </c>
      <c r="BH18" s="37" t="n">
        <f aca="false">BG18*('Setting key Duty'!$I$9)</f>
        <v>0</v>
      </c>
      <c r="BI18" s="37" t="n">
        <f aca="false">COUNTIF(A18:AH18,"*$AM*")</f>
        <v>0</v>
      </c>
      <c r="BJ18" s="37" t="n">
        <f aca="false">BI18*('Setting key Duty'!$I$12+'Setting key Duty'!$I$8)</f>
        <v>0</v>
      </c>
      <c r="BK18" s="37" t="n">
        <f aca="false">COUNTIF(C18:AH18,"*$FC*")</f>
        <v>0</v>
      </c>
      <c r="BL18" s="37" t="n">
        <f aca="false">BK18*('Setting key Duty'!$J$11+'Setting key Duty'!$I$8)</f>
        <v>0</v>
      </c>
      <c r="BM18" s="37" t="n">
        <f aca="false">COUNTIF($C18:$AC18,BM$4)</f>
        <v>0</v>
      </c>
      <c r="BN18" s="37" t="n">
        <f aca="false">COUNTIF($C18:$AC18,BN$4)</f>
        <v>0</v>
      </c>
      <c r="BO18" s="37" t="n">
        <f aca="false">COUNTIF($C18:$AC18,BO$4)</f>
        <v>0</v>
      </c>
      <c r="BP18" s="39"/>
    </row>
    <row r="19" customFormat="false" ht="19.5" hidden="false" customHeight="true" outlineLevel="0" collapsed="false">
      <c r="A19" s="30"/>
      <c r="B19" s="48" t="s">
        <v>83</v>
      </c>
      <c r="C19" s="32" t="s">
        <v>57</v>
      </c>
      <c r="D19" s="33"/>
      <c r="F19" s="32" t="s">
        <v>59</v>
      </c>
      <c r="H19" s="32"/>
      <c r="I19" s="32" t="s">
        <v>57</v>
      </c>
      <c r="J19" s="32"/>
      <c r="K19" s="32"/>
      <c r="L19" s="32" t="s">
        <v>58</v>
      </c>
      <c r="M19" s="34"/>
      <c r="N19" s="32"/>
      <c r="O19" s="32" t="s">
        <v>59</v>
      </c>
      <c r="P19" s="32"/>
      <c r="Q19" s="32" t="s">
        <v>55</v>
      </c>
      <c r="R19" s="32"/>
      <c r="S19" s="32"/>
      <c r="T19" s="32" t="s">
        <v>56</v>
      </c>
      <c r="U19" s="32"/>
      <c r="X19" s="32"/>
      <c r="Y19" s="32" t="s">
        <v>57</v>
      </c>
      <c r="AB19" s="32" t="s">
        <v>59</v>
      </c>
      <c r="AC19" s="34"/>
      <c r="AD19" s="32" t="s">
        <v>55</v>
      </c>
      <c r="AE19" s="33"/>
      <c r="AF19" s="32"/>
      <c r="AG19" s="32"/>
      <c r="AH19" s="35"/>
      <c r="AI19" s="36"/>
      <c r="AJ19" s="35"/>
      <c r="AK19" s="37"/>
      <c r="AL19" s="37"/>
      <c r="AM19" s="37"/>
      <c r="AN19" s="37"/>
      <c r="AO19" s="38"/>
      <c r="AP19" s="37" t="n">
        <f aca="false">SUMPRODUCT(--WEEKDAY(C$3:AG$3,2)&lt;6,--((C19:AG19="DM"))+(C19:AG19="CS1")+((C19:AG19="CS2"))+(C19:AG19="SB1")+(C19:AG19="AE")+(C19:AG19="EM"))</f>
        <v>6</v>
      </c>
      <c r="AQ19" s="38"/>
      <c r="AR19" s="38" t="n">
        <f aca="false">SUMPRODUCT(--WEEKDAY(C$3:AG$3,2)&gt;5,--((C19:AG19="DM"))+(C19:AG19="CS1")+((C19:AG19="CS2"))+(C19:AG19="SB1")+(C19:AG19="AE")+(C19:AG19="EM"))</f>
        <v>2</v>
      </c>
      <c r="AS19" s="38"/>
      <c r="AT19" s="38" t="n">
        <f aca="false">(AP19-AQ19)/2+(AR19-AS19)</f>
        <v>5</v>
      </c>
      <c r="AU19" s="38" t="n">
        <f aca="false">AH19+AI19+AJ19+AK19+AM19+AN19</f>
        <v>0</v>
      </c>
      <c r="AV19" s="38" t="n">
        <f aca="false">BF19+BG19+BI19+BD19+BB19+AZ19+BK19</f>
        <v>0</v>
      </c>
      <c r="AW19" s="38" t="e">
        <f aca="false">AT19+AX19</f>
        <v>#VALUE!</v>
      </c>
      <c r="AX19" s="37" t="e">
        <f aca="false"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37" t="n">
        <f aca="false">COUNTIF(D19:AC19,"*BRT*")</f>
        <v>0</v>
      </c>
      <c r="AZ19" s="37" t="n">
        <f aca="false">COUNTIF(A19:AH19,"*$BTP*")</f>
        <v>0</v>
      </c>
      <c r="BA19" s="37" t="e">
        <f aca="false">AZ19*('Setting key Duty'!$I$13+'Setting key Duty'!$I$12+'Setting key Duty'!$I$11)</f>
        <v>#VALUE!</v>
      </c>
      <c r="BB19" s="37" t="n">
        <f aca="false">COUNTIF(A19:AH19,"*$L*")</f>
        <v>0</v>
      </c>
      <c r="BC19" s="37" t="e">
        <f aca="false">BB19*('Setting key Duty'!$I$13+'Setting key Duty'!$I$9)</f>
        <v>#VALUE!</v>
      </c>
      <c r="BD19" s="37" t="n">
        <f aca="false">COUNTIF(A19:AH19,"*$M*")</f>
        <v>0</v>
      </c>
      <c r="BE19" s="37" t="n">
        <f aca="false">BD19*('Setting key Duty'!$I$8+'Setting key Duty'!$I$9+'Setting key Duty'!$I$12)</f>
        <v>0</v>
      </c>
      <c r="BF19" s="37" t="n">
        <f aca="false">COUNTIF(AF19:AH19,"*$N*")</f>
        <v>0</v>
      </c>
      <c r="BG19" s="37" t="n">
        <f aca="false">COUNTIF(AF19:AH19,"*$PM*")</f>
        <v>0</v>
      </c>
      <c r="BH19" s="37" t="n">
        <f aca="false">BG19*('Setting key Duty'!$I$9)</f>
        <v>0</v>
      </c>
      <c r="BI19" s="37" t="n">
        <f aca="false">COUNTIF(A19:AH19,"*$AM*")</f>
        <v>0</v>
      </c>
      <c r="BJ19" s="37" t="n">
        <f aca="false">BI19*('Setting key Duty'!$I$12+'Setting key Duty'!$I$8)</f>
        <v>0</v>
      </c>
      <c r="BK19" s="37" t="n">
        <f aca="false">COUNTIF(D19:AH19,"*$FC*")</f>
        <v>0</v>
      </c>
      <c r="BL19" s="37" t="n">
        <f aca="false">BK19*('Setting key Duty'!$J$11+'Setting key Duty'!$I$8)</f>
        <v>0</v>
      </c>
      <c r="BM19" s="37" t="n">
        <f aca="false">COUNTIF($D19:$AE19,BM$4)</f>
        <v>0</v>
      </c>
      <c r="BN19" s="37" t="n">
        <f aca="false">COUNTIF($D19:$AE19,BN$4)</f>
        <v>0</v>
      </c>
      <c r="BO19" s="37" t="n">
        <f aca="false">COUNTIF($D19:$AE19,BO$4)</f>
        <v>2</v>
      </c>
      <c r="BP19" s="39"/>
    </row>
    <row r="20" customFormat="false" ht="19.5" hidden="false" customHeight="true" outlineLevel="0" collapsed="false">
      <c r="A20" s="30"/>
      <c r="B20" s="40" t="s">
        <v>84</v>
      </c>
      <c r="C20" s="34" t="s">
        <v>54</v>
      </c>
      <c r="D20" s="34" t="s">
        <v>54</v>
      </c>
      <c r="E20" s="34" t="s">
        <v>54</v>
      </c>
      <c r="F20" s="32" t="s">
        <v>58</v>
      </c>
      <c r="H20" s="32" t="s">
        <v>61</v>
      </c>
      <c r="I20" s="33"/>
      <c r="J20" s="33"/>
      <c r="K20" s="32" t="s">
        <v>58</v>
      </c>
      <c r="M20" s="33"/>
      <c r="N20" s="32"/>
      <c r="O20" s="32" t="s">
        <v>56</v>
      </c>
      <c r="P20" s="32"/>
      <c r="Q20" s="33"/>
      <c r="R20" s="32" t="s">
        <v>56</v>
      </c>
      <c r="S20" s="32"/>
      <c r="T20" s="32" t="s">
        <v>57</v>
      </c>
      <c r="U20" s="32"/>
      <c r="V20" s="33"/>
      <c r="W20" s="32" t="s">
        <v>57</v>
      </c>
      <c r="X20" s="32"/>
      <c r="Y20" s="32" t="s">
        <v>55</v>
      </c>
      <c r="Z20" s="32" t="s">
        <v>55</v>
      </c>
      <c r="AA20" s="32" t="s">
        <v>55</v>
      </c>
      <c r="AB20" s="32" t="s">
        <v>55</v>
      </c>
      <c r="AC20" s="32" t="s">
        <v>55</v>
      </c>
      <c r="AD20" s="32" t="s">
        <v>55</v>
      </c>
      <c r="AE20" s="32" t="s">
        <v>55</v>
      </c>
      <c r="AF20" s="32" t="s">
        <v>55</v>
      </c>
      <c r="AG20" s="32" t="s">
        <v>55</v>
      </c>
      <c r="AH20" s="35"/>
      <c r="AI20" s="36"/>
      <c r="AJ20" s="35"/>
      <c r="AK20" s="37"/>
      <c r="AL20" s="37"/>
      <c r="AM20" s="37"/>
      <c r="AN20" s="37"/>
      <c r="AO20" s="38"/>
      <c r="AP20" s="37" t="n">
        <f aca="false">SUMPRODUCT(--WEEKDAY(C$3:AG$3,2)&lt;6,--((C20:AG20="DM"))+(C20:AG20="CS1")+((C20:AG20="CS2"))+(C20:AG20="SB1")+(C20:AG20="AE")+(C20:AG20="EM"))</f>
        <v>4</v>
      </c>
      <c r="AQ20" s="38"/>
      <c r="AR20" s="38" t="n">
        <f aca="false">SUMPRODUCT(--WEEKDAY(C$3:AG$3,2)&gt;5,--((C20:AG20="DM"))+(C20:AG20="CS1")+((C20:AG20="CS2"))+(C20:AG20="SB1")+(C20:AG20="AE")+(C20:AG20="EM"))</f>
        <v>2</v>
      </c>
      <c r="AS20" s="38"/>
      <c r="AT20" s="38" t="n">
        <f aca="false">(AP20-AQ20)/2+(AR20-AS20)</f>
        <v>4</v>
      </c>
      <c r="AU20" s="38" t="n">
        <f aca="false">AH20+AI20+AJ20+AK20+AM20+AN20</f>
        <v>0</v>
      </c>
      <c r="AV20" s="38" t="n">
        <f aca="false">BF20+BG20+BI20+BD20+BB20+AZ20+BK20</f>
        <v>0</v>
      </c>
      <c r="AW20" s="38" t="e">
        <f aca="false">AT20+AX20</f>
        <v>#VALUE!</v>
      </c>
      <c r="AX20" s="37" t="e">
        <f aca="false"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37" t="n">
        <f aca="false">COUNTIF(D20:AB20,"*BRT*")</f>
        <v>0</v>
      </c>
      <c r="AZ20" s="37" t="n">
        <f aca="false">COUNTIF(A20:AH20,"*$BTP*")</f>
        <v>0</v>
      </c>
      <c r="BA20" s="37" t="e">
        <f aca="false">AZ20*('Setting key Duty'!$I$13+'Setting key Duty'!$I$12+'Setting key Duty'!$I$11)</f>
        <v>#VALUE!</v>
      </c>
      <c r="BB20" s="37" t="n">
        <f aca="false">COUNTIF(A20:AH20,"*$L*")</f>
        <v>0</v>
      </c>
      <c r="BC20" s="37" t="e">
        <f aca="false">BB20*('Setting key Duty'!$I$13+'Setting key Duty'!$I$9)</f>
        <v>#VALUE!</v>
      </c>
      <c r="BD20" s="37" t="n">
        <f aca="false">COUNTIF(A20:AH20,"*$M*")</f>
        <v>0</v>
      </c>
      <c r="BE20" s="37" t="n">
        <f aca="false">BD20*('Setting key Duty'!$I$8+'Setting key Duty'!$I$9+'Setting key Duty'!$I$12)</f>
        <v>0</v>
      </c>
      <c r="BF20" s="37" t="n">
        <f aca="false">COUNTIF(AF20:AH20,"*$N*")</f>
        <v>0</v>
      </c>
      <c r="BG20" s="37" t="n">
        <f aca="false">COUNTIF(AF20:AH20,"*$PM*")</f>
        <v>0</v>
      </c>
      <c r="BH20" s="37" t="n">
        <f aca="false">BG20*('Setting key Duty'!$I$9)</f>
        <v>0</v>
      </c>
      <c r="BI20" s="37" t="n">
        <f aca="false">COUNTIF(A20:AH20,"*$AM*")</f>
        <v>0</v>
      </c>
      <c r="BJ20" s="37" t="n">
        <f aca="false">BI20*('Setting key Duty'!$I$12+'Setting key Duty'!$I$8)</f>
        <v>0</v>
      </c>
      <c r="BK20" s="37" t="n">
        <f aca="false">COUNTIF(D20:AH20,"*$FC*")</f>
        <v>0</v>
      </c>
      <c r="BL20" s="37" t="n">
        <f aca="false">BK20*('Setting key Duty'!$J$11+'Setting key Duty'!$I$8)</f>
        <v>0</v>
      </c>
      <c r="BM20" s="37" t="n">
        <f aca="false">COUNTIF($D20:$AE20,BM$4)</f>
        <v>0</v>
      </c>
      <c r="BN20" s="37" t="n">
        <f aca="false">COUNTIF($D20:$AE20,BN$4)</f>
        <v>0</v>
      </c>
      <c r="BO20" s="37" t="n">
        <f aca="false">COUNTIF($D20:$AE20,BO$4)</f>
        <v>7</v>
      </c>
      <c r="BP20" s="39"/>
    </row>
    <row r="21" customFormat="false" ht="19.5" hidden="false" customHeight="true" outlineLevel="0" collapsed="false">
      <c r="A21" s="30" t="s">
        <v>55</v>
      </c>
      <c r="B21" s="53" t="s">
        <v>85</v>
      </c>
      <c r="C21" s="32" t="s">
        <v>55</v>
      </c>
      <c r="D21" s="32" t="s">
        <v>55</v>
      </c>
      <c r="E21" s="32" t="s">
        <v>55</v>
      </c>
      <c r="F21" s="32" t="s">
        <v>55</v>
      </c>
      <c r="G21" s="34" t="s">
        <v>56</v>
      </c>
      <c r="H21" s="32"/>
      <c r="J21" s="32" t="s">
        <v>59</v>
      </c>
      <c r="K21" s="32"/>
      <c r="L21" s="32"/>
      <c r="M21" s="32"/>
      <c r="N21" s="32" t="s">
        <v>57</v>
      </c>
      <c r="O21" s="33"/>
      <c r="P21" s="32"/>
      <c r="Q21" s="32"/>
      <c r="R21" s="32"/>
      <c r="S21" s="32" t="s">
        <v>57</v>
      </c>
      <c r="T21" s="32"/>
      <c r="U21" s="32"/>
      <c r="V21" s="32"/>
      <c r="W21" s="32" t="s">
        <v>59</v>
      </c>
      <c r="X21" s="32"/>
      <c r="Y21" s="33"/>
      <c r="Z21" s="32" t="s">
        <v>59</v>
      </c>
      <c r="AA21" s="33"/>
      <c r="AB21" s="32" t="s">
        <v>71</v>
      </c>
      <c r="AC21" s="32" t="s">
        <v>71</v>
      </c>
      <c r="AD21" s="33"/>
      <c r="AE21" s="32"/>
      <c r="AF21" s="32"/>
      <c r="AG21" s="32"/>
      <c r="AH21" s="35"/>
      <c r="AI21" s="36"/>
      <c r="AJ21" s="35"/>
      <c r="AK21" s="37"/>
      <c r="AL21" s="37"/>
      <c r="AM21" s="37"/>
      <c r="AN21" s="37"/>
      <c r="AO21" s="38"/>
      <c r="AP21" s="37" t="n">
        <f aca="false">SUMPRODUCT(--WEEKDAY(C$3:AG$3,2)&lt;6,--((C21:AG21="DM"))+(C21:AG21="CS1")+((C21:AG21="CS2"))+(C21:AG21="SB1")+(C21:AG21="AE")+(C21:AG21="EM"))</f>
        <v>4</v>
      </c>
      <c r="AQ21" s="38"/>
      <c r="AR21" s="38" t="n">
        <f aca="false">SUMPRODUCT(--WEEKDAY(C$3:AG$3,2)&gt;5,--((C21:AG21="DM"))+(C21:AG21="CS1")+((C21:AG21="CS2"))+(C21:AG21="SB1")+(C21:AG21="AE")+(C21:AG21="EM"))</f>
        <v>2</v>
      </c>
      <c r="AS21" s="38"/>
      <c r="AT21" s="38" t="n">
        <f aca="false">(AP21-AQ21)/2+(AR21-AS21)</f>
        <v>4</v>
      </c>
      <c r="AU21" s="38" t="n">
        <f aca="false">AH21+AI21+AJ21+AK21+AM21+AN21</f>
        <v>0</v>
      </c>
      <c r="AV21" s="38" t="n">
        <f aca="false">BF21+BG21+BI21+BD21+BB21+AZ21+BK21</f>
        <v>0</v>
      </c>
      <c r="AW21" s="38" t="e">
        <f aca="false">AT21+AX21</f>
        <v>#VALUE!</v>
      </c>
      <c r="AX21" s="37" t="e">
        <f aca="false"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37" t="n">
        <f aca="false">COUNTIF(D21:AC21,"*BRT*")</f>
        <v>0</v>
      </c>
      <c r="AZ21" s="37" t="n">
        <f aca="false">COUNTIF(A21:AH21,"*$BTP*")</f>
        <v>0</v>
      </c>
      <c r="BA21" s="37" t="e">
        <f aca="false">AZ21*('Setting key Duty'!$I$13+'Setting key Duty'!$I$12+'Setting key Duty'!$I$11)</f>
        <v>#VALUE!</v>
      </c>
      <c r="BB21" s="37" t="n">
        <f aca="false">COUNTIF(A21:AH21,"*$L*")</f>
        <v>0</v>
      </c>
      <c r="BC21" s="37" t="e">
        <f aca="false">BB21*('Setting key Duty'!$I$13+'Setting key Duty'!$I$9)</f>
        <v>#VALUE!</v>
      </c>
      <c r="BD21" s="37" t="n">
        <f aca="false">COUNTIF(A21:AH21,"*$M*")</f>
        <v>0</v>
      </c>
      <c r="BE21" s="37" t="n">
        <f aca="false">BD21*('Setting key Duty'!$I$8+'Setting key Duty'!$I$9+'Setting key Duty'!$I$12)</f>
        <v>0</v>
      </c>
      <c r="BF21" s="37" t="n">
        <f aca="false">COUNTIF(AH21,"*$N*")</f>
        <v>0</v>
      </c>
      <c r="BG21" s="37" t="n">
        <f aca="false">COUNTIF(AH21,"*$PM*")</f>
        <v>0</v>
      </c>
      <c r="BH21" s="37" t="n">
        <f aca="false">BG21*('Setting key Duty'!$I$9)</f>
        <v>0</v>
      </c>
      <c r="BI21" s="37" t="n">
        <f aca="false">COUNTIF(A21:AH21,"*$AM*")</f>
        <v>0</v>
      </c>
      <c r="BJ21" s="37" t="n">
        <f aca="false">BI21*('Setting key Duty'!$I$12+'Setting key Duty'!$I$8)</f>
        <v>0</v>
      </c>
      <c r="BK21" s="37" t="n">
        <f aca="false">COUNTIF(D21:AH21,"*$FC*")</f>
        <v>0</v>
      </c>
      <c r="BL21" s="37" t="n">
        <f aca="false">BK21*('Setting key Duty'!$J$11+'Setting key Duty'!$I$8)</f>
        <v>0</v>
      </c>
      <c r="BM21" s="37" t="n">
        <f aca="false">COUNTIF($D21:$AC21,BM$4)</f>
        <v>0</v>
      </c>
      <c r="BN21" s="37" t="n">
        <f aca="false">COUNTIF($D21:$AC21,BN$4)</f>
        <v>0</v>
      </c>
      <c r="BO21" s="37" t="n">
        <f aca="false">COUNTIF($D21:$AC21,BO$4)</f>
        <v>3</v>
      </c>
      <c r="BP21" s="39"/>
    </row>
    <row r="22" customFormat="false" ht="19.5" hidden="false" customHeight="true" outlineLevel="0" collapsed="false">
      <c r="A22" s="30"/>
      <c r="B22" s="55" t="s">
        <v>86</v>
      </c>
      <c r="C22" s="34"/>
      <c r="D22" s="32" t="s">
        <v>56</v>
      </c>
      <c r="F22" s="32"/>
      <c r="G22" s="32" t="s">
        <v>57</v>
      </c>
      <c r="H22" s="32"/>
      <c r="I22" s="32" t="s">
        <v>59</v>
      </c>
      <c r="J22" s="34"/>
      <c r="K22" s="32" t="s">
        <v>55</v>
      </c>
      <c r="L22" s="32" t="s">
        <v>55</v>
      </c>
      <c r="M22" s="32" t="s">
        <v>55</v>
      </c>
      <c r="N22" s="32" t="s">
        <v>55</v>
      </c>
      <c r="O22" s="32" t="s">
        <v>55</v>
      </c>
      <c r="P22" s="32" t="s">
        <v>55</v>
      </c>
      <c r="Q22" s="32" t="s">
        <v>55</v>
      </c>
      <c r="R22" s="32" t="s">
        <v>55</v>
      </c>
      <c r="S22" s="32" t="s">
        <v>55</v>
      </c>
      <c r="T22" s="32" t="s">
        <v>55</v>
      </c>
      <c r="U22" s="32" t="s">
        <v>55</v>
      </c>
      <c r="V22" s="32" t="s">
        <v>55</v>
      </c>
      <c r="W22" s="32" t="s">
        <v>55</v>
      </c>
      <c r="X22" s="32" t="s">
        <v>57</v>
      </c>
      <c r="Z22" s="33"/>
      <c r="AA22" s="32" t="s">
        <v>58</v>
      </c>
      <c r="AB22" s="34"/>
      <c r="AC22" s="32" t="s">
        <v>56</v>
      </c>
      <c r="AE22" s="32"/>
      <c r="AF22" s="33"/>
      <c r="AG22" s="32"/>
      <c r="AH22" s="35"/>
      <c r="AI22" s="36"/>
      <c r="AJ22" s="35"/>
      <c r="AK22" s="37"/>
      <c r="AL22" s="37"/>
      <c r="AM22" s="37"/>
      <c r="AN22" s="37"/>
      <c r="AO22" s="38"/>
      <c r="AP22" s="37" t="n">
        <f aca="false">SUMPRODUCT(--WEEKDAY(C$3:AG$3,2)&lt;6,--((C22:AG22="DM"))+(C22:AG22="CS1")+((C22:AG22="CS2"))+(C22:AG22="SB1")+(C22:AG22="AE")+(C22:AG22="EM"))</f>
        <v>5</v>
      </c>
      <c r="AQ22" s="38"/>
      <c r="AR22" s="38" t="n">
        <f aca="false">SUMPRODUCT(--WEEKDAY(C$3:AG$3,2)&gt;5,--((C22:AG22="DM"))+(C22:AG22="CS1")+((C22:AG22="CS2"))+(C22:AG22="SB1")+(C22:AG22="AE")+(C22:AG22="EM"))</f>
        <v>1</v>
      </c>
      <c r="AS22" s="38"/>
      <c r="AT22" s="38" t="n">
        <f aca="false">(AP22-AQ22)/2+(AR22-AS22)</f>
        <v>3.5</v>
      </c>
      <c r="AU22" s="38" t="n">
        <f aca="false">AH22+AI22+AJ22+AK22+AM22+AN22</f>
        <v>0</v>
      </c>
      <c r="AV22" s="38" t="n">
        <f aca="false">BF22+BG22+BI22+BD22+BB22+AZ22+BK22</f>
        <v>0</v>
      </c>
      <c r="AW22" s="38" t="e">
        <f aca="false">AT22+AX22</f>
        <v>#VALUE!</v>
      </c>
      <c r="AX22" s="37" t="e">
        <f aca="false"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37" t="n">
        <f aca="false">COUNTIF(D22:AC22,"*BRT*")</f>
        <v>0</v>
      </c>
      <c r="AZ22" s="37" t="n">
        <f aca="false">COUNTIF(A22:AH22,"*$BTP*")</f>
        <v>0</v>
      </c>
      <c r="BA22" s="37" t="e">
        <f aca="false">AZ22*('Setting key Duty'!$I$13+'Setting key Duty'!$I$12+'Setting key Duty'!$I$11)</f>
        <v>#VALUE!</v>
      </c>
      <c r="BB22" s="37" t="n">
        <f aca="false">COUNTIF(A22:AH22,"*$L*")</f>
        <v>0</v>
      </c>
      <c r="BC22" s="37" t="e">
        <f aca="false">BB22*('Setting key Duty'!$I$13+'Setting key Duty'!$I$9)</f>
        <v>#VALUE!</v>
      </c>
      <c r="BD22" s="37" t="n">
        <f aca="false">COUNTIF(A22:AH22,"*$M*")</f>
        <v>0</v>
      </c>
      <c r="BE22" s="37" t="n">
        <f aca="false">BD22*('Setting key Duty'!$I$8+'Setting key Duty'!$I$9+'Setting key Duty'!$I$12)</f>
        <v>0</v>
      </c>
      <c r="BF22" s="37" t="n">
        <f aca="false">COUNTIF(AE22:AH22,"*$N*")</f>
        <v>0</v>
      </c>
      <c r="BG22" s="37" t="n">
        <f aca="false">COUNTIF(AE22:AH22,"*$PM*")</f>
        <v>0</v>
      </c>
      <c r="BH22" s="37" t="n">
        <f aca="false">BG22*('Setting key Duty'!$I$9)</f>
        <v>0</v>
      </c>
      <c r="BI22" s="37" t="n">
        <f aca="false">COUNTIF(A22:AH22,"*$AM*")</f>
        <v>0</v>
      </c>
      <c r="BJ22" s="37" t="n">
        <f aca="false">BI22*('Setting key Duty'!$I$12+'Setting key Duty'!$I$8)</f>
        <v>0</v>
      </c>
      <c r="BK22" s="37" t="n">
        <f aca="false">COUNTIF(D22:AH22,"*$FC*")</f>
        <v>0</v>
      </c>
      <c r="BL22" s="37" t="n">
        <f aca="false">BK22*('Setting key Duty'!$J$11+'Setting key Duty'!$I$8)</f>
        <v>0</v>
      </c>
      <c r="BM22" s="37" t="n">
        <f aca="false">COUNTIF($D22:$AE22,BM$4)</f>
        <v>0</v>
      </c>
      <c r="BN22" s="37" t="n">
        <f aca="false">COUNTIF($D22:$AE22,BN$4)</f>
        <v>0</v>
      </c>
      <c r="BO22" s="37" t="n">
        <f aca="false">COUNTIF($D22:$AE22,BO$4)</f>
        <v>13</v>
      </c>
      <c r="BP22" s="39"/>
    </row>
    <row r="23" customFormat="false" ht="19.5" hidden="false" customHeight="true" outlineLevel="0" collapsed="false">
      <c r="A23" s="30"/>
      <c r="B23" s="49" t="s">
        <v>87</v>
      </c>
      <c r="C23" s="34" t="s">
        <v>55</v>
      </c>
      <c r="D23" s="32"/>
      <c r="E23" s="32"/>
      <c r="F23" s="45" t="s">
        <v>88</v>
      </c>
      <c r="G23" s="45" t="s">
        <v>88</v>
      </c>
      <c r="H23" s="45" t="s">
        <v>88</v>
      </c>
      <c r="I23" s="45" t="s">
        <v>88</v>
      </c>
      <c r="J23" s="32"/>
      <c r="K23" s="32"/>
      <c r="L23" s="32"/>
      <c r="M23" s="32" t="s">
        <v>59</v>
      </c>
      <c r="O23" s="32" t="s">
        <v>65</v>
      </c>
      <c r="Q23" s="32"/>
      <c r="R23" s="33"/>
      <c r="S23" s="32" t="s">
        <v>56</v>
      </c>
      <c r="T23" s="32"/>
      <c r="U23" s="34"/>
      <c r="V23" s="34"/>
      <c r="W23" s="56" t="s">
        <v>89</v>
      </c>
      <c r="X23" s="34"/>
      <c r="Y23" s="32" t="s">
        <v>59</v>
      </c>
      <c r="AA23" s="34"/>
      <c r="AB23" s="34"/>
      <c r="AC23" s="32" t="s">
        <v>90</v>
      </c>
      <c r="AD23" s="34"/>
      <c r="AE23" s="34"/>
      <c r="AF23" s="32" t="s">
        <v>56</v>
      </c>
      <c r="AH23" s="35"/>
      <c r="AI23" s="36"/>
      <c r="AJ23" s="35"/>
      <c r="AK23" s="37"/>
      <c r="AL23" s="37"/>
      <c r="AM23" s="37"/>
      <c r="AN23" s="37"/>
      <c r="AO23" s="38"/>
      <c r="AP23" s="37" t="n">
        <f aca="false">SUMPRODUCT(--WEEKDAY(C$3:AG$3,2)&lt;6,--((C23:AG23="DM"))+(C23:AG23="CS1")+((C23:AG23="CS2"))+(C23:AG23="SB1")+(C23:AG23="AE")+(C23:AG23="EM"))</f>
        <v>2</v>
      </c>
      <c r="AQ23" s="38"/>
      <c r="AR23" s="38" t="n">
        <f aca="false">SUMPRODUCT(--WEEKDAY(C$3:AG$3,2)&gt;5,--((C23:AG23="DM"))+(C23:AG23="CS1")+((C23:AG23="CS2"))+(C23:AG23="SB1")+(C23:AG23="AE")+(C23:AG23="EM"))</f>
        <v>3</v>
      </c>
      <c r="AS23" s="38"/>
      <c r="AT23" s="38" t="n">
        <f aca="false">(AP23-AQ23)/2+(AR23-AS23)</f>
        <v>4</v>
      </c>
      <c r="AU23" s="38" t="n">
        <f aca="false">AH23+AI23+AJ23+AK23+AM23+AN23</f>
        <v>0</v>
      </c>
      <c r="AV23" s="38" t="n">
        <f aca="false">BF23+BG23+BI23+BD23+BB23+AZ23+BK23</f>
        <v>6</v>
      </c>
      <c r="AW23" s="38" t="e">
        <f aca="false">AT23+AX23</f>
        <v>#VALUE!</v>
      </c>
      <c r="AX23" s="37" t="e">
        <f aca="false"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37" t="n">
        <f aca="false">COUNTIF(D23:AA23,"*BRT*")</f>
        <v>0</v>
      </c>
      <c r="AZ23" s="37" t="n">
        <f aca="false">COUNTIF(A23:AH23,"*$BTP*")</f>
        <v>0</v>
      </c>
      <c r="BA23" s="37" t="e">
        <f aca="false">AZ23*('Setting key Duty'!$I$13+'Setting key Duty'!$I$12+'Setting key Duty'!$I$11)</f>
        <v>#VALUE!</v>
      </c>
      <c r="BB23" s="37" t="n">
        <f aca="false">COUNTIF(A23:AH23,"*$L*")</f>
        <v>0</v>
      </c>
      <c r="BC23" s="37" t="e">
        <f aca="false">BB23*('Setting key Duty'!$I$13+'Setting key Duty'!$I$9)</f>
        <v>#VALUE!</v>
      </c>
      <c r="BD23" s="37" t="n">
        <f aca="false">COUNTIF(A23:AH23,"*$M*")</f>
        <v>2</v>
      </c>
      <c r="BE23" s="37" t="n">
        <f aca="false">BD23*('Setting key Duty'!$I$8+'Setting key Duty'!$I$9+'Setting key Duty'!$I$12)</f>
        <v>1.125</v>
      </c>
      <c r="BF23" s="37" t="n">
        <f aca="false">COUNTIF(AH23,"*$N*")</f>
        <v>0</v>
      </c>
      <c r="BG23" s="37" t="n">
        <f aca="false">COUNTIF(AH23,"*$PM*")</f>
        <v>0</v>
      </c>
      <c r="BH23" s="37" t="n">
        <f aca="false">BG23*('Setting key Duty'!$I$9)</f>
        <v>0</v>
      </c>
      <c r="BI23" s="37" t="n">
        <f aca="false">COUNTIF(A23:AH23,"*$AM*")</f>
        <v>0</v>
      </c>
      <c r="BJ23" s="37" t="n">
        <f aca="false">BI23*('Setting key Duty'!$I$12+'Setting key Duty'!$I$8)</f>
        <v>0</v>
      </c>
      <c r="BK23" s="37" t="n">
        <f aca="false">COUNTIF(D23:AH23,"*$FC*")</f>
        <v>4</v>
      </c>
      <c r="BL23" s="37" t="n">
        <f aca="false">BK23*('Setting key Duty'!$J$11+'Setting key Duty'!$I$8)</f>
        <v>0.5</v>
      </c>
      <c r="BM23" s="37" t="n">
        <f aca="false">COUNTIF($D23:$AA23,BM$4)</f>
        <v>0</v>
      </c>
      <c r="BN23" s="37" t="n">
        <f aca="false">COUNTIF($D23:$AA23,BN$4)</f>
        <v>0</v>
      </c>
      <c r="BO23" s="37" t="n">
        <f aca="false">COUNTIF($D23:$AA23,BO$4)</f>
        <v>0</v>
      </c>
      <c r="BP23" s="39"/>
    </row>
    <row r="24" customFormat="false" ht="19.5" hidden="false" customHeight="true" outlineLevel="0" collapsed="false">
      <c r="A24" s="30"/>
      <c r="B24" s="41" t="s">
        <v>91</v>
      </c>
      <c r="C24" s="32"/>
      <c r="D24" s="32" t="s">
        <v>92</v>
      </c>
      <c r="E24" s="32" t="s">
        <v>92</v>
      </c>
      <c r="F24" s="32" t="s">
        <v>92</v>
      </c>
      <c r="G24" s="32" t="s">
        <v>92</v>
      </c>
      <c r="H24" s="32" t="s">
        <v>92</v>
      </c>
      <c r="I24" s="32"/>
      <c r="J24" s="45" t="s">
        <v>93</v>
      </c>
      <c r="K24" s="32"/>
      <c r="L24" s="32"/>
      <c r="N24" s="32" t="s">
        <v>94</v>
      </c>
      <c r="Q24" s="32" t="s">
        <v>95</v>
      </c>
      <c r="R24" s="32" t="s">
        <v>95</v>
      </c>
      <c r="S24" s="32" t="s">
        <v>95</v>
      </c>
      <c r="T24" s="32" t="s">
        <v>95</v>
      </c>
      <c r="U24" s="32" t="s">
        <v>96</v>
      </c>
      <c r="V24" s="32" t="s">
        <v>97</v>
      </c>
      <c r="W24" s="32" t="s">
        <v>98</v>
      </c>
      <c r="X24" s="34"/>
      <c r="Y24" s="32"/>
      <c r="Z24" s="32" t="s">
        <v>58</v>
      </c>
      <c r="AA24" s="32"/>
      <c r="AB24" s="57"/>
      <c r="AC24" s="32"/>
      <c r="AD24" s="46" t="s">
        <v>71</v>
      </c>
      <c r="AE24" s="32"/>
      <c r="AF24" s="32"/>
      <c r="AH24" s="35" t="n">
        <f aca="false">COUNTIF($C24:$AF24,AH$4)</f>
        <v>0</v>
      </c>
      <c r="AI24" s="36" t="n">
        <f aca="false">COUNTIF($C24:$AF24,AI$4)</f>
        <v>0</v>
      </c>
      <c r="AJ24" s="35" t="n">
        <f aca="false">COUNTIF($C24:$AF24,AJ$4)</f>
        <v>0</v>
      </c>
      <c r="AK24" s="37" t="n">
        <f aca="false">COUNTIF($C24:$AF24,AK$4)</f>
        <v>1</v>
      </c>
      <c r="AL24" s="37" t="n">
        <f aca="false">COUNTIF($C24:$AF24,AL$4)</f>
        <v>1</v>
      </c>
      <c r="AM24" s="37" t="n">
        <f aca="false">COUNTIF($C24:$AF24,AM$4)</f>
        <v>0</v>
      </c>
      <c r="AN24" s="37" t="n">
        <f aca="false">COUNTIF($C24:$AF24,AN$4)</f>
        <v>0</v>
      </c>
      <c r="AO24" s="38"/>
      <c r="AP24" s="37" t="n">
        <f aca="false">SUMPRODUCT(--WEEKDAY(C$3:AG$3,2)&lt;6,--((C24:AG24="DM"))+(C24:AG24="CS1")+((C24:AG24="CS2"))+(C24:AG24="SB1")+(C24:AG24="AE")+(C24:AG24="EM"))</f>
        <v>0</v>
      </c>
      <c r="AQ24" s="38"/>
      <c r="AR24" s="38" t="n">
        <f aca="false">SUMPRODUCT(--WEEKDAY(C$3:AG$3,2)&gt;5,--((C24:AG24="DM"))+(C24:AG24="CS1")+((C24:AG24="CS2"))+(C24:AG24="SB1")+(C24:AG24="AE")+(C24:AG24="EM"))</f>
        <v>1</v>
      </c>
      <c r="AS24" s="38"/>
      <c r="AT24" s="38" t="n">
        <f aca="false">(AP24-AQ24)/2+(AR24-AS24)</f>
        <v>1</v>
      </c>
      <c r="AU24" s="38" t="n">
        <f aca="false">AH24+AI24+AJ24+AK24+AM24+AN24</f>
        <v>1</v>
      </c>
      <c r="AV24" s="38" t="n">
        <f aca="false">BF24+BG24+BI24+BD24+BB24+AZ24+BK24</f>
        <v>12</v>
      </c>
      <c r="AW24" s="38" t="e">
        <f aca="false">AT24+AX24</f>
        <v>#VALUE!</v>
      </c>
      <c r="AX24" s="37" t="e">
        <f aca="false"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37" t="n">
        <f aca="false">COUNTIF(C24:AC24,"*BRT*")</f>
        <v>0</v>
      </c>
      <c r="AZ24" s="37" t="n">
        <f aca="false">COUNTIF(A24:AH24,"*$BTP*")</f>
        <v>0</v>
      </c>
      <c r="BA24" s="37" t="e">
        <f aca="false">AZ24*('Setting key Duty'!$I$13+'Setting key Duty'!$I$12+'Setting key Duty'!$I$11)</f>
        <v>#VALUE!</v>
      </c>
      <c r="BB24" s="37" t="n">
        <f aca="false">COUNTIF(I24:AH24,"*$L*")</f>
        <v>0</v>
      </c>
      <c r="BC24" s="37" t="e">
        <f aca="false">BB24*('Setting key Duty'!$I$13+'Setting key Duty'!$I$9)</f>
        <v>#VALUE!</v>
      </c>
      <c r="BD24" s="37" t="n">
        <f aca="false">COUNTIF(I24:AH24,"*$M*")</f>
        <v>1</v>
      </c>
      <c r="BE24" s="37" t="n">
        <f aca="false">BD24*('Setting key Duty'!$I$8+'Setting key Duty'!$I$9+'Setting key Duty'!$I$12)</f>
        <v>0.5625</v>
      </c>
      <c r="BF24" s="37" t="n">
        <f aca="false">COUNTIF(I24:AH24,"*$N*")</f>
        <v>0</v>
      </c>
      <c r="BG24" s="37" t="n">
        <f aca="false">COUNTIF(I24:AH24,"*$PM*")</f>
        <v>2</v>
      </c>
      <c r="BH24" s="37" t="n">
        <f aca="false">BG24*('Setting key Duty'!$I$9)</f>
        <v>0.25</v>
      </c>
      <c r="BI24" s="37" t="n">
        <f aca="false">COUNTIF(I24:AH24,"*$AM*")</f>
        <v>0</v>
      </c>
      <c r="BJ24" s="37" t="n">
        <f aca="false">BI24*('Setting key Duty'!$I$12+'Setting key Duty'!$I$8)</f>
        <v>0</v>
      </c>
      <c r="BK24" s="37" t="n">
        <f aca="false">COUNTIF(C24:AH24,"*$FC*")</f>
        <v>9</v>
      </c>
      <c r="BL24" s="37" t="n">
        <f aca="false">BK24*('Setting key Duty'!$J$11+'Setting key Duty'!$I$8)</f>
        <v>1.125</v>
      </c>
      <c r="BM24" s="37" t="n">
        <f aca="false">COUNTIF($C24:$AF24,BM$4)</f>
        <v>0</v>
      </c>
      <c r="BN24" s="37" t="n">
        <f aca="false">COUNTIF($C24:$AF24,BN$4)</f>
        <v>0</v>
      </c>
      <c r="BO24" s="37" t="n">
        <f aca="false">COUNTIF($I24:$AE24,BO$4)</f>
        <v>0</v>
      </c>
      <c r="BP24" s="39"/>
    </row>
    <row r="25" customFormat="false" ht="19.5" hidden="false" customHeight="true" outlineLevel="0" collapsed="false">
      <c r="A25" s="30"/>
      <c r="B25" s="48" t="s">
        <v>99</v>
      </c>
      <c r="C25" s="32" t="s">
        <v>100</v>
      </c>
      <c r="D25" s="32"/>
      <c r="E25" s="32"/>
      <c r="F25" s="32" t="s">
        <v>65</v>
      </c>
      <c r="G25" s="45" t="s">
        <v>93</v>
      </c>
      <c r="H25" s="32"/>
      <c r="I25" s="32" t="s">
        <v>101</v>
      </c>
      <c r="J25" s="32" t="s">
        <v>102</v>
      </c>
      <c r="K25" s="33"/>
      <c r="L25" s="32"/>
      <c r="M25" s="34" t="s">
        <v>103</v>
      </c>
      <c r="N25" s="32"/>
      <c r="O25" s="32"/>
      <c r="P25" s="32" t="s">
        <v>104</v>
      </c>
      <c r="Q25" s="32" t="s">
        <v>102</v>
      </c>
      <c r="S25" s="32" t="s">
        <v>58</v>
      </c>
      <c r="T25" s="32"/>
      <c r="V25" s="32" t="s">
        <v>105</v>
      </c>
      <c r="W25" s="32" t="s">
        <v>106</v>
      </c>
      <c r="X25" s="32" t="s">
        <v>93</v>
      </c>
      <c r="Y25" s="32"/>
      <c r="Z25" s="32"/>
      <c r="AA25" s="32" t="s">
        <v>65</v>
      </c>
      <c r="AB25" s="32"/>
      <c r="AC25" s="32" t="s">
        <v>107</v>
      </c>
      <c r="AE25" s="32"/>
      <c r="AF25" s="33"/>
      <c r="AG25" s="32"/>
      <c r="AH25" s="35"/>
      <c r="AI25" s="36"/>
      <c r="AJ25" s="35"/>
      <c r="AK25" s="37"/>
      <c r="AL25" s="37"/>
      <c r="AM25" s="37"/>
      <c r="AN25" s="37"/>
      <c r="AO25" s="38"/>
      <c r="AP25" s="37" t="n">
        <f aca="false">SUMPRODUCT(--WEEKDAY(C$3:AG$3,2)&lt;6,--((C25:AG25="DM"))+(C25:AG25="CS1")+((C25:AG25="CS2"))+(C25:AG25="SB1")+(C25:AG25="AE")+(C25:AG25="EM"))</f>
        <v>2</v>
      </c>
      <c r="AQ25" s="38"/>
      <c r="AR25" s="38" t="n">
        <f aca="false">SUMPRODUCT(--WEEKDAY(C$3:AG$3,2)&gt;5,--((C25:AG25="DM"))+(C25:AG25="CS1")+((C25:AG25="CS2"))+(C25:AG25="SB1")+(C25:AG25="AE")+(C25:AG25="EM"))</f>
        <v>1</v>
      </c>
      <c r="AS25" s="38"/>
      <c r="AT25" s="38" t="n">
        <f aca="false">(AP25-AQ25)/2+(AR25-AS25)</f>
        <v>2</v>
      </c>
      <c r="AU25" s="38" t="n">
        <f aca="false">AH25+AI25+AJ25+AK25+AM25+AN25</f>
        <v>0</v>
      </c>
      <c r="AV25" s="38" t="n">
        <f aca="false">BF25+BG25+BI25+BD25+BB25+AZ25+BK25</f>
        <v>9</v>
      </c>
      <c r="AW25" s="38" t="e">
        <f aca="false">AT25+$AX$25</f>
        <v>#VALUE!</v>
      </c>
      <c r="AX25" s="37" t="e">
        <f aca="false"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37" t="n">
        <f aca="false">COUNTIF(C25:AC25,"*BRT*")</f>
        <v>0</v>
      </c>
      <c r="AZ25" s="37" t="n">
        <f aca="false">COUNTIF(A25:AH25,"*$BTP*")</f>
        <v>1</v>
      </c>
      <c r="BA25" s="37" t="e">
        <f aca="false">AZ25*('Setting key Duty'!$I$13+'Setting key Duty'!$I$12+'Setting key Duty'!$I$11)</f>
        <v>#VALUE!</v>
      </c>
      <c r="BB25" s="37" t="n">
        <f aca="false">COUNTIF(D25:AH25,"*$L*")</f>
        <v>0</v>
      </c>
      <c r="BC25" s="37" t="e">
        <f aca="false">BB25*('Setting key Duty'!$I$13+'Setting key Duty'!$I$9)</f>
        <v>#VALUE!</v>
      </c>
      <c r="BD25" s="37" t="n">
        <f aca="false">COUNTIF(D25:AH25,"*$M*")</f>
        <v>2</v>
      </c>
      <c r="BE25" s="37" t="n">
        <f aca="false">BD25*('Setting key Duty'!$I$8+'Setting key Duty'!$I$9+'Setting key Duty'!$I$12)</f>
        <v>1.125</v>
      </c>
      <c r="BF25" s="37" t="n">
        <f aca="false">COUNTIF(D25:AH25,"*$N*")</f>
        <v>0</v>
      </c>
      <c r="BG25" s="37" t="n">
        <f aca="false">COUNTIF(D25:AH25,"*$PM*")</f>
        <v>0</v>
      </c>
      <c r="BH25" s="37" t="n">
        <f aca="false">BG25*('Setting key Duty'!$I$9)</f>
        <v>0</v>
      </c>
      <c r="BI25" s="37" t="n">
        <f aca="false">COUNTIF(D25:AH25,"*$AM*")</f>
        <v>6</v>
      </c>
      <c r="BJ25" s="37" t="n">
        <f aca="false">BI25*('Setting key Duty'!$I$12+'Setting key Duty'!$I$8)</f>
        <v>2.625</v>
      </c>
      <c r="BK25" s="37" t="n">
        <f aca="false">COUNTIF(C25:AH25,"*$FC*")</f>
        <v>0</v>
      </c>
      <c r="BL25" s="37" t="n">
        <f aca="false">BK25*('Setting key Duty'!$J$11+'Setting key Duty'!$I$8)</f>
        <v>0</v>
      </c>
      <c r="BM25" s="37" t="n">
        <f aca="false">COUNTIF($C25:$AG25,BM$4)</f>
        <v>0</v>
      </c>
      <c r="BN25" s="37" t="n">
        <f aca="false">COUNTIF($C25:$AG25,BN$4)</f>
        <v>0</v>
      </c>
      <c r="BO25" s="37" t="n">
        <f aca="false">COUNTIF($D25:$AE25,BO$4)</f>
        <v>0</v>
      </c>
      <c r="BP25" s="39"/>
    </row>
    <row r="26" customFormat="false" ht="19.5" hidden="false" customHeight="true" outlineLevel="0" collapsed="false">
      <c r="A26" s="30"/>
      <c r="B26" s="48" t="s">
        <v>108</v>
      </c>
      <c r="C26" s="45" t="s">
        <v>55</v>
      </c>
      <c r="D26" s="45" t="s">
        <v>55</v>
      </c>
      <c r="E26" s="45" t="s">
        <v>55</v>
      </c>
      <c r="F26" s="45" t="s">
        <v>55</v>
      </c>
      <c r="G26" s="45"/>
      <c r="H26" s="32" t="s">
        <v>109</v>
      </c>
      <c r="I26" s="32" t="s">
        <v>110</v>
      </c>
      <c r="J26" s="32" t="s">
        <v>111</v>
      </c>
      <c r="K26" s="42"/>
      <c r="L26" s="45"/>
      <c r="M26" s="32" t="s">
        <v>112</v>
      </c>
      <c r="N26" s="42" t="s">
        <v>93</v>
      </c>
      <c r="O26" s="32" t="s">
        <v>113</v>
      </c>
      <c r="P26" s="32" t="s">
        <v>114</v>
      </c>
      <c r="Q26" s="42" t="s">
        <v>93</v>
      </c>
      <c r="T26" s="42" t="s">
        <v>93</v>
      </c>
      <c r="U26" s="32" t="s">
        <v>115</v>
      </c>
      <c r="V26" s="32" t="s">
        <v>116</v>
      </c>
      <c r="W26" s="32" t="s">
        <v>117</v>
      </c>
      <c r="X26" s="42" t="s">
        <v>55</v>
      </c>
      <c r="Y26" s="33"/>
      <c r="Z26" s="33"/>
      <c r="AA26" s="32" t="s">
        <v>96</v>
      </c>
      <c r="AB26" s="32" t="s">
        <v>118</v>
      </c>
      <c r="AD26" s="32" t="s">
        <v>65</v>
      </c>
      <c r="AE26" s="32"/>
      <c r="AF26" s="42"/>
      <c r="AG26" s="42"/>
      <c r="AH26" s="35"/>
      <c r="AI26" s="36"/>
      <c r="AJ26" s="35"/>
      <c r="AK26" s="37"/>
      <c r="AL26" s="37"/>
      <c r="AM26" s="37"/>
      <c r="AN26" s="37"/>
      <c r="AO26" s="38"/>
      <c r="AP26" s="37" t="n">
        <f aca="false">SUMPRODUCT(--WEEKDAY(C$3:AG$3,2)&lt;6,--((C26:AG26="DM"))+(C26:AG26="CS1")+((C26:AG26="CS2"))+(C26:AG26="SB1")+(C26:AG26="AE")+(C26:AG26="EM"))</f>
        <v>1</v>
      </c>
      <c r="AQ26" s="38"/>
      <c r="AR26" s="38" t="n">
        <f aca="false">SUMPRODUCT(--WEEKDAY(C$3:AG$3,2)&gt;5,--((C26:AG26="DM"))+(C26:AG26="CS1")+((C26:AG26="CS2"))+(C26:AG26="SB1")+(C26:AG26="AE")+(C26:AG26="EM"))</f>
        <v>0</v>
      </c>
      <c r="AS26" s="38"/>
      <c r="AT26" s="38" t="n">
        <f aca="false">(AP26-AQ26)/2+(AR26-AS26)</f>
        <v>0.5</v>
      </c>
      <c r="AU26" s="38" t="n">
        <f aca="false">AH26+AI26+AJ26+AK26+AM26+AN26</f>
        <v>0</v>
      </c>
      <c r="AV26" s="38" t="n">
        <f aca="false">BF26+BG26+BI26+BD26+BB26+AZ26+BK26</f>
        <v>0</v>
      </c>
      <c r="AW26" s="38" t="e">
        <f aca="false">AT26+$AX$25</f>
        <v>#VALUE!</v>
      </c>
      <c r="AX26" s="37" t="e">
        <f aca="false"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9"/>
    </row>
    <row r="27" customFormat="false" ht="19.5" hidden="false" customHeight="true" outlineLevel="0" collapsed="false">
      <c r="A27" s="30"/>
      <c r="B27" s="48" t="s">
        <v>119</v>
      </c>
      <c r="C27" s="45" t="s">
        <v>93</v>
      </c>
      <c r="E27" s="42" t="s">
        <v>65</v>
      </c>
      <c r="G27" s="42" t="s">
        <v>65</v>
      </c>
      <c r="I27" s="42" t="s">
        <v>93</v>
      </c>
      <c r="K27" s="42" t="s">
        <v>65</v>
      </c>
      <c r="M27" s="32" t="s">
        <v>65</v>
      </c>
      <c r="N27" s="33"/>
      <c r="P27" s="32" t="s">
        <v>65</v>
      </c>
      <c r="R27" s="32" t="s">
        <v>65</v>
      </c>
      <c r="S27" s="32"/>
      <c r="U27" s="42" t="s">
        <v>65</v>
      </c>
      <c r="V27" s="42" t="s">
        <v>93</v>
      </c>
      <c r="W27" s="32" t="s">
        <v>65</v>
      </c>
      <c r="Y27" s="32" t="s">
        <v>120</v>
      </c>
      <c r="Z27" s="32"/>
      <c r="AC27" s="32" t="s">
        <v>93</v>
      </c>
      <c r="AD27" s="32" t="s">
        <v>93</v>
      </c>
      <c r="AE27" s="32" t="s">
        <v>65</v>
      </c>
      <c r="AF27" s="33"/>
      <c r="AG27" s="42"/>
      <c r="AH27" s="35"/>
      <c r="AI27" s="36"/>
      <c r="AJ27" s="35"/>
      <c r="AK27" s="37"/>
      <c r="AL27" s="37"/>
      <c r="AM27" s="37"/>
      <c r="AN27" s="37"/>
      <c r="AO27" s="38"/>
      <c r="AP27" s="37" t="n">
        <f aca="false">SUMPRODUCT(--WEEKDAY(C$3:AG$3,2)&lt;6,--((C27:AG27="DM"))+(C27:AG27="CS1")+((C27:AG27="CS2"))+(C27:AG27="SB1")+(C27:AG27="AE")+(C27:AG27="EM"))</f>
        <v>6</v>
      </c>
      <c r="AQ27" s="38"/>
      <c r="AR27" s="38" t="n">
        <f aca="false">SUMPRODUCT(--WEEKDAY(C$3:AG$3,2)&gt;5,--((C27:AG27="DM"))+(C27:AG27="CS1")+((C27:AG27="CS2"))+(C27:AG27="SB1")+(C27:AG27="AE")+(C27:AG27="EM"))</f>
        <v>3</v>
      </c>
      <c r="AS27" s="38"/>
      <c r="AT27" s="38" t="n">
        <f aca="false">(AP27-AQ27)/2+(AR27-AS27)</f>
        <v>6</v>
      </c>
      <c r="AU27" s="38" t="n">
        <f aca="false">AH27+AI27+AJ27+AK27+AM27+AN27</f>
        <v>0</v>
      </c>
      <c r="AV27" s="38" t="n">
        <f aca="false">BF27+BG27+BI27+BD27+BB27+AZ27+BK27</f>
        <v>0</v>
      </c>
      <c r="AW27" s="38" t="e">
        <f aca="false">AT27+$AX$25</f>
        <v>#VALUE!</v>
      </c>
      <c r="AX27" s="37" t="e">
        <f aca="false"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9"/>
    </row>
    <row r="28" customFormat="false" ht="19.5" hidden="false" customHeight="true" outlineLevel="0" collapsed="false">
      <c r="A28" s="30"/>
      <c r="B28" s="48" t="s">
        <v>121</v>
      </c>
      <c r="C28" s="32" t="s">
        <v>55</v>
      </c>
      <c r="D28" s="32" t="s">
        <v>55</v>
      </c>
      <c r="E28" s="32" t="s">
        <v>55</v>
      </c>
      <c r="F28" s="32" t="s">
        <v>97</v>
      </c>
      <c r="G28" s="32" t="s">
        <v>122</v>
      </c>
      <c r="H28" s="45"/>
      <c r="I28" s="42" t="s">
        <v>65</v>
      </c>
      <c r="J28" s="33"/>
      <c r="L28" s="45" t="s">
        <v>65</v>
      </c>
      <c r="N28" s="32" t="s">
        <v>123</v>
      </c>
      <c r="O28" s="33"/>
      <c r="P28" s="42" t="s">
        <v>93</v>
      </c>
      <c r="Q28" s="32" t="s">
        <v>114</v>
      </c>
      <c r="R28" s="45"/>
      <c r="S28" s="45"/>
      <c r="T28" s="42" t="s">
        <v>96</v>
      </c>
      <c r="U28" s="32" t="s">
        <v>124</v>
      </c>
      <c r="V28" s="32" t="s">
        <v>125</v>
      </c>
      <c r="W28" s="42" t="s">
        <v>93</v>
      </c>
      <c r="X28" s="32" t="s">
        <v>126</v>
      </c>
      <c r="Y28" s="32" t="s">
        <v>65</v>
      </c>
      <c r="AA28" s="32"/>
      <c r="AB28" s="32" t="s">
        <v>93</v>
      </c>
      <c r="AC28" s="32" t="s">
        <v>127</v>
      </c>
      <c r="AD28" s="32" t="s">
        <v>96</v>
      </c>
      <c r="AE28" s="32" t="s">
        <v>128</v>
      </c>
      <c r="AF28" s="34"/>
      <c r="AG28" s="33"/>
      <c r="AH28" s="35"/>
      <c r="AI28" s="36"/>
      <c r="AJ28" s="35"/>
      <c r="AK28" s="37"/>
      <c r="AL28" s="37"/>
      <c r="AM28" s="37"/>
      <c r="AN28" s="37"/>
      <c r="AO28" s="38"/>
      <c r="AP28" s="37" t="n">
        <f aca="false">SUMPRODUCT(--WEEKDAY(C$3:AG$3,2)&lt;6,--((C28:AG28="DM"))+(C28:AG28="CS1")+((C28:AG28="CS2"))+(C28:AG28="SB1")+(C28:AG28="AE")+(C28:AG28="EM"))</f>
        <v>1</v>
      </c>
      <c r="AQ28" s="38"/>
      <c r="AR28" s="38" t="n">
        <f aca="false">SUMPRODUCT(--WEEKDAY(C$3:AG$3,2)&gt;5,--((C28:AG28="DM"))+(C28:AG28="CS1")+((C28:AG28="CS2"))+(C28:AG28="SB1")+(C28:AG28="AE")+(C28:AG28="EM"))</f>
        <v>2</v>
      </c>
      <c r="AS28" s="38"/>
      <c r="AT28" s="38" t="n">
        <f aca="false">(AP28-AQ28)/2+(AR28-AS28)</f>
        <v>2.5</v>
      </c>
      <c r="AU28" s="38" t="n">
        <f aca="false">AH28+AI28+AJ28+AK28+AM28+AN28</f>
        <v>0</v>
      </c>
      <c r="AV28" s="38" t="n">
        <f aca="false">BF28+BG28+BI28+BD28+BB28+AZ28+BK28</f>
        <v>0</v>
      </c>
      <c r="AW28" s="38" t="e">
        <f aca="false">AT28+$AX$25</f>
        <v>#VALUE!</v>
      </c>
      <c r="AX28" s="37" t="e">
        <f aca="false"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9"/>
    </row>
    <row r="29" customFormat="false" ht="19.5" hidden="false" customHeight="true" outlineLevel="0" collapsed="false">
      <c r="A29" s="30"/>
      <c r="B29" s="48" t="s">
        <v>129</v>
      </c>
      <c r="C29" s="42"/>
      <c r="D29" s="42"/>
      <c r="E29" s="42"/>
      <c r="F29" s="42" t="s">
        <v>130</v>
      </c>
      <c r="G29" s="42" t="s">
        <v>130</v>
      </c>
      <c r="H29" s="42" t="s">
        <v>130</v>
      </c>
      <c r="I29" s="42" t="s">
        <v>130</v>
      </c>
      <c r="J29" s="42" t="s">
        <v>130</v>
      </c>
      <c r="K29" s="42"/>
      <c r="L29" s="42"/>
      <c r="M29" s="42" t="s">
        <v>130</v>
      </c>
      <c r="N29" s="32" t="s">
        <v>131</v>
      </c>
      <c r="O29" s="42" t="s">
        <v>93</v>
      </c>
      <c r="P29" s="32" t="s">
        <v>132</v>
      </c>
      <c r="Q29" s="32" t="s">
        <v>133</v>
      </c>
      <c r="R29" s="32"/>
      <c r="S29" s="32"/>
      <c r="T29" s="42" t="s">
        <v>55</v>
      </c>
      <c r="U29" s="42" t="s">
        <v>130</v>
      </c>
      <c r="V29" s="42" t="s">
        <v>130</v>
      </c>
      <c r="W29" s="32" t="s">
        <v>96</v>
      </c>
      <c r="X29" s="42" t="s">
        <v>130</v>
      </c>
      <c r="Y29" s="32"/>
      <c r="Z29" s="32"/>
      <c r="AA29" s="32" t="s">
        <v>93</v>
      </c>
      <c r="AB29" s="42"/>
      <c r="AC29" s="42" t="s">
        <v>130</v>
      </c>
      <c r="AD29" s="42"/>
      <c r="AE29" s="32" t="s">
        <v>106</v>
      </c>
      <c r="AG29" s="42" t="s">
        <v>65</v>
      </c>
      <c r="AH29" s="35"/>
      <c r="AI29" s="36"/>
      <c r="AJ29" s="35"/>
      <c r="AK29" s="37"/>
      <c r="AL29" s="37"/>
      <c r="AM29" s="37"/>
      <c r="AN29" s="37"/>
      <c r="AO29" s="38"/>
      <c r="AP29" s="37" t="n">
        <f aca="false">SUMPRODUCT(--WEEKDAY(C$3:AG$3,2)&lt;6,--((C29:AG29="DM"))+(C29:AG29="CS1")+((C29:AG29="CS2"))+(C29:AG29="SB1")+(C29:AG29="AE")+(C29:AG29="EM"))</f>
        <v>0</v>
      </c>
      <c r="AQ29" s="38"/>
      <c r="AR29" s="38" t="n">
        <f aca="false">SUMPRODUCT(--WEEKDAY(C$3:AG$3,2)&gt;5,--((C29:AG29="DM"))+(C29:AG29="CS1")+((C29:AG29="CS2"))+(C29:AG29="SB1")+(C29:AG29="AE")+(C29:AG29="EM"))</f>
        <v>1</v>
      </c>
      <c r="AS29" s="38"/>
      <c r="AT29" s="38" t="n">
        <f aca="false">(AP29-AQ29)/2+(AR29-AS29)</f>
        <v>1</v>
      </c>
      <c r="AU29" s="38" t="n">
        <f aca="false">AH29+AI29+AJ29+AK29+AM29+AN29</f>
        <v>0</v>
      </c>
      <c r="AV29" s="38" t="n">
        <f aca="false">BF29+BG29+BI29+BD29+BB29+AZ29+BK29</f>
        <v>0</v>
      </c>
      <c r="AW29" s="38" t="e">
        <f aca="false">AT29+$AX$25</f>
        <v>#VALUE!</v>
      </c>
      <c r="AX29" s="37" t="e">
        <f aca="false"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9"/>
    </row>
    <row r="30" customFormat="false" ht="19.5" hidden="false" customHeight="true" outlineLevel="0" collapsed="false">
      <c r="A30" s="30"/>
      <c r="B30" s="48" t="s">
        <v>134</v>
      </c>
      <c r="C30" s="45" t="s">
        <v>96</v>
      </c>
      <c r="D30" s="32"/>
      <c r="F30" s="34" t="s">
        <v>96</v>
      </c>
      <c r="G30" s="45"/>
      <c r="H30" s="42" t="s">
        <v>93</v>
      </c>
      <c r="I30" s="32" t="s">
        <v>135</v>
      </c>
      <c r="J30" s="42" t="s">
        <v>65</v>
      </c>
      <c r="K30" s="45"/>
      <c r="L30" s="32"/>
      <c r="M30" s="42" t="s">
        <v>93</v>
      </c>
      <c r="O30" s="32" t="s">
        <v>136</v>
      </c>
      <c r="Q30" s="32" t="s">
        <v>137</v>
      </c>
      <c r="R30" s="32" t="s">
        <v>120</v>
      </c>
      <c r="S30" s="32" t="s">
        <v>65</v>
      </c>
      <c r="T30" s="32" t="s">
        <v>138</v>
      </c>
      <c r="V30" s="32" t="s">
        <v>139</v>
      </c>
      <c r="W30" s="32" t="s">
        <v>140</v>
      </c>
      <c r="Y30" s="33"/>
      <c r="Z30" s="58" t="s">
        <v>65</v>
      </c>
      <c r="AA30" s="32"/>
      <c r="AB30" s="32" t="s">
        <v>71</v>
      </c>
      <c r="AC30" s="32" t="s">
        <v>71</v>
      </c>
      <c r="AD30" s="32" t="s">
        <v>141</v>
      </c>
      <c r="AE30" s="32" t="s">
        <v>96</v>
      </c>
      <c r="AF30" s="32"/>
      <c r="AG30" s="42"/>
      <c r="AH30" s="35"/>
      <c r="AI30" s="36"/>
      <c r="AJ30" s="35"/>
      <c r="AK30" s="37"/>
      <c r="AL30" s="37"/>
      <c r="AM30" s="37"/>
      <c r="AN30" s="37"/>
      <c r="AO30" s="38"/>
      <c r="AP30" s="37" t="n">
        <f aca="false">SUMPRODUCT(--WEEKDAY(C$3:AG$3,2)&lt;6,--((C30:AG30="DM"))+(C30:AG30="CS1")+((C30:AG30="CS2"))+(C30:AG30="SB1")+(C30:AG30="AE")+(C30:AG30="EM"))</f>
        <v>1</v>
      </c>
      <c r="AQ30" s="38"/>
      <c r="AR30" s="38" t="n">
        <f aca="false">SUMPRODUCT(--WEEKDAY(C$3:AG$3,2)&gt;5,--((C30:AG30="DM"))+(C30:AG30="CS1")+((C30:AG30="CS2"))+(C30:AG30="SB1")+(C30:AG30="AE")+(C30:AG30="EM"))</f>
        <v>2</v>
      </c>
      <c r="AS30" s="38"/>
      <c r="AT30" s="38" t="n">
        <f aca="false">(AP30-AQ30)/2+(AR30-AS30)</f>
        <v>2.5</v>
      </c>
      <c r="AU30" s="38" t="n">
        <f aca="false">AH30+AI30+AJ30+AK30+AM30+AN30</f>
        <v>0</v>
      </c>
      <c r="AV30" s="38" t="n">
        <f aca="false">BF30+BG30+BI30+BD30+BB30+AZ30+BK30</f>
        <v>0</v>
      </c>
      <c r="AW30" s="38" t="e">
        <f aca="false">AT30+$AX$25</f>
        <v>#VALUE!</v>
      </c>
      <c r="AX30" s="37" t="e">
        <f aca="false"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9"/>
    </row>
    <row r="31" customFormat="false" ht="43.5" hidden="false" customHeight="true" outlineLevel="0" collapsed="false">
      <c r="A31" s="30"/>
      <c r="B31" s="48" t="s">
        <v>142</v>
      </c>
      <c r="C31" s="32" t="s">
        <v>102</v>
      </c>
      <c r="D31" s="42" t="s">
        <v>65</v>
      </c>
      <c r="F31" s="45" t="s">
        <v>93</v>
      </c>
      <c r="H31" s="32" t="s">
        <v>104</v>
      </c>
      <c r="I31" s="32"/>
      <c r="J31" s="32" t="s">
        <v>133</v>
      </c>
      <c r="K31" s="33"/>
      <c r="L31" s="34"/>
      <c r="M31" s="32" t="s">
        <v>143</v>
      </c>
      <c r="N31" s="42" t="s">
        <v>65</v>
      </c>
      <c r="O31" s="42"/>
      <c r="P31" s="32" t="s">
        <v>144</v>
      </c>
      <c r="Q31" s="42" t="s">
        <v>65</v>
      </c>
      <c r="R31" s="42"/>
      <c r="S31" s="34"/>
      <c r="T31" s="42" t="s">
        <v>65</v>
      </c>
      <c r="U31" s="42" t="s">
        <v>93</v>
      </c>
      <c r="V31" s="32" t="s">
        <v>145</v>
      </c>
      <c r="X31" s="42" t="s">
        <v>65</v>
      </c>
      <c r="Y31" s="32"/>
      <c r="Z31" s="42"/>
      <c r="AA31" s="45"/>
      <c r="AB31" s="32" t="s">
        <v>146</v>
      </c>
      <c r="AC31" s="32" t="s">
        <v>147</v>
      </c>
      <c r="AD31" s="42"/>
      <c r="AE31" s="42" t="s">
        <v>93</v>
      </c>
      <c r="AF31" s="42" t="s">
        <v>65</v>
      </c>
      <c r="AH31" s="35"/>
      <c r="AI31" s="36"/>
      <c r="AJ31" s="35"/>
      <c r="AK31" s="37"/>
      <c r="AL31" s="37"/>
      <c r="AM31" s="37"/>
      <c r="AN31" s="37"/>
      <c r="AO31" s="38"/>
      <c r="AP31" s="37" t="n">
        <f aca="false">SUMPRODUCT(--WEEKDAY(C$3:AG$3,2)&lt;6,--((C31:AG31="DM"))+(C31:AG31="CS1")+((C31:AG31="CS2"))+(C31:AG31="SB1")+(C31:AG31="AE")+(C31:AG31="EM"))</f>
        <v>4</v>
      </c>
      <c r="AQ31" s="38"/>
      <c r="AR31" s="38" t="n">
        <f aca="false">SUMPRODUCT(--WEEKDAY(C$3:AG$3,2)&gt;5,--((C31:AG31="DM"))+(C31:AG31="CS1")+((C31:AG31="CS2"))+(C31:AG31="SB1")+(C31:AG31="AE")+(C31:AG31="EM"))</f>
        <v>2</v>
      </c>
      <c r="AS31" s="38"/>
      <c r="AT31" s="38" t="n">
        <f aca="false">(AP31-AQ31)/2+(AR31-AS31)</f>
        <v>4</v>
      </c>
      <c r="AU31" s="38" t="n">
        <f aca="false">AH31+AI31+AJ31+AK31+AM31+AN31</f>
        <v>0</v>
      </c>
      <c r="AV31" s="38" t="n">
        <f aca="false">BF31+BG31+BI31+BD31+BB31+AZ31+BK31</f>
        <v>0</v>
      </c>
      <c r="AW31" s="38" t="e">
        <f aca="false">AT31+$AX$25</f>
        <v>#VALUE!</v>
      </c>
      <c r="AX31" s="37" t="e">
        <f aca="false"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9"/>
    </row>
    <row r="32" customFormat="false" ht="19.5" hidden="false" customHeight="true" outlineLevel="0" collapsed="false">
      <c r="A32" s="30"/>
      <c r="B32" s="59"/>
      <c r="C32" s="60"/>
      <c r="D32" s="61"/>
      <c r="E32" s="62"/>
      <c r="F32" s="61"/>
      <c r="G32" s="61"/>
      <c r="H32" s="62"/>
      <c r="I32" s="62"/>
      <c r="K32" s="61"/>
      <c r="L32" s="61"/>
      <c r="M32" s="62"/>
      <c r="O32" s="42"/>
      <c r="P32" s="42"/>
      <c r="Q32" s="33"/>
      <c r="S32" s="42"/>
      <c r="T32" s="42"/>
      <c r="U32" s="42"/>
      <c r="V32" s="42"/>
      <c r="X32" s="63"/>
      <c r="Y32" s="45"/>
      <c r="AF32" s="42"/>
      <c r="AG32" s="42"/>
      <c r="AH32" s="35"/>
      <c r="AI32" s="36"/>
      <c r="AJ32" s="35"/>
      <c r="AK32" s="37"/>
      <c r="AL32" s="37"/>
      <c r="AM32" s="37"/>
      <c r="AN32" s="37"/>
      <c r="AO32" s="38"/>
      <c r="AP32" s="37" t="n">
        <f aca="false">SUMPRODUCT(--WEEKDAY(C$3:AG$3,2)&lt;6,--((C32:AG32="DM"))+(C32:AG32="CS1")+((C32:AG32="CS2"))+(C32:AG32="SB1")+(C32:AG32="AE")+(C32:AG32="EM"))</f>
        <v>0</v>
      </c>
      <c r="AQ32" s="38"/>
      <c r="AR32" s="38" t="n">
        <f aca="false">SUMPRODUCT(--WEEKDAY(C$3:AG$3,2)&gt;5,--((C32:AG32="DM"))+(C32:AG32="CS1")+((C32:AG32="CS2"))+(C32:AG32="SB1")+(C32:AG32="AE")+(C32:AG32="EM"))</f>
        <v>0</v>
      </c>
      <c r="AS32" s="38"/>
      <c r="AT32" s="38" t="n">
        <f aca="false">(AP32-AQ32)/2+(AR32-AS32)</f>
        <v>0</v>
      </c>
      <c r="AU32" s="38" t="n">
        <f aca="false">AH32+AI32+AJ32+AK32+AM32+AN32</f>
        <v>0</v>
      </c>
      <c r="AV32" s="38" t="n">
        <f aca="false">BF32+BG32+BI32+BD32+BB32+AZ32+BK32</f>
        <v>0</v>
      </c>
      <c r="AW32" s="38" t="e">
        <f aca="false">AT32+AX32</f>
        <v>#VALUE!</v>
      </c>
      <c r="AX32" s="37" t="e">
        <f aca="false">(BI32*('Setting key Duty'!$I$8+'Setting key Duty'!$I$12))+(BG32*'Setting key Duty'!$I$9)+(BB32*('Setting key Duty'!$I$13+'Setting key Duty'!$I$9))+(AZ32*('Setting key Duty'!$I$13+'Setting key Duty'!$I$12+'Setting key Duty'!$I$11))+(BD32*('Setting key Duty'!$I$8+'Setting key Duty'!$I$9+'Setting key Duty'!$I$12))</f>
        <v>#VALUE!</v>
      </c>
      <c r="AY32" s="37" t="n">
        <f aca="false">COUNTIF(C32:Y32,"*BRT*")</f>
        <v>0</v>
      </c>
      <c r="AZ32" s="37" t="n">
        <f aca="false">COUNTIF(A32:AH32,"*$BTP*")</f>
        <v>0</v>
      </c>
      <c r="BA32" s="37" t="e">
        <f aca="false">AZ32*('Setting key Duty'!$I$13+'Setting key Duty'!$I$12+'Setting key Duty'!$I$11)</f>
        <v>#VALUE!</v>
      </c>
      <c r="BB32" s="37" t="n">
        <f aca="false">COUNTIF(D32:AH32,"*$L*")</f>
        <v>0</v>
      </c>
      <c r="BC32" s="37" t="e">
        <f aca="false">BB32*('Setting key Duty'!$I$13+'Setting key Duty'!$I$9)</f>
        <v>#VALUE!</v>
      </c>
      <c r="BD32" s="37" t="n">
        <f aca="false">COUNTIF(D32:AH32,"*$M*")</f>
        <v>0</v>
      </c>
      <c r="BE32" s="37" t="n">
        <f aca="false">BD32*('Setting key Duty'!$I$8+'Setting key Duty'!$I$9+'Setting key Duty'!$I$12)</f>
        <v>0</v>
      </c>
      <c r="BF32" s="37" t="n">
        <f aca="false">COUNTIF(D32:AH32,"*$N*")</f>
        <v>0</v>
      </c>
      <c r="BG32" s="37" t="n">
        <f aca="false">COUNTIF(D32:AH32,"*$PM*")</f>
        <v>0</v>
      </c>
      <c r="BH32" s="37" t="n">
        <f aca="false">BG32*('Setting key Duty'!$I$9)</f>
        <v>0</v>
      </c>
      <c r="BI32" s="37" t="n">
        <f aca="false">COUNTIF(D32:AH32,"*$AM*")</f>
        <v>0</v>
      </c>
      <c r="BJ32" s="37" t="n">
        <f aca="false">BI32*('Setting key Duty'!$I$12+'Setting key Duty'!$I$8)</f>
        <v>0</v>
      </c>
      <c r="BK32" s="37" t="n">
        <f aca="false">COUNTIF(C32:AH32,"*$FC*")</f>
        <v>0</v>
      </c>
      <c r="BL32" s="37" t="n">
        <f aca="false">BK32*('Setting key Duty'!$J$11+'Setting key Duty'!$I$8)</f>
        <v>0</v>
      </c>
      <c r="BM32" s="37" t="n">
        <f aca="false">COUNTIF($C32:$AG32,BM$4)</f>
        <v>0</v>
      </c>
      <c r="BN32" s="37" t="n">
        <f aca="false">COUNTIF($C32:$AG32,BN$4)</f>
        <v>0</v>
      </c>
      <c r="BO32" s="37" t="n">
        <f aca="false">COUNTIF($D32:$AE32,BO$4)</f>
        <v>0</v>
      </c>
      <c r="BP32" s="39"/>
    </row>
    <row r="33" customFormat="false" ht="19.5" hidden="false" customHeight="true" outlineLevel="0" collapsed="false">
      <c r="A33" s="30"/>
      <c r="B33" s="64" t="s">
        <v>148</v>
      </c>
      <c r="C33" s="65"/>
      <c r="D33" s="42"/>
      <c r="E33" s="42"/>
      <c r="F33" s="42"/>
      <c r="G33" s="42"/>
      <c r="H33" s="42"/>
      <c r="I33" s="42"/>
      <c r="J33" s="42"/>
      <c r="K33" s="42"/>
      <c r="L33" s="42"/>
      <c r="N33" s="42"/>
      <c r="O33" s="42"/>
      <c r="P33" s="42"/>
      <c r="Q33" s="33"/>
      <c r="R33" s="33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35" t="n">
        <f aca="false">COUNTIF($C33:$AG33,AH$4)</f>
        <v>0</v>
      </c>
      <c r="AI33" s="36" t="n">
        <f aca="false">COUNTIF($C33:$AG33,AI$4)</f>
        <v>0</v>
      </c>
      <c r="AJ33" s="35" t="n">
        <f aca="false">COUNTIF($C33:$AG33,AJ$4)</f>
        <v>0</v>
      </c>
      <c r="AK33" s="66" t="n">
        <f aca="false">COUNTIF($C33:$AG33,AK$4)</f>
        <v>0</v>
      </c>
      <c r="AL33" s="66" t="n">
        <f aca="false">COUNTIF($C33:$AG33,AL$4)</f>
        <v>0</v>
      </c>
      <c r="AM33" s="66" t="n">
        <f aca="false">COUNTIF($C33:$AG33,AM$4)</f>
        <v>0</v>
      </c>
      <c r="AN33" s="66" t="n">
        <f aca="false">COUNTIF($C33:$AG33,AN$4)</f>
        <v>0</v>
      </c>
      <c r="AO33" s="67"/>
      <c r="AP33" s="37" t="n">
        <f aca="false">SUMPRODUCT(--WEEKDAY(C$3:AG$3,2)&lt;6,--((C33:AG33="DM"))+(C33:AG33="CS1")+((C33:AG33="CS2"))+(C33:AG33="SB1")+(C33:AG33="AE")+(C33:AG33="EM"))</f>
        <v>0</v>
      </c>
      <c r="AQ33" s="67"/>
      <c r="AR33" s="38" t="n">
        <f aca="false">SUMPRODUCT(--WEEKDAY(C$3:AG$3,2)&gt;5,--((C33:AG33="DM"))+(C33:AG33="CS1")+((C33:AG33="CS2"))+(C33:AG33="SB1")+(C33:AG33="AE")+(C33:AG33="EM"))</f>
        <v>0</v>
      </c>
      <c r="AS33" s="67"/>
      <c r="AT33" s="67" t="n">
        <f aca="false">(AP33-AQ33)/2+(AR33-AS33)</f>
        <v>0</v>
      </c>
      <c r="AU33" s="38" t="n">
        <f aca="false">AH33+AI33+AJ33+AK33+AM33+AN33</f>
        <v>0</v>
      </c>
      <c r="AV33" s="38" t="n">
        <f aca="false">BF33+BG33+BI33+BD33+BB33+AZ33+BK33</f>
        <v>0</v>
      </c>
      <c r="AW33" s="38" t="e">
        <f aca="false">AT33+AX33</f>
        <v>#VALUE!</v>
      </c>
      <c r="AX33" s="37" t="e">
        <f aca="false"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37" t="n">
        <f aca="false">COUNTIF(C33:AG33,"*BRT*")</f>
        <v>0</v>
      </c>
      <c r="AZ33" s="37" t="n">
        <f aca="false">COUNTIF(D33:AH33,"*$BTP*")</f>
        <v>0</v>
      </c>
      <c r="BA33" s="37" t="e">
        <f aca="false">AZ33*('Setting key Duty'!$I$13+'Setting key Duty'!$I$12+'Setting key Duty'!$I$11)</f>
        <v>#VALUE!</v>
      </c>
      <c r="BB33" s="37" t="n">
        <f aca="false">COUNTIF(D33:AH33,"*$L*")</f>
        <v>0</v>
      </c>
      <c r="BC33" s="37" t="e">
        <f aca="false">BB33*('Setting key Duty'!$I$13+'Setting key Duty'!$I$9)</f>
        <v>#VALUE!</v>
      </c>
      <c r="BD33" s="37" t="n">
        <f aca="false">COUNTIF(D33:AH33,"*$M*")</f>
        <v>0</v>
      </c>
      <c r="BE33" s="37" t="n">
        <f aca="false">BD33*('Setting key Duty'!$I$8+'Setting key Duty'!$I$9+'Setting key Duty'!$I$12)</f>
        <v>0</v>
      </c>
      <c r="BF33" s="37" t="n">
        <f aca="false">COUNTIF(D33:AH33,"*$N*")</f>
        <v>0</v>
      </c>
      <c r="BG33" s="37" t="n">
        <f aca="false">COUNTIF(D33:AH33,"*$PM*")</f>
        <v>0</v>
      </c>
      <c r="BH33" s="37" t="n">
        <f aca="false">BG33*('Setting key Duty'!$I$9)</f>
        <v>0</v>
      </c>
      <c r="BI33" s="37" t="n">
        <f aca="false">COUNTIF(D33:AH33,"*$AM*")</f>
        <v>0</v>
      </c>
      <c r="BJ33" s="37" t="n">
        <f aca="false">BI33*('Setting key Duty'!$I$12+'Setting key Duty'!$I$8)</f>
        <v>0</v>
      </c>
      <c r="BK33" s="37" t="n">
        <f aca="false">COUNTIF(C33:AH33,"*$FC*")</f>
        <v>0</v>
      </c>
      <c r="BL33" s="37" t="n">
        <f aca="false">BK33*('Setting key Duty'!$J$11+'Setting key Duty'!$I$8)</f>
        <v>0</v>
      </c>
      <c r="BM33" s="66" t="n">
        <f aca="false">COUNTIF($C33:$AG33,BM$4)</f>
        <v>0</v>
      </c>
      <c r="BN33" s="66" t="n">
        <f aca="false">COUNTIF($C33:$AG33,BN$4)</f>
        <v>0</v>
      </c>
      <c r="BO33" s="66" t="n">
        <f aca="false">COUNTIF($C33:$AG33,BO$4)</f>
        <v>0</v>
      </c>
      <c r="BP33" s="68"/>
    </row>
    <row r="34" customFormat="false" ht="19.5" hidden="false" customHeight="true" outlineLevel="0" collapsed="false">
      <c r="A34" s="30"/>
      <c r="B34" s="69"/>
      <c r="C34" s="70"/>
      <c r="D34" s="71"/>
      <c r="E34" s="71"/>
      <c r="F34" s="71"/>
      <c r="G34" s="71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2"/>
      <c r="AI34" s="73"/>
      <c r="AJ34" s="72"/>
      <c r="AK34" s="74"/>
      <c r="AL34" s="74"/>
      <c r="AM34" s="74"/>
      <c r="AN34" s="74"/>
      <c r="AO34" s="75"/>
      <c r="AP34" s="75"/>
      <c r="AQ34" s="75"/>
      <c r="AR34" s="75" t="n">
        <f aca="false">SUMPRODUCT(--WEEKDAY(C$3:AG$3,2)&gt;5,--((C34:AG34="DM"))+(C34:AG34="CS1")+((C34:AG34="CS2"))+(C34:AG34="SB1")+(C34:AG34="AE")+(C34:AG34="EM"))</f>
        <v>0</v>
      </c>
      <c r="AS34" s="75"/>
      <c r="AT34" s="75" t="n">
        <f aca="false">(AP34-AQ34)/2+(AR34-AS34)</f>
        <v>0</v>
      </c>
      <c r="AU34" s="75"/>
      <c r="AV34" s="75"/>
      <c r="AW34" s="75"/>
      <c r="AX34" s="74"/>
      <c r="AY34" s="74"/>
      <c r="AZ34" s="74"/>
      <c r="BA34" s="74"/>
      <c r="BB34" s="74"/>
      <c r="BC34" s="74"/>
      <c r="BD34" s="74"/>
      <c r="BE34" s="74"/>
      <c r="BF34" s="74"/>
      <c r="BG34" s="74"/>
      <c r="BH34" s="74"/>
      <c r="BI34" s="74"/>
      <c r="BJ34" s="74"/>
      <c r="BK34" s="74"/>
      <c r="BL34" s="74"/>
      <c r="BM34" s="74"/>
      <c r="BN34" s="74"/>
      <c r="BO34" s="74"/>
      <c r="BP34" s="76"/>
    </row>
    <row r="35" customFormat="false" ht="19.5" hidden="false" customHeight="true" outlineLevel="0" collapsed="false">
      <c r="A35" s="30"/>
      <c r="B35" s="77" t="s">
        <v>57</v>
      </c>
      <c r="C35" s="78" t="str">
        <f aca="false">VLOOKUP("DM",C4:C33,1,FALSE())</f>
        <v>DM</v>
      </c>
      <c r="D35" s="78" t="str">
        <f aca="false">VLOOKUP("DM",D4:D33,1,FALSE())</f>
        <v>DM</v>
      </c>
      <c r="E35" s="78" t="str">
        <f aca="false">VLOOKUP("DM",E4:E33,1,FALSE())</f>
        <v>DM</v>
      </c>
      <c r="F35" s="78" t="str">
        <f aca="false">VLOOKUP("DM",F4:F33,1,FALSE())</f>
        <v>DM</v>
      </c>
      <c r="G35" s="78" t="str">
        <f aca="false">VLOOKUP("DM",G4:G33,1,FALSE())</f>
        <v>DM</v>
      </c>
      <c r="H35" s="78" t="str">
        <f aca="false">VLOOKUP("DM",H4:H33,1,FALSE())</f>
        <v>DM</v>
      </c>
      <c r="I35" s="78" t="str">
        <f aca="false">VLOOKUP("DM",I4:I33,1,FALSE())</f>
        <v>DM</v>
      </c>
      <c r="J35" s="78" t="str">
        <f aca="false">VLOOKUP("DM",J4:J33,1,FALSE())</f>
        <v>DM</v>
      </c>
      <c r="K35" s="78" t="str">
        <f aca="false">VLOOKUP("DM",K4:K33,1,FALSE())</f>
        <v>DM</v>
      </c>
      <c r="L35" s="78" t="str">
        <f aca="false">VLOOKUP("DM",L4:L33,1,FALSE())</f>
        <v>DM</v>
      </c>
      <c r="M35" s="78" t="str">
        <f aca="false">VLOOKUP("DM",M4:M32,1,FALSE())</f>
        <v>DM</v>
      </c>
      <c r="N35" s="78" t="str">
        <f aca="false">VLOOKUP("DM",N4:N33,1,FALSE())</f>
        <v>DM</v>
      </c>
      <c r="O35" s="78" t="str">
        <f aca="false">VLOOKUP("DM",O4:O33,1,FALSE())</f>
        <v>DM</v>
      </c>
      <c r="P35" s="78" t="str">
        <f aca="false">VLOOKUP("DM",P4:P33,1,FALSE())</f>
        <v>DM</v>
      </c>
      <c r="Q35" s="78" t="str">
        <f aca="false">VLOOKUP("DM",Q4:Q32,1,FALSE())</f>
        <v>DM</v>
      </c>
      <c r="R35" s="78" t="str">
        <f aca="false">VLOOKUP("DM",R4:R31,1,FALSE())</f>
        <v>DM</v>
      </c>
      <c r="S35" s="78" t="str">
        <f aca="false">VLOOKUP("DM",S4:S33,1,FALSE())</f>
        <v>DM</v>
      </c>
      <c r="T35" s="78" t="str">
        <f aca="false">VLOOKUP("DM",T4:T33,1,FALSE())</f>
        <v>DM</v>
      </c>
      <c r="U35" s="78" t="str">
        <f aca="false">VLOOKUP("DM",U4:U33,1,FALSE())</f>
        <v>DM</v>
      </c>
      <c r="V35" s="78" t="str">
        <f aca="false">VLOOKUP("DM",V4:V30,1,FALSE())</f>
        <v>DM</v>
      </c>
      <c r="W35" s="78" t="str">
        <f aca="false">VLOOKUP("DM",W4:W30,1,FALSE())</f>
        <v>DM</v>
      </c>
      <c r="X35" s="78" t="str">
        <f aca="false">VLOOKUP("DM",X4:X33,1,FALSE())</f>
        <v>DM</v>
      </c>
      <c r="Y35" s="78" t="str">
        <f aca="false">VLOOKUP("DM",Y4:Y33,1,FALSE())</f>
        <v>DM</v>
      </c>
      <c r="Z35" s="78" t="str">
        <f aca="false">VLOOKUP("DM",Z4:Z33,1,FALSE())</f>
        <v>DM</v>
      </c>
      <c r="AA35" s="78" t="str">
        <f aca="false">VLOOKUP("DM",AA5:AA33,1,FALSE())</f>
        <v>DM</v>
      </c>
      <c r="AB35" s="78" t="str">
        <f aca="false">VLOOKUP("DM",AB4:AB33,1,FALSE())</f>
        <v>DM</v>
      </c>
      <c r="AC35" s="78" t="str">
        <f aca="false">VLOOKUP("DM",AC4:AC33,1,FALSE())</f>
        <v>DM</v>
      </c>
      <c r="AD35" s="78" t="str">
        <f aca="false">VLOOKUP("DM",AD4:AD33,1,FALSE())</f>
        <v>DM</v>
      </c>
      <c r="AE35" s="78" t="str">
        <f aca="false">VLOOKUP("DM",AE4:AE33,1,FALSE())</f>
        <v>DM</v>
      </c>
      <c r="AF35" s="78" t="str">
        <f aca="false">VLOOKUP("DM",AF4:AF33,1,FALSE())</f>
        <v>DM</v>
      </c>
      <c r="AG35" s="78" t="str">
        <f aca="false">VLOOKUP("DM",AG4:AG33,1,FALSE())</f>
        <v>DM</v>
      </c>
      <c r="AH35" s="35"/>
      <c r="AI35" s="36"/>
      <c r="AJ35" s="35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9"/>
    </row>
    <row r="36" customFormat="false" ht="19.5" hidden="false" customHeight="true" outlineLevel="0" collapsed="false">
      <c r="A36" s="30" t="e">
        <f aca="false">lte()</f>
        <v>#NAME?</v>
      </c>
      <c r="B36" s="79" t="s">
        <v>56</v>
      </c>
      <c r="C36" s="78" t="str">
        <f aca="false">VLOOKUP("CS1",C5:C33,1,FALSE())</f>
        <v>CS1</v>
      </c>
      <c r="D36" s="78" t="str">
        <f aca="false">VLOOKUP("CS1",D7:D33,1,FALSE())</f>
        <v>CS1</v>
      </c>
      <c r="E36" s="78" t="str">
        <f aca="false">VLOOKUP("CS1",E6:E33,1,FALSE())</f>
        <v>CS1</v>
      </c>
      <c r="F36" s="78" t="str">
        <f aca="false">VLOOKUP("CS1",F6:F33,1,FALSE())</f>
        <v>CS1</v>
      </c>
      <c r="G36" s="78" t="str">
        <f aca="false">VLOOKUP("CS1",G6:G33,1,FALSE())</f>
        <v>CS1</v>
      </c>
      <c r="H36" s="78" t="str">
        <f aca="false">VLOOKUP("CS1",H5:H33,1,FALSE())</f>
        <v>CS1</v>
      </c>
      <c r="I36" s="78" t="str">
        <f aca="false">VLOOKUP("CS1",I6:I33,1,FALSE())</f>
        <v>CS1</v>
      </c>
      <c r="J36" s="78" t="str">
        <f aca="false">VLOOKUP("CS1",J4:J33,1,FALSE())</f>
        <v>CS1</v>
      </c>
      <c r="K36" s="78" t="str">
        <f aca="false">VLOOKUP("CS1",K6:K33,1,FALSE())</f>
        <v>CS1</v>
      </c>
      <c r="L36" s="78" t="str">
        <f aca="false">VLOOKUP("CS1",L10:L33,1,FALSE())</f>
        <v>CS1</v>
      </c>
      <c r="M36" s="78" t="str">
        <f aca="false">VLOOKUP("CS1",M5:M32,1,FALSE())</f>
        <v>CS1</v>
      </c>
      <c r="N36" s="78" t="str">
        <f aca="false">VLOOKUP("CS1",N5:N33,1,FALSE())</f>
        <v>CS1</v>
      </c>
      <c r="O36" s="78" t="str">
        <f aca="false">VLOOKUP("CS1",O5:O33,1,FALSE())</f>
        <v>CS1</v>
      </c>
      <c r="P36" s="78" t="str">
        <f aca="false">VLOOKUP("CS1",P12:P33,1,FALSE())</f>
        <v>CS1</v>
      </c>
      <c r="Q36" s="78" t="str">
        <f aca="false">VLOOKUP("CS1",Q7:Q32,1,FALSE())</f>
        <v>CS1</v>
      </c>
      <c r="R36" s="78" t="str">
        <f aca="false">VLOOKUP("CS1",R6:R31,1,FALSE())</f>
        <v>CS1</v>
      </c>
      <c r="S36" s="78" t="str">
        <f aca="false">VLOOKUP("CS1",S5:S33,1,FALSE())</f>
        <v>CS1</v>
      </c>
      <c r="T36" s="78" t="str">
        <f aca="false">VLOOKUP("CS1",T6:T33,1,FALSE())</f>
        <v>CS1</v>
      </c>
      <c r="U36" s="78" t="str">
        <f aca="false">VLOOKUP("CS1",U7:U33,1,FALSE())</f>
        <v>CS1</v>
      </c>
      <c r="V36" s="78" t="str">
        <f aca="false">VLOOKUP("CS1",V7:V30,1,FALSE())</f>
        <v>CS1</v>
      </c>
      <c r="W36" s="78" t="str">
        <f aca="false">VLOOKUP("CS1",W1:W30,1,FALSE())</f>
        <v>CS1</v>
      </c>
      <c r="X36" s="78" t="str">
        <f aca="false">VLOOKUP("CS1",X1:X33,1,FALSE())</f>
        <v>CS1</v>
      </c>
      <c r="Y36" s="78" t="str">
        <f aca="false">VLOOKUP("CS1",Y5:Y33,1,FALSE())</f>
        <v>CS1</v>
      </c>
      <c r="Z36" s="78" t="str">
        <f aca="false">VLOOKUP("CS1",Z6:Z33,1,FALSE())</f>
        <v>CS1</v>
      </c>
      <c r="AA36" s="78" t="str">
        <f aca="false">VLOOKUP("CS1",AA5:AA33,1,FALSE())</f>
        <v>CS1</v>
      </c>
      <c r="AB36" s="78" t="str">
        <f aca="false">VLOOKUP("CS1",AB7:AB33,1,FALSE())</f>
        <v>CS1</v>
      </c>
      <c r="AC36" s="78" t="str">
        <f aca="false">VLOOKUP("CS1",AC6:AC33,1,FALSE())</f>
        <v>CS1</v>
      </c>
      <c r="AD36" s="78" t="str">
        <f aca="false">VLOOKUP("CS1",AD6:AD33,1,FALSE())</f>
        <v>CS1</v>
      </c>
      <c r="AE36" s="78" t="str">
        <f aca="false">VLOOKUP("CS1",AE6:AE33,1,FALSE())</f>
        <v>CS1</v>
      </c>
      <c r="AF36" s="78" t="str">
        <f aca="false">VLOOKUP("CS1",AF5:AF33,1,FALSE())</f>
        <v>CS1</v>
      </c>
      <c r="AG36" s="78" t="str">
        <f aca="false">VLOOKUP("CS1",AG6:AG33,1,FALSE())</f>
        <v>CS1</v>
      </c>
      <c r="AH36" s="35"/>
      <c r="AI36" s="36"/>
      <c r="AJ36" s="35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  <c r="BN36" s="37"/>
      <c r="BO36" s="37"/>
      <c r="BP36" s="39"/>
    </row>
    <row r="37" customFormat="false" ht="19.5" hidden="false" customHeight="true" outlineLevel="0" collapsed="false">
      <c r="A37" s="30"/>
      <c r="B37" s="80" t="s">
        <v>59</v>
      </c>
      <c r="C37" s="78" t="str">
        <f aca="false">VLOOKUP("CS2",C6:C33,1,FALSE())</f>
        <v>CS2</v>
      </c>
      <c r="D37" s="78" t="str">
        <f aca="false">VLOOKUP("CS2",D7:D33,1,FALSE())</f>
        <v>CS2</v>
      </c>
      <c r="E37" s="78" t="str">
        <f aca="false">VLOOKUP("CS2",E6:E33,1,FALSE())</f>
        <v>CS2</v>
      </c>
      <c r="F37" s="78" t="str">
        <f aca="false">VLOOKUP("CS2",F6:F33,1,FALSE())</f>
        <v>CS2</v>
      </c>
      <c r="G37" s="78" t="str">
        <f aca="false">VLOOKUP("CS2",G6:G33,1,FALSE())</f>
        <v>CS2</v>
      </c>
      <c r="H37" s="78" t="str">
        <f aca="false">VLOOKUP("CS2",H6:H33,1,FALSE())</f>
        <v>CS2</v>
      </c>
      <c r="I37" s="78" t="str">
        <f aca="false">VLOOKUP("CS2",I6:I33,1,FALSE())</f>
        <v>CS2</v>
      </c>
      <c r="J37" s="78" t="str">
        <f aca="false">VLOOKUP("CS2",J4:J33,1,FALSE())</f>
        <v>CS2</v>
      </c>
      <c r="K37" s="78" t="str">
        <f aca="false">VLOOKUP("CS2",K6:K33,1,FALSE())</f>
        <v>CS2</v>
      </c>
      <c r="L37" s="78" t="str">
        <f aca="false">VLOOKUP("CS2",L4:L33,1,FALSE())</f>
        <v>CS2</v>
      </c>
      <c r="M37" s="78" t="str">
        <f aca="false">VLOOKUP("CS2",M6:M32,1,FALSE())</f>
        <v>CS2</v>
      </c>
      <c r="N37" s="78" t="str">
        <f aca="false">VLOOKUP("CS2",N5:N33,1,FALSE())</f>
        <v>CS2</v>
      </c>
      <c r="O37" s="78" t="str">
        <f aca="false">VLOOKUP("CS2",O10:O33,1,FALSE())</f>
        <v>CS2</v>
      </c>
      <c r="P37" s="78" t="str">
        <f aca="false">VLOOKUP("CS2",P6:P33,1,FALSE())</f>
        <v>CS2</v>
      </c>
      <c r="Q37" s="78" t="str">
        <f aca="false">VLOOKUP("CS2",Q7:Q32,1,FALSE())</f>
        <v>CS2</v>
      </c>
      <c r="R37" s="78" t="str">
        <f aca="false">VLOOKUP("CS2",R6:R31,1,FALSE())</f>
        <v>CS2</v>
      </c>
      <c r="S37" s="78" t="str">
        <f aca="false">VLOOKUP("CS2",S5:S33,1,FALSE())</f>
        <v>CS2</v>
      </c>
      <c r="T37" s="78" t="str">
        <f aca="false">VLOOKUP("CS2",T1:T33,1,FALSE())</f>
        <v>CS2</v>
      </c>
      <c r="U37" s="78" t="str">
        <f aca="false">VLOOKUP("CS2",U1:U33,1,FALSE())</f>
        <v>CS2</v>
      </c>
      <c r="V37" s="78" t="str">
        <f aca="false">VLOOKUP("CS2",V1:V30,1,FALSE())</f>
        <v>CS2</v>
      </c>
      <c r="W37" s="78" t="str">
        <f aca="false">VLOOKUP("CS2",W9:W30,1,FALSE())</f>
        <v>CS2</v>
      </c>
      <c r="X37" s="78" t="str">
        <f aca="false">VLOOKUP("CS2",X7:X33,1,FALSE())</f>
        <v>CS2</v>
      </c>
      <c r="Y37" s="78" t="str">
        <f aca="false">VLOOKUP("CS2",Y5:Y33,1,FALSE())</f>
        <v>CS2</v>
      </c>
      <c r="Z37" s="78" t="str">
        <f aca="false">VLOOKUP("CS2",Z6:Z33,1,FALSE())</f>
        <v>CS2</v>
      </c>
      <c r="AA37" s="78" t="str">
        <f aca="false">VLOOKUP("CS2",AA5:AA33,1,FALSE())</f>
        <v>CS2</v>
      </c>
      <c r="AB37" s="78" t="str">
        <f aca="false">VLOOKUP("CS2",AB1:AB33,1,FALSE())</f>
        <v>CS2</v>
      </c>
      <c r="AC37" s="78" t="str">
        <f aca="false">VLOOKUP("CS2",AC6:AC33,1,FALSE())</f>
        <v>CS2</v>
      </c>
      <c r="AD37" s="78" t="str">
        <f aca="false">VLOOKUP("CS2",AD6:AD33,1,FALSE())</f>
        <v>CS2</v>
      </c>
      <c r="AE37" s="78" t="str">
        <f aca="false">VLOOKUP("CS2",AE6:AE33,1,FALSE())</f>
        <v>CS2</v>
      </c>
      <c r="AF37" s="78" t="str">
        <f aca="false">VLOOKUP("CS2",AF5:AF33,1,FALSE())</f>
        <v>CS2</v>
      </c>
      <c r="AG37" s="78" t="str">
        <f aca="false">VLOOKUP("CS2",AG6:AG33,1,FALSE())</f>
        <v>CS2</v>
      </c>
      <c r="AH37" s="35"/>
      <c r="AI37" s="36"/>
      <c r="AJ37" s="35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  <c r="BA37" s="37"/>
      <c r="BB37" s="37"/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7"/>
      <c r="BO37" s="37"/>
      <c r="BP37" s="39"/>
    </row>
    <row r="38" customFormat="false" ht="19.5" hidden="false" customHeight="true" outlineLevel="0" collapsed="false">
      <c r="A38" s="30"/>
      <c r="B38" s="81" t="s">
        <v>58</v>
      </c>
      <c r="C38" s="78" t="str">
        <f aca="false">VLOOKUP("SB1",C6:C33,1,FALSE())</f>
        <v>SB1</v>
      </c>
      <c r="D38" s="78" t="str">
        <f aca="false">VLOOKUP("SB1",D3:D33,1,FALSE())</f>
        <v>SB1</v>
      </c>
      <c r="E38" s="78" t="str">
        <f aca="false">VLOOKUP("SB1",E6:E33,1,FALSE())</f>
        <v>SB1</v>
      </c>
      <c r="F38" s="78" t="str">
        <f aca="false">VLOOKUP("SB1",F6:F33,1,FALSE())</f>
        <v>SB1</v>
      </c>
      <c r="G38" s="78" t="str">
        <f aca="false">VLOOKUP("SB1",G6:G33,1,FALSE())</f>
        <v>SB1</v>
      </c>
      <c r="H38" s="78" t="str">
        <f aca="false">VLOOKUP("SB1",H6:H33,1,FALSE())</f>
        <v>SB1</v>
      </c>
      <c r="I38" s="78" t="str">
        <f aca="false">VLOOKUP("SB1",I6:I33,1,FALSE())</f>
        <v>SB1</v>
      </c>
      <c r="J38" s="78" t="str">
        <f aca="false">VLOOKUP("SB1",J4:J33,1,FALSE())</f>
        <v>SB1</v>
      </c>
      <c r="K38" s="78" t="str">
        <f aca="false">VLOOKUP("SB1",K6:K33,1,FALSE())</f>
        <v>SB1</v>
      </c>
      <c r="L38" s="78" t="str">
        <f aca="false">VLOOKUP("SB1",L5:L33,1,FALSE())</f>
        <v>SB1</v>
      </c>
      <c r="M38" s="78" t="str">
        <f aca="false">VLOOKUP("SB1",M6:M32,1,FALSE())</f>
        <v>SB1</v>
      </c>
      <c r="N38" s="78" t="str">
        <f aca="false">VLOOKUP("SB1",N5:N33,1,FALSE())</f>
        <v>SB1</v>
      </c>
      <c r="O38" s="78" t="str">
        <f aca="false">VLOOKUP("SB1",O5:O33,1,FALSE())</f>
        <v>SB1</v>
      </c>
      <c r="P38" s="78" t="str">
        <f aca="false">VLOOKUP("SB1",P6:P33,1,FALSE())</f>
        <v>SB1</v>
      </c>
      <c r="Q38" s="78" t="str">
        <f aca="false">VLOOKUP("SB1",Q7:Q32,1,FALSE())</f>
        <v>SB1</v>
      </c>
      <c r="R38" s="78" t="str">
        <f aca="false">VLOOKUP("SB1",R6:R31,1,FALSE())</f>
        <v>SB1</v>
      </c>
      <c r="S38" s="78" t="str">
        <f aca="false">VLOOKUP("SB1",S5:S33,1,FALSE())</f>
        <v>SB1</v>
      </c>
      <c r="T38" s="78" t="str">
        <f aca="false">VLOOKUP("SB1",T6:T33,1,FALSE())</f>
        <v>SB1</v>
      </c>
      <c r="U38" s="78" t="str">
        <f aca="false">VLOOKUP("SB1",U7:U33,1,FALSE())</f>
        <v>SB1</v>
      </c>
      <c r="V38" s="78" t="str">
        <f aca="false">VLOOKUP("SB1",V6:V30,1,FALSE())</f>
        <v>SB1</v>
      </c>
      <c r="W38" s="78" t="str">
        <f aca="false">VLOOKUP("SB1",W9:W30,1,FALSE())</f>
        <v>SB1</v>
      </c>
      <c r="X38" s="78" t="e">
        <f aca="false">VLOOKUP("SB1",X7:X33,1,FALSE())</f>
        <v>#N/A</v>
      </c>
      <c r="Y38" s="78" t="e">
        <f aca="false">VLOOKUP("SB1",Y5:Y33,1,FALSE())</f>
        <v>#N/A</v>
      </c>
      <c r="Z38" s="78" t="str">
        <f aca="false">VLOOKUP("SB1",Z6:Z33,1,FALSE())</f>
        <v>SB1</v>
      </c>
      <c r="AA38" s="78" t="str">
        <f aca="false">VLOOKUP("SB1",AA5:AA33,1,FALSE())</f>
        <v>SB1</v>
      </c>
      <c r="AB38" s="78" t="str">
        <f aca="false">VLOOKUP("SB1",AB7:AB33,1,FALSE())</f>
        <v>SB1</v>
      </c>
      <c r="AC38" s="78" t="str">
        <f aca="false">VLOOKUP("SB1",AC1:AC33,1,FALSE())</f>
        <v>SB1</v>
      </c>
      <c r="AD38" s="78" t="str">
        <f aca="false">VLOOKUP("SB1",AD6:AD33,1,FALSE())</f>
        <v>SB1</v>
      </c>
      <c r="AE38" s="78" t="e">
        <f aca="false">VLOOKUP("SB1",AE6:AE33,1,FALSE())</f>
        <v>#N/A</v>
      </c>
      <c r="AF38" s="78" t="e">
        <f aca="false">VLOOKUP("SB1",AF5:AF33,1,FALSE())</f>
        <v>#N/A</v>
      </c>
      <c r="AG38" s="78" t="str">
        <f aca="false">VLOOKUP("SB1",AG6:AG33,1,FALSE())</f>
        <v>SB1</v>
      </c>
      <c r="AH38" s="35"/>
      <c r="AI38" s="36"/>
      <c r="AJ38" s="35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9"/>
    </row>
    <row r="39" customFormat="false" ht="19.5" hidden="false" customHeight="true" outlineLevel="0" collapsed="false">
      <c r="A39" s="30"/>
      <c r="B39" s="82" t="s">
        <v>93</v>
      </c>
      <c r="C39" s="78" t="str">
        <f aca="false">VLOOKUP("SB2",C6:C33,1,FALSE())</f>
        <v>SB2</v>
      </c>
      <c r="D39" s="78" t="e">
        <f aca="false">VLOOKUP("SB2",D7:D33,1,FALSE())</f>
        <v>#N/A</v>
      </c>
      <c r="E39" s="78" t="e">
        <f aca="false">VLOOKUP("SB2",E6:E33,1,FALSE())</f>
        <v>#N/A</v>
      </c>
      <c r="F39" s="78" t="str">
        <f aca="false">VLOOKUP("SB2",F9:F33,1,FALSE())</f>
        <v>SB2</v>
      </c>
      <c r="G39" s="78" t="str">
        <f aca="false">VLOOKUP("SB2",G6:G33,1,FALSE())</f>
        <v>SB2</v>
      </c>
      <c r="H39" s="78" t="str">
        <f aca="false">VLOOKUP("SB2",H6:H33,1,FALSE())</f>
        <v>SB2</v>
      </c>
      <c r="I39" s="78" t="str">
        <f aca="false">VLOOKUP("SB2",I6:I33,1,FALSE())</f>
        <v>SB2</v>
      </c>
      <c r="J39" s="78" t="str">
        <f aca="false">VLOOKUP("SB2",J4:J33,1,FALSE())</f>
        <v>SB2</v>
      </c>
      <c r="K39" s="78" t="e">
        <f aca="false">VLOOKUP("SB2",K6:K33,1,FALSE())</f>
        <v>#N/A</v>
      </c>
      <c r="L39" s="78" t="e">
        <f aca="false">VLOOKUP("SB2",L11:L33,1,FALSE())</f>
        <v>#N/A</v>
      </c>
      <c r="M39" s="78" t="str">
        <f aca="false">VLOOKUP("SB2",M6:M32,1,FALSE())</f>
        <v>SB2</v>
      </c>
      <c r="N39" s="78" t="str">
        <f aca="false">VLOOKUP("SB2",N5:N33,1,FALSE())</f>
        <v>SB2</v>
      </c>
      <c r="O39" s="78" t="str">
        <f aca="false">VLOOKUP("SB2",O5:O33,1,FALSE())</f>
        <v>SB2</v>
      </c>
      <c r="P39" s="78" t="str">
        <f aca="false">VLOOKUP("SB2",P6:P33,1,FALSE())</f>
        <v>SB2</v>
      </c>
      <c r="Q39" s="78" t="str">
        <f aca="false">VLOOKUP("SB2",Q9:Q32,1,FALSE())</f>
        <v>SB2</v>
      </c>
      <c r="R39" s="78" t="e">
        <f aca="false">VLOOKUP("SB2",R6:R31,1,FALSE())</f>
        <v>#N/A</v>
      </c>
      <c r="S39" s="78" t="e">
        <f aca="false">VLOOKUP("SB2",S10:S33,1,FALSE())</f>
        <v>#N/A</v>
      </c>
      <c r="T39" s="78" t="str">
        <f aca="false">VLOOKUP("SB2",T6:T33,1,FALSE())</f>
        <v>SB2</v>
      </c>
      <c r="U39" s="78" t="str">
        <f aca="false">VLOOKUP("SB2",U7:U33,1,FALSE())</f>
        <v>SB2</v>
      </c>
      <c r="V39" s="78" t="str">
        <f aca="false">VLOOKUP("SB2",V7:V30,1,FALSE())</f>
        <v>SB2</v>
      </c>
      <c r="W39" s="78" t="str">
        <f aca="false">VLOOKUP("SB2",W9:W30,1,FALSE())</f>
        <v>SB2</v>
      </c>
      <c r="X39" s="78" t="str">
        <f aca="false">VLOOKUP("SB2",X7:X33,1,FALSE())</f>
        <v>SB2</v>
      </c>
      <c r="Y39" s="78" t="e">
        <f aca="false">VLOOKUP("SB2",Y5:Y33,1,FALSE())</f>
        <v>#N/A</v>
      </c>
      <c r="Z39" s="78" t="e">
        <f aca="false">VLOOKUP("SB2",Z6:Z33,1,FALSE())</f>
        <v>#N/A</v>
      </c>
      <c r="AA39" s="78" t="str">
        <f aca="false">VLOOKUP("SB2",AA10:AA33,1,FALSE())</f>
        <v>SB2</v>
      </c>
      <c r="AB39" s="78" t="str">
        <f aca="false">VLOOKUP("SB2",AB7:AB33,1,FALSE())</f>
        <v>SB2</v>
      </c>
      <c r="AC39" s="78" t="str">
        <f aca="false">VLOOKUP("SB2",AC10:AC33,1,FALSE())</f>
        <v>SB2</v>
      </c>
      <c r="AD39" s="78" t="str">
        <f aca="false">VLOOKUP("SB2",AD6:AD33,1,FALSE())</f>
        <v>SB2</v>
      </c>
      <c r="AE39" s="78" t="str">
        <f aca="false">VLOOKUP("SB2",AE6:AE33,1,FALSE())</f>
        <v>SB2</v>
      </c>
      <c r="AF39" s="78" t="e">
        <f aca="false">VLOOKUP("SB2",AF5:AF33,1,FALSE())</f>
        <v>#N/A</v>
      </c>
      <c r="AG39" s="78" t="e">
        <f aca="false">VLOOKUP("SB2",AG6:AG33,1,FALSE())</f>
        <v>#N/A</v>
      </c>
      <c r="AH39" s="35"/>
      <c r="AI39" s="36"/>
      <c r="AJ39" s="35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9"/>
    </row>
    <row r="40" customFormat="false" ht="19.5" hidden="false" customHeight="true" outlineLevel="0" collapsed="false">
      <c r="A40" s="30"/>
      <c r="B40" s="83" t="s">
        <v>65</v>
      </c>
      <c r="C40" s="78" t="str">
        <f aca="false">VLOOKUP("AE",C6:C33,1,FALSE())</f>
        <v>AE</v>
      </c>
      <c r="D40" s="78" t="str">
        <f aca="false">VLOOKUP("AE",D7:D33,1,FALSE())</f>
        <v>AE</v>
      </c>
      <c r="E40" s="78" t="str">
        <f aca="false">VLOOKUP("AE",E6:E33,1,FALSE())</f>
        <v>AE</v>
      </c>
      <c r="F40" s="78" t="str">
        <f aca="false">VLOOKUP("AE",F9:F33,1,FALSE())</f>
        <v>AE</v>
      </c>
      <c r="G40" s="78" t="str">
        <f aca="false">VLOOKUP("AE",G6:G33,1,FALSE())</f>
        <v>AE</v>
      </c>
      <c r="H40" s="78" t="str">
        <f aca="false">VLOOKUP("AE",H6:H33,1,FALSE())</f>
        <v>AE</v>
      </c>
      <c r="I40" s="78" t="str">
        <f aca="false">VLOOKUP("AE",I6:I33,1,FALSE())</f>
        <v>AE</v>
      </c>
      <c r="J40" s="78" t="str">
        <f aca="false">VLOOKUP("AE",J4:J33,1,FALSE())</f>
        <v>AE</v>
      </c>
      <c r="K40" s="78" t="str">
        <f aca="false">VLOOKUP("AE",K6:K33,1,FALSE())</f>
        <v>AE</v>
      </c>
      <c r="L40" s="78" t="str">
        <f aca="false">VLOOKUP("AE",L11:L33,1,FALSE())</f>
        <v>AE</v>
      </c>
      <c r="M40" s="78" t="str">
        <f aca="false">VLOOKUP("AE",M6:M32,1,FALSE())</f>
        <v>AE</v>
      </c>
      <c r="N40" s="78" t="str">
        <f aca="false">VLOOKUP("AE",N5:N33,1,FALSE())</f>
        <v>AE</v>
      </c>
      <c r="O40" s="78" t="str">
        <f aca="false">VLOOKUP("AE",O5:O33,1,FALSE())</f>
        <v>AE</v>
      </c>
      <c r="P40" s="78" t="str">
        <f aca="false">VLOOKUP("AE",P6:P33,1,FALSE())</f>
        <v>AE</v>
      </c>
      <c r="Q40" s="78" t="str">
        <f aca="false">VLOOKUP("AE",Q9:Q32,1,FALSE())</f>
        <v>AE</v>
      </c>
      <c r="R40" s="78" t="str">
        <f aca="false">VLOOKUP("AE",R6:R31,1,FALSE())</f>
        <v>AE</v>
      </c>
      <c r="S40" s="78" t="str">
        <f aca="false">VLOOKUP("AE",S10:S33,1,FALSE())</f>
        <v>AE</v>
      </c>
      <c r="T40" s="78" t="str">
        <f aca="false">VLOOKUP("AE",T6:T33,1,FALSE())</f>
        <v>AE</v>
      </c>
      <c r="U40" s="78" t="str">
        <f aca="false">VLOOKUP("AE",U7:U33,1,FALSE())</f>
        <v>AE</v>
      </c>
      <c r="V40" s="78" t="str">
        <f aca="false">VLOOKUP("AE",V7:V30,1,FALSE())</f>
        <v>AE</v>
      </c>
      <c r="W40" s="78" t="str">
        <f aca="false">VLOOKUP("AE",W9:W30,1,FALSE())</f>
        <v>AE</v>
      </c>
      <c r="X40" s="78" t="str">
        <f aca="false">VLOOKUP("AE",X7:X33,1,FALSE())</f>
        <v>AE</v>
      </c>
      <c r="Y40" s="78" t="str">
        <f aca="false">VLOOKUP("AE",Y5:Y33,1,FALSE())</f>
        <v>AE</v>
      </c>
      <c r="Z40" s="78" t="str">
        <f aca="false">VLOOKUP("AE",Z6:Z33,1,FALSE())</f>
        <v>AE</v>
      </c>
      <c r="AA40" s="78" t="str">
        <f aca="false">VLOOKUP("AE",AA10:AA33,1,FALSE())</f>
        <v>AE</v>
      </c>
      <c r="AB40" s="78" t="str">
        <f aca="false">VLOOKUP("AE",AB7:AB33,1,FALSE())</f>
        <v>AE</v>
      </c>
      <c r="AC40" s="78" t="str">
        <f aca="false">VLOOKUP("AE",AC10:AC33,1,FALSE())</f>
        <v>AE</v>
      </c>
      <c r="AD40" s="78" t="str">
        <f aca="false">VLOOKUP("AE",AD6:AD33,1,FALSE())</f>
        <v>AE</v>
      </c>
      <c r="AE40" s="78" t="str">
        <f aca="false">VLOOKUP("AE",AE6:AE33,1,FALSE())</f>
        <v>AE</v>
      </c>
      <c r="AF40" s="78" t="str">
        <f aca="false">VLOOKUP("AE",AF5:AF33,1,FALSE())</f>
        <v>AE</v>
      </c>
      <c r="AG40" s="78" t="str">
        <f aca="false">VLOOKUP("AE",AG6:AG33,1,FALSE())</f>
        <v>AE</v>
      </c>
      <c r="AH40" s="35"/>
      <c r="AI40" s="36"/>
      <c r="AJ40" s="35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  <c r="BA40" s="37"/>
      <c r="BB40" s="37"/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  <c r="BN40" s="37"/>
      <c r="BO40" s="37"/>
      <c r="BP40" s="39"/>
    </row>
  </sheetData>
  <mergeCells count="1">
    <mergeCell ref="C1:S1"/>
  </mergeCells>
  <conditionalFormatting sqref="F25">
    <cfRule type="expression" priority="2" aboveAverage="0" equalAverage="0" bottom="0" percent="0" rank="0" text="" dxfId="21">
      <formula>WEEKDAY(I$3,2)&gt;5</formula>
    </cfRule>
    <cfRule type="expression" priority="3" aboveAverage="0" equalAverage="0" bottom="0" percent="0" rank="0" text="" dxfId="21">
      <formula>WEEKDAY(H$3,2)&gt;5</formula>
    </cfRule>
  </conditionalFormatting>
  <conditionalFormatting sqref="K26 C8:C9 F8:F9 C12:C13 E12 I12 C17">
    <cfRule type="expression" priority="4" aboveAverage="0" equalAverage="0" bottom="0" percent="0" rank="0" text="" dxfId="21">
      <formula>WEEKDAY(E$3,2)&gt;5</formula>
    </cfRule>
  </conditionalFormatting>
  <conditionalFormatting sqref="N31 Q31 E6 T7 F12 T13:T14 U13 X13:Z13 O16 P17 H19 T20 G21:G22 E23 U24 AE24 H25 AB26 F28">
    <cfRule type="expression" priority="5" aboveAverage="0" equalAverage="0" bottom="0" percent="0" rank="0" text="" dxfId="21">
      <formula>WEEKDAY(F$3,2)&gt;5</formula>
    </cfRule>
  </conditionalFormatting>
  <conditionalFormatting sqref="D14">
    <cfRule type="expression" priority="6" aboveAverage="0" equalAverage="0" bottom="0" percent="0" rank="0" text="" dxfId="22">
      <formula>WEEKDAY($A14,2)&gt;5</formula>
    </cfRule>
  </conditionalFormatting>
  <conditionalFormatting sqref="O8:O9">
    <cfRule type="expression" priority="7" aboveAverage="0" equalAverage="0" bottom="0" percent="0" rank="0" text="" dxfId="21">
      <formula>WEEKDAY(J$3,2)&gt;5</formula>
    </cfRule>
    <cfRule type="expression" priority="8" aboveAverage="0" equalAverage="0" bottom="0" percent="0" rank="0" text="" dxfId="21">
      <formula>WEEKDAY(I$3,2)&gt;5</formula>
    </cfRule>
  </conditionalFormatting>
  <conditionalFormatting sqref="Q26 T26 O27 V27 C28:E29 H28:H29 P28 R28:R30 S28:T29 W28 Y28:AA29 F29:G29 I29:M29 O29 U29:V29 X29 AB29:AC29 U31 X31">
    <cfRule type="cellIs" priority="9" operator="equal" aboveAverage="0" equalAverage="0" bottom="0" percent="0" rank="0" text="" dxfId="23">
      <formula>"B"</formula>
    </cfRule>
    <cfRule type="cellIs" priority="10" operator="equal" aboveAverage="0" equalAverage="0" bottom="0" percent="0" rank="0" text="" dxfId="23">
      <formula>"AL"</formula>
    </cfRule>
    <cfRule type="cellIs" priority="11" operator="equal" aboveAverage="0" equalAverage="0" bottom="0" percent="0" rank="0" text="" dxfId="24">
      <formula>"DM"</formula>
    </cfRule>
    <cfRule type="cellIs" priority="12" operator="equal" aboveAverage="0" equalAverage="0" bottom="0" percent="0" rank="0" text="" dxfId="25">
      <formula>"CS1"</formula>
    </cfRule>
    <cfRule type="cellIs" priority="13" operator="equal" aboveAverage="0" equalAverage="0" bottom="0" percent="0" rank="0" text="" dxfId="26">
      <formula>"CS2"</formula>
    </cfRule>
    <cfRule type="cellIs" priority="14" operator="equal" aboveAverage="0" equalAverage="0" bottom="0" percent="0" rank="0" text="" dxfId="27">
      <formula>"SB1"</formula>
    </cfRule>
    <cfRule type="cellIs" priority="15" operator="equal" aboveAverage="0" equalAverage="0" bottom="0" percent="0" rank="0" text="" dxfId="28">
      <formula>"SB2"</formula>
    </cfRule>
    <cfRule type="cellIs" priority="16" operator="equal" aboveAverage="0" equalAverage="0" bottom="0" percent="0" rank="0" text="" dxfId="29">
      <formula>"AE"</formula>
    </cfRule>
    <cfRule type="cellIs" priority="17" operator="equal" aboveAverage="0" equalAverage="0" bottom="0" percent="0" rank="0" text="" dxfId="23">
      <formula>"DB"</formula>
    </cfRule>
    <cfRule type="containsText" priority="18" operator="containsText" aboveAverage="0" equalAverage="0" bottom="0" percent="0" rank="0" text="$AM" dxfId="30">
      <formula>NOT(ISERROR(SEARCH("$AM",C26)))</formula>
    </cfRule>
    <cfRule type="containsText" priority="19" operator="containsText" aboveAverage="0" equalAverage="0" bottom="0" percent="0" rank="0" text="$PM" dxfId="31">
      <formula>NOT(ISERROR(SEARCH("$PM",C26)))</formula>
    </cfRule>
    <cfRule type="containsText" priority="20" operator="containsText" aboveAverage="0" equalAverage="0" bottom="0" percent="0" rank="0" text="$L" dxfId="32">
      <formula>NOT(ISERROR(SEARCH("$L",C26)))</formula>
    </cfRule>
    <cfRule type="containsText" priority="21" operator="containsText" aboveAverage="0" equalAverage="0" bottom="0" percent="0" rank="0" text="$BTP" dxfId="33">
      <formula>NOT(ISERROR(SEARCH("$BTP",C26)))</formula>
    </cfRule>
    <cfRule type="containsText" priority="22" operator="containsText" aboveAverage="0" equalAverage="0" bottom="0" percent="0" rank="0" text="$M" dxfId="34">
      <formula>NOT(ISERROR(SEARCH("$M",C26)))</formula>
    </cfRule>
    <cfRule type="containsText" priority="23" operator="containsText" aboveAverage="0" equalAverage="0" bottom="0" percent="0" rank="0" text="$N" dxfId="35">
      <formula>NOT(ISERROR(SEARCH("$N",C26)))</formula>
    </cfRule>
    <cfRule type="containsText" priority="24" operator="containsText" aboveAverage="0" equalAverage="0" bottom="0" percent="0" rank="0" text="$FC" dxfId="36">
      <formula>NOT(ISERROR(SEARCH("$FC",C26)))</formula>
    </cfRule>
    <cfRule type="containsText" priority="25" operator="containsText" aboveAverage="0" equalAverage="0" bottom="0" percent="0" rank="0" text="OAL" dxfId="37">
      <formula>NOT(ISERROR(SEARCH("OAL",C26)))</formula>
    </cfRule>
    <cfRule type="containsText" priority="26" operator="containsText" aboveAverage="0" equalAverage="0" bottom="0" percent="0" rank="0" text="S+" dxfId="38">
      <formula>NOT(ISERROR(SEARCH("S+",C26)))</formula>
    </cfRule>
    <cfRule type="containsText" priority="27" operator="containsText" aboveAverage="0" equalAverage="0" bottom="0" percent="0" rank="0" text="EX-D" dxfId="39">
      <formula>NOT(ISERROR(SEARCH("EX-D",C26)))</formula>
    </cfRule>
  </conditionalFormatting>
  <conditionalFormatting sqref="E6 T7 F8:F9 C13 T13:T14 U13 X13:Z13 O16 C17 P17 H19 T20 G22 E23 U24 AE24 H25 AB26">
    <cfRule type="expression" priority="28" aboveAverage="0" equalAverage="0" bottom="0" percent="0" rank="0" text="" dxfId="21">
      <formula>WEEKDAY(G$3,2)&gt;5</formula>
    </cfRule>
  </conditionalFormatting>
  <conditionalFormatting sqref="C5:C26 D5:D10 E5:E21 F5:F25 G5:G24 H5:H6 I5:I26 J5:J10 K5:K26 L5:L25 M5:M15 N5:N23 O5:O13 P5:P9 Q5:Q6 R5:R31 S5:S25 T5:T15 U5:U7 V5 W5:X6 Y5:Y25 Z5:Z29 AA5:AA26 AC5:AD28 AE5:AE30 AF5:AF24 AG5:AG25 AB6:AB28 V7:V10 H8:H26 Q8:Q19 W8:W27 X8:X28 U10:U24 P11:P29 D12:D26 J12:J19 V12:V28 O15:O23 M17:M19 T17:T26 J21:J26 M21:M23 Q21:Q26 E23:E25 M25:M30 N25:N29 O25:O26 U26 S27 Y27:Y29 AF27:AF28 C28:G28 Q28:Q32 U28 AA28:AA30 I29:I30 K29 O29:O30 S29:S30 W29:W30 D30 J30:J31 L30 T30:T31 V30:V31 AB30:AB32 AC30:AD30 AF30 C31 H31 N31 P31 U31 X31:Y31 Z31:Z32 M32 AA32 AC32:AE32">
    <cfRule type="cellIs" priority="29" operator="equal" aboveAverage="0" equalAverage="0" bottom="0" percent="0" rank="0" text="" dxfId="23">
      <formula>"B"</formula>
    </cfRule>
    <cfRule type="cellIs" priority="30" operator="equal" aboveAverage="0" equalAverage="0" bottom="0" percent="0" rank="0" text="" dxfId="23">
      <formula>"AL"</formula>
    </cfRule>
    <cfRule type="cellIs" priority="31" operator="equal" aboveAverage="0" equalAverage="0" bottom="0" percent="0" rank="0" text="" dxfId="24">
      <formula>"DM"</formula>
    </cfRule>
    <cfRule type="cellIs" priority="32" operator="equal" aboveAverage="0" equalAverage="0" bottom="0" percent="0" rank="0" text="" dxfId="25">
      <formula>"CS1"</formula>
    </cfRule>
    <cfRule type="cellIs" priority="33" operator="equal" aboveAverage="0" equalAverage="0" bottom="0" percent="0" rank="0" text="" dxfId="26">
      <formula>"CS2"</formula>
    </cfRule>
    <cfRule type="cellIs" priority="34" operator="equal" aboveAverage="0" equalAverage="0" bottom="0" percent="0" rank="0" text="" dxfId="27">
      <formula>"SB1"</formula>
    </cfRule>
    <cfRule type="cellIs" priority="35" operator="equal" aboveAverage="0" equalAverage="0" bottom="0" percent="0" rank="0" text="" dxfId="28">
      <formula>"SB2"</formula>
    </cfRule>
    <cfRule type="cellIs" priority="36" operator="equal" aboveAverage="0" equalAverage="0" bottom="0" percent="0" rank="0" text="" dxfId="29">
      <formula>"AE"</formula>
    </cfRule>
    <cfRule type="cellIs" priority="37" operator="equal" aboveAverage="0" equalAverage="0" bottom="0" percent="0" rank="0" text="" dxfId="23">
      <formula>"DB"</formula>
    </cfRule>
    <cfRule type="containsText" priority="38" operator="containsText" aboveAverage="0" equalAverage="0" bottom="0" percent="0" rank="0" text="$AM" dxfId="30">
      <formula>NOT(ISERROR(SEARCH("$AM",C5)))</formula>
    </cfRule>
    <cfRule type="containsText" priority="39" operator="containsText" aboveAverage="0" equalAverage="0" bottom="0" percent="0" rank="0" text="$PM" dxfId="31">
      <formula>NOT(ISERROR(SEARCH("$PM",C5)))</formula>
    </cfRule>
    <cfRule type="containsText" priority="40" operator="containsText" aboveAverage="0" equalAverage="0" bottom="0" percent="0" rank="0" text="$L" dxfId="32">
      <formula>NOT(ISERROR(SEARCH("$L",C5)))</formula>
    </cfRule>
    <cfRule type="containsText" priority="41" operator="containsText" aboveAverage="0" equalAverage="0" bottom="0" percent="0" rank="0" text="$BTP" dxfId="33">
      <formula>NOT(ISERROR(SEARCH("$BTP",C5)))</formula>
    </cfRule>
    <cfRule type="containsText" priority="42" operator="containsText" aboveAverage="0" equalAverage="0" bottom="0" percent="0" rank="0" text="$M" dxfId="34">
      <formula>NOT(ISERROR(SEARCH("$M",C5)))</formula>
    </cfRule>
    <cfRule type="containsText" priority="43" operator="containsText" aboveAverage="0" equalAverage="0" bottom="0" percent="0" rank="0" text="$N" dxfId="35">
      <formula>NOT(ISERROR(SEARCH("$N",C5)))</formula>
    </cfRule>
    <cfRule type="containsText" priority="44" operator="containsText" aboveAverage="0" equalAverage="0" bottom="0" percent="0" rank="0" text="$FC" dxfId="36">
      <formula>NOT(ISERROR(SEARCH("$FC",C5)))</formula>
    </cfRule>
    <cfRule type="containsText" priority="45" operator="containsText" aboveAverage="0" equalAverage="0" bottom="0" percent="0" rank="0" text="OAL" dxfId="37">
      <formula>NOT(ISERROR(SEARCH("OAL",C5)))</formula>
    </cfRule>
    <cfRule type="containsText" priority="46" operator="containsText" aboveAverage="0" equalAverage="0" bottom="0" percent="0" rank="0" text="S+" dxfId="38">
      <formula>NOT(ISERROR(SEARCH("S+",C5)))</formula>
    </cfRule>
    <cfRule type="containsText" priority="47" operator="containsText" aboveAverage="0" equalAverage="0" bottom="0" percent="0" rank="0" text="EX-D" dxfId="39">
      <formula>NOT(ISERROR(SEARCH("EX-D",C5)))</formula>
    </cfRule>
  </conditionalFormatting>
  <conditionalFormatting sqref="C5:C26 D5:D10 E5:E18 F5:F25 G5:G24 H5:H6 I5:I26 J5:J10 K5:K26 L5:L25 M5:M15 N5:N23 O5:O13 P5:P9 Q5:Q6 R5:R18 S5:S25 T5:T15 U5:U7 V5 W5:X6 Y5:Y25 Z5:Z29 AA5:AA26 AC5:AD28 AE5:AE30 AF5:AG23 AB6:AB28 V7:V10 H8:H26 Q8:Q19 W8:W30 X8:X28 U10:U24 P11:P29 D12:D26 J12:J19 V12:V28 O15:O23 M17:M19 T17:T26 E20:E21 R20:R31 J21:J26 M21:M23 Q21:Q26 E23:E25 M25:M27 N25:N29 AG25 O26 U26 Y27:Y29 AF27:AF28 C28:G28 Q28:Q32 U28 AA28:AA30 I29:I30 K29 M29:M30 O29:O30 S29:S30 D30 J30:J31 L30 T30:T31 V30:V31 AB30:AB32 AC30:AD30 AF30 C31 H31 N31 P31 U31 X31:Y31 Z31:Z32 M32 AA32 AC32:AE32">
    <cfRule type="containsText" priority="48" operator="containsText" aboveAverage="0" equalAverage="0" bottom="0" percent="0" rank="0" text="VACC" dxfId="40">
      <formula>NOT(ISERROR(SEARCH("VACC",C5)))</formula>
    </cfRule>
  </conditionalFormatting>
  <conditionalFormatting sqref="C5:C10 D5:D7 E5:E14 G5:G14 H5:H6 I5:I19 J5:J10 K5:K26 L5:L25 M5:M11 N5:N23 O5:O13 P5:P9 Q5 R5:R18 S5:S17 T5:T15 U5:U7 W5:W6 X5 Y5:Y25 Z5:Z7 AC5:AD28 AE5:AE30 AF5:AF11 AG5:AG15 F6:F9 AA6:AA17 AB6:AB14 V7:V10 H8:H19 Q8:Q19 W8:W27 X8:X25 Z9:Z13 D10 U10:U24 P11:P29 D12:D13 F12:F14 J12:J19 V12:V18 M13:M15 AF13 O15:O23 Z15:Z21 AF15:AF18 D16:D23 F16:F18 G16:G19 E17 M17:M19 T17:T26 AB17:AB28 AG18:AG23 S19:S25 AA19:AA20 E20:F21 R20:R25 V20:V28 AF20:AF23 G21:G24 H21:J26 M21:M23 Q21:Q26 AA22:AA26 E23 F23:F25 Z23:Z29 D25:D26 E25 M25:M27 N25:N29 C12:C26 O26 U26 R27:R31 X27:X28 Y27:Y29 AF27:AF28 C28:G28 Q28 U28 AA28:AA30 I29:I30 K29 O29:O30 S29:S30 W29:W30 D30 J30:J31 L30:M30 Q30:Q32 T30:T31 V30:V31 AB30:AB32 AC30:AD30 AF30 C31 H31 N31 P31 U31 X31:Y31 M32 Z32:AA32 AC32:AE32 Y28:AA29">
    <cfRule type="expression" priority="49" aboveAverage="0" equalAverage="0" bottom="0" percent="0" rank="0" text="" dxfId="21">
      <formula>WEEKDAY(#REF!,2)&gt;5</formula>
    </cfRule>
  </conditionalFormatting>
  <conditionalFormatting sqref="J4:J40 AA4:AA40 C5:I40 K5:Z40 AB5:AG40">
    <cfRule type="cellIs" priority="50" operator="equal" aboveAverage="0" equalAverage="0" bottom="0" percent="0" rank="0" text="" dxfId="23">
      <formula>"B"</formula>
    </cfRule>
    <cfRule type="cellIs" priority="51" operator="equal" aboveAverage="0" equalAverage="0" bottom="0" percent="0" rank="0" text="" dxfId="23">
      <formula>"AL"</formula>
    </cfRule>
    <cfRule type="cellIs" priority="52" operator="equal" aboveAverage="0" equalAverage="0" bottom="0" percent="0" rank="0" text="" dxfId="24">
      <formula>"DM"</formula>
    </cfRule>
    <cfRule type="cellIs" priority="53" operator="equal" aboveAverage="0" equalAverage="0" bottom="0" percent="0" rank="0" text="" dxfId="25">
      <formula>"CS1"</formula>
    </cfRule>
    <cfRule type="cellIs" priority="54" operator="equal" aboveAverage="0" equalAverage="0" bottom="0" percent="0" rank="0" text="" dxfId="26">
      <formula>"CS2"</formula>
    </cfRule>
    <cfRule type="cellIs" priority="55" operator="equal" aboveAverage="0" equalAverage="0" bottom="0" percent="0" rank="0" text="" dxfId="27">
      <formula>"SB1"</formula>
    </cfRule>
    <cfRule type="cellIs" priority="56" operator="equal" aboveAverage="0" equalAverage="0" bottom="0" percent="0" rank="0" text="" dxfId="28">
      <formula>"SB2"</formula>
    </cfRule>
    <cfRule type="cellIs" priority="57" operator="equal" aboveAverage="0" equalAverage="0" bottom="0" percent="0" rank="0" text="" dxfId="29">
      <formula>"AE"</formula>
    </cfRule>
  </conditionalFormatting>
  <conditionalFormatting sqref="BO5:BP33">
    <cfRule type="cellIs" priority="58" operator="lessThan" aboveAverage="0" equalAverage="0" bottom="0" percent="0" rank="0" text="" dxfId="41">
      <formula>1</formula>
    </cfRule>
  </conditionalFormatting>
  <conditionalFormatting sqref="J4:J33 AA4:AA33 C5:I33 K5:Z33 AB5:AG33">
    <cfRule type="cellIs" priority="59" operator="equal" aboveAverage="0" equalAverage="0" bottom="0" percent="0" rank="0" text="" dxfId="23">
      <formula>"DB"</formula>
    </cfRule>
    <cfRule type="containsText" priority="60" operator="containsText" aboveAverage="0" equalAverage="0" bottom="0" percent="0" rank="0" text="$AM" dxfId="30">
      <formula>NOT(ISERROR(SEARCH("$AM",C4)))</formula>
    </cfRule>
    <cfRule type="containsText" priority="61" operator="containsText" aboveAverage="0" equalAverage="0" bottom="0" percent="0" rank="0" text="$PM" dxfId="31">
      <formula>NOT(ISERROR(SEARCH("$PM",C4)))</formula>
    </cfRule>
    <cfRule type="containsText" priority="62" operator="containsText" aboveAverage="0" equalAverage="0" bottom="0" percent="0" rank="0" text="$L" dxfId="32">
      <formula>NOT(ISERROR(SEARCH("$L",C4)))</formula>
    </cfRule>
    <cfRule type="containsText" priority="63" operator="containsText" aboveAverage="0" equalAverage="0" bottom="0" percent="0" rank="0" text="$BTP" dxfId="33">
      <formula>NOT(ISERROR(SEARCH("$BTP",C4)))</formula>
    </cfRule>
    <cfRule type="containsText" priority="64" operator="containsText" aboveAverage="0" equalAverage="0" bottom="0" percent="0" rank="0" text="$M" dxfId="34">
      <formula>NOT(ISERROR(SEARCH("$M",C4)))</formula>
    </cfRule>
    <cfRule type="containsText" priority="65" operator="containsText" aboveAverage="0" equalAverage="0" bottom="0" percent="0" rank="0" text="$N" dxfId="35">
      <formula>NOT(ISERROR(SEARCH("$N",C4)))</formula>
    </cfRule>
    <cfRule type="containsText" priority="66" operator="containsText" aboveAverage="0" equalAverage="0" bottom="0" percent="0" rank="0" text="$FC" dxfId="36">
      <formula>NOT(ISERROR(SEARCH("$FC",C4)))</formula>
    </cfRule>
    <cfRule type="containsText" priority="67" operator="containsText" aboveAverage="0" equalAverage="0" bottom="0" percent="0" rank="0" text="OAL" dxfId="37">
      <formula>NOT(ISERROR(SEARCH("OAL",C4)))</formula>
    </cfRule>
    <cfRule type="containsText" priority="68" operator="containsText" aboveAverage="0" equalAverage="0" bottom="0" percent="0" rank="0" text="S+" dxfId="38">
      <formula>NOT(ISERROR(SEARCH("S+",C4)))</formula>
    </cfRule>
    <cfRule type="containsText" priority="69" operator="containsText" aboveAverage="0" equalAverage="0" bottom="0" percent="0" rank="0" text="EX-D" dxfId="39">
      <formula>NOT(ISERROR(SEARCH("EX-D",C4)))</formula>
    </cfRule>
  </conditionalFormatting>
  <conditionalFormatting sqref="T2:X33 Z2:Z33 C3:S33 Y3:Y33 AA3:AG33">
    <cfRule type="expression" priority="70" aboveAverage="0" equalAverage="0" bottom="0" percent="0" rank="0" text="" dxfId="21">
      <formula>WEEKDAY(T$3,2)&gt;5</formula>
    </cfRule>
  </conditionalFormatting>
  <conditionalFormatting sqref="J4:J10 C5:D10 E5:E18 F5:F25 G5:G24 H5:H6 I5:I26 K5:K10 L5:L25 M5:M15 N5:N23 O5:O13 P5:P9 Q5:Q6 R5:R16 S5:S17 T5:T15 U5:U7 V5 W5:X6 Y5:Y25 Z5:Z7 AA5:AA26 AD5:AD28 AE5:AE30 AF5:AF18 AG5:AG23 AB6:AC28 V7:V10 H8:H26 Q8:Q18 W8:W30 X8:X14 Z9:Z13 U10:U18 C12:D23 J12:J19 K12:K24 P12:P29 V12:V17 O15:O20 Z15:Z21 X16:X28 M17:M19 T17:T26 R18 V19:V28 E20:E21 R20:R31 S20:S25 U20:U24 AF20:AF23 J21:J26 M21:M23 Q21:Q26 O22:O23 E23:E24 Z23:Z29 C25:D26 M25:M27 N25:N29 AG25 K26 O26 U26 S27 Y27:Y29 AF27:AF28 C28:G28 Q28:Q32 T28:U28 AA28:AA30 K29 M29:M30 O29:O30 S29:S30 D30 I30 J30:J31 L30 T30:T31 V30:V31 AB30:AB32 AC30:AD30 AF30 C31 H31 N31 P31 U31 X31:Y31 M32 S32 Z32:AA32 AC32:AE32">
    <cfRule type="containsText" priority="71" operator="containsText" aboveAverage="0" equalAverage="0" bottom="0" percent="0" rank="0" text="VACC" dxfId="40">
      <formula>NOT(ISERROR(SEARCH("VACC",C4)))</formula>
    </cfRule>
  </conditionalFormatting>
  <dataValidations count="2">
    <dataValidation allowBlank="true" errorStyle="stop" operator="equal" showDropDown="true" showErrorMessage="false" showInputMessage="false" sqref="C5:E5 H5:I5 K5 M5:O5 Q5:Y5 AD5:AG7 C6:C10 E6:F6 H6 J6:P6 S6:U6 W6 Y6:AA7 D7:E7 G7 I7:L7 N7:P7 R7:V7 D8:D10 F8:F9 I8:K9 M8:R9 T8:T9 V8:V10 X8:X14 AA8:AE8 AG8:AG9 W9:W11 Y9:AB14 AD9:AF9 E10:E14 G10:G13 I10:O10 Q10:U10 AD10:AG10 L11:L12 N11:O11 Q11:R11 U11 AC11:AG11 C12:D16 F12:F13 H12:J12 N12:Q12 S12:T12 AD12:AE12 AG12 H13:L13 N13 P13:P14 R13:R14 T13:V13 AC13:AC16 AE13:AG13 F14:M14 O14 Q14 S14:U14 AD14:AE14 AG14:AG16 H15:V15 Y15:Y16 AA15:AB15 AF15:AF16 E16:H16 J16:L17 N16:O17 Q16 U16:X16 Z16:AA17 AD16:AE17 C17:H17 M17 P17 R17:U17 W17:W18 AB17:AB22 C18:D18 F18:F26 H18:R19 T18:V18 Y18:AA18 AC18:AC25 AE18:AG18 C19:C28 S19:U19 X19:Y19 AD19:AD20 AF19:AG19 D20:E21 H20:H26 K20 N20:P20 R20:U20 W20:AA20 AE20:AG21 G21:G30 J21:N21 P21:X21 Z21 D22:D26 I22:X22 AA22 AE22 AG22 E23:E28 I23:M23 O23 Q23:Q26 S23:Y23 AA23:AB23 AD23:AF23 I24:L24 N24:N26 R24:AB24 AE24:AF24 I25:J26 L25:M25 O25:P26 S25:T25 V25:AB25 AE25:AE31 AG25 K26:M26 T26:X26 AA26:AB26 AD26:AD31 AF26:AG26 I27:I31 K27 M27 P27:P29 R27:S27 U27:W27 Y27:Z27 AC27:AC31 AG27 D28 F28:F31 H28:H31 L28:L31 N28:N29 Q28:Y28 AA28:AB28 AF28 C29:E29 J29:K30 M29:M32 O29:O31 Q29:AB29 AG29:AG30 C30:D32 Q30:T30 V30:W30 Z30:AB30 AF30:AF31 J31 N31 P31:V31 X31:AB31 E32:I32 K32:L32 O32:P32 S32:V32 Y32 AF32:AG32 C33:L33 N33:P33 S33:AG33" type="list">
      <formula1>'Setting key Duty'!$B$7:$B$56</formula1>
      <formula2>0</formula2>
    </dataValidation>
    <dataValidation allowBlank="true" errorStyle="stop" operator="equal" showDropDown="true" showErrorMessage="false" showInputMessage="false" sqref="C34:AG40" type="list">
      <formula1>'Setting key Duty'!$B$7:$B$23</formula1>
      <formula2>0</formula2>
    </dataValidation>
  </dataValidation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P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5" activeCellId="0" sqref="C5"/>
    </sheetView>
  </sheetViews>
  <sheetFormatPr defaultColWidth="12.6328125" defaultRowHeight="15.75" customHeight="true" zeroHeight="false" outlineLevelRow="0" outlineLevelCol="1"/>
  <cols>
    <col collapsed="false" customWidth="true" hidden="false" outlineLevel="0" max="1" min="1" style="0" width="2.13"/>
    <col collapsed="false" customWidth="true" hidden="false" outlineLevel="0" max="2" min="2" style="0" width="29.76"/>
    <col collapsed="false" customWidth="true" hidden="false" outlineLevel="0" max="11" min="3" style="0" width="9.24"/>
    <col collapsed="false" customWidth="true" hidden="false" outlineLevel="0" max="12" min="12" style="0" width="9.38"/>
    <col collapsed="false" customWidth="true" hidden="false" outlineLevel="0" max="13" min="13" style="0" width="10.63"/>
    <col collapsed="false" customWidth="true" hidden="false" outlineLevel="0" max="14" min="14" style="0" width="9.24"/>
    <col collapsed="false" customWidth="true" hidden="false" outlineLevel="0" max="15" min="15" style="0" width="10"/>
    <col collapsed="false" customWidth="true" hidden="false" outlineLevel="0" max="17" min="16" style="0" width="9.24"/>
    <col collapsed="false" customWidth="true" hidden="false" outlineLevel="0" max="18" min="18" style="0" width="9.63"/>
    <col collapsed="false" customWidth="true" hidden="false" outlineLevel="0" max="19" min="19" style="0" width="9.14"/>
    <col collapsed="false" customWidth="true" hidden="false" outlineLevel="0" max="26" min="20" style="0" width="9.24"/>
    <col collapsed="false" customWidth="true" hidden="false" outlineLevel="0" max="27" min="27" style="0" width="10.51"/>
    <col collapsed="false" customWidth="true" hidden="false" outlineLevel="0" max="30" min="28" style="0" width="9.24"/>
    <col collapsed="false" customWidth="true" hidden="false" outlineLevel="0" max="31" min="31" style="0" width="10.51"/>
    <col collapsed="false" customWidth="true" hidden="false" outlineLevel="0" max="32" min="32" style="0" width="9.38"/>
    <col collapsed="false" customWidth="true" hidden="false" outlineLevel="0" max="33" min="33" style="0" width="9.24"/>
    <col collapsed="false" customWidth="true" hidden="true" outlineLevel="1" max="40" min="34" style="0" width="9.38"/>
    <col collapsed="false" customWidth="true" hidden="false" outlineLevel="0" max="41" min="41" style="0" width="6.76"/>
    <col collapsed="false" customWidth="true" hidden="false" outlineLevel="1" max="42" min="42" style="0" width="8.87"/>
    <col collapsed="false" customWidth="true" hidden="false" outlineLevel="1" max="43" min="43" style="0" width="7.88"/>
    <col collapsed="false" customWidth="true" hidden="false" outlineLevel="1" max="44" min="44" style="0" width="9.14"/>
    <col collapsed="false" customWidth="true" hidden="false" outlineLevel="1" max="45" min="45" style="0" width="8.24"/>
    <col collapsed="false" customWidth="true" hidden="false" outlineLevel="1" max="46" min="46" style="0" width="5.51"/>
    <col collapsed="false" customWidth="true" hidden="false" outlineLevel="0" max="49" min="47" style="0" width="9.38"/>
    <col collapsed="false" customWidth="true" hidden="false" outlineLevel="1" max="57" min="50" style="0" width="9.38"/>
    <col collapsed="false" customWidth="true" hidden="false" outlineLevel="1" max="58" min="58" style="0" width="10"/>
    <col collapsed="false" customWidth="true" hidden="false" outlineLevel="1" max="64" min="59" style="0" width="9.38"/>
    <col collapsed="false" customWidth="true" hidden="false" outlineLevel="0" max="65" min="65" style="0" width="9.38"/>
    <col collapsed="false" customWidth="true" hidden="false" outlineLevel="0" max="66" min="66" style="0" width="9.51"/>
    <col collapsed="false" customWidth="true" hidden="false" outlineLevel="0" max="68" min="67" style="0" width="9.38"/>
  </cols>
  <sheetData>
    <row r="1" customFormat="false" ht="3" hidden="false" customHeight="true" outlineLevel="0" collapsed="false">
      <c r="A1" s="1" t="n">
        <v>65</v>
      </c>
      <c r="B1" s="2" t="s">
        <v>0</v>
      </c>
      <c r="C1" s="3" t="str">
        <f aca="false"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</row>
    <row r="2" customFormat="false" ht="26.25" hidden="false" customHeight="true" outlineLevel="0" collapsed="false">
      <c r="A2" s="7"/>
      <c r="B2" s="8" t="s">
        <v>1</v>
      </c>
      <c r="C2" s="9"/>
      <c r="D2" s="9"/>
      <c r="E2" s="9"/>
      <c r="F2" s="9" t="s">
        <v>149</v>
      </c>
      <c r="G2" s="9" t="s">
        <v>149</v>
      </c>
      <c r="H2" s="9"/>
      <c r="I2" s="9" t="s">
        <v>150</v>
      </c>
      <c r="J2" s="9" t="s">
        <v>150</v>
      </c>
      <c r="K2" s="9" t="s">
        <v>151</v>
      </c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 t="s">
        <v>152</v>
      </c>
      <c r="Z2" s="9" t="s">
        <v>152</v>
      </c>
      <c r="AA2" s="11" t="s">
        <v>153</v>
      </c>
      <c r="AB2" s="9" t="s">
        <v>152</v>
      </c>
      <c r="AC2" s="9" t="s">
        <v>152</v>
      </c>
      <c r="AD2" s="9"/>
      <c r="AE2" s="9"/>
      <c r="AF2" s="9" t="s">
        <v>154</v>
      </c>
      <c r="AG2" s="9" t="s">
        <v>155</v>
      </c>
      <c r="AH2" s="12"/>
      <c r="AI2" s="12"/>
      <c r="AJ2" s="12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4" t="s">
        <v>16</v>
      </c>
      <c r="BA2" s="14"/>
      <c r="BB2" s="14" t="s">
        <v>17</v>
      </c>
      <c r="BC2" s="14"/>
      <c r="BD2" s="14" t="s">
        <v>18</v>
      </c>
      <c r="BE2" s="14"/>
      <c r="BF2" s="14"/>
      <c r="BG2" s="14" t="s">
        <v>19</v>
      </c>
      <c r="BH2" s="14"/>
      <c r="BI2" s="14" t="s">
        <v>20</v>
      </c>
      <c r="BJ2" s="14"/>
      <c r="BK2" s="14"/>
      <c r="BL2" s="14"/>
      <c r="BM2" s="13"/>
      <c r="BN2" s="13"/>
      <c r="BO2" s="13"/>
      <c r="BP2" s="15"/>
    </row>
    <row r="3" customFormat="false" ht="26.25" hidden="false" customHeight="true" outlineLevel="0" collapsed="false">
      <c r="A3" s="7"/>
      <c r="B3" s="8" t="s">
        <v>21</v>
      </c>
      <c r="C3" s="16" t="n">
        <v>45627</v>
      </c>
      <c r="D3" s="17" t="n">
        <f aca="false">C3+1</f>
        <v>45628</v>
      </c>
      <c r="E3" s="17" t="n">
        <f aca="false">D3+1</f>
        <v>45629</v>
      </c>
      <c r="F3" s="17" t="n">
        <f aca="false">E3+1</f>
        <v>45630</v>
      </c>
      <c r="G3" s="17" t="n">
        <f aca="false">F3+1</f>
        <v>45631</v>
      </c>
      <c r="H3" s="17" t="n">
        <f aca="false">G3+1</f>
        <v>45632</v>
      </c>
      <c r="I3" s="17" t="n">
        <f aca="false">H3+1</f>
        <v>45633</v>
      </c>
      <c r="J3" s="17" t="n">
        <f aca="false">I3+1</f>
        <v>45634</v>
      </c>
      <c r="K3" s="17" t="n">
        <f aca="false">J3+1</f>
        <v>45635</v>
      </c>
      <c r="L3" s="17" t="n">
        <f aca="false">K3+1</f>
        <v>45636</v>
      </c>
      <c r="M3" s="17" t="n">
        <f aca="false">L3+1</f>
        <v>45637</v>
      </c>
      <c r="N3" s="17" t="n">
        <f aca="false">M3+1</f>
        <v>45638</v>
      </c>
      <c r="O3" s="17" t="n">
        <f aca="false">N3+1</f>
        <v>45639</v>
      </c>
      <c r="P3" s="17" t="n">
        <f aca="false">O3+1</f>
        <v>45640</v>
      </c>
      <c r="Q3" s="17" t="n">
        <f aca="false">P3+1</f>
        <v>45641</v>
      </c>
      <c r="R3" s="17" t="n">
        <f aca="false">Q3+1</f>
        <v>45642</v>
      </c>
      <c r="S3" s="17" t="n">
        <f aca="false">R3+1</f>
        <v>45643</v>
      </c>
      <c r="T3" s="17" t="n">
        <f aca="false">S3+1</f>
        <v>45644</v>
      </c>
      <c r="U3" s="17" t="n">
        <f aca="false">T3+1</f>
        <v>45645</v>
      </c>
      <c r="V3" s="17" t="n">
        <f aca="false">U3+1</f>
        <v>45646</v>
      </c>
      <c r="W3" s="17" t="n">
        <f aca="false">V3+1</f>
        <v>45647</v>
      </c>
      <c r="X3" s="17" t="n">
        <f aca="false">W3+1</f>
        <v>45648</v>
      </c>
      <c r="Y3" s="17" t="n">
        <f aca="false">X3+1</f>
        <v>45649</v>
      </c>
      <c r="Z3" s="17" t="n">
        <f aca="false">Y3+1</f>
        <v>45650</v>
      </c>
      <c r="AA3" s="17" t="n">
        <f aca="false">Z3+1</f>
        <v>45651</v>
      </c>
      <c r="AB3" s="17" t="n">
        <f aca="false">AA3+1</f>
        <v>45652</v>
      </c>
      <c r="AC3" s="17" t="n">
        <f aca="false">AB3+1</f>
        <v>45653</v>
      </c>
      <c r="AD3" s="17" t="n">
        <f aca="false">AC3+1</f>
        <v>45654</v>
      </c>
      <c r="AE3" s="17" t="n">
        <f aca="false">AD3+1</f>
        <v>45655</v>
      </c>
      <c r="AF3" s="17" t="n">
        <f aca="false">AE3+1</f>
        <v>45656</v>
      </c>
      <c r="AG3" s="17" t="n">
        <f aca="false">AF3+1</f>
        <v>45657</v>
      </c>
      <c r="AH3" s="18" t="str">
        <f aca="false">'Setting key Duty'!$C7</f>
        <v>DM</v>
      </c>
      <c r="AI3" s="19" t="str">
        <f aca="false">'Setting key Duty'!$C8</f>
        <v>CS1</v>
      </c>
      <c r="AJ3" s="20" t="str">
        <f aca="false">'Setting key Duty'!$C9</f>
        <v>CS2</v>
      </c>
      <c r="AK3" s="21" t="str">
        <f aca="false">'Setting key Duty'!$C11</f>
        <v>SB1</v>
      </c>
      <c r="AL3" s="21" t="str">
        <f aca="false">'Setting key Duty'!$C12</f>
        <v>SB2</v>
      </c>
      <c r="AM3" s="21" t="str">
        <f aca="false">'Setting key Duty'!$C13</f>
        <v>AE</v>
      </c>
      <c r="AN3" s="21" t="str">
        <f aca="false">'Setting key Duty'!C14</f>
        <v>EM</v>
      </c>
      <c r="AO3" s="20"/>
      <c r="AP3" s="20" t="s">
        <v>22</v>
      </c>
      <c r="AQ3" s="20" t="s">
        <v>23</v>
      </c>
      <c r="AR3" s="20" t="s">
        <v>24</v>
      </c>
      <c r="AS3" s="20" t="s">
        <v>25</v>
      </c>
      <c r="AT3" s="20" t="s">
        <v>26</v>
      </c>
      <c r="AU3" s="20" t="s">
        <v>27</v>
      </c>
      <c r="AV3" s="20" t="s">
        <v>28</v>
      </c>
      <c r="AW3" s="20" t="s">
        <v>29</v>
      </c>
      <c r="AX3" s="20" t="s">
        <v>30</v>
      </c>
      <c r="AY3" s="20" t="s">
        <v>31</v>
      </c>
      <c r="AZ3" s="21" t="s">
        <v>32</v>
      </c>
      <c r="BA3" s="20" t="s">
        <v>33</v>
      </c>
      <c r="BB3" s="21" t="s">
        <v>34</v>
      </c>
      <c r="BC3" s="20" t="s">
        <v>35</v>
      </c>
      <c r="BD3" s="21" t="s">
        <v>36</v>
      </c>
      <c r="BE3" s="20" t="s">
        <v>37</v>
      </c>
      <c r="BF3" s="20" t="s">
        <v>38</v>
      </c>
      <c r="BG3" s="20" t="s">
        <v>39</v>
      </c>
      <c r="BH3" s="20" t="s">
        <v>40</v>
      </c>
      <c r="BI3" s="20" t="s">
        <v>41</v>
      </c>
      <c r="BJ3" s="20" t="s">
        <v>42</v>
      </c>
      <c r="BK3" s="21" t="str">
        <f aca="false">'Setting key Duty'!C52</f>
        <v>Field Camp</v>
      </c>
      <c r="BL3" s="20" t="s">
        <v>43</v>
      </c>
      <c r="BM3" s="21" t="str">
        <f aca="false">'Setting key Duty'!$C15</f>
        <v>Block</v>
      </c>
      <c r="BN3" s="21" t="str">
        <f aca="false">'Setting key Duty'!C17</f>
        <v>Reserve</v>
      </c>
      <c r="BO3" s="21" t="str">
        <f aca="false">'Setting key Duty'!$C22</f>
        <v>AL</v>
      </c>
      <c r="BP3" s="15"/>
    </row>
    <row r="4" customFormat="false" ht="18" hidden="false" customHeight="true" outlineLevel="0" collapsed="false">
      <c r="A4" s="22"/>
      <c r="B4" s="23" t="s">
        <v>156</v>
      </c>
      <c r="C4" s="24" t="str">
        <f aca="false">TEXT(C3,"ddd")</f>
        <v>Sun</v>
      </c>
      <c r="D4" s="24" t="str">
        <f aca="false">TEXT(D3,"ddd")</f>
        <v>Mon</v>
      </c>
      <c r="E4" s="24" t="str">
        <f aca="false">TEXT(E3,"ddd")</f>
        <v>Tue</v>
      </c>
      <c r="F4" s="24" t="str">
        <f aca="false">TEXT(F3,"ddd")</f>
        <v>Wed</v>
      </c>
      <c r="G4" s="24" t="str">
        <f aca="false">TEXT(G3,"ddd")</f>
        <v>Thu</v>
      </c>
      <c r="H4" s="24" t="str">
        <f aca="false">TEXT(H3,"ddd")</f>
        <v>Fri</v>
      </c>
      <c r="I4" s="24" t="str">
        <f aca="false">TEXT(I3,"ddd")</f>
        <v>Sat</v>
      </c>
      <c r="J4" s="24" t="str">
        <f aca="false">TEXT(J3,"ddd")</f>
        <v>Sun</v>
      </c>
      <c r="K4" s="24" t="str">
        <f aca="false">TEXT(K3,"ddd")</f>
        <v>Mon</v>
      </c>
      <c r="L4" s="24" t="str">
        <f aca="false">TEXT(L3,"ddd")</f>
        <v>Tue</v>
      </c>
      <c r="M4" s="24" t="str">
        <f aca="false">TEXT(M3,"ddd")</f>
        <v>Wed</v>
      </c>
      <c r="N4" s="24" t="str">
        <f aca="false">TEXT(N3,"ddd")</f>
        <v>Thu</v>
      </c>
      <c r="O4" s="24" t="str">
        <f aca="false">TEXT(O3,"ddd")</f>
        <v>Fri</v>
      </c>
      <c r="P4" s="24" t="str">
        <f aca="false">TEXT(P3,"ddd")</f>
        <v>Sat</v>
      </c>
      <c r="Q4" s="24" t="str">
        <f aca="false">TEXT(Q3,"ddd")</f>
        <v>Sun</v>
      </c>
      <c r="R4" s="24" t="str">
        <f aca="false">TEXT(R3,"ddd")</f>
        <v>Mon</v>
      </c>
      <c r="S4" s="24" t="str">
        <f aca="false">TEXT(S3,"ddd")</f>
        <v>Tue</v>
      </c>
      <c r="T4" s="24" t="str">
        <f aca="false">TEXT(T3,"ddd")</f>
        <v>Wed</v>
      </c>
      <c r="U4" s="24" t="str">
        <f aca="false">TEXT(U3,"ddd")</f>
        <v>Thu</v>
      </c>
      <c r="V4" s="24" t="str">
        <f aca="false">TEXT(V3,"ddd")</f>
        <v>Fri</v>
      </c>
      <c r="W4" s="24" t="str">
        <f aca="false">TEXT(W3,"ddd")</f>
        <v>Sat</v>
      </c>
      <c r="X4" s="24" t="str">
        <f aca="false">TEXT(X3,"ddd")</f>
        <v>Sun</v>
      </c>
      <c r="Y4" s="24" t="str">
        <f aca="false">TEXT(Y3,"ddd")</f>
        <v>Mon</v>
      </c>
      <c r="Z4" s="24" t="str">
        <f aca="false">TEXT(Z3,"ddd")</f>
        <v>Tue</v>
      </c>
      <c r="AA4" s="24" t="str">
        <f aca="false">TEXT(AA3,"ddd")</f>
        <v>Wed</v>
      </c>
      <c r="AB4" s="24" t="str">
        <f aca="false">TEXT(AB3,"ddd")</f>
        <v>Thu</v>
      </c>
      <c r="AC4" s="24" t="str">
        <f aca="false">TEXT(AC3,"ddd")</f>
        <v>Fri</v>
      </c>
      <c r="AD4" s="24" t="str">
        <f aca="false">TEXT(AD3,"ddd")</f>
        <v>Sat</v>
      </c>
      <c r="AE4" s="24" t="str">
        <f aca="false">TEXT(AE3,"ddd")</f>
        <v>Sun</v>
      </c>
      <c r="AF4" s="24" t="str">
        <f aca="false">TEXT(AF3,"ddd")</f>
        <v>Mon</v>
      </c>
      <c r="AG4" s="24" t="str">
        <f aca="false">TEXT(AG3,"ddd")</f>
        <v>Tue</v>
      </c>
      <c r="AH4" s="25" t="str">
        <f aca="false">'Setting key Duty'!$B7</f>
        <v>DM</v>
      </c>
      <c r="AI4" s="26" t="str">
        <f aca="false">'Setting key Duty'!$B8</f>
        <v>CS1</v>
      </c>
      <c r="AJ4" s="27" t="str">
        <f aca="false">'Setting key Duty'!$B9</f>
        <v>CS2</v>
      </c>
      <c r="AK4" s="28" t="str">
        <f aca="false">'Setting key Duty'!$B11</f>
        <v>SB1</v>
      </c>
      <c r="AL4" s="28" t="str">
        <f aca="false">'Setting key Duty'!$B12</f>
        <v>SB2</v>
      </c>
      <c r="AM4" s="28" t="str">
        <f aca="false">'Setting key Duty'!$B13</f>
        <v>AE</v>
      </c>
      <c r="AN4" s="28" t="str">
        <f aca="false">'Setting key Duty'!B14</f>
        <v>EM</v>
      </c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 t="s">
        <v>45</v>
      </c>
      <c r="AZ4" s="28" t="s">
        <v>46</v>
      </c>
      <c r="BA4" s="28"/>
      <c r="BB4" s="28" t="s">
        <v>47</v>
      </c>
      <c r="BC4" s="28"/>
      <c r="BD4" s="28" t="s">
        <v>48</v>
      </c>
      <c r="BE4" s="28"/>
      <c r="BF4" s="28" t="s">
        <v>49</v>
      </c>
      <c r="BG4" s="28" t="s">
        <v>50</v>
      </c>
      <c r="BH4" s="28"/>
      <c r="BI4" s="28" t="s">
        <v>51</v>
      </c>
      <c r="BJ4" s="28"/>
      <c r="BK4" s="28" t="str">
        <f aca="false">'Setting key Duty'!B52</f>
        <v>$FC</v>
      </c>
      <c r="BL4" s="28"/>
      <c r="BM4" s="28" t="n">
        <f aca="false">'Setting key Duty'!$B15</f>
        <v>0</v>
      </c>
      <c r="BN4" s="28" t="str">
        <f aca="false">'Setting key Duty'!B17</f>
        <v>RESERVE</v>
      </c>
      <c r="BO4" s="28" t="str">
        <f aca="false">'Setting key Duty'!$B22</f>
        <v>AL</v>
      </c>
      <c r="BP4" s="29"/>
    </row>
    <row r="5" customFormat="false" ht="19.5" hidden="false" customHeight="true" outlineLevel="0" collapsed="false">
      <c r="A5" s="30" t="s">
        <v>52</v>
      </c>
      <c r="B5" s="31" t="s">
        <v>53</v>
      </c>
      <c r="C5" s="32"/>
      <c r="D5" s="32" t="s">
        <v>157</v>
      </c>
      <c r="E5" s="32" t="s">
        <v>57</v>
      </c>
      <c r="F5" s="32" t="s">
        <v>158</v>
      </c>
      <c r="G5" s="32" t="s">
        <v>159</v>
      </c>
      <c r="H5" s="32" t="s">
        <v>160</v>
      </c>
      <c r="I5" s="32" t="s">
        <v>150</v>
      </c>
      <c r="J5" s="32" t="s">
        <v>161</v>
      </c>
      <c r="K5" s="32" t="s">
        <v>158</v>
      </c>
      <c r="L5" s="32" t="s">
        <v>71</v>
      </c>
      <c r="M5" s="32" t="s">
        <v>162</v>
      </c>
      <c r="N5" s="32"/>
      <c r="O5" s="32" t="s">
        <v>55</v>
      </c>
      <c r="P5" s="32"/>
      <c r="Q5" s="32"/>
      <c r="R5" s="32" t="s">
        <v>158</v>
      </c>
      <c r="S5" s="32" t="s">
        <v>71</v>
      </c>
      <c r="T5" s="32" t="s">
        <v>71</v>
      </c>
      <c r="U5" s="32" t="s">
        <v>71</v>
      </c>
      <c r="V5" s="32" t="s">
        <v>54</v>
      </c>
      <c r="W5" s="32" t="s">
        <v>54</v>
      </c>
      <c r="X5" s="32" t="s">
        <v>54</v>
      </c>
      <c r="Y5" s="32" t="s">
        <v>54</v>
      </c>
      <c r="Z5" s="32" t="s">
        <v>57</v>
      </c>
      <c r="AA5" s="84"/>
      <c r="AB5" s="32" t="s">
        <v>57</v>
      </c>
      <c r="AC5" s="32"/>
      <c r="AD5" s="32" t="s">
        <v>54</v>
      </c>
      <c r="AE5" s="32" t="s">
        <v>54</v>
      </c>
      <c r="AF5" s="32" t="s">
        <v>54</v>
      </c>
      <c r="AG5" s="32" t="s">
        <v>54</v>
      </c>
      <c r="AH5" s="35" t="n">
        <f aca="false">COUNTIF($C5:$AE5,AH$4)</f>
        <v>3</v>
      </c>
      <c r="AI5" s="36" t="n">
        <f aca="false">COUNTIF($C5:$AE5,AI$4)</f>
        <v>0</v>
      </c>
      <c r="AJ5" s="35" t="n">
        <f aca="false">COUNTIF($C5:$AE5,AJ$4)</f>
        <v>0</v>
      </c>
      <c r="AK5" s="37" t="n">
        <f aca="false">COUNTIF($C5:$AE5,AK$4)</f>
        <v>0</v>
      </c>
      <c r="AL5" s="37" t="n">
        <f aca="false">COUNTIF($C5:$AE5,AL$4)</f>
        <v>0</v>
      </c>
      <c r="AM5" s="37" t="n">
        <f aca="false">COUNTIF($C5:$AE5,AM$4)</f>
        <v>0</v>
      </c>
      <c r="AN5" s="37" t="n">
        <f aca="false">COUNTIF($C5:$AE5,AN$4)</f>
        <v>0</v>
      </c>
      <c r="AO5" s="38"/>
      <c r="AP5" s="37" t="n">
        <f aca="false">SUMPRODUCT(--WEEKDAY(C$3:AG$3,2)&lt;6,--((C5:AG5="DM"))+(C5:AG5="CS1")+((C5:AG5="CS2"))+(C5:AG5="SB1")+(C5:AG5="AE")+(C5:AG5="EM"))</f>
        <v>3</v>
      </c>
      <c r="AQ5" s="38"/>
      <c r="AR5" s="38" t="n">
        <f aca="false">SUMPRODUCT(--WEEKDAY(C$3:AG$3,2)&gt;5,--((C5:AG5="DM"))+(C5:AG5="CS1")+((C5:AG5="CS2"))+(C5:AG5="SB1")+(C5:AG5="AE")+(C5:AG5="EM"))</f>
        <v>0</v>
      </c>
      <c r="AS5" s="38"/>
      <c r="AT5" s="38" t="n">
        <f aca="false">(AP5-AQ5)/2+(AR5-AS5)</f>
        <v>0</v>
      </c>
      <c r="AU5" s="38" t="n">
        <f aca="false">AH5+AI5+AJ5+AK5+AM5+AN5</f>
        <v>3</v>
      </c>
      <c r="AV5" s="38" t="n">
        <f aca="false">BF5+BG5+BI5+BD5+BB5+AZ5+BK5</f>
        <v>0</v>
      </c>
      <c r="AW5" s="38" t="e">
        <f aca="false">AT5+AX5</f>
        <v>#VALUE!</v>
      </c>
      <c r="AX5" s="37" t="e">
        <f aca="false"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37" t="n">
        <f aca="false">COUNTIF(C5:AE5,"*BRT*")</f>
        <v>0</v>
      </c>
      <c r="AZ5" s="37" t="n">
        <f aca="false">COUNTIF(A5:AH5,"*$BTP*")</f>
        <v>0</v>
      </c>
      <c r="BA5" s="37" t="e">
        <f aca="false">AZ5*('Setting key Duty'!$I$13+'Setting key Duty'!$I$12+'Setting key Duty'!$I$11)</f>
        <v>#VALUE!</v>
      </c>
      <c r="BB5" s="37" t="n">
        <f aca="false">COUNTIF(A5:AH5,"*$L*")</f>
        <v>0</v>
      </c>
      <c r="BC5" s="37" t="e">
        <f aca="false">BB5*('Setting key Duty'!$I$13+'Setting key Duty'!$I$9)</f>
        <v>#VALUE!</v>
      </c>
      <c r="BD5" s="37" t="n">
        <f aca="false">COUNTIF(A5:AH5,"*$M*")</f>
        <v>0</v>
      </c>
      <c r="BE5" s="37" t="n">
        <f aca="false">BD5*('Setting key Duty'!$I$8+'Setting key Duty'!$I$9+'Setting key Duty'!$I$12)</f>
        <v>0</v>
      </c>
      <c r="BF5" s="37" t="n">
        <f aca="false">COUNTIF(AF5:AH5,"*$N*")</f>
        <v>0</v>
      </c>
      <c r="BG5" s="37" t="n">
        <f aca="false">COUNTIF(AF5:AH5,"*$PM*")</f>
        <v>0</v>
      </c>
      <c r="BH5" s="37" t="n">
        <f aca="false">BG5*('Setting key Duty'!$I$9)</f>
        <v>0</v>
      </c>
      <c r="BI5" s="37" t="n">
        <f aca="false">COUNTIF(A5:AH5,"*$AM*")</f>
        <v>0</v>
      </c>
      <c r="BJ5" s="37" t="n">
        <f aca="false">BI5*('Setting key Duty'!$I$12+'Setting key Duty'!$I$8)</f>
        <v>0</v>
      </c>
      <c r="BK5" s="37" t="n">
        <f aca="false">COUNTIF(C5:AH5,"*$FC*")</f>
        <v>0</v>
      </c>
      <c r="BL5" s="37" t="n">
        <f aca="false">BK5*('Setting key Duty'!$J$11+'Setting key Duty'!$I$8)</f>
        <v>0</v>
      </c>
      <c r="BM5" s="37" t="n">
        <f aca="false">COUNTIF($C5:$AE5,BM$4)</f>
        <v>0</v>
      </c>
      <c r="BN5" s="37" t="n">
        <f aca="false">COUNTIF($C5:$AE5,BN$4)</f>
        <v>0</v>
      </c>
      <c r="BO5" s="37" t="n">
        <f aca="false">COUNTIF($C5:$AE5,BO$4)</f>
        <v>1</v>
      </c>
      <c r="BP5" s="39"/>
    </row>
    <row r="6" customFormat="false" ht="36" hidden="false" customHeight="true" outlineLevel="0" collapsed="false">
      <c r="A6" s="30"/>
      <c r="B6" s="40" t="s">
        <v>60</v>
      </c>
      <c r="D6" s="32" t="s">
        <v>54</v>
      </c>
      <c r="E6" s="32" t="s">
        <v>71</v>
      </c>
      <c r="F6" s="32" t="s">
        <v>71</v>
      </c>
      <c r="G6" s="32" t="s">
        <v>71</v>
      </c>
      <c r="H6" s="32" t="s">
        <v>71</v>
      </c>
      <c r="I6" s="32" t="s">
        <v>71</v>
      </c>
      <c r="J6" s="32" t="s">
        <v>71</v>
      </c>
      <c r="K6" s="32" t="s">
        <v>71</v>
      </c>
      <c r="L6" s="32" t="s">
        <v>71</v>
      </c>
      <c r="M6" s="32" t="s">
        <v>71</v>
      </c>
      <c r="N6" s="32" t="s">
        <v>56</v>
      </c>
      <c r="O6" s="32"/>
      <c r="P6" s="32" t="s">
        <v>59</v>
      </c>
      <c r="Q6" s="33"/>
      <c r="R6" s="32" t="s">
        <v>56</v>
      </c>
      <c r="T6" s="32" t="s">
        <v>56</v>
      </c>
      <c r="U6" s="32" t="s">
        <v>55</v>
      </c>
      <c r="W6" s="32" t="s">
        <v>59</v>
      </c>
      <c r="Y6" s="32" t="s">
        <v>55</v>
      </c>
      <c r="Z6" s="34" t="s">
        <v>55</v>
      </c>
      <c r="AA6" s="84"/>
      <c r="AC6" s="32"/>
      <c r="AD6" s="32" t="s">
        <v>54</v>
      </c>
      <c r="AE6" s="32" t="s">
        <v>54</v>
      </c>
      <c r="AF6" s="32" t="s">
        <v>54</v>
      </c>
      <c r="AG6" s="32" t="s">
        <v>54</v>
      </c>
      <c r="AH6" s="35" t="n">
        <f aca="false">COUNTIF($D6:$AE6,AH$4)</f>
        <v>0</v>
      </c>
      <c r="AI6" s="36" t="n">
        <f aca="false">COUNTIF($D6:$AE6,AI$4)</f>
        <v>3</v>
      </c>
      <c r="AJ6" s="35" t="n">
        <f aca="false">COUNTIF($D6:$AE6,AJ$4)</f>
        <v>2</v>
      </c>
      <c r="AK6" s="37" t="n">
        <f aca="false">COUNTIF($D6:$AE6,AK$4)</f>
        <v>0</v>
      </c>
      <c r="AL6" s="37" t="n">
        <f aca="false">COUNTIF($D6:$AE6,AL$4)</f>
        <v>0</v>
      </c>
      <c r="AM6" s="37" t="n">
        <f aca="false">COUNTIF($D6:$AE6,AM$4)</f>
        <v>0</v>
      </c>
      <c r="AN6" s="37" t="n">
        <f aca="false">COUNTIF($D6:$AE6,AN$4)</f>
        <v>0</v>
      </c>
      <c r="AO6" s="38"/>
      <c r="AP6" s="37" t="n">
        <f aca="false">SUMPRODUCT(--WEEKDAY(C$3:AG$3,2)&lt;6,--((C6:AG6="DM"))+(C6:AG6="CS1")+((C6:AG6="CS2"))+(C6:AG6="SB1")+(C6:AG6="AE")+(C6:AG6="EM"))</f>
        <v>3</v>
      </c>
      <c r="AQ6" s="38"/>
      <c r="AR6" s="38" t="n">
        <f aca="false">SUMPRODUCT(--WEEKDAY(C$3:AG$3,2)&gt;5,--((C6:AG6="DM"))+(C6:AG6="CS1")+((C6:AG6="CS2"))+(C6:AG6="SB1")+(C6:AG6="AE")+(C6:AG6="EM"))</f>
        <v>2</v>
      </c>
      <c r="AS6" s="38"/>
      <c r="AT6" s="38" t="n">
        <f aca="false">(AP6-AQ6)/2+(AR6-AS6)</f>
        <v>0</v>
      </c>
      <c r="AU6" s="38" t="n">
        <f aca="false">AH6+AI6+AJ6+AK6+AM6+AN6</f>
        <v>5</v>
      </c>
      <c r="AV6" s="38" t="e">
        <f aca="false">AT6+AX6</f>
        <v>#VALUE!</v>
      </c>
      <c r="AW6" s="38" t="e">
        <f aca="false">AT6+AX6</f>
        <v>#VALUE!</v>
      </c>
      <c r="AX6" s="37" t="e">
        <f aca="false"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37" t="n">
        <f aca="false">COUNTIF(D6:AE6,"*BRT*")</f>
        <v>0</v>
      </c>
      <c r="AZ6" s="37" t="n">
        <f aca="false">COUNTIF(A6:AH6,"*$BTP*")</f>
        <v>0</v>
      </c>
      <c r="BA6" s="37" t="e">
        <f aca="false">AZ6*('Setting key Duty'!$I$13+'Setting key Duty'!$I$12+'Setting key Duty'!$I$11)</f>
        <v>#VALUE!</v>
      </c>
      <c r="BB6" s="37" t="n">
        <f aca="false">COUNTIF(A6:AH6,"*$L*")</f>
        <v>0</v>
      </c>
      <c r="BC6" s="37" t="e">
        <f aca="false">BB6*('Setting key Duty'!$I$13+'Setting key Duty'!$I$9)</f>
        <v>#VALUE!</v>
      </c>
      <c r="BD6" s="37" t="n">
        <f aca="false">COUNTIF(A6:AH6,"*$M*")</f>
        <v>0</v>
      </c>
      <c r="BE6" s="37" t="n">
        <f aca="false">BD6*('Setting key Duty'!$I$8+'Setting key Duty'!$I$9+'Setting key Duty'!$I$12)</f>
        <v>0</v>
      </c>
      <c r="BF6" s="37" t="n">
        <f aca="false">COUNTIF(AF6:AH6,"*$N*")</f>
        <v>0</v>
      </c>
      <c r="BG6" s="37" t="n">
        <f aca="false">COUNTIF(AF6:AH6,"*$PM*")</f>
        <v>0</v>
      </c>
      <c r="BH6" s="37" t="n">
        <f aca="false">BG6*('Setting key Duty'!$I$9)</f>
        <v>0</v>
      </c>
      <c r="BI6" s="37" t="n">
        <f aca="false">COUNTIF(A6:AH6,"*$AM*")</f>
        <v>0</v>
      </c>
      <c r="BJ6" s="37" t="n">
        <f aca="false">BI6*('Setting key Duty'!$I$12+'Setting key Duty'!$I$8)</f>
        <v>0</v>
      </c>
      <c r="BK6" s="37" t="n">
        <f aca="false">COUNTIF(D6:AH6,"*$FC*")</f>
        <v>0</v>
      </c>
      <c r="BL6" s="37" t="n">
        <f aca="false">BK6*('Setting key Duty'!$J$11+'Setting key Duty'!$I$8)</f>
        <v>0</v>
      </c>
      <c r="BM6" s="37" t="n">
        <f aca="false">COUNTIF($D6:$AE6,BM$4)</f>
        <v>0</v>
      </c>
      <c r="BN6" s="37" t="n">
        <f aca="false">COUNTIF($D6:$AE6,BN$4)</f>
        <v>0</v>
      </c>
      <c r="BO6" s="37" t="n">
        <f aca="false">COUNTIF($D6:$AE6,BO$4)</f>
        <v>3</v>
      </c>
      <c r="BP6" s="39"/>
    </row>
    <row r="7" customFormat="false" ht="19.5" hidden="false" customHeight="true" outlineLevel="0" collapsed="false">
      <c r="A7" s="30"/>
      <c r="B7" s="41" t="s">
        <v>62</v>
      </c>
      <c r="C7" s="32" t="s">
        <v>57</v>
      </c>
      <c r="D7" s="33"/>
      <c r="E7" s="32" t="s">
        <v>58</v>
      </c>
      <c r="F7" s="32" t="s">
        <v>93</v>
      </c>
      <c r="G7" s="32" t="s">
        <v>71</v>
      </c>
      <c r="H7" s="42" t="s">
        <v>59</v>
      </c>
      <c r="J7" s="32"/>
      <c r="K7" s="32"/>
      <c r="L7" s="32" t="s">
        <v>59</v>
      </c>
      <c r="M7" s="33"/>
      <c r="N7" s="32"/>
      <c r="O7" s="32"/>
      <c r="P7" s="32"/>
      <c r="Q7" s="32" t="s">
        <v>57</v>
      </c>
      <c r="R7" s="32"/>
      <c r="S7" s="32" t="s">
        <v>56</v>
      </c>
      <c r="T7" s="32"/>
      <c r="U7" s="32"/>
      <c r="V7" s="32"/>
      <c r="W7" s="32" t="s">
        <v>54</v>
      </c>
      <c r="X7" s="32" t="s">
        <v>54</v>
      </c>
      <c r="Y7" s="32" t="s">
        <v>54</v>
      </c>
      <c r="Z7" s="32" t="s">
        <v>54</v>
      </c>
      <c r="AA7" s="84" t="s">
        <v>54</v>
      </c>
      <c r="AB7" s="32" t="s">
        <v>54</v>
      </c>
      <c r="AC7" s="32" t="s">
        <v>54</v>
      </c>
      <c r="AD7" s="32" t="s">
        <v>54</v>
      </c>
      <c r="AE7" s="32" t="s">
        <v>54</v>
      </c>
      <c r="AF7" s="32" t="s">
        <v>54</v>
      </c>
      <c r="AG7" s="32" t="s">
        <v>54</v>
      </c>
      <c r="AH7" s="35" t="n">
        <f aca="false">COUNTIF($C7:$D7,AH$4)</f>
        <v>1</v>
      </c>
      <c r="AI7" s="36" t="n">
        <f aca="false">COUNTIF($C7:$D7,AI$4)</f>
        <v>0</v>
      </c>
      <c r="AJ7" s="35" t="n">
        <f aca="false">COUNTIF($C7:$D7,AJ$4)</f>
        <v>0</v>
      </c>
      <c r="AK7" s="37" t="n">
        <f aca="false">COUNTIF($C7:$D7,AK$4)</f>
        <v>0</v>
      </c>
      <c r="AL7" s="37" t="n">
        <f aca="false">COUNTIF($C7:$D7,AL$4)</f>
        <v>0</v>
      </c>
      <c r="AM7" s="37" t="n">
        <f aca="false">COUNTIF($C7:$D7,AM$4)</f>
        <v>0</v>
      </c>
      <c r="AN7" s="37" t="n">
        <f aca="false">COUNTIF($C7:$D7,AN$4)</f>
        <v>0</v>
      </c>
      <c r="AO7" s="38"/>
      <c r="AP7" s="37" t="n">
        <f aca="false">SUMPRODUCT(--WEEKDAY(C$3:AG$3,2)&lt;6,--((C7:AG7="DM"))+(C7:AG7="CS1")+((C7:AG7="CS2"))+(C7:AG7="SB1")+(C7:AG7="AE")+(C7:AG7="EM"))</f>
        <v>4</v>
      </c>
      <c r="AQ7" s="38"/>
      <c r="AR7" s="38" t="n">
        <f aca="false">SUMPRODUCT(--WEEKDAY(C$3:AG$3,2)&gt;5,--((C7:AG7="DM"))+(C7:AG7="CS1")+((C7:AG7="CS2"))+(C7:AG7="SB1")+(C7:AG7="AE")+(C7:AG7="EM"))</f>
        <v>2</v>
      </c>
      <c r="AS7" s="38"/>
      <c r="AT7" s="38" t="n">
        <f aca="false">(AP7-AQ7)/2+(AR7-AS7)</f>
        <v>0</v>
      </c>
      <c r="AU7" s="38" t="n">
        <f aca="false">AH7+AI7+AJ7+AK7+AM7+AN7</f>
        <v>1</v>
      </c>
      <c r="AV7" s="38" t="n">
        <f aca="false">BF7+BG7+BI7+BD7+BB7+AZ7+BK7</f>
        <v>0</v>
      </c>
      <c r="AW7" s="38" t="e">
        <f aca="false">AT7+AX7</f>
        <v>#VALUE!</v>
      </c>
      <c r="AX7" s="37" t="e">
        <f aca="false"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37" t="n">
        <f aca="false">COUNTIF(C7:D7,"*BRT*")</f>
        <v>0</v>
      </c>
      <c r="AZ7" s="37" t="n">
        <f aca="false">COUNTIF(A7:AH7,"*$BTP*")</f>
        <v>0</v>
      </c>
      <c r="BA7" s="37" t="e">
        <f aca="false">AZ7*('Setting key Duty'!$I$13+'Setting key Duty'!$I$12+'Setting key Duty'!$I$11)</f>
        <v>#VALUE!</v>
      </c>
      <c r="BB7" s="37" t="n">
        <f aca="false">COUNTIF(A7:AH7,"*$L*")</f>
        <v>0</v>
      </c>
      <c r="BC7" s="37" t="e">
        <f aca="false">BB7*('Setting key Duty'!$I$13+'Setting key Duty'!$I$9)</f>
        <v>#VALUE!</v>
      </c>
      <c r="BD7" s="37" t="n">
        <f aca="false">COUNTIF(A7:AH7,"*$M*")</f>
        <v>0</v>
      </c>
      <c r="BE7" s="37" t="n">
        <f aca="false">BD7*('Setting key Duty'!$I$8+'Setting key Duty'!$I$9+'Setting key Duty'!$I$12)</f>
        <v>0</v>
      </c>
      <c r="BF7" s="37" t="n">
        <f aca="false">COUNTIF(A7:AH7,"*$N*")</f>
        <v>0</v>
      </c>
      <c r="BG7" s="37" t="n">
        <f aca="false">COUNTIF(AG7:AH7,"*$PM*")</f>
        <v>0</v>
      </c>
      <c r="BH7" s="37" t="n">
        <f aca="false">BG7*('Setting key Duty'!$I$9)</f>
        <v>0</v>
      </c>
      <c r="BI7" s="37" t="n">
        <f aca="false">COUNTIF(A7:AH7,"*$AM*")</f>
        <v>0</v>
      </c>
      <c r="BJ7" s="37" t="n">
        <f aca="false">BI7*('Setting key Duty'!$I$12+'Setting key Duty'!$I$8)</f>
        <v>0</v>
      </c>
      <c r="BK7" s="37" t="n">
        <f aca="false">COUNTIF(C7:AH7,"*$FC*")</f>
        <v>0</v>
      </c>
      <c r="BL7" s="37" t="n">
        <f aca="false">BK7*('Setting key Duty'!$J$11+'Setting key Duty'!$I$8)</f>
        <v>0</v>
      </c>
      <c r="BM7" s="37" t="n">
        <f aca="false">COUNTIF($C7:$D7,BM$4)</f>
        <v>0</v>
      </c>
      <c r="BN7" s="37" t="n">
        <f aca="false">COUNTIF($C7:$D7,BN$4)</f>
        <v>0</v>
      </c>
      <c r="BO7" s="37" t="n">
        <f aca="false">COUNTIF($C7:$D7,BO$4)</f>
        <v>0</v>
      </c>
      <c r="BP7" s="39"/>
    </row>
    <row r="8" customFormat="false" ht="19.5" hidden="false" customHeight="true" outlineLevel="0" collapsed="false">
      <c r="A8" s="30"/>
      <c r="B8" s="41" t="s">
        <v>63</v>
      </c>
      <c r="C8" s="32" t="s">
        <v>56</v>
      </c>
      <c r="D8" s="33"/>
      <c r="E8" s="33"/>
      <c r="F8" s="45" t="s">
        <v>57</v>
      </c>
      <c r="J8" s="32" t="s">
        <v>57</v>
      </c>
      <c r="K8" s="32"/>
      <c r="M8" s="33"/>
      <c r="N8" s="32" t="s">
        <v>57</v>
      </c>
      <c r="O8" s="32"/>
      <c r="P8" s="32"/>
      <c r="Q8" s="32"/>
      <c r="R8" s="32" t="s">
        <v>55</v>
      </c>
      <c r="S8" s="33"/>
      <c r="T8" s="32"/>
      <c r="U8" s="32" t="s">
        <v>59</v>
      </c>
      <c r="V8" s="32" t="s">
        <v>163</v>
      </c>
      <c r="W8" s="32"/>
      <c r="X8" s="32"/>
      <c r="Y8" s="32" t="s">
        <v>55</v>
      </c>
      <c r="Z8" s="32"/>
      <c r="AA8" s="84"/>
      <c r="AC8" s="32"/>
      <c r="AD8" s="32"/>
      <c r="AE8" s="32"/>
      <c r="AF8" s="32" t="s">
        <v>57</v>
      </c>
      <c r="AG8" s="32"/>
      <c r="AH8" s="35"/>
      <c r="AI8" s="36"/>
      <c r="AJ8" s="35"/>
      <c r="AK8" s="37"/>
      <c r="AL8" s="37"/>
      <c r="AM8" s="37"/>
      <c r="AN8" s="37"/>
      <c r="AO8" s="38"/>
      <c r="AP8" s="37" t="n">
        <f aca="false">SUMPRODUCT(--WEEKDAY(C$3:AG$3,2)&lt;6,--((C8:AG8="DM"))+(C8:AG8="CS1")+((C8:AG8="CS2"))+(C8:AG8="SB1")+(C8:AG8="AE")+(C8:AG8="EM"))</f>
        <v>4</v>
      </c>
      <c r="AQ8" s="38"/>
      <c r="AR8" s="38" t="n">
        <f aca="false">SUMPRODUCT(--WEEKDAY(C$3:AG$3,2)&gt;5,--((C8:AG8="DM"))+(C8:AG8="CS1")+((C8:AG8="CS2"))+(C8:AG8="SB1")+(C8:AG8="AE")+(C8:AG8="EM"))</f>
        <v>2</v>
      </c>
      <c r="AS8" s="38"/>
      <c r="AT8" s="38"/>
      <c r="AU8" s="38"/>
      <c r="AV8" s="38"/>
      <c r="AW8" s="38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9"/>
    </row>
    <row r="9" customFormat="false" ht="19.5" hidden="false" customHeight="true" outlineLevel="0" collapsed="false">
      <c r="A9" s="30"/>
      <c r="B9" s="43" t="s">
        <v>64</v>
      </c>
      <c r="C9" s="32" t="s">
        <v>59</v>
      </c>
      <c r="D9" s="32"/>
      <c r="E9" s="33"/>
      <c r="F9" s="32" t="s">
        <v>65</v>
      </c>
      <c r="G9" s="33"/>
      <c r="H9" s="32" t="s">
        <v>56</v>
      </c>
      <c r="I9" s="32"/>
      <c r="J9" s="32" t="s">
        <v>56</v>
      </c>
      <c r="K9" s="32" t="s">
        <v>55</v>
      </c>
      <c r="L9" s="32" t="s">
        <v>56</v>
      </c>
      <c r="M9" s="33"/>
      <c r="N9" s="32" t="s">
        <v>164</v>
      </c>
      <c r="O9" s="32" t="s">
        <v>54</v>
      </c>
      <c r="P9" s="32" t="s">
        <v>54</v>
      </c>
      <c r="Q9" s="32" t="s">
        <v>54</v>
      </c>
      <c r="R9" s="32" t="s">
        <v>54</v>
      </c>
      <c r="S9" s="32" t="s">
        <v>55</v>
      </c>
      <c r="T9" s="32"/>
      <c r="U9" s="33"/>
      <c r="V9" s="32" t="s">
        <v>55</v>
      </c>
      <c r="W9" s="32"/>
      <c r="X9" s="32"/>
      <c r="Y9" s="32"/>
      <c r="Z9" s="32"/>
      <c r="AA9" s="84" t="s">
        <v>56</v>
      </c>
      <c r="AB9" s="34"/>
      <c r="AD9" s="32" t="s">
        <v>57</v>
      </c>
      <c r="AE9" s="32"/>
      <c r="AG9" s="32" t="s">
        <v>57</v>
      </c>
      <c r="AH9" s="35"/>
      <c r="AI9" s="36"/>
      <c r="AJ9" s="35"/>
      <c r="AK9" s="37"/>
      <c r="AL9" s="37"/>
      <c r="AM9" s="37"/>
      <c r="AN9" s="37"/>
      <c r="AO9" s="38"/>
      <c r="AP9" s="37" t="n">
        <f aca="false">SUMPRODUCT(--WEEKDAY(C$3:AG$3,2)&lt;6,--((C9:AG9="DM"))+(C9:AG9="CS1")+((C9:AG9="CS2"))+(C9:AG9="SB1")+(C9:AG9="AE")+(C9:AG9="EM"))</f>
        <v>5</v>
      </c>
      <c r="AQ9" s="38"/>
      <c r="AR9" s="38" t="n">
        <f aca="false">SUMPRODUCT(--WEEKDAY(C$3:AG$3,2)&gt;5,--((C9:AG9="DM"))+(C9:AG9="CS1")+((C9:AG9="CS2"))+(C9:AG9="SB1")+(C9:AG9="AE")+(C9:AG9="EM"))</f>
        <v>3</v>
      </c>
      <c r="AS9" s="38"/>
      <c r="AT9" s="38" t="n">
        <f aca="false">(AP9-AQ9)/2+(AR9-AS9)</f>
        <v>5.5</v>
      </c>
      <c r="AU9" s="38" t="n">
        <f aca="false">AH9+AI9+AJ9+AK9+AM9+AN9</f>
        <v>0</v>
      </c>
      <c r="AV9" s="38" t="n">
        <f aca="false">BF9+BG9+BI9+BD9+BB9+AZ9+BK9</f>
        <v>0</v>
      </c>
      <c r="AW9" s="38" t="e">
        <f aca="false">AT9+AX9</f>
        <v>#VALUE!</v>
      </c>
      <c r="AX9" s="37" t="e">
        <f aca="false"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37" t="n">
        <f aca="false">COUNTIF(D9:Z9,"*BRT*")</f>
        <v>0</v>
      </c>
      <c r="AZ9" s="37" t="n">
        <f aca="false">COUNTIF(A9:AH9,"*$BTP*")</f>
        <v>0</v>
      </c>
      <c r="BA9" s="37" t="e">
        <f aca="false">AZ9*('Setting key Duty'!$I$13+'Setting key Duty'!$I$12+'Setting key Duty'!$I$11)</f>
        <v>#VALUE!</v>
      </c>
      <c r="BB9" s="37" t="n">
        <f aca="false">COUNTIF(A9:AH9,"*$L*")</f>
        <v>0</v>
      </c>
      <c r="BC9" s="37" t="e">
        <f aca="false">BB9*('Setting key Duty'!$I$13+'Setting key Duty'!$I$9)</f>
        <v>#VALUE!</v>
      </c>
      <c r="BD9" s="37" t="n">
        <f aca="false">COUNTIF(A9:AH9,"*$M*")</f>
        <v>0</v>
      </c>
      <c r="BE9" s="37" t="n">
        <f aca="false">BD9*('Setting key Duty'!$I$8+'Setting key Duty'!$I$9+'Setting key Duty'!$I$12)</f>
        <v>0</v>
      </c>
      <c r="BF9" s="37" t="n">
        <f aca="false">COUNTIF(AH9,"*$N*")</f>
        <v>0</v>
      </c>
      <c r="BG9" s="37" t="n">
        <f aca="false">COUNTIF(AH9,"*$PM*")</f>
        <v>0</v>
      </c>
      <c r="BH9" s="37" t="n">
        <f aca="false">BG9*('Setting key Duty'!$I$9)</f>
        <v>0</v>
      </c>
      <c r="BI9" s="37" t="n">
        <f aca="false">COUNTIF(A9:AH9,"*$AM*")</f>
        <v>0</v>
      </c>
      <c r="BJ9" s="37" t="n">
        <f aca="false">BI9*('Setting key Duty'!$I$12+'Setting key Duty'!$I$8)</f>
        <v>0</v>
      </c>
      <c r="BK9" s="37" t="n">
        <f aca="false">COUNTIF(D9:AH9,"*$FC*")</f>
        <v>0</v>
      </c>
      <c r="BL9" s="37" t="n">
        <f aca="false">BK9*('Setting key Duty'!$J$11+'Setting key Duty'!$I$8)</f>
        <v>0</v>
      </c>
      <c r="BM9" s="37" t="n">
        <f aca="false">COUNTIF($D9:$Z9,BM$4)</f>
        <v>0</v>
      </c>
      <c r="BN9" s="37" t="n">
        <f aca="false">COUNTIF($D9:$Z9,BN$4)</f>
        <v>0</v>
      </c>
      <c r="BO9" s="37" t="n">
        <f aca="false">COUNTIF($D9:$Z9,BO$4)</f>
        <v>3</v>
      </c>
      <c r="BP9" s="39"/>
    </row>
    <row r="10" customFormat="false" ht="32.8" hidden="false" customHeight="false" outlineLevel="0" collapsed="false">
      <c r="A10" s="30"/>
      <c r="B10" s="40" t="s">
        <v>66</v>
      </c>
      <c r="C10" s="32"/>
      <c r="D10" s="32" t="s">
        <v>57</v>
      </c>
      <c r="E10" s="32"/>
      <c r="F10" s="32" t="s">
        <v>58</v>
      </c>
      <c r="G10" s="32" t="s">
        <v>159</v>
      </c>
      <c r="H10" s="32" t="s">
        <v>160</v>
      </c>
      <c r="I10" s="32" t="s">
        <v>150</v>
      </c>
      <c r="J10" s="32" t="s">
        <v>161</v>
      </c>
      <c r="K10" s="32" t="s">
        <v>55</v>
      </c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84"/>
      <c r="AB10" s="32"/>
      <c r="AC10" s="32"/>
      <c r="AD10" s="32"/>
      <c r="AE10" s="32"/>
      <c r="AF10" s="32"/>
      <c r="AG10" s="32"/>
      <c r="AH10" s="35" t="n">
        <f aca="false">COUNTIF($C10:$AE10,AH$4)</f>
        <v>1</v>
      </c>
      <c r="AI10" s="36" t="n">
        <f aca="false">COUNTIF($C10:$AE10,AI$4)</f>
        <v>0</v>
      </c>
      <c r="AJ10" s="35" t="n">
        <f aca="false">COUNTIF($C10:$AE10,AJ$4)</f>
        <v>0</v>
      </c>
      <c r="AK10" s="37" t="n">
        <f aca="false">COUNTIF($C10:$AE10,AK$4)</f>
        <v>1</v>
      </c>
      <c r="AL10" s="37" t="n">
        <f aca="false">COUNTIF($C10:$AE10,AL$4)</f>
        <v>0</v>
      </c>
      <c r="AM10" s="37" t="n">
        <f aca="false">COUNTIF($C10:$AE10,AM$4)</f>
        <v>0</v>
      </c>
      <c r="AN10" s="37" t="n">
        <f aca="false">COUNTIF($C10:$AE10,AN$4)</f>
        <v>0</v>
      </c>
      <c r="AO10" s="38"/>
      <c r="AP10" s="37" t="n">
        <f aca="false">SUMPRODUCT(--WEEKDAY(C$3:AG$3,2)&lt;6,--((C10:AG10="DM"))+(C10:AG10="CS1")+((C10:AG10="CS2"))+(C10:AG10="SB1")+(C10:AG10="AE")+(C10:AG10="EM"))</f>
        <v>2</v>
      </c>
      <c r="AQ10" s="38"/>
      <c r="AR10" s="38" t="n">
        <f aca="false">SUMPRODUCT(--WEEKDAY(C$3:AG$3,2)&gt;5,--((C10:AG10="DM"))+(C10:AG10="CS1")+((C10:AG10="CS2"))+(C10:AG10="SB1")+(C10:AG10="AE")+(C10:AG10="EM"))</f>
        <v>0</v>
      </c>
      <c r="AS10" s="38"/>
      <c r="AT10" s="38" t="n">
        <f aca="false">(AP10-AQ10)/2+(AR10-AS10)</f>
        <v>1</v>
      </c>
      <c r="AU10" s="38" t="n">
        <f aca="false">AH10+AI10+AJ10+AK10+AM10+AN10</f>
        <v>2</v>
      </c>
      <c r="AV10" s="38" t="n">
        <f aca="false">BF10+BG10+BI10+BD10+BB10+AZ10+BK10</f>
        <v>0</v>
      </c>
      <c r="AW10" s="38" t="e">
        <f aca="false">AT10+AX10</f>
        <v>#VALUE!</v>
      </c>
      <c r="AX10" s="37" t="e">
        <f aca="false"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37" t="n">
        <f aca="false">COUNTIF(C10:AE10,"*BRT*")</f>
        <v>0</v>
      </c>
      <c r="AZ10" s="37" t="n">
        <f aca="false">COUNTIF(A10:AH10,"*$BTP*")</f>
        <v>0</v>
      </c>
      <c r="BA10" s="37" t="e">
        <f aca="false">AZ10*('Setting key Duty'!$I$13+'Setting key Duty'!$I$12+'Setting key Duty'!$I$11)</f>
        <v>#VALUE!</v>
      </c>
      <c r="BB10" s="37" t="n">
        <f aca="false">COUNTIF(A10:AH10,"*$L*")</f>
        <v>0</v>
      </c>
      <c r="BC10" s="37" t="e">
        <f aca="false">BB10*('Setting key Duty'!$I$13+'Setting key Duty'!$I$9)</f>
        <v>#VALUE!</v>
      </c>
      <c r="BD10" s="37" t="n">
        <f aca="false">COUNTIF(A10:AH10,"*$M*")</f>
        <v>0</v>
      </c>
      <c r="BE10" s="37" t="n">
        <f aca="false">BD10*('Setting key Duty'!$I$8+'Setting key Duty'!$I$9+'Setting key Duty'!$I$12)</f>
        <v>0</v>
      </c>
      <c r="BF10" s="37" t="n">
        <f aca="false">COUNTIF(A10:AH10,"*$N*")</f>
        <v>0</v>
      </c>
      <c r="BG10" s="37" t="n">
        <f aca="false">COUNTIF(AF10:AH10,"*$PM*")</f>
        <v>0</v>
      </c>
      <c r="BH10" s="37" t="n">
        <f aca="false">BG10*('Setting key Duty'!$I$9)</f>
        <v>0</v>
      </c>
      <c r="BI10" s="37" t="n">
        <f aca="false">COUNTIF(A10:AH10,"*$AM*")</f>
        <v>0</v>
      </c>
      <c r="BJ10" s="37" t="n">
        <f aca="false">BI10*('Setting key Duty'!$I$12+'Setting key Duty'!$I$8)</f>
        <v>0</v>
      </c>
      <c r="BK10" s="37" t="n">
        <f aca="false">COUNTIF(C10:AH10,"*$FC*")</f>
        <v>0</v>
      </c>
      <c r="BL10" s="37" t="n">
        <f aca="false">BK10*('Setting key Duty'!$J$11+'Setting key Duty'!$I$8)</f>
        <v>0</v>
      </c>
      <c r="BM10" s="37" t="n">
        <f aca="false">COUNTIF($C10:$AE10,BM$4)</f>
        <v>0</v>
      </c>
      <c r="BN10" s="37" t="n">
        <f aca="false">COUNTIF($C10:$AE10,BN$4)</f>
        <v>0</v>
      </c>
      <c r="BO10" s="37" t="n">
        <f aca="false">COUNTIF($C10:$AE10,BO$4)</f>
        <v>1</v>
      </c>
      <c r="BP10" s="39"/>
    </row>
    <row r="11" customFormat="false" ht="19.5" hidden="false" customHeight="true" outlineLevel="0" collapsed="false">
      <c r="A11" s="30"/>
      <c r="B11" s="41" t="s">
        <v>68</v>
      </c>
      <c r="C11" s="32"/>
      <c r="D11" s="32" t="s">
        <v>157</v>
      </c>
      <c r="E11" s="45" t="s">
        <v>59</v>
      </c>
      <c r="F11" s="33"/>
      <c r="G11" s="32" t="s">
        <v>56</v>
      </c>
      <c r="H11" s="32" t="s">
        <v>158</v>
      </c>
      <c r="K11" s="32" t="s">
        <v>59</v>
      </c>
      <c r="L11" s="32"/>
      <c r="M11" s="32" t="s">
        <v>59</v>
      </c>
      <c r="N11" s="32"/>
      <c r="O11" s="42" t="s">
        <v>54</v>
      </c>
      <c r="P11" s="42" t="s">
        <v>54</v>
      </c>
      <c r="Q11" s="42" t="s">
        <v>54</v>
      </c>
      <c r="R11" s="42" t="s">
        <v>55</v>
      </c>
      <c r="S11" s="32"/>
      <c r="V11" s="33"/>
      <c r="W11" s="32"/>
      <c r="X11" s="32" t="s">
        <v>59</v>
      </c>
      <c r="Y11" s="32"/>
      <c r="Z11" s="32" t="s">
        <v>59</v>
      </c>
      <c r="AA11" s="84"/>
      <c r="AB11" s="32"/>
      <c r="AC11" s="32"/>
      <c r="AD11" s="32"/>
      <c r="AE11" s="32" t="s">
        <v>59</v>
      </c>
      <c r="AF11" s="34"/>
      <c r="AG11" s="32" t="s">
        <v>56</v>
      </c>
      <c r="AH11" s="35"/>
      <c r="AI11" s="36"/>
      <c r="AJ11" s="35"/>
      <c r="AK11" s="37"/>
      <c r="AL11" s="37"/>
      <c r="AM11" s="37"/>
      <c r="AN11" s="37"/>
      <c r="AO11" s="38"/>
      <c r="AP11" s="37" t="n">
        <f aca="false">SUMPRODUCT(--WEEKDAY(C$3:AG$3,2)&lt;6,--((C11:AG11="DM"))+(C11:AG11="CS1")+((C11:AG11="CS2"))+(C11:AG11="SB1")+(C11:AG11="AE")+(C11:AG11="EM"))</f>
        <v>6</v>
      </c>
      <c r="AQ11" s="38"/>
      <c r="AR11" s="38" t="n">
        <f aca="false">SUMPRODUCT(--WEEKDAY(C$3:AG$3,2)&gt;5,--((C11:AG11="DM"))+(C11:AG11="CS1")+((C11:AG11="CS2"))+(C11:AG11="SB1")+(C11:AG11="AE")+(C11:AG11="EM"))</f>
        <v>2</v>
      </c>
      <c r="AS11" s="38"/>
      <c r="AT11" s="38" t="n">
        <f aca="false">(AP11-AQ11)/2+(AR11-AS11)</f>
        <v>5</v>
      </c>
      <c r="AU11" s="38" t="n">
        <f aca="false">AH11+AI11+AJ11+AK11+AM11+AN11</f>
        <v>0</v>
      </c>
      <c r="AV11" s="38" t="n">
        <f aca="false">BF11+BG11+BI11+BD11+BB11+AZ11+BK11</f>
        <v>0</v>
      </c>
      <c r="AW11" s="38" t="e">
        <f aca="false">AT11+AX11</f>
        <v>#VALUE!</v>
      </c>
      <c r="AX11" s="37" t="e">
        <f aca="false"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37" t="e">
        <f aca="false">COUNTIF(#REF!,"*BRT*")</f>
        <v>#REF!</v>
      </c>
      <c r="AZ11" s="37" t="n">
        <f aca="false">COUNTIF(A11:AH11,"*$BTP*")</f>
        <v>0</v>
      </c>
      <c r="BA11" s="37" t="e">
        <f aca="false">AZ11*('Setting key Duty'!$I$13+'Setting key Duty'!$I$12+'Setting key Duty'!$I$11)</f>
        <v>#VALUE!</v>
      </c>
      <c r="BB11" s="37" t="n">
        <f aca="false">COUNTIF(A11:AH11,"*$L*")</f>
        <v>0</v>
      </c>
      <c r="BC11" s="37" t="e">
        <f aca="false">BB11*('Setting key Duty'!$I$13+'Setting key Duty'!$I$9)</f>
        <v>#VALUE!</v>
      </c>
      <c r="BD11" s="37" t="n">
        <f aca="false">COUNTIF(A11:AH11,"*$M*")</f>
        <v>0</v>
      </c>
      <c r="BE11" s="37" t="n">
        <f aca="false">BD11*('Setting key Duty'!$I$8+'Setting key Duty'!$I$9+'Setting key Duty'!$I$12)</f>
        <v>0</v>
      </c>
      <c r="BF11" s="37" t="n">
        <f aca="false">COUNTIF(AH11,"*$N*")</f>
        <v>0</v>
      </c>
      <c r="BG11" s="37" t="n">
        <f aca="false">COUNTIF(AH11,"*$PM*")</f>
        <v>0</v>
      </c>
      <c r="BH11" s="37" t="n">
        <f aca="false">BG11*('Setting key Duty'!$I$9)</f>
        <v>0</v>
      </c>
      <c r="BI11" s="37" t="n">
        <f aca="false">COUNTIF(A11:AH11,"*$AM*")</f>
        <v>0</v>
      </c>
      <c r="BJ11" s="37" t="n">
        <f aca="false">BI11*('Setting key Duty'!$I$12+'Setting key Duty'!$I$8)</f>
        <v>0</v>
      </c>
      <c r="BK11" s="37" t="n">
        <f aca="false">COUNTIF(E11:AH11,"*$FC*")</f>
        <v>0</v>
      </c>
      <c r="BL11" s="37" t="n">
        <f aca="false">BK11*('Setting key Duty'!$J$11+'Setting key Duty'!$I$8)</f>
        <v>0</v>
      </c>
      <c r="BM11" s="37" t="e">
        <f aca="false">COUNTIF(#REF!,BM$4)</f>
        <v>#REF!</v>
      </c>
      <c r="BN11" s="37" t="e">
        <f aca="false">COUNTIF(#REF!,BN$4)</f>
        <v>#REF!</v>
      </c>
      <c r="BO11" s="37" t="e">
        <f aca="false">COUNTIF(#REF!,BO$4)</f>
        <v>#REF!</v>
      </c>
      <c r="BP11" s="39"/>
    </row>
    <row r="12" customFormat="false" ht="19.5" hidden="false" customHeight="true" outlineLevel="0" collapsed="false">
      <c r="A12" s="30"/>
      <c r="B12" s="31" t="s">
        <v>70</v>
      </c>
      <c r="C12" s="34"/>
      <c r="D12" s="32" t="s">
        <v>56</v>
      </c>
      <c r="E12" s="32"/>
      <c r="F12" s="32" t="s">
        <v>165</v>
      </c>
      <c r="G12" s="32" t="s">
        <v>65</v>
      </c>
      <c r="H12" s="32"/>
      <c r="J12" s="32" t="s">
        <v>166</v>
      </c>
      <c r="K12" s="33"/>
      <c r="L12" s="33"/>
      <c r="M12" s="32" t="s">
        <v>56</v>
      </c>
      <c r="O12" s="42" t="s">
        <v>54</v>
      </c>
      <c r="P12" s="42" t="s">
        <v>54</v>
      </c>
      <c r="Q12" s="42" t="s">
        <v>54</v>
      </c>
      <c r="R12" s="42" t="s">
        <v>54</v>
      </c>
      <c r="S12" s="32" t="s">
        <v>65</v>
      </c>
      <c r="T12" s="32"/>
      <c r="U12" s="33"/>
      <c r="V12" s="32" t="s">
        <v>69</v>
      </c>
      <c r="X12" s="32" t="s">
        <v>56</v>
      </c>
      <c r="Y12" s="32"/>
      <c r="AA12" s="84"/>
      <c r="AB12" s="32"/>
      <c r="AC12" s="32" t="s">
        <v>57</v>
      </c>
      <c r="AD12" s="32"/>
      <c r="AE12" s="32"/>
      <c r="AF12" s="34" t="s">
        <v>55</v>
      </c>
      <c r="AG12" s="34" t="s">
        <v>55</v>
      </c>
      <c r="AH12" s="35"/>
      <c r="AI12" s="36"/>
      <c r="AJ12" s="35"/>
      <c r="AK12" s="37"/>
      <c r="AL12" s="37"/>
      <c r="AM12" s="37"/>
      <c r="AN12" s="37"/>
      <c r="AO12" s="38"/>
      <c r="AP12" s="37" t="n">
        <f aca="false">SUMPRODUCT(--WEEKDAY(C$3:AG$3,2)&lt;6,--((C12:AG12="DM"))+(C12:AG12="CS1")+((C12:AG12="CS2"))+(C12:AG12="SB1")+(C12:AG12="AE")+(C12:AG12="EM"))</f>
        <v>5</v>
      </c>
      <c r="AQ12" s="38"/>
      <c r="AR12" s="38" t="n">
        <f aca="false">SUMPRODUCT(--WEEKDAY(C$3:AG$3,2)&gt;5,--((C12:AG12="DM"))+(C12:AG12="CS1")+((C12:AG12="CS2"))+(C12:AG12="SB1")+(C12:AG12="AE")+(C12:AG12="EM"))</f>
        <v>1</v>
      </c>
      <c r="AS12" s="38"/>
      <c r="AT12" s="38" t="n">
        <f aca="false">(AP12-AQ12)/2+(AR12-AS12)</f>
        <v>3.5</v>
      </c>
      <c r="AU12" s="38" t="n">
        <f aca="false">AH12+AI12+AJ12+AK12+AM12+AN12</f>
        <v>0</v>
      </c>
      <c r="AV12" s="38" t="n">
        <f aca="false">BF12+BG12+BI12+BD12+BB12+AZ12+BK12</f>
        <v>1</v>
      </c>
      <c r="AW12" s="38" t="e">
        <f aca="false">AT12+AX12</f>
        <v>#VALUE!</v>
      </c>
      <c r="AX12" s="37" t="e">
        <f aca="false"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37" t="n">
        <f aca="false">COUNTIF(D12:AC12,"*BRT*")</f>
        <v>0</v>
      </c>
      <c r="AZ12" s="37" t="n">
        <f aca="false">COUNTIF(A12:AH12,"*$BTP*")</f>
        <v>0</v>
      </c>
      <c r="BA12" s="37" t="e">
        <f aca="false">AZ12*('Setting key Duty'!$I$13+'Setting key Duty'!$I$12+'Setting key Duty'!$I$11)</f>
        <v>#VALUE!</v>
      </c>
      <c r="BB12" s="37" t="n">
        <f aca="false">COUNTIF(A12:AH12,"*$L*")</f>
        <v>0</v>
      </c>
      <c r="BC12" s="37" t="e">
        <f aca="false">BB12*('Setting key Duty'!$I$13+'Setting key Duty'!$I$9)</f>
        <v>#VALUE!</v>
      </c>
      <c r="BD12" s="37" t="n">
        <f aca="false">COUNTIF(A12:AH12,"*$M*")</f>
        <v>0</v>
      </c>
      <c r="BE12" s="37" t="n">
        <f aca="false">BD12*('Setting key Duty'!$I$8+'Setting key Duty'!$I$9+'Setting key Duty'!$I$12)</f>
        <v>0</v>
      </c>
      <c r="BF12" s="37" t="n">
        <f aca="false">COUNTIF(AF12:AH12,"*$N*")</f>
        <v>0</v>
      </c>
      <c r="BG12" s="37" t="n">
        <f aca="false">COUNTIF(AF12:AH12,"*$PM*")</f>
        <v>0</v>
      </c>
      <c r="BH12" s="37" t="n">
        <f aca="false">BG12*('Setting key Duty'!$I$9)</f>
        <v>0</v>
      </c>
      <c r="BI12" s="37" t="n">
        <f aca="false">COUNTIF(A12:AH12,"*$AM*")</f>
        <v>1</v>
      </c>
      <c r="BJ12" s="37" t="n">
        <f aca="false">BI12*('Setting key Duty'!$I$12+'Setting key Duty'!$I$8)</f>
        <v>0.4375</v>
      </c>
      <c r="BK12" s="37" t="n">
        <f aca="false">COUNTIF(D12:AH12,"*$FC*")</f>
        <v>0</v>
      </c>
      <c r="BL12" s="37" t="n">
        <f aca="false">BK12*('Setting key Duty'!$J$11+'Setting key Duty'!$I$8)</f>
        <v>0</v>
      </c>
      <c r="BM12" s="37" t="n">
        <f aca="false">COUNTIF($D12:$AE12,BM$4)</f>
        <v>0</v>
      </c>
      <c r="BN12" s="37" t="n">
        <f aca="false">COUNTIF($D12:$AE12,BN$4)</f>
        <v>0</v>
      </c>
      <c r="BO12" s="37" t="n">
        <f aca="false">COUNTIF($D12:$AE12,BO$4)</f>
        <v>0</v>
      </c>
      <c r="BP12" s="39"/>
    </row>
    <row r="13" customFormat="false" ht="19.5" hidden="false" customHeight="true" outlineLevel="0" collapsed="false">
      <c r="A13" s="30"/>
      <c r="B13" s="48" t="s">
        <v>72</v>
      </c>
      <c r="C13" s="32"/>
      <c r="D13" s="32" t="s">
        <v>71</v>
      </c>
      <c r="E13" s="32" t="s">
        <v>71</v>
      </c>
      <c r="F13" s="32" t="s">
        <v>71</v>
      </c>
      <c r="G13" s="32" t="s">
        <v>71</v>
      </c>
      <c r="H13" s="32" t="s">
        <v>167</v>
      </c>
      <c r="I13" s="32" t="s">
        <v>167</v>
      </c>
      <c r="J13" s="32" t="s">
        <v>167</v>
      </c>
      <c r="K13" s="32" t="s">
        <v>167</v>
      </c>
      <c r="L13" s="32" t="s">
        <v>167</v>
      </c>
      <c r="M13" s="32" t="s">
        <v>167</v>
      </c>
      <c r="N13" s="32" t="s">
        <v>55</v>
      </c>
      <c r="O13" s="32" t="s">
        <v>55</v>
      </c>
      <c r="P13" s="32" t="s">
        <v>55</v>
      </c>
      <c r="Q13" s="32" t="s">
        <v>55</v>
      </c>
      <c r="R13" s="32" t="s">
        <v>55</v>
      </c>
      <c r="S13" s="32" t="s">
        <v>55</v>
      </c>
      <c r="T13" s="32" t="s">
        <v>55</v>
      </c>
      <c r="U13" s="32" t="s">
        <v>65</v>
      </c>
      <c r="V13" s="32" t="s">
        <v>55</v>
      </c>
      <c r="X13" s="32" t="s">
        <v>65</v>
      </c>
      <c r="Y13" s="32"/>
      <c r="Z13" s="32" t="s">
        <v>56</v>
      </c>
      <c r="AA13" s="84"/>
      <c r="AB13" s="34"/>
      <c r="AC13" s="32"/>
      <c r="AD13" s="32"/>
      <c r="AE13" s="32" t="s">
        <v>65</v>
      </c>
      <c r="AF13" s="34" t="s">
        <v>55</v>
      </c>
      <c r="AG13" s="32"/>
      <c r="AH13" s="35"/>
      <c r="AI13" s="36"/>
      <c r="AJ13" s="35"/>
      <c r="AK13" s="37"/>
      <c r="AL13" s="37"/>
      <c r="AM13" s="37"/>
      <c r="AN13" s="37"/>
      <c r="AO13" s="38"/>
      <c r="AP13" s="37" t="n">
        <f aca="false">SUMPRODUCT(--WEEKDAY(C$3:AG$3,2)&lt;6,--((C13:AG13="DM"))+(C13:AG13="CS1")+((C13:AG13="CS2"))+(C13:AG13="SB1")+(C13:AG13="AE")+(C13:AG13="EM"))</f>
        <v>2</v>
      </c>
      <c r="AQ13" s="38"/>
      <c r="AR13" s="38" t="n">
        <f aca="false">SUMPRODUCT(--WEEKDAY(C$3:AG$3,2)&gt;5,--((C13:AG13="DM"))+(C13:AG13="CS1")+((C13:AG13="CS2"))+(C13:AG13="SB1")+(C13:AG13="AE")+(C13:AG13="EM"))</f>
        <v>2</v>
      </c>
      <c r="AS13" s="38"/>
      <c r="AT13" s="38" t="n">
        <f aca="false">(AP13-AQ13)/2+(AR13-AS13)</f>
        <v>3</v>
      </c>
      <c r="AU13" s="38" t="n">
        <f aca="false">AH13+AI13+AJ13+AK13+AM13+AN13</f>
        <v>0</v>
      </c>
      <c r="AV13" s="38" t="n">
        <f aca="false">BF13+BG13+BI13+BD13+BB13+AZ13+BK13</f>
        <v>0</v>
      </c>
      <c r="AW13" s="38" t="e">
        <f aca="false">AT13+AX13</f>
        <v>#VALUE!</v>
      </c>
      <c r="AX13" s="37" t="e">
        <f aca="false"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37" t="n">
        <f aca="false">COUNTIF(D13:X13,"*BRT*")</f>
        <v>0</v>
      </c>
      <c r="AZ13" s="37" t="n">
        <f aca="false">COUNTIF(A13:AH13,"*$BTP*")</f>
        <v>0</v>
      </c>
      <c r="BA13" s="37" t="e">
        <f aca="false">AZ13*('Setting key Duty'!$I$13+'Setting key Duty'!$I$12+'Setting key Duty'!$I$11)</f>
        <v>#VALUE!</v>
      </c>
      <c r="BB13" s="37" t="n">
        <f aca="false">COUNTIF(A13:AH13,"*$L*")</f>
        <v>0</v>
      </c>
      <c r="BC13" s="37" t="e">
        <f aca="false">BB13*('Setting key Duty'!$I$13+'Setting key Duty'!$I$9)</f>
        <v>#VALUE!</v>
      </c>
      <c r="BD13" s="37" t="n">
        <f aca="false">COUNTIF(A13:AH13,"*$M*")</f>
        <v>0</v>
      </c>
      <c r="BE13" s="37" t="n">
        <f aca="false">BD13*('Setting key Duty'!$I$8+'Setting key Duty'!$I$9+'Setting key Duty'!$I$12)</f>
        <v>0</v>
      </c>
      <c r="BF13" s="37" t="n">
        <f aca="false">COUNTIF(AH13,"*$N*")</f>
        <v>0</v>
      </c>
      <c r="BG13" s="37" t="n">
        <f aca="false">COUNTIF(AH13,"*$PM*")</f>
        <v>0</v>
      </c>
      <c r="BH13" s="37" t="n">
        <f aca="false">BG13*('Setting key Duty'!$I$9)</f>
        <v>0</v>
      </c>
      <c r="BI13" s="37" t="n">
        <f aca="false">COUNTIF(A13:AH13,"*$AM*")</f>
        <v>0</v>
      </c>
      <c r="BJ13" s="37" t="n">
        <f aca="false">BI13*('Setting key Duty'!$I$12+'Setting key Duty'!$I$8)</f>
        <v>0</v>
      </c>
      <c r="BK13" s="37" t="n">
        <f aca="false">COUNTIF(D13:AH13,"*$FC*")</f>
        <v>0</v>
      </c>
      <c r="BL13" s="37" t="n">
        <f aca="false">BK13*('Setting key Duty'!$J$11+'Setting key Duty'!$I$8)</f>
        <v>0</v>
      </c>
      <c r="BM13" s="37" t="n">
        <f aca="false">COUNTIF($D13:$X13,BM$4)</f>
        <v>0</v>
      </c>
      <c r="BN13" s="37" t="n">
        <f aca="false">COUNTIF($D13:$X13,BN$4)</f>
        <v>0</v>
      </c>
      <c r="BO13" s="37" t="n">
        <f aca="false">COUNTIF($D13:$X13,BO$4)</f>
        <v>8</v>
      </c>
      <c r="BP13" s="39"/>
    </row>
    <row r="14" customFormat="false" ht="24" hidden="false" customHeight="true" outlineLevel="0" collapsed="false">
      <c r="A14" s="30"/>
      <c r="B14" s="49" t="s">
        <v>76</v>
      </c>
      <c r="C14" s="32"/>
      <c r="E14" s="32" t="s">
        <v>56</v>
      </c>
      <c r="G14" s="32" t="s">
        <v>159</v>
      </c>
      <c r="H14" s="32" t="s">
        <v>160</v>
      </c>
      <c r="I14" s="32" t="s">
        <v>150</v>
      </c>
      <c r="J14" s="32" t="s">
        <v>161</v>
      </c>
      <c r="K14" s="32"/>
      <c r="L14" s="32"/>
      <c r="M14" s="32" t="s">
        <v>57</v>
      </c>
      <c r="O14" s="32"/>
      <c r="P14" s="32" t="s">
        <v>56</v>
      </c>
      <c r="R14" s="32" t="s">
        <v>57</v>
      </c>
      <c r="T14" s="32"/>
      <c r="V14" s="32" t="s">
        <v>59</v>
      </c>
      <c r="W14" s="32"/>
      <c r="X14" s="32"/>
      <c r="Y14" s="32" t="s">
        <v>59</v>
      </c>
      <c r="Z14" s="32"/>
      <c r="AA14" s="84"/>
      <c r="AB14" s="32"/>
      <c r="AC14" s="32"/>
      <c r="AD14" s="34"/>
      <c r="AE14" s="32"/>
      <c r="AG14" s="32"/>
      <c r="AH14" s="35" t="n">
        <f aca="false">COUNTIF($C14:$AA14,AH$4)</f>
        <v>2</v>
      </c>
      <c r="AI14" s="36" t="n">
        <f aca="false">COUNTIF($C14:$AA14,AI$4)</f>
        <v>2</v>
      </c>
      <c r="AJ14" s="35" t="n">
        <f aca="false">COUNTIF($C14:$AA14,AJ$4)</f>
        <v>2</v>
      </c>
      <c r="AK14" s="37" t="n">
        <f aca="false">COUNTIF($C14:$AA14,AK$4)</f>
        <v>0</v>
      </c>
      <c r="AL14" s="37" t="n">
        <f aca="false">COUNTIF($C14:$AA14,AL$4)</f>
        <v>0</v>
      </c>
      <c r="AM14" s="37" t="n">
        <f aca="false">COUNTIF($C14:$AA14,AM$4)</f>
        <v>0</v>
      </c>
      <c r="AN14" s="37" t="n">
        <f aca="false">COUNTIF($C14:$AA14,AN$4)</f>
        <v>0</v>
      </c>
      <c r="AO14" s="38"/>
      <c r="AP14" s="37" t="n">
        <f aca="false">SUMPRODUCT(--WEEKDAY(C$3:AG$3,2)&lt;6,--((C14:AG14="DM"))+(C14:AG14="CS1")+((C14:AG14="CS2"))+(C14:AG14="SB1")+(C14:AG14="AE")+(C14:AG14="EM"))</f>
        <v>5</v>
      </c>
      <c r="AQ14" s="38"/>
      <c r="AR14" s="38" t="n">
        <f aca="false">SUMPRODUCT(--WEEKDAY(C$3:AG$3,2)&gt;5,--((C14:AG14="DM"))+(C14:AG14="CS1")+((C14:AG14="CS2"))+(C14:AG14="SB1")+(C14:AG14="AE")+(C14:AG14="EM"))</f>
        <v>1</v>
      </c>
      <c r="AS14" s="38"/>
      <c r="AT14" s="38" t="n">
        <f aca="false">(AP14-AQ14)/2+(AR14-AS14)</f>
        <v>3.5</v>
      </c>
      <c r="AU14" s="38" t="n">
        <f aca="false">AH14+AI14+AJ14+AK14+AM14+AN14</f>
        <v>6</v>
      </c>
      <c r="AV14" s="38" t="n">
        <f aca="false">BF14+BG14+BI14+BD14+BB14+AZ14+BK14</f>
        <v>0</v>
      </c>
      <c r="AW14" s="38" t="e">
        <f aca="false">AT14+AX14</f>
        <v>#VALUE!</v>
      </c>
      <c r="AX14" s="37" t="e">
        <f aca="false"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37" t="n">
        <f aca="false">COUNTIF(C14:AA14,"*BRT*")</f>
        <v>0</v>
      </c>
      <c r="AZ14" s="37" t="n">
        <f aca="false">COUNTIF(A14:AH14,"*$BTP*")</f>
        <v>0</v>
      </c>
      <c r="BA14" s="37" t="e">
        <f aca="false">AZ14*('Setting key Duty'!$I$13+'Setting key Duty'!$I$12+'Setting key Duty'!$I$11)</f>
        <v>#VALUE!</v>
      </c>
      <c r="BB14" s="37" t="n">
        <f aca="false">COUNTIF(A14:AH14,"*$L*")</f>
        <v>0</v>
      </c>
      <c r="BC14" s="37" t="e">
        <f aca="false">BB14*('Setting key Duty'!$I$13+'Setting key Duty'!$I$9)</f>
        <v>#VALUE!</v>
      </c>
      <c r="BD14" s="37" t="n">
        <f aca="false">COUNTIF(A14:AH14,"*$M*")</f>
        <v>0</v>
      </c>
      <c r="BE14" s="37" t="n">
        <f aca="false">BD14*('Setting key Duty'!$I$8+'Setting key Duty'!$I$9+'Setting key Duty'!$I$12)</f>
        <v>0</v>
      </c>
      <c r="BF14" s="37" t="n">
        <f aca="false">COUNTIF(A14:AH14,"*$N*")</f>
        <v>0</v>
      </c>
      <c r="BG14" s="37" t="n">
        <f aca="false">COUNTIF(AH14,"*$PM*")</f>
        <v>0</v>
      </c>
      <c r="BH14" s="37" t="n">
        <f aca="false">BG14*('Setting key Duty'!$I$9)</f>
        <v>0</v>
      </c>
      <c r="BI14" s="37" t="n">
        <f aca="false">COUNTIF(A14:AH14,"*$AM*")</f>
        <v>0</v>
      </c>
      <c r="BJ14" s="37" t="n">
        <f aca="false">BI14*('Setting key Duty'!$I$12+'Setting key Duty'!$I$8)</f>
        <v>0</v>
      </c>
      <c r="BK14" s="37" t="n">
        <f aca="false">COUNTIF(C14:AH14,"*$FC*")</f>
        <v>0</v>
      </c>
      <c r="BL14" s="37" t="n">
        <f aca="false">BK14*('Setting key Duty'!$J$11+'Setting key Duty'!$I$8)</f>
        <v>0</v>
      </c>
      <c r="BM14" s="37" t="n">
        <f aca="false">COUNTIF($C14:$AA14,BM$4)</f>
        <v>0</v>
      </c>
      <c r="BN14" s="37" t="n">
        <f aca="false">COUNTIF($C14:$AA14,BN$4)</f>
        <v>0</v>
      </c>
      <c r="BO14" s="37" t="n">
        <f aca="false">COUNTIF($C14:$AA14,BO$4)</f>
        <v>0</v>
      </c>
      <c r="BP14" s="39"/>
    </row>
    <row r="15" customFormat="false" ht="37.5" hidden="false" customHeight="true" outlineLevel="0" collapsed="false">
      <c r="A15" s="30"/>
      <c r="B15" s="48" t="s">
        <v>78</v>
      </c>
      <c r="C15" s="32" t="s">
        <v>58</v>
      </c>
      <c r="D15" s="32" t="s">
        <v>168</v>
      </c>
      <c r="E15" s="32" t="s">
        <v>65</v>
      </c>
      <c r="F15" s="32" t="s">
        <v>168</v>
      </c>
      <c r="G15" s="32" t="s">
        <v>159</v>
      </c>
      <c r="H15" s="32" t="s">
        <v>160</v>
      </c>
      <c r="I15" s="32" t="s">
        <v>150</v>
      </c>
      <c r="J15" s="32" t="s">
        <v>59</v>
      </c>
      <c r="K15" s="32"/>
      <c r="L15" s="32" t="s">
        <v>169</v>
      </c>
      <c r="M15" s="32" t="s">
        <v>169</v>
      </c>
      <c r="N15" s="32" t="s">
        <v>169</v>
      </c>
      <c r="O15" s="32"/>
      <c r="P15" s="32"/>
      <c r="R15" s="32" t="s">
        <v>59</v>
      </c>
      <c r="T15" s="32"/>
      <c r="U15" s="32"/>
      <c r="V15" s="32" t="s">
        <v>54</v>
      </c>
      <c r="W15" s="32" t="s">
        <v>54</v>
      </c>
      <c r="X15" s="32" t="s">
        <v>54</v>
      </c>
      <c r="Y15" s="32" t="s">
        <v>54</v>
      </c>
      <c r="Z15" s="32" t="s">
        <v>54</v>
      </c>
      <c r="AA15" s="84" t="s">
        <v>54</v>
      </c>
      <c r="AB15" s="34"/>
      <c r="AC15" s="32"/>
      <c r="AD15" s="32"/>
      <c r="AE15" s="32" t="s">
        <v>54</v>
      </c>
      <c r="AF15" s="32" t="s">
        <v>54</v>
      </c>
      <c r="AG15" s="32" t="s">
        <v>54</v>
      </c>
      <c r="AH15" s="35" t="n">
        <f aca="false">COUNTIF($D15:$AC15,AH$4)</f>
        <v>0</v>
      </c>
      <c r="AI15" s="36" t="n">
        <f aca="false">COUNTIF($D15:$AC15,AI$4)</f>
        <v>0</v>
      </c>
      <c r="AJ15" s="35" t="n">
        <f aca="false">COUNTIF($D15:$AC15,AJ$4)</f>
        <v>2</v>
      </c>
      <c r="AK15" s="37" t="n">
        <f aca="false">COUNTIF($D15:$AC15,AK$4)</f>
        <v>0</v>
      </c>
      <c r="AL15" s="37" t="n">
        <f aca="false">COUNTIF($D15:$AC15,AL$4)</f>
        <v>0</v>
      </c>
      <c r="AM15" s="37" t="n">
        <f aca="false">COUNTIF($D15:$AC15,AM$4)</f>
        <v>1</v>
      </c>
      <c r="AN15" s="37" t="n">
        <f aca="false">COUNTIF($D15:$AC15,AN$4)</f>
        <v>0</v>
      </c>
      <c r="AO15" s="38"/>
      <c r="AP15" s="37" t="n">
        <f aca="false">SUMPRODUCT(--WEEKDAY(C$3:AG$3,2)&lt;6,--((C15:AG15="DM"))+(C15:AG15="CS1")+((C15:AG15="CS2"))+(C15:AG15="SB1")+(C15:AG15="AE")+(C15:AG15="EM"))</f>
        <v>2</v>
      </c>
      <c r="AQ15" s="38"/>
      <c r="AR15" s="38" t="n">
        <f aca="false">SUMPRODUCT(--WEEKDAY(C$3:AG$3,2)&gt;5,--((C15:AG15="DM"))+(C15:AG15="CS1")+((C15:AG15="CS2"))+(C15:AG15="SB1")+(C15:AG15="AE")+(C15:AG15="EM"))</f>
        <v>2</v>
      </c>
      <c r="AS15" s="38"/>
      <c r="AT15" s="38" t="n">
        <f aca="false">(AP15-AQ15)/2+(AR15-AS15)</f>
        <v>3</v>
      </c>
      <c r="AU15" s="38" t="n">
        <f aca="false">AH15+AI15+AJ15+AK15+AM15+AN15</f>
        <v>3</v>
      </c>
      <c r="AV15" s="38" t="n">
        <f aca="false">BF15+BG15+BI15+BD15+BB15+AZ15+BK15</f>
        <v>3</v>
      </c>
      <c r="AW15" s="38" t="e">
        <f aca="false">AT15+AX15</f>
        <v>#VALUE!</v>
      </c>
      <c r="AX15" s="37" t="e">
        <f aca="false"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37" t="n">
        <f aca="false">COUNTIF(C15:AC15,"*BRT*")</f>
        <v>0</v>
      </c>
      <c r="AZ15" s="37" t="n">
        <f aca="false">COUNTIF(A15:AH15,"*$BTP*")</f>
        <v>0</v>
      </c>
      <c r="BA15" s="37" t="e">
        <f aca="false">AZ15*('Setting key Duty'!$I$13+'Setting key Duty'!$I$12+'Setting key Duty'!$I$11)</f>
        <v>#VALUE!</v>
      </c>
      <c r="BB15" s="37" t="n">
        <f aca="false">COUNTIF(A15:AH15,"*$L*")</f>
        <v>0</v>
      </c>
      <c r="BC15" s="37" t="e">
        <f aca="false">BB15*('Setting key Duty'!$I$13+'Setting key Duty'!$I$9)</f>
        <v>#VALUE!</v>
      </c>
      <c r="BD15" s="37" t="n">
        <f aca="false">COUNTIF(A15:AH15,"*$M*")</f>
        <v>0</v>
      </c>
      <c r="BE15" s="37" t="n">
        <f aca="false">BD15*('Setting key Duty'!$I$8+'Setting key Duty'!$I$9+'Setting key Duty'!$I$12)</f>
        <v>0</v>
      </c>
      <c r="BF15" s="37" t="n">
        <f aca="false">COUNTIF(AH15,"*$N*")</f>
        <v>0</v>
      </c>
      <c r="BG15" s="37" t="n">
        <f aca="false">COUNTIF(AH15,"*$PM*")</f>
        <v>0</v>
      </c>
      <c r="BH15" s="37" t="n">
        <f aca="false">BG15*('Setting key Duty'!$I$9)</f>
        <v>0</v>
      </c>
      <c r="BI15" s="37" t="n">
        <f aca="false">COUNTIF(A15:AH15,"*$AM*")</f>
        <v>0</v>
      </c>
      <c r="BJ15" s="37" t="n">
        <f aca="false">BI15*('Setting key Duty'!$I$12+'Setting key Duty'!$I$8)</f>
        <v>0</v>
      </c>
      <c r="BK15" s="37" t="n">
        <f aca="false">COUNTIF(C15:AH15,"*$FC*")</f>
        <v>3</v>
      </c>
      <c r="BL15" s="37" t="n">
        <f aca="false">BK15*('Setting key Duty'!$J$11+'Setting key Duty'!$I$8)</f>
        <v>0.375</v>
      </c>
      <c r="BM15" s="37" t="n">
        <f aca="false">COUNTIF($C15:$AC15,BM$4)</f>
        <v>0</v>
      </c>
      <c r="BN15" s="37" t="n">
        <f aca="false">COUNTIF($C15:$AC15,BN$4)</f>
        <v>0</v>
      </c>
      <c r="BO15" s="37" t="n">
        <f aca="false">COUNTIF($C15:$AC15,BO$4)</f>
        <v>0</v>
      </c>
      <c r="BP15" s="39"/>
    </row>
    <row r="16" customFormat="false" ht="19.5" hidden="false" customHeight="true" outlineLevel="0" collapsed="false">
      <c r="A16" s="30"/>
      <c r="B16" s="31" t="s">
        <v>79</v>
      </c>
      <c r="C16" s="32"/>
      <c r="D16" s="32" t="s">
        <v>168</v>
      </c>
      <c r="E16" s="32"/>
      <c r="F16" s="32" t="s">
        <v>170</v>
      </c>
      <c r="G16" s="32" t="s">
        <v>168</v>
      </c>
      <c r="H16" s="32" t="s">
        <v>168</v>
      </c>
      <c r="I16" s="32"/>
      <c r="J16" s="32"/>
      <c r="K16" s="32" t="s">
        <v>55</v>
      </c>
      <c r="L16" s="32"/>
      <c r="M16" s="32" t="s">
        <v>55</v>
      </c>
      <c r="N16" s="32"/>
      <c r="O16" s="32" t="s">
        <v>57</v>
      </c>
      <c r="P16" s="32"/>
      <c r="Q16" s="32"/>
      <c r="R16" s="32" t="s">
        <v>55</v>
      </c>
      <c r="S16" s="32" t="s">
        <v>55</v>
      </c>
      <c r="T16" s="32" t="s">
        <v>55</v>
      </c>
      <c r="U16" s="32" t="s">
        <v>55</v>
      </c>
      <c r="V16" s="32" t="s">
        <v>55</v>
      </c>
      <c r="W16" s="32"/>
      <c r="X16" s="32" t="s">
        <v>57</v>
      </c>
      <c r="Y16" s="32"/>
      <c r="Z16" s="32"/>
      <c r="AA16" s="84" t="s">
        <v>59</v>
      </c>
      <c r="AC16" s="32"/>
      <c r="AD16" s="32"/>
      <c r="AE16" s="32" t="s">
        <v>57</v>
      </c>
      <c r="AF16" s="52" t="s">
        <v>80</v>
      </c>
      <c r="AG16" s="32" t="s">
        <v>59</v>
      </c>
      <c r="AH16" s="35" t="n">
        <f aca="false">COUNTIF($C16:$AA16,AH$4)</f>
        <v>2</v>
      </c>
      <c r="AI16" s="36" t="n">
        <f aca="false">COUNTIF($C16:$AA16,AI$4)</f>
        <v>0</v>
      </c>
      <c r="AJ16" s="35" t="n">
        <f aca="false">COUNTIF($C16:$AA16,AJ$4)</f>
        <v>1</v>
      </c>
      <c r="AK16" s="37" t="n">
        <f aca="false">COUNTIF($C16:$AA16,AK$4)</f>
        <v>0</v>
      </c>
      <c r="AL16" s="37" t="n">
        <f aca="false">COUNTIF($C16:$AA16,AL$4)</f>
        <v>0</v>
      </c>
      <c r="AM16" s="37" t="n">
        <f aca="false">COUNTIF($C16:$AA16,AM$4)</f>
        <v>0</v>
      </c>
      <c r="AN16" s="37" t="n">
        <f aca="false">COUNTIF($C16:$AA16,AN$4)</f>
        <v>0</v>
      </c>
      <c r="AO16" s="38"/>
      <c r="AP16" s="37" t="n">
        <f aca="false">SUMPRODUCT(--WEEKDAY(C$3:AG$3,2)&lt;6,--((C16:AG16="DM"))+(C16:AG16="CS1")+((C16:AG16="CS2"))+(C16:AG16="SB1")+(C16:AG16="AE")+(C16:AG16="EM"))</f>
        <v>3</v>
      </c>
      <c r="AQ16" s="38"/>
      <c r="AR16" s="38" t="n">
        <f aca="false">SUMPRODUCT(--WEEKDAY(C$3:AG$3,2)&gt;5,--((C16:AG16="DM"))+(C16:AG16="CS1")+((C16:AG16="CS2"))+(C16:AG16="SB1")+(C16:AG16="AE")+(C16:AG16="EM"))</f>
        <v>2</v>
      </c>
      <c r="AS16" s="38"/>
      <c r="AT16" s="38" t="n">
        <f aca="false">(AP16-AQ16)/2+(AR16-AS16)</f>
        <v>3.5</v>
      </c>
      <c r="AU16" s="38" t="n">
        <f aca="false">AH16+AI16+AJ16+AK16+AM16+AN16</f>
        <v>3</v>
      </c>
      <c r="AV16" s="38" t="n">
        <f aca="false">BF16+BG16+BI16+BD16+BB16+AZ16+BK16</f>
        <v>1</v>
      </c>
      <c r="AW16" s="38" t="e">
        <f aca="false">AT16+AX16</f>
        <v>#VALUE!</v>
      </c>
      <c r="AX16" s="37" t="e">
        <f aca="false"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37" t="n">
        <f aca="false">COUNTIF(C16:AA16,"*BRT*")</f>
        <v>0</v>
      </c>
      <c r="AZ16" s="37" t="n">
        <f aca="false">COUNTIF(A16:AH16,"*$BTP*")</f>
        <v>0</v>
      </c>
      <c r="BA16" s="37" t="e">
        <f aca="false">AZ16*('Setting key Duty'!$I$13+'Setting key Duty'!$I$12+'Setting key Duty'!$I$11)</f>
        <v>#VALUE!</v>
      </c>
      <c r="BB16" s="37" t="n">
        <f aca="false">COUNTIF(A16:AH16,"*$L*")</f>
        <v>0</v>
      </c>
      <c r="BC16" s="37" t="e">
        <f aca="false">BB16*('Setting key Duty'!$I$13+'Setting key Duty'!$I$9)</f>
        <v>#VALUE!</v>
      </c>
      <c r="BD16" s="37" t="n">
        <f aca="false">COUNTIF(A16:AH16,"*$M*")</f>
        <v>0</v>
      </c>
      <c r="BE16" s="37" t="n">
        <f aca="false">BD16*('Setting key Duty'!$I$8+'Setting key Duty'!$I$9+'Setting key Duty'!$I$12)</f>
        <v>0</v>
      </c>
      <c r="BF16" s="37" t="n">
        <f aca="false">COUNTIF(A16:AH16,"*$N*")</f>
        <v>0</v>
      </c>
      <c r="BG16" s="37" t="n">
        <f aca="false">COUNTIF(AH16,"*$PM*")</f>
        <v>0</v>
      </c>
      <c r="BH16" s="37" t="n">
        <f aca="false">BG16*('Setting key Duty'!$I$9)</f>
        <v>0</v>
      </c>
      <c r="BI16" s="37" t="n">
        <f aca="false">COUNTIF(A16:AH16,"*$AM*")</f>
        <v>1</v>
      </c>
      <c r="BJ16" s="37" t="n">
        <f aca="false">BI16*('Setting key Duty'!$I$12+'Setting key Duty'!$I$8)</f>
        <v>0.4375</v>
      </c>
      <c r="BK16" s="37" t="n">
        <f aca="false">COUNTIF(C16:AH16,"*$FC*")</f>
        <v>0</v>
      </c>
      <c r="BL16" s="37" t="n">
        <f aca="false">BK16*('Setting key Duty'!$J$11+'Setting key Duty'!$I$8)</f>
        <v>0</v>
      </c>
      <c r="BM16" s="37" t="n">
        <f aca="false">COUNTIF($C16:$AA16,BM$4)</f>
        <v>0</v>
      </c>
      <c r="BN16" s="37" t="n">
        <f aca="false">COUNTIF($C16:$AA16,BN$4)</f>
        <v>0</v>
      </c>
      <c r="BO16" s="37" t="n">
        <f aca="false">COUNTIF($C16:$AA16,BO$4)</f>
        <v>7</v>
      </c>
      <c r="BP16" s="39"/>
    </row>
    <row r="17" customFormat="false" ht="26.25" hidden="false" customHeight="true" outlineLevel="0" collapsed="false">
      <c r="A17" s="30"/>
      <c r="B17" s="53" t="s">
        <v>171</v>
      </c>
      <c r="C17" s="33"/>
      <c r="D17" s="32" t="s">
        <v>168</v>
      </c>
      <c r="E17" s="32" t="s">
        <v>168</v>
      </c>
      <c r="F17" s="32" t="s">
        <v>168</v>
      </c>
      <c r="G17" s="32" t="s">
        <v>168</v>
      </c>
      <c r="H17" s="32" t="s">
        <v>168</v>
      </c>
      <c r="I17" s="33"/>
      <c r="K17" s="34"/>
      <c r="L17" s="32" t="s">
        <v>172</v>
      </c>
      <c r="M17" s="32" t="s">
        <v>55</v>
      </c>
      <c r="N17" s="32" t="s">
        <v>55</v>
      </c>
      <c r="O17" s="32" t="s">
        <v>55</v>
      </c>
      <c r="P17" s="32" t="s">
        <v>55</v>
      </c>
      <c r="Q17" s="32" t="s">
        <v>59</v>
      </c>
      <c r="S17" s="32"/>
      <c r="T17" s="32" t="s">
        <v>59</v>
      </c>
      <c r="V17" s="32"/>
      <c r="W17" s="32"/>
      <c r="X17" s="32"/>
      <c r="Y17" s="32" t="s">
        <v>57</v>
      </c>
      <c r="Z17" s="32"/>
      <c r="AA17" s="84"/>
      <c r="AB17" s="32"/>
      <c r="AC17" s="32" t="s">
        <v>56</v>
      </c>
      <c r="AD17" s="52"/>
      <c r="AE17" s="32"/>
      <c r="AF17" s="32" t="s">
        <v>56</v>
      </c>
      <c r="AG17" s="32" t="s">
        <v>55</v>
      </c>
      <c r="AH17" s="35"/>
      <c r="AI17" s="36"/>
      <c r="AJ17" s="35"/>
      <c r="AK17" s="37"/>
      <c r="AL17" s="37"/>
      <c r="AM17" s="37"/>
      <c r="AN17" s="37"/>
      <c r="AO17" s="38"/>
      <c r="AP17" s="37" t="n">
        <f aca="false">SUMPRODUCT(--WEEKDAY(C$3:AG$3,2)&lt;6,--((C17:AG17="DM"))+(C17:AG17="CS1")+((C17:AG17="CS2"))+(C17:AG17="SB1")+(C17:AG17="AE")+(C17:AG17="EM"))</f>
        <v>4</v>
      </c>
      <c r="AQ17" s="38"/>
      <c r="AR17" s="38" t="n">
        <f aca="false">SUMPRODUCT(--WEEKDAY(C$3:AG$3,2)&gt;5,--((C17:AG17="DM"))+(C17:AG17="CS1")+((C17:AG17="CS2"))+(C17:AG17="SB1")+(C17:AG17="AE")+(C17:AG17="EM"))</f>
        <v>1</v>
      </c>
      <c r="AS17" s="38"/>
      <c r="AT17" s="38" t="n">
        <f aca="false">(AP17-AQ17)/2+(AR17-AS17)</f>
        <v>3</v>
      </c>
      <c r="AU17" s="38" t="n">
        <f aca="false">AH17+AI17+AJ17+AK17+AM17+AN17</f>
        <v>0</v>
      </c>
      <c r="AV17" s="38" t="n">
        <f aca="false">BF17+BG17+BI17+BD17+BB17+AZ17+BK17</f>
        <v>0</v>
      </c>
      <c r="AW17" s="38" t="e">
        <f aca="false">AT17+AX17</f>
        <v>#VALUE!</v>
      </c>
      <c r="AX17" s="37" t="e">
        <f aca="false"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37" t="n">
        <f aca="false">COUNTIF(E17:AA17,"*BRT*")</f>
        <v>0</v>
      </c>
      <c r="AZ17" s="37" t="n">
        <f aca="false">COUNTIF(A17:AH17,"*$BTP*")</f>
        <v>0</v>
      </c>
      <c r="BA17" s="37" t="e">
        <f aca="false">AZ17*('Setting key Duty'!$I$13+'Setting key Duty'!$I$12+'Setting key Duty'!$I$11)</f>
        <v>#VALUE!</v>
      </c>
      <c r="BB17" s="37" t="n">
        <f aca="false">COUNTIF(A17:AH17,"*$L*")</f>
        <v>0</v>
      </c>
      <c r="BC17" s="37" t="e">
        <f aca="false">BB17*('Setting key Duty'!$I$13+'Setting key Duty'!$I$9)</f>
        <v>#VALUE!</v>
      </c>
      <c r="BD17" s="37" t="n">
        <f aca="false">COUNTIF(A17:AH17,"*$M*")</f>
        <v>0</v>
      </c>
      <c r="BE17" s="37" t="n">
        <f aca="false">BD17*('Setting key Duty'!$I$8+'Setting key Duty'!$I$9+'Setting key Duty'!$I$12)</f>
        <v>0</v>
      </c>
      <c r="BF17" s="37" t="n">
        <f aca="false">COUNTIF(AG17:AH17,"*$N*")</f>
        <v>0</v>
      </c>
      <c r="BG17" s="37" t="n">
        <f aca="false">COUNTIF(AG17:AH17,"*$PM*")</f>
        <v>0</v>
      </c>
      <c r="BH17" s="37" t="n">
        <f aca="false">BG17*('Setting key Duty'!$I$9)</f>
        <v>0</v>
      </c>
      <c r="BI17" s="37" t="n">
        <f aca="false">COUNTIF(A17:AH17,"*$AM*")</f>
        <v>0</v>
      </c>
      <c r="BJ17" s="37" t="n">
        <f aca="false">BI17*('Setting key Duty'!$I$12+'Setting key Duty'!$I$8)</f>
        <v>0</v>
      </c>
      <c r="BK17" s="37" t="n">
        <f aca="false">COUNTIF(E17:AH17,"*$FC*")</f>
        <v>0</v>
      </c>
      <c r="BL17" s="37" t="n">
        <f aca="false">BK17*('Setting key Duty'!$J$11+'Setting key Duty'!$I$8)</f>
        <v>0</v>
      </c>
      <c r="BM17" s="37" t="n">
        <f aca="false">COUNTIF($E17:$AA17,BM$4)</f>
        <v>0</v>
      </c>
      <c r="BN17" s="37" t="n">
        <f aca="false">COUNTIF($E17:$AA17,BN$4)</f>
        <v>0</v>
      </c>
      <c r="BO17" s="37" t="n">
        <f aca="false">COUNTIF($E17:$AA17,BO$4)</f>
        <v>4</v>
      </c>
      <c r="BP17" s="39"/>
    </row>
    <row r="18" customFormat="false" ht="19.5" hidden="false" customHeight="true" outlineLevel="0" collapsed="false">
      <c r="A18" s="30"/>
      <c r="B18" s="54" t="s">
        <v>82</v>
      </c>
      <c r="C18" s="32"/>
      <c r="D18" s="32"/>
      <c r="E18" s="32"/>
      <c r="F18" s="32"/>
      <c r="G18" s="32" t="s">
        <v>57</v>
      </c>
      <c r="H18" s="32"/>
      <c r="I18" s="32" t="s">
        <v>57</v>
      </c>
      <c r="K18" s="32"/>
      <c r="L18" s="34" t="s">
        <v>57</v>
      </c>
      <c r="M18" s="34"/>
      <c r="N18" s="32"/>
      <c r="O18" s="32" t="s">
        <v>54</v>
      </c>
      <c r="P18" s="32" t="s">
        <v>54</v>
      </c>
      <c r="Q18" s="32" t="s">
        <v>54</v>
      </c>
      <c r="R18" s="32" t="s">
        <v>54</v>
      </c>
      <c r="S18" s="32" t="s">
        <v>54</v>
      </c>
      <c r="T18" s="32" t="s">
        <v>54</v>
      </c>
      <c r="U18" s="32" t="s">
        <v>54</v>
      </c>
      <c r="V18" s="32" t="s">
        <v>54</v>
      </c>
      <c r="W18" s="32" t="s">
        <v>54</v>
      </c>
      <c r="X18" s="32" t="s">
        <v>54</v>
      </c>
      <c r="Y18" s="32" t="s">
        <v>54</v>
      </c>
      <c r="Z18" s="32" t="s">
        <v>54</v>
      </c>
      <c r="AA18" s="84"/>
      <c r="AB18" s="32" t="s">
        <v>69</v>
      </c>
      <c r="AC18" s="32"/>
      <c r="AD18" s="32"/>
      <c r="AE18" s="32"/>
      <c r="AF18" s="32"/>
      <c r="AG18" s="32"/>
      <c r="AH18" s="35"/>
      <c r="AI18" s="36"/>
      <c r="AJ18" s="35"/>
      <c r="AK18" s="37"/>
      <c r="AL18" s="37"/>
      <c r="AM18" s="37"/>
      <c r="AN18" s="37"/>
      <c r="AO18" s="38"/>
      <c r="AP18" s="37" t="n">
        <f aca="false">SUMPRODUCT(--WEEKDAY(C$3:AG$3,2)&lt;6,--((C18:AG18="DM"))+(C18:AG18="CS1")+((C18:AG18="CS2"))+(C18:AG18="SB1")+(C18:AG18="AE")+(C18:AG18="EM"))</f>
        <v>2</v>
      </c>
      <c r="AQ18" s="38"/>
      <c r="AR18" s="38" t="n">
        <f aca="false">SUMPRODUCT(--WEEKDAY(C$3:AG$3,2)&gt;5,--((C18:AG18="DM"))+(C18:AG18="CS1")+((C18:AG18="CS2"))+(C18:AG18="SB1")+(C18:AG18="AE")+(C18:AG18="EM"))</f>
        <v>1</v>
      </c>
      <c r="AS18" s="38"/>
      <c r="AT18" s="38" t="n">
        <f aca="false">(AP18-AQ18)/2+(AR18-AS18)</f>
        <v>2</v>
      </c>
      <c r="AU18" s="38" t="n">
        <f aca="false">AH18+AI18+AJ18+AK18+AM18+AN18</f>
        <v>0</v>
      </c>
      <c r="AV18" s="38" t="n">
        <f aca="false">BF18+BG18+BI18+BD18+BB18+AZ18+BK18</f>
        <v>0</v>
      </c>
      <c r="AW18" s="38" t="e">
        <f aca="false">AT18+AX18</f>
        <v>#VALUE!</v>
      </c>
      <c r="AX18" s="37" t="e">
        <f aca="false"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37" t="n">
        <f aca="false">COUNTIF(C18:AB18,"*BRT*")</f>
        <v>0</v>
      </c>
      <c r="AZ18" s="37" t="n">
        <f aca="false">COUNTIF(A18:AH18,"*$BTP*")</f>
        <v>0</v>
      </c>
      <c r="BA18" s="37" t="e">
        <f aca="false">AZ18*('Setting key Duty'!$I$13+'Setting key Duty'!$I$12+'Setting key Duty'!$I$11)</f>
        <v>#VALUE!</v>
      </c>
      <c r="BB18" s="37" t="n">
        <f aca="false">COUNTIF(A18:AH18,"*$L*")</f>
        <v>0</v>
      </c>
      <c r="BC18" s="37" t="e">
        <f aca="false">BB18*('Setting key Duty'!$I$13+'Setting key Duty'!$I$9)</f>
        <v>#VALUE!</v>
      </c>
      <c r="BD18" s="37" t="n">
        <f aca="false">COUNTIF(A18:AH18,"*$M*")</f>
        <v>0</v>
      </c>
      <c r="BE18" s="37" t="n">
        <f aca="false">BD18*('Setting key Duty'!$I$8+'Setting key Duty'!$I$9+'Setting key Duty'!$I$12)</f>
        <v>0</v>
      </c>
      <c r="BF18" s="37" t="n">
        <f aca="false">COUNTIF(AH18,"*$N*")</f>
        <v>0</v>
      </c>
      <c r="BG18" s="37" t="n">
        <f aca="false">COUNTIF(AH18,"*$PM*")</f>
        <v>0</v>
      </c>
      <c r="BH18" s="37" t="n">
        <f aca="false">BG18*('Setting key Duty'!$I$9)</f>
        <v>0</v>
      </c>
      <c r="BI18" s="37" t="n">
        <f aca="false">COUNTIF(A18:AH18,"*$AM*")</f>
        <v>0</v>
      </c>
      <c r="BJ18" s="37" t="n">
        <f aca="false">BI18*('Setting key Duty'!$I$12+'Setting key Duty'!$I$8)</f>
        <v>0</v>
      </c>
      <c r="BK18" s="37" t="n">
        <f aca="false">COUNTIF(C18:AH18,"*$FC*")</f>
        <v>0</v>
      </c>
      <c r="BL18" s="37" t="n">
        <f aca="false">BK18*('Setting key Duty'!$J$11+'Setting key Duty'!$I$8)</f>
        <v>0</v>
      </c>
      <c r="BM18" s="37" t="n">
        <f aca="false">COUNTIF($C18:$AB18,BM$4)</f>
        <v>0</v>
      </c>
      <c r="BN18" s="37" t="n">
        <f aca="false">COUNTIF($C18:$AB18,BN$4)</f>
        <v>0</v>
      </c>
      <c r="BO18" s="37" t="n">
        <f aca="false">COUNTIF($C18:$AB18,BO$4)</f>
        <v>0</v>
      </c>
      <c r="BP18" s="39"/>
    </row>
    <row r="19" customFormat="false" ht="19.5" hidden="false" customHeight="true" outlineLevel="0" collapsed="false">
      <c r="A19" s="30"/>
      <c r="B19" s="48" t="s">
        <v>83</v>
      </c>
      <c r="C19" s="32"/>
      <c r="D19" s="32"/>
      <c r="F19" s="32" t="s">
        <v>59</v>
      </c>
      <c r="H19" s="32" t="s">
        <v>57</v>
      </c>
      <c r="I19" s="32"/>
      <c r="J19" s="32" t="s">
        <v>54</v>
      </c>
      <c r="K19" s="32" t="s">
        <v>54</v>
      </c>
      <c r="L19" s="32" t="s">
        <v>54</v>
      </c>
      <c r="M19" s="32" t="s">
        <v>54</v>
      </c>
      <c r="N19" s="32" t="s">
        <v>54</v>
      </c>
      <c r="O19" s="32" t="s">
        <v>54</v>
      </c>
      <c r="P19" s="32" t="s">
        <v>54</v>
      </c>
      <c r="Q19" s="32" t="s">
        <v>54</v>
      </c>
      <c r="S19" s="32"/>
      <c r="U19" s="32" t="s">
        <v>56</v>
      </c>
      <c r="W19" s="32" t="s">
        <v>57</v>
      </c>
      <c r="X19" s="32"/>
      <c r="Y19" s="32"/>
      <c r="Z19" s="32" t="s">
        <v>69</v>
      </c>
      <c r="AA19" s="84"/>
      <c r="AB19" s="32" t="s">
        <v>69</v>
      </c>
      <c r="AC19" s="34"/>
      <c r="AF19" s="32"/>
      <c r="AG19" s="32" t="s">
        <v>55</v>
      </c>
      <c r="AH19" s="35"/>
      <c r="AI19" s="36"/>
      <c r="AJ19" s="35"/>
      <c r="AK19" s="37"/>
      <c r="AL19" s="37"/>
      <c r="AM19" s="37"/>
      <c r="AN19" s="37"/>
      <c r="AO19" s="38"/>
      <c r="AP19" s="37" t="n">
        <f aca="false">SUMPRODUCT(--WEEKDAY(C$3:AG$3,2)&lt;6,--((C19:AG19="DM"))+(C19:AG19="CS1")+((C19:AG19="CS2"))+(C19:AG19="SB1")+(C19:AG19="AE")+(C19:AG19="EM"))</f>
        <v>3</v>
      </c>
      <c r="AQ19" s="38"/>
      <c r="AR19" s="38" t="n">
        <f aca="false">SUMPRODUCT(--WEEKDAY(C$3:AG$3,2)&gt;5,--((C19:AG19="DM"))+(C19:AG19="CS1")+((C19:AG19="CS2"))+(C19:AG19="SB1")+(C19:AG19="AE")+(C19:AG19="EM"))</f>
        <v>1</v>
      </c>
      <c r="AS19" s="38"/>
      <c r="AT19" s="38" t="n">
        <f aca="false">(AP19-AQ19)/2+(AR19-AS19)</f>
        <v>2.5</v>
      </c>
      <c r="AU19" s="38" t="n">
        <f aca="false">AH19+AI19+AJ19+AK19+AM19+AN19</f>
        <v>0</v>
      </c>
      <c r="AV19" s="38" t="n">
        <f aca="false">BF19+BG19+BI19+BD19+BB19+AZ19+BK19</f>
        <v>0</v>
      </c>
      <c r="AW19" s="38" t="e">
        <f aca="false">AT19+AX19</f>
        <v>#VALUE!</v>
      </c>
      <c r="AX19" s="37" t="e">
        <f aca="false"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37" t="n">
        <f aca="false">COUNTIF(D19:AB19,"*BRT*")</f>
        <v>0</v>
      </c>
      <c r="AZ19" s="37" t="n">
        <f aca="false">COUNTIF(A19:AH19,"*$BTP*")</f>
        <v>0</v>
      </c>
      <c r="BA19" s="37" t="e">
        <f aca="false">AZ19*('Setting key Duty'!$I$13+'Setting key Duty'!$I$12+'Setting key Duty'!$I$11)</f>
        <v>#VALUE!</v>
      </c>
      <c r="BB19" s="37" t="n">
        <f aca="false">COUNTIF(A19:AH19,"*$L*")</f>
        <v>0</v>
      </c>
      <c r="BC19" s="37" t="e">
        <f aca="false">BB19*('Setting key Duty'!$I$13+'Setting key Duty'!$I$9)</f>
        <v>#VALUE!</v>
      </c>
      <c r="BD19" s="37" t="n">
        <f aca="false">COUNTIF(A19:AH19,"*$M*")</f>
        <v>0</v>
      </c>
      <c r="BE19" s="37" t="n">
        <f aca="false">BD19*('Setting key Duty'!$I$8+'Setting key Duty'!$I$9+'Setting key Duty'!$I$12)</f>
        <v>0</v>
      </c>
      <c r="BF19" s="37" t="n">
        <f aca="false">COUNTIF(AH19,"*$N*")</f>
        <v>0</v>
      </c>
      <c r="BG19" s="37" t="n">
        <f aca="false">COUNTIF(AH19,"*$PM*")</f>
        <v>0</v>
      </c>
      <c r="BH19" s="37" t="n">
        <f aca="false">BG19*('Setting key Duty'!$I$9)</f>
        <v>0</v>
      </c>
      <c r="BI19" s="37" t="n">
        <f aca="false">COUNTIF(A19:AH19,"*$AM*")</f>
        <v>0</v>
      </c>
      <c r="BJ19" s="37" t="n">
        <f aca="false">BI19*('Setting key Duty'!$I$12+'Setting key Duty'!$I$8)</f>
        <v>0</v>
      </c>
      <c r="BK19" s="37" t="n">
        <f aca="false">COUNTIF(D19:AH19,"*$FC*")</f>
        <v>0</v>
      </c>
      <c r="BL19" s="37" t="n">
        <f aca="false">BK19*('Setting key Duty'!$J$11+'Setting key Duty'!$I$8)</f>
        <v>0</v>
      </c>
      <c r="BM19" s="37" t="n">
        <f aca="false">COUNTIF($D19:$AB19,BM$4)</f>
        <v>0</v>
      </c>
      <c r="BN19" s="37" t="n">
        <f aca="false">COUNTIF($D19:$AB19,BN$4)</f>
        <v>0</v>
      </c>
      <c r="BO19" s="37" t="n">
        <f aca="false">COUNTIF($D19:$AB19,BO$4)</f>
        <v>0</v>
      </c>
      <c r="BP19" s="39"/>
    </row>
    <row r="20" customFormat="false" ht="19.5" hidden="false" customHeight="true" outlineLevel="0" collapsed="false">
      <c r="A20" s="30"/>
      <c r="B20" s="40" t="s">
        <v>84</v>
      </c>
      <c r="C20" s="32"/>
      <c r="D20" s="32"/>
      <c r="E20" s="34"/>
      <c r="F20" s="32" t="s">
        <v>56</v>
      </c>
      <c r="G20" s="32" t="s">
        <v>159</v>
      </c>
      <c r="H20" s="32" t="s">
        <v>160</v>
      </c>
      <c r="I20" s="32" t="s">
        <v>150</v>
      </c>
      <c r="J20" s="32" t="s">
        <v>161</v>
      </c>
      <c r="K20" s="32" t="s">
        <v>57</v>
      </c>
      <c r="L20" s="42"/>
      <c r="M20" s="33"/>
      <c r="N20" s="32" t="s">
        <v>59</v>
      </c>
      <c r="O20" s="32"/>
      <c r="P20" s="32" t="s">
        <v>57</v>
      </c>
      <c r="Q20" s="33"/>
      <c r="R20" s="32"/>
      <c r="S20" s="32" t="s">
        <v>57</v>
      </c>
      <c r="T20" s="32"/>
      <c r="U20" s="32" t="s">
        <v>57</v>
      </c>
      <c r="V20" s="33"/>
      <c r="W20" s="32" t="s">
        <v>56</v>
      </c>
      <c r="X20" s="32"/>
      <c r="Y20" s="32"/>
      <c r="Z20" s="32"/>
      <c r="AA20" s="84"/>
      <c r="AB20" s="32"/>
      <c r="AC20" s="32"/>
      <c r="AD20" s="32" t="s">
        <v>56</v>
      </c>
      <c r="AE20" s="32"/>
      <c r="AF20" s="32"/>
      <c r="AG20" s="32"/>
      <c r="AH20" s="35"/>
      <c r="AI20" s="36"/>
      <c r="AJ20" s="35"/>
      <c r="AK20" s="37"/>
      <c r="AL20" s="37"/>
      <c r="AM20" s="37"/>
      <c r="AN20" s="37"/>
      <c r="AO20" s="38"/>
      <c r="AP20" s="37" t="n">
        <f aca="false">SUMPRODUCT(--WEEKDAY(C$3:AG$3,2)&lt;6,--((C20:AG20="DM"))+(C20:AG20="CS1")+((C20:AG20="CS2"))+(C20:AG20="SB1")+(C20:AG20="AE")+(C20:AG20="EM"))</f>
        <v>5</v>
      </c>
      <c r="AQ20" s="38"/>
      <c r="AR20" s="38" t="n">
        <f aca="false">SUMPRODUCT(--WEEKDAY(C$3:AG$3,2)&gt;5,--((C20:AG20="DM"))+(C20:AG20="CS1")+((C20:AG20="CS2"))+(C20:AG20="SB1")+(C20:AG20="AE")+(C20:AG20="EM"))</f>
        <v>3</v>
      </c>
      <c r="AS20" s="38"/>
      <c r="AT20" s="38" t="n">
        <f aca="false">(AP20-AQ20)/2+(AR20-AS20)</f>
        <v>5.5</v>
      </c>
      <c r="AU20" s="38" t="n">
        <f aca="false">AH20+AI20+AJ20+AK20+AM20+AN20</f>
        <v>0</v>
      </c>
      <c r="AV20" s="38" t="n">
        <f aca="false">BF20+BG20+BI20+BD20+BB20+AZ20+BK20</f>
        <v>0</v>
      </c>
      <c r="AW20" s="38" t="e">
        <f aca="false">AT20+AX20</f>
        <v>#VALUE!</v>
      </c>
      <c r="AX20" s="37" t="e">
        <f aca="false"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37" t="n">
        <f aca="false">COUNTIF(D20:AB20,"*BRT*")</f>
        <v>0</v>
      </c>
      <c r="AZ20" s="37" t="n">
        <f aca="false">COUNTIF(A20:AH20,"*$BTP*")</f>
        <v>0</v>
      </c>
      <c r="BA20" s="37" t="e">
        <f aca="false">AZ20*('Setting key Duty'!$I$13+'Setting key Duty'!$I$12+'Setting key Duty'!$I$11)</f>
        <v>#VALUE!</v>
      </c>
      <c r="BB20" s="37" t="n">
        <f aca="false">COUNTIF(A20:AH20,"*$L*")</f>
        <v>0</v>
      </c>
      <c r="BC20" s="37" t="e">
        <f aca="false">BB20*('Setting key Duty'!$I$13+'Setting key Duty'!$I$9)</f>
        <v>#VALUE!</v>
      </c>
      <c r="BD20" s="37" t="n">
        <f aca="false">COUNTIF(A20:AH20,"*$M*")</f>
        <v>0</v>
      </c>
      <c r="BE20" s="37" t="n">
        <f aca="false">BD20*('Setting key Duty'!$I$8+'Setting key Duty'!$I$9+'Setting key Duty'!$I$12)</f>
        <v>0</v>
      </c>
      <c r="BF20" s="37" t="n">
        <f aca="false">COUNTIF(AF20:AH20,"*$N*")</f>
        <v>0</v>
      </c>
      <c r="BG20" s="37" t="n">
        <f aca="false">COUNTIF(AF20:AH20,"*$PM*")</f>
        <v>0</v>
      </c>
      <c r="BH20" s="37" t="n">
        <f aca="false">BG20*('Setting key Duty'!$I$9)</f>
        <v>0</v>
      </c>
      <c r="BI20" s="37" t="n">
        <f aca="false">COUNTIF(A20:AH20,"*$AM*")</f>
        <v>0</v>
      </c>
      <c r="BJ20" s="37" t="n">
        <f aca="false">BI20*('Setting key Duty'!$I$12+'Setting key Duty'!$I$8)</f>
        <v>0</v>
      </c>
      <c r="BK20" s="37" t="n">
        <f aca="false">COUNTIF(D20:AH20,"*$FC*")</f>
        <v>0</v>
      </c>
      <c r="BL20" s="37" t="n">
        <f aca="false">BK20*('Setting key Duty'!$J$11+'Setting key Duty'!$I$8)</f>
        <v>0</v>
      </c>
      <c r="BM20" s="37" t="n">
        <f aca="false">COUNTIF($D20:$AE20,BM$4)</f>
        <v>0</v>
      </c>
      <c r="BN20" s="37" t="n">
        <f aca="false">COUNTIF($D20:$AE20,BN$4)</f>
        <v>0</v>
      </c>
      <c r="BO20" s="37" t="n">
        <f aca="false">COUNTIF($D20:$AE20,BO$4)</f>
        <v>0</v>
      </c>
      <c r="BP20" s="39"/>
    </row>
    <row r="21" customFormat="false" ht="19.5" hidden="false" customHeight="true" outlineLevel="0" collapsed="false">
      <c r="A21" s="30" t="s">
        <v>55</v>
      </c>
      <c r="B21" s="53" t="s">
        <v>85</v>
      </c>
      <c r="C21" s="32"/>
      <c r="D21" s="32" t="s">
        <v>157</v>
      </c>
      <c r="F21" s="32" t="s">
        <v>173</v>
      </c>
      <c r="G21" s="34" t="s">
        <v>174</v>
      </c>
      <c r="H21" s="32"/>
      <c r="I21" s="32"/>
      <c r="J21" s="32" t="s">
        <v>54</v>
      </c>
      <c r="K21" s="32" t="s">
        <v>54</v>
      </c>
      <c r="L21" s="32" t="s">
        <v>54</v>
      </c>
      <c r="M21" s="32" t="s">
        <v>54</v>
      </c>
      <c r="N21" s="32" t="s">
        <v>54</v>
      </c>
      <c r="O21" s="32" t="s">
        <v>54</v>
      </c>
      <c r="P21" s="32" t="s">
        <v>54</v>
      </c>
      <c r="Q21" s="32" t="s">
        <v>54</v>
      </c>
      <c r="R21" s="32" t="s">
        <v>54</v>
      </c>
      <c r="S21" s="32"/>
      <c r="T21" s="32" t="s">
        <v>57</v>
      </c>
      <c r="U21" s="32"/>
      <c r="V21" s="32" t="s">
        <v>56</v>
      </c>
      <c r="W21" s="32"/>
      <c r="X21" s="32" t="s">
        <v>54</v>
      </c>
      <c r="Y21" s="33"/>
      <c r="Z21" s="32"/>
      <c r="AA21" s="84"/>
      <c r="AC21" s="32" t="s">
        <v>59</v>
      </c>
      <c r="AE21" s="32" t="s">
        <v>56</v>
      </c>
      <c r="AF21" s="32"/>
      <c r="AG21" s="32"/>
      <c r="AH21" s="35"/>
      <c r="AI21" s="36"/>
      <c r="AJ21" s="35"/>
      <c r="AK21" s="37"/>
      <c r="AL21" s="37"/>
      <c r="AM21" s="37"/>
      <c r="AN21" s="37"/>
      <c r="AO21" s="38"/>
      <c r="AP21" s="37" t="n">
        <f aca="false">SUMPRODUCT(--WEEKDAY(C$3:AG$3,2)&lt;6,--((C21:AG21="DM"))+(C21:AG21="CS1")+((C21:AG21="CS2"))+(C21:AG21="SB1")+(C21:AG21="AE")+(C21:AG21="EM"))</f>
        <v>3</v>
      </c>
      <c r="AQ21" s="38"/>
      <c r="AR21" s="38" t="n">
        <f aca="false">SUMPRODUCT(--WEEKDAY(C$3:AG$3,2)&gt;5,--((C21:AG21="DM"))+(C21:AG21="CS1")+((C21:AG21="CS2"))+(C21:AG21="SB1")+(C21:AG21="AE")+(C21:AG21="EM"))</f>
        <v>1</v>
      </c>
      <c r="AS21" s="38"/>
      <c r="AT21" s="38" t="n">
        <f aca="false">(AP21-AQ21)/2+(AR21-AS21)</f>
        <v>2.5</v>
      </c>
      <c r="AU21" s="38" t="n">
        <f aca="false">AH21+AI21+AJ21+AK21+AM21+AN21</f>
        <v>0</v>
      </c>
      <c r="AV21" s="38" t="n">
        <f aca="false">BF21+BG21+BI21+BD21+BB21+AZ21+BK21</f>
        <v>0</v>
      </c>
      <c r="AW21" s="38" t="e">
        <f aca="false">AT21+AX21</f>
        <v>#VALUE!</v>
      </c>
      <c r="AX21" s="37" t="e">
        <f aca="false"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37" t="n">
        <f aca="false">COUNTIF(D21:AC21,"*BRT*")</f>
        <v>0</v>
      </c>
      <c r="AZ21" s="37" t="n">
        <f aca="false">COUNTIF(A21:AH21,"*$BTP*")</f>
        <v>0</v>
      </c>
      <c r="BA21" s="37" t="e">
        <f aca="false">AZ21*('Setting key Duty'!$I$13+'Setting key Duty'!$I$12+'Setting key Duty'!$I$11)</f>
        <v>#VALUE!</v>
      </c>
      <c r="BB21" s="37" t="n">
        <f aca="false">COUNTIF(A21:AH21,"*$L*")</f>
        <v>0</v>
      </c>
      <c r="BC21" s="37" t="e">
        <f aca="false">BB21*('Setting key Duty'!$I$13+'Setting key Duty'!$I$9)</f>
        <v>#VALUE!</v>
      </c>
      <c r="BD21" s="37" t="n">
        <f aca="false">COUNTIF(A21:AH21,"*$M*")</f>
        <v>0</v>
      </c>
      <c r="BE21" s="37" t="n">
        <f aca="false">BD21*('Setting key Duty'!$I$8+'Setting key Duty'!$I$9+'Setting key Duty'!$I$12)</f>
        <v>0</v>
      </c>
      <c r="BF21" s="37" t="n">
        <f aca="false">COUNTIF(AH21,"*$N*")</f>
        <v>0</v>
      </c>
      <c r="BG21" s="37" t="n">
        <f aca="false">COUNTIF(AH21,"*$PM*")</f>
        <v>0</v>
      </c>
      <c r="BH21" s="37" t="n">
        <f aca="false">BG21*('Setting key Duty'!$I$9)</f>
        <v>0</v>
      </c>
      <c r="BI21" s="37" t="n">
        <f aca="false">COUNTIF(A21:AH21,"*$AM*")</f>
        <v>0</v>
      </c>
      <c r="BJ21" s="37" t="n">
        <f aca="false">BI21*('Setting key Duty'!$I$12+'Setting key Duty'!$I$8)</f>
        <v>0</v>
      </c>
      <c r="BK21" s="37" t="n">
        <f aca="false">COUNTIF(D21:AH21,"*$FC*")</f>
        <v>0</v>
      </c>
      <c r="BL21" s="37" t="n">
        <f aca="false">BK21*('Setting key Duty'!$J$11+'Setting key Duty'!$I$8)</f>
        <v>0</v>
      </c>
      <c r="BM21" s="37" t="n">
        <f aca="false">COUNTIF($D21:$AC21,BM$4)</f>
        <v>0</v>
      </c>
      <c r="BN21" s="37" t="n">
        <f aca="false">COUNTIF($D21:$AC21,BN$4)</f>
        <v>0</v>
      </c>
      <c r="BO21" s="37" t="n">
        <f aca="false">COUNTIF($D21:$AC21,BO$4)</f>
        <v>0</v>
      </c>
      <c r="BP21" s="39"/>
    </row>
    <row r="22" customFormat="false" ht="19.5" hidden="false" customHeight="true" outlineLevel="0" collapsed="false">
      <c r="A22" s="30"/>
      <c r="B22" s="55" t="s">
        <v>86</v>
      </c>
      <c r="C22" s="32"/>
      <c r="D22" s="34" t="s">
        <v>59</v>
      </c>
      <c r="E22" s="32"/>
      <c r="F22" s="33"/>
      <c r="G22" s="32" t="s">
        <v>59</v>
      </c>
      <c r="H22" s="45"/>
      <c r="I22" s="34" t="s">
        <v>56</v>
      </c>
      <c r="K22" s="32"/>
      <c r="L22" s="32"/>
      <c r="M22" s="32"/>
      <c r="N22" s="32"/>
      <c r="O22" s="32" t="s">
        <v>59</v>
      </c>
      <c r="P22" s="32"/>
      <c r="Q22" s="32"/>
      <c r="R22" s="32"/>
      <c r="S22" s="32"/>
      <c r="T22" s="32"/>
      <c r="U22" s="32"/>
      <c r="V22" s="32" t="s">
        <v>57</v>
      </c>
      <c r="W22" s="32"/>
      <c r="X22" s="32"/>
      <c r="Y22" s="32" t="s">
        <v>56</v>
      </c>
      <c r="Z22" s="33"/>
      <c r="AA22" s="84"/>
      <c r="AB22" s="32" t="s">
        <v>59</v>
      </c>
      <c r="AE22" s="32"/>
      <c r="AF22" s="33"/>
      <c r="AH22" s="35"/>
      <c r="AI22" s="36"/>
      <c r="AJ22" s="35"/>
      <c r="AK22" s="37"/>
      <c r="AL22" s="37"/>
      <c r="AM22" s="37"/>
      <c r="AN22" s="37"/>
      <c r="AO22" s="38"/>
      <c r="AP22" s="37" t="n">
        <f aca="false">SUMPRODUCT(--WEEKDAY(C$3:AG$3,2)&lt;6,--((C22:AG22="DM"))+(C22:AG22="CS1")+((C22:AG22="CS2"))+(C22:AG22="SB1")+(C22:AG22="AE")+(C22:AG22="EM"))</f>
        <v>6</v>
      </c>
      <c r="AQ22" s="38"/>
      <c r="AR22" s="38" t="n">
        <f aca="false">SUMPRODUCT(--WEEKDAY(C$3:AG$3,2)&gt;5,--((C22:AG22="DM"))+(C22:AG22="CS1")+((C22:AG22="CS2"))+(C22:AG22="SB1")+(C22:AG22="AE")+(C22:AG22="EM"))</f>
        <v>1</v>
      </c>
      <c r="AS22" s="38"/>
      <c r="AT22" s="38" t="n">
        <f aca="false">(AP22-AQ22)/2+(AR22-AS22)</f>
        <v>4</v>
      </c>
      <c r="AU22" s="38" t="n">
        <f aca="false">AH22+AI22+AJ22+AK22+AM22+AN22</f>
        <v>0</v>
      </c>
      <c r="AV22" s="38" t="n">
        <f aca="false">BF22+BG22+BI22+BD22+BB22+AZ22+BK22</f>
        <v>0</v>
      </c>
      <c r="AW22" s="38" t="e">
        <f aca="false">AT22+AX22</f>
        <v>#VALUE!</v>
      </c>
      <c r="AX22" s="37" t="e">
        <f aca="false"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37" t="n">
        <f aca="false">COUNTIF(D22:AB22,"*BRT*")</f>
        <v>0</v>
      </c>
      <c r="AZ22" s="37" t="n">
        <f aca="false">COUNTIF(A22:AH22,"*$BTP*")</f>
        <v>0</v>
      </c>
      <c r="BA22" s="37" t="e">
        <f aca="false">AZ22*('Setting key Duty'!$I$13+'Setting key Duty'!$I$12+'Setting key Duty'!$I$11)</f>
        <v>#VALUE!</v>
      </c>
      <c r="BB22" s="37" t="n">
        <f aca="false">COUNTIF(A22:AH22,"*$L*")</f>
        <v>0</v>
      </c>
      <c r="BC22" s="37" t="e">
        <f aca="false">BB22*('Setting key Duty'!$I$13+'Setting key Duty'!$I$9)</f>
        <v>#VALUE!</v>
      </c>
      <c r="BD22" s="37" t="n">
        <f aca="false">COUNTIF(A22:AH22,"*$M*")</f>
        <v>0</v>
      </c>
      <c r="BE22" s="37" t="n">
        <f aca="false">BD22*('Setting key Duty'!$I$8+'Setting key Duty'!$I$9+'Setting key Duty'!$I$12)</f>
        <v>0</v>
      </c>
      <c r="BF22" s="37" t="n">
        <f aca="false">COUNTIF(AE22:AH22,"*$N*")</f>
        <v>0</v>
      </c>
      <c r="BG22" s="37" t="n">
        <f aca="false">COUNTIF(AE22:AH22,"*$PM*")</f>
        <v>0</v>
      </c>
      <c r="BH22" s="37" t="n">
        <f aca="false">BG22*('Setting key Duty'!$I$9)</f>
        <v>0</v>
      </c>
      <c r="BI22" s="37" t="n">
        <f aca="false">COUNTIF(A22:AH22,"*$AM*")</f>
        <v>0</v>
      </c>
      <c r="BJ22" s="37" t="n">
        <f aca="false">BI22*('Setting key Duty'!$I$12+'Setting key Duty'!$I$8)</f>
        <v>0</v>
      </c>
      <c r="BK22" s="37" t="n">
        <f aca="false">COUNTIF(D22:AH22,"*$FC*")</f>
        <v>0</v>
      </c>
      <c r="BL22" s="37" t="n">
        <f aca="false">BK22*('Setting key Duty'!$J$11+'Setting key Duty'!$I$8)</f>
        <v>0</v>
      </c>
      <c r="BM22" s="37" t="n">
        <f aca="false">COUNTIF($D22:$AE22,BM$4)</f>
        <v>0</v>
      </c>
      <c r="BN22" s="37" t="n">
        <f aca="false">COUNTIF($D22:$AE22,BN$4)</f>
        <v>0</v>
      </c>
      <c r="BO22" s="37" t="n">
        <f aca="false">COUNTIF($D22:$AE22,BO$4)</f>
        <v>0</v>
      </c>
      <c r="BP22" s="39"/>
    </row>
    <row r="23" customFormat="false" ht="19.5" hidden="false" customHeight="true" outlineLevel="0" collapsed="false">
      <c r="A23" s="30"/>
      <c r="B23" s="49" t="s">
        <v>87</v>
      </c>
      <c r="D23" s="32" t="s">
        <v>175</v>
      </c>
      <c r="E23" s="32"/>
      <c r="F23" s="32" t="s">
        <v>173</v>
      </c>
      <c r="G23" s="34" t="s">
        <v>174</v>
      </c>
      <c r="H23" s="45" t="s">
        <v>58</v>
      </c>
      <c r="I23" s="45"/>
      <c r="J23" s="32"/>
      <c r="K23" s="32" t="s">
        <v>56</v>
      </c>
      <c r="L23" s="32"/>
      <c r="M23" s="33"/>
      <c r="N23" s="33"/>
      <c r="O23" s="32" t="s">
        <v>55</v>
      </c>
      <c r="Q23" s="32" t="s">
        <v>56</v>
      </c>
      <c r="R23" s="33"/>
      <c r="S23" s="32"/>
      <c r="T23" s="32" t="s">
        <v>55</v>
      </c>
      <c r="U23" s="32" t="s">
        <v>55</v>
      </c>
      <c r="V23" s="32" t="s">
        <v>163</v>
      </c>
      <c r="X23" s="34"/>
      <c r="Y23" s="32" t="s">
        <v>55</v>
      </c>
      <c r="Z23" s="32" t="s">
        <v>55</v>
      </c>
      <c r="AA23" s="84" t="s">
        <v>57</v>
      </c>
      <c r="AB23" s="34"/>
      <c r="AC23" s="32"/>
      <c r="AD23" s="34"/>
      <c r="AE23" s="34"/>
      <c r="AF23" s="32" t="s">
        <v>55</v>
      </c>
      <c r="AG23" s="32" t="s">
        <v>55</v>
      </c>
      <c r="AH23" s="35"/>
      <c r="AI23" s="36"/>
      <c r="AJ23" s="35"/>
      <c r="AK23" s="37"/>
      <c r="AL23" s="37"/>
      <c r="AM23" s="37"/>
      <c r="AN23" s="37"/>
      <c r="AO23" s="38"/>
      <c r="AP23" s="37" t="n">
        <f aca="false">SUMPRODUCT(--WEEKDAY(C$3:AG$3,2)&lt;6,--((C23:AG23="DM"))+(C23:AG23="CS1")+((C23:AG23="CS2"))+(C23:AG23="SB1")+(C23:AG23="AE")+(C23:AG23="EM"))</f>
        <v>3</v>
      </c>
      <c r="AQ23" s="38"/>
      <c r="AR23" s="38" t="n">
        <f aca="false">SUMPRODUCT(--WEEKDAY(C$3:AG$3,2)&gt;5,--((C23:AG23="DM"))+(C23:AG23="CS1")+((C23:AG23="CS2"))+(C23:AG23="SB1")+(C23:AG23="AE")+(C23:AG23="EM"))</f>
        <v>1</v>
      </c>
      <c r="AS23" s="38"/>
      <c r="AT23" s="38" t="n">
        <f aca="false">(AP23-AQ23)/2+(AR23-AS23)</f>
        <v>2.5</v>
      </c>
      <c r="AU23" s="38" t="n">
        <f aca="false">AH23+AI23+AJ23+AK23+AM23+AN23</f>
        <v>0</v>
      </c>
      <c r="AV23" s="38" t="n">
        <f aca="false">BF23+BG23+BI23+BD23+BB23+AZ23+BK23</f>
        <v>0</v>
      </c>
      <c r="AW23" s="38" t="e">
        <f aca="false">AT23+AX23</f>
        <v>#VALUE!</v>
      </c>
      <c r="AX23" s="37" t="e">
        <f aca="false"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37" t="n">
        <f aca="false">COUNTIF(D23:AA23,"*BRT*")</f>
        <v>0</v>
      </c>
      <c r="AZ23" s="37" t="n">
        <f aca="false">COUNTIF(A23:AH23,"*$BTP*")</f>
        <v>0</v>
      </c>
      <c r="BA23" s="37" t="e">
        <f aca="false">AZ23*('Setting key Duty'!$I$13+'Setting key Duty'!$I$12+'Setting key Duty'!$I$11)</f>
        <v>#VALUE!</v>
      </c>
      <c r="BB23" s="37" t="n">
        <f aca="false">COUNTIF(A23:AH23,"*$L*")</f>
        <v>0</v>
      </c>
      <c r="BC23" s="37" t="e">
        <f aca="false">BB23*('Setting key Duty'!$I$13+'Setting key Duty'!$I$9)</f>
        <v>#VALUE!</v>
      </c>
      <c r="BD23" s="37" t="n">
        <f aca="false">COUNTIF(A23:AH23,"*$M*")</f>
        <v>0</v>
      </c>
      <c r="BE23" s="37" t="n">
        <f aca="false">BD23*('Setting key Duty'!$I$8+'Setting key Duty'!$I$9+'Setting key Duty'!$I$12)</f>
        <v>0</v>
      </c>
      <c r="BF23" s="37" t="n">
        <f aca="false">COUNTIF(AH23,"*$N*")</f>
        <v>0</v>
      </c>
      <c r="BG23" s="37" t="n">
        <f aca="false">COUNTIF(AH23,"*$PM*")</f>
        <v>0</v>
      </c>
      <c r="BH23" s="37" t="n">
        <f aca="false">BG23*('Setting key Duty'!$I$9)</f>
        <v>0</v>
      </c>
      <c r="BI23" s="37" t="n">
        <f aca="false">COUNTIF(A23:AH23,"*$AM*")</f>
        <v>0</v>
      </c>
      <c r="BJ23" s="37" t="n">
        <f aca="false">BI23*('Setting key Duty'!$I$12+'Setting key Duty'!$I$8)</f>
        <v>0</v>
      </c>
      <c r="BK23" s="37" t="n">
        <f aca="false">COUNTIF(D23:AH23,"*$FC*")</f>
        <v>0</v>
      </c>
      <c r="BL23" s="37" t="n">
        <f aca="false">BK23*('Setting key Duty'!$J$11+'Setting key Duty'!$I$8)</f>
        <v>0</v>
      </c>
      <c r="BM23" s="37" t="n">
        <f aca="false">COUNTIF($D23:$AA23,BM$4)</f>
        <v>0</v>
      </c>
      <c r="BN23" s="37" t="n">
        <f aca="false">COUNTIF($D23:$AA23,BN$4)</f>
        <v>0</v>
      </c>
      <c r="BO23" s="37" t="n">
        <f aca="false">COUNTIF($D23:$AA23,BO$4)</f>
        <v>5</v>
      </c>
      <c r="BP23" s="39"/>
    </row>
    <row r="24" customFormat="false" ht="19.5" hidden="false" customHeight="true" outlineLevel="0" collapsed="false">
      <c r="A24" s="30"/>
      <c r="B24" s="41" t="s">
        <v>91</v>
      </c>
      <c r="D24" s="45" t="s">
        <v>176</v>
      </c>
      <c r="E24" s="45" t="s">
        <v>176</v>
      </c>
      <c r="F24" s="45" t="s">
        <v>176</v>
      </c>
      <c r="G24" s="45" t="s">
        <v>176</v>
      </c>
      <c r="H24" s="45"/>
      <c r="I24" s="42" t="s">
        <v>59</v>
      </c>
      <c r="K24" s="32"/>
      <c r="L24" s="42" t="s">
        <v>65</v>
      </c>
      <c r="N24" s="85" t="s">
        <v>177</v>
      </c>
      <c r="O24" s="32"/>
      <c r="P24" s="32"/>
      <c r="S24" s="32"/>
      <c r="T24" s="32" t="s">
        <v>176</v>
      </c>
      <c r="U24" s="32"/>
      <c r="V24" s="32" t="s">
        <v>55</v>
      </c>
      <c r="W24" s="32"/>
      <c r="X24" s="34"/>
      <c r="Y24" s="32" t="s">
        <v>55</v>
      </c>
      <c r="Z24" s="32" t="s">
        <v>55</v>
      </c>
      <c r="AA24" s="84"/>
      <c r="AB24" s="32" t="s">
        <v>56</v>
      </c>
      <c r="AC24" s="32"/>
      <c r="AD24" s="32" t="s">
        <v>59</v>
      </c>
      <c r="AE24" s="32"/>
      <c r="AF24" s="32"/>
      <c r="AG24" s="32" t="s">
        <v>55</v>
      </c>
      <c r="AH24" s="35" t="n">
        <f aca="false">COUNTIF($C24:$AF24,AH$4)</f>
        <v>0</v>
      </c>
      <c r="AI24" s="36" t="n">
        <f aca="false">COUNTIF($C24:$AF24,AI$4)</f>
        <v>1</v>
      </c>
      <c r="AJ24" s="35" t="n">
        <f aca="false">COUNTIF($C24:$AF24,AJ$4)</f>
        <v>2</v>
      </c>
      <c r="AK24" s="37" t="n">
        <f aca="false">COUNTIF($C24:$AF24,AK$4)</f>
        <v>0</v>
      </c>
      <c r="AL24" s="37" t="n">
        <f aca="false">COUNTIF($C24:$AF24,AL$4)</f>
        <v>0</v>
      </c>
      <c r="AM24" s="37" t="n">
        <f aca="false">COUNTIF($C24:$AF24,AM$4)</f>
        <v>1</v>
      </c>
      <c r="AN24" s="37" t="n">
        <f aca="false">COUNTIF($C24:$AF24,AN$4)</f>
        <v>0</v>
      </c>
      <c r="AO24" s="38"/>
      <c r="AP24" s="37" t="n">
        <f aca="false">SUMPRODUCT(--WEEKDAY(C$3:AG$3,2)&lt;6,--((C24:AG24="DM"))+(C24:AG24="CS1")+((C24:AG24="CS2"))+(C24:AG24="SB1")+(C24:AG24="AE")+(C24:AG24="EM"))</f>
        <v>2</v>
      </c>
      <c r="AQ24" s="38"/>
      <c r="AR24" s="38" t="n">
        <f aca="false">SUMPRODUCT(--WEEKDAY(C$3:AG$3,2)&gt;5,--((C24:AG24="DM"))+(C24:AG24="CS1")+((C24:AG24="CS2"))+(C24:AG24="SB1")+(C24:AG24="AE")+(C24:AG24="EM"))</f>
        <v>2</v>
      </c>
      <c r="AS24" s="38"/>
      <c r="AT24" s="38" t="n">
        <f aca="false">(AP24-AQ24)/2+(AR24-AS24)</f>
        <v>3</v>
      </c>
      <c r="AU24" s="38" t="n">
        <f aca="false">AH24+AI24+AJ24+AK24+AM24+AN24</f>
        <v>4</v>
      </c>
      <c r="AV24" s="38" t="n">
        <f aca="false">BF24+BG24+BI24+BD24+BB24+AZ24+BK24</f>
        <v>1</v>
      </c>
      <c r="AW24" s="38" t="e">
        <f aca="false">AT24+AX24</f>
        <v>#VALUE!</v>
      </c>
      <c r="AX24" s="37" t="e">
        <f aca="false"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37" t="n">
        <f aca="false">COUNTIF(C24:AC24,"*BRT*")</f>
        <v>0</v>
      </c>
      <c r="AZ24" s="37" t="n">
        <f aca="false">COUNTIF(A24:AH24,"*$BTP*")</f>
        <v>0</v>
      </c>
      <c r="BA24" s="37" t="e">
        <f aca="false">AZ24*('Setting key Duty'!$I$13+'Setting key Duty'!$I$12+'Setting key Duty'!$I$11)</f>
        <v>#VALUE!</v>
      </c>
      <c r="BB24" s="37" t="n">
        <f aca="false">COUNTIF(I24:AH24,"*$L*")</f>
        <v>0</v>
      </c>
      <c r="BC24" s="37" t="e">
        <f aca="false">BB24*('Setting key Duty'!$I$13+'Setting key Duty'!$I$9)</f>
        <v>#VALUE!</v>
      </c>
      <c r="BD24" s="37" t="n">
        <f aca="false">COUNTIF(I24:AH24,"*$M*")</f>
        <v>0</v>
      </c>
      <c r="BE24" s="37" t="n">
        <f aca="false">BD24*('Setting key Duty'!$I$8+'Setting key Duty'!$I$9+'Setting key Duty'!$I$12)</f>
        <v>0</v>
      </c>
      <c r="BF24" s="37" t="n">
        <f aca="false">COUNTIF(I24:AH24,"*$N*")</f>
        <v>0</v>
      </c>
      <c r="BG24" s="37" t="n">
        <f aca="false">COUNTIF(I24:AH24,"*$PM*")</f>
        <v>0</v>
      </c>
      <c r="BH24" s="37" t="n">
        <f aca="false">BG24*('Setting key Duty'!$I$9)</f>
        <v>0</v>
      </c>
      <c r="BI24" s="37" t="n">
        <f aca="false">COUNTIF(I24:AH24,"*$AM*")</f>
        <v>1</v>
      </c>
      <c r="BJ24" s="37" t="n">
        <f aca="false">BI24*('Setting key Duty'!$I$12+'Setting key Duty'!$I$8)</f>
        <v>0.4375</v>
      </c>
      <c r="BK24" s="37" t="n">
        <f aca="false">COUNTIF(C24:AH24,"*$FC*")</f>
        <v>0</v>
      </c>
      <c r="BL24" s="37" t="n">
        <f aca="false">BK24*('Setting key Duty'!$J$11+'Setting key Duty'!$I$8)</f>
        <v>0</v>
      </c>
      <c r="BM24" s="37" t="n">
        <f aca="false">COUNTIF($C24:$AF24,BM$4)</f>
        <v>0</v>
      </c>
      <c r="BN24" s="37" t="n">
        <f aca="false">COUNTIF($C24:$AF24,BN$4)</f>
        <v>0</v>
      </c>
      <c r="BO24" s="37" t="n">
        <f aca="false">COUNTIF($I24:$AE24,BO$4)</f>
        <v>3</v>
      </c>
      <c r="BP24" s="39"/>
    </row>
    <row r="25" customFormat="false" ht="19.5" hidden="false" customHeight="true" outlineLevel="0" collapsed="false">
      <c r="A25" s="30"/>
      <c r="B25" s="48" t="s">
        <v>99</v>
      </c>
      <c r="C25" s="32"/>
      <c r="D25" s="32" t="s">
        <v>55</v>
      </c>
      <c r="F25" s="32" t="s">
        <v>173</v>
      </c>
      <c r="G25" s="34" t="s">
        <v>174</v>
      </c>
      <c r="I25" s="32"/>
      <c r="J25" s="32"/>
      <c r="K25" s="33"/>
      <c r="L25" s="32"/>
      <c r="M25" s="32" t="s">
        <v>178</v>
      </c>
      <c r="N25" s="32"/>
      <c r="O25" s="32" t="s">
        <v>56</v>
      </c>
      <c r="P25" s="32"/>
      <c r="Q25" s="32"/>
      <c r="S25" s="32" t="s">
        <v>59</v>
      </c>
      <c r="T25" s="32"/>
      <c r="U25" s="32"/>
      <c r="V25" s="32" t="s">
        <v>65</v>
      </c>
      <c r="W25" s="32" t="s">
        <v>55</v>
      </c>
      <c r="X25" s="32" t="s">
        <v>55</v>
      </c>
      <c r="Y25" s="32" t="s">
        <v>55</v>
      </c>
      <c r="Z25" s="32" t="s">
        <v>55</v>
      </c>
      <c r="AA25" s="86"/>
      <c r="AB25" s="32"/>
      <c r="AC25" s="32"/>
      <c r="AD25" s="32"/>
      <c r="AE25" s="32"/>
      <c r="AF25" s="32" t="s">
        <v>59</v>
      </c>
      <c r="AG25" s="32"/>
      <c r="AH25" s="35"/>
      <c r="AI25" s="36"/>
      <c r="AJ25" s="35"/>
      <c r="AK25" s="37"/>
      <c r="AL25" s="37"/>
      <c r="AM25" s="37"/>
      <c r="AN25" s="37"/>
      <c r="AO25" s="38"/>
      <c r="AP25" s="37" t="n">
        <f aca="false">SUMPRODUCT(--WEEKDAY(C$3:AG$3,2)&lt;6,--((C25:AG25="DM"))+(C25:AG25="CS1")+((C25:AG25="CS2"))+(C25:AG25="SB1")+(C25:AG25="AE")+(C25:AG25="EM"))</f>
        <v>4</v>
      </c>
      <c r="AQ25" s="38"/>
      <c r="AR25" s="38" t="n">
        <f aca="false">SUMPRODUCT(--WEEKDAY(C$3:AG$3,2)&gt;5,--((C25:AG25="DM"))+(C25:AG25="CS1")+((C25:AG25="CS2"))+(C25:AG25="SB1")+(C25:AG25="AE")+(C25:AG25="EM"))</f>
        <v>0</v>
      </c>
      <c r="AS25" s="38"/>
      <c r="AT25" s="38" t="n">
        <f aca="false">(AP25-AQ25)/2+(AR25-AS25)</f>
        <v>2</v>
      </c>
      <c r="AU25" s="38" t="n">
        <f aca="false">AH25+AI25+AJ25+AK25+AM25+AN25</f>
        <v>0</v>
      </c>
      <c r="AV25" s="38" t="n">
        <f aca="false">BF25+BG25+BI25+BD25+BB25+AZ25+BK25</f>
        <v>1</v>
      </c>
      <c r="AW25" s="38" t="e">
        <f aca="false">AT25+$AX$25</f>
        <v>#VALUE!</v>
      </c>
      <c r="AX25" s="37" t="e">
        <f aca="false"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37" t="n">
        <f aca="false">COUNTIF(C25:AC25,"*BRT*")</f>
        <v>0</v>
      </c>
      <c r="AZ25" s="37" t="n">
        <f aca="false">COUNTIF(A25:AH25,"*$BTP*")</f>
        <v>0</v>
      </c>
      <c r="BA25" s="37" t="e">
        <f aca="false">AZ25*('Setting key Duty'!$I$13+'Setting key Duty'!$I$12+'Setting key Duty'!$I$11)</f>
        <v>#VALUE!</v>
      </c>
      <c r="BB25" s="37" t="n">
        <f aca="false">COUNTIF(D25:AH25,"*$L*")</f>
        <v>1</v>
      </c>
      <c r="BC25" s="37" t="e">
        <f aca="false">BB25*('Setting key Duty'!$I$13+'Setting key Duty'!$I$9)</f>
        <v>#VALUE!</v>
      </c>
      <c r="BD25" s="37" t="n">
        <f aca="false">COUNTIF(D25:AH25,"*$M*")</f>
        <v>0</v>
      </c>
      <c r="BE25" s="37" t="n">
        <f aca="false">BD25*('Setting key Duty'!$I$8+'Setting key Duty'!$I$9+'Setting key Duty'!$I$12)</f>
        <v>0</v>
      </c>
      <c r="BF25" s="37" t="n">
        <f aca="false">COUNTIF(D25:AH25,"*$N*")</f>
        <v>0</v>
      </c>
      <c r="BG25" s="37" t="n">
        <f aca="false">COUNTIF(D25:AH25,"*$PM*")</f>
        <v>0</v>
      </c>
      <c r="BH25" s="37" t="n">
        <f aca="false">BG25*('Setting key Duty'!$I$9)</f>
        <v>0</v>
      </c>
      <c r="BI25" s="37" t="n">
        <f aca="false">COUNTIF(D25:AH25,"*$AM*")</f>
        <v>0</v>
      </c>
      <c r="BJ25" s="37" t="n">
        <f aca="false">BI25*('Setting key Duty'!$I$12+'Setting key Duty'!$I$8)</f>
        <v>0</v>
      </c>
      <c r="BK25" s="37" t="n">
        <f aca="false">COUNTIF(C25:AH25,"*$FC*")</f>
        <v>0</v>
      </c>
      <c r="BL25" s="37" t="n">
        <f aca="false">BK25*('Setting key Duty'!$J$11+'Setting key Duty'!$I$8)</f>
        <v>0</v>
      </c>
      <c r="BM25" s="37" t="n">
        <f aca="false">COUNTIF($C25:$AG25,BM$4)</f>
        <v>0</v>
      </c>
      <c r="BN25" s="37" t="n">
        <f aca="false">COUNTIF($C25:$AG25,BN$4)</f>
        <v>0</v>
      </c>
      <c r="BO25" s="37" t="n">
        <f aca="false">COUNTIF($D25:$AE25,BO$4)</f>
        <v>5</v>
      </c>
      <c r="BP25" s="39"/>
    </row>
    <row r="26" customFormat="false" ht="19.5" hidden="false" customHeight="true" outlineLevel="0" collapsed="false">
      <c r="A26" s="30"/>
      <c r="B26" s="48" t="s">
        <v>108</v>
      </c>
      <c r="C26" s="42"/>
      <c r="D26" s="45" t="s">
        <v>176</v>
      </c>
      <c r="E26" s="45" t="s">
        <v>176</v>
      </c>
      <c r="F26" s="45" t="s">
        <v>176</v>
      </c>
      <c r="G26" s="45" t="s">
        <v>176</v>
      </c>
      <c r="H26" s="32" t="s">
        <v>179</v>
      </c>
      <c r="I26" s="32"/>
      <c r="J26" s="32"/>
      <c r="K26" s="42" t="s">
        <v>54</v>
      </c>
      <c r="L26" s="42" t="s">
        <v>54</v>
      </c>
      <c r="M26" s="42" t="s">
        <v>54</v>
      </c>
      <c r="N26" s="42" t="s">
        <v>65</v>
      </c>
      <c r="O26" s="42"/>
      <c r="P26" s="42"/>
      <c r="Q26" s="42"/>
      <c r="S26" s="42" t="s">
        <v>54</v>
      </c>
      <c r="T26" s="32" t="s">
        <v>54</v>
      </c>
      <c r="U26" s="32" t="s">
        <v>176</v>
      </c>
      <c r="V26" s="32" t="s">
        <v>180</v>
      </c>
      <c r="W26" s="32"/>
      <c r="X26" s="42"/>
      <c r="Y26" s="32" t="s">
        <v>65</v>
      </c>
      <c r="AA26" s="86"/>
      <c r="AB26" s="34" t="s">
        <v>181</v>
      </c>
      <c r="AC26" s="32"/>
      <c r="AD26" s="32"/>
      <c r="AE26" s="32"/>
      <c r="AF26" s="32" t="s">
        <v>181</v>
      </c>
      <c r="AG26" s="42"/>
      <c r="AH26" s="35"/>
      <c r="AI26" s="36"/>
      <c r="AJ26" s="35"/>
      <c r="AK26" s="37"/>
      <c r="AL26" s="37"/>
      <c r="AM26" s="37"/>
      <c r="AN26" s="37"/>
      <c r="AO26" s="38"/>
      <c r="AP26" s="37" t="n">
        <f aca="false">SUMPRODUCT(--WEEKDAY(C$3:AG$3,2)&lt;6,--((C26:AG26="DM"))+(C26:AG26="CS1")+((C26:AG26="CS2"))+(C26:AG26="SB1")+(C26:AG26="AE")+(C26:AG26="EM"))</f>
        <v>2</v>
      </c>
      <c r="AQ26" s="38"/>
      <c r="AR26" s="38" t="n">
        <f aca="false">SUMPRODUCT(--WEEKDAY(C$3:AG$3,2)&gt;5,--((C26:AG26="DM"))+(C26:AG26="CS1")+((C26:AG26="CS2"))+(C26:AG26="SB1")+(C26:AG26="AE")+(C26:AG26="EM"))</f>
        <v>0</v>
      </c>
      <c r="AS26" s="38"/>
      <c r="AT26" s="38" t="n">
        <f aca="false">(AP26-AQ26)/2+(AR26-AS26)</f>
        <v>1</v>
      </c>
      <c r="AU26" s="38" t="n">
        <f aca="false">AH26+AI26+AJ26+AK26+AM26+AN26</f>
        <v>0</v>
      </c>
      <c r="AV26" s="38" t="n">
        <f aca="false">BF26+BG26+BI26+BD26+BB26+AZ26+BK26</f>
        <v>0</v>
      </c>
      <c r="AW26" s="38" t="e">
        <f aca="false">AT26+$AX$25</f>
        <v>#VALUE!</v>
      </c>
      <c r="AX26" s="37" t="e">
        <f aca="false"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9"/>
    </row>
    <row r="27" customFormat="false" ht="19.5" hidden="false" customHeight="true" outlineLevel="0" collapsed="false">
      <c r="A27" s="30"/>
      <c r="B27" s="48" t="s">
        <v>119</v>
      </c>
      <c r="C27" s="42"/>
      <c r="D27" s="32" t="s">
        <v>65</v>
      </c>
      <c r="F27" s="32" t="s">
        <v>173</v>
      </c>
      <c r="G27" s="34" t="s">
        <v>174</v>
      </c>
      <c r="H27" s="45" t="s">
        <v>65</v>
      </c>
      <c r="I27" s="42"/>
      <c r="K27" s="42" t="s">
        <v>93</v>
      </c>
      <c r="L27" s="32" t="s">
        <v>69</v>
      </c>
      <c r="M27" s="42" t="s">
        <v>65</v>
      </c>
      <c r="O27" s="32" t="s">
        <v>65</v>
      </c>
      <c r="P27" s="32"/>
      <c r="R27" s="32" t="s">
        <v>93</v>
      </c>
      <c r="S27" s="42" t="s">
        <v>54</v>
      </c>
      <c r="T27" s="42" t="s">
        <v>54</v>
      </c>
      <c r="U27" s="42" t="s">
        <v>54</v>
      </c>
      <c r="V27" s="42" t="s">
        <v>54</v>
      </c>
      <c r="W27" s="42" t="s">
        <v>54</v>
      </c>
      <c r="X27" s="42" t="s">
        <v>54</v>
      </c>
      <c r="Y27" s="32" t="s">
        <v>93</v>
      </c>
      <c r="Z27" s="32"/>
      <c r="AA27" s="84" t="s">
        <v>65</v>
      </c>
      <c r="AB27" s="32"/>
      <c r="AC27" s="32"/>
      <c r="AD27" s="32" t="s">
        <v>65</v>
      </c>
      <c r="AE27" s="32"/>
      <c r="AF27" s="32"/>
      <c r="AG27" s="32" t="s">
        <v>65</v>
      </c>
      <c r="AH27" s="35"/>
      <c r="AI27" s="36"/>
      <c r="AJ27" s="35"/>
      <c r="AK27" s="37"/>
      <c r="AL27" s="37"/>
      <c r="AM27" s="37"/>
      <c r="AN27" s="37"/>
      <c r="AO27" s="38"/>
      <c r="AP27" s="37" t="n">
        <f aca="false">SUMPRODUCT(--WEEKDAY(C$3:AG$3,2)&lt;6,--((C27:AG27="DM"))+(C27:AG27="CS1")+((C27:AG27="CS2"))+(C27:AG27="SB1")+(C27:AG27="AE")+(C27:AG27="EM"))</f>
        <v>6</v>
      </c>
      <c r="AQ27" s="38"/>
      <c r="AR27" s="38" t="n">
        <f aca="false">SUMPRODUCT(--WEEKDAY(C$3:AG$3,2)&gt;5,--((C27:AG27="DM"))+(C27:AG27="CS1")+((C27:AG27="CS2"))+(C27:AG27="SB1")+(C27:AG27="AE")+(C27:AG27="EM"))</f>
        <v>1</v>
      </c>
      <c r="AS27" s="38"/>
      <c r="AT27" s="38" t="n">
        <f aca="false">(AP27-AQ27)/2+(AR27-AS27)</f>
        <v>4</v>
      </c>
      <c r="AU27" s="38" t="n">
        <f aca="false">AH27+AI27+AJ27+AK27+AM27+AN27</f>
        <v>0</v>
      </c>
      <c r="AV27" s="38" t="n">
        <f aca="false">BF27+BG27+BI27+BD27+BB27+AZ27+BK27</f>
        <v>0</v>
      </c>
      <c r="AW27" s="38" t="e">
        <f aca="false">AT27+$AX$25</f>
        <v>#VALUE!</v>
      </c>
      <c r="AX27" s="37" t="e">
        <f aca="false"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9"/>
    </row>
    <row r="28" customFormat="false" ht="19.5" hidden="false" customHeight="true" outlineLevel="0" collapsed="false">
      <c r="A28" s="30"/>
      <c r="B28" s="48" t="s">
        <v>121</v>
      </c>
      <c r="C28" s="33"/>
      <c r="D28" s="32" t="s">
        <v>182</v>
      </c>
      <c r="E28" s="32"/>
      <c r="F28" s="32" t="s">
        <v>173</v>
      </c>
      <c r="G28" s="34" t="s">
        <v>174</v>
      </c>
      <c r="H28" s="42" t="s">
        <v>93</v>
      </c>
      <c r="I28" s="42"/>
      <c r="J28" s="33"/>
      <c r="K28" s="42" t="s">
        <v>54</v>
      </c>
      <c r="L28" s="42" t="s">
        <v>54</v>
      </c>
      <c r="M28" s="42" t="s">
        <v>54</v>
      </c>
      <c r="N28" s="42" t="s">
        <v>93</v>
      </c>
      <c r="O28" s="47"/>
      <c r="P28" s="42" t="s">
        <v>65</v>
      </c>
      <c r="Q28" s="32"/>
      <c r="R28" s="32" t="s">
        <v>65</v>
      </c>
      <c r="S28" s="32" t="s">
        <v>183</v>
      </c>
      <c r="U28" s="32"/>
      <c r="V28" s="32" t="s">
        <v>93</v>
      </c>
      <c r="W28" s="32"/>
      <c r="X28" s="32"/>
      <c r="Y28" s="32"/>
      <c r="Z28" s="32" t="s">
        <v>65</v>
      </c>
      <c r="AA28" s="84"/>
      <c r="AB28" s="32" t="s">
        <v>93</v>
      </c>
      <c r="AC28" s="32" t="s">
        <v>93</v>
      </c>
      <c r="AD28" s="32"/>
      <c r="AE28" s="32"/>
      <c r="AF28" s="32" t="s">
        <v>65</v>
      </c>
      <c r="AG28" s="33"/>
      <c r="AH28" s="35"/>
      <c r="AI28" s="36"/>
      <c r="AJ28" s="35"/>
      <c r="AK28" s="37"/>
      <c r="AL28" s="37"/>
      <c r="AM28" s="37"/>
      <c r="AN28" s="37"/>
      <c r="AO28" s="38"/>
      <c r="AP28" s="37" t="n">
        <f aca="false">SUMPRODUCT(--WEEKDAY(C$3:AG$3,2)&lt;6,--((C28:AG28="DM"))+(C28:AG28="CS1")+((C28:AG28="CS2"))+(C28:AG28="SB1")+(C28:AG28="AE")+(C28:AG28="EM"))</f>
        <v>3</v>
      </c>
      <c r="AQ28" s="38"/>
      <c r="AR28" s="38" t="n">
        <f aca="false">SUMPRODUCT(--WEEKDAY(C$3:AG$3,2)&gt;5,--((C28:AG28="DM"))+(C28:AG28="CS1")+((C28:AG28="CS2"))+(C28:AG28="SB1")+(C28:AG28="AE")+(C28:AG28="EM"))</f>
        <v>1</v>
      </c>
      <c r="AS28" s="38"/>
      <c r="AT28" s="38" t="n">
        <f aca="false">(AP28-AQ28)/2+(AR28-AS28)</f>
        <v>2.5</v>
      </c>
      <c r="AU28" s="38" t="n">
        <f aca="false">AH28+AI28+AJ28+AK28+AM28+AN28</f>
        <v>0</v>
      </c>
      <c r="AV28" s="38" t="n">
        <f aca="false">BF28+BG28+BI28+BD28+BB28+AZ28+BK28</f>
        <v>0</v>
      </c>
      <c r="AW28" s="38" t="e">
        <f aca="false">AT28+$AX$25</f>
        <v>#VALUE!</v>
      </c>
      <c r="AX28" s="37" t="e">
        <f aca="false"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9"/>
    </row>
    <row r="29" customFormat="false" ht="19.5" hidden="false" customHeight="true" outlineLevel="0" collapsed="false">
      <c r="A29" s="30"/>
      <c r="B29" s="48" t="s">
        <v>129</v>
      </c>
      <c r="C29" s="42" t="s">
        <v>65</v>
      </c>
      <c r="D29" s="32" t="s">
        <v>93</v>
      </c>
      <c r="E29" s="32" t="s">
        <v>184</v>
      </c>
      <c r="F29" s="32" t="s">
        <v>165</v>
      </c>
      <c r="G29" s="42" t="s">
        <v>93</v>
      </c>
      <c r="H29" s="32" t="s">
        <v>71</v>
      </c>
      <c r="I29" s="32" t="s">
        <v>71</v>
      </c>
      <c r="J29" s="42" t="s">
        <v>65</v>
      </c>
      <c r="K29" s="42"/>
      <c r="L29" s="32" t="s">
        <v>172</v>
      </c>
      <c r="M29" s="42" t="s">
        <v>93</v>
      </c>
      <c r="N29" s="32" t="s">
        <v>185</v>
      </c>
      <c r="O29" s="42"/>
      <c r="P29" s="32"/>
      <c r="S29" s="32"/>
      <c r="T29" s="32" t="s">
        <v>65</v>
      </c>
      <c r="U29" s="32" t="s">
        <v>93</v>
      </c>
      <c r="V29" s="32" t="s">
        <v>181</v>
      </c>
      <c r="W29" s="32"/>
      <c r="X29" s="32"/>
      <c r="Y29" s="32" t="s">
        <v>181</v>
      </c>
      <c r="Z29" s="32" t="s">
        <v>93</v>
      </c>
      <c r="AA29" s="84"/>
      <c r="AB29" s="32" t="s">
        <v>65</v>
      </c>
      <c r="AC29" s="32"/>
      <c r="AD29" s="42"/>
      <c r="AE29" s="32"/>
      <c r="AF29" s="32" t="s">
        <v>93</v>
      </c>
      <c r="AH29" s="35"/>
      <c r="AI29" s="36"/>
      <c r="AJ29" s="35"/>
      <c r="AK29" s="37"/>
      <c r="AL29" s="37"/>
      <c r="AM29" s="37"/>
      <c r="AN29" s="37"/>
      <c r="AO29" s="38"/>
      <c r="AP29" s="37" t="n">
        <f aca="false">SUMPRODUCT(--WEEKDAY(C$3:AG$3,2)&lt;6,--((C29:AG29="DM"))+(C29:AG29="CS1")+((C29:AG29="CS2"))+(C29:AG29="SB1")+(C29:AG29="AE")+(C29:AG29="EM"))</f>
        <v>2</v>
      </c>
      <c r="AQ29" s="38"/>
      <c r="AR29" s="38" t="n">
        <f aca="false">SUMPRODUCT(--WEEKDAY(C$3:AG$3,2)&gt;5,--((C29:AG29="DM"))+(C29:AG29="CS1")+((C29:AG29="CS2"))+(C29:AG29="SB1")+(C29:AG29="AE")+(C29:AG29="EM"))</f>
        <v>2</v>
      </c>
      <c r="AS29" s="38"/>
      <c r="AT29" s="38" t="n">
        <f aca="false">(AP29-AQ29)/2+(AR29-AS29)</f>
        <v>3</v>
      </c>
      <c r="AU29" s="38" t="n">
        <f aca="false">AH29+AI29+AJ29+AK29+AM29+AN29</f>
        <v>0</v>
      </c>
      <c r="AV29" s="38" t="n">
        <f aca="false">BF29+BG29+BI29+BD29+BB29+AZ29+BK29</f>
        <v>0</v>
      </c>
      <c r="AW29" s="38" t="e">
        <f aca="false">AT29+$AX$25</f>
        <v>#VALUE!</v>
      </c>
      <c r="AX29" s="37" t="e">
        <f aca="false"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9"/>
    </row>
    <row r="30" customFormat="false" ht="19.5" hidden="false" customHeight="true" outlineLevel="0" collapsed="false">
      <c r="A30" s="30"/>
      <c r="B30" s="48" t="s">
        <v>134</v>
      </c>
      <c r="C30" s="42"/>
      <c r="D30" s="32" t="s">
        <v>184</v>
      </c>
      <c r="F30" s="32" t="s">
        <v>173</v>
      </c>
      <c r="G30" s="34" t="s">
        <v>174</v>
      </c>
      <c r="H30" s="42"/>
      <c r="L30" s="32" t="s">
        <v>186</v>
      </c>
      <c r="M30" s="32" t="s">
        <v>187</v>
      </c>
      <c r="O30" s="42" t="s">
        <v>93</v>
      </c>
      <c r="Q30" s="32" t="s">
        <v>65</v>
      </c>
      <c r="R30" s="32"/>
      <c r="S30" s="32" t="s">
        <v>93</v>
      </c>
      <c r="T30" s="32" t="s">
        <v>93</v>
      </c>
      <c r="V30" s="32" t="s">
        <v>164</v>
      </c>
      <c r="W30" s="42" t="s">
        <v>65</v>
      </c>
      <c r="Z30" s="58"/>
      <c r="AA30" s="84"/>
      <c r="AC30" s="32" t="s">
        <v>65</v>
      </c>
      <c r="AD30" s="32"/>
      <c r="AG30" s="42"/>
      <c r="AH30" s="35"/>
      <c r="AI30" s="36"/>
      <c r="AJ30" s="35"/>
      <c r="AK30" s="37"/>
      <c r="AL30" s="37"/>
      <c r="AM30" s="37"/>
      <c r="AN30" s="37"/>
      <c r="AO30" s="38"/>
      <c r="AP30" s="37" t="n">
        <f aca="false">SUMPRODUCT(--WEEKDAY(C$3:AG$3,2)&lt;6,--((C30:AG30="DM"))+(C30:AG30="CS1")+((C30:AG30="CS2"))+(C30:AG30="SB1")+(C30:AG30="AE")+(C30:AG30="EM"))</f>
        <v>1</v>
      </c>
      <c r="AQ30" s="38"/>
      <c r="AR30" s="38" t="n">
        <f aca="false">SUMPRODUCT(--WEEKDAY(C$3:AG$3,2)&gt;5,--((C30:AG30="DM"))+(C30:AG30="CS1")+((C30:AG30="CS2"))+(C30:AG30="SB1")+(C30:AG30="AE")+(C30:AG30="EM"))</f>
        <v>2</v>
      </c>
      <c r="AS30" s="38"/>
      <c r="AT30" s="38" t="n">
        <f aca="false">(AP30-AQ30)/2+(AR30-AS30)</f>
        <v>2.5</v>
      </c>
      <c r="AU30" s="38" t="n">
        <f aca="false">AH30+AI30+AJ30+AK30+AM30+AN30</f>
        <v>0</v>
      </c>
      <c r="AV30" s="38" t="n">
        <f aca="false">BF30+BG30+BI30+BD30+BB30+AZ30+BK30</f>
        <v>0</v>
      </c>
      <c r="AW30" s="38" t="e">
        <f aca="false">AT30+$AX$25</f>
        <v>#VALUE!</v>
      </c>
      <c r="AX30" s="37" t="e">
        <f aca="false"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9"/>
    </row>
    <row r="31" customFormat="false" ht="43.5" hidden="false" customHeight="true" outlineLevel="0" collapsed="false">
      <c r="A31" s="30"/>
      <c r="B31" s="48" t="s">
        <v>142</v>
      </c>
      <c r="D31" s="32" t="s">
        <v>175</v>
      </c>
      <c r="E31" s="32" t="s">
        <v>93</v>
      </c>
      <c r="F31" s="32" t="s">
        <v>173</v>
      </c>
      <c r="G31" s="34" t="s">
        <v>174</v>
      </c>
      <c r="H31" s="32"/>
      <c r="I31" s="42" t="s">
        <v>65</v>
      </c>
      <c r="J31" s="32"/>
      <c r="K31" s="42" t="s">
        <v>65</v>
      </c>
      <c r="L31" s="32" t="s">
        <v>172</v>
      </c>
      <c r="M31" s="32" t="s">
        <v>188</v>
      </c>
      <c r="N31" s="42"/>
      <c r="O31" s="42" t="s">
        <v>164</v>
      </c>
      <c r="P31" s="42" t="s">
        <v>54</v>
      </c>
      <c r="Q31" s="42" t="s">
        <v>54</v>
      </c>
      <c r="R31" s="42" t="s">
        <v>54</v>
      </c>
      <c r="S31" s="42" t="s">
        <v>54</v>
      </c>
      <c r="T31" s="42" t="s">
        <v>54</v>
      </c>
      <c r="U31" s="42" t="s">
        <v>54</v>
      </c>
      <c r="V31" s="42" t="s">
        <v>54</v>
      </c>
      <c r="W31" s="42" t="s">
        <v>54</v>
      </c>
      <c r="X31" s="42" t="s">
        <v>54</v>
      </c>
      <c r="Y31" s="42" t="s">
        <v>54</v>
      </c>
      <c r="Z31" s="42" t="s">
        <v>54</v>
      </c>
      <c r="AA31" s="87" t="s">
        <v>54</v>
      </c>
      <c r="AD31" s="42"/>
      <c r="AE31" s="42"/>
      <c r="AF31" s="42"/>
      <c r="AG31" s="32" t="s">
        <v>93</v>
      </c>
      <c r="AH31" s="35"/>
      <c r="AI31" s="36"/>
      <c r="AJ31" s="35"/>
      <c r="AK31" s="37"/>
      <c r="AL31" s="37"/>
      <c r="AM31" s="37"/>
      <c r="AN31" s="37"/>
      <c r="AO31" s="38"/>
      <c r="AP31" s="37" t="n">
        <f aca="false">SUMPRODUCT(--WEEKDAY(C$3:AG$3,2)&lt;6,--((C31:AG31="DM"))+(C31:AG31="CS1")+((C31:AG31="CS2"))+(C31:AG31="SB1")+(C31:AG31="AE")+(C31:AG31="EM"))</f>
        <v>1</v>
      </c>
      <c r="AQ31" s="38"/>
      <c r="AR31" s="38" t="n">
        <f aca="false">SUMPRODUCT(--WEEKDAY(C$3:AG$3,2)&gt;5,--((C31:AG31="DM"))+(C31:AG31="CS1")+((C31:AG31="CS2"))+(C31:AG31="SB1")+(C31:AG31="AE")+(C31:AG31="EM"))</f>
        <v>1</v>
      </c>
      <c r="AS31" s="38"/>
      <c r="AT31" s="38" t="n">
        <f aca="false">(AP31-AQ31)/2+(AR31-AS31)</f>
        <v>1.5</v>
      </c>
      <c r="AU31" s="38" t="n">
        <f aca="false">AH31+AI31+AJ31+AK31+AM31+AN31</f>
        <v>0</v>
      </c>
      <c r="AV31" s="38" t="n">
        <f aca="false">BF31+BG31+BI31+BD31+BB31+AZ31+BK31</f>
        <v>0</v>
      </c>
      <c r="AW31" s="38" t="e">
        <f aca="false">AT31+$AX$25</f>
        <v>#VALUE!</v>
      </c>
      <c r="AX31" s="37" t="e">
        <f aca="false"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9"/>
    </row>
    <row r="32" customFormat="false" ht="19.5" hidden="false" customHeight="true" outlineLevel="0" collapsed="false">
      <c r="A32" s="30"/>
      <c r="B32" s="88" t="s">
        <v>189</v>
      </c>
      <c r="C32" s="45"/>
      <c r="D32" s="45" t="s">
        <v>150</v>
      </c>
      <c r="E32" s="45" t="s">
        <v>150</v>
      </c>
      <c r="F32" s="45" t="s">
        <v>150</v>
      </c>
      <c r="G32" s="45"/>
      <c r="H32" s="42"/>
      <c r="I32" s="42"/>
      <c r="J32" s="33"/>
      <c r="K32" s="42" t="s">
        <v>69</v>
      </c>
      <c r="L32" s="45"/>
      <c r="M32" s="42"/>
      <c r="N32" s="33"/>
      <c r="O32" s="42" t="s">
        <v>69</v>
      </c>
      <c r="P32" s="42"/>
      <c r="Q32" s="33"/>
      <c r="R32" s="42" t="s">
        <v>190</v>
      </c>
      <c r="S32" s="42" t="s">
        <v>190</v>
      </c>
      <c r="T32" s="42" t="s">
        <v>190</v>
      </c>
      <c r="U32" s="42" t="s">
        <v>190</v>
      </c>
      <c r="V32" s="42" t="s">
        <v>190</v>
      </c>
      <c r="W32" s="33"/>
      <c r="X32" s="63"/>
      <c r="Y32" s="45"/>
      <c r="Z32" s="33"/>
      <c r="AA32" s="89"/>
      <c r="AB32" s="33"/>
      <c r="AC32" s="33"/>
      <c r="AD32" s="33"/>
      <c r="AE32" s="33"/>
      <c r="AF32" s="42"/>
      <c r="AG32" s="42"/>
      <c r="AH32" s="35"/>
      <c r="AI32" s="36"/>
      <c r="AJ32" s="35"/>
      <c r="AK32" s="37"/>
      <c r="AL32" s="37"/>
      <c r="AM32" s="37"/>
      <c r="AN32" s="37"/>
      <c r="AO32" s="38"/>
      <c r="AP32" s="37"/>
      <c r="AQ32" s="38"/>
      <c r="AR32" s="38"/>
      <c r="AS32" s="38"/>
      <c r="AT32" s="38"/>
      <c r="AU32" s="38"/>
      <c r="AV32" s="38"/>
      <c r="AW32" s="38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9"/>
    </row>
    <row r="33" customFormat="false" ht="19.5" hidden="false" customHeight="true" outlineLevel="0" collapsed="false">
      <c r="A33" s="30"/>
      <c r="B33" s="59" t="s">
        <v>191</v>
      </c>
      <c r="C33" s="45"/>
      <c r="D33" s="45" t="s">
        <v>150</v>
      </c>
      <c r="E33" s="45" t="s">
        <v>150</v>
      </c>
      <c r="F33" s="45" t="s">
        <v>150</v>
      </c>
      <c r="G33" s="45"/>
      <c r="H33" s="42"/>
      <c r="I33" s="42"/>
      <c r="J33" s="33"/>
      <c r="K33" s="45"/>
      <c r="M33" s="45"/>
      <c r="N33" s="33"/>
      <c r="O33" s="42"/>
      <c r="P33" s="42"/>
      <c r="Q33" s="33"/>
      <c r="R33" s="42" t="s">
        <v>190</v>
      </c>
      <c r="S33" s="42" t="s">
        <v>190</v>
      </c>
      <c r="T33" s="42" t="s">
        <v>190</v>
      </c>
      <c r="U33" s="42" t="s">
        <v>190</v>
      </c>
      <c r="V33" s="42" t="s">
        <v>190</v>
      </c>
      <c r="W33" s="33"/>
      <c r="X33" s="63"/>
      <c r="Y33" s="45" t="n">
        <v>1</v>
      </c>
      <c r="Z33" s="33"/>
      <c r="AA33" s="89"/>
      <c r="AB33" s="42" t="s">
        <v>55</v>
      </c>
      <c r="AC33" s="42"/>
      <c r="AD33" s="33"/>
      <c r="AE33" s="33"/>
      <c r="AF33" s="42" t="n">
        <v>2</v>
      </c>
      <c r="AG33" s="42"/>
      <c r="AH33" s="35"/>
      <c r="AI33" s="36"/>
      <c r="AJ33" s="35"/>
      <c r="AK33" s="37"/>
      <c r="AL33" s="37"/>
      <c r="AM33" s="37"/>
      <c r="AN33" s="37"/>
      <c r="AO33" s="38"/>
      <c r="AP33" s="37" t="n">
        <f aca="false">SUMPRODUCT(--WEEKDAY(C$3:AG$3,2)&lt;6,--((C33:AG33="DM"))+(C33:AG33="CS1")+((C33:AG33="CS2"))+(C33:AG33="SB1")+(C33:AG33="AE")+(C33:AG33="EM"))</f>
        <v>0</v>
      </c>
      <c r="AQ33" s="38"/>
      <c r="AR33" s="38" t="n">
        <f aca="false">SUMPRODUCT(--WEEKDAY(C$3:AG$3,2)&gt;5,--((C33:AG33="DM"))+(C33:AG33="CS1")+((C33:AG33="CS2"))+(C33:AG33="SB1")+(C33:AG33="AE")+(C33:AG33="EM"))</f>
        <v>0</v>
      </c>
      <c r="AS33" s="38"/>
      <c r="AT33" s="38" t="n">
        <f aca="false">(AP33-AQ33)/2+(AR33-AS33)</f>
        <v>0</v>
      </c>
      <c r="AU33" s="38" t="n">
        <f aca="false">AH33+AI33+AJ33+AK33+AM33+AN33</f>
        <v>0</v>
      </c>
      <c r="AV33" s="38" t="n">
        <f aca="false">BF33+BG33+BI33+BD33+BB33+AZ33+BK33</f>
        <v>0</v>
      </c>
      <c r="AW33" s="38" t="e">
        <f aca="false">AT33+AX33</f>
        <v>#VALUE!</v>
      </c>
      <c r="AX33" s="37" t="e">
        <f aca="false"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37" t="n">
        <f aca="false">COUNTIF(C33:Y33,"*BRT*")</f>
        <v>0</v>
      </c>
      <c r="AZ33" s="37" t="n">
        <f aca="false">COUNTIF(A33:AH33,"*$BTP*")</f>
        <v>0</v>
      </c>
      <c r="BA33" s="37" t="e">
        <f aca="false">AZ33*('Setting key Duty'!$I$13+'Setting key Duty'!$I$12+'Setting key Duty'!$I$11)</f>
        <v>#VALUE!</v>
      </c>
      <c r="BB33" s="37" t="n">
        <f aca="false">COUNTIF(D33:AH33,"*$L*")</f>
        <v>0</v>
      </c>
      <c r="BC33" s="37" t="e">
        <f aca="false">BB33*('Setting key Duty'!$I$13+'Setting key Duty'!$I$9)</f>
        <v>#VALUE!</v>
      </c>
      <c r="BD33" s="37" t="n">
        <f aca="false">COUNTIF(D33:AH33,"*$M*")</f>
        <v>0</v>
      </c>
      <c r="BE33" s="37" t="n">
        <f aca="false">BD33*('Setting key Duty'!$I$8+'Setting key Duty'!$I$9+'Setting key Duty'!$I$12)</f>
        <v>0</v>
      </c>
      <c r="BF33" s="37" t="n">
        <f aca="false">COUNTIF(D33:AH33,"*$N*")</f>
        <v>0</v>
      </c>
      <c r="BG33" s="37" t="n">
        <f aca="false">COUNTIF(D33:AH33,"*$PM*")</f>
        <v>0</v>
      </c>
      <c r="BH33" s="37" t="n">
        <f aca="false">BG33*('Setting key Duty'!$I$9)</f>
        <v>0</v>
      </c>
      <c r="BI33" s="37" t="n">
        <f aca="false">COUNTIF(D33:AH33,"*$AM*")</f>
        <v>0</v>
      </c>
      <c r="BJ33" s="37" t="n">
        <f aca="false">BI33*('Setting key Duty'!$I$12+'Setting key Duty'!$I$8)</f>
        <v>0</v>
      </c>
      <c r="BK33" s="37" t="n">
        <f aca="false">COUNTIF(C33:AH33,"*$FC*")</f>
        <v>0</v>
      </c>
      <c r="BL33" s="37" t="n">
        <f aca="false">BK33*('Setting key Duty'!$J$11+'Setting key Duty'!$I$8)</f>
        <v>0</v>
      </c>
      <c r="BM33" s="37" t="n">
        <f aca="false">COUNTIF($C33:$AG33,BM$4)</f>
        <v>0</v>
      </c>
      <c r="BN33" s="37" t="n">
        <f aca="false">COUNTIF($C33:$AG33,BN$4)</f>
        <v>0</v>
      </c>
      <c r="BO33" s="37" t="n">
        <f aca="false">COUNTIF($D33:$AE33,BO$4)</f>
        <v>1</v>
      </c>
      <c r="BP33" s="39"/>
    </row>
    <row r="34" customFormat="false" ht="19.5" hidden="false" customHeight="true" outlineLevel="0" collapsed="false">
      <c r="A34" s="30"/>
      <c r="B34" s="59" t="s">
        <v>192</v>
      </c>
      <c r="C34" s="42"/>
      <c r="D34" s="42"/>
      <c r="E34" s="42"/>
      <c r="F34" s="42"/>
      <c r="G34" s="45"/>
      <c r="H34" s="42"/>
      <c r="I34" s="42"/>
      <c r="J34" s="42"/>
      <c r="L34" s="42"/>
      <c r="M34" s="33"/>
      <c r="N34" s="42" t="s">
        <v>69</v>
      </c>
      <c r="O34" s="42"/>
      <c r="P34" s="42"/>
      <c r="Q34" s="33"/>
      <c r="R34" s="42" t="s">
        <v>190</v>
      </c>
      <c r="S34" s="42" t="s">
        <v>190</v>
      </c>
      <c r="T34" s="42" t="s">
        <v>190</v>
      </c>
      <c r="U34" s="42" t="s">
        <v>190</v>
      </c>
      <c r="V34" s="42" t="s">
        <v>190</v>
      </c>
      <c r="W34" s="90"/>
      <c r="X34" s="42"/>
      <c r="Y34" s="45"/>
      <c r="Z34" s="42"/>
      <c r="AA34" s="87"/>
      <c r="AB34" s="42" t="s">
        <v>55</v>
      </c>
      <c r="AC34" s="42" t="s">
        <v>55</v>
      </c>
      <c r="AD34" s="42"/>
      <c r="AE34" s="42"/>
      <c r="AF34" s="42" t="n">
        <v>1</v>
      </c>
      <c r="AG34" s="42"/>
      <c r="AH34" s="35"/>
      <c r="AI34" s="36"/>
      <c r="AJ34" s="35"/>
      <c r="AK34" s="66"/>
      <c r="AL34" s="66"/>
      <c r="AM34" s="66"/>
      <c r="AN34" s="66"/>
      <c r="AO34" s="67"/>
      <c r="AP34" s="37"/>
      <c r="AQ34" s="67"/>
      <c r="AR34" s="38"/>
      <c r="AS34" s="67"/>
      <c r="AT34" s="67"/>
      <c r="AU34" s="38"/>
      <c r="AV34" s="38"/>
      <c r="AW34" s="38"/>
      <c r="AX34" s="37"/>
      <c r="AY34" s="37"/>
      <c r="AZ34" s="37"/>
      <c r="BA34" s="37"/>
      <c r="BB34" s="37"/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66"/>
      <c r="BN34" s="66"/>
      <c r="BO34" s="66"/>
      <c r="BP34" s="68"/>
    </row>
    <row r="35" customFormat="false" ht="19.5" hidden="false" customHeight="true" outlineLevel="0" collapsed="false">
      <c r="A35" s="30"/>
      <c r="B35" s="59" t="s">
        <v>193</v>
      </c>
      <c r="C35" s="65"/>
      <c r="D35" s="42"/>
      <c r="E35" s="42"/>
      <c r="F35" s="42"/>
      <c r="G35" s="45"/>
      <c r="H35" s="42"/>
      <c r="I35" s="42"/>
      <c r="J35" s="42"/>
      <c r="K35" s="42"/>
      <c r="L35" s="42" t="s">
        <v>69</v>
      </c>
      <c r="M35" s="33"/>
      <c r="N35" s="42"/>
      <c r="O35" s="42"/>
      <c r="P35" s="42"/>
      <c r="Q35" s="33"/>
      <c r="R35" s="42" t="s">
        <v>55</v>
      </c>
      <c r="S35" s="42" t="s">
        <v>55</v>
      </c>
      <c r="T35" s="42" t="s">
        <v>55</v>
      </c>
      <c r="U35" s="42" t="s">
        <v>55</v>
      </c>
      <c r="V35" s="42" t="s">
        <v>55</v>
      </c>
      <c r="W35" s="90"/>
      <c r="X35" s="42"/>
      <c r="Y35" s="42"/>
      <c r="Z35" s="42"/>
      <c r="AA35" s="87"/>
      <c r="AB35" s="42"/>
      <c r="AC35" s="42"/>
      <c r="AD35" s="42"/>
      <c r="AE35" s="42"/>
      <c r="AF35" s="42"/>
      <c r="AG35" s="42"/>
      <c r="AH35" s="35"/>
      <c r="AI35" s="36"/>
      <c r="AJ35" s="35"/>
      <c r="AK35" s="66"/>
      <c r="AL35" s="66"/>
      <c r="AM35" s="66"/>
      <c r="AN35" s="66"/>
      <c r="AO35" s="67"/>
      <c r="AP35" s="37"/>
      <c r="AQ35" s="67"/>
      <c r="AR35" s="38"/>
      <c r="AS35" s="67"/>
      <c r="AT35" s="67"/>
      <c r="AU35" s="38"/>
      <c r="AV35" s="38"/>
      <c r="AW35" s="38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66"/>
      <c r="BN35" s="66"/>
      <c r="BO35" s="66"/>
      <c r="BP35" s="68"/>
    </row>
    <row r="36" customFormat="false" ht="19.5" hidden="false" customHeight="true" outlineLevel="0" collapsed="false">
      <c r="A36" s="30"/>
      <c r="B36" s="59" t="s">
        <v>194</v>
      </c>
      <c r="C36" s="65"/>
      <c r="D36" s="42"/>
      <c r="E36" s="42"/>
      <c r="F36" s="42"/>
      <c r="G36" s="45"/>
      <c r="H36" s="42"/>
      <c r="I36" s="42"/>
      <c r="J36" s="42"/>
      <c r="K36" s="42"/>
      <c r="L36" s="42"/>
      <c r="M36" s="33"/>
      <c r="N36" s="42"/>
      <c r="O36" s="42"/>
      <c r="P36" s="42"/>
      <c r="Q36" s="33"/>
      <c r="R36" s="42" t="s">
        <v>190</v>
      </c>
      <c r="S36" s="42" t="s">
        <v>190</v>
      </c>
      <c r="T36" s="42" t="s">
        <v>190</v>
      </c>
      <c r="U36" s="42" t="s">
        <v>190</v>
      </c>
      <c r="V36" s="42" t="s">
        <v>190</v>
      </c>
      <c r="W36" s="90"/>
      <c r="X36" s="42"/>
      <c r="Y36" s="42"/>
      <c r="Z36" s="42"/>
      <c r="AA36" s="87"/>
      <c r="AB36" s="42"/>
      <c r="AC36" s="42" t="s">
        <v>55</v>
      </c>
      <c r="AD36" s="42"/>
      <c r="AE36" s="42"/>
      <c r="AF36" s="42"/>
      <c r="AG36" s="42"/>
      <c r="AH36" s="35"/>
      <c r="AI36" s="36"/>
      <c r="AJ36" s="35"/>
      <c r="AK36" s="66"/>
      <c r="AL36" s="66"/>
      <c r="AM36" s="66"/>
      <c r="AN36" s="66"/>
      <c r="AO36" s="67"/>
      <c r="AP36" s="37"/>
      <c r="AQ36" s="67"/>
      <c r="AR36" s="38"/>
      <c r="AS36" s="67"/>
      <c r="AT36" s="67"/>
      <c r="AU36" s="38"/>
      <c r="AV36" s="38"/>
      <c r="AW36" s="38"/>
      <c r="AX36" s="37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66"/>
      <c r="BN36" s="66"/>
      <c r="BO36" s="66"/>
      <c r="BP36" s="68"/>
    </row>
    <row r="37" customFormat="false" ht="19.5" hidden="false" customHeight="true" outlineLevel="0" collapsed="false">
      <c r="A37" s="30"/>
      <c r="B37" s="59" t="s">
        <v>195</v>
      </c>
      <c r="C37" s="65"/>
      <c r="D37" s="42"/>
      <c r="E37" s="42"/>
      <c r="F37" s="42"/>
      <c r="G37" s="42"/>
      <c r="H37" s="42"/>
      <c r="I37" s="42"/>
      <c r="J37" s="42"/>
      <c r="K37" s="42"/>
      <c r="L37" s="42"/>
      <c r="N37" s="42"/>
      <c r="O37" s="42"/>
      <c r="P37" s="42"/>
      <c r="Q37" s="33"/>
      <c r="R37" s="42" t="s">
        <v>190</v>
      </c>
      <c r="S37" s="42" t="s">
        <v>190</v>
      </c>
      <c r="T37" s="42" t="s">
        <v>190</v>
      </c>
      <c r="U37" s="42" t="s">
        <v>190</v>
      </c>
      <c r="V37" s="42" t="s">
        <v>190</v>
      </c>
      <c r="W37" s="90"/>
      <c r="X37" s="42"/>
      <c r="Y37" s="45" t="n">
        <v>1</v>
      </c>
      <c r="Z37" s="42"/>
      <c r="AA37" s="87"/>
      <c r="AB37" s="42"/>
      <c r="AC37" s="42" t="s">
        <v>55</v>
      </c>
      <c r="AD37" s="42"/>
      <c r="AE37" s="42"/>
      <c r="AF37" s="42" t="n">
        <v>2</v>
      </c>
      <c r="AG37" s="42"/>
      <c r="AH37" s="35"/>
      <c r="AI37" s="36"/>
      <c r="AJ37" s="35"/>
      <c r="AK37" s="66"/>
      <c r="AL37" s="66"/>
      <c r="AM37" s="66"/>
      <c r="AN37" s="66"/>
      <c r="AO37" s="67"/>
      <c r="AP37" s="37"/>
      <c r="AQ37" s="67"/>
      <c r="AR37" s="38"/>
      <c r="AS37" s="67"/>
      <c r="AT37" s="67"/>
      <c r="AU37" s="38"/>
      <c r="AV37" s="38"/>
      <c r="AW37" s="38"/>
      <c r="AX37" s="37"/>
      <c r="AY37" s="37"/>
      <c r="AZ37" s="37"/>
      <c r="BA37" s="37"/>
      <c r="BB37" s="37"/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66"/>
      <c r="BN37" s="66"/>
      <c r="BO37" s="66"/>
      <c r="BP37" s="68"/>
    </row>
    <row r="38" customFormat="false" ht="19.5" hidden="false" customHeight="true" outlineLevel="0" collapsed="false">
      <c r="A38" s="30"/>
      <c r="B38" s="64"/>
      <c r="C38" s="65"/>
      <c r="D38" s="42"/>
      <c r="E38" s="42"/>
      <c r="F38" s="42"/>
      <c r="G38" s="42"/>
      <c r="H38" s="42"/>
      <c r="I38" s="42"/>
      <c r="J38" s="42"/>
      <c r="K38" s="42"/>
      <c r="L38" s="42"/>
      <c r="N38" s="42"/>
      <c r="O38" s="42"/>
      <c r="P38" s="42"/>
      <c r="Q38" s="33"/>
      <c r="R38" s="33"/>
      <c r="S38" s="42"/>
      <c r="T38" s="42"/>
      <c r="U38" s="42"/>
      <c r="V38" s="42"/>
      <c r="W38" s="90"/>
      <c r="X38" s="42"/>
      <c r="Y38" s="42"/>
      <c r="Z38" s="42"/>
      <c r="AA38" s="87"/>
      <c r="AB38" s="42"/>
      <c r="AC38" s="42"/>
      <c r="AD38" s="42"/>
      <c r="AE38" s="42"/>
      <c r="AF38" s="42"/>
      <c r="AG38" s="42"/>
      <c r="AH38" s="35"/>
      <c r="AI38" s="36"/>
      <c r="AJ38" s="35"/>
      <c r="AK38" s="66"/>
      <c r="AL38" s="66"/>
      <c r="AM38" s="66"/>
      <c r="AN38" s="66"/>
      <c r="AO38" s="67"/>
      <c r="AP38" s="37"/>
      <c r="AQ38" s="67"/>
      <c r="AR38" s="38"/>
      <c r="AS38" s="67"/>
      <c r="AT38" s="67"/>
      <c r="AU38" s="38"/>
      <c r="AV38" s="38"/>
      <c r="AW38" s="38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66"/>
      <c r="BN38" s="66"/>
      <c r="BO38" s="66"/>
      <c r="BP38" s="68"/>
    </row>
    <row r="39" customFormat="false" ht="19.5" hidden="false" customHeight="true" outlineLevel="0" collapsed="false">
      <c r="A39" s="30"/>
      <c r="B39" s="64" t="s">
        <v>148</v>
      </c>
      <c r="C39" s="65"/>
      <c r="D39" s="42"/>
      <c r="E39" s="42"/>
      <c r="F39" s="42"/>
      <c r="G39" s="42"/>
      <c r="H39" s="42"/>
      <c r="I39" s="42"/>
      <c r="J39" s="42"/>
      <c r="K39" s="42"/>
      <c r="L39" s="42"/>
      <c r="N39" s="42"/>
      <c r="O39" s="42"/>
      <c r="P39" s="42"/>
      <c r="Q39" s="33"/>
      <c r="R39" s="33"/>
      <c r="S39" s="42"/>
      <c r="T39" s="42"/>
      <c r="U39" s="42"/>
      <c r="V39" s="42"/>
      <c r="W39" s="42"/>
      <c r="X39" s="42"/>
      <c r="Y39" s="42"/>
      <c r="Z39" s="42"/>
      <c r="AA39" s="87"/>
      <c r="AB39" s="42"/>
      <c r="AC39" s="42"/>
      <c r="AD39" s="42"/>
      <c r="AE39" s="42"/>
      <c r="AF39" s="42"/>
      <c r="AG39" s="42"/>
      <c r="AH39" s="35" t="n">
        <f aca="false">COUNTIF($C39:$AG39,AH$4)</f>
        <v>0</v>
      </c>
      <c r="AI39" s="36" t="n">
        <f aca="false">COUNTIF($C39:$AG39,AI$4)</f>
        <v>0</v>
      </c>
      <c r="AJ39" s="35" t="n">
        <f aca="false">COUNTIF($C39:$AG39,AJ$4)</f>
        <v>0</v>
      </c>
      <c r="AK39" s="66" t="n">
        <f aca="false">COUNTIF($C39:$AG39,AK$4)</f>
        <v>0</v>
      </c>
      <c r="AL39" s="66" t="n">
        <f aca="false">COUNTIF($C39:$AG39,AL$4)</f>
        <v>0</v>
      </c>
      <c r="AM39" s="66" t="n">
        <f aca="false">COUNTIF($C39:$AG39,AM$4)</f>
        <v>0</v>
      </c>
      <c r="AN39" s="66" t="n">
        <f aca="false">COUNTIF($C39:$AG39,AN$4)</f>
        <v>0</v>
      </c>
      <c r="AO39" s="67"/>
      <c r="AP39" s="37" t="n">
        <f aca="false">SUMPRODUCT(--WEEKDAY(C$3:AG$3,2)&lt;6,--((C39:AG39="DM"))+(C39:AG39="CS1")+((C39:AG39="CS2"))+(C39:AG39="SB1")+(C39:AG39="AE")+(C39:AG39="EM"))</f>
        <v>0</v>
      </c>
      <c r="AQ39" s="67"/>
      <c r="AR39" s="38" t="n">
        <f aca="false">SUMPRODUCT(--WEEKDAY(C$3:AG$3,2)&gt;5,--((C39:AG39="DM"))+(C39:AG39="CS1")+((C39:AG39="CS2"))+(C39:AG39="SB1")+(C39:AG39="AE")+(C39:AG39="EM"))</f>
        <v>0</v>
      </c>
      <c r="AS39" s="67"/>
      <c r="AT39" s="67" t="n">
        <f aca="false">(AP39-AQ39)/2+(AR39-AS39)</f>
        <v>0</v>
      </c>
      <c r="AU39" s="38" t="n">
        <f aca="false">AH39+AI39+AJ39+AK39+AM39+AN39</f>
        <v>0</v>
      </c>
      <c r="AV39" s="38" t="n">
        <f aca="false">BF39+BG39+BI39+BD39+BB39+AZ39+BK39</f>
        <v>0</v>
      </c>
      <c r="AW39" s="38" t="e">
        <f aca="false">AT39+AX39</f>
        <v>#VALUE!</v>
      </c>
      <c r="AX39" s="37" t="e">
        <f aca="false">(BI39*('Setting key Duty'!$I$8+'Setting key Duty'!$I$12))+(BG39*'Setting key Duty'!$I$9)+(BB39*('Setting key Duty'!$I$13+'Setting key Duty'!$I$9))+(AZ39*('Setting key Duty'!$I$13+'Setting key Duty'!$I$12+'Setting key Duty'!$I$11))+(BD39*('Setting key Duty'!$I$8+'Setting key Duty'!$I$9+'Setting key Duty'!$I$12))</f>
        <v>#VALUE!</v>
      </c>
      <c r="AY39" s="37" t="n">
        <f aca="false">COUNTIF(C39:AG39,"*BRT*")</f>
        <v>0</v>
      </c>
      <c r="AZ39" s="37" t="n">
        <f aca="false">COUNTIF(D39:AH39,"*$BTP*")</f>
        <v>0</v>
      </c>
      <c r="BA39" s="37" t="e">
        <f aca="false">AZ39*('Setting key Duty'!$I$13+'Setting key Duty'!$I$12+'Setting key Duty'!$I$11)</f>
        <v>#VALUE!</v>
      </c>
      <c r="BB39" s="37" t="n">
        <f aca="false">COUNTIF(D39:AH39,"*$L*")</f>
        <v>0</v>
      </c>
      <c r="BC39" s="37" t="e">
        <f aca="false">BB39*('Setting key Duty'!$I$13+'Setting key Duty'!$I$9)</f>
        <v>#VALUE!</v>
      </c>
      <c r="BD39" s="37" t="n">
        <f aca="false">COUNTIF(D39:AH39,"*$M*")</f>
        <v>0</v>
      </c>
      <c r="BE39" s="37" t="n">
        <f aca="false">BD39*('Setting key Duty'!$I$8+'Setting key Duty'!$I$9+'Setting key Duty'!$I$12)</f>
        <v>0</v>
      </c>
      <c r="BF39" s="37" t="n">
        <f aca="false">COUNTIF(D39:AH39,"*$N*")</f>
        <v>0</v>
      </c>
      <c r="BG39" s="37" t="n">
        <f aca="false">COUNTIF(D39:AH39,"*$PM*")</f>
        <v>0</v>
      </c>
      <c r="BH39" s="37" t="n">
        <f aca="false">BG39*('Setting key Duty'!$I$9)</f>
        <v>0</v>
      </c>
      <c r="BI39" s="37" t="n">
        <f aca="false">COUNTIF(D39:AH39,"*$AM*")</f>
        <v>0</v>
      </c>
      <c r="BJ39" s="37" t="n">
        <f aca="false">BI39*('Setting key Duty'!$I$12+'Setting key Duty'!$I$8)</f>
        <v>0</v>
      </c>
      <c r="BK39" s="37" t="n">
        <f aca="false">COUNTIF(C39:AH39,"*$FC*")</f>
        <v>0</v>
      </c>
      <c r="BL39" s="37" t="n">
        <f aca="false">BK39*('Setting key Duty'!$J$11+'Setting key Duty'!$I$8)</f>
        <v>0</v>
      </c>
      <c r="BM39" s="66" t="n">
        <f aca="false">COUNTIF($C39:$AG39,BM$4)</f>
        <v>0</v>
      </c>
      <c r="BN39" s="66" t="n">
        <f aca="false">COUNTIF($C39:$AG39,BN$4)</f>
        <v>0</v>
      </c>
      <c r="BO39" s="66" t="n">
        <f aca="false">COUNTIF($C39:$AG39,BO$4)</f>
        <v>0</v>
      </c>
      <c r="BP39" s="68"/>
    </row>
    <row r="40" customFormat="false" ht="19.5" hidden="false" customHeight="true" outlineLevel="0" collapsed="false">
      <c r="A40" s="30"/>
      <c r="B40" s="69"/>
      <c r="C40" s="70"/>
      <c r="D40" s="71"/>
      <c r="E40" s="71"/>
      <c r="F40" s="71"/>
      <c r="G40" s="71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  <c r="AD40" s="70"/>
      <c r="AE40" s="70"/>
      <c r="AF40" s="70"/>
      <c r="AG40" s="70"/>
      <c r="AH40" s="72"/>
      <c r="AI40" s="73"/>
      <c r="AJ40" s="72"/>
      <c r="AK40" s="74"/>
      <c r="AL40" s="74"/>
      <c r="AM40" s="74"/>
      <c r="AN40" s="74"/>
      <c r="AO40" s="75"/>
      <c r="AP40" s="75"/>
      <c r="AQ40" s="75"/>
      <c r="AR40" s="75" t="n">
        <f aca="false">SUMPRODUCT(--WEEKDAY(C$3:AG$3,2)&gt;5,--((C40:AG40="DM"))+(C40:AG40="CS1")+((C40:AG40="CS2"))+(C40:AG40="SB1")+(C40:AG40="AE")+(C40:AG40="EM"))</f>
        <v>0</v>
      </c>
      <c r="AS40" s="75"/>
      <c r="AT40" s="75" t="n">
        <f aca="false">(AP40-AQ40)/2+(AR40-AS40)</f>
        <v>0</v>
      </c>
      <c r="AU40" s="75"/>
      <c r="AV40" s="75"/>
      <c r="AW40" s="75"/>
      <c r="AX40" s="74"/>
      <c r="AY40" s="74"/>
      <c r="AZ40" s="74"/>
      <c r="BA40" s="74"/>
      <c r="BB40" s="74"/>
      <c r="BC40" s="74"/>
      <c r="BD40" s="74"/>
      <c r="BE40" s="74"/>
      <c r="BF40" s="74"/>
      <c r="BG40" s="74"/>
      <c r="BH40" s="74"/>
      <c r="BI40" s="74"/>
      <c r="BJ40" s="74"/>
      <c r="BK40" s="74"/>
      <c r="BL40" s="74"/>
      <c r="BM40" s="74"/>
      <c r="BN40" s="74"/>
      <c r="BO40" s="74"/>
      <c r="BP40" s="76"/>
    </row>
    <row r="41" customFormat="false" ht="19.5" hidden="false" customHeight="true" outlineLevel="0" collapsed="false">
      <c r="A41" s="30"/>
      <c r="B41" s="77" t="s">
        <v>57</v>
      </c>
      <c r="C41" s="78" t="str">
        <f aca="false">VLOOKUP("DM",C4:C39,1,FALSE())</f>
        <v>DM</v>
      </c>
      <c r="D41" s="78" t="str">
        <f aca="false">VLOOKUP("DM",D4:D39,1,FALSE())</f>
        <v>DM</v>
      </c>
      <c r="E41" s="78" t="str">
        <f aca="false">VLOOKUP("DM",E4:E39,1,FALSE())</f>
        <v>DM</v>
      </c>
      <c r="F41" s="78" t="str">
        <f aca="false">VLOOKUP("DM",F4:F39,1,FALSE())</f>
        <v>DM</v>
      </c>
      <c r="G41" s="78" t="str">
        <f aca="false">VLOOKUP("DM",G4:G39,1,FALSE())</f>
        <v>DM</v>
      </c>
      <c r="H41" s="78" t="str">
        <f aca="false">VLOOKUP("DM",H4:H39,1,FALSE())</f>
        <v>DM</v>
      </c>
      <c r="I41" s="78" t="str">
        <f aca="false">VLOOKUP("DM",I4:I39,1,FALSE())</f>
        <v>DM</v>
      </c>
      <c r="J41" s="78" t="str">
        <f aca="false">VLOOKUP("DM",J4:J39,1,FALSE())</f>
        <v>DM</v>
      </c>
      <c r="K41" s="78" t="str">
        <f aca="false">VLOOKUP("DM",K4:K39,1,FALSE())</f>
        <v>DM</v>
      </c>
      <c r="L41" s="78" t="str">
        <f aca="false">VLOOKUP("DM",L4:L39,1,FALSE())</f>
        <v>DM</v>
      </c>
      <c r="M41" s="78" t="str">
        <f aca="false">VLOOKUP("DM",M4:M33,1,FALSE())</f>
        <v>DM</v>
      </c>
      <c r="N41" s="78" t="str">
        <f aca="false">VLOOKUP("DM",N4:N39,1,FALSE())</f>
        <v>DM</v>
      </c>
      <c r="O41" s="78" t="str">
        <f aca="false">VLOOKUP("DM",O4:O39,1,FALSE())</f>
        <v>DM</v>
      </c>
      <c r="P41" s="78" t="str">
        <f aca="false">VLOOKUP("DM",P4:P39,1,FALSE())</f>
        <v>DM</v>
      </c>
      <c r="Q41" s="78" t="str">
        <f aca="false">VLOOKUP("DM",Q4:Q33,1,FALSE())</f>
        <v>DM</v>
      </c>
      <c r="R41" s="78" t="str">
        <f aca="false">VLOOKUP("DM",R4:R31,1,FALSE())</f>
        <v>DM</v>
      </c>
      <c r="S41" s="78" t="str">
        <f aca="false">VLOOKUP("DM",S4:S39,1,FALSE())</f>
        <v>DM</v>
      </c>
      <c r="T41" s="78" t="str">
        <f aca="false">VLOOKUP("DM",T4:T39,1,FALSE())</f>
        <v>DM</v>
      </c>
      <c r="U41" s="78" t="str">
        <f aca="false">VLOOKUP("DM",U4:U39,1,FALSE())</f>
        <v>DM</v>
      </c>
      <c r="V41" s="78" t="str">
        <f aca="false">VLOOKUP("DM",V4:V30,1,FALSE())</f>
        <v>DM</v>
      </c>
      <c r="W41" s="78" t="str">
        <f aca="false">VLOOKUP("DM",W4:W30,1,FALSE())</f>
        <v>DM</v>
      </c>
      <c r="X41" s="78" t="str">
        <f aca="false">VLOOKUP("DM",X4:X39,1,FALSE())</f>
        <v>DM</v>
      </c>
      <c r="Y41" s="78" t="str">
        <f aca="false">VLOOKUP("DM",Y4:Y39,1,FALSE())</f>
        <v>DM</v>
      </c>
      <c r="Z41" s="78" t="str">
        <f aca="false">VLOOKUP("DM",Z4:Z39,1,FALSE())</f>
        <v>DM</v>
      </c>
      <c r="AA41" s="78" t="str">
        <f aca="false">VLOOKUP("DM",AA5:AA39,1,FALSE())</f>
        <v>DM</v>
      </c>
      <c r="AB41" s="78" t="str">
        <f aca="false">VLOOKUP("DM",AB4:AB39,1,FALSE())</f>
        <v>DM</v>
      </c>
      <c r="AC41" s="78" t="str">
        <f aca="false">VLOOKUP("DM",AC4:AC39,1,FALSE())</f>
        <v>DM</v>
      </c>
      <c r="AD41" s="78" t="str">
        <f aca="false">VLOOKUP("DM",AD4:AD39,1,FALSE())</f>
        <v>DM</v>
      </c>
      <c r="AE41" s="78" t="str">
        <f aca="false">VLOOKUP("DM",AE4:AE39,1,FALSE())</f>
        <v>DM</v>
      </c>
      <c r="AF41" s="78" t="str">
        <f aca="false">VLOOKUP("DM",AF4:AF39,1,FALSE())</f>
        <v>DM</v>
      </c>
      <c r="AG41" s="78" t="str">
        <f aca="false">VLOOKUP("DM",AG4:AG39,1,FALSE())</f>
        <v>DM</v>
      </c>
      <c r="AH41" s="35"/>
      <c r="AI41" s="36"/>
      <c r="AJ41" s="35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  <c r="BA41" s="37"/>
      <c r="BB41" s="37"/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  <c r="BN41" s="37"/>
      <c r="BO41" s="37"/>
      <c r="BP41" s="39"/>
    </row>
    <row r="42" customFormat="false" ht="19.5" hidden="false" customHeight="true" outlineLevel="0" collapsed="false">
      <c r="A42" s="30" t="e">
        <f aca="false">lte()</f>
        <v>#NAME?</v>
      </c>
      <c r="B42" s="79" t="s">
        <v>56</v>
      </c>
      <c r="C42" s="78" t="str">
        <f aca="false">VLOOKUP("CS1",C5:C39,1,FALSE())</f>
        <v>CS1</v>
      </c>
      <c r="D42" s="78" t="str">
        <f aca="false">VLOOKUP("CS1",D9:D39,1,FALSE())</f>
        <v>CS1</v>
      </c>
      <c r="E42" s="78" t="str">
        <f aca="false">VLOOKUP("CS1",E7:E39,1,FALSE())</f>
        <v>CS1</v>
      </c>
      <c r="F42" s="78" t="str">
        <f aca="false">VLOOKUP("CS1",F7:F39,1,FALSE())</f>
        <v>CS1</v>
      </c>
      <c r="G42" s="78" t="str">
        <f aca="false">VLOOKUP("CS1",G6:G39,1,FALSE())</f>
        <v>CS1</v>
      </c>
      <c r="H42" s="78" t="str">
        <f aca="false">VLOOKUP("CS1",H5:H39,1,FALSE())</f>
        <v>CS1</v>
      </c>
      <c r="I42" s="78" t="str">
        <f aca="false">VLOOKUP("CS1",I7:I39,1,FALSE())</f>
        <v>CS1</v>
      </c>
      <c r="J42" s="78" t="str">
        <f aca="false">VLOOKUP("CS1",J4:J39,1,FALSE())</f>
        <v>CS1</v>
      </c>
      <c r="K42" s="78" t="str">
        <f aca="false">VLOOKUP("CS1",K6:K39,1,FALSE())</f>
        <v>CS1</v>
      </c>
      <c r="L42" s="78" t="str">
        <f aca="false">VLOOKUP("CS1",L1:L39,1,FALSE())</f>
        <v>CS1</v>
      </c>
      <c r="M42" s="78" t="str">
        <f aca="false">VLOOKUP("CS1",M5:M33,1,FALSE())</f>
        <v>CS1</v>
      </c>
      <c r="N42" s="78" t="str">
        <f aca="false">VLOOKUP("CS1",N5:N39,1,FALSE())</f>
        <v>CS1</v>
      </c>
      <c r="O42" s="78" t="str">
        <f aca="false">VLOOKUP("CS1",O5:O39,1,FALSE())</f>
        <v>CS1</v>
      </c>
      <c r="P42" s="78" t="str">
        <f aca="false">VLOOKUP("CS1",P12:P39,1,FALSE())</f>
        <v>CS1</v>
      </c>
      <c r="Q42" s="78" t="str">
        <f aca="false">VLOOKUP("CS1",Q7:Q33,1,FALSE())</f>
        <v>CS1</v>
      </c>
      <c r="R42" s="78" t="str">
        <f aca="false">VLOOKUP("CS1",R6:R31,1,FALSE())</f>
        <v>CS1</v>
      </c>
      <c r="S42" s="78" t="str">
        <f aca="false">VLOOKUP("CS1",S5:S39,1,FALSE())</f>
        <v>CS1</v>
      </c>
      <c r="T42" s="78" t="str">
        <f aca="false">VLOOKUP("CS1",T6:T39,1,FALSE())</f>
        <v>CS1</v>
      </c>
      <c r="U42" s="78" t="str">
        <f aca="false">VLOOKUP("CS1",U7:U39,1,FALSE())</f>
        <v>CS1</v>
      </c>
      <c r="V42" s="78" t="str">
        <f aca="false">VLOOKUP("CS1",V8:V30,1,FALSE())</f>
        <v>CS1</v>
      </c>
      <c r="W42" s="78" t="str">
        <f aca="false">VLOOKUP("CS1",W1:W30,1,FALSE())</f>
        <v>CS1</v>
      </c>
      <c r="X42" s="78" t="str">
        <f aca="false">VLOOKUP("CS1",X1:X39,1,FALSE())</f>
        <v>CS1</v>
      </c>
      <c r="Y42" s="78" t="str">
        <f aca="false">VLOOKUP("CS1",Y5:Y39,1,FALSE())</f>
        <v>CS1</v>
      </c>
      <c r="Z42" s="78" t="str">
        <f aca="false">VLOOKUP("CS1",Z6:Z39,1,FALSE())</f>
        <v>CS1</v>
      </c>
      <c r="AA42" s="78" t="str">
        <f aca="false">VLOOKUP("CS1",AA5:AA39,1,FALSE())</f>
        <v>CS1</v>
      </c>
      <c r="AB42" s="78" t="str">
        <f aca="false">VLOOKUP("CS1",AB1:AB39,1,FALSE())</f>
        <v>CS1</v>
      </c>
      <c r="AC42" s="78" t="str">
        <f aca="false">VLOOKUP("CS1",AC6:AC39,1,FALSE())</f>
        <v>CS1</v>
      </c>
      <c r="AD42" s="78" t="str">
        <f aca="false">VLOOKUP("CS1",AD6:AD39,1,FALSE())</f>
        <v>CS1</v>
      </c>
      <c r="AE42" s="78" t="str">
        <f aca="false">VLOOKUP("CS1",AE6:AE39,1,FALSE())</f>
        <v>CS1</v>
      </c>
      <c r="AF42" s="78" t="str">
        <f aca="false">VLOOKUP("CS1",AF5:AF39,1,FALSE())</f>
        <v>CS1</v>
      </c>
      <c r="AG42" s="78" t="str">
        <f aca="false">VLOOKUP("CS1",AG6:AG39,1,FALSE())</f>
        <v>CS1</v>
      </c>
      <c r="AH42" s="35"/>
      <c r="AI42" s="36"/>
      <c r="AJ42" s="35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  <c r="BA42" s="37"/>
      <c r="BB42" s="37"/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  <c r="BN42" s="37"/>
      <c r="BO42" s="37"/>
      <c r="BP42" s="39"/>
    </row>
    <row r="43" customFormat="false" ht="19.5" hidden="false" customHeight="true" outlineLevel="0" collapsed="false">
      <c r="A43" s="30"/>
      <c r="B43" s="80" t="s">
        <v>59</v>
      </c>
      <c r="C43" s="78" t="str">
        <f aca="false">VLOOKUP("CS2",C6:C39,1,FALSE())</f>
        <v>CS2</v>
      </c>
      <c r="D43" s="78" t="str">
        <f aca="false">VLOOKUP("CS2",D9:D39,1,FALSE())</f>
        <v>CS2</v>
      </c>
      <c r="E43" s="78" t="str">
        <f aca="false">VLOOKUP("CS2",E7:E39,1,FALSE())</f>
        <v>CS2</v>
      </c>
      <c r="F43" s="78" t="str">
        <f aca="false">VLOOKUP("CS2",F7:F39,1,FALSE())</f>
        <v>CS2</v>
      </c>
      <c r="G43" s="78" t="str">
        <f aca="false">VLOOKUP("CS2",G6:G39,1,FALSE())</f>
        <v>CS2</v>
      </c>
      <c r="H43" s="78" t="str">
        <f aca="false">VLOOKUP("CS2",H6:H39,1,FALSE())</f>
        <v>CS2</v>
      </c>
      <c r="I43" s="78" t="str">
        <f aca="false">VLOOKUP("CS2",I7:I39,1,FALSE())</f>
        <v>CS2</v>
      </c>
      <c r="J43" s="78" t="str">
        <f aca="false">VLOOKUP("CS2",J4:J39,1,FALSE())</f>
        <v>CS2</v>
      </c>
      <c r="K43" s="78" t="str">
        <f aca="false">VLOOKUP("CS2",K6:K39,1,FALSE())</f>
        <v>CS2</v>
      </c>
      <c r="L43" s="78" t="str">
        <f aca="false">VLOOKUP("CS2",L4:L39,1,FALSE())</f>
        <v>CS2</v>
      </c>
      <c r="M43" s="78" t="str">
        <f aca="false">VLOOKUP("CS2",M7:M33,1,FALSE())</f>
        <v>CS2</v>
      </c>
      <c r="N43" s="78" t="str">
        <f aca="false">VLOOKUP("CS2",N5:N39,1,FALSE())</f>
        <v>CS2</v>
      </c>
      <c r="O43" s="78" t="str">
        <f aca="false">VLOOKUP("CS2",O10:O39,1,FALSE())</f>
        <v>CS2</v>
      </c>
      <c r="P43" s="78" t="str">
        <f aca="false">VLOOKUP("CS2",P6:P39,1,FALSE())</f>
        <v>CS2</v>
      </c>
      <c r="Q43" s="78" t="str">
        <f aca="false">VLOOKUP("CS2",Q7:Q33,1,FALSE())</f>
        <v>CS2</v>
      </c>
      <c r="R43" s="78" t="str">
        <f aca="false">VLOOKUP("CS2",R6:R31,1,FALSE())</f>
        <v>CS2</v>
      </c>
      <c r="S43" s="78" t="str">
        <f aca="false">VLOOKUP("CS2",S5:S39,1,FALSE())</f>
        <v>CS2</v>
      </c>
      <c r="T43" s="78" t="str">
        <f aca="false">VLOOKUP("CS2",T1:T39,1,FALSE())</f>
        <v>CS2</v>
      </c>
      <c r="U43" s="78" t="str">
        <f aca="false">VLOOKUP("CS2",U1:U39,1,FALSE())</f>
        <v>CS2</v>
      </c>
      <c r="V43" s="78" t="str">
        <f aca="false">VLOOKUP("CS2",V1:V30,1,FALSE())</f>
        <v>CS2</v>
      </c>
      <c r="W43" s="78" t="str">
        <f aca="false">VLOOKUP("CS2",W1:W30,1,FALSE())</f>
        <v>CS2</v>
      </c>
      <c r="X43" s="78" t="str">
        <f aca="false">VLOOKUP("CS2",X7:X39,1,FALSE())</f>
        <v>CS2</v>
      </c>
      <c r="Y43" s="78" t="str">
        <f aca="false">VLOOKUP("CS2",Y5:Y39,1,FALSE())</f>
        <v>CS2</v>
      </c>
      <c r="Z43" s="78" t="str">
        <f aca="false">VLOOKUP("CS2",Z6:Z39,1,FALSE())</f>
        <v>CS2</v>
      </c>
      <c r="AA43" s="78" t="str">
        <f aca="false">VLOOKUP("CS2",AA5:AA39,1,FALSE())</f>
        <v>CS2</v>
      </c>
      <c r="AB43" s="78" t="str">
        <f aca="false">VLOOKUP("CS2",AB1:AB39,1,FALSE())</f>
        <v>CS2</v>
      </c>
      <c r="AC43" s="78" t="str">
        <f aca="false">VLOOKUP("CS2",AC6:AC39,1,FALSE())</f>
        <v>CS2</v>
      </c>
      <c r="AD43" s="78" t="str">
        <f aca="false">VLOOKUP("CS2",AD6:AD39,1,FALSE())</f>
        <v>CS2</v>
      </c>
      <c r="AE43" s="78" t="str">
        <f aca="false">VLOOKUP("CS2",AE6:AE39,1,FALSE())</f>
        <v>CS2</v>
      </c>
      <c r="AF43" s="78" t="str">
        <f aca="false">VLOOKUP("CS2",AF5:AF39,1,FALSE())</f>
        <v>CS2</v>
      </c>
      <c r="AG43" s="78" t="str">
        <f aca="false">VLOOKUP("CS2",AG6:AG39,1,FALSE())</f>
        <v>CS2</v>
      </c>
      <c r="AH43" s="35"/>
      <c r="AI43" s="36"/>
      <c r="AJ43" s="35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  <c r="BA43" s="37"/>
      <c r="BB43" s="37"/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  <c r="BN43" s="37"/>
      <c r="BO43" s="37"/>
      <c r="BP43" s="39"/>
    </row>
    <row r="44" customFormat="false" ht="19.5" hidden="false" customHeight="true" outlineLevel="0" collapsed="false">
      <c r="A44" s="30"/>
      <c r="B44" s="81" t="s">
        <v>58</v>
      </c>
      <c r="C44" s="78" t="str">
        <f aca="false">VLOOKUP("SB1",C6:C39,1,FALSE())</f>
        <v>SB1</v>
      </c>
      <c r="D44" s="78" t="e">
        <f aca="false">VLOOKUP("SB1",D3:D39,1,FALSE())</f>
        <v>#N/A</v>
      </c>
      <c r="E44" s="78" t="str">
        <f aca="false">VLOOKUP("SB1",E7:E39,1,FALSE())</f>
        <v>SB1</v>
      </c>
      <c r="F44" s="78" t="str">
        <f aca="false">VLOOKUP("SB1",F7:F39,1,FALSE())</f>
        <v>SB1</v>
      </c>
      <c r="G44" s="78" t="e">
        <f aca="false">VLOOKUP("SB1",G6:G39,1,FALSE())</f>
        <v>#N/A</v>
      </c>
      <c r="H44" s="78" t="str">
        <f aca="false">VLOOKUP("SB1",H6:H39,1,FALSE())</f>
        <v>SB1</v>
      </c>
      <c r="I44" s="78" t="e">
        <f aca="false">VLOOKUP("SB1",I7:I39,1,FALSE())</f>
        <v>#N/A</v>
      </c>
      <c r="J44" s="78" t="e">
        <f aca="false">VLOOKUP("SB1",J4:J39,1,FALSE())</f>
        <v>#N/A</v>
      </c>
      <c r="K44" s="78" t="e">
        <f aca="false">VLOOKUP("SB1",K6:K39,1,FALSE())</f>
        <v>#N/A</v>
      </c>
      <c r="L44" s="78" t="e">
        <f aca="false">VLOOKUP("SB1",L5:L39,1,FALSE())</f>
        <v>#N/A</v>
      </c>
      <c r="M44" s="78" t="e">
        <f aca="false">VLOOKUP("SB1",M7:M33,1,FALSE())</f>
        <v>#N/A</v>
      </c>
      <c r="N44" s="78" t="e">
        <f aca="false">VLOOKUP("SB1",N5:N39,1,FALSE())</f>
        <v>#N/A</v>
      </c>
      <c r="O44" s="78" t="e">
        <f aca="false">VLOOKUP("SB1",O5:O39,1,FALSE())</f>
        <v>#N/A</v>
      </c>
      <c r="P44" s="78" t="e">
        <f aca="false">VLOOKUP("SB1",P6:P39,1,FALSE())</f>
        <v>#N/A</v>
      </c>
      <c r="Q44" s="78" t="e">
        <f aca="false">VLOOKUP("SB1",Q7:Q33,1,FALSE())</f>
        <v>#N/A</v>
      </c>
      <c r="R44" s="78" t="e">
        <f aca="false">VLOOKUP("SB1",R6:R31,1,FALSE())</f>
        <v>#N/A</v>
      </c>
      <c r="S44" s="78" t="e">
        <f aca="false">VLOOKUP("SB1",S5:S39,1,FALSE())</f>
        <v>#N/A</v>
      </c>
      <c r="T44" s="78" t="e">
        <f aca="false">VLOOKUP("SB1",T6:T39,1,FALSE())</f>
        <v>#N/A</v>
      </c>
      <c r="U44" s="78" t="e">
        <f aca="false">VLOOKUP("SB1",U7:U39,1,FALSE())</f>
        <v>#N/A</v>
      </c>
      <c r="V44" s="78" t="e">
        <f aca="false">VLOOKUP("SB1",V7:V30,1,FALSE())</f>
        <v>#N/A</v>
      </c>
      <c r="W44" s="78" t="e">
        <f aca="false">VLOOKUP("SB1",W9:W30,1,FALSE())</f>
        <v>#N/A</v>
      </c>
      <c r="X44" s="78" t="e">
        <f aca="false">VLOOKUP("SB1",X7:X39,1,FALSE())</f>
        <v>#N/A</v>
      </c>
      <c r="Y44" s="78" t="e">
        <f aca="false">VLOOKUP("SB1",Y5:Y39,1,FALSE())</f>
        <v>#N/A</v>
      </c>
      <c r="Z44" s="78" t="e">
        <f aca="false">VLOOKUP("SB1",Z6:Z39,1,FALSE())</f>
        <v>#N/A</v>
      </c>
      <c r="AA44" s="78" t="e">
        <f aca="false">VLOOKUP("SB1",AA5:AA39,1,FALSE())</f>
        <v>#N/A</v>
      </c>
      <c r="AB44" s="78" t="e">
        <f aca="false">VLOOKUP("SB1",AB8:AB39,1,FALSE())</f>
        <v>#N/A</v>
      </c>
      <c r="AC44" s="78" t="e">
        <f aca="false">VLOOKUP("SB1",AC1:AC39,1,FALSE())</f>
        <v>#N/A</v>
      </c>
      <c r="AD44" s="78" t="e">
        <f aca="false">VLOOKUP("SB1",AD6:AD39,1,FALSE())</f>
        <v>#N/A</v>
      </c>
      <c r="AE44" s="78" t="e">
        <f aca="false">VLOOKUP("SB1",AE6:AE39,1,FALSE())</f>
        <v>#N/A</v>
      </c>
      <c r="AF44" s="78" t="e">
        <f aca="false">VLOOKUP("SB1",AF5:AF39,1,FALSE())</f>
        <v>#N/A</v>
      </c>
      <c r="AG44" s="78" t="e">
        <f aca="false">VLOOKUP("SB1",AG6:AG39,1,FALSE())</f>
        <v>#N/A</v>
      </c>
      <c r="AH44" s="35"/>
      <c r="AI44" s="36"/>
      <c r="AJ44" s="35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  <c r="BN44" s="37"/>
      <c r="BO44" s="37"/>
      <c r="BP44" s="39"/>
    </row>
    <row r="45" customFormat="false" ht="19.5" hidden="false" customHeight="true" outlineLevel="0" collapsed="false">
      <c r="A45" s="30"/>
      <c r="B45" s="82" t="s">
        <v>93</v>
      </c>
      <c r="C45" s="78" t="e">
        <f aca="false">VLOOKUP("SB2",C6:C39,1,FALSE())</f>
        <v>#N/A</v>
      </c>
      <c r="D45" s="78" t="str">
        <f aca="false">VLOOKUP("SB2",D9:D39,1,FALSE())</f>
        <v>SB2</v>
      </c>
      <c r="E45" s="78" t="str">
        <f aca="false">VLOOKUP("SB2",E7:E39,1,FALSE())</f>
        <v>SB2</v>
      </c>
      <c r="F45" s="78" t="str">
        <f aca="false">VLOOKUP("SB2",F1:F39,1,FALSE())</f>
        <v>SB2</v>
      </c>
      <c r="G45" s="78" t="str">
        <f aca="false">VLOOKUP("SB2",G6:G39,1,FALSE())</f>
        <v>SB2</v>
      </c>
      <c r="H45" s="78" t="str">
        <f aca="false">VLOOKUP("SB2",H6:H39,1,FALSE())</f>
        <v>SB2</v>
      </c>
      <c r="I45" s="78" t="e">
        <f aca="false">VLOOKUP("SB2",I7:I39,1,FALSE())</f>
        <v>#N/A</v>
      </c>
      <c r="J45" s="78" t="e">
        <f aca="false">VLOOKUP("SB2",J4:J39,1,FALSE())</f>
        <v>#N/A</v>
      </c>
      <c r="K45" s="78" t="str">
        <f aca="false">VLOOKUP("SB2",K6:K39,1,FALSE())</f>
        <v>SB2</v>
      </c>
      <c r="L45" s="78" t="e">
        <f aca="false">VLOOKUP("SB2",L11:L39,1,FALSE())</f>
        <v>#N/A</v>
      </c>
      <c r="M45" s="78" t="str">
        <f aca="false">VLOOKUP("SB2",M7:M33,1,FALSE())</f>
        <v>SB2</v>
      </c>
      <c r="N45" s="78" t="str">
        <f aca="false">VLOOKUP("SB2",N5:N39,1,FALSE())</f>
        <v>SB2</v>
      </c>
      <c r="O45" s="78" t="str">
        <f aca="false">VLOOKUP("SB2",O5:O39,1,FALSE())</f>
        <v>SB2</v>
      </c>
      <c r="P45" s="78" t="e">
        <f aca="false">VLOOKUP("SB2",P6:P39,1,FALSE())</f>
        <v>#N/A</v>
      </c>
      <c r="Q45" s="78" t="e">
        <f aca="false">VLOOKUP("SB2",Q9:Q33,1,FALSE())</f>
        <v>#N/A</v>
      </c>
      <c r="R45" s="78" t="str">
        <f aca="false">VLOOKUP("SB2",R6:R31,1,FALSE())</f>
        <v>SB2</v>
      </c>
      <c r="S45" s="78" t="str">
        <f aca="false">VLOOKUP("SB2",S11:S39,1,FALSE())</f>
        <v>SB2</v>
      </c>
      <c r="T45" s="78" t="str">
        <f aca="false">VLOOKUP("SB2",T6:T39,1,FALSE())</f>
        <v>SB2</v>
      </c>
      <c r="U45" s="78" t="str">
        <f aca="false">VLOOKUP("SB2",U7:U39,1,FALSE())</f>
        <v>SB2</v>
      </c>
      <c r="V45" s="78" t="str">
        <f aca="false">VLOOKUP("SB2",V8:V30,1,FALSE())</f>
        <v>SB2</v>
      </c>
      <c r="W45" s="78" t="e">
        <f aca="false">VLOOKUP("SB2",W9:W30,1,FALSE())</f>
        <v>#N/A</v>
      </c>
      <c r="X45" s="78" t="e">
        <f aca="false">VLOOKUP("SB2",X7:X39,1,FALSE())</f>
        <v>#N/A</v>
      </c>
      <c r="Y45" s="78" t="str">
        <f aca="false">VLOOKUP("SB2",Y5:Y39,1,FALSE())</f>
        <v>SB2</v>
      </c>
      <c r="Z45" s="78" t="str">
        <f aca="false">VLOOKUP("SB2",Z6:Z39,1,FALSE())</f>
        <v>SB2</v>
      </c>
      <c r="AA45" s="78" t="e">
        <f aca="false">VLOOKUP("SB2",AA10:AA39,1,FALSE())</f>
        <v>#N/A</v>
      </c>
      <c r="AB45" s="78" t="str">
        <f aca="false">VLOOKUP("SB2",AB8:AB39,1,FALSE())</f>
        <v>SB2</v>
      </c>
      <c r="AC45" s="78" t="str">
        <f aca="false">VLOOKUP("SB2",AC10:AC39,1,FALSE())</f>
        <v>SB2</v>
      </c>
      <c r="AD45" s="78" t="e">
        <f aca="false">VLOOKUP("SB2",AD6:AD39,1,FALSE())</f>
        <v>#N/A</v>
      </c>
      <c r="AE45" s="78" t="e">
        <f aca="false">VLOOKUP("SB2",AE6:AE39,1,FALSE())</f>
        <v>#N/A</v>
      </c>
      <c r="AF45" s="78" t="str">
        <f aca="false">VLOOKUP("SB2",AF5:AF39,1,FALSE())</f>
        <v>SB2</v>
      </c>
      <c r="AG45" s="78" t="str">
        <f aca="false">VLOOKUP("SB2",AG6:AG39,1,FALSE())</f>
        <v>SB2</v>
      </c>
      <c r="AH45" s="35"/>
      <c r="AI45" s="36"/>
      <c r="AJ45" s="35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  <c r="BA45" s="37"/>
      <c r="BB45" s="37"/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  <c r="BN45" s="37"/>
      <c r="BO45" s="37"/>
      <c r="BP45" s="39"/>
    </row>
    <row r="46" customFormat="false" ht="19.5" hidden="false" customHeight="true" outlineLevel="0" collapsed="false">
      <c r="A46" s="30"/>
      <c r="B46" s="83" t="s">
        <v>65</v>
      </c>
      <c r="C46" s="78" t="str">
        <f aca="false">VLOOKUP("AE",C6:C39,1,FALSE())</f>
        <v>AE</v>
      </c>
      <c r="D46" s="78" t="str">
        <f aca="false">VLOOKUP("AE",D9:D39,1,FALSE())</f>
        <v>AE</v>
      </c>
      <c r="E46" s="78" t="str">
        <f aca="false">VLOOKUP("AE",E7:E39,1,FALSE())</f>
        <v>AE</v>
      </c>
      <c r="F46" s="78" t="str">
        <f aca="false">VLOOKUP("AE",F1:F39,1,FALSE())</f>
        <v>AE</v>
      </c>
      <c r="G46" s="78" t="str">
        <f aca="false">VLOOKUP("AE",G6:G39,1,FALSE())</f>
        <v>AE</v>
      </c>
      <c r="H46" s="78" t="str">
        <f aca="false">VLOOKUP("AE",H6:H39,1,FALSE())</f>
        <v>AE</v>
      </c>
      <c r="I46" s="78" t="str">
        <f aca="false">VLOOKUP("AE",I7:I39,1,FALSE())</f>
        <v>AE</v>
      </c>
      <c r="J46" s="78" t="str">
        <f aca="false">VLOOKUP("AE",J4:J39,1,FALSE())</f>
        <v>AE</v>
      </c>
      <c r="K46" s="78" t="str">
        <f aca="false">VLOOKUP("AE",K6:K39,1,FALSE())</f>
        <v>AE</v>
      </c>
      <c r="L46" s="78" t="str">
        <f aca="false">VLOOKUP("AE",L11:L39,1,FALSE())</f>
        <v>AE</v>
      </c>
      <c r="M46" s="78" t="str">
        <f aca="false">VLOOKUP("AE",M7:M33,1,FALSE())</f>
        <v>AE</v>
      </c>
      <c r="N46" s="78" t="str">
        <f aca="false">VLOOKUP("AE",N5:N39,1,FALSE())</f>
        <v>AE</v>
      </c>
      <c r="O46" s="78" t="str">
        <f aca="false">VLOOKUP("AE",O5:O39,1,FALSE())</f>
        <v>AE</v>
      </c>
      <c r="P46" s="78" t="str">
        <f aca="false">VLOOKUP("AE",P6:P39,1,FALSE())</f>
        <v>AE</v>
      </c>
      <c r="Q46" s="78" t="str">
        <f aca="false">VLOOKUP("AE",Q9:Q33,1,FALSE())</f>
        <v>AE</v>
      </c>
      <c r="R46" s="78" t="str">
        <f aca="false">VLOOKUP("AE",R6:R31,1,FALSE())</f>
        <v>AE</v>
      </c>
      <c r="S46" s="78" t="str">
        <f aca="false">VLOOKUP("AE",S11:S39,1,FALSE())</f>
        <v>AE</v>
      </c>
      <c r="T46" s="78" t="str">
        <f aca="false">VLOOKUP("AE",T6:T39,1,FALSE())</f>
        <v>AE</v>
      </c>
      <c r="U46" s="78" t="str">
        <f aca="false">VLOOKUP("AE",U7:U39,1,FALSE())</f>
        <v>AE</v>
      </c>
      <c r="V46" s="78" t="str">
        <f aca="false">VLOOKUP("AE",V8:V30,1,FALSE())</f>
        <v>AE</v>
      </c>
      <c r="W46" s="78" t="str">
        <f aca="false">VLOOKUP("AE",W9:W30,1,FALSE())</f>
        <v>AE</v>
      </c>
      <c r="X46" s="78" t="str">
        <f aca="false">VLOOKUP("AE",X7:X39,1,FALSE())</f>
        <v>AE</v>
      </c>
      <c r="Y46" s="78" t="str">
        <f aca="false">VLOOKUP("AE",Y5:Y39,1,FALSE())</f>
        <v>AE</v>
      </c>
      <c r="Z46" s="78" t="str">
        <f aca="false">VLOOKUP("AE",Z6:Z39,1,FALSE())</f>
        <v>AE</v>
      </c>
      <c r="AA46" s="78" t="str">
        <f aca="false">VLOOKUP("AE",AA10:AA39,1,FALSE())</f>
        <v>AE</v>
      </c>
      <c r="AB46" s="78" t="str">
        <f aca="false">VLOOKUP("AE",AB8:AB39,1,FALSE())</f>
        <v>AE</v>
      </c>
      <c r="AC46" s="78" t="str">
        <f aca="false">VLOOKUP("AE",AC10:AC39,1,FALSE())</f>
        <v>AE</v>
      </c>
      <c r="AD46" s="78" t="str">
        <f aca="false">VLOOKUP("AE",AD6:AD39,1,FALSE())</f>
        <v>AE</v>
      </c>
      <c r="AE46" s="78" t="str">
        <f aca="false">VLOOKUP("AE",AE6:AE39,1,FALSE())</f>
        <v>AE</v>
      </c>
      <c r="AF46" s="78" t="str">
        <f aca="false">VLOOKUP("AE",AF5:AF39,1,FALSE())</f>
        <v>AE</v>
      </c>
      <c r="AG46" s="78" t="str">
        <f aca="false">VLOOKUP("AE",AG6:AG39,1,FALSE())</f>
        <v>AE</v>
      </c>
      <c r="AH46" s="35"/>
      <c r="AI46" s="36"/>
      <c r="AJ46" s="35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  <c r="BA46" s="37"/>
      <c r="BB46" s="37"/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  <c r="BN46" s="37"/>
      <c r="BO46" s="37"/>
      <c r="BP46" s="39"/>
    </row>
  </sheetData>
  <mergeCells count="1">
    <mergeCell ref="C1:S1"/>
  </mergeCells>
  <conditionalFormatting sqref="X13">
    <cfRule type="expression" priority="2" aboveAverage="0" equalAverage="0" bottom="0" percent="0" rank="0" text="" dxfId="21">
      <formula>WEEKDAY(Z$3,2)&gt;5</formula>
    </cfRule>
    <cfRule type="expression" priority="3" aboveAverage="0" equalAverage="0" bottom="0" percent="0" rank="0" text="" dxfId="21">
      <formula>WEEKDAY(Y$3,2)&gt;5</formula>
    </cfRule>
  </conditionalFormatting>
  <conditionalFormatting sqref="J12 N31 Q31">
    <cfRule type="expression" priority="4" aboveAverage="0" equalAverage="0" bottom="0" percent="0" rank="0" text="" dxfId="21">
      <formula>WEEKDAY(K$3,2)&gt;5</formula>
    </cfRule>
  </conditionalFormatting>
  <conditionalFormatting sqref="F25">
    <cfRule type="expression" priority="5" aboveAverage="0" equalAverage="0" bottom="0" percent="0" rank="0" text="" dxfId="21">
      <formula>WEEKDAY(I$3,2)&gt;5</formula>
    </cfRule>
    <cfRule type="expression" priority="6" aboveAverage="0" equalAverage="0" bottom="0" percent="0" rank="0" text="" dxfId="21">
      <formula>WEEKDAY(H$3,2)&gt;5</formula>
    </cfRule>
  </conditionalFormatting>
  <conditionalFormatting sqref="K26 C8:C9 C12:C13 E12:F12 F16 C17 F29">
    <cfRule type="expression" priority="7" aboveAverage="0" equalAverage="0" bottom="0" percent="0" rank="0" text="" dxfId="21">
      <formula>WEEKDAY(E$3,2)&gt;5</formula>
    </cfRule>
  </conditionalFormatting>
  <conditionalFormatting sqref="O8:O9 P9:Q9">
    <cfRule type="expression" priority="8" aboveAverage="0" equalAverage="0" bottom="0" percent="0" rank="0" text="" dxfId="21">
      <formula>WEEKDAY(J$3,2)&gt;5</formula>
    </cfRule>
    <cfRule type="expression" priority="9" aboveAverage="0" equalAverage="0" bottom="0" percent="0" rank="0" text="" dxfId="21">
      <formula>WEEKDAY(I$3,2)&gt;5</formula>
    </cfRule>
  </conditionalFormatting>
  <conditionalFormatting sqref="E5:E7 C5:D31 Q21:Q26 H27:H29 V12:V31 E28:E31 P5:P29 R5:R31 Z28:AA29 H29:K29 O29 T5:T31 W5:Z29 AC5:AC30 W30 U10:U31 W31:Y31 F5:G31 H5:K26 L5:M19 N5:N23 O5:O13 Q5:Q19 S5 U5:U8 V5:V10 AB5:AB34 AD5:AD28 AE5:AE30 AF5:AF31 AG5:AG25 AA6:AA24 S7:S31 E9:E20 O15:O27 L21:L31 M21:M28 E22:E26 N25:N29 AA26:AA33 AG27 K28:K29 Q28:Q33 J29:J31 M30:M32 AD30 H31:I31 K31 N31 P31 Z31:Z33 AG31 AC32:AC34 AD32:AE33 AB36:AC37">
    <cfRule type="cellIs" priority="10" operator="equal" aboveAverage="0" equalAverage="0" bottom="0" percent="0" rank="0" text="" dxfId="23">
      <formula>"B"</formula>
    </cfRule>
    <cfRule type="cellIs" priority="11" operator="equal" aboveAverage="0" equalAverage="0" bottom="0" percent="0" rank="0" text="" dxfId="23">
      <formula>"AL"</formula>
    </cfRule>
    <cfRule type="cellIs" priority="12" operator="equal" aboveAverage="0" equalAverage="0" bottom="0" percent="0" rank="0" text="" dxfId="24">
      <formula>"DM"</formula>
    </cfRule>
    <cfRule type="cellIs" priority="13" operator="equal" aboveAverage="0" equalAverage="0" bottom="0" percent="0" rank="0" text="" dxfId="25">
      <formula>"CS1"</formula>
    </cfRule>
    <cfRule type="cellIs" priority="14" operator="equal" aboveAverage="0" equalAverage="0" bottom="0" percent="0" rank="0" text="" dxfId="26">
      <formula>"CS2"</formula>
    </cfRule>
    <cfRule type="cellIs" priority="15" operator="equal" aboveAverage="0" equalAverage="0" bottom="0" percent="0" rank="0" text="" dxfId="27">
      <formula>"SB1"</formula>
    </cfRule>
    <cfRule type="cellIs" priority="16" operator="equal" aboveAverage="0" equalAverage="0" bottom="0" percent="0" rank="0" text="" dxfId="28">
      <formula>"SB2"</formula>
    </cfRule>
    <cfRule type="cellIs" priority="17" operator="equal" aboveAverage="0" equalAverage="0" bottom="0" percent="0" rank="0" text="" dxfId="29">
      <formula>"AE"</formula>
    </cfRule>
    <cfRule type="cellIs" priority="18" operator="equal" aboveAverage="0" equalAverage="0" bottom="0" percent="0" rank="0" text="" dxfId="23">
      <formula>"DB"</formula>
    </cfRule>
    <cfRule type="containsText" priority="19" operator="containsText" aboveAverage="0" equalAverage="0" bottom="0" percent="0" rank="0" text="$AM" dxfId="30">
      <formula>NOT(ISERROR(SEARCH("$AM",C5)))</formula>
    </cfRule>
    <cfRule type="containsText" priority="20" operator="containsText" aboveAverage="0" equalAverage="0" bottom="0" percent="0" rank="0" text="$PM" dxfId="31">
      <formula>NOT(ISERROR(SEARCH("$PM",C5)))</formula>
    </cfRule>
    <cfRule type="containsText" priority="21" operator="containsText" aboveAverage="0" equalAverage="0" bottom="0" percent="0" rank="0" text="$L" dxfId="32">
      <formula>NOT(ISERROR(SEARCH("$L",C5)))</formula>
    </cfRule>
    <cfRule type="containsText" priority="22" operator="containsText" aboveAverage="0" equalAverage="0" bottom="0" percent="0" rank="0" text="$BTP" dxfId="33">
      <formula>NOT(ISERROR(SEARCH("$BTP",C5)))</formula>
    </cfRule>
    <cfRule type="containsText" priority="23" operator="containsText" aboveAverage="0" equalAverage="0" bottom="0" percent="0" rank="0" text="$M" dxfId="34">
      <formula>NOT(ISERROR(SEARCH("$M",C5)))</formula>
    </cfRule>
    <cfRule type="containsText" priority="24" operator="containsText" aboveAverage="0" equalAverage="0" bottom="0" percent="0" rank="0" text="$N" dxfId="35">
      <formula>NOT(ISERROR(SEARCH("$N",C5)))</formula>
    </cfRule>
    <cfRule type="containsText" priority="25" operator="containsText" aboveAverage="0" equalAverage="0" bottom="0" percent="0" rank="0" text="$FC" dxfId="36">
      <formula>NOT(ISERROR(SEARCH("$FC",C5)))</formula>
    </cfRule>
    <cfRule type="containsText" priority="26" operator="containsText" aboveAverage="0" equalAverage="0" bottom="0" percent="0" rank="0" text="OAL" dxfId="37">
      <formula>NOT(ISERROR(SEARCH("OAL",C5)))</formula>
    </cfRule>
    <cfRule type="containsText" priority="27" operator="containsText" aboveAverage="0" equalAverage="0" bottom="0" percent="0" rank="0" text="S+" dxfId="38">
      <formula>NOT(ISERROR(SEARCH("S+",C5)))</formula>
    </cfRule>
    <cfRule type="containsText" priority="28" operator="containsText" aboveAverage="0" equalAverage="0" bottom="0" percent="0" rank="0" text="EX-D" dxfId="39">
      <formula>NOT(ISERROR(SEARCH("EX-D",C5)))</formula>
    </cfRule>
  </conditionalFormatting>
  <conditionalFormatting sqref="C5:C26 D5:E7 C28:C29 E28:E31 Y5:Y29 Z28:AA29 H29:K29 T29:T31 R30:R31 F5:F10 G5:G21 H5:K26 L5:M19 N5:N11 O5:O13 P5:P29 Q5 R5:R14 S5 T5:T27 U5:U8 V5 W5:W29 X5 Z5:Z13 AB5:AB14 AC5:AD28 AE5:AE30 AF5:AF18 AG5:AG15 AA6:AA24 Q7:Q19 S7:S31 V7:V10 X7:X25 E9:E18 D10:D31 U10:U31 F12:F21 V12:V18 N13:N23 O15:O24 Z15:Z21 R16 AB17:AB34 AG17:AG24 R18 E20 R20:R25 V20:V25 AF20:AF23 L21:L31 M21:M28 Q21:Q26 E22:E26 F23:F31 G23:G28 Z23:Z29 N25:N29 AF25:AF30 O26:O27 AA26:AA33 R27 V27:V31 X27:X28 AG27 K28:K29 Q28 J29:J31 O29 G30:G31 M30:M32 AC30:AD30 H31:I31 K31 N31 P31 Q31:Q33 W31:Y31 Z31:Z33 AG31 AC32:AC34 AD32:AE33 AB36:AC37">
    <cfRule type="expression" priority="29" aboveAverage="0" equalAverage="0" bottom="0" percent="0" rank="0" text="" dxfId="21">
      <formula>WEEKDAY(#REF!,2)&gt;5</formula>
    </cfRule>
  </conditionalFormatting>
  <conditionalFormatting sqref="T7:T10 F12 C13 T13:T14 U13 Y13 F16 H16 O16 C17 P17 H19 T20 E23 U24 AE24 E29:F29">
    <cfRule type="expression" priority="30" aboveAverage="0" equalAverage="0" bottom="0" percent="0" rank="0" text="" dxfId="21">
      <formula>WEEKDAY(V$3,2)&gt;5</formula>
    </cfRule>
  </conditionalFormatting>
  <conditionalFormatting sqref="T7:T10 T13:T14 U13 Y13 H16 O16 P17 H19 T20 G21 E23 G23 U24 AE24 G25 G27:G28 F28 E29 G30:G31">
    <cfRule type="expression" priority="31" aboveAverage="0" equalAverage="0" bottom="0" percent="0" rank="0" text="" dxfId="21">
      <formula>WEEKDAY(U$3,2)&gt;5</formula>
    </cfRule>
  </conditionalFormatting>
  <conditionalFormatting sqref="C5:C26 D5:D31 E5:E7 F5:F31 G5:G28 H5:K26 L5:M19 N5:N23 O5:O13 P5:P29 Q5:Q19 R5:R14 S5 T5:T31 U5:U8 V5:V10 W5:W31 X5:Z29 AB5:AB34 AC5:AC30 AD5:AD28 AE5:AE30 AF5:AF23 AG5:AG25 AA6:AA24 S7:S31 E9:E20 U10:U31 V12:V31 O15:O24 R16 R18 R20:R31 L21:L31 M21:M28 Q21:Q26 E22:E26 N25:N29 AF25:AF30 O26:O27 AA26:AA33 AG27 C28:C29 E28:E31 K28:K29 Q28:Q33 H29:I29 J29:J31 O29 G30:G31 M30:M32 AD30 H31:I31 K31 N31 P31 X31:Y31 Z31:Z33 AG31 AC32:AC34 AD32:AE33 AB36:AC37">
    <cfRule type="containsText" priority="32" operator="containsText" aboveAverage="0" equalAverage="0" bottom="0" percent="0" rank="0" text="VACC" dxfId="40">
      <formula>NOT(ISERROR(SEARCH("VACC",C5)))</formula>
    </cfRule>
  </conditionalFormatting>
  <conditionalFormatting sqref="J4:J46 AA4:AA46 C5:I46 K5:Z46 AB5:AG46">
    <cfRule type="cellIs" priority="33" operator="equal" aboveAverage="0" equalAverage="0" bottom="0" percent="0" rank="0" text="" dxfId="23">
      <formula>"B"</formula>
    </cfRule>
    <cfRule type="cellIs" priority="34" operator="equal" aboveAverage="0" equalAverage="0" bottom="0" percent="0" rank="0" text="" dxfId="23">
      <formula>"AL"</formula>
    </cfRule>
    <cfRule type="cellIs" priority="35" operator="equal" aboveAverage="0" equalAverage="0" bottom="0" percent="0" rank="0" text="" dxfId="24">
      <formula>"DM"</formula>
    </cfRule>
    <cfRule type="cellIs" priority="36" operator="equal" aboveAverage="0" equalAverage="0" bottom="0" percent="0" rank="0" text="" dxfId="25">
      <formula>"CS1"</formula>
    </cfRule>
    <cfRule type="cellIs" priority="37" operator="equal" aboveAverage="0" equalAverage="0" bottom="0" percent="0" rank="0" text="" dxfId="26">
      <formula>"CS2"</formula>
    </cfRule>
    <cfRule type="cellIs" priority="38" operator="equal" aboveAverage="0" equalAverage="0" bottom="0" percent="0" rank="0" text="" dxfId="27">
      <formula>"SB1"</formula>
    </cfRule>
    <cfRule type="cellIs" priority="39" operator="equal" aboveAverage="0" equalAverage="0" bottom="0" percent="0" rank="0" text="" dxfId="28">
      <formula>"SB2"</formula>
    </cfRule>
    <cfRule type="cellIs" priority="40" operator="equal" aboveAverage="0" equalAverage="0" bottom="0" percent="0" rank="0" text="" dxfId="29">
      <formula>"AE"</formula>
    </cfRule>
  </conditionalFormatting>
  <conditionalFormatting sqref="BO5:BP39">
    <cfRule type="cellIs" priority="41" operator="lessThan" aboveAverage="0" equalAverage="0" bottom="0" percent="0" rank="0" text="" dxfId="41">
      <formula>1</formula>
    </cfRule>
  </conditionalFormatting>
  <conditionalFormatting sqref="J4:J39 AA4:AA39 C5:I39 K5:Z39 AB5:AG39">
    <cfRule type="cellIs" priority="42" operator="equal" aboveAverage="0" equalAverage="0" bottom="0" percent="0" rank="0" text="" dxfId="23">
      <formula>"DB"</formula>
    </cfRule>
    <cfRule type="containsText" priority="43" operator="containsText" aboveAverage="0" equalAverage="0" bottom="0" percent="0" rank="0" text="$AM" dxfId="30">
      <formula>NOT(ISERROR(SEARCH("$AM",C4)))</formula>
    </cfRule>
    <cfRule type="containsText" priority="44" operator="containsText" aboveAverage="0" equalAverage="0" bottom="0" percent="0" rank="0" text="$PM" dxfId="31">
      <formula>NOT(ISERROR(SEARCH("$PM",C4)))</formula>
    </cfRule>
    <cfRule type="containsText" priority="45" operator="containsText" aboveAverage="0" equalAverage="0" bottom="0" percent="0" rank="0" text="$L" dxfId="32">
      <formula>NOT(ISERROR(SEARCH("$L",C4)))</formula>
    </cfRule>
    <cfRule type="containsText" priority="46" operator="containsText" aboveAverage="0" equalAverage="0" bottom="0" percent="0" rank="0" text="$BTP" dxfId="33">
      <formula>NOT(ISERROR(SEARCH("$BTP",C4)))</formula>
    </cfRule>
    <cfRule type="containsText" priority="47" operator="containsText" aboveAverage="0" equalAverage="0" bottom="0" percent="0" rank="0" text="$M" dxfId="34">
      <formula>NOT(ISERROR(SEARCH("$M",C4)))</formula>
    </cfRule>
    <cfRule type="containsText" priority="48" operator="containsText" aboveAverage="0" equalAverage="0" bottom="0" percent="0" rank="0" text="$N" dxfId="35">
      <formula>NOT(ISERROR(SEARCH("$N",C4)))</formula>
    </cfRule>
    <cfRule type="containsText" priority="49" operator="containsText" aboveAverage="0" equalAverage="0" bottom="0" percent="0" rank="0" text="$FC" dxfId="36">
      <formula>NOT(ISERROR(SEARCH("$FC",C4)))</formula>
    </cfRule>
    <cfRule type="containsText" priority="50" operator="containsText" aboveAverage="0" equalAverage="0" bottom="0" percent="0" rank="0" text="OAL" dxfId="37">
      <formula>NOT(ISERROR(SEARCH("OAL",C4)))</formula>
    </cfRule>
    <cfRule type="containsText" priority="51" operator="containsText" aboveAverage="0" equalAverage="0" bottom="0" percent="0" rank="0" text="S+" dxfId="38">
      <formula>NOT(ISERROR(SEARCH("S+",C4)))</formula>
    </cfRule>
    <cfRule type="containsText" priority="52" operator="containsText" aboveAverage="0" equalAverage="0" bottom="0" percent="0" rank="0" text="EX-D" dxfId="39">
      <formula>NOT(ISERROR(SEARCH("EX-D",C4)))</formula>
    </cfRule>
  </conditionalFormatting>
  <conditionalFormatting sqref="T2:X39 C3:S39 Y3:AG39">
    <cfRule type="expression" priority="53" aboveAverage="0" equalAverage="0" bottom="0" percent="0" rank="0" text="" dxfId="21">
      <formula>WEEKDAY(T$3,2)&gt;5</formula>
    </cfRule>
  </conditionalFormatting>
  <conditionalFormatting sqref="J4:J26 C5:C10 D5:D31 E5:E7 F5:F31 G5:G28 H5:I26 K5:K24 L5:M19 N5:N23 O5:O13 P5:P29 Q5:Q19 R5:R14 S5 T5:T37 U5:U8 V5:V10 W5:W31 X5:Y29 Z5:Z13 AB5:AB34 AC5:AC30 AD5:AD28 AE5:AE30 AF5:AF18 AG5:AG25 AA6:AA24 S7:S18 E9:E20 U10:U18 C12:C23 V12:V37 O15:O24 Z15:Z21 R16 R18 R20:S37 U20:U37 AF20:AF23 L21:L31 M21:M28 Q21:Q26 E22:E26 Z23:Z29 C25:C26 N25:N29 AF25:AF30 K26 O26:O27 AA26:AA33 AG27 C28:C29 E28:E29 K28:K29 Q28:Q33 H29:I29 O29 G30:G31 J30:J31 M30:M32 AD30 E31 H31:I31 K31 N31 P31 X31:Y31 Z31:Z33 AG31 AC32:AC34 AD32:AE33 AB36:AC37">
    <cfRule type="containsText" priority="54" operator="containsText" aboveAverage="0" equalAverage="0" bottom="0" percent="0" rank="0" text="VACC" dxfId="40">
      <formula>NOT(ISERROR(SEARCH("VACC",C4)))</formula>
    </cfRule>
  </conditionalFormatting>
  <dataValidations count="2">
    <dataValidation allowBlank="true" errorStyle="stop" operator="equal" showDropDown="true" showErrorMessage="false" showInputMessage="false" sqref="C5:AG5 D6:P6 R6:R9 T6:U6 W6:W7 Y6:AA6 AC6:AG6 C7:C16 E7:H7 J7:L7 N7:Q9 S7:V7 X7:AG7 F8:F10 J8:K8 T8:AA8 AC8:AG8 D9:D13 H9:L9 S9:T9 V9:AB9 AD9:AE9 AG9 E10:E17 G10:AG10 G11:H11 K11:S11 W11:AG11 F12:H13 J12:J15 M12:M19 O12:T12 V12:V16 X12:Y13 AA12:AG12 I13:I15 K13:L15 N13:U13 Z13:AG13 G14:H14 O14:P15 R14:R16 T14 W14:AE15 AG14:AG17 D15:D17 F15:H17 N15:N21 T15:U15 AF15:AF17 I16:L16 O16:Q19 S16:U16 W16:AA16 AC16:AE16 K17:L18 S17:T17 V17:AE17 C18:I18 R18:AG18 C19:D22 F19:F21 H19:L19 S19:S21 U19:U21 W19:AC20 AF19:AG19 E20 G20:L21 O20:P21 R20:R21 T20:T21 AD20:AG20 M21 Q21 V21:X21 Z21:AA21 AC21 AE21:AG21 E22:E24 G22:I22 K22:Y22 AA22:AB22 AE22 D23:D33 F23:L23 O23 Q23 S23:V26 X23:AG23 F24:I24 K24:L24 N24:P24 W24:AG24 C25:C27 F25:G25 I25:J26 L25:Q25 W25:Z25 AB25:AG26 E26:H26 K26:Q26 W26:Y26 F27:I27 K27:M28 O27:P27 R27:AG27 E28:I29 N28:N29 P28:S28 U28:AF28 C29:C30 J29:M29 O29:P29 S29:AF29 F30:H30 L30:M30 O30:O32 Q30:T30 V30:W30 Z30:AA30 AC30:AD30 AG30:AG31 E31:N31 P31:AA31 AD31:AF31 C32:C33 E32:I33 K32:M32 P32 R32:V37 Y32:Y34 AF32:AG33 K33 M33 O33:P34 AB33:AC33 C34:J34 L34:L35 N34 W34:X34 Z34:AG34 C35:K35 N35:P39 W35:AG37 C36:L39 S38:AG39" type="list">
      <formula1>'Setting key Duty'!$B$7:$B$56</formula1>
      <formula2>0</formula2>
    </dataValidation>
    <dataValidation allowBlank="true" errorStyle="stop" operator="equal" showDropDown="true" showErrorMessage="false" showInputMessage="false" sqref="C40:AG46" type="list">
      <formula1>'Setting key Duty'!$B$7:$B$23</formula1>
      <formula2>0</formula2>
    </dataValidation>
  </dataValidation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P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5" activeCellId="0" sqref="C5"/>
    </sheetView>
  </sheetViews>
  <sheetFormatPr defaultColWidth="12.6328125" defaultRowHeight="15.75" customHeight="true" zeroHeight="false" outlineLevelRow="0" outlineLevelCol="1"/>
  <cols>
    <col collapsed="false" customWidth="true" hidden="false" outlineLevel="0" max="1" min="1" style="0" width="2.13"/>
    <col collapsed="false" customWidth="true" hidden="false" outlineLevel="0" max="2" min="2" style="0" width="29.76"/>
    <col collapsed="false" customWidth="true" hidden="false" outlineLevel="0" max="11" min="3" style="0" width="9.24"/>
    <col collapsed="false" customWidth="true" hidden="false" outlineLevel="0" max="12" min="12" style="0" width="9.38"/>
    <col collapsed="false" customWidth="true" hidden="false" outlineLevel="0" max="13" min="13" style="0" width="10.63"/>
    <col collapsed="false" customWidth="true" hidden="false" outlineLevel="0" max="14" min="14" style="0" width="9.24"/>
    <col collapsed="false" customWidth="true" hidden="false" outlineLevel="0" max="15" min="15" style="0" width="10"/>
    <col collapsed="false" customWidth="true" hidden="false" outlineLevel="0" max="17" min="16" style="0" width="9.24"/>
    <col collapsed="false" customWidth="true" hidden="false" outlineLevel="0" max="18" min="18" style="0" width="9.63"/>
    <col collapsed="false" customWidth="true" hidden="false" outlineLevel="0" max="19" min="19" style="0" width="9.14"/>
    <col collapsed="false" customWidth="true" hidden="false" outlineLevel="0" max="26" min="20" style="0" width="9.24"/>
    <col collapsed="false" customWidth="true" hidden="false" outlineLevel="0" max="27" min="27" style="0" width="10.51"/>
    <col collapsed="false" customWidth="true" hidden="false" outlineLevel="0" max="30" min="28" style="0" width="9.24"/>
    <col collapsed="false" customWidth="true" hidden="false" outlineLevel="0" max="31" min="31" style="0" width="10.51"/>
    <col collapsed="false" customWidth="true" hidden="false" outlineLevel="0" max="32" min="32" style="0" width="9.38"/>
    <col collapsed="false" customWidth="true" hidden="false" outlineLevel="0" max="33" min="33" style="0" width="9.24"/>
    <col collapsed="false" customWidth="true" hidden="true" outlineLevel="1" max="40" min="34" style="0" width="9.38"/>
    <col collapsed="false" customWidth="true" hidden="false" outlineLevel="0" max="41" min="41" style="0" width="6.76"/>
    <col collapsed="false" customWidth="true" hidden="false" outlineLevel="1" max="42" min="42" style="0" width="8.87"/>
    <col collapsed="false" customWidth="true" hidden="false" outlineLevel="1" max="43" min="43" style="0" width="7.88"/>
    <col collapsed="false" customWidth="true" hidden="false" outlineLevel="1" max="44" min="44" style="0" width="9.14"/>
    <col collapsed="false" customWidth="true" hidden="false" outlineLevel="1" max="45" min="45" style="0" width="8.24"/>
    <col collapsed="false" customWidth="true" hidden="false" outlineLevel="1" max="46" min="46" style="0" width="5.51"/>
    <col collapsed="false" customWidth="true" hidden="false" outlineLevel="0" max="49" min="47" style="0" width="9.38"/>
    <col collapsed="false" customWidth="true" hidden="false" outlineLevel="1" max="57" min="50" style="0" width="9.38"/>
    <col collapsed="false" customWidth="true" hidden="false" outlineLevel="1" max="58" min="58" style="0" width="10"/>
    <col collapsed="false" customWidth="true" hidden="false" outlineLevel="1" max="64" min="59" style="0" width="9.38"/>
    <col collapsed="false" customWidth="true" hidden="false" outlineLevel="0" max="65" min="65" style="0" width="9.38"/>
    <col collapsed="false" customWidth="true" hidden="false" outlineLevel="0" max="66" min="66" style="0" width="9.51"/>
    <col collapsed="false" customWidth="true" hidden="false" outlineLevel="0" max="68" min="67" style="0" width="9.38"/>
  </cols>
  <sheetData>
    <row r="1" customFormat="false" ht="3" hidden="false" customHeight="true" outlineLevel="0" collapsed="false">
      <c r="A1" s="1"/>
      <c r="B1" s="2" t="s">
        <v>0</v>
      </c>
      <c r="C1" s="3" t="str">
        <f aca="false"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</row>
    <row r="2" customFormat="false" ht="26.25" hidden="false" customHeight="true" outlineLevel="0" collapsed="false">
      <c r="A2" s="7"/>
      <c r="B2" s="8" t="s">
        <v>1</v>
      </c>
      <c r="C2" s="9" t="s">
        <v>196</v>
      </c>
      <c r="D2" s="9" t="s">
        <v>197</v>
      </c>
      <c r="E2" s="9" t="s">
        <v>197</v>
      </c>
      <c r="F2" s="9"/>
      <c r="G2" s="9"/>
      <c r="H2" s="9" t="s">
        <v>197</v>
      </c>
      <c r="I2" s="9" t="s">
        <v>197</v>
      </c>
      <c r="J2" s="9"/>
      <c r="K2" s="9" t="s">
        <v>198</v>
      </c>
      <c r="L2" s="9" t="s">
        <v>199</v>
      </c>
      <c r="M2" s="9"/>
      <c r="N2" s="9"/>
      <c r="O2" s="9" t="s">
        <v>200</v>
      </c>
      <c r="P2" s="9"/>
      <c r="Q2" s="9" t="s">
        <v>201</v>
      </c>
      <c r="R2" s="9" t="s">
        <v>202</v>
      </c>
      <c r="S2" s="9" t="s">
        <v>203</v>
      </c>
      <c r="U2" s="9"/>
      <c r="V2" s="9" t="s">
        <v>204</v>
      </c>
      <c r="W2" s="9" t="s">
        <v>205</v>
      </c>
      <c r="X2" s="9"/>
      <c r="Y2" s="9" t="s">
        <v>206</v>
      </c>
      <c r="Z2" s="9" t="s">
        <v>207</v>
      </c>
      <c r="AA2" s="11"/>
      <c r="AB2" s="9"/>
      <c r="AC2" s="9"/>
      <c r="AD2" s="9" t="s">
        <v>208</v>
      </c>
      <c r="AE2" s="9" t="s">
        <v>209</v>
      </c>
      <c r="AF2" s="9" t="s">
        <v>209</v>
      </c>
      <c r="AG2" s="9"/>
      <c r="AH2" s="12"/>
      <c r="AI2" s="12"/>
      <c r="AJ2" s="12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4" t="s">
        <v>16</v>
      </c>
      <c r="BA2" s="14"/>
      <c r="BB2" s="14" t="s">
        <v>17</v>
      </c>
      <c r="BC2" s="14"/>
      <c r="BD2" s="14" t="s">
        <v>18</v>
      </c>
      <c r="BE2" s="14"/>
      <c r="BF2" s="14"/>
      <c r="BG2" s="14" t="s">
        <v>19</v>
      </c>
      <c r="BH2" s="14"/>
      <c r="BI2" s="14" t="s">
        <v>20</v>
      </c>
      <c r="BJ2" s="14"/>
      <c r="BK2" s="14"/>
      <c r="BL2" s="14"/>
      <c r="BM2" s="13"/>
      <c r="BN2" s="13"/>
      <c r="BO2" s="13"/>
      <c r="BP2" s="15"/>
    </row>
    <row r="3" customFormat="false" ht="26.25" hidden="false" customHeight="true" outlineLevel="0" collapsed="false">
      <c r="A3" s="7"/>
      <c r="B3" s="8" t="s">
        <v>21</v>
      </c>
      <c r="C3" s="16" t="n">
        <v>45658</v>
      </c>
      <c r="D3" s="17" t="n">
        <f aca="false">C3+1</f>
        <v>45659</v>
      </c>
      <c r="E3" s="17" t="n">
        <f aca="false">D3+1</f>
        <v>45660</v>
      </c>
      <c r="F3" s="17" t="n">
        <f aca="false">E3+1</f>
        <v>45661</v>
      </c>
      <c r="G3" s="17" t="n">
        <f aca="false">F3+1</f>
        <v>45662</v>
      </c>
      <c r="H3" s="17" t="n">
        <f aca="false">G3+1</f>
        <v>45663</v>
      </c>
      <c r="I3" s="17" t="n">
        <f aca="false">H3+1</f>
        <v>45664</v>
      </c>
      <c r="J3" s="17" t="n">
        <f aca="false">I3+1</f>
        <v>45665</v>
      </c>
      <c r="K3" s="17" t="n">
        <f aca="false">J3+1</f>
        <v>45666</v>
      </c>
      <c r="L3" s="17" t="n">
        <f aca="false">K3+1</f>
        <v>45667</v>
      </c>
      <c r="M3" s="17" t="n">
        <f aca="false">L3+1</f>
        <v>45668</v>
      </c>
      <c r="N3" s="17" t="n">
        <f aca="false">M3+1</f>
        <v>45669</v>
      </c>
      <c r="O3" s="17" t="n">
        <f aca="false">N3+1</f>
        <v>45670</v>
      </c>
      <c r="P3" s="17" t="n">
        <f aca="false">O3+1</f>
        <v>45671</v>
      </c>
      <c r="Q3" s="17" t="n">
        <f aca="false">P3+1</f>
        <v>45672</v>
      </c>
      <c r="R3" s="17" t="n">
        <f aca="false">Q3+1</f>
        <v>45673</v>
      </c>
      <c r="S3" s="17" t="n">
        <f aca="false">R3+1</f>
        <v>45674</v>
      </c>
      <c r="T3" s="17" t="n">
        <f aca="false">S3+1</f>
        <v>45675</v>
      </c>
      <c r="U3" s="17" t="n">
        <f aca="false">T3+1</f>
        <v>45676</v>
      </c>
      <c r="V3" s="17" t="n">
        <f aca="false">U3+1</f>
        <v>45677</v>
      </c>
      <c r="W3" s="17" t="n">
        <f aca="false">V3+1</f>
        <v>45678</v>
      </c>
      <c r="X3" s="17" t="n">
        <f aca="false">W3+1</f>
        <v>45679</v>
      </c>
      <c r="Y3" s="17" t="n">
        <f aca="false">X3+1</f>
        <v>45680</v>
      </c>
      <c r="Z3" s="17" t="n">
        <f aca="false">Y3+1</f>
        <v>45681</v>
      </c>
      <c r="AA3" s="17" t="n">
        <f aca="false">Z3+1</f>
        <v>45682</v>
      </c>
      <c r="AB3" s="17" t="n">
        <f aca="false">AA3+1</f>
        <v>45683</v>
      </c>
      <c r="AC3" s="17" t="n">
        <f aca="false">AB3+1</f>
        <v>45684</v>
      </c>
      <c r="AD3" s="17" t="n">
        <f aca="false">AC3+1</f>
        <v>45685</v>
      </c>
      <c r="AE3" s="17" t="n">
        <f aca="false">AD3+1</f>
        <v>45686</v>
      </c>
      <c r="AF3" s="17" t="n">
        <f aca="false">AE3+1</f>
        <v>45687</v>
      </c>
      <c r="AG3" s="17" t="n">
        <f aca="false">AF3+1</f>
        <v>45688</v>
      </c>
      <c r="AH3" s="18" t="str">
        <f aca="false">'Setting key Duty'!$C7</f>
        <v>DM</v>
      </c>
      <c r="AI3" s="19" t="str">
        <f aca="false">'Setting key Duty'!$C8</f>
        <v>CS1</v>
      </c>
      <c r="AJ3" s="20" t="str">
        <f aca="false">'Setting key Duty'!$C9</f>
        <v>CS2</v>
      </c>
      <c r="AK3" s="21" t="str">
        <f aca="false">'Setting key Duty'!$C11</f>
        <v>SB1</v>
      </c>
      <c r="AL3" s="21" t="str">
        <f aca="false">'Setting key Duty'!$C12</f>
        <v>SB2</v>
      </c>
      <c r="AM3" s="21" t="str">
        <f aca="false">'Setting key Duty'!$C13</f>
        <v>AE</v>
      </c>
      <c r="AN3" s="21" t="str">
        <f aca="false">'Setting key Duty'!C14</f>
        <v>EM</v>
      </c>
      <c r="AO3" s="20"/>
      <c r="AP3" s="20" t="s">
        <v>22</v>
      </c>
      <c r="AQ3" s="20" t="s">
        <v>23</v>
      </c>
      <c r="AR3" s="20" t="s">
        <v>24</v>
      </c>
      <c r="AS3" s="20" t="s">
        <v>25</v>
      </c>
      <c r="AT3" s="20" t="s">
        <v>26</v>
      </c>
      <c r="AU3" s="20" t="s">
        <v>27</v>
      </c>
      <c r="AV3" s="20" t="s">
        <v>28</v>
      </c>
      <c r="AW3" s="20" t="s">
        <v>29</v>
      </c>
      <c r="AX3" s="20" t="s">
        <v>30</v>
      </c>
      <c r="AY3" s="20" t="s">
        <v>31</v>
      </c>
      <c r="AZ3" s="21" t="s">
        <v>32</v>
      </c>
      <c r="BA3" s="20" t="s">
        <v>33</v>
      </c>
      <c r="BB3" s="21" t="s">
        <v>34</v>
      </c>
      <c r="BC3" s="20" t="s">
        <v>35</v>
      </c>
      <c r="BD3" s="21" t="s">
        <v>36</v>
      </c>
      <c r="BE3" s="20" t="s">
        <v>37</v>
      </c>
      <c r="BF3" s="20" t="s">
        <v>38</v>
      </c>
      <c r="BG3" s="20" t="s">
        <v>39</v>
      </c>
      <c r="BH3" s="20" t="s">
        <v>40</v>
      </c>
      <c r="BI3" s="20" t="s">
        <v>41</v>
      </c>
      <c r="BJ3" s="20" t="s">
        <v>42</v>
      </c>
      <c r="BK3" s="21" t="str">
        <f aca="false">'Setting key Duty'!C52</f>
        <v>Field Camp</v>
      </c>
      <c r="BL3" s="20" t="s">
        <v>43</v>
      </c>
      <c r="BM3" s="21" t="str">
        <f aca="false">'Setting key Duty'!$C15</f>
        <v>Block</v>
      </c>
      <c r="BN3" s="21" t="str">
        <f aca="false">'Setting key Duty'!C17</f>
        <v>Reserve</v>
      </c>
      <c r="BO3" s="21" t="str">
        <f aca="false">'Setting key Duty'!$C22</f>
        <v>AL</v>
      </c>
      <c r="BP3" s="15"/>
    </row>
    <row r="4" customFormat="false" ht="18" hidden="false" customHeight="true" outlineLevel="0" collapsed="false">
      <c r="A4" s="22"/>
      <c r="B4" s="23" t="s">
        <v>156</v>
      </c>
      <c r="C4" s="24" t="str">
        <f aca="false">TEXT(C3,"ddd")</f>
        <v>Wed</v>
      </c>
      <c r="D4" s="24" t="str">
        <f aca="false">TEXT(D3,"ddd")</f>
        <v>Thu</v>
      </c>
      <c r="E4" s="24" t="str">
        <f aca="false">TEXT(E3,"ddd")</f>
        <v>Fri</v>
      </c>
      <c r="F4" s="24" t="str">
        <f aca="false">TEXT(F3,"ddd")</f>
        <v>Sat</v>
      </c>
      <c r="G4" s="24" t="str">
        <f aca="false">TEXT(G3,"ddd")</f>
        <v>Sun</v>
      </c>
      <c r="H4" s="24" t="str">
        <f aca="false">TEXT(H3,"ddd")</f>
        <v>Mon</v>
      </c>
      <c r="I4" s="24" t="str">
        <f aca="false">TEXT(I3,"ddd")</f>
        <v>Tue</v>
      </c>
      <c r="J4" s="24" t="str">
        <f aca="false">TEXT(J3,"ddd")</f>
        <v>Wed</v>
      </c>
      <c r="K4" s="24" t="str">
        <f aca="false">TEXT(K3,"ddd")</f>
        <v>Thu</v>
      </c>
      <c r="L4" s="24" t="str">
        <f aca="false">TEXT(L3,"ddd")</f>
        <v>Fri</v>
      </c>
      <c r="M4" s="24" t="str">
        <f aca="false">TEXT(M3,"ddd")</f>
        <v>Sat</v>
      </c>
      <c r="N4" s="24" t="str">
        <f aca="false">TEXT(N3,"ddd")</f>
        <v>Sun</v>
      </c>
      <c r="O4" s="24" t="str">
        <f aca="false">TEXT(O3,"ddd")</f>
        <v>Mon</v>
      </c>
      <c r="P4" s="24" t="str">
        <f aca="false">TEXT(P3,"ddd")</f>
        <v>Tue</v>
      </c>
      <c r="Q4" s="24" t="str">
        <f aca="false">TEXT(Q3,"ddd")</f>
        <v>Wed</v>
      </c>
      <c r="R4" s="24" t="str">
        <f aca="false">TEXT(R3,"ddd")</f>
        <v>Thu</v>
      </c>
      <c r="S4" s="24" t="str">
        <f aca="false">TEXT(S3,"ddd")</f>
        <v>Fri</v>
      </c>
      <c r="T4" s="24" t="str">
        <f aca="false">TEXT(T3,"ddd")</f>
        <v>Sat</v>
      </c>
      <c r="U4" s="24" t="str">
        <f aca="false">TEXT(U3,"ddd")</f>
        <v>Sun</v>
      </c>
      <c r="V4" s="24" t="str">
        <f aca="false">TEXT(V3,"ddd")</f>
        <v>Mon</v>
      </c>
      <c r="W4" s="24" t="str">
        <f aca="false">TEXT(W3,"ddd")</f>
        <v>Tue</v>
      </c>
      <c r="X4" s="24" t="str">
        <f aca="false">TEXT(X3,"ddd")</f>
        <v>Wed</v>
      </c>
      <c r="Y4" s="24" t="str">
        <f aca="false">TEXT(Y3,"ddd")</f>
        <v>Thu</v>
      </c>
      <c r="Z4" s="24" t="str">
        <f aca="false">TEXT(Z3,"ddd")</f>
        <v>Fri</v>
      </c>
      <c r="AA4" s="24" t="str">
        <f aca="false">TEXT(AA3,"ddd")</f>
        <v>Sat</v>
      </c>
      <c r="AB4" s="24" t="str">
        <f aca="false">TEXT(AB3,"ddd")</f>
        <v>Sun</v>
      </c>
      <c r="AC4" s="24" t="str">
        <f aca="false">TEXT(AC3,"ddd")</f>
        <v>Mon</v>
      </c>
      <c r="AD4" s="24" t="str">
        <f aca="false">TEXT(AD3,"ddd")</f>
        <v>Tue</v>
      </c>
      <c r="AE4" s="24" t="str">
        <f aca="false">TEXT(AE3,"ddd")</f>
        <v>Wed</v>
      </c>
      <c r="AF4" s="24" t="str">
        <f aca="false">TEXT(AF3,"ddd")</f>
        <v>Thu</v>
      </c>
      <c r="AG4" s="24" t="str">
        <f aca="false">TEXT(AG3,"ddd")</f>
        <v>Fri</v>
      </c>
      <c r="AH4" s="25" t="str">
        <f aca="false">'Setting key Duty'!$B7</f>
        <v>DM</v>
      </c>
      <c r="AI4" s="26" t="str">
        <f aca="false">'Setting key Duty'!$B8</f>
        <v>CS1</v>
      </c>
      <c r="AJ4" s="27" t="str">
        <f aca="false">'Setting key Duty'!$B9</f>
        <v>CS2</v>
      </c>
      <c r="AK4" s="28" t="str">
        <f aca="false">'Setting key Duty'!$B11</f>
        <v>SB1</v>
      </c>
      <c r="AL4" s="28" t="str">
        <f aca="false">'Setting key Duty'!$B12</f>
        <v>SB2</v>
      </c>
      <c r="AM4" s="28" t="str">
        <f aca="false">'Setting key Duty'!$B13</f>
        <v>AE</v>
      </c>
      <c r="AN4" s="28" t="str">
        <f aca="false">'Setting key Duty'!B14</f>
        <v>EM</v>
      </c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 t="s">
        <v>45</v>
      </c>
      <c r="AZ4" s="28" t="s">
        <v>46</v>
      </c>
      <c r="BA4" s="28"/>
      <c r="BB4" s="28" t="s">
        <v>47</v>
      </c>
      <c r="BC4" s="28"/>
      <c r="BD4" s="28" t="s">
        <v>48</v>
      </c>
      <c r="BE4" s="28"/>
      <c r="BF4" s="28" t="s">
        <v>49</v>
      </c>
      <c r="BG4" s="28" t="s">
        <v>50</v>
      </c>
      <c r="BH4" s="28"/>
      <c r="BI4" s="28" t="s">
        <v>51</v>
      </c>
      <c r="BJ4" s="28"/>
      <c r="BK4" s="28" t="str">
        <f aca="false">'Setting key Duty'!B52</f>
        <v>$FC</v>
      </c>
      <c r="BL4" s="28"/>
      <c r="BM4" s="28" t="n">
        <f aca="false">'Setting key Duty'!$B15</f>
        <v>0</v>
      </c>
      <c r="BN4" s="28" t="str">
        <f aca="false">'Setting key Duty'!B17</f>
        <v>RESERVE</v>
      </c>
      <c r="BO4" s="28" t="str">
        <f aca="false">'Setting key Duty'!$B22</f>
        <v>AL</v>
      </c>
      <c r="BP4" s="29"/>
    </row>
    <row r="5" customFormat="false" ht="19.5" hidden="false" customHeight="true" outlineLevel="0" collapsed="false">
      <c r="A5" s="30" t="s">
        <v>52</v>
      </c>
      <c r="B5" s="31" t="s">
        <v>53</v>
      </c>
      <c r="C5" s="32"/>
      <c r="D5" s="32"/>
      <c r="E5" s="32" t="s">
        <v>158</v>
      </c>
      <c r="F5" s="32" t="s">
        <v>71</v>
      </c>
      <c r="G5" s="32" t="s">
        <v>71</v>
      </c>
      <c r="H5" s="32" t="s">
        <v>71</v>
      </c>
      <c r="I5" s="32" t="s">
        <v>162</v>
      </c>
      <c r="J5" s="32" t="s">
        <v>162</v>
      </c>
      <c r="K5" s="32" t="s">
        <v>59</v>
      </c>
      <c r="L5" s="32" t="s">
        <v>158</v>
      </c>
      <c r="N5" s="32"/>
      <c r="O5" s="32" t="s">
        <v>162</v>
      </c>
      <c r="P5" s="32" t="s">
        <v>162</v>
      </c>
      <c r="Q5" s="32" t="s">
        <v>57</v>
      </c>
      <c r="R5" s="33"/>
      <c r="S5" s="32" t="s">
        <v>162</v>
      </c>
      <c r="T5" s="32" t="s">
        <v>57</v>
      </c>
      <c r="U5" s="32"/>
      <c r="V5" s="32"/>
      <c r="W5" s="32"/>
      <c r="X5" s="32"/>
      <c r="Y5" s="32"/>
      <c r="AA5" s="32"/>
      <c r="AB5" s="32"/>
      <c r="AC5" s="32"/>
      <c r="AD5" s="32"/>
      <c r="AE5" s="32"/>
      <c r="AF5" s="32"/>
      <c r="AG5" s="32"/>
      <c r="AH5" s="35" t="n">
        <f aca="false">COUNTIF($C5:$AE5,AH$4)</f>
        <v>2</v>
      </c>
      <c r="AI5" s="36" t="n">
        <f aca="false">COUNTIF($C5:$AE5,AI$4)</f>
        <v>0</v>
      </c>
      <c r="AJ5" s="35" t="n">
        <f aca="false">COUNTIF($C5:$AE5,AJ$4)</f>
        <v>1</v>
      </c>
      <c r="AK5" s="37" t="n">
        <f aca="false">COUNTIF($C5:$AE5,AK$4)</f>
        <v>0</v>
      </c>
      <c r="AL5" s="37" t="n">
        <f aca="false">COUNTIF($C5:$AE5,AL$4)</f>
        <v>0</v>
      </c>
      <c r="AM5" s="37" t="n">
        <f aca="false">COUNTIF($C5:$AE5,AM$4)</f>
        <v>0</v>
      </c>
      <c r="AN5" s="37" t="n">
        <f aca="false">COUNTIF($C5:$AE5,AN$4)</f>
        <v>0</v>
      </c>
      <c r="AO5" s="38"/>
      <c r="AP5" s="37" t="n">
        <f aca="false">SUMPRODUCT(--WEEKDAY(C$3:AG$3,2)&lt;6,--((C5:AG5="DM"))+(C5:AG5="CS1")+((C5:AG5="CS2"))+(C5:AG5="SB1")+(C5:AG5="AE")+(C5:AG5="EM"))</f>
        <v>2</v>
      </c>
      <c r="AQ5" s="38"/>
      <c r="AR5" s="38" t="n">
        <f aca="false">SUMPRODUCT(--WEEKDAY(C$3:AG$3,2)&gt;5,--((C5:AG5="DM"))+(C5:AG5="CS1")+((C5:AG5="CS2"))+(C5:AG5="SB1")+(C5:AG5="AE")+(C5:AG5="EM"))</f>
        <v>1</v>
      </c>
      <c r="AS5" s="38"/>
      <c r="AT5" s="38" t="n">
        <f aca="false">(AP5-AQ5)/2+(AR5-AS5)</f>
        <v>0</v>
      </c>
      <c r="AU5" s="38" t="n">
        <f aca="false">AH5+AI5+AJ5+AK5+AM5+AN5</f>
        <v>3</v>
      </c>
      <c r="AV5" s="38" t="n">
        <f aca="false">BF5+BG5+BI5+BD5+BB5+AZ5+BK5</f>
        <v>0</v>
      </c>
      <c r="AW5" s="38" t="e">
        <f aca="false">AT5+AX5</f>
        <v>#VALUE!</v>
      </c>
      <c r="AX5" s="37" t="e">
        <f aca="false"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37" t="n">
        <f aca="false">COUNTIF(C5:AE5,"*BRT*")</f>
        <v>0</v>
      </c>
      <c r="AZ5" s="37" t="n">
        <f aca="false">COUNTIF(A5:AH5,"*$BTP*")</f>
        <v>0</v>
      </c>
      <c r="BA5" s="37" t="e">
        <f aca="false">AZ5*('Setting key Duty'!$I$13+'Setting key Duty'!$I$12+'Setting key Duty'!$I$11)</f>
        <v>#VALUE!</v>
      </c>
      <c r="BB5" s="37" t="n">
        <f aca="false">COUNTIF(A5:AH5,"*$L*")</f>
        <v>0</v>
      </c>
      <c r="BC5" s="37" t="e">
        <f aca="false">BB5*('Setting key Duty'!$I$13+'Setting key Duty'!$I$9)</f>
        <v>#VALUE!</v>
      </c>
      <c r="BD5" s="37" t="n">
        <f aca="false">COUNTIF(A5:AH5,"*$M*")</f>
        <v>0</v>
      </c>
      <c r="BE5" s="37" t="n">
        <f aca="false">BD5*('Setting key Duty'!$I$8+'Setting key Duty'!$I$9+'Setting key Duty'!$I$12)</f>
        <v>0</v>
      </c>
      <c r="BF5" s="37" t="n">
        <f aca="false">COUNTIF(AF5:AH5,"*$N*")</f>
        <v>0</v>
      </c>
      <c r="BG5" s="37" t="n">
        <f aca="false">COUNTIF(AF5:AH5,"*$PM*")</f>
        <v>0</v>
      </c>
      <c r="BH5" s="37" t="n">
        <f aca="false">BG5*('Setting key Duty'!$I$9)</f>
        <v>0</v>
      </c>
      <c r="BI5" s="37" t="n">
        <f aca="false">COUNTIF(A5:AH5,"*$AM*")</f>
        <v>0</v>
      </c>
      <c r="BJ5" s="37" t="n">
        <f aca="false">BI5*('Setting key Duty'!$I$12+'Setting key Duty'!$I$8)</f>
        <v>0</v>
      </c>
      <c r="BK5" s="37" t="n">
        <f aca="false">COUNTIF(C5:AH5,"*$FC*")</f>
        <v>0</v>
      </c>
      <c r="BL5" s="37" t="n">
        <f aca="false">BK5*('Setting key Duty'!$J$11+'Setting key Duty'!$I$8)</f>
        <v>0</v>
      </c>
      <c r="BM5" s="37" t="n">
        <f aca="false">COUNTIF($C5:$AE5,BM$4)</f>
        <v>0</v>
      </c>
      <c r="BN5" s="37" t="n">
        <f aca="false">COUNTIF($C5:$AE5,BN$4)</f>
        <v>0</v>
      </c>
      <c r="BO5" s="37" t="n">
        <f aca="false">COUNTIF($C5:$AE5,BO$4)</f>
        <v>0</v>
      </c>
      <c r="BP5" s="39"/>
    </row>
    <row r="6" customFormat="false" ht="36" hidden="false" customHeight="true" outlineLevel="0" collapsed="false">
      <c r="A6" s="30"/>
      <c r="B6" s="40" t="s">
        <v>60</v>
      </c>
      <c r="C6" s="32"/>
      <c r="D6" s="32" t="s">
        <v>56</v>
      </c>
      <c r="E6" s="32"/>
      <c r="F6" s="32"/>
      <c r="G6" s="32"/>
      <c r="H6" s="32" t="s">
        <v>59</v>
      </c>
      <c r="I6" s="33"/>
      <c r="K6" s="32" t="s">
        <v>56</v>
      </c>
      <c r="L6" s="32"/>
      <c r="M6" s="32" t="s">
        <v>158</v>
      </c>
      <c r="N6" s="32" t="s">
        <v>158</v>
      </c>
      <c r="P6" s="32" t="s">
        <v>56</v>
      </c>
      <c r="Q6" s="33"/>
      <c r="R6" s="32" t="s">
        <v>59</v>
      </c>
      <c r="S6" s="32"/>
      <c r="T6" s="32" t="s">
        <v>210</v>
      </c>
      <c r="U6" s="32" t="s">
        <v>56</v>
      </c>
      <c r="V6" s="33"/>
      <c r="W6" s="32" t="s">
        <v>56</v>
      </c>
      <c r="Y6" s="33"/>
      <c r="Z6" s="33"/>
      <c r="AA6" s="32" t="s">
        <v>56</v>
      </c>
      <c r="AB6" s="47"/>
      <c r="AD6" s="32"/>
      <c r="AE6" s="32" t="s">
        <v>59</v>
      </c>
      <c r="AG6" s="32"/>
      <c r="AH6" s="35" t="n">
        <f aca="false">COUNTIF($D6:$AE6,AH$4)</f>
        <v>0</v>
      </c>
      <c r="AI6" s="36" t="n">
        <f aca="false">COUNTIF($D6:$AE6,AI$4)</f>
        <v>6</v>
      </c>
      <c r="AJ6" s="35" t="n">
        <f aca="false">COUNTIF($D6:$AE6,AJ$4)</f>
        <v>3</v>
      </c>
      <c r="AK6" s="37" t="n">
        <f aca="false">COUNTIF($D6:$AE6,AK$4)</f>
        <v>0</v>
      </c>
      <c r="AL6" s="37" t="n">
        <f aca="false">COUNTIF($D6:$AE6,AL$4)</f>
        <v>0</v>
      </c>
      <c r="AM6" s="37" t="n">
        <f aca="false">COUNTIF($D6:$AE6,AM$4)</f>
        <v>0</v>
      </c>
      <c r="AN6" s="37" t="n">
        <f aca="false">COUNTIF($D6:$AE6,AN$4)</f>
        <v>0</v>
      </c>
      <c r="AO6" s="38"/>
      <c r="AP6" s="37" t="n">
        <f aca="false">SUMPRODUCT(--WEEKDAY(C$3:AG$3,2)&lt;6,--((C6:AG6="DM"))+(C6:AG6="CS1")+((C6:AG6="CS2"))+(C6:AG6="SB1")+(C6:AG6="AE")+(C6:AG6="EM"))</f>
        <v>7</v>
      </c>
      <c r="AQ6" s="38"/>
      <c r="AR6" s="38" t="n">
        <f aca="false">SUMPRODUCT(--WEEKDAY(C$3:AG$3,2)&gt;5,--((C6:AG6="DM"))+(C6:AG6="CS1")+((C6:AG6="CS2"))+(C6:AG6="SB1")+(C6:AG6="AE")+(C6:AG6="EM"))</f>
        <v>2</v>
      </c>
      <c r="AS6" s="38"/>
      <c r="AT6" s="38" t="n">
        <f aca="false">(AP6-AQ6)/2+(AR6-AS6)</f>
        <v>0</v>
      </c>
      <c r="AU6" s="38" t="n">
        <f aca="false">AH6+AI6+AJ6+AK6+AM6+AN6</f>
        <v>9</v>
      </c>
      <c r="AV6" s="38" t="e">
        <f aca="false">AT6+AX6</f>
        <v>#VALUE!</v>
      </c>
      <c r="AW6" s="38" t="e">
        <f aca="false">AT6+AX6</f>
        <v>#VALUE!</v>
      </c>
      <c r="AX6" s="37" t="e">
        <f aca="false"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37" t="n">
        <f aca="false">COUNTIF(D6:AE6,"*BRT*")</f>
        <v>0</v>
      </c>
      <c r="AZ6" s="37" t="n">
        <f aca="false">COUNTIF(A6:AH6,"*$BTP*")</f>
        <v>0</v>
      </c>
      <c r="BA6" s="37" t="e">
        <f aca="false">AZ6*('Setting key Duty'!$I$13+'Setting key Duty'!$I$12+'Setting key Duty'!$I$11)</f>
        <v>#VALUE!</v>
      </c>
      <c r="BB6" s="37" t="n">
        <f aca="false">COUNTIF(A6:AH6,"*$L*")</f>
        <v>0</v>
      </c>
      <c r="BC6" s="37" t="e">
        <f aca="false">BB6*('Setting key Duty'!$I$13+'Setting key Duty'!$I$9)</f>
        <v>#VALUE!</v>
      </c>
      <c r="BD6" s="37" t="n">
        <f aca="false">COUNTIF(A6:AH6,"*$M*")</f>
        <v>0</v>
      </c>
      <c r="BE6" s="37" t="n">
        <f aca="false">BD6*('Setting key Duty'!$I$8+'Setting key Duty'!$I$9+'Setting key Duty'!$I$12)</f>
        <v>0</v>
      </c>
      <c r="BF6" s="37" t="n">
        <f aca="false">COUNTIF(AF6:AH6,"*$N*")</f>
        <v>0</v>
      </c>
      <c r="BG6" s="37" t="n">
        <f aca="false">COUNTIF(AF6:AH6,"*$PM*")</f>
        <v>0</v>
      </c>
      <c r="BH6" s="37" t="n">
        <f aca="false">BG6*('Setting key Duty'!$I$9)</f>
        <v>0</v>
      </c>
      <c r="BI6" s="37" t="n">
        <f aca="false">COUNTIF(A6:AH6,"*$AM*")</f>
        <v>0</v>
      </c>
      <c r="BJ6" s="37" t="n">
        <f aca="false">BI6*('Setting key Duty'!$I$12+'Setting key Duty'!$I$8)</f>
        <v>0</v>
      </c>
      <c r="BK6" s="37" t="n">
        <f aca="false">COUNTIF(D6:AH6,"*$FC*")</f>
        <v>0</v>
      </c>
      <c r="BL6" s="37" t="n">
        <f aca="false">BK6*('Setting key Duty'!$J$11+'Setting key Duty'!$I$8)</f>
        <v>0</v>
      </c>
      <c r="BM6" s="37" t="n">
        <f aca="false">COUNTIF($D6:$AE6,BM$4)</f>
        <v>0</v>
      </c>
      <c r="BN6" s="37" t="n">
        <f aca="false">COUNTIF($D6:$AE6,BN$4)</f>
        <v>0</v>
      </c>
      <c r="BO6" s="37" t="n">
        <f aca="false">COUNTIF($D6:$AE6,BO$4)</f>
        <v>0</v>
      </c>
      <c r="BP6" s="39"/>
    </row>
    <row r="7" customFormat="false" ht="19.5" hidden="false" customHeight="true" outlineLevel="0" collapsed="false">
      <c r="A7" s="30"/>
      <c r="B7" s="41" t="s">
        <v>211</v>
      </c>
      <c r="C7" s="32" t="s">
        <v>54</v>
      </c>
      <c r="D7" s="32"/>
      <c r="E7" s="45" t="s">
        <v>56</v>
      </c>
      <c r="F7" s="32"/>
      <c r="G7" s="32" t="s">
        <v>57</v>
      </c>
      <c r="H7" s="42"/>
      <c r="I7" s="33"/>
      <c r="J7" s="33"/>
      <c r="K7" s="32"/>
      <c r="M7" s="32"/>
      <c r="N7" s="32"/>
      <c r="O7" s="32" t="s">
        <v>57</v>
      </c>
      <c r="P7" s="33"/>
      <c r="Q7" s="32"/>
      <c r="R7" s="32" t="s">
        <v>58</v>
      </c>
      <c r="S7" s="32"/>
      <c r="T7" s="32"/>
      <c r="U7" s="33"/>
      <c r="V7" s="32" t="s">
        <v>58</v>
      </c>
      <c r="W7" s="32"/>
      <c r="Y7" s="32" t="s">
        <v>59</v>
      </c>
      <c r="Z7" s="47" t="s">
        <v>212</v>
      </c>
      <c r="AA7" s="47"/>
      <c r="AB7" s="32" t="s">
        <v>58</v>
      </c>
      <c r="AC7" s="32"/>
      <c r="AD7" s="45" t="s">
        <v>59</v>
      </c>
      <c r="AE7" s="32"/>
      <c r="AF7" s="34" t="s">
        <v>57</v>
      </c>
      <c r="AG7" s="32"/>
      <c r="AH7" s="35" t="n">
        <f aca="false">COUNTIF($C7:$D7,AH$4)</f>
        <v>0</v>
      </c>
      <c r="AI7" s="36" t="n">
        <f aca="false">COUNTIF($C7:$D7,AI$4)</f>
        <v>0</v>
      </c>
      <c r="AJ7" s="35" t="n">
        <f aca="false">COUNTIF($C7:$D7,AJ$4)</f>
        <v>0</v>
      </c>
      <c r="AK7" s="37" t="n">
        <f aca="false">COUNTIF($C7:$D7,AK$4)</f>
        <v>0</v>
      </c>
      <c r="AL7" s="37" t="n">
        <f aca="false">COUNTIF($C7:$D7,AL$4)</f>
        <v>0</v>
      </c>
      <c r="AM7" s="37" t="n">
        <f aca="false">COUNTIF($C7:$D7,AM$4)</f>
        <v>0</v>
      </c>
      <c r="AN7" s="37" t="n">
        <f aca="false">COUNTIF($C7:$D7,AN$4)</f>
        <v>0</v>
      </c>
      <c r="AO7" s="38"/>
      <c r="AP7" s="37" t="n">
        <f aca="false">SUMPRODUCT(--WEEKDAY(C$3:AG$3,2)&lt;6,--((C7:AG7="DM"))+(C7:AG7="CS1")+((C7:AG7="CS2"))+(C7:AG7="SB1")+(C7:AG7="AE")+(C7:AG7="EM"))</f>
        <v>7</v>
      </c>
      <c r="AQ7" s="38"/>
      <c r="AR7" s="38" t="n">
        <f aca="false">SUMPRODUCT(--WEEKDAY(C$3:AG$3,2)&gt;5,--((C7:AG7="DM"))+(C7:AG7="CS1")+((C7:AG7="CS2"))+(C7:AG7="SB1")+(C7:AG7="AE")+(C7:AG7="EM"))</f>
        <v>2</v>
      </c>
      <c r="AS7" s="38"/>
      <c r="AT7" s="38" t="n">
        <f aca="false">(AP7-AQ7)/2+(AR7-AS7)</f>
        <v>0</v>
      </c>
      <c r="AU7" s="38" t="n">
        <f aca="false">AH7+AI7+AJ7+AK7+AM7+AN7</f>
        <v>0</v>
      </c>
      <c r="AV7" s="38" t="n">
        <f aca="false">BF7+BG7+BI7+BD7+BB7+AZ7+BK7</f>
        <v>0</v>
      </c>
      <c r="AW7" s="38" t="e">
        <f aca="false">AT7+AX7</f>
        <v>#VALUE!</v>
      </c>
      <c r="AX7" s="37" t="e">
        <f aca="false"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37" t="n">
        <f aca="false">COUNTIF(C7:D7,"*BRT*")</f>
        <v>0</v>
      </c>
      <c r="AZ7" s="37" t="n">
        <f aca="false">COUNTIF(A7:AH7,"*$BTP*")</f>
        <v>0</v>
      </c>
      <c r="BA7" s="37" t="e">
        <f aca="false">AZ7*('Setting key Duty'!$I$13+'Setting key Duty'!$I$12+'Setting key Duty'!$I$11)</f>
        <v>#VALUE!</v>
      </c>
      <c r="BB7" s="37" t="n">
        <f aca="false">COUNTIF(A7:AH7,"*$L*")</f>
        <v>0</v>
      </c>
      <c r="BC7" s="37" t="e">
        <f aca="false">BB7*('Setting key Duty'!$I$13+'Setting key Duty'!$I$9)</f>
        <v>#VALUE!</v>
      </c>
      <c r="BD7" s="37" t="n">
        <f aca="false">COUNTIF(A7:AH7,"*$M*")</f>
        <v>0</v>
      </c>
      <c r="BE7" s="37" t="n">
        <f aca="false">BD7*('Setting key Duty'!$I$8+'Setting key Duty'!$I$9+'Setting key Duty'!$I$12)</f>
        <v>0</v>
      </c>
      <c r="BF7" s="37" t="n">
        <f aca="false">COUNTIF(A7:AH7,"*$N*")</f>
        <v>0</v>
      </c>
      <c r="BG7" s="37" t="n">
        <f aca="false">COUNTIF(AG7:AH7,"*$PM*")</f>
        <v>0</v>
      </c>
      <c r="BH7" s="37" t="n">
        <f aca="false">BG7*('Setting key Duty'!$I$9)</f>
        <v>0</v>
      </c>
      <c r="BI7" s="37" t="n">
        <f aca="false">COUNTIF(A7:AH7,"*$AM*")</f>
        <v>0</v>
      </c>
      <c r="BJ7" s="37" t="n">
        <f aca="false">BI7*('Setting key Duty'!$I$12+'Setting key Duty'!$I$8)</f>
        <v>0</v>
      </c>
      <c r="BK7" s="37" t="n">
        <f aca="false">COUNTIF(C7:AH7,"*$FC*")</f>
        <v>0</v>
      </c>
      <c r="BL7" s="37" t="n">
        <f aca="false">BK7*('Setting key Duty'!$J$11+'Setting key Duty'!$I$8)</f>
        <v>0</v>
      </c>
      <c r="BM7" s="37" t="n">
        <f aca="false">COUNTIF($C7:$D7,BM$4)</f>
        <v>0</v>
      </c>
      <c r="BN7" s="37" t="n">
        <f aca="false">COUNTIF($C7:$D7,BN$4)</f>
        <v>0</v>
      </c>
      <c r="BO7" s="37" t="n">
        <f aca="false">COUNTIF($C7:$D7,BO$4)</f>
        <v>0</v>
      </c>
      <c r="BP7" s="39"/>
    </row>
    <row r="8" customFormat="false" ht="19.5" hidden="false" customHeight="true" outlineLevel="0" collapsed="false">
      <c r="A8" s="30"/>
      <c r="B8" s="41" t="s">
        <v>63</v>
      </c>
      <c r="C8" s="32"/>
      <c r="D8" s="33"/>
      <c r="E8" s="33"/>
      <c r="F8" s="45"/>
      <c r="G8" s="32" t="s">
        <v>58</v>
      </c>
      <c r="H8" s="33"/>
      <c r="I8" s="32" t="s">
        <v>56</v>
      </c>
      <c r="J8" s="32"/>
      <c r="K8" s="32"/>
      <c r="L8" s="33"/>
      <c r="M8" s="32"/>
      <c r="N8" s="32"/>
      <c r="O8" s="32"/>
      <c r="P8" s="32" t="s">
        <v>57</v>
      </c>
      <c r="Q8" s="32"/>
      <c r="R8" s="32"/>
      <c r="S8" s="32" t="s">
        <v>213</v>
      </c>
      <c r="T8" s="32"/>
      <c r="U8" s="32" t="s">
        <v>57</v>
      </c>
      <c r="W8" s="32" t="s">
        <v>58</v>
      </c>
      <c r="Y8" s="32" t="s">
        <v>214</v>
      </c>
      <c r="Z8" s="34" t="s">
        <v>56</v>
      </c>
      <c r="AA8" s="32" t="s">
        <v>120</v>
      </c>
      <c r="AB8" s="32" t="s">
        <v>120</v>
      </c>
      <c r="AC8" s="32" t="s">
        <v>57</v>
      </c>
      <c r="AD8" s="32"/>
      <c r="AE8" s="32"/>
      <c r="AF8" s="32"/>
      <c r="AG8" s="32" t="s">
        <v>57</v>
      </c>
      <c r="AH8" s="35"/>
      <c r="AI8" s="36"/>
      <c r="AJ8" s="35"/>
      <c r="AK8" s="37"/>
      <c r="AL8" s="37"/>
      <c r="AM8" s="37"/>
      <c r="AN8" s="37"/>
      <c r="AO8" s="38"/>
      <c r="AP8" s="37" t="n">
        <f aca="false">SUMPRODUCT(--WEEKDAY(C$3:AG$3,2)&lt;6,--((C8:AG8="DM"))+(C8:AG8="CS1")+((C8:AG8="CS2"))+(C8:AG8="SB1")+(C8:AG8="AE")+(C8:AG8="EM"))</f>
        <v>6</v>
      </c>
      <c r="AQ8" s="38"/>
      <c r="AR8" s="38" t="n">
        <f aca="false">SUMPRODUCT(--WEEKDAY(C$3:AG$3,2)&gt;5,--((C8:AG8="DM"))+(C8:AG8="CS1")+((C8:AG8="CS2"))+(C8:AG8="SB1")+(C8:AG8="AE")+(C8:AG8="EM"))</f>
        <v>2</v>
      </c>
      <c r="AS8" s="38"/>
      <c r="AT8" s="38"/>
      <c r="AU8" s="38"/>
      <c r="AV8" s="38"/>
      <c r="AW8" s="38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9"/>
    </row>
    <row r="9" customFormat="false" ht="19.5" hidden="false" customHeight="true" outlineLevel="0" collapsed="false">
      <c r="A9" s="30"/>
      <c r="B9" s="43" t="s">
        <v>215</v>
      </c>
      <c r="C9" s="32"/>
      <c r="D9" s="32" t="s">
        <v>59</v>
      </c>
      <c r="E9" s="47" t="s">
        <v>216</v>
      </c>
      <c r="F9" s="32"/>
      <c r="G9" s="32" t="s">
        <v>56</v>
      </c>
      <c r="H9" s="33"/>
      <c r="I9" s="32"/>
      <c r="J9" s="32"/>
      <c r="K9" s="32"/>
      <c r="L9" s="47" t="s">
        <v>96</v>
      </c>
      <c r="M9" s="33"/>
      <c r="N9" s="32"/>
      <c r="O9" s="32" t="s">
        <v>59</v>
      </c>
      <c r="P9" s="33"/>
      <c r="Q9" s="32" t="s">
        <v>61</v>
      </c>
      <c r="R9" s="33"/>
      <c r="S9" s="32" t="s">
        <v>56</v>
      </c>
      <c r="T9" s="32"/>
      <c r="U9" s="32"/>
      <c r="V9" s="32" t="s">
        <v>59</v>
      </c>
      <c r="W9" s="33"/>
      <c r="X9" s="32" t="s">
        <v>59</v>
      </c>
      <c r="Z9" s="47" t="s">
        <v>212</v>
      </c>
      <c r="AA9" s="32"/>
      <c r="AB9" s="32"/>
      <c r="AC9" s="32" t="s">
        <v>56</v>
      </c>
      <c r="AD9" s="32"/>
      <c r="AE9" s="32"/>
      <c r="AF9" s="34" t="s">
        <v>59</v>
      </c>
      <c r="AG9" s="32"/>
      <c r="AH9" s="35"/>
      <c r="AI9" s="36"/>
      <c r="AJ9" s="35"/>
      <c r="AK9" s="37"/>
      <c r="AL9" s="37"/>
      <c r="AM9" s="37"/>
      <c r="AN9" s="37"/>
      <c r="AO9" s="38"/>
      <c r="AP9" s="37" t="n">
        <f aca="false">SUMPRODUCT(--WEEKDAY(C$3:AG$3,2)&lt;6,--((C9:AG9="DM"))+(C9:AG9="CS1")+((C9:AG9="CS2"))+(C9:AG9="SB1")+(C9:AG9="AE")+(C9:AG9="EM"))</f>
        <v>7</v>
      </c>
      <c r="AQ9" s="38"/>
      <c r="AR9" s="38" t="n">
        <f aca="false">SUMPRODUCT(--WEEKDAY(C$3:AG$3,2)&gt;5,--((C9:AG9="DM"))+(C9:AG9="CS1")+((C9:AG9="CS2"))+(C9:AG9="SB1")+(C9:AG9="AE")+(C9:AG9="EM"))</f>
        <v>1</v>
      </c>
      <c r="AS9" s="38"/>
      <c r="AT9" s="38" t="n">
        <f aca="false">(AP9-AQ9)/2+(AR9-AS9)</f>
        <v>4.5</v>
      </c>
      <c r="AU9" s="38" t="n">
        <f aca="false">AH9+AI9+AJ9+AK9+AM9+AN9</f>
        <v>0</v>
      </c>
      <c r="AV9" s="38" t="n">
        <f aca="false">BF9+BG9+BI9+BD9+BB9+AZ9+BK9</f>
        <v>0</v>
      </c>
      <c r="AW9" s="38" t="e">
        <f aca="false">AT9+AX9</f>
        <v>#VALUE!</v>
      </c>
      <c r="AX9" s="37" t="e">
        <f aca="false"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37" t="n">
        <f aca="false">COUNTIF(D9:Z9,"*BRT*")</f>
        <v>0</v>
      </c>
      <c r="AZ9" s="37" t="n">
        <f aca="false">COUNTIF(A9:AH9,"*$BTP*")</f>
        <v>0</v>
      </c>
      <c r="BA9" s="37" t="e">
        <f aca="false">AZ9*('Setting key Duty'!$I$13+'Setting key Duty'!$I$12+'Setting key Duty'!$I$11)</f>
        <v>#VALUE!</v>
      </c>
      <c r="BB9" s="37" t="n">
        <f aca="false">COUNTIF(A9:AH9,"*$L*")</f>
        <v>0</v>
      </c>
      <c r="BC9" s="37" t="e">
        <f aca="false">BB9*('Setting key Duty'!$I$13+'Setting key Duty'!$I$9)</f>
        <v>#VALUE!</v>
      </c>
      <c r="BD9" s="37" t="n">
        <f aca="false">COUNTIF(A9:AH9,"*$M*")</f>
        <v>0</v>
      </c>
      <c r="BE9" s="37" t="n">
        <f aca="false">BD9*('Setting key Duty'!$I$8+'Setting key Duty'!$I$9+'Setting key Duty'!$I$12)</f>
        <v>0</v>
      </c>
      <c r="BF9" s="37" t="n">
        <f aca="false">COUNTIF(AH9,"*$N*")</f>
        <v>0</v>
      </c>
      <c r="BG9" s="37" t="n">
        <f aca="false">COUNTIF(AH9,"*$PM*")</f>
        <v>0</v>
      </c>
      <c r="BH9" s="37" t="n">
        <f aca="false">BG9*('Setting key Duty'!$I$9)</f>
        <v>0</v>
      </c>
      <c r="BI9" s="37" t="n">
        <f aca="false">COUNTIF(A9:AH9,"*$AM*")</f>
        <v>0</v>
      </c>
      <c r="BJ9" s="37" t="n">
        <f aca="false">BI9*('Setting key Duty'!$I$12+'Setting key Duty'!$I$8)</f>
        <v>0</v>
      </c>
      <c r="BK9" s="37" t="n">
        <f aca="false">COUNTIF(D9:AH9,"*$FC*")</f>
        <v>0</v>
      </c>
      <c r="BL9" s="37" t="n">
        <f aca="false">BK9*('Setting key Duty'!$J$11+'Setting key Duty'!$I$8)</f>
        <v>0</v>
      </c>
      <c r="BM9" s="37" t="n">
        <f aca="false">COUNTIF($D9:$Z9,BM$4)</f>
        <v>0</v>
      </c>
      <c r="BN9" s="37" t="n">
        <f aca="false">COUNTIF($D9:$Z9,BN$4)</f>
        <v>0</v>
      </c>
      <c r="BO9" s="37" t="n">
        <f aca="false">COUNTIF($D9:$Z9,BO$4)</f>
        <v>0</v>
      </c>
      <c r="BP9" s="39"/>
    </row>
    <row r="10" customFormat="false" ht="19.5" hidden="false" customHeight="true" outlineLevel="0" collapsed="false">
      <c r="A10" s="30"/>
      <c r="B10" s="48" t="s">
        <v>99</v>
      </c>
      <c r="C10" s="32" t="s">
        <v>59</v>
      </c>
      <c r="D10" s="32"/>
      <c r="E10" s="33"/>
      <c r="F10" s="32"/>
      <c r="G10" s="32" t="s">
        <v>59</v>
      </c>
      <c r="H10" s="33"/>
      <c r="J10" s="32"/>
      <c r="K10" s="32" t="s">
        <v>217</v>
      </c>
      <c r="L10" s="32"/>
      <c r="M10" s="32"/>
      <c r="N10" s="32"/>
      <c r="O10" s="32" t="s">
        <v>218</v>
      </c>
      <c r="P10" s="32" t="s">
        <v>218</v>
      </c>
      <c r="Q10" s="32" t="s">
        <v>218</v>
      </c>
      <c r="R10" s="32" t="s">
        <v>218</v>
      </c>
      <c r="S10" s="32" t="s">
        <v>218</v>
      </c>
      <c r="T10" s="32" t="s">
        <v>56</v>
      </c>
      <c r="U10" s="32"/>
      <c r="V10" s="32" t="s">
        <v>218</v>
      </c>
      <c r="W10" s="32" t="s">
        <v>218</v>
      </c>
      <c r="X10" s="32" t="s">
        <v>218</v>
      </c>
      <c r="Y10" s="32" t="s">
        <v>218</v>
      </c>
      <c r="Z10" s="32" t="s">
        <v>218</v>
      </c>
      <c r="AA10" s="32" t="s">
        <v>59</v>
      </c>
      <c r="AB10" s="32"/>
      <c r="AC10" s="32" t="s">
        <v>219</v>
      </c>
      <c r="AD10" s="32" t="s">
        <v>56</v>
      </c>
      <c r="AE10" s="32"/>
      <c r="AF10" s="33"/>
      <c r="AG10" s="32" t="s">
        <v>96</v>
      </c>
      <c r="AH10" s="35"/>
      <c r="AI10" s="36"/>
      <c r="AJ10" s="35"/>
      <c r="AK10" s="37"/>
      <c r="AL10" s="37"/>
      <c r="AM10" s="37"/>
      <c r="AN10" s="37"/>
      <c r="AO10" s="38"/>
      <c r="AP10" s="37" t="n">
        <f aca="false">SUMPRODUCT(--WEEKDAY(C$3:AG$3,2)&lt;6,--((C10:AG10="DM"))+(C10:AG10="CS1")+((C10:AG10="CS2"))+(C10:AG10="SB1")+(C10:AG10="AE")+(C10:AG10="EM"))</f>
        <v>2</v>
      </c>
      <c r="AQ10" s="38"/>
      <c r="AR10" s="38" t="n">
        <f aca="false">SUMPRODUCT(--WEEKDAY(C$3:AG$3,2)&gt;5,--((C10:AG10="DM"))+(C10:AG10="CS1")+((C10:AG10="CS2"))+(C10:AG10="SB1")+(C10:AG10="AE")+(C10:AG10="EM"))</f>
        <v>3</v>
      </c>
      <c r="AS10" s="38"/>
      <c r="AT10" s="38" t="n">
        <f aca="false">(AP10-AQ10)/2+(AR10-AS10)</f>
        <v>4</v>
      </c>
      <c r="AU10" s="38" t="n">
        <f aca="false">AH10+AI10+AJ10+AK10+AM10+AN10</f>
        <v>0</v>
      </c>
      <c r="AV10" s="38" t="n">
        <f aca="false">BF10+BG10+BI10+BD10+BB10+AZ10+BK10</f>
        <v>2</v>
      </c>
      <c r="AW10" s="38" t="e">
        <f aca="false">AT10+$AX$10</f>
        <v>#VALUE!</v>
      </c>
      <c r="AX10" s="37" t="e">
        <f aca="false"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37" t="n">
        <f aca="false">COUNTIF(C10:AC10,"*BRT*")</f>
        <v>0</v>
      </c>
      <c r="AZ10" s="37" t="n">
        <f aca="false">COUNTIF(A10:AH10,"*$BTP*")</f>
        <v>0</v>
      </c>
      <c r="BA10" s="37" t="e">
        <f aca="false">AZ10*('Setting key Duty'!$I$13+'Setting key Duty'!$I$12+'Setting key Duty'!$I$11)</f>
        <v>#VALUE!</v>
      </c>
      <c r="BB10" s="37" t="n">
        <f aca="false">COUNTIF(D10:AH10,"*$L*")</f>
        <v>0</v>
      </c>
      <c r="BC10" s="37" t="e">
        <f aca="false">BB10*('Setting key Duty'!$I$13+'Setting key Duty'!$I$9)</f>
        <v>#VALUE!</v>
      </c>
      <c r="BD10" s="37" t="n">
        <f aca="false">COUNTIF(D10:AH10,"*$M*")</f>
        <v>0</v>
      </c>
      <c r="BE10" s="37" t="n">
        <f aca="false">BD10*('Setting key Duty'!$I$8+'Setting key Duty'!$I$9+'Setting key Duty'!$I$12)</f>
        <v>0</v>
      </c>
      <c r="BF10" s="37" t="n">
        <f aca="false">COUNTIF(D10:AH10,"*$N*")</f>
        <v>0</v>
      </c>
      <c r="BG10" s="37" t="n">
        <f aca="false">COUNTIF(D10:AH10,"*$PM*")</f>
        <v>2</v>
      </c>
      <c r="BH10" s="37" t="n">
        <f aca="false">BG10*('Setting key Duty'!$I$9)</f>
        <v>0.25</v>
      </c>
      <c r="BI10" s="37" t="n">
        <f aca="false">COUNTIF(D10:AH10,"*$AM*")</f>
        <v>0</v>
      </c>
      <c r="BJ10" s="37" t="n">
        <f aca="false">BI10*('Setting key Duty'!$I$12+'Setting key Duty'!$I$8)</f>
        <v>0</v>
      </c>
      <c r="BK10" s="37" t="n">
        <f aca="false">COUNTIF(C10:AH10,"*$FC*")</f>
        <v>0</v>
      </c>
      <c r="BL10" s="37" t="n">
        <f aca="false">BK10*('Setting key Duty'!$J$11+'Setting key Duty'!$I$8)</f>
        <v>0</v>
      </c>
      <c r="BM10" s="37" t="n">
        <f aca="false">COUNTIF($C10:$AG10,BM$4)</f>
        <v>0</v>
      </c>
      <c r="BN10" s="37" t="n">
        <f aca="false">COUNTIF($C10:$AG10,BN$4)</f>
        <v>0</v>
      </c>
      <c r="BO10" s="37" t="n">
        <f aca="false">COUNTIF($D10:$AE10,BO$4)</f>
        <v>0</v>
      </c>
      <c r="BP10" s="39"/>
    </row>
    <row r="11" customFormat="false" ht="14.9" hidden="false" customHeight="false" outlineLevel="0" collapsed="false">
      <c r="A11" s="30"/>
      <c r="B11" s="40" t="s">
        <v>66</v>
      </c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5" t="n">
        <f aca="false">COUNTIF($C11:$AE11,AH$4)</f>
        <v>0</v>
      </c>
      <c r="AI11" s="36" t="n">
        <f aca="false">COUNTIF($C11:$AE11,AI$4)</f>
        <v>0</v>
      </c>
      <c r="AJ11" s="35" t="n">
        <f aca="false">COUNTIF($C11:$AE11,AJ$4)</f>
        <v>0</v>
      </c>
      <c r="AK11" s="37" t="n">
        <f aca="false">COUNTIF($C11:$AE11,AK$4)</f>
        <v>0</v>
      </c>
      <c r="AL11" s="37" t="n">
        <f aca="false">COUNTIF($C11:$AE11,AL$4)</f>
        <v>0</v>
      </c>
      <c r="AM11" s="37" t="n">
        <f aca="false">COUNTIF($C11:$AE11,AM$4)</f>
        <v>0</v>
      </c>
      <c r="AN11" s="37" t="n">
        <f aca="false">COUNTIF($C11:$AE11,AN$4)</f>
        <v>0</v>
      </c>
      <c r="AO11" s="38"/>
      <c r="AP11" s="37" t="n">
        <f aca="false">SUMPRODUCT(--WEEKDAY(C$3:AG$3,2)&lt;6,--((C11:AG11="DM"))+(C11:AG11="CS1")+((C11:AG11="CS2"))+(C11:AG11="SB1")+(C11:AG11="AE")+(C11:AG11="EM"))</f>
        <v>0</v>
      </c>
      <c r="AQ11" s="38"/>
      <c r="AR11" s="38" t="n">
        <f aca="false">SUMPRODUCT(--WEEKDAY(C$3:AG$3,2)&gt;5,--((C11:AG11="DM"))+(C11:AG11="CS1")+((C11:AG11="CS2"))+(C11:AG11="SB1")+(C11:AG11="AE")+(C11:AG11="EM"))</f>
        <v>0</v>
      </c>
      <c r="AS11" s="38"/>
      <c r="AT11" s="38" t="n">
        <f aca="false">(AP11-AQ11)/2+(AR11-AS11)</f>
        <v>0</v>
      </c>
      <c r="AU11" s="38" t="n">
        <f aca="false">AH11+AI11+AJ11+AK11+AM11+AN11</f>
        <v>0</v>
      </c>
      <c r="AV11" s="38" t="n">
        <f aca="false">BF11+BG11+BI11+BD11+BB11+AZ11+BK11</f>
        <v>0</v>
      </c>
      <c r="AW11" s="38" t="e">
        <f aca="false">AT11+AX11</f>
        <v>#VALUE!</v>
      </c>
      <c r="AX11" s="37" t="e">
        <f aca="false"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37" t="n">
        <f aca="false">COUNTIF(C11:AE11,"*BRT*")</f>
        <v>0</v>
      </c>
      <c r="AZ11" s="37" t="n">
        <f aca="false">COUNTIF(A11:AH11,"*$BTP*")</f>
        <v>0</v>
      </c>
      <c r="BA11" s="37" t="e">
        <f aca="false">AZ11*('Setting key Duty'!$I$13+'Setting key Duty'!$I$12+'Setting key Duty'!$I$11)</f>
        <v>#VALUE!</v>
      </c>
      <c r="BB11" s="37" t="n">
        <f aca="false">COUNTIF(A11:AH11,"*$L*")</f>
        <v>0</v>
      </c>
      <c r="BC11" s="37" t="e">
        <f aca="false">BB11*('Setting key Duty'!$I$13+'Setting key Duty'!$I$9)</f>
        <v>#VALUE!</v>
      </c>
      <c r="BD11" s="37" t="n">
        <f aca="false">COUNTIF(A11:AH11,"*$M*")</f>
        <v>0</v>
      </c>
      <c r="BE11" s="37" t="n">
        <f aca="false">BD11*('Setting key Duty'!$I$8+'Setting key Duty'!$I$9+'Setting key Duty'!$I$12)</f>
        <v>0</v>
      </c>
      <c r="BF11" s="37" t="n">
        <f aca="false">COUNTIF(A11:AH11,"*$N*")</f>
        <v>0</v>
      </c>
      <c r="BG11" s="37" t="n">
        <f aca="false">COUNTIF(AF11:AH11,"*$PM*")</f>
        <v>0</v>
      </c>
      <c r="BH11" s="37" t="n">
        <f aca="false">BG11*('Setting key Duty'!$I$9)</f>
        <v>0</v>
      </c>
      <c r="BI11" s="37" t="n">
        <f aca="false">COUNTIF(A11:AH11,"*$AM*")</f>
        <v>0</v>
      </c>
      <c r="BJ11" s="37" t="n">
        <f aca="false">BI11*('Setting key Duty'!$I$12+'Setting key Duty'!$I$8)</f>
        <v>0</v>
      </c>
      <c r="BK11" s="37" t="n">
        <f aca="false">COUNTIF(C11:AH11,"*$FC*")</f>
        <v>0</v>
      </c>
      <c r="BL11" s="37" t="n">
        <f aca="false">BK11*('Setting key Duty'!$J$11+'Setting key Duty'!$I$8)</f>
        <v>0</v>
      </c>
      <c r="BM11" s="37" t="n">
        <f aca="false">COUNTIF($C11:$AE11,BM$4)</f>
        <v>0</v>
      </c>
      <c r="BN11" s="37" t="n">
        <f aca="false">COUNTIF($C11:$AE11,BN$4)</f>
        <v>0</v>
      </c>
      <c r="BO11" s="37" t="n">
        <f aca="false">COUNTIF($C11:$AE11,BO$4)</f>
        <v>0</v>
      </c>
      <c r="BP11" s="39"/>
    </row>
    <row r="12" customFormat="false" ht="19.5" hidden="false" customHeight="true" outlineLevel="0" collapsed="false">
      <c r="A12" s="30"/>
      <c r="B12" s="41" t="s">
        <v>68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5"/>
      <c r="AI12" s="36"/>
      <c r="AJ12" s="35"/>
      <c r="AK12" s="37"/>
      <c r="AL12" s="37"/>
      <c r="AM12" s="37"/>
      <c r="AN12" s="37"/>
      <c r="AO12" s="38"/>
      <c r="AP12" s="37" t="n">
        <f aca="false">SUMPRODUCT(--WEEKDAY(C$3:AG$3,2)&lt;6,--((C12:AG12="DM"))+(C12:AG12="CS1")+((C12:AG12="CS2"))+(C12:AG12="SB1")+(C12:AG12="AE")+(C12:AG12="EM"))</f>
        <v>0</v>
      </c>
      <c r="AQ12" s="38"/>
      <c r="AR12" s="38" t="n">
        <f aca="false">SUMPRODUCT(--WEEKDAY(C$3:AG$3,2)&gt;5,--((C12:AG12="DM"))+(C12:AG12="CS1")+((C12:AG12="CS2"))+(C12:AG12="SB1")+(C12:AG12="AE")+(C12:AG12="EM"))</f>
        <v>0</v>
      </c>
      <c r="AS12" s="38"/>
      <c r="AT12" s="38" t="n">
        <f aca="false">(AP12-AQ12)/2+(AR12-AS12)</f>
        <v>0</v>
      </c>
      <c r="AU12" s="38" t="n">
        <f aca="false">AH12+AI12+AJ12+AK12+AM12+AN12</f>
        <v>0</v>
      </c>
      <c r="AV12" s="38" t="n">
        <f aca="false">BF12+BG12+BI12+BD12+BB12+AZ12+BK12</f>
        <v>0</v>
      </c>
      <c r="AW12" s="38" t="e">
        <f aca="false">AT12+AX12</f>
        <v>#VALUE!</v>
      </c>
      <c r="AX12" s="37" t="e">
        <f aca="false"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37" t="e">
        <f aca="false">COUNTIF(#REF!,"*BRT*")</f>
        <v>#REF!</v>
      </c>
      <c r="AZ12" s="37" t="n">
        <f aca="false">COUNTIF(A12:AH12,"*$BTP*")</f>
        <v>0</v>
      </c>
      <c r="BA12" s="37" t="e">
        <f aca="false">AZ12*('Setting key Duty'!$I$13+'Setting key Duty'!$I$12+'Setting key Duty'!$I$11)</f>
        <v>#VALUE!</v>
      </c>
      <c r="BB12" s="37" t="n">
        <f aca="false">COUNTIF(A12:AH12,"*$L*")</f>
        <v>0</v>
      </c>
      <c r="BC12" s="37" t="e">
        <f aca="false">BB12*('Setting key Duty'!$I$13+'Setting key Duty'!$I$9)</f>
        <v>#VALUE!</v>
      </c>
      <c r="BD12" s="37" t="n">
        <f aca="false">COUNTIF(A12:AH12,"*$M*")</f>
        <v>0</v>
      </c>
      <c r="BE12" s="37" t="n">
        <f aca="false">BD12*('Setting key Duty'!$I$8+'Setting key Duty'!$I$9+'Setting key Duty'!$I$12)</f>
        <v>0</v>
      </c>
      <c r="BF12" s="37" t="n">
        <f aca="false">COUNTIF(AH12,"*$N*")</f>
        <v>0</v>
      </c>
      <c r="BG12" s="37" t="n">
        <f aca="false">COUNTIF(AH12,"*$PM*")</f>
        <v>0</v>
      </c>
      <c r="BH12" s="37" t="n">
        <f aca="false">BG12*('Setting key Duty'!$I$9)</f>
        <v>0</v>
      </c>
      <c r="BI12" s="37" t="n">
        <f aca="false">COUNTIF(A12:AH12,"*$AM*")</f>
        <v>0</v>
      </c>
      <c r="BJ12" s="37" t="n">
        <f aca="false">BI12*('Setting key Duty'!$I$12+'Setting key Duty'!$I$8)</f>
        <v>0</v>
      </c>
      <c r="BK12" s="37" t="n">
        <f aca="false">COUNTIF(E12:AH12,"*$FC*")</f>
        <v>0</v>
      </c>
      <c r="BL12" s="37" t="n">
        <f aca="false">BK12*('Setting key Duty'!$J$11+'Setting key Duty'!$I$8)</f>
        <v>0</v>
      </c>
      <c r="BM12" s="37" t="e">
        <f aca="false">COUNTIF(#REF!,BM$4)</f>
        <v>#REF!</v>
      </c>
      <c r="BN12" s="37" t="e">
        <f aca="false">COUNTIF(#REF!,BN$4)</f>
        <v>#REF!</v>
      </c>
      <c r="BO12" s="37" t="e">
        <f aca="false">COUNTIF(#REF!,BO$4)</f>
        <v>#REF!</v>
      </c>
      <c r="BP12" s="39"/>
    </row>
    <row r="13" customFormat="false" ht="19.5" hidden="false" customHeight="true" outlineLevel="0" collapsed="false">
      <c r="A13" s="30"/>
      <c r="B13" s="31" t="s">
        <v>70</v>
      </c>
      <c r="C13" s="34"/>
      <c r="D13" s="32" t="s">
        <v>57</v>
      </c>
      <c r="E13" s="32"/>
      <c r="F13" s="32"/>
      <c r="G13" s="33"/>
      <c r="H13" s="32" t="s">
        <v>56</v>
      </c>
      <c r="I13" s="33"/>
      <c r="J13" s="33"/>
      <c r="K13" s="42" t="s">
        <v>58</v>
      </c>
      <c r="L13" s="32"/>
      <c r="M13" s="32" t="s">
        <v>210</v>
      </c>
      <c r="N13" s="32" t="s">
        <v>57</v>
      </c>
      <c r="O13" s="42"/>
      <c r="P13" s="42"/>
      <c r="Q13" s="33"/>
      <c r="R13" s="32" t="s">
        <v>220</v>
      </c>
      <c r="S13" s="33"/>
      <c r="T13" s="33"/>
      <c r="U13" s="32" t="s">
        <v>59</v>
      </c>
      <c r="V13" s="33"/>
      <c r="W13" s="32" t="s">
        <v>221</v>
      </c>
      <c r="X13" s="32" t="s">
        <v>61</v>
      </c>
      <c r="Y13" s="34"/>
      <c r="Z13" s="32" t="s">
        <v>57</v>
      </c>
      <c r="AA13" s="32"/>
      <c r="AB13" s="32"/>
      <c r="AD13" s="32" t="s">
        <v>57</v>
      </c>
      <c r="AE13" s="32"/>
      <c r="AF13" s="32" t="s">
        <v>56</v>
      </c>
      <c r="AG13" s="32"/>
      <c r="AH13" s="35"/>
      <c r="AI13" s="36"/>
      <c r="AJ13" s="35"/>
      <c r="AK13" s="37"/>
      <c r="AL13" s="37"/>
      <c r="AM13" s="37"/>
      <c r="AN13" s="37"/>
      <c r="AO13" s="38"/>
      <c r="AP13" s="37" t="n">
        <f aca="false">SUMPRODUCT(--WEEKDAY(C$3:AG$3,2)&lt;6,--((C13:AG13="DM"))+(C13:AG13="CS1")+((C13:AG13="CS2"))+(C13:AG13="SB1")+(C13:AG13="AE")+(C13:AG13="EM"))</f>
        <v>6</v>
      </c>
      <c r="AQ13" s="38"/>
      <c r="AR13" s="38" t="n">
        <f aca="false">SUMPRODUCT(--WEEKDAY(C$3:AG$3,2)&gt;5,--((C13:AG13="DM"))+(C13:AG13="CS1")+((C13:AG13="CS2"))+(C13:AG13="SB1")+(C13:AG13="AE")+(C13:AG13="EM"))</f>
        <v>2</v>
      </c>
      <c r="AS13" s="38"/>
      <c r="AT13" s="38" t="n">
        <f aca="false">(AP13-AQ13)/2+(AR13-AS13)</f>
        <v>5</v>
      </c>
      <c r="AU13" s="38" t="n">
        <f aca="false">AH13+AI13+AJ13+AK13+AM13+AN13</f>
        <v>0</v>
      </c>
      <c r="AV13" s="38" t="n">
        <f aca="false">BF13+BG13+BI13+BD13+BB13+AZ13+BK13</f>
        <v>2</v>
      </c>
      <c r="AW13" s="38" t="e">
        <f aca="false">AT13+AX13</f>
        <v>#VALUE!</v>
      </c>
      <c r="AX13" s="37" t="e">
        <f aca="false"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37" t="n">
        <f aca="false">COUNTIF(D13:AC13,"*BRT*")</f>
        <v>0</v>
      </c>
      <c r="AZ13" s="37" t="n">
        <f aca="false">COUNTIF(A13:AH13,"*$BTP*")</f>
        <v>0</v>
      </c>
      <c r="BA13" s="37" t="e">
        <f aca="false">AZ13*('Setting key Duty'!$I$13+'Setting key Duty'!$I$12+'Setting key Duty'!$I$11)</f>
        <v>#VALUE!</v>
      </c>
      <c r="BB13" s="37" t="n">
        <f aca="false">COUNTIF(A13:AH13,"*$L*")</f>
        <v>0</v>
      </c>
      <c r="BC13" s="37" t="e">
        <f aca="false">BB13*('Setting key Duty'!$I$13+'Setting key Duty'!$I$9)</f>
        <v>#VALUE!</v>
      </c>
      <c r="BD13" s="37" t="n">
        <f aca="false">COUNTIF(A13:AH13,"*$M*")</f>
        <v>0</v>
      </c>
      <c r="BE13" s="37" t="n">
        <f aca="false">BD13*('Setting key Duty'!$I$8+'Setting key Duty'!$I$9+'Setting key Duty'!$I$12)</f>
        <v>0</v>
      </c>
      <c r="BF13" s="37" t="n">
        <f aca="false">COUNTIF(AF13:AH13,"*$N*")</f>
        <v>0</v>
      </c>
      <c r="BG13" s="37" t="n">
        <f aca="false">COUNTIF(AF13:AH13,"*$PM*")</f>
        <v>0</v>
      </c>
      <c r="BH13" s="37" t="n">
        <f aca="false">BG13*('Setting key Duty'!$I$9)</f>
        <v>0</v>
      </c>
      <c r="BI13" s="37" t="n">
        <f aca="false">COUNTIF(A13:AH13,"*$AM*")</f>
        <v>2</v>
      </c>
      <c r="BJ13" s="37" t="n">
        <f aca="false">BI13*('Setting key Duty'!$I$12+'Setting key Duty'!$I$8)</f>
        <v>0.875</v>
      </c>
      <c r="BK13" s="37" t="n">
        <f aca="false">COUNTIF(D13:AH13,"*$FC*")</f>
        <v>0</v>
      </c>
      <c r="BL13" s="37" t="n">
        <f aca="false">BK13*('Setting key Duty'!$J$11+'Setting key Duty'!$I$8)</f>
        <v>0</v>
      </c>
      <c r="BM13" s="37" t="n">
        <f aca="false">COUNTIF($D13:$AE13,BM$4)</f>
        <v>0</v>
      </c>
      <c r="BN13" s="37" t="n">
        <f aca="false">COUNTIF($D13:$AE13,BN$4)</f>
        <v>0</v>
      </c>
      <c r="BO13" s="37" t="n">
        <f aca="false">COUNTIF($D13:$AE13,BO$4)</f>
        <v>0</v>
      </c>
      <c r="BP13" s="39"/>
    </row>
    <row r="14" customFormat="false" ht="19.5" hidden="false" customHeight="true" outlineLevel="0" collapsed="false">
      <c r="A14" s="30"/>
      <c r="B14" s="48" t="s">
        <v>72</v>
      </c>
      <c r="C14" s="32" t="s">
        <v>56</v>
      </c>
      <c r="D14" s="32"/>
      <c r="F14" s="32"/>
      <c r="G14" s="32"/>
      <c r="H14" s="33"/>
      <c r="I14" s="33"/>
      <c r="J14" s="33"/>
      <c r="K14" s="33"/>
      <c r="L14" s="32"/>
      <c r="M14" s="32"/>
      <c r="N14" s="33"/>
      <c r="O14" s="42" t="s">
        <v>58</v>
      </c>
      <c r="P14" s="33"/>
      <c r="Q14" s="32" t="s">
        <v>222</v>
      </c>
      <c r="R14" s="32"/>
      <c r="S14" s="32" t="s">
        <v>58</v>
      </c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5"/>
      <c r="AI14" s="36"/>
      <c r="AJ14" s="35"/>
      <c r="AK14" s="37"/>
      <c r="AL14" s="37"/>
      <c r="AM14" s="37"/>
      <c r="AN14" s="37"/>
      <c r="AO14" s="38"/>
      <c r="AP14" s="37" t="n">
        <f aca="false">SUMPRODUCT(--WEEKDAY(C$3:AG$3,2)&lt;6,--((C14:AG14="DM"))+(C14:AG14="CS1")+((C14:AG14="CS2"))+(C14:AG14="SB1")+(C14:AG14="AE")+(C14:AG14="EM"))</f>
        <v>3</v>
      </c>
      <c r="AQ14" s="38"/>
      <c r="AR14" s="38" t="n">
        <f aca="false">SUMPRODUCT(--WEEKDAY(C$3:AG$3,2)&gt;5,--((C14:AG14="DM"))+(C14:AG14="CS1")+((C14:AG14="CS2"))+(C14:AG14="SB1")+(C14:AG14="AE")+(C14:AG14="EM"))</f>
        <v>0</v>
      </c>
      <c r="AS14" s="38"/>
      <c r="AT14" s="38" t="n">
        <f aca="false">(AP14-AQ14)/2+(AR14-AS14)</f>
        <v>1.5</v>
      </c>
      <c r="AU14" s="38" t="n">
        <f aca="false">AH14+AI14+AJ14+AK14+AM14+AN14</f>
        <v>0</v>
      </c>
      <c r="AV14" s="38" t="n">
        <f aca="false">BF14+BG14+BI14+BD14+BB14+AZ14+BK14</f>
        <v>0</v>
      </c>
      <c r="AW14" s="38" t="e">
        <f aca="false">AT14+AX14</f>
        <v>#VALUE!</v>
      </c>
      <c r="AX14" s="37" t="e">
        <f aca="false"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37" t="n">
        <f aca="false">COUNTIF(D14:X14,"*BRT*")</f>
        <v>0</v>
      </c>
      <c r="AZ14" s="37" t="n">
        <f aca="false">COUNTIF(A14:AH14,"*$BTP*")</f>
        <v>0</v>
      </c>
      <c r="BA14" s="37" t="e">
        <f aca="false">AZ14*('Setting key Duty'!$I$13+'Setting key Duty'!$I$12+'Setting key Duty'!$I$11)</f>
        <v>#VALUE!</v>
      </c>
      <c r="BB14" s="37" t="n">
        <f aca="false">COUNTIF(A14:AH14,"*$L*")</f>
        <v>0</v>
      </c>
      <c r="BC14" s="37" t="e">
        <f aca="false">BB14*('Setting key Duty'!$I$13+'Setting key Duty'!$I$9)</f>
        <v>#VALUE!</v>
      </c>
      <c r="BD14" s="37" t="n">
        <f aca="false">COUNTIF(A14:AH14,"*$M*")</f>
        <v>0</v>
      </c>
      <c r="BE14" s="37" t="n">
        <f aca="false">BD14*('Setting key Duty'!$I$8+'Setting key Duty'!$I$9+'Setting key Duty'!$I$12)</f>
        <v>0</v>
      </c>
      <c r="BF14" s="37" t="n">
        <f aca="false">COUNTIF(AH14,"*$N*")</f>
        <v>0</v>
      </c>
      <c r="BG14" s="37" t="n">
        <f aca="false">COUNTIF(AH14,"*$PM*")</f>
        <v>0</v>
      </c>
      <c r="BH14" s="37" t="n">
        <f aca="false">BG14*('Setting key Duty'!$I$9)</f>
        <v>0</v>
      </c>
      <c r="BI14" s="37" t="n">
        <f aca="false">COUNTIF(A14:AH14,"*$AM*")</f>
        <v>0</v>
      </c>
      <c r="BJ14" s="37" t="n">
        <f aca="false">BI14*('Setting key Duty'!$I$12+'Setting key Duty'!$I$8)</f>
        <v>0</v>
      </c>
      <c r="BK14" s="37" t="n">
        <f aca="false">COUNTIF(D14:AH14,"*$FC*")</f>
        <v>0</v>
      </c>
      <c r="BL14" s="37" t="n">
        <f aca="false">BK14*('Setting key Duty'!$J$11+'Setting key Duty'!$I$8)</f>
        <v>0</v>
      </c>
      <c r="BM14" s="37" t="n">
        <f aca="false">COUNTIF($D14:$X14,BM$4)</f>
        <v>0</v>
      </c>
      <c r="BN14" s="37" t="n">
        <f aca="false">COUNTIF($D14:$X14,BN$4)</f>
        <v>0</v>
      </c>
      <c r="BO14" s="37" t="n">
        <f aca="false">COUNTIF($D14:$X14,BO$4)</f>
        <v>0</v>
      </c>
      <c r="BP14" s="39"/>
    </row>
    <row r="15" customFormat="false" ht="24" hidden="false" customHeight="true" outlineLevel="0" collapsed="false">
      <c r="A15" s="30"/>
      <c r="B15" s="49" t="s">
        <v>76</v>
      </c>
      <c r="C15" s="32"/>
      <c r="D15" s="33"/>
      <c r="F15" s="33"/>
      <c r="G15" s="33"/>
      <c r="H15" s="32"/>
      <c r="I15" s="32"/>
      <c r="J15" s="42" t="s">
        <v>56</v>
      </c>
      <c r="L15" s="32" t="s">
        <v>56</v>
      </c>
      <c r="M15" s="32"/>
      <c r="N15" s="32" t="s">
        <v>56</v>
      </c>
      <c r="O15" s="32"/>
      <c r="P15" s="32"/>
      <c r="Q15" s="32"/>
      <c r="R15" s="32" t="s">
        <v>56</v>
      </c>
      <c r="S15" s="32"/>
      <c r="T15" s="32"/>
      <c r="U15" s="32"/>
      <c r="V15" s="32" t="s">
        <v>223</v>
      </c>
      <c r="W15" s="32" t="s">
        <v>57</v>
      </c>
      <c r="X15" s="32"/>
      <c r="Y15" s="32" t="s">
        <v>58</v>
      </c>
      <c r="Z15" s="91" t="s">
        <v>212</v>
      </c>
      <c r="AA15" s="33"/>
      <c r="AB15" s="32" t="s">
        <v>59</v>
      </c>
      <c r="AC15" s="32"/>
      <c r="AD15" s="34"/>
      <c r="AE15" s="32" t="s">
        <v>56</v>
      </c>
      <c r="AF15" s="33"/>
      <c r="AH15" s="35" t="n">
        <f aca="false">COUNTIF($C15:$AB15,AH$4)</f>
        <v>1</v>
      </c>
      <c r="AI15" s="36" t="n">
        <f aca="false">COUNTIF($C15:$AB15,AI$4)</f>
        <v>4</v>
      </c>
      <c r="AJ15" s="35" t="n">
        <f aca="false">COUNTIF($C15:$AB15,AJ$4)</f>
        <v>1</v>
      </c>
      <c r="AK15" s="37" t="n">
        <f aca="false">COUNTIF($C15:$AB15,AK$4)</f>
        <v>1</v>
      </c>
      <c r="AL15" s="37" t="n">
        <f aca="false">COUNTIF($C15:$AB15,AL$4)</f>
        <v>0</v>
      </c>
      <c r="AM15" s="37" t="n">
        <f aca="false">COUNTIF($C15:$AB15,AM$4)</f>
        <v>0</v>
      </c>
      <c r="AN15" s="37" t="n">
        <f aca="false">COUNTIF($C15:$AB15,AN$4)</f>
        <v>0</v>
      </c>
      <c r="AO15" s="38"/>
      <c r="AP15" s="37" t="n">
        <f aca="false">SUMPRODUCT(--WEEKDAY(C$3:AG$3,2)&lt;6,--((C15:AG15="DM"))+(C15:AG15="CS1")+((C15:AG15="CS2"))+(C15:AG15="SB1")+(C15:AG15="AE")+(C15:AG15="EM"))</f>
        <v>6</v>
      </c>
      <c r="AQ15" s="38"/>
      <c r="AR15" s="38" t="n">
        <f aca="false">SUMPRODUCT(--WEEKDAY(C$3:AG$3,2)&gt;5,--((C15:AG15="DM"))+(C15:AG15="CS1")+((C15:AG15="CS2"))+(C15:AG15="SB1")+(C15:AG15="AE")+(C15:AG15="EM"))</f>
        <v>2</v>
      </c>
      <c r="AS15" s="38"/>
      <c r="AT15" s="38" t="n">
        <f aca="false">(AP15-AQ15)/2+(AR15-AS15)</f>
        <v>5</v>
      </c>
      <c r="AU15" s="38" t="n">
        <f aca="false">AH15+AI15+AJ15+AK15+AM15+AN15</f>
        <v>7</v>
      </c>
      <c r="AV15" s="38" t="n">
        <f aca="false">BF15+BG15+BI15+BD15+BB15+AZ15+BK15</f>
        <v>0</v>
      </c>
      <c r="AW15" s="38" t="e">
        <f aca="false">AT15+AX15</f>
        <v>#VALUE!</v>
      </c>
      <c r="AX15" s="37" t="e">
        <f aca="false"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37" t="n">
        <f aca="false">COUNTIF(C15:AB15,"*BRT*")</f>
        <v>0</v>
      </c>
      <c r="AZ15" s="37" t="n">
        <f aca="false">COUNTIF(A15:AH15,"*$BTP*")</f>
        <v>0</v>
      </c>
      <c r="BA15" s="37" t="e">
        <f aca="false">AZ15*('Setting key Duty'!$I$13+'Setting key Duty'!$I$12+'Setting key Duty'!$I$11)</f>
        <v>#VALUE!</v>
      </c>
      <c r="BB15" s="37" t="n">
        <f aca="false">COUNTIF(A15:AH15,"*$L*")</f>
        <v>0</v>
      </c>
      <c r="BC15" s="37" t="e">
        <f aca="false">BB15*('Setting key Duty'!$I$13+'Setting key Duty'!$I$9)</f>
        <v>#VALUE!</v>
      </c>
      <c r="BD15" s="37" t="n">
        <f aca="false">COUNTIF(A15:AH15,"*$M*")</f>
        <v>0</v>
      </c>
      <c r="BE15" s="37" t="n">
        <f aca="false">BD15*('Setting key Duty'!$I$8+'Setting key Duty'!$I$9+'Setting key Duty'!$I$12)</f>
        <v>0</v>
      </c>
      <c r="BF15" s="37" t="n">
        <f aca="false">COUNTIF(A15:AH15,"*$N*")</f>
        <v>0</v>
      </c>
      <c r="BG15" s="37" t="n">
        <f aca="false">COUNTIF(AH15,"*$PM*")</f>
        <v>0</v>
      </c>
      <c r="BH15" s="37" t="n">
        <f aca="false">BG15*('Setting key Duty'!$I$9)</f>
        <v>0</v>
      </c>
      <c r="BI15" s="37" t="n">
        <f aca="false">COUNTIF(A15:AH15,"*$AM*")</f>
        <v>0</v>
      </c>
      <c r="BJ15" s="37" t="n">
        <f aca="false">BI15*('Setting key Duty'!$I$12+'Setting key Duty'!$I$8)</f>
        <v>0</v>
      </c>
      <c r="BK15" s="37" t="n">
        <f aca="false">COUNTIF(C15:AH15,"*$FC*")</f>
        <v>0</v>
      </c>
      <c r="BL15" s="37" t="n">
        <f aca="false">BK15*('Setting key Duty'!$J$11+'Setting key Duty'!$I$8)</f>
        <v>0</v>
      </c>
      <c r="BM15" s="37" t="n">
        <f aca="false">COUNTIF($C15:$AB15,BM$4)</f>
        <v>0</v>
      </c>
      <c r="BN15" s="37" t="n">
        <f aca="false">COUNTIF($C15:$AB15,BN$4)</f>
        <v>0</v>
      </c>
      <c r="BO15" s="37" t="n">
        <f aca="false">COUNTIF($C15:$AB15,BO$4)</f>
        <v>0</v>
      </c>
      <c r="BP15" s="39"/>
    </row>
    <row r="16" customFormat="false" ht="37.5" hidden="false" customHeight="true" outlineLevel="0" collapsed="false">
      <c r="A16" s="30"/>
      <c r="B16" s="48" t="s">
        <v>224</v>
      </c>
      <c r="C16" s="32"/>
      <c r="D16" s="32"/>
      <c r="E16" s="32" t="s">
        <v>57</v>
      </c>
      <c r="F16" s="32"/>
      <c r="G16" s="33"/>
      <c r="H16" s="32"/>
      <c r="I16" s="32"/>
      <c r="J16" s="32"/>
      <c r="K16" s="32"/>
      <c r="L16" s="32"/>
      <c r="M16" s="32"/>
      <c r="N16" s="32"/>
      <c r="O16" s="32"/>
      <c r="P16" s="32" t="s">
        <v>225</v>
      </c>
      <c r="Q16" s="32" t="s">
        <v>225</v>
      </c>
      <c r="R16" s="32" t="s">
        <v>225</v>
      </c>
      <c r="S16" s="32" t="s">
        <v>96</v>
      </c>
      <c r="T16" s="32"/>
      <c r="U16" s="32"/>
      <c r="V16" s="32"/>
      <c r="X16" s="32" t="s">
        <v>58</v>
      </c>
      <c r="AA16" s="32" t="s">
        <v>57</v>
      </c>
      <c r="AB16" s="34"/>
      <c r="AD16" s="32"/>
      <c r="AE16" s="32"/>
      <c r="AF16" s="32"/>
      <c r="AG16" s="32" t="s">
        <v>59</v>
      </c>
      <c r="AH16" s="35" t="n">
        <f aca="false">COUNTIF($D16:$AC16,AH$4)</f>
        <v>2</v>
      </c>
      <c r="AI16" s="36" t="n">
        <f aca="false">COUNTIF($D16:$AC16,AI$4)</f>
        <v>0</v>
      </c>
      <c r="AJ16" s="35" t="n">
        <f aca="false">COUNTIF($D16:$AC16,AJ$4)</f>
        <v>0</v>
      </c>
      <c r="AK16" s="37" t="n">
        <f aca="false">COUNTIF($D16:$AC16,AK$4)</f>
        <v>1</v>
      </c>
      <c r="AL16" s="37" t="n">
        <f aca="false">COUNTIF($D16:$AC16,AL$4)</f>
        <v>0</v>
      </c>
      <c r="AM16" s="37" t="n">
        <f aca="false">COUNTIF($D16:$AC16,AM$4)</f>
        <v>0</v>
      </c>
      <c r="AN16" s="37" t="n">
        <f aca="false">COUNTIF($D16:$AC16,AN$4)</f>
        <v>0</v>
      </c>
      <c r="AO16" s="38"/>
      <c r="AP16" s="37" t="n">
        <f aca="false">SUMPRODUCT(--WEEKDAY(C$3:AG$3,2)&lt;6,--((C16:AG16="DM"))+(C16:AG16="CS1")+((C16:AG16="CS2"))+(C16:AG16="SB1")+(C16:AG16="AE")+(C16:AG16="EM"))</f>
        <v>3</v>
      </c>
      <c r="AQ16" s="38"/>
      <c r="AR16" s="38" t="n">
        <f aca="false">SUMPRODUCT(--WEEKDAY(C$3:AG$3,2)&gt;5,--((C16:AG16="DM"))+(C16:AG16="CS1")+((C16:AG16="CS2"))+(C16:AG16="SB1")+(C16:AG16="AE")+(C16:AG16="EM"))</f>
        <v>1</v>
      </c>
      <c r="AS16" s="38"/>
      <c r="AT16" s="38" t="n">
        <f aca="false">(AP16-AQ16)/2+(AR16-AS16)</f>
        <v>2.5</v>
      </c>
      <c r="AU16" s="38" t="n">
        <f aca="false">AH16+AI16+AJ16+AK16+AM16+AN16</f>
        <v>3</v>
      </c>
      <c r="AV16" s="38" t="n">
        <f aca="false">BF16+BG16+BI16+BD16+BB16+AZ16+BK16</f>
        <v>3</v>
      </c>
      <c r="AW16" s="38" t="e">
        <f aca="false">AT16+AX16</f>
        <v>#VALUE!</v>
      </c>
      <c r="AX16" s="37" t="e">
        <f aca="false"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37" t="n">
        <f aca="false">COUNTIF(C16:AC16,"*BRT*")</f>
        <v>0</v>
      </c>
      <c r="AZ16" s="37" t="n">
        <f aca="false">COUNTIF(A16:AH16,"*$BTP*")</f>
        <v>0</v>
      </c>
      <c r="BA16" s="37" t="e">
        <f aca="false">AZ16*('Setting key Duty'!$I$13+'Setting key Duty'!$I$12+'Setting key Duty'!$I$11)</f>
        <v>#VALUE!</v>
      </c>
      <c r="BB16" s="37" t="n">
        <f aca="false">COUNTIF(A16:AH16,"*$L*")</f>
        <v>0</v>
      </c>
      <c r="BC16" s="37" t="e">
        <f aca="false">BB16*('Setting key Duty'!$I$13+'Setting key Duty'!$I$9)</f>
        <v>#VALUE!</v>
      </c>
      <c r="BD16" s="37" t="n">
        <f aca="false">COUNTIF(A16:AH16,"*$M*")</f>
        <v>0</v>
      </c>
      <c r="BE16" s="37" t="n">
        <f aca="false">BD16*('Setting key Duty'!$I$8+'Setting key Duty'!$I$9+'Setting key Duty'!$I$12)</f>
        <v>0</v>
      </c>
      <c r="BF16" s="37" t="n">
        <f aca="false">COUNTIF(AH16,"*$N*")</f>
        <v>0</v>
      </c>
      <c r="BG16" s="37" t="n">
        <f aca="false">COUNTIF(AH16,"*$PM*")</f>
        <v>0</v>
      </c>
      <c r="BH16" s="37" t="n">
        <f aca="false">BG16*('Setting key Duty'!$I$9)</f>
        <v>0</v>
      </c>
      <c r="BI16" s="37" t="n">
        <f aca="false">COUNTIF(A16:AH16,"*$AM*")</f>
        <v>0</v>
      </c>
      <c r="BJ16" s="37" t="n">
        <f aca="false">BI16*('Setting key Duty'!$I$12+'Setting key Duty'!$I$8)</f>
        <v>0</v>
      </c>
      <c r="BK16" s="37" t="n">
        <f aca="false">COUNTIF(C16:AH16,"*$FC*")</f>
        <v>3</v>
      </c>
      <c r="BL16" s="37" t="n">
        <f aca="false">BK16*('Setting key Duty'!$J$11+'Setting key Duty'!$I$8)</f>
        <v>0.375</v>
      </c>
      <c r="BM16" s="37" t="n">
        <f aca="false">COUNTIF($C16:$AC16,BM$4)</f>
        <v>0</v>
      </c>
      <c r="BN16" s="37" t="n">
        <f aca="false">COUNTIF($C16:$AC16,BN$4)</f>
        <v>0</v>
      </c>
      <c r="BO16" s="37" t="n">
        <f aca="false">COUNTIF($C16:$AC16,BO$4)</f>
        <v>0</v>
      </c>
      <c r="BP16" s="39"/>
    </row>
    <row r="17" customFormat="false" ht="19.5" hidden="false" customHeight="true" outlineLevel="0" collapsed="false">
      <c r="A17" s="30"/>
      <c r="B17" s="31" t="s">
        <v>226</v>
      </c>
      <c r="C17" s="32"/>
      <c r="D17" s="32"/>
      <c r="E17" s="32"/>
      <c r="F17" s="32"/>
      <c r="G17" s="32"/>
      <c r="H17" s="32" t="s">
        <v>57</v>
      </c>
      <c r="I17" s="32"/>
      <c r="J17" s="33"/>
      <c r="K17" s="32"/>
      <c r="L17" s="32"/>
      <c r="M17" s="32"/>
      <c r="N17" s="32" t="s">
        <v>59</v>
      </c>
      <c r="O17" s="32"/>
      <c r="P17" s="32"/>
      <c r="Q17" s="32" t="s">
        <v>59</v>
      </c>
      <c r="R17" s="33"/>
      <c r="S17" s="32"/>
      <c r="T17" s="32" t="s">
        <v>59</v>
      </c>
      <c r="U17" s="32"/>
      <c r="V17" s="32" t="s">
        <v>223</v>
      </c>
      <c r="W17" s="32"/>
      <c r="X17" s="32" t="s">
        <v>69</v>
      </c>
      <c r="Y17" s="32"/>
      <c r="Z17" s="32" t="s">
        <v>59</v>
      </c>
      <c r="AA17" s="32"/>
      <c r="AB17" s="33"/>
      <c r="AC17" s="32" t="s">
        <v>80</v>
      </c>
      <c r="AD17" s="32"/>
      <c r="AE17" s="32" t="s">
        <v>57</v>
      </c>
      <c r="AF17" s="52"/>
      <c r="AG17" s="32"/>
      <c r="AH17" s="35" t="n">
        <f aca="false">COUNTIF($C17:$AA17,AH$4)</f>
        <v>1</v>
      </c>
      <c r="AI17" s="36" t="n">
        <f aca="false">COUNTIF($C17:$AA17,AI$4)</f>
        <v>0</v>
      </c>
      <c r="AJ17" s="35" t="n">
        <f aca="false">COUNTIF($C17:$AA17,AJ$4)</f>
        <v>4</v>
      </c>
      <c r="AK17" s="37" t="n">
        <f aca="false">COUNTIF($C17:$AA17,AK$4)</f>
        <v>0</v>
      </c>
      <c r="AL17" s="37" t="n">
        <f aca="false">COUNTIF($C17:$AA17,AL$4)</f>
        <v>0</v>
      </c>
      <c r="AM17" s="37" t="n">
        <f aca="false">COUNTIF($C17:$AA17,AM$4)</f>
        <v>0</v>
      </c>
      <c r="AN17" s="37" t="n">
        <f aca="false">COUNTIF($C17:$AA17,AN$4)</f>
        <v>0</v>
      </c>
      <c r="AO17" s="38"/>
      <c r="AP17" s="37" t="n">
        <f aca="false">SUMPRODUCT(--WEEKDAY(C$3:AG$3,2)&lt;6,--((C17:AG17="DM"))+(C17:AG17="CS1")+((C17:AG17="CS2"))+(C17:AG17="SB1")+(C17:AG17="AE")+(C17:AG17="EM"))</f>
        <v>4</v>
      </c>
      <c r="AQ17" s="38"/>
      <c r="AR17" s="38" t="n">
        <f aca="false">SUMPRODUCT(--WEEKDAY(C$3:AG$3,2)&gt;5,--((C17:AG17="DM"))+(C17:AG17="CS1")+((C17:AG17="CS2"))+(C17:AG17="SB1")+(C17:AG17="AE")+(C17:AG17="EM"))</f>
        <v>2</v>
      </c>
      <c r="AS17" s="38"/>
      <c r="AT17" s="38" t="n">
        <f aca="false">(AP17-AQ17)/2+(AR17-AS17)</f>
        <v>4</v>
      </c>
      <c r="AU17" s="38" t="n">
        <f aca="false">AH17+AI17+AJ17+AK17+AM17+AN17</f>
        <v>5</v>
      </c>
      <c r="AV17" s="38" t="n">
        <f aca="false">BF17+BG17+BI17+BD17+BB17+AZ17+BK17</f>
        <v>0</v>
      </c>
      <c r="AW17" s="38" t="e">
        <f aca="false">AT17+AX17</f>
        <v>#VALUE!</v>
      </c>
      <c r="AX17" s="37" t="e">
        <f aca="false"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37" t="n">
        <f aca="false">COUNTIF(C17:AA17,"*BRT*")</f>
        <v>0</v>
      </c>
      <c r="AZ17" s="37" t="n">
        <f aca="false">COUNTIF(A17:AH17,"*$BTP*")</f>
        <v>0</v>
      </c>
      <c r="BA17" s="37" t="e">
        <f aca="false">AZ17*('Setting key Duty'!$I$13+'Setting key Duty'!$I$12+'Setting key Duty'!$I$11)</f>
        <v>#VALUE!</v>
      </c>
      <c r="BB17" s="37" t="n">
        <f aca="false">COUNTIF(A17:AH17,"*$L*")</f>
        <v>0</v>
      </c>
      <c r="BC17" s="37" t="e">
        <f aca="false">BB17*('Setting key Duty'!$I$13+'Setting key Duty'!$I$9)</f>
        <v>#VALUE!</v>
      </c>
      <c r="BD17" s="37" t="n">
        <f aca="false">COUNTIF(A17:AH17,"*$M*")</f>
        <v>0</v>
      </c>
      <c r="BE17" s="37" t="n">
        <f aca="false">BD17*('Setting key Duty'!$I$8+'Setting key Duty'!$I$9+'Setting key Duty'!$I$12)</f>
        <v>0</v>
      </c>
      <c r="BF17" s="37" t="n">
        <f aca="false">COUNTIF(A17:AH17,"*$N*")</f>
        <v>0</v>
      </c>
      <c r="BG17" s="37" t="n">
        <f aca="false">COUNTIF(AH17,"*$PM*")</f>
        <v>0</v>
      </c>
      <c r="BH17" s="37" t="n">
        <f aca="false">BG17*('Setting key Duty'!$I$9)</f>
        <v>0</v>
      </c>
      <c r="BI17" s="37" t="n">
        <f aca="false">COUNTIF(A17:AH17,"*$AM*")</f>
        <v>0</v>
      </c>
      <c r="BJ17" s="37" t="n">
        <f aca="false">BI17*('Setting key Duty'!$I$12+'Setting key Duty'!$I$8)</f>
        <v>0</v>
      </c>
      <c r="BK17" s="37" t="n">
        <f aca="false">COUNTIF(C17:AH17,"*$FC*")</f>
        <v>0</v>
      </c>
      <c r="BL17" s="37" t="n">
        <f aca="false">BK17*('Setting key Duty'!$J$11+'Setting key Duty'!$I$8)</f>
        <v>0</v>
      </c>
      <c r="BM17" s="37" t="n">
        <f aca="false">COUNTIF($C17:$AA17,BM$4)</f>
        <v>0</v>
      </c>
      <c r="BN17" s="37" t="n">
        <f aca="false">COUNTIF($C17:$AA17,BN$4)</f>
        <v>0</v>
      </c>
      <c r="BO17" s="37" t="n">
        <f aca="false">COUNTIF($C17:$AA17,BO$4)</f>
        <v>0</v>
      </c>
      <c r="BP17" s="39"/>
    </row>
    <row r="18" customFormat="false" ht="19.5" hidden="false" customHeight="true" outlineLevel="0" collapsed="false">
      <c r="A18" s="30"/>
      <c r="B18" s="41" t="s">
        <v>91</v>
      </c>
      <c r="C18" s="32"/>
      <c r="D18" s="32"/>
      <c r="F18" s="45"/>
      <c r="G18" s="45"/>
      <c r="H18" s="45"/>
      <c r="I18" s="32" t="s">
        <v>59</v>
      </c>
      <c r="J18" s="33"/>
      <c r="K18" s="32"/>
      <c r="L18" s="42"/>
      <c r="M18" s="32" t="s">
        <v>59</v>
      </c>
      <c r="N18" s="85"/>
      <c r="O18" s="32"/>
      <c r="P18" s="32"/>
      <c r="Q18" s="32" t="s">
        <v>227</v>
      </c>
      <c r="R18" s="33"/>
      <c r="S18" s="32"/>
      <c r="T18" s="32"/>
      <c r="U18" s="32"/>
      <c r="V18" s="32" t="s">
        <v>223</v>
      </c>
      <c r="W18" s="32"/>
      <c r="X18" s="32" t="s">
        <v>228</v>
      </c>
      <c r="Y18" s="32" t="s">
        <v>132</v>
      </c>
      <c r="AB18" s="33"/>
      <c r="AC18" s="32"/>
      <c r="AD18" s="32" t="s">
        <v>65</v>
      </c>
      <c r="AE18" s="32"/>
      <c r="AF18" s="32" t="s">
        <v>65</v>
      </c>
      <c r="AG18" s="32"/>
      <c r="AH18" s="35" t="n">
        <f aca="false">COUNTIF($C18:$AF18,AH$4)</f>
        <v>0</v>
      </c>
      <c r="AI18" s="36" t="n">
        <f aca="false">COUNTIF($C18:$AF18,AI$4)</f>
        <v>0</v>
      </c>
      <c r="AJ18" s="35" t="n">
        <f aca="false">COUNTIF($C18:$AF18,AJ$4)</f>
        <v>2</v>
      </c>
      <c r="AK18" s="37" t="n">
        <f aca="false">COUNTIF($C18:$AF18,AK$4)</f>
        <v>0</v>
      </c>
      <c r="AL18" s="37" t="n">
        <f aca="false">COUNTIF($C18:$AF18,AL$4)</f>
        <v>0</v>
      </c>
      <c r="AM18" s="37" t="n">
        <f aca="false">COUNTIF($C18:$AF18,AM$4)</f>
        <v>2</v>
      </c>
      <c r="AN18" s="37" t="n">
        <f aca="false">COUNTIF($C18:$AF18,AN$4)</f>
        <v>0</v>
      </c>
      <c r="AO18" s="38"/>
      <c r="AP18" s="37" t="n">
        <f aca="false">SUMPRODUCT(--WEEKDAY(C$3:AG$3,2)&lt;6,--((C18:AG18="DM"))+(C18:AG18="CS1")+((C18:AG18="CS2"))+(C18:AG18="SB1")+(C18:AG18="AE")+(C18:AG18="EM"))</f>
        <v>3</v>
      </c>
      <c r="AQ18" s="38"/>
      <c r="AR18" s="38" t="n">
        <f aca="false">SUMPRODUCT(--WEEKDAY(C$3:AG$3,2)&gt;5,--((C18:AG18="DM"))+(C18:AG18="CS1")+((C18:AG18="CS2"))+(C18:AG18="SB1")+(C18:AG18="AE")+(C18:AG18="EM"))</f>
        <v>1</v>
      </c>
      <c r="AS18" s="38"/>
      <c r="AT18" s="38" t="n">
        <f aca="false">(AP18-AQ18)/2+(AR18-AS18)</f>
        <v>2.5</v>
      </c>
      <c r="AU18" s="38" t="n">
        <f aca="false">AH18+AI18+AJ18+AK18+AM18+AN18</f>
        <v>4</v>
      </c>
      <c r="AV18" s="38" t="n">
        <f aca="false">BF18+BG18+BI18+BD18+BB18+AZ18+BK18</f>
        <v>3</v>
      </c>
      <c r="AW18" s="38" t="e">
        <f aca="false">AT18+AX18</f>
        <v>#VALUE!</v>
      </c>
      <c r="AX18" s="37" t="e">
        <f aca="false"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37" t="n">
        <f aca="false">COUNTIF(C18:AC18,"*BRT*")</f>
        <v>0</v>
      </c>
      <c r="AZ18" s="37" t="n">
        <f aca="false">COUNTIF(A18:AH18,"*$BTP*")</f>
        <v>0</v>
      </c>
      <c r="BA18" s="37" t="e">
        <f aca="false">AZ18*('Setting key Duty'!$I$13+'Setting key Duty'!$I$12+'Setting key Duty'!$I$11)</f>
        <v>#VALUE!</v>
      </c>
      <c r="BB18" s="37" t="n">
        <f aca="false">COUNTIF(I18:AH18,"*$L*")</f>
        <v>0</v>
      </c>
      <c r="BC18" s="37" t="e">
        <f aca="false">BB18*('Setting key Duty'!$I$13+'Setting key Duty'!$I$9)</f>
        <v>#VALUE!</v>
      </c>
      <c r="BD18" s="37" t="n">
        <f aca="false">COUNTIF(I18:AH18,"*$M*")</f>
        <v>1</v>
      </c>
      <c r="BE18" s="37" t="n">
        <f aca="false">BD18*('Setting key Duty'!$I$8+'Setting key Duty'!$I$9+'Setting key Duty'!$I$12)</f>
        <v>0.5625</v>
      </c>
      <c r="BF18" s="37" t="n">
        <f aca="false">COUNTIF(I18:AH18,"*$N*")</f>
        <v>0</v>
      </c>
      <c r="BG18" s="37" t="n">
        <f aca="false">COUNTIF(I18:AH18,"*$PM*")</f>
        <v>0</v>
      </c>
      <c r="BH18" s="37" t="n">
        <f aca="false">BG18*('Setting key Duty'!$I$9)</f>
        <v>0</v>
      </c>
      <c r="BI18" s="37" t="n">
        <f aca="false">COUNTIF(I18:AH18,"*$AM*")</f>
        <v>2</v>
      </c>
      <c r="BJ18" s="37" t="n">
        <f aca="false">BI18*('Setting key Duty'!$I$12+'Setting key Duty'!$I$8)</f>
        <v>0.875</v>
      </c>
      <c r="BK18" s="37" t="n">
        <f aca="false">COUNTIF(C18:AH18,"*$FC*")</f>
        <v>0</v>
      </c>
      <c r="BL18" s="37" t="n">
        <f aca="false">BK18*('Setting key Duty'!$J$11+'Setting key Duty'!$I$8)</f>
        <v>0</v>
      </c>
      <c r="BM18" s="37" t="n">
        <f aca="false">COUNTIF($C18:$AF18,BM$4)</f>
        <v>0</v>
      </c>
      <c r="BN18" s="37" t="n">
        <f aca="false">COUNTIF($C18:$AF18,BN$4)</f>
        <v>0</v>
      </c>
      <c r="BO18" s="37" t="n">
        <f aca="false">COUNTIF($I18:$AE18,BO$4)</f>
        <v>0</v>
      </c>
      <c r="BP18" s="39"/>
    </row>
    <row r="19" customFormat="false" ht="26.25" hidden="false" customHeight="true" outlineLevel="0" collapsed="false">
      <c r="A19" s="30"/>
      <c r="B19" s="53" t="s">
        <v>171</v>
      </c>
      <c r="C19" s="32"/>
      <c r="D19" s="32"/>
      <c r="E19" s="32" t="s">
        <v>59</v>
      </c>
      <c r="F19" s="32"/>
      <c r="G19" s="32"/>
      <c r="H19" s="33"/>
      <c r="I19" s="32" t="s">
        <v>57</v>
      </c>
      <c r="J19" s="33"/>
      <c r="K19" s="34"/>
      <c r="L19" s="32"/>
      <c r="M19" s="32" t="s">
        <v>57</v>
      </c>
      <c r="N19" s="32"/>
      <c r="O19" s="32"/>
      <c r="P19" s="33"/>
      <c r="Q19" s="32"/>
      <c r="R19" s="32" t="s">
        <v>57</v>
      </c>
      <c r="S19" s="32"/>
      <c r="U19" s="32"/>
      <c r="V19" s="32" t="s">
        <v>223</v>
      </c>
      <c r="W19" s="32"/>
      <c r="X19" s="32"/>
      <c r="Y19" s="32"/>
      <c r="Z19" s="32"/>
      <c r="AA19" s="32"/>
      <c r="AB19" s="32"/>
      <c r="AC19" s="32" t="s">
        <v>58</v>
      </c>
      <c r="AD19" s="32"/>
      <c r="AE19" s="32"/>
      <c r="AF19" s="32"/>
      <c r="AG19" s="32"/>
      <c r="AH19" s="35"/>
      <c r="AI19" s="36"/>
      <c r="AJ19" s="35"/>
      <c r="AK19" s="37"/>
      <c r="AL19" s="37"/>
      <c r="AM19" s="37"/>
      <c r="AN19" s="37"/>
      <c r="AO19" s="38"/>
      <c r="AP19" s="37" t="n">
        <f aca="false">SUMPRODUCT(--WEEKDAY(C$3:AG$3,2)&lt;6,--((C19:AG19="DM"))+(C19:AG19="CS1")+((C19:AG19="CS2"))+(C19:AG19="SB1")+(C19:AG19="AE")+(C19:AG19="EM"))</f>
        <v>4</v>
      </c>
      <c r="AQ19" s="38"/>
      <c r="AR19" s="38" t="n">
        <f aca="false">SUMPRODUCT(--WEEKDAY(C$3:AG$3,2)&gt;5,--((C19:AG19="DM"))+(C19:AG19="CS1")+((C19:AG19="CS2"))+(C19:AG19="SB1")+(C19:AG19="AE")+(C19:AG19="EM"))</f>
        <v>1</v>
      </c>
      <c r="AS19" s="38"/>
      <c r="AT19" s="38" t="n">
        <f aca="false">(AP19-AQ19)/2+(AR19-AS19)</f>
        <v>3</v>
      </c>
      <c r="AU19" s="38" t="n">
        <f aca="false">AH19+AI19+AJ19+AK19+AM19+AN19</f>
        <v>0</v>
      </c>
      <c r="AV19" s="38" t="n">
        <f aca="false">BF19+BG19+BI19+BD19+BB19+AZ19+BK19</f>
        <v>0</v>
      </c>
      <c r="AW19" s="38" t="e">
        <f aca="false">AT19+AX19</f>
        <v>#VALUE!</v>
      </c>
      <c r="AX19" s="37" t="e">
        <f aca="false"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37" t="n">
        <f aca="false">COUNTIF(E19:AA19,"*BRT*")</f>
        <v>0</v>
      </c>
      <c r="AZ19" s="37" t="n">
        <f aca="false">COUNTIF(A19:AH19,"*$BTP*")</f>
        <v>0</v>
      </c>
      <c r="BA19" s="37" t="e">
        <f aca="false">AZ19*('Setting key Duty'!$I$13+'Setting key Duty'!$I$12+'Setting key Duty'!$I$11)</f>
        <v>#VALUE!</v>
      </c>
      <c r="BB19" s="37" t="n">
        <f aca="false">COUNTIF(A19:AH19,"*$L*")</f>
        <v>0</v>
      </c>
      <c r="BC19" s="37" t="e">
        <f aca="false">BB19*('Setting key Duty'!$I$13+'Setting key Duty'!$I$9)</f>
        <v>#VALUE!</v>
      </c>
      <c r="BD19" s="37" t="n">
        <f aca="false">COUNTIF(A19:AH19,"*$M*")</f>
        <v>0</v>
      </c>
      <c r="BE19" s="37" t="n">
        <f aca="false">BD19*('Setting key Duty'!$I$8+'Setting key Duty'!$I$9+'Setting key Duty'!$I$12)</f>
        <v>0</v>
      </c>
      <c r="BF19" s="37" t="n">
        <f aca="false">COUNTIF(AG19:AH19,"*$N*")</f>
        <v>0</v>
      </c>
      <c r="BG19" s="37" t="n">
        <f aca="false">COUNTIF(AG19:AH19,"*$PM*")</f>
        <v>0</v>
      </c>
      <c r="BH19" s="37" t="n">
        <f aca="false">BG19*('Setting key Duty'!$I$9)</f>
        <v>0</v>
      </c>
      <c r="BI19" s="37" t="n">
        <f aca="false">COUNTIF(A19:AH19,"*$AM*")</f>
        <v>0</v>
      </c>
      <c r="BJ19" s="37" t="n">
        <f aca="false">BI19*('Setting key Duty'!$I$12+'Setting key Duty'!$I$8)</f>
        <v>0</v>
      </c>
      <c r="BK19" s="37" t="n">
        <f aca="false">COUNTIF(E19:AH19,"*$FC*")</f>
        <v>0</v>
      </c>
      <c r="BL19" s="37" t="n">
        <f aca="false">BK19*('Setting key Duty'!$J$11+'Setting key Duty'!$I$8)</f>
        <v>0</v>
      </c>
      <c r="BM19" s="37" t="n">
        <f aca="false">COUNTIF($E19:$AA19,BM$4)</f>
        <v>0</v>
      </c>
      <c r="BN19" s="37" t="n">
        <f aca="false">COUNTIF($E19:$AA19,BN$4)</f>
        <v>0</v>
      </c>
      <c r="BO19" s="37" t="n">
        <f aca="false">COUNTIF($E19:$AA19,BO$4)</f>
        <v>0</v>
      </c>
      <c r="BP19" s="39"/>
    </row>
    <row r="20" customFormat="false" ht="19.5" hidden="false" customHeight="true" outlineLevel="0" collapsed="false">
      <c r="A20" s="30"/>
      <c r="B20" s="54" t="s">
        <v>82</v>
      </c>
      <c r="C20" s="32"/>
      <c r="D20" s="32"/>
      <c r="E20" s="32"/>
      <c r="G20" s="32"/>
      <c r="H20" s="32"/>
      <c r="I20" s="32"/>
      <c r="J20" s="32" t="s">
        <v>57</v>
      </c>
      <c r="K20" s="32"/>
      <c r="L20" s="34" t="s">
        <v>57</v>
      </c>
      <c r="M20" s="34"/>
      <c r="N20" s="32"/>
      <c r="O20" s="32"/>
      <c r="P20" s="32"/>
      <c r="Q20" s="33"/>
      <c r="R20" s="32"/>
      <c r="S20" s="32" t="s">
        <v>57</v>
      </c>
      <c r="T20" s="32"/>
      <c r="U20" s="32"/>
      <c r="V20" s="32" t="s">
        <v>57</v>
      </c>
      <c r="W20" s="32"/>
      <c r="X20" s="32" t="s">
        <v>57</v>
      </c>
      <c r="Y20" s="32"/>
      <c r="Z20" s="32"/>
      <c r="AA20" s="32"/>
      <c r="AB20" s="32" t="s">
        <v>57</v>
      </c>
      <c r="AC20" s="32"/>
      <c r="AD20" s="32"/>
      <c r="AE20" s="32"/>
      <c r="AF20" s="32"/>
      <c r="AG20" s="32"/>
      <c r="AH20" s="35"/>
      <c r="AI20" s="36"/>
      <c r="AJ20" s="35"/>
      <c r="AK20" s="37"/>
      <c r="AL20" s="37"/>
      <c r="AM20" s="37"/>
      <c r="AN20" s="37"/>
      <c r="AO20" s="38"/>
      <c r="AP20" s="37" t="n">
        <f aca="false">SUMPRODUCT(--WEEKDAY(C$3:AG$3,2)&lt;6,--((C20:AG20="DM"))+(C20:AG20="CS1")+((C20:AG20="CS2"))+(C20:AG20="SB1")+(C20:AG20="AE")+(C20:AG20="EM"))</f>
        <v>5</v>
      </c>
      <c r="AQ20" s="38"/>
      <c r="AR20" s="38" t="n">
        <f aca="false">SUMPRODUCT(--WEEKDAY(C$3:AG$3,2)&gt;5,--((C20:AG20="DM"))+(C20:AG20="CS1")+((C20:AG20="CS2"))+(C20:AG20="SB1")+(C20:AG20="AE")+(C20:AG20="EM"))</f>
        <v>1</v>
      </c>
      <c r="AS20" s="38"/>
      <c r="AT20" s="38" t="n">
        <f aca="false">(AP20-AQ20)/2+(AR20-AS20)</f>
        <v>3.5</v>
      </c>
      <c r="AU20" s="38" t="n">
        <f aca="false">AH20+AI20+AJ20+AK20+AM20+AN20</f>
        <v>0</v>
      </c>
      <c r="AV20" s="38" t="n">
        <f aca="false">BF20+BG20+BI20+BD20+BB20+AZ20+BK20</f>
        <v>0</v>
      </c>
      <c r="AW20" s="38" t="e">
        <f aca="false">AT20+AX20</f>
        <v>#VALUE!</v>
      </c>
      <c r="AX20" s="37" t="e">
        <f aca="false"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37" t="n">
        <f aca="false">COUNTIF(C20:AC20,"*BRT*")</f>
        <v>0</v>
      </c>
      <c r="AZ20" s="37" t="n">
        <f aca="false">COUNTIF(A20:AH20,"*$BTP*")</f>
        <v>0</v>
      </c>
      <c r="BA20" s="37" t="e">
        <f aca="false">AZ20*('Setting key Duty'!$I$13+'Setting key Duty'!$I$12+'Setting key Duty'!$I$11)</f>
        <v>#VALUE!</v>
      </c>
      <c r="BB20" s="37" t="n">
        <f aca="false">COUNTIF(A20:AH20,"*$L*")</f>
        <v>0</v>
      </c>
      <c r="BC20" s="37" t="e">
        <f aca="false">BB20*('Setting key Duty'!$I$13+'Setting key Duty'!$I$9)</f>
        <v>#VALUE!</v>
      </c>
      <c r="BD20" s="37" t="n">
        <f aca="false">COUNTIF(A20:AH20,"*$M*")</f>
        <v>0</v>
      </c>
      <c r="BE20" s="37" t="n">
        <f aca="false">BD20*('Setting key Duty'!$I$8+'Setting key Duty'!$I$9+'Setting key Duty'!$I$12)</f>
        <v>0</v>
      </c>
      <c r="BF20" s="37" t="n">
        <f aca="false">COUNTIF(AH20,"*$N*")</f>
        <v>0</v>
      </c>
      <c r="BG20" s="37" t="n">
        <f aca="false">COUNTIF(AH20,"*$PM*")</f>
        <v>0</v>
      </c>
      <c r="BH20" s="37" t="n">
        <f aca="false">BG20*('Setting key Duty'!$I$9)</f>
        <v>0</v>
      </c>
      <c r="BI20" s="37" t="n">
        <f aca="false">COUNTIF(A20:AH20,"*$AM*")</f>
        <v>0</v>
      </c>
      <c r="BJ20" s="37" t="n">
        <f aca="false">BI20*('Setting key Duty'!$I$12+'Setting key Duty'!$I$8)</f>
        <v>0</v>
      </c>
      <c r="BK20" s="37" t="n">
        <f aca="false">COUNTIF(C20:AH20,"*$FC*")</f>
        <v>0</v>
      </c>
      <c r="BL20" s="37" t="n">
        <f aca="false">BK20*('Setting key Duty'!$J$11+'Setting key Duty'!$I$8)</f>
        <v>0</v>
      </c>
      <c r="BM20" s="37" t="n">
        <f aca="false">COUNTIF($C20:$AC20,BM$4)</f>
        <v>0</v>
      </c>
      <c r="BN20" s="37" t="n">
        <f aca="false">COUNTIF($C20:$AC20,BN$4)</f>
        <v>0</v>
      </c>
      <c r="BO20" s="37" t="n">
        <f aca="false">COUNTIF($C20:$AC20,BO$4)</f>
        <v>0</v>
      </c>
      <c r="BP20" s="39"/>
    </row>
    <row r="21" customFormat="false" ht="19.5" hidden="false" customHeight="true" outlineLevel="0" collapsed="false">
      <c r="A21" s="30"/>
      <c r="B21" s="48" t="s">
        <v>83</v>
      </c>
      <c r="C21" s="32"/>
      <c r="D21" s="32"/>
      <c r="E21" s="33"/>
      <c r="F21" s="32" t="s">
        <v>56</v>
      </c>
      <c r="G21" s="33"/>
      <c r="H21" s="32" t="s">
        <v>58</v>
      </c>
      <c r="I21" s="32"/>
      <c r="J21" s="32"/>
      <c r="K21" s="32"/>
      <c r="L21" s="32"/>
      <c r="M21" s="32" t="s">
        <v>229</v>
      </c>
      <c r="N21" s="32"/>
      <c r="O21" s="32"/>
      <c r="P21" s="32"/>
      <c r="Q21" s="32" t="s">
        <v>56</v>
      </c>
      <c r="R21" s="32"/>
      <c r="S21" s="32"/>
      <c r="T21" s="32"/>
      <c r="U21" s="32"/>
      <c r="X21" s="32" t="s">
        <v>56</v>
      </c>
      <c r="Z21" s="32"/>
      <c r="AA21" s="32"/>
      <c r="AB21" s="32"/>
      <c r="AC21" s="32" t="s">
        <v>59</v>
      </c>
      <c r="AD21" s="32"/>
      <c r="AE21" s="32"/>
      <c r="AF21" s="32"/>
      <c r="AG21" s="32"/>
      <c r="AH21" s="35"/>
      <c r="AI21" s="36"/>
      <c r="AJ21" s="35"/>
      <c r="AK21" s="37"/>
      <c r="AL21" s="37"/>
      <c r="AM21" s="37"/>
      <c r="AN21" s="37"/>
      <c r="AO21" s="38"/>
      <c r="AP21" s="37" t="n">
        <f aca="false">SUMPRODUCT(--WEEKDAY(C$3:AG$3,2)&lt;6,--((C21:AG21="DM"))+(C21:AG21="CS1")+((C21:AG21="CS2"))+(C21:AG21="SB1")+(C21:AG21="AE")+(C21:AG21="EM"))</f>
        <v>4</v>
      </c>
      <c r="AQ21" s="38"/>
      <c r="AR21" s="38" t="n">
        <f aca="false">SUMPRODUCT(--WEEKDAY(C$3:AG$3,2)&gt;5,--((C21:AG21="DM"))+(C21:AG21="CS1")+((C21:AG21="CS2"))+(C21:AG21="SB1")+(C21:AG21="AE")+(C21:AG21="EM"))</f>
        <v>1</v>
      </c>
      <c r="AS21" s="38"/>
      <c r="AT21" s="38" t="n">
        <f aca="false">(AP21-AQ21)/2+(AR21-AS21)</f>
        <v>3</v>
      </c>
      <c r="AU21" s="38" t="n">
        <f aca="false">AH21+AI21+AJ21+AK21+AM21+AN21</f>
        <v>0</v>
      </c>
      <c r="AV21" s="38" t="n">
        <f aca="false">BF21+BG21+BI21+BD21+BB21+AZ21+BK21</f>
        <v>0</v>
      </c>
      <c r="AW21" s="38" t="e">
        <f aca="false">AT21+AX21</f>
        <v>#VALUE!</v>
      </c>
      <c r="AX21" s="37" t="e">
        <f aca="false"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37" t="n">
        <f aca="false">COUNTIF(D21:AC21,"*BRT*")</f>
        <v>0</v>
      </c>
      <c r="AZ21" s="37" t="n">
        <f aca="false">COUNTIF(A21:AH21,"*$BTP*")</f>
        <v>0</v>
      </c>
      <c r="BA21" s="37" t="e">
        <f aca="false">AZ21*('Setting key Duty'!$I$13+'Setting key Duty'!$I$12+'Setting key Duty'!$I$11)</f>
        <v>#VALUE!</v>
      </c>
      <c r="BB21" s="37" t="n">
        <f aca="false">COUNTIF(A21:AH21,"*$L*")</f>
        <v>0</v>
      </c>
      <c r="BC21" s="37" t="e">
        <f aca="false">BB21*('Setting key Duty'!$I$13+'Setting key Duty'!$I$9)</f>
        <v>#VALUE!</v>
      </c>
      <c r="BD21" s="37" t="n">
        <f aca="false">COUNTIF(A21:AH21,"*$M*")</f>
        <v>0</v>
      </c>
      <c r="BE21" s="37" t="n">
        <f aca="false">BD21*('Setting key Duty'!$I$8+'Setting key Duty'!$I$9+'Setting key Duty'!$I$12)</f>
        <v>0</v>
      </c>
      <c r="BF21" s="37" t="n">
        <f aca="false">COUNTIF(AF21:AH21,"*$N*")</f>
        <v>0</v>
      </c>
      <c r="BG21" s="37" t="n">
        <f aca="false">COUNTIF(AF21:AH21,"*$PM*")</f>
        <v>0</v>
      </c>
      <c r="BH21" s="37" t="n">
        <f aca="false">BG21*('Setting key Duty'!$I$9)</f>
        <v>0</v>
      </c>
      <c r="BI21" s="37" t="n">
        <f aca="false">COUNTIF(A21:AH21,"*$AM*")</f>
        <v>0</v>
      </c>
      <c r="BJ21" s="37" t="n">
        <f aca="false">BI21*('Setting key Duty'!$I$12+'Setting key Duty'!$I$8)</f>
        <v>0</v>
      </c>
      <c r="BK21" s="37" t="n">
        <f aca="false">COUNTIF(D21:AH21,"*$FC*")</f>
        <v>0</v>
      </c>
      <c r="BL21" s="37" t="n">
        <f aca="false">BK21*('Setting key Duty'!$J$11+'Setting key Duty'!$I$8)</f>
        <v>0</v>
      </c>
      <c r="BM21" s="37" t="n">
        <f aca="false">COUNTIF($D21:$AE21,BM$4)</f>
        <v>0</v>
      </c>
      <c r="BN21" s="37" t="n">
        <f aca="false">COUNTIF($D21:$AE21,BN$4)</f>
        <v>0</v>
      </c>
      <c r="BO21" s="37" t="n">
        <f aca="false">COUNTIF($D21:$AE21,BO$4)</f>
        <v>0</v>
      </c>
      <c r="BP21" s="39"/>
    </row>
    <row r="22" customFormat="false" ht="19.5" hidden="false" customHeight="true" outlineLevel="0" collapsed="false">
      <c r="A22" s="30"/>
      <c r="B22" s="40" t="s">
        <v>84</v>
      </c>
      <c r="C22" s="32" t="s">
        <v>57</v>
      </c>
      <c r="D22" s="32"/>
      <c r="E22" s="34"/>
      <c r="F22" s="32"/>
      <c r="G22" s="32"/>
      <c r="H22" s="33"/>
      <c r="I22" s="32"/>
      <c r="J22" s="32" t="s">
        <v>59</v>
      </c>
      <c r="K22" s="32"/>
      <c r="L22" s="42" t="s">
        <v>59</v>
      </c>
      <c r="M22" s="33"/>
      <c r="N22" s="32"/>
      <c r="O22" s="32" t="s">
        <v>56</v>
      </c>
      <c r="P22" s="32"/>
      <c r="Q22" s="32"/>
      <c r="R22" s="32"/>
      <c r="S22" s="32"/>
      <c r="T22" s="32"/>
      <c r="U22" s="32"/>
      <c r="V22" s="32" t="s">
        <v>223</v>
      </c>
      <c r="W22" s="32" t="s">
        <v>59</v>
      </c>
      <c r="X22" s="32"/>
      <c r="Y22" s="32" t="s">
        <v>57</v>
      </c>
      <c r="Z22" s="32"/>
      <c r="AA22" s="47"/>
      <c r="AB22" s="32" t="s">
        <v>56</v>
      </c>
      <c r="AC22" s="32"/>
      <c r="AD22" s="32"/>
      <c r="AE22" s="32"/>
      <c r="AF22" s="32"/>
      <c r="AG22" s="32" t="s">
        <v>69</v>
      </c>
      <c r="AH22" s="35"/>
      <c r="AI22" s="36"/>
      <c r="AJ22" s="35"/>
      <c r="AK22" s="37"/>
      <c r="AL22" s="37"/>
      <c r="AM22" s="37"/>
      <c r="AN22" s="37"/>
      <c r="AO22" s="38"/>
      <c r="AP22" s="37" t="n">
        <f aca="false">SUMPRODUCT(--WEEKDAY(C$3:AG$3,2)&lt;6,--((C22:AG22="DM"))+(C22:AG22="CS1")+((C22:AG22="CS2"))+(C22:AG22="SB1")+(C22:AG22="AE")+(C22:AG22="EM"))</f>
        <v>6</v>
      </c>
      <c r="AQ22" s="38"/>
      <c r="AR22" s="38" t="n">
        <f aca="false">SUMPRODUCT(--WEEKDAY(C$3:AG$3,2)&gt;5,--((C22:AG22="DM"))+(C22:AG22="CS1")+((C22:AG22="CS2"))+(C22:AG22="SB1")+(C22:AG22="AE")+(C22:AG22="EM"))</f>
        <v>1</v>
      </c>
      <c r="AS22" s="38"/>
      <c r="AT22" s="38" t="n">
        <f aca="false">(AP22-AQ22)/2+(AR22-AS22)</f>
        <v>4</v>
      </c>
      <c r="AU22" s="38" t="n">
        <f aca="false">AH22+AI22+AJ22+AK22+AM22+AN22</f>
        <v>0</v>
      </c>
      <c r="AV22" s="38" t="n">
        <f aca="false">BF22+BG22+BI22+BD22+BB22+AZ22+BK22</f>
        <v>0</v>
      </c>
      <c r="AW22" s="38" t="e">
        <f aca="false">AT22+AX22</f>
        <v>#VALUE!</v>
      </c>
      <c r="AX22" s="37" t="e">
        <f aca="false"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37" t="n">
        <f aca="false">COUNTIF(D22:AB22,"*BRT*")</f>
        <v>0</v>
      </c>
      <c r="AZ22" s="37" t="n">
        <f aca="false">COUNTIF(A22:AH22,"*$BTP*")</f>
        <v>0</v>
      </c>
      <c r="BA22" s="37" t="e">
        <f aca="false">AZ22*('Setting key Duty'!$I$13+'Setting key Duty'!$I$12+'Setting key Duty'!$I$11)</f>
        <v>#VALUE!</v>
      </c>
      <c r="BB22" s="37" t="n">
        <f aca="false">COUNTIF(A22:AH22,"*$L*")</f>
        <v>0</v>
      </c>
      <c r="BC22" s="37" t="e">
        <f aca="false">BB22*('Setting key Duty'!$I$13+'Setting key Duty'!$I$9)</f>
        <v>#VALUE!</v>
      </c>
      <c r="BD22" s="37" t="n">
        <f aca="false">COUNTIF(A22:AH22,"*$M*")</f>
        <v>0</v>
      </c>
      <c r="BE22" s="37" t="n">
        <f aca="false">BD22*('Setting key Duty'!$I$8+'Setting key Duty'!$I$9+'Setting key Duty'!$I$12)</f>
        <v>0</v>
      </c>
      <c r="BF22" s="37" t="n">
        <f aca="false">COUNTIF(AF22:AH22,"*$N*")</f>
        <v>0</v>
      </c>
      <c r="BG22" s="37" t="n">
        <f aca="false">COUNTIF(AF22:AH22,"*$PM*")</f>
        <v>0</v>
      </c>
      <c r="BH22" s="37" t="n">
        <f aca="false">BG22*('Setting key Duty'!$I$9)</f>
        <v>0</v>
      </c>
      <c r="BI22" s="37" t="n">
        <f aca="false">COUNTIF(A22:AH22,"*$AM*")</f>
        <v>0</v>
      </c>
      <c r="BJ22" s="37" t="n">
        <f aca="false">BI22*('Setting key Duty'!$I$12+'Setting key Duty'!$I$8)</f>
        <v>0</v>
      </c>
      <c r="BK22" s="37" t="n">
        <f aca="false">COUNTIF(D22:AH22,"*$FC*")</f>
        <v>0</v>
      </c>
      <c r="BL22" s="37" t="n">
        <f aca="false">BK22*('Setting key Duty'!$J$11+'Setting key Duty'!$I$8)</f>
        <v>0</v>
      </c>
      <c r="BM22" s="37" t="n">
        <f aca="false">COUNTIF($D22:$AE22,BM$4)</f>
        <v>0</v>
      </c>
      <c r="BN22" s="37" t="n">
        <f aca="false">COUNTIF($D22:$AE22,BN$4)</f>
        <v>0</v>
      </c>
      <c r="BO22" s="37" t="n">
        <f aca="false">COUNTIF($D22:$AE22,BO$4)</f>
        <v>0</v>
      </c>
      <c r="BP22" s="39"/>
    </row>
    <row r="23" customFormat="false" ht="19.5" hidden="false" customHeight="true" outlineLevel="0" collapsed="false">
      <c r="A23" s="30"/>
      <c r="B23" s="48" t="s">
        <v>134</v>
      </c>
      <c r="C23" s="42"/>
      <c r="D23" s="42" t="s">
        <v>65</v>
      </c>
      <c r="E23" s="33"/>
      <c r="F23" s="32" t="s">
        <v>58</v>
      </c>
      <c r="G23" s="45"/>
      <c r="H23" s="42"/>
      <c r="I23" s="32" t="s">
        <v>230</v>
      </c>
      <c r="J23" s="33"/>
      <c r="K23" s="33"/>
      <c r="L23" s="32"/>
      <c r="M23" s="32"/>
      <c r="O23" s="33"/>
      <c r="P23" s="32" t="s">
        <v>58</v>
      </c>
      <c r="Q23" s="32"/>
      <c r="R23" s="32" t="s">
        <v>132</v>
      </c>
      <c r="T23" s="42" t="s">
        <v>65</v>
      </c>
      <c r="U23" s="33"/>
      <c r="V23" s="32"/>
      <c r="Y23" s="34" t="s">
        <v>231</v>
      </c>
      <c r="Z23" s="34" t="s">
        <v>231</v>
      </c>
      <c r="AA23" s="34" t="s">
        <v>231</v>
      </c>
      <c r="AB23" s="34" t="s">
        <v>231</v>
      </c>
      <c r="AC23" s="34" t="s">
        <v>231</v>
      </c>
      <c r="AD23" s="32" t="s">
        <v>96</v>
      </c>
      <c r="AE23" s="32"/>
      <c r="AF23" s="32"/>
      <c r="AG23" s="32" t="s">
        <v>96</v>
      </c>
      <c r="AH23" s="35"/>
      <c r="AI23" s="36"/>
      <c r="AJ23" s="35"/>
      <c r="AK23" s="37"/>
      <c r="AL23" s="37"/>
      <c r="AM23" s="37"/>
      <c r="AN23" s="37"/>
      <c r="AO23" s="38"/>
      <c r="AP23" s="37" t="n">
        <f aca="false">SUMPRODUCT(--WEEKDAY(C$3:AG$3,2)&lt;6,--((C23:AG23="DM"))+(C23:AG23="CS1")+((C23:AG23="CS2"))+(C23:AG23="SB1")+(C23:AG23="AE")+(C23:AG23="EM"))</f>
        <v>2</v>
      </c>
      <c r="AQ23" s="38"/>
      <c r="AR23" s="38" t="n">
        <f aca="false">SUMPRODUCT(--WEEKDAY(C$3:AG$3,2)&gt;5,--((C23:AG23="DM"))+(C23:AG23="CS1")+((C23:AG23="CS2"))+(C23:AG23="SB1")+(C23:AG23="AE")+(C23:AG23="EM"))</f>
        <v>2</v>
      </c>
      <c r="AS23" s="38"/>
      <c r="AT23" s="38" t="n">
        <f aca="false">(AP23-AQ23)/2+(AR23-AS23)</f>
        <v>3</v>
      </c>
      <c r="AU23" s="38" t="n">
        <f aca="false">AH23+AI23+AJ23+AK23+AM23+AN23</f>
        <v>0</v>
      </c>
      <c r="AV23" s="38" t="n">
        <f aca="false">BF23+BG23+BI23+BD23+BB23+AZ23+BK23</f>
        <v>0</v>
      </c>
      <c r="AW23" s="38" t="e">
        <f aca="false">AT23+$AX$10</f>
        <v>#VALUE!</v>
      </c>
      <c r="AX23" s="37" t="e">
        <f aca="false"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9"/>
    </row>
    <row r="24" customFormat="false" ht="19.5" hidden="false" customHeight="true" outlineLevel="0" collapsed="false">
      <c r="A24" s="30"/>
      <c r="B24" s="53" t="s">
        <v>85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5"/>
      <c r="AI24" s="36"/>
      <c r="AJ24" s="35"/>
      <c r="AK24" s="37"/>
      <c r="AL24" s="37"/>
      <c r="AM24" s="37"/>
      <c r="AN24" s="37"/>
      <c r="AO24" s="38"/>
      <c r="AP24" s="37" t="n">
        <f aca="false">SUMPRODUCT(--WEEKDAY(C$3:AG$3,2)&lt;6,--((C24:AG24="DM"))+(C24:AG24="CS1")+((C24:AG24="CS2"))+(C24:AG24="SB1")+(C24:AG24="AE")+(C24:AG24="EM"))</f>
        <v>0</v>
      </c>
      <c r="AQ24" s="38"/>
      <c r="AR24" s="38" t="n">
        <f aca="false">SUMPRODUCT(--WEEKDAY(C$3:AG$3,2)&gt;5,--((C24:AG24="DM"))+(C24:AG24="CS1")+((C24:AG24="CS2"))+(C24:AG24="SB1")+(C24:AG24="AE")+(C24:AG24="EM"))</f>
        <v>0</v>
      </c>
      <c r="AS24" s="38"/>
      <c r="AT24" s="38" t="n">
        <f aca="false">(AP24-AQ24)/2+(AR24-AS24)</f>
        <v>0</v>
      </c>
      <c r="AU24" s="38" t="n">
        <f aca="false">AH24+AI24+AJ24+AK24+AM24+AN24</f>
        <v>0</v>
      </c>
      <c r="AV24" s="38" t="n">
        <f aca="false">BF24+BG24+BI24+BD24+BB24+AZ24+BK24</f>
        <v>0</v>
      </c>
      <c r="AW24" s="38" t="e">
        <f aca="false">AT24+AX24</f>
        <v>#VALUE!</v>
      </c>
      <c r="AX24" s="37" t="e">
        <f aca="false"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37" t="n">
        <f aca="false">COUNTIF(D24:AC24,"*BRT*")</f>
        <v>0</v>
      </c>
      <c r="AZ24" s="37" t="n">
        <f aca="false">COUNTIF(A24:AH24,"*$BTP*")</f>
        <v>0</v>
      </c>
      <c r="BA24" s="37" t="e">
        <f aca="false">AZ24*('Setting key Duty'!$I$13+'Setting key Duty'!$I$12+'Setting key Duty'!$I$11)</f>
        <v>#VALUE!</v>
      </c>
      <c r="BB24" s="37" t="n">
        <f aca="false">COUNTIF(A24:AH24,"*$L*")</f>
        <v>0</v>
      </c>
      <c r="BC24" s="37" t="e">
        <f aca="false">BB24*('Setting key Duty'!$I$13+'Setting key Duty'!$I$9)</f>
        <v>#VALUE!</v>
      </c>
      <c r="BD24" s="37" t="n">
        <f aca="false">COUNTIF(A24:AH24,"*$M*")</f>
        <v>0</v>
      </c>
      <c r="BE24" s="37" t="n">
        <f aca="false">BD24*('Setting key Duty'!$I$8+'Setting key Duty'!$I$9+'Setting key Duty'!$I$12)</f>
        <v>0</v>
      </c>
      <c r="BF24" s="37" t="n">
        <f aca="false">COUNTIF(AH24,"*$N*")</f>
        <v>0</v>
      </c>
      <c r="BG24" s="37" t="n">
        <f aca="false">COUNTIF(AH24,"*$PM*")</f>
        <v>0</v>
      </c>
      <c r="BH24" s="37" t="n">
        <f aca="false">BG24*('Setting key Duty'!$I$9)</f>
        <v>0</v>
      </c>
      <c r="BI24" s="37" t="n">
        <f aca="false">COUNTIF(A24:AH24,"*$AM*")</f>
        <v>0</v>
      </c>
      <c r="BJ24" s="37" t="n">
        <f aca="false">BI24*('Setting key Duty'!$I$12+'Setting key Duty'!$I$8)</f>
        <v>0</v>
      </c>
      <c r="BK24" s="37" t="n">
        <f aca="false">COUNTIF(D24:AH24,"*$FC*")</f>
        <v>0</v>
      </c>
      <c r="BL24" s="37" t="n">
        <f aca="false">BK24*('Setting key Duty'!$J$11+'Setting key Duty'!$I$8)</f>
        <v>0</v>
      </c>
      <c r="BM24" s="37" t="n">
        <f aca="false">COUNTIF($D24:$AC24,BM$4)</f>
        <v>0</v>
      </c>
      <c r="BN24" s="37" t="n">
        <f aca="false">COUNTIF($D24:$AC24,BN$4)</f>
        <v>0</v>
      </c>
      <c r="BO24" s="37" t="n">
        <f aca="false">COUNTIF($D24:$AC24,BO$4)</f>
        <v>0</v>
      </c>
      <c r="BP24" s="39"/>
    </row>
    <row r="25" customFormat="false" ht="19.5" hidden="false" customHeight="true" outlineLevel="0" collapsed="false">
      <c r="A25" s="30"/>
      <c r="B25" s="55" t="s">
        <v>86</v>
      </c>
      <c r="C25" s="32"/>
      <c r="D25" s="34"/>
      <c r="E25" s="32"/>
      <c r="F25" s="32" t="s">
        <v>57</v>
      </c>
      <c r="G25" s="32"/>
      <c r="H25" s="45"/>
      <c r="I25" s="34"/>
      <c r="J25" s="42" t="s">
        <v>58</v>
      </c>
      <c r="K25" s="32"/>
      <c r="L25" s="32"/>
      <c r="M25" s="32"/>
      <c r="N25" s="32"/>
      <c r="O25" s="32"/>
      <c r="P25" s="32" t="s">
        <v>59</v>
      </c>
      <c r="Q25" s="32"/>
      <c r="R25" s="32"/>
      <c r="S25" s="32" t="s">
        <v>59</v>
      </c>
      <c r="T25" s="32"/>
      <c r="U25" s="32"/>
      <c r="V25" s="32" t="s">
        <v>56</v>
      </c>
      <c r="X25" s="92" t="s">
        <v>232</v>
      </c>
      <c r="Y25" s="32" t="s">
        <v>56</v>
      </c>
      <c r="AA25" s="32"/>
      <c r="AB25" s="32"/>
      <c r="AC25" s="32"/>
      <c r="AD25" s="32"/>
      <c r="AE25" s="32"/>
      <c r="AF25" s="32"/>
      <c r="AG25" s="32"/>
      <c r="AH25" s="35"/>
      <c r="AI25" s="36"/>
      <c r="AJ25" s="35"/>
      <c r="AK25" s="37"/>
      <c r="AL25" s="37"/>
      <c r="AM25" s="37"/>
      <c r="AN25" s="37"/>
      <c r="AO25" s="38"/>
      <c r="AP25" s="37" t="n">
        <f aca="false">SUMPRODUCT(--WEEKDAY(C$3:AG$3,2)&lt;6,--((C25:AG25="DM"))+(C25:AG25="CS1")+((C25:AG25="CS2"))+(C25:AG25="SB1")+(C25:AG25="AE")+(C25:AG25="EM"))</f>
        <v>5</v>
      </c>
      <c r="AQ25" s="38"/>
      <c r="AR25" s="38" t="n">
        <f aca="false">SUMPRODUCT(--WEEKDAY(C$3:AG$3,2)&gt;5,--((C25:AG25="DM"))+(C25:AG25="CS1")+((C25:AG25="CS2"))+(C25:AG25="SB1")+(C25:AG25="AE")+(C25:AG25="EM"))</f>
        <v>1</v>
      </c>
      <c r="AS25" s="38"/>
      <c r="AT25" s="38" t="n">
        <f aca="false">(AP25-AQ25)/2+(AR25-AS25)</f>
        <v>3.5</v>
      </c>
      <c r="AU25" s="38" t="n">
        <f aca="false">AH25+AI25+AJ25+AK25+AM25+AN25</f>
        <v>0</v>
      </c>
      <c r="AV25" s="38" t="n">
        <f aca="false">BF25+BG25+BI25+BD25+BB25+AZ25+BK25</f>
        <v>0</v>
      </c>
      <c r="AW25" s="38" t="e">
        <f aca="false">AT25+AX25</f>
        <v>#VALUE!</v>
      </c>
      <c r="AX25" s="37" t="e">
        <f aca="false"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37" t="n">
        <f aca="false">COUNTIF(D25:AC25,"*BRT*")</f>
        <v>0</v>
      </c>
      <c r="AZ25" s="37" t="n">
        <f aca="false">COUNTIF(A25:AH25,"*$BTP*")</f>
        <v>0</v>
      </c>
      <c r="BA25" s="37" t="e">
        <f aca="false">AZ25*('Setting key Duty'!$I$13+'Setting key Duty'!$I$12+'Setting key Duty'!$I$11)</f>
        <v>#VALUE!</v>
      </c>
      <c r="BB25" s="37" t="n">
        <f aca="false">COUNTIF(A25:AH25,"*$L*")</f>
        <v>0</v>
      </c>
      <c r="BC25" s="37" t="e">
        <f aca="false">BB25*('Setting key Duty'!$I$13+'Setting key Duty'!$I$9)</f>
        <v>#VALUE!</v>
      </c>
      <c r="BD25" s="37" t="n">
        <f aca="false">COUNTIF(A25:AH25,"*$M*")</f>
        <v>0</v>
      </c>
      <c r="BE25" s="37" t="n">
        <f aca="false">BD25*('Setting key Duty'!$I$8+'Setting key Duty'!$I$9+'Setting key Duty'!$I$12)</f>
        <v>0</v>
      </c>
      <c r="BF25" s="37" t="n">
        <f aca="false">COUNTIF(AE25:AH25,"*$N*")</f>
        <v>0</v>
      </c>
      <c r="BG25" s="37" t="n">
        <f aca="false">COUNTIF(AE25:AH25,"*$PM*")</f>
        <v>0</v>
      </c>
      <c r="BH25" s="37" t="n">
        <f aca="false">BG25*('Setting key Duty'!$I$9)</f>
        <v>0</v>
      </c>
      <c r="BI25" s="37" t="n">
        <f aca="false">COUNTIF(A25:AH25,"*$AM*")</f>
        <v>0</v>
      </c>
      <c r="BJ25" s="37" t="n">
        <f aca="false">BI25*('Setting key Duty'!$I$12+'Setting key Duty'!$I$8)</f>
        <v>0</v>
      </c>
      <c r="BK25" s="37" t="n">
        <f aca="false">COUNTIF(D25:AH25,"*$FC*")</f>
        <v>0</v>
      </c>
      <c r="BL25" s="37" t="n">
        <f aca="false">BK25*('Setting key Duty'!$J$11+'Setting key Duty'!$I$8)</f>
        <v>0</v>
      </c>
      <c r="BM25" s="37" t="n">
        <f aca="false">COUNTIF($D25:$AE25,BM$4)</f>
        <v>0</v>
      </c>
      <c r="BN25" s="37" t="n">
        <f aca="false">COUNTIF($D25:$AE25,BN$4)</f>
        <v>0</v>
      </c>
      <c r="BO25" s="37" t="n">
        <f aca="false">COUNTIF($D25:$AE25,BO$4)</f>
        <v>0</v>
      </c>
      <c r="BP25" s="39"/>
    </row>
    <row r="26" customFormat="false" ht="19.5" hidden="false" customHeight="true" outlineLevel="0" collapsed="false">
      <c r="A26" s="30"/>
      <c r="B26" s="49" t="s">
        <v>233</v>
      </c>
      <c r="C26" s="32"/>
      <c r="D26" s="32"/>
      <c r="E26" s="32"/>
      <c r="F26" s="32" t="s">
        <v>59</v>
      </c>
      <c r="G26" s="34"/>
      <c r="H26" s="45"/>
      <c r="I26" s="45"/>
      <c r="K26" s="32" t="s">
        <v>57</v>
      </c>
      <c r="L26" s="32"/>
      <c r="M26" s="32" t="s">
        <v>56</v>
      </c>
      <c r="N26" s="33"/>
      <c r="O26" s="32"/>
      <c r="P26" s="32"/>
      <c r="Q26" s="32"/>
      <c r="R26" s="32" t="s">
        <v>234</v>
      </c>
      <c r="S26" s="32" t="s">
        <v>235</v>
      </c>
      <c r="U26" s="32"/>
      <c r="V26" s="32"/>
      <c r="W26" s="33"/>
      <c r="X26" s="32" t="s">
        <v>61</v>
      </c>
      <c r="Z26" s="32" t="s">
        <v>236</v>
      </c>
      <c r="AB26" s="34"/>
      <c r="AG26" s="32"/>
      <c r="AH26" s="35"/>
      <c r="AI26" s="36"/>
      <c r="AJ26" s="35"/>
      <c r="AK26" s="37"/>
      <c r="AL26" s="37"/>
      <c r="AM26" s="37"/>
      <c r="AN26" s="37"/>
      <c r="AO26" s="38"/>
      <c r="AP26" s="37" t="n">
        <f aca="false">SUMPRODUCT(--WEEKDAY(C$3:AG$3,2)&lt;6,--((C26:AG26="DM"))+(C26:AG26="CS1")+((C26:AG26="CS2"))+(C26:AG26="SB1")+(C26:AG26="AE")+(C26:AG26="EM"))</f>
        <v>1</v>
      </c>
      <c r="AQ26" s="38"/>
      <c r="AR26" s="38" t="n">
        <f aca="false">SUMPRODUCT(--WEEKDAY(C$3:AG$3,2)&gt;5,--((C26:AG26="DM"))+(C26:AG26="CS1")+((C26:AG26="CS2"))+(C26:AG26="SB1")+(C26:AG26="AE")+(C26:AG26="EM"))</f>
        <v>2</v>
      </c>
      <c r="AS26" s="38"/>
      <c r="AT26" s="38" t="n">
        <f aca="false">(AP26-AQ26)/2+(AR26-AS26)</f>
        <v>2.5</v>
      </c>
      <c r="AU26" s="38" t="n">
        <f aca="false">AH26+AI26+AJ26+AK26+AM26+AN26</f>
        <v>0</v>
      </c>
      <c r="AV26" s="38" t="n">
        <f aca="false">BF26+BG26+BI26+BD26+BB26+AZ26+BK26</f>
        <v>2</v>
      </c>
      <c r="AW26" s="38" t="e">
        <f aca="false">AT26+AX26</f>
        <v>#VALUE!</v>
      </c>
      <c r="AX26" s="37" t="e">
        <f aca="false"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37" t="n">
        <f aca="false">COUNTIF(D26:AA26,"*BRT*")</f>
        <v>0</v>
      </c>
      <c r="AZ26" s="37" t="n">
        <f aca="false">COUNTIF(A26:AH26,"*$BTP*")</f>
        <v>0</v>
      </c>
      <c r="BA26" s="37" t="e">
        <f aca="false">AZ26*('Setting key Duty'!$I$13+'Setting key Duty'!$I$12+'Setting key Duty'!$I$11)</f>
        <v>#VALUE!</v>
      </c>
      <c r="BB26" s="37" t="n">
        <f aca="false">COUNTIF(A26:AH26,"*$L*")</f>
        <v>0</v>
      </c>
      <c r="BC26" s="37" t="e">
        <f aca="false">BB26*('Setting key Duty'!$I$13+'Setting key Duty'!$I$9)</f>
        <v>#VALUE!</v>
      </c>
      <c r="BD26" s="37" t="n">
        <f aca="false">COUNTIF(A26:AH26,"*$M*")</f>
        <v>0</v>
      </c>
      <c r="BE26" s="37" t="n">
        <f aca="false">BD26*('Setting key Duty'!$I$8+'Setting key Duty'!$I$9+'Setting key Duty'!$I$12)</f>
        <v>0</v>
      </c>
      <c r="BF26" s="37" t="n">
        <f aca="false">COUNTIF(AH26,"*$N*")</f>
        <v>0</v>
      </c>
      <c r="BG26" s="37" t="n">
        <f aca="false">COUNTIF(AH26,"*$PM*")</f>
        <v>0</v>
      </c>
      <c r="BH26" s="37" t="n">
        <f aca="false">BG26*('Setting key Duty'!$I$9)</f>
        <v>0</v>
      </c>
      <c r="BI26" s="37" t="n">
        <f aca="false">COUNTIF(A26:AH26,"*$AM*")</f>
        <v>2</v>
      </c>
      <c r="BJ26" s="37" t="n">
        <f aca="false">BI26*('Setting key Duty'!$I$12+'Setting key Duty'!$I$8)</f>
        <v>0.875</v>
      </c>
      <c r="BK26" s="37" t="n">
        <f aca="false">COUNTIF(D26:AH26,"*$FC*")</f>
        <v>0</v>
      </c>
      <c r="BL26" s="37" t="n">
        <f aca="false">BK26*('Setting key Duty'!$J$11+'Setting key Duty'!$I$8)</f>
        <v>0</v>
      </c>
      <c r="BM26" s="37" t="n">
        <f aca="false">COUNTIF($D26:$AA26,BM$4)</f>
        <v>0</v>
      </c>
      <c r="BN26" s="37" t="n">
        <f aca="false">COUNTIF($D26:$AA26,BN$4)</f>
        <v>0</v>
      </c>
      <c r="BO26" s="37" t="n">
        <f aca="false">COUNTIF($D26:$AA26,BO$4)</f>
        <v>0</v>
      </c>
      <c r="BP26" s="39"/>
    </row>
    <row r="27" customFormat="false" ht="19.5" hidden="false" customHeight="true" outlineLevel="0" collapsed="false">
      <c r="A27" s="30"/>
      <c r="B27" s="48" t="s">
        <v>108</v>
      </c>
      <c r="C27" s="42" t="s">
        <v>65</v>
      </c>
      <c r="D27" s="45"/>
      <c r="E27" s="32" t="s">
        <v>106</v>
      </c>
      <c r="F27" s="45"/>
      <c r="G27" s="45"/>
      <c r="H27" s="32"/>
      <c r="I27" s="32"/>
      <c r="J27" s="32" t="s">
        <v>237</v>
      </c>
      <c r="L27" s="32" t="s">
        <v>180</v>
      </c>
      <c r="M27" s="42"/>
      <c r="N27" s="42"/>
      <c r="O27" s="42"/>
      <c r="P27" s="32" t="s">
        <v>238</v>
      </c>
      <c r="Q27" s="42"/>
      <c r="S27" s="32" t="s">
        <v>236</v>
      </c>
      <c r="T27" s="32"/>
      <c r="U27" s="32"/>
      <c r="V27" s="32" t="s">
        <v>223</v>
      </c>
      <c r="W27" s="32" t="s">
        <v>169</v>
      </c>
      <c r="X27" s="32" t="s">
        <v>169</v>
      </c>
      <c r="Y27" s="32" t="s">
        <v>169</v>
      </c>
      <c r="Z27" s="32" t="s">
        <v>169</v>
      </c>
      <c r="AA27" s="32" t="s">
        <v>169</v>
      </c>
      <c r="AB27" s="32"/>
      <c r="AC27" s="32" t="s">
        <v>54</v>
      </c>
      <c r="AD27" s="32" t="s">
        <v>54</v>
      </c>
      <c r="AE27" s="32"/>
      <c r="AF27" s="32"/>
      <c r="AG27" s="42" t="s">
        <v>54</v>
      </c>
      <c r="AH27" s="35"/>
      <c r="AI27" s="36"/>
      <c r="AJ27" s="35"/>
      <c r="AK27" s="37"/>
      <c r="AL27" s="37"/>
      <c r="AM27" s="37"/>
      <c r="AN27" s="37"/>
      <c r="AO27" s="38"/>
      <c r="AP27" s="37" t="n">
        <f aca="false">SUMPRODUCT(--WEEKDAY(C$3:AG$3,2)&lt;6,--((C27:AG27="DM"))+(C27:AG27="CS1")+((C27:AG27="CS2"))+(C27:AG27="SB1")+(C27:AG27="AE")+(C27:AG27="EM"))</f>
        <v>1</v>
      </c>
      <c r="AQ27" s="38"/>
      <c r="AR27" s="38" t="n">
        <f aca="false">SUMPRODUCT(--WEEKDAY(C$3:AG$3,2)&gt;5,--((C27:AG27="DM"))+(C27:AG27="CS1")+((C27:AG27="CS2"))+(C27:AG27="SB1")+(C27:AG27="AE")+(C27:AG27="EM"))</f>
        <v>0</v>
      </c>
      <c r="AS27" s="38"/>
      <c r="AT27" s="38" t="n">
        <f aca="false">(AP27-AQ27)/2+(AR27-AS27)</f>
        <v>0.5</v>
      </c>
      <c r="AU27" s="38" t="n">
        <f aca="false">AH27+AI27+AJ27+AK27+AM27+AN27</f>
        <v>0</v>
      </c>
      <c r="AV27" s="38" t="n">
        <f aca="false">BF27+BG27+BI27+BD27+BB27+AZ27+BK27</f>
        <v>10</v>
      </c>
      <c r="AW27" s="38" t="e">
        <f aca="false">AT27+$AX$10</f>
        <v>#VALUE!</v>
      </c>
      <c r="AX27" s="37" t="e">
        <f aca="false"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37" t="n">
        <f aca="false">COUNTIF(D27:AA27,"*BRT*")</f>
        <v>0</v>
      </c>
      <c r="AZ27" s="37" t="n">
        <f aca="false">COUNTIF(A27:AH27,"*$BTP*")</f>
        <v>2</v>
      </c>
      <c r="BA27" s="37" t="e">
        <f aca="false">AZ27*('Setting key Duty'!$I$13+'Setting key Duty'!$I$12+'Setting key Duty'!$I$11)</f>
        <v>#VALUE!</v>
      </c>
      <c r="BB27" s="37" t="n">
        <f aca="false">COUNTIF(A27:AH27,"*$L*")</f>
        <v>0</v>
      </c>
      <c r="BC27" s="37" t="e">
        <f aca="false">BB27*('Setting key Duty'!$I$13+'Setting key Duty'!$I$9)</f>
        <v>#VALUE!</v>
      </c>
      <c r="BD27" s="37" t="n">
        <f aca="false">COUNTIF(A27:AH27,"*$M*")</f>
        <v>0</v>
      </c>
      <c r="BE27" s="37" t="n">
        <f aca="false">BD27*('Setting key Duty'!$I$8+'Setting key Duty'!$I$9+'Setting key Duty'!$I$12)</f>
        <v>0</v>
      </c>
      <c r="BF27" s="37" t="n">
        <f aca="false">COUNTIF(AH27,"*$N*")</f>
        <v>0</v>
      </c>
      <c r="BG27" s="37" t="n">
        <f aca="false">COUNTIF(AH27,"*$PM*")</f>
        <v>0</v>
      </c>
      <c r="BH27" s="37" t="n">
        <f aca="false">BG27*('Setting key Duty'!$I$9)</f>
        <v>0</v>
      </c>
      <c r="BI27" s="37" t="n">
        <f aca="false">COUNTIF(A27:AH27,"*$AM*")</f>
        <v>3</v>
      </c>
      <c r="BJ27" s="37" t="n">
        <f aca="false">BI27*('Setting key Duty'!$I$12+'Setting key Duty'!$I$8)</f>
        <v>1.3125</v>
      </c>
      <c r="BK27" s="37" t="n">
        <f aca="false">COUNTIF(D27:AH27,"*$FC*")</f>
        <v>5</v>
      </c>
      <c r="BL27" s="37" t="n">
        <f aca="false">BK27*('Setting key Duty'!$J$11+'Setting key Duty'!$I$8)</f>
        <v>0.625</v>
      </c>
      <c r="BM27" s="37" t="n">
        <f aca="false">COUNTIF($D27:$AA27,BM$4)</f>
        <v>0</v>
      </c>
      <c r="BN27" s="37" t="n">
        <f aca="false">COUNTIF($D27:$AA27,BN$4)</f>
        <v>0</v>
      </c>
      <c r="BO27" s="37" t="n">
        <f aca="false">COUNTIF($D27:$AA27,BO$4)</f>
        <v>0</v>
      </c>
      <c r="BP27" s="39"/>
    </row>
    <row r="28" customFormat="false" ht="19.5" hidden="false" customHeight="true" outlineLevel="0" collapsed="false">
      <c r="A28" s="30"/>
      <c r="B28" s="48" t="s">
        <v>119</v>
      </c>
      <c r="C28" s="42"/>
      <c r="D28" s="32"/>
      <c r="E28" s="32" t="s">
        <v>96</v>
      </c>
      <c r="F28" s="32"/>
      <c r="G28" s="34"/>
      <c r="H28" s="45"/>
      <c r="I28" s="42" t="s">
        <v>58</v>
      </c>
      <c r="J28" s="33"/>
      <c r="K28" s="42"/>
      <c r="L28" s="42" t="s">
        <v>93</v>
      </c>
      <c r="M28" s="42"/>
      <c r="N28" s="42" t="s">
        <v>58</v>
      </c>
      <c r="O28" s="32"/>
      <c r="P28" s="33"/>
      <c r="Q28" s="42" t="s">
        <v>58</v>
      </c>
      <c r="R28" s="32"/>
      <c r="S28" s="32" t="s">
        <v>239</v>
      </c>
      <c r="T28" s="42"/>
      <c r="U28" s="42" t="s">
        <v>58</v>
      </c>
      <c r="V28" s="42"/>
      <c r="W28" s="42"/>
      <c r="X28" s="42" t="s">
        <v>65</v>
      </c>
      <c r="Y28" s="32"/>
      <c r="Z28" s="32" t="s">
        <v>58</v>
      </c>
      <c r="AA28" s="32" t="s">
        <v>120</v>
      </c>
      <c r="AB28" s="32" t="s">
        <v>120</v>
      </c>
      <c r="AC28" s="32"/>
      <c r="AD28" s="32" t="s">
        <v>93</v>
      </c>
      <c r="AE28" s="34" t="s">
        <v>65</v>
      </c>
      <c r="AG28" s="32" t="s">
        <v>56</v>
      </c>
      <c r="AH28" s="35"/>
      <c r="AI28" s="36"/>
      <c r="AJ28" s="35"/>
      <c r="AK28" s="37"/>
      <c r="AL28" s="37"/>
      <c r="AM28" s="37"/>
      <c r="AN28" s="37"/>
      <c r="AO28" s="38"/>
      <c r="AP28" s="37" t="n">
        <f aca="false">SUMPRODUCT(--WEEKDAY(C$3:AG$3,2)&lt;6,--((C28:AG28="DM"))+(C28:AG28="CS1")+((C28:AG28="CS2"))+(C28:AG28="SB1")+(C28:AG28="AE")+(C28:AG28="EM"))</f>
        <v>6</v>
      </c>
      <c r="AQ28" s="38"/>
      <c r="AR28" s="38" t="n">
        <f aca="false">SUMPRODUCT(--WEEKDAY(C$3:AG$3,2)&gt;5,--((C28:AG28="DM"))+(C28:AG28="CS1")+((C28:AG28="CS2"))+(C28:AG28="SB1")+(C28:AG28="AE")+(C28:AG28="EM"))</f>
        <v>2</v>
      </c>
      <c r="AS28" s="38"/>
      <c r="AT28" s="38" t="n">
        <f aca="false">(AP28-AQ28)/2+(AR28-AS28)</f>
        <v>5</v>
      </c>
      <c r="AU28" s="38" t="n">
        <f aca="false">AH28+AI28+AJ28+AK28+AM28+AN28</f>
        <v>0</v>
      </c>
      <c r="AV28" s="38" t="n">
        <f aca="false">BF28+BG28+BI28+BD28+BB28+AZ28+BK28</f>
        <v>0</v>
      </c>
      <c r="AW28" s="38" t="e">
        <f aca="false">AT28+$AX$10</f>
        <v>#VALUE!</v>
      </c>
      <c r="AX28" s="37" t="e">
        <f aca="false"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37" t="n">
        <f aca="false">COUNTIF(D28:AA28,"*BRT*")</f>
        <v>0</v>
      </c>
      <c r="AZ28" s="37" t="n">
        <f aca="false">COUNTIF(A28:AH28,"*$BTP*")</f>
        <v>0</v>
      </c>
      <c r="BA28" s="37" t="e">
        <f aca="false">AZ28*('Setting key Duty'!$I$13+'Setting key Duty'!$I$12+'Setting key Duty'!$I$11)</f>
        <v>#VALUE!</v>
      </c>
      <c r="BB28" s="37" t="n">
        <f aca="false">COUNTIF(A28:AH28,"*$L*")</f>
        <v>0</v>
      </c>
      <c r="BC28" s="37" t="e">
        <f aca="false">BB28*('Setting key Duty'!$I$13+'Setting key Duty'!$I$9)</f>
        <v>#VALUE!</v>
      </c>
      <c r="BD28" s="37" t="n">
        <f aca="false">COUNTIF(A28:AH28,"*$M*")</f>
        <v>0</v>
      </c>
      <c r="BE28" s="37" t="n">
        <f aca="false">BD28*('Setting key Duty'!$I$8+'Setting key Duty'!$I$9+'Setting key Duty'!$I$12)</f>
        <v>0</v>
      </c>
      <c r="BF28" s="37" t="n">
        <f aca="false">COUNTIF(AH28,"*$N*")</f>
        <v>0</v>
      </c>
      <c r="BG28" s="37" t="n">
        <f aca="false">COUNTIF(AH28,"*$PM*")</f>
        <v>0</v>
      </c>
      <c r="BH28" s="37" t="n">
        <f aca="false">BG28*('Setting key Duty'!$I$9)</f>
        <v>0</v>
      </c>
      <c r="BI28" s="37" t="n">
        <f aca="false">COUNTIF(A28:AH28,"*$AM*")</f>
        <v>0</v>
      </c>
      <c r="BJ28" s="37" t="n">
        <f aca="false">BI28*('Setting key Duty'!$I$12+'Setting key Duty'!$I$8)</f>
        <v>0</v>
      </c>
      <c r="BK28" s="37" t="n">
        <f aca="false">COUNTIF(D28:AH28,"*$FC*")</f>
        <v>0</v>
      </c>
      <c r="BL28" s="37" t="n">
        <f aca="false">BK28*('Setting key Duty'!$J$11+'Setting key Duty'!$I$8)</f>
        <v>0</v>
      </c>
      <c r="BM28" s="37" t="n">
        <f aca="false">COUNTIF($D28:$AA28,BM$4)</f>
        <v>0</v>
      </c>
      <c r="BN28" s="37" t="n">
        <f aca="false">COUNTIF($D28:$AA28,BN$4)</f>
        <v>0</v>
      </c>
      <c r="BO28" s="37" t="n">
        <f aca="false">COUNTIF($D28:$AA28,BO$4)</f>
        <v>0</v>
      </c>
      <c r="BP28" s="39"/>
    </row>
    <row r="29" customFormat="false" ht="19.5" hidden="false" customHeight="true" outlineLevel="0" collapsed="false">
      <c r="A29" s="30"/>
      <c r="B29" s="48" t="s">
        <v>121</v>
      </c>
      <c r="C29" s="33"/>
      <c r="D29" s="32"/>
      <c r="E29" s="32"/>
      <c r="F29" s="32"/>
      <c r="G29" s="34"/>
      <c r="H29" s="32" t="s">
        <v>230</v>
      </c>
      <c r="I29" s="42"/>
      <c r="J29" s="32" t="s">
        <v>219</v>
      </c>
      <c r="K29" s="42"/>
      <c r="M29" s="42" t="s">
        <v>58</v>
      </c>
      <c r="N29" s="42"/>
      <c r="O29" s="47"/>
      <c r="P29" s="32" t="s">
        <v>240</v>
      </c>
      <c r="Q29" s="32"/>
      <c r="R29" s="32" t="s">
        <v>241</v>
      </c>
      <c r="S29" s="32"/>
      <c r="T29" s="42"/>
      <c r="U29" s="32"/>
      <c r="V29" s="32" t="s">
        <v>223</v>
      </c>
      <c r="W29" s="42"/>
      <c r="X29" s="32" t="s">
        <v>242</v>
      </c>
      <c r="Y29" s="32" t="s">
        <v>242</v>
      </c>
      <c r="Z29" s="32" t="s">
        <v>242</v>
      </c>
      <c r="AA29" s="32" t="s">
        <v>242</v>
      </c>
      <c r="AB29" s="32" t="s">
        <v>242</v>
      </c>
      <c r="AC29" s="32" t="s">
        <v>243</v>
      </c>
      <c r="AD29" s="32" t="s">
        <v>243</v>
      </c>
      <c r="AE29" s="32"/>
      <c r="AF29" s="34"/>
      <c r="AG29" s="32" t="s">
        <v>96</v>
      </c>
      <c r="AH29" s="35"/>
      <c r="AI29" s="36"/>
      <c r="AJ29" s="35"/>
      <c r="AK29" s="37"/>
      <c r="AL29" s="37"/>
      <c r="AM29" s="37"/>
      <c r="AN29" s="37"/>
      <c r="AO29" s="38"/>
      <c r="AP29" s="37" t="n">
        <f aca="false">SUMPRODUCT(--WEEKDAY(C$3:AG$3,2)&lt;6,--((C29:AG29="DM"))+(C29:AG29="CS1")+((C29:AG29="CS2"))+(C29:AG29="SB1")+(C29:AG29="AE")+(C29:AG29="EM"))</f>
        <v>0</v>
      </c>
      <c r="AQ29" s="38"/>
      <c r="AR29" s="38" t="n">
        <f aca="false">SUMPRODUCT(--WEEKDAY(C$3:AG$3,2)&gt;5,--((C29:AG29="DM"))+(C29:AG29="CS1")+((C29:AG29="CS2"))+(C29:AG29="SB1")+(C29:AG29="AE")+(C29:AG29="EM"))</f>
        <v>1</v>
      </c>
      <c r="AS29" s="38"/>
      <c r="AT29" s="38" t="n">
        <f aca="false">(AP29-AQ29)/2+(AR29-AS29)</f>
        <v>1</v>
      </c>
      <c r="AU29" s="38" t="n">
        <f aca="false">AH29+AI29+AJ29+AK29+AM29+AN29</f>
        <v>0</v>
      </c>
      <c r="AV29" s="38" t="n">
        <f aca="false">BF29+BG29+BI29+BD29+BB29+AZ29+BK29</f>
        <v>8</v>
      </c>
      <c r="AW29" s="38" t="e">
        <f aca="false">AT29+$AX$10</f>
        <v>#VALUE!</v>
      </c>
      <c r="AX29" s="37" t="e">
        <f aca="false"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37" t="n">
        <f aca="false">COUNTIF(D29:AA29,"*BRT*")</f>
        <v>0</v>
      </c>
      <c r="AZ29" s="37" t="n">
        <f aca="false">COUNTIF(A29:AH29,"*$BTP*")</f>
        <v>1</v>
      </c>
      <c r="BA29" s="37" t="e">
        <f aca="false">AZ29*('Setting key Duty'!$I$13+'Setting key Duty'!$I$12+'Setting key Duty'!$I$11)</f>
        <v>#VALUE!</v>
      </c>
      <c r="BB29" s="37" t="n">
        <f aca="false">COUNTIF(A29:AH29,"*$L*")</f>
        <v>0</v>
      </c>
      <c r="BC29" s="37" t="e">
        <f aca="false">BB29*('Setting key Duty'!$I$13+'Setting key Duty'!$I$9)</f>
        <v>#VALUE!</v>
      </c>
      <c r="BD29" s="37" t="n">
        <f aca="false">COUNTIF(A29:AH29,"*$M*")</f>
        <v>1</v>
      </c>
      <c r="BE29" s="37" t="n">
        <f aca="false">BD29*('Setting key Duty'!$I$8+'Setting key Duty'!$I$9+'Setting key Duty'!$I$12)</f>
        <v>0.5625</v>
      </c>
      <c r="BF29" s="37" t="n">
        <f aca="false">COUNTIF(AH29,"*$N*")</f>
        <v>0</v>
      </c>
      <c r="BG29" s="37" t="n">
        <f aca="false">COUNTIF(AH29,"*$PM*")</f>
        <v>0</v>
      </c>
      <c r="BH29" s="37" t="n">
        <f aca="false">BG29*('Setting key Duty'!$I$9)</f>
        <v>0</v>
      </c>
      <c r="BI29" s="37" t="n">
        <f aca="false">COUNTIF(A29:AH29,"*$AM*")</f>
        <v>1</v>
      </c>
      <c r="BJ29" s="37" t="n">
        <f aca="false">BI29*('Setting key Duty'!$I$12+'Setting key Duty'!$I$8)</f>
        <v>0.4375</v>
      </c>
      <c r="BK29" s="37" t="n">
        <f aca="false">COUNTIF(D29:AH29,"*$FC*")</f>
        <v>5</v>
      </c>
      <c r="BL29" s="37" t="n">
        <f aca="false">BK29*('Setting key Duty'!$J$11+'Setting key Duty'!$I$8)</f>
        <v>0.625</v>
      </c>
      <c r="BM29" s="37" t="n">
        <f aca="false">COUNTIF($D29:$AA29,BM$4)</f>
        <v>0</v>
      </c>
      <c r="BN29" s="37" t="n">
        <f aca="false">COUNTIF($D29:$AA29,BN$4)</f>
        <v>0</v>
      </c>
      <c r="BO29" s="37" t="n">
        <f aca="false">COUNTIF($D29:$AA29,BO$4)</f>
        <v>0</v>
      </c>
      <c r="BP29" s="39"/>
    </row>
    <row r="30" customFormat="false" ht="19.5" hidden="false" customHeight="true" outlineLevel="0" collapsed="false">
      <c r="A30" s="30"/>
      <c r="B30" s="48" t="s">
        <v>129</v>
      </c>
      <c r="C30" s="42"/>
      <c r="D30" s="42"/>
      <c r="E30" s="32" t="s">
        <v>58</v>
      </c>
      <c r="F30" s="32"/>
      <c r="G30" s="42"/>
      <c r="H30" s="32"/>
      <c r="I30" s="32" t="s">
        <v>244</v>
      </c>
      <c r="J30" s="42"/>
      <c r="K30" s="32" t="s">
        <v>237</v>
      </c>
      <c r="M30" s="42"/>
      <c r="O30" s="42"/>
      <c r="P30" s="42" t="s">
        <v>93</v>
      </c>
      <c r="Q30" s="32" t="s">
        <v>245</v>
      </c>
      <c r="S30" s="32" t="s">
        <v>246</v>
      </c>
      <c r="T30" s="32"/>
      <c r="U30" s="32"/>
      <c r="V30" s="32" t="s">
        <v>65</v>
      </c>
      <c r="W30" s="32" t="s">
        <v>247</v>
      </c>
      <c r="X30" s="32" t="s">
        <v>248</v>
      </c>
      <c r="Y30" s="32" t="s">
        <v>133</v>
      </c>
      <c r="Z30" s="32" t="s">
        <v>249</v>
      </c>
      <c r="AA30" s="32"/>
      <c r="AB30" s="33"/>
      <c r="AC30" s="32" t="s">
        <v>250</v>
      </c>
      <c r="AD30" s="32"/>
      <c r="AE30" s="32"/>
      <c r="AF30" s="32"/>
      <c r="AG30" s="33"/>
      <c r="AH30" s="35"/>
      <c r="AI30" s="36"/>
      <c r="AJ30" s="35"/>
      <c r="AK30" s="37"/>
      <c r="AL30" s="37"/>
      <c r="AM30" s="37"/>
      <c r="AN30" s="37"/>
      <c r="AO30" s="38"/>
      <c r="AP30" s="37" t="n">
        <f aca="false">SUMPRODUCT(--WEEKDAY(C$3:AG$3,2)&lt;6,--((C30:AG30="DM"))+(C30:AG30="CS1")+((C30:AG30="CS2"))+(C30:AG30="SB1")+(C30:AG30="AE")+(C30:AG30="EM"))</f>
        <v>2</v>
      </c>
      <c r="AQ30" s="38"/>
      <c r="AR30" s="38" t="n">
        <f aca="false">SUMPRODUCT(--WEEKDAY(C$3:AG$3,2)&gt;5,--((C30:AG30="DM"))+(C30:AG30="CS1")+((C30:AG30="CS2"))+(C30:AG30="SB1")+(C30:AG30="AE")+(C30:AG30="EM"))</f>
        <v>0</v>
      </c>
      <c r="AS30" s="38"/>
      <c r="AT30" s="38" t="n">
        <f aca="false">(AP30-AQ30)/2+(AR30-AS30)</f>
        <v>1</v>
      </c>
      <c r="AU30" s="38" t="n">
        <f aca="false">AH30+AI30+AJ30+AK30+AM30+AN30</f>
        <v>0</v>
      </c>
      <c r="AV30" s="38" t="n">
        <f aca="false">BF30+BG30+BI30+BD30+BB30+AZ30+BK30</f>
        <v>6</v>
      </c>
      <c r="AW30" s="38" t="e">
        <f aca="false">AT30+$AX$10</f>
        <v>#VALUE!</v>
      </c>
      <c r="AX30" s="37" t="e">
        <f aca="false"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37" t="n">
        <f aca="false">COUNTIF(D30:AA30,"*BRT*")</f>
        <v>0</v>
      </c>
      <c r="AZ30" s="37" t="n">
        <f aca="false">COUNTIF(A30:AH30,"*$BTP*")</f>
        <v>1</v>
      </c>
      <c r="BA30" s="37" t="e">
        <f aca="false">AZ30*('Setting key Duty'!$I$13+'Setting key Duty'!$I$12+'Setting key Duty'!$I$11)</f>
        <v>#VALUE!</v>
      </c>
      <c r="BB30" s="37" t="n">
        <f aca="false">COUNTIF(A30:AH30,"*$L*")</f>
        <v>0</v>
      </c>
      <c r="BC30" s="37" t="e">
        <f aca="false">BB30*('Setting key Duty'!$I$13+'Setting key Duty'!$I$9)</f>
        <v>#VALUE!</v>
      </c>
      <c r="BD30" s="37" t="n">
        <f aca="false">COUNTIF(A30:AH30,"*$M*")</f>
        <v>0</v>
      </c>
      <c r="BE30" s="37" t="n">
        <f aca="false">BD30*('Setting key Duty'!$I$8+'Setting key Duty'!$I$9+'Setting key Duty'!$I$12)</f>
        <v>0</v>
      </c>
      <c r="BF30" s="37" t="n">
        <f aca="false">COUNTIF(AH30,"*$N*")</f>
        <v>0</v>
      </c>
      <c r="BG30" s="37" t="n">
        <f aca="false">COUNTIF(AH30,"*$PM*")</f>
        <v>0</v>
      </c>
      <c r="BH30" s="37" t="n">
        <f aca="false">BG30*('Setting key Duty'!$I$9)</f>
        <v>0</v>
      </c>
      <c r="BI30" s="37" t="n">
        <f aca="false">COUNTIF(A30:AH30,"*$AM*")</f>
        <v>5</v>
      </c>
      <c r="BJ30" s="37" t="n">
        <f aca="false">BI30*('Setting key Duty'!$I$12+'Setting key Duty'!$I$8)</f>
        <v>2.1875</v>
      </c>
      <c r="BK30" s="37" t="n">
        <f aca="false">COUNTIF(D30:AH30,"*$FC*")</f>
        <v>0</v>
      </c>
      <c r="BL30" s="37" t="n">
        <f aca="false">BK30*('Setting key Duty'!$J$11+'Setting key Duty'!$I$8)</f>
        <v>0</v>
      </c>
      <c r="BM30" s="37" t="n">
        <f aca="false">COUNTIF($D30:$AA30,BM$4)</f>
        <v>0</v>
      </c>
      <c r="BN30" s="37" t="n">
        <f aca="false">COUNTIF($D30:$AA30,BN$4)</f>
        <v>0</v>
      </c>
      <c r="BO30" s="37" t="n">
        <f aca="false">COUNTIF($D30:$AA30,BO$4)</f>
        <v>0</v>
      </c>
      <c r="BP30" s="39"/>
    </row>
    <row r="31" customFormat="false" ht="43.5" hidden="false" customHeight="true" outlineLevel="0" collapsed="false">
      <c r="A31" s="30"/>
      <c r="B31" s="48" t="s">
        <v>142</v>
      </c>
      <c r="D31" s="42" t="s">
        <v>58</v>
      </c>
      <c r="E31" s="33"/>
      <c r="H31" s="32"/>
      <c r="I31" s="32" t="s">
        <v>251</v>
      </c>
      <c r="K31" s="42"/>
      <c r="L31" s="32" t="s">
        <v>58</v>
      </c>
      <c r="N31" s="42"/>
      <c r="O31" s="32" t="s">
        <v>218</v>
      </c>
      <c r="P31" s="32" t="s">
        <v>218</v>
      </c>
      <c r="Q31" s="32" t="s">
        <v>218</v>
      </c>
      <c r="R31" s="32" t="s">
        <v>218</v>
      </c>
      <c r="S31" s="32" t="s">
        <v>218</v>
      </c>
      <c r="T31" s="42" t="s">
        <v>58</v>
      </c>
      <c r="U31" s="42" t="s">
        <v>210</v>
      </c>
      <c r="V31" s="32" t="s">
        <v>218</v>
      </c>
      <c r="W31" s="32" t="s">
        <v>218</v>
      </c>
      <c r="X31" s="32" t="s">
        <v>218</v>
      </c>
      <c r="Y31" s="32" t="s">
        <v>218</v>
      </c>
      <c r="Z31" s="32" t="s">
        <v>218</v>
      </c>
      <c r="AA31" s="42" t="s">
        <v>58</v>
      </c>
      <c r="AC31" s="32" t="s">
        <v>252</v>
      </c>
      <c r="AD31" s="32"/>
      <c r="AE31" s="32"/>
      <c r="AF31" s="32"/>
      <c r="AG31" s="42"/>
      <c r="AH31" s="35"/>
      <c r="AI31" s="36"/>
      <c r="AJ31" s="35"/>
      <c r="AK31" s="37"/>
      <c r="AL31" s="37"/>
      <c r="AM31" s="37"/>
      <c r="AN31" s="37"/>
      <c r="AO31" s="38"/>
      <c r="AP31" s="37" t="n">
        <f aca="false">SUMPRODUCT(--WEEKDAY(C$3:AG$3,2)&lt;6,--((C31:AG31="DM"))+(C31:AG31="CS1")+((C31:AG31="CS2"))+(C31:AG31="SB1")+(C31:AG31="AE")+(C31:AG31="EM"))</f>
        <v>2</v>
      </c>
      <c r="AQ31" s="38"/>
      <c r="AR31" s="38" t="n">
        <f aca="false">SUMPRODUCT(--WEEKDAY(C$3:AG$3,2)&gt;5,--((C31:AG31="DM"))+(C31:AG31="CS1")+((C31:AG31="CS2"))+(C31:AG31="SB1")+(C31:AG31="AE")+(C31:AG31="EM"))</f>
        <v>2</v>
      </c>
      <c r="AS31" s="38"/>
      <c r="AT31" s="38" t="n">
        <f aca="false">(AP31-AQ31)/2+(AR31-AS31)</f>
        <v>3</v>
      </c>
      <c r="AU31" s="38" t="n">
        <f aca="false">AH31+AI31+AJ31+AK31+AM31+AN31</f>
        <v>0</v>
      </c>
      <c r="AV31" s="38" t="n">
        <f aca="false">BF31+BG31+BI31+BD31+BB31+AZ31+BK31</f>
        <v>2</v>
      </c>
      <c r="AW31" s="38" t="e">
        <f aca="false">AT31+$AX$10</f>
        <v>#VALUE!</v>
      </c>
      <c r="AX31" s="37" t="e">
        <f aca="false"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37" t="n">
        <f aca="false">COUNTIF(D31:AA31,"*BRT*")</f>
        <v>0</v>
      </c>
      <c r="AZ31" s="37" t="n">
        <f aca="false">COUNTIF(A31:AH31,"*$BTP*")</f>
        <v>0</v>
      </c>
      <c r="BA31" s="37" t="e">
        <f aca="false">AZ31*('Setting key Duty'!$I$13+'Setting key Duty'!$I$12+'Setting key Duty'!$I$11)</f>
        <v>#VALUE!</v>
      </c>
      <c r="BB31" s="37" t="n">
        <f aca="false">COUNTIF(A31:AH31,"*$L*")</f>
        <v>0</v>
      </c>
      <c r="BC31" s="37" t="e">
        <f aca="false">BB31*('Setting key Duty'!$I$13+'Setting key Duty'!$I$9)</f>
        <v>#VALUE!</v>
      </c>
      <c r="BD31" s="37" t="n">
        <f aca="false">COUNTIF(A31:AH31,"*$M*")</f>
        <v>1</v>
      </c>
      <c r="BE31" s="37" t="n">
        <f aca="false">BD31*('Setting key Duty'!$I$8+'Setting key Duty'!$I$9+'Setting key Duty'!$I$12)</f>
        <v>0.5625</v>
      </c>
      <c r="BF31" s="37" t="n">
        <f aca="false">COUNTIF(AH31,"*$N*")</f>
        <v>0</v>
      </c>
      <c r="BG31" s="37" t="n">
        <f aca="false">COUNTIF(AH31,"*$PM*")</f>
        <v>0</v>
      </c>
      <c r="BH31" s="37" t="n">
        <f aca="false">BG31*('Setting key Duty'!$I$9)</f>
        <v>0</v>
      </c>
      <c r="BI31" s="37" t="n">
        <f aca="false">COUNTIF(A31:AH31,"*$AM*")</f>
        <v>1</v>
      </c>
      <c r="BJ31" s="37" t="n">
        <f aca="false">BI31*('Setting key Duty'!$I$12+'Setting key Duty'!$I$8)</f>
        <v>0.4375</v>
      </c>
      <c r="BK31" s="37" t="n">
        <f aca="false">COUNTIF(D31:AH31,"*$FC*")</f>
        <v>0</v>
      </c>
      <c r="BL31" s="37" t="n">
        <f aca="false">BK31*('Setting key Duty'!$J$11+'Setting key Duty'!$I$8)</f>
        <v>0</v>
      </c>
      <c r="BM31" s="37" t="n">
        <f aca="false">COUNTIF($D31:$AA31,BM$4)</f>
        <v>0</v>
      </c>
      <c r="BN31" s="37" t="n">
        <f aca="false">COUNTIF($D31:$AA31,BN$4)</f>
        <v>0</v>
      </c>
      <c r="BO31" s="37" t="n">
        <f aca="false">COUNTIF($D31:$AA31,BO$4)</f>
        <v>0</v>
      </c>
      <c r="BP31" s="39"/>
    </row>
    <row r="32" customFormat="false" ht="19.5" hidden="false" customHeight="true" outlineLevel="0" collapsed="false">
      <c r="A32" s="30"/>
      <c r="B32" s="88" t="s">
        <v>189</v>
      </c>
      <c r="C32" s="45"/>
      <c r="D32" s="45"/>
      <c r="E32" s="45" t="s">
        <v>65</v>
      </c>
      <c r="F32" s="45"/>
      <c r="G32" s="45"/>
      <c r="H32" s="42" t="s">
        <v>65</v>
      </c>
      <c r="J32" s="42" t="s">
        <v>65</v>
      </c>
      <c r="L32" s="45" t="s">
        <v>253</v>
      </c>
      <c r="M32" s="42" t="s">
        <v>65</v>
      </c>
      <c r="O32" s="42"/>
      <c r="P32" s="42" t="s">
        <v>65</v>
      </c>
      <c r="Q32" s="33"/>
      <c r="R32" s="42" t="s">
        <v>65</v>
      </c>
      <c r="S32" s="42"/>
      <c r="T32" s="42"/>
      <c r="U32" s="42" t="s">
        <v>65</v>
      </c>
      <c r="V32" s="42"/>
      <c r="W32" s="42" t="s">
        <v>253</v>
      </c>
      <c r="X32" s="42" t="s">
        <v>93</v>
      </c>
      <c r="Z32" s="45" t="s">
        <v>65</v>
      </c>
      <c r="AA32" s="33"/>
      <c r="AB32" s="42" t="s">
        <v>65</v>
      </c>
      <c r="AC32" s="45"/>
      <c r="AD32" s="32"/>
      <c r="AE32" s="32"/>
      <c r="AF32" s="32"/>
      <c r="AG32" s="42" t="s">
        <v>253</v>
      </c>
      <c r="AH32" s="35"/>
      <c r="AI32" s="36"/>
      <c r="AJ32" s="35"/>
      <c r="AK32" s="37"/>
      <c r="AL32" s="37"/>
      <c r="AM32" s="37"/>
      <c r="AN32" s="37"/>
      <c r="AO32" s="38"/>
      <c r="AP32" s="37" t="n">
        <f aca="false">SUMPRODUCT(--WEEKDAY(C$3:AG$3,2)&lt;6,--((C32:AG32="DM"))+(C32:AG32="CS1")+((C32:AG32="CS2"))+(C32:AG32="SB1")+(C32:AG32="AE")+(C32:AG32="EM"))</f>
        <v>6</v>
      </c>
      <c r="AQ32" s="38"/>
      <c r="AR32" s="38" t="n">
        <f aca="false">SUMPRODUCT(--WEEKDAY(C$3:AG$3,2)&gt;5,--((C32:AG32="DM"))+(C32:AG32="CS1")+((C32:AG32="CS2"))+(C32:AG32="SB1")+(C32:AG32="AE")+(C32:AG32="EM"))</f>
        <v>3</v>
      </c>
      <c r="AS32" s="38"/>
      <c r="AT32" s="38" t="n">
        <f aca="false">(AP32-AQ32)/2+(AR32-AS32)</f>
        <v>6</v>
      </c>
      <c r="AU32" s="38" t="n">
        <f aca="false">AH32+AI32+AJ32+AK32+AM32+AN32</f>
        <v>0</v>
      </c>
      <c r="AV32" s="38" t="n">
        <f aca="false">BF32+BG32+BI32+BD32+BB32+AZ32+BK32</f>
        <v>0</v>
      </c>
      <c r="AW32" s="38" t="e">
        <f aca="false">AT32+$AX$10</f>
        <v>#VALUE!</v>
      </c>
      <c r="AX32" s="37" t="e">
        <f aca="false">(BI32*('Setting key Duty'!$I$8+'Setting key Duty'!$I$12))+(BG32*'Setting key Duty'!$I$9)+(BB32*('Setting key Duty'!$I$13+'Setting key Duty'!$I$9))+(AZ32*('Setting key Duty'!$I$13+'Setting key Duty'!$I$12+'Setting key Duty'!$I$11))+(BD32*('Setting key Duty'!$I$8+'Setting key Duty'!$I$9+'Setting key Duty'!$I$12))</f>
        <v>#VALUE!</v>
      </c>
      <c r="AY32" s="37" t="n">
        <f aca="false">COUNTIF(D32:AA32,"*BRT*")</f>
        <v>0</v>
      </c>
      <c r="AZ32" s="37" t="n">
        <f aca="false">COUNTIF(A32:AH32,"*$BTP*")</f>
        <v>0</v>
      </c>
      <c r="BA32" s="37" t="e">
        <f aca="false">AZ32*('Setting key Duty'!$I$13+'Setting key Duty'!$I$12+'Setting key Duty'!$I$11)</f>
        <v>#VALUE!</v>
      </c>
      <c r="BB32" s="37" t="n">
        <f aca="false">COUNTIF(A32:AH32,"*$L*")</f>
        <v>0</v>
      </c>
      <c r="BC32" s="37" t="e">
        <f aca="false">BB32*('Setting key Duty'!$I$13+'Setting key Duty'!$I$9)</f>
        <v>#VALUE!</v>
      </c>
      <c r="BD32" s="37" t="n">
        <f aca="false">COUNTIF(A32:AH32,"*$M*")</f>
        <v>0</v>
      </c>
      <c r="BE32" s="37" t="n">
        <f aca="false">BD32*('Setting key Duty'!$I$8+'Setting key Duty'!$I$9+'Setting key Duty'!$I$12)</f>
        <v>0</v>
      </c>
      <c r="BF32" s="37" t="n">
        <f aca="false">COUNTIF(AH32,"*$N*")</f>
        <v>0</v>
      </c>
      <c r="BG32" s="37" t="n">
        <f aca="false">COUNTIF(AH32,"*$PM*")</f>
        <v>0</v>
      </c>
      <c r="BH32" s="37" t="n">
        <f aca="false">BG32*('Setting key Duty'!$I$9)</f>
        <v>0</v>
      </c>
      <c r="BI32" s="37" t="n">
        <f aca="false">COUNTIF(A32:AH32,"*$AM*")</f>
        <v>0</v>
      </c>
      <c r="BJ32" s="37" t="n">
        <f aca="false">BI32*('Setting key Duty'!$I$12+'Setting key Duty'!$I$8)</f>
        <v>0</v>
      </c>
      <c r="BK32" s="37" t="n">
        <f aca="false">COUNTIF(D32:AH32,"*$FC*")</f>
        <v>0</v>
      </c>
      <c r="BL32" s="37" t="n">
        <f aca="false">BK32*('Setting key Duty'!$J$11+'Setting key Duty'!$I$8)</f>
        <v>0</v>
      </c>
      <c r="BM32" s="37" t="n">
        <f aca="false">COUNTIF($D32:$AA32,BM$4)</f>
        <v>0</v>
      </c>
      <c r="BN32" s="37" t="n">
        <f aca="false">COUNTIF($D32:$AA32,BN$4)</f>
        <v>0</v>
      </c>
      <c r="BO32" s="37" t="n">
        <f aca="false">COUNTIF($D32:$AA32,BO$4)</f>
        <v>0</v>
      </c>
      <c r="BP32" s="39"/>
    </row>
    <row r="33" customFormat="false" ht="19.5" hidden="false" customHeight="true" outlineLevel="0" collapsed="false">
      <c r="A33" s="30"/>
      <c r="B33" s="59" t="s">
        <v>191</v>
      </c>
      <c r="C33" s="45"/>
      <c r="D33" s="45"/>
      <c r="E33" s="45" t="n">
        <v>3</v>
      </c>
      <c r="F33" s="45"/>
      <c r="G33" s="32" t="s">
        <v>65</v>
      </c>
      <c r="H33" s="42"/>
      <c r="I33" s="42" t="n">
        <v>4</v>
      </c>
      <c r="J33" s="42" t="s">
        <v>254</v>
      </c>
      <c r="K33" s="45" t="s">
        <v>93</v>
      </c>
      <c r="L33" s="42" t="s">
        <v>65</v>
      </c>
      <c r="M33" s="45"/>
      <c r="N33" s="32" t="s">
        <v>65</v>
      </c>
      <c r="P33" s="32" t="s">
        <v>250</v>
      </c>
      <c r="Q33" s="33"/>
      <c r="R33" s="32" t="s">
        <v>255</v>
      </c>
      <c r="S33" s="42"/>
      <c r="U33" s="42"/>
      <c r="V33" s="42" t="s">
        <v>93</v>
      </c>
      <c r="Y33" s="32" t="s">
        <v>256</v>
      </c>
      <c r="Z33" s="32" t="s">
        <v>256</v>
      </c>
      <c r="AA33" s="32" t="s">
        <v>256</v>
      </c>
      <c r="AB33" s="32" t="s">
        <v>256</v>
      </c>
      <c r="AC33" s="32" t="s">
        <v>256</v>
      </c>
      <c r="AD33" s="32"/>
      <c r="AE33" s="32"/>
      <c r="AF33" s="32"/>
      <c r="AH33" s="35"/>
      <c r="AI33" s="36"/>
      <c r="AJ33" s="35"/>
      <c r="AK33" s="37"/>
      <c r="AL33" s="37"/>
      <c r="AM33" s="37"/>
      <c r="AN33" s="37"/>
      <c r="AO33" s="38"/>
      <c r="AP33" s="37" t="n">
        <f aca="false">SUMPRODUCT(--WEEKDAY(C$3:AG$3,2)&lt;6,--((C33:AG33="DM"))+(C33:AG33="CS1")+((C33:AG33="CS2"))+(C33:AG33="SB1")+(C33:AG33="AE")+(C33:AG33="EM"))</f>
        <v>1</v>
      </c>
      <c r="AQ33" s="38"/>
      <c r="AR33" s="38" t="n">
        <f aca="false">SUMPRODUCT(--WEEKDAY(C$3:AG$3,2)&gt;5,--((C33:AG33="DM"))+(C33:AG33="CS1")+((C33:AG33="CS2"))+(C33:AG33="SB1")+(C33:AG33="AE")+(C33:AG33="EM"))</f>
        <v>2</v>
      </c>
      <c r="AS33" s="38"/>
      <c r="AT33" s="38" t="n">
        <f aca="false">(AP33-AQ33)/2+(AR33-AS33)</f>
        <v>2.5</v>
      </c>
      <c r="AU33" s="38" t="n">
        <f aca="false">AH33+AI33+AJ33+AK33+AM33+AN33</f>
        <v>0</v>
      </c>
      <c r="AV33" s="38" t="n">
        <f aca="false">BF33+BG33+BI33+BD33+BB33+AZ33+BK33</f>
        <v>7</v>
      </c>
      <c r="AW33" s="38" t="e">
        <f aca="false">AT33+AX33</f>
        <v>#VALUE!</v>
      </c>
      <c r="AX33" s="37" t="e">
        <f aca="false"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37" t="n">
        <f aca="false">COUNTIF(C33:X33,"*BRT*")</f>
        <v>0</v>
      </c>
      <c r="AZ33" s="37" t="n">
        <f aca="false">COUNTIF(A33:AH33,"*$BTP*")</f>
        <v>1</v>
      </c>
      <c r="BA33" s="37" t="e">
        <f aca="false">AZ33*('Setting key Duty'!$I$13+'Setting key Duty'!$I$12+'Setting key Duty'!$I$11)</f>
        <v>#VALUE!</v>
      </c>
      <c r="BB33" s="37" t="n">
        <f aca="false">COUNTIF(D33:AH33,"*$L*")</f>
        <v>0</v>
      </c>
      <c r="BC33" s="37" t="e">
        <f aca="false">BB33*('Setting key Duty'!$I$13+'Setting key Duty'!$I$9)</f>
        <v>#VALUE!</v>
      </c>
      <c r="BD33" s="37" t="n">
        <f aca="false">COUNTIF(D33:AH33,"*$M*")</f>
        <v>0</v>
      </c>
      <c r="BE33" s="37" t="n">
        <f aca="false">BD33*('Setting key Duty'!$I$8+'Setting key Duty'!$I$9+'Setting key Duty'!$I$12)</f>
        <v>0</v>
      </c>
      <c r="BF33" s="37" t="n">
        <f aca="false">COUNTIF(D33:AH33,"*$N*")</f>
        <v>0</v>
      </c>
      <c r="BG33" s="37" t="n">
        <f aca="false">COUNTIF(D33:AH33,"*$PM*")</f>
        <v>0</v>
      </c>
      <c r="BH33" s="37" t="n">
        <f aca="false">BG33*('Setting key Duty'!$I$9)</f>
        <v>0</v>
      </c>
      <c r="BI33" s="37" t="n">
        <f aca="false">COUNTIF(D33:AH33,"*$AM*")</f>
        <v>1</v>
      </c>
      <c r="BJ33" s="37" t="n">
        <f aca="false">BI33*('Setting key Duty'!$I$12+'Setting key Duty'!$I$8)</f>
        <v>0.4375</v>
      </c>
      <c r="BK33" s="37" t="n">
        <f aca="false">COUNTIF(C33:AH33,"*$FC*")</f>
        <v>5</v>
      </c>
      <c r="BL33" s="37" t="n">
        <f aca="false">BK33*('Setting key Duty'!$J$11+'Setting key Duty'!$I$8)</f>
        <v>0.625</v>
      </c>
      <c r="BM33" s="37" t="n">
        <f aca="false">COUNTIF($C33:$AG33,BM$4)</f>
        <v>0</v>
      </c>
      <c r="BN33" s="37" t="n">
        <f aca="false">COUNTIF($C33:$AG33,BN$4)</f>
        <v>0</v>
      </c>
      <c r="BO33" s="37" t="n">
        <f aca="false">COUNTIF($D33:$AE33,BO$4)</f>
        <v>0</v>
      </c>
      <c r="BP33" s="39"/>
    </row>
    <row r="34" customFormat="false" ht="19.5" hidden="false" customHeight="true" outlineLevel="0" collapsed="false">
      <c r="A34" s="30"/>
      <c r="B34" s="59" t="s">
        <v>192</v>
      </c>
      <c r="C34" s="42"/>
      <c r="D34" s="42"/>
      <c r="E34" s="42" t="n">
        <v>2</v>
      </c>
      <c r="F34" s="42"/>
      <c r="G34" s="45"/>
      <c r="H34" s="42" t="s">
        <v>93</v>
      </c>
      <c r="I34" s="42" t="n">
        <v>3</v>
      </c>
      <c r="J34" s="42" t="n">
        <v>4</v>
      </c>
      <c r="L34" s="42" t="s">
        <v>254</v>
      </c>
      <c r="M34" s="32" t="s">
        <v>257</v>
      </c>
      <c r="N34" s="42"/>
      <c r="O34" s="32" t="s">
        <v>258</v>
      </c>
      <c r="Q34" s="33"/>
      <c r="R34" s="42" t="s">
        <v>93</v>
      </c>
      <c r="S34" s="32" t="s">
        <v>255</v>
      </c>
      <c r="T34" s="42"/>
      <c r="U34" s="42"/>
      <c r="W34" s="32" t="s">
        <v>259</v>
      </c>
      <c r="X34" s="42"/>
      <c r="Y34" s="42" t="s">
        <v>69</v>
      </c>
      <c r="Z34" s="32" t="s">
        <v>260</v>
      </c>
      <c r="AA34" s="32"/>
      <c r="AC34" s="92" t="s">
        <v>246</v>
      </c>
      <c r="AD34" s="32"/>
      <c r="AE34" s="32"/>
      <c r="AF34" s="32"/>
      <c r="AG34" s="42" t="s">
        <v>65</v>
      </c>
      <c r="AH34" s="35"/>
      <c r="AI34" s="36"/>
      <c r="AJ34" s="35"/>
      <c r="AK34" s="66"/>
      <c r="AL34" s="66"/>
      <c r="AM34" s="66"/>
      <c r="AN34" s="66"/>
      <c r="AO34" s="67"/>
      <c r="AP34" s="37" t="n">
        <f aca="false">SUMPRODUCT(--WEEKDAY(C$3:AG$3,2)&lt;6,--((C34:AG34="DM"))+(C34:AG34="CS1")+((C34:AG34="CS2"))+(C34:AG34="SB1")+(C34:AG34="AE")+(C34:AG34="EM"))</f>
        <v>1</v>
      </c>
      <c r="AQ34" s="38"/>
      <c r="AR34" s="38" t="n">
        <f aca="false">SUMPRODUCT(--WEEKDAY(C$3:AG$3,2)&gt;5,--((C34:AG34="DM"))+(C34:AG34="CS1")+((C34:AG34="CS2"))+(C34:AG34="SB1")+(C34:AG34="AE")+(C34:AG34="EM"))</f>
        <v>0</v>
      </c>
      <c r="AS34" s="67"/>
      <c r="AT34" s="38" t="n">
        <f aca="false">(AP34-AQ34)/2+(AR34-AS34)</f>
        <v>0.5</v>
      </c>
      <c r="AU34" s="38" t="n">
        <f aca="false">AH34+AI34+AJ34+AK34+AM34+AN34</f>
        <v>0</v>
      </c>
      <c r="AV34" s="38" t="n">
        <f aca="false">BF34+BG34+BI34+BD34+BB34+AZ34+BK34</f>
        <v>6</v>
      </c>
      <c r="AW34" s="38" t="e">
        <f aca="false">AT34+AX34</f>
        <v>#VALUE!</v>
      </c>
      <c r="AX34" s="37" t="e">
        <f aca="false">(BI34*('Setting key Duty'!$I$8+'Setting key Duty'!$I$12))+(BG34*'Setting key Duty'!$I$9)+(BB34*('Setting key Duty'!$I$13+'Setting key Duty'!$I$9))+(AZ34*('Setting key Duty'!$I$13+'Setting key Duty'!$I$12+'Setting key Duty'!$I$11))+(BD34*('Setting key Duty'!$I$8+'Setting key Duty'!$I$9+'Setting key Duty'!$I$12))</f>
        <v>#VALUE!</v>
      </c>
      <c r="AY34" s="37" t="n">
        <f aca="false">COUNTIF(C34:Y34,"*BRT*")</f>
        <v>0</v>
      </c>
      <c r="AZ34" s="37" t="n">
        <f aca="false">COUNTIF(A34:AH34,"*$BTP*")</f>
        <v>2</v>
      </c>
      <c r="BA34" s="37" t="e">
        <f aca="false">AZ34*('Setting key Duty'!$I$13+'Setting key Duty'!$I$12+'Setting key Duty'!$I$11)</f>
        <v>#VALUE!</v>
      </c>
      <c r="BB34" s="37" t="n">
        <f aca="false">COUNTIF(D34:AH34,"*$L*")</f>
        <v>0</v>
      </c>
      <c r="BC34" s="37" t="e">
        <f aca="false">BB34*('Setting key Duty'!$I$13+'Setting key Duty'!$I$9)</f>
        <v>#VALUE!</v>
      </c>
      <c r="BD34" s="37" t="n">
        <f aca="false">COUNTIF(D34:AH34,"*$M*")</f>
        <v>2</v>
      </c>
      <c r="BE34" s="37" t="n">
        <f aca="false">BD34*('Setting key Duty'!$I$8+'Setting key Duty'!$I$9+'Setting key Duty'!$I$12)</f>
        <v>1.125</v>
      </c>
      <c r="BF34" s="37" t="n">
        <f aca="false">COUNTIF(D34:AH34,"*$N*")</f>
        <v>0</v>
      </c>
      <c r="BG34" s="37" t="n">
        <f aca="false">COUNTIF(D34:AH34,"*$PM*")</f>
        <v>0</v>
      </c>
      <c r="BH34" s="37" t="n">
        <f aca="false">BG34*('Setting key Duty'!$I$9)</f>
        <v>0</v>
      </c>
      <c r="BI34" s="37" t="n">
        <f aca="false">COUNTIF(D34:AH34,"*$AM*")</f>
        <v>2</v>
      </c>
      <c r="BJ34" s="37" t="n">
        <f aca="false">BI34*('Setting key Duty'!$I$12+'Setting key Duty'!$I$8)</f>
        <v>0.875</v>
      </c>
      <c r="BK34" s="37" t="n">
        <f aca="false">COUNTIF(C34:AH34,"*$FC*")</f>
        <v>0</v>
      </c>
      <c r="BL34" s="37" t="n">
        <f aca="false">BK34*('Setting key Duty'!$J$11+'Setting key Duty'!$I$8)</f>
        <v>0</v>
      </c>
      <c r="BM34" s="37" t="n">
        <f aca="false">COUNTIF($C34:$AG34,BM$4)</f>
        <v>0</v>
      </c>
      <c r="BN34" s="37" t="n">
        <f aca="false">COUNTIF($C34:$AG34,BN$4)</f>
        <v>0</v>
      </c>
      <c r="BO34" s="37" t="n">
        <f aca="false">COUNTIF($D34:$AE34,BO$4)</f>
        <v>0</v>
      </c>
      <c r="BP34" s="68"/>
    </row>
    <row r="35" customFormat="false" ht="19.5" hidden="false" customHeight="true" outlineLevel="0" collapsed="false">
      <c r="A35" s="30"/>
      <c r="B35" s="59" t="s">
        <v>193</v>
      </c>
      <c r="C35" s="65"/>
      <c r="D35" s="42" t="s">
        <v>93</v>
      </c>
      <c r="E35" s="42" t="s">
        <v>253</v>
      </c>
      <c r="F35" s="42"/>
      <c r="G35" s="45"/>
      <c r="H35" s="33"/>
      <c r="I35" s="42" t="s">
        <v>93</v>
      </c>
      <c r="J35" s="42" t="s">
        <v>261</v>
      </c>
      <c r="K35" s="42" t="n">
        <v>1</v>
      </c>
      <c r="L35" s="42" t="s">
        <v>261</v>
      </c>
      <c r="M35" s="33"/>
      <c r="N35" s="42"/>
      <c r="O35" s="42" t="s">
        <v>93</v>
      </c>
      <c r="P35" s="42"/>
      <c r="Q35" s="42" t="s">
        <v>93</v>
      </c>
      <c r="R35" s="42" t="n">
        <v>2</v>
      </c>
      <c r="S35" s="42"/>
      <c r="T35" s="42"/>
      <c r="U35" s="42"/>
      <c r="V35" s="42"/>
      <c r="W35" s="42" t="s">
        <v>93</v>
      </c>
      <c r="X35" s="42" t="n">
        <v>3</v>
      </c>
      <c r="Y35" s="42" t="s">
        <v>93</v>
      </c>
      <c r="Z35" s="42" t="s">
        <v>93</v>
      </c>
      <c r="AC35" s="42" t="n">
        <v>4</v>
      </c>
      <c r="AD35" s="32"/>
      <c r="AE35" s="32"/>
      <c r="AF35" s="32"/>
      <c r="AG35" s="42"/>
      <c r="AH35" s="35"/>
      <c r="AI35" s="36"/>
      <c r="AJ35" s="35"/>
      <c r="AK35" s="66"/>
      <c r="AL35" s="66"/>
      <c r="AM35" s="66"/>
      <c r="AN35" s="66"/>
      <c r="AO35" s="67"/>
      <c r="AP35" s="37" t="n">
        <f aca="false">SUMPRODUCT(--WEEKDAY(C$3:AG$3,2)&lt;6,--((C35:AG35="DM"))+(C35:AG35="CS1")+((C35:AG35="CS2"))+(C35:AG35="SB1")+(C35:AG35="AE")+(C35:AG35="EM"))</f>
        <v>0</v>
      </c>
      <c r="AQ35" s="38"/>
      <c r="AR35" s="38" t="n">
        <f aca="false">SUMPRODUCT(--WEEKDAY(C$3:AG$3,2)&gt;5,--((C35:AG35="DM"))+(C35:AG35="CS1")+((C35:AG35="CS2"))+(C35:AG35="SB1")+(C35:AG35="AE")+(C35:AG35="EM"))</f>
        <v>0</v>
      </c>
      <c r="AS35" s="67"/>
      <c r="AT35" s="38" t="n">
        <f aca="false">(AP35-AQ35)/2+(AR35-AS35)</f>
        <v>0</v>
      </c>
      <c r="AU35" s="38" t="n">
        <f aca="false">AH35+AI35+AJ35+AK35+AM35+AN35</f>
        <v>0</v>
      </c>
      <c r="AV35" s="38" t="n">
        <f aca="false">BF35+BG35+BI35+BD35+BB35+AZ35+BK35</f>
        <v>0</v>
      </c>
      <c r="AW35" s="38" t="e">
        <f aca="false">AT35+AX35</f>
        <v>#VALUE!</v>
      </c>
      <c r="AX35" s="37" t="e">
        <f aca="false">(BI35*('Setting key Duty'!$I$8+'Setting key Duty'!$I$12))+(BG35*'Setting key Duty'!$I$9)+(BB35*('Setting key Duty'!$I$13+'Setting key Duty'!$I$9))+(AZ35*('Setting key Duty'!$I$13+'Setting key Duty'!$I$12+'Setting key Duty'!$I$11))+(BD35*('Setting key Duty'!$I$8+'Setting key Duty'!$I$9+'Setting key Duty'!$I$12))</f>
        <v>#VALUE!</v>
      </c>
      <c r="AY35" s="37" t="n">
        <f aca="false">COUNTIF(C35:Y35,"*BRT*")</f>
        <v>0</v>
      </c>
      <c r="AZ35" s="37" t="n">
        <f aca="false">COUNTIF(A35:AH35,"*$BTP*")</f>
        <v>0</v>
      </c>
      <c r="BA35" s="37" t="e">
        <f aca="false">AZ35*('Setting key Duty'!$I$13+'Setting key Duty'!$I$12+'Setting key Duty'!$I$11)</f>
        <v>#VALUE!</v>
      </c>
      <c r="BB35" s="37" t="n">
        <f aca="false">COUNTIF(D35:AH35,"*$L*")</f>
        <v>0</v>
      </c>
      <c r="BC35" s="37" t="e">
        <f aca="false">BB35*('Setting key Duty'!$I$13+'Setting key Duty'!$I$9)</f>
        <v>#VALUE!</v>
      </c>
      <c r="BD35" s="37" t="n">
        <f aca="false">COUNTIF(D35:AH35,"*$M*")</f>
        <v>0</v>
      </c>
      <c r="BE35" s="37" t="n">
        <f aca="false">BD35*('Setting key Duty'!$I$8+'Setting key Duty'!$I$9+'Setting key Duty'!$I$12)</f>
        <v>0</v>
      </c>
      <c r="BF35" s="37" t="n">
        <f aca="false">COUNTIF(D35:AH35,"*$N*")</f>
        <v>0</v>
      </c>
      <c r="BG35" s="37" t="n">
        <f aca="false">COUNTIF(D35:AH35,"*$PM*")</f>
        <v>0</v>
      </c>
      <c r="BH35" s="37" t="n">
        <f aca="false">BG35*('Setting key Duty'!$I$9)</f>
        <v>0</v>
      </c>
      <c r="BI35" s="37" t="n">
        <f aca="false">COUNTIF(D35:AH35,"*$AM*")</f>
        <v>0</v>
      </c>
      <c r="BJ35" s="37" t="n">
        <f aca="false">BI35*('Setting key Duty'!$I$12+'Setting key Duty'!$I$8)</f>
        <v>0</v>
      </c>
      <c r="BK35" s="37" t="n">
        <f aca="false">COUNTIF(C35:AH35,"*$FC*")</f>
        <v>0</v>
      </c>
      <c r="BL35" s="37" t="n">
        <f aca="false">BK35*('Setting key Duty'!$J$11+'Setting key Duty'!$I$8)</f>
        <v>0</v>
      </c>
      <c r="BM35" s="37" t="n">
        <f aca="false">COUNTIF($C35:$AG35,BM$4)</f>
        <v>0</v>
      </c>
      <c r="BN35" s="37" t="n">
        <f aca="false">COUNTIF($C35:$AG35,BN$4)</f>
        <v>0</v>
      </c>
      <c r="BO35" s="37" t="n">
        <f aca="false">COUNTIF($D35:$AE35,BO$4)</f>
        <v>0</v>
      </c>
      <c r="BP35" s="68"/>
    </row>
    <row r="36" customFormat="false" ht="19.5" hidden="false" customHeight="true" outlineLevel="0" collapsed="false">
      <c r="A36" s="30"/>
      <c r="B36" s="59" t="s">
        <v>262</v>
      </c>
      <c r="C36" s="65"/>
      <c r="D36" s="42"/>
      <c r="E36" s="42" t="s">
        <v>93</v>
      </c>
      <c r="F36" s="45" t="s">
        <v>65</v>
      </c>
      <c r="H36" s="33"/>
      <c r="I36" s="42" t="s">
        <v>65</v>
      </c>
      <c r="K36" s="42" t="s">
        <v>65</v>
      </c>
      <c r="L36" s="42"/>
      <c r="M36" s="33"/>
      <c r="O36" s="42" t="s">
        <v>65</v>
      </c>
      <c r="P36" s="42"/>
      <c r="Q36" s="42" t="s">
        <v>65</v>
      </c>
      <c r="R36" s="33"/>
      <c r="S36" s="42" t="s">
        <v>65</v>
      </c>
      <c r="T36" s="42"/>
      <c r="U36" s="42"/>
      <c r="V36" s="42"/>
      <c r="W36" s="42" t="s">
        <v>65</v>
      </c>
      <c r="X36" s="42"/>
      <c r="Y36" s="42" t="s">
        <v>65</v>
      </c>
      <c r="AA36" s="42" t="s">
        <v>65</v>
      </c>
      <c r="AC36" s="42" t="s">
        <v>93</v>
      </c>
      <c r="AD36" s="32"/>
      <c r="AE36" s="32"/>
      <c r="AF36" s="32"/>
      <c r="AG36" s="42" t="s">
        <v>93</v>
      </c>
      <c r="AH36" s="35"/>
      <c r="AI36" s="36"/>
      <c r="AJ36" s="35"/>
      <c r="AK36" s="66"/>
      <c r="AL36" s="66"/>
      <c r="AM36" s="66"/>
      <c r="AN36" s="66"/>
      <c r="AO36" s="67"/>
      <c r="AP36" s="37" t="n">
        <f aca="false">SUMPRODUCT(--WEEKDAY(C$3:AG$3,2)&lt;6,--((C36:AG36="DM"))+(C36:AG36="CS1")+((C36:AG36="CS2"))+(C36:AG36="SB1")+(C36:AG36="AE")+(C36:AG36="EM"))</f>
        <v>7</v>
      </c>
      <c r="AQ36" s="38"/>
      <c r="AR36" s="38" t="n">
        <f aca="false">SUMPRODUCT(--WEEKDAY(C$3:AG$3,2)&gt;5,--((C36:AG36="DM"))+(C36:AG36="CS1")+((C36:AG36="CS2"))+(C36:AG36="SB1")+(C36:AG36="AE")+(C36:AG36="EM"))</f>
        <v>2</v>
      </c>
      <c r="AS36" s="67"/>
      <c r="AT36" s="38" t="n">
        <f aca="false">(AP36-AQ36)/2+(AR36-AS36)</f>
        <v>5.5</v>
      </c>
      <c r="AU36" s="38" t="n">
        <f aca="false">AH36+AI36+AJ36+AK36+AM36+AN36</f>
        <v>0</v>
      </c>
      <c r="AV36" s="38" t="n">
        <f aca="false">BF36+BG36+BI36+BD36+BB36+AZ36+BK36</f>
        <v>0</v>
      </c>
      <c r="AW36" s="38" t="e">
        <f aca="false">AT36+AX36</f>
        <v>#VALUE!</v>
      </c>
      <c r="AX36" s="37" t="e">
        <f aca="false">(BI36*('Setting key Duty'!$I$8+'Setting key Duty'!$I$12))+(BG36*'Setting key Duty'!$I$9)+(BB36*('Setting key Duty'!$I$13+'Setting key Duty'!$I$9))+(AZ36*('Setting key Duty'!$I$13+'Setting key Duty'!$I$12+'Setting key Duty'!$I$11))+(BD36*('Setting key Duty'!$I$8+'Setting key Duty'!$I$9+'Setting key Duty'!$I$12))</f>
        <v>#VALUE!</v>
      </c>
      <c r="AY36" s="37" t="n">
        <f aca="false">COUNTIF(C36:Y36,"*BRT*")</f>
        <v>0</v>
      </c>
      <c r="AZ36" s="37" t="n">
        <f aca="false">COUNTIF(A36:AH36,"*$BTP*")</f>
        <v>0</v>
      </c>
      <c r="BA36" s="37" t="e">
        <f aca="false">AZ36*('Setting key Duty'!$I$13+'Setting key Duty'!$I$12+'Setting key Duty'!$I$11)</f>
        <v>#VALUE!</v>
      </c>
      <c r="BB36" s="37" t="n">
        <f aca="false">COUNTIF(D36:AH36,"*$L*")</f>
        <v>0</v>
      </c>
      <c r="BC36" s="37" t="e">
        <f aca="false">BB36*('Setting key Duty'!$I$13+'Setting key Duty'!$I$9)</f>
        <v>#VALUE!</v>
      </c>
      <c r="BD36" s="37" t="n">
        <f aca="false">COUNTIF(D36:AH36,"*$M*")</f>
        <v>0</v>
      </c>
      <c r="BE36" s="37" t="n">
        <f aca="false">BD36*('Setting key Duty'!$I$8+'Setting key Duty'!$I$9+'Setting key Duty'!$I$12)</f>
        <v>0</v>
      </c>
      <c r="BF36" s="37" t="n">
        <f aca="false">COUNTIF(D36:AH36,"*$N*")</f>
        <v>0</v>
      </c>
      <c r="BG36" s="37" t="n">
        <f aca="false">COUNTIF(D36:AH36,"*$PM*")</f>
        <v>0</v>
      </c>
      <c r="BH36" s="37" t="n">
        <f aca="false">BG36*('Setting key Duty'!$I$9)</f>
        <v>0</v>
      </c>
      <c r="BI36" s="37" t="n">
        <f aca="false">COUNTIF(D36:AH36,"*$AM*")</f>
        <v>0</v>
      </c>
      <c r="BJ36" s="37" t="n">
        <f aca="false">BI36*('Setting key Duty'!$I$12+'Setting key Duty'!$I$8)</f>
        <v>0</v>
      </c>
      <c r="BK36" s="37" t="n">
        <f aca="false">COUNTIF(C36:AH36,"*$FC*")</f>
        <v>0</v>
      </c>
      <c r="BL36" s="37" t="n">
        <f aca="false">BK36*('Setting key Duty'!$J$11+'Setting key Duty'!$I$8)</f>
        <v>0</v>
      </c>
      <c r="BM36" s="37" t="n">
        <f aca="false">COUNTIF($C36:$AG36,BM$4)</f>
        <v>0</v>
      </c>
      <c r="BN36" s="37" t="n">
        <f aca="false">COUNTIF($C36:$AG36,BN$4)</f>
        <v>0</v>
      </c>
      <c r="BO36" s="37" t="n">
        <f aca="false">COUNTIF($D36:$AE36,BO$4)</f>
        <v>0</v>
      </c>
      <c r="BP36" s="68"/>
    </row>
    <row r="37" customFormat="false" ht="19.5" hidden="false" customHeight="true" outlineLevel="0" collapsed="false">
      <c r="A37" s="30"/>
      <c r="B37" s="59" t="s">
        <v>195</v>
      </c>
      <c r="C37" s="65"/>
      <c r="D37" s="42"/>
      <c r="E37" s="42" t="n">
        <v>3</v>
      </c>
      <c r="F37" s="42"/>
      <c r="G37" s="45"/>
      <c r="H37" s="42"/>
      <c r="I37" s="42" t="n">
        <v>4</v>
      </c>
      <c r="J37" s="42" t="s">
        <v>93</v>
      </c>
      <c r="K37" s="42"/>
      <c r="L37" s="42" t="s">
        <v>254</v>
      </c>
      <c r="M37" s="33"/>
      <c r="N37" s="42"/>
      <c r="O37" s="32" t="s">
        <v>238</v>
      </c>
      <c r="P37" s="42"/>
      <c r="Q37" s="32" t="s">
        <v>263</v>
      </c>
      <c r="S37" s="42" t="s">
        <v>93</v>
      </c>
      <c r="T37" s="42"/>
      <c r="U37" s="42"/>
      <c r="V37" s="42"/>
      <c r="X37" s="32" t="s">
        <v>180</v>
      </c>
      <c r="Y37" s="32" t="s">
        <v>260</v>
      </c>
      <c r="AC37" s="32" t="s">
        <v>65</v>
      </c>
      <c r="AD37" s="32"/>
      <c r="AE37" s="32"/>
      <c r="AF37" s="32"/>
      <c r="AH37" s="35"/>
      <c r="AI37" s="36"/>
      <c r="AJ37" s="35"/>
      <c r="AK37" s="66"/>
      <c r="AL37" s="66"/>
      <c r="AM37" s="66"/>
      <c r="AN37" s="66"/>
      <c r="AO37" s="67"/>
      <c r="AP37" s="37" t="n">
        <f aca="false">SUMPRODUCT(--WEEKDAY(C$3:AG$3,2)&lt;6,--((C37:AG37="DM"))+(C37:AG37="CS1")+((C37:AG37="CS2"))+(C37:AG37="SB1")+(C37:AG37="AE")+(C37:AG37="EM"))</f>
        <v>1</v>
      </c>
      <c r="AQ37" s="38"/>
      <c r="AR37" s="38" t="n">
        <f aca="false">SUMPRODUCT(--WEEKDAY(C$3:AG$3,2)&gt;5,--((C37:AG37="DM"))+(C37:AG37="CS1")+((C37:AG37="CS2"))+(C37:AG37="SB1")+(C37:AG37="AE")+(C37:AG37="EM"))</f>
        <v>0</v>
      </c>
      <c r="AS37" s="67"/>
      <c r="AT37" s="38" t="n">
        <f aca="false">(AP37-AQ37)/2+(AR37-AS37)</f>
        <v>0.5</v>
      </c>
      <c r="AU37" s="38" t="n">
        <f aca="false">AH37+AI37+AJ37+AK37+AM37+AN37</f>
        <v>0</v>
      </c>
      <c r="AV37" s="38" t="n">
        <f aca="false">BF37+BG37+BI37+BD37+BB37+AZ37+BK37</f>
        <v>4</v>
      </c>
      <c r="AW37" s="38" t="e">
        <f aca="false">AT37+AX37</f>
        <v>#VALUE!</v>
      </c>
      <c r="AX37" s="37" t="e">
        <f aca="false">(BI37*('Setting key Duty'!$I$8+'Setting key Duty'!$I$12))+(BG37*'Setting key Duty'!$I$9)+(BB37*('Setting key Duty'!$I$13+'Setting key Duty'!$I$9))+(AZ37*('Setting key Duty'!$I$13+'Setting key Duty'!$I$12+'Setting key Duty'!$I$11))+(BD37*('Setting key Duty'!$I$8+'Setting key Duty'!$I$9+'Setting key Duty'!$I$12))</f>
        <v>#VALUE!</v>
      </c>
      <c r="AY37" s="37" t="n">
        <f aca="false">COUNTIF(C37:Y37,"*BRT*")</f>
        <v>0</v>
      </c>
      <c r="AZ37" s="37" t="n">
        <f aca="false">COUNTIF(A37:AH37,"*$BTP*")</f>
        <v>2</v>
      </c>
      <c r="BA37" s="37" t="e">
        <f aca="false">AZ37*('Setting key Duty'!$I$13+'Setting key Duty'!$I$12+'Setting key Duty'!$I$11)</f>
        <v>#VALUE!</v>
      </c>
      <c r="BB37" s="37" t="n">
        <f aca="false">COUNTIF(D37:AH37,"*$L*")</f>
        <v>0</v>
      </c>
      <c r="BC37" s="37" t="e">
        <f aca="false">BB37*('Setting key Duty'!$I$13+'Setting key Duty'!$I$9)</f>
        <v>#VALUE!</v>
      </c>
      <c r="BD37" s="37" t="n">
        <f aca="false">COUNTIF(D37:AH37,"*$M*")</f>
        <v>1</v>
      </c>
      <c r="BE37" s="37" t="n">
        <f aca="false">BD37*('Setting key Duty'!$I$8+'Setting key Duty'!$I$9+'Setting key Duty'!$I$12)</f>
        <v>0.5625</v>
      </c>
      <c r="BF37" s="37" t="n">
        <f aca="false">COUNTIF(D37:AH37,"*$N*")</f>
        <v>0</v>
      </c>
      <c r="BG37" s="37" t="n">
        <f aca="false">COUNTIF(D37:AH37,"*$PM*")</f>
        <v>0</v>
      </c>
      <c r="BH37" s="37" t="n">
        <f aca="false">BG37*('Setting key Duty'!$I$9)</f>
        <v>0</v>
      </c>
      <c r="BI37" s="37" t="n">
        <f aca="false">COUNTIF(D37:AH37,"*$AM*")</f>
        <v>1</v>
      </c>
      <c r="BJ37" s="37" t="n">
        <f aca="false">BI37*('Setting key Duty'!$I$12+'Setting key Duty'!$I$8)</f>
        <v>0.4375</v>
      </c>
      <c r="BK37" s="37" t="n">
        <f aca="false">COUNTIF(C37:AH37,"*$FC*")</f>
        <v>0</v>
      </c>
      <c r="BL37" s="37" t="n">
        <f aca="false">BK37*('Setting key Duty'!$J$11+'Setting key Duty'!$I$8)</f>
        <v>0</v>
      </c>
      <c r="BM37" s="37" t="n">
        <f aca="false">COUNTIF($C37:$AG37,BM$4)</f>
        <v>0</v>
      </c>
      <c r="BN37" s="37" t="n">
        <f aca="false">COUNTIF($C37:$AG37,BN$4)</f>
        <v>0</v>
      </c>
      <c r="BO37" s="37" t="n">
        <f aca="false">COUNTIF($D37:$AE37,BO$4)</f>
        <v>0</v>
      </c>
      <c r="BP37" s="68"/>
    </row>
    <row r="38" customFormat="false" ht="19.5" hidden="false" customHeight="true" outlineLevel="0" collapsed="false">
      <c r="A38" s="30"/>
      <c r="B38" s="64"/>
      <c r="C38" s="65"/>
      <c r="D38" s="42"/>
      <c r="E38" s="42"/>
      <c r="F38" s="42"/>
      <c r="G38" s="45"/>
      <c r="H38" s="42"/>
      <c r="I38" s="42"/>
      <c r="J38" s="42"/>
      <c r="K38" s="42"/>
      <c r="L38" s="42"/>
      <c r="N38" s="42"/>
      <c r="O38" s="42"/>
      <c r="P38" s="42"/>
      <c r="Q38" s="33"/>
      <c r="R38" s="33"/>
      <c r="S38" s="42"/>
      <c r="T38" s="42"/>
      <c r="U38" s="42"/>
      <c r="V38" s="42"/>
      <c r="X38" s="42"/>
      <c r="AD38" s="42"/>
      <c r="AE38" s="42"/>
      <c r="AF38" s="42"/>
      <c r="AG38" s="42"/>
      <c r="AH38" s="35"/>
      <c r="AI38" s="36"/>
      <c r="AJ38" s="35"/>
      <c r="AK38" s="66"/>
      <c r="AL38" s="66"/>
      <c r="AM38" s="66"/>
      <c r="AN38" s="66"/>
      <c r="AO38" s="67"/>
      <c r="AP38" s="37"/>
      <c r="AQ38" s="67"/>
      <c r="AR38" s="38"/>
      <c r="AS38" s="67"/>
      <c r="AT38" s="38"/>
      <c r="AU38" s="38"/>
      <c r="AV38" s="38"/>
      <c r="AW38" s="38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68"/>
    </row>
    <row r="39" customFormat="false" ht="19.5" hidden="false" customHeight="true" outlineLevel="0" collapsed="false">
      <c r="A39" s="30"/>
      <c r="B39" s="64" t="s">
        <v>148</v>
      </c>
      <c r="C39" s="65"/>
      <c r="D39" s="42"/>
      <c r="E39" s="42"/>
      <c r="F39" s="42"/>
      <c r="G39" s="42"/>
      <c r="H39" s="42"/>
      <c r="I39" s="42"/>
      <c r="J39" s="42"/>
      <c r="K39" s="42"/>
      <c r="L39" s="42"/>
      <c r="N39" s="42"/>
      <c r="O39" s="42"/>
      <c r="P39" s="42"/>
      <c r="Q39" s="33"/>
      <c r="R39" s="33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35" t="n">
        <f aca="false">COUNTIF($C39:$AG39,AH$4)</f>
        <v>0</v>
      </c>
      <c r="AI39" s="36" t="n">
        <f aca="false">COUNTIF($C39:$AG39,AI$4)</f>
        <v>0</v>
      </c>
      <c r="AJ39" s="35" t="n">
        <f aca="false">COUNTIF($C39:$AG39,AJ$4)</f>
        <v>0</v>
      </c>
      <c r="AK39" s="66" t="n">
        <f aca="false">COUNTIF($C39:$AG39,AK$4)</f>
        <v>0</v>
      </c>
      <c r="AL39" s="66" t="n">
        <f aca="false">COUNTIF($C39:$AG39,AL$4)</f>
        <v>0</v>
      </c>
      <c r="AM39" s="66" t="n">
        <f aca="false">COUNTIF($C39:$AG39,AM$4)</f>
        <v>0</v>
      </c>
      <c r="AN39" s="66" t="n">
        <f aca="false">COUNTIF($C39:$AG39,AN$4)</f>
        <v>0</v>
      </c>
      <c r="AO39" s="67"/>
      <c r="AP39" s="37"/>
      <c r="AQ39" s="67"/>
      <c r="AR39" s="38"/>
      <c r="AS39" s="67"/>
      <c r="AT39" s="67"/>
      <c r="AU39" s="38"/>
      <c r="AV39" s="38"/>
      <c r="AW39" s="38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66"/>
      <c r="BN39" s="66"/>
      <c r="BO39" s="66"/>
      <c r="BP39" s="68"/>
    </row>
    <row r="40" customFormat="false" ht="19.5" hidden="false" customHeight="true" outlineLevel="0" collapsed="false">
      <c r="A40" s="30"/>
      <c r="B40" s="69"/>
      <c r="C40" s="70"/>
      <c r="D40" s="71"/>
      <c r="E40" s="71"/>
      <c r="F40" s="71"/>
      <c r="G40" s="71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  <c r="AD40" s="70"/>
      <c r="AE40" s="70"/>
      <c r="AF40" s="70"/>
      <c r="AG40" s="70"/>
      <c r="AH40" s="72"/>
      <c r="AI40" s="73"/>
      <c r="AJ40" s="72"/>
      <c r="AK40" s="74"/>
      <c r="AL40" s="74"/>
      <c r="AM40" s="74"/>
      <c r="AN40" s="74"/>
      <c r="AO40" s="75"/>
      <c r="AP40" s="75"/>
      <c r="AQ40" s="75"/>
      <c r="AR40" s="75" t="n">
        <f aca="false">SUMPRODUCT(--WEEKDAY(C$3:AG$3,2)&gt;5,--((C40:AG40="DM"))+(C40:AG40="CS1")+((C40:AG40="CS2"))+(C40:AG40="SB1")+(C40:AG40="AE")+(C40:AG40="EM"))</f>
        <v>0</v>
      </c>
      <c r="AS40" s="75"/>
      <c r="AT40" s="75" t="n">
        <f aca="false">(AP40-AQ40)/2+(AR40-AS40)</f>
        <v>0</v>
      </c>
      <c r="AU40" s="75"/>
      <c r="AV40" s="75"/>
      <c r="AW40" s="75"/>
      <c r="AX40" s="74"/>
      <c r="AY40" s="74"/>
      <c r="AZ40" s="74"/>
      <c r="BA40" s="74"/>
      <c r="BB40" s="74"/>
      <c r="BC40" s="74"/>
      <c r="BD40" s="74"/>
      <c r="BE40" s="74"/>
      <c r="BF40" s="74"/>
      <c r="BG40" s="74"/>
      <c r="BH40" s="74"/>
      <c r="BI40" s="74"/>
      <c r="BJ40" s="74"/>
      <c r="BK40" s="74"/>
      <c r="BL40" s="74"/>
      <c r="BM40" s="74"/>
      <c r="BN40" s="74"/>
      <c r="BO40" s="74"/>
      <c r="BP40" s="76"/>
    </row>
    <row r="41" customFormat="false" ht="19.5" hidden="false" customHeight="true" outlineLevel="0" collapsed="false">
      <c r="A41" s="30"/>
      <c r="B41" s="77" t="s">
        <v>57</v>
      </c>
      <c r="C41" s="78" t="str">
        <f aca="false">VLOOKUP("DM",C4:C39,1,FALSE())</f>
        <v>DM</v>
      </c>
      <c r="D41" s="78" t="str">
        <f aca="false">VLOOKUP("DM",D4:D39,1,FALSE())</f>
        <v>DM</v>
      </c>
      <c r="E41" s="78" t="str">
        <f aca="false">VLOOKUP("DM",E4:E39,1,FALSE())</f>
        <v>DM</v>
      </c>
      <c r="F41" s="78" t="str">
        <f aca="false">VLOOKUP("DM",F4:F39,1,FALSE())</f>
        <v>DM</v>
      </c>
      <c r="G41" s="78" t="str">
        <f aca="false">VLOOKUP("DM",G4:G39,1,FALSE())</f>
        <v>DM</v>
      </c>
      <c r="H41" s="78" t="str">
        <f aca="false">VLOOKUP("DM",H4:H39,1,FALSE())</f>
        <v>DM</v>
      </c>
      <c r="I41" s="78" t="str">
        <f aca="false">VLOOKUP("DM",I4:I39,1,FALSE())</f>
        <v>DM</v>
      </c>
      <c r="J41" s="78" t="str">
        <f aca="false">VLOOKUP("DM",J4:J39,1,FALSE())</f>
        <v>DM</v>
      </c>
      <c r="K41" s="78" t="str">
        <f aca="false">VLOOKUP("DM",K4:K39,1,FALSE())</f>
        <v>DM</v>
      </c>
      <c r="L41" s="78" t="str">
        <f aca="false">VLOOKUP("DM",L4:L39,1,FALSE())</f>
        <v>DM</v>
      </c>
      <c r="M41" s="78" t="str">
        <f aca="false">VLOOKUP("DM",M4:M33,1,FALSE())</f>
        <v>DM</v>
      </c>
      <c r="N41" s="78" t="str">
        <f aca="false">VLOOKUP("DM",N4:N39,1,FALSE())</f>
        <v>DM</v>
      </c>
      <c r="O41" s="78" t="str">
        <f aca="false">VLOOKUP("DM",O4:O39,1,FALSE())</f>
        <v>DM</v>
      </c>
      <c r="P41" s="78" t="str">
        <f aca="false">VLOOKUP("DM",P4:P39,1,FALSE())</f>
        <v>DM</v>
      </c>
      <c r="Q41" s="78" t="str">
        <f aca="false">VLOOKUP("DM",Q4:Q37,1,FALSE())</f>
        <v>DM</v>
      </c>
      <c r="R41" s="78" t="str">
        <f aca="false">VLOOKUP("DM",R4:R31,1,FALSE())</f>
        <v>DM</v>
      </c>
      <c r="S41" s="78" t="str">
        <f aca="false">VLOOKUP("DM",S4:S39,1,FALSE())</f>
        <v>DM</v>
      </c>
      <c r="T41" s="78" t="str">
        <f aca="false">VLOOKUP("DM",T4:T39,1,FALSE())</f>
        <v>DM</v>
      </c>
      <c r="U41" s="78" t="str">
        <f aca="false">VLOOKUP("DM",U4:U39,1,FALSE())</f>
        <v>DM</v>
      </c>
      <c r="V41" s="78" t="str">
        <f aca="false">VLOOKUP("DM",V4:V30,1,FALSE())</f>
        <v>DM</v>
      </c>
      <c r="W41" s="78" t="str">
        <f aca="false">VLOOKUP("DM",W4:W30,1,FALSE())</f>
        <v>DM</v>
      </c>
      <c r="X41" s="78" t="str">
        <f aca="false">VLOOKUP("DM",X4:X39,1,FALSE())</f>
        <v>DM</v>
      </c>
      <c r="Y41" s="78" t="str">
        <f aca="false">VLOOKUP("DM",Y4:Y39,1,FALSE())</f>
        <v>DM</v>
      </c>
      <c r="Z41" s="78" t="str">
        <f aca="false">VLOOKUP("DM",Z4:Z39,1,FALSE())</f>
        <v>DM</v>
      </c>
      <c r="AA41" s="78" t="str">
        <f aca="false">VLOOKUP("DM",AA5:AA39,1,FALSE())</f>
        <v>DM</v>
      </c>
      <c r="AB41" s="78" t="str">
        <f aca="false">VLOOKUP("DM",AB4:AB39,1,FALSE())</f>
        <v>DM</v>
      </c>
      <c r="AC41" s="78" t="str">
        <f aca="false">VLOOKUP("DM",AC4:AC39,1,FALSE())</f>
        <v>DM</v>
      </c>
      <c r="AD41" s="78" t="str">
        <f aca="false">VLOOKUP("DM",AD4:AD39,1,FALSE())</f>
        <v>DM</v>
      </c>
      <c r="AE41" s="78" t="str">
        <f aca="false">VLOOKUP("DM",AE4:AE39,1,FALSE())</f>
        <v>DM</v>
      </c>
      <c r="AF41" s="78" t="str">
        <f aca="false">VLOOKUP("DM",AF4:AF39,1,FALSE())</f>
        <v>DM</v>
      </c>
      <c r="AG41" s="78" t="str">
        <f aca="false">VLOOKUP("DM",AG4:AG39,1,FALSE())</f>
        <v>DM</v>
      </c>
      <c r="AH41" s="35"/>
      <c r="AI41" s="36"/>
      <c r="AJ41" s="35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  <c r="BA41" s="37"/>
      <c r="BB41" s="37"/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  <c r="BN41" s="37"/>
      <c r="BO41" s="37"/>
      <c r="BP41" s="39"/>
    </row>
    <row r="42" customFormat="false" ht="19.5" hidden="false" customHeight="true" outlineLevel="0" collapsed="false">
      <c r="A42" s="30" t="e">
        <f aca="false">lte()</f>
        <v>#NAME?</v>
      </c>
      <c r="B42" s="79" t="s">
        <v>56</v>
      </c>
      <c r="C42" s="78" t="str">
        <f aca="false">VLOOKUP("CS1",C5:C39,1,FALSE())</f>
        <v>CS1</v>
      </c>
      <c r="D42" s="78" t="str">
        <f aca="false">VLOOKUP("CS1",D1:D39,1,FALSE())</f>
        <v>CS1</v>
      </c>
      <c r="E42" s="78" t="str">
        <f aca="false">VLOOKUP("CS1",E7:E39,1,FALSE())</f>
        <v>CS1</v>
      </c>
      <c r="F42" s="78" t="str">
        <f aca="false">VLOOKUP("CS1",F7:F39,1,FALSE())</f>
        <v>CS1</v>
      </c>
      <c r="G42" s="78" t="str">
        <f aca="false">VLOOKUP("CS1",G6:G39,1,FALSE())</f>
        <v>CS1</v>
      </c>
      <c r="H42" s="78" t="str">
        <f aca="false">VLOOKUP("CS1",H5:H39,1,FALSE())</f>
        <v>CS1</v>
      </c>
      <c r="I42" s="78" t="str">
        <f aca="false">VLOOKUP("CS1",I7:I39,1,FALSE())</f>
        <v>CS1</v>
      </c>
      <c r="J42" s="78" t="str">
        <f aca="false">VLOOKUP("CS1",J4:J39,1,FALSE())</f>
        <v>CS1</v>
      </c>
      <c r="K42" s="78" t="str">
        <f aca="false">VLOOKUP("CS1",K1:K39,1,FALSE())</f>
        <v>CS1</v>
      </c>
      <c r="L42" s="78" t="str">
        <f aca="false">VLOOKUP("CS1",L1:L39,1,FALSE())</f>
        <v>CS1</v>
      </c>
      <c r="M42" s="78" t="str">
        <f aca="false">VLOOKUP("CS1",M6:M33,1,FALSE())</f>
        <v>CS1</v>
      </c>
      <c r="N42" s="78" t="str">
        <f aca="false">VLOOKUP("CS1",N5:N39,1,FALSE())</f>
        <v>CS1</v>
      </c>
      <c r="O42" s="78" t="str">
        <f aca="false">VLOOKUP("CS1",O7:O39,1,FALSE())</f>
        <v>CS1</v>
      </c>
      <c r="P42" s="78" t="str">
        <f aca="false">VLOOKUP("CS1",P5:P39,1,FALSE())</f>
        <v>CS1</v>
      </c>
      <c r="Q42" s="78" t="str">
        <f aca="false">VLOOKUP("CS1",Q7:Q37,1,FALSE())</f>
        <v>CS1</v>
      </c>
      <c r="R42" s="78" t="str">
        <f aca="false">VLOOKUP("CS1",R6:R31,1,FALSE())</f>
        <v>CS1</v>
      </c>
      <c r="S42" s="78" t="str">
        <f aca="false">VLOOKUP("CS1",S6:S39,1,FALSE())</f>
        <v>CS1</v>
      </c>
      <c r="T42" s="78" t="str">
        <f aca="false">VLOOKUP("CS1",T6:T39,1,FALSE())</f>
        <v>CS1</v>
      </c>
      <c r="U42" s="78" t="str">
        <f aca="false">VLOOKUP("CS1",U5:U39,1,FALSE())</f>
        <v>CS1</v>
      </c>
      <c r="V42" s="78" t="str">
        <f aca="false">VLOOKUP("CS1",V1:V30,1,FALSE())</f>
        <v>CS1</v>
      </c>
      <c r="W42" s="78" t="str">
        <f aca="false">VLOOKUP("CS1",W1:W30,1,FALSE())</f>
        <v>CS1</v>
      </c>
      <c r="X42" s="78" t="str">
        <f aca="false">VLOOKUP("CS1",X1:X39,1,FALSE())</f>
        <v>CS1</v>
      </c>
      <c r="Y42" s="78" t="str">
        <f aca="false">VLOOKUP("CS1",Y6:Y39,1,FALSE())</f>
        <v>CS1</v>
      </c>
      <c r="Z42" s="78" t="str">
        <f aca="false">VLOOKUP("CS1",Z8:Z39,1,FALSE())</f>
        <v>CS1</v>
      </c>
      <c r="AA42" s="78" t="str">
        <f aca="false">VLOOKUP("CS1",AA5:AA39,1,FALSE())</f>
        <v>CS1</v>
      </c>
      <c r="AB42" s="78" t="str">
        <f aca="false">VLOOKUP("CS1",AB9:AB39,1,FALSE())</f>
        <v>CS1</v>
      </c>
      <c r="AC42" s="78" t="str">
        <f aca="false">VLOOKUP("CS1",AC7:AC39,1,FALSE())</f>
        <v>CS1</v>
      </c>
      <c r="AD42" s="78" t="str">
        <f aca="false">VLOOKUP("CS1",AD6:AD39,1,FALSE())</f>
        <v>CS1</v>
      </c>
      <c r="AE42" s="78" t="str">
        <f aca="false">VLOOKUP("CS1",AE6:AE39,1,FALSE())</f>
        <v>CS1</v>
      </c>
      <c r="AF42" s="78" t="str">
        <f aca="false">VLOOKUP("CS1",AF7:AF39,1,FALSE())</f>
        <v>CS1</v>
      </c>
      <c r="AG42" s="78" t="str">
        <f aca="false">VLOOKUP("CS1",AG6:AG39,1,FALSE())</f>
        <v>CS1</v>
      </c>
      <c r="AH42" s="35"/>
      <c r="AI42" s="36"/>
      <c r="AJ42" s="35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  <c r="BA42" s="37"/>
      <c r="BB42" s="37"/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  <c r="BN42" s="37"/>
      <c r="BO42" s="37"/>
      <c r="BP42" s="39"/>
    </row>
    <row r="43" customFormat="false" ht="19.5" hidden="false" customHeight="true" outlineLevel="0" collapsed="false">
      <c r="A43" s="30"/>
      <c r="B43" s="80" t="s">
        <v>59</v>
      </c>
      <c r="C43" s="78" t="str">
        <f aca="false">VLOOKUP("CS2",C6:C39,1,FALSE())</f>
        <v>CS2</v>
      </c>
      <c r="D43" s="78" t="str">
        <f aca="false">VLOOKUP("CS2",D9:D39,1,FALSE())</f>
        <v>CS2</v>
      </c>
      <c r="E43" s="78" t="str">
        <f aca="false">VLOOKUP("CS2",E7:E39,1,FALSE())</f>
        <v>CS2</v>
      </c>
      <c r="F43" s="78" t="str">
        <f aca="false">VLOOKUP("CS2",F7:F39,1,FALSE())</f>
        <v>CS2</v>
      </c>
      <c r="G43" s="78" t="str">
        <f aca="false">VLOOKUP("CS2",G6:G39,1,FALSE())</f>
        <v>CS2</v>
      </c>
      <c r="H43" s="78" t="str">
        <f aca="false">VLOOKUP("CS2",H1:H39,1,FALSE())</f>
        <v>CS2</v>
      </c>
      <c r="I43" s="78" t="str">
        <f aca="false">VLOOKUP("CS2",I7:I39,1,FALSE())</f>
        <v>CS2</v>
      </c>
      <c r="J43" s="78" t="str">
        <f aca="false">VLOOKUP("CS2",J4:J39,1,FALSE())</f>
        <v>CS2</v>
      </c>
      <c r="K43" s="78" t="str">
        <f aca="false">VLOOKUP("CS2",K5:K39,1,FALSE())</f>
        <v>CS2</v>
      </c>
      <c r="L43" s="78" t="str">
        <f aca="false">VLOOKUP("CS2",L4:L39,1,FALSE())</f>
        <v>CS2</v>
      </c>
      <c r="M43" s="78" t="str">
        <f aca="false">VLOOKUP("CS2",M7:M33,1,FALSE())</f>
        <v>CS2</v>
      </c>
      <c r="N43" s="78" t="str">
        <f aca="false">VLOOKUP("CS2",N5:N39,1,FALSE())</f>
        <v>CS2</v>
      </c>
      <c r="O43" s="78" t="str">
        <f aca="false">VLOOKUP("CS2",O5:O39,1,FALSE())</f>
        <v>CS2</v>
      </c>
      <c r="P43" s="78" t="str">
        <f aca="false">VLOOKUP("CS2",P7:P39,1,FALSE())</f>
        <v>CS2</v>
      </c>
      <c r="Q43" s="78" t="str">
        <f aca="false">VLOOKUP("CS2",Q7:Q37,1,FALSE())</f>
        <v>CS2</v>
      </c>
      <c r="R43" s="78" t="str">
        <f aca="false">VLOOKUP("CS2",R6:R31,1,FALSE())</f>
        <v>CS2</v>
      </c>
      <c r="S43" s="78" t="str">
        <f aca="false">VLOOKUP("CS2",S6:S39,1,FALSE())</f>
        <v>CS2</v>
      </c>
      <c r="T43" s="78" t="str">
        <f aca="false">VLOOKUP("CS2",T1:T39,1,FALSE())</f>
        <v>CS2</v>
      </c>
      <c r="U43" s="78" t="str">
        <f aca="false">VLOOKUP("CS2",U1:U39,1,FALSE())</f>
        <v>CS2</v>
      </c>
      <c r="V43" s="78" t="str">
        <f aca="false">VLOOKUP("CS2",V1:V30,1,FALSE())</f>
        <v>CS2</v>
      </c>
      <c r="W43" s="78" t="str">
        <f aca="false">VLOOKUP("CS2",W10:W30,1,FALSE())</f>
        <v>CS2</v>
      </c>
      <c r="X43" s="78" t="str">
        <f aca="false">VLOOKUP("CS2",X8:X39,1,FALSE())</f>
        <v>CS2</v>
      </c>
      <c r="Y43" s="78" t="str">
        <f aca="false">VLOOKUP("CS2",Y6:Y39,1,FALSE())</f>
        <v>CS2</v>
      </c>
      <c r="Z43" s="78" t="str">
        <f aca="false">VLOOKUP("CS2",Z8:Z39,1,FALSE())</f>
        <v>CS2</v>
      </c>
      <c r="AA43" s="78" t="str">
        <f aca="false">VLOOKUP("CS2",AA5:AA39,1,FALSE())</f>
        <v>CS2</v>
      </c>
      <c r="AB43" s="78" t="str">
        <f aca="false">VLOOKUP("CS2",AB1:AB39,1,FALSE())</f>
        <v>CS2</v>
      </c>
      <c r="AC43" s="78" t="str">
        <f aca="false">VLOOKUP("CS2",AC7:AC39,1,FALSE())</f>
        <v>CS2</v>
      </c>
      <c r="AD43" s="78" t="str">
        <f aca="false">VLOOKUP("CS2",AD6:AD39,1,FALSE())</f>
        <v>CS2</v>
      </c>
      <c r="AE43" s="78" t="str">
        <f aca="false">VLOOKUP("CS2",AE6:AE39,1,FALSE())</f>
        <v>CS2</v>
      </c>
      <c r="AF43" s="78" t="str">
        <f aca="false">VLOOKUP("CS2",AF7:AF39,1,FALSE())</f>
        <v>CS2</v>
      </c>
      <c r="AG43" s="78" t="str">
        <f aca="false">VLOOKUP("CS2",AG6:AG39,1,FALSE())</f>
        <v>CS2</v>
      </c>
      <c r="AH43" s="35"/>
      <c r="AI43" s="36"/>
      <c r="AJ43" s="35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  <c r="BA43" s="37"/>
      <c r="BB43" s="37"/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  <c r="BN43" s="37"/>
      <c r="BO43" s="37"/>
      <c r="BP43" s="39"/>
    </row>
    <row r="44" customFormat="false" ht="19.5" hidden="false" customHeight="true" outlineLevel="0" collapsed="false">
      <c r="A44" s="30"/>
      <c r="B44" s="81" t="s">
        <v>58</v>
      </c>
      <c r="C44" s="78" t="e">
        <f aca="false">VLOOKUP("SB1",C6:C39,1,FALSE())</f>
        <v>#N/A</v>
      </c>
      <c r="D44" s="78" t="str">
        <f aca="false">VLOOKUP("SB1",D3:D39,1,FALSE())</f>
        <v>SB1</v>
      </c>
      <c r="E44" s="78" t="str">
        <f aca="false">VLOOKUP("SB1",E7:E39,1,FALSE())</f>
        <v>SB1</v>
      </c>
      <c r="F44" s="78" t="str">
        <f aca="false">VLOOKUP("SB1",F7:F39,1,FALSE())</f>
        <v>SB1</v>
      </c>
      <c r="G44" s="78" t="str">
        <f aca="false">VLOOKUP("SB1",G6:G39,1,FALSE())</f>
        <v>SB1</v>
      </c>
      <c r="H44" s="78" t="str">
        <f aca="false">VLOOKUP("SB1",H7:H39,1,FALSE())</f>
        <v>SB1</v>
      </c>
      <c r="I44" s="78" t="str">
        <f aca="false">VLOOKUP("SB1",I7:I39,1,FALSE())</f>
        <v>SB1</v>
      </c>
      <c r="J44" s="78" t="str">
        <f aca="false">VLOOKUP("SB1",J4:J39,1,FALSE())</f>
        <v>SB1</v>
      </c>
      <c r="K44" s="78" t="str">
        <f aca="false">VLOOKUP("SB1",K6:K39,1,FALSE())</f>
        <v>SB1</v>
      </c>
      <c r="L44" s="78" t="str">
        <f aca="false">VLOOKUP("SB1",L6:L39,1,FALSE())</f>
        <v>SB1</v>
      </c>
      <c r="M44" s="78" t="str">
        <f aca="false">VLOOKUP("SB1",M7:M33,1,FALSE())</f>
        <v>SB1</v>
      </c>
      <c r="N44" s="78" t="str">
        <f aca="false">VLOOKUP("SB1",N5:N39,1,FALSE())</f>
        <v>SB1</v>
      </c>
      <c r="O44" s="78" t="str">
        <f aca="false">VLOOKUP("SB1",O7:O39,1,FALSE())</f>
        <v>SB1</v>
      </c>
      <c r="P44" s="78" t="str">
        <f aca="false">VLOOKUP("SB1",P7:P39,1,FALSE())</f>
        <v>SB1</v>
      </c>
      <c r="Q44" s="78" t="str">
        <f aca="false">VLOOKUP("SB1",Q7:Q37,1,FALSE())</f>
        <v>SB1</v>
      </c>
      <c r="R44" s="78" t="str">
        <f aca="false">VLOOKUP("SB1",R6:R31,1,FALSE())</f>
        <v>SB1</v>
      </c>
      <c r="S44" s="78" t="str">
        <f aca="false">VLOOKUP("SB1",S6:S39,1,FALSE())</f>
        <v>SB1</v>
      </c>
      <c r="T44" s="78" t="str">
        <f aca="false">VLOOKUP("SB1",T6:T39,1,FALSE())</f>
        <v>SB1</v>
      </c>
      <c r="U44" s="78" t="str">
        <f aca="false">VLOOKUP("SB1",U8:U39,1,FALSE())</f>
        <v>SB1</v>
      </c>
      <c r="V44" s="78" t="str">
        <f aca="false">VLOOKUP("SB1",V7:V30,1,FALSE())</f>
        <v>SB1</v>
      </c>
      <c r="W44" s="78" t="str">
        <f aca="false">VLOOKUP("SB1",W5:W30,1,FALSE())</f>
        <v>SB1</v>
      </c>
      <c r="X44" s="78" t="str">
        <f aca="false">VLOOKUP("SB1",X5:X39,1,FALSE())</f>
        <v>SB1</v>
      </c>
      <c r="Y44" s="78" t="str">
        <f aca="false">VLOOKUP("SB1",Y6:Y39,1,FALSE())</f>
        <v>SB1</v>
      </c>
      <c r="Z44" s="78" t="str">
        <f aca="false">VLOOKUP("SB1",Z8:Z39,1,FALSE())</f>
        <v>SB1</v>
      </c>
      <c r="AA44" s="78" t="str">
        <f aca="false">VLOOKUP("SB1",AA5:AA39,1,FALSE())</f>
        <v>SB1</v>
      </c>
      <c r="AB44" s="78" t="str">
        <f aca="false">VLOOKUP("SB1",AB1:AB39,1,FALSE())</f>
        <v>SB1</v>
      </c>
      <c r="AC44" s="78" t="str">
        <f aca="false">VLOOKUP("SB1",AC1:AC39,1,FALSE())</f>
        <v>SB1</v>
      </c>
      <c r="AD44" s="78" t="e">
        <f aca="false">VLOOKUP("SB1",AD6:AD39,1,FALSE())</f>
        <v>#N/A</v>
      </c>
      <c r="AE44" s="78" t="e">
        <f aca="false">VLOOKUP("SB1",AE6:AE39,1,FALSE())</f>
        <v>#N/A</v>
      </c>
      <c r="AF44" s="78" t="e">
        <f aca="false">VLOOKUP("SB1",AF7:AF39,1,FALSE())</f>
        <v>#N/A</v>
      </c>
      <c r="AG44" s="78" t="e">
        <f aca="false">VLOOKUP("SB1",AG6:AG39,1,FALSE())</f>
        <v>#N/A</v>
      </c>
      <c r="AH44" s="35"/>
      <c r="AI44" s="36"/>
      <c r="AJ44" s="35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  <c r="BN44" s="37"/>
      <c r="BO44" s="37"/>
      <c r="BP44" s="39"/>
    </row>
    <row r="45" customFormat="false" ht="19.5" hidden="false" customHeight="true" outlineLevel="0" collapsed="false">
      <c r="A45" s="30"/>
      <c r="B45" s="82" t="s">
        <v>93</v>
      </c>
      <c r="C45" s="78" t="e">
        <f aca="false">VLOOKUP("SB2",C6:C39,1,FALSE())</f>
        <v>#N/A</v>
      </c>
      <c r="D45" s="78" t="str">
        <f aca="false">VLOOKUP("SB2",D9:D39,1,FALSE())</f>
        <v>SB2</v>
      </c>
      <c r="E45" s="78" t="str">
        <f aca="false">VLOOKUP("SB2",E7:E39,1,FALSE())</f>
        <v>SB2</v>
      </c>
      <c r="F45" s="78" t="e">
        <f aca="false">VLOOKUP("SB2",F1:F39,1,FALSE())</f>
        <v>#N/A</v>
      </c>
      <c r="G45" s="78" t="e">
        <f aca="false">VLOOKUP("SB2",G6:G39,1,FALSE())</f>
        <v>#N/A</v>
      </c>
      <c r="H45" s="78" t="str">
        <f aca="false">VLOOKUP("SB2",H7:H39,1,FALSE())</f>
        <v>SB2</v>
      </c>
      <c r="I45" s="78" t="str">
        <f aca="false">VLOOKUP("SB2",I7:I39,1,FALSE())</f>
        <v>SB2</v>
      </c>
      <c r="J45" s="78" t="str">
        <f aca="false">VLOOKUP("SB2",J4:J39,1,FALSE())</f>
        <v>SB2</v>
      </c>
      <c r="K45" s="78" t="str">
        <f aca="false">VLOOKUP("SB2",K6:K39,1,FALSE())</f>
        <v>SB2</v>
      </c>
      <c r="L45" s="78" t="str">
        <f aca="false">VLOOKUP("SB2",L12:L39,1,FALSE())</f>
        <v>SB2</v>
      </c>
      <c r="M45" s="78" t="e">
        <f aca="false">VLOOKUP("SB2",M7:M33,1,FALSE())</f>
        <v>#N/A</v>
      </c>
      <c r="N45" s="78" t="e">
        <f aca="false">VLOOKUP("SB2",N5:N39,1,FALSE())</f>
        <v>#N/A</v>
      </c>
      <c r="O45" s="78" t="str">
        <f aca="false">VLOOKUP("SB2",O7:O39,1,FALSE())</f>
        <v>SB2</v>
      </c>
      <c r="P45" s="78" t="str">
        <f aca="false">VLOOKUP("SB2",P7:P39,1,FALSE())</f>
        <v>SB2</v>
      </c>
      <c r="Q45" s="78" t="str">
        <f aca="false">VLOOKUP("SB2",Q10:Q37,1,FALSE())</f>
        <v>SB2</v>
      </c>
      <c r="R45" s="78" t="str">
        <f aca="false">VLOOKUP("SB2",R6:R37,1,FALSE())</f>
        <v>SB2</v>
      </c>
      <c r="S45" s="78" t="str">
        <f aca="false">VLOOKUP("SB2",S14:S39,1,FALSE())</f>
        <v>SB2</v>
      </c>
      <c r="T45" s="78" t="e">
        <f aca="false">VLOOKUP("SB2",T6:T39,1,FALSE())</f>
        <v>#N/A</v>
      </c>
      <c r="U45" s="78" t="e">
        <f aca="false">VLOOKUP("SB2",U8:U39,1,FALSE())</f>
        <v>#N/A</v>
      </c>
      <c r="V45" s="78" t="str">
        <f aca="false">VLOOKUP("SB2",V5:V39,1,FALSE())</f>
        <v>SB2</v>
      </c>
      <c r="W45" s="78" t="str">
        <f aca="false">VLOOKUP("SB2",W10:W36,1,FALSE())</f>
        <v>SB2</v>
      </c>
      <c r="X45" s="78" t="str">
        <f aca="false">VLOOKUP("SB2",X8:X39,1,FALSE())</f>
        <v>SB2</v>
      </c>
      <c r="Y45" s="78" t="str">
        <f aca="false">VLOOKUP("SB2",Y6:Y39,1,FALSE())</f>
        <v>SB2</v>
      </c>
      <c r="Z45" s="78" t="str">
        <f aca="false">VLOOKUP("SB2",Z8:Z39,1,FALSE())</f>
        <v>SB2</v>
      </c>
      <c r="AA45" s="78" t="e">
        <f aca="false">VLOOKUP("SB2",AA12:AA39,1,FALSE())</f>
        <v>#N/A</v>
      </c>
      <c r="AB45" s="78" t="e">
        <f aca="false">VLOOKUP("SB2",AB9:AB39,1,FALSE())</f>
        <v>#N/A</v>
      </c>
      <c r="AC45" s="78" t="str">
        <f aca="false">VLOOKUP("SB2",AC10:AC39,1,FALSE())</f>
        <v>SB2</v>
      </c>
      <c r="AD45" s="78" t="str">
        <f aca="false">VLOOKUP("SB2",AD6:AD39,1,FALSE())</f>
        <v>SB2</v>
      </c>
      <c r="AE45" s="78" t="e">
        <f aca="false">VLOOKUP("SB2",AE6:AE39,1,FALSE())</f>
        <v>#N/A</v>
      </c>
      <c r="AF45" s="78" t="e">
        <f aca="false">VLOOKUP("SB2",AF7:AF39,1,FALSE())</f>
        <v>#N/A</v>
      </c>
      <c r="AG45" s="78" t="str">
        <f aca="false">VLOOKUP("SB2",AG6:AG39,1,FALSE())</f>
        <v>SB2</v>
      </c>
      <c r="AH45" s="35"/>
      <c r="AI45" s="36"/>
      <c r="AJ45" s="35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  <c r="BA45" s="37"/>
      <c r="BB45" s="37"/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  <c r="BN45" s="37"/>
      <c r="BO45" s="37"/>
      <c r="BP45" s="39"/>
    </row>
    <row r="46" customFormat="false" ht="19.5" hidden="false" customHeight="true" outlineLevel="0" collapsed="false">
      <c r="A46" s="30"/>
      <c r="B46" s="83" t="s">
        <v>65</v>
      </c>
      <c r="C46" s="78" t="str">
        <f aca="false">VLOOKUP("AE",C6:C39,1,FALSE())</f>
        <v>AE</v>
      </c>
      <c r="D46" s="78" t="str">
        <f aca="false">VLOOKUP("AE",D9:D39,1,FALSE())</f>
        <v>AE</v>
      </c>
      <c r="E46" s="78" t="str">
        <f aca="false">VLOOKUP("AE",E7:E39,1,FALSE())</f>
        <v>AE</v>
      </c>
      <c r="F46" s="78" t="str">
        <f aca="false">VLOOKUP("AE",F1:F39,1,FALSE())</f>
        <v>AE</v>
      </c>
      <c r="G46" s="78" t="str">
        <f aca="false">VLOOKUP("AE",G6:G39,1,FALSE())</f>
        <v>AE</v>
      </c>
      <c r="H46" s="78" t="str">
        <f aca="false">VLOOKUP("AE",H7:H39,1,FALSE())</f>
        <v>AE</v>
      </c>
      <c r="I46" s="78" t="str">
        <f aca="false">VLOOKUP("AE",I7:I39,1,FALSE())</f>
        <v>AE</v>
      </c>
      <c r="J46" s="78" t="str">
        <f aca="false">VLOOKUP("AE",J4:J39,1,FALSE())</f>
        <v>AE</v>
      </c>
      <c r="K46" s="78" t="str">
        <f aca="false">VLOOKUP("AE",K6:K39,1,FALSE())</f>
        <v>AE</v>
      </c>
      <c r="L46" s="78" t="str">
        <f aca="false">VLOOKUP("AE",L12:L39,1,FALSE())</f>
        <v>AE</v>
      </c>
      <c r="M46" s="78" t="str">
        <f aca="false">VLOOKUP("AE",M7:M33,1,FALSE())</f>
        <v>AE</v>
      </c>
      <c r="N46" s="78" t="str">
        <f aca="false">VLOOKUP("AE",N5:N39,1,FALSE())</f>
        <v>AE</v>
      </c>
      <c r="O46" s="78" t="str">
        <f aca="false">VLOOKUP("AE",O7:O39,1,FALSE())</f>
        <v>AE</v>
      </c>
      <c r="P46" s="78" t="str">
        <f aca="false">VLOOKUP("AE",P7:P39,1,FALSE())</f>
        <v>AE</v>
      </c>
      <c r="Q46" s="78" t="str">
        <f aca="false">VLOOKUP("AE",Q10:Q37,1,FALSE())</f>
        <v>AE</v>
      </c>
      <c r="R46" s="78" t="str">
        <f aca="false">VLOOKUP("AE",R6:R37,1,FALSE())</f>
        <v>AE</v>
      </c>
      <c r="S46" s="78" t="str">
        <f aca="false">VLOOKUP("AE",S14:S39,1,FALSE())</f>
        <v>AE</v>
      </c>
      <c r="T46" s="78" t="str">
        <f aca="false">VLOOKUP("AE",T6:T39,1,FALSE())</f>
        <v>AE</v>
      </c>
      <c r="U46" s="78" t="str">
        <f aca="false">VLOOKUP("AE",U8:U39,1,FALSE())</f>
        <v>AE</v>
      </c>
      <c r="V46" s="78" t="str">
        <f aca="false">VLOOKUP("AE",V9:V30,1,FALSE())</f>
        <v>AE</v>
      </c>
      <c r="W46" s="78" t="str">
        <f aca="false">VLOOKUP("AE",W10:W36,1,FALSE())</f>
        <v>AE</v>
      </c>
      <c r="X46" s="78" t="str">
        <f aca="false">VLOOKUP("AE",X8:X39,1,FALSE())</f>
        <v>AE</v>
      </c>
      <c r="Y46" s="78" t="str">
        <f aca="false">VLOOKUP("AE",Y6:Y39,1,FALSE())</f>
        <v>AE</v>
      </c>
      <c r="Z46" s="78" t="str">
        <f aca="false">VLOOKUP("AE",Z8:Z39,1,FALSE())</f>
        <v>AE</v>
      </c>
      <c r="AA46" s="78" t="str">
        <f aca="false">VLOOKUP("AE",AA12:AA39,1,FALSE())</f>
        <v>AE</v>
      </c>
      <c r="AB46" s="78" t="str">
        <f aca="false">VLOOKUP("AE",AB9:AB39,1,FALSE())</f>
        <v>AE</v>
      </c>
      <c r="AC46" s="78" t="str">
        <f aca="false">VLOOKUP("AE",AC10:AC39,1,FALSE())</f>
        <v>AE</v>
      </c>
      <c r="AD46" s="78" t="str">
        <f aca="false">VLOOKUP("AE",AD6:AD39,1,FALSE())</f>
        <v>AE</v>
      </c>
      <c r="AE46" s="78" t="str">
        <f aca="false">VLOOKUP("AE",AE6:AE39,1,FALSE())</f>
        <v>AE</v>
      </c>
      <c r="AF46" s="78" t="str">
        <f aca="false">VLOOKUP("AE",AF7:AF39,1,FALSE())</f>
        <v>AE</v>
      </c>
      <c r="AG46" s="78" t="str">
        <f aca="false">VLOOKUP("AE",AG6:AG39,1,FALSE())</f>
        <v>AE</v>
      </c>
      <c r="AH46" s="35"/>
      <c r="AI46" s="36"/>
      <c r="AJ46" s="35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  <c r="BA46" s="37"/>
      <c r="BB46" s="37"/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  <c r="BN46" s="37"/>
      <c r="BO46" s="37"/>
      <c r="BP46" s="39"/>
    </row>
  </sheetData>
  <mergeCells count="1">
    <mergeCell ref="C1:S1"/>
  </mergeCells>
  <conditionalFormatting sqref="AG5 F10:F12 D11:E12 G11:AC12 AG11:AG12 D24:AG24">
    <cfRule type="expression" priority="2" aboveAverage="0" equalAverage="0" bottom="0" percent="0" rank="0" text="" dxfId="21">
      <formula>WEEKDAY(AJ$3,2)&gt;5</formula>
    </cfRule>
    <cfRule type="expression" priority="3" aboveAverage="0" equalAverage="0" bottom="0" percent="0" rank="0" text="" dxfId="21">
      <formula>WEEKDAY(AI$3,2)&gt;5</formula>
    </cfRule>
  </conditionalFormatting>
  <conditionalFormatting sqref="K36 C8 C13:C14 E13:F13 F17 I18 C19 C22 F30">
    <cfRule type="expression" priority="4" aboveAverage="0" equalAverage="0" bottom="0" percent="0" rank="0" text="" dxfId="21">
      <formula>WEEKDAY(E$3,2)&gt;5</formula>
    </cfRule>
  </conditionalFormatting>
  <conditionalFormatting sqref="N31">
    <cfRule type="expression" priority="5" aboveAverage="0" equalAverage="0" bottom="0" percent="0" rank="0" text="" dxfId="21">
      <formula>WEEKDAY(O$3,2)&gt;5</formula>
    </cfRule>
  </conditionalFormatting>
  <conditionalFormatting sqref="P6 O8 S9 O34 Q37">
    <cfRule type="expression" priority="6" aboveAverage="0" equalAverage="0" bottom="0" percent="0" rank="0" text="" dxfId="21">
      <formula>WEEKDAY(K$3,2)&gt;5</formula>
    </cfRule>
    <cfRule type="expression" priority="7" aboveAverage="0" equalAverage="0" bottom="0" percent="0" rank="0" text="" dxfId="21">
      <formula>WEEKDAY(J$3,2)&gt;5</formula>
    </cfRule>
  </conditionalFormatting>
  <conditionalFormatting sqref="C5:C31 D6:D7 M7:N8 G8:G9 F9 K10 D23 Q27 T27 H28 V28 E29 T29:T30 W29 D30:D31 G30:H30 J30 O30 U30:U31 Z30:AA30 P32">
    <cfRule type="cellIs" priority="8" operator="equal" aboveAverage="0" equalAverage="0" bottom="0" percent="0" rank="0" text="" dxfId="23">
      <formula>"B"</formula>
    </cfRule>
    <cfRule type="cellIs" priority="9" operator="equal" aboveAverage="0" equalAverage="0" bottom="0" percent="0" rank="0" text="" dxfId="23">
      <formula>"AL"</formula>
    </cfRule>
    <cfRule type="cellIs" priority="10" operator="equal" aboveAverage="0" equalAverage="0" bottom="0" percent="0" rank="0" text="" dxfId="24">
      <formula>"DM"</formula>
    </cfRule>
    <cfRule type="cellIs" priority="11" operator="equal" aboveAverage="0" equalAverage="0" bottom="0" percent="0" rank="0" text="" dxfId="25">
      <formula>"CS1"</formula>
    </cfRule>
    <cfRule type="cellIs" priority="12" operator="equal" aboveAverage="0" equalAverage="0" bottom="0" percent="0" rank="0" text="" dxfId="26">
      <formula>"CS2"</formula>
    </cfRule>
    <cfRule type="cellIs" priority="13" operator="equal" aboveAverage="0" equalAverage="0" bottom="0" percent="0" rank="0" text="" dxfId="27">
      <formula>"SB1"</formula>
    </cfRule>
    <cfRule type="cellIs" priority="14" operator="equal" aboveAverage="0" equalAverage="0" bottom="0" percent="0" rank="0" text="" dxfId="28">
      <formula>"SB2"</formula>
    </cfRule>
    <cfRule type="cellIs" priority="15" operator="equal" aboveAverage="0" equalAverage="0" bottom="0" percent="0" rank="0" text="" dxfId="29">
      <formula>"AE"</formula>
    </cfRule>
    <cfRule type="cellIs" priority="16" operator="equal" aboveAverage="0" equalAverage="0" bottom="0" percent="0" rank="0" text="" dxfId="23">
      <formula>"DB"</formula>
    </cfRule>
    <cfRule type="containsText" priority="17" operator="containsText" aboveAverage="0" equalAverage="0" bottom="0" percent="0" rank="0" text="$AM" dxfId="30">
      <formula>NOT(ISERROR(SEARCH("$AM",C5)))</formula>
    </cfRule>
    <cfRule type="containsText" priority="18" operator="containsText" aboveAverage="0" equalAverage="0" bottom="0" percent="0" rank="0" text="$PM" dxfId="31">
      <formula>NOT(ISERROR(SEARCH("$PM",C5)))</formula>
    </cfRule>
    <cfRule type="containsText" priority="19" operator="containsText" aboveAverage="0" equalAverage="0" bottom="0" percent="0" rank="0" text="$L" dxfId="32">
      <formula>NOT(ISERROR(SEARCH("$L",C5)))</formula>
    </cfRule>
    <cfRule type="containsText" priority="20" operator="containsText" aboveAverage="0" equalAverage="0" bottom="0" percent="0" rank="0" text="$BTP" dxfId="33">
      <formula>NOT(ISERROR(SEARCH("$BTP",C5)))</formula>
    </cfRule>
    <cfRule type="containsText" priority="21" operator="containsText" aboveAverage="0" equalAverage="0" bottom="0" percent="0" rank="0" text="$M" dxfId="34">
      <formula>NOT(ISERROR(SEARCH("$M",C5)))</formula>
    </cfRule>
    <cfRule type="containsText" priority="22" operator="containsText" aboveAverage="0" equalAverage="0" bottom="0" percent="0" rank="0" text="$N" dxfId="35">
      <formula>NOT(ISERROR(SEARCH("$N",C5)))</formula>
    </cfRule>
    <cfRule type="containsText" priority="23" operator="containsText" aboveAverage="0" equalAverage="0" bottom="0" percent="0" rank="0" text="$FC" dxfId="36">
      <formula>NOT(ISERROR(SEARCH("$FC",C5)))</formula>
    </cfRule>
    <cfRule type="containsText" priority="24" operator="containsText" aboveAverage="0" equalAverage="0" bottom="0" percent="0" rank="0" text="OAL" dxfId="37">
      <formula>NOT(ISERROR(SEARCH("OAL",C5)))</formula>
    </cfRule>
    <cfRule type="containsText" priority="25" operator="containsText" aboveAverage="0" equalAverage="0" bottom="0" percent="0" rank="0" text="S+" dxfId="38">
      <formula>NOT(ISERROR(SEARCH("S+",C5)))</formula>
    </cfRule>
    <cfRule type="containsText" priority="26" operator="containsText" aboveAverage="0" equalAverage="0" bottom="0" percent="0" rank="0" text="EX-D" dxfId="39">
      <formula>NOT(ISERROR(SEARCH("EX-D",C5)))</formula>
    </cfRule>
  </conditionalFormatting>
  <conditionalFormatting sqref="T7:T9 U9 AA9:AB9 T11 F13 Y13:Y14 C14 T14:T15 U14:X14 Z14:AG14 F17 H17 O17 U18 AE18 C19 T22 P23 E26 AB27 E30:F30">
    <cfRule type="expression" priority="27" aboveAverage="0" equalAverage="0" bottom="0" percent="0" rank="0" text="" dxfId="21">
      <formula>WEEKDAY(V$3,2)&gt;5</formula>
    </cfRule>
  </conditionalFormatting>
  <conditionalFormatting sqref="T7:T9 U9 AA9:AB9 T11 Y13:Y14 T14:T15 U14:X14 Z14:AG14 H17 O17 U18 AE18 T22 G23:G24 P23 E26 G26 AB27 G28:G29 F29 E30">
    <cfRule type="expression" priority="28" aboveAverage="0" equalAverage="0" bottom="0" percent="0" rank="0" text="" dxfId="21">
      <formula>WEEKDAY(U$3,2)&gt;5</formula>
    </cfRule>
  </conditionalFormatting>
  <conditionalFormatting sqref="T2 C5:C27 D5:D31 E5:E7 F5:F31 G5:G29 H5:H13 I5:J27 K5:K13 L5:L27 M5:M21 N5:N22 O5 P5:P8 Q5:Q27 S5:S31 T5:T18 U5:U7 V5:V31 W5:W28 X5:X22 Y5:Z5 AA5:AA15 AB5:AC5 AD5:AF37 AG5:AG26 R6:R31 O7:O14 Y7:Y31 Z7:Z15 AB7:AB31 AC7:AC15 E9:E27 U9:U31 P10:P29 H15:H27 K15:K27 O16:O28 Z17:Z24 AA17:AA34 AC17:AC34 T20:T22 M23:M28 N24:N27 T24:T28 X24:X31 Z26:Z31 AG28:AG29 C29:C30 E29:E31 H29:H31 J29:J30 K29:K31 N29 Q29:Q33 I30:I31 O30:O31 T30:T31 L31 N31 P31:P33 W31 G33 L33 N33 R33 X33 Y33:Z34 AB33 M34 O34 S34 W34 K36 Z36 AA36:AA38 AB36 O37 Q37 X37 Y37:Y38 AC37:AC38 Z38 AB38">
    <cfRule type="cellIs" priority="29" operator="equal" aboveAverage="0" equalAverage="0" bottom="0" percent="0" rank="0" text="" dxfId="23">
      <formula>"B"</formula>
    </cfRule>
    <cfRule type="cellIs" priority="30" operator="equal" aboveAverage="0" equalAverage="0" bottom="0" percent="0" rank="0" text="" dxfId="23">
      <formula>"AL"</formula>
    </cfRule>
    <cfRule type="cellIs" priority="31" operator="equal" aboveAverage="0" equalAverage="0" bottom="0" percent="0" rank="0" text="" dxfId="24">
      <formula>"DM"</formula>
    </cfRule>
    <cfRule type="cellIs" priority="32" operator="equal" aboveAverage="0" equalAverage="0" bottom="0" percent="0" rank="0" text="" dxfId="25">
      <formula>"CS1"</formula>
    </cfRule>
    <cfRule type="cellIs" priority="33" operator="equal" aboveAverage="0" equalAverage="0" bottom="0" percent="0" rank="0" text="" dxfId="26">
      <formula>"CS2"</formula>
    </cfRule>
    <cfRule type="cellIs" priority="34" operator="equal" aboveAverage="0" equalAverage="0" bottom="0" percent="0" rank="0" text="" dxfId="27">
      <formula>"SB1"</formula>
    </cfRule>
    <cfRule type="cellIs" priority="35" operator="equal" aboveAverage="0" equalAverage="0" bottom="0" percent="0" rank="0" text="" dxfId="28">
      <formula>"SB2"</formula>
    </cfRule>
    <cfRule type="cellIs" priority="36" operator="equal" aboveAverage="0" equalAverage="0" bottom="0" percent="0" rank="0" text="" dxfId="29">
      <formula>"AE"</formula>
    </cfRule>
    <cfRule type="cellIs" priority="37" operator="equal" aboveAverage="0" equalAverage="0" bottom="0" percent="0" rank="0" text="" dxfId="23">
      <formula>"DB"</formula>
    </cfRule>
    <cfRule type="containsText" priority="38" operator="containsText" aboveAverage="0" equalAverage="0" bottom="0" percent="0" rank="0" text="$AM" dxfId="30">
      <formula>NOT(ISERROR(SEARCH("$AM",C2)))</formula>
    </cfRule>
    <cfRule type="containsText" priority="39" operator="containsText" aboveAverage="0" equalAverage="0" bottom="0" percent="0" rank="0" text="$PM" dxfId="31">
      <formula>NOT(ISERROR(SEARCH("$PM",C2)))</formula>
    </cfRule>
    <cfRule type="containsText" priority="40" operator="containsText" aboveAverage="0" equalAverage="0" bottom="0" percent="0" rank="0" text="$L" dxfId="32">
      <formula>NOT(ISERROR(SEARCH("$L",C2)))</formula>
    </cfRule>
    <cfRule type="containsText" priority="41" operator="containsText" aboveAverage="0" equalAverage="0" bottom="0" percent="0" rank="0" text="$BTP" dxfId="33">
      <formula>NOT(ISERROR(SEARCH("$BTP",C2)))</formula>
    </cfRule>
    <cfRule type="containsText" priority="42" operator="containsText" aboveAverage="0" equalAverage="0" bottom="0" percent="0" rank="0" text="$M" dxfId="34">
      <formula>NOT(ISERROR(SEARCH("$M",C2)))</formula>
    </cfRule>
    <cfRule type="containsText" priority="43" operator="containsText" aboveAverage="0" equalAverage="0" bottom="0" percent="0" rank="0" text="$N" dxfId="35">
      <formula>NOT(ISERROR(SEARCH("$N",C2)))</formula>
    </cfRule>
    <cfRule type="containsText" priority="44" operator="containsText" aboveAverage="0" equalAverage="0" bottom="0" percent="0" rank="0" text="$FC" dxfId="36">
      <formula>NOT(ISERROR(SEARCH("$FC",C2)))</formula>
    </cfRule>
    <cfRule type="containsText" priority="45" operator="containsText" aboveAverage="0" equalAverage="0" bottom="0" percent="0" rank="0" text="OAL" dxfId="37">
      <formula>NOT(ISERROR(SEARCH("OAL",C2)))</formula>
    </cfRule>
    <cfRule type="containsText" priority="46" operator="containsText" aboveAverage="0" equalAverage="0" bottom="0" percent="0" rank="0" text="S+" dxfId="38">
      <formula>NOT(ISERROR(SEARCH("S+",C2)))</formula>
    </cfRule>
    <cfRule type="containsText" priority="47" operator="containsText" aboveAverage="0" equalAverage="0" bottom="0" percent="0" rank="0" text="EX-D" dxfId="39">
      <formula>NOT(ISERROR(SEARCH("EX-D",C2)))</formula>
    </cfRule>
  </conditionalFormatting>
  <conditionalFormatting sqref="T2 C5:C27 D5:D31 E5:E7 F5:F31 G5:G29 H5:H13 I5:J27 K5:K13 L5:L27 M5:M21 N5:N22 O5 P5:P8 Q5:Q27 T5:T18 U5:U7 X5:X22 Y5:Z5 AA5:AA15 AB5:AC5 AD5:AF37 AG5:AG26 O7:O14 Y7:Y31 Z7:Z15 AB7:AB31 AC7:AC15 U9:U33 P10:P29 H15:H27 K15:K27 O16:O28 Z17:Z24 AA17:AA34 AC17:AC34 M23:M28 N24:N27 Z26:Z31 AG28:AG29 C29:C30 E29:E31 H29:H31 J29:J30 K29:K31 N29 Q29:Q33 I30:I31 O30:O31 T20:T33 L31 N31 P31:P33 V5:W31 G33 L33 N33 R22:R33 X24:X33 Y33:Z34 AB33 M34 O34 W34 K36 Z36 AA36:AA38 AB36 O37 Q37:R37 W37:X37 Y37:Y38 AC36:AC38 Z38 AB38 J4:J27 S5:S34 V5:V33 R6:R20 E9:E27 AG36">
    <cfRule type="containsText" priority="48" operator="containsText" aboveAverage="0" equalAverage="0" bottom="0" percent="0" rank="0" text="VACC" dxfId="40">
      <formula>NOT(ISERROR(SEARCH("VACC",C2)))</formula>
    </cfRule>
  </conditionalFormatting>
  <conditionalFormatting sqref="T2 D5:E7 F5:F31 G5:G24 H5:H13 I5:J27 K5:K13 L5:L27 M5:M21 N5:N22 O5 P5:P8 Q5 S5:S31 T5:T18 U5:U7 V5 W5:W28 X5:X22 Y5:Z5 AA5:AA15 AB5:AC5 AD5:AE37 AF5:AF14 AG5:AG16 R6:R20 O7:O14 Q7:Q22 V7:V31 Y7:Y31 Z7:Z15 AB7:AC15 E9:E20 U9:U29 D10:D31 P10:P29 H15:H27 K15:K27 O16:O28 AF16:AF37 Z17:Z24 AA17:AA34 AC17:AC34 AB18:AB31 AG18:AG26 T20:T22 E22:E27 R22:R31 M23:M28 N24:N27 Q24:Q27 T24:T28 X24:X31 G26:G29 Z26:Z31 AG28:AG29 C29:C30 E29:E31 H29:H31 J29:J30 K29:K31 N29 Q29:Q33 I30:I31 O30:O31 L31 N31 P31:P33 T31:U31 W31 G33 L33 N33 R33 X33 Y33:Z34 AB33 M34 O34 S34 W34 K36 Z36 AA36:AA38 AB36 O37 Q37 X37 Y37:Y38 AC37:AC38 Z38 AB38 C5:C27 M7:N8 Z30:AA30">
    <cfRule type="expression" priority="49" aboveAverage="0" equalAverage="0" bottom="0" percent="0" rank="0" text="" dxfId="21">
      <formula>WEEKDAY(#REF!,2)&gt;5</formula>
    </cfRule>
  </conditionalFormatting>
  <conditionalFormatting sqref="T2 J4:J46 AA4:AA46 C5:I46 K5:S46 T5:T18 U5:Z46 AB5:AG46 T20:T46">
    <cfRule type="cellIs" priority="50" operator="equal" aboveAverage="0" equalAverage="0" bottom="0" percent="0" rank="0" text="" dxfId="23">
      <formula>"B"</formula>
    </cfRule>
    <cfRule type="cellIs" priority="51" operator="equal" aboveAverage="0" equalAverage="0" bottom="0" percent="0" rank="0" text="" dxfId="23">
      <formula>"AL"</formula>
    </cfRule>
    <cfRule type="cellIs" priority="52" operator="equal" aboveAverage="0" equalAverage="0" bottom="0" percent="0" rank="0" text="" dxfId="24">
      <formula>"DM"</formula>
    </cfRule>
    <cfRule type="cellIs" priority="53" operator="equal" aboveAverage="0" equalAverage="0" bottom="0" percent="0" rank="0" text="" dxfId="25">
      <formula>"CS1"</formula>
    </cfRule>
    <cfRule type="cellIs" priority="54" operator="equal" aboveAverage="0" equalAverage="0" bottom="0" percent="0" rank="0" text="" dxfId="26">
      <formula>"CS2"</formula>
    </cfRule>
    <cfRule type="cellIs" priority="55" operator="equal" aboveAverage="0" equalAverage="0" bottom="0" percent="0" rank="0" text="" dxfId="27">
      <formula>"SB1"</formula>
    </cfRule>
    <cfRule type="cellIs" priority="56" operator="equal" aboveAverage="0" equalAverage="0" bottom="0" percent="0" rank="0" text="" dxfId="28">
      <formula>"SB2"</formula>
    </cfRule>
    <cfRule type="cellIs" priority="57" operator="equal" aboveAverage="0" equalAverage="0" bottom="0" percent="0" rank="0" text="" dxfId="29">
      <formula>"AE"</formula>
    </cfRule>
  </conditionalFormatting>
  <conditionalFormatting sqref="BO5:BP39">
    <cfRule type="cellIs" priority="58" operator="lessThan" aboveAverage="0" equalAverage="0" bottom="0" percent="0" rank="0" text="" dxfId="41">
      <formula>1</formula>
    </cfRule>
  </conditionalFormatting>
  <conditionalFormatting sqref="T2 J4:J39 AA4:AA39 C5:I39 K5:S39 T5:T18 U5:Z39 AB5:AG39 T20:T39">
    <cfRule type="cellIs" priority="59" operator="equal" aboveAverage="0" equalAverage="0" bottom="0" percent="0" rank="0" text="" dxfId="23">
      <formula>"DB"</formula>
    </cfRule>
    <cfRule type="containsText" priority="60" operator="containsText" aboveAverage="0" equalAverage="0" bottom="0" percent="0" rank="0" text="$AM" dxfId="30">
      <formula>NOT(ISERROR(SEARCH("$AM",C2)))</formula>
    </cfRule>
    <cfRule type="containsText" priority="61" operator="containsText" aboveAverage="0" equalAverage="0" bottom="0" percent="0" rank="0" text="$PM" dxfId="31">
      <formula>NOT(ISERROR(SEARCH("$PM",C2)))</formula>
    </cfRule>
    <cfRule type="containsText" priority="62" operator="containsText" aboveAverage="0" equalAverage="0" bottom="0" percent="0" rank="0" text="$L" dxfId="32">
      <formula>NOT(ISERROR(SEARCH("$L",C2)))</formula>
    </cfRule>
    <cfRule type="containsText" priority="63" operator="containsText" aboveAverage="0" equalAverage="0" bottom="0" percent="0" rank="0" text="$BTP" dxfId="33">
      <formula>NOT(ISERROR(SEARCH("$BTP",C2)))</formula>
    </cfRule>
    <cfRule type="containsText" priority="64" operator="containsText" aboveAverage="0" equalAverage="0" bottom="0" percent="0" rank="0" text="$M" dxfId="34">
      <formula>NOT(ISERROR(SEARCH("$M",C2)))</formula>
    </cfRule>
    <cfRule type="containsText" priority="65" operator="containsText" aboveAverage="0" equalAverage="0" bottom="0" percent="0" rank="0" text="$N" dxfId="35">
      <formula>NOT(ISERROR(SEARCH("$N",C2)))</formula>
    </cfRule>
    <cfRule type="containsText" priority="66" operator="containsText" aboveAverage="0" equalAverage="0" bottom="0" percent="0" rank="0" text="$FC" dxfId="36">
      <formula>NOT(ISERROR(SEARCH("$FC",C2)))</formula>
    </cfRule>
    <cfRule type="containsText" priority="67" operator="containsText" aboveAverage="0" equalAverage="0" bottom="0" percent="0" rank="0" text="OAL" dxfId="37">
      <formula>NOT(ISERROR(SEARCH("OAL",C2)))</formula>
    </cfRule>
    <cfRule type="containsText" priority="68" operator="containsText" aboveAverage="0" equalAverage="0" bottom="0" percent="0" rank="0" text="S+" dxfId="38">
      <formula>NOT(ISERROR(SEARCH("S+",C2)))</formula>
    </cfRule>
    <cfRule type="containsText" priority="69" operator="containsText" aboveAverage="0" equalAverage="0" bottom="0" percent="0" rank="0" text="EX-D" dxfId="39">
      <formula>NOT(ISERROR(SEARCH("EX-D",C2)))</formula>
    </cfRule>
  </conditionalFormatting>
  <conditionalFormatting sqref="T2:X39 C3:S39 Y3:AG39">
    <cfRule type="expression" priority="70" aboveAverage="0" equalAverage="0" bottom="0" percent="0" rank="0" text="" dxfId="21">
      <formula>WEEKDAY(T$3,2)&gt;5</formula>
    </cfRule>
  </conditionalFormatting>
  <dataValidations count="2">
    <dataValidation allowBlank="true" errorStyle="stop" operator="equal" showDropDown="true" showErrorMessage="false" showInputMessage="false" sqref="C5:L5 N5:Q5 S5:Y5 AA5:AG5 C6:H7 K6:N6 P6 R6:U6 W6:W8 AA6 AD6:AE6 AG6:AG13 K7 M7:O8 Q7:T7 V7 Y7:Y8 AB7:AF7 C8:C28 F8:G10 I8:K9 P8:U8 Z8:AF8 D9:D10 N9:O9 Q9:Q10 S9:V9 X9:X10 AA9:AF9 J10:P10 R10:W10 Y10:AE10 D11:AF12 D13:F13 H13 K13:P13 R13:R16 U13 W13:AB13 AD13:AF13 D14 F14:G14 L14:M15 O14:O15 Q14 S14:AG14 H15:J15 N15 P15:Q15 S15:Y15 AB15:AE15 D16:F17 H16:Q16 S16:V18 X16:X18 AA16:AB16 AD16:AG16 G17:I17 K17:Q18 W17:W18 Y17:AA17 AC17:AG18 D18:D19 F18:I18 Y18 E19:G19 I19 K19:O19 Q19:S19 U19:AG19 D20:E20 G20:P20 R20:AG20 D21:D23 F21 H21:U21 X21:X22 Z21:AG21 E22:G22 I22:L22 N22:W22 Y22:Z23 AB22:AG22 F23:I23 L23:M23 P23:R23 T23 V23 AA23:AG23 D24:AG24 D25:V25 Y25 AA25:AG25 D26:I29 K26:M26 O26:S26 U26:V26 X26:X32 Z26:Z35 AB26:AB29 AG26:AG29 J27 L27:Q27 S27:W27 Y27:Y31 AA27:AA31 AC27:AF27 K28:O28 Q28:W28 AC28:AE29 J29:K29 M29:N29 P29:W29 AF29 C30:K30 M30 O30:Q30 S30:W30 AC30:AF31 D31 H31:I31 K31:L31 N31:W31 AG31:AG32 C32:H34 J32:J35 L32:M32 O32:P32 R32:W32 AB32:AF32 I33:I37 K33:N33 P33 R33:S34 U33:V33 Y33:Y37 AA33:AF33 L34:O34 T34:U34 W34:X34 AA34 AD34:AG34 C35:G35 K35:L36 N35:X35 AC35:AG36 C36:F38 O36:Q36 S36:X36 AA36 G37:H37 J37:L37 N37:Q37 S37:V38 X37:X38 AC37:AF37 G38:L38 N38:P39 AD38:AG38 C39:L39 S39:AG39" type="list">
      <formula1>'Setting key Duty'!$B$7:$B$56</formula1>
      <formula2>0</formula2>
    </dataValidation>
    <dataValidation allowBlank="true" errorStyle="stop" operator="equal" showDropDown="true" showErrorMessage="false" showInputMessage="false" sqref="C40:AG46" type="list">
      <formula1>'Setting key Duty'!$B$7:$B$23</formula1>
      <formula2>0</formula2>
    </dataValidation>
  </dataValidation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Q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5" activeCellId="0" sqref="C5"/>
    </sheetView>
  </sheetViews>
  <sheetFormatPr defaultColWidth="12.6328125" defaultRowHeight="15.75" customHeight="true" zeroHeight="false" outlineLevelRow="0" outlineLevelCol="1"/>
  <cols>
    <col collapsed="false" customWidth="true" hidden="false" outlineLevel="0" max="1" min="1" style="0" width="2.13"/>
    <col collapsed="false" customWidth="true" hidden="false" outlineLevel="0" max="2" min="2" style="0" width="29.76"/>
    <col collapsed="false" customWidth="true" hidden="false" outlineLevel="0" max="11" min="3" style="0" width="9.24"/>
    <col collapsed="false" customWidth="true" hidden="false" outlineLevel="0" max="12" min="12" style="0" width="9.38"/>
    <col collapsed="false" customWidth="true" hidden="false" outlineLevel="0" max="13" min="13" style="0" width="10.63"/>
    <col collapsed="false" customWidth="true" hidden="false" outlineLevel="0" max="14" min="14" style="0" width="9.24"/>
    <col collapsed="false" customWidth="true" hidden="false" outlineLevel="0" max="15" min="15" style="0" width="10"/>
    <col collapsed="false" customWidth="true" hidden="false" outlineLevel="0" max="17" min="16" style="0" width="9.24"/>
    <col collapsed="false" customWidth="true" hidden="false" outlineLevel="0" max="18" min="18" style="0" width="9.63"/>
    <col collapsed="false" customWidth="true" hidden="false" outlineLevel="0" max="19" min="19" style="0" width="9.14"/>
    <col collapsed="false" customWidth="true" hidden="false" outlineLevel="0" max="26" min="20" style="0" width="9.24"/>
    <col collapsed="false" customWidth="true" hidden="false" outlineLevel="0" max="27" min="27" style="0" width="10.51"/>
    <col collapsed="false" customWidth="true" hidden="false" outlineLevel="0" max="30" min="28" style="0" width="9.24"/>
    <col collapsed="false" customWidth="true" hidden="false" outlineLevel="0" max="31" min="31" style="0" width="10.51"/>
    <col collapsed="false" customWidth="true" hidden="false" outlineLevel="0" max="32" min="32" style="0" width="9.38"/>
    <col collapsed="false" customWidth="true" hidden="false" outlineLevel="0" max="34" min="33" style="0" width="9.24"/>
    <col collapsed="false" customWidth="true" hidden="true" outlineLevel="1" max="41" min="35" style="0" width="9.38"/>
    <col collapsed="false" customWidth="true" hidden="false" outlineLevel="0" max="42" min="42" style="0" width="6.76"/>
    <col collapsed="false" customWidth="true" hidden="false" outlineLevel="1" max="43" min="43" style="0" width="8.87"/>
    <col collapsed="false" customWidth="true" hidden="false" outlineLevel="1" max="44" min="44" style="0" width="7.88"/>
    <col collapsed="false" customWidth="true" hidden="false" outlineLevel="1" max="45" min="45" style="0" width="9.14"/>
    <col collapsed="false" customWidth="true" hidden="false" outlineLevel="1" max="46" min="46" style="0" width="8.24"/>
    <col collapsed="false" customWidth="true" hidden="false" outlineLevel="1" max="47" min="47" style="0" width="5.51"/>
    <col collapsed="false" customWidth="true" hidden="false" outlineLevel="0" max="50" min="48" style="0" width="9.38"/>
    <col collapsed="false" customWidth="true" hidden="false" outlineLevel="1" max="58" min="51" style="0" width="9.38"/>
    <col collapsed="false" customWidth="true" hidden="false" outlineLevel="1" max="59" min="59" style="0" width="10"/>
    <col collapsed="false" customWidth="true" hidden="false" outlineLevel="1" max="65" min="60" style="0" width="9.38"/>
    <col collapsed="false" customWidth="true" hidden="false" outlineLevel="0" max="66" min="66" style="0" width="9.38"/>
    <col collapsed="false" customWidth="true" hidden="false" outlineLevel="0" max="67" min="67" style="0" width="9.51"/>
    <col collapsed="false" customWidth="true" hidden="false" outlineLevel="0" max="69" min="68" style="0" width="9.38"/>
  </cols>
  <sheetData>
    <row r="1" customFormat="false" ht="3" hidden="false" customHeight="true" outlineLevel="0" collapsed="false">
      <c r="A1" s="1"/>
      <c r="B1" s="2" t="s">
        <v>0</v>
      </c>
      <c r="C1" s="3" t="str">
        <f aca="false"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6"/>
    </row>
    <row r="2" customFormat="false" ht="26.25" hidden="false" customHeight="true" outlineLevel="0" collapsed="false">
      <c r="A2" s="7"/>
      <c r="B2" s="8" t="s">
        <v>1</v>
      </c>
      <c r="C2" s="9"/>
      <c r="D2" s="9"/>
      <c r="E2" s="9"/>
      <c r="F2" s="9"/>
      <c r="G2" s="9"/>
      <c r="H2" s="9" t="s">
        <v>264</v>
      </c>
      <c r="I2" s="9" t="s">
        <v>265</v>
      </c>
      <c r="J2" s="9"/>
      <c r="K2" s="9"/>
      <c r="L2" s="9" t="s">
        <v>266</v>
      </c>
      <c r="M2" s="9"/>
      <c r="N2" s="9" t="s">
        <v>3</v>
      </c>
      <c r="O2" s="9"/>
      <c r="P2" s="9" t="s">
        <v>7</v>
      </c>
      <c r="Q2" s="9"/>
      <c r="R2" s="9"/>
      <c r="S2" s="9" t="s">
        <v>13</v>
      </c>
      <c r="T2" s="9" t="s">
        <v>267</v>
      </c>
      <c r="U2" s="9" t="s">
        <v>268</v>
      </c>
      <c r="V2" s="9" t="s">
        <v>269</v>
      </c>
      <c r="W2" s="9" t="s">
        <v>13</v>
      </c>
      <c r="X2" s="9"/>
      <c r="Y2" s="9"/>
      <c r="Z2" s="9" t="s">
        <v>13</v>
      </c>
      <c r="AA2" s="11"/>
      <c r="AB2" s="9" t="s">
        <v>270</v>
      </c>
      <c r="AC2" s="9" t="s">
        <v>271</v>
      </c>
      <c r="AD2" s="9" t="s">
        <v>272</v>
      </c>
      <c r="AE2" s="9"/>
      <c r="AF2" s="9"/>
      <c r="AG2" s="9"/>
      <c r="AH2" s="93" t="s">
        <v>273</v>
      </c>
      <c r="AI2" s="12"/>
      <c r="AJ2" s="12"/>
      <c r="AK2" s="12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4" t="s">
        <v>16</v>
      </c>
      <c r="BB2" s="14"/>
      <c r="BC2" s="14" t="s">
        <v>17</v>
      </c>
      <c r="BD2" s="14"/>
      <c r="BE2" s="14" t="s">
        <v>18</v>
      </c>
      <c r="BF2" s="14"/>
      <c r="BG2" s="14"/>
      <c r="BH2" s="14" t="s">
        <v>19</v>
      </c>
      <c r="BI2" s="14"/>
      <c r="BJ2" s="14" t="s">
        <v>20</v>
      </c>
      <c r="BK2" s="14"/>
      <c r="BL2" s="14"/>
      <c r="BM2" s="14"/>
      <c r="BN2" s="13"/>
      <c r="BO2" s="13"/>
      <c r="BP2" s="13"/>
      <c r="BQ2" s="15"/>
    </row>
    <row r="3" customFormat="false" ht="26.25" hidden="false" customHeight="true" outlineLevel="0" collapsed="false">
      <c r="A3" s="7"/>
      <c r="B3" s="8" t="s">
        <v>21</v>
      </c>
      <c r="C3" s="16" t="n">
        <v>45689</v>
      </c>
      <c r="D3" s="17" t="n">
        <f aca="false">C3+1</f>
        <v>45690</v>
      </c>
      <c r="E3" s="17" t="n">
        <f aca="false">D3+1</f>
        <v>45691</v>
      </c>
      <c r="F3" s="17" t="n">
        <f aca="false">E3+1</f>
        <v>45692</v>
      </c>
      <c r="G3" s="17" t="n">
        <f aca="false">F3+1</f>
        <v>45693</v>
      </c>
      <c r="H3" s="17" t="n">
        <f aca="false">G3+1</f>
        <v>45694</v>
      </c>
      <c r="I3" s="17" t="n">
        <f aca="false">H3+1</f>
        <v>45695</v>
      </c>
      <c r="J3" s="17" t="n">
        <f aca="false">I3+1</f>
        <v>45696</v>
      </c>
      <c r="K3" s="17" t="n">
        <f aca="false">J3+1</f>
        <v>45697</v>
      </c>
      <c r="L3" s="17" t="n">
        <f aca="false">K3+1</f>
        <v>45698</v>
      </c>
      <c r="M3" s="17" t="n">
        <f aca="false">L3+1</f>
        <v>45699</v>
      </c>
      <c r="N3" s="17" t="n">
        <f aca="false">M3+1</f>
        <v>45700</v>
      </c>
      <c r="O3" s="17" t="n">
        <f aca="false">N3+1</f>
        <v>45701</v>
      </c>
      <c r="P3" s="17" t="n">
        <f aca="false">O3+1</f>
        <v>45702</v>
      </c>
      <c r="Q3" s="17" t="n">
        <f aca="false">P3+1</f>
        <v>45703</v>
      </c>
      <c r="R3" s="17" t="n">
        <f aca="false">Q3+1</f>
        <v>45704</v>
      </c>
      <c r="S3" s="17" t="n">
        <f aca="false">R3+1</f>
        <v>45705</v>
      </c>
      <c r="T3" s="17" t="n">
        <f aca="false">S3+1</f>
        <v>45706</v>
      </c>
      <c r="U3" s="17" t="n">
        <f aca="false">T3+1</f>
        <v>45707</v>
      </c>
      <c r="V3" s="17" t="n">
        <f aca="false">U3+1</f>
        <v>45708</v>
      </c>
      <c r="W3" s="17" t="n">
        <f aca="false">V3+1</f>
        <v>45709</v>
      </c>
      <c r="X3" s="17" t="n">
        <f aca="false">W3+1</f>
        <v>45710</v>
      </c>
      <c r="Y3" s="17" t="n">
        <f aca="false">X3+1</f>
        <v>45711</v>
      </c>
      <c r="Z3" s="17" t="n">
        <f aca="false">Y3+1</f>
        <v>45712</v>
      </c>
      <c r="AA3" s="17" t="n">
        <f aca="false">Z3+1</f>
        <v>45713</v>
      </c>
      <c r="AB3" s="17" t="n">
        <f aca="false">AA3+1</f>
        <v>45714</v>
      </c>
      <c r="AC3" s="17" t="n">
        <f aca="false">AB3+1</f>
        <v>45715</v>
      </c>
      <c r="AD3" s="17" t="n">
        <f aca="false">AC3+1</f>
        <v>45716</v>
      </c>
      <c r="AE3" s="17" t="n">
        <f aca="false">AD3+1</f>
        <v>45717</v>
      </c>
      <c r="AF3" s="17" t="n">
        <f aca="false">AE3+1</f>
        <v>45718</v>
      </c>
      <c r="AG3" s="17" t="n">
        <f aca="false">AF3+1</f>
        <v>45719</v>
      </c>
      <c r="AH3" s="17" t="n">
        <f aca="false">AG3+1</f>
        <v>45720</v>
      </c>
      <c r="AI3" s="18" t="str">
        <f aca="false">'Setting key Duty'!$C7</f>
        <v>DM</v>
      </c>
      <c r="AJ3" s="19" t="str">
        <f aca="false">'Setting key Duty'!$C8</f>
        <v>CS1</v>
      </c>
      <c r="AK3" s="20" t="str">
        <f aca="false">'Setting key Duty'!$C9</f>
        <v>CS2</v>
      </c>
      <c r="AL3" s="21" t="str">
        <f aca="false">'Setting key Duty'!$C11</f>
        <v>SB1</v>
      </c>
      <c r="AM3" s="21" t="str">
        <f aca="false">'Setting key Duty'!$C12</f>
        <v>SB2</v>
      </c>
      <c r="AN3" s="21" t="str">
        <f aca="false">'Setting key Duty'!$C13</f>
        <v>AE</v>
      </c>
      <c r="AO3" s="21" t="str">
        <f aca="false">'Setting key Duty'!C14</f>
        <v>EM</v>
      </c>
      <c r="AP3" s="20"/>
      <c r="AQ3" s="20" t="s">
        <v>22</v>
      </c>
      <c r="AR3" s="20" t="s">
        <v>23</v>
      </c>
      <c r="AS3" s="20" t="s">
        <v>24</v>
      </c>
      <c r="AT3" s="20" t="s">
        <v>25</v>
      </c>
      <c r="AU3" s="20" t="s">
        <v>26</v>
      </c>
      <c r="AV3" s="20" t="s">
        <v>27</v>
      </c>
      <c r="AW3" s="20" t="s">
        <v>28</v>
      </c>
      <c r="AX3" s="20" t="s">
        <v>29</v>
      </c>
      <c r="AY3" s="20" t="s">
        <v>30</v>
      </c>
      <c r="AZ3" s="20" t="s">
        <v>31</v>
      </c>
      <c r="BA3" s="21" t="s">
        <v>32</v>
      </c>
      <c r="BB3" s="20" t="s">
        <v>33</v>
      </c>
      <c r="BC3" s="21" t="s">
        <v>34</v>
      </c>
      <c r="BD3" s="20" t="s">
        <v>35</v>
      </c>
      <c r="BE3" s="21" t="s">
        <v>36</v>
      </c>
      <c r="BF3" s="20" t="s">
        <v>37</v>
      </c>
      <c r="BG3" s="20" t="s">
        <v>38</v>
      </c>
      <c r="BH3" s="20" t="s">
        <v>39</v>
      </c>
      <c r="BI3" s="20" t="s">
        <v>40</v>
      </c>
      <c r="BJ3" s="20" t="s">
        <v>41</v>
      </c>
      <c r="BK3" s="20" t="s">
        <v>42</v>
      </c>
      <c r="BL3" s="21" t="str">
        <f aca="false">'Setting key Duty'!C52</f>
        <v>Field Camp</v>
      </c>
      <c r="BM3" s="20" t="s">
        <v>43</v>
      </c>
      <c r="BN3" s="21" t="str">
        <f aca="false">'Setting key Duty'!$C15</f>
        <v>Block</v>
      </c>
      <c r="BO3" s="21" t="str">
        <f aca="false">'Setting key Duty'!C17</f>
        <v>Reserve</v>
      </c>
      <c r="BP3" s="21" t="str">
        <f aca="false">'Setting key Duty'!$C22</f>
        <v>AL</v>
      </c>
      <c r="BQ3" s="15"/>
    </row>
    <row r="4" customFormat="false" ht="18" hidden="false" customHeight="true" outlineLevel="0" collapsed="false">
      <c r="A4" s="22"/>
      <c r="B4" s="23" t="s">
        <v>156</v>
      </c>
      <c r="C4" s="24" t="str">
        <f aca="false">TEXT(C3,"ddd")</f>
        <v>Sat</v>
      </c>
      <c r="D4" s="24" t="str">
        <f aca="false">TEXT(D3,"ddd")</f>
        <v>Sun</v>
      </c>
      <c r="E4" s="24" t="str">
        <f aca="false">TEXT(E3,"ddd")</f>
        <v>Mon</v>
      </c>
      <c r="F4" s="24" t="str">
        <f aca="false">TEXT(F3,"ddd")</f>
        <v>Tue</v>
      </c>
      <c r="G4" s="24" t="str">
        <f aca="false">TEXT(G3,"ddd")</f>
        <v>Wed</v>
      </c>
      <c r="H4" s="24" t="str">
        <f aca="false">TEXT(H3,"ddd")</f>
        <v>Thu</v>
      </c>
      <c r="I4" s="24" t="str">
        <f aca="false">TEXT(I3,"ddd")</f>
        <v>Fri</v>
      </c>
      <c r="J4" s="24" t="str">
        <f aca="false">TEXT(J3,"ddd")</f>
        <v>Sat</v>
      </c>
      <c r="K4" s="24" t="str">
        <f aca="false">TEXT(K3,"ddd")</f>
        <v>Sun</v>
      </c>
      <c r="L4" s="24" t="str">
        <f aca="false">TEXT(L3,"ddd")</f>
        <v>Mon</v>
      </c>
      <c r="M4" s="24" t="str">
        <f aca="false">TEXT(M3,"ddd")</f>
        <v>Tue</v>
      </c>
      <c r="N4" s="24" t="str">
        <f aca="false">TEXT(N3,"ddd")</f>
        <v>Wed</v>
      </c>
      <c r="O4" s="24" t="str">
        <f aca="false">TEXT(O3,"ddd")</f>
        <v>Thu</v>
      </c>
      <c r="P4" s="24" t="str">
        <f aca="false">TEXT(P3,"ddd")</f>
        <v>Fri</v>
      </c>
      <c r="Q4" s="24" t="str">
        <f aca="false">TEXT(Q3,"ddd")</f>
        <v>Sat</v>
      </c>
      <c r="R4" s="24" t="str">
        <f aca="false">TEXT(R3,"ddd")</f>
        <v>Sun</v>
      </c>
      <c r="S4" s="24" t="str">
        <f aca="false">TEXT(S3,"ddd")</f>
        <v>Mon</v>
      </c>
      <c r="T4" s="24" t="str">
        <f aca="false">TEXT(T3,"ddd")</f>
        <v>Tue</v>
      </c>
      <c r="U4" s="24" t="str">
        <f aca="false">TEXT(U3,"ddd")</f>
        <v>Wed</v>
      </c>
      <c r="V4" s="24" t="str">
        <f aca="false">TEXT(V3,"ddd")</f>
        <v>Thu</v>
      </c>
      <c r="W4" s="24" t="str">
        <f aca="false">TEXT(W3,"ddd")</f>
        <v>Fri</v>
      </c>
      <c r="X4" s="24" t="str">
        <f aca="false">TEXT(X3,"ddd")</f>
        <v>Sat</v>
      </c>
      <c r="Y4" s="24" t="str">
        <f aca="false">TEXT(Y3,"ddd")</f>
        <v>Sun</v>
      </c>
      <c r="Z4" s="24" t="str">
        <f aca="false">TEXT(Z3,"ddd")</f>
        <v>Mon</v>
      </c>
      <c r="AA4" s="24" t="str">
        <f aca="false">TEXT(AA3,"ddd")</f>
        <v>Tue</v>
      </c>
      <c r="AB4" s="24" t="str">
        <f aca="false">TEXT(AB3,"ddd")</f>
        <v>Wed</v>
      </c>
      <c r="AC4" s="24" t="str">
        <f aca="false">TEXT(AC3,"ddd")</f>
        <v>Thu</v>
      </c>
      <c r="AD4" s="24" t="str">
        <f aca="false">TEXT(AD3,"ddd")</f>
        <v>Fri</v>
      </c>
      <c r="AE4" s="24" t="str">
        <f aca="false">TEXT(AE3,"ddd")</f>
        <v>Sat</v>
      </c>
      <c r="AF4" s="24" t="str">
        <f aca="false">TEXT(AF3,"ddd")</f>
        <v>Sun</v>
      </c>
      <c r="AG4" s="24" t="str">
        <f aca="false">TEXT(AG3,"ddd")</f>
        <v>Mon</v>
      </c>
      <c r="AH4" s="24" t="str">
        <f aca="false">TEXT(AH3,"ddd")</f>
        <v>Tue</v>
      </c>
      <c r="AI4" s="25" t="str">
        <f aca="false">'Setting key Duty'!$B7</f>
        <v>DM</v>
      </c>
      <c r="AJ4" s="26" t="str">
        <f aca="false">'Setting key Duty'!$B8</f>
        <v>CS1</v>
      </c>
      <c r="AK4" s="27" t="str">
        <f aca="false">'Setting key Duty'!$B9</f>
        <v>CS2</v>
      </c>
      <c r="AL4" s="28" t="str">
        <f aca="false">'Setting key Duty'!$B11</f>
        <v>SB1</v>
      </c>
      <c r="AM4" s="28" t="str">
        <f aca="false">'Setting key Duty'!$B12</f>
        <v>SB2</v>
      </c>
      <c r="AN4" s="28" t="str">
        <f aca="false">'Setting key Duty'!$B13</f>
        <v>AE</v>
      </c>
      <c r="AO4" s="28" t="str">
        <f aca="false">'Setting key Duty'!B14</f>
        <v>EM</v>
      </c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 t="s">
        <v>45</v>
      </c>
      <c r="BA4" s="28" t="s">
        <v>46</v>
      </c>
      <c r="BB4" s="28"/>
      <c r="BC4" s="28" t="s">
        <v>47</v>
      </c>
      <c r="BD4" s="28"/>
      <c r="BE4" s="28" t="s">
        <v>48</v>
      </c>
      <c r="BF4" s="28"/>
      <c r="BG4" s="28" t="s">
        <v>49</v>
      </c>
      <c r="BH4" s="28" t="s">
        <v>50</v>
      </c>
      <c r="BI4" s="28"/>
      <c r="BJ4" s="28" t="s">
        <v>51</v>
      </c>
      <c r="BK4" s="28"/>
      <c r="BL4" s="28" t="str">
        <f aca="false">'Setting key Duty'!B52</f>
        <v>$FC</v>
      </c>
      <c r="BM4" s="28"/>
      <c r="BN4" s="28" t="n">
        <f aca="false">'Setting key Duty'!$B15</f>
        <v>0</v>
      </c>
      <c r="BO4" s="28" t="str">
        <f aca="false">'Setting key Duty'!B17</f>
        <v>RESERVE</v>
      </c>
      <c r="BP4" s="28" t="str">
        <f aca="false">'Setting key Duty'!$B22</f>
        <v>AL</v>
      </c>
      <c r="BQ4" s="29"/>
    </row>
    <row r="5" customFormat="false" ht="19.5" hidden="false" customHeight="true" outlineLevel="0" collapsed="false">
      <c r="A5" s="30"/>
      <c r="B5" s="48" t="s">
        <v>119</v>
      </c>
      <c r="D5" s="42" t="s">
        <v>58</v>
      </c>
      <c r="E5" s="32"/>
      <c r="F5" s="32"/>
      <c r="G5" s="34"/>
      <c r="H5" s="42" t="s">
        <v>96</v>
      </c>
      <c r="I5" s="42" t="s">
        <v>65</v>
      </c>
      <c r="J5" s="94"/>
      <c r="K5" s="42"/>
      <c r="L5" s="95"/>
      <c r="M5" s="42" t="s">
        <v>56</v>
      </c>
      <c r="O5" s="95" t="s">
        <v>65</v>
      </c>
      <c r="P5" s="96"/>
      <c r="S5" s="32" t="s">
        <v>58</v>
      </c>
      <c r="T5" s="33"/>
      <c r="V5" s="42"/>
      <c r="W5" s="32" t="s">
        <v>58</v>
      </c>
      <c r="Y5" s="32" t="s">
        <v>58</v>
      </c>
      <c r="Z5" s="32"/>
      <c r="AA5" s="33"/>
      <c r="AB5" s="32"/>
      <c r="AD5" s="32" t="s">
        <v>56</v>
      </c>
      <c r="AE5" s="34"/>
      <c r="AG5" s="32"/>
      <c r="AH5" s="32"/>
      <c r="AI5" s="35"/>
      <c r="AJ5" s="36"/>
      <c r="AK5" s="35"/>
      <c r="AL5" s="37"/>
      <c r="AM5" s="37"/>
      <c r="AN5" s="37"/>
      <c r="AO5" s="37"/>
      <c r="AP5" s="38"/>
      <c r="AQ5" s="37" t="n">
        <f aca="false">SUMPRODUCT(--WEEKDAY(C$3:AG$3,2)&lt;6,--((C5:AG5="DM"))+(C5:AG5="CS1")+((C5:AG5="CS2"))+(C5:AG5="SB1")+(C5:AG5="AE")+(C5:AG5="EM"))</f>
        <v>6</v>
      </c>
      <c r="AR5" s="38"/>
      <c r="AS5" s="38" t="n">
        <f aca="false">SUMPRODUCT(--WEEKDAY(C$3:AG$3,2)&gt;5,--((C5:AG5="DM"))+(C5:AG5="CS1")+((C5:AG5="CS2"))+(C5:AG5="SB1")+(C5:AG5="AE")+(C5:AG5="EM"))</f>
        <v>2</v>
      </c>
      <c r="AT5" s="38"/>
      <c r="AU5" s="38" t="n">
        <f aca="false">(AQ5-AR5)/2+(AS5-AT5)</f>
        <v>0</v>
      </c>
      <c r="AV5" s="38" t="n">
        <f aca="false">AI5+AJ5+AK5+AL5+AN5+AO5</f>
        <v>0</v>
      </c>
      <c r="AW5" s="38" t="n">
        <f aca="false">BG5+BH5+BJ5+BE5+BC5+BA5+BL5</f>
        <v>0</v>
      </c>
      <c r="AX5" s="38" t="e">
        <f aca="false">AU5+$AY$10</f>
        <v>#VALUE!</v>
      </c>
      <c r="AY5" s="37" t="e">
        <f aca="false">(BJ5*('Setting key Duty'!$I$8+'Setting key Duty'!$I$12))+(BH5*'Setting key Duty'!$I$9)+(BC5*('Setting key Duty'!$I$13+'Setting key Duty'!$I$9))+(BA5*('Setting key Duty'!$I$13+'Setting key Duty'!$I$12+'Setting key Duty'!$I$11))+(BE5*('Setting key Duty'!$I$8+'Setting key Duty'!$I$9+'Setting key Duty'!$I$12))</f>
        <v>#VALUE!</v>
      </c>
      <c r="AZ5" s="37" t="n">
        <f aca="false">COUNTIF(D5:AA5,"*BRT*")</f>
        <v>0</v>
      </c>
      <c r="BA5" s="37" t="n">
        <f aca="false">COUNTIF(A5:AI5,"*$BTP*")</f>
        <v>0</v>
      </c>
      <c r="BB5" s="37" t="e">
        <f aca="false">BA5*('Setting key Duty'!$I$13+'Setting key Duty'!$I$12+'Setting key Duty'!$I$11)</f>
        <v>#VALUE!</v>
      </c>
      <c r="BC5" s="37" t="n">
        <f aca="false">COUNTIF(A5:AI5,"*$L*")</f>
        <v>0</v>
      </c>
      <c r="BD5" s="37" t="e">
        <f aca="false">BC5*('Setting key Duty'!$I$13+'Setting key Duty'!$I$9)</f>
        <v>#VALUE!</v>
      </c>
      <c r="BE5" s="37" t="n">
        <f aca="false">COUNTIF(A5:AI5,"*$M*")</f>
        <v>0</v>
      </c>
      <c r="BF5" s="37" t="n">
        <f aca="false">BE5*('Setting key Duty'!$I$8+'Setting key Duty'!$I$9+'Setting key Duty'!$I$12)</f>
        <v>0</v>
      </c>
      <c r="BG5" s="37" t="n">
        <f aca="false">COUNTIF(AI5,"*$N*")</f>
        <v>0</v>
      </c>
      <c r="BH5" s="37" t="n">
        <f aca="false">COUNTIF(AI5,"*$PM*")</f>
        <v>0</v>
      </c>
      <c r="BI5" s="37" t="n">
        <f aca="false">BH5*('Setting key Duty'!$I$9)</f>
        <v>0</v>
      </c>
      <c r="BJ5" s="37" t="n">
        <f aca="false">COUNTIF(A5:AI5,"*$AM*")</f>
        <v>0</v>
      </c>
      <c r="BK5" s="37" t="n">
        <f aca="false">BJ5*('Setting key Duty'!$I$12+'Setting key Duty'!$I$8)</f>
        <v>0</v>
      </c>
      <c r="BL5" s="37" t="n">
        <f aca="false">COUNTIF(D5:AI5,"*$FC*")</f>
        <v>0</v>
      </c>
      <c r="BM5" s="37" t="n">
        <f aca="false">BL5*('Setting key Duty'!$J$11+'Setting key Duty'!$I$8)</f>
        <v>0</v>
      </c>
      <c r="BN5" s="37" t="n">
        <f aca="false">COUNTIF($D5:$AA5,BN$4)</f>
        <v>0</v>
      </c>
      <c r="BO5" s="37" t="n">
        <f aca="false">COUNTIF($D5:$AA5,BO$4)</f>
        <v>0</v>
      </c>
      <c r="BP5" s="37" t="n">
        <f aca="false">COUNTIF($D5:$AA5,BP$4)</f>
        <v>0</v>
      </c>
      <c r="BQ5" s="39"/>
    </row>
    <row r="6" customFormat="false" ht="36" hidden="false" customHeight="true" outlineLevel="0" collapsed="false">
      <c r="A6" s="30"/>
      <c r="B6" s="97" t="s">
        <v>60</v>
      </c>
      <c r="C6" s="32"/>
      <c r="D6" s="32" t="s">
        <v>56</v>
      </c>
      <c r="F6" s="33"/>
      <c r="G6" s="42" t="s">
        <v>59</v>
      </c>
      <c r="H6" s="33"/>
      <c r="I6" s="32" t="s">
        <v>274</v>
      </c>
      <c r="J6" s="32"/>
      <c r="K6" s="98"/>
      <c r="L6" s="33"/>
      <c r="M6" s="42" t="s">
        <v>59</v>
      </c>
      <c r="N6" s="32"/>
      <c r="O6" s="42" t="s">
        <v>56</v>
      </c>
      <c r="P6" s="33"/>
      <c r="Q6" s="32"/>
      <c r="R6" s="99"/>
      <c r="U6" s="32" t="s">
        <v>56</v>
      </c>
      <c r="V6" s="33"/>
      <c r="X6" s="32"/>
      <c r="Y6" s="32"/>
      <c r="Z6" s="33"/>
      <c r="AA6" s="32" t="s">
        <v>59</v>
      </c>
      <c r="AB6" s="33"/>
      <c r="AC6" s="32" t="s">
        <v>275</v>
      </c>
      <c r="AD6" s="32"/>
      <c r="AF6" s="34" t="s">
        <v>58</v>
      </c>
      <c r="AH6" s="33"/>
      <c r="AI6" s="35" t="n">
        <f aca="false">COUNTIF($D6:$AE6,AI$4)</f>
        <v>0</v>
      </c>
      <c r="AJ6" s="36" t="n">
        <f aca="false">COUNTIF($D6:$AE6,AJ$4)</f>
        <v>3</v>
      </c>
      <c r="AK6" s="35" t="n">
        <f aca="false">COUNTIF($D6:$AE6,AK$4)</f>
        <v>3</v>
      </c>
      <c r="AL6" s="37" t="n">
        <f aca="false">COUNTIF($D6:$AE6,AL$4)</f>
        <v>0</v>
      </c>
      <c r="AM6" s="37" t="n">
        <f aca="false">COUNTIF($D6:$AE6,AM$4)</f>
        <v>0</v>
      </c>
      <c r="AN6" s="37" t="n">
        <f aca="false">COUNTIF($D6:$AE6,AN$4)</f>
        <v>0</v>
      </c>
      <c r="AO6" s="37" t="n">
        <f aca="false">COUNTIF($D6:$AE6,AO$4)</f>
        <v>0</v>
      </c>
      <c r="AP6" s="38"/>
      <c r="AQ6" s="37" t="n">
        <f aca="false">SUMPRODUCT(--WEEKDAY(C$3:AG$3,2)&lt;6,--((C6:AG6="DM"))+(C6:AG6="CS1")+((C6:AG6="CS2"))+(C6:AG6="SB1")+(C6:AG6="AE")+(C6:AG6="EM"))</f>
        <v>5</v>
      </c>
      <c r="AR6" s="38"/>
      <c r="AS6" s="38" t="n">
        <f aca="false">SUMPRODUCT(--WEEKDAY(C$3:AG$3,2)&gt;5,--((C6:AG6="DM"))+(C6:AG6="CS1")+((C6:AG6="CS2"))+(C6:AG6="SB1")+(C6:AG6="AE")+(C6:AG6="EM"))</f>
        <v>2</v>
      </c>
      <c r="AT6" s="38"/>
      <c r="AU6" s="38" t="n">
        <f aca="false">(AQ6-AR6)/2+(AS6-AT6)</f>
        <v>0</v>
      </c>
      <c r="AV6" s="38" t="n">
        <f aca="false">AI6+AJ6+AK6+AL6+AN6+AO6</f>
        <v>6</v>
      </c>
      <c r="AW6" s="38" t="e">
        <f aca="false">AU6+AY6</f>
        <v>#VALUE!</v>
      </c>
      <c r="AX6" s="38" t="e">
        <f aca="false">AU6+AY6</f>
        <v>#VALUE!</v>
      </c>
      <c r="AY6" s="37" t="e">
        <f aca="false">(BJ6*('Setting key Duty'!$I$8+'Setting key Duty'!$I$12))+(BH6*'Setting key Duty'!$I$9)+(BC6*('Setting key Duty'!$I$13+'Setting key Duty'!$I$9))+(BA6*('Setting key Duty'!$I$13+'Setting key Duty'!$I$12+'Setting key Duty'!$I$11))+(BE6*('Setting key Duty'!$I$8+'Setting key Duty'!$I$9+'Setting key Duty'!$I$12))</f>
        <v>#VALUE!</v>
      </c>
      <c r="AZ6" s="37" t="n">
        <f aca="false">COUNTIF(D6:AE6,"*BRT*")</f>
        <v>0</v>
      </c>
      <c r="BA6" s="37" t="n">
        <f aca="false">COUNTIF(A6:AI6,"*$BTP*")</f>
        <v>0</v>
      </c>
      <c r="BB6" s="37" t="e">
        <f aca="false">BA6*('Setting key Duty'!$I$13+'Setting key Duty'!$I$12+'Setting key Duty'!$I$11)</f>
        <v>#VALUE!</v>
      </c>
      <c r="BC6" s="37" t="n">
        <f aca="false">COUNTIF(A6:AI6,"*$L*")</f>
        <v>0</v>
      </c>
      <c r="BD6" s="37" t="e">
        <f aca="false">BC6*('Setting key Duty'!$I$13+'Setting key Duty'!$I$9)</f>
        <v>#VALUE!</v>
      </c>
      <c r="BE6" s="37" t="n">
        <f aca="false">COUNTIF(A6:AI6,"*$M*")</f>
        <v>0</v>
      </c>
      <c r="BF6" s="37" t="n">
        <f aca="false">BE6*('Setting key Duty'!$I$8+'Setting key Duty'!$I$9+'Setting key Duty'!$I$12)</f>
        <v>0</v>
      </c>
      <c r="BG6" s="37" t="n">
        <f aca="false">COUNTIF(AE6:AI6,"*$N*")</f>
        <v>0</v>
      </c>
      <c r="BH6" s="37" t="n">
        <f aca="false">COUNTIF(AE6:AI6,"*$PM*")</f>
        <v>0</v>
      </c>
      <c r="BI6" s="37" t="n">
        <f aca="false">BH6*('Setting key Duty'!$I$9)</f>
        <v>0</v>
      </c>
      <c r="BJ6" s="37" t="n">
        <f aca="false">COUNTIF(A6:AI6,"*$AM*")</f>
        <v>2</v>
      </c>
      <c r="BK6" s="37" t="n">
        <f aca="false">BJ6*('Setting key Duty'!$I$12+'Setting key Duty'!$I$8)</f>
        <v>0.875</v>
      </c>
      <c r="BL6" s="37" t="n">
        <f aca="false">COUNTIF(D6:AI6,"*$FC*")</f>
        <v>0</v>
      </c>
      <c r="BM6" s="37" t="n">
        <f aca="false">BL6*('Setting key Duty'!$J$11+'Setting key Duty'!$I$8)</f>
        <v>0</v>
      </c>
      <c r="BN6" s="37" t="n">
        <f aca="false">COUNTIF($D6:$AE6,BN$4)</f>
        <v>0</v>
      </c>
      <c r="BO6" s="37" t="n">
        <f aca="false">COUNTIF($D6:$AE6,BO$4)</f>
        <v>0</v>
      </c>
      <c r="BP6" s="37" t="n">
        <f aca="false">COUNTIF($D6:$AE6,BP$4)</f>
        <v>0</v>
      </c>
      <c r="BQ6" s="39"/>
    </row>
    <row r="7" customFormat="false" ht="19.5" hidden="false" customHeight="true" outlineLevel="0" collapsed="false">
      <c r="A7" s="30"/>
      <c r="B7" s="100" t="s">
        <v>211</v>
      </c>
      <c r="C7" s="32" t="s">
        <v>57</v>
      </c>
      <c r="E7" s="32"/>
      <c r="F7" s="32"/>
      <c r="G7" s="45"/>
      <c r="I7" s="42" t="s">
        <v>56</v>
      </c>
      <c r="J7" s="32"/>
      <c r="K7" s="98" t="s">
        <v>57</v>
      </c>
      <c r="L7" s="33"/>
      <c r="M7" s="33"/>
      <c r="N7" s="32" t="s">
        <v>276</v>
      </c>
      <c r="P7" s="32" t="s">
        <v>59</v>
      </c>
      <c r="Q7" s="33"/>
      <c r="S7" s="32" t="s">
        <v>57</v>
      </c>
      <c r="U7" s="32" t="s">
        <v>59</v>
      </c>
      <c r="V7" s="47"/>
      <c r="X7" s="32"/>
      <c r="Y7" s="46" t="s">
        <v>249</v>
      </c>
      <c r="Z7" s="32"/>
      <c r="AA7" s="32"/>
      <c r="AC7" s="32" t="s">
        <v>57</v>
      </c>
      <c r="AE7" s="32" t="s">
        <v>57</v>
      </c>
      <c r="AG7" s="32"/>
      <c r="AH7" s="32"/>
      <c r="AI7" s="35" t="n">
        <f aca="false">COUNTIF($C7,AI$4)</f>
        <v>1</v>
      </c>
      <c r="AJ7" s="36" t="n">
        <f aca="false">COUNTIF($C7,AJ$4)</f>
        <v>0</v>
      </c>
      <c r="AK7" s="35" t="n">
        <f aca="false">COUNTIF($C7,AK$4)</f>
        <v>0</v>
      </c>
      <c r="AL7" s="37" t="n">
        <f aca="false">COUNTIF($C7,AL$4)</f>
        <v>0</v>
      </c>
      <c r="AM7" s="37" t="n">
        <f aca="false">COUNTIF($C7,AM$4)</f>
        <v>0</v>
      </c>
      <c r="AN7" s="37" t="n">
        <f aca="false">COUNTIF($C7,AN$4)</f>
        <v>0</v>
      </c>
      <c r="AO7" s="37" t="n">
        <f aca="false">COUNTIF($C7,AO$4)</f>
        <v>0</v>
      </c>
      <c r="AP7" s="38"/>
      <c r="AQ7" s="37" t="n">
        <f aca="false">SUMPRODUCT(--WEEKDAY(C$3:AG$3,2)&lt;6,--((C7:AG7="DM"))+(C7:AG7="CS1")+((C7:AG7="CS2"))+(C7:AG7="SB1")+(C7:AG7="AE")+(C7:AG7="EM"))</f>
        <v>5</v>
      </c>
      <c r="AR7" s="38"/>
      <c r="AS7" s="38" t="n">
        <f aca="false">SUMPRODUCT(--WEEKDAY(C$3:AG$3,2)&gt;5,--((C7:AG7="DM"))+(C7:AG7="CS1")+((C7:AG7="CS2"))+(C7:AG7="SB1")+(C7:AG7="AE")+(C7:AG7="EM"))</f>
        <v>3</v>
      </c>
      <c r="AT7" s="38"/>
      <c r="AU7" s="38" t="n">
        <f aca="false">(AQ7-AR7)/2+(AS7-AT7)</f>
        <v>0</v>
      </c>
      <c r="AV7" s="38" t="n">
        <f aca="false">AI7+AJ7+AK7+AL7+AN7+AO7</f>
        <v>1</v>
      </c>
      <c r="AW7" s="38" t="n">
        <f aca="false">BG7+BH7+BJ7+BE7+BC7+BA7+BL7</f>
        <v>1</v>
      </c>
      <c r="AX7" s="38" t="e">
        <f aca="false">AU7+AY7</f>
        <v>#VALUE!</v>
      </c>
      <c r="AY7" s="37" t="e">
        <f aca="false">(BJ7*('Setting key Duty'!$I$8+'Setting key Duty'!$I$12))+(BH7*'Setting key Duty'!$I$9)+(BC7*('Setting key Duty'!$I$13+'Setting key Duty'!$I$9))+(BA7*('Setting key Duty'!$I$13+'Setting key Duty'!$I$12+'Setting key Duty'!$I$11))+(BE7*('Setting key Duty'!$I$8+'Setting key Duty'!$I$9+'Setting key Duty'!$I$12))</f>
        <v>#VALUE!</v>
      </c>
      <c r="AZ7" s="37" t="n">
        <f aca="false">COUNTIF(C7,"*BRT*")</f>
        <v>0</v>
      </c>
      <c r="BA7" s="37" t="n">
        <f aca="false">COUNTIF(A7:AI7,"*$BTP*")</f>
        <v>0</v>
      </c>
      <c r="BB7" s="37" t="e">
        <f aca="false">BA7*('Setting key Duty'!$I$13+'Setting key Duty'!$I$12+'Setting key Duty'!$I$11)</f>
        <v>#VALUE!</v>
      </c>
      <c r="BC7" s="37" t="n">
        <f aca="false">COUNTIF(A7:AI7,"*$L*")</f>
        <v>0</v>
      </c>
      <c r="BD7" s="37" t="e">
        <f aca="false">BC7*('Setting key Duty'!$I$13+'Setting key Duty'!$I$9)</f>
        <v>#VALUE!</v>
      </c>
      <c r="BE7" s="37" t="n">
        <f aca="false">COUNTIF(A7:AI7,"*$M*")</f>
        <v>0</v>
      </c>
      <c r="BF7" s="37" t="n">
        <f aca="false">BE7*('Setting key Duty'!$I$8+'Setting key Duty'!$I$9+'Setting key Duty'!$I$12)</f>
        <v>0</v>
      </c>
      <c r="BG7" s="37" t="n">
        <f aca="false">COUNTIF(A7:AI7,"*$N*")</f>
        <v>0</v>
      </c>
      <c r="BH7" s="37" t="n">
        <f aca="false">COUNTIF(AG7:AI7,"*$PM*")</f>
        <v>0</v>
      </c>
      <c r="BI7" s="37" t="n">
        <f aca="false">BH7*('Setting key Duty'!$I$9)</f>
        <v>0</v>
      </c>
      <c r="BJ7" s="37" t="n">
        <f aca="false">COUNTIF(A7:AI7,"*$AM*")</f>
        <v>1</v>
      </c>
      <c r="BK7" s="37" t="n">
        <f aca="false">BJ7*('Setting key Duty'!$I$12+'Setting key Duty'!$I$8)</f>
        <v>0.4375</v>
      </c>
      <c r="BL7" s="37" t="n">
        <f aca="false">COUNTIF(C7:AI7,"*$FC*")</f>
        <v>0</v>
      </c>
      <c r="BM7" s="37" t="n">
        <f aca="false">BL7*('Setting key Duty'!$J$11+'Setting key Duty'!$I$8)</f>
        <v>0</v>
      </c>
      <c r="BN7" s="37" t="n">
        <f aca="false">COUNTIF($C7,BN$4)</f>
        <v>0</v>
      </c>
      <c r="BO7" s="37" t="n">
        <f aca="false">COUNTIF($C7,BO$4)</f>
        <v>0</v>
      </c>
      <c r="BP7" s="37" t="n">
        <f aca="false">COUNTIF($C7,BP$4)</f>
        <v>0</v>
      </c>
      <c r="BQ7" s="39"/>
    </row>
    <row r="8" customFormat="false" ht="19.5" hidden="false" customHeight="true" outlineLevel="0" collapsed="false">
      <c r="A8" s="30"/>
      <c r="B8" s="41" t="s">
        <v>63</v>
      </c>
      <c r="C8" s="32"/>
      <c r="D8" s="33"/>
      <c r="E8" s="32"/>
      <c r="F8" s="32"/>
      <c r="G8" s="32"/>
      <c r="H8" s="32"/>
      <c r="I8" s="32" t="s">
        <v>57</v>
      </c>
      <c r="J8" s="32"/>
      <c r="K8" s="98"/>
      <c r="L8" s="32"/>
      <c r="M8" s="32" t="s">
        <v>277</v>
      </c>
      <c r="N8" s="33"/>
      <c r="O8" s="95" t="s">
        <v>58</v>
      </c>
      <c r="P8" s="32"/>
      <c r="Q8" s="32"/>
      <c r="R8" s="99"/>
      <c r="S8" s="33"/>
      <c r="T8" s="33"/>
      <c r="U8" s="42" t="s">
        <v>57</v>
      </c>
      <c r="V8" s="33"/>
      <c r="W8" s="32" t="s">
        <v>57</v>
      </c>
      <c r="X8" s="32"/>
      <c r="Y8" s="32"/>
      <c r="AB8" s="32" t="s">
        <v>57</v>
      </c>
      <c r="AC8" s="32"/>
      <c r="AE8" s="32"/>
      <c r="AF8" s="34" t="s">
        <v>57</v>
      </c>
      <c r="AG8" s="32"/>
      <c r="AH8" s="32"/>
      <c r="AI8" s="35"/>
      <c r="AJ8" s="36"/>
      <c r="AK8" s="35"/>
      <c r="AL8" s="37"/>
      <c r="AM8" s="37"/>
      <c r="AN8" s="37"/>
      <c r="AO8" s="37"/>
      <c r="AP8" s="38"/>
      <c r="AQ8" s="37" t="n">
        <f aca="false">SUMPRODUCT(--WEEKDAY(C$3:AG$3,2)&lt;6,--((C8:AG8="DM"))+(C8:AG8="CS1")+((C8:AG8="CS2"))+(C8:AG8="SB1")+(C8:AG8="AE")+(C8:AG8="EM"))</f>
        <v>5</v>
      </c>
      <c r="AR8" s="38"/>
      <c r="AS8" s="38" t="n">
        <f aca="false">SUMPRODUCT(--WEEKDAY(C$3:AG$3,2)&gt;5,--((C8:AG8="DM"))+(C8:AG8="CS1")+((C8:AG8="CS2"))+(C8:AG8="SB1")+(C8:AG8="AE")+(C8:AG8="EM"))</f>
        <v>1</v>
      </c>
      <c r="AT8" s="38"/>
      <c r="AU8" s="38"/>
      <c r="AV8" s="38"/>
      <c r="AW8" s="38"/>
      <c r="AX8" s="38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9"/>
    </row>
    <row r="9" customFormat="false" ht="19.5" hidden="false" customHeight="true" outlineLevel="0" collapsed="false">
      <c r="A9" s="30"/>
      <c r="B9" s="101" t="s">
        <v>215</v>
      </c>
      <c r="C9" s="32" t="s">
        <v>59</v>
      </c>
      <c r="D9" s="32"/>
      <c r="F9" s="42"/>
      <c r="G9" s="42" t="s">
        <v>56</v>
      </c>
      <c r="H9" s="42"/>
      <c r="I9" s="45" t="s">
        <v>73</v>
      </c>
      <c r="J9" s="45" t="s">
        <v>73</v>
      </c>
      <c r="K9" s="102" t="s">
        <v>73</v>
      </c>
      <c r="L9" s="47"/>
      <c r="M9" s="32" t="s">
        <v>88</v>
      </c>
      <c r="N9" s="32" t="s">
        <v>88</v>
      </c>
      <c r="O9" s="47" t="s">
        <v>96</v>
      </c>
      <c r="P9" s="46" t="s">
        <v>96</v>
      </c>
      <c r="Q9" s="32"/>
      <c r="S9" s="32"/>
      <c r="T9" s="32" t="s">
        <v>56</v>
      </c>
      <c r="V9" s="32"/>
      <c r="X9" s="32" t="s">
        <v>57</v>
      </c>
      <c r="Z9" s="32" t="s">
        <v>58</v>
      </c>
      <c r="AB9" s="32"/>
      <c r="AC9" s="32"/>
      <c r="AG9" s="32"/>
      <c r="AH9" s="32"/>
      <c r="AI9" s="35"/>
      <c r="AJ9" s="36"/>
      <c r="AK9" s="35"/>
      <c r="AL9" s="37"/>
      <c r="AM9" s="37"/>
      <c r="AN9" s="37"/>
      <c r="AO9" s="37"/>
      <c r="AP9" s="38"/>
      <c r="AQ9" s="37" t="n">
        <f aca="false">SUMPRODUCT(--WEEKDAY(C$3:AG$3,2)&lt;6,--((C9:AG9="DM"))+(C9:AG9="CS1")+((C9:AG9="CS2"))+(C9:AG9="SB1")+(C9:AG9="AE")+(C9:AG9="EM"))</f>
        <v>3</v>
      </c>
      <c r="AR9" s="38"/>
      <c r="AS9" s="38" t="n">
        <f aca="false">SUMPRODUCT(--WEEKDAY(C$3:AG$3,2)&gt;5,--((C9:AG9="DM"))+(C9:AG9="CS1")+((C9:AG9="CS2"))+(C9:AG9="SB1")+(C9:AG9="AE")+(C9:AG9="EM"))</f>
        <v>2</v>
      </c>
      <c r="AT9" s="38"/>
      <c r="AU9" s="38" t="n">
        <f aca="false">(AQ9-AR9)/2+(AS9-AT9)</f>
        <v>3.5</v>
      </c>
      <c r="AV9" s="38" t="n">
        <f aca="false">AI9+AJ9+AK9+AL9+AN9+AO9</f>
        <v>0</v>
      </c>
      <c r="AW9" s="38" t="n">
        <f aca="false">BG9+BH9+BJ9+BE9+BC9+BA9+BL9</f>
        <v>5</v>
      </c>
      <c r="AX9" s="38" t="e">
        <f aca="false">AU9+AY9</f>
        <v>#VALUE!</v>
      </c>
      <c r="AY9" s="37" t="e">
        <f aca="false">(BJ9*('Setting key Duty'!$I$8+'Setting key Duty'!$I$12))+(BH9*'Setting key Duty'!$I$9)+(BC9*('Setting key Duty'!$I$13+'Setting key Duty'!$I$9))+(BA9*('Setting key Duty'!$I$13+'Setting key Duty'!$I$12+'Setting key Duty'!$I$11))+(BE9*('Setting key Duty'!$I$8+'Setting key Duty'!$I$9+'Setting key Duty'!$I$12))</f>
        <v>#VALUE!</v>
      </c>
      <c r="AZ9" s="37" t="n">
        <f aca="false">COUNTIF(D9:Z9,"*BRT*")</f>
        <v>0</v>
      </c>
      <c r="BA9" s="37" t="n">
        <f aca="false">COUNTIF(A9:AI9,"*$BTP*")</f>
        <v>0</v>
      </c>
      <c r="BB9" s="37" t="e">
        <f aca="false">BA9*('Setting key Duty'!$I$13+'Setting key Duty'!$I$12+'Setting key Duty'!$I$11)</f>
        <v>#VALUE!</v>
      </c>
      <c r="BC9" s="37" t="n">
        <f aca="false">COUNTIF(A9:AI9,"*$L*")</f>
        <v>0</v>
      </c>
      <c r="BD9" s="37" t="e">
        <f aca="false">BC9*('Setting key Duty'!$I$13+'Setting key Duty'!$I$9)</f>
        <v>#VALUE!</v>
      </c>
      <c r="BE9" s="37" t="n">
        <f aca="false">COUNTIF(A9:AI9,"*$M*")</f>
        <v>0</v>
      </c>
      <c r="BF9" s="37" t="n">
        <f aca="false">BE9*('Setting key Duty'!$I$8+'Setting key Duty'!$I$9+'Setting key Duty'!$I$12)</f>
        <v>0</v>
      </c>
      <c r="BG9" s="37" t="n">
        <f aca="false">COUNTIF(AI9,"*$N*")</f>
        <v>0</v>
      </c>
      <c r="BH9" s="37" t="n">
        <f aca="false">COUNTIF(AI9,"*$PM*")</f>
        <v>0</v>
      </c>
      <c r="BI9" s="37" t="n">
        <f aca="false">BH9*('Setting key Duty'!$I$9)</f>
        <v>0</v>
      </c>
      <c r="BJ9" s="37" t="n">
        <f aca="false">COUNTIF(A9:AI9,"*$AM*")</f>
        <v>0</v>
      </c>
      <c r="BK9" s="37" t="n">
        <f aca="false">BJ9*('Setting key Duty'!$I$12+'Setting key Duty'!$I$8)</f>
        <v>0</v>
      </c>
      <c r="BL9" s="37" t="n">
        <f aca="false">COUNTIF(D9:AI9,"*$FC*")</f>
        <v>5</v>
      </c>
      <c r="BM9" s="37" t="n">
        <f aca="false">BL9*('Setting key Duty'!$J$11+'Setting key Duty'!$I$8)</f>
        <v>0.625</v>
      </c>
      <c r="BN9" s="37" t="n">
        <f aca="false">COUNTIF($D9:$Z9,BN$4)</f>
        <v>0</v>
      </c>
      <c r="BO9" s="37" t="n">
        <f aca="false">COUNTIF($D9:$Z9,BO$4)</f>
        <v>0</v>
      </c>
      <c r="BP9" s="37" t="n">
        <f aca="false">COUNTIF($D9:$Z9,BP$4)</f>
        <v>0</v>
      </c>
      <c r="BQ9" s="39"/>
    </row>
    <row r="10" customFormat="false" ht="19.5" hidden="false" customHeight="true" outlineLevel="0" collapsed="false">
      <c r="A10" s="30"/>
      <c r="B10" s="103" t="s">
        <v>99</v>
      </c>
      <c r="C10" s="32" t="s">
        <v>278</v>
      </c>
      <c r="D10" s="32" t="s">
        <v>278</v>
      </c>
      <c r="F10" s="42" t="s">
        <v>59</v>
      </c>
      <c r="H10" s="34" t="s">
        <v>279</v>
      </c>
      <c r="I10" s="32" t="s">
        <v>280</v>
      </c>
      <c r="J10" s="32" t="s">
        <v>59</v>
      </c>
      <c r="K10" s="98"/>
      <c r="L10" s="33"/>
      <c r="M10" s="33"/>
      <c r="N10" s="32" t="s">
        <v>59</v>
      </c>
      <c r="O10" s="33"/>
      <c r="P10" s="32" t="s">
        <v>281</v>
      </c>
      <c r="Q10" s="32"/>
      <c r="R10" s="99" t="s">
        <v>249</v>
      </c>
      <c r="S10" s="32" t="s">
        <v>282</v>
      </c>
      <c r="T10" s="32" t="s">
        <v>58</v>
      </c>
      <c r="V10" s="32"/>
      <c r="W10" s="32"/>
      <c r="X10" s="32"/>
      <c r="Y10" s="32"/>
      <c r="Z10" s="32"/>
      <c r="AA10" s="32" t="s">
        <v>56</v>
      </c>
      <c r="AC10" s="32" t="s">
        <v>283</v>
      </c>
      <c r="AD10" s="32"/>
      <c r="AE10" s="32"/>
      <c r="AF10" s="33"/>
      <c r="AH10" s="32"/>
      <c r="AI10" s="35"/>
      <c r="AJ10" s="36"/>
      <c r="AK10" s="35"/>
      <c r="AL10" s="37"/>
      <c r="AM10" s="37"/>
      <c r="AN10" s="37"/>
      <c r="AO10" s="37"/>
      <c r="AP10" s="38"/>
      <c r="AQ10" s="37" t="n">
        <f aca="false">SUMPRODUCT(--WEEKDAY(C$3:AG$3,2)&lt;6,--((C10:AG10="DM"))+(C10:AG10="CS1")+((C10:AG10="CS2"))+(C10:AG10="SB1")+(C10:AG10="AE")+(C10:AG10="EM"))</f>
        <v>4</v>
      </c>
      <c r="AR10" s="38"/>
      <c r="AS10" s="38" t="n">
        <f aca="false">SUMPRODUCT(--WEEKDAY(C$3:AG$3,2)&gt;5,--((C10:AG10="DM"))+(C10:AG10="CS1")+((C10:AG10="CS2"))+(C10:AG10="SB1")+(C10:AG10="AE")+(C10:AG10="EM"))</f>
        <v>1</v>
      </c>
      <c r="AT10" s="38"/>
      <c r="AU10" s="38" t="n">
        <f aca="false">(AQ10-AR10)/2+(AS10-AT10)</f>
        <v>3</v>
      </c>
      <c r="AV10" s="38" t="n">
        <f aca="false">AI10+AJ10+AK10+AL10+AN10+AO10</f>
        <v>0</v>
      </c>
      <c r="AW10" s="38" t="n">
        <f aca="false">BG10+BH10+BJ10+BE10+BC10+BA10+BL10</f>
        <v>5</v>
      </c>
      <c r="AX10" s="38" t="e">
        <f aca="false">AU10+$AY$10</f>
        <v>#VALUE!</v>
      </c>
      <c r="AY10" s="37" t="e">
        <f aca="false">(BJ10*('Setting key Duty'!$I$8+'Setting key Duty'!$I$12))+(BH10*'Setting key Duty'!$I$9)+(BC10*('Setting key Duty'!$I$13+'Setting key Duty'!$I$9))+(BA10*('Setting key Duty'!$I$13+'Setting key Duty'!$I$12+'Setting key Duty'!$I$11))+(BE10*('Setting key Duty'!$I$8+'Setting key Duty'!$I$9+'Setting key Duty'!$I$12))</f>
        <v>#VALUE!</v>
      </c>
      <c r="AZ10" s="37" t="n">
        <f aca="false">COUNTIF(C10:AC10,"*BRT*")</f>
        <v>0</v>
      </c>
      <c r="BA10" s="37" t="n">
        <f aca="false">COUNTIF(A10:AI10,"*$BTP*")</f>
        <v>1</v>
      </c>
      <c r="BB10" s="37" t="e">
        <f aca="false">BA10*('Setting key Duty'!$I$13+'Setting key Duty'!$I$12+'Setting key Duty'!$I$11)</f>
        <v>#VALUE!</v>
      </c>
      <c r="BC10" s="37" t="n">
        <f aca="false">COUNTIF(D10:AI10,"*$L*")</f>
        <v>0</v>
      </c>
      <c r="BD10" s="37" t="e">
        <f aca="false">BC10*('Setting key Duty'!$I$13+'Setting key Duty'!$I$9)</f>
        <v>#VALUE!</v>
      </c>
      <c r="BE10" s="37" t="n">
        <f aca="false">COUNTIF(D10:AI10,"*$M*")</f>
        <v>3</v>
      </c>
      <c r="BF10" s="37" t="n">
        <f aca="false">BE10*('Setting key Duty'!$I$8+'Setting key Duty'!$I$9+'Setting key Duty'!$I$12)</f>
        <v>1.6875</v>
      </c>
      <c r="BG10" s="37" t="n">
        <f aca="false">COUNTIF(D10:AI10,"*$N*")</f>
        <v>0</v>
      </c>
      <c r="BH10" s="37" t="n">
        <f aca="false">COUNTIF(D10:AI10,"*$PM*")</f>
        <v>0</v>
      </c>
      <c r="BI10" s="37" t="n">
        <f aca="false">BH10*('Setting key Duty'!$I$9)</f>
        <v>0</v>
      </c>
      <c r="BJ10" s="37" t="n">
        <f aca="false">COUNTIF(D10:AI10,"*$AM*")</f>
        <v>1</v>
      </c>
      <c r="BK10" s="37" t="n">
        <f aca="false">BJ10*('Setting key Duty'!$I$12+'Setting key Duty'!$I$8)</f>
        <v>0.4375</v>
      </c>
      <c r="BL10" s="37" t="n">
        <f aca="false">COUNTIF(C10:AI10,"*$FC*")</f>
        <v>0</v>
      </c>
      <c r="BM10" s="37" t="n">
        <f aca="false">BL10*('Setting key Duty'!$J$11+'Setting key Duty'!$I$8)</f>
        <v>0</v>
      </c>
      <c r="BN10" s="37" t="n">
        <f aca="false">COUNTIF($C10:$AG10,BN$4)</f>
        <v>0</v>
      </c>
      <c r="BO10" s="37" t="n">
        <f aca="false">COUNTIF($C10:$AG10,BO$4)</f>
        <v>0</v>
      </c>
      <c r="BP10" s="37" t="n">
        <f aca="false">COUNTIF($D10:$AE10,BP$4)</f>
        <v>0</v>
      </c>
      <c r="BQ10" s="39"/>
    </row>
    <row r="11" customFormat="false" ht="19.5" hidden="false" customHeight="true" outlineLevel="0" collapsed="false">
      <c r="A11" s="30"/>
      <c r="B11" s="104" t="s">
        <v>70</v>
      </c>
      <c r="D11" s="32"/>
      <c r="E11" s="32"/>
      <c r="F11" s="32" t="s">
        <v>58</v>
      </c>
      <c r="G11" s="32"/>
      <c r="H11" s="32" t="s">
        <v>55</v>
      </c>
      <c r="I11" s="32" t="s">
        <v>55</v>
      </c>
      <c r="J11" s="32" t="s">
        <v>57</v>
      </c>
      <c r="K11" s="42"/>
      <c r="L11" s="105" t="s">
        <v>57</v>
      </c>
      <c r="M11" s="105"/>
      <c r="O11" s="105" t="s">
        <v>181</v>
      </c>
      <c r="P11" s="105"/>
      <c r="Q11" s="105" t="s">
        <v>56</v>
      </c>
      <c r="R11" s="32"/>
      <c r="T11" s="32" t="s">
        <v>57</v>
      </c>
      <c r="U11" s="33"/>
      <c r="V11" s="32" t="s">
        <v>132</v>
      </c>
      <c r="W11" s="32"/>
      <c r="X11" s="32"/>
      <c r="Y11" s="32" t="s">
        <v>56</v>
      </c>
      <c r="Z11" s="32"/>
      <c r="AA11" s="32" t="s">
        <v>58</v>
      </c>
      <c r="AC11" s="33"/>
      <c r="AD11" s="32"/>
      <c r="AE11" s="32"/>
      <c r="AG11" s="32"/>
      <c r="AH11" s="32"/>
      <c r="AI11" s="35"/>
      <c r="AJ11" s="36"/>
      <c r="AK11" s="35"/>
      <c r="AL11" s="37"/>
      <c r="AM11" s="37"/>
      <c r="AN11" s="37"/>
      <c r="AO11" s="37"/>
      <c r="AP11" s="38"/>
      <c r="AQ11" s="37" t="n">
        <f aca="false">SUMPRODUCT(--WEEKDAY(C$3:AG$3,2)&lt;6,--((C11:AG11="DM"))+(C11:AG11="CS1")+((C11:AG11="CS2"))+(C11:AG11="SB1")+(C11:AG11="AE")+(C11:AG11="EM"))</f>
        <v>4</v>
      </c>
      <c r="AR11" s="38"/>
      <c r="AS11" s="38" t="n">
        <f aca="false">SUMPRODUCT(--WEEKDAY(C$3:AG$3,2)&gt;5,--((C11:AG11="DM"))+(C11:AG11="CS1")+((C11:AG11="CS2"))+(C11:AG11="SB1")+(C11:AG11="AE")+(C11:AG11="EM"))</f>
        <v>3</v>
      </c>
      <c r="AT11" s="38"/>
      <c r="AU11" s="38" t="n">
        <f aca="false">(AQ11-AR11)/2+(AS11-AT11)</f>
        <v>5</v>
      </c>
      <c r="AV11" s="38" t="n">
        <f aca="false">AI11+AJ11+AK11+AL11+AN11+AO11</f>
        <v>0</v>
      </c>
      <c r="AW11" s="38" t="n">
        <f aca="false">BG11+BH11+BJ11+BE11+BC11+BA11+BL11</f>
        <v>2</v>
      </c>
      <c r="AX11" s="38" t="e">
        <f aca="false">AU11+AY11</f>
        <v>#VALUE!</v>
      </c>
      <c r="AY11" s="37" t="e">
        <f aca="false"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37" t="n">
        <f aca="false">COUNTIF(D11:AC11,"*BRT*")</f>
        <v>0</v>
      </c>
      <c r="BA11" s="37" t="n">
        <f aca="false">COUNTIF(A11:AI11,"*$BTP*")</f>
        <v>0</v>
      </c>
      <c r="BB11" s="37" t="e">
        <f aca="false">BA11*('Setting key Duty'!$I$13+'Setting key Duty'!$I$12+'Setting key Duty'!$I$11)</f>
        <v>#VALUE!</v>
      </c>
      <c r="BC11" s="37" t="n">
        <f aca="false">COUNTIF(A11:AI11,"*$L*")</f>
        <v>0</v>
      </c>
      <c r="BD11" s="37" t="e">
        <f aca="false">BC11*('Setting key Duty'!$I$13+'Setting key Duty'!$I$9)</f>
        <v>#VALUE!</v>
      </c>
      <c r="BE11" s="37" t="n">
        <f aca="false">COUNTIF(A11:AI11,"*$M*")</f>
        <v>0</v>
      </c>
      <c r="BF11" s="37" t="n">
        <f aca="false">BE11*('Setting key Duty'!$I$8+'Setting key Duty'!$I$9+'Setting key Duty'!$I$12)</f>
        <v>0</v>
      </c>
      <c r="BG11" s="37" t="n">
        <f aca="false">COUNTIF(AF11:AI11,"*$N*")</f>
        <v>0</v>
      </c>
      <c r="BH11" s="37" t="n">
        <f aca="false">COUNTIF(AF11:AI11,"*$PM*")</f>
        <v>0</v>
      </c>
      <c r="BI11" s="37" t="n">
        <f aca="false">BH11*('Setting key Duty'!$I$9)</f>
        <v>0</v>
      </c>
      <c r="BJ11" s="37" t="n">
        <f aca="false">COUNTIF(A11:AI11,"*$AM*")</f>
        <v>2</v>
      </c>
      <c r="BK11" s="37" t="n">
        <f aca="false">BJ11*('Setting key Duty'!$I$12+'Setting key Duty'!$I$8)</f>
        <v>0.875</v>
      </c>
      <c r="BL11" s="37" t="n">
        <f aca="false">COUNTIF(D11:AI11,"*$FC*")</f>
        <v>0</v>
      </c>
      <c r="BM11" s="37" t="n">
        <f aca="false">BL11*('Setting key Duty'!$J$11+'Setting key Duty'!$I$8)</f>
        <v>0</v>
      </c>
      <c r="BN11" s="37" t="n">
        <f aca="false">COUNTIF($D11:$AE11,BN$4)</f>
        <v>0</v>
      </c>
      <c r="BO11" s="37" t="n">
        <f aca="false">COUNTIF($D11:$AE11,BO$4)</f>
        <v>0</v>
      </c>
      <c r="BP11" s="37" t="n">
        <f aca="false">COUNTIF($D11:$AE11,BP$4)</f>
        <v>2</v>
      </c>
      <c r="BQ11" s="39"/>
    </row>
    <row r="12" customFormat="false" ht="19.5" hidden="false" customHeight="true" outlineLevel="0" collapsed="false">
      <c r="A12" s="30"/>
      <c r="B12" s="106" t="s">
        <v>72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 t="s">
        <v>61</v>
      </c>
      <c r="O12" s="32" t="s">
        <v>103</v>
      </c>
      <c r="R12" s="32" t="s">
        <v>59</v>
      </c>
      <c r="S12" s="32"/>
      <c r="T12" s="32" t="s">
        <v>116</v>
      </c>
      <c r="U12" s="32" t="s">
        <v>284</v>
      </c>
      <c r="V12" s="32" t="s">
        <v>285</v>
      </c>
      <c r="W12" s="32"/>
      <c r="X12" s="32"/>
      <c r="Y12" s="32" t="s">
        <v>59</v>
      </c>
      <c r="Z12" s="32"/>
      <c r="AB12" s="34" t="s">
        <v>133</v>
      </c>
      <c r="AC12" s="32" t="s">
        <v>59</v>
      </c>
      <c r="AD12" s="32"/>
      <c r="AF12" s="32" t="s">
        <v>59</v>
      </c>
      <c r="AG12" s="32"/>
      <c r="AH12" s="32"/>
      <c r="AI12" s="35"/>
      <c r="AJ12" s="36"/>
      <c r="AK12" s="35"/>
      <c r="AL12" s="37"/>
      <c r="AM12" s="37"/>
      <c r="AN12" s="37"/>
      <c r="AO12" s="37"/>
      <c r="AP12" s="38"/>
      <c r="AQ12" s="37" t="n">
        <f aca="false">SUMPRODUCT(--WEEKDAY(C$3:AG$3,2)&lt;6,--((C12:AG12="DM"))+(C12:AG12="CS1")+((C12:AG12="CS2"))+(C12:AG12="SB1")+(C12:AG12="AE")+(C12:AG12="EM"))</f>
        <v>1</v>
      </c>
      <c r="AR12" s="38"/>
      <c r="AS12" s="38" t="n">
        <f aca="false">SUMPRODUCT(--WEEKDAY(C$3:AG$3,2)&gt;5,--((C12:AG12="DM"))+(C12:AG12="CS1")+((C12:AG12="CS2"))+(C12:AG12="SB1")+(C12:AG12="AE")+(C12:AG12="EM"))</f>
        <v>3</v>
      </c>
      <c r="AT12" s="38"/>
      <c r="AU12" s="38" t="n">
        <f aca="false">(AQ12-AR12)/2+(AS12-AT12)</f>
        <v>3.5</v>
      </c>
      <c r="AV12" s="38" t="n">
        <f aca="false">AI12+AJ12+AK12+AL12+AN12+AO12</f>
        <v>0</v>
      </c>
      <c r="AW12" s="38" t="n">
        <f aca="false">BG12+BH12+BJ12+BE12+BC12+BA12+BL12</f>
        <v>5</v>
      </c>
      <c r="AX12" s="38" t="e">
        <f aca="false">AU12+AY12</f>
        <v>#VALUE!</v>
      </c>
      <c r="AY12" s="37" t="e">
        <f aca="false">(BJ12*('Setting key Duty'!$I$8+'Setting key Duty'!$I$12))+(BH12*'Setting key Duty'!$I$9)+(BC12*('Setting key Duty'!$I$13+'Setting key Duty'!$I$9))+(BA12*('Setting key Duty'!$I$13+'Setting key Duty'!$I$12+'Setting key Duty'!$I$11))+(BE12*('Setting key Duty'!$I$8+'Setting key Duty'!$I$9+'Setting key Duty'!$I$12))</f>
        <v>#VALUE!</v>
      </c>
      <c r="AZ12" s="37" t="n">
        <f aca="false">COUNTIF(D12:Y12,"*BRT*")</f>
        <v>0</v>
      </c>
      <c r="BA12" s="37" t="n">
        <f aca="false">COUNTIF(A12:AI12,"*$BTP*")</f>
        <v>0</v>
      </c>
      <c r="BB12" s="37" t="e">
        <f aca="false">BA12*('Setting key Duty'!$I$13+'Setting key Duty'!$I$12+'Setting key Duty'!$I$11)</f>
        <v>#VALUE!</v>
      </c>
      <c r="BC12" s="37" t="n">
        <f aca="false">COUNTIF(A12:AI12,"*$L*")</f>
        <v>0</v>
      </c>
      <c r="BD12" s="37" t="e">
        <f aca="false">BC12*('Setting key Duty'!$I$13+'Setting key Duty'!$I$9)</f>
        <v>#VALUE!</v>
      </c>
      <c r="BE12" s="37" t="n">
        <f aca="false">COUNTIF(A12:AI12,"*$M*")</f>
        <v>2</v>
      </c>
      <c r="BF12" s="37" t="n">
        <f aca="false">BE12*('Setting key Duty'!$I$8+'Setting key Duty'!$I$9+'Setting key Duty'!$I$12)</f>
        <v>1.125</v>
      </c>
      <c r="BG12" s="37" t="n">
        <f aca="false">COUNTIF(AI12,"*$N*")</f>
        <v>0</v>
      </c>
      <c r="BH12" s="37" t="n">
        <f aca="false">COUNTIF(AI12,"*$PM*")</f>
        <v>0</v>
      </c>
      <c r="BI12" s="37" t="n">
        <f aca="false">BH12*('Setting key Duty'!$I$9)</f>
        <v>0</v>
      </c>
      <c r="BJ12" s="37" t="n">
        <f aca="false">COUNTIF(A12:AI12,"*$AM*")</f>
        <v>3</v>
      </c>
      <c r="BK12" s="37" t="n">
        <f aca="false">BJ12*('Setting key Duty'!$I$12+'Setting key Duty'!$I$8)</f>
        <v>1.3125</v>
      </c>
      <c r="BL12" s="37" t="n">
        <f aca="false">COUNTIF(D12:AI12,"*$FC*")</f>
        <v>0</v>
      </c>
      <c r="BM12" s="37" t="n">
        <f aca="false">BL12*('Setting key Duty'!$J$11+'Setting key Duty'!$I$8)</f>
        <v>0</v>
      </c>
      <c r="BN12" s="37" t="n">
        <f aca="false">COUNTIF($D12:$Y12,BN$4)</f>
        <v>0</v>
      </c>
      <c r="BO12" s="37" t="n">
        <f aca="false">COUNTIF($D12:$Y12,BO$4)</f>
        <v>0</v>
      </c>
      <c r="BP12" s="37" t="n">
        <f aca="false">COUNTIF($D12:$Y12,BP$4)</f>
        <v>0</v>
      </c>
      <c r="BQ12" s="39"/>
    </row>
    <row r="13" customFormat="false" ht="24" hidden="false" customHeight="true" outlineLevel="0" collapsed="false">
      <c r="A13" s="30"/>
      <c r="B13" s="49" t="s">
        <v>76</v>
      </c>
      <c r="C13" s="32"/>
      <c r="E13" s="42" t="s">
        <v>59</v>
      </c>
      <c r="H13" s="32" t="s">
        <v>57</v>
      </c>
      <c r="J13" s="42"/>
      <c r="L13" s="42" t="s">
        <v>56</v>
      </c>
      <c r="M13" s="32"/>
      <c r="N13" s="32" t="s">
        <v>56</v>
      </c>
      <c r="O13" s="32"/>
      <c r="P13" s="32"/>
      <c r="Q13" s="32"/>
      <c r="R13" s="32" t="s">
        <v>57</v>
      </c>
      <c r="S13" s="32"/>
      <c r="T13" s="32"/>
      <c r="U13" s="32"/>
      <c r="V13" s="32" t="s">
        <v>57</v>
      </c>
      <c r="Y13" s="32" t="s">
        <v>57</v>
      </c>
      <c r="Z13" s="91"/>
      <c r="AA13" s="33"/>
      <c r="AB13" s="32" t="s">
        <v>59</v>
      </c>
      <c r="AC13" s="32"/>
      <c r="AD13" s="32"/>
      <c r="AE13" s="32"/>
      <c r="AF13" s="33"/>
      <c r="AG13" s="32"/>
      <c r="AH13" s="32"/>
      <c r="AI13" s="35" t="n">
        <f aca="false">COUNTIF($C13:$AB13,AI$4)</f>
        <v>4</v>
      </c>
      <c r="AJ13" s="36" t="n">
        <f aca="false">COUNTIF($C13:$AB13,AJ$4)</f>
        <v>2</v>
      </c>
      <c r="AK13" s="35" t="n">
        <f aca="false">COUNTIF($C13:$AB13,AK$4)</f>
        <v>2</v>
      </c>
      <c r="AL13" s="37" t="n">
        <f aca="false">COUNTIF($C13:$AB13,AL$4)</f>
        <v>0</v>
      </c>
      <c r="AM13" s="37" t="n">
        <f aca="false">COUNTIF($C13:$AB13,AM$4)</f>
        <v>0</v>
      </c>
      <c r="AN13" s="37" t="n">
        <f aca="false">COUNTIF($C13:$AB13,AN$4)</f>
        <v>0</v>
      </c>
      <c r="AO13" s="37" t="n">
        <f aca="false">COUNTIF($C13:$AB13,AO$4)</f>
        <v>0</v>
      </c>
      <c r="AP13" s="38"/>
      <c r="AQ13" s="37" t="n">
        <f aca="false">SUMPRODUCT(--WEEKDAY(C$3:AG$3,2)&lt;6,--((C13:AG13="DM"))+(C13:AG13="CS1")+((C13:AG13="CS2"))+(C13:AG13="SB1")+(C13:AG13="AE")+(C13:AG13="EM"))</f>
        <v>6</v>
      </c>
      <c r="AR13" s="38"/>
      <c r="AS13" s="38" t="n">
        <f aca="false">SUMPRODUCT(--WEEKDAY(C$3:AG$3,2)&gt;5,--((C13:AG13="DM"))+(C13:AG13="CS1")+((C13:AG13="CS2"))+(C13:AG13="SB1")+(C13:AG13="AE")+(C13:AG13="EM"))</f>
        <v>2</v>
      </c>
      <c r="AT13" s="38"/>
      <c r="AU13" s="38" t="n">
        <f aca="false">(AQ13-AR13)/2+(AS13-AT13)</f>
        <v>5</v>
      </c>
      <c r="AV13" s="38" t="n">
        <f aca="false">AI13+AJ13+AK13+AL13+AN13+AO13</f>
        <v>8</v>
      </c>
      <c r="AW13" s="38" t="n">
        <f aca="false">BG13+BH13+BJ13+BE13+BC13+BA13+BL13</f>
        <v>0</v>
      </c>
      <c r="AX13" s="38" t="e">
        <f aca="false">AU13+AY13</f>
        <v>#VALUE!</v>
      </c>
      <c r="AY13" s="37" t="e">
        <f aca="false">(BJ13*('Setting key Duty'!$I$8+'Setting key Duty'!$I$12))+(BH13*'Setting key Duty'!$I$9)+(BC13*('Setting key Duty'!$I$13+'Setting key Duty'!$I$9))+(BA13*('Setting key Duty'!$I$13+'Setting key Duty'!$I$12+'Setting key Duty'!$I$11))+(BE13*('Setting key Duty'!$I$8+'Setting key Duty'!$I$9+'Setting key Duty'!$I$12))</f>
        <v>#VALUE!</v>
      </c>
      <c r="AZ13" s="37" t="n">
        <f aca="false">COUNTIF(C13:AB13,"*BRT*")</f>
        <v>0</v>
      </c>
      <c r="BA13" s="37" t="n">
        <f aca="false">COUNTIF(A13:AI13,"*$BTP*")</f>
        <v>0</v>
      </c>
      <c r="BB13" s="37" t="e">
        <f aca="false">BA13*('Setting key Duty'!$I$13+'Setting key Duty'!$I$12+'Setting key Duty'!$I$11)</f>
        <v>#VALUE!</v>
      </c>
      <c r="BC13" s="37" t="n">
        <f aca="false">COUNTIF(A13:AI13,"*$L*")</f>
        <v>0</v>
      </c>
      <c r="BD13" s="37" t="e">
        <f aca="false">BC13*('Setting key Duty'!$I$13+'Setting key Duty'!$I$9)</f>
        <v>#VALUE!</v>
      </c>
      <c r="BE13" s="37" t="n">
        <f aca="false">COUNTIF(A13:AI13,"*$M*")</f>
        <v>0</v>
      </c>
      <c r="BF13" s="37" t="n">
        <f aca="false">BE13*('Setting key Duty'!$I$8+'Setting key Duty'!$I$9+'Setting key Duty'!$I$12)</f>
        <v>0</v>
      </c>
      <c r="BG13" s="37" t="n">
        <f aca="false">COUNTIF(A13:AI13,"*$N*")</f>
        <v>0</v>
      </c>
      <c r="BH13" s="37" t="n">
        <f aca="false">COUNTIF(AI13,"*$PM*")</f>
        <v>0</v>
      </c>
      <c r="BI13" s="37" t="n">
        <f aca="false">BH13*('Setting key Duty'!$I$9)</f>
        <v>0</v>
      </c>
      <c r="BJ13" s="37" t="n">
        <f aca="false">COUNTIF(A13:AI13,"*$AM*")</f>
        <v>0</v>
      </c>
      <c r="BK13" s="37" t="n">
        <f aca="false">BJ13*('Setting key Duty'!$I$12+'Setting key Duty'!$I$8)</f>
        <v>0</v>
      </c>
      <c r="BL13" s="37" t="n">
        <f aca="false">COUNTIF(C13:AI13,"*$FC*")</f>
        <v>0</v>
      </c>
      <c r="BM13" s="37" t="n">
        <f aca="false">BL13*('Setting key Duty'!$J$11+'Setting key Duty'!$I$8)</f>
        <v>0</v>
      </c>
      <c r="BN13" s="37" t="n">
        <f aca="false">COUNTIF($C13:$AB13,BN$4)</f>
        <v>0</v>
      </c>
      <c r="BO13" s="37" t="n">
        <f aca="false">COUNTIF($C13:$AB13,BO$4)</f>
        <v>0</v>
      </c>
      <c r="BP13" s="37" t="n">
        <f aca="false">COUNTIF($C13:$AB13,BP$4)</f>
        <v>0</v>
      </c>
      <c r="BQ13" s="39"/>
    </row>
    <row r="14" customFormat="false" ht="37.5" hidden="false" customHeight="true" outlineLevel="0" collapsed="false">
      <c r="A14" s="30"/>
      <c r="B14" s="106" t="s">
        <v>224</v>
      </c>
      <c r="C14" s="32"/>
      <c r="D14" s="32" t="s">
        <v>59</v>
      </c>
      <c r="E14" s="32"/>
      <c r="G14" s="45" t="s">
        <v>73</v>
      </c>
      <c r="H14" s="45" t="s">
        <v>73</v>
      </c>
      <c r="I14" s="45" t="s">
        <v>73</v>
      </c>
      <c r="J14" s="32"/>
      <c r="K14" s="32"/>
      <c r="L14" s="47" t="s">
        <v>243</v>
      </c>
      <c r="N14" s="32" t="s">
        <v>88</v>
      </c>
      <c r="O14" s="32" t="s">
        <v>88</v>
      </c>
      <c r="P14" s="32" t="s">
        <v>88</v>
      </c>
      <c r="Q14" s="32"/>
      <c r="S14" s="32"/>
      <c r="U14" s="32"/>
      <c r="V14" s="32"/>
      <c r="W14" s="32"/>
      <c r="X14" s="32"/>
      <c r="Z14" s="32" t="s">
        <v>57</v>
      </c>
      <c r="AA14" s="32"/>
      <c r="AD14" s="32" t="s">
        <v>57</v>
      </c>
      <c r="AF14" s="32"/>
      <c r="AG14" s="32"/>
      <c r="AH14" s="32"/>
      <c r="AI14" s="35" t="n">
        <f aca="false">COUNTIF($D14:$AC14,AI$4)</f>
        <v>1</v>
      </c>
      <c r="AJ14" s="36" t="n">
        <f aca="false">COUNTIF($D14:$AC14,AJ$4)</f>
        <v>0</v>
      </c>
      <c r="AK14" s="35" t="n">
        <f aca="false">COUNTIF($D14:$AC14,AK$4)</f>
        <v>1</v>
      </c>
      <c r="AL14" s="37" t="n">
        <f aca="false">COUNTIF($D14:$AC14,AL$4)</f>
        <v>0</v>
      </c>
      <c r="AM14" s="37" t="n">
        <f aca="false">COUNTIF($D14:$AC14,AM$4)</f>
        <v>0</v>
      </c>
      <c r="AN14" s="37" t="n">
        <f aca="false">COUNTIF($D14:$AC14,AN$4)</f>
        <v>0</v>
      </c>
      <c r="AO14" s="37" t="n">
        <f aca="false">COUNTIF($D14:$AC14,AO$4)</f>
        <v>0</v>
      </c>
      <c r="AP14" s="38"/>
      <c r="AQ14" s="37" t="n">
        <f aca="false">SUMPRODUCT(--WEEKDAY(C$3:AG$3,2)&lt;6,--((C14:AG14="DM"))+(C14:AG14="CS1")+((C14:AG14="CS2"))+(C14:AG14="SB1")+(C14:AG14="AE")+(C14:AG14="EM"))</f>
        <v>2</v>
      </c>
      <c r="AR14" s="38"/>
      <c r="AS14" s="38" t="n">
        <f aca="false">SUMPRODUCT(--WEEKDAY(C$3:AG$3,2)&gt;5,--((C14:AG14="DM"))+(C14:AG14="CS1")+((C14:AG14="CS2"))+(C14:AG14="SB1")+(C14:AG14="AE")+(C14:AG14="EM"))</f>
        <v>1</v>
      </c>
      <c r="AT14" s="38"/>
      <c r="AU14" s="38" t="n">
        <f aca="false">(AQ14-AR14)/2+(AS14-AT14)</f>
        <v>2</v>
      </c>
      <c r="AV14" s="38" t="n">
        <f aca="false">AI14+AJ14+AK14+AL14+AN14+AO14</f>
        <v>2</v>
      </c>
      <c r="AW14" s="38" t="n">
        <f aca="false">BG14+BH14+BJ14+BE14+BC14+BA14+BL14</f>
        <v>6</v>
      </c>
      <c r="AX14" s="38" t="e">
        <f aca="false">AU14+AY14</f>
        <v>#VALUE!</v>
      </c>
      <c r="AY14" s="37" t="e">
        <f aca="false">(BJ14*('Setting key Duty'!$I$8+'Setting key Duty'!$I$12))+(BH14*'Setting key Duty'!$I$9)+(BC14*('Setting key Duty'!$I$13+'Setting key Duty'!$I$9))+(BA14*('Setting key Duty'!$I$13+'Setting key Duty'!$I$12+'Setting key Duty'!$I$11))+(BE14*('Setting key Duty'!$I$8+'Setting key Duty'!$I$9+'Setting key Duty'!$I$12))</f>
        <v>#VALUE!</v>
      </c>
      <c r="AZ14" s="37" t="n">
        <f aca="false">COUNTIF(C14:AC14,"*BRT*")</f>
        <v>0</v>
      </c>
      <c r="BA14" s="37" t="n">
        <f aca="false">COUNTIF(A14:AI14,"*$BTP*")</f>
        <v>0</v>
      </c>
      <c r="BB14" s="37" t="e">
        <f aca="false">BA14*('Setting key Duty'!$I$13+'Setting key Duty'!$I$12+'Setting key Duty'!$I$11)</f>
        <v>#VALUE!</v>
      </c>
      <c r="BC14" s="37" t="n">
        <f aca="false">COUNTIF(A14:AI14,"*$L*")</f>
        <v>0</v>
      </c>
      <c r="BD14" s="37" t="e">
        <f aca="false">BC14*('Setting key Duty'!$I$13+'Setting key Duty'!$I$9)</f>
        <v>#VALUE!</v>
      </c>
      <c r="BE14" s="37" t="n">
        <f aca="false">COUNTIF(A14:AI14,"*$M*")</f>
        <v>0</v>
      </c>
      <c r="BF14" s="37" t="n">
        <f aca="false">BE14*('Setting key Duty'!$I$8+'Setting key Duty'!$I$9+'Setting key Duty'!$I$12)</f>
        <v>0</v>
      </c>
      <c r="BG14" s="37" t="n">
        <f aca="false">COUNTIF(AI14,"*$N*")</f>
        <v>0</v>
      </c>
      <c r="BH14" s="37" t="n">
        <f aca="false">COUNTIF(AI14,"*$PM*")</f>
        <v>0</v>
      </c>
      <c r="BI14" s="37" t="n">
        <f aca="false">BH14*('Setting key Duty'!$I$9)</f>
        <v>0</v>
      </c>
      <c r="BJ14" s="37" t="n">
        <f aca="false">COUNTIF(A14:AI14,"*$AM*")</f>
        <v>0</v>
      </c>
      <c r="BK14" s="37" t="n">
        <f aca="false">BJ14*('Setting key Duty'!$I$12+'Setting key Duty'!$I$8)</f>
        <v>0</v>
      </c>
      <c r="BL14" s="37" t="n">
        <f aca="false">COUNTIF(C14:AI14,"*$FC*")</f>
        <v>6</v>
      </c>
      <c r="BM14" s="37" t="n">
        <f aca="false">BL14*('Setting key Duty'!$J$11+'Setting key Duty'!$I$8)</f>
        <v>0.75</v>
      </c>
      <c r="BN14" s="37" t="n">
        <f aca="false">COUNTIF($C14:$AC14,BN$4)</f>
        <v>0</v>
      </c>
      <c r="BO14" s="37" t="n">
        <f aca="false">COUNTIF($C14:$AC14,BO$4)</f>
        <v>0</v>
      </c>
      <c r="BP14" s="37" t="n">
        <f aca="false">COUNTIF($C14:$AC14,BP$4)</f>
        <v>0</v>
      </c>
      <c r="BQ14" s="39"/>
    </row>
    <row r="15" customFormat="false" ht="19.5" hidden="false" customHeight="true" outlineLevel="0" collapsed="false">
      <c r="A15" s="30"/>
      <c r="B15" s="104" t="s">
        <v>226</v>
      </c>
      <c r="D15" s="34" t="s">
        <v>57</v>
      </c>
      <c r="E15" s="32"/>
      <c r="F15" s="32" t="s">
        <v>57</v>
      </c>
      <c r="G15" s="32"/>
      <c r="H15" s="32" t="s">
        <v>229</v>
      </c>
      <c r="I15" s="32" t="s">
        <v>55</v>
      </c>
      <c r="J15" s="32" t="s">
        <v>278</v>
      </c>
      <c r="K15" s="32" t="s">
        <v>278</v>
      </c>
      <c r="L15" s="32" t="s">
        <v>55</v>
      </c>
      <c r="M15" s="32" t="s">
        <v>57</v>
      </c>
      <c r="N15" s="32" t="s">
        <v>158</v>
      </c>
      <c r="O15" s="42"/>
      <c r="Q15" s="32"/>
      <c r="R15" s="32" t="s">
        <v>58</v>
      </c>
      <c r="S15" s="32"/>
      <c r="T15" s="32"/>
      <c r="U15" s="33"/>
      <c r="V15" s="32"/>
      <c r="W15" s="32" t="s">
        <v>59</v>
      </c>
      <c r="X15" s="32"/>
      <c r="Y15" s="32"/>
      <c r="Z15" s="34" t="s">
        <v>56</v>
      </c>
      <c r="AA15" s="32" t="s">
        <v>80</v>
      </c>
      <c r="AC15" s="32"/>
      <c r="AD15" s="32"/>
      <c r="AE15" s="32"/>
      <c r="AF15" s="52"/>
      <c r="AG15" s="32"/>
      <c r="AH15" s="32"/>
      <c r="AI15" s="35" t="n">
        <f aca="false">COUNTIF($D15:$AA15,AI$4)</f>
        <v>3</v>
      </c>
      <c r="AJ15" s="36" t="n">
        <f aca="false">COUNTIF($D15:$AA15,AJ$4)</f>
        <v>1</v>
      </c>
      <c r="AK15" s="35" t="n">
        <f aca="false">COUNTIF($D15:$AA15,AK$4)</f>
        <v>1</v>
      </c>
      <c r="AL15" s="37" t="n">
        <f aca="false">COUNTIF($D15:$AA15,AL$4)</f>
        <v>1</v>
      </c>
      <c r="AM15" s="37" t="n">
        <f aca="false">COUNTIF($D15:$AA15,AM$4)</f>
        <v>0</v>
      </c>
      <c r="AN15" s="37" t="n">
        <f aca="false">COUNTIF($D15:$AA15,AN$4)</f>
        <v>0</v>
      </c>
      <c r="AO15" s="37" t="n">
        <f aca="false">COUNTIF($D15:$AA15,AO$4)</f>
        <v>0</v>
      </c>
      <c r="AP15" s="38"/>
      <c r="AQ15" s="37" t="n">
        <f aca="false">SUMPRODUCT(--WEEKDAY(C$3:AG$3,2)&lt;6,--((C15:AG15="DM"))+(C15:AG15="CS1")+((C15:AG15="CS2"))+(C15:AG15="SB1")+(C15:AG15="AE")+(C15:AG15="EM"))</f>
        <v>4</v>
      </c>
      <c r="AR15" s="38"/>
      <c r="AS15" s="38" t="n">
        <f aca="false">SUMPRODUCT(--WEEKDAY(C$3:AG$3,2)&gt;5,--((C15:AG15="DM"))+(C15:AG15="CS1")+((C15:AG15="CS2"))+(C15:AG15="SB1")+(C15:AG15="AE")+(C15:AG15="EM"))</f>
        <v>2</v>
      </c>
      <c r="AT15" s="38"/>
      <c r="AU15" s="38" t="n">
        <f aca="false">(AQ15-AR15)/2+(AS15-AT15)</f>
        <v>4</v>
      </c>
      <c r="AV15" s="38" t="n">
        <f aca="false">AI15+AJ15+AK15+AL15+AN15+AO15</f>
        <v>6</v>
      </c>
      <c r="AW15" s="38" t="n">
        <f aca="false">BG15+BH15+BJ15+BE15+BC15+BA15+BL15</f>
        <v>0</v>
      </c>
      <c r="AX15" s="38" t="e">
        <f aca="false">AU15+AY15</f>
        <v>#VALUE!</v>
      </c>
      <c r="AY15" s="37" t="e">
        <f aca="false">(BJ15*('Setting key Duty'!$I$8+'Setting key Duty'!$I$12))+(BH15*'Setting key Duty'!$I$9)+(BC15*('Setting key Duty'!$I$13+'Setting key Duty'!$I$9))+(BA15*('Setting key Duty'!$I$13+'Setting key Duty'!$I$12+'Setting key Duty'!$I$11))+(BE15*('Setting key Duty'!$I$8+'Setting key Duty'!$I$9+'Setting key Duty'!$I$12))</f>
        <v>#VALUE!</v>
      </c>
      <c r="AZ15" s="37" t="n">
        <f aca="false">COUNTIF(D15:AA15,"*BRT*")</f>
        <v>0</v>
      </c>
      <c r="BA15" s="37" t="n">
        <f aca="false">COUNTIF(A15:AI15,"*$BTP*")</f>
        <v>0</v>
      </c>
      <c r="BB15" s="37" t="e">
        <f aca="false">BA15*('Setting key Duty'!$I$13+'Setting key Duty'!$I$12+'Setting key Duty'!$I$11)</f>
        <v>#VALUE!</v>
      </c>
      <c r="BC15" s="37" t="n">
        <f aca="false">COUNTIF(A15:AI15,"*$L*")</f>
        <v>0</v>
      </c>
      <c r="BD15" s="37" t="e">
        <f aca="false">BC15*('Setting key Duty'!$I$13+'Setting key Duty'!$I$9)</f>
        <v>#VALUE!</v>
      </c>
      <c r="BE15" s="37" t="n">
        <f aca="false">COUNTIF(A15:AI15,"*$M*")</f>
        <v>0</v>
      </c>
      <c r="BF15" s="37" t="n">
        <f aca="false">BE15*('Setting key Duty'!$I$8+'Setting key Duty'!$I$9+'Setting key Duty'!$I$12)</f>
        <v>0</v>
      </c>
      <c r="BG15" s="37" t="n">
        <f aca="false">COUNTIF(A15:AI15,"*$N*")</f>
        <v>0</v>
      </c>
      <c r="BH15" s="37" t="n">
        <f aca="false">COUNTIF(AI15,"*$PM*")</f>
        <v>0</v>
      </c>
      <c r="BI15" s="37" t="n">
        <f aca="false">BH15*('Setting key Duty'!$I$9)</f>
        <v>0</v>
      </c>
      <c r="BJ15" s="37" t="n">
        <f aca="false">COUNTIF(A15:AI15,"*$AM*")</f>
        <v>0</v>
      </c>
      <c r="BK15" s="37" t="n">
        <f aca="false">BJ15*('Setting key Duty'!$I$12+'Setting key Duty'!$I$8)</f>
        <v>0</v>
      </c>
      <c r="BL15" s="37" t="n">
        <f aca="false">COUNTIF(D15:AI15,"*$FC*")</f>
        <v>0</v>
      </c>
      <c r="BM15" s="37" t="n">
        <f aca="false">BL15*('Setting key Duty'!$J$11+'Setting key Duty'!$I$8)</f>
        <v>0</v>
      </c>
      <c r="BN15" s="37" t="n">
        <f aca="false">COUNTIF($D15:$AA15,BN$4)</f>
        <v>0</v>
      </c>
      <c r="BO15" s="37" t="n">
        <f aca="false">COUNTIF($D15:$AA15,BO$4)</f>
        <v>0</v>
      </c>
      <c r="BP15" s="37" t="n">
        <f aca="false">COUNTIF($D15:$AA15,BP$4)</f>
        <v>2</v>
      </c>
      <c r="BQ15" s="39"/>
    </row>
    <row r="16" customFormat="false" ht="19.5" hidden="false" customHeight="true" outlineLevel="0" collapsed="false">
      <c r="A16" s="30"/>
      <c r="B16" s="41" t="s">
        <v>286</v>
      </c>
      <c r="C16" s="32" t="s">
        <v>56</v>
      </c>
      <c r="D16" s="32"/>
      <c r="E16" s="32"/>
      <c r="F16" s="45"/>
      <c r="G16" s="32" t="s">
        <v>57</v>
      </c>
      <c r="I16" s="32" t="s">
        <v>58</v>
      </c>
      <c r="K16" s="32" t="s">
        <v>59</v>
      </c>
      <c r="L16" s="42"/>
      <c r="M16" s="32"/>
      <c r="N16" s="32"/>
      <c r="P16" s="32" t="s">
        <v>56</v>
      </c>
      <c r="Q16" s="32"/>
      <c r="R16" s="32"/>
      <c r="S16" s="32"/>
      <c r="T16" s="32"/>
      <c r="U16" s="32" t="s">
        <v>287</v>
      </c>
      <c r="V16" s="32"/>
      <c r="W16" s="32"/>
      <c r="X16" s="32"/>
      <c r="Y16" s="32"/>
      <c r="Z16" s="32"/>
      <c r="AA16" s="32" t="s">
        <v>288</v>
      </c>
      <c r="AB16" s="33"/>
      <c r="AC16" s="32"/>
      <c r="AD16" s="32" t="s">
        <v>59</v>
      </c>
      <c r="AF16" s="32"/>
      <c r="AG16" s="32"/>
      <c r="AH16" s="32"/>
      <c r="AI16" s="35" t="n">
        <f aca="false">COUNTIF($C16:$AF16,AI$4)</f>
        <v>1</v>
      </c>
      <c r="AJ16" s="36" t="n">
        <f aca="false">COUNTIF($C16:$AF16,AJ$4)</f>
        <v>2</v>
      </c>
      <c r="AK16" s="35" t="n">
        <f aca="false">COUNTIF($C16:$AF16,AK$4)</f>
        <v>2</v>
      </c>
      <c r="AL16" s="37" t="n">
        <f aca="false">COUNTIF($C16:$AF16,AL$4)</f>
        <v>1</v>
      </c>
      <c r="AM16" s="37" t="n">
        <f aca="false">COUNTIF($C16:$AF16,AM$4)</f>
        <v>0</v>
      </c>
      <c r="AN16" s="37" t="n">
        <f aca="false">COUNTIF($C16:$AF16,AN$4)</f>
        <v>0</v>
      </c>
      <c r="AO16" s="37" t="n">
        <f aca="false">COUNTIF($C16:$AF16,AO$4)</f>
        <v>0</v>
      </c>
      <c r="AP16" s="38"/>
      <c r="AQ16" s="37" t="n">
        <f aca="false">SUMPRODUCT(--WEEKDAY(C$3:AG$3,2)&lt;6,--((C16:AG16="DM"))+(C16:AG16="CS1")+((C16:AG16="CS2"))+(C16:AG16="SB1")+(C16:AG16="AE")+(C16:AG16="EM"))</f>
        <v>4</v>
      </c>
      <c r="AR16" s="38"/>
      <c r="AS16" s="38" t="n">
        <f aca="false">SUMPRODUCT(--WEEKDAY(C$3:AG$3,2)&gt;5,--((C16:AG16="DM"))+(C16:AG16="CS1")+((C16:AG16="CS2"))+(C16:AG16="SB1")+(C16:AG16="AE")+(C16:AG16="EM"))</f>
        <v>2</v>
      </c>
      <c r="AT16" s="38"/>
      <c r="AU16" s="38" t="n">
        <f aca="false">(AQ16-AR16)/2+(AS16-AT16)</f>
        <v>4</v>
      </c>
      <c r="AV16" s="38" t="n">
        <f aca="false">AI16+AJ16+AK16+AL16+AN16+AO16</f>
        <v>6</v>
      </c>
      <c r="AW16" s="38" t="n">
        <f aca="false">BG16+BH16+BJ16+BE16+BC16+BA16+BL16</f>
        <v>2</v>
      </c>
      <c r="AX16" s="38" t="e">
        <f aca="false">AU16+AY16</f>
        <v>#VALUE!</v>
      </c>
      <c r="AY16" s="37" t="e">
        <f aca="false">(BJ16*('Setting key Duty'!$I$8+'Setting key Duty'!$I$12))+(BH16*'Setting key Duty'!$I$9)+(BC16*('Setting key Duty'!$I$13+'Setting key Duty'!$I$9))+(BA16*('Setting key Duty'!$I$13+'Setting key Duty'!$I$12+'Setting key Duty'!$I$11))+(BE16*('Setting key Duty'!$I$8+'Setting key Duty'!$I$9+'Setting key Duty'!$I$12))</f>
        <v>#VALUE!</v>
      </c>
      <c r="AZ16" s="37" t="n">
        <f aca="false">COUNTIF(C16:AC16,"*BRT*")</f>
        <v>0</v>
      </c>
      <c r="BA16" s="37" t="n">
        <f aca="false">COUNTIF(A16:AI16,"*$BTP*")</f>
        <v>0</v>
      </c>
      <c r="BB16" s="37" t="e">
        <f aca="false">BA16*('Setting key Duty'!$I$13+'Setting key Duty'!$I$12+'Setting key Duty'!$I$11)</f>
        <v>#VALUE!</v>
      </c>
      <c r="BC16" s="37" t="n">
        <f aca="false">COUNTIF(I16:AI16,"*$L*")</f>
        <v>0</v>
      </c>
      <c r="BD16" s="37" t="e">
        <f aca="false">BC16*('Setting key Duty'!$I$13+'Setting key Duty'!$I$9)</f>
        <v>#VALUE!</v>
      </c>
      <c r="BE16" s="37" t="n">
        <f aca="false">COUNTIF(I16:AI16,"*$M*")</f>
        <v>1</v>
      </c>
      <c r="BF16" s="37" t="n">
        <f aca="false">BE16*('Setting key Duty'!$I$8+'Setting key Duty'!$I$9+'Setting key Duty'!$I$12)</f>
        <v>0.5625</v>
      </c>
      <c r="BG16" s="37" t="n">
        <f aca="false">COUNTIF(I16:AI16,"*$N*")</f>
        <v>0</v>
      </c>
      <c r="BH16" s="37" t="n">
        <f aca="false">COUNTIF(I16:AI16,"*$PM*")</f>
        <v>0</v>
      </c>
      <c r="BI16" s="37" t="n">
        <f aca="false">BH16*('Setting key Duty'!$I$9)</f>
        <v>0</v>
      </c>
      <c r="BJ16" s="37" t="n">
        <f aca="false">COUNTIF(I16:AI16,"*$AM*")</f>
        <v>1</v>
      </c>
      <c r="BK16" s="37" t="n">
        <f aca="false">BJ16*('Setting key Duty'!$I$12+'Setting key Duty'!$I$8)</f>
        <v>0.4375</v>
      </c>
      <c r="BL16" s="37" t="n">
        <f aca="false">COUNTIF(C16:AI16,"*$FC*")</f>
        <v>0</v>
      </c>
      <c r="BM16" s="37" t="n">
        <f aca="false">BL16*('Setting key Duty'!$J$11+'Setting key Duty'!$I$8)</f>
        <v>0</v>
      </c>
      <c r="BN16" s="37" t="n">
        <f aca="false">COUNTIF($C16:$AF16,BN$4)</f>
        <v>0</v>
      </c>
      <c r="BO16" s="37" t="n">
        <f aca="false">COUNTIF($C16:$AF16,BO$4)</f>
        <v>0</v>
      </c>
      <c r="BP16" s="37" t="n">
        <f aca="false">COUNTIF($I16:$AE16,BP$4)</f>
        <v>0</v>
      </c>
      <c r="BQ16" s="39"/>
    </row>
    <row r="17" customFormat="false" ht="19.5" hidden="false" customHeight="true" outlineLevel="0" collapsed="false">
      <c r="A17" s="30"/>
      <c r="B17" s="106" t="s">
        <v>289</v>
      </c>
      <c r="C17" s="32"/>
      <c r="D17" s="32"/>
      <c r="E17" s="32"/>
      <c r="F17" s="32"/>
      <c r="G17" s="32"/>
      <c r="H17" s="32" t="s">
        <v>58</v>
      </c>
      <c r="I17" s="32"/>
      <c r="J17" s="32"/>
      <c r="L17" s="32"/>
      <c r="M17" s="95" t="s">
        <v>58</v>
      </c>
      <c r="O17" s="32" t="s">
        <v>290</v>
      </c>
      <c r="P17" s="32"/>
      <c r="Q17" s="42"/>
      <c r="S17" s="32"/>
      <c r="T17" s="32" t="s">
        <v>291</v>
      </c>
      <c r="U17" s="32"/>
      <c r="V17" s="32" t="s">
        <v>58</v>
      </c>
      <c r="W17" s="32"/>
      <c r="X17" s="32"/>
      <c r="Y17" s="32"/>
      <c r="Z17" s="107" t="s">
        <v>292</v>
      </c>
      <c r="AA17" s="32" t="s">
        <v>293</v>
      </c>
      <c r="AB17" s="32" t="s">
        <v>58</v>
      </c>
      <c r="AC17" s="32"/>
      <c r="AD17" s="32"/>
      <c r="AE17" s="32"/>
      <c r="AF17" s="32"/>
      <c r="AG17" s="32" t="s">
        <v>294</v>
      </c>
      <c r="AH17" s="42"/>
      <c r="AI17" s="35"/>
      <c r="AJ17" s="36"/>
      <c r="AK17" s="35"/>
      <c r="AL17" s="37"/>
      <c r="AM17" s="37"/>
      <c r="AN17" s="37"/>
      <c r="AO17" s="37"/>
      <c r="AP17" s="38"/>
      <c r="AQ17" s="37" t="n">
        <f aca="false">SUMPRODUCT(--WEEKDAY(C$3:AG$3,2)&lt;6,--((C17:AG17="DM"))+(C17:AG17="CS1")+((C17:AG17="CS2"))+(C17:AG17="SB1")+(C17:AG17="AE")+(C17:AG17="EM"))</f>
        <v>4</v>
      </c>
      <c r="AR17" s="38"/>
      <c r="AS17" s="38" t="n">
        <f aca="false">SUMPRODUCT(--WEEKDAY(C$3:AG$3,2)&gt;5,--((C17:AG17="DM"))+(C17:AG17="CS1")+((C17:AG17="CS2"))+(C17:AG17="SB1")+(C17:AG17="AE")+(C17:AG17="EM"))</f>
        <v>0</v>
      </c>
      <c r="AT17" s="38"/>
      <c r="AU17" s="38" t="n">
        <f aca="false">(AQ17-AR17)/2+(AS17-AT17)</f>
        <v>2</v>
      </c>
      <c r="AV17" s="38" t="n">
        <f aca="false">AI17+AJ17+AK17+AL17+AN17+AO17</f>
        <v>0</v>
      </c>
      <c r="AW17" s="38" t="n">
        <f aca="false">BG17+BH17+BJ17+BE17+BC17+BA17+BL17</f>
        <v>4</v>
      </c>
      <c r="AX17" s="38" t="e">
        <f aca="false">AU17+$AY$10</f>
        <v>#VALUE!</v>
      </c>
      <c r="AY17" s="37" t="e">
        <f aca="false">(BJ17*('Setting key Duty'!$I$8+'Setting key Duty'!$I$12))+(BH17*'Setting key Duty'!$I$9)+(BC17*('Setting key Duty'!$I$13+'Setting key Duty'!$I$9))+(BA17*('Setting key Duty'!$I$13+'Setting key Duty'!$I$12+'Setting key Duty'!$I$11))+(BE17*('Setting key Duty'!$I$8+'Setting key Duty'!$I$9+'Setting key Duty'!$I$12))</f>
        <v>#VALUE!</v>
      </c>
      <c r="AZ17" s="37" t="n">
        <f aca="false">COUNTIF(D17:AA17,"*BRT*")</f>
        <v>0</v>
      </c>
      <c r="BA17" s="37" t="n">
        <f aca="false">COUNTIF(A17:AI17,"*$BTP*")</f>
        <v>0</v>
      </c>
      <c r="BB17" s="37" t="e">
        <f aca="false">BA17*('Setting key Duty'!$I$13+'Setting key Duty'!$I$12+'Setting key Duty'!$I$11)</f>
        <v>#VALUE!</v>
      </c>
      <c r="BC17" s="37" t="n">
        <f aca="false">COUNTIF(A17:AI17,"*$L*")</f>
        <v>0</v>
      </c>
      <c r="BD17" s="37" t="e">
        <f aca="false">BC17*('Setting key Duty'!$I$13+'Setting key Duty'!$I$9)</f>
        <v>#VALUE!</v>
      </c>
      <c r="BE17" s="37" t="n">
        <f aca="false">COUNTIF(A17:AI17,"*$M*")</f>
        <v>3</v>
      </c>
      <c r="BF17" s="37" t="n">
        <f aca="false">BE17*('Setting key Duty'!$I$8+'Setting key Duty'!$I$9+'Setting key Duty'!$I$12)</f>
        <v>1.6875</v>
      </c>
      <c r="BG17" s="37" t="n">
        <f aca="false">COUNTIF(AI17,"*$N*")</f>
        <v>0</v>
      </c>
      <c r="BH17" s="37" t="n">
        <f aca="false">COUNTIF(AI17,"*$PM*")</f>
        <v>0</v>
      </c>
      <c r="BI17" s="37" t="n">
        <f aca="false">BH17*('Setting key Duty'!$I$9)</f>
        <v>0</v>
      </c>
      <c r="BJ17" s="37" t="n">
        <f aca="false">COUNTIF(A17:AI17,"*$AM*")</f>
        <v>1</v>
      </c>
      <c r="BK17" s="37" t="n">
        <f aca="false">BJ17*('Setting key Duty'!$I$12+'Setting key Duty'!$I$8)</f>
        <v>0.4375</v>
      </c>
      <c r="BL17" s="37" t="n">
        <f aca="false">COUNTIF(D17:AI17,"*$FC*")</f>
        <v>0</v>
      </c>
      <c r="BM17" s="37" t="n">
        <f aca="false">BL17*('Setting key Duty'!$J$11+'Setting key Duty'!$I$8)</f>
        <v>0</v>
      </c>
      <c r="BN17" s="37" t="n">
        <f aca="false">COUNTIF($D17:$AA17,BN$4)</f>
        <v>0</v>
      </c>
      <c r="BO17" s="37" t="n">
        <f aca="false">COUNTIF($D17:$AA17,BO$4)</f>
        <v>0</v>
      </c>
      <c r="BP17" s="37" t="n">
        <f aca="false">COUNTIF($D17:$AA17,BP$4)</f>
        <v>0</v>
      </c>
      <c r="BQ17" s="39"/>
    </row>
    <row r="18" customFormat="false" ht="19.5" hidden="false" customHeight="true" outlineLevel="0" collapsed="false">
      <c r="A18" s="30"/>
      <c r="B18" s="48" t="s">
        <v>121</v>
      </c>
      <c r="C18" s="32"/>
      <c r="D18" s="32"/>
      <c r="E18" s="32" t="s">
        <v>176</v>
      </c>
      <c r="F18" s="32" t="s">
        <v>176</v>
      </c>
      <c r="G18" s="32" t="s">
        <v>176</v>
      </c>
      <c r="H18" s="32" t="s">
        <v>176</v>
      </c>
      <c r="I18" s="32" t="s">
        <v>176</v>
      </c>
      <c r="K18" s="42" t="s">
        <v>58</v>
      </c>
      <c r="M18" s="32" t="s">
        <v>249</v>
      </c>
      <c r="O18" s="32" t="s">
        <v>295</v>
      </c>
      <c r="P18" s="32" t="s">
        <v>296</v>
      </c>
      <c r="Q18" s="32"/>
      <c r="R18" s="32"/>
      <c r="S18" s="32"/>
      <c r="T18" s="32" t="s">
        <v>297</v>
      </c>
      <c r="V18" s="32"/>
      <c r="W18" s="32" t="s">
        <v>65</v>
      </c>
      <c r="X18" s="32"/>
      <c r="Y18" s="46" t="s">
        <v>298</v>
      </c>
      <c r="Z18" s="107" t="s">
        <v>292</v>
      </c>
      <c r="AA18" s="34" t="s">
        <v>299</v>
      </c>
      <c r="AB18" s="32"/>
      <c r="AC18" s="32" t="s">
        <v>58</v>
      </c>
      <c r="AD18" s="32"/>
      <c r="AE18" s="32"/>
      <c r="AF18" s="34"/>
      <c r="AG18" s="32"/>
      <c r="AH18" s="32"/>
      <c r="AI18" s="35"/>
      <c r="AJ18" s="36"/>
      <c r="AK18" s="35"/>
      <c r="AL18" s="37"/>
      <c r="AM18" s="37"/>
      <c r="AN18" s="37"/>
      <c r="AO18" s="37"/>
      <c r="AP18" s="38"/>
      <c r="AQ18" s="37" t="n">
        <f aca="false">SUMPRODUCT(--WEEKDAY(C$3:AG$3,2)&lt;6,--((C18:AG18="DM"))+(C18:AG18="CS1")+((C18:AG18="CS2"))+(C18:AG18="SB1")+(C18:AG18="AE")+(C18:AG18="EM"))</f>
        <v>2</v>
      </c>
      <c r="AR18" s="38"/>
      <c r="AS18" s="38" t="n">
        <f aca="false">SUMPRODUCT(--WEEKDAY(C$3:AG$3,2)&gt;5,--((C18:AG18="DM"))+(C18:AG18="CS1")+((C18:AG18="CS2"))+(C18:AG18="SB1")+(C18:AG18="AE")+(C18:AG18="EM"))</f>
        <v>1</v>
      </c>
      <c r="AT18" s="38"/>
      <c r="AU18" s="38" t="n">
        <f aca="false">(AQ18-AR18)/2+(AS18-AT18)</f>
        <v>2</v>
      </c>
      <c r="AV18" s="38" t="n">
        <f aca="false">AI18+AJ18+AK18+AL18+AN18+AO18</f>
        <v>0</v>
      </c>
      <c r="AW18" s="38" t="n">
        <f aca="false">BG18+BH18+BJ18+BE18+BC18+BA18+BL18</f>
        <v>3</v>
      </c>
      <c r="AX18" s="38" t="e">
        <f aca="false">AU18+$AY$10</f>
        <v>#VALUE!</v>
      </c>
      <c r="AY18" s="37" t="e">
        <f aca="false">(BJ18*('Setting key Duty'!$I$8+'Setting key Duty'!$I$12))+(BH18*'Setting key Duty'!$I$9)+(BC18*('Setting key Duty'!$I$13+'Setting key Duty'!$I$9))+(BA18*('Setting key Duty'!$I$13+'Setting key Duty'!$I$12+'Setting key Duty'!$I$11))+(BE18*('Setting key Duty'!$I$8+'Setting key Duty'!$I$9+'Setting key Duty'!$I$12))</f>
        <v>#VALUE!</v>
      </c>
      <c r="AZ18" s="37" t="n">
        <f aca="false">COUNTIF(D18:AA18,"*BRT*")</f>
        <v>0</v>
      </c>
      <c r="BA18" s="37" t="n">
        <f aca="false">COUNTIF(A18:AI18,"*$BTP*")</f>
        <v>0</v>
      </c>
      <c r="BB18" s="37" t="e">
        <f aca="false">BA18*('Setting key Duty'!$I$13+'Setting key Duty'!$I$12+'Setting key Duty'!$I$11)</f>
        <v>#VALUE!</v>
      </c>
      <c r="BC18" s="37" t="n">
        <f aca="false">COUNTIF(A18:AI18,"*$L*")</f>
        <v>0</v>
      </c>
      <c r="BD18" s="37" t="e">
        <f aca="false">BC18*('Setting key Duty'!$I$13+'Setting key Duty'!$I$9)</f>
        <v>#VALUE!</v>
      </c>
      <c r="BE18" s="37" t="n">
        <f aca="false">COUNTIF(A18:AI18,"*$M*")</f>
        <v>2</v>
      </c>
      <c r="BF18" s="37" t="n">
        <f aca="false">BE18*('Setting key Duty'!$I$8+'Setting key Duty'!$I$9+'Setting key Duty'!$I$12)</f>
        <v>1.125</v>
      </c>
      <c r="BG18" s="37" t="n">
        <f aca="false">COUNTIF(AI18,"*$N*")</f>
        <v>0</v>
      </c>
      <c r="BH18" s="37" t="n">
        <f aca="false">COUNTIF(AI18,"*$PM*")</f>
        <v>0</v>
      </c>
      <c r="BI18" s="37" t="n">
        <f aca="false">BH18*('Setting key Duty'!$I$9)</f>
        <v>0</v>
      </c>
      <c r="BJ18" s="37" t="n">
        <f aca="false">COUNTIF(A18:AI18,"*$AM*")</f>
        <v>1</v>
      </c>
      <c r="BK18" s="37" t="n">
        <f aca="false">BJ18*('Setting key Duty'!$I$12+'Setting key Duty'!$I$8)</f>
        <v>0.4375</v>
      </c>
      <c r="BL18" s="37" t="n">
        <f aca="false">COUNTIF(D18:AI18,"*$FC*")</f>
        <v>0</v>
      </c>
      <c r="BM18" s="37" t="n">
        <f aca="false">BL18*('Setting key Duty'!$J$11+'Setting key Duty'!$I$8)</f>
        <v>0</v>
      </c>
      <c r="BN18" s="37" t="n">
        <f aca="false">COUNTIF($D18:$AA18,BN$4)</f>
        <v>0</v>
      </c>
      <c r="BO18" s="37" t="n">
        <f aca="false">COUNTIF($D18:$AA18,BO$4)</f>
        <v>0</v>
      </c>
      <c r="BP18" s="37" t="n">
        <f aca="false">COUNTIF($D18:$AA18,BP$4)</f>
        <v>0</v>
      </c>
      <c r="BQ18" s="39"/>
    </row>
    <row r="19" customFormat="false" ht="26.25" hidden="false" customHeight="true" outlineLevel="0" collapsed="false">
      <c r="A19" s="30"/>
      <c r="B19" s="53" t="s">
        <v>300</v>
      </c>
      <c r="C19" s="32"/>
      <c r="D19" s="32"/>
      <c r="E19" s="32"/>
      <c r="F19" s="32" t="s">
        <v>56</v>
      </c>
      <c r="G19" s="32"/>
      <c r="H19" s="42" t="s">
        <v>56</v>
      </c>
      <c r="I19" s="32"/>
      <c r="J19" s="32"/>
      <c r="K19" s="34" t="s">
        <v>56</v>
      </c>
      <c r="L19" s="32"/>
      <c r="N19" s="32" t="s">
        <v>58</v>
      </c>
      <c r="O19" s="32"/>
      <c r="P19" s="32" t="s">
        <v>57</v>
      </c>
      <c r="Q19" s="32"/>
      <c r="R19" s="32"/>
      <c r="T19" s="32" t="s">
        <v>59</v>
      </c>
      <c r="V19" s="32"/>
      <c r="W19" s="32"/>
      <c r="X19" s="32"/>
      <c r="Y19" s="32"/>
      <c r="Z19" s="32" t="s">
        <v>59</v>
      </c>
      <c r="AC19" s="32" t="s">
        <v>56</v>
      </c>
      <c r="AD19" s="32"/>
      <c r="AE19" s="32"/>
      <c r="AF19" s="32"/>
      <c r="AG19" s="32"/>
      <c r="AH19" s="32"/>
      <c r="AI19" s="35"/>
      <c r="AJ19" s="36"/>
      <c r="AK19" s="35"/>
      <c r="AL19" s="37"/>
      <c r="AM19" s="37"/>
      <c r="AN19" s="37"/>
      <c r="AO19" s="37"/>
      <c r="AP19" s="38"/>
      <c r="AQ19" s="37" t="n">
        <f aca="false">SUMPRODUCT(--WEEKDAY(C$3:AG$3,2)&lt;6,--((C19:AG19="DM"))+(C19:AG19="CS1")+((C19:AG19="CS2"))+(C19:AG19="SB1")+(C19:AG19="AE")+(C19:AG19="EM"))</f>
        <v>7</v>
      </c>
      <c r="AR19" s="38"/>
      <c r="AS19" s="38" t="n">
        <f aca="false">SUMPRODUCT(--WEEKDAY(C$3:AG$3,2)&gt;5,--((C19:AG19="DM"))+(C19:AG19="CS1")+((C19:AG19="CS2"))+(C19:AG19="SB1")+(C19:AG19="AE")+(C19:AG19="EM"))</f>
        <v>1</v>
      </c>
      <c r="AT19" s="38"/>
      <c r="AU19" s="38" t="n">
        <f aca="false">(AQ19-AR19)/2+(AS19-AT19)</f>
        <v>4.5</v>
      </c>
      <c r="AV19" s="38" t="n">
        <f aca="false">AI19+AJ19+AK19+AL19+AN19+AO19</f>
        <v>0</v>
      </c>
      <c r="AW19" s="38" t="n">
        <f aca="false">BG19+BH19+BJ19+BE19+BC19+BA19+BL19</f>
        <v>0</v>
      </c>
      <c r="AX19" s="38" t="e">
        <f aca="false">AU19+AY19</f>
        <v>#VALUE!</v>
      </c>
      <c r="AY19" s="37" t="e">
        <f aca="false">(BJ19*('Setting key Duty'!$I$8+'Setting key Duty'!$I$12))+(BH19*'Setting key Duty'!$I$9)+(BC19*('Setting key Duty'!$I$13+'Setting key Duty'!$I$9))+(BA19*('Setting key Duty'!$I$13+'Setting key Duty'!$I$12+'Setting key Duty'!$I$11))+(BE19*('Setting key Duty'!$I$8+'Setting key Duty'!$I$9+'Setting key Duty'!$I$12))</f>
        <v>#VALUE!</v>
      </c>
      <c r="AZ19" s="37" t="n">
        <f aca="false">COUNTIF(E19:AA19,"*BRT*")</f>
        <v>0</v>
      </c>
      <c r="BA19" s="37" t="n">
        <f aca="false">COUNTIF(A19:AI19,"*$BTP*")</f>
        <v>0</v>
      </c>
      <c r="BB19" s="37" t="e">
        <f aca="false">BA19*('Setting key Duty'!$I$13+'Setting key Duty'!$I$12+'Setting key Duty'!$I$11)</f>
        <v>#VALUE!</v>
      </c>
      <c r="BC19" s="37" t="n">
        <f aca="false">COUNTIF(A19:AI19,"*$L*")</f>
        <v>0</v>
      </c>
      <c r="BD19" s="37" t="e">
        <f aca="false">BC19*('Setting key Duty'!$I$13+'Setting key Duty'!$I$9)</f>
        <v>#VALUE!</v>
      </c>
      <c r="BE19" s="37" t="n">
        <f aca="false">COUNTIF(A19:AI19,"*$M*")</f>
        <v>0</v>
      </c>
      <c r="BF19" s="37" t="n">
        <f aca="false">BE19*('Setting key Duty'!$I$8+'Setting key Duty'!$I$9+'Setting key Duty'!$I$12)</f>
        <v>0</v>
      </c>
      <c r="BG19" s="37" t="n">
        <f aca="false">COUNTIF(AG19:AI19,"*$N*")</f>
        <v>0</v>
      </c>
      <c r="BH19" s="37" t="n">
        <f aca="false">COUNTIF(AG19:AI19,"*$PM*")</f>
        <v>0</v>
      </c>
      <c r="BI19" s="37" t="n">
        <f aca="false">BH19*('Setting key Duty'!$I$9)</f>
        <v>0</v>
      </c>
      <c r="BJ19" s="37" t="n">
        <f aca="false">COUNTIF(A19:AI19,"*$AM*")</f>
        <v>0</v>
      </c>
      <c r="BK19" s="37" t="n">
        <f aca="false">BJ19*('Setting key Duty'!$I$12+'Setting key Duty'!$I$8)</f>
        <v>0</v>
      </c>
      <c r="BL19" s="37" t="n">
        <f aca="false">COUNTIF(E19:AI19,"*$FC*")</f>
        <v>0</v>
      </c>
      <c r="BM19" s="37" t="n">
        <f aca="false">BL19*('Setting key Duty'!$J$11+'Setting key Duty'!$I$8)</f>
        <v>0</v>
      </c>
      <c r="BN19" s="37" t="n">
        <f aca="false">COUNTIF($E19:$AA19,BN$4)</f>
        <v>0</v>
      </c>
      <c r="BO19" s="37" t="n">
        <f aca="false">COUNTIF($E19:$AA19,BO$4)</f>
        <v>0</v>
      </c>
      <c r="BP19" s="37" t="n">
        <f aca="false">COUNTIF($E19:$AA19,BP$4)</f>
        <v>0</v>
      </c>
      <c r="BQ19" s="39"/>
    </row>
    <row r="20" customFormat="false" ht="19.5" hidden="false" customHeight="true" outlineLevel="0" collapsed="false">
      <c r="A20" s="30"/>
      <c r="B20" s="54" t="s">
        <v>82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 t="s">
        <v>301</v>
      </c>
      <c r="Q20" s="33"/>
      <c r="R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5"/>
      <c r="AJ20" s="36"/>
      <c r="AK20" s="35"/>
      <c r="AL20" s="37"/>
      <c r="AM20" s="37"/>
      <c r="AN20" s="37"/>
      <c r="AO20" s="37"/>
      <c r="AP20" s="38"/>
      <c r="AQ20" s="37" t="n">
        <f aca="false">SUMPRODUCT(--WEEKDAY(C$3:AG$3,2)&lt;6,--((C20:AG20="DM"))+(C20:AG20="CS1")+((C20:AG20="CS2"))+(C20:AG20="SB1")+(C20:AG20="AE")+(C20:AG20="EM"))</f>
        <v>0</v>
      </c>
      <c r="AR20" s="38"/>
      <c r="AS20" s="38" t="n">
        <f aca="false">SUMPRODUCT(--WEEKDAY(C$3:AG$3,2)&gt;5,--((C20:AG20="DM"))+(C20:AG20="CS1")+((C20:AG20="CS2"))+(C20:AG20="SB1")+(C20:AG20="AE")+(C20:AG20="EM"))</f>
        <v>0</v>
      </c>
      <c r="AT20" s="38"/>
      <c r="AU20" s="38" t="n">
        <f aca="false">(AQ20-AR20)/2+(AS20-AT20)</f>
        <v>0</v>
      </c>
      <c r="AV20" s="38" t="n">
        <f aca="false">AI20+AJ20+AK20+AL20+AN20+AO20</f>
        <v>0</v>
      </c>
      <c r="AW20" s="38" t="n">
        <f aca="false">BG20+BH20+BJ20+BE20+BC20+BA20+BL20</f>
        <v>0</v>
      </c>
      <c r="AX20" s="38" t="e">
        <f aca="false">AU20+AY20</f>
        <v>#VALUE!</v>
      </c>
      <c r="AY20" s="37" t="e">
        <f aca="false">(BJ20*('Setting key Duty'!$I$8+'Setting key Duty'!$I$12))+(BH20*'Setting key Duty'!$I$9)+(BC20*('Setting key Duty'!$I$13+'Setting key Duty'!$I$9))+(BA20*('Setting key Duty'!$I$13+'Setting key Duty'!$I$12+'Setting key Duty'!$I$11))+(BE20*('Setting key Duty'!$I$8+'Setting key Duty'!$I$9+'Setting key Duty'!$I$12))</f>
        <v>#VALUE!</v>
      </c>
      <c r="AZ20" s="37" t="n">
        <f aca="false">COUNTIF(C20:AC20,"*BRT*")</f>
        <v>0</v>
      </c>
      <c r="BA20" s="37" t="n">
        <f aca="false">COUNTIF(A20:AI20,"*$BTP*")</f>
        <v>0</v>
      </c>
      <c r="BB20" s="37" t="e">
        <f aca="false">BA20*('Setting key Duty'!$I$13+'Setting key Duty'!$I$12+'Setting key Duty'!$I$11)</f>
        <v>#VALUE!</v>
      </c>
      <c r="BC20" s="37" t="n">
        <f aca="false">COUNTIF(A20:AI20,"*$L*")</f>
        <v>0</v>
      </c>
      <c r="BD20" s="37" t="e">
        <f aca="false">BC20*('Setting key Duty'!$I$13+'Setting key Duty'!$I$9)</f>
        <v>#VALUE!</v>
      </c>
      <c r="BE20" s="37" t="n">
        <f aca="false">COUNTIF(A20:AI20,"*$M*")</f>
        <v>0</v>
      </c>
      <c r="BF20" s="37" t="n">
        <f aca="false">BE20*('Setting key Duty'!$I$8+'Setting key Duty'!$I$9+'Setting key Duty'!$I$12)</f>
        <v>0</v>
      </c>
      <c r="BG20" s="37" t="n">
        <f aca="false">COUNTIF(AI20,"*$N*")</f>
        <v>0</v>
      </c>
      <c r="BH20" s="37" t="n">
        <f aca="false">COUNTIF(AI20,"*$PM*")</f>
        <v>0</v>
      </c>
      <c r="BI20" s="37" t="n">
        <f aca="false">BH20*('Setting key Duty'!$I$9)</f>
        <v>0</v>
      </c>
      <c r="BJ20" s="37" t="n">
        <f aca="false">COUNTIF(A20:AI20,"*$AM*")</f>
        <v>0</v>
      </c>
      <c r="BK20" s="37" t="n">
        <f aca="false">BJ20*('Setting key Duty'!$I$12+'Setting key Duty'!$I$8)</f>
        <v>0</v>
      </c>
      <c r="BL20" s="37" t="n">
        <f aca="false">COUNTIF(C20:AI20,"*$FC*")</f>
        <v>0</v>
      </c>
      <c r="BM20" s="37" t="n">
        <f aca="false">BL20*('Setting key Duty'!$J$11+'Setting key Duty'!$I$8)</f>
        <v>0</v>
      </c>
      <c r="BN20" s="37" t="n">
        <f aca="false">COUNTIF($C20:$AC20,BN$4)</f>
        <v>0</v>
      </c>
      <c r="BO20" s="37" t="n">
        <f aca="false">COUNTIF($C20:$AC20,BO$4)</f>
        <v>0</v>
      </c>
      <c r="BP20" s="37" t="n">
        <f aca="false">COUNTIF($C20:$AC20,BP$4)</f>
        <v>0</v>
      </c>
      <c r="BQ20" s="39"/>
    </row>
    <row r="21" customFormat="false" ht="19.5" hidden="false" customHeight="true" outlineLevel="0" collapsed="false">
      <c r="A21" s="30"/>
      <c r="B21" s="106" t="s">
        <v>83</v>
      </c>
      <c r="C21" s="32"/>
      <c r="D21" s="32"/>
      <c r="E21" s="42" t="s">
        <v>57</v>
      </c>
      <c r="F21" s="32"/>
      <c r="G21" s="42" t="s">
        <v>58</v>
      </c>
      <c r="H21" s="32"/>
      <c r="I21" s="42" t="s">
        <v>59</v>
      </c>
      <c r="J21" s="32"/>
      <c r="K21" s="32"/>
      <c r="L21" s="32" t="s">
        <v>59</v>
      </c>
      <c r="M21" s="32"/>
      <c r="N21" s="32" t="s">
        <v>57</v>
      </c>
      <c r="O21" s="32"/>
      <c r="P21" s="32" t="s">
        <v>69</v>
      </c>
      <c r="Q21" s="32" t="s">
        <v>59</v>
      </c>
      <c r="S21" s="32" t="s">
        <v>59</v>
      </c>
      <c r="U21" s="32"/>
      <c r="V21" s="32" t="s">
        <v>59</v>
      </c>
      <c r="W21" s="32"/>
      <c r="X21" s="32"/>
      <c r="Y21" s="32"/>
      <c r="Z21" s="32"/>
      <c r="AA21" s="32"/>
      <c r="AB21" s="32" t="s">
        <v>56</v>
      </c>
      <c r="AC21" s="32"/>
      <c r="AD21" s="32"/>
      <c r="AE21" s="32"/>
      <c r="AF21" s="32"/>
      <c r="AG21" s="32"/>
      <c r="AH21" s="32"/>
      <c r="AI21" s="35"/>
      <c r="AJ21" s="36"/>
      <c r="AK21" s="35"/>
      <c r="AL21" s="37"/>
      <c r="AM21" s="37"/>
      <c r="AN21" s="37"/>
      <c r="AO21" s="37"/>
      <c r="AP21" s="38"/>
      <c r="AQ21" s="37" t="n">
        <f aca="false">SUMPRODUCT(--WEEKDAY(C$3:AG$3,2)&lt;6,--((C21:AG21="DM"))+(C21:AG21="CS1")+((C21:AG21="CS2"))+(C21:AG21="SB1")+(C21:AG21="AE")+(C21:AG21="EM"))</f>
        <v>8</v>
      </c>
      <c r="AR21" s="38"/>
      <c r="AS21" s="38" t="n">
        <f aca="false">SUMPRODUCT(--WEEKDAY(C$3:AG$3,2)&gt;5,--((C21:AG21="DM"))+(C21:AG21="CS1")+((C21:AG21="CS2"))+(C21:AG21="SB1")+(C21:AG21="AE")+(C21:AG21="EM"))</f>
        <v>1</v>
      </c>
      <c r="AT21" s="38"/>
      <c r="AU21" s="38" t="n">
        <f aca="false">(AQ21-AR21)/2+(AS21-AT21)</f>
        <v>5</v>
      </c>
      <c r="AV21" s="38" t="n">
        <f aca="false">AI21+AJ21+AK21+AL21+AN21+AO21</f>
        <v>0</v>
      </c>
      <c r="AW21" s="38" t="n">
        <f aca="false">BG21+BH21+BJ21+BE21+BC21+BA21+BL21</f>
        <v>0</v>
      </c>
      <c r="AX21" s="38" t="e">
        <f aca="false">AU21+AY21</f>
        <v>#VALUE!</v>
      </c>
      <c r="AY21" s="37" t="e">
        <f aca="false">(BJ21*('Setting key Duty'!$I$8+'Setting key Duty'!$I$12))+(BH21*'Setting key Duty'!$I$9)+(BC21*('Setting key Duty'!$I$13+'Setting key Duty'!$I$9))+(BA21*('Setting key Duty'!$I$13+'Setting key Duty'!$I$12+'Setting key Duty'!$I$11))+(BE21*('Setting key Duty'!$I$8+'Setting key Duty'!$I$9+'Setting key Duty'!$I$12))</f>
        <v>#VALUE!</v>
      </c>
      <c r="AZ21" s="37" t="n">
        <f aca="false">COUNTIF(D21:AC21,"*BRT*")</f>
        <v>0</v>
      </c>
      <c r="BA21" s="37" t="n">
        <f aca="false">COUNTIF(A21:AI21,"*$BTP*")</f>
        <v>0</v>
      </c>
      <c r="BB21" s="37" t="e">
        <f aca="false">BA21*('Setting key Duty'!$I$13+'Setting key Duty'!$I$12+'Setting key Duty'!$I$11)</f>
        <v>#VALUE!</v>
      </c>
      <c r="BC21" s="37" t="n">
        <f aca="false">COUNTIF(A21:AI21,"*$L*")</f>
        <v>0</v>
      </c>
      <c r="BD21" s="37" t="e">
        <f aca="false">BC21*('Setting key Duty'!$I$13+'Setting key Duty'!$I$9)</f>
        <v>#VALUE!</v>
      </c>
      <c r="BE21" s="37" t="n">
        <f aca="false">COUNTIF(A21:AI21,"*$M*")</f>
        <v>0</v>
      </c>
      <c r="BF21" s="37" t="n">
        <f aca="false">BE21*('Setting key Duty'!$I$8+'Setting key Duty'!$I$9+'Setting key Duty'!$I$12)</f>
        <v>0</v>
      </c>
      <c r="BG21" s="37" t="n">
        <f aca="false">COUNTIF(AF21:AI21,"*$N*")</f>
        <v>0</v>
      </c>
      <c r="BH21" s="37" t="n">
        <f aca="false">COUNTIF(AF21:AI21,"*$PM*")</f>
        <v>0</v>
      </c>
      <c r="BI21" s="37" t="n">
        <f aca="false">BH21*('Setting key Duty'!$I$9)</f>
        <v>0</v>
      </c>
      <c r="BJ21" s="37" t="n">
        <f aca="false">COUNTIF(A21:AI21,"*$AM*")</f>
        <v>0</v>
      </c>
      <c r="BK21" s="37" t="n">
        <f aca="false">BJ21*('Setting key Duty'!$I$12+'Setting key Duty'!$I$8)</f>
        <v>0</v>
      </c>
      <c r="BL21" s="37" t="n">
        <f aca="false">COUNTIF(D21:AI21,"*$FC*")</f>
        <v>0</v>
      </c>
      <c r="BM21" s="37" t="n">
        <f aca="false">BL21*('Setting key Duty'!$J$11+'Setting key Duty'!$I$8)</f>
        <v>0</v>
      </c>
      <c r="BN21" s="37" t="n">
        <f aca="false">COUNTIF($D21:$AE21,BN$4)</f>
        <v>0</v>
      </c>
      <c r="BO21" s="37" t="n">
        <f aca="false">COUNTIF($D21:$AE21,BO$4)</f>
        <v>0</v>
      </c>
      <c r="BP21" s="37" t="n">
        <f aca="false">COUNTIF($D21:$AE21,BP$4)</f>
        <v>0</v>
      </c>
      <c r="BQ21" s="39"/>
    </row>
    <row r="22" customFormat="false" ht="30.75" hidden="false" customHeight="true" outlineLevel="0" collapsed="false">
      <c r="A22" s="30"/>
      <c r="B22" s="104" t="s">
        <v>302</v>
      </c>
      <c r="C22" s="42"/>
      <c r="D22" s="42"/>
      <c r="E22" s="42" t="s">
        <v>58</v>
      </c>
      <c r="F22" s="32"/>
      <c r="G22" s="34" t="s">
        <v>303</v>
      </c>
      <c r="H22" s="32" t="s">
        <v>106</v>
      </c>
      <c r="J22" s="42" t="s">
        <v>56</v>
      </c>
      <c r="K22" s="32"/>
      <c r="L22" s="32" t="s">
        <v>71</v>
      </c>
      <c r="M22" s="32" t="s">
        <v>71</v>
      </c>
      <c r="N22" s="32" t="s">
        <v>71</v>
      </c>
      <c r="O22" s="42" t="s">
        <v>59</v>
      </c>
      <c r="P22" s="32"/>
      <c r="Q22" s="32"/>
      <c r="R22" s="32"/>
      <c r="S22" s="32" t="s">
        <v>304</v>
      </c>
      <c r="U22" s="32"/>
      <c r="V22" s="32"/>
      <c r="W22" s="32"/>
      <c r="X22" s="32" t="s">
        <v>58</v>
      </c>
      <c r="Y22" s="32"/>
      <c r="AA22" s="32"/>
      <c r="AB22" s="32" t="s">
        <v>305</v>
      </c>
      <c r="AD22" s="32" t="s">
        <v>65</v>
      </c>
      <c r="AE22" s="32"/>
      <c r="AF22" s="32"/>
      <c r="AG22" s="33"/>
      <c r="AH22" s="33"/>
      <c r="AI22" s="35"/>
      <c r="AJ22" s="36"/>
      <c r="AK22" s="35"/>
      <c r="AL22" s="37"/>
      <c r="AM22" s="37"/>
      <c r="AN22" s="37"/>
      <c r="AO22" s="37"/>
      <c r="AP22" s="38"/>
      <c r="AQ22" s="37" t="n">
        <f aca="false">SUMPRODUCT(--WEEKDAY(C$3:AG$3,2)&lt;6,--((C22:AG22="DM"))+(C22:AG22="CS1")+((C22:AG22="CS2"))+(C22:AG22="SB1")+(C22:AG22="AE")+(C22:AG22="EM"))</f>
        <v>3</v>
      </c>
      <c r="AR22" s="38"/>
      <c r="AS22" s="38" t="n">
        <f aca="false">SUMPRODUCT(--WEEKDAY(C$3:AG$3,2)&gt;5,--((C22:AG22="DM"))+(C22:AG22="CS1")+((C22:AG22="CS2"))+(C22:AG22="SB1")+(C22:AG22="AE")+(C22:AG22="EM"))</f>
        <v>2</v>
      </c>
      <c r="AT22" s="38"/>
      <c r="AU22" s="38" t="n">
        <f aca="false">(AQ22-AR22)/2+(AS22-AT22)</f>
        <v>3.5</v>
      </c>
      <c r="AV22" s="38" t="n">
        <f aca="false">AI22+AJ22+AK22+AL22+AN22+AO22</f>
        <v>0</v>
      </c>
      <c r="AW22" s="38" t="n">
        <f aca="false">BG22+BH22+BJ22+BE22+BC22+BA22+BL22</f>
        <v>4</v>
      </c>
      <c r="AX22" s="38" t="e">
        <f aca="false">AU22+$AY$10</f>
        <v>#VALUE!</v>
      </c>
      <c r="AY22" s="37" t="e">
        <f aca="false">(BJ22*('Setting key Duty'!$I$8+'Setting key Duty'!$I$12))+(BH22*'Setting key Duty'!$I$9)+(BC22*('Setting key Duty'!$I$13+'Setting key Duty'!$I$9))+(BA22*('Setting key Duty'!$I$13+'Setting key Duty'!$I$12+'Setting key Duty'!$I$11))+(BE22*('Setting key Duty'!$I$8+'Setting key Duty'!$I$9+'Setting key Duty'!$I$12))</f>
        <v>#VALUE!</v>
      </c>
      <c r="AZ22" s="37" t="n">
        <f aca="false">COUNTIF(D22:AA22,"*BRT*")</f>
        <v>0</v>
      </c>
      <c r="BA22" s="37" t="n">
        <f aca="false">COUNTIF(A22:AI22,"*$BTP*")</f>
        <v>0</v>
      </c>
      <c r="BB22" s="37" t="e">
        <f aca="false">BA22*('Setting key Duty'!$I$13+'Setting key Duty'!$I$12+'Setting key Duty'!$I$11)</f>
        <v>#VALUE!</v>
      </c>
      <c r="BC22" s="37" t="n">
        <f aca="false">COUNTIF(A22:AI22,"*$L*")</f>
        <v>0</v>
      </c>
      <c r="BD22" s="37" t="e">
        <f aca="false">BC22*('Setting key Duty'!$I$13+'Setting key Duty'!$I$9)</f>
        <v>#VALUE!</v>
      </c>
      <c r="BE22" s="37" t="n">
        <f aca="false">COUNTIF(A22:AI22,"*$M*")</f>
        <v>3</v>
      </c>
      <c r="BF22" s="37" t="n">
        <f aca="false">BE22*('Setting key Duty'!$I$8+'Setting key Duty'!$I$9+'Setting key Duty'!$I$12)</f>
        <v>1.6875</v>
      </c>
      <c r="BG22" s="37" t="n">
        <f aca="false">COUNTIF(AI22,"*$N*")</f>
        <v>0</v>
      </c>
      <c r="BH22" s="37" t="n">
        <f aca="false">COUNTIF(AI22,"*$PM*")</f>
        <v>0</v>
      </c>
      <c r="BI22" s="37" t="n">
        <f aca="false">BH22*('Setting key Duty'!$I$9)</f>
        <v>0</v>
      </c>
      <c r="BJ22" s="37" t="n">
        <f aca="false">COUNTIF(A22:AI22,"*$AM*")</f>
        <v>1</v>
      </c>
      <c r="BK22" s="37" t="n">
        <f aca="false">BJ22*('Setting key Duty'!$I$12+'Setting key Duty'!$I$8)</f>
        <v>0.4375</v>
      </c>
      <c r="BL22" s="37" t="n">
        <f aca="false">COUNTIF(D22:AI22,"*$FC*")</f>
        <v>0</v>
      </c>
      <c r="BM22" s="37" t="n">
        <f aca="false">BL22*('Setting key Duty'!$J$11+'Setting key Duty'!$I$8)</f>
        <v>0</v>
      </c>
      <c r="BN22" s="37" t="n">
        <f aca="false">COUNTIF($D22:$AA22,BN$4)</f>
        <v>0</v>
      </c>
      <c r="BO22" s="37" t="n">
        <f aca="false">COUNTIF($D22:$AA22,BO$4)</f>
        <v>0</v>
      </c>
      <c r="BP22" s="37" t="n">
        <f aca="false">COUNTIF($D22:$AA22,BP$4)</f>
        <v>0</v>
      </c>
      <c r="BQ22" s="39"/>
    </row>
    <row r="23" customFormat="false" ht="27.75" hidden="false" customHeight="true" outlineLevel="0" collapsed="false">
      <c r="A23" s="30"/>
      <c r="B23" s="104" t="s">
        <v>306</v>
      </c>
      <c r="C23" s="65" t="s">
        <v>65</v>
      </c>
      <c r="D23" s="32" t="s">
        <v>111</v>
      </c>
      <c r="E23" s="33"/>
      <c r="F23" s="34" t="s">
        <v>307</v>
      </c>
      <c r="H23" s="32"/>
      <c r="I23" s="32" t="s">
        <v>308</v>
      </c>
      <c r="N23" s="32" t="s">
        <v>309</v>
      </c>
      <c r="O23" s="34" t="s">
        <v>281</v>
      </c>
      <c r="Q23" s="32"/>
      <c r="R23" s="32" t="s">
        <v>249</v>
      </c>
      <c r="T23" s="32" t="s">
        <v>310</v>
      </c>
      <c r="V23" s="32"/>
      <c r="W23" s="32" t="s">
        <v>56</v>
      </c>
      <c r="X23" s="32"/>
      <c r="Y23" s="32"/>
      <c r="Z23" s="32" t="s">
        <v>311</v>
      </c>
      <c r="AA23" s="42"/>
      <c r="AB23" s="32"/>
      <c r="AC23" s="32"/>
      <c r="AD23" s="32"/>
      <c r="AE23" s="32" t="s">
        <v>59</v>
      </c>
      <c r="AG23" s="42"/>
      <c r="AH23" s="42"/>
      <c r="AI23" s="35"/>
      <c r="AJ23" s="36"/>
      <c r="AK23" s="35"/>
      <c r="AL23" s="37"/>
      <c r="AM23" s="37"/>
      <c r="AN23" s="37"/>
      <c r="AO23" s="37"/>
      <c r="AP23" s="38"/>
      <c r="AQ23" s="37" t="n">
        <f aca="false">SUMPRODUCT(--WEEKDAY(C$3:AG$3,2)&lt;6,--((C23:AG23="DM"))+(C23:AG23="CS1")+((C23:AG23="CS2"))+(C23:AG23="SB1")+(C23:AG23="AE")+(C23:AG23="EM"))</f>
        <v>1</v>
      </c>
      <c r="AR23" s="38"/>
      <c r="AS23" s="38" t="n">
        <f aca="false">SUMPRODUCT(--WEEKDAY(C$3:AG$3,2)&gt;5,--((C23:AG23="DM"))+(C23:AG23="CS1")+((C23:AG23="CS2"))+(C23:AG23="SB1")+(C23:AG23="AE")+(C23:AG23="EM"))</f>
        <v>2</v>
      </c>
      <c r="AT23" s="38"/>
      <c r="AU23" s="38" t="n">
        <f aca="false">(AQ23-AR23)/2+(AS23-AT23)</f>
        <v>2.5</v>
      </c>
      <c r="AV23" s="38" t="n">
        <f aca="false">AI23+AJ23+AK23+AL23+AN23+AO23</f>
        <v>0</v>
      </c>
      <c r="AW23" s="38" t="n">
        <f aca="false">BG23+BH23+BJ23+BE23+BC23+BA23+BL23</f>
        <v>7</v>
      </c>
      <c r="AX23" s="38" t="e">
        <f aca="false">AU23+$AY$10</f>
        <v>#VALUE!</v>
      </c>
      <c r="AY23" s="37" t="e">
        <f aca="false">(BJ23*('Setting key Duty'!$I$8+'Setting key Duty'!$I$12))+(BH23*'Setting key Duty'!$I$9)+(BC23*('Setting key Duty'!$I$13+'Setting key Duty'!$I$9))+(BA23*('Setting key Duty'!$I$13+'Setting key Duty'!$I$12+'Setting key Duty'!$I$11))+(BE23*('Setting key Duty'!$I$8+'Setting key Duty'!$I$9+'Setting key Duty'!$I$12))</f>
        <v>#VALUE!</v>
      </c>
      <c r="AZ23" s="37" t="n">
        <f aca="false">COUNTIF(C23:AA23,"*BRT*")</f>
        <v>0</v>
      </c>
      <c r="BA23" s="37" t="n">
        <f aca="false">COUNTIF(A23:AI23,"*$BTP*")</f>
        <v>2</v>
      </c>
      <c r="BB23" s="37" t="e">
        <f aca="false">BA23*('Setting key Duty'!$I$13+'Setting key Duty'!$I$12+'Setting key Duty'!$I$11)</f>
        <v>#VALUE!</v>
      </c>
      <c r="BC23" s="37" t="n">
        <f aca="false">COUNTIF(A23:AI23,"*$L*")</f>
        <v>0</v>
      </c>
      <c r="BD23" s="37" t="e">
        <f aca="false">BC23*('Setting key Duty'!$I$13+'Setting key Duty'!$I$9)</f>
        <v>#VALUE!</v>
      </c>
      <c r="BE23" s="37" t="n">
        <f aca="false">COUNTIF(A23:AI23,"*$M*")</f>
        <v>2</v>
      </c>
      <c r="BF23" s="37" t="n">
        <f aca="false">BE23*('Setting key Duty'!$I$8+'Setting key Duty'!$I$9+'Setting key Duty'!$I$12)</f>
        <v>1.125</v>
      </c>
      <c r="BG23" s="37" t="n">
        <f aca="false">COUNTIF(AI23,"*$N*")</f>
        <v>0</v>
      </c>
      <c r="BH23" s="37" t="n">
        <f aca="false">COUNTIF(AI23,"*$PM*")</f>
        <v>0</v>
      </c>
      <c r="BI23" s="37" t="n">
        <f aca="false">BH23*('Setting key Duty'!$I$9)</f>
        <v>0</v>
      </c>
      <c r="BJ23" s="37" t="n">
        <f aca="false">COUNTIF(A23:AI23,"*$AM*")</f>
        <v>3</v>
      </c>
      <c r="BK23" s="37" t="n">
        <f aca="false">BJ23*('Setting key Duty'!$I$12+'Setting key Duty'!$I$8)</f>
        <v>1.3125</v>
      </c>
      <c r="BL23" s="37" t="n">
        <f aca="false">COUNTIF(C23:AI23,"*$FC*")</f>
        <v>0</v>
      </c>
      <c r="BM23" s="37" t="n">
        <f aca="false">BL23*('Setting key Duty'!$J$11+'Setting key Duty'!$I$8)</f>
        <v>0</v>
      </c>
      <c r="BN23" s="37" t="n">
        <f aca="false">COUNTIF($C23:$AA23,BN$4)</f>
        <v>0</v>
      </c>
      <c r="BO23" s="37" t="n">
        <f aca="false">COUNTIF($C23:$AA23,BO$4)</f>
        <v>0</v>
      </c>
      <c r="BP23" s="37" t="n">
        <f aca="false">COUNTIF($C23:$AA23,BP$4)</f>
        <v>0</v>
      </c>
      <c r="BQ23" s="39"/>
    </row>
    <row r="24" customFormat="false" ht="19.5" hidden="false" customHeight="true" outlineLevel="0" collapsed="false">
      <c r="A24" s="30"/>
      <c r="B24" s="40" t="s">
        <v>84</v>
      </c>
      <c r="C24" s="32"/>
      <c r="D24" s="32"/>
      <c r="E24" s="34" t="s">
        <v>56</v>
      </c>
      <c r="F24" s="32"/>
      <c r="G24" s="32"/>
      <c r="H24" s="32" t="s">
        <v>59</v>
      </c>
      <c r="J24" s="32"/>
      <c r="K24" s="32"/>
      <c r="L24" s="42" t="s">
        <v>96</v>
      </c>
      <c r="O24" s="32" t="s">
        <v>57</v>
      </c>
      <c r="P24" s="32"/>
      <c r="Q24" s="32" t="s">
        <v>57</v>
      </c>
      <c r="S24" s="32" t="s">
        <v>56</v>
      </c>
      <c r="U24" s="32"/>
      <c r="V24" s="32" t="s">
        <v>56</v>
      </c>
      <c r="W24" s="32"/>
      <c r="X24" s="32" t="s">
        <v>56</v>
      </c>
      <c r="Y24" s="32"/>
      <c r="Z24" s="32"/>
      <c r="AA24" s="32" t="s">
        <v>57</v>
      </c>
      <c r="AC24" s="32"/>
      <c r="AD24" s="32"/>
      <c r="AE24" s="32"/>
      <c r="AF24" s="32"/>
      <c r="AG24" s="32"/>
      <c r="AH24" s="32"/>
      <c r="AI24" s="35"/>
      <c r="AJ24" s="36"/>
      <c r="AK24" s="35"/>
      <c r="AL24" s="37"/>
      <c r="AM24" s="37"/>
      <c r="AN24" s="37"/>
      <c r="AO24" s="37"/>
      <c r="AP24" s="38"/>
      <c r="AQ24" s="37" t="n">
        <f aca="false">SUMPRODUCT(--WEEKDAY(C$3:AG$3,2)&lt;6,--((C24:AG24="DM"))+(C24:AG24="CS1")+((C24:AG24="CS2"))+(C24:AG24="SB1")+(C24:AG24="AE")+(C24:AG24="EM"))</f>
        <v>6</v>
      </c>
      <c r="AR24" s="38"/>
      <c r="AS24" s="38" t="n">
        <f aca="false">SUMPRODUCT(--WEEKDAY(C$3:AG$3,2)&gt;5,--((C24:AG24="DM"))+(C24:AG24="CS1")+((C24:AG24="CS2"))+(C24:AG24="SB1")+(C24:AG24="AE")+(C24:AG24="EM"))</f>
        <v>2</v>
      </c>
      <c r="AT24" s="38"/>
      <c r="AU24" s="38" t="n">
        <f aca="false">(AQ24-AR24)/2+(AS24-AT24)</f>
        <v>5</v>
      </c>
      <c r="AV24" s="38" t="n">
        <f aca="false">AI24+AJ24+AK24+AL24+AN24+AO24</f>
        <v>0</v>
      </c>
      <c r="AW24" s="38" t="n">
        <f aca="false">BG24+BH24+BJ24+BE24+BC24+BA24+BL24</f>
        <v>0</v>
      </c>
      <c r="AX24" s="38" t="e">
        <f aca="false">AU24+AY24</f>
        <v>#VALUE!</v>
      </c>
      <c r="AY24" s="37" t="e">
        <f aca="false">(BJ24*('Setting key Duty'!$I$8+'Setting key Duty'!$I$12))+(BH24*'Setting key Duty'!$I$9)+(BC24*('Setting key Duty'!$I$13+'Setting key Duty'!$I$9))+(BA24*('Setting key Duty'!$I$13+'Setting key Duty'!$I$12+'Setting key Duty'!$I$11))+(BE24*('Setting key Duty'!$I$8+'Setting key Duty'!$I$9+'Setting key Duty'!$I$12))</f>
        <v>#VALUE!</v>
      </c>
      <c r="AZ24" s="37" t="n">
        <f aca="false">COUNTIF(D24:AB24,"*BRT*")</f>
        <v>0</v>
      </c>
      <c r="BA24" s="37" t="n">
        <f aca="false">COUNTIF(A24:AI24,"*$BTP*")</f>
        <v>0</v>
      </c>
      <c r="BB24" s="37" t="e">
        <f aca="false">BA24*('Setting key Duty'!$I$13+'Setting key Duty'!$I$12+'Setting key Duty'!$I$11)</f>
        <v>#VALUE!</v>
      </c>
      <c r="BC24" s="37" t="n">
        <f aca="false">COUNTIF(A24:AI24,"*$L*")</f>
        <v>0</v>
      </c>
      <c r="BD24" s="37" t="e">
        <f aca="false">BC24*('Setting key Duty'!$I$13+'Setting key Duty'!$I$9)</f>
        <v>#VALUE!</v>
      </c>
      <c r="BE24" s="37" t="n">
        <f aca="false">COUNTIF(A24:AI24,"*$M*")</f>
        <v>0</v>
      </c>
      <c r="BF24" s="37" t="n">
        <f aca="false">BE24*('Setting key Duty'!$I$8+'Setting key Duty'!$I$9+'Setting key Duty'!$I$12)</f>
        <v>0</v>
      </c>
      <c r="BG24" s="37" t="n">
        <f aca="false">COUNTIF(AF24:AI24,"*$N*")</f>
        <v>0</v>
      </c>
      <c r="BH24" s="37" t="n">
        <f aca="false">COUNTIF(AF24:AI24,"*$PM*")</f>
        <v>0</v>
      </c>
      <c r="BI24" s="37" t="n">
        <f aca="false">BH24*('Setting key Duty'!$I$9)</f>
        <v>0</v>
      </c>
      <c r="BJ24" s="37" t="n">
        <f aca="false">COUNTIF(A24:AI24,"*$AM*")</f>
        <v>0</v>
      </c>
      <c r="BK24" s="37" t="n">
        <f aca="false">BJ24*('Setting key Duty'!$I$12+'Setting key Duty'!$I$8)</f>
        <v>0</v>
      </c>
      <c r="BL24" s="37" t="n">
        <f aca="false">COUNTIF(D24:AI24,"*$FC*")</f>
        <v>0</v>
      </c>
      <c r="BM24" s="37" t="n">
        <f aca="false">BL24*('Setting key Duty'!$J$11+'Setting key Duty'!$I$8)</f>
        <v>0</v>
      </c>
      <c r="BN24" s="37" t="n">
        <f aca="false">COUNTIF($D24:$AE24,BN$4)</f>
        <v>0</v>
      </c>
      <c r="BO24" s="37" t="n">
        <f aca="false">COUNTIF($D24:$AE24,BO$4)</f>
        <v>0</v>
      </c>
      <c r="BP24" s="37" t="n">
        <f aca="false">COUNTIF($D24:$AE24,BP$4)</f>
        <v>0</v>
      </c>
      <c r="BQ24" s="39"/>
    </row>
    <row r="25" customFormat="false" ht="19.5" hidden="false" customHeight="true" outlineLevel="0" collapsed="false">
      <c r="A25" s="30"/>
      <c r="B25" s="103" t="s">
        <v>312</v>
      </c>
      <c r="C25" s="42"/>
      <c r="D25" s="42"/>
      <c r="E25" s="46" t="s">
        <v>313</v>
      </c>
      <c r="F25" s="32"/>
      <c r="G25" s="34" t="s">
        <v>314</v>
      </c>
      <c r="H25" s="32" t="s">
        <v>308</v>
      </c>
      <c r="J25" s="33"/>
      <c r="K25" s="33"/>
      <c r="L25" s="32" t="s">
        <v>58</v>
      </c>
      <c r="M25" s="32"/>
      <c r="N25" s="32" t="s">
        <v>185</v>
      </c>
      <c r="O25" s="32" t="s">
        <v>249</v>
      </c>
      <c r="P25" s="108" t="s">
        <v>180</v>
      </c>
      <c r="Q25" s="42" t="s">
        <v>58</v>
      </c>
      <c r="R25" s="32"/>
      <c r="S25" s="32"/>
      <c r="T25" s="42"/>
      <c r="U25" s="32" t="s">
        <v>315</v>
      </c>
      <c r="V25" s="32"/>
      <c r="W25" s="32"/>
      <c r="X25" s="32"/>
      <c r="Y25" s="32"/>
      <c r="Z25" s="32"/>
      <c r="AA25" s="34"/>
      <c r="AB25" s="34" t="s">
        <v>316</v>
      </c>
      <c r="AC25" s="34"/>
      <c r="AD25" s="32" t="s">
        <v>317</v>
      </c>
      <c r="AE25" s="32" t="s">
        <v>56</v>
      </c>
      <c r="AF25" s="32"/>
      <c r="AG25" s="32"/>
      <c r="AH25" s="32"/>
      <c r="AI25" s="35"/>
      <c r="AJ25" s="36"/>
      <c r="AK25" s="35"/>
      <c r="AL25" s="37"/>
      <c r="AM25" s="37"/>
      <c r="AN25" s="37"/>
      <c r="AO25" s="37"/>
      <c r="AP25" s="38"/>
      <c r="AQ25" s="37" t="n">
        <f aca="false">SUMPRODUCT(--WEEKDAY(C$3:AG$3,2)&lt;6,--((C25:AG25="DM"))+(C25:AG25="CS1")+((C25:AG25="CS2"))+(C25:AG25="SB1")+(C25:AG25="AE")+(C25:AG25="EM"))</f>
        <v>1</v>
      </c>
      <c r="AR25" s="38"/>
      <c r="AS25" s="38" t="n">
        <f aca="false">SUMPRODUCT(--WEEKDAY(C$3:AG$3,2)&gt;5,--((C25:AG25="DM"))+(C25:AG25="CS1")+((C25:AG25="CS2"))+(C25:AG25="SB1")+(C25:AG25="AE")+(C25:AG25="EM"))</f>
        <v>2</v>
      </c>
      <c r="AT25" s="38"/>
      <c r="AU25" s="38" t="n">
        <f aca="false">(AQ25-AR25)/2+(AS25-AT25)</f>
        <v>2.5</v>
      </c>
      <c r="AV25" s="38" t="n">
        <f aca="false">AI25+AJ25+AK25+AL25+AN25+AO25</f>
        <v>0</v>
      </c>
      <c r="AW25" s="38" t="n">
        <f aca="false">BG25+BH25+BJ25+BE25+BC25+BA25+BL25</f>
        <v>0</v>
      </c>
      <c r="AX25" s="38" t="e">
        <f aca="false">AU25+$AY$10</f>
        <v>#VALUE!</v>
      </c>
      <c r="AY25" s="37" t="e">
        <f aca="false">(BJ25*('Setting key Duty'!$I$8+'Setting key Duty'!$I$12))+(BH25*'Setting key Duty'!$I$9)+(BC25*('Setting key Duty'!$I$13+'Setting key Duty'!$I$9))+(BA25*('Setting key Duty'!$I$13+'Setting key Duty'!$I$12+'Setting key Duty'!$I$11))+(BE25*('Setting key Duty'!$I$8+'Setting key Duty'!$I$9+'Setting key Duty'!$I$12))</f>
        <v>#VALUE!</v>
      </c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9"/>
    </row>
    <row r="26" customFormat="false" ht="19.5" hidden="false" customHeight="true" outlineLevel="0" collapsed="false">
      <c r="A26" s="30"/>
      <c r="B26" s="55" t="s">
        <v>86</v>
      </c>
      <c r="C26" s="32"/>
      <c r="D26" s="34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 t="s">
        <v>301</v>
      </c>
      <c r="V26" s="32"/>
      <c r="W26" s="32"/>
      <c r="Y26" s="32"/>
      <c r="AA26" s="32"/>
      <c r="AB26" s="32"/>
      <c r="AC26" s="32"/>
      <c r="AD26" s="32"/>
      <c r="AE26" s="32"/>
      <c r="AF26" s="32"/>
      <c r="AG26" s="32"/>
      <c r="AH26" s="32"/>
      <c r="AI26" s="35"/>
      <c r="AJ26" s="36"/>
      <c r="AK26" s="35"/>
      <c r="AL26" s="37"/>
      <c r="AM26" s="37"/>
      <c r="AN26" s="37"/>
      <c r="AO26" s="37"/>
      <c r="AP26" s="38"/>
      <c r="AQ26" s="37" t="n">
        <f aca="false">SUMPRODUCT(--WEEKDAY(C$3:AG$3,2)&lt;6,--((C26:AG26="DM"))+(C26:AG26="CS1")+((C26:AG26="CS2"))+(C26:AG26="SB1")+(C26:AG26="AE")+(C26:AG26="EM"))</f>
        <v>0</v>
      </c>
      <c r="AR26" s="38"/>
      <c r="AS26" s="38" t="n">
        <f aca="false">SUMPRODUCT(--WEEKDAY(C$3:AG$3,2)&gt;5,--((C26:AG26="DM"))+(C26:AG26="CS1")+((C26:AG26="CS2"))+(C26:AG26="SB1")+(C26:AG26="AE")+(C26:AG26="EM"))</f>
        <v>0</v>
      </c>
      <c r="AT26" s="38"/>
      <c r="AU26" s="38" t="n">
        <f aca="false">(AQ26-AR26)/2+(AS26-AT26)</f>
        <v>0</v>
      </c>
      <c r="AV26" s="38" t="n">
        <f aca="false">AI26+AJ26+AK26+AL26+AN26+AO26</f>
        <v>0</v>
      </c>
      <c r="AW26" s="38" t="n">
        <f aca="false">BG26+BH26+BJ26+BE26+BC26+BA26+BL26</f>
        <v>0</v>
      </c>
      <c r="AX26" s="38" t="e">
        <f aca="false">AU26+AY26</f>
        <v>#VALUE!</v>
      </c>
      <c r="AY26" s="37" t="e">
        <f aca="false">(BJ26*('Setting key Duty'!$I$8+'Setting key Duty'!$I$12))+(BH26*'Setting key Duty'!$I$9)+(BC26*('Setting key Duty'!$I$13+'Setting key Duty'!$I$9))+(BA26*('Setting key Duty'!$I$13+'Setting key Duty'!$I$12+'Setting key Duty'!$I$11))+(BE26*('Setting key Duty'!$I$8+'Setting key Duty'!$I$9+'Setting key Duty'!$I$12))</f>
        <v>#VALUE!</v>
      </c>
      <c r="AZ26" s="37" t="n">
        <f aca="false">COUNTIF(D26:AC26,"*BRT*")</f>
        <v>0</v>
      </c>
      <c r="BA26" s="37" t="n">
        <f aca="false">COUNTIF(A26:AI26,"*$BTP*")</f>
        <v>0</v>
      </c>
      <c r="BB26" s="37" t="e">
        <f aca="false">BA26*('Setting key Duty'!$I$13+'Setting key Duty'!$I$12+'Setting key Duty'!$I$11)</f>
        <v>#VALUE!</v>
      </c>
      <c r="BC26" s="37" t="n">
        <f aca="false">COUNTIF(A26:AI26,"*$L*")</f>
        <v>0</v>
      </c>
      <c r="BD26" s="37" t="e">
        <f aca="false">BC26*('Setting key Duty'!$I$13+'Setting key Duty'!$I$9)</f>
        <v>#VALUE!</v>
      </c>
      <c r="BE26" s="37" t="n">
        <f aca="false">COUNTIF(A26:AI26,"*$M*")</f>
        <v>0</v>
      </c>
      <c r="BF26" s="37" t="n">
        <f aca="false">BE26*('Setting key Duty'!$I$8+'Setting key Duty'!$I$9+'Setting key Duty'!$I$12)</f>
        <v>0</v>
      </c>
      <c r="BG26" s="37" t="n">
        <f aca="false">COUNTIF(AE26:AI26,"*$N*")</f>
        <v>0</v>
      </c>
      <c r="BH26" s="37" t="n">
        <f aca="false">COUNTIF(AE26:AI26,"*$PM*")</f>
        <v>0</v>
      </c>
      <c r="BI26" s="37" t="n">
        <f aca="false">BH26*('Setting key Duty'!$I$9)</f>
        <v>0</v>
      </c>
      <c r="BJ26" s="37" t="n">
        <f aca="false">COUNTIF(A26:AI26,"*$AM*")</f>
        <v>0</v>
      </c>
      <c r="BK26" s="37" t="n">
        <f aca="false">BJ26*('Setting key Duty'!$I$12+'Setting key Duty'!$I$8)</f>
        <v>0</v>
      </c>
      <c r="BL26" s="37" t="n">
        <f aca="false">COUNTIF(D26:AI26,"*$FC*")</f>
        <v>0</v>
      </c>
      <c r="BM26" s="37" t="n">
        <f aca="false">BL26*('Setting key Duty'!$J$11+'Setting key Duty'!$I$8)</f>
        <v>0</v>
      </c>
      <c r="BN26" s="37" t="n">
        <f aca="false">COUNTIF($D26:$AE26,BN$4)</f>
        <v>0</v>
      </c>
      <c r="BO26" s="37" t="n">
        <f aca="false">COUNTIF($D26:$AE26,BO$4)</f>
        <v>0</v>
      </c>
      <c r="BP26" s="37" t="n">
        <f aca="false">COUNTIF($D26:$AE26,BP$4)</f>
        <v>0</v>
      </c>
      <c r="BQ26" s="39"/>
    </row>
    <row r="27" customFormat="false" ht="19.5" hidden="false" customHeight="true" outlineLevel="0" collapsed="false">
      <c r="A27" s="30"/>
      <c r="B27" s="103" t="s">
        <v>233</v>
      </c>
      <c r="C27" s="32"/>
      <c r="E27" s="32"/>
      <c r="F27" s="32"/>
      <c r="G27" s="32"/>
      <c r="H27" s="32"/>
      <c r="I27" s="32"/>
      <c r="J27" s="32"/>
      <c r="K27" s="32"/>
      <c r="L27" s="32"/>
      <c r="M27" s="32"/>
      <c r="N27" s="32" t="s">
        <v>61</v>
      </c>
      <c r="O27" s="32"/>
      <c r="P27" s="32" t="s">
        <v>318</v>
      </c>
      <c r="R27" s="32" t="s">
        <v>56</v>
      </c>
      <c r="S27" s="32"/>
      <c r="T27" s="32" t="s">
        <v>133</v>
      </c>
      <c r="U27" s="42" t="s">
        <v>58</v>
      </c>
      <c r="V27" s="32"/>
      <c r="W27" s="32" t="s">
        <v>319</v>
      </c>
      <c r="X27" s="34" t="s">
        <v>59</v>
      </c>
      <c r="Z27" s="32"/>
      <c r="AA27" s="32" t="s">
        <v>320</v>
      </c>
      <c r="AB27" s="32" t="s">
        <v>321</v>
      </c>
      <c r="AD27" s="32" t="s">
        <v>322</v>
      </c>
      <c r="AE27" s="32"/>
      <c r="AF27" s="32" t="s">
        <v>56</v>
      </c>
      <c r="AG27" s="32"/>
      <c r="AH27" s="32"/>
      <c r="AI27" s="35"/>
      <c r="AJ27" s="36"/>
      <c r="AK27" s="35"/>
      <c r="AL27" s="37"/>
      <c r="AM27" s="37"/>
      <c r="AN27" s="37"/>
      <c r="AO27" s="37"/>
      <c r="AP27" s="38"/>
      <c r="AQ27" s="37" t="n">
        <f aca="false">SUMPRODUCT(--WEEKDAY(C$3:AG$3,2)&lt;6,--((C27:AG27="DM"))+(C27:AG27="CS1")+((C27:AG27="CS2"))+(C27:AG27="SB1")+(C27:AG27="AE")+(C27:AG27="EM"))</f>
        <v>1</v>
      </c>
      <c r="AR27" s="38"/>
      <c r="AS27" s="38" t="n">
        <f aca="false">SUMPRODUCT(--WEEKDAY(C$3:AG$3,2)&gt;5,--((C27:AG27="DM"))+(C27:AG27="CS1")+((C27:AG27="CS2"))+(C27:AG27="SB1")+(C27:AG27="AE")+(C27:AG27="EM"))</f>
        <v>3</v>
      </c>
      <c r="AT27" s="38"/>
      <c r="AU27" s="38" t="n">
        <f aca="false">(AQ27-AR27)/2+(AS27-AT27)</f>
        <v>3.5</v>
      </c>
      <c r="AV27" s="38" t="n">
        <f aca="false">AI27+AJ27+AK27+AL27+AN27+AO27</f>
        <v>0</v>
      </c>
      <c r="AW27" s="38" t="n">
        <f aca="false">BG27+BH27+BJ27+BE27+BC27+BA27+BL27</f>
        <v>5</v>
      </c>
      <c r="AX27" s="38" t="e">
        <f aca="false">AU27+AY27</f>
        <v>#VALUE!</v>
      </c>
      <c r="AY27" s="37" t="e">
        <f aca="false">(BJ27*('Setting key Duty'!$I$8+'Setting key Duty'!$I$12))+(BH27*'Setting key Duty'!$I$9)+(BC27*('Setting key Duty'!$I$13+'Setting key Duty'!$I$9))+(BA27*('Setting key Duty'!$I$13+'Setting key Duty'!$I$12+'Setting key Duty'!$I$11))+(BE27*('Setting key Duty'!$I$8+'Setting key Duty'!$I$9+'Setting key Duty'!$I$12))</f>
        <v>#VALUE!</v>
      </c>
      <c r="AZ27" s="37" t="n">
        <f aca="false">COUNTIF(D27:AA27,"*BRT*")</f>
        <v>0</v>
      </c>
      <c r="BA27" s="37" t="n">
        <f aca="false">COUNTIF(A27:AI27,"*$BTP*")</f>
        <v>0</v>
      </c>
      <c r="BB27" s="37" t="e">
        <f aca="false">BA27*('Setting key Duty'!$I$13+'Setting key Duty'!$I$12+'Setting key Duty'!$I$11)</f>
        <v>#VALUE!</v>
      </c>
      <c r="BC27" s="37" t="n">
        <f aca="false">COUNTIF(A27:AI27,"*$L*")</f>
        <v>0</v>
      </c>
      <c r="BD27" s="37" t="e">
        <f aca="false">BC27*('Setting key Duty'!$I$13+'Setting key Duty'!$I$9)</f>
        <v>#VALUE!</v>
      </c>
      <c r="BE27" s="37" t="n">
        <f aca="false">COUNTIF(A27:AI27,"*$M*")</f>
        <v>2</v>
      </c>
      <c r="BF27" s="37" t="n">
        <f aca="false">BE27*('Setting key Duty'!$I$8+'Setting key Duty'!$I$9+'Setting key Duty'!$I$12)</f>
        <v>1.125</v>
      </c>
      <c r="BG27" s="37" t="n">
        <f aca="false">COUNTIF(AI27,"*$N*")</f>
        <v>0</v>
      </c>
      <c r="BH27" s="37" t="n">
        <f aca="false">COUNTIF(AI27,"*$PM*")</f>
        <v>0</v>
      </c>
      <c r="BI27" s="37" t="n">
        <f aca="false">BH27*('Setting key Duty'!$I$9)</f>
        <v>0</v>
      </c>
      <c r="BJ27" s="37" t="n">
        <f aca="false">COUNTIF(A27:AI27,"*$AM*")</f>
        <v>3</v>
      </c>
      <c r="BK27" s="37" t="n">
        <f aca="false">BJ27*('Setting key Duty'!$I$12+'Setting key Duty'!$I$8)</f>
        <v>1.3125</v>
      </c>
      <c r="BL27" s="37" t="n">
        <f aca="false">COUNTIF(D27:AI27,"*$FC*")</f>
        <v>0</v>
      </c>
      <c r="BM27" s="37" t="n">
        <f aca="false">BL27*('Setting key Duty'!$J$11+'Setting key Duty'!$I$8)</f>
        <v>0</v>
      </c>
      <c r="BN27" s="37" t="n">
        <f aca="false">COUNTIF($D27:$AA27,BN$4)</f>
        <v>0</v>
      </c>
      <c r="BO27" s="37" t="n">
        <f aca="false">COUNTIF($D27:$AA27,BO$4)</f>
        <v>0</v>
      </c>
      <c r="BP27" s="37" t="n">
        <f aca="false">COUNTIF($D27:$AA27,BP$4)</f>
        <v>0</v>
      </c>
      <c r="BQ27" s="39"/>
    </row>
    <row r="28" customFormat="false" ht="19.5" hidden="false" customHeight="true" outlineLevel="0" collapsed="false">
      <c r="A28" s="30"/>
      <c r="B28" s="88" t="s">
        <v>189</v>
      </c>
      <c r="C28" s="45"/>
      <c r="E28" s="45" t="s">
        <v>65</v>
      </c>
      <c r="F28" s="45"/>
      <c r="G28" s="45" t="s">
        <v>65</v>
      </c>
      <c r="H28" s="42" t="s">
        <v>93</v>
      </c>
      <c r="I28" s="46" t="s">
        <v>69</v>
      </c>
      <c r="J28" s="42"/>
      <c r="K28" s="42" t="s">
        <v>65</v>
      </c>
      <c r="L28" s="45"/>
      <c r="M28" s="45"/>
      <c r="N28" s="42" t="s">
        <v>65</v>
      </c>
      <c r="O28" s="45"/>
      <c r="P28" s="42" t="s">
        <v>93</v>
      </c>
      <c r="Q28" s="32"/>
      <c r="R28" s="42" t="s">
        <v>65</v>
      </c>
      <c r="S28" s="42"/>
      <c r="T28" s="42" t="s">
        <v>65</v>
      </c>
      <c r="U28" s="42" t="s">
        <v>93</v>
      </c>
      <c r="V28" s="42" t="s">
        <v>65</v>
      </c>
      <c r="X28" s="42"/>
      <c r="Z28" s="42" t="s">
        <v>93</v>
      </c>
      <c r="AA28" s="42" t="s">
        <v>65</v>
      </c>
      <c r="AC28" s="42" t="s">
        <v>65</v>
      </c>
      <c r="AD28" s="32"/>
      <c r="AE28" s="32"/>
      <c r="AF28" s="32" t="s">
        <v>65</v>
      </c>
      <c r="AG28" s="42"/>
      <c r="AH28" s="42"/>
      <c r="AI28" s="35"/>
      <c r="AJ28" s="36"/>
      <c r="AK28" s="35"/>
      <c r="AL28" s="37"/>
      <c r="AM28" s="37"/>
      <c r="AN28" s="37"/>
      <c r="AO28" s="37"/>
      <c r="AP28" s="38"/>
      <c r="AQ28" s="37" t="n">
        <f aca="false">SUMPRODUCT(--WEEKDAY(C$3:AG$3,2)&lt;6,--((C28:AG28="DM"))+(C28:AG28="CS1")+((C28:AG28="CS2"))+(C28:AG28="SB1")+(C28:AG28="AE")+(C28:AG28="EM"))</f>
        <v>7</v>
      </c>
      <c r="AR28" s="38"/>
      <c r="AS28" s="38" t="n">
        <f aca="false">SUMPRODUCT(--WEEKDAY(C$3:AG$3,2)&gt;5,--((C28:AG28="DM"))+(C28:AG28="CS1")+((C28:AG28="CS2"))+(C28:AG28="SB1")+(C28:AG28="AE")+(C28:AG28="EM"))</f>
        <v>3</v>
      </c>
      <c r="AT28" s="38"/>
      <c r="AU28" s="38" t="n">
        <f aca="false">(AQ28-AR28)/2+(AS28-AT28)</f>
        <v>6.5</v>
      </c>
      <c r="AV28" s="38" t="n">
        <f aca="false">AI28+AJ28+AK28+AL28+AN28+AO28</f>
        <v>0</v>
      </c>
      <c r="AW28" s="38" t="n">
        <f aca="false">BG28+BH28+BJ28+BE28+BC28+BA28+BL28</f>
        <v>0</v>
      </c>
      <c r="AX28" s="38" t="e">
        <f aca="false">AU28+$AY$10</f>
        <v>#VALUE!</v>
      </c>
      <c r="AY28" s="37" t="e">
        <f aca="false">(BJ28*('Setting key Duty'!$I$8+'Setting key Duty'!$I$12))+(BH28*'Setting key Duty'!$I$9)+(BC28*('Setting key Duty'!$I$13+'Setting key Duty'!$I$9))+(BA28*('Setting key Duty'!$I$13+'Setting key Duty'!$I$12+'Setting key Duty'!$I$11))+(BE28*('Setting key Duty'!$I$8+'Setting key Duty'!$I$9+'Setting key Duty'!$I$12))</f>
        <v>#VALUE!</v>
      </c>
      <c r="AZ28" s="37" t="n">
        <f aca="false">COUNTIF(D28:AA28,"*BRT*")</f>
        <v>0</v>
      </c>
      <c r="BA28" s="37" t="n">
        <f aca="false">COUNTIF(A28:AI28,"*$BTP*")</f>
        <v>0</v>
      </c>
      <c r="BB28" s="37" t="e">
        <f aca="false">BA28*('Setting key Duty'!$I$13+'Setting key Duty'!$I$12+'Setting key Duty'!$I$11)</f>
        <v>#VALUE!</v>
      </c>
      <c r="BC28" s="37" t="n">
        <f aca="false">COUNTIF(A28:AI28,"*$L*")</f>
        <v>0</v>
      </c>
      <c r="BD28" s="37" t="e">
        <f aca="false">BC28*('Setting key Duty'!$I$13+'Setting key Duty'!$I$9)</f>
        <v>#VALUE!</v>
      </c>
      <c r="BE28" s="37" t="n">
        <f aca="false">COUNTIF(A28:AI28,"*$M*")</f>
        <v>0</v>
      </c>
      <c r="BF28" s="37" t="n">
        <f aca="false">BE28*('Setting key Duty'!$I$8+'Setting key Duty'!$I$9+'Setting key Duty'!$I$12)</f>
        <v>0</v>
      </c>
      <c r="BG28" s="37" t="n">
        <f aca="false">COUNTIF(AI28,"*$N*")</f>
        <v>0</v>
      </c>
      <c r="BH28" s="37" t="n">
        <f aca="false">COUNTIF(AI28,"*$PM*")</f>
        <v>0</v>
      </c>
      <c r="BI28" s="37" t="n">
        <f aca="false">BH28*('Setting key Duty'!$I$9)</f>
        <v>0</v>
      </c>
      <c r="BJ28" s="37" t="n">
        <f aca="false">COUNTIF(A28:AI28,"*$AM*")</f>
        <v>0</v>
      </c>
      <c r="BK28" s="37" t="n">
        <f aca="false">BJ28*('Setting key Duty'!$I$12+'Setting key Duty'!$I$8)</f>
        <v>0</v>
      </c>
      <c r="BL28" s="37" t="n">
        <f aca="false">COUNTIF(D28:AI28,"*$FC*")</f>
        <v>0</v>
      </c>
      <c r="BM28" s="37" t="n">
        <f aca="false">BL28*('Setting key Duty'!$J$11+'Setting key Duty'!$I$8)</f>
        <v>0</v>
      </c>
      <c r="BN28" s="37" t="n">
        <f aca="false">COUNTIF($D28:$AA28,BN$4)</f>
        <v>0</v>
      </c>
      <c r="BO28" s="37" t="n">
        <f aca="false">COUNTIF($D28:$AA28,BO$4)</f>
        <v>0</v>
      </c>
      <c r="BP28" s="37" t="n">
        <f aca="false">COUNTIF($D28:$AA28,BP$4)</f>
        <v>0</v>
      </c>
      <c r="BQ28" s="39"/>
    </row>
    <row r="29" customFormat="false" ht="19.5" hidden="false" customHeight="true" outlineLevel="0" collapsed="false">
      <c r="A29" s="30"/>
      <c r="B29" s="31" t="s">
        <v>191</v>
      </c>
      <c r="C29" s="45"/>
      <c r="E29" s="45"/>
      <c r="F29" s="34" t="s">
        <v>188</v>
      </c>
      <c r="G29" s="42" t="s">
        <v>93</v>
      </c>
      <c r="H29" s="45" t="s">
        <v>65</v>
      </c>
      <c r="J29" s="42"/>
      <c r="K29" s="45"/>
      <c r="L29" s="32" t="s">
        <v>323</v>
      </c>
      <c r="M29" s="45" t="s">
        <v>65</v>
      </c>
      <c r="O29" s="32" t="s">
        <v>324</v>
      </c>
      <c r="P29" s="32" t="s">
        <v>249</v>
      </c>
      <c r="Q29" s="42" t="s">
        <v>65</v>
      </c>
      <c r="R29" s="32"/>
      <c r="S29" s="32" t="s">
        <v>325</v>
      </c>
      <c r="T29" s="42" t="s">
        <v>93</v>
      </c>
      <c r="U29" s="42"/>
      <c r="V29" s="32" t="s">
        <v>326</v>
      </c>
      <c r="W29" s="33"/>
      <c r="Y29" s="107"/>
      <c r="Z29" s="107" t="s">
        <v>292</v>
      </c>
      <c r="AA29" s="32" t="s">
        <v>327</v>
      </c>
      <c r="AB29" s="32"/>
      <c r="AC29" s="107"/>
      <c r="AD29" s="32" t="s">
        <v>328</v>
      </c>
      <c r="AF29" s="32"/>
      <c r="AH29" s="32" t="s">
        <v>294</v>
      </c>
      <c r="AI29" s="35"/>
      <c r="AJ29" s="36"/>
      <c r="AK29" s="35"/>
      <c r="AL29" s="37"/>
      <c r="AM29" s="37"/>
      <c r="AN29" s="37"/>
      <c r="AO29" s="37"/>
      <c r="AP29" s="38"/>
      <c r="AQ29" s="37" t="n">
        <f aca="false">SUMPRODUCT(--WEEKDAY(C$3:AG$3,2)&lt;6,--((C29:AG29="DM"))+(C29:AG29="CS1")+((C29:AG29="CS2"))+(C29:AG29="SB1")+(C29:AG29="AE")+(C29:AG29="EM"))</f>
        <v>2</v>
      </c>
      <c r="AR29" s="38"/>
      <c r="AS29" s="38" t="n">
        <f aca="false">SUMPRODUCT(--WEEKDAY(C$3:AG$3,2)&gt;5,--((C29:AG29="DM"))+(C29:AG29="CS1")+((C29:AG29="CS2"))+(C29:AG29="SB1")+(C29:AG29="AE")+(C29:AG29="EM"))</f>
        <v>1</v>
      </c>
      <c r="AT29" s="38"/>
      <c r="AU29" s="38" t="n">
        <f aca="false">(AQ29-AR29)/2+(AS29-AT29)</f>
        <v>2</v>
      </c>
      <c r="AV29" s="38" t="n">
        <f aca="false">AI29+AJ29+AK29+AL29+AN29+AO29</f>
        <v>0</v>
      </c>
      <c r="AW29" s="38" t="n">
        <f aca="false">BG29+BH29+BJ29+BE29+BC29+BA29+BL29</f>
        <v>8</v>
      </c>
      <c r="AX29" s="38" t="e">
        <f aca="false">AU29+AY29</f>
        <v>#VALUE!</v>
      </c>
      <c r="AY29" s="37" t="e">
        <f aca="false">(BJ29*('Setting key Duty'!$I$8+'Setting key Duty'!$I$12))+(BH29*'Setting key Duty'!$I$9)+(BC29*('Setting key Duty'!$I$13+'Setting key Duty'!$I$9))+(BA29*('Setting key Duty'!$I$13+'Setting key Duty'!$I$12+'Setting key Duty'!$I$11))+(BE29*('Setting key Duty'!$I$8+'Setting key Duty'!$I$9+'Setting key Duty'!$I$12))</f>
        <v>#VALUE!</v>
      </c>
      <c r="AZ29" s="37" t="n">
        <f aca="false">COUNTIF(C29:X29,"*BRT*")</f>
        <v>0</v>
      </c>
      <c r="BA29" s="37" t="n">
        <f aca="false">COUNTIF(A29:AI29,"*$BTP*")</f>
        <v>0</v>
      </c>
      <c r="BB29" s="37" t="e">
        <f aca="false">BA29*('Setting key Duty'!$I$13+'Setting key Duty'!$I$12+'Setting key Duty'!$I$11)</f>
        <v>#VALUE!</v>
      </c>
      <c r="BC29" s="37" t="n">
        <f aca="false">COUNTIF(D29:AI29,"*$L*")</f>
        <v>0</v>
      </c>
      <c r="BD29" s="37" t="e">
        <f aca="false">BC29*('Setting key Duty'!$I$13+'Setting key Duty'!$I$9)</f>
        <v>#VALUE!</v>
      </c>
      <c r="BE29" s="37" t="n">
        <f aca="false">COUNTIF(D29:AI29,"*$M*")</f>
        <v>6</v>
      </c>
      <c r="BF29" s="37" t="n">
        <f aca="false">BE29*('Setting key Duty'!$I$8+'Setting key Duty'!$I$9+'Setting key Duty'!$I$12)</f>
        <v>3.375</v>
      </c>
      <c r="BG29" s="37" t="n">
        <f aca="false">COUNTIF(D29:AI29,"*$N*")</f>
        <v>0</v>
      </c>
      <c r="BH29" s="37" t="n">
        <f aca="false">COUNTIF(D29:AI29,"*$PM*")</f>
        <v>0</v>
      </c>
      <c r="BI29" s="37" t="n">
        <f aca="false">BH29*('Setting key Duty'!$I$9)</f>
        <v>0</v>
      </c>
      <c r="BJ29" s="37" t="n">
        <f aca="false">COUNTIF(D29:AI29,"*$AM*")</f>
        <v>2</v>
      </c>
      <c r="BK29" s="37" t="n">
        <f aca="false">BJ29*('Setting key Duty'!$I$12+'Setting key Duty'!$I$8)</f>
        <v>0.875</v>
      </c>
      <c r="BL29" s="37" t="n">
        <f aca="false">COUNTIF(C29:AI29,"*$FC*")</f>
        <v>0</v>
      </c>
      <c r="BM29" s="37" t="n">
        <f aca="false">BL29*('Setting key Duty'!$J$11+'Setting key Duty'!$I$8)</f>
        <v>0</v>
      </c>
      <c r="BN29" s="37" t="n">
        <f aca="false">COUNTIF($C29:$AG29,BN$4)</f>
        <v>0</v>
      </c>
      <c r="BO29" s="37" t="n">
        <f aca="false">COUNTIF($C29:$AG29,BO$4)</f>
        <v>0</v>
      </c>
      <c r="BP29" s="37" t="n">
        <f aca="false">COUNTIF($D29:$AD29,BP$4)</f>
        <v>0</v>
      </c>
      <c r="BQ29" s="39"/>
    </row>
    <row r="30" customFormat="false" ht="19.5" hidden="false" customHeight="true" outlineLevel="0" collapsed="false">
      <c r="A30" s="30"/>
      <c r="B30" s="104" t="s">
        <v>192</v>
      </c>
      <c r="C30" s="42"/>
      <c r="D30" s="42"/>
      <c r="E30" s="32" t="s">
        <v>329</v>
      </c>
      <c r="F30" s="32" t="s">
        <v>329</v>
      </c>
      <c r="G30" s="32" t="s">
        <v>329</v>
      </c>
      <c r="H30" s="32" t="s">
        <v>329</v>
      </c>
      <c r="I30" s="32" t="s">
        <v>329</v>
      </c>
      <c r="J30" s="42"/>
      <c r="K30" s="42"/>
      <c r="L30" s="45"/>
      <c r="M30" s="32" t="s">
        <v>307</v>
      </c>
      <c r="N30" s="42" t="s">
        <v>93</v>
      </c>
      <c r="O30" s="32" t="s">
        <v>330</v>
      </c>
      <c r="Q30" s="33"/>
      <c r="R30" s="42"/>
      <c r="S30" s="46" t="s">
        <v>69</v>
      </c>
      <c r="T30" s="42"/>
      <c r="U30" s="32" t="s">
        <v>331</v>
      </c>
      <c r="V30" s="42" t="s">
        <v>93</v>
      </c>
      <c r="X30" s="65" t="s">
        <v>65</v>
      </c>
      <c r="Y30" s="42"/>
      <c r="Z30" s="107" t="s">
        <v>292</v>
      </c>
      <c r="AA30" s="32" t="s">
        <v>332</v>
      </c>
      <c r="AD30" s="32" t="s">
        <v>319</v>
      </c>
      <c r="AE30" s="99"/>
      <c r="AG30" s="42"/>
      <c r="AH30" s="42"/>
      <c r="AI30" s="35"/>
      <c r="AJ30" s="36"/>
      <c r="AK30" s="35"/>
      <c r="AL30" s="66"/>
      <c r="AM30" s="66"/>
      <c r="AN30" s="66"/>
      <c r="AO30" s="66"/>
      <c r="AP30" s="67"/>
      <c r="AQ30" s="37" t="n">
        <f aca="false">SUMPRODUCT(--WEEKDAY(C$3:AG$3,2)&lt;6,--((C30:AG30="DM"))+(C30:AG30="CS1")+((C30:AG30="CS2"))+(C30:AG30="SB1")+(C30:AG30="AE")+(C30:AG30="EM"))</f>
        <v>0</v>
      </c>
      <c r="AR30" s="38"/>
      <c r="AS30" s="38" t="n">
        <f aca="false">SUMPRODUCT(--WEEKDAY(C$3:AG$3,2)&gt;5,--((C30:AG30="DM"))+(C30:AG30="CS1")+((C30:AG30="CS2"))+(C30:AG30="SB1")+(C30:AG30="AE")+(C30:AG30="EM"))</f>
        <v>1</v>
      </c>
      <c r="AT30" s="67"/>
      <c r="AU30" s="38" t="n">
        <f aca="false">(AQ30-AR30)/2+(AS30-AT30)</f>
        <v>1</v>
      </c>
      <c r="AV30" s="38" t="n">
        <f aca="false">AI30+AJ30+AK30+AL30+AN30+AO30</f>
        <v>0</v>
      </c>
      <c r="AW30" s="38" t="n">
        <f aca="false">BG30+BH30+BJ30+BE30+BC30+BA30+BL30</f>
        <v>10</v>
      </c>
      <c r="AX30" s="38" t="e">
        <f aca="false">AU30+AY30</f>
        <v>#VALUE!</v>
      </c>
      <c r="AY30" s="37" t="e">
        <f aca="false">(BJ30*('Setting key Duty'!$I$8+'Setting key Duty'!$I$12))+(BH30*'Setting key Duty'!$I$9)+(BC30*('Setting key Duty'!$I$13+'Setting key Duty'!$I$9))+(BA30*('Setting key Duty'!$I$13+'Setting key Duty'!$I$12+'Setting key Duty'!$I$11))+(BE30*('Setting key Duty'!$I$8+'Setting key Duty'!$I$9+'Setting key Duty'!$I$12))</f>
        <v>#VALUE!</v>
      </c>
      <c r="AZ30" s="37" t="n">
        <f aca="false">COUNTIF(C30:Y30,"*BRT*")</f>
        <v>0</v>
      </c>
      <c r="BA30" s="37" t="n">
        <f aca="false">COUNTIF(A30:AI30,"*$BTP*")</f>
        <v>1</v>
      </c>
      <c r="BB30" s="37" t="e">
        <f aca="false">BA30*('Setting key Duty'!$I$13+'Setting key Duty'!$I$12+'Setting key Duty'!$I$11)</f>
        <v>#VALUE!</v>
      </c>
      <c r="BC30" s="37" t="n">
        <f aca="false">COUNTIF(D30:AI30,"*$L*")</f>
        <v>0</v>
      </c>
      <c r="BD30" s="37" t="e">
        <f aca="false">BC30*('Setting key Duty'!$I$13+'Setting key Duty'!$I$9)</f>
        <v>#VALUE!</v>
      </c>
      <c r="BE30" s="37" t="n">
        <f aca="false">COUNTIF(D30:AI30,"*$M*")</f>
        <v>3</v>
      </c>
      <c r="BF30" s="37" t="n">
        <f aca="false">BE30*('Setting key Duty'!$I$8+'Setting key Duty'!$I$9+'Setting key Duty'!$I$12)</f>
        <v>1.6875</v>
      </c>
      <c r="BG30" s="37" t="n">
        <f aca="false">COUNTIF(D30:AI30,"*$N*")</f>
        <v>0</v>
      </c>
      <c r="BH30" s="37" t="n">
        <f aca="false">COUNTIF(D30:AI30,"*$PM*")</f>
        <v>0</v>
      </c>
      <c r="BI30" s="37" t="n">
        <f aca="false">BH30*('Setting key Duty'!$I$9)</f>
        <v>0</v>
      </c>
      <c r="BJ30" s="37" t="n">
        <f aca="false">COUNTIF(D30:AI30,"*$AM*")</f>
        <v>1</v>
      </c>
      <c r="BK30" s="37" t="n">
        <f aca="false">BJ30*('Setting key Duty'!$I$12+'Setting key Duty'!$I$8)</f>
        <v>0.4375</v>
      </c>
      <c r="BL30" s="37" t="n">
        <f aca="false">COUNTIF(C30:AI30,"*$FC*")</f>
        <v>5</v>
      </c>
      <c r="BM30" s="37" t="n">
        <f aca="false">BL30*('Setting key Duty'!$J$11+'Setting key Duty'!$I$8)</f>
        <v>0.625</v>
      </c>
      <c r="BN30" s="37" t="n">
        <f aca="false">COUNTIF($C30:$AG30,BN$4)</f>
        <v>0</v>
      </c>
      <c r="BO30" s="37" t="n">
        <f aca="false">COUNTIF($C30:$AG30,BO$4)</f>
        <v>0</v>
      </c>
      <c r="BP30" s="37" t="n">
        <f aca="false">COUNTIF($D30:$AE30,BP$4)</f>
        <v>0</v>
      </c>
      <c r="BQ30" s="68"/>
    </row>
    <row r="31" customFormat="false" ht="19.5" hidden="false" customHeight="true" outlineLevel="0" collapsed="false">
      <c r="A31" s="30"/>
      <c r="B31" s="104" t="s">
        <v>193</v>
      </c>
      <c r="C31" s="65"/>
      <c r="D31" s="45" t="s">
        <v>65</v>
      </c>
      <c r="E31" s="42"/>
      <c r="F31" s="42" t="s">
        <v>93</v>
      </c>
      <c r="I31" s="42" t="s">
        <v>93</v>
      </c>
      <c r="J31" s="42" t="s">
        <v>65</v>
      </c>
      <c r="L31" s="45" t="s">
        <v>93</v>
      </c>
      <c r="M31" s="32" t="s">
        <v>333</v>
      </c>
      <c r="N31" s="32" t="s">
        <v>334</v>
      </c>
      <c r="P31" s="32" t="s">
        <v>335</v>
      </c>
      <c r="R31" s="42"/>
      <c r="S31" s="42" t="s">
        <v>93</v>
      </c>
      <c r="T31" s="42"/>
      <c r="U31" s="32" t="s">
        <v>336</v>
      </c>
      <c r="W31" s="32" t="s">
        <v>93</v>
      </c>
      <c r="X31" s="65"/>
      <c r="Y31" s="42"/>
      <c r="Z31" s="32" t="s">
        <v>337</v>
      </c>
      <c r="AA31" s="42" t="s">
        <v>93</v>
      </c>
      <c r="AB31" s="32" t="s">
        <v>124</v>
      </c>
      <c r="AC31" s="42"/>
      <c r="AD31" s="32" t="s">
        <v>338</v>
      </c>
      <c r="AE31" s="99"/>
      <c r="AF31" s="32"/>
      <c r="AG31" s="42"/>
      <c r="AH31" s="42"/>
      <c r="AI31" s="35"/>
      <c r="AJ31" s="36"/>
      <c r="AK31" s="35"/>
      <c r="AL31" s="66"/>
      <c r="AM31" s="66"/>
      <c r="AN31" s="66"/>
      <c r="AO31" s="66"/>
      <c r="AP31" s="67"/>
      <c r="AQ31" s="37" t="n">
        <f aca="false">SUMPRODUCT(--WEEKDAY(C$3:AG$3,2)&lt;6,--((C31:AG31="DM"))+(C31:AG31="CS1")+((C31:AG31="CS2"))+(C31:AG31="SB1")+(C31:AG31="AE")+(C31:AG31="EM"))</f>
        <v>0</v>
      </c>
      <c r="AR31" s="38"/>
      <c r="AS31" s="38" t="n">
        <f aca="false">SUMPRODUCT(--WEEKDAY(C$3:AG$3,2)&gt;5,--((C31:AG31="DM"))+(C31:AG31="CS1")+((C31:AG31="CS2"))+(C31:AG31="SB1")+(C31:AG31="AE")+(C31:AG31="EM"))</f>
        <v>2</v>
      </c>
      <c r="AT31" s="67"/>
      <c r="AU31" s="38" t="n">
        <f aca="false">(AQ31-AR31)/2+(AS31-AT31)</f>
        <v>2</v>
      </c>
      <c r="AV31" s="38" t="n">
        <f aca="false">AI31+AJ31+AK31+AL31+AN31+AO31</f>
        <v>0</v>
      </c>
      <c r="AW31" s="38" t="n">
        <f aca="false">BG31+BH31+BJ31+BE31+BC31+BA31+BL31</f>
        <v>7</v>
      </c>
      <c r="AX31" s="38" t="e">
        <f aca="false">AU31+AY31</f>
        <v>#VALUE!</v>
      </c>
      <c r="AY31" s="37" t="e">
        <f aca="false">(BJ31*('Setting key Duty'!$I$8+'Setting key Duty'!$I$12))+(BH31*'Setting key Duty'!$I$9)+(BC31*('Setting key Duty'!$I$13+'Setting key Duty'!$I$9))+(BA31*('Setting key Duty'!$I$13+'Setting key Duty'!$I$12+'Setting key Duty'!$I$11))+(BE31*('Setting key Duty'!$I$8+'Setting key Duty'!$I$9+'Setting key Duty'!$I$12))</f>
        <v>#VALUE!</v>
      </c>
      <c r="AZ31" s="37" t="n">
        <f aca="false">COUNTIF(C31:Y31,"*BRT*")</f>
        <v>0</v>
      </c>
      <c r="BA31" s="37" t="n">
        <f aca="false">COUNTIF(A31:AI31,"*$BTP*")</f>
        <v>0</v>
      </c>
      <c r="BB31" s="37" t="e">
        <f aca="false">BA31*('Setting key Duty'!$I$13+'Setting key Duty'!$I$12+'Setting key Duty'!$I$11)</f>
        <v>#VALUE!</v>
      </c>
      <c r="BC31" s="37" t="n">
        <f aca="false">COUNTIF(D31:AI31,"*$L*")</f>
        <v>0</v>
      </c>
      <c r="BD31" s="37" t="e">
        <f aca="false">BC31*('Setting key Duty'!$I$13+'Setting key Duty'!$I$9)</f>
        <v>#VALUE!</v>
      </c>
      <c r="BE31" s="37" t="n">
        <f aca="false">COUNTIF(D31:AI31,"*$M*")</f>
        <v>0</v>
      </c>
      <c r="BF31" s="37" t="n">
        <f aca="false">BE31*('Setting key Duty'!$I$8+'Setting key Duty'!$I$9+'Setting key Duty'!$I$12)</f>
        <v>0</v>
      </c>
      <c r="BG31" s="37" t="n">
        <f aca="false">COUNTIF(D31:AI31,"*$N*")</f>
        <v>0</v>
      </c>
      <c r="BH31" s="37" t="n">
        <f aca="false">COUNTIF(D31:AI31,"*$PM*")</f>
        <v>7</v>
      </c>
      <c r="BI31" s="37" t="n">
        <f aca="false">BH31*('Setting key Duty'!$I$9)</f>
        <v>0.875</v>
      </c>
      <c r="BJ31" s="37" t="n">
        <f aca="false">COUNTIF(D31:AI31,"*$AM*")</f>
        <v>0</v>
      </c>
      <c r="BK31" s="37" t="n">
        <f aca="false">BJ31*('Setting key Duty'!$I$12+'Setting key Duty'!$I$8)</f>
        <v>0</v>
      </c>
      <c r="BL31" s="37" t="n">
        <f aca="false">COUNTIF(C31:AI31,"*$FC*")</f>
        <v>0</v>
      </c>
      <c r="BM31" s="37" t="n">
        <f aca="false">BL31*('Setting key Duty'!$J$11+'Setting key Duty'!$I$8)</f>
        <v>0</v>
      </c>
      <c r="BN31" s="37" t="n">
        <f aca="false">COUNTIF($C31:$AG31,BN$4)</f>
        <v>0</v>
      </c>
      <c r="BO31" s="37" t="n">
        <f aca="false">COUNTIF($C31:$AG31,BO$4)</f>
        <v>0</v>
      </c>
      <c r="BP31" s="37" t="n">
        <f aca="false">COUNTIF($D31:$AE31,BP$4)</f>
        <v>0</v>
      </c>
      <c r="BQ31" s="68"/>
    </row>
    <row r="32" customFormat="false" ht="19.5" hidden="false" customHeight="true" outlineLevel="0" collapsed="false">
      <c r="A32" s="30"/>
      <c r="B32" s="104" t="s">
        <v>262</v>
      </c>
      <c r="D32" s="42"/>
      <c r="E32" s="42" t="s">
        <v>93</v>
      </c>
      <c r="F32" s="45" t="s">
        <v>65</v>
      </c>
      <c r="J32" s="42" t="s">
        <v>58</v>
      </c>
      <c r="K32" s="45"/>
      <c r="L32" s="42" t="s">
        <v>65</v>
      </c>
      <c r="O32" s="42" t="s">
        <v>93</v>
      </c>
      <c r="P32" s="42" t="s">
        <v>65</v>
      </c>
      <c r="Q32" s="42"/>
      <c r="R32" s="33"/>
      <c r="S32" s="42" t="s">
        <v>65</v>
      </c>
      <c r="T32" s="42"/>
      <c r="U32" s="42" t="s">
        <v>65</v>
      </c>
      <c r="V32" s="42"/>
      <c r="W32" s="42" t="s">
        <v>253</v>
      </c>
      <c r="X32" s="65"/>
      <c r="Y32" s="42"/>
      <c r="Z32" s="42" t="s">
        <v>65</v>
      </c>
      <c r="AA32" s="42"/>
      <c r="AB32" s="42" t="s">
        <v>65</v>
      </c>
      <c r="AC32" s="42" t="s">
        <v>93</v>
      </c>
      <c r="AD32" s="32"/>
      <c r="AE32" s="32" t="s">
        <v>65</v>
      </c>
      <c r="AG32" s="42"/>
      <c r="AH32" s="42"/>
      <c r="AI32" s="35"/>
      <c r="AJ32" s="36"/>
      <c r="AK32" s="35"/>
      <c r="AL32" s="66"/>
      <c r="AM32" s="66"/>
      <c r="AN32" s="66"/>
      <c r="AO32" s="66"/>
      <c r="AP32" s="67"/>
      <c r="AQ32" s="37" t="n">
        <f aca="false">SUMPRODUCT(--WEEKDAY(C$3:AG$3,2)&lt;6,--((C32:AG32="DM"))+(C32:AG32="CS1")+((C32:AG32="CS2"))+(C32:AG32="SB1")+(C32:AG32="AE")+(C32:AG32="EM"))</f>
        <v>7</v>
      </c>
      <c r="AR32" s="38"/>
      <c r="AS32" s="38" t="n">
        <f aca="false">SUMPRODUCT(--WEEKDAY(C$3:AG$3,2)&gt;5,--((C32:AG32="DM"))+(C32:AG32="CS1")+((C32:AG32="CS2"))+(C32:AG32="SB1")+(C32:AG32="AE")+(C32:AG32="EM"))</f>
        <v>2</v>
      </c>
      <c r="AT32" s="67"/>
      <c r="AU32" s="38" t="n">
        <f aca="false">(AQ32-AR32)/2+(AS32-AT32)</f>
        <v>5.5</v>
      </c>
      <c r="AV32" s="38" t="n">
        <f aca="false">AI32+AJ32+AK32+AL32+AN32+AO32</f>
        <v>0</v>
      </c>
      <c r="AW32" s="38" t="n">
        <f aca="false">BG32+BH32+BJ32+BE32+BC32+BA32+BL32</f>
        <v>0</v>
      </c>
      <c r="AX32" s="38" t="e">
        <f aca="false">AU32+AY32</f>
        <v>#VALUE!</v>
      </c>
      <c r="AY32" s="37" t="e">
        <f aca="false">(BJ32*('Setting key Duty'!$I$8+'Setting key Duty'!$I$12))+(BH32*'Setting key Duty'!$I$9)+(BC32*('Setting key Duty'!$I$13+'Setting key Duty'!$I$9))+(BA32*('Setting key Duty'!$I$13+'Setting key Duty'!$I$12+'Setting key Duty'!$I$11))+(BE32*('Setting key Duty'!$I$8+'Setting key Duty'!$I$9+'Setting key Duty'!$I$12))</f>
        <v>#VALUE!</v>
      </c>
      <c r="AZ32" s="37" t="n">
        <f aca="false">COUNTIF(C32:Y32,"*BRT*")</f>
        <v>0</v>
      </c>
      <c r="BA32" s="37" t="n">
        <f aca="false">COUNTIF(A32:AI32,"*$BTP*")</f>
        <v>0</v>
      </c>
      <c r="BB32" s="37" t="e">
        <f aca="false">BA32*('Setting key Duty'!$I$13+'Setting key Duty'!$I$12+'Setting key Duty'!$I$11)</f>
        <v>#VALUE!</v>
      </c>
      <c r="BC32" s="37" t="n">
        <f aca="false">COUNTIF(D32:AI32,"*$L*")</f>
        <v>0</v>
      </c>
      <c r="BD32" s="37" t="e">
        <f aca="false">BC32*('Setting key Duty'!$I$13+'Setting key Duty'!$I$9)</f>
        <v>#VALUE!</v>
      </c>
      <c r="BE32" s="37" t="n">
        <f aca="false">COUNTIF(D32:AI32,"*$M*")</f>
        <v>0</v>
      </c>
      <c r="BF32" s="37" t="n">
        <f aca="false">BE32*('Setting key Duty'!$I$8+'Setting key Duty'!$I$9+'Setting key Duty'!$I$12)</f>
        <v>0</v>
      </c>
      <c r="BG32" s="37" t="n">
        <f aca="false">COUNTIF(D32:AI32,"*$N*")</f>
        <v>0</v>
      </c>
      <c r="BH32" s="37" t="n">
        <f aca="false">COUNTIF(D32:AI32,"*$PM*")</f>
        <v>0</v>
      </c>
      <c r="BI32" s="37" t="n">
        <f aca="false">BH32*('Setting key Duty'!$I$9)</f>
        <v>0</v>
      </c>
      <c r="BJ32" s="37" t="n">
        <f aca="false">COUNTIF(D32:AI32,"*$AM*")</f>
        <v>0</v>
      </c>
      <c r="BK32" s="37" t="n">
        <f aca="false">BJ32*('Setting key Duty'!$I$12+'Setting key Duty'!$I$8)</f>
        <v>0</v>
      </c>
      <c r="BL32" s="37" t="n">
        <f aca="false">COUNTIF(C32:AI32,"*$FC*")</f>
        <v>0</v>
      </c>
      <c r="BM32" s="37" t="n">
        <f aca="false">BL32*('Setting key Duty'!$J$11+'Setting key Duty'!$I$8)</f>
        <v>0</v>
      </c>
      <c r="BN32" s="37" t="n">
        <f aca="false">COUNTIF($C32:$AG32,BN$4)</f>
        <v>0</v>
      </c>
      <c r="BO32" s="37" t="n">
        <f aca="false">COUNTIF($C32:$AG32,BO$4)</f>
        <v>0</v>
      </c>
      <c r="BP32" s="37" t="n">
        <f aca="false">COUNTIF($D32:$AE32,BP$4)</f>
        <v>0</v>
      </c>
      <c r="BQ32" s="68"/>
    </row>
    <row r="33" customFormat="false" ht="19.5" hidden="false" customHeight="true" outlineLevel="0" collapsed="false">
      <c r="A33" s="30"/>
      <c r="B33" s="104" t="s">
        <v>195</v>
      </c>
      <c r="C33" s="65"/>
      <c r="D33" s="42"/>
      <c r="E33" s="32" t="s">
        <v>339</v>
      </c>
      <c r="F33" s="32" t="s">
        <v>339</v>
      </c>
      <c r="G33" s="32" t="s">
        <v>339</v>
      </c>
      <c r="H33" s="32" t="s">
        <v>339</v>
      </c>
      <c r="I33" s="32" t="s">
        <v>339</v>
      </c>
      <c r="J33" s="42"/>
      <c r="K33" s="42"/>
      <c r="L33" s="42"/>
      <c r="M33" s="42" t="s">
        <v>93</v>
      </c>
      <c r="N33" s="32" t="s">
        <v>110</v>
      </c>
      <c r="P33" s="32" t="s">
        <v>340</v>
      </c>
      <c r="Q33" s="32"/>
      <c r="T33" s="32" t="s">
        <v>188</v>
      </c>
      <c r="U33" s="32" t="s">
        <v>341</v>
      </c>
      <c r="X33" s="98"/>
      <c r="Y33" s="32" t="s">
        <v>65</v>
      </c>
      <c r="Z33" s="107" t="s">
        <v>292</v>
      </c>
      <c r="AA33" s="32" t="s">
        <v>342</v>
      </c>
      <c r="AB33" s="42" t="s">
        <v>93</v>
      </c>
      <c r="AC33" s="32"/>
      <c r="AD33" s="32" t="s">
        <v>343</v>
      </c>
      <c r="AF33" s="32"/>
      <c r="AH33" s="33"/>
      <c r="AI33" s="35"/>
      <c r="AJ33" s="36"/>
      <c r="AK33" s="35"/>
      <c r="AL33" s="66"/>
      <c r="AM33" s="66"/>
      <c r="AN33" s="66"/>
      <c r="AO33" s="66"/>
      <c r="AP33" s="67"/>
      <c r="AQ33" s="37" t="n">
        <f aca="false">SUMPRODUCT(--WEEKDAY(C$3:AG$3,2)&lt;6,--((C33:AG33="DM"))+(C33:AG33="CS1")+((C33:AG33="CS2"))+(C33:AG33="SB1")+(C33:AG33="AE")+(C33:AG33="EM"))</f>
        <v>0</v>
      </c>
      <c r="AR33" s="38"/>
      <c r="AS33" s="38" t="n">
        <f aca="false">SUMPRODUCT(--WEEKDAY(C$3:AG$3,2)&gt;5,--((C33:AG33="DM"))+(C33:AG33="CS1")+((C33:AG33="CS2"))+(C33:AG33="SB1")+(C33:AG33="AE")+(C33:AG33="EM"))</f>
        <v>1</v>
      </c>
      <c r="AT33" s="67"/>
      <c r="AU33" s="38" t="n">
        <f aca="false">(AQ33-AR33)/2+(AS33-AT33)</f>
        <v>1</v>
      </c>
      <c r="AV33" s="38" t="n">
        <f aca="false">AI33+AJ33+AK33+AL33+AN33+AO33</f>
        <v>0</v>
      </c>
      <c r="AW33" s="38" t="n">
        <f aca="false">BG33+BH33+BJ33+BE33+BC33+BA33+BL33</f>
        <v>11</v>
      </c>
      <c r="AX33" s="38" t="e">
        <f aca="false">AU33+AY33</f>
        <v>#VALUE!</v>
      </c>
      <c r="AY33" s="37" t="e">
        <f aca="false">(BJ33*('Setting key Duty'!$I$8+'Setting key Duty'!$I$12))+(BH33*'Setting key Duty'!$I$9)+(BC33*('Setting key Duty'!$I$13+'Setting key Duty'!$I$9))+(BA33*('Setting key Duty'!$I$13+'Setting key Duty'!$I$12+'Setting key Duty'!$I$11))+(BE33*('Setting key Duty'!$I$8+'Setting key Duty'!$I$9+'Setting key Duty'!$I$12))</f>
        <v>#VALUE!</v>
      </c>
      <c r="AZ33" s="37" t="n">
        <f aca="false">COUNTIF(C33:Y33,"*BRT*")</f>
        <v>0</v>
      </c>
      <c r="BA33" s="37" t="n">
        <f aca="false">COUNTIF(A33:AI33,"*$BTP*")</f>
        <v>1</v>
      </c>
      <c r="BB33" s="37" t="e">
        <f aca="false">BA33*('Setting key Duty'!$I$13+'Setting key Duty'!$I$12+'Setting key Duty'!$I$11)</f>
        <v>#VALUE!</v>
      </c>
      <c r="BC33" s="37" t="n">
        <f aca="false">COUNTIF(D33:AI33,"*$L*")</f>
        <v>0</v>
      </c>
      <c r="BD33" s="37" t="e">
        <f aca="false">BC33*('Setting key Duty'!$I$13+'Setting key Duty'!$I$9)</f>
        <v>#VALUE!</v>
      </c>
      <c r="BE33" s="37" t="n">
        <f aca="false">COUNTIF(D33:AI33,"*$M*")</f>
        <v>3</v>
      </c>
      <c r="BF33" s="37" t="n">
        <f aca="false">BE33*('Setting key Duty'!$I$8+'Setting key Duty'!$I$9+'Setting key Duty'!$I$12)</f>
        <v>1.6875</v>
      </c>
      <c r="BG33" s="37" t="n">
        <f aca="false">COUNTIF(D33:AI33,"*$N*")</f>
        <v>0</v>
      </c>
      <c r="BH33" s="37" t="n">
        <f aca="false">COUNTIF(D33:AI33,"*$PM*")</f>
        <v>0</v>
      </c>
      <c r="BI33" s="37" t="n">
        <f aca="false">BH33*('Setting key Duty'!$I$9)</f>
        <v>0</v>
      </c>
      <c r="BJ33" s="37" t="n">
        <f aca="false">COUNTIF(D33:AI33,"*$AM*")</f>
        <v>2</v>
      </c>
      <c r="BK33" s="37" t="n">
        <f aca="false">BJ33*('Setting key Duty'!$I$12+'Setting key Duty'!$I$8)</f>
        <v>0.875</v>
      </c>
      <c r="BL33" s="37" t="n">
        <f aca="false">COUNTIF(C33:AI33,"*$FC*")</f>
        <v>5</v>
      </c>
      <c r="BM33" s="37" t="n">
        <f aca="false">BL33*('Setting key Duty'!$J$11+'Setting key Duty'!$I$8)</f>
        <v>0.625</v>
      </c>
      <c r="BN33" s="37" t="n">
        <f aca="false">COUNTIF($C33:$AG33,BN$4)</f>
        <v>0</v>
      </c>
      <c r="BO33" s="37" t="n">
        <f aca="false">COUNTIF($C33:$AG33,BO$4)</f>
        <v>0</v>
      </c>
      <c r="BP33" s="37" t="n">
        <f aca="false">COUNTIF($D33:$AE33,BP$4)</f>
        <v>0</v>
      </c>
      <c r="BQ33" s="68"/>
    </row>
    <row r="34" customFormat="false" ht="19.5" hidden="false" customHeight="true" outlineLevel="0" collapsed="false">
      <c r="A34" s="30"/>
      <c r="B34" s="64"/>
      <c r="C34" s="65"/>
      <c r="D34" s="42"/>
      <c r="J34" s="42"/>
      <c r="K34" s="45"/>
      <c r="L34" s="45"/>
      <c r="M34" s="63"/>
      <c r="N34" s="45"/>
      <c r="O34" s="45"/>
      <c r="P34" s="42"/>
      <c r="Q34" s="33"/>
      <c r="R34" s="33"/>
      <c r="T34" s="42"/>
      <c r="U34" s="42"/>
      <c r="V34" s="42"/>
      <c r="X34" s="65"/>
      <c r="Y34" s="33"/>
      <c r="Z34" s="33"/>
      <c r="AA34" s="33"/>
      <c r="AB34" s="33"/>
      <c r="AC34" s="33"/>
      <c r="AD34" s="42"/>
      <c r="AE34" s="109"/>
      <c r="AF34" s="42"/>
      <c r="AG34" s="42"/>
      <c r="AH34" s="42"/>
      <c r="AI34" s="35"/>
      <c r="AJ34" s="36"/>
      <c r="AK34" s="35"/>
      <c r="AL34" s="66"/>
      <c r="AM34" s="66"/>
      <c r="AN34" s="66"/>
      <c r="AO34" s="66"/>
      <c r="AP34" s="67"/>
      <c r="AQ34" s="37"/>
      <c r="AR34" s="67"/>
      <c r="AS34" s="38"/>
      <c r="AT34" s="67"/>
      <c r="AU34" s="38"/>
      <c r="AV34" s="38"/>
      <c r="AW34" s="38"/>
      <c r="AX34" s="38"/>
      <c r="AY34" s="37"/>
      <c r="AZ34" s="37"/>
      <c r="BA34" s="37"/>
      <c r="BB34" s="37"/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  <c r="BN34" s="37"/>
      <c r="BO34" s="37"/>
      <c r="BP34" s="37"/>
      <c r="BQ34" s="68"/>
    </row>
    <row r="35" customFormat="false" ht="19.5" hidden="false" customHeight="true" outlineLevel="0" collapsed="false">
      <c r="A35" s="30"/>
      <c r="B35" s="64" t="s">
        <v>148</v>
      </c>
      <c r="C35" s="65"/>
      <c r="D35" s="42"/>
      <c r="E35" s="42"/>
      <c r="F35" s="42"/>
      <c r="G35" s="42"/>
      <c r="H35" s="42"/>
      <c r="I35" s="42"/>
      <c r="J35" s="42"/>
      <c r="K35" s="42"/>
      <c r="L35" s="42"/>
      <c r="N35" s="42"/>
      <c r="O35" s="42"/>
      <c r="P35" s="42"/>
      <c r="Q35" s="33"/>
      <c r="R35" s="33"/>
      <c r="S35" s="42"/>
      <c r="T35" s="42"/>
      <c r="U35" s="34"/>
      <c r="V35" s="42"/>
      <c r="W35" s="42"/>
      <c r="X35" s="42"/>
      <c r="Y35" s="62"/>
      <c r="Z35" s="62"/>
      <c r="AA35" s="62"/>
      <c r="AB35" s="62"/>
      <c r="AC35" s="62"/>
      <c r="AD35" s="62"/>
      <c r="AE35" s="42"/>
      <c r="AF35" s="42"/>
      <c r="AG35" s="42"/>
      <c r="AH35" s="42"/>
      <c r="AI35" s="35" t="n">
        <f aca="false">COUNTIF($C35:$AG35,AI$4)</f>
        <v>0</v>
      </c>
      <c r="AJ35" s="36" t="n">
        <f aca="false">COUNTIF($C35:$AG35,AJ$4)</f>
        <v>0</v>
      </c>
      <c r="AK35" s="35" t="n">
        <f aca="false">COUNTIF($C35:$AG35,AK$4)</f>
        <v>0</v>
      </c>
      <c r="AL35" s="66" t="n">
        <f aca="false">COUNTIF($C35:$AG35,AL$4)</f>
        <v>0</v>
      </c>
      <c r="AM35" s="66" t="n">
        <f aca="false">COUNTIF($C35:$AG35,AM$4)</f>
        <v>0</v>
      </c>
      <c r="AN35" s="66" t="n">
        <f aca="false">COUNTIF($C35:$AG35,AN$4)</f>
        <v>0</v>
      </c>
      <c r="AO35" s="66" t="n">
        <f aca="false">COUNTIF($C35:$AG35,AO$4)</f>
        <v>0</v>
      </c>
      <c r="AP35" s="67"/>
      <c r="AQ35" s="37"/>
      <c r="AR35" s="67"/>
      <c r="AS35" s="38"/>
      <c r="AT35" s="67"/>
      <c r="AU35" s="67"/>
      <c r="AV35" s="38"/>
      <c r="AW35" s="38"/>
      <c r="AX35" s="38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66"/>
      <c r="BO35" s="66"/>
      <c r="BP35" s="66"/>
      <c r="BQ35" s="68"/>
    </row>
    <row r="36" customFormat="false" ht="19.5" hidden="false" customHeight="true" outlineLevel="0" collapsed="false">
      <c r="A36" s="30"/>
      <c r="B36" s="69"/>
      <c r="C36" s="70"/>
      <c r="D36" s="71"/>
      <c r="E36" s="71"/>
      <c r="F36" s="71"/>
      <c r="G36" s="71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  <c r="AG36" s="70"/>
      <c r="AH36" s="110"/>
      <c r="AI36" s="72"/>
      <c r="AJ36" s="73"/>
      <c r="AK36" s="72"/>
      <c r="AL36" s="74"/>
      <c r="AM36" s="74"/>
      <c r="AN36" s="74"/>
      <c r="AO36" s="74"/>
      <c r="AP36" s="75"/>
      <c r="AQ36" s="75"/>
      <c r="AR36" s="75"/>
      <c r="AS36" s="75" t="n">
        <f aca="false">SUMPRODUCT(--WEEKDAY(C$3:AG$3,2)&gt;5,--((C36:AG36="DM"))+(C36:AG36="CS1")+((C36:AG36="CS2"))+(C36:AG36="SB1")+(C36:AG36="AE")+(C36:AG36="EM"))</f>
        <v>0</v>
      </c>
      <c r="AT36" s="75"/>
      <c r="AU36" s="75" t="n">
        <f aca="false">(AQ36-AR36)/2+(AS36-AT36)</f>
        <v>0</v>
      </c>
      <c r="AV36" s="75"/>
      <c r="AW36" s="75"/>
      <c r="AX36" s="75"/>
      <c r="AY36" s="74"/>
      <c r="AZ36" s="74"/>
      <c r="BA36" s="74"/>
      <c r="BB36" s="74"/>
      <c r="BC36" s="74"/>
      <c r="BD36" s="74"/>
      <c r="BE36" s="74"/>
      <c r="BF36" s="74"/>
      <c r="BG36" s="74"/>
      <c r="BH36" s="74"/>
      <c r="BI36" s="74"/>
      <c r="BJ36" s="74"/>
      <c r="BK36" s="74"/>
      <c r="BL36" s="74"/>
      <c r="BM36" s="74"/>
      <c r="BN36" s="74"/>
      <c r="BO36" s="74"/>
      <c r="BP36" s="74"/>
      <c r="BQ36" s="76"/>
    </row>
    <row r="37" customFormat="false" ht="19.5" hidden="false" customHeight="true" outlineLevel="0" collapsed="false">
      <c r="A37" s="30"/>
      <c r="B37" s="77" t="s">
        <v>57</v>
      </c>
      <c r="C37" s="78" t="str">
        <f aca="false">VLOOKUP("DM",C4:C35,1,FALSE())</f>
        <v>DM</v>
      </c>
      <c r="D37" s="78" t="str">
        <f aca="false">VLOOKUP("DM",D4:D35,1,FALSE())</f>
        <v>DM</v>
      </c>
      <c r="E37" s="78" t="str">
        <f aca="false">VLOOKUP("DM",E1:E35,1,FALSE())</f>
        <v>DM</v>
      </c>
      <c r="F37" s="78" t="str">
        <f aca="false">VLOOKUP("DM",F4:F35,1,FALSE())</f>
        <v>DM</v>
      </c>
      <c r="G37" s="78" t="str">
        <f aca="false">VLOOKUP("DM",G4:G35,1,FALSE())</f>
        <v>DM</v>
      </c>
      <c r="H37" s="78" t="str">
        <f aca="false">VLOOKUP("DM",H4:H35,1,FALSE())</f>
        <v>DM</v>
      </c>
      <c r="I37" s="78" t="str">
        <f aca="false">VLOOKUP("DM",I4:I35,1,FALSE())</f>
        <v>DM</v>
      </c>
      <c r="J37" s="78" t="str">
        <f aca="false">VLOOKUP("DM",J4:J35,1,FALSE())</f>
        <v>DM</v>
      </c>
      <c r="K37" s="78" t="str">
        <f aca="false">VLOOKUP("DM",K4:K35,1,FALSE())</f>
        <v>DM</v>
      </c>
      <c r="L37" s="78" t="str">
        <f aca="false">VLOOKUP("DM",L4:L35,1,FALSE())</f>
        <v>DM</v>
      </c>
      <c r="M37" s="78" t="str">
        <f aca="false">VLOOKUP("DM",M4:M29,1,FALSE())</f>
        <v>DM</v>
      </c>
      <c r="N37" s="78" t="str">
        <f aca="false">VLOOKUP("DM",N4:N35,1,FALSE())</f>
        <v>DM</v>
      </c>
      <c r="O37" s="78" t="str">
        <f aca="false">VLOOKUP("DM",O4:O35,1,FALSE())</f>
        <v>DM</v>
      </c>
      <c r="P37" s="78" t="str">
        <f aca="false">VLOOKUP("DM",P4:P35,1,FALSE())</f>
        <v>DM</v>
      </c>
      <c r="Q37" s="78" t="str">
        <f aca="false">VLOOKUP("DM",Q4:Q33,1,FALSE())</f>
        <v>DM</v>
      </c>
      <c r="R37" s="78" t="str">
        <f aca="false">VLOOKUP("DM",R4:R27,1,FALSE())</f>
        <v>DM</v>
      </c>
      <c r="S37" s="78" t="str">
        <f aca="false">VLOOKUP("DM",S4:S35,1,FALSE())</f>
        <v>DM</v>
      </c>
      <c r="T37" s="78" t="str">
        <f aca="false">VLOOKUP("DM",T4:T35,1,FALSE())</f>
        <v>DM</v>
      </c>
      <c r="U37" s="78" t="str">
        <f aca="false">VLOOKUP("DM",U4:U35,1,FALSE())</f>
        <v>DM</v>
      </c>
      <c r="V37" s="78" t="str">
        <f aca="false">VLOOKUP("DM",V4:V27,1,FALSE())</f>
        <v>DM</v>
      </c>
      <c r="W37" s="78" t="str">
        <f aca="false">VLOOKUP("DM",W4:W27,1,FALSE())</f>
        <v>DM</v>
      </c>
      <c r="X37" s="78" t="str">
        <f aca="false">VLOOKUP("DM",X4:X35,1,FALSE())</f>
        <v>DM</v>
      </c>
      <c r="Y37" s="78" t="str">
        <f aca="false">VLOOKUP("DM",Y4:Y35,1,FALSE())</f>
        <v>DM</v>
      </c>
      <c r="Z37" s="78" t="str">
        <f aca="false">VLOOKUP("DM",Z4:Z35,1,FALSE())</f>
        <v>DM</v>
      </c>
      <c r="AA37" s="78" t="str">
        <f aca="false">VLOOKUP("DM",AA11:AA35,1,FALSE())</f>
        <v>DM</v>
      </c>
      <c r="AB37" s="78" t="str">
        <f aca="false">VLOOKUP("DM",AB4:AB35,1,FALSE())</f>
        <v>DM</v>
      </c>
      <c r="AC37" s="78" t="str">
        <f aca="false">VLOOKUP("DM",AC4:AC35,1,FALSE())</f>
        <v>DM</v>
      </c>
      <c r="AD37" s="78" t="str">
        <f aca="false">VLOOKUP("DM",AD4:AD35,1,FALSE())</f>
        <v>DM</v>
      </c>
      <c r="AE37" s="78" t="str">
        <f aca="false">VLOOKUP("DM",AE4:AE35,1,FALSE())</f>
        <v>DM</v>
      </c>
      <c r="AF37" s="78" t="str">
        <f aca="false">VLOOKUP("DM",AF4:AF35,1,FALSE())</f>
        <v>DM</v>
      </c>
      <c r="AG37" s="78" t="e">
        <f aca="false">VLOOKUP("DM",AG4:AG35,1,FALSE())</f>
        <v>#N/A</v>
      </c>
      <c r="AH37" s="111"/>
      <c r="AI37" s="35"/>
      <c r="AJ37" s="36"/>
      <c r="AK37" s="35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  <c r="BA37" s="37"/>
      <c r="BB37" s="37"/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7"/>
      <c r="BO37" s="37"/>
      <c r="BP37" s="37"/>
      <c r="BQ37" s="39"/>
    </row>
    <row r="38" customFormat="false" ht="19.5" hidden="false" customHeight="true" outlineLevel="0" collapsed="false">
      <c r="A38" s="30" t="e">
        <f aca="false">lte()</f>
        <v>#NAME?</v>
      </c>
      <c r="B38" s="79" t="s">
        <v>56</v>
      </c>
      <c r="C38" s="78" t="str">
        <f aca="false">VLOOKUP("CS1",C5:C35,1,FALSE())</f>
        <v>CS1</v>
      </c>
      <c r="D38" s="78" t="str">
        <f aca="false">VLOOKUP("CS1",D1:D35,1,FALSE())</f>
        <v>CS1</v>
      </c>
      <c r="E38" s="78" t="str">
        <f aca="false">VLOOKUP("CS1",E7:E35,1,FALSE())</f>
        <v>CS1</v>
      </c>
      <c r="F38" s="78" t="str">
        <f aca="false">VLOOKUP("CS1",F8:F35,1,FALSE())</f>
        <v>CS1</v>
      </c>
      <c r="G38" s="78" t="str">
        <f aca="false">VLOOKUP("CS1",G7:G35,1,FALSE())</f>
        <v>CS1</v>
      </c>
      <c r="H38" s="78" t="str">
        <f aca="false">VLOOKUP("CS1",H5:H35,1,FALSE())</f>
        <v>CS1</v>
      </c>
      <c r="I38" s="78" t="str">
        <f aca="false">VLOOKUP("CS1",I6:I35,1,FALSE())</f>
        <v>CS1</v>
      </c>
      <c r="J38" s="78" t="str">
        <f aca="false">VLOOKUP("CS1",J4:J35,1,FALSE())</f>
        <v>CS1</v>
      </c>
      <c r="K38" s="78" t="str">
        <f aca="false">VLOOKUP("CS1",K1:K35,1,FALSE())</f>
        <v>CS1</v>
      </c>
      <c r="L38" s="78" t="str">
        <f aca="false">VLOOKUP("CS1",L1:L35,1,FALSE())</f>
        <v>CS1</v>
      </c>
      <c r="M38" s="78" t="str">
        <f aca="false">VLOOKUP("CS1",M5:M29,1,FALSE())</f>
        <v>CS1</v>
      </c>
      <c r="N38" s="78" t="str">
        <f aca="false">VLOOKUP("CS1",N6:N35,1,FALSE())</f>
        <v>CS1</v>
      </c>
      <c r="O38" s="78" t="str">
        <f aca="false">VLOOKUP("CS1",O1:O35,1,FALSE())</f>
        <v>CS1</v>
      </c>
      <c r="P38" s="78" t="str">
        <f aca="false">VLOOKUP("CS1",P5:P35,1,FALSE())</f>
        <v>CS1</v>
      </c>
      <c r="Q38" s="78" t="str">
        <f aca="false">VLOOKUP("CS1",Q6:Q33,1,FALSE())</f>
        <v>CS1</v>
      </c>
      <c r="R38" s="78" t="str">
        <f aca="false">VLOOKUP("CS1",R6:R27,1,FALSE())</f>
        <v>CS1</v>
      </c>
      <c r="S38" s="78" t="str">
        <f aca="false">VLOOKUP("CS1",S7:S35,1,FALSE())</f>
        <v>CS1</v>
      </c>
      <c r="T38" s="78" t="str">
        <f aca="false">VLOOKUP("CS1",T8:T35,1,FALSE())</f>
        <v>CS1</v>
      </c>
      <c r="U38" s="78" t="str">
        <f aca="false">VLOOKUP("CS1",U6:U35,1,FALSE())</f>
        <v>CS1</v>
      </c>
      <c r="V38" s="78" t="str">
        <f aca="false">VLOOKUP("CS1",V1:V27,1,FALSE())</f>
        <v>CS1</v>
      </c>
      <c r="W38" s="78" t="str">
        <f aca="false">VLOOKUP("CS1",W1:W27,1,FALSE())</f>
        <v>CS1</v>
      </c>
      <c r="X38" s="78" t="str">
        <f aca="false">VLOOKUP("CS1",X1:X35,1,FALSE())</f>
        <v>CS1</v>
      </c>
      <c r="Y38" s="78" t="str">
        <f aca="false">VLOOKUP("CS1",Y6:Y35,1,FALSE())</f>
        <v>CS1</v>
      </c>
      <c r="Z38" s="78" t="str">
        <f aca="false">VLOOKUP("CS1",Z9:Z35,1,FALSE())</f>
        <v>CS1</v>
      </c>
      <c r="AA38" s="78" t="str">
        <f aca="false">VLOOKUP("CS1",AA1:AA35,1,FALSE())</f>
        <v>CS1</v>
      </c>
      <c r="AB38" s="78" t="str">
        <f aca="false">VLOOKUP("CS1",AB9:AB35,1,FALSE())</f>
        <v>CS1</v>
      </c>
      <c r="AC38" s="78" t="str">
        <f aca="false">VLOOKUP("CS1",AC7:AC35,1,FALSE())</f>
        <v>CS1</v>
      </c>
      <c r="AD38" s="78" t="str">
        <f aca="false">VLOOKUP("CS1",AD1:AD35,1,FALSE())</f>
        <v>CS1</v>
      </c>
      <c r="AE38" s="78" t="str">
        <f aca="false">VLOOKUP("CS1",AE7:AE35,1,FALSE())</f>
        <v>CS1</v>
      </c>
      <c r="AF38" s="78" t="str">
        <f aca="false">VLOOKUP("CS1",AF7:AF35,1,FALSE())</f>
        <v>CS1</v>
      </c>
      <c r="AG38" s="78" t="e">
        <f aca="false">VLOOKUP("CS1",AG7:AG35,1,FALSE())</f>
        <v>#N/A</v>
      </c>
      <c r="AH38" s="111"/>
      <c r="AI38" s="35"/>
      <c r="AJ38" s="36"/>
      <c r="AK38" s="35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9"/>
    </row>
    <row r="39" customFormat="false" ht="19.5" hidden="false" customHeight="true" outlineLevel="0" collapsed="false">
      <c r="A39" s="30"/>
      <c r="B39" s="80" t="s">
        <v>59</v>
      </c>
      <c r="C39" s="78" t="str">
        <f aca="false">VLOOKUP("CS2",C6:C35,1,FALSE())</f>
        <v>CS2</v>
      </c>
      <c r="D39" s="78" t="str">
        <f aca="false">VLOOKUP("CS2",D9:D35,1,FALSE())</f>
        <v>CS2</v>
      </c>
      <c r="E39" s="78" t="str">
        <f aca="false">VLOOKUP("CS2",E7:E35,1,FALSE())</f>
        <v>CS2</v>
      </c>
      <c r="F39" s="78" t="str">
        <f aca="false">VLOOKUP("CS2",F8:F35,1,FALSE())</f>
        <v>CS2</v>
      </c>
      <c r="G39" s="78" t="str">
        <f aca="false">VLOOKUP("CS2",G1:G35,1,FALSE())</f>
        <v>CS2</v>
      </c>
      <c r="H39" s="78" t="str">
        <f aca="false">VLOOKUP("CS2",H1:H35,1,FALSE())</f>
        <v>CS2</v>
      </c>
      <c r="I39" s="78" t="str">
        <f aca="false">VLOOKUP("CS2",I6:I35,1,FALSE())</f>
        <v>CS2</v>
      </c>
      <c r="J39" s="78" t="str">
        <f aca="false">VLOOKUP("CS2",J4:J35,1,FALSE())</f>
        <v>CS2</v>
      </c>
      <c r="K39" s="78" t="str">
        <f aca="false">VLOOKUP("CS2",K5:K35,1,FALSE())</f>
        <v>CS2</v>
      </c>
      <c r="L39" s="78" t="str">
        <f aca="false">VLOOKUP("CS2",L4:L35,1,FALSE())</f>
        <v>CS2</v>
      </c>
      <c r="M39" s="78" t="str">
        <f aca="false">VLOOKUP("CS2",M1:M29,1,FALSE())</f>
        <v>CS2</v>
      </c>
      <c r="N39" s="78" t="str">
        <f aca="false">VLOOKUP("CS2",N6:N35,1,FALSE())</f>
        <v>CS2</v>
      </c>
      <c r="O39" s="78" t="str">
        <f aca="false">VLOOKUP("CS2",O6:O35,1,FALSE())</f>
        <v>CS2</v>
      </c>
      <c r="P39" s="78" t="str">
        <f aca="false">VLOOKUP("CS2",P5:P35,1,FALSE())</f>
        <v>CS2</v>
      </c>
      <c r="Q39" s="78" t="str">
        <f aca="false">VLOOKUP("CS2",Q6:Q33,1,FALSE())</f>
        <v>CS2</v>
      </c>
      <c r="R39" s="78" t="str">
        <f aca="false">VLOOKUP("CS2",R6:R27,1,FALSE())</f>
        <v>CS2</v>
      </c>
      <c r="S39" s="78" t="str">
        <f aca="false">VLOOKUP("CS2",S1:S35,1,FALSE())</f>
        <v>CS2</v>
      </c>
      <c r="T39" s="78" t="str">
        <f aca="false">VLOOKUP("CS2",T1:T35,1,FALSE())</f>
        <v>CS2</v>
      </c>
      <c r="U39" s="78" t="str">
        <f aca="false">VLOOKUP("CS2",U1:U35,1,FALSE())</f>
        <v>CS2</v>
      </c>
      <c r="V39" s="78" t="str">
        <f aca="false">VLOOKUP("CS2",V1:V27,1,FALSE())</f>
        <v>CS2</v>
      </c>
      <c r="W39" s="78" t="str">
        <f aca="false">VLOOKUP("CS2",W11:W27,1,FALSE())</f>
        <v>CS2</v>
      </c>
      <c r="X39" s="78" t="str">
        <f aca="false">VLOOKUP("CS2",X8:X35,1,FALSE())</f>
        <v>CS2</v>
      </c>
      <c r="Y39" s="78" t="str">
        <f aca="false">VLOOKUP("CS2",Y6:Y35,1,FALSE())</f>
        <v>CS2</v>
      </c>
      <c r="Z39" s="78" t="str">
        <f aca="false">VLOOKUP("CS2",Z9:Z35,1,FALSE())</f>
        <v>CS2</v>
      </c>
      <c r="AA39" s="78" t="str">
        <f aca="false">VLOOKUP("CS2",AA1:AA35,1,FALSE())</f>
        <v>CS2</v>
      </c>
      <c r="AB39" s="78" t="str">
        <f aca="false">VLOOKUP("CS2",AB1:AB35,1,FALSE())</f>
        <v>CS2</v>
      </c>
      <c r="AC39" s="78" t="str">
        <f aca="false">VLOOKUP("CS2",AC7:AC35,1,FALSE())</f>
        <v>CS2</v>
      </c>
      <c r="AD39" s="78" t="str">
        <f aca="false">VLOOKUP("CS2",AD1:AD35,1,FALSE())</f>
        <v>CS2</v>
      </c>
      <c r="AE39" s="78" t="str">
        <f aca="false">VLOOKUP("CS2",AE7:AE35,1,FALSE())</f>
        <v>CS2</v>
      </c>
      <c r="AF39" s="78" t="str">
        <f aca="false">VLOOKUP("CS2",AF7:AF35,1,FALSE())</f>
        <v>CS2</v>
      </c>
      <c r="AG39" s="78" t="e">
        <f aca="false">VLOOKUP("CS2",AG7:AG35,1,FALSE())</f>
        <v>#N/A</v>
      </c>
      <c r="AH39" s="111"/>
      <c r="AI39" s="35"/>
      <c r="AJ39" s="36"/>
      <c r="AK39" s="35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9"/>
    </row>
    <row r="40" customFormat="false" ht="19.5" hidden="false" customHeight="true" outlineLevel="0" collapsed="false">
      <c r="A40" s="30"/>
      <c r="B40" s="81" t="s">
        <v>58</v>
      </c>
      <c r="C40" s="78" t="e">
        <f aca="false">VLOOKUP("SB1",C6:C35,1,FALSE())</f>
        <v>#N/A</v>
      </c>
      <c r="D40" s="78" t="str">
        <f aca="false">VLOOKUP("SB1",D3:D35,1,FALSE())</f>
        <v>SB1</v>
      </c>
      <c r="E40" s="78" t="str">
        <f aca="false">VLOOKUP("SB1",E1:E35,1,FALSE())</f>
        <v>SB1</v>
      </c>
      <c r="F40" s="78" t="str">
        <f aca="false">VLOOKUP("SB1",F8:F35,1,FALSE())</f>
        <v>SB1</v>
      </c>
      <c r="G40" s="78" t="str">
        <f aca="false">VLOOKUP("SB1",G7:G35,1,FALSE())</f>
        <v>SB1</v>
      </c>
      <c r="H40" s="78" t="str">
        <f aca="false">VLOOKUP("SB1",H8:H35,1,FALSE())</f>
        <v>SB1</v>
      </c>
      <c r="I40" s="78" t="str">
        <f aca="false">VLOOKUP("SB1",I1:I35,1,FALSE())</f>
        <v>SB1</v>
      </c>
      <c r="J40" s="78" t="str">
        <f aca="false">VLOOKUP("SB1",J4:J35,1,FALSE())</f>
        <v>SB1</v>
      </c>
      <c r="K40" s="78" t="str">
        <f aca="false">VLOOKUP("SB1",K6:K35,1,FALSE())</f>
        <v>SB1</v>
      </c>
      <c r="L40" s="78" t="str">
        <f aca="false">VLOOKUP("SB1",L8:L35,1,FALSE())</f>
        <v>SB1</v>
      </c>
      <c r="M40" s="78" t="str">
        <f aca="false">VLOOKUP("SB1",M1:M29,1,FALSE())</f>
        <v>SB1</v>
      </c>
      <c r="N40" s="78" t="str">
        <f aca="false">VLOOKUP("SB1",N6:N35,1,FALSE())</f>
        <v>SB1</v>
      </c>
      <c r="O40" s="78" t="str">
        <f aca="false">VLOOKUP("SB1",O1:O35,1,FALSE())</f>
        <v>SB1</v>
      </c>
      <c r="P40" s="78" t="e">
        <f aca="false">VLOOKUP("SB1",P5:P35,1,FALSE())</f>
        <v>#N/A</v>
      </c>
      <c r="Q40" s="78" t="str">
        <f aca="false">VLOOKUP("SB1",Q1:Q33,1,FALSE())</f>
        <v>SB1</v>
      </c>
      <c r="R40" s="78" t="str">
        <f aca="false">VLOOKUP("SB1",R6:R27,1,FALSE())</f>
        <v>SB1</v>
      </c>
      <c r="S40" s="78" t="str">
        <f aca="false">VLOOKUP("SB1",S1:S35,1,FALSE())</f>
        <v>SB1</v>
      </c>
      <c r="T40" s="78" t="str">
        <f aca="false">VLOOKUP("SB1",T8:T35,1,FALSE())</f>
        <v>SB1</v>
      </c>
      <c r="U40" s="78" t="str">
        <f aca="false">VLOOKUP("SB1",U1:U35,1,FALSE())</f>
        <v>SB1</v>
      </c>
      <c r="V40" s="78" t="str">
        <f aca="false">VLOOKUP("SB1",V9:V27,1,FALSE())</f>
        <v>SB1</v>
      </c>
      <c r="W40" s="78" t="str">
        <f aca="false">VLOOKUP("SB1",W5:W27,1,FALSE())</f>
        <v>SB1</v>
      </c>
      <c r="X40" s="78" t="str">
        <f aca="false">VLOOKUP("SB1",X6:X35,1,FALSE())</f>
        <v>SB1</v>
      </c>
      <c r="Y40" s="78" t="str">
        <f aca="false">VLOOKUP("SB1",Y1:Y35,1,FALSE())</f>
        <v>SB1</v>
      </c>
      <c r="Z40" s="78" t="str">
        <f aca="false">VLOOKUP("SB1",Z9:Z35,1,FALSE())</f>
        <v>SB1</v>
      </c>
      <c r="AA40" s="78" t="str">
        <f aca="false">VLOOKUP("SB1",AA11:AA35,1,FALSE())</f>
        <v>SB1</v>
      </c>
      <c r="AB40" s="78" t="str">
        <f aca="false">VLOOKUP("SB1",AB1:AB35,1,FALSE())</f>
        <v>SB1</v>
      </c>
      <c r="AC40" s="78" t="str">
        <f aca="false">VLOOKUP("SB1",AC1:AC35,1,FALSE())</f>
        <v>SB1</v>
      </c>
      <c r="AD40" s="78" t="e">
        <f aca="false">VLOOKUP("SB1",AD6:AD35,1,FALSE())</f>
        <v>#N/A</v>
      </c>
      <c r="AE40" s="78" t="e">
        <f aca="false">VLOOKUP("SB1",AE7:AE35,1,FALSE())</f>
        <v>#N/A</v>
      </c>
      <c r="AF40" s="78" t="str">
        <f aca="false">VLOOKUP("SB1",AF5:AF35,1,FALSE())</f>
        <v>SB1</v>
      </c>
      <c r="AG40" s="78" t="e">
        <f aca="false">VLOOKUP("SB1",AG7:AG35,1,FALSE())</f>
        <v>#N/A</v>
      </c>
      <c r="AH40" s="111"/>
      <c r="AI40" s="35"/>
      <c r="AJ40" s="36"/>
      <c r="AK40" s="35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  <c r="BA40" s="37"/>
      <c r="BB40" s="37"/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  <c r="BN40" s="37"/>
      <c r="BO40" s="37"/>
      <c r="BP40" s="37"/>
      <c r="BQ40" s="39"/>
    </row>
    <row r="41" customFormat="false" ht="19.5" hidden="false" customHeight="true" outlineLevel="0" collapsed="false">
      <c r="A41" s="30"/>
      <c r="B41" s="82" t="s">
        <v>93</v>
      </c>
      <c r="C41" s="78" t="e">
        <f aca="false">VLOOKUP("SB2",C6:C35,1,FALSE())</f>
        <v>#N/A</v>
      </c>
      <c r="D41" s="78" t="e">
        <f aca="false">VLOOKUP("SB2",D9:D35,1,FALSE())</f>
        <v>#N/A</v>
      </c>
      <c r="E41" s="78" t="str">
        <f aca="false">VLOOKUP("SB2",E7:E35,1,FALSE())</f>
        <v>SB2</v>
      </c>
      <c r="F41" s="78" t="str">
        <f aca="false">VLOOKUP("SB2",F1:F35,1,FALSE())</f>
        <v>SB2</v>
      </c>
      <c r="G41" s="78" t="str">
        <f aca="false">VLOOKUP("SB2",G7:G35,1,FALSE())</f>
        <v>SB2</v>
      </c>
      <c r="H41" s="78" t="str">
        <f aca="false">VLOOKUP("SB2",H8:H35,1,FALSE())</f>
        <v>SB2</v>
      </c>
      <c r="I41" s="78" t="str">
        <f aca="false">VLOOKUP("SB2",I6:I35,1,FALSE())</f>
        <v>SB2</v>
      </c>
      <c r="J41" s="78" t="e">
        <f aca="false">VLOOKUP("SB2",J4:J35,1,FALSE())</f>
        <v>#N/A</v>
      </c>
      <c r="K41" s="78" t="e">
        <f aca="false">VLOOKUP("SB2",K6:K35,1,FALSE())</f>
        <v>#N/A</v>
      </c>
      <c r="L41" s="78" t="str">
        <f aca="false">VLOOKUP("SB2",L11:L35,1,FALSE())</f>
        <v>SB2</v>
      </c>
      <c r="M41" s="78" t="str">
        <f aca="false">VLOOKUP("SB2",M8:M39,1,FALSE())</f>
        <v>SB2</v>
      </c>
      <c r="N41" s="78" t="str">
        <f aca="false">VLOOKUP("SB2",N6:N35,1,FALSE())</f>
        <v>SB2</v>
      </c>
      <c r="O41" s="78" t="str">
        <f aca="false">VLOOKUP("SB2",O8:O35,1,FALSE())</f>
        <v>SB2</v>
      </c>
      <c r="P41" s="78" t="str">
        <f aca="false">VLOOKUP("SB2",P8:P35,1,FALSE())</f>
        <v>SB2</v>
      </c>
      <c r="Q41" s="78" t="e">
        <f aca="false">VLOOKUP("SB2",Q10:Q33,1,FALSE())</f>
        <v>#N/A</v>
      </c>
      <c r="R41" s="78" t="e">
        <f aca="false">VLOOKUP("SB2",R6:R33,1,FALSE())</f>
        <v>#N/A</v>
      </c>
      <c r="S41" s="78" t="str">
        <f aca="false">VLOOKUP("SB2",S12:S35,1,FALSE())</f>
        <v>SB2</v>
      </c>
      <c r="T41" s="78" t="str">
        <f aca="false">VLOOKUP("SB2",T8:T35,1,FALSE())</f>
        <v>SB2</v>
      </c>
      <c r="U41" s="78" t="str">
        <f aca="false">VLOOKUP("SB2",U9:U35,1,FALSE())</f>
        <v>SB2</v>
      </c>
      <c r="V41" s="78" t="str">
        <f aca="false">VLOOKUP("SB2",V5:V35,1,FALSE())</f>
        <v>SB2</v>
      </c>
      <c r="W41" s="78" t="str">
        <f aca="false">VLOOKUP("SB2",W11:W32,1,FALSE())</f>
        <v>SB2</v>
      </c>
      <c r="X41" s="78" t="e">
        <f aca="false">VLOOKUP("SB2",X8:X35,1,FALSE())</f>
        <v>#N/A</v>
      </c>
      <c r="Y41" s="78" t="e">
        <f aca="false">VLOOKUP("SB2",Y6:Y35,1,FALSE())</f>
        <v>#N/A</v>
      </c>
      <c r="Z41" s="78" t="str">
        <f aca="false">VLOOKUP("SB2",Z9:Z35,1,FALSE())</f>
        <v>SB2</v>
      </c>
      <c r="AA41" s="78" t="str">
        <f aca="false">VLOOKUP("SB2",AA11:AA35,1,FALSE())</f>
        <v>SB2</v>
      </c>
      <c r="AB41" s="78" t="str">
        <f aca="false">VLOOKUP("SB2",AB9:AB35,1,FALSE())</f>
        <v>SB2</v>
      </c>
      <c r="AC41" s="78" t="str">
        <f aca="false">VLOOKUP("SB2",AC11:AC35,1,FALSE())</f>
        <v>SB2</v>
      </c>
      <c r="AD41" s="78" t="e">
        <f aca="false">VLOOKUP("SB2",AD6:AD35,1,FALSE())</f>
        <v>#N/A</v>
      </c>
      <c r="AE41" s="78" t="e">
        <f aca="false">VLOOKUP("SB2",AE7:AE35,1,FALSE())</f>
        <v>#N/A</v>
      </c>
      <c r="AF41" s="78" t="e">
        <f aca="false">VLOOKUP("SB2",AF7:AF35,1,FALSE())</f>
        <v>#N/A</v>
      </c>
      <c r="AG41" s="78" t="e">
        <f aca="false">VLOOKUP("SB2",AG7:AG35,1,FALSE())</f>
        <v>#N/A</v>
      </c>
      <c r="AH41" s="111"/>
      <c r="AI41" s="35"/>
      <c r="AJ41" s="36"/>
      <c r="AK41" s="35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  <c r="BA41" s="37"/>
      <c r="BB41" s="37"/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  <c r="BN41" s="37"/>
      <c r="BO41" s="37"/>
      <c r="BP41" s="37"/>
      <c r="BQ41" s="39"/>
    </row>
    <row r="42" customFormat="false" ht="19.5" hidden="false" customHeight="true" outlineLevel="0" collapsed="false">
      <c r="A42" s="30"/>
      <c r="B42" s="83" t="s">
        <v>65</v>
      </c>
      <c r="C42" s="78" t="str">
        <f aca="false">VLOOKUP("AE",C6:C35,1,FALSE())</f>
        <v>AE</v>
      </c>
      <c r="D42" s="78" t="str">
        <f aca="false">VLOOKUP("AE",D9:D35,1,FALSE())</f>
        <v>AE</v>
      </c>
      <c r="E42" s="78" t="str">
        <f aca="false">VLOOKUP("AE",E7:E35,1,FALSE())</f>
        <v>AE</v>
      </c>
      <c r="F42" s="78" t="str">
        <f aca="false">VLOOKUP("AE",F1:F35,1,FALSE())</f>
        <v>AE</v>
      </c>
      <c r="G42" s="78" t="str">
        <f aca="false">VLOOKUP("AE",G7:G35,1,FALSE())</f>
        <v>AE</v>
      </c>
      <c r="H42" s="78" t="str">
        <f aca="false">VLOOKUP("AE",H8:H35,1,FALSE())</f>
        <v>AE</v>
      </c>
      <c r="I42" s="78" t="e">
        <f aca="false">VLOOKUP("AE",I6:I35,1,FALSE())</f>
        <v>#N/A</v>
      </c>
      <c r="J42" s="78" t="str">
        <f aca="false">VLOOKUP("AE",J4:J35,1,FALSE())</f>
        <v>AE</v>
      </c>
      <c r="K42" s="78" t="str">
        <f aca="false">VLOOKUP("AE",K6:K35,1,FALSE())</f>
        <v>AE</v>
      </c>
      <c r="L42" s="78" t="str">
        <f aca="false">VLOOKUP("AE",L11:L35,1,FALSE())</f>
        <v>AE</v>
      </c>
      <c r="M42" s="78" t="str">
        <f aca="false">VLOOKUP("AE",M8:M39,1,FALSE())</f>
        <v>AE</v>
      </c>
      <c r="N42" s="78" t="str">
        <f aca="false">VLOOKUP("AE",N6:N35,1,FALSE())</f>
        <v>AE</v>
      </c>
      <c r="O42" s="78" t="e">
        <f aca="false">VLOOKUP("AE",O8:O35,1,FALSE())</f>
        <v>#N/A</v>
      </c>
      <c r="P42" s="78" t="str">
        <f aca="false">VLOOKUP("AE",P8:P35,1,FALSE())</f>
        <v>AE</v>
      </c>
      <c r="Q42" s="78" t="str">
        <f aca="false">VLOOKUP("AE",Q10:Q33,1,FALSE())</f>
        <v>AE</v>
      </c>
      <c r="R42" s="78" t="str">
        <f aca="false">VLOOKUP("AE",R6:R33,1,FALSE())</f>
        <v>AE</v>
      </c>
      <c r="S42" s="78" t="str">
        <f aca="false">VLOOKUP("AE",S12:S35,1,FALSE())</f>
        <v>AE</v>
      </c>
      <c r="T42" s="78" t="str">
        <f aca="false">VLOOKUP("AE",T8:T35,1,FALSE())</f>
        <v>AE</v>
      </c>
      <c r="U42" s="78" t="str">
        <f aca="false">VLOOKUP("AE",U9:U35,1,FALSE())</f>
        <v>AE</v>
      </c>
      <c r="V42" s="78" t="str">
        <f aca="false">VLOOKUP("AE",V9:V37,1,FALSE())</f>
        <v>AE</v>
      </c>
      <c r="W42" s="78" t="str">
        <f aca="false">VLOOKUP("AE",W11:W35,1,FALSE())</f>
        <v>AE</v>
      </c>
      <c r="X42" s="78" t="str">
        <f aca="false">VLOOKUP("AE",X8:X35,1,FALSE())</f>
        <v>AE</v>
      </c>
      <c r="Y42" s="78" t="str">
        <f aca="false">VLOOKUP("AE",Y6:Y35,1,FALSE())</f>
        <v>AE</v>
      </c>
      <c r="Z42" s="78" t="str">
        <f aca="false">VLOOKUP("AE",Z9:Z35,1,FALSE())</f>
        <v>AE</v>
      </c>
      <c r="AA42" s="78" t="str">
        <f aca="false">VLOOKUP("AE",AA11:AA35,1,FALSE())</f>
        <v>AE</v>
      </c>
      <c r="AB42" s="78" t="str">
        <f aca="false">VLOOKUP("AE",AB9:AB35,1,FALSE())</f>
        <v>AE</v>
      </c>
      <c r="AC42" s="78" t="str">
        <f aca="false">VLOOKUP("AE",AC11:AC35,1,FALSE())</f>
        <v>AE</v>
      </c>
      <c r="AD42" s="78" t="str">
        <f aca="false">VLOOKUP("AE",AD6:AD35,1,FALSE())</f>
        <v>AE</v>
      </c>
      <c r="AE42" s="78" t="str">
        <f aca="false">VLOOKUP("AE",AE7:AE35,1,FALSE())</f>
        <v>AE</v>
      </c>
      <c r="AF42" s="78" t="str">
        <f aca="false">VLOOKUP("AE",AF7:AF35,1,FALSE())</f>
        <v>AE</v>
      </c>
      <c r="AG42" s="78" t="e">
        <f aca="false">VLOOKUP("AE",AG7:AG35,1,FALSE())</f>
        <v>#N/A</v>
      </c>
      <c r="AH42" s="111"/>
      <c r="AI42" s="35"/>
      <c r="AJ42" s="36"/>
      <c r="AK42" s="35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  <c r="BA42" s="37"/>
      <c r="BB42" s="37"/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  <c r="BN42" s="37"/>
      <c r="BO42" s="37"/>
      <c r="BP42" s="37"/>
      <c r="BQ42" s="39"/>
    </row>
  </sheetData>
  <mergeCells count="1">
    <mergeCell ref="C1:S1"/>
  </mergeCells>
  <conditionalFormatting sqref="T18">
    <cfRule type="expression" priority="2" aboveAverage="0" equalAverage="0" bottom="0" percent="0" rank="0" text="" dxfId="21">
      <formula>WEEKDAY(U$3,2)&gt;5</formula>
    </cfRule>
    <cfRule type="expression" priority="3" aboveAverage="0" equalAverage="0" bottom="0" percent="0" rank="0" text="" dxfId="21">
      <formula>WEEKDAY(V$3,2)&gt;5</formula>
    </cfRule>
  </conditionalFormatting>
  <conditionalFormatting sqref="X27">
    <cfRule type="expression" priority="4" aboveAverage="0" equalAverage="0" bottom="0" percent="0" rank="0" text="" dxfId="21">
      <formula>WEEKDAY(AA$3,2)&gt;5</formula>
    </cfRule>
    <cfRule type="expression" priority="5" aboveAverage="0" equalAverage="0" bottom="0" percent="0" rank="0" text="" dxfId="21">
      <formula>WEEKDAY(Z$3,2)&gt;5</formula>
    </cfRule>
  </conditionalFormatting>
  <conditionalFormatting sqref="AF27">
    <cfRule type="expression" priority="6" aboveAverage="0" equalAverage="0" bottom="0" percent="0" rank="0" text="" dxfId="21">
      <formula>WEEKDAY(AG$3,2)&gt;5</formula>
    </cfRule>
    <cfRule type="expression" priority="7" aboveAverage="0" equalAverage="0" bottom="0" percent="0" rank="0" text="" dxfId="21">
      <formula>WEEKDAY(AF$3,2)&gt;5</formula>
    </cfRule>
  </conditionalFormatting>
  <conditionalFormatting sqref="H10">
    <cfRule type="expression" priority="8" aboveAverage="0" equalAverage="0" bottom="0" percent="0" rank="0" text="" dxfId="21">
      <formula>WEEKDAY(H$3,2)&gt;5</formula>
    </cfRule>
  </conditionalFormatting>
  <conditionalFormatting sqref="D15">
    <cfRule type="expression" priority="9" aboveAverage="0" equalAverage="0" bottom="0" percent="0" rank="0" text="" dxfId="21">
      <formula>WEEKDAY(E$3,2)&gt;5</formula>
    </cfRule>
  </conditionalFormatting>
  <conditionalFormatting sqref="K32 C8:C9 E11:F11 C12 F15 C19 F22 C24">
    <cfRule type="expression" priority="10" aboveAverage="0" equalAverage="0" bottom="0" percent="0" rank="0" text="" dxfId="21">
      <formula>WEEKDAY(E$3,2)&gt;5</formula>
    </cfRule>
  </conditionalFormatting>
  <conditionalFormatting sqref="S9 P10 O17 Q33">
    <cfRule type="expression" priority="11" aboveAverage="0" equalAverage="0" bottom="0" percent="0" rank="0" text="" dxfId="21">
      <formula>WEEKDAY(N$3,2)&gt;5</formula>
    </cfRule>
    <cfRule type="expression" priority="12" aboveAverage="0" equalAverage="0" bottom="0" percent="0" rank="0" text="" dxfId="21">
      <formula>WEEKDAY(M$3,2)&gt;5</formula>
    </cfRule>
  </conditionalFormatting>
  <conditionalFormatting sqref="H5 O5:O8 V5:V7 N5:N7 G8:H9 J8:M8 F12:K12 L5:L27 M5:M13 C5:C22 Q5:Q29 E18:G18 H7:H27 K5:K22 E5:E27 F7:F27 G5:G21 K20:O20 I5:J27 O13:O27 U20:U24 AA15:AA30 C24:C27 D5:D26 S21:S27 W25:Z25 E26:M27 N26:R26 T26:U27 N19:N29 P7:P28 M30:M31 N31 K32:L32 E33:I33 F5 P5 R5:R27 S5:S7 T5 W5:W17 X5:Y27 Z5 AA5:AA13 AB5:AB9 AC5:AC13 AD5:AF33 AG5:AG27 AH5 U6:U7 T7 Z7:Z25 AH7:AH27 N9:N17 S9:S19 T9:T23 V9:V27 O10:O11 U11:U18 AB12:AB27 M15:M27 AC15:AC29 W19:W27 G23:G27 K24:K27 Z27 D29 F29:F30 I29:I30 L29 O29:O30 R29:T29 V29 X29 Y29:Z30 AB29 AH29 E30 G30:H30 U30:U31 J31:J32 P31 W31 AB31:AB34 AA32:AA34 AC32:AC34 N33:Q33 S33:U33 X33 Y33:Z34 U35">
    <cfRule type="cellIs" priority="13" operator="equal" aboveAverage="0" equalAverage="0" bottom="0" percent="0" rank="0" text="" dxfId="23">
      <formula>"B"</formula>
    </cfRule>
    <cfRule type="cellIs" priority="14" operator="equal" aboveAverage="0" equalAverage="0" bottom="0" percent="0" rank="0" text="" dxfId="23">
      <formula>"AL"</formula>
    </cfRule>
    <cfRule type="cellIs" priority="15" operator="equal" aboveAverage="0" equalAverage="0" bottom="0" percent="0" rank="0" text="" dxfId="24">
      <formula>"DM"</formula>
    </cfRule>
    <cfRule type="cellIs" priority="16" operator="equal" aboveAverage="0" equalAverage="0" bottom="0" percent="0" rank="0" text="" dxfId="25">
      <formula>"CS1"</formula>
    </cfRule>
    <cfRule type="cellIs" priority="17" operator="equal" aboveAverage="0" equalAverage="0" bottom="0" percent="0" rank="0" text="" dxfId="26">
      <formula>"CS2"</formula>
    </cfRule>
    <cfRule type="cellIs" priority="18" operator="equal" aboveAverage="0" equalAverage="0" bottom="0" percent="0" rank="0" text="" dxfId="27">
      <formula>"SB1"</formula>
    </cfRule>
    <cfRule type="cellIs" priority="19" operator="equal" aboveAverage="0" equalAverage="0" bottom="0" percent="0" rank="0" text="" dxfId="28">
      <formula>"SB2"</formula>
    </cfRule>
    <cfRule type="cellIs" priority="20" operator="equal" aboveAverage="0" equalAverage="0" bottom="0" percent="0" rank="0" text="" dxfId="29">
      <formula>"AE"</formula>
    </cfRule>
    <cfRule type="cellIs" priority="21" operator="equal" aboveAverage="0" equalAverage="0" bottom="0" percent="0" rank="0" text="" dxfId="23">
      <formula>"DB"</formula>
    </cfRule>
    <cfRule type="containsText" priority="22" operator="containsText" aboveAverage="0" equalAverage="0" bottom="0" percent="0" rank="0" text="$AM" dxfId="30">
      <formula>NOT(ISERROR(SEARCH("$AM",C5)))</formula>
    </cfRule>
    <cfRule type="containsText" priority="23" operator="containsText" aboveAverage="0" equalAverage="0" bottom="0" percent="0" rank="0" text="$PM" dxfId="31">
      <formula>NOT(ISERROR(SEARCH("$PM",C5)))</formula>
    </cfRule>
    <cfRule type="containsText" priority="24" operator="containsText" aboveAverage="0" equalAverage="0" bottom="0" percent="0" rank="0" text="$L" dxfId="32">
      <formula>NOT(ISERROR(SEARCH("$L",C5)))</formula>
    </cfRule>
    <cfRule type="containsText" priority="25" operator="containsText" aboveAverage="0" equalAverage="0" bottom="0" percent="0" rank="0" text="$BTP" dxfId="33">
      <formula>NOT(ISERROR(SEARCH("$BTP",C5)))</formula>
    </cfRule>
    <cfRule type="containsText" priority="26" operator="containsText" aboveAverage="0" equalAverage="0" bottom="0" percent="0" rank="0" text="$M" dxfId="34">
      <formula>NOT(ISERROR(SEARCH("$M",C5)))</formula>
    </cfRule>
    <cfRule type="containsText" priority="27" operator="containsText" aboveAverage="0" equalAverage="0" bottom="0" percent="0" rank="0" text="$N" dxfId="35">
      <formula>NOT(ISERROR(SEARCH("$N",C5)))</formula>
    </cfRule>
    <cfRule type="containsText" priority="28" operator="containsText" aboveAverage="0" equalAverage="0" bottom="0" percent="0" rank="0" text="$FC" dxfId="36">
      <formula>NOT(ISERROR(SEARCH("$FC",C5)))</formula>
    </cfRule>
    <cfRule type="containsText" priority="29" operator="containsText" aboveAverage="0" equalAverage="0" bottom="0" percent="0" rank="0" text="OAL" dxfId="37">
      <formula>NOT(ISERROR(SEARCH("OAL",C5)))</formula>
    </cfRule>
    <cfRule type="containsText" priority="30" operator="containsText" aboveAverage="0" equalAverage="0" bottom="0" percent="0" rank="0" text="S+" dxfId="38">
      <formula>NOT(ISERROR(SEARCH("S+",C5)))</formula>
    </cfRule>
    <cfRule type="containsText" priority="31" operator="containsText" aboveAverage="0" equalAverage="0" bottom="0" percent="0" rank="0" text="EX-D" dxfId="39">
      <formula>NOT(ISERROR(SEARCH("EX-D",C5)))</formula>
    </cfRule>
  </conditionalFormatting>
  <conditionalFormatting sqref="AA6 U7 AB9 F11 C12 U12:W12 Z12 T13 F15 H15 AB17 C19 T19 F22 T23 E27 T29 AA30 U33">
    <cfRule type="expression" priority="32" aboveAverage="0" equalAverage="0" bottom="0" percent="0" rank="0" text="" dxfId="21">
      <formula>WEEKDAY(AC$3,2)&gt;5</formula>
    </cfRule>
  </conditionalFormatting>
  <conditionalFormatting sqref="G5 AA6 U7 AB9 P10 U12:W12 Z12 AB12 T13 H15 AB17 F18:G18 AA18 T19 O23 T23 G25 P25 E27 G27 F29 T29 AA30 U33 U35">
    <cfRule type="expression" priority="33" aboveAverage="0" equalAverage="0" bottom="0" percent="0" rank="0" text="" dxfId="21">
      <formula>WEEKDAY(H$3,2)&gt;5</formula>
    </cfRule>
  </conditionalFormatting>
  <conditionalFormatting sqref="C5:C22 D5:D26 E5:E27 F5 G5:G21 H5 I5:J27 K5:K22 L5:L27 M5:M13 N5:N7 O5:O8 P5 Q5:Q29 S5:S7 T5 V5:V7 W5:W17 X5:Y27 Z5 AA5:AA13 AB5:AB9 AC5:AC13 AD5:AF33 AG5:AG27 AH5 R6:R27 U6:U7 F7:F27 H7:H27 P7:P29 T7 Z7:Z25 AH7:AH27 N9:N17 S9:S19 T9:T23 V9:V27 O10:O11 U11:U18 AB12:AB27 O13:O27 M15:M27 AA15:AA30 AC15:AC29 N19:N29 W19:W27 U20:U24 S21:S27 G23:G27 C24:C27 K24:K27 T26:U27 Z27 D29 F29:F30 I29:I30 L29 O29:O30 R29:T29 V29 X29 Y29:Z30 AB29 AH29 E30 G30:H30 M30:M31 U30:U31 J31:J32 N31 P31 W31 AB31:AB34 K32:L32 AA32:AA34 AC32:AC34 E33:I33 N33:Q33 S33:U33 X33 Y33:Z34 U35">
    <cfRule type="containsText" priority="34" operator="containsText" aboveAverage="0" equalAverage="0" bottom="0" percent="0" rank="0" text="VACC" dxfId="40">
      <formula>NOT(ISERROR(SEARCH("VACC",C5)))</formula>
    </cfRule>
  </conditionalFormatting>
  <conditionalFormatting sqref="D5:D7 F5 H5 L5:L27 M5:M13 N5:N7 O5:O8 P5 S5:S7 T5 V5 W5:W17 X5:Y27 Z5 AA5:AA13 AB5:AB9 AC5:AC13 AD5:AE33 AF5:AF12 AG5:AG14 AH5 Q6 R6:R27 U6:U7 H7:H27 P7:P29 T7 V7 Z7:Z25 AH7:AH14 Q8:Q24 N9:N17 S9:S19 T9:T23 V9:V27 O10:O11 U11:U18 AB12:AB27 O13:O27 AF14:AF33 M15:M27 AA15:AA30 AC15:AC29 AG16:AH27 N19:N29 W19:W27 U20:U24 S21:S27 G23:G27 K24:K27 Q26:Q29 T26:U27 Z27 D29 F29:F30 I29:I30 L29 O29:O30 R29:T29 V29 X29 Y29:Z30 AB29 AH29 E30 G30:H30 M30:M31 U30:U31 J31:J32 N31 P31 W31 AB31:AB34 K32:L32 AA32:AA34 AC32:AC34 E33:I33 N33:Q33 S33:U33 X33 Y33:Z34 U35 F7:F27 G8:H9 J8:M8 K5:K22 E5:E27 F12:M12 D10:D26 C5:C22 G5:G21 E18:G18 I5:J27 K20:O20 C24:C27 W25:Z25 E26:M27 P26:R26">
    <cfRule type="expression" priority="35" aboveAverage="0" equalAverage="0" bottom="0" percent="0" rank="0" text="" dxfId="21">
      <formula>WEEKDAY(#REF!,2)&gt;5</formula>
    </cfRule>
  </conditionalFormatting>
  <conditionalFormatting sqref="J4:J42 AA4:AA42 C5:I42 K5:R42 S5:S19 T5:Z42 AB5:AH42 S21:S42">
    <cfRule type="cellIs" priority="36" operator="equal" aboveAverage="0" equalAverage="0" bottom="0" percent="0" rank="0" text="" dxfId="23">
      <formula>"B"</formula>
    </cfRule>
    <cfRule type="cellIs" priority="37" operator="equal" aboveAverage="0" equalAverage="0" bottom="0" percent="0" rank="0" text="" dxfId="23">
      <formula>"AL"</formula>
    </cfRule>
    <cfRule type="cellIs" priority="38" operator="equal" aboveAverage="0" equalAverage="0" bottom="0" percent="0" rank="0" text="" dxfId="24">
      <formula>"DM"</formula>
    </cfRule>
    <cfRule type="cellIs" priority="39" operator="equal" aboveAverage="0" equalAverage="0" bottom="0" percent="0" rank="0" text="" dxfId="25">
      <formula>"CS1"</formula>
    </cfRule>
    <cfRule type="cellIs" priority="40" operator="equal" aboveAverage="0" equalAverage="0" bottom="0" percent="0" rank="0" text="" dxfId="26">
      <formula>"CS2"</formula>
    </cfRule>
    <cfRule type="cellIs" priority="41" operator="equal" aboveAverage="0" equalAverage="0" bottom="0" percent="0" rank="0" text="" dxfId="27">
      <formula>"SB1"</formula>
    </cfRule>
    <cfRule type="cellIs" priority="42" operator="equal" aboveAverage="0" equalAverage="0" bottom="0" percent="0" rank="0" text="" dxfId="28">
      <formula>"SB2"</formula>
    </cfRule>
    <cfRule type="cellIs" priority="43" operator="equal" aboveAverage="0" equalAverage="0" bottom="0" percent="0" rank="0" text="" dxfId="29">
      <formula>"AE"</formula>
    </cfRule>
  </conditionalFormatting>
  <conditionalFormatting sqref="BP5:BQ35">
    <cfRule type="cellIs" priority="44" operator="lessThan" aboveAverage="0" equalAverage="0" bottom="0" percent="0" rank="0" text="" dxfId="41">
      <formula>1</formula>
    </cfRule>
  </conditionalFormatting>
  <conditionalFormatting sqref="J4:J35 AA4:AA35 C5:I35 K5:R35 S5:S19 T5:Z35 AB5:AH35 S21:S35">
    <cfRule type="cellIs" priority="45" operator="equal" aboveAverage="0" equalAverage="0" bottom="0" percent="0" rank="0" text="" dxfId="23">
      <formula>"DB"</formula>
    </cfRule>
    <cfRule type="containsText" priority="46" operator="containsText" aboveAverage="0" equalAverage="0" bottom="0" percent="0" rank="0" text="$AM" dxfId="30">
      <formula>NOT(ISERROR(SEARCH("$AM",C4)))</formula>
    </cfRule>
    <cfRule type="containsText" priority="47" operator="containsText" aboveAverage="0" equalAverage="0" bottom="0" percent="0" rank="0" text="$PM" dxfId="31">
      <formula>NOT(ISERROR(SEARCH("$PM",C4)))</formula>
    </cfRule>
    <cfRule type="containsText" priority="48" operator="containsText" aboveAverage="0" equalAverage="0" bottom="0" percent="0" rank="0" text="$L" dxfId="32">
      <formula>NOT(ISERROR(SEARCH("$L",C4)))</formula>
    </cfRule>
    <cfRule type="containsText" priority="49" operator="containsText" aboveAverage="0" equalAverage="0" bottom="0" percent="0" rank="0" text="$BTP" dxfId="33">
      <formula>NOT(ISERROR(SEARCH("$BTP",C4)))</formula>
    </cfRule>
    <cfRule type="containsText" priority="50" operator="containsText" aboveAverage="0" equalAverage="0" bottom="0" percent="0" rank="0" text="$M" dxfId="34">
      <formula>NOT(ISERROR(SEARCH("$M",C4)))</formula>
    </cfRule>
    <cfRule type="containsText" priority="51" operator="containsText" aboveAverage="0" equalAverage="0" bottom="0" percent="0" rank="0" text="$N" dxfId="35">
      <formula>NOT(ISERROR(SEARCH("$N",C4)))</formula>
    </cfRule>
    <cfRule type="containsText" priority="52" operator="containsText" aboveAverage="0" equalAverage="0" bottom="0" percent="0" rank="0" text="$FC" dxfId="36">
      <formula>NOT(ISERROR(SEARCH("$FC",C4)))</formula>
    </cfRule>
    <cfRule type="containsText" priority="53" operator="containsText" aboveAverage="0" equalAverage="0" bottom="0" percent="0" rank="0" text="OAL" dxfId="37">
      <formula>NOT(ISERROR(SEARCH("OAL",C4)))</formula>
    </cfRule>
    <cfRule type="containsText" priority="54" operator="containsText" aboveAverage="0" equalAverage="0" bottom="0" percent="0" rank="0" text="S+" dxfId="38">
      <formula>NOT(ISERROR(SEARCH("S+",C4)))</formula>
    </cfRule>
    <cfRule type="containsText" priority="55" operator="containsText" aboveAverage="0" equalAverage="0" bottom="0" percent="0" rank="0" text="EX-D" dxfId="39">
      <formula>NOT(ISERROR(SEARCH("EX-D",C4)))</formula>
    </cfRule>
  </conditionalFormatting>
  <conditionalFormatting sqref="T2:X35 C3:S35 Y3:AH35">
    <cfRule type="expression" priority="56" aboveAverage="0" equalAverage="0" bottom="0" percent="0" rank="0" text="" dxfId="21">
      <formula>WEEKDAY(T$3,2)&gt;5</formula>
    </cfRule>
  </conditionalFormatting>
  <conditionalFormatting sqref="J4:J27 C5:C22 D5:D26 E5:E8 F5 G5:G21 H5 I5:I27 K5:K22 L5:L27 M5:M13 N5:N7 O5:O8 P5 Q5:Q29 S5:S7 T5 V5:V29 W5:W27 X5:X29 Y5:Y27 Z5 AA5:AA13 AB5:AB9 AC5:AC13 AD5:AF33 AG5:AG27 AH5 R6:R29 U6:U7 F7:F27 H7:H27 P7:P28 T7:T20 Z7:Z25 AH7:AH27 N9:N17 S9:S19 E10:E27 O10:O11 U11:U18 AB12:AB27 O13:O27 M15:M27 AA15:AA30 AC15:AC30 N19:N29 U20:U24 S21:S30 T22:T29 G23:G27 C24:C27 K24:K27 U26:U31 Z27 D29 F29:F30 I29:I30 L29 O29:O30 Y29:Z30 AB29 AH29 E30 G30:H30 M30:M31 J31:J32 N31 P31 W31 AB31:AB34 K32:L32 AA32:AA34 AC32:AC34 AG32:AH32 E33:I33 N33:U33 W33:X33 Y33:Z34 U35">
    <cfRule type="containsText" priority="57" operator="containsText" aboveAverage="0" equalAverage="0" bottom="0" percent="0" rank="0" text="VACC" dxfId="40">
      <formula>NOT(ISERROR(SEARCH("VACC",C4)))</formula>
    </cfRule>
  </conditionalFormatting>
  <dataValidations count="2">
    <dataValidation allowBlank="true" errorStyle="stop" operator="equal" showDropDown="true" showErrorMessage="false" showInputMessage="false" sqref="D5:M5 O5:O6 S5 V5:W5 Y5:Z5 AB5 AD5:AE5 AG5:AH5 C6:D6 G6:G7 I6:K7 M6:N6 Q6:R6 U6:U8 X6:Y6 AA6 AC6:AD6 AF6 C7:C10 E7:F7 N7 P7 S7 X7 Z7:AA7 AC7:AC10 AE7:AE8 AG7:AH9 E8:M8 O8:R8 W8:Y8 AB8:AB9 AF8 D9:D11 F9:K9 M9:N9 Q9:Q11 S9:T9 V9 X9 Z9 F10:F11 H10:K10 N10 P10:P11 R10:T10 V10:AA11 AD10:AE11 AH10 E11 G11:M11 O11:O12 R11:R13 T11:T13 AG11:AH13 C12:N12 S12:S14 U12:Z12 AB12:AD12 AF12 C13:C14 E13:E15 H13:H15 J13 L13:Q13 U13:V13 Y13 AB13:AE13 D14:D15 G14:G16 I14:K15 N14:Q14 U14:X14 Z14:AA14 AD14 AF14:AH14 F15:F16 L15:O15 Q15:T16 V15:AA15 AC15:AH15 C16:E16 I16 K16:N16 P16:P21 U16:AA16 AC16:AD16 AF16:AH16 C17:J17 L17:M17 O17:O19 Q17 S17:AH17 C18:I18 K18:K19 M18 Q18:T18 V18:X18 Z18:AH18 C19:J19 L19 N19 Q19:R19 T19 V19:Z19 AC19:AH19 C20:O21 R20 T20:AH20 Q21 S21:S22 U21:AH21 C22:H22 J22:R22 U22:Y22 AA22:AB22 AD22:AF22 C23:D26 F23 H23:I23 N23:O23 Q23:R23 T23 V23:AE23 AG23:AH23 E24:H24 J24:L24 O24:Q24 S24 U24:AA24 AC24:AH24 F25:H25 L25:AH25 E26:W26 Y26 AA26:AH26 C27:C29 E27:P27 R27:X27 Z27:AB27 AD27:AH27 E28:H29 J28:V28 X28 Z28:AA28 AC28:AH28 J29:M29 O29:V29 Y29:AD29 AF29 AH29 C30:O30 R30:R31 T30:V30 X30:AA30 AD30:AE30 AG30:AH32 C31:F31 I31:J31 L31:N31 P31:P34 S31:U32 W31:AF31 D32:F32 J32:L34 O32 Q32:Q33 V32:AE32 C33:I33 M33:N33 T33:U33 X33:AD33 AF33 C34:D34 N34:O34 T34:V34 X34 AD34:AH34 C35:L35 N35:P35 S35:AH35" type="list">
      <formula1>'Setting key Duty'!$B$7:$B$56</formula1>
      <formula2>0</formula2>
    </dataValidation>
    <dataValidation allowBlank="true" errorStyle="stop" operator="equal" showDropDown="true" showErrorMessage="false" showInputMessage="false" sqref="C36:AH42" type="list">
      <formula1>'Setting key Duty'!$B$7:$B$23</formula1>
      <formula2>0</formula2>
    </dataValidation>
  </dataValidation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Q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5" activeCellId="0" sqref="C5"/>
    </sheetView>
  </sheetViews>
  <sheetFormatPr defaultColWidth="12.6328125" defaultRowHeight="15.75" customHeight="true" zeroHeight="false" outlineLevelRow="0" outlineLevelCol="1"/>
  <cols>
    <col collapsed="false" customWidth="true" hidden="false" outlineLevel="0" max="1" min="1" style="0" width="2.13"/>
    <col collapsed="false" customWidth="true" hidden="false" outlineLevel="0" max="2" min="2" style="0" width="29.76"/>
    <col collapsed="false" customWidth="true" hidden="false" outlineLevel="0" max="11" min="3" style="0" width="9.24"/>
    <col collapsed="false" customWidth="true" hidden="false" outlineLevel="0" max="12" min="12" style="0" width="9.38"/>
    <col collapsed="false" customWidth="true" hidden="false" outlineLevel="0" max="13" min="13" style="0" width="10.63"/>
    <col collapsed="false" customWidth="true" hidden="false" outlineLevel="0" max="14" min="14" style="0" width="9.24"/>
    <col collapsed="false" customWidth="true" hidden="false" outlineLevel="0" max="15" min="15" style="0" width="10"/>
    <col collapsed="false" customWidth="true" hidden="false" outlineLevel="0" max="17" min="16" style="0" width="9.24"/>
    <col collapsed="false" customWidth="true" hidden="false" outlineLevel="0" max="18" min="18" style="0" width="9.63"/>
    <col collapsed="false" customWidth="true" hidden="false" outlineLevel="0" max="19" min="19" style="0" width="9.14"/>
    <col collapsed="false" customWidth="true" hidden="false" outlineLevel="0" max="26" min="20" style="0" width="9.24"/>
    <col collapsed="false" customWidth="true" hidden="false" outlineLevel="0" max="27" min="27" style="0" width="10.51"/>
    <col collapsed="false" customWidth="true" hidden="false" outlineLevel="0" max="30" min="28" style="0" width="9.24"/>
    <col collapsed="false" customWidth="true" hidden="false" outlineLevel="0" max="31" min="31" style="0" width="10.51"/>
    <col collapsed="false" customWidth="true" hidden="false" outlineLevel="0" max="32" min="32" style="0" width="9.38"/>
    <col collapsed="false" customWidth="true" hidden="false" outlineLevel="0" max="34" min="33" style="0" width="9.24"/>
    <col collapsed="false" customWidth="true" hidden="true" outlineLevel="1" max="41" min="35" style="0" width="9.38"/>
    <col collapsed="false" customWidth="true" hidden="false" outlineLevel="0" max="42" min="42" style="0" width="6.76"/>
    <col collapsed="false" customWidth="true" hidden="false" outlineLevel="1" max="43" min="43" style="0" width="8.87"/>
    <col collapsed="false" customWidth="true" hidden="false" outlineLevel="1" max="44" min="44" style="0" width="7.88"/>
    <col collapsed="false" customWidth="true" hidden="false" outlineLevel="1" max="45" min="45" style="0" width="9.14"/>
    <col collapsed="false" customWidth="true" hidden="false" outlineLevel="1" max="46" min="46" style="0" width="8.24"/>
    <col collapsed="false" customWidth="true" hidden="false" outlineLevel="1" max="47" min="47" style="0" width="5.51"/>
    <col collapsed="false" customWidth="true" hidden="false" outlineLevel="0" max="50" min="48" style="0" width="9.38"/>
    <col collapsed="false" customWidth="true" hidden="false" outlineLevel="1" max="58" min="51" style="0" width="9.38"/>
    <col collapsed="false" customWidth="true" hidden="false" outlineLevel="1" max="59" min="59" style="0" width="10"/>
    <col collapsed="false" customWidth="true" hidden="false" outlineLevel="1" max="65" min="60" style="0" width="9.38"/>
    <col collapsed="false" customWidth="true" hidden="false" outlineLevel="0" max="66" min="66" style="0" width="9.38"/>
    <col collapsed="false" customWidth="true" hidden="false" outlineLevel="0" max="67" min="67" style="0" width="9.51"/>
    <col collapsed="false" customWidth="true" hidden="false" outlineLevel="0" max="69" min="68" style="0" width="9.38"/>
  </cols>
  <sheetData>
    <row r="1" customFormat="false" ht="3" hidden="false" customHeight="true" outlineLevel="0" collapsed="false">
      <c r="A1" s="1"/>
      <c r="B1" s="2" t="s">
        <v>0</v>
      </c>
      <c r="C1" s="3" t="str">
        <f aca="false"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6"/>
    </row>
    <row r="2" customFormat="false" ht="26.25" hidden="false" customHeight="true" outlineLevel="0" collapsed="false">
      <c r="A2" s="7"/>
      <c r="B2" s="8" t="s">
        <v>1</v>
      </c>
      <c r="C2" s="9"/>
      <c r="D2" s="9" t="s">
        <v>344</v>
      </c>
      <c r="E2" s="9"/>
      <c r="F2" s="9" t="s">
        <v>273</v>
      </c>
      <c r="G2" s="9" t="s">
        <v>149</v>
      </c>
      <c r="H2" s="9" t="s">
        <v>149</v>
      </c>
      <c r="I2" s="9"/>
      <c r="J2" s="9" t="s">
        <v>345</v>
      </c>
      <c r="K2" s="9"/>
      <c r="L2" s="9"/>
      <c r="M2" s="9"/>
      <c r="N2" s="9" t="s">
        <v>346</v>
      </c>
      <c r="O2" s="9" t="s">
        <v>347</v>
      </c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11"/>
      <c r="AB2" s="9"/>
      <c r="AC2" s="9"/>
      <c r="AD2" s="9" t="s">
        <v>10</v>
      </c>
      <c r="AE2" s="9"/>
      <c r="AF2" s="9"/>
      <c r="AG2" s="9" t="s">
        <v>348</v>
      </c>
      <c r="AH2" s="93"/>
      <c r="AI2" s="12"/>
      <c r="AJ2" s="12"/>
      <c r="AK2" s="12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4" t="s">
        <v>16</v>
      </c>
      <c r="BB2" s="14"/>
      <c r="BC2" s="14" t="s">
        <v>17</v>
      </c>
      <c r="BD2" s="14"/>
      <c r="BE2" s="14" t="s">
        <v>18</v>
      </c>
      <c r="BF2" s="14"/>
      <c r="BG2" s="14"/>
      <c r="BH2" s="14" t="s">
        <v>19</v>
      </c>
      <c r="BI2" s="14"/>
      <c r="BJ2" s="14" t="s">
        <v>20</v>
      </c>
      <c r="BK2" s="14"/>
      <c r="BL2" s="14"/>
      <c r="BM2" s="14"/>
      <c r="BN2" s="13"/>
      <c r="BO2" s="13"/>
      <c r="BP2" s="13"/>
      <c r="BQ2" s="15"/>
    </row>
    <row r="3" customFormat="false" ht="26.25" hidden="false" customHeight="true" outlineLevel="0" collapsed="false">
      <c r="A3" s="7"/>
      <c r="B3" s="8" t="s">
        <v>21</v>
      </c>
      <c r="C3" s="112" t="n">
        <v>45717</v>
      </c>
      <c r="D3" s="17" t="n">
        <f aca="false">C3+1</f>
        <v>45718</v>
      </c>
      <c r="E3" s="17" t="n">
        <f aca="false">D3+1</f>
        <v>45719</v>
      </c>
      <c r="F3" s="17" t="n">
        <f aca="false">E3+1</f>
        <v>45720</v>
      </c>
      <c r="G3" s="17" t="n">
        <f aca="false">F3+1</f>
        <v>45721</v>
      </c>
      <c r="H3" s="17" t="n">
        <f aca="false">G3+1</f>
        <v>45722</v>
      </c>
      <c r="I3" s="17" t="n">
        <f aca="false">H3+1</f>
        <v>45723</v>
      </c>
      <c r="J3" s="17" t="n">
        <f aca="false">I3+1</f>
        <v>45724</v>
      </c>
      <c r="K3" s="17" t="n">
        <f aca="false">J3+1</f>
        <v>45725</v>
      </c>
      <c r="L3" s="17" t="n">
        <f aca="false">K3+1</f>
        <v>45726</v>
      </c>
      <c r="M3" s="17" t="n">
        <f aca="false">L3+1</f>
        <v>45727</v>
      </c>
      <c r="N3" s="17" t="n">
        <f aca="false">M3+1</f>
        <v>45728</v>
      </c>
      <c r="O3" s="17" t="n">
        <f aca="false">N3+1</f>
        <v>45729</v>
      </c>
      <c r="P3" s="17" t="n">
        <f aca="false">O3+1</f>
        <v>45730</v>
      </c>
      <c r="Q3" s="17" t="n">
        <f aca="false">P3+1</f>
        <v>45731</v>
      </c>
      <c r="R3" s="17" t="n">
        <f aca="false">Q3+1</f>
        <v>45732</v>
      </c>
      <c r="S3" s="17" t="n">
        <f aca="false">R3+1</f>
        <v>45733</v>
      </c>
      <c r="T3" s="17" t="n">
        <f aca="false">S3+1</f>
        <v>45734</v>
      </c>
      <c r="U3" s="17" t="n">
        <f aca="false">T3+1</f>
        <v>45735</v>
      </c>
      <c r="V3" s="17" t="n">
        <f aca="false">U3+1</f>
        <v>45736</v>
      </c>
      <c r="W3" s="17" t="n">
        <f aca="false">V3+1</f>
        <v>45737</v>
      </c>
      <c r="X3" s="17" t="n">
        <f aca="false">W3+1</f>
        <v>45738</v>
      </c>
      <c r="Y3" s="17" t="n">
        <f aca="false">X3+1</f>
        <v>45739</v>
      </c>
      <c r="Z3" s="17" t="n">
        <f aca="false">Y3+1</f>
        <v>45740</v>
      </c>
      <c r="AA3" s="17" t="n">
        <f aca="false">Z3+1</f>
        <v>45741</v>
      </c>
      <c r="AB3" s="17" t="n">
        <f aca="false">AA3+1</f>
        <v>45742</v>
      </c>
      <c r="AC3" s="17" t="n">
        <f aca="false">AB3+1</f>
        <v>45743</v>
      </c>
      <c r="AD3" s="17" t="n">
        <f aca="false">AC3+1</f>
        <v>45744</v>
      </c>
      <c r="AE3" s="17" t="n">
        <f aca="false">AD3+1</f>
        <v>45745</v>
      </c>
      <c r="AF3" s="17" t="n">
        <f aca="false">AE3+1</f>
        <v>45746</v>
      </c>
      <c r="AG3" s="113" t="n">
        <f aca="false">AF3+1</f>
        <v>45747</v>
      </c>
      <c r="AH3" s="17" t="n">
        <f aca="false">AG3+1</f>
        <v>45748</v>
      </c>
      <c r="AI3" s="18" t="str">
        <f aca="false">'Setting key Duty'!$C7</f>
        <v>DM</v>
      </c>
      <c r="AJ3" s="19" t="str">
        <f aca="false">'Setting key Duty'!$C8</f>
        <v>CS1</v>
      </c>
      <c r="AK3" s="20" t="str">
        <f aca="false">'Setting key Duty'!$C9</f>
        <v>CS2</v>
      </c>
      <c r="AL3" s="21" t="str">
        <f aca="false">'Setting key Duty'!$C11</f>
        <v>SB1</v>
      </c>
      <c r="AM3" s="21" t="str">
        <f aca="false">'Setting key Duty'!$C12</f>
        <v>SB2</v>
      </c>
      <c r="AN3" s="21" t="str">
        <f aca="false">'Setting key Duty'!$C13</f>
        <v>AE</v>
      </c>
      <c r="AO3" s="21" t="str">
        <f aca="false">'Setting key Duty'!C14</f>
        <v>EM</v>
      </c>
      <c r="AP3" s="20"/>
      <c r="AQ3" s="20" t="s">
        <v>22</v>
      </c>
      <c r="AR3" s="20" t="s">
        <v>23</v>
      </c>
      <c r="AS3" s="20" t="s">
        <v>24</v>
      </c>
      <c r="AT3" s="20" t="s">
        <v>25</v>
      </c>
      <c r="AU3" s="20" t="s">
        <v>26</v>
      </c>
      <c r="AV3" s="20" t="s">
        <v>27</v>
      </c>
      <c r="AW3" s="20" t="s">
        <v>28</v>
      </c>
      <c r="AX3" s="20" t="s">
        <v>29</v>
      </c>
      <c r="AY3" s="20" t="s">
        <v>30</v>
      </c>
      <c r="AZ3" s="20" t="s">
        <v>31</v>
      </c>
      <c r="BA3" s="21" t="s">
        <v>32</v>
      </c>
      <c r="BB3" s="20" t="s">
        <v>33</v>
      </c>
      <c r="BC3" s="21" t="s">
        <v>34</v>
      </c>
      <c r="BD3" s="20" t="s">
        <v>35</v>
      </c>
      <c r="BE3" s="21" t="s">
        <v>36</v>
      </c>
      <c r="BF3" s="20" t="s">
        <v>37</v>
      </c>
      <c r="BG3" s="20" t="s">
        <v>38</v>
      </c>
      <c r="BH3" s="20" t="s">
        <v>39</v>
      </c>
      <c r="BI3" s="20" t="s">
        <v>40</v>
      </c>
      <c r="BJ3" s="20" t="s">
        <v>41</v>
      </c>
      <c r="BK3" s="20" t="s">
        <v>42</v>
      </c>
      <c r="BL3" s="21" t="str">
        <f aca="false">'Setting key Duty'!C52</f>
        <v>Field Camp</v>
      </c>
      <c r="BM3" s="20" t="s">
        <v>43</v>
      </c>
      <c r="BN3" s="21" t="str">
        <f aca="false">'Setting key Duty'!$C15</f>
        <v>Block</v>
      </c>
      <c r="BO3" s="21" t="str">
        <f aca="false">'Setting key Duty'!C17</f>
        <v>Reserve</v>
      </c>
      <c r="BP3" s="21" t="str">
        <f aca="false">'Setting key Duty'!$C22</f>
        <v>AL</v>
      </c>
      <c r="BQ3" s="15"/>
    </row>
    <row r="4" customFormat="false" ht="18" hidden="false" customHeight="true" outlineLevel="0" collapsed="false">
      <c r="A4" s="22"/>
      <c r="B4" s="23" t="s">
        <v>156</v>
      </c>
      <c r="C4" s="24" t="str">
        <f aca="false">TEXT(C3,"ddd")</f>
        <v>Sat</v>
      </c>
      <c r="D4" s="24" t="str">
        <f aca="false">TEXT(D3,"ddd")</f>
        <v>Sun</v>
      </c>
      <c r="E4" s="24" t="str">
        <f aca="false">TEXT(E3,"ddd")</f>
        <v>Mon</v>
      </c>
      <c r="F4" s="24" t="str">
        <f aca="false">TEXT(F3,"ddd")</f>
        <v>Tue</v>
      </c>
      <c r="G4" s="24" t="str">
        <f aca="false">TEXT(G3,"ddd")</f>
        <v>Wed</v>
      </c>
      <c r="H4" s="24" t="str">
        <f aca="false">TEXT(H3,"ddd")</f>
        <v>Thu</v>
      </c>
      <c r="I4" s="24" t="str">
        <f aca="false">TEXT(I3,"ddd")</f>
        <v>Fri</v>
      </c>
      <c r="J4" s="24" t="str">
        <f aca="false">TEXT(J3,"ddd")</f>
        <v>Sat</v>
      </c>
      <c r="K4" s="24" t="str">
        <f aca="false">TEXT(K3,"ddd")</f>
        <v>Sun</v>
      </c>
      <c r="L4" s="24" t="str">
        <f aca="false">TEXT(L3,"ddd")</f>
        <v>Mon</v>
      </c>
      <c r="M4" s="24" t="str">
        <f aca="false">TEXT(M3,"ddd")</f>
        <v>Tue</v>
      </c>
      <c r="N4" s="24" t="str">
        <f aca="false">TEXT(N3,"ddd")</f>
        <v>Wed</v>
      </c>
      <c r="O4" s="24" t="str">
        <f aca="false">TEXT(O3,"ddd")</f>
        <v>Thu</v>
      </c>
      <c r="P4" s="24" t="str">
        <f aca="false">TEXT(P3,"ddd")</f>
        <v>Fri</v>
      </c>
      <c r="Q4" s="24" t="str">
        <f aca="false">TEXT(Q3,"ddd")</f>
        <v>Sat</v>
      </c>
      <c r="R4" s="24" t="str">
        <f aca="false">TEXT(R3,"ddd")</f>
        <v>Sun</v>
      </c>
      <c r="S4" s="24" t="str">
        <f aca="false">TEXT(S3,"ddd")</f>
        <v>Mon</v>
      </c>
      <c r="T4" s="24" t="str">
        <f aca="false">TEXT(T3,"ddd")</f>
        <v>Tue</v>
      </c>
      <c r="U4" s="24" t="str">
        <f aca="false">TEXT(U3,"ddd")</f>
        <v>Wed</v>
      </c>
      <c r="V4" s="24" t="str">
        <f aca="false">TEXT(V3,"ddd")</f>
        <v>Thu</v>
      </c>
      <c r="W4" s="24" t="str">
        <f aca="false">TEXT(W3,"ddd")</f>
        <v>Fri</v>
      </c>
      <c r="X4" s="24" t="str">
        <f aca="false">TEXT(X3,"ddd")</f>
        <v>Sat</v>
      </c>
      <c r="Y4" s="24" t="str">
        <f aca="false">TEXT(Y3,"ddd")</f>
        <v>Sun</v>
      </c>
      <c r="Z4" s="24" t="str">
        <f aca="false">TEXT(Z3,"ddd")</f>
        <v>Mon</v>
      </c>
      <c r="AA4" s="24" t="str">
        <f aca="false">TEXT(AA3,"ddd")</f>
        <v>Tue</v>
      </c>
      <c r="AB4" s="24" t="str">
        <f aca="false">TEXT(AB3,"ddd")</f>
        <v>Wed</v>
      </c>
      <c r="AC4" s="24" t="str">
        <f aca="false">TEXT(AC3,"ddd")</f>
        <v>Thu</v>
      </c>
      <c r="AD4" s="24" t="str">
        <f aca="false">TEXT(AD3,"ddd")</f>
        <v>Fri</v>
      </c>
      <c r="AE4" s="24" t="str">
        <f aca="false">TEXT(AE3,"ddd")</f>
        <v>Sat</v>
      </c>
      <c r="AF4" s="24" t="str">
        <f aca="false">TEXT(AF3,"ddd")</f>
        <v>Sun</v>
      </c>
      <c r="AG4" s="114" t="str">
        <f aca="false">TEXT(AG3,"ddd")</f>
        <v>Mon</v>
      </c>
      <c r="AH4" s="24" t="str">
        <f aca="false">TEXT(AH3,"ddd")</f>
        <v>Tue</v>
      </c>
      <c r="AI4" s="25" t="str">
        <f aca="false">'Setting key Duty'!$B7</f>
        <v>DM</v>
      </c>
      <c r="AJ4" s="26" t="str">
        <f aca="false">'Setting key Duty'!$B8</f>
        <v>CS1</v>
      </c>
      <c r="AK4" s="27" t="str">
        <f aca="false">'Setting key Duty'!$B9</f>
        <v>CS2</v>
      </c>
      <c r="AL4" s="28" t="str">
        <f aca="false">'Setting key Duty'!$B11</f>
        <v>SB1</v>
      </c>
      <c r="AM4" s="28" t="str">
        <f aca="false">'Setting key Duty'!$B12</f>
        <v>SB2</v>
      </c>
      <c r="AN4" s="28" t="str">
        <f aca="false">'Setting key Duty'!$B13</f>
        <v>AE</v>
      </c>
      <c r="AO4" s="28" t="str">
        <f aca="false">'Setting key Duty'!B14</f>
        <v>EM</v>
      </c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 t="s">
        <v>45</v>
      </c>
      <c r="BA4" s="28" t="s">
        <v>46</v>
      </c>
      <c r="BB4" s="28"/>
      <c r="BC4" s="28" t="s">
        <v>47</v>
      </c>
      <c r="BD4" s="28"/>
      <c r="BE4" s="28" t="s">
        <v>48</v>
      </c>
      <c r="BF4" s="28"/>
      <c r="BG4" s="28" t="s">
        <v>49</v>
      </c>
      <c r="BH4" s="28" t="s">
        <v>50</v>
      </c>
      <c r="BI4" s="28"/>
      <c r="BJ4" s="28" t="s">
        <v>51</v>
      </c>
      <c r="BK4" s="28"/>
      <c r="BL4" s="28" t="str">
        <f aca="false">'Setting key Duty'!B52</f>
        <v>$FC</v>
      </c>
      <c r="BM4" s="28"/>
      <c r="BN4" s="28" t="n">
        <f aca="false">'Setting key Duty'!$B15</f>
        <v>0</v>
      </c>
      <c r="BO4" s="28" t="str">
        <f aca="false">'Setting key Duty'!B17</f>
        <v>RESERVE</v>
      </c>
      <c r="BP4" s="28" t="str">
        <f aca="false">'Setting key Duty'!$B22</f>
        <v>AL</v>
      </c>
      <c r="BQ4" s="29"/>
    </row>
    <row r="5" customFormat="false" ht="19.5" hidden="false" customHeight="true" outlineLevel="0" collapsed="false">
      <c r="A5" s="30"/>
      <c r="B5" s="48" t="s">
        <v>119</v>
      </c>
      <c r="D5" s="32"/>
      <c r="E5" s="32"/>
      <c r="F5" s="32"/>
      <c r="G5" s="45" t="s">
        <v>65</v>
      </c>
      <c r="I5" s="32" t="s">
        <v>69</v>
      </c>
      <c r="J5" s="94"/>
      <c r="K5" s="42" t="s">
        <v>59</v>
      </c>
      <c r="L5" s="95"/>
      <c r="M5" s="42"/>
      <c r="P5" s="32"/>
      <c r="Q5" s="32"/>
      <c r="R5" s="32"/>
      <c r="T5" s="32" t="s">
        <v>59</v>
      </c>
      <c r="W5" s="32" t="s">
        <v>349</v>
      </c>
      <c r="X5" s="32"/>
      <c r="Y5" s="32"/>
      <c r="Z5" s="32"/>
      <c r="AA5" s="115" t="s">
        <v>350</v>
      </c>
      <c r="AB5" s="32"/>
      <c r="AC5" s="33"/>
      <c r="AD5" s="32" t="s">
        <v>56</v>
      </c>
      <c r="AF5" s="33"/>
      <c r="AG5" s="52"/>
      <c r="AH5" s="52"/>
      <c r="AI5" s="35"/>
      <c r="AJ5" s="36"/>
      <c r="AK5" s="35"/>
      <c r="AL5" s="37"/>
      <c r="AM5" s="37"/>
      <c r="AN5" s="37"/>
      <c r="AO5" s="37"/>
      <c r="AP5" s="38"/>
      <c r="AQ5" s="37" t="n">
        <f aca="false">SUMPRODUCT(--WEEKDAY(C$3:AG$3,2)&lt;6,--((C5:AG5="DM"))+(C5:AG5="CS1")+((C5:AG5="CS2"))+(C5:AG5="SB1")+(C5:AG5="AE")+(C5:AG5="EM"))</f>
        <v>3</v>
      </c>
      <c r="AR5" s="38"/>
      <c r="AS5" s="38" t="n">
        <f aca="false">SUMPRODUCT(--WEEKDAY(C$3:AG$3,2)&gt;5,--((C5:AG5="DM"))+(C5:AG5="CS1")+((C5:AG5="CS2"))+(C5:AG5="SB1")+(C5:AG5="AE")+(C5:AG5="EM"))</f>
        <v>1</v>
      </c>
      <c r="AT5" s="38"/>
      <c r="AU5" s="38" t="n">
        <f aca="false">(AQ5-AR5)/2+(AS5-AT5)</f>
        <v>0</v>
      </c>
      <c r="AV5" s="38" t="n">
        <f aca="false">AI5+AJ5+AK5+AL5+AN5+AO5</f>
        <v>0</v>
      </c>
      <c r="AW5" s="38" t="n">
        <f aca="false">BG5+BH5+BJ5+BE5+BC5+BA5+BL5</f>
        <v>0</v>
      </c>
      <c r="AX5" s="38" t="e">
        <f aca="false">AU5+$AY$10</f>
        <v>#VALUE!</v>
      </c>
      <c r="AY5" s="37" t="e">
        <f aca="false">(BJ5*('Setting key Duty'!$I$8+'Setting key Duty'!$I$12))+(BH5*'Setting key Duty'!$I$9)+(BC5*('Setting key Duty'!$I$13+'Setting key Duty'!$I$9))+(BA5*('Setting key Duty'!$I$13+'Setting key Duty'!$I$12+'Setting key Duty'!$I$11))+(BE5*('Setting key Duty'!$I$8+'Setting key Duty'!$I$9+'Setting key Duty'!$I$12))</f>
        <v>#VALUE!</v>
      </c>
      <c r="AZ5" s="37" t="n">
        <f aca="false">COUNTIF(D5:AA5,"*BRT*")</f>
        <v>0</v>
      </c>
      <c r="BA5" s="37" t="n">
        <f aca="false">COUNTIF(A5:AI5,"*$BTP*")</f>
        <v>0</v>
      </c>
      <c r="BB5" s="37" t="e">
        <f aca="false">BA5*('Setting key Duty'!$I$13+'Setting key Duty'!$I$12+'Setting key Duty'!$I$11)</f>
        <v>#VALUE!</v>
      </c>
      <c r="BC5" s="37" t="n">
        <f aca="false">COUNTIF(A5:AI5,"*$L*")</f>
        <v>0</v>
      </c>
      <c r="BD5" s="37" t="e">
        <f aca="false">BC5*('Setting key Duty'!$I$13+'Setting key Duty'!$I$9)</f>
        <v>#VALUE!</v>
      </c>
      <c r="BE5" s="37" t="n">
        <f aca="false">COUNTIF(A5:AI5,"*$M*")</f>
        <v>0</v>
      </c>
      <c r="BF5" s="37" t="n">
        <f aca="false">BE5*('Setting key Duty'!$I$8+'Setting key Duty'!$I$9+'Setting key Duty'!$I$12)</f>
        <v>0</v>
      </c>
      <c r="BG5" s="37" t="n">
        <f aca="false">COUNTIF(AI5,"*$N*")</f>
        <v>0</v>
      </c>
      <c r="BH5" s="37" t="n">
        <f aca="false">COUNTIF(AI5,"*$PM*")</f>
        <v>0</v>
      </c>
      <c r="BI5" s="37" t="n">
        <f aca="false">BH5*('Setting key Duty'!$I$9)</f>
        <v>0</v>
      </c>
      <c r="BJ5" s="37" t="n">
        <f aca="false">COUNTIF(A5:AI5,"*$AM*")</f>
        <v>0</v>
      </c>
      <c r="BK5" s="37" t="n">
        <f aca="false">BJ5*('Setting key Duty'!$I$12+'Setting key Duty'!$I$8)</f>
        <v>0</v>
      </c>
      <c r="BL5" s="37" t="n">
        <f aca="false">COUNTIF(D5:AI5,"*$FC*")</f>
        <v>0</v>
      </c>
      <c r="BM5" s="37" t="n">
        <f aca="false">BL5*('Setting key Duty'!$J$11+'Setting key Duty'!$I$8)</f>
        <v>0</v>
      </c>
      <c r="BN5" s="37" t="n">
        <f aca="false">COUNTIF($D5:$AA5,BN$4)</f>
        <v>0</v>
      </c>
      <c r="BO5" s="37" t="n">
        <f aca="false">COUNTIF($D5:$AA5,BO$4)</f>
        <v>1</v>
      </c>
      <c r="BP5" s="37" t="n">
        <f aca="false">COUNTIF($D5:$AA5,BP$4)</f>
        <v>0</v>
      </c>
      <c r="BQ5" s="39"/>
    </row>
    <row r="6" customFormat="false" ht="36" hidden="false" customHeight="true" outlineLevel="0" collapsed="false">
      <c r="A6" s="30"/>
      <c r="B6" s="97" t="s">
        <v>60</v>
      </c>
      <c r="C6" s="32"/>
      <c r="D6" s="32" t="s">
        <v>58</v>
      </c>
      <c r="F6" s="32" t="s">
        <v>157</v>
      </c>
      <c r="H6" s="32" t="s">
        <v>58</v>
      </c>
      <c r="I6" s="32"/>
      <c r="J6" s="32" t="s">
        <v>59</v>
      </c>
      <c r="K6" s="98" t="s">
        <v>158</v>
      </c>
      <c r="L6" s="33"/>
      <c r="M6" s="115" t="s">
        <v>350</v>
      </c>
      <c r="N6" s="32"/>
      <c r="O6" s="42"/>
      <c r="P6" s="33"/>
      <c r="Q6" s="32" t="s">
        <v>59</v>
      </c>
      <c r="R6" s="32"/>
      <c r="S6" s="32"/>
      <c r="T6" s="32" t="s">
        <v>56</v>
      </c>
      <c r="V6" s="42" t="s">
        <v>158</v>
      </c>
      <c r="W6" s="32" t="s">
        <v>71</v>
      </c>
      <c r="X6" s="32" t="s">
        <v>158</v>
      </c>
      <c r="Y6" s="32" t="s">
        <v>158</v>
      </c>
      <c r="Z6" s="115" t="s">
        <v>350</v>
      </c>
      <c r="AA6" s="32"/>
      <c r="AB6" s="32" t="s">
        <v>57</v>
      </c>
      <c r="AD6" s="32" t="s">
        <v>158</v>
      </c>
      <c r="AF6" s="33"/>
      <c r="AG6" s="52"/>
      <c r="AH6" s="33"/>
      <c r="AI6" s="35" t="n">
        <f aca="false">COUNTIF($D6:$AE6,AI$4)</f>
        <v>1</v>
      </c>
      <c r="AJ6" s="36" t="n">
        <f aca="false">COUNTIF($D6:$AE6,AJ$4)</f>
        <v>1</v>
      </c>
      <c r="AK6" s="35" t="n">
        <f aca="false">COUNTIF($D6:$AE6,AK$4)</f>
        <v>2</v>
      </c>
      <c r="AL6" s="37" t="n">
        <f aca="false">COUNTIF($D6:$AE6,AL$4)</f>
        <v>2</v>
      </c>
      <c r="AM6" s="37" t="n">
        <f aca="false">COUNTIF($D6:$AE6,AM$4)</f>
        <v>0</v>
      </c>
      <c r="AN6" s="37" t="n">
        <f aca="false">COUNTIF($D6:$AE6,AN$4)</f>
        <v>0</v>
      </c>
      <c r="AO6" s="37" t="n">
        <f aca="false">COUNTIF($D6:$AE6,AO$4)</f>
        <v>0</v>
      </c>
      <c r="AP6" s="38"/>
      <c r="AQ6" s="37" t="n">
        <f aca="false">SUMPRODUCT(--WEEKDAY(C$3:AG$3,2)&lt;6,--((C6:AG6="DM"))+(C6:AG6="CS1")+((C6:AG6="CS2"))+(C6:AG6="SB1")+(C6:AG6="AE")+(C6:AG6="EM"))</f>
        <v>3</v>
      </c>
      <c r="AR6" s="38"/>
      <c r="AS6" s="38" t="n">
        <f aca="false">SUMPRODUCT(--WEEKDAY(C$3:AG$3,2)&gt;5,--((C6:AG6="DM"))+(C6:AG6="CS1")+((C6:AG6="CS2"))+(C6:AG6="SB1")+(C6:AG6="AE")+(C6:AG6="EM"))</f>
        <v>3</v>
      </c>
      <c r="AT6" s="38"/>
      <c r="AU6" s="38" t="n">
        <f aca="false">(AQ6-AR6)/2+(AS6-AT6)</f>
        <v>0</v>
      </c>
      <c r="AV6" s="38" t="n">
        <f aca="false">AI6+AJ6+AK6+AL6+AN6+AO6</f>
        <v>6</v>
      </c>
      <c r="AW6" s="38" t="e">
        <f aca="false">AU6+AY6</f>
        <v>#VALUE!</v>
      </c>
      <c r="AX6" s="38" t="e">
        <f aca="false">AU6+AY6</f>
        <v>#VALUE!</v>
      </c>
      <c r="AY6" s="37" t="e">
        <f aca="false">(BJ6*('Setting key Duty'!$I$8+'Setting key Duty'!$I$12))+(BH6*'Setting key Duty'!$I$9)+(BC6*('Setting key Duty'!$I$13+'Setting key Duty'!$I$9))+(BA6*('Setting key Duty'!$I$13+'Setting key Duty'!$I$12+'Setting key Duty'!$I$11))+(BE6*('Setting key Duty'!$I$8+'Setting key Duty'!$I$9+'Setting key Duty'!$I$12))</f>
        <v>#VALUE!</v>
      </c>
      <c r="AZ6" s="37" t="n">
        <f aca="false">COUNTIF(D6:AE6,"*BRT*")</f>
        <v>0</v>
      </c>
      <c r="BA6" s="37" t="n">
        <f aca="false">COUNTIF(A6:AI6,"*$BTP*")</f>
        <v>0</v>
      </c>
      <c r="BB6" s="37" t="e">
        <f aca="false">BA6*('Setting key Duty'!$I$13+'Setting key Duty'!$I$12+'Setting key Duty'!$I$11)</f>
        <v>#VALUE!</v>
      </c>
      <c r="BC6" s="37" t="n">
        <f aca="false">COUNTIF(A6:AI6,"*$L*")</f>
        <v>0</v>
      </c>
      <c r="BD6" s="37" t="e">
        <f aca="false">BC6*('Setting key Duty'!$I$13+'Setting key Duty'!$I$9)</f>
        <v>#VALUE!</v>
      </c>
      <c r="BE6" s="37" t="n">
        <f aca="false">COUNTIF(A6:AI6,"*$M*")</f>
        <v>0</v>
      </c>
      <c r="BF6" s="37" t="n">
        <f aca="false">BE6*('Setting key Duty'!$I$8+'Setting key Duty'!$I$9+'Setting key Duty'!$I$12)</f>
        <v>0</v>
      </c>
      <c r="BG6" s="37" t="n">
        <f aca="false">COUNTIF(AE6:AI6,"*$N*")</f>
        <v>0</v>
      </c>
      <c r="BH6" s="37" t="n">
        <f aca="false">COUNTIF(AE6:AI6,"*$PM*")</f>
        <v>0</v>
      </c>
      <c r="BI6" s="37" t="n">
        <f aca="false">BH6*('Setting key Duty'!$I$9)</f>
        <v>0</v>
      </c>
      <c r="BJ6" s="37" t="n">
        <f aca="false">COUNTIF(A6:AI6,"*$AM*")</f>
        <v>0</v>
      </c>
      <c r="BK6" s="37" t="n">
        <f aca="false">BJ6*('Setting key Duty'!$I$12+'Setting key Duty'!$I$8)</f>
        <v>0</v>
      </c>
      <c r="BL6" s="37" t="n">
        <f aca="false">COUNTIF(D6:AI6,"*$FC*")</f>
        <v>0</v>
      </c>
      <c r="BM6" s="37" t="n">
        <f aca="false">BL6*('Setting key Duty'!$J$11+'Setting key Duty'!$I$8)</f>
        <v>0</v>
      </c>
      <c r="BN6" s="37" t="n">
        <f aca="false">COUNTIF($D6:$AE6,BN$4)</f>
        <v>0</v>
      </c>
      <c r="BO6" s="37" t="n">
        <f aca="false">COUNTIF($D6:$AE6,BO$4)</f>
        <v>2</v>
      </c>
      <c r="BP6" s="37" t="n">
        <f aca="false">COUNTIF($D6:$AE6,BP$4)</f>
        <v>0</v>
      </c>
      <c r="BQ6" s="39"/>
    </row>
    <row r="7" customFormat="false" ht="19.5" hidden="false" customHeight="true" outlineLevel="0" collapsed="false">
      <c r="A7" s="30"/>
      <c r="B7" s="100" t="s">
        <v>211</v>
      </c>
      <c r="D7" s="32" t="s">
        <v>57</v>
      </c>
      <c r="E7" s="32"/>
      <c r="F7" s="32" t="s">
        <v>157</v>
      </c>
      <c r="G7" s="42" t="s">
        <v>58</v>
      </c>
      <c r="H7" s="42"/>
      <c r="J7" s="32"/>
      <c r="K7" s="32" t="s">
        <v>57</v>
      </c>
      <c r="L7" s="33"/>
      <c r="M7" s="32"/>
      <c r="N7" s="32"/>
      <c r="O7" s="115" t="s">
        <v>350</v>
      </c>
      <c r="P7" s="32"/>
      <c r="Q7" s="32" t="s">
        <v>57</v>
      </c>
      <c r="S7" s="32"/>
      <c r="T7" s="115" t="s">
        <v>350</v>
      </c>
      <c r="U7" s="32"/>
      <c r="V7" s="32" t="s">
        <v>349</v>
      </c>
      <c r="W7" s="32"/>
      <c r="X7" s="32" t="s">
        <v>57</v>
      </c>
      <c r="Z7" s="32"/>
      <c r="AA7" s="32" t="s">
        <v>57</v>
      </c>
      <c r="AB7" s="32" t="s">
        <v>71</v>
      </c>
      <c r="AC7" s="32" t="s">
        <v>71</v>
      </c>
      <c r="AD7" s="32"/>
      <c r="AE7" s="32" t="s">
        <v>54</v>
      </c>
      <c r="AF7" s="32" t="s">
        <v>54</v>
      </c>
      <c r="AG7" s="32" t="s">
        <v>54</v>
      </c>
      <c r="AH7" s="32" t="s">
        <v>351</v>
      </c>
      <c r="AI7" s="35" t="e">
        <f aca="false">COUNTIF(#REF!,AI$4)</f>
        <v>#REF!</v>
      </c>
      <c r="AJ7" s="36" t="e">
        <f aca="false">COUNTIF(#REF!,AJ$4)</f>
        <v>#REF!</v>
      </c>
      <c r="AK7" s="35" t="e">
        <f aca="false">COUNTIF(#REF!,AK$4)</f>
        <v>#REF!</v>
      </c>
      <c r="AL7" s="37" t="e">
        <f aca="false">COUNTIF(#REF!,AL$4)</f>
        <v>#REF!</v>
      </c>
      <c r="AM7" s="37" t="e">
        <f aca="false">COUNTIF(#REF!,AM$4)</f>
        <v>#REF!</v>
      </c>
      <c r="AN7" s="37" t="e">
        <f aca="false">COUNTIF(#REF!,AN$4)</f>
        <v>#REF!</v>
      </c>
      <c r="AO7" s="37" t="e">
        <f aca="false">COUNTIF(#REF!,AO$4)</f>
        <v>#REF!</v>
      </c>
      <c r="AP7" s="38"/>
      <c r="AQ7" s="37" t="n">
        <f aca="false">SUMPRODUCT(--WEEKDAY(C$3:AG$3,2)&lt;6,--((C7:AG7="DM"))+(C7:AG7="CS1")+((C7:AG7="CS2"))+(C7:AG7="SB1")+(C7:AG7="AE")+(C7:AG7="EM"))</f>
        <v>2</v>
      </c>
      <c r="AR7" s="38"/>
      <c r="AS7" s="38" t="n">
        <f aca="false">SUMPRODUCT(--WEEKDAY(C$3:AG$3,2)&gt;5,--((C7:AG7="DM"))+(C7:AG7="CS1")+((C7:AG7="CS2"))+(C7:AG7="SB1")+(C7:AG7="AE")+(C7:AG7="EM"))</f>
        <v>4</v>
      </c>
      <c r="AT7" s="38"/>
      <c r="AU7" s="38" t="n">
        <f aca="false">(AQ7-AR7)/2+(AS7-AT7)</f>
        <v>0</v>
      </c>
      <c r="AV7" s="38" t="e">
        <f aca="false">AI7+AJ7+AK7+AL7+AN7+AO7</f>
        <v>#REF!</v>
      </c>
      <c r="AW7" s="38" t="n">
        <f aca="false">BG7+BH7+BJ7+BE7+BC7+BA7+BL7</f>
        <v>0</v>
      </c>
      <c r="AX7" s="38" t="e">
        <f aca="false">AU7+AY7</f>
        <v>#VALUE!</v>
      </c>
      <c r="AY7" s="37" t="e">
        <f aca="false">(BJ7*('Setting key Duty'!$I$8+'Setting key Duty'!$I$12))+(BH7*'Setting key Duty'!$I$9)+(BC7*('Setting key Duty'!$I$13+'Setting key Duty'!$I$9))+(BA7*('Setting key Duty'!$I$13+'Setting key Duty'!$I$12+'Setting key Duty'!$I$11))+(BE7*('Setting key Duty'!$I$8+'Setting key Duty'!$I$9+'Setting key Duty'!$I$12))</f>
        <v>#VALUE!</v>
      </c>
      <c r="AZ7" s="37" t="e">
        <f aca="false">COUNTIF(#REF!,"*BRT*")</f>
        <v>#REF!</v>
      </c>
      <c r="BA7" s="37" t="n">
        <f aca="false">COUNTIF(A7:AI7,"*$BTP*")</f>
        <v>0</v>
      </c>
      <c r="BB7" s="37" t="e">
        <f aca="false">BA7*('Setting key Duty'!$I$13+'Setting key Duty'!$I$12+'Setting key Duty'!$I$11)</f>
        <v>#VALUE!</v>
      </c>
      <c r="BC7" s="37" t="n">
        <f aca="false">COUNTIF(A7:AI7,"*$L*")</f>
        <v>0</v>
      </c>
      <c r="BD7" s="37" t="e">
        <f aca="false">BC7*('Setting key Duty'!$I$13+'Setting key Duty'!$I$9)</f>
        <v>#VALUE!</v>
      </c>
      <c r="BE7" s="37" t="n">
        <f aca="false">COUNTIF(A7:AI7,"*$M*")</f>
        <v>0</v>
      </c>
      <c r="BF7" s="37" t="n">
        <f aca="false">BE7*('Setting key Duty'!$I$8+'Setting key Duty'!$I$9+'Setting key Duty'!$I$12)</f>
        <v>0</v>
      </c>
      <c r="BG7" s="37" t="n">
        <f aca="false">COUNTIF(A7:AI7,"*$N*")</f>
        <v>0</v>
      </c>
      <c r="BH7" s="37" t="n">
        <f aca="false">COUNTIF(AG7:AI7,"*$PM*")</f>
        <v>0</v>
      </c>
      <c r="BI7" s="37" t="n">
        <f aca="false">BH7*('Setting key Duty'!$I$9)</f>
        <v>0</v>
      </c>
      <c r="BJ7" s="37" t="n">
        <f aca="false">COUNTIF(A7:AI7,"*$AM*")</f>
        <v>0</v>
      </c>
      <c r="BK7" s="37" t="n">
        <f aca="false">BJ7*('Setting key Duty'!$I$12+'Setting key Duty'!$I$8)</f>
        <v>0</v>
      </c>
      <c r="BL7" s="37" t="n">
        <f aca="false">COUNTIF(D7:AI7,"*$FC*")</f>
        <v>0</v>
      </c>
      <c r="BM7" s="37" t="n">
        <f aca="false">BL7*('Setting key Duty'!$J$11+'Setting key Duty'!$I$8)</f>
        <v>0</v>
      </c>
      <c r="BN7" s="37" t="e">
        <f aca="false">COUNTIF(#REF!,BN$4)</f>
        <v>#REF!</v>
      </c>
      <c r="BO7" s="37" t="e">
        <f aca="false">COUNTIF(#REF!,BO$4)</f>
        <v>#REF!</v>
      </c>
      <c r="BP7" s="37" t="e">
        <f aca="false">COUNTIF(#REF!,BP$4)</f>
        <v>#REF!</v>
      </c>
      <c r="BQ7" s="39"/>
    </row>
    <row r="8" customFormat="false" ht="19.5" hidden="false" customHeight="true" outlineLevel="0" collapsed="false">
      <c r="A8" s="30"/>
      <c r="B8" s="41" t="s">
        <v>63</v>
      </c>
      <c r="C8" s="32" t="s">
        <v>57</v>
      </c>
      <c r="E8" s="32"/>
      <c r="F8" s="32"/>
      <c r="G8" s="32" t="s">
        <v>59</v>
      </c>
      <c r="H8" s="32"/>
      <c r="I8" s="32"/>
      <c r="J8" s="32" t="s">
        <v>150</v>
      </c>
      <c r="K8" s="98" t="s">
        <v>150</v>
      </c>
      <c r="L8" s="32"/>
      <c r="M8" s="115" t="s">
        <v>350</v>
      </c>
      <c r="O8" s="42"/>
      <c r="P8" s="32"/>
      <c r="Q8" s="32"/>
      <c r="R8" s="32" t="s">
        <v>59</v>
      </c>
      <c r="S8" s="33"/>
      <c r="T8" s="33"/>
      <c r="U8" s="42"/>
      <c r="W8" s="32"/>
      <c r="X8" s="32" t="s">
        <v>59</v>
      </c>
      <c r="AB8" s="32" t="s">
        <v>56</v>
      </c>
      <c r="AC8" s="32"/>
      <c r="AD8" s="32"/>
      <c r="AE8" s="32"/>
      <c r="AF8" s="32"/>
      <c r="AG8" s="52"/>
      <c r="AH8" s="32"/>
      <c r="AI8" s="35"/>
      <c r="AJ8" s="36"/>
      <c r="AK8" s="35"/>
      <c r="AL8" s="37"/>
      <c r="AM8" s="37"/>
      <c r="AN8" s="37"/>
      <c r="AO8" s="37"/>
      <c r="AP8" s="38"/>
      <c r="AQ8" s="37" t="n">
        <f aca="false">SUMPRODUCT(--WEEKDAY(C$3:AG$3,2)&lt;6,--((C8:AG8="DM"))+(C8:AG8="CS1")+((C8:AG8="CS2"))+(C8:AG8="SB1")+(C8:AG8="AE")+(C8:AG8="EM"))</f>
        <v>2</v>
      </c>
      <c r="AR8" s="38"/>
      <c r="AS8" s="38" t="n">
        <f aca="false">SUMPRODUCT(--WEEKDAY(C$3:AG$3,2)&gt;5,--((C8:AG8="DM"))+(C8:AG8="CS1")+((C8:AG8="CS2"))+(C8:AG8="SB1")+(C8:AG8="AE")+(C8:AG8="EM"))</f>
        <v>3</v>
      </c>
      <c r="AT8" s="38"/>
      <c r="AU8" s="38"/>
      <c r="AV8" s="38"/>
      <c r="AW8" s="38"/>
      <c r="AX8" s="38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9"/>
    </row>
    <row r="9" customFormat="false" ht="19.5" hidden="false" customHeight="true" outlineLevel="0" collapsed="false">
      <c r="A9" s="30"/>
      <c r="B9" s="101" t="s">
        <v>215</v>
      </c>
      <c r="C9" s="32"/>
      <c r="D9" s="32"/>
      <c r="E9" s="32" t="s">
        <v>157</v>
      </c>
      <c r="F9" s="42"/>
      <c r="G9" s="42" t="s">
        <v>56</v>
      </c>
      <c r="I9" s="32"/>
      <c r="J9" s="45"/>
      <c r="K9" s="102" t="s">
        <v>56</v>
      </c>
      <c r="L9" s="47"/>
      <c r="M9" s="32"/>
      <c r="N9" s="32" t="s">
        <v>59</v>
      </c>
      <c r="O9" s="47"/>
      <c r="P9" s="32" t="s">
        <v>352</v>
      </c>
      <c r="Q9" s="32"/>
      <c r="R9" s="33"/>
      <c r="S9" s="32" t="s">
        <v>57</v>
      </c>
      <c r="U9" s="115" t="s">
        <v>350</v>
      </c>
      <c r="V9" s="32" t="s">
        <v>56</v>
      </c>
      <c r="W9" s="32"/>
      <c r="X9" s="115" t="s">
        <v>350</v>
      </c>
      <c r="Y9" s="32"/>
      <c r="Z9" s="47"/>
      <c r="AA9" s="32"/>
      <c r="AB9" s="47"/>
      <c r="AC9" s="32"/>
      <c r="AD9" s="32" t="s">
        <v>216</v>
      </c>
      <c r="AE9" s="32"/>
      <c r="AF9" s="32"/>
      <c r="AG9" s="52"/>
      <c r="AH9" s="32"/>
      <c r="AI9" s="35"/>
      <c r="AJ9" s="36"/>
      <c r="AK9" s="35"/>
      <c r="AL9" s="37"/>
      <c r="AM9" s="37"/>
      <c r="AN9" s="37"/>
      <c r="AO9" s="37"/>
      <c r="AP9" s="38"/>
      <c r="AQ9" s="37" t="n">
        <f aca="false">SUMPRODUCT(--WEEKDAY(C$3:AG$3,2)&lt;6,--((C9:AG9="DM"))+(C9:AG9="CS1")+((C9:AG9="CS2"))+(C9:AG9="SB1")+(C9:AG9="AE")+(C9:AG9="EM"))</f>
        <v>4</v>
      </c>
      <c r="AR9" s="38"/>
      <c r="AS9" s="38" t="n">
        <f aca="false">SUMPRODUCT(--WEEKDAY(C$3:AG$3,2)&gt;5,--((C9:AG9="DM"))+(C9:AG9="CS1")+((C9:AG9="CS2"))+(C9:AG9="SB1")+(C9:AG9="AE")+(C9:AG9="EM"))</f>
        <v>1</v>
      </c>
      <c r="AT9" s="38"/>
      <c r="AU9" s="38" t="n">
        <f aca="false">(AQ9-AR9)/2+(AS9-AT9)</f>
        <v>3</v>
      </c>
      <c r="AV9" s="38" t="n">
        <f aca="false">AI9+AJ9+AK9+AL9+AN9+AO9</f>
        <v>0</v>
      </c>
      <c r="AW9" s="38" t="n">
        <f aca="false">BG9+BH9+BJ9+BE9+BC9+BA9+BL9</f>
        <v>0</v>
      </c>
      <c r="AX9" s="38" t="e">
        <f aca="false">AU9+AY9</f>
        <v>#VALUE!</v>
      </c>
      <c r="AY9" s="37" t="e">
        <f aca="false">(BJ9*('Setting key Duty'!$I$8+'Setting key Duty'!$I$12))+(BH9*'Setting key Duty'!$I$9)+(BC9*('Setting key Duty'!$I$13+'Setting key Duty'!$I$9))+(BA9*('Setting key Duty'!$I$13+'Setting key Duty'!$I$12+'Setting key Duty'!$I$11))+(BE9*('Setting key Duty'!$I$8+'Setting key Duty'!$I$9+'Setting key Duty'!$I$12))</f>
        <v>#VALUE!</v>
      </c>
      <c r="AZ9" s="37" t="n">
        <f aca="false">COUNTIF(D9:Z9,"*BRT*")</f>
        <v>0</v>
      </c>
      <c r="BA9" s="37" t="n">
        <f aca="false">COUNTIF(A9:AI9,"*$BTP*")</f>
        <v>0</v>
      </c>
      <c r="BB9" s="37" t="e">
        <f aca="false">BA9*('Setting key Duty'!$I$13+'Setting key Duty'!$I$12+'Setting key Duty'!$I$11)</f>
        <v>#VALUE!</v>
      </c>
      <c r="BC9" s="37" t="n">
        <f aca="false">COUNTIF(A9:AI9,"*$L*")</f>
        <v>0</v>
      </c>
      <c r="BD9" s="37" t="e">
        <f aca="false">BC9*('Setting key Duty'!$I$13+'Setting key Duty'!$I$9)</f>
        <v>#VALUE!</v>
      </c>
      <c r="BE9" s="37" t="n">
        <f aca="false">COUNTIF(A9:AI9,"*$M*")</f>
        <v>0</v>
      </c>
      <c r="BF9" s="37" t="n">
        <f aca="false">BE9*('Setting key Duty'!$I$8+'Setting key Duty'!$I$9+'Setting key Duty'!$I$12)</f>
        <v>0</v>
      </c>
      <c r="BG9" s="37" t="n">
        <f aca="false">COUNTIF(AI9,"*$N*")</f>
        <v>0</v>
      </c>
      <c r="BH9" s="37" t="n">
        <f aca="false">COUNTIF(AI9,"*$PM*")</f>
        <v>0</v>
      </c>
      <c r="BI9" s="37" t="n">
        <f aca="false">BH9*('Setting key Duty'!$I$9)</f>
        <v>0</v>
      </c>
      <c r="BJ9" s="37" t="n">
        <f aca="false">COUNTIF(A9:AI9,"*$AM*")</f>
        <v>0</v>
      </c>
      <c r="BK9" s="37" t="n">
        <f aca="false">BJ9*('Setting key Duty'!$I$12+'Setting key Duty'!$I$8)</f>
        <v>0</v>
      </c>
      <c r="BL9" s="37" t="n">
        <f aca="false">COUNTIF(D9:AI9,"*$FC*")</f>
        <v>0</v>
      </c>
      <c r="BM9" s="37" t="n">
        <f aca="false">BL9*('Setting key Duty'!$J$11+'Setting key Duty'!$I$8)</f>
        <v>0</v>
      </c>
      <c r="BN9" s="37" t="n">
        <f aca="false">COUNTIF($D9:$Z9,BN$4)</f>
        <v>0</v>
      </c>
      <c r="BO9" s="37" t="n">
        <f aca="false">COUNTIF($D9:$Z9,BO$4)</f>
        <v>2</v>
      </c>
      <c r="BP9" s="37" t="n">
        <f aca="false">COUNTIF($D9:$Z9,BP$4)</f>
        <v>0</v>
      </c>
      <c r="BQ9" s="39"/>
    </row>
    <row r="10" customFormat="false" ht="19.5" hidden="false" customHeight="true" outlineLevel="0" collapsed="false">
      <c r="A10" s="30"/>
      <c r="B10" s="103" t="s">
        <v>99</v>
      </c>
      <c r="C10" s="32"/>
      <c r="D10" s="32"/>
      <c r="E10" s="32" t="s">
        <v>56</v>
      </c>
      <c r="F10" s="42"/>
      <c r="G10" s="45" t="s">
        <v>57</v>
      </c>
      <c r="I10" s="32" t="s">
        <v>56</v>
      </c>
      <c r="J10" s="32"/>
      <c r="K10" s="98"/>
      <c r="L10" s="33"/>
      <c r="M10" s="102" t="s">
        <v>56</v>
      </c>
      <c r="N10" s="32"/>
      <c r="O10" s="115" t="s">
        <v>350</v>
      </c>
      <c r="R10" s="115" t="s">
        <v>350</v>
      </c>
      <c r="S10" s="32" t="s">
        <v>59</v>
      </c>
      <c r="U10" s="32"/>
      <c r="V10" s="32"/>
      <c r="W10" s="32"/>
      <c r="X10" s="32"/>
      <c r="Y10" s="32"/>
      <c r="Z10" s="32" t="s">
        <v>59</v>
      </c>
      <c r="AA10" s="32"/>
      <c r="AC10" s="32" t="s">
        <v>54</v>
      </c>
      <c r="AD10" s="32" t="s">
        <v>54</v>
      </c>
      <c r="AE10" s="32" t="s">
        <v>54</v>
      </c>
      <c r="AF10" s="32" t="s">
        <v>54</v>
      </c>
      <c r="AG10" s="32" t="s">
        <v>54</v>
      </c>
      <c r="AH10" s="32" t="s">
        <v>54</v>
      </c>
      <c r="AI10" s="35"/>
      <c r="AJ10" s="36"/>
      <c r="AK10" s="35"/>
      <c r="AL10" s="37"/>
      <c r="AM10" s="37"/>
      <c r="AN10" s="37"/>
      <c r="AO10" s="37"/>
      <c r="AP10" s="38"/>
      <c r="AQ10" s="37" t="n">
        <f aca="false">SUMPRODUCT(--WEEKDAY(C$3:AG$3,2)&lt;6,--((C10:AG10="DM"))+(C10:AG10="CS1")+((C10:AG10="CS2"))+(C10:AG10="SB1")+(C10:AG10="AE")+(C10:AG10="EM"))</f>
        <v>6</v>
      </c>
      <c r="AR10" s="38"/>
      <c r="AS10" s="38" t="n">
        <f aca="false">SUMPRODUCT(--WEEKDAY(C$3:AG$3,2)&gt;5,--((C10:AG10="DM"))+(C10:AG10="CS1")+((C10:AG10="CS2"))+(C10:AG10="SB1")+(C10:AG10="AE")+(C10:AG10="EM"))</f>
        <v>0</v>
      </c>
      <c r="AT10" s="38"/>
      <c r="AU10" s="38" t="n">
        <f aca="false">(AQ10-AR10)/2+(AS10-AT10)</f>
        <v>3</v>
      </c>
      <c r="AV10" s="38" t="n">
        <f aca="false">AI10+AJ10+AK10+AL10+AN10+AO10</f>
        <v>0</v>
      </c>
      <c r="AW10" s="38" t="n">
        <f aca="false">BG10+BH10+BJ10+BE10+BC10+BA10+BL10</f>
        <v>0</v>
      </c>
      <c r="AX10" s="38" t="e">
        <f aca="false">AU10+$AY$10</f>
        <v>#VALUE!</v>
      </c>
      <c r="AY10" s="37" t="e">
        <f aca="false">(BJ10*('Setting key Duty'!$I$8+'Setting key Duty'!$I$12))+(BH10*'Setting key Duty'!$I$9)+(BC10*('Setting key Duty'!$I$13+'Setting key Duty'!$I$9))+(BA10*('Setting key Duty'!$I$13+'Setting key Duty'!$I$12+'Setting key Duty'!$I$11))+(BE10*('Setting key Duty'!$I$8+'Setting key Duty'!$I$9+'Setting key Duty'!$I$12))</f>
        <v>#VALUE!</v>
      </c>
      <c r="AZ10" s="37" t="n">
        <f aca="false">COUNTIF(C10:AC10,"*BRT*")</f>
        <v>0</v>
      </c>
      <c r="BA10" s="37" t="n">
        <f aca="false">COUNTIF(A10:AI10,"*$BTP*")</f>
        <v>0</v>
      </c>
      <c r="BB10" s="37" t="e">
        <f aca="false">BA10*('Setting key Duty'!$I$13+'Setting key Duty'!$I$12+'Setting key Duty'!$I$11)</f>
        <v>#VALUE!</v>
      </c>
      <c r="BC10" s="37" t="n">
        <f aca="false">COUNTIF(D10:AI10,"*$L*")</f>
        <v>0</v>
      </c>
      <c r="BD10" s="37" t="e">
        <f aca="false">BC10*('Setting key Duty'!$I$13+'Setting key Duty'!$I$9)</f>
        <v>#VALUE!</v>
      </c>
      <c r="BE10" s="37" t="n">
        <f aca="false">COUNTIF(D10:AI10,"*$M*")</f>
        <v>0</v>
      </c>
      <c r="BF10" s="37" t="n">
        <f aca="false">BE10*('Setting key Duty'!$I$8+'Setting key Duty'!$I$9+'Setting key Duty'!$I$12)</f>
        <v>0</v>
      </c>
      <c r="BG10" s="37" t="n">
        <f aca="false">COUNTIF(D10:AI10,"*$N*")</f>
        <v>0</v>
      </c>
      <c r="BH10" s="37" t="n">
        <f aca="false">COUNTIF(D10:AI10,"*$PM*")</f>
        <v>0</v>
      </c>
      <c r="BI10" s="37" t="n">
        <f aca="false">BH10*('Setting key Duty'!$I$9)</f>
        <v>0</v>
      </c>
      <c r="BJ10" s="37" t="n">
        <f aca="false">COUNTIF(D10:AI10,"*$AM*")</f>
        <v>0</v>
      </c>
      <c r="BK10" s="37" t="n">
        <f aca="false">BJ10*('Setting key Duty'!$I$12+'Setting key Duty'!$I$8)</f>
        <v>0</v>
      </c>
      <c r="BL10" s="37" t="n">
        <f aca="false">COUNTIF(C10:AI10,"*$FC*")</f>
        <v>0</v>
      </c>
      <c r="BM10" s="37" t="n">
        <f aca="false">BL10*('Setting key Duty'!$J$11+'Setting key Duty'!$I$8)</f>
        <v>0</v>
      </c>
      <c r="BN10" s="37" t="n">
        <f aca="false">COUNTIF($C10:$AG10,BN$4)</f>
        <v>0</v>
      </c>
      <c r="BO10" s="37" t="n">
        <f aca="false">COUNTIF($C10:$AG10,BO$4)</f>
        <v>2</v>
      </c>
      <c r="BP10" s="37" t="n">
        <f aca="false">COUNTIF($D10:$AE10,BP$4)</f>
        <v>0</v>
      </c>
      <c r="BQ10" s="39"/>
    </row>
    <row r="11" customFormat="false" ht="19.5" hidden="false" customHeight="true" outlineLevel="0" collapsed="false">
      <c r="A11" s="30"/>
      <c r="B11" s="104" t="s">
        <v>70</v>
      </c>
      <c r="D11" s="32"/>
      <c r="E11" s="32" t="s">
        <v>157</v>
      </c>
      <c r="F11" s="32" t="s">
        <v>59</v>
      </c>
      <c r="G11" s="32"/>
      <c r="H11" s="42"/>
      <c r="J11" s="115" t="s">
        <v>350</v>
      </c>
      <c r="K11" s="32"/>
      <c r="L11" s="32" t="s">
        <v>57</v>
      </c>
      <c r="M11" s="105"/>
      <c r="N11" s="33"/>
      <c r="P11" s="32"/>
      <c r="Q11" s="115" t="s">
        <v>350</v>
      </c>
      <c r="R11" s="32"/>
      <c r="T11" s="32"/>
      <c r="U11" s="33"/>
      <c r="V11" s="32" t="s">
        <v>57</v>
      </c>
      <c r="W11" s="32"/>
      <c r="X11" s="32" t="s">
        <v>56</v>
      </c>
      <c r="Y11" s="32"/>
      <c r="Z11" s="32"/>
      <c r="AA11" s="32"/>
      <c r="AB11" s="115" t="s">
        <v>350</v>
      </c>
      <c r="AC11" s="32"/>
      <c r="AD11" s="32"/>
      <c r="AE11" s="32"/>
      <c r="AG11" s="52"/>
      <c r="AH11" s="32"/>
      <c r="AI11" s="35"/>
      <c r="AJ11" s="36"/>
      <c r="AK11" s="35"/>
      <c r="AL11" s="37"/>
      <c r="AM11" s="37"/>
      <c r="AN11" s="37"/>
      <c r="AO11" s="37"/>
      <c r="AP11" s="38"/>
      <c r="AQ11" s="37" t="n">
        <f aca="false">SUMPRODUCT(--WEEKDAY(C$3:AG$3,2)&lt;6,--((C11:AG11="DM"))+(C11:AG11="CS1")+((C11:AG11="CS2"))+(C11:AG11="SB1")+(C11:AG11="AE")+(C11:AG11="EM"))</f>
        <v>3</v>
      </c>
      <c r="AR11" s="38"/>
      <c r="AS11" s="38" t="n">
        <f aca="false">SUMPRODUCT(--WEEKDAY(C$3:AG$3,2)&gt;5,--((C11:AG11="DM"))+(C11:AG11="CS1")+((C11:AG11="CS2"))+(C11:AG11="SB1")+(C11:AG11="AE")+(C11:AG11="EM"))</f>
        <v>1</v>
      </c>
      <c r="AT11" s="38"/>
      <c r="AU11" s="38" t="n">
        <f aca="false">(AQ11-AR11)/2+(AS11-AT11)</f>
        <v>2.5</v>
      </c>
      <c r="AV11" s="38" t="n">
        <f aca="false">AI11+AJ11+AK11+AL11+AN11+AO11</f>
        <v>0</v>
      </c>
      <c r="AW11" s="38" t="n">
        <f aca="false">BG11+BH11+BJ11+BE11+BC11+BA11+BL11</f>
        <v>0</v>
      </c>
      <c r="AX11" s="38" t="e">
        <f aca="false">AU11+AY11</f>
        <v>#VALUE!</v>
      </c>
      <c r="AY11" s="37" t="e">
        <f aca="false"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37" t="n">
        <f aca="false">COUNTIF(D11:AC11,"*BRT*")</f>
        <v>0</v>
      </c>
      <c r="BA11" s="37" t="n">
        <f aca="false">COUNTIF(A11:AI11,"*$BTP*")</f>
        <v>0</v>
      </c>
      <c r="BB11" s="37" t="e">
        <f aca="false">BA11*('Setting key Duty'!$I$13+'Setting key Duty'!$I$12+'Setting key Duty'!$I$11)</f>
        <v>#VALUE!</v>
      </c>
      <c r="BC11" s="37" t="n">
        <f aca="false">COUNTIF(A11:AI11,"*$L*")</f>
        <v>0</v>
      </c>
      <c r="BD11" s="37" t="e">
        <f aca="false">BC11*('Setting key Duty'!$I$13+'Setting key Duty'!$I$9)</f>
        <v>#VALUE!</v>
      </c>
      <c r="BE11" s="37" t="n">
        <f aca="false">COUNTIF(A11:AI11,"*$M*")</f>
        <v>0</v>
      </c>
      <c r="BF11" s="37" t="n">
        <f aca="false">BE11*('Setting key Duty'!$I$8+'Setting key Duty'!$I$9+'Setting key Duty'!$I$12)</f>
        <v>0</v>
      </c>
      <c r="BG11" s="37" t="n">
        <f aca="false">COUNTIF(AF11:AI11,"*$N*")</f>
        <v>0</v>
      </c>
      <c r="BH11" s="37" t="n">
        <f aca="false">COUNTIF(AF11:AI11,"*$PM*")</f>
        <v>0</v>
      </c>
      <c r="BI11" s="37" t="n">
        <f aca="false">BH11*('Setting key Duty'!$I$9)</f>
        <v>0</v>
      </c>
      <c r="BJ11" s="37" t="n">
        <f aca="false">COUNTIF(A11:AI11,"*$AM*")</f>
        <v>0</v>
      </c>
      <c r="BK11" s="37" t="n">
        <f aca="false">BJ11*('Setting key Duty'!$I$12+'Setting key Duty'!$I$8)</f>
        <v>0</v>
      </c>
      <c r="BL11" s="37" t="n">
        <f aca="false">COUNTIF(D11:AI11,"*$FC*")</f>
        <v>0</v>
      </c>
      <c r="BM11" s="37" t="n">
        <f aca="false">BL11*('Setting key Duty'!$J$11+'Setting key Duty'!$I$8)</f>
        <v>0</v>
      </c>
      <c r="BN11" s="37" t="n">
        <f aca="false">COUNTIF($D11:$AE11,BN$4)</f>
        <v>0</v>
      </c>
      <c r="BO11" s="37" t="n">
        <f aca="false">COUNTIF($D11:$AE11,BO$4)</f>
        <v>3</v>
      </c>
      <c r="BP11" s="37" t="n">
        <f aca="false">COUNTIF($D11:$AE11,BP$4)</f>
        <v>0</v>
      </c>
      <c r="BQ11" s="39"/>
    </row>
    <row r="12" customFormat="false" ht="19.5" hidden="false" customHeight="true" outlineLevel="0" collapsed="false">
      <c r="A12" s="30"/>
      <c r="B12" s="106" t="s">
        <v>72</v>
      </c>
      <c r="C12" s="32"/>
      <c r="D12" s="32" t="s">
        <v>59</v>
      </c>
      <c r="E12" s="32"/>
      <c r="F12" s="32" t="s">
        <v>157</v>
      </c>
      <c r="G12" s="115" t="s">
        <v>350</v>
      </c>
      <c r="H12" s="32"/>
      <c r="I12" s="32" t="s">
        <v>59</v>
      </c>
      <c r="J12" s="32"/>
      <c r="K12" s="115" t="s">
        <v>350</v>
      </c>
      <c r="L12" s="32"/>
      <c r="M12" s="32"/>
      <c r="N12" s="115" t="s">
        <v>350</v>
      </c>
      <c r="O12" s="32"/>
      <c r="P12" s="32" t="s">
        <v>59</v>
      </c>
      <c r="Q12" s="32"/>
      <c r="R12" s="32"/>
      <c r="S12" s="115" t="s">
        <v>350</v>
      </c>
      <c r="T12" s="32"/>
      <c r="U12" s="32"/>
      <c r="V12" s="115" t="s">
        <v>350</v>
      </c>
      <c r="W12" s="32"/>
      <c r="X12" s="32"/>
      <c r="Y12" s="32" t="s">
        <v>56</v>
      </c>
      <c r="Z12" s="32"/>
      <c r="AB12" s="34"/>
      <c r="AC12" s="32" t="s">
        <v>56</v>
      </c>
      <c r="AD12" s="32"/>
      <c r="AE12" s="32"/>
      <c r="AF12" s="32"/>
      <c r="AG12" s="52"/>
      <c r="AH12" s="32"/>
      <c r="AI12" s="35"/>
      <c r="AJ12" s="36"/>
      <c r="AK12" s="35"/>
      <c r="AL12" s="37"/>
      <c r="AM12" s="37"/>
      <c r="AN12" s="37"/>
      <c r="AO12" s="37"/>
      <c r="AP12" s="38"/>
      <c r="AQ12" s="37" t="n">
        <f aca="false">SUMPRODUCT(--WEEKDAY(C$3:AG$3,2)&lt;6,--((C12:AG12="DM"))+(C12:AG12="CS1")+((C12:AG12="CS2"))+(C12:AG12="SB1")+(C12:AG12="AE")+(C12:AG12="EM"))</f>
        <v>3</v>
      </c>
      <c r="AR12" s="38"/>
      <c r="AS12" s="38" t="n">
        <f aca="false">SUMPRODUCT(--WEEKDAY(C$3:AG$3,2)&gt;5,--((C12:AG12="DM"))+(C12:AG12="CS1")+((C12:AG12="CS2"))+(C12:AG12="SB1")+(C12:AG12="AE")+(C12:AG12="EM"))</f>
        <v>2</v>
      </c>
      <c r="AT12" s="38"/>
      <c r="AU12" s="38" t="n">
        <f aca="false">(AQ12-AR12)/2+(AS12-AT12)</f>
        <v>3.5</v>
      </c>
      <c r="AV12" s="38" t="n">
        <f aca="false">AI12+AJ12+AK12+AL12+AN12+AO12</f>
        <v>0</v>
      </c>
      <c r="AW12" s="38" t="n">
        <f aca="false">BG12+BH12+BJ12+BE12+BC12+BA12+BL12</f>
        <v>0</v>
      </c>
      <c r="AX12" s="38" t="e">
        <f aca="false">AU12+AY12</f>
        <v>#VALUE!</v>
      </c>
      <c r="AY12" s="37" t="e">
        <f aca="false">(BJ12*('Setting key Duty'!$I$8+'Setting key Duty'!$I$12))+(BH12*'Setting key Duty'!$I$9)+(BC12*('Setting key Duty'!$I$13+'Setting key Duty'!$I$9))+(BA12*('Setting key Duty'!$I$13+'Setting key Duty'!$I$12+'Setting key Duty'!$I$11))+(BE12*('Setting key Duty'!$I$8+'Setting key Duty'!$I$9+'Setting key Duty'!$I$12))</f>
        <v>#VALUE!</v>
      </c>
      <c r="AZ12" s="37" t="n">
        <f aca="false">COUNTIF(D12:Y12,"*BRT*")</f>
        <v>0</v>
      </c>
      <c r="BA12" s="37" t="n">
        <f aca="false">COUNTIF(A12:AI12,"*$BTP*")</f>
        <v>0</v>
      </c>
      <c r="BB12" s="37" t="e">
        <f aca="false">BA12*('Setting key Duty'!$I$13+'Setting key Duty'!$I$12+'Setting key Duty'!$I$11)</f>
        <v>#VALUE!</v>
      </c>
      <c r="BC12" s="37" t="n">
        <f aca="false">COUNTIF(A12:AI12,"*$L*")</f>
        <v>0</v>
      </c>
      <c r="BD12" s="37" t="e">
        <f aca="false">BC12*('Setting key Duty'!$I$13+'Setting key Duty'!$I$9)</f>
        <v>#VALUE!</v>
      </c>
      <c r="BE12" s="37" t="n">
        <f aca="false">COUNTIF(A12:AI12,"*$M*")</f>
        <v>0</v>
      </c>
      <c r="BF12" s="37" t="n">
        <f aca="false">BE12*('Setting key Duty'!$I$8+'Setting key Duty'!$I$9+'Setting key Duty'!$I$12)</f>
        <v>0</v>
      </c>
      <c r="BG12" s="37" t="n">
        <f aca="false">COUNTIF(AI12,"*$N*")</f>
        <v>0</v>
      </c>
      <c r="BH12" s="37" t="n">
        <f aca="false">COUNTIF(AI12,"*$PM*")</f>
        <v>0</v>
      </c>
      <c r="BI12" s="37" t="n">
        <f aca="false">BH12*('Setting key Duty'!$I$9)</f>
        <v>0</v>
      </c>
      <c r="BJ12" s="37" t="n">
        <f aca="false">COUNTIF(A12:AI12,"*$AM*")</f>
        <v>0</v>
      </c>
      <c r="BK12" s="37" t="n">
        <f aca="false">BJ12*('Setting key Duty'!$I$12+'Setting key Duty'!$I$8)</f>
        <v>0</v>
      </c>
      <c r="BL12" s="37" t="n">
        <f aca="false">COUNTIF(D12:AI12,"*$FC*")</f>
        <v>0</v>
      </c>
      <c r="BM12" s="37" t="n">
        <f aca="false">BL12*('Setting key Duty'!$J$11+'Setting key Duty'!$I$8)</f>
        <v>0</v>
      </c>
      <c r="BN12" s="37" t="n">
        <f aca="false">COUNTIF($D12:$Y12,BN$4)</f>
        <v>0</v>
      </c>
      <c r="BO12" s="37" t="n">
        <f aca="false">COUNTIF($D12:$Y12,BO$4)</f>
        <v>5</v>
      </c>
      <c r="BP12" s="37" t="n">
        <f aca="false">COUNTIF($D12:$Y12,BP$4)</f>
        <v>0</v>
      </c>
      <c r="BQ12" s="39"/>
    </row>
    <row r="13" customFormat="false" ht="24" hidden="false" customHeight="true" outlineLevel="0" collapsed="false">
      <c r="A13" s="30"/>
      <c r="B13" s="49" t="s">
        <v>353</v>
      </c>
      <c r="C13" s="32"/>
      <c r="D13" s="32"/>
      <c r="E13" s="32" t="s">
        <v>157</v>
      </c>
      <c r="F13" s="32" t="s">
        <v>57</v>
      </c>
      <c r="H13" s="32"/>
      <c r="I13" s="45" t="s">
        <v>57</v>
      </c>
      <c r="J13" s="42"/>
      <c r="K13" s="32" t="s">
        <v>229</v>
      </c>
      <c r="L13" s="32" t="s">
        <v>229</v>
      </c>
      <c r="M13" s="32"/>
      <c r="N13" s="32"/>
      <c r="O13" s="32"/>
      <c r="P13" s="32" t="s">
        <v>57</v>
      </c>
      <c r="R13" s="32"/>
      <c r="S13" s="32"/>
      <c r="T13" s="32" t="s">
        <v>57</v>
      </c>
      <c r="U13" s="32"/>
      <c r="V13" s="32"/>
      <c r="W13" s="115" t="s">
        <v>350</v>
      </c>
      <c r="X13" s="32"/>
      <c r="Z13" s="91"/>
      <c r="AA13" s="32" t="s">
        <v>59</v>
      </c>
      <c r="AB13" s="32"/>
      <c r="AC13" s="115" t="s">
        <v>350</v>
      </c>
      <c r="AD13" s="32"/>
      <c r="AE13" s="32"/>
      <c r="AF13" s="33"/>
      <c r="AG13" s="52"/>
      <c r="AH13" s="32"/>
      <c r="AI13" s="35" t="n">
        <f aca="false">COUNTIF($C13:$AB13,AI$4)</f>
        <v>4</v>
      </c>
      <c r="AJ13" s="36" t="n">
        <f aca="false">COUNTIF($C13:$AB13,AJ$4)</f>
        <v>0</v>
      </c>
      <c r="AK13" s="35" t="n">
        <f aca="false">COUNTIF($C13:$AB13,AK$4)</f>
        <v>1</v>
      </c>
      <c r="AL13" s="37" t="n">
        <f aca="false">COUNTIF($C13:$AB13,AL$4)</f>
        <v>0</v>
      </c>
      <c r="AM13" s="37" t="n">
        <f aca="false">COUNTIF($C13:$AB13,AM$4)</f>
        <v>0</v>
      </c>
      <c r="AN13" s="37" t="n">
        <f aca="false">COUNTIF($C13:$AB13,AN$4)</f>
        <v>0</v>
      </c>
      <c r="AO13" s="37" t="n">
        <f aca="false">COUNTIF($C13:$AB13,AO$4)</f>
        <v>0</v>
      </c>
      <c r="AP13" s="38"/>
      <c r="AQ13" s="37" t="n">
        <f aca="false">SUMPRODUCT(--WEEKDAY(C$3:AG$3,2)&lt;6,--((C13:AG13="DM"))+(C13:AG13="CS1")+((C13:AG13="CS2"))+(C13:AG13="SB1")+(C13:AG13="AE")+(C13:AG13="EM"))</f>
        <v>5</v>
      </c>
      <c r="AR13" s="38"/>
      <c r="AS13" s="38" t="n">
        <f aca="false">SUMPRODUCT(--WEEKDAY(C$3:AG$3,2)&gt;5,--((C13:AG13="DM"))+(C13:AG13="CS1")+((C13:AG13="CS2"))+(C13:AG13="SB1")+(C13:AG13="AE")+(C13:AG13="EM"))</f>
        <v>0</v>
      </c>
      <c r="AT13" s="38"/>
      <c r="AU13" s="38" t="n">
        <f aca="false">(AQ13-AR13)/2+(AS13-AT13)</f>
        <v>2.5</v>
      </c>
      <c r="AV13" s="38" t="n">
        <f aca="false">AI13+AJ13+AK13+AL13+AN13+AO13</f>
        <v>5</v>
      </c>
      <c r="AW13" s="38" t="n">
        <f aca="false">BG13+BH13+BJ13+BE13+BC13+BA13+BL13</f>
        <v>0</v>
      </c>
      <c r="AX13" s="38" t="e">
        <f aca="false">AU13+AY13</f>
        <v>#VALUE!</v>
      </c>
      <c r="AY13" s="37" t="e">
        <f aca="false">(BJ13*('Setting key Duty'!$I$8+'Setting key Duty'!$I$12))+(BH13*'Setting key Duty'!$I$9)+(BC13*('Setting key Duty'!$I$13+'Setting key Duty'!$I$9))+(BA13*('Setting key Duty'!$I$13+'Setting key Duty'!$I$12+'Setting key Duty'!$I$11))+(BE13*('Setting key Duty'!$I$8+'Setting key Duty'!$I$9+'Setting key Duty'!$I$12))</f>
        <v>#VALUE!</v>
      </c>
      <c r="AZ13" s="37" t="n">
        <f aca="false">COUNTIF(C13:AB13,"*BRT*")</f>
        <v>0</v>
      </c>
      <c r="BA13" s="37" t="n">
        <f aca="false">COUNTIF(A13:AI13,"*$BTP*")</f>
        <v>0</v>
      </c>
      <c r="BB13" s="37" t="e">
        <f aca="false">BA13*('Setting key Duty'!$I$13+'Setting key Duty'!$I$12+'Setting key Duty'!$I$11)</f>
        <v>#VALUE!</v>
      </c>
      <c r="BC13" s="37" t="n">
        <f aca="false">COUNTIF(A13:AI13,"*$L*")</f>
        <v>0</v>
      </c>
      <c r="BD13" s="37" t="e">
        <f aca="false">BC13*('Setting key Duty'!$I$13+'Setting key Duty'!$I$9)</f>
        <v>#VALUE!</v>
      </c>
      <c r="BE13" s="37" t="n">
        <f aca="false">COUNTIF(A13:AI13,"*$M*")</f>
        <v>0</v>
      </c>
      <c r="BF13" s="37" t="n">
        <f aca="false">BE13*('Setting key Duty'!$I$8+'Setting key Duty'!$I$9+'Setting key Duty'!$I$12)</f>
        <v>0</v>
      </c>
      <c r="BG13" s="37" t="n">
        <f aca="false">COUNTIF(A13:AI13,"*$N*")</f>
        <v>0</v>
      </c>
      <c r="BH13" s="37" t="n">
        <f aca="false">COUNTIF(AI13,"*$PM*")</f>
        <v>0</v>
      </c>
      <c r="BI13" s="37" t="n">
        <f aca="false">BH13*('Setting key Duty'!$I$9)</f>
        <v>0</v>
      </c>
      <c r="BJ13" s="37" t="n">
        <f aca="false">COUNTIF(A13:AI13,"*$AM*")</f>
        <v>0</v>
      </c>
      <c r="BK13" s="37" t="n">
        <f aca="false">BJ13*('Setting key Duty'!$I$12+'Setting key Duty'!$I$8)</f>
        <v>0</v>
      </c>
      <c r="BL13" s="37" t="n">
        <f aca="false">COUNTIF(C13:AI13,"*$FC*")</f>
        <v>0</v>
      </c>
      <c r="BM13" s="37" t="n">
        <f aca="false">BL13*('Setting key Duty'!$J$11+'Setting key Duty'!$I$8)</f>
        <v>0</v>
      </c>
      <c r="BN13" s="37" t="n">
        <f aca="false">COUNTIF($C13:$AB13,BN$4)</f>
        <v>0</v>
      </c>
      <c r="BO13" s="37" t="n">
        <f aca="false">COUNTIF($C13:$AB13,BO$4)</f>
        <v>1</v>
      </c>
      <c r="BP13" s="37" t="n">
        <f aca="false">COUNTIF($C13:$AB13,BP$4)</f>
        <v>0</v>
      </c>
      <c r="BQ13" s="39"/>
    </row>
    <row r="14" customFormat="false" ht="37.5" hidden="false" customHeight="true" outlineLevel="0" collapsed="false">
      <c r="A14" s="30"/>
      <c r="B14" s="106" t="s">
        <v>224</v>
      </c>
      <c r="C14" s="32"/>
      <c r="D14" s="32"/>
      <c r="E14" s="32"/>
      <c r="F14" s="32" t="s">
        <v>157</v>
      </c>
      <c r="H14" s="115" t="s">
        <v>350</v>
      </c>
      <c r="I14" s="45"/>
      <c r="J14" s="32" t="s">
        <v>150</v>
      </c>
      <c r="K14" s="32" t="s">
        <v>150</v>
      </c>
      <c r="L14" s="47"/>
      <c r="M14" s="32" t="s">
        <v>57</v>
      </c>
      <c r="N14" s="32"/>
      <c r="Q14" s="32"/>
      <c r="R14" s="33"/>
      <c r="S14" s="115" t="s">
        <v>350</v>
      </c>
      <c r="V14" s="32" t="s">
        <v>349</v>
      </c>
      <c r="W14" s="32" t="s">
        <v>71</v>
      </c>
      <c r="X14" s="32" t="s">
        <v>71</v>
      </c>
      <c r="Y14" s="32" t="s">
        <v>71</v>
      </c>
      <c r="Z14" s="32" t="s">
        <v>71</v>
      </c>
      <c r="AA14" s="32" t="s">
        <v>71</v>
      </c>
      <c r="AB14" s="32" t="s">
        <v>71</v>
      </c>
      <c r="AC14" s="32" t="s">
        <v>71</v>
      </c>
      <c r="AD14" s="32" t="s">
        <v>55</v>
      </c>
      <c r="AE14" s="32" t="s">
        <v>55</v>
      </c>
      <c r="AF14" s="32" t="s">
        <v>55</v>
      </c>
      <c r="AG14" s="32" t="s">
        <v>55</v>
      </c>
      <c r="AH14" s="32"/>
      <c r="AI14" s="35" t="n">
        <f aca="false">COUNTIF($D14:$AC14,AI$4)</f>
        <v>1</v>
      </c>
      <c r="AJ14" s="36" t="n">
        <f aca="false">COUNTIF($D14:$AC14,AJ$4)</f>
        <v>0</v>
      </c>
      <c r="AK14" s="35" t="n">
        <f aca="false">COUNTIF($D14:$AC14,AK$4)</f>
        <v>0</v>
      </c>
      <c r="AL14" s="37" t="n">
        <f aca="false">COUNTIF($D14:$AC14,AL$4)</f>
        <v>0</v>
      </c>
      <c r="AM14" s="37" t="n">
        <f aca="false">COUNTIF($D14:$AC14,AM$4)</f>
        <v>0</v>
      </c>
      <c r="AN14" s="37" t="n">
        <f aca="false">COUNTIF($D14:$AC14,AN$4)</f>
        <v>0</v>
      </c>
      <c r="AO14" s="37" t="n">
        <f aca="false">COUNTIF($D14:$AC14,AO$4)</f>
        <v>0</v>
      </c>
      <c r="AP14" s="38"/>
      <c r="AQ14" s="37" t="n">
        <f aca="false">SUMPRODUCT(--WEEKDAY(C$3:AG$3,2)&lt;6,--((C14:AG14="DM"))+(C14:AG14="CS1")+((C14:AG14="CS2"))+(C14:AG14="SB1")+(C14:AG14="AE")+(C14:AG14="EM"))</f>
        <v>1</v>
      </c>
      <c r="AR14" s="38"/>
      <c r="AS14" s="38" t="n">
        <f aca="false">SUMPRODUCT(--WEEKDAY(C$3:AG$3,2)&gt;5,--((C14:AG14="DM"))+(C14:AG14="CS1")+((C14:AG14="CS2"))+(C14:AG14="SB1")+(C14:AG14="AE")+(C14:AG14="EM"))</f>
        <v>0</v>
      </c>
      <c r="AT14" s="38"/>
      <c r="AU14" s="38" t="n">
        <f aca="false">(AQ14-AR14)/2+(AS14-AT14)</f>
        <v>0.5</v>
      </c>
      <c r="AV14" s="38" t="n">
        <f aca="false">AI14+AJ14+AK14+AL14+AN14+AO14</f>
        <v>1</v>
      </c>
      <c r="AW14" s="38" t="n">
        <f aca="false">BG14+BH14+BJ14+BE14+BC14+BA14+BL14</f>
        <v>0</v>
      </c>
      <c r="AX14" s="38" t="e">
        <f aca="false">AU14+AY14</f>
        <v>#VALUE!</v>
      </c>
      <c r="AY14" s="37" t="e">
        <f aca="false">(BJ14*('Setting key Duty'!$I$8+'Setting key Duty'!$I$12))+(BH14*'Setting key Duty'!$I$9)+(BC14*('Setting key Duty'!$I$13+'Setting key Duty'!$I$9))+(BA14*('Setting key Duty'!$I$13+'Setting key Duty'!$I$12+'Setting key Duty'!$I$11))+(BE14*('Setting key Duty'!$I$8+'Setting key Duty'!$I$9+'Setting key Duty'!$I$12))</f>
        <v>#VALUE!</v>
      </c>
      <c r="AZ14" s="37" t="n">
        <f aca="false">COUNTIF(C14:AC14,"*BRT*")</f>
        <v>0</v>
      </c>
      <c r="BA14" s="37" t="n">
        <f aca="false">COUNTIF(A14:AI14,"*$BTP*")</f>
        <v>0</v>
      </c>
      <c r="BB14" s="37" t="e">
        <f aca="false">BA14*('Setting key Duty'!$I$13+'Setting key Duty'!$I$12+'Setting key Duty'!$I$11)</f>
        <v>#VALUE!</v>
      </c>
      <c r="BC14" s="37" t="n">
        <f aca="false">COUNTIF(A14:AI14,"*$L*")</f>
        <v>0</v>
      </c>
      <c r="BD14" s="37" t="e">
        <f aca="false">BC14*('Setting key Duty'!$I$13+'Setting key Duty'!$I$9)</f>
        <v>#VALUE!</v>
      </c>
      <c r="BE14" s="37" t="n">
        <f aca="false">COUNTIF(A14:AI14,"*$M*")</f>
        <v>0</v>
      </c>
      <c r="BF14" s="37" t="n">
        <f aca="false">BE14*('Setting key Duty'!$I$8+'Setting key Duty'!$I$9+'Setting key Duty'!$I$12)</f>
        <v>0</v>
      </c>
      <c r="BG14" s="37" t="n">
        <f aca="false">COUNTIF(AI14,"*$N*")</f>
        <v>0</v>
      </c>
      <c r="BH14" s="37" t="n">
        <f aca="false">COUNTIF(AI14,"*$PM*")</f>
        <v>0</v>
      </c>
      <c r="BI14" s="37" t="n">
        <f aca="false">BH14*('Setting key Duty'!$I$9)</f>
        <v>0</v>
      </c>
      <c r="BJ14" s="37" t="n">
        <f aca="false">COUNTIF(A14:AI14,"*$AM*")</f>
        <v>0</v>
      </c>
      <c r="BK14" s="37" t="n">
        <f aca="false">BJ14*('Setting key Duty'!$I$12+'Setting key Duty'!$I$8)</f>
        <v>0</v>
      </c>
      <c r="BL14" s="37" t="n">
        <f aca="false">COUNTIF(C14:AI14,"*$FC*")</f>
        <v>0</v>
      </c>
      <c r="BM14" s="37" t="n">
        <f aca="false">BL14*('Setting key Duty'!$J$11+'Setting key Duty'!$I$8)</f>
        <v>0</v>
      </c>
      <c r="BN14" s="37" t="n">
        <f aca="false">COUNTIF($C14:$AC14,BN$4)</f>
        <v>0</v>
      </c>
      <c r="BO14" s="37" t="n">
        <f aca="false">COUNTIF($C14:$AC14,BO$4)</f>
        <v>2</v>
      </c>
      <c r="BP14" s="37" t="n">
        <f aca="false">COUNTIF($C14:$AC14,BP$4)</f>
        <v>0</v>
      </c>
      <c r="BQ14" s="39"/>
    </row>
    <row r="15" customFormat="false" ht="19.5" hidden="false" customHeight="true" outlineLevel="0" collapsed="false">
      <c r="A15" s="30"/>
      <c r="B15" s="104" t="s">
        <v>226</v>
      </c>
      <c r="D15" s="32"/>
      <c r="E15" s="32" t="s">
        <v>157</v>
      </c>
      <c r="F15" s="32" t="s">
        <v>58</v>
      </c>
      <c r="G15" s="32"/>
      <c r="I15" s="32"/>
      <c r="J15" s="32" t="s">
        <v>150</v>
      </c>
      <c r="K15" s="32" t="s">
        <v>150</v>
      </c>
      <c r="L15" s="115" t="s">
        <v>350</v>
      </c>
      <c r="M15" s="33"/>
      <c r="N15" s="32"/>
      <c r="O15" s="42"/>
      <c r="R15" s="32" t="s">
        <v>57</v>
      </c>
      <c r="S15" s="32"/>
      <c r="U15" s="33"/>
      <c r="V15" s="42" t="s">
        <v>158</v>
      </c>
      <c r="W15" s="32" t="s">
        <v>71</v>
      </c>
      <c r="X15" s="32"/>
      <c r="Y15" s="32" t="s">
        <v>57</v>
      </c>
      <c r="Z15" s="34"/>
      <c r="AA15" s="32" t="s">
        <v>80</v>
      </c>
      <c r="AC15" s="32"/>
      <c r="AD15" s="32" t="s">
        <v>57</v>
      </c>
      <c r="AE15" s="32"/>
      <c r="AF15" s="52"/>
      <c r="AG15" s="52"/>
      <c r="AH15" s="32"/>
      <c r="AI15" s="35" t="n">
        <f aca="false">COUNTIF($D15:$AA15,AI$4)</f>
        <v>2</v>
      </c>
      <c r="AJ15" s="36" t="n">
        <f aca="false">COUNTIF($D15:$AA15,AJ$4)</f>
        <v>0</v>
      </c>
      <c r="AK15" s="35" t="n">
        <f aca="false">COUNTIF($D15:$AA15,AK$4)</f>
        <v>0</v>
      </c>
      <c r="AL15" s="37" t="n">
        <f aca="false">COUNTIF($D15:$AA15,AL$4)</f>
        <v>1</v>
      </c>
      <c r="AM15" s="37" t="n">
        <f aca="false">COUNTIF($D15:$AA15,AM$4)</f>
        <v>0</v>
      </c>
      <c r="AN15" s="37" t="n">
        <f aca="false">COUNTIF($D15:$AA15,AN$4)</f>
        <v>0</v>
      </c>
      <c r="AO15" s="37" t="n">
        <f aca="false">COUNTIF($D15:$AA15,AO$4)</f>
        <v>0</v>
      </c>
      <c r="AP15" s="38"/>
      <c r="AQ15" s="37" t="n">
        <f aca="false">SUMPRODUCT(--WEEKDAY(C$3:AG$3,2)&lt;6,--((C15:AG15="DM"))+(C15:AG15="CS1")+((C15:AG15="CS2"))+(C15:AG15="SB1")+(C15:AG15="AE")+(C15:AG15="EM"))</f>
        <v>2</v>
      </c>
      <c r="AR15" s="38"/>
      <c r="AS15" s="38" t="n">
        <f aca="false">SUMPRODUCT(--WEEKDAY(C$3:AG$3,2)&gt;5,--((C15:AG15="DM"))+(C15:AG15="CS1")+((C15:AG15="CS2"))+(C15:AG15="SB1")+(C15:AG15="AE")+(C15:AG15="EM"))</f>
        <v>2</v>
      </c>
      <c r="AT15" s="38"/>
      <c r="AU15" s="38" t="n">
        <f aca="false">(AQ15-AR15)/2+(AS15-AT15)</f>
        <v>3</v>
      </c>
      <c r="AV15" s="38" t="n">
        <f aca="false">AI15+AJ15+AK15+AL15+AN15+AO15</f>
        <v>3</v>
      </c>
      <c r="AW15" s="38" t="n">
        <f aca="false">BG15+BH15+BJ15+BE15+BC15+BA15+BL15</f>
        <v>0</v>
      </c>
      <c r="AX15" s="38" t="e">
        <f aca="false">AU15+AY15</f>
        <v>#VALUE!</v>
      </c>
      <c r="AY15" s="37" t="e">
        <f aca="false">(BJ15*('Setting key Duty'!$I$8+'Setting key Duty'!$I$12))+(BH15*'Setting key Duty'!$I$9)+(BC15*('Setting key Duty'!$I$13+'Setting key Duty'!$I$9))+(BA15*('Setting key Duty'!$I$13+'Setting key Duty'!$I$12+'Setting key Duty'!$I$11))+(BE15*('Setting key Duty'!$I$8+'Setting key Duty'!$I$9+'Setting key Duty'!$I$12))</f>
        <v>#VALUE!</v>
      </c>
      <c r="AZ15" s="37" t="n">
        <f aca="false">COUNTIF(D15:AA15,"*BRT*")</f>
        <v>0</v>
      </c>
      <c r="BA15" s="37" t="n">
        <f aca="false">COUNTIF(A15:AI15,"*$BTP*")</f>
        <v>0</v>
      </c>
      <c r="BB15" s="37" t="e">
        <f aca="false">BA15*('Setting key Duty'!$I$13+'Setting key Duty'!$I$12+'Setting key Duty'!$I$11)</f>
        <v>#VALUE!</v>
      </c>
      <c r="BC15" s="37" t="n">
        <f aca="false">COUNTIF(A15:AI15,"*$L*")</f>
        <v>0</v>
      </c>
      <c r="BD15" s="37" t="e">
        <f aca="false">BC15*('Setting key Duty'!$I$13+'Setting key Duty'!$I$9)</f>
        <v>#VALUE!</v>
      </c>
      <c r="BE15" s="37" t="n">
        <f aca="false">COUNTIF(A15:AI15,"*$M*")</f>
        <v>0</v>
      </c>
      <c r="BF15" s="37" t="n">
        <f aca="false">BE15*('Setting key Duty'!$I$8+'Setting key Duty'!$I$9+'Setting key Duty'!$I$12)</f>
        <v>0</v>
      </c>
      <c r="BG15" s="37" t="n">
        <f aca="false">COUNTIF(A15:AI15,"*$N*")</f>
        <v>0</v>
      </c>
      <c r="BH15" s="37" t="n">
        <f aca="false">COUNTIF(AI15,"*$PM*")</f>
        <v>0</v>
      </c>
      <c r="BI15" s="37" t="n">
        <f aca="false">BH15*('Setting key Duty'!$I$9)</f>
        <v>0</v>
      </c>
      <c r="BJ15" s="37" t="n">
        <f aca="false">COUNTIF(A15:AI15,"*$AM*")</f>
        <v>0</v>
      </c>
      <c r="BK15" s="37" t="n">
        <f aca="false">BJ15*('Setting key Duty'!$I$12+'Setting key Duty'!$I$8)</f>
        <v>0</v>
      </c>
      <c r="BL15" s="37" t="n">
        <f aca="false">COUNTIF(D15:AI15,"*$FC*")</f>
        <v>0</v>
      </c>
      <c r="BM15" s="37" t="n">
        <f aca="false">BL15*('Setting key Duty'!$J$11+'Setting key Duty'!$I$8)</f>
        <v>0</v>
      </c>
      <c r="BN15" s="37" t="n">
        <f aca="false">COUNTIF($D15:$AA15,BN$4)</f>
        <v>0</v>
      </c>
      <c r="BO15" s="37" t="n">
        <f aca="false">COUNTIF($D15:$AA15,BO$4)</f>
        <v>1</v>
      </c>
      <c r="BP15" s="37" t="n">
        <f aca="false">COUNTIF($D15:$AA15,BP$4)</f>
        <v>0</v>
      </c>
      <c r="BQ15" s="39"/>
    </row>
    <row r="16" customFormat="false" ht="19.5" hidden="false" customHeight="true" outlineLevel="0" collapsed="false">
      <c r="A16" s="30"/>
      <c r="B16" s="41" t="s">
        <v>286</v>
      </c>
      <c r="C16" s="32"/>
      <c r="D16" s="32"/>
      <c r="E16" s="32" t="s">
        <v>57</v>
      </c>
      <c r="F16" s="45"/>
      <c r="G16" s="115" t="s">
        <v>350</v>
      </c>
      <c r="I16" s="32"/>
      <c r="J16" s="32" t="s">
        <v>56</v>
      </c>
      <c r="L16" s="42"/>
      <c r="M16" s="33"/>
      <c r="N16" s="32"/>
      <c r="O16" s="32" t="s">
        <v>56</v>
      </c>
      <c r="P16" s="32"/>
      <c r="Q16" s="32"/>
      <c r="R16" s="32"/>
      <c r="S16" s="32" t="s">
        <v>55</v>
      </c>
      <c r="T16" s="32"/>
      <c r="U16" s="32" t="s">
        <v>55</v>
      </c>
      <c r="V16" s="32"/>
      <c r="W16" s="32" t="s">
        <v>349</v>
      </c>
      <c r="Y16" s="32" t="s">
        <v>59</v>
      </c>
      <c r="Z16" s="32"/>
      <c r="AA16" s="32"/>
      <c r="AB16" s="33"/>
      <c r="AC16" s="32" t="s">
        <v>55</v>
      </c>
      <c r="AD16" s="32"/>
      <c r="AE16" s="32" t="s">
        <v>57</v>
      </c>
      <c r="AG16" s="52"/>
      <c r="AH16" s="32"/>
      <c r="AI16" s="35" t="n">
        <f aca="false">COUNTIF($C16:$AF16,AI$4)</f>
        <v>2</v>
      </c>
      <c r="AJ16" s="36" t="n">
        <f aca="false">COUNTIF($C16:$AF16,AJ$4)</f>
        <v>2</v>
      </c>
      <c r="AK16" s="35" t="n">
        <f aca="false">COUNTIF($C16:$AF16,AK$4)</f>
        <v>1</v>
      </c>
      <c r="AL16" s="37" t="n">
        <f aca="false">COUNTIF($C16:$AF16,AL$4)</f>
        <v>0</v>
      </c>
      <c r="AM16" s="37" t="n">
        <f aca="false">COUNTIF($C16:$AF16,AM$4)</f>
        <v>0</v>
      </c>
      <c r="AN16" s="37" t="n">
        <f aca="false">COUNTIF($C16:$AF16,AN$4)</f>
        <v>0</v>
      </c>
      <c r="AO16" s="37" t="n">
        <f aca="false">COUNTIF($C16:$AF16,AO$4)</f>
        <v>0</v>
      </c>
      <c r="AP16" s="38"/>
      <c r="AQ16" s="37" t="n">
        <f aca="false">SUMPRODUCT(--WEEKDAY(C$3:AG$3,2)&lt;6,--((C16:AG16="DM"))+(C16:AG16="CS1")+((C16:AG16="CS2"))+(C16:AG16="SB1")+(C16:AG16="AE")+(C16:AG16="EM"))</f>
        <v>2</v>
      </c>
      <c r="AR16" s="38"/>
      <c r="AS16" s="38" t="n">
        <f aca="false">SUMPRODUCT(--WEEKDAY(C$3:AG$3,2)&gt;5,--((C16:AG16="DM"))+(C16:AG16="CS1")+((C16:AG16="CS2"))+(C16:AG16="SB1")+(C16:AG16="AE")+(C16:AG16="EM"))</f>
        <v>3</v>
      </c>
      <c r="AT16" s="38"/>
      <c r="AU16" s="38" t="n">
        <f aca="false">(AQ16-AR16)/2+(AS16-AT16)</f>
        <v>4</v>
      </c>
      <c r="AV16" s="38" t="n">
        <f aca="false">AI16+AJ16+AK16+AL16+AN16+AO16</f>
        <v>5</v>
      </c>
      <c r="AW16" s="38" t="n">
        <f aca="false">BG16+BH16+BJ16+BE16+BC16+BA16+BL16</f>
        <v>0</v>
      </c>
      <c r="AX16" s="38" t="e">
        <f aca="false">AU16+AY16</f>
        <v>#VALUE!</v>
      </c>
      <c r="AY16" s="37" t="e">
        <f aca="false">(BJ16*('Setting key Duty'!$I$8+'Setting key Duty'!$I$12))+(BH16*'Setting key Duty'!$I$9)+(BC16*('Setting key Duty'!$I$13+'Setting key Duty'!$I$9))+(BA16*('Setting key Duty'!$I$13+'Setting key Duty'!$I$12+'Setting key Duty'!$I$11))+(BE16*('Setting key Duty'!$I$8+'Setting key Duty'!$I$9+'Setting key Duty'!$I$12))</f>
        <v>#VALUE!</v>
      </c>
      <c r="AZ16" s="37" t="n">
        <f aca="false">COUNTIF(C16:AC16,"*BRT*")</f>
        <v>0</v>
      </c>
      <c r="BA16" s="37" t="n">
        <f aca="false">COUNTIF(A16:AI16,"*$BTP*")</f>
        <v>0</v>
      </c>
      <c r="BB16" s="37" t="e">
        <f aca="false">BA16*('Setting key Duty'!$I$13+'Setting key Duty'!$I$12+'Setting key Duty'!$I$11)</f>
        <v>#VALUE!</v>
      </c>
      <c r="BC16" s="37" t="n">
        <f aca="false">COUNTIF(I16:AI16,"*$L*")</f>
        <v>0</v>
      </c>
      <c r="BD16" s="37" t="e">
        <f aca="false">BC16*('Setting key Duty'!$I$13+'Setting key Duty'!$I$9)</f>
        <v>#VALUE!</v>
      </c>
      <c r="BE16" s="37" t="n">
        <f aca="false">COUNTIF(I16:AI16,"*$M*")</f>
        <v>0</v>
      </c>
      <c r="BF16" s="37" t="n">
        <f aca="false">BE16*('Setting key Duty'!$I$8+'Setting key Duty'!$I$9+'Setting key Duty'!$I$12)</f>
        <v>0</v>
      </c>
      <c r="BG16" s="37" t="n">
        <f aca="false">COUNTIF(I16:AI16,"*$N*")</f>
        <v>0</v>
      </c>
      <c r="BH16" s="37" t="n">
        <f aca="false">COUNTIF(I16:AI16,"*$PM*")</f>
        <v>0</v>
      </c>
      <c r="BI16" s="37" t="n">
        <f aca="false">BH16*('Setting key Duty'!$I$9)</f>
        <v>0</v>
      </c>
      <c r="BJ16" s="37" t="n">
        <f aca="false">COUNTIF(I16:AI16,"*$AM*")</f>
        <v>0</v>
      </c>
      <c r="BK16" s="37" t="n">
        <f aca="false">BJ16*('Setting key Duty'!$I$12+'Setting key Duty'!$I$8)</f>
        <v>0</v>
      </c>
      <c r="BL16" s="37" t="n">
        <f aca="false">COUNTIF(C16:AI16,"*$FC*")</f>
        <v>0</v>
      </c>
      <c r="BM16" s="37" t="n">
        <f aca="false">BL16*('Setting key Duty'!$J$11+'Setting key Duty'!$I$8)</f>
        <v>0</v>
      </c>
      <c r="BN16" s="37" t="n">
        <f aca="false">COUNTIF($C16:$AF16,BN$4)</f>
        <v>0</v>
      </c>
      <c r="BO16" s="37" t="n">
        <f aca="false">COUNTIF($C16:$AF16,BO$4)</f>
        <v>1</v>
      </c>
      <c r="BP16" s="37" t="n">
        <f aca="false">COUNTIF($I16:$AE16,BP$4)</f>
        <v>3</v>
      </c>
      <c r="BQ16" s="39"/>
    </row>
    <row r="17" customFormat="false" ht="19.5" hidden="false" customHeight="true" outlineLevel="0" collapsed="false">
      <c r="A17" s="30"/>
      <c r="B17" s="106" t="s">
        <v>289</v>
      </c>
      <c r="C17" s="32"/>
      <c r="D17" s="32"/>
      <c r="E17" s="32" t="s">
        <v>58</v>
      </c>
      <c r="F17" s="32"/>
      <c r="G17" s="32"/>
      <c r="H17" s="32" t="s">
        <v>65</v>
      </c>
      <c r="I17" s="32"/>
      <c r="J17" s="115" t="s">
        <v>350</v>
      </c>
      <c r="M17" s="33"/>
      <c r="N17" s="42" t="s">
        <v>65</v>
      </c>
      <c r="O17" s="33"/>
      <c r="P17" s="115" t="s">
        <v>350</v>
      </c>
      <c r="Q17" s="42"/>
      <c r="T17" s="32"/>
      <c r="U17" s="42" t="s">
        <v>65</v>
      </c>
      <c r="V17" s="32" t="s">
        <v>349</v>
      </c>
      <c r="W17" s="32"/>
      <c r="X17" s="115" t="s">
        <v>350</v>
      </c>
      <c r="Y17" s="32"/>
      <c r="Z17" s="32"/>
      <c r="AA17" s="32" t="s">
        <v>56</v>
      </c>
      <c r="AB17" s="32"/>
      <c r="AC17" s="32" t="s">
        <v>65</v>
      </c>
      <c r="AD17" s="32"/>
      <c r="AE17" s="32"/>
      <c r="AF17" s="32"/>
      <c r="AG17" s="116"/>
      <c r="AH17" s="42"/>
      <c r="AI17" s="35"/>
      <c r="AJ17" s="36"/>
      <c r="AK17" s="35"/>
      <c r="AL17" s="37"/>
      <c r="AM17" s="37"/>
      <c r="AN17" s="37"/>
      <c r="AO17" s="37"/>
      <c r="AP17" s="38"/>
      <c r="AQ17" s="37" t="n">
        <f aca="false">SUMPRODUCT(--WEEKDAY(C$3:AG$3,2)&lt;6,--((C17:AG17="DM"))+(C17:AG17="CS1")+((C17:AG17="CS2"))+(C17:AG17="SB1")+(C17:AG17="AE")+(C17:AG17="EM"))</f>
        <v>6</v>
      </c>
      <c r="AR17" s="38"/>
      <c r="AS17" s="38" t="n">
        <f aca="false">SUMPRODUCT(--WEEKDAY(C$3:AG$3,2)&gt;5,--((C17:AG17="DM"))+(C17:AG17="CS1")+((C17:AG17="CS2"))+(C17:AG17="SB1")+(C17:AG17="AE")+(C17:AG17="EM"))</f>
        <v>0</v>
      </c>
      <c r="AT17" s="38"/>
      <c r="AU17" s="38" t="n">
        <f aca="false">(AQ17-AR17)/2+(AS17-AT17)</f>
        <v>3</v>
      </c>
      <c r="AV17" s="38" t="n">
        <f aca="false">AI17+AJ17+AK17+AL17+AN17+AO17</f>
        <v>0</v>
      </c>
      <c r="AW17" s="38" t="n">
        <f aca="false">BG17+BH17+BJ17+BE17+BC17+BA17+BL17</f>
        <v>0</v>
      </c>
      <c r="AX17" s="38" t="e">
        <f aca="false">AU17+$AY$10</f>
        <v>#VALUE!</v>
      </c>
      <c r="AY17" s="37" t="e">
        <f aca="false">(BJ17*('Setting key Duty'!$I$8+'Setting key Duty'!$I$12))+(BH17*'Setting key Duty'!$I$9)+(BC17*('Setting key Duty'!$I$13+'Setting key Duty'!$I$9))+(BA17*('Setting key Duty'!$I$13+'Setting key Duty'!$I$12+'Setting key Duty'!$I$11))+(BE17*('Setting key Duty'!$I$8+'Setting key Duty'!$I$9+'Setting key Duty'!$I$12))</f>
        <v>#VALUE!</v>
      </c>
      <c r="AZ17" s="37" t="n">
        <f aca="false">COUNTIF(D17:AA17,"*BRT*")</f>
        <v>0</v>
      </c>
      <c r="BA17" s="37" t="n">
        <f aca="false">COUNTIF(A17:AI17,"*$BTP*")</f>
        <v>0</v>
      </c>
      <c r="BB17" s="37" t="e">
        <f aca="false">BA17*('Setting key Duty'!$I$13+'Setting key Duty'!$I$12+'Setting key Duty'!$I$11)</f>
        <v>#VALUE!</v>
      </c>
      <c r="BC17" s="37" t="n">
        <f aca="false">COUNTIF(A17:AI17,"*$L*")</f>
        <v>0</v>
      </c>
      <c r="BD17" s="37" t="e">
        <f aca="false">BC17*('Setting key Duty'!$I$13+'Setting key Duty'!$I$9)</f>
        <v>#VALUE!</v>
      </c>
      <c r="BE17" s="37" t="n">
        <f aca="false">COUNTIF(A17:AI17,"*$M*")</f>
        <v>0</v>
      </c>
      <c r="BF17" s="37" t="n">
        <f aca="false">BE17*('Setting key Duty'!$I$8+'Setting key Duty'!$I$9+'Setting key Duty'!$I$12)</f>
        <v>0</v>
      </c>
      <c r="BG17" s="37" t="n">
        <f aca="false">COUNTIF(AI17,"*$N*")</f>
        <v>0</v>
      </c>
      <c r="BH17" s="37" t="n">
        <f aca="false">COUNTIF(AI17,"*$PM*")</f>
        <v>0</v>
      </c>
      <c r="BI17" s="37" t="n">
        <f aca="false">BH17*('Setting key Duty'!$I$9)</f>
        <v>0</v>
      </c>
      <c r="BJ17" s="37" t="n">
        <f aca="false">COUNTIF(A17:AI17,"*$AM*")</f>
        <v>0</v>
      </c>
      <c r="BK17" s="37" t="n">
        <f aca="false">BJ17*('Setting key Duty'!$I$12+'Setting key Duty'!$I$8)</f>
        <v>0</v>
      </c>
      <c r="BL17" s="37" t="n">
        <f aca="false">COUNTIF(D17:AI17,"*$FC*")</f>
        <v>0</v>
      </c>
      <c r="BM17" s="37" t="n">
        <f aca="false">BL17*('Setting key Duty'!$J$11+'Setting key Duty'!$I$8)</f>
        <v>0</v>
      </c>
      <c r="BN17" s="37" t="n">
        <f aca="false">COUNTIF($D17:$AA17,BN$4)</f>
        <v>0</v>
      </c>
      <c r="BO17" s="37" t="n">
        <f aca="false">COUNTIF($D17:$AA17,BO$4)</f>
        <v>3</v>
      </c>
      <c r="BP17" s="37" t="n">
        <f aca="false">COUNTIF($D17:$AA17,BP$4)</f>
        <v>0</v>
      </c>
      <c r="BQ17" s="39"/>
    </row>
    <row r="18" customFormat="false" ht="19.5" hidden="false" customHeight="true" outlineLevel="0" collapsed="false">
      <c r="A18" s="30"/>
      <c r="B18" s="48" t="s">
        <v>121</v>
      </c>
      <c r="C18" s="32"/>
      <c r="D18" s="32"/>
      <c r="E18" s="32" t="s">
        <v>294</v>
      </c>
      <c r="G18" s="117" t="s">
        <v>173</v>
      </c>
      <c r="H18" s="117" t="s">
        <v>173</v>
      </c>
      <c r="I18" s="32" t="s">
        <v>58</v>
      </c>
      <c r="K18" s="42"/>
      <c r="L18" s="32" t="s">
        <v>56</v>
      </c>
      <c r="M18" s="33"/>
      <c r="N18" s="32" t="s">
        <v>56</v>
      </c>
      <c r="O18" s="33"/>
      <c r="P18" s="32" t="s">
        <v>56</v>
      </c>
      <c r="Q18" s="32"/>
      <c r="S18" s="32" t="s">
        <v>56</v>
      </c>
      <c r="T18" s="32"/>
      <c r="U18" s="32" t="s">
        <v>176</v>
      </c>
      <c r="V18" s="32" t="s">
        <v>349</v>
      </c>
      <c r="W18" s="32"/>
      <c r="X18" s="32"/>
      <c r="Y18" s="115" t="s">
        <v>350</v>
      </c>
      <c r="Z18" s="32" t="s">
        <v>55</v>
      </c>
      <c r="AA18" s="32" t="s">
        <v>55</v>
      </c>
      <c r="AB18" s="32" t="s">
        <v>55</v>
      </c>
      <c r="AC18" s="32" t="s">
        <v>55</v>
      </c>
      <c r="AD18" s="32" t="s">
        <v>55</v>
      </c>
      <c r="AE18" s="32"/>
      <c r="AF18" s="32"/>
      <c r="AG18" s="32"/>
      <c r="AH18" s="32"/>
      <c r="AI18" s="35"/>
      <c r="AJ18" s="36"/>
      <c r="AK18" s="35"/>
      <c r="AL18" s="37"/>
      <c r="AM18" s="37"/>
      <c r="AN18" s="37"/>
      <c r="AO18" s="37"/>
      <c r="AP18" s="38"/>
      <c r="AQ18" s="37" t="n">
        <f aca="false">SUMPRODUCT(--WEEKDAY(C$3:AG$3,2)&lt;6,--((C18:AG18="DM"))+(C18:AG18="CS1")+((C18:AG18="CS2"))+(C18:AG18="SB1")+(C18:AG18="AE")+(C18:AG18="EM"))</f>
        <v>5</v>
      </c>
      <c r="AR18" s="38"/>
      <c r="AS18" s="38" t="n">
        <f aca="false">SUMPRODUCT(--WEEKDAY(C$3:AG$3,2)&gt;5,--((C18:AG18="DM"))+(C18:AG18="CS1")+((C18:AG18="CS2"))+(C18:AG18="SB1")+(C18:AG18="AE")+(C18:AG18="EM"))</f>
        <v>0</v>
      </c>
      <c r="AT18" s="38"/>
      <c r="AU18" s="38" t="n">
        <f aca="false">(AQ18-AR18)/2+(AS18-AT18)</f>
        <v>2.5</v>
      </c>
      <c r="AV18" s="38" t="n">
        <f aca="false">AI18+AJ18+AK18+AL18+AN18+AO18</f>
        <v>0</v>
      </c>
      <c r="AW18" s="38" t="n">
        <f aca="false">BG18+BH18+BJ18+BE18+BC18+BA18+BL18</f>
        <v>1</v>
      </c>
      <c r="AX18" s="38" t="e">
        <f aca="false">AU18+$AY$10</f>
        <v>#VALUE!</v>
      </c>
      <c r="AY18" s="37" t="e">
        <f aca="false">(BJ18*('Setting key Duty'!$I$8+'Setting key Duty'!$I$12))+(BH18*'Setting key Duty'!$I$9)+(BC18*('Setting key Duty'!$I$13+'Setting key Duty'!$I$9))+(BA18*('Setting key Duty'!$I$13+'Setting key Duty'!$I$12+'Setting key Duty'!$I$11))+(BE18*('Setting key Duty'!$I$8+'Setting key Duty'!$I$9+'Setting key Duty'!$I$12))</f>
        <v>#VALUE!</v>
      </c>
      <c r="AZ18" s="37" t="n">
        <f aca="false">COUNTIF(D18:Y18,"*BRT*")</f>
        <v>0</v>
      </c>
      <c r="BA18" s="37" t="n">
        <f aca="false">COUNTIF(A18:AI18,"*$BTP*")</f>
        <v>0</v>
      </c>
      <c r="BB18" s="37" t="e">
        <f aca="false">BA18*('Setting key Duty'!$I$13+'Setting key Duty'!$I$12+'Setting key Duty'!$I$11)</f>
        <v>#VALUE!</v>
      </c>
      <c r="BC18" s="37" t="n">
        <f aca="false">COUNTIF(A18:AI18,"*$L*")</f>
        <v>0</v>
      </c>
      <c r="BD18" s="37" t="e">
        <f aca="false">BC18*('Setting key Duty'!$I$13+'Setting key Duty'!$I$9)</f>
        <v>#VALUE!</v>
      </c>
      <c r="BE18" s="37" t="n">
        <f aca="false">COUNTIF(A18:AI18,"*$M*")</f>
        <v>1</v>
      </c>
      <c r="BF18" s="37" t="n">
        <f aca="false">BE18*('Setting key Duty'!$I$8+'Setting key Duty'!$I$9+'Setting key Duty'!$I$12)</f>
        <v>0.5625</v>
      </c>
      <c r="BG18" s="37" t="n">
        <f aca="false">COUNTIF(AI18,"*$N*")</f>
        <v>0</v>
      </c>
      <c r="BH18" s="37" t="n">
        <f aca="false">COUNTIF(AI18,"*$PM*")</f>
        <v>0</v>
      </c>
      <c r="BI18" s="37" t="n">
        <f aca="false">BH18*('Setting key Duty'!$I$9)</f>
        <v>0</v>
      </c>
      <c r="BJ18" s="37" t="n">
        <f aca="false">COUNTIF(A18:AI18,"*$AM*")</f>
        <v>0</v>
      </c>
      <c r="BK18" s="37" t="n">
        <f aca="false">BJ18*('Setting key Duty'!$I$12+'Setting key Duty'!$I$8)</f>
        <v>0</v>
      </c>
      <c r="BL18" s="37" t="n">
        <f aca="false">COUNTIF(D18:AI18,"*$FC*")</f>
        <v>0</v>
      </c>
      <c r="BM18" s="37" t="n">
        <f aca="false">BL18*('Setting key Duty'!$J$11+'Setting key Duty'!$I$8)</f>
        <v>0</v>
      </c>
      <c r="BN18" s="37" t="n">
        <f aca="false">COUNTIF($D18:$Y18,BN$4)</f>
        <v>0</v>
      </c>
      <c r="BO18" s="37" t="n">
        <f aca="false">COUNTIF($D18:$Y18,BO$4)</f>
        <v>1</v>
      </c>
      <c r="BP18" s="37" t="n">
        <f aca="false">COUNTIF($D18:$Y18,BP$4)</f>
        <v>0</v>
      </c>
      <c r="BQ18" s="39"/>
    </row>
    <row r="19" customFormat="false" ht="26.25" hidden="false" customHeight="true" outlineLevel="0" collapsed="false">
      <c r="A19" s="30"/>
      <c r="B19" s="53" t="s">
        <v>300</v>
      </c>
      <c r="C19" s="32"/>
      <c r="D19" s="32"/>
      <c r="E19" s="32" t="s">
        <v>157</v>
      </c>
      <c r="F19" s="115" t="s">
        <v>350</v>
      </c>
      <c r="G19" s="32"/>
      <c r="H19" s="32" t="s">
        <v>56</v>
      </c>
      <c r="I19" s="32"/>
      <c r="J19" s="32" t="s">
        <v>57</v>
      </c>
      <c r="K19" s="34"/>
      <c r="M19" s="33"/>
      <c r="N19" s="115" t="s">
        <v>350</v>
      </c>
      <c r="O19" s="32"/>
      <c r="P19" s="32"/>
      <c r="Q19" s="32"/>
      <c r="R19" s="32" t="s">
        <v>56</v>
      </c>
      <c r="T19" s="32"/>
      <c r="U19" s="32" t="s">
        <v>59</v>
      </c>
      <c r="W19" s="32" t="s">
        <v>349</v>
      </c>
      <c r="X19" s="32"/>
      <c r="Y19" s="32"/>
      <c r="Z19" s="115" t="s">
        <v>350</v>
      </c>
      <c r="AB19" s="32" t="s">
        <v>59</v>
      </c>
      <c r="AC19" s="32"/>
      <c r="AD19" s="32"/>
      <c r="AE19" s="32"/>
      <c r="AF19" s="32"/>
      <c r="AG19" s="52" t="s">
        <v>57</v>
      </c>
      <c r="AH19" s="32"/>
      <c r="AI19" s="35"/>
      <c r="AJ19" s="36"/>
      <c r="AK19" s="35"/>
      <c r="AL19" s="37"/>
      <c r="AM19" s="37"/>
      <c r="AN19" s="37"/>
      <c r="AO19" s="37"/>
      <c r="AP19" s="38"/>
      <c r="AQ19" s="37" t="n">
        <f aca="false">SUMPRODUCT(--WEEKDAY(C$3:AG$3,2)&lt;6,--((C19:AG19="DM"))+(C19:AG19="CS1")+((C19:AG19="CS2"))+(C19:AG19="SB1")+(C19:AG19="AE")+(C19:AG19="EM"))</f>
        <v>4</v>
      </c>
      <c r="AR19" s="38"/>
      <c r="AS19" s="38" t="n">
        <f aca="false">SUMPRODUCT(--WEEKDAY(C$3:AG$3,2)&gt;5,--((C19:AG19="DM"))+(C19:AG19="CS1")+((C19:AG19="CS2"))+(C19:AG19="SB1")+(C19:AG19="AE")+(C19:AG19="EM"))</f>
        <v>2</v>
      </c>
      <c r="AT19" s="38"/>
      <c r="AU19" s="38" t="n">
        <f aca="false">(AQ19-AR19)/2+(AS19-AT19)</f>
        <v>4</v>
      </c>
      <c r="AV19" s="38" t="n">
        <f aca="false">AI19+AJ19+AK19+AL19+AN19+AO19</f>
        <v>0</v>
      </c>
      <c r="AW19" s="38" t="n">
        <f aca="false">BG19+BH19+BJ19+BE19+BC19+BA19+BL19</f>
        <v>0</v>
      </c>
      <c r="AX19" s="38" t="e">
        <f aca="false">AU19+AY19</f>
        <v>#VALUE!</v>
      </c>
      <c r="AY19" s="37" t="e">
        <f aca="false">(BJ19*('Setting key Duty'!$I$8+'Setting key Duty'!$I$12))+(BH19*'Setting key Duty'!$I$9)+(BC19*('Setting key Duty'!$I$13+'Setting key Duty'!$I$9))+(BA19*('Setting key Duty'!$I$13+'Setting key Duty'!$I$12+'Setting key Duty'!$I$11))+(BE19*('Setting key Duty'!$I$8+'Setting key Duty'!$I$9+'Setting key Duty'!$I$12))</f>
        <v>#VALUE!</v>
      </c>
      <c r="AZ19" s="37" t="n">
        <f aca="false">COUNTIF(E19:AA19,"*BRT*")</f>
        <v>0</v>
      </c>
      <c r="BA19" s="37" t="n">
        <f aca="false">COUNTIF(A19:AI19,"*$BTP*")</f>
        <v>0</v>
      </c>
      <c r="BB19" s="37" t="e">
        <f aca="false">BA19*('Setting key Duty'!$I$13+'Setting key Duty'!$I$12+'Setting key Duty'!$I$11)</f>
        <v>#VALUE!</v>
      </c>
      <c r="BC19" s="37" t="n">
        <f aca="false">COUNTIF(A19:AI19,"*$L*")</f>
        <v>0</v>
      </c>
      <c r="BD19" s="37" t="e">
        <f aca="false">BC19*('Setting key Duty'!$I$13+'Setting key Duty'!$I$9)</f>
        <v>#VALUE!</v>
      </c>
      <c r="BE19" s="37" t="n">
        <f aca="false">COUNTIF(A19:AI19,"*$M*")</f>
        <v>0</v>
      </c>
      <c r="BF19" s="37" t="n">
        <f aca="false">BE19*('Setting key Duty'!$I$8+'Setting key Duty'!$I$9+'Setting key Duty'!$I$12)</f>
        <v>0</v>
      </c>
      <c r="BG19" s="37" t="n">
        <f aca="false">COUNTIF(AG19:AI19,"*$N*")</f>
        <v>0</v>
      </c>
      <c r="BH19" s="37" t="n">
        <f aca="false">COUNTIF(AG19:AI19,"*$PM*")</f>
        <v>0</v>
      </c>
      <c r="BI19" s="37" t="n">
        <f aca="false">BH19*('Setting key Duty'!$I$9)</f>
        <v>0</v>
      </c>
      <c r="BJ19" s="37" t="n">
        <f aca="false">COUNTIF(A19:AI19,"*$AM*")</f>
        <v>0</v>
      </c>
      <c r="BK19" s="37" t="n">
        <f aca="false">BJ19*('Setting key Duty'!$I$12+'Setting key Duty'!$I$8)</f>
        <v>0</v>
      </c>
      <c r="BL19" s="37" t="n">
        <f aca="false">COUNTIF(E19:AI19,"*$FC*")</f>
        <v>0</v>
      </c>
      <c r="BM19" s="37" t="n">
        <f aca="false">BL19*('Setting key Duty'!$J$11+'Setting key Duty'!$I$8)</f>
        <v>0</v>
      </c>
      <c r="BN19" s="37" t="n">
        <f aca="false">COUNTIF($E19:$AA19,BN$4)</f>
        <v>0</v>
      </c>
      <c r="BO19" s="37" t="n">
        <f aca="false">COUNTIF($E19:$AA19,BO$4)</f>
        <v>3</v>
      </c>
      <c r="BP19" s="37" t="n">
        <f aca="false">COUNTIF($E19:$AA19,BP$4)</f>
        <v>0</v>
      </c>
      <c r="BQ19" s="39"/>
    </row>
    <row r="20" customFormat="false" ht="19.5" hidden="false" customHeight="true" outlineLevel="0" collapsed="false">
      <c r="A20" s="30"/>
      <c r="B20" s="106" t="s">
        <v>83</v>
      </c>
      <c r="C20" s="32"/>
      <c r="D20" s="32"/>
      <c r="E20" s="32" t="s">
        <v>157</v>
      </c>
      <c r="F20" s="32" t="s">
        <v>56</v>
      </c>
      <c r="G20" s="42"/>
      <c r="H20" s="34" t="s">
        <v>59</v>
      </c>
      <c r="I20" s="42"/>
      <c r="J20" s="32" t="s">
        <v>54</v>
      </c>
      <c r="K20" s="32" t="s">
        <v>54</v>
      </c>
      <c r="L20" s="32" t="s">
        <v>54</v>
      </c>
      <c r="M20" s="32" t="s">
        <v>54</v>
      </c>
      <c r="N20" s="32" t="s">
        <v>54</v>
      </c>
      <c r="O20" s="32" t="s">
        <v>54</v>
      </c>
      <c r="P20" s="32" t="s">
        <v>54</v>
      </c>
      <c r="Q20" s="32" t="s">
        <v>54</v>
      </c>
      <c r="R20" s="32" t="s">
        <v>54</v>
      </c>
      <c r="S20" s="32"/>
      <c r="T20" s="115" t="s">
        <v>350</v>
      </c>
      <c r="U20" s="32"/>
      <c r="V20" s="32" t="s">
        <v>349</v>
      </c>
      <c r="W20" s="32" t="s">
        <v>56</v>
      </c>
      <c r="X20" s="32"/>
      <c r="Y20" s="32"/>
      <c r="Z20" s="32"/>
      <c r="AB20" s="115" t="s">
        <v>350</v>
      </c>
      <c r="AC20" s="32"/>
      <c r="AD20" s="32" t="s">
        <v>59</v>
      </c>
      <c r="AE20" s="32"/>
      <c r="AF20" s="32" t="s">
        <v>56</v>
      </c>
      <c r="AG20" s="52"/>
      <c r="AH20" s="32"/>
      <c r="AI20" s="35"/>
      <c r="AJ20" s="36"/>
      <c r="AK20" s="35"/>
      <c r="AL20" s="37"/>
      <c r="AM20" s="37"/>
      <c r="AN20" s="37"/>
      <c r="AO20" s="37"/>
      <c r="AP20" s="38"/>
      <c r="AQ20" s="37" t="n">
        <f aca="false">SUMPRODUCT(--WEEKDAY(C$3:AG$3,2)&lt;6,--((C20:AG20="DM"))+(C20:AG20="CS1")+((C20:AG20="CS2"))+(C20:AG20="SB1")+(C20:AG20="AE")+(C20:AG20="EM"))</f>
        <v>4</v>
      </c>
      <c r="AR20" s="38"/>
      <c r="AS20" s="38" t="n">
        <f aca="false">SUMPRODUCT(--WEEKDAY(C$3:AG$3,2)&gt;5,--((C20:AG20="DM"))+(C20:AG20="CS1")+((C20:AG20="CS2"))+(C20:AG20="SB1")+(C20:AG20="AE")+(C20:AG20="EM"))</f>
        <v>1</v>
      </c>
      <c r="AT20" s="38"/>
      <c r="AU20" s="38" t="n">
        <f aca="false">(AQ20-AR20)/2+(AS20-AT20)</f>
        <v>3</v>
      </c>
      <c r="AV20" s="38" t="n">
        <f aca="false">AI20+AJ20+AK20+AL20+AN20+AO20</f>
        <v>0</v>
      </c>
      <c r="AW20" s="38" t="n">
        <f aca="false">BG20+BH20+BJ20+BE20+BC20+BA20+BL20</f>
        <v>0</v>
      </c>
      <c r="AX20" s="38" t="e">
        <f aca="false">AU20+AY20</f>
        <v>#VALUE!</v>
      </c>
      <c r="AY20" s="37" t="e">
        <f aca="false">(BJ20*('Setting key Duty'!$I$8+'Setting key Duty'!$I$12))+(BH20*'Setting key Duty'!$I$9)+(BC20*('Setting key Duty'!$I$13+'Setting key Duty'!$I$9))+(BA20*('Setting key Duty'!$I$13+'Setting key Duty'!$I$12+'Setting key Duty'!$I$11))+(BE20*('Setting key Duty'!$I$8+'Setting key Duty'!$I$9+'Setting key Duty'!$I$12))</f>
        <v>#VALUE!</v>
      </c>
      <c r="AZ20" s="37" t="n">
        <f aca="false">COUNTIF(D20:AC20,"*BRT*")</f>
        <v>0</v>
      </c>
      <c r="BA20" s="37" t="n">
        <f aca="false">COUNTIF(A20:AI20,"*$BTP*")</f>
        <v>0</v>
      </c>
      <c r="BB20" s="37" t="e">
        <f aca="false">BA20*('Setting key Duty'!$I$13+'Setting key Duty'!$I$12+'Setting key Duty'!$I$11)</f>
        <v>#VALUE!</v>
      </c>
      <c r="BC20" s="37" t="n">
        <f aca="false">COUNTIF(A20:AI20,"*$L*")</f>
        <v>0</v>
      </c>
      <c r="BD20" s="37" t="e">
        <f aca="false">BC20*('Setting key Duty'!$I$13+'Setting key Duty'!$I$9)</f>
        <v>#VALUE!</v>
      </c>
      <c r="BE20" s="37" t="n">
        <f aca="false">COUNTIF(A20:AI20,"*$M*")</f>
        <v>0</v>
      </c>
      <c r="BF20" s="37" t="n">
        <f aca="false">BE20*('Setting key Duty'!$I$8+'Setting key Duty'!$I$9+'Setting key Duty'!$I$12)</f>
        <v>0</v>
      </c>
      <c r="BG20" s="37" t="n">
        <f aca="false">COUNTIF(AF20:AI20,"*$N*")</f>
        <v>0</v>
      </c>
      <c r="BH20" s="37" t="n">
        <f aca="false">COUNTIF(AF20:AI20,"*$PM*")</f>
        <v>0</v>
      </c>
      <c r="BI20" s="37" t="n">
        <f aca="false">BH20*('Setting key Duty'!$I$9)</f>
        <v>0</v>
      </c>
      <c r="BJ20" s="37" t="n">
        <f aca="false">COUNTIF(A20:AI20,"*$AM*")</f>
        <v>0</v>
      </c>
      <c r="BK20" s="37" t="n">
        <f aca="false">BJ20*('Setting key Duty'!$I$12+'Setting key Duty'!$I$8)</f>
        <v>0</v>
      </c>
      <c r="BL20" s="37" t="n">
        <f aca="false">COUNTIF(D20:AI20,"*$FC*")</f>
        <v>0</v>
      </c>
      <c r="BM20" s="37" t="n">
        <f aca="false">BL20*('Setting key Duty'!$J$11+'Setting key Duty'!$I$8)</f>
        <v>0</v>
      </c>
      <c r="BN20" s="37" t="n">
        <f aca="false">COUNTIF($D20:$AE20,BN$4)</f>
        <v>0</v>
      </c>
      <c r="BO20" s="37" t="n">
        <f aca="false">COUNTIF($D20:$AE20,BO$4)</f>
        <v>2</v>
      </c>
      <c r="BP20" s="37" t="n">
        <f aca="false">COUNTIF($D20:$AE20,BP$4)</f>
        <v>0</v>
      </c>
      <c r="BQ20" s="39"/>
    </row>
    <row r="21" customFormat="false" ht="30.75" hidden="false" customHeight="true" outlineLevel="0" collapsed="false">
      <c r="A21" s="30"/>
      <c r="B21" s="104" t="s">
        <v>302</v>
      </c>
      <c r="C21" s="32"/>
      <c r="D21" s="42"/>
      <c r="E21" s="115" t="s">
        <v>350</v>
      </c>
      <c r="G21" s="117" t="s">
        <v>173</v>
      </c>
      <c r="H21" s="117" t="s">
        <v>173</v>
      </c>
      <c r="I21" s="32"/>
      <c r="J21" s="32"/>
      <c r="K21" s="32"/>
      <c r="L21" s="115" t="s">
        <v>350</v>
      </c>
      <c r="O21" s="32" t="s">
        <v>59</v>
      </c>
      <c r="P21" s="32"/>
      <c r="Q21" s="115" t="s">
        <v>350</v>
      </c>
      <c r="R21" s="32"/>
      <c r="S21" s="32"/>
      <c r="U21" s="32" t="s">
        <v>56</v>
      </c>
      <c r="V21" s="32" t="s">
        <v>349</v>
      </c>
      <c r="W21" s="32" t="s">
        <v>59</v>
      </c>
      <c r="X21" s="32"/>
      <c r="Y21" s="32"/>
      <c r="Z21" s="56" t="s">
        <v>354</v>
      </c>
      <c r="AA21" s="115" t="s">
        <v>350</v>
      </c>
      <c r="AB21" s="32"/>
      <c r="AC21" s="32"/>
      <c r="AD21" s="32"/>
      <c r="AE21" s="32" t="s">
        <v>56</v>
      </c>
      <c r="AF21" s="32"/>
      <c r="AG21" s="32" t="s">
        <v>59</v>
      </c>
      <c r="AH21" s="33"/>
      <c r="AI21" s="35"/>
      <c r="AJ21" s="36"/>
      <c r="AK21" s="35"/>
      <c r="AL21" s="37"/>
      <c r="AM21" s="37"/>
      <c r="AN21" s="37"/>
      <c r="AO21" s="37"/>
      <c r="AP21" s="38"/>
      <c r="AQ21" s="37" t="n">
        <f aca="false">SUMPRODUCT(--WEEKDAY(C$3:AG$3,2)&lt;6,--((C21:AG21="DM"))+(C21:AG21="CS1")+((C21:AG21="CS2"))+(C21:AG21="SB1")+(C21:AG21="AE")+(C21:AG21="EM"))</f>
        <v>4</v>
      </c>
      <c r="AR21" s="38"/>
      <c r="AS21" s="38" t="n">
        <f aca="false">SUMPRODUCT(--WEEKDAY(C$3:AG$3,2)&gt;5,--((C21:AG21="DM"))+(C21:AG21="CS1")+((C21:AG21="CS2"))+(C21:AG21="SB1")+(C21:AG21="AE")+(C21:AG21="EM"))</f>
        <v>1</v>
      </c>
      <c r="AT21" s="38"/>
      <c r="AU21" s="38" t="n">
        <f aca="false">(AQ21-AR21)/2+(AS21-AT21)</f>
        <v>3</v>
      </c>
      <c r="AV21" s="38" t="n">
        <f aca="false">AI21+AJ21+AK21+AL21+AN21+AO21</f>
        <v>0</v>
      </c>
      <c r="AW21" s="38" t="n">
        <f aca="false">BG21+BH21+BJ21+BE21+BC21+BA21+BL21</f>
        <v>1</v>
      </c>
      <c r="AX21" s="38" t="e">
        <f aca="false">AU21+$AY$10</f>
        <v>#VALUE!</v>
      </c>
      <c r="AY21" s="37" t="e">
        <f aca="false">(BJ21*('Setting key Duty'!$I$8+'Setting key Duty'!$I$12))+(BH21*'Setting key Duty'!$I$9)+(BC21*('Setting key Duty'!$I$13+'Setting key Duty'!$I$9))+(BA21*('Setting key Duty'!$I$13+'Setting key Duty'!$I$12+'Setting key Duty'!$I$11))+(BE21*('Setting key Duty'!$I$8+'Setting key Duty'!$I$9+'Setting key Duty'!$I$12))</f>
        <v>#VALUE!</v>
      </c>
      <c r="AZ21" s="37" t="n">
        <f aca="false">COUNTIF(D21:AA21,"*BRT*")</f>
        <v>0</v>
      </c>
      <c r="BA21" s="37" t="n">
        <f aca="false">COUNTIF(A21:AI21,"*$BTP*")</f>
        <v>0</v>
      </c>
      <c r="BB21" s="37" t="e">
        <f aca="false">BA21*('Setting key Duty'!$I$13+'Setting key Duty'!$I$12+'Setting key Duty'!$I$11)</f>
        <v>#VALUE!</v>
      </c>
      <c r="BC21" s="37" t="n">
        <f aca="false">COUNTIF(A21:AI21,"*$L*")</f>
        <v>0</v>
      </c>
      <c r="BD21" s="37" t="e">
        <f aca="false">BC21*('Setting key Duty'!$I$13+'Setting key Duty'!$I$9)</f>
        <v>#VALUE!</v>
      </c>
      <c r="BE21" s="37" t="n">
        <f aca="false">COUNTIF(A21:AI21,"*$M*")</f>
        <v>0</v>
      </c>
      <c r="BF21" s="37" t="n">
        <f aca="false">BE21*('Setting key Duty'!$I$8+'Setting key Duty'!$I$9+'Setting key Duty'!$I$12)</f>
        <v>0</v>
      </c>
      <c r="BG21" s="37" t="n">
        <f aca="false">COUNTIF(AI21,"*$N*")</f>
        <v>0</v>
      </c>
      <c r="BH21" s="37" t="n">
        <f aca="false">COUNTIF(AI21,"*$PM*")</f>
        <v>0</v>
      </c>
      <c r="BI21" s="37" t="n">
        <f aca="false">BH21*('Setting key Duty'!$I$9)</f>
        <v>0</v>
      </c>
      <c r="BJ21" s="37" t="n">
        <f aca="false">COUNTIF(A21:AI21,"*$AM*")</f>
        <v>1</v>
      </c>
      <c r="BK21" s="37" t="n">
        <f aca="false">BJ21*('Setting key Duty'!$I$12+'Setting key Duty'!$I$8)</f>
        <v>0.4375</v>
      </c>
      <c r="BL21" s="37" t="n">
        <f aca="false">COUNTIF(D21:AI21,"*$FC*")</f>
        <v>0</v>
      </c>
      <c r="BM21" s="37" t="n">
        <f aca="false">BL21*('Setting key Duty'!$J$11+'Setting key Duty'!$I$8)</f>
        <v>0</v>
      </c>
      <c r="BN21" s="37" t="n">
        <f aca="false">COUNTIF($D21:$AA21,BN$4)</f>
        <v>0</v>
      </c>
      <c r="BO21" s="37" t="n">
        <f aca="false">COUNTIF($D21:$AA21,BO$4)</f>
        <v>4</v>
      </c>
      <c r="BP21" s="37" t="n">
        <f aca="false">COUNTIF($D21:$AA21,BP$4)</f>
        <v>0</v>
      </c>
      <c r="BQ21" s="39"/>
    </row>
    <row r="22" customFormat="false" ht="27.75" hidden="false" customHeight="true" outlineLevel="0" collapsed="false">
      <c r="A22" s="30"/>
      <c r="B22" s="104" t="s">
        <v>306</v>
      </c>
      <c r="C22" s="32" t="s">
        <v>59</v>
      </c>
      <c r="D22" s="32"/>
      <c r="E22" s="32" t="s">
        <v>59</v>
      </c>
      <c r="F22" s="34"/>
      <c r="G22" s="117" t="s">
        <v>173</v>
      </c>
      <c r="H22" s="117" t="s">
        <v>173</v>
      </c>
      <c r="I22" s="115" t="s">
        <v>350</v>
      </c>
      <c r="J22" s="33"/>
      <c r="K22" s="33"/>
      <c r="L22" s="32" t="s">
        <v>59</v>
      </c>
      <c r="M22" s="33"/>
      <c r="P22" s="115" t="s">
        <v>350</v>
      </c>
      <c r="Q22" s="32"/>
      <c r="S22" s="32" t="s">
        <v>55</v>
      </c>
      <c r="T22" s="32"/>
      <c r="U22" s="115" t="s">
        <v>350</v>
      </c>
      <c r="W22" s="32" t="s">
        <v>349</v>
      </c>
      <c r="X22" s="32"/>
      <c r="Y22" s="32"/>
      <c r="AA22" s="32" t="s">
        <v>65</v>
      </c>
      <c r="AC22" s="115" t="s">
        <v>350</v>
      </c>
      <c r="AF22" s="32" t="s">
        <v>59</v>
      </c>
      <c r="AG22" s="116"/>
      <c r="AH22" s="42"/>
      <c r="AI22" s="35"/>
      <c r="AJ22" s="36"/>
      <c r="AK22" s="35"/>
      <c r="AL22" s="37"/>
      <c r="AM22" s="37"/>
      <c r="AN22" s="37"/>
      <c r="AO22" s="37"/>
      <c r="AP22" s="38"/>
      <c r="AQ22" s="37" t="n">
        <f aca="false">SUMPRODUCT(--WEEKDAY(C$3:AG$3,2)&lt;6,--((C22:AG22="DM"))+(C22:AG22="CS1")+((C22:AG22="CS2"))+(C22:AG22="SB1")+(C22:AG22="AE")+(C22:AG22="EM"))</f>
        <v>3</v>
      </c>
      <c r="AR22" s="38"/>
      <c r="AS22" s="38" t="n">
        <f aca="false">SUMPRODUCT(--WEEKDAY(C$3:AG$3,2)&gt;5,--((C22:AG22="DM"))+(C22:AG22="CS1")+((C22:AG22="CS2"))+(C22:AG22="SB1")+(C22:AG22="AE")+(C22:AG22="EM"))</f>
        <v>2</v>
      </c>
      <c r="AT22" s="38"/>
      <c r="AU22" s="38" t="n">
        <f aca="false">(AQ22-AR22)/2+(AS22-AT22)</f>
        <v>3.5</v>
      </c>
      <c r="AV22" s="38" t="n">
        <f aca="false">AI22+AJ22+AK22+AL22+AN22+AO22</f>
        <v>0</v>
      </c>
      <c r="AW22" s="38" t="n">
        <f aca="false">BG22+BH22+BJ22+BE22+BC22+BA22+BL22</f>
        <v>0</v>
      </c>
      <c r="AX22" s="38" t="e">
        <f aca="false">AU22+$AY$10</f>
        <v>#VALUE!</v>
      </c>
      <c r="AY22" s="37" t="e">
        <f aca="false">(BJ22*('Setting key Duty'!$I$8+'Setting key Duty'!$I$12))+(BH22*'Setting key Duty'!$I$9)+(BC22*('Setting key Duty'!$I$13+'Setting key Duty'!$I$9))+(BA22*('Setting key Duty'!$I$13+'Setting key Duty'!$I$12+'Setting key Duty'!$I$11))+(BE22*('Setting key Duty'!$I$8+'Setting key Duty'!$I$9+'Setting key Duty'!$I$12))</f>
        <v>#VALUE!</v>
      </c>
      <c r="AZ22" s="37" t="n">
        <f aca="false">COUNTIF(C22:AA22,"*BRT*")</f>
        <v>0</v>
      </c>
      <c r="BA22" s="37" t="n">
        <f aca="false">COUNTIF(A22:AI22,"*$BTP*")</f>
        <v>0</v>
      </c>
      <c r="BB22" s="37" t="e">
        <f aca="false">BA22*('Setting key Duty'!$I$13+'Setting key Duty'!$I$12+'Setting key Duty'!$I$11)</f>
        <v>#VALUE!</v>
      </c>
      <c r="BC22" s="37" t="n">
        <f aca="false">COUNTIF(A22:AI22,"*$L*")</f>
        <v>0</v>
      </c>
      <c r="BD22" s="37" t="e">
        <f aca="false">BC22*('Setting key Duty'!$I$13+'Setting key Duty'!$I$9)</f>
        <v>#VALUE!</v>
      </c>
      <c r="BE22" s="37" t="n">
        <f aca="false">COUNTIF(A22:AI22,"*$M*")</f>
        <v>0</v>
      </c>
      <c r="BF22" s="37" t="n">
        <f aca="false">BE22*('Setting key Duty'!$I$8+'Setting key Duty'!$I$9+'Setting key Duty'!$I$12)</f>
        <v>0</v>
      </c>
      <c r="BG22" s="37" t="n">
        <f aca="false">COUNTIF(AI22,"*$N*")</f>
        <v>0</v>
      </c>
      <c r="BH22" s="37" t="n">
        <f aca="false">COUNTIF(AI22,"*$PM*")</f>
        <v>0</v>
      </c>
      <c r="BI22" s="37" t="n">
        <f aca="false">BH22*('Setting key Duty'!$I$9)</f>
        <v>0</v>
      </c>
      <c r="BJ22" s="37" t="n">
        <f aca="false">COUNTIF(A22:AI22,"*$AM*")</f>
        <v>0</v>
      </c>
      <c r="BK22" s="37" t="n">
        <f aca="false">BJ22*('Setting key Duty'!$I$12+'Setting key Duty'!$I$8)</f>
        <v>0</v>
      </c>
      <c r="BL22" s="37" t="n">
        <f aca="false">COUNTIF(C22:AI22,"*$FC*")</f>
        <v>0</v>
      </c>
      <c r="BM22" s="37" t="n">
        <f aca="false">BL22*('Setting key Duty'!$J$11+'Setting key Duty'!$I$8)</f>
        <v>0</v>
      </c>
      <c r="BN22" s="37" t="n">
        <f aca="false">COUNTIF($C22:$AA22,BN$4)</f>
        <v>0</v>
      </c>
      <c r="BO22" s="37" t="n">
        <f aca="false">COUNTIF($C22:$AA22,BO$4)</f>
        <v>3</v>
      </c>
      <c r="BP22" s="37" t="n">
        <f aca="false">COUNTIF($C22:$AA22,BP$4)</f>
        <v>1</v>
      </c>
      <c r="BQ22" s="39"/>
    </row>
    <row r="23" customFormat="false" ht="19.5" hidden="false" customHeight="true" outlineLevel="0" collapsed="false">
      <c r="A23" s="30"/>
      <c r="B23" s="40" t="s">
        <v>355</v>
      </c>
      <c r="C23" s="32"/>
      <c r="D23" s="32"/>
      <c r="E23" s="34"/>
      <c r="F23" s="32" t="s">
        <v>157</v>
      </c>
      <c r="G23" s="32"/>
      <c r="H23" s="32" t="s">
        <v>57</v>
      </c>
      <c r="I23" s="33"/>
      <c r="J23" s="32" t="s">
        <v>150</v>
      </c>
      <c r="K23" s="32" t="s">
        <v>150</v>
      </c>
      <c r="L23" s="42"/>
      <c r="M23" s="33"/>
      <c r="N23" s="33"/>
      <c r="O23" s="32" t="s">
        <v>57</v>
      </c>
      <c r="P23" s="32"/>
      <c r="Q23" s="32"/>
      <c r="R23" s="115" t="s">
        <v>350</v>
      </c>
      <c r="S23" s="32"/>
      <c r="U23" s="32" t="s">
        <v>57</v>
      </c>
      <c r="V23" s="32" t="s">
        <v>349</v>
      </c>
      <c r="W23" s="32" t="s">
        <v>57</v>
      </c>
      <c r="X23" s="32"/>
      <c r="Y23" s="32"/>
      <c r="Z23" s="32" t="s">
        <v>56</v>
      </c>
      <c r="AA23" s="32"/>
      <c r="AB23" s="42"/>
      <c r="AC23" s="42" t="s">
        <v>57</v>
      </c>
      <c r="AF23" s="32" t="s">
        <v>57</v>
      </c>
      <c r="AG23" s="52"/>
      <c r="AH23" s="32"/>
      <c r="AI23" s="35"/>
      <c r="AJ23" s="36"/>
      <c r="AK23" s="35"/>
      <c r="AL23" s="37"/>
      <c r="AM23" s="37"/>
      <c r="AN23" s="37"/>
      <c r="AO23" s="37"/>
      <c r="AP23" s="38"/>
      <c r="AQ23" s="37" t="n">
        <f aca="false">SUMPRODUCT(--WEEKDAY(C$3:AG$3,2)&lt;6,--((C23:AG23="DM"))+(C23:AG23="CS1")+((C23:AG23="CS2"))+(C23:AG23="SB1")+(C23:AG23="AE")+(C23:AG23="EM"))</f>
        <v>6</v>
      </c>
      <c r="AR23" s="38"/>
      <c r="AS23" s="38" t="n">
        <f aca="false">SUMPRODUCT(--WEEKDAY(C$3:AG$3,2)&gt;5,--((C23:AG23="DM"))+(C23:AG23="CS1")+((C23:AG23="CS2"))+(C23:AG23="SB1")+(C23:AG23="AE")+(C23:AG23="EM"))</f>
        <v>1</v>
      </c>
      <c r="AT23" s="38"/>
      <c r="AU23" s="38" t="n">
        <f aca="false">(AQ23-AR23)/2+(AS23-AT23)</f>
        <v>4</v>
      </c>
      <c r="AV23" s="38" t="n">
        <f aca="false">AI23+AJ23+AK23+AL23+AN23+AO23</f>
        <v>0</v>
      </c>
      <c r="AW23" s="38" t="n">
        <f aca="false">BG23+BH23+BJ23+BE23+BC23+BA23+BL23</f>
        <v>0</v>
      </c>
      <c r="AX23" s="38" t="e">
        <f aca="false">AU23+AY23</f>
        <v>#VALUE!</v>
      </c>
      <c r="AY23" s="37" t="e">
        <f aca="false">(BJ23*('Setting key Duty'!$I$8+'Setting key Duty'!$I$12))+(BH23*'Setting key Duty'!$I$9)+(BC23*('Setting key Duty'!$I$13+'Setting key Duty'!$I$9))+(BA23*('Setting key Duty'!$I$13+'Setting key Duty'!$I$12+'Setting key Duty'!$I$11))+(BE23*('Setting key Duty'!$I$8+'Setting key Duty'!$I$9+'Setting key Duty'!$I$12))</f>
        <v>#VALUE!</v>
      </c>
      <c r="AZ23" s="37" t="n">
        <f aca="false">COUNTIF(D23:AB23,"*BRT*")</f>
        <v>0</v>
      </c>
      <c r="BA23" s="37" t="n">
        <f aca="false">COUNTIF(A23:AI23,"*$BTP*")</f>
        <v>0</v>
      </c>
      <c r="BB23" s="37" t="e">
        <f aca="false">BA23*('Setting key Duty'!$I$13+'Setting key Duty'!$I$12+'Setting key Duty'!$I$11)</f>
        <v>#VALUE!</v>
      </c>
      <c r="BC23" s="37" t="n">
        <f aca="false">COUNTIF(A23:AI23,"*$L*")</f>
        <v>0</v>
      </c>
      <c r="BD23" s="37" t="e">
        <f aca="false">BC23*('Setting key Duty'!$I$13+'Setting key Duty'!$I$9)</f>
        <v>#VALUE!</v>
      </c>
      <c r="BE23" s="37" t="n">
        <f aca="false">COUNTIF(A23:AI23,"*$M*")</f>
        <v>0</v>
      </c>
      <c r="BF23" s="37" t="n">
        <f aca="false">BE23*('Setting key Duty'!$I$8+'Setting key Duty'!$I$9+'Setting key Duty'!$I$12)</f>
        <v>0</v>
      </c>
      <c r="BG23" s="37" t="n">
        <f aca="false">COUNTIF(AF23:AI23,"*$N*")</f>
        <v>0</v>
      </c>
      <c r="BH23" s="37" t="n">
        <f aca="false">COUNTIF(AF23:AI23,"*$PM*")</f>
        <v>0</v>
      </c>
      <c r="BI23" s="37" t="n">
        <f aca="false">BH23*('Setting key Duty'!$I$9)</f>
        <v>0</v>
      </c>
      <c r="BJ23" s="37" t="n">
        <f aca="false">COUNTIF(A23:AI23,"*$AM*")</f>
        <v>0</v>
      </c>
      <c r="BK23" s="37" t="n">
        <f aca="false">BJ23*('Setting key Duty'!$I$12+'Setting key Duty'!$I$8)</f>
        <v>0</v>
      </c>
      <c r="BL23" s="37" t="n">
        <f aca="false">COUNTIF(D23:AI23,"*$FC*")</f>
        <v>0</v>
      </c>
      <c r="BM23" s="37" t="n">
        <f aca="false">BL23*('Setting key Duty'!$J$11+'Setting key Duty'!$I$8)</f>
        <v>0</v>
      </c>
      <c r="BN23" s="37" t="n">
        <f aca="false">COUNTIF($D23:$AE23,BN$4)</f>
        <v>0</v>
      </c>
      <c r="BO23" s="37" t="n">
        <f aca="false">COUNTIF($D23:$AE23,BO$4)</f>
        <v>1</v>
      </c>
      <c r="BP23" s="37" t="n">
        <f aca="false">COUNTIF($D23:$AE23,BP$4)</f>
        <v>0</v>
      </c>
      <c r="BQ23" s="39"/>
    </row>
    <row r="24" customFormat="false" ht="19.5" hidden="false" customHeight="true" outlineLevel="0" collapsed="false">
      <c r="A24" s="30"/>
      <c r="B24" s="103" t="s">
        <v>312</v>
      </c>
      <c r="D24" s="32" t="s">
        <v>56</v>
      </c>
      <c r="E24" s="32"/>
      <c r="F24" s="32"/>
      <c r="G24" s="117" t="s">
        <v>173</v>
      </c>
      <c r="H24" s="117" t="s">
        <v>173</v>
      </c>
      <c r="I24" s="33"/>
      <c r="K24" s="32"/>
      <c r="L24" s="32"/>
      <c r="M24" s="65" t="s">
        <v>59</v>
      </c>
      <c r="N24" s="32"/>
      <c r="O24" s="32"/>
      <c r="P24" s="32"/>
      <c r="Q24" s="32"/>
      <c r="R24" s="32"/>
      <c r="S24" s="32" t="s">
        <v>54</v>
      </c>
      <c r="T24" s="32" t="s">
        <v>54</v>
      </c>
      <c r="U24" s="32" t="s">
        <v>54</v>
      </c>
      <c r="V24" s="32" t="s">
        <v>54</v>
      </c>
      <c r="W24" s="32" t="s">
        <v>54</v>
      </c>
      <c r="X24" s="32" t="s">
        <v>54</v>
      </c>
      <c r="Y24" s="32" t="s">
        <v>54</v>
      </c>
      <c r="Z24" s="32"/>
      <c r="AB24" s="32" t="s">
        <v>356</v>
      </c>
      <c r="AC24" s="34"/>
      <c r="AE24" s="32" t="s">
        <v>59</v>
      </c>
      <c r="AF24" s="32"/>
      <c r="AG24" s="116" t="s">
        <v>56</v>
      </c>
      <c r="AH24" s="32"/>
      <c r="AI24" s="35"/>
      <c r="AJ24" s="36"/>
      <c r="AK24" s="35"/>
      <c r="AL24" s="37"/>
      <c r="AM24" s="37"/>
      <c r="AN24" s="37"/>
      <c r="AO24" s="37"/>
      <c r="AP24" s="38"/>
      <c r="AQ24" s="37" t="n">
        <f aca="false">SUMPRODUCT(--WEEKDAY(C$3:AG$3,2)&lt;6,--((C24:AG24="DM"))+(C24:AG24="CS1")+((C24:AG24="CS2"))+(C24:AG24="SB1")+(C24:AG24="AE")+(C24:AG24="EM"))</f>
        <v>2</v>
      </c>
      <c r="AR24" s="38"/>
      <c r="AS24" s="38" t="n">
        <f aca="false">SUMPRODUCT(--WEEKDAY(C$3:AG$3,2)&gt;5,--((C24:AG24="DM"))+(C24:AG24="CS1")+((C24:AG24="CS2"))+(C24:AG24="SB1")+(C24:AG24="AE")+(C24:AG24="EM"))</f>
        <v>2</v>
      </c>
      <c r="AT24" s="38"/>
      <c r="AU24" s="38" t="n">
        <f aca="false">(AQ24-AR24)/2+(AS24-AT24)</f>
        <v>3</v>
      </c>
      <c r="AV24" s="38" t="n">
        <f aca="false">AI24+AJ24+AK24+AL24+AN24+AO24</f>
        <v>0</v>
      </c>
      <c r="AW24" s="38" t="n">
        <f aca="false">BG24+BH24+BJ24+BE24+BC24+BA24+BL24</f>
        <v>0</v>
      </c>
      <c r="AX24" s="38" t="e">
        <f aca="false">AU24+$AY$10</f>
        <v>#VALUE!</v>
      </c>
      <c r="AY24" s="37" t="e">
        <f aca="false">(BJ24*('Setting key Duty'!$I$8+'Setting key Duty'!$I$12))+(BH24*'Setting key Duty'!$I$9)+(BC24*('Setting key Duty'!$I$13+'Setting key Duty'!$I$9))+(BA24*('Setting key Duty'!$I$13+'Setting key Duty'!$I$12+'Setting key Duty'!$I$11))+(BE24*('Setting key Duty'!$I$8+'Setting key Duty'!$I$9+'Setting key Duty'!$I$12))</f>
        <v>#VALUE!</v>
      </c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9"/>
    </row>
    <row r="25" customFormat="false" ht="19.5" hidden="false" customHeight="true" outlineLevel="0" collapsed="false">
      <c r="A25" s="30"/>
      <c r="B25" s="103" t="s">
        <v>233</v>
      </c>
      <c r="C25" s="32" t="s">
        <v>56</v>
      </c>
      <c r="E25" s="32"/>
      <c r="F25" s="32" t="s">
        <v>157</v>
      </c>
      <c r="H25" s="45"/>
      <c r="I25" s="32" t="s">
        <v>357</v>
      </c>
      <c r="J25" s="32"/>
      <c r="K25" s="32"/>
      <c r="L25" s="32"/>
      <c r="M25" s="32"/>
      <c r="N25" s="102" t="s">
        <v>57</v>
      </c>
      <c r="O25" s="32"/>
      <c r="P25" s="32" t="s">
        <v>55</v>
      </c>
      <c r="Q25" s="32" t="s">
        <v>56</v>
      </c>
      <c r="R25" s="32"/>
      <c r="S25" s="32"/>
      <c r="T25" s="32"/>
      <c r="U25" s="42" t="s">
        <v>358</v>
      </c>
      <c r="V25" s="42" t="s">
        <v>59</v>
      </c>
      <c r="W25" s="32" t="s">
        <v>55</v>
      </c>
      <c r="X25" s="34"/>
      <c r="Y25" s="115" t="s">
        <v>350</v>
      </c>
      <c r="Z25" s="32" t="s">
        <v>57</v>
      </c>
      <c r="AA25" s="32"/>
      <c r="AB25" s="32"/>
      <c r="AC25" s="32" t="s">
        <v>59</v>
      </c>
      <c r="AD25" s="32"/>
      <c r="AE25" s="32"/>
      <c r="AF25" s="32"/>
      <c r="AG25" s="52"/>
      <c r="AH25" s="32"/>
      <c r="AI25" s="35"/>
      <c r="AJ25" s="36"/>
      <c r="AK25" s="35"/>
      <c r="AL25" s="37"/>
      <c r="AM25" s="37"/>
      <c r="AN25" s="37"/>
      <c r="AO25" s="37"/>
      <c r="AP25" s="38"/>
      <c r="AQ25" s="37" t="n">
        <f aca="false">SUMPRODUCT(--WEEKDAY(C$3:AG$3,2)&lt;6,--((C25:AG25="DM"))+(C25:AG25="CS1")+((C25:AG25="CS2"))+(C25:AG25="SB1")+(C25:AG25="AE")+(C25:AG25="EM"))</f>
        <v>4</v>
      </c>
      <c r="AR25" s="38"/>
      <c r="AS25" s="38" t="n">
        <f aca="false">SUMPRODUCT(--WEEKDAY(C$3:AG$3,2)&gt;5,--((C25:AG25="DM"))+(C25:AG25="CS1")+((C25:AG25="CS2"))+(C25:AG25="SB1")+(C25:AG25="AE")+(C25:AG25="EM"))</f>
        <v>2</v>
      </c>
      <c r="AT25" s="38"/>
      <c r="AU25" s="38" t="n">
        <f aca="false">(AQ25-AR25)/2+(AS25-AT25)</f>
        <v>4</v>
      </c>
      <c r="AV25" s="38" t="n">
        <f aca="false">AI25+AJ25+AK25+AL25+AN25+AO25</f>
        <v>0</v>
      </c>
      <c r="AW25" s="38" t="n">
        <f aca="false">BG25+BH25+BJ25+BE25+BC25+BA25+BL25</f>
        <v>1</v>
      </c>
      <c r="AX25" s="38" t="e">
        <f aca="false">AU25+AY25</f>
        <v>#VALUE!</v>
      </c>
      <c r="AY25" s="37" t="e">
        <f aca="false">(BJ25*('Setting key Duty'!$I$8+'Setting key Duty'!$I$12))+(BH25*'Setting key Duty'!$I$9)+(BC25*('Setting key Duty'!$I$13+'Setting key Duty'!$I$9))+(BA25*('Setting key Duty'!$I$13+'Setting key Duty'!$I$12+'Setting key Duty'!$I$11))+(BE25*('Setting key Duty'!$I$8+'Setting key Duty'!$I$9+'Setting key Duty'!$I$12))</f>
        <v>#VALUE!</v>
      </c>
      <c r="AZ25" s="37" t="n">
        <f aca="false">COUNTIF(D25:AA25,"*BRT*")</f>
        <v>0</v>
      </c>
      <c r="BA25" s="37" t="n">
        <f aca="false">COUNTIF(A25:AI25,"*$BTP*")</f>
        <v>0</v>
      </c>
      <c r="BB25" s="37" t="e">
        <f aca="false">BA25*('Setting key Duty'!$I$13+'Setting key Duty'!$I$12+'Setting key Duty'!$I$11)</f>
        <v>#VALUE!</v>
      </c>
      <c r="BC25" s="37" t="n">
        <f aca="false">COUNTIF(A25:AI25,"*$L*")</f>
        <v>0</v>
      </c>
      <c r="BD25" s="37" t="e">
        <f aca="false">BC25*('Setting key Duty'!$I$13+'Setting key Duty'!$I$9)</f>
        <v>#VALUE!</v>
      </c>
      <c r="BE25" s="37" t="n">
        <f aca="false">COUNTIF(A25:AI25,"*$M*")</f>
        <v>0</v>
      </c>
      <c r="BF25" s="37" t="n">
        <f aca="false">BE25*('Setting key Duty'!$I$8+'Setting key Duty'!$I$9+'Setting key Duty'!$I$12)</f>
        <v>0</v>
      </c>
      <c r="BG25" s="37" t="n">
        <f aca="false">COUNTIF(AI25,"*$N*")</f>
        <v>0</v>
      </c>
      <c r="BH25" s="37" t="n">
        <f aca="false">COUNTIF(AI25,"*$PM*")</f>
        <v>0</v>
      </c>
      <c r="BI25" s="37" t="n">
        <f aca="false">BH25*('Setting key Duty'!$I$9)</f>
        <v>0</v>
      </c>
      <c r="BJ25" s="37" t="n">
        <f aca="false">COUNTIF(A25:AI25,"*$AM*")</f>
        <v>1</v>
      </c>
      <c r="BK25" s="37" t="n">
        <f aca="false">BJ25*('Setting key Duty'!$I$12+'Setting key Duty'!$I$8)</f>
        <v>0.4375</v>
      </c>
      <c r="BL25" s="37" t="n">
        <f aca="false">COUNTIF(D25:AI25,"*$FC*")</f>
        <v>0</v>
      </c>
      <c r="BM25" s="37" t="n">
        <f aca="false">BL25*('Setting key Duty'!$J$11+'Setting key Duty'!$I$8)</f>
        <v>0</v>
      </c>
      <c r="BN25" s="37" t="n">
        <f aca="false">COUNTIF($D25:$AA25,BN$4)</f>
        <v>0</v>
      </c>
      <c r="BO25" s="37" t="n">
        <f aca="false">COUNTIF($D25:$AA25,BO$4)</f>
        <v>1</v>
      </c>
      <c r="BP25" s="37" t="n">
        <f aca="false">COUNTIF($D25:$AA25,BP$4)</f>
        <v>2</v>
      </c>
      <c r="BQ25" s="39"/>
    </row>
    <row r="26" customFormat="false" ht="19.5" hidden="false" customHeight="true" outlineLevel="0" collapsed="false">
      <c r="A26" s="30"/>
      <c r="B26" s="88" t="s">
        <v>189</v>
      </c>
      <c r="C26" s="45"/>
      <c r="D26" s="32" t="s">
        <v>65</v>
      </c>
      <c r="E26" s="45"/>
      <c r="F26" s="45" t="s">
        <v>65</v>
      </c>
      <c r="G26" s="45"/>
      <c r="H26" s="42"/>
      <c r="I26" s="32" t="s">
        <v>69</v>
      </c>
      <c r="J26" s="42"/>
      <c r="K26" s="32" t="s">
        <v>65</v>
      </c>
      <c r="L26" s="45"/>
      <c r="M26" s="42" t="s">
        <v>65</v>
      </c>
      <c r="O26" s="42" t="s">
        <v>65</v>
      </c>
      <c r="Q26" s="32"/>
      <c r="R26" s="42"/>
      <c r="S26" s="32" t="s">
        <v>55</v>
      </c>
      <c r="T26" s="32" t="s">
        <v>55</v>
      </c>
      <c r="U26" s="32" t="s">
        <v>55</v>
      </c>
      <c r="V26" s="32" t="s">
        <v>55</v>
      </c>
      <c r="W26" s="32" t="s">
        <v>349</v>
      </c>
      <c r="X26" s="32"/>
      <c r="Y26" s="32"/>
      <c r="Z26" s="32" t="s">
        <v>65</v>
      </c>
      <c r="AA26" s="42"/>
      <c r="AB26" s="32" t="s">
        <v>65</v>
      </c>
      <c r="AC26" s="42"/>
      <c r="AD26" s="42" t="s">
        <v>65</v>
      </c>
      <c r="AE26" s="32"/>
      <c r="AG26" s="42" t="s">
        <v>65</v>
      </c>
      <c r="AH26" s="42"/>
      <c r="AI26" s="35"/>
      <c r="AJ26" s="36"/>
      <c r="AK26" s="35"/>
      <c r="AL26" s="37"/>
      <c r="AM26" s="37"/>
      <c r="AN26" s="37"/>
      <c r="AO26" s="37"/>
      <c r="AP26" s="38"/>
      <c r="AQ26" s="37" t="n">
        <f aca="false">SUMPRODUCT(--WEEKDAY(C$3:AG$3,2)&lt;6,--((C26:AG26="DM"))+(C26:AG26="CS1")+((C26:AG26="CS2"))+(C26:AG26="SB1")+(C26:AG26="AE")+(C26:AG26="EM"))</f>
        <v>7</v>
      </c>
      <c r="AR26" s="38"/>
      <c r="AS26" s="38" t="n">
        <f aca="false">SUMPRODUCT(--WEEKDAY(C$3:AG$3,2)&gt;5,--((C26:AG26="DM"))+(C26:AG26="CS1")+((C26:AG26="CS2"))+(C26:AG26="SB1")+(C26:AG26="AE")+(C26:AG26="EM"))</f>
        <v>2</v>
      </c>
      <c r="AT26" s="38"/>
      <c r="AU26" s="38" t="n">
        <f aca="false">(AQ26-AR26)/2+(AS26-AT26)</f>
        <v>5.5</v>
      </c>
      <c r="AV26" s="38" t="n">
        <f aca="false">AI26+AJ26+AK26+AL26+AN26+AO26</f>
        <v>0</v>
      </c>
      <c r="AW26" s="38" t="n">
        <f aca="false">BG26+BH26+BJ26+BE26+BC26+BA26+BL26</f>
        <v>0</v>
      </c>
      <c r="AX26" s="38" t="e">
        <f aca="false">AU26+$AY$10</f>
        <v>#VALUE!</v>
      </c>
      <c r="AY26" s="37" t="e">
        <f aca="false">(BJ26*('Setting key Duty'!$I$8+'Setting key Duty'!$I$12))+(BH26*'Setting key Duty'!$I$9)+(BC26*('Setting key Duty'!$I$13+'Setting key Duty'!$I$9))+(BA26*('Setting key Duty'!$I$13+'Setting key Duty'!$I$12+'Setting key Duty'!$I$11))+(BE26*('Setting key Duty'!$I$8+'Setting key Duty'!$I$9+'Setting key Duty'!$I$12))</f>
        <v>#VALUE!</v>
      </c>
      <c r="AZ26" s="37" t="n">
        <f aca="false">COUNTIF(D26:AA26,"*BRT*")</f>
        <v>0</v>
      </c>
      <c r="BA26" s="37" t="n">
        <f aca="false">COUNTIF(A26:AI26,"*$BTP*")</f>
        <v>0</v>
      </c>
      <c r="BB26" s="37" t="e">
        <f aca="false">BA26*('Setting key Duty'!$I$13+'Setting key Duty'!$I$12+'Setting key Duty'!$I$11)</f>
        <v>#VALUE!</v>
      </c>
      <c r="BC26" s="37" t="n">
        <f aca="false">COUNTIF(A26:AI26,"*$L*")</f>
        <v>0</v>
      </c>
      <c r="BD26" s="37" t="e">
        <f aca="false">BC26*('Setting key Duty'!$I$13+'Setting key Duty'!$I$9)</f>
        <v>#VALUE!</v>
      </c>
      <c r="BE26" s="37" t="n">
        <f aca="false">COUNTIF(A26:AI26,"*$M*")</f>
        <v>0</v>
      </c>
      <c r="BF26" s="37" t="n">
        <f aca="false">BE26*('Setting key Duty'!$I$8+'Setting key Duty'!$I$9+'Setting key Duty'!$I$12)</f>
        <v>0</v>
      </c>
      <c r="BG26" s="37" t="n">
        <f aca="false">COUNTIF(AI26,"*$N*")</f>
        <v>0</v>
      </c>
      <c r="BH26" s="37" t="n">
        <f aca="false">COUNTIF(AI26,"*$PM*")</f>
        <v>0</v>
      </c>
      <c r="BI26" s="37" t="n">
        <f aca="false">BH26*('Setting key Duty'!$I$9)</f>
        <v>0</v>
      </c>
      <c r="BJ26" s="37" t="n">
        <f aca="false">COUNTIF(A26:AI26,"*$AM*")</f>
        <v>0</v>
      </c>
      <c r="BK26" s="37" t="n">
        <f aca="false">BJ26*('Setting key Duty'!$I$12+'Setting key Duty'!$I$8)</f>
        <v>0</v>
      </c>
      <c r="BL26" s="37" t="n">
        <f aca="false">COUNTIF(D26:AI26,"*$FC*")</f>
        <v>0</v>
      </c>
      <c r="BM26" s="37" t="n">
        <f aca="false">BL26*('Setting key Duty'!$J$11+'Setting key Duty'!$I$8)</f>
        <v>0</v>
      </c>
      <c r="BN26" s="37" t="n">
        <f aca="false">COUNTIF($D26:$AA26,BN$4)</f>
        <v>0</v>
      </c>
      <c r="BO26" s="37" t="n">
        <f aca="false">COUNTIF($D26:$AA26,BO$4)</f>
        <v>0</v>
      </c>
      <c r="BP26" s="37" t="n">
        <f aca="false">COUNTIF($D26:$AA26,BP$4)</f>
        <v>4</v>
      </c>
      <c r="BQ26" s="39"/>
    </row>
    <row r="27" customFormat="false" ht="19.5" hidden="false" customHeight="true" outlineLevel="0" collapsed="false">
      <c r="A27" s="30"/>
      <c r="B27" s="31" t="s">
        <v>191</v>
      </c>
      <c r="C27" s="45"/>
      <c r="D27" s="33"/>
      <c r="E27" s="117" t="s">
        <v>93</v>
      </c>
      <c r="G27" s="117" t="s">
        <v>173</v>
      </c>
      <c r="H27" s="117" t="s">
        <v>173</v>
      </c>
      <c r="I27" s="115" t="s">
        <v>350</v>
      </c>
      <c r="J27" s="42" t="s">
        <v>65</v>
      </c>
      <c r="L27" s="32" t="s">
        <v>93</v>
      </c>
      <c r="M27" s="45"/>
      <c r="N27" s="32" t="s">
        <v>359</v>
      </c>
      <c r="O27" s="32" t="s">
        <v>55</v>
      </c>
      <c r="P27" s="32" t="s">
        <v>55</v>
      </c>
      <c r="Q27" s="42"/>
      <c r="S27" s="32" t="s">
        <v>93</v>
      </c>
      <c r="T27" s="32" t="s">
        <v>93</v>
      </c>
      <c r="V27" s="32" t="s">
        <v>349</v>
      </c>
      <c r="W27" s="32" t="s">
        <v>65</v>
      </c>
      <c r="Y27" s="107"/>
      <c r="Z27" s="32" t="s">
        <v>93</v>
      </c>
      <c r="AA27" s="56" t="s">
        <v>275</v>
      </c>
      <c r="AB27" s="56" t="s">
        <v>144</v>
      </c>
      <c r="AD27" s="42"/>
      <c r="AE27" s="115"/>
      <c r="AF27" s="115" t="s">
        <v>350</v>
      </c>
      <c r="AH27" s="32"/>
      <c r="AI27" s="35"/>
      <c r="AJ27" s="36"/>
      <c r="AK27" s="35"/>
      <c r="AL27" s="37"/>
      <c r="AM27" s="37"/>
      <c r="AN27" s="37"/>
      <c r="AO27" s="37"/>
      <c r="AP27" s="38"/>
      <c r="AQ27" s="37" t="n">
        <f aca="false">SUMPRODUCT(--WEEKDAY(C$3:AG$3,2)&lt;6,--((C27:AG27="DM"))+(C27:AG27="CS1")+((C27:AG27="CS2"))+(C27:AG27="SB1")+(C27:AG27="AE")+(C27:AG27="EM"))</f>
        <v>1</v>
      </c>
      <c r="AR27" s="38"/>
      <c r="AS27" s="38" t="n">
        <f aca="false">SUMPRODUCT(--WEEKDAY(C$3:AG$3,2)&gt;5,--((C27:AG27="DM"))+(C27:AG27="CS1")+((C27:AG27="CS2"))+(C27:AG27="SB1")+(C27:AG27="AE")+(C27:AG27="EM"))</f>
        <v>1</v>
      </c>
      <c r="AT27" s="38"/>
      <c r="AU27" s="38" t="n">
        <f aca="false">(AQ27-AR27)/2+(AS27-AT27)</f>
        <v>1.5</v>
      </c>
      <c r="AV27" s="38" t="n">
        <f aca="false">AI27+AJ27+AK27+AL27+AN27+AO27</f>
        <v>0</v>
      </c>
      <c r="AW27" s="38" t="n">
        <f aca="false">BG27+BH27+BJ27+BE27+BC27+BA27+BL27</f>
        <v>3</v>
      </c>
      <c r="AX27" s="38" t="e">
        <f aca="false">AU27+AY27</f>
        <v>#VALUE!</v>
      </c>
      <c r="AY27" s="37" t="e">
        <f aca="false">(BJ27*('Setting key Duty'!$I$8+'Setting key Duty'!$I$12))+(BH27*'Setting key Duty'!$I$9)+(BC27*('Setting key Duty'!$I$13+'Setting key Duty'!$I$9))+(BA27*('Setting key Duty'!$I$13+'Setting key Duty'!$I$12+'Setting key Duty'!$I$11))+(BE27*('Setting key Duty'!$I$8+'Setting key Duty'!$I$9+'Setting key Duty'!$I$12))</f>
        <v>#VALUE!</v>
      </c>
      <c r="AZ27" s="37" t="n">
        <f aca="false">COUNTIF(C27:W27,"*BRT*")</f>
        <v>0</v>
      </c>
      <c r="BA27" s="37" t="n">
        <f aca="false">COUNTIF(A27:AI27,"*$BTP*")</f>
        <v>0</v>
      </c>
      <c r="BB27" s="37" t="e">
        <f aca="false">BA27*('Setting key Duty'!$I$13+'Setting key Duty'!$I$12+'Setting key Duty'!$I$11)</f>
        <v>#VALUE!</v>
      </c>
      <c r="BC27" s="37" t="n">
        <f aca="false">COUNTIF(D27:AI27,"*$L*")</f>
        <v>0</v>
      </c>
      <c r="BD27" s="37" t="e">
        <f aca="false">BC27*('Setting key Duty'!$I$13+'Setting key Duty'!$I$9)</f>
        <v>#VALUE!</v>
      </c>
      <c r="BE27" s="37" t="n">
        <f aca="false">COUNTIF(D27:AI27,"*$M*")</f>
        <v>0</v>
      </c>
      <c r="BF27" s="37" t="n">
        <f aca="false">BE27*('Setting key Duty'!$I$8+'Setting key Duty'!$I$9+'Setting key Duty'!$I$12)</f>
        <v>0</v>
      </c>
      <c r="BG27" s="37" t="n">
        <f aca="false">COUNTIF(D27:AI27,"*$N*")</f>
        <v>0</v>
      </c>
      <c r="BH27" s="37" t="n">
        <f aca="false">COUNTIF(D27:AI27,"*$PM*")</f>
        <v>0</v>
      </c>
      <c r="BI27" s="37" t="n">
        <f aca="false">BH27*('Setting key Duty'!$I$9)</f>
        <v>0</v>
      </c>
      <c r="BJ27" s="37" t="n">
        <f aca="false">COUNTIF(D27:AI27,"*$AM*")</f>
        <v>3</v>
      </c>
      <c r="BK27" s="37" t="n">
        <f aca="false">BJ27*('Setting key Duty'!$I$12+'Setting key Duty'!$I$8)</f>
        <v>1.3125</v>
      </c>
      <c r="BL27" s="37" t="n">
        <f aca="false">COUNTIF(C27:AI27,"*$FC*")</f>
        <v>0</v>
      </c>
      <c r="BM27" s="37" t="n">
        <f aca="false">BL27*('Setting key Duty'!$J$11+'Setting key Duty'!$I$8)</f>
        <v>0</v>
      </c>
      <c r="BN27" s="37" t="n">
        <f aca="false">COUNTIF($C27:$AG27,BN$4)</f>
        <v>0</v>
      </c>
      <c r="BO27" s="37" t="n">
        <f aca="false">COUNTIF($C27:$AG27,BO$4)</f>
        <v>2</v>
      </c>
      <c r="BP27" s="37" t="n">
        <f aca="false">COUNTIF($D27:$AD27,BP$4)</f>
        <v>2</v>
      </c>
      <c r="BQ27" s="39"/>
    </row>
    <row r="28" customFormat="false" ht="19.5" hidden="false" customHeight="true" outlineLevel="0" collapsed="false">
      <c r="A28" s="30"/>
      <c r="B28" s="104" t="s">
        <v>192</v>
      </c>
      <c r="C28" s="42"/>
      <c r="D28" s="42"/>
      <c r="F28" s="32" t="s">
        <v>294</v>
      </c>
      <c r="G28" s="117" t="s">
        <v>173</v>
      </c>
      <c r="H28" s="117" t="s">
        <v>173</v>
      </c>
      <c r="I28" s="32" t="s">
        <v>93</v>
      </c>
      <c r="J28" s="42"/>
      <c r="L28" s="45"/>
      <c r="N28" s="56" t="s">
        <v>104</v>
      </c>
      <c r="O28" s="32"/>
      <c r="P28" s="32" t="s">
        <v>93</v>
      </c>
      <c r="R28" s="42"/>
      <c r="S28" s="32" t="s">
        <v>55</v>
      </c>
      <c r="T28" s="32" t="s">
        <v>55</v>
      </c>
      <c r="U28" s="32" t="s">
        <v>69</v>
      </c>
      <c r="V28" s="42"/>
      <c r="W28" s="42" t="s">
        <v>349</v>
      </c>
      <c r="X28" s="42"/>
      <c r="Y28" s="42"/>
      <c r="Z28" s="42"/>
      <c r="AB28" s="32" t="s">
        <v>360</v>
      </c>
      <c r="AC28" s="32" t="s">
        <v>55</v>
      </c>
      <c r="AD28" s="32" t="s">
        <v>361</v>
      </c>
      <c r="AF28" s="116" t="s">
        <v>65</v>
      </c>
      <c r="AH28" s="42"/>
      <c r="AI28" s="35"/>
      <c r="AJ28" s="36"/>
      <c r="AK28" s="35"/>
      <c r="AL28" s="66"/>
      <c r="AM28" s="66"/>
      <c r="AN28" s="66"/>
      <c r="AO28" s="66"/>
      <c r="AP28" s="67"/>
      <c r="AQ28" s="37" t="n">
        <f aca="false">SUMPRODUCT(--WEEKDAY(C$3:AG$3,2)&lt;6,--((C28:AG28="DM"))+(C28:AG28="CS1")+((C28:AG28="CS2"))+(C28:AG28="SB1")+(C28:AG28="AE")+(C28:AG28="EM"))</f>
        <v>0</v>
      </c>
      <c r="AR28" s="38"/>
      <c r="AS28" s="38" t="n">
        <f aca="false">SUMPRODUCT(--WEEKDAY(C$3:AG$3,2)&gt;5,--((C28:AG28="DM"))+(C28:AG28="CS1")+((C28:AG28="CS2"))+(C28:AG28="SB1")+(C28:AG28="AE")+(C28:AG28="EM"))</f>
        <v>1</v>
      </c>
      <c r="AT28" s="67"/>
      <c r="AU28" s="38" t="n">
        <f aca="false">(AQ28-AR28)/2+(AS28-AT28)</f>
        <v>1</v>
      </c>
      <c r="AV28" s="38" t="n">
        <f aca="false">AI28+AJ28+AK28+AL28+AN28+AO28</f>
        <v>0</v>
      </c>
      <c r="AW28" s="38" t="n">
        <f aca="false">BG28+BH28+BJ28+BE28+BC28+BA28+BL28</f>
        <v>4</v>
      </c>
      <c r="AX28" s="38" t="e">
        <f aca="false">AU28+AY28</f>
        <v>#VALUE!</v>
      </c>
      <c r="AY28" s="37" t="e">
        <f aca="false">(BJ28*('Setting key Duty'!$I$8+'Setting key Duty'!$I$12))+(BH28*'Setting key Duty'!$I$9)+(BC28*('Setting key Duty'!$I$13+'Setting key Duty'!$I$9))+(BA28*('Setting key Duty'!$I$13+'Setting key Duty'!$I$12+'Setting key Duty'!$I$11))+(BE28*('Setting key Duty'!$I$8+'Setting key Duty'!$I$9+'Setting key Duty'!$I$12))</f>
        <v>#VALUE!</v>
      </c>
      <c r="AZ28" s="37" t="n">
        <f aca="false">COUNTIF(C28:T28,"*BRT*")</f>
        <v>0</v>
      </c>
      <c r="BA28" s="37" t="n">
        <f aca="false">COUNTIF(A28:AI28,"*$BTP*")</f>
        <v>1</v>
      </c>
      <c r="BB28" s="37" t="e">
        <f aca="false">BA28*('Setting key Duty'!$I$13+'Setting key Duty'!$I$12+'Setting key Duty'!$I$11)</f>
        <v>#VALUE!</v>
      </c>
      <c r="BC28" s="37" t="n">
        <f aca="false">COUNTIF(D28:AI28,"*$L*")</f>
        <v>0</v>
      </c>
      <c r="BD28" s="37" t="e">
        <f aca="false">BC28*('Setting key Duty'!$I$13+'Setting key Duty'!$I$9)</f>
        <v>#VALUE!</v>
      </c>
      <c r="BE28" s="37" t="n">
        <f aca="false">COUNTIF(D28:AI28,"*$M*")</f>
        <v>1</v>
      </c>
      <c r="BF28" s="37" t="n">
        <f aca="false">BE28*('Setting key Duty'!$I$8+'Setting key Duty'!$I$9+'Setting key Duty'!$I$12)</f>
        <v>0.5625</v>
      </c>
      <c r="BG28" s="37" t="n">
        <f aca="false">COUNTIF(D28:AI28,"*$N*")</f>
        <v>0</v>
      </c>
      <c r="BH28" s="37" t="n">
        <f aca="false">COUNTIF(D28:AI28,"*$PM*")</f>
        <v>0</v>
      </c>
      <c r="BI28" s="37" t="n">
        <f aca="false">BH28*('Setting key Duty'!$I$9)</f>
        <v>0</v>
      </c>
      <c r="BJ28" s="37" t="n">
        <f aca="false">COUNTIF(D28:AI28,"*$AM*")</f>
        <v>2</v>
      </c>
      <c r="BK28" s="37" t="n">
        <f aca="false">BJ28*('Setting key Duty'!$I$12+'Setting key Duty'!$I$8)</f>
        <v>0.875</v>
      </c>
      <c r="BL28" s="37" t="n">
        <f aca="false">COUNTIF(C28:AI28,"*$FC*")</f>
        <v>0</v>
      </c>
      <c r="BM28" s="37" t="n">
        <f aca="false">BL28*('Setting key Duty'!$J$11+'Setting key Duty'!$I$8)</f>
        <v>0</v>
      </c>
      <c r="BN28" s="37" t="n">
        <f aca="false">COUNTIF($C28:$AF28,BN$4)</f>
        <v>0</v>
      </c>
      <c r="BO28" s="37" t="n">
        <f aca="false">COUNTIF($C28:$AF28,BO$4)</f>
        <v>0</v>
      </c>
      <c r="BP28" s="37" t="n">
        <f aca="false">COUNTIF($D28:$AE28,BP$4)</f>
        <v>3</v>
      </c>
      <c r="BQ28" s="68"/>
    </row>
    <row r="29" customFormat="false" ht="19.5" hidden="false" customHeight="true" outlineLevel="0" collapsed="false">
      <c r="A29" s="30"/>
      <c r="B29" s="104" t="s">
        <v>193</v>
      </c>
      <c r="C29" s="65"/>
      <c r="D29" s="45"/>
      <c r="E29" s="42"/>
      <c r="F29" s="56" t="s">
        <v>144</v>
      </c>
      <c r="H29" s="117" t="s">
        <v>93</v>
      </c>
      <c r="I29" s="42"/>
      <c r="J29" s="42"/>
      <c r="K29" s="115" t="s">
        <v>350</v>
      </c>
      <c r="L29" s="45"/>
      <c r="M29" s="32" t="s">
        <v>93</v>
      </c>
      <c r="N29" s="32"/>
      <c r="O29" s="32" t="s">
        <v>93</v>
      </c>
      <c r="P29" s="32" t="s">
        <v>54</v>
      </c>
      <c r="Q29" s="32" t="s">
        <v>54</v>
      </c>
      <c r="R29" s="32" t="s">
        <v>54</v>
      </c>
      <c r="S29" s="32" t="s">
        <v>54</v>
      </c>
      <c r="T29" s="32" t="s">
        <v>54</v>
      </c>
      <c r="V29" s="32" t="s">
        <v>93</v>
      </c>
      <c r="W29" s="32" t="s">
        <v>93</v>
      </c>
      <c r="X29" s="65"/>
      <c r="Y29" s="32" t="s">
        <v>65</v>
      </c>
      <c r="Z29" s="32"/>
      <c r="AA29" s="32" t="s">
        <v>93</v>
      </c>
      <c r="AB29" s="32" t="s">
        <v>93</v>
      </c>
      <c r="AC29" s="42"/>
      <c r="AD29" s="32" t="s">
        <v>93</v>
      </c>
      <c r="AE29" s="115" t="s">
        <v>350</v>
      </c>
      <c r="AF29" s="32"/>
      <c r="AG29" s="116"/>
      <c r="AH29" s="42"/>
      <c r="AI29" s="35"/>
      <c r="AJ29" s="36"/>
      <c r="AK29" s="35"/>
      <c r="AL29" s="66"/>
      <c r="AM29" s="66"/>
      <c r="AN29" s="66"/>
      <c r="AO29" s="66"/>
      <c r="AP29" s="67"/>
      <c r="AQ29" s="37" t="n">
        <f aca="false">SUMPRODUCT(--WEEKDAY(C$3:AG$3,2)&lt;6,--((C29:AG29="DM"))+(C29:AG29="CS1")+((C29:AG29="CS2"))+(C29:AG29="SB1")+(C29:AG29="AE")+(C29:AG29="EM"))</f>
        <v>0</v>
      </c>
      <c r="AR29" s="38"/>
      <c r="AS29" s="38" t="n">
        <f aca="false">SUMPRODUCT(--WEEKDAY(C$3:AG$3,2)&gt;5,--((C29:AG29="DM"))+(C29:AG29="CS1")+((C29:AG29="CS2"))+(C29:AG29="SB1")+(C29:AG29="AE")+(C29:AG29="EM"))</f>
        <v>1</v>
      </c>
      <c r="AT29" s="67"/>
      <c r="AU29" s="38" t="n">
        <f aca="false">(AQ29-AR29)/2+(AS29-AT29)</f>
        <v>1</v>
      </c>
      <c r="AV29" s="38" t="n">
        <f aca="false">AI29+AJ29+AK29+AL29+AN29+AO29</f>
        <v>0</v>
      </c>
      <c r="AW29" s="38" t="n">
        <f aca="false">BG29+BH29+BJ29+BE29+BC29+BA29+BL29</f>
        <v>1</v>
      </c>
      <c r="AX29" s="38" t="e">
        <f aca="false">AU29+AY29</f>
        <v>#VALUE!</v>
      </c>
      <c r="AY29" s="37" t="e">
        <f aca="false">(BJ29*('Setting key Duty'!$I$8+'Setting key Duty'!$I$12))+(BH29*'Setting key Duty'!$I$9)+(BC29*('Setting key Duty'!$I$13+'Setting key Duty'!$I$9))+(BA29*('Setting key Duty'!$I$13+'Setting key Duty'!$I$12+'Setting key Duty'!$I$11))+(BE29*('Setting key Duty'!$I$8+'Setting key Duty'!$I$9+'Setting key Duty'!$I$12))</f>
        <v>#VALUE!</v>
      </c>
      <c r="AZ29" s="37" t="n">
        <f aca="false">COUNTIF(C29:Y29,"*BRT*")</f>
        <v>0</v>
      </c>
      <c r="BA29" s="37" t="n">
        <f aca="false">COUNTIF(A29:AI29,"*$BTP*")</f>
        <v>0</v>
      </c>
      <c r="BB29" s="37" t="e">
        <f aca="false">BA29*('Setting key Duty'!$I$13+'Setting key Duty'!$I$12+'Setting key Duty'!$I$11)</f>
        <v>#VALUE!</v>
      </c>
      <c r="BC29" s="37" t="n">
        <f aca="false">COUNTIF(D29:AI29,"*$L*")</f>
        <v>0</v>
      </c>
      <c r="BD29" s="37" t="e">
        <f aca="false">BC29*('Setting key Duty'!$I$13+'Setting key Duty'!$I$9)</f>
        <v>#VALUE!</v>
      </c>
      <c r="BE29" s="37" t="n">
        <f aca="false">COUNTIF(D29:AI29,"*$M*")</f>
        <v>0</v>
      </c>
      <c r="BF29" s="37" t="n">
        <f aca="false">BE29*('Setting key Duty'!$I$8+'Setting key Duty'!$I$9+'Setting key Duty'!$I$12)</f>
        <v>0</v>
      </c>
      <c r="BG29" s="37" t="n">
        <f aca="false">COUNTIF(D29:AI29,"*$N*")</f>
        <v>0</v>
      </c>
      <c r="BH29" s="37" t="n">
        <f aca="false">COUNTIF(D29:AI29,"*$PM*")</f>
        <v>0</v>
      </c>
      <c r="BI29" s="37" t="n">
        <f aca="false">BH29*('Setting key Duty'!$I$9)</f>
        <v>0</v>
      </c>
      <c r="BJ29" s="37" t="n">
        <f aca="false">COUNTIF(D29:AI29,"*$AM*")</f>
        <v>1</v>
      </c>
      <c r="BK29" s="37" t="n">
        <f aca="false">BJ29*('Setting key Duty'!$I$12+'Setting key Duty'!$I$8)</f>
        <v>0.4375</v>
      </c>
      <c r="BL29" s="37" t="n">
        <f aca="false">COUNTIF(C29:AI29,"*$FC*")</f>
        <v>0</v>
      </c>
      <c r="BM29" s="37" t="n">
        <f aca="false">BL29*('Setting key Duty'!$J$11+'Setting key Duty'!$I$8)</f>
        <v>0</v>
      </c>
      <c r="BN29" s="37" t="n">
        <f aca="false">COUNTIF($C29:$AG29,BN$4)</f>
        <v>0</v>
      </c>
      <c r="BO29" s="37" t="n">
        <f aca="false">COUNTIF($C29:$AG29,BO$4)</f>
        <v>2</v>
      </c>
      <c r="BP29" s="37" t="n">
        <f aca="false">COUNTIF($D29:$AE29,BP$4)</f>
        <v>0</v>
      </c>
      <c r="BQ29" s="68"/>
    </row>
    <row r="30" customFormat="false" ht="19.5" hidden="false" customHeight="true" outlineLevel="0" collapsed="false">
      <c r="A30" s="30"/>
      <c r="B30" s="104" t="s">
        <v>262</v>
      </c>
      <c r="C30" s="32" t="s">
        <v>65</v>
      </c>
      <c r="D30" s="42"/>
      <c r="E30" s="42" t="s">
        <v>65</v>
      </c>
      <c r="F30" s="45" t="s">
        <v>93</v>
      </c>
      <c r="G30" s="117" t="s">
        <v>93</v>
      </c>
      <c r="H30" s="33"/>
      <c r="I30" s="42" t="s">
        <v>65</v>
      </c>
      <c r="J30" s="42"/>
      <c r="K30" s="45"/>
      <c r="L30" s="42" t="s">
        <v>65</v>
      </c>
      <c r="N30" s="32" t="s">
        <v>93</v>
      </c>
      <c r="P30" s="42" t="s">
        <v>65</v>
      </c>
      <c r="Q30" s="42"/>
      <c r="R30" s="32" t="s">
        <v>65</v>
      </c>
      <c r="S30" s="42"/>
      <c r="T30" s="42" t="s">
        <v>65</v>
      </c>
      <c r="V30" s="42" t="s">
        <v>65</v>
      </c>
      <c r="X30" s="42" t="s">
        <v>65</v>
      </c>
      <c r="Y30" s="42"/>
      <c r="Z30" s="32" t="s">
        <v>362</v>
      </c>
      <c r="AA30" s="32" t="s">
        <v>363</v>
      </c>
      <c r="AB30" s="42" t="s">
        <v>71</v>
      </c>
      <c r="AC30" s="42" t="s">
        <v>71</v>
      </c>
      <c r="AD30" s="42" t="s">
        <v>71</v>
      </c>
      <c r="AE30" s="42" t="s">
        <v>71</v>
      </c>
      <c r="AF30" s="42" t="s">
        <v>71</v>
      </c>
      <c r="AG30" s="42" t="s">
        <v>71</v>
      </c>
      <c r="AH30" s="42"/>
      <c r="AI30" s="35"/>
      <c r="AJ30" s="36"/>
      <c r="AK30" s="35"/>
      <c r="AL30" s="66"/>
      <c r="AM30" s="66"/>
      <c r="AN30" s="66"/>
      <c r="AO30" s="66"/>
      <c r="AP30" s="67"/>
      <c r="AQ30" s="37" t="n">
        <f aca="false">SUMPRODUCT(--WEEKDAY(C$3:AG$3,2)&lt;6,--((C30:AG30="DM"))+(C30:AG30="CS1")+((C30:AG30="CS2"))+(C30:AG30="SB1")+(C30:AG30="AE")+(C30:AG30="EM"))</f>
        <v>6</v>
      </c>
      <c r="AR30" s="38"/>
      <c r="AS30" s="38" t="n">
        <f aca="false">SUMPRODUCT(--WEEKDAY(C$3:AG$3,2)&gt;5,--((C30:AG30="DM"))+(C30:AG30="CS1")+((C30:AG30="CS2"))+(C30:AG30="SB1")+(C30:AG30="AE")+(C30:AG30="EM"))</f>
        <v>3</v>
      </c>
      <c r="AT30" s="67"/>
      <c r="AU30" s="38" t="n">
        <f aca="false">(AQ30-AR30)/2+(AS30-AT30)</f>
        <v>6</v>
      </c>
      <c r="AV30" s="38" t="n">
        <f aca="false">AI30+AJ30+AK30+AL30+AN30+AO30</f>
        <v>0</v>
      </c>
      <c r="AW30" s="38" t="n">
        <f aca="false">BG30+BH30+BJ30+BE30+BC30+BA30+BL30</f>
        <v>0</v>
      </c>
      <c r="AX30" s="38" t="e">
        <f aca="false">AU30+AY30</f>
        <v>#VALUE!</v>
      </c>
      <c r="AY30" s="37" t="e">
        <f aca="false">(BJ30*('Setting key Duty'!$I$8+'Setting key Duty'!$I$12))+(BH30*'Setting key Duty'!$I$9)+(BC30*('Setting key Duty'!$I$13+'Setting key Duty'!$I$9))+(BA30*('Setting key Duty'!$I$13+'Setting key Duty'!$I$12+'Setting key Duty'!$I$11))+(BE30*('Setting key Duty'!$I$8+'Setting key Duty'!$I$9+'Setting key Duty'!$I$12))</f>
        <v>#VALUE!</v>
      </c>
      <c r="AZ30" s="37" t="n">
        <f aca="false">COUNTIF(C30:Y30,"*BRT*")</f>
        <v>0</v>
      </c>
      <c r="BA30" s="37" t="n">
        <f aca="false">COUNTIF(A30:AI30,"*$BTP*")</f>
        <v>0</v>
      </c>
      <c r="BB30" s="37" t="e">
        <f aca="false">BA30*('Setting key Duty'!$I$13+'Setting key Duty'!$I$12+'Setting key Duty'!$I$11)</f>
        <v>#VALUE!</v>
      </c>
      <c r="BC30" s="37" t="n">
        <f aca="false">COUNTIF(D30:AI30,"*$L*")</f>
        <v>0</v>
      </c>
      <c r="BD30" s="37" t="e">
        <f aca="false">BC30*('Setting key Duty'!$I$13+'Setting key Duty'!$I$9)</f>
        <v>#VALUE!</v>
      </c>
      <c r="BE30" s="37" t="n">
        <f aca="false">COUNTIF(D30:AI30,"*$M*")</f>
        <v>0</v>
      </c>
      <c r="BF30" s="37" t="n">
        <f aca="false">BE30*('Setting key Duty'!$I$8+'Setting key Duty'!$I$9+'Setting key Duty'!$I$12)</f>
        <v>0</v>
      </c>
      <c r="BG30" s="37" t="n">
        <f aca="false">COUNTIF(D30:AI30,"*$N*")</f>
        <v>0</v>
      </c>
      <c r="BH30" s="37" t="n">
        <f aca="false">COUNTIF(D30:AI30,"*$PM*")</f>
        <v>0</v>
      </c>
      <c r="BI30" s="37" t="n">
        <f aca="false">BH30*('Setting key Duty'!$I$9)</f>
        <v>0</v>
      </c>
      <c r="BJ30" s="37" t="n">
        <f aca="false">COUNTIF(D30:AI30,"*$AM*")</f>
        <v>0</v>
      </c>
      <c r="BK30" s="37" t="n">
        <f aca="false">BJ30*('Setting key Duty'!$I$12+'Setting key Duty'!$I$8)</f>
        <v>0</v>
      </c>
      <c r="BL30" s="37" t="n">
        <f aca="false">COUNTIF(C30:AI30,"*$FC*")</f>
        <v>0</v>
      </c>
      <c r="BM30" s="37" t="n">
        <f aca="false">BL30*('Setting key Duty'!$J$11+'Setting key Duty'!$I$8)</f>
        <v>0</v>
      </c>
      <c r="BN30" s="37" t="n">
        <f aca="false">COUNTIF($C30:$AG30,BN$4)</f>
        <v>0</v>
      </c>
      <c r="BO30" s="37" t="n">
        <f aca="false">COUNTIF($C30:$AG30,BO$4)</f>
        <v>0</v>
      </c>
      <c r="BP30" s="37" t="n">
        <f aca="false">COUNTIF($D30:$AE30,BP$4)</f>
        <v>0</v>
      </c>
      <c r="BQ30" s="68"/>
    </row>
    <row r="31" customFormat="false" ht="19.5" hidden="false" customHeight="true" outlineLevel="0" collapsed="false">
      <c r="A31" s="30"/>
      <c r="B31" s="104" t="s">
        <v>195</v>
      </c>
      <c r="D31" s="42"/>
      <c r="G31" s="117" t="s">
        <v>173</v>
      </c>
      <c r="H31" s="117" t="s">
        <v>173</v>
      </c>
      <c r="I31" s="32"/>
      <c r="K31" s="42"/>
      <c r="L31" s="42"/>
      <c r="M31" s="56" t="s">
        <v>364</v>
      </c>
      <c r="N31" s="56" t="s">
        <v>364</v>
      </c>
      <c r="O31" s="33"/>
      <c r="P31" s="32"/>
      <c r="Q31" s="32" t="s">
        <v>65</v>
      </c>
      <c r="S31" s="32" t="s">
        <v>65</v>
      </c>
      <c r="U31" s="32" t="s">
        <v>93</v>
      </c>
      <c r="V31" s="32" t="s">
        <v>349</v>
      </c>
      <c r="W31" s="56" t="s">
        <v>354</v>
      </c>
      <c r="X31" s="98"/>
      <c r="Z31" s="32" t="s">
        <v>55</v>
      </c>
      <c r="AA31" s="32" t="s">
        <v>55</v>
      </c>
      <c r="AB31" s="32" t="s">
        <v>55</v>
      </c>
      <c r="AC31" s="32" t="s">
        <v>93</v>
      </c>
      <c r="AD31" s="32"/>
      <c r="AE31" s="42" t="s">
        <v>65</v>
      </c>
      <c r="AF31" s="32"/>
      <c r="AG31" s="118"/>
      <c r="AH31" s="33"/>
      <c r="AI31" s="35"/>
      <c r="AJ31" s="36"/>
      <c r="AK31" s="35"/>
      <c r="AL31" s="66"/>
      <c r="AM31" s="66"/>
      <c r="AN31" s="66"/>
      <c r="AO31" s="66"/>
      <c r="AP31" s="67"/>
      <c r="AQ31" s="37" t="n">
        <f aca="false">SUMPRODUCT(--WEEKDAY(C$3:AG$3,2)&lt;6,--((C31:AG31="DM"))+(C31:AG31="CS1")+((C31:AG31="CS2"))+(C31:AG31="SB1")+(C31:AG31="AE")+(C31:AG31="EM"))</f>
        <v>1</v>
      </c>
      <c r="AR31" s="38"/>
      <c r="AS31" s="38" t="n">
        <f aca="false">SUMPRODUCT(--WEEKDAY(C$3:AG$3,2)&gt;5,--((C31:AG31="DM"))+(C31:AG31="CS1")+((C31:AG31="CS2"))+(C31:AG31="SB1")+(C31:AG31="AE")+(C31:AG31="EM"))</f>
        <v>2</v>
      </c>
      <c r="AT31" s="67"/>
      <c r="AU31" s="38" t="n">
        <f aca="false">(AQ31-AR31)/2+(AS31-AT31)</f>
        <v>2.5</v>
      </c>
      <c r="AV31" s="38" t="n">
        <f aca="false">AI31+AJ31+AK31+AL31+AN31+AO31</f>
        <v>0</v>
      </c>
      <c r="AW31" s="38" t="n">
        <f aca="false">BG31+BH31+BJ31+BE31+BC31+BA31+BL31</f>
        <v>3</v>
      </c>
      <c r="AX31" s="38" t="e">
        <f aca="false">AU31+AY31</f>
        <v>#VALUE!</v>
      </c>
      <c r="AY31" s="37" t="e">
        <f aca="false">(BJ31*('Setting key Duty'!$I$8+'Setting key Duty'!$I$12))+(BH31*'Setting key Duty'!$I$9)+(BC31*('Setting key Duty'!$I$13+'Setting key Duty'!$I$9))+(BA31*('Setting key Duty'!$I$13+'Setting key Duty'!$I$12+'Setting key Duty'!$I$11))+(BE31*('Setting key Duty'!$I$8+'Setting key Duty'!$I$9+'Setting key Duty'!$I$12))</f>
        <v>#VALUE!</v>
      </c>
      <c r="AZ31" s="37" t="n">
        <f aca="false">COUNTIF(C31:Y31,"*BRT*")</f>
        <v>0</v>
      </c>
      <c r="BA31" s="37" t="n">
        <f aca="false">COUNTIF(A31:AI31,"*$BTP*")</f>
        <v>0</v>
      </c>
      <c r="BB31" s="37" t="e">
        <f aca="false">BA31*('Setting key Duty'!$I$13+'Setting key Duty'!$I$12+'Setting key Duty'!$I$11)</f>
        <v>#VALUE!</v>
      </c>
      <c r="BC31" s="37" t="n">
        <f aca="false">COUNTIF(D31:AI31,"*$L*")</f>
        <v>0</v>
      </c>
      <c r="BD31" s="37" t="e">
        <f aca="false">BC31*('Setting key Duty'!$I$13+'Setting key Duty'!$I$9)</f>
        <v>#VALUE!</v>
      </c>
      <c r="BE31" s="37" t="n">
        <f aca="false">COUNTIF(D31:AI31,"*$M*")</f>
        <v>0</v>
      </c>
      <c r="BF31" s="37" t="n">
        <f aca="false">BE31*('Setting key Duty'!$I$8+'Setting key Duty'!$I$9+'Setting key Duty'!$I$12)</f>
        <v>0</v>
      </c>
      <c r="BG31" s="37" t="n">
        <f aca="false">COUNTIF(D31:AI31,"*$N*")</f>
        <v>0</v>
      </c>
      <c r="BH31" s="37" t="n">
        <f aca="false">COUNTIF(D31:AI31,"*$PM*")</f>
        <v>0</v>
      </c>
      <c r="BI31" s="37" t="n">
        <f aca="false">BH31*('Setting key Duty'!$I$9)</f>
        <v>0</v>
      </c>
      <c r="BJ31" s="37" t="n">
        <f aca="false">COUNTIF(D31:AI31,"*$AM*")</f>
        <v>1</v>
      </c>
      <c r="BK31" s="37" t="n">
        <f aca="false">BJ31*('Setting key Duty'!$I$12+'Setting key Duty'!$I$8)</f>
        <v>0.4375</v>
      </c>
      <c r="BL31" s="37" t="n">
        <f aca="false">COUNTIF(C31:AI31,"*$FC*")</f>
        <v>2</v>
      </c>
      <c r="BM31" s="37" t="n">
        <f aca="false">BL31*('Setting key Duty'!$J$11+'Setting key Duty'!$I$8)</f>
        <v>0.25</v>
      </c>
      <c r="BN31" s="37" t="n">
        <f aca="false">COUNTIF($C31:$AG31,BN$4)</f>
        <v>0</v>
      </c>
      <c r="BO31" s="37" t="n">
        <f aca="false">COUNTIF($C31:$AG31,BO$4)</f>
        <v>0</v>
      </c>
      <c r="BP31" s="37" t="n">
        <f aca="false">COUNTIF($D31:$AE31,BP$4)</f>
        <v>3</v>
      </c>
      <c r="BQ31" s="68"/>
    </row>
    <row r="32" customFormat="false" ht="19.5" hidden="false" customHeight="true" outlineLevel="0" collapsed="false">
      <c r="A32" s="30"/>
      <c r="B32" s="104" t="s">
        <v>365</v>
      </c>
      <c r="C32" s="42"/>
      <c r="D32" s="42"/>
      <c r="E32" s="33"/>
      <c r="F32" s="33"/>
      <c r="G32" s="33"/>
      <c r="H32" s="33"/>
      <c r="I32" s="33"/>
      <c r="J32" s="42"/>
      <c r="K32" s="45"/>
      <c r="L32" s="45"/>
      <c r="M32" s="63"/>
      <c r="N32" s="45"/>
      <c r="O32" s="45"/>
      <c r="P32" s="42"/>
      <c r="Q32" s="33"/>
      <c r="R32" s="33"/>
      <c r="S32" s="32" t="s">
        <v>190</v>
      </c>
      <c r="T32" s="32" t="s">
        <v>190</v>
      </c>
      <c r="U32" s="32" t="s">
        <v>190</v>
      </c>
      <c r="V32" s="32" t="s">
        <v>190</v>
      </c>
      <c r="W32" s="32" t="s">
        <v>190</v>
      </c>
      <c r="X32" s="42"/>
      <c r="Y32" s="33"/>
      <c r="Z32" s="32" t="n">
        <v>1</v>
      </c>
      <c r="AA32" s="32"/>
      <c r="AB32" s="32" t="n">
        <v>2</v>
      </c>
      <c r="AC32" s="33"/>
      <c r="AD32" s="42" t="n">
        <v>3</v>
      </c>
      <c r="AE32" s="42"/>
      <c r="AF32" s="42"/>
      <c r="AG32" s="116"/>
      <c r="AH32" s="42"/>
      <c r="AI32" s="35"/>
      <c r="AJ32" s="36"/>
      <c r="AK32" s="35"/>
      <c r="AL32" s="66"/>
      <c r="AM32" s="66"/>
      <c r="AN32" s="66"/>
      <c r="AO32" s="66"/>
      <c r="AP32" s="67"/>
      <c r="AQ32" s="37"/>
      <c r="AR32" s="67"/>
      <c r="AS32" s="38"/>
      <c r="AT32" s="67"/>
      <c r="AU32" s="38"/>
      <c r="AV32" s="38"/>
      <c r="AW32" s="38"/>
      <c r="AX32" s="38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68"/>
    </row>
    <row r="33" customFormat="false" ht="19.5" hidden="false" customHeight="true" outlineLevel="0" collapsed="false">
      <c r="A33" s="30"/>
      <c r="B33" s="59" t="s">
        <v>366</v>
      </c>
      <c r="C33" s="42"/>
      <c r="D33" s="42"/>
      <c r="E33" s="33"/>
      <c r="F33" s="33"/>
      <c r="G33" s="33"/>
      <c r="H33" s="33"/>
      <c r="I33" s="33"/>
      <c r="J33" s="42"/>
      <c r="K33" s="45"/>
      <c r="L33" s="45"/>
      <c r="M33" s="63"/>
      <c r="N33" s="45"/>
      <c r="O33" s="45"/>
      <c r="P33" s="42"/>
      <c r="Q33" s="33"/>
      <c r="R33" s="33"/>
      <c r="S33" s="32" t="s">
        <v>190</v>
      </c>
      <c r="T33" s="32" t="s">
        <v>190</v>
      </c>
      <c r="U33" s="32" t="s">
        <v>190</v>
      </c>
      <c r="V33" s="32" t="s">
        <v>190</v>
      </c>
      <c r="W33" s="32" t="s">
        <v>190</v>
      </c>
      <c r="X33" s="42"/>
      <c r="Y33" s="33"/>
      <c r="Z33" s="33"/>
      <c r="AA33" s="33"/>
      <c r="AB33" s="33"/>
      <c r="AC33" s="33"/>
      <c r="AD33" s="42"/>
      <c r="AE33" s="42"/>
      <c r="AF33" s="42"/>
      <c r="AG33" s="116"/>
      <c r="AH33" s="42"/>
      <c r="AI33" s="35"/>
      <c r="AJ33" s="36"/>
      <c r="AK33" s="35"/>
      <c r="AL33" s="66"/>
      <c r="AM33" s="66"/>
      <c r="AN33" s="66"/>
      <c r="AO33" s="66"/>
      <c r="AP33" s="67"/>
      <c r="AQ33" s="37"/>
      <c r="AR33" s="67"/>
      <c r="AS33" s="38"/>
      <c r="AT33" s="67"/>
      <c r="AU33" s="38"/>
      <c r="AV33" s="38"/>
      <c r="AW33" s="38"/>
      <c r="AX33" s="38"/>
      <c r="AY33" s="37"/>
      <c r="AZ33" s="37"/>
      <c r="BA33" s="37"/>
      <c r="BB33" s="37"/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  <c r="BN33" s="37"/>
      <c r="BO33" s="37"/>
      <c r="BP33" s="37"/>
      <c r="BQ33" s="68"/>
    </row>
    <row r="34" customFormat="false" ht="19.5" hidden="false" customHeight="true" outlineLevel="0" collapsed="false">
      <c r="A34" s="30"/>
      <c r="B34" s="59" t="s">
        <v>367</v>
      </c>
      <c r="C34" s="42"/>
      <c r="D34" s="42"/>
      <c r="E34" s="33"/>
      <c r="F34" s="33"/>
      <c r="G34" s="33"/>
      <c r="H34" s="33"/>
      <c r="I34" s="33"/>
      <c r="J34" s="42"/>
      <c r="K34" s="45"/>
      <c r="L34" s="45"/>
      <c r="M34" s="63"/>
      <c r="N34" s="45"/>
      <c r="O34" s="45"/>
      <c r="P34" s="42"/>
      <c r="Q34" s="33"/>
      <c r="R34" s="33"/>
      <c r="S34" s="32" t="s">
        <v>190</v>
      </c>
      <c r="T34" s="32" t="s">
        <v>190</v>
      </c>
      <c r="U34" s="32" t="s">
        <v>190</v>
      </c>
      <c r="V34" s="32" t="s">
        <v>190</v>
      </c>
      <c r="W34" s="32" t="s">
        <v>190</v>
      </c>
      <c r="X34" s="42"/>
      <c r="Y34" s="33"/>
      <c r="Z34" s="32" t="n">
        <v>1</v>
      </c>
      <c r="AA34" s="32"/>
      <c r="AB34" s="32" t="n">
        <v>2</v>
      </c>
      <c r="AC34" s="33"/>
      <c r="AD34" s="42" t="n">
        <v>3</v>
      </c>
      <c r="AE34" s="42"/>
      <c r="AF34" s="42"/>
      <c r="AG34" s="116"/>
      <c r="AH34" s="42"/>
      <c r="AI34" s="35"/>
      <c r="AJ34" s="36"/>
      <c r="AK34" s="35"/>
      <c r="AL34" s="66"/>
      <c r="AM34" s="66"/>
      <c r="AN34" s="66"/>
      <c r="AO34" s="66"/>
      <c r="AP34" s="67"/>
      <c r="AQ34" s="37"/>
      <c r="AR34" s="67"/>
      <c r="AS34" s="38"/>
      <c r="AT34" s="67"/>
      <c r="AU34" s="38"/>
      <c r="AV34" s="38"/>
      <c r="AW34" s="38"/>
      <c r="AX34" s="38"/>
      <c r="AY34" s="37"/>
      <c r="AZ34" s="37"/>
      <c r="BA34" s="37"/>
      <c r="BB34" s="37"/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  <c r="BN34" s="37"/>
      <c r="BO34" s="37"/>
      <c r="BP34" s="37"/>
      <c r="BQ34" s="68"/>
    </row>
    <row r="35" customFormat="false" ht="19.5" hidden="false" customHeight="true" outlineLevel="0" collapsed="false">
      <c r="A35" s="30"/>
      <c r="B35" s="59" t="s">
        <v>368</v>
      </c>
      <c r="C35" s="42"/>
      <c r="D35" s="42"/>
      <c r="E35" s="33"/>
      <c r="F35" s="33"/>
      <c r="G35" s="33"/>
      <c r="H35" s="33"/>
      <c r="I35" s="33"/>
      <c r="J35" s="42"/>
      <c r="K35" s="45"/>
      <c r="L35" s="45"/>
      <c r="M35" s="63"/>
      <c r="N35" s="45"/>
      <c r="O35" s="45"/>
      <c r="P35" s="42"/>
      <c r="Q35" s="33"/>
      <c r="R35" s="33"/>
      <c r="S35" s="32" t="s">
        <v>190</v>
      </c>
      <c r="T35" s="32" t="s">
        <v>190</v>
      </c>
      <c r="U35" s="32" t="s">
        <v>190</v>
      </c>
      <c r="V35" s="32" t="s">
        <v>190</v>
      </c>
      <c r="W35" s="32" t="s">
        <v>190</v>
      </c>
      <c r="X35" s="42"/>
      <c r="Y35" s="33"/>
      <c r="Z35" s="32" t="n">
        <v>1</v>
      </c>
      <c r="AA35" s="32"/>
      <c r="AB35" s="32" t="n">
        <v>2</v>
      </c>
      <c r="AC35" s="33"/>
      <c r="AD35" s="42" t="n">
        <v>3</v>
      </c>
      <c r="AE35" s="42"/>
      <c r="AF35" s="42"/>
      <c r="AG35" s="116"/>
      <c r="AH35" s="42"/>
      <c r="AI35" s="35"/>
      <c r="AJ35" s="36"/>
      <c r="AK35" s="35"/>
      <c r="AL35" s="66"/>
      <c r="AM35" s="66"/>
      <c r="AN35" s="66"/>
      <c r="AO35" s="66"/>
      <c r="AP35" s="67"/>
      <c r="AQ35" s="37"/>
      <c r="AR35" s="67"/>
      <c r="AS35" s="38"/>
      <c r="AT35" s="67"/>
      <c r="AU35" s="38"/>
      <c r="AV35" s="38"/>
      <c r="AW35" s="38"/>
      <c r="AX35" s="38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68"/>
    </row>
    <row r="36" customFormat="false" ht="19.5" hidden="false" customHeight="true" outlineLevel="0" collapsed="false">
      <c r="A36" s="30"/>
      <c r="B36" s="59" t="s">
        <v>369</v>
      </c>
      <c r="C36" s="42"/>
      <c r="D36" s="42"/>
      <c r="E36" s="33"/>
      <c r="F36" s="33"/>
      <c r="G36" s="33"/>
      <c r="H36" s="33"/>
      <c r="I36" s="33"/>
      <c r="J36" s="42"/>
      <c r="K36" s="45"/>
      <c r="L36" s="45"/>
      <c r="M36" s="63"/>
      <c r="N36" s="45"/>
      <c r="O36" s="45"/>
      <c r="P36" s="42"/>
      <c r="Q36" s="33"/>
      <c r="R36" s="33"/>
      <c r="S36" s="32" t="s">
        <v>190</v>
      </c>
      <c r="T36" s="32" t="s">
        <v>190</v>
      </c>
      <c r="U36" s="32" t="s">
        <v>190</v>
      </c>
      <c r="V36" s="32" t="s">
        <v>190</v>
      </c>
      <c r="W36" s="32" t="s">
        <v>190</v>
      </c>
      <c r="X36" s="42"/>
      <c r="Y36" s="33"/>
      <c r="Z36" s="32" t="n">
        <v>3</v>
      </c>
      <c r="AA36" s="32"/>
      <c r="AB36" s="32" t="n">
        <v>4</v>
      </c>
      <c r="AC36" s="33"/>
      <c r="AD36" s="42"/>
      <c r="AE36" s="42"/>
      <c r="AF36" s="42"/>
      <c r="AG36" s="116"/>
      <c r="AH36" s="42"/>
      <c r="AI36" s="35"/>
      <c r="AJ36" s="36"/>
      <c r="AK36" s="35"/>
      <c r="AL36" s="66"/>
      <c r="AM36" s="66"/>
      <c r="AN36" s="66"/>
      <c r="AO36" s="66"/>
      <c r="AP36" s="67"/>
      <c r="AQ36" s="37"/>
      <c r="AR36" s="67"/>
      <c r="AS36" s="38"/>
      <c r="AT36" s="67"/>
      <c r="AU36" s="38"/>
      <c r="AV36" s="38"/>
      <c r="AW36" s="38"/>
      <c r="AX36" s="38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  <c r="BN36" s="37"/>
      <c r="BO36" s="37"/>
      <c r="BP36" s="37"/>
      <c r="BQ36" s="68"/>
    </row>
    <row r="37" customFormat="false" ht="19.5" hidden="false" customHeight="true" outlineLevel="0" collapsed="false">
      <c r="A37" s="30"/>
      <c r="B37" s="59" t="s">
        <v>370</v>
      </c>
      <c r="C37" s="42"/>
      <c r="D37" s="42"/>
      <c r="E37" s="33"/>
      <c r="F37" s="33"/>
      <c r="G37" s="33"/>
      <c r="H37" s="33"/>
      <c r="I37" s="33"/>
      <c r="J37" s="42"/>
      <c r="K37" s="45"/>
      <c r="L37" s="45"/>
      <c r="M37" s="63"/>
      <c r="N37" s="45"/>
      <c r="O37" s="45"/>
      <c r="P37" s="42"/>
      <c r="Q37" s="33"/>
      <c r="R37" s="33"/>
      <c r="S37" s="32" t="s">
        <v>190</v>
      </c>
      <c r="T37" s="32" t="s">
        <v>190</v>
      </c>
      <c r="U37" s="32" t="s">
        <v>190</v>
      </c>
      <c r="V37" s="32" t="s">
        <v>190</v>
      </c>
      <c r="W37" s="32" t="s">
        <v>190</v>
      </c>
      <c r="X37" s="42"/>
      <c r="Y37" s="33"/>
      <c r="Z37" s="33"/>
      <c r="AA37" s="33"/>
      <c r="AB37" s="33"/>
      <c r="AC37" s="33"/>
      <c r="AD37" s="42"/>
      <c r="AE37" s="42"/>
      <c r="AF37" s="42"/>
      <c r="AG37" s="116"/>
      <c r="AH37" s="42"/>
      <c r="AI37" s="35"/>
      <c r="AJ37" s="36"/>
      <c r="AK37" s="35"/>
      <c r="AL37" s="66"/>
      <c r="AM37" s="66"/>
      <c r="AN37" s="66"/>
      <c r="AO37" s="66"/>
      <c r="AP37" s="67"/>
      <c r="AQ37" s="37"/>
      <c r="AR37" s="67"/>
      <c r="AS37" s="38"/>
      <c r="AT37" s="67"/>
      <c r="AU37" s="38"/>
      <c r="AV37" s="38"/>
      <c r="AW37" s="38"/>
      <c r="AX37" s="38"/>
      <c r="AY37" s="37"/>
      <c r="AZ37" s="37"/>
      <c r="BA37" s="37"/>
      <c r="BB37" s="37"/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7"/>
      <c r="BO37" s="37"/>
      <c r="BP37" s="37"/>
      <c r="BQ37" s="68"/>
    </row>
    <row r="38" customFormat="false" ht="19.5" hidden="false" customHeight="true" outlineLevel="0" collapsed="false">
      <c r="A38" s="30"/>
      <c r="B38" s="59" t="s">
        <v>371</v>
      </c>
      <c r="C38" s="42"/>
      <c r="D38" s="42"/>
      <c r="E38" s="33"/>
      <c r="F38" s="33"/>
      <c r="G38" s="33"/>
      <c r="H38" s="33"/>
      <c r="I38" s="33"/>
      <c r="J38" s="42"/>
      <c r="K38" s="45"/>
      <c r="L38" s="45"/>
      <c r="M38" s="63"/>
      <c r="N38" s="45"/>
      <c r="O38" s="45"/>
      <c r="P38" s="42"/>
      <c r="Q38" s="33"/>
      <c r="R38" s="33"/>
      <c r="S38" s="32" t="s">
        <v>190</v>
      </c>
      <c r="T38" s="32" t="s">
        <v>190</v>
      </c>
      <c r="U38" s="32" t="s">
        <v>190</v>
      </c>
      <c r="V38" s="32" t="s">
        <v>190</v>
      </c>
      <c r="W38" s="32" t="s">
        <v>190</v>
      </c>
      <c r="X38" s="42"/>
      <c r="Y38" s="33"/>
      <c r="Z38" s="33"/>
      <c r="AA38" s="33"/>
      <c r="AB38" s="33"/>
      <c r="AC38" s="33"/>
      <c r="AD38" s="42" t="n">
        <v>1</v>
      </c>
      <c r="AE38" s="42"/>
      <c r="AF38" s="42"/>
      <c r="AG38" s="116"/>
      <c r="AH38" s="42"/>
      <c r="AI38" s="35"/>
      <c r="AJ38" s="36"/>
      <c r="AK38" s="35"/>
      <c r="AL38" s="66"/>
      <c r="AM38" s="66"/>
      <c r="AN38" s="66"/>
      <c r="AO38" s="66"/>
      <c r="AP38" s="67"/>
      <c r="AQ38" s="37"/>
      <c r="AR38" s="67"/>
      <c r="AS38" s="38"/>
      <c r="AT38" s="67"/>
      <c r="AU38" s="38"/>
      <c r="AV38" s="38"/>
      <c r="AW38" s="38"/>
      <c r="AX38" s="38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68"/>
    </row>
    <row r="39" customFormat="false" ht="19.5" hidden="false" customHeight="true" outlineLevel="0" collapsed="false">
      <c r="A39" s="30"/>
      <c r="B39" s="64"/>
      <c r="C39" s="42"/>
      <c r="D39" s="42"/>
      <c r="E39" s="33"/>
      <c r="F39" s="33"/>
      <c r="G39" s="33"/>
      <c r="H39" s="33"/>
      <c r="I39" s="33"/>
      <c r="J39" s="42"/>
      <c r="K39" s="45"/>
      <c r="L39" s="45"/>
      <c r="M39" s="63"/>
      <c r="N39" s="45"/>
      <c r="O39" s="45"/>
      <c r="P39" s="42"/>
      <c r="Q39" s="33"/>
      <c r="R39" s="33"/>
      <c r="S39" s="33"/>
      <c r="T39" s="42"/>
      <c r="U39" s="33"/>
      <c r="V39" s="42"/>
      <c r="W39" s="33"/>
      <c r="X39" s="42"/>
      <c r="Y39" s="33"/>
      <c r="Z39" s="33"/>
      <c r="AA39" s="33"/>
      <c r="AB39" s="33"/>
      <c r="AC39" s="33"/>
      <c r="AD39" s="42"/>
      <c r="AE39" s="42"/>
      <c r="AF39" s="42"/>
      <c r="AG39" s="116"/>
      <c r="AH39" s="42"/>
      <c r="AI39" s="35"/>
      <c r="AJ39" s="36"/>
      <c r="AK39" s="35"/>
      <c r="AL39" s="66"/>
      <c r="AM39" s="66"/>
      <c r="AN39" s="66"/>
      <c r="AO39" s="66"/>
      <c r="AP39" s="67"/>
      <c r="AQ39" s="37"/>
      <c r="AR39" s="67"/>
      <c r="AS39" s="38"/>
      <c r="AT39" s="67"/>
      <c r="AU39" s="38"/>
      <c r="AV39" s="38"/>
      <c r="AW39" s="38"/>
      <c r="AX39" s="38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68"/>
    </row>
    <row r="40" customFormat="false" ht="19.5" hidden="false" customHeight="true" outlineLevel="0" collapsed="false">
      <c r="A40" s="30"/>
      <c r="B40" s="64" t="s">
        <v>148</v>
      </c>
      <c r="C40" s="65"/>
      <c r="D40" s="42"/>
      <c r="E40" s="42"/>
      <c r="F40" s="42"/>
      <c r="G40" s="42"/>
      <c r="H40" s="42"/>
      <c r="I40" s="42"/>
      <c r="J40" s="42"/>
      <c r="K40" s="42"/>
      <c r="L40" s="42"/>
      <c r="N40" s="42"/>
      <c r="O40" s="42"/>
      <c r="P40" s="42"/>
      <c r="Q40" s="33"/>
      <c r="R40" s="33"/>
      <c r="S40" s="42"/>
      <c r="T40" s="42"/>
      <c r="U40" s="34"/>
      <c r="V40" s="42"/>
      <c r="W40" s="42"/>
      <c r="X40" s="42"/>
      <c r="Y40" s="62"/>
      <c r="Z40" s="62"/>
      <c r="AA40" s="62"/>
      <c r="AB40" s="62"/>
      <c r="AC40" s="62"/>
      <c r="AD40" s="62"/>
      <c r="AE40" s="42"/>
      <c r="AF40" s="42"/>
      <c r="AG40" s="116"/>
      <c r="AH40" s="42"/>
      <c r="AI40" s="35" t="n">
        <f aca="false">COUNTIF($C40:$AG40,AI$4)</f>
        <v>0</v>
      </c>
      <c r="AJ40" s="36" t="n">
        <f aca="false">COUNTIF($C40:$AG40,AJ$4)</f>
        <v>0</v>
      </c>
      <c r="AK40" s="35" t="n">
        <f aca="false">COUNTIF($C40:$AG40,AK$4)</f>
        <v>0</v>
      </c>
      <c r="AL40" s="66" t="n">
        <f aca="false">COUNTIF($C40:$AG40,AL$4)</f>
        <v>0</v>
      </c>
      <c r="AM40" s="66" t="n">
        <f aca="false">COUNTIF($C40:$AG40,AM$4)</f>
        <v>0</v>
      </c>
      <c r="AN40" s="66" t="n">
        <f aca="false">COUNTIF($C40:$AG40,AN$4)</f>
        <v>0</v>
      </c>
      <c r="AO40" s="66" t="n">
        <f aca="false">COUNTIF($C40:$AG40,AO$4)</f>
        <v>0</v>
      </c>
      <c r="AP40" s="67"/>
      <c r="AQ40" s="37"/>
      <c r="AR40" s="67"/>
      <c r="AS40" s="38"/>
      <c r="AT40" s="67"/>
      <c r="AU40" s="67"/>
      <c r="AV40" s="38"/>
      <c r="AW40" s="38"/>
      <c r="AX40" s="38"/>
      <c r="AY40" s="37"/>
      <c r="AZ40" s="37"/>
      <c r="BA40" s="37"/>
      <c r="BB40" s="37"/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  <c r="BN40" s="66"/>
      <c r="BO40" s="66"/>
      <c r="BP40" s="66"/>
      <c r="BQ40" s="68"/>
    </row>
    <row r="41" customFormat="false" ht="19.5" hidden="false" customHeight="true" outlineLevel="0" collapsed="false">
      <c r="A41" s="30"/>
      <c r="B41" s="69"/>
      <c r="C41" s="70"/>
      <c r="D41" s="71"/>
      <c r="E41" s="71"/>
      <c r="F41" s="71"/>
      <c r="G41" s="71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  <c r="AA41" s="70"/>
      <c r="AB41" s="70"/>
      <c r="AC41" s="70"/>
      <c r="AD41" s="70"/>
      <c r="AE41" s="70"/>
      <c r="AF41" s="70"/>
      <c r="AG41" s="70"/>
      <c r="AH41" s="110"/>
      <c r="AI41" s="72"/>
      <c r="AJ41" s="73"/>
      <c r="AK41" s="72"/>
      <c r="AL41" s="74"/>
      <c r="AM41" s="74"/>
      <c r="AN41" s="74"/>
      <c r="AO41" s="74"/>
      <c r="AP41" s="75"/>
      <c r="AQ41" s="75"/>
      <c r="AR41" s="75"/>
      <c r="AS41" s="75" t="n">
        <f aca="false">SUMPRODUCT(--WEEKDAY(C$3:AG$3,2)&gt;5,--((C41:AG41="DM"))+(C41:AG41="CS1")+((C41:AG41="CS2"))+(C41:AG41="SB1")+(C41:AG41="AE")+(C41:AG41="EM"))</f>
        <v>0</v>
      </c>
      <c r="AT41" s="75"/>
      <c r="AU41" s="75" t="n">
        <f aca="false">(AQ41-AR41)/2+(AS41-AT41)</f>
        <v>0</v>
      </c>
      <c r="AV41" s="75"/>
      <c r="AW41" s="75"/>
      <c r="AX41" s="75"/>
      <c r="AY41" s="74"/>
      <c r="AZ41" s="74"/>
      <c r="BA41" s="74"/>
      <c r="BB41" s="74"/>
      <c r="BC41" s="74"/>
      <c r="BD41" s="74"/>
      <c r="BE41" s="74"/>
      <c r="BF41" s="74"/>
      <c r="BG41" s="74"/>
      <c r="BH41" s="74"/>
      <c r="BI41" s="74"/>
      <c r="BJ41" s="74"/>
      <c r="BK41" s="74"/>
      <c r="BL41" s="74"/>
      <c r="BM41" s="74"/>
      <c r="BN41" s="74"/>
      <c r="BO41" s="74"/>
      <c r="BP41" s="74"/>
      <c r="BQ41" s="76"/>
    </row>
    <row r="42" customFormat="false" ht="19.5" hidden="false" customHeight="true" outlineLevel="0" collapsed="false">
      <c r="A42" s="30"/>
      <c r="B42" s="77" t="s">
        <v>57</v>
      </c>
      <c r="C42" s="78" t="str">
        <f aca="false">VLOOKUP("DM",C4:C40,1,FALSE())</f>
        <v>DM</v>
      </c>
      <c r="D42" s="78" t="str">
        <f aca="false">VLOOKUP("DM",D4:D40,1,FALSE())</f>
        <v>DM</v>
      </c>
      <c r="E42" s="78" t="str">
        <f aca="false">VLOOKUP("DM",E1:E40,1,FALSE())</f>
        <v>DM</v>
      </c>
      <c r="F42" s="78" t="str">
        <f aca="false">VLOOKUP("DM",F4:F40,1,FALSE())</f>
        <v>DM</v>
      </c>
      <c r="G42" s="78" t="str">
        <f aca="false">VLOOKUP("DM",G4:G40,1,FALSE())</f>
        <v>DM</v>
      </c>
      <c r="H42" s="78" t="str">
        <f aca="false">VLOOKUP("DM",H4:H40,1,FALSE())</f>
        <v>DM</v>
      </c>
      <c r="I42" s="78" t="str">
        <f aca="false">VLOOKUP("DM",I4:I40,1,FALSE())</f>
        <v>DM</v>
      </c>
      <c r="J42" s="78" t="str">
        <f aca="false">VLOOKUP("DM",J4:J40,1,FALSE())</f>
        <v>DM</v>
      </c>
      <c r="K42" s="78" t="str">
        <f aca="false">VLOOKUP("DM",K4:K40,1,FALSE())</f>
        <v>DM</v>
      </c>
      <c r="L42" s="78" t="str">
        <f aca="false">VLOOKUP("DM",L4:L40,1,FALSE())</f>
        <v>DM</v>
      </c>
      <c r="M42" s="78" t="str">
        <f aca="false">VLOOKUP("DM",M4:M27,1,FALSE())</f>
        <v>DM</v>
      </c>
      <c r="N42" s="78" t="str">
        <f aca="false">VLOOKUP("DM",N4:N40,1,FALSE())</f>
        <v>DM</v>
      </c>
      <c r="O42" s="78" t="str">
        <f aca="false">VLOOKUP("DM",O4:O40,1,FALSE())</f>
        <v>DM</v>
      </c>
      <c r="P42" s="78" t="str">
        <f aca="false">VLOOKUP("DM",P4:P40,1,FALSE())</f>
        <v>DM</v>
      </c>
      <c r="Q42" s="78" t="str">
        <f aca="false">VLOOKUP("DM",Q4:Q31,1,FALSE())</f>
        <v>DM</v>
      </c>
      <c r="R42" s="78" t="str">
        <f aca="false">VLOOKUP("DM",R4:R25,1,FALSE())</f>
        <v>DM</v>
      </c>
      <c r="S42" s="78" t="str">
        <f aca="false">VLOOKUP("DM",S4:S40,1,FALSE())</f>
        <v>DM</v>
      </c>
      <c r="T42" s="78" t="str">
        <f aca="false">VLOOKUP("DM",T4:T40,1,FALSE())</f>
        <v>DM</v>
      </c>
      <c r="U42" s="78" t="str">
        <f aca="false">VLOOKUP("DM",U4:U40,1,FALSE())</f>
        <v>DM</v>
      </c>
      <c r="V42" s="78" t="str">
        <f aca="false">VLOOKUP("DM",V4:V25,1,FALSE())</f>
        <v>DM</v>
      </c>
      <c r="W42" s="78" t="str">
        <f aca="false">VLOOKUP("DM",W4:W25,1,FALSE())</f>
        <v>DM</v>
      </c>
      <c r="X42" s="78" t="str">
        <f aca="false">VLOOKUP("DM",X4:X40,1,FALSE())</f>
        <v>DM</v>
      </c>
      <c r="Y42" s="78" t="str">
        <f aca="false">VLOOKUP("DM",Y4:Y40,1,FALSE())</f>
        <v>DM</v>
      </c>
      <c r="Z42" s="78" t="str">
        <f aca="false">VLOOKUP("DM",Z4:Z40,1,FALSE())</f>
        <v>DM</v>
      </c>
      <c r="AA42" s="78" t="str">
        <f aca="false">VLOOKUP("DM",AA1:AA40,1,FALSE())</f>
        <v>DM</v>
      </c>
      <c r="AB42" s="78" t="str">
        <f aca="false">VLOOKUP("DM",AB4:AB40,1,FALSE())</f>
        <v>DM</v>
      </c>
      <c r="AC42" s="78" t="str">
        <f aca="false">VLOOKUP("DM",AC4:AC40,1,FALSE())</f>
        <v>DM</v>
      </c>
      <c r="AD42" s="78" t="str">
        <f aca="false">VLOOKUP("DM",AD4:AD40,1,FALSE())</f>
        <v>DM</v>
      </c>
      <c r="AE42" s="78" t="str">
        <f aca="false">VLOOKUP("DM",AE4:AE40,1,FALSE())</f>
        <v>DM</v>
      </c>
      <c r="AF42" s="78" t="str">
        <f aca="false">VLOOKUP("DM",AF4:AF40,1,FALSE())</f>
        <v>DM</v>
      </c>
      <c r="AG42" s="78" t="str">
        <f aca="false">VLOOKUP("DM",AG4:AG40,1,FALSE())</f>
        <v>DM</v>
      </c>
      <c r="AH42" s="111"/>
      <c r="AI42" s="35"/>
      <c r="AJ42" s="36"/>
      <c r="AK42" s="35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  <c r="BA42" s="37"/>
      <c r="BB42" s="37"/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  <c r="BN42" s="37"/>
      <c r="BO42" s="37"/>
      <c r="BP42" s="37"/>
      <c r="BQ42" s="39"/>
    </row>
    <row r="43" customFormat="false" ht="19.5" hidden="false" customHeight="true" outlineLevel="0" collapsed="false">
      <c r="A43" s="30" t="e">
        <f aca="false">lte()</f>
        <v>#NAME?</v>
      </c>
      <c r="B43" s="79" t="s">
        <v>56</v>
      </c>
      <c r="C43" s="78" t="str">
        <f aca="false">VLOOKUP("CS1",C5:C40,1,FALSE())</f>
        <v>CS1</v>
      </c>
      <c r="D43" s="78" t="str">
        <f aca="false">VLOOKUP("CS1",D1:D40,1,FALSE())</f>
        <v>CS1</v>
      </c>
      <c r="E43" s="78" t="str">
        <f aca="false">VLOOKUP("CS1",E7:E40,1,FALSE())</f>
        <v>CS1</v>
      </c>
      <c r="F43" s="78" t="str">
        <f aca="false">VLOOKUP("CS1",F8:F40,1,FALSE())</f>
        <v>CS1</v>
      </c>
      <c r="G43" s="78" t="str">
        <f aca="false">VLOOKUP("CS1",G8:G40,1,FALSE())</f>
        <v>CS1</v>
      </c>
      <c r="H43" s="78" t="str">
        <f aca="false">VLOOKUP("CS1",H6:H40,1,FALSE())</f>
        <v>CS1</v>
      </c>
      <c r="I43" s="78" t="str">
        <f aca="false">VLOOKUP("CS1",I6:I40,1,FALSE())</f>
        <v>CS1</v>
      </c>
      <c r="J43" s="78" t="str">
        <f aca="false">VLOOKUP("CS1",J4:J40,1,FALSE())</f>
        <v>CS1</v>
      </c>
      <c r="K43" s="78" t="str">
        <f aca="false">VLOOKUP("CS1",K1:K40,1,FALSE())</f>
        <v>CS1</v>
      </c>
      <c r="L43" s="78" t="str">
        <f aca="false">VLOOKUP("CS1",L1:L40,1,FALSE())</f>
        <v>CS1</v>
      </c>
      <c r="M43" s="78" t="str">
        <f aca="false">VLOOKUP("CS1",M7:M27,1,FALSE())</f>
        <v>CS1</v>
      </c>
      <c r="N43" s="78" t="str">
        <f aca="false">VLOOKUP("CS1",N6:N40,1,FALSE())</f>
        <v>CS1</v>
      </c>
      <c r="O43" s="78" t="str">
        <f aca="false">VLOOKUP("CS1",O1:O40,1,FALSE())</f>
        <v>CS1</v>
      </c>
      <c r="P43" s="78" t="str">
        <f aca="false">VLOOKUP("CS1",P5:P40,1,FALSE())</f>
        <v>CS1</v>
      </c>
      <c r="Q43" s="78" t="str">
        <f aca="false">VLOOKUP("CS1",Q6:Q31,1,FALSE())</f>
        <v>CS1</v>
      </c>
      <c r="R43" s="78" t="str">
        <f aca="false">VLOOKUP("CS1",R6:R25,1,FALSE())</f>
        <v>CS1</v>
      </c>
      <c r="S43" s="78" t="str">
        <f aca="false">VLOOKUP("CS1",S7:S40,1,FALSE())</f>
        <v>CS1</v>
      </c>
      <c r="T43" s="78" t="str">
        <f aca="false">VLOOKUP("CS1",T1:T40,1,FALSE())</f>
        <v>CS1</v>
      </c>
      <c r="U43" s="78" t="str">
        <f aca="false">VLOOKUP("CS1",U6:U40,1,FALSE())</f>
        <v>CS1</v>
      </c>
      <c r="V43" s="78" t="str">
        <f aca="false">VLOOKUP("CS1",V1:V25,1,FALSE())</f>
        <v>CS1</v>
      </c>
      <c r="W43" s="78" t="str">
        <f aca="false">VLOOKUP("CS1",W1:W25,1,FALSE())</f>
        <v>CS1</v>
      </c>
      <c r="X43" s="78" t="str">
        <f aca="false">VLOOKUP("CS1",X1:X40,1,FALSE())</f>
        <v>CS1</v>
      </c>
      <c r="Y43" s="78" t="str">
        <f aca="false">VLOOKUP("CS1",Y6:Y40,1,FALSE())</f>
        <v>CS1</v>
      </c>
      <c r="Z43" s="78" t="str">
        <f aca="false">VLOOKUP("CS1",Z9:Z40,1,FALSE())</f>
        <v>CS1</v>
      </c>
      <c r="AA43" s="78" t="str">
        <f aca="false">VLOOKUP("CS1",AA1:AA40,1,FALSE())</f>
        <v>CS1</v>
      </c>
      <c r="AB43" s="78" t="str">
        <f aca="false">VLOOKUP("CS1",AB5:AB40,1,FALSE())</f>
        <v>CS1</v>
      </c>
      <c r="AC43" s="78" t="str">
        <f aca="false">VLOOKUP("CS1",AC7:AC40,1,FALSE())</f>
        <v>CS1</v>
      </c>
      <c r="AD43" s="78" t="str">
        <f aca="false">VLOOKUP("CS1",AD1:AD40,1,FALSE())</f>
        <v>CS1</v>
      </c>
      <c r="AE43" s="78" t="str">
        <f aca="false">VLOOKUP("CS1",AE1:AE40,1,FALSE())</f>
        <v>CS1</v>
      </c>
      <c r="AF43" s="78" t="str">
        <f aca="false">VLOOKUP("CS1",AF7:AF40,1,FALSE())</f>
        <v>CS1</v>
      </c>
      <c r="AG43" s="78" t="str">
        <f aca="false">VLOOKUP("CS1",AG7:AG40,1,FALSE())</f>
        <v>CS1</v>
      </c>
      <c r="AH43" s="111"/>
      <c r="AI43" s="35"/>
      <c r="AJ43" s="36"/>
      <c r="AK43" s="35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  <c r="BA43" s="37"/>
      <c r="BB43" s="37"/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  <c r="BN43" s="37"/>
      <c r="BO43" s="37"/>
      <c r="BP43" s="37"/>
      <c r="BQ43" s="39"/>
    </row>
    <row r="44" customFormat="false" ht="19.5" hidden="false" customHeight="true" outlineLevel="0" collapsed="false">
      <c r="A44" s="30"/>
      <c r="B44" s="80" t="s">
        <v>59</v>
      </c>
      <c r="C44" s="78" t="str">
        <f aca="false">VLOOKUP("CS2",C6:C40,1,FALSE())</f>
        <v>CS2</v>
      </c>
      <c r="D44" s="78" t="str">
        <f aca="false">VLOOKUP("CS2",D9:D40,1,FALSE())</f>
        <v>CS2</v>
      </c>
      <c r="E44" s="78" t="str">
        <f aca="false">VLOOKUP("CS2",E7:E40,1,FALSE())</f>
        <v>CS2</v>
      </c>
      <c r="F44" s="78" t="str">
        <f aca="false">VLOOKUP("CS2",F8:F40,1,FALSE())</f>
        <v>CS2</v>
      </c>
      <c r="G44" s="78" t="str">
        <f aca="false">VLOOKUP("CS2",G1:G40,1,FALSE())</f>
        <v>CS2</v>
      </c>
      <c r="H44" s="78" t="str">
        <f aca="false">VLOOKUP("CS2",H1:H40,1,FALSE())</f>
        <v>CS2</v>
      </c>
      <c r="I44" s="78" t="str">
        <f aca="false">VLOOKUP("CS2",I6:I40,1,FALSE())</f>
        <v>CS2</v>
      </c>
      <c r="J44" s="78" t="str">
        <f aca="false">VLOOKUP("CS2",J4:J40,1,FALSE())</f>
        <v>CS2</v>
      </c>
      <c r="K44" s="78" t="str">
        <f aca="false">VLOOKUP("CS2",K5:K40,1,FALSE())</f>
        <v>CS2</v>
      </c>
      <c r="L44" s="78" t="str">
        <f aca="false">VLOOKUP("CS2",L4:L40,1,FALSE())</f>
        <v>CS2</v>
      </c>
      <c r="M44" s="78" t="str">
        <f aca="false">VLOOKUP("CS2",M1:M27,1,FALSE())</f>
        <v>CS2</v>
      </c>
      <c r="N44" s="78" t="str">
        <f aca="false">VLOOKUP("CS2",N1:N40,1,FALSE())</f>
        <v>CS2</v>
      </c>
      <c r="O44" s="78" t="str">
        <f aca="false">VLOOKUP("CS2",O6:O40,1,FALSE())</f>
        <v>CS2</v>
      </c>
      <c r="P44" s="78" t="str">
        <f aca="false">VLOOKUP("CS2",P8:P40,1,FALSE())</f>
        <v>CS2</v>
      </c>
      <c r="Q44" s="78" t="str">
        <f aca="false">VLOOKUP("CS2",Q6:Q31,1,FALSE())</f>
        <v>CS2</v>
      </c>
      <c r="R44" s="78" t="str">
        <f aca="false">VLOOKUP("CS2",R6:R25,1,FALSE())</f>
        <v>CS2</v>
      </c>
      <c r="S44" s="78" t="str">
        <f aca="false">VLOOKUP("CS2",S1:S40,1,FALSE())</f>
        <v>CS2</v>
      </c>
      <c r="T44" s="78" t="str">
        <f aca="false">VLOOKUP("CS2",T1:T40,1,FALSE())</f>
        <v>CS2</v>
      </c>
      <c r="U44" s="78" t="str">
        <f aca="false">VLOOKUP("CS2",U1:U40,1,FALSE())</f>
        <v>CS2</v>
      </c>
      <c r="V44" s="78" t="str">
        <f aca="false">VLOOKUP("CS2",V1:V25,1,FALSE())</f>
        <v>CS2</v>
      </c>
      <c r="W44" s="78" t="str">
        <f aca="false">VLOOKUP("CS2",W11:W25,1,FALSE())</f>
        <v>CS2</v>
      </c>
      <c r="X44" s="78" t="str">
        <f aca="false">VLOOKUP("CS2",X8:X40,1,FALSE())</f>
        <v>CS2</v>
      </c>
      <c r="Y44" s="78" t="str">
        <f aca="false">VLOOKUP("CS2",Y6:Y40,1,FALSE())</f>
        <v>CS2</v>
      </c>
      <c r="Z44" s="78" t="str">
        <f aca="false">VLOOKUP("CS2",Z9:Z40,1,FALSE())</f>
        <v>CS2</v>
      </c>
      <c r="AA44" s="78" t="str">
        <f aca="false">VLOOKUP("CS2",AA1:AA40,1,FALSE())</f>
        <v>CS2</v>
      </c>
      <c r="AB44" s="78" t="str">
        <f aca="false">VLOOKUP("CS2",AB1:AB40,1,FALSE())</f>
        <v>CS2</v>
      </c>
      <c r="AC44" s="78" t="str">
        <f aca="false">VLOOKUP("CS2",AC7:AC40,1,FALSE())</f>
        <v>CS2</v>
      </c>
      <c r="AD44" s="78" t="str">
        <f aca="false">VLOOKUP("CS2",AD1:AD40,1,FALSE())</f>
        <v>CS2</v>
      </c>
      <c r="AE44" s="78" t="str">
        <f aca="false">VLOOKUP("CS2",AE1:AE40,1,FALSE())</f>
        <v>CS2</v>
      </c>
      <c r="AF44" s="78" t="str">
        <f aca="false">VLOOKUP("CS2",AF1:AF40,1,FALSE())</f>
        <v>CS2</v>
      </c>
      <c r="AG44" s="78" t="str">
        <f aca="false">VLOOKUP("CS2",AG7:AG40,1,FALSE())</f>
        <v>CS2</v>
      </c>
      <c r="AH44" s="111"/>
      <c r="AI44" s="35"/>
      <c r="AJ44" s="36"/>
      <c r="AK44" s="35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  <c r="BN44" s="37"/>
      <c r="BO44" s="37"/>
      <c r="BP44" s="37"/>
      <c r="BQ44" s="39"/>
    </row>
    <row r="45" customFormat="false" ht="19.5" hidden="false" customHeight="true" outlineLevel="0" collapsed="false">
      <c r="A45" s="30"/>
      <c r="B45" s="81" t="s">
        <v>58</v>
      </c>
      <c r="C45" s="78" t="e">
        <f aca="false">VLOOKUP("SB1",C6:C40,1,FALSE())</f>
        <v>#N/A</v>
      </c>
      <c r="D45" s="78" t="str">
        <f aca="false">VLOOKUP("SB1",D3:D40,1,FALSE())</f>
        <v>SB1</v>
      </c>
      <c r="E45" s="78" t="str">
        <f aca="false">VLOOKUP("SB1",E1:E40,1,FALSE())</f>
        <v>SB1</v>
      </c>
      <c r="F45" s="78" t="str">
        <f aca="false">VLOOKUP("SB1",F8:F40,1,FALSE())</f>
        <v>SB1</v>
      </c>
      <c r="G45" s="78" t="str">
        <f aca="false">VLOOKUP("SB1",G5:G40,1,FALSE())</f>
        <v>SB1</v>
      </c>
      <c r="H45" s="78" t="str">
        <f aca="false">VLOOKUP("SB1",H6:H40,1,FALSE())</f>
        <v>SB1</v>
      </c>
      <c r="I45" s="78" t="str">
        <f aca="false">VLOOKUP("SB1",I1:I40,1,FALSE())</f>
        <v>SB1</v>
      </c>
      <c r="J45" s="78" t="e">
        <f aca="false">VLOOKUP("SB1",J4:J40,1,FALSE())</f>
        <v>#N/A</v>
      </c>
      <c r="K45" s="78" t="e">
        <f aca="false">VLOOKUP("SB1",K6:K40,1,FALSE())</f>
        <v>#N/A</v>
      </c>
      <c r="L45" s="78" t="e">
        <f aca="false">VLOOKUP("SB1",L8:L40,1,FALSE())</f>
        <v>#N/A</v>
      </c>
      <c r="M45" s="78" t="e">
        <f aca="false">VLOOKUP("SB1",M1:M27,1,FALSE())</f>
        <v>#N/A</v>
      </c>
      <c r="N45" s="78" t="e">
        <f aca="false">VLOOKUP("SB1",N6:N40,1,FALSE())</f>
        <v>#N/A</v>
      </c>
      <c r="O45" s="78" t="e">
        <f aca="false">VLOOKUP("SB1",O1:O40,1,FALSE())</f>
        <v>#N/A</v>
      </c>
      <c r="P45" s="78" t="e">
        <f aca="false">VLOOKUP("SB1",P8:P40,1,FALSE())</f>
        <v>#N/A</v>
      </c>
      <c r="Q45" s="78" t="e">
        <f aca="false">VLOOKUP("SB1",Q1:Q31,1,FALSE())</f>
        <v>#N/A</v>
      </c>
      <c r="R45" s="78" t="e">
        <f aca="false">VLOOKUP("SB1",R6:R25,1,FALSE())</f>
        <v>#N/A</v>
      </c>
      <c r="S45" s="78" t="e">
        <f aca="false">VLOOKUP("SB1",S1:S40,1,FALSE())</f>
        <v>#N/A</v>
      </c>
      <c r="T45" s="78" t="e">
        <f aca="false">VLOOKUP("SB1",T8:T40,1,FALSE())</f>
        <v>#N/A</v>
      </c>
      <c r="U45" s="78" t="e">
        <f aca="false">VLOOKUP("SB1",U1:U40,1,FALSE())</f>
        <v>#N/A</v>
      </c>
      <c r="V45" s="78" t="e">
        <f aca="false">VLOOKUP("SB1",V9:V25,1,FALSE())</f>
        <v>#N/A</v>
      </c>
      <c r="W45" s="78" t="e">
        <f aca="false">VLOOKUP("SB1",W5:W25,1,FALSE())</f>
        <v>#N/A</v>
      </c>
      <c r="X45" s="78" t="e">
        <f aca="false">VLOOKUP("SB1",X6:X40,1,FALSE())</f>
        <v>#N/A</v>
      </c>
      <c r="Y45" s="78" t="e">
        <f aca="false">VLOOKUP("SB1",Y1:Y40,1,FALSE())</f>
        <v>#N/A</v>
      </c>
      <c r="Z45" s="78" t="e">
        <f aca="false">VLOOKUP("SB1",Z9:Z40,1,FALSE())</f>
        <v>#N/A</v>
      </c>
      <c r="AA45" s="78" t="e">
        <f aca="false">VLOOKUP("SB1",AA11:AA40,1,FALSE())</f>
        <v>#N/A</v>
      </c>
      <c r="AB45" s="78" t="e">
        <f aca="false">VLOOKUP("SB1",AB1:AB40,1,FALSE())</f>
        <v>#N/A</v>
      </c>
      <c r="AC45" s="78" t="e">
        <f aca="false">VLOOKUP("SB1",AC1:AC40,1,FALSE())</f>
        <v>#N/A</v>
      </c>
      <c r="AD45" s="78" t="e">
        <f aca="false">VLOOKUP("SB1",AD6:AD40,1,FALSE())</f>
        <v>#N/A</v>
      </c>
      <c r="AE45" s="78" t="e">
        <f aca="false">VLOOKUP("SB1",AE7:AE40,1,FALSE())</f>
        <v>#N/A</v>
      </c>
      <c r="AF45" s="78" t="e">
        <f aca="false">VLOOKUP("SB1",AF7:AF40,1,FALSE())</f>
        <v>#N/A</v>
      </c>
      <c r="AG45" s="78" t="e">
        <f aca="false">VLOOKUP("SB1",AG7:AG40,1,FALSE())</f>
        <v>#N/A</v>
      </c>
      <c r="AH45" s="111"/>
      <c r="AI45" s="35"/>
      <c r="AJ45" s="36"/>
      <c r="AK45" s="35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  <c r="BA45" s="37"/>
      <c r="BB45" s="37"/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  <c r="BN45" s="37"/>
      <c r="BO45" s="37"/>
      <c r="BP45" s="37"/>
      <c r="BQ45" s="39"/>
    </row>
    <row r="46" customFormat="false" ht="19.5" hidden="false" customHeight="true" outlineLevel="0" collapsed="false">
      <c r="A46" s="30"/>
      <c r="B46" s="82" t="s">
        <v>93</v>
      </c>
      <c r="C46" s="78" t="e">
        <f aca="false">VLOOKUP("SB2",C6:C40,1,FALSE())</f>
        <v>#N/A</v>
      </c>
      <c r="D46" s="78" t="e">
        <f aca="false">VLOOKUP("SB2",D9:D40,1,FALSE())</f>
        <v>#N/A</v>
      </c>
      <c r="E46" s="78" t="str">
        <f aca="false">VLOOKUP("SB2",E7:E40,1,FALSE())</f>
        <v>SB2</v>
      </c>
      <c r="F46" s="78" t="str">
        <f aca="false">VLOOKUP("SB2",F1:F40,1,FALSE())</f>
        <v>SB2</v>
      </c>
      <c r="G46" s="78" t="str">
        <f aca="false">VLOOKUP("SB2",G8:G40,1,FALSE())</f>
        <v>SB2</v>
      </c>
      <c r="H46" s="78" t="str">
        <f aca="false">VLOOKUP("SB2",H6:H40,1,FALSE())</f>
        <v>SB2</v>
      </c>
      <c r="I46" s="78" t="str">
        <f aca="false">VLOOKUP("SB2",I6:I40,1,FALSE())</f>
        <v>SB2</v>
      </c>
      <c r="J46" s="78" t="e">
        <f aca="false">VLOOKUP("SB2",J4:J40,1,FALSE())</f>
        <v>#N/A</v>
      </c>
      <c r="K46" s="78" t="e">
        <f aca="false">VLOOKUP("SB2",K6:K40,1,FALSE())</f>
        <v>#N/A</v>
      </c>
      <c r="L46" s="78" t="str">
        <f aca="false">VLOOKUP("SB2",L11:L40,1,FALSE())</f>
        <v>SB2</v>
      </c>
      <c r="M46" s="78" t="str">
        <f aca="false">VLOOKUP("SB2",M8:M44,1,FALSE())</f>
        <v>SB2</v>
      </c>
      <c r="N46" s="78" t="str">
        <f aca="false">VLOOKUP("SB2",N6:N40,1,FALSE())</f>
        <v>SB2</v>
      </c>
      <c r="O46" s="78" t="str">
        <f aca="false">VLOOKUP("SB2",O8:O40,1,FALSE())</f>
        <v>SB2</v>
      </c>
      <c r="P46" s="78" t="str">
        <f aca="false">VLOOKUP("SB2",P8:P40,1,FALSE())</f>
        <v>SB2</v>
      </c>
      <c r="Q46" s="78" t="e">
        <f aca="false">VLOOKUP("SB2",Q11:Q31,1,FALSE())</f>
        <v>#N/A</v>
      </c>
      <c r="R46" s="78" t="e">
        <f aca="false">VLOOKUP("SB2",R6:R30,1,FALSE())</f>
        <v>#N/A</v>
      </c>
      <c r="S46" s="78" t="str">
        <f aca="false">VLOOKUP("SB2",S12:S40,1,FALSE())</f>
        <v>SB2</v>
      </c>
      <c r="T46" s="78" t="str">
        <f aca="false">VLOOKUP("SB2",T8:T40,1,FALSE())</f>
        <v>SB2</v>
      </c>
      <c r="U46" s="78" t="str">
        <f aca="false">VLOOKUP("SB2",U9:U40,1,FALSE())</f>
        <v>SB2</v>
      </c>
      <c r="V46" s="78" t="str">
        <f aca="false">VLOOKUP("SB2",V6:V40,1,FALSE())</f>
        <v>SB2</v>
      </c>
      <c r="W46" s="78" t="str">
        <f aca="false">VLOOKUP("SB2",W11:W30,1,FALSE())</f>
        <v>SB2</v>
      </c>
      <c r="X46" s="78" t="e">
        <f aca="false">VLOOKUP("SB2",X8:X40,1,FALSE())</f>
        <v>#N/A</v>
      </c>
      <c r="Y46" s="78" t="e">
        <f aca="false">VLOOKUP("SB2",Y6:Y40,1,FALSE())</f>
        <v>#N/A</v>
      </c>
      <c r="Z46" s="78" t="str">
        <f aca="false">VLOOKUP("SB2",Z9:Z40,1,FALSE())</f>
        <v>SB2</v>
      </c>
      <c r="AA46" s="78" t="str">
        <f aca="false">VLOOKUP("SB2",AA11:AA40,1,FALSE())</f>
        <v>SB2</v>
      </c>
      <c r="AB46" s="78" t="str">
        <f aca="false">VLOOKUP("SB2",AB9:AB40,1,FALSE())</f>
        <v>SB2</v>
      </c>
      <c r="AC46" s="78" t="str">
        <f aca="false">VLOOKUP("SB2",AC11:AC40,1,FALSE())</f>
        <v>SB2</v>
      </c>
      <c r="AD46" s="78" t="str">
        <f aca="false">VLOOKUP("SB2",AD6:AD40,1,FALSE())</f>
        <v>SB2</v>
      </c>
      <c r="AE46" s="78" t="e">
        <f aca="false">VLOOKUP("SB2",AE7:AE40,1,FALSE())</f>
        <v>#N/A</v>
      </c>
      <c r="AF46" s="78" t="e">
        <f aca="false">VLOOKUP("SB2",AF7:AF40,1,FALSE())</f>
        <v>#N/A</v>
      </c>
      <c r="AG46" s="78" t="e">
        <f aca="false">VLOOKUP("SB2",AG7:AG40,1,FALSE())</f>
        <v>#N/A</v>
      </c>
      <c r="AH46" s="111"/>
      <c r="AI46" s="35"/>
      <c r="AJ46" s="36"/>
      <c r="AK46" s="35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  <c r="BA46" s="37"/>
      <c r="BB46" s="37"/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  <c r="BN46" s="37"/>
      <c r="BO46" s="37"/>
      <c r="BP46" s="37"/>
      <c r="BQ46" s="39"/>
    </row>
    <row r="47" customFormat="false" ht="19.5" hidden="false" customHeight="true" outlineLevel="0" collapsed="false">
      <c r="A47" s="30"/>
      <c r="B47" s="83" t="s">
        <v>65</v>
      </c>
      <c r="C47" s="78" t="str">
        <f aca="false">VLOOKUP("AE",C6:C40,1,FALSE())</f>
        <v>AE</v>
      </c>
      <c r="D47" s="78" t="str">
        <f aca="false">VLOOKUP("AE",D9:D40,1,FALSE())</f>
        <v>AE</v>
      </c>
      <c r="E47" s="78" t="str">
        <f aca="false">VLOOKUP("AE",E7:E40,1,FALSE())</f>
        <v>AE</v>
      </c>
      <c r="F47" s="78" t="str">
        <f aca="false">VLOOKUP("AE",F1:F40,1,FALSE())</f>
        <v>AE</v>
      </c>
      <c r="G47" s="78" t="str">
        <f aca="false">VLOOKUP("AE",G1:G40,1,FALSE())</f>
        <v>AE</v>
      </c>
      <c r="H47" s="78" t="str">
        <f aca="false">VLOOKUP("AE",H8:H40,1,FALSE())</f>
        <v>AE</v>
      </c>
      <c r="I47" s="78" t="str">
        <f aca="false">VLOOKUP("AE",I6:I40,1,FALSE())</f>
        <v>AE</v>
      </c>
      <c r="J47" s="78" t="str">
        <f aca="false">VLOOKUP("AE",J4:J40,1,FALSE())</f>
        <v>AE</v>
      </c>
      <c r="K47" s="78" t="str">
        <f aca="false">VLOOKUP("AE",K6:K40,1,FALSE())</f>
        <v>AE</v>
      </c>
      <c r="L47" s="78" t="str">
        <f aca="false">VLOOKUP("AE",L11:L40,1,FALSE())</f>
        <v>AE</v>
      </c>
      <c r="M47" s="78" t="str">
        <f aca="false">VLOOKUP("AE",M8:M44,1,FALSE())</f>
        <v>AE</v>
      </c>
      <c r="N47" s="78" t="str">
        <f aca="false">VLOOKUP("AE",N6:N40,1,FALSE())</f>
        <v>AE</v>
      </c>
      <c r="O47" s="78" t="str">
        <f aca="false">VLOOKUP("AE",O8:O40,1,FALSE())</f>
        <v>AE</v>
      </c>
      <c r="P47" s="78" t="str">
        <f aca="false">VLOOKUP("AE",P8:P40,1,FALSE())</f>
        <v>AE</v>
      </c>
      <c r="Q47" s="78" t="str">
        <f aca="false">VLOOKUP("AE",Q11:Q31,1,FALSE())</f>
        <v>AE</v>
      </c>
      <c r="R47" s="78" t="str">
        <f aca="false">VLOOKUP("AE",R6:R30,1,FALSE())</f>
        <v>AE</v>
      </c>
      <c r="S47" s="78" t="str">
        <f aca="false">VLOOKUP("AE",S12:S40,1,FALSE())</f>
        <v>AE</v>
      </c>
      <c r="T47" s="78" t="str">
        <f aca="false">VLOOKUP("AE",T8:T40,1,FALSE())</f>
        <v>AE</v>
      </c>
      <c r="U47" s="78" t="str">
        <f aca="false">VLOOKUP("AE",U9:U40,1,FALSE())</f>
        <v>AE</v>
      </c>
      <c r="V47" s="78" t="str">
        <f aca="false">VLOOKUP("AE",V9:V42,1,FALSE())</f>
        <v>AE</v>
      </c>
      <c r="W47" s="78" t="str">
        <f aca="false">VLOOKUP("AE",W11:W40,1,FALSE())</f>
        <v>AE</v>
      </c>
      <c r="X47" s="78" t="str">
        <f aca="false">VLOOKUP("AE",X8:X40,1,FALSE())</f>
        <v>AE</v>
      </c>
      <c r="Y47" s="78" t="str">
        <f aca="false">VLOOKUP("AE",Y6:Y40,1,FALSE())</f>
        <v>AE</v>
      </c>
      <c r="Z47" s="78" t="str">
        <f aca="false">VLOOKUP("AE",Z9:Z40,1,FALSE())</f>
        <v>AE</v>
      </c>
      <c r="AA47" s="78" t="str">
        <f aca="false">VLOOKUP("AE",AA11:AA40,1,FALSE())</f>
        <v>AE</v>
      </c>
      <c r="AB47" s="78" t="str">
        <f aca="false">VLOOKUP("AE",AB9:AB40,1,FALSE())</f>
        <v>AE</v>
      </c>
      <c r="AC47" s="78" t="str">
        <f aca="false">VLOOKUP("AE",AC11:AC40,1,FALSE())</f>
        <v>AE</v>
      </c>
      <c r="AD47" s="78" t="str">
        <f aca="false">VLOOKUP("AE",AD6:AD40,1,FALSE())</f>
        <v>AE</v>
      </c>
      <c r="AE47" s="78" t="str">
        <f aca="false">VLOOKUP("AE",AE7:AE40,1,FALSE())</f>
        <v>AE</v>
      </c>
      <c r="AF47" s="78" t="str">
        <f aca="false">VLOOKUP("AE",AF7:AF40,1,FALSE())</f>
        <v>AE</v>
      </c>
      <c r="AG47" s="78" t="str">
        <f aca="false">VLOOKUP("AE",AG7:AG40,1,FALSE())</f>
        <v>AE</v>
      </c>
      <c r="AH47" s="111"/>
      <c r="AI47" s="35"/>
      <c r="AJ47" s="36"/>
      <c r="AK47" s="35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  <c r="BA47" s="37"/>
      <c r="BB47" s="37"/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  <c r="BN47" s="37"/>
      <c r="BO47" s="37"/>
      <c r="BP47" s="37"/>
      <c r="BQ47" s="39"/>
    </row>
  </sheetData>
  <mergeCells count="1">
    <mergeCell ref="C1:S1"/>
  </mergeCells>
  <conditionalFormatting sqref="T18 D24 C25">
    <cfRule type="expression" priority="2" aboveAverage="0" equalAverage="0" bottom="0" percent="0" rank="0" text="" dxfId="21">
      <formula>WEEKDAY(U$3,2)&gt;5</formula>
    </cfRule>
  </conditionalFormatting>
  <conditionalFormatting sqref="T18 J19 K30 C9 E11:F11 C12 F13 C19 C23">
    <cfRule type="expression" priority="3" aboveAverage="0" equalAverage="0" bottom="0" percent="0" rank="0" text="" dxfId="21">
      <formula>WEEKDAY(E$3,2)&gt;5</formula>
    </cfRule>
  </conditionalFormatting>
  <conditionalFormatting sqref="X25">
    <cfRule type="expression" priority="4" aboveAverage="0" equalAverage="0" bottom="0" percent="0" rank="0" text="" dxfId="21">
      <formula>WEEKDAY(AA$3,2)&gt;5</formula>
    </cfRule>
    <cfRule type="expression" priority="5" aboveAverage="0" equalAverage="0" bottom="0" percent="0" rank="0" text="" dxfId="21">
      <formula>WEEKDAY(Z$3,2)&gt;5</formula>
    </cfRule>
  </conditionalFormatting>
  <conditionalFormatting sqref="AF25">
    <cfRule type="expression" priority="6" aboveAverage="0" equalAverage="0" bottom="0" percent="0" rank="0" text="" dxfId="21">
      <formula>WEEKDAY(AG$3,2)&gt;5</formula>
    </cfRule>
    <cfRule type="expression" priority="7" aboveAverage="0" equalAverage="0" bottom="0" percent="0" rank="0" text="" dxfId="21">
      <formula>WEEKDAY(AF$3,2)&gt;5</formula>
    </cfRule>
  </conditionalFormatting>
  <conditionalFormatting sqref="H20">
    <cfRule type="expression" priority="8" aboveAverage="0" equalAverage="0" bottom="0" percent="0" rank="0" text="" dxfId="21">
      <formula>WEEKDAY(H$3,2)&gt;5</formula>
    </cfRule>
  </conditionalFormatting>
  <conditionalFormatting sqref="D15">
    <cfRule type="expression" priority="9" aboveAverage="0" equalAverage="0" bottom="0" percent="0" rank="0" text="" dxfId="21">
      <formula>WEEKDAY(E$3,2)&gt;5</formula>
    </cfRule>
  </conditionalFormatting>
  <conditionalFormatting sqref="P12">
    <cfRule type="expression" priority="10" aboveAverage="0" equalAverage="0" bottom="0" percent="0" rank="0" text="" dxfId="21">
      <formula>WEEKDAY(K$3,2)&gt;5</formula>
    </cfRule>
    <cfRule type="expression" priority="11" aboveAverage="0" equalAverage="0" bottom="0" percent="0" rank="0" text="" dxfId="21">
      <formula>WEEKDAY(J$3,2)&gt;5</formula>
    </cfRule>
  </conditionalFormatting>
  <conditionalFormatting sqref="P5:Q5 W5:Z5 AH5 O5:O8 S5:T7 G5:G9 T7:U7 AD7:AF9 K8:L8 U9:U14 W9:X10 O10:O11 AC5:AC28 F12:G12 M12:N12 W5:W17 AA5:AA39 H5:H25 S9:S29 I15:J15 V5:V16 C5:C25 H18:I18 K5:K21 AD5:AE31 AE18:AG19 N5:N25 G11:G25 T9:T22 D5:D23 J5:J25 U18:U26 AG5:AG26 AF5:AF25 Q5:Q29 R5:R25 E5:F25 J24:K25 M5:M26 P7:P25 S24:U24 W24:X24 Y5:Y28 L5:L25 AE25:AG25 D26:D27 O13:O29 X5:X26 I5:I28 V18:V27 Z7:Z28 K28:K30 N27:N31 L30 O31:Q31 W31:X31 AB5:AB9 AH7:AH25 AB11:AB39 U16 W19:W26 K23:K25 T24:T26 E27:E28 F27:F29 H27:H29 L27 AF27 AH27 G28 P28:P29 T28:T29 U28 J29:J30 M29:M31 R29:R30 V29:W29 AF29:AF31 G30:G31 Z30:Z39 AC30:AC39 AG30 E31:I31 S31:S38 U31:U38 W31:W38 T32:T38 V32:V38 Y32:Y39 U40">
    <cfRule type="cellIs" priority="12" operator="equal" aboveAverage="0" equalAverage="0" bottom="0" percent="0" rank="0" text="" dxfId="23">
      <formula>"B"</formula>
    </cfRule>
    <cfRule type="cellIs" priority="13" operator="equal" aboveAverage="0" equalAverage="0" bottom="0" percent="0" rank="0" text="" dxfId="23">
      <formula>"AL"</formula>
    </cfRule>
    <cfRule type="cellIs" priority="14" operator="equal" aboveAverage="0" equalAverage="0" bottom="0" percent="0" rank="0" text="" dxfId="24">
      <formula>"DM"</formula>
    </cfRule>
    <cfRule type="cellIs" priority="15" operator="equal" aboveAverage="0" equalAverage="0" bottom="0" percent="0" rank="0" text="" dxfId="25">
      <formula>"CS1"</formula>
    </cfRule>
    <cfRule type="cellIs" priority="16" operator="equal" aboveAverage="0" equalAverage="0" bottom="0" percent="0" rank="0" text="" dxfId="26">
      <formula>"CS2"</formula>
    </cfRule>
    <cfRule type="cellIs" priority="17" operator="equal" aboveAverage="0" equalAverage="0" bottom="0" percent="0" rank="0" text="" dxfId="27">
      <formula>"SB1"</formula>
    </cfRule>
    <cfRule type="cellIs" priority="18" operator="equal" aboveAverage="0" equalAverage="0" bottom="0" percent="0" rank="0" text="" dxfId="28">
      <formula>"SB2"</formula>
    </cfRule>
    <cfRule type="cellIs" priority="19" operator="equal" aboveAverage="0" equalAverage="0" bottom="0" percent="0" rank="0" text="" dxfId="29">
      <formula>"AE"</formula>
    </cfRule>
    <cfRule type="cellIs" priority="20" operator="equal" aboveAverage="0" equalAverage="0" bottom="0" percent="0" rank="0" text="" dxfId="23">
      <formula>"DB"</formula>
    </cfRule>
    <cfRule type="containsText" priority="21" operator="containsText" aboveAverage="0" equalAverage="0" bottom="0" percent="0" rank="0" text="$AM" dxfId="30">
      <formula>NOT(ISERROR(SEARCH("$AM",C5)))</formula>
    </cfRule>
    <cfRule type="containsText" priority="22" operator="containsText" aboveAverage="0" equalAverage="0" bottom="0" percent="0" rank="0" text="$PM" dxfId="31">
      <formula>NOT(ISERROR(SEARCH("$PM",C5)))</formula>
    </cfRule>
    <cfRule type="containsText" priority="23" operator="containsText" aboveAverage="0" equalAverage="0" bottom="0" percent="0" rank="0" text="$L" dxfId="32">
      <formula>NOT(ISERROR(SEARCH("$L",C5)))</formula>
    </cfRule>
    <cfRule type="containsText" priority="24" operator="containsText" aboveAverage="0" equalAverage="0" bottom="0" percent="0" rank="0" text="$BTP" dxfId="33">
      <formula>NOT(ISERROR(SEARCH("$BTP",C5)))</formula>
    </cfRule>
    <cfRule type="containsText" priority="25" operator="containsText" aboveAverage="0" equalAverage="0" bottom="0" percent="0" rank="0" text="$M" dxfId="34">
      <formula>NOT(ISERROR(SEARCH("$M",C5)))</formula>
    </cfRule>
    <cfRule type="containsText" priority="26" operator="containsText" aboveAverage="0" equalAverage="0" bottom="0" percent="0" rank="0" text="$N" dxfId="35">
      <formula>NOT(ISERROR(SEARCH("$N",C5)))</formula>
    </cfRule>
    <cfRule type="containsText" priority="27" operator="containsText" aboveAverage="0" equalAverage="0" bottom="0" percent="0" rank="0" text="$FC" dxfId="36">
      <formula>NOT(ISERROR(SEARCH("$FC",C5)))</formula>
    </cfRule>
    <cfRule type="containsText" priority="28" operator="containsText" aboveAverage="0" equalAverage="0" bottom="0" percent="0" rank="0" text="OAL" dxfId="37">
      <formula>NOT(ISERROR(SEARCH("OAL",C5)))</formula>
    </cfRule>
    <cfRule type="containsText" priority="29" operator="containsText" aboveAverage="0" equalAverage="0" bottom="0" percent="0" rank="0" text="S+" dxfId="38">
      <formula>NOT(ISERROR(SEARCH("S+",C5)))</formula>
    </cfRule>
    <cfRule type="containsText" priority="30" operator="containsText" aboveAverage="0" equalAverage="0" bottom="0" percent="0" rank="0" text="EX-D" dxfId="39">
      <formula>NOT(ISERROR(SEARCH("EX-D",C5)))</formula>
    </cfRule>
  </conditionalFormatting>
  <conditionalFormatting sqref="P5:Q5 R5:R6 W5:Z5 AH5 M5:M26 S5:T7 G5:G9 N7:O7 T7:U7 AD7:AF9 K8:L8 U9:U14 W9:X10 O10:O11 AC5:AC28 F12:I12 M12:N12 W5:W17 AA5:AA39 H5:H25 S9:S29 I15:J15 V5:V16 Q16:R16 C5:C25 H18:I18 K5:K21 AD5:AE31 AE18:AG19 N5:N25 G11:G25 T9:T22 L5:L25 AG5:AG26 P7:P25 U18:U26 AF14:AF25 Q5:Q29 R8:R25 D5:D24 E5:F25 K23:K26 O24:P24 S24:X24 J5:J25 L25:M25 AE25:AG25 D26:D27 X5:X26 AB11:AB39 I5:I28 P27:P29 V18:V27 W19:W28 Z7:Z28 K28:K30 N27:N31 Y5:Y29 C30 R29:R30 O31:Q31 W31:X31 O5:O8 AB5:AB9 AF5:AF12 AH7:AH14 O13:O29 U16 AH16:AH25 T24:T26 E27:E28 F27:F29 H27:H29 L27 AF27 AH27 G28 T28:T29 U28 J29:J30 M29:M31 V29:W29 AF29:AF31 G30:G31 L30 Z30:Z39 AC30:AC39 AG30 E31:I31 S31:S38 U31:U38 W31:W38 T32:T38 V32:V38 Y32:Y39 U40">
    <cfRule type="expression" priority="31" aboveAverage="0" equalAverage="0" bottom="0" percent="0" rank="0" text="" dxfId="21">
      <formula>WEEKDAY(#REF!,2)&gt;5</formula>
    </cfRule>
  </conditionalFormatting>
  <conditionalFormatting sqref="AA6 U7 AB9 F11 C12 U12:W12 Z12 F13 T13 AB17 C19 T19:U19 T22 E25">
    <cfRule type="expression" priority="32" aboveAverage="0" equalAverage="0" bottom="0" percent="0" rank="0" text="" dxfId="21">
      <formula>WEEKDAY(AC$3,2)&gt;5</formula>
    </cfRule>
  </conditionalFormatting>
  <conditionalFormatting sqref="AA6 U7 AB9 P12 U12:W12 Z12 AB12 T13 AB17 T19:U19 T22 AA22 G24 P24 E25 F28 U40">
    <cfRule type="expression" priority="33" aboveAverage="0" equalAverage="0" bottom="0" percent="0" rank="0" text="" dxfId="21">
      <formula>WEEKDAY(AB$3,2)&gt;5</formula>
    </cfRule>
  </conditionalFormatting>
  <conditionalFormatting sqref="C5:C25 D5:D27 E5:F25 G5:G9 H5:H25 I5:I28 J5:J25 K5:K21 L5:L25 M5:M26 N5:N25 O5:O8 P5 Q5:Q29 R5:R25 S5:T7 V5:V16 W5:W17 X5:X26 Y5:Y29 Z5 AA5:AA39 AB5:AB9 AC5:AC28 AD5:AE31 AF5:AF25 AG5:AG26 AH5 P7:P25 U7 Z7:Z28 AH7:AH25 S9:S29 T9:T22 U9:U14 O10:O11 G11:G25 AB11:AB39 O13:O29 U16 U18:U26 V18:V27 W19:W29 K23:K26 T24:T26 E27:E28 F27:F29 H27:H29 L27 N27:N31 P27:P29 AF27 AH27 G28 K28:K30 T28:T29 U28 J29:J30 M29:M31 R29:R30 V29 AF29:AF31 C30 G30:G31 L30 Z30:Z39 AC30:AC39 AG30 E31:F31 H31:I31 O31:Q31 S31:S38 U31:U38 W31:W38 X31 T32:T38 V32:V38 Y32:Y39 U40">
    <cfRule type="containsText" priority="34" operator="containsText" aboveAverage="0" equalAverage="0" bottom="0" percent="0" rank="0" text="VACC" dxfId="40">
      <formula>NOT(ISERROR(SEARCH("VACC",C5)))</formula>
    </cfRule>
  </conditionalFormatting>
  <conditionalFormatting sqref="J4:J47 AA4:AA47 C5:I47 K5:Z47 AB5:AH47">
    <cfRule type="cellIs" priority="35" operator="equal" aboveAverage="0" equalAverage="0" bottom="0" percent="0" rank="0" text="" dxfId="23">
      <formula>"B"</formula>
    </cfRule>
    <cfRule type="cellIs" priority="36" operator="equal" aboveAverage="0" equalAverage="0" bottom="0" percent="0" rank="0" text="" dxfId="23">
      <formula>"AL"</formula>
    </cfRule>
    <cfRule type="cellIs" priority="37" operator="equal" aboveAverage="0" equalAverage="0" bottom="0" percent="0" rank="0" text="" dxfId="24">
      <formula>"DM"</formula>
    </cfRule>
    <cfRule type="cellIs" priority="38" operator="equal" aboveAverage="0" equalAverage="0" bottom="0" percent="0" rank="0" text="" dxfId="25">
      <formula>"CS1"</formula>
    </cfRule>
    <cfRule type="cellIs" priority="39" operator="equal" aboveAverage="0" equalAverage="0" bottom="0" percent="0" rank="0" text="" dxfId="26">
      <formula>"CS2"</formula>
    </cfRule>
    <cfRule type="cellIs" priority="40" operator="equal" aboveAverage="0" equalAverage="0" bottom="0" percent="0" rank="0" text="" dxfId="27">
      <formula>"SB1"</formula>
    </cfRule>
    <cfRule type="cellIs" priority="41" operator="equal" aboveAverage="0" equalAverage="0" bottom="0" percent="0" rank="0" text="" dxfId="28">
      <formula>"SB2"</formula>
    </cfRule>
    <cfRule type="cellIs" priority="42" operator="equal" aboveAverage="0" equalAverage="0" bottom="0" percent="0" rank="0" text="" dxfId="29">
      <formula>"AE"</formula>
    </cfRule>
  </conditionalFormatting>
  <conditionalFormatting sqref="BP5:BQ40">
    <cfRule type="cellIs" priority="43" operator="lessThan" aboveAverage="0" equalAverage="0" bottom="0" percent="0" rank="0" text="" dxfId="41">
      <formula>1</formula>
    </cfRule>
  </conditionalFormatting>
  <conditionalFormatting sqref="J4:J40 AA4:AA40 C5:I40 K5:Z40 AB5:AH40">
    <cfRule type="cellIs" priority="44" operator="equal" aboveAverage="0" equalAverage="0" bottom="0" percent="0" rank="0" text="" dxfId="23">
      <formula>"DB"</formula>
    </cfRule>
    <cfRule type="containsText" priority="45" operator="containsText" aboveAverage="0" equalAverage="0" bottom="0" percent="0" rank="0" text="$AM" dxfId="30">
      <formula>NOT(ISERROR(SEARCH("$AM",C4)))</formula>
    </cfRule>
    <cfRule type="containsText" priority="46" operator="containsText" aboveAverage="0" equalAverage="0" bottom="0" percent="0" rank="0" text="$PM" dxfId="31">
      <formula>NOT(ISERROR(SEARCH("$PM",C4)))</formula>
    </cfRule>
    <cfRule type="containsText" priority="47" operator="containsText" aboveAverage="0" equalAverage="0" bottom="0" percent="0" rank="0" text="$L" dxfId="32">
      <formula>NOT(ISERROR(SEARCH("$L",C4)))</formula>
    </cfRule>
    <cfRule type="containsText" priority="48" operator="containsText" aboveAverage="0" equalAverage="0" bottom="0" percent="0" rank="0" text="$BTP" dxfId="33">
      <formula>NOT(ISERROR(SEARCH("$BTP",C4)))</formula>
    </cfRule>
    <cfRule type="containsText" priority="49" operator="containsText" aboveAverage="0" equalAverage="0" bottom="0" percent="0" rank="0" text="$M" dxfId="34">
      <formula>NOT(ISERROR(SEARCH("$M",C4)))</formula>
    </cfRule>
    <cfRule type="containsText" priority="50" operator="containsText" aboveAverage="0" equalAverage="0" bottom="0" percent="0" rank="0" text="$N" dxfId="35">
      <formula>NOT(ISERROR(SEARCH("$N",C4)))</formula>
    </cfRule>
    <cfRule type="containsText" priority="51" operator="containsText" aboveAverage="0" equalAverage="0" bottom="0" percent="0" rank="0" text="$FC" dxfId="36">
      <formula>NOT(ISERROR(SEARCH("$FC",C4)))</formula>
    </cfRule>
    <cfRule type="containsText" priority="52" operator="containsText" aboveAverage="0" equalAverage="0" bottom="0" percent="0" rank="0" text="OAL" dxfId="37">
      <formula>NOT(ISERROR(SEARCH("OAL",C4)))</formula>
    </cfRule>
    <cfRule type="containsText" priority="53" operator="containsText" aboveAverage="0" equalAverage="0" bottom="0" percent="0" rank="0" text="S+" dxfId="38">
      <formula>NOT(ISERROR(SEARCH("S+",C4)))</formula>
    </cfRule>
    <cfRule type="containsText" priority="54" operator="containsText" aboveAverage="0" equalAverage="0" bottom="0" percent="0" rank="0" text="EX-D" dxfId="39">
      <formula>NOT(ISERROR(SEARCH("EX-D",C4)))</formula>
    </cfRule>
  </conditionalFormatting>
  <conditionalFormatting sqref="T2:X40 C3:S40 Y3:AH40">
    <cfRule type="expression" priority="55" aboveAverage="0" equalAverage="0" bottom="0" percent="0" rank="0" text="" dxfId="21">
      <formula>WEEKDAY(T$3,2)&gt;5</formula>
    </cfRule>
  </conditionalFormatting>
  <conditionalFormatting sqref="J4:J25 C5:C25 D5:D23 E5:F25 G5:G9 H5:H25 I5:I28 K5:K21 L5:L25 M5:M26 N5:N25 O5:O8 P5 Q5:Q29 R5:R27 S5:S7 T5:T26 V5:V16 W5:X26 Y5:Y28 Z5 AA5:AA39 AB5:AB9 AC5:AC28 AD5:AE31 AF5:AF25 AG5:AG26 AH5 P7:P25 U7 Z7:Z28 AH7:AH25 S9:S29 U9:U14 O10:O11 G11:G25 AB11:AB39 O13:O29 U16:U26 V18:V27 K23:K25 D26:D27 E27:E28 F27:F29 H27:H29 L27 N27:N31 AF27 AH27 G28 K28:K30 P28:P29 T28:U29 W28:W29 J29:J30 M29:M31 R29:R30 V29 AF29:AF31 G30:G31 L30 Z30:Z39 AC30:AC39 AG30:AH30 E31:F31 H31:I31 O31:Q31 S31:S38 U31:U38 W31:W38 X31 T32:T38 V32:V38 Y32:Y39 U40">
    <cfRule type="containsText" priority="56" operator="containsText" aboveAverage="0" equalAverage="0" bottom="0" percent="0" rank="0" text="VACC" dxfId="40">
      <formula>NOT(ISERROR(SEARCH("VACC",C4)))</formula>
    </cfRule>
  </conditionalFormatting>
  <dataValidations count="2">
    <dataValidation allowBlank="true" errorStyle="stop" operator="equal" showDropDown="true" showErrorMessage="false" showInputMessage="false" sqref="D5:G5 I5:M5 P5:R5 T5:T7 W5:AB5 AD5:AD7 AG5:AH5 C6:D6 F6:F7 H6:K6 M6:O7 Q6:S6 V6:AB6 AG6:AG14 D7:E7 G7:H7 J7:K7 P7:Q9 S7 U7:X7 Z7:AC7 AE7:AF7 AH7:AH17 C8:C9 E8:M8 O8 R8 U8:U9 W8:X8 AB8:AF8 D9:G9 I9:K10 M9:N10 S9:S10 V9:Y9 AA9:AA10 AC9:AF10 C10:G10 O10 R10:R11 U10:Z10 D11:H11 J11:M11 P11:Q11 T11:T13 V11:AE11 C12:S12 U12:Z12 AB12:AF12 C13:F14 H13:P13 R13:S13 U13:X13 AA13:AE13 H14:K14 M14:N14 Q14 S14:S16 V14:AF14 D15:G15 I15:L15 N15:O16 R15 V15:AA15 AC15:AG15 C16:G17 I16:J16 L16 P16:R16 T16:W17 Y16:AA16 AC16:AE16 AG16:AG17 H17:J17 N17:N20 P17:Q18 X17:AF17 C18:E23 G18:I18 K18:L18 S18:AH18 F19:K20 O19:R20 T19:U19 W19:Z19 AB19:AH20 L20:M20 S20:Z20 G21:L21 O21:S21 U21:AG21 F22:I22 L22:L23 P22:Q23 S22:U22 W22:Y22 AA22:AA23 AC22:AC26 AF22:AH23 F23:H23 J23:K23 O23 R23:S23 U23:Z23 AB23:AB24 D24:H24 K24:Z24 AE24:AH24 C25:C27 E25:F25 H25:AB25 AD25:AH25 D26:M26 O26:O29 Q26:AB26 AD26:AE27 AG26:AH26 E27 G27:J27 L27:N27 P27:Q27 S27:T27 V27:W27 Y27:AB27 AF27:AF31 AH27:AH30 C28:D30 F28:J28 L28:L30 N28:N31 P28:P39 R28:Z28 AB28:AD28 E29:F30 H29:K29 M29 Q29:T30 V29:AE29 AG29:AG30 G30:G31 I30:K30 V30:V39 X30:AE30 D31 H31:I31 K31:M31 Q31 S31:S38 U31:U38 W31:X38 Z31:AE31 C32:D39 J32:L39 N32:O39 T32:T39 Z32:AB32 AD32:AH39 Z34:AB36 X39 C40:L40 N40:P40 S40:AH40" type="list">
      <formula1>'Setting key Duty'!$B$7:$B$56</formula1>
      <formula2>0</formula2>
    </dataValidation>
    <dataValidation allowBlank="true" errorStyle="stop" operator="equal" showDropDown="true" showErrorMessage="false" showInputMessage="false" sqref="C41:AH47" type="list">
      <formula1>'Setting key Duty'!$B$7:$B$23</formula1>
      <formula2>0</formula2>
    </dataValidation>
  </dataValidation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Q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5" activeCellId="0" sqref="C5"/>
    </sheetView>
  </sheetViews>
  <sheetFormatPr defaultColWidth="12.6328125" defaultRowHeight="15.75" customHeight="true" zeroHeight="false" outlineLevelRow="0" outlineLevelCol="1"/>
  <cols>
    <col collapsed="false" customWidth="true" hidden="false" outlineLevel="0" max="1" min="1" style="0" width="2.13"/>
    <col collapsed="false" customWidth="true" hidden="false" outlineLevel="0" max="2" min="2" style="0" width="29.76"/>
    <col collapsed="false" customWidth="true" hidden="false" outlineLevel="0" max="11" min="3" style="0" width="9.24"/>
    <col collapsed="false" customWidth="true" hidden="false" outlineLevel="0" max="12" min="12" style="0" width="9.38"/>
    <col collapsed="false" customWidth="true" hidden="false" outlineLevel="0" max="13" min="13" style="0" width="10.63"/>
    <col collapsed="false" customWidth="true" hidden="false" outlineLevel="0" max="14" min="14" style="0" width="9.24"/>
    <col collapsed="false" customWidth="true" hidden="false" outlineLevel="0" max="15" min="15" style="0" width="10"/>
    <col collapsed="false" customWidth="true" hidden="false" outlineLevel="0" max="17" min="16" style="0" width="9.24"/>
    <col collapsed="false" customWidth="true" hidden="false" outlineLevel="0" max="18" min="18" style="0" width="9.63"/>
    <col collapsed="false" customWidth="true" hidden="false" outlineLevel="0" max="19" min="19" style="0" width="9.14"/>
    <col collapsed="false" customWidth="true" hidden="false" outlineLevel="0" max="26" min="20" style="0" width="9.24"/>
    <col collapsed="false" customWidth="true" hidden="false" outlineLevel="0" max="27" min="27" style="0" width="10.51"/>
    <col collapsed="false" customWidth="true" hidden="false" outlineLevel="0" max="30" min="28" style="0" width="9.24"/>
    <col collapsed="false" customWidth="true" hidden="false" outlineLevel="0" max="31" min="31" style="0" width="10.51"/>
    <col collapsed="false" customWidth="true" hidden="false" outlineLevel="0" max="32" min="32" style="0" width="9.38"/>
    <col collapsed="false" customWidth="true" hidden="false" outlineLevel="0" max="34" min="33" style="0" width="9.24"/>
    <col collapsed="false" customWidth="true" hidden="true" outlineLevel="1" max="41" min="35" style="0" width="9.38"/>
    <col collapsed="false" customWidth="true" hidden="false" outlineLevel="0" max="42" min="42" style="0" width="6.76"/>
    <col collapsed="false" customWidth="true" hidden="false" outlineLevel="1" max="43" min="43" style="0" width="8.87"/>
    <col collapsed="false" customWidth="true" hidden="false" outlineLevel="1" max="44" min="44" style="0" width="7.88"/>
    <col collapsed="false" customWidth="true" hidden="false" outlineLevel="1" max="45" min="45" style="0" width="9.14"/>
    <col collapsed="false" customWidth="true" hidden="false" outlineLevel="1" max="46" min="46" style="0" width="8.24"/>
    <col collapsed="false" customWidth="true" hidden="false" outlineLevel="1" max="47" min="47" style="0" width="5.51"/>
    <col collapsed="false" customWidth="true" hidden="false" outlineLevel="0" max="50" min="48" style="0" width="9.38"/>
    <col collapsed="false" customWidth="true" hidden="false" outlineLevel="1" max="58" min="51" style="0" width="9.38"/>
    <col collapsed="false" customWidth="true" hidden="false" outlineLevel="1" max="59" min="59" style="0" width="10"/>
    <col collapsed="false" customWidth="true" hidden="false" outlineLevel="1" max="65" min="60" style="0" width="9.38"/>
    <col collapsed="false" customWidth="true" hidden="false" outlineLevel="0" max="66" min="66" style="0" width="9.38"/>
    <col collapsed="false" customWidth="true" hidden="false" outlineLevel="0" max="67" min="67" style="0" width="9.51"/>
    <col collapsed="false" customWidth="true" hidden="false" outlineLevel="0" max="69" min="68" style="0" width="9.38"/>
  </cols>
  <sheetData>
    <row r="1" customFormat="false" ht="3" hidden="false" customHeight="true" outlineLevel="0" collapsed="false">
      <c r="A1" s="1"/>
      <c r="B1" s="2" t="s">
        <v>0</v>
      </c>
      <c r="C1" s="3" t="str">
        <f aca="false"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6"/>
    </row>
    <row r="2" customFormat="false" ht="26.25" hidden="false" customHeight="true" outlineLevel="0" collapsed="false">
      <c r="A2" s="7"/>
      <c r="B2" s="8" t="s">
        <v>1</v>
      </c>
      <c r="C2" s="9" t="s">
        <v>9</v>
      </c>
      <c r="D2" s="9" t="s">
        <v>197</v>
      </c>
      <c r="E2" s="9" t="s">
        <v>197</v>
      </c>
      <c r="F2" s="9" t="s">
        <v>197</v>
      </c>
      <c r="G2" s="9"/>
      <c r="H2" s="9"/>
      <c r="I2" s="9" t="s">
        <v>372</v>
      </c>
      <c r="J2" s="9" t="s">
        <v>14</v>
      </c>
      <c r="K2" s="9" t="s">
        <v>273</v>
      </c>
      <c r="L2" s="9"/>
      <c r="M2" s="9" t="s">
        <v>271</v>
      </c>
      <c r="N2" s="9"/>
      <c r="O2" s="9"/>
      <c r="P2" s="9" t="s">
        <v>373</v>
      </c>
      <c r="Q2" s="9" t="s">
        <v>205</v>
      </c>
      <c r="R2" s="9"/>
      <c r="S2" s="9" t="s">
        <v>12</v>
      </c>
      <c r="T2" s="119" t="s">
        <v>374</v>
      </c>
      <c r="U2" s="9"/>
      <c r="V2" s="9"/>
      <c r="W2" s="9" t="s">
        <v>15</v>
      </c>
      <c r="X2" s="9"/>
      <c r="Y2" s="9"/>
      <c r="Z2" s="9"/>
      <c r="AA2" s="11"/>
      <c r="AB2" s="9"/>
      <c r="AC2" s="9"/>
      <c r="AD2" s="9"/>
      <c r="AE2" s="9"/>
      <c r="AF2" s="9"/>
      <c r="AG2" s="9" t="s">
        <v>375</v>
      </c>
      <c r="AH2" s="93"/>
      <c r="AI2" s="12"/>
      <c r="AJ2" s="12"/>
      <c r="AK2" s="12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4" t="s">
        <v>16</v>
      </c>
      <c r="BB2" s="14"/>
      <c r="BC2" s="14" t="s">
        <v>17</v>
      </c>
      <c r="BD2" s="14"/>
      <c r="BE2" s="14" t="s">
        <v>18</v>
      </c>
      <c r="BF2" s="14"/>
      <c r="BG2" s="14"/>
      <c r="BH2" s="14" t="s">
        <v>19</v>
      </c>
      <c r="BI2" s="14"/>
      <c r="BJ2" s="14" t="s">
        <v>20</v>
      </c>
      <c r="BK2" s="14"/>
      <c r="BL2" s="14"/>
      <c r="BM2" s="14"/>
      <c r="BN2" s="13"/>
      <c r="BO2" s="13"/>
      <c r="BP2" s="13"/>
      <c r="BQ2" s="15"/>
    </row>
    <row r="3" customFormat="false" ht="26.25" hidden="false" customHeight="true" outlineLevel="0" collapsed="false">
      <c r="A3" s="7"/>
      <c r="B3" s="8" t="s">
        <v>21</v>
      </c>
      <c r="C3" s="112" t="n">
        <v>45748</v>
      </c>
      <c r="D3" s="17" t="n">
        <f aca="false">C3+1</f>
        <v>45749</v>
      </c>
      <c r="E3" s="17" t="n">
        <f aca="false">D3+1</f>
        <v>45750</v>
      </c>
      <c r="F3" s="17" t="n">
        <f aca="false">E3+1</f>
        <v>45751</v>
      </c>
      <c r="G3" s="17" t="n">
        <f aca="false">F3+1</f>
        <v>45752</v>
      </c>
      <c r="H3" s="17" t="n">
        <f aca="false">G3+1</f>
        <v>45753</v>
      </c>
      <c r="I3" s="17" t="n">
        <f aca="false">H3+1</f>
        <v>45754</v>
      </c>
      <c r="J3" s="17" t="n">
        <f aca="false">I3+1</f>
        <v>45755</v>
      </c>
      <c r="K3" s="17" t="n">
        <f aca="false">J3+1</f>
        <v>45756</v>
      </c>
      <c r="L3" s="17" t="n">
        <f aca="false">K3+1</f>
        <v>45757</v>
      </c>
      <c r="M3" s="17" t="n">
        <f aca="false">L3+1</f>
        <v>45758</v>
      </c>
      <c r="N3" s="17" t="n">
        <f aca="false">M3+1</f>
        <v>45759</v>
      </c>
      <c r="O3" s="17" t="n">
        <f aca="false">N3+1</f>
        <v>45760</v>
      </c>
      <c r="P3" s="17" t="n">
        <f aca="false">O3+1</f>
        <v>45761</v>
      </c>
      <c r="Q3" s="17" t="n">
        <f aca="false">P3+1</f>
        <v>45762</v>
      </c>
      <c r="R3" s="17" t="n">
        <f aca="false">Q3+1</f>
        <v>45763</v>
      </c>
      <c r="S3" s="17" t="n">
        <f aca="false">R3+1</f>
        <v>45764</v>
      </c>
      <c r="T3" s="113" t="n">
        <f aca="false">S3+1</f>
        <v>45765</v>
      </c>
      <c r="U3" s="17" t="n">
        <f aca="false">T3+1</f>
        <v>45766</v>
      </c>
      <c r="V3" s="17" t="n">
        <f aca="false">U3+1</f>
        <v>45767</v>
      </c>
      <c r="W3" s="17" t="n">
        <f aca="false">V3+1</f>
        <v>45768</v>
      </c>
      <c r="X3" s="17" t="n">
        <f aca="false">W3+1</f>
        <v>45769</v>
      </c>
      <c r="Y3" s="17" t="n">
        <f aca="false">X3+1</f>
        <v>45770</v>
      </c>
      <c r="Z3" s="17" t="n">
        <f aca="false">Y3+1</f>
        <v>45771</v>
      </c>
      <c r="AA3" s="17" t="n">
        <f aca="false">Z3+1</f>
        <v>45772</v>
      </c>
      <c r="AB3" s="17" t="n">
        <f aca="false">AA3+1</f>
        <v>45773</v>
      </c>
      <c r="AC3" s="17" t="n">
        <f aca="false">AB3+1</f>
        <v>45774</v>
      </c>
      <c r="AD3" s="17" t="n">
        <f aca="false">AC3+1</f>
        <v>45775</v>
      </c>
      <c r="AE3" s="17" t="n">
        <f aca="false">AD3+1</f>
        <v>45776</v>
      </c>
      <c r="AF3" s="17" t="n">
        <f aca="false">AE3+1</f>
        <v>45777</v>
      </c>
      <c r="AG3" s="113" t="n">
        <f aca="false">AF3+1</f>
        <v>45778</v>
      </c>
      <c r="AH3" s="17" t="n">
        <f aca="false">AG3+1</f>
        <v>45779</v>
      </c>
      <c r="AI3" s="18" t="str">
        <f aca="false">'Setting key Duty'!$C7</f>
        <v>DM</v>
      </c>
      <c r="AJ3" s="19" t="str">
        <f aca="false">'Setting key Duty'!$C8</f>
        <v>CS1</v>
      </c>
      <c r="AK3" s="20" t="str">
        <f aca="false">'Setting key Duty'!$C9</f>
        <v>CS2</v>
      </c>
      <c r="AL3" s="21" t="str">
        <f aca="false">'Setting key Duty'!$C11</f>
        <v>SB1</v>
      </c>
      <c r="AM3" s="21" t="str">
        <f aca="false">'Setting key Duty'!$C12</f>
        <v>SB2</v>
      </c>
      <c r="AN3" s="21" t="str">
        <f aca="false">'Setting key Duty'!$C13</f>
        <v>AE</v>
      </c>
      <c r="AO3" s="21" t="str">
        <f aca="false">'Setting key Duty'!C14</f>
        <v>EM</v>
      </c>
      <c r="AP3" s="20"/>
      <c r="AQ3" s="20" t="s">
        <v>22</v>
      </c>
      <c r="AR3" s="20" t="s">
        <v>23</v>
      </c>
      <c r="AS3" s="20" t="s">
        <v>24</v>
      </c>
      <c r="AT3" s="20" t="s">
        <v>25</v>
      </c>
      <c r="AU3" s="20" t="s">
        <v>26</v>
      </c>
      <c r="AV3" s="20" t="s">
        <v>27</v>
      </c>
      <c r="AW3" s="20" t="s">
        <v>28</v>
      </c>
      <c r="AX3" s="20" t="s">
        <v>29</v>
      </c>
      <c r="AY3" s="20" t="s">
        <v>30</v>
      </c>
      <c r="AZ3" s="20" t="s">
        <v>31</v>
      </c>
      <c r="BA3" s="21" t="s">
        <v>32</v>
      </c>
      <c r="BB3" s="20" t="s">
        <v>33</v>
      </c>
      <c r="BC3" s="21" t="s">
        <v>34</v>
      </c>
      <c r="BD3" s="20" t="s">
        <v>35</v>
      </c>
      <c r="BE3" s="21" t="s">
        <v>36</v>
      </c>
      <c r="BF3" s="20" t="s">
        <v>37</v>
      </c>
      <c r="BG3" s="20" t="s">
        <v>38</v>
      </c>
      <c r="BH3" s="20" t="s">
        <v>39</v>
      </c>
      <c r="BI3" s="20" t="s">
        <v>40</v>
      </c>
      <c r="BJ3" s="20" t="s">
        <v>41</v>
      </c>
      <c r="BK3" s="20" t="s">
        <v>42</v>
      </c>
      <c r="BL3" s="21" t="str">
        <f aca="false">'Setting key Duty'!C52</f>
        <v>Field Camp</v>
      </c>
      <c r="BM3" s="20" t="s">
        <v>43</v>
      </c>
      <c r="BN3" s="21" t="str">
        <f aca="false">'Setting key Duty'!$C15</f>
        <v>Block</v>
      </c>
      <c r="BO3" s="21" t="str">
        <f aca="false">'Setting key Duty'!C17</f>
        <v>Reserve</v>
      </c>
      <c r="BP3" s="21" t="str">
        <f aca="false">'Setting key Duty'!$C22</f>
        <v>AL</v>
      </c>
      <c r="BQ3" s="15"/>
    </row>
    <row r="4" customFormat="false" ht="18" hidden="false" customHeight="true" outlineLevel="0" collapsed="false">
      <c r="A4" s="22"/>
      <c r="B4" s="23" t="s">
        <v>156</v>
      </c>
      <c r="C4" s="24" t="str">
        <f aca="false">TEXT(C3,"ddd")</f>
        <v>Tue</v>
      </c>
      <c r="D4" s="24" t="str">
        <f aca="false">TEXT(D3,"ddd")</f>
        <v>Wed</v>
      </c>
      <c r="E4" s="24" t="str">
        <f aca="false">TEXT(E3,"ddd")</f>
        <v>Thu</v>
      </c>
      <c r="F4" s="24" t="str">
        <f aca="false">TEXT(F3,"ddd")</f>
        <v>Fri</v>
      </c>
      <c r="G4" s="24" t="str">
        <f aca="false">TEXT(G3,"ddd")</f>
        <v>Sat</v>
      </c>
      <c r="H4" s="24" t="str">
        <f aca="false">TEXT(H3,"ddd")</f>
        <v>Sun</v>
      </c>
      <c r="I4" s="24" t="str">
        <f aca="false">TEXT(I3,"ddd")</f>
        <v>Mon</v>
      </c>
      <c r="J4" s="24" t="str">
        <f aca="false">TEXT(J3,"ddd")</f>
        <v>Tue</v>
      </c>
      <c r="K4" s="24" t="str">
        <f aca="false">TEXT(K3,"ddd")</f>
        <v>Wed</v>
      </c>
      <c r="L4" s="24" t="str">
        <f aca="false">TEXT(L3,"ddd")</f>
        <v>Thu</v>
      </c>
      <c r="M4" s="24" t="str">
        <f aca="false">TEXT(M3,"ddd")</f>
        <v>Fri</v>
      </c>
      <c r="N4" s="24" t="str">
        <f aca="false">TEXT(N3,"ddd")</f>
        <v>Sat</v>
      </c>
      <c r="O4" s="24" t="str">
        <f aca="false">TEXT(O3,"ddd")</f>
        <v>Sun</v>
      </c>
      <c r="P4" s="24" t="str">
        <f aca="false">TEXT(P3,"ddd")</f>
        <v>Mon</v>
      </c>
      <c r="Q4" s="24" t="str">
        <f aca="false">TEXT(Q3,"ddd")</f>
        <v>Tue</v>
      </c>
      <c r="R4" s="24" t="str">
        <f aca="false">TEXT(R3,"ddd")</f>
        <v>Wed</v>
      </c>
      <c r="S4" s="24" t="str">
        <f aca="false">TEXT(S3,"ddd")</f>
        <v>Thu</v>
      </c>
      <c r="T4" s="114" t="str">
        <f aca="false">TEXT(T3,"ddd")</f>
        <v>Fri</v>
      </c>
      <c r="U4" s="24" t="str">
        <f aca="false">TEXT(U3,"ddd")</f>
        <v>Sat</v>
      </c>
      <c r="V4" s="24" t="str">
        <f aca="false">TEXT(V3,"ddd")</f>
        <v>Sun</v>
      </c>
      <c r="W4" s="24" t="str">
        <f aca="false">TEXT(W3,"ddd")</f>
        <v>Mon</v>
      </c>
      <c r="X4" s="24" t="str">
        <f aca="false">TEXT(X3,"ddd")</f>
        <v>Tue</v>
      </c>
      <c r="Y4" s="24" t="str">
        <f aca="false">TEXT(Y3,"ddd")</f>
        <v>Wed</v>
      </c>
      <c r="Z4" s="24" t="str">
        <f aca="false">TEXT(Z3,"ddd")</f>
        <v>Thu</v>
      </c>
      <c r="AA4" s="24" t="str">
        <f aca="false">TEXT(AA3,"ddd")</f>
        <v>Fri</v>
      </c>
      <c r="AB4" s="24" t="str">
        <f aca="false">TEXT(AB3,"ddd")</f>
        <v>Sat</v>
      </c>
      <c r="AC4" s="24" t="str">
        <f aca="false">TEXT(AC3,"ddd")</f>
        <v>Sun</v>
      </c>
      <c r="AD4" s="24" t="str">
        <f aca="false">TEXT(AD3,"ddd")</f>
        <v>Mon</v>
      </c>
      <c r="AE4" s="24" t="str">
        <f aca="false">TEXT(AE3,"ddd")</f>
        <v>Tue</v>
      </c>
      <c r="AF4" s="24" t="str">
        <f aca="false">TEXT(AF3,"ddd")</f>
        <v>Wed</v>
      </c>
      <c r="AG4" s="114" t="str">
        <f aca="false">TEXT(AG3,"ddd")</f>
        <v>Thu</v>
      </c>
      <c r="AH4" s="24" t="str">
        <f aca="false">TEXT(AH3,"ddd")</f>
        <v>Fri</v>
      </c>
      <c r="AI4" s="25" t="str">
        <f aca="false">'Setting key Duty'!$B7</f>
        <v>DM</v>
      </c>
      <c r="AJ4" s="26" t="str">
        <f aca="false">'Setting key Duty'!$B8</f>
        <v>CS1</v>
      </c>
      <c r="AK4" s="27" t="str">
        <f aca="false">'Setting key Duty'!$B9</f>
        <v>CS2</v>
      </c>
      <c r="AL4" s="28" t="str">
        <f aca="false">'Setting key Duty'!$B11</f>
        <v>SB1</v>
      </c>
      <c r="AM4" s="28" t="str">
        <f aca="false">'Setting key Duty'!$B12</f>
        <v>SB2</v>
      </c>
      <c r="AN4" s="28" t="str">
        <f aca="false">'Setting key Duty'!$B13</f>
        <v>AE</v>
      </c>
      <c r="AO4" s="28" t="str">
        <f aca="false">'Setting key Duty'!B14</f>
        <v>EM</v>
      </c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 t="s">
        <v>45</v>
      </c>
      <c r="BA4" s="28" t="s">
        <v>46</v>
      </c>
      <c r="BB4" s="28"/>
      <c r="BC4" s="28" t="s">
        <v>47</v>
      </c>
      <c r="BD4" s="28"/>
      <c r="BE4" s="28" t="s">
        <v>48</v>
      </c>
      <c r="BF4" s="28"/>
      <c r="BG4" s="28" t="s">
        <v>49</v>
      </c>
      <c r="BH4" s="28" t="s">
        <v>50</v>
      </c>
      <c r="BI4" s="28"/>
      <c r="BJ4" s="28" t="s">
        <v>51</v>
      </c>
      <c r="BK4" s="28"/>
      <c r="BL4" s="28" t="str">
        <f aca="false">'Setting key Duty'!B52</f>
        <v>$FC</v>
      </c>
      <c r="BM4" s="28"/>
      <c r="BN4" s="28" t="n">
        <f aca="false">'Setting key Duty'!$B15</f>
        <v>0</v>
      </c>
      <c r="BO4" s="28" t="str">
        <f aca="false">'Setting key Duty'!B17</f>
        <v>RESERVE</v>
      </c>
      <c r="BP4" s="28" t="str">
        <f aca="false">'Setting key Duty'!$B22</f>
        <v>AL</v>
      </c>
      <c r="BQ4" s="29"/>
    </row>
    <row r="5" customFormat="false" ht="19.5" hidden="false" customHeight="true" outlineLevel="0" collapsed="false">
      <c r="A5" s="30"/>
      <c r="B5" s="48" t="s">
        <v>119</v>
      </c>
      <c r="C5" s="32" t="s">
        <v>96</v>
      </c>
      <c r="D5" s="32" t="s">
        <v>350</v>
      </c>
      <c r="E5" s="32"/>
      <c r="F5" s="32" t="s">
        <v>376</v>
      </c>
      <c r="G5" s="32"/>
      <c r="H5" s="32"/>
      <c r="I5" s="32" t="s">
        <v>376</v>
      </c>
      <c r="J5" s="32" t="s">
        <v>376</v>
      </c>
      <c r="K5" s="32" t="s">
        <v>376</v>
      </c>
      <c r="L5" s="32" t="s">
        <v>376</v>
      </c>
      <c r="M5" s="32" t="s">
        <v>376</v>
      </c>
      <c r="N5" s="32"/>
      <c r="O5" s="32"/>
      <c r="P5" s="32" t="s">
        <v>376</v>
      </c>
      <c r="Q5" s="32" t="s">
        <v>376</v>
      </c>
      <c r="R5" s="32" t="s">
        <v>376</v>
      </c>
      <c r="S5" s="32" t="s">
        <v>376</v>
      </c>
      <c r="U5" s="32"/>
      <c r="V5" s="32"/>
      <c r="W5" s="32" t="s">
        <v>56</v>
      </c>
      <c r="X5" s="32"/>
      <c r="Z5" s="32" t="s">
        <v>58</v>
      </c>
      <c r="AA5" s="32" t="s">
        <v>350</v>
      </c>
      <c r="AB5" s="32"/>
      <c r="AC5" s="32" t="s">
        <v>56</v>
      </c>
      <c r="AD5" s="32"/>
      <c r="AE5" s="32" t="s">
        <v>59</v>
      </c>
      <c r="AF5" s="33"/>
      <c r="AG5" s="32" t="s">
        <v>56</v>
      </c>
      <c r="AH5" s="52"/>
      <c r="AI5" s="35"/>
      <c r="AJ5" s="36"/>
      <c r="AK5" s="35"/>
      <c r="AL5" s="37"/>
      <c r="AM5" s="37"/>
      <c r="AN5" s="37"/>
      <c r="AO5" s="37"/>
      <c r="AP5" s="38"/>
      <c r="AQ5" s="37" t="n">
        <f aca="false">SUMPRODUCT(--WEEKDAY(C$3:AG$3,2)&lt;6,--((C5:AG5="DM"))+(C5:AG5="CS1")+((C5:AG5="CS2"))+(C5:AG5="SB1")+(C5:AG5="AE")+(C5:AG5="EM"))</f>
        <v>4</v>
      </c>
      <c r="AR5" s="38"/>
      <c r="AS5" s="38" t="n">
        <f aca="false">SUMPRODUCT(--WEEKDAY(C$3:AG$3,2)&gt;5,--((C5:AG5="DM"))+(C5:AG5="CS1")+((C5:AG5="CS2"))+(C5:AG5="SB1")+(C5:AG5="AE")+(C5:AG5="EM"))</f>
        <v>1</v>
      </c>
      <c r="AT5" s="38"/>
      <c r="AU5" s="38" t="n">
        <f aca="false">(AQ5-AR5)/2+(AS5-AT5)</f>
        <v>3</v>
      </c>
      <c r="AV5" s="38" t="n">
        <f aca="false">AI5+AJ5+AK5+AL5+AN5+AO5</f>
        <v>0</v>
      </c>
      <c r="AW5" s="38" t="n">
        <f aca="false">BG5+BH5+BJ5+BE5+BC5+BA5+BL5</f>
        <v>0</v>
      </c>
      <c r="AX5" s="38" t="e">
        <f aca="false">AU5+$AY$10</f>
        <v>#VALUE!</v>
      </c>
      <c r="AY5" s="37" t="e">
        <f aca="false">(BJ5*('Setting key Duty'!$I$8+'Setting key Duty'!$I$12))+(BH5*'Setting key Duty'!$I$9)+(BC5*('Setting key Duty'!$I$13+'Setting key Duty'!$I$9))+(BA5*('Setting key Duty'!$I$13+'Setting key Duty'!$I$12+'Setting key Duty'!$I$11))+(BE5*('Setting key Duty'!$I$8+'Setting key Duty'!$I$9+'Setting key Duty'!$I$12))</f>
        <v>#VALUE!</v>
      </c>
      <c r="AZ5" s="37" t="n">
        <f aca="false">COUNTIF(D5:AA5,"*BRT*")</f>
        <v>0</v>
      </c>
      <c r="BA5" s="37" t="n">
        <f aca="false">COUNTIF(A5:AI5,"*$BTP*")</f>
        <v>0</v>
      </c>
      <c r="BB5" s="37" t="e">
        <f aca="false">BA5*('Setting key Duty'!$I$13+'Setting key Duty'!$I$12+'Setting key Duty'!$I$11)</f>
        <v>#VALUE!</v>
      </c>
      <c r="BC5" s="37" t="n">
        <f aca="false">COUNTIF(A5:AI5,"*$L*")</f>
        <v>0</v>
      </c>
      <c r="BD5" s="37" t="e">
        <f aca="false">BC5*('Setting key Duty'!$I$13+'Setting key Duty'!$I$9)</f>
        <v>#VALUE!</v>
      </c>
      <c r="BE5" s="37" t="n">
        <f aca="false">COUNTIF(A5:AI5,"*$M*")</f>
        <v>0</v>
      </c>
      <c r="BF5" s="37" t="n">
        <f aca="false">BE5*('Setting key Duty'!$I$8+'Setting key Duty'!$I$9+'Setting key Duty'!$I$12)</f>
        <v>0</v>
      </c>
      <c r="BG5" s="37" t="n">
        <f aca="false">COUNTIF(AI5,"*$N*")</f>
        <v>0</v>
      </c>
      <c r="BH5" s="37" t="n">
        <f aca="false">COUNTIF(AI5,"*$PM*")</f>
        <v>0</v>
      </c>
      <c r="BI5" s="37" t="n">
        <f aca="false">BH5*('Setting key Duty'!$I$9)</f>
        <v>0</v>
      </c>
      <c r="BJ5" s="37" t="n">
        <f aca="false">COUNTIF(A5:AI5,"*$AM*")</f>
        <v>0</v>
      </c>
      <c r="BK5" s="37" t="n">
        <f aca="false">BJ5*('Setting key Duty'!$I$12+'Setting key Duty'!$I$8)</f>
        <v>0</v>
      </c>
      <c r="BL5" s="37" t="n">
        <f aca="false">COUNTIF(D5:AI5,"*$FC*")</f>
        <v>0</v>
      </c>
      <c r="BM5" s="37" t="n">
        <f aca="false">BL5*('Setting key Duty'!$J$11+'Setting key Duty'!$I$8)</f>
        <v>0</v>
      </c>
      <c r="BN5" s="37" t="n">
        <f aca="false">COUNTIF($D5:$AA5,BN$4)</f>
        <v>0</v>
      </c>
      <c r="BO5" s="37" t="n">
        <f aca="false">COUNTIF($D5:$AA5,BO$4)</f>
        <v>2</v>
      </c>
      <c r="BP5" s="37" t="n">
        <f aca="false">COUNTIF($D5:$AA5,BP$4)</f>
        <v>0</v>
      </c>
      <c r="BQ5" s="39"/>
    </row>
    <row r="6" customFormat="false" ht="36" hidden="false" customHeight="true" outlineLevel="0" collapsed="false">
      <c r="A6" s="30"/>
      <c r="B6" s="97" t="s">
        <v>60</v>
      </c>
      <c r="C6" s="32"/>
      <c r="D6" s="32"/>
      <c r="E6" s="32" t="s">
        <v>56</v>
      </c>
      <c r="F6" s="32"/>
      <c r="G6" s="32"/>
      <c r="H6" s="32"/>
      <c r="I6" s="32" t="s">
        <v>350</v>
      </c>
      <c r="J6" s="32"/>
      <c r="K6" s="32" t="s">
        <v>58</v>
      </c>
      <c r="M6" s="42" t="s">
        <v>349</v>
      </c>
      <c r="N6" s="32"/>
      <c r="O6" s="32"/>
      <c r="P6" s="32" t="s">
        <v>55</v>
      </c>
      <c r="Q6" s="32"/>
      <c r="R6" s="32" t="s">
        <v>56</v>
      </c>
      <c r="T6" s="116" t="s">
        <v>59</v>
      </c>
      <c r="U6" s="32"/>
      <c r="V6" s="32" t="s">
        <v>56</v>
      </c>
      <c r="X6" s="32"/>
      <c r="Z6" s="32" t="s">
        <v>57</v>
      </c>
      <c r="AA6" s="32"/>
      <c r="AB6" s="32" t="s">
        <v>59</v>
      </c>
      <c r="AC6" s="32"/>
      <c r="AD6" s="42"/>
      <c r="AF6" s="33"/>
      <c r="AG6" s="32"/>
      <c r="AH6" s="32" t="s">
        <v>350</v>
      </c>
      <c r="AI6" s="35" t="n">
        <f aca="false">COUNTIF($D6:$AE6,AI$4)</f>
        <v>1</v>
      </c>
      <c r="AJ6" s="36" t="n">
        <f aca="false">COUNTIF($D6:$AE6,AJ$4)</f>
        <v>3</v>
      </c>
      <c r="AK6" s="35" t="n">
        <f aca="false">COUNTIF($D6:$AE6,AK$4)</f>
        <v>2</v>
      </c>
      <c r="AL6" s="37" t="n">
        <f aca="false">COUNTIF($D6:$AE6,AL$4)</f>
        <v>1</v>
      </c>
      <c r="AM6" s="37" t="n">
        <f aca="false">COUNTIF($D6:$AE6,AM$4)</f>
        <v>0</v>
      </c>
      <c r="AN6" s="37" t="n">
        <f aca="false">COUNTIF($D6:$AE6,AN$4)</f>
        <v>0</v>
      </c>
      <c r="AO6" s="37" t="n">
        <f aca="false">COUNTIF($D6:$AE6,AO$4)</f>
        <v>0</v>
      </c>
      <c r="AP6" s="38"/>
      <c r="AQ6" s="37" t="n">
        <f aca="false">SUMPRODUCT(--WEEKDAY(C$3:AG$3,2)&lt;6,--((C6:AG6="DM"))+(C6:AG6="CS1")+((C6:AG6="CS2"))+(C6:AG6="SB1")+(C6:AG6="AE")+(C6:AG6="EM"))</f>
        <v>5</v>
      </c>
      <c r="AR6" s="38"/>
      <c r="AS6" s="38" t="n">
        <f aca="false">SUMPRODUCT(--WEEKDAY(C$3:AG$3,2)&gt;5,--((C6:AG6="DM"))+(C6:AG6="CS1")+((C6:AG6="CS2"))+(C6:AG6="SB1")+(C6:AG6="AE")+(C6:AG6="EM"))</f>
        <v>2</v>
      </c>
      <c r="AT6" s="38"/>
      <c r="AU6" s="38" t="n">
        <f aca="false">(AQ6-AR6)/2+(AS6-AT6)</f>
        <v>4.5</v>
      </c>
      <c r="AV6" s="38" t="n">
        <f aca="false">AI6+AJ6+AK6+AL6+AN6+AO6</f>
        <v>7</v>
      </c>
      <c r="AW6" s="38" t="e">
        <f aca="false">AU6+AY6</f>
        <v>#VALUE!</v>
      </c>
      <c r="AX6" s="38" t="e">
        <f aca="false">AU6+AY6</f>
        <v>#VALUE!</v>
      </c>
      <c r="AY6" s="37" t="e">
        <f aca="false">(BJ6*('Setting key Duty'!$I$8+'Setting key Duty'!$I$12))+(BH6*'Setting key Duty'!$I$9)+(BC6*('Setting key Duty'!$I$13+'Setting key Duty'!$I$9))+(BA6*('Setting key Duty'!$I$13+'Setting key Duty'!$I$12+'Setting key Duty'!$I$11))+(BE6*('Setting key Duty'!$I$8+'Setting key Duty'!$I$9+'Setting key Duty'!$I$12))</f>
        <v>#VALUE!</v>
      </c>
      <c r="AZ6" s="37" t="n">
        <f aca="false">COUNTIF(D6:AE6,"*BRT*")</f>
        <v>0</v>
      </c>
      <c r="BA6" s="37" t="n">
        <f aca="false">COUNTIF(A6:AI6,"*$BTP*")</f>
        <v>0</v>
      </c>
      <c r="BB6" s="37" t="e">
        <f aca="false">BA6*('Setting key Duty'!$I$13+'Setting key Duty'!$I$12+'Setting key Duty'!$I$11)</f>
        <v>#VALUE!</v>
      </c>
      <c r="BC6" s="37" t="n">
        <f aca="false">COUNTIF(A6:AI6,"*$L*")</f>
        <v>0</v>
      </c>
      <c r="BD6" s="37" t="e">
        <f aca="false">BC6*('Setting key Duty'!$I$13+'Setting key Duty'!$I$9)</f>
        <v>#VALUE!</v>
      </c>
      <c r="BE6" s="37" t="n">
        <f aca="false">COUNTIF(A6:AI6,"*$M*")</f>
        <v>0</v>
      </c>
      <c r="BF6" s="37" t="n">
        <f aca="false">BE6*('Setting key Duty'!$I$8+'Setting key Duty'!$I$9+'Setting key Duty'!$I$12)</f>
        <v>0</v>
      </c>
      <c r="BG6" s="37" t="n">
        <f aca="false">COUNTIF(AE6:AI6,"*$N*")</f>
        <v>0</v>
      </c>
      <c r="BH6" s="37" t="n">
        <f aca="false">COUNTIF(AE6:AI6,"*$PM*")</f>
        <v>0</v>
      </c>
      <c r="BI6" s="37" t="n">
        <f aca="false">BH6*('Setting key Duty'!$I$9)</f>
        <v>0</v>
      </c>
      <c r="BJ6" s="37" t="n">
        <f aca="false">COUNTIF(A6:AI6,"*$AM*")</f>
        <v>0</v>
      </c>
      <c r="BK6" s="37" t="n">
        <f aca="false">BJ6*('Setting key Duty'!$I$12+'Setting key Duty'!$I$8)</f>
        <v>0</v>
      </c>
      <c r="BL6" s="37" t="n">
        <f aca="false">COUNTIF(D6:AI6,"*$FC*")</f>
        <v>0</v>
      </c>
      <c r="BM6" s="37" t="n">
        <f aca="false">BL6*('Setting key Duty'!$J$11+'Setting key Duty'!$I$8)</f>
        <v>0</v>
      </c>
      <c r="BN6" s="37" t="n">
        <f aca="false">COUNTIF($D6:$AE6,BN$4)</f>
        <v>0</v>
      </c>
      <c r="BO6" s="37" t="n">
        <f aca="false">COUNTIF($D6:$AE6,BO$4)</f>
        <v>1</v>
      </c>
      <c r="BP6" s="37" t="n">
        <f aca="false">COUNTIF($D6:$AE6,BP$4)</f>
        <v>1</v>
      </c>
      <c r="BQ6" s="39"/>
    </row>
    <row r="7" customFormat="false" ht="19.5" hidden="false" customHeight="true" outlineLevel="0" collapsed="false">
      <c r="A7" s="30"/>
      <c r="B7" s="100" t="s">
        <v>211</v>
      </c>
      <c r="C7" s="32" t="s">
        <v>96</v>
      </c>
      <c r="D7" s="32"/>
      <c r="E7" s="32" t="s">
        <v>350</v>
      </c>
      <c r="F7" s="32"/>
      <c r="G7" s="42"/>
      <c r="H7" s="42" t="s">
        <v>57</v>
      </c>
      <c r="J7" s="32" t="s">
        <v>56</v>
      </c>
      <c r="K7" s="32"/>
      <c r="L7" s="32" t="s">
        <v>57</v>
      </c>
      <c r="M7" s="32"/>
      <c r="N7" s="32"/>
      <c r="O7" s="32"/>
      <c r="P7" s="32" t="s">
        <v>59</v>
      </c>
      <c r="Q7" s="32"/>
      <c r="R7" s="32" t="s">
        <v>350</v>
      </c>
      <c r="S7" s="32"/>
      <c r="T7" s="116" t="s">
        <v>57</v>
      </c>
      <c r="U7" s="32"/>
      <c r="V7" s="32" t="s">
        <v>57</v>
      </c>
      <c r="W7" s="32"/>
      <c r="X7" s="32"/>
      <c r="AA7" s="32"/>
      <c r="AB7" s="32"/>
      <c r="AC7" s="32"/>
      <c r="AD7" s="32"/>
      <c r="AE7" s="32"/>
      <c r="AF7" s="32" t="s">
        <v>57</v>
      </c>
      <c r="AH7" s="32"/>
      <c r="AI7" s="35" t="e">
        <f aca="false">COUNTIF(#REF!,AI$4)</f>
        <v>#REF!</v>
      </c>
      <c r="AJ7" s="36" t="e">
        <f aca="false">COUNTIF(#REF!,AJ$4)</f>
        <v>#REF!</v>
      </c>
      <c r="AK7" s="35" t="e">
        <f aca="false">COUNTIF(#REF!,AK$4)</f>
        <v>#REF!</v>
      </c>
      <c r="AL7" s="37" t="e">
        <f aca="false">COUNTIF(#REF!,AL$4)</f>
        <v>#REF!</v>
      </c>
      <c r="AM7" s="37" t="e">
        <f aca="false">COUNTIF(#REF!,AM$4)</f>
        <v>#REF!</v>
      </c>
      <c r="AN7" s="37" t="e">
        <f aca="false">COUNTIF(#REF!,AN$4)</f>
        <v>#REF!</v>
      </c>
      <c r="AO7" s="37" t="e">
        <f aca="false">COUNTIF(#REF!,AO$4)</f>
        <v>#REF!</v>
      </c>
      <c r="AP7" s="38"/>
      <c r="AQ7" s="37" t="n">
        <f aca="false">SUMPRODUCT(--WEEKDAY(C$3:AG$3,2)&lt;6,--((C7:AG7="DM"))+(C7:AG7="CS1")+((C7:AG7="CS2"))+(C7:AG7="SB1")+(C7:AG7="AE")+(C7:AG7="EM"))</f>
        <v>5</v>
      </c>
      <c r="AR7" s="38"/>
      <c r="AS7" s="38" t="n">
        <f aca="false">SUMPRODUCT(--WEEKDAY(C$3:AG$3,2)&gt;5,--((C7:AG7="DM"))+(C7:AG7="CS1")+((C7:AG7="CS2"))+(C7:AG7="SB1")+(C7:AG7="AE")+(C7:AG7="EM"))</f>
        <v>2</v>
      </c>
      <c r="AT7" s="38"/>
      <c r="AU7" s="38" t="n">
        <f aca="false">(AQ7-AR7)/2+(AS7-AT7)</f>
        <v>4.5</v>
      </c>
      <c r="AV7" s="38" t="e">
        <f aca="false">AI7+AJ7+AK7+AL7+AN7+AO7</f>
        <v>#REF!</v>
      </c>
      <c r="AW7" s="38" t="n">
        <f aca="false">BG7+BH7+BJ7+BE7+BC7+BA7+BL7</f>
        <v>0</v>
      </c>
      <c r="AX7" s="38" t="e">
        <f aca="false">AU7+AY7</f>
        <v>#VALUE!</v>
      </c>
      <c r="AY7" s="37" t="e">
        <f aca="false">(BJ7*('Setting key Duty'!$I$8+'Setting key Duty'!$I$12))+(BH7*'Setting key Duty'!$I$9)+(BC7*('Setting key Duty'!$I$13+'Setting key Duty'!$I$9))+(BA7*('Setting key Duty'!$I$13+'Setting key Duty'!$I$12+'Setting key Duty'!$I$11))+(BE7*('Setting key Duty'!$I$8+'Setting key Duty'!$I$9+'Setting key Duty'!$I$12))</f>
        <v>#VALUE!</v>
      </c>
      <c r="AZ7" s="37" t="e">
        <f aca="false">COUNTIF(#REF!,"*BRT*")</f>
        <v>#REF!</v>
      </c>
      <c r="BA7" s="37" t="n">
        <f aca="false">COUNTIF(A7:AI7,"*$BTP*")</f>
        <v>0</v>
      </c>
      <c r="BB7" s="37" t="e">
        <f aca="false">BA7*('Setting key Duty'!$I$13+'Setting key Duty'!$I$12+'Setting key Duty'!$I$11)</f>
        <v>#VALUE!</v>
      </c>
      <c r="BC7" s="37" t="n">
        <f aca="false">COUNTIF(A7:AI7,"*$L*")</f>
        <v>0</v>
      </c>
      <c r="BD7" s="37" t="e">
        <f aca="false">BC7*('Setting key Duty'!$I$13+'Setting key Duty'!$I$9)</f>
        <v>#VALUE!</v>
      </c>
      <c r="BE7" s="37" t="n">
        <f aca="false">COUNTIF(A7:AI7,"*$M*")</f>
        <v>0</v>
      </c>
      <c r="BF7" s="37" t="n">
        <f aca="false">BE7*('Setting key Duty'!$I$8+'Setting key Duty'!$I$9+'Setting key Duty'!$I$12)</f>
        <v>0</v>
      </c>
      <c r="BG7" s="37" t="n">
        <f aca="false">COUNTIF(A7:AI7,"*$N*")</f>
        <v>0</v>
      </c>
      <c r="BH7" s="37" t="n">
        <f aca="false">COUNTIF(AF7:AI7,"*$PM*")</f>
        <v>0</v>
      </c>
      <c r="BI7" s="37" t="n">
        <f aca="false">BH7*('Setting key Duty'!$I$9)</f>
        <v>0</v>
      </c>
      <c r="BJ7" s="37" t="n">
        <f aca="false">COUNTIF(A7:AI7,"*$AM*")</f>
        <v>0</v>
      </c>
      <c r="BK7" s="37" t="n">
        <f aca="false">BJ7*('Setting key Duty'!$I$12+'Setting key Duty'!$I$8)</f>
        <v>0</v>
      </c>
      <c r="BL7" s="37" t="n">
        <f aca="false">COUNTIF(D7:AI7,"*$FC*")</f>
        <v>0</v>
      </c>
      <c r="BM7" s="37" t="n">
        <f aca="false">BL7*('Setting key Duty'!$J$11+'Setting key Duty'!$I$8)</f>
        <v>0</v>
      </c>
      <c r="BN7" s="37" t="e">
        <f aca="false">COUNTIF(#REF!,BN$4)</f>
        <v>#REF!</v>
      </c>
      <c r="BO7" s="37" t="e">
        <f aca="false">COUNTIF(#REF!,BO$4)</f>
        <v>#REF!</v>
      </c>
      <c r="BP7" s="37" t="e">
        <f aca="false">COUNTIF(#REF!,BP$4)</f>
        <v>#REF!</v>
      </c>
      <c r="BQ7" s="39"/>
    </row>
    <row r="8" customFormat="false" ht="19.5" hidden="false" customHeight="true" outlineLevel="0" collapsed="false">
      <c r="A8" s="30"/>
      <c r="B8" s="41" t="s">
        <v>63</v>
      </c>
      <c r="C8" s="32"/>
      <c r="D8" s="32"/>
      <c r="E8" s="32" t="s">
        <v>55</v>
      </c>
      <c r="F8" s="32"/>
      <c r="G8" s="32" t="s">
        <v>56</v>
      </c>
      <c r="I8" s="32" t="s">
        <v>56</v>
      </c>
      <c r="J8" s="32"/>
      <c r="K8" s="98" t="s">
        <v>61</v>
      </c>
      <c r="L8" s="32"/>
      <c r="M8" s="42" t="s">
        <v>349</v>
      </c>
      <c r="O8" s="42"/>
      <c r="P8" s="32" t="s">
        <v>58</v>
      </c>
      <c r="R8" s="98"/>
      <c r="S8" s="33"/>
      <c r="T8" s="120"/>
      <c r="U8" s="42"/>
      <c r="X8" s="32" t="s">
        <v>57</v>
      </c>
      <c r="Z8" s="32" t="s">
        <v>350</v>
      </c>
      <c r="AB8" s="32"/>
      <c r="AC8" s="32" t="s">
        <v>57</v>
      </c>
      <c r="AD8" s="32"/>
      <c r="AE8" s="32" t="s">
        <v>56</v>
      </c>
      <c r="AF8" s="32"/>
      <c r="AG8" s="32"/>
      <c r="AH8" s="32"/>
      <c r="AI8" s="35"/>
      <c r="AJ8" s="36"/>
      <c r="AK8" s="35"/>
      <c r="AL8" s="37"/>
      <c r="AM8" s="37"/>
      <c r="AN8" s="37"/>
      <c r="AO8" s="37"/>
      <c r="AP8" s="38"/>
      <c r="AQ8" s="37" t="n">
        <f aca="false">SUMPRODUCT(--WEEKDAY(C$3:AG$3,2)&lt;6,--((C8:AG8="DM"))+(C8:AG8="CS1")+((C8:AG8="CS2"))+(C8:AG8="SB1")+(C8:AG8="AE")+(C8:AG8="EM"))</f>
        <v>4</v>
      </c>
      <c r="AR8" s="38"/>
      <c r="AS8" s="38" t="n">
        <f aca="false">SUMPRODUCT(--WEEKDAY(C$3:AG$3,2)&gt;5,--((C8:AG8="DM"))+(C8:AG8="CS1")+((C8:AG8="CS2"))+(C8:AG8="SB1")+(C8:AG8="AE")+(C8:AG8="EM"))</f>
        <v>2</v>
      </c>
      <c r="AT8" s="38"/>
      <c r="AU8" s="38" t="n">
        <f aca="false">(AQ8-AR8)/2+(AS8-AT8)</f>
        <v>4</v>
      </c>
      <c r="AV8" s="38" t="n">
        <f aca="false">AI8+AJ8+AK8+AL8+AN8+AO8</f>
        <v>0</v>
      </c>
      <c r="AW8" s="38" t="n">
        <f aca="false">BG8+BH8+BJ8+BE8+BC8+BA8+BL8</f>
        <v>0</v>
      </c>
      <c r="AX8" s="38" t="n">
        <f aca="false">AU8+AY8</f>
        <v>0</v>
      </c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9"/>
    </row>
    <row r="9" customFormat="false" ht="19.5" hidden="false" customHeight="true" outlineLevel="0" collapsed="false">
      <c r="A9" s="30"/>
      <c r="B9" s="101" t="s">
        <v>377</v>
      </c>
      <c r="C9" s="32"/>
      <c r="D9" s="32" t="s">
        <v>56</v>
      </c>
      <c r="E9" s="32"/>
      <c r="F9" s="42"/>
      <c r="G9" s="32"/>
      <c r="H9" s="32"/>
      <c r="I9" s="32"/>
      <c r="K9" s="42" t="s">
        <v>57</v>
      </c>
      <c r="L9" s="32" t="s">
        <v>350</v>
      </c>
      <c r="M9" s="42" t="s">
        <v>349</v>
      </c>
      <c r="N9" s="32" t="s">
        <v>57</v>
      </c>
      <c r="O9" s="47"/>
      <c r="Q9" s="32"/>
      <c r="R9" s="32" t="s">
        <v>350</v>
      </c>
      <c r="S9" s="32"/>
      <c r="T9" s="32" t="s">
        <v>350</v>
      </c>
      <c r="U9" s="42"/>
      <c r="V9" s="32"/>
      <c r="W9" s="32" t="s">
        <v>350</v>
      </c>
      <c r="X9" s="42"/>
      <c r="Y9" s="32" t="s">
        <v>57</v>
      </c>
      <c r="AB9" s="32" t="s">
        <v>56</v>
      </c>
      <c r="AC9" s="32"/>
      <c r="AD9" s="32" t="s">
        <v>57</v>
      </c>
      <c r="AE9" s="32"/>
      <c r="AF9" s="32"/>
      <c r="AH9" s="32" t="s">
        <v>350</v>
      </c>
      <c r="AI9" s="35"/>
      <c r="AJ9" s="36"/>
      <c r="AK9" s="35"/>
      <c r="AL9" s="37"/>
      <c r="AM9" s="37"/>
      <c r="AN9" s="37"/>
      <c r="AO9" s="37"/>
      <c r="AP9" s="38"/>
      <c r="AQ9" s="37" t="n">
        <f aca="false">SUMPRODUCT(--WEEKDAY(C$3:AG$3,2)&lt;6,--((C9:AG9="DM"))+(C9:AG9="CS1")+((C9:AG9="CS2"))+(C9:AG9="SB1")+(C9:AG9="AE")+(C9:AG9="EM"))</f>
        <v>4</v>
      </c>
      <c r="AR9" s="38"/>
      <c r="AS9" s="38" t="n">
        <f aca="false">SUMPRODUCT(--WEEKDAY(C$3:AG$3,2)&gt;5,--((C9:AG9="DM"))+(C9:AG9="CS1")+((C9:AG9="CS2"))+(C9:AG9="SB1")+(C9:AG9="AE")+(C9:AG9="EM"))</f>
        <v>2</v>
      </c>
      <c r="AT9" s="38"/>
      <c r="AU9" s="38" t="n">
        <f aca="false">(AQ9-AR9)/2+(AS9-AT9)</f>
        <v>4</v>
      </c>
      <c r="AV9" s="38" t="n">
        <f aca="false">AI9+AJ9+AK9+AL9+AN9+AO9</f>
        <v>0</v>
      </c>
      <c r="AW9" s="38" t="n">
        <f aca="false">BG9+BH9+BJ9+BE9+BC9+BA9+BL9</f>
        <v>0</v>
      </c>
      <c r="AX9" s="38" t="e">
        <f aca="false">AU9+AY9</f>
        <v>#VALUE!</v>
      </c>
      <c r="AY9" s="37" t="e">
        <f aca="false">(BJ9*('Setting key Duty'!$I$8+'Setting key Duty'!$I$12))+(BH9*'Setting key Duty'!$I$9)+(BC9*('Setting key Duty'!$I$13+'Setting key Duty'!$I$9))+(BA9*('Setting key Duty'!$I$13+'Setting key Duty'!$I$12+'Setting key Duty'!$I$11))+(BE9*('Setting key Duty'!$I$8+'Setting key Duty'!$I$9+'Setting key Duty'!$I$12))</f>
        <v>#VALUE!</v>
      </c>
      <c r="AZ9" s="37" t="n">
        <f aca="false">COUNTIF(D9:Z9,"*BRT*")</f>
        <v>0</v>
      </c>
      <c r="BA9" s="37" t="n">
        <f aca="false">COUNTIF(A9:AI9,"*$BTP*")</f>
        <v>0</v>
      </c>
      <c r="BB9" s="37" t="e">
        <f aca="false">BA9*('Setting key Duty'!$I$13+'Setting key Duty'!$I$12+'Setting key Duty'!$I$11)</f>
        <v>#VALUE!</v>
      </c>
      <c r="BC9" s="37" t="n">
        <f aca="false">COUNTIF(A9:AI9,"*$L*")</f>
        <v>0</v>
      </c>
      <c r="BD9" s="37" t="e">
        <f aca="false">BC9*('Setting key Duty'!$I$13+'Setting key Duty'!$I$9)</f>
        <v>#VALUE!</v>
      </c>
      <c r="BE9" s="37" t="n">
        <f aca="false">COUNTIF(A9:AI9,"*$M*")</f>
        <v>0</v>
      </c>
      <c r="BF9" s="37" t="n">
        <f aca="false">BE9*('Setting key Duty'!$I$8+'Setting key Duty'!$I$9+'Setting key Duty'!$I$12)</f>
        <v>0</v>
      </c>
      <c r="BG9" s="37" t="n">
        <f aca="false">COUNTIF(AI9,"*$N*")</f>
        <v>0</v>
      </c>
      <c r="BH9" s="37" t="n">
        <f aca="false">COUNTIF(AI9,"*$PM*")</f>
        <v>0</v>
      </c>
      <c r="BI9" s="37" t="n">
        <f aca="false">BH9*('Setting key Duty'!$I$9)</f>
        <v>0</v>
      </c>
      <c r="BJ9" s="37" t="n">
        <f aca="false">COUNTIF(A9:AI9,"*$AM*")</f>
        <v>0</v>
      </c>
      <c r="BK9" s="37" t="n">
        <f aca="false">BJ9*('Setting key Duty'!$I$12+'Setting key Duty'!$I$8)</f>
        <v>0</v>
      </c>
      <c r="BL9" s="37" t="n">
        <f aca="false">COUNTIF(D9:AI9,"*$FC*")</f>
        <v>0</v>
      </c>
      <c r="BM9" s="37" t="n">
        <f aca="false">BL9*('Setting key Duty'!$J$11+'Setting key Duty'!$I$8)</f>
        <v>0</v>
      </c>
      <c r="BN9" s="37" t="n">
        <f aca="false">COUNTIF($D9:$Z9,BN$4)</f>
        <v>0</v>
      </c>
      <c r="BO9" s="37" t="n">
        <f aca="false">COUNTIF($D9:$Z9,BO$4)</f>
        <v>4</v>
      </c>
      <c r="BP9" s="37" t="n">
        <f aca="false">COUNTIF($D9:$Z9,BP$4)</f>
        <v>0</v>
      </c>
      <c r="BQ9" s="39"/>
    </row>
    <row r="10" customFormat="false" ht="19.5" hidden="false" customHeight="true" outlineLevel="0" collapsed="false">
      <c r="A10" s="30"/>
      <c r="B10" s="103" t="s">
        <v>99</v>
      </c>
      <c r="C10" s="32" t="s">
        <v>54</v>
      </c>
      <c r="D10" s="32" t="s">
        <v>54</v>
      </c>
      <c r="E10" s="32" t="s">
        <v>54</v>
      </c>
      <c r="F10" s="42"/>
      <c r="H10" s="45" t="s">
        <v>56</v>
      </c>
      <c r="I10" s="32"/>
      <c r="J10" s="32"/>
      <c r="K10" s="98" t="s">
        <v>61</v>
      </c>
      <c r="L10" s="33"/>
      <c r="M10" s="42" t="s">
        <v>349</v>
      </c>
      <c r="N10" s="32"/>
      <c r="O10" s="32" t="s">
        <v>378</v>
      </c>
      <c r="Q10" s="32" t="s">
        <v>57</v>
      </c>
      <c r="R10" s="42"/>
      <c r="S10" s="116" t="s">
        <v>59</v>
      </c>
      <c r="T10" s="52"/>
      <c r="V10" s="32"/>
      <c r="W10" s="32"/>
      <c r="X10" s="32"/>
      <c r="Y10" s="32" t="s">
        <v>56</v>
      </c>
      <c r="Z10" s="42"/>
      <c r="AA10" s="32" t="s">
        <v>57</v>
      </c>
      <c r="AC10" s="32"/>
      <c r="AD10" s="32" t="s">
        <v>350</v>
      </c>
      <c r="AE10" s="32"/>
      <c r="AG10" s="32" t="s">
        <v>65</v>
      </c>
      <c r="AI10" s="35"/>
      <c r="AJ10" s="36"/>
      <c r="AK10" s="35"/>
      <c r="AL10" s="37"/>
      <c r="AM10" s="37"/>
      <c r="AN10" s="37"/>
      <c r="AO10" s="37"/>
      <c r="AP10" s="38"/>
      <c r="AQ10" s="37" t="n">
        <f aca="false">SUMPRODUCT(--WEEKDAY(C$3:AG$3,2)&lt;6,--((C10:AG10="DM"))+(C10:AG10="CS1")+((C10:AG10="CS2"))+(C10:AG10="SB1")+(C10:AG10="AE")+(C10:AG10="EM"))</f>
        <v>5</v>
      </c>
      <c r="AR10" s="38"/>
      <c r="AS10" s="38" t="n">
        <f aca="false">SUMPRODUCT(--WEEKDAY(C$3:AG$3,2)&gt;5,--((C10:AG10="DM"))+(C10:AG10="CS1")+((C10:AG10="CS2"))+(C10:AG10="SB1")+(C10:AG10="AE")+(C10:AG10="EM"))</f>
        <v>2</v>
      </c>
      <c r="AT10" s="38"/>
      <c r="AU10" s="38" t="n">
        <f aca="false">(AQ10-AR10)/2+(AS10-AT10)</f>
        <v>4.5</v>
      </c>
      <c r="AV10" s="38" t="n">
        <f aca="false">AI10+AJ10+AK10+AL10+AN10+AO10</f>
        <v>0</v>
      </c>
      <c r="AW10" s="38" t="n">
        <f aca="false">BG10+BH10+BJ10+BE10+BC10+BA10+BL10</f>
        <v>0</v>
      </c>
      <c r="AX10" s="38" t="e">
        <f aca="false">AU10+$AY$10</f>
        <v>#VALUE!</v>
      </c>
      <c r="AY10" s="37" t="e">
        <f aca="false">(BJ10*('Setting key Duty'!$I$8+'Setting key Duty'!$I$12))+(BH10*'Setting key Duty'!$I$9)+(BC10*('Setting key Duty'!$I$13+'Setting key Duty'!$I$9))+(BA10*('Setting key Duty'!$I$13+'Setting key Duty'!$I$12+'Setting key Duty'!$I$11))+(BE10*('Setting key Duty'!$I$8+'Setting key Duty'!$I$9+'Setting key Duty'!$I$12))</f>
        <v>#VALUE!</v>
      </c>
      <c r="AZ10" s="37" t="n">
        <f aca="false">COUNTIF(C10:AC10,"*BRT*")</f>
        <v>0</v>
      </c>
      <c r="BA10" s="37" t="n">
        <f aca="false">COUNTIF(A10:AI10,"*$BTP*")</f>
        <v>0</v>
      </c>
      <c r="BB10" s="37" t="e">
        <f aca="false">BA10*('Setting key Duty'!$I$13+'Setting key Duty'!$I$12+'Setting key Duty'!$I$11)</f>
        <v>#VALUE!</v>
      </c>
      <c r="BC10" s="37" t="n">
        <f aca="false">COUNTIF(D10:AI10,"*$L*")</f>
        <v>0</v>
      </c>
      <c r="BD10" s="37" t="e">
        <f aca="false">BC10*('Setting key Duty'!$I$13+'Setting key Duty'!$I$9)</f>
        <v>#VALUE!</v>
      </c>
      <c r="BE10" s="37" t="n">
        <f aca="false">COUNTIF(D10:AI10,"*$M*")</f>
        <v>0</v>
      </c>
      <c r="BF10" s="37" t="n">
        <f aca="false">BE10*('Setting key Duty'!$I$8+'Setting key Duty'!$I$9+'Setting key Duty'!$I$12)</f>
        <v>0</v>
      </c>
      <c r="BG10" s="37" t="n">
        <f aca="false">COUNTIF(D10:AI10,"*$N*")</f>
        <v>0</v>
      </c>
      <c r="BH10" s="37" t="n">
        <f aca="false">COUNTIF(D10:AI10,"*$PM*")</f>
        <v>0</v>
      </c>
      <c r="BI10" s="37" t="n">
        <f aca="false">BH10*('Setting key Duty'!$I$9)</f>
        <v>0</v>
      </c>
      <c r="BJ10" s="37" t="n">
        <f aca="false">COUNTIF(D10:AI10,"*$AM*")</f>
        <v>0</v>
      </c>
      <c r="BK10" s="37" t="n">
        <f aca="false">BJ10*('Setting key Duty'!$I$12+'Setting key Duty'!$I$8)</f>
        <v>0</v>
      </c>
      <c r="BL10" s="37" t="n">
        <f aca="false">COUNTIF(C10:AI10,"*$FC*")</f>
        <v>0</v>
      </c>
      <c r="BM10" s="37" t="n">
        <f aca="false">BL10*('Setting key Duty'!$J$11+'Setting key Duty'!$I$8)</f>
        <v>0</v>
      </c>
      <c r="BN10" s="37" t="n">
        <f aca="false">COUNTIF($C10:$AG10,BN$4)</f>
        <v>0</v>
      </c>
      <c r="BO10" s="37" t="n">
        <f aca="false">COUNTIF($C10:$AG10,BO$4)</f>
        <v>1</v>
      </c>
      <c r="BP10" s="37" t="n">
        <f aca="false">COUNTIF($D10:$AE10,BP$4)</f>
        <v>0</v>
      </c>
      <c r="BQ10" s="39"/>
    </row>
    <row r="11" customFormat="false" ht="19.5" hidden="false" customHeight="true" outlineLevel="0" collapsed="false">
      <c r="A11" s="30"/>
      <c r="B11" s="104" t="s">
        <v>70</v>
      </c>
      <c r="C11" s="32"/>
      <c r="D11" s="32" t="s">
        <v>58</v>
      </c>
      <c r="E11" s="32"/>
      <c r="F11" s="32" t="s">
        <v>350</v>
      </c>
      <c r="G11" s="32"/>
      <c r="H11" s="32"/>
      <c r="J11" s="42" t="s">
        <v>58</v>
      </c>
      <c r="K11" s="32"/>
      <c r="L11" s="32" t="s">
        <v>56</v>
      </c>
      <c r="M11" s="42"/>
      <c r="N11" s="33"/>
      <c r="O11" s="32" t="s">
        <v>57</v>
      </c>
      <c r="P11" s="32"/>
      <c r="Q11" s="32" t="s">
        <v>350</v>
      </c>
      <c r="R11" s="32"/>
      <c r="S11" s="32" t="s">
        <v>349</v>
      </c>
      <c r="T11" s="52"/>
      <c r="V11" s="32"/>
      <c r="W11" s="32" t="s">
        <v>57</v>
      </c>
      <c r="Y11" s="32"/>
      <c r="AA11" s="32"/>
      <c r="AB11" s="32"/>
      <c r="AC11" s="32" t="s">
        <v>59</v>
      </c>
      <c r="AD11" s="32"/>
      <c r="AE11" s="32"/>
      <c r="AG11" s="32"/>
      <c r="AH11" s="32"/>
      <c r="AI11" s="35"/>
      <c r="AJ11" s="36"/>
      <c r="AK11" s="35"/>
      <c r="AL11" s="37"/>
      <c r="AM11" s="37"/>
      <c r="AN11" s="37"/>
      <c r="AO11" s="37"/>
      <c r="AP11" s="38"/>
      <c r="AQ11" s="37" t="n">
        <f aca="false">SUMPRODUCT(--WEEKDAY(C$3:AG$3,2)&lt;6,--((C11:AG11="DM"))+(C11:AG11="CS1")+((C11:AG11="CS2"))+(C11:AG11="SB1")+(C11:AG11="AE")+(C11:AG11="EM"))</f>
        <v>4</v>
      </c>
      <c r="AR11" s="38"/>
      <c r="AS11" s="38" t="n">
        <f aca="false">SUMPRODUCT(--WEEKDAY(C$3:AG$3,2)&gt;5,--((C11:AG11="DM"))+(C11:AG11="CS1")+((C11:AG11="CS2"))+(C11:AG11="SB1")+(C11:AG11="AE")+(C11:AG11="EM"))</f>
        <v>2</v>
      </c>
      <c r="AT11" s="38"/>
      <c r="AU11" s="38" t="n">
        <f aca="false">(AQ11-AR11)/2+(AS11-AT11)</f>
        <v>4</v>
      </c>
      <c r="AV11" s="38" t="n">
        <f aca="false">AI11+AJ11+AK11+AL11+AN11+AO11</f>
        <v>0</v>
      </c>
      <c r="AW11" s="38" t="n">
        <f aca="false">BG11+BH11+BJ11+BE11+BC11+BA11+BL11</f>
        <v>0</v>
      </c>
      <c r="AX11" s="38" t="e">
        <f aca="false">AU11+AY11</f>
        <v>#VALUE!</v>
      </c>
      <c r="AY11" s="37" t="e">
        <f aca="false"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37" t="n">
        <f aca="false">COUNTIF(D11:AC11,"*BRT*")</f>
        <v>0</v>
      </c>
      <c r="BA11" s="37" t="n">
        <f aca="false">COUNTIF(A11:AI11,"*$BTP*")</f>
        <v>0</v>
      </c>
      <c r="BB11" s="37" t="e">
        <f aca="false">BA11*('Setting key Duty'!$I$13+'Setting key Duty'!$I$12+'Setting key Duty'!$I$11)</f>
        <v>#VALUE!</v>
      </c>
      <c r="BC11" s="37" t="n">
        <f aca="false">COUNTIF(A11:AI11,"*$L*")</f>
        <v>0</v>
      </c>
      <c r="BD11" s="37" t="e">
        <f aca="false">BC11*('Setting key Duty'!$I$13+'Setting key Duty'!$I$9)</f>
        <v>#VALUE!</v>
      </c>
      <c r="BE11" s="37" t="n">
        <f aca="false">COUNTIF(A11:AI11,"*$M*")</f>
        <v>0</v>
      </c>
      <c r="BF11" s="37" t="n">
        <f aca="false">BE11*('Setting key Duty'!$I$8+'Setting key Duty'!$I$9+'Setting key Duty'!$I$12)</f>
        <v>0</v>
      </c>
      <c r="BG11" s="37" t="n">
        <f aca="false">COUNTIF(AF11:AI11,"*$N*")</f>
        <v>0</v>
      </c>
      <c r="BH11" s="37" t="n">
        <f aca="false">COUNTIF(AF11:AI11,"*$PM*")</f>
        <v>0</v>
      </c>
      <c r="BI11" s="37" t="n">
        <f aca="false">BH11*('Setting key Duty'!$I$9)</f>
        <v>0</v>
      </c>
      <c r="BJ11" s="37" t="n">
        <f aca="false">COUNTIF(A11:AI11,"*$AM*")</f>
        <v>0</v>
      </c>
      <c r="BK11" s="37" t="n">
        <f aca="false">BJ11*('Setting key Duty'!$I$12+'Setting key Duty'!$I$8)</f>
        <v>0</v>
      </c>
      <c r="BL11" s="37" t="n">
        <f aca="false">COUNTIF(D11:AI11,"*$FC*")</f>
        <v>0</v>
      </c>
      <c r="BM11" s="37" t="n">
        <f aca="false">BL11*('Setting key Duty'!$J$11+'Setting key Duty'!$I$8)</f>
        <v>0</v>
      </c>
      <c r="BN11" s="37" t="n">
        <f aca="false">COUNTIF($D11:$AE11,BN$4)</f>
        <v>0</v>
      </c>
      <c r="BO11" s="37" t="n">
        <f aca="false">COUNTIF($D11:$AE11,BO$4)</f>
        <v>2</v>
      </c>
      <c r="BP11" s="37" t="n">
        <f aca="false">COUNTIF($D11:$AE11,BP$4)</f>
        <v>0</v>
      </c>
      <c r="BQ11" s="39"/>
    </row>
    <row r="12" customFormat="false" ht="19.5" hidden="false" customHeight="true" outlineLevel="0" collapsed="false">
      <c r="A12" s="30"/>
      <c r="B12" s="106" t="s">
        <v>72</v>
      </c>
      <c r="C12" s="32"/>
      <c r="D12" s="32"/>
      <c r="E12" s="32" t="s">
        <v>58</v>
      </c>
      <c r="F12" s="32"/>
      <c r="G12" s="32"/>
      <c r="H12" s="32"/>
      <c r="I12" s="32"/>
      <c r="J12" s="32"/>
      <c r="K12" s="42" t="s">
        <v>56</v>
      </c>
      <c r="L12" s="32"/>
      <c r="M12" s="32" t="s">
        <v>349</v>
      </c>
      <c r="N12" s="32"/>
      <c r="O12" s="32" t="s">
        <v>56</v>
      </c>
      <c r="P12" s="32"/>
      <c r="Q12" s="32" t="s">
        <v>59</v>
      </c>
      <c r="R12" s="32"/>
      <c r="S12" s="32"/>
      <c r="T12" s="32"/>
      <c r="U12" s="32"/>
      <c r="V12" s="32"/>
      <c r="W12" s="42" t="s">
        <v>59</v>
      </c>
      <c r="Y12" s="32" t="s">
        <v>58</v>
      </c>
      <c r="AA12" s="32"/>
      <c r="AB12" s="32"/>
      <c r="AC12" s="32"/>
      <c r="AD12" s="32" t="s">
        <v>58</v>
      </c>
      <c r="AE12" s="32"/>
      <c r="AF12" s="32"/>
      <c r="AG12" s="32"/>
      <c r="AH12" s="32"/>
      <c r="AI12" s="35"/>
      <c r="AJ12" s="36"/>
      <c r="AK12" s="35"/>
      <c r="AL12" s="37"/>
      <c r="AM12" s="37"/>
      <c r="AN12" s="37"/>
      <c r="AO12" s="37"/>
      <c r="AP12" s="38"/>
      <c r="AQ12" s="37" t="n">
        <f aca="false">SUMPRODUCT(--WEEKDAY(C$3:AG$3,2)&lt;6,--((C12:AG12="DM"))+(C12:AG12="CS1")+((C12:AG12="CS2"))+(C12:AG12="SB1")+(C12:AG12="AE")+(C12:AG12="EM"))</f>
        <v>6</v>
      </c>
      <c r="AR12" s="38"/>
      <c r="AS12" s="38" t="n">
        <f aca="false">SUMPRODUCT(--WEEKDAY(C$3:AG$3,2)&gt;5,--((C12:AG12="DM"))+(C12:AG12="CS1")+((C12:AG12="CS2"))+(C12:AG12="SB1")+(C12:AG12="AE")+(C12:AG12="EM"))</f>
        <v>1</v>
      </c>
      <c r="AT12" s="38"/>
      <c r="AU12" s="38" t="n">
        <f aca="false">(AQ12-AR12)/2+(AS12-AT12)</f>
        <v>4</v>
      </c>
      <c r="AV12" s="38" t="n">
        <f aca="false">AI12+AJ12+AK12+AL12+AN12+AO12</f>
        <v>0</v>
      </c>
      <c r="AW12" s="38" t="n">
        <f aca="false">BG12+BH12+BJ12+BE12+BC12+BA12+BL12</f>
        <v>0</v>
      </c>
      <c r="AX12" s="38" t="e">
        <f aca="false">AU12+AY12</f>
        <v>#VALUE!</v>
      </c>
      <c r="AY12" s="37" t="e">
        <f aca="false">(BJ12*('Setting key Duty'!$I$8+'Setting key Duty'!$I$12))+(BH12*'Setting key Duty'!$I$9)+(BC12*('Setting key Duty'!$I$13+'Setting key Duty'!$I$9))+(BA12*('Setting key Duty'!$I$13+'Setting key Duty'!$I$12+'Setting key Duty'!$I$11))+(BE12*('Setting key Duty'!$I$8+'Setting key Duty'!$I$9+'Setting key Duty'!$I$12))</f>
        <v>#VALUE!</v>
      </c>
      <c r="AZ12" s="37" t="n">
        <f aca="false">COUNTIF(D12:Y12,"*BRT*")</f>
        <v>0</v>
      </c>
      <c r="BA12" s="37" t="n">
        <f aca="false">COUNTIF(A12:AI12,"*$BTP*")</f>
        <v>0</v>
      </c>
      <c r="BB12" s="37" t="e">
        <f aca="false">BA12*('Setting key Duty'!$I$13+'Setting key Duty'!$I$12+'Setting key Duty'!$I$11)</f>
        <v>#VALUE!</v>
      </c>
      <c r="BC12" s="37" t="n">
        <f aca="false">COUNTIF(A12:AI12,"*$L*")</f>
        <v>0</v>
      </c>
      <c r="BD12" s="37" t="e">
        <f aca="false">BC12*('Setting key Duty'!$I$13+'Setting key Duty'!$I$9)</f>
        <v>#VALUE!</v>
      </c>
      <c r="BE12" s="37" t="n">
        <f aca="false">COUNTIF(A12:AI12,"*$M*")</f>
        <v>0</v>
      </c>
      <c r="BF12" s="37" t="n">
        <f aca="false">BE12*('Setting key Duty'!$I$8+'Setting key Duty'!$I$9+'Setting key Duty'!$I$12)</f>
        <v>0</v>
      </c>
      <c r="BG12" s="37" t="n">
        <f aca="false">COUNTIF(AI12,"*$N*")</f>
        <v>0</v>
      </c>
      <c r="BH12" s="37" t="n">
        <f aca="false">COUNTIF(AI12,"*$PM*")</f>
        <v>0</v>
      </c>
      <c r="BI12" s="37" t="n">
        <f aca="false">BH12*('Setting key Duty'!$I$9)</f>
        <v>0</v>
      </c>
      <c r="BJ12" s="37" t="n">
        <f aca="false">COUNTIF(A12:AI12,"*$AM*")</f>
        <v>0</v>
      </c>
      <c r="BK12" s="37" t="n">
        <f aca="false">BJ12*('Setting key Duty'!$I$12+'Setting key Duty'!$I$8)</f>
        <v>0</v>
      </c>
      <c r="BL12" s="37" t="n">
        <f aca="false">COUNTIF(D12:AI12,"*$FC*")</f>
        <v>0</v>
      </c>
      <c r="BM12" s="37" t="n">
        <f aca="false">BL12*('Setting key Duty'!$J$11+'Setting key Duty'!$I$8)</f>
        <v>0</v>
      </c>
      <c r="BN12" s="37" t="n">
        <f aca="false">COUNTIF($D12:$Y12,BN$4)</f>
        <v>0</v>
      </c>
      <c r="BO12" s="37" t="n">
        <f aca="false">COUNTIF($D12:$Y12,BO$4)</f>
        <v>0</v>
      </c>
      <c r="BP12" s="37" t="n">
        <f aca="false">COUNTIF($D12:$Y12,BP$4)</f>
        <v>0</v>
      </c>
      <c r="BQ12" s="39"/>
    </row>
    <row r="13" customFormat="false" ht="24" hidden="false" customHeight="true" outlineLevel="0" collapsed="false">
      <c r="A13" s="30"/>
      <c r="B13" s="49" t="s">
        <v>353</v>
      </c>
      <c r="C13" s="32" t="s">
        <v>350</v>
      </c>
      <c r="D13" s="32"/>
      <c r="F13" s="32" t="s">
        <v>57</v>
      </c>
      <c r="H13" s="32"/>
      <c r="I13" s="42" t="s">
        <v>57</v>
      </c>
      <c r="J13" s="42"/>
      <c r="K13" s="32" t="s">
        <v>350</v>
      </c>
      <c r="L13" s="32"/>
      <c r="M13" s="42"/>
      <c r="N13" s="32" t="s">
        <v>378</v>
      </c>
      <c r="O13" s="32"/>
      <c r="P13" s="32" t="s">
        <v>57</v>
      </c>
      <c r="R13" s="32"/>
      <c r="S13" s="32" t="s">
        <v>349</v>
      </c>
      <c r="T13" s="52" t="s">
        <v>56</v>
      </c>
      <c r="U13" s="32"/>
      <c r="V13" s="32"/>
      <c r="X13" s="32" t="s">
        <v>56</v>
      </c>
      <c r="Z13" s="32"/>
      <c r="AA13" s="32"/>
      <c r="AB13" s="32"/>
      <c r="AC13" s="32" t="s">
        <v>350</v>
      </c>
      <c r="AD13" s="32"/>
      <c r="AE13" s="32"/>
      <c r="AF13" s="33"/>
      <c r="AG13" s="32"/>
      <c r="AH13" s="32" t="s">
        <v>57</v>
      </c>
      <c r="AI13" s="35" t="n">
        <f aca="false">COUNTIF($C13:$AB13,AI$4)</f>
        <v>3</v>
      </c>
      <c r="AJ13" s="36" t="n">
        <f aca="false">COUNTIF($C13:$AB13,AJ$4)</f>
        <v>2</v>
      </c>
      <c r="AK13" s="35" t="n">
        <f aca="false">COUNTIF($C13:$AB13,AK$4)</f>
        <v>0</v>
      </c>
      <c r="AL13" s="37" t="n">
        <f aca="false">COUNTIF($C13:$AB13,AL$4)</f>
        <v>0</v>
      </c>
      <c r="AM13" s="37" t="n">
        <f aca="false">COUNTIF($C13:$AB13,AM$4)</f>
        <v>0</v>
      </c>
      <c r="AN13" s="37" t="n">
        <f aca="false">COUNTIF($C13:$AB13,AN$4)</f>
        <v>0</v>
      </c>
      <c r="AO13" s="37" t="n">
        <f aca="false">COUNTIF($C13:$AB13,AO$4)</f>
        <v>1</v>
      </c>
      <c r="AP13" s="38"/>
      <c r="AQ13" s="37" t="n">
        <f aca="false">SUMPRODUCT(--WEEKDAY(C$3:AG$3,2)&lt;6,--((C13:AG13="DM"))+(C13:AG13="CS1")+((C13:AG13="CS2"))+(C13:AG13="SB1")+(C13:AG13="AE")+(C13:AG13="EM"))</f>
        <v>5</v>
      </c>
      <c r="AR13" s="38"/>
      <c r="AS13" s="38" t="n">
        <f aca="false">SUMPRODUCT(--WEEKDAY(C$3:AG$3,2)&gt;5,--((C13:AG13="DM"))+(C13:AG13="CS1")+((C13:AG13="CS2"))+(C13:AG13="SB1")+(C13:AG13="AE")+(C13:AG13="EM"))</f>
        <v>1</v>
      </c>
      <c r="AT13" s="38"/>
      <c r="AU13" s="38" t="n">
        <f aca="false">(AQ13-AR13)/2+(AS13-AT13)</f>
        <v>3.5</v>
      </c>
      <c r="AV13" s="38" t="n">
        <f aca="false">AI13+AJ13+AK13+AL13+AN13+AO13</f>
        <v>6</v>
      </c>
      <c r="AW13" s="38" t="n">
        <f aca="false">BG13+BH13+BJ13+BE13+BC13+BA13+BL13</f>
        <v>0</v>
      </c>
      <c r="AX13" s="38" t="e">
        <f aca="false">AU13+AY13</f>
        <v>#VALUE!</v>
      </c>
      <c r="AY13" s="37" t="e">
        <f aca="false">(BJ13*('Setting key Duty'!$I$8+'Setting key Duty'!$I$12))+(BH13*'Setting key Duty'!$I$9)+(BC13*('Setting key Duty'!$I$13+'Setting key Duty'!$I$9))+(BA13*('Setting key Duty'!$I$13+'Setting key Duty'!$I$12+'Setting key Duty'!$I$11))+(BE13*('Setting key Duty'!$I$8+'Setting key Duty'!$I$9+'Setting key Duty'!$I$12))</f>
        <v>#VALUE!</v>
      </c>
      <c r="AZ13" s="37" t="n">
        <f aca="false">COUNTIF(C13:AB13,"*BRT*")</f>
        <v>0</v>
      </c>
      <c r="BA13" s="37" t="n">
        <f aca="false">COUNTIF(A13:AI13,"*$BTP*")</f>
        <v>0</v>
      </c>
      <c r="BB13" s="37" t="e">
        <f aca="false">BA13*('Setting key Duty'!$I$13+'Setting key Duty'!$I$12+'Setting key Duty'!$I$11)</f>
        <v>#VALUE!</v>
      </c>
      <c r="BC13" s="37" t="n">
        <f aca="false">COUNTIF(A13:AI13,"*$L*")</f>
        <v>0</v>
      </c>
      <c r="BD13" s="37" t="e">
        <f aca="false">BC13*('Setting key Duty'!$I$13+'Setting key Duty'!$I$9)</f>
        <v>#VALUE!</v>
      </c>
      <c r="BE13" s="37" t="n">
        <f aca="false">COUNTIF(A13:AI13,"*$M*")</f>
        <v>0</v>
      </c>
      <c r="BF13" s="37" t="n">
        <f aca="false">BE13*('Setting key Duty'!$I$8+'Setting key Duty'!$I$9+'Setting key Duty'!$I$12)</f>
        <v>0</v>
      </c>
      <c r="BG13" s="37" t="n">
        <f aca="false">COUNTIF(A13:AI13,"*$N*")</f>
        <v>0</v>
      </c>
      <c r="BH13" s="37" t="n">
        <f aca="false">COUNTIF(AI13,"*$PM*")</f>
        <v>0</v>
      </c>
      <c r="BI13" s="37" t="n">
        <f aca="false">BH13*('Setting key Duty'!$I$9)</f>
        <v>0</v>
      </c>
      <c r="BJ13" s="37" t="n">
        <f aca="false">COUNTIF(A13:AI13,"*$AM*")</f>
        <v>0</v>
      </c>
      <c r="BK13" s="37" t="n">
        <f aca="false">BJ13*('Setting key Duty'!$I$12+'Setting key Duty'!$I$8)</f>
        <v>0</v>
      </c>
      <c r="BL13" s="37" t="n">
        <f aca="false">COUNTIF(C13:AI13,"*$FC*")</f>
        <v>0</v>
      </c>
      <c r="BM13" s="37" t="n">
        <f aca="false">BL13*('Setting key Duty'!$J$11+'Setting key Duty'!$I$8)</f>
        <v>0</v>
      </c>
      <c r="BN13" s="37" t="n">
        <f aca="false">COUNTIF($C13:$AB13,BN$4)</f>
        <v>0</v>
      </c>
      <c r="BO13" s="37" t="n">
        <f aca="false">COUNTIF($C13:$AB13,BO$4)</f>
        <v>2</v>
      </c>
      <c r="BP13" s="37" t="n">
        <f aca="false">COUNTIF($C13:$AB13,BP$4)</f>
        <v>0</v>
      </c>
      <c r="BQ13" s="39"/>
    </row>
    <row r="14" customFormat="false" ht="37.5" hidden="false" customHeight="true" outlineLevel="0" collapsed="false">
      <c r="A14" s="30"/>
      <c r="B14" s="106" t="s">
        <v>224</v>
      </c>
      <c r="C14" s="32"/>
      <c r="D14" s="32" t="s">
        <v>59</v>
      </c>
      <c r="E14" s="32"/>
      <c r="F14" s="32"/>
      <c r="G14" s="32" t="s">
        <v>57</v>
      </c>
      <c r="H14" s="115"/>
      <c r="I14" s="32"/>
      <c r="J14" s="32" t="s">
        <v>162</v>
      </c>
      <c r="K14" s="32" t="s">
        <v>379</v>
      </c>
      <c r="L14" s="32"/>
      <c r="M14" s="32"/>
      <c r="N14" s="32"/>
      <c r="O14" s="32"/>
      <c r="P14" s="32" t="s">
        <v>380</v>
      </c>
      <c r="Q14" s="32" t="s">
        <v>380</v>
      </c>
      <c r="R14" s="32" t="s">
        <v>380</v>
      </c>
      <c r="S14" s="32" t="s">
        <v>162</v>
      </c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 t="s">
        <v>350</v>
      </c>
      <c r="AG14" s="32"/>
      <c r="AH14" s="32"/>
      <c r="AI14" s="35" t="n">
        <f aca="false">COUNTIF($D14:$AC14,AI$4)</f>
        <v>1</v>
      </c>
      <c r="AJ14" s="36" t="n">
        <f aca="false">COUNTIF($D14:$AC14,AJ$4)</f>
        <v>0</v>
      </c>
      <c r="AK14" s="35" t="n">
        <f aca="false">COUNTIF($D14:$AC14,AK$4)</f>
        <v>1</v>
      </c>
      <c r="AL14" s="37" t="n">
        <f aca="false">COUNTIF($D14:$AC14,AL$4)</f>
        <v>0</v>
      </c>
      <c r="AM14" s="37" t="n">
        <f aca="false">COUNTIF($D14:$AC14,AM$4)</f>
        <v>0</v>
      </c>
      <c r="AN14" s="37" t="n">
        <f aca="false">COUNTIF($D14:$AC14,AN$4)</f>
        <v>0</v>
      </c>
      <c r="AO14" s="37" t="n">
        <f aca="false">COUNTIF($D14:$AC14,AO$4)</f>
        <v>0</v>
      </c>
      <c r="AP14" s="38"/>
      <c r="AQ14" s="37" t="n">
        <f aca="false">SUMPRODUCT(--WEEKDAY(C$3:AG$3,2)&lt;6,--((C14:AG14="DM"))+(C14:AG14="CS1")+((C14:AG14="CS2"))+(C14:AG14="SB1")+(C14:AG14="AE")+(C14:AG14="EM"))</f>
        <v>1</v>
      </c>
      <c r="AR14" s="38"/>
      <c r="AS14" s="38" t="n">
        <f aca="false">SUMPRODUCT(--WEEKDAY(C$3:AG$3,2)&gt;5,--((C14:AG14="DM"))+(C14:AG14="CS1")+((C14:AG14="CS2"))+(C14:AG14="SB1")+(C14:AG14="AE")+(C14:AG14="EM"))</f>
        <v>1</v>
      </c>
      <c r="AT14" s="38"/>
      <c r="AU14" s="38" t="n">
        <f aca="false">(AQ14-AR14)/2+(AS14-AT14)</f>
        <v>1.5</v>
      </c>
      <c r="AV14" s="38" t="n">
        <f aca="false">AI14+AJ14+AK14+AL14+AN14+AO14</f>
        <v>2</v>
      </c>
      <c r="AW14" s="38" t="n">
        <f aca="false">BG14+BH14+BJ14+BE14+BC14+BA14+BL14</f>
        <v>0</v>
      </c>
      <c r="AX14" s="38" t="e">
        <f aca="false">AU14+AY14</f>
        <v>#VALUE!</v>
      </c>
      <c r="AY14" s="37" t="e">
        <f aca="false">(BJ14*('Setting key Duty'!$I$8+'Setting key Duty'!$I$12))+(BH14*'Setting key Duty'!$I$9)+(BC14*('Setting key Duty'!$I$13+'Setting key Duty'!$I$9))+(BA14*('Setting key Duty'!$I$13+'Setting key Duty'!$I$12+'Setting key Duty'!$I$11))+(BE14*('Setting key Duty'!$I$8+'Setting key Duty'!$I$9+'Setting key Duty'!$I$12))</f>
        <v>#VALUE!</v>
      </c>
      <c r="AZ14" s="37" t="n">
        <f aca="false">COUNTIF(C14:AC14,"*BRT*")</f>
        <v>0</v>
      </c>
      <c r="BA14" s="37" t="n">
        <f aca="false">COUNTIF(A14:AI14,"*$BTP*")</f>
        <v>0</v>
      </c>
      <c r="BB14" s="37" t="e">
        <f aca="false">BA14*('Setting key Duty'!$I$13+'Setting key Duty'!$I$12+'Setting key Duty'!$I$11)</f>
        <v>#VALUE!</v>
      </c>
      <c r="BC14" s="37" t="n">
        <f aca="false">COUNTIF(A14:AI14,"*$L*")</f>
        <v>0</v>
      </c>
      <c r="BD14" s="37" t="e">
        <f aca="false">BC14*('Setting key Duty'!$I$13+'Setting key Duty'!$I$9)</f>
        <v>#VALUE!</v>
      </c>
      <c r="BE14" s="37" t="n">
        <f aca="false">COUNTIF(A14:AI14,"*$M*")</f>
        <v>0</v>
      </c>
      <c r="BF14" s="37" t="n">
        <f aca="false">BE14*('Setting key Duty'!$I$8+'Setting key Duty'!$I$9+'Setting key Duty'!$I$12)</f>
        <v>0</v>
      </c>
      <c r="BG14" s="37" t="n">
        <f aca="false">COUNTIF(AI14,"*$N*")</f>
        <v>0</v>
      </c>
      <c r="BH14" s="37" t="n">
        <f aca="false">COUNTIF(AI14,"*$PM*")</f>
        <v>0</v>
      </c>
      <c r="BI14" s="37" t="n">
        <f aca="false">BH14*('Setting key Duty'!$I$9)</f>
        <v>0</v>
      </c>
      <c r="BJ14" s="37" t="n">
        <f aca="false">COUNTIF(A14:AI14,"*$AM*")</f>
        <v>0</v>
      </c>
      <c r="BK14" s="37" t="n">
        <f aca="false">BJ14*('Setting key Duty'!$I$12+'Setting key Duty'!$I$8)</f>
        <v>0</v>
      </c>
      <c r="BL14" s="37" t="n">
        <f aca="false">COUNTIF(C14:AI14,"*$FC*")</f>
        <v>0</v>
      </c>
      <c r="BM14" s="37" t="n">
        <f aca="false">BL14*('Setting key Duty'!$J$11+'Setting key Duty'!$I$8)</f>
        <v>0</v>
      </c>
      <c r="BN14" s="37" t="n">
        <f aca="false">COUNTIF($C14:$AC14,BN$4)</f>
        <v>0</v>
      </c>
      <c r="BO14" s="37" t="n">
        <f aca="false">COUNTIF($C14:$AC14,BO$4)</f>
        <v>0</v>
      </c>
      <c r="BP14" s="37" t="n">
        <f aca="false">COUNTIF($C14:$AC14,BP$4)</f>
        <v>0</v>
      </c>
      <c r="BQ14" s="39"/>
    </row>
    <row r="15" customFormat="false" ht="19.5" hidden="false" customHeight="true" outlineLevel="0" collapsed="false">
      <c r="A15" s="30"/>
      <c r="B15" s="104" t="s">
        <v>226</v>
      </c>
      <c r="C15" s="32" t="s">
        <v>55</v>
      </c>
      <c r="D15" s="32"/>
      <c r="E15" s="32"/>
      <c r="F15" s="32"/>
      <c r="G15" s="32"/>
      <c r="H15" s="32"/>
      <c r="I15" s="32"/>
      <c r="J15" s="32" t="s">
        <v>162</v>
      </c>
      <c r="K15" s="32" t="s">
        <v>379</v>
      </c>
      <c r="L15" s="32"/>
      <c r="M15" s="42" t="s">
        <v>349</v>
      </c>
      <c r="N15" s="32"/>
      <c r="O15" s="32"/>
      <c r="P15" s="32" t="s">
        <v>380</v>
      </c>
      <c r="Q15" s="32" t="s">
        <v>380</v>
      </c>
      <c r="R15" s="32" t="s">
        <v>380</v>
      </c>
      <c r="S15" s="32" t="s">
        <v>162</v>
      </c>
      <c r="T15" s="32"/>
      <c r="U15" s="32"/>
      <c r="V15" s="32"/>
      <c r="W15" s="32"/>
      <c r="X15" s="32"/>
      <c r="Y15" s="32"/>
      <c r="Z15" s="32" t="s">
        <v>381</v>
      </c>
      <c r="AA15" s="32"/>
      <c r="AB15" s="32"/>
      <c r="AC15" s="32"/>
      <c r="AD15" s="32"/>
      <c r="AE15" s="32"/>
      <c r="AF15" s="32"/>
      <c r="AG15" s="32"/>
      <c r="AH15" s="32"/>
      <c r="AI15" s="35" t="n">
        <f aca="false">COUNTIF($D15:$AA15,AI$4)</f>
        <v>0</v>
      </c>
      <c r="AJ15" s="36" t="n">
        <f aca="false">COUNTIF($D15:$AA15,AJ$4)</f>
        <v>0</v>
      </c>
      <c r="AK15" s="35" t="n">
        <f aca="false">COUNTIF($D15:$AA15,AK$4)</f>
        <v>0</v>
      </c>
      <c r="AL15" s="37" t="n">
        <f aca="false">COUNTIF($D15:$AA15,AL$4)</f>
        <v>0</v>
      </c>
      <c r="AM15" s="37" t="n">
        <f aca="false">COUNTIF($D15:$AA15,AM$4)</f>
        <v>0</v>
      </c>
      <c r="AN15" s="37" t="n">
        <f aca="false">COUNTIF($D15:$AA15,AN$4)</f>
        <v>0</v>
      </c>
      <c r="AO15" s="37" t="n">
        <f aca="false">COUNTIF($D15:$AA15,AO$4)</f>
        <v>0</v>
      </c>
      <c r="AP15" s="38"/>
      <c r="AQ15" s="37" t="n">
        <f aca="false">SUMPRODUCT(--WEEKDAY(C$3:AG$3,2)&lt;6,--((C15:AG15="DM"))+(C15:AG15="CS1")+((C15:AG15="CS2"))+(C15:AG15="SB1")+(C15:AG15="AE")+(C15:AG15="EM"))</f>
        <v>0</v>
      </c>
      <c r="AR15" s="38"/>
      <c r="AS15" s="38" t="n">
        <f aca="false">SUMPRODUCT(--WEEKDAY(C$3:AG$3,2)&gt;5,--((C15:AG15="DM"))+(C15:AG15="CS1")+((C15:AG15="CS2"))+(C15:AG15="SB1")+(C15:AG15="AE")+(C15:AG15="EM"))</f>
        <v>0</v>
      </c>
      <c r="AT15" s="38"/>
      <c r="AU15" s="38" t="n">
        <f aca="false">(AQ15-AR15)/2+(AS15-AT15)</f>
        <v>0</v>
      </c>
      <c r="AV15" s="38" t="n">
        <f aca="false">AI15+AJ15+AK15+AL15+AN15+AO15</f>
        <v>0</v>
      </c>
      <c r="AW15" s="38" t="n">
        <f aca="false">BG15+BH15+BJ15+BE15+BC15+BA15+BL15</f>
        <v>0</v>
      </c>
      <c r="AX15" s="38" t="e">
        <f aca="false">AU15+AY15</f>
        <v>#VALUE!</v>
      </c>
      <c r="AY15" s="37" t="e">
        <f aca="false">(BJ15*('Setting key Duty'!$I$8+'Setting key Duty'!$I$12))+(BH15*'Setting key Duty'!$I$9)+(BC15*('Setting key Duty'!$I$13+'Setting key Duty'!$I$9))+(BA15*('Setting key Duty'!$I$13+'Setting key Duty'!$I$12+'Setting key Duty'!$I$11))+(BE15*('Setting key Duty'!$I$8+'Setting key Duty'!$I$9+'Setting key Duty'!$I$12))</f>
        <v>#VALUE!</v>
      </c>
      <c r="AZ15" s="37" t="n">
        <f aca="false">COUNTIF(D15:AA15,"*BRT*")</f>
        <v>0</v>
      </c>
      <c r="BA15" s="37" t="n">
        <f aca="false">COUNTIF(A15:AI15,"*$BTP*")</f>
        <v>0</v>
      </c>
      <c r="BB15" s="37" t="e">
        <f aca="false">BA15*('Setting key Duty'!$I$13+'Setting key Duty'!$I$12+'Setting key Duty'!$I$11)</f>
        <v>#VALUE!</v>
      </c>
      <c r="BC15" s="37" t="n">
        <f aca="false">COUNTIF(A15:AI15,"*$L*")</f>
        <v>0</v>
      </c>
      <c r="BD15" s="37" t="e">
        <f aca="false">BC15*('Setting key Duty'!$I$13+'Setting key Duty'!$I$9)</f>
        <v>#VALUE!</v>
      </c>
      <c r="BE15" s="37" t="n">
        <f aca="false">COUNTIF(A15:AI15,"*$M*")</f>
        <v>0</v>
      </c>
      <c r="BF15" s="37" t="n">
        <f aca="false">BE15*('Setting key Duty'!$I$8+'Setting key Duty'!$I$9+'Setting key Duty'!$I$12)</f>
        <v>0</v>
      </c>
      <c r="BG15" s="37" t="n">
        <f aca="false">COUNTIF(A15:AI15,"*$N*")</f>
        <v>0</v>
      </c>
      <c r="BH15" s="37" t="n">
        <f aca="false">COUNTIF(AI15,"*$PM*")</f>
        <v>0</v>
      </c>
      <c r="BI15" s="37" t="n">
        <f aca="false">BH15*('Setting key Duty'!$I$9)</f>
        <v>0</v>
      </c>
      <c r="BJ15" s="37" t="n">
        <f aca="false">COUNTIF(A15:AI15,"*$AM*")</f>
        <v>0</v>
      </c>
      <c r="BK15" s="37" t="n">
        <f aca="false">BJ15*('Setting key Duty'!$I$12+'Setting key Duty'!$I$8)</f>
        <v>0</v>
      </c>
      <c r="BL15" s="37" t="n">
        <f aca="false">COUNTIF(D15:AI15,"*$FC*")</f>
        <v>0</v>
      </c>
      <c r="BM15" s="37" t="n">
        <f aca="false">BL15*('Setting key Duty'!$J$11+'Setting key Duty'!$I$8)</f>
        <v>0</v>
      </c>
      <c r="BN15" s="37" t="n">
        <f aca="false">COUNTIF($D15:$AA15,BN$4)</f>
        <v>0</v>
      </c>
      <c r="BO15" s="37" t="n">
        <f aca="false">COUNTIF($D15:$AA15,BO$4)</f>
        <v>0</v>
      </c>
      <c r="BP15" s="37" t="n">
        <f aca="false">COUNTIF($D15:$AA15,BP$4)</f>
        <v>0</v>
      </c>
      <c r="BQ15" s="39"/>
    </row>
    <row r="16" customFormat="false" ht="19.5" hidden="false" customHeight="true" outlineLevel="0" collapsed="false">
      <c r="A16" s="30"/>
      <c r="B16" s="41" t="s">
        <v>286</v>
      </c>
      <c r="C16" s="32" t="s">
        <v>57</v>
      </c>
      <c r="D16" s="32"/>
      <c r="E16" s="32" t="s">
        <v>350</v>
      </c>
      <c r="F16" s="45"/>
      <c r="G16" s="45"/>
      <c r="H16" s="45"/>
      <c r="I16" s="32" t="s">
        <v>350</v>
      </c>
      <c r="J16" s="42" t="s">
        <v>57</v>
      </c>
      <c r="L16" s="42"/>
      <c r="M16" s="42" t="s">
        <v>57</v>
      </c>
      <c r="N16" s="32"/>
      <c r="P16" s="32"/>
      <c r="Q16" s="32"/>
      <c r="R16" s="98" t="s">
        <v>57</v>
      </c>
      <c r="S16" s="32"/>
      <c r="T16" s="52"/>
      <c r="U16" s="32" t="s">
        <v>57</v>
      </c>
      <c r="V16" s="32"/>
      <c r="W16" s="32" t="s">
        <v>58</v>
      </c>
      <c r="Y16" s="32" t="s">
        <v>61</v>
      </c>
      <c r="Z16" s="32"/>
      <c r="AA16" s="32"/>
      <c r="AB16" s="33"/>
      <c r="AD16" s="32"/>
      <c r="AE16" s="32"/>
      <c r="AF16" s="32"/>
      <c r="AG16" s="32" t="s">
        <v>57</v>
      </c>
      <c r="AH16" s="32"/>
      <c r="AI16" s="35" t="n">
        <f aca="false">COUNTIF($C16:$AF16,AI$4)</f>
        <v>5</v>
      </c>
      <c r="AJ16" s="36" t="n">
        <f aca="false">COUNTIF($C16:$AF16,AJ$4)</f>
        <v>0</v>
      </c>
      <c r="AK16" s="35" t="n">
        <f aca="false">COUNTIF($C16:$AF16,AK$4)</f>
        <v>0</v>
      </c>
      <c r="AL16" s="37" t="n">
        <f aca="false">COUNTIF($C16:$AF16,AL$4)</f>
        <v>1</v>
      </c>
      <c r="AM16" s="37" t="n">
        <f aca="false">COUNTIF($C16:$AF16,AM$4)</f>
        <v>0</v>
      </c>
      <c r="AN16" s="37" t="n">
        <f aca="false">COUNTIF($C16:$AF16,AN$4)</f>
        <v>0</v>
      </c>
      <c r="AO16" s="37" t="n">
        <f aca="false">COUNTIF($C16:$AF16,AO$4)</f>
        <v>0</v>
      </c>
      <c r="AP16" s="38"/>
      <c r="AQ16" s="37" t="n">
        <f aca="false">SUMPRODUCT(--WEEKDAY(C$3:AG$3,2)&lt;6,--((C16:AG16="DM"))+(C16:AG16="CS1")+((C16:AG16="CS2"))+(C16:AG16="SB1")+(C16:AG16="AE")+(C16:AG16="EM"))</f>
        <v>6</v>
      </c>
      <c r="AR16" s="38"/>
      <c r="AS16" s="38" t="n">
        <f aca="false">SUMPRODUCT(--WEEKDAY(C$3:AG$3,2)&gt;5,--((C16:AG16="DM"))+(C16:AG16="CS1")+((C16:AG16="CS2"))+(C16:AG16="SB1")+(C16:AG16="AE")+(C16:AG16="EM"))</f>
        <v>1</v>
      </c>
      <c r="AT16" s="38"/>
      <c r="AU16" s="38" t="n">
        <f aca="false">(AQ16-AR16)/2+(AS16-AT16)</f>
        <v>4</v>
      </c>
      <c r="AV16" s="38" t="n">
        <f aca="false">AI16+AJ16+AK16+AL16+AN16+AO16</f>
        <v>6</v>
      </c>
      <c r="AW16" s="38" t="n">
        <f aca="false">BG16+BH16+BJ16+BE16+BC16+BA16+BL16</f>
        <v>0</v>
      </c>
      <c r="AX16" s="38" t="e">
        <f aca="false">AU16+AY16</f>
        <v>#VALUE!</v>
      </c>
      <c r="AY16" s="37" t="e">
        <f aca="false">(BJ16*('Setting key Duty'!$I$8+'Setting key Duty'!$I$12))+(BH16*'Setting key Duty'!$I$9)+(BC16*('Setting key Duty'!$I$13+'Setting key Duty'!$I$9))+(BA16*('Setting key Duty'!$I$13+'Setting key Duty'!$I$12+'Setting key Duty'!$I$11))+(BE16*('Setting key Duty'!$I$8+'Setting key Duty'!$I$9+'Setting key Duty'!$I$12))</f>
        <v>#VALUE!</v>
      </c>
      <c r="AZ16" s="37" t="n">
        <f aca="false">COUNTIF(C16:AC16,"*BRT*")</f>
        <v>0</v>
      </c>
      <c r="BA16" s="37" t="n">
        <f aca="false">COUNTIF(A16:AI16,"*$BTP*")</f>
        <v>0</v>
      </c>
      <c r="BB16" s="37" t="e">
        <f aca="false">BA16*('Setting key Duty'!$I$13+'Setting key Duty'!$I$12+'Setting key Duty'!$I$11)</f>
        <v>#VALUE!</v>
      </c>
      <c r="BC16" s="37" t="n">
        <f aca="false">COUNTIF(I16:AI16,"*$L*")</f>
        <v>0</v>
      </c>
      <c r="BD16" s="37" t="e">
        <f aca="false">BC16*('Setting key Duty'!$I$13+'Setting key Duty'!$I$9)</f>
        <v>#VALUE!</v>
      </c>
      <c r="BE16" s="37" t="n">
        <f aca="false">COUNTIF(I16:AI16,"*$M*")</f>
        <v>0</v>
      </c>
      <c r="BF16" s="37" t="n">
        <f aca="false">BE16*('Setting key Duty'!$I$8+'Setting key Duty'!$I$9+'Setting key Duty'!$I$12)</f>
        <v>0</v>
      </c>
      <c r="BG16" s="37" t="n">
        <f aca="false">COUNTIF(I16:AI16,"*$N*")</f>
        <v>0</v>
      </c>
      <c r="BH16" s="37" t="n">
        <f aca="false">COUNTIF(I16:AI16,"*$PM*")</f>
        <v>0</v>
      </c>
      <c r="BI16" s="37" t="n">
        <f aca="false">BH16*('Setting key Duty'!$I$9)</f>
        <v>0</v>
      </c>
      <c r="BJ16" s="37" t="n">
        <f aca="false">COUNTIF(I16:AI16,"*$AM*")</f>
        <v>0</v>
      </c>
      <c r="BK16" s="37" t="n">
        <f aca="false">BJ16*('Setting key Duty'!$I$12+'Setting key Duty'!$I$8)</f>
        <v>0</v>
      </c>
      <c r="BL16" s="37" t="n">
        <f aca="false">COUNTIF(C16:AI16,"*$FC*")</f>
        <v>0</v>
      </c>
      <c r="BM16" s="37" t="n">
        <f aca="false">BL16*('Setting key Duty'!$J$11+'Setting key Duty'!$I$8)</f>
        <v>0</v>
      </c>
      <c r="BN16" s="37" t="n">
        <f aca="false">COUNTIF($C16:$AF16,BN$4)</f>
        <v>0</v>
      </c>
      <c r="BO16" s="37" t="n">
        <f aca="false">COUNTIF($C16:$AF16,BO$4)</f>
        <v>2</v>
      </c>
      <c r="BP16" s="37" t="n">
        <f aca="false">COUNTIF($I16:$AE16,BP$4)</f>
        <v>0</v>
      </c>
      <c r="BQ16" s="39"/>
    </row>
    <row r="17" customFormat="false" ht="19.5" hidden="false" customHeight="true" outlineLevel="0" collapsed="false">
      <c r="A17" s="30"/>
      <c r="B17" s="106" t="s">
        <v>289</v>
      </c>
      <c r="C17" s="32" t="s">
        <v>59</v>
      </c>
      <c r="D17" s="32"/>
      <c r="E17" s="32" t="s">
        <v>59</v>
      </c>
      <c r="F17" s="32"/>
      <c r="H17" s="32"/>
      <c r="I17" s="32" t="s">
        <v>59</v>
      </c>
      <c r="J17" s="42"/>
      <c r="M17" s="33"/>
      <c r="N17" s="42"/>
      <c r="P17" s="42"/>
      <c r="Q17" s="42" t="s">
        <v>58</v>
      </c>
      <c r="R17" s="32"/>
      <c r="S17" s="32"/>
      <c r="T17" s="52"/>
      <c r="U17" s="42"/>
      <c r="V17" s="33"/>
      <c r="W17" s="32"/>
      <c r="X17" s="32" t="s">
        <v>59</v>
      </c>
      <c r="Y17" s="32"/>
      <c r="Z17" s="32" t="s">
        <v>59</v>
      </c>
      <c r="AA17" s="32"/>
      <c r="AB17" s="32"/>
      <c r="AC17" s="32"/>
      <c r="AD17" s="32" t="s">
        <v>59</v>
      </c>
      <c r="AE17" s="32"/>
      <c r="AF17" s="32" t="s">
        <v>350</v>
      </c>
      <c r="AG17" s="42"/>
      <c r="AI17" s="35"/>
      <c r="AJ17" s="36"/>
      <c r="AK17" s="35"/>
      <c r="AL17" s="37"/>
      <c r="AM17" s="37"/>
      <c r="AN17" s="37"/>
      <c r="AO17" s="37"/>
      <c r="AP17" s="38"/>
      <c r="AQ17" s="37" t="n">
        <f aca="false">SUMPRODUCT(--WEEKDAY(C$3:AG$3,2)&lt;6,--((C17:AG17="DM"))+(C17:AG17="CS1")+((C17:AG17="CS2"))+(C17:AG17="SB1")+(C17:AG17="AE")+(C17:AG17="EM"))</f>
        <v>7</v>
      </c>
      <c r="AR17" s="38"/>
      <c r="AS17" s="38" t="n">
        <f aca="false">SUMPRODUCT(--WEEKDAY(C$3:AG$3,2)&gt;5,--((C17:AG17="DM"))+(C17:AG17="CS1")+((C17:AG17="CS2"))+(C17:AG17="SB1")+(C17:AG17="AE")+(C17:AG17="EM"))</f>
        <v>0</v>
      </c>
      <c r="AT17" s="38"/>
      <c r="AU17" s="38" t="n">
        <f aca="false">(AQ17-AR17)/2+(AS17-AT17)</f>
        <v>3.5</v>
      </c>
      <c r="AV17" s="38" t="n">
        <f aca="false">AI17+AJ17+AK17+AL17+AN17+AO17</f>
        <v>0</v>
      </c>
      <c r="AW17" s="38" t="n">
        <f aca="false">BG17+BH17+BJ17+BE17+BC17+BA17+BL17</f>
        <v>0</v>
      </c>
      <c r="AX17" s="38" t="e">
        <f aca="false">AU17+$AY$10</f>
        <v>#VALUE!</v>
      </c>
      <c r="AY17" s="37" t="e">
        <f aca="false">(BJ17*('Setting key Duty'!$I$8+'Setting key Duty'!$I$12))+(BH17*'Setting key Duty'!$I$9)+(BC17*('Setting key Duty'!$I$13+'Setting key Duty'!$I$9))+(BA17*('Setting key Duty'!$I$13+'Setting key Duty'!$I$12+'Setting key Duty'!$I$11))+(BE17*('Setting key Duty'!$I$8+'Setting key Duty'!$I$9+'Setting key Duty'!$I$12))</f>
        <v>#VALUE!</v>
      </c>
      <c r="AZ17" s="37" t="n">
        <f aca="false">COUNTIF(D17:AA17,"*BRT*")</f>
        <v>0</v>
      </c>
      <c r="BA17" s="37" t="n">
        <f aca="false">COUNTIF(A17:AI17,"*$BTP*")</f>
        <v>0</v>
      </c>
      <c r="BB17" s="37" t="e">
        <f aca="false">BA17*('Setting key Duty'!$I$13+'Setting key Duty'!$I$12+'Setting key Duty'!$I$11)</f>
        <v>#VALUE!</v>
      </c>
      <c r="BC17" s="37" t="n">
        <f aca="false">COUNTIF(A17:AI17,"*$L*")</f>
        <v>0</v>
      </c>
      <c r="BD17" s="37" t="e">
        <f aca="false">BC17*('Setting key Duty'!$I$13+'Setting key Duty'!$I$9)</f>
        <v>#VALUE!</v>
      </c>
      <c r="BE17" s="37" t="n">
        <f aca="false">COUNTIF(A17:AI17,"*$M*")</f>
        <v>0</v>
      </c>
      <c r="BF17" s="37" t="n">
        <f aca="false">BE17*('Setting key Duty'!$I$8+'Setting key Duty'!$I$9+'Setting key Duty'!$I$12)</f>
        <v>0</v>
      </c>
      <c r="BG17" s="37" t="n">
        <f aca="false">COUNTIF(AI17,"*$N*")</f>
        <v>0</v>
      </c>
      <c r="BH17" s="37" t="n">
        <f aca="false">COUNTIF(AI17,"*$PM*")</f>
        <v>0</v>
      </c>
      <c r="BI17" s="37" t="n">
        <f aca="false">BH17*('Setting key Duty'!$I$9)</f>
        <v>0</v>
      </c>
      <c r="BJ17" s="37" t="n">
        <f aca="false">COUNTIF(A17:AI17,"*$AM*")</f>
        <v>0</v>
      </c>
      <c r="BK17" s="37" t="n">
        <f aca="false">BJ17*('Setting key Duty'!$I$12+'Setting key Duty'!$I$8)</f>
        <v>0</v>
      </c>
      <c r="BL17" s="37" t="n">
        <f aca="false">COUNTIF(D17:AI17,"*$FC*")</f>
        <v>0</v>
      </c>
      <c r="BM17" s="37" t="n">
        <f aca="false">BL17*('Setting key Duty'!$J$11+'Setting key Duty'!$I$8)</f>
        <v>0</v>
      </c>
      <c r="BN17" s="37" t="n">
        <f aca="false">COUNTIF($D17:$AA17,BN$4)</f>
        <v>0</v>
      </c>
      <c r="BO17" s="37" t="n">
        <f aca="false">COUNTIF($D17:$AA17,BO$4)</f>
        <v>0</v>
      </c>
      <c r="BP17" s="37" t="n">
        <f aca="false">COUNTIF($D17:$AA17,BP$4)</f>
        <v>0</v>
      </c>
      <c r="BQ17" s="39"/>
    </row>
    <row r="18" customFormat="false" ht="19.5" hidden="false" customHeight="true" outlineLevel="0" collapsed="false">
      <c r="A18" s="30"/>
      <c r="B18" s="48" t="s">
        <v>121</v>
      </c>
      <c r="C18" s="32" t="s">
        <v>350</v>
      </c>
      <c r="D18" s="32"/>
      <c r="E18" s="32" t="s">
        <v>55</v>
      </c>
      <c r="F18" s="32" t="s">
        <v>55</v>
      </c>
      <c r="H18" s="32" t="s">
        <v>350</v>
      </c>
      <c r="I18" s="32"/>
      <c r="K18" s="42" t="s">
        <v>59</v>
      </c>
      <c r="L18" s="32"/>
      <c r="M18" s="42" t="s">
        <v>59</v>
      </c>
      <c r="N18" s="32"/>
      <c r="P18" s="32"/>
      <c r="Q18" s="32" t="s">
        <v>350</v>
      </c>
      <c r="S18" s="32" t="s">
        <v>56</v>
      </c>
      <c r="T18" s="52"/>
      <c r="U18" s="32" t="s">
        <v>56</v>
      </c>
      <c r="V18" s="32"/>
      <c r="W18" s="32"/>
      <c r="X18" s="32" t="s">
        <v>58</v>
      </c>
      <c r="Z18" s="32"/>
      <c r="AA18" s="32" t="s">
        <v>59</v>
      </c>
      <c r="AB18" s="32"/>
      <c r="AC18" s="32"/>
      <c r="AD18" s="32"/>
      <c r="AG18" s="42" t="s">
        <v>59</v>
      </c>
      <c r="AH18" s="32"/>
      <c r="AI18" s="35"/>
      <c r="AJ18" s="36"/>
      <c r="AK18" s="35"/>
      <c r="AL18" s="37"/>
      <c r="AM18" s="37"/>
      <c r="AN18" s="37"/>
      <c r="AO18" s="37"/>
      <c r="AP18" s="38"/>
      <c r="AQ18" s="37" t="n">
        <f aca="false">SUMPRODUCT(--WEEKDAY(C$3:AG$3,2)&lt;6,--((C18:AG18="DM"))+(C18:AG18="CS1")+((C18:AG18="CS2"))+(C18:AG18="SB1")+(C18:AG18="AE")+(C18:AG18="EM"))</f>
        <v>6</v>
      </c>
      <c r="AR18" s="38"/>
      <c r="AS18" s="38" t="n">
        <f aca="false">SUMPRODUCT(--WEEKDAY(C$3:AG$3,2)&gt;5,--((C18:AG18="DM"))+(C18:AG18="CS1")+((C18:AG18="CS2"))+(C18:AG18="SB1")+(C18:AG18="AE")+(C18:AG18="EM"))</f>
        <v>1</v>
      </c>
      <c r="AT18" s="38"/>
      <c r="AU18" s="38" t="n">
        <f aca="false">(AQ18-AR18)/2+(AS18-AT18)</f>
        <v>4</v>
      </c>
      <c r="AV18" s="38" t="n">
        <f aca="false">AI18+AJ18+AK18+AL18+AN18+AO18</f>
        <v>0</v>
      </c>
      <c r="AW18" s="38" t="n">
        <f aca="false">BG18+BH18+BJ18+BE18+BC18+BA18+BL18</f>
        <v>0</v>
      </c>
      <c r="AX18" s="38" t="e">
        <f aca="false">AU18+$AY$10</f>
        <v>#VALUE!</v>
      </c>
      <c r="AY18" s="37" t="e">
        <f aca="false">(BJ18*('Setting key Duty'!$I$8+'Setting key Duty'!$I$12))+(BH18*'Setting key Duty'!$I$9)+(BC18*('Setting key Duty'!$I$13+'Setting key Duty'!$I$9))+(BA18*('Setting key Duty'!$I$13+'Setting key Duty'!$I$12+'Setting key Duty'!$I$11))+(BE18*('Setting key Duty'!$I$8+'Setting key Duty'!$I$9+'Setting key Duty'!$I$12))</f>
        <v>#VALUE!</v>
      </c>
      <c r="AZ18" s="37" t="n">
        <f aca="false">COUNTIF(D18:Y18,"*BRT*")</f>
        <v>0</v>
      </c>
      <c r="BA18" s="37" t="n">
        <f aca="false">COUNTIF(A18:AI18,"*$BTP*")</f>
        <v>0</v>
      </c>
      <c r="BB18" s="37" t="e">
        <f aca="false">BA18*('Setting key Duty'!$I$13+'Setting key Duty'!$I$12+'Setting key Duty'!$I$11)</f>
        <v>#VALUE!</v>
      </c>
      <c r="BC18" s="37" t="n">
        <f aca="false">COUNTIF(A18:AI18,"*$L*")</f>
        <v>0</v>
      </c>
      <c r="BD18" s="37" t="e">
        <f aca="false">BC18*('Setting key Duty'!$I$13+'Setting key Duty'!$I$9)</f>
        <v>#VALUE!</v>
      </c>
      <c r="BE18" s="37" t="n">
        <f aca="false">COUNTIF(A18:AI18,"*$M*")</f>
        <v>0</v>
      </c>
      <c r="BF18" s="37" t="n">
        <f aca="false">BE18*('Setting key Duty'!$I$8+'Setting key Duty'!$I$9+'Setting key Duty'!$I$12)</f>
        <v>0</v>
      </c>
      <c r="BG18" s="37" t="n">
        <f aca="false">COUNTIF(AI18,"*$N*")</f>
        <v>0</v>
      </c>
      <c r="BH18" s="37" t="n">
        <f aca="false">COUNTIF(AI18,"*$PM*")</f>
        <v>0</v>
      </c>
      <c r="BI18" s="37" t="n">
        <f aca="false">BH18*('Setting key Duty'!$I$9)</f>
        <v>0</v>
      </c>
      <c r="BJ18" s="37" t="n">
        <f aca="false">COUNTIF(A18:AI18,"*$AM*")</f>
        <v>0</v>
      </c>
      <c r="BK18" s="37" t="n">
        <f aca="false">BJ18*('Setting key Duty'!$I$12+'Setting key Duty'!$I$8)</f>
        <v>0</v>
      </c>
      <c r="BL18" s="37" t="n">
        <f aca="false">COUNTIF(D18:AI18,"*$FC*")</f>
        <v>0</v>
      </c>
      <c r="BM18" s="37" t="n">
        <f aca="false">BL18*('Setting key Duty'!$J$11+'Setting key Duty'!$I$8)</f>
        <v>0</v>
      </c>
      <c r="BN18" s="37" t="n">
        <f aca="false">COUNTIF($D18:$Y18,BN$4)</f>
        <v>0</v>
      </c>
      <c r="BO18" s="37" t="n">
        <f aca="false">COUNTIF($D18:$Y18,BO$4)</f>
        <v>2</v>
      </c>
      <c r="BP18" s="37" t="n">
        <f aca="false">COUNTIF($D18:$Y18,BP$4)</f>
        <v>2</v>
      </c>
      <c r="BQ18" s="39"/>
    </row>
    <row r="19" customFormat="false" ht="26.25" hidden="false" customHeight="true" outlineLevel="0" collapsed="false">
      <c r="A19" s="30"/>
      <c r="B19" s="53" t="s">
        <v>300</v>
      </c>
      <c r="C19" s="32" t="s">
        <v>229</v>
      </c>
      <c r="D19" s="32" t="s">
        <v>229</v>
      </c>
      <c r="E19" s="32"/>
      <c r="F19" s="42" t="s">
        <v>56</v>
      </c>
      <c r="G19" s="32"/>
      <c r="H19" s="32"/>
      <c r="I19" s="32"/>
      <c r="J19" s="32" t="s">
        <v>162</v>
      </c>
      <c r="K19" s="32" t="s">
        <v>379</v>
      </c>
      <c r="L19" s="32"/>
      <c r="M19" s="32"/>
      <c r="N19" s="32"/>
      <c r="O19" s="32"/>
      <c r="P19" s="32" t="s">
        <v>380</v>
      </c>
      <c r="Q19" s="32" t="s">
        <v>380</v>
      </c>
      <c r="R19" s="32" t="s">
        <v>380</v>
      </c>
      <c r="S19" s="32" t="s">
        <v>162</v>
      </c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 t="s">
        <v>350</v>
      </c>
      <c r="AF19" s="32"/>
      <c r="AG19" s="32"/>
      <c r="AH19" s="32"/>
      <c r="AI19" s="35"/>
      <c r="AJ19" s="36"/>
      <c r="AK19" s="35"/>
      <c r="AL19" s="37"/>
      <c r="AM19" s="37"/>
      <c r="AN19" s="37"/>
      <c r="AO19" s="37"/>
      <c r="AP19" s="38"/>
      <c r="AQ19" s="37" t="n">
        <f aca="false">SUMPRODUCT(--WEEKDAY(C$3:AG$3,2)&lt;6,--((C19:AG19="DM"))+(C19:AG19="CS1")+((C19:AG19="CS2"))+(C19:AG19="SB1")+(C19:AG19="AE")+(C19:AG19="EM"))</f>
        <v>1</v>
      </c>
      <c r="AR19" s="38"/>
      <c r="AS19" s="38" t="n">
        <f aca="false">SUMPRODUCT(--WEEKDAY(C$3:AG$3,2)&gt;5,--((C19:AG19="DM"))+(C19:AG19="CS1")+((C19:AG19="CS2"))+(C19:AG19="SB1")+(C19:AG19="AE")+(C19:AG19="EM"))</f>
        <v>0</v>
      </c>
      <c r="AT19" s="38"/>
      <c r="AU19" s="38" t="n">
        <f aca="false">(AQ19-AR19)/2+(AS19-AT19)</f>
        <v>0.5</v>
      </c>
      <c r="AV19" s="38" t="n">
        <f aca="false">AI19+AJ19+AK19+AL19+AN19+AO19</f>
        <v>0</v>
      </c>
      <c r="AW19" s="38" t="n">
        <f aca="false">BG19+BH19+BJ19+BE19+BC19+BA19+BL19</f>
        <v>0</v>
      </c>
      <c r="AX19" s="38" t="e">
        <f aca="false">AU19+AY19</f>
        <v>#VALUE!</v>
      </c>
      <c r="AY19" s="37" t="e">
        <f aca="false">(BJ19*('Setting key Duty'!$I$8+'Setting key Duty'!$I$12))+(BH19*'Setting key Duty'!$I$9)+(BC19*('Setting key Duty'!$I$13+'Setting key Duty'!$I$9))+(BA19*('Setting key Duty'!$I$13+'Setting key Duty'!$I$12+'Setting key Duty'!$I$11))+(BE19*('Setting key Duty'!$I$8+'Setting key Duty'!$I$9+'Setting key Duty'!$I$12))</f>
        <v>#VALUE!</v>
      </c>
      <c r="AZ19" s="37" t="n">
        <f aca="false">COUNTIF(E19:AA19,"*BRT*")</f>
        <v>0</v>
      </c>
      <c r="BA19" s="37" t="n">
        <f aca="false">COUNTIF(A19:AI19,"*$BTP*")</f>
        <v>0</v>
      </c>
      <c r="BB19" s="37" t="e">
        <f aca="false">BA19*('Setting key Duty'!$I$13+'Setting key Duty'!$I$12+'Setting key Duty'!$I$11)</f>
        <v>#VALUE!</v>
      </c>
      <c r="BC19" s="37" t="n">
        <f aca="false">COUNTIF(A19:AI19,"*$L*")</f>
        <v>0</v>
      </c>
      <c r="BD19" s="37" t="e">
        <f aca="false">BC19*('Setting key Duty'!$I$13+'Setting key Duty'!$I$9)</f>
        <v>#VALUE!</v>
      </c>
      <c r="BE19" s="37" t="n">
        <f aca="false">COUNTIF(A19:AI19,"*$M*")</f>
        <v>0</v>
      </c>
      <c r="BF19" s="37" t="n">
        <f aca="false">BE19*('Setting key Duty'!$I$8+'Setting key Duty'!$I$9+'Setting key Duty'!$I$12)</f>
        <v>0</v>
      </c>
      <c r="BG19" s="37" t="n">
        <f aca="false">COUNTIF(AG19:AI19,"*$N*")</f>
        <v>0</v>
      </c>
      <c r="BH19" s="37" t="n">
        <f aca="false">COUNTIF(AG19:AI19,"*$PM*")</f>
        <v>0</v>
      </c>
      <c r="BI19" s="37" t="n">
        <f aca="false">BH19*('Setting key Duty'!$I$9)</f>
        <v>0</v>
      </c>
      <c r="BJ19" s="37" t="n">
        <f aca="false">COUNTIF(A19:AI19,"*$AM*")</f>
        <v>0</v>
      </c>
      <c r="BK19" s="37" t="n">
        <f aca="false">BJ19*('Setting key Duty'!$I$12+'Setting key Duty'!$I$8)</f>
        <v>0</v>
      </c>
      <c r="BL19" s="37" t="n">
        <f aca="false">COUNTIF(E19:AI19,"*$FC*")</f>
        <v>0</v>
      </c>
      <c r="BM19" s="37" t="n">
        <f aca="false">BL19*('Setting key Duty'!$J$11+'Setting key Duty'!$I$8)</f>
        <v>0</v>
      </c>
      <c r="BN19" s="37" t="n">
        <f aca="false">COUNTIF($E19:$AA19,BN$4)</f>
        <v>0</v>
      </c>
      <c r="BO19" s="37" t="n">
        <f aca="false">COUNTIF($E19:$AA19,BO$4)</f>
        <v>0</v>
      </c>
      <c r="BP19" s="37" t="n">
        <f aca="false">COUNTIF($E19:$AA19,BP$4)</f>
        <v>0</v>
      </c>
      <c r="BQ19" s="39"/>
    </row>
    <row r="20" customFormat="false" ht="19.5" hidden="false" customHeight="true" outlineLevel="0" collapsed="false">
      <c r="A20" s="30"/>
      <c r="B20" s="106" t="s">
        <v>382</v>
      </c>
      <c r="C20" s="32" t="s">
        <v>56</v>
      </c>
      <c r="D20" s="32"/>
      <c r="E20" s="32" t="s">
        <v>57</v>
      </c>
      <c r="G20" s="42"/>
      <c r="H20" s="32" t="s">
        <v>350</v>
      </c>
      <c r="I20" s="42"/>
      <c r="J20" s="32" t="s">
        <v>162</v>
      </c>
      <c r="K20" s="32" t="s">
        <v>379</v>
      </c>
      <c r="L20" s="32"/>
      <c r="M20" s="32" t="s">
        <v>69</v>
      </c>
      <c r="N20" s="32"/>
      <c r="O20" s="32"/>
      <c r="P20" s="32" t="s">
        <v>380</v>
      </c>
      <c r="Q20" s="32" t="s">
        <v>380</v>
      </c>
      <c r="R20" s="32" t="s">
        <v>380</v>
      </c>
      <c r="S20" s="32" t="s">
        <v>162</v>
      </c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 t="s">
        <v>58</v>
      </c>
      <c r="AG20" s="32"/>
      <c r="AH20" s="32"/>
      <c r="AI20" s="35"/>
      <c r="AJ20" s="36"/>
      <c r="AK20" s="35"/>
      <c r="AL20" s="37"/>
      <c r="AM20" s="37"/>
      <c r="AN20" s="37"/>
      <c r="AO20" s="37"/>
      <c r="AP20" s="38"/>
      <c r="AQ20" s="37" t="n">
        <f aca="false">SUMPRODUCT(--WEEKDAY(C$3:AG$3,2)&lt;6,--((C20:AG20="DM"))+(C20:AG20="CS1")+((C20:AG20="CS2"))+(C20:AG20="SB1")+(C20:AG20="AE")+(C20:AG20="EM"))</f>
        <v>3</v>
      </c>
      <c r="AR20" s="38"/>
      <c r="AS20" s="38" t="n">
        <f aca="false">SUMPRODUCT(--WEEKDAY(C$3:AG$3,2)&gt;5,--((C20:AG20="DM"))+(C20:AG20="CS1")+((C20:AG20="CS2"))+(C20:AG20="SB1")+(C20:AG20="AE")+(C20:AG20="EM"))</f>
        <v>0</v>
      </c>
      <c r="AT20" s="38"/>
      <c r="AU20" s="38" t="n">
        <f aca="false">(AQ20-AR20)/2+(AS20-AT20)</f>
        <v>1.5</v>
      </c>
      <c r="AV20" s="38" t="n">
        <f aca="false">AI20+AJ20+AK20+AL20+AN20+AO20</f>
        <v>0</v>
      </c>
      <c r="AW20" s="38" t="n">
        <f aca="false">BG20+BH20+BJ20+BE20+BC20+BA20+BL20</f>
        <v>0</v>
      </c>
      <c r="AX20" s="38" t="e">
        <f aca="false">AU20+AY20</f>
        <v>#VALUE!</v>
      </c>
      <c r="AY20" s="37" t="e">
        <f aca="false">(BJ20*('Setting key Duty'!$I$8+'Setting key Duty'!$I$12))+(BH20*'Setting key Duty'!$I$9)+(BC20*('Setting key Duty'!$I$13+'Setting key Duty'!$I$9))+(BA20*('Setting key Duty'!$I$13+'Setting key Duty'!$I$12+'Setting key Duty'!$I$11))+(BE20*('Setting key Duty'!$I$8+'Setting key Duty'!$I$9+'Setting key Duty'!$I$12))</f>
        <v>#VALUE!</v>
      </c>
      <c r="AZ20" s="37" t="n">
        <f aca="false">COUNTIF(D20:AC20,"*BRT*")</f>
        <v>0</v>
      </c>
      <c r="BA20" s="37" t="n">
        <f aca="false">COUNTIF(A20:AI20,"*$BTP*")</f>
        <v>0</v>
      </c>
      <c r="BB20" s="37" t="e">
        <f aca="false">BA20*('Setting key Duty'!$I$13+'Setting key Duty'!$I$12+'Setting key Duty'!$I$11)</f>
        <v>#VALUE!</v>
      </c>
      <c r="BC20" s="37" t="n">
        <f aca="false">COUNTIF(A20:AI20,"*$L*")</f>
        <v>0</v>
      </c>
      <c r="BD20" s="37" t="e">
        <f aca="false">BC20*('Setting key Duty'!$I$13+'Setting key Duty'!$I$9)</f>
        <v>#VALUE!</v>
      </c>
      <c r="BE20" s="37" t="n">
        <f aca="false">COUNTIF(A20:AI20,"*$M*")</f>
        <v>0</v>
      </c>
      <c r="BF20" s="37" t="n">
        <f aca="false">BE20*('Setting key Duty'!$I$8+'Setting key Duty'!$I$9+'Setting key Duty'!$I$12)</f>
        <v>0</v>
      </c>
      <c r="BG20" s="37" t="n">
        <f aca="false">COUNTIF(AF20:AI20,"*$N*")</f>
        <v>0</v>
      </c>
      <c r="BH20" s="37" t="n">
        <f aca="false">COUNTIF(AF20:AI20,"*$PM*")</f>
        <v>0</v>
      </c>
      <c r="BI20" s="37" t="n">
        <f aca="false">BH20*('Setting key Duty'!$I$9)</f>
        <v>0</v>
      </c>
      <c r="BJ20" s="37" t="n">
        <f aca="false">COUNTIF(A20:AI20,"*$AM*")</f>
        <v>0</v>
      </c>
      <c r="BK20" s="37" t="n">
        <f aca="false">BJ20*('Setting key Duty'!$I$12+'Setting key Duty'!$I$8)</f>
        <v>0</v>
      </c>
      <c r="BL20" s="37" t="n">
        <f aca="false">COUNTIF(D20:AI20,"*$FC*")</f>
        <v>0</v>
      </c>
      <c r="BM20" s="37" t="n">
        <f aca="false">BL20*('Setting key Duty'!$J$11+'Setting key Duty'!$I$8)</f>
        <v>0</v>
      </c>
      <c r="BN20" s="37" t="n">
        <f aca="false">COUNTIF($D20:$AE20,BN$4)</f>
        <v>0</v>
      </c>
      <c r="BO20" s="37" t="n">
        <f aca="false">COUNTIF($D20:$AE20,BO$4)</f>
        <v>1</v>
      </c>
      <c r="BP20" s="37" t="n">
        <f aca="false">COUNTIF($D20:$AE20,BP$4)</f>
        <v>0</v>
      </c>
      <c r="BQ20" s="39"/>
    </row>
    <row r="21" customFormat="false" ht="30.75" hidden="false" customHeight="true" outlineLevel="0" collapsed="false">
      <c r="A21" s="30"/>
      <c r="B21" s="104" t="s">
        <v>302</v>
      </c>
      <c r="C21" s="32"/>
      <c r="D21" s="32" t="s">
        <v>350</v>
      </c>
      <c r="E21" s="32" t="s">
        <v>383</v>
      </c>
      <c r="F21" s="32" t="s">
        <v>376</v>
      </c>
      <c r="G21" s="32" t="s">
        <v>376</v>
      </c>
      <c r="H21" s="32" t="s">
        <v>376</v>
      </c>
      <c r="I21" s="32" t="s">
        <v>376</v>
      </c>
      <c r="J21" s="32" t="s">
        <v>376</v>
      </c>
      <c r="K21" s="32" t="s">
        <v>376</v>
      </c>
      <c r="L21" s="32" t="s">
        <v>376</v>
      </c>
      <c r="M21" s="32" t="s">
        <v>376</v>
      </c>
      <c r="N21" s="32" t="s">
        <v>59</v>
      </c>
      <c r="O21" s="32" t="s">
        <v>376</v>
      </c>
      <c r="P21" s="32" t="s">
        <v>376</v>
      </c>
      <c r="Q21" s="32" t="s">
        <v>376</v>
      </c>
      <c r="R21" s="32" t="s">
        <v>376</v>
      </c>
      <c r="S21" s="32" t="s">
        <v>376</v>
      </c>
      <c r="T21" s="32"/>
      <c r="U21" s="42" t="s">
        <v>59</v>
      </c>
      <c r="V21" s="32"/>
      <c r="W21" s="32"/>
      <c r="X21" s="32"/>
      <c r="Y21" s="32" t="s">
        <v>384</v>
      </c>
      <c r="Z21" s="56"/>
      <c r="AA21" s="32" t="s">
        <v>58</v>
      </c>
      <c r="AC21" s="32"/>
      <c r="AD21" s="32"/>
      <c r="AE21" s="32" t="s">
        <v>385</v>
      </c>
      <c r="AF21" s="32"/>
      <c r="AG21" s="32" t="s">
        <v>350</v>
      </c>
      <c r="AH21" s="33"/>
      <c r="AI21" s="35"/>
      <c r="AJ21" s="36"/>
      <c r="AK21" s="35"/>
      <c r="AL21" s="37"/>
      <c r="AM21" s="37"/>
      <c r="AN21" s="37"/>
      <c r="AO21" s="37"/>
      <c r="AP21" s="38"/>
      <c r="AQ21" s="37" t="n">
        <f aca="false">SUMPRODUCT(--WEEKDAY(C$3:AG$3,2)&lt;6,--((C21:AG21="DM"))+(C21:AG21="CS1")+((C21:AG21="CS2"))+(C21:AG21="SB1")+(C21:AG21="AE")+(C21:AG21="EM"))</f>
        <v>1</v>
      </c>
      <c r="AR21" s="38"/>
      <c r="AS21" s="38" t="n">
        <f aca="false">SUMPRODUCT(--WEEKDAY(C$3:AG$3,2)&gt;5,--((C21:AG21="DM"))+(C21:AG21="CS1")+((C21:AG21="CS2"))+(C21:AG21="SB1")+(C21:AG21="AE")+(C21:AG21="EM"))</f>
        <v>2</v>
      </c>
      <c r="AT21" s="38"/>
      <c r="AU21" s="38" t="n">
        <f aca="false">(AQ21-AR21)/2+(AS21-AT21)</f>
        <v>2.5</v>
      </c>
      <c r="AV21" s="38" t="n">
        <f aca="false">AI21+AJ21+AK21+AL21+AN21+AO21</f>
        <v>0</v>
      </c>
      <c r="AW21" s="38" t="n">
        <f aca="false">BG21+BH21+BJ21+BE21+BC21+BA21+BL21</f>
        <v>3</v>
      </c>
      <c r="AX21" s="38" t="e">
        <f aca="false">AU21+$AY$10</f>
        <v>#VALUE!</v>
      </c>
      <c r="AY21" s="37" t="e">
        <f aca="false">(BJ21*('Setting key Duty'!$I$8+'Setting key Duty'!$I$12))+(BH21*'Setting key Duty'!$I$9)+(BC21*('Setting key Duty'!$I$13+'Setting key Duty'!$I$9))+(BA21*('Setting key Duty'!$I$13+'Setting key Duty'!$I$12+'Setting key Duty'!$I$11))+(BE21*('Setting key Duty'!$I$8+'Setting key Duty'!$I$9+'Setting key Duty'!$I$12))</f>
        <v>#VALUE!</v>
      </c>
      <c r="AZ21" s="37" t="n">
        <f aca="false">COUNTIF(D21:AA21,"*BRT*")</f>
        <v>0</v>
      </c>
      <c r="BA21" s="37" t="n">
        <f aca="false">COUNTIF(A21:AI21,"*$BTP*")</f>
        <v>0</v>
      </c>
      <c r="BB21" s="37" t="e">
        <f aca="false">BA21*('Setting key Duty'!$I$13+'Setting key Duty'!$I$12+'Setting key Duty'!$I$11)</f>
        <v>#VALUE!</v>
      </c>
      <c r="BC21" s="37" t="n">
        <f aca="false">COUNTIF(A21:AI21,"*$L*")</f>
        <v>0</v>
      </c>
      <c r="BD21" s="37" t="e">
        <f aca="false">BC21*('Setting key Duty'!$I$13+'Setting key Duty'!$I$9)</f>
        <v>#VALUE!</v>
      </c>
      <c r="BE21" s="37" t="n">
        <f aca="false">COUNTIF(A21:AI21,"*$M*")</f>
        <v>1</v>
      </c>
      <c r="BF21" s="37" t="n">
        <f aca="false">BE21*('Setting key Duty'!$I$8+'Setting key Duty'!$I$9+'Setting key Duty'!$I$12)</f>
        <v>0.5625</v>
      </c>
      <c r="BG21" s="37" t="n">
        <f aca="false">COUNTIF(AI21,"*$N*")</f>
        <v>0</v>
      </c>
      <c r="BH21" s="37" t="n">
        <f aca="false">COUNTIF(AI21,"*$PM*")</f>
        <v>0</v>
      </c>
      <c r="BI21" s="37" t="n">
        <f aca="false">BH21*('Setting key Duty'!$I$9)</f>
        <v>0</v>
      </c>
      <c r="BJ21" s="37" t="n">
        <f aca="false">COUNTIF(A21:AI21,"*$AM*")</f>
        <v>2</v>
      </c>
      <c r="BK21" s="37" t="n">
        <f aca="false">BJ21*('Setting key Duty'!$I$12+'Setting key Duty'!$I$8)</f>
        <v>0.875</v>
      </c>
      <c r="BL21" s="37" t="n">
        <f aca="false">COUNTIF(D21:AI21,"*$FC*")</f>
        <v>0</v>
      </c>
      <c r="BM21" s="37" t="n">
        <f aca="false">BL21*('Setting key Duty'!$J$11+'Setting key Duty'!$I$8)</f>
        <v>0</v>
      </c>
      <c r="BN21" s="37" t="n">
        <f aca="false">COUNTIF($D21:$AA21,BN$4)</f>
        <v>0</v>
      </c>
      <c r="BO21" s="37" t="n">
        <f aca="false">COUNTIF($D21:$AA21,BO$4)</f>
        <v>1</v>
      </c>
      <c r="BP21" s="37" t="n">
        <f aca="false">COUNTIF($D21:$AA21,BP$4)</f>
        <v>0</v>
      </c>
      <c r="BQ21" s="39"/>
    </row>
    <row r="22" customFormat="false" ht="27.75" hidden="false" customHeight="true" outlineLevel="0" collapsed="false">
      <c r="A22" s="30"/>
      <c r="B22" s="104" t="s">
        <v>306</v>
      </c>
      <c r="C22" s="32"/>
      <c r="D22" s="32" t="s">
        <v>386</v>
      </c>
      <c r="E22" s="32"/>
      <c r="F22" s="32" t="s">
        <v>350</v>
      </c>
      <c r="G22" s="117"/>
      <c r="H22" s="117" t="s">
        <v>59</v>
      </c>
      <c r="I22" s="42"/>
      <c r="J22" s="32" t="s">
        <v>350</v>
      </c>
      <c r="M22" s="33"/>
      <c r="N22" s="32" t="s">
        <v>350</v>
      </c>
      <c r="P22" s="32" t="s">
        <v>350</v>
      </c>
      <c r="R22" s="32" t="s">
        <v>59</v>
      </c>
      <c r="T22" s="52"/>
      <c r="X22" s="32"/>
      <c r="Y22" s="32" t="s">
        <v>61</v>
      </c>
      <c r="Z22" s="32" t="s">
        <v>387</v>
      </c>
      <c r="AA22" s="32" t="s">
        <v>56</v>
      </c>
      <c r="AC22" s="42"/>
      <c r="AD22" s="32" t="s">
        <v>350</v>
      </c>
      <c r="AF22" s="32" t="s">
        <v>59</v>
      </c>
      <c r="AH22" s="32" t="s">
        <v>56</v>
      </c>
      <c r="AI22" s="35"/>
      <c r="AJ22" s="36"/>
      <c r="AK22" s="35"/>
      <c r="AL22" s="37"/>
      <c r="AM22" s="37"/>
      <c r="AN22" s="37"/>
      <c r="AO22" s="37"/>
      <c r="AP22" s="38"/>
      <c r="AQ22" s="37" t="n">
        <f aca="false">SUMPRODUCT(--WEEKDAY(C$3:AG$3,2)&lt;6,--((C22:AG22="DM"))+(C22:AG22="CS1")+((C22:AG22="CS2"))+(C22:AG22="SB1")+(C22:AG22="AE")+(C22:AG22="EM"))</f>
        <v>3</v>
      </c>
      <c r="AR22" s="38"/>
      <c r="AS22" s="38" t="n">
        <f aca="false">SUMPRODUCT(--WEEKDAY(C$3:AG$3,2)&gt;5,--((C22:AG22="DM"))+(C22:AG22="CS1")+((C22:AG22="CS2"))+(C22:AG22="SB1")+(C22:AG22="AE")+(C22:AG22="EM"))</f>
        <v>1</v>
      </c>
      <c r="AT22" s="38"/>
      <c r="AU22" s="38" t="n">
        <f aca="false">(AQ22-AR22)/2+(AS22-AT22)</f>
        <v>2.5</v>
      </c>
      <c r="AV22" s="38" t="n">
        <f aca="false">AI22+AJ22+AK22+AL22+AN22+AO22</f>
        <v>0</v>
      </c>
      <c r="AW22" s="38" t="n">
        <f aca="false">BG22+BH22+BJ22+BE22+BC22+BA22+BL22</f>
        <v>2</v>
      </c>
      <c r="AX22" s="38" t="e">
        <f aca="false">AU22+$AY$10</f>
        <v>#VALUE!</v>
      </c>
      <c r="AY22" s="37" t="e">
        <f aca="false">(BJ22*('Setting key Duty'!$I$8+'Setting key Duty'!$I$12))+(BH22*'Setting key Duty'!$I$9)+(BC22*('Setting key Duty'!$I$13+'Setting key Duty'!$I$9))+(BA22*('Setting key Duty'!$I$13+'Setting key Duty'!$I$12+'Setting key Duty'!$I$11))+(BE22*('Setting key Duty'!$I$8+'Setting key Duty'!$I$9+'Setting key Duty'!$I$12))</f>
        <v>#VALUE!</v>
      </c>
      <c r="AZ22" s="37" t="n">
        <f aca="false">COUNTIF(C22:AA22,"*BRT*")</f>
        <v>0</v>
      </c>
      <c r="BA22" s="37" t="n">
        <f aca="false">COUNTIF(A22:AI22,"*$BTP*")</f>
        <v>0</v>
      </c>
      <c r="BB22" s="37" t="e">
        <f aca="false">BA22*('Setting key Duty'!$I$13+'Setting key Duty'!$I$12+'Setting key Duty'!$I$11)</f>
        <v>#VALUE!</v>
      </c>
      <c r="BC22" s="37" t="n">
        <f aca="false">COUNTIF(A22:AI22,"*$L*")</f>
        <v>0</v>
      </c>
      <c r="BD22" s="37" t="e">
        <f aca="false">BC22*('Setting key Duty'!$I$13+'Setting key Duty'!$I$9)</f>
        <v>#VALUE!</v>
      </c>
      <c r="BE22" s="37" t="n">
        <f aca="false">COUNTIF(A22:AI22,"*$M*")</f>
        <v>0</v>
      </c>
      <c r="BF22" s="37" t="n">
        <f aca="false">BE22*('Setting key Duty'!$I$8+'Setting key Duty'!$I$9+'Setting key Duty'!$I$12)</f>
        <v>0</v>
      </c>
      <c r="BG22" s="37" t="n">
        <f aca="false">COUNTIF(AI22,"*$N*")</f>
        <v>0</v>
      </c>
      <c r="BH22" s="37" t="n">
        <f aca="false">COUNTIF(AI22,"*$PM*")</f>
        <v>0</v>
      </c>
      <c r="BI22" s="37" t="n">
        <f aca="false">BH22*('Setting key Duty'!$I$9)</f>
        <v>0</v>
      </c>
      <c r="BJ22" s="37" t="n">
        <f aca="false">COUNTIF(A22:AI22,"*$AM*")</f>
        <v>2</v>
      </c>
      <c r="BK22" s="37" t="n">
        <f aca="false">BJ22*('Setting key Duty'!$I$12+'Setting key Duty'!$I$8)</f>
        <v>0.875</v>
      </c>
      <c r="BL22" s="37" t="n">
        <f aca="false">COUNTIF(C22:AI22,"*$FC*")</f>
        <v>0</v>
      </c>
      <c r="BM22" s="37" t="n">
        <f aca="false">BL22*('Setting key Duty'!$J$11+'Setting key Duty'!$I$8)</f>
        <v>0</v>
      </c>
      <c r="BN22" s="37" t="n">
        <f aca="false">COUNTIF($C22:$AA22,BN$4)</f>
        <v>0</v>
      </c>
      <c r="BO22" s="37" t="n">
        <f aca="false">COUNTIF($C22:$AA22,BO$4)</f>
        <v>4</v>
      </c>
      <c r="BP22" s="37" t="n">
        <f aca="false">COUNTIF($C22:$AA22,BP$4)</f>
        <v>0</v>
      </c>
      <c r="BQ22" s="39"/>
    </row>
    <row r="23" customFormat="false" ht="19.5" hidden="false" customHeight="true" outlineLevel="0" collapsed="false">
      <c r="A23" s="30"/>
      <c r="B23" s="40" t="s">
        <v>355</v>
      </c>
      <c r="C23" s="32"/>
      <c r="D23" s="32" t="s">
        <v>57</v>
      </c>
      <c r="E23" s="34"/>
      <c r="F23" s="32" t="s">
        <v>59</v>
      </c>
      <c r="G23" s="32"/>
      <c r="H23" s="32"/>
      <c r="I23" s="33"/>
      <c r="J23" s="32" t="s">
        <v>59</v>
      </c>
      <c r="K23" s="32"/>
      <c r="L23" s="32" t="s">
        <v>350</v>
      </c>
      <c r="M23" s="33"/>
      <c r="N23" s="32" t="s">
        <v>56</v>
      </c>
      <c r="O23" s="32"/>
      <c r="P23" s="32" t="s">
        <v>56</v>
      </c>
      <c r="Q23" s="32"/>
      <c r="R23" s="42"/>
      <c r="S23" s="32"/>
      <c r="T23" s="32"/>
      <c r="U23" s="32"/>
      <c r="V23" s="32"/>
      <c r="W23" s="32" t="s">
        <v>350</v>
      </c>
      <c r="X23" s="32"/>
      <c r="Y23" s="32" t="s">
        <v>59</v>
      </c>
      <c r="Z23" s="32"/>
      <c r="AA23" s="46" t="s">
        <v>55</v>
      </c>
      <c r="AB23" s="42"/>
      <c r="AC23" s="32" t="s">
        <v>350</v>
      </c>
      <c r="AE23" s="32" t="s">
        <v>57</v>
      </c>
      <c r="AF23" s="32"/>
      <c r="AG23" s="32"/>
      <c r="AH23" s="32"/>
      <c r="AI23" s="35"/>
      <c r="AJ23" s="36"/>
      <c r="AK23" s="35"/>
      <c r="AL23" s="37"/>
      <c r="AM23" s="37"/>
      <c r="AN23" s="37"/>
      <c r="AO23" s="37"/>
      <c r="AP23" s="38"/>
      <c r="AQ23" s="37" t="n">
        <f aca="false">SUMPRODUCT(--WEEKDAY(C$3:AG$3,2)&lt;6,--((C23:AG23="DM"))+(C23:AG23="CS1")+((C23:AG23="CS2"))+(C23:AG23="SB1")+(C23:AG23="AE")+(C23:AG23="EM"))</f>
        <v>6</v>
      </c>
      <c r="AR23" s="38"/>
      <c r="AS23" s="38" t="n">
        <f aca="false">SUMPRODUCT(--WEEKDAY(C$3:AG$3,2)&gt;5,--((C23:AG23="DM"))+(C23:AG23="CS1")+((C23:AG23="CS2"))+(C23:AG23="SB1")+(C23:AG23="AE")+(C23:AG23="EM"))</f>
        <v>1</v>
      </c>
      <c r="AT23" s="38"/>
      <c r="AU23" s="38" t="n">
        <f aca="false">(AQ23-AR23)/2+(AS23-AT23)</f>
        <v>4</v>
      </c>
      <c r="AV23" s="38" t="n">
        <f aca="false">AI23+AJ23+AK23+AL23+AN23+AO23</f>
        <v>0</v>
      </c>
      <c r="AW23" s="38" t="n">
        <f aca="false">BG23+BH23+BJ23+BE23+BC23+BA23+BL23</f>
        <v>0</v>
      </c>
      <c r="AX23" s="38" t="e">
        <f aca="false">AU23+AY23</f>
        <v>#VALUE!</v>
      </c>
      <c r="AY23" s="37" t="e">
        <f aca="false">(BJ23*('Setting key Duty'!$I$8+'Setting key Duty'!$I$12))+(BH23*'Setting key Duty'!$I$9)+(BC23*('Setting key Duty'!$I$13+'Setting key Duty'!$I$9))+(BA23*('Setting key Duty'!$I$13+'Setting key Duty'!$I$12+'Setting key Duty'!$I$11))+(BE23*('Setting key Duty'!$I$8+'Setting key Duty'!$I$9+'Setting key Duty'!$I$12))</f>
        <v>#VALUE!</v>
      </c>
      <c r="AZ23" s="37" t="n">
        <f aca="false">COUNTIF(D23:AB23,"*BRT*")</f>
        <v>0</v>
      </c>
      <c r="BA23" s="37" t="n">
        <f aca="false">COUNTIF(A23:AI23,"*$BTP*")</f>
        <v>0</v>
      </c>
      <c r="BB23" s="37" t="e">
        <f aca="false">BA23*('Setting key Duty'!$I$13+'Setting key Duty'!$I$12+'Setting key Duty'!$I$11)</f>
        <v>#VALUE!</v>
      </c>
      <c r="BC23" s="37" t="n">
        <f aca="false">COUNTIF(A23:AI23,"*$L*")</f>
        <v>0</v>
      </c>
      <c r="BD23" s="37" t="e">
        <f aca="false">BC23*('Setting key Duty'!$I$13+'Setting key Duty'!$I$9)</f>
        <v>#VALUE!</v>
      </c>
      <c r="BE23" s="37" t="n">
        <f aca="false">COUNTIF(A23:AI23,"*$M*")</f>
        <v>0</v>
      </c>
      <c r="BF23" s="37" t="n">
        <f aca="false">BE23*('Setting key Duty'!$I$8+'Setting key Duty'!$I$9+'Setting key Duty'!$I$12)</f>
        <v>0</v>
      </c>
      <c r="BG23" s="37" t="n">
        <f aca="false">COUNTIF(AF23:AI23,"*$N*")</f>
        <v>0</v>
      </c>
      <c r="BH23" s="37" t="n">
        <f aca="false">COUNTIF(AF23:AI23,"*$PM*")</f>
        <v>0</v>
      </c>
      <c r="BI23" s="37" t="n">
        <f aca="false">BH23*('Setting key Duty'!$I$9)</f>
        <v>0</v>
      </c>
      <c r="BJ23" s="37" t="n">
        <f aca="false">COUNTIF(A23:AI23,"*$AM*")</f>
        <v>0</v>
      </c>
      <c r="BK23" s="37" t="n">
        <f aca="false">BJ23*('Setting key Duty'!$I$12+'Setting key Duty'!$I$8)</f>
        <v>0</v>
      </c>
      <c r="BL23" s="37" t="n">
        <f aca="false">COUNTIF(D23:AI23,"*$FC*")</f>
        <v>0</v>
      </c>
      <c r="BM23" s="37" t="n">
        <f aca="false">BL23*('Setting key Duty'!$J$11+'Setting key Duty'!$I$8)</f>
        <v>0</v>
      </c>
      <c r="BN23" s="37" t="n">
        <f aca="false">COUNTIF($D23:$AE23,BN$4)</f>
        <v>0</v>
      </c>
      <c r="BO23" s="37" t="n">
        <f aca="false">COUNTIF($D23:$AE23,BO$4)</f>
        <v>3</v>
      </c>
      <c r="BP23" s="37" t="n">
        <f aca="false">COUNTIF($D23:$AE23,BP$4)</f>
        <v>1</v>
      </c>
      <c r="BQ23" s="39"/>
    </row>
    <row r="24" customFormat="false" ht="19.5" hidden="false" customHeight="true" outlineLevel="0" collapsed="false">
      <c r="A24" s="30"/>
      <c r="B24" s="103" t="s">
        <v>388</v>
      </c>
      <c r="C24" s="32"/>
      <c r="D24" s="32"/>
      <c r="E24" s="32"/>
      <c r="F24" s="32"/>
      <c r="G24" s="32" t="s">
        <v>59</v>
      </c>
      <c r="H24" s="117"/>
      <c r="I24" s="33"/>
      <c r="J24" s="32"/>
      <c r="K24" s="32"/>
      <c r="L24" s="32"/>
      <c r="M24" s="65" t="s">
        <v>56</v>
      </c>
      <c r="N24" s="32"/>
      <c r="O24" s="32" t="s">
        <v>59</v>
      </c>
      <c r="Q24" s="32" t="s">
        <v>56</v>
      </c>
      <c r="S24" s="32" t="s">
        <v>349</v>
      </c>
      <c r="U24" s="32"/>
      <c r="V24" s="32"/>
      <c r="W24" s="32"/>
      <c r="Z24" s="32"/>
      <c r="AA24" s="32"/>
      <c r="AB24" s="32"/>
      <c r="AC24" s="32"/>
      <c r="AD24" s="32" t="s">
        <v>56</v>
      </c>
      <c r="AE24" s="32"/>
      <c r="AF24" s="32"/>
      <c r="AG24" s="32"/>
      <c r="AH24" s="32"/>
      <c r="AI24" s="35"/>
      <c r="AJ24" s="36"/>
      <c r="AK24" s="35"/>
      <c r="AL24" s="37"/>
      <c r="AM24" s="37"/>
      <c r="AN24" s="37"/>
      <c r="AO24" s="37"/>
      <c r="AP24" s="38"/>
      <c r="AQ24" s="37" t="n">
        <f aca="false">SUMPRODUCT(--WEEKDAY(C$3:AG$3,2)&lt;6,--((C24:AG24="DM"))+(C24:AG24="CS1")+((C24:AG24="CS2"))+(C24:AG24="SB1")+(C24:AG24="AE")+(C24:AG24="EM"))</f>
        <v>3</v>
      </c>
      <c r="AR24" s="38"/>
      <c r="AS24" s="38" t="n">
        <f aca="false">SUMPRODUCT(--WEEKDAY(C$3:AG$3,2)&gt;5,--((C24:AG24="DM"))+(C24:AG24="CS1")+((C24:AG24="CS2"))+(C24:AG24="SB1")+(C24:AG24="AE")+(C24:AG24="EM"))</f>
        <v>2</v>
      </c>
      <c r="AT24" s="38"/>
      <c r="AU24" s="38" t="n">
        <f aca="false">(AQ24-AR24)/2+(AS24-AT24)</f>
        <v>3.5</v>
      </c>
      <c r="AV24" s="38" t="n">
        <f aca="false">AI24+AJ24+AK24+AL24+AN24+AO24</f>
        <v>0</v>
      </c>
      <c r="AW24" s="38" t="n">
        <f aca="false">BG24+BH24+BJ24+BE24+BC24+BA24+BL24</f>
        <v>0</v>
      </c>
      <c r="AX24" s="38" t="e">
        <f aca="false">AU24+$AY$10</f>
        <v>#VALUE!</v>
      </c>
      <c r="AY24" s="37" t="e">
        <f aca="false">(BJ24*('Setting key Duty'!$I$8+'Setting key Duty'!$I$12))+(BH24*'Setting key Duty'!$I$9)+(BC24*('Setting key Duty'!$I$13+'Setting key Duty'!$I$9))+(BA24*('Setting key Duty'!$I$13+'Setting key Duty'!$I$12+'Setting key Duty'!$I$11))+(BE24*('Setting key Duty'!$I$8+'Setting key Duty'!$I$9+'Setting key Duty'!$I$12))</f>
        <v>#VALUE!</v>
      </c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9"/>
    </row>
    <row r="25" customFormat="false" ht="19.5" hidden="false" customHeight="true" outlineLevel="0" collapsed="false">
      <c r="A25" s="30"/>
      <c r="B25" s="103" t="s">
        <v>233</v>
      </c>
      <c r="C25" s="32"/>
      <c r="E25" s="32"/>
      <c r="F25" s="32" t="s">
        <v>58</v>
      </c>
      <c r="G25" s="32"/>
      <c r="H25" s="32"/>
      <c r="I25" s="32"/>
      <c r="J25" s="32"/>
      <c r="L25" s="42" t="s">
        <v>59</v>
      </c>
      <c r="M25" s="42" t="s">
        <v>349</v>
      </c>
      <c r="N25" s="102"/>
      <c r="P25" s="32"/>
      <c r="Q25" s="32"/>
      <c r="R25" s="32"/>
      <c r="S25" s="32" t="s">
        <v>57</v>
      </c>
      <c r="T25" s="52"/>
      <c r="U25" s="42"/>
      <c r="V25" s="32" t="s">
        <v>59</v>
      </c>
      <c r="W25" s="32"/>
      <c r="X25" s="32"/>
      <c r="Z25" s="32" t="s">
        <v>56</v>
      </c>
      <c r="AB25" s="32" t="s">
        <v>57</v>
      </c>
      <c r="AD25" s="42"/>
      <c r="AE25" s="32" t="s">
        <v>350</v>
      </c>
      <c r="AF25" s="32"/>
      <c r="AG25" s="32"/>
      <c r="AH25" s="32"/>
      <c r="AI25" s="35"/>
      <c r="AJ25" s="36"/>
      <c r="AK25" s="35"/>
      <c r="AL25" s="37"/>
      <c r="AM25" s="37"/>
      <c r="AN25" s="37"/>
      <c r="AO25" s="37"/>
      <c r="AP25" s="38"/>
      <c r="AQ25" s="37" t="n">
        <f aca="false">SUMPRODUCT(--WEEKDAY(C$3:AG$3,2)&lt;6,--((C25:AG25="DM"))+(C25:AG25="CS1")+((C25:AG25="CS2"))+(C25:AG25="SB1")+(C25:AG25="AE")+(C25:AG25="EM"))</f>
        <v>4</v>
      </c>
      <c r="AR25" s="38"/>
      <c r="AS25" s="38" t="n">
        <f aca="false">SUMPRODUCT(--WEEKDAY(C$3:AG$3,2)&gt;5,--((C25:AG25="DM"))+(C25:AG25="CS1")+((C25:AG25="CS2"))+(C25:AG25="SB1")+(C25:AG25="AE")+(C25:AG25="EM"))</f>
        <v>2</v>
      </c>
      <c r="AT25" s="38"/>
      <c r="AU25" s="38" t="n">
        <f aca="false">(AQ25-AR25)/2+(AS25-AT25)</f>
        <v>4</v>
      </c>
      <c r="AV25" s="38" t="n">
        <f aca="false">AI25+AJ25+AK25+AL25+AN25+AO25</f>
        <v>0</v>
      </c>
      <c r="AW25" s="38" t="n">
        <f aca="false">BG25+BH25+BJ25+BE25+BC25+BA25+BL25</f>
        <v>0</v>
      </c>
      <c r="AX25" s="38" t="e">
        <f aca="false">AU25+AY25</f>
        <v>#VALUE!</v>
      </c>
      <c r="AY25" s="37" t="e">
        <f aca="false">(BJ25*('Setting key Duty'!$I$8+'Setting key Duty'!$I$12))+(BH25*'Setting key Duty'!$I$9)+(BC25*('Setting key Duty'!$I$13+'Setting key Duty'!$I$9))+(BA25*('Setting key Duty'!$I$13+'Setting key Duty'!$I$12+'Setting key Duty'!$I$11))+(BE25*('Setting key Duty'!$I$8+'Setting key Duty'!$I$9+'Setting key Duty'!$I$12))</f>
        <v>#VALUE!</v>
      </c>
      <c r="AZ25" s="37" t="n">
        <f aca="false">COUNTIF(D25:AA25,"*BRT*")</f>
        <v>0</v>
      </c>
      <c r="BA25" s="37" t="n">
        <f aca="false">COUNTIF(A25:AI25,"*$BTP*")</f>
        <v>0</v>
      </c>
      <c r="BB25" s="37" t="e">
        <f aca="false">BA25*('Setting key Duty'!$I$13+'Setting key Duty'!$I$12+'Setting key Duty'!$I$11)</f>
        <v>#VALUE!</v>
      </c>
      <c r="BC25" s="37" t="n">
        <f aca="false">COUNTIF(A25:AI25,"*$L*")</f>
        <v>0</v>
      </c>
      <c r="BD25" s="37" t="e">
        <f aca="false">BC25*('Setting key Duty'!$I$13+'Setting key Duty'!$I$9)</f>
        <v>#VALUE!</v>
      </c>
      <c r="BE25" s="37" t="n">
        <f aca="false">COUNTIF(A25:AI25,"*$M*")</f>
        <v>0</v>
      </c>
      <c r="BF25" s="37" t="n">
        <f aca="false">BE25*('Setting key Duty'!$I$8+'Setting key Duty'!$I$9+'Setting key Duty'!$I$12)</f>
        <v>0</v>
      </c>
      <c r="BG25" s="37" t="n">
        <f aca="false">COUNTIF(AI25,"*$N*")</f>
        <v>0</v>
      </c>
      <c r="BH25" s="37" t="n">
        <f aca="false">COUNTIF(AI25,"*$PM*")</f>
        <v>0</v>
      </c>
      <c r="BI25" s="37" t="n">
        <f aca="false">BH25*('Setting key Duty'!$I$9)</f>
        <v>0</v>
      </c>
      <c r="BJ25" s="37" t="n">
        <f aca="false">COUNTIF(A25:AI25,"*$AM*")</f>
        <v>0</v>
      </c>
      <c r="BK25" s="37" t="n">
        <f aca="false">BJ25*('Setting key Duty'!$I$12+'Setting key Duty'!$I$8)</f>
        <v>0</v>
      </c>
      <c r="BL25" s="37" t="n">
        <f aca="false">COUNTIF(D25:AI25,"*$FC*")</f>
        <v>0</v>
      </c>
      <c r="BM25" s="37" t="n">
        <f aca="false">BL25*('Setting key Duty'!$J$11+'Setting key Duty'!$I$8)</f>
        <v>0</v>
      </c>
      <c r="BN25" s="37" t="n">
        <f aca="false">COUNTIF($D25:$AA25,BN$4)</f>
        <v>0</v>
      </c>
      <c r="BO25" s="37" t="n">
        <f aca="false">COUNTIF($D25:$AA25,BO$4)</f>
        <v>0</v>
      </c>
      <c r="BP25" s="37" t="n">
        <f aca="false">COUNTIF($D25:$AA25,BP$4)</f>
        <v>0</v>
      </c>
      <c r="BQ25" s="39"/>
    </row>
    <row r="26" customFormat="false" ht="19.5" hidden="false" customHeight="true" outlineLevel="0" collapsed="false">
      <c r="A26" s="30"/>
      <c r="B26" s="88" t="s">
        <v>189</v>
      </c>
      <c r="C26" s="45" t="s">
        <v>69</v>
      </c>
      <c r="D26" s="32"/>
      <c r="E26" s="45" t="s">
        <v>65</v>
      </c>
      <c r="F26" s="45"/>
      <c r="G26" s="45" t="s">
        <v>58</v>
      </c>
      <c r="H26" s="42"/>
      <c r="I26" s="32" t="s">
        <v>65</v>
      </c>
      <c r="J26" s="42"/>
      <c r="K26" s="32"/>
      <c r="L26" s="32"/>
      <c r="M26" s="42" t="s">
        <v>389</v>
      </c>
      <c r="O26" s="42"/>
      <c r="P26" s="32" t="s">
        <v>65</v>
      </c>
      <c r="Q26" s="32"/>
      <c r="S26" s="52" t="s">
        <v>65</v>
      </c>
      <c r="T26" s="52"/>
      <c r="U26" s="32"/>
      <c r="W26" s="32"/>
      <c r="Y26" s="32"/>
      <c r="AA26" s="32" t="s">
        <v>350</v>
      </c>
      <c r="AB26" s="32"/>
      <c r="AC26" s="42" t="s">
        <v>58</v>
      </c>
      <c r="AD26" s="42"/>
      <c r="AF26" s="32" t="s">
        <v>56</v>
      </c>
      <c r="AH26" s="42"/>
      <c r="AI26" s="35"/>
      <c r="AJ26" s="36"/>
      <c r="AK26" s="35"/>
      <c r="AL26" s="37"/>
      <c r="AM26" s="37"/>
      <c r="AN26" s="37"/>
      <c r="AO26" s="37"/>
      <c r="AP26" s="38"/>
      <c r="AQ26" s="37" t="n">
        <f aca="false">SUMPRODUCT(--WEEKDAY(C$3:AG$3,2)&lt;6,--((C26:AG26="DM"))+(C26:AG26="CS1")+((C26:AG26="CS2"))+(C26:AG26="SB1")+(C26:AG26="AE")+(C26:AG26="EM"))</f>
        <v>5</v>
      </c>
      <c r="AR26" s="38"/>
      <c r="AS26" s="38" t="n">
        <f aca="false">SUMPRODUCT(--WEEKDAY(C$3:AG$3,2)&gt;5,--((C26:AG26="DM"))+(C26:AG26="CS1")+((C26:AG26="CS2"))+(C26:AG26="SB1")+(C26:AG26="AE")+(C26:AG26="EM"))</f>
        <v>2</v>
      </c>
      <c r="AT26" s="38"/>
      <c r="AU26" s="38" t="n">
        <f aca="false">(AQ26-AR26)/2+(AS26-AT26)</f>
        <v>4.5</v>
      </c>
      <c r="AV26" s="38" t="n">
        <f aca="false">AI26+AJ26+AK26+AL26+AN26+AO26</f>
        <v>0</v>
      </c>
      <c r="AW26" s="38" t="n">
        <f aca="false">BG26+BH26+BJ26+BE26+BC26+BA26+BL26</f>
        <v>0</v>
      </c>
      <c r="AX26" s="38" t="e">
        <f aca="false">AU26+$AY$10</f>
        <v>#VALUE!</v>
      </c>
      <c r="AY26" s="37" t="e">
        <f aca="false">(BJ26*('Setting key Duty'!$I$8+'Setting key Duty'!$I$12))+(BH26*'Setting key Duty'!$I$9)+(BC26*('Setting key Duty'!$I$13+'Setting key Duty'!$I$9))+(BA26*('Setting key Duty'!$I$13+'Setting key Duty'!$I$12+'Setting key Duty'!$I$11))+(BE26*('Setting key Duty'!$I$8+'Setting key Duty'!$I$9+'Setting key Duty'!$I$12))</f>
        <v>#VALUE!</v>
      </c>
      <c r="AZ26" s="37" t="n">
        <f aca="false">COUNTIF(D26:AA26,"*BRT*")</f>
        <v>0</v>
      </c>
      <c r="BA26" s="37" t="n">
        <f aca="false">COUNTIF(A26:AI26,"*$BTP*")</f>
        <v>0</v>
      </c>
      <c r="BB26" s="37" t="e">
        <f aca="false">BA26*('Setting key Duty'!$I$13+'Setting key Duty'!$I$12+'Setting key Duty'!$I$11)</f>
        <v>#VALUE!</v>
      </c>
      <c r="BC26" s="37" t="n">
        <f aca="false">COUNTIF(A26:AI26,"*$L*")</f>
        <v>0</v>
      </c>
      <c r="BD26" s="37" t="e">
        <f aca="false">BC26*('Setting key Duty'!$I$13+'Setting key Duty'!$I$9)</f>
        <v>#VALUE!</v>
      </c>
      <c r="BE26" s="37" t="n">
        <f aca="false">COUNTIF(A26:AI26,"*$M*")</f>
        <v>0</v>
      </c>
      <c r="BF26" s="37" t="n">
        <f aca="false">BE26*('Setting key Duty'!$I$8+'Setting key Duty'!$I$9+'Setting key Duty'!$I$12)</f>
        <v>0</v>
      </c>
      <c r="BG26" s="37" t="n">
        <f aca="false">COUNTIF(AI26,"*$N*")</f>
        <v>0</v>
      </c>
      <c r="BH26" s="37" t="n">
        <f aca="false">COUNTIF(AI26,"*$PM*")</f>
        <v>0</v>
      </c>
      <c r="BI26" s="37" t="n">
        <f aca="false">BH26*('Setting key Duty'!$I$9)</f>
        <v>0</v>
      </c>
      <c r="BJ26" s="37" t="n">
        <f aca="false">COUNTIF(A26:AI26,"*$AM*")</f>
        <v>0</v>
      </c>
      <c r="BK26" s="37" t="n">
        <f aca="false">BJ26*('Setting key Duty'!$I$12+'Setting key Duty'!$I$8)</f>
        <v>0</v>
      </c>
      <c r="BL26" s="37" t="n">
        <f aca="false">COUNTIF(D26:AI26,"*$FC*")</f>
        <v>0</v>
      </c>
      <c r="BM26" s="37" t="n">
        <f aca="false">BL26*('Setting key Duty'!$J$11+'Setting key Duty'!$I$8)</f>
        <v>0</v>
      </c>
      <c r="BN26" s="37" t="n">
        <f aca="false">COUNTIF($D26:$AA26,BN$4)</f>
        <v>0</v>
      </c>
      <c r="BO26" s="37" t="n">
        <f aca="false">COUNTIF($D26:$AA26,BO$4)</f>
        <v>1</v>
      </c>
      <c r="BP26" s="37" t="n">
        <f aca="false">COUNTIF($D26:$AA26,BP$4)</f>
        <v>0</v>
      </c>
      <c r="BQ26" s="39"/>
    </row>
    <row r="27" customFormat="false" ht="19.5" hidden="false" customHeight="true" outlineLevel="0" collapsed="false">
      <c r="A27" s="30"/>
      <c r="B27" s="31" t="s">
        <v>191</v>
      </c>
      <c r="C27" s="45" t="s">
        <v>65</v>
      </c>
      <c r="D27" s="33"/>
      <c r="E27" s="32" t="s">
        <v>390</v>
      </c>
      <c r="G27" s="117"/>
      <c r="H27" s="117" t="s">
        <v>58</v>
      </c>
      <c r="I27" s="32"/>
      <c r="J27" s="32" t="s">
        <v>391</v>
      </c>
      <c r="M27" s="32" t="s">
        <v>58</v>
      </c>
      <c r="N27" s="32"/>
      <c r="O27" s="32"/>
      <c r="P27" s="32"/>
      <c r="R27" s="32" t="s">
        <v>392</v>
      </c>
      <c r="S27" s="32"/>
      <c r="T27" s="32" t="s">
        <v>350</v>
      </c>
      <c r="U27" s="32"/>
      <c r="V27" s="32" t="s">
        <v>350</v>
      </c>
      <c r="W27" s="32"/>
      <c r="X27" s="32" t="s">
        <v>393</v>
      </c>
      <c r="Y27" s="107"/>
      <c r="Z27" s="32" t="s">
        <v>65</v>
      </c>
      <c r="AA27" s="32"/>
      <c r="AB27" s="32"/>
      <c r="AC27" s="32"/>
      <c r="AD27" s="42"/>
      <c r="AE27" s="32" t="s">
        <v>394</v>
      </c>
      <c r="AF27" s="42"/>
      <c r="AH27" s="32"/>
      <c r="AI27" s="35"/>
      <c r="AJ27" s="36"/>
      <c r="AK27" s="35"/>
      <c r="AL27" s="37"/>
      <c r="AM27" s="37"/>
      <c r="AN27" s="37"/>
      <c r="AO27" s="37"/>
      <c r="AP27" s="38"/>
      <c r="AQ27" s="37" t="n">
        <f aca="false">SUMPRODUCT(--WEEKDAY(C$3:AG$3,2)&lt;6,--((C27:AG27="DM"))+(C27:AG27="CS1")+((C27:AG27="CS2"))+(C27:AG27="SB1")+(C27:AG27="AE")+(C27:AG27="EM"))</f>
        <v>3</v>
      </c>
      <c r="AR27" s="38"/>
      <c r="AS27" s="38" t="n">
        <f aca="false">SUMPRODUCT(--WEEKDAY(C$3:AG$3,2)&gt;5,--((C27:AG27="DM"))+(C27:AG27="CS1")+((C27:AG27="CS2"))+(C27:AG27="SB1")+(C27:AG27="AE")+(C27:AG27="EM"))</f>
        <v>1</v>
      </c>
      <c r="AT27" s="38"/>
      <c r="AU27" s="38" t="n">
        <f aca="false">(AQ27-AR27)/2+(AS27-AT27)</f>
        <v>2.5</v>
      </c>
      <c r="AV27" s="38" t="n">
        <f aca="false">AI27+AJ27+AK27+AL27+AN27+AO27</f>
        <v>0</v>
      </c>
      <c r="AW27" s="38" t="n">
        <f aca="false">BG27+BH27+BJ27+BE27+BC27+BA27+BL27</f>
        <v>5</v>
      </c>
      <c r="AX27" s="38" t="e">
        <f aca="false">AU27+AY27</f>
        <v>#VALUE!</v>
      </c>
      <c r="AY27" s="37" t="e">
        <f aca="false">(BJ27*('Setting key Duty'!$I$8+'Setting key Duty'!$I$12))+(BH27*'Setting key Duty'!$I$9)+(BC27*('Setting key Duty'!$I$13+'Setting key Duty'!$I$9))+(BA27*('Setting key Duty'!$I$13+'Setting key Duty'!$I$12+'Setting key Duty'!$I$11))+(BE27*('Setting key Duty'!$I$8+'Setting key Duty'!$I$9+'Setting key Duty'!$I$12))</f>
        <v>#VALUE!</v>
      </c>
      <c r="AZ27" s="37" t="n">
        <f aca="false">COUNTIF(C27:W27,"*BRT*")</f>
        <v>0</v>
      </c>
      <c r="BA27" s="37" t="n">
        <f aca="false">COUNTIF(A27:AI27,"*$BTP*")</f>
        <v>2</v>
      </c>
      <c r="BB27" s="37" t="e">
        <f aca="false">BA27*('Setting key Duty'!$I$13+'Setting key Duty'!$I$12+'Setting key Duty'!$I$11)</f>
        <v>#VALUE!</v>
      </c>
      <c r="BC27" s="37" t="n">
        <f aca="false">COUNTIF(D27:AI27,"*$L*")</f>
        <v>0</v>
      </c>
      <c r="BD27" s="37" t="e">
        <f aca="false">BC27*('Setting key Duty'!$I$13+'Setting key Duty'!$I$9)</f>
        <v>#VALUE!</v>
      </c>
      <c r="BE27" s="37" t="n">
        <f aca="false">COUNTIF(D27:AI27,"*$M*")</f>
        <v>2</v>
      </c>
      <c r="BF27" s="37" t="n">
        <f aca="false">BE27*('Setting key Duty'!$I$8+'Setting key Duty'!$I$9+'Setting key Duty'!$I$12)</f>
        <v>1.125</v>
      </c>
      <c r="BG27" s="37" t="n">
        <f aca="false">COUNTIF(D27:AI27,"*$N*")</f>
        <v>0</v>
      </c>
      <c r="BH27" s="37" t="n">
        <f aca="false">COUNTIF(D27:AI27,"*$PM*")</f>
        <v>0</v>
      </c>
      <c r="BI27" s="37" t="n">
        <f aca="false">BH27*('Setting key Duty'!$I$9)</f>
        <v>0</v>
      </c>
      <c r="BJ27" s="37" t="n">
        <f aca="false">COUNTIF(D27:AI27,"*$AM*")</f>
        <v>1</v>
      </c>
      <c r="BK27" s="37" t="n">
        <f aca="false">BJ27*('Setting key Duty'!$I$12+'Setting key Duty'!$I$8)</f>
        <v>0.4375</v>
      </c>
      <c r="BL27" s="37" t="n">
        <f aca="false">COUNTIF(C27:AI27,"*$FC*")</f>
        <v>0</v>
      </c>
      <c r="BM27" s="37" t="n">
        <f aca="false">BL27*('Setting key Duty'!$J$11+'Setting key Duty'!$I$8)</f>
        <v>0</v>
      </c>
      <c r="BN27" s="37" t="n">
        <f aca="false">COUNTIF($C27:$AG27,BN$4)</f>
        <v>0</v>
      </c>
      <c r="BO27" s="37" t="n">
        <f aca="false">COUNTIF($C27:$AG27,BO$4)</f>
        <v>2</v>
      </c>
      <c r="BP27" s="37" t="n">
        <f aca="false">COUNTIF($D27:$AD27,BP$4)</f>
        <v>0</v>
      </c>
      <c r="BQ27" s="39"/>
    </row>
    <row r="28" customFormat="false" ht="19.5" hidden="false" customHeight="true" outlineLevel="0" collapsed="false">
      <c r="A28" s="30"/>
      <c r="B28" s="104" t="s">
        <v>192</v>
      </c>
      <c r="C28" s="42"/>
      <c r="D28" s="32" t="s">
        <v>390</v>
      </c>
      <c r="F28" s="32"/>
      <c r="G28" s="32" t="s">
        <v>350</v>
      </c>
      <c r="H28" s="117"/>
      <c r="L28" s="32" t="s">
        <v>137</v>
      </c>
      <c r="M28" s="32" t="s">
        <v>350</v>
      </c>
      <c r="N28" s="56"/>
      <c r="O28" s="32" t="s">
        <v>58</v>
      </c>
      <c r="P28" s="32"/>
      <c r="R28" s="42"/>
      <c r="S28" s="32" t="s">
        <v>395</v>
      </c>
      <c r="T28" s="52"/>
      <c r="U28" s="32"/>
      <c r="V28" s="32" t="s">
        <v>350</v>
      </c>
      <c r="W28" s="42"/>
      <c r="Y28" s="32" t="s">
        <v>350</v>
      </c>
      <c r="Z28" s="32" t="s">
        <v>304</v>
      </c>
      <c r="AA28" s="42"/>
      <c r="AC28" s="32" t="s">
        <v>65</v>
      </c>
      <c r="AE28" s="32" t="s">
        <v>297</v>
      </c>
      <c r="AF28" s="42"/>
      <c r="AG28" s="32" t="s">
        <v>350</v>
      </c>
      <c r="AH28" s="42"/>
      <c r="AI28" s="35"/>
      <c r="AJ28" s="36"/>
      <c r="AK28" s="35"/>
      <c r="AL28" s="66"/>
      <c r="AM28" s="66"/>
      <c r="AN28" s="66"/>
      <c r="AO28" s="66"/>
      <c r="AP28" s="67"/>
      <c r="AQ28" s="37" t="n">
        <f aca="false">SUMPRODUCT(--WEEKDAY(C$3:AG$3,2)&lt;6,--((C28:AG28="DM"))+(C28:AG28="CS1")+((C28:AG28="CS2"))+(C28:AG28="SB1")+(C28:AG28="AE")+(C28:AG28="EM"))</f>
        <v>0</v>
      </c>
      <c r="AR28" s="38"/>
      <c r="AS28" s="38" t="n">
        <f aca="false">SUMPRODUCT(--WEEKDAY(C$3:AG$3,2)&gt;5,--((C28:AG28="DM"))+(C28:AG28="CS1")+((C28:AG28="CS2"))+(C28:AG28="SB1")+(C28:AG28="AE")+(C28:AG28="EM"))</f>
        <v>2</v>
      </c>
      <c r="AT28" s="67"/>
      <c r="AU28" s="38" t="n">
        <f aca="false">(AQ28-AR28)/2+(AS28-AT28)</f>
        <v>2</v>
      </c>
      <c r="AV28" s="38" t="n">
        <f aca="false">AI28+AJ28+AK28+AL28+AN28+AO28</f>
        <v>0</v>
      </c>
      <c r="AW28" s="38" t="n">
        <f aca="false">BG28+BH28+BJ28+BE28+BC28+BA28+BL28</f>
        <v>5</v>
      </c>
      <c r="AX28" s="38" t="e">
        <f aca="false">AU28+AY28</f>
        <v>#VALUE!</v>
      </c>
      <c r="AY28" s="37" t="e">
        <f aca="false">(BJ28*('Setting key Duty'!$I$8+'Setting key Duty'!$I$12))+(BH28*'Setting key Duty'!$I$9)+(BC28*('Setting key Duty'!$I$13+'Setting key Duty'!$I$9))+(BA28*('Setting key Duty'!$I$13+'Setting key Duty'!$I$12+'Setting key Duty'!$I$11))+(BE28*('Setting key Duty'!$I$8+'Setting key Duty'!$I$9+'Setting key Duty'!$I$12))</f>
        <v>#VALUE!</v>
      </c>
      <c r="AZ28" s="37" t="n">
        <f aca="false">COUNTIF(C28:Y28,"*BRT*")</f>
        <v>0</v>
      </c>
      <c r="BA28" s="37" t="n">
        <f aca="false">COUNTIF(A28:AI28,"*$BTP*")</f>
        <v>1</v>
      </c>
      <c r="BB28" s="37" t="e">
        <f aca="false">BA28*('Setting key Duty'!$I$13+'Setting key Duty'!$I$12+'Setting key Duty'!$I$11)</f>
        <v>#VALUE!</v>
      </c>
      <c r="BC28" s="37" t="n">
        <f aca="false">COUNTIF(D28:AI28,"*$L*")</f>
        <v>0</v>
      </c>
      <c r="BD28" s="37" t="e">
        <f aca="false">BC28*('Setting key Duty'!$I$13+'Setting key Duty'!$I$9)</f>
        <v>#VALUE!</v>
      </c>
      <c r="BE28" s="37" t="n">
        <f aca="false">COUNTIF(D28:AI28,"*$M*")</f>
        <v>3</v>
      </c>
      <c r="BF28" s="37" t="n">
        <f aca="false">BE28*('Setting key Duty'!$I$8+'Setting key Duty'!$I$9+'Setting key Duty'!$I$12)</f>
        <v>1.6875</v>
      </c>
      <c r="BG28" s="37" t="n">
        <f aca="false">COUNTIF(D28:AI28,"*$N*")</f>
        <v>0</v>
      </c>
      <c r="BH28" s="37" t="n">
        <f aca="false">COUNTIF(D28:AI28,"*$PM*")</f>
        <v>0</v>
      </c>
      <c r="BI28" s="37" t="n">
        <f aca="false">BH28*('Setting key Duty'!$I$9)</f>
        <v>0</v>
      </c>
      <c r="BJ28" s="37" t="n">
        <f aca="false">COUNTIF(D28:AI28,"*$AM*")</f>
        <v>1</v>
      </c>
      <c r="BK28" s="37" t="n">
        <f aca="false">BJ28*('Setting key Duty'!$I$12+'Setting key Duty'!$I$8)</f>
        <v>0.4375</v>
      </c>
      <c r="BL28" s="37" t="n">
        <f aca="false">COUNTIF(C28:AI28,"*$FC*")</f>
        <v>0</v>
      </c>
      <c r="BM28" s="37" t="n">
        <f aca="false">BL28*('Setting key Duty'!$J$11+'Setting key Duty'!$I$8)</f>
        <v>0</v>
      </c>
      <c r="BN28" s="37" t="n">
        <f aca="false">COUNTIF($C28:$AF28,BN$4)</f>
        <v>0</v>
      </c>
      <c r="BO28" s="37" t="n">
        <f aca="false">COUNTIF($C28:$AF28,BO$4)</f>
        <v>4</v>
      </c>
      <c r="BP28" s="37" t="n">
        <f aca="false">COUNTIF($D28:$AE28,BP$4)</f>
        <v>0</v>
      </c>
      <c r="BQ28" s="68"/>
    </row>
    <row r="29" customFormat="false" ht="19.5" hidden="false" customHeight="true" outlineLevel="0" collapsed="false">
      <c r="A29" s="30"/>
      <c r="B29" s="104" t="s">
        <v>193</v>
      </c>
      <c r="C29" s="65" t="s">
        <v>93</v>
      </c>
      <c r="D29" s="45"/>
      <c r="E29" s="65" t="s">
        <v>93</v>
      </c>
      <c r="F29" s="56"/>
      <c r="G29" s="32" t="s">
        <v>350</v>
      </c>
      <c r="H29" s="117"/>
      <c r="I29" s="32" t="s">
        <v>58</v>
      </c>
      <c r="J29" s="42" t="s">
        <v>93</v>
      </c>
      <c r="K29" s="32" t="s">
        <v>396</v>
      </c>
      <c r="M29" s="32" t="s">
        <v>350</v>
      </c>
      <c r="O29" s="32" t="s">
        <v>350</v>
      </c>
      <c r="P29" s="32" t="s">
        <v>397</v>
      </c>
      <c r="Q29" s="32" t="s">
        <v>398</v>
      </c>
      <c r="S29" s="32" t="s">
        <v>93</v>
      </c>
      <c r="T29" s="52"/>
      <c r="U29" s="32" t="s">
        <v>350</v>
      </c>
      <c r="V29" s="32"/>
      <c r="X29" s="65"/>
      <c r="Y29" s="32" t="s">
        <v>93</v>
      </c>
      <c r="Z29" s="32" t="s">
        <v>399</v>
      </c>
      <c r="AA29" s="32" t="s">
        <v>93</v>
      </c>
      <c r="AB29" s="42" t="s">
        <v>58</v>
      </c>
      <c r="AD29" s="32"/>
      <c r="AE29" s="32" t="s">
        <v>400</v>
      </c>
      <c r="AF29" s="32" t="s">
        <v>93</v>
      </c>
      <c r="AG29" s="42"/>
      <c r="AH29" s="42"/>
      <c r="AI29" s="35"/>
      <c r="AJ29" s="36"/>
      <c r="AK29" s="35"/>
      <c r="AL29" s="66"/>
      <c r="AM29" s="66"/>
      <c r="AN29" s="66"/>
      <c r="AO29" s="66"/>
      <c r="AP29" s="67"/>
      <c r="AQ29" s="37" t="n">
        <f aca="false">SUMPRODUCT(--WEEKDAY(C$3:AG$3,2)&lt;6,--((C29:AG29="DM"))+(C29:AG29="CS1")+((C29:AG29="CS2"))+(C29:AG29="SB1")+(C29:AG29="AE")+(C29:AG29="EM"))</f>
        <v>1</v>
      </c>
      <c r="AR29" s="38"/>
      <c r="AS29" s="38" t="n">
        <f aca="false">SUMPRODUCT(--WEEKDAY(C$3:AG$3,2)&gt;5,--((C29:AG29="DM"))+(C29:AG29="CS1")+((C29:AG29="CS2"))+(C29:AG29="SB1")+(C29:AG29="AE")+(C29:AG29="EM"))</f>
        <v>1</v>
      </c>
      <c r="AT29" s="67"/>
      <c r="AU29" s="38" t="n">
        <f aca="false">(AQ29-AR29)/2+(AS29-AT29)</f>
        <v>1.5</v>
      </c>
      <c r="AV29" s="38" t="n">
        <f aca="false">AI29+AJ29+AK29+AL29+AN29+AO29</f>
        <v>0</v>
      </c>
      <c r="AW29" s="38" t="n">
        <f aca="false">BG29+BH29+BJ29+BE29+BC29+BA29+BL29</f>
        <v>5</v>
      </c>
      <c r="AX29" s="38" t="e">
        <f aca="false">AU29+AY29</f>
        <v>#VALUE!</v>
      </c>
      <c r="AY29" s="37" t="e">
        <f aca="false">(BJ29*('Setting key Duty'!$I$8+'Setting key Duty'!$I$12))+(BH29*'Setting key Duty'!$I$9)+(BC29*('Setting key Duty'!$I$13+'Setting key Duty'!$I$9))+(BA29*('Setting key Duty'!$I$13+'Setting key Duty'!$I$12+'Setting key Duty'!$I$11))+(BE29*('Setting key Duty'!$I$8+'Setting key Duty'!$I$9+'Setting key Duty'!$I$12))</f>
        <v>#VALUE!</v>
      </c>
      <c r="AZ29" s="37" t="n">
        <f aca="false">COUNTIF(C29:Y29,"*BRT*")</f>
        <v>0</v>
      </c>
      <c r="BA29" s="37" t="n">
        <f aca="false">COUNTIF(A29:AI29,"*$BTP*")</f>
        <v>0</v>
      </c>
      <c r="BB29" s="37" t="e">
        <f aca="false">BA29*('Setting key Duty'!$I$13+'Setting key Duty'!$I$12+'Setting key Duty'!$I$11)</f>
        <v>#VALUE!</v>
      </c>
      <c r="BC29" s="37" t="n">
        <f aca="false">COUNTIF(D29:AI29,"*$L*")</f>
        <v>0</v>
      </c>
      <c r="BD29" s="37" t="e">
        <f aca="false">BC29*('Setting key Duty'!$I$13+'Setting key Duty'!$I$9)</f>
        <v>#VALUE!</v>
      </c>
      <c r="BE29" s="37" t="n">
        <f aca="false">COUNTIF(D29:AI29,"*$M*")</f>
        <v>0</v>
      </c>
      <c r="BF29" s="37" t="n">
        <f aca="false">BE29*('Setting key Duty'!$I$8+'Setting key Duty'!$I$9+'Setting key Duty'!$I$12)</f>
        <v>0</v>
      </c>
      <c r="BG29" s="37" t="n">
        <f aca="false">COUNTIF(D29:AI29,"*$N*")</f>
        <v>0</v>
      </c>
      <c r="BH29" s="37" t="n">
        <f aca="false">COUNTIF(D29:AI29,"*$PM*")</f>
        <v>5</v>
      </c>
      <c r="BI29" s="37" t="n">
        <f aca="false">BH29*('Setting key Duty'!$I$9)</f>
        <v>0.625</v>
      </c>
      <c r="BJ29" s="37" t="n">
        <f aca="false">COUNTIF(D29:AI29,"*$AM*")</f>
        <v>0</v>
      </c>
      <c r="BK29" s="37" t="n">
        <f aca="false">BJ29*('Setting key Duty'!$I$12+'Setting key Duty'!$I$8)</f>
        <v>0</v>
      </c>
      <c r="BL29" s="37" t="n">
        <f aca="false">COUNTIF(C29:AI29,"*$FC*")</f>
        <v>0</v>
      </c>
      <c r="BM29" s="37" t="n">
        <f aca="false">BL29*('Setting key Duty'!$J$11+'Setting key Duty'!$I$8)</f>
        <v>0</v>
      </c>
      <c r="BN29" s="37" t="n">
        <f aca="false">COUNTIF($C29:$AG29,BN$4)</f>
        <v>0</v>
      </c>
      <c r="BO29" s="37" t="n">
        <f aca="false">COUNTIF($C29:$AG29,BO$4)</f>
        <v>4</v>
      </c>
      <c r="BP29" s="37" t="n">
        <f aca="false">COUNTIF($D29:$AE29,BP$4)</f>
        <v>0</v>
      </c>
      <c r="BQ29" s="68"/>
    </row>
    <row r="30" customFormat="false" ht="19.5" hidden="false" customHeight="true" outlineLevel="0" collapsed="false">
      <c r="A30" s="30"/>
      <c r="B30" s="104" t="s">
        <v>262</v>
      </c>
      <c r="C30" s="32" t="s">
        <v>71</v>
      </c>
      <c r="D30" s="32" t="s">
        <v>71</v>
      </c>
      <c r="E30" s="32" t="s">
        <v>71</v>
      </c>
      <c r="F30" s="32" t="s">
        <v>71</v>
      </c>
      <c r="G30" s="32" t="s">
        <v>71</v>
      </c>
      <c r="H30" s="32" t="s">
        <v>71</v>
      </c>
      <c r="I30" s="32" t="s">
        <v>71</v>
      </c>
      <c r="J30" s="32" t="s">
        <v>71</v>
      </c>
      <c r="K30" s="32" t="s">
        <v>71</v>
      </c>
      <c r="L30" s="32" t="s">
        <v>71</v>
      </c>
      <c r="M30" s="32" t="s">
        <v>71</v>
      </c>
      <c r="N30" s="32" t="s">
        <v>71</v>
      </c>
      <c r="O30" s="32" t="s">
        <v>71</v>
      </c>
      <c r="P30" s="32" t="s">
        <v>71</v>
      </c>
      <c r="Q30" s="32" t="s">
        <v>71</v>
      </c>
      <c r="R30" s="32" t="s">
        <v>71</v>
      </c>
      <c r="S30" s="32" t="s">
        <v>71</v>
      </c>
      <c r="T30" s="52" t="s">
        <v>71</v>
      </c>
      <c r="U30" s="32" t="s">
        <v>71</v>
      </c>
      <c r="V30" s="32" t="s">
        <v>71</v>
      </c>
      <c r="W30" s="32" t="s">
        <v>71</v>
      </c>
      <c r="X30" s="32" t="s">
        <v>71</v>
      </c>
      <c r="Y30" s="32" t="s">
        <v>71</v>
      </c>
      <c r="Z30" s="32" t="s">
        <v>71</v>
      </c>
      <c r="AA30" s="32" t="s">
        <v>71</v>
      </c>
      <c r="AB30" s="32" t="s">
        <v>71</v>
      </c>
      <c r="AC30" s="32" t="s">
        <v>71</v>
      </c>
      <c r="AD30" s="32" t="s">
        <v>71</v>
      </c>
      <c r="AE30" s="32" t="s">
        <v>71</v>
      </c>
      <c r="AF30" s="32" t="s">
        <v>71</v>
      </c>
      <c r="AG30" s="32" t="s">
        <v>71</v>
      </c>
      <c r="AH30" s="32" t="s">
        <v>71</v>
      </c>
      <c r="AI30" s="35"/>
      <c r="AJ30" s="36"/>
      <c r="AK30" s="35"/>
      <c r="AL30" s="66"/>
      <c r="AM30" s="66"/>
      <c r="AN30" s="66"/>
      <c r="AO30" s="66"/>
      <c r="AP30" s="67"/>
      <c r="AQ30" s="37" t="n">
        <f aca="false">SUMPRODUCT(--WEEKDAY(C$3:AG$3,2)&lt;6,--((C30:AG30="DM"))+(C30:AG30="CS1")+((C30:AG30="CS2"))+(C30:AG30="SB1")+(C30:AG30="AE")+(C30:AG30="EM"))</f>
        <v>0</v>
      </c>
      <c r="AR30" s="38"/>
      <c r="AS30" s="38" t="n">
        <f aca="false">SUMPRODUCT(--WEEKDAY(C$3:AG$3,2)&gt;5,--((C30:AG30="DM"))+(C30:AG30="CS1")+((C30:AG30="CS2"))+(C30:AG30="SB1")+(C30:AG30="AE")+(C30:AG30="EM"))</f>
        <v>0</v>
      </c>
      <c r="AT30" s="67"/>
      <c r="AU30" s="38" t="n">
        <f aca="false">(AQ30-AR30)/2+(AS30-AT30)</f>
        <v>0</v>
      </c>
      <c r="AV30" s="38" t="n">
        <f aca="false">AI30+AJ30+AK30+AL30+AN30+AO30</f>
        <v>0</v>
      </c>
      <c r="AW30" s="38" t="n">
        <f aca="false">BG30+BH30+BJ30+BE30+BC30+BA30+BL30</f>
        <v>0</v>
      </c>
      <c r="AX30" s="38" t="e">
        <f aca="false">AU30+AY30</f>
        <v>#VALUE!</v>
      </c>
      <c r="AY30" s="37" t="e">
        <f aca="false">(BJ30*('Setting key Duty'!$I$8+'Setting key Duty'!$I$12))+(BH30*'Setting key Duty'!$I$9)+(BC30*('Setting key Duty'!$I$13+'Setting key Duty'!$I$9))+(BA30*('Setting key Duty'!$I$13+'Setting key Duty'!$I$12+'Setting key Duty'!$I$11))+(BE30*('Setting key Duty'!$I$8+'Setting key Duty'!$I$9+'Setting key Duty'!$I$12))</f>
        <v>#VALUE!</v>
      </c>
      <c r="AZ30" s="37" t="n">
        <f aca="false">COUNTIF(C30:Y30,"*BRT*")</f>
        <v>0</v>
      </c>
      <c r="BA30" s="37" t="n">
        <f aca="false">COUNTIF(A30:AI30,"*$BTP*")</f>
        <v>0</v>
      </c>
      <c r="BB30" s="37" t="e">
        <f aca="false">BA30*('Setting key Duty'!$I$13+'Setting key Duty'!$I$12+'Setting key Duty'!$I$11)</f>
        <v>#VALUE!</v>
      </c>
      <c r="BC30" s="37" t="n">
        <f aca="false">COUNTIF(D30:AI30,"*$L*")</f>
        <v>0</v>
      </c>
      <c r="BD30" s="37" t="e">
        <f aca="false">BC30*('Setting key Duty'!$I$13+'Setting key Duty'!$I$9)</f>
        <v>#VALUE!</v>
      </c>
      <c r="BE30" s="37" t="n">
        <f aca="false">COUNTIF(D30:AI30,"*$M*")</f>
        <v>0</v>
      </c>
      <c r="BF30" s="37" t="n">
        <f aca="false">BE30*('Setting key Duty'!$I$8+'Setting key Duty'!$I$9+'Setting key Duty'!$I$12)</f>
        <v>0</v>
      </c>
      <c r="BG30" s="37" t="n">
        <f aca="false">COUNTIF(D30:AI30,"*$N*")</f>
        <v>0</v>
      </c>
      <c r="BH30" s="37" t="n">
        <f aca="false">COUNTIF(D30:AI30,"*$PM*")</f>
        <v>0</v>
      </c>
      <c r="BI30" s="37" t="n">
        <f aca="false">BH30*('Setting key Duty'!$I$9)</f>
        <v>0</v>
      </c>
      <c r="BJ30" s="37" t="n">
        <f aca="false">COUNTIF(D30:AI30,"*$AM*")</f>
        <v>0</v>
      </c>
      <c r="BK30" s="37" t="n">
        <f aca="false">BJ30*('Setting key Duty'!$I$12+'Setting key Duty'!$I$8)</f>
        <v>0</v>
      </c>
      <c r="BL30" s="37" t="n">
        <f aca="false">COUNTIF(C30:AI30,"*$FC*")</f>
        <v>0</v>
      </c>
      <c r="BM30" s="37" t="n">
        <f aca="false">BL30*('Setting key Duty'!$J$11+'Setting key Duty'!$I$8)</f>
        <v>0</v>
      </c>
      <c r="BN30" s="37" t="n">
        <f aca="false">COUNTIF($C30:$AG30,BN$4)</f>
        <v>0</v>
      </c>
      <c r="BO30" s="37" t="n">
        <f aca="false">COUNTIF($C30:$AG30,BO$4)</f>
        <v>0</v>
      </c>
      <c r="BP30" s="37" t="n">
        <f aca="false">COUNTIF($D30:$AE30,BP$4)</f>
        <v>0</v>
      </c>
      <c r="BQ30" s="68"/>
    </row>
    <row r="31" customFormat="false" ht="19.5" hidden="false" customHeight="true" outlineLevel="0" collapsed="false">
      <c r="A31" s="30"/>
      <c r="B31" s="121" t="s">
        <v>195</v>
      </c>
      <c r="C31" s="32" t="s">
        <v>54</v>
      </c>
      <c r="D31" s="32" t="s">
        <v>54</v>
      </c>
      <c r="E31" s="32" t="s">
        <v>54</v>
      </c>
      <c r="F31" s="32" t="s">
        <v>54</v>
      </c>
      <c r="G31" s="117"/>
      <c r="H31" s="117"/>
      <c r="I31" s="32" t="s">
        <v>54</v>
      </c>
      <c r="K31" s="32" t="s">
        <v>245</v>
      </c>
      <c r="L31" s="34" t="s">
        <v>401</v>
      </c>
      <c r="N31" s="32" t="s">
        <v>58</v>
      </c>
      <c r="O31" s="33"/>
      <c r="P31" s="32"/>
      <c r="Q31" s="32" t="s">
        <v>235</v>
      </c>
      <c r="R31" s="32" t="s">
        <v>58</v>
      </c>
      <c r="S31" s="32"/>
      <c r="T31" s="118"/>
      <c r="U31" s="32"/>
      <c r="V31" s="32" t="s">
        <v>58</v>
      </c>
      <c r="W31" s="56"/>
      <c r="X31" s="32" t="s">
        <v>350</v>
      </c>
      <c r="Z31" s="32" t="s">
        <v>350</v>
      </c>
      <c r="AB31" s="32"/>
      <c r="AD31" s="32" t="s">
        <v>93</v>
      </c>
      <c r="AE31" s="32" t="s">
        <v>402</v>
      </c>
      <c r="AF31" s="32"/>
      <c r="AH31" s="33"/>
      <c r="AI31" s="35"/>
      <c r="AJ31" s="36"/>
      <c r="AK31" s="35"/>
      <c r="AL31" s="66"/>
      <c r="AM31" s="66"/>
      <c r="AN31" s="66"/>
      <c r="AO31" s="66"/>
      <c r="AP31" s="67"/>
      <c r="AQ31" s="37" t="n">
        <f aca="false">SUMPRODUCT(--WEEKDAY(C$3:AG$3,2)&lt;6,--((C31:AG31="DM"))+(C31:AG31="CS1")+((C31:AG31="CS2"))+(C31:AG31="SB1")+(C31:AG31="AE")+(C31:AG31="EM"))</f>
        <v>1</v>
      </c>
      <c r="AR31" s="38"/>
      <c r="AS31" s="38" t="n">
        <f aca="false">SUMPRODUCT(--WEEKDAY(C$3:AG$3,2)&gt;5,--((C31:AG31="DM"))+(C31:AG31="CS1")+((C31:AG31="CS2"))+(C31:AG31="SB1")+(C31:AG31="AE")+(C31:AG31="EM"))</f>
        <v>2</v>
      </c>
      <c r="AT31" s="67"/>
      <c r="AU31" s="38" t="n">
        <f aca="false">(AQ31-AR31)/2+(AS31-AT31)</f>
        <v>2.5</v>
      </c>
      <c r="AV31" s="38" t="n">
        <f aca="false">AI31+AJ31+AK31+AL31+AN31+AO31</f>
        <v>0</v>
      </c>
      <c r="AW31" s="38" t="n">
        <f aca="false">BG31+BH31+BJ31+BE31+BC31+BA31+BL31</f>
        <v>4</v>
      </c>
      <c r="AX31" s="38" t="e">
        <f aca="false">AU31+AY31</f>
        <v>#VALUE!</v>
      </c>
      <c r="AY31" s="37" t="e">
        <f aca="false">(BJ31*('Setting key Duty'!$I$8+'Setting key Duty'!$I$12))+(BH31*'Setting key Duty'!$I$9)+(BC31*('Setting key Duty'!$I$13+'Setting key Duty'!$I$9))+(BA31*('Setting key Duty'!$I$13+'Setting key Duty'!$I$12+'Setting key Duty'!$I$11))+(BE31*('Setting key Duty'!$I$8+'Setting key Duty'!$I$9+'Setting key Duty'!$I$12))</f>
        <v>#VALUE!</v>
      </c>
      <c r="AZ31" s="37" t="n">
        <f aca="false">COUNTIF(C31:Y31,"*BRT*")</f>
        <v>0</v>
      </c>
      <c r="BA31" s="37" t="n">
        <f aca="false">COUNTIF(A31:AI31,"*$BTP*")</f>
        <v>1</v>
      </c>
      <c r="BB31" s="37" t="e">
        <f aca="false">BA31*('Setting key Duty'!$I$13+'Setting key Duty'!$I$12+'Setting key Duty'!$I$11)</f>
        <v>#VALUE!</v>
      </c>
      <c r="BC31" s="37" t="n">
        <f aca="false">COUNTIF(D31:AI31,"*$L*")</f>
        <v>0</v>
      </c>
      <c r="BD31" s="37" t="e">
        <f aca="false">BC31*('Setting key Duty'!$I$13+'Setting key Duty'!$I$9)</f>
        <v>#VALUE!</v>
      </c>
      <c r="BE31" s="37" t="n">
        <f aca="false">COUNTIF(D31:AI31,"*$M*")</f>
        <v>0</v>
      </c>
      <c r="BF31" s="37" t="n">
        <f aca="false">BE31*('Setting key Duty'!$I$8+'Setting key Duty'!$I$9+'Setting key Duty'!$I$12)</f>
        <v>0</v>
      </c>
      <c r="BG31" s="37" t="n">
        <f aca="false">COUNTIF(D31:AI31,"*$N*")</f>
        <v>0</v>
      </c>
      <c r="BH31" s="37" t="n">
        <f aca="false">COUNTIF(D31:AI31,"*$PM*")</f>
        <v>1</v>
      </c>
      <c r="BI31" s="37" t="n">
        <f aca="false">BH31*('Setting key Duty'!$I$9)</f>
        <v>0.125</v>
      </c>
      <c r="BJ31" s="37" t="n">
        <f aca="false">COUNTIF(D31:AI31,"*$AM*")</f>
        <v>2</v>
      </c>
      <c r="BK31" s="37" t="n">
        <f aca="false">BJ31*('Setting key Duty'!$I$12+'Setting key Duty'!$I$8)</f>
        <v>0.875</v>
      </c>
      <c r="BL31" s="37" t="n">
        <f aca="false">COUNTIF(C31:AI31,"*$FC*")</f>
        <v>0</v>
      </c>
      <c r="BM31" s="37" t="n">
        <f aca="false">BL31*('Setting key Duty'!$J$11+'Setting key Duty'!$I$8)</f>
        <v>0</v>
      </c>
      <c r="BN31" s="37" t="n">
        <f aca="false">COUNTIF($C31:$AG31,BN$4)</f>
        <v>0</v>
      </c>
      <c r="BO31" s="37" t="n">
        <f aca="false">COUNTIF($C31:$AG31,BO$4)</f>
        <v>2</v>
      </c>
      <c r="BP31" s="37" t="n">
        <f aca="false">COUNTIF($D31:$AE31,BP$4)</f>
        <v>0</v>
      </c>
      <c r="BQ31" s="68"/>
    </row>
    <row r="32" customFormat="false" ht="19.5" hidden="false" customHeight="true" outlineLevel="0" collapsed="false">
      <c r="A32" s="30"/>
      <c r="B32" s="122" t="s">
        <v>365</v>
      </c>
      <c r="C32" s="42"/>
      <c r="D32" s="42" t="n">
        <v>4</v>
      </c>
      <c r="E32" s="33"/>
      <c r="F32" s="32" t="s">
        <v>104</v>
      </c>
      <c r="G32" s="33"/>
      <c r="H32" s="33"/>
      <c r="I32" s="33"/>
      <c r="J32" s="32" t="s">
        <v>385</v>
      </c>
      <c r="L32" s="32" t="s">
        <v>403</v>
      </c>
      <c r="M32" s="32"/>
      <c r="N32" s="32"/>
      <c r="O32" s="45"/>
      <c r="P32" s="65" t="s">
        <v>93</v>
      </c>
      <c r="Q32" s="33"/>
      <c r="S32" s="32" t="s">
        <v>349</v>
      </c>
      <c r="T32" s="52"/>
      <c r="U32" s="32" t="s">
        <v>65</v>
      </c>
      <c r="X32" s="42"/>
      <c r="Y32" s="42" t="s">
        <v>404</v>
      </c>
      <c r="Z32" s="42" t="s">
        <v>404</v>
      </c>
      <c r="AA32" s="42" t="s">
        <v>404</v>
      </c>
      <c r="AB32" s="42" t="s">
        <v>404</v>
      </c>
      <c r="AC32" s="42" t="s">
        <v>404</v>
      </c>
      <c r="AD32" s="42"/>
      <c r="AE32" s="32"/>
      <c r="AF32" s="32" t="s">
        <v>116</v>
      </c>
      <c r="AG32" s="42"/>
      <c r="AH32" s="42"/>
      <c r="AI32" s="35"/>
      <c r="AJ32" s="36"/>
      <c r="AK32" s="35"/>
      <c r="AL32" s="66"/>
      <c r="AM32" s="66"/>
      <c r="AN32" s="66"/>
      <c r="AO32" s="66"/>
      <c r="AP32" s="67"/>
      <c r="AQ32" s="37" t="n">
        <f aca="false">SUMPRODUCT(--WEEKDAY(C$3:AG$3,2)&lt;6,--((C32:AG32="DM"))+(C32:AG32="CS1")+((C32:AG32="CS2"))+(C32:AG32="SB1")+(C32:AG32="AE")+(C32:AG32="EM"))</f>
        <v>0</v>
      </c>
      <c r="AR32" s="67"/>
      <c r="AS32" s="38" t="n">
        <f aca="false">SUMPRODUCT(--WEEKDAY(C$3:AG$3,2)&gt;5,--((C32:AG32="DM"))+(C32:AG32="CS1")+((C32:AG32="CS2"))+(C32:AG32="SB1")+(C32:AG32="AE")+(C32:AG32="EM"))</f>
        <v>1</v>
      </c>
      <c r="AT32" s="67"/>
      <c r="AU32" s="38" t="n">
        <f aca="false">(AQ32-AR32)/2+(AS32-AT32)</f>
        <v>1</v>
      </c>
      <c r="AV32" s="38" t="n">
        <f aca="false">AI32+AJ32+AK32+AL32+AN32+AO32</f>
        <v>0</v>
      </c>
      <c r="AW32" s="38" t="n">
        <f aca="false">BG32+BH32+BJ32+BE32+BC32+BA32+BL32</f>
        <v>9</v>
      </c>
      <c r="AX32" s="38" t="e">
        <f aca="false">AU32+AY32</f>
        <v>#VALUE!</v>
      </c>
      <c r="AY32" s="37" t="e">
        <f aca="false">(BJ32*('Setting key Duty'!$I$8+'Setting key Duty'!$I$12))+(BH32*'Setting key Duty'!$I$9)+(BC32*('Setting key Duty'!$I$13+'Setting key Duty'!$I$9))+(BA32*('Setting key Duty'!$I$13+'Setting key Duty'!$I$12+'Setting key Duty'!$I$11))+(BE32*('Setting key Duty'!$I$8+'Setting key Duty'!$I$9+'Setting key Duty'!$I$12))</f>
        <v>#VALUE!</v>
      </c>
      <c r="AZ32" s="37" t="n">
        <f aca="false">COUNTIF(C32:Y32,"*BRT*")</f>
        <v>0</v>
      </c>
      <c r="BA32" s="37" t="n">
        <f aca="false">COUNTIF(A32:AI32,"*$BTP*")</f>
        <v>1</v>
      </c>
      <c r="BB32" s="37" t="e">
        <f aca="false">BA32*('Setting key Duty'!$I$13+'Setting key Duty'!$I$12+'Setting key Duty'!$I$11)</f>
        <v>#VALUE!</v>
      </c>
      <c r="BC32" s="37" t="n">
        <f aca="false">COUNTIF(D32:AI32,"*$L*")</f>
        <v>0</v>
      </c>
      <c r="BD32" s="37" t="e">
        <f aca="false">BC32*('Setting key Duty'!$I$13+'Setting key Duty'!$I$9)</f>
        <v>#VALUE!</v>
      </c>
      <c r="BE32" s="37" t="n">
        <f aca="false">COUNTIF(D32:AI32,"*$M*")</f>
        <v>0</v>
      </c>
      <c r="BF32" s="37" t="n">
        <f aca="false">BE32*('Setting key Duty'!$I$8+'Setting key Duty'!$I$9+'Setting key Duty'!$I$12)</f>
        <v>0</v>
      </c>
      <c r="BG32" s="37" t="n">
        <f aca="false">COUNTIF(D32:AI32,"*$N*")</f>
        <v>0</v>
      </c>
      <c r="BH32" s="37" t="n">
        <f aca="false">COUNTIF(D32:AI32,"*$PM*")</f>
        <v>0</v>
      </c>
      <c r="BI32" s="37" t="n">
        <f aca="false">BH32*('Setting key Duty'!$I$9)</f>
        <v>0</v>
      </c>
      <c r="BJ32" s="37" t="n">
        <f aca="false">COUNTIF(D32:AI32,"*$AM*")</f>
        <v>3</v>
      </c>
      <c r="BK32" s="37" t="n">
        <f aca="false">BJ32*('Setting key Duty'!$I$12+'Setting key Duty'!$I$8)</f>
        <v>1.3125</v>
      </c>
      <c r="BL32" s="37" t="n">
        <f aca="false">COUNTIF(C32:AI32,"*$FC*")</f>
        <v>5</v>
      </c>
      <c r="BM32" s="37" t="n">
        <f aca="false">BL32*('Setting key Duty'!$J$11+'Setting key Duty'!$I$8)</f>
        <v>0.625</v>
      </c>
      <c r="BN32" s="37" t="n">
        <f aca="false">COUNTIF($C32:$AG32,BN$4)</f>
        <v>0</v>
      </c>
      <c r="BO32" s="37" t="n">
        <f aca="false">COUNTIF($C32:$AG32,BO$4)</f>
        <v>0</v>
      </c>
      <c r="BP32" s="37"/>
      <c r="BQ32" s="68"/>
    </row>
    <row r="33" customFormat="false" ht="19.5" hidden="false" customHeight="true" outlineLevel="0" collapsed="false">
      <c r="A33" s="30"/>
      <c r="B33" s="59" t="s">
        <v>366</v>
      </c>
      <c r="C33" s="42"/>
      <c r="D33" s="65" t="s">
        <v>93</v>
      </c>
      <c r="E33" s="33"/>
      <c r="F33" s="33"/>
      <c r="G33" s="33"/>
      <c r="H33" s="32" t="s">
        <v>65</v>
      </c>
      <c r="I33" s="33"/>
      <c r="J33" s="32" t="s">
        <v>65</v>
      </c>
      <c r="K33" s="65" t="s">
        <v>93</v>
      </c>
      <c r="L33" s="65" t="s">
        <v>93</v>
      </c>
      <c r="M33" s="63"/>
      <c r="N33" s="32" t="s">
        <v>65</v>
      </c>
      <c r="O33" s="45"/>
      <c r="Q33" s="32"/>
      <c r="R33" s="33"/>
      <c r="S33" s="32" t="s">
        <v>349</v>
      </c>
      <c r="T33" s="32" t="s">
        <v>65</v>
      </c>
      <c r="U33" s="32"/>
      <c r="V33" s="32"/>
      <c r="W33" s="32" t="s">
        <v>65</v>
      </c>
      <c r="X33" s="32"/>
      <c r="Y33" s="32" t="s">
        <v>65</v>
      </c>
      <c r="Z33" s="33"/>
      <c r="AA33" s="33"/>
      <c r="AD33" s="42" t="s">
        <v>65</v>
      </c>
      <c r="AE33" s="32" t="s">
        <v>93</v>
      </c>
      <c r="AF33" s="32" t="s">
        <v>65</v>
      </c>
      <c r="AG33" s="42"/>
      <c r="AH33" s="42"/>
      <c r="AI33" s="35"/>
      <c r="AJ33" s="36"/>
      <c r="AK33" s="35"/>
      <c r="AL33" s="66"/>
      <c r="AM33" s="66"/>
      <c r="AN33" s="66"/>
      <c r="AO33" s="66"/>
      <c r="AP33" s="67"/>
      <c r="AQ33" s="37" t="n">
        <f aca="false">SUMPRODUCT(--WEEKDAY(C$3:AG$3,2)&lt;6,--((C33:AG33="DM"))+(C33:AG33="CS1")+((C33:AG33="CS2"))+(C33:AG33="SB1")+(C33:AG33="AE")+(C33:AG33="EM"))</f>
        <v>6</v>
      </c>
      <c r="AR33" s="67"/>
      <c r="AS33" s="38" t="n">
        <f aca="false">SUMPRODUCT(--WEEKDAY(C$3:AG$3,2)&gt;5,--((C33:AG33="DM"))+(C33:AG33="CS1")+((C33:AG33="CS2"))+(C33:AG33="SB1")+(C33:AG33="AE")+(C33:AG33="EM"))</f>
        <v>2</v>
      </c>
      <c r="AT33" s="67"/>
      <c r="AU33" s="38" t="n">
        <f aca="false">(AQ33-AR33)/2+(AS33-AT33)</f>
        <v>5</v>
      </c>
      <c r="AV33" s="38" t="n">
        <f aca="false">AI33+AJ33+AK33+AL33+AN33+AO33</f>
        <v>0</v>
      </c>
      <c r="AW33" s="38" t="n">
        <f aca="false">BG33+BH33+BJ33+BE33+BC33+BA33+BL33</f>
        <v>0</v>
      </c>
      <c r="AX33" s="38" t="e">
        <f aca="false">AU33+AY33</f>
        <v>#VALUE!</v>
      </c>
      <c r="AY33" s="37" t="e">
        <f aca="false">(BJ33*('Setting key Duty'!$I$8+'Setting key Duty'!$I$12))+(BH33*'Setting key Duty'!$I$9)+(BC33*('Setting key Duty'!$I$13+'Setting key Duty'!$I$9))+(BA33*('Setting key Duty'!$I$13+'Setting key Duty'!$I$12+'Setting key Duty'!$I$11))+(BE33*('Setting key Duty'!$I$8+'Setting key Duty'!$I$9+'Setting key Duty'!$I$12))</f>
        <v>#VALUE!</v>
      </c>
      <c r="AZ33" s="37" t="n">
        <f aca="false">COUNTIF(C33:Y33,"*BRT*")</f>
        <v>0</v>
      </c>
      <c r="BA33" s="37" t="n">
        <f aca="false">COUNTIF(A33:AI33,"*$BTP*")</f>
        <v>0</v>
      </c>
      <c r="BB33" s="37" t="e">
        <f aca="false">BA33*('Setting key Duty'!$I$13+'Setting key Duty'!$I$12+'Setting key Duty'!$I$11)</f>
        <v>#VALUE!</v>
      </c>
      <c r="BC33" s="37" t="n">
        <f aca="false">COUNTIF(D33:AI33,"*$L*")</f>
        <v>0</v>
      </c>
      <c r="BD33" s="37" t="e">
        <f aca="false">BC33*('Setting key Duty'!$I$13+'Setting key Duty'!$I$9)</f>
        <v>#VALUE!</v>
      </c>
      <c r="BE33" s="37" t="n">
        <f aca="false">COUNTIF(D33:AI33,"*$M*")</f>
        <v>0</v>
      </c>
      <c r="BF33" s="37" t="n">
        <f aca="false">BE33*('Setting key Duty'!$I$8+'Setting key Duty'!$I$9+'Setting key Duty'!$I$12)</f>
        <v>0</v>
      </c>
      <c r="BG33" s="37" t="n">
        <f aca="false">COUNTIF(D33:AI33,"*$N*")</f>
        <v>0</v>
      </c>
      <c r="BH33" s="37" t="n">
        <f aca="false">COUNTIF(D33:AI33,"*$PM*")</f>
        <v>0</v>
      </c>
      <c r="BI33" s="37" t="n">
        <f aca="false">BH33*('Setting key Duty'!$I$9)</f>
        <v>0</v>
      </c>
      <c r="BJ33" s="37" t="n">
        <f aca="false">COUNTIF(D33:AI33,"*$AM*")</f>
        <v>0</v>
      </c>
      <c r="BK33" s="37" t="n">
        <f aca="false">BJ33*('Setting key Duty'!$I$12+'Setting key Duty'!$I$8)</f>
        <v>0</v>
      </c>
      <c r="BL33" s="37" t="n">
        <f aca="false">COUNTIF(C33:AI33,"*$FC*")</f>
        <v>0</v>
      </c>
      <c r="BM33" s="37" t="n">
        <f aca="false">BL33*('Setting key Duty'!$J$11+'Setting key Duty'!$I$8)</f>
        <v>0</v>
      </c>
      <c r="BN33" s="37" t="n">
        <f aca="false">COUNTIF($C33:$AG33,BN$4)</f>
        <v>0</v>
      </c>
      <c r="BO33" s="37" t="n">
        <f aca="false">COUNTIF($C33:$AG33,BO$4)</f>
        <v>0</v>
      </c>
      <c r="BP33" s="37"/>
      <c r="BQ33" s="68"/>
    </row>
    <row r="34" customFormat="false" ht="19.5" hidden="false" customHeight="true" outlineLevel="0" collapsed="false">
      <c r="A34" s="30"/>
      <c r="B34" s="59" t="s">
        <v>367</v>
      </c>
      <c r="C34" s="42"/>
      <c r="D34" s="42" t="n">
        <v>4</v>
      </c>
      <c r="F34" s="32" t="s">
        <v>65</v>
      </c>
      <c r="G34" s="33"/>
      <c r="H34" s="33"/>
      <c r="I34" s="33"/>
      <c r="J34" s="32"/>
      <c r="K34" s="45"/>
      <c r="L34" s="45"/>
      <c r="M34" s="32" t="s">
        <v>403</v>
      </c>
      <c r="N34" s="45"/>
      <c r="O34" s="45"/>
      <c r="P34" s="32"/>
      <c r="Q34" s="32" t="s">
        <v>386</v>
      </c>
      <c r="R34" s="32" t="s">
        <v>246</v>
      </c>
      <c r="S34" s="32" t="s">
        <v>349</v>
      </c>
      <c r="T34" s="52"/>
      <c r="U34" s="32"/>
      <c r="V34" s="32"/>
      <c r="W34" s="32" t="s">
        <v>93</v>
      </c>
      <c r="X34" s="98" t="s">
        <v>144</v>
      </c>
      <c r="Z34" s="33"/>
      <c r="AA34" s="32" t="s">
        <v>405</v>
      </c>
      <c r="AB34" s="32" t="s">
        <v>405</v>
      </c>
      <c r="AC34" s="32" t="s">
        <v>405</v>
      </c>
      <c r="AD34" s="32" t="s">
        <v>405</v>
      </c>
      <c r="AE34" s="32" t="s">
        <v>405</v>
      </c>
      <c r="AF34" s="42"/>
      <c r="AG34" s="42"/>
      <c r="AH34" s="42"/>
      <c r="AI34" s="35"/>
      <c r="AJ34" s="36"/>
      <c r="AK34" s="35"/>
      <c r="AL34" s="66"/>
      <c r="AM34" s="66"/>
      <c r="AN34" s="66"/>
      <c r="AO34" s="66"/>
      <c r="AP34" s="67"/>
      <c r="AQ34" s="37" t="n">
        <f aca="false">SUMPRODUCT(--WEEKDAY(C$3:AG$3,2)&lt;6,--((C34:AG34="DM"))+(C34:AG34="CS1")+((C34:AG34="CS2"))+(C34:AG34="SB1")+(C34:AG34="AE")+(C34:AG34="EM"))</f>
        <v>1</v>
      </c>
      <c r="AR34" s="67"/>
      <c r="AS34" s="38" t="n">
        <f aca="false">SUMPRODUCT(--WEEKDAY(C$3:AG$3,2)&gt;5,--((C34:AG34="DM"))+(C34:AG34="CS1")+((C34:AG34="CS2"))+(C34:AG34="SB1")+(C34:AG34="AE")+(C34:AG34="EM"))</f>
        <v>0</v>
      </c>
      <c r="AT34" s="67"/>
      <c r="AU34" s="38" t="n">
        <f aca="false">(AQ34-AR34)/2+(AS34-AT34)</f>
        <v>0.5</v>
      </c>
      <c r="AV34" s="38" t="n">
        <f aca="false">AI34+AJ34+AK34+AL34+AN34+AO34</f>
        <v>0</v>
      </c>
      <c r="AW34" s="38" t="n">
        <f aca="false">BG34+BH34+BJ34+BE34+BC34+BA34+BL34</f>
        <v>9</v>
      </c>
      <c r="AX34" s="38" t="e">
        <f aca="false">AU34+AY34</f>
        <v>#VALUE!</v>
      </c>
      <c r="AY34" s="37" t="e">
        <f aca="false">(BJ34*('Setting key Duty'!$I$8+'Setting key Duty'!$I$12))+(BH34*'Setting key Duty'!$I$9)+(BC34*('Setting key Duty'!$I$13+'Setting key Duty'!$I$9))+(BA34*('Setting key Duty'!$I$13+'Setting key Duty'!$I$12+'Setting key Duty'!$I$11))+(BE34*('Setting key Duty'!$I$8+'Setting key Duty'!$I$9+'Setting key Duty'!$I$12))</f>
        <v>#VALUE!</v>
      </c>
      <c r="AZ34" s="37" t="n">
        <f aca="false">COUNTIF(C34:Y34,"*BRT*")</f>
        <v>0</v>
      </c>
      <c r="BA34" s="37" t="n">
        <f aca="false">COUNTIF(A34:AI34,"*$BTP*")</f>
        <v>1</v>
      </c>
      <c r="BB34" s="37" t="e">
        <f aca="false">BA34*('Setting key Duty'!$I$13+'Setting key Duty'!$I$12+'Setting key Duty'!$I$11)</f>
        <v>#VALUE!</v>
      </c>
      <c r="BC34" s="37" t="n">
        <f aca="false">COUNTIF(D34:AI34,"*$L*")</f>
        <v>0</v>
      </c>
      <c r="BD34" s="37" t="e">
        <f aca="false">BC34*('Setting key Duty'!$I$13+'Setting key Duty'!$I$9)</f>
        <v>#VALUE!</v>
      </c>
      <c r="BE34" s="37" t="n">
        <f aca="false">COUNTIF(D34:AI34,"*$M*")</f>
        <v>0</v>
      </c>
      <c r="BF34" s="37" t="n">
        <f aca="false">BE34*('Setting key Duty'!$I$8+'Setting key Duty'!$I$9+'Setting key Duty'!$I$12)</f>
        <v>0</v>
      </c>
      <c r="BG34" s="37" t="n">
        <f aca="false">COUNTIF(D34:AI34,"*$N*")</f>
        <v>0</v>
      </c>
      <c r="BH34" s="37" t="n">
        <f aca="false">COUNTIF(D34:AI34,"*$PM*")</f>
        <v>0</v>
      </c>
      <c r="BI34" s="37" t="n">
        <f aca="false">BH34*('Setting key Duty'!$I$9)</f>
        <v>0</v>
      </c>
      <c r="BJ34" s="37" t="n">
        <f aca="false">COUNTIF(D34:AI34,"*$AM*")</f>
        <v>3</v>
      </c>
      <c r="BK34" s="37" t="n">
        <f aca="false">BJ34*('Setting key Duty'!$I$12+'Setting key Duty'!$I$8)</f>
        <v>1.3125</v>
      </c>
      <c r="BL34" s="37" t="n">
        <f aca="false">COUNTIF(C34:AI34,"*$FC*")</f>
        <v>5</v>
      </c>
      <c r="BM34" s="37" t="n">
        <f aca="false">BL34*('Setting key Duty'!$J$11+'Setting key Duty'!$I$8)</f>
        <v>0.625</v>
      </c>
      <c r="BN34" s="37" t="n">
        <f aca="false">COUNTIF($C34:$AG34,BN$4)</f>
        <v>0</v>
      </c>
      <c r="BO34" s="37" t="n">
        <f aca="false">COUNTIF($C34:$AG34,BO$4)</f>
        <v>0</v>
      </c>
      <c r="BP34" s="37"/>
      <c r="BQ34" s="68"/>
    </row>
    <row r="35" customFormat="false" ht="19.5" hidden="false" customHeight="true" outlineLevel="0" collapsed="false">
      <c r="A35" s="30"/>
      <c r="B35" s="59" t="s">
        <v>368</v>
      </c>
      <c r="C35" s="42"/>
      <c r="D35" s="42" t="n">
        <v>4</v>
      </c>
      <c r="F35" s="33"/>
      <c r="G35" s="33"/>
      <c r="H35" s="33"/>
      <c r="I35" s="32" t="s">
        <v>354</v>
      </c>
      <c r="J35" s="42"/>
      <c r="K35" s="32" t="s">
        <v>391</v>
      </c>
      <c r="M35" s="65" t="s">
        <v>93</v>
      </c>
      <c r="N35" s="45"/>
      <c r="O35" s="45"/>
      <c r="P35" s="32" t="s">
        <v>387</v>
      </c>
      <c r="Q35" s="32" t="s">
        <v>93</v>
      </c>
      <c r="R35" s="33"/>
      <c r="S35" s="32" t="s">
        <v>349</v>
      </c>
      <c r="T35" s="52"/>
      <c r="U35" s="32"/>
      <c r="V35" s="32"/>
      <c r="W35" s="32" t="s">
        <v>246</v>
      </c>
      <c r="X35" s="42"/>
      <c r="Y35" s="33"/>
      <c r="Z35" s="32" t="s">
        <v>406</v>
      </c>
      <c r="AA35" s="32" t="s">
        <v>406</v>
      </c>
      <c r="AB35" s="32" t="s">
        <v>406</v>
      </c>
      <c r="AC35" s="32" t="s">
        <v>406</v>
      </c>
      <c r="AD35" s="32" t="s">
        <v>406</v>
      </c>
      <c r="AE35" s="42"/>
      <c r="AF35" s="42"/>
      <c r="AG35" s="42"/>
      <c r="AH35" s="42" t="s">
        <v>65</v>
      </c>
      <c r="AI35" s="35"/>
      <c r="AJ35" s="36"/>
      <c r="AK35" s="35"/>
      <c r="AL35" s="66"/>
      <c r="AM35" s="66"/>
      <c r="AN35" s="66"/>
      <c r="AO35" s="66"/>
      <c r="AP35" s="67"/>
      <c r="AQ35" s="37" t="n">
        <f aca="false">SUMPRODUCT(--WEEKDAY(C$3:AG$3,2)&lt;6,--((C35:AG35="DM"))+(C35:AG35="CS1")+((C35:AG35="CS2"))+(C35:AG35="SB1")+(C35:AG35="AE")+(C35:AG35="EM"))</f>
        <v>0</v>
      </c>
      <c r="AR35" s="67"/>
      <c r="AS35" s="38" t="n">
        <f aca="false">SUMPRODUCT(--WEEKDAY(C$3:AG$3,2)&gt;5,--((C35:AG35="DM"))+(C35:AG35="CS1")+((C35:AG35="CS2"))+(C35:AG35="SB1")+(C35:AG35="AE")+(C35:AG35="EM"))</f>
        <v>0</v>
      </c>
      <c r="AT35" s="67"/>
      <c r="AU35" s="38" t="n">
        <f aca="false">(AQ35-AR35)/2+(AS35-AT35)</f>
        <v>0</v>
      </c>
      <c r="AV35" s="38" t="n">
        <f aca="false">AI35+AJ35+AK35+AL35+AN35+AO35</f>
        <v>0</v>
      </c>
      <c r="AW35" s="38" t="n">
        <f aca="false">BG35+BH35+BJ35+BE35+BC35+BA35+BL35</f>
        <v>9</v>
      </c>
      <c r="AX35" s="38" t="e">
        <f aca="false">AU35+AY35</f>
        <v>#VALUE!</v>
      </c>
      <c r="AY35" s="37" t="e">
        <f aca="false">(BJ35*('Setting key Duty'!$I$8+'Setting key Duty'!$I$12))+(BH35*'Setting key Duty'!$I$9)+(BC35*('Setting key Duty'!$I$13+'Setting key Duty'!$I$9))+(BA35*('Setting key Duty'!$I$13+'Setting key Duty'!$I$12+'Setting key Duty'!$I$11))+(BE35*('Setting key Duty'!$I$8+'Setting key Duty'!$I$9+'Setting key Duty'!$I$12))</f>
        <v>#VALUE!</v>
      </c>
      <c r="AZ35" s="37" t="n">
        <f aca="false">COUNTIF(C35:Y35,"*BRT*")</f>
        <v>0</v>
      </c>
      <c r="BA35" s="37" t="n">
        <f aca="false">COUNTIF(A35:AI35,"*$BTP*")</f>
        <v>1</v>
      </c>
      <c r="BB35" s="37" t="e">
        <f aca="false">BA35*('Setting key Duty'!$I$13+'Setting key Duty'!$I$12+'Setting key Duty'!$I$11)</f>
        <v>#VALUE!</v>
      </c>
      <c r="BC35" s="37" t="n">
        <f aca="false">COUNTIF(D35:AI35,"*$L*")</f>
        <v>0</v>
      </c>
      <c r="BD35" s="37" t="e">
        <f aca="false">BC35*('Setting key Duty'!$I$13+'Setting key Duty'!$I$9)</f>
        <v>#VALUE!</v>
      </c>
      <c r="BE35" s="37" t="n">
        <f aca="false">COUNTIF(D35:AI35,"*$M*")</f>
        <v>0</v>
      </c>
      <c r="BF35" s="37" t="n">
        <f aca="false">BE35*('Setting key Duty'!$I$8+'Setting key Duty'!$I$9+'Setting key Duty'!$I$12)</f>
        <v>0</v>
      </c>
      <c r="BG35" s="37" t="n">
        <f aca="false">COUNTIF(D35:AI35,"*$N*")</f>
        <v>0</v>
      </c>
      <c r="BH35" s="37" t="n">
        <f aca="false">COUNTIF(D35:AI35,"*$PM*")</f>
        <v>0</v>
      </c>
      <c r="BI35" s="37" t="n">
        <f aca="false">BH35*('Setting key Duty'!$I$9)</f>
        <v>0</v>
      </c>
      <c r="BJ35" s="37" t="n">
        <f aca="false">COUNTIF(D35:AI35,"*$AM*")</f>
        <v>3</v>
      </c>
      <c r="BK35" s="37" t="n">
        <f aca="false">BJ35*('Setting key Duty'!$I$12+'Setting key Duty'!$I$8)</f>
        <v>1.3125</v>
      </c>
      <c r="BL35" s="37" t="n">
        <f aca="false">COUNTIF(C35:AI35,"*$FC*")</f>
        <v>5</v>
      </c>
      <c r="BM35" s="37" t="n">
        <f aca="false">BL35*('Setting key Duty'!$J$11+'Setting key Duty'!$I$8)</f>
        <v>0.625</v>
      </c>
      <c r="BN35" s="37" t="n">
        <f aca="false">COUNTIF($C35:$AG35,BN$4)</f>
        <v>0</v>
      </c>
      <c r="BO35" s="37" t="n">
        <f aca="false">COUNTIF($C35:$AG35,BO$4)</f>
        <v>0</v>
      </c>
      <c r="BP35" s="37"/>
      <c r="BQ35" s="68"/>
    </row>
    <row r="36" customFormat="false" ht="19.5" hidden="false" customHeight="true" outlineLevel="0" collapsed="false">
      <c r="A36" s="30"/>
      <c r="B36" s="59" t="s">
        <v>369</v>
      </c>
      <c r="C36" s="42"/>
      <c r="D36" s="42" t="n">
        <v>4</v>
      </c>
      <c r="E36" s="33"/>
      <c r="F36" s="65" t="s">
        <v>93</v>
      </c>
      <c r="G36" s="33"/>
      <c r="H36" s="33"/>
      <c r="I36" s="33"/>
      <c r="J36" s="32" t="s">
        <v>407</v>
      </c>
      <c r="L36" s="34" t="s">
        <v>235</v>
      </c>
      <c r="M36" s="42"/>
      <c r="N36" s="45"/>
      <c r="O36" s="45"/>
      <c r="P36" s="32" t="s">
        <v>106</v>
      </c>
      <c r="Q36" s="32" t="s">
        <v>408</v>
      </c>
      <c r="R36" s="32" t="s">
        <v>93</v>
      </c>
      <c r="S36" s="32" t="s">
        <v>349</v>
      </c>
      <c r="T36" s="52"/>
      <c r="V36" s="32" t="s">
        <v>65</v>
      </c>
      <c r="W36" s="32"/>
      <c r="X36" s="32" t="s">
        <v>93</v>
      </c>
      <c r="Y36" s="98"/>
      <c r="Z36" s="33"/>
      <c r="AA36" s="32" t="s">
        <v>65</v>
      </c>
      <c r="AB36" s="33"/>
      <c r="AC36" s="33"/>
      <c r="AD36" s="32" t="s">
        <v>402</v>
      </c>
      <c r="AF36" s="32" t="s">
        <v>399</v>
      </c>
      <c r="AG36" s="42"/>
      <c r="AH36" s="42"/>
      <c r="AI36" s="35"/>
      <c r="AJ36" s="36"/>
      <c r="AK36" s="35"/>
      <c r="AL36" s="66"/>
      <c r="AM36" s="66"/>
      <c r="AN36" s="66"/>
      <c r="AO36" s="66"/>
      <c r="AP36" s="67"/>
      <c r="AQ36" s="37" t="n">
        <f aca="false">SUMPRODUCT(--WEEKDAY(C$3:AG$3,2)&lt;6,--((C36:AG36="DM"))+(C36:AG36="CS1")+((C36:AG36="CS2"))+(C36:AG36="SB1")+(C36:AG36="AE")+(C36:AG36="EM"))</f>
        <v>1</v>
      </c>
      <c r="AR36" s="67"/>
      <c r="AS36" s="38" t="n">
        <f aca="false">SUMPRODUCT(--WEEKDAY(C$3:AG$3,2)&gt;5,--((C36:AG36="DM"))+(C36:AG36="CS1")+((C36:AG36="CS2"))+(C36:AG36="SB1")+(C36:AG36="AE")+(C36:AG36="EM"))</f>
        <v>1</v>
      </c>
      <c r="AT36" s="67"/>
      <c r="AU36" s="38" t="n">
        <f aca="false">(AQ36-AR36)/2+(AS36-AT36)</f>
        <v>1.5</v>
      </c>
      <c r="AV36" s="38" t="n">
        <f aca="false">AI36+AJ36+AK36+AL36+AN36+AO36</f>
        <v>0</v>
      </c>
      <c r="AW36" s="38" t="n">
        <f aca="false">BG36+BH36+BJ36+BE36+BC36+BA36+BL36</f>
        <v>6</v>
      </c>
      <c r="AX36" s="38" t="e">
        <f aca="false">AU36+AY36</f>
        <v>#VALUE!</v>
      </c>
      <c r="AY36" s="37" t="e">
        <f aca="false">(BJ36*('Setting key Duty'!$I$8+'Setting key Duty'!$I$12))+(BH36*'Setting key Duty'!$I$9)+(BC36*('Setting key Duty'!$I$13+'Setting key Duty'!$I$9))+(BA36*('Setting key Duty'!$I$13+'Setting key Duty'!$I$12+'Setting key Duty'!$I$11))+(BE36*('Setting key Duty'!$I$8+'Setting key Duty'!$I$9+'Setting key Duty'!$I$12))</f>
        <v>#VALUE!</v>
      </c>
      <c r="AZ36" s="37" t="n">
        <f aca="false">COUNTIF(C36:Y36,"*BRT*")</f>
        <v>0</v>
      </c>
      <c r="BA36" s="37" t="n">
        <f aca="false">COUNTIF(A36:AI36,"*$BTP*")</f>
        <v>1</v>
      </c>
      <c r="BB36" s="37" t="e">
        <f aca="false">BA36*('Setting key Duty'!$I$13+'Setting key Duty'!$I$12+'Setting key Duty'!$I$11)</f>
        <v>#VALUE!</v>
      </c>
      <c r="BC36" s="37" t="n">
        <f aca="false">COUNTIF(D36:AI36,"*$L*")</f>
        <v>0</v>
      </c>
      <c r="BD36" s="37" t="e">
        <f aca="false">BC36*('Setting key Duty'!$I$13+'Setting key Duty'!$I$9)</f>
        <v>#VALUE!</v>
      </c>
      <c r="BE36" s="37" t="n">
        <f aca="false">COUNTIF(D36:AI36,"*$M*")</f>
        <v>0</v>
      </c>
      <c r="BF36" s="37" t="n">
        <f aca="false">BE36*('Setting key Duty'!$I$8+'Setting key Duty'!$I$9+'Setting key Duty'!$I$12)</f>
        <v>0</v>
      </c>
      <c r="BG36" s="37" t="n">
        <f aca="false">COUNTIF(D36:AI36,"*$N*")</f>
        <v>0</v>
      </c>
      <c r="BH36" s="37" t="n">
        <f aca="false">COUNTIF(D36:AI36,"*$PM*")</f>
        <v>2</v>
      </c>
      <c r="BI36" s="37" t="n">
        <f aca="false">BH36*('Setting key Duty'!$I$9)</f>
        <v>0.25</v>
      </c>
      <c r="BJ36" s="37" t="n">
        <f aca="false">COUNTIF(D36:AI36,"*$AM*")</f>
        <v>3</v>
      </c>
      <c r="BK36" s="37" t="n">
        <f aca="false">BJ36*('Setting key Duty'!$I$12+'Setting key Duty'!$I$8)</f>
        <v>1.3125</v>
      </c>
      <c r="BL36" s="37" t="n">
        <f aca="false">COUNTIF(C36:AI36,"*$FC*")</f>
        <v>0</v>
      </c>
      <c r="BM36" s="37" t="n">
        <f aca="false">BL36*('Setting key Duty'!$J$11+'Setting key Duty'!$I$8)</f>
        <v>0</v>
      </c>
      <c r="BN36" s="37" t="n">
        <f aca="false">COUNTIF($C36:$AG36,BN$4)</f>
        <v>0</v>
      </c>
      <c r="BO36" s="37" t="n">
        <f aca="false">COUNTIF($C36:$AG36,BO$4)</f>
        <v>0</v>
      </c>
      <c r="BP36" s="37"/>
      <c r="BQ36" s="68"/>
    </row>
    <row r="37" customFormat="false" ht="19.5" hidden="false" customHeight="true" outlineLevel="0" collapsed="false">
      <c r="A37" s="30"/>
      <c r="B37" s="59" t="s">
        <v>370</v>
      </c>
      <c r="C37" s="32"/>
      <c r="D37" s="42" t="s">
        <v>65</v>
      </c>
      <c r="E37" s="33"/>
      <c r="F37" s="33"/>
      <c r="G37" s="32" t="s">
        <v>65</v>
      </c>
      <c r="H37" s="33"/>
      <c r="I37" s="65" t="s">
        <v>93</v>
      </c>
      <c r="K37" s="32" t="s">
        <v>65</v>
      </c>
      <c r="M37" s="42"/>
      <c r="N37" s="45"/>
      <c r="O37" s="32" t="s">
        <v>65</v>
      </c>
      <c r="Q37" s="32" t="s">
        <v>65</v>
      </c>
      <c r="R37" s="33"/>
      <c r="S37" s="32" t="s">
        <v>349</v>
      </c>
      <c r="U37" s="32"/>
      <c r="V37" s="32"/>
      <c r="X37" s="32" t="s">
        <v>65</v>
      </c>
      <c r="Y37" s="33"/>
      <c r="Z37" s="32" t="s">
        <v>93</v>
      </c>
      <c r="AA37" s="47" t="s">
        <v>54</v>
      </c>
      <c r="AB37" s="46" t="s">
        <v>54</v>
      </c>
      <c r="AC37" s="46" t="s">
        <v>54</v>
      </c>
      <c r="AD37" s="32"/>
      <c r="AE37" s="32" t="s">
        <v>65</v>
      </c>
      <c r="AF37" s="42"/>
      <c r="AG37" s="42"/>
      <c r="AH37" s="42"/>
      <c r="AI37" s="35"/>
      <c r="AJ37" s="36"/>
      <c r="AK37" s="35"/>
      <c r="AL37" s="66"/>
      <c r="AM37" s="66"/>
      <c r="AN37" s="66"/>
      <c r="AO37" s="66"/>
      <c r="AP37" s="67"/>
      <c r="AQ37" s="37" t="n">
        <f aca="false">SUMPRODUCT(--WEEKDAY(C$3:AG$3,2)&lt;6,--((C37:AG37="DM"))+(C37:AG37="CS1")+((C37:AG37="CS2"))+(C37:AG37="SB1")+(C37:AG37="AE")+(C37:AG37="EM"))</f>
        <v>5</v>
      </c>
      <c r="AR37" s="67"/>
      <c r="AS37" s="38" t="n">
        <f aca="false">SUMPRODUCT(--WEEKDAY(C$3:AG$3,2)&gt;5,--((C37:AG37="DM"))+(C37:AG37="CS1")+((C37:AG37="CS2"))+(C37:AG37="SB1")+(C37:AG37="AE")+(C37:AG37="EM"))</f>
        <v>2</v>
      </c>
      <c r="AT37" s="67"/>
      <c r="AU37" s="38" t="n">
        <f aca="false">(AQ37-AR37)/2+(AS37-AT37)</f>
        <v>4.5</v>
      </c>
      <c r="AV37" s="38" t="n">
        <f aca="false">AI37+AJ37+AK37+AL37+AN37+AO37</f>
        <v>0</v>
      </c>
      <c r="AW37" s="38" t="n">
        <f aca="false">BG37+BH37+BJ37+BE37+BC37+BA37+BL37</f>
        <v>0</v>
      </c>
      <c r="AX37" s="38" t="e">
        <f aca="false">AU37+AY37</f>
        <v>#VALUE!</v>
      </c>
      <c r="AY37" s="37" t="e">
        <f aca="false">(BJ37*('Setting key Duty'!$I$8+'Setting key Duty'!$I$12))+(BH37*'Setting key Duty'!$I$9)+(BC37*('Setting key Duty'!$I$13+'Setting key Duty'!$I$9))+(BA37*('Setting key Duty'!$I$13+'Setting key Duty'!$I$12+'Setting key Duty'!$I$11))+(BE37*('Setting key Duty'!$I$8+'Setting key Duty'!$I$9+'Setting key Duty'!$I$12))</f>
        <v>#VALUE!</v>
      </c>
      <c r="AZ37" s="37" t="n">
        <f aca="false">COUNTIF(C37:Y37,"*BRT*")</f>
        <v>0</v>
      </c>
      <c r="BA37" s="37" t="n">
        <f aca="false">COUNTIF(A37:AI37,"*$BTP*")</f>
        <v>0</v>
      </c>
      <c r="BB37" s="37" t="e">
        <f aca="false">BA37*('Setting key Duty'!$I$13+'Setting key Duty'!$I$12+'Setting key Duty'!$I$11)</f>
        <v>#VALUE!</v>
      </c>
      <c r="BC37" s="37" t="n">
        <f aca="false">COUNTIF(D37:AI37,"*$L*")</f>
        <v>0</v>
      </c>
      <c r="BD37" s="37" t="e">
        <f aca="false">BC37*('Setting key Duty'!$I$13+'Setting key Duty'!$I$9)</f>
        <v>#VALUE!</v>
      </c>
      <c r="BE37" s="37" t="n">
        <f aca="false">COUNTIF(D37:AI37,"*$M*")</f>
        <v>0</v>
      </c>
      <c r="BF37" s="37" t="n">
        <f aca="false">BE37*('Setting key Duty'!$I$8+'Setting key Duty'!$I$9+'Setting key Duty'!$I$12)</f>
        <v>0</v>
      </c>
      <c r="BG37" s="37" t="n">
        <f aca="false">COUNTIF(D37:AI37,"*$N*")</f>
        <v>0</v>
      </c>
      <c r="BH37" s="37" t="n">
        <f aca="false">COUNTIF(D37:AI37,"*$PM*")</f>
        <v>0</v>
      </c>
      <c r="BI37" s="37" t="n">
        <f aca="false">BH37*('Setting key Duty'!$I$9)</f>
        <v>0</v>
      </c>
      <c r="BJ37" s="37" t="n">
        <f aca="false">COUNTIF(D37:AI37,"*$AM*")</f>
        <v>0</v>
      </c>
      <c r="BK37" s="37" t="n">
        <f aca="false">BJ37*('Setting key Duty'!$I$12+'Setting key Duty'!$I$8)</f>
        <v>0</v>
      </c>
      <c r="BL37" s="37" t="n">
        <f aca="false">COUNTIF(C37:AI37,"*$FC*")</f>
        <v>0</v>
      </c>
      <c r="BM37" s="37" t="n">
        <f aca="false">BL37*('Setting key Duty'!$J$11+'Setting key Duty'!$I$8)</f>
        <v>0</v>
      </c>
      <c r="BN37" s="37" t="n">
        <f aca="false">COUNTIF($C37:$AG37,BN$4)</f>
        <v>0</v>
      </c>
      <c r="BO37" s="37" t="n">
        <f aca="false">COUNTIF($C37:$AG37,BO$4)</f>
        <v>0</v>
      </c>
      <c r="BP37" s="37"/>
      <c r="BQ37" s="68"/>
    </row>
    <row r="38" customFormat="false" ht="19.5" hidden="false" customHeight="true" outlineLevel="0" collapsed="false">
      <c r="A38" s="30"/>
      <c r="B38" s="59" t="s">
        <v>371</v>
      </c>
      <c r="C38" s="42" t="s">
        <v>409</v>
      </c>
      <c r="D38" s="42" t="s">
        <v>409</v>
      </c>
      <c r="E38" s="42" t="s">
        <v>409</v>
      </c>
      <c r="F38" s="42" t="s">
        <v>409</v>
      </c>
      <c r="G38" s="42" t="s">
        <v>409</v>
      </c>
      <c r="H38" s="42" t="s">
        <v>409</v>
      </c>
      <c r="I38" s="42" t="s">
        <v>409</v>
      </c>
      <c r="J38" s="42" t="s">
        <v>409</v>
      </c>
      <c r="K38" s="42" t="s">
        <v>409</v>
      </c>
      <c r="L38" s="42" t="s">
        <v>409</v>
      </c>
      <c r="M38" s="42" t="s">
        <v>409</v>
      </c>
      <c r="N38" s="42" t="s">
        <v>409</v>
      </c>
      <c r="O38" s="42" t="s">
        <v>409</v>
      </c>
      <c r="P38" s="42" t="s">
        <v>409</v>
      </c>
      <c r="Q38" s="42" t="s">
        <v>409</v>
      </c>
      <c r="R38" s="42" t="s">
        <v>409</v>
      </c>
      <c r="S38" s="32" t="s">
        <v>349</v>
      </c>
      <c r="T38" s="42" t="s">
        <v>409</v>
      </c>
      <c r="U38" s="42" t="s">
        <v>409</v>
      </c>
      <c r="V38" s="42" t="s">
        <v>409</v>
      </c>
      <c r="W38" s="42" t="s">
        <v>409</v>
      </c>
      <c r="X38" s="42" t="s">
        <v>409</v>
      </c>
      <c r="Y38" s="42" t="s">
        <v>409</v>
      </c>
      <c r="Z38" s="42" t="s">
        <v>409</v>
      </c>
      <c r="AA38" s="42" t="s">
        <v>409</v>
      </c>
      <c r="AB38" s="42" t="s">
        <v>409</v>
      </c>
      <c r="AC38" s="42" t="s">
        <v>409</v>
      </c>
      <c r="AD38" s="42" t="s">
        <v>409</v>
      </c>
      <c r="AE38" s="42" t="s">
        <v>409</v>
      </c>
      <c r="AF38" s="42" t="s">
        <v>409</v>
      </c>
      <c r="AG38" s="42" t="s">
        <v>409</v>
      </c>
      <c r="AH38" s="42" t="s">
        <v>409</v>
      </c>
      <c r="AI38" s="35"/>
      <c r="AJ38" s="36"/>
      <c r="AK38" s="35"/>
      <c r="AL38" s="66"/>
      <c r="AM38" s="66"/>
      <c r="AN38" s="66"/>
      <c r="AO38" s="66"/>
      <c r="AP38" s="67"/>
      <c r="AQ38" s="37" t="n">
        <f aca="false">SUMPRODUCT(--WEEKDAY(C$3:AG$3,2)&lt;6,--((C38:AG38="DM"))+(C38:AG38="CS1")+((C38:AG38="CS2"))+(C38:AG38="SB1")+(C38:AG38="AE")+(C38:AG38="EM"))</f>
        <v>0</v>
      </c>
      <c r="AR38" s="67"/>
      <c r="AS38" s="38" t="n">
        <f aca="false">SUMPRODUCT(--WEEKDAY(C$3:AG$3,2)&gt;5,--((C38:AG38="DM"))+(C38:AG38="CS1")+((C38:AG38="CS2"))+(C38:AG38="SB1")+(C38:AG38="AE")+(C38:AG38="EM"))</f>
        <v>0</v>
      </c>
      <c r="AT38" s="67"/>
      <c r="AU38" s="38" t="n">
        <f aca="false">(AQ38-AR38)/2+(AS38-AT38)</f>
        <v>0</v>
      </c>
      <c r="AV38" s="38" t="n">
        <f aca="false">AI38+AJ38+AK38+AL38+AN38+AO38</f>
        <v>0</v>
      </c>
      <c r="AW38" s="38" t="n">
        <f aca="false">BG38+BH38+BJ38+BE38+BC38+BA38+BL38</f>
        <v>0</v>
      </c>
      <c r="AX38" s="38" t="e">
        <f aca="false">AU38+AY38</f>
        <v>#VALUE!</v>
      </c>
      <c r="AY38" s="37" t="e">
        <f aca="false">(BJ38*('Setting key Duty'!$I$8+'Setting key Duty'!$I$12))+(BH38*'Setting key Duty'!$I$9)+(BC38*('Setting key Duty'!$I$13+'Setting key Duty'!$I$9))+(BA38*('Setting key Duty'!$I$13+'Setting key Duty'!$I$12+'Setting key Duty'!$I$11))+(BE38*('Setting key Duty'!$I$8+'Setting key Duty'!$I$9+'Setting key Duty'!$I$12))</f>
        <v>#VALUE!</v>
      </c>
      <c r="AZ38" s="37" t="n">
        <f aca="false">COUNTIF(C38:Y38,"*BRT*")</f>
        <v>0</v>
      </c>
      <c r="BA38" s="37" t="n">
        <f aca="false">COUNTIF(A38:AI38,"*$BTP*")</f>
        <v>0</v>
      </c>
      <c r="BB38" s="37" t="e">
        <f aca="false">BA38*('Setting key Duty'!$I$13+'Setting key Duty'!$I$12+'Setting key Duty'!$I$11)</f>
        <v>#VALUE!</v>
      </c>
      <c r="BC38" s="37" t="n">
        <f aca="false">COUNTIF(D38:AI38,"*$L*")</f>
        <v>0</v>
      </c>
      <c r="BD38" s="37" t="e">
        <f aca="false">BC38*('Setting key Duty'!$I$13+'Setting key Duty'!$I$9)</f>
        <v>#VALUE!</v>
      </c>
      <c r="BE38" s="37" t="n">
        <f aca="false">COUNTIF(D38:AI38,"*$M*")</f>
        <v>0</v>
      </c>
      <c r="BF38" s="37" t="n">
        <f aca="false">BE38*('Setting key Duty'!$I$8+'Setting key Duty'!$I$9+'Setting key Duty'!$I$12)</f>
        <v>0</v>
      </c>
      <c r="BG38" s="37" t="n">
        <f aca="false">COUNTIF(D38:AI38,"*$N*")</f>
        <v>0</v>
      </c>
      <c r="BH38" s="37" t="n">
        <f aca="false">COUNTIF(D38:AI38,"*$PM*")</f>
        <v>0</v>
      </c>
      <c r="BI38" s="37" t="n">
        <f aca="false">BH38*('Setting key Duty'!$I$9)</f>
        <v>0</v>
      </c>
      <c r="BJ38" s="37" t="n">
        <f aca="false">COUNTIF(D38:AI38,"*$AM*")</f>
        <v>0</v>
      </c>
      <c r="BK38" s="37" t="n">
        <f aca="false">BJ38*('Setting key Duty'!$I$12+'Setting key Duty'!$I$8)</f>
        <v>0</v>
      </c>
      <c r="BL38" s="37" t="n">
        <f aca="false">COUNTIF(C38:AI38,"*$FC*")</f>
        <v>0</v>
      </c>
      <c r="BM38" s="37" t="n">
        <f aca="false">BL38*('Setting key Duty'!$J$11+'Setting key Duty'!$I$8)</f>
        <v>0</v>
      </c>
      <c r="BN38" s="37" t="n">
        <f aca="false">COUNTIF($C38:$AG38,BN$4)</f>
        <v>0</v>
      </c>
      <c r="BO38" s="37" t="n">
        <f aca="false">COUNTIF($C38:$AG38,BO$4)</f>
        <v>0</v>
      </c>
      <c r="BP38" s="37"/>
      <c r="BQ38" s="68"/>
    </row>
    <row r="39" customFormat="false" ht="19.5" hidden="false" customHeight="true" outlineLevel="0" collapsed="false">
      <c r="A39" s="30"/>
      <c r="B39" s="59" t="s">
        <v>410</v>
      </c>
      <c r="C39" s="42"/>
      <c r="D39" s="42"/>
      <c r="E39" s="33"/>
      <c r="F39" s="47" t="n">
        <v>1</v>
      </c>
      <c r="G39" s="33"/>
      <c r="H39" s="33"/>
      <c r="I39" s="47" t="n">
        <v>2</v>
      </c>
      <c r="J39" s="42"/>
      <c r="K39" s="45"/>
      <c r="L39" s="45" t="n">
        <v>3</v>
      </c>
      <c r="M39" s="32" t="s">
        <v>65</v>
      </c>
      <c r="N39" s="45"/>
      <c r="O39" s="45"/>
      <c r="Q39" s="46" t="n">
        <v>4</v>
      </c>
      <c r="R39" s="32" t="s">
        <v>65</v>
      </c>
      <c r="S39" s="32" t="s">
        <v>349</v>
      </c>
      <c r="T39" s="116"/>
      <c r="U39" s="33"/>
      <c r="V39" s="42"/>
      <c r="W39" s="32"/>
      <c r="X39" s="42"/>
      <c r="Z39" s="98" t="n">
        <v>5</v>
      </c>
      <c r="AA39" s="33"/>
      <c r="AB39" s="32" t="s">
        <v>65</v>
      </c>
      <c r="AE39" s="46" t="n">
        <v>6</v>
      </c>
      <c r="AF39" s="42" t="n">
        <v>7</v>
      </c>
      <c r="AG39" s="116"/>
      <c r="AH39" s="32" t="s">
        <v>93</v>
      </c>
      <c r="AI39" s="35"/>
      <c r="AJ39" s="36"/>
      <c r="AK39" s="35"/>
      <c r="AL39" s="66"/>
      <c r="AM39" s="66"/>
      <c r="AN39" s="66"/>
      <c r="AO39" s="66"/>
      <c r="AP39" s="67"/>
      <c r="AQ39" s="37" t="n">
        <f aca="false">SUMPRODUCT(--WEEKDAY(C$3:AG$3,2)&lt;6,--((C39:AG39="DM"))+(C39:AG39="CS1")+((C39:AG39="CS2"))+(C39:AG39="SB1")+(C39:AG39="AE")+(C39:AG39="EM"))</f>
        <v>2</v>
      </c>
      <c r="AR39" s="67"/>
      <c r="AS39" s="38" t="n">
        <f aca="false">SUMPRODUCT(--WEEKDAY(C$3:AG$3,2)&gt;5,--((C39:AG39="DM"))+(C39:AG39="CS1")+((C39:AG39="CS2"))+(C39:AG39="SB1")+(C39:AG39="AE")+(C39:AG39="EM"))</f>
        <v>1</v>
      </c>
      <c r="AT39" s="67"/>
      <c r="AU39" s="38" t="n">
        <f aca="false">(AQ39-AR39)/2+(AS39-AT39)</f>
        <v>2</v>
      </c>
      <c r="AV39" s="38" t="n">
        <f aca="false">AI39+AJ39+AK39+AL39+AN39+AO39</f>
        <v>0</v>
      </c>
      <c r="AW39" s="38" t="n">
        <f aca="false">BG39+BH39+BJ39+BE39+BC39+BA39+BL39</f>
        <v>0</v>
      </c>
      <c r="AX39" s="38" t="e">
        <f aca="false">AU39+AY39</f>
        <v>#VALUE!</v>
      </c>
      <c r="AY39" s="37" t="e">
        <f aca="false">(BJ39*('Setting key Duty'!$I$8+'Setting key Duty'!$I$12))+(BH39*'Setting key Duty'!$I$9)+(BC39*('Setting key Duty'!$I$13+'Setting key Duty'!$I$9))+(BA39*('Setting key Duty'!$I$13+'Setting key Duty'!$I$12+'Setting key Duty'!$I$11))+(BE39*('Setting key Duty'!$I$8+'Setting key Duty'!$I$9+'Setting key Duty'!$I$12))</f>
        <v>#VALUE!</v>
      </c>
      <c r="AZ39" s="37" t="n">
        <f aca="false">COUNTIF(C39:Y39,"*BRT*")</f>
        <v>0</v>
      </c>
      <c r="BA39" s="37" t="n">
        <f aca="false">COUNTIF(A39:AI39,"*$BTP*")</f>
        <v>0</v>
      </c>
      <c r="BB39" s="37" t="e">
        <f aca="false">BA39*('Setting key Duty'!$I$13+'Setting key Duty'!$I$12+'Setting key Duty'!$I$11)</f>
        <v>#VALUE!</v>
      </c>
      <c r="BC39" s="37" t="n">
        <f aca="false">COUNTIF(D39:AI39,"*$L*")</f>
        <v>0</v>
      </c>
      <c r="BD39" s="37" t="e">
        <f aca="false">BC39*('Setting key Duty'!$I$13+'Setting key Duty'!$I$9)</f>
        <v>#VALUE!</v>
      </c>
      <c r="BE39" s="37" t="n">
        <f aca="false">COUNTIF(D39:AI39,"*$M*")</f>
        <v>0</v>
      </c>
      <c r="BF39" s="37" t="n">
        <f aca="false">BE39*('Setting key Duty'!$I$8+'Setting key Duty'!$I$9+'Setting key Duty'!$I$12)</f>
        <v>0</v>
      </c>
      <c r="BG39" s="37" t="n">
        <f aca="false">COUNTIF(D39:AI39,"*$N*")</f>
        <v>0</v>
      </c>
      <c r="BH39" s="37" t="n">
        <f aca="false">COUNTIF(D39:AI39,"*$PM*")</f>
        <v>0</v>
      </c>
      <c r="BI39" s="37" t="n">
        <f aca="false">BH39*('Setting key Duty'!$I$9)</f>
        <v>0</v>
      </c>
      <c r="BJ39" s="37" t="n">
        <f aca="false">COUNTIF(D39:AI39,"*$AM*")</f>
        <v>0</v>
      </c>
      <c r="BK39" s="37" t="n">
        <f aca="false">BJ39*('Setting key Duty'!$I$12+'Setting key Duty'!$I$8)</f>
        <v>0</v>
      </c>
      <c r="BL39" s="37" t="n">
        <f aca="false">COUNTIF(C39:AI39,"*$FC*")</f>
        <v>0</v>
      </c>
      <c r="BM39" s="37" t="n">
        <f aca="false">BL39*('Setting key Duty'!$J$11+'Setting key Duty'!$I$8)</f>
        <v>0</v>
      </c>
      <c r="BN39" s="37" t="n">
        <f aca="false">COUNTIF($C39:$AG39,BN$4)</f>
        <v>0</v>
      </c>
      <c r="BO39" s="37" t="n">
        <f aca="false">COUNTIF($C39:$AG39,BO$4)</f>
        <v>0</v>
      </c>
      <c r="BP39" s="37"/>
      <c r="BQ39" s="68"/>
    </row>
    <row r="40" customFormat="false" ht="19.5" hidden="false" customHeight="true" outlineLevel="0" collapsed="false">
      <c r="A40" s="30"/>
      <c r="B40" s="64"/>
      <c r="C40" s="42"/>
      <c r="D40" s="42"/>
      <c r="E40" s="33"/>
      <c r="F40" s="33"/>
      <c r="G40" s="33"/>
      <c r="H40" s="33"/>
      <c r="I40" s="33"/>
      <c r="J40" s="42"/>
      <c r="K40" s="45"/>
      <c r="L40" s="45"/>
      <c r="M40" s="63"/>
      <c r="N40" s="45"/>
      <c r="O40" s="45"/>
      <c r="P40" s="42"/>
      <c r="Q40" s="33"/>
      <c r="R40" s="33"/>
      <c r="S40" s="33"/>
      <c r="T40" s="116"/>
      <c r="U40" s="33"/>
      <c r="V40" s="42"/>
      <c r="W40" s="33"/>
      <c r="X40" s="42"/>
      <c r="Y40" s="33"/>
      <c r="Z40" s="33"/>
      <c r="AA40" s="33"/>
      <c r="AB40" s="33"/>
      <c r="AC40" s="33"/>
      <c r="AD40" s="42"/>
      <c r="AE40" s="42"/>
      <c r="AF40" s="42"/>
      <c r="AG40" s="116"/>
      <c r="AH40" s="42"/>
      <c r="AI40" s="35"/>
      <c r="AJ40" s="36"/>
      <c r="AK40" s="35"/>
      <c r="AL40" s="66"/>
      <c r="AM40" s="66"/>
      <c r="AN40" s="66"/>
      <c r="AO40" s="66"/>
      <c r="AP40" s="67"/>
      <c r="AQ40" s="37" t="n">
        <f aca="false">SUMPRODUCT(--WEEKDAY(C$3:AG$3,2)&lt;6,--((C40:AG40="DM"))+(C40:AG40="CS1")+((C40:AG40="CS2"))+(C40:AG40="SB1")+(C40:AG40="AE")+(C40:AG40="EM"))</f>
        <v>0</v>
      </c>
      <c r="AR40" s="67"/>
      <c r="AS40" s="38" t="n">
        <f aca="false">SUMPRODUCT(--WEEKDAY(C$3:AG$3,2)&gt;5,--((C40:AG40="DM"))+(C40:AG40="CS1")+((C40:AG40="CS2"))+(C40:AG40="SB1")+(C40:AG40="AE")+(C40:AG40="EM"))</f>
        <v>0</v>
      </c>
      <c r="AT40" s="67"/>
      <c r="AU40" s="38" t="n">
        <f aca="false">(AQ40-AR40)/2+(AS40-AT40)</f>
        <v>0</v>
      </c>
      <c r="AV40" s="38" t="n">
        <f aca="false">AI40+AJ40+AK40+AL40+AN40+AO40</f>
        <v>0</v>
      </c>
      <c r="AW40" s="38" t="n">
        <f aca="false">BG40+BH40+BJ40+BE40+BC40+BA40+BL40</f>
        <v>0</v>
      </c>
      <c r="AX40" s="38" t="e">
        <f aca="false">AU40+AY40</f>
        <v>#VALUE!</v>
      </c>
      <c r="AY40" s="37" t="e">
        <f aca="false">(BJ40*('Setting key Duty'!$I$8+'Setting key Duty'!$I$12))+(BH40*'Setting key Duty'!$I$9)+(BC40*('Setting key Duty'!$I$13+'Setting key Duty'!$I$9))+(BA40*('Setting key Duty'!$I$13+'Setting key Duty'!$I$12+'Setting key Duty'!$I$11))+(BE40*('Setting key Duty'!$I$8+'Setting key Duty'!$I$9+'Setting key Duty'!$I$12))</f>
        <v>#VALUE!</v>
      </c>
      <c r="AZ40" s="37" t="n">
        <f aca="false">COUNTIF(C40:Y40,"*BRT*")</f>
        <v>0</v>
      </c>
      <c r="BA40" s="37" t="n">
        <f aca="false">COUNTIF(A40:AI40,"*$BTP*")</f>
        <v>0</v>
      </c>
      <c r="BB40" s="37" t="e">
        <f aca="false">BA40*('Setting key Duty'!$I$13+'Setting key Duty'!$I$12+'Setting key Duty'!$I$11)</f>
        <v>#VALUE!</v>
      </c>
      <c r="BC40" s="37" t="n">
        <f aca="false">COUNTIF(D40:AI40,"*$L*")</f>
        <v>0</v>
      </c>
      <c r="BD40" s="37" t="e">
        <f aca="false">BC40*('Setting key Duty'!$I$13+'Setting key Duty'!$I$9)</f>
        <v>#VALUE!</v>
      </c>
      <c r="BE40" s="37" t="n">
        <f aca="false">COUNTIF(D40:AI40,"*$M*")</f>
        <v>0</v>
      </c>
      <c r="BF40" s="37" t="n">
        <f aca="false">BE40*('Setting key Duty'!$I$8+'Setting key Duty'!$I$9+'Setting key Duty'!$I$12)</f>
        <v>0</v>
      </c>
      <c r="BG40" s="37" t="n">
        <f aca="false">COUNTIF(D40:AI40,"*$N*")</f>
        <v>0</v>
      </c>
      <c r="BH40" s="37" t="n">
        <f aca="false">COUNTIF(D40:AI40,"*$PM*")</f>
        <v>0</v>
      </c>
      <c r="BI40" s="37" t="n">
        <f aca="false">BH40*('Setting key Duty'!$I$9)</f>
        <v>0</v>
      </c>
      <c r="BJ40" s="37" t="n">
        <f aca="false">COUNTIF(D40:AI40,"*$AM*")</f>
        <v>0</v>
      </c>
      <c r="BK40" s="37" t="n">
        <f aca="false">BJ40*('Setting key Duty'!$I$12+'Setting key Duty'!$I$8)</f>
        <v>0</v>
      </c>
      <c r="BL40" s="37" t="n">
        <f aca="false">COUNTIF(C40:AI40,"*$FC*")</f>
        <v>0</v>
      </c>
      <c r="BM40" s="37" t="n">
        <f aca="false">BL40*('Setting key Duty'!$J$11+'Setting key Duty'!$I$8)</f>
        <v>0</v>
      </c>
      <c r="BN40" s="37" t="n">
        <f aca="false">COUNTIF($C40:$AG40,BN$4)</f>
        <v>0</v>
      </c>
      <c r="BO40" s="37" t="n">
        <f aca="false">COUNTIF($C40:$AG40,BO$4)</f>
        <v>0</v>
      </c>
      <c r="BP40" s="37"/>
      <c r="BQ40" s="68"/>
    </row>
    <row r="41" customFormat="false" ht="19.5" hidden="false" customHeight="true" outlineLevel="0" collapsed="false">
      <c r="A41" s="30"/>
      <c r="B41" s="64" t="s">
        <v>148</v>
      </c>
      <c r="C41" s="65"/>
      <c r="D41" s="42"/>
      <c r="E41" s="42"/>
      <c r="F41" s="42"/>
      <c r="G41" s="42"/>
      <c r="H41" s="42"/>
      <c r="I41" s="42"/>
      <c r="J41" s="42"/>
      <c r="K41" s="42"/>
      <c r="L41" s="42"/>
      <c r="N41" s="42"/>
      <c r="O41" s="42"/>
      <c r="P41" s="42"/>
      <c r="Q41" s="33"/>
      <c r="R41" s="33"/>
      <c r="S41" s="42"/>
      <c r="T41" s="116"/>
      <c r="U41" s="34"/>
      <c r="V41" s="42"/>
      <c r="W41" s="42"/>
      <c r="X41" s="42"/>
      <c r="Y41" s="62"/>
      <c r="Z41" s="62"/>
      <c r="AA41" s="62"/>
      <c r="AB41" s="62"/>
      <c r="AC41" s="62"/>
      <c r="AD41" s="62"/>
      <c r="AE41" s="42"/>
      <c r="AF41" s="42"/>
      <c r="AG41" s="116"/>
      <c r="AH41" s="42"/>
      <c r="AI41" s="35" t="n">
        <f aca="false">COUNTIF($C41:$AG41,AI$4)</f>
        <v>0</v>
      </c>
      <c r="AJ41" s="36" t="n">
        <f aca="false">COUNTIF($C41:$AG41,AJ$4)</f>
        <v>0</v>
      </c>
      <c r="AK41" s="35" t="n">
        <f aca="false">COUNTIF($C41:$AG41,AK$4)</f>
        <v>0</v>
      </c>
      <c r="AL41" s="66" t="n">
        <f aca="false">COUNTIF($C41:$AG41,AL$4)</f>
        <v>0</v>
      </c>
      <c r="AM41" s="66" t="n">
        <f aca="false">COUNTIF($C41:$AG41,AM$4)</f>
        <v>0</v>
      </c>
      <c r="AN41" s="66" t="n">
        <f aca="false">COUNTIF($C41:$AG41,AN$4)</f>
        <v>0</v>
      </c>
      <c r="AO41" s="66" t="n">
        <f aca="false">COUNTIF($C41:$AG41,AO$4)</f>
        <v>0</v>
      </c>
      <c r="AP41" s="67"/>
      <c r="AQ41" s="37"/>
      <c r="AR41" s="67"/>
      <c r="AS41" s="38"/>
      <c r="AT41" s="67"/>
      <c r="AU41" s="67"/>
      <c r="AV41" s="38"/>
      <c r="AW41" s="38"/>
      <c r="AX41" s="38"/>
      <c r="AY41" s="37"/>
      <c r="AZ41" s="37"/>
      <c r="BA41" s="37"/>
      <c r="BB41" s="37"/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  <c r="BN41" s="66"/>
      <c r="BO41" s="66"/>
      <c r="BP41" s="66"/>
      <c r="BQ41" s="68"/>
    </row>
    <row r="42" customFormat="false" ht="19.5" hidden="false" customHeight="true" outlineLevel="0" collapsed="false">
      <c r="A42" s="30"/>
      <c r="B42" s="69"/>
      <c r="C42" s="70"/>
      <c r="D42" s="71"/>
      <c r="E42" s="71"/>
      <c r="F42" s="71"/>
      <c r="G42" s="71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  <c r="AA42" s="70"/>
      <c r="AB42" s="70"/>
      <c r="AC42" s="70"/>
      <c r="AD42" s="70"/>
      <c r="AE42" s="70"/>
      <c r="AF42" s="70"/>
      <c r="AG42" s="70"/>
      <c r="AH42" s="110"/>
      <c r="AI42" s="72"/>
      <c r="AJ42" s="73"/>
      <c r="AK42" s="72"/>
      <c r="AL42" s="74"/>
      <c r="AM42" s="74"/>
      <c r="AN42" s="74"/>
      <c r="AO42" s="74"/>
      <c r="AP42" s="75"/>
      <c r="AQ42" s="75"/>
      <c r="AR42" s="75"/>
      <c r="AS42" s="75" t="n">
        <f aca="false">SUMPRODUCT(--WEEKDAY(C$3:AG$3,2)&gt;5,--((C42:AG42="DM"))+(C42:AG42="CS1")+((C42:AG42="CS2"))+(C42:AG42="SB1")+(C42:AG42="AE")+(C42:AG42="EM"))</f>
        <v>0</v>
      </c>
      <c r="AT42" s="75"/>
      <c r="AU42" s="75" t="n">
        <f aca="false">(AQ42-AR42)/2+(AS42-AT42)</f>
        <v>0</v>
      </c>
      <c r="AV42" s="75"/>
      <c r="AW42" s="75"/>
      <c r="AX42" s="75"/>
      <c r="AY42" s="74"/>
      <c r="AZ42" s="74"/>
      <c r="BA42" s="74"/>
      <c r="BB42" s="74"/>
      <c r="BC42" s="74"/>
      <c r="BD42" s="74"/>
      <c r="BE42" s="74"/>
      <c r="BF42" s="74"/>
      <c r="BG42" s="74"/>
      <c r="BH42" s="74"/>
      <c r="BI42" s="74"/>
      <c r="BJ42" s="74"/>
      <c r="BK42" s="74"/>
      <c r="BL42" s="74"/>
      <c r="BM42" s="74"/>
      <c r="BN42" s="74"/>
      <c r="BO42" s="74"/>
      <c r="BP42" s="74"/>
      <c r="BQ42" s="76"/>
    </row>
    <row r="43" customFormat="false" ht="19.5" hidden="false" customHeight="true" outlineLevel="0" collapsed="false">
      <c r="A43" s="30"/>
      <c r="B43" s="77" t="s">
        <v>57</v>
      </c>
      <c r="C43" s="78" t="str">
        <f aca="false">VLOOKUP("DM",C4:C41,1,FALSE())</f>
        <v>DM</v>
      </c>
      <c r="D43" s="78" t="str">
        <f aca="false">VLOOKUP("DM",D4:D41,1,FALSE())</f>
        <v>DM</v>
      </c>
      <c r="E43" s="78" t="str">
        <f aca="false">VLOOKUP("DM",E1:E41,1,FALSE())</f>
        <v>DM</v>
      </c>
      <c r="F43" s="78" t="str">
        <f aca="false">VLOOKUP("DM",F4:F41,1,FALSE())</f>
        <v>DM</v>
      </c>
      <c r="G43" s="78" t="str">
        <f aca="false">VLOOKUP("DM",G4:G41,1,FALSE())</f>
        <v>DM</v>
      </c>
      <c r="H43" s="78" t="str">
        <f aca="false">VLOOKUP("DM",H4:H41,1,FALSE())</f>
        <v>DM</v>
      </c>
      <c r="I43" s="78" t="str">
        <f aca="false">VLOOKUP("DM",I4:I41,1,FALSE())</f>
        <v>DM</v>
      </c>
      <c r="J43" s="78" t="str">
        <f aca="false">VLOOKUP("DM",J4:J41,1,FALSE())</f>
        <v>DM</v>
      </c>
      <c r="K43" s="78" t="str">
        <f aca="false">VLOOKUP("DM",K4:K41,1,FALSE())</f>
        <v>DM</v>
      </c>
      <c r="L43" s="78" t="str">
        <f aca="false">VLOOKUP("DM",L4:L41,1,FALSE())</f>
        <v>DM</v>
      </c>
      <c r="M43" s="78" t="str">
        <f aca="false">VLOOKUP("DM",M4:M27,1,FALSE())</f>
        <v>DM</v>
      </c>
      <c r="N43" s="78" t="str">
        <f aca="false">VLOOKUP("DM",N4:N41,1,FALSE())</f>
        <v>DM</v>
      </c>
      <c r="O43" s="78" t="str">
        <f aca="false">VLOOKUP("DM",O4:O41,1,FALSE())</f>
        <v>DM</v>
      </c>
      <c r="P43" s="78" t="str">
        <f aca="false">VLOOKUP("DM",P4:P41,1,FALSE())</f>
        <v>DM</v>
      </c>
      <c r="Q43" s="78" t="str">
        <f aca="false">VLOOKUP("DM",Q4:Q30,1,FALSE())</f>
        <v>DM</v>
      </c>
      <c r="R43" s="78" t="str">
        <f aca="false">VLOOKUP("DM",R4:R25,1,FALSE())</f>
        <v>DM</v>
      </c>
      <c r="S43" s="78" t="str">
        <f aca="false">VLOOKUP("DM",S4:S41,1,FALSE())</f>
        <v>DM</v>
      </c>
      <c r="T43" s="78" t="str">
        <f aca="false">VLOOKUP("DM",T4:T41,1,FALSE())</f>
        <v>DM</v>
      </c>
      <c r="U43" s="78" t="str">
        <f aca="false">VLOOKUP("DM",U4:U41,1,FALSE())</f>
        <v>DM</v>
      </c>
      <c r="V43" s="78" t="str">
        <f aca="false">VLOOKUP("DM",V4:V25,1,FALSE())</f>
        <v>DM</v>
      </c>
      <c r="W43" s="78" t="str">
        <f aca="false">VLOOKUP("DM",W4:W25,1,FALSE())</f>
        <v>DM</v>
      </c>
      <c r="X43" s="78" t="str">
        <f aca="false">VLOOKUP("DM",X4:X41,1,FALSE())</f>
        <v>DM</v>
      </c>
      <c r="Y43" s="78" t="str">
        <f aca="false">VLOOKUP("DM",Y4:Y41,1,FALSE())</f>
        <v>DM</v>
      </c>
      <c r="Z43" s="78" t="str">
        <f aca="false">VLOOKUP("DM",Z4:Z41,1,FALSE())</f>
        <v>DM</v>
      </c>
      <c r="AA43" s="78" t="str">
        <f aca="false">VLOOKUP("DM",AA1:AA41,1,FALSE())</f>
        <v>DM</v>
      </c>
      <c r="AB43" s="78" t="str">
        <f aca="false">VLOOKUP("DM",AB4:AB41,1,FALSE())</f>
        <v>DM</v>
      </c>
      <c r="AC43" s="78" t="str">
        <f aca="false">VLOOKUP("DM",AC4:AC41,1,FALSE())</f>
        <v>DM</v>
      </c>
      <c r="AD43" s="78" t="str">
        <f aca="false">VLOOKUP("DM",AD4:AD41,1,FALSE())</f>
        <v>DM</v>
      </c>
      <c r="AE43" s="78" t="str">
        <f aca="false">VLOOKUP("DM",AE4:AE41,1,FALSE())</f>
        <v>DM</v>
      </c>
      <c r="AF43" s="78" t="str">
        <f aca="false">VLOOKUP("DM",AF4:AF41,1,FALSE())</f>
        <v>DM</v>
      </c>
      <c r="AG43" s="78" t="str">
        <f aca="false">VLOOKUP("DM",AG4:AG41,1,FALSE())</f>
        <v>DM</v>
      </c>
      <c r="AH43" s="78" t="str">
        <f aca="false">VLOOKUP("DM",AH4:AH41,1,FALSE())</f>
        <v>DM</v>
      </c>
      <c r="AI43" s="35"/>
      <c r="AJ43" s="36"/>
      <c r="AK43" s="35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  <c r="BA43" s="37"/>
      <c r="BB43" s="37"/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  <c r="BN43" s="37"/>
      <c r="BO43" s="37"/>
      <c r="BP43" s="37"/>
      <c r="BQ43" s="39"/>
    </row>
    <row r="44" customFormat="false" ht="19.5" hidden="false" customHeight="true" outlineLevel="0" collapsed="false">
      <c r="A44" s="30" t="e">
        <f aca="false">lte()</f>
        <v>#NAME?</v>
      </c>
      <c r="B44" s="79" t="s">
        <v>56</v>
      </c>
      <c r="C44" s="78" t="str">
        <f aca="false">VLOOKUP("CS1",C5:C41,1,FALSE())</f>
        <v>CS1</v>
      </c>
      <c r="D44" s="78" t="str">
        <f aca="false">VLOOKUP("CS1",D1:D41,1,FALSE())</f>
        <v>CS1</v>
      </c>
      <c r="E44" s="78" t="str">
        <f aca="false">VLOOKUP("CS1",E1:E41,1,FALSE())</f>
        <v>CS1</v>
      </c>
      <c r="F44" s="78" t="str">
        <f aca="false">VLOOKUP("CS1",F8:F41,1,FALSE())</f>
        <v>CS1</v>
      </c>
      <c r="G44" s="78" t="str">
        <f aca="false">VLOOKUP("CS1",G8:G41,1,FALSE())</f>
        <v>CS1</v>
      </c>
      <c r="H44" s="78" t="str">
        <f aca="false">VLOOKUP("CS1",H6:H41,1,FALSE())</f>
        <v>CS1</v>
      </c>
      <c r="I44" s="78" t="str">
        <f aca="false">VLOOKUP("CS1",I7:I41,1,FALSE())</f>
        <v>CS1</v>
      </c>
      <c r="J44" s="78" t="str">
        <f aca="false">VLOOKUP("CS1",J4:J41,1,FALSE())</f>
        <v>CS1</v>
      </c>
      <c r="K44" s="78" t="str">
        <f aca="false">VLOOKUP("CS1",K1:K41,1,FALSE())</f>
        <v>CS1</v>
      </c>
      <c r="L44" s="78" t="str">
        <f aca="false">VLOOKUP("CS1",L1:L41,1,FALSE())</f>
        <v>CS1</v>
      </c>
      <c r="M44" s="78" t="str">
        <f aca="false">VLOOKUP("CS1",M7:M27,1,FALSE())</f>
        <v>CS1</v>
      </c>
      <c r="N44" s="78" t="str">
        <f aca="false">VLOOKUP("CS1",N6:N41,1,FALSE())</f>
        <v>CS1</v>
      </c>
      <c r="O44" s="78" t="str">
        <f aca="false">VLOOKUP("CS1",O1:O41,1,FALSE())</f>
        <v>CS1</v>
      </c>
      <c r="P44" s="78" t="str">
        <f aca="false">VLOOKUP("CS1",P5:P41,1,FALSE())</f>
        <v>CS1</v>
      </c>
      <c r="Q44" s="78" t="str">
        <f aca="false">VLOOKUP("CS1",Q6:Q30,1,FALSE())</f>
        <v>CS1</v>
      </c>
      <c r="R44" s="78" t="str">
        <f aca="false">VLOOKUP("CS1",R6:R25,1,FALSE())</f>
        <v>CS1</v>
      </c>
      <c r="S44" s="78" t="str">
        <f aca="false">VLOOKUP("CS1",S7:S41,1,FALSE())</f>
        <v>CS1</v>
      </c>
      <c r="T44" s="78" t="str">
        <f aca="false">VLOOKUP("CS1",T1:T41,1,FALSE())</f>
        <v>CS1</v>
      </c>
      <c r="U44" s="78" t="str">
        <f aca="false">VLOOKUP("CS1",U6:U41,1,FALSE())</f>
        <v>CS1</v>
      </c>
      <c r="V44" s="78" t="str">
        <f aca="false">VLOOKUP("CS1",V1:V25,1,FALSE())</f>
        <v>CS1</v>
      </c>
      <c r="W44" s="78" t="str">
        <f aca="false">VLOOKUP("CS1",W1:W25,1,FALSE())</f>
        <v>CS1</v>
      </c>
      <c r="X44" s="78" t="str">
        <f aca="false">VLOOKUP("CS1",X1:X41,1,FALSE())</f>
        <v>CS1</v>
      </c>
      <c r="Y44" s="78" t="str">
        <f aca="false">VLOOKUP("CS1",Y6:Y41,1,FALSE())</f>
        <v>CS1</v>
      </c>
      <c r="Z44" s="78" t="str">
        <f aca="false">VLOOKUP("CS1",Z1:Z41,1,FALSE())</f>
        <v>CS1</v>
      </c>
      <c r="AA44" s="78" t="str">
        <f aca="false">VLOOKUP("CS1",AA1:AA41,1,FALSE())</f>
        <v>CS1</v>
      </c>
      <c r="AB44" s="78" t="str">
        <f aca="false">VLOOKUP("CS1",AB5:AB41,1,FALSE())</f>
        <v>CS1</v>
      </c>
      <c r="AC44" s="78" t="str">
        <f aca="false">VLOOKUP("CS1",AC1:AC41,1,FALSE())</f>
        <v>CS1</v>
      </c>
      <c r="AD44" s="78" t="str">
        <f aca="false">VLOOKUP("CS1",AD1:AD41,1,FALSE())</f>
        <v>CS1</v>
      </c>
      <c r="AE44" s="78" t="str">
        <f aca="false">VLOOKUP("CS1",AE1:AE41,1,FALSE())</f>
        <v>CS1</v>
      </c>
      <c r="AF44" s="78" t="str">
        <f aca="false">VLOOKUP("CS1",AF7:AF41,1,FALSE())</f>
        <v>CS1</v>
      </c>
      <c r="AG44" s="78" t="str">
        <f aca="false">VLOOKUP("CS1",AG1:AG41,1,FALSE())</f>
        <v>CS1</v>
      </c>
      <c r="AH44" s="78" t="str">
        <f aca="false">VLOOKUP("CS1",AH1:AH41,1,FALSE())</f>
        <v>CS1</v>
      </c>
      <c r="AI44" s="35"/>
      <c r="AJ44" s="36"/>
      <c r="AK44" s="35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  <c r="BN44" s="37"/>
      <c r="BO44" s="37"/>
      <c r="BP44" s="37"/>
      <c r="BQ44" s="39"/>
    </row>
    <row r="45" customFormat="false" ht="19.5" hidden="false" customHeight="true" outlineLevel="0" collapsed="false">
      <c r="A45" s="30"/>
      <c r="B45" s="80" t="s">
        <v>59</v>
      </c>
      <c r="C45" s="78" t="str">
        <f aca="false">VLOOKUP("CS2",C6:C41,1,FALSE())</f>
        <v>CS2</v>
      </c>
      <c r="D45" s="78" t="str">
        <f aca="false">VLOOKUP("CS2",D9:D41,1,FALSE())</f>
        <v>CS2</v>
      </c>
      <c r="E45" s="78" t="str">
        <f aca="false">VLOOKUP("CS2",E8:E41,1,FALSE())</f>
        <v>CS2</v>
      </c>
      <c r="F45" s="78" t="str">
        <f aca="false">VLOOKUP("CS2",F8:F41,1,FALSE())</f>
        <v>CS2</v>
      </c>
      <c r="G45" s="78" t="str">
        <f aca="false">VLOOKUP("CS2",G1:G41,1,FALSE())</f>
        <v>CS2</v>
      </c>
      <c r="H45" s="78" t="str">
        <f aca="false">VLOOKUP("CS2",H1:H41,1,FALSE())</f>
        <v>CS2</v>
      </c>
      <c r="I45" s="78" t="str">
        <f aca="false">VLOOKUP("CS2",I7:I41,1,FALSE())</f>
        <v>CS2</v>
      </c>
      <c r="J45" s="78" t="str">
        <f aca="false">VLOOKUP("CS2",J4:J41,1,FALSE())</f>
        <v>CS2</v>
      </c>
      <c r="K45" s="78" t="str">
        <f aca="false">VLOOKUP("CS2",K5:K41,1,FALSE())</f>
        <v>CS2</v>
      </c>
      <c r="L45" s="78" t="str">
        <f aca="false">VLOOKUP("CS2",L4:L41,1,FALSE())</f>
        <v>CS2</v>
      </c>
      <c r="M45" s="78" t="str">
        <f aca="false">VLOOKUP("CS2",M1:M27,1,FALSE())</f>
        <v>CS2</v>
      </c>
      <c r="N45" s="78" t="str">
        <f aca="false">VLOOKUP("CS2",N1:N41,1,FALSE())</f>
        <v>CS2</v>
      </c>
      <c r="O45" s="78" t="str">
        <f aca="false">VLOOKUP("CS2",O6:O41,1,FALSE())</f>
        <v>CS2</v>
      </c>
      <c r="P45" s="78" t="str">
        <f aca="false">VLOOKUP("CS2",P1:P41,1,FALSE())</f>
        <v>CS2</v>
      </c>
      <c r="Q45" s="78" t="str">
        <f aca="false">VLOOKUP("CS2",Q6:Q30,1,FALSE())</f>
        <v>CS2</v>
      </c>
      <c r="R45" s="78" t="str">
        <f aca="false">VLOOKUP("CS2",R6:R25,1,FALSE())</f>
        <v>CS2</v>
      </c>
      <c r="S45" s="78" t="str">
        <f aca="false">VLOOKUP("CS2",S1:S41,1,FALSE())</f>
        <v>CS2</v>
      </c>
      <c r="T45" s="78" t="str">
        <f aca="false">VLOOKUP("CS2",T1:T41,1,FALSE())</f>
        <v>CS2</v>
      </c>
      <c r="U45" s="78" t="str">
        <f aca="false">VLOOKUP("CS2",U1:U41,1,FALSE())</f>
        <v>CS2</v>
      </c>
      <c r="V45" s="78" t="str">
        <f aca="false">VLOOKUP("CS2",V1:V25,1,FALSE())</f>
        <v>CS2</v>
      </c>
      <c r="W45" s="78" t="str">
        <f aca="false">VLOOKUP("CS2",W11:W25,1,FALSE())</f>
        <v>CS2</v>
      </c>
      <c r="X45" s="78" t="str">
        <f aca="false">VLOOKUP("CS2",X8:X41,1,FALSE())</f>
        <v>CS2</v>
      </c>
      <c r="Y45" s="78" t="str">
        <f aca="false">VLOOKUP("CS2",Y6:Y41,1,FALSE())</f>
        <v>CS2</v>
      </c>
      <c r="Z45" s="78" t="str">
        <f aca="false">VLOOKUP("CS2",Z6:Z41,1,FALSE())</f>
        <v>CS2</v>
      </c>
      <c r="AA45" s="78" t="str">
        <f aca="false">VLOOKUP("CS2",AA1:AA41,1,FALSE())</f>
        <v>CS2</v>
      </c>
      <c r="AB45" s="78" t="str">
        <f aca="false">VLOOKUP("CS2",AB1:AB41,1,FALSE())</f>
        <v>CS2</v>
      </c>
      <c r="AC45" s="78" t="str">
        <f aca="false">VLOOKUP("CS2",AC8:AC41,1,FALSE())</f>
        <v>CS2</v>
      </c>
      <c r="AD45" s="78" t="str">
        <f aca="false">VLOOKUP("CS2",AD1:AD41,1,FALSE())</f>
        <v>CS2</v>
      </c>
      <c r="AE45" s="78" t="str">
        <f aca="false">VLOOKUP("CS2",AE1:AE41,1,FALSE())</f>
        <v>CS2</v>
      </c>
      <c r="AF45" s="78" t="str">
        <f aca="false">VLOOKUP("CS2",AF1:AF41,1,FALSE())</f>
        <v>CS2</v>
      </c>
      <c r="AG45" s="78" t="str">
        <f aca="false">VLOOKUP("CS2",AG7:AG41,1,FALSE())</f>
        <v>CS2</v>
      </c>
      <c r="AH45" s="78" t="e">
        <f aca="false">VLOOKUP("CS2",AH7:AH41,1,FALSE())</f>
        <v>#N/A</v>
      </c>
      <c r="AI45" s="35"/>
      <c r="AJ45" s="36"/>
      <c r="AK45" s="35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  <c r="BA45" s="37"/>
      <c r="BB45" s="37"/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  <c r="BN45" s="37"/>
      <c r="BO45" s="37"/>
      <c r="BP45" s="37"/>
      <c r="BQ45" s="39"/>
    </row>
    <row r="46" customFormat="false" ht="19.5" hidden="false" customHeight="true" outlineLevel="0" collapsed="false">
      <c r="A46" s="30"/>
      <c r="B46" s="81" t="s">
        <v>58</v>
      </c>
      <c r="C46" s="78" t="e">
        <f aca="false">VLOOKUP("SB1",C6:C41,1,FALSE())</f>
        <v>#N/A</v>
      </c>
      <c r="D46" s="78" t="str">
        <f aca="false">VLOOKUP("SB1",D3:D41,1,FALSE())</f>
        <v>SB1</v>
      </c>
      <c r="E46" s="78" t="str">
        <f aca="false">VLOOKUP("SB1",E1:E41,1,FALSE())</f>
        <v>SB1</v>
      </c>
      <c r="F46" s="78" t="str">
        <f aca="false">VLOOKUP("SB1",F8:F41,1,FALSE())</f>
        <v>SB1</v>
      </c>
      <c r="G46" s="78" t="str">
        <f aca="false">VLOOKUP("SB1",G5:G41,1,FALSE())</f>
        <v>SB1</v>
      </c>
      <c r="H46" s="78" t="str">
        <f aca="false">VLOOKUP("SB1",H6:H41,1,FALSE())</f>
        <v>SB1</v>
      </c>
      <c r="I46" s="78" t="str">
        <f aca="false">VLOOKUP("SB1",I1:I41,1,FALSE())</f>
        <v>SB1</v>
      </c>
      <c r="J46" s="78" t="str">
        <f aca="false">VLOOKUP("SB1",J4:J41,1,FALSE())</f>
        <v>SB1</v>
      </c>
      <c r="K46" s="78" t="str">
        <f aca="false">VLOOKUP("SB1",K6:K41,1,FALSE())</f>
        <v>SB1</v>
      </c>
      <c r="L46" s="78" t="e">
        <f aca="false">VLOOKUP("SB1",L1:L41,1,FALSE())</f>
        <v>#N/A</v>
      </c>
      <c r="M46" s="78" t="str">
        <f aca="false">VLOOKUP("SB1",M1:M27,1,FALSE())</f>
        <v>SB1</v>
      </c>
      <c r="N46" s="78" t="str">
        <f aca="false">VLOOKUP("SB1",N6:N41,1,FALSE())</f>
        <v>SB1</v>
      </c>
      <c r="O46" s="78" t="str">
        <f aca="false">VLOOKUP("SB1",O1:O41,1,FALSE())</f>
        <v>SB1</v>
      </c>
      <c r="P46" s="78" t="str">
        <f aca="false">VLOOKUP("SB1",P1:P41,1,FALSE())</f>
        <v>SB1</v>
      </c>
      <c r="Q46" s="78" t="str">
        <f aca="false">VLOOKUP("SB1",Q1:Q30,1,FALSE())</f>
        <v>SB1</v>
      </c>
      <c r="R46" s="78" t="str">
        <f aca="false">VLOOKUP("SB1",R6:R35,1,FALSE())</f>
        <v>SB1</v>
      </c>
      <c r="S46" s="78" t="e">
        <f aca="false">VLOOKUP("SB1",S1:S41,1,FALSE())</f>
        <v>#N/A</v>
      </c>
      <c r="T46" s="78" t="e">
        <f aca="false">VLOOKUP("SB1",T8:T41,1,FALSE())</f>
        <v>#N/A</v>
      </c>
      <c r="U46" s="78" t="e">
        <f aca="false">VLOOKUP("SB1",U1:U41,1,FALSE())</f>
        <v>#N/A</v>
      </c>
      <c r="V46" s="78" t="str">
        <f aca="false">VLOOKUP("SB1",V9:V35,1,FALSE())</f>
        <v>SB1</v>
      </c>
      <c r="W46" s="78" t="str">
        <f aca="false">VLOOKUP("SB1",W5:W25,1,FALSE())</f>
        <v>SB1</v>
      </c>
      <c r="X46" s="78" t="str">
        <f aca="false">VLOOKUP("SB1",X6:X41,1,FALSE())</f>
        <v>SB1</v>
      </c>
      <c r="Y46" s="78" t="str">
        <f aca="false">VLOOKUP("SB1",Y1:Y41,1,FALSE())</f>
        <v>SB1</v>
      </c>
      <c r="Z46" s="78" t="e">
        <f aca="false">VLOOKUP("SB1",Z6:Z41,1,FALSE())</f>
        <v>#N/A</v>
      </c>
      <c r="AA46" s="78" t="str">
        <f aca="false">VLOOKUP("SB1",AA1:AA41,1,FALSE())</f>
        <v>SB1</v>
      </c>
      <c r="AB46" s="78" t="str">
        <f aca="false">VLOOKUP("SB1",AB1:AB41,1,FALSE())</f>
        <v>SB1</v>
      </c>
      <c r="AC46" s="78" t="str">
        <f aca="false">VLOOKUP("SB1",AC1:AC41,1,FALSE())</f>
        <v>SB1</v>
      </c>
      <c r="AD46" s="78" t="str">
        <f aca="false">VLOOKUP("SB1",AD6:AD41,1,FALSE())</f>
        <v>SB1</v>
      </c>
      <c r="AE46" s="78" t="str">
        <f aca="false">VLOOKUP("SB1",AE7:AE41,1,FALSE())</f>
        <v>SB1</v>
      </c>
      <c r="AF46" s="78" t="e">
        <f aca="false">VLOOKUP("SB1",AF7:AF41,1,FALSE())</f>
        <v>#N/A</v>
      </c>
      <c r="AG46" s="78" t="e">
        <f aca="false">VLOOKUP("SB1",AG7:AG41,1,FALSE())</f>
        <v>#N/A</v>
      </c>
      <c r="AH46" s="78" t="e">
        <f aca="false">VLOOKUP("SB1",AH7:AH41,1,FALSE())</f>
        <v>#N/A</v>
      </c>
      <c r="AI46" s="35"/>
      <c r="AJ46" s="36"/>
      <c r="AK46" s="35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  <c r="BA46" s="37"/>
      <c r="BB46" s="37"/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  <c r="BN46" s="37"/>
      <c r="BO46" s="37"/>
      <c r="BP46" s="37"/>
      <c r="BQ46" s="39"/>
    </row>
    <row r="47" customFormat="false" ht="19.5" hidden="false" customHeight="true" outlineLevel="0" collapsed="false">
      <c r="A47" s="30"/>
      <c r="B47" s="82" t="s">
        <v>93</v>
      </c>
      <c r="C47" s="78" t="str">
        <f aca="false">VLOOKUP("SB2",C6:C41,1,FALSE())</f>
        <v>SB2</v>
      </c>
      <c r="D47" s="78" t="str">
        <f aca="false">VLOOKUP("SB2",D9:D41,1,FALSE())</f>
        <v>SB2</v>
      </c>
      <c r="E47" s="78" t="str">
        <f aca="false">VLOOKUP("SB2",E8:E41,1,FALSE())</f>
        <v>SB2</v>
      </c>
      <c r="F47" s="78" t="str">
        <f aca="false">VLOOKUP("SB2",F1:F41,1,FALSE())</f>
        <v>SB2</v>
      </c>
      <c r="G47" s="78" t="e">
        <f aca="false">VLOOKUP("SB2",G8:G41,1,FALSE())</f>
        <v>#N/A</v>
      </c>
      <c r="H47" s="78" t="e">
        <f aca="false">VLOOKUP("SB2",H6:H41,1,FALSE())</f>
        <v>#N/A</v>
      </c>
      <c r="I47" s="78" t="str">
        <f aca="false">VLOOKUP("SB2",I7:I41,1,FALSE())</f>
        <v>SB2</v>
      </c>
      <c r="J47" s="78" t="str">
        <f aca="false">VLOOKUP("SB2",J4:J41,1,FALSE())</f>
        <v>SB2</v>
      </c>
      <c r="K47" s="78" t="str">
        <f aca="false">VLOOKUP("SB2",K6:K41,1,FALSE())</f>
        <v>SB2</v>
      </c>
      <c r="L47" s="78" t="str">
        <f aca="false">VLOOKUP("SB2",L11:L41,1,FALSE())</f>
        <v>SB2</v>
      </c>
      <c r="M47" s="78" t="str">
        <f aca="false">VLOOKUP("SB2",M8:M45,1,FALSE())</f>
        <v>SB2</v>
      </c>
      <c r="N47" s="78" t="e">
        <f aca="false">VLOOKUP("SB2",N6:N41,1,FALSE())</f>
        <v>#N/A</v>
      </c>
      <c r="O47" s="78" t="e">
        <f aca="false">VLOOKUP("SB2",O8:O41,1,FALSE())</f>
        <v>#N/A</v>
      </c>
      <c r="P47" s="78" t="str">
        <f aca="false">VLOOKUP("SB2",P8:P41,1,FALSE())</f>
        <v>SB2</v>
      </c>
      <c r="Q47" s="78" t="e">
        <f aca="false">VLOOKUP("SB2",Q11:Q30,1,FALSE())</f>
        <v>#N/A</v>
      </c>
      <c r="R47" s="78" t="e">
        <f aca="false">VLOOKUP("SB2",R6:R30,1,FALSE())</f>
        <v>#N/A</v>
      </c>
      <c r="S47" s="78" t="str">
        <f aca="false">VLOOKUP("SB2",S12:S41,1,FALSE())</f>
        <v>SB2</v>
      </c>
      <c r="T47" s="78" t="e">
        <f aca="false">VLOOKUP("SB2",T8:T41,1,FALSE())</f>
        <v>#N/A</v>
      </c>
      <c r="U47" s="78" t="e">
        <f aca="false">VLOOKUP("SB2",U9:U41,1,FALSE())</f>
        <v>#N/A</v>
      </c>
      <c r="V47" s="78" t="e">
        <f aca="false">VLOOKUP("SB2",V5:V41,1,FALSE())</f>
        <v>#N/A</v>
      </c>
      <c r="W47" s="78" t="e">
        <f aca="false">VLOOKUP("SB2",W11:W30,1,FALSE())</f>
        <v>#N/A</v>
      </c>
      <c r="X47" s="78" t="str">
        <f aca="false">VLOOKUP("SB2",X8:X41,1,FALSE())</f>
        <v>SB2</v>
      </c>
      <c r="Y47" s="78" t="str">
        <f aca="false">VLOOKUP("SB2",Y6:Y41,1,FALSE())</f>
        <v>SB2</v>
      </c>
      <c r="Z47" s="78" t="str">
        <f aca="false">VLOOKUP("SB2",Z6:Z41,1,FALSE())</f>
        <v>SB2</v>
      </c>
      <c r="AA47" s="78" t="str">
        <f aca="false">VLOOKUP("SB2",AA11:AA41,1,FALSE())</f>
        <v>SB2</v>
      </c>
      <c r="AB47" s="78" t="e">
        <f aca="false">VLOOKUP("SB2",AB9:AB41,1,FALSE())</f>
        <v>#N/A</v>
      </c>
      <c r="AC47" s="78" t="e">
        <f aca="false">VLOOKUP("SB2",AC11:AC41,1,FALSE())</f>
        <v>#N/A</v>
      </c>
      <c r="AD47" s="78" t="str">
        <f aca="false">VLOOKUP("SB2",AD6:AD41,1,FALSE())</f>
        <v>SB2</v>
      </c>
      <c r="AE47" s="78" t="str">
        <f aca="false">VLOOKUP("SB2",AE7:AE41,1,FALSE())</f>
        <v>SB2</v>
      </c>
      <c r="AF47" s="78" t="str">
        <f aca="false">VLOOKUP("SB2",AF7:AF41,1,FALSE())</f>
        <v>SB2</v>
      </c>
      <c r="AG47" s="78" t="e">
        <f aca="false">VLOOKUP("SB2",AG7:AG41,1,FALSE())</f>
        <v>#N/A</v>
      </c>
      <c r="AH47" s="78" t="str">
        <f aca="false">VLOOKUP("SB2",AH7:AH41,1,FALSE())</f>
        <v>SB2</v>
      </c>
      <c r="AI47" s="35"/>
      <c r="AJ47" s="36"/>
      <c r="AK47" s="35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  <c r="BA47" s="37"/>
      <c r="BB47" s="37"/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  <c r="BN47" s="37"/>
      <c r="BO47" s="37"/>
      <c r="BP47" s="37"/>
      <c r="BQ47" s="39"/>
    </row>
    <row r="48" customFormat="false" ht="19.5" hidden="false" customHeight="true" outlineLevel="0" collapsed="false">
      <c r="A48" s="30"/>
      <c r="B48" s="83" t="s">
        <v>65</v>
      </c>
      <c r="C48" s="78" t="str">
        <f aca="false">VLOOKUP("AE",C6:C41,1,FALSE())</f>
        <v>AE</v>
      </c>
      <c r="D48" s="78" t="str">
        <f aca="false">VLOOKUP("AE",D9:D41,1,FALSE())</f>
        <v>AE</v>
      </c>
      <c r="E48" s="78" t="str">
        <f aca="false">VLOOKUP("AE",E8:E41,1,FALSE())</f>
        <v>AE</v>
      </c>
      <c r="F48" s="78" t="str">
        <f aca="false">VLOOKUP("AE",F1:F41,1,FALSE())</f>
        <v>AE</v>
      </c>
      <c r="G48" s="78" t="str">
        <f aca="false">VLOOKUP("AE",G1:G41,1,FALSE())</f>
        <v>AE</v>
      </c>
      <c r="H48" s="78" t="str">
        <f aca="false">VLOOKUP("AE",H8:H41,1,FALSE())</f>
        <v>AE</v>
      </c>
      <c r="I48" s="78" t="str">
        <f aca="false">VLOOKUP("AE",I7:I41,1,FALSE())</f>
        <v>AE</v>
      </c>
      <c r="J48" s="78" t="str">
        <f aca="false">VLOOKUP("AE",J4:J41,1,FALSE())</f>
        <v>AE</v>
      </c>
      <c r="K48" s="78" t="str">
        <f aca="false">VLOOKUP("AE",K6:K41,1,FALSE())</f>
        <v>AE</v>
      </c>
      <c r="L48" s="78" t="e">
        <f aca="false">VLOOKUP("AE",L11:L41,1,FALSE())</f>
        <v>#N/A</v>
      </c>
      <c r="M48" s="78" t="str">
        <f aca="false">VLOOKUP("AE",M8:M45,1,FALSE())</f>
        <v>AE</v>
      </c>
      <c r="N48" s="78" t="str">
        <f aca="false">VLOOKUP("AE",N6:N41,1,FALSE())</f>
        <v>AE</v>
      </c>
      <c r="O48" s="78" t="str">
        <f aca="false">VLOOKUP("AE",O8:O41,1,FALSE())</f>
        <v>AE</v>
      </c>
      <c r="P48" s="78" t="str">
        <f aca="false">VLOOKUP("AE",P8:P41,1,FALSE())</f>
        <v>AE</v>
      </c>
      <c r="Q48" s="78" t="str">
        <f aca="false">VLOOKUP("AE",Q11:Q38,1,FALSE())</f>
        <v>AE</v>
      </c>
      <c r="R48" s="78" t="str">
        <f aca="false">VLOOKUP("AE",R6:R39,1,FALSE())</f>
        <v>AE</v>
      </c>
      <c r="S48" s="78" t="str">
        <f aca="false">VLOOKUP("AE",S12:S41,1,FALSE())</f>
        <v>AE</v>
      </c>
      <c r="T48" s="78" t="str">
        <f aca="false">VLOOKUP("AE",T8:T41,1,FALSE())</f>
        <v>AE</v>
      </c>
      <c r="U48" s="78" t="str">
        <f aca="false">VLOOKUP("AE",U9:U41,1,FALSE())</f>
        <v>AE</v>
      </c>
      <c r="V48" s="78" t="str">
        <f aca="false">VLOOKUP("AE",V9:V43,1,FALSE())</f>
        <v>AE</v>
      </c>
      <c r="W48" s="78" t="str">
        <f aca="false">VLOOKUP("AE",W11:W41,1,FALSE())</f>
        <v>AE</v>
      </c>
      <c r="X48" s="78" t="str">
        <f aca="false">VLOOKUP("AE",X8:X41,1,FALSE())</f>
        <v>AE</v>
      </c>
      <c r="Y48" s="78" t="str">
        <f aca="false">VLOOKUP("AE",Y6:Y41,1,FALSE())</f>
        <v>AE</v>
      </c>
      <c r="Z48" s="78" t="str">
        <f aca="false">VLOOKUP("AE",Z6:Z41,1,FALSE())</f>
        <v>AE</v>
      </c>
      <c r="AA48" s="78" t="str">
        <f aca="false">VLOOKUP("AE",AA11:AA41,1,FALSE())</f>
        <v>AE</v>
      </c>
      <c r="AB48" s="78" t="str">
        <f aca="false">VLOOKUP("AE",AB9:AB41,1,FALSE())</f>
        <v>AE</v>
      </c>
      <c r="AC48" s="78" t="str">
        <f aca="false">VLOOKUP("AE",AC11:AC41,1,FALSE())</f>
        <v>AE</v>
      </c>
      <c r="AD48" s="78" t="str">
        <f aca="false">VLOOKUP("AE",AD6:AD41,1,FALSE())</f>
        <v>AE</v>
      </c>
      <c r="AE48" s="78" t="str">
        <f aca="false">VLOOKUP("AE",AE7:AE41,1,FALSE())</f>
        <v>AE</v>
      </c>
      <c r="AF48" s="78" t="str">
        <f aca="false">VLOOKUP("AE",AF7:AF41,1,FALSE())</f>
        <v>AE</v>
      </c>
      <c r="AG48" s="78" t="str">
        <f aca="false">VLOOKUP("AE",AG7:AG41,1,FALSE())</f>
        <v>AE</v>
      </c>
      <c r="AH48" s="78" t="str">
        <f aca="false">VLOOKUP("AE",AH7:AH41,1,FALSE())</f>
        <v>AE</v>
      </c>
      <c r="AI48" s="35"/>
      <c r="AJ48" s="36"/>
      <c r="AK48" s="35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  <c r="BA48" s="37"/>
      <c r="BB48" s="37"/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  <c r="BN48" s="37"/>
      <c r="BO48" s="37"/>
      <c r="BP48" s="37"/>
      <c r="BQ48" s="39"/>
    </row>
  </sheetData>
  <mergeCells count="1">
    <mergeCell ref="C1:S1"/>
  </mergeCells>
  <conditionalFormatting sqref="T18 G23:H23 D24 C25 G25:H25">
    <cfRule type="expression" priority="2" aboveAverage="0" equalAverage="0" bottom="0" percent="0" rank="0" text="" dxfId="21">
      <formula>WEEKDAY(U$3,2)&gt;5</formula>
    </cfRule>
  </conditionalFormatting>
  <conditionalFormatting sqref="T18 J19 K29:K30 C9 E11:F11 C12 C19:D19 C23:C24 D15 C21">
    <cfRule type="expression" priority="3" aboveAverage="0" equalAverage="0" bottom="0" percent="0" rank="0" text="" dxfId="21">
      <formula>WEEKDAY(E$3,2)&gt;5</formula>
    </cfRule>
  </conditionalFormatting>
  <conditionalFormatting sqref="X25">
    <cfRule type="expression" priority="4" aboveAverage="0" equalAverage="0" bottom="0" percent="0" rank="0" text="" dxfId="21">
      <formula>WEEKDAY(AA$3,2)&gt;5</formula>
    </cfRule>
    <cfRule type="expression" priority="5" aboveAverage="0" equalAverage="0" bottom="0" percent="0" rank="0" text="" dxfId="21">
      <formula>WEEKDAY(Z$3,2)&gt;5</formula>
    </cfRule>
  </conditionalFormatting>
  <conditionalFormatting sqref="AF25">
    <cfRule type="expression" priority="6" aboveAverage="0" equalAverage="0" bottom="0" percent="0" rank="0" text="" dxfId="21">
      <formula>WEEKDAY(AG$3,2)&gt;5</formula>
    </cfRule>
    <cfRule type="expression" priority="7" aboveAverage="0" equalAverage="0" bottom="0" percent="0" rank="0" text="" dxfId="21">
      <formula>WEEKDAY(AF$3,2)&gt;5</formula>
    </cfRule>
  </conditionalFormatting>
  <conditionalFormatting sqref="H20">
    <cfRule type="expression" priority="8" aboveAverage="0" equalAverage="0" bottom="0" percent="0" rank="0" text="" dxfId="21">
      <formula>WEEKDAY(H$3,2)&gt;5</formula>
    </cfRule>
  </conditionalFormatting>
  <conditionalFormatting sqref="P12">
    <cfRule type="expression" priority="9" aboveAverage="0" equalAverage="0" bottom="0" percent="0" rank="0" text="" dxfId="21">
      <formula>WEEKDAY(K$3,2)&gt;5</formula>
    </cfRule>
    <cfRule type="expression" priority="10" aboveAverage="0" equalAverage="0" bottom="0" percent="0" rank="0" text="" dxfId="21">
      <formula>WEEKDAY(J$3,2)&gt;5</formula>
    </cfRule>
  </conditionalFormatting>
  <conditionalFormatting sqref="C5:C25 G5:H9 J5:L5 N5:O7 W5:Y5 S5:U7 W5:W17 AB5:AB9 AE7:AF9 T9:U9 W9:X10 AH5:AH16 V5:V16 T12:W12 O10:O15 AF11:AF27 H18:I18 X18:Y19 AE5:AE30 AF19:AG19 E5:E20 D5:D21 F5:F25 K21:M21 R21:S21 X5:X26 E22:E25 N5:N25 AD5:AD27 R5:R25 W19:W26 AC5:AC30 E24:F25 J5:K25 P5:Q26 U24:V24 Z24:AB24 AG5:AG26 AH18:AH25 G11:H25 L5:M26 AD25:AF25 D25:D27 X26:Y26 I5:I27 R27 T27:U27 V27:V29 G28:G31 M28:M30 Y7:Y29 AG28 O17:O29 Q28:Q29 S9:T29 U18:U29 AF29:AF31 L30 N27:N32 W31:X31 AD30:AD31 R32 Y31:Y33 AA32:AC32 AE32:AE34 W31:W33 Q35:Q37 R36 X36:X37 C37 Z5:AA40 AD37:AE37 AH39 O5:O8 AF5:AF9 U9:U16 AB11:AB40 V18:V25 D23 F27:F29 H27:H29 AH27 E28 P28 I29 J29:K30 W29 R30 AG30:AH30 C31:I31 O31:Q31 S31:S39 U31:V38 J32 T32:T38 AC32:AC40 H33 P33:Q33 AF33 F34 X34 AD34:AD35 W35:W36 Y35:Y40 G37 O37 W38:W39 R39 AE39 U41">
    <cfRule type="cellIs" priority="11" operator="equal" aboveAverage="0" equalAverage="0" bottom="0" percent="0" rank="0" text="" dxfId="23">
      <formula>"B"</formula>
    </cfRule>
    <cfRule type="cellIs" priority="12" operator="equal" aboveAverage="0" equalAverage="0" bottom="0" percent="0" rank="0" text="" dxfId="23">
      <formula>"AL"</formula>
    </cfRule>
    <cfRule type="cellIs" priority="13" operator="equal" aboveAverage="0" equalAverage="0" bottom="0" percent="0" rank="0" text="" dxfId="24">
      <formula>"DM"</formula>
    </cfRule>
    <cfRule type="cellIs" priority="14" operator="equal" aboveAverage="0" equalAverage="0" bottom="0" percent="0" rank="0" text="" dxfId="25">
      <formula>"CS1"</formula>
    </cfRule>
    <cfRule type="cellIs" priority="15" operator="equal" aboveAverage="0" equalAverage="0" bottom="0" percent="0" rank="0" text="" dxfId="26">
      <formula>"CS2"</formula>
    </cfRule>
    <cfRule type="cellIs" priority="16" operator="equal" aboveAverage="0" equalAverage="0" bottom="0" percent="0" rank="0" text="" dxfId="27">
      <formula>"SB1"</formula>
    </cfRule>
    <cfRule type="cellIs" priority="17" operator="equal" aboveAverage="0" equalAverage="0" bottom="0" percent="0" rank="0" text="" dxfId="28">
      <formula>"SB2"</formula>
    </cfRule>
    <cfRule type="cellIs" priority="18" operator="equal" aboveAverage="0" equalAverage="0" bottom="0" percent="0" rank="0" text="" dxfId="29">
      <formula>"AE"</formula>
    </cfRule>
    <cfRule type="cellIs" priority="19" operator="equal" aboveAverage="0" equalAverage="0" bottom="0" percent="0" rank="0" text="" dxfId="23">
      <formula>"DB"</formula>
    </cfRule>
    <cfRule type="containsText" priority="20" operator="containsText" aboveAverage="0" equalAverage="0" bottom="0" percent="0" rank="0" text="$AM" dxfId="30">
      <formula>NOT(ISERROR(SEARCH("$AM",C5)))</formula>
    </cfRule>
    <cfRule type="containsText" priority="21" operator="containsText" aboveAverage="0" equalAverage="0" bottom="0" percent="0" rank="0" text="$PM" dxfId="31">
      <formula>NOT(ISERROR(SEARCH("$PM",C5)))</formula>
    </cfRule>
    <cfRule type="containsText" priority="22" operator="containsText" aboveAverage="0" equalAverage="0" bottom="0" percent="0" rank="0" text="$L" dxfId="32">
      <formula>NOT(ISERROR(SEARCH("$L",C5)))</formula>
    </cfRule>
    <cfRule type="containsText" priority="23" operator="containsText" aboveAverage="0" equalAverage="0" bottom="0" percent="0" rank="0" text="$BTP" dxfId="33">
      <formula>NOT(ISERROR(SEARCH("$BTP",C5)))</formula>
    </cfRule>
    <cfRule type="containsText" priority="24" operator="containsText" aboveAverage="0" equalAverage="0" bottom="0" percent="0" rank="0" text="$M" dxfId="34">
      <formula>NOT(ISERROR(SEARCH("$M",C5)))</formula>
    </cfRule>
    <cfRule type="containsText" priority="25" operator="containsText" aboveAverage="0" equalAverage="0" bottom="0" percent="0" rank="0" text="$N" dxfId="35">
      <formula>NOT(ISERROR(SEARCH("$N",C5)))</formula>
    </cfRule>
    <cfRule type="containsText" priority="26" operator="containsText" aboveAverage="0" equalAverage="0" bottom="0" percent="0" rank="0" text="$FC" dxfId="36">
      <formula>NOT(ISERROR(SEARCH("$FC",C5)))</formula>
    </cfRule>
    <cfRule type="containsText" priority="27" operator="containsText" aboveAverage="0" equalAverage="0" bottom="0" percent="0" rank="0" text="OAL" dxfId="37">
      <formula>NOT(ISERROR(SEARCH("OAL",C5)))</formula>
    </cfRule>
    <cfRule type="containsText" priority="28" operator="containsText" aboveAverage="0" equalAverage="0" bottom="0" percent="0" rank="0" text="S+" dxfId="38">
      <formula>NOT(ISERROR(SEARCH("S+",C5)))</formula>
    </cfRule>
    <cfRule type="containsText" priority="29" operator="containsText" aboveAverage="0" equalAverage="0" bottom="0" percent="0" rank="0" text="EX-D" dxfId="39">
      <formula>NOT(ISERROR(SEARCH("EX-D",C5)))</formula>
    </cfRule>
  </conditionalFormatting>
  <conditionalFormatting sqref="C5:D16 G5:H9 J5:L5 N5:O7 W5:Y5 S5:U7 W5:W17 AB5:AB9 AE7:AF9 T9:U9 W9:X10 AH5:AH16 O10:O15 V5:V16 G12:I12 T12:W12 Q16:R16 AF14:AF27 C5:C25 H18:I18 X18:Y19 AF19:AG19 E5:E20 D5:D21 F5:F25 K21:M21 R21:S21 X5:X26 E22:E25 N5:N25 AD5:AD27 R5:R25 W19:W26 Y7:Y33 AC5:AC30 E24:F25 J5:K25 P5:Q26 U24:V24 Z24:AB24 AG5:AG26 AH18:AH25 G11:H25 L5:M26 S9:T29 AD25:AF25 K26 X26:Y26 AA26:AB26 I5:I27 P27:P28 R27 T27:U27 V27:W28 G28:G31 M28:M30 AG28 J29:K30 O17:O30 Q28:Q31 S29:S39 U18:U30 AF29:AF31 C30:E31 F27:F32 H30:J30 L30 N27:N32 P30 R30 T30 V27:V30 W30:X31 AB30:AC30 AD30:AD31 AE5:AE30 AG30:AH30 R32 AA32:AC32 AE32:AE34 W31:W33 J34 I35 Q35:Q37 J36 R36 X36:X37 C37 Z5:AA40 AD37:AE37 AH39 O5:O8 AF5:AF9 U9:U16 AB11:AB40 AF11:AF12 V18:V25 D23:D27 H27:H29 AH27 E28 I29 W29 C31:F31 H31:I31 O31:Q31 U31:V38 J32 T32:T38 AC32:AC40 H33 P33:Q33 AF33 F34 X34 AD34:AD35 W35:W36 Y35:Y40 G37 O37 W38:W39 R39 AE39 U41">
    <cfRule type="expression" priority="30" aboveAverage="0" equalAverage="0" bottom="0" percent="0" rank="0" text="" dxfId="21">
      <formula>WEEKDAY(#REF!,2)&gt;5</formula>
    </cfRule>
  </conditionalFormatting>
  <conditionalFormatting sqref="AA6 U7 AB9 F11 C12 S12 T12:T13 U12:V12 AB17 C19:D19 T19:U19 T22 E25 AA28:AA29 S29 Y29 AF29 AD31 AE32:AE33 Q35 R36 X36 Z37 AD37 AH39">
    <cfRule type="expression" priority="31" aboveAverage="0" equalAverage="0" bottom="0" percent="0" rank="0" text="" dxfId="21">
      <formula>WEEKDAY(AC$3,2)&gt;5</formula>
    </cfRule>
  </conditionalFormatting>
  <conditionalFormatting sqref="AA6 U7 P8 AB9 P12 S12 T12:T13 U12:V12 AB12 AB17 T19:U19 T22 AA22 G24 E25 F28 AA28:AA29 S29 Y29 AF29 AD31 AE32:AE33 Q35 R36 X36 Z37 AD37 AH39 U41">
    <cfRule type="expression" priority="32" aboveAverage="0" equalAverage="0" bottom="0" percent="0" rank="0" text="" dxfId="21">
      <formula>WEEKDAY(AB$3,2)&gt;5</formula>
    </cfRule>
  </conditionalFormatting>
  <conditionalFormatting sqref="C5:C25 D5:D21 E5:E20 F5:F25 G5:H9 I5:I27 J5:J25 K5:M26 N5:N25 O5:O8 P5:P28 Q5:Q26 R5:R25 S5:U7 V5:V16 W5:W17 X5:X26 Y5 Z5:AA40 AB5:AB9 AC5:AC30 AD5:AD27 AE5:AE30 AF5:AF9 AG5:AG26 AH5:AH16 Y7:Y40 S9:S39 T9:T30 U9:U16 O10:O15 G11:H25 AB11:AB40 AF11:AF27 O17:O31 U18:U38 V18:V25 AH18:AH25 W19:W33 E22:E25 D23:D27 F27:F32 H27:H31 N27:N32 R27 V27:V38 AH27 E28 G28:G31 M28:M30 Q28:Q31 AG28 I29:I31 J29:K30 AF29:AF31 C30:E31 L30 P30:P31 R30 X30:X31 AD30:AD31 AG30:AH30 J32 R32 T32:T38 AC32:AC40 AE32:AE34 H33 P33:Q33 AF33 F34 J34 X34 AD34:AD35 I35 Q35:Q37 W35:W36 J36 R36 X36:X37 C37 G37 O37 AD37:AE37 W38:W39 R39 AE39 AH39 U41">
    <cfRule type="containsText" priority="33" operator="containsText" aboveAverage="0" equalAverage="0" bottom="0" percent="0" rank="0" text="VACC" dxfId="40">
      <formula>NOT(ISERROR(SEARCH("VACC",C5)))</formula>
    </cfRule>
  </conditionalFormatting>
  <conditionalFormatting sqref="J4:J48 AA4:AA48 C5:I48 K5:Z48 AB5:AH48">
    <cfRule type="cellIs" priority="34" operator="equal" aboveAverage="0" equalAverage="0" bottom="0" percent="0" rank="0" text="" dxfId="23">
      <formula>"B"</formula>
    </cfRule>
    <cfRule type="cellIs" priority="35" operator="equal" aboveAverage="0" equalAverage="0" bottom="0" percent="0" rank="0" text="" dxfId="23">
      <formula>"AL"</formula>
    </cfRule>
    <cfRule type="cellIs" priority="36" operator="equal" aboveAverage="0" equalAverage="0" bottom="0" percent="0" rank="0" text="" dxfId="24">
      <formula>"DM"</formula>
    </cfRule>
    <cfRule type="cellIs" priority="37" operator="equal" aboveAverage="0" equalAverage="0" bottom="0" percent="0" rank="0" text="" dxfId="25">
      <formula>"CS1"</formula>
    </cfRule>
    <cfRule type="cellIs" priority="38" operator="equal" aboveAverage="0" equalAverage="0" bottom="0" percent="0" rank="0" text="" dxfId="26">
      <formula>"CS2"</formula>
    </cfRule>
    <cfRule type="cellIs" priority="39" operator="equal" aboveAverage="0" equalAverage="0" bottom="0" percent="0" rank="0" text="" dxfId="27">
      <formula>"SB1"</formula>
    </cfRule>
    <cfRule type="cellIs" priority="40" operator="equal" aboveAverage="0" equalAverage="0" bottom="0" percent="0" rank="0" text="" dxfId="28">
      <formula>"SB2"</formula>
    </cfRule>
    <cfRule type="cellIs" priority="41" operator="equal" aboveAverage="0" equalAverage="0" bottom="0" percent="0" rank="0" text="" dxfId="29">
      <formula>"AE"</formula>
    </cfRule>
  </conditionalFormatting>
  <conditionalFormatting sqref="BP5:BQ41">
    <cfRule type="cellIs" priority="42" operator="lessThan" aboveAverage="0" equalAverage="0" bottom="0" percent="0" rank="0" text="" dxfId="41">
      <formula>1</formula>
    </cfRule>
  </conditionalFormatting>
  <conditionalFormatting sqref="J4:J41 AA4:AA41 C5:I41 K5:Z41 AB5:AH41">
    <cfRule type="cellIs" priority="43" operator="equal" aboveAverage="0" equalAverage="0" bottom="0" percent="0" rank="0" text="" dxfId="23">
      <formula>"DB"</formula>
    </cfRule>
    <cfRule type="containsText" priority="44" operator="containsText" aboveAverage="0" equalAverage="0" bottom="0" percent="0" rank="0" text="$AM" dxfId="30">
      <formula>NOT(ISERROR(SEARCH("$AM",C4)))</formula>
    </cfRule>
    <cfRule type="containsText" priority="45" operator="containsText" aboveAverage="0" equalAverage="0" bottom="0" percent="0" rank="0" text="$PM" dxfId="31">
      <formula>NOT(ISERROR(SEARCH("$PM",C4)))</formula>
    </cfRule>
    <cfRule type="containsText" priority="46" operator="containsText" aboveAverage="0" equalAverage="0" bottom="0" percent="0" rank="0" text="$L" dxfId="32">
      <formula>NOT(ISERROR(SEARCH("$L",C4)))</formula>
    </cfRule>
    <cfRule type="containsText" priority="47" operator="containsText" aboveAverage="0" equalAverage="0" bottom="0" percent="0" rank="0" text="$BTP" dxfId="33">
      <formula>NOT(ISERROR(SEARCH("$BTP",C4)))</formula>
    </cfRule>
    <cfRule type="containsText" priority="48" operator="containsText" aboveAverage="0" equalAverage="0" bottom="0" percent="0" rank="0" text="$M" dxfId="34">
      <formula>NOT(ISERROR(SEARCH("$M",C4)))</formula>
    </cfRule>
    <cfRule type="containsText" priority="49" operator="containsText" aboveAverage="0" equalAverage="0" bottom="0" percent="0" rank="0" text="$N" dxfId="35">
      <formula>NOT(ISERROR(SEARCH("$N",C4)))</formula>
    </cfRule>
    <cfRule type="containsText" priority="50" operator="containsText" aboveAverage="0" equalAverage="0" bottom="0" percent="0" rank="0" text="$FC" dxfId="36">
      <formula>NOT(ISERROR(SEARCH("$FC",C4)))</formula>
    </cfRule>
    <cfRule type="containsText" priority="51" operator="containsText" aboveAverage="0" equalAverage="0" bottom="0" percent="0" rank="0" text="OAL" dxfId="37">
      <formula>NOT(ISERROR(SEARCH("OAL",C4)))</formula>
    </cfRule>
    <cfRule type="containsText" priority="52" operator="containsText" aboveAverage="0" equalAverage="0" bottom="0" percent="0" rank="0" text="S+" dxfId="38">
      <formula>NOT(ISERROR(SEARCH("S+",C4)))</formula>
    </cfRule>
    <cfRule type="containsText" priority="53" operator="containsText" aboveAverage="0" equalAverage="0" bottom="0" percent="0" rank="0" text="EX-D" dxfId="39">
      <formula>NOT(ISERROR(SEARCH("EX-D",C4)))</formula>
    </cfRule>
  </conditionalFormatting>
  <conditionalFormatting sqref="T2:X41 C3:S41 Y3:AH41">
    <cfRule type="expression" priority="54" aboveAverage="0" equalAverage="0" bottom="0" percent="0" rank="0" text="" dxfId="21">
      <formula>WEEKDAY(T$3,2)&gt;5</formula>
    </cfRule>
  </conditionalFormatting>
  <conditionalFormatting sqref="J4:J25 C5:C25 D5:D21 E5:E20 F5:F25 G5:H9 I5:I27 K5:K25 L5:M26 N5:N25 O5:O8 P5:Q26 R5:R25 S5:S7 T5:T29 U5:U7 V5:V16 W5:X26 Y5 Z5:AA40 AB5:AB9 AC5:AC30 AD5:AD27 AE5:AE30 AF5:AF9 AG5:AG26 AH5:AH16 Y7:Y29 S9:S29 U9:U29 O10:O15 G11:H25 AB11:AB40 AF11:AF27 O17:O29 V18:V25 AH18:AH25 E22:E25 D23 D25:D27 F27:F29 H27:H29 N27:N32 R27 V27:V29 AH27 E28 G28:G31 M28:M30 P28 Q28:Q29 W28:W29 AG28 I29 J29:K30 AF29:AF31 L30 R30 AD30:AD31 AG30:AH30 C31:F31 H31:I31 O31:Q31 S31:S39 U31:V38 W31:W33 X31 Y31:Y33 J32 R32 T32:T38 AC32:AC40 AE32:AE34 H33 P33:Q33 AF33 F34 X34 AD34:AD35 Q35:Q37 W35:W36 Y35:Y40 R36 X36:X37 C37 G37 O37 AD37:AE37 W38:W39 R39 AE39 AH39 U41">
    <cfRule type="containsText" priority="55" operator="containsText" aboveAverage="0" equalAverage="0" bottom="0" percent="0" rank="0" text="VACC" dxfId="40">
      <formula>NOT(ISERROR(SEARCH("VACC",C4)))</formula>
    </cfRule>
  </conditionalFormatting>
  <conditionalFormatting sqref="T28">
    <cfRule type="expression" priority="56" aboveAverage="0" equalAverage="0" bottom="0" percent="0" rank="0" text="" dxfId="45">
      <formula>LEN(TRIM(T28))&gt;0</formula>
    </cfRule>
  </conditionalFormatting>
  <conditionalFormatting sqref="A1:BQ48">
    <cfRule type="cellIs" priority="57" operator="equal" aboveAverage="0" equalAverage="0" bottom="0" percent="0" rank="0" text="" dxfId="41">
      <formula>"RESERVE"</formula>
    </cfRule>
  </conditionalFormatting>
  <dataValidations count="2">
    <dataValidation allowBlank="true" errorStyle="stop" operator="equal" showDropDown="true" showErrorMessage="false" showInputMessage="false" sqref="C5:S5 U5:X5 Z5:AE5 AG5:AH6 C6:K6 M6:R6 T6:V6 X6 Z6:AD6 C7:H7 J7:X7 AA7:AF7 AH7 C8:G8 I8:M8 O8:P8 R8:R16 U8:U9 X8:X9 Z8 AB8:AH8 C9:I9 K9:N9 Q9:Q12 S9:T11 V9:W9 Y9:Y12 AB9:AF9 AH9 C10:F11 H10:K10 M10:O10 V10:X10 Z10:AA10 AC10:AE10 AG10 G11:H11 J11:M11 O11:P11 V11:W11 AA11:AE11 AG11:AH11 C12:P12 S12:W12 AA12:AH12 C13:D24 F13 H13:P13 S13:V13 X13 Z13:AE13 AG13:AH14 E14:Q15 S14:AF14 S15:AH15 E16:J16 L16:N16 P16:Q18 S16:W16 Y16:AA16 AD16:AH16 E17:F19 H17:J17 N17:N18 R17:U17 W17:AG17 H18:I18 K18:M18 S18:X18 Z18:AD18 AG18:AH18 G19:AH19 E20:E23 G20:AE20 AG20:AH20 F21:AA21 AC21:AG21 F22:J22 N22:N25 P22:P23 R22:R23 T22 X22:AA22 AC22:AD22 AF22 AH22 F23:H23 J23:L24 O23:O24 Q23:Q24 S23:Z23 AB23:AC23 AE23:AH24 E24:H25 M24:M30 S24:S39 U24:W24 Z24:AD24 C25:C38 I25:J25 L25:L26 P25:R25 T25:X25 Z25 AB25:AB26 AD25:AH25 D26:K26 O26:Q26 T26:U30 W26:W28 Y26:Y30 AA26 AC26:AD26 AF26:AF33 AH26:AH28 E27 G27:J27 N27:P28 R27:R28 V27:V31 X27 Z27:AE27 D28:D38 F28:H28 L28 Z28:AA30 AC28 AE28:AE34 AG28 E29:K30 O29:Q29 X29:X40 AB29:AB32 AD29:AD38 AG29:AH30 L30:L33 N30:R30 W30:W31 AC30 E31:I31 K31 N31:N33 P31:R31 U31:U32 Z31:Z32 F32 J32 M32 O32:P32 T32:T36 Y32:Y33 AA32 AC32 AG32:AH33 H33 K33 O33 Q33:Q38 U33:W35 F34 J34:P34 R34 AA34:AC34 AF34:AH34 I35:K35 M35:P35 Z35:AC35 AE35:AH35 F36 J36 L36:P36 R36 V36:W36 Y36 AA36 AF36:AH39 G37:G38 I37:I38 K37:K39 M37:O37 U37:V37 Z37:Z39 AE37:AE38 E38:F38 H38 J38:J40 L38:P38 R38:R39 T38:W38 Y38 AA38:AC38 C39:D40 L39:O39 T39:T41 V39:W39 AB39 K40:L40 N40:P41 V40 AD40:AH40 C41:L41 S41 U41:AH41" type="list">
      <formula1>'Setting key Duty'!$B$7:$B$56</formula1>
      <formula2>0</formula2>
    </dataValidation>
    <dataValidation allowBlank="true" errorStyle="stop" operator="equal" showDropDown="true" showErrorMessage="false" showInputMessage="false" sqref="C42:AH48" type="list">
      <formula1>'Setting key Duty'!$B$7:$B$23</formula1>
      <formula2>0</formula2>
    </dataValidation>
  </dataValidation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Q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5" activeCellId="0" sqref="C5"/>
    </sheetView>
  </sheetViews>
  <sheetFormatPr defaultColWidth="12.6328125" defaultRowHeight="15.75" customHeight="true" zeroHeight="false" outlineLevelRow="0" outlineLevelCol="1"/>
  <cols>
    <col collapsed="false" customWidth="true" hidden="false" outlineLevel="0" max="1" min="1" style="0" width="2.13"/>
    <col collapsed="false" customWidth="true" hidden="false" outlineLevel="0" max="2" min="2" style="0" width="29.76"/>
    <col collapsed="false" customWidth="true" hidden="false" outlineLevel="0" max="11" min="3" style="0" width="9.24"/>
    <col collapsed="false" customWidth="true" hidden="false" outlineLevel="0" max="12" min="12" style="0" width="9.38"/>
    <col collapsed="false" customWidth="true" hidden="false" outlineLevel="0" max="13" min="13" style="0" width="10.63"/>
    <col collapsed="false" customWidth="true" hidden="false" outlineLevel="0" max="14" min="14" style="0" width="9.24"/>
    <col collapsed="false" customWidth="true" hidden="false" outlineLevel="0" max="15" min="15" style="0" width="10"/>
    <col collapsed="false" customWidth="true" hidden="false" outlineLevel="0" max="17" min="16" style="0" width="9.24"/>
    <col collapsed="false" customWidth="true" hidden="false" outlineLevel="0" max="18" min="18" style="0" width="9.63"/>
    <col collapsed="false" customWidth="true" hidden="false" outlineLevel="0" max="19" min="19" style="0" width="9.14"/>
    <col collapsed="false" customWidth="true" hidden="false" outlineLevel="0" max="26" min="20" style="0" width="9.24"/>
    <col collapsed="false" customWidth="true" hidden="false" outlineLevel="0" max="27" min="27" style="0" width="10.51"/>
    <col collapsed="false" customWidth="true" hidden="false" outlineLevel="0" max="30" min="28" style="0" width="9.24"/>
    <col collapsed="false" customWidth="true" hidden="false" outlineLevel="0" max="31" min="31" style="0" width="10.51"/>
    <col collapsed="false" customWidth="true" hidden="false" outlineLevel="0" max="32" min="32" style="0" width="9.38"/>
    <col collapsed="false" customWidth="true" hidden="false" outlineLevel="0" max="34" min="33" style="0" width="9.24"/>
    <col collapsed="false" customWidth="true" hidden="true" outlineLevel="1" max="41" min="35" style="0" width="9.38"/>
    <col collapsed="false" customWidth="true" hidden="false" outlineLevel="0" max="42" min="42" style="0" width="6.76"/>
    <col collapsed="false" customWidth="true" hidden="false" outlineLevel="1" max="43" min="43" style="0" width="8.87"/>
    <col collapsed="false" customWidth="true" hidden="false" outlineLevel="1" max="44" min="44" style="0" width="7.88"/>
    <col collapsed="false" customWidth="true" hidden="false" outlineLevel="1" max="45" min="45" style="0" width="9.14"/>
    <col collapsed="false" customWidth="true" hidden="false" outlineLevel="1" max="46" min="46" style="0" width="8.24"/>
    <col collapsed="false" customWidth="true" hidden="false" outlineLevel="1" max="47" min="47" style="0" width="5.51"/>
    <col collapsed="false" customWidth="true" hidden="false" outlineLevel="0" max="50" min="48" style="0" width="9.38"/>
    <col collapsed="false" customWidth="true" hidden="false" outlineLevel="1" max="58" min="51" style="0" width="9.38"/>
    <col collapsed="false" customWidth="true" hidden="false" outlineLevel="1" max="59" min="59" style="0" width="10"/>
    <col collapsed="false" customWidth="true" hidden="false" outlineLevel="1" max="65" min="60" style="0" width="9.38"/>
    <col collapsed="false" customWidth="true" hidden="false" outlineLevel="0" max="66" min="66" style="0" width="9.38"/>
    <col collapsed="false" customWidth="true" hidden="false" outlineLevel="0" max="67" min="67" style="0" width="9.51"/>
    <col collapsed="false" customWidth="true" hidden="false" outlineLevel="0" max="69" min="68" style="0" width="9.38"/>
  </cols>
  <sheetData>
    <row r="1" customFormat="false" ht="3" hidden="false" customHeight="true" outlineLevel="0" collapsed="false">
      <c r="A1" s="1"/>
      <c r="B1" s="2" t="s">
        <v>0</v>
      </c>
      <c r="C1" s="3" t="str">
        <f aca="false"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6"/>
    </row>
    <row r="2" customFormat="false" ht="26.25" hidden="false" customHeight="true" outlineLevel="0" collapsed="false">
      <c r="A2" s="7"/>
      <c r="B2" s="8" t="s">
        <v>1</v>
      </c>
      <c r="C2" s="9" t="s">
        <v>411</v>
      </c>
      <c r="D2" s="9"/>
      <c r="E2" s="9" t="s">
        <v>412</v>
      </c>
      <c r="F2" s="9"/>
      <c r="G2" s="9"/>
      <c r="H2" s="9"/>
      <c r="I2" s="9" t="s">
        <v>413</v>
      </c>
      <c r="J2" s="9"/>
      <c r="K2" s="9" t="s">
        <v>2</v>
      </c>
      <c r="L2" s="9"/>
      <c r="M2" s="9"/>
      <c r="N2" s="9" t="s">
        <v>414</v>
      </c>
      <c r="O2" s="9" t="s">
        <v>6</v>
      </c>
      <c r="P2" s="9"/>
      <c r="Q2" s="9" t="s">
        <v>267</v>
      </c>
      <c r="R2" s="9" t="s">
        <v>10</v>
      </c>
      <c r="S2" s="9"/>
      <c r="T2" s="119"/>
      <c r="U2" s="9" t="s">
        <v>9</v>
      </c>
      <c r="V2" s="9"/>
      <c r="W2" s="9" t="s">
        <v>415</v>
      </c>
      <c r="X2" s="9" t="s">
        <v>416</v>
      </c>
      <c r="Y2" s="9" t="s">
        <v>202</v>
      </c>
      <c r="Z2" s="9"/>
      <c r="AA2" s="11"/>
      <c r="AB2" s="9" t="s">
        <v>417</v>
      </c>
      <c r="AC2" s="9" t="s">
        <v>5</v>
      </c>
      <c r="AD2" s="9" t="s">
        <v>418</v>
      </c>
      <c r="AE2" s="9" t="s">
        <v>419</v>
      </c>
      <c r="AF2" s="9" t="s">
        <v>204</v>
      </c>
      <c r="AG2" s="9"/>
      <c r="AH2" s="93"/>
      <c r="AI2" s="12"/>
      <c r="AJ2" s="12"/>
      <c r="AK2" s="12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4" t="s">
        <v>16</v>
      </c>
      <c r="BB2" s="14"/>
      <c r="BC2" s="14" t="s">
        <v>17</v>
      </c>
      <c r="BD2" s="14"/>
      <c r="BE2" s="14" t="s">
        <v>18</v>
      </c>
      <c r="BF2" s="14"/>
      <c r="BG2" s="14"/>
      <c r="BH2" s="14" t="s">
        <v>19</v>
      </c>
      <c r="BI2" s="14"/>
      <c r="BJ2" s="14" t="s">
        <v>20</v>
      </c>
      <c r="BK2" s="14"/>
      <c r="BL2" s="14"/>
      <c r="BM2" s="14"/>
      <c r="BN2" s="13"/>
      <c r="BO2" s="13"/>
      <c r="BP2" s="13"/>
      <c r="BQ2" s="15"/>
    </row>
    <row r="3" customFormat="false" ht="26.25" hidden="false" customHeight="true" outlineLevel="0" collapsed="false">
      <c r="A3" s="7"/>
      <c r="B3" s="8" t="s">
        <v>21</v>
      </c>
      <c r="C3" s="123" t="n">
        <v>45778</v>
      </c>
      <c r="D3" s="17" t="n">
        <f aca="false">C3+1</f>
        <v>45779</v>
      </c>
      <c r="E3" s="17" t="n">
        <f aca="false">D3+1</f>
        <v>45780</v>
      </c>
      <c r="F3" s="17" t="n">
        <f aca="false">E3+1</f>
        <v>45781</v>
      </c>
      <c r="G3" s="17" t="n">
        <f aca="false">F3+1</f>
        <v>45782</v>
      </c>
      <c r="H3" s="17" t="n">
        <f aca="false">G3+1</f>
        <v>45783</v>
      </c>
      <c r="I3" s="17" t="n">
        <f aca="false">H3+1</f>
        <v>45784</v>
      </c>
      <c r="J3" s="17" t="n">
        <f aca="false">I3+1</f>
        <v>45785</v>
      </c>
      <c r="K3" s="17" t="n">
        <f aca="false">J3+1</f>
        <v>45786</v>
      </c>
      <c r="L3" s="17" t="n">
        <f aca="false">K3+1</f>
        <v>45787</v>
      </c>
      <c r="M3" s="17" t="n">
        <f aca="false">L3+1</f>
        <v>45788</v>
      </c>
      <c r="N3" s="113" t="n">
        <f aca="false">M3+1</f>
        <v>45789</v>
      </c>
      <c r="O3" s="17" t="n">
        <f aca="false">N3+1</f>
        <v>45790</v>
      </c>
      <c r="P3" s="17" t="n">
        <f aca="false">O3+1</f>
        <v>45791</v>
      </c>
      <c r="Q3" s="17" t="n">
        <f aca="false">P3+1</f>
        <v>45792</v>
      </c>
      <c r="R3" s="17" t="n">
        <f aca="false">Q3+1</f>
        <v>45793</v>
      </c>
      <c r="S3" s="17" t="n">
        <f aca="false">R3+1</f>
        <v>45794</v>
      </c>
      <c r="T3" s="113" t="n">
        <f aca="false">S3+1</f>
        <v>45795</v>
      </c>
      <c r="U3" s="17" t="n">
        <f aca="false">T3+1</f>
        <v>45796</v>
      </c>
      <c r="V3" s="17" t="n">
        <f aca="false">U3+1</f>
        <v>45797</v>
      </c>
      <c r="W3" s="17" t="n">
        <f aca="false">V3+1</f>
        <v>45798</v>
      </c>
      <c r="X3" s="17" t="n">
        <f aca="false">W3+1</f>
        <v>45799</v>
      </c>
      <c r="Y3" s="17" t="n">
        <f aca="false">X3+1</f>
        <v>45800</v>
      </c>
      <c r="Z3" s="17" t="n">
        <f aca="false">Y3+1</f>
        <v>45801</v>
      </c>
      <c r="AA3" s="17" t="n">
        <f aca="false">Z3+1</f>
        <v>45802</v>
      </c>
      <c r="AB3" s="17" t="n">
        <f aca="false">AA3+1</f>
        <v>45803</v>
      </c>
      <c r="AC3" s="17" t="n">
        <f aca="false">AB3+1</f>
        <v>45804</v>
      </c>
      <c r="AD3" s="17" t="n">
        <f aca="false">AC3+1</f>
        <v>45805</v>
      </c>
      <c r="AE3" s="17" t="n">
        <f aca="false">AD3+1</f>
        <v>45806</v>
      </c>
      <c r="AF3" s="17" t="n">
        <f aca="false">AE3+1</f>
        <v>45807</v>
      </c>
      <c r="AG3" s="113" t="n">
        <f aca="false">AF3+1</f>
        <v>45808</v>
      </c>
      <c r="AH3" s="17" t="n">
        <f aca="false">AG3+1</f>
        <v>45809</v>
      </c>
      <c r="AI3" s="18" t="str">
        <f aca="false">'Setting key Duty'!$C7</f>
        <v>DM</v>
      </c>
      <c r="AJ3" s="19" t="str">
        <f aca="false">'Setting key Duty'!$C8</f>
        <v>CS1</v>
      </c>
      <c r="AK3" s="20" t="str">
        <f aca="false">'Setting key Duty'!$C9</f>
        <v>CS2</v>
      </c>
      <c r="AL3" s="21" t="str">
        <f aca="false">'Setting key Duty'!$C11</f>
        <v>SB1</v>
      </c>
      <c r="AM3" s="21" t="str">
        <f aca="false">'Setting key Duty'!$C12</f>
        <v>SB2</v>
      </c>
      <c r="AN3" s="21" t="str">
        <f aca="false">'Setting key Duty'!$C13</f>
        <v>AE</v>
      </c>
      <c r="AO3" s="21" t="str">
        <f aca="false">'Setting key Duty'!C14</f>
        <v>EM</v>
      </c>
      <c r="AP3" s="20"/>
      <c r="AQ3" s="20" t="s">
        <v>22</v>
      </c>
      <c r="AR3" s="20" t="s">
        <v>23</v>
      </c>
      <c r="AS3" s="20" t="s">
        <v>24</v>
      </c>
      <c r="AT3" s="20" t="s">
        <v>25</v>
      </c>
      <c r="AU3" s="20" t="s">
        <v>26</v>
      </c>
      <c r="AV3" s="20" t="s">
        <v>27</v>
      </c>
      <c r="AW3" s="20" t="s">
        <v>28</v>
      </c>
      <c r="AX3" s="20" t="s">
        <v>29</v>
      </c>
      <c r="AY3" s="20" t="s">
        <v>30</v>
      </c>
      <c r="AZ3" s="20" t="s">
        <v>31</v>
      </c>
      <c r="BA3" s="21" t="s">
        <v>32</v>
      </c>
      <c r="BB3" s="20" t="s">
        <v>33</v>
      </c>
      <c r="BC3" s="21" t="s">
        <v>34</v>
      </c>
      <c r="BD3" s="20" t="s">
        <v>35</v>
      </c>
      <c r="BE3" s="21" t="s">
        <v>36</v>
      </c>
      <c r="BF3" s="20" t="s">
        <v>37</v>
      </c>
      <c r="BG3" s="20" t="s">
        <v>38</v>
      </c>
      <c r="BH3" s="20" t="s">
        <v>39</v>
      </c>
      <c r="BI3" s="20" t="s">
        <v>40</v>
      </c>
      <c r="BJ3" s="20" t="s">
        <v>41</v>
      </c>
      <c r="BK3" s="20" t="s">
        <v>42</v>
      </c>
      <c r="BL3" s="21" t="str">
        <f aca="false">'Setting key Duty'!C52</f>
        <v>Field Camp</v>
      </c>
      <c r="BM3" s="20" t="s">
        <v>43</v>
      </c>
      <c r="BN3" s="21" t="str">
        <f aca="false">'Setting key Duty'!$C15</f>
        <v>Block</v>
      </c>
      <c r="BO3" s="21" t="str">
        <f aca="false">'Setting key Duty'!C17</f>
        <v>Reserve</v>
      </c>
      <c r="BP3" s="21" t="str">
        <f aca="false">'Setting key Duty'!$C22</f>
        <v>AL</v>
      </c>
      <c r="BQ3" s="15"/>
    </row>
    <row r="4" customFormat="false" ht="18" hidden="false" customHeight="true" outlineLevel="0" collapsed="false">
      <c r="A4" s="22"/>
      <c r="B4" s="23" t="s">
        <v>156</v>
      </c>
      <c r="C4" s="114" t="str">
        <f aca="false">TEXT(C3,"ddd")</f>
        <v>Thu</v>
      </c>
      <c r="D4" s="24" t="str">
        <f aca="false">TEXT(D3,"ddd")</f>
        <v>Fri</v>
      </c>
      <c r="E4" s="24" t="str">
        <f aca="false">TEXT(E3,"ddd")</f>
        <v>Sat</v>
      </c>
      <c r="F4" s="24" t="str">
        <f aca="false">TEXT(F3,"ddd")</f>
        <v>Sun</v>
      </c>
      <c r="G4" s="24" t="str">
        <f aca="false">TEXT(G3,"ddd")</f>
        <v>Mon</v>
      </c>
      <c r="H4" s="24" t="str">
        <f aca="false">TEXT(H3,"ddd")</f>
        <v>Tue</v>
      </c>
      <c r="I4" s="24" t="str">
        <f aca="false">TEXT(I3,"ddd")</f>
        <v>Wed</v>
      </c>
      <c r="J4" s="24" t="str">
        <f aca="false">TEXT(J3,"ddd")</f>
        <v>Thu</v>
      </c>
      <c r="K4" s="24" t="str">
        <f aca="false">TEXT(K3,"ddd")</f>
        <v>Fri</v>
      </c>
      <c r="L4" s="24" t="str">
        <f aca="false">TEXT(L3,"ddd")</f>
        <v>Sat</v>
      </c>
      <c r="M4" s="24" t="str">
        <f aca="false">TEXT(M3,"ddd")</f>
        <v>Sun</v>
      </c>
      <c r="N4" s="114" t="str">
        <f aca="false">TEXT(N3,"ddd")</f>
        <v>Mon</v>
      </c>
      <c r="O4" s="24" t="str">
        <f aca="false">TEXT(O3,"ddd")</f>
        <v>Tue</v>
      </c>
      <c r="P4" s="24" t="str">
        <f aca="false">TEXT(P3,"ddd")</f>
        <v>Wed</v>
      </c>
      <c r="Q4" s="24" t="str">
        <f aca="false">TEXT(Q3,"ddd")</f>
        <v>Thu</v>
      </c>
      <c r="R4" s="24" t="str">
        <f aca="false">TEXT(R3,"ddd")</f>
        <v>Fri</v>
      </c>
      <c r="S4" s="24" t="str">
        <f aca="false">TEXT(S3,"ddd")</f>
        <v>Sat</v>
      </c>
      <c r="T4" s="114" t="str">
        <f aca="false">TEXT(T3,"ddd")</f>
        <v>Sun</v>
      </c>
      <c r="U4" s="24" t="str">
        <f aca="false">TEXT(U3,"ddd")</f>
        <v>Mon</v>
      </c>
      <c r="V4" s="24" t="str">
        <f aca="false">TEXT(V3,"ddd")</f>
        <v>Tue</v>
      </c>
      <c r="W4" s="24" t="str">
        <f aca="false">TEXT(W3,"ddd")</f>
        <v>Wed</v>
      </c>
      <c r="X4" s="24" t="str">
        <f aca="false">TEXT(X3,"ddd")</f>
        <v>Thu</v>
      </c>
      <c r="Y4" s="24" t="str">
        <f aca="false">TEXT(Y3,"ddd")</f>
        <v>Fri</v>
      </c>
      <c r="Z4" s="24" t="str">
        <f aca="false">TEXT(Z3,"ddd")</f>
        <v>Sat</v>
      </c>
      <c r="AA4" s="24" t="str">
        <f aca="false">TEXT(AA3,"ddd")</f>
        <v>Sun</v>
      </c>
      <c r="AB4" s="24" t="str">
        <f aca="false">TEXT(AB3,"ddd")</f>
        <v>Mon</v>
      </c>
      <c r="AC4" s="24" t="str">
        <f aca="false">TEXT(AC3,"ddd")</f>
        <v>Tue</v>
      </c>
      <c r="AD4" s="24" t="str">
        <f aca="false">TEXT(AD3,"ddd")</f>
        <v>Wed</v>
      </c>
      <c r="AE4" s="24" t="str">
        <f aca="false">TEXT(AE3,"ddd")</f>
        <v>Thu</v>
      </c>
      <c r="AF4" s="24" t="str">
        <f aca="false">TEXT(AF3,"ddd")</f>
        <v>Fri</v>
      </c>
      <c r="AG4" s="114" t="str">
        <f aca="false">TEXT(AG3,"ddd")</f>
        <v>Sat</v>
      </c>
      <c r="AH4" s="24" t="str">
        <f aca="false">TEXT(AH3,"ddd")</f>
        <v>Sun</v>
      </c>
      <c r="AI4" s="25" t="str">
        <f aca="false">'Setting key Duty'!$B7</f>
        <v>DM</v>
      </c>
      <c r="AJ4" s="26" t="str">
        <f aca="false">'Setting key Duty'!$B8</f>
        <v>CS1</v>
      </c>
      <c r="AK4" s="27" t="str">
        <f aca="false">'Setting key Duty'!$B9</f>
        <v>CS2</v>
      </c>
      <c r="AL4" s="28" t="str">
        <f aca="false">'Setting key Duty'!$B11</f>
        <v>SB1</v>
      </c>
      <c r="AM4" s="28" t="str">
        <f aca="false">'Setting key Duty'!$B12</f>
        <v>SB2</v>
      </c>
      <c r="AN4" s="28" t="str">
        <f aca="false">'Setting key Duty'!$B13</f>
        <v>AE</v>
      </c>
      <c r="AO4" s="28" t="str">
        <f aca="false">'Setting key Duty'!B14</f>
        <v>EM</v>
      </c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 t="s">
        <v>45</v>
      </c>
      <c r="BA4" s="28" t="s">
        <v>46</v>
      </c>
      <c r="BB4" s="28"/>
      <c r="BC4" s="28" t="s">
        <v>47</v>
      </c>
      <c r="BD4" s="28"/>
      <c r="BE4" s="28" t="s">
        <v>48</v>
      </c>
      <c r="BF4" s="28"/>
      <c r="BG4" s="28" t="s">
        <v>49</v>
      </c>
      <c r="BH4" s="28" t="s">
        <v>50</v>
      </c>
      <c r="BI4" s="28"/>
      <c r="BJ4" s="28" t="s">
        <v>51</v>
      </c>
      <c r="BK4" s="28"/>
      <c r="BL4" s="28" t="str">
        <f aca="false">'Setting key Duty'!B52</f>
        <v>$FC</v>
      </c>
      <c r="BM4" s="28"/>
      <c r="BN4" s="28" t="n">
        <f aca="false">'Setting key Duty'!$B15</f>
        <v>0</v>
      </c>
      <c r="BO4" s="28" t="str">
        <f aca="false">'Setting key Duty'!B17</f>
        <v>RESERVE</v>
      </c>
      <c r="BP4" s="28" t="str">
        <f aca="false">'Setting key Duty'!$B22</f>
        <v>AL</v>
      </c>
      <c r="BQ4" s="29"/>
    </row>
    <row r="5" customFormat="false" ht="19.5" hidden="false" customHeight="true" outlineLevel="0" collapsed="false">
      <c r="A5" s="30"/>
      <c r="B5" s="48" t="s">
        <v>420</v>
      </c>
      <c r="C5" s="32" t="s">
        <v>56</v>
      </c>
      <c r="D5" s="32"/>
      <c r="E5" s="32"/>
      <c r="F5" s="32" t="s">
        <v>350</v>
      </c>
      <c r="H5" s="32"/>
      <c r="I5" s="32"/>
      <c r="J5" s="42" t="s">
        <v>59</v>
      </c>
      <c r="K5" s="32"/>
      <c r="L5" s="32" t="s">
        <v>56</v>
      </c>
      <c r="M5" s="32"/>
      <c r="N5" s="52"/>
      <c r="O5" s="32" t="s">
        <v>59</v>
      </c>
      <c r="P5" s="32"/>
      <c r="Q5" s="32"/>
      <c r="R5" s="32"/>
      <c r="S5" s="32" t="s">
        <v>56</v>
      </c>
      <c r="U5" s="32"/>
      <c r="V5" s="32" t="s">
        <v>59</v>
      </c>
      <c r="W5" s="32"/>
      <c r="X5" s="32"/>
      <c r="Z5" s="32" t="s">
        <v>59</v>
      </c>
      <c r="AA5" s="32"/>
      <c r="AB5" s="32"/>
      <c r="AC5" s="32"/>
      <c r="AE5" s="32"/>
      <c r="AF5" s="32" t="s">
        <v>253</v>
      </c>
      <c r="AG5" s="32"/>
      <c r="AH5" s="32"/>
      <c r="AI5" s="35"/>
      <c r="AJ5" s="36"/>
      <c r="AK5" s="35"/>
      <c r="AL5" s="37"/>
      <c r="AM5" s="37"/>
      <c r="AN5" s="37"/>
      <c r="AO5" s="37"/>
      <c r="AP5" s="38"/>
      <c r="AQ5" s="37" t="n">
        <f aca="false">SUMPRODUCT(--WEEKDAY(C$3:AG$3,2)&lt;6,--((C5:AG5="DM"))+(C5:AG5="CS1")+((C5:AG5="CS2"))+(C5:AG5="SB1")+(C5:AG5="AE")+(C5:AG5="EM"))</f>
        <v>4</v>
      </c>
      <c r="AR5" s="38"/>
      <c r="AS5" s="38" t="n">
        <f aca="false">SUMPRODUCT(--WEEKDAY(C$3:AG$3,2)&gt;5,--((C5:AG5="DM"))+(C5:AG5="CS1")+((C5:AG5="CS2"))+(C5:AG5="SB1")+(C5:AG5="AE")+(C5:AG5="EM"))</f>
        <v>3</v>
      </c>
      <c r="AT5" s="38"/>
      <c r="AU5" s="38" t="n">
        <f aca="false">(AQ5-AR5)/2+(AS5-AT5)</f>
        <v>5</v>
      </c>
      <c r="AV5" s="38" t="n">
        <f aca="false">AI5+AJ5+AK5+AL5+AN5+AO5</f>
        <v>0</v>
      </c>
      <c r="AW5" s="38" t="n">
        <f aca="false">BG5+BH5+BJ5+BE5+BC5+BA5+BL5</f>
        <v>0</v>
      </c>
      <c r="AX5" s="38" t="e">
        <f aca="false">AU5+$AY$10</f>
        <v>#VALUE!</v>
      </c>
      <c r="AY5" s="37" t="e">
        <f aca="false">(BJ5*('Setting key Duty'!$I$8+'Setting key Duty'!$I$12))+(BH5*'Setting key Duty'!$I$9)+(BC5*('Setting key Duty'!$I$13+'Setting key Duty'!$I$9))+(BA5*('Setting key Duty'!$I$13+'Setting key Duty'!$I$12+'Setting key Duty'!$I$11))+(BE5*('Setting key Duty'!$I$8+'Setting key Duty'!$I$9+'Setting key Duty'!$I$12))</f>
        <v>#VALUE!</v>
      </c>
      <c r="AZ5" s="37" t="n">
        <f aca="false">COUNTIF(D5:AA5,"*BRT*")</f>
        <v>0</v>
      </c>
      <c r="BA5" s="37" t="n">
        <f aca="false">COUNTIF(A5:AI5,"*$BTP*")</f>
        <v>0</v>
      </c>
      <c r="BB5" s="37" t="e">
        <f aca="false">BA5*('Setting key Duty'!$I$13+'Setting key Duty'!$I$12+'Setting key Duty'!$I$11)</f>
        <v>#VALUE!</v>
      </c>
      <c r="BC5" s="37" t="n">
        <f aca="false">COUNTIF(A5:AI5,"*$L*")</f>
        <v>0</v>
      </c>
      <c r="BD5" s="37" t="e">
        <f aca="false">BC5*('Setting key Duty'!$I$13+'Setting key Duty'!$I$9)</f>
        <v>#VALUE!</v>
      </c>
      <c r="BE5" s="37" t="n">
        <f aca="false">COUNTIF(A5:AI5,"*$M*")</f>
        <v>0</v>
      </c>
      <c r="BF5" s="37" t="n">
        <f aca="false">BE5*('Setting key Duty'!$I$8+'Setting key Duty'!$I$9+'Setting key Duty'!$I$12)</f>
        <v>0</v>
      </c>
      <c r="BG5" s="37" t="n">
        <f aca="false">COUNTIF(AI5,"*$N*")</f>
        <v>0</v>
      </c>
      <c r="BH5" s="37" t="n">
        <f aca="false">COUNTIF(AI5,"*$PM*")</f>
        <v>0</v>
      </c>
      <c r="BI5" s="37" t="n">
        <f aca="false">BH5*('Setting key Duty'!$I$9)</f>
        <v>0</v>
      </c>
      <c r="BJ5" s="37" t="n">
        <f aca="false">COUNTIF(A5:AI5,"*$AM*")</f>
        <v>0</v>
      </c>
      <c r="BK5" s="37" t="n">
        <f aca="false">BJ5*('Setting key Duty'!$I$12+'Setting key Duty'!$I$8)</f>
        <v>0</v>
      </c>
      <c r="BL5" s="37" t="n">
        <f aca="false">COUNTIF(D5:AI5,"*$FC*")</f>
        <v>0</v>
      </c>
      <c r="BM5" s="37" t="n">
        <f aca="false">BL5*('Setting key Duty'!$J$11+'Setting key Duty'!$I$8)</f>
        <v>0</v>
      </c>
      <c r="BN5" s="37" t="n">
        <f aca="false">COUNTIF($D5:$AA5,BN$4)</f>
        <v>0</v>
      </c>
      <c r="BO5" s="37" t="n">
        <f aca="false">COUNTIF($D5:$AA5,BO$4)</f>
        <v>1</v>
      </c>
      <c r="BP5" s="37" t="n">
        <f aca="false">COUNTIF($D5:$AA5,BP$4)</f>
        <v>0</v>
      </c>
      <c r="BQ5" s="39"/>
    </row>
    <row r="6" customFormat="false" ht="36" hidden="false" customHeight="true" outlineLevel="0" collapsed="false">
      <c r="A6" s="30"/>
      <c r="B6" s="97" t="s">
        <v>60</v>
      </c>
      <c r="C6" s="32"/>
      <c r="D6" s="32" t="s">
        <v>57</v>
      </c>
      <c r="E6" s="32"/>
      <c r="F6" s="32"/>
      <c r="G6" s="32"/>
      <c r="H6" s="32" t="s">
        <v>59</v>
      </c>
      <c r="I6" s="32"/>
      <c r="J6" s="32"/>
      <c r="K6" s="42" t="s">
        <v>59</v>
      </c>
      <c r="L6" s="32"/>
      <c r="M6" s="32"/>
      <c r="N6" s="52"/>
      <c r="O6" s="32"/>
      <c r="P6" s="32" t="s">
        <v>54</v>
      </c>
      <c r="Q6" s="32" t="s">
        <v>54</v>
      </c>
      <c r="R6" s="32" t="s">
        <v>54</v>
      </c>
      <c r="S6" s="32" t="s">
        <v>54</v>
      </c>
      <c r="T6" s="32" t="s">
        <v>54</v>
      </c>
      <c r="U6" s="32" t="s">
        <v>71</v>
      </c>
      <c r="V6" s="32" t="s">
        <v>421</v>
      </c>
      <c r="X6" s="32" t="s">
        <v>89</v>
      </c>
      <c r="Z6" s="32" t="s">
        <v>158</v>
      </c>
      <c r="AA6" s="32"/>
      <c r="AB6" s="32" t="s">
        <v>57</v>
      </c>
      <c r="AC6" s="32"/>
      <c r="AE6" s="32" t="s">
        <v>57</v>
      </c>
      <c r="AF6" s="33"/>
      <c r="AG6" s="32"/>
      <c r="AH6" s="32" t="s">
        <v>57</v>
      </c>
      <c r="AI6" s="35" t="n">
        <f aca="false">COUNTIF($D6:$AE6,AI$4)</f>
        <v>3</v>
      </c>
      <c r="AJ6" s="36" t="n">
        <f aca="false">COUNTIF($D6:$AE6,AJ$4)</f>
        <v>0</v>
      </c>
      <c r="AK6" s="35" t="n">
        <f aca="false">COUNTIF($D6:$AE6,AK$4)</f>
        <v>2</v>
      </c>
      <c r="AL6" s="37" t="n">
        <f aca="false">COUNTIF($D6:$AE6,AL$4)</f>
        <v>0</v>
      </c>
      <c r="AM6" s="37" t="n">
        <f aca="false">COUNTIF($D6:$AE6,AM$4)</f>
        <v>0</v>
      </c>
      <c r="AN6" s="37" t="n">
        <f aca="false">COUNTIF($D6:$AE6,AN$4)</f>
        <v>0</v>
      </c>
      <c r="AO6" s="37" t="n">
        <f aca="false">COUNTIF($D6:$AE6,AO$4)</f>
        <v>0</v>
      </c>
      <c r="AP6" s="38"/>
      <c r="AQ6" s="37" t="n">
        <f aca="false">SUMPRODUCT(--WEEKDAY(C$3:AG$3,2)&lt;6,--((C6:AG6="DM"))+(C6:AG6="CS1")+((C6:AG6="CS2"))+(C6:AG6="SB1")+(C6:AG6="AE")+(C6:AG6="EM"))</f>
        <v>5</v>
      </c>
      <c r="AR6" s="38"/>
      <c r="AS6" s="38" t="n">
        <f aca="false">SUMPRODUCT(--WEEKDAY(C$3:AG$3,2)&gt;5,--((C6:AG6="DM"))+(C6:AG6="CS1")+((C6:AG6="CS2"))+(C6:AG6="SB1")+(C6:AG6="AE")+(C6:AG6="EM"))</f>
        <v>0</v>
      </c>
      <c r="AT6" s="38"/>
      <c r="AU6" s="38" t="n">
        <f aca="false">(AQ6-AR6)/2+(AS6-AT6)</f>
        <v>2.5</v>
      </c>
      <c r="AV6" s="38" t="n">
        <f aca="false">AI6+AJ6+AK6+AL6+AN6+AO6</f>
        <v>5</v>
      </c>
      <c r="AW6" s="38" t="e">
        <f aca="false">AU6+AY6</f>
        <v>#VALUE!</v>
      </c>
      <c r="AX6" s="38" t="e">
        <f aca="false">AU6+AY6</f>
        <v>#VALUE!</v>
      </c>
      <c r="AY6" s="37" t="e">
        <f aca="false">(BJ6*('Setting key Duty'!$I$8+'Setting key Duty'!$I$12))+(BH6*'Setting key Duty'!$I$9)+(BC6*('Setting key Duty'!$I$13+'Setting key Duty'!$I$9))+(BA6*('Setting key Duty'!$I$13+'Setting key Duty'!$I$12+'Setting key Duty'!$I$11))+(BE6*('Setting key Duty'!$I$8+'Setting key Duty'!$I$9+'Setting key Duty'!$I$12))</f>
        <v>#VALUE!</v>
      </c>
      <c r="AZ6" s="37" t="n">
        <f aca="false">COUNTIF(D6:AE6,"*BRT*")</f>
        <v>0</v>
      </c>
      <c r="BA6" s="37" t="n">
        <f aca="false">COUNTIF(A6:AI6,"*$BTP*")</f>
        <v>0</v>
      </c>
      <c r="BB6" s="37" t="e">
        <f aca="false">BA6*('Setting key Duty'!$I$13+'Setting key Duty'!$I$12+'Setting key Duty'!$I$11)</f>
        <v>#VALUE!</v>
      </c>
      <c r="BC6" s="37" t="n">
        <f aca="false">COUNTIF(A6:AI6,"*$L*")</f>
        <v>0</v>
      </c>
      <c r="BD6" s="37" t="e">
        <f aca="false">BC6*('Setting key Duty'!$I$13+'Setting key Duty'!$I$9)</f>
        <v>#VALUE!</v>
      </c>
      <c r="BE6" s="37" t="n">
        <f aca="false">COUNTIF(A6:AI6,"*$M*")</f>
        <v>1</v>
      </c>
      <c r="BF6" s="37" t="n">
        <f aca="false">BE6*('Setting key Duty'!$I$8+'Setting key Duty'!$I$9+'Setting key Duty'!$I$12)</f>
        <v>0.5625</v>
      </c>
      <c r="BG6" s="37" t="n">
        <f aca="false">COUNTIF(AE6:AI6,"*$N*")</f>
        <v>0</v>
      </c>
      <c r="BH6" s="37" t="n">
        <f aca="false">COUNTIF(AE6:AI6,"*$PM*")</f>
        <v>0</v>
      </c>
      <c r="BI6" s="37" t="n">
        <f aca="false">BH6*('Setting key Duty'!$I$9)</f>
        <v>0</v>
      </c>
      <c r="BJ6" s="37" t="n">
        <f aca="false">COUNTIF(A6:AI6,"*$AM*")</f>
        <v>0</v>
      </c>
      <c r="BK6" s="37" t="n">
        <f aca="false">BJ6*('Setting key Duty'!$I$12+'Setting key Duty'!$I$8)</f>
        <v>0</v>
      </c>
      <c r="BL6" s="37" t="n">
        <f aca="false">COUNTIF(D6:AI6,"*$FC*")</f>
        <v>0</v>
      </c>
      <c r="BM6" s="37" t="n">
        <f aca="false">BL6*('Setting key Duty'!$J$11+'Setting key Duty'!$I$8)</f>
        <v>0</v>
      </c>
      <c r="BN6" s="37" t="n">
        <f aca="false">COUNTIF($D6:$AE6,BN$4)</f>
        <v>0</v>
      </c>
      <c r="BO6" s="37" t="n">
        <f aca="false">COUNTIF($D6:$AE6,BO$4)</f>
        <v>0</v>
      </c>
      <c r="BP6" s="37" t="n">
        <f aca="false">COUNTIF($D6:$AE6,BP$4)</f>
        <v>0</v>
      </c>
      <c r="BQ6" s="39"/>
    </row>
    <row r="7" customFormat="false" ht="19.5" hidden="false" customHeight="true" outlineLevel="0" collapsed="false">
      <c r="A7" s="30"/>
      <c r="B7" s="100" t="s">
        <v>211</v>
      </c>
      <c r="D7" s="32"/>
      <c r="E7" s="32" t="s">
        <v>57</v>
      </c>
      <c r="F7" s="32"/>
      <c r="G7" s="42"/>
      <c r="H7" s="32" t="s">
        <v>350</v>
      </c>
      <c r="J7" s="32" t="s">
        <v>57</v>
      </c>
      <c r="K7" s="32"/>
      <c r="L7" s="32"/>
      <c r="M7" s="32"/>
      <c r="N7" s="52" t="s">
        <v>57</v>
      </c>
      <c r="O7" s="32"/>
      <c r="P7" s="32"/>
      <c r="Q7" s="32" t="s">
        <v>350</v>
      </c>
      <c r="R7" s="32"/>
      <c r="S7" s="32" t="s">
        <v>57</v>
      </c>
      <c r="T7" s="116"/>
      <c r="U7" s="32" t="s">
        <v>59</v>
      </c>
      <c r="V7" s="32"/>
      <c r="X7" s="32"/>
      <c r="Y7" s="32" t="s">
        <v>350</v>
      </c>
      <c r="AA7" s="32"/>
      <c r="AB7" s="32" t="s">
        <v>422</v>
      </c>
      <c r="AC7" s="32"/>
      <c r="AF7" s="32"/>
      <c r="AG7" s="32" t="s">
        <v>57</v>
      </c>
      <c r="AH7" s="32"/>
      <c r="AI7" s="35" t="e">
        <f aca="false">COUNTIF(#REF!,AI$4)</f>
        <v>#REF!</v>
      </c>
      <c r="AJ7" s="36" t="e">
        <f aca="false">COUNTIF(#REF!,AJ$4)</f>
        <v>#REF!</v>
      </c>
      <c r="AK7" s="35" t="e">
        <f aca="false">COUNTIF(#REF!,AK$4)</f>
        <v>#REF!</v>
      </c>
      <c r="AL7" s="37" t="e">
        <f aca="false">COUNTIF(#REF!,AL$4)</f>
        <v>#REF!</v>
      </c>
      <c r="AM7" s="37" t="e">
        <f aca="false">COUNTIF(#REF!,AM$4)</f>
        <v>#REF!</v>
      </c>
      <c r="AN7" s="37" t="e">
        <f aca="false">COUNTIF(#REF!,AN$4)</f>
        <v>#REF!</v>
      </c>
      <c r="AO7" s="37" t="e">
        <f aca="false">COUNTIF(#REF!,AO$4)</f>
        <v>#REF!</v>
      </c>
      <c r="AP7" s="38"/>
      <c r="AQ7" s="37" t="n">
        <f aca="false">SUMPRODUCT(--WEEKDAY(C$3:AG$3,2)&lt;6,--((C7:AG7="DM"))+(C7:AG7="CS1")+((C7:AG7="CS2"))+(C7:AG7="SB1")+(C7:AG7="AE")+(C7:AG7="EM"))</f>
        <v>3</v>
      </c>
      <c r="AR7" s="38"/>
      <c r="AS7" s="38" t="n">
        <f aca="false">SUMPRODUCT(--WEEKDAY(C$3:AG$3,2)&gt;5,--((C7:AG7="DM"))+(C7:AG7="CS1")+((C7:AG7="CS2"))+(C7:AG7="SB1")+(C7:AG7="AE")+(C7:AG7="EM"))</f>
        <v>3</v>
      </c>
      <c r="AT7" s="38"/>
      <c r="AU7" s="38" t="n">
        <f aca="false">(AQ7-AR7)/2+(AS7-AT7)</f>
        <v>4.5</v>
      </c>
      <c r="AV7" s="38" t="e">
        <f aca="false">AI7+AJ7+AK7+AL7+AN7+AO7</f>
        <v>#REF!</v>
      </c>
      <c r="AW7" s="38" t="n">
        <f aca="false">BG7+BH7+BJ7+BE7+BC7+BA7+BL7</f>
        <v>1</v>
      </c>
      <c r="AX7" s="38" t="e">
        <f aca="false">AU7+AY7</f>
        <v>#VALUE!</v>
      </c>
      <c r="AY7" s="37" t="e">
        <f aca="false">(BJ7*('Setting key Duty'!$I$8+'Setting key Duty'!$I$12))+(BH7*'Setting key Duty'!$I$9)+(BC7*('Setting key Duty'!$I$13+'Setting key Duty'!$I$9))+(BA7*('Setting key Duty'!$I$13+'Setting key Duty'!$I$12+'Setting key Duty'!$I$11))+(BE7*('Setting key Duty'!$I$8+'Setting key Duty'!$I$9+'Setting key Duty'!$I$12))</f>
        <v>#VALUE!</v>
      </c>
      <c r="AZ7" s="37" t="e">
        <f aca="false">COUNTIF(#REF!,"*BRT*")</f>
        <v>#REF!</v>
      </c>
      <c r="BA7" s="37" t="n">
        <f aca="false">COUNTIF(A7:AI7,"*$BTP*")</f>
        <v>0</v>
      </c>
      <c r="BB7" s="37" t="e">
        <f aca="false">BA7*('Setting key Duty'!$I$13+'Setting key Duty'!$I$12+'Setting key Duty'!$I$11)</f>
        <v>#VALUE!</v>
      </c>
      <c r="BC7" s="37" t="n">
        <f aca="false">COUNTIF(A7:AI7,"*$L*")</f>
        <v>0</v>
      </c>
      <c r="BD7" s="37" t="e">
        <f aca="false">BC7*('Setting key Duty'!$I$13+'Setting key Duty'!$I$9)</f>
        <v>#VALUE!</v>
      </c>
      <c r="BE7" s="37" t="n">
        <f aca="false">COUNTIF(A7:AI7,"*$M*")</f>
        <v>1</v>
      </c>
      <c r="BF7" s="37" t="n">
        <f aca="false">BE7*('Setting key Duty'!$I$8+'Setting key Duty'!$I$9+'Setting key Duty'!$I$12)</f>
        <v>0.5625</v>
      </c>
      <c r="BG7" s="37" t="n">
        <f aca="false">COUNTIF(A7:AI7,"*$N*")</f>
        <v>0</v>
      </c>
      <c r="BH7" s="37" t="n">
        <f aca="false">COUNTIF(AF7:AI7,"*$PM*")</f>
        <v>0</v>
      </c>
      <c r="BI7" s="37" t="n">
        <f aca="false">BH7*('Setting key Duty'!$I$9)</f>
        <v>0</v>
      </c>
      <c r="BJ7" s="37" t="n">
        <f aca="false">COUNTIF(A7:AI7,"*$AM*")</f>
        <v>0</v>
      </c>
      <c r="BK7" s="37" t="n">
        <f aca="false">BJ7*('Setting key Duty'!$I$12+'Setting key Duty'!$I$8)</f>
        <v>0</v>
      </c>
      <c r="BL7" s="37" t="n">
        <f aca="false">COUNTIF(D7:AI7,"*$FC*")</f>
        <v>0</v>
      </c>
      <c r="BM7" s="37" t="n">
        <f aca="false">BL7*('Setting key Duty'!$J$11+'Setting key Duty'!$I$8)</f>
        <v>0</v>
      </c>
      <c r="BN7" s="37" t="e">
        <f aca="false">COUNTIF(#REF!,BN$4)</f>
        <v>#REF!</v>
      </c>
      <c r="BO7" s="37" t="e">
        <f aca="false">COUNTIF(#REF!,BO$4)</f>
        <v>#REF!</v>
      </c>
      <c r="BP7" s="37" t="e">
        <f aca="false">COUNTIF(#REF!,BP$4)</f>
        <v>#REF!</v>
      </c>
      <c r="BQ7" s="39"/>
    </row>
    <row r="8" customFormat="false" ht="19.5" hidden="false" customHeight="true" outlineLevel="0" collapsed="false">
      <c r="A8" s="30"/>
      <c r="B8" s="41" t="s">
        <v>63</v>
      </c>
      <c r="C8" s="32"/>
      <c r="D8" s="32"/>
      <c r="E8" s="32"/>
      <c r="F8" s="32" t="s">
        <v>59</v>
      </c>
      <c r="G8" s="32"/>
      <c r="H8" s="45" t="s">
        <v>57</v>
      </c>
      <c r="I8" s="32"/>
      <c r="J8" s="32"/>
      <c r="K8" s="98" t="s">
        <v>54</v>
      </c>
      <c r="L8" s="98" t="s">
        <v>54</v>
      </c>
      <c r="M8" s="98" t="s">
        <v>54</v>
      </c>
      <c r="N8" s="98" t="s">
        <v>54</v>
      </c>
      <c r="O8" s="98"/>
      <c r="P8" s="32"/>
      <c r="R8" s="98" t="s">
        <v>57</v>
      </c>
      <c r="S8" s="33"/>
      <c r="T8" s="32"/>
      <c r="U8" s="42"/>
      <c r="V8" s="45" t="s">
        <v>57</v>
      </c>
      <c r="X8" s="32"/>
      <c r="Y8" s="42" t="s">
        <v>57</v>
      </c>
      <c r="Z8" s="32"/>
      <c r="AB8" s="32"/>
      <c r="AE8" s="32" t="s">
        <v>59</v>
      </c>
      <c r="AG8" s="32"/>
      <c r="AH8" s="32"/>
      <c r="AI8" s="35"/>
      <c r="AJ8" s="36"/>
      <c r="AK8" s="35"/>
      <c r="AL8" s="37"/>
      <c r="AM8" s="37"/>
      <c r="AN8" s="37"/>
      <c r="AO8" s="37"/>
      <c r="AP8" s="38"/>
      <c r="AQ8" s="37" t="n">
        <f aca="false">SUMPRODUCT(--WEEKDAY(C$3:AG$3,2)&lt;6,--((C8:AG8="DM"))+(C8:AG8="CS1")+((C8:AG8="CS2"))+(C8:AG8="SB1")+(C8:AG8="AE")+(C8:AG8="EM"))</f>
        <v>5</v>
      </c>
      <c r="AR8" s="38"/>
      <c r="AS8" s="38" t="n">
        <f aca="false">SUMPRODUCT(--WEEKDAY(C$3:AG$3,2)&gt;5,--((C8:AG8="DM"))+(C8:AG8="CS1")+((C8:AG8="CS2"))+(C8:AG8="SB1")+(C8:AG8="AE")+(C8:AG8="EM"))</f>
        <v>1</v>
      </c>
      <c r="AT8" s="38"/>
      <c r="AU8" s="38" t="n">
        <f aca="false">(AQ8-AR8)/2+(AS8-AT8)</f>
        <v>3.5</v>
      </c>
      <c r="AV8" s="38" t="n">
        <f aca="false">AI8+AJ8+AK8+AL8+AN8+AO8</f>
        <v>0</v>
      </c>
      <c r="AW8" s="38" t="n">
        <f aca="false">BG8+BH8+BJ8+BE8+BC8+BA8+BL8</f>
        <v>0</v>
      </c>
      <c r="AX8" s="38" t="n">
        <f aca="false">AU8+AY8</f>
        <v>0</v>
      </c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9"/>
    </row>
    <row r="9" customFormat="false" ht="19.5" hidden="false" customHeight="true" outlineLevel="0" collapsed="false">
      <c r="A9" s="30"/>
      <c r="B9" s="101" t="s">
        <v>377</v>
      </c>
      <c r="D9" s="32" t="s">
        <v>350</v>
      </c>
      <c r="E9" s="32"/>
      <c r="F9" s="42"/>
      <c r="G9" s="32" t="s">
        <v>57</v>
      </c>
      <c r="H9" s="32"/>
      <c r="I9" s="32" t="s">
        <v>350</v>
      </c>
      <c r="K9" s="46" t="s">
        <v>423</v>
      </c>
      <c r="L9" s="32"/>
      <c r="M9" s="42"/>
      <c r="N9" s="52"/>
      <c r="O9" s="45" t="s">
        <v>57</v>
      </c>
      <c r="Q9" s="32"/>
      <c r="R9" s="32"/>
      <c r="S9" s="32" t="s">
        <v>59</v>
      </c>
      <c r="T9" s="32"/>
      <c r="U9" s="42" t="s">
        <v>57</v>
      </c>
      <c r="V9" s="32" t="s">
        <v>421</v>
      </c>
      <c r="W9" s="32"/>
      <c r="X9" s="42" t="s">
        <v>350</v>
      </c>
      <c r="Y9" s="32"/>
      <c r="Z9" s="32" t="s">
        <v>56</v>
      </c>
      <c r="AB9" s="32" t="s">
        <v>350</v>
      </c>
      <c r="AC9" s="32"/>
      <c r="AE9" s="32" t="s">
        <v>58</v>
      </c>
      <c r="AF9" s="32"/>
      <c r="AG9" s="32" t="s">
        <v>59</v>
      </c>
      <c r="AH9" s="32"/>
      <c r="AI9" s="35"/>
      <c r="AJ9" s="36"/>
      <c r="AK9" s="35"/>
      <c r="AL9" s="37"/>
      <c r="AM9" s="37"/>
      <c r="AN9" s="37"/>
      <c r="AO9" s="37"/>
      <c r="AP9" s="38"/>
      <c r="AQ9" s="37" t="n">
        <f aca="false">SUMPRODUCT(--WEEKDAY(C$3:AG$3,2)&lt;6,--((C9:AG9="DM"))+(C9:AG9="CS1")+((C9:AG9="CS2"))+(C9:AG9="SB1")+(C9:AG9="AE")+(C9:AG9="EM"))</f>
        <v>4</v>
      </c>
      <c r="AR9" s="38"/>
      <c r="AS9" s="38" t="n">
        <f aca="false">SUMPRODUCT(--WEEKDAY(C$3:AG$3,2)&gt;5,--((C9:AG9="DM"))+(C9:AG9="CS1")+((C9:AG9="CS2"))+(C9:AG9="SB1")+(C9:AG9="AE")+(C9:AG9="EM"))</f>
        <v>3</v>
      </c>
      <c r="AT9" s="38"/>
      <c r="AU9" s="38" t="n">
        <f aca="false">(AQ9-AR9)/2+(AS9-AT9)</f>
        <v>5</v>
      </c>
      <c r="AV9" s="38" t="n">
        <f aca="false">AI9+AJ9+AK9+AL9+AN9+AO9</f>
        <v>0</v>
      </c>
      <c r="AW9" s="38" t="n">
        <f aca="false">BG9+BH9+BJ9+BE9+BC9+BA9+BL9</f>
        <v>0</v>
      </c>
      <c r="AX9" s="38" t="e">
        <f aca="false">AU9+AY9</f>
        <v>#VALUE!</v>
      </c>
      <c r="AY9" s="37" t="e">
        <f aca="false">(BJ9*('Setting key Duty'!$I$8+'Setting key Duty'!$I$12))+(BH9*'Setting key Duty'!$I$9)+(BC9*('Setting key Duty'!$I$13+'Setting key Duty'!$I$9))+(BA9*('Setting key Duty'!$I$13+'Setting key Duty'!$I$12+'Setting key Duty'!$I$11))+(BE9*('Setting key Duty'!$I$8+'Setting key Duty'!$I$9+'Setting key Duty'!$I$12))</f>
        <v>#VALUE!</v>
      </c>
      <c r="AZ9" s="37" t="n">
        <f aca="false">COUNTIF(D9:Z9,"*BRT*")</f>
        <v>0</v>
      </c>
      <c r="BA9" s="37" t="n">
        <f aca="false">COUNTIF(A9:AI9,"*$BTP*")</f>
        <v>0</v>
      </c>
      <c r="BB9" s="37" t="e">
        <f aca="false">BA9*('Setting key Duty'!$I$13+'Setting key Duty'!$I$12+'Setting key Duty'!$I$11)</f>
        <v>#VALUE!</v>
      </c>
      <c r="BC9" s="37" t="n">
        <f aca="false">COUNTIF(A9:AI9,"*$L*")</f>
        <v>0</v>
      </c>
      <c r="BD9" s="37" t="e">
        <f aca="false">BC9*('Setting key Duty'!$I$13+'Setting key Duty'!$I$9)</f>
        <v>#VALUE!</v>
      </c>
      <c r="BE9" s="37" t="n">
        <f aca="false">COUNTIF(A9:AI9,"*$M*")</f>
        <v>0</v>
      </c>
      <c r="BF9" s="37" t="n">
        <f aca="false">BE9*('Setting key Duty'!$I$8+'Setting key Duty'!$I$9+'Setting key Duty'!$I$12)</f>
        <v>0</v>
      </c>
      <c r="BG9" s="37" t="n">
        <f aca="false">COUNTIF(AI9,"*$N*")</f>
        <v>0</v>
      </c>
      <c r="BH9" s="37" t="n">
        <f aca="false">COUNTIF(AI9,"*$PM*")</f>
        <v>0</v>
      </c>
      <c r="BI9" s="37" t="n">
        <f aca="false">BH9*('Setting key Duty'!$I$9)</f>
        <v>0</v>
      </c>
      <c r="BJ9" s="37" t="n">
        <f aca="false">COUNTIF(A9:AI9,"*$AM*")</f>
        <v>0</v>
      </c>
      <c r="BK9" s="37" t="n">
        <f aca="false">BJ9*('Setting key Duty'!$I$12+'Setting key Duty'!$I$8)</f>
        <v>0</v>
      </c>
      <c r="BL9" s="37" t="n">
        <f aca="false">COUNTIF(D9:AI9,"*$FC*")</f>
        <v>0</v>
      </c>
      <c r="BM9" s="37" t="n">
        <f aca="false">BL9*('Setting key Duty'!$J$11+'Setting key Duty'!$I$8)</f>
        <v>0</v>
      </c>
      <c r="BN9" s="37" t="n">
        <f aca="false">COUNTIF($D9:$Z9,BN$4)</f>
        <v>0</v>
      </c>
      <c r="BO9" s="37" t="n">
        <f aca="false">COUNTIF($D9:$Z9,BO$4)</f>
        <v>3</v>
      </c>
      <c r="BP9" s="37" t="n">
        <f aca="false">COUNTIF($D9:$Z9,BP$4)</f>
        <v>0</v>
      </c>
      <c r="BQ9" s="39"/>
    </row>
    <row r="10" customFormat="false" ht="19.5" hidden="false" customHeight="true" outlineLevel="0" collapsed="false">
      <c r="A10" s="30"/>
      <c r="B10" s="103" t="s">
        <v>99</v>
      </c>
      <c r="C10" s="32" t="s">
        <v>65</v>
      </c>
      <c r="E10" s="32" t="s">
        <v>59</v>
      </c>
      <c r="F10" s="42"/>
      <c r="H10" s="45"/>
      <c r="I10" s="32" t="s">
        <v>59</v>
      </c>
      <c r="J10" s="32"/>
      <c r="K10" s="98" t="s">
        <v>424</v>
      </c>
      <c r="L10" s="32"/>
      <c r="M10" s="42"/>
      <c r="N10" s="52"/>
      <c r="O10" s="32"/>
      <c r="P10" s="45" t="s">
        <v>59</v>
      </c>
      <c r="Q10" s="32"/>
      <c r="R10" s="42"/>
      <c r="S10" s="32"/>
      <c r="T10" s="52"/>
      <c r="U10" s="32" t="s">
        <v>350</v>
      </c>
      <c r="W10" s="45" t="s">
        <v>58</v>
      </c>
      <c r="X10" s="32"/>
      <c r="Z10" s="32"/>
      <c r="AA10" s="32"/>
      <c r="AB10" s="32" t="s">
        <v>56</v>
      </c>
      <c r="AC10" s="32"/>
      <c r="AD10" s="32" t="s">
        <v>59</v>
      </c>
      <c r="AF10" s="32"/>
      <c r="AG10" s="32"/>
      <c r="AH10" s="32" t="s">
        <v>56</v>
      </c>
      <c r="AI10" s="35"/>
      <c r="AJ10" s="36"/>
      <c r="AK10" s="35"/>
      <c r="AL10" s="37"/>
      <c r="AM10" s="37"/>
      <c r="AN10" s="37"/>
      <c r="AO10" s="37"/>
      <c r="AP10" s="38"/>
      <c r="AQ10" s="37" t="n">
        <f aca="false">SUMPRODUCT(--WEEKDAY(C$3:AG$3,2)&lt;6,--((C10:AG10="DM"))+(C10:AG10="CS1")+((C10:AG10="CS2"))+(C10:AG10="SB1")+(C10:AG10="AE")+(C10:AG10="EM"))</f>
        <v>6</v>
      </c>
      <c r="AR10" s="38"/>
      <c r="AS10" s="38" t="n">
        <f aca="false">SUMPRODUCT(--WEEKDAY(C$3:AG$3,2)&gt;5,--((C10:AG10="DM"))+(C10:AG10="CS1")+((C10:AG10="CS2"))+(C10:AG10="SB1")+(C10:AG10="AE")+(C10:AG10="EM"))</f>
        <v>1</v>
      </c>
      <c r="AT10" s="38"/>
      <c r="AU10" s="38" t="n">
        <f aca="false">(AQ10-AR10)/2+(AS10-AT10)</f>
        <v>4</v>
      </c>
      <c r="AV10" s="38" t="n">
        <f aca="false">AI10+AJ10+AK10+AL10+AN10+AO10</f>
        <v>0</v>
      </c>
      <c r="AW10" s="38" t="n">
        <f aca="false">BG10+BH10+BJ10+BE10+BC10+BA10+BL10</f>
        <v>1</v>
      </c>
      <c r="AX10" s="38" t="e">
        <f aca="false">AU10+$AY$10</f>
        <v>#VALUE!</v>
      </c>
      <c r="AY10" s="37" t="e">
        <f aca="false">(BJ10*('Setting key Duty'!$I$8+'Setting key Duty'!$I$12))+(BH10*'Setting key Duty'!$I$9)+(BC10*('Setting key Duty'!$I$13+'Setting key Duty'!$I$9))+(BA10*('Setting key Duty'!$I$13+'Setting key Duty'!$I$12+'Setting key Duty'!$I$11))+(BE10*('Setting key Duty'!$I$8+'Setting key Duty'!$I$9+'Setting key Duty'!$I$12))</f>
        <v>#VALUE!</v>
      </c>
      <c r="AZ10" s="37" t="n">
        <f aca="false">COUNTIF(C10:AC10,"*BRT*")</f>
        <v>0</v>
      </c>
      <c r="BA10" s="37" t="n">
        <f aca="false">COUNTIF(A10:AI10,"*$BTP*")</f>
        <v>0</v>
      </c>
      <c r="BB10" s="37" t="e">
        <f aca="false">BA10*('Setting key Duty'!$I$13+'Setting key Duty'!$I$12+'Setting key Duty'!$I$11)</f>
        <v>#VALUE!</v>
      </c>
      <c r="BC10" s="37" t="n">
        <f aca="false">COUNTIF(D10:AI10,"*$L*")</f>
        <v>0</v>
      </c>
      <c r="BD10" s="37" t="e">
        <f aca="false">BC10*('Setting key Duty'!$I$13+'Setting key Duty'!$I$9)</f>
        <v>#VALUE!</v>
      </c>
      <c r="BE10" s="37" t="n">
        <f aca="false">COUNTIF(D10:AI10,"*$M*")</f>
        <v>0</v>
      </c>
      <c r="BF10" s="37" t="n">
        <f aca="false">BE10*('Setting key Duty'!$I$8+'Setting key Duty'!$I$9+'Setting key Duty'!$I$12)</f>
        <v>0</v>
      </c>
      <c r="BG10" s="37" t="n">
        <f aca="false">COUNTIF(D10:AI10,"*$N*")</f>
        <v>0</v>
      </c>
      <c r="BH10" s="37" t="n">
        <f aca="false">COUNTIF(D10:AI10,"*$PM*")</f>
        <v>0</v>
      </c>
      <c r="BI10" s="37" t="n">
        <f aca="false">BH10*('Setting key Duty'!$I$9)</f>
        <v>0</v>
      </c>
      <c r="BJ10" s="37" t="n">
        <f aca="false">COUNTIF(D10:AI10,"*$AM*")</f>
        <v>1</v>
      </c>
      <c r="BK10" s="37" t="n">
        <f aca="false">BJ10*('Setting key Duty'!$I$12+'Setting key Duty'!$I$8)</f>
        <v>0.4375</v>
      </c>
      <c r="BL10" s="37" t="n">
        <f aca="false">COUNTIF(C10:AI10,"*$FC*")</f>
        <v>0</v>
      </c>
      <c r="BM10" s="37" t="n">
        <f aca="false">BL10*('Setting key Duty'!$J$11+'Setting key Duty'!$I$8)</f>
        <v>0</v>
      </c>
      <c r="BN10" s="37" t="n">
        <f aca="false">COUNTIF($C10:$AG10,BN$4)</f>
        <v>0</v>
      </c>
      <c r="BO10" s="37" t="n">
        <f aca="false">COUNTIF($C10:$AG10,BO$4)</f>
        <v>1</v>
      </c>
      <c r="BP10" s="37" t="n">
        <f aca="false">COUNTIF($D10:$AD10,BP$4)</f>
        <v>0</v>
      </c>
      <c r="BQ10" s="39"/>
    </row>
    <row r="11" customFormat="false" ht="19.5" hidden="false" customHeight="true" outlineLevel="0" collapsed="false">
      <c r="A11" s="30"/>
      <c r="B11" s="104" t="s">
        <v>70</v>
      </c>
      <c r="C11" s="32"/>
      <c r="D11" s="32" t="s">
        <v>164</v>
      </c>
      <c r="E11" s="32"/>
      <c r="G11" s="32" t="s">
        <v>69</v>
      </c>
      <c r="H11" s="32" t="s">
        <v>350</v>
      </c>
      <c r="J11" s="42"/>
      <c r="L11" s="32"/>
      <c r="M11" s="32"/>
      <c r="O11" s="32"/>
      <c r="P11" s="32"/>
      <c r="Q11" s="32" t="s">
        <v>253</v>
      </c>
      <c r="R11" s="32"/>
      <c r="S11" s="32"/>
      <c r="T11" s="52" t="s">
        <v>59</v>
      </c>
      <c r="V11" s="32"/>
      <c r="Y11" s="46" t="s">
        <v>69</v>
      </c>
      <c r="AA11" s="32"/>
      <c r="AB11" s="32"/>
      <c r="AC11" s="32"/>
      <c r="AF11" s="32"/>
      <c r="AG11" s="32"/>
      <c r="AH11" s="32"/>
      <c r="AI11" s="35"/>
      <c r="AJ11" s="36"/>
      <c r="AK11" s="35"/>
      <c r="AL11" s="37"/>
      <c r="AM11" s="37"/>
      <c r="AN11" s="37"/>
      <c r="AO11" s="37"/>
      <c r="AP11" s="38"/>
      <c r="AQ11" s="37" t="n">
        <f aca="false">SUMPRODUCT(--WEEKDAY(C$3:AG$3,2)&lt;6,--((C11:AG11="DM"))+(C11:AG11="CS1")+((C11:AG11="CS2"))+(C11:AG11="SB1")+(C11:AG11="AE")+(C11:AG11="EM"))</f>
        <v>0</v>
      </c>
      <c r="AR11" s="38"/>
      <c r="AS11" s="38" t="n">
        <f aca="false">SUMPRODUCT(--WEEKDAY(C$3:AG$3,2)&gt;5,--((C11:AG11="DM"))+(C11:AG11="CS1")+((C11:AG11="CS2"))+(C11:AG11="SB1")+(C11:AG11="AE")+(C11:AG11="EM"))</f>
        <v>1</v>
      </c>
      <c r="AT11" s="38"/>
      <c r="AU11" s="38" t="n">
        <f aca="false">(AQ11-AR11)/2+(AS11-AT11)</f>
        <v>1</v>
      </c>
      <c r="AV11" s="38" t="n">
        <f aca="false">AI11+AJ11+AK11+AL11+AN11+AO11</f>
        <v>0</v>
      </c>
      <c r="AW11" s="38" t="n">
        <f aca="false">BG11+BH11+BJ11+BE11+BC11+BA11+BL11</f>
        <v>0</v>
      </c>
      <c r="AX11" s="38" t="e">
        <f aca="false">AU11+AY11</f>
        <v>#VALUE!</v>
      </c>
      <c r="AY11" s="37" t="e">
        <f aca="false"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37" t="n">
        <f aca="false">COUNTIF(D11:AC11,"*BRT*")</f>
        <v>0</v>
      </c>
      <c r="BA11" s="37" t="n">
        <f aca="false">COUNTIF(A11:AI11,"*$BTP*")</f>
        <v>0</v>
      </c>
      <c r="BB11" s="37" t="e">
        <f aca="false">BA11*('Setting key Duty'!$I$13+'Setting key Duty'!$I$12+'Setting key Duty'!$I$11)</f>
        <v>#VALUE!</v>
      </c>
      <c r="BC11" s="37" t="n">
        <f aca="false">COUNTIF(A11:AI11,"*$L*")</f>
        <v>0</v>
      </c>
      <c r="BD11" s="37" t="e">
        <f aca="false">BC11*('Setting key Duty'!$I$13+'Setting key Duty'!$I$9)</f>
        <v>#VALUE!</v>
      </c>
      <c r="BE11" s="37" t="n">
        <f aca="false">COUNTIF(A11:AI11,"*$M*")</f>
        <v>0</v>
      </c>
      <c r="BF11" s="37" t="n">
        <f aca="false">BE11*('Setting key Duty'!$I$8+'Setting key Duty'!$I$9+'Setting key Duty'!$I$12)</f>
        <v>0</v>
      </c>
      <c r="BG11" s="37" t="n">
        <f aca="false">COUNTIF(AF11:AI11,"*$N*")</f>
        <v>0</v>
      </c>
      <c r="BH11" s="37" t="n">
        <f aca="false">COUNTIF(AF11:AI11,"*$PM*")</f>
        <v>0</v>
      </c>
      <c r="BI11" s="37" t="n">
        <f aca="false">BH11*('Setting key Duty'!$I$9)</f>
        <v>0</v>
      </c>
      <c r="BJ11" s="37" t="n">
        <f aca="false">COUNTIF(A11:AI11,"*$AM*")</f>
        <v>0</v>
      </c>
      <c r="BK11" s="37" t="n">
        <f aca="false">BJ11*('Setting key Duty'!$I$12+'Setting key Duty'!$I$8)</f>
        <v>0</v>
      </c>
      <c r="BL11" s="37" t="n">
        <f aca="false">COUNTIF(D11:AI11,"*$FC*")</f>
        <v>0</v>
      </c>
      <c r="BM11" s="37" t="n">
        <f aca="false">BL11*('Setting key Duty'!$J$11+'Setting key Duty'!$I$8)</f>
        <v>0</v>
      </c>
      <c r="BN11" s="37" t="n">
        <f aca="false">COUNTIF($D11:$AE11,BN$4)</f>
        <v>0</v>
      </c>
      <c r="BO11" s="37" t="n">
        <f aca="false">COUNTIF($D11:$AE11,BO$4)</f>
        <v>1</v>
      </c>
      <c r="BP11" s="37" t="n">
        <f aca="false">COUNTIF($D11:$AE11,BP$4)</f>
        <v>0</v>
      </c>
      <c r="BQ11" s="39"/>
    </row>
    <row r="12" customFormat="false" ht="19.5" hidden="false" customHeight="true" outlineLevel="0" collapsed="false">
      <c r="A12" s="30"/>
      <c r="B12" s="106" t="s">
        <v>72</v>
      </c>
      <c r="C12" s="32"/>
      <c r="D12" s="124" t="s">
        <v>350</v>
      </c>
      <c r="E12" s="32"/>
      <c r="F12" s="32"/>
      <c r="G12" s="32"/>
      <c r="H12" s="32" t="s">
        <v>56</v>
      </c>
      <c r="I12" s="32"/>
      <c r="J12" s="32" t="s">
        <v>350</v>
      </c>
      <c r="K12" s="42"/>
      <c r="L12" s="32"/>
      <c r="M12" s="32" t="s">
        <v>59</v>
      </c>
      <c r="N12" s="52"/>
      <c r="O12" s="32"/>
      <c r="P12" s="32" t="s">
        <v>350</v>
      </c>
      <c r="Q12" s="32"/>
      <c r="R12" s="32" t="s">
        <v>56</v>
      </c>
      <c r="S12" s="32"/>
      <c r="T12" s="32"/>
      <c r="U12" s="32"/>
      <c r="V12" s="32" t="s">
        <v>421</v>
      </c>
      <c r="W12" s="32" t="s">
        <v>59</v>
      </c>
      <c r="Y12" s="42" t="s">
        <v>59</v>
      </c>
      <c r="Z12" s="32"/>
      <c r="AA12" s="32"/>
      <c r="AB12" s="32"/>
      <c r="AC12" s="32" t="s">
        <v>89</v>
      </c>
      <c r="AD12" s="32"/>
      <c r="AF12" s="32"/>
      <c r="AG12" s="32"/>
      <c r="AH12" s="32"/>
      <c r="AI12" s="35"/>
      <c r="AJ12" s="36"/>
      <c r="AK12" s="35"/>
      <c r="AL12" s="37"/>
      <c r="AM12" s="37"/>
      <c r="AN12" s="37"/>
      <c r="AO12" s="37"/>
      <c r="AP12" s="38"/>
      <c r="AQ12" s="37" t="n">
        <f aca="false">SUMPRODUCT(--WEEKDAY(C$3:AG$3,2)&lt;6,--((C12:AG12="DM"))+(C12:AG12="CS1")+((C12:AG12="CS2"))+(C12:AG12="SB1")+(C12:AG12="AE")+(C12:AG12="EM"))</f>
        <v>4</v>
      </c>
      <c r="AR12" s="38"/>
      <c r="AS12" s="38" t="n">
        <f aca="false">SUMPRODUCT(--WEEKDAY(C$3:AG$3,2)&gt;5,--((C12:AG12="DM"))+(C12:AG12="CS1")+((C12:AG12="CS2"))+(C12:AG12="SB1")+(C12:AG12="AE")+(C12:AG12="EM"))</f>
        <v>1</v>
      </c>
      <c r="AT12" s="38"/>
      <c r="AU12" s="38" t="n">
        <f aca="false">(AQ12-AR12)/2+(AS12-AT12)</f>
        <v>3</v>
      </c>
      <c r="AV12" s="38" t="n">
        <f aca="false">AI12+AJ12+AK12+AL12+AN12+AO12</f>
        <v>0</v>
      </c>
      <c r="AW12" s="38" t="n">
        <f aca="false">BG12+BH12+BJ12+BE12+BC12+BA12+BL12</f>
        <v>1</v>
      </c>
      <c r="AX12" s="38" t="e">
        <f aca="false">AU12+AY12</f>
        <v>#VALUE!</v>
      </c>
      <c r="AY12" s="37" t="e">
        <f aca="false">(BJ12*('Setting key Duty'!$I$8+'Setting key Duty'!$I$12))+(BH12*'Setting key Duty'!$I$9)+(BC12*('Setting key Duty'!$I$13+'Setting key Duty'!$I$9))+(BA12*('Setting key Duty'!$I$13+'Setting key Duty'!$I$12+'Setting key Duty'!$I$11))+(BE12*('Setting key Duty'!$I$8+'Setting key Duty'!$I$9+'Setting key Duty'!$I$12))</f>
        <v>#VALUE!</v>
      </c>
      <c r="AZ12" s="37" t="n">
        <f aca="false">COUNTIF(D12:Y12,"*BRT*")</f>
        <v>0</v>
      </c>
      <c r="BA12" s="37" t="n">
        <f aca="false">COUNTIF(A12:AI12,"*$BTP*")</f>
        <v>0</v>
      </c>
      <c r="BB12" s="37" t="e">
        <f aca="false">BA12*('Setting key Duty'!$I$13+'Setting key Duty'!$I$12+'Setting key Duty'!$I$11)</f>
        <v>#VALUE!</v>
      </c>
      <c r="BC12" s="37" t="n">
        <f aca="false">COUNTIF(A12:AI12,"*$L*")</f>
        <v>0</v>
      </c>
      <c r="BD12" s="37" t="e">
        <f aca="false">BC12*('Setting key Duty'!$I$13+'Setting key Duty'!$I$9)</f>
        <v>#VALUE!</v>
      </c>
      <c r="BE12" s="37" t="n">
        <f aca="false">COUNTIF(A12:AI12,"*$M*")</f>
        <v>1</v>
      </c>
      <c r="BF12" s="37" t="n">
        <f aca="false">BE12*('Setting key Duty'!$I$8+'Setting key Duty'!$I$9+'Setting key Duty'!$I$12)</f>
        <v>0.5625</v>
      </c>
      <c r="BG12" s="37" t="n">
        <f aca="false">COUNTIF(AI12,"*$N*")</f>
        <v>0</v>
      </c>
      <c r="BH12" s="37" t="n">
        <f aca="false">COUNTIF(AI12,"*$PM*")</f>
        <v>0</v>
      </c>
      <c r="BI12" s="37" t="n">
        <f aca="false">BH12*('Setting key Duty'!$I$9)</f>
        <v>0</v>
      </c>
      <c r="BJ12" s="37" t="n">
        <f aca="false">COUNTIF(A12:AI12,"*$AM*")</f>
        <v>0</v>
      </c>
      <c r="BK12" s="37" t="n">
        <f aca="false">BJ12*('Setting key Duty'!$I$12+'Setting key Duty'!$I$8)</f>
        <v>0</v>
      </c>
      <c r="BL12" s="37" t="n">
        <f aca="false">COUNTIF(D12:AI12,"*$FC*")</f>
        <v>0</v>
      </c>
      <c r="BM12" s="37" t="n">
        <f aca="false">BL12*('Setting key Duty'!$J$11+'Setting key Duty'!$I$8)</f>
        <v>0</v>
      </c>
      <c r="BN12" s="37" t="n">
        <f aca="false">COUNTIF($D12:$Y12,BN$4)</f>
        <v>0</v>
      </c>
      <c r="BO12" s="37" t="n">
        <f aca="false">COUNTIF($D12:$Y12,BO$4)</f>
        <v>3</v>
      </c>
      <c r="BP12" s="37" t="n">
        <f aca="false">COUNTIF($D12:$Y12,BP$4)</f>
        <v>0</v>
      </c>
      <c r="BQ12" s="39"/>
    </row>
    <row r="13" customFormat="false" ht="24" hidden="false" customHeight="true" outlineLevel="0" collapsed="false">
      <c r="A13" s="30"/>
      <c r="B13" s="49" t="s">
        <v>353</v>
      </c>
      <c r="C13" s="32"/>
      <c r="D13" s="32"/>
      <c r="E13" s="32"/>
      <c r="F13" s="32" t="s">
        <v>57</v>
      </c>
      <c r="H13" s="32"/>
      <c r="I13" s="42"/>
      <c r="J13" s="42"/>
      <c r="K13" s="32" t="s">
        <v>57</v>
      </c>
      <c r="L13" s="32"/>
      <c r="M13" s="32"/>
      <c r="N13" s="52" t="s">
        <v>59</v>
      </c>
      <c r="O13" s="32"/>
      <c r="P13" s="32"/>
      <c r="Q13" s="45" t="s">
        <v>57</v>
      </c>
      <c r="R13" s="32"/>
      <c r="S13" s="32" t="s">
        <v>425</v>
      </c>
      <c r="T13" s="32" t="s">
        <v>425</v>
      </c>
      <c r="U13" s="32" t="s">
        <v>425</v>
      </c>
      <c r="V13" s="32"/>
      <c r="X13" s="42" t="s">
        <v>57</v>
      </c>
      <c r="Y13" s="32"/>
      <c r="Z13" s="32"/>
      <c r="AA13" s="32" t="s">
        <v>57</v>
      </c>
      <c r="AB13" s="32"/>
      <c r="AD13" s="32"/>
      <c r="AF13" s="33"/>
      <c r="AG13" s="32"/>
      <c r="AH13" s="32" t="s">
        <v>59</v>
      </c>
      <c r="AI13" s="35" t="n">
        <f aca="false">COUNTIF($C13:$AB13,AI$4)</f>
        <v>5</v>
      </c>
      <c r="AJ13" s="36" t="n">
        <f aca="false">COUNTIF($C13:$AB13,AJ$4)</f>
        <v>0</v>
      </c>
      <c r="AK13" s="35" t="n">
        <f aca="false">COUNTIF($C13:$AB13,AK$4)</f>
        <v>1</v>
      </c>
      <c r="AL13" s="37" t="n">
        <f aca="false">COUNTIF($C13:$AB13,AL$4)</f>
        <v>0</v>
      </c>
      <c r="AM13" s="37" t="n">
        <f aca="false">COUNTIF($C13:$AB13,AM$4)</f>
        <v>0</v>
      </c>
      <c r="AN13" s="37" t="n">
        <f aca="false">COUNTIF($C13:$AB13,AN$4)</f>
        <v>0</v>
      </c>
      <c r="AO13" s="37" t="n">
        <f aca="false">COUNTIF($C13:$AB13,AO$4)</f>
        <v>0</v>
      </c>
      <c r="AP13" s="38"/>
      <c r="AQ13" s="37" t="n">
        <f aca="false">SUMPRODUCT(--WEEKDAY(C$3:AG$3,2)&lt;6,--((C13:AG13="DM"))+(C13:AG13="CS1")+((C13:AG13="CS2"))+(C13:AG13="SB1")+(C13:AG13="AE")+(C13:AG13="EM"))</f>
        <v>4</v>
      </c>
      <c r="AR13" s="38"/>
      <c r="AS13" s="38" t="n">
        <f aca="false">SUMPRODUCT(--WEEKDAY(C$3:AG$3,2)&gt;5,--((C13:AG13="DM"))+(C13:AG13="CS1")+((C13:AG13="CS2"))+(C13:AG13="SB1")+(C13:AG13="AE")+(C13:AG13="EM"))</f>
        <v>2</v>
      </c>
      <c r="AT13" s="38"/>
      <c r="AU13" s="38" t="n">
        <f aca="false">(AQ13-AR13)/2+(AS13-AT13)</f>
        <v>4</v>
      </c>
      <c r="AV13" s="38" t="n">
        <f aca="false">AI13+AJ13+AK13+AL13+AN13+AO13</f>
        <v>6</v>
      </c>
      <c r="AW13" s="38" t="n">
        <f aca="false">BG13+BH13+BJ13+BE13+BC13+BA13+BL13</f>
        <v>0</v>
      </c>
      <c r="AX13" s="38" t="e">
        <f aca="false">AU13+AY13</f>
        <v>#VALUE!</v>
      </c>
      <c r="AY13" s="37" t="e">
        <f aca="false">(BJ13*('Setting key Duty'!$I$8+'Setting key Duty'!$I$12))+(BH13*'Setting key Duty'!$I$9)+(BC13*('Setting key Duty'!$I$13+'Setting key Duty'!$I$9))+(BA13*('Setting key Duty'!$I$13+'Setting key Duty'!$I$12+'Setting key Duty'!$I$11))+(BE13*('Setting key Duty'!$I$8+'Setting key Duty'!$I$9+'Setting key Duty'!$I$12))</f>
        <v>#VALUE!</v>
      </c>
      <c r="AZ13" s="37" t="n">
        <f aca="false">COUNTIF(C13:AB13,"*BRT*")</f>
        <v>0</v>
      </c>
      <c r="BA13" s="37" t="n">
        <f aca="false">COUNTIF(A13:AI13,"*$BTP*")</f>
        <v>0</v>
      </c>
      <c r="BB13" s="37" t="e">
        <f aca="false">BA13*('Setting key Duty'!$I$13+'Setting key Duty'!$I$12+'Setting key Duty'!$I$11)</f>
        <v>#VALUE!</v>
      </c>
      <c r="BC13" s="37" t="n">
        <f aca="false">COUNTIF(A13:AI13,"*$L*")</f>
        <v>0</v>
      </c>
      <c r="BD13" s="37" t="e">
        <f aca="false">BC13*('Setting key Duty'!$I$13+'Setting key Duty'!$I$9)</f>
        <v>#VALUE!</v>
      </c>
      <c r="BE13" s="37" t="n">
        <f aca="false">COUNTIF(A13:AI13,"*$M*")</f>
        <v>0</v>
      </c>
      <c r="BF13" s="37" t="n">
        <f aca="false">BE13*('Setting key Duty'!$I$8+'Setting key Duty'!$I$9+'Setting key Duty'!$I$12)</f>
        <v>0</v>
      </c>
      <c r="BG13" s="37" t="n">
        <f aca="false">COUNTIF(A13:AI13,"*$N*")</f>
        <v>0</v>
      </c>
      <c r="BH13" s="37" t="n">
        <f aca="false">COUNTIF(AI13,"*$PM*")</f>
        <v>0</v>
      </c>
      <c r="BI13" s="37" t="n">
        <f aca="false">BH13*('Setting key Duty'!$I$9)</f>
        <v>0</v>
      </c>
      <c r="BJ13" s="37" t="n">
        <f aca="false">COUNTIF(A13:AI13,"*$AM*")</f>
        <v>0</v>
      </c>
      <c r="BK13" s="37" t="n">
        <f aca="false">BJ13*('Setting key Duty'!$I$12+'Setting key Duty'!$I$8)</f>
        <v>0</v>
      </c>
      <c r="BL13" s="37" t="n">
        <f aca="false">COUNTIF(C13:AI13,"*$FC*")</f>
        <v>0</v>
      </c>
      <c r="BM13" s="37" t="n">
        <f aca="false">BL13*('Setting key Duty'!$J$11+'Setting key Duty'!$I$8)</f>
        <v>0</v>
      </c>
      <c r="BN13" s="37" t="n">
        <f aca="false">COUNTIF($C13:$AB13,BN$4)</f>
        <v>0</v>
      </c>
      <c r="BO13" s="37" t="n">
        <f aca="false">COUNTIF($C13:$AB13,BO$4)</f>
        <v>0</v>
      </c>
      <c r="BP13" s="37" t="n">
        <f aca="false">COUNTIF($C13:$AB13,BP$4)</f>
        <v>0</v>
      </c>
      <c r="BQ13" s="39"/>
    </row>
    <row r="14" customFormat="false" ht="37.5" hidden="false" customHeight="true" outlineLevel="0" collapsed="false">
      <c r="A14" s="30"/>
      <c r="B14" s="106" t="s">
        <v>224</v>
      </c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5" t="n">
        <f aca="false">COUNTIF($D14:$AC14,AI$4)</f>
        <v>0</v>
      </c>
      <c r="AJ14" s="36" t="n">
        <f aca="false">COUNTIF($D14:$AC14,AJ$4)</f>
        <v>0</v>
      </c>
      <c r="AK14" s="35" t="n">
        <f aca="false">COUNTIF($D14:$AC14,AK$4)</f>
        <v>0</v>
      </c>
      <c r="AL14" s="37" t="n">
        <f aca="false">COUNTIF($D14:$AC14,AL$4)</f>
        <v>0</v>
      </c>
      <c r="AM14" s="37" t="n">
        <f aca="false">COUNTIF($D14:$AC14,AM$4)</f>
        <v>0</v>
      </c>
      <c r="AN14" s="37" t="n">
        <f aca="false">COUNTIF($D14:$AC14,AN$4)</f>
        <v>0</v>
      </c>
      <c r="AO14" s="37" t="n">
        <f aca="false">COUNTIF($D14:$AC14,AO$4)</f>
        <v>0</v>
      </c>
      <c r="AP14" s="38"/>
      <c r="AQ14" s="37" t="n">
        <f aca="false">SUMPRODUCT(--WEEKDAY(C$3:AG$3,2)&lt;6,--((C14:AG14="DM"))+(C14:AG14="CS1")+((C14:AG14="CS2"))+(C14:AG14="SB1")+(C14:AG14="AE")+(C14:AG14="EM"))</f>
        <v>0</v>
      </c>
      <c r="AR14" s="38"/>
      <c r="AS14" s="38" t="n">
        <f aca="false">SUMPRODUCT(--WEEKDAY(C$3:AG$3,2)&gt;5,--((C14:AG14="DM"))+(C14:AG14="CS1")+((C14:AG14="CS2"))+(C14:AG14="SB1")+(C14:AG14="AE")+(C14:AG14="EM"))</f>
        <v>0</v>
      </c>
      <c r="AT14" s="38"/>
      <c r="AU14" s="38" t="n">
        <f aca="false">(AQ14-AR14)/2+(AS14-AT14)</f>
        <v>0</v>
      </c>
      <c r="AV14" s="38" t="n">
        <f aca="false">AI14+AJ14+AK14+AL14+AN14+AO14</f>
        <v>0</v>
      </c>
      <c r="AW14" s="38" t="n">
        <f aca="false">BG14+BH14+BJ14+BE14+BC14+BA14+BL14</f>
        <v>0</v>
      </c>
      <c r="AX14" s="38" t="e">
        <f aca="false">AU14+AY14</f>
        <v>#VALUE!</v>
      </c>
      <c r="AY14" s="37" t="e">
        <f aca="false">(BJ14*('Setting key Duty'!$I$8+'Setting key Duty'!$I$12))+(BH14*'Setting key Duty'!$I$9)+(BC14*('Setting key Duty'!$I$13+'Setting key Duty'!$I$9))+(BA14*('Setting key Duty'!$I$13+'Setting key Duty'!$I$12+'Setting key Duty'!$I$11))+(BE14*('Setting key Duty'!$I$8+'Setting key Duty'!$I$9+'Setting key Duty'!$I$12))</f>
        <v>#VALUE!</v>
      </c>
      <c r="AZ14" s="37" t="n">
        <f aca="false">COUNTIF(C14:AC14,"*BRT*")</f>
        <v>0</v>
      </c>
      <c r="BA14" s="37" t="n">
        <f aca="false">COUNTIF(A14:AI14,"*$BTP*")</f>
        <v>0</v>
      </c>
      <c r="BB14" s="37" t="e">
        <f aca="false">BA14*('Setting key Duty'!$I$13+'Setting key Duty'!$I$12+'Setting key Duty'!$I$11)</f>
        <v>#VALUE!</v>
      </c>
      <c r="BC14" s="37" t="n">
        <f aca="false">COUNTIF(A14:AI14,"*$L*")</f>
        <v>0</v>
      </c>
      <c r="BD14" s="37" t="e">
        <f aca="false">BC14*('Setting key Duty'!$I$13+'Setting key Duty'!$I$9)</f>
        <v>#VALUE!</v>
      </c>
      <c r="BE14" s="37" t="n">
        <f aca="false">COUNTIF(A14:AI14,"*$M*")</f>
        <v>0</v>
      </c>
      <c r="BF14" s="37" t="n">
        <f aca="false">BE14*('Setting key Duty'!$I$8+'Setting key Duty'!$I$9+'Setting key Duty'!$I$12)</f>
        <v>0</v>
      </c>
      <c r="BG14" s="37" t="n">
        <f aca="false">COUNTIF(AI14,"*$N*")</f>
        <v>0</v>
      </c>
      <c r="BH14" s="37" t="n">
        <f aca="false">COUNTIF(AI14,"*$PM*")</f>
        <v>0</v>
      </c>
      <c r="BI14" s="37" t="n">
        <f aca="false">BH14*('Setting key Duty'!$I$9)</f>
        <v>0</v>
      </c>
      <c r="BJ14" s="37" t="n">
        <f aca="false">COUNTIF(A14:AI14,"*$AM*")</f>
        <v>0</v>
      </c>
      <c r="BK14" s="37" t="n">
        <f aca="false">BJ14*('Setting key Duty'!$I$12+'Setting key Duty'!$I$8)</f>
        <v>0</v>
      </c>
      <c r="BL14" s="37" t="n">
        <f aca="false">COUNTIF(C14:AI14,"*$FC*")</f>
        <v>0</v>
      </c>
      <c r="BM14" s="37" t="n">
        <f aca="false">BL14*('Setting key Duty'!$J$11+'Setting key Duty'!$I$8)</f>
        <v>0</v>
      </c>
      <c r="BN14" s="37" t="n">
        <f aca="false">COUNTIF($C14:$AC14,BN$4)</f>
        <v>0</v>
      </c>
      <c r="BO14" s="37" t="n">
        <f aca="false">COUNTIF($C14:$AC14,BO$4)</f>
        <v>0</v>
      </c>
      <c r="BP14" s="37" t="n">
        <f aca="false">COUNTIF($C14:$AC14,BP$4)</f>
        <v>0</v>
      </c>
      <c r="BQ14" s="39"/>
    </row>
    <row r="15" customFormat="false" ht="19.5" hidden="false" customHeight="true" outlineLevel="0" collapsed="false">
      <c r="A15" s="30"/>
      <c r="B15" s="104" t="s">
        <v>226</v>
      </c>
      <c r="C15" s="32"/>
      <c r="D15" s="32"/>
      <c r="E15" s="32"/>
      <c r="F15" s="32"/>
      <c r="G15" s="32"/>
      <c r="H15" s="32"/>
      <c r="I15" s="32"/>
      <c r="J15" s="32"/>
      <c r="K15" s="32" t="s">
        <v>350</v>
      </c>
      <c r="L15" s="32"/>
      <c r="M15" s="42"/>
      <c r="N15" s="52"/>
      <c r="O15" s="32"/>
      <c r="P15" s="32"/>
      <c r="Q15" s="32"/>
      <c r="R15" s="32"/>
      <c r="S15" s="32"/>
      <c r="T15" s="32"/>
      <c r="U15" s="32"/>
      <c r="V15" s="32"/>
      <c r="W15" s="32" t="s">
        <v>350</v>
      </c>
      <c r="X15" s="32"/>
      <c r="Y15" s="32" t="s">
        <v>58</v>
      </c>
      <c r="Z15" s="32"/>
      <c r="AA15" s="32"/>
      <c r="AB15" s="32"/>
      <c r="AC15" s="32"/>
      <c r="AD15" s="32"/>
      <c r="AE15" s="32"/>
      <c r="AG15" s="32"/>
      <c r="AH15" s="32"/>
      <c r="AI15" s="35" t="n">
        <f aca="false">COUNTIF($D15:$AA15,AI$4)</f>
        <v>0</v>
      </c>
      <c r="AJ15" s="36" t="n">
        <f aca="false">COUNTIF($D15:$AA15,AJ$4)</f>
        <v>0</v>
      </c>
      <c r="AK15" s="35" t="n">
        <f aca="false">COUNTIF($D15:$AA15,AK$4)</f>
        <v>0</v>
      </c>
      <c r="AL15" s="37" t="n">
        <f aca="false">COUNTIF($D15:$AA15,AL$4)</f>
        <v>1</v>
      </c>
      <c r="AM15" s="37" t="n">
        <f aca="false">COUNTIF($D15:$AA15,AM$4)</f>
        <v>0</v>
      </c>
      <c r="AN15" s="37" t="n">
        <f aca="false">COUNTIF($D15:$AA15,AN$4)</f>
        <v>0</v>
      </c>
      <c r="AO15" s="37" t="n">
        <f aca="false">COUNTIF($D15:$AA15,AO$4)</f>
        <v>0</v>
      </c>
      <c r="AP15" s="38"/>
      <c r="AQ15" s="37" t="n">
        <f aca="false">SUMPRODUCT(--WEEKDAY(C$3:AG$3,2)&lt;6,--((C15:AG15="DM"))+(C15:AG15="CS1")+((C15:AG15="CS2"))+(C15:AG15="SB1")+(C15:AG15="AE")+(C15:AG15="EM"))</f>
        <v>1</v>
      </c>
      <c r="AR15" s="38"/>
      <c r="AS15" s="38" t="n">
        <f aca="false">SUMPRODUCT(--WEEKDAY(C$3:AG$3,2)&gt;5,--((C15:AG15="DM"))+(C15:AG15="CS1")+((C15:AG15="CS2"))+(C15:AG15="SB1")+(C15:AG15="AE")+(C15:AG15="EM"))</f>
        <v>0</v>
      </c>
      <c r="AT15" s="38"/>
      <c r="AU15" s="38" t="n">
        <f aca="false">(AQ15-AR15)/2+(AS15-AT15)</f>
        <v>0.5</v>
      </c>
      <c r="AV15" s="38" t="n">
        <f aca="false">AI15+AJ15+AK15+AL15+AN15+AO15</f>
        <v>1</v>
      </c>
      <c r="AW15" s="38" t="n">
        <f aca="false">BG15+BH15+BJ15+BE15+BC15+BA15+BL15</f>
        <v>0</v>
      </c>
      <c r="AX15" s="38" t="e">
        <f aca="false">AU15+AY15</f>
        <v>#VALUE!</v>
      </c>
      <c r="AY15" s="37" t="e">
        <f aca="false">(BJ15*('Setting key Duty'!$I$8+'Setting key Duty'!$I$12))+(BH15*'Setting key Duty'!$I$9)+(BC15*('Setting key Duty'!$I$13+'Setting key Duty'!$I$9))+(BA15*('Setting key Duty'!$I$13+'Setting key Duty'!$I$12+'Setting key Duty'!$I$11))+(BE15*('Setting key Duty'!$I$8+'Setting key Duty'!$I$9+'Setting key Duty'!$I$12))</f>
        <v>#VALUE!</v>
      </c>
      <c r="AZ15" s="37" t="n">
        <f aca="false">COUNTIF(D15:AA15,"*BRT*")</f>
        <v>0</v>
      </c>
      <c r="BA15" s="37" t="n">
        <f aca="false">COUNTIF(A15:AI15,"*$BTP*")</f>
        <v>0</v>
      </c>
      <c r="BB15" s="37" t="e">
        <f aca="false">BA15*('Setting key Duty'!$I$13+'Setting key Duty'!$I$12+'Setting key Duty'!$I$11)</f>
        <v>#VALUE!</v>
      </c>
      <c r="BC15" s="37" t="n">
        <f aca="false">COUNTIF(A15:AI15,"*$L*")</f>
        <v>0</v>
      </c>
      <c r="BD15" s="37" t="e">
        <f aca="false">BC15*('Setting key Duty'!$I$13+'Setting key Duty'!$I$9)</f>
        <v>#VALUE!</v>
      </c>
      <c r="BE15" s="37" t="n">
        <f aca="false">COUNTIF(A15:AI15,"*$M*")</f>
        <v>0</v>
      </c>
      <c r="BF15" s="37" t="n">
        <f aca="false">BE15*('Setting key Duty'!$I$8+'Setting key Duty'!$I$9+'Setting key Duty'!$I$12)</f>
        <v>0</v>
      </c>
      <c r="BG15" s="37" t="n">
        <f aca="false">COUNTIF(A15:AI15,"*$N*")</f>
        <v>0</v>
      </c>
      <c r="BH15" s="37" t="n">
        <f aca="false">COUNTIF(AI15,"*$PM*")</f>
        <v>0</v>
      </c>
      <c r="BI15" s="37" t="n">
        <f aca="false">BH15*('Setting key Duty'!$I$9)</f>
        <v>0</v>
      </c>
      <c r="BJ15" s="37" t="n">
        <f aca="false">COUNTIF(A15:AI15,"*$AM*")</f>
        <v>0</v>
      </c>
      <c r="BK15" s="37" t="n">
        <f aca="false">BJ15*('Setting key Duty'!$I$12+'Setting key Duty'!$I$8)</f>
        <v>0</v>
      </c>
      <c r="BL15" s="37" t="n">
        <f aca="false">COUNTIF(D15:AI15,"*$FC*")</f>
        <v>0</v>
      </c>
      <c r="BM15" s="37" t="n">
        <f aca="false">BL15*('Setting key Duty'!$J$11+'Setting key Duty'!$I$8)</f>
        <v>0</v>
      </c>
      <c r="BN15" s="37" t="n">
        <f aca="false">COUNTIF($D15:$AA15,BN$4)</f>
        <v>0</v>
      </c>
      <c r="BO15" s="37" t="n">
        <f aca="false">COUNTIF($D15:$AA15,BO$4)</f>
        <v>2</v>
      </c>
      <c r="BP15" s="37" t="n">
        <f aca="false">COUNTIF($D15:$AA15,BP$4)</f>
        <v>0</v>
      </c>
      <c r="BQ15" s="39"/>
    </row>
    <row r="16" customFormat="false" ht="19.5" hidden="false" customHeight="true" outlineLevel="0" collapsed="false">
      <c r="A16" s="30"/>
      <c r="B16" s="41" t="s">
        <v>286</v>
      </c>
      <c r="C16" s="32" t="s">
        <v>57</v>
      </c>
      <c r="D16" s="32"/>
      <c r="E16" s="32"/>
      <c r="F16" s="45" t="s">
        <v>56</v>
      </c>
      <c r="G16" s="45"/>
      <c r="H16" s="45"/>
      <c r="I16" s="32"/>
      <c r="J16" s="42"/>
      <c r="K16" s="32" t="s">
        <v>56</v>
      </c>
      <c r="L16" s="42"/>
      <c r="M16" s="42" t="s">
        <v>56</v>
      </c>
      <c r="N16" s="32"/>
      <c r="O16" s="32"/>
      <c r="P16" s="32" t="s">
        <v>57</v>
      </c>
      <c r="Q16" s="32"/>
      <c r="R16" s="32" t="s">
        <v>350</v>
      </c>
      <c r="S16" s="32"/>
      <c r="T16" s="52"/>
      <c r="V16" s="32" t="s">
        <v>421</v>
      </c>
      <c r="W16" s="32" t="s">
        <v>350</v>
      </c>
      <c r="Z16" s="32"/>
      <c r="AA16" s="32" t="s">
        <v>59</v>
      </c>
      <c r="AB16" s="33"/>
      <c r="AC16" s="32" t="s">
        <v>57</v>
      </c>
      <c r="AD16" s="32"/>
      <c r="AE16" s="32"/>
      <c r="AF16" s="32"/>
      <c r="AG16" s="32"/>
      <c r="AH16" s="32"/>
      <c r="AI16" s="35" t="n">
        <f aca="false">COUNTIF($C16:$AF16,AI$4)</f>
        <v>3</v>
      </c>
      <c r="AJ16" s="36" t="n">
        <f aca="false">COUNTIF($C16:$AF16,AJ$4)</f>
        <v>3</v>
      </c>
      <c r="AK16" s="35" t="n">
        <f aca="false">COUNTIF($C16:$AF16,AK$4)</f>
        <v>1</v>
      </c>
      <c r="AL16" s="37" t="n">
        <f aca="false">COUNTIF($C16:$AF16,AL$4)</f>
        <v>0</v>
      </c>
      <c r="AM16" s="37" t="n">
        <f aca="false">COUNTIF($C16:$AF16,AM$4)</f>
        <v>0</v>
      </c>
      <c r="AN16" s="37" t="n">
        <f aca="false">COUNTIF($C16:$AF16,AN$4)</f>
        <v>0</v>
      </c>
      <c r="AO16" s="37" t="n">
        <f aca="false">COUNTIF($C16:$AF16,AO$4)</f>
        <v>0</v>
      </c>
      <c r="AP16" s="38"/>
      <c r="AQ16" s="37" t="n">
        <f aca="false">SUMPRODUCT(--WEEKDAY(C$3:AG$3,2)&lt;6,--((C16:AG16="DM"))+(C16:AG16="CS1")+((C16:AG16="CS2"))+(C16:AG16="SB1")+(C16:AG16="AE")+(C16:AG16="EM"))</f>
        <v>4</v>
      </c>
      <c r="AR16" s="38"/>
      <c r="AS16" s="38" t="n">
        <f aca="false">SUMPRODUCT(--WEEKDAY(C$3:AG$3,2)&gt;5,--((C16:AG16="DM"))+(C16:AG16="CS1")+((C16:AG16="CS2"))+(C16:AG16="SB1")+(C16:AG16="AE")+(C16:AG16="EM"))</f>
        <v>3</v>
      </c>
      <c r="AT16" s="38"/>
      <c r="AU16" s="38" t="n">
        <f aca="false">(AQ16-AR16)/2+(AS16-AT16)</f>
        <v>5</v>
      </c>
      <c r="AV16" s="38" t="n">
        <f aca="false">AI16+AJ16+AK16+AL16+AN16+AO16</f>
        <v>7</v>
      </c>
      <c r="AW16" s="38" t="n">
        <f aca="false">BG16+BH16+BJ16+BE16+BC16+BA16+BL16</f>
        <v>0</v>
      </c>
      <c r="AX16" s="38" t="e">
        <f aca="false">AU16+AY16</f>
        <v>#VALUE!</v>
      </c>
      <c r="AY16" s="37" t="e">
        <f aca="false">(BJ16*('Setting key Duty'!$I$8+'Setting key Duty'!$I$12))+(BH16*'Setting key Duty'!$I$9)+(BC16*('Setting key Duty'!$I$13+'Setting key Duty'!$I$9))+(BA16*('Setting key Duty'!$I$13+'Setting key Duty'!$I$12+'Setting key Duty'!$I$11))+(BE16*('Setting key Duty'!$I$8+'Setting key Duty'!$I$9+'Setting key Duty'!$I$12))</f>
        <v>#VALUE!</v>
      </c>
      <c r="AZ16" s="37" t="n">
        <f aca="false">COUNTIF(C16:AC16,"*BRT*")</f>
        <v>0</v>
      </c>
      <c r="BA16" s="37" t="n">
        <f aca="false">COUNTIF(A16:AI16,"*$BTP*")</f>
        <v>0</v>
      </c>
      <c r="BB16" s="37" t="e">
        <f aca="false">BA16*('Setting key Duty'!$I$13+'Setting key Duty'!$I$12+'Setting key Duty'!$I$11)</f>
        <v>#VALUE!</v>
      </c>
      <c r="BC16" s="37" t="n">
        <f aca="false">COUNTIF(I16:AI16,"*$L*")</f>
        <v>0</v>
      </c>
      <c r="BD16" s="37" t="e">
        <f aca="false">BC16*('Setting key Duty'!$I$13+'Setting key Duty'!$I$9)</f>
        <v>#VALUE!</v>
      </c>
      <c r="BE16" s="37" t="n">
        <f aca="false">COUNTIF(I16:AI16,"*$M*")</f>
        <v>0</v>
      </c>
      <c r="BF16" s="37" t="n">
        <f aca="false">BE16*('Setting key Duty'!$I$8+'Setting key Duty'!$I$9+'Setting key Duty'!$I$12)</f>
        <v>0</v>
      </c>
      <c r="BG16" s="37" t="n">
        <f aca="false">COUNTIF(I16:AI16,"*$N*")</f>
        <v>0</v>
      </c>
      <c r="BH16" s="37" t="n">
        <f aca="false">COUNTIF(I16:AI16,"*$PM*")</f>
        <v>0</v>
      </c>
      <c r="BI16" s="37" t="n">
        <f aca="false">BH16*('Setting key Duty'!$I$9)</f>
        <v>0</v>
      </c>
      <c r="BJ16" s="37" t="n">
        <f aca="false">COUNTIF(I16:AI16,"*$AM*")</f>
        <v>0</v>
      </c>
      <c r="BK16" s="37" t="n">
        <f aca="false">BJ16*('Setting key Duty'!$I$12+'Setting key Duty'!$I$8)</f>
        <v>0</v>
      </c>
      <c r="BL16" s="37" t="n">
        <f aca="false">COUNTIF(C16:AI16,"*$FC*")</f>
        <v>0</v>
      </c>
      <c r="BM16" s="37" t="n">
        <f aca="false">BL16*('Setting key Duty'!$J$11+'Setting key Duty'!$I$8)</f>
        <v>0</v>
      </c>
      <c r="BN16" s="37" t="n">
        <f aca="false">COUNTIF($C16:$AF16,BN$4)</f>
        <v>0</v>
      </c>
      <c r="BO16" s="37" t="n">
        <f aca="false">COUNTIF($C16:$AF16,BO$4)</f>
        <v>2</v>
      </c>
      <c r="BP16" s="37" t="n">
        <f aca="false">COUNTIF($I16:$AE16,BP$4)</f>
        <v>0</v>
      </c>
      <c r="BQ16" s="39"/>
    </row>
    <row r="17" customFormat="false" ht="19.5" hidden="false" customHeight="true" outlineLevel="0" collapsed="false">
      <c r="A17" s="30"/>
      <c r="B17" s="106" t="s">
        <v>426</v>
      </c>
      <c r="C17" s="42"/>
      <c r="D17" s="32"/>
      <c r="E17" s="32"/>
      <c r="F17" s="32"/>
      <c r="G17" s="42" t="s">
        <v>59</v>
      </c>
      <c r="H17" s="32"/>
      <c r="I17" s="32" t="s">
        <v>56</v>
      </c>
      <c r="M17" s="33"/>
      <c r="N17" s="32"/>
      <c r="O17" s="32"/>
      <c r="P17" s="32" t="s">
        <v>123</v>
      </c>
      <c r="Q17" s="42" t="s">
        <v>59</v>
      </c>
      <c r="R17" s="32"/>
      <c r="S17" s="32"/>
      <c r="T17" s="52"/>
      <c r="U17" s="42" t="s">
        <v>56</v>
      </c>
      <c r="V17" s="33"/>
      <c r="X17" s="32" t="s">
        <v>59</v>
      </c>
      <c r="Y17" s="32"/>
      <c r="Z17" s="32"/>
      <c r="AA17" s="32"/>
      <c r="AB17" s="32" t="s">
        <v>59</v>
      </c>
      <c r="AD17" s="32" t="s">
        <v>56</v>
      </c>
      <c r="AF17" s="32"/>
      <c r="AG17" s="42"/>
      <c r="AI17" s="35"/>
      <c r="AJ17" s="36"/>
      <c r="AK17" s="35"/>
      <c r="AL17" s="37"/>
      <c r="AM17" s="37"/>
      <c r="AN17" s="37"/>
      <c r="AO17" s="37"/>
      <c r="AP17" s="38"/>
      <c r="AQ17" s="37" t="n">
        <f aca="false">SUMPRODUCT(--WEEKDAY(C$3:AG$3,2)&lt;6,--((C17:AG17="DM"))+(C17:AG17="CS1")+((C17:AG17="CS2"))+(C17:AG17="SB1")+(C17:AG17="AE")+(C17:AG17="EM"))</f>
        <v>7</v>
      </c>
      <c r="AR17" s="38"/>
      <c r="AS17" s="38" t="n">
        <f aca="false">SUMPRODUCT(--WEEKDAY(C$3:AG$3,2)&gt;5,--((C17:AG17="DM"))+(C17:AG17="CS1")+((C17:AG17="CS2"))+(C17:AG17="SB1")+(C17:AG17="AE")+(C17:AG17="EM"))</f>
        <v>0</v>
      </c>
      <c r="AT17" s="38"/>
      <c r="AU17" s="38" t="n">
        <f aca="false">(AQ17-AR17)/2+(AS17-AT17)</f>
        <v>3.5</v>
      </c>
      <c r="AV17" s="38" t="n">
        <f aca="false">AI17+AJ17+AK17+AL17+AN17+AO17</f>
        <v>0</v>
      </c>
      <c r="AW17" s="38" t="n">
        <f aca="false">BG17+BH17+BJ17+BE17+BC17+BA17+BL17</f>
        <v>1</v>
      </c>
      <c r="AX17" s="38" t="e">
        <f aca="false">AU17+$AY$10</f>
        <v>#VALUE!</v>
      </c>
      <c r="AY17" s="37" t="e">
        <f aca="false">(BJ17*('Setting key Duty'!$I$8+'Setting key Duty'!$I$12))+(BH17*'Setting key Duty'!$I$9)+(BC17*('Setting key Duty'!$I$13+'Setting key Duty'!$I$9))+(BA17*('Setting key Duty'!$I$13+'Setting key Duty'!$I$12+'Setting key Duty'!$I$11))+(BE17*('Setting key Duty'!$I$8+'Setting key Duty'!$I$9+'Setting key Duty'!$I$12))</f>
        <v>#VALUE!</v>
      </c>
      <c r="AZ17" s="37" t="n">
        <f aca="false">COUNTIF(D17:AA17,"*BRT*")</f>
        <v>0</v>
      </c>
      <c r="BA17" s="37" t="n">
        <f aca="false">COUNTIF(A17:AI17,"*$BTP*")</f>
        <v>0</v>
      </c>
      <c r="BB17" s="37" t="e">
        <f aca="false">BA17*('Setting key Duty'!$I$13+'Setting key Duty'!$I$12+'Setting key Duty'!$I$11)</f>
        <v>#VALUE!</v>
      </c>
      <c r="BC17" s="37" t="n">
        <f aca="false">COUNTIF(A17:AI17,"*$L*")</f>
        <v>0</v>
      </c>
      <c r="BD17" s="37" t="e">
        <f aca="false">BC17*('Setting key Duty'!$I$13+'Setting key Duty'!$I$9)</f>
        <v>#VALUE!</v>
      </c>
      <c r="BE17" s="37" t="n">
        <f aca="false">COUNTIF(A17:AI17,"*$M*")</f>
        <v>0</v>
      </c>
      <c r="BF17" s="37" t="n">
        <f aca="false">BE17*('Setting key Duty'!$I$8+'Setting key Duty'!$I$9+'Setting key Duty'!$I$12)</f>
        <v>0</v>
      </c>
      <c r="BG17" s="37" t="n">
        <f aca="false">COUNTIF(AI17,"*$N*")</f>
        <v>0</v>
      </c>
      <c r="BH17" s="37" t="n">
        <f aca="false">COUNTIF(AI17,"*$PM*")</f>
        <v>0</v>
      </c>
      <c r="BI17" s="37" t="n">
        <f aca="false">BH17*('Setting key Duty'!$I$9)</f>
        <v>0</v>
      </c>
      <c r="BJ17" s="37" t="n">
        <f aca="false">COUNTIF(A17:AI17,"*$AM*")</f>
        <v>1</v>
      </c>
      <c r="BK17" s="37" t="n">
        <f aca="false">BJ17*('Setting key Duty'!$I$12+'Setting key Duty'!$I$8)</f>
        <v>0.4375</v>
      </c>
      <c r="BL17" s="37" t="n">
        <f aca="false">COUNTIF(D17:AI17,"*$FC*")</f>
        <v>0</v>
      </c>
      <c r="BM17" s="37" t="n">
        <f aca="false">BL17*('Setting key Duty'!$J$11+'Setting key Duty'!$I$8)</f>
        <v>0</v>
      </c>
      <c r="BN17" s="37" t="n">
        <f aca="false">COUNTIF($D17:$AA17,BN$4)</f>
        <v>0</v>
      </c>
      <c r="BO17" s="37" t="n">
        <f aca="false">COUNTIF($D17:$AA17,BO$4)</f>
        <v>0</v>
      </c>
      <c r="BP17" s="37" t="n">
        <f aca="false">COUNTIF($D17:$AA17,BP$4)</f>
        <v>0</v>
      </c>
      <c r="BQ17" s="39"/>
    </row>
    <row r="18" customFormat="false" ht="19.5" hidden="false" customHeight="true" outlineLevel="0" collapsed="false">
      <c r="A18" s="30"/>
      <c r="B18" s="48" t="s">
        <v>427</v>
      </c>
      <c r="C18" s="42" t="s">
        <v>59</v>
      </c>
      <c r="D18" s="32"/>
      <c r="E18" s="32"/>
      <c r="F18" s="32"/>
      <c r="H18" s="32"/>
      <c r="I18" s="32" t="s">
        <v>58</v>
      </c>
      <c r="K18" s="32"/>
      <c r="L18" s="32"/>
      <c r="M18" s="32" t="s">
        <v>350</v>
      </c>
      <c r="N18" s="52"/>
      <c r="P18" s="32" t="s">
        <v>56</v>
      </c>
      <c r="Q18" s="32"/>
      <c r="R18" s="32" t="s">
        <v>350</v>
      </c>
      <c r="S18" s="32"/>
      <c r="T18" s="52" t="s">
        <v>56</v>
      </c>
      <c r="U18" s="32"/>
      <c r="V18" s="32" t="s">
        <v>421</v>
      </c>
      <c r="W18" s="32"/>
      <c r="X18" s="32" t="s">
        <v>58</v>
      </c>
      <c r="Z18" s="32" t="s">
        <v>350</v>
      </c>
      <c r="AA18" s="32"/>
      <c r="AC18" s="32" t="s">
        <v>59</v>
      </c>
      <c r="AD18" s="32"/>
      <c r="AF18" s="42" t="s">
        <v>56</v>
      </c>
      <c r="AG18" s="42"/>
      <c r="AH18" s="32"/>
      <c r="AI18" s="35"/>
      <c r="AJ18" s="36"/>
      <c r="AK18" s="35"/>
      <c r="AL18" s="37"/>
      <c r="AM18" s="37"/>
      <c r="AN18" s="37"/>
      <c r="AO18" s="37"/>
      <c r="AP18" s="38"/>
      <c r="AQ18" s="37" t="n">
        <f aca="false">SUMPRODUCT(--WEEKDAY(C$3:AG$3,2)&lt;6,--((C18:AG18="DM"))+(C18:AG18="CS1")+((C18:AG18="CS2"))+(C18:AG18="SB1")+(C18:AG18="AE")+(C18:AG18="EM"))</f>
        <v>6</v>
      </c>
      <c r="AR18" s="38"/>
      <c r="AS18" s="38" t="n">
        <f aca="false">SUMPRODUCT(--WEEKDAY(C$3:AG$3,2)&gt;5,--((C18:AG18="DM"))+(C18:AG18="CS1")+((C18:AG18="CS2"))+(C18:AG18="SB1")+(C18:AG18="AE")+(C18:AG18="EM"))</f>
        <v>1</v>
      </c>
      <c r="AT18" s="38"/>
      <c r="AU18" s="38" t="n">
        <f aca="false">(AQ18-AR18)/2+(AS18-AT18)</f>
        <v>4</v>
      </c>
      <c r="AV18" s="38" t="n">
        <f aca="false">AI18+AJ18+AK18+AL18+AN18+AO18</f>
        <v>0</v>
      </c>
      <c r="AW18" s="38" t="n">
        <f aca="false">BG18+BH18+BJ18+BE18+BC18+BA18+BL18</f>
        <v>0</v>
      </c>
      <c r="AX18" s="38" t="e">
        <f aca="false">AU18+$AY$10</f>
        <v>#VALUE!</v>
      </c>
      <c r="AY18" s="37" t="e">
        <f aca="false">(BJ18*('Setting key Duty'!$I$8+'Setting key Duty'!$I$12))+(BH18*'Setting key Duty'!$I$9)+(BC18*('Setting key Duty'!$I$13+'Setting key Duty'!$I$9))+(BA18*('Setting key Duty'!$I$13+'Setting key Duty'!$I$12+'Setting key Duty'!$I$11))+(BE18*('Setting key Duty'!$I$8+'Setting key Duty'!$I$9+'Setting key Duty'!$I$12))</f>
        <v>#VALUE!</v>
      </c>
      <c r="AZ18" s="37" t="n">
        <f aca="false">COUNTIF(D18:Y18,"*BRT*")</f>
        <v>0</v>
      </c>
      <c r="BA18" s="37" t="n">
        <f aca="false">COUNTIF(A18:AI18,"*$BTP*")</f>
        <v>0</v>
      </c>
      <c r="BB18" s="37" t="e">
        <f aca="false">BA18*('Setting key Duty'!$I$13+'Setting key Duty'!$I$12+'Setting key Duty'!$I$11)</f>
        <v>#VALUE!</v>
      </c>
      <c r="BC18" s="37" t="n">
        <f aca="false">COUNTIF(A18:AI18,"*$L*")</f>
        <v>0</v>
      </c>
      <c r="BD18" s="37" t="e">
        <f aca="false">BC18*('Setting key Duty'!$I$13+'Setting key Duty'!$I$9)</f>
        <v>#VALUE!</v>
      </c>
      <c r="BE18" s="37" t="n">
        <f aca="false">COUNTIF(A18:AI18,"*$M*")</f>
        <v>0</v>
      </c>
      <c r="BF18" s="37" t="n">
        <f aca="false">BE18*('Setting key Duty'!$I$8+'Setting key Duty'!$I$9+'Setting key Duty'!$I$12)</f>
        <v>0</v>
      </c>
      <c r="BG18" s="37" t="n">
        <f aca="false">COUNTIF(AI18,"*$N*")</f>
        <v>0</v>
      </c>
      <c r="BH18" s="37" t="n">
        <f aca="false">COUNTIF(AI18,"*$PM*")</f>
        <v>0</v>
      </c>
      <c r="BI18" s="37" t="n">
        <f aca="false">BH18*('Setting key Duty'!$I$9)</f>
        <v>0</v>
      </c>
      <c r="BJ18" s="37" t="n">
        <f aca="false">COUNTIF(A18:AI18,"*$AM*")</f>
        <v>0</v>
      </c>
      <c r="BK18" s="37" t="n">
        <f aca="false">BJ18*('Setting key Duty'!$I$12+'Setting key Duty'!$I$8)</f>
        <v>0</v>
      </c>
      <c r="BL18" s="37" t="n">
        <f aca="false">COUNTIF(D18:AI18,"*$FC*")</f>
        <v>0</v>
      </c>
      <c r="BM18" s="37" t="n">
        <f aca="false">BL18*('Setting key Duty'!$J$11+'Setting key Duty'!$I$8)</f>
        <v>0</v>
      </c>
      <c r="BN18" s="37" t="n">
        <f aca="false">COUNTIF($D18:$Y18,BN$4)</f>
        <v>0</v>
      </c>
      <c r="BO18" s="37" t="n">
        <f aca="false">COUNTIF($D18:$Y18,BO$4)</f>
        <v>2</v>
      </c>
      <c r="BP18" s="37" t="n">
        <f aca="false">COUNTIF($D18:$Y18,BP$4)</f>
        <v>0</v>
      </c>
      <c r="BQ18" s="39"/>
    </row>
    <row r="19" customFormat="false" ht="26.25" hidden="false" customHeight="true" outlineLevel="0" collapsed="false">
      <c r="A19" s="30"/>
      <c r="B19" s="53" t="s">
        <v>300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5"/>
      <c r="AJ19" s="36"/>
      <c r="AK19" s="35"/>
      <c r="AL19" s="37"/>
      <c r="AM19" s="37"/>
      <c r="AN19" s="37"/>
      <c r="AO19" s="37"/>
      <c r="AP19" s="38"/>
      <c r="AQ19" s="37" t="n">
        <f aca="false">SUMPRODUCT(--WEEKDAY(C$3:AG$3,2)&lt;6,--((C19:AG19="DM"))+(C19:AG19="CS1")+((C19:AG19="CS2"))+(C19:AG19="SB1")+(C19:AG19="AE")+(C19:AG19="EM"))</f>
        <v>0</v>
      </c>
      <c r="AR19" s="38"/>
      <c r="AS19" s="38" t="n">
        <f aca="false">SUMPRODUCT(--WEEKDAY(C$3:AG$3,2)&gt;5,--((C19:AG19="DM"))+(C19:AG19="CS1")+((C19:AG19="CS2"))+(C19:AG19="SB1")+(C19:AG19="AE")+(C19:AG19="EM"))</f>
        <v>0</v>
      </c>
      <c r="AT19" s="38"/>
      <c r="AU19" s="38" t="n">
        <f aca="false">(AQ19-AR19)/2+(AS19-AT19)</f>
        <v>0</v>
      </c>
      <c r="AV19" s="38" t="n">
        <f aca="false">AI19+AJ19+AK19+AL19+AN19+AO19</f>
        <v>0</v>
      </c>
      <c r="AW19" s="38" t="n">
        <f aca="false">BG19+BH19+BJ19+BE19+BC19+BA19+BL19</f>
        <v>0</v>
      </c>
      <c r="AX19" s="38" t="e">
        <f aca="false">AU19+AY19</f>
        <v>#VALUE!</v>
      </c>
      <c r="AY19" s="37" t="e">
        <f aca="false">(BJ19*('Setting key Duty'!$I$8+'Setting key Duty'!$I$12))+(BH19*'Setting key Duty'!$I$9)+(BC19*('Setting key Duty'!$I$13+'Setting key Duty'!$I$9))+(BA19*('Setting key Duty'!$I$13+'Setting key Duty'!$I$12+'Setting key Duty'!$I$11))+(BE19*('Setting key Duty'!$I$8+'Setting key Duty'!$I$9+'Setting key Duty'!$I$12))</f>
        <v>#VALUE!</v>
      </c>
      <c r="AZ19" s="37" t="n">
        <f aca="false">COUNTIF(E19:AA19,"*BRT*")</f>
        <v>0</v>
      </c>
      <c r="BA19" s="37" t="n">
        <f aca="false">COUNTIF(A19:AI19,"*$BTP*")</f>
        <v>0</v>
      </c>
      <c r="BB19" s="37" t="e">
        <f aca="false">BA19*('Setting key Duty'!$I$13+'Setting key Duty'!$I$12+'Setting key Duty'!$I$11)</f>
        <v>#VALUE!</v>
      </c>
      <c r="BC19" s="37" t="n">
        <f aca="false">COUNTIF(A19:AI19,"*$L*")</f>
        <v>0</v>
      </c>
      <c r="BD19" s="37" t="e">
        <f aca="false">BC19*('Setting key Duty'!$I$13+'Setting key Duty'!$I$9)</f>
        <v>#VALUE!</v>
      </c>
      <c r="BE19" s="37" t="n">
        <f aca="false">COUNTIF(A19:AI19,"*$M*")</f>
        <v>0</v>
      </c>
      <c r="BF19" s="37" t="n">
        <f aca="false">BE19*('Setting key Duty'!$I$8+'Setting key Duty'!$I$9+'Setting key Duty'!$I$12)</f>
        <v>0</v>
      </c>
      <c r="BG19" s="37" t="n">
        <f aca="false">COUNTIF(AG19:AI19,"*$N*")</f>
        <v>0</v>
      </c>
      <c r="BH19" s="37" t="n">
        <f aca="false">COUNTIF(AG19:AI19,"*$PM*")</f>
        <v>0</v>
      </c>
      <c r="BI19" s="37" t="n">
        <f aca="false">BH19*('Setting key Duty'!$I$9)</f>
        <v>0</v>
      </c>
      <c r="BJ19" s="37" t="n">
        <f aca="false">COUNTIF(A19:AI19,"*$AM*")</f>
        <v>0</v>
      </c>
      <c r="BK19" s="37" t="n">
        <f aca="false">BJ19*('Setting key Duty'!$I$12+'Setting key Duty'!$I$8)</f>
        <v>0</v>
      </c>
      <c r="BL19" s="37" t="n">
        <f aca="false">COUNTIF(E19:AI19,"*$FC*")</f>
        <v>0</v>
      </c>
      <c r="BM19" s="37" t="n">
        <f aca="false">BL19*('Setting key Duty'!$J$11+'Setting key Duty'!$I$8)</f>
        <v>0</v>
      </c>
      <c r="BN19" s="37" t="n">
        <f aca="false">COUNTIF($E19:$AA19,BN$4)</f>
        <v>0</v>
      </c>
      <c r="BO19" s="37" t="n">
        <f aca="false">COUNTIF($E19:$AA19,BO$4)</f>
        <v>0</v>
      </c>
      <c r="BP19" s="37" t="n">
        <f aca="false">COUNTIF($E19:$AA19,BP$4)</f>
        <v>0</v>
      </c>
      <c r="BQ19" s="39"/>
    </row>
    <row r="20" customFormat="false" ht="19.5" hidden="false" customHeight="true" outlineLevel="0" collapsed="false">
      <c r="A20" s="30"/>
      <c r="B20" s="106" t="s">
        <v>382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5"/>
      <c r="AJ20" s="36"/>
      <c r="AK20" s="35"/>
      <c r="AL20" s="37"/>
      <c r="AM20" s="37"/>
      <c r="AN20" s="37"/>
      <c r="AO20" s="37"/>
      <c r="AP20" s="38"/>
      <c r="AQ20" s="37" t="n">
        <f aca="false">SUMPRODUCT(--WEEKDAY(C$3:AG$3,2)&lt;6,--((C20:AG20="DM"))+(C20:AG20="CS1")+((C20:AG20="CS2"))+(C20:AG20="SB1")+(C20:AG20="AE")+(C20:AG20="EM"))</f>
        <v>0</v>
      </c>
      <c r="AR20" s="38"/>
      <c r="AS20" s="38" t="n">
        <f aca="false">SUMPRODUCT(--WEEKDAY(C$3:AG$3,2)&gt;5,--((C20:AG20="DM"))+(C20:AG20="CS1")+((C20:AG20="CS2"))+(C20:AG20="SB1")+(C20:AG20="AE")+(C20:AG20="EM"))</f>
        <v>0</v>
      </c>
      <c r="AT20" s="38"/>
      <c r="AU20" s="38" t="n">
        <f aca="false">(AQ20-AR20)/2+(AS20-AT20)</f>
        <v>0</v>
      </c>
      <c r="AV20" s="38" t="n">
        <f aca="false">AI20+AJ20+AK20+AL20+AN20+AO20</f>
        <v>0</v>
      </c>
      <c r="AW20" s="38" t="n">
        <f aca="false">BG20+BH20+BJ20+BE20+BC20+BA20+BL20</f>
        <v>0</v>
      </c>
      <c r="AX20" s="38" t="e">
        <f aca="false">AU20+AY20</f>
        <v>#VALUE!</v>
      </c>
      <c r="AY20" s="37" t="e">
        <f aca="false">(BJ20*('Setting key Duty'!$I$8+'Setting key Duty'!$I$12))+(BH20*'Setting key Duty'!$I$9)+(BC20*('Setting key Duty'!$I$13+'Setting key Duty'!$I$9))+(BA20*('Setting key Duty'!$I$13+'Setting key Duty'!$I$12+'Setting key Duty'!$I$11))+(BE20*('Setting key Duty'!$I$8+'Setting key Duty'!$I$9+'Setting key Duty'!$I$12))</f>
        <v>#VALUE!</v>
      </c>
      <c r="AZ20" s="37" t="n">
        <f aca="false">COUNTIF(D20:AC20,"*BRT*")</f>
        <v>0</v>
      </c>
      <c r="BA20" s="37" t="n">
        <f aca="false">COUNTIF(A20:AI20,"*$BTP*")</f>
        <v>0</v>
      </c>
      <c r="BB20" s="37" t="e">
        <f aca="false">BA20*('Setting key Duty'!$I$13+'Setting key Duty'!$I$12+'Setting key Duty'!$I$11)</f>
        <v>#VALUE!</v>
      </c>
      <c r="BC20" s="37" t="n">
        <f aca="false">COUNTIF(A20:AI20,"*$L*")</f>
        <v>0</v>
      </c>
      <c r="BD20" s="37" t="e">
        <f aca="false">BC20*('Setting key Duty'!$I$13+'Setting key Duty'!$I$9)</f>
        <v>#VALUE!</v>
      </c>
      <c r="BE20" s="37" t="n">
        <f aca="false">COUNTIF(A20:AI20,"*$M*")</f>
        <v>0</v>
      </c>
      <c r="BF20" s="37" t="n">
        <f aca="false">BE20*('Setting key Duty'!$I$8+'Setting key Duty'!$I$9+'Setting key Duty'!$I$12)</f>
        <v>0</v>
      </c>
      <c r="BG20" s="37" t="n">
        <f aca="false">COUNTIF(AF20:AI20,"*$N*")</f>
        <v>0</v>
      </c>
      <c r="BH20" s="37" t="n">
        <f aca="false">COUNTIF(AF20:AI20,"*$PM*")</f>
        <v>0</v>
      </c>
      <c r="BI20" s="37" t="n">
        <f aca="false">BH20*('Setting key Duty'!$I$9)</f>
        <v>0</v>
      </c>
      <c r="BJ20" s="37" t="n">
        <f aca="false">COUNTIF(A20:AI20,"*$AM*")</f>
        <v>0</v>
      </c>
      <c r="BK20" s="37" t="n">
        <f aca="false">BJ20*('Setting key Duty'!$I$12+'Setting key Duty'!$I$8)</f>
        <v>0</v>
      </c>
      <c r="BL20" s="37" t="n">
        <f aca="false">COUNTIF(D20:AI20,"*$FC*")</f>
        <v>0</v>
      </c>
      <c r="BM20" s="37" t="n">
        <f aca="false">BL20*('Setting key Duty'!$J$11+'Setting key Duty'!$I$8)</f>
        <v>0</v>
      </c>
      <c r="BN20" s="37" t="n">
        <f aca="false">COUNTIF($D20:$AE20,BN$4)</f>
        <v>0</v>
      </c>
      <c r="BO20" s="37" t="n">
        <f aca="false">COUNTIF($D20:$AE20,BO$4)</f>
        <v>0</v>
      </c>
      <c r="BP20" s="37" t="n">
        <f aca="false">COUNTIF($D20:$AE20,BP$4)</f>
        <v>0</v>
      </c>
      <c r="BQ20" s="39"/>
    </row>
    <row r="21" customFormat="false" ht="30.75" hidden="false" customHeight="true" outlineLevel="0" collapsed="false">
      <c r="A21" s="30"/>
      <c r="B21" s="104" t="s">
        <v>302</v>
      </c>
      <c r="C21" s="32" t="s">
        <v>350</v>
      </c>
      <c r="D21" s="32"/>
      <c r="E21" s="32"/>
      <c r="H21" s="32" t="s">
        <v>73</v>
      </c>
      <c r="I21" s="32" t="s">
        <v>73</v>
      </c>
      <c r="J21" s="32" t="s">
        <v>73</v>
      </c>
      <c r="K21" s="32" t="s">
        <v>73</v>
      </c>
      <c r="L21" s="32" t="s">
        <v>73</v>
      </c>
      <c r="M21" s="32"/>
      <c r="N21" s="52"/>
      <c r="O21" s="32" t="s">
        <v>350</v>
      </c>
      <c r="P21" s="32"/>
      <c r="Q21" s="32"/>
      <c r="R21" s="32" t="s">
        <v>59</v>
      </c>
      <c r="S21" s="32"/>
      <c r="T21" s="32" t="s">
        <v>350</v>
      </c>
      <c r="V21" s="32"/>
      <c r="W21" s="32" t="s">
        <v>56</v>
      </c>
      <c r="X21" s="32"/>
      <c r="Y21" s="32" t="s">
        <v>350</v>
      </c>
      <c r="Z21" s="56"/>
      <c r="AA21" s="32" t="s">
        <v>56</v>
      </c>
      <c r="AC21" s="32" t="s">
        <v>56</v>
      </c>
      <c r="AD21" s="32"/>
      <c r="AF21" s="32"/>
      <c r="AG21" s="32"/>
      <c r="AH21" s="33"/>
      <c r="AI21" s="35"/>
      <c r="AJ21" s="36"/>
      <c r="AK21" s="35"/>
      <c r="AL21" s="37"/>
      <c r="AM21" s="37"/>
      <c r="AN21" s="37"/>
      <c r="AO21" s="37"/>
      <c r="AP21" s="38"/>
      <c r="AQ21" s="37" t="n">
        <f aca="false">SUMPRODUCT(--WEEKDAY(C$3:AG$3,2)&lt;6,--((C21:AG21="DM"))+(C21:AG21="CS1")+((C21:AG21="CS2"))+(C21:AG21="SB1")+(C21:AG21="AE")+(C21:AG21="EM"))</f>
        <v>3</v>
      </c>
      <c r="AR21" s="38"/>
      <c r="AS21" s="38" t="n">
        <f aca="false">SUMPRODUCT(--WEEKDAY(C$3:AG$3,2)&gt;5,--((C21:AG21="DM"))+(C21:AG21="CS1")+((C21:AG21="CS2"))+(C21:AG21="SB1")+(C21:AG21="AE")+(C21:AG21="EM"))</f>
        <v>1</v>
      </c>
      <c r="AT21" s="38"/>
      <c r="AU21" s="38" t="n">
        <f aca="false">(AQ21-AR21)/2+(AS21-AT21)</f>
        <v>2.5</v>
      </c>
      <c r="AV21" s="38" t="n">
        <f aca="false">AI21+AJ21+AK21+AL21+AN21+AO21</f>
        <v>0</v>
      </c>
      <c r="AW21" s="38" t="n">
        <f aca="false">BG21+BH21+BJ21+BE21+BC21+BA21+BL21</f>
        <v>5</v>
      </c>
      <c r="AX21" s="38" t="e">
        <f aca="false">AU21+$AY$10</f>
        <v>#VALUE!</v>
      </c>
      <c r="AY21" s="37" t="e">
        <f aca="false">(BJ21*('Setting key Duty'!$I$8+'Setting key Duty'!$I$12))+(BH21*'Setting key Duty'!$I$9)+(BC21*('Setting key Duty'!$I$13+'Setting key Duty'!$I$9))+(BA21*('Setting key Duty'!$I$13+'Setting key Duty'!$I$12+'Setting key Duty'!$I$11))+(BE21*('Setting key Duty'!$I$8+'Setting key Duty'!$I$9+'Setting key Duty'!$I$12))</f>
        <v>#VALUE!</v>
      </c>
      <c r="AZ21" s="37" t="n">
        <f aca="false">COUNTIF(D21:AA21,"*BRT*")</f>
        <v>0</v>
      </c>
      <c r="BA21" s="37" t="n">
        <f aca="false">COUNTIF(A21:AI21,"*$BTP*")</f>
        <v>0</v>
      </c>
      <c r="BB21" s="37" t="e">
        <f aca="false">BA21*('Setting key Duty'!$I$13+'Setting key Duty'!$I$12+'Setting key Duty'!$I$11)</f>
        <v>#VALUE!</v>
      </c>
      <c r="BC21" s="37" t="n">
        <f aca="false">COUNTIF(A21:AI21,"*$L*")</f>
        <v>0</v>
      </c>
      <c r="BD21" s="37" t="e">
        <f aca="false">BC21*('Setting key Duty'!$I$13+'Setting key Duty'!$I$9)</f>
        <v>#VALUE!</v>
      </c>
      <c r="BE21" s="37" t="n">
        <f aca="false">COUNTIF(A21:AI21,"*$M*")</f>
        <v>0</v>
      </c>
      <c r="BF21" s="37" t="n">
        <f aca="false">BE21*('Setting key Duty'!$I$8+'Setting key Duty'!$I$9+'Setting key Duty'!$I$12)</f>
        <v>0</v>
      </c>
      <c r="BG21" s="37" t="n">
        <f aca="false">COUNTIF(AI21,"*$N*")</f>
        <v>0</v>
      </c>
      <c r="BH21" s="37" t="n">
        <f aca="false">COUNTIF(AI21,"*$PM*")</f>
        <v>0</v>
      </c>
      <c r="BI21" s="37" t="n">
        <f aca="false">BH21*('Setting key Duty'!$I$9)</f>
        <v>0</v>
      </c>
      <c r="BJ21" s="37" t="n">
        <f aca="false">COUNTIF(A21:AI21,"*$AM*")</f>
        <v>0</v>
      </c>
      <c r="BK21" s="37" t="n">
        <f aca="false">BJ21*('Setting key Duty'!$I$12+'Setting key Duty'!$I$8)</f>
        <v>0</v>
      </c>
      <c r="BL21" s="37" t="n">
        <f aca="false">COUNTIF(D21:AI21,"*$FC*")</f>
        <v>5</v>
      </c>
      <c r="BM21" s="37" t="n">
        <f aca="false">BL21*('Setting key Duty'!$J$11+'Setting key Duty'!$I$8)</f>
        <v>0.625</v>
      </c>
      <c r="BN21" s="37" t="n">
        <f aca="false">COUNTIF($D21:$AA21,BN$4)</f>
        <v>0</v>
      </c>
      <c r="BO21" s="37" t="n">
        <f aca="false">COUNTIF($D21:$AA21,BO$4)</f>
        <v>3</v>
      </c>
      <c r="BP21" s="37" t="n">
        <f aca="false">COUNTIF($D21:$AA21,BP$4)</f>
        <v>0</v>
      </c>
      <c r="BQ21" s="39"/>
    </row>
    <row r="22" customFormat="false" ht="27.75" hidden="false" customHeight="true" outlineLevel="0" collapsed="false">
      <c r="A22" s="30"/>
      <c r="B22" s="104" t="s">
        <v>306</v>
      </c>
      <c r="D22" s="32"/>
      <c r="E22" s="32"/>
      <c r="G22" s="32" t="s">
        <v>56</v>
      </c>
      <c r="H22" s="117"/>
      <c r="L22" s="52" t="s">
        <v>59</v>
      </c>
      <c r="M22" s="33"/>
      <c r="N22" s="32" t="s">
        <v>350</v>
      </c>
      <c r="P22" s="32" t="s">
        <v>58</v>
      </c>
      <c r="R22" s="32"/>
      <c r="S22" s="32" t="s">
        <v>54</v>
      </c>
      <c r="T22" s="32" t="s">
        <v>54</v>
      </c>
      <c r="U22" s="32" t="s">
        <v>54</v>
      </c>
      <c r="V22" s="32" t="s">
        <v>54</v>
      </c>
      <c r="W22" s="32" t="s">
        <v>54</v>
      </c>
      <c r="X22" s="32" t="s">
        <v>54</v>
      </c>
      <c r="Y22" s="32" t="s">
        <v>54</v>
      </c>
      <c r="Z22" s="32" t="s">
        <v>54</v>
      </c>
      <c r="AA22" s="32" t="s">
        <v>54</v>
      </c>
      <c r="AC22" s="32" t="s">
        <v>58</v>
      </c>
      <c r="AD22" s="32"/>
      <c r="AE22" s="32" t="s">
        <v>56</v>
      </c>
      <c r="AF22" s="32"/>
      <c r="AG22" s="32" t="s">
        <v>56</v>
      </c>
      <c r="AH22" s="32"/>
      <c r="AI22" s="35"/>
      <c r="AJ22" s="36"/>
      <c r="AK22" s="35"/>
      <c r="AL22" s="37"/>
      <c r="AM22" s="37"/>
      <c r="AN22" s="37"/>
      <c r="AO22" s="37"/>
      <c r="AP22" s="38"/>
      <c r="AQ22" s="37" t="n">
        <f aca="false">SUMPRODUCT(--WEEKDAY(C$3:AG$3,2)&lt;6,--((C22:AG22="DM"))+(C22:AG22="CS1")+((C22:AG22="CS2"))+(C22:AG22="SB1")+(C22:AG22="AE")+(C22:AG22="EM"))</f>
        <v>4</v>
      </c>
      <c r="AR22" s="38"/>
      <c r="AS22" s="38" t="n">
        <f aca="false">SUMPRODUCT(--WEEKDAY(C$3:AG$3,2)&gt;5,--((C22:AG22="DM"))+(C22:AG22="CS1")+((C22:AG22="CS2"))+(C22:AG22="SB1")+(C22:AG22="AE")+(C22:AG22="EM"))</f>
        <v>2</v>
      </c>
      <c r="AT22" s="38"/>
      <c r="AU22" s="38" t="n">
        <f aca="false">(AQ22-AR22)/2+(AS22-AT22)</f>
        <v>4</v>
      </c>
      <c r="AV22" s="38" t="n">
        <f aca="false">AI22+AJ22+AK22+AL22+AN22+AO22</f>
        <v>0</v>
      </c>
      <c r="AW22" s="38" t="n">
        <f aca="false">BG22+BH22+BJ22+BE22+BC22+BA22+BL22</f>
        <v>0</v>
      </c>
      <c r="AX22" s="38" t="e">
        <f aca="false">AU22+$AY$10</f>
        <v>#VALUE!</v>
      </c>
      <c r="AY22" s="37" t="e">
        <f aca="false">(BJ22*('Setting key Duty'!$I$8+'Setting key Duty'!$I$12))+(BH22*'Setting key Duty'!$I$9)+(BC22*('Setting key Duty'!$I$13+'Setting key Duty'!$I$9))+(BA22*('Setting key Duty'!$I$13+'Setting key Duty'!$I$12+'Setting key Duty'!$I$11))+(BE22*('Setting key Duty'!$I$8+'Setting key Duty'!$I$9+'Setting key Duty'!$I$12))</f>
        <v>#VALUE!</v>
      </c>
      <c r="AZ22" s="37" t="n">
        <f aca="false">COUNTIF(C22:AA22,"*BRT*")</f>
        <v>0</v>
      </c>
      <c r="BA22" s="37" t="n">
        <f aca="false">COUNTIF(A22:AI22,"*$BTP*")</f>
        <v>0</v>
      </c>
      <c r="BB22" s="37" t="e">
        <f aca="false">BA22*('Setting key Duty'!$I$13+'Setting key Duty'!$I$12+'Setting key Duty'!$I$11)</f>
        <v>#VALUE!</v>
      </c>
      <c r="BC22" s="37" t="n">
        <f aca="false">COUNTIF(A22:AI22,"*$L*")</f>
        <v>0</v>
      </c>
      <c r="BD22" s="37" t="e">
        <f aca="false">BC22*('Setting key Duty'!$I$13+'Setting key Duty'!$I$9)</f>
        <v>#VALUE!</v>
      </c>
      <c r="BE22" s="37" t="n">
        <f aca="false">COUNTIF(A22:AI22,"*$M*")</f>
        <v>0</v>
      </c>
      <c r="BF22" s="37" t="n">
        <f aca="false">BE22*('Setting key Duty'!$I$8+'Setting key Duty'!$I$9+'Setting key Duty'!$I$12)</f>
        <v>0</v>
      </c>
      <c r="BG22" s="37" t="n">
        <f aca="false">COUNTIF(AI22,"*$N*")</f>
        <v>0</v>
      </c>
      <c r="BH22" s="37" t="n">
        <f aca="false">COUNTIF(AI22,"*$PM*")</f>
        <v>0</v>
      </c>
      <c r="BI22" s="37" t="n">
        <f aca="false">BH22*('Setting key Duty'!$I$9)</f>
        <v>0</v>
      </c>
      <c r="BJ22" s="37" t="n">
        <f aca="false">COUNTIF(A22:AI22,"*$AM*")</f>
        <v>0</v>
      </c>
      <c r="BK22" s="37" t="n">
        <f aca="false">BJ22*('Setting key Duty'!$I$12+'Setting key Duty'!$I$8)</f>
        <v>0</v>
      </c>
      <c r="BL22" s="37" t="n">
        <f aca="false">COUNTIF(C22:AI22,"*$FC*")</f>
        <v>0</v>
      </c>
      <c r="BM22" s="37" t="n">
        <f aca="false">BL22*('Setting key Duty'!$J$11+'Setting key Duty'!$I$8)</f>
        <v>0</v>
      </c>
      <c r="BN22" s="37" t="n">
        <f aca="false">COUNTIF($C22:$AA22,BN$4)</f>
        <v>0</v>
      </c>
      <c r="BO22" s="37" t="n">
        <f aca="false">COUNTIF($C22:$AA22,BO$4)</f>
        <v>1</v>
      </c>
      <c r="BP22" s="37" t="n">
        <f aca="false">COUNTIF($C22:$AA22,BP$4)</f>
        <v>0</v>
      </c>
      <c r="BQ22" s="39"/>
    </row>
    <row r="23" customFormat="false" ht="19.5" hidden="false" customHeight="true" outlineLevel="0" collapsed="false">
      <c r="A23" s="30"/>
      <c r="B23" s="40" t="s">
        <v>355</v>
      </c>
      <c r="C23" s="32"/>
      <c r="D23" s="32" t="s">
        <v>56</v>
      </c>
      <c r="E23" s="32"/>
      <c r="F23" s="32"/>
      <c r="G23" s="32" t="s">
        <v>350</v>
      </c>
      <c r="H23" s="32"/>
      <c r="I23" s="33"/>
      <c r="K23" s="32"/>
      <c r="L23" s="42" t="s">
        <v>57</v>
      </c>
      <c r="M23" s="33"/>
      <c r="N23" s="52"/>
      <c r="O23" s="32" t="s">
        <v>56</v>
      </c>
      <c r="P23" s="32"/>
      <c r="Q23" s="32" t="s">
        <v>350</v>
      </c>
      <c r="R23" s="42"/>
      <c r="T23" s="32" t="s">
        <v>57</v>
      </c>
      <c r="U23" s="32"/>
      <c r="V23" s="32"/>
      <c r="W23" s="32" t="s">
        <v>57</v>
      </c>
      <c r="X23" s="32"/>
      <c r="Y23" s="32"/>
      <c r="Z23" s="32"/>
      <c r="AA23" s="32"/>
      <c r="AB23" s="42"/>
      <c r="AC23" s="32" t="s">
        <v>350</v>
      </c>
      <c r="AD23" s="42" t="s">
        <v>57</v>
      </c>
      <c r="AF23" s="32" t="s">
        <v>59</v>
      </c>
      <c r="AG23" s="32"/>
      <c r="AH23" s="32"/>
      <c r="AI23" s="35"/>
      <c r="AJ23" s="36"/>
      <c r="AK23" s="35"/>
      <c r="AL23" s="37"/>
      <c r="AM23" s="37"/>
      <c r="AN23" s="37"/>
      <c r="AO23" s="37"/>
      <c r="AP23" s="38"/>
      <c r="AQ23" s="37" t="n">
        <f aca="false">SUMPRODUCT(--WEEKDAY(C$3:AG$3,2)&lt;6,--((C23:AG23="DM"))+(C23:AG23="CS1")+((C23:AG23="CS2"))+(C23:AG23="SB1")+(C23:AG23="AE")+(C23:AG23="EM"))</f>
        <v>5</v>
      </c>
      <c r="AR23" s="38"/>
      <c r="AS23" s="38" t="n">
        <f aca="false">SUMPRODUCT(--WEEKDAY(C$3:AG$3,2)&gt;5,--((C23:AG23="DM"))+(C23:AG23="CS1")+((C23:AG23="CS2"))+(C23:AG23="SB1")+(C23:AG23="AE")+(C23:AG23="EM"))</f>
        <v>2</v>
      </c>
      <c r="AT23" s="38"/>
      <c r="AU23" s="38" t="n">
        <f aca="false">(AQ23-AR23)/2+(AS23-AT23)</f>
        <v>4.5</v>
      </c>
      <c r="AV23" s="38" t="n">
        <f aca="false">AI23+AJ23+AK23+AL23+AN23+AO23</f>
        <v>0</v>
      </c>
      <c r="AW23" s="38" t="n">
        <f aca="false">BG23+BH23+BJ23+BE23+BC23+BA23+BL23</f>
        <v>0</v>
      </c>
      <c r="AX23" s="38" t="e">
        <f aca="false">AU23+AY23</f>
        <v>#VALUE!</v>
      </c>
      <c r="AY23" s="37" t="e">
        <f aca="false">(BJ23*('Setting key Duty'!$I$8+'Setting key Duty'!$I$12))+(BH23*'Setting key Duty'!$I$9)+(BC23*('Setting key Duty'!$I$13+'Setting key Duty'!$I$9))+(BA23*('Setting key Duty'!$I$13+'Setting key Duty'!$I$12+'Setting key Duty'!$I$11))+(BE23*('Setting key Duty'!$I$8+'Setting key Duty'!$I$9+'Setting key Duty'!$I$12))</f>
        <v>#VALUE!</v>
      </c>
      <c r="AZ23" s="37" t="n">
        <f aca="false">COUNTIF(D23:AB23,"*BRT*")</f>
        <v>0</v>
      </c>
      <c r="BA23" s="37" t="n">
        <f aca="false">COUNTIF(A23:AI23,"*$BTP*")</f>
        <v>0</v>
      </c>
      <c r="BB23" s="37" t="e">
        <f aca="false">BA23*('Setting key Duty'!$I$13+'Setting key Duty'!$I$12+'Setting key Duty'!$I$11)</f>
        <v>#VALUE!</v>
      </c>
      <c r="BC23" s="37" t="n">
        <f aca="false">COUNTIF(A23:AI23,"*$L*")</f>
        <v>0</v>
      </c>
      <c r="BD23" s="37" t="e">
        <f aca="false">BC23*('Setting key Duty'!$I$13+'Setting key Duty'!$I$9)</f>
        <v>#VALUE!</v>
      </c>
      <c r="BE23" s="37" t="n">
        <f aca="false">COUNTIF(A23:AI23,"*$M*")</f>
        <v>0</v>
      </c>
      <c r="BF23" s="37" t="n">
        <f aca="false">BE23*('Setting key Duty'!$I$8+'Setting key Duty'!$I$9+'Setting key Duty'!$I$12)</f>
        <v>0</v>
      </c>
      <c r="BG23" s="37" t="n">
        <f aca="false">COUNTIF(AF23:AI23,"*$N*")</f>
        <v>0</v>
      </c>
      <c r="BH23" s="37" t="n">
        <f aca="false">COUNTIF(AF23:AI23,"*$PM*")</f>
        <v>0</v>
      </c>
      <c r="BI23" s="37" t="n">
        <f aca="false">BH23*('Setting key Duty'!$I$9)</f>
        <v>0</v>
      </c>
      <c r="BJ23" s="37" t="n">
        <f aca="false">COUNTIF(A23:AI23,"*$AM*")</f>
        <v>0</v>
      </c>
      <c r="BK23" s="37" t="n">
        <f aca="false">BJ23*('Setting key Duty'!$I$12+'Setting key Duty'!$I$8)</f>
        <v>0</v>
      </c>
      <c r="BL23" s="37" t="n">
        <f aca="false">COUNTIF(D23:AI23,"*$FC*")</f>
        <v>0</v>
      </c>
      <c r="BM23" s="37" t="n">
        <f aca="false">BL23*('Setting key Duty'!$J$11+'Setting key Duty'!$I$8)</f>
        <v>0</v>
      </c>
      <c r="BN23" s="37" t="n">
        <f aca="false">COUNTIF($D23:$AF23,BN$4)</f>
        <v>0</v>
      </c>
      <c r="BO23" s="37" t="n">
        <f aca="false">COUNTIF($D23:$AF23,BO$4)</f>
        <v>3</v>
      </c>
      <c r="BP23" s="37" t="n">
        <f aca="false">COUNTIF($D23:$AF23,BP$4)</f>
        <v>0</v>
      </c>
      <c r="BQ23" s="39"/>
    </row>
    <row r="24" customFormat="false" ht="19.5" hidden="false" customHeight="true" outlineLevel="0" collapsed="false">
      <c r="A24" s="30"/>
      <c r="B24" s="103" t="s">
        <v>312</v>
      </c>
      <c r="C24" s="32"/>
      <c r="D24" s="32" t="s">
        <v>54</v>
      </c>
      <c r="E24" s="32" t="s">
        <v>54</v>
      </c>
      <c r="F24" s="32" t="s">
        <v>54</v>
      </c>
      <c r="G24" s="32"/>
      <c r="H24" s="117" t="s">
        <v>58</v>
      </c>
      <c r="I24" s="33"/>
      <c r="J24" s="32" t="s">
        <v>56</v>
      </c>
      <c r="L24" s="32"/>
      <c r="M24" s="65"/>
      <c r="N24" s="52" t="s">
        <v>56</v>
      </c>
      <c r="O24" s="32"/>
      <c r="S24" s="32"/>
      <c r="T24" s="52" t="s">
        <v>58</v>
      </c>
      <c r="U24" s="32"/>
      <c r="X24" s="42" t="s">
        <v>56</v>
      </c>
      <c r="Y24" s="32"/>
      <c r="Z24" s="32"/>
      <c r="AA24" s="32"/>
      <c r="AB24" s="32"/>
      <c r="AC24" s="32"/>
      <c r="AD24" s="32"/>
      <c r="AE24" s="32" t="s">
        <v>428</v>
      </c>
      <c r="AF24" s="32"/>
      <c r="AG24" s="32"/>
      <c r="AH24" s="32" t="s">
        <v>350</v>
      </c>
      <c r="AI24" s="35"/>
      <c r="AJ24" s="36"/>
      <c r="AK24" s="35"/>
      <c r="AL24" s="37"/>
      <c r="AM24" s="37"/>
      <c r="AN24" s="37"/>
      <c r="AO24" s="37"/>
      <c r="AP24" s="38"/>
      <c r="AQ24" s="37" t="n">
        <f aca="false">SUMPRODUCT(--WEEKDAY(C$3:AG$3,2)&lt;6,--((C24:AG24="DM"))+(C24:AG24="CS1")+((C24:AG24="CS2"))+(C24:AG24="SB1")+(C24:AG24="AE")+(C24:AG24="EM"))</f>
        <v>4</v>
      </c>
      <c r="AR24" s="38"/>
      <c r="AS24" s="38" t="n">
        <f aca="false">SUMPRODUCT(--WEEKDAY(C$3:AG$3,2)&gt;5,--((C24:AG24="DM"))+(C24:AG24="CS1")+((C24:AG24="CS2"))+(C24:AG24="SB1")+(C24:AG24="AE")+(C24:AG24="EM"))</f>
        <v>1</v>
      </c>
      <c r="AT24" s="38"/>
      <c r="AU24" s="38" t="n">
        <f aca="false">(AQ24-AR24)/2+(AS24-AT24)</f>
        <v>3</v>
      </c>
      <c r="AV24" s="38" t="n">
        <f aca="false">AI24+AJ24+AK24+AL24+AN24+AO24</f>
        <v>0</v>
      </c>
      <c r="AW24" s="38" t="n">
        <f aca="false">BG24+BH24+BJ24+BE24+BC24+BA24+BL24</f>
        <v>0</v>
      </c>
      <c r="AX24" s="38" t="e">
        <f aca="false">AU24+$AY$10</f>
        <v>#VALUE!</v>
      </c>
      <c r="AY24" s="37" t="e">
        <f aca="false">(BJ24*('Setting key Duty'!$I$8+'Setting key Duty'!$I$12))+(BH24*'Setting key Duty'!$I$9)+(BC24*('Setting key Duty'!$I$13+'Setting key Duty'!$I$9))+(BA24*('Setting key Duty'!$I$13+'Setting key Duty'!$I$12+'Setting key Duty'!$I$11))+(BE24*('Setting key Duty'!$I$8+'Setting key Duty'!$I$9+'Setting key Duty'!$I$12))</f>
        <v>#VALUE!</v>
      </c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9"/>
    </row>
    <row r="25" customFormat="false" ht="19.5" hidden="false" customHeight="true" outlineLevel="0" collapsed="false">
      <c r="A25" s="30"/>
      <c r="B25" s="103" t="s">
        <v>233</v>
      </c>
      <c r="C25" s="32"/>
      <c r="D25" s="32" t="s">
        <v>59</v>
      </c>
      <c r="E25" s="32"/>
      <c r="F25" s="32"/>
      <c r="G25" s="32"/>
      <c r="H25" s="32"/>
      <c r="I25" s="32" t="s">
        <v>57</v>
      </c>
      <c r="J25" s="32"/>
      <c r="K25" s="32"/>
      <c r="L25" s="42"/>
      <c r="M25" s="42" t="s">
        <v>57</v>
      </c>
      <c r="N25" s="125"/>
      <c r="O25" s="32" t="s">
        <v>350</v>
      </c>
      <c r="P25" s="32"/>
      <c r="Q25" s="32" t="s">
        <v>56</v>
      </c>
      <c r="R25" s="32"/>
      <c r="S25" s="32"/>
      <c r="T25" s="52"/>
      <c r="U25" s="42"/>
      <c r="V25" s="32" t="s">
        <v>429</v>
      </c>
      <c r="W25" s="32"/>
      <c r="X25" s="32" t="s">
        <v>350</v>
      </c>
      <c r="Z25" s="32" t="s">
        <v>57</v>
      </c>
      <c r="AB25" s="32"/>
      <c r="AD25" s="42"/>
      <c r="AF25" s="32" t="s">
        <v>57</v>
      </c>
      <c r="AG25" s="32"/>
      <c r="AH25" s="32"/>
      <c r="AI25" s="35"/>
      <c r="AJ25" s="36"/>
      <c r="AK25" s="35"/>
      <c r="AL25" s="37"/>
      <c r="AM25" s="37"/>
      <c r="AN25" s="37"/>
      <c r="AO25" s="37"/>
      <c r="AP25" s="38"/>
      <c r="AQ25" s="37" t="n">
        <f aca="false">SUMPRODUCT(--WEEKDAY(C$3:AG$3,2)&lt;6,--((C25:AG25="DM"))+(C25:AG25="CS1")+((C25:AG25="CS2"))+(C25:AG25="SB1")+(C25:AG25="AE")+(C25:AG25="EM"))</f>
        <v>4</v>
      </c>
      <c r="AR25" s="38"/>
      <c r="AS25" s="38" t="n">
        <f aca="false">SUMPRODUCT(--WEEKDAY(C$3:AG$3,2)&gt;5,--((C25:AG25="DM"))+(C25:AG25="CS1")+((C25:AG25="CS2"))+(C25:AG25="SB1")+(C25:AG25="AE")+(C25:AG25="EM"))</f>
        <v>2</v>
      </c>
      <c r="AT25" s="38"/>
      <c r="AU25" s="38" t="n">
        <f aca="false">(AQ25-AR25)/2+(AS25-AT25)</f>
        <v>4</v>
      </c>
      <c r="AV25" s="38" t="n">
        <f aca="false">AI25+AJ25+AK25+AL25+AN25+AO25</f>
        <v>0</v>
      </c>
      <c r="AW25" s="38" t="n">
        <f aca="false">BG25+BH25+BJ25+BE25+BC25+BA25+BL25</f>
        <v>1</v>
      </c>
      <c r="AX25" s="38" t="e">
        <f aca="false">AU25+AY25</f>
        <v>#VALUE!</v>
      </c>
      <c r="AY25" s="37" t="e">
        <f aca="false">(BJ25*('Setting key Duty'!$I$8+'Setting key Duty'!$I$12))+(BH25*'Setting key Duty'!$I$9)+(BC25*('Setting key Duty'!$I$13+'Setting key Duty'!$I$9))+(BA25*('Setting key Duty'!$I$13+'Setting key Duty'!$I$12+'Setting key Duty'!$I$11))+(BE25*('Setting key Duty'!$I$8+'Setting key Duty'!$I$9+'Setting key Duty'!$I$12))</f>
        <v>#VALUE!</v>
      </c>
      <c r="AZ25" s="37" t="n">
        <f aca="false">COUNTIF(D25:AA25,"*BRT*")</f>
        <v>0</v>
      </c>
      <c r="BA25" s="37" t="n">
        <f aca="false">COUNTIF(A25:AI25,"*$BTP*")</f>
        <v>0</v>
      </c>
      <c r="BB25" s="37" t="e">
        <f aca="false">BA25*('Setting key Duty'!$I$13+'Setting key Duty'!$I$12+'Setting key Duty'!$I$11)</f>
        <v>#VALUE!</v>
      </c>
      <c r="BC25" s="37" t="n">
        <f aca="false">COUNTIF(A25:AI25,"*$L*")</f>
        <v>0</v>
      </c>
      <c r="BD25" s="37" t="e">
        <f aca="false">BC25*('Setting key Duty'!$I$13+'Setting key Duty'!$I$9)</f>
        <v>#VALUE!</v>
      </c>
      <c r="BE25" s="37" t="n">
        <f aca="false">COUNTIF(A25:AI25,"*$M*")</f>
        <v>1</v>
      </c>
      <c r="BF25" s="37" t="n">
        <f aca="false">BE25*('Setting key Duty'!$I$8+'Setting key Duty'!$I$9+'Setting key Duty'!$I$12)</f>
        <v>0.5625</v>
      </c>
      <c r="BG25" s="37" t="n">
        <f aca="false">COUNTIF(AI25,"*$N*")</f>
        <v>0</v>
      </c>
      <c r="BH25" s="37" t="n">
        <f aca="false">COUNTIF(AI25,"*$PM*")</f>
        <v>0</v>
      </c>
      <c r="BI25" s="37" t="n">
        <f aca="false">BH25*('Setting key Duty'!$I$9)</f>
        <v>0</v>
      </c>
      <c r="BJ25" s="37" t="n">
        <f aca="false">COUNTIF(A25:AI25,"*$AM*")</f>
        <v>0</v>
      </c>
      <c r="BK25" s="37" t="n">
        <f aca="false">BJ25*('Setting key Duty'!$I$12+'Setting key Duty'!$I$8)</f>
        <v>0</v>
      </c>
      <c r="BL25" s="37" t="n">
        <f aca="false">COUNTIF(D25:AI25,"*$FC*")</f>
        <v>0</v>
      </c>
      <c r="BM25" s="37" t="n">
        <f aca="false">BL25*('Setting key Duty'!$J$11+'Setting key Duty'!$I$8)</f>
        <v>0</v>
      </c>
      <c r="BN25" s="37" t="n">
        <f aca="false">COUNTIF($D25:$AA25,BN$4)</f>
        <v>0</v>
      </c>
      <c r="BO25" s="37" t="n">
        <f aca="false">COUNTIF($D25:$AA25,BO$4)</f>
        <v>2</v>
      </c>
      <c r="BP25" s="37" t="n">
        <f aca="false">COUNTIF($D25:$AA25,BP$4)</f>
        <v>0</v>
      </c>
      <c r="BQ25" s="39"/>
    </row>
    <row r="26" customFormat="false" ht="19.5" hidden="false" customHeight="true" outlineLevel="0" collapsed="false">
      <c r="A26" s="30"/>
      <c r="B26" s="88" t="s">
        <v>189</v>
      </c>
      <c r="D26" s="32"/>
      <c r="E26" s="32"/>
      <c r="G26" s="45" t="s">
        <v>58</v>
      </c>
      <c r="H26" s="42"/>
      <c r="I26" s="32"/>
      <c r="J26" s="42" t="s">
        <v>58</v>
      </c>
      <c r="K26" s="42" t="s">
        <v>253</v>
      </c>
      <c r="L26" s="42" t="s">
        <v>58</v>
      </c>
      <c r="N26" s="118"/>
      <c r="O26" s="42"/>
      <c r="P26" s="32"/>
      <c r="Q26" s="32" t="s">
        <v>58</v>
      </c>
      <c r="R26" s="42" t="s">
        <v>253</v>
      </c>
      <c r="S26" s="52" t="s">
        <v>65</v>
      </c>
      <c r="T26" s="52"/>
      <c r="U26" s="32"/>
      <c r="V26" s="32" t="s">
        <v>56</v>
      </c>
      <c r="X26" s="32" t="s">
        <v>350</v>
      </c>
      <c r="Y26" s="32"/>
      <c r="Z26" s="32"/>
      <c r="AA26" s="42" t="s">
        <v>425</v>
      </c>
      <c r="AB26" s="32"/>
      <c r="AC26" s="42"/>
      <c r="AD26" s="42" t="s">
        <v>58</v>
      </c>
      <c r="AG26" s="32"/>
      <c r="AH26" s="42"/>
      <c r="AI26" s="35"/>
      <c r="AJ26" s="36"/>
      <c r="AK26" s="35"/>
      <c r="AL26" s="37"/>
      <c r="AM26" s="37"/>
      <c r="AN26" s="37"/>
      <c r="AO26" s="37"/>
      <c r="AP26" s="38"/>
      <c r="AQ26" s="37" t="n">
        <f aca="false">SUMPRODUCT(--WEEKDAY(C$3:AG$3,2)&lt;6,--((C26:AG26="DM"))+(C26:AG26="CS1")+((C26:AG26="CS2"))+(C26:AG26="SB1")+(C26:AG26="AE")+(C26:AG26="EM"))</f>
        <v>5</v>
      </c>
      <c r="AR26" s="38"/>
      <c r="AS26" s="38" t="n">
        <f aca="false">SUMPRODUCT(--WEEKDAY(C$3:AG$3,2)&gt;5,--((C26:AG26="DM"))+(C26:AG26="CS1")+((C26:AG26="CS2"))+(C26:AG26="SB1")+(C26:AG26="AE")+(C26:AG26="EM"))</f>
        <v>2</v>
      </c>
      <c r="AT26" s="38"/>
      <c r="AU26" s="38" t="n">
        <f aca="false">(AQ26-AR26)/2+(AS26-AT26)</f>
        <v>4.5</v>
      </c>
      <c r="AV26" s="38" t="n">
        <f aca="false">AI26+AJ26+AK26+AL26+AN26+AO26</f>
        <v>0</v>
      </c>
      <c r="AW26" s="38" t="n">
        <f aca="false">BG26+BH26+BJ26+BE26+BC26+BA26+BL26</f>
        <v>0</v>
      </c>
      <c r="AX26" s="38" t="e">
        <f aca="false">AU26+$AY$10</f>
        <v>#VALUE!</v>
      </c>
      <c r="AY26" s="37" t="e">
        <f aca="false">(BJ26*('Setting key Duty'!$I$8+'Setting key Duty'!$I$12))+(BH26*'Setting key Duty'!$I$9)+(BC26*('Setting key Duty'!$I$13+'Setting key Duty'!$I$9))+(BA26*('Setting key Duty'!$I$13+'Setting key Duty'!$I$12+'Setting key Duty'!$I$11))+(BE26*('Setting key Duty'!$I$8+'Setting key Duty'!$I$9+'Setting key Duty'!$I$12))</f>
        <v>#VALUE!</v>
      </c>
      <c r="AZ26" s="37" t="n">
        <f aca="false">COUNTIF(D26:AA26,"*BRT*")</f>
        <v>0</v>
      </c>
      <c r="BA26" s="37" t="n">
        <f aca="false">COUNTIF(A26:AI26,"*$BTP*")</f>
        <v>0</v>
      </c>
      <c r="BB26" s="37" t="e">
        <f aca="false">BA26*('Setting key Duty'!$I$13+'Setting key Duty'!$I$12+'Setting key Duty'!$I$11)</f>
        <v>#VALUE!</v>
      </c>
      <c r="BC26" s="37" t="n">
        <f aca="false">COUNTIF(A26:AI26,"*$L*")</f>
        <v>0</v>
      </c>
      <c r="BD26" s="37" t="e">
        <f aca="false">BC26*('Setting key Duty'!$I$13+'Setting key Duty'!$I$9)</f>
        <v>#VALUE!</v>
      </c>
      <c r="BE26" s="37" t="n">
        <f aca="false">COUNTIF(A26:AI26,"*$M*")</f>
        <v>0</v>
      </c>
      <c r="BF26" s="37" t="n">
        <f aca="false">BE26*('Setting key Duty'!$I$8+'Setting key Duty'!$I$9+'Setting key Duty'!$I$12)</f>
        <v>0</v>
      </c>
      <c r="BG26" s="37" t="n">
        <f aca="false">COUNTIF(AI26,"*$N*")</f>
        <v>0</v>
      </c>
      <c r="BH26" s="37" t="n">
        <f aca="false">COUNTIF(AI26,"*$PM*")</f>
        <v>0</v>
      </c>
      <c r="BI26" s="37" t="n">
        <f aca="false">BH26*('Setting key Duty'!$I$9)</f>
        <v>0</v>
      </c>
      <c r="BJ26" s="37" t="n">
        <f aca="false">COUNTIF(A26:AI26,"*$AM*")</f>
        <v>0</v>
      </c>
      <c r="BK26" s="37" t="n">
        <f aca="false">BJ26*('Setting key Duty'!$I$12+'Setting key Duty'!$I$8)</f>
        <v>0</v>
      </c>
      <c r="BL26" s="37" t="n">
        <f aca="false">COUNTIF(D26:AI26,"*$FC*")</f>
        <v>0</v>
      </c>
      <c r="BM26" s="37" t="n">
        <f aca="false">BL26*('Setting key Duty'!$J$11+'Setting key Duty'!$I$8)</f>
        <v>0</v>
      </c>
      <c r="BN26" s="37" t="n">
        <f aca="false">COUNTIF($D26:$AA26,BN$4)</f>
        <v>0</v>
      </c>
      <c r="BO26" s="37" t="n">
        <f aca="false">COUNTIF($D26:$AA26,BO$4)</f>
        <v>1</v>
      </c>
      <c r="BP26" s="37" t="n">
        <f aca="false">COUNTIF($D26:$AA26,BP$4)</f>
        <v>0</v>
      </c>
      <c r="BQ26" s="39"/>
    </row>
    <row r="27" customFormat="false" ht="19.5" hidden="false" customHeight="true" outlineLevel="0" collapsed="false">
      <c r="A27" s="30"/>
      <c r="B27" s="31" t="s">
        <v>191</v>
      </c>
      <c r="D27" s="33"/>
      <c r="E27" s="32" t="s">
        <v>56</v>
      </c>
      <c r="F27" s="32"/>
      <c r="G27" s="32"/>
      <c r="H27" s="117"/>
      <c r="I27" s="32"/>
      <c r="J27" s="32" t="s">
        <v>430</v>
      </c>
      <c r="K27" s="42" t="s">
        <v>58</v>
      </c>
      <c r="L27" s="32"/>
      <c r="M27" s="32"/>
      <c r="N27" s="32"/>
      <c r="O27" s="32" t="s">
        <v>58</v>
      </c>
      <c r="P27" s="32"/>
      <c r="R27" s="32" t="s">
        <v>58</v>
      </c>
      <c r="S27" s="32"/>
      <c r="T27" s="32"/>
      <c r="U27" s="32"/>
      <c r="V27" s="32" t="s">
        <v>431</v>
      </c>
      <c r="W27" s="32"/>
      <c r="X27" s="32"/>
      <c r="Y27" s="32" t="s">
        <v>432</v>
      </c>
      <c r="Z27" s="32"/>
      <c r="AA27" s="32"/>
      <c r="AB27" s="32"/>
      <c r="AD27" s="32" t="s">
        <v>433</v>
      </c>
      <c r="AE27" s="32"/>
      <c r="AF27" s="42"/>
      <c r="AH27" s="32" t="s">
        <v>58</v>
      </c>
      <c r="AI27" s="35"/>
      <c r="AJ27" s="36"/>
      <c r="AK27" s="35"/>
      <c r="AL27" s="37"/>
      <c r="AM27" s="37"/>
      <c r="AN27" s="37"/>
      <c r="AO27" s="37"/>
      <c r="AP27" s="38"/>
      <c r="AQ27" s="37" t="n">
        <f aca="false">SUMPRODUCT(--WEEKDAY(C$3:AG$3,2)&lt;6,--((C27:AG27="DM"))+(C27:AG27="CS1")+((C27:AG27="CS2"))+(C27:AG27="SB1")+(C27:AG27="AE")+(C27:AG27="EM"))</f>
        <v>3</v>
      </c>
      <c r="AR27" s="38"/>
      <c r="AS27" s="38" t="n">
        <f aca="false">SUMPRODUCT(--WEEKDAY(C$3:AG$3,2)&gt;5,--((C27:AG27="DM"))+(C27:AG27="CS1")+((C27:AG27="CS2"))+(C27:AG27="SB1")+(C27:AG27="AE")+(C27:AG27="EM"))</f>
        <v>1</v>
      </c>
      <c r="AT27" s="38"/>
      <c r="AU27" s="38" t="n">
        <f aca="false">(AQ27-AR27)/2+(AS27-AT27)</f>
        <v>2.5</v>
      </c>
      <c r="AV27" s="38" t="n">
        <f aca="false">AI27+AJ27+AK27+AL27+AN27+AO27</f>
        <v>0</v>
      </c>
      <c r="AW27" s="38" t="n">
        <f aca="false">BG27+BH27+BJ27+BE27+BC27+BA27+BL27</f>
        <v>4</v>
      </c>
      <c r="AX27" s="38" t="e">
        <f aca="false">AU27+AY27</f>
        <v>#VALUE!</v>
      </c>
      <c r="AY27" s="37" t="e">
        <f aca="false">(BJ27*('Setting key Duty'!$I$8+'Setting key Duty'!$I$12))+(BH27*'Setting key Duty'!$I$9)+(BC27*('Setting key Duty'!$I$13+'Setting key Duty'!$I$9))+(BA27*('Setting key Duty'!$I$13+'Setting key Duty'!$I$12+'Setting key Duty'!$I$11))+(BE27*('Setting key Duty'!$I$8+'Setting key Duty'!$I$9+'Setting key Duty'!$I$12))</f>
        <v>#VALUE!</v>
      </c>
      <c r="AZ27" s="37" t="n">
        <f aca="false">COUNTIF(C27:W27,"*BRT*")</f>
        <v>0</v>
      </c>
      <c r="BA27" s="37" t="n">
        <f aca="false">COUNTIF(A27:AI27,"*$BTP*")</f>
        <v>0</v>
      </c>
      <c r="BB27" s="37" t="e">
        <f aca="false">BA27*('Setting key Duty'!$I$13+'Setting key Duty'!$I$12+'Setting key Duty'!$I$11)</f>
        <v>#VALUE!</v>
      </c>
      <c r="BC27" s="37" t="n">
        <f aca="false">COUNTIF(D27:AI27,"*$L*")</f>
        <v>0</v>
      </c>
      <c r="BD27" s="37" t="e">
        <f aca="false">BC27*('Setting key Duty'!$I$13+'Setting key Duty'!$I$9)</f>
        <v>#VALUE!</v>
      </c>
      <c r="BE27" s="37" t="n">
        <f aca="false">COUNTIF(D27:AI27,"*$M*")</f>
        <v>2</v>
      </c>
      <c r="BF27" s="37" t="n">
        <f aca="false">BE27*('Setting key Duty'!$I$8+'Setting key Duty'!$I$9+'Setting key Duty'!$I$12)</f>
        <v>1.125</v>
      </c>
      <c r="BG27" s="37" t="n">
        <f aca="false">COUNTIF(D27:AI27,"*$N*")</f>
        <v>0</v>
      </c>
      <c r="BH27" s="37" t="n">
        <f aca="false">COUNTIF(D27:AI27,"*$PM*")</f>
        <v>0</v>
      </c>
      <c r="BI27" s="37" t="n">
        <f aca="false">BH27*('Setting key Duty'!$I$9)</f>
        <v>0</v>
      </c>
      <c r="BJ27" s="37" t="n">
        <f aca="false">COUNTIF(D27:AI27,"*$AM*")</f>
        <v>2</v>
      </c>
      <c r="BK27" s="37" t="n">
        <f aca="false">BJ27*('Setting key Duty'!$I$12+'Setting key Duty'!$I$8)</f>
        <v>0.875</v>
      </c>
      <c r="BL27" s="37" t="n">
        <f aca="false">COUNTIF(C27:AI27,"*$FC*")</f>
        <v>0</v>
      </c>
      <c r="BM27" s="37" t="n">
        <f aca="false">BL27*('Setting key Duty'!$J$11+'Setting key Duty'!$I$8)</f>
        <v>0</v>
      </c>
      <c r="BN27" s="37" t="n">
        <f aca="false">COUNTIF($C27:$AG27,BN$4)</f>
        <v>0</v>
      </c>
      <c r="BO27" s="37" t="n">
        <f aca="false">COUNTIF($C27:$AG27,BO$4)</f>
        <v>0</v>
      </c>
      <c r="BP27" s="37" t="n">
        <f aca="false">COUNTIF($D27:$AD27,BP$4)</f>
        <v>0</v>
      </c>
      <c r="BQ27" s="39"/>
    </row>
    <row r="28" customFormat="false" ht="19.5" hidden="false" customHeight="true" outlineLevel="0" collapsed="false">
      <c r="A28" s="30"/>
      <c r="B28" s="104" t="s">
        <v>434</v>
      </c>
      <c r="C28" s="32" t="s">
        <v>350</v>
      </c>
      <c r="D28" s="32"/>
      <c r="E28" s="32"/>
      <c r="F28" s="32"/>
      <c r="G28" s="56" t="s">
        <v>435</v>
      </c>
      <c r="H28" s="117"/>
      <c r="J28" s="117"/>
      <c r="K28" s="32"/>
      <c r="L28" s="32" t="s">
        <v>350</v>
      </c>
      <c r="M28" s="32"/>
      <c r="N28" s="126"/>
      <c r="O28" s="32"/>
      <c r="P28" s="45"/>
      <c r="S28" s="52"/>
      <c r="U28" s="32" t="s">
        <v>69</v>
      </c>
      <c r="V28" s="42" t="s">
        <v>58</v>
      </c>
      <c r="W28" s="32" t="s">
        <v>247</v>
      </c>
      <c r="Z28" s="42" t="s">
        <v>65</v>
      </c>
      <c r="AA28" s="42"/>
      <c r="AB28" s="32" t="s">
        <v>58</v>
      </c>
      <c r="AD28" s="32" t="s">
        <v>428</v>
      </c>
      <c r="AG28" s="42"/>
      <c r="AH28" s="42" t="s">
        <v>65</v>
      </c>
      <c r="AI28" s="35"/>
      <c r="AJ28" s="36"/>
      <c r="AK28" s="35"/>
      <c r="AL28" s="66"/>
      <c r="AM28" s="66"/>
      <c r="AN28" s="66"/>
      <c r="AO28" s="66"/>
      <c r="AP28" s="67"/>
      <c r="AQ28" s="37" t="n">
        <f aca="false">SUMPRODUCT(--WEEKDAY(C$3:AG$3,2)&lt;6,--((C28:AG28="DM"))+(C28:AG28="CS1")+((C28:AG28="CS2"))+(C28:AG28="SB1")+(C28:AG28="AE")+(C28:AG28="EM"))</f>
        <v>2</v>
      </c>
      <c r="AR28" s="38"/>
      <c r="AS28" s="38" t="n">
        <f aca="false">SUMPRODUCT(--WEEKDAY(C$3:AG$3,2)&gt;5,--((C28:AG28="DM"))+(C28:AG28="CS1")+((C28:AG28="CS2"))+(C28:AG28="SB1")+(C28:AG28="AE")+(C28:AG28="EM"))</f>
        <v>1</v>
      </c>
      <c r="AT28" s="67"/>
      <c r="AU28" s="38" t="n">
        <f aca="false">(AQ28-AR28)/2+(AS28-AT28)</f>
        <v>2</v>
      </c>
      <c r="AV28" s="38" t="n">
        <f aca="false">AI28+AJ28+AK28+AL28+AN28+AO28</f>
        <v>0</v>
      </c>
      <c r="AW28" s="38" t="n">
        <f aca="false">BG28+BH28+BJ28+BE28+BC28+BA28+BL28</f>
        <v>3</v>
      </c>
      <c r="AX28" s="38" t="e">
        <f aca="false">AU28+AY28</f>
        <v>#VALUE!</v>
      </c>
      <c r="AY28" s="37" t="e">
        <f aca="false">(BJ28*('Setting key Duty'!$I$8+'Setting key Duty'!$I$12))+(BH28*'Setting key Duty'!$I$9)+(BC28*('Setting key Duty'!$I$13+'Setting key Duty'!$I$9))+(BA28*('Setting key Duty'!$I$13+'Setting key Duty'!$I$12+'Setting key Duty'!$I$11))+(BE28*('Setting key Duty'!$I$8+'Setting key Duty'!$I$9+'Setting key Duty'!$I$12))</f>
        <v>#VALUE!</v>
      </c>
      <c r="AZ28" s="37" t="n">
        <f aca="false">COUNTIF(C28:Z28,"*BRT*")</f>
        <v>0</v>
      </c>
      <c r="BA28" s="37" t="n">
        <f aca="false">COUNTIF(A28:AI28,"*$BTP*")</f>
        <v>0</v>
      </c>
      <c r="BB28" s="37" t="e">
        <f aca="false">BA28*('Setting key Duty'!$I$13+'Setting key Duty'!$I$12+'Setting key Duty'!$I$11)</f>
        <v>#VALUE!</v>
      </c>
      <c r="BC28" s="37" t="n">
        <f aca="false">COUNTIF(D28:AI28,"*$L*")</f>
        <v>0</v>
      </c>
      <c r="BD28" s="37" t="e">
        <f aca="false">BC28*('Setting key Duty'!$I$13+'Setting key Duty'!$I$9)</f>
        <v>#VALUE!</v>
      </c>
      <c r="BE28" s="37" t="n">
        <f aca="false">COUNTIF(D28:AI28,"*$M*")</f>
        <v>1</v>
      </c>
      <c r="BF28" s="37" t="n">
        <f aca="false">BE28*('Setting key Duty'!$I$8+'Setting key Duty'!$I$9+'Setting key Duty'!$I$12)</f>
        <v>0.5625</v>
      </c>
      <c r="BG28" s="37" t="n">
        <f aca="false">COUNTIF(D28:AI28,"*$N*")</f>
        <v>0</v>
      </c>
      <c r="BH28" s="37" t="n">
        <f aca="false">COUNTIF(D28:AI28,"*$PM*")</f>
        <v>2</v>
      </c>
      <c r="BI28" s="37" t="n">
        <f aca="false">BH28*('Setting key Duty'!$I$9)</f>
        <v>0.25</v>
      </c>
      <c r="BJ28" s="37" t="n">
        <f aca="false">COUNTIF(D28:AI28,"*$AM*")</f>
        <v>0</v>
      </c>
      <c r="BK28" s="37" t="n">
        <f aca="false">BJ28*('Setting key Duty'!$I$12+'Setting key Duty'!$I$8)</f>
        <v>0</v>
      </c>
      <c r="BL28" s="37" t="n">
        <f aca="false">COUNTIF(C28:AI28,"*$FC*")</f>
        <v>0</v>
      </c>
      <c r="BM28" s="37" t="n">
        <f aca="false">BL28*('Setting key Duty'!$J$11+'Setting key Duty'!$I$8)</f>
        <v>0</v>
      </c>
      <c r="BN28" s="37" t="n">
        <f aca="false">COUNTIF($C28:$AE28,BN$4)</f>
        <v>0</v>
      </c>
      <c r="BO28" s="37" t="n">
        <f aca="false">COUNTIF($C28:$AE28,BO$4)</f>
        <v>2</v>
      </c>
      <c r="BP28" s="37" t="n">
        <f aca="false">COUNTIF($D28:$AB28,BP$4)</f>
        <v>0</v>
      </c>
      <c r="BQ28" s="68"/>
    </row>
    <row r="29" customFormat="false" ht="19.5" hidden="false" customHeight="true" outlineLevel="0" collapsed="false">
      <c r="A29" s="30"/>
      <c r="B29" s="104" t="s">
        <v>436</v>
      </c>
      <c r="C29" s="42"/>
      <c r="D29" s="45"/>
      <c r="E29" s="32"/>
      <c r="F29" s="45" t="s">
        <v>58</v>
      </c>
      <c r="G29" s="32"/>
      <c r="H29" s="117" t="s">
        <v>93</v>
      </c>
      <c r="I29" s="32"/>
      <c r="J29" s="45" t="s">
        <v>93</v>
      </c>
      <c r="K29" s="32"/>
      <c r="L29" s="32"/>
      <c r="M29" s="32"/>
      <c r="N29" s="118"/>
      <c r="O29" s="32" t="s">
        <v>437</v>
      </c>
      <c r="P29" s="98" t="s">
        <v>438</v>
      </c>
      <c r="Q29" s="32" t="s">
        <v>439</v>
      </c>
      <c r="S29" s="32"/>
      <c r="T29" s="52"/>
      <c r="V29" s="32" t="s">
        <v>440</v>
      </c>
      <c r="W29" s="45" t="s">
        <v>93</v>
      </c>
      <c r="X29" s="65"/>
      <c r="Y29" s="32" t="s">
        <v>56</v>
      </c>
      <c r="AA29" s="32" t="s">
        <v>350</v>
      </c>
      <c r="AD29" s="32" t="s">
        <v>441</v>
      </c>
      <c r="AF29" s="32"/>
      <c r="AG29" s="32" t="s">
        <v>350</v>
      </c>
      <c r="AH29" s="42"/>
      <c r="AI29" s="35"/>
      <c r="AJ29" s="36"/>
      <c r="AK29" s="35"/>
      <c r="AL29" s="66"/>
      <c r="AM29" s="66"/>
      <c r="AN29" s="66"/>
      <c r="AO29" s="66"/>
      <c r="AP29" s="67"/>
      <c r="AQ29" s="37" t="n">
        <f aca="false">SUMPRODUCT(--WEEKDAY(C$3:AG$3,2)&lt;6,--((C29:AG29="DM"))+(C29:AG29="CS1")+((C29:AG29="CS2"))+(C29:AG29="SB1")+(C29:AG29="AE")+(C29:AG29="EM"))</f>
        <v>1</v>
      </c>
      <c r="AR29" s="38"/>
      <c r="AS29" s="38" t="n">
        <f aca="false">SUMPRODUCT(--WEEKDAY(C$3:AG$3,2)&gt;5,--((C29:AG29="DM"))+(C29:AG29="CS1")+((C29:AG29="CS2"))+(C29:AG29="SB1")+(C29:AG29="AE")+(C29:AG29="EM"))</f>
        <v>1</v>
      </c>
      <c r="AT29" s="67"/>
      <c r="AU29" s="38" t="n">
        <f aca="false">(AQ29-AR29)/2+(AS29-AT29)</f>
        <v>1.5</v>
      </c>
      <c r="AV29" s="38" t="n">
        <f aca="false">AI29+AJ29+AK29+AL29+AN29+AO29</f>
        <v>0</v>
      </c>
      <c r="AW29" s="38" t="n">
        <f aca="false">BG29+BH29+BJ29+BE29+BC29+BA29+BL29</f>
        <v>5</v>
      </c>
      <c r="AX29" s="38" t="e">
        <f aca="false">AU29+AY29</f>
        <v>#VALUE!</v>
      </c>
      <c r="AY29" s="37" t="e">
        <f aca="false">(BJ29*('Setting key Duty'!$I$8+'Setting key Duty'!$I$12))+(BH29*'Setting key Duty'!$I$9)+(BC29*('Setting key Duty'!$I$13+'Setting key Duty'!$I$9))+(BA29*('Setting key Duty'!$I$13+'Setting key Duty'!$I$12+'Setting key Duty'!$I$11))+(BE29*('Setting key Duty'!$I$8+'Setting key Duty'!$I$9+'Setting key Duty'!$I$12))</f>
        <v>#VALUE!</v>
      </c>
      <c r="AZ29" s="37" t="n">
        <f aca="false">COUNTIF(C29:Y29,"*BRT*")</f>
        <v>0</v>
      </c>
      <c r="BA29" s="37" t="n">
        <f aca="false">COUNTIF(A29:AI29,"*$BTP*")</f>
        <v>0</v>
      </c>
      <c r="BB29" s="37" t="e">
        <f aca="false">BA29*('Setting key Duty'!$I$13+'Setting key Duty'!$I$12+'Setting key Duty'!$I$11)</f>
        <v>#VALUE!</v>
      </c>
      <c r="BC29" s="37" t="n">
        <f aca="false">COUNTIF(D29:AI29,"*$L*")</f>
        <v>0</v>
      </c>
      <c r="BD29" s="37" t="e">
        <f aca="false">BC29*('Setting key Duty'!$I$13+'Setting key Duty'!$I$9)</f>
        <v>#VALUE!</v>
      </c>
      <c r="BE29" s="37" t="n">
        <f aca="false">COUNTIF(D29:AI29,"*$M*")</f>
        <v>3</v>
      </c>
      <c r="BF29" s="37" t="n">
        <f aca="false">BE29*('Setting key Duty'!$I$8+'Setting key Duty'!$I$9+'Setting key Duty'!$I$12)</f>
        <v>1.6875</v>
      </c>
      <c r="BG29" s="37" t="n">
        <f aca="false">COUNTIF(D29:AI29,"*$N*")</f>
        <v>0</v>
      </c>
      <c r="BH29" s="37" t="n">
        <f aca="false">COUNTIF(D29:AI29,"*$PM*")</f>
        <v>2</v>
      </c>
      <c r="BI29" s="37" t="n">
        <f aca="false">BH29*('Setting key Duty'!$I$9)</f>
        <v>0.25</v>
      </c>
      <c r="BJ29" s="37" t="n">
        <f aca="false">COUNTIF(D29:AI29,"*$AM*")</f>
        <v>0</v>
      </c>
      <c r="BK29" s="37" t="n">
        <f aca="false">BJ29*('Setting key Duty'!$I$12+'Setting key Duty'!$I$8)</f>
        <v>0</v>
      </c>
      <c r="BL29" s="37" t="n">
        <f aca="false">COUNTIF(C29:AI29,"*$FC*")</f>
        <v>0</v>
      </c>
      <c r="BM29" s="37" t="n">
        <f aca="false">BL29*('Setting key Duty'!$J$11+'Setting key Duty'!$I$8)</f>
        <v>0</v>
      </c>
      <c r="BN29" s="37" t="n">
        <f aca="false">COUNTIF($C29:$AG29,BN$4)</f>
        <v>0</v>
      </c>
      <c r="BO29" s="37" t="n">
        <f aca="false">COUNTIF($C29:$AG29,BO$4)</f>
        <v>2</v>
      </c>
      <c r="BP29" s="37" t="n">
        <f aca="false">COUNTIF($D29:$AD29,BP$4)</f>
        <v>0</v>
      </c>
      <c r="BQ29" s="68"/>
    </row>
    <row r="30" customFormat="false" ht="19.5" hidden="false" customHeight="true" outlineLevel="0" collapsed="false">
      <c r="A30" s="30"/>
      <c r="B30" s="104" t="s">
        <v>262</v>
      </c>
      <c r="C30" s="32" t="s">
        <v>71</v>
      </c>
      <c r="D30" s="32" t="s">
        <v>71</v>
      </c>
      <c r="E30" s="32" t="s">
        <v>71</v>
      </c>
      <c r="F30" s="32" t="s">
        <v>71</v>
      </c>
      <c r="G30" s="32" t="s">
        <v>71</v>
      </c>
      <c r="H30" s="32" t="s">
        <v>71</v>
      </c>
      <c r="I30" s="32" t="s">
        <v>71</v>
      </c>
      <c r="J30" s="32" t="s">
        <v>71</v>
      </c>
      <c r="K30" s="32" t="s">
        <v>71</v>
      </c>
      <c r="L30" s="32" t="s">
        <v>71</v>
      </c>
      <c r="M30" s="32" t="s">
        <v>71</v>
      </c>
      <c r="N30" s="32" t="s">
        <v>71</v>
      </c>
      <c r="O30" s="32" t="s">
        <v>71</v>
      </c>
      <c r="P30" s="32" t="s">
        <v>71</v>
      </c>
      <c r="Q30" s="32" t="s">
        <v>71</v>
      </c>
      <c r="R30" s="32" t="s">
        <v>71</v>
      </c>
      <c r="S30" s="32" t="s">
        <v>71</v>
      </c>
      <c r="T30" s="32" t="s">
        <v>71</v>
      </c>
      <c r="U30" s="32" t="s">
        <v>71</v>
      </c>
      <c r="V30" s="32" t="s">
        <v>71</v>
      </c>
      <c r="W30" s="32" t="s">
        <v>71</v>
      </c>
      <c r="X30" s="32" t="s">
        <v>71</v>
      </c>
      <c r="Y30" s="32" t="s">
        <v>71</v>
      </c>
      <c r="Z30" s="32" t="s">
        <v>71</v>
      </c>
      <c r="AA30" s="32" t="s">
        <v>71</v>
      </c>
      <c r="AB30" s="32" t="s">
        <v>71</v>
      </c>
      <c r="AC30" s="32" t="s">
        <v>71</v>
      </c>
      <c r="AD30" s="32" t="s">
        <v>71</v>
      </c>
      <c r="AE30" s="32" t="s">
        <v>71</v>
      </c>
      <c r="AF30" s="32" t="s">
        <v>71</v>
      </c>
      <c r="AG30" s="32" t="s">
        <v>71</v>
      </c>
      <c r="AH30" s="32" t="s">
        <v>71</v>
      </c>
      <c r="AI30" s="35"/>
      <c r="AJ30" s="36"/>
      <c r="AK30" s="35"/>
      <c r="AL30" s="66"/>
      <c r="AM30" s="66"/>
      <c r="AN30" s="66"/>
      <c r="AO30" s="66"/>
      <c r="AP30" s="67"/>
      <c r="AQ30" s="37" t="n">
        <f aca="false">SUMPRODUCT(--WEEKDAY(C$3:AG$3,2)&lt;6,--((C30:AG30="DM"))+(C30:AG30="CS1")+((C30:AG30="CS2"))+(C30:AG30="SB1")+(C30:AG30="AE")+(C30:AG30="EM"))</f>
        <v>0</v>
      </c>
      <c r="AR30" s="38"/>
      <c r="AS30" s="38" t="n">
        <f aca="false">SUMPRODUCT(--WEEKDAY(C$3:AG$3,2)&gt;5,--((C30:AG30="DM"))+(C30:AG30="CS1")+((C30:AG30="CS2"))+(C30:AG30="SB1")+(C30:AG30="AE")+(C30:AG30="EM"))</f>
        <v>0</v>
      </c>
      <c r="AT30" s="67"/>
      <c r="AU30" s="38" t="n">
        <f aca="false">(AQ30-AR30)/2+(AS30-AT30)</f>
        <v>0</v>
      </c>
      <c r="AV30" s="38" t="n">
        <f aca="false">AI30+AJ30+AK30+AL30+AN30+AO30</f>
        <v>0</v>
      </c>
      <c r="AW30" s="38" t="n">
        <f aca="false">BG30+BH30+BJ30+BE30+BC30+BA30+BL30</f>
        <v>0</v>
      </c>
      <c r="AX30" s="38" t="e">
        <f aca="false">AU30+AY30</f>
        <v>#VALUE!</v>
      </c>
      <c r="AY30" s="37" t="e">
        <f aca="false">(BJ30*('Setting key Duty'!$I$8+'Setting key Duty'!$I$12))+(BH30*'Setting key Duty'!$I$9)+(BC30*('Setting key Duty'!$I$13+'Setting key Duty'!$I$9))+(BA30*('Setting key Duty'!$I$13+'Setting key Duty'!$I$12+'Setting key Duty'!$I$11))+(BE30*('Setting key Duty'!$I$8+'Setting key Duty'!$I$9+'Setting key Duty'!$I$12))</f>
        <v>#VALUE!</v>
      </c>
      <c r="AZ30" s="37" t="n">
        <f aca="false">COUNTIF(C30:Y30,"*BRT*")</f>
        <v>0</v>
      </c>
      <c r="BA30" s="37" t="n">
        <f aca="false">COUNTIF(A30:AI30,"*$BTP*")</f>
        <v>0</v>
      </c>
      <c r="BB30" s="37" t="e">
        <f aca="false">BA30*('Setting key Duty'!$I$13+'Setting key Duty'!$I$12+'Setting key Duty'!$I$11)</f>
        <v>#VALUE!</v>
      </c>
      <c r="BC30" s="37" t="n">
        <f aca="false">COUNTIF(D30:AI30,"*$L*")</f>
        <v>0</v>
      </c>
      <c r="BD30" s="37" t="e">
        <f aca="false">BC30*('Setting key Duty'!$I$13+'Setting key Duty'!$I$9)</f>
        <v>#VALUE!</v>
      </c>
      <c r="BE30" s="37" t="n">
        <f aca="false">COUNTIF(D30:AI30,"*$M*")</f>
        <v>0</v>
      </c>
      <c r="BF30" s="37" t="n">
        <f aca="false">BE30*('Setting key Duty'!$I$8+'Setting key Duty'!$I$9+'Setting key Duty'!$I$12)</f>
        <v>0</v>
      </c>
      <c r="BG30" s="37" t="n">
        <f aca="false">COUNTIF(D30:AI30,"*$N*")</f>
        <v>0</v>
      </c>
      <c r="BH30" s="37" t="n">
        <f aca="false">COUNTIF(D30:AI30,"*$PM*")</f>
        <v>0</v>
      </c>
      <c r="BI30" s="37" t="n">
        <f aca="false">BH30*('Setting key Duty'!$I$9)</f>
        <v>0</v>
      </c>
      <c r="BJ30" s="37" t="n">
        <f aca="false">COUNTIF(D30:AI30,"*$AM*")</f>
        <v>0</v>
      </c>
      <c r="BK30" s="37" t="n">
        <f aca="false">BJ30*('Setting key Duty'!$I$12+'Setting key Duty'!$I$8)</f>
        <v>0</v>
      </c>
      <c r="BL30" s="37" t="n">
        <f aca="false">COUNTIF(C30:AI30,"*$FC*")</f>
        <v>0</v>
      </c>
      <c r="BM30" s="37" t="n">
        <f aca="false">BL30*('Setting key Duty'!$J$11+'Setting key Duty'!$I$8)</f>
        <v>0</v>
      </c>
      <c r="BN30" s="37" t="n">
        <f aca="false">COUNTIF($C30:$AG30,BN$4)</f>
        <v>0</v>
      </c>
      <c r="BO30" s="37" t="n">
        <f aca="false">COUNTIF($C30:$AG30,BO$4)</f>
        <v>0</v>
      </c>
      <c r="BP30" s="37" t="n">
        <f aca="false">COUNTIF($D30:$AE30,BP$4)</f>
        <v>0</v>
      </c>
      <c r="BQ30" s="68"/>
    </row>
    <row r="31" customFormat="false" ht="19.5" hidden="false" customHeight="true" outlineLevel="0" collapsed="false">
      <c r="A31" s="30"/>
      <c r="B31" s="121" t="s">
        <v>442</v>
      </c>
      <c r="D31" s="32"/>
      <c r="E31" s="32"/>
      <c r="F31" s="32"/>
      <c r="G31" s="32"/>
      <c r="H31" s="32"/>
      <c r="I31" s="32"/>
      <c r="K31" s="32" t="s">
        <v>443</v>
      </c>
      <c r="L31" s="34"/>
      <c r="N31" s="52"/>
      <c r="O31" s="33"/>
      <c r="P31" s="32" t="s">
        <v>88</v>
      </c>
      <c r="Q31" s="32" t="s">
        <v>88</v>
      </c>
      <c r="R31" s="32" t="s">
        <v>88</v>
      </c>
      <c r="S31" s="32" t="s">
        <v>88</v>
      </c>
      <c r="T31" s="118"/>
      <c r="V31" s="32" t="s">
        <v>444</v>
      </c>
      <c r="X31" s="32"/>
      <c r="AA31" s="32" t="s">
        <v>58</v>
      </c>
      <c r="AB31" s="32" t="s">
        <v>445</v>
      </c>
      <c r="AE31" s="32"/>
      <c r="AF31" s="32" t="s">
        <v>446</v>
      </c>
      <c r="AI31" s="35"/>
      <c r="AJ31" s="36"/>
      <c r="AK31" s="35"/>
      <c r="AL31" s="66"/>
      <c r="AM31" s="66"/>
      <c r="AN31" s="66"/>
      <c r="AO31" s="66"/>
      <c r="AP31" s="67"/>
      <c r="AQ31" s="37" t="n">
        <f aca="false">SUMPRODUCT(--WEEKDAY(C$3:AG$3,2)&lt;6,--((C31:AG31="DM"))+(C31:AG31="CS1")+((C31:AG31="CS2"))+(C31:AG31="SB1")+(C31:AG31="AE")+(C31:AG31="EM"))</f>
        <v>0</v>
      </c>
      <c r="AR31" s="38"/>
      <c r="AS31" s="38" t="n">
        <f aca="false">SUMPRODUCT(--WEEKDAY(C$3:AG$3,2)&gt;5,--((C31:AG31="DM"))+(C31:AG31="CS1")+((C31:AG31="CS2"))+(C31:AG31="SB1")+(C31:AG31="AE")+(C31:AG31="EM"))</f>
        <v>1</v>
      </c>
      <c r="AT31" s="67"/>
      <c r="AU31" s="38" t="n">
        <f aca="false">(AQ31-AR31)/2+(AS31-AT31)</f>
        <v>1</v>
      </c>
      <c r="AV31" s="38" t="n">
        <f aca="false">AI31+AJ31+AK31+AL31+AN31+AO31</f>
        <v>0</v>
      </c>
      <c r="AW31" s="38" t="n">
        <f aca="false">BG31+BH31+BJ31+BE31+BC31+BA31+BL31</f>
        <v>7</v>
      </c>
      <c r="AX31" s="38" t="e">
        <f aca="false">AU31+AY31</f>
        <v>#VALUE!</v>
      </c>
      <c r="AY31" s="37" t="e">
        <f aca="false">(BJ31*('Setting key Duty'!$I$8+'Setting key Duty'!$I$12))+(BH31*'Setting key Duty'!$I$9)+(BC31*('Setting key Duty'!$I$13+'Setting key Duty'!$I$9))+(BA31*('Setting key Duty'!$I$13+'Setting key Duty'!$I$12+'Setting key Duty'!$I$11))+(BE31*('Setting key Duty'!$I$8+'Setting key Duty'!$I$9+'Setting key Duty'!$I$12))</f>
        <v>#VALUE!</v>
      </c>
      <c r="AZ31" s="37" t="n">
        <f aca="false">COUNTIF(C31:X31,"*BRT*")</f>
        <v>0</v>
      </c>
      <c r="BA31" s="37" t="n">
        <f aca="false">COUNTIF(A31:AI31,"*$BTP*")</f>
        <v>0</v>
      </c>
      <c r="BB31" s="37" t="e">
        <f aca="false">BA31*('Setting key Duty'!$I$13+'Setting key Duty'!$I$12+'Setting key Duty'!$I$11)</f>
        <v>#VALUE!</v>
      </c>
      <c r="BC31" s="37" t="n">
        <f aca="false">COUNTIF(D31:AI31,"*$L*")</f>
        <v>0</v>
      </c>
      <c r="BD31" s="37" t="e">
        <f aca="false">BC31*('Setting key Duty'!$I$13+'Setting key Duty'!$I$9)</f>
        <v>#VALUE!</v>
      </c>
      <c r="BE31" s="37" t="n">
        <f aca="false">COUNTIF(D31:AI31,"*$M*")</f>
        <v>2</v>
      </c>
      <c r="BF31" s="37" t="n">
        <f aca="false">BE31*('Setting key Duty'!$I$8+'Setting key Duty'!$I$9+'Setting key Duty'!$I$12)</f>
        <v>1.125</v>
      </c>
      <c r="BG31" s="37" t="n">
        <f aca="false">COUNTIF(D31:AI31,"*$N*")</f>
        <v>0</v>
      </c>
      <c r="BH31" s="37" t="n">
        <f aca="false">COUNTIF(D31:AI31,"*$PM*")</f>
        <v>0</v>
      </c>
      <c r="BI31" s="37" t="n">
        <f aca="false">BH31*('Setting key Duty'!$I$9)</f>
        <v>0</v>
      </c>
      <c r="BJ31" s="37" t="n">
        <f aca="false">COUNTIF(D31:AI31,"*$AM*")</f>
        <v>0</v>
      </c>
      <c r="BK31" s="37" t="n">
        <f aca="false">BJ31*('Setting key Duty'!$I$12+'Setting key Duty'!$I$8)</f>
        <v>0</v>
      </c>
      <c r="BL31" s="37" t="n">
        <f aca="false">COUNTIF(C31:AI31,"*$FC*")</f>
        <v>5</v>
      </c>
      <c r="BM31" s="37" t="n">
        <f aca="false">BL31*('Setting key Duty'!$J$11+'Setting key Duty'!$I$8)</f>
        <v>0.625</v>
      </c>
      <c r="BN31" s="37" t="n">
        <f aca="false">COUNTIF($C31:$AG31,BN$4)</f>
        <v>0</v>
      </c>
      <c r="BO31" s="37" t="n">
        <f aca="false">COUNTIF($C31:$AG31,BO$4)</f>
        <v>0</v>
      </c>
      <c r="BP31" s="37" t="n">
        <f aca="false">COUNTIF($D31:$AE31,BP$4)</f>
        <v>0</v>
      </c>
      <c r="BQ31" s="68"/>
    </row>
    <row r="32" customFormat="false" ht="19.5" hidden="false" customHeight="true" outlineLevel="0" collapsed="false">
      <c r="A32" s="30"/>
      <c r="B32" s="122" t="s">
        <v>365</v>
      </c>
      <c r="C32" s="42"/>
      <c r="D32" s="42" t="s">
        <v>65</v>
      </c>
      <c r="E32" s="33"/>
      <c r="F32" s="32"/>
      <c r="H32" s="32" t="s">
        <v>447</v>
      </c>
      <c r="I32" s="33"/>
      <c r="J32" s="32" t="s">
        <v>448</v>
      </c>
      <c r="K32" s="45" t="s">
        <v>65</v>
      </c>
      <c r="M32" s="32"/>
      <c r="N32" s="52"/>
      <c r="O32" s="45"/>
      <c r="P32" s="32" t="s">
        <v>449</v>
      </c>
      <c r="Q32" s="32" t="s">
        <v>449</v>
      </c>
      <c r="R32" s="32" t="s">
        <v>449</v>
      </c>
      <c r="S32" s="32"/>
      <c r="U32" s="32" t="s">
        <v>449</v>
      </c>
      <c r="V32" s="32" t="s">
        <v>449</v>
      </c>
      <c r="W32" s="32" t="s">
        <v>449</v>
      </c>
      <c r="X32" s="32" t="s">
        <v>449</v>
      </c>
      <c r="Y32" s="32" t="s">
        <v>449</v>
      </c>
      <c r="Z32" s="32" t="s">
        <v>450</v>
      </c>
      <c r="AA32" s="42"/>
      <c r="AB32" s="45" t="s">
        <v>93</v>
      </c>
      <c r="AC32" s="32" t="s">
        <v>449</v>
      </c>
      <c r="AD32" s="45" t="s">
        <v>93</v>
      </c>
      <c r="AE32" s="32" t="s">
        <v>449</v>
      </c>
      <c r="AF32" s="32" t="s">
        <v>451</v>
      </c>
      <c r="AG32" s="42"/>
      <c r="AH32" s="42"/>
      <c r="AI32" s="35"/>
      <c r="AJ32" s="36"/>
      <c r="AK32" s="35"/>
      <c r="AL32" s="66"/>
      <c r="AM32" s="66"/>
      <c r="AN32" s="66"/>
      <c r="AO32" s="66"/>
      <c r="AP32" s="67"/>
      <c r="AQ32" s="37" t="n">
        <f aca="false">SUMPRODUCT(--WEEKDAY(C$3:AG$3,2)&lt;6,--((C32:AG32="DM"))+(C32:AG32="CS1")+((C32:AG32="CS2"))+(C32:AG32="SB1")+(C32:AG32="AE")+(C32:AG32="EM"))</f>
        <v>2</v>
      </c>
      <c r="AR32" s="67"/>
      <c r="AS32" s="38" t="n">
        <f aca="false">SUMPRODUCT(--WEEKDAY(C$3:AG$3,2)&gt;5,--((C32:AG32="DM"))+(C32:AG32="CS1")+((C32:AG32="CS2"))+(C32:AG32="SB1")+(C32:AG32="AE")+(C32:AG32="EM"))</f>
        <v>0</v>
      </c>
      <c r="AT32" s="67"/>
      <c r="AU32" s="38" t="n">
        <f aca="false">(AQ32-AR32)/2+(AS32-AT32)</f>
        <v>1</v>
      </c>
      <c r="AV32" s="38" t="n">
        <f aca="false">AI32+AJ32+AK32+AL32+AN32+AO32</f>
        <v>0</v>
      </c>
      <c r="AW32" s="38" t="n">
        <f aca="false">BG32+BH32+BJ32+BE32+BC32+BA32+BL32</f>
        <v>4</v>
      </c>
      <c r="AX32" s="38" t="e">
        <f aca="false">AU32+AY32</f>
        <v>#VALUE!</v>
      </c>
      <c r="AY32" s="37" t="e">
        <f aca="false">(BJ32*('Setting key Duty'!$I$8+'Setting key Duty'!$I$12))+(BH32*'Setting key Duty'!$I$9)+(BC32*('Setting key Duty'!$I$13+'Setting key Duty'!$I$9))+(BA32*('Setting key Duty'!$I$13+'Setting key Duty'!$I$12+'Setting key Duty'!$I$11))+(BE32*('Setting key Duty'!$I$8+'Setting key Duty'!$I$9+'Setting key Duty'!$I$12))</f>
        <v>#VALUE!</v>
      </c>
      <c r="AZ32" s="37" t="n">
        <f aca="false">COUNTIF(C32:Y32,"*BRT*")</f>
        <v>0</v>
      </c>
      <c r="BA32" s="37" t="n">
        <f aca="false">COUNTIF(A32:AI32,"*$BTP*")</f>
        <v>0</v>
      </c>
      <c r="BB32" s="37" t="e">
        <f aca="false">BA32*('Setting key Duty'!$I$13+'Setting key Duty'!$I$12+'Setting key Duty'!$I$11)</f>
        <v>#VALUE!</v>
      </c>
      <c r="BC32" s="37" t="n">
        <f aca="false">COUNTIF(D32:AI32,"*$L*")</f>
        <v>0</v>
      </c>
      <c r="BD32" s="37" t="e">
        <f aca="false">BC32*('Setting key Duty'!$I$13+'Setting key Duty'!$I$9)</f>
        <v>#VALUE!</v>
      </c>
      <c r="BE32" s="37" t="n">
        <f aca="false">COUNTIF(D32:AI32,"*$M*")</f>
        <v>1</v>
      </c>
      <c r="BF32" s="37" t="n">
        <f aca="false">BE32*('Setting key Duty'!$I$8+'Setting key Duty'!$I$9+'Setting key Duty'!$I$12)</f>
        <v>0.5625</v>
      </c>
      <c r="BG32" s="37" t="n">
        <f aca="false">COUNTIF(D32:AI32,"*$N*")</f>
        <v>0</v>
      </c>
      <c r="BH32" s="37" t="n">
        <f aca="false">COUNTIF(D32:AI32,"*$PM*")</f>
        <v>0</v>
      </c>
      <c r="BI32" s="37" t="n">
        <f aca="false">BH32*('Setting key Duty'!$I$9)</f>
        <v>0</v>
      </c>
      <c r="BJ32" s="37" t="n">
        <f aca="false">COUNTIF(D32:AI32,"*$AM*")</f>
        <v>3</v>
      </c>
      <c r="BK32" s="37" t="n">
        <f aca="false">BJ32*('Setting key Duty'!$I$12+'Setting key Duty'!$I$8)</f>
        <v>1.3125</v>
      </c>
      <c r="BL32" s="37" t="n">
        <f aca="false">COUNTIF(C32:AI32,"*$FC*")</f>
        <v>0</v>
      </c>
      <c r="BM32" s="37" t="n">
        <f aca="false">BL32*('Setting key Duty'!$J$11+'Setting key Duty'!$I$8)</f>
        <v>0</v>
      </c>
      <c r="BN32" s="37" t="n">
        <f aca="false">COUNTIF($C32:$AG32,BN$4)</f>
        <v>0</v>
      </c>
      <c r="BO32" s="37" t="n">
        <f aca="false">COUNTIF($C32:$AG32,BO$4)</f>
        <v>0</v>
      </c>
      <c r="BP32" s="37"/>
      <c r="BQ32" s="68"/>
    </row>
    <row r="33" customFormat="false" ht="19.5" hidden="false" customHeight="true" outlineLevel="0" collapsed="false">
      <c r="A33" s="30"/>
      <c r="B33" s="59" t="s">
        <v>366</v>
      </c>
      <c r="C33" s="42"/>
      <c r="D33" s="65"/>
      <c r="E33" s="32"/>
      <c r="F33" s="33"/>
      <c r="G33" s="45" t="s">
        <v>93</v>
      </c>
      <c r="H33" s="32" t="s">
        <v>65</v>
      </c>
      <c r="I33" s="32"/>
      <c r="J33" s="32" t="s">
        <v>65</v>
      </c>
      <c r="K33" s="32"/>
      <c r="L33" s="32" t="s">
        <v>65</v>
      </c>
      <c r="M33" s="63"/>
      <c r="N33" s="52" t="s">
        <v>65</v>
      </c>
      <c r="O33" s="45" t="s">
        <v>176</v>
      </c>
      <c r="P33" s="45" t="s">
        <v>176</v>
      </c>
      <c r="Q33" s="45" t="s">
        <v>176</v>
      </c>
      <c r="R33" s="45" t="s">
        <v>176</v>
      </c>
      <c r="S33" s="32"/>
      <c r="V33" s="45" t="s">
        <v>65</v>
      </c>
      <c r="X33" s="45" t="s">
        <v>65</v>
      </c>
      <c r="Z33" s="33"/>
      <c r="AB33" s="45" t="s">
        <v>65</v>
      </c>
      <c r="AD33" s="45" t="s">
        <v>65</v>
      </c>
      <c r="AF33" s="32" t="s">
        <v>93</v>
      </c>
      <c r="AG33" s="42" t="s">
        <v>65</v>
      </c>
      <c r="AH33" s="42"/>
      <c r="AI33" s="35"/>
      <c r="AJ33" s="36"/>
      <c r="AK33" s="35"/>
      <c r="AL33" s="66"/>
      <c r="AM33" s="66"/>
      <c r="AN33" s="66"/>
      <c r="AO33" s="66"/>
      <c r="AP33" s="67"/>
      <c r="AQ33" s="37" t="n">
        <f aca="false">SUMPRODUCT(--WEEKDAY(C$3:AG$3,2)&lt;6,--((C33:AG33="DM"))+(C33:AG33="CS1")+((C33:AG33="CS2"))+(C33:AG33="SB1")+(C33:AG33="AE")+(C33:AG33="EM"))</f>
        <v>7</v>
      </c>
      <c r="AR33" s="67"/>
      <c r="AS33" s="38" t="n">
        <f aca="false">SUMPRODUCT(--WEEKDAY(C$3:AG$3,2)&gt;5,--((C33:AG33="DM"))+(C33:AG33="CS1")+((C33:AG33="CS2"))+(C33:AG33="SB1")+(C33:AG33="AE")+(C33:AG33="EM"))</f>
        <v>2</v>
      </c>
      <c r="AT33" s="67"/>
      <c r="AU33" s="38" t="n">
        <f aca="false">(AQ33-AR33)/2+(AS33-AT33)</f>
        <v>5.5</v>
      </c>
      <c r="AV33" s="38" t="n">
        <f aca="false">AI33+AJ33+AK33+AL33+AN33+AO33</f>
        <v>0</v>
      </c>
      <c r="AW33" s="38" t="n">
        <f aca="false">BG33+BH33+BJ33+BE33+BC33+BA33+BL33</f>
        <v>0</v>
      </c>
      <c r="AX33" s="38" t="e">
        <f aca="false">AU33+AY33</f>
        <v>#VALUE!</v>
      </c>
      <c r="AY33" s="37" t="e">
        <f aca="false">(BJ33*('Setting key Duty'!$I$8+'Setting key Duty'!$I$12))+(BH33*'Setting key Duty'!$I$9)+(BC33*('Setting key Duty'!$I$13+'Setting key Duty'!$I$9))+(BA33*('Setting key Duty'!$I$13+'Setting key Duty'!$I$12+'Setting key Duty'!$I$11))+(BE33*('Setting key Duty'!$I$8+'Setting key Duty'!$I$9+'Setting key Duty'!$I$12))</f>
        <v>#VALUE!</v>
      </c>
      <c r="AZ33" s="37" t="n">
        <f aca="false">COUNTIF(C33:Y33,"*BRT*")</f>
        <v>0</v>
      </c>
      <c r="BA33" s="37" t="n">
        <f aca="false">COUNTIF(A33:AI33,"*$BTP*")</f>
        <v>0</v>
      </c>
      <c r="BB33" s="37" t="e">
        <f aca="false">BA33*('Setting key Duty'!$I$13+'Setting key Duty'!$I$12+'Setting key Duty'!$I$11)</f>
        <v>#VALUE!</v>
      </c>
      <c r="BC33" s="37" t="n">
        <f aca="false">COUNTIF(D33:AI33,"*$L*")</f>
        <v>0</v>
      </c>
      <c r="BD33" s="37" t="e">
        <f aca="false">BC33*('Setting key Duty'!$I$13+'Setting key Duty'!$I$9)</f>
        <v>#VALUE!</v>
      </c>
      <c r="BE33" s="37" t="n">
        <f aca="false">COUNTIF(D33:AI33,"*$M*")</f>
        <v>0</v>
      </c>
      <c r="BF33" s="37" t="n">
        <f aca="false">BE33*('Setting key Duty'!$I$8+'Setting key Duty'!$I$9+'Setting key Duty'!$I$12)</f>
        <v>0</v>
      </c>
      <c r="BG33" s="37" t="n">
        <f aca="false">COUNTIF(D33:AI33,"*$N*")</f>
        <v>0</v>
      </c>
      <c r="BH33" s="37" t="n">
        <f aca="false">COUNTIF(D33:AI33,"*$PM*")</f>
        <v>0</v>
      </c>
      <c r="BI33" s="37" t="n">
        <f aca="false">BH33*('Setting key Duty'!$I$9)</f>
        <v>0</v>
      </c>
      <c r="BJ33" s="37" t="n">
        <f aca="false">COUNTIF(D33:AI33,"*$AM*")</f>
        <v>0</v>
      </c>
      <c r="BK33" s="37" t="n">
        <f aca="false">BJ33*('Setting key Duty'!$I$12+'Setting key Duty'!$I$8)</f>
        <v>0</v>
      </c>
      <c r="BL33" s="37" t="n">
        <f aca="false">COUNTIF(C33:AI33,"*$FC*")</f>
        <v>0</v>
      </c>
      <c r="BM33" s="37" t="n">
        <f aca="false">BL33*('Setting key Duty'!$J$11+'Setting key Duty'!$I$8)</f>
        <v>0</v>
      </c>
      <c r="BN33" s="37" t="n">
        <f aca="false">COUNTIF($C33:$AH33,BN$4)</f>
        <v>0</v>
      </c>
      <c r="BO33" s="37" t="n">
        <f aca="false">COUNTIF($C33:$AH33,BO$4)</f>
        <v>0</v>
      </c>
      <c r="BP33" s="37"/>
      <c r="BQ33" s="68"/>
    </row>
    <row r="34" customFormat="false" ht="19.5" hidden="false" customHeight="true" outlineLevel="0" collapsed="false">
      <c r="A34" s="30"/>
      <c r="B34" s="59" t="s">
        <v>367</v>
      </c>
      <c r="C34" s="42"/>
      <c r="D34" s="42"/>
      <c r="E34" s="32" t="s">
        <v>65</v>
      </c>
      <c r="I34" s="32" t="s">
        <v>308</v>
      </c>
      <c r="K34" s="32" t="s">
        <v>104</v>
      </c>
      <c r="L34" s="45"/>
      <c r="M34" s="32"/>
      <c r="N34" s="116"/>
      <c r="O34" s="45"/>
      <c r="P34" s="32" t="s">
        <v>452</v>
      </c>
      <c r="R34" s="32" t="s">
        <v>387</v>
      </c>
      <c r="S34" s="32"/>
      <c r="T34" s="52"/>
      <c r="U34" s="32" t="s">
        <v>453</v>
      </c>
      <c r="V34" s="32" t="s">
        <v>454</v>
      </c>
      <c r="X34" s="32"/>
      <c r="Y34" s="32"/>
      <c r="AA34" s="32"/>
      <c r="AB34" s="32" t="s">
        <v>246</v>
      </c>
      <c r="AC34" s="92" t="s">
        <v>455</v>
      </c>
      <c r="AD34" s="42" t="s">
        <v>225</v>
      </c>
      <c r="AE34" s="42" t="s">
        <v>225</v>
      </c>
      <c r="AG34" s="42"/>
      <c r="AH34" s="42"/>
      <c r="AI34" s="35"/>
      <c r="AJ34" s="36"/>
      <c r="AK34" s="35"/>
      <c r="AL34" s="66"/>
      <c r="AM34" s="66"/>
      <c r="AN34" s="66"/>
      <c r="AO34" s="66"/>
      <c r="AP34" s="67"/>
      <c r="AQ34" s="37" t="n">
        <f aca="false">SUMPRODUCT(--WEEKDAY(C$3:AG$3,2)&lt;6,--((C34:AG34="DM"))+(C34:AG34="CS1")+((C34:AG34="CS2"))+(C34:AG34="SB1")+(C34:AG34="AE")+(C34:AG34="EM"))</f>
        <v>0</v>
      </c>
      <c r="AR34" s="67"/>
      <c r="AS34" s="38" t="n">
        <f aca="false">SUMPRODUCT(--WEEKDAY(C$3:AG$3,2)&gt;5,--((C34:AG34="DM"))+(C34:AG34="CS1")+((C34:AG34="CS2"))+(C34:AG34="SB1")+(C34:AG34="AE")+(C34:AG34="EM"))</f>
        <v>1</v>
      </c>
      <c r="AT34" s="67"/>
      <c r="AU34" s="38" t="n">
        <f aca="false">(AQ34-AR34)/2+(AS34-AT34)</f>
        <v>1</v>
      </c>
      <c r="AV34" s="38" t="n">
        <f aca="false">AI34+AJ34+AK34+AL34+AN34+AO34</f>
        <v>0</v>
      </c>
      <c r="AW34" s="38" t="n">
        <f aca="false">BG34+BH34+BJ34+BE34+BC34+BA34+BL34</f>
        <v>9</v>
      </c>
      <c r="AX34" s="38" t="e">
        <f aca="false">AU34+AY34</f>
        <v>#VALUE!</v>
      </c>
      <c r="AY34" s="37" t="e">
        <f aca="false">(BJ34*('Setting key Duty'!$I$8+'Setting key Duty'!$I$12))+(BH34*'Setting key Duty'!$I$9)+(BC34*('Setting key Duty'!$I$13+'Setting key Duty'!$I$9))+(BA34*('Setting key Duty'!$I$13+'Setting key Duty'!$I$12+'Setting key Duty'!$I$11))+(BE34*('Setting key Duty'!$I$8+'Setting key Duty'!$I$9+'Setting key Duty'!$I$12))</f>
        <v>#VALUE!</v>
      </c>
      <c r="AZ34" s="37" t="n">
        <f aca="false">COUNTIF(C34:W34,"*BRT*")</f>
        <v>0</v>
      </c>
      <c r="BA34" s="37" t="n">
        <f aca="false">COUNTIF(A34:AI34,"*$BTP*")</f>
        <v>2</v>
      </c>
      <c r="BB34" s="37" t="e">
        <f aca="false">BA34*('Setting key Duty'!$I$13+'Setting key Duty'!$I$12+'Setting key Duty'!$I$11)</f>
        <v>#VALUE!</v>
      </c>
      <c r="BC34" s="37" t="n">
        <f aca="false">COUNTIF(D34:AI34,"*$L*")</f>
        <v>0</v>
      </c>
      <c r="BD34" s="37" t="e">
        <f aca="false">BC34*('Setting key Duty'!$I$13+'Setting key Duty'!$I$9)</f>
        <v>#VALUE!</v>
      </c>
      <c r="BE34" s="37" t="n">
        <f aca="false">COUNTIF(D34:AI34,"*$M*")</f>
        <v>0</v>
      </c>
      <c r="BF34" s="37" t="n">
        <f aca="false">BE34*('Setting key Duty'!$I$8+'Setting key Duty'!$I$9+'Setting key Duty'!$I$12)</f>
        <v>0</v>
      </c>
      <c r="BG34" s="37" t="n">
        <f aca="false">COUNTIF(D34:AI34,"*$N*")</f>
        <v>0</v>
      </c>
      <c r="BH34" s="37" t="n">
        <f aca="false">COUNTIF(D34:AI34,"*$PM*")</f>
        <v>1</v>
      </c>
      <c r="BI34" s="37" t="n">
        <f aca="false">BH34*('Setting key Duty'!$I$9)</f>
        <v>0.125</v>
      </c>
      <c r="BJ34" s="37" t="n">
        <f aca="false">COUNTIF(D34:AI34,"*$AM*")</f>
        <v>4</v>
      </c>
      <c r="BK34" s="37" t="n">
        <f aca="false">BJ34*('Setting key Duty'!$I$12+'Setting key Duty'!$I$8)</f>
        <v>1.75</v>
      </c>
      <c r="BL34" s="37" t="n">
        <f aca="false">COUNTIF(C34:AI34,"*$FC*")</f>
        <v>2</v>
      </c>
      <c r="BM34" s="37" t="n">
        <f aca="false">BL34*('Setting key Duty'!$J$11+'Setting key Duty'!$I$8)</f>
        <v>0.25</v>
      </c>
      <c r="BN34" s="37" t="n">
        <f aca="false">COUNTIF($C34:$AG34,BN$4)</f>
        <v>0</v>
      </c>
      <c r="BO34" s="37" t="n">
        <f aca="false">COUNTIF($C34:$AG34,BO$4)</f>
        <v>0</v>
      </c>
      <c r="BP34" s="37"/>
      <c r="BQ34" s="68"/>
    </row>
    <row r="35" customFormat="false" ht="19.5" hidden="false" customHeight="true" outlineLevel="0" collapsed="false">
      <c r="A35" s="30"/>
      <c r="B35" s="59" t="s">
        <v>368</v>
      </c>
      <c r="C35" s="42"/>
      <c r="D35" s="42"/>
      <c r="E35" s="32"/>
      <c r="F35" s="33"/>
      <c r="G35" s="33"/>
      <c r="H35" s="33"/>
      <c r="I35" s="32" t="s">
        <v>275</v>
      </c>
      <c r="J35" s="32" t="s">
        <v>308</v>
      </c>
      <c r="K35" s="32"/>
      <c r="M35" s="65"/>
      <c r="N35" s="116"/>
      <c r="O35" s="45" t="s">
        <v>176</v>
      </c>
      <c r="Q35" s="45" t="s">
        <v>176</v>
      </c>
      <c r="R35" s="32" t="s">
        <v>136</v>
      </c>
      <c r="S35" s="32"/>
      <c r="T35" s="52"/>
      <c r="V35" s="32" t="s">
        <v>456</v>
      </c>
      <c r="W35" s="32"/>
      <c r="X35" s="32" t="s">
        <v>457</v>
      </c>
      <c r="Y35" s="45" t="s">
        <v>65</v>
      </c>
      <c r="AA35" s="32"/>
      <c r="AB35" s="32" t="s">
        <v>354</v>
      </c>
      <c r="AC35" s="32" t="s">
        <v>458</v>
      </c>
      <c r="AD35" s="46" t="s">
        <v>55</v>
      </c>
      <c r="AE35" s="46" t="s">
        <v>55</v>
      </c>
      <c r="AF35" s="46" t="s">
        <v>459</v>
      </c>
      <c r="AG35" s="42"/>
      <c r="AH35" s="42"/>
      <c r="AI35" s="35"/>
      <c r="AJ35" s="36"/>
      <c r="AK35" s="35"/>
      <c r="AL35" s="66"/>
      <c r="AM35" s="66"/>
      <c r="AN35" s="66"/>
      <c r="AO35" s="66"/>
      <c r="AP35" s="67"/>
      <c r="AQ35" s="37" t="n">
        <f aca="false">SUMPRODUCT(--WEEKDAY(C$3:AG$3,2)&lt;6,--((C35:AG35="DM"))+(C35:AG35="CS1")+((C35:AG35="CS2"))+(C35:AG35="SB1")+(C35:AG35="AE")+(C35:AG35="EM"))</f>
        <v>1</v>
      </c>
      <c r="AR35" s="67"/>
      <c r="AS35" s="38" t="n">
        <f aca="false">SUMPRODUCT(--WEEKDAY(C$3:AG$3,2)&gt;5,--((C35:AG35="DM"))+(C35:AG35="CS1")+((C35:AG35="CS2"))+(C35:AG35="SB1")+(C35:AG35="AE")+(C35:AG35="EM"))</f>
        <v>0</v>
      </c>
      <c r="AT35" s="67"/>
      <c r="AU35" s="38" t="n">
        <f aca="false">(AQ35-AR35)/2+(AS35-AT35)</f>
        <v>0.5</v>
      </c>
      <c r="AV35" s="38" t="n">
        <f aca="false">AI35+AJ35+AK35+AL35+AN35+AO35</f>
        <v>0</v>
      </c>
      <c r="AW35" s="38" t="n">
        <f aca="false">BG35+BH35+BJ35+BE35+BC35+BA35+BL35</f>
        <v>7</v>
      </c>
      <c r="AX35" s="38" t="e">
        <f aca="false">AU35+AY35</f>
        <v>#VALUE!</v>
      </c>
      <c r="AY35" s="37" t="e">
        <f aca="false">(BJ35*('Setting key Duty'!$I$8+'Setting key Duty'!$I$12))+(BH35*'Setting key Duty'!$I$9)+(BC35*('Setting key Duty'!$I$13+'Setting key Duty'!$I$9))+(BA35*('Setting key Duty'!$I$13+'Setting key Duty'!$I$12+'Setting key Duty'!$I$11))+(BE35*('Setting key Duty'!$I$8+'Setting key Duty'!$I$9+'Setting key Duty'!$I$12))</f>
        <v>#VALUE!</v>
      </c>
      <c r="AZ35" s="37" t="n">
        <f aca="false">COUNTIF(C35:Y35,"*BRT*")</f>
        <v>0</v>
      </c>
      <c r="BA35" s="37" t="n">
        <f aca="false">COUNTIF(A35:AI35,"*$BTP*")</f>
        <v>1</v>
      </c>
      <c r="BB35" s="37" t="e">
        <f aca="false">BA35*('Setting key Duty'!$I$13+'Setting key Duty'!$I$12+'Setting key Duty'!$I$11)</f>
        <v>#VALUE!</v>
      </c>
      <c r="BC35" s="37" t="n">
        <f aca="false">COUNTIF(D35:AI35,"*$L*")</f>
        <v>0</v>
      </c>
      <c r="BD35" s="37" t="e">
        <f aca="false">BC35*('Setting key Duty'!$I$13+'Setting key Duty'!$I$9)</f>
        <v>#VALUE!</v>
      </c>
      <c r="BE35" s="37" t="n">
        <f aca="false">COUNTIF(D35:AI35,"*$M*")</f>
        <v>3</v>
      </c>
      <c r="BF35" s="37" t="n">
        <f aca="false">BE35*('Setting key Duty'!$I$8+'Setting key Duty'!$I$9+'Setting key Duty'!$I$12)</f>
        <v>1.6875</v>
      </c>
      <c r="BG35" s="37" t="n">
        <f aca="false">COUNTIF(D35:AI35,"*$N*")</f>
        <v>0</v>
      </c>
      <c r="BH35" s="37" t="n">
        <f aca="false">COUNTIF(D35:AI35,"*$PM*")</f>
        <v>0</v>
      </c>
      <c r="BI35" s="37" t="n">
        <f aca="false">BH35*('Setting key Duty'!$I$9)</f>
        <v>0</v>
      </c>
      <c r="BJ35" s="37" t="n">
        <f aca="false">COUNTIF(D35:AI35,"*$AM*")</f>
        <v>3</v>
      </c>
      <c r="BK35" s="37" t="n">
        <f aca="false">BJ35*('Setting key Duty'!$I$12+'Setting key Duty'!$I$8)</f>
        <v>1.3125</v>
      </c>
      <c r="BL35" s="37" t="n">
        <f aca="false">COUNTIF(C35:AI35,"*$FC*")</f>
        <v>0</v>
      </c>
      <c r="BM35" s="37" t="n">
        <f aca="false">BL35*('Setting key Duty'!$J$11+'Setting key Duty'!$I$8)</f>
        <v>0</v>
      </c>
      <c r="BN35" s="37" t="n">
        <f aca="false">COUNTIF($C35:$AG35,BN$4)</f>
        <v>0</v>
      </c>
      <c r="BO35" s="37" t="n">
        <f aca="false">COUNTIF($C35:$AG35,BO$4)</f>
        <v>0</v>
      </c>
      <c r="BP35" s="37"/>
      <c r="BQ35" s="68"/>
    </row>
    <row r="36" customFormat="false" ht="19.5" hidden="false" customHeight="true" outlineLevel="0" collapsed="false">
      <c r="A36" s="30"/>
      <c r="B36" s="59" t="s">
        <v>369</v>
      </c>
      <c r="C36" s="42"/>
      <c r="D36" s="42"/>
      <c r="E36" s="32"/>
      <c r="F36" s="32" t="s">
        <v>95</v>
      </c>
      <c r="G36" s="32" t="s">
        <v>95</v>
      </c>
      <c r="H36" s="32" t="s">
        <v>95</v>
      </c>
      <c r="I36" s="32" t="s">
        <v>95</v>
      </c>
      <c r="J36" s="32" t="s">
        <v>95</v>
      </c>
      <c r="M36" s="42"/>
      <c r="N36" s="116"/>
      <c r="O36" s="45"/>
      <c r="Q36" s="32" t="s">
        <v>354</v>
      </c>
      <c r="R36" s="32" t="s">
        <v>460</v>
      </c>
      <c r="S36" s="32"/>
      <c r="T36" s="52"/>
      <c r="U36" s="32" t="s">
        <v>454</v>
      </c>
      <c r="W36" s="32" t="s">
        <v>461</v>
      </c>
      <c r="X36" s="32" t="s">
        <v>462</v>
      </c>
      <c r="AA36" s="32"/>
      <c r="AB36" s="32" t="s">
        <v>463</v>
      </c>
      <c r="AF36" s="42"/>
      <c r="AG36" s="42"/>
      <c r="AI36" s="35"/>
      <c r="AJ36" s="36"/>
      <c r="AK36" s="35"/>
      <c r="AL36" s="66"/>
      <c r="AM36" s="66"/>
      <c r="AN36" s="66"/>
      <c r="AO36" s="66"/>
      <c r="AP36" s="67"/>
      <c r="AQ36" s="37" t="n">
        <f aca="false">SUMPRODUCT(--WEEKDAY(C$3:AG$3,2)&lt;6,--((C36:AG36="DM"))+(C36:AG36="CS1")+((C36:AG36="CS2"))+(C36:AG36="SB1")+(C36:AG36="AE")+(C36:AG36="EM"))</f>
        <v>0</v>
      </c>
      <c r="AR36" s="67"/>
      <c r="AS36" s="38" t="n">
        <f aca="false">SUMPRODUCT(--WEEKDAY(C$3:AG$3,2)&gt;5,--((C36:AG36="DM"))+(C36:AG36="CS1")+((C36:AG36="CS2"))+(C36:AG36="SB1")+(C36:AG36="AE")+(C36:AG36="EM"))</f>
        <v>0</v>
      </c>
      <c r="AT36" s="67"/>
      <c r="AU36" s="38" t="n">
        <f aca="false">(AQ36-AR36)/2+(AS36-AT36)</f>
        <v>0</v>
      </c>
      <c r="AV36" s="38" t="n">
        <f aca="false">AI36+AJ36+AK36+AL36+AN36+AO36</f>
        <v>0</v>
      </c>
      <c r="AW36" s="38" t="n">
        <f aca="false">BG36+BH36+BJ36+BE36+BC36+BA36+BL36</f>
        <v>11</v>
      </c>
      <c r="AX36" s="38" t="e">
        <f aca="false">AU36+AY36</f>
        <v>#VALUE!</v>
      </c>
      <c r="AY36" s="37" t="e">
        <f aca="false">(BJ36*('Setting key Duty'!$I$8+'Setting key Duty'!$I$12))+(BH36*'Setting key Duty'!$I$9)+(BC36*('Setting key Duty'!$I$13+'Setting key Duty'!$I$9))+(BA36*('Setting key Duty'!$I$13+'Setting key Duty'!$I$12+'Setting key Duty'!$I$11))+(BE36*('Setting key Duty'!$I$8+'Setting key Duty'!$I$9+'Setting key Duty'!$I$12))</f>
        <v>#VALUE!</v>
      </c>
      <c r="AZ36" s="37" t="n">
        <f aca="false">COUNTIF(C36:Y36,"*BRT*")</f>
        <v>0</v>
      </c>
      <c r="BA36" s="37" t="n">
        <f aca="false">COUNTIF(A36:AI36,"*$BTP*")</f>
        <v>2</v>
      </c>
      <c r="BB36" s="37" t="e">
        <f aca="false">BA36*('Setting key Duty'!$I$13+'Setting key Duty'!$I$12+'Setting key Duty'!$I$11)</f>
        <v>#VALUE!</v>
      </c>
      <c r="BC36" s="37" t="n">
        <f aca="false">COUNTIF(D36:AI36,"*$L*")</f>
        <v>0</v>
      </c>
      <c r="BD36" s="37" t="e">
        <f aca="false">BC36*('Setting key Duty'!$I$13+'Setting key Duty'!$I$9)</f>
        <v>#VALUE!</v>
      </c>
      <c r="BE36" s="37" t="n">
        <f aca="false">COUNTIF(D36:AI36,"*$M*")</f>
        <v>0</v>
      </c>
      <c r="BF36" s="37" t="n">
        <f aca="false">BE36*('Setting key Duty'!$I$8+'Setting key Duty'!$I$9+'Setting key Duty'!$I$12)</f>
        <v>0</v>
      </c>
      <c r="BG36" s="37" t="n">
        <f aca="false">COUNTIF(D36:AI36,"*$N*")</f>
        <v>0</v>
      </c>
      <c r="BH36" s="37" t="n">
        <f aca="false">COUNTIF(D36:AI36,"*$PM*")</f>
        <v>0</v>
      </c>
      <c r="BI36" s="37" t="n">
        <f aca="false">BH36*('Setting key Duty'!$I$9)</f>
        <v>0</v>
      </c>
      <c r="BJ36" s="37" t="n">
        <f aca="false">COUNTIF(D36:AI36,"*$AM*")</f>
        <v>2</v>
      </c>
      <c r="BK36" s="37" t="n">
        <f aca="false">BJ36*('Setting key Duty'!$I$12+'Setting key Duty'!$I$8)</f>
        <v>0.875</v>
      </c>
      <c r="BL36" s="37" t="n">
        <f aca="false">COUNTIF(C36:AI36,"*$FC*")</f>
        <v>7</v>
      </c>
      <c r="BM36" s="37" t="n">
        <f aca="false">BL36*('Setting key Duty'!$J$11+'Setting key Duty'!$I$8)</f>
        <v>0.875</v>
      </c>
      <c r="BN36" s="37" t="n">
        <f aca="false">COUNTIF($C36:$AG36,BN$4)</f>
        <v>0</v>
      </c>
      <c r="BO36" s="37" t="n">
        <f aca="false">COUNTIF($C36:$AG36,BO$4)</f>
        <v>0</v>
      </c>
      <c r="BP36" s="37"/>
      <c r="BQ36" s="68"/>
    </row>
    <row r="37" customFormat="false" ht="19.5" hidden="false" customHeight="true" outlineLevel="0" collapsed="false">
      <c r="A37" s="30"/>
      <c r="B37" s="59" t="s">
        <v>370</v>
      </c>
      <c r="C37" s="42"/>
      <c r="D37" s="42" t="s">
        <v>464</v>
      </c>
      <c r="E37" s="32"/>
      <c r="F37" s="32" t="s">
        <v>65</v>
      </c>
      <c r="G37" s="32"/>
      <c r="H37" s="33"/>
      <c r="I37" s="65" t="s">
        <v>65</v>
      </c>
      <c r="K37" s="45" t="s">
        <v>93</v>
      </c>
      <c r="N37" s="116"/>
      <c r="O37" s="32" t="s">
        <v>65</v>
      </c>
      <c r="Q37" s="45" t="s">
        <v>93</v>
      </c>
      <c r="R37" s="42" t="s">
        <v>65</v>
      </c>
      <c r="S37" s="32"/>
      <c r="U37" s="45" t="s">
        <v>65</v>
      </c>
      <c r="V37" s="32" t="s">
        <v>421</v>
      </c>
      <c r="X37" s="45" t="s">
        <v>93</v>
      </c>
      <c r="Y37" s="33"/>
      <c r="Z37" s="32" t="s">
        <v>58</v>
      </c>
      <c r="AA37" s="33"/>
      <c r="AC37" s="45" t="s">
        <v>65</v>
      </c>
      <c r="AE37" s="42" t="s">
        <v>65</v>
      </c>
      <c r="AF37" s="46" t="s">
        <v>446</v>
      </c>
      <c r="AG37" s="42"/>
      <c r="AH37" s="42"/>
      <c r="AI37" s="35"/>
      <c r="AJ37" s="36"/>
      <c r="AK37" s="35"/>
      <c r="AL37" s="66"/>
      <c r="AM37" s="66"/>
      <c r="AN37" s="66"/>
      <c r="AO37" s="66"/>
      <c r="AP37" s="67"/>
      <c r="AQ37" s="37" t="n">
        <f aca="false">SUMPRODUCT(--WEEKDAY(C$3:AG$3,2)&lt;6,--((C37:AG37="DM"))+(C37:AG37="CS1")+((C37:AG37="CS2"))+(C37:AG37="SB1")+(C37:AG37="AE")+(C37:AG37="EM"))</f>
        <v>6</v>
      </c>
      <c r="AR37" s="67"/>
      <c r="AS37" s="38" t="n">
        <f aca="false">SUMPRODUCT(--WEEKDAY(C$3:AG$3,2)&gt;5,--((C37:AG37="DM"))+(C37:AG37="CS1")+((C37:AG37="CS2"))+(C37:AG37="SB1")+(C37:AG37="AE")+(C37:AG37="EM"))</f>
        <v>2</v>
      </c>
      <c r="AT37" s="67"/>
      <c r="AU37" s="38" t="n">
        <f aca="false">(AQ37-AR37)/2+(AS37-AT37)</f>
        <v>5</v>
      </c>
      <c r="AV37" s="38" t="n">
        <f aca="false">AI37+AJ37+AK37+AL37+AN37+AO37</f>
        <v>0</v>
      </c>
      <c r="AW37" s="38" t="n">
        <f aca="false">BG37+BH37+BJ37+BE37+BC37+BA37+BL37</f>
        <v>0</v>
      </c>
      <c r="AX37" s="38" t="e">
        <f aca="false">AU37+AY37</f>
        <v>#VALUE!</v>
      </c>
      <c r="AY37" s="37" t="e">
        <f aca="false">(BJ37*('Setting key Duty'!$I$8+'Setting key Duty'!$I$12))+(BH37*'Setting key Duty'!$I$9)+(BC37*('Setting key Duty'!$I$13+'Setting key Duty'!$I$9))+(BA37*('Setting key Duty'!$I$13+'Setting key Duty'!$I$12+'Setting key Duty'!$I$11))+(BE37*('Setting key Duty'!$I$8+'Setting key Duty'!$I$9+'Setting key Duty'!$I$12))</f>
        <v>#VALUE!</v>
      </c>
      <c r="AZ37" s="37" t="n">
        <f aca="false">COUNTIF(C37:Y37,"*BRT*")</f>
        <v>0</v>
      </c>
      <c r="BA37" s="37" t="n">
        <f aca="false">COUNTIF(A37:AI37,"*$BTP*")</f>
        <v>0</v>
      </c>
      <c r="BB37" s="37" t="e">
        <f aca="false">BA37*('Setting key Duty'!$I$13+'Setting key Duty'!$I$12+'Setting key Duty'!$I$11)</f>
        <v>#VALUE!</v>
      </c>
      <c r="BC37" s="37" t="n">
        <f aca="false">COUNTIF(D37:AI37,"*$L*")</f>
        <v>0</v>
      </c>
      <c r="BD37" s="37" t="e">
        <f aca="false">BC37*('Setting key Duty'!$I$13+'Setting key Duty'!$I$9)</f>
        <v>#VALUE!</v>
      </c>
      <c r="BE37" s="37" t="n">
        <f aca="false">COUNTIF(D37:AI37,"*$M*")</f>
        <v>0</v>
      </c>
      <c r="BF37" s="37" t="n">
        <f aca="false">BE37*('Setting key Duty'!$I$8+'Setting key Duty'!$I$9+'Setting key Duty'!$I$12)</f>
        <v>0</v>
      </c>
      <c r="BG37" s="37" t="n">
        <f aca="false">COUNTIF(D37:AI37,"*$N*")</f>
        <v>0</v>
      </c>
      <c r="BH37" s="37" t="n">
        <f aca="false">COUNTIF(D37:AI37,"*$PM*")</f>
        <v>0</v>
      </c>
      <c r="BI37" s="37" t="n">
        <f aca="false">BH37*('Setting key Duty'!$I$9)</f>
        <v>0</v>
      </c>
      <c r="BJ37" s="37" t="n">
        <f aca="false">COUNTIF(D37:AI37,"*$AM*")</f>
        <v>0</v>
      </c>
      <c r="BK37" s="37" t="n">
        <f aca="false">BJ37*('Setting key Duty'!$I$12+'Setting key Duty'!$I$8)</f>
        <v>0</v>
      </c>
      <c r="BL37" s="37" t="n">
        <f aca="false">COUNTIF(C37:AI37,"*$FC*")</f>
        <v>0</v>
      </c>
      <c r="BM37" s="37" t="n">
        <f aca="false">BL37*('Setting key Duty'!$J$11+'Setting key Duty'!$I$8)</f>
        <v>0</v>
      </c>
      <c r="BN37" s="37" t="n">
        <f aca="false">COUNTIF($C37:$AG37,BN$4)</f>
        <v>0</v>
      </c>
      <c r="BO37" s="37" t="n">
        <f aca="false">COUNTIF($C37:$AG37,BO$4)</f>
        <v>0</v>
      </c>
      <c r="BP37" s="37"/>
      <c r="BQ37" s="68"/>
    </row>
    <row r="38" customFormat="false" ht="19.5" hidden="false" customHeight="true" outlineLevel="0" collapsed="false">
      <c r="A38" s="30"/>
      <c r="B38" s="59" t="s">
        <v>371</v>
      </c>
      <c r="C38" s="42" t="s">
        <v>409</v>
      </c>
      <c r="D38" s="116" t="s">
        <v>409</v>
      </c>
      <c r="E38" s="116" t="s">
        <v>409</v>
      </c>
      <c r="F38" s="116" t="s">
        <v>409</v>
      </c>
      <c r="G38" s="116" t="s">
        <v>409</v>
      </c>
      <c r="H38" s="116" t="s">
        <v>409</v>
      </c>
      <c r="I38" s="116" t="s">
        <v>409</v>
      </c>
      <c r="J38" s="116" t="s">
        <v>409</v>
      </c>
      <c r="K38" s="116" t="s">
        <v>409</v>
      </c>
      <c r="L38" s="116" t="s">
        <v>409</v>
      </c>
      <c r="M38" s="116" t="s">
        <v>409</v>
      </c>
      <c r="N38" s="116" t="s">
        <v>409</v>
      </c>
      <c r="O38" s="116" t="s">
        <v>409</v>
      </c>
      <c r="P38" s="116" t="s">
        <v>409</v>
      </c>
      <c r="Q38" s="116" t="s">
        <v>409</v>
      </c>
      <c r="R38" s="116" t="s">
        <v>409</v>
      </c>
      <c r="S38" s="116" t="s">
        <v>409</v>
      </c>
      <c r="T38" s="116" t="s">
        <v>409</v>
      </c>
      <c r="U38" s="116" t="s">
        <v>409</v>
      </c>
      <c r="V38" s="116" t="s">
        <v>409</v>
      </c>
      <c r="W38" s="116" t="s">
        <v>409</v>
      </c>
      <c r="X38" s="116" t="s">
        <v>409</v>
      </c>
      <c r="Y38" s="116" t="s">
        <v>409</v>
      </c>
      <c r="Z38" s="116" t="s">
        <v>409</v>
      </c>
      <c r="AA38" s="116" t="s">
        <v>409</v>
      </c>
      <c r="AB38" s="116" t="s">
        <v>409</v>
      </c>
      <c r="AC38" s="116" t="s">
        <v>409</v>
      </c>
      <c r="AD38" s="116" t="s">
        <v>409</v>
      </c>
      <c r="AE38" s="116" t="s">
        <v>409</v>
      </c>
      <c r="AF38" s="116" t="s">
        <v>409</v>
      </c>
      <c r="AG38" s="116" t="s">
        <v>409</v>
      </c>
      <c r="AH38" s="116" t="s">
        <v>409</v>
      </c>
      <c r="AI38" s="35"/>
      <c r="AJ38" s="36"/>
      <c r="AK38" s="35"/>
      <c r="AL38" s="66"/>
      <c r="AM38" s="66"/>
      <c r="AN38" s="66"/>
      <c r="AO38" s="66"/>
      <c r="AP38" s="67"/>
      <c r="AQ38" s="37" t="n">
        <f aca="false">SUMPRODUCT(--WEEKDAY(C$3:AG$3,2)&lt;6,--((C38:AG38="DM"))+(C38:AG38="CS1")+((C38:AG38="CS2"))+(C38:AG38="SB1")+(C38:AG38="AE")+(C38:AG38="EM"))</f>
        <v>0</v>
      </c>
      <c r="AR38" s="67"/>
      <c r="AS38" s="38" t="n">
        <f aca="false">SUMPRODUCT(--WEEKDAY(C$3:AG$3,2)&gt;5,--((C38:AG38="DM"))+(C38:AG38="CS1")+((C38:AG38="CS2"))+(C38:AG38="SB1")+(C38:AG38="AE")+(C38:AG38="EM"))</f>
        <v>0</v>
      </c>
      <c r="AT38" s="67"/>
      <c r="AU38" s="38" t="n">
        <f aca="false">(AQ38-AR38)/2+(AS38-AT38)</f>
        <v>0</v>
      </c>
      <c r="AV38" s="38" t="n">
        <f aca="false">AI38+AJ38+AK38+AL38+AN38+AO38</f>
        <v>0</v>
      </c>
      <c r="AW38" s="38" t="n">
        <f aca="false">BG38+BH38+BJ38+BE38+BC38+BA38+BL38</f>
        <v>0</v>
      </c>
      <c r="AX38" s="38" t="e">
        <f aca="false">AU38+AY38</f>
        <v>#VALUE!</v>
      </c>
      <c r="AY38" s="37" t="e">
        <f aca="false">(BJ38*('Setting key Duty'!$I$8+'Setting key Duty'!$I$12))+(BH38*'Setting key Duty'!$I$9)+(BC38*('Setting key Duty'!$I$13+'Setting key Duty'!$I$9))+(BA38*('Setting key Duty'!$I$13+'Setting key Duty'!$I$12+'Setting key Duty'!$I$11))+(BE38*('Setting key Duty'!$I$8+'Setting key Duty'!$I$9+'Setting key Duty'!$I$12))</f>
        <v>#VALUE!</v>
      </c>
      <c r="AZ38" s="37" t="n">
        <f aca="false">COUNTIF(C38:Y38,"*BRT*")</f>
        <v>0</v>
      </c>
      <c r="BA38" s="37" t="n">
        <f aca="false">COUNTIF(A38:AI38,"*$BTP*")</f>
        <v>0</v>
      </c>
      <c r="BB38" s="37" t="e">
        <f aca="false">BA38*('Setting key Duty'!$I$13+'Setting key Duty'!$I$12+'Setting key Duty'!$I$11)</f>
        <v>#VALUE!</v>
      </c>
      <c r="BC38" s="37" t="n">
        <f aca="false">COUNTIF(D38:AI38,"*$L*")</f>
        <v>0</v>
      </c>
      <c r="BD38" s="37" t="e">
        <f aca="false">BC38*('Setting key Duty'!$I$13+'Setting key Duty'!$I$9)</f>
        <v>#VALUE!</v>
      </c>
      <c r="BE38" s="37" t="n">
        <f aca="false">COUNTIF(D38:AI38,"*$M*")</f>
        <v>0</v>
      </c>
      <c r="BF38" s="37" t="n">
        <f aca="false">BE38*('Setting key Duty'!$I$8+'Setting key Duty'!$I$9+'Setting key Duty'!$I$12)</f>
        <v>0</v>
      </c>
      <c r="BG38" s="37" t="n">
        <f aca="false">COUNTIF(D38:AI38,"*$N*")</f>
        <v>0</v>
      </c>
      <c r="BH38" s="37" t="n">
        <f aca="false">COUNTIF(D38:AI38,"*$PM*")</f>
        <v>0</v>
      </c>
      <c r="BI38" s="37" t="n">
        <f aca="false">BH38*('Setting key Duty'!$I$9)</f>
        <v>0</v>
      </c>
      <c r="BJ38" s="37" t="n">
        <f aca="false">COUNTIF(D38:AI38,"*$AM*")</f>
        <v>0</v>
      </c>
      <c r="BK38" s="37" t="n">
        <f aca="false">BJ38*('Setting key Duty'!$I$12+'Setting key Duty'!$I$8)</f>
        <v>0</v>
      </c>
      <c r="BL38" s="37" t="n">
        <f aca="false">COUNTIF(C38:AI38,"*$FC*")</f>
        <v>0</v>
      </c>
      <c r="BM38" s="37" t="n">
        <f aca="false">BL38*('Setting key Duty'!$J$11+'Setting key Duty'!$I$8)</f>
        <v>0</v>
      </c>
      <c r="BN38" s="37" t="n">
        <f aca="false">COUNTIF($C38:$AG38,BN$4)</f>
        <v>0</v>
      </c>
      <c r="BO38" s="37" t="n">
        <f aca="false">COUNTIF($C38:$AG38,BO$4)</f>
        <v>0</v>
      </c>
      <c r="BP38" s="37"/>
      <c r="BQ38" s="68"/>
    </row>
    <row r="39" customFormat="false" ht="19.5" hidden="false" customHeight="true" outlineLevel="0" collapsed="false">
      <c r="A39" s="30"/>
      <c r="B39" s="59" t="s">
        <v>410</v>
      </c>
      <c r="C39" s="116"/>
      <c r="D39" s="45" t="s">
        <v>93</v>
      </c>
      <c r="E39" s="42"/>
      <c r="F39" s="47"/>
      <c r="G39" s="45" t="s">
        <v>65</v>
      </c>
      <c r="H39" s="33"/>
      <c r="I39" s="45" t="s">
        <v>93</v>
      </c>
      <c r="J39" s="42" t="s">
        <v>69</v>
      </c>
      <c r="L39" s="45"/>
      <c r="M39" s="42" t="s">
        <v>65</v>
      </c>
      <c r="N39" s="116"/>
      <c r="O39" s="45" t="s">
        <v>93</v>
      </c>
      <c r="Q39" s="45" t="s">
        <v>65</v>
      </c>
      <c r="R39" s="32"/>
      <c r="S39" s="32"/>
      <c r="T39" s="32" t="s">
        <v>65</v>
      </c>
      <c r="U39" s="45" t="s">
        <v>93</v>
      </c>
      <c r="V39" s="45" t="s">
        <v>93</v>
      </c>
      <c r="W39" s="45" t="s">
        <v>65</v>
      </c>
      <c r="Y39" s="45" t="s">
        <v>93</v>
      </c>
      <c r="Z39" s="98"/>
      <c r="AA39" s="32" t="s">
        <v>65</v>
      </c>
      <c r="AC39" s="45" t="s">
        <v>93</v>
      </c>
      <c r="AE39" s="45" t="s">
        <v>93</v>
      </c>
      <c r="AF39" s="45" t="s">
        <v>65</v>
      </c>
      <c r="AG39" s="116"/>
      <c r="AH39" s="32"/>
      <c r="AI39" s="35"/>
      <c r="AJ39" s="36"/>
      <c r="AK39" s="35"/>
      <c r="AL39" s="66"/>
      <c r="AM39" s="66"/>
      <c r="AN39" s="66"/>
      <c r="AO39" s="66"/>
      <c r="AP39" s="67"/>
      <c r="AQ39" s="37" t="n">
        <f aca="false">SUMPRODUCT(--WEEKDAY(C$3:AG$3,2)&lt;6,--((C39:AG39="DM"))+(C39:AG39="CS1")+((C39:AG39="CS2"))+(C39:AG39="SB1")+(C39:AG39="AE")+(C39:AG39="EM"))</f>
        <v>4</v>
      </c>
      <c r="AR39" s="67"/>
      <c r="AS39" s="38" t="n">
        <f aca="false">SUMPRODUCT(--WEEKDAY(C$3:AG$3,2)&gt;5,--((C39:AG39="DM"))+(C39:AG39="CS1")+((C39:AG39="CS2"))+(C39:AG39="SB1")+(C39:AG39="AE")+(C39:AG39="EM"))</f>
        <v>3</v>
      </c>
      <c r="AT39" s="67"/>
      <c r="AU39" s="38" t="n">
        <f aca="false">(AQ39-AR39)/2+(AS39-AT39)</f>
        <v>5</v>
      </c>
      <c r="AV39" s="38" t="n">
        <f aca="false">AI39+AJ39+AK39+AL39+AN39+AO39</f>
        <v>0</v>
      </c>
      <c r="AW39" s="38" t="n">
        <f aca="false">BG39+BH39+BJ39+BE39+BC39+BA39+BL39</f>
        <v>0</v>
      </c>
      <c r="AX39" s="38" t="e">
        <f aca="false">AU39+AY39</f>
        <v>#VALUE!</v>
      </c>
      <c r="AY39" s="37" t="e">
        <f aca="false">(BJ39*('Setting key Duty'!$I$8+'Setting key Duty'!$I$12))+(BH39*'Setting key Duty'!$I$9)+(BC39*('Setting key Duty'!$I$13+'Setting key Duty'!$I$9))+(BA39*('Setting key Duty'!$I$13+'Setting key Duty'!$I$12+'Setting key Duty'!$I$11))+(BE39*('Setting key Duty'!$I$8+'Setting key Duty'!$I$9+'Setting key Duty'!$I$12))</f>
        <v>#VALUE!</v>
      </c>
      <c r="AZ39" s="37" t="n">
        <f aca="false">COUNTIF(C39:Y39,"*BRT*")</f>
        <v>0</v>
      </c>
      <c r="BA39" s="37" t="n">
        <f aca="false">COUNTIF(A39:AI39,"*$BTP*")</f>
        <v>0</v>
      </c>
      <c r="BB39" s="37" t="e">
        <f aca="false">BA39*('Setting key Duty'!$I$13+'Setting key Duty'!$I$12+'Setting key Duty'!$I$11)</f>
        <v>#VALUE!</v>
      </c>
      <c r="BC39" s="37" t="n">
        <f aca="false">COUNTIF(D39:AI39,"*$L*")</f>
        <v>0</v>
      </c>
      <c r="BD39" s="37" t="e">
        <f aca="false">BC39*('Setting key Duty'!$I$13+'Setting key Duty'!$I$9)</f>
        <v>#VALUE!</v>
      </c>
      <c r="BE39" s="37" t="n">
        <f aca="false">COUNTIF(D39:AI39,"*$M*")</f>
        <v>0</v>
      </c>
      <c r="BF39" s="37" t="n">
        <f aca="false">BE39*('Setting key Duty'!$I$8+'Setting key Duty'!$I$9+'Setting key Duty'!$I$12)</f>
        <v>0</v>
      </c>
      <c r="BG39" s="37" t="n">
        <f aca="false">COUNTIF(D39:AI39,"*$N*")</f>
        <v>0</v>
      </c>
      <c r="BH39" s="37" t="n">
        <f aca="false">COUNTIF(D39:AI39,"*$PM*")</f>
        <v>0</v>
      </c>
      <c r="BI39" s="37" t="n">
        <f aca="false">BH39*('Setting key Duty'!$I$9)</f>
        <v>0</v>
      </c>
      <c r="BJ39" s="37" t="n">
        <f aca="false">COUNTIF(D39:AI39,"*$AM*")</f>
        <v>0</v>
      </c>
      <c r="BK39" s="37" t="n">
        <f aca="false">BJ39*('Setting key Duty'!$I$12+'Setting key Duty'!$I$8)</f>
        <v>0</v>
      </c>
      <c r="BL39" s="37" t="n">
        <f aca="false">COUNTIF(C39:AI39,"*$FC*")</f>
        <v>0</v>
      </c>
      <c r="BM39" s="37" t="n">
        <f aca="false">BL39*('Setting key Duty'!$J$11+'Setting key Duty'!$I$8)</f>
        <v>0</v>
      </c>
      <c r="BN39" s="37" t="n">
        <f aca="false">COUNTIF($C39:$AG39,BN$4)</f>
        <v>0</v>
      </c>
      <c r="BO39" s="37" t="n">
        <f aca="false">COUNTIF($C39:$AG39,BO$4)</f>
        <v>0</v>
      </c>
      <c r="BP39" s="37"/>
      <c r="BQ39" s="68"/>
    </row>
    <row r="40" customFormat="false" ht="19.5" hidden="false" customHeight="true" outlineLevel="0" collapsed="false">
      <c r="A40" s="30"/>
      <c r="B40" s="64"/>
      <c r="C40" s="116"/>
      <c r="D40" s="42"/>
      <c r="E40" s="33"/>
      <c r="F40" s="33"/>
      <c r="G40" s="33"/>
      <c r="H40" s="33"/>
      <c r="I40" s="33"/>
      <c r="J40" s="42"/>
      <c r="K40" s="45"/>
      <c r="L40" s="45"/>
      <c r="M40" s="63"/>
      <c r="N40" s="116"/>
      <c r="O40" s="45"/>
      <c r="P40" s="42"/>
      <c r="Q40" s="33"/>
      <c r="R40" s="33"/>
      <c r="S40" s="33"/>
      <c r="T40" s="116"/>
      <c r="U40" s="33"/>
      <c r="V40" s="42"/>
      <c r="W40" s="33"/>
      <c r="X40" s="42"/>
      <c r="Y40" s="33"/>
      <c r="Z40" s="33"/>
      <c r="AA40" s="33"/>
      <c r="AB40" s="33"/>
      <c r="AC40" s="33"/>
      <c r="AD40" s="42"/>
      <c r="AE40" s="42"/>
      <c r="AF40" s="42"/>
      <c r="AG40" s="116"/>
      <c r="AH40" s="42"/>
      <c r="AI40" s="35"/>
      <c r="AJ40" s="36"/>
      <c r="AK40" s="35"/>
      <c r="AL40" s="66"/>
      <c r="AM40" s="66"/>
      <c r="AN40" s="66"/>
      <c r="AO40" s="66"/>
      <c r="AP40" s="67"/>
      <c r="AQ40" s="37" t="n">
        <f aca="false">SUMPRODUCT(--WEEKDAY(C$3:AG$3,2)&lt;6,--((C40:AG40="DM"))+(C40:AG40="CS1")+((C40:AG40="CS2"))+(C40:AG40="SB1")+(C40:AG40="AE")+(C40:AG40="EM"))</f>
        <v>0</v>
      </c>
      <c r="AR40" s="67"/>
      <c r="AS40" s="38" t="n">
        <f aca="false">SUMPRODUCT(--WEEKDAY(C$3:AG$3,2)&gt;5,--((C40:AG40="DM"))+(C40:AG40="CS1")+((C40:AG40="CS2"))+(C40:AG40="SB1")+(C40:AG40="AE")+(C40:AG40="EM"))</f>
        <v>0</v>
      </c>
      <c r="AT40" s="67"/>
      <c r="AU40" s="38" t="n">
        <f aca="false">(AQ40-AR40)/2+(AS40-AT40)</f>
        <v>0</v>
      </c>
      <c r="AV40" s="38" t="n">
        <f aca="false">AI40+AJ40+AK40+AL40+AN40+AO40</f>
        <v>0</v>
      </c>
      <c r="AW40" s="38" t="n">
        <f aca="false">BG40+BH40+BJ40+BE40+BC40+BA40+BL40</f>
        <v>0</v>
      </c>
      <c r="AX40" s="38" t="e">
        <f aca="false">AU40+AY40</f>
        <v>#VALUE!</v>
      </c>
      <c r="AY40" s="37" t="e">
        <f aca="false">(BJ40*('Setting key Duty'!$I$8+'Setting key Duty'!$I$12))+(BH40*'Setting key Duty'!$I$9)+(BC40*('Setting key Duty'!$I$13+'Setting key Duty'!$I$9))+(BA40*('Setting key Duty'!$I$13+'Setting key Duty'!$I$12+'Setting key Duty'!$I$11))+(BE40*('Setting key Duty'!$I$8+'Setting key Duty'!$I$9+'Setting key Duty'!$I$12))</f>
        <v>#VALUE!</v>
      </c>
      <c r="AZ40" s="37" t="n">
        <f aca="false">COUNTIF(C40:Y40,"*BRT*")</f>
        <v>0</v>
      </c>
      <c r="BA40" s="37" t="n">
        <f aca="false">COUNTIF(A40:AI40,"*$BTP*")</f>
        <v>0</v>
      </c>
      <c r="BB40" s="37" t="e">
        <f aca="false">BA40*('Setting key Duty'!$I$13+'Setting key Duty'!$I$12+'Setting key Duty'!$I$11)</f>
        <v>#VALUE!</v>
      </c>
      <c r="BC40" s="37" t="n">
        <f aca="false">COUNTIF(D40:AI40,"*$L*")</f>
        <v>0</v>
      </c>
      <c r="BD40" s="37" t="e">
        <f aca="false">BC40*('Setting key Duty'!$I$13+'Setting key Duty'!$I$9)</f>
        <v>#VALUE!</v>
      </c>
      <c r="BE40" s="37" t="n">
        <f aca="false">COUNTIF(D40:AI40,"*$M*")</f>
        <v>0</v>
      </c>
      <c r="BF40" s="37" t="n">
        <f aca="false">BE40*('Setting key Duty'!$I$8+'Setting key Duty'!$I$9+'Setting key Duty'!$I$12)</f>
        <v>0</v>
      </c>
      <c r="BG40" s="37" t="n">
        <f aca="false">COUNTIF(D40:AI40,"*$N*")</f>
        <v>0</v>
      </c>
      <c r="BH40" s="37" t="n">
        <f aca="false">COUNTIF(D40:AI40,"*$PM*")</f>
        <v>0</v>
      </c>
      <c r="BI40" s="37" t="n">
        <f aca="false">BH40*('Setting key Duty'!$I$9)</f>
        <v>0</v>
      </c>
      <c r="BJ40" s="37" t="n">
        <f aca="false">COUNTIF(D40:AI40,"*$AM*")</f>
        <v>0</v>
      </c>
      <c r="BK40" s="37" t="n">
        <f aca="false">BJ40*('Setting key Duty'!$I$12+'Setting key Duty'!$I$8)</f>
        <v>0</v>
      </c>
      <c r="BL40" s="37" t="n">
        <f aca="false">COUNTIF(C40:AI40,"*$FC*")</f>
        <v>0</v>
      </c>
      <c r="BM40" s="37" t="n">
        <f aca="false">BL40*('Setting key Duty'!$J$11+'Setting key Duty'!$I$8)</f>
        <v>0</v>
      </c>
      <c r="BN40" s="37" t="n">
        <f aca="false">COUNTIF($C40:$AG40,BN$4)</f>
        <v>0</v>
      </c>
      <c r="BO40" s="37" t="n">
        <f aca="false">COUNTIF($C40:$AG40,BO$4)</f>
        <v>0</v>
      </c>
      <c r="BP40" s="37"/>
      <c r="BQ40" s="68"/>
    </row>
    <row r="41" customFormat="false" ht="19.5" hidden="false" customHeight="true" outlineLevel="0" collapsed="false">
      <c r="A41" s="30"/>
      <c r="B41" s="64" t="s">
        <v>148</v>
      </c>
      <c r="C41" s="125"/>
      <c r="D41" s="42"/>
      <c r="E41" s="42"/>
      <c r="F41" s="42"/>
      <c r="G41" s="42"/>
      <c r="H41" s="42"/>
      <c r="I41" s="42"/>
      <c r="J41" s="42"/>
      <c r="K41" s="42"/>
      <c r="L41" s="42"/>
      <c r="N41" s="116"/>
      <c r="O41" s="42"/>
      <c r="P41" s="42"/>
      <c r="Q41" s="33"/>
      <c r="R41" s="33"/>
      <c r="S41" s="42"/>
      <c r="T41" s="116"/>
      <c r="U41" s="34"/>
      <c r="V41" s="42"/>
      <c r="W41" s="42"/>
      <c r="X41" s="42"/>
      <c r="Y41" s="62"/>
      <c r="Z41" s="62"/>
      <c r="AA41" s="62"/>
      <c r="AB41" s="62"/>
      <c r="AC41" s="62"/>
      <c r="AD41" s="62"/>
      <c r="AE41" s="42"/>
      <c r="AF41" s="42"/>
      <c r="AG41" s="116"/>
      <c r="AH41" s="42"/>
      <c r="AI41" s="35" t="n">
        <f aca="false">COUNTIF($C41:$AG41,AI$4)</f>
        <v>0</v>
      </c>
      <c r="AJ41" s="36" t="n">
        <f aca="false">COUNTIF($C41:$AG41,AJ$4)</f>
        <v>0</v>
      </c>
      <c r="AK41" s="35" t="n">
        <f aca="false">COUNTIF($C41:$AG41,AK$4)</f>
        <v>0</v>
      </c>
      <c r="AL41" s="66" t="n">
        <f aca="false">COUNTIF($C41:$AG41,AL$4)</f>
        <v>0</v>
      </c>
      <c r="AM41" s="66" t="n">
        <f aca="false">COUNTIF($C41:$AG41,AM$4)</f>
        <v>0</v>
      </c>
      <c r="AN41" s="66" t="n">
        <f aca="false">COUNTIF($C41:$AG41,AN$4)</f>
        <v>0</v>
      </c>
      <c r="AO41" s="66" t="n">
        <f aca="false">COUNTIF($C41:$AG41,AO$4)</f>
        <v>0</v>
      </c>
      <c r="AP41" s="67"/>
      <c r="AQ41" s="37"/>
      <c r="AR41" s="67"/>
      <c r="AS41" s="38"/>
      <c r="AT41" s="67"/>
      <c r="AU41" s="67"/>
      <c r="AV41" s="38"/>
      <c r="AW41" s="38"/>
      <c r="AX41" s="38"/>
      <c r="AY41" s="37"/>
      <c r="AZ41" s="37"/>
      <c r="BA41" s="37"/>
      <c r="BB41" s="37"/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  <c r="BN41" s="66"/>
      <c r="BO41" s="66"/>
      <c r="BP41" s="66"/>
      <c r="BQ41" s="68"/>
    </row>
    <row r="42" customFormat="false" ht="19.5" hidden="false" customHeight="true" outlineLevel="0" collapsed="false">
      <c r="A42" s="30"/>
      <c r="B42" s="69"/>
      <c r="C42" s="70"/>
      <c r="D42" s="71"/>
      <c r="E42" s="71"/>
      <c r="F42" s="71"/>
      <c r="G42" s="71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  <c r="AA42" s="70"/>
      <c r="AB42" s="70"/>
      <c r="AC42" s="70"/>
      <c r="AD42" s="70"/>
      <c r="AE42" s="70"/>
      <c r="AF42" s="70"/>
      <c r="AG42" s="70"/>
      <c r="AH42" s="110"/>
      <c r="AI42" s="72"/>
      <c r="AJ42" s="73"/>
      <c r="AK42" s="72"/>
      <c r="AL42" s="74"/>
      <c r="AM42" s="74"/>
      <c r="AN42" s="74"/>
      <c r="AO42" s="74"/>
      <c r="AP42" s="75"/>
      <c r="AQ42" s="75"/>
      <c r="AR42" s="75"/>
      <c r="AS42" s="75" t="n">
        <f aca="false">SUMPRODUCT(--WEEKDAY(C$3:AG$3,2)&gt;5,--((C42:AG42="DM"))+(C42:AG42="CS1")+((C42:AG42="CS2"))+(C42:AG42="SB1")+(C42:AG42="AE")+(C42:AG42="EM"))</f>
        <v>0</v>
      </c>
      <c r="AT42" s="75"/>
      <c r="AU42" s="75" t="n">
        <f aca="false">(AQ42-AR42)/2+(AS42-AT42)</f>
        <v>0</v>
      </c>
      <c r="AV42" s="75"/>
      <c r="AW42" s="75"/>
      <c r="AX42" s="75"/>
      <c r="AY42" s="74"/>
      <c r="AZ42" s="74"/>
      <c r="BA42" s="74"/>
      <c r="BB42" s="74"/>
      <c r="BC42" s="74"/>
      <c r="BD42" s="74"/>
      <c r="BE42" s="74"/>
      <c r="BF42" s="74"/>
      <c r="BG42" s="74"/>
      <c r="BH42" s="74"/>
      <c r="BI42" s="74"/>
      <c r="BJ42" s="74"/>
      <c r="BK42" s="74"/>
      <c r="BL42" s="74"/>
      <c r="BM42" s="74"/>
      <c r="BN42" s="74"/>
      <c r="BO42" s="74"/>
      <c r="BP42" s="74"/>
      <c r="BQ42" s="76"/>
    </row>
    <row r="43" customFormat="false" ht="19.5" hidden="false" customHeight="true" outlineLevel="0" collapsed="false">
      <c r="A43" s="30"/>
      <c r="B43" s="77" t="s">
        <v>57</v>
      </c>
      <c r="C43" s="78" t="str">
        <f aca="false">VLOOKUP("DM",C4:C41,1,FALSE())</f>
        <v>DM</v>
      </c>
      <c r="D43" s="78" t="str">
        <f aca="false">VLOOKUP("DM",D4:D41,1,FALSE())</f>
        <v>DM</v>
      </c>
      <c r="E43" s="78" t="str">
        <f aca="false">VLOOKUP("DM",E1:E41,1,FALSE())</f>
        <v>DM</v>
      </c>
      <c r="F43" s="78" t="str">
        <f aca="false">VLOOKUP("DM",F4:F41,1,FALSE())</f>
        <v>DM</v>
      </c>
      <c r="G43" s="78" t="str">
        <f aca="false">VLOOKUP("DM",G4:G41,1,FALSE())</f>
        <v>DM</v>
      </c>
      <c r="H43" s="78" t="str">
        <f aca="false">VLOOKUP("DM",H4:H41,1,FALSE())</f>
        <v>DM</v>
      </c>
      <c r="I43" s="78" t="str">
        <f aca="false">VLOOKUP("DM",I4:I41,1,FALSE())</f>
        <v>DM</v>
      </c>
      <c r="J43" s="78" t="str">
        <f aca="false">VLOOKUP("DM",J4:J41,1,FALSE())</f>
        <v>DM</v>
      </c>
      <c r="K43" s="78" t="str">
        <f aca="false">VLOOKUP("DM",K4:K41,1,FALSE())</f>
        <v>DM</v>
      </c>
      <c r="L43" s="78" t="str">
        <f aca="false">VLOOKUP("DM",L4:L41,1,FALSE())</f>
        <v>DM</v>
      </c>
      <c r="M43" s="78" t="str">
        <f aca="false">VLOOKUP("DM",M4:M27,1,FALSE())</f>
        <v>DM</v>
      </c>
      <c r="N43" s="78" t="str">
        <f aca="false">VLOOKUP("DM",N4:N41,1,FALSE())</f>
        <v>DM</v>
      </c>
      <c r="O43" s="78" t="str">
        <f aca="false">VLOOKUP("DM",O4:O41,1,FALSE())</f>
        <v>DM</v>
      </c>
      <c r="P43" s="78" t="str">
        <f aca="false">VLOOKUP("DM",P4:P41,1,FALSE())</f>
        <v>DM</v>
      </c>
      <c r="Q43" s="78" t="str">
        <f aca="false">VLOOKUP("DM",Q4:Q30,1,FALSE())</f>
        <v>DM</v>
      </c>
      <c r="R43" s="78" t="str">
        <f aca="false">VLOOKUP("DM",R4:R25,1,FALSE())</f>
        <v>DM</v>
      </c>
      <c r="S43" s="78" t="str">
        <f aca="false">VLOOKUP("DM",S4:S41,1,FALSE())</f>
        <v>DM</v>
      </c>
      <c r="T43" s="78" t="str">
        <f aca="false">VLOOKUP("DM",T4:T41,1,FALSE())</f>
        <v>DM</v>
      </c>
      <c r="U43" s="78" t="str">
        <f aca="false">VLOOKUP("DM",U4:U41,1,FALSE())</f>
        <v>DM</v>
      </c>
      <c r="V43" s="78" t="str">
        <f aca="false">VLOOKUP("DM",V4:V25,1,FALSE())</f>
        <v>DM</v>
      </c>
      <c r="W43" s="78" t="str">
        <f aca="false">VLOOKUP("DM",W4:W25,1,FALSE())</f>
        <v>DM</v>
      </c>
      <c r="X43" s="78" t="str">
        <f aca="false">VLOOKUP("DM",X4:X41,1,FALSE())</f>
        <v>DM</v>
      </c>
      <c r="Y43" s="78" t="str">
        <f aca="false">VLOOKUP("DM",Y4:Y41,1,FALSE())</f>
        <v>DM</v>
      </c>
      <c r="Z43" s="78" t="str">
        <f aca="false">VLOOKUP("DM",Z4:Z41,1,FALSE())</f>
        <v>DM</v>
      </c>
      <c r="AA43" s="78" t="str">
        <f aca="false">VLOOKUP("DM",AA1:AA41,1,FALSE())</f>
        <v>DM</v>
      </c>
      <c r="AB43" s="78" t="str">
        <f aca="false">VLOOKUP("DM",AB4:AB41,1,FALSE())</f>
        <v>DM</v>
      </c>
      <c r="AC43" s="78" t="str">
        <f aca="false">VLOOKUP("DM",AC4:AC41,1,FALSE())</f>
        <v>DM</v>
      </c>
      <c r="AD43" s="78" t="str">
        <f aca="false">VLOOKUP("DM",AD4:AD41,1,FALSE())</f>
        <v>DM</v>
      </c>
      <c r="AE43" s="78" t="str">
        <f aca="false">VLOOKUP("DM",AE4:AE41,1,FALSE())</f>
        <v>DM</v>
      </c>
      <c r="AF43" s="78" t="str">
        <f aca="false">VLOOKUP("DM",AF4:AF41,1,FALSE())</f>
        <v>DM</v>
      </c>
      <c r="AG43" s="78" t="str">
        <f aca="false">VLOOKUP("DM",AG4:AG41,1,FALSE())</f>
        <v>DM</v>
      </c>
      <c r="AH43" s="78" t="str">
        <f aca="false">VLOOKUP("DM",AH4:AH41,1,FALSE())</f>
        <v>DM</v>
      </c>
      <c r="AI43" s="35"/>
      <c r="AJ43" s="36"/>
      <c r="AK43" s="35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  <c r="BA43" s="37"/>
      <c r="BB43" s="37"/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  <c r="BN43" s="37"/>
      <c r="BO43" s="37"/>
      <c r="BP43" s="37"/>
      <c r="BQ43" s="39"/>
    </row>
    <row r="44" customFormat="false" ht="19.5" hidden="false" customHeight="true" outlineLevel="0" collapsed="false">
      <c r="A44" s="30" t="e">
        <f aca="false">lte()</f>
        <v>#NAME?</v>
      </c>
      <c r="B44" s="79" t="s">
        <v>56</v>
      </c>
      <c r="C44" s="78" t="str">
        <f aca="false">VLOOKUP("CS1",C5:C41,1,FALSE())</f>
        <v>CS1</v>
      </c>
      <c r="D44" s="78" t="str">
        <f aca="false">VLOOKUP("CS1",D1:D41,1,FALSE())</f>
        <v>CS1</v>
      </c>
      <c r="E44" s="78" t="str">
        <f aca="false">VLOOKUP("CS1",E1:E41,1,FALSE())</f>
        <v>CS1</v>
      </c>
      <c r="F44" s="78" t="str">
        <f aca="false">VLOOKUP("CS1",F8:F41,1,FALSE())</f>
        <v>CS1</v>
      </c>
      <c r="G44" s="78" t="str">
        <f aca="false">VLOOKUP("CS1",G1:G41,1,FALSE())</f>
        <v>CS1</v>
      </c>
      <c r="H44" s="78" t="str">
        <f aca="false">VLOOKUP("CS1",H6:H41,1,FALSE())</f>
        <v>CS1</v>
      </c>
      <c r="I44" s="78" t="str">
        <f aca="false">VLOOKUP("CS1",I7:I41,1,FALSE())</f>
        <v>CS1</v>
      </c>
      <c r="J44" s="78" t="str">
        <f aca="false">VLOOKUP("CS1",J4:J41,1,FALSE())</f>
        <v>CS1</v>
      </c>
      <c r="K44" s="78" t="str">
        <f aca="false">VLOOKUP("CS1",K1:K41,1,FALSE())</f>
        <v>CS1</v>
      </c>
      <c r="L44" s="78" t="str">
        <f aca="false">VLOOKUP("CS1",L1:L41,1,FALSE())</f>
        <v>CS1</v>
      </c>
      <c r="M44" s="78" t="str">
        <f aca="false">VLOOKUP("CS1",M7:M27,1,FALSE())</f>
        <v>CS1</v>
      </c>
      <c r="N44" s="78" t="str">
        <f aca="false">VLOOKUP("CS1",N6:N41,1,FALSE())</f>
        <v>CS1</v>
      </c>
      <c r="O44" s="78" t="str">
        <f aca="false">VLOOKUP("CS1",O1:O41,1,FALSE())</f>
        <v>CS1</v>
      </c>
      <c r="P44" s="78" t="str">
        <f aca="false">VLOOKUP("CS1",P5:P41,1,FALSE())</f>
        <v>CS1</v>
      </c>
      <c r="Q44" s="78" t="str">
        <f aca="false">VLOOKUP("CS1",Q6:Q30,1,FALSE())</f>
        <v>CS1</v>
      </c>
      <c r="R44" s="78" t="str">
        <f aca="false">VLOOKUP("CS1",R6:R25,1,FALSE())</f>
        <v>CS1</v>
      </c>
      <c r="S44" s="78" t="str">
        <f aca="false">VLOOKUP("CS1",S1:S41,1,FALSE())</f>
        <v>CS1</v>
      </c>
      <c r="T44" s="78" t="str">
        <f aca="false">VLOOKUP("CS1",T1:T41,1,FALSE())</f>
        <v>CS1</v>
      </c>
      <c r="U44" s="78" t="str">
        <f aca="false">VLOOKUP("CS1",U6:U41,1,FALSE())</f>
        <v>CS1</v>
      </c>
      <c r="V44" s="78" t="str">
        <f aca="false">VLOOKUP("CS1",V1:V35,1,FALSE())</f>
        <v>CS1</v>
      </c>
      <c r="W44" s="78" t="str">
        <f aca="false">VLOOKUP("CS1",W1:W25,1,FALSE())</f>
        <v>CS1</v>
      </c>
      <c r="X44" s="78" t="str">
        <f aca="false">VLOOKUP("CS1",X1:X41,1,FALSE())</f>
        <v>CS1</v>
      </c>
      <c r="Y44" s="78" t="str">
        <f aca="false">VLOOKUP("CS1",Y8:Y41,1,FALSE())</f>
        <v>CS1</v>
      </c>
      <c r="Z44" s="78" t="str">
        <f aca="false">VLOOKUP("CS1",Z1:Z41,1,FALSE())</f>
        <v>CS1</v>
      </c>
      <c r="AA44" s="78" t="str">
        <f aca="false">VLOOKUP("CS1",AA1:AA41,1,FALSE())</f>
        <v>CS1</v>
      </c>
      <c r="AB44" s="78" t="str">
        <f aca="false">VLOOKUP("CS1",AB5:AB41,1,FALSE())</f>
        <v>CS1</v>
      </c>
      <c r="AC44" s="78" t="str">
        <f aca="false">VLOOKUP("CS1",AC1:AC41,1,FALSE())</f>
        <v>CS1</v>
      </c>
      <c r="AD44" s="78" t="str">
        <f aca="false">VLOOKUP("CS1",AD1:AD41,1,FALSE())</f>
        <v>CS1</v>
      </c>
      <c r="AE44" s="78" t="str">
        <f aca="false">VLOOKUP("CS1",AE1:AE41,1,FALSE())</f>
        <v>CS1</v>
      </c>
      <c r="AF44" s="78" t="str">
        <f aca="false">VLOOKUP("CS1",AF7:AF41,1,FALSE())</f>
        <v>CS1</v>
      </c>
      <c r="AG44" s="78" t="str">
        <f aca="false">VLOOKUP("CS1",AG1:AG41,1,FALSE())</f>
        <v>CS1</v>
      </c>
      <c r="AH44" s="78" t="str">
        <f aca="false">VLOOKUP("CS1",AH1:AH41,1,FALSE())</f>
        <v>CS1</v>
      </c>
      <c r="AI44" s="35"/>
      <c r="AJ44" s="36"/>
      <c r="AK44" s="35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  <c r="BN44" s="37"/>
      <c r="BO44" s="37"/>
      <c r="BP44" s="37"/>
      <c r="BQ44" s="39"/>
    </row>
    <row r="45" customFormat="false" ht="19.5" hidden="false" customHeight="true" outlineLevel="0" collapsed="false">
      <c r="A45" s="30"/>
      <c r="B45" s="80" t="s">
        <v>59</v>
      </c>
      <c r="C45" s="78" t="str">
        <f aca="false">VLOOKUP("CS2",C6:C41,1,FALSE())</f>
        <v>CS2</v>
      </c>
      <c r="D45" s="78" t="str">
        <f aca="false">VLOOKUP("CS2",D9:D41,1,FALSE())</f>
        <v>CS2</v>
      </c>
      <c r="E45" s="78" t="str">
        <f aca="false">VLOOKUP("CS2",E8:E41,1,FALSE())</f>
        <v>CS2</v>
      </c>
      <c r="F45" s="78" t="str">
        <f aca="false">VLOOKUP("CS2",F8:F41,1,FALSE())</f>
        <v>CS2</v>
      </c>
      <c r="G45" s="78" t="str">
        <f aca="false">VLOOKUP("CS2",G1:G41,1,FALSE())</f>
        <v>CS2</v>
      </c>
      <c r="H45" s="78" t="str">
        <f aca="false">VLOOKUP("CS2",H1:H41,1,FALSE())</f>
        <v>CS2</v>
      </c>
      <c r="I45" s="78" t="str">
        <f aca="false">VLOOKUP("CS2",I7:I41,1,FALSE())</f>
        <v>CS2</v>
      </c>
      <c r="J45" s="78" t="str">
        <f aca="false">VLOOKUP("CS2",J4:J41,1,FALSE())</f>
        <v>CS2</v>
      </c>
      <c r="K45" s="78" t="str">
        <f aca="false">VLOOKUP("CS2",K5:K41,1,FALSE())</f>
        <v>CS2</v>
      </c>
      <c r="L45" s="78" t="str">
        <f aca="false">VLOOKUP("CS2",L4:L41,1,FALSE())</f>
        <v>CS2</v>
      </c>
      <c r="M45" s="78" t="str">
        <f aca="false">VLOOKUP("CS2",M1:M27,1,FALSE())</f>
        <v>CS2</v>
      </c>
      <c r="N45" s="78" t="str">
        <f aca="false">VLOOKUP("CS2",N1:N41,1,FALSE())</f>
        <v>CS2</v>
      </c>
      <c r="O45" s="78" t="str">
        <f aca="false">VLOOKUP("CS2",O1:O41,1,FALSE())</f>
        <v>CS2</v>
      </c>
      <c r="P45" s="78" t="str">
        <f aca="false">VLOOKUP("CS2",P1:P41,1,FALSE())</f>
        <v>CS2</v>
      </c>
      <c r="Q45" s="78" t="str">
        <f aca="false">VLOOKUP("CS2",Q6:Q30,1,FALSE())</f>
        <v>CS2</v>
      </c>
      <c r="R45" s="78" t="str">
        <f aca="false">VLOOKUP("CS2",R6:R25,1,FALSE())</f>
        <v>CS2</v>
      </c>
      <c r="S45" s="78" t="str">
        <f aca="false">VLOOKUP("CS2",S1:S41,1,FALSE())</f>
        <v>CS2</v>
      </c>
      <c r="T45" s="78" t="str">
        <f aca="false">VLOOKUP("CS2",T1:T41,1,FALSE())</f>
        <v>CS2</v>
      </c>
      <c r="U45" s="78" t="str">
        <f aca="false">VLOOKUP("CS2",U1:U41,1,FALSE())</f>
        <v>CS2</v>
      </c>
      <c r="V45" s="78" t="str">
        <f aca="false">VLOOKUP("CS2",V1:V25,1,FALSE())</f>
        <v>CS2</v>
      </c>
      <c r="W45" s="78" t="str">
        <f aca="false">VLOOKUP("CS2",W1:W35,1,FALSE())</f>
        <v>CS2</v>
      </c>
      <c r="X45" s="78" t="str">
        <f aca="false">VLOOKUP("CS2",X8:X41,1,FALSE())</f>
        <v>CS2</v>
      </c>
      <c r="Y45" s="78" t="str">
        <f aca="false">VLOOKUP("CS2",Y1:Y41,1,FALSE())</f>
        <v>CS2</v>
      </c>
      <c r="Z45" s="78" t="str">
        <f aca="false">VLOOKUP("CS2",Z1:Z41,1,FALSE())</f>
        <v>CS2</v>
      </c>
      <c r="AA45" s="78" t="str">
        <f aca="false">VLOOKUP("CS2",AA1:AA41,1,FALSE())</f>
        <v>CS2</v>
      </c>
      <c r="AB45" s="78" t="str">
        <f aca="false">VLOOKUP("CS2",AB1:AB41,1,FALSE())</f>
        <v>CS2</v>
      </c>
      <c r="AC45" s="78" t="str">
        <f aca="false">VLOOKUP("CS2",AC8:AC41,1,FALSE())</f>
        <v>CS2</v>
      </c>
      <c r="AD45" s="78" t="str">
        <f aca="false">VLOOKUP("CS2",AD1:AD41,1,FALSE())</f>
        <v>CS2</v>
      </c>
      <c r="AE45" s="78" t="str">
        <f aca="false">VLOOKUP("CS2",AE1:AE41,1,FALSE())</f>
        <v>CS2</v>
      </c>
      <c r="AF45" s="78" t="str">
        <f aca="false">VLOOKUP("CS2",AF1:AF41,1,FALSE())</f>
        <v>CS2</v>
      </c>
      <c r="AG45" s="78" t="str">
        <f aca="false">VLOOKUP("CS2",AG7:AG41,1,FALSE())</f>
        <v>CS2</v>
      </c>
      <c r="AH45" s="78" t="str">
        <f aca="false">VLOOKUP("CS2",AH7:AH41,1,FALSE())</f>
        <v>CS2</v>
      </c>
      <c r="AI45" s="35"/>
      <c r="AJ45" s="36"/>
      <c r="AK45" s="35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  <c r="BA45" s="37"/>
      <c r="BB45" s="37"/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  <c r="BN45" s="37"/>
      <c r="BO45" s="37"/>
      <c r="BP45" s="37"/>
      <c r="BQ45" s="39"/>
    </row>
    <row r="46" customFormat="false" ht="19.5" hidden="false" customHeight="true" outlineLevel="0" collapsed="false">
      <c r="A46" s="30"/>
      <c r="B46" s="81" t="s">
        <v>58</v>
      </c>
      <c r="C46" s="78" t="e">
        <f aca="false">VLOOKUP("SB1",C6:C41,1,FALSE())</f>
        <v>#N/A</v>
      </c>
      <c r="D46" s="78" t="e">
        <f aca="false">VLOOKUP("SB1",D3:D41,1,FALSE())</f>
        <v>#N/A</v>
      </c>
      <c r="E46" s="78" t="e">
        <f aca="false">VLOOKUP("SB1",E1:E41,1,FALSE())</f>
        <v>#N/A</v>
      </c>
      <c r="F46" s="78" t="str">
        <f aca="false">VLOOKUP("SB1",F8:F41,1,FALSE())</f>
        <v>SB1</v>
      </c>
      <c r="G46" s="78" t="str">
        <f aca="false">VLOOKUP("SB1",G6:G41,1,FALSE())</f>
        <v>SB1</v>
      </c>
      <c r="H46" s="78" t="str">
        <f aca="false">VLOOKUP("SB1",H6:H41,1,FALSE())</f>
        <v>SB1</v>
      </c>
      <c r="I46" s="78" t="str">
        <f aca="false">VLOOKUP("SB1",I1:I41,1,FALSE())</f>
        <v>SB1</v>
      </c>
      <c r="J46" s="78" t="str">
        <f aca="false">VLOOKUP("SB1",J4:J41,1,FALSE())</f>
        <v>SB1</v>
      </c>
      <c r="K46" s="78" t="str">
        <f aca="false">VLOOKUP("SB1",K6:K41,1,FALSE())</f>
        <v>SB1</v>
      </c>
      <c r="L46" s="78" t="str">
        <f aca="false">VLOOKUP("SB1",L1:L41,1,FALSE())</f>
        <v>SB1</v>
      </c>
      <c r="M46" s="78" t="e">
        <f aca="false">VLOOKUP("SB1",M1:M27,1,FALSE())</f>
        <v>#N/A</v>
      </c>
      <c r="N46" s="78" t="e">
        <f aca="false">VLOOKUP("SB1",N6:N41,1,FALSE())</f>
        <v>#N/A</v>
      </c>
      <c r="O46" s="78" t="str">
        <f aca="false">VLOOKUP("SB1",O1:O41,1,FALSE())</f>
        <v>SB1</v>
      </c>
      <c r="P46" s="78" t="str">
        <f aca="false">VLOOKUP("SB1",P1:P41,1,FALSE())</f>
        <v>SB1</v>
      </c>
      <c r="Q46" s="78" t="str">
        <f aca="false">VLOOKUP("SB1",Q1:Q30,1,FALSE())</f>
        <v>SB1</v>
      </c>
      <c r="R46" s="78" t="str">
        <f aca="false">VLOOKUP("SB1",R6:R34,1,FALSE())</f>
        <v>SB1</v>
      </c>
      <c r="S46" s="78" t="e">
        <f aca="false">VLOOKUP("SB1",S1:S41,1,FALSE())</f>
        <v>#N/A</v>
      </c>
      <c r="T46" s="78" t="str">
        <f aca="false">VLOOKUP("SB1",T8:T41,1,FALSE())</f>
        <v>SB1</v>
      </c>
      <c r="U46" s="78" t="e">
        <f aca="false">VLOOKUP("SB1",U1:U41,1,FALSE())</f>
        <v>#N/A</v>
      </c>
      <c r="V46" s="78" t="str">
        <f aca="false">VLOOKUP("SB1",V10:V35,1,FALSE())</f>
        <v>SB1</v>
      </c>
      <c r="W46" s="78" t="str">
        <f aca="false">VLOOKUP("SB1",W5:W25,1,FALSE())</f>
        <v>SB1</v>
      </c>
      <c r="X46" s="78" t="str">
        <f aca="false">VLOOKUP("SB1",X6:X41,1,FALSE())</f>
        <v>SB1</v>
      </c>
      <c r="Y46" s="78" t="str">
        <f aca="false">VLOOKUP("SB1",Y1:Y41,1,FALSE())</f>
        <v>SB1</v>
      </c>
      <c r="Z46" s="78" t="str">
        <f aca="false">VLOOKUP("SB1",Z6:Z41,1,FALSE())</f>
        <v>SB1</v>
      </c>
      <c r="AA46" s="78" t="str">
        <f aca="false">VLOOKUP("SB1",AA1:AA41,1,FALSE())</f>
        <v>SB1</v>
      </c>
      <c r="AB46" s="78" t="str">
        <f aca="false">VLOOKUP("SB1",AB1:AB41,1,FALSE())</f>
        <v>SB1</v>
      </c>
      <c r="AC46" s="78" t="str">
        <f aca="false">VLOOKUP("SB1",AC1:AC41,1,FALSE())</f>
        <v>SB1</v>
      </c>
      <c r="AD46" s="78" t="str">
        <f aca="false">VLOOKUP("SB1",AD8:AD41,1,FALSE())</f>
        <v>SB1</v>
      </c>
      <c r="AE46" s="78" t="str">
        <f aca="false">VLOOKUP("SB1",AE8:AE41,1,FALSE())</f>
        <v>SB1</v>
      </c>
      <c r="AF46" s="78" t="e">
        <f aca="false">VLOOKUP("SB1",AF7:AF41,1,FALSE())</f>
        <v>#N/A</v>
      </c>
      <c r="AG46" s="78" t="e">
        <f aca="false">VLOOKUP("SB1",AG7:AG41,1,FALSE())</f>
        <v>#N/A</v>
      </c>
      <c r="AH46" s="78" t="str">
        <f aca="false">VLOOKUP("SB1",AH7:AH41,1,FALSE())</f>
        <v>SB1</v>
      </c>
      <c r="AI46" s="35"/>
      <c r="AJ46" s="36"/>
      <c r="AK46" s="35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  <c r="BA46" s="37"/>
      <c r="BB46" s="37"/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  <c r="BN46" s="37"/>
      <c r="BO46" s="37"/>
      <c r="BP46" s="37"/>
      <c r="BQ46" s="39"/>
    </row>
    <row r="47" customFormat="false" ht="19.5" hidden="false" customHeight="true" outlineLevel="0" collapsed="false">
      <c r="A47" s="30"/>
      <c r="B47" s="82" t="s">
        <v>93</v>
      </c>
      <c r="C47" s="78" t="e">
        <f aca="false">VLOOKUP("SB2",C6:C41,1,FALSE())</f>
        <v>#N/A</v>
      </c>
      <c r="D47" s="78" t="str">
        <f aca="false">VLOOKUP("SB2",D9:D41,1,FALSE())</f>
        <v>SB2</v>
      </c>
      <c r="E47" s="78" t="e">
        <f aca="false">VLOOKUP("SB2",E8:E41,1,FALSE())</f>
        <v>#N/A</v>
      </c>
      <c r="F47" s="78" t="e">
        <f aca="false">VLOOKUP("SB2",F1:F41,1,FALSE())</f>
        <v>#N/A</v>
      </c>
      <c r="G47" s="78" t="str">
        <f aca="false">VLOOKUP("SB2",G8:G41,1,FALSE())</f>
        <v>SB2</v>
      </c>
      <c r="H47" s="78" t="str">
        <f aca="false">VLOOKUP("SB2",H6:H41,1,FALSE())</f>
        <v>SB2</v>
      </c>
      <c r="I47" s="78" t="str">
        <f aca="false">VLOOKUP("SB2",I7:I41,1,FALSE())</f>
        <v>SB2</v>
      </c>
      <c r="J47" s="78" t="str">
        <f aca="false">VLOOKUP("SB2",J4:J41,1,FALSE())</f>
        <v>SB2</v>
      </c>
      <c r="K47" s="78" t="str">
        <f aca="false">VLOOKUP("SB2",K6:K41,1,FALSE())</f>
        <v>SB2</v>
      </c>
      <c r="L47" s="78" t="e">
        <f aca="false">VLOOKUP("SB2",L11:L41,1,FALSE())</f>
        <v>#N/A</v>
      </c>
      <c r="M47" s="78" t="e">
        <f aca="false">VLOOKUP("SB2",M8:M45,1,FALSE())</f>
        <v>#N/A</v>
      </c>
      <c r="N47" s="78" t="e">
        <f aca="false">VLOOKUP("SB2",N6:N41,1,FALSE())</f>
        <v>#N/A</v>
      </c>
      <c r="O47" s="78" t="str">
        <f aca="false">VLOOKUP("SB2",O8:O41,1,FALSE())</f>
        <v>SB2</v>
      </c>
      <c r="P47" s="78" t="e">
        <f aca="false">VLOOKUP("SB2",P8:P41,1,FALSE())</f>
        <v>#N/A</v>
      </c>
      <c r="Q47" s="78" t="str">
        <f aca="false">VLOOKUP("SB2",Q11:Q40,1,FALSE())</f>
        <v>SB2</v>
      </c>
      <c r="R47" s="78" t="e">
        <f aca="false">VLOOKUP("SB2",R6:R40,1,FALSE())</f>
        <v>#N/A</v>
      </c>
      <c r="S47" s="78" t="e">
        <f aca="false">VLOOKUP("SB2",S12:S41,1,FALSE())</f>
        <v>#N/A</v>
      </c>
      <c r="T47" s="78" t="e">
        <f aca="false">VLOOKUP("SB2",T8:T41,1,FALSE())</f>
        <v>#N/A</v>
      </c>
      <c r="U47" s="78" t="str">
        <f aca="false">VLOOKUP("SB2",U9:U41,1,FALSE())</f>
        <v>SB2</v>
      </c>
      <c r="V47" s="78" t="str">
        <f aca="false">VLOOKUP("SB2",V5:V41,1,FALSE())</f>
        <v>SB2</v>
      </c>
      <c r="W47" s="78" t="str">
        <f aca="false">VLOOKUP("SB2",W12:W40,1,FALSE())</f>
        <v>SB2</v>
      </c>
      <c r="X47" s="78" t="str">
        <f aca="false">VLOOKUP("SB2",X8:X41,1,FALSE())</f>
        <v>SB2</v>
      </c>
      <c r="Y47" s="78" t="str">
        <f aca="false">VLOOKUP("SB2",Y8:Y41,1,FALSE())</f>
        <v>SB2</v>
      </c>
      <c r="Z47" s="78" t="e">
        <f aca="false">VLOOKUP("SB2",Z6:Z41,1,FALSE())</f>
        <v>#N/A</v>
      </c>
      <c r="AA47" s="78" t="e">
        <f aca="false">VLOOKUP("SB2",AA11:AA41,1,FALSE())</f>
        <v>#N/A</v>
      </c>
      <c r="AB47" s="78" t="str">
        <f aca="false">VLOOKUP("SB2",AB9:AB41,1,FALSE())</f>
        <v>SB2</v>
      </c>
      <c r="AC47" s="78" t="str">
        <f aca="false">VLOOKUP("SB2",AC11:AC41,1,FALSE())</f>
        <v>SB2</v>
      </c>
      <c r="AD47" s="78" t="str">
        <f aca="false">VLOOKUP("SB2",AD8:AD41,1,FALSE())</f>
        <v>SB2</v>
      </c>
      <c r="AE47" s="78" t="str">
        <f aca="false">VLOOKUP("SB2",AE8:AE41,1,FALSE())</f>
        <v>SB2</v>
      </c>
      <c r="AF47" s="78" t="str">
        <f aca="false">VLOOKUP("SB2",AF7:AF41,1,FALSE())</f>
        <v>SB2</v>
      </c>
      <c r="AG47" s="78" t="e">
        <f aca="false">VLOOKUP("SB2",AG7:AG41,1,FALSE())</f>
        <v>#N/A</v>
      </c>
      <c r="AH47" s="78" t="e">
        <f aca="false">VLOOKUP("SB2",AH7:AH41,1,FALSE())</f>
        <v>#N/A</v>
      </c>
      <c r="AI47" s="35"/>
      <c r="AJ47" s="36"/>
      <c r="AK47" s="35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  <c r="BA47" s="37"/>
      <c r="BB47" s="37"/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  <c r="BN47" s="37"/>
      <c r="BO47" s="37"/>
      <c r="BP47" s="37"/>
      <c r="BQ47" s="39"/>
    </row>
    <row r="48" customFormat="false" ht="19.5" hidden="false" customHeight="true" outlineLevel="0" collapsed="false">
      <c r="A48" s="30"/>
      <c r="B48" s="83" t="s">
        <v>65</v>
      </c>
      <c r="C48" s="78" t="str">
        <f aca="false">VLOOKUP("AE",C6:C41,1,FALSE())</f>
        <v>AE</v>
      </c>
      <c r="D48" s="78" t="str">
        <f aca="false">VLOOKUP("AE",D9:D41,1,FALSE())</f>
        <v>AE</v>
      </c>
      <c r="E48" s="78" t="str">
        <f aca="false">VLOOKUP("AE",E8:E41,1,FALSE())</f>
        <v>AE</v>
      </c>
      <c r="F48" s="78" t="str">
        <f aca="false">VLOOKUP("AE",F1:F41,1,FALSE())</f>
        <v>AE</v>
      </c>
      <c r="G48" s="78" t="str">
        <f aca="false">VLOOKUP("AE",G1:G41,1,FALSE())</f>
        <v>AE</v>
      </c>
      <c r="H48" s="78" t="str">
        <f aca="false">VLOOKUP("AE",H8:H41,1,FALSE())</f>
        <v>AE</v>
      </c>
      <c r="I48" s="78" t="str">
        <f aca="false">VLOOKUP("AE",I7:I41,1,FALSE())</f>
        <v>AE</v>
      </c>
      <c r="J48" s="78" t="str">
        <f aca="false">VLOOKUP("AE",J4:J41,1,FALSE())</f>
        <v>AE</v>
      </c>
      <c r="K48" s="78" t="str">
        <f aca="false">VLOOKUP("AE",K6:K41,1,FALSE())</f>
        <v>AE</v>
      </c>
      <c r="L48" s="78" t="str">
        <f aca="false">VLOOKUP("AE",L11:L41,1,FALSE())</f>
        <v>AE</v>
      </c>
      <c r="M48" s="78" t="str">
        <f aca="false">VLOOKUP("AE",M8:M45,1,FALSE())</f>
        <v>AE</v>
      </c>
      <c r="N48" s="78" t="str">
        <f aca="false">VLOOKUP("AE",N6:N41,1,FALSE())</f>
        <v>AE</v>
      </c>
      <c r="O48" s="78" t="str">
        <f aca="false">VLOOKUP("AE",O8:O41,1,FALSE())</f>
        <v>AE</v>
      </c>
      <c r="P48" s="78" t="e">
        <f aca="false">VLOOKUP("AE",P8:P41,1,FALSE())</f>
        <v>#N/A</v>
      </c>
      <c r="Q48" s="78" t="str">
        <f aca="false">VLOOKUP("AE",Q11:Q48,1,FALSE())</f>
        <v>AE</v>
      </c>
      <c r="R48" s="78" t="str">
        <f aca="false">VLOOKUP("AE",R6:R39,1,FALSE())</f>
        <v>AE</v>
      </c>
      <c r="S48" s="78" t="str">
        <f aca="false">VLOOKUP("AE",S12:S41,1,FALSE())</f>
        <v>AE</v>
      </c>
      <c r="T48" s="78" t="str">
        <f aca="false">VLOOKUP("AE",T8:T41,1,FALSE())</f>
        <v>AE</v>
      </c>
      <c r="U48" s="78" t="str">
        <f aca="false">VLOOKUP("AE",U9:U41,1,FALSE())</f>
        <v>AE</v>
      </c>
      <c r="V48" s="78" t="str">
        <f aca="false">VLOOKUP("AE",V10:V43,1,FALSE())</f>
        <v>AE</v>
      </c>
      <c r="W48" s="78" t="str">
        <f aca="false">VLOOKUP("AE",W12:W41,1,FALSE())</f>
        <v>AE</v>
      </c>
      <c r="X48" s="78" t="str">
        <f aca="false">VLOOKUP("AE",X8:X41,1,FALSE())</f>
        <v>AE</v>
      </c>
      <c r="Y48" s="78" t="str">
        <f aca="false">VLOOKUP("AE",Y8:Y41,1,FALSE())</f>
        <v>AE</v>
      </c>
      <c r="Z48" s="78" t="str">
        <f aca="false">VLOOKUP("AE",Z6:Z41,1,FALSE())</f>
        <v>AE</v>
      </c>
      <c r="AA48" s="78" t="str">
        <f aca="false">VLOOKUP("AE",AA11:AA41,1,FALSE())</f>
        <v>AE</v>
      </c>
      <c r="AB48" s="78" t="str">
        <f aca="false">VLOOKUP("AE",AB9:AB41,1,FALSE())</f>
        <v>AE</v>
      </c>
      <c r="AC48" s="78" t="str">
        <f aca="false">VLOOKUP("AE",AC11:AC41,1,FALSE())</f>
        <v>AE</v>
      </c>
      <c r="AD48" s="78" t="str">
        <f aca="false">VLOOKUP("AE",AD8:AD41,1,FALSE())</f>
        <v>AE</v>
      </c>
      <c r="AE48" s="78" t="str">
        <f aca="false">VLOOKUP("AE",AE8:AE41,1,FALSE())</f>
        <v>AE</v>
      </c>
      <c r="AF48" s="78" t="str">
        <f aca="false">VLOOKUP("AE",AF7:AF41,1,FALSE())</f>
        <v>AE</v>
      </c>
      <c r="AG48" s="78" t="str">
        <f aca="false">VLOOKUP("AE",AG7:AG41,1,FALSE())</f>
        <v>AE</v>
      </c>
      <c r="AH48" s="78" t="str">
        <f aca="false">VLOOKUP("AE",AH7:AH41,1,FALSE())</f>
        <v>AE</v>
      </c>
      <c r="AI48" s="35"/>
      <c r="AJ48" s="36"/>
      <c r="AK48" s="35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  <c r="BA48" s="37"/>
      <c r="BB48" s="37"/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  <c r="BN48" s="37"/>
      <c r="BO48" s="37"/>
      <c r="BP48" s="37"/>
      <c r="BQ48" s="39"/>
    </row>
  </sheetData>
  <mergeCells count="1">
    <mergeCell ref="C1:S1"/>
  </mergeCells>
  <conditionalFormatting sqref="J19 K28:K29 D15 C21 C24 T18 T24">
    <cfRule type="expression" priority="2" aboveAverage="0" equalAverage="0" bottom="0" percent="0" rank="0" text="" dxfId="21">
      <formula>WEEKDAY(E$3,2)&gt;5</formula>
    </cfRule>
  </conditionalFormatting>
  <conditionalFormatting sqref="T18 G23:H23 D24 T24 C25 G25:H25">
    <cfRule type="expression" priority="3" aboveAverage="0" equalAverage="0" bottom="0" percent="0" rank="0" text="" dxfId="21">
      <formula>WEEKDAY(U$3,2)&gt;5</formula>
    </cfRule>
  </conditionalFormatting>
  <conditionalFormatting sqref="X25">
    <cfRule type="expression" priority="4" aboveAverage="0" equalAverage="0" bottom="0" percent="0" rank="0" text="" dxfId="21">
      <formula>WEEKDAY(AA$3,2)&gt;5</formula>
    </cfRule>
    <cfRule type="expression" priority="5" aboveAverage="0" equalAverage="0" bottom="0" percent="0" rank="0" text="" dxfId="21">
      <formula>WEEKDAY(Z$3,2)&gt;5</formula>
    </cfRule>
  </conditionalFormatting>
  <conditionalFormatting sqref="AF25">
    <cfRule type="expression" priority="6" aboveAverage="0" equalAverage="0" bottom="0" percent="0" rank="0" text="" dxfId="21">
      <formula>WEEKDAY(AG$3,2)&gt;5</formula>
    </cfRule>
    <cfRule type="expression" priority="7" aboveAverage="0" equalAverage="0" bottom="0" percent="0" rank="0" text="" dxfId="21">
      <formula>WEEKDAY(AF$3,2)&gt;5</formula>
    </cfRule>
  </conditionalFormatting>
  <conditionalFormatting sqref="P12">
    <cfRule type="expression" priority="8" aboveAverage="0" equalAverage="0" bottom="0" percent="0" rank="0" text="" dxfId="21">
      <formula>WEEKDAY(K$3,2)&gt;5</formula>
    </cfRule>
    <cfRule type="expression" priority="9" aboveAverage="0" equalAverage="0" bottom="0" percent="0" rank="0" text="" dxfId="21">
      <formula>WEEKDAY(J$3,2)&gt;5</formula>
    </cfRule>
  </conditionalFormatting>
  <conditionalFormatting sqref="E5:E20 J5:K5 M5:O8 S5:S7 G5:H9 U5:U7 T5:T29 U9:U16 W5:W10 M11:N14 P11:Q12 T12:U14 W12:W17 P14:R14 V5:V16 AB14:AD14 AH5:AH16 P5:P16 F5:F21 H18:I20 K5:K21 D5:D21 J5:J25 S19:T21 E22:E29 I22:J22 N5:N25 W19:W26 R5:R25 AC5:AC30 F23:F25 J24:K25 P18:P26 X5:X26 AE5:AE28 AG5:AG26 AH18:AH25 G11:H25 O10:O28 AF5:AF25 D25:D27 Q5:Q29 Y26:Z26 F27:F28 G27:H29 I5:I27 L5:M30 R27 T27:U27 AD5:AD34 AE27:AF27 J28:J30 U18:V29 W28:W29 Y5:Y29 K27:K29 S9:S29 AF29:AG29 C31:F31 N27:N32 AF29:AF31 G32 AE30:AE32 E33 V31:V39 R34 X32:X36 Y34:Z34 E35:E37 Q31:Q36 AC32:AC40 AE34:AE36 R37 Z5:AB40 U39:V39 AH39 C5:C39 D23 K23:K25 G27:G30 AH27 P28 X28 I29 AG29:AG30 R30 AH30 H31:I31 O31 P31:P32 S31:S39 U31:U34 W31:W33 R32 Y32:Y40 H33:K33 T33:T39 AF33 F34:G34 J35:J36 W35:W36 F36 G36:G37 H36:I36 K36:L36 P36 U36:U39 O37 AD37 W38:W39 Q39:R39 X39 AE39:AF39 U41">
    <cfRule type="cellIs" priority="10" operator="equal" aboveAverage="0" equalAverage="0" bottom="0" percent="0" rank="0" text="" dxfId="23">
      <formula>"B"</formula>
    </cfRule>
    <cfRule type="cellIs" priority="11" operator="equal" aboveAverage="0" equalAverage="0" bottom="0" percent="0" rank="0" text="" dxfId="23">
      <formula>"AL"</formula>
    </cfRule>
    <cfRule type="cellIs" priority="12" operator="equal" aboveAverage="0" equalAverage="0" bottom="0" percent="0" rank="0" text="" dxfId="24">
      <formula>"DM"</formula>
    </cfRule>
    <cfRule type="cellIs" priority="13" operator="equal" aboveAverage="0" equalAverage="0" bottom="0" percent="0" rank="0" text="" dxfId="25">
      <formula>"CS1"</formula>
    </cfRule>
    <cfRule type="cellIs" priority="14" operator="equal" aboveAverage="0" equalAverage="0" bottom="0" percent="0" rank="0" text="" dxfId="26">
      <formula>"CS2"</formula>
    </cfRule>
    <cfRule type="cellIs" priority="15" operator="equal" aboveAverage="0" equalAverage="0" bottom="0" percent="0" rank="0" text="" dxfId="27">
      <formula>"SB1"</formula>
    </cfRule>
    <cfRule type="cellIs" priority="16" operator="equal" aboveAverage="0" equalAverage="0" bottom="0" percent="0" rank="0" text="" dxfId="28">
      <formula>"SB2"</formula>
    </cfRule>
    <cfRule type="cellIs" priority="17" operator="equal" aboveAverage="0" equalAverage="0" bottom="0" percent="0" rank="0" text="" dxfId="29">
      <formula>"AE"</formula>
    </cfRule>
    <cfRule type="cellIs" priority="18" operator="equal" aboveAverage="0" equalAverage="0" bottom="0" percent="0" rank="0" text="" dxfId="23">
      <formula>"DB"</formula>
    </cfRule>
    <cfRule type="containsText" priority="19" operator="containsText" aboveAverage="0" equalAverage="0" bottom="0" percent="0" rank="0" text="$AM" dxfId="30">
      <formula>NOT(ISERROR(SEARCH("$AM",C5)))</formula>
    </cfRule>
    <cfRule type="containsText" priority="20" operator="containsText" aboveAverage="0" equalAverage="0" bottom="0" percent="0" rank="0" text="$PM" dxfId="31">
      <formula>NOT(ISERROR(SEARCH("$PM",C5)))</formula>
    </cfRule>
    <cfRule type="containsText" priority="21" operator="containsText" aboveAverage="0" equalAverage="0" bottom="0" percent="0" rank="0" text="$L" dxfId="32">
      <formula>NOT(ISERROR(SEARCH("$L",C5)))</formula>
    </cfRule>
    <cfRule type="containsText" priority="22" operator="containsText" aboveAverage="0" equalAverage="0" bottom="0" percent="0" rank="0" text="$BTP" dxfId="33">
      <formula>NOT(ISERROR(SEARCH("$BTP",C5)))</formula>
    </cfRule>
    <cfRule type="containsText" priority="23" operator="containsText" aboveAverage="0" equalAverage="0" bottom="0" percent="0" rank="0" text="$M" dxfId="34">
      <formula>NOT(ISERROR(SEARCH("$M",C5)))</formula>
    </cfRule>
    <cfRule type="containsText" priority="24" operator="containsText" aboveAverage="0" equalAverage="0" bottom="0" percent="0" rank="0" text="$N" dxfId="35">
      <formula>NOT(ISERROR(SEARCH("$N",C5)))</formula>
    </cfRule>
    <cfRule type="containsText" priority="25" operator="containsText" aboveAverage="0" equalAverage="0" bottom="0" percent="0" rank="0" text="$FC" dxfId="36">
      <formula>NOT(ISERROR(SEARCH("$FC",C5)))</formula>
    </cfRule>
    <cfRule type="containsText" priority="26" operator="containsText" aboveAverage="0" equalAverage="0" bottom="0" percent="0" rank="0" text="OAL" dxfId="37">
      <formula>NOT(ISERROR(SEARCH("OAL",C5)))</formula>
    </cfRule>
    <cfRule type="containsText" priority="27" operator="containsText" aboveAverage="0" equalAverage="0" bottom="0" percent="0" rank="0" text="S+" dxfId="38">
      <formula>NOT(ISERROR(SEARCH("S+",C5)))</formula>
    </cfRule>
    <cfRule type="containsText" priority="28" operator="containsText" aboveAverage="0" equalAverage="0" bottom="0" percent="0" rank="0" text="EX-D" dxfId="39">
      <formula>NOT(ISERROR(SEARCH("EX-D",C5)))</formula>
    </cfRule>
  </conditionalFormatting>
  <conditionalFormatting sqref="C5:C26 E5:E20 J5:K5 M5:O8 S5:S7 G5:H9 U5:U7 T5:T29 U9:U16 W5:W10 M11:N14 P11:Q12 AF5:AF12 T12:U14 W12:W17 P14:R14 V5:V16 AB14:AD14 AH5:AH16 N16:O17 P5:P16 F5:F21 H18:I20 K5:K21 X18:Z21 D5:D21 J5:J25 S19:T21 AE19:AF20 E22:E31 I22:J22 N5:N25 R5:R25 AC5:AC30 F23:F25 J24:K25 P18:P28 X5:X26 AE5:AE28 AG5:AG26 AH18:AH25 G11:H25 O10:O31 S9:S39 AF14:AF25 Q5:Q36 Y26:Z26 F27:F28 G27:G30 I5:I27 L5:M30 R27 T27:U27 AD5:AD34 AE27:AF27 C28 J28:J30 K27:K31 U18:V29 Y5:Y30 AF29:AF31 AG29:AG30 C30:D31 F30:F32 H30:J30 N27:N32 P30:P32 R30 T30:V30 X30 AB30:AE30 AH30 G32 J32 AE30:AE32 V31:V39 I34:I36 R34 X32:X36 Y34:Z34 J35:J36 AC32:AC40 F36:G37 AE34:AE36 C37 Z5:AB40 U39:V39 AH39 D23:D27 K23:K25 H27:H29 AH27 W19:W33 X28 I29 C31:F31 H31:I31 U31:U34 R32 Y32:Y40 E33:E37 H33:K33 T33:T39 AF33 F34:G34 W35:W36 F36:I36 K36:L36 P36 U36:U39 O37 R37 AD37 W38:W39 Q39:R39 X39 AE39:AF39 U41">
    <cfRule type="expression" priority="29" aboveAverage="0" equalAverage="0" bottom="0" percent="0" rank="0" text="" dxfId="21">
      <formula>WEEKDAY(#REF!,2)&gt;5</formula>
    </cfRule>
  </conditionalFormatting>
  <conditionalFormatting sqref="F5 X6 AA6 U7 Z8 AB9 C12 S12 T12:U13 Z12:Z13 AA12 Y13 Y15 C19:D19 T19:U19 T22 AE24 E25 V26 Y26:Z26 AB26 T27 AD27:AD28 AE27 AA28:AA29 S29 AF29 Q31 AE32 R34 AE34 Q35 Z37 AH39 C9 E11 C23">
    <cfRule type="expression" priority="30" aboveAverage="0" equalAverage="0" bottom="0" percent="0" rank="0" text="" dxfId="21">
      <formula>WEEKDAY(H$3,2)&gt;5</formula>
    </cfRule>
  </conditionalFormatting>
  <conditionalFormatting sqref="X6 AA6 U7 P8 Z8 AB9 P12 S12 T12:U13 Z12:Z13 AA12:AB12 Y13 Y15 T19:U19 T22 AA22 G24 AE24 E25 V26 Y26:Z26 AB26 T27 AD27:AD28 AE27 F28 AA28:AA29 S29 AF29 Q31 AE32 R34 AE34 Q35 Z37 AH39 U41">
    <cfRule type="expression" priority="31" aboveAverage="0" equalAverage="0" bottom="0" percent="0" rank="0" text="" dxfId="21">
      <formula>WEEKDAY(Y$3,2)&gt;5</formula>
    </cfRule>
  </conditionalFormatting>
  <conditionalFormatting sqref="C5:C26 D5:D21 E5:E20 F5:F21 G5:H9 I5:I27 J5:J25 K5:K21 L5:M30 N5:N25 O5:O8 P5:P16 Q5:Q36 R5:R25 S5:S7 T5:T30 U5:U7 V5:V16 W5:W10 X5:X26 Y5:Y30 Z5:AB40 AC5:AC30 AD5:AD34 AE5:AE28 AF5:AF25 AG5:AG26 AH5:AH16 S9:S39 U9:U16 O10:O31 G11:H25 W12:W17 P18:P28 U18:U34 V18:V39 AH18:AH25 W19:W33 E22:E31 D23:D27 F23:F25 K23:K25 F27:F28 G27:G30 H27:H31 K27:K31 N27:N32 R27 AF27 AH27 C28 J28:J30 X28 I29:I31 AF29:AF31 AG29:AG30 C30:D31 F30:F32 P30:P32 R30 X30 AE30:AE32 AH30 G32 J32:J33 R32 X32:X36 Y32:Y40 AC32:AC40 E33:E37 H33 I33:I36 K33 T33:T39 AF33 F34:G34 R34 AE34:AE36 J35:J37 W35:W36 F36:G37 H36 K36:L36 P36 U36:U39 C37 O37 R37 AD37 W38:W39 Q39:R39 X39 AE39:AF39 AH39 U41">
    <cfRule type="containsText" priority="32" operator="containsText" aboveAverage="0" equalAverage="0" bottom="0" percent="0" rank="0" text="VACC" dxfId="40">
      <formula>NOT(ISERROR(SEARCH("VACC",C5)))</formula>
    </cfRule>
  </conditionalFormatting>
  <conditionalFormatting sqref="J4:J48 AA4:AA48 C5:I48 K5:Z48 AB5:AH48">
    <cfRule type="cellIs" priority="33" operator="equal" aboveAverage="0" equalAverage="0" bottom="0" percent="0" rank="0" text="" dxfId="23">
      <formula>"B"</formula>
    </cfRule>
    <cfRule type="cellIs" priority="34" operator="equal" aboveAverage="0" equalAverage="0" bottom="0" percent="0" rank="0" text="" dxfId="23">
      <formula>"AL"</formula>
    </cfRule>
    <cfRule type="cellIs" priority="35" operator="equal" aboveAverage="0" equalAverage="0" bottom="0" percent="0" rank="0" text="" dxfId="24">
      <formula>"DM"</formula>
    </cfRule>
    <cfRule type="cellIs" priority="36" operator="equal" aboveAverage="0" equalAverage="0" bottom="0" percent="0" rank="0" text="" dxfId="25">
      <formula>"CS1"</formula>
    </cfRule>
    <cfRule type="cellIs" priority="37" operator="equal" aboveAverage="0" equalAverage="0" bottom="0" percent="0" rank="0" text="" dxfId="26">
      <formula>"CS2"</formula>
    </cfRule>
    <cfRule type="cellIs" priority="38" operator="equal" aboveAverage="0" equalAverage="0" bottom="0" percent="0" rank="0" text="" dxfId="27">
      <formula>"SB1"</formula>
    </cfRule>
    <cfRule type="cellIs" priority="39" operator="equal" aboveAverage="0" equalAverage="0" bottom="0" percent="0" rank="0" text="" dxfId="28">
      <formula>"SB2"</formula>
    </cfRule>
    <cfRule type="cellIs" priority="40" operator="equal" aboveAverage="0" equalAverage="0" bottom="0" percent="0" rank="0" text="" dxfId="29">
      <formula>"AE"</formula>
    </cfRule>
  </conditionalFormatting>
  <conditionalFormatting sqref="BP5:BQ41">
    <cfRule type="cellIs" priority="41" operator="lessThan" aboveAverage="0" equalAverage="0" bottom="0" percent="0" rank="0" text="" dxfId="41">
      <formula>1</formula>
    </cfRule>
  </conditionalFormatting>
  <conditionalFormatting sqref="J4:J41 AA4:AA41 C5:I41 K5:Z41 AB5:AH41">
    <cfRule type="cellIs" priority="42" operator="equal" aboveAverage="0" equalAverage="0" bottom="0" percent="0" rank="0" text="" dxfId="23">
      <formula>"DB"</formula>
    </cfRule>
    <cfRule type="containsText" priority="43" operator="containsText" aboveAverage="0" equalAverage="0" bottom="0" percent="0" rank="0" text="$AM" dxfId="30">
      <formula>NOT(ISERROR(SEARCH("$AM",C4)))</formula>
    </cfRule>
    <cfRule type="containsText" priority="44" operator="containsText" aboveAverage="0" equalAverage="0" bottom="0" percent="0" rank="0" text="$PM" dxfId="31">
      <formula>NOT(ISERROR(SEARCH("$PM",C4)))</formula>
    </cfRule>
    <cfRule type="containsText" priority="45" operator="containsText" aboveAverage="0" equalAverage="0" bottom="0" percent="0" rank="0" text="$L" dxfId="32">
      <formula>NOT(ISERROR(SEARCH("$L",C4)))</formula>
    </cfRule>
    <cfRule type="containsText" priority="46" operator="containsText" aboveAverage="0" equalAverage="0" bottom="0" percent="0" rank="0" text="$BTP" dxfId="33">
      <formula>NOT(ISERROR(SEARCH("$BTP",C4)))</formula>
    </cfRule>
    <cfRule type="containsText" priority="47" operator="containsText" aboveAverage="0" equalAverage="0" bottom="0" percent="0" rank="0" text="$M" dxfId="34">
      <formula>NOT(ISERROR(SEARCH("$M",C4)))</formula>
    </cfRule>
    <cfRule type="containsText" priority="48" operator="containsText" aboveAverage="0" equalAverage="0" bottom="0" percent="0" rank="0" text="$N" dxfId="35">
      <formula>NOT(ISERROR(SEARCH("$N",C4)))</formula>
    </cfRule>
    <cfRule type="containsText" priority="49" operator="containsText" aboveAverage="0" equalAverage="0" bottom="0" percent="0" rank="0" text="$FC" dxfId="36">
      <formula>NOT(ISERROR(SEARCH("$FC",C4)))</formula>
    </cfRule>
    <cfRule type="containsText" priority="50" operator="containsText" aboveAverage="0" equalAverage="0" bottom="0" percent="0" rank="0" text="OAL" dxfId="37">
      <formula>NOT(ISERROR(SEARCH("OAL",C4)))</formula>
    </cfRule>
    <cfRule type="containsText" priority="51" operator="containsText" aboveAverage="0" equalAverage="0" bottom="0" percent="0" rank="0" text="S+" dxfId="38">
      <formula>NOT(ISERROR(SEARCH("S+",C4)))</formula>
    </cfRule>
    <cfRule type="containsText" priority="52" operator="containsText" aboveAverage="0" equalAverage="0" bottom="0" percent="0" rank="0" text="EX-D" dxfId="39">
      <formula>NOT(ISERROR(SEARCH("EX-D",C4)))</formula>
    </cfRule>
  </conditionalFormatting>
  <conditionalFormatting sqref="T2:X41 C3:S41 Y3:AH41">
    <cfRule type="expression" priority="53" aboveAverage="0" equalAverage="0" bottom="0" percent="0" rank="0" text="" dxfId="21">
      <formula>WEEKDAY(T$3,2)&gt;5</formula>
    </cfRule>
  </conditionalFormatting>
  <conditionalFormatting sqref="J4:J25 C5:C25 D5:D21 E5:E20 F5:F21 G5:H9 I5:I27 K5:K21 L5:M30 N5:N25 O5:O8 P5:P16 Q5:Q29 R5:R25 S5:S7 T5:T29 U5:U7 V5:V16 W5:W10 X5:X26 Y5:Y29 Z5:AB40 AC5:AC30 AD5:AD34 AE5:AE28 AF5:AF25 AG5:AG26 AH5:AH16 S9:S29 U9:U29 O10:O28 G11:H25 W12:W26 P18:P26 V18:V29 AH18:AH25 E22:E29 D23 F23:F25 K23:K25 D25:D27 F27:F28 G27:G30 H27:H29 K27:K29 N27:N32 R27 AF27 AH27 J28:J30 P28 W28:W29 X28 I29 AF29:AF31 AG29:AG30 R30 AE30:AE32 AH30 C31:F31 H31:I31 O31 P31:P32 Q31:Q36 S31:S39 U31:U34 V31:V39 W31:W33 G32 R32 X32:X36 Y32:Y40 AC32:AC40 E33 H33:K33 T33:T39 AF33 F34:G34 R34 AE34:AE36 E35:E37 J35:J36 W35:W36 F36 G36:G37 H36:I36 K36:L36 P36 U36:U39 C37 O37 R37 AD37 W38:W39 Q39:R39 X39 AE39:AF39 AH39 U41">
    <cfRule type="containsText" priority="54" operator="containsText" aboveAverage="0" equalAverage="0" bottom="0" percent="0" rank="0" text="VACC" dxfId="40">
      <formula>NOT(ISERROR(SEARCH("VACC",C4)))</formula>
    </cfRule>
  </conditionalFormatting>
  <conditionalFormatting sqref="S28">
    <cfRule type="expression" priority="55" aboveAverage="0" equalAverage="0" bottom="0" percent="0" rank="0" text="" dxfId="45">
      <formula>LEN(TRIM(S28))&gt;0</formula>
    </cfRule>
  </conditionalFormatting>
  <conditionalFormatting sqref="A1:BQ48">
    <cfRule type="cellIs" priority="56" operator="equal" aboveAverage="0" equalAverage="0" bottom="0" percent="0" rank="0" text="" dxfId="41">
      <formula>"RESERVE"</formula>
    </cfRule>
  </conditionalFormatting>
  <dataValidations count="2">
    <dataValidation allowBlank="true" errorStyle="stop" operator="equal" showDropDown="true" showErrorMessage="false" showInputMessage="false" sqref="C5:F5 H5:S5 U5:X5 Z5:AC6 AE5:AH5 C6:V6 X6:X10 AE6 AG6:AH6 D7:H7 J7:V7 Y7:Y9 AA7:AC7 AF7:AH7 C8:P8 R8 T8:V8 Z8:Z9 AB8:AB10 AE8:AE9 AG8:AH8 D9:I9 L9:O9 Q9:W9 AC9:AC10 AF9:AH12 C10:C12 E10:F10 H10:U10 W10 Z10:AA10 AD10 D11:E11 G11:H11 J11:J12 L11:M11 O11:T11 V11:V13 AA11:AC11 D12:I12 K12:U12 W12 Y12:AD12 C13:F13 H13:U13 X13:AB13 AD13 AG13:AH13 C14:AH14 C15:AE15 AG15:AH15 C16:T16 V16:W16 Z16:AA16 AC16:AH16 C17:I17 N17:U17 X17:AB17 AD17:AD18 AF17:AG18 C18:F18 H18:I18 K18:N18 P18:X18 Z18:AA18 AC18 AH18 C19:AH20 C21:E21 H21:T21 V21:AA21 AC21:AD22 AF21:AG21 D22:E22 G22:H22 L22:L26 N22:N25 P22:P23 R22:AA22 AE22:AH22 C23:H25 K23 O23:O30 Q23:R23 T23:AD23 AF23:AH23 J24 M24:M25 S24:U24 X24:AH24 I25:K25 P25:X25 Z25 AB25:AB26 AD25:AD30 AF25:AH25 D26:E26 G26:K26 P26:V26 X26:AA26 AC26 AG26:AH26 E27:N27 P27:P34 R27:AB27 AE27:AF27 AH27:AH30 C28:H30 J28:N28 S28:S38 U28:W28 Z28:AB28 AG28:AG30 I29:M30 Q29:Q33 T29:T30 V29:Y29 AA29:AA32 AF29:AF33 N30:N41 R30:R38 U30:Z30 AB30:AC30 AE30:AE32 D31:I31 K31:L31 V31:V35 X31:X33 AB31:AB36 C32:D40 F32 H32:H33 J32:K32 M32 O32:O40 U32 W32 Y32:Z32 AC32:AD32 AG32:AH35 E33:E39 G33 I33:L33 AD33:AD34 I34:I39 K34:M34 T34:U34 X34:Y34 AA34:AA36 AE34 J35:K35 M35:M36 Q35:Q39 T35:T36 W35:Y35 AC35 F36:H36 J36 U36:U39 W36:X36 AF36:AG36 F37:G38 K37:K38 V37:V40 X37:X38 Z37:Z39 AC37:AC39 AE37:AE39 AG37:AH37 H38 J38:J40 L38:M39 P38 T38:T41 W38:W39 Y38:Y39 AA38:AB38 AD38 AF38:AH39 G39 R39:S39 AA39 K40:L40 P40 X40 AD40:AH40 C41:L41 O41:P41 S41 U41:AH41" type="list">
      <formula1>'Setting key Duty'!$B$7:$B$56</formula1>
      <formula2>0</formula2>
    </dataValidation>
    <dataValidation allowBlank="true" errorStyle="stop" operator="equal" showDropDown="true" showErrorMessage="false" showInputMessage="false" sqref="C42:AH48" type="list">
      <formula1>'Setting key Duty'!$B$7:$B$23</formula1>
      <formula2>0</formula2>
    </dataValidation>
  </dataValidation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Q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B2" activeCellId="0" sqref="B2"/>
    </sheetView>
  </sheetViews>
  <sheetFormatPr defaultColWidth="12.6328125" defaultRowHeight="15.75" customHeight="true" zeroHeight="false" outlineLevelRow="0" outlineLevelCol="1"/>
  <cols>
    <col collapsed="false" customWidth="true" hidden="false" outlineLevel="0" max="1" min="1" style="0" width="2.13"/>
    <col collapsed="false" customWidth="true" hidden="false" outlineLevel="0" max="2" min="2" style="0" width="29.76"/>
    <col collapsed="false" customWidth="true" hidden="false" outlineLevel="0" max="11" min="3" style="0" width="9.24"/>
    <col collapsed="false" customWidth="true" hidden="false" outlineLevel="0" max="12" min="12" style="0" width="9.38"/>
    <col collapsed="false" customWidth="true" hidden="false" outlineLevel="0" max="13" min="13" style="0" width="10.63"/>
    <col collapsed="false" customWidth="true" hidden="false" outlineLevel="0" max="14" min="14" style="0" width="9.24"/>
    <col collapsed="false" customWidth="true" hidden="false" outlineLevel="0" max="15" min="15" style="0" width="10"/>
    <col collapsed="false" customWidth="true" hidden="false" outlineLevel="0" max="17" min="16" style="0" width="9.24"/>
    <col collapsed="false" customWidth="true" hidden="false" outlineLevel="0" max="18" min="18" style="0" width="9.63"/>
    <col collapsed="false" customWidth="true" hidden="false" outlineLevel="0" max="19" min="19" style="0" width="9.14"/>
    <col collapsed="false" customWidth="true" hidden="false" outlineLevel="0" max="26" min="20" style="0" width="9.24"/>
    <col collapsed="false" customWidth="true" hidden="false" outlineLevel="0" max="27" min="27" style="0" width="10.51"/>
    <col collapsed="false" customWidth="true" hidden="false" outlineLevel="0" max="30" min="28" style="0" width="9.24"/>
    <col collapsed="false" customWidth="true" hidden="false" outlineLevel="0" max="31" min="31" style="0" width="10.51"/>
    <col collapsed="false" customWidth="true" hidden="false" outlineLevel="0" max="32" min="32" style="0" width="9.38"/>
    <col collapsed="false" customWidth="true" hidden="false" outlineLevel="0" max="34" min="33" style="0" width="9.24"/>
    <col collapsed="false" customWidth="true" hidden="true" outlineLevel="1" max="41" min="35" style="0" width="9.38"/>
    <col collapsed="false" customWidth="true" hidden="false" outlineLevel="0" max="42" min="42" style="0" width="6.76"/>
    <col collapsed="false" customWidth="true" hidden="false" outlineLevel="1" max="43" min="43" style="0" width="8.87"/>
    <col collapsed="false" customWidth="true" hidden="false" outlineLevel="1" max="44" min="44" style="0" width="7.88"/>
    <col collapsed="false" customWidth="true" hidden="false" outlineLevel="1" max="45" min="45" style="0" width="9.14"/>
    <col collapsed="false" customWidth="true" hidden="false" outlineLevel="1" max="46" min="46" style="0" width="8.24"/>
    <col collapsed="false" customWidth="true" hidden="false" outlineLevel="1" max="47" min="47" style="0" width="5.51"/>
    <col collapsed="false" customWidth="true" hidden="false" outlineLevel="0" max="50" min="48" style="0" width="9.38"/>
    <col collapsed="false" customWidth="true" hidden="false" outlineLevel="1" max="58" min="51" style="0" width="9.38"/>
    <col collapsed="false" customWidth="true" hidden="false" outlineLevel="1" max="59" min="59" style="0" width="10"/>
    <col collapsed="false" customWidth="true" hidden="false" outlineLevel="1" max="65" min="60" style="0" width="9.38"/>
    <col collapsed="false" customWidth="true" hidden="false" outlineLevel="0" max="66" min="66" style="0" width="9.38"/>
    <col collapsed="false" customWidth="true" hidden="false" outlineLevel="0" max="67" min="67" style="0" width="9.51"/>
    <col collapsed="false" customWidth="true" hidden="false" outlineLevel="0" max="69" min="68" style="0" width="9.38"/>
  </cols>
  <sheetData>
    <row r="1" customFormat="false" ht="41.75" hidden="false" customHeight="false" outlineLevel="0" collapsed="false">
      <c r="A1" s="1"/>
      <c r="B1" s="2" t="s">
        <v>0</v>
      </c>
      <c r="C1" s="3" t="str">
        <f aca="false"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127"/>
      <c r="W1" s="4"/>
      <c r="X1" s="4"/>
      <c r="Y1" s="128"/>
      <c r="Z1" s="128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6"/>
    </row>
    <row r="2" customFormat="false" ht="26.25" hidden="false" customHeight="true" outlineLevel="0" collapsed="false">
      <c r="A2" s="7"/>
      <c r="B2" s="8" t="s">
        <v>1</v>
      </c>
      <c r="C2" s="9"/>
      <c r="D2" s="9" t="s">
        <v>8</v>
      </c>
      <c r="E2" s="9" t="s">
        <v>149</v>
      </c>
      <c r="F2" s="9" t="s">
        <v>149</v>
      </c>
      <c r="G2" s="9"/>
      <c r="H2" s="9" t="s">
        <v>150</v>
      </c>
      <c r="I2" s="9" t="s">
        <v>465</v>
      </c>
      <c r="J2" s="9"/>
      <c r="K2" s="9"/>
      <c r="L2" s="9"/>
      <c r="M2" s="9"/>
      <c r="N2" s="9"/>
      <c r="O2" s="9"/>
      <c r="P2" s="9"/>
      <c r="Q2" s="9"/>
      <c r="R2" s="9"/>
      <c r="S2" s="9"/>
      <c r="T2" s="119"/>
      <c r="U2" s="9"/>
      <c r="V2" s="129"/>
      <c r="W2" s="9"/>
      <c r="X2" s="9"/>
      <c r="Y2" s="9"/>
      <c r="Z2" s="9"/>
      <c r="AA2" s="11"/>
      <c r="AB2" s="9"/>
      <c r="AC2" s="9"/>
      <c r="AD2" s="9"/>
      <c r="AE2" s="9"/>
      <c r="AF2" s="9"/>
      <c r="AG2" s="9"/>
      <c r="AH2" s="93"/>
      <c r="AI2" s="12"/>
      <c r="AJ2" s="12"/>
      <c r="AK2" s="12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4" t="s">
        <v>16</v>
      </c>
      <c r="BB2" s="14"/>
      <c r="BC2" s="14" t="s">
        <v>17</v>
      </c>
      <c r="BD2" s="14"/>
      <c r="BE2" s="14" t="s">
        <v>18</v>
      </c>
      <c r="BF2" s="14"/>
      <c r="BG2" s="14"/>
      <c r="BH2" s="14" t="s">
        <v>19</v>
      </c>
      <c r="BI2" s="14"/>
      <c r="BJ2" s="14" t="s">
        <v>20</v>
      </c>
      <c r="BK2" s="14"/>
      <c r="BL2" s="14"/>
      <c r="BM2" s="14"/>
      <c r="BN2" s="13"/>
      <c r="BO2" s="13"/>
      <c r="BP2" s="13"/>
      <c r="BQ2" s="15"/>
    </row>
    <row r="3" customFormat="false" ht="26.25" hidden="false" customHeight="true" outlineLevel="0" collapsed="false">
      <c r="A3" s="7"/>
      <c r="B3" s="8" t="s">
        <v>21</v>
      </c>
      <c r="C3" s="123" t="n">
        <v>45809</v>
      </c>
      <c r="D3" s="17" t="n">
        <f aca="false">C3+1</f>
        <v>45810</v>
      </c>
      <c r="E3" s="17" t="n">
        <f aca="false">D3+1</f>
        <v>45811</v>
      </c>
      <c r="F3" s="17" t="n">
        <f aca="false">E3+1</f>
        <v>45812</v>
      </c>
      <c r="G3" s="17" t="n">
        <f aca="false">F3+1</f>
        <v>45813</v>
      </c>
      <c r="H3" s="17" t="n">
        <f aca="false">G3+1</f>
        <v>45814</v>
      </c>
      <c r="I3" s="17" t="n">
        <f aca="false">H3+1</f>
        <v>45815</v>
      </c>
      <c r="J3" s="17" t="n">
        <f aca="false">I3+1</f>
        <v>45816</v>
      </c>
      <c r="K3" s="17" t="n">
        <f aca="false">J3+1</f>
        <v>45817</v>
      </c>
      <c r="L3" s="17" t="n">
        <f aca="false">K3+1</f>
        <v>45818</v>
      </c>
      <c r="M3" s="17" t="n">
        <f aca="false">L3+1</f>
        <v>45819</v>
      </c>
      <c r="N3" s="17" t="n">
        <f aca="false">M3+1</f>
        <v>45820</v>
      </c>
      <c r="O3" s="17" t="n">
        <f aca="false">N3+1</f>
        <v>45821</v>
      </c>
      <c r="P3" s="17" t="n">
        <f aca="false">O3+1</f>
        <v>45822</v>
      </c>
      <c r="Q3" s="17" t="n">
        <f aca="false">P3+1</f>
        <v>45823</v>
      </c>
      <c r="R3" s="17" t="n">
        <f aca="false">Q3+1</f>
        <v>45824</v>
      </c>
      <c r="S3" s="17" t="n">
        <f aca="false">R3+1</f>
        <v>45825</v>
      </c>
      <c r="T3" s="113" t="n">
        <f aca="false">S3+1</f>
        <v>45826</v>
      </c>
      <c r="U3" s="17" t="n">
        <f aca="false">T3+1</f>
        <v>45827</v>
      </c>
      <c r="V3" s="130" t="n">
        <f aca="false">U3+1</f>
        <v>45828</v>
      </c>
      <c r="W3" s="17" t="n">
        <f aca="false">V3+1</f>
        <v>45829</v>
      </c>
      <c r="X3" s="17" t="n">
        <f aca="false">W3+1</f>
        <v>45830</v>
      </c>
      <c r="Y3" s="17" t="n">
        <f aca="false">X3+1</f>
        <v>45831</v>
      </c>
      <c r="Z3" s="17" t="n">
        <f aca="false">Y3+1</f>
        <v>45832</v>
      </c>
      <c r="AA3" s="17" t="n">
        <f aca="false">Z3+1</f>
        <v>45833</v>
      </c>
      <c r="AB3" s="17" t="n">
        <f aca="false">AA3+1</f>
        <v>45834</v>
      </c>
      <c r="AC3" s="17" t="n">
        <f aca="false">AB3+1</f>
        <v>45835</v>
      </c>
      <c r="AD3" s="17" t="n">
        <f aca="false">AC3+1</f>
        <v>45836</v>
      </c>
      <c r="AE3" s="17" t="n">
        <f aca="false">AD3+1</f>
        <v>45837</v>
      </c>
      <c r="AF3" s="17" t="n">
        <f aca="false">AE3+1</f>
        <v>45838</v>
      </c>
      <c r="AG3" s="113" t="n">
        <f aca="false">AF3+1</f>
        <v>45839</v>
      </c>
      <c r="AH3" s="17" t="n">
        <f aca="false">AG3+1</f>
        <v>45840</v>
      </c>
      <c r="AI3" s="18" t="str">
        <f aca="false">'Setting key Duty'!$C7</f>
        <v>DM</v>
      </c>
      <c r="AJ3" s="19" t="str">
        <f aca="false">'Setting key Duty'!$C8</f>
        <v>CS1</v>
      </c>
      <c r="AK3" s="20" t="str">
        <f aca="false">'Setting key Duty'!$C9</f>
        <v>CS2</v>
      </c>
      <c r="AL3" s="21" t="str">
        <f aca="false">'Setting key Duty'!$C11</f>
        <v>SB1</v>
      </c>
      <c r="AM3" s="21" t="str">
        <f aca="false">'Setting key Duty'!$C12</f>
        <v>SB2</v>
      </c>
      <c r="AN3" s="21" t="str">
        <f aca="false">'Setting key Duty'!$C13</f>
        <v>AE</v>
      </c>
      <c r="AO3" s="21" t="str">
        <f aca="false">'Setting key Duty'!C14</f>
        <v>EM</v>
      </c>
      <c r="AP3" s="20"/>
      <c r="AQ3" s="20" t="s">
        <v>22</v>
      </c>
      <c r="AR3" s="20" t="s">
        <v>23</v>
      </c>
      <c r="AS3" s="20" t="s">
        <v>24</v>
      </c>
      <c r="AT3" s="20" t="s">
        <v>25</v>
      </c>
      <c r="AU3" s="20" t="s">
        <v>26</v>
      </c>
      <c r="AV3" s="20" t="s">
        <v>27</v>
      </c>
      <c r="AW3" s="20" t="s">
        <v>28</v>
      </c>
      <c r="AX3" s="20" t="s">
        <v>29</v>
      </c>
      <c r="AY3" s="20" t="s">
        <v>30</v>
      </c>
      <c r="AZ3" s="20" t="s">
        <v>31</v>
      </c>
      <c r="BA3" s="21" t="s">
        <v>32</v>
      </c>
      <c r="BB3" s="20" t="s">
        <v>33</v>
      </c>
      <c r="BC3" s="21" t="s">
        <v>34</v>
      </c>
      <c r="BD3" s="20" t="s">
        <v>35</v>
      </c>
      <c r="BE3" s="21" t="s">
        <v>36</v>
      </c>
      <c r="BF3" s="20" t="s">
        <v>37</v>
      </c>
      <c r="BG3" s="20" t="s">
        <v>38</v>
      </c>
      <c r="BH3" s="20" t="s">
        <v>39</v>
      </c>
      <c r="BI3" s="20" t="s">
        <v>40</v>
      </c>
      <c r="BJ3" s="20" t="s">
        <v>41</v>
      </c>
      <c r="BK3" s="20" t="s">
        <v>42</v>
      </c>
      <c r="BL3" s="21" t="str">
        <f aca="false">'Setting key Duty'!C52</f>
        <v>Field Camp</v>
      </c>
      <c r="BM3" s="20" t="s">
        <v>43</v>
      </c>
      <c r="BN3" s="21" t="str">
        <f aca="false">'Setting key Duty'!$C15</f>
        <v>Block</v>
      </c>
      <c r="BO3" s="21" t="str">
        <f aca="false">'Setting key Duty'!C17</f>
        <v>Reserve</v>
      </c>
      <c r="BP3" s="21" t="str">
        <f aca="false">'Setting key Duty'!$C22</f>
        <v>AL</v>
      </c>
      <c r="BQ3" s="15"/>
    </row>
    <row r="4" customFormat="false" ht="18" hidden="false" customHeight="true" outlineLevel="0" collapsed="false">
      <c r="A4" s="22"/>
      <c r="B4" s="23" t="s">
        <v>156</v>
      </c>
      <c r="C4" s="114" t="str">
        <f aca="false">TEXT(C3,"ddd")</f>
        <v>Sun</v>
      </c>
      <c r="D4" s="24" t="str">
        <f aca="false">TEXT(D3,"ddd")</f>
        <v>Mon</v>
      </c>
      <c r="E4" s="24" t="str">
        <f aca="false">TEXT(E3,"ddd")</f>
        <v>Tue</v>
      </c>
      <c r="F4" s="24" t="str">
        <f aca="false">TEXT(F3,"ddd")</f>
        <v>Wed</v>
      </c>
      <c r="G4" s="24" t="str">
        <f aca="false">TEXT(G3,"ddd")</f>
        <v>Thu</v>
      </c>
      <c r="H4" s="24" t="str">
        <f aca="false">TEXT(H3,"ddd")</f>
        <v>Fri</v>
      </c>
      <c r="I4" s="24" t="str">
        <f aca="false">TEXT(I3,"ddd")</f>
        <v>Sat</v>
      </c>
      <c r="J4" s="24" t="str">
        <f aca="false">TEXT(J3,"ddd")</f>
        <v>Sun</v>
      </c>
      <c r="K4" s="24" t="str">
        <f aca="false">TEXT(K3,"ddd")</f>
        <v>Mon</v>
      </c>
      <c r="L4" s="24" t="str">
        <f aca="false">TEXT(L3,"ddd")</f>
        <v>Tue</v>
      </c>
      <c r="M4" s="24" t="str">
        <f aca="false">TEXT(M3,"ddd")</f>
        <v>Wed</v>
      </c>
      <c r="N4" s="24" t="str">
        <f aca="false">TEXT(N3,"ddd")</f>
        <v>Thu</v>
      </c>
      <c r="O4" s="24" t="str">
        <f aca="false">TEXT(O3,"ddd")</f>
        <v>Fri</v>
      </c>
      <c r="P4" s="24" t="str">
        <f aca="false">TEXT(P3,"ddd")</f>
        <v>Sat</v>
      </c>
      <c r="Q4" s="24" t="str">
        <f aca="false">TEXT(Q3,"ddd")</f>
        <v>Sun</v>
      </c>
      <c r="R4" s="24" t="str">
        <f aca="false">TEXT(R3,"ddd")</f>
        <v>Mon</v>
      </c>
      <c r="S4" s="24" t="str">
        <f aca="false">TEXT(S3,"ddd")</f>
        <v>Tue</v>
      </c>
      <c r="T4" s="114" t="str">
        <f aca="false">TEXT(T3,"ddd")</f>
        <v>Wed</v>
      </c>
      <c r="U4" s="24" t="str">
        <f aca="false">TEXT(U3,"ddd")</f>
        <v>Thu</v>
      </c>
      <c r="V4" s="131" t="str">
        <f aca="false">TEXT(V3,"ddd")</f>
        <v>Fri</v>
      </c>
      <c r="W4" s="24" t="str">
        <f aca="false">TEXT(W3,"ddd")</f>
        <v>Sat</v>
      </c>
      <c r="X4" s="24" t="str">
        <f aca="false">TEXT(X3,"ddd")</f>
        <v>Sun</v>
      </c>
      <c r="Y4" s="24" t="str">
        <f aca="false">TEXT(Y3,"ddd")</f>
        <v>Mon</v>
      </c>
      <c r="Z4" s="24" t="str">
        <f aca="false">TEXT(Z3,"ddd")</f>
        <v>Tue</v>
      </c>
      <c r="AA4" s="24" t="str">
        <f aca="false">TEXT(AA3,"ddd")</f>
        <v>Wed</v>
      </c>
      <c r="AB4" s="24" t="str">
        <f aca="false">TEXT(AB3,"ddd")</f>
        <v>Thu</v>
      </c>
      <c r="AC4" s="24" t="str">
        <f aca="false">TEXT(AC3,"ddd")</f>
        <v>Fri</v>
      </c>
      <c r="AD4" s="24" t="str">
        <f aca="false">TEXT(AD3,"ddd")</f>
        <v>Sat</v>
      </c>
      <c r="AE4" s="24" t="str">
        <f aca="false">TEXT(AE3,"ddd")</f>
        <v>Sun</v>
      </c>
      <c r="AF4" s="24" t="str">
        <f aca="false">TEXT(AF3,"ddd")</f>
        <v>Mon</v>
      </c>
      <c r="AG4" s="114" t="str">
        <f aca="false">TEXT(AG3,"ddd")</f>
        <v>Tue</v>
      </c>
      <c r="AH4" s="24" t="str">
        <f aca="false">TEXT(AH3,"ddd")</f>
        <v>Wed</v>
      </c>
      <c r="AI4" s="25" t="str">
        <f aca="false">'Setting key Duty'!$B7</f>
        <v>DM</v>
      </c>
      <c r="AJ4" s="26" t="str">
        <f aca="false">'Setting key Duty'!$B8</f>
        <v>CS1</v>
      </c>
      <c r="AK4" s="27" t="str">
        <f aca="false">'Setting key Duty'!$B9</f>
        <v>CS2</v>
      </c>
      <c r="AL4" s="28" t="str">
        <f aca="false">'Setting key Duty'!$B11</f>
        <v>SB1</v>
      </c>
      <c r="AM4" s="28" t="str">
        <f aca="false">'Setting key Duty'!$B12</f>
        <v>SB2</v>
      </c>
      <c r="AN4" s="28" t="str">
        <f aca="false">'Setting key Duty'!$B13</f>
        <v>AE</v>
      </c>
      <c r="AO4" s="28" t="str">
        <f aca="false">'Setting key Duty'!B14</f>
        <v>EM</v>
      </c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 t="s">
        <v>45</v>
      </c>
      <c r="BA4" s="28" t="s">
        <v>46</v>
      </c>
      <c r="BB4" s="28"/>
      <c r="BC4" s="28" t="s">
        <v>47</v>
      </c>
      <c r="BD4" s="28"/>
      <c r="BE4" s="28" t="s">
        <v>48</v>
      </c>
      <c r="BF4" s="28"/>
      <c r="BG4" s="28" t="s">
        <v>49</v>
      </c>
      <c r="BH4" s="28" t="s">
        <v>50</v>
      </c>
      <c r="BI4" s="28"/>
      <c r="BJ4" s="28" t="s">
        <v>51</v>
      </c>
      <c r="BK4" s="28"/>
      <c r="BL4" s="28" t="str">
        <f aca="false">'Setting key Duty'!B52</f>
        <v>$FC</v>
      </c>
      <c r="BM4" s="28"/>
      <c r="BN4" s="28" t="n">
        <f aca="false">'Setting key Duty'!$B15</f>
        <v>0</v>
      </c>
      <c r="BO4" s="28" t="str">
        <f aca="false">'Setting key Duty'!B17</f>
        <v>RESERVE</v>
      </c>
      <c r="BP4" s="28" t="str">
        <f aca="false">'Setting key Duty'!$B22</f>
        <v>AL</v>
      </c>
      <c r="BQ4" s="29"/>
    </row>
    <row r="5" customFormat="false" ht="19.5" hidden="false" customHeight="true" outlineLevel="0" collapsed="false">
      <c r="A5" s="30"/>
      <c r="B5" s="48" t="s">
        <v>420</v>
      </c>
      <c r="C5" s="32"/>
      <c r="D5" s="32" t="s">
        <v>350</v>
      </c>
      <c r="E5" s="32" t="s">
        <v>59</v>
      </c>
      <c r="F5" s="32"/>
      <c r="H5" s="32"/>
      <c r="I5" s="32"/>
      <c r="J5" s="32"/>
      <c r="K5" s="32"/>
      <c r="M5" s="32" t="s">
        <v>57</v>
      </c>
      <c r="N5" s="32"/>
      <c r="O5" s="32"/>
      <c r="P5" s="32" t="s">
        <v>54</v>
      </c>
      <c r="Q5" s="32" t="s">
        <v>54</v>
      </c>
      <c r="R5" s="32" t="s">
        <v>54</v>
      </c>
      <c r="S5" s="32" t="s">
        <v>54</v>
      </c>
      <c r="T5" s="32" t="s">
        <v>54</v>
      </c>
      <c r="U5" s="32" t="s">
        <v>54</v>
      </c>
      <c r="V5" s="50" t="s">
        <v>54</v>
      </c>
      <c r="W5" s="32" t="s">
        <v>54</v>
      </c>
      <c r="X5" s="32" t="s">
        <v>54</v>
      </c>
      <c r="Y5" s="32" t="s">
        <v>59</v>
      </c>
      <c r="Z5" s="32"/>
      <c r="AA5" s="32" t="s">
        <v>57</v>
      </c>
      <c r="AC5" s="32"/>
      <c r="AD5" s="32" t="s">
        <v>56</v>
      </c>
      <c r="AE5" s="32"/>
      <c r="AF5" s="32" t="s">
        <v>350</v>
      </c>
      <c r="AG5" s="32"/>
      <c r="AH5" s="32"/>
      <c r="AI5" s="35"/>
      <c r="AJ5" s="36"/>
      <c r="AK5" s="35"/>
      <c r="AL5" s="37"/>
      <c r="AM5" s="37"/>
      <c r="AN5" s="37"/>
      <c r="AO5" s="37"/>
      <c r="AP5" s="38"/>
      <c r="AQ5" s="37" t="n">
        <f aca="false">SUMPRODUCT(--WEEKDAY(C$3:AG$3,2)&lt;6,--((C5:AG5="DM"))+(C5:AG5="CS1")+((C5:AG5="CS2"))+(C5:AG5="SB1")+(C5:AG5="AE")+(C5:AG5="EM"))</f>
        <v>4</v>
      </c>
      <c r="AR5" s="38"/>
      <c r="AS5" s="38" t="n">
        <f aca="false">SUMPRODUCT(--WEEKDAY(C$3:AG$3,2)&gt;5,--((C5:AG5="DM"))+(C5:AG5="CS1")+((C5:AG5="CS2"))+(C5:AG5="SB1")+(C5:AG5="AE")+(C5:AG5="EM"))</f>
        <v>1</v>
      </c>
      <c r="AT5" s="38"/>
      <c r="AU5" s="38" t="n">
        <f aca="false">(AQ5-AR5)/2+(AS5-AT5)</f>
        <v>3</v>
      </c>
      <c r="AV5" s="38" t="n">
        <f aca="false">AI5+AJ5+AK5+AL5+AN5+AO5</f>
        <v>0</v>
      </c>
      <c r="AW5" s="38" t="n">
        <f aca="false">BG5+BH5+BJ5+BE5+BC5+BA5+BL5</f>
        <v>0</v>
      </c>
      <c r="AX5" s="38" t="e">
        <f aca="false">AU5+$AY$10</f>
        <v>#VALUE!</v>
      </c>
      <c r="AY5" s="37" t="e">
        <f aca="false">(BJ5*('Setting key Duty'!$I$8+'Setting key Duty'!$I$12))+(BH5*'Setting key Duty'!$I$9)+(BC5*('Setting key Duty'!$I$13+'Setting key Duty'!$I$9))+(BA5*('Setting key Duty'!$I$13+'Setting key Duty'!$I$12+'Setting key Duty'!$I$11))+(BE5*('Setting key Duty'!$I$8+'Setting key Duty'!$I$9+'Setting key Duty'!$I$12))</f>
        <v>#VALUE!</v>
      </c>
      <c r="AZ5" s="37" t="n">
        <f aca="false">COUNTIF(D5:AA5,"*BRT*")</f>
        <v>0</v>
      </c>
      <c r="BA5" s="37" t="n">
        <f aca="false">COUNTIF(A5:AI5,"*$BTP*")</f>
        <v>0</v>
      </c>
      <c r="BB5" s="37" t="e">
        <f aca="false">BA5*('Setting key Duty'!$I$13+'Setting key Duty'!$I$12+'Setting key Duty'!$I$11)</f>
        <v>#VALUE!</v>
      </c>
      <c r="BC5" s="37" t="n">
        <f aca="false">COUNTIF(A5:AI5,"*$L*")</f>
        <v>0</v>
      </c>
      <c r="BD5" s="37" t="e">
        <f aca="false">BC5*('Setting key Duty'!$I$13+'Setting key Duty'!$I$9)</f>
        <v>#VALUE!</v>
      </c>
      <c r="BE5" s="37" t="n">
        <f aca="false">COUNTIF(A5:AI5,"*$M*")</f>
        <v>0</v>
      </c>
      <c r="BF5" s="37" t="n">
        <f aca="false">BE5*('Setting key Duty'!$I$8+'Setting key Duty'!$I$9+'Setting key Duty'!$I$12)</f>
        <v>0</v>
      </c>
      <c r="BG5" s="37" t="n">
        <f aca="false">COUNTIF(AI5,"*$N*")</f>
        <v>0</v>
      </c>
      <c r="BH5" s="37" t="n">
        <f aca="false">COUNTIF(AI5,"*$PM*")</f>
        <v>0</v>
      </c>
      <c r="BI5" s="37" t="n">
        <f aca="false">BH5*('Setting key Duty'!$I$9)</f>
        <v>0</v>
      </c>
      <c r="BJ5" s="37" t="n">
        <f aca="false">COUNTIF(A5:AI5,"*$AM*")</f>
        <v>0</v>
      </c>
      <c r="BK5" s="37" t="n">
        <f aca="false">BJ5*('Setting key Duty'!$I$12+'Setting key Duty'!$I$8)</f>
        <v>0</v>
      </c>
      <c r="BL5" s="37" t="n">
        <f aca="false">COUNTIF(D5:AI5,"*$FC*")</f>
        <v>0</v>
      </c>
      <c r="BM5" s="37" t="n">
        <f aca="false">BL5*('Setting key Duty'!$J$11+'Setting key Duty'!$I$8)</f>
        <v>0</v>
      </c>
      <c r="BN5" s="37" t="n">
        <f aca="false">COUNTIF($D5:$AA5,BN$4)</f>
        <v>0</v>
      </c>
      <c r="BO5" s="37" t="n">
        <f aca="false">COUNTIF($D5:$AA5,BO$4)</f>
        <v>1</v>
      </c>
      <c r="BP5" s="37" t="n">
        <f aca="false">COUNTIF($D5:$AA5,BP$4)</f>
        <v>0</v>
      </c>
      <c r="BQ5" s="39"/>
    </row>
    <row r="6" customFormat="false" ht="36" hidden="false" customHeight="true" outlineLevel="0" collapsed="false">
      <c r="A6" s="30"/>
      <c r="B6" s="97" t="s">
        <v>60</v>
      </c>
      <c r="C6" s="32" t="s">
        <v>57</v>
      </c>
      <c r="D6" s="32"/>
      <c r="E6" s="32" t="s">
        <v>350</v>
      </c>
      <c r="F6" s="32"/>
      <c r="G6" s="32" t="s">
        <v>150</v>
      </c>
      <c r="H6" s="32" t="s">
        <v>150</v>
      </c>
      <c r="I6" s="32" t="s">
        <v>150</v>
      </c>
      <c r="J6" s="32"/>
      <c r="K6" s="42"/>
      <c r="L6" s="42" t="s">
        <v>56</v>
      </c>
      <c r="M6" s="32"/>
      <c r="N6" s="32"/>
      <c r="O6" s="32"/>
      <c r="Q6" s="32" t="s">
        <v>56</v>
      </c>
      <c r="R6" s="32"/>
      <c r="S6" s="32" t="s">
        <v>350</v>
      </c>
      <c r="T6" s="32"/>
      <c r="U6" s="32" t="s">
        <v>59</v>
      </c>
      <c r="V6" s="50"/>
      <c r="W6" s="32"/>
      <c r="X6" s="32"/>
      <c r="Y6" s="42" t="s">
        <v>223</v>
      </c>
      <c r="AA6" s="32" t="s">
        <v>350</v>
      </c>
      <c r="AB6" s="32"/>
      <c r="AC6" s="32" t="s">
        <v>56</v>
      </c>
      <c r="AD6" s="32"/>
      <c r="AE6" s="32"/>
      <c r="AF6" s="33"/>
      <c r="AG6" s="32"/>
      <c r="AH6" s="32"/>
      <c r="AI6" s="35" t="n">
        <f aca="false">COUNTIF($D6:$AE6,AI$4)</f>
        <v>0</v>
      </c>
      <c r="AJ6" s="36" t="n">
        <f aca="false">COUNTIF($D6:$AE6,AJ$4)</f>
        <v>3</v>
      </c>
      <c r="AK6" s="35" t="n">
        <f aca="false">COUNTIF($D6:$AE6,AK$4)</f>
        <v>1</v>
      </c>
      <c r="AL6" s="37" t="n">
        <f aca="false">COUNTIF($D6:$AE6,AL$4)</f>
        <v>0</v>
      </c>
      <c r="AM6" s="37" t="n">
        <f aca="false">COUNTIF($D6:$AE6,AM$4)</f>
        <v>0</v>
      </c>
      <c r="AN6" s="37" t="n">
        <f aca="false">COUNTIF($D6:$AE6,AN$4)</f>
        <v>0</v>
      </c>
      <c r="AO6" s="37" t="n">
        <f aca="false">COUNTIF($D6:$AE6,AO$4)</f>
        <v>0</v>
      </c>
      <c r="AP6" s="38"/>
      <c r="AQ6" s="37" t="n">
        <f aca="false">SUMPRODUCT(--WEEKDAY(C$3:AG$3,2)&lt;6,--((C6:AG6="DM"))+(C6:AG6="CS1")+((C6:AG6="CS2"))+(C6:AG6="SB1")+(C6:AG6="AE")+(C6:AG6="EM"))</f>
        <v>3</v>
      </c>
      <c r="AR6" s="38"/>
      <c r="AS6" s="38" t="n">
        <f aca="false">SUMPRODUCT(--WEEKDAY(C$3:AG$3,2)&gt;5,--((C6:AG6="DM"))+(C6:AG6="CS1")+((C6:AG6="CS2"))+(C6:AG6="SB1")+(C6:AG6="AE")+(C6:AG6="EM"))</f>
        <v>2</v>
      </c>
      <c r="AT6" s="38"/>
      <c r="AU6" s="38" t="n">
        <f aca="false">(AQ6-AR6)/2+(AS6-AT6)</f>
        <v>3.5</v>
      </c>
      <c r="AV6" s="38" t="n">
        <f aca="false">AI6+AJ6+AK6+AL6+AN6+AO6</f>
        <v>4</v>
      </c>
      <c r="AW6" s="38" t="e">
        <f aca="false">AU6+AY6</f>
        <v>#VALUE!</v>
      </c>
      <c r="AX6" s="38" t="e">
        <f aca="false">AU6+AY6</f>
        <v>#VALUE!</v>
      </c>
      <c r="AY6" s="37" t="e">
        <f aca="false">(BJ6*('Setting key Duty'!$I$8+'Setting key Duty'!$I$12))+(BH6*'Setting key Duty'!$I$9)+(BC6*('Setting key Duty'!$I$13+'Setting key Duty'!$I$9))+(BA6*('Setting key Duty'!$I$13+'Setting key Duty'!$I$12+'Setting key Duty'!$I$11))+(BE6*('Setting key Duty'!$I$8+'Setting key Duty'!$I$9+'Setting key Duty'!$I$12))</f>
        <v>#VALUE!</v>
      </c>
      <c r="AZ6" s="37" t="n">
        <f aca="false">COUNTIF(D6:AE6,"*BRT*")</f>
        <v>0</v>
      </c>
      <c r="BA6" s="37" t="n">
        <f aca="false">COUNTIF(A6:AI6,"*$BTP*")</f>
        <v>0</v>
      </c>
      <c r="BB6" s="37" t="e">
        <f aca="false">BA6*('Setting key Duty'!$I$13+'Setting key Duty'!$I$12+'Setting key Duty'!$I$11)</f>
        <v>#VALUE!</v>
      </c>
      <c r="BC6" s="37" t="n">
        <f aca="false">COUNTIF(A6:AI6,"*$L*")</f>
        <v>0</v>
      </c>
      <c r="BD6" s="37" t="e">
        <f aca="false">BC6*('Setting key Duty'!$I$13+'Setting key Duty'!$I$9)</f>
        <v>#VALUE!</v>
      </c>
      <c r="BE6" s="37" t="n">
        <f aca="false">COUNTIF(A6:AI6,"*$M*")</f>
        <v>0</v>
      </c>
      <c r="BF6" s="37" t="n">
        <f aca="false">BE6*('Setting key Duty'!$I$8+'Setting key Duty'!$I$9+'Setting key Duty'!$I$12)</f>
        <v>0</v>
      </c>
      <c r="BG6" s="37" t="n">
        <f aca="false">COUNTIF(AE6:AI6,"*$N*")</f>
        <v>0</v>
      </c>
      <c r="BH6" s="37" t="n">
        <f aca="false">COUNTIF(AE6:AI6,"*$PM*")</f>
        <v>0</v>
      </c>
      <c r="BI6" s="37" t="n">
        <f aca="false">BH6*('Setting key Duty'!$I$9)</f>
        <v>0</v>
      </c>
      <c r="BJ6" s="37" t="n">
        <f aca="false">COUNTIF(A6:AI6,"*$AM*")</f>
        <v>0</v>
      </c>
      <c r="BK6" s="37" t="n">
        <f aca="false">BJ6*('Setting key Duty'!$I$12+'Setting key Duty'!$I$8)</f>
        <v>0</v>
      </c>
      <c r="BL6" s="37" t="n">
        <f aca="false">COUNTIF(D6:AI6,"*$FC*")</f>
        <v>0</v>
      </c>
      <c r="BM6" s="37" t="n">
        <f aca="false">BL6*('Setting key Duty'!$J$11+'Setting key Duty'!$I$8)</f>
        <v>0</v>
      </c>
      <c r="BN6" s="37" t="n">
        <f aca="false">COUNTIF($D6:$AE6,BN$4)</f>
        <v>0</v>
      </c>
      <c r="BO6" s="37" t="n">
        <f aca="false">COUNTIF($D6:$AE6,BO$4)</f>
        <v>3</v>
      </c>
      <c r="BP6" s="37" t="n">
        <f aca="false">COUNTIF($D6:$AE6,BP$4)</f>
        <v>0</v>
      </c>
      <c r="BQ6" s="39"/>
    </row>
    <row r="7" customFormat="false" ht="19.5" hidden="false" customHeight="true" outlineLevel="0" collapsed="false">
      <c r="A7" s="30"/>
      <c r="B7" s="100" t="s">
        <v>211</v>
      </c>
      <c r="D7" s="32"/>
      <c r="E7" s="32" t="s">
        <v>56</v>
      </c>
      <c r="F7" s="32"/>
      <c r="G7" s="42"/>
      <c r="H7" s="32" t="s">
        <v>54</v>
      </c>
      <c r="I7" s="32" t="s">
        <v>54</v>
      </c>
      <c r="J7" s="32" t="s">
        <v>54</v>
      </c>
      <c r="K7" s="32" t="s">
        <v>54</v>
      </c>
      <c r="L7" s="32" t="s">
        <v>54</v>
      </c>
      <c r="M7" s="32" t="s">
        <v>54</v>
      </c>
      <c r="N7" s="32" t="s">
        <v>54</v>
      </c>
      <c r="O7" s="32" t="s">
        <v>54</v>
      </c>
      <c r="P7" s="32" t="s">
        <v>54</v>
      </c>
      <c r="Q7" s="32" t="s">
        <v>54</v>
      </c>
      <c r="R7" s="32" t="s">
        <v>54</v>
      </c>
      <c r="S7" s="32" t="s">
        <v>54</v>
      </c>
      <c r="T7" s="32" t="s">
        <v>54</v>
      </c>
      <c r="U7" s="32" t="s">
        <v>54</v>
      </c>
      <c r="V7" s="50" t="s">
        <v>54</v>
      </c>
      <c r="W7" s="32" t="s">
        <v>54</v>
      </c>
      <c r="X7" s="32" t="s">
        <v>54</v>
      </c>
      <c r="Y7" s="32" t="s">
        <v>54</v>
      </c>
      <c r="Z7" s="98"/>
      <c r="AA7" s="32" t="s">
        <v>56</v>
      </c>
      <c r="AB7" s="32"/>
      <c r="AC7" s="32"/>
      <c r="AD7" s="32" t="s">
        <v>57</v>
      </c>
      <c r="AF7" s="32" t="s">
        <v>57</v>
      </c>
      <c r="AG7" s="32"/>
      <c r="AH7" s="32"/>
      <c r="AI7" s="35" t="e">
        <f aca="false">COUNTIF(#REF!,AI$4)</f>
        <v>#REF!</v>
      </c>
      <c r="AJ7" s="36" t="e">
        <f aca="false">COUNTIF(#REF!,AJ$4)</f>
        <v>#REF!</v>
      </c>
      <c r="AK7" s="35" t="e">
        <f aca="false">COUNTIF(#REF!,AK$4)</f>
        <v>#REF!</v>
      </c>
      <c r="AL7" s="37" t="e">
        <f aca="false">COUNTIF(#REF!,AL$4)</f>
        <v>#REF!</v>
      </c>
      <c r="AM7" s="37" t="e">
        <f aca="false">COUNTIF(#REF!,AM$4)</f>
        <v>#REF!</v>
      </c>
      <c r="AN7" s="37" t="e">
        <f aca="false">COUNTIF(#REF!,AN$4)</f>
        <v>#REF!</v>
      </c>
      <c r="AO7" s="37" t="e">
        <f aca="false">COUNTIF(#REF!,AO$4)</f>
        <v>#REF!</v>
      </c>
      <c r="AP7" s="38"/>
      <c r="AQ7" s="37" t="n">
        <f aca="false">SUMPRODUCT(--WEEKDAY(C$3:AG$3,2)&lt;6,--((C7:AG7="DM"))+(C7:AG7="CS1")+((C7:AG7="CS2"))+(C7:AG7="SB1")+(C7:AG7="AE")+(C7:AG7="EM"))</f>
        <v>3</v>
      </c>
      <c r="AR7" s="38"/>
      <c r="AS7" s="38" t="n">
        <f aca="false">SUMPRODUCT(--WEEKDAY(C$3:AG$3,2)&gt;5,--((C7:AG7="DM"))+(C7:AG7="CS1")+((C7:AG7="CS2"))+(C7:AG7="SB1")+(C7:AG7="AE")+(C7:AG7="EM"))</f>
        <v>1</v>
      </c>
      <c r="AT7" s="38"/>
      <c r="AU7" s="38" t="n">
        <f aca="false">(AQ7-AR7)/2+(AS7-AT7)</f>
        <v>2.5</v>
      </c>
      <c r="AV7" s="38" t="e">
        <f aca="false">AI7+AJ7+AK7+AL7+AN7+AO7</f>
        <v>#REF!</v>
      </c>
      <c r="AW7" s="38" t="n">
        <f aca="false">BG7+BH7+BJ7+BE7+BC7+BA7+BL7</f>
        <v>0</v>
      </c>
      <c r="AX7" s="38" t="e">
        <f aca="false">AU7+AY7</f>
        <v>#VALUE!</v>
      </c>
      <c r="AY7" s="37" t="e">
        <f aca="false">(BJ7*('Setting key Duty'!$I$8+'Setting key Duty'!$I$12))+(BH7*'Setting key Duty'!$I$9)+(BC7*('Setting key Duty'!$I$13+'Setting key Duty'!$I$9))+(BA7*('Setting key Duty'!$I$13+'Setting key Duty'!$I$12+'Setting key Duty'!$I$11))+(BE7*('Setting key Duty'!$I$8+'Setting key Duty'!$I$9+'Setting key Duty'!$I$12))</f>
        <v>#VALUE!</v>
      </c>
      <c r="AZ7" s="37" t="e">
        <f aca="false">COUNTIF(#REF!,"*BRT*")</f>
        <v>#REF!</v>
      </c>
      <c r="BA7" s="37" t="n">
        <f aca="false">COUNTIF(A7:AI7,"*$BTP*")</f>
        <v>0</v>
      </c>
      <c r="BB7" s="37" t="e">
        <f aca="false">BA7*('Setting key Duty'!$I$13+'Setting key Duty'!$I$12+'Setting key Duty'!$I$11)</f>
        <v>#VALUE!</v>
      </c>
      <c r="BC7" s="37" t="n">
        <f aca="false">COUNTIF(A7:AI7,"*$L*")</f>
        <v>0</v>
      </c>
      <c r="BD7" s="37" t="e">
        <f aca="false">BC7*('Setting key Duty'!$I$13+'Setting key Duty'!$I$9)</f>
        <v>#VALUE!</v>
      </c>
      <c r="BE7" s="37" t="n">
        <f aca="false">COUNTIF(A7:AI7,"*$M*")</f>
        <v>0</v>
      </c>
      <c r="BF7" s="37" t="n">
        <f aca="false">BE7*('Setting key Duty'!$I$8+'Setting key Duty'!$I$9+'Setting key Duty'!$I$12)</f>
        <v>0</v>
      </c>
      <c r="BG7" s="37" t="n">
        <f aca="false">COUNTIF(A7:AI7,"*$N*")</f>
        <v>0</v>
      </c>
      <c r="BH7" s="37" t="n">
        <f aca="false">COUNTIF(AF7:AI7,"*$PM*")</f>
        <v>0</v>
      </c>
      <c r="BI7" s="37" t="n">
        <f aca="false">BH7*('Setting key Duty'!$I$9)</f>
        <v>0</v>
      </c>
      <c r="BJ7" s="37" t="n">
        <f aca="false">COUNTIF(A7:AI7,"*$AM*")</f>
        <v>0</v>
      </c>
      <c r="BK7" s="37" t="n">
        <f aca="false">BJ7*('Setting key Duty'!$I$12+'Setting key Duty'!$I$8)</f>
        <v>0</v>
      </c>
      <c r="BL7" s="37" t="n">
        <f aca="false">COUNTIF(D7:AI7,"*$FC*")</f>
        <v>0</v>
      </c>
      <c r="BM7" s="37" t="n">
        <f aca="false">BL7*('Setting key Duty'!$J$11+'Setting key Duty'!$I$8)</f>
        <v>0</v>
      </c>
      <c r="BN7" s="37" t="e">
        <f aca="false">COUNTIF(#REF!,BN$4)</f>
        <v>#REF!</v>
      </c>
      <c r="BO7" s="37" t="e">
        <f aca="false">COUNTIF(#REF!,BO$4)</f>
        <v>#REF!</v>
      </c>
      <c r="BP7" s="37" t="e">
        <f aca="false">COUNTIF(#REF!,BP$4)</f>
        <v>#REF!</v>
      </c>
      <c r="BQ7" s="39"/>
    </row>
    <row r="8" customFormat="false" ht="19.5" hidden="false" customHeight="true" outlineLevel="0" collapsed="false">
      <c r="A8" s="30"/>
      <c r="B8" s="132" t="s">
        <v>63</v>
      </c>
      <c r="C8" s="32"/>
      <c r="D8" s="32" t="s">
        <v>57</v>
      </c>
      <c r="E8" s="32"/>
      <c r="F8" s="32"/>
      <c r="G8" s="32" t="s">
        <v>56</v>
      </c>
      <c r="H8" s="45"/>
      <c r="I8" s="32"/>
      <c r="J8" s="32" t="s">
        <v>56</v>
      </c>
      <c r="K8" s="98"/>
      <c r="L8" s="98"/>
      <c r="M8" s="98" t="s">
        <v>59</v>
      </c>
      <c r="N8" s="98"/>
      <c r="O8" s="133" t="s">
        <v>59</v>
      </c>
      <c r="R8" s="98"/>
      <c r="S8" s="98"/>
      <c r="T8" s="98"/>
      <c r="U8" s="98"/>
      <c r="V8" s="134"/>
      <c r="W8" s="98"/>
      <c r="X8" s="98"/>
      <c r="Y8" s="98"/>
      <c r="Z8" s="98"/>
      <c r="AA8" s="98"/>
      <c r="AB8" s="98"/>
      <c r="AC8" s="98"/>
      <c r="AD8" s="98"/>
      <c r="AE8" s="98"/>
      <c r="AF8" s="98"/>
      <c r="AG8" s="98"/>
      <c r="AH8" s="98"/>
      <c r="AI8" s="35"/>
      <c r="AJ8" s="36"/>
      <c r="AK8" s="35"/>
      <c r="AL8" s="37"/>
      <c r="AM8" s="37"/>
      <c r="AN8" s="37"/>
      <c r="AO8" s="37"/>
      <c r="AP8" s="38"/>
      <c r="AQ8" s="37" t="n">
        <f aca="false">SUMPRODUCT(--WEEKDAY(C$3:AG$3,2)&lt;6,--((C8:AG8="DM"))+(C8:AG8="CS1")+((C8:AG8="CS2"))+(C8:AG8="SB1")+(C8:AG8="AE")+(C8:AG8="EM"))</f>
        <v>4</v>
      </c>
      <c r="AR8" s="38"/>
      <c r="AS8" s="38" t="n">
        <f aca="false">SUMPRODUCT(--WEEKDAY(C$3:AG$3,2)&gt;5,--((C8:AG8="DM"))+(C8:AG8="CS1")+((C8:AG8="CS2"))+(C8:AG8="SB1")+(C8:AG8="AE")+(C8:AG8="EM"))</f>
        <v>1</v>
      </c>
      <c r="AT8" s="38"/>
      <c r="AU8" s="38" t="n">
        <f aca="false">(AQ8-AR8)/2+(AS8-AT8)</f>
        <v>3</v>
      </c>
      <c r="AV8" s="38" t="n">
        <f aca="false">AI8+AJ8+AK8+AL8+AN8+AO8</f>
        <v>0</v>
      </c>
      <c r="AW8" s="38" t="n">
        <f aca="false">BG8+BH8+BJ8+BE8+BC8+BA8+BL8</f>
        <v>0</v>
      </c>
      <c r="AX8" s="38" t="n">
        <f aca="false">AU8+AY8</f>
        <v>0</v>
      </c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9"/>
    </row>
    <row r="9" customFormat="false" ht="19.5" hidden="false" customHeight="true" outlineLevel="0" collapsed="false">
      <c r="A9" s="30"/>
      <c r="B9" s="101" t="s">
        <v>377</v>
      </c>
      <c r="D9" s="32" t="s">
        <v>59</v>
      </c>
      <c r="E9" s="32"/>
      <c r="F9" s="32" t="s">
        <v>56</v>
      </c>
      <c r="G9" s="32"/>
      <c r="H9" s="32"/>
      <c r="I9" s="32"/>
      <c r="J9" s="32" t="s">
        <v>350</v>
      </c>
      <c r="L9" s="32"/>
      <c r="M9" s="42"/>
      <c r="N9" s="42" t="s">
        <v>59</v>
      </c>
      <c r="O9" s="42" t="s">
        <v>466</v>
      </c>
      <c r="P9" s="32" t="s">
        <v>65</v>
      </c>
      <c r="Q9" s="32"/>
      <c r="R9" s="32"/>
      <c r="S9" s="32" t="s">
        <v>350</v>
      </c>
      <c r="U9" s="98"/>
      <c r="V9" s="32" t="s">
        <v>54</v>
      </c>
      <c r="W9" s="32" t="s">
        <v>54</v>
      </c>
      <c r="X9" s="32" t="s">
        <v>54</v>
      </c>
      <c r="Y9" s="32" t="s">
        <v>54</v>
      </c>
      <c r="Z9" s="32" t="s">
        <v>54</v>
      </c>
      <c r="AA9" s="32" t="s">
        <v>54</v>
      </c>
      <c r="AB9" s="98"/>
      <c r="AC9" s="98"/>
      <c r="AD9" s="32" t="s">
        <v>350</v>
      </c>
      <c r="AE9" s="32"/>
      <c r="AF9" s="32"/>
      <c r="AG9" s="32"/>
      <c r="AH9" s="32"/>
      <c r="AI9" s="35"/>
      <c r="AJ9" s="36"/>
      <c r="AK9" s="35"/>
      <c r="AL9" s="37"/>
      <c r="AM9" s="37"/>
      <c r="AN9" s="37"/>
      <c r="AO9" s="37"/>
      <c r="AP9" s="38"/>
      <c r="AQ9" s="37" t="n">
        <f aca="false">SUMPRODUCT(--WEEKDAY(C$3:AG$3,2)&lt;6,--((C9:AG9="DM"))+(C9:AG9="CS1")+((C9:AG9="CS2"))+(C9:AG9="SB1")+(C9:AG9="AE")+(C9:AG9="EM"))</f>
        <v>3</v>
      </c>
      <c r="AR9" s="38"/>
      <c r="AS9" s="38" t="n">
        <f aca="false">SUMPRODUCT(--WEEKDAY(C$3:AG$3,2)&gt;5,--((C9:AG9="DM"))+(C9:AG9="CS1")+((C9:AG9="CS2"))+(C9:AG9="SB1")+(C9:AG9="AE")+(C9:AG9="EM"))</f>
        <v>1</v>
      </c>
      <c r="AT9" s="38"/>
      <c r="AU9" s="38" t="n">
        <f aca="false">(AQ9-AR9)/2+(AS9-AT9)</f>
        <v>2.5</v>
      </c>
      <c r="AV9" s="38" t="n">
        <f aca="false">AI9+AJ9+AK9+AL9+AN9+AO9</f>
        <v>0</v>
      </c>
      <c r="AW9" s="38" t="n">
        <f aca="false">BG9+BH9+BJ9+BE9+BC9+BA9+BL9</f>
        <v>0</v>
      </c>
      <c r="AX9" s="38" t="e">
        <f aca="false">AU9+AY9</f>
        <v>#VALUE!</v>
      </c>
      <c r="AY9" s="37" t="e">
        <f aca="false">(BJ9*('Setting key Duty'!$I$8+'Setting key Duty'!$I$12))+(BH9*'Setting key Duty'!$I$9)+(BC9*('Setting key Duty'!$I$13+'Setting key Duty'!$I$9))+(BA9*('Setting key Duty'!$I$13+'Setting key Duty'!$I$12+'Setting key Duty'!$I$11))+(BE9*('Setting key Duty'!$I$8+'Setting key Duty'!$I$9+'Setting key Duty'!$I$12))</f>
        <v>#VALUE!</v>
      </c>
      <c r="AZ9" s="37" t="n">
        <f aca="false">COUNTIF(D9:V9,"*BRT*")</f>
        <v>0</v>
      </c>
      <c r="BA9" s="37" t="n">
        <f aca="false">COUNTIF(A9:AI9,"*$BTP*")</f>
        <v>0</v>
      </c>
      <c r="BB9" s="37" t="e">
        <f aca="false">BA9*('Setting key Duty'!$I$13+'Setting key Duty'!$I$12+'Setting key Duty'!$I$11)</f>
        <v>#VALUE!</v>
      </c>
      <c r="BC9" s="37" t="n">
        <f aca="false">COUNTIF(A9:AI9,"*$L*")</f>
        <v>0</v>
      </c>
      <c r="BD9" s="37" t="e">
        <f aca="false">BC9*('Setting key Duty'!$I$13+'Setting key Duty'!$I$9)</f>
        <v>#VALUE!</v>
      </c>
      <c r="BE9" s="37" t="n">
        <f aca="false">COUNTIF(A9:AI9,"*$M*")</f>
        <v>0</v>
      </c>
      <c r="BF9" s="37" t="n">
        <f aca="false">BE9*('Setting key Duty'!$I$8+'Setting key Duty'!$I$9+'Setting key Duty'!$I$12)</f>
        <v>0</v>
      </c>
      <c r="BG9" s="37" t="n">
        <f aca="false">COUNTIF(AI9,"*$N*")</f>
        <v>0</v>
      </c>
      <c r="BH9" s="37" t="n">
        <f aca="false">COUNTIF(AI9,"*$PM*")</f>
        <v>0</v>
      </c>
      <c r="BI9" s="37" t="n">
        <f aca="false">BH9*('Setting key Duty'!$I$9)</f>
        <v>0</v>
      </c>
      <c r="BJ9" s="37" t="n">
        <f aca="false">COUNTIF(A9:AI9,"*$AM*")</f>
        <v>0</v>
      </c>
      <c r="BK9" s="37" t="n">
        <f aca="false">BJ9*('Setting key Duty'!$I$12+'Setting key Duty'!$I$8)</f>
        <v>0</v>
      </c>
      <c r="BL9" s="37" t="n">
        <f aca="false">COUNTIF(D9:AI9,"*$FC*")</f>
        <v>0</v>
      </c>
      <c r="BM9" s="37" t="n">
        <f aca="false">BL9*('Setting key Duty'!$J$11+'Setting key Duty'!$I$8)</f>
        <v>0</v>
      </c>
      <c r="BN9" s="37" t="n">
        <f aca="false">COUNTIF($D9:$V9,BN$4)</f>
        <v>0</v>
      </c>
      <c r="BO9" s="37" t="n">
        <f aca="false">COUNTIF($D9:$V9,BO$4)</f>
        <v>2</v>
      </c>
      <c r="BP9" s="37" t="n">
        <f aca="false">COUNTIF($D9:$V9,BP$4)</f>
        <v>0</v>
      </c>
      <c r="BQ9" s="39"/>
    </row>
    <row r="10" customFormat="false" ht="19.5" hidden="false" customHeight="true" outlineLevel="0" collapsed="false">
      <c r="A10" s="30"/>
      <c r="B10" s="103" t="s">
        <v>467</v>
      </c>
      <c r="C10" s="32" t="s">
        <v>56</v>
      </c>
      <c r="E10" s="32" t="s">
        <v>468</v>
      </c>
      <c r="F10" s="32"/>
      <c r="G10" s="32" t="s">
        <v>57</v>
      </c>
      <c r="H10" s="45"/>
      <c r="I10" s="32"/>
      <c r="J10" s="32"/>
      <c r="K10" s="32" t="s">
        <v>350</v>
      </c>
      <c r="L10" s="32"/>
      <c r="M10" s="42"/>
      <c r="N10" s="98"/>
      <c r="O10" s="98" t="s">
        <v>57</v>
      </c>
      <c r="Q10" s="32"/>
      <c r="R10" s="52" t="s">
        <v>56</v>
      </c>
      <c r="T10" s="32" t="s">
        <v>350</v>
      </c>
      <c r="U10" s="52"/>
      <c r="V10" s="50" t="s">
        <v>469</v>
      </c>
      <c r="W10" s="45" t="s">
        <v>54</v>
      </c>
      <c r="X10" s="32" t="s">
        <v>54</v>
      </c>
      <c r="Y10" s="32" t="s">
        <v>54</v>
      </c>
      <c r="Z10" s="32" t="s">
        <v>470</v>
      </c>
      <c r="AA10" s="32"/>
      <c r="AB10" s="32"/>
      <c r="AC10" s="32"/>
      <c r="AD10" s="32"/>
      <c r="AE10" s="32" t="s">
        <v>350</v>
      </c>
      <c r="AF10" s="32" t="s">
        <v>471</v>
      </c>
      <c r="AG10" s="32"/>
      <c r="AH10" s="32"/>
      <c r="AI10" s="35"/>
      <c r="AJ10" s="36"/>
      <c r="AK10" s="35"/>
      <c r="AL10" s="37"/>
      <c r="AM10" s="37"/>
      <c r="AN10" s="37"/>
      <c r="AO10" s="37"/>
      <c r="AP10" s="38"/>
      <c r="AQ10" s="37" t="n">
        <f aca="false">SUMPRODUCT(--WEEKDAY(C$3:AG$3,2)&lt;6,--((C10:AG10="DM"))+(C10:AG10="CS1")+((C10:AG10="CS2"))+(C10:AG10="SB1")+(C10:AG10="AE")+(C10:AG10="EM"))</f>
        <v>3</v>
      </c>
      <c r="AR10" s="38"/>
      <c r="AS10" s="38" t="n">
        <f aca="false">SUMPRODUCT(--WEEKDAY(C$3:AG$3,2)&gt;5,--((C10:AG10="DM"))+(C10:AG10="CS1")+((C10:AG10="CS2"))+(C10:AG10="SB1")+(C10:AG10="AE")+(C10:AG10="EM"))</f>
        <v>1</v>
      </c>
      <c r="AT10" s="38"/>
      <c r="AU10" s="38" t="n">
        <f aca="false">(AQ10-AR10)/2+(AS10-AT10)</f>
        <v>2.5</v>
      </c>
      <c r="AV10" s="38" t="n">
        <f aca="false">AI10+AJ10+AK10+AL10+AN10+AO10</f>
        <v>0</v>
      </c>
      <c r="AW10" s="38" t="n">
        <f aca="false">BG10+BH10+BJ10+BE10+BC10+BA10+BL10</f>
        <v>3</v>
      </c>
      <c r="AX10" s="38" t="e">
        <f aca="false">AU10+$AY$10</f>
        <v>#VALUE!</v>
      </c>
      <c r="AY10" s="37" t="e">
        <f aca="false">(BJ10*('Setting key Duty'!$I$8+'Setting key Duty'!$I$12))+(BH10*'Setting key Duty'!$I$9)+(BC10*('Setting key Duty'!$I$13+'Setting key Duty'!$I$9))+(BA10*('Setting key Duty'!$I$13+'Setting key Duty'!$I$12+'Setting key Duty'!$I$11))+(BE10*('Setting key Duty'!$I$8+'Setting key Duty'!$I$9+'Setting key Duty'!$I$12))</f>
        <v>#VALUE!</v>
      </c>
      <c r="AZ10" s="37" t="n">
        <f aca="false">COUNTIF(C10:AC10,"*BRT*")</f>
        <v>0</v>
      </c>
      <c r="BA10" s="37" t="n">
        <f aca="false">COUNTIF(A10:AI10,"*$BTP*")</f>
        <v>0</v>
      </c>
      <c r="BB10" s="37" t="e">
        <f aca="false">BA10*('Setting key Duty'!$I$13+'Setting key Duty'!$I$12+'Setting key Duty'!$I$11)</f>
        <v>#VALUE!</v>
      </c>
      <c r="BC10" s="37" t="n">
        <f aca="false">COUNTIF(D10:AI10,"*$L*")</f>
        <v>0</v>
      </c>
      <c r="BD10" s="37" t="e">
        <f aca="false">BC10*('Setting key Duty'!$I$13+'Setting key Duty'!$I$9)</f>
        <v>#VALUE!</v>
      </c>
      <c r="BE10" s="37" t="n">
        <f aca="false">COUNTIF(D10:AI10,"*$M*")</f>
        <v>0</v>
      </c>
      <c r="BF10" s="37" t="n">
        <f aca="false">BE10*('Setting key Duty'!$I$8+'Setting key Duty'!$I$9+'Setting key Duty'!$I$12)</f>
        <v>0</v>
      </c>
      <c r="BG10" s="37" t="n">
        <f aca="false">COUNTIF(D10:AI10,"*$N*")</f>
        <v>0</v>
      </c>
      <c r="BH10" s="37" t="n">
        <f aca="false">COUNTIF(D10:AI10,"*$PM*")</f>
        <v>1</v>
      </c>
      <c r="BI10" s="37" t="n">
        <f aca="false">BH10*('Setting key Duty'!$I$9)</f>
        <v>0.125</v>
      </c>
      <c r="BJ10" s="37" t="n">
        <f aca="false">COUNTIF(D10:AI10,"*$AM*")</f>
        <v>2</v>
      </c>
      <c r="BK10" s="37" t="n">
        <f aca="false">BJ10*('Setting key Duty'!$I$12+'Setting key Duty'!$I$8)</f>
        <v>0.875</v>
      </c>
      <c r="BL10" s="37" t="n">
        <f aca="false">COUNTIF(C10:AI10,"*$FC*")</f>
        <v>0</v>
      </c>
      <c r="BM10" s="37" t="n">
        <f aca="false">BL10*('Setting key Duty'!$J$11+'Setting key Duty'!$I$8)</f>
        <v>0</v>
      </c>
      <c r="BN10" s="37" t="n">
        <f aca="false">COUNTIF($C10:$AG10,BN$4)</f>
        <v>0</v>
      </c>
      <c r="BO10" s="37" t="n">
        <f aca="false">COUNTIF($C10:$AG10,BO$4)</f>
        <v>3</v>
      </c>
      <c r="BP10" s="37" t="n">
        <f aca="false">COUNTIF($D10:$AD10,BP$4)</f>
        <v>0</v>
      </c>
      <c r="BQ10" s="39"/>
    </row>
    <row r="11" customFormat="false" ht="19.5" hidden="false" customHeight="true" outlineLevel="0" collapsed="false">
      <c r="A11" s="30"/>
      <c r="B11" s="104" t="s">
        <v>70</v>
      </c>
      <c r="C11" s="32"/>
      <c r="D11" s="32"/>
      <c r="E11" s="32"/>
      <c r="F11" s="32" t="s">
        <v>57</v>
      </c>
      <c r="G11" s="32"/>
      <c r="H11" s="32" t="s">
        <v>350</v>
      </c>
      <c r="I11" s="32"/>
      <c r="J11" s="32"/>
      <c r="L11" s="32" t="s">
        <v>350</v>
      </c>
      <c r="M11" s="32"/>
      <c r="N11" s="32" t="s">
        <v>350</v>
      </c>
      <c r="O11" s="32"/>
      <c r="Q11" s="32" t="s">
        <v>57</v>
      </c>
      <c r="R11" s="32"/>
      <c r="S11" s="32"/>
      <c r="T11" s="32" t="s">
        <v>57</v>
      </c>
      <c r="U11" s="52"/>
      <c r="V11" s="50" t="s">
        <v>69</v>
      </c>
      <c r="W11" s="32" t="s">
        <v>57</v>
      </c>
      <c r="X11" s="32"/>
      <c r="Y11" s="32" t="s">
        <v>57</v>
      </c>
      <c r="Z11" s="32"/>
      <c r="AB11" s="32" t="s">
        <v>57</v>
      </c>
      <c r="AC11" s="32"/>
      <c r="AD11" s="32"/>
      <c r="AE11" s="32" t="s">
        <v>57</v>
      </c>
      <c r="AF11" s="32"/>
      <c r="AG11" s="32"/>
      <c r="AH11" s="32"/>
      <c r="AI11" s="35"/>
      <c r="AJ11" s="36"/>
      <c r="AK11" s="35"/>
      <c r="AL11" s="37"/>
      <c r="AM11" s="37"/>
      <c r="AN11" s="37"/>
      <c r="AO11" s="37"/>
      <c r="AP11" s="38"/>
      <c r="AQ11" s="37" t="n">
        <f aca="false">SUMPRODUCT(--WEEKDAY(C$3:AG$3,2)&lt;6,--((C11:AG11="DM"))+(C11:AG11="CS1")+((C11:AG11="CS2"))+(C11:AG11="SB1")+(C11:AG11="AE")+(C11:AG11="EM"))</f>
        <v>4</v>
      </c>
      <c r="AR11" s="38"/>
      <c r="AS11" s="38" t="n">
        <f aca="false">SUMPRODUCT(--WEEKDAY(C$3:AG$3,2)&gt;5,--((C11:AG11="DM"))+(C11:AG11="CS1")+((C11:AG11="CS2"))+(C11:AG11="SB1")+(C11:AG11="AE")+(C11:AG11="EM"))</f>
        <v>3</v>
      </c>
      <c r="AT11" s="38"/>
      <c r="AU11" s="38" t="n">
        <f aca="false">(AQ11-AR11)/2+(AS11-AT11)</f>
        <v>5</v>
      </c>
      <c r="AV11" s="38" t="n">
        <f aca="false">AI11+AJ11+AK11+AL11+AN11+AO11</f>
        <v>0</v>
      </c>
      <c r="AW11" s="38" t="n">
        <f aca="false">BG11+BH11+BJ11+BE11+BC11+BA11+BL11</f>
        <v>0</v>
      </c>
      <c r="AX11" s="38" t="e">
        <f aca="false">AU11+AY11</f>
        <v>#VALUE!</v>
      </c>
      <c r="AY11" s="37" t="e">
        <f aca="false"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37" t="n">
        <f aca="false">COUNTIF(D11:AC11,"*BRT*")</f>
        <v>0</v>
      </c>
      <c r="BA11" s="37" t="n">
        <f aca="false">COUNTIF(A11:AI11,"*$BTP*")</f>
        <v>0</v>
      </c>
      <c r="BB11" s="37" t="e">
        <f aca="false">BA11*('Setting key Duty'!$I$13+'Setting key Duty'!$I$12+'Setting key Duty'!$I$11)</f>
        <v>#VALUE!</v>
      </c>
      <c r="BC11" s="37" t="n">
        <f aca="false">COUNTIF(A11:AI11,"*$L*")</f>
        <v>0</v>
      </c>
      <c r="BD11" s="37" t="e">
        <f aca="false">BC11*('Setting key Duty'!$I$13+'Setting key Duty'!$I$9)</f>
        <v>#VALUE!</v>
      </c>
      <c r="BE11" s="37" t="n">
        <f aca="false">COUNTIF(A11:AI11,"*$M*")</f>
        <v>0</v>
      </c>
      <c r="BF11" s="37" t="n">
        <f aca="false">BE11*('Setting key Duty'!$I$8+'Setting key Duty'!$I$9+'Setting key Duty'!$I$12)</f>
        <v>0</v>
      </c>
      <c r="BG11" s="37" t="n">
        <f aca="false">COUNTIF(AF11:AI11,"*$N*")</f>
        <v>0</v>
      </c>
      <c r="BH11" s="37" t="n">
        <f aca="false">COUNTIF(AF11:AI11,"*$PM*")</f>
        <v>0</v>
      </c>
      <c r="BI11" s="37" t="n">
        <f aca="false">BH11*('Setting key Duty'!$I$9)</f>
        <v>0</v>
      </c>
      <c r="BJ11" s="37" t="n">
        <f aca="false">COUNTIF(A11:AI11,"*$AM*")</f>
        <v>0</v>
      </c>
      <c r="BK11" s="37" t="n">
        <f aca="false">BJ11*('Setting key Duty'!$I$12+'Setting key Duty'!$I$8)</f>
        <v>0</v>
      </c>
      <c r="BL11" s="37" t="n">
        <f aca="false">COUNTIF(D11:AI11,"*$FC*")</f>
        <v>0</v>
      </c>
      <c r="BM11" s="37" t="n">
        <f aca="false">BL11*('Setting key Duty'!$J$11+'Setting key Duty'!$I$8)</f>
        <v>0</v>
      </c>
      <c r="BN11" s="37" t="n">
        <f aca="false">COUNTIF($D11:$AE11,BN$4)</f>
        <v>0</v>
      </c>
      <c r="BO11" s="37" t="n">
        <f aca="false">COUNTIF($D11:$AE11,BO$4)</f>
        <v>3</v>
      </c>
      <c r="BP11" s="37" t="n">
        <f aca="false">COUNTIF($D11:$AE11,BP$4)</f>
        <v>0</v>
      </c>
      <c r="BQ11" s="39"/>
    </row>
    <row r="12" customFormat="false" ht="19.5" hidden="false" customHeight="true" outlineLevel="0" collapsed="false">
      <c r="A12" s="30"/>
      <c r="B12" s="106" t="s">
        <v>72</v>
      </c>
      <c r="C12" s="32"/>
      <c r="D12" s="124"/>
      <c r="E12" s="32" t="s">
        <v>468</v>
      </c>
      <c r="F12" s="56" t="s">
        <v>58</v>
      </c>
      <c r="G12" s="32"/>
      <c r="H12" s="32" t="s">
        <v>350</v>
      </c>
      <c r="J12" s="32"/>
      <c r="K12" s="42"/>
      <c r="M12" s="32" t="s">
        <v>350</v>
      </c>
      <c r="N12" s="32"/>
      <c r="O12" s="32" t="s">
        <v>350</v>
      </c>
      <c r="P12" s="32"/>
      <c r="Q12" s="32" t="s">
        <v>59</v>
      </c>
      <c r="R12" s="32"/>
      <c r="U12" s="42" t="s">
        <v>57</v>
      </c>
      <c r="V12" s="32" t="s">
        <v>350</v>
      </c>
      <c r="W12" s="32"/>
      <c r="X12" s="32"/>
      <c r="Y12" s="42" t="s">
        <v>223</v>
      </c>
      <c r="AA12" s="32" t="s">
        <v>59</v>
      </c>
      <c r="AB12" s="32"/>
      <c r="AC12" s="32"/>
      <c r="AD12" s="32"/>
      <c r="AE12" s="32"/>
      <c r="AF12" s="32" t="s">
        <v>59</v>
      </c>
      <c r="AG12" s="32"/>
      <c r="AH12" s="32"/>
      <c r="AI12" s="35"/>
      <c r="AJ12" s="36"/>
      <c r="AK12" s="35"/>
      <c r="AL12" s="37"/>
      <c r="AM12" s="37"/>
      <c r="AN12" s="37"/>
      <c r="AO12" s="37"/>
      <c r="AP12" s="38"/>
      <c r="AQ12" s="37" t="n">
        <f aca="false">SUMPRODUCT(--WEEKDAY(C$3:AG$3,2)&lt;6,--((C12:AG12="DM"))+(C12:AG12="CS1")+((C12:AG12="CS2"))+(C12:AG12="SB1")+(C12:AG12="AE")+(C12:AG12="EM"))</f>
        <v>4</v>
      </c>
      <c r="AR12" s="38"/>
      <c r="AS12" s="38" t="n">
        <f aca="false">SUMPRODUCT(--WEEKDAY(C$3:AG$3,2)&gt;5,--((C12:AG12="DM"))+(C12:AG12="CS1")+((C12:AG12="CS2"))+(C12:AG12="SB1")+(C12:AG12="AE")+(C12:AG12="EM"))</f>
        <v>1</v>
      </c>
      <c r="AT12" s="38"/>
      <c r="AU12" s="38" t="n">
        <f aca="false">(AQ12-AR12)/2+(AS12-AT12)</f>
        <v>3</v>
      </c>
      <c r="AV12" s="38" t="n">
        <f aca="false">AI12+AJ12+AK12+AL12+AN12+AO12</f>
        <v>0</v>
      </c>
      <c r="AW12" s="38" t="n">
        <f aca="false">BG12+BH12+BJ12+BE12+BC12+BA12+BL12</f>
        <v>1</v>
      </c>
      <c r="AX12" s="38" t="e">
        <f aca="false">AU12+AY12</f>
        <v>#VALUE!</v>
      </c>
      <c r="AY12" s="37" t="e">
        <f aca="false">(BJ12*('Setting key Duty'!$I$8+'Setting key Duty'!$I$12))+(BH12*'Setting key Duty'!$I$9)+(BC12*('Setting key Duty'!$I$13+'Setting key Duty'!$I$9))+(BA12*('Setting key Duty'!$I$13+'Setting key Duty'!$I$12+'Setting key Duty'!$I$11))+(BE12*('Setting key Duty'!$I$8+'Setting key Duty'!$I$9+'Setting key Duty'!$I$12))</f>
        <v>#VALUE!</v>
      </c>
      <c r="AZ12" s="37" t="n">
        <f aca="false">COUNTIF(D12:Y12,"*BRT*")</f>
        <v>0</v>
      </c>
      <c r="BA12" s="37" t="n">
        <f aca="false">COUNTIF(A12:AI12,"*$BTP*")</f>
        <v>0</v>
      </c>
      <c r="BB12" s="37" t="e">
        <f aca="false">BA12*('Setting key Duty'!$I$13+'Setting key Duty'!$I$12+'Setting key Duty'!$I$11)</f>
        <v>#VALUE!</v>
      </c>
      <c r="BC12" s="37" t="n">
        <f aca="false">COUNTIF(A12:AI12,"*$L*")</f>
        <v>0</v>
      </c>
      <c r="BD12" s="37" t="e">
        <f aca="false">BC12*('Setting key Duty'!$I$13+'Setting key Duty'!$I$9)</f>
        <v>#VALUE!</v>
      </c>
      <c r="BE12" s="37" t="n">
        <f aca="false">COUNTIF(A12:AI12,"*$M*")</f>
        <v>0</v>
      </c>
      <c r="BF12" s="37" t="n">
        <f aca="false">BE12*('Setting key Duty'!$I$8+'Setting key Duty'!$I$9+'Setting key Duty'!$I$12)</f>
        <v>0</v>
      </c>
      <c r="BG12" s="37" t="n">
        <f aca="false">COUNTIF(AI12,"*$N*")</f>
        <v>0</v>
      </c>
      <c r="BH12" s="37" t="n">
        <f aca="false">COUNTIF(AI12,"*$PM*")</f>
        <v>0</v>
      </c>
      <c r="BI12" s="37" t="n">
        <f aca="false">BH12*('Setting key Duty'!$I$9)</f>
        <v>0</v>
      </c>
      <c r="BJ12" s="37" t="n">
        <f aca="false">COUNTIF(A12:AI12,"*$AM*")</f>
        <v>1</v>
      </c>
      <c r="BK12" s="37" t="n">
        <f aca="false">BJ12*('Setting key Duty'!$I$12+'Setting key Duty'!$I$8)</f>
        <v>0.4375</v>
      </c>
      <c r="BL12" s="37" t="n">
        <f aca="false">COUNTIF(D12:AI12,"*$FC*")</f>
        <v>0</v>
      </c>
      <c r="BM12" s="37" t="n">
        <f aca="false">BL12*('Setting key Duty'!$J$11+'Setting key Duty'!$I$8)</f>
        <v>0</v>
      </c>
      <c r="BN12" s="37" t="n">
        <f aca="false">COUNTIF($D12:$Y12,BN$4)</f>
        <v>0</v>
      </c>
      <c r="BO12" s="37" t="n">
        <f aca="false">COUNTIF($D12:$Y12,BO$4)</f>
        <v>4</v>
      </c>
      <c r="BP12" s="37" t="n">
        <f aca="false">COUNTIF($D12:$Y12,BP$4)</f>
        <v>0</v>
      </c>
      <c r="BQ12" s="39"/>
    </row>
    <row r="13" customFormat="false" ht="24" hidden="false" customHeight="true" outlineLevel="0" collapsed="false">
      <c r="A13" s="30"/>
      <c r="B13" s="49" t="s">
        <v>353</v>
      </c>
      <c r="C13" s="32" t="s">
        <v>59</v>
      </c>
      <c r="D13" s="32"/>
      <c r="E13" s="32" t="s">
        <v>350</v>
      </c>
      <c r="F13" s="32"/>
      <c r="G13" s="32" t="s">
        <v>150</v>
      </c>
      <c r="H13" s="32" t="s">
        <v>150</v>
      </c>
      <c r="I13" s="32" t="s">
        <v>150</v>
      </c>
      <c r="J13" s="42"/>
      <c r="K13" s="32" t="s">
        <v>59</v>
      </c>
      <c r="L13" s="32"/>
      <c r="M13" s="32"/>
      <c r="N13" s="32"/>
      <c r="O13" s="32" t="s">
        <v>54</v>
      </c>
      <c r="P13" s="32" t="s">
        <v>54</v>
      </c>
      <c r="Q13" s="32" t="s">
        <v>54</v>
      </c>
      <c r="R13" s="32" t="s">
        <v>54</v>
      </c>
      <c r="S13" s="32" t="s">
        <v>54</v>
      </c>
      <c r="T13" s="32" t="s">
        <v>54</v>
      </c>
      <c r="U13" s="32" t="s">
        <v>54</v>
      </c>
      <c r="V13" s="50" t="s">
        <v>54</v>
      </c>
      <c r="W13" s="32" t="s">
        <v>54</v>
      </c>
      <c r="X13" s="32" t="s">
        <v>54</v>
      </c>
      <c r="Y13" s="32" t="s">
        <v>54</v>
      </c>
      <c r="Z13" s="32" t="s">
        <v>59</v>
      </c>
      <c r="AB13" s="32"/>
      <c r="AC13" s="32" t="s">
        <v>57</v>
      </c>
      <c r="AD13" s="32"/>
      <c r="AF13" s="32" t="s">
        <v>350</v>
      </c>
      <c r="AG13" s="32"/>
      <c r="AH13" s="32"/>
      <c r="AI13" s="35" t="n">
        <f aca="false">COUNTIF($C13:$AB13,AI$4)</f>
        <v>0</v>
      </c>
      <c r="AJ13" s="36" t="n">
        <f aca="false">COUNTIF($C13:$AB13,AJ$4)</f>
        <v>0</v>
      </c>
      <c r="AK13" s="35" t="n">
        <f aca="false">COUNTIF($C13:$AB13,AK$4)</f>
        <v>3</v>
      </c>
      <c r="AL13" s="37" t="n">
        <f aca="false">COUNTIF($C13:$AB13,AL$4)</f>
        <v>0</v>
      </c>
      <c r="AM13" s="37" t="n">
        <f aca="false">COUNTIF($C13:$AB13,AM$4)</f>
        <v>0</v>
      </c>
      <c r="AN13" s="37" t="n">
        <f aca="false">COUNTIF($C13:$AB13,AN$4)</f>
        <v>0</v>
      </c>
      <c r="AO13" s="37" t="n">
        <f aca="false">COUNTIF($C13:$AB13,AO$4)</f>
        <v>0</v>
      </c>
      <c r="AP13" s="38"/>
      <c r="AQ13" s="37" t="n">
        <f aca="false">SUMPRODUCT(--WEEKDAY(C$3:AG$3,2)&lt;6,--((C13:AG13="DM"))+(C13:AG13="CS1")+((C13:AG13="CS2"))+(C13:AG13="SB1")+(C13:AG13="AE")+(C13:AG13="EM"))</f>
        <v>3</v>
      </c>
      <c r="AR13" s="38"/>
      <c r="AS13" s="38" t="n">
        <f aca="false">SUMPRODUCT(--WEEKDAY(C$3:AG$3,2)&gt;5,--((C13:AG13="DM"))+(C13:AG13="CS1")+((C13:AG13="CS2"))+(C13:AG13="SB1")+(C13:AG13="AE")+(C13:AG13="EM"))</f>
        <v>1</v>
      </c>
      <c r="AT13" s="38"/>
      <c r="AU13" s="38" t="n">
        <f aca="false">(AQ13-AR13)/2+(AS13-AT13)</f>
        <v>2.5</v>
      </c>
      <c r="AV13" s="38" t="n">
        <f aca="false">AI13+AJ13+AK13+AL13+AN13+AO13</f>
        <v>3</v>
      </c>
      <c r="AW13" s="38" t="n">
        <f aca="false">BG13+BH13+BJ13+BE13+BC13+BA13+BL13</f>
        <v>0</v>
      </c>
      <c r="AX13" s="38" t="e">
        <f aca="false">AU13+AY13</f>
        <v>#VALUE!</v>
      </c>
      <c r="AY13" s="37" t="e">
        <f aca="false">(BJ13*('Setting key Duty'!$I$8+'Setting key Duty'!$I$12))+(BH13*'Setting key Duty'!$I$9)+(BC13*('Setting key Duty'!$I$13+'Setting key Duty'!$I$9))+(BA13*('Setting key Duty'!$I$13+'Setting key Duty'!$I$12+'Setting key Duty'!$I$11))+(BE13*('Setting key Duty'!$I$8+'Setting key Duty'!$I$9+'Setting key Duty'!$I$12))</f>
        <v>#VALUE!</v>
      </c>
      <c r="AZ13" s="37" t="n">
        <f aca="false">COUNTIF(C13:AB13,"*BRT*")</f>
        <v>0</v>
      </c>
      <c r="BA13" s="37" t="n">
        <f aca="false">COUNTIF(A13:AI13,"*$BTP*")</f>
        <v>0</v>
      </c>
      <c r="BB13" s="37" t="e">
        <f aca="false">BA13*('Setting key Duty'!$I$13+'Setting key Duty'!$I$12+'Setting key Duty'!$I$11)</f>
        <v>#VALUE!</v>
      </c>
      <c r="BC13" s="37" t="n">
        <f aca="false">COUNTIF(A13:AI13,"*$L*")</f>
        <v>0</v>
      </c>
      <c r="BD13" s="37" t="e">
        <f aca="false">BC13*('Setting key Duty'!$I$13+'Setting key Duty'!$I$9)</f>
        <v>#VALUE!</v>
      </c>
      <c r="BE13" s="37" t="n">
        <f aca="false">COUNTIF(A13:AI13,"*$M*")</f>
        <v>0</v>
      </c>
      <c r="BF13" s="37" t="n">
        <f aca="false">BE13*('Setting key Duty'!$I$8+'Setting key Duty'!$I$9+'Setting key Duty'!$I$12)</f>
        <v>0</v>
      </c>
      <c r="BG13" s="37" t="n">
        <f aca="false">COUNTIF(A13:AI13,"*$N*")</f>
        <v>0</v>
      </c>
      <c r="BH13" s="37" t="n">
        <f aca="false">COUNTIF(AI13,"*$PM*")</f>
        <v>0</v>
      </c>
      <c r="BI13" s="37" t="n">
        <f aca="false">BH13*('Setting key Duty'!$I$9)</f>
        <v>0</v>
      </c>
      <c r="BJ13" s="37" t="n">
        <f aca="false">COUNTIF(A13:AI13,"*$AM*")</f>
        <v>0</v>
      </c>
      <c r="BK13" s="37" t="n">
        <f aca="false">BJ13*('Setting key Duty'!$I$12+'Setting key Duty'!$I$8)</f>
        <v>0</v>
      </c>
      <c r="BL13" s="37" t="n">
        <f aca="false">COUNTIF(C13:AI13,"*$FC*")</f>
        <v>0</v>
      </c>
      <c r="BM13" s="37" t="n">
        <f aca="false">BL13*('Setting key Duty'!$J$11+'Setting key Duty'!$I$8)</f>
        <v>0</v>
      </c>
      <c r="BN13" s="37" t="n">
        <f aca="false">COUNTIF($C13:$AB13,BN$4)</f>
        <v>0</v>
      </c>
      <c r="BO13" s="37" t="n">
        <f aca="false">COUNTIF($C13:$AB13,BO$4)</f>
        <v>1</v>
      </c>
      <c r="BP13" s="37" t="n">
        <f aca="false">COUNTIF($C13:$AB13,BP$4)</f>
        <v>0</v>
      </c>
      <c r="BQ13" s="39"/>
    </row>
    <row r="14" customFormat="false" ht="19.5" hidden="false" customHeight="true" outlineLevel="0" collapsed="false">
      <c r="A14" s="30"/>
      <c r="B14" s="41" t="s">
        <v>286</v>
      </c>
      <c r="C14" s="32"/>
      <c r="D14" s="32"/>
      <c r="E14" s="32" t="s">
        <v>149</v>
      </c>
      <c r="F14" s="32" t="s">
        <v>149</v>
      </c>
      <c r="G14" s="45"/>
      <c r="H14" s="32" t="s">
        <v>59</v>
      </c>
      <c r="I14" s="32"/>
      <c r="J14" s="32"/>
      <c r="K14" s="32"/>
      <c r="L14" s="32" t="s">
        <v>350</v>
      </c>
      <c r="M14" s="42"/>
      <c r="N14" s="32"/>
      <c r="O14" s="32"/>
      <c r="P14" s="32"/>
      <c r="Q14" s="32"/>
      <c r="R14" s="32" t="s">
        <v>59</v>
      </c>
      <c r="T14" s="52"/>
      <c r="V14" s="50" t="s">
        <v>57</v>
      </c>
      <c r="W14" s="32"/>
      <c r="X14" s="32" t="s">
        <v>350</v>
      </c>
      <c r="Y14" s="32" t="s">
        <v>223</v>
      </c>
      <c r="Z14" s="32"/>
      <c r="AA14" s="32" t="s">
        <v>172</v>
      </c>
      <c r="AB14" s="32" t="s">
        <v>350</v>
      </c>
      <c r="AC14" s="32"/>
      <c r="AD14" s="32" t="s">
        <v>59</v>
      </c>
      <c r="AE14" s="32"/>
      <c r="AF14" s="32"/>
      <c r="AG14" s="32"/>
      <c r="AH14" s="32"/>
      <c r="AI14" s="35" t="n">
        <f aca="false">COUNTIF($C14:$AF14,AI$4)</f>
        <v>1</v>
      </c>
      <c r="AJ14" s="36" t="n">
        <f aca="false">COUNTIF($C14:$AF14,AJ$4)</f>
        <v>0</v>
      </c>
      <c r="AK14" s="35" t="n">
        <f aca="false">COUNTIF($C14:$AF14,AK$4)</f>
        <v>3</v>
      </c>
      <c r="AL14" s="37" t="n">
        <f aca="false">COUNTIF($C14:$AF14,AL$4)</f>
        <v>0</v>
      </c>
      <c r="AM14" s="37" t="n">
        <f aca="false">COUNTIF($C14:$AF14,AM$4)</f>
        <v>0</v>
      </c>
      <c r="AN14" s="37" t="n">
        <f aca="false">COUNTIF($C14:$AF14,AN$4)</f>
        <v>0</v>
      </c>
      <c r="AO14" s="37" t="n">
        <f aca="false">COUNTIF($C14:$AF14,AO$4)</f>
        <v>0</v>
      </c>
      <c r="AP14" s="38"/>
      <c r="AQ14" s="37" t="n">
        <f aca="false">SUMPRODUCT(--WEEKDAY(C$3:AG$3,2)&lt;6,--((C14:AG14="DM"))+(C14:AG14="CS1")+((C14:AG14="CS2"))+(C14:AG14="SB1")+(C14:AG14="AE")+(C14:AG14="EM"))</f>
        <v>3</v>
      </c>
      <c r="AR14" s="38"/>
      <c r="AS14" s="38" t="n">
        <f aca="false">SUMPRODUCT(--WEEKDAY(C$3:AG$3,2)&gt;5,--((C14:AG14="DM"))+(C14:AG14="CS1")+((C14:AG14="CS2"))+(C14:AG14="SB1")+(C14:AG14="AE")+(C14:AG14="EM"))</f>
        <v>1</v>
      </c>
      <c r="AT14" s="38"/>
      <c r="AU14" s="38" t="n">
        <f aca="false">(AQ14-AR14)/2+(AS14-AT14)</f>
        <v>2.5</v>
      </c>
      <c r="AV14" s="38" t="n">
        <f aca="false">AI14+AJ14+AK14+AL14+AN14+AO14</f>
        <v>4</v>
      </c>
      <c r="AW14" s="38" t="n">
        <f aca="false">BG14+BH14+BJ14+BE14+BC14+BA14+BL14</f>
        <v>0</v>
      </c>
      <c r="AX14" s="38" t="e">
        <f aca="false">AU14+AY14</f>
        <v>#VALUE!</v>
      </c>
      <c r="AY14" s="37" t="e">
        <f aca="false">(BJ14*('Setting key Duty'!$I$8+'Setting key Duty'!$I$12))+(BH14*'Setting key Duty'!$I$9)+(BC14*('Setting key Duty'!$I$13+'Setting key Duty'!$I$9))+(BA14*('Setting key Duty'!$I$13+'Setting key Duty'!$I$12+'Setting key Duty'!$I$11))+(BE14*('Setting key Duty'!$I$8+'Setting key Duty'!$I$9+'Setting key Duty'!$I$12))</f>
        <v>#VALUE!</v>
      </c>
      <c r="AZ14" s="37" t="n">
        <f aca="false">COUNTIF(C14:AC14,"*BRT*")</f>
        <v>0</v>
      </c>
      <c r="BA14" s="37" t="n">
        <f aca="false">COUNTIF(A14:AI14,"*$BTP*")</f>
        <v>0</v>
      </c>
      <c r="BB14" s="37" t="e">
        <f aca="false">BA14*('Setting key Duty'!$I$13+'Setting key Duty'!$I$12+'Setting key Duty'!$I$11)</f>
        <v>#VALUE!</v>
      </c>
      <c r="BC14" s="37" t="n">
        <f aca="false">COUNTIF(I14:AI14,"*$L*")</f>
        <v>0</v>
      </c>
      <c r="BD14" s="37" t="e">
        <f aca="false">BC14*('Setting key Duty'!$I$13+'Setting key Duty'!$I$9)</f>
        <v>#VALUE!</v>
      </c>
      <c r="BE14" s="37" t="n">
        <f aca="false">COUNTIF(I14:AI14,"*$M*")</f>
        <v>0</v>
      </c>
      <c r="BF14" s="37" t="n">
        <f aca="false">BE14*('Setting key Duty'!$I$8+'Setting key Duty'!$I$9+'Setting key Duty'!$I$12)</f>
        <v>0</v>
      </c>
      <c r="BG14" s="37" t="n">
        <f aca="false">COUNTIF(I14:AI14,"*$N*")</f>
        <v>0</v>
      </c>
      <c r="BH14" s="37" t="n">
        <f aca="false">COUNTIF(I14:AI14,"*$PM*")</f>
        <v>0</v>
      </c>
      <c r="BI14" s="37" t="n">
        <f aca="false">BH14*('Setting key Duty'!$I$9)</f>
        <v>0</v>
      </c>
      <c r="BJ14" s="37" t="n">
        <f aca="false">COUNTIF(I14:AI14,"*$AM*")</f>
        <v>0</v>
      </c>
      <c r="BK14" s="37" t="n">
        <f aca="false">BJ14*('Setting key Duty'!$I$12+'Setting key Duty'!$I$8)</f>
        <v>0</v>
      </c>
      <c r="BL14" s="37" t="n">
        <f aca="false">COUNTIF(C14:AI14,"*$FC*")</f>
        <v>0</v>
      </c>
      <c r="BM14" s="37" t="n">
        <f aca="false">BL14*('Setting key Duty'!$J$11+'Setting key Duty'!$I$8)</f>
        <v>0</v>
      </c>
      <c r="BN14" s="37" t="n">
        <f aca="false">COUNTIF($C14:$AF14,BN$4)</f>
        <v>0</v>
      </c>
      <c r="BO14" s="37" t="n">
        <f aca="false">COUNTIF($C14:$AF14,BO$4)</f>
        <v>3</v>
      </c>
      <c r="BP14" s="37" t="n">
        <f aca="false">COUNTIF($I14:$AE14,BP$4)</f>
        <v>0</v>
      </c>
      <c r="BQ14" s="39"/>
    </row>
    <row r="15" customFormat="false" ht="19.5" hidden="false" customHeight="true" outlineLevel="0" collapsed="false">
      <c r="A15" s="30"/>
      <c r="B15" s="106" t="s">
        <v>426</v>
      </c>
      <c r="C15" s="42" t="s">
        <v>54</v>
      </c>
      <c r="D15" s="32" t="s">
        <v>54</v>
      </c>
      <c r="E15" s="32" t="s">
        <v>54</v>
      </c>
      <c r="F15" s="32" t="s">
        <v>54</v>
      </c>
      <c r="G15" s="32" t="s">
        <v>54</v>
      </c>
      <c r="H15" s="32" t="s">
        <v>54</v>
      </c>
      <c r="I15" s="32" t="s">
        <v>54</v>
      </c>
      <c r="J15" s="32" t="s">
        <v>54</v>
      </c>
      <c r="K15" s="32" t="s">
        <v>57</v>
      </c>
      <c r="L15" s="32"/>
      <c r="M15" s="33"/>
      <c r="N15" s="32" t="s">
        <v>56</v>
      </c>
      <c r="O15" s="32"/>
      <c r="P15" s="32"/>
      <c r="Q15" s="42"/>
      <c r="R15" s="32" t="s">
        <v>57</v>
      </c>
      <c r="S15" s="32"/>
      <c r="T15" s="32" t="s">
        <v>56</v>
      </c>
      <c r="U15" s="42"/>
      <c r="V15" s="33"/>
      <c r="X15" s="32"/>
      <c r="Y15" s="32" t="s">
        <v>223</v>
      </c>
      <c r="Z15" s="32"/>
      <c r="AA15" s="32" t="s">
        <v>172</v>
      </c>
      <c r="AB15" s="32" t="s">
        <v>56</v>
      </c>
      <c r="AC15" s="32"/>
      <c r="AD15" s="32"/>
      <c r="AE15" s="32"/>
      <c r="AF15" s="32"/>
      <c r="AG15" s="32"/>
      <c r="AH15" s="32"/>
      <c r="AI15" s="35"/>
      <c r="AJ15" s="36"/>
      <c r="AK15" s="35"/>
      <c r="AL15" s="37"/>
      <c r="AM15" s="37"/>
      <c r="AN15" s="37"/>
      <c r="AO15" s="37"/>
      <c r="AP15" s="38"/>
      <c r="AQ15" s="37" t="n">
        <f aca="false">SUMPRODUCT(--WEEKDAY(C$3:AG$3,2)&lt;6,--((C15:AG15="DM"))+(C15:AG15="CS1")+((C15:AG15="CS2"))+(C15:AG15="SB1")+(C15:AG15="AE")+(C15:AG15="EM"))</f>
        <v>5</v>
      </c>
      <c r="AR15" s="38"/>
      <c r="AS15" s="38" t="n">
        <f aca="false">SUMPRODUCT(--WEEKDAY(C$3:AG$3,2)&gt;5,--((C15:AG15="DM"))+(C15:AG15="CS1")+((C15:AG15="CS2"))+(C15:AG15="SB1")+(C15:AG15="AE")+(C15:AG15="EM"))</f>
        <v>0</v>
      </c>
      <c r="AT15" s="38"/>
      <c r="AU15" s="38" t="n">
        <f aca="false">(AQ15-AR15)/2+(AS15-AT15)</f>
        <v>2.5</v>
      </c>
      <c r="AV15" s="38" t="n">
        <f aca="false">AI15+AJ15+AK15+AL15+AN15+AO15</f>
        <v>0</v>
      </c>
      <c r="AW15" s="38" t="n">
        <f aca="false">BG15+BH15+BJ15+BE15+BC15+BA15+BL15</f>
        <v>0</v>
      </c>
      <c r="AX15" s="38" t="e">
        <f aca="false">AU15+$AY$10</f>
        <v>#VALUE!</v>
      </c>
      <c r="AY15" s="37" t="e">
        <f aca="false">(BJ15*('Setting key Duty'!$I$8+'Setting key Duty'!$I$12))+(BH15*'Setting key Duty'!$I$9)+(BC15*('Setting key Duty'!$I$13+'Setting key Duty'!$I$9))+(BA15*('Setting key Duty'!$I$13+'Setting key Duty'!$I$12+'Setting key Duty'!$I$11))+(BE15*('Setting key Duty'!$I$8+'Setting key Duty'!$I$9+'Setting key Duty'!$I$12))</f>
        <v>#VALUE!</v>
      </c>
      <c r="AZ15" s="37" t="n">
        <f aca="false">COUNTIF(D15:AA15,"*BRT*")</f>
        <v>0</v>
      </c>
      <c r="BA15" s="37" t="n">
        <f aca="false">COUNTIF(A15:AI15,"*$BTP*")</f>
        <v>0</v>
      </c>
      <c r="BB15" s="37" t="e">
        <f aca="false">BA15*('Setting key Duty'!$I$13+'Setting key Duty'!$I$12+'Setting key Duty'!$I$11)</f>
        <v>#VALUE!</v>
      </c>
      <c r="BC15" s="37" t="n">
        <f aca="false">COUNTIF(A15:AI15,"*$L*")</f>
        <v>0</v>
      </c>
      <c r="BD15" s="37" t="e">
        <f aca="false">BC15*('Setting key Duty'!$I$13+'Setting key Duty'!$I$9)</f>
        <v>#VALUE!</v>
      </c>
      <c r="BE15" s="37" t="n">
        <f aca="false">COUNTIF(A15:AI15,"*$M*")</f>
        <v>0</v>
      </c>
      <c r="BF15" s="37" t="n">
        <f aca="false">BE15*('Setting key Duty'!$I$8+'Setting key Duty'!$I$9+'Setting key Duty'!$I$12)</f>
        <v>0</v>
      </c>
      <c r="BG15" s="37" t="n">
        <f aca="false">COUNTIF(AI15,"*$N*")</f>
        <v>0</v>
      </c>
      <c r="BH15" s="37" t="n">
        <f aca="false">COUNTIF(AI15,"*$PM*")</f>
        <v>0</v>
      </c>
      <c r="BI15" s="37" t="n">
        <f aca="false">BH15*('Setting key Duty'!$I$9)</f>
        <v>0</v>
      </c>
      <c r="BJ15" s="37" t="n">
        <f aca="false">COUNTIF(A15:AI15,"*$AM*")</f>
        <v>0</v>
      </c>
      <c r="BK15" s="37" t="n">
        <f aca="false">BJ15*('Setting key Duty'!$I$12+'Setting key Duty'!$I$8)</f>
        <v>0</v>
      </c>
      <c r="BL15" s="37" t="n">
        <f aca="false">COUNTIF(D15:AI15,"*$FC*")</f>
        <v>0</v>
      </c>
      <c r="BM15" s="37" t="n">
        <f aca="false">BL15*('Setting key Duty'!$J$11+'Setting key Duty'!$I$8)</f>
        <v>0</v>
      </c>
      <c r="BN15" s="37" t="n">
        <f aca="false">COUNTIF($D15:$AA15,BN$4)</f>
        <v>0</v>
      </c>
      <c r="BO15" s="37" t="n">
        <f aca="false">COUNTIF($D15:$AA15,BO$4)</f>
        <v>0</v>
      </c>
      <c r="BP15" s="37" t="n">
        <f aca="false">COUNTIF($D15:$AA15,BP$4)</f>
        <v>0</v>
      </c>
      <c r="BQ15" s="39"/>
    </row>
    <row r="16" customFormat="false" ht="19.5" hidden="false" customHeight="true" outlineLevel="0" collapsed="false">
      <c r="A16" s="30"/>
      <c r="B16" s="48" t="s">
        <v>427</v>
      </c>
      <c r="C16" s="42"/>
      <c r="E16" s="32" t="s">
        <v>58</v>
      </c>
      <c r="F16" s="32"/>
      <c r="G16" s="32" t="s">
        <v>150</v>
      </c>
      <c r="H16" s="32" t="s">
        <v>150</v>
      </c>
      <c r="I16" s="32" t="s">
        <v>150</v>
      </c>
      <c r="J16" s="32"/>
      <c r="K16" s="32"/>
      <c r="L16" s="32" t="s">
        <v>59</v>
      </c>
      <c r="M16" s="32"/>
      <c r="N16" s="32"/>
      <c r="P16" s="32"/>
      <c r="Q16" s="32" t="s">
        <v>350</v>
      </c>
      <c r="R16" s="32"/>
      <c r="S16" s="32" t="s">
        <v>57</v>
      </c>
      <c r="T16" s="32"/>
      <c r="U16" s="32"/>
      <c r="V16" s="50"/>
      <c r="W16" s="32" t="s">
        <v>56</v>
      </c>
      <c r="X16" s="32"/>
      <c r="Y16" s="32" t="s">
        <v>223</v>
      </c>
      <c r="Z16" s="32"/>
      <c r="AA16" s="32" t="s">
        <v>172</v>
      </c>
      <c r="AC16" s="32"/>
      <c r="AD16" s="32"/>
      <c r="AE16" s="32"/>
      <c r="AF16" s="32"/>
      <c r="AG16" s="32"/>
      <c r="AH16" s="32"/>
      <c r="AI16" s="35"/>
      <c r="AJ16" s="36"/>
      <c r="AK16" s="35"/>
      <c r="AL16" s="37"/>
      <c r="AM16" s="37"/>
      <c r="AN16" s="37"/>
      <c r="AO16" s="37"/>
      <c r="AP16" s="38"/>
      <c r="AQ16" s="37" t="n">
        <f aca="false">SUMPRODUCT(--WEEKDAY(C$3:AG$3,2)&lt;6,--((C16:AG16="DM"))+(C16:AG16="CS1")+((C16:AG16="CS2"))+(C16:AG16="SB1")+(C16:AG16="AE")+(C16:AG16="EM"))</f>
        <v>3</v>
      </c>
      <c r="AR16" s="38"/>
      <c r="AS16" s="38" t="n">
        <f aca="false">SUMPRODUCT(--WEEKDAY(C$3:AG$3,2)&gt;5,--((C16:AG16="DM"))+(C16:AG16="CS1")+((C16:AG16="CS2"))+(C16:AG16="SB1")+(C16:AG16="AE")+(C16:AG16="EM"))</f>
        <v>1</v>
      </c>
      <c r="AT16" s="38"/>
      <c r="AU16" s="38" t="n">
        <f aca="false">(AQ16-AR16)/2+(AS16-AT16)</f>
        <v>2.5</v>
      </c>
      <c r="AV16" s="38" t="n">
        <f aca="false">AI16+AJ16+AK16+AL16+AN16+AO16</f>
        <v>0</v>
      </c>
      <c r="AW16" s="38" t="n">
        <f aca="false">BG16+BH16+BJ16+BE16+BC16+BA16+BL16</f>
        <v>0</v>
      </c>
      <c r="AX16" s="38" t="e">
        <f aca="false">AU16+$AY$10</f>
        <v>#VALUE!</v>
      </c>
      <c r="AY16" s="37" t="e">
        <f aca="false">(BJ16*('Setting key Duty'!$I$8+'Setting key Duty'!$I$12))+(BH16*'Setting key Duty'!$I$9)+(BC16*('Setting key Duty'!$I$13+'Setting key Duty'!$I$9))+(BA16*('Setting key Duty'!$I$13+'Setting key Duty'!$I$12+'Setting key Duty'!$I$11))+(BE16*('Setting key Duty'!$I$8+'Setting key Duty'!$I$9+'Setting key Duty'!$I$12))</f>
        <v>#VALUE!</v>
      </c>
      <c r="AZ16" s="37" t="n">
        <f aca="false">COUNTIF(E16:Y16,"*BRT*")</f>
        <v>0</v>
      </c>
      <c r="BA16" s="37" t="n">
        <f aca="false">COUNTIF(A16:AI16,"*$BTP*")</f>
        <v>0</v>
      </c>
      <c r="BB16" s="37" t="e">
        <f aca="false">BA16*('Setting key Duty'!$I$13+'Setting key Duty'!$I$12+'Setting key Duty'!$I$11)</f>
        <v>#VALUE!</v>
      </c>
      <c r="BC16" s="37" t="n">
        <f aca="false">COUNTIF(A16:AI16,"*$L*")</f>
        <v>0</v>
      </c>
      <c r="BD16" s="37" t="e">
        <f aca="false">BC16*('Setting key Duty'!$I$13+'Setting key Duty'!$I$9)</f>
        <v>#VALUE!</v>
      </c>
      <c r="BE16" s="37" t="n">
        <f aca="false">COUNTIF(A16:AI16,"*$M*")</f>
        <v>0</v>
      </c>
      <c r="BF16" s="37" t="n">
        <f aca="false">BE16*('Setting key Duty'!$I$8+'Setting key Duty'!$I$9+'Setting key Duty'!$I$12)</f>
        <v>0</v>
      </c>
      <c r="BG16" s="37" t="n">
        <f aca="false">COUNTIF(AI16,"*$N*")</f>
        <v>0</v>
      </c>
      <c r="BH16" s="37" t="n">
        <f aca="false">COUNTIF(AI16,"*$PM*")</f>
        <v>0</v>
      </c>
      <c r="BI16" s="37" t="n">
        <f aca="false">BH16*('Setting key Duty'!$I$9)</f>
        <v>0</v>
      </c>
      <c r="BJ16" s="37" t="n">
        <f aca="false">COUNTIF(A16:AI16,"*$AM*")</f>
        <v>0</v>
      </c>
      <c r="BK16" s="37" t="n">
        <f aca="false">BJ16*('Setting key Duty'!$I$12+'Setting key Duty'!$I$8)</f>
        <v>0</v>
      </c>
      <c r="BL16" s="37" t="n">
        <f aca="false">COUNTIF(E16:AI16,"*$FC*")</f>
        <v>0</v>
      </c>
      <c r="BM16" s="37" t="n">
        <f aca="false">BL16*('Setting key Duty'!$J$11+'Setting key Duty'!$I$8)</f>
        <v>0</v>
      </c>
      <c r="BN16" s="37" t="n">
        <f aca="false">COUNTIF($E16:$Y16,BN$4)</f>
        <v>0</v>
      </c>
      <c r="BO16" s="37" t="n">
        <f aca="false">COUNTIF($E16:$Y16,BO$4)</f>
        <v>1</v>
      </c>
      <c r="BP16" s="37" t="n">
        <f aca="false">COUNTIF($E16:$Y16,BP$4)</f>
        <v>0</v>
      </c>
      <c r="BQ16" s="39"/>
    </row>
    <row r="17" customFormat="false" ht="30.75" hidden="false" customHeight="true" outlineLevel="0" collapsed="false">
      <c r="A17" s="30"/>
      <c r="B17" s="104" t="s">
        <v>472</v>
      </c>
      <c r="C17" s="32"/>
      <c r="D17" s="32"/>
      <c r="E17" s="32" t="s">
        <v>468</v>
      </c>
      <c r="F17" s="32"/>
      <c r="G17" s="32" t="s">
        <v>350</v>
      </c>
      <c r="H17" s="32"/>
      <c r="I17" s="32" t="s">
        <v>57</v>
      </c>
      <c r="J17" s="32"/>
      <c r="K17" s="32"/>
      <c r="L17" s="32" t="s">
        <v>57</v>
      </c>
      <c r="N17" s="32"/>
      <c r="O17" s="32"/>
      <c r="P17" s="32" t="s">
        <v>57</v>
      </c>
      <c r="R17" s="32"/>
      <c r="S17" s="32"/>
      <c r="T17" s="32"/>
      <c r="U17" s="32" t="s">
        <v>350</v>
      </c>
      <c r="V17" s="32"/>
      <c r="W17" s="32" t="s">
        <v>54</v>
      </c>
      <c r="X17" s="32" t="s">
        <v>54</v>
      </c>
      <c r="Y17" s="32" t="s">
        <v>54</v>
      </c>
      <c r="Z17" s="32" t="s">
        <v>54</v>
      </c>
      <c r="AA17" s="32" t="s">
        <v>54</v>
      </c>
      <c r="AB17" s="32" t="s">
        <v>54</v>
      </c>
      <c r="AC17" s="32" t="s">
        <v>54</v>
      </c>
      <c r="AD17" s="32" t="s">
        <v>54</v>
      </c>
      <c r="AE17" s="32" t="s">
        <v>54</v>
      </c>
      <c r="AF17" s="32" t="s">
        <v>56</v>
      </c>
      <c r="AG17" s="32"/>
      <c r="AH17" s="33"/>
      <c r="AI17" s="35"/>
      <c r="AJ17" s="36"/>
      <c r="AK17" s="35"/>
      <c r="AL17" s="37"/>
      <c r="AM17" s="37"/>
      <c r="AN17" s="37"/>
      <c r="AO17" s="37"/>
      <c r="AP17" s="38"/>
      <c r="AQ17" s="37" t="n">
        <f aca="false">SUMPRODUCT(--WEEKDAY(C$3:AG$3,2)&lt;6,--((C17:AG17="DM"))+(C17:AG17="CS1")+((C17:AG17="CS2"))+(C17:AG17="SB1")+(C17:AG17="AE")+(C17:AG17="EM"))</f>
        <v>2</v>
      </c>
      <c r="AR17" s="38"/>
      <c r="AS17" s="38" t="n">
        <f aca="false">SUMPRODUCT(--WEEKDAY(C$3:AG$3,2)&gt;5,--((C17:AG17="DM"))+(C17:AG17="CS1")+((C17:AG17="CS2"))+(C17:AG17="SB1")+(C17:AG17="AE")+(C17:AG17="EM"))</f>
        <v>2</v>
      </c>
      <c r="AT17" s="38"/>
      <c r="AU17" s="38" t="n">
        <f aca="false">(AQ17-AR17)/2+(AS17-AT17)</f>
        <v>3</v>
      </c>
      <c r="AV17" s="38" t="n">
        <f aca="false">AI17+AJ17+AK17+AL17+AN17+AO17</f>
        <v>0</v>
      </c>
      <c r="AW17" s="38" t="n">
        <f aca="false">BG17+BH17+BJ17+BE17+BC17+BA17+BL17</f>
        <v>1</v>
      </c>
      <c r="AX17" s="38" t="e">
        <f aca="false">AU17+$AY$10</f>
        <v>#VALUE!</v>
      </c>
      <c r="AY17" s="37" t="e">
        <f aca="false">(BJ17*('Setting key Duty'!$I$8+'Setting key Duty'!$I$12))+(BH17*'Setting key Duty'!$I$9)+(BC17*('Setting key Duty'!$I$13+'Setting key Duty'!$I$9))+(BA17*('Setting key Duty'!$I$13+'Setting key Duty'!$I$12+'Setting key Duty'!$I$11))+(BE17*('Setting key Duty'!$I$8+'Setting key Duty'!$I$9+'Setting key Duty'!$I$12))</f>
        <v>#VALUE!</v>
      </c>
      <c r="AZ17" s="37" t="n">
        <f aca="false">COUNTIF(D17:AA17,"*BRT*")</f>
        <v>0</v>
      </c>
      <c r="BA17" s="37" t="n">
        <f aca="false">COUNTIF(A17:AI17,"*$BTP*")</f>
        <v>0</v>
      </c>
      <c r="BB17" s="37" t="e">
        <f aca="false">BA17*('Setting key Duty'!$I$13+'Setting key Duty'!$I$12+'Setting key Duty'!$I$11)</f>
        <v>#VALUE!</v>
      </c>
      <c r="BC17" s="37" t="n">
        <f aca="false">COUNTIF(A17:AI17,"*$L*")</f>
        <v>0</v>
      </c>
      <c r="BD17" s="37" t="e">
        <f aca="false">BC17*('Setting key Duty'!$I$13+'Setting key Duty'!$I$9)</f>
        <v>#VALUE!</v>
      </c>
      <c r="BE17" s="37" t="n">
        <f aca="false">COUNTIF(A17:AI17,"*$M*")</f>
        <v>0</v>
      </c>
      <c r="BF17" s="37" t="n">
        <f aca="false">BE17*('Setting key Duty'!$I$8+'Setting key Duty'!$I$9+'Setting key Duty'!$I$12)</f>
        <v>0</v>
      </c>
      <c r="BG17" s="37" t="n">
        <f aca="false">COUNTIF(AI17,"*$N*")</f>
        <v>0</v>
      </c>
      <c r="BH17" s="37" t="n">
        <f aca="false">COUNTIF(AI17,"*$PM*")</f>
        <v>0</v>
      </c>
      <c r="BI17" s="37" t="n">
        <f aca="false">BH17*('Setting key Duty'!$I$9)</f>
        <v>0</v>
      </c>
      <c r="BJ17" s="37" t="n">
        <f aca="false">COUNTIF(A17:AI17,"*$AM*")</f>
        <v>1</v>
      </c>
      <c r="BK17" s="37" t="n">
        <f aca="false">BJ17*('Setting key Duty'!$I$12+'Setting key Duty'!$I$8)</f>
        <v>0.4375</v>
      </c>
      <c r="BL17" s="37" t="n">
        <f aca="false">COUNTIF(D17:AI17,"*$FC*")</f>
        <v>0</v>
      </c>
      <c r="BM17" s="37" t="n">
        <f aca="false">BL17*('Setting key Duty'!$J$11+'Setting key Duty'!$I$8)</f>
        <v>0</v>
      </c>
      <c r="BN17" s="37" t="n">
        <f aca="false">COUNTIF($D17:$AA17,BN$4)</f>
        <v>0</v>
      </c>
      <c r="BO17" s="37" t="n">
        <f aca="false">COUNTIF($D17:$AA17,BO$4)</f>
        <v>2</v>
      </c>
      <c r="BP17" s="37" t="n">
        <f aca="false">COUNTIF($D17:$AA17,BP$4)</f>
        <v>0</v>
      </c>
      <c r="BQ17" s="39"/>
    </row>
    <row r="18" customFormat="false" ht="27.75" hidden="false" customHeight="true" outlineLevel="0" collapsed="false">
      <c r="A18" s="30"/>
      <c r="B18" s="104" t="s">
        <v>473</v>
      </c>
      <c r="D18" s="32"/>
      <c r="E18" s="32" t="s">
        <v>474</v>
      </c>
      <c r="G18" s="32" t="s">
        <v>474</v>
      </c>
      <c r="J18" s="32" t="s">
        <v>59</v>
      </c>
      <c r="K18" s="32"/>
      <c r="L18" s="52"/>
      <c r="M18" s="32"/>
      <c r="N18" s="32" t="s">
        <v>350</v>
      </c>
      <c r="P18" s="32" t="s">
        <v>474</v>
      </c>
      <c r="R18" s="32"/>
      <c r="S18" s="32" t="s">
        <v>56</v>
      </c>
      <c r="T18" s="32"/>
      <c r="V18" s="50"/>
      <c r="W18" s="32" t="s">
        <v>474</v>
      </c>
      <c r="X18" s="32"/>
      <c r="Y18" s="42" t="s">
        <v>223</v>
      </c>
      <c r="Z18" s="32" t="s">
        <v>57</v>
      </c>
      <c r="AA18" s="32"/>
      <c r="AB18" s="32" t="s">
        <v>59</v>
      </c>
      <c r="AC18" s="42"/>
      <c r="AD18" s="32" t="s">
        <v>474</v>
      </c>
      <c r="AF18" s="32"/>
      <c r="AG18" s="32"/>
      <c r="AH18" s="32"/>
      <c r="AI18" s="35"/>
      <c r="AJ18" s="36"/>
      <c r="AK18" s="35"/>
      <c r="AL18" s="37"/>
      <c r="AM18" s="37"/>
      <c r="AN18" s="37"/>
      <c r="AO18" s="37"/>
      <c r="AP18" s="38"/>
      <c r="AQ18" s="37" t="n">
        <f aca="false">SUMPRODUCT(--WEEKDAY(C$3:AG$3,2)&lt;6,--((C18:AG18="DM"))+(C18:AG18="CS1")+((C18:AG18="CS2"))+(C18:AG18="SB1")+(C18:AG18="AE")+(C18:AG18="EM"))</f>
        <v>3</v>
      </c>
      <c r="AR18" s="38"/>
      <c r="AS18" s="38" t="n">
        <f aca="false">SUMPRODUCT(--WEEKDAY(C$3:AG$3,2)&gt;5,--((C18:AG18="DM"))+(C18:AG18="CS1")+((C18:AG18="CS2"))+(C18:AG18="SB1")+(C18:AG18="AE")+(C18:AG18="EM"))</f>
        <v>1</v>
      </c>
      <c r="AT18" s="38"/>
      <c r="AU18" s="38" t="n">
        <f aca="false">(AQ18-AR18)/2+(AS18-AT18)</f>
        <v>2.5</v>
      </c>
      <c r="AV18" s="38" t="n">
        <f aca="false">AI18+AJ18+AK18+AL18+AN18+AO18</f>
        <v>0</v>
      </c>
      <c r="AW18" s="38" t="n">
        <f aca="false">BG18+BH18+BJ18+BE18+BC18+BA18+BL18</f>
        <v>0</v>
      </c>
      <c r="AX18" s="38" t="e">
        <f aca="false">AU18+$AY$10</f>
        <v>#VALUE!</v>
      </c>
      <c r="AY18" s="37" t="e">
        <f aca="false">(BJ18*('Setting key Duty'!$I$8+'Setting key Duty'!$I$12))+(BH18*'Setting key Duty'!$I$9)+(BC18*('Setting key Duty'!$I$13+'Setting key Duty'!$I$9))+(BA18*('Setting key Duty'!$I$13+'Setting key Duty'!$I$12+'Setting key Duty'!$I$11))+(BE18*('Setting key Duty'!$I$8+'Setting key Duty'!$I$9+'Setting key Duty'!$I$12))</f>
        <v>#VALUE!</v>
      </c>
      <c r="AZ18" s="37" t="n">
        <f aca="false">COUNTIF(C18:AA18,"*BRT*")</f>
        <v>0</v>
      </c>
      <c r="BA18" s="37" t="n">
        <f aca="false">COUNTIF(A18:AI18,"*$BTP*")</f>
        <v>0</v>
      </c>
      <c r="BB18" s="37" t="e">
        <f aca="false">BA18*('Setting key Duty'!$I$13+'Setting key Duty'!$I$12+'Setting key Duty'!$I$11)</f>
        <v>#VALUE!</v>
      </c>
      <c r="BC18" s="37" t="n">
        <f aca="false">COUNTIF(A18:AI18,"*$L*")</f>
        <v>0</v>
      </c>
      <c r="BD18" s="37" t="e">
        <f aca="false">BC18*('Setting key Duty'!$I$13+'Setting key Duty'!$I$9)</f>
        <v>#VALUE!</v>
      </c>
      <c r="BE18" s="37" t="n">
        <f aca="false">COUNTIF(A18:AI18,"*$M*")</f>
        <v>0</v>
      </c>
      <c r="BF18" s="37" t="n">
        <f aca="false">BE18*('Setting key Duty'!$I$8+'Setting key Duty'!$I$9+'Setting key Duty'!$I$12)</f>
        <v>0</v>
      </c>
      <c r="BG18" s="37" t="n">
        <f aca="false">COUNTIF(AI18,"*$N*")</f>
        <v>0</v>
      </c>
      <c r="BH18" s="37" t="n">
        <f aca="false">COUNTIF(AI18,"*$PM*")</f>
        <v>0</v>
      </c>
      <c r="BI18" s="37" t="n">
        <f aca="false">BH18*('Setting key Duty'!$I$9)</f>
        <v>0</v>
      </c>
      <c r="BJ18" s="37" t="n">
        <f aca="false">COUNTIF(A18:AI18,"*$AM*")</f>
        <v>0</v>
      </c>
      <c r="BK18" s="37" t="n">
        <f aca="false">BJ18*('Setting key Duty'!$I$12+'Setting key Duty'!$I$8)</f>
        <v>0</v>
      </c>
      <c r="BL18" s="37" t="n">
        <f aca="false">COUNTIF(C18:AI18,"*$FC*")</f>
        <v>0</v>
      </c>
      <c r="BM18" s="37" t="n">
        <f aca="false">BL18*('Setting key Duty'!$J$11+'Setting key Duty'!$I$8)</f>
        <v>0</v>
      </c>
      <c r="BN18" s="37" t="n">
        <f aca="false">COUNTIF($C18:$AA18,BN$4)</f>
        <v>0</v>
      </c>
      <c r="BO18" s="37" t="n">
        <f aca="false">COUNTIF($C18:$AA18,BO$4)</f>
        <v>1</v>
      </c>
      <c r="BP18" s="37" t="n">
        <f aca="false">COUNTIF($C18:$AA18,BP$4)</f>
        <v>0</v>
      </c>
      <c r="BQ18" s="39"/>
    </row>
    <row r="19" customFormat="false" ht="19.5" hidden="false" customHeight="true" outlineLevel="0" collapsed="false">
      <c r="A19" s="30"/>
      <c r="B19" s="40" t="s">
        <v>475</v>
      </c>
      <c r="C19" s="32"/>
      <c r="D19" s="32" t="s">
        <v>350</v>
      </c>
      <c r="E19" s="32" t="s">
        <v>57</v>
      </c>
      <c r="F19" s="32" t="s">
        <v>350</v>
      </c>
      <c r="G19" s="32" t="s">
        <v>150</v>
      </c>
      <c r="H19" s="32" t="s">
        <v>150</v>
      </c>
      <c r="I19" s="32" t="s">
        <v>150</v>
      </c>
      <c r="J19" s="42" t="s">
        <v>57</v>
      </c>
      <c r="K19" s="32"/>
      <c r="L19" s="42"/>
      <c r="M19" s="42" t="s">
        <v>56</v>
      </c>
      <c r="N19" s="32"/>
      <c r="O19" s="32"/>
      <c r="P19" s="32" t="s">
        <v>350</v>
      </c>
      <c r="Q19" s="32"/>
      <c r="R19" s="32"/>
      <c r="T19" s="32"/>
      <c r="U19" s="32"/>
      <c r="V19" s="32" t="s">
        <v>350</v>
      </c>
      <c r="X19" s="32" t="s">
        <v>56</v>
      </c>
      <c r="Y19" s="42" t="s">
        <v>223</v>
      </c>
      <c r="AA19" s="32"/>
      <c r="AB19" s="42"/>
      <c r="AC19" s="32"/>
      <c r="AD19" s="42"/>
      <c r="AF19" s="32"/>
      <c r="AG19" s="32"/>
      <c r="AH19" s="32"/>
      <c r="AI19" s="35"/>
      <c r="AJ19" s="36"/>
      <c r="AK19" s="35"/>
      <c r="AL19" s="37"/>
      <c r="AM19" s="37"/>
      <c r="AN19" s="37"/>
      <c r="AO19" s="37"/>
      <c r="AP19" s="38"/>
      <c r="AQ19" s="37" t="n">
        <f aca="false">SUMPRODUCT(--WEEKDAY(C$3:AG$3,2)&lt;6,--((C19:AG19="DM"))+(C19:AG19="CS1")+((C19:AG19="CS2"))+(C19:AG19="SB1")+(C19:AG19="AE")+(C19:AG19="EM"))</f>
        <v>2</v>
      </c>
      <c r="AR19" s="38"/>
      <c r="AS19" s="38" t="n">
        <f aca="false">SUMPRODUCT(--WEEKDAY(C$3:AG$3,2)&gt;5,--((C19:AG19="DM"))+(C19:AG19="CS1")+((C19:AG19="CS2"))+(C19:AG19="SB1")+(C19:AG19="AE")+(C19:AG19="EM"))</f>
        <v>2</v>
      </c>
      <c r="AT19" s="38"/>
      <c r="AU19" s="38" t="n">
        <f aca="false">(AQ19-AR19)/2+(AS19-AT19)</f>
        <v>3</v>
      </c>
      <c r="AV19" s="38" t="n">
        <f aca="false">AI19+AJ19+AK19+AL19+AN19+AO19</f>
        <v>0</v>
      </c>
      <c r="AW19" s="38" t="n">
        <f aca="false">BG19+BH19+BJ19+BE19+BC19+BA19+BL19</f>
        <v>0</v>
      </c>
      <c r="AX19" s="38" t="e">
        <f aca="false">AU19+AY19</f>
        <v>#VALUE!</v>
      </c>
      <c r="AY19" s="37" t="e">
        <f aca="false">(BJ19*('Setting key Duty'!$I$8+'Setting key Duty'!$I$12))+(BH19*'Setting key Duty'!$I$9)+(BC19*('Setting key Duty'!$I$13+'Setting key Duty'!$I$9))+(BA19*('Setting key Duty'!$I$13+'Setting key Duty'!$I$12+'Setting key Duty'!$I$11))+(BE19*('Setting key Duty'!$I$8+'Setting key Duty'!$I$9+'Setting key Duty'!$I$12))</f>
        <v>#VALUE!</v>
      </c>
      <c r="AZ19" s="37" t="n">
        <f aca="false">COUNTIF(D19:AB19,"*BRT*")</f>
        <v>0</v>
      </c>
      <c r="BA19" s="37" t="n">
        <f aca="false">COUNTIF(A19:AI19,"*$BTP*")</f>
        <v>0</v>
      </c>
      <c r="BB19" s="37" t="e">
        <f aca="false">BA19*('Setting key Duty'!$I$13+'Setting key Duty'!$I$12+'Setting key Duty'!$I$11)</f>
        <v>#VALUE!</v>
      </c>
      <c r="BC19" s="37" t="n">
        <f aca="false">COUNTIF(A19:AI19,"*$L*")</f>
        <v>0</v>
      </c>
      <c r="BD19" s="37" t="e">
        <f aca="false">BC19*('Setting key Duty'!$I$13+'Setting key Duty'!$I$9)</f>
        <v>#VALUE!</v>
      </c>
      <c r="BE19" s="37" t="n">
        <f aca="false">COUNTIF(A19:AI19,"*$M*")</f>
        <v>0</v>
      </c>
      <c r="BF19" s="37" t="n">
        <f aca="false">BE19*('Setting key Duty'!$I$8+'Setting key Duty'!$I$9+'Setting key Duty'!$I$12)</f>
        <v>0</v>
      </c>
      <c r="BG19" s="37" t="n">
        <f aca="false">COUNTIF(AF19:AI19,"*$N*")</f>
        <v>0</v>
      </c>
      <c r="BH19" s="37" t="n">
        <f aca="false">COUNTIF(AF19:AI19,"*$PM*")</f>
        <v>0</v>
      </c>
      <c r="BI19" s="37" t="n">
        <f aca="false">BH19*('Setting key Duty'!$I$9)</f>
        <v>0</v>
      </c>
      <c r="BJ19" s="37" t="n">
        <f aca="false">COUNTIF(A19:AI19,"*$AM*")</f>
        <v>0</v>
      </c>
      <c r="BK19" s="37" t="n">
        <f aca="false">BJ19*('Setting key Duty'!$I$12+'Setting key Duty'!$I$8)</f>
        <v>0</v>
      </c>
      <c r="BL19" s="37" t="n">
        <f aca="false">COUNTIF(D19:AI19,"*$FC*")</f>
        <v>0</v>
      </c>
      <c r="BM19" s="37" t="n">
        <f aca="false">BL19*('Setting key Duty'!$J$11+'Setting key Duty'!$I$8)</f>
        <v>0</v>
      </c>
      <c r="BN19" s="37" t="n">
        <f aca="false">COUNTIF($D19:$AF19,BN$4)</f>
        <v>0</v>
      </c>
      <c r="BO19" s="37" t="n">
        <f aca="false">COUNTIF($D19:$AF19,BO$4)</f>
        <v>4</v>
      </c>
      <c r="BP19" s="37" t="n">
        <f aca="false">COUNTIF($D19:$AF19,BP$4)</f>
        <v>0</v>
      </c>
      <c r="BQ19" s="39"/>
    </row>
    <row r="20" customFormat="false" ht="19.5" hidden="false" customHeight="true" outlineLevel="0" collapsed="false">
      <c r="A20" s="30"/>
      <c r="B20" s="103" t="s">
        <v>388</v>
      </c>
      <c r="C20" s="32"/>
      <c r="E20" s="32" t="s">
        <v>149</v>
      </c>
      <c r="F20" s="32" t="s">
        <v>149</v>
      </c>
      <c r="G20" s="32" t="s">
        <v>476</v>
      </c>
      <c r="H20" s="32" t="s">
        <v>57</v>
      </c>
      <c r="I20" s="32"/>
      <c r="J20" s="32"/>
      <c r="L20" s="32"/>
      <c r="M20" s="32"/>
      <c r="N20" s="32" t="s">
        <v>57</v>
      </c>
      <c r="O20" s="32"/>
      <c r="R20" s="32" t="s">
        <v>350</v>
      </c>
      <c r="T20" s="32" t="s">
        <v>59</v>
      </c>
      <c r="U20" s="32"/>
      <c r="V20" s="50"/>
      <c r="W20" s="32"/>
      <c r="X20" s="32"/>
      <c r="Y20" s="32"/>
      <c r="Z20" s="32"/>
      <c r="AA20" s="32"/>
      <c r="AB20" s="32" t="s">
        <v>350</v>
      </c>
      <c r="AC20" s="32"/>
      <c r="AE20" s="32" t="s">
        <v>56</v>
      </c>
      <c r="AF20" s="32" t="s">
        <v>477</v>
      </c>
      <c r="AG20" s="32" t="s">
        <v>477</v>
      </c>
      <c r="AH20" s="32" t="s">
        <v>477</v>
      </c>
      <c r="AI20" s="35"/>
      <c r="AJ20" s="36"/>
      <c r="AK20" s="35"/>
      <c r="AL20" s="37"/>
      <c r="AM20" s="37"/>
      <c r="AN20" s="37"/>
      <c r="AO20" s="37"/>
      <c r="AP20" s="38"/>
      <c r="AQ20" s="37" t="n">
        <f aca="false">SUMPRODUCT(--WEEKDAY(C$3:AG$3,2)&lt;6,--((C20:AG20="DM"))+(C20:AG20="CS1")+((C20:AG20="CS2"))+(C20:AG20="SB1")+(C20:AG20="AE")+(C20:AG20="EM"))</f>
        <v>3</v>
      </c>
      <c r="AR20" s="38"/>
      <c r="AS20" s="38" t="n">
        <f aca="false">SUMPRODUCT(--WEEKDAY(C$3:AG$3,2)&gt;5,--((C20:AG20="DM"))+(C20:AG20="CS1")+((C20:AG20="CS2"))+(C20:AG20="SB1")+(C20:AG20="AE")+(C20:AG20="EM"))</f>
        <v>1</v>
      </c>
      <c r="AT20" s="38"/>
      <c r="AU20" s="38" t="n">
        <f aca="false">(AQ20-AR20)/2+(AS20-AT20)</f>
        <v>2.5</v>
      </c>
      <c r="AV20" s="38" t="n">
        <f aca="false">AI20+AJ20+AK20+AL20+AN20+AO20</f>
        <v>0</v>
      </c>
      <c r="AW20" s="38" t="n">
        <f aca="false">BG20+BH20+BJ20+BE20+BC20+BA20+BL20</f>
        <v>0</v>
      </c>
      <c r="AX20" s="38" t="e">
        <f aca="false">AU20+$AY$10</f>
        <v>#VALUE!</v>
      </c>
      <c r="AY20" s="37" t="e">
        <f aca="false">(BJ20*('Setting key Duty'!$I$8+'Setting key Duty'!$I$12))+(BH20*'Setting key Duty'!$I$9)+(BC20*('Setting key Duty'!$I$13+'Setting key Duty'!$I$9))+(BA20*('Setting key Duty'!$I$13+'Setting key Duty'!$I$12+'Setting key Duty'!$I$11))+(BE20*('Setting key Duty'!$I$8+'Setting key Duty'!$I$9+'Setting key Duty'!$I$12))</f>
        <v>#VALUE!</v>
      </c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9"/>
    </row>
    <row r="21" customFormat="false" ht="19.5" hidden="false" customHeight="true" outlineLevel="0" collapsed="false">
      <c r="A21" s="30"/>
      <c r="B21" s="103" t="s">
        <v>478</v>
      </c>
      <c r="C21" s="32"/>
      <c r="D21" s="32" t="s">
        <v>56</v>
      </c>
      <c r="F21" s="32"/>
      <c r="G21" s="32" t="s">
        <v>150</v>
      </c>
      <c r="H21" s="32" t="s">
        <v>150</v>
      </c>
      <c r="I21" s="32" t="s">
        <v>150</v>
      </c>
      <c r="J21" s="32"/>
      <c r="K21" s="32" t="s">
        <v>56</v>
      </c>
      <c r="L21" s="32"/>
      <c r="M21" s="42"/>
      <c r="O21" s="32" t="s">
        <v>350</v>
      </c>
      <c r="P21" s="32"/>
      <c r="Q21" s="32"/>
      <c r="R21" s="32" t="s">
        <v>350</v>
      </c>
      <c r="T21" s="52"/>
      <c r="U21" s="52" t="s">
        <v>56</v>
      </c>
      <c r="V21" s="50"/>
      <c r="W21" s="32"/>
      <c r="X21" s="32" t="s">
        <v>57</v>
      </c>
      <c r="AB21" s="32"/>
      <c r="AC21" s="32" t="s">
        <v>59</v>
      </c>
      <c r="AD21" s="42"/>
      <c r="AE21" s="32" t="s">
        <v>350</v>
      </c>
      <c r="AG21" s="32"/>
      <c r="AH21" s="32"/>
      <c r="AI21" s="35"/>
      <c r="AJ21" s="36"/>
      <c r="AK21" s="35"/>
      <c r="AL21" s="37"/>
      <c r="AM21" s="37"/>
      <c r="AN21" s="37"/>
      <c r="AO21" s="37"/>
      <c r="AP21" s="38"/>
      <c r="AQ21" s="37" t="n">
        <f aca="false">SUMPRODUCT(--WEEKDAY(C$3:AG$3,2)&lt;6,--((C21:AG21="DM"))+(C21:AG21="CS1")+((C21:AG21="CS2"))+(C21:AG21="SB1")+(C21:AG21="AE")+(C21:AG21="EM"))</f>
        <v>4</v>
      </c>
      <c r="AR21" s="38"/>
      <c r="AS21" s="38" t="n">
        <f aca="false">SUMPRODUCT(--WEEKDAY(C$3:AG$3,2)&gt;5,--((C21:AG21="DM"))+(C21:AG21="CS1")+((C21:AG21="CS2"))+(C21:AG21="SB1")+(C21:AG21="AE")+(C21:AG21="EM"))</f>
        <v>1</v>
      </c>
      <c r="AT21" s="38"/>
      <c r="AU21" s="38" t="n">
        <f aca="false">(AQ21-AR21)/2+(AS21-AT21)</f>
        <v>3</v>
      </c>
      <c r="AV21" s="38" t="n">
        <f aca="false">AI21+AJ21+AK21+AL21+AN21+AO21</f>
        <v>0</v>
      </c>
      <c r="AW21" s="38" t="n">
        <f aca="false">BG21+BH21+BJ21+BE21+BC21+BA21+BL21</f>
        <v>0</v>
      </c>
      <c r="AX21" s="38" t="e">
        <f aca="false">AU21+AY21</f>
        <v>#VALUE!</v>
      </c>
      <c r="AY21" s="37" t="e">
        <f aca="false">(BJ21*('Setting key Duty'!$I$8+'Setting key Duty'!$I$12))+(BH21*'Setting key Duty'!$I$9)+(BC21*('Setting key Duty'!$I$13+'Setting key Duty'!$I$9))+(BA21*('Setting key Duty'!$I$13+'Setting key Duty'!$I$12+'Setting key Duty'!$I$11))+(BE21*('Setting key Duty'!$I$8+'Setting key Duty'!$I$9+'Setting key Duty'!$I$12))</f>
        <v>#VALUE!</v>
      </c>
      <c r="AZ21" s="37" t="n">
        <f aca="false">COUNTIF(D21:AA21,"*BRT*")</f>
        <v>0</v>
      </c>
      <c r="BA21" s="37" t="n">
        <f aca="false">COUNTIF(A21:AI21,"*$BTP*")</f>
        <v>0</v>
      </c>
      <c r="BB21" s="37" t="e">
        <f aca="false">BA21*('Setting key Duty'!$I$13+'Setting key Duty'!$I$12+'Setting key Duty'!$I$11)</f>
        <v>#VALUE!</v>
      </c>
      <c r="BC21" s="37" t="n">
        <f aca="false">COUNTIF(A21:AI21,"*$L*")</f>
        <v>0</v>
      </c>
      <c r="BD21" s="37" t="e">
        <f aca="false">BC21*('Setting key Duty'!$I$13+'Setting key Duty'!$I$9)</f>
        <v>#VALUE!</v>
      </c>
      <c r="BE21" s="37" t="n">
        <f aca="false">COUNTIF(A21:AI21,"*$M*")</f>
        <v>0</v>
      </c>
      <c r="BF21" s="37" t="n">
        <f aca="false">BE21*('Setting key Duty'!$I$8+'Setting key Duty'!$I$9+'Setting key Duty'!$I$12)</f>
        <v>0</v>
      </c>
      <c r="BG21" s="37" t="n">
        <f aca="false">COUNTIF(AI21,"*$N*")</f>
        <v>0</v>
      </c>
      <c r="BH21" s="37" t="n">
        <f aca="false">COUNTIF(AI21,"*$PM*")</f>
        <v>0</v>
      </c>
      <c r="BI21" s="37" t="n">
        <f aca="false">BH21*('Setting key Duty'!$I$9)</f>
        <v>0</v>
      </c>
      <c r="BJ21" s="37" t="n">
        <f aca="false">COUNTIF(A21:AI21,"*$AM*")</f>
        <v>0</v>
      </c>
      <c r="BK21" s="37" t="n">
        <f aca="false">BJ21*('Setting key Duty'!$I$12+'Setting key Duty'!$I$8)</f>
        <v>0</v>
      </c>
      <c r="BL21" s="37" t="n">
        <f aca="false">COUNTIF(D21:AI21,"*$FC*")</f>
        <v>0</v>
      </c>
      <c r="BM21" s="37" t="n">
        <f aca="false">BL21*('Setting key Duty'!$J$11+'Setting key Duty'!$I$8)</f>
        <v>0</v>
      </c>
      <c r="BN21" s="37" t="n">
        <f aca="false">COUNTIF($D21:$AA21,BN$4)</f>
        <v>0</v>
      </c>
      <c r="BO21" s="37" t="n">
        <f aca="false">COUNTIF($D21:$AA21,BO$4)</f>
        <v>2</v>
      </c>
      <c r="BP21" s="37" t="n">
        <f aca="false">COUNTIF($D21:$AA21,BP$4)</f>
        <v>0</v>
      </c>
      <c r="BQ21" s="39"/>
    </row>
    <row r="22" customFormat="false" ht="19.5" hidden="false" customHeight="true" outlineLevel="0" collapsed="false">
      <c r="A22" s="30"/>
      <c r="B22" s="88" t="s">
        <v>479</v>
      </c>
      <c r="D22" s="32" t="s">
        <v>58</v>
      </c>
      <c r="E22" s="32"/>
      <c r="F22" s="32" t="s">
        <v>59</v>
      </c>
      <c r="G22" s="45"/>
      <c r="H22" s="42"/>
      <c r="I22" s="42" t="s">
        <v>56</v>
      </c>
      <c r="K22" s="42"/>
      <c r="L22" s="42"/>
      <c r="M22" s="42"/>
      <c r="P22" s="32" t="s">
        <v>56</v>
      </c>
      <c r="Q22" s="32" t="s">
        <v>350</v>
      </c>
      <c r="R22" s="42"/>
      <c r="S22" s="52"/>
      <c r="T22" s="52"/>
      <c r="U22" s="32"/>
      <c r="V22" s="50"/>
      <c r="W22" s="42" t="s">
        <v>59</v>
      </c>
      <c r="Y22" s="32"/>
      <c r="AA22" s="32"/>
      <c r="AB22" s="32"/>
      <c r="AC22" s="32" t="s">
        <v>350</v>
      </c>
      <c r="AD22" s="42"/>
      <c r="AG22" s="32"/>
      <c r="AH22" s="42"/>
      <c r="AI22" s="35"/>
      <c r="AJ22" s="36"/>
      <c r="AK22" s="35"/>
      <c r="AL22" s="37"/>
      <c r="AM22" s="37"/>
      <c r="AN22" s="37"/>
      <c r="AO22" s="37"/>
      <c r="AP22" s="38"/>
      <c r="AQ22" s="37" t="n">
        <f aca="false">SUMPRODUCT(--WEEKDAY(C$3:AG$3,2)&lt;6,--((C22:AG22="DM"))+(C22:AG22="CS1")+((C22:AG22="CS2"))+(C22:AG22="SB1")+(C22:AG22="AE")+(C22:AG22="EM"))</f>
        <v>2</v>
      </c>
      <c r="AR22" s="38"/>
      <c r="AS22" s="38" t="n">
        <f aca="false">SUMPRODUCT(--WEEKDAY(C$3:AG$3,2)&gt;5,--((C22:AG22="DM"))+(C22:AG22="CS1")+((C22:AG22="CS2"))+(C22:AG22="SB1")+(C22:AG22="AE")+(C22:AG22="EM"))</f>
        <v>3</v>
      </c>
      <c r="AT22" s="38"/>
      <c r="AU22" s="38" t="n">
        <f aca="false">(AQ22-AR22)/2+(AS22-AT22)</f>
        <v>4</v>
      </c>
      <c r="AV22" s="38" t="n">
        <f aca="false">AI22+AJ22+AK22+AL22+AN22+AO22</f>
        <v>0</v>
      </c>
      <c r="AW22" s="38" t="n">
        <f aca="false">BG22+BH22+BJ22+BE22+BC22+BA22+BL22</f>
        <v>0</v>
      </c>
      <c r="AX22" s="38" t="e">
        <f aca="false">AU22+$AY$10</f>
        <v>#VALUE!</v>
      </c>
      <c r="AY22" s="37" t="e">
        <f aca="false">(BJ22*('Setting key Duty'!$I$8+'Setting key Duty'!$I$12))+(BH22*'Setting key Duty'!$I$9)+(BC22*('Setting key Duty'!$I$13+'Setting key Duty'!$I$9))+(BA22*('Setting key Duty'!$I$13+'Setting key Duty'!$I$12+'Setting key Duty'!$I$11))+(BE22*('Setting key Duty'!$I$8+'Setting key Duty'!$I$9+'Setting key Duty'!$I$12))</f>
        <v>#VALUE!</v>
      </c>
      <c r="AZ22" s="37" t="n">
        <f aca="false">COUNTIF(D22:AA22,"*BRT*")</f>
        <v>0</v>
      </c>
      <c r="BA22" s="37" t="n">
        <f aca="false">COUNTIF(A22:AI22,"*$BTP*")</f>
        <v>0</v>
      </c>
      <c r="BB22" s="37" t="e">
        <f aca="false">BA22*('Setting key Duty'!$I$13+'Setting key Duty'!$I$12+'Setting key Duty'!$I$11)</f>
        <v>#VALUE!</v>
      </c>
      <c r="BC22" s="37" t="n">
        <f aca="false">COUNTIF(A22:AI22,"*$L*")</f>
        <v>0</v>
      </c>
      <c r="BD22" s="37" t="e">
        <f aca="false">BC22*('Setting key Duty'!$I$13+'Setting key Duty'!$I$9)</f>
        <v>#VALUE!</v>
      </c>
      <c r="BE22" s="37" t="n">
        <f aca="false">COUNTIF(A22:AI22,"*$M*")</f>
        <v>0</v>
      </c>
      <c r="BF22" s="37" t="n">
        <f aca="false">BE22*('Setting key Duty'!$I$8+'Setting key Duty'!$I$9+'Setting key Duty'!$I$12)</f>
        <v>0</v>
      </c>
      <c r="BG22" s="37" t="n">
        <f aca="false">COUNTIF(AI22,"*$N*")</f>
        <v>0</v>
      </c>
      <c r="BH22" s="37" t="n">
        <f aca="false">COUNTIF(AI22,"*$PM*")</f>
        <v>0</v>
      </c>
      <c r="BI22" s="37" t="n">
        <f aca="false">BH22*('Setting key Duty'!$I$9)</f>
        <v>0</v>
      </c>
      <c r="BJ22" s="37" t="n">
        <f aca="false">COUNTIF(A22:AI22,"*$AM*")</f>
        <v>0</v>
      </c>
      <c r="BK22" s="37" t="n">
        <f aca="false">BJ22*('Setting key Duty'!$I$12+'Setting key Duty'!$I$8)</f>
        <v>0</v>
      </c>
      <c r="BL22" s="37" t="n">
        <f aca="false">COUNTIF(D22:AI22,"*$FC*")</f>
        <v>0</v>
      </c>
      <c r="BM22" s="37" t="n">
        <f aca="false">BL22*('Setting key Duty'!$J$11+'Setting key Duty'!$I$8)</f>
        <v>0</v>
      </c>
      <c r="BN22" s="37" t="n">
        <f aca="false">COUNTIF($D22:$AA22,BN$4)</f>
        <v>0</v>
      </c>
      <c r="BO22" s="37" t="n">
        <f aca="false">COUNTIF($D22:$AA22,BO$4)</f>
        <v>1</v>
      </c>
      <c r="BP22" s="37" t="n">
        <f aca="false">COUNTIF($D22:$AA22,BP$4)</f>
        <v>0</v>
      </c>
      <c r="BQ22" s="39"/>
    </row>
    <row r="23" customFormat="false" ht="19.5" hidden="false" customHeight="true" outlineLevel="0" collapsed="false">
      <c r="A23" s="30"/>
      <c r="B23" s="31" t="s">
        <v>191</v>
      </c>
      <c r="C23" s="32" t="s">
        <v>58</v>
      </c>
      <c r="D23" s="33"/>
      <c r="E23" s="32" t="s">
        <v>468</v>
      </c>
      <c r="F23" s="32"/>
      <c r="G23" s="32" t="s">
        <v>59</v>
      </c>
      <c r="H23" s="32"/>
      <c r="I23" s="32" t="s">
        <v>59</v>
      </c>
      <c r="J23" s="32"/>
      <c r="K23" s="32"/>
      <c r="L23" s="32"/>
      <c r="M23" s="32"/>
      <c r="N23" s="32"/>
      <c r="O23" s="32" t="s">
        <v>56</v>
      </c>
      <c r="P23" s="32"/>
      <c r="Q23" s="32"/>
      <c r="R23" s="32"/>
      <c r="S23" s="32"/>
      <c r="T23" s="32" t="s">
        <v>350</v>
      </c>
      <c r="U23" s="32"/>
      <c r="V23" s="50" t="s">
        <v>59</v>
      </c>
      <c r="W23" s="32"/>
      <c r="X23" s="32"/>
      <c r="Y23" s="32" t="s">
        <v>55</v>
      </c>
      <c r="AA23" s="32" t="s">
        <v>480</v>
      </c>
      <c r="AB23" s="32"/>
      <c r="AC23" s="32" t="s">
        <v>350</v>
      </c>
      <c r="AD23" s="42"/>
      <c r="AE23" s="32"/>
      <c r="AF23" s="32" t="s">
        <v>481</v>
      </c>
      <c r="AH23" s="32"/>
      <c r="AI23" s="35"/>
      <c r="AJ23" s="36"/>
      <c r="AK23" s="35"/>
      <c r="AL23" s="37"/>
      <c r="AM23" s="37"/>
      <c r="AN23" s="37"/>
      <c r="AO23" s="37"/>
      <c r="AP23" s="38"/>
      <c r="AQ23" s="37" t="n">
        <f aca="false">SUMPRODUCT(--WEEKDAY(C$3:AG$3,2)&lt;6,--((C23:AG23="DM"))+(C23:AG23="CS1")+((C23:AG23="CS2"))+(C23:AG23="SB1")+(C23:AG23="AE")+(C23:AG23="EM"))</f>
        <v>3</v>
      </c>
      <c r="AR23" s="38"/>
      <c r="AS23" s="38" t="n">
        <f aca="false">SUMPRODUCT(--WEEKDAY(C$3:AG$3,2)&gt;5,--((C23:AG23="DM"))+(C23:AG23="CS1")+((C23:AG23="CS2"))+(C23:AG23="SB1")+(C23:AG23="AE")+(C23:AG23="EM"))</f>
        <v>2</v>
      </c>
      <c r="AT23" s="38"/>
      <c r="AU23" s="38" t="n">
        <f aca="false">(AQ23-AR23)/2+(AS23-AT23)</f>
        <v>3.5</v>
      </c>
      <c r="AV23" s="38" t="n">
        <f aca="false">AI23+AJ23+AK23+AL23+AN23+AO23</f>
        <v>0</v>
      </c>
      <c r="AW23" s="38" t="n">
        <f aca="false">BG23+BH23+BJ23+BE23+BC23+BA23+BL23</f>
        <v>3</v>
      </c>
      <c r="AX23" s="38" t="e">
        <f aca="false">AU23+AY23</f>
        <v>#VALUE!</v>
      </c>
      <c r="AY23" s="37" t="e">
        <f aca="false">(BJ23*('Setting key Duty'!$I$8+'Setting key Duty'!$I$12))+(BH23*'Setting key Duty'!$I$9)+(BC23*('Setting key Duty'!$I$13+'Setting key Duty'!$I$9))+(BA23*('Setting key Duty'!$I$13+'Setting key Duty'!$I$12+'Setting key Duty'!$I$11))+(BE23*('Setting key Duty'!$I$8+'Setting key Duty'!$I$9+'Setting key Duty'!$I$12))</f>
        <v>#VALUE!</v>
      </c>
      <c r="AZ23" s="37" t="n">
        <f aca="false">COUNTIF(C23:W23,"*BRT*")</f>
        <v>0</v>
      </c>
      <c r="BA23" s="37" t="n">
        <f aca="false">COUNTIF(A23:AI23,"*$BTP*")</f>
        <v>0</v>
      </c>
      <c r="BB23" s="37" t="e">
        <f aca="false">BA23*('Setting key Duty'!$I$13+'Setting key Duty'!$I$12+'Setting key Duty'!$I$11)</f>
        <v>#VALUE!</v>
      </c>
      <c r="BC23" s="37" t="n">
        <f aca="false">COUNTIF(D23:AI23,"*$L*")</f>
        <v>0</v>
      </c>
      <c r="BD23" s="37" t="e">
        <f aca="false">BC23*('Setting key Duty'!$I$13+'Setting key Duty'!$I$9)</f>
        <v>#VALUE!</v>
      </c>
      <c r="BE23" s="37" t="n">
        <f aca="false">COUNTIF(D23:AI23,"*$M*")</f>
        <v>0</v>
      </c>
      <c r="BF23" s="37" t="n">
        <f aca="false">BE23*('Setting key Duty'!$I$8+'Setting key Duty'!$I$9+'Setting key Duty'!$I$12)</f>
        <v>0</v>
      </c>
      <c r="BG23" s="37" t="n">
        <f aca="false">COUNTIF(D23:AI23,"*$N*")</f>
        <v>0</v>
      </c>
      <c r="BH23" s="37" t="n">
        <f aca="false">COUNTIF(D23:AI23,"*$PM*")</f>
        <v>0</v>
      </c>
      <c r="BI23" s="37" t="n">
        <f aca="false">BH23*('Setting key Duty'!$I$9)</f>
        <v>0</v>
      </c>
      <c r="BJ23" s="37" t="n">
        <f aca="false">COUNTIF(D23:AI23,"*$AM*")</f>
        <v>3</v>
      </c>
      <c r="BK23" s="37" t="n">
        <f aca="false">BJ23*('Setting key Duty'!$I$12+'Setting key Duty'!$I$8)</f>
        <v>1.3125</v>
      </c>
      <c r="BL23" s="37" t="n">
        <f aca="false">COUNTIF(C23:AI23,"*$FC*")</f>
        <v>0</v>
      </c>
      <c r="BM23" s="37" t="n">
        <f aca="false">BL23*('Setting key Duty'!$J$11+'Setting key Duty'!$I$8)</f>
        <v>0</v>
      </c>
      <c r="BN23" s="37" t="n">
        <f aca="false">COUNTIF($C23:$AG23,BN$4)</f>
        <v>0</v>
      </c>
      <c r="BO23" s="37" t="n">
        <f aca="false">COUNTIF($C23:$AG23,BO$4)</f>
        <v>2</v>
      </c>
      <c r="BP23" s="37" t="n">
        <f aca="false">COUNTIF($D23:$AD23,BP$4)</f>
        <v>1</v>
      </c>
      <c r="BQ23" s="39"/>
    </row>
    <row r="24" customFormat="false" ht="19.5" hidden="false" customHeight="true" outlineLevel="0" collapsed="false">
      <c r="A24" s="30"/>
      <c r="B24" s="104" t="s">
        <v>434</v>
      </c>
      <c r="C24" s="32" t="s">
        <v>65</v>
      </c>
      <c r="D24" s="32"/>
      <c r="E24" s="32" t="s">
        <v>149</v>
      </c>
      <c r="F24" s="32" t="s">
        <v>253</v>
      </c>
      <c r="G24" s="117" t="s">
        <v>58</v>
      </c>
      <c r="H24" s="117"/>
      <c r="I24" s="32" t="s">
        <v>54</v>
      </c>
      <c r="J24" s="32" t="s">
        <v>54</v>
      </c>
      <c r="K24" s="32" t="s">
        <v>54</v>
      </c>
      <c r="L24" s="32" t="s">
        <v>54</v>
      </c>
      <c r="M24" s="32" t="s">
        <v>54</v>
      </c>
      <c r="N24" s="32" t="s">
        <v>54</v>
      </c>
      <c r="O24" s="32" t="s">
        <v>54</v>
      </c>
      <c r="P24" s="32" t="s">
        <v>54</v>
      </c>
      <c r="Q24" s="32" t="s">
        <v>54</v>
      </c>
      <c r="R24" s="32" t="s">
        <v>482</v>
      </c>
      <c r="S24" s="32" t="s">
        <v>59</v>
      </c>
      <c r="T24" s="32" t="s">
        <v>483</v>
      </c>
      <c r="U24" s="32" t="s">
        <v>483</v>
      </c>
      <c r="V24" s="50" t="s">
        <v>483</v>
      </c>
      <c r="W24" s="32" t="s">
        <v>483</v>
      </c>
      <c r="X24" s="32" t="s">
        <v>483</v>
      </c>
      <c r="Y24" s="32" t="s">
        <v>483</v>
      </c>
      <c r="Z24" s="32" t="s">
        <v>483</v>
      </c>
      <c r="AA24" s="32"/>
      <c r="AB24" s="32" t="s">
        <v>65</v>
      </c>
      <c r="AC24" s="32"/>
      <c r="AD24" s="45" t="s">
        <v>65</v>
      </c>
      <c r="AE24" s="32"/>
      <c r="AF24" s="42"/>
      <c r="AG24" s="32" t="s">
        <v>484</v>
      </c>
      <c r="AH24" s="42"/>
      <c r="AI24" s="35"/>
      <c r="AJ24" s="36"/>
      <c r="AK24" s="35"/>
      <c r="AL24" s="66"/>
      <c r="AM24" s="66"/>
      <c r="AN24" s="66"/>
      <c r="AO24" s="66"/>
      <c r="AP24" s="67"/>
      <c r="AQ24" s="37" t="n">
        <f aca="false">SUMPRODUCT(--WEEKDAY(C$3:AG$3,2)&lt;6,--((C24:AG24="DM"))+(C24:AG24="CS1")+((C24:AG24="CS2"))+(C24:AG24="SB1")+(C24:AG24="AE")+(C24:AG24="EM"))</f>
        <v>3</v>
      </c>
      <c r="AR24" s="38"/>
      <c r="AS24" s="38" t="n">
        <f aca="false">SUMPRODUCT(--WEEKDAY(C$3:AG$3,2)&gt;5,--((C24:AG24="DM"))+(C24:AG24="CS1")+((C24:AG24="CS2"))+(C24:AG24="SB1")+(C24:AG24="AE")+(C24:AG24="EM"))</f>
        <v>2</v>
      </c>
      <c r="AT24" s="67"/>
      <c r="AU24" s="38" t="n">
        <f aca="false">(AQ24-AR24)/2+(AS24-AT24)</f>
        <v>3.5</v>
      </c>
      <c r="AV24" s="38" t="n">
        <f aca="false">AI24+AJ24+AK24+AL24+AN24+AO24</f>
        <v>0</v>
      </c>
      <c r="AW24" s="38" t="n">
        <f aca="false">BG24+BH24+BJ24+BE24+BC24+BA24+BL24</f>
        <v>1</v>
      </c>
      <c r="AX24" s="38" t="e">
        <f aca="false">AU24+AY24</f>
        <v>#VALUE!</v>
      </c>
      <c r="AY24" s="37" t="e">
        <f aca="false">(BJ24*('Setting key Duty'!$I$8+'Setting key Duty'!$I$12))+(BH24*'Setting key Duty'!$I$9)+(BC24*('Setting key Duty'!$I$13+'Setting key Duty'!$I$9))+(BA24*('Setting key Duty'!$I$13+'Setting key Duty'!$I$12+'Setting key Duty'!$I$11))+(BE24*('Setting key Duty'!$I$8+'Setting key Duty'!$I$9+'Setting key Duty'!$I$12))</f>
        <v>#VALUE!</v>
      </c>
      <c r="AZ24" s="37" t="n">
        <f aca="false">COUNTIF(C24:Y24,"*BRT*")</f>
        <v>0</v>
      </c>
      <c r="BA24" s="37" t="n">
        <f aca="false">COUNTIF(A24:AI24,"*$BTP*")</f>
        <v>0</v>
      </c>
      <c r="BB24" s="37" t="e">
        <f aca="false">BA24*('Setting key Duty'!$I$13+'Setting key Duty'!$I$12+'Setting key Duty'!$I$11)</f>
        <v>#VALUE!</v>
      </c>
      <c r="BC24" s="37" t="n">
        <f aca="false">COUNTIF(D24:AI24,"*$L*")</f>
        <v>0</v>
      </c>
      <c r="BD24" s="37" t="e">
        <f aca="false">BC24*('Setting key Duty'!$I$13+'Setting key Duty'!$I$9)</f>
        <v>#VALUE!</v>
      </c>
      <c r="BE24" s="37" t="n">
        <f aca="false">COUNTIF(D24:AI24,"*$M*")</f>
        <v>0</v>
      </c>
      <c r="BF24" s="37" t="n">
        <f aca="false">BE24*('Setting key Duty'!$I$8+'Setting key Duty'!$I$9+'Setting key Duty'!$I$12)</f>
        <v>0</v>
      </c>
      <c r="BG24" s="37" t="n">
        <f aca="false">COUNTIF(D24:AI24,"*$N*")</f>
        <v>0</v>
      </c>
      <c r="BH24" s="37" t="n">
        <f aca="false">COUNTIF(D24:AI24,"*$PM*")</f>
        <v>0</v>
      </c>
      <c r="BI24" s="37" t="n">
        <f aca="false">BH24*('Setting key Duty'!$I$9)</f>
        <v>0</v>
      </c>
      <c r="BJ24" s="37" t="n">
        <f aca="false">COUNTIF(D24:AI24,"*$AM*")</f>
        <v>1</v>
      </c>
      <c r="BK24" s="37" t="n">
        <f aca="false">BJ24*('Setting key Duty'!$I$12+'Setting key Duty'!$I$8)</f>
        <v>0.4375</v>
      </c>
      <c r="BL24" s="37" t="n">
        <f aca="false">COUNTIF(C24:AI24,"*$FC*")</f>
        <v>0</v>
      </c>
      <c r="BM24" s="37" t="n">
        <f aca="false">BL24*('Setting key Duty'!$J$11+'Setting key Duty'!$I$8)</f>
        <v>0</v>
      </c>
      <c r="BN24" s="37" t="n">
        <f aca="false">COUNTIF($C24:$AE24,BN$4)</f>
        <v>0</v>
      </c>
      <c r="BO24" s="37" t="n">
        <f aca="false">COUNTIF($C24:$AE24,BO$4)</f>
        <v>0</v>
      </c>
      <c r="BP24" s="37" t="n">
        <f aca="false">COUNTIF($D24:$AC24,BP$4)</f>
        <v>0</v>
      </c>
      <c r="BQ24" s="68"/>
    </row>
    <row r="25" customFormat="false" ht="19.5" hidden="false" customHeight="true" outlineLevel="0" collapsed="false">
      <c r="A25" s="30"/>
      <c r="B25" s="104" t="s">
        <v>436</v>
      </c>
      <c r="C25" s="42"/>
      <c r="D25" s="45"/>
      <c r="E25" s="32" t="s">
        <v>149</v>
      </c>
      <c r="F25" s="32" t="s">
        <v>149</v>
      </c>
      <c r="G25" s="32"/>
      <c r="H25" s="117" t="s">
        <v>65</v>
      </c>
      <c r="I25" s="32"/>
      <c r="J25" s="45"/>
      <c r="K25" s="32" t="s">
        <v>350</v>
      </c>
      <c r="L25" s="32"/>
      <c r="M25" s="32" t="s">
        <v>350</v>
      </c>
      <c r="P25" s="32" t="s">
        <v>54</v>
      </c>
      <c r="Q25" s="32" t="s">
        <v>54</v>
      </c>
      <c r="R25" s="32" t="s">
        <v>54</v>
      </c>
      <c r="S25" s="32" t="s">
        <v>54</v>
      </c>
      <c r="T25" s="32" t="s">
        <v>54</v>
      </c>
      <c r="U25" s="32" t="s">
        <v>54</v>
      </c>
      <c r="V25" s="50" t="s">
        <v>54</v>
      </c>
      <c r="W25" s="32" t="s">
        <v>54</v>
      </c>
      <c r="X25" s="32" t="s">
        <v>54</v>
      </c>
      <c r="Y25" s="32"/>
      <c r="Z25" s="32" t="s">
        <v>56</v>
      </c>
      <c r="AA25" s="32"/>
      <c r="AB25" s="32"/>
      <c r="AC25" s="33"/>
      <c r="AD25" s="33"/>
      <c r="AE25" s="32" t="s">
        <v>59</v>
      </c>
      <c r="AF25" s="32"/>
      <c r="AG25" s="32"/>
      <c r="AH25" s="42"/>
      <c r="AI25" s="35"/>
      <c r="AJ25" s="36"/>
      <c r="AK25" s="35"/>
      <c r="AL25" s="66"/>
      <c r="AM25" s="66"/>
      <c r="AN25" s="66"/>
      <c r="AO25" s="66"/>
      <c r="AP25" s="67"/>
      <c r="AQ25" s="37" t="n">
        <f aca="false">SUMPRODUCT(--WEEKDAY(C$3:AG$3,2)&lt;6,--((C25:AG25="DM"))+(C25:AG25="CS1")+((C25:AG25="CS2"))+(C25:AG25="SB1")+(C25:AG25="AE")+(C25:AG25="EM"))</f>
        <v>2</v>
      </c>
      <c r="AR25" s="38"/>
      <c r="AS25" s="38" t="n">
        <f aca="false">SUMPRODUCT(--WEEKDAY(C$3:AG$3,2)&gt;5,--((C25:AG25="DM"))+(C25:AG25="CS1")+((C25:AG25="CS2"))+(C25:AG25="SB1")+(C25:AG25="AE")+(C25:AG25="EM"))</f>
        <v>1</v>
      </c>
      <c r="AT25" s="67"/>
      <c r="AU25" s="38" t="n">
        <f aca="false">(AQ25-AR25)/2+(AS25-AT25)</f>
        <v>2</v>
      </c>
      <c r="AV25" s="38" t="n">
        <f aca="false">AI25+AJ25+AK25+AL25+AN25+AO25</f>
        <v>0</v>
      </c>
      <c r="AW25" s="38" t="n">
        <f aca="false">BG25+BH25+BJ25+BE25+BC25+BA25+BL25</f>
        <v>0</v>
      </c>
      <c r="AX25" s="38" t="e">
        <f aca="false">AU25+AY25</f>
        <v>#VALUE!</v>
      </c>
      <c r="AY25" s="37" t="e">
        <f aca="false">(BJ25*('Setting key Duty'!$I$8+'Setting key Duty'!$I$12))+(BH25*'Setting key Duty'!$I$9)+(BC25*('Setting key Duty'!$I$13+'Setting key Duty'!$I$9))+(BA25*('Setting key Duty'!$I$13+'Setting key Duty'!$I$12+'Setting key Duty'!$I$11))+(BE25*('Setting key Duty'!$I$8+'Setting key Duty'!$I$9+'Setting key Duty'!$I$12))</f>
        <v>#VALUE!</v>
      </c>
      <c r="AZ25" s="37" t="n">
        <f aca="false">COUNTIF(C25:Y25,"*BRT*")</f>
        <v>0</v>
      </c>
      <c r="BA25" s="37" t="n">
        <f aca="false">COUNTIF(A25:AI25,"*$BTP*")</f>
        <v>0</v>
      </c>
      <c r="BB25" s="37" t="e">
        <f aca="false">BA25*('Setting key Duty'!$I$13+'Setting key Duty'!$I$12+'Setting key Duty'!$I$11)</f>
        <v>#VALUE!</v>
      </c>
      <c r="BC25" s="37" t="n">
        <f aca="false">COUNTIF(D25:AI25,"*$L*")</f>
        <v>0</v>
      </c>
      <c r="BD25" s="37" t="e">
        <f aca="false">BC25*('Setting key Duty'!$I$13+'Setting key Duty'!$I$9)</f>
        <v>#VALUE!</v>
      </c>
      <c r="BE25" s="37" t="n">
        <f aca="false">COUNTIF(D25:AI25,"*$M*")</f>
        <v>0</v>
      </c>
      <c r="BF25" s="37" t="n">
        <f aca="false">BE25*('Setting key Duty'!$I$8+'Setting key Duty'!$I$9+'Setting key Duty'!$I$12)</f>
        <v>0</v>
      </c>
      <c r="BG25" s="37" t="n">
        <f aca="false">COUNTIF(D25:AI25,"*$N*")</f>
        <v>0</v>
      </c>
      <c r="BH25" s="37" t="n">
        <f aca="false">COUNTIF(D25:AI25,"*$PM*")</f>
        <v>0</v>
      </c>
      <c r="BI25" s="37" t="n">
        <f aca="false">BH25*('Setting key Duty'!$I$9)</f>
        <v>0</v>
      </c>
      <c r="BJ25" s="37" t="n">
        <f aca="false">COUNTIF(D25:AI25,"*$AM*")</f>
        <v>0</v>
      </c>
      <c r="BK25" s="37" t="n">
        <f aca="false">BJ25*('Setting key Duty'!$I$12+'Setting key Duty'!$I$8)</f>
        <v>0</v>
      </c>
      <c r="BL25" s="37" t="n">
        <f aca="false">COUNTIF(C25:AI25,"*$FC*")</f>
        <v>0</v>
      </c>
      <c r="BM25" s="37" t="n">
        <f aca="false">BL25*('Setting key Duty'!$J$11+'Setting key Duty'!$I$8)</f>
        <v>0</v>
      </c>
      <c r="BN25" s="37" t="n">
        <f aca="false">COUNTIF($C25:$AG25,BN$4)</f>
        <v>0</v>
      </c>
      <c r="BO25" s="37" t="n">
        <f aca="false">COUNTIF($C25:$AG25,BO$4)</f>
        <v>2</v>
      </c>
      <c r="BP25" s="37" t="n">
        <f aca="false">COUNTIF($D25:$AE25,BP$4)</f>
        <v>0</v>
      </c>
      <c r="BQ25" s="68"/>
    </row>
    <row r="26" customFormat="false" ht="19.5" hidden="false" customHeight="true" outlineLevel="0" collapsed="false">
      <c r="A26" s="30"/>
      <c r="B26" s="59" t="s">
        <v>262</v>
      </c>
      <c r="C26" s="32" t="s">
        <v>71</v>
      </c>
      <c r="D26" s="32" t="s">
        <v>71</v>
      </c>
      <c r="E26" s="32" t="s">
        <v>71</v>
      </c>
      <c r="F26" s="32" t="s">
        <v>71</v>
      </c>
      <c r="G26" s="32" t="s">
        <v>71</v>
      </c>
      <c r="H26" s="32" t="s">
        <v>71</v>
      </c>
      <c r="I26" s="32" t="s">
        <v>71</v>
      </c>
      <c r="J26" s="32" t="s">
        <v>71</v>
      </c>
      <c r="K26" s="32" t="s">
        <v>71</v>
      </c>
      <c r="L26" s="32" t="s">
        <v>71</v>
      </c>
      <c r="M26" s="32" t="s">
        <v>71</v>
      </c>
      <c r="N26" s="32" t="s">
        <v>71</v>
      </c>
      <c r="O26" s="32" t="s">
        <v>71</v>
      </c>
      <c r="P26" s="32" t="s">
        <v>71</v>
      </c>
      <c r="Q26" s="32" t="s">
        <v>71</v>
      </c>
      <c r="R26" s="32" t="s">
        <v>71</v>
      </c>
      <c r="S26" s="32" t="s">
        <v>71</v>
      </c>
      <c r="T26" s="32" t="s">
        <v>71</v>
      </c>
      <c r="U26" s="32" t="s">
        <v>71</v>
      </c>
      <c r="V26" s="50"/>
      <c r="W26" s="32"/>
      <c r="X26" s="32"/>
      <c r="Y26" s="32"/>
      <c r="Z26" s="32" t="s">
        <v>65</v>
      </c>
      <c r="AA26" s="32"/>
      <c r="AB26" s="32"/>
      <c r="AC26" s="32"/>
      <c r="AD26" s="32" t="s">
        <v>350</v>
      </c>
      <c r="AE26" s="32"/>
      <c r="AG26" s="32"/>
      <c r="AH26" s="32"/>
      <c r="AI26" s="35"/>
      <c r="AJ26" s="36"/>
      <c r="AK26" s="35"/>
      <c r="AL26" s="66"/>
      <c r="AM26" s="66"/>
      <c r="AN26" s="66"/>
      <c r="AO26" s="66"/>
      <c r="AP26" s="67"/>
      <c r="AQ26" s="37" t="n">
        <f aca="false">SUMPRODUCT(--WEEKDAY(C$3:AG$3,2)&lt;6,--((C26:AG26="DM"))+(C26:AG26="CS1")+((C26:AG26="CS2"))+(C26:AG26="SB1")+(C26:AG26="AE")+(C26:AG26="EM"))</f>
        <v>1</v>
      </c>
      <c r="AR26" s="38"/>
      <c r="AS26" s="38" t="n">
        <f aca="false">SUMPRODUCT(--WEEKDAY(C$3:AG$3,2)&gt;5,--((C26:AG26="DM"))+(C26:AG26="CS1")+((C26:AG26="CS2"))+(C26:AG26="SB1")+(C26:AG26="AE")+(C26:AG26="EM"))</f>
        <v>0</v>
      </c>
      <c r="AT26" s="67"/>
      <c r="AU26" s="38" t="n">
        <f aca="false">(AQ26-AR26)/2+(AS26-AT26)</f>
        <v>0.5</v>
      </c>
      <c r="AV26" s="38" t="n">
        <f aca="false">AI26+AJ26+AK26+AL26+AN26+AO26</f>
        <v>0</v>
      </c>
      <c r="AW26" s="38" t="n">
        <f aca="false">BG26+BH26+BJ26+BE26+BC26+BA26+BL26</f>
        <v>0</v>
      </c>
      <c r="AX26" s="38" t="e">
        <f aca="false">AU26+AY26</f>
        <v>#VALUE!</v>
      </c>
      <c r="AY26" s="37" t="e">
        <f aca="false">(BJ26*('Setting key Duty'!$I$8+'Setting key Duty'!$I$12))+(BH26*'Setting key Duty'!$I$9)+(BC26*('Setting key Duty'!$I$13+'Setting key Duty'!$I$9))+(BA26*('Setting key Duty'!$I$13+'Setting key Duty'!$I$12+'Setting key Duty'!$I$11))+(BE26*('Setting key Duty'!$I$8+'Setting key Duty'!$I$9+'Setting key Duty'!$I$12))</f>
        <v>#VALUE!</v>
      </c>
      <c r="AZ26" s="37" t="n">
        <f aca="false">COUNTIF(C26:Y26,"*BRT*")</f>
        <v>0</v>
      </c>
      <c r="BA26" s="37" t="n">
        <f aca="false">COUNTIF(A26:AI26,"*$BTP*")</f>
        <v>0</v>
      </c>
      <c r="BB26" s="37" t="e">
        <f aca="false">BA26*('Setting key Duty'!$I$13+'Setting key Duty'!$I$12+'Setting key Duty'!$I$11)</f>
        <v>#VALUE!</v>
      </c>
      <c r="BC26" s="37" t="n">
        <f aca="false">COUNTIF(D26:AI26,"*$L*")</f>
        <v>0</v>
      </c>
      <c r="BD26" s="37" t="e">
        <f aca="false">BC26*('Setting key Duty'!$I$13+'Setting key Duty'!$I$9)</f>
        <v>#VALUE!</v>
      </c>
      <c r="BE26" s="37" t="n">
        <f aca="false">COUNTIF(D26:AI26,"*$M*")</f>
        <v>0</v>
      </c>
      <c r="BF26" s="37" t="n">
        <f aca="false">BE26*('Setting key Duty'!$I$8+'Setting key Duty'!$I$9+'Setting key Duty'!$I$12)</f>
        <v>0</v>
      </c>
      <c r="BG26" s="37" t="n">
        <f aca="false">COUNTIF(D26:AI26,"*$N*")</f>
        <v>0</v>
      </c>
      <c r="BH26" s="37" t="n">
        <f aca="false">COUNTIF(D26:AI26,"*$PM*")</f>
        <v>0</v>
      </c>
      <c r="BI26" s="37" t="n">
        <f aca="false">BH26*('Setting key Duty'!$I$9)</f>
        <v>0</v>
      </c>
      <c r="BJ26" s="37" t="n">
        <f aca="false">COUNTIF(D26:AI26,"*$AM*")</f>
        <v>0</v>
      </c>
      <c r="BK26" s="37" t="n">
        <f aca="false">BJ26*('Setting key Duty'!$I$12+'Setting key Duty'!$I$8)</f>
        <v>0</v>
      </c>
      <c r="BL26" s="37" t="n">
        <f aca="false">COUNTIF(C26:AI26,"*$FC*")</f>
        <v>0</v>
      </c>
      <c r="BM26" s="37" t="n">
        <f aca="false">BL26*('Setting key Duty'!$J$11+'Setting key Duty'!$I$8)</f>
        <v>0</v>
      </c>
      <c r="BN26" s="37" t="n">
        <f aca="false">COUNTIF($C26:$AG26,BN$4)</f>
        <v>0</v>
      </c>
      <c r="BO26" s="37" t="n">
        <f aca="false">COUNTIF($C26:$AG26,BO$4)</f>
        <v>1</v>
      </c>
      <c r="BP26" s="37" t="n">
        <f aca="false">COUNTIF($D26:$AE26,BP$4)</f>
        <v>0</v>
      </c>
      <c r="BQ26" s="68"/>
    </row>
    <row r="27" customFormat="false" ht="19.5" hidden="false" customHeight="true" outlineLevel="0" collapsed="false">
      <c r="A27" s="30"/>
      <c r="B27" s="121" t="s">
        <v>442</v>
      </c>
      <c r="D27" s="32"/>
      <c r="E27" s="32" t="s">
        <v>468</v>
      </c>
      <c r="F27" s="32"/>
      <c r="G27" s="32" t="s">
        <v>350</v>
      </c>
      <c r="H27" s="117" t="s">
        <v>56</v>
      </c>
      <c r="K27" s="32"/>
      <c r="L27" s="34" t="s">
        <v>485</v>
      </c>
      <c r="N27" s="32" t="s">
        <v>350</v>
      </c>
      <c r="P27" s="32" t="s">
        <v>59</v>
      </c>
      <c r="R27" s="32"/>
      <c r="S27" s="32"/>
      <c r="T27" s="118"/>
      <c r="V27" s="50" t="s">
        <v>56</v>
      </c>
      <c r="W27" s="32"/>
      <c r="X27" s="32"/>
      <c r="Y27" s="42" t="s">
        <v>56</v>
      </c>
      <c r="AB27" s="32" t="s">
        <v>486</v>
      </c>
      <c r="AC27" s="33"/>
      <c r="AD27" s="32"/>
      <c r="AE27" s="32" t="s">
        <v>487</v>
      </c>
      <c r="AF27" s="32" t="s">
        <v>488</v>
      </c>
      <c r="AH27" s="33"/>
      <c r="AI27" s="35"/>
      <c r="AJ27" s="36"/>
      <c r="AK27" s="35"/>
      <c r="AL27" s="66"/>
      <c r="AM27" s="66"/>
      <c r="AN27" s="66"/>
      <c r="AO27" s="66"/>
      <c r="AP27" s="67"/>
      <c r="AQ27" s="37" t="n">
        <f aca="false">SUMPRODUCT(--WEEKDAY(C$3:AG$3,2)&lt;6,--((C27:AG27="DM"))+(C27:AG27="CS1")+((C27:AG27="CS2"))+(C27:AG27="SB1")+(C27:AG27="AE")+(C27:AG27="EM"))</f>
        <v>3</v>
      </c>
      <c r="AR27" s="38"/>
      <c r="AS27" s="38" t="n">
        <f aca="false">SUMPRODUCT(--WEEKDAY(C$3:AG$3,2)&gt;5,--((C27:AG27="DM"))+(C27:AG27="CS1")+((C27:AG27="CS2"))+(C27:AG27="SB1")+(C27:AG27="AE")+(C27:AG27="EM"))</f>
        <v>1</v>
      </c>
      <c r="AT27" s="67"/>
      <c r="AU27" s="38" t="n">
        <f aca="false">(AQ27-AR27)/2+(AS27-AT27)</f>
        <v>2.5</v>
      </c>
      <c r="AV27" s="38" t="n">
        <f aca="false">AI27+AJ27+AK27+AL27+AN27+AO27</f>
        <v>0</v>
      </c>
      <c r="AW27" s="38" t="n">
        <f aca="false">BG27+BH27+BJ27+BE27+BC27+BA27+BL27</f>
        <v>4</v>
      </c>
      <c r="AX27" s="38" t="e">
        <f aca="false">AU27+AY27</f>
        <v>#VALUE!</v>
      </c>
      <c r="AY27" s="37" t="e">
        <f aca="false">(BJ27*('Setting key Duty'!$I$8+'Setting key Duty'!$I$12))+(BH27*'Setting key Duty'!$I$9)+(BC27*('Setting key Duty'!$I$13+'Setting key Duty'!$I$9))+(BA27*('Setting key Duty'!$I$13+'Setting key Duty'!$I$12+'Setting key Duty'!$I$11))+(BE27*('Setting key Duty'!$I$8+'Setting key Duty'!$I$9+'Setting key Duty'!$I$12))</f>
        <v>#VALUE!</v>
      </c>
      <c r="AZ27" s="37" t="n">
        <f aca="false">COUNTIF(C27:X27,"*BRT*")</f>
        <v>0</v>
      </c>
      <c r="BA27" s="37" t="n">
        <f aca="false">COUNTIF(A27:AI27,"*$BTP*")</f>
        <v>0</v>
      </c>
      <c r="BB27" s="37" t="e">
        <f aca="false">BA27*('Setting key Duty'!$I$13+'Setting key Duty'!$I$12+'Setting key Duty'!$I$11)</f>
        <v>#VALUE!</v>
      </c>
      <c r="BC27" s="37" t="n">
        <f aca="false">COUNTIF(D27:AI27,"*$L*")</f>
        <v>0</v>
      </c>
      <c r="BD27" s="37" t="e">
        <f aca="false">BC27*('Setting key Duty'!$I$13+'Setting key Duty'!$I$9)</f>
        <v>#VALUE!</v>
      </c>
      <c r="BE27" s="37" t="n">
        <f aca="false">COUNTIF(D27:AI27,"*$M*")</f>
        <v>0</v>
      </c>
      <c r="BF27" s="37" t="n">
        <f aca="false">BE27*('Setting key Duty'!$I$8+'Setting key Duty'!$I$9+'Setting key Duty'!$I$12)</f>
        <v>0</v>
      </c>
      <c r="BG27" s="37" t="n">
        <f aca="false">COUNTIF(D27:AI27,"*$N*")</f>
        <v>0</v>
      </c>
      <c r="BH27" s="37" t="n">
        <f aca="false">COUNTIF(D27:AI27,"*$PM*")</f>
        <v>2</v>
      </c>
      <c r="BI27" s="37" t="n">
        <f aca="false">BH27*('Setting key Duty'!$I$9)</f>
        <v>0.25</v>
      </c>
      <c r="BJ27" s="37" t="n">
        <f aca="false">COUNTIF(D27:AI27,"*$AM*")</f>
        <v>2</v>
      </c>
      <c r="BK27" s="37" t="n">
        <f aca="false">BJ27*('Setting key Duty'!$I$12+'Setting key Duty'!$I$8)</f>
        <v>0.875</v>
      </c>
      <c r="BL27" s="37" t="n">
        <f aca="false">COUNTIF(C27:AI27,"*$FC*")</f>
        <v>0</v>
      </c>
      <c r="BM27" s="37" t="n">
        <f aca="false">BL27*('Setting key Duty'!$J$11+'Setting key Duty'!$I$8)</f>
        <v>0</v>
      </c>
      <c r="BN27" s="37" t="n">
        <f aca="false">COUNTIF($C27:$AG27,BN$4)</f>
        <v>0</v>
      </c>
      <c r="BO27" s="37" t="n">
        <f aca="false">COUNTIF($C27:$AG27,BO$4)</f>
        <v>2</v>
      </c>
      <c r="BP27" s="37" t="n">
        <f aca="false">COUNTIF($D27:$AE27,BP$4)</f>
        <v>0</v>
      </c>
      <c r="BQ27" s="68"/>
    </row>
    <row r="28" customFormat="false" ht="19.5" hidden="false" customHeight="true" outlineLevel="0" collapsed="false">
      <c r="A28" s="30"/>
      <c r="B28" s="122" t="s">
        <v>489</v>
      </c>
      <c r="C28" s="42"/>
      <c r="D28" s="42"/>
      <c r="E28" s="32" t="s">
        <v>490</v>
      </c>
      <c r="F28" s="32" t="s">
        <v>490</v>
      </c>
      <c r="G28" s="32" t="s">
        <v>490</v>
      </c>
      <c r="H28" s="32" t="s">
        <v>150</v>
      </c>
      <c r="I28" s="33"/>
      <c r="J28" s="32"/>
      <c r="K28" s="32" t="s">
        <v>490</v>
      </c>
      <c r="L28" s="45"/>
      <c r="M28" s="32" t="s">
        <v>65</v>
      </c>
      <c r="N28" s="32"/>
      <c r="O28" s="32" t="s">
        <v>491</v>
      </c>
      <c r="P28" s="32"/>
      <c r="Q28" s="32"/>
      <c r="R28" s="32" t="s">
        <v>490</v>
      </c>
      <c r="S28" s="32" t="s">
        <v>490</v>
      </c>
      <c r="T28" s="32" t="s">
        <v>490</v>
      </c>
      <c r="U28" s="32" t="s">
        <v>490</v>
      </c>
      <c r="V28" s="50"/>
      <c r="W28" s="32" t="s">
        <v>65</v>
      </c>
      <c r="X28" s="32"/>
      <c r="Y28" s="32" t="s">
        <v>492</v>
      </c>
      <c r="Z28" s="32" t="s">
        <v>490</v>
      </c>
      <c r="AA28" s="32" t="s">
        <v>492</v>
      </c>
      <c r="AB28" s="33"/>
      <c r="AC28" s="32" t="s">
        <v>65</v>
      </c>
      <c r="AD28" s="45"/>
      <c r="AE28" s="32"/>
      <c r="AF28" s="32" t="s">
        <v>490</v>
      </c>
      <c r="AG28" s="32" t="s">
        <v>493</v>
      </c>
      <c r="AH28" s="42"/>
      <c r="AI28" s="35"/>
      <c r="AJ28" s="36"/>
      <c r="AK28" s="35"/>
      <c r="AL28" s="66"/>
      <c r="AM28" s="66"/>
      <c r="AN28" s="66"/>
      <c r="AO28" s="66"/>
      <c r="AP28" s="67"/>
      <c r="AQ28" s="37" t="n">
        <f aca="false">SUMPRODUCT(--WEEKDAY(C$3:AG$3,2)&lt;6,--((C28:AG28="DM"))+(C28:AG28="CS1")+((C28:AG28="CS2"))+(C28:AG28="SB1")+(C28:AG28="AE")+(C28:AG28="EM"))</f>
        <v>2</v>
      </c>
      <c r="AR28" s="67"/>
      <c r="AS28" s="38" t="n">
        <f aca="false">SUMPRODUCT(--WEEKDAY(C$3:AG$3,2)&gt;5,--((C28:AG28="DM"))+(C28:AG28="CS1")+((C28:AG28="CS2"))+(C28:AG28="SB1")+(C28:AG28="AE")+(C28:AG28="EM"))</f>
        <v>1</v>
      </c>
      <c r="AT28" s="67"/>
      <c r="AU28" s="38" t="n">
        <f aca="false">(AQ28-AR28)/2+(AS28-AT28)</f>
        <v>2</v>
      </c>
      <c r="AV28" s="38" t="n">
        <f aca="false">AI28+AJ28+AK28+AL28+AN28+AO28</f>
        <v>0</v>
      </c>
      <c r="AW28" s="38" t="n">
        <f aca="false">BG28+BH28+BJ28+BE28+BC28+BA28+BL28</f>
        <v>1</v>
      </c>
      <c r="AX28" s="38" t="e">
        <f aca="false">AU28+AY28</f>
        <v>#VALUE!</v>
      </c>
      <c r="AY28" s="37" t="e">
        <f aca="false">(BJ28*('Setting key Duty'!$I$8+'Setting key Duty'!$I$12))+(BH28*'Setting key Duty'!$I$9)+(BC28*('Setting key Duty'!$I$13+'Setting key Duty'!$I$9))+(BA28*('Setting key Duty'!$I$13+'Setting key Duty'!$I$12+'Setting key Duty'!$I$11))+(BE28*('Setting key Duty'!$I$8+'Setting key Duty'!$I$9+'Setting key Duty'!$I$12))</f>
        <v>#VALUE!</v>
      </c>
      <c r="AZ28" s="37" t="n">
        <f aca="false">COUNTIF(C28:Y28,"*BRT*")</f>
        <v>0</v>
      </c>
      <c r="BA28" s="37" t="n">
        <f aca="false">COUNTIF(A28:AI28,"*$BTP*")</f>
        <v>0</v>
      </c>
      <c r="BB28" s="37" t="e">
        <f aca="false">BA28*('Setting key Duty'!$I$13+'Setting key Duty'!$I$12+'Setting key Duty'!$I$11)</f>
        <v>#VALUE!</v>
      </c>
      <c r="BC28" s="37" t="n">
        <f aca="false">COUNTIF(D28:AI28,"*$L*")</f>
        <v>0</v>
      </c>
      <c r="BD28" s="37" t="e">
        <f aca="false">BC28*('Setting key Duty'!$I$13+'Setting key Duty'!$I$9)</f>
        <v>#VALUE!</v>
      </c>
      <c r="BE28" s="37" t="n">
        <f aca="false">COUNTIF(D28:AI28,"*$M*")</f>
        <v>1</v>
      </c>
      <c r="BF28" s="37" t="n">
        <f aca="false">BE28*('Setting key Duty'!$I$8+'Setting key Duty'!$I$9+'Setting key Duty'!$I$12)</f>
        <v>0.5625</v>
      </c>
      <c r="BG28" s="37" t="n">
        <f aca="false">COUNTIF(D28:AI28,"*$N*")</f>
        <v>0</v>
      </c>
      <c r="BH28" s="37" t="n">
        <f aca="false">COUNTIF(D28:AI28,"*$PM*")</f>
        <v>0</v>
      </c>
      <c r="BI28" s="37" t="n">
        <f aca="false">BH28*('Setting key Duty'!$I$9)</f>
        <v>0</v>
      </c>
      <c r="BJ28" s="37" t="n">
        <f aca="false">COUNTIF(D28:AI28,"*$AM*")</f>
        <v>0</v>
      </c>
      <c r="BK28" s="37" t="n">
        <f aca="false">BJ28*('Setting key Duty'!$I$12+'Setting key Duty'!$I$8)</f>
        <v>0</v>
      </c>
      <c r="BL28" s="37" t="n">
        <f aca="false">COUNTIF(C28:AI28,"*$FC*")</f>
        <v>0</v>
      </c>
      <c r="BM28" s="37" t="n">
        <f aca="false">BL28*('Setting key Duty'!$J$11+'Setting key Duty'!$I$8)</f>
        <v>0</v>
      </c>
      <c r="BN28" s="37" t="n">
        <f aca="false">COUNTIF($C28:$AG28,BN$4)</f>
        <v>0</v>
      </c>
      <c r="BO28" s="37" t="n">
        <f aca="false">COUNTIF($C28:$AG28,BO$4)</f>
        <v>0</v>
      </c>
      <c r="BP28" s="37"/>
      <c r="BQ28" s="68"/>
    </row>
    <row r="29" customFormat="false" ht="19.5" hidden="false" customHeight="true" outlineLevel="0" collapsed="false">
      <c r="A29" s="30"/>
      <c r="B29" s="59" t="s">
        <v>494</v>
      </c>
      <c r="C29" s="42"/>
      <c r="D29" s="32" t="s">
        <v>65</v>
      </c>
      <c r="E29" s="56" t="s">
        <v>93</v>
      </c>
      <c r="F29" s="32"/>
      <c r="G29" s="32" t="s">
        <v>65</v>
      </c>
      <c r="H29" s="32"/>
      <c r="I29" s="32" t="s">
        <v>54</v>
      </c>
      <c r="J29" s="32" t="s">
        <v>54</v>
      </c>
      <c r="K29" s="32" t="s">
        <v>54</v>
      </c>
      <c r="L29" s="32" t="s">
        <v>54</v>
      </c>
      <c r="M29" s="32" t="s">
        <v>54</v>
      </c>
      <c r="N29" s="32" t="s">
        <v>54</v>
      </c>
      <c r="O29" s="32" t="s">
        <v>54</v>
      </c>
      <c r="P29" s="32" t="s">
        <v>54</v>
      </c>
      <c r="Q29" s="32" t="s">
        <v>54</v>
      </c>
      <c r="R29" s="32" t="s">
        <v>65</v>
      </c>
      <c r="T29" s="52" t="s">
        <v>176</v>
      </c>
      <c r="U29" s="52" t="s">
        <v>176</v>
      </c>
      <c r="V29" s="56" t="s">
        <v>93</v>
      </c>
      <c r="W29" s="32" t="s">
        <v>350</v>
      </c>
      <c r="X29" s="32" t="s">
        <v>65</v>
      </c>
      <c r="Y29" s="56" t="s">
        <v>93</v>
      </c>
      <c r="Z29" s="32" t="s">
        <v>54</v>
      </c>
      <c r="AA29" s="32" t="s">
        <v>54</v>
      </c>
      <c r="AB29" s="45"/>
      <c r="AC29" s="56" t="s">
        <v>93</v>
      </c>
      <c r="AD29" s="33"/>
      <c r="AE29" s="45"/>
      <c r="AF29" s="32"/>
      <c r="AG29" s="42"/>
      <c r="AH29" s="32"/>
      <c r="AI29" s="35"/>
      <c r="AJ29" s="36"/>
      <c r="AK29" s="35"/>
      <c r="AL29" s="66"/>
      <c r="AM29" s="66"/>
      <c r="AN29" s="66"/>
      <c r="AO29" s="66"/>
      <c r="AP29" s="67"/>
      <c r="AQ29" s="37" t="n">
        <f aca="false">SUMPRODUCT(--WEEKDAY(C$3:AG$3,2)&lt;6,--((C29:AG29="DM"))+(C29:AG29="CS1")+((C29:AG29="CS2"))+(C29:AG29="SB1")+(C29:AG29="AE")+(C29:AG29="EM"))</f>
        <v>3</v>
      </c>
      <c r="AR29" s="67"/>
      <c r="AS29" s="38" t="n">
        <f aca="false">SUMPRODUCT(--WEEKDAY(C$3:AG$3,2)&gt;5,--((C29:AG29="DM"))+(C29:AG29="CS1")+((C29:AG29="CS2"))+(C29:AG29="SB1")+(C29:AG29="AE")+(C29:AG29="EM"))</f>
        <v>1</v>
      </c>
      <c r="AT29" s="67"/>
      <c r="AU29" s="38" t="n">
        <f aca="false">(AQ29-AR29)/2+(AS29-AT29)</f>
        <v>2.5</v>
      </c>
      <c r="AV29" s="38" t="n">
        <f aca="false">AI29+AJ29+AK29+AL29+AN29+AO29</f>
        <v>0</v>
      </c>
      <c r="AW29" s="38" t="n">
        <f aca="false">BG29+BH29+BJ29+BE29+BC29+BA29+BL29</f>
        <v>0</v>
      </c>
      <c r="AX29" s="38" t="e">
        <f aca="false">AU29+AY29</f>
        <v>#VALUE!</v>
      </c>
      <c r="AY29" s="37" t="e">
        <f aca="false">(BJ29*('Setting key Duty'!$I$8+'Setting key Duty'!$I$12))+(BH29*'Setting key Duty'!$I$9)+(BC29*('Setting key Duty'!$I$13+'Setting key Duty'!$I$9))+(BA29*('Setting key Duty'!$I$13+'Setting key Duty'!$I$12+'Setting key Duty'!$I$11))+(BE29*('Setting key Duty'!$I$8+'Setting key Duty'!$I$9+'Setting key Duty'!$I$12))</f>
        <v>#VALUE!</v>
      </c>
      <c r="AZ29" s="37" t="n">
        <f aca="false">COUNTIF(C29:Y29,"*BRT*")</f>
        <v>0</v>
      </c>
      <c r="BA29" s="37" t="n">
        <f aca="false">COUNTIF(A29:AI29,"*$BTP*")</f>
        <v>0</v>
      </c>
      <c r="BB29" s="37" t="e">
        <f aca="false">BA29*('Setting key Duty'!$I$13+'Setting key Duty'!$I$12+'Setting key Duty'!$I$11)</f>
        <v>#VALUE!</v>
      </c>
      <c r="BC29" s="37" t="n">
        <f aca="false">COUNTIF(D29:AI29,"*$L*")</f>
        <v>0</v>
      </c>
      <c r="BD29" s="37" t="e">
        <f aca="false">BC29*('Setting key Duty'!$I$13+'Setting key Duty'!$I$9)</f>
        <v>#VALUE!</v>
      </c>
      <c r="BE29" s="37" t="n">
        <f aca="false">COUNTIF(D29:AI29,"*$M*")</f>
        <v>0</v>
      </c>
      <c r="BF29" s="37" t="n">
        <f aca="false">BE29*('Setting key Duty'!$I$8+'Setting key Duty'!$I$9+'Setting key Duty'!$I$12)</f>
        <v>0</v>
      </c>
      <c r="BG29" s="37" t="n">
        <f aca="false">COUNTIF(D29:AI29,"*$N*")</f>
        <v>0</v>
      </c>
      <c r="BH29" s="37" t="n">
        <f aca="false">COUNTIF(D29:AI29,"*$PM*")</f>
        <v>0</v>
      </c>
      <c r="BI29" s="37" t="n">
        <f aca="false">BH29*('Setting key Duty'!$I$9)</f>
        <v>0</v>
      </c>
      <c r="BJ29" s="37" t="n">
        <f aca="false">COUNTIF(D29:AI29,"*$AM*")</f>
        <v>0</v>
      </c>
      <c r="BK29" s="37" t="n">
        <f aca="false">BJ29*('Setting key Duty'!$I$12+'Setting key Duty'!$I$8)</f>
        <v>0</v>
      </c>
      <c r="BL29" s="37" t="n">
        <f aca="false">COUNTIF(C29:AI29,"*$FC*")</f>
        <v>0</v>
      </c>
      <c r="BM29" s="37" t="n">
        <f aca="false">BL29*('Setting key Duty'!$J$11+'Setting key Duty'!$I$8)</f>
        <v>0</v>
      </c>
      <c r="BN29" s="37" t="n">
        <f aca="false">COUNTIF($C29:$AG29,BN$4)</f>
        <v>0</v>
      </c>
      <c r="BO29" s="37" t="n">
        <f aca="false">COUNTIF($C29:$AG29,BO$4)</f>
        <v>1</v>
      </c>
      <c r="BP29" s="37"/>
      <c r="BQ29" s="68"/>
    </row>
    <row r="30" customFormat="false" ht="19.5" hidden="false" customHeight="true" outlineLevel="0" collapsed="false">
      <c r="A30" s="30"/>
      <c r="B30" s="135" t="s">
        <v>367</v>
      </c>
      <c r="C30" s="42"/>
      <c r="D30" s="56" t="s">
        <v>93</v>
      </c>
      <c r="E30" s="32" t="s">
        <v>65</v>
      </c>
      <c r="G30" s="32" t="s">
        <v>150</v>
      </c>
      <c r="H30" s="32" t="s">
        <v>150</v>
      </c>
      <c r="I30" s="45" t="s">
        <v>54</v>
      </c>
      <c r="J30" s="45" t="s">
        <v>54</v>
      </c>
      <c r="K30" s="45" t="s">
        <v>54</v>
      </c>
      <c r="L30" s="45" t="s">
        <v>54</v>
      </c>
      <c r="M30" s="45" t="s">
        <v>54</v>
      </c>
      <c r="N30" s="45" t="s">
        <v>54</v>
      </c>
      <c r="O30" s="45" t="s">
        <v>54</v>
      </c>
      <c r="P30" s="45" t="s">
        <v>54</v>
      </c>
      <c r="S30" s="32" t="s">
        <v>65</v>
      </c>
      <c r="T30" s="56" t="s">
        <v>93</v>
      </c>
      <c r="U30" s="32" t="s">
        <v>495</v>
      </c>
      <c r="X30" s="32"/>
      <c r="Y30" s="32"/>
      <c r="Z30" s="32" t="s">
        <v>496</v>
      </c>
      <c r="AA30" s="33"/>
      <c r="AB30" s="32" t="s">
        <v>497</v>
      </c>
      <c r="AC30" s="33"/>
      <c r="AD30" s="42"/>
      <c r="AE30" s="32" t="s">
        <v>65</v>
      </c>
      <c r="AF30" s="32" t="s">
        <v>477</v>
      </c>
      <c r="AG30" s="32" t="s">
        <v>477</v>
      </c>
      <c r="AH30" s="32" t="s">
        <v>477</v>
      </c>
      <c r="AI30" s="35"/>
      <c r="AJ30" s="36"/>
      <c r="AK30" s="35"/>
      <c r="AL30" s="66"/>
      <c r="AM30" s="66"/>
      <c r="AN30" s="66"/>
      <c r="AO30" s="66"/>
      <c r="AP30" s="67"/>
      <c r="AQ30" s="37" t="n">
        <f aca="false">SUMPRODUCT(--WEEKDAY(C$3:AG$3,2)&lt;6,--((C30:AG30="DM"))+(C30:AG30="CS1")+((C30:AG30="CS2"))+(C30:AG30="SB1")+(C30:AG30="AE")+(C30:AG30="EM"))</f>
        <v>2</v>
      </c>
      <c r="AR30" s="67"/>
      <c r="AS30" s="38" t="n">
        <f aca="false">SUMPRODUCT(--WEEKDAY(C$3:AG$3,2)&gt;5,--((C30:AG30="DM"))+(C30:AG30="CS1")+((C30:AG30="CS2"))+(C30:AG30="SB1")+(C30:AG30="AE")+(C30:AG30="EM"))</f>
        <v>1</v>
      </c>
      <c r="AT30" s="67"/>
      <c r="AU30" s="38" t="n">
        <f aca="false">(AQ30-AR30)/2+(AS30-AT30)</f>
        <v>2</v>
      </c>
      <c r="AV30" s="38" t="n">
        <f aca="false">AI30+AJ30+AK30+AL30+AN30+AO30</f>
        <v>0</v>
      </c>
      <c r="AW30" s="38" t="n">
        <f aca="false">BG30+BH30+BJ30+BE30+BC30+BA30+BL30</f>
        <v>3</v>
      </c>
      <c r="AX30" s="38" t="e">
        <f aca="false">AU30+AY30</f>
        <v>#VALUE!</v>
      </c>
      <c r="AY30" s="37" t="e">
        <f aca="false">(BJ30*('Setting key Duty'!$I$8+'Setting key Duty'!$I$12))+(BH30*'Setting key Duty'!$I$9)+(BC30*('Setting key Duty'!$I$13+'Setting key Duty'!$I$9))+(BA30*('Setting key Duty'!$I$13+'Setting key Duty'!$I$12+'Setting key Duty'!$I$11))+(BE30*('Setting key Duty'!$I$8+'Setting key Duty'!$I$9+'Setting key Duty'!$I$12))</f>
        <v>#VALUE!</v>
      </c>
      <c r="AZ30" s="37" t="n">
        <f aca="false">COUNTIF(C30:Y30,"*BRT*")</f>
        <v>0</v>
      </c>
      <c r="BA30" s="37" t="n">
        <f aca="false">COUNTIF(A30:AI30,"*$BTP*")</f>
        <v>0</v>
      </c>
      <c r="BB30" s="37" t="e">
        <f aca="false">BA30*('Setting key Duty'!$I$13+'Setting key Duty'!$I$12+'Setting key Duty'!$I$11)</f>
        <v>#VALUE!</v>
      </c>
      <c r="BC30" s="37" t="n">
        <f aca="false">COUNTIF(D30:AI30,"*$L*")</f>
        <v>1</v>
      </c>
      <c r="BD30" s="37" t="e">
        <f aca="false">BC30*('Setting key Duty'!$I$13+'Setting key Duty'!$I$9)</f>
        <v>#VALUE!</v>
      </c>
      <c r="BE30" s="37" t="n">
        <f aca="false">COUNTIF(D30:AI30,"*$M*")</f>
        <v>0</v>
      </c>
      <c r="BF30" s="37" t="n">
        <f aca="false">BE30*('Setting key Duty'!$I$8+'Setting key Duty'!$I$9+'Setting key Duty'!$I$12)</f>
        <v>0</v>
      </c>
      <c r="BG30" s="37" t="n">
        <f aca="false">COUNTIF(D30:AI30,"*$N*")</f>
        <v>0</v>
      </c>
      <c r="BH30" s="37" t="n">
        <f aca="false">COUNTIF(D30:AI30,"*$PM*")</f>
        <v>0</v>
      </c>
      <c r="BI30" s="37" t="n">
        <f aca="false">BH30*('Setting key Duty'!$I$9)</f>
        <v>0</v>
      </c>
      <c r="BJ30" s="37" t="n">
        <f aca="false">COUNTIF(D30:AI30,"*$AM*")</f>
        <v>2</v>
      </c>
      <c r="BK30" s="37" t="n">
        <f aca="false">BJ30*('Setting key Duty'!$I$12+'Setting key Duty'!$I$8)</f>
        <v>0.875</v>
      </c>
      <c r="BL30" s="37" t="n">
        <f aca="false">COUNTIF(C30:AI30,"*$FC*")</f>
        <v>0</v>
      </c>
      <c r="BM30" s="37" t="n">
        <f aca="false">BL30*('Setting key Duty'!$J$11+'Setting key Duty'!$I$8)</f>
        <v>0</v>
      </c>
      <c r="BN30" s="37" t="n">
        <f aca="false">COUNTIF($C30:$AG30,BN$4)</f>
        <v>0</v>
      </c>
      <c r="BO30" s="37" t="n">
        <f aca="false">COUNTIF($C30:$AG30,BO$4)</f>
        <v>0</v>
      </c>
      <c r="BP30" s="37"/>
      <c r="BQ30" s="68"/>
    </row>
    <row r="31" customFormat="false" ht="19.5" hidden="false" customHeight="true" outlineLevel="0" collapsed="false">
      <c r="A31" s="30"/>
      <c r="B31" s="135" t="s">
        <v>368</v>
      </c>
      <c r="C31" s="42"/>
      <c r="D31" s="42"/>
      <c r="E31" s="32" t="s">
        <v>468</v>
      </c>
      <c r="G31" s="32" t="s">
        <v>150</v>
      </c>
      <c r="H31" s="32" t="s">
        <v>150</v>
      </c>
      <c r="I31" s="32" t="s">
        <v>150</v>
      </c>
      <c r="J31" s="32"/>
      <c r="K31" s="32" t="s">
        <v>65</v>
      </c>
      <c r="M31" s="65"/>
      <c r="N31" s="56" t="s">
        <v>93</v>
      </c>
      <c r="O31" s="32" t="s">
        <v>498</v>
      </c>
      <c r="Q31" s="45" t="s">
        <v>65</v>
      </c>
      <c r="S31" s="32"/>
      <c r="T31" s="52" t="s">
        <v>176</v>
      </c>
      <c r="U31" s="52" t="s">
        <v>176</v>
      </c>
      <c r="V31" s="50" t="s">
        <v>65</v>
      </c>
      <c r="W31" s="32"/>
      <c r="Y31" s="42"/>
      <c r="Z31" s="32" t="s">
        <v>499</v>
      </c>
      <c r="AA31" s="32"/>
      <c r="AC31" s="32"/>
      <c r="AE31" s="42"/>
      <c r="AF31" s="32" t="s">
        <v>65</v>
      </c>
      <c r="AG31" s="42"/>
      <c r="AH31" s="42"/>
      <c r="AI31" s="35"/>
      <c r="AJ31" s="36"/>
      <c r="AK31" s="35"/>
      <c r="AL31" s="66"/>
      <c r="AM31" s="66"/>
      <c r="AN31" s="66"/>
      <c r="AO31" s="66"/>
      <c r="AP31" s="67"/>
      <c r="AQ31" s="37" t="n">
        <f aca="false">SUMPRODUCT(--WEEKDAY(C$3:AG$3,2)&lt;6,--((C31:AG31="DM"))+(C31:AG31="CS1")+((C31:AG31="CS2"))+(C31:AG31="SB1")+(C31:AG31="AE")+(C31:AG31="EM"))</f>
        <v>3</v>
      </c>
      <c r="AR31" s="67"/>
      <c r="AS31" s="38" t="n">
        <f aca="false">SUMPRODUCT(--WEEKDAY(C$3:AG$3,2)&gt;5,--((C31:AG31="DM"))+(C31:AG31="CS1")+((C31:AG31="CS2"))+(C31:AG31="SB1")+(C31:AG31="AE")+(C31:AG31="EM"))</f>
        <v>1</v>
      </c>
      <c r="AT31" s="67"/>
      <c r="AU31" s="38" t="n">
        <f aca="false">(AQ31-AR31)/2+(AS31-AT31)</f>
        <v>2.5</v>
      </c>
      <c r="AV31" s="38" t="n">
        <f aca="false">AI31+AJ31+AK31+AL31+AN31+AO31</f>
        <v>0</v>
      </c>
      <c r="AW31" s="38" t="n">
        <f aca="false">BG31+BH31+BJ31+BE31+BC31+BA31+BL31</f>
        <v>3</v>
      </c>
      <c r="AX31" s="38" t="e">
        <f aca="false">AU31+AY31</f>
        <v>#VALUE!</v>
      </c>
      <c r="AY31" s="37" t="e">
        <f aca="false">(BJ31*('Setting key Duty'!$I$8+'Setting key Duty'!$I$12))+(BH31*'Setting key Duty'!$I$9)+(BC31*('Setting key Duty'!$I$13+'Setting key Duty'!$I$9))+(BA31*('Setting key Duty'!$I$13+'Setting key Duty'!$I$12+'Setting key Duty'!$I$11))+(BE31*('Setting key Duty'!$I$8+'Setting key Duty'!$I$9+'Setting key Duty'!$I$12))</f>
        <v>#VALUE!</v>
      </c>
      <c r="AZ31" s="37" t="n">
        <f aca="false">COUNTIF(C31:Y31,"*BRT*")</f>
        <v>0</v>
      </c>
      <c r="BA31" s="37" t="n">
        <f aca="false">COUNTIF(A31:AI31,"*$BTP*")</f>
        <v>0</v>
      </c>
      <c r="BB31" s="37" t="e">
        <f aca="false">BA31*('Setting key Duty'!$I$13+'Setting key Duty'!$I$12+'Setting key Duty'!$I$11)</f>
        <v>#VALUE!</v>
      </c>
      <c r="BC31" s="37" t="n">
        <f aca="false">COUNTIF(D31:AI31,"*$L*")</f>
        <v>1</v>
      </c>
      <c r="BD31" s="37" t="e">
        <f aca="false">BC31*('Setting key Duty'!$I$13+'Setting key Duty'!$I$9)</f>
        <v>#VALUE!</v>
      </c>
      <c r="BE31" s="37" t="n">
        <f aca="false">COUNTIF(D31:AI31,"*$M*")</f>
        <v>0</v>
      </c>
      <c r="BF31" s="37" t="n">
        <f aca="false">BE31*('Setting key Duty'!$I$8+'Setting key Duty'!$I$9+'Setting key Duty'!$I$12)</f>
        <v>0</v>
      </c>
      <c r="BG31" s="37" t="n">
        <f aca="false">COUNTIF(D31:AI31,"*$N*")</f>
        <v>0</v>
      </c>
      <c r="BH31" s="37" t="n">
        <f aca="false">COUNTIF(D31:AI31,"*$PM*")</f>
        <v>0</v>
      </c>
      <c r="BI31" s="37" t="n">
        <f aca="false">BH31*('Setting key Duty'!$I$9)</f>
        <v>0</v>
      </c>
      <c r="BJ31" s="37" t="n">
        <f aca="false">COUNTIF(D31:AI31,"*$AM*")</f>
        <v>2</v>
      </c>
      <c r="BK31" s="37" t="n">
        <f aca="false">BJ31*('Setting key Duty'!$I$12+'Setting key Duty'!$I$8)</f>
        <v>0.875</v>
      </c>
      <c r="BL31" s="37" t="n">
        <f aca="false">COUNTIF(C31:AI31,"*$FC*")</f>
        <v>0</v>
      </c>
      <c r="BM31" s="37" t="n">
        <f aca="false">BL31*('Setting key Duty'!$J$11+'Setting key Duty'!$I$8)</f>
        <v>0</v>
      </c>
      <c r="BN31" s="37" t="n">
        <f aca="false">COUNTIF($C31:$AG31,BN$4)</f>
        <v>0</v>
      </c>
      <c r="BO31" s="37" t="n">
        <f aca="false">COUNTIF($C31:$AG31,BO$4)</f>
        <v>0</v>
      </c>
      <c r="BP31" s="37"/>
      <c r="BQ31" s="68"/>
    </row>
    <row r="32" customFormat="false" ht="19.5" hidden="false" customHeight="true" outlineLevel="0" collapsed="false">
      <c r="A32" s="30"/>
      <c r="B32" s="135" t="s">
        <v>369</v>
      </c>
      <c r="C32" s="42"/>
      <c r="D32" s="32" t="s">
        <v>500</v>
      </c>
      <c r="E32" s="32"/>
      <c r="F32" s="56" t="s">
        <v>93</v>
      </c>
      <c r="G32" s="32" t="s">
        <v>150</v>
      </c>
      <c r="H32" s="32" t="s">
        <v>150</v>
      </c>
      <c r="I32" s="32" t="s">
        <v>150</v>
      </c>
      <c r="J32" s="32" t="s">
        <v>65</v>
      </c>
      <c r="L32" s="32"/>
      <c r="M32" s="56" t="s">
        <v>93</v>
      </c>
      <c r="O32" s="56" t="s">
        <v>93</v>
      </c>
      <c r="P32" s="32" t="s">
        <v>54</v>
      </c>
      <c r="Q32" s="32" t="s">
        <v>54</v>
      </c>
      <c r="R32" s="32" t="s">
        <v>54</v>
      </c>
      <c r="S32" s="32" t="s">
        <v>54</v>
      </c>
      <c r="T32" s="32" t="s">
        <v>54</v>
      </c>
      <c r="U32" s="32" t="s">
        <v>54</v>
      </c>
      <c r="V32" s="50" t="s">
        <v>54</v>
      </c>
      <c r="W32" s="32" t="s">
        <v>54</v>
      </c>
      <c r="X32" s="32" t="s">
        <v>54</v>
      </c>
      <c r="Z32" s="32" t="s">
        <v>501</v>
      </c>
      <c r="AA32" s="32" t="s">
        <v>65</v>
      </c>
      <c r="AB32" s="32"/>
      <c r="AC32" s="45"/>
      <c r="AD32" s="32"/>
      <c r="AF32" s="32" t="s">
        <v>502</v>
      </c>
      <c r="AG32" s="42"/>
      <c r="AI32" s="35"/>
      <c r="AJ32" s="36"/>
      <c r="AK32" s="35"/>
      <c r="AL32" s="66"/>
      <c r="AM32" s="66"/>
      <c r="AN32" s="66"/>
      <c r="AO32" s="66"/>
      <c r="AP32" s="67"/>
      <c r="AQ32" s="37" t="n">
        <f aca="false">SUMPRODUCT(--WEEKDAY(C$3:AG$3,2)&lt;6,--((C32:AG32="DM"))+(C32:AG32="CS1")+((C32:AG32="CS2"))+(C32:AG32="SB1")+(C32:AG32="AE")+(C32:AG32="EM"))</f>
        <v>1</v>
      </c>
      <c r="AR32" s="67"/>
      <c r="AS32" s="38" t="n">
        <f aca="false">SUMPRODUCT(--WEEKDAY(C$3:AG$3,2)&gt;5,--((C32:AG32="DM"))+(C32:AG32="CS1")+((C32:AG32="CS2"))+(C32:AG32="SB1")+(C32:AG32="AE")+(C32:AG32="EM"))</f>
        <v>1</v>
      </c>
      <c r="AT32" s="67"/>
      <c r="AU32" s="38" t="n">
        <f aca="false">(AQ32-AR32)/2+(AS32-AT32)</f>
        <v>1.5</v>
      </c>
      <c r="AV32" s="38" t="n">
        <f aca="false">AI32+AJ32+AK32+AL32+AN32+AO32</f>
        <v>0</v>
      </c>
      <c r="AW32" s="38" t="n">
        <f aca="false">BG32+BH32+BJ32+BE32+BC32+BA32+BL32</f>
        <v>3</v>
      </c>
      <c r="AX32" s="38" t="e">
        <f aca="false">AU32+AY32</f>
        <v>#VALUE!</v>
      </c>
      <c r="AY32" s="37" t="e">
        <f aca="false">(BJ32*('Setting key Duty'!$I$8+'Setting key Duty'!$I$12))+(BH32*'Setting key Duty'!$I$9)+(BC32*('Setting key Duty'!$I$13+'Setting key Duty'!$I$9))+(BA32*('Setting key Duty'!$I$13+'Setting key Duty'!$I$12+'Setting key Duty'!$I$11))+(BE32*('Setting key Duty'!$I$8+'Setting key Duty'!$I$9+'Setting key Duty'!$I$12))</f>
        <v>#VALUE!</v>
      </c>
      <c r="AZ32" s="37" t="n">
        <f aca="false">COUNTIF(C32:Y32,"*BRT*")</f>
        <v>0</v>
      </c>
      <c r="BA32" s="37" t="n">
        <f aca="false">COUNTIF(A32:AI32,"*$BTP*")</f>
        <v>0</v>
      </c>
      <c r="BB32" s="37" t="e">
        <f aca="false">BA32*('Setting key Duty'!$I$13+'Setting key Duty'!$I$12+'Setting key Duty'!$I$11)</f>
        <v>#VALUE!</v>
      </c>
      <c r="BC32" s="37" t="n">
        <f aca="false">COUNTIF(D32:AI32,"*$L*")</f>
        <v>0</v>
      </c>
      <c r="BD32" s="37" t="e">
        <f aca="false">BC32*('Setting key Duty'!$I$13+'Setting key Duty'!$I$9)</f>
        <v>#VALUE!</v>
      </c>
      <c r="BE32" s="37" t="n">
        <f aca="false">COUNTIF(D32:AI32,"*$M*")</f>
        <v>1</v>
      </c>
      <c r="BF32" s="37" t="n">
        <f aca="false">BE32*('Setting key Duty'!$I$8+'Setting key Duty'!$I$9+'Setting key Duty'!$I$12)</f>
        <v>0.5625</v>
      </c>
      <c r="BG32" s="37" t="n">
        <f aca="false">COUNTIF(D32:AI32,"*$N*")</f>
        <v>0</v>
      </c>
      <c r="BH32" s="37" t="n">
        <f aca="false">COUNTIF(D32:AI32,"*$PM*")</f>
        <v>0</v>
      </c>
      <c r="BI32" s="37" t="n">
        <f aca="false">BH32*('Setting key Duty'!$I$9)</f>
        <v>0</v>
      </c>
      <c r="BJ32" s="37" t="n">
        <f aca="false">COUNTIF(D32:AI32,"*$AM*")</f>
        <v>2</v>
      </c>
      <c r="BK32" s="37" t="n">
        <f aca="false">BJ32*('Setting key Duty'!$I$12+'Setting key Duty'!$I$8)</f>
        <v>0.875</v>
      </c>
      <c r="BL32" s="37" t="n">
        <f aca="false">COUNTIF(C32:AI32,"*$FC*")</f>
        <v>0</v>
      </c>
      <c r="BM32" s="37" t="n">
        <f aca="false">BL32*('Setting key Duty'!$J$11+'Setting key Duty'!$I$8)</f>
        <v>0</v>
      </c>
      <c r="BN32" s="37" t="n">
        <f aca="false">COUNTIF($C32:$AG32,BN$4)</f>
        <v>0</v>
      </c>
      <c r="BO32" s="37" t="n">
        <f aca="false">COUNTIF($C32:$AG32,BO$4)</f>
        <v>0</v>
      </c>
      <c r="BP32" s="37"/>
      <c r="BQ32" s="68"/>
    </row>
    <row r="33" customFormat="false" ht="19.5" hidden="false" customHeight="true" outlineLevel="0" collapsed="false">
      <c r="A33" s="30"/>
      <c r="B33" s="59" t="s">
        <v>370</v>
      </c>
      <c r="C33" s="42"/>
      <c r="D33" s="42"/>
      <c r="E33" s="32" t="s">
        <v>149</v>
      </c>
      <c r="F33" s="32" t="s">
        <v>149</v>
      </c>
      <c r="G33" s="32"/>
      <c r="H33" s="56" t="s">
        <v>93</v>
      </c>
      <c r="I33" s="65"/>
      <c r="K33" s="32"/>
      <c r="L33" s="32" t="s">
        <v>65</v>
      </c>
      <c r="M33" s="32"/>
      <c r="O33" s="32" t="s">
        <v>65</v>
      </c>
      <c r="Q33" s="45"/>
      <c r="R33" s="42"/>
      <c r="S33" s="56" t="s">
        <v>93</v>
      </c>
      <c r="U33" s="32" t="s">
        <v>65</v>
      </c>
      <c r="V33" s="50"/>
      <c r="X33" s="32" t="s">
        <v>59</v>
      </c>
      <c r="Z33" s="56" t="s">
        <v>93</v>
      </c>
      <c r="AA33" s="33"/>
      <c r="AB33" s="56" t="s">
        <v>93</v>
      </c>
      <c r="AC33" s="45"/>
      <c r="AE33" s="32"/>
      <c r="AG33" s="42"/>
      <c r="AH33" s="42"/>
      <c r="AI33" s="35"/>
      <c r="AJ33" s="36"/>
      <c r="AK33" s="35"/>
      <c r="AL33" s="66"/>
      <c r="AM33" s="66"/>
      <c r="AN33" s="66"/>
      <c r="AO33" s="66"/>
      <c r="AP33" s="67"/>
      <c r="AQ33" s="37" t="n">
        <f aca="false">SUMPRODUCT(--WEEKDAY(C$3:AG$3,2)&lt;6,--((C33:AG33="DM"))+(C33:AG33="CS1")+((C33:AG33="CS2"))+(C33:AG33="SB1")+(C33:AG33="AE")+(C33:AG33="EM"))</f>
        <v>3</v>
      </c>
      <c r="AR33" s="67"/>
      <c r="AS33" s="38" t="n">
        <f aca="false">SUMPRODUCT(--WEEKDAY(C$3:AG$3,2)&gt;5,--((C33:AG33="DM"))+(C33:AG33="CS1")+((C33:AG33="CS2"))+(C33:AG33="SB1")+(C33:AG33="AE")+(C33:AG33="EM"))</f>
        <v>1</v>
      </c>
      <c r="AT33" s="67"/>
      <c r="AU33" s="38" t="n">
        <f aca="false">(AQ33-AR33)/2+(AS33-AT33)</f>
        <v>2.5</v>
      </c>
      <c r="AV33" s="38" t="n">
        <f aca="false">AI33+AJ33+AK33+AL33+AN33+AO33</f>
        <v>0</v>
      </c>
      <c r="AW33" s="38" t="n">
        <f aca="false">BG33+BH33+BJ33+BE33+BC33+BA33+BL33</f>
        <v>0</v>
      </c>
      <c r="AX33" s="38" t="e">
        <f aca="false">AU33+AY33</f>
        <v>#VALUE!</v>
      </c>
      <c r="AY33" s="37" t="e">
        <f aca="false">(BJ33*('Setting key Duty'!$I$8+'Setting key Duty'!$I$12))+(BH33*'Setting key Duty'!$I$9)+(BC33*('Setting key Duty'!$I$13+'Setting key Duty'!$I$9))+(BA33*('Setting key Duty'!$I$13+'Setting key Duty'!$I$12+'Setting key Duty'!$I$11))+(BE33*('Setting key Duty'!$I$8+'Setting key Duty'!$I$9+'Setting key Duty'!$I$12))</f>
        <v>#VALUE!</v>
      </c>
      <c r="AZ33" s="37" t="n">
        <f aca="false">COUNTIF(C33:Y33,"*BRT*")</f>
        <v>0</v>
      </c>
      <c r="BA33" s="37" t="n">
        <f aca="false">COUNTIF(A33:AI33,"*$BTP*")</f>
        <v>0</v>
      </c>
      <c r="BB33" s="37" t="e">
        <f aca="false">BA33*('Setting key Duty'!$I$13+'Setting key Duty'!$I$12+'Setting key Duty'!$I$11)</f>
        <v>#VALUE!</v>
      </c>
      <c r="BC33" s="37" t="n">
        <f aca="false">COUNTIF(D33:AI33,"*$L*")</f>
        <v>0</v>
      </c>
      <c r="BD33" s="37" t="e">
        <f aca="false">BC33*('Setting key Duty'!$I$13+'Setting key Duty'!$I$9)</f>
        <v>#VALUE!</v>
      </c>
      <c r="BE33" s="37" t="n">
        <f aca="false">COUNTIF(D33:AI33,"*$M*")</f>
        <v>0</v>
      </c>
      <c r="BF33" s="37" t="n">
        <f aca="false">BE33*('Setting key Duty'!$I$8+'Setting key Duty'!$I$9+'Setting key Duty'!$I$12)</f>
        <v>0</v>
      </c>
      <c r="BG33" s="37" t="n">
        <f aca="false">COUNTIF(D33:AI33,"*$N*")</f>
        <v>0</v>
      </c>
      <c r="BH33" s="37" t="n">
        <f aca="false">COUNTIF(D33:AI33,"*$PM*")</f>
        <v>0</v>
      </c>
      <c r="BI33" s="37" t="n">
        <f aca="false">BH33*('Setting key Duty'!$I$9)</f>
        <v>0</v>
      </c>
      <c r="BJ33" s="37" t="n">
        <f aca="false">COUNTIF(D33:AI33,"*$AM*")</f>
        <v>0</v>
      </c>
      <c r="BK33" s="37" t="n">
        <f aca="false">BJ33*('Setting key Duty'!$I$12+'Setting key Duty'!$I$8)</f>
        <v>0</v>
      </c>
      <c r="BL33" s="37" t="n">
        <f aca="false">COUNTIF(C33:AI33,"*$FC*")</f>
        <v>0</v>
      </c>
      <c r="BM33" s="37" t="n">
        <f aca="false">BL33*('Setting key Duty'!$J$11+'Setting key Duty'!$I$8)</f>
        <v>0</v>
      </c>
      <c r="BN33" s="37" t="n">
        <f aca="false">COUNTIF($C33:$AG33,BN$4)</f>
        <v>0</v>
      </c>
      <c r="BO33" s="37" t="n">
        <f aca="false">COUNTIF($C33:$AG33,BO$4)</f>
        <v>0</v>
      </c>
      <c r="BP33" s="37"/>
      <c r="BQ33" s="68"/>
    </row>
    <row r="34" customFormat="false" ht="19.5" hidden="false" customHeight="true" outlineLevel="0" collapsed="false">
      <c r="A34" s="30"/>
      <c r="B34" s="135" t="s">
        <v>371</v>
      </c>
      <c r="C34" s="42"/>
      <c r="D34" s="116"/>
      <c r="E34" s="116"/>
      <c r="F34" s="42"/>
      <c r="G34" s="116"/>
      <c r="H34" s="56"/>
      <c r="I34" s="116"/>
      <c r="J34" s="116"/>
      <c r="K34" s="116"/>
      <c r="L34" s="116"/>
      <c r="M34" s="116"/>
      <c r="O34" s="116"/>
      <c r="P34" s="116"/>
      <c r="Q34" s="116"/>
      <c r="R34" s="116"/>
      <c r="S34" s="116"/>
      <c r="T34" s="116"/>
      <c r="U34" s="116"/>
      <c r="V34" s="136"/>
      <c r="W34" s="116"/>
      <c r="X34" s="116"/>
      <c r="Y34" s="42"/>
      <c r="AA34" s="56"/>
      <c r="AB34" s="116"/>
      <c r="AC34" s="116"/>
      <c r="AD34" s="116"/>
      <c r="AE34" s="116"/>
      <c r="AF34" s="116"/>
      <c r="AG34" s="116"/>
      <c r="AH34" s="116"/>
      <c r="AI34" s="35"/>
      <c r="AJ34" s="36"/>
      <c r="AK34" s="35"/>
      <c r="AL34" s="66"/>
      <c r="AM34" s="66"/>
      <c r="AN34" s="66"/>
      <c r="AO34" s="66"/>
      <c r="AP34" s="67"/>
      <c r="AQ34" s="37" t="n">
        <f aca="false">SUMPRODUCT(--WEEKDAY(C$3:AG$3,2)&lt;6,--((C34:AG34="DM"))+(C34:AG34="CS1")+((C34:AG34="CS2"))+(C34:AG34="SB1")+(C34:AG34="AE")+(C34:AG34="EM"))</f>
        <v>0</v>
      </c>
      <c r="AR34" s="67"/>
      <c r="AS34" s="38" t="n">
        <f aca="false">SUMPRODUCT(--WEEKDAY(C$3:AG$3,2)&gt;5,--((C34:AG34="DM"))+(C34:AG34="CS1")+((C34:AG34="CS2"))+(C34:AG34="SB1")+(C34:AG34="AE")+(C34:AG34="EM"))</f>
        <v>0</v>
      </c>
      <c r="AT34" s="67"/>
      <c r="AU34" s="38" t="n">
        <f aca="false">(AQ34-AR34)/2+(AS34-AT34)</f>
        <v>0</v>
      </c>
      <c r="AV34" s="38" t="n">
        <f aca="false">AI34+AJ34+AK34+AL34+AN34+AO34</f>
        <v>0</v>
      </c>
      <c r="AW34" s="38" t="n">
        <f aca="false">BG34+BH34+BJ34+BE34+BC34+BA34+BL34</f>
        <v>0</v>
      </c>
      <c r="AX34" s="38" t="e">
        <f aca="false">AU34+AY34</f>
        <v>#VALUE!</v>
      </c>
      <c r="AY34" s="37" t="e">
        <f aca="false">(BJ34*('Setting key Duty'!$I$8+'Setting key Duty'!$I$12))+(BH34*'Setting key Duty'!$I$9)+(BC34*('Setting key Duty'!$I$13+'Setting key Duty'!$I$9))+(BA34*('Setting key Duty'!$I$13+'Setting key Duty'!$I$12+'Setting key Duty'!$I$11))+(BE34*('Setting key Duty'!$I$8+'Setting key Duty'!$I$9+'Setting key Duty'!$I$12))</f>
        <v>#VALUE!</v>
      </c>
      <c r="AZ34" s="37" t="n">
        <f aca="false">COUNTIF(C34:Y34,"*BRT*")</f>
        <v>0</v>
      </c>
      <c r="BA34" s="37" t="n">
        <f aca="false">COUNTIF(A34:AI34,"*$BTP*")</f>
        <v>0</v>
      </c>
      <c r="BB34" s="37" t="e">
        <f aca="false">BA34*('Setting key Duty'!$I$13+'Setting key Duty'!$I$12+'Setting key Duty'!$I$11)</f>
        <v>#VALUE!</v>
      </c>
      <c r="BC34" s="37" t="n">
        <f aca="false">COUNTIF(D34:AI34,"*$L*")</f>
        <v>0</v>
      </c>
      <c r="BD34" s="37" t="e">
        <f aca="false">BC34*('Setting key Duty'!$I$13+'Setting key Duty'!$I$9)</f>
        <v>#VALUE!</v>
      </c>
      <c r="BE34" s="37" t="n">
        <f aca="false">COUNTIF(D34:AI34,"*$M*")</f>
        <v>0</v>
      </c>
      <c r="BF34" s="37" t="n">
        <f aca="false">BE34*('Setting key Duty'!$I$8+'Setting key Duty'!$I$9+'Setting key Duty'!$I$12)</f>
        <v>0</v>
      </c>
      <c r="BG34" s="37" t="n">
        <f aca="false">COUNTIF(D34:AI34,"*$N*")</f>
        <v>0</v>
      </c>
      <c r="BH34" s="37" t="n">
        <f aca="false">COUNTIF(D34:AI34,"*$PM*")</f>
        <v>0</v>
      </c>
      <c r="BI34" s="37" t="n">
        <f aca="false">BH34*('Setting key Duty'!$I$9)</f>
        <v>0</v>
      </c>
      <c r="BJ34" s="37" t="n">
        <f aca="false">COUNTIF(D34:AI34,"*$AM*")</f>
        <v>0</v>
      </c>
      <c r="BK34" s="37" t="n">
        <f aca="false">BJ34*('Setting key Duty'!$I$12+'Setting key Duty'!$I$8)</f>
        <v>0</v>
      </c>
      <c r="BL34" s="37" t="n">
        <f aca="false">COUNTIF(C34:AI34,"*$FC*")</f>
        <v>0</v>
      </c>
      <c r="BM34" s="37" t="n">
        <f aca="false">BL34*('Setting key Duty'!$J$11+'Setting key Duty'!$I$8)</f>
        <v>0</v>
      </c>
      <c r="BN34" s="37" t="n">
        <f aca="false">COUNTIF($C34:$AG34,BN$4)</f>
        <v>0</v>
      </c>
      <c r="BO34" s="37" t="n">
        <f aca="false">COUNTIF($C34:$AG34,BO$4)</f>
        <v>0</v>
      </c>
      <c r="BP34" s="37"/>
      <c r="BQ34" s="68"/>
    </row>
    <row r="35" customFormat="false" ht="19.5" hidden="false" customHeight="true" outlineLevel="0" collapsed="false">
      <c r="A35" s="30"/>
      <c r="B35" s="59" t="s">
        <v>410</v>
      </c>
      <c r="C35" s="116"/>
      <c r="D35" s="45"/>
      <c r="F35" s="32" t="s">
        <v>65</v>
      </c>
      <c r="G35" s="56" t="s">
        <v>93</v>
      </c>
      <c r="H35" s="47" t="s">
        <v>69</v>
      </c>
      <c r="I35" s="32" t="s">
        <v>65</v>
      </c>
      <c r="J35" s="32"/>
      <c r="K35" s="56" t="s">
        <v>93</v>
      </c>
      <c r="L35" s="32"/>
      <c r="M35" s="42"/>
      <c r="N35" s="32" t="s">
        <v>65</v>
      </c>
      <c r="Q35" s="45"/>
      <c r="R35" s="56" t="s">
        <v>93</v>
      </c>
      <c r="T35" s="32" t="s">
        <v>65</v>
      </c>
      <c r="U35" s="56" t="s">
        <v>93</v>
      </c>
      <c r="V35" s="136"/>
      <c r="X35" s="45"/>
      <c r="Y35" s="32" t="s">
        <v>65</v>
      </c>
      <c r="AA35" s="56" t="s">
        <v>93</v>
      </c>
      <c r="AC35" s="45"/>
      <c r="AD35" s="45"/>
      <c r="AF35" s="56" t="s">
        <v>93</v>
      </c>
      <c r="AG35" s="116"/>
      <c r="AH35" s="32"/>
      <c r="AI35" s="35"/>
      <c r="AJ35" s="36"/>
      <c r="AK35" s="35"/>
      <c r="AL35" s="66"/>
      <c r="AM35" s="66"/>
      <c r="AN35" s="66"/>
      <c r="AO35" s="66"/>
      <c r="AP35" s="67"/>
      <c r="AQ35" s="37" t="n">
        <f aca="false">SUMPRODUCT(--WEEKDAY(C$3:AG$3,2)&lt;6,--((C35:AG35="DM"))+(C35:AG35="CS1")+((C35:AG35="CS2"))+(C35:AG35="SB1")+(C35:AG35="AE")+(C35:AG35="EM"))</f>
        <v>4</v>
      </c>
      <c r="AR35" s="67"/>
      <c r="AS35" s="38" t="n">
        <f aca="false">SUMPRODUCT(--WEEKDAY(C$3:AG$3,2)&gt;5,--((C35:AG35="DM"))+(C35:AG35="CS1")+((C35:AG35="CS2"))+(C35:AG35="SB1")+(C35:AG35="AE")+(C35:AG35="EM"))</f>
        <v>1</v>
      </c>
      <c r="AT35" s="67"/>
      <c r="AU35" s="38" t="n">
        <f aca="false">(AQ35-AR35)/2+(AS35-AT35)</f>
        <v>3</v>
      </c>
      <c r="AV35" s="38" t="n">
        <f aca="false">AI35+AJ35+AK35+AL35+AN35+AO35</f>
        <v>0</v>
      </c>
      <c r="AW35" s="38" t="n">
        <f aca="false">BG35+BH35+BJ35+BE35+BC35+BA35+BL35</f>
        <v>0</v>
      </c>
      <c r="AX35" s="38" t="e">
        <f aca="false">AU35+AY35</f>
        <v>#VALUE!</v>
      </c>
      <c r="AY35" s="37" t="e">
        <f aca="false">(BJ35*('Setting key Duty'!$I$8+'Setting key Duty'!$I$12))+(BH35*'Setting key Duty'!$I$9)+(BC35*('Setting key Duty'!$I$13+'Setting key Duty'!$I$9))+(BA35*('Setting key Duty'!$I$13+'Setting key Duty'!$I$12+'Setting key Duty'!$I$11))+(BE35*('Setting key Duty'!$I$8+'Setting key Duty'!$I$9+'Setting key Duty'!$I$12))</f>
        <v>#VALUE!</v>
      </c>
      <c r="AZ35" s="37" t="n">
        <f aca="false">COUNTIF(C35:Y35,"*BRT*")</f>
        <v>0</v>
      </c>
      <c r="BA35" s="37" t="n">
        <f aca="false">COUNTIF(A35:AI35,"*$BTP*")</f>
        <v>0</v>
      </c>
      <c r="BB35" s="37" t="e">
        <f aca="false">BA35*('Setting key Duty'!$I$13+'Setting key Duty'!$I$12+'Setting key Duty'!$I$11)</f>
        <v>#VALUE!</v>
      </c>
      <c r="BC35" s="37" t="n">
        <f aca="false">COUNTIF(D35:AI35,"*$L*")</f>
        <v>0</v>
      </c>
      <c r="BD35" s="37" t="e">
        <f aca="false">BC35*('Setting key Duty'!$I$13+'Setting key Duty'!$I$9)</f>
        <v>#VALUE!</v>
      </c>
      <c r="BE35" s="37" t="n">
        <f aca="false">COUNTIF(D35:AI35,"*$M*")</f>
        <v>0</v>
      </c>
      <c r="BF35" s="37" t="n">
        <f aca="false">BE35*('Setting key Duty'!$I$8+'Setting key Duty'!$I$9+'Setting key Duty'!$I$12)</f>
        <v>0</v>
      </c>
      <c r="BG35" s="37" t="n">
        <f aca="false">COUNTIF(D35:AI35,"*$N*")</f>
        <v>0</v>
      </c>
      <c r="BH35" s="37" t="n">
        <f aca="false">COUNTIF(D35:AI35,"*$PM*")</f>
        <v>0</v>
      </c>
      <c r="BI35" s="37" t="n">
        <f aca="false">BH35*('Setting key Duty'!$I$9)</f>
        <v>0</v>
      </c>
      <c r="BJ35" s="37" t="n">
        <f aca="false">COUNTIF(D35:AI35,"*$AM*")</f>
        <v>0</v>
      </c>
      <c r="BK35" s="37" t="n">
        <f aca="false">BJ35*('Setting key Duty'!$I$12+'Setting key Duty'!$I$8)</f>
        <v>0</v>
      </c>
      <c r="BL35" s="37" t="n">
        <f aca="false">COUNTIF(C35:AI35,"*$FC*")</f>
        <v>0</v>
      </c>
      <c r="BM35" s="37" t="n">
        <f aca="false">BL35*('Setting key Duty'!$J$11+'Setting key Duty'!$I$8)</f>
        <v>0</v>
      </c>
      <c r="BN35" s="37" t="n">
        <f aca="false">COUNTIF($C35:$AG35,BN$4)</f>
        <v>0</v>
      </c>
      <c r="BO35" s="37" t="n">
        <f aca="false">COUNTIF($C35:$AG35,BO$4)</f>
        <v>0</v>
      </c>
      <c r="BP35" s="37"/>
      <c r="BQ35" s="68"/>
    </row>
    <row r="36" customFormat="false" ht="19.5" hidden="false" customHeight="true" outlineLevel="0" collapsed="false">
      <c r="A36" s="30"/>
      <c r="B36" s="64"/>
      <c r="C36" s="116"/>
      <c r="D36" s="42"/>
      <c r="E36" s="33"/>
      <c r="F36" s="33"/>
      <c r="G36" s="33"/>
      <c r="H36" s="33"/>
      <c r="I36" s="33"/>
      <c r="J36" s="42"/>
      <c r="K36" s="45"/>
      <c r="L36" s="45"/>
      <c r="M36" s="63"/>
      <c r="N36" s="42"/>
      <c r="O36" s="45"/>
      <c r="P36" s="42"/>
      <c r="Q36" s="33"/>
      <c r="R36" s="33"/>
      <c r="S36" s="33"/>
      <c r="T36" s="116"/>
      <c r="U36" s="33"/>
      <c r="V36" s="136"/>
      <c r="W36" s="33"/>
      <c r="X36" s="42"/>
      <c r="Y36" s="33"/>
      <c r="Z36" s="33"/>
      <c r="AA36" s="33"/>
      <c r="AB36" s="33"/>
      <c r="AC36" s="33"/>
      <c r="AD36" s="42"/>
      <c r="AE36" s="42"/>
      <c r="AF36" s="42"/>
      <c r="AG36" s="116"/>
      <c r="AH36" s="42"/>
      <c r="AI36" s="35"/>
      <c r="AJ36" s="36"/>
      <c r="AK36" s="35"/>
      <c r="AL36" s="66"/>
      <c r="AM36" s="66"/>
      <c r="AN36" s="66"/>
      <c r="AO36" s="66"/>
      <c r="AP36" s="67"/>
      <c r="AQ36" s="37" t="n">
        <f aca="false">SUMPRODUCT(--WEEKDAY(C$3:AG$3,2)&lt;6,--((C36:AG36="DM"))+(C36:AG36="CS1")+((C36:AG36="CS2"))+(C36:AG36="SB1")+(C36:AG36="AE")+(C36:AG36="EM"))</f>
        <v>0</v>
      </c>
      <c r="AR36" s="67"/>
      <c r="AS36" s="38" t="n">
        <f aca="false">SUMPRODUCT(--WEEKDAY(C$3:AG$3,2)&gt;5,--((C36:AG36="DM"))+(C36:AG36="CS1")+((C36:AG36="CS2"))+(C36:AG36="SB1")+(C36:AG36="AE")+(C36:AG36="EM"))</f>
        <v>0</v>
      </c>
      <c r="AT36" s="67"/>
      <c r="AU36" s="38" t="n">
        <f aca="false">(AQ36-AR36)/2+(AS36-AT36)</f>
        <v>0</v>
      </c>
      <c r="AV36" s="38" t="n">
        <f aca="false">AI36+AJ36+AK36+AL36+AN36+AO36</f>
        <v>0</v>
      </c>
      <c r="AW36" s="38" t="n">
        <f aca="false">BG36+BH36+BJ36+BE36+BC36+BA36+BL36</f>
        <v>0</v>
      </c>
      <c r="AX36" s="38" t="e">
        <f aca="false">AU36+AY36</f>
        <v>#VALUE!</v>
      </c>
      <c r="AY36" s="37" t="e">
        <f aca="false">(BJ36*('Setting key Duty'!$I$8+'Setting key Duty'!$I$12))+(BH36*'Setting key Duty'!$I$9)+(BC36*('Setting key Duty'!$I$13+'Setting key Duty'!$I$9))+(BA36*('Setting key Duty'!$I$13+'Setting key Duty'!$I$12+'Setting key Duty'!$I$11))+(BE36*('Setting key Duty'!$I$8+'Setting key Duty'!$I$9+'Setting key Duty'!$I$12))</f>
        <v>#VALUE!</v>
      </c>
      <c r="AZ36" s="37" t="n">
        <f aca="false">COUNTIF(C36:Y36,"*BRT*")</f>
        <v>0</v>
      </c>
      <c r="BA36" s="37" t="n">
        <f aca="false">COUNTIF(A36:AI36,"*$BTP*")</f>
        <v>0</v>
      </c>
      <c r="BB36" s="37" t="e">
        <f aca="false">BA36*('Setting key Duty'!$I$13+'Setting key Duty'!$I$12+'Setting key Duty'!$I$11)</f>
        <v>#VALUE!</v>
      </c>
      <c r="BC36" s="37" t="n">
        <f aca="false">COUNTIF(D36:AI36,"*$L*")</f>
        <v>0</v>
      </c>
      <c r="BD36" s="37" t="e">
        <f aca="false">BC36*('Setting key Duty'!$I$13+'Setting key Duty'!$I$9)</f>
        <v>#VALUE!</v>
      </c>
      <c r="BE36" s="37" t="n">
        <f aca="false">COUNTIF(D36:AI36,"*$M*")</f>
        <v>0</v>
      </c>
      <c r="BF36" s="37" t="n">
        <f aca="false">BE36*('Setting key Duty'!$I$8+'Setting key Duty'!$I$9+'Setting key Duty'!$I$12)</f>
        <v>0</v>
      </c>
      <c r="BG36" s="37" t="n">
        <f aca="false">COUNTIF(D36:AI36,"*$N*")</f>
        <v>0</v>
      </c>
      <c r="BH36" s="37" t="n">
        <f aca="false">COUNTIF(D36:AI36,"*$PM*")</f>
        <v>0</v>
      </c>
      <c r="BI36" s="37" t="n">
        <f aca="false">BH36*('Setting key Duty'!$I$9)</f>
        <v>0</v>
      </c>
      <c r="BJ36" s="37" t="n">
        <f aca="false">COUNTIF(D36:AI36,"*$AM*")</f>
        <v>0</v>
      </c>
      <c r="BK36" s="37" t="n">
        <f aca="false">BJ36*('Setting key Duty'!$I$12+'Setting key Duty'!$I$8)</f>
        <v>0</v>
      </c>
      <c r="BL36" s="37" t="n">
        <f aca="false">COUNTIF(C36:AI36,"*$FC*")</f>
        <v>0</v>
      </c>
      <c r="BM36" s="37" t="n">
        <f aca="false">BL36*('Setting key Duty'!$J$11+'Setting key Duty'!$I$8)</f>
        <v>0</v>
      </c>
      <c r="BN36" s="37" t="n">
        <f aca="false">COUNTIF($C36:$AG36,BN$4)</f>
        <v>0</v>
      </c>
      <c r="BO36" s="37" t="n">
        <f aca="false">COUNTIF($C36:$AG36,BO$4)</f>
        <v>0</v>
      </c>
      <c r="BP36" s="37"/>
      <c r="BQ36" s="68"/>
    </row>
    <row r="37" customFormat="false" ht="19.5" hidden="false" customHeight="true" outlineLevel="0" collapsed="false">
      <c r="A37" s="30"/>
      <c r="B37" s="64" t="s">
        <v>148</v>
      </c>
      <c r="C37" s="125"/>
      <c r="D37" s="42"/>
      <c r="E37" s="42"/>
      <c r="F37" s="42"/>
      <c r="G37" s="42"/>
      <c r="H37" s="42"/>
      <c r="I37" s="42"/>
      <c r="J37" s="42"/>
      <c r="K37" s="42"/>
      <c r="L37" s="42"/>
      <c r="N37" s="42"/>
      <c r="O37" s="42"/>
      <c r="P37" s="42"/>
      <c r="Q37" s="33"/>
      <c r="R37" s="33"/>
      <c r="S37" s="42"/>
      <c r="T37" s="116"/>
      <c r="U37" s="34"/>
      <c r="V37" s="136"/>
      <c r="W37" s="42"/>
      <c r="X37" s="42"/>
      <c r="Y37" s="62"/>
      <c r="Z37" s="62"/>
      <c r="AA37" s="62"/>
      <c r="AB37" s="62"/>
      <c r="AC37" s="62"/>
      <c r="AD37" s="62"/>
      <c r="AE37" s="42"/>
      <c r="AF37" s="42"/>
      <c r="AG37" s="116"/>
      <c r="AH37" s="42"/>
      <c r="AI37" s="35" t="n">
        <f aca="false">COUNTIF($C37:$AG37,AI$4)</f>
        <v>0</v>
      </c>
      <c r="AJ37" s="36" t="n">
        <f aca="false">COUNTIF($C37:$AG37,AJ$4)</f>
        <v>0</v>
      </c>
      <c r="AK37" s="35" t="n">
        <f aca="false">COUNTIF($C37:$AG37,AK$4)</f>
        <v>0</v>
      </c>
      <c r="AL37" s="66" t="n">
        <f aca="false">COUNTIF($C37:$AG37,AL$4)</f>
        <v>0</v>
      </c>
      <c r="AM37" s="66" t="n">
        <f aca="false">COUNTIF($C37:$AG37,AM$4)</f>
        <v>0</v>
      </c>
      <c r="AN37" s="66" t="n">
        <f aca="false">COUNTIF($C37:$AG37,AN$4)</f>
        <v>0</v>
      </c>
      <c r="AO37" s="66" t="n">
        <f aca="false">COUNTIF($C37:$AG37,AO$4)</f>
        <v>0</v>
      </c>
      <c r="AP37" s="67"/>
      <c r="AQ37" s="37"/>
      <c r="AR37" s="67"/>
      <c r="AS37" s="38"/>
      <c r="AT37" s="67"/>
      <c r="AU37" s="67"/>
      <c r="AV37" s="38"/>
      <c r="AW37" s="38"/>
      <c r="AX37" s="38"/>
      <c r="AY37" s="37"/>
      <c r="AZ37" s="37"/>
      <c r="BA37" s="37"/>
      <c r="BB37" s="37"/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66"/>
      <c r="BO37" s="66"/>
      <c r="BP37" s="66"/>
      <c r="BQ37" s="68"/>
    </row>
    <row r="38" customFormat="false" ht="19.5" hidden="false" customHeight="true" outlineLevel="0" collapsed="false">
      <c r="A38" s="30"/>
      <c r="B38" s="69"/>
      <c r="C38" s="70"/>
      <c r="D38" s="71"/>
      <c r="E38" s="71"/>
      <c r="F38" s="71"/>
      <c r="G38" s="71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/>
      <c r="AC38" s="70"/>
      <c r="AD38" s="70"/>
      <c r="AE38" s="70"/>
      <c r="AF38" s="70"/>
      <c r="AG38" s="70"/>
      <c r="AH38" s="110"/>
      <c r="AI38" s="72"/>
      <c r="AJ38" s="73"/>
      <c r="AK38" s="72"/>
      <c r="AL38" s="74"/>
      <c r="AM38" s="74"/>
      <c r="AN38" s="74"/>
      <c r="AO38" s="74"/>
      <c r="AP38" s="75"/>
      <c r="AQ38" s="75"/>
      <c r="AR38" s="75"/>
      <c r="AS38" s="75" t="n">
        <f aca="false">SUMPRODUCT(--WEEKDAY(C$3:AG$3,2)&gt;5,--((C38:AG38="DM"))+(C38:AG38="CS1")+((C38:AG38="CS2"))+(C38:AG38="SB1")+(C38:AG38="AE")+(C38:AG38="EM"))</f>
        <v>0</v>
      </c>
      <c r="AT38" s="75"/>
      <c r="AU38" s="75" t="n">
        <f aca="false">(AQ38-AR38)/2+(AS38-AT38)</f>
        <v>0</v>
      </c>
      <c r="AV38" s="75"/>
      <c r="AW38" s="75"/>
      <c r="AX38" s="75"/>
      <c r="AY38" s="74"/>
      <c r="AZ38" s="74"/>
      <c r="BA38" s="74"/>
      <c r="BB38" s="74"/>
      <c r="BC38" s="74"/>
      <c r="BD38" s="74"/>
      <c r="BE38" s="74"/>
      <c r="BF38" s="74"/>
      <c r="BG38" s="74"/>
      <c r="BH38" s="74"/>
      <c r="BI38" s="74"/>
      <c r="BJ38" s="74"/>
      <c r="BK38" s="74"/>
      <c r="BL38" s="74"/>
      <c r="BM38" s="74"/>
      <c r="BN38" s="74"/>
      <c r="BO38" s="74"/>
      <c r="BP38" s="74"/>
      <c r="BQ38" s="76"/>
    </row>
    <row r="39" customFormat="false" ht="19.5" hidden="false" customHeight="true" outlineLevel="0" collapsed="false">
      <c r="A39" s="30"/>
      <c r="B39" s="77" t="s">
        <v>57</v>
      </c>
      <c r="C39" s="78" t="str">
        <f aca="false">VLOOKUP("DM",C4:C37,1,FALSE())</f>
        <v>DM</v>
      </c>
      <c r="D39" s="78" t="str">
        <f aca="false">VLOOKUP("DM",D4:D37,1,FALSE())</f>
        <v>DM</v>
      </c>
      <c r="E39" s="78" t="str">
        <f aca="false">VLOOKUP("DM",E1:E37,1,FALSE())</f>
        <v>DM</v>
      </c>
      <c r="F39" s="78" t="str">
        <f aca="false">VLOOKUP("DM",F4:F37,1,FALSE())</f>
        <v>DM</v>
      </c>
      <c r="G39" s="78" t="str">
        <f aca="false">VLOOKUP("DM",G4:G37,1,FALSE())</f>
        <v>DM</v>
      </c>
      <c r="H39" s="78" t="str">
        <f aca="false">VLOOKUP("DM",H4:H37,1,FALSE())</f>
        <v>DM</v>
      </c>
      <c r="I39" s="78" t="str">
        <f aca="false">VLOOKUP("DM",I4:I37,1,FALSE())</f>
        <v>DM</v>
      </c>
      <c r="J39" s="78" t="str">
        <f aca="false">VLOOKUP("DM",J4:J37,1,FALSE())</f>
        <v>DM</v>
      </c>
      <c r="K39" s="78" t="str">
        <f aca="false">VLOOKUP("DM",K4:K37,1,FALSE())</f>
        <v>DM</v>
      </c>
      <c r="L39" s="78" t="str">
        <f aca="false">VLOOKUP("DM",L4:L37,1,FALSE())</f>
        <v>DM</v>
      </c>
      <c r="M39" s="78" t="str">
        <f aca="false">VLOOKUP("DM",M4:M23,1,FALSE())</f>
        <v>DM</v>
      </c>
      <c r="N39" s="78" t="str">
        <f aca="false">VLOOKUP("DM",N4:N37,1,FALSE())</f>
        <v>DM</v>
      </c>
      <c r="O39" s="78" t="str">
        <f aca="false">VLOOKUP("DM",O4:O37,1,FALSE())</f>
        <v>DM</v>
      </c>
      <c r="P39" s="78" t="str">
        <f aca="false">VLOOKUP("DM",P4:P37,1,FALSE())</f>
        <v>DM</v>
      </c>
      <c r="Q39" s="78" t="str">
        <f aca="false">VLOOKUP("DM",Q4:Q26,1,FALSE())</f>
        <v>DM</v>
      </c>
      <c r="R39" s="78" t="str">
        <f aca="false">VLOOKUP("DM",R4:R21,1,FALSE())</f>
        <v>DM</v>
      </c>
      <c r="S39" s="78" t="str">
        <f aca="false">VLOOKUP("DM",S4:S37,1,FALSE())</f>
        <v>DM</v>
      </c>
      <c r="T39" s="78" t="str">
        <f aca="false">VLOOKUP("DM",T4:T37,1,FALSE())</f>
        <v>DM</v>
      </c>
      <c r="U39" s="78" t="str">
        <f aca="false">VLOOKUP("DM",U4:U37,1,FALSE())</f>
        <v>DM</v>
      </c>
      <c r="V39" s="137" t="str">
        <f aca="false">VLOOKUP("DM",V4:V21,1,FALSE())</f>
        <v>DM</v>
      </c>
      <c r="W39" s="78" t="str">
        <f aca="false">VLOOKUP("DM",W4:W21,1,FALSE())</f>
        <v>DM</v>
      </c>
      <c r="X39" s="78" t="str">
        <f aca="false">VLOOKUP("DM",X4:X37,1,FALSE())</f>
        <v>DM</v>
      </c>
      <c r="Y39" s="78" t="str">
        <f aca="false">VLOOKUP("DM",Y4:Y37,1,FALSE())</f>
        <v>DM</v>
      </c>
      <c r="Z39" s="78" t="str">
        <f aca="false">VLOOKUP("DM",Z4:Z37,1,FALSE())</f>
        <v>DM</v>
      </c>
      <c r="AA39" s="78" t="str">
        <f aca="false">VLOOKUP("DM",AA1:AA37,1,FALSE())</f>
        <v>DM</v>
      </c>
      <c r="AB39" s="78" t="str">
        <f aca="false">VLOOKUP("DM",AB4:AB37,1,FALSE())</f>
        <v>DM</v>
      </c>
      <c r="AC39" s="78" t="str">
        <f aca="false">VLOOKUP("DM",AC4:AC37,1,FALSE())</f>
        <v>DM</v>
      </c>
      <c r="AD39" s="78" t="str">
        <f aca="false">VLOOKUP("DM",AD4:AD37,1,FALSE())</f>
        <v>DM</v>
      </c>
      <c r="AE39" s="78" t="str">
        <f aca="false">VLOOKUP("DM",AE4:AE37,1,FALSE())</f>
        <v>DM</v>
      </c>
      <c r="AF39" s="78" t="str">
        <f aca="false">VLOOKUP("DM",AF4:AF37,1,FALSE())</f>
        <v>DM</v>
      </c>
      <c r="AG39" s="78" t="e">
        <f aca="false">VLOOKUP("DM",AG4:AG37,1,FALSE())</f>
        <v>#N/A</v>
      </c>
      <c r="AH39" s="78" t="e">
        <f aca="false">VLOOKUP("DM",AH4:AH37,1,FALSE())</f>
        <v>#N/A</v>
      </c>
      <c r="AI39" s="35"/>
      <c r="AJ39" s="36"/>
      <c r="AK39" s="35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9"/>
    </row>
    <row r="40" customFormat="false" ht="19.5" hidden="false" customHeight="true" outlineLevel="0" collapsed="false">
      <c r="A40" s="30" t="e">
        <f aca="false">lte()</f>
        <v>#NAME?</v>
      </c>
      <c r="B40" s="79" t="s">
        <v>56</v>
      </c>
      <c r="C40" s="78" t="str">
        <f aca="false">VLOOKUP("CS1",C5:C37,1,FALSE())</f>
        <v>CS1</v>
      </c>
      <c r="D40" s="78" t="str">
        <f aca="false">VLOOKUP("CS1",D1:D37,1,FALSE())</f>
        <v>CS1</v>
      </c>
      <c r="E40" s="78" t="str">
        <f aca="false">VLOOKUP("CS1",E1:E37,1,FALSE())</f>
        <v>CS1</v>
      </c>
      <c r="F40" s="78" t="str">
        <f aca="false">VLOOKUP("CS1",F8:F37,1,FALSE())</f>
        <v>CS1</v>
      </c>
      <c r="G40" s="78" t="str">
        <f aca="false">VLOOKUP("CS1",G1:G37,1,FALSE())</f>
        <v>CS1</v>
      </c>
      <c r="H40" s="78" t="str">
        <f aca="false">VLOOKUP("CS1",H6:H37,1,FALSE())</f>
        <v>CS1</v>
      </c>
      <c r="I40" s="78" t="str">
        <f aca="false">VLOOKUP("CS1",I7:I37,1,FALSE())</f>
        <v>CS1</v>
      </c>
      <c r="J40" s="78" t="str">
        <f aca="false">VLOOKUP("CS1",J4:J37,1,FALSE())</f>
        <v>CS1</v>
      </c>
      <c r="K40" s="78" t="str">
        <f aca="false">VLOOKUP("CS1",K1:K37,1,FALSE())</f>
        <v>CS1</v>
      </c>
      <c r="L40" s="78" t="str">
        <f aca="false">VLOOKUP("CS1",L1:L37,1,FALSE())</f>
        <v>CS1</v>
      </c>
      <c r="M40" s="78" t="str">
        <f aca="false">VLOOKUP("CS1",M7:M23,1,FALSE())</f>
        <v>CS1</v>
      </c>
      <c r="N40" s="78" t="str">
        <f aca="false">VLOOKUP("CS1",N6:N37,1,FALSE())</f>
        <v>CS1</v>
      </c>
      <c r="O40" s="78" t="str">
        <f aca="false">VLOOKUP("CS1",O1:O37,1,FALSE())</f>
        <v>CS1</v>
      </c>
      <c r="P40" s="78" t="str">
        <f aca="false">VLOOKUP("CS1",P5:P37,1,FALSE())</f>
        <v>CS1</v>
      </c>
      <c r="Q40" s="78" t="str">
        <f aca="false">VLOOKUP("CS1",Q6:Q26,1,FALSE())</f>
        <v>CS1</v>
      </c>
      <c r="R40" s="78" t="str">
        <f aca="false">VLOOKUP("CS1",R6:R21,1,FALSE())</f>
        <v>CS1</v>
      </c>
      <c r="S40" s="78" t="str">
        <f aca="false">VLOOKUP("CS1",S1:S37,1,FALSE())</f>
        <v>CS1</v>
      </c>
      <c r="T40" s="78" t="str">
        <f aca="false">VLOOKUP("CS1",T1:T37,1,FALSE())</f>
        <v>CS1</v>
      </c>
      <c r="U40" s="78" t="str">
        <f aca="false">VLOOKUP("CS1",U6:U37,1,FALSE())</f>
        <v>CS1</v>
      </c>
      <c r="V40" s="137" t="str">
        <f aca="false">VLOOKUP("CS1",V1:V35,1,FALSE())</f>
        <v>CS1</v>
      </c>
      <c r="W40" s="78" t="str">
        <f aca="false">VLOOKUP("CS1",W1:W21,1,FALSE())</f>
        <v>CS1</v>
      </c>
      <c r="X40" s="78" t="str">
        <f aca="false">VLOOKUP("CS1",X1:X37,1,FALSE())</f>
        <v>CS1</v>
      </c>
      <c r="Y40" s="78" t="str">
        <f aca="false">VLOOKUP("CS1",Y8:Y37,1,FALSE())</f>
        <v>CS1</v>
      </c>
      <c r="Z40" s="78" t="str">
        <f aca="false">VLOOKUP("CS1",Z1:Z37,1,FALSE())</f>
        <v>CS1</v>
      </c>
      <c r="AA40" s="78" t="str">
        <f aca="false">VLOOKUP("CS1",AA1:AA37,1,FALSE())</f>
        <v>CS1</v>
      </c>
      <c r="AB40" s="78" t="str">
        <f aca="false">VLOOKUP("CS1",AB5:AB37,1,FALSE())</f>
        <v>CS1</v>
      </c>
      <c r="AC40" s="78" t="str">
        <f aca="false">VLOOKUP("CS1",AC1:AC37,1,FALSE())</f>
        <v>CS1</v>
      </c>
      <c r="AD40" s="78" t="str">
        <f aca="false">VLOOKUP("CS1",AD1:AD37,1,FALSE())</f>
        <v>CS1</v>
      </c>
      <c r="AE40" s="78" t="str">
        <f aca="false">VLOOKUP("CS1",AE1:AE37,1,FALSE())</f>
        <v>CS1</v>
      </c>
      <c r="AF40" s="78" t="str">
        <f aca="false">VLOOKUP("CS1",AF7:AF37,1,FALSE())</f>
        <v>CS1</v>
      </c>
      <c r="AG40" s="78" t="e">
        <f aca="false">VLOOKUP("CS1",AG1:AG37,1,FALSE())</f>
        <v>#N/A</v>
      </c>
      <c r="AH40" s="78" t="e">
        <f aca="false">VLOOKUP("CS1",AH1:AH37,1,FALSE())</f>
        <v>#N/A</v>
      </c>
      <c r="AI40" s="35"/>
      <c r="AJ40" s="36"/>
      <c r="AK40" s="35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  <c r="BA40" s="37"/>
      <c r="BB40" s="37"/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  <c r="BN40" s="37"/>
      <c r="BO40" s="37"/>
      <c r="BP40" s="37"/>
      <c r="BQ40" s="39"/>
    </row>
    <row r="41" customFormat="false" ht="19.5" hidden="false" customHeight="true" outlineLevel="0" collapsed="false">
      <c r="A41" s="30"/>
      <c r="B41" s="80" t="s">
        <v>59</v>
      </c>
      <c r="C41" s="78" t="str">
        <f aca="false">VLOOKUP("CS2",C6:C37,1,FALSE())</f>
        <v>CS2</v>
      </c>
      <c r="D41" s="78" t="str">
        <f aca="false">VLOOKUP("CS2",D9:D37,1,FALSE())</f>
        <v>CS2</v>
      </c>
      <c r="E41" s="78" t="e">
        <f aca="false">VLOOKUP("CS2",E8:E37,1,FALSE())</f>
        <v>#N/A</v>
      </c>
      <c r="F41" s="78" t="str">
        <f aca="false">VLOOKUP("CS2",F8:F37,1,FALSE())</f>
        <v>CS2</v>
      </c>
      <c r="G41" s="78" t="str">
        <f aca="false">VLOOKUP("CS2",G1:G37,1,FALSE())</f>
        <v>CS2</v>
      </c>
      <c r="H41" s="78" t="str">
        <f aca="false">VLOOKUP("CS2",H1:H37,1,FALSE())</f>
        <v>CS2</v>
      </c>
      <c r="I41" s="78" t="str">
        <f aca="false">VLOOKUP("CS2",I7:I37,1,FALSE())</f>
        <v>CS2</v>
      </c>
      <c r="J41" s="78" t="str">
        <f aca="false">VLOOKUP("CS2",J4:J37,1,FALSE())</f>
        <v>CS2</v>
      </c>
      <c r="K41" s="78" t="str">
        <f aca="false">VLOOKUP("CS2",K5:K37,1,FALSE())</f>
        <v>CS2</v>
      </c>
      <c r="L41" s="78" t="str">
        <f aca="false">VLOOKUP("CS2",L4:L37,1,FALSE())</f>
        <v>CS2</v>
      </c>
      <c r="M41" s="78" t="str">
        <f aca="false">VLOOKUP("CS2",M1:M23,1,FALSE())</f>
        <v>CS2</v>
      </c>
      <c r="N41" s="78" t="str">
        <f aca="false">VLOOKUP("CS2",N1:N37,1,FALSE())</f>
        <v>CS2</v>
      </c>
      <c r="O41" s="78" t="str">
        <f aca="false">VLOOKUP("CS2",O1:O37,1,FALSE())</f>
        <v>CS2</v>
      </c>
      <c r="P41" s="78" t="str">
        <f aca="false">VLOOKUP("CS2",P1:P37,1,FALSE())</f>
        <v>CS2</v>
      </c>
      <c r="Q41" s="78" t="str">
        <f aca="false">VLOOKUP("CS2",Q6:Q26,1,FALSE())</f>
        <v>CS2</v>
      </c>
      <c r="R41" s="78" t="str">
        <f aca="false">VLOOKUP("CS2",R6:R21,1,FALSE())</f>
        <v>CS2</v>
      </c>
      <c r="S41" s="78" t="str">
        <f aca="false">VLOOKUP("CS2",S1:S37,1,FALSE())</f>
        <v>CS2</v>
      </c>
      <c r="T41" s="78" t="str">
        <f aca="false">VLOOKUP("CS2",T1:T37,1,FALSE())</f>
        <v>CS2</v>
      </c>
      <c r="U41" s="78" t="str">
        <f aca="false">VLOOKUP("CS2",U1:U37,1,FALSE())</f>
        <v>CS2</v>
      </c>
      <c r="V41" s="137" t="str">
        <f aca="false">VLOOKUP("CS2",V1:V35,1,FALSE())</f>
        <v>CS2</v>
      </c>
      <c r="W41" s="78" t="str">
        <f aca="false">VLOOKUP("CS2",W1:W35,1,FALSE())</f>
        <v>CS2</v>
      </c>
      <c r="X41" s="78" t="str">
        <f aca="false">VLOOKUP("CS2",X8:X37,1,FALSE())</f>
        <v>CS2</v>
      </c>
      <c r="Y41" s="78" t="str">
        <f aca="false">VLOOKUP("CS2",Y1:Y37,1,FALSE())</f>
        <v>CS2</v>
      </c>
      <c r="Z41" s="78" t="str">
        <f aca="false">VLOOKUP("CS2",Z1:Z37,1,FALSE())</f>
        <v>CS2</v>
      </c>
      <c r="AA41" s="78" t="str">
        <f aca="false">VLOOKUP("CS2",AA1:AA37,1,FALSE())</f>
        <v>CS2</v>
      </c>
      <c r="AB41" s="78" t="str">
        <f aca="false">VLOOKUP("CS2",AB1:AB37,1,FALSE())</f>
        <v>CS2</v>
      </c>
      <c r="AC41" s="78" t="str">
        <f aca="false">VLOOKUP("CS2",AC8:AC37,1,FALSE())</f>
        <v>CS2</v>
      </c>
      <c r="AD41" s="78" t="str">
        <f aca="false">VLOOKUP("CS2",AD1:AD37,1,FALSE())</f>
        <v>CS2</v>
      </c>
      <c r="AE41" s="78" t="str">
        <f aca="false">VLOOKUP("CS2",AE1:AE37,1,FALSE())</f>
        <v>CS2</v>
      </c>
      <c r="AF41" s="78" t="str">
        <f aca="false">VLOOKUP("CS2",AF1:AF37,1,FALSE())</f>
        <v>CS2</v>
      </c>
      <c r="AG41" s="78" t="e">
        <f aca="false">VLOOKUP("CS2",AG7:AG37,1,FALSE())</f>
        <v>#N/A</v>
      </c>
      <c r="AH41" s="78" t="e">
        <f aca="false">VLOOKUP("CS2",AH7:AH37,1,FALSE())</f>
        <v>#N/A</v>
      </c>
      <c r="AI41" s="35"/>
      <c r="AJ41" s="36"/>
      <c r="AK41" s="35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  <c r="BA41" s="37"/>
      <c r="BB41" s="37"/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  <c r="BN41" s="37"/>
      <c r="BO41" s="37"/>
      <c r="BP41" s="37"/>
      <c r="BQ41" s="39"/>
    </row>
    <row r="42" customFormat="false" ht="19.5" hidden="false" customHeight="true" outlineLevel="0" collapsed="false">
      <c r="A42" s="30"/>
      <c r="B42" s="81" t="s">
        <v>58</v>
      </c>
      <c r="C42" s="78" t="str">
        <f aca="false">VLOOKUP("SB1",C6:C37,1,FALSE())</f>
        <v>SB1</v>
      </c>
      <c r="D42" s="78" t="str">
        <f aca="false">VLOOKUP("SB1",D3:D37,1,FALSE())</f>
        <v>SB1</v>
      </c>
      <c r="E42" s="78" t="str">
        <f aca="false">VLOOKUP("SB1",E1:E37,1,FALSE())</f>
        <v>SB1</v>
      </c>
      <c r="F42" s="78" t="str">
        <f aca="false">VLOOKUP("SB1",F8:F37,1,FALSE())</f>
        <v>SB1</v>
      </c>
      <c r="G42" s="78" t="str">
        <f aca="false">VLOOKUP("SB1",G6:G37,1,FALSE())</f>
        <v>SB1</v>
      </c>
      <c r="H42" s="78" t="e">
        <f aca="false">VLOOKUP("SB1",H6:H37,1,FALSE())</f>
        <v>#N/A</v>
      </c>
      <c r="I42" s="78" t="e">
        <f aca="false">VLOOKUP("SB1",I1:I37,1,FALSE())</f>
        <v>#N/A</v>
      </c>
      <c r="J42" s="78" t="e">
        <f aca="false">VLOOKUP("SB1",J4:J37,1,FALSE())</f>
        <v>#N/A</v>
      </c>
      <c r="K42" s="78" t="e">
        <f aca="false">VLOOKUP("SB1",K6:K37,1,FALSE())</f>
        <v>#N/A</v>
      </c>
      <c r="L42" s="78" t="e">
        <f aca="false">VLOOKUP("SB1",L1:L37,1,FALSE())</f>
        <v>#N/A</v>
      </c>
      <c r="M42" s="78" t="e">
        <f aca="false">VLOOKUP("SB1",M1:M23,1,FALSE())</f>
        <v>#N/A</v>
      </c>
      <c r="N42" s="78" t="e">
        <f aca="false">VLOOKUP("SB1",N6:N37,1,FALSE())</f>
        <v>#N/A</v>
      </c>
      <c r="O42" s="78" t="e">
        <f aca="false">VLOOKUP("SB1",O1:O37,1,FALSE())</f>
        <v>#N/A</v>
      </c>
      <c r="P42" s="78" t="e">
        <f aca="false">VLOOKUP("SB1",P1:P37,1,FALSE())</f>
        <v>#N/A</v>
      </c>
      <c r="Q42" s="78" t="e">
        <f aca="false">VLOOKUP("SB1",Q1:Q26,1,FALSE())</f>
        <v>#N/A</v>
      </c>
      <c r="R42" s="78" t="e">
        <f aca="false">VLOOKUP("SB1",R6:R30,1,FALSE())</f>
        <v>#N/A</v>
      </c>
      <c r="S42" s="78" t="e">
        <f aca="false">VLOOKUP("SB1",S1:S37,1,FALSE())</f>
        <v>#N/A</v>
      </c>
      <c r="T42" s="78" t="e">
        <f aca="false">VLOOKUP("SB1",T8:T37,1,FALSE())</f>
        <v>#N/A</v>
      </c>
      <c r="U42" s="78" t="e">
        <f aca="false">VLOOKUP("SB1",U1:U37,1,FALSE())</f>
        <v>#N/A</v>
      </c>
      <c r="V42" s="137" t="e">
        <f aca="false">VLOOKUP("SB1",V10:V31,1,FALSE())</f>
        <v>#N/A</v>
      </c>
      <c r="W42" s="78" t="e">
        <f aca="false">VLOOKUP("SB1",W5:W21,1,FALSE())</f>
        <v>#N/A</v>
      </c>
      <c r="X42" s="78" t="e">
        <f aca="false">VLOOKUP("SB1",X6:X37,1,FALSE())</f>
        <v>#N/A</v>
      </c>
      <c r="Y42" s="78" t="e">
        <f aca="false">VLOOKUP("SB1",Y1:Y37,1,FALSE())</f>
        <v>#N/A</v>
      </c>
      <c r="Z42" s="78" t="e">
        <f aca="false">VLOOKUP("SB1",Z7:Z37,1,FALSE())</f>
        <v>#N/A</v>
      </c>
      <c r="AA42" s="78" t="e">
        <f aca="false">VLOOKUP("SB1",AA1:AA37,1,FALSE())</f>
        <v>#N/A</v>
      </c>
      <c r="AB42" s="78" t="e">
        <f aca="false">VLOOKUP("SB1",AB1:AB37,1,FALSE())</f>
        <v>#N/A</v>
      </c>
      <c r="AC42" s="78" t="e">
        <f aca="false">VLOOKUP("SB1",AC1:AC37,1,FALSE())</f>
        <v>#N/A</v>
      </c>
      <c r="AD42" s="78" t="e">
        <f aca="false">VLOOKUP("SB1",AD8:AD37,1,FALSE())</f>
        <v>#N/A</v>
      </c>
      <c r="AE42" s="78" t="e">
        <f aca="false">VLOOKUP("SB1",AE8:AE37,1,FALSE())</f>
        <v>#N/A</v>
      </c>
      <c r="AF42" s="78" t="e">
        <f aca="false">VLOOKUP("SB1",AF7:AF37,1,FALSE())</f>
        <v>#N/A</v>
      </c>
      <c r="AG42" s="78" t="e">
        <f aca="false">VLOOKUP("SB1",AG7:AG37,1,FALSE())</f>
        <v>#N/A</v>
      </c>
      <c r="AH42" s="78" t="e">
        <f aca="false">VLOOKUP("SB1",AH7:AH37,1,FALSE())</f>
        <v>#N/A</v>
      </c>
      <c r="AI42" s="35"/>
      <c r="AJ42" s="36"/>
      <c r="AK42" s="35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  <c r="BA42" s="37"/>
      <c r="BB42" s="37"/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  <c r="BN42" s="37"/>
      <c r="BO42" s="37"/>
      <c r="BP42" s="37"/>
      <c r="BQ42" s="39"/>
    </row>
    <row r="43" customFormat="false" ht="19.5" hidden="false" customHeight="true" outlineLevel="0" collapsed="false">
      <c r="A43" s="30"/>
      <c r="B43" s="82" t="s">
        <v>93</v>
      </c>
      <c r="C43" s="78" t="e">
        <f aca="false">VLOOKUP("SB2",C6:C37,1,FALSE())</f>
        <v>#N/A</v>
      </c>
      <c r="D43" s="78" t="str">
        <f aca="false">VLOOKUP("SB2",D9:D37,1,FALSE())</f>
        <v>SB2</v>
      </c>
      <c r="E43" s="78" t="str">
        <f aca="false">VLOOKUP("SB2",E8:E37,1,FALSE())</f>
        <v>SB2</v>
      </c>
      <c r="F43" s="78" t="str">
        <f aca="false">VLOOKUP("SB2",F1:F37,1,FALSE())</f>
        <v>SB2</v>
      </c>
      <c r="G43" s="78" t="str">
        <f aca="false">VLOOKUP("SB2",G8:G37,1,FALSE())</f>
        <v>SB2</v>
      </c>
      <c r="H43" s="78" t="str">
        <f aca="false">VLOOKUP("SB2",H6:H37,1,FALSE())</f>
        <v>SB2</v>
      </c>
      <c r="I43" s="78" t="e">
        <f aca="false">VLOOKUP("SB2",I7:I37,1,FALSE())</f>
        <v>#N/A</v>
      </c>
      <c r="J43" s="78" t="e">
        <f aca="false">VLOOKUP("SB2",J4:J37,1,FALSE())</f>
        <v>#N/A</v>
      </c>
      <c r="K43" s="78" t="str">
        <f aca="false">VLOOKUP("SB2",K6:K37,1,FALSE())</f>
        <v>SB2</v>
      </c>
      <c r="L43" s="78" t="e">
        <f aca="false">VLOOKUP("SB2",L11:L37,1,FALSE())</f>
        <v>#N/A</v>
      </c>
      <c r="M43" s="78" t="str">
        <f aca="false">VLOOKUP("SB2",M8:M41,1,FALSE())</f>
        <v>SB2</v>
      </c>
      <c r="N43" s="78" t="str">
        <f aca="false">VLOOKUP("SB2",N6:N37,1,FALSE())</f>
        <v>SB2</v>
      </c>
      <c r="O43" s="78" t="str">
        <f aca="false">VLOOKUP("SB2",O8:O37,1,FALSE())</f>
        <v>SB2</v>
      </c>
      <c r="P43" s="78" t="e">
        <f aca="false">VLOOKUP("SB2",P8:P37,1,FALSE())</f>
        <v>#N/A</v>
      </c>
      <c r="Q43" s="78" t="e">
        <f aca="false">VLOOKUP("SB2",Q11:Q36,1,FALSE())</f>
        <v>#N/A</v>
      </c>
      <c r="R43" s="78" t="str">
        <f aca="false">VLOOKUP("SB2",R6:R36,1,FALSE())</f>
        <v>SB2</v>
      </c>
      <c r="S43" s="78" t="str">
        <f aca="false">VLOOKUP("SB2",S9:S37,1,FALSE())</f>
        <v>SB2</v>
      </c>
      <c r="T43" s="78" t="str">
        <f aca="false">VLOOKUP("SB2",T8:T37,1,FALSE())</f>
        <v>SB2</v>
      </c>
      <c r="U43" s="78" t="str">
        <f aca="false">VLOOKUP("SB2",U10:U37,1,FALSE())</f>
        <v>SB2</v>
      </c>
      <c r="V43" s="137" t="str">
        <f aca="false">VLOOKUP("SB2",V5:V37,1,FALSE())</f>
        <v>SB2</v>
      </c>
      <c r="W43" s="78" t="e">
        <f aca="false">VLOOKUP("SB2",W12:W36,1,FALSE())</f>
        <v>#N/A</v>
      </c>
      <c r="X43" s="78" t="e">
        <f aca="false">VLOOKUP("SB2",X8:X37,1,FALSE())</f>
        <v>#N/A</v>
      </c>
      <c r="Y43" s="78" t="str">
        <f aca="false">VLOOKUP("SB2",Y8:Y37,1,FALSE())</f>
        <v>SB2</v>
      </c>
      <c r="Z43" s="78" t="str">
        <f aca="false">VLOOKUP("SB2",Z7:Z37,1,FALSE())</f>
        <v>SB2</v>
      </c>
      <c r="AA43" s="78" t="str">
        <f aca="false">VLOOKUP("SB2",AA11:AA37,1,FALSE())</f>
        <v>SB2</v>
      </c>
      <c r="AB43" s="78" t="str">
        <f aca="false">VLOOKUP("SB2",AB9:AB37,1,FALSE())</f>
        <v>SB2</v>
      </c>
      <c r="AC43" s="78" t="str">
        <f aca="false">VLOOKUP("SB2",AC11:AC37,1,FALSE())</f>
        <v>SB2</v>
      </c>
      <c r="AD43" s="78" t="e">
        <f aca="false">VLOOKUP("SB2",AD8:AD37,1,FALSE())</f>
        <v>#N/A</v>
      </c>
      <c r="AE43" s="78" t="e">
        <f aca="false">VLOOKUP("SB2",AE8:AE37,1,FALSE())</f>
        <v>#N/A</v>
      </c>
      <c r="AF43" s="78" t="str">
        <f aca="false">VLOOKUP("SB2",AF7:AF37,1,FALSE())</f>
        <v>SB2</v>
      </c>
      <c r="AG43" s="78" t="e">
        <f aca="false">VLOOKUP("SB2",AG7:AG37,1,FALSE())</f>
        <v>#N/A</v>
      </c>
      <c r="AH43" s="78" t="e">
        <f aca="false">VLOOKUP("SB2",AH7:AH37,1,FALSE())</f>
        <v>#N/A</v>
      </c>
      <c r="AI43" s="35"/>
      <c r="AJ43" s="36"/>
      <c r="AK43" s="35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  <c r="BA43" s="37"/>
      <c r="BB43" s="37"/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  <c r="BN43" s="37"/>
      <c r="BO43" s="37"/>
      <c r="BP43" s="37"/>
      <c r="BQ43" s="39"/>
    </row>
    <row r="44" customFormat="false" ht="19.5" hidden="false" customHeight="true" outlineLevel="0" collapsed="false">
      <c r="A44" s="30"/>
      <c r="B44" s="83" t="s">
        <v>65</v>
      </c>
      <c r="C44" s="78" t="str">
        <f aca="false">VLOOKUP("AE",C6:C37,1,FALSE())</f>
        <v>AE</v>
      </c>
      <c r="D44" s="78" t="str">
        <f aca="false">VLOOKUP("AE",D9:D37,1,FALSE())</f>
        <v>AE</v>
      </c>
      <c r="E44" s="78" t="str">
        <f aca="false">VLOOKUP("AE",E8:E37,1,FALSE())</f>
        <v>AE</v>
      </c>
      <c r="F44" s="78" t="str">
        <f aca="false">VLOOKUP("AE",F1:F37,1,FALSE())</f>
        <v>AE</v>
      </c>
      <c r="G44" s="78" t="str">
        <f aca="false">VLOOKUP("AE",G1:G37,1,FALSE())</f>
        <v>AE</v>
      </c>
      <c r="H44" s="78" t="str">
        <f aca="false">VLOOKUP("AE",H8:H37,1,FALSE())</f>
        <v>AE</v>
      </c>
      <c r="I44" s="78" t="str">
        <f aca="false">VLOOKUP("AE",I7:I37,1,FALSE())</f>
        <v>AE</v>
      </c>
      <c r="J44" s="78" t="str">
        <f aca="false">VLOOKUP("AE",J4:J37,1,FALSE())</f>
        <v>AE</v>
      </c>
      <c r="K44" s="78" t="str">
        <f aca="false">VLOOKUP("AE",K6:K37,1,FALSE())</f>
        <v>AE</v>
      </c>
      <c r="L44" s="78" t="str">
        <f aca="false">VLOOKUP("AE",L11:L37,1,FALSE())</f>
        <v>AE</v>
      </c>
      <c r="M44" s="78" t="str">
        <f aca="false">VLOOKUP("AE",M8:M41,1,FALSE())</f>
        <v>AE</v>
      </c>
      <c r="N44" s="78" t="str">
        <f aca="false">VLOOKUP("AE",N6:N37,1,FALSE())</f>
        <v>AE</v>
      </c>
      <c r="O44" s="78" t="str">
        <f aca="false">VLOOKUP("AE",O8:O37,1,FALSE())</f>
        <v>AE</v>
      </c>
      <c r="P44" s="78" t="str">
        <f aca="false">VLOOKUP("AE",P8:P37,1,FALSE())</f>
        <v>AE</v>
      </c>
      <c r="Q44" s="78" t="str">
        <f aca="false">VLOOKUP("AE",Q11:Q44,1,FALSE())</f>
        <v>AE</v>
      </c>
      <c r="R44" s="78" t="str">
        <f aca="false">VLOOKUP("AE",R6:R35,1,FALSE())</f>
        <v>AE</v>
      </c>
      <c r="S44" s="78" t="str">
        <f aca="false">VLOOKUP("AE",S9:S37,1,FALSE())</f>
        <v>AE</v>
      </c>
      <c r="T44" s="78" t="str">
        <f aca="false">VLOOKUP("AE",T8:T37,1,FALSE())</f>
        <v>AE</v>
      </c>
      <c r="U44" s="78" t="str">
        <f aca="false">VLOOKUP("AE",U10:U37,1,FALSE())</f>
        <v>AE</v>
      </c>
      <c r="V44" s="137" t="str">
        <f aca="false">VLOOKUP("AE",V10:V39,1,FALSE())</f>
        <v>AE</v>
      </c>
      <c r="W44" s="78" t="str">
        <f aca="false">VLOOKUP("AE",W12:W37,1,FALSE())</f>
        <v>AE</v>
      </c>
      <c r="X44" s="78" t="str">
        <f aca="false">VLOOKUP("AE",X8:X37,1,FALSE())</f>
        <v>AE</v>
      </c>
      <c r="Y44" s="78" t="str">
        <f aca="false">VLOOKUP("AE",Y8:Y37,1,FALSE())</f>
        <v>AE</v>
      </c>
      <c r="Z44" s="78" t="str">
        <f aca="false">VLOOKUP("AE",Z7:Z37,1,FALSE())</f>
        <v>AE</v>
      </c>
      <c r="AA44" s="78" t="str">
        <f aca="false">VLOOKUP("AE",AA11:AA37,1,FALSE())</f>
        <v>AE</v>
      </c>
      <c r="AB44" s="78" t="str">
        <f aca="false">VLOOKUP("AE",AB9:AB37,1,FALSE())</f>
        <v>AE</v>
      </c>
      <c r="AC44" s="78" t="str">
        <f aca="false">VLOOKUP("AE",AC11:AC37,1,FALSE())</f>
        <v>AE</v>
      </c>
      <c r="AD44" s="78" t="str">
        <f aca="false">VLOOKUP("AE",AD8:AD37,1,FALSE())</f>
        <v>AE</v>
      </c>
      <c r="AE44" s="78" t="str">
        <f aca="false">VLOOKUP("AE",AE8:AE37,1,FALSE())</f>
        <v>AE</v>
      </c>
      <c r="AF44" s="78" t="str">
        <f aca="false">VLOOKUP("AE",AF7:AF37,1,FALSE())</f>
        <v>AE</v>
      </c>
      <c r="AG44" s="78" t="e">
        <f aca="false">VLOOKUP("AE",AG7:AG37,1,FALSE())</f>
        <v>#N/A</v>
      </c>
      <c r="AH44" s="78" t="e">
        <f aca="false">VLOOKUP("AE",AH7:AH37,1,FALSE())</f>
        <v>#N/A</v>
      </c>
      <c r="AI44" s="35"/>
      <c r="AJ44" s="36"/>
      <c r="AK44" s="35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  <c r="BN44" s="37"/>
      <c r="BO44" s="37"/>
      <c r="BP44" s="37"/>
      <c r="BQ44" s="39"/>
    </row>
  </sheetData>
  <mergeCells count="1">
    <mergeCell ref="C1:S1"/>
  </mergeCells>
  <conditionalFormatting sqref="O8 T16 K24:K25">
    <cfRule type="expression" priority="2" aboveAverage="0" equalAverage="0" bottom="0" percent="0" rank="0" text="" dxfId="21">
      <formula>WEEKDAY(M$3,2)&gt;5</formula>
    </cfRule>
  </conditionalFormatting>
  <conditionalFormatting sqref="R20">
    <cfRule type="expression" priority="3" aboveAverage="0" equalAverage="0" bottom="0" percent="0" rank="0" text="" dxfId="21">
      <formula>WEEKDAY(U$3,2)&gt;5</formula>
    </cfRule>
    <cfRule type="expression" priority="4" aboveAverage="0" equalAverage="0" bottom="0" percent="0" rank="0" text="" dxfId="21">
      <formula>WEEKDAY(V$3,2)&gt;5</formula>
    </cfRule>
  </conditionalFormatting>
  <conditionalFormatting sqref="P27">
    <cfRule type="expression" priority="5" aboveAverage="0" equalAverage="0" bottom="0" percent="0" rank="0" text="" dxfId="21">
      <formula>WEEKDAY(R$3,2)&gt;5</formula>
    </cfRule>
    <cfRule type="expression" priority="6" aboveAverage="0" equalAverage="0" bottom="0" percent="0" rank="0" text="" dxfId="21">
      <formula>WEEKDAY(S$3,2)&gt;5</formula>
    </cfRule>
  </conditionalFormatting>
  <conditionalFormatting sqref="D21 X21">
    <cfRule type="expression" priority="7" aboveAverage="0" equalAverage="0" bottom="0" percent="0" rank="0" text="" dxfId="21">
      <formula>WEEKDAY(G$3,2)&gt;5</formula>
    </cfRule>
    <cfRule type="expression" priority="8" aboveAverage="0" equalAverage="0" bottom="0" percent="0" rank="0" text="" dxfId="21">
      <formula>WEEKDAY(F$3,2)&gt;5</formula>
    </cfRule>
  </conditionalFormatting>
  <conditionalFormatting sqref="AF27">
    <cfRule type="expression" priority="9" aboveAverage="0" equalAverage="0" bottom="0" percent="0" rank="0" text="" dxfId="21">
      <formula>WEEKDAY(AG$3,2)&gt;5</formula>
    </cfRule>
    <cfRule type="expression" priority="10" aboveAverage="0" equalAverage="0" bottom="0" percent="0" rank="0" text="" dxfId="21">
      <formula>WEEKDAY(AF$3,2)&gt;5</formula>
    </cfRule>
  </conditionalFormatting>
  <conditionalFormatting sqref="C17 C20">
    <cfRule type="expression" priority="11" aboveAverage="0" equalAverage="0" bottom="0" percent="0" rank="0" text="" dxfId="21">
      <formula>WEEKDAY(D$3,2)&gt;5</formula>
    </cfRule>
  </conditionalFormatting>
  <conditionalFormatting sqref="C5:C35 D5:D14 E5:E15 F5:F14 H5:H9 I5:I7 J5:J9 K5 L5:L17 M5:Q8 R5:S9 T5:T11 U5 V5:W9 X5:X14 Y5:Y20 Z5 AA5:AA6 AB5 AC5:AD9 AF5 AG5:AG8 AH5:AH6 G6:G10 AE6 K7:K8 U7:U10 Z7:Z9 AF7:AF9 AA8:AB9 AE8:AE10 AH8 I9 K10:K16 N10:N15 O10:O11 AG10:AG13 AH10 H11:H14 I11 J11:J12 M11:M13 R11:S11 V11:V13 W11:W14 Z11:Z13 AA11:AA18 AB11:AB12 AC11 AD11:AD12 AF11 G12:G14 P12:P14 Q12:Q19 U12:U13 AE12:AE13 I13:I14 O13:O17 R13:T13 AF13 J14 AB14:AB15 T15:T16 Z15:Z18 AC15:AC17 AD15:AD18 AE15:AG17 AH15:AH16 F16:F23 G16:G21 H16 I16:I21 J16 M16:M17 R16:R17 U16:X18 D17 E17:E20 P17:P18 S17:S18 AB17:AB18 D19 H19:H21 J19:J21 L19 R19 AC19:AC23 AF19 K20:K21 M20:M26 N20 O20:O21 P20 T20:W20 X20:X21 Z20:AB20 AG20:AG21 AH20 D21:D22 L21:L26 R21 AD21:AF21 E22:E27 P22 Q22:Q24 V22:V24 W22 Y22 AA22:AA23 AB22 G23:G32 H23 I23:I24 K23:K26 N23:N24 R23:R24 T23:U23 AE23:AE24 J24 O24:P24 Z24:Z26 AG24:AG25 F25:F27 S25:S26 Y25 AA25 AF25 D26:D27 H26:J26 N26:N29 O26 P26:P27 Q26:R26 T26:U26 AD26:AD27 AF27 H28 AA28:AA29 AE28 D29:D30 E29 I29:I32 J29:M29 O29:Q29 V29:W29 X29:X31 Y29:Y30 Z29 AC29 H30:H34 T30 AE30:AE31 E31:F33 N31 O31:O32 AC31 M32 AA32 R33:S33 U33:V33 X33 Z33 AB33 AA34:AA35 F35:G35 K35 R35 U35 Y35 AF35 AH35">
    <cfRule type="cellIs" priority="12" operator="equal" aboveAverage="0" equalAverage="0" bottom="0" percent="0" rank="0" text="" dxfId="23">
      <formula>"B"</formula>
    </cfRule>
    <cfRule type="cellIs" priority="13" operator="equal" aboveAverage="0" equalAverage="0" bottom="0" percent="0" rank="0" text="" dxfId="23">
      <formula>"AL"</formula>
    </cfRule>
    <cfRule type="cellIs" priority="14" operator="equal" aboveAverage="0" equalAverage="0" bottom="0" percent="0" rank="0" text="" dxfId="24">
      <formula>"DM"</formula>
    </cfRule>
    <cfRule type="cellIs" priority="15" operator="equal" aboveAverage="0" equalAverage="0" bottom="0" percent="0" rank="0" text="" dxfId="25">
      <formula>"CS1"</formula>
    </cfRule>
    <cfRule type="cellIs" priority="16" operator="equal" aboveAverage="0" equalAverage="0" bottom="0" percent="0" rank="0" text="" dxfId="26">
      <formula>"CS2"</formula>
    </cfRule>
    <cfRule type="cellIs" priority="17" operator="equal" aboveAverage="0" equalAverage="0" bottom="0" percent="0" rank="0" text="" dxfId="27">
      <formula>"SB1"</formula>
    </cfRule>
    <cfRule type="cellIs" priority="18" operator="equal" aboveAverage="0" equalAverage="0" bottom="0" percent="0" rank="0" text="" dxfId="28">
      <formula>"SB2"</formula>
    </cfRule>
    <cfRule type="cellIs" priority="19" operator="equal" aboveAverage="0" equalAverage="0" bottom="0" percent="0" rank="0" text="" dxfId="29">
      <formula>"AE"</formula>
    </cfRule>
    <cfRule type="cellIs" priority="20" operator="equal" aboveAverage="0" equalAverage="0" bottom="0" percent="0" rank="0" text="" dxfId="23">
      <formula>"DB"</formula>
    </cfRule>
    <cfRule type="containsText" priority="21" operator="containsText" aboveAverage="0" equalAverage="0" bottom="0" percent="0" rank="0" text="$AM" dxfId="30">
      <formula>NOT(ISERROR(SEARCH("$AM",C5)))</formula>
    </cfRule>
    <cfRule type="containsText" priority="22" operator="containsText" aboveAverage="0" equalAverage="0" bottom="0" percent="0" rank="0" text="$PM" dxfId="31">
      <formula>NOT(ISERROR(SEARCH("$PM",C5)))</formula>
    </cfRule>
    <cfRule type="containsText" priority="23" operator="containsText" aboveAverage="0" equalAverage="0" bottom="0" percent="0" rank="0" text="$L" dxfId="32">
      <formula>NOT(ISERROR(SEARCH("$L",C5)))</formula>
    </cfRule>
    <cfRule type="containsText" priority="24" operator="containsText" aboveAverage="0" equalAverage="0" bottom="0" percent="0" rank="0" text="$BTP" dxfId="33">
      <formula>NOT(ISERROR(SEARCH("$BTP",C5)))</formula>
    </cfRule>
    <cfRule type="containsText" priority="25" operator="containsText" aboveAverage="0" equalAverage="0" bottom="0" percent="0" rank="0" text="$M" dxfId="34">
      <formula>NOT(ISERROR(SEARCH("$M",C5)))</formula>
    </cfRule>
    <cfRule type="containsText" priority="26" operator="containsText" aboveAverage="0" equalAverage="0" bottom="0" percent="0" rank="0" text="$N" dxfId="35">
      <formula>NOT(ISERROR(SEARCH("$N",C5)))</formula>
    </cfRule>
    <cfRule type="containsText" priority="27" operator="containsText" aboveAverage="0" equalAverage="0" bottom="0" percent="0" rank="0" text="$FC" dxfId="36">
      <formula>NOT(ISERROR(SEARCH("$FC",C5)))</formula>
    </cfRule>
    <cfRule type="containsText" priority="28" operator="containsText" aboveAverage="0" equalAverage="0" bottom="0" percent="0" rank="0" text="OAL" dxfId="37">
      <formula>NOT(ISERROR(SEARCH("OAL",C5)))</formula>
    </cfRule>
    <cfRule type="containsText" priority="29" operator="containsText" aboveAverage="0" equalAverage="0" bottom="0" percent="0" rank="0" text="S+" dxfId="38">
      <formula>NOT(ISERROR(SEARCH("S+",C5)))</formula>
    </cfRule>
    <cfRule type="containsText" priority="30" operator="containsText" aboveAverage="0" equalAverage="0" bottom="0" percent="0" rank="0" text="EX-D" dxfId="39">
      <formula>NOT(ISERROR(SEARCH("EX-D",C5)))</formula>
    </cfRule>
  </conditionalFormatting>
  <conditionalFormatting sqref="C5:C24 D5:D14 E5:E15 F5:F14 H5:H9 I5:I7 J5:J9 K5 L5:L17 M5:Q8 R5:S9 T5:T11 U5 V5:W9 X5:X14 Y5:Y11 Z5 AA5:AA6 AB5 AC5:AD9 AF5 AG5:AG8 AH5:AH6 G6:G10 AE6 K7:K8 U7:U10 Z7:Z9 AF7:AF9 AA8:AB9 AE8:AE10 AH8 I9 K10:K16 N10:N15 O10:O11 AG10:AG13 AH10 H11:H14 I11 J11:J12 M11:M13 R11:S11 V11:V13 W11:W14 Z11:Z13 AA11:AA18 AB11:AB12 AC11 AD11:AD12 AF11 G12:G14 P12:P14 Q12:Q19 U12:U13 AE12:AE13 I13:I14 O13:O15 R13:T13 Y13:Y17 AF13 J14 AB14:AB15 T15:T16 Z15:Z18 AC15:AC17 AD15:AD18 AE15:AG17 AH15:AH16 F16:F23 G16:G21 H16 I16:I21 J16 M16:M17 R16:R17 U16:U18 V16:V17 W16:W18 X16:X17 D17 E17:E29 O17 P17:P18 S17:S18 AB17:AB18 D19 H19:H21 J19:J21 L19 R19 Y19:Y20 AC19:AC23 AF19 K20:K21 P20 T20:W20 X20:X21 Z20:AB20 AG20:AG21 AH20 D21:D22 L21:M21 R21 AD21:AF21 P22:Q24 V22:V24 W22:W23 Y22 AA22:AA23 AB22 G23:G32 H23 I23:J24 K23:K29 L23:M26 N23:N24 R23:R24 T23:U23 AE23:AE24 O24:O26 Z24 AG24:AG26 F25:F28 S25:S26 Y25:Y26 AA25:AA26 AF25:AF28 C26:D27 H26:J26 N26:N29 P26:P27 Q26:R26 T26:X26 Z26 AB26:AC26 AD26:AD27 AE26 AH26 H28 J28:J32 O28:O29 R28:U28 W28:W29 Z28:AA29 AE28 D29:D30 I29:I32 L29:M29 P29:Q29 V29 X29:X31 Y29:Y30 AC29 H30:H34 T30 AE30:AE31 E31:F33 N31 O31:O32 AC31 L32:M33 Z32:Z33 AB32:AB33 AD32 C33 S33 U33:V33 X33 AA34:AA35 F35:G35 K35 R35 U35 AF35 AH35">
    <cfRule type="expression" priority="31" aboveAverage="0" equalAverage="0" bottom="0" percent="0" rank="0" text="" dxfId="21">
      <formula>WEEKDAY(#REF!,2)&gt;5</formula>
    </cfRule>
  </conditionalFormatting>
  <conditionalFormatting sqref="F5 W6:X6 AA6 U7 Z7:Z9 S9 V9:Y9 AA9:AB9 T11 Y11 AD11 C12 V12 Z12:AA13 AB12 T13:U13 Y13 T18 Y22 AB22 T23 AE23 AA24:AA25 S25 AF25 Z26 AD26:AD27 AE28 AE30:AE31 AH35 C9 E11 C19">
    <cfRule type="expression" priority="32" aboveAverage="0" equalAverage="0" bottom="0" percent="0" rank="0" text="" dxfId="21">
      <formula>WEEKDAY(H$3,2)&gt;5</formula>
    </cfRule>
  </conditionalFormatting>
  <conditionalFormatting sqref="W6:X6 AA6 U7 Z7:Z9 S9 V9:Y9 AA9:AB9 T11 Y11 AD11 V12 Z12:AA13 AB12 T13:U13 Y13 T18 Z18:AB18 G20 AC21 Y22 AB22 T23 AE23 F24 AA24:AA25 S25 AF25 Z26 AD26:AD27 AE28 AE30:AE31 AH35 U37 T16 G19:H19 C21 G21:H21">
    <cfRule type="expression" priority="33" aboveAverage="0" equalAverage="0" bottom="0" percent="0" rank="0" text="" dxfId="21">
      <formula>WEEKDAY(U$3,2)&gt;5</formula>
    </cfRule>
  </conditionalFormatting>
  <conditionalFormatting sqref="C5:C21 D5:D17 E5:E20 F5:F25 G5:G21 H5:H9 I5:I25 J5:J22 K5:K17 L5:L27 M5:M26 N5:N21 O5:O24 P5:P8 Q5:Q25 R5:R21 S5:T25 U5:V14 W5:X22 Y5:Y25 Z5:AB36 AC5:AC26 AD5:AD24 AE5:AE33 AF5:AF21 AG5:AG22 AH5:AH21 P10:P14 H11:H21 P16:P22 U16:V25 D19:D23 K19:K21 E22:E25 C23 G23:G33 H23:H25 K23:K25 N23:N29 R23:R26 AH23 J24:J27 P24:P25 W24:X25 AF24:AF30 AG24:AG26 AD26:AD28 AH26 C27:F27 H27:H34 P27:P29 Q27:Q32 S27:S28 U27:V35 W27:W29 X27:X33 Y27:Y36 R28:R29 T28:T35 AC28:AC36 D29:D30 E29:E33 I29:I32 J29:M29 O29 F30:F33 AD30 AG30:AH30 J31:J32 N31 O31:O32 S31:S35 W31:W35 K32 L32:M33 P32 AD32:AD33 AF32 C33 R33 F35:G35 K35 Q35:R35 X35 AD35:AF35 AH35 U37">
    <cfRule type="cellIs" priority="34" operator="equal" aboveAverage="0" equalAverage="0" bottom="0" percent="0" rank="0" text="" dxfId="23">
      <formula>"B"</formula>
    </cfRule>
    <cfRule type="cellIs" priority="35" operator="equal" aboveAverage="0" equalAverage="0" bottom="0" percent="0" rank="0" text="" dxfId="23">
      <formula>"AL"</formula>
    </cfRule>
    <cfRule type="cellIs" priority="36" operator="equal" aboveAverage="0" equalAverage="0" bottom="0" percent="0" rank="0" text="" dxfId="24">
      <formula>"DM"</formula>
    </cfRule>
    <cfRule type="cellIs" priority="37" operator="equal" aboveAverage="0" equalAverage="0" bottom="0" percent="0" rank="0" text="" dxfId="25">
      <formula>"CS1"</formula>
    </cfRule>
    <cfRule type="cellIs" priority="38" operator="equal" aboveAverage="0" equalAverage="0" bottom="0" percent="0" rank="0" text="" dxfId="26">
      <formula>"CS2"</formula>
    </cfRule>
    <cfRule type="cellIs" priority="39" operator="equal" aboveAverage="0" equalAverage="0" bottom="0" percent="0" rank="0" text="" dxfId="27">
      <formula>"SB1"</formula>
    </cfRule>
    <cfRule type="cellIs" priority="40" operator="equal" aboveAverage="0" equalAverage="0" bottom="0" percent="0" rank="0" text="" dxfId="28">
      <formula>"SB2"</formula>
    </cfRule>
    <cfRule type="cellIs" priority="41" operator="equal" aboveAverage="0" equalAverage="0" bottom="0" percent="0" rank="0" text="" dxfId="29">
      <formula>"AE"</formula>
    </cfRule>
    <cfRule type="cellIs" priority="42" operator="equal" aboveAverage="0" equalAverage="0" bottom="0" percent="0" rank="0" text="" dxfId="23">
      <formula>"DB"</formula>
    </cfRule>
    <cfRule type="containsText" priority="43" operator="containsText" aboveAverage="0" equalAverage="0" bottom="0" percent="0" rank="0" text="$AM" dxfId="30">
      <formula>NOT(ISERROR(SEARCH("$AM",C5)))</formula>
    </cfRule>
    <cfRule type="containsText" priority="44" operator="containsText" aboveAverage="0" equalAverage="0" bottom="0" percent="0" rank="0" text="$PM" dxfId="31">
      <formula>NOT(ISERROR(SEARCH("$PM",C5)))</formula>
    </cfRule>
    <cfRule type="containsText" priority="45" operator="containsText" aboveAverage="0" equalAverage="0" bottom="0" percent="0" rank="0" text="$L" dxfId="32">
      <formula>NOT(ISERROR(SEARCH("$L",C5)))</formula>
    </cfRule>
    <cfRule type="containsText" priority="46" operator="containsText" aboveAverage="0" equalAverage="0" bottom="0" percent="0" rank="0" text="$BTP" dxfId="33">
      <formula>NOT(ISERROR(SEARCH("$BTP",C5)))</formula>
    </cfRule>
    <cfRule type="containsText" priority="47" operator="containsText" aboveAverage="0" equalAverage="0" bottom="0" percent="0" rank="0" text="$M" dxfId="34">
      <formula>NOT(ISERROR(SEARCH("$M",C5)))</formula>
    </cfRule>
    <cfRule type="containsText" priority="48" operator="containsText" aboveAverage="0" equalAverage="0" bottom="0" percent="0" rank="0" text="$N" dxfId="35">
      <formula>NOT(ISERROR(SEARCH("$N",C5)))</formula>
    </cfRule>
    <cfRule type="containsText" priority="49" operator="containsText" aboveAverage="0" equalAverage="0" bottom="0" percent="0" rank="0" text="$FC" dxfId="36">
      <formula>NOT(ISERROR(SEARCH("$FC",C5)))</formula>
    </cfRule>
    <cfRule type="containsText" priority="50" operator="containsText" aboveAverage="0" equalAverage="0" bottom="0" percent="0" rank="0" text="OAL" dxfId="37">
      <formula>NOT(ISERROR(SEARCH("OAL",C5)))</formula>
    </cfRule>
    <cfRule type="containsText" priority="51" operator="containsText" aboveAverage="0" equalAverage="0" bottom="0" percent="0" rank="0" text="S+" dxfId="38">
      <formula>NOT(ISERROR(SEARCH("S+",C5)))</formula>
    </cfRule>
    <cfRule type="containsText" priority="52" operator="containsText" aboveAverage="0" equalAverage="0" bottom="0" percent="0" rank="0" text="EX-D" dxfId="39">
      <formula>NOT(ISERROR(SEARCH("EX-D",C5)))</formula>
    </cfRule>
    <cfRule type="expression" priority="53" aboveAverage="0" equalAverage="0" bottom="0" percent="0" rank="0" text="" dxfId="21">
      <formula>WEEKDAY(#REF!,2)&gt;5</formula>
    </cfRule>
  </conditionalFormatting>
  <conditionalFormatting sqref="C5:C24 D5:D17 E5:E33 F5:F28 G5:G21 H5:H9 I5:I26 J5:J33 K5:K17 L5:L27 M5:M26 N5:N21 O5:O26 P5:P8 Q5:Q32 R5:R21 S5:S28 T5:T26 U5:V14 W5:W29 X5:X22 Y5:AB36 AC5:AC26 AD5:AD24 AE5:AE33 AF5:AF21 AG5:AG22 AH5:AH21 P10:P14 H11:H21 P16:P29 U16:V35 D19:D23 K19:K21 G23:G33 H23:H34 K23:K29 N23:N29 R23:R26 AH23 X24:X33 AF24:AF30 AG24:AG26 C26:D27 AD26:AD28 AH26 O28:O29 R28:R29 T28:T35 AC28:AC36 D29:D30 I29:I32 L29:M29 F30:F33 AD30 AG30:AH30 N31 O31:O32 S31:S35 W31:W35 K32 L32:M33 P32 AD32:AD33 AF32 C33 R33 F35:G35 K35 Q35:R35 X35 AD35:AF35 AH35 U37">
    <cfRule type="containsText" priority="54" operator="containsText" aboveAverage="0" equalAverage="0" bottom="0" percent="0" rank="0" text="VACC" dxfId="40">
      <formula>NOT(ISERROR(SEARCH("VACC",C5)))</formula>
    </cfRule>
  </conditionalFormatting>
  <conditionalFormatting sqref="J4:J44 AA4:AA44 C5:I44 K5:Z44 AB5:AH44">
    <cfRule type="cellIs" priority="55" operator="equal" aboveAverage="0" equalAverage="0" bottom="0" percent="0" rank="0" text="" dxfId="23">
      <formula>"B"</formula>
    </cfRule>
    <cfRule type="cellIs" priority="56" operator="equal" aboveAverage="0" equalAverage="0" bottom="0" percent="0" rank="0" text="" dxfId="23">
      <formula>"AL"</formula>
    </cfRule>
    <cfRule type="cellIs" priority="57" operator="equal" aboveAverage="0" equalAverage="0" bottom="0" percent="0" rank="0" text="" dxfId="24">
      <formula>"DM"</formula>
    </cfRule>
    <cfRule type="cellIs" priority="58" operator="equal" aboveAverage="0" equalAverage="0" bottom="0" percent="0" rank="0" text="" dxfId="25">
      <formula>"CS1"</formula>
    </cfRule>
    <cfRule type="cellIs" priority="59" operator="equal" aboveAverage="0" equalAverage="0" bottom="0" percent="0" rank="0" text="" dxfId="26">
      <formula>"CS2"</formula>
    </cfRule>
    <cfRule type="cellIs" priority="60" operator="equal" aboveAverage="0" equalAverage="0" bottom="0" percent="0" rank="0" text="" dxfId="27">
      <formula>"SB1"</formula>
    </cfRule>
    <cfRule type="cellIs" priority="61" operator="equal" aboveAverage="0" equalAverage="0" bottom="0" percent="0" rank="0" text="" dxfId="28">
      <formula>"SB2"</formula>
    </cfRule>
    <cfRule type="cellIs" priority="62" operator="equal" aboveAverage="0" equalAverage="0" bottom="0" percent="0" rank="0" text="" dxfId="29">
      <formula>"AE"</formula>
    </cfRule>
  </conditionalFormatting>
  <conditionalFormatting sqref="BP5:BQ37">
    <cfRule type="cellIs" priority="63" operator="lessThan" aboveAverage="0" equalAverage="0" bottom="0" percent="0" rank="0" text="" dxfId="41">
      <formula>1</formula>
    </cfRule>
  </conditionalFormatting>
  <conditionalFormatting sqref="J4:J37 AA4:AA37 C5:I37 K5:Z37 AB5:AH37">
    <cfRule type="cellIs" priority="64" operator="equal" aboveAverage="0" equalAverage="0" bottom="0" percent="0" rank="0" text="" dxfId="23">
      <formula>"DB"</formula>
    </cfRule>
    <cfRule type="containsText" priority="65" operator="containsText" aboveAverage="0" equalAverage="0" bottom="0" percent="0" rank="0" text="$AM" dxfId="30">
      <formula>NOT(ISERROR(SEARCH("$AM",C4)))</formula>
    </cfRule>
    <cfRule type="containsText" priority="66" operator="containsText" aboveAverage="0" equalAverage="0" bottom="0" percent="0" rank="0" text="$PM" dxfId="31">
      <formula>NOT(ISERROR(SEARCH("$PM",C4)))</formula>
    </cfRule>
    <cfRule type="containsText" priority="67" operator="containsText" aboveAverage="0" equalAverage="0" bottom="0" percent="0" rank="0" text="$L" dxfId="32">
      <formula>NOT(ISERROR(SEARCH("$L",C4)))</formula>
    </cfRule>
    <cfRule type="containsText" priority="68" operator="containsText" aboveAverage="0" equalAverage="0" bottom="0" percent="0" rank="0" text="$BTP" dxfId="33">
      <formula>NOT(ISERROR(SEARCH("$BTP",C4)))</formula>
    </cfRule>
    <cfRule type="containsText" priority="69" operator="containsText" aboveAverage="0" equalAverage="0" bottom="0" percent="0" rank="0" text="$M" dxfId="34">
      <formula>NOT(ISERROR(SEARCH("$M",C4)))</formula>
    </cfRule>
    <cfRule type="containsText" priority="70" operator="containsText" aboveAverage="0" equalAverage="0" bottom="0" percent="0" rank="0" text="$N" dxfId="35">
      <formula>NOT(ISERROR(SEARCH("$N",C4)))</formula>
    </cfRule>
    <cfRule type="containsText" priority="71" operator="containsText" aboveAverage="0" equalAverage="0" bottom="0" percent="0" rank="0" text="$FC" dxfId="36">
      <formula>NOT(ISERROR(SEARCH("$FC",C4)))</formula>
    </cfRule>
    <cfRule type="containsText" priority="72" operator="containsText" aboveAverage="0" equalAverage="0" bottom="0" percent="0" rank="0" text="OAL" dxfId="37">
      <formula>NOT(ISERROR(SEARCH("OAL",C4)))</formula>
    </cfRule>
    <cfRule type="containsText" priority="73" operator="containsText" aboveAverage="0" equalAverage="0" bottom="0" percent="0" rank="0" text="S+" dxfId="38">
      <formula>NOT(ISERROR(SEARCH("S+",C4)))</formula>
    </cfRule>
    <cfRule type="containsText" priority="74" operator="containsText" aboveAverage="0" equalAverage="0" bottom="0" percent="0" rank="0" text="EX-D" dxfId="39">
      <formula>NOT(ISERROR(SEARCH("EX-D",C4)))</formula>
    </cfRule>
  </conditionalFormatting>
  <conditionalFormatting sqref="T2:X37 C3:S37 Y3:AH37">
    <cfRule type="expression" priority="75" aboveAverage="0" equalAverage="0" bottom="0" percent="0" rank="0" text="" dxfId="21">
      <formula>WEEKDAY(T$3,2)&gt;5</formula>
    </cfRule>
  </conditionalFormatting>
  <conditionalFormatting sqref="J4:J22 C5:C21 D5:D17 E5:E20 F5:F25 G5:G21 H5:H9 I5:I25 K5:K17 L5:L27 M5:M26 N5:N21 O5:O24 P5:P8 Q5:Q25 R5:R21 S5:U25 V5:V14 W5:X22 Y5:Y25 Z5:AB36 AC5:AC26 AD5:AD24 AE5:AE33 AF5:AF21 AG5:AG22 AH5:AH21 P10:P14 H11:H21 P16:P22 V16:V25 D19:D23 K19:K21 E22:E25 C23 G23:G33 H23:H25 K23:K25 N23:N29 R23:R26 AH23 J24:J27 P24:P25 W24:X25 AF24:AF30 AG24:AG26 AD26:AD28 AH26 C27:F27 H27:H34 P27:P29 Q27:Q32 S27:S28 U27:V35 W27:W29 X27:X33 Y27:Y36 R28:R29 T28:T35 AC28:AC36 D29:D30 E29:E33 I29:I32 J29:M29 O29 F30:F33 AD30 AG30:AH30 J31:J32 N31 O31:O32 S31:S35 W31:W35 K32 L32:M33 P32 AD32:AD33 AF32 C33 R33 F35:G35 K35 Q35:R35 X35 AD35:AF35 AH35 U37">
    <cfRule type="containsText" priority="76" operator="containsText" aboveAverage="0" equalAverage="0" bottom="0" percent="0" rank="0" text="VACC" dxfId="40">
      <formula>NOT(ISERROR(SEARCH("VACC",C4)))</formula>
    </cfRule>
  </conditionalFormatting>
  <conditionalFormatting sqref="A1:BQ44">
    <cfRule type="cellIs" priority="77" operator="equal" aboveAverage="0" equalAverage="0" bottom="0" percent="0" rank="0" text="" dxfId="41">
      <formula>"RESERVE"</formula>
    </cfRule>
  </conditionalFormatting>
  <dataValidations count="2">
    <dataValidation allowBlank="true" errorStyle="stop" operator="equal" showDropDown="true" showErrorMessage="false" showInputMessage="false" sqref="C5:F6 H5:K5 M5:AA5 AC5:AH5 G6:O6 Q6:Y6 AA6:AE6 AG6:AH6 D7:AD7 AF7:AH7 C8:O8 R8:AH8 D9:J9 L9:S9 U9:AH9 C10 E10:O10 Q10:R10 T10:AH10 C11:J11 L11:O11 Q11:Z11 AB11:AH11 C12:H15 J12:K12 M12:R12 U12:Y12 AA12:AH12 I13:Z13 AB13:AD13 AF13:AH13 I14:R14 T14:T18 V14:AH14 I15:L15 N15:S15 U15:U17 X15:AH15 C16:C17 E16:N16 P16:S16 V16:AA18 AC16:AH16 D17:L17 N17:P17 R17:S18 AB17:AG17 D18:E18 G18:G35 J18:N18 P18:P19 AB18:AD18 AF18:AH19 C19:F19 H19:O19 Q19:R19 T19:V21 X19:Y19 AA19:AD19 C20:C21 E20:F20 H20:J21 L20:O20 R20:R22 W20:AC20 AE20:AH20 D21:D22 F21:F29 K21:M22 O21:Q21 W21:X21 AB21:AE21 AG21:AH22 E22:E33 H22:I26 P22:Q22 S22:W22 Y22:Y25 AA22:AD23 C23:C26 J23:X24 AE23:AF23 AH23:AH25 D24:D33 Z24:AG24 J25:M26 P25:X25 Z25:AB25 AE25:AG25 N26:AE26 AG26:AH26 H27:H34 K27:L27 N27:N31 P27 R27:S27 V27:Y27 AB27 AD27:AF27 C28:C37 J28:M28 O28:AA28 AC28:AH28 I29:M30 O29:R29 T29:AC29 AE29:AH29 O30:P30 S30:U31 X30:Z30 AB30 AD30:AH30 I31:K31 M31:M33 O31:O33 Q31:Q33 V31:W31 Y31:AA31 AC31:AC33 AE31:AH31 F32:F35 I32:J32 L32:L33 P32 R32:X32 Z32:AB32 AD32 AF32:AG32 I33 K33 R33:S33 U33:V33 X33:X36 Z33 AB33 AE33 AG33:AH33 D34:E34 I34:M35 O34:W34 Y34:Y35 AA34:AH34 D35:D36 N35:N36 Q35:R35 T35:V35 AA35 AC35:AD35 AF35:AH35 J36:L36 O36:P36 T36:T37 V36:V37 AD36:AH36 D37:L37 N37:P37 S37 U37 W37:AH37" type="list">
      <formula1>'Setting key Duty'!$B$7:$B$56</formula1>
      <formula2>0</formula2>
    </dataValidation>
    <dataValidation allowBlank="true" errorStyle="stop" operator="equal" showDropDown="true" showErrorMessage="false" showInputMessage="false" sqref="C38:AH44" type="list">
      <formula1>'Setting key Duty'!$B$7:$B$23</formula1>
      <formula2>0</formula2>
    </dataValidation>
  </dataValidation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Q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5" activeCellId="0" sqref="C5"/>
    </sheetView>
  </sheetViews>
  <sheetFormatPr defaultColWidth="12.6328125" defaultRowHeight="15.75" customHeight="true" zeroHeight="false" outlineLevelRow="0" outlineLevelCol="1"/>
  <cols>
    <col collapsed="false" customWidth="true" hidden="false" outlineLevel="0" max="1" min="1" style="0" width="2.13"/>
    <col collapsed="false" customWidth="true" hidden="false" outlineLevel="0" max="2" min="2" style="0" width="29.76"/>
    <col collapsed="false" customWidth="true" hidden="false" outlineLevel="0" max="11" min="3" style="0" width="9.24"/>
    <col collapsed="false" customWidth="true" hidden="false" outlineLevel="0" max="12" min="12" style="0" width="9.38"/>
    <col collapsed="false" customWidth="true" hidden="false" outlineLevel="0" max="13" min="13" style="0" width="10.63"/>
    <col collapsed="false" customWidth="true" hidden="false" outlineLevel="0" max="14" min="14" style="0" width="9.24"/>
    <col collapsed="false" customWidth="true" hidden="false" outlineLevel="0" max="15" min="15" style="0" width="10"/>
    <col collapsed="false" customWidth="true" hidden="false" outlineLevel="0" max="16" min="16" style="0" width="10.76"/>
    <col collapsed="false" customWidth="true" hidden="false" outlineLevel="0" max="17" min="17" style="0" width="10.25"/>
    <col collapsed="false" customWidth="true" hidden="false" outlineLevel="0" max="18" min="18" style="0" width="9.63"/>
    <col collapsed="false" customWidth="true" hidden="false" outlineLevel="0" max="19" min="19" style="0" width="9.14"/>
    <col collapsed="false" customWidth="true" hidden="false" outlineLevel="0" max="26" min="20" style="0" width="9.24"/>
    <col collapsed="false" customWidth="true" hidden="false" outlineLevel="0" max="27" min="27" style="0" width="10.51"/>
    <col collapsed="false" customWidth="true" hidden="false" outlineLevel="0" max="30" min="28" style="0" width="9.24"/>
    <col collapsed="false" customWidth="true" hidden="false" outlineLevel="0" max="31" min="31" style="0" width="10.51"/>
    <col collapsed="false" customWidth="true" hidden="false" outlineLevel="0" max="32" min="32" style="0" width="9.38"/>
    <col collapsed="false" customWidth="true" hidden="false" outlineLevel="0" max="34" min="33" style="0" width="9.24"/>
    <col collapsed="false" customWidth="true" hidden="true" outlineLevel="1" max="41" min="35" style="0" width="9.38"/>
    <col collapsed="false" customWidth="true" hidden="false" outlineLevel="0" max="42" min="42" style="0" width="6.76"/>
    <col collapsed="false" customWidth="true" hidden="false" outlineLevel="1" max="43" min="43" style="0" width="8.87"/>
    <col collapsed="false" customWidth="true" hidden="false" outlineLevel="1" max="44" min="44" style="0" width="7.88"/>
    <col collapsed="false" customWidth="true" hidden="false" outlineLevel="1" max="45" min="45" style="0" width="9.14"/>
    <col collapsed="false" customWidth="true" hidden="false" outlineLevel="1" max="46" min="46" style="0" width="8.24"/>
    <col collapsed="false" customWidth="true" hidden="false" outlineLevel="1" max="47" min="47" style="0" width="5.51"/>
    <col collapsed="false" customWidth="true" hidden="false" outlineLevel="0" max="50" min="48" style="0" width="9.38"/>
    <col collapsed="false" customWidth="true" hidden="false" outlineLevel="1" max="58" min="51" style="0" width="9.38"/>
    <col collapsed="false" customWidth="true" hidden="false" outlineLevel="1" max="59" min="59" style="0" width="10"/>
    <col collapsed="false" customWidth="true" hidden="false" outlineLevel="1" max="65" min="60" style="0" width="9.38"/>
    <col collapsed="false" customWidth="true" hidden="false" outlineLevel="0" max="66" min="66" style="0" width="9.38"/>
    <col collapsed="false" customWidth="true" hidden="false" outlineLevel="0" max="67" min="67" style="0" width="9.51"/>
    <col collapsed="false" customWidth="true" hidden="false" outlineLevel="0" max="69" min="68" style="0" width="9.38"/>
  </cols>
  <sheetData>
    <row r="1" customFormat="false" ht="3" hidden="false" customHeight="true" outlineLevel="0" collapsed="false">
      <c r="A1" s="1"/>
      <c r="B1" s="2" t="s">
        <v>0</v>
      </c>
      <c r="C1" s="3" t="str">
        <f aca="false"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127"/>
      <c r="W1" s="4"/>
      <c r="X1" s="4"/>
      <c r="Y1" s="128"/>
      <c r="Z1" s="128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6"/>
    </row>
    <row r="2" customFormat="false" ht="26.25" hidden="false" customHeight="true" outlineLevel="0" collapsed="false">
      <c r="A2" s="7"/>
      <c r="B2" s="8" t="s">
        <v>1</v>
      </c>
      <c r="C2" s="9"/>
      <c r="D2" s="9" t="s">
        <v>503</v>
      </c>
      <c r="E2" s="9"/>
      <c r="F2" s="9" t="s">
        <v>504</v>
      </c>
      <c r="G2" s="9"/>
      <c r="H2" s="9"/>
      <c r="I2" s="9" t="s">
        <v>197</v>
      </c>
      <c r="J2" s="9"/>
      <c r="K2" s="9"/>
      <c r="L2" s="9"/>
      <c r="M2" s="9"/>
      <c r="N2" s="9"/>
      <c r="O2" s="9"/>
      <c r="P2" s="9"/>
      <c r="Q2" s="9"/>
      <c r="R2" s="9"/>
      <c r="S2" s="9"/>
      <c r="T2" s="119"/>
      <c r="U2" s="9"/>
      <c r="V2" s="129"/>
      <c r="W2" s="9"/>
      <c r="X2" s="9"/>
      <c r="Y2" s="9"/>
      <c r="Z2" s="9"/>
      <c r="AA2" s="11"/>
      <c r="AB2" s="9"/>
      <c r="AC2" s="9"/>
      <c r="AD2" s="9"/>
      <c r="AE2" s="9"/>
      <c r="AF2" s="9"/>
      <c r="AG2" s="9"/>
      <c r="AH2" s="93"/>
      <c r="AI2" s="12"/>
      <c r="AJ2" s="12"/>
      <c r="AK2" s="12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4" t="s">
        <v>16</v>
      </c>
      <c r="BB2" s="14"/>
      <c r="BC2" s="14" t="s">
        <v>17</v>
      </c>
      <c r="BD2" s="14"/>
      <c r="BE2" s="14" t="s">
        <v>18</v>
      </c>
      <c r="BF2" s="14"/>
      <c r="BG2" s="14"/>
      <c r="BH2" s="14" t="s">
        <v>19</v>
      </c>
      <c r="BI2" s="14"/>
      <c r="BJ2" s="14" t="s">
        <v>20</v>
      </c>
      <c r="BK2" s="14"/>
      <c r="BL2" s="14"/>
      <c r="BM2" s="14"/>
      <c r="BN2" s="13"/>
      <c r="BO2" s="13"/>
      <c r="BP2" s="13"/>
      <c r="BQ2" s="15"/>
    </row>
    <row r="3" customFormat="false" ht="26.25" hidden="false" customHeight="true" outlineLevel="0" collapsed="false">
      <c r="A3" s="7"/>
      <c r="B3" s="8" t="s">
        <v>21</v>
      </c>
      <c r="C3" s="123" t="n">
        <v>45839</v>
      </c>
      <c r="D3" s="17" t="n">
        <f aca="false">C3+1</f>
        <v>45840</v>
      </c>
      <c r="E3" s="17" t="n">
        <f aca="false">D3+1</f>
        <v>45841</v>
      </c>
      <c r="F3" s="17" t="n">
        <f aca="false">E3+1</f>
        <v>45842</v>
      </c>
      <c r="G3" s="17" t="n">
        <f aca="false">F3+1</f>
        <v>45843</v>
      </c>
      <c r="H3" s="17" t="n">
        <f aca="false">G3+1</f>
        <v>45844</v>
      </c>
      <c r="I3" s="17" t="n">
        <f aca="false">H3+1</f>
        <v>45845</v>
      </c>
      <c r="J3" s="17" t="n">
        <f aca="false">I3+1</f>
        <v>45846</v>
      </c>
      <c r="K3" s="17" t="n">
        <f aca="false">J3+1</f>
        <v>45847</v>
      </c>
      <c r="L3" s="17" t="n">
        <f aca="false">K3+1</f>
        <v>45848</v>
      </c>
      <c r="M3" s="17" t="n">
        <f aca="false">L3+1</f>
        <v>45849</v>
      </c>
      <c r="N3" s="17" t="n">
        <f aca="false">M3+1</f>
        <v>45850</v>
      </c>
      <c r="O3" s="17" t="n">
        <f aca="false">N3+1</f>
        <v>45851</v>
      </c>
      <c r="P3" s="17" t="n">
        <f aca="false">O3+1</f>
        <v>45852</v>
      </c>
      <c r="Q3" s="17" t="n">
        <f aca="false">P3+1</f>
        <v>45853</v>
      </c>
      <c r="R3" s="17" t="n">
        <f aca="false">Q3+1</f>
        <v>45854</v>
      </c>
      <c r="S3" s="17" t="n">
        <f aca="false">R3+1</f>
        <v>45855</v>
      </c>
      <c r="T3" s="113" t="n">
        <f aca="false">S3+1</f>
        <v>45856</v>
      </c>
      <c r="U3" s="17" t="n">
        <f aca="false">T3+1</f>
        <v>45857</v>
      </c>
      <c r="V3" s="130" t="n">
        <f aca="false">U3+1</f>
        <v>45858</v>
      </c>
      <c r="W3" s="17" t="n">
        <f aca="false">V3+1</f>
        <v>45859</v>
      </c>
      <c r="X3" s="17" t="n">
        <f aca="false">W3+1</f>
        <v>45860</v>
      </c>
      <c r="Y3" s="17" t="n">
        <f aca="false">X3+1</f>
        <v>45861</v>
      </c>
      <c r="Z3" s="17" t="n">
        <f aca="false">Y3+1</f>
        <v>45862</v>
      </c>
      <c r="AA3" s="17" t="n">
        <f aca="false">Z3+1</f>
        <v>45863</v>
      </c>
      <c r="AB3" s="17" t="n">
        <f aca="false">AA3+1</f>
        <v>45864</v>
      </c>
      <c r="AC3" s="17" t="n">
        <f aca="false">AB3+1</f>
        <v>45865</v>
      </c>
      <c r="AD3" s="17" t="n">
        <f aca="false">AC3+1</f>
        <v>45866</v>
      </c>
      <c r="AE3" s="17" t="n">
        <f aca="false">AD3+1</f>
        <v>45867</v>
      </c>
      <c r="AF3" s="17" t="n">
        <f aca="false">AE3+1</f>
        <v>45868</v>
      </c>
      <c r="AG3" s="113" t="n">
        <f aca="false">AF3+1</f>
        <v>45869</v>
      </c>
      <c r="AH3" s="17" t="n">
        <f aca="false">AG3+1</f>
        <v>45870</v>
      </c>
      <c r="AI3" s="18" t="str">
        <f aca="false">'Setting key Duty'!$C7</f>
        <v>DM</v>
      </c>
      <c r="AJ3" s="19" t="str">
        <f aca="false">'Setting key Duty'!$C8</f>
        <v>CS1</v>
      </c>
      <c r="AK3" s="20" t="str">
        <f aca="false">'Setting key Duty'!$C9</f>
        <v>CS2</v>
      </c>
      <c r="AL3" s="21" t="str">
        <f aca="false">'Setting key Duty'!$C11</f>
        <v>SB1</v>
      </c>
      <c r="AM3" s="21" t="str">
        <f aca="false">'Setting key Duty'!$C12</f>
        <v>SB2</v>
      </c>
      <c r="AN3" s="21" t="str">
        <f aca="false">'Setting key Duty'!$C13</f>
        <v>AE</v>
      </c>
      <c r="AO3" s="21" t="str">
        <f aca="false">'Setting key Duty'!C14</f>
        <v>EM</v>
      </c>
      <c r="AP3" s="20"/>
      <c r="AQ3" s="20" t="s">
        <v>22</v>
      </c>
      <c r="AR3" s="20" t="s">
        <v>23</v>
      </c>
      <c r="AS3" s="20" t="s">
        <v>24</v>
      </c>
      <c r="AT3" s="20" t="s">
        <v>25</v>
      </c>
      <c r="AU3" s="20" t="s">
        <v>26</v>
      </c>
      <c r="AV3" s="20" t="s">
        <v>27</v>
      </c>
      <c r="AW3" s="20" t="s">
        <v>28</v>
      </c>
      <c r="AX3" s="20" t="s">
        <v>29</v>
      </c>
      <c r="AY3" s="20" t="s">
        <v>30</v>
      </c>
      <c r="AZ3" s="20" t="s">
        <v>31</v>
      </c>
      <c r="BA3" s="21" t="s">
        <v>32</v>
      </c>
      <c r="BB3" s="20" t="s">
        <v>33</v>
      </c>
      <c r="BC3" s="21" t="s">
        <v>34</v>
      </c>
      <c r="BD3" s="20" t="s">
        <v>35</v>
      </c>
      <c r="BE3" s="21" t="s">
        <v>36</v>
      </c>
      <c r="BF3" s="20" t="s">
        <v>37</v>
      </c>
      <c r="BG3" s="20" t="s">
        <v>38</v>
      </c>
      <c r="BH3" s="20" t="s">
        <v>39</v>
      </c>
      <c r="BI3" s="20" t="s">
        <v>40</v>
      </c>
      <c r="BJ3" s="20" t="s">
        <v>41</v>
      </c>
      <c r="BK3" s="20" t="s">
        <v>42</v>
      </c>
      <c r="BL3" s="21" t="str">
        <f aca="false">'Setting key Duty'!C52</f>
        <v>Field Camp</v>
      </c>
      <c r="BM3" s="20" t="s">
        <v>43</v>
      </c>
      <c r="BN3" s="21" t="str">
        <f aca="false">'Setting key Duty'!$C15</f>
        <v>Block</v>
      </c>
      <c r="BO3" s="21" t="str">
        <f aca="false">'Setting key Duty'!C17</f>
        <v>Reserve</v>
      </c>
      <c r="BP3" s="21" t="str">
        <f aca="false">'Setting key Duty'!$C22</f>
        <v>AL</v>
      </c>
      <c r="BQ3" s="15"/>
    </row>
    <row r="4" customFormat="false" ht="18" hidden="false" customHeight="true" outlineLevel="0" collapsed="false">
      <c r="A4" s="22"/>
      <c r="B4" s="23" t="s">
        <v>156</v>
      </c>
      <c r="C4" s="114" t="str">
        <f aca="false">TEXT(C3,"ddd")</f>
        <v>Tue</v>
      </c>
      <c r="D4" s="24" t="str">
        <f aca="false">TEXT(D3,"ddd")</f>
        <v>Wed</v>
      </c>
      <c r="E4" s="24" t="str">
        <f aca="false">TEXT(E3,"ddd")</f>
        <v>Thu</v>
      </c>
      <c r="F4" s="24" t="str">
        <f aca="false">TEXT(F3,"ddd")</f>
        <v>Fri</v>
      </c>
      <c r="G4" s="24" t="str">
        <f aca="false">TEXT(G3,"ddd")</f>
        <v>Sat</v>
      </c>
      <c r="H4" s="24" t="str">
        <f aca="false">TEXT(H3,"ddd")</f>
        <v>Sun</v>
      </c>
      <c r="I4" s="24" t="str">
        <f aca="false">TEXT(I3,"ddd")</f>
        <v>Mon</v>
      </c>
      <c r="J4" s="24" t="str">
        <f aca="false">TEXT(J3,"ddd")</f>
        <v>Tue</v>
      </c>
      <c r="K4" s="24" t="str">
        <f aca="false">TEXT(K3,"ddd")</f>
        <v>Wed</v>
      </c>
      <c r="L4" s="24" t="str">
        <f aca="false">TEXT(L3,"ddd")</f>
        <v>Thu</v>
      </c>
      <c r="M4" s="24" t="str">
        <f aca="false">TEXT(M3,"ddd")</f>
        <v>Fri</v>
      </c>
      <c r="N4" s="24" t="str">
        <f aca="false">TEXT(N3,"ddd")</f>
        <v>Sat</v>
      </c>
      <c r="O4" s="24" t="str">
        <f aca="false">TEXT(O3,"ddd")</f>
        <v>Sun</v>
      </c>
      <c r="P4" s="24" t="str">
        <f aca="false">TEXT(P3,"ddd")</f>
        <v>Mon</v>
      </c>
      <c r="Q4" s="24" t="str">
        <f aca="false">TEXT(Q3,"ddd")</f>
        <v>Tue</v>
      </c>
      <c r="R4" s="24" t="str">
        <f aca="false">TEXT(R3,"ddd")</f>
        <v>Wed</v>
      </c>
      <c r="S4" s="24" t="str">
        <f aca="false">TEXT(S3,"ddd")</f>
        <v>Thu</v>
      </c>
      <c r="T4" s="114" t="str">
        <f aca="false">TEXT(T3,"ddd")</f>
        <v>Fri</v>
      </c>
      <c r="U4" s="24" t="str">
        <f aca="false">TEXT(U3,"ddd")</f>
        <v>Sat</v>
      </c>
      <c r="V4" s="131" t="str">
        <f aca="false">TEXT(V3,"ddd")</f>
        <v>Sun</v>
      </c>
      <c r="W4" s="24" t="str">
        <f aca="false">TEXT(W3,"ddd")</f>
        <v>Mon</v>
      </c>
      <c r="X4" s="24" t="str">
        <f aca="false">TEXT(X3,"ddd")</f>
        <v>Tue</v>
      </c>
      <c r="Y4" s="24" t="str">
        <f aca="false">TEXT(Y3,"ddd")</f>
        <v>Wed</v>
      </c>
      <c r="Z4" s="24" t="str">
        <f aca="false">TEXT(Z3,"ddd")</f>
        <v>Thu</v>
      </c>
      <c r="AA4" s="24" t="str">
        <f aca="false">TEXT(AA3,"ddd")</f>
        <v>Fri</v>
      </c>
      <c r="AB4" s="24" t="str">
        <f aca="false">TEXT(AB3,"ddd")</f>
        <v>Sat</v>
      </c>
      <c r="AC4" s="24" t="str">
        <f aca="false">TEXT(AC3,"ddd")</f>
        <v>Sun</v>
      </c>
      <c r="AD4" s="24" t="str">
        <f aca="false">TEXT(AD3,"ddd")</f>
        <v>Mon</v>
      </c>
      <c r="AE4" s="24" t="str">
        <f aca="false">TEXT(AE3,"ddd")</f>
        <v>Tue</v>
      </c>
      <c r="AF4" s="24" t="str">
        <f aca="false">TEXT(AF3,"ddd")</f>
        <v>Wed</v>
      </c>
      <c r="AG4" s="114" t="str">
        <f aca="false">TEXT(AG3,"ddd")</f>
        <v>Thu</v>
      </c>
      <c r="AH4" s="24" t="str">
        <f aca="false">TEXT(AH3,"ddd")</f>
        <v>Fri</v>
      </c>
      <c r="AI4" s="25" t="str">
        <f aca="false">'Setting key Duty'!$B7</f>
        <v>DM</v>
      </c>
      <c r="AJ4" s="26" t="str">
        <f aca="false">'Setting key Duty'!$B8</f>
        <v>CS1</v>
      </c>
      <c r="AK4" s="27" t="str">
        <f aca="false">'Setting key Duty'!$B9</f>
        <v>CS2</v>
      </c>
      <c r="AL4" s="28" t="str">
        <f aca="false">'Setting key Duty'!$B11</f>
        <v>SB1</v>
      </c>
      <c r="AM4" s="28" t="str">
        <f aca="false">'Setting key Duty'!$B12</f>
        <v>SB2</v>
      </c>
      <c r="AN4" s="28" t="str">
        <f aca="false">'Setting key Duty'!$B13</f>
        <v>AE</v>
      </c>
      <c r="AO4" s="28" t="str">
        <f aca="false">'Setting key Duty'!B14</f>
        <v>EM</v>
      </c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 t="s">
        <v>45</v>
      </c>
      <c r="BA4" s="28" t="s">
        <v>46</v>
      </c>
      <c r="BB4" s="28"/>
      <c r="BC4" s="28" t="s">
        <v>47</v>
      </c>
      <c r="BD4" s="28"/>
      <c r="BE4" s="28" t="s">
        <v>48</v>
      </c>
      <c r="BF4" s="28"/>
      <c r="BG4" s="28" t="s">
        <v>49</v>
      </c>
      <c r="BH4" s="28" t="s">
        <v>50</v>
      </c>
      <c r="BI4" s="28"/>
      <c r="BJ4" s="28" t="s">
        <v>51</v>
      </c>
      <c r="BK4" s="28"/>
      <c r="BL4" s="28" t="str">
        <f aca="false">'Setting key Duty'!B52</f>
        <v>$FC</v>
      </c>
      <c r="BM4" s="28"/>
      <c r="BN4" s="28" t="n">
        <f aca="false">'Setting key Duty'!$B15</f>
        <v>0</v>
      </c>
      <c r="BO4" s="28" t="str">
        <f aca="false">'Setting key Duty'!B17</f>
        <v>RESERVE</v>
      </c>
      <c r="BP4" s="28" t="str">
        <f aca="false">'Setting key Duty'!$B22</f>
        <v>AL</v>
      </c>
      <c r="BQ4" s="29"/>
    </row>
    <row r="5" customFormat="false" ht="19.5" hidden="false" customHeight="true" outlineLevel="0" collapsed="false">
      <c r="A5" s="30"/>
      <c r="B5" s="138" t="s">
        <v>420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 t="s">
        <v>61</v>
      </c>
      <c r="S5" s="32"/>
      <c r="T5" s="32"/>
      <c r="U5" s="32"/>
      <c r="V5" s="50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5"/>
      <c r="AJ5" s="36"/>
      <c r="AK5" s="35"/>
      <c r="AL5" s="37"/>
      <c r="AM5" s="37"/>
      <c r="AN5" s="37"/>
      <c r="AO5" s="37"/>
      <c r="AP5" s="38"/>
      <c r="AQ5" s="37" t="n">
        <f aca="false">SUMPRODUCT(--WEEKDAY(C$3:AG$3,2)&lt;6,--((C5:AG5="DM"))+(C5:AG5="CS1")+((C5:AG5="CS2"))+(C5:AG5="SB1")+(C5:AG5="AE")+(C5:AG5="EM"))</f>
        <v>0</v>
      </c>
      <c r="AR5" s="38"/>
      <c r="AS5" s="38" t="n">
        <f aca="false">SUMPRODUCT(--WEEKDAY(C$3:AG$3,2)&gt;5,--((C5:AG5="DM"))+(C5:AG5="CS1")+((C5:AG5="CS2"))+(C5:AG5="SB1")+(C5:AG5="AE")+(C5:AG5="EM"))</f>
        <v>0</v>
      </c>
      <c r="AT5" s="38"/>
      <c r="AU5" s="38" t="n">
        <f aca="false">(AQ5-AR5)/2+(AS5-AT5)</f>
        <v>0</v>
      </c>
      <c r="AV5" s="38" t="n">
        <f aca="false">AI5+AJ5+AK5+AL5+AN5+AO5</f>
        <v>0</v>
      </c>
      <c r="AW5" s="38" t="n">
        <f aca="false">BG5+BH5+BJ5+BE5+BC5+BA5+BL5</f>
        <v>0</v>
      </c>
      <c r="AX5" s="38" t="e">
        <f aca="false">AU5+$AY$11</f>
        <v>#VALUE!</v>
      </c>
      <c r="AY5" s="37" t="e">
        <f aca="false">(BJ5*('Setting key Duty'!$I$8+'Setting key Duty'!$I$12))+(BH5*'Setting key Duty'!$I$9)+(BC5*('Setting key Duty'!$I$13+'Setting key Duty'!$I$9))+(BA5*('Setting key Duty'!$I$13+'Setting key Duty'!$I$12+'Setting key Duty'!$I$11))+(BE5*('Setting key Duty'!$I$8+'Setting key Duty'!$I$9+'Setting key Duty'!$I$12))</f>
        <v>#VALUE!</v>
      </c>
      <c r="AZ5" s="37" t="n">
        <f aca="false">COUNTIF(D5:AA5,"*BRT*")</f>
        <v>0</v>
      </c>
      <c r="BA5" s="37" t="n">
        <f aca="false">COUNTIF(A5:AI5,"*$BTP*")</f>
        <v>0</v>
      </c>
      <c r="BB5" s="37" t="e">
        <f aca="false">BA5*('Setting key Duty'!$I$13+'Setting key Duty'!$I$12+'Setting key Duty'!$I$11)</f>
        <v>#VALUE!</v>
      </c>
      <c r="BC5" s="37" t="n">
        <f aca="false">COUNTIF(A5:AI5,"*$L*")</f>
        <v>0</v>
      </c>
      <c r="BD5" s="37" t="e">
        <f aca="false">BC5*('Setting key Duty'!$I$13+'Setting key Duty'!$I$9)</f>
        <v>#VALUE!</v>
      </c>
      <c r="BE5" s="37" t="n">
        <f aca="false">COUNTIF(A5:AI5,"*$M*")</f>
        <v>0</v>
      </c>
      <c r="BF5" s="37" t="n">
        <f aca="false">BE5*('Setting key Duty'!$I$8+'Setting key Duty'!$I$9+'Setting key Duty'!$I$12)</f>
        <v>0</v>
      </c>
      <c r="BG5" s="37" t="n">
        <f aca="false">COUNTIF(AI5,"*$N*")</f>
        <v>0</v>
      </c>
      <c r="BH5" s="37" t="n">
        <f aca="false">COUNTIF(AI5,"*$PM*")</f>
        <v>0</v>
      </c>
      <c r="BI5" s="37" t="n">
        <f aca="false">BH5*('Setting key Duty'!$I$9)</f>
        <v>0</v>
      </c>
      <c r="BJ5" s="37" t="n">
        <f aca="false">COUNTIF(A5:AI5,"*$AM*")</f>
        <v>0</v>
      </c>
      <c r="BK5" s="37" t="n">
        <f aca="false">BJ5*('Setting key Duty'!$I$12+'Setting key Duty'!$I$8)</f>
        <v>0</v>
      </c>
      <c r="BL5" s="37" t="n">
        <f aca="false">COUNTIF(D5:AI5,"*$FC*")</f>
        <v>0</v>
      </c>
      <c r="BM5" s="37" t="n">
        <f aca="false">BL5*('Setting key Duty'!$J$11+'Setting key Duty'!$I$8)</f>
        <v>0</v>
      </c>
      <c r="BN5" s="37" t="n">
        <f aca="false">COUNTIF($D5:$AA5,BN$4)</f>
        <v>0</v>
      </c>
      <c r="BO5" s="37" t="n">
        <f aca="false">COUNTIF($D5:$AA5,BO$4)</f>
        <v>0</v>
      </c>
      <c r="BP5" s="37" t="n">
        <f aca="false">COUNTIF($D5:$AA5,BP$4)</f>
        <v>0</v>
      </c>
      <c r="BQ5" s="39"/>
    </row>
    <row r="6" customFormat="false" ht="36" hidden="false" customHeight="true" outlineLevel="0" collapsed="false">
      <c r="A6" s="30"/>
      <c r="B6" s="104" t="s">
        <v>60</v>
      </c>
      <c r="C6" s="99"/>
      <c r="D6" s="32"/>
      <c r="E6" s="32"/>
      <c r="F6" s="32"/>
      <c r="G6" s="32"/>
      <c r="H6" s="32"/>
      <c r="I6" s="32"/>
      <c r="J6" s="32"/>
      <c r="K6" s="42"/>
      <c r="L6" s="42"/>
      <c r="M6" s="32"/>
      <c r="N6" s="32" t="s">
        <v>58</v>
      </c>
      <c r="O6" s="32"/>
      <c r="P6" s="139" t="s">
        <v>380</v>
      </c>
      <c r="Q6" s="139" t="s">
        <v>380</v>
      </c>
      <c r="R6" s="32" t="s">
        <v>505</v>
      </c>
      <c r="S6" s="32"/>
      <c r="T6" s="139" t="s">
        <v>162</v>
      </c>
      <c r="U6" s="32"/>
      <c r="V6" s="50"/>
      <c r="W6" s="32"/>
      <c r="X6" s="32"/>
      <c r="Y6" s="32"/>
      <c r="Z6" s="32" t="s">
        <v>55</v>
      </c>
      <c r="AA6" s="32" t="s">
        <v>55</v>
      </c>
      <c r="AB6" s="32"/>
      <c r="AC6" s="32"/>
      <c r="AD6" s="32"/>
      <c r="AE6" s="32"/>
      <c r="AF6" s="33"/>
      <c r="AG6" s="32" t="s">
        <v>55</v>
      </c>
      <c r="AH6" s="32" t="s">
        <v>55</v>
      </c>
      <c r="AI6" s="35" t="n">
        <f aca="false">COUNTIF($D6:$AE6,AI$4)</f>
        <v>0</v>
      </c>
      <c r="AJ6" s="36" t="n">
        <f aca="false">COUNTIF($D6:$AE6,AJ$4)</f>
        <v>0</v>
      </c>
      <c r="AK6" s="35" t="n">
        <f aca="false">COUNTIF($D6:$AE6,AK$4)</f>
        <v>0</v>
      </c>
      <c r="AL6" s="37" t="n">
        <f aca="false">COUNTIF($D6:$AE6,AL$4)</f>
        <v>1</v>
      </c>
      <c r="AM6" s="37" t="n">
        <f aca="false">COUNTIF($D6:$AE6,AM$4)</f>
        <v>0</v>
      </c>
      <c r="AN6" s="37" t="n">
        <f aca="false">COUNTIF($D6:$AE6,AN$4)</f>
        <v>0</v>
      </c>
      <c r="AO6" s="37" t="n">
        <f aca="false">COUNTIF($D6:$AE6,AO$4)</f>
        <v>0</v>
      </c>
      <c r="AP6" s="38"/>
      <c r="AQ6" s="37" t="n">
        <f aca="false">SUMPRODUCT(--WEEKDAY(C$3:AG$3,2)&lt;6,--((C6:AG6="DM"))+(C6:AG6="CS1")+((C6:AG6="CS2"))+(C6:AG6="SB1")+(C6:AG6="AE")+(C6:AG6="EM"))</f>
        <v>0</v>
      </c>
      <c r="AR6" s="38"/>
      <c r="AS6" s="38" t="n">
        <f aca="false">SUMPRODUCT(--WEEKDAY(C$3:AG$3,2)&gt;5,--((C6:AG6="DM"))+(C6:AG6="CS1")+((C6:AG6="CS2"))+(C6:AG6="SB1")+(C6:AG6="AE")+(C6:AG6="EM"))</f>
        <v>0</v>
      </c>
      <c r="AT6" s="38"/>
      <c r="AU6" s="38" t="n">
        <f aca="false">(AQ6-AR6)/2+(AS6-AT6)</f>
        <v>0</v>
      </c>
      <c r="AV6" s="38" t="n">
        <f aca="false">AI6+AJ6+AK6+AL6+AN6+AO6</f>
        <v>1</v>
      </c>
      <c r="AW6" s="38" t="e">
        <f aca="false">AU6+AY6</f>
        <v>#VALUE!</v>
      </c>
      <c r="AX6" s="38" t="e">
        <f aca="false">AU6+AY6</f>
        <v>#VALUE!</v>
      </c>
      <c r="AY6" s="37" t="e">
        <f aca="false">(BJ6*('Setting key Duty'!$I$8+'Setting key Duty'!$I$12))+(BH6*'Setting key Duty'!$I$9)+(BC6*('Setting key Duty'!$I$13+'Setting key Duty'!$I$9))+(BA6*('Setting key Duty'!$I$13+'Setting key Duty'!$I$12+'Setting key Duty'!$I$11))+(BE6*('Setting key Duty'!$I$8+'Setting key Duty'!$I$9+'Setting key Duty'!$I$12))</f>
        <v>#VALUE!</v>
      </c>
      <c r="AZ6" s="37" t="n">
        <f aca="false">COUNTIF(D6:AE6,"*BRT*")</f>
        <v>0</v>
      </c>
      <c r="BA6" s="37" t="n">
        <f aca="false">COUNTIF(A6:AI6,"*$BTP*")</f>
        <v>0</v>
      </c>
      <c r="BB6" s="37" t="e">
        <f aca="false">BA6*('Setting key Duty'!$I$13+'Setting key Duty'!$I$12+'Setting key Duty'!$I$11)</f>
        <v>#VALUE!</v>
      </c>
      <c r="BC6" s="37" t="n">
        <f aca="false">COUNTIF(A6:AI6,"*$L*")</f>
        <v>0</v>
      </c>
      <c r="BD6" s="37" t="e">
        <f aca="false">BC6*('Setting key Duty'!$I$13+'Setting key Duty'!$I$9)</f>
        <v>#VALUE!</v>
      </c>
      <c r="BE6" s="37" t="n">
        <f aca="false">COUNTIF(A6:AI6,"*$M*")</f>
        <v>0</v>
      </c>
      <c r="BF6" s="37" t="n">
        <f aca="false">BE6*('Setting key Duty'!$I$8+'Setting key Duty'!$I$9+'Setting key Duty'!$I$12)</f>
        <v>0</v>
      </c>
      <c r="BG6" s="37" t="n">
        <f aca="false">COUNTIF(AE6:AI6,"*$N*")</f>
        <v>0</v>
      </c>
      <c r="BH6" s="37" t="n">
        <f aca="false">COUNTIF(AE6:AI6,"*$PM*")</f>
        <v>0</v>
      </c>
      <c r="BI6" s="37" t="n">
        <f aca="false">BH6*('Setting key Duty'!$I$9)</f>
        <v>0</v>
      </c>
      <c r="BJ6" s="37" t="n">
        <f aca="false">COUNTIF(A6:AI6,"*$AM*")</f>
        <v>0</v>
      </c>
      <c r="BK6" s="37" t="n">
        <f aca="false">BJ6*('Setting key Duty'!$I$12+'Setting key Duty'!$I$8)</f>
        <v>0</v>
      </c>
      <c r="BL6" s="37" t="n">
        <f aca="false">COUNTIF(D6:AI6,"*$FC*")</f>
        <v>0</v>
      </c>
      <c r="BM6" s="37" t="n">
        <f aca="false">BL6*('Setting key Duty'!$J$11+'Setting key Duty'!$I$8)</f>
        <v>0</v>
      </c>
      <c r="BN6" s="37" t="n">
        <f aca="false">COUNTIF($D6:$AE6,BN$4)</f>
        <v>0</v>
      </c>
      <c r="BO6" s="37" t="n">
        <f aca="false">COUNTIF($D6:$AE6,BO$4)</f>
        <v>0</v>
      </c>
      <c r="BP6" s="37" t="n">
        <f aca="false">COUNTIF($D6:$AE6,BP$4)</f>
        <v>2</v>
      </c>
      <c r="BQ6" s="39"/>
    </row>
    <row r="7" customFormat="false" ht="36" hidden="false" customHeight="true" outlineLevel="0" collapsed="false">
      <c r="A7" s="30"/>
      <c r="B7" s="140" t="s">
        <v>479</v>
      </c>
      <c r="C7" s="141" t="s">
        <v>69</v>
      </c>
      <c r="D7" s="32"/>
      <c r="E7" s="32"/>
      <c r="F7" s="32" t="s">
        <v>506</v>
      </c>
      <c r="G7" s="32"/>
      <c r="H7" s="32"/>
      <c r="I7" s="32"/>
      <c r="J7" s="32"/>
      <c r="K7" s="90"/>
      <c r="L7" s="42"/>
      <c r="M7" s="141" t="s">
        <v>69</v>
      </c>
      <c r="N7" s="32"/>
      <c r="O7" s="32"/>
      <c r="P7" s="139"/>
      <c r="Q7" s="139"/>
      <c r="R7" s="32"/>
      <c r="S7" s="32"/>
      <c r="T7" s="139"/>
      <c r="U7" s="32"/>
      <c r="V7" s="50"/>
      <c r="W7" s="32"/>
      <c r="X7" s="32"/>
      <c r="Y7" s="32"/>
      <c r="Z7" s="98"/>
      <c r="AA7" s="32"/>
      <c r="AB7" s="32"/>
      <c r="AC7" s="32"/>
      <c r="AD7" s="32"/>
      <c r="AE7" s="141"/>
      <c r="AF7" s="33"/>
      <c r="AG7" s="32"/>
      <c r="AH7" s="32"/>
      <c r="AI7" s="35"/>
      <c r="AJ7" s="36"/>
      <c r="AK7" s="35"/>
      <c r="AL7" s="37"/>
      <c r="AM7" s="37"/>
      <c r="AN7" s="37"/>
      <c r="AO7" s="37"/>
      <c r="AP7" s="38"/>
      <c r="AQ7" s="37"/>
      <c r="AR7" s="38"/>
      <c r="AS7" s="38"/>
      <c r="AT7" s="38"/>
      <c r="AU7" s="38"/>
      <c r="AV7" s="38"/>
      <c r="AW7" s="38"/>
      <c r="AX7" s="38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9"/>
    </row>
    <row r="8" customFormat="false" ht="19.5" hidden="false" customHeight="true" outlineLevel="0" collapsed="false">
      <c r="A8" s="30"/>
      <c r="B8" s="100" t="s">
        <v>211</v>
      </c>
      <c r="D8" s="32"/>
      <c r="E8" s="32" t="s">
        <v>507</v>
      </c>
      <c r="F8" s="32"/>
      <c r="G8" s="42"/>
      <c r="H8" s="32"/>
      <c r="I8" s="32" t="s">
        <v>508</v>
      </c>
      <c r="J8" s="32"/>
      <c r="L8" s="32"/>
      <c r="M8" s="32"/>
      <c r="N8" s="32" t="s">
        <v>57</v>
      </c>
      <c r="O8" s="32"/>
      <c r="P8" s="139" t="s">
        <v>380</v>
      </c>
      <c r="Q8" s="139" t="s">
        <v>380</v>
      </c>
      <c r="R8" s="32"/>
      <c r="S8" s="32"/>
      <c r="T8" s="139" t="s">
        <v>162</v>
      </c>
      <c r="U8" s="32"/>
      <c r="V8" s="50"/>
      <c r="W8" s="32"/>
      <c r="X8" s="32"/>
      <c r="Y8" s="32"/>
      <c r="Z8" s="98"/>
      <c r="AA8" s="32"/>
      <c r="AB8" s="32"/>
      <c r="AC8" s="32"/>
      <c r="AD8" s="32"/>
      <c r="AF8" s="32"/>
      <c r="AG8" s="32"/>
      <c r="AH8" s="32"/>
      <c r="AI8" s="35" t="e">
        <f aca="false">COUNTIF(#REF!,AI$4)</f>
        <v>#REF!</v>
      </c>
      <c r="AJ8" s="36" t="e">
        <f aca="false">COUNTIF(#REF!,AJ$4)</f>
        <v>#REF!</v>
      </c>
      <c r="AK8" s="35" t="e">
        <f aca="false">COUNTIF(#REF!,AK$4)</f>
        <v>#REF!</v>
      </c>
      <c r="AL8" s="37" t="e">
        <f aca="false">COUNTIF(#REF!,AL$4)</f>
        <v>#REF!</v>
      </c>
      <c r="AM8" s="37" t="e">
        <f aca="false">COUNTIF(#REF!,AM$4)</f>
        <v>#REF!</v>
      </c>
      <c r="AN8" s="37" t="e">
        <f aca="false">COUNTIF(#REF!,AN$4)</f>
        <v>#REF!</v>
      </c>
      <c r="AO8" s="37" t="e">
        <f aca="false">COUNTIF(#REF!,AO$4)</f>
        <v>#REF!</v>
      </c>
      <c r="AP8" s="38"/>
      <c r="AQ8" s="37" t="n">
        <f aca="false">SUMPRODUCT(--WEEKDAY(C$3:AG$3,2)&lt;6,--((C8:AG8="DM"))+(C8:AG8="CS1")+((C8:AG8="CS2"))+(C8:AG8="SB1")+(C8:AG8="AE")+(C8:AG8="EM"))</f>
        <v>0</v>
      </c>
      <c r="AR8" s="38"/>
      <c r="AS8" s="38" t="n">
        <f aca="false">SUMPRODUCT(--WEEKDAY(C$3:AG$3,2)&gt;5,--((C8:AG8="DM"))+(C8:AG8="CS1")+((C8:AG8="CS2"))+(C8:AG8="SB1")+(C8:AG8="AE")+(C8:AG8="EM"))</f>
        <v>1</v>
      </c>
      <c r="AT8" s="38"/>
      <c r="AU8" s="38" t="n">
        <f aca="false">(AQ8-AR8)/2+(AS8-AT8)</f>
        <v>1</v>
      </c>
      <c r="AV8" s="38" t="e">
        <f aca="false">AI8+AJ8+AK8+AL8+AN8+AO8</f>
        <v>#REF!</v>
      </c>
      <c r="AW8" s="38" t="n">
        <f aca="false">BG8+BH8+BJ8+BE8+BC8+BA8+BL8</f>
        <v>0</v>
      </c>
      <c r="AX8" s="38" t="e">
        <f aca="false">AU8+AY8</f>
        <v>#VALUE!</v>
      </c>
      <c r="AY8" s="37" t="e">
        <f aca="false">(BJ8*('Setting key Duty'!$I$8+'Setting key Duty'!$I$12))+(BH8*'Setting key Duty'!$I$9)+(BC8*('Setting key Duty'!$I$13+'Setting key Duty'!$I$9))+(BA8*('Setting key Duty'!$I$13+'Setting key Duty'!$I$12+'Setting key Duty'!$I$11))+(BE8*('Setting key Duty'!$I$8+'Setting key Duty'!$I$9+'Setting key Duty'!$I$12))</f>
        <v>#VALUE!</v>
      </c>
      <c r="AZ8" s="37" t="e">
        <f aca="false">COUNTIF(#REF!,"*BRT*")</f>
        <v>#REF!</v>
      </c>
      <c r="BA8" s="37" t="n">
        <f aca="false">COUNTIF(A8:AI8,"*$BTP*")</f>
        <v>0</v>
      </c>
      <c r="BB8" s="37" t="e">
        <f aca="false">BA8*('Setting key Duty'!$I$13+'Setting key Duty'!$I$12+'Setting key Duty'!$I$11)</f>
        <v>#VALUE!</v>
      </c>
      <c r="BC8" s="37" t="n">
        <f aca="false">COUNTIF(A8:AI8,"*$L*")</f>
        <v>0</v>
      </c>
      <c r="BD8" s="37" t="e">
        <f aca="false">BC8*('Setting key Duty'!$I$13+'Setting key Duty'!$I$9)</f>
        <v>#VALUE!</v>
      </c>
      <c r="BE8" s="37" t="n">
        <f aca="false">COUNTIF(A8:AI8,"*$M*")</f>
        <v>0</v>
      </c>
      <c r="BF8" s="37" t="n">
        <f aca="false">BE8*('Setting key Duty'!$I$8+'Setting key Duty'!$I$9+'Setting key Duty'!$I$12)</f>
        <v>0</v>
      </c>
      <c r="BG8" s="37" t="n">
        <f aca="false">COUNTIF(A8:AI8,"*$N*")</f>
        <v>0</v>
      </c>
      <c r="BH8" s="37" t="n">
        <f aca="false">COUNTIF(AF8:AI8,"*$PM*")</f>
        <v>0</v>
      </c>
      <c r="BI8" s="37" t="n">
        <f aca="false">BH8*('Setting key Duty'!$I$9)</f>
        <v>0</v>
      </c>
      <c r="BJ8" s="37" t="n">
        <f aca="false">COUNTIF(A8:AI8,"*$AM*")</f>
        <v>0</v>
      </c>
      <c r="BK8" s="37" t="n">
        <f aca="false">BJ8*('Setting key Duty'!$I$12+'Setting key Duty'!$I$8)</f>
        <v>0</v>
      </c>
      <c r="BL8" s="37" t="n">
        <f aca="false">COUNTIF(D8:AI8,"*$FC*")</f>
        <v>0</v>
      </c>
      <c r="BM8" s="37" t="n">
        <f aca="false">BL8*('Setting key Duty'!$J$11+'Setting key Duty'!$I$8)</f>
        <v>0</v>
      </c>
      <c r="BN8" s="37" t="e">
        <f aca="false">COUNTIF(#REF!,BN$4)</f>
        <v>#REF!</v>
      </c>
      <c r="BO8" s="37" t="e">
        <f aca="false">COUNTIF(#REF!,BO$4)</f>
        <v>#REF!</v>
      </c>
      <c r="BP8" s="37" t="e">
        <f aca="false">COUNTIF(#REF!,BP$4)</f>
        <v>#REF!</v>
      </c>
      <c r="BQ8" s="39"/>
    </row>
    <row r="9" customFormat="false" ht="19.5" hidden="false" customHeight="true" outlineLevel="0" collapsed="false">
      <c r="A9" s="30"/>
      <c r="B9" s="132" t="s">
        <v>63</v>
      </c>
      <c r="C9" s="32"/>
      <c r="D9" s="32"/>
      <c r="E9" s="32"/>
      <c r="F9" s="32"/>
      <c r="G9" s="32"/>
      <c r="H9" s="45"/>
      <c r="I9" s="32"/>
      <c r="J9" s="32"/>
      <c r="K9" s="98"/>
      <c r="L9" s="98"/>
      <c r="M9" s="98"/>
      <c r="N9" s="98"/>
      <c r="O9" s="133"/>
      <c r="R9" s="98"/>
      <c r="S9" s="98"/>
      <c r="T9" s="98"/>
      <c r="U9" s="98"/>
      <c r="V9" s="134"/>
      <c r="W9" s="98"/>
      <c r="X9" s="98"/>
      <c r="Y9" s="98"/>
      <c r="Z9" s="98"/>
      <c r="AA9" s="98"/>
      <c r="AB9" s="98"/>
      <c r="AC9" s="98"/>
      <c r="AD9" s="98"/>
      <c r="AE9" s="98"/>
      <c r="AF9" s="98"/>
      <c r="AG9" s="98"/>
      <c r="AH9" s="98"/>
      <c r="AI9" s="35"/>
      <c r="AJ9" s="36"/>
      <c r="AK9" s="35"/>
      <c r="AL9" s="37"/>
      <c r="AM9" s="37"/>
      <c r="AN9" s="37"/>
      <c r="AO9" s="37"/>
      <c r="AP9" s="38"/>
      <c r="AQ9" s="37" t="n">
        <f aca="false">SUMPRODUCT(--WEEKDAY(C$3:AG$3,2)&lt;6,--((C9:AG9="DM"))+(C9:AG9="CS1")+((C9:AG9="CS2"))+(C9:AG9="SB1")+(C9:AG9="AE")+(C9:AG9="EM"))</f>
        <v>0</v>
      </c>
      <c r="AR9" s="38"/>
      <c r="AS9" s="38" t="n">
        <f aca="false">SUMPRODUCT(--WEEKDAY(C$3:AG$3,2)&gt;5,--((C9:AG9="DM"))+(C9:AG9="CS1")+((C9:AG9="CS2"))+(C9:AG9="SB1")+(C9:AG9="AE")+(C9:AG9="EM"))</f>
        <v>0</v>
      </c>
      <c r="AT9" s="38"/>
      <c r="AU9" s="38" t="n">
        <f aca="false">(AQ9-AR9)/2+(AS9-AT9)</f>
        <v>0</v>
      </c>
      <c r="AV9" s="38" t="n">
        <f aca="false">AI9+AJ9+AK9+AL9+AN9+AO9</f>
        <v>0</v>
      </c>
      <c r="AW9" s="38" t="n">
        <f aca="false">BG9+BH9+BJ9+BE9+BC9+BA9+BL9</f>
        <v>0</v>
      </c>
      <c r="AX9" s="38" t="n">
        <f aca="false">AU9+AY9</f>
        <v>0</v>
      </c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9"/>
    </row>
    <row r="10" customFormat="false" ht="19.5" hidden="false" customHeight="true" outlineLevel="0" collapsed="false">
      <c r="A10" s="30"/>
      <c r="B10" s="101" t="s">
        <v>377</v>
      </c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139" t="s">
        <v>380</v>
      </c>
      <c r="Q10" s="139" t="s">
        <v>380</v>
      </c>
      <c r="R10" s="32"/>
      <c r="S10" s="32"/>
      <c r="T10" s="139" t="s">
        <v>162</v>
      </c>
      <c r="U10" s="98"/>
      <c r="V10" s="32"/>
      <c r="W10" s="32"/>
      <c r="X10" s="32"/>
      <c r="Y10" s="32"/>
      <c r="Z10" s="32"/>
      <c r="AA10" s="32"/>
      <c r="AB10" s="98"/>
      <c r="AC10" s="98"/>
      <c r="AD10" s="32"/>
      <c r="AE10" s="32"/>
      <c r="AF10" s="32"/>
      <c r="AG10" s="32"/>
      <c r="AH10" s="32"/>
      <c r="AI10" s="35"/>
      <c r="AJ10" s="36"/>
      <c r="AK10" s="35"/>
      <c r="AL10" s="37"/>
      <c r="AM10" s="37"/>
      <c r="AN10" s="37"/>
      <c r="AO10" s="37"/>
      <c r="AP10" s="38"/>
      <c r="AQ10" s="37" t="n">
        <f aca="false">SUMPRODUCT(--WEEKDAY(C$3:AG$3,2)&lt;6,--((C10:AG10="DM"))+(C10:AG10="CS1")+((C10:AG10="CS2"))+(C10:AG10="SB1")+(C10:AG10="AE")+(C10:AG10="EM"))</f>
        <v>0</v>
      </c>
      <c r="AR10" s="38"/>
      <c r="AS10" s="38" t="n">
        <f aca="false">SUMPRODUCT(--WEEKDAY(C$3:AG$3,2)&gt;5,--((C10:AG10="DM"))+(C10:AG10="CS1")+((C10:AG10="CS2"))+(C10:AG10="SB1")+(C10:AG10="AE")+(C10:AG10="EM"))</f>
        <v>0</v>
      </c>
      <c r="AT10" s="38"/>
      <c r="AU10" s="38" t="n">
        <f aca="false">(AQ10-AR10)/2+(AS10-AT10)</f>
        <v>0</v>
      </c>
      <c r="AV10" s="38" t="n">
        <f aca="false">AI10+AJ10+AK10+AL10+AN10+AO10</f>
        <v>0</v>
      </c>
      <c r="AW10" s="38" t="n">
        <f aca="false">BG10+BH10+BJ10+BE10+BC10+BA10+BL10</f>
        <v>0</v>
      </c>
      <c r="AX10" s="38" t="e">
        <f aca="false">AU10+AY10</f>
        <v>#VALUE!</v>
      </c>
      <c r="AY10" s="37" t="e">
        <f aca="false">(BJ10*('Setting key Duty'!$I$8+'Setting key Duty'!$I$12))+(BH10*'Setting key Duty'!$I$9)+(BC10*('Setting key Duty'!$I$13+'Setting key Duty'!$I$9))+(BA10*('Setting key Duty'!$I$13+'Setting key Duty'!$I$12+'Setting key Duty'!$I$11))+(BE10*('Setting key Duty'!$I$8+'Setting key Duty'!$I$9+'Setting key Duty'!$I$12))</f>
        <v>#VALUE!</v>
      </c>
      <c r="AZ10" s="37" t="n">
        <f aca="false">COUNTIF(D10:V10,"*BRT*")</f>
        <v>0</v>
      </c>
      <c r="BA10" s="37" t="n">
        <f aca="false">COUNTIF(A10:AI10,"*$BTP*")</f>
        <v>0</v>
      </c>
      <c r="BB10" s="37" t="e">
        <f aca="false">BA10*('Setting key Duty'!$I$13+'Setting key Duty'!$I$12+'Setting key Duty'!$I$11)</f>
        <v>#VALUE!</v>
      </c>
      <c r="BC10" s="37" t="n">
        <f aca="false">COUNTIF(A10:AI10,"*$L*")</f>
        <v>0</v>
      </c>
      <c r="BD10" s="37" t="e">
        <f aca="false">BC10*('Setting key Duty'!$I$13+'Setting key Duty'!$I$9)</f>
        <v>#VALUE!</v>
      </c>
      <c r="BE10" s="37" t="n">
        <f aca="false">COUNTIF(A10:AI10,"*$M*")</f>
        <v>0</v>
      </c>
      <c r="BF10" s="37" t="n">
        <f aca="false">BE10*('Setting key Duty'!$I$8+'Setting key Duty'!$I$9+'Setting key Duty'!$I$12)</f>
        <v>0</v>
      </c>
      <c r="BG10" s="37" t="n">
        <f aca="false">COUNTIF(AI10,"*$N*")</f>
        <v>0</v>
      </c>
      <c r="BH10" s="37" t="n">
        <f aca="false">COUNTIF(AI10,"*$PM*")</f>
        <v>0</v>
      </c>
      <c r="BI10" s="37" t="n">
        <f aca="false">BH10*('Setting key Duty'!$I$9)</f>
        <v>0</v>
      </c>
      <c r="BJ10" s="37" t="n">
        <f aca="false">COUNTIF(A10:AI10,"*$AM*")</f>
        <v>0</v>
      </c>
      <c r="BK10" s="37" t="n">
        <f aca="false">BJ10*('Setting key Duty'!$I$12+'Setting key Duty'!$I$8)</f>
        <v>0</v>
      </c>
      <c r="BL10" s="37" t="n">
        <f aca="false">COUNTIF(D10:AI10,"*$FC*")</f>
        <v>0</v>
      </c>
      <c r="BM10" s="37" t="n">
        <f aca="false">BL10*('Setting key Duty'!$J$11+'Setting key Duty'!$I$8)</f>
        <v>0</v>
      </c>
      <c r="BN10" s="37" t="n">
        <f aca="false">COUNTIF($D10:$V10,BN$4)</f>
        <v>0</v>
      </c>
      <c r="BO10" s="37" t="n">
        <f aca="false">COUNTIF($D10:$V10,BO$4)</f>
        <v>0</v>
      </c>
      <c r="BP10" s="37" t="n">
        <f aca="false">COUNTIF($D10:$V10,BP$4)</f>
        <v>0</v>
      </c>
      <c r="BQ10" s="39"/>
    </row>
    <row r="11" customFormat="false" ht="19.5" hidden="false" customHeight="true" outlineLevel="0" collapsed="false">
      <c r="A11" s="30"/>
      <c r="B11" s="103" t="s">
        <v>467</v>
      </c>
      <c r="C11" s="32"/>
      <c r="E11" s="32"/>
      <c r="F11" s="32"/>
      <c r="G11" s="32"/>
      <c r="H11" s="45"/>
      <c r="I11" s="32"/>
      <c r="J11" s="32" t="s">
        <v>509</v>
      </c>
      <c r="K11" s="32"/>
      <c r="L11" s="32"/>
      <c r="M11" s="42"/>
      <c r="N11" s="98" t="s">
        <v>54</v>
      </c>
      <c r="O11" s="98"/>
      <c r="R11" s="52"/>
      <c r="T11" s="32"/>
      <c r="U11" s="52"/>
      <c r="V11" s="50"/>
      <c r="W11" s="45"/>
      <c r="X11" s="32"/>
      <c r="Y11" s="32"/>
      <c r="Z11" s="32"/>
      <c r="AA11" s="32"/>
      <c r="AB11" s="52"/>
      <c r="AC11" s="32"/>
      <c r="AD11" s="32"/>
      <c r="AE11" s="32"/>
      <c r="AF11" s="32"/>
      <c r="AG11" s="32"/>
      <c r="AH11" s="32"/>
      <c r="AI11" s="35"/>
      <c r="AJ11" s="36"/>
      <c r="AK11" s="35"/>
      <c r="AL11" s="37"/>
      <c r="AM11" s="37"/>
      <c r="AN11" s="37"/>
      <c r="AO11" s="37"/>
      <c r="AP11" s="38"/>
      <c r="AQ11" s="37" t="n">
        <f aca="false">SUMPRODUCT(--WEEKDAY(C$3:AG$3,2)&lt;6,--((C11:AG11="DM"))+(C11:AG11="CS1")+((C11:AG11="CS2"))+(C11:AG11="SB1")+(C11:AG11="AE")+(C11:AG11="EM"))</f>
        <v>0</v>
      </c>
      <c r="AR11" s="38"/>
      <c r="AS11" s="38" t="n">
        <f aca="false">SUMPRODUCT(--WEEKDAY(C$3:AG$3,2)&gt;5,--((C11:AG11="DM"))+(C11:AG11="CS1")+((C11:AG11="CS2"))+(C11:AG11="SB1")+(C11:AG11="AE")+(C11:AG11="EM"))</f>
        <v>0</v>
      </c>
      <c r="AT11" s="38"/>
      <c r="AU11" s="38" t="n">
        <f aca="false">(AQ11-AR11)/2+(AS11-AT11)</f>
        <v>0</v>
      </c>
      <c r="AV11" s="38" t="n">
        <f aca="false">AI11+AJ11+AK11+AL11+AN11+AO11</f>
        <v>0</v>
      </c>
      <c r="AW11" s="38" t="n">
        <f aca="false">BG11+BH11+BJ11+BE11+BC11+BA11+BL11</f>
        <v>0</v>
      </c>
      <c r="AX11" s="38" t="e">
        <f aca="false">AU11+$AY$11</f>
        <v>#VALUE!</v>
      </c>
      <c r="AY11" s="37" t="e">
        <f aca="false"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37" t="n">
        <f aca="false">COUNTIF(C11:AC11,"*BRT*")</f>
        <v>0</v>
      </c>
      <c r="BA11" s="37" t="n">
        <f aca="false">COUNTIF(A11:AI11,"*$BTP*")</f>
        <v>0</v>
      </c>
      <c r="BB11" s="37" t="e">
        <f aca="false">BA11*('Setting key Duty'!$I$13+'Setting key Duty'!$I$12+'Setting key Duty'!$I$11)</f>
        <v>#VALUE!</v>
      </c>
      <c r="BC11" s="37" t="n">
        <f aca="false">COUNTIF(D11:AI11,"*$L*")</f>
        <v>0</v>
      </c>
      <c r="BD11" s="37" t="e">
        <f aca="false">BC11*('Setting key Duty'!$I$13+'Setting key Duty'!$I$9)</f>
        <v>#VALUE!</v>
      </c>
      <c r="BE11" s="37" t="n">
        <f aca="false">COUNTIF(D11:AI11,"*$M*")</f>
        <v>0</v>
      </c>
      <c r="BF11" s="37" t="n">
        <f aca="false">BE11*('Setting key Duty'!$I$8+'Setting key Duty'!$I$9+'Setting key Duty'!$I$12)</f>
        <v>0</v>
      </c>
      <c r="BG11" s="37" t="n">
        <f aca="false">COUNTIF(D11:AI11,"*$N*")</f>
        <v>0</v>
      </c>
      <c r="BH11" s="37" t="n">
        <f aca="false">COUNTIF(D11:AI11,"*$PM*")</f>
        <v>0</v>
      </c>
      <c r="BI11" s="37" t="n">
        <f aca="false">BH11*('Setting key Duty'!$I$9)</f>
        <v>0</v>
      </c>
      <c r="BJ11" s="37" t="n">
        <f aca="false">COUNTIF(D11:AI11,"*$AM*")</f>
        <v>0</v>
      </c>
      <c r="BK11" s="37" t="n">
        <f aca="false">BJ11*('Setting key Duty'!$I$12+'Setting key Duty'!$I$8)</f>
        <v>0</v>
      </c>
      <c r="BL11" s="37" t="n">
        <f aca="false">COUNTIF(C11:AI11,"*$FC*")</f>
        <v>0</v>
      </c>
      <c r="BM11" s="37" t="n">
        <f aca="false">BL11*('Setting key Duty'!$J$11+'Setting key Duty'!$I$8)</f>
        <v>0</v>
      </c>
      <c r="BN11" s="37" t="n">
        <f aca="false">COUNTIF($C11:$AG11,BN$4)</f>
        <v>0</v>
      </c>
      <c r="BO11" s="37" t="n">
        <f aca="false">COUNTIF($C11:$AG11,BO$4)</f>
        <v>0</v>
      </c>
      <c r="BP11" s="37" t="n">
        <f aca="false">COUNTIF($D11:$AD11,BP$4)</f>
        <v>0</v>
      </c>
      <c r="BQ11" s="39"/>
    </row>
    <row r="12" customFormat="false" ht="19.5" hidden="false" customHeight="true" outlineLevel="0" collapsed="false">
      <c r="A12" s="30"/>
      <c r="B12" s="104" t="s">
        <v>70</v>
      </c>
      <c r="C12" s="32"/>
      <c r="D12" s="32" t="s">
        <v>57</v>
      </c>
      <c r="E12" s="32"/>
      <c r="F12" s="32"/>
      <c r="G12" s="32" t="s">
        <v>57</v>
      </c>
      <c r="H12" s="32" t="s">
        <v>510</v>
      </c>
      <c r="I12" s="32" t="s">
        <v>253</v>
      </c>
      <c r="J12" s="32"/>
      <c r="L12" s="32"/>
      <c r="M12" s="32"/>
      <c r="N12" s="32" t="s">
        <v>54</v>
      </c>
      <c r="O12" s="32"/>
      <c r="P12" s="139" t="s">
        <v>380</v>
      </c>
      <c r="Q12" s="139" t="s">
        <v>380</v>
      </c>
      <c r="R12" s="32"/>
      <c r="S12" s="32"/>
      <c r="T12" s="139" t="s">
        <v>162</v>
      </c>
      <c r="U12" s="52"/>
      <c r="V12" s="50"/>
      <c r="W12" s="32"/>
      <c r="X12" s="32"/>
      <c r="Y12" s="32"/>
      <c r="Z12" s="32"/>
      <c r="AA12" s="32" t="s">
        <v>55</v>
      </c>
      <c r="AB12" s="32" t="s">
        <v>120</v>
      </c>
      <c r="AC12" s="32"/>
      <c r="AD12" s="32"/>
      <c r="AE12" s="32"/>
      <c r="AF12" s="32"/>
      <c r="AG12" s="32"/>
      <c r="AH12" s="32"/>
      <c r="AI12" s="35"/>
      <c r="AJ12" s="36"/>
      <c r="AK12" s="35"/>
      <c r="AL12" s="37"/>
      <c r="AM12" s="37"/>
      <c r="AN12" s="37"/>
      <c r="AO12" s="37"/>
      <c r="AP12" s="38"/>
      <c r="AQ12" s="37" t="n">
        <f aca="false">SUMPRODUCT(--WEEKDAY(C$3:AG$3,2)&lt;6,--((C12:AG12="DM"))+(C12:AG12="CS1")+((C12:AG12="CS2"))+(C12:AG12="SB1")+(C12:AG12="AE")+(C12:AG12="EM"))</f>
        <v>1</v>
      </c>
      <c r="AR12" s="38"/>
      <c r="AS12" s="38" t="n">
        <f aca="false">SUMPRODUCT(--WEEKDAY(C$3:AG$3,2)&gt;5,--((C12:AG12="DM"))+(C12:AG12="CS1")+((C12:AG12="CS2"))+(C12:AG12="SB1")+(C12:AG12="AE")+(C12:AG12="EM"))</f>
        <v>1</v>
      </c>
      <c r="AT12" s="38"/>
      <c r="AU12" s="38" t="n">
        <f aca="false">(AQ12-AR12)/2+(AS12-AT12)</f>
        <v>1.5</v>
      </c>
      <c r="AV12" s="38" t="n">
        <f aca="false">AI12+AJ12+AK12+AL12+AN12+AO12</f>
        <v>0</v>
      </c>
      <c r="AW12" s="38" t="n">
        <f aca="false">BG12+BH12+BJ12+BE12+BC12+BA12+BL12</f>
        <v>0</v>
      </c>
      <c r="AX12" s="38" t="e">
        <f aca="false">AU12+AY12</f>
        <v>#VALUE!</v>
      </c>
      <c r="AY12" s="37" t="e">
        <f aca="false">(BJ12*('Setting key Duty'!$I$8+'Setting key Duty'!$I$12))+(BH12*'Setting key Duty'!$I$9)+(BC12*('Setting key Duty'!$I$13+'Setting key Duty'!$I$9))+(BA12*('Setting key Duty'!$I$13+'Setting key Duty'!$I$12+'Setting key Duty'!$I$11))+(BE12*('Setting key Duty'!$I$8+'Setting key Duty'!$I$9+'Setting key Duty'!$I$12))</f>
        <v>#VALUE!</v>
      </c>
      <c r="AZ12" s="37" t="n">
        <f aca="false">COUNTIF(D12:AC12,"*BRT*")</f>
        <v>0</v>
      </c>
      <c r="BA12" s="37" t="n">
        <f aca="false">COUNTIF(A12:AI12,"*$BTP*")</f>
        <v>0</v>
      </c>
      <c r="BB12" s="37" t="e">
        <f aca="false">BA12*('Setting key Duty'!$I$13+'Setting key Duty'!$I$12+'Setting key Duty'!$I$11)</f>
        <v>#VALUE!</v>
      </c>
      <c r="BC12" s="37" t="n">
        <f aca="false">COUNTIF(A12:AI12,"*$L*")</f>
        <v>0</v>
      </c>
      <c r="BD12" s="37" t="e">
        <f aca="false">BC12*('Setting key Duty'!$I$13+'Setting key Duty'!$I$9)</f>
        <v>#VALUE!</v>
      </c>
      <c r="BE12" s="37" t="n">
        <f aca="false">COUNTIF(A12:AI12,"*$M*")</f>
        <v>0</v>
      </c>
      <c r="BF12" s="37" t="n">
        <f aca="false">BE12*('Setting key Duty'!$I$8+'Setting key Duty'!$I$9+'Setting key Duty'!$I$12)</f>
        <v>0</v>
      </c>
      <c r="BG12" s="37" t="n">
        <f aca="false">COUNTIF(AF12:AI12,"*$N*")</f>
        <v>0</v>
      </c>
      <c r="BH12" s="37" t="n">
        <f aca="false">COUNTIF(AF12:AI12,"*$PM*")</f>
        <v>0</v>
      </c>
      <c r="BI12" s="37" t="n">
        <f aca="false">BH12*('Setting key Duty'!$I$9)</f>
        <v>0</v>
      </c>
      <c r="BJ12" s="37" t="n">
        <f aca="false">COUNTIF(A12:AI12,"*$AM*")</f>
        <v>0</v>
      </c>
      <c r="BK12" s="37" t="n">
        <f aca="false">BJ12*('Setting key Duty'!$I$12+'Setting key Duty'!$I$8)</f>
        <v>0</v>
      </c>
      <c r="BL12" s="37" t="n">
        <f aca="false">COUNTIF(D12:AI12,"*$FC*")</f>
        <v>0</v>
      </c>
      <c r="BM12" s="37" t="n">
        <f aca="false">BL12*('Setting key Duty'!$J$11+'Setting key Duty'!$I$8)</f>
        <v>0</v>
      </c>
      <c r="BN12" s="37" t="n">
        <f aca="false">COUNTIF($D12:$AE12,BN$4)</f>
        <v>0</v>
      </c>
      <c r="BO12" s="37" t="n">
        <f aca="false">COUNTIF($D12:$AE12,BO$4)</f>
        <v>0</v>
      </c>
      <c r="BP12" s="37" t="n">
        <f aca="false">COUNTIF($D12:$AE12,BP$4)</f>
        <v>1</v>
      </c>
      <c r="BQ12" s="39"/>
    </row>
    <row r="13" customFormat="false" ht="19.5" hidden="false" customHeight="true" outlineLevel="0" collapsed="false">
      <c r="A13" s="30"/>
      <c r="B13" s="106" t="s">
        <v>72</v>
      </c>
      <c r="C13" s="32"/>
      <c r="D13" s="124"/>
      <c r="E13" s="32"/>
      <c r="F13" s="56"/>
      <c r="G13" s="32"/>
      <c r="H13" s="32"/>
      <c r="J13" s="32"/>
      <c r="K13" s="42"/>
      <c r="M13" s="32"/>
      <c r="N13" s="32"/>
      <c r="O13" s="32"/>
      <c r="P13" s="139" t="s">
        <v>380</v>
      </c>
      <c r="Q13" s="139" t="s">
        <v>380</v>
      </c>
      <c r="R13" s="32"/>
      <c r="T13" s="139" t="s">
        <v>162</v>
      </c>
      <c r="U13" s="4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5"/>
      <c r="AJ13" s="36"/>
      <c r="AK13" s="35"/>
      <c r="AL13" s="37"/>
      <c r="AM13" s="37"/>
      <c r="AN13" s="37"/>
      <c r="AO13" s="37"/>
      <c r="AP13" s="38"/>
      <c r="AQ13" s="37" t="n">
        <f aca="false">SUMPRODUCT(--WEEKDAY(C$3:AG$3,2)&lt;6,--((C13:AG13="DM"))+(C13:AG13="CS1")+((C13:AG13="CS2"))+(C13:AG13="SB1")+(C13:AG13="AE")+(C13:AG13="EM"))</f>
        <v>0</v>
      </c>
      <c r="AR13" s="38"/>
      <c r="AS13" s="38" t="n">
        <f aca="false">SUMPRODUCT(--WEEKDAY(C$3:AG$3,2)&gt;5,--((C13:AG13="DM"))+(C13:AG13="CS1")+((C13:AG13="CS2"))+(C13:AG13="SB1")+(C13:AG13="AE")+(C13:AG13="EM"))</f>
        <v>0</v>
      </c>
      <c r="AT13" s="38"/>
      <c r="AU13" s="38" t="n">
        <f aca="false">(AQ13-AR13)/2+(AS13-AT13)</f>
        <v>0</v>
      </c>
      <c r="AV13" s="38" t="n">
        <f aca="false">AI13+AJ13+AK13+AL13+AN13+AO13</f>
        <v>0</v>
      </c>
      <c r="AW13" s="38" t="n">
        <f aca="false">BG13+BH13+BJ13+BE13+BC13+BA13+BL13</f>
        <v>0</v>
      </c>
      <c r="AX13" s="38" t="e">
        <f aca="false">AU13+AY13</f>
        <v>#VALUE!</v>
      </c>
      <c r="AY13" s="37" t="e">
        <f aca="false">(BJ13*('Setting key Duty'!$I$8+'Setting key Duty'!$I$12))+(BH13*'Setting key Duty'!$I$9)+(BC13*('Setting key Duty'!$I$13+'Setting key Duty'!$I$9))+(BA13*('Setting key Duty'!$I$13+'Setting key Duty'!$I$12+'Setting key Duty'!$I$11))+(BE13*('Setting key Duty'!$I$8+'Setting key Duty'!$I$9+'Setting key Duty'!$I$12))</f>
        <v>#VALUE!</v>
      </c>
      <c r="AZ13" s="37" t="n">
        <f aca="false">COUNTIF(D13:Y13,"*BRT*")</f>
        <v>0</v>
      </c>
      <c r="BA13" s="37" t="n">
        <f aca="false">COUNTIF(A13:AI13,"*$BTP*")</f>
        <v>0</v>
      </c>
      <c r="BB13" s="37" t="e">
        <f aca="false">BA13*('Setting key Duty'!$I$13+'Setting key Duty'!$I$12+'Setting key Duty'!$I$11)</f>
        <v>#VALUE!</v>
      </c>
      <c r="BC13" s="37" t="n">
        <f aca="false">COUNTIF(A13:AI13,"*$L*")</f>
        <v>0</v>
      </c>
      <c r="BD13" s="37" t="e">
        <f aca="false">BC13*('Setting key Duty'!$I$13+'Setting key Duty'!$I$9)</f>
        <v>#VALUE!</v>
      </c>
      <c r="BE13" s="37" t="n">
        <f aca="false">COUNTIF(A13:AI13,"*$M*")</f>
        <v>0</v>
      </c>
      <c r="BF13" s="37" t="n">
        <f aca="false">BE13*('Setting key Duty'!$I$8+'Setting key Duty'!$I$9+'Setting key Duty'!$I$12)</f>
        <v>0</v>
      </c>
      <c r="BG13" s="37" t="n">
        <f aca="false">COUNTIF(AI13,"*$N*")</f>
        <v>0</v>
      </c>
      <c r="BH13" s="37" t="n">
        <f aca="false">COUNTIF(AI13,"*$PM*")</f>
        <v>0</v>
      </c>
      <c r="BI13" s="37" t="n">
        <f aca="false">BH13*('Setting key Duty'!$I$9)</f>
        <v>0</v>
      </c>
      <c r="BJ13" s="37" t="n">
        <f aca="false">COUNTIF(A13:AI13,"*$AM*")</f>
        <v>0</v>
      </c>
      <c r="BK13" s="37" t="n">
        <f aca="false">BJ13*('Setting key Duty'!$I$12+'Setting key Duty'!$I$8)</f>
        <v>0</v>
      </c>
      <c r="BL13" s="37" t="n">
        <f aca="false">COUNTIF(D13:AI13,"*$FC*")</f>
        <v>0</v>
      </c>
      <c r="BM13" s="37" t="n">
        <f aca="false">BL13*('Setting key Duty'!$J$11+'Setting key Duty'!$I$8)</f>
        <v>0</v>
      </c>
      <c r="BN13" s="37" t="n">
        <f aca="false">COUNTIF($D13:$Y13,BN$4)</f>
        <v>0</v>
      </c>
      <c r="BO13" s="37" t="n">
        <f aca="false">COUNTIF($D13:$Y13,BO$4)</f>
        <v>0</v>
      </c>
      <c r="BP13" s="37" t="n">
        <f aca="false">COUNTIF($D13:$Y13,BP$4)</f>
        <v>0</v>
      </c>
      <c r="BQ13" s="39"/>
    </row>
    <row r="14" customFormat="false" ht="24" hidden="false" customHeight="true" outlineLevel="0" collapsed="false">
      <c r="A14" s="30"/>
      <c r="B14" s="31" t="s">
        <v>353</v>
      </c>
      <c r="C14" s="32"/>
      <c r="D14" s="32"/>
      <c r="E14" s="32"/>
      <c r="F14" s="32"/>
      <c r="G14" s="32"/>
      <c r="H14" s="32"/>
      <c r="I14" s="32"/>
      <c r="J14" s="42"/>
      <c r="K14" s="32"/>
      <c r="L14" s="32"/>
      <c r="M14" s="32"/>
      <c r="N14" s="32" t="s">
        <v>56</v>
      </c>
      <c r="O14" s="32"/>
      <c r="P14" s="139" t="s">
        <v>380</v>
      </c>
      <c r="Q14" s="139" t="s">
        <v>380</v>
      </c>
      <c r="R14" s="32"/>
      <c r="S14" s="32"/>
      <c r="T14" s="139" t="s">
        <v>162</v>
      </c>
      <c r="U14" s="32"/>
      <c r="V14" s="50"/>
      <c r="W14" s="32"/>
      <c r="X14" s="32"/>
      <c r="Y14" s="32"/>
      <c r="Z14" s="32"/>
      <c r="AA14" s="32"/>
      <c r="AB14" s="32"/>
      <c r="AC14" s="32"/>
      <c r="AD14" s="32"/>
      <c r="AF14" s="32"/>
      <c r="AG14" s="32"/>
      <c r="AH14" s="32"/>
      <c r="AI14" s="35" t="n">
        <f aca="false">COUNTIF($C14:$AB14,AI$4)</f>
        <v>0</v>
      </c>
      <c r="AJ14" s="36" t="n">
        <f aca="false">COUNTIF($C14:$AB14,AJ$4)</f>
        <v>1</v>
      </c>
      <c r="AK14" s="35" t="n">
        <f aca="false">COUNTIF($C14:$AB14,AK$4)</f>
        <v>0</v>
      </c>
      <c r="AL14" s="37" t="n">
        <f aca="false">COUNTIF($C14:$AB14,AL$4)</f>
        <v>0</v>
      </c>
      <c r="AM14" s="37" t="n">
        <f aca="false">COUNTIF($C14:$AB14,AM$4)</f>
        <v>0</v>
      </c>
      <c r="AN14" s="37" t="n">
        <f aca="false">COUNTIF($C14:$AB14,AN$4)</f>
        <v>0</v>
      </c>
      <c r="AO14" s="37" t="n">
        <f aca="false">COUNTIF($C14:$AB14,AO$4)</f>
        <v>0</v>
      </c>
      <c r="AP14" s="38"/>
      <c r="AQ14" s="37" t="n">
        <f aca="false">SUMPRODUCT(--WEEKDAY(C$3:AG$3,2)&lt;6,--((C14:AG14="DM"))+(C14:AG14="CS1")+((C14:AG14="CS2"))+(C14:AG14="SB1")+(C14:AG14="AE")+(C14:AG14="EM"))</f>
        <v>0</v>
      </c>
      <c r="AR14" s="38"/>
      <c r="AS14" s="38" t="n">
        <f aca="false">SUMPRODUCT(--WEEKDAY(C$3:AG$3,2)&gt;5,--((C14:AG14="DM"))+(C14:AG14="CS1")+((C14:AG14="CS2"))+(C14:AG14="SB1")+(C14:AG14="AE")+(C14:AG14="EM"))</f>
        <v>1</v>
      </c>
      <c r="AT14" s="38"/>
      <c r="AU14" s="38" t="n">
        <f aca="false">(AQ14-AR14)/2+(AS14-AT14)</f>
        <v>1</v>
      </c>
      <c r="AV14" s="38" t="n">
        <f aca="false">AI14+AJ14+AK14+AL14+AN14+AO14</f>
        <v>1</v>
      </c>
      <c r="AW14" s="38" t="n">
        <f aca="false">BG14+BH14+BJ14+BE14+BC14+BA14+BL14</f>
        <v>0</v>
      </c>
      <c r="AX14" s="38" t="e">
        <f aca="false">AU14+AY14</f>
        <v>#VALUE!</v>
      </c>
      <c r="AY14" s="37" t="e">
        <f aca="false">(BJ14*('Setting key Duty'!$I$8+'Setting key Duty'!$I$12))+(BH14*'Setting key Duty'!$I$9)+(BC14*('Setting key Duty'!$I$13+'Setting key Duty'!$I$9))+(BA14*('Setting key Duty'!$I$13+'Setting key Duty'!$I$12+'Setting key Duty'!$I$11))+(BE14*('Setting key Duty'!$I$8+'Setting key Duty'!$I$9+'Setting key Duty'!$I$12))</f>
        <v>#VALUE!</v>
      </c>
      <c r="AZ14" s="37" t="n">
        <f aca="false">COUNTIF(C14:AB14,"*BRT*")</f>
        <v>0</v>
      </c>
      <c r="BA14" s="37" t="n">
        <f aca="false">COUNTIF(A14:AI14,"*$BTP*")</f>
        <v>0</v>
      </c>
      <c r="BB14" s="37" t="e">
        <f aca="false">BA14*('Setting key Duty'!$I$13+'Setting key Duty'!$I$12+'Setting key Duty'!$I$11)</f>
        <v>#VALUE!</v>
      </c>
      <c r="BC14" s="37" t="n">
        <f aca="false">COUNTIF(A14:AI14,"*$L*")</f>
        <v>0</v>
      </c>
      <c r="BD14" s="37" t="e">
        <f aca="false">BC14*('Setting key Duty'!$I$13+'Setting key Duty'!$I$9)</f>
        <v>#VALUE!</v>
      </c>
      <c r="BE14" s="37" t="n">
        <f aca="false">COUNTIF(A14:AI14,"*$M*")</f>
        <v>0</v>
      </c>
      <c r="BF14" s="37" t="n">
        <f aca="false">BE14*('Setting key Duty'!$I$8+'Setting key Duty'!$I$9+'Setting key Duty'!$I$12)</f>
        <v>0</v>
      </c>
      <c r="BG14" s="37" t="n">
        <f aca="false">COUNTIF(A14:AI14,"*$N*")</f>
        <v>0</v>
      </c>
      <c r="BH14" s="37" t="n">
        <f aca="false">COUNTIF(AI14,"*$PM*")</f>
        <v>0</v>
      </c>
      <c r="BI14" s="37" t="n">
        <f aca="false">BH14*('Setting key Duty'!$I$9)</f>
        <v>0</v>
      </c>
      <c r="BJ14" s="37" t="n">
        <f aca="false">COUNTIF(A14:AI14,"*$AM*")</f>
        <v>0</v>
      </c>
      <c r="BK14" s="37" t="n">
        <f aca="false">BJ14*('Setting key Duty'!$I$12+'Setting key Duty'!$I$8)</f>
        <v>0</v>
      </c>
      <c r="BL14" s="37" t="n">
        <f aca="false">COUNTIF(C14:AI14,"*$FC*")</f>
        <v>0</v>
      </c>
      <c r="BM14" s="37" t="n">
        <f aca="false">BL14*('Setting key Duty'!$J$11+'Setting key Duty'!$I$8)</f>
        <v>0</v>
      </c>
      <c r="BN14" s="37" t="n">
        <f aca="false">COUNTIF($C14:$AB14,BN$4)</f>
        <v>0</v>
      </c>
      <c r="BO14" s="37" t="n">
        <f aca="false">COUNTIF($C14:$AB14,BO$4)</f>
        <v>0</v>
      </c>
      <c r="BP14" s="37" t="n">
        <f aca="false">COUNTIF($C14:$AB14,BP$4)</f>
        <v>0</v>
      </c>
      <c r="BQ14" s="39"/>
    </row>
    <row r="15" customFormat="false" ht="24" hidden="false" customHeight="true" outlineLevel="0" collapsed="false">
      <c r="A15" s="30"/>
      <c r="B15" s="53" t="s">
        <v>191</v>
      </c>
      <c r="C15" s="32"/>
      <c r="D15" s="32"/>
      <c r="E15" s="32"/>
      <c r="F15" s="32"/>
      <c r="G15" s="32"/>
      <c r="H15" s="32"/>
      <c r="I15" s="32"/>
      <c r="J15" s="42"/>
      <c r="K15" s="32"/>
      <c r="L15" s="32"/>
      <c r="M15" s="32"/>
      <c r="N15" s="32"/>
      <c r="O15" s="32"/>
      <c r="P15" s="139"/>
      <c r="Q15" s="139"/>
      <c r="R15" s="141"/>
      <c r="S15" s="32"/>
      <c r="T15" s="139" t="s">
        <v>511</v>
      </c>
      <c r="U15" s="32"/>
      <c r="V15" s="32"/>
      <c r="W15" s="32"/>
      <c r="X15" s="32"/>
      <c r="Y15" s="32"/>
      <c r="Z15" s="32"/>
      <c r="AA15" s="32"/>
      <c r="AB15" s="32"/>
      <c r="AC15" s="32"/>
      <c r="AD15" s="32"/>
      <c r="AF15" s="32" t="s">
        <v>512</v>
      </c>
      <c r="AG15" s="32"/>
      <c r="AH15" s="32"/>
      <c r="AI15" s="35"/>
      <c r="AJ15" s="36"/>
      <c r="AK15" s="35"/>
      <c r="AL15" s="37"/>
      <c r="AM15" s="37"/>
      <c r="AN15" s="37"/>
      <c r="AO15" s="37"/>
      <c r="AP15" s="38"/>
      <c r="AQ15" s="37"/>
      <c r="AR15" s="38"/>
      <c r="AS15" s="38"/>
      <c r="AT15" s="38"/>
      <c r="AU15" s="38"/>
      <c r="AV15" s="38"/>
      <c r="AW15" s="38"/>
      <c r="AX15" s="38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9"/>
    </row>
    <row r="16" customFormat="false" ht="19.5" hidden="false" customHeight="true" outlineLevel="0" collapsed="false">
      <c r="A16" s="30"/>
      <c r="B16" s="41" t="s">
        <v>286</v>
      </c>
      <c r="C16" s="32"/>
      <c r="D16" s="32"/>
      <c r="E16" s="32"/>
      <c r="F16" s="32"/>
      <c r="G16" s="45"/>
      <c r="H16" s="32"/>
      <c r="I16" s="32" t="s">
        <v>96</v>
      </c>
      <c r="J16" s="32"/>
      <c r="K16" s="32"/>
      <c r="L16" s="32"/>
      <c r="M16" s="42"/>
      <c r="N16" s="42"/>
      <c r="O16" s="42"/>
      <c r="P16" s="32"/>
      <c r="Q16" s="32"/>
      <c r="S16" s="32"/>
      <c r="T16" s="52"/>
      <c r="V16" s="50"/>
      <c r="W16" s="32"/>
      <c r="X16" s="32"/>
      <c r="Y16" s="32"/>
      <c r="Z16" s="32"/>
      <c r="AA16" s="32"/>
      <c r="AB16" s="32"/>
      <c r="AC16" s="32"/>
      <c r="AD16" s="32" t="s">
        <v>69</v>
      </c>
      <c r="AE16" s="32"/>
      <c r="AF16" s="32"/>
      <c r="AG16" s="32"/>
      <c r="AH16" s="32"/>
      <c r="AI16" s="35" t="n">
        <f aca="false">COUNTIF($C16:$AF16,AI$4)</f>
        <v>0</v>
      </c>
      <c r="AJ16" s="36" t="n">
        <f aca="false">COUNTIF($C16:$AF16,AJ$4)</f>
        <v>0</v>
      </c>
      <c r="AK16" s="35" t="n">
        <f aca="false">COUNTIF($C16:$AF16,AK$4)</f>
        <v>0</v>
      </c>
      <c r="AL16" s="37" t="n">
        <f aca="false">COUNTIF($C16:$AF16,AL$4)</f>
        <v>0</v>
      </c>
      <c r="AM16" s="37" t="n">
        <f aca="false">COUNTIF($C16:$AF16,AM$4)</f>
        <v>0</v>
      </c>
      <c r="AN16" s="37" t="n">
        <f aca="false">COUNTIF($C16:$AF16,AN$4)</f>
        <v>0</v>
      </c>
      <c r="AO16" s="37" t="n">
        <f aca="false">COUNTIF($C16:$AF16,AO$4)</f>
        <v>0</v>
      </c>
      <c r="AP16" s="38"/>
      <c r="AQ16" s="37" t="n">
        <f aca="false">SUMPRODUCT(--WEEKDAY(C$3:AG$3,2)&lt;6,--((C16:AG16="DM"))+(C16:AG16="CS1")+((C16:AG16="CS2"))+(C16:AG16="SB1")+(C16:AG16="AE")+(C16:AG16="EM"))</f>
        <v>0</v>
      </c>
      <c r="AR16" s="38"/>
      <c r="AS16" s="38" t="n">
        <f aca="false">SUMPRODUCT(--WEEKDAY(C$3:AG$3,2)&gt;5,--((C16:AG16="DM"))+(C16:AG16="CS1")+((C16:AG16="CS2"))+(C16:AG16="SB1")+(C16:AG16="AE")+(C16:AG16="EM"))</f>
        <v>0</v>
      </c>
      <c r="AT16" s="38"/>
      <c r="AU16" s="38" t="n">
        <f aca="false">(AQ16-AR16)/2+(AS16-AT16)</f>
        <v>0</v>
      </c>
      <c r="AV16" s="38" t="n">
        <f aca="false">AI16+AJ16+AK16+AL16+AN16+AO16</f>
        <v>0</v>
      </c>
      <c r="AW16" s="38" t="n">
        <f aca="false">BG16+BH16+BJ16+BE16+BC16+BA16+BL16</f>
        <v>0</v>
      </c>
      <c r="AX16" s="38" t="e">
        <f aca="false">AU16+AY16</f>
        <v>#VALUE!</v>
      </c>
      <c r="AY16" s="37" t="e">
        <f aca="false">(BJ16*('Setting key Duty'!$I$8+'Setting key Duty'!$I$12))+(BH16*'Setting key Duty'!$I$9)+(BC16*('Setting key Duty'!$I$13+'Setting key Duty'!$I$9))+(BA16*('Setting key Duty'!$I$13+'Setting key Duty'!$I$12+'Setting key Duty'!$I$11))+(BE16*('Setting key Duty'!$I$8+'Setting key Duty'!$I$9+'Setting key Duty'!$I$12))</f>
        <v>#VALUE!</v>
      </c>
      <c r="AZ16" s="37" t="n">
        <f aca="false">COUNTIF(C16:AC16,"*BRT*")</f>
        <v>0</v>
      </c>
      <c r="BA16" s="37" t="n">
        <f aca="false">COUNTIF(A16:AI16,"*$BTP*")</f>
        <v>0</v>
      </c>
      <c r="BB16" s="37" t="e">
        <f aca="false">BA16*('Setting key Duty'!$I$13+'Setting key Duty'!$I$12+'Setting key Duty'!$I$11)</f>
        <v>#VALUE!</v>
      </c>
      <c r="BC16" s="37" t="n">
        <f aca="false">COUNTIF(I16:AI16,"*$L*")</f>
        <v>0</v>
      </c>
      <c r="BD16" s="37" t="e">
        <f aca="false">BC16*('Setting key Duty'!$I$13+'Setting key Duty'!$I$9)</f>
        <v>#VALUE!</v>
      </c>
      <c r="BE16" s="37" t="n">
        <f aca="false">COUNTIF(I16:AI16,"*$M*")</f>
        <v>0</v>
      </c>
      <c r="BF16" s="37" t="n">
        <f aca="false">BE16*('Setting key Duty'!$I$8+'Setting key Duty'!$I$9+'Setting key Duty'!$I$12)</f>
        <v>0</v>
      </c>
      <c r="BG16" s="37" t="n">
        <f aca="false">COUNTIF(I16:AI16,"*$N*")</f>
        <v>0</v>
      </c>
      <c r="BH16" s="37" t="n">
        <f aca="false">COUNTIF(I16:AI16,"*$PM*")</f>
        <v>0</v>
      </c>
      <c r="BI16" s="37" t="n">
        <f aca="false">BH16*('Setting key Duty'!$I$9)</f>
        <v>0</v>
      </c>
      <c r="BJ16" s="37" t="n">
        <f aca="false">COUNTIF(I16:AI16,"*$AM*")</f>
        <v>0</v>
      </c>
      <c r="BK16" s="37" t="n">
        <f aca="false">BJ16*('Setting key Duty'!$I$12+'Setting key Duty'!$I$8)</f>
        <v>0</v>
      </c>
      <c r="BL16" s="37" t="n">
        <f aca="false">COUNTIF(C16:AI16,"*$FC*")</f>
        <v>0</v>
      </c>
      <c r="BM16" s="37" t="n">
        <f aca="false">BL16*('Setting key Duty'!$J$11+'Setting key Duty'!$I$8)</f>
        <v>0</v>
      </c>
      <c r="BN16" s="37" t="n">
        <f aca="false">COUNTIF($C16:$AF16,BN$4)</f>
        <v>0</v>
      </c>
      <c r="BO16" s="37" t="n">
        <f aca="false">COUNTIF($C16:$AF16,BO$4)</f>
        <v>0</v>
      </c>
      <c r="BP16" s="37" t="n">
        <f aca="false">COUNTIF($I16:$AE16,BP$4)</f>
        <v>0</v>
      </c>
      <c r="BQ16" s="39"/>
    </row>
    <row r="17" customFormat="false" ht="19.5" hidden="false" customHeight="true" outlineLevel="0" collapsed="false">
      <c r="A17" s="30"/>
      <c r="B17" s="106" t="s">
        <v>426</v>
      </c>
      <c r="C17" s="42"/>
      <c r="D17" s="32"/>
      <c r="E17" s="32"/>
      <c r="F17" s="32"/>
      <c r="G17" s="32"/>
      <c r="H17" s="32"/>
      <c r="I17" s="32"/>
      <c r="J17" s="32"/>
      <c r="K17" s="32" t="s">
        <v>61</v>
      </c>
      <c r="L17" s="32"/>
      <c r="M17" s="32"/>
      <c r="N17" s="32"/>
      <c r="O17" s="32"/>
      <c r="P17" s="32"/>
      <c r="Q17" s="32"/>
      <c r="R17" s="32"/>
      <c r="S17" s="32"/>
      <c r="T17" s="32"/>
      <c r="U17" s="42"/>
      <c r="V17" s="33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5"/>
      <c r="AJ17" s="36"/>
      <c r="AK17" s="35"/>
      <c r="AL17" s="37"/>
      <c r="AM17" s="37"/>
      <c r="AN17" s="37"/>
      <c r="AO17" s="37"/>
      <c r="AP17" s="38"/>
      <c r="AQ17" s="37" t="n">
        <f aca="false">SUMPRODUCT(--WEEKDAY(C$3:AG$3,2)&lt;6,--((C17:AG17="DM"))+(C17:AG17="CS1")+((C17:AG17="CS2"))+(C17:AG17="SB1")+(C17:AG17="AE")+(C17:AG17="EM"))</f>
        <v>0</v>
      </c>
      <c r="AR17" s="38"/>
      <c r="AS17" s="38" t="n">
        <f aca="false">SUMPRODUCT(--WEEKDAY(C$3:AG$3,2)&gt;5,--((C17:AG17="DM"))+(C17:AG17="CS1")+((C17:AG17="CS2"))+(C17:AG17="SB1")+(C17:AG17="AE")+(C17:AG17="EM"))</f>
        <v>0</v>
      </c>
      <c r="AT17" s="38"/>
      <c r="AU17" s="38" t="n">
        <f aca="false">(AQ17-AR17)/2+(AS17-AT17)</f>
        <v>0</v>
      </c>
      <c r="AV17" s="38" t="n">
        <f aca="false">AI17+AJ17+AK17+AL17+AN17+AO17</f>
        <v>0</v>
      </c>
      <c r="AW17" s="38" t="n">
        <f aca="false">BG17+BH17+BJ17+BE17+BC17+BA17+BL17</f>
        <v>0</v>
      </c>
      <c r="AX17" s="38" t="e">
        <f aca="false">AU17+$AY$11</f>
        <v>#VALUE!</v>
      </c>
      <c r="AY17" s="37" t="e">
        <f aca="false">(BJ17*('Setting key Duty'!$I$8+'Setting key Duty'!$I$12))+(BH17*'Setting key Duty'!$I$9)+(BC17*('Setting key Duty'!$I$13+'Setting key Duty'!$I$9))+(BA17*('Setting key Duty'!$I$13+'Setting key Duty'!$I$12+'Setting key Duty'!$I$11))+(BE17*('Setting key Duty'!$I$8+'Setting key Duty'!$I$9+'Setting key Duty'!$I$12))</f>
        <v>#VALUE!</v>
      </c>
      <c r="AZ17" s="37" t="n">
        <f aca="false">COUNTIF(D17:AA17,"*BRT*")</f>
        <v>0</v>
      </c>
      <c r="BA17" s="37" t="n">
        <f aca="false">COUNTIF(A17:AI17,"*$BTP*")</f>
        <v>0</v>
      </c>
      <c r="BB17" s="37" t="e">
        <f aca="false">BA17*('Setting key Duty'!$I$13+'Setting key Duty'!$I$12+'Setting key Duty'!$I$11)</f>
        <v>#VALUE!</v>
      </c>
      <c r="BC17" s="37" t="n">
        <f aca="false">COUNTIF(A17:AI17,"*$L*")</f>
        <v>0</v>
      </c>
      <c r="BD17" s="37" t="e">
        <f aca="false">BC17*('Setting key Duty'!$I$13+'Setting key Duty'!$I$9)</f>
        <v>#VALUE!</v>
      </c>
      <c r="BE17" s="37" t="n">
        <f aca="false">COUNTIF(A17:AI17,"*$M*")</f>
        <v>0</v>
      </c>
      <c r="BF17" s="37" t="n">
        <f aca="false">BE17*('Setting key Duty'!$I$8+'Setting key Duty'!$I$9+'Setting key Duty'!$I$12)</f>
        <v>0</v>
      </c>
      <c r="BG17" s="37" t="n">
        <f aca="false">COUNTIF(AI17,"*$N*")</f>
        <v>0</v>
      </c>
      <c r="BH17" s="37" t="n">
        <f aca="false">COUNTIF(AI17,"*$PM*")</f>
        <v>0</v>
      </c>
      <c r="BI17" s="37" t="n">
        <f aca="false">BH17*('Setting key Duty'!$I$9)</f>
        <v>0</v>
      </c>
      <c r="BJ17" s="37" t="n">
        <f aca="false">COUNTIF(A17:AI17,"*$AM*")</f>
        <v>0</v>
      </c>
      <c r="BK17" s="37" t="n">
        <f aca="false">BJ17*('Setting key Duty'!$I$12+'Setting key Duty'!$I$8)</f>
        <v>0</v>
      </c>
      <c r="BL17" s="37" t="n">
        <f aca="false">COUNTIF(D17:AI17,"*$FC*")</f>
        <v>0</v>
      </c>
      <c r="BM17" s="37" t="n">
        <f aca="false">BL17*('Setting key Duty'!$J$11+'Setting key Duty'!$I$8)</f>
        <v>0</v>
      </c>
      <c r="BN17" s="37" t="n">
        <f aca="false">COUNTIF($D17:$AA17,BN$4)</f>
        <v>0</v>
      </c>
      <c r="BO17" s="37" t="n">
        <f aca="false">COUNTIF($D17:$AA17,BO$4)</f>
        <v>0</v>
      </c>
      <c r="BP17" s="37" t="n">
        <f aca="false">COUNTIF($D17:$AA17,BP$4)</f>
        <v>0</v>
      </c>
      <c r="BQ17" s="39"/>
    </row>
    <row r="18" customFormat="false" ht="19.5" hidden="false" customHeight="true" outlineLevel="0" collapsed="false">
      <c r="A18" s="30"/>
      <c r="B18" s="49" t="s">
        <v>427</v>
      </c>
      <c r="C18" s="42"/>
      <c r="E18" s="32"/>
      <c r="F18" s="32"/>
      <c r="G18" s="32"/>
      <c r="H18" s="32"/>
      <c r="I18" s="32"/>
      <c r="J18" s="32"/>
      <c r="K18" s="32" t="s">
        <v>61</v>
      </c>
      <c r="L18" s="32"/>
      <c r="M18" s="32"/>
      <c r="N18" s="32"/>
      <c r="P18" s="32"/>
      <c r="Q18" s="32"/>
      <c r="R18" s="32"/>
      <c r="S18" s="32"/>
      <c r="T18" s="32"/>
      <c r="U18" s="32"/>
      <c r="V18" s="50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5"/>
      <c r="AJ18" s="36"/>
      <c r="AK18" s="35"/>
      <c r="AL18" s="37"/>
      <c r="AM18" s="37"/>
      <c r="AN18" s="37"/>
      <c r="AO18" s="37"/>
      <c r="AP18" s="38"/>
      <c r="AQ18" s="37" t="n">
        <f aca="false">SUMPRODUCT(--WEEKDAY(C$3:AG$3,2)&lt;6,--((C18:AG18="DM"))+(C18:AG18="CS1")+((C18:AG18="CS2"))+(C18:AG18="SB1")+(C18:AG18="AE")+(C18:AG18="EM"))</f>
        <v>0</v>
      </c>
      <c r="AR18" s="38"/>
      <c r="AS18" s="38" t="n">
        <f aca="false">SUMPRODUCT(--WEEKDAY(C$3:AG$3,2)&gt;5,--((C18:AG18="DM"))+(C18:AG18="CS1")+((C18:AG18="CS2"))+(C18:AG18="SB1")+(C18:AG18="AE")+(C18:AG18="EM"))</f>
        <v>0</v>
      </c>
      <c r="AT18" s="38"/>
      <c r="AU18" s="38" t="n">
        <f aca="false">(AQ18-AR18)/2+(AS18-AT18)</f>
        <v>0</v>
      </c>
      <c r="AV18" s="38" t="n">
        <f aca="false">AI18+AJ18+AK18+AL18+AN18+AO18</f>
        <v>0</v>
      </c>
      <c r="AW18" s="38" t="n">
        <f aca="false">BG18+BH18+BJ18+BE18+BC18+BA18+BL18</f>
        <v>0</v>
      </c>
      <c r="AX18" s="38" t="e">
        <f aca="false">AU18+$AY$11</f>
        <v>#VALUE!</v>
      </c>
      <c r="AY18" s="37" t="e">
        <f aca="false">(BJ18*('Setting key Duty'!$I$8+'Setting key Duty'!$I$12))+(BH18*'Setting key Duty'!$I$9)+(BC18*('Setting key Duty'!$I$13+'Setting key Duty'!$I$9))+(BA18*('Setting key Duty'!$I$13+'Setting key Duty'!$I$12+'Setting key Duty'!$I$11))+(BE18*('Setting key Duty'!$I$8+'Setting key Duty'!$I$9+'Setting key Duty'!$I$12))</f>
        <v>#VALUE!</v>
      </c>
      <c r="AZ18" s="37" t="n">
        <f aca="false">COUNTIF(E18:Y18,"*BRT*")</f>
        <v>0</v>
      </c>
      <c r="BA18" s="37" t="n">
        <f aca="false">COUNTIF(A18:AI18,"*$BTP*")</f>
        <v>0</v>
      </c>
      <c r="BB18" s="37" t="e">
        <f aca="false">BA18*('Setting key Duty'!$I$13+'Setting key Duty'!$I$12+'Setting key Duty'!$I$11)</f>
        <v>#VALUE!</v>
      </c>
      <c r="BC18" s="37" t="n">
        <f aca="false">COUNTIF(A18:AI18,"*$L*")</f>
        <v>0</v>
      </c>
      <c r="BD18" s="37" t="e">
        <f aca="false">BC18*('Setting key Duty'!$I$13+'Setting key Duty'!$I$9)</f>
        <v>#VALUE!</v>
      </c>
      <c r="BE18" s="37" t="n">
        <f aca="false">COUNTIF(A18:AI18,"*$M*")</f>
        <v>0</v>
      </c>
      <c r="BF18" s="37" t="n">
        <f aca="false">BE18*('Setting key Duty'!$I$8+'Setting key Duty'!$I$9+'Setting key Duty'!$I$12)</f>
        <v>0</v>
      </c>
      <c r="BG18" s="37" t="n">
        <f aca="false">COUNTIF(AI18,"*$N*")</f>
        <v>0</v>
      </c>
      <c r="BH18" s="37" t="n">
        <f aca="false">COUNTIF(AI18,"*$PM*")</f>
        <v>0</v>
      </c>
      <c r="BI18" s="37" t="n">
        <f aca="false">BH18*('Setting key Duty'!$I$9)</f>
        <v>0</v>
      </c>
      <c r="BJ18" s="37" t="n">
        <f aca="false">COUNTIF(A18:AI18,"*$AM*")</f>
        <v>0</v>
      </c>
      <c r="BK18" s="37" t="n">
        <f aca="false">BJ18*('Setting key Duty'!$I$12+'Setting key Duty'!$I$8)</f>
        <v>0</v>
      </c>
      <c r="BL18" s="37" t="n">
        <f aca="false">COUNTIF(E18:AI18,"*$FC*")</f>
        <v>0</v>
      </c>
      <c r="BM18" s="37" t="n">
        <f aca="false">BL18*('Setting key Duty'!$J$11+'Setting key Duty'!$I$8)</f>
        <v>0</v>
      </c>
      <c r="BN18" s="37" t="n">
        <f aca="false">COUNTIF($E18:$Y18,BN$4)</f>
        <v>0</v>
      </c>
      <c r="BO18" s="37" t="n">
        <f aca="false">COUNTIF($E18:$Y18,BO$4)</f>
        <v>0</v>
      </c>
      <c r="BP18" s="37" t="n">
        <f aca="false">COUNTIF($E18:$Y18,BP$4)</f>
        <v>0</v>
      </c>
      <c r="BQ18" s="39"/>
    </row>
    <row r="19" customFormat="false" ht="30.75" hidden="false" customHeight="true" outlineLevel="0" collapsed="false">
      <c r="A19" s="30"/>
      <c r="B19" s="101" t="s">
        <v>472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N19" s="32"/>
      <c r="O19" s="32"/>
      <c r="P19" s="32"/>
      <c r="Q19" s="32"/>
      <c r="R19" s="32" t="s">
        <v>61</v>
      </c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3"/>
      <c r="AI19" s="35"/>
      <c r="AJ19" s="36"/>
      <c r="AK19" s="35"/>
      <c r="AL19" s="37"/>
      <c r="AM19" s="37"/>
      <c r="AN19" s="37"/>
      <c r="AO19" s="37"/>
      <c r="AP19" s="38"/>
      <c r="AQ19" s="37" t="n">
        <f aca="false">SUMPRODUCT(--WEEKDAY(C$3:AG$3,2)&lt;6,--((C19:AG19="DM"))+(C19:AG19="CS1")+((C19:AG19="CS2"))+(C19:AG19="SB1")+(C19:AG19="AE")+(C19:AG19="EM"))</f>
        <v>0</v>
      </c>
      <c r="AR19" s="38"/>
      <c r="AS19" s="38" t="n">
        <f aca="false">SUMPRODUCT(--WEEKDAY(C$3:AG$3,2)&gt;5,--((C19:AG19="DM"))+(C19:AG19="CS1")+((C19:AG19="CS2"))+(C19:AG19="SB1")+(C19:AG19="AE")+(C19:AG19="EM"))</f>
        <v>0</v>
      </c>
      <c r="AT19" s="38"/>
      <c r="AU19" s="38" t="n">
        <f aca="false">(AQ19-AR19)/2+(AS19-AT19)</f>
        <v>0</v>
      </c>
      <c r="AV19" s="38" t="n">
        <f aca="false">AI19+AJ19+AK19+AL19+AN19+AO19</f>
        <v>0</v>
      </c>
      <c r="AW19" s="38" t="n">
        <f aca="false">BG19+BH19+BJ19+BE19+BC19+BA19+BL19</f>
        <v>0</v>
      </c>
      <c r="AX19" s="38" t="e">
        <f aca="false">AU19+$AY$11</f>
        <v>#VALUE!</v>
      </c>
      <c r="AY19" s="37" t="e">
        <f aca="false">(BJ19*('Setting key Duty'!$I$8+'Setting key Duty'!$I$12))+(BH19*'Setting key Duty'!$I$9)+(BC19*('Setting key Duty'!$I$13+'Setting key Duty'!$I$9))+(BA19*('Setting key Duty'!$I$13+'Setting key Duty'!$I$12+'Setting key Duty'!$I$11))+(BE19*('Setting key Duty'!$I$8+'Setting key Duty'!$I$9+'Setting key Duty'!$I$12))</f>
        <v>#VALUE!</v>
      </c>
      <c r="AZ19" s="37" t="n">
        <f aca="false">COUNTIF(D19:AA19,"*BRT*")</f>
        <v>0</v>
      </c>
      <c r="BA19" s="37" t="n">
        <f aca="false">COUNTIF(A19:AI19,"*$BTP*")</f>
        <v>0</v>
      </c>
      <c r="BB19" s="37" t="e">
        <f aca="false">BA19*('Setting key Duty'!$I$13+'Setting key Duty'!$I$12+'Setting key Duty'!$I$11)</f>
        <v>#VALUE!</v>
      </c>
      <c r="BC19" s="37" t="n">
        <f aca="false">COUNTIF(A19:AI19,"*$L*")</f>
        <v>0</v>
      </c>
      <c r="BD19" s="37" t="e">
        <f aca="false">BC19*('Setting key Duty'!$I$13+'Setting key Duty'!$I$9)</f>
        <v>#VALUE!</v>
      </c>
      <c r="BE19" s="37" t="n">
        <f aca="false">COUNTIF(A19:AI19,"*$M*")</f>
        <v>0</v>
      </c>
      <c r="BF19" s="37" t="n">
        <f aca="false">BE19*('Setting key Duty'!$I$8+'Setting key Duty'!$I$9+'Setting key Duty'!$I$12)</f>
        <v>0</v>
      </c>
      <c r="BG19" s="37" t="n">
        <f aca="false">COUNTIF(AI19,"*$N*")</f>
        <v>0</v>
      </c>
      <c r="BH19" s="37" t="n">
        <f aca="false">COUNTIF(AI19,"*$PM*")</f>
        <v>0</v>
      </c>
      <c r="BI19" s="37" t="n">
        <f aca="false">BH19*('Setting key Duty'!$I$9)</f>
        <v>0</v>
      </c>
      <c r="BJ19" s="37" t="n">
        <f aca="false">COUNTIF(A19:AI19,"*$AM*")</f>
        <v>0</v>
      </c>
      <c r="BK19" s="37" t="n">
        <f aca="false">BJ19*('Setting key Duty'!$I$12+'Setting key Duty'!$I$8)</f>
        <v>0</v>
      </c>
      <c r="BL19" s="37" t="n">
        <f aca="false">COUNTIF(D19:AI19,"*$FC*")</f>
        <v>0</v>
      </c>
      <c r="BM19" s="37" t="n">
        <f aca="false">BL19*('Setting key Duty'!$J$11+'Setting key Duty'!$I$8)</f>
        <v>0</v>
      </c>
      <c r="BN19" s="37" t="n">
        <f aca="false">COUNTIF($D19:$AA19,BN$4)</f>
        <v>0</v>
      </c>
      <c r="BO19" s="37" t="n">
        <f aca="false">COUNTIF($D19:$AA19,BO$4)</f>
        <v>0</v>
      </c>
      <c r="BP19" s="37" t="n">
        <f aca="false">COUNTIF($D19:$AA19,BP$4)</f>
        <v>0</v>
      </c>
      <c r="BQ19" s="39"/>
    </row>
    <row r="20" customFormat="false" ht="27.75" hidden="false" customHeight="true" outlineLevel="0" collapsed="false">
      <c r="A20" s="30"/>
      <c r="B20" s="121" t="s">
        <v>473</v>
      </c>
      <c r="D20" s="32"/>
      <c r="E20" s="32"/>
      <c r="G20" s="32"/>
      <c r="I20" s="32"/>
      <c r="J20" s="32"/>
      <c r="K20" s="32"/>
      <c r="L20" s="52"/>
      <c r="M20" s="32"/>
      <c r="N20" s="32"/>
      <c r="P20" s="32"/>
      <c r="Q20" s="32"/>
      <c r="R20" s="32" t="s">
        <v>513</v>
      </c>
      <c r="S20" s="32"/>
      <c r="T20" s="32"/>
      <c r="U20" s="32"/>
      <c r="V20" s="50"/>
      <c r="W20" s="32"/>
      <c r="X20" s="32"/>
      <c r="Y20" s="32"/>
      <c r="Z20" s="32"/>
      <c r="AA20" s="32"/>
      <c r="AB20" s="32"/>
      <c r="AC20" s="42"/>
      <c r="AD20" s="32"/>
      <c r="AE20" s="32"/>
      <c r="AF20" s="32"/>
      <c r="AG20" s="32"/>
      <c r="AH20" s="32"/>
      <c r="AI20" s="35"/>
      <c r="AJ20" s="36"/>
      <c r="AK20" s="35"/>
      <c r="AL20" s="37"/>
      <c r="AM20" s="37"/>
      <c r="AN20" s="37"/>
      <c r="AO20" s="37"/>
      <c r="AP20" s="38"/>
      <c r="AQ20" s="37" t="n">
        <f aca="false">SUMPRODUCT(--WEEKDAY(C$3:AG$3,2)&lt;6,--((C20:AG20="DM"))+(C20:AG20="CS1")+((C20:AG20="CS2"))+(C20:AG20="SB1")+(C20:AG20="AE")+(C20:AG20="EM"))</f>
        <v>0</v>
      </c>
      <c r="AR20" s="38"/>
      <c r="AS20" s="38" t="n">
        <f aca="false">SUMPRODUCT(--WEEKDAY(C$3:AG$3,2)&gt;5,--((C20:AG20="DM"))+(C20:AG20="CS1")+((C20:AG20="CS2"))+(C20:AG20="SB1")+(C20:AG20="AE")+(C20:AG20="EM"))</f>
        <v>0</v>
      </c>
      <c r="AT20" s="38"/>
      <c r="AU20" s="38" t="n">
        <f aca="false">(AQ20-AR20)/2+(AS20-AT20)</f>
        <v>0</v>
      </c>
      <c r="AV20" s="38" t="n">
        <f aca="false">AI20+AJ20+AK20+AL20+AN20+AO20</f>
        <v>0</v>
      </c>
      <c r="AW20" s="38" t="n">
        <f aca="false">BG20+BH20+BJ20+BE20+BC20+BA20+BL20</f>
        <v>1</v>
      </c>
      <c r="AX20" s="38" t="e">
        <f aca="false">AU20+$AY$11</f>
        <v>#VALUE!</v>
      </c>
      <c r="AY20" s="37" t="e">
        <f aca="false">(BJ20*('Setting key Duty'!$I$8+'Setting key Duty'!$I$12))+(BH20*'Setting key Duty'!$I$9)+(BC20*('Setting key Duty'!$I$13+'Setting key Duty'!$I$9))+(BA20*('Setting key Duty'!$I$13+'Setting key Duty'!$I$12+'Setting key Duty'!$I$11))+(BE20*('Setting key Duty'!$I$8+'Setting key Duty'!$I$9+'Setting key Duty'!$I$12))</f>
        <v>#VALUE!</v>
      </c>
      <c r="AZ20" s="37" t="n">
        <f aca="false">COUNTIF(C20:AA20,"*BRT*")</f>
        <v>0</v>
      </c>
      <c r="BA20" s="37" t="n">
        <f aca="false">COUNTIF(A20:AI20,"*$BTP*")</f>
        <v>0</v>
      </c>
      <c r="BB20" s="37" t="e">
        <f aca="false">BA20*('Setting key Duty'!$I$13+'Setting key Duty'!$I$12+'Setting key Duty'!$I$11)</f>
        <v>#VALUE!</v>
      </c>
      <c r="BC20" s="37" t="n">
        <f aca="false">COUNTIF(A20:AI20,"*$L*")</f>
        <v>0</v>
      </c>
      <c r="BD20" s="37" t="e">
        <f aca="false">BC20*('Setting key Duty'!$I$13+'Setting key Duty'!$I$9)</f>
        <v>#VALUE!</v>
      </c>
      <c r="BE20" s="37" t="n">
        <f aca="false">COUNTIF(A20:AI20,"*$M*")</f>
        <v>0</v>
      </c>
      <c r="BF20" s="37" t="n">
        <f aca="false">BE20*('Setting key Duty'!$I$8+'Setting key Duty'!$I$9+'Setting key Duty'!$I$12)</f>
        <v>0</v>
      </c>
      <c r="BG20" s="37" t="n">
        <f aca="false">COUNTIF(AI20,"*$N*")</f>
        <v>0</v>
      </c>
      <c r="BH20" s="37" t="n">
        <f aca="false">COUNTIF(AI20,"*$PM*")</f>
        <v>0</v>
      </c>
      <c r="BI20" s="37" t="n">
        <f aca="false">BH20*('Setting key Duty'!$I$9)</f>
        <v>0</v>
      </c>
      <c r="BJ20" s="37" t="n">
        <f aca="false">COUNTIF(A20:AI20,"*$AM*")</f>
        <v>1</v>
      </c>
      <c r="BK20" s="37" t="n">
        <f aca="false">BJ20*('Setting key Duty'!$I$12+'Setting key Duty'!$I$8)</f>
        <v>0.4375</v>
      </c>
      <c r="BL20" s="37" t="n">
        <f aca="false">COUNTIF(C20:AI20,"*$FC*")</f>
        <v>0</v>
      </c>
      <c r="BM20" s="37" t="n">
        <f aca="false">BL20*('Setting key Duty'!$J$11+'Setting key Duty'!$I$8)</f>
        <v>0</v>
      </c>
      <c r="BN20" s="37" t="n">
        <f aca="false">COUNTIF($C20:$AA20,BN$4)</f>
        <v>0</v>
      </c>
      <c r="BO20" s="37" t="n">
        <f aca="false">COUNTIF($C20:$AA20,BO$4)</f>
        <v>0</v>
      </c>
      <c r="BP20" s="37" t="n">
        <f aca="false">COUNTIF($C20:$AA20,BP$4)</f>
        <v>0</v>
      </c>
      <c r="BQ20" s="39"/>
    </row>
    <row r="21" customFormat="false" ht="19.5" hidden="false" customHeight="true" outlineLevel="0" collapsed="false">
      <c r="A21" s="30"/>
      <c r="B21" s="31" t="s">
        <v>475</v>
      </c>
      <c r="C21" s="99"/>
      <c r="D21" s="32"/>
      <c r="E21" s="32"/>
      <c r="F21" s="32"/>
      <c r="G21" s="32"/>
      <c r="H21" s="32"/>
      <c r="I21" s="32"/>
      <c r="J21" s="42"/>
      <c r="K21" s="32"/>
      <c r="L21" s="32"/>
      <c r="M21" s="42"/>
      <c r="N21" s="32" t="s">
        <v>59</v>
      </c>
      <c r="O21" s="32"/>
      <c r="P21" s="139" t="s">
        <v>380</v>
      </c>
      <c r="Q21" s="139" t="s">
        <v>380</v>
      </c>
      <c r="R21" s="32"/>
      <c r="T21" s="139" t="s">
        <v>162</v>
      </c>
      <c r="U21" s="32"/>
      <c r="V21" s="32"/>
      <c r="X21" s="32"/>
      <c r="Y21" s="32"/>
      <c r="AA21" s="32"/>
      <c r="AB21" s="42"/>
      <c r="AC21" s="32"/>
      <c r="AD21" s="42"/>
      <c r="AF21" s="32"/>
      <c r="AG21" s="32"/>
      <c r="AH21" s="32"/>
      <c r="AI21" s="35"/>
      <c r="AJ21" s="36"/>
      <c r="AK21" s="35"/>
      <c r="AL21" s="37"/>
      <c r="AM21" s="37"/>
      <c r="AN21" s="37"/>
      <c r="AO21" s="37"/>
      <c r="AP21" s="38"/>
      <c r="AQ21" s="37" t="n">
        <f aca="false">SUMPRODUCT(--WEEKDAY(C$3:AG$3,2)&lt;6,--((C21:AG21="DM"))+(C21:AG21="CS1")+((C21:AG21="CS2"))+(C21:AG21="SB1")+(C21:AG21="AE")+(C21:AG21="EM"))</f>
        <v>0</v>
      </c>
      <c r="AR21" s="38"/>
      <c r="AS21" s="38" t="n">
        <f aca="false">SUMPRODUCT(--WEEKDAY(C$3:AG$3,2)&gt;5,--((C21:AG21="DM"))+(C21:AG21="CS1")+((C21:AG21="CS2"))+(C21:AG21="SB1")+(C21:AG21="AE")+(C21:AG21="EM"))</f>
        <v>1</v>
      </c>
      <c r="AT21" s="38"/>
      <c r="AU21" s="38" t="n">
        <f aca="false">(AQ21-AR21)/2+(AS21-AT21)</f>
        <v>1</v>
      </c>
      <c r="AV21" s="38" t="n">
        <f aca="false">AI21+AJ21+AK21+AL21+AN21+AO21</f>
        <v>0</v>
      </c>
      <c r="AW21" s="38" t="n">
        <f aca="false">BG21+BH21+BJ21+BE21+BC21+BA21+BL21</f>
        <v>0</v>
      </c>
      <c r="AX21" s="38" t="e">
        <f aca="false">AU21+AY21</f>
        <v>#VALUE!</v>
      </c>
      <c r="AY21" s="37" t="e">
        <f aca="false">(BJ21*('Setting key Duty'!$I$8+'Setting key Duty'!$I$12))+(BH21*'Setting key Duty'!$I$9)+(BC21*('Setting key Duty'!$I$13+'Setting key Duty'!$I$9))+(BA21*('Setting key Duty'!$I$13+'Setting key Duty'!$I$12+'Setting key Duty'!$I$11))+(BE21*('Setting key Duty'!$I$8+'Setting key Duty'!$I$9+'Setting key Duty'!$I$12))</f>
        <v>#VALUE!</v>
      </c>
      <c r="AZ21" s="37" t="n">
        <f aca="false">COUNTIF(D21:AB21,"*BRT*")</f>
        <v>0</v>
      </c>
      <c r="BA21" s="37" t="n">
        <f aca="false">COUNTIF(A21:AI21,"*$BTP*")</f>
        <v>0</v>
      </c>
      <c r="BB21" s="37" t="e">
        <f aca="false">BA21*('Setting key Duty'!$I$13+'Setting key Duty'!$I$12+'Setting key Duty'!$I$11)</f>
        <v>#VALUE!</v>
      </c>
      <c r="BC21" s="37" t="n">
        <f aca="false">COUNTIF(A21:AI21,"*$L*")</f>
        <v>0</v>
      </c>
      <c r="BD21" s="37" t="e">
        <f aca="false">BC21*('Setting key Duty'!$I$13+'Setting key Duty'!$I$9)</f>
        <v>#VALUE!</v>
      </c>
      <c r="BE21" s="37" t="n">
        <f aca="false">COUNTIF(A21:AI21,"*$M*")</f>
        <v>0</v>
      </c>
      <c r="BF21" s="37" t="n">
        <f aca="false">BE21*('Setting key Duty'!$I$8+'Setting key Duty'!$I$9+'Setting key Duty'!$I$12)</f>
        <v>0</v>
      </c>
      <c r="BG21" s="37" t="n">
        <f aca="false">COUNTIF(AF21:AI21,"*$N*")</f>
        <v>0</v>
      </c>
      <c r="BH21" s="37" t="n">
        <f aca="false">COUNTIF(AF21:AI21,"*$PM*")</f>
        <v>0</v>
      </c>
      <c r="BI21" s="37" t="n">
        <f aca="false">BH21*('Setting key Duty'!$I$9)</f>
        <v>0</v>
      </c>
      <c r="BJ21" s="37" t="n">
        <f aca="false">COUNTIF(A21:AI21,"*$AM*")</f>
        <v>0</v>
      </c>
      <c r="BK21" s="37" t="n">
        <f aca="false">BJ21*('Setting key Duty'!$I$12+'Setting key Duty'!$I$8)</f>
        <v>0</v>
      </c>
      <c r="BL21" s="37" t="n">
        <f aca="false">COUNTIF(D21:AI21,"*$FC*")</f>
        <v>0</v>
      </c>
      <c r="BM21" s="37" t="n">
        <f aca="false">BL21*('Setting key Duty'!$J$11+'Setting key Duty'!$I$8)</f>
        <v>0</v>
      </c>
      <c r="BN21" s="37" t="n">
        <f aca="false">COUNTIF($D21:$AF21,BN$4)</f>
        <v>0</v>
      </c>
      <c r="BO21" s="37" t="n">
        <f aca="false">COUNTIF($D21:$AF21,BO$4)</f>
        <v>0</v>
      </c>
      <c r="BP21" s="37" t="n">
        <f aca="false">COUNTIF($D21:$AF21,BP$4)</f>
        <v>0</v>
      </c>
      <c r="BQ21" s="39"/>
    </row>
    <row r="22" customFormat="false" ht="19.5" hidden="false" customHeight="true" outlineLevel="0" collapsed="false">
      <c r="A22" s="30"/>
      <c r="B22" s="142" t="s">
        <v>442</v>
      </c>
      <c r="C22" s="32"/>
      <c r="D22" s="32"/>
      <c r="E22" s="32"/>
      <c r="F22" s="32"/>
      <c r="G22" s="32"/>
      <c r="H22" s="32"/>
      <c r="I22" s="32"/>
      <c r="J22" s="42"/>
      <c r="K22" s="32"/>
      <c r="L22" s="90"/>
      <c r="M22" s="42"/>
      <c r="N22" s="32"/>
      <c r="O22" s="32"/>
      <c r="P22" s="143"/>
      <c r="Q22" s="143"/>
      <c r="R22" s="32"/>
      <c r="T22" s="139"/>
      <c r="U22" s="32"/>
      <c r="V22" s="32"/>
      <c r="X22" s="32"/>
      <c r="Y22" s="32"/>
      <c r="AA22" s="32"/>
      <c r="AB22" s="42"/>
      <c r="AC22" s="32"/>
      <c r="AD22" s="90"/>
      <c r="AF22" s="32"/>
      <c r="AG22" s="32" t="s">
        <v>454</v>
      </c>
      <c r="AH22" s="32"/>
      <c r="AI22" s="35"/>
      <c r="AJ22" s="36"/>
      <c r="AK22" s="35"/>
      <c r="AL22" s="37"/>
      <c r="AM22" s="37"/>
      <c r="AN22" s="37"/>
      <c r="AO22" s="37"/>
      <c r="AP22" s="38"/>
      <c r="AQ22" s="37"/>
      <c r="AR22" s="38"/>
      <c r="AS22" s="38"/>
      <c r="AT22" s="38"/>
      <c r="AU22" s="38"/>
      <c r="AV22" s="38"/>
      <c r="AW22" s="38"/>
      <c r="AX22" s="38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9"/>
    </row>
    <row r="23" customFormat="false" ht="19.5" hidden="false" customHeight="true" outlineLevel="0" collapsed="false">
      <c r="A23" s="30"/>
      <c r="B23" s="144" t="s">
        <v>388</v>
      </c>
      <c r="C23" s="145" t="s">
        <v>477</v>
      </c>
      <c r="D23" s="145" t="s">
        <v>477</v>
      </c>
      <c r="E23" s="145" t="s">
        <v>477</v>
      </c>
      <c r="F23" s="139" t="s">
        <v>477</v>
      </c>
      <c r="G23" s="139" t="s">
        <v>477</v>
      </c>
      <c r="H23" s="139" t="s">
        <v>477</v>
      </c>
      <c r="I23" s="145" t="s">
        <v>477</v>
      </c>
      <c r="J23" s="145" t="s">
        <v>477</v>
      </c>
      <c r="K23" s="145" t="s">
        <v>477</v>
      </c>
      <c r="L23" s="145" t="s">
        <v>477</v>
      </c>
      <c r="M23" s="139" t="s">
        <v>477</v>
      </c>
      <c r="N23" s="32"/>
      <c r="O23" s="32"/>
      <c r="R23" s="32" t="s">
        <v>61</v>
      </c>
      <c r="T23" s="32"/>
      <c r="U23" s="32" t="s">
        <v>514</v>
      </c>
      <c r="V23" s="50"/>
      <c r="W23" s="32"/>
      <c r="X23" s="32"/>
      <c r="Y23" s="32"/>
      <c r="Z23" s="32"/>
      <c r="AA23" s="32"/>
      <c r="AB23" s="32"/>
      <c r="AC23" s="32" t="s">
        <v>514</v>
      </c>
      <c r="AE23" s="32"/>
      <c r="AF23" s="32"/>
      <c r="AG23" s="32"/>
      <c r="AH23" s="32"/>
      <c r="AI23" s="35"/>
      <c r="AJ23" s="36"/>
      <c r="AK23" s="35"/>
      <c r="AL23" s="37"/>
      <c r="AM23" s="37"/>
      <c r="AN23" s="37"/>
      <c r="AO23" s="37"/>
      <c r="AP23" s="38"/>
      <c r="AQ23" s="37" t="n">
        <f aca="false">SUMPRODUCT(--WEEKDAY(C$3:AG$3,2)&lt;6,--((C23:AG23="DM"))+(C23:AG23="CS1")+((C23:AG23="CS2"))+(C23:AG23="SB1")+(C23:AG23="AE")+(C23:AG23="EM"))</f>
        <v>0</v>
      </c>
      <c r="AR23" s="38"/>
      <c r="AS23" s="38" t="n">
        <f aca="false">SUMPRODUCT(--WEEKDAY(C$3:AG$3,2)&gt;5,--((C23:AG23="DM"))+(C23:AG23="CS1")+((C23:AG23="CS2"))+(C23:AG23="SB1")+(C23:AG23="AE")+(C23:AG23="EM"))</f>
        <v>0</v>
      </c>
      <c r="AT23" s="38"/>
      <c r="AU23" s="38" t="n">
        <f aca="false">(AQ23-AR23)/2+(AS23-AT23)</f>
        <v>0</v>
      </c>
      <c r="AV23" s="38" t="n">
        <f aca="false">AI23+AJ23+AK23+AL23+AN23+AO23</f>
        <v>0</v>
      </c>
      <c r="AW23" s="38" t="n">
        <f aca="false">BG23+BH23+BJ23+BE23+BC23+BA23+BL23</f>
        <v>0</v>
      </c>
      <c r="AX23" s="38" t="e">
        <f aca="false">AU23+$AY$11</f>
        <v>#VALUE!</v>
      </c>
      <c r="AY23" s="37" t="e">
        <f aca="false">(BJ23*('Setting key Duty'!$I$8+'Setting key Duty'!$I$12))+(BH23*'Setting key Duty'!$I$9)+(BC23*('Setting key Duty'!$I$13+'Setting key Duty'!$I$9))+(BA23*('Setting key Duty'!$I$13+'Setting key Duty'!$I$12+'Setting key Duty'!$I$11))+(BE23*('Setting key Duty'!$I$8+'Setting key Duty'!$I$9+'Setting key Duty'!$I$12))</f>
        <v>#VALUE!</v>
      </c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9"/>
    </row>
    <row r="24" customFormat="false" ht="19.5" hidden="false" customHeight="true" outlineLevel="0" collapsed="false">
      <c r="A24" s="30"/>
      <c r="B24" s="146" t="s">
        <v>434</v>
      </c>
      <c r="C24" s="32" t="s">
        <v>69</v>
      </c>
      <c r="D24" s="145"/>
      <c r="E24" s="147"/>
      <c r="F24" s="139"/>
      <c r="G24" s="139"/>
      <c r="H24" s="139"/>
      <c r="I24" s="145"/>
      <c r="J24" s="145"/>
      <c r="K24" s="145"/>
      <c r="L24" s="145"/>
      <c r="M24" s="143" t="s">
        <v>69</v>
      </c>
      <c r="N24" s="141"/>
      <c r="O24" s="32"/>
      <c r="R24" s="32"/>
      <c r="T24" s="32"/>
      <c r="U24" s="32"/>
      <c r="V24" s="50"/>
      <c r="W24" s="32"/>
      <c r="X24" s="32"/>
      <c r="Y24" s="141"/>
      <c r="Z24" s="32" t="s">
        <v>69</v>
      </c>
      <c r="AA24" s="141"/>
      <c r="AB24" s="32"/>
      <c r="AC24" s="32"/>
      <c r="AE24" s="32"/>
      <c r="AF24" s="32" t="s">
        <v>69</v>
      </c>
      <c r="AG24" s="32" t="s">
        <v>69</v>
      </c>
      <c r="AH24" s="32"/>
      <c r="AI24" s="35"/>
      <c r="AJ24" s="36"/>
      <c r="AK24" s="35"/>
      <c r="AL24" s="37"/>
      <c r="AM24" s="37"/>
      <c r="AN24" s="37"/>
      <c r="AO24" s="37"/>
      <c r="AP24" s="38"/>
      <c r="AQ24" s="37"/>
      <c r="AR24" s="38"/>
      <c r="AS24" s="38"/>
      <c r="AT24" s="38"/>
      <c r="AU24" s="38"/>
      <c r="AV24" s="38"/>
      <c r="AW24" s="38"/>
      <c r="AX24" s="38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9"/>
    </row>
    <row r="25" customFormat="false" ht="19.5" hidden="false" customHeight="true" outlineLevel="0" collapsed="false">
      <c r="A25" s="30"/>
      <c r="B25" s="101" t="s">
        <v>478</v>
      </c>
      <c r="C25" s="99"/>
      <c r="D25" s="32"/>
      <c r="E25" s="46" t="s">
        <v>514</v>
      </c>
      <c r="F25" s="32"/>
      <c r="G25" s="32"/>
      <c r="H25" s="32"/>
      <c r="I25" s="32"/>
      <c r="J25" s="32"/>
      <c r="K25" s="32"/>
      <c r="L25" s="32"/>
      <c r="M25" s="42"/>
      <c r="O25" s="32"/>
      <c r="P25" s="139" t="s">
        <v>380</v>
      </c>
      <c r="Q25" s="139" t="s">
        <v>380</v>
      </c>
      <c r="R25" s="32"/>
      <c r="S25" s="32"/>
      <c r="T25" s="139" t="s">
        <v>162</v>
      </c>
      <c r="U25" s="52"/>
      <c r="V25" s="52"/>
      <c r="W25" s="32"/>
      <c r="X25" s="32"/>
      <c r="Z25" s="32"/>
      <c r="AB25" s="32"/>
      <c r="AC25" s="32"/>
      <c r="AD25" s="42"/>
      <c r="AE25" s="32"/>
      <c r="AF25" s="32" t="s">
        <v>454</v>
      </c>
      <c r="AG25" s="32"/>
      <c r="AH25" s="32"/>
      <c r="AI25" s="35"/>
      <c r="AJ25" s="36"/>
      <c r="AK25" s="35"/>
      <c r="AL25" s="37"/>
      <c r="AM25" s="37"/>
      <c r="AN25" s="37"/>
      <c r="AO25" s="37"/>
      <c r="AP25" s="38"/>
      <c r="AQ25" s="37" t="n">
        <f aca="false">SUMPRODUCT(--WEEKDAY(C$3:AG$3,2)&lt;6,--((C25:AG25="DM"))+(C25:AG25="CS1")+((C25:AG25="CS2"))+(C25:AG25="SB1")+(C25:AG25="AE")+(C25:AG25="EM"))</f>
        <v>0</v>
      </c>
      <c r="AR25" s="38"/>
      <c r="AS25" s="38" t="n">
        <f aca="false">SUMPRODUCT(--WEEKDAY(C$3:AG$3,2)&gt;5,--((C25:AG25="DM"))+(C25:AG25="CS1")+((C25:AG25="CS2"))+(C25:AG25="SB1")+(C25:AG25="AE")+(C25:AG25="EM"))</f>
        <v>0</v>
      </c>
      <c r="AT25" s="38"/>
      <c r="AU25" s="38" t="n">
        <f aca="false">(AQ25-AR25)/2+(AS25-AT25)</f>
        <v>0</v>
      </c>
      <c r="AV25" s="38" t="n">
        <f aca="false">AI25+AJ25+AK25+AL25+AN25+AO25</f>
        <v>0</v>
      </c>
      <c r="AW25" s="38" t="n">
        <f aca="false">BG25+BH25+BJ25+BE25+BC25+BA25+BL25</f>
        <v>1</v>
      </c>
      <c r="AX25" s="38" t="e">
        <f aca="false">AU25+AY25</f>
        <v>#VALUE!</v>
      </c>
      <c r="AY25" s="37" t="e">
        <f aca="false">(BJ25*('Setting key Duty'!$I$8+'Setting key Duty'!$I$12))+(BH25*'Setting key Duty'!$I$9)+(BC25*('Setting key Duty'!$I$13+'Setting key Duty'!$I$9))+(BA25*('Setting key Duty'!$I$13+'Setting key Duty'!$I$12+'Setting key Duty'!$I$11))+(BE25*('Setting key Duty'!$I$8+'Setting key Duty'!$I$9+'Setting key Duty'!$I$12))</f>
        <v>#VALUE!</v>
      </c>
      <c r="AZ25" s="37" t="n">
        <f aca="false">COUNTIF(D25:AA25,"*BRT*")</f>
        <v>0</v>
      </c>
      <c r="BA25" s="37" t="n">
        <f aca="false">COUNTIF(A25:AI25,"*$BTP*")</f>
        <v>1</v>
      </c>
      <c r="BB25" s="37" t="e">
        <f aca="false">BA25*('Setting key Duty'!$I$13+'Setting key Duty'!$I$12+'Setting key Duty'!$I$11)</f>
        <v>#VALUE!</v>
      </c>
      <c r="BC25" s="37" t="n">
        <f aca="false">COUNTIF(A25:AI25,"*$L*")</f>
        <v>0</v>
      </c>
      <c r="BD25" s="37" t="e">
        <f aca="false">BC25*('Setting key Duty'!$I$13+'Setting key Duty'!$I$9)</f>
        <v>#VALUE!</v>
      </c>
      <c r="BE25" s="37" t="n">
        <f aca="false">COUNTIF(A25:AI25,"*$M*")</f>
        <v>0</v>
      </c>
      <c r="BF25" s="37" t="n">
        <f aca="false">BE25*('Setting key Duty'!$I$8+'Setting key Duty'!$I$9+'Setting key Duty'!$I$12)</f>
        <v>0</v>
      </c>
      <c r="BG25" s="37" t="n">
        <f aca="false">COUNTIF(AI25,"*$N*")</f>
        <v>0</v>
      </c>
      <c r="BH25" s="37" t="n">
        <f aca="false">COUNTIF(AI25,"*$PM*")</f>
        <v>0</v>
      </c>
      <c r="BI25" s="37" t="n">
        <f aca="false">BH25*('Setting key Duty'!$I$9)</f>
        <v>0</v>
      </c>
      <c r="BJ25" s="37" t="n">
        <f aca="false">COUNTIF(A25:AI25,"*$AM*")</f>
        <v>0</v>
      </c>
      <c r="BK25" s="37" t="n">
        <f aca="false">BJ25*('Setting key Duty'!$I$12+'Setting key Duty'!$I$8)</f>
        <v>0</v>
      </c>
      <c r="BL25" s="37" t="n">
        <f aca="false">COUNTIF(D25:AI25,"*$FC*")</f>
        <v>0</v>
      </c>
      <c r="BM25" s="37" t="n">
        <f aca="false">BL25*('Setting key Duty'!$J$11+'Setting key Duty'!$I$8)</f>
        <v>0</v>
      </c>
      <c r="BN25" s="37" t="n">
        <f aca="false">COUNTIF($D25:$AA25,BN$4)</f>
        <v>0</v>
      </c>
      <c r="BO25" s="37" t="n">
        <f aca="false">COUNTIF($D25:$AA25,BO$4)</f>
        <v>0</v>
      </c>
      <c r="BP25" s="37" t="n">
        <f aca="false">COUNTIF($D25:$AA25,BP$4)</f>
        <v>0</v>
      </c>
      <c r="BQ25" s="39"/>
    </row>
    <row r="26" customFormat="false" ht="19.5" hidden="false" customHeight="true" outlineLevel="0" collapsed="false">
      <c r="A26" s="30"/>
      <c r="B26" s="142" t="s">
        <v>436</v>
      </c>
      <c r="C26" s="32"/>
      <c r="D26" s="33"/>
      <c r="E26" s="32"/>
      <c r="F26" s="32"/>
      <c r="G26" s="32"/>
      <c r="H26" s="32"/>
      <c r="I26" s="32"/>
      <c r="J26" s="32"/>
      <c r="K26" s="32"/>
      <c r="L26" s="32"/>
      <c r="M26" s="32" t="s">
        <v>515</v>
      </c>
      <c r="N26" s="32"/>
      <c r="O26" s="32"/>
      <c r="P26" s="32" t="s">
        <v>516</v>
      </c>
      <c r="Q26" s="32"/>
      <c r="R26" s="32"/>
      <c r="S26" s="32"/>
      <c r="T26" s="32"/>
      <c r="U26" s="32"/>
      <c r="V26" s="50"/>
      <c r="W26" s="32"/>
      <c r="X26" s="32"/>
      <c r="Y26" s="32"/>
      <c r="AA26" s="32"/>
      <c r="AB26" s="32"/>
      <c r="AC26" s="32"/>
      <c r="AD26" s="42"/>
      <c r="AE26" s="32"/>
      <c r="AF26" s="42"/>
      <c r="AH26" s="32"/>
      <c r="AI26" s="35"/>
      <c r="AJ26" s="36"/>
      <c r="AK26" s="35"/>
      <c r="AL26" s="37"/>
      <c r="AM26" s="37"/>
      <c r="AN26" s="37"/>
      <c r="AO26" s="37"/>
      <c r="AP26" s="38"/>
      <c r="AQ26" s="37" t="n">
        <f aca="false">SUMPRODUCT(--WEEKDAY(C$3:AG$3,2)&lt;6,--((C26:AG26="DM"))+(C26:AG26="CS1")+((C26:AG26="CS2"))+(C26:AG26="SB1")+(C26:AG26="AE")+(C26:AG26="EM"))</f>
        <v>0</v>
      </c>
      <c r="AR26" s="38"/>
      <c r="AS26" s="38" t="n">
        <f aca="false">SUMPRODUCT(--WEEKDAY(C$3:AG$3,2)&gt;5,--((C26:AG26="DM"))+(C26:AG26="CS1")+((C26:AG26="CS2"))+(C26:AG26="SB1")+(C26:AG26="AE")+(C26:AG26="EM"))</f>
        <v>0</v>
      </c>
      <c r="AT26" s="38"/>
      <c r="AU26" s="38" t="n">
        <f aca="false">(AQ26-AR26)/2+(AS26-AT26)</f>
        <v>0</v>
      </c>
      <c r="AV26" s="38" t="n">
        <f aca="false">AI26+AJ26+AK26+AL26+AN26+AO26</f>
        <v>0</v>
      </c>
      <c r="AW26" s="38" t="n">
        <f aca="false">BG26+BH26+BJ26+BE26+BC26+BA26+BL26</f>
        <v>2</v>
      </c>
      <c r="AX26" s="38" t="e">
        <f aca="false">AU26+AY26</f>
        <v>#VALUE!</v>
      </c>
      <c r="AY26" s="37" t="e">
        <f aca="false">(BJ26*('Setting key Duty'!$I$8+'Setting key Duty'!$I$12))+(BH26*'Setting key Duty'!$I$9)+(BC26*('Setting key Duty'!$I$13+'Setting key Duty'!$I$9))+(BA26*('Setting key Duty'!$I$13+'Setting key Duty'!$I$12+'Setting key Duty'!$I$11))+(BE26*('Setting key Duty'!$I$8+'Setting key Duty'!$I$9+'Setting key Duty'!$I$12))</f>
        <v>#VALUE!</v>
      </c>
      <c r="AZ26" s="37" t="n">
        <f aca="false">COUNTIF(C26:W26,"*BRT*")</f>
        <v>0</v>
      </c>
      <c r="BA26" s="37" t="n">
        <f aca="false">COUNTIF(A26:AI26,"*$BTP*")</f>
        <v>0</v>
      </c>
      <c r="BB26" s="37" t="e">
        <f aca="false">BA26*('Setting key Duty'!$I$13+'Setting key Duty'!$I$12+'Setting key Duty'!$I$11)</f>
        <v>#VALUE!</v>
      </c>
      <c r="BC26" s="37" t="n">
        <f aca="false">COUNTIF(D26:AI26,"*$L*")</f>
        <v>0</v>
      </c>
      <c r="BD26" s="37" t="e">
        <f aca="false">BC26*('Setting key Duty'!$I$13+'Setting key Duty'!$I$9)</f>
        <v>#VALUE!</v>
      </c>
      <c r="BE26" s="37" t="n">
        <f aca="false">COUNTIF(D26:AI26,"*$M*")</f>
        <v>0</v>
      </c>
      <c r="BF26" s="37" t="n">
        <f aca="false">BE26*('Setting key Duty'!$I$8+'Setting key Duty'!$I$9+'Setting key Duty'!$I$12)</f>
        <v>0</v>
      </c>
      <c r="BG26" s="37" t="n">
        <f aca="false">COUNTIF(D26:AI26,"*$N*")</f>
        <v>0</v>
      </c>
      <c r="BH26" s="37" t="n">
        <f aca="false">COUNTIF(D26:AI26,"*$PM*")</f>
        <v>0</v>
      </c>
      <c r="BI26" s="37" t="n">
        <f aca="false">BH26*('Setting key Duty'!$I$9)</f>
        <v>0</v>
      </c>
      <c r="BJ26" s="37" t="n">
        <f aca="false">COUNTIF(D26:AI26,"*$AM*")</f>
        <v>2</v>
      </c>
      <c r="BK26" s="37" t="n">
        <f aca="false">BJ26*('Setting key Duty'!$I$12+'Setting key Duty'!$I$8)</f>
        <v>0.875</v>
      </c>
      <c r="BL26" s="37" t="n">
        <f aca="false">COUNTIF(C26:AI26,"*$FC*")</f>
        <v>0</v>
      </c>
      <c r="BM26" s="37" t="n">
        <f aca="false">BL26*('Setting key Duty'!$J$11+'Setting key Duty'!$I$8)</f>
        <v>0</v>
      </c>
      <c r="BN26" s="37" t="n">
        <f aca="false">COUNTIF($C26:$AG26,BN$4)</f>
        <v>0</v>
      </c>
      <c r="BO26" s="37" t="n">
        <f aca="false">COUNTIF($C26:$AG26,BO$4)</f>
        <v>0</v>
      </c>
      <c r="BP26" s="37" t="n">
        <f aca="false">COUNTIF($D26:$AD26,BP$4)</f>
        <v>0</v>
      </c>
      <c r="BQ26" s="39"/>
    </row>
    <row r="27" customFormat="false" ht="19.5" hidden="false" customHeight="true" outlineLevel="0" collapsed="false">
      <c r="A27" s="30"/>
      <c r="B27" s="148" t="s">
        <v>262</v>
      </c>
      <c r="C27" s="32"/>
      <c r="D27" s="32"/>
      <c r="E27" s="32"/>
      <c r="F27" s="32" t="s">
        <v>511</v>
      </c>
      <c r="G27" s="32"/>
      <c r="H27" s="32"/>
      <c r="I27" s="32"/>
      <c r="J27" s="32"/>
      <c r="K27" s="32" t="s">
        <v>235</v>
      </c>
      <c r="L27" s="32" t="s">
        <v>513</v>
      </c>
      <c r="M27" s="32"/>
      <c r="N27" s="32"/>
      <c r="O27" s="32"/>
      <c r="P27" s="32"/>
      <c r="Q27" s="32"/>
      <c r="R27" s="32"/>
      <c r="S27" s="32" t="s">
        <v>517</v>
      </c>
      <c r="T27" s="32" t="s">
        <v>511</v>
      </c>
      <c r="U27" s="32"/>
      <c r="V27" s="50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5"/>
      <c r="AJ27" s="36"/>
      <c r="AK27" s="35"/>
      <c r="AL27" s="66"/>
      <c r="AM27" s="66"/>
      <c r="AN27" s="66"/>
      <c r="AO27" s="66"/>
      <c r="AP27" s="67"/>
      <c r="AQ27" s="37" t="n">
        <f aca="false">SUMPRODUCT(--WEEKDAY(C$3:AG$3,2)&lt;6,--((C27:AG27="DM"))+(C27:AG27="CS1")+((C27:AG27="CS2"))+(C27:AG27="SB1")+(C27:AG27="AE")+(C27:AG27="EM"))</f>
        <v>0</v>
      </c>
      <c r="AR27" s="38"/>
      <c r="AS27" s="38" t="n">
        <f aca="false">SUMPRODUCT(--WEEKDAY(C$3:AG$3,2)&gt;5,--((C27:AG27="DM"))+(C27:AG27="CS1")+((C27:AG27="CS2"))+(C27:AG27="SB1")+(C27:AG27="AE")+(C27:AG27="EM"))</f>
        <v>0</v>
      </c>
      <c r="AT27" s="67"/>
      <c r="AU27" s="38" t="n">
        <f aca="false">(AQ27-AR27)/2+(AS27-AT27)</f>
        <v>0</v>
      </c>
      <c r="AV27" s="38" t="n">
        <f aca="false">AI27+AJ27+AK27+AL27+AN27+AO27</f>
        <v>0</v>
      </c>
      <c r="AW27" s="38" t="n">
        <f aca="false">BG27+BH27+BJ27+BE27+BC27+BA27+BL27</f>
        <v>3</v>
      </c>
      <c r="AX27" s="38" t="e">
        <f aca="false">AU27+AY27</f>
        <v>#VALUE!</v>
      </c>
      <c r="AY27" s="37" t="e">
        <f aca="false">(BJ27*('Setting key Duty'!$I$8+'Setting key Duty'!$I$12))+(BH27*'Setting key Duty'!$I$9)+(BC27*('Setting key Duty'!$I$13+'Setting key Duty'!$I$9))+(BA27*('Setting key Duty'!$I$13+'Setting key Duty'!$I$12+'Setting key Duty'!$I$11))+(BE27*('Setting key Duty'!$I$8+'Setting key Duty'!$I$9+'Setting key Duty'!$I$12))</f>
        <v>#VALUE!</v>
      </c>
      <c r="AZ27" s="37" t="n">
        <f aca="false">COUNTIF(C27:Y27,"*BRT*")</f>
        <v>0</v>
      </c>
      <c r="BA27" s="37" t="n">
        <f aca="false">COUNTIF(A27:AI27,"*$BTP*")</f>
        <v>1</v>
      </c>
      <c r="BB27" s="37" t="e">
        <f aca="false">BA27*('Setting key Duty'!$I$13+'Setting key Duty'!$I$12+'Setting key Duty'!$I$11)</f>
        <v>#VALUE!</v>
      </c>
      <c r="BC27" s="37" t="n">
        <f aca="false">COUNTIF(D27:AI27,"*$L*")</f>
        <v>0</v>
      </c>
      <c r="BD27" s="37" t="e">
        <f aca="false">BC27*('Setting key Duty'!$I$13+'Setting key Duty'!$I$9)</f>
        <v>#VALUE!</v>
      </c>
      <c r="BE27" s="37" t="n">
        <f aca="false">COUNTIF(D27:AI27,"*$M*")</f>
        <v>0</v>
      </c>
      <c r="BF27" s="37" t="n">
        <f aca="false">BE27*('Setting key Duty'!$I$8+'Setting key Duty'!$I$9+'Setting key Duty'!$I$12)</f>
        <v>0</v>
      </c>
      <c r="BG27" s="37" t="n">
        <f aca="false">COUNTIF(D27:AI27,"*$N*")</f>
        <v>0</v>
      </c>
      <c r="BH27" s="37" t="n">
        <f aca="false">COUNTIF(D27:AI27,"*$PM*")</f>
        <v>0</v>
      </c>
      <c r="BI27" s="37" t="n">
        <f aca="false">BH27*('Setting key Duty'!$I$9)</f>
        <v>0</v>
      </c>
      <c r="BJ27" s="37" t="n">
        <f aca="false">COUNTIF(D27:AI27,"*$AM*")</f>
        <v>2</v>
      </c>
      <c r="BK27" s="37" t="n">
        <f aca="false">BJ27*('Setting key Duty'!$I$12+'Setting key Duty'!$I$8)</f>
        <v>0.875</v>
      </c>
      <c r="BL27" s="37" t="n">
        <f aca="false">COUNTIF(C27:AI27,"*$FC*")</f>
        <v>0</v>
      </c>
      <c r="BM27" s="37" t="n">
        <f aca="false">BL27*('Setting key Duty'!$J$11+'Setting key Duty'!$I$8)</f>
        <v>0</v>
      </c>
      <c r="BN27" s="37" t="n">
        <f aca="false">COUNTIF($C27:$AG27,BN$4)</f>
        <v>0</v>
      </c>
      <c r="BO27" s="37" t="n">
        <f aca="false">COUNTIF($C27:$AG27,BO$4)</f>
        <v>0</v>
      </c>
      <c r="BP27" s="37" t="n">
        <f aca="false">COUNTIF($D27:$AE27,BP$4)</f>
        <v>0</v>
      </c>
      <c r="BQ27" s="68"/>
    </row>
    <row r="28" customFormat="false" ht="19.5" hidden="false" customHeight="true" outlineLevel="0" collapsed="false">
      <c r="A28" s="30"/>
      <c r="B28" s="122" t="s">
        <v>518</v>
      </c>
      <c r="C28" s="32"/>
      <c r="D28" s="32"/>
      <c r="E28" s="32" t="s">
        <v>54</v>
      </c>
      <c r="F28" s="32" t="s">
        <v>54</v>
      </c>
      <c r="G28" s="32" t="s">
        <v>54</v>
      </c>
      <c r="H28" s="32" t="s">
        <v>54</v>
      </c>
      <c r="I28" s="32" t="s">
        <v>54</v>
      </c>
      <c r="J28" s="32" t="s">
        <v>54</v>
      </c>
      <c r="K28" s="32" t="s">
        <v>54</v>
      </c>
      <c r="L28" s="32" t="s">
        <v>54</v>
      </c>
      <c r="M28" s="32" t="s">
        <v>54</v>
      </c>
      <c r="N28" s="32" t="s">
        <v>54</v>
      </c>
      <c r="O28" s="32" t="s">
        <v>54</v>
      </c>
      <c r="P28" s="32" t="s">
        <v>54</v>
      </c>
      <c r="Q28" s="32" t="s">
        <v>387</v>
      </c>
      <c r="R28" s="32"/>
      <c r="S28" s="32"/>
      <c r="T28" s="32"/>
      <c r="U28" s="32"/>
      <c r="V28" s="50"/>
      <c r="W28" s="32"/>
      <c r="X28" s="32"/>
      <c r="Y28" s="32"/>
      <c r="Z28" s="32" t="s">
        <v>402</v>
      </c>
      <c r="AA28" s="32"/>
      <c r="AB28" s="33"/>
      <c r="AC28" s="32"/>
      <c r="AD28" s="45"/>
      <c r="AE28" s="32"/>
      <c r="AF28" s="32" t="s">
        <v>519</v>
      </c>
      <c r="AG28" s="32"/>
      <c r="AH28" s="42"/>
      <c r="AI28" s="35"/>
      <c r="AJ28" s="36"/>
      <c r="AK28" s="35"/>
      <c r="AL28" s="66"/>
      <c r="AM28" s="66"/>
      <c r="AN28" s="66"/>
      <c r="AO28" s="66"/>
      <c r="AP28" s="67"/>
      <c r="AQ28" s="37" t="n">
        <f aca="false">SUMPRODUCT(--WEEKDAY(C$3:AG$3,2)&lt;6,--((C28:AG28="DM"))+(C28:AG28="CS1")+((C28:AG28="CS2"))+(C28:AG28="SB1")+(C28:AG28="AE")+(C28:AG28="EM"))</f>
        <v>0</v>
      </c>
      <c r="AR28" s="67"/>
      <c r="AS28" s="38" t="n">
        <f aca="false">SUMPRODUCT(--WEEKDAY(C$3:AG$3,2)&gt;5,--((C28:AG28="DM"))+(C28:AG28="CS1")+((C28:AG28="CS2"))+(C28:AG28="SB1")+(C28:AG28="AE")+(C28:AG28="EM"))</f>
        <v>0</v>
      </c>
      <c r="AT28" s="67"/>
      <c r="AU28" s="38" t="n">
        <f aca="false">(AQ28-AR28)/2+(AS28-AT28)</f>
        <v>0</v>
      </c>
      <c r="AV28" s="38" t="n">
        <f aca="false">AI28+AJ28+AK28+AL28+AN28+AO28</f>
        <v>0</v>
      </c>
      <c r="AW28" s="38" t="n">
        <f aca="false">BG28+BH28+BJ28+BE28+BC28+BA28+BL28</f>
        <v>3</v>
      </c>
      <c r="AX28" s="38" t="e">
        <f aca="false">AU28+AY28</f>
        <v>#VALUE!</v>
      </c>
      <c r="AY28" s="37" t="e">
        <f aca="false">(BJ28*('Setting key Duty'!$I$8+'Setting key Duty'!$I$12))+(BH28*'Setting key Duty'!$I$9)+(BC28*('Setting key Duty'!$I$13+'Setting key Duty'!$I$9))+(BA28*('Setting key Duty'!$I$13+'Setting key Duty'!$I$12+'Setting key Duty'!$I$11))+(BE28*('Setting key Duty'!$I$8+'Setting key Duty'!$I$9+'Setting key Duty'!$I$12))</f>
        <v>#VALUE!</v>
      </c>
      <c r="AZ28" s="37" t="n">
        <f aca="false">COUNTIF(C28:Y28,"*BRT*")</f>
        <v>0</v>
      </c>
      <c r="BA28" s="37" t="n">
        <f aca="false">COUNTIF(A28:AI28,"*$BTP*")</f>
        <v>1</v>
      </c>
      <c r="BB28" s="37" t="e">
        <f aca="false">BA28*('Setting key Duty'!$I$13+'Setting key Duty'!$I$12+'Setting key Duty'!$I$11)</f>
        <v>#VALUE!</v>
      </c>
      <c r="BC28" s="37" t="n">
        <f aca="false">COUNTIF(D28:AI28,"*$L*")</f>
        <v>0</v>
      </c>
      <c r="BD28" s="37" t="e">
        <f aca="false">BC28*('Setting key Duty'!$I$13+'Setting key Duty'!$I$9)</f>
        <v>#VALUE!</v>
      </c>
      <c r="BE28" s="37" t="n">
        <f aca="false">COUNTIF(D28:AI28,"*$M*")</f>
        <v>0</v>
      </c>
      <c r="BF28" s="37" t="n">
        <f aca="false">BE28*('Setting key Duty'!$I$8+'Setting key Duty'!$I$9+'Setting key Duty'!$I$12)</f>
        <v>0</v>
      </c>
      <c r="BG28" s="37" t="n">
        <f aca="false">COUNTIF(D28:AI28,"*$N*")</f>
        <v>0</v>
      </c>
      <c r="BH28" s="37" t="n">
        <f aca="false">COUNTIF(D28:AI28,"*$PM*")</f>
        <v>0</v>
      </c>
      <c r="BI28" s="37" t="n">
        <f aca="false">BH28*('Setting key Duty'!$I$9)</f>
        <v>0</v>
      </c>
      <c r="BJ28" s="37" t="n">
        <f aca="false">COUNTIF(D28:AI28,"*$AM*")</f>
        <v>2</v>
      </c>
      <c r="BK28" s="37" t="n">
        <f aca="false">BJ28*('Setting key Duty'!$I$12+'Setting key Duty'!$I$8)</f>
        <v>0.875</v>
      </c>
      <c r="BL28" s="37" t="n">
        <f aca="false">COUNTIF(C28:AI28,"*$FC*")</f>
        <v>0</v>
      </c>
      <c r="BM28" s="37" t="n">
        <f aca="false">BL28*('Setting key Duty'!$J$11+'Setting key Duty'!$I$8)</f>
        <v>0</v>
      </c>
      <c r="BN28" s="37" t="n">
        <f aca="false">COUNTIF($C28:$AG28,BN$4)</f>
        <v>0</v>
      </c>
      <c r="BO28" s="37" t="n">
        <f aca="false">COUNTIF($C28:$AG28,BO$4)</f>
        <v>0</v>
      </c>
      <c r="BP28" s="37"/>
      <c r="BQ28" s="68"/>
    </row>
    <row r="29" customFormat="false" ht="19.5" hidden="false" customHeight="true" outlineLevel="0" collapsed="false">
      <c r="A29" s="30"/>
      <c r="B29" s="59" t="s">
        <v>520</v>
      </c>
      <c r="C29" s="42"/>
      <c r="D29" s="32"/>
      <c r="E29" s="56"/>
      <c r="F29" s="32"/>
      <c r="G29" s="32"/>
      <c r="H29" s="32"/>
      <c r="I29" s="32"/>
      <c r="J29" s="32"/>
      <c r="K29" s="32"/>
      <c r="M29" s="32"/>
      <c r="N29" s="32" t="s">
        <v>65</v>
      </c>
      <c r="O29" s="32"/>
      <c r="P29" s="32"/>
      <c r="Q29" s="32"/>
      <c r="R29" s="32"/>
      <c r="S29" s="32" t="s">
        <v>521</v>
      </c>
      <c r="T29" s="52"/>
      <c r="U29" s="52"/>
      <c r="V29" s="32"/>
      <c r="W29" s="32"/>
      <c r="X29" s="32"/>
      <c r="Y29" s="56"/>
      <c r="Z29" s="32"/>
      <c r="AA29" s="32"/>
      <c r="AB29" s="45"/>
      <c r="AC29" s="56"/>
      <c r="AD29" s="33"/>
      <c r="AE29" s="45"/>
      <c r="AF29" s="32"/>
      <c r="AG29" s="42"/>
      <c r="AH29" s="32"/>
      <c r="AI29" s="35"/>
      <c r="AJ29" s="36"/>
      <c r="AK29" s="35"/>
      <c r="AL29" s="66"/>
      <c r="AM29" s="66"/>
      <c r="AN29" s="66"/>
      <c r="AO29" s="66"/>
      <c r="AP29" s="67"/>
      <c r="AQ29" s="37" t="n">
        <f aca="false">SUMPRODUCT(--WEEKDAY(C$3:AG$3,2)&lt;6,--((C29:AG29="DM"))+(C29:AG29="CS1")+((C29:AG29="CS2"))+(C29:AG29="SB1")+(C29:AG29="AE")+(C29:AG29="EM"))</f>
        <v>0</v>
      </c>
      <c r="AR29" s="67"/>
      <c r="AS29" s="38" t="n">
        <f aca="false">SUMPRODUCT(--WEEKDAY(C$3:AG$3,2)&gt;5,--((C29:AG29="DM"))+(C29:AG29="CS1")+((C29:AG29="CS2"))+(C29:AG29="SB1")+(C29:AG29="AE")+(C29:AG29="EM"))</f>
        <v>1</v>
      </c>
      <c r="AT29" s="67"/>
      <c r="AU29" s="38" t="n">
        <f aca="false">(AQ29-AR29)/2+(AS29-AT29)</f>
        <v>1</v>
      </c>
      <c r="AV29" s="38" t="n">
        <f aca="false">AI29+AJ29+AK29+AL29+AN29+AO29</f>
        <v>0</v>
      </c>
      <c r="AW29" s="38" t="n">
        <f aca="false">BG29+BH29+BJ29+BE29+BC29+BA29+BL29</f>
        <v>1</v>
      </c>
      <c r="AX29" s="38" t="e">
        <f aca="false">AU29+AY29</f>
        <v>#VALUE!</v>
      </c>
      <c r="AY29" s="37" t="e">
        <f aca="false">(BJ29*('Setting key Duty'!$I$8+'Setting key Duty'!$I$12))+(BH29*'Setting key Duty'!$I$9)+(BC29*('Setting key Duty'!$I$13+'Setting key Duty'!$I$9))+(BA29*('Setting key Duty'!$I$13+'Setting key Duty'!$I$12+'Setting key Duty'!$I$11))+(BE29*('Setting key Duty'!$I$8+'Setting key Duty'!$I$9+'Setting key Duty'!$I$12))</f>
        <v>#VALUE!</v>
      </c>
      <c r="AZ29" s="37" t="n">
        <f aca="false">COUNTIF(C29:Y29,"*BRT*")</f>
        <v>0</v>
      </c>
      <c r="BA29" s="37" t="n">
        <f aca="false">COUNTIF(A29:AI29,"*$BTP*")</f>
        <v>0</v>
      </c>
      <c r="BB29" s="37" t="e">
        <f aca="false">BA29*('Setting key Duty'!$I$13+'Setting key Duty'!$I$12+'Setting key Duty'!$I$11)</f>
        <v>#VALUE!</v>
      </c>
      <c r="BC29" s="37" t="n">
        <f aca="false">COUNTIF(D29:AI29,"*$L*")</f>
        <v>0</v>
      </c>
      <c r="BD29" s="37" t="e">
        <f aca="false">BC29*('Setting key Duty'!$I$13+'Setting key Duty'!$I$9)</f>
        <v>#VALUE!</v>
      </c>
      <c r="BE29" s="37" t="n">
        <f aca="false">COUNTIF(D29:AI29,"*$M*")</f>
        <v>0</v>
      </c>
      <c r="BF29" s="37" t="n">
        <f aca="false">BE29*('Setting key Duty'!$I$8+'Setting key Duty'!$I$9+'Setting key Duty'!$I$12)</f>
        <v>0</v>
      </c>
      <c r="BG29" s="37" t="n">
        <f aca="false">COUNTIF(D29:AI29,"*$N*")</f>
        <v>0</v>
      </c>
      <c r="BH29" s="37" t="n">
        <f aca="false">COUNTIF(D29:AI29,"*$PM*")</f>
        <v>1</v>
      </c>
      <c r="BI29" s="37" t="n">
        <f aca="false">BH29*('Setting key Duty'!$I$9)</f>
        <v>0.125</v>
      </c>
      <c r="BJ29" s="37" t="n">
        <f aca="false">COUNTIF(D29:AI29,"*$AM*")</f>
        <v>0</v>
      </c>
      <c r="BK29" s="37" t="n">
        <f aca="false">BJ29*('Setting key Duty'!$I$12+'Setting key Duty'!$I$8)</f>
        <v>0</v>
      </c>
      <c r="BL29" s="37" t="n">
        <f aca="false">COUNTIF(C29:AI29,"*$FC*")</f>
        <v>0</v>
      </c>
      <c r="BM29" s="37" t="n">
        <f aca="false">BL29*('Setting key Duty'!$J$11+'Setting key Duty'!$I$8)</f>
        <v>0</v>
      </c>
      <c r="BN29" s="37" t="n">
        <f aca="false">COUNTIF($C29:$AG29,BN$4)</f>
        <v>0</v>
      </c>
      <c r="BO29" s="37" t="n">
        <f aca="false">COUNTIF($C29:$AG29,BO$4)</f>
        <v>0</v>
      </c>
      <c r="BP29" s="37"/>
      <c r="BQ29" s="68"/>
    </row>
    <row r="30" customFormat="false" ht="19.5" hidden="false" customHeight="true" outlineLevel="0" collapsed="false">
      <c r="A30" s="30"/>
      <c r="B30" s="135" t="s">
        <v>522</v>
      </c>
      <c r="C30" s="145" t="s">
        <v>477</v>
      </c>
      <c r="D30" s="145" t="s">
        <v>477</v>
      </c>
      <c r="E30" s="145" t="s">
        <v>477</v>
      </c>
      <c r="F30" s="139" t="s">
        <v>477</v>
      </c>
      <c r="G30" s="139" t="s">
        <v>477</v>
      </c>
      <c r="H30" s="139" t="s">
        <v>477</v>
      </c>
      <c r="I30" s="145" t="s">
        <v>477</v>
      </c>
      <c r="J30" s="145" t="s">
        <v>477</v>
      </c>
      <c r="K30" s="145" t="s">
        <v>477</v>
      </c>
      <c r="L30" s="145" t="s">
        <v>477</v>
      </c>
      <c r="M30" s="139" t="s">
        <v>477</v>
      </c>
      <c r="N30" s="45"/>
      <c r="O30" s="45"/>
      <c r="P30" s="45"/>
      <c r="Q30" s="56" t="s">
        <v>244</v>
      </c>
      <c r="S30" s="32"/>
      <c r="T30" s="32" t="s">
        <v>517</v>
      </c>
      <c r="U30" s="32"/>
      <c r="X30" s="32"/>
      <c r="Y30" s="32"/>
      <c r="Z30" s="32"/>
      <c r="AA30" s="32" t="s">
        <v>402</v>
      </c>
      <c r="AB30" s="32"/>
      <c r="AC30" s="33"/>
      <c r="AD30" s="42"/>
      <c r="AE30" s="32" t="s">
        <v>523</v>
      </c>
      <c r="AF30" s="32"/>
      <c r="AG30" s="32" t="s">
        <v>297</v>
      </c>
      <c r="AH30" s="32"/>
      <c r="AI30" s="35"/>
      <c r="AJ30" s="36"/>
      <c r="AK30" s="35"/>
      <c r="AL30" s="66"/>
      <c r="AM30" s="66"/>
      <c r="AN30" s="66"/>
      <c r="AO30" s="66"/>
      <c r="AP30" s="67"/>
      <c r="AQ30" s="37" t="n">
        <f aca="false">SUMPRODUCT(--WEEKDAY(C$3:AG$3,2)&lt;6,--((C30:AG30="DM"))+(C30:AG30="CS1")+((C30:AG30="CS2"))+(C30:AG30="SB1")+(C30:AG30="AE")+(C30:AG30="EM"))</f>
        <v>0</v>
      </c>
      <c r="AR30" s="67"/>
      <c r="AS30" s="38" t="n">
        <f aca="false">SUMPRODUCT(--WEEKDAY(C$3:AG$3,2)&gt;5,--((C30:AG30="DM"))+(C30:AG30="CS1")+((C30:AG30="CS2"))+(C30:AG30="SB1")+(C30:AG30="AE")+(C30:AG30="EM"))</f>
        <v>0</v>
      </c>
      <c r="AT30" s="67"/>
      <c r="AU30" s="38" t="n">
        <f aca="false">(AQ30-AR30)/2+(AS30-AT30)</f>
        <v>0</v>
      </c>
      <c r="AV30" s="38" t="n">
        <f aca="false">AI30+AJ30+AK30+AL30+AN30+AO30</f>
        <v>0</v>
      </c>
      <c r="AW30" s="38" t="n">
        <f aca="false">BG30+BH30+BJ30+BE30+BC30+BA30+BL30</f>
        <v>5</v>
      </c>
      <c r="AX30" s="38" t="e">
        <f aca="false">AU30+AY30</f>
        <v>#VALUE!</v>
      </c>
      <c r="AY30" s="37" t="e">
        <f aca="false">(BJ30*('Setting key Duty'!$I$8+'Setting key Duty'!$I$12))+(BH30*'Setting key Duty'!$I$9)+(BC30*('Setting key Duty'!$I$13+'Setting key Duty'!$I$9))+(BA30*('Setting key Duty'!$I$13+'Setting key Duty'!$I$12+'Setting key Duty'!$I$11))+(BE30*('Setting key Duty'!$I$8+'Setting key Duty'!$I$9+'Setting key Duty'!$I$12))</f>
        <v>#VALUE!</v>
      </c>
      <c r="AZ30" s="37" t="n">
        <f aca="false">COUNTIF(C30:Y30,"*BRT*")</f>
        <v>0</v>
      </c>
      <c r="BA30" s="37" t="n">
        <f aca="false">COUNTIF(A30:AI30,"*$BTP*")</f>
        <v>2</v>
      </c>
      <c r="BB30" s="37" t="e">
        <f aca="false">BA30*('Setting key Duty'!$I$13+'Setting key Duty'!$I$12+'Setting key Duty'!$I$11)</f>
        <v>#VALUE!</v>
      </c>
      <c r="BC30" s="37" t="n">
        <f aca="false">COUNTIF(D30:AI30,"*$L*")</f>
        <v>0</v>
      </c>
      <c r="BD30" s="37" t="e">
        <f aca="false">BC30*('Setting key Duty'!$I$13+'Setting key Duty'!$I$9)</f>
        <v>#VALUE!</v>
      </c>
      <c r="BE30" s="37" t="n">
        <f aca="false">COUNTIF(D30:AI30,"*$M*")</f>
        <v>1</v>
      </c>
      <c r="BF30" s="37" t="n">
        <f aca="false">BE30*('Setting key Duty'!$I$8+'Setting key Duty'!$I$9+'Setting key Duty'!$I$12)</f>
        <v>0.5625</v>
      </c>
      <c r="BG30" s="37" t="n">
        <f aca="false">COUNTIF(D30:AI30,"*$N*")</f>
        <v>0</v>
      </c>
      <c r="BH30" s="37" t="n">
        <f aca="false">COUNTIF(D30:AI30,"*$PM*")</f>
        <v>1</v>
      </c>
      <c r="BI30" s="37" t="n">
        <f aca="false">BH30*('Setting key Duty'!$I$9)</f>
        <v>0.125</v>
      </c>
      <c r="BJ30" s="37" t="n">
        <f aca="false">COUNTIF(D30:AI30,"*$AM*")</f>
        <v>1</v>
      </c>
      <c r="BK30" s="37" t="n">
        <f aca="false">BJ30*('Setting key Duty'!$I$12+'Setting key Duty'!$I$8)</f>
        <v>0.4375</v>
      </c>
      <c r="BL30" s="37" t="n">
        <f aca="false">COUNTIF(C30:AI30,"*$FC*")</f>
        <v>0</v>
      </c>
      <c r="BM30" s="37" t="n">
        <f aca="false">BL30*('Setting key Duty'!$J$11+'Setting key Duty'!$I$8)</f>
        <v>0</v>
      </c>
      <c r="BN30" s="37" t="n">
        <f aca="false">COUNTIF($C30:$AG30,BN$4)</f>
        <v>0</v>
      </c>
      <c r="BO30" s="37" t="n">
        <f aca="false">COUNTIF($C30:$AG30,BO$4)</f>
        <v>0</v>
      </c>
      <c r="BP30" s="37"/>
      <c r="BQ30" s="68"/>
    </row>
    <row r="31" customFormat="false" ht="19.5" hidden="false" customHeight="true" outlineLevel="0" collapsed="false">
      <c r="A31" s="30"/>
      <c r="B31" s="135" t="s">
        <v>524</v>
      </c>
      <c r="C31" s="42"/>
      <c r="D31" s="42"/>
      <c r="E31" s="32"/>
      <c r="G31" s="32"/>
      <c r="H31" s="32"/>
      <c r="I31" s="32" t="s">
        <v>512</v>
      </c>
      <c r="J31" s="32"/>
      <c r="K31" s="32"/>
      <c r="M31" s="98" t="s">
        <v>245</v>
      </c>
      <c r="N31" s="56"/>
      <c r="O31" s="32"/>
      <c r="Q31" s="45"/>
      <c r="R31" s="32" t="s">
        <v>237</v>
      </c>
      <c r="S31" s="32"/>
      <c r="T31" s="52"/>
      <c r="U31" s="52"/>
      <c r="V31" s="50"/>
      <c r="W31" s="32"/>
      <c r="Y31" s="42"/>
      <c r="Z31" s="32"/>
      <c r="AA31" s="32" t="s">
        <v>525</v>
      </c>
      <c r="AC31" s="32"/>
      <c r="AE31" s="32" t="s">
        <v>124</v>
      </c>
      <c r="AF31" s="32"/>
      <c r="AG31" s="42"/>
      <c r="AH31" s="42"/>
      <c r="AI31" s="35"/>
      <c r="AJ31" s="36"/>
      <c r="AK31" s="35"/>
      <c r="AL31" s="66"/>
      <c r="AM31" s="66"/>
      <c r="AN31" s="66"/>
      <c r="AO31" s="66"/>
      <c r="AP31" s="67"/>
      <c r="AQ31" s="37" t="n">
        <f aca="false">SUMPRODUCT(--WEEKDAY(C$3:AG$3,2)&lt;6,--((C31:AG31="DM"))+(C31:AG31="CS1")+((C31:AG31="CS2"))+(C31:AG31="SB1")+(C31:AG31="AE")+(C31:AG31="EM"))</f>
        <v>0</v>
      </c>
      <c r="AR31" s="67"/>
      <c r="AS31" s="38" t="n">
        <f aca="false">SUMPRODUCT(--WEEKDAY(C$3:AG$3,2)&gt;5,--((C31:AG31="DM"))+(C31:AG31="CS1")+((C31:AG31="CS2"))+(C31:AG31="SB1")+(C31:AG31="AE")+(C31:AG31="EM"))</f>
        <v>0</v>
      </c>
      <c r="AT31" s="67"/>
      <c r="AU31" s="38" t="n">
        <f aca="false">(AQ31-AR31)/2+(AS31-AT31)</f>
        <v>0</v>
      </c>
      <c r="AV31" s="38" t="n">
        <f aca="false">AI31+AJ31+AK31+AL31+AN31+AO31</f>
        <v>0</v>
      </c>
      <c r="AW31" s="38" t="n">
        <f aca="false">BG31+BH31+BJ31+BE31+BC31+BA31+BL31</f>
        <v>5</v>
      </c>
      <c r="AX31" s="38" t="e">
        <f aca="false">AU31+AY31</f>
        <v>#VALUE!</v>
      </c>
      <c r="AY31" s="37" t="e">
        <f aca="false">(BJ31*('Setting key Duty'!$I$8+'Setting key Duty'!$I$12))+(BH31*'Setting key Duty'!$I$9)+(BC31*('Setting key Duty'!$I$13+'Setting key Duty'!$I$9))+(BA31*('Setting key Duty'!$I$13+'Setting key Duty'!$I$12+'Setting key Duty'!$I$11))+(BE31*('Setting key Duty'!$I$8+'Setting key Duty'!$I$9+'Setting key Duty'!$I$12))</f>
        <v>#VALUE!</v>
      </c>
      <c r="AZ31" s="37" t="n">
        <f aca="false">COUNTIF(C31:Y31,"*BRT*")</f>
        <v>0</v>
      </c>
      <c r="BA31" s="37" t="n">
        <f aca="false">COUNTIF(A31:AI31,"*$BTP*")</f>
        <v>1</v>
      </c>
      <c r="BB31" s="37" t="e">
        <f aca="false">BA31*('Setting key Duty'!$I$13+'Setting key Duty'!$I$12+'Setting key Duty'!$I$11)</f>
        <v>#VALUE!</v>
      </c>
      <c r="BC31" s="37" t="n">
        <f aca="false">COUNTIF(D31:AI31,"*$L*")</f>
        <v>0</v>
      </c>
      <c r="BD31" s="37" t="e">
        <f aca="false">BC31*('Setting key Duty'!$I$13+'Setting key Duty'!$I$9)</f>
        <v>#VALUE!</v>
      </c>
      <c r="BE31" s="37" t="n">
        <f aca="false">COUNTIF(D31:AI31,"*$M*")</f>
        <v>1</v>
      </c>
      <c r="BF31" s="37" t="n">
        <f aca="false">BE31*('Setting key Duty'!$I$8+'Setting key Duty'!$I$9+'Setting key Duty'!$I$12)</f>
        <v>0.5625</v>
      </c>
      <c r="BG31" s="37" t="n">
        <f aca="false">COUNTIF(D31:AI31,"*$N*")</f>
        <v>0</v>
      </c>
      <c r="BH31" s="37" t="n">
        <f aca="false">COUNTIF(D31:AI31,"*$PM*")</f>
        <v>1</v>
      </c>
      <c r="BI31" s="37" t="n">
        <f aca="false">BH31*('Setting key Duty'!$I$9)</f>
        <v>0.125</v>
      </c>
      <c r="BJ31" s="37" t="n">
        <f aca="false">COUNTIF(D31:AI31,"*$AM*")</f>
        <v>2</v>
      </c>
      <c r="BK31" s="37" t="n">
        <f aca="false">BJ31*('Setting key Duty'!$I$12+'Setting key Duty'!$I$8)</f>
        <v>0.875</v>
      </c>
      <c r="BL31" s="37" t="n">
        <f aca="false">COUNTIF(C31:AI31,"*$FC*")</f>
        <v>0</v>
      </c>
      <c r="BM31" s="37" t="n">
        <f aca="false">BL31*('Setting key Duty'!$J$11+'Setting key Duty'!$I$8)</f>
        <v>0</v>
      </c>
      <c r="BN31" s="37" t="n">
        <f aca="false">COUNTIF($C31:$AG31,BN$4)</f>
        <v>0</v>
      </c>
      <c r="BO31" s="37" t="n">
        <f aca="false">COUNTIF($C31:$AG31,BO$4)</f>
        <v>0</v>
      </c>
      <c r="BP31" s="37"/>
      <c r="BQ31" s="68"/>
    </row>
    <row r="32" customFormat="false" ht="19.5" hidden="false" customHeight="true" outlineLevel="0" collapsed="false">
      <c r="A32" s="30"/>
      <c r="B32" s="135" t="s">
        <v>526</v>
      </c>
      <c r="C32" s="42"/>
      <c r="D32" s="32"/>
      <c r="E32" s="32"/>
      <c r="F32" s="56"/>
      <c r="G32" s="32"/>
      <c r="H32" s="32"/>
      <c r="I32" s="32"/>
      <c r="J32" s="32"/>
      <c r="K32" s="56" t="s">
        <v>144</v>
      </c>
      <c r="L32" s="32"/>
      <c r="M32" s="56"/>
      <c r="O32" s="56"/>
      <c r="P32" s="32"/>
      <c r="Q32" s="32" t="s">
        <v>237</v>
      </c>
      <c r="R32" s="32"/>
      <c r="S32" s="32"/>
      <c r="T32" s="32" t="s">
        <v>246</v>
      </c>
      <c r="U32" s="32"/>
      <c r="V32" s="50"/>
      <c r="W32" s="32"/>
      <c r="X32" s="32"/>
      <c r="Z32" s="32" t="s">
        <v>245</v>
      </c>
      <c r="AA32" s="32"/>
      <c r="AB32" s="32"/>
      <c r="AC32" s="45" t="s">
        <v>242</v>
      </c>
      <c r="AD32" s="45" t="s">
        <v>242</v>
      </c>
      <c r="AE32" s="45" t="s">
        <v>242</v>
      </c>
      <c r="AF32" s="45" t="s">
        <v>242</v>
      </c>
      <c r="AG32" s="45" t="s">
        <v>242</v>
      </c>
      <c r="AI32" s="35"/>
      <c r="AJ32" s="36"/>
      <c r="AK32" s="35"/>
      <c r="AL32" s="66"/>
      <c r="AM32" s="66"/>
      <c r="AN32" s="66"/>
      <c r="AO32" s="66"/>
      <c r="AP32" s="67"/>
      <c r="AQ32" s="37" t="n">
        <f aca="false">SUMPRODUCT(--WEEKDAY(C$3:AG$3,2)&lt;6,--((C32:AG32="DM"))+(C32:AG32="CS1")+((C32:AG32="CS2"))+(C32:AG32="SB1")+(C32:AG32="AE")+(C32:AG32="EM"))</f>
        <v>0</v>
      </c>
      <c r="AR32" s="67"/>
      <c r="AS32" s="38" t="n">
        <f aca="false">SUMPRODUCT(--WEEKDAY(C$3:AG$3,2)&gt;5,--((C32:AG32="DM"))+(C32:AG32="CS1")+((C32:AG32="CS2"))+(C32:AG32="SB1")+(C32:AG32="AE")+(C32:AG32="EM"))</f>
        <v>0</v>
      </c>
      <c r="AT32" s="67"/>
      <c r="AU32" s="38" t="n">
        <f aca="false">(AQ32-AR32)/2+(AS32-AT32)</f>
        <v>0</v>
      </c>
      <c r="AV32" s="38" t="n">
        <f aca="false">AI32+AJ32+AK32+AL32+AN32+AO32</f>
        <v>0</v>
      </c>
      <c r="AW32" s="38" t="n">
        <f aca="false">BG32+BH32+BJ32+BE32+BC32+BA32+BL32</f>
        <v>9</v>
      </c>
      <c r="AX32" s="38" t="e">
        <f aca="false">AU32+AY32</f>
        <v>#VALUE!</v>
      </c>
      <c r="AY32" s="37" t="e">
        <f aca="false">(BJ32*('Setting key Duty'!$I$8+'Setting key Duty'!$I$12))+(BH32*'Setting key Duty'!$I$9)+(BC32*('Setting key Duty'!$I$13+'Setting key Duty'!$I$9))+(BA32*('Setting key Duty'!$I$13+'Setting key Duty'!$I$12+'Setting key Duty'!$I$11))+(BE32*('Setting key Duty'!$I$8+'Setting key Duty'!$I$9+'Setting key Duty'!$I$12))</f>
        <v>#VALUE!</v>
      </c>
      <c r="AZ32" s="37" t="n">
        <f aca="false">COUNTIF(C32:Y32,"*BRT*")</f>
        <v>0</v>
      </c>
      <c r="BA32" s="37" t="n">
        <f aca="false">COUNTIF(A32:AI32,"*$BTP*")</f>
        <v>1</v>
      </c>
      <c r="BB32" s="37" t="e">
        <f aca="false">BA32*('Setting key Duty'!$I$13+'Setting key Duty'!$I$12+'Setting key Duty'!$I$11)</f>
        <v>#VALUE!</v>
      </c>
      <c r="BC32" s="37" t="n">
        <f aca="false">COUNTIF(D32:AI32,"*$L*")</f>
        <v>0</v>
      </c>
      <c r="BD32" s="37" t="e">
        <f aca="false">BC32*('Setting key Duty'!$I$13+'Setting key Duty'!$I$9)</f>
        <v>#VALUE!</v>
      </c>
      <c r="BE32" s="37" t="n">
        <f aca="false">COUNTIF(D32:AI32,"*$M*")</f>
        <v>0</v>
      </c>
      <c r="BF32" s="37" t="n">
        <f aca="false">BE32*('Setting key Duty'!$I$8+'Setting key Duty'!$I$9+'Setting key Duty'!$I$12)</f>
        <v>0</v>
      </c>
      <c r="BG32" s="37" t="n">
        <f aca="false">COUNTIF(D32:AI32,"*$N*")</f>
        <v>0</v>
      </c>
      <c r="BH32" s="37" t="n">
        <f aca="false">COUNTIF(D32:AI32,"*$PM*")</f>
        <v>0</v>
      </c>
      <c r="BI32" s="37" t="n">
        <f aca="false">BH32*('Setting key Duty'!$I$9)</f>
        <v>0</v>
      </c>
      <c r="BJ32" s="37" t="n">
        <f aca="false">COUNTIF(D32:AI32,"*$AM*")</f>
        <v>3</v>
      </c>
      <c r="BK32" s="37" t="n">
        <f aca="false">BJ32*('Setting key Duty'!$I$12+'Setting key Duty'!$I$8)</f>
        <v>1.3125</v>
      </c>
      <c r="BL32" s="37" t="n">
        <f aca="false">COUNTIF(C32:AI32,"*$FC*")</f>
        <v>5</v>
      </c>
      <c r="BM32" s="37" t="n">
        <f aca="false">BL32*('Setting key Duty'!$J$11+'Setting key Duty'!$I$8)</f>
        <v>0.625</v>
      </c>
      <c r="BN32" s="37" t="n">
        <f aca="false">COUNTIF($C32:$AG32,BN$4)</f>
        <v>0</v>
      </c>
      <c r="BO32" s="37" t="n">
        <f aca="false">COUNTIF($C32:$AG32,BO$4)</f>
        <v>0</v>
      </c>
      <c r="BP32" s="37"/>
      <c r="BQ32" s="68"/>
    </row>
    <row r="33" customFormat="false" ht="19.5" hidden="false" customHeight="true" outlineLevel="0" collapsed="false">
      <c r="A33" s="30"/>
      <c r="B33" s="59" t="s">
        <v>527</v>
      </c>
      <c r="C33" s="42"/>
      <c r="D33" s="42"/>
      <c r="E33" s="32"/>
      <c r="F33" s="32" t="s">
        <v>528</v>
      </c>
      <c r="G33" s="32" t="s">
        <v>54</v>
      </c>
      <c r="H33" s="32" t="s">
        <v>54</v>
      </c>
      <c r="I33" s="65"/>
      <c r="J33" s="32" t="s">
        <v>509</v>
      </c>
      <c r="K33" s="32"/>
      <c r="L33" s="32"/>
      <c r="M33" s="32" t="s">
        <v>54</v>
      </c>
      <c r="N33" s="32" t="s">
        <v>54</v>
      </c>
      <c r="O33" s="32" t="s">
        <v>54</v>
      </c>
      <c r="P33" s="32" t="s">
        <v>54</v>
      </c>
      <c r="Q33" s="32" t="s">
        <v>54</v>
      </c>
      <c r="R33" s="32" t="s">
        <v>54</v>
      </c>
      <c r="S33" s="56"/>
      <c r="T33" s="32"/>
      <c r="U33" s="32"/>
      <c r="V33" s="50"/>
      <c r="W33" s="32"/>
      <c r="X33" s="32"/>
      <c r="Z33" s="56"/>
      <c r="AA33" s="33"/>
      <c r="AB33" s="56"/>
      <c r="AC33" s="45"/>
      <c r="AE33" s="32"/>
      <c r="AF33" s="42"/>
      <c r="AG33" s="42"/>
      <c r="AH33" s="42"/>
      <c r="AI33" s="35"/>
      <c r="AJ33" s="36"/>
      <c r="AK33" s="35"/>
      <c r="AL33" s="66"/>
      <c r="AM33" s="66"/>
      <c r="AN33" s="66"/>
      <c r="AO33" s="66"/>
      <c r="AP33" s="67"/>
      <c r="AQ33" s="37" t="n">
        <f aca="false">SUMPRODUCT(--WEEKDAY(C$3:AG$3,2)&lt;6,--((C33:AG33="DM"))+(C33:AG33="CS1")+((C33:AG33="CS2"))+(C33:AG33="SB1")+(C33:AG33="AE")+(C33:AG33="EM"))</f>
        <v>0</v>
      </c>
      <c r="AR33" s="67"/>
      <c r="AS33" s="38" t="n">
        <f aca="false">SUMPRODUCT(--WEEKDAY(C$3:AG$3,2)&gt;5,--((C33:AG33="DM"))+(C33:AG33="CS1")+((C33:AG33="CS2"))+(C33:AG33="SB1")+(C33:AG33="AE")+(C33:AG33="EM"))</f>
        <v>0</v>
      </c>
      <c r="AT33" s="67"/>
      <c r="AU33" s="38" t="n">
        <f aca="false">(AQ33-AR33)/2+(AS33-AT33)</f>
        <v>0</v>
      </c>
      <c r="AV33" s="38" t="n">
        <f aca="false">AI33+AJ33+AK33+AL33+AN33+AO33</f>
        <v>0</v>
      </c>
      <c r="AW33" s="38" t="n">
        <f aca="false">BG33+BH33+BJ33+BE33+BC33+BA33+BL33</f>
        <v>1</v>
      </c>
      <c r="AX33" s="38" t="e">
        <f aca="false">AU33+AY33</f>
        <v>#VALUE!</v>
      </c>
      <c r="AY33" s="37" t="e">
        <f aca="false">(BJ33*('Setting key Duty'!$I$8+'Setting key Duty'!$I$12))+(BH33*'Setting key Duty'!$I$9)+(BC33*('Setting key Duty'!$I$13+'Setting key Duty'!$I$9))+(BA33*('Setting key Duty'!$I$13+'Setting key Duty'!$I$12+'Setting key Duty'!$I$11))+(BE33*('Setting key Duty'!$I$8+'Setting key Duty'!$I$9+'Setting key Duty'!$I$12))</f>
        <v>#VALUE!</v>
      </c>
      <c r="AZ33" s="37" t="n">
        <f aca="false">COUNTIF(C33:Y33,"*BRT*")</f>
        <v>0</v>
      </c>
      <c r="BA33" s="37" t="n">
        <f aca="false">COUNTIF(A33:AI33,"*$BTP*")</f>
        <v>0</v>
      </c>
      <c r="BB33" s="37" t="e">
        <f aca="false">BA33*('Setting key Duty'!$I$13+'Setting key Duty'!$I$12+'Setting key Duty'!$I$11)</f>
        <v>#VALUE!</v>
      </c>
      <c r="BC33" s="37" t="n">
        <f aca="false">COUNTIF(D33:AI33,"*$L*")</f>
        <v>0</v>
      </c>
      <c r="BD33" s="37" t="e">
        <f aca="false">BC33*('Setting key Duty'!$I$13+'Setting key Duty'!$I$9)</f>
        <v>#VALUE!</v>
      </c>
      <c r="BE33" s="37" t="n">
        <f aca="false">COUNTIF(D33:AI33,"*$M*")</f>
        <v>0</v>
      </c>
      <c r="BF33" s="37" t="n">
        <f aca="false">BE33*('Setting key Duty'!$I$8+'Setting key Duty'!$I$9+'Setting key Duty'!$I$12)</f>
        <v>0</v>
      </c>
      <c r="BG33" s="37" t="n">
        <f aca="false">COUNTIF(D33:AI33,"*$N*")</f>
        <v>0</v>
      </c>
      <c r="BH33" s="37" t="n">
        <f aca="false">COUNTIF(D33:AI33,"*$PM*")</f>
        <v>0</v>
      </c>
      <c r="BI33" s="37" t="n">
        <f aca="false">BH33*('Setting key Duty'!$I$9)</f>
        <v>0</v>
      </c>
      <c r="BJ33" s="37" t="n">
        <f aca="false">COUNTIF(D33:AI33,"*$AM*")</f>
        <v>1</v>
      </c>
      <c r="BK33" s="37" t="n">
        <f aca="false">BJ33*('Setting key Duty'!$I$12+'Setting key Duty'!$I$8)</f>
        <v>0.4375</v>
      </c>
      <c r="BL33" s="37" t="n">
        <f aca="false">COUNTIF(C33:AI33,"*$FC*")</f>
        <v>0</v>
      </c>
      <c r="BM33" s="37" t="n">
        <f aca="false">BL33*('Setting key Duty'!$J$11+'Setting key Duty'!$I$8)</f>
        <v>0</v>
      </c>
      <c r="BN33" s="37" t="n">
        <f aca="false">COUNTIF($C33:$AG33,BN$4)</f>
        <v>0</v>
      </c>
      <c r="BO33" s="37" t="n">
        <f aca="false">COUNTIF($C33:$AG33,BO$4)</f>
        <v>0</v>
      </c>
      <c r="BP33" s="37"/>
      <c r="BQ33" s="68"/>
    </row>
    <row r="34" customFormat="false" ht="19.5" hidden="false" customHeight="true" outlineLevel="0" collapsed="false">
      <c r="A34" s="30"/>
      <c r="B34" s="135" t="s">
        <v>529</v>
      </c>
      <c r="C34" s="42"/>
      <c r="D34" s="116"/>
      <c r="E34" s="116"/>
      <c r="F34" s="42"/>
      <c r="G34" s="116"/>
      <c r="H34" s="56"/>
      <c r="I34" s="116"/>
      <c r="J34" s="32" t="s">
        <v>333</v>
      </c>
      <c r="K34" s="116"/>
      <c r="L34" s="116"/>
      <c r="M34" s="116"/>
      <c r="O34" s="116"/>
      <c r="P34" s="116"/>
      <c r="Q34" s="116"/>
      <c r="R34" s="116"/>
      <c r="S34" s="116"/>
      <c r="T34" s="116"/>
      <c r="U34" s="116"/>
      <c r="V34" s="136"/>
      <c r="W34" s="116"/>
      <c r="X34" s="116"/>
      <c r="Y34" s="42"/>
      <c r="AA34" s="56"/>
      <c r="AB34" s="116"/>
      <c r="AC34" s="116"/>
      <c r="AD34" s="116"/>
      <c r="AE34" s="116"/>
      <c r="AF34" s="116"/>
      <c r="AG34" s="116"/>
      <c r="AH34" s="116"/>
      <c r="AI34" s="35"/>
      <c r="AJ34" s="36"/>
      <c r="AK34" s="35"/>
      <c r="AL34" s="66"/>
      <c r="AM34" s="66"/>
      <c r="AN34" s="66"/>
      <c r="AO34" s="66"/>
      <c r="AP34" s="67"/>
      <c r="AQ34" s="37" t="n">
        <f aca="false">SUMPRODUCT(--WEEKDAY(C$3:AG$3,2)&lt;6,--((C34:AG34="DM"))+(C34:AG34="CS1")+((C34:AG34="CS2"))+(C34:AG34="SB1")+(C34:AG34="AE")+(C34:AG34="EM"))</f>
        <v>0</v>
      </c>
      <c r="AR34" s="67"/>
      <c r="AS34" s="38" t="n">
        <f aca="false">SUMPRODUCT(--WEEKDAY(C$3:AG$3,2)&gt;5,--((C34:AG34="DM"))+(C34:AG34="CS1")+((C34:AG34="CS2"))+(C34:AG34="SB1")+(C34:AG34="AE")+(C34:AG34="EM"))</f>
        <v>0</v>
      </c>
      <c r="AT34" s="67"/>
      <c r="AU34" s="38" t="n">
        <f aca="false">(AQ34-AR34)/2+(AS34-AT34)</f>
        <v>0</v>
      </c>
      <c r="AV34" s="38" t="n">
        <f aca="false">AI34+AJ34+AK34+AL34+AN34+AO34</f>
        <v>0</v>
      </c>
      <c r="AW34" s="38" t="n">
        <f aca="false">BG34+BH34+BJ34+BE34+BC34+BA34+BL34</f>
        <v>1</v>
      </c>
      <c r="AX34" s="38" t="e">
        <f aca="false">AU34+AY34</f>
        <v>#VALUE!</v>
      </c>
      <c r="AY34" s="37" t="e">
        <f aca="false">(BJ34*('Setting key Duty'!$I$8+'Setting key Duty'!$I$12))+(BH34*'Setting key Duty'!$I$9)+(BC34*('Setting key Duty'!$I$13+'Setting key Duty'!$I$9))+(BA34*('Setting key Duty'!$I$13+'Setting key Duty'!$I$12+'Setting key Duty'!$I$11))+(BE34*('Setting key Duty'!$I$8+'Setting key Duty'!$I$9+'Setting key Duty'!$I$12))</f>
        <v>#VALUE!</v>
      </c>
      <c r="AZ34" s="37" t="n">
        <f aca="false">COUNTIF(C34:Y34,"*BRT*")</f>
        <v>0</v>
      </c>
      <c r="BA34" s="37" t="n">
        <f aca="false">COUNTIF(A34:AI34,"*$BTP*")</f>
        <v>0</v>
      </c>
      <c r="BB34" s="37" t="e">
        <f aca="false">BA34*('Setting key Duty'!$I$13+'Setting key Duty'!$I$12+'Setting key Duty'!$I$11)</f>
        <v>#VALUE!</v>
      </c>
      <c r="BC34" s="37" t="n">
        <f aca="false">COUNTIF(D34:AI34,"*$L*")</f>
        <v>0</v>
      </c>
      <c r="BD34" s="37" t="e">
        <f aca="false">BC34*('Setting key Duty'!$I$13+'Setting key Duty'!$I$9)</f>
        <v>#VALUE!</v>
      </c>
      <c r="BE34" s="37" t="n">
        <f aca="false">COUNTIF(D34:AI34,"*$M*")</f>
        <v>0</v>
      </c>
      <c r="BF34" s="37" t="n">
        <f aca="false">BE34*('Setting key Duty'!$I$8+'Setting key Duty'!$I$9+'Setting key Duty'!$I$12)</f>
        <v>0</v>
      </c>
      <c r="BG34" s="37" t="n">
        <f aca="false">COUNTIF(D34:AI34,"*$N*")</f>
        <v>0</v>
      </c>
      <c r="BH34" s="37" t="n">
        <f aca="false">COUNTIF(D34:AI34,"*$PM*")</f>
        <v>1</v>
      </c>
      <c r="BI34" s="37" t="n">
        <f aca="false">BH34*('Setting key Duty'!$I$9)</f>
        <v>0.125</v>
      </c>
      <c r="BJ34" s="37" t="n">
        <f aca="false">COUNTIF(D34:AI34,"*$AM*")</f>
        <v>0</v>
      </c>
      <c r="BK34" s="37" t="n">
        <f aca="false">BJ34*('Setting key Duty'!$I$12+'Setting key Duty'!$I$8)</f>
        <v>0</v>
      </c>
      <c r="BL34" s="37" t="n">
        <f aca="false">COUNTIF(C34:AI34,"*$FC*")</f>
        <v>0</v>
      </c>
      <c r="BM34" s="37" t="n">
        <f aca="false">BL34*('Setting key Duty'!$J$11+'Setting key Duty'!$I$8)</f>
        <v>0</v>
      </c>
      <c r="BN34" s="37" t="n">
        <f aca="false">COUNTIF($C34:$AG34,BN$4)</f>
        <v>0</v>
      </c>
      <c r="BO34" s="37" t="n">
        <f aca="false">COUNTIF($C34:$AG34,BO$4)</f>
        <v>0</v>
      </c>
      <c r="BP34" s="37"/>
      <c r="BQ34" s="68"/>
    </row>
    <row r="35" customFormat="false" ht="19.5" hidden="false" customHeight="true" outlineLevel="0" collapsed="false">
      <c r="A35" s="30"/>
      <c r="B35" s="149" t="s">
        <v>530</v>
      </c>
      <c r="C35" s="52"/>
      <c r="D35" s="45"/>
      <c r="F35" s="32"/>
      <c r="G35" s="56"/>
      <c r="H35" s="47"/>
      <c r="I35" s="32"/>
      <c r="J35" s="32"/>
      <c r="K35" s="56" t="s">
        <v>188</v>
      </c>
      <c r="L35" s="32"/>
      <c r="M35" s="42"/>
      <c r="N35" s="32"/>
      <c r="Q35" s="45"/>
      <c r="R35" s="32" t="s">
        <v>259</v>
      </c>
      <c r="T35" s="32"/>
      <c r="U35" s="56"/>
      <c r="V35" s="136"/>
      <c r="X35" s="45"/>
      <c r="Y35" s="32"/>
      <c r="AA35" s="56"/>
      <c r="AC35" s="45" t="s">
        <v>256</v>
      </c>
      <c r="AD35" s="45" t="s">
        <v>256</v>
      </c>
      <c r="AE35" s="45" t="s">
        <v>256</v>
      </c>
      <c r="AF35" s="45" t="s">
        <v>256</v>
      </c>
      <c r="AG35" s="45" t="s">
        <v>256</v>
      </c>
      <c r="AH35" s="32"/>
      <c r="AI35" s="35"/>
      <c r="AJ35" s="36"/>
      <c r="AK35" s="35"/>
      <c r="AL35" s="66"/>
      <c r="AM35" s="66"/>
      <c r="AN35" s="66"/>
      <c r="AO35" s="66"/>
      <c r="AP35" s="67"/>
      <c r="AQ35" s="37" t="n">
        <f aca="false">SUMPRODUCT(--WEEKDAY(C$3:AG$3,2)&lt;6,--((C35:AG35="DM"))+(C35:AG35="CS1")+((C35:AG35="CS2"))+(C35:AG35="SB1")+(C35:AG35="AE")+(C35:AG35="EM"))</f>
        <v>0</v>
      </c>
      <c r="AR35" s="67"/>
      <c r="AS35" s="38" t="n">
        <f aca="false">SUMPRODUCT(--WEEKDAY(C$3:AG$3,2)&gt;5,--((C35:AG35="DM"))+(C35:AG35="CS1")+((C35:AG35="CS2"))+(C35:AG35="SB1")+(C35:AG35="AE")+(C35:AG35="EM"))</f>
        <v>0</v>
      </c>
      <c r="AT35" s="67"/>
      <c r="AU35" s="38" t="n">
        <f aca="false">(AQ35-AR35)/2+(AS35-AT35)</f>
        <v>0</v>
      </c>
      <c r="AV35" s="38" t="n">
        <f aca="false">AI35+AJ35+AK35+AL35+AN35+AO35</f>
        <v>0</v>
      </c>
      <c r="AW35" s="38" t="n">
        <f aca="false">BG35+BH35+BJ35+BE35+BC35+BA35+BL35</f>
        <v>7</v>
      </c>
      <c r="AX35" s="38" t="e">
        <f aca="false">AU35+AY35</f>
        <v>#VALUE!</v>
      </c>
      <c r="AY35" s="37" t="e">
        <f aca="false">(BJ35*('Setting key Duty'!$I$8+'Setting key Duty'!$I$12))+(BH35*'Setting key Duty'!$I$9)+(BC35*('Setting key Duty'!$I$13+'Setting key Duty'!$I$9))+(BA35*('Setting key Duty'!$I$13+'Setting key Duty'!$I$12+'Setting key Duty'!$I$11))+(BE35*('Setting key Duty'!$I$8+'Setting key Duty'!$I$9+'Setting key Duty'!$I$12))</f>
        <v>#VALUE!</v>
      </c>
      <c r="AZ35" s="37" t="n">
        <f aca="false">COUNTIF(C35:Y35,"*BRT*")</f>
        <v>0</v>
      </c>
      <c r="BA35" s="37" t="n">
        <f aca="false">COUNTIF(A35:AI35,"*$BTP*")</f>
        <v>0</v>
      </c>
      <c r="BB35" s="37" t="e">
        <f aca="false">BA35*('Setting key Duty'!$I$13+'Setting key Duty'!$I$12+'Setting key Duty'!$I$11)</f>
        <v>#VALUE!</v>
      </c>
      <c r="BC35" s="37" t="n">
        <f aca="false">COUNTIF(D35:AI35,"*$L*")</f>
        <v>0</v>
      </c>
      <c r="BD35" s="37" t="e">
        <f aca="false">BC35*('Setting key Duty'!$I$13+'Setting key Duty'!$I$9)</f>
        <v>#VALUE!</v>
      </c>
      <c r="BE35" s="37" t="n">
        <f aca="false">COUNTIF(D35:AI35,"*$M*")</f>
        <v>1</v>
      </c>
      <c r="BF35" s="37" t="n">
        <f aca="false">BE35*('Setting key Duty'!$I$8+'Setting key Duty'!$I$9+'Setting key Duty'!$I$12)</f>
        <v>0.5625</v>
      </c>
      <c r="BG35" s="37" t="n">
        <f aca="false">COUNTIF(D35:AI35,"*$N*")</f>
        <v>0</v>
      </c>
      <c r="BH35" s="37" t="n">
        <f aca="false">COUNTIF(D35:AI35,"*$PM*")</f>
        <v>0</v>
      </c>
      <c r="BI35" s="37" t="n">
        <f aca="false">BH35*('Setting key Duty'!$I$9)</f>
        <v>0</v>
      </c>
      <c r="BJ35" s="37" t="n">
        <f aca="false">COUNTIF(D35:AI35,"*$AM*")</f>
        <v>1</v>
      </c>
      <c r="BK35" s="37" t="n">
        <f aca="false">BJ35*('Setting key Duty'!$I$12+'Setting key Duty'!$I$8)</f>
        <v>0.4375</v>
      </c>
      <c r="BL35" s="37" t="n">
        <f aca="false">COUNTIF(C35:AI35,"*$FC*")</f>
        <v>5</v>
      </c>
      <c r="BM35" s="37" t="n">
        <f aca="false">BL35*('Setting key Duty'!$J$11+'Setting key Duty'!$I$8)</f>
        <v>0.625</v>
      </c>
      <c r="BN35" s="37" t="n">
        <f aca="false">COUNTIF($C35:$AG35,BN$4)</f>
        <v>0</v>
      </c>
      <c r="BO35" s="37" t="n">
        <f aca="false">COUNTIF($C35:$AG35,BO$4)</f>
        <v>0</v>
      </c>
      <c r="BP35" s="37"/>
      <c r="BQ35" s="68"/>
    </row>
    <row r="36" customFormat="false" ht="19.5" hidden="false" customHeight="true" outlineLevel="0" collapsed="false">
      <c r="A36" s="30"/>
      <c r="B36" s="148" t="s">
        <v>531</v>
      </c>
      <c r="C36" s="116" t="s">
        <v>532</v>
      </c>
      <c r="D36" s="42"/>
      <c r="F36" s="33"/>
      <c r="G36" s="33"/>
      <c r="H36" s="33"/>
      <c r="I36" s="33"/>
      <c r="J36" s="42"/>
      <c r="K36" s="45"/>
      <c r="L36" s="45"/>
      <c r="M36" s="150"/>
      <c r="N36" s="42"/>
      <c r="O36" s="56" t="s">
        <v>392</v>
      </c>
      <c r="P36" s="90"/>
      <c r="Q36" s="33"/>
      <c r="R36" s="33"/>
      <c r="T36" s="52" t="s">
        <v>235</v>
      </c>
      <c r="U36" s="33"/>
      <c r="V36" s="136"/>
      <c r="X36" s="42"/>
      <c r="Y36" s="32" t="s">
        <v>258</v>
      </c>
      <c r="AA36" s="32" t="s">
        <v>533</v>
      </c>
      <c r="AC36" s="33"/>
      <c r="AD36" s="42"/>
      <c r="AE36" s="90" t="s">
        <v>534</v>
      </c>
      <c r="AF36" s="90" t="s">
        <v>534</v>
      </c>
      <c r="AG36" s="90" t="s">
        <v>534</v>
      </c>
      <c r="AH36" s="90" t="s">
        <v>534</v>
      </c>
      <c r="AI36" s="35"/>
      <c r="AJ36" s="36"/>
      <c r="AK36" s="35"/>
      <c r="AL36" s="66"/>
      <c r="AM36" s="66"/>
      <c r="AN36" s="66"/>
      <c r="AO36" s="66"/>
      <c r="AP36" s="67"/>
      <c r="AQ36" s="37" t="n">
        <f aca="false">SUMPRODUCT(--WEEKDAY(C$3:AG$3,2)&lt;6,--((C36:AG36="DM"))+(C36:AG36="CS1")+((C36:AG36="CS2"))+(C36:AG36="SB1")+(C36:AG36="AE")+(C36:AG36="EM"))</f>
        <v>0</v>
      </c>
      <c r="AR36" s="67"/>
      <c r="AS36" s="38" t="n">
        <f aca="false">SUMPRODUCT(--WEEKDAY(C$3:AG$3,2)&gt;5,--((C36:AG36="DM"))+(C36:AG36="CS1")+((C36:AG36="CS2"))+(C36:AG36="SB1")+(C36:AG36="AE")+(C36:AG36="EM"))</f>
        <v>0</v>
      </c>
      <c r="AT36" s="67"/>
      <c r="AU36" s="38" t="n">
        <f aca="false">(AQ36-AR36)/2+(AS36-AT36)</f>
        <v>0</v>
      </c>
      <c r="AV36" s="38" t="n">
        <f aca="false">AI36+AJ36+AK36+AL36+AN36+AO36</f>
        <v>0</v>
      </c>
      <c r="AW36" s="38" t="n">
        <f aca="false">BG36+BH36+BJ36+BE36+BC36+BA36+BL36</f>
        <v>1</v>
      </c>
      <c r="AX36" s="38" t="e">
        <f aca="false">AU36+AY36</f>
        <v>#VALUE!</v>
      </c>
      <c r="AY36" s="37" t="e">
        <f aca="false">(BJ36*('Setting key Duty'!$I$8+'Setting key Duty'!$I$12))+(BH36*'Setting key Duty'!$I$9)+(BC36*('Setting key Duty'!$I$13+'Setting key Duty'!$I$9))+(BA36*('Setting key Duty'!$I$13+'Setting key Duty'!$I$12+'Setting key Duty'!$I$11))+(BE36*('Setting key Duty'!$I$8+'Setting key Duty'!$I$9+'Setting key Duty'!$I$12))</f>
        <v>#VALUE!</v>
      </c>
      <c r="AZ36" s="37" t="n">
        <f aca="false">COUNTIF(C36:Y36,"*BRT*")</f>
        <v>0</v>
      </c>
      <c r="BA36" s="37" t="n">
        <f aca="false">COUNTIF(A36:AI36,"*$BTP*")</f>
        <v>0</v>
      </c>
      <c r="BB36" s="37" t="e">
        <f aca="false">BA36*('Setting key Duty'!$I$13+'Setting key Duty'!$I$12+'Setting key Duty'!$I$11)</f>
        <v>#VALUE!</v>
      </c>
      <c r="BC36" s="37" t="n">
        <f aca="false">COUNTIF(D36:AI36,"*$L*")</f>
        <v>0</v>
      </c>
      <c r="BD36" s="37" t="e">
        <f aca="false">BC36*('Setting key Duty'!$I$13+'Setting key Duty'!$I$9)</f>
        <v>#VALUE!</v>
      </c>
      <c r="BE36" s="37" t="n">
        <f aca="false">COUNTIF(D36:AI36,"*$M*")</f>
        <v>1</v>
      </c>
      <c r="BF36" s="37" t="n">
        <f aca="false">BE36*('Setting key Duty'!$I$8+'Setting key Duty'!$I$9+'Setting key Duty'!$I$12)</f>
        <v>0.5625</v>
      </c>
      <c r="BG36" s="37" t="n">
        <f aca="false">COUNTIF(D36:AI36,"*$N*")</f>
        <v>0</v>
      </c>
      <c r="BH36" s="37" t="n">
        <f aca="false">COUNTIF(D36:AI36,"*$PM*")</f>
        <v>0</v>
      </c>
      <c r="BI36" s="37"/>
      <c r="BJ36" s="37"/>
      <c r="BK36" s="37"/>
      <c r="BL36" s="37"/>
      <c r="BM36" s="37"/>
      <c r="BN36" s="37"/>
      <c r="BO36" s="37"/>
      <c r="BP36" s="37"/>
      <c r="BQ36" s="68"/>
    </row>
    <row r="37" customFormat="false" ht="19.5" hidden="false" customHeight="true" outlineLevel="0" collapsed="false">
      <c r="A37" s="30"/>
      <c r="B37" s="59" t="s">
        <v>535</v>
      </c>
      <c r="C37" s="116"/>
      <c r="D37" s="42"/>
      <c r="F37" s="33"/>
      <c r="G37" s="33"/>
      <c r="H37" s="33"/>
      <c r="I37" s="32" t="s">
        <v>536</v>
      </c>
      <c r="J37" s="42"/>
      <c r="K37" s="45"/>
      <c r="L37" s="45"/>
      <c r="M37" s="56" t="s">
        <v>323</v>
      </c>
      <c r="N37" s="42"/>
      <c r="O37" s="151"/>
      <c r="P37" s="141" t="s">
        <v>537</v>
      </c>
      <c r="Q37" s="33"/>
      <c r="R37" s="33"/>
      <c r="S37" s="32" t="s">
        <v>538</v>
      </c>
      <c r="T37" s="116"/>
      <c r="U37" s="33"/>
      <c r="V37" s="136"/>
      <c r="X37" s="42"/>
      <c r="Y37" s="33"/>
      <c r="AA37" s="33"/>
      <c r="AC37" s="33"/>
      <c r="AD37" s="42" t="s">
        <v>329</v>
      </c>
      <c r="AE37" s="42" t="s">
        <v>329</v>
      </c>
      <c r="AF37" s="42" t="s">
        <v>329</v>
      </c>
      <c r="AG37" s="42" t="s">
        <v>329</v>
      </c>
      <c r="AH37" s="42" t="s">
        <v>329</v>
      </c>
      <c r="AI37" s="35"/>
      <c r="AJ37" s="36"/>
      <c r="AK37" s="35"/>
      <c r="AL37" s="66"/>
      <c r="AM37" s="66"/>
      <c r="AN37" s="66"/>
      <c r="AO37" s="66"/>
      <c r="AP37" s="67"/>
      <c r="AQ37" s="37" t="n">
        <f aca="false">SUMPRODUCT(--WEEKDAY(C$3:AG$3,2)&lt;6,--((C37:AG37="DM"))+(C37:AG37="CS1")+((C37:AG37="CS2"))+(C37:AG37="SB1")+(C37:AG37="AE")+(C37:AG37="EM"))</f>
        <v>0</v>
      </c>
      <c r="AR37" s="67"/>
      <c r="AS37" s="38" t="n">
        <f aca="false">SUMPRODUCT(--WEEKDAY(C$3:AG$3,2)&gt;5,--((C37:AG37="DM"))+(C37:AG37="CS1")+((C37:AG37="CS2"))+(C37:AG37="SB1")+(C37:AG37="AE")+(C37:AG37="EM"))</f>
        <v>0</v>
      </c>
      <c r="AT37" s="67"/>
      <c r="AU37" s="38" t="n">
        <f aca="false">(AQ37-AR37)/2+(AS37-AT37)</f>
        <v>0</v>
      </c>
      <c r="AV37" s="38" t="n">
        <f aca="false">AI37+AJ37+AK37+AL37+AN37+AO37</f>
        <v>0</v>
      </c>
      <c r="AW37" s="38" t="n">
        <f aca="false">BG37+BH37+BJ37+BE37+BC37+BA37+BL37</f>
        <v>4</v>
      </c>
      <c r="AX37" s="38" t="e">
        <f aca="false">AU37+AY37</f>
        <v>#VALUE!</v>
      </c>
      <c r="AY37" s="37" t="e">
        <f aca="false">(BJ37*('Setting key Duty'!$I$8+'Setting key Duty'!$I$12))+(BH37*'Setting key Duty'!$I$9)+(BC37*('Setting key Duty'!$I$13+'Setting key Duty'!$I$9))+(BA37*('Setting key Duty'!$I$13+'Setting key Duty'!$I$12+'Setting key Duty'!$I$11))+(BE37*('Setting key Duty'!$I$8+'Setting key Duty'!$I$9+'Setting key Duty'!$I$12))</f>
        <v>#VALUE!</v>
      </c>
      <c r="AZ37" s="37" t="n">
        <f aca="false">COUNTIF(C37:Y37,"*BRT*")</f>
        <v>0</v>
      </c>
      <c r="BA37" s="37" t="n">
        <f aca="false">COUNTIF(A37:AI37,"*$BTP*")</f>
        <v>1</v>
      </c>
      <c r="BB37" s="37" t="e">
        <f aca="false">BA37*('Setting key Duty'!$I$13+'Setting key Duty'!$I$12+'Setting key Duty'!$I$11)</f>
        <v>#VALUE!</v>
      </c>
      <c r="BC37" s="37" t="n">
        <f aca="false">COUNTIF(D37:AI37,"*$L*")</f>
        <v>0</v>
      </c>
      <c r="BD37" s="37" t="e">
        <f aca="false">BC37*('Setting key Duty'!$I$13+'Setting key Duty'!$I$9)</f>
        <v>#VALUE!</v>
      </c>
      <c r="BE37" s="37" t="n">
        <f aca="false">COUNTIF(D37:AI37,"*$M*")</f>
        <v>1</v>
      </c>
      <c r="BF37" s="37" t="n">
        <f aca="false">BE37*('Setting key Duty'!$I$8+'Setting key Duty'!$I$9+'Setting key Duty'!$I$12)</f>
        <v>0.5625</v>
      </c>
      <c r="BG37" s="37" t="n">
        <f aca="false">COUNTIF(D37:AI37,"*$N*")</f>
        <v>0</v>
      </c>
      <c r="BH37" s="37" t="n">
        <f aca="false">COUNTIF(D37:AI37,"*$PM*")</f>
        <v>2</v>
      </c>
      <c r="BI37" s="37"/>
      <c r="BJ37" s="37"/>
      <c r="BK37" s="37"/>
      <c r="BL37" s="37"/>
      <c r="BM37" s="37"/>
      <c r="BN37" s="37"/>
      <c r="BO37" s="37"/>
      <c r="BP37" s="37"/>
      <c r="BQ37" s="68"/>
    </row>
    <row r="38" customFormat="false" ht="19.5" hidden="false" customHeight="true" outlineLevel="0" collapsed="false">
      <c r="A38" s="30"/>
      <c r="B38" s="59" t="s">
        <v>539</v>
      </c>
      <c r="C38" s="116"/>
      <c r="D38" s="42"/>
      <c r="F38" s="33"/>
      <c r="G38" s="33"/>
      <c r="H38" s="33"/>
      <c r="I38" s="33"/>
      <c r="J38" s="32" t="s">
        <v>536</v>
      </c>
      <c r="K38" s="45"/>
      <c r="L38" s="34" t="s">
        <v>540</v>
      </c>
      <c r="M38" s="150"/>
      <c r="N38" s="42"/>
      <c r="O38" s="56" t="s">
        <v>541</v>
      </c>
      <c r="P38" s="90"/>
      <c r="Q38" s="33"/>
      <c r="R38" s="33"/>
      <c r="T38" s="116"/>
      <c r="U38" s="33"/>
      <c r="V38" s="136"/>
      <c r="W38" s="32" t="s">
        <v>240</v>
      </c>
      <c r="X38" s="42"/>
      <c r="Y38" s="33"/>
      <c r="AA38" s="32" t="s">
        <v>542</v>
      </c>
      <c r="AC38" s="33"/>
      <c r="AD38" s="42"/>
      <c r="AE38" s="32" t="s">
        <v>543</v>
      </c>
      <c r="AF38" s="42"/>
      <c r="AG38" s="34" t="s">
        <v>144</v>
      </c>
      <c r="AH38" s="42"/>
      <c r="AI38" s="35"/>
      <c r="AJ38" s="36"/>
      <c r="AK38" s="35"/>
      <c r="AL38" s="66"/>
      <c r="AM38" s="66"/>
      <c r="AN38" s="66"/>
      <c r="AO38" s="66"/>
      <c r="AP38" s="67"/>
      <c r="AQ38" s="37" t="n">
        <f aca="false">SUMPRODUCT(--WEEKDAY(C$3:AG$3,2)&lt;6,--((C38:AG38="DM"))+(C38:AG38="CS1")+((C38:AG38="CS2"))+(C38:AG38="SB1")+(C38:AG38="AE")+(C38:AG38="EM"))</f>
        <v>0</v>
      </c>
      <c r="AR38" s="67"/>
      <c r="AS38" s="38" t="n">
        <f aca="false">SUMPRODUCT(--WEEKDAY(C$3:AG$3,2)&gt;5,--((C38:AG38="DM"))+(C38:AG38="CS1")+((C38:AG38="CS2"))+(C38:AG38="SB1")+(C38:AG38="AE")+(C38:AG38="EM"))</f>
        <v>0</v>
      </c>
      <c r="AT38" s="67"/>
      <c r="AU38" s="38" t="n">
        <f aca="false">(AQ38-AR38)/2+(AS38-AT38)</f>
        <v>0</v>
      </c>
      <c r="AV38" s="38" t="n">
        <f aca="false">AI38+AJ38+AK38+AL38+AN38+AO38</f>
        <v>0</v>
      </c>
      <c r="AW38" s="38" t="n">
        <f aca="false">BG38+BH38+BJ38+BE38+BC38+BA38+BL38</f>
        <v>5</v>
      </c>
      <c r="AX38" s="38" t="e">
        <f aca="false">AU38+AY38</f>
        <v>#VALUE!</v>
      </c>
      <c r="AY38" s="37" t="e">
        <f aca="false">(BJ38*('Setting key Duty'!$I$8+'Setting key Duty'!$I$12))+(BH38*'Setting key Duty'!$I$9)+(BC38*('Setting key Duty'!$I$13+'Setting key Duty'!$I$9))+(BA38*('Setting key Duty'!$I$13+'Setting key Duty'!$I$12+'Setting key Duty'!$I$11))+(BE38*('Setting key Duty'!$I$8+'Setting key Duty'!$I$9+'Setting key Duty'!$I$12))</f>
        <v>#VALUE!</v>
      </c>
      <c r="AZ38" s="37" t="n">
        <f aca="false">COUNTIF(C38:Y38,"*BRT*")</f>
        <v>0</v>
      </c>
      <c r="BA38" s="37" t="n">
        <f aca="false">COUNTIF(A38:AI38,"*$BTP*")</f>
        <v>3</v>
      </c>
      <c r="BB38" s="37" t="e">
        <f aca="false">BA38*('Setting key Duty'!$I$13+'Setting key Duty'!$I$12+'Setting key Duty'!$I$11)</f>
        <v>#VALUE!</v>
      </c>
      <c r="BC38" s="37" t="n">
        <f aca="false">COUNTIF(D38:AI38,"*$L*")</f>
        <v>0</v>
      </c>
      <c r="BD38" s="37" t="e">
        <f aca="false">BC38*('Setting key Duty'!$I$13+'Setting key Duty'!$I$9)</f>
        <v>#VALUE!</v>
      </c>
      <c r="BE38" s="37" t="n">
        <f aca="false">COUNTIF(D38:AI38,"*$M*")</f>
        <v>2</v>
      </c>
      <c r="BF38" s="37" t="n">
        <f aca="false">BE38*('Setting key Duty'!$I$8+'Setting key Duty'!$I$9+'Setting key Duty'!$I$12)</f>
        <v>1.125</v>
      </c>
      <c r="BG38" s="37" t="n">
        <f aca="false">COUNTIF(D38:AI38,"*$N*")</f>
        <v>0</v>
      </c>
      <c r="BH38" s="37" t="n">
        <f aca="false">COUNTIF(D38:AI38,"*$PM*")</f>
        <v>0</v>
      </c>
      <c r="BI38" s="37"/>
      <c r="BJ38" s="37"/>
      <c r="BK38" s="37"/>
      <c r="BL38" s="37"/>
      <c r="BM38" s="37"/>
      <c r="BN38" s="37"/>
      <c r="BO38" s="37"/>
      <c r="BP38" s="37"/>
      <c r="BQ38" s="68"/>
    </row>
    <row r="39" customFormat="false" ht="19.5" hidden="false" customHeight="true" outlineLevel="0" collapsed="false">
      <c r="A39" s="30"/>
      <c r="B39" s="59" t="s">
        <v>544</v>
      </c>
      <c r="C39" s="116"/>
      <c r="D39" s="42"/>
      <c r="F39" s="33"/>
      <c r="G39" s="33"/>
      <c r="H39" s="33"/>
      <c r="I39" s="32" t="s">
        <v>281</v>
      </c>
      <c r="J39" s="42"/>
      <c r="K39" s="45"/>
      <c r="L39" s="45"/>
      <c r="M39" s="56" t="s">
        <v>133</v>
      </c>
      <c r="N39" s="42"/>
      <c r="O39" s="151"/>
      <c r="P39" s="141" t="s">
        <v>545</v>
      </c>
      <c r="Q39" s="33"/>
      <c r="R39" s="33"/>
      <c r="T39" s="116"/>
      <c r="U39" s="33"/>
      <c r="V39" s="136"/>
      <c r="X39" s="32" t="s">
        <v>304</v>
      </c>
      <c r="Y39" s="33"/>
      <c r="Z39" s="32" t="s">
        <v>542</v>
      </c>
      <c r="AA39" s="33"/>
      <c r="AC39" s="33"/>
      <c r="AD39" s="42"/>
      <c r="AE39" s="90"/>
      <c r="AF39" s="32" t="s">
        <v>546</v>
      </c>
      <c r="AG39" s="116"/>
      <c r="AH39" s="42"/>
      <c r="AI39" s="35"/>
      <c r="AJ39" s="36"/>
      <c r="AK39" s="35"/>
      <c r="AL39" s="66"/>
      <c r="AM39" s="66"/>
      <c r="AN39" s="66"/>
      <c r="AO39" s="66"/>
      <c r="AP39" s="67"/>
      <c r="AQ39" s="37" t="n">
        <f aca="false">SUMPRODUCT(--WEEKDAY(C$3:AG$3,2)&lt;6,--((C39:AG39="DM"))+(C39:AG39="CS1")+((C39:AG39="CS2"))+(C39:AG39="SB1")+(C39:AG39="AE")+(C39:AG39="EM"))</f>
        <v>0</v>
      </c>
      <c r="AR39" s="67"/>
      <c r="AS39" s="38" t="n">
        <f aca="false">SUMPRODUCT(--WEEKDAY(C$3:AG$3,2)&gt;5,--((C39:AG39="DM"))+(C39:AG39="CS1")+((C39:AG39="CS2"))+(C39:AG39="SB1")+(C39:AG39="AE")+(C39:AG39="EM"))</f>
        <v>0</v>
      </c>
      <c r="AT39" s="67"/>
      <c r="AU39" s="38" t="n">
        <f aca="false">(AQ39-AR39)/2+(AS39-AT39)</f>
        <v>0</v>
      </c>
      <c r="AV39" s="38" t="n">
        <f aca="false">AI39+AJ39+AK39+AL39+AN39+AO39</f>
        <v>0</v>
      </c>
      <c r="AW39" s="38" t="n">
        <f aca="false">BG39+BH39+BJ39+BE39+BC39+BA39+BL39</f>
        <v>5</v>
      </c>
      <c r="AX39" s="38" t="e">
        <f aca="false">AU39+AY39</f>
        <v>#VALUE!</v>
      </c>
      <c r="AY39" s="37" t="e">
        <f aca="false">(BJ39*('Setting key Duty'!$I$8+'Setting key Duty'!$I$12))+(BH39*'Setting key Duty'!$I$9)+(BC39*('Setting key Duty'!$I$13+'Setting key Duty'!$I$9))+(BA39*('Setting key Duty'!$I$13+'Setting key Duty'!$I$12+'Setting key Duty'!$I$11))+(BE39*('Setting key Duty'!$I$8+'Setting key Duty'!$I$9+'Setting key Duty'!$I$12))</f>
        <v>#VALUE!</v>
      </c>
      <c r="AZ39" s="37" t="n">
        <f aca="false">COUNTIF(C39:Y39,"*BRT*")</f>
        <v>0</v>
      </c>
      <c r="BA39" s="37" t="n">
        <f aca="false">COUNTIF(A39:AI39,"*$BTP*")</f>
        <v>2</v>
      </c>
      <c r="BB39" s="37" t="e">
        <f aca="false">BA39*('Setting key Duty'!$I$13+'Setting key Duty'!$I$12+'Setting key Duty'!$I$11)</f>
        <v>#VALUE!</v>
      </c>
      <c r="BC39" s="37" t="n">
        <f aca="false">COUNTIF(D39:AI39,"*$L*")</f>
        <v>0</v>
      </c>
      <c r="BD39" s="37" t="e">
        <f aca="false">BC39*('Setting key Duty'!$I$13+'Setting key Duty'!$I$9)</f>
        <v>#VALUE!</v>
      </c>
      <c r="BE39" s="37" t="n">
        <f aca="false">COUNTIF(D39:AI39,"*$M*")</f>
        <v>3</v>
      </c>
      <c r="BF39" s="37" t="n">
        <f aca="false">BE39*('Setting key Duty'!$I$8+'Setting key Duty'!$I$9+'Setting key Duty'!$I$12)</f>
        <v>1.6875</v>
      </c>
      <c r="BG39" s="37" t="n">
        <f aca="false">COUNTIF(D39:AI39,"*$N*")</f>
        <v>0</v>
      </c>
      <c r="BH39" s="37" t="n">
        <f aca="false">COUNTIF(D39:AI39,"*$PM*")</f>
        <v>0</v>
      </c>
      <c r="BI39" s="37"/>
      <c r="BJ39" s="37"/>
      <c r="BK39" s="37"/>
      <c r="BL39" s="37"/>
      <c r="BM39" s="37"/>
      <c r="BN39" s="37"/>
      <c r="BO39" s="37"/>
      <c r="BP39" s="37"/>
      <c r="BQ39" s="68"/>
    </row>
    <row r="40" customFormat="false" ht="19.5" hidden="false" customHeight="true" outlineLevel="0" collapsed="false">
      <c r="A40" s="30"/>
      <c r="B40" s="59" t="s">
        <v>547</v>
      </c>
      <c r="C40" s="116"/>
      <c r="D40" s="42"/>
      <c r="F40" s="33"/>
      <c r="G40" s="33"/>
      <c r="H40" s="33"/>
      <c r="I40" s="33"/>
      <c r="J40" s="32" t="s">
        <v>281</v>
      </c>
      <c r="K40" s="45"/>
      <c r="L40" s="45"/>
      <c r="M40" s="150"/>
      <c r="N40" s="42"/>
      <c r="O40" s="151"/>
      <c r="P40" s="141" t="s">
        <v>548</v>
      </c>
      <c r="Q40" s="33"/>
      <c r="R40" s="33"/>
      <c r="T40" s="116"/>
      <c r="U40" s="33"/>
      <c r="V40" s="136"/>
      <c r="W40" s="32" t="s">
        <v>399</v>
      </c>
      <c r="X40" s="42"/>
      <c r="Y40" s="33"/>
      <c r="Z40" s="32" t="s">
        <v>549</v>
      </c>
      <c r="AA40" s="33"/>
      <c r="AC40" s="33"/>
      <c r="AD40" s="32" t="s">
        <v>543</v>
      </c>
      <c r="AE40" s="90"/>
      <c r="AF40" s="42"/>
      <c r="AG40" s="52" t="s">
        <v>516</v>
      </c>
      <c r="AH40" s="42"/>
      <c r="AI40" s="35"/>
      <c r="AJ40" s="36"/>
      <c r="AK40" s="35"/>
      <c r="AL40" s="66"/>
      <c r="AM40" s="66"/>
      <c r="AN40" s="66"/>
      <c r="AO40" s="66"/>
      <c r="AP40" s="67"/>
      <c r="AQ40" s="37" t="n">
        <f aca="false">SUMPRODUCT(--WEEKDAY(C$3:AG$3,2)&lt;6,--((C40:AG40="DM"))+(C40:AG40="CS1")+((C40:AG40="CS2"))+(C40:AG40="SB1")+(C40:AG40="AE")+(C40:AG40="EM"))</f>
        <v>0</v>
      </c>
      <c r="AR40" s="67"/>
      <c r="AS40" s="38" t="n">
        <f aca="false">SUMPRODUCT(--WEEKDAY(C$3:AG$3,2)&gt;5,--((C40:AG40="DM"))+(C40:AG40="CS1")+((C40:AG40="CS2"))+(C40:AG40="SB1")+(C40:AG40="AE")+(C40:AG40="EM"))</f>
        <v>0</v>
      </c>
      <c r="AT40" s="67"/>
      <c r="AU40" s="38" t="n">
        <f aca="false">(AQ40-AR40)/2+(AS40-AT40)</f>
        <v>0</v>
      </c>
      <c r="AV40" s="38" t="n">
        <f aca="false">AI40+AJ40+AK40+AL40+AN40+AO40</f>
        <v>0</v>
      </c>
      <c r="AW40" s="38" t="n">
        <f aca="false">BG40+BH40+BJ40+BE40+BC40+BA40+BL40</f>
        <v>4</v>
      </c>
      <c r="AX40" s="38" t="e">
        <f aca="false">AU40+AY40</f>
        <v>#VALUE!</v>
      </c>
      <c r="AY40" s="37" t="e">
        <f aca="false">(BJ40*('Setting key Duty'!$I$8+'Setting key Duty'!$I$12))+(BH40*'Setting key Duty'!$I$9)+(BC40*('Setting key Duty'!$I$13+'Setting key Duty'!$I$9))+(BA40*('Setting key Duty'!$I$13+'Setting key Duty'!$I$12+'Setting key Duty'!$I$11))+(BE40*('Setting key Duty'!$I$8+'Setting key Duty'!$I$9+'Setting key Duty'!$I$12))</f>
        <v>#VALUE!</v>
      </c>
      <c r="AZ40" s="37" t="n">
        <f aca="false">COUNTIF(C40:Y40,"*BRT*")</f>
        <v>0</v>
      </c>
      <c r="BA40" s="37" t="n">
        <f aca="false">COUNTIF(A40:AI40,"*$BTP*")</f>
        <v>2</v>
      </c>
      <c r="BB40" s="37" t="e">
        <f aca="false">BA40*('Setting key Duty'!$I$13+'Setting key Duty'!$I$12+'Setting key Duty'!$I$11)</f>
        <v>#VALUE!</v>
      </c>
      <c r="BC40" s="37" t="n">
        <f aca="false">COUNTIF(D40:AI40,"*$L*")</f>
        <v>0</v>
      </c>
      <c r="BD40" s="37" t="e">
        <f aca="false">BC40*('Setting key Duty'!$I$13+'Setting key Duty'!$I$9)</f>
        <v>#VALUE!</v>
      </c>
      <c r="BE40" s="37" t="n">
        <f aca="false">COUNTIF(D40:AI40,"*$M*")</f>
        <v>0</v>
      </c>
      <c r="BF40" s="37" t="n">
        <f aca="false">BE40*('Setting key Duty'!$I$8+'Setting key Duty'!$I$9+'Setting key Duty'!$I$12)</f>
        <v>0</v>
      </c>
      <c r="BG40" s="37" t="n">
        <f aca="false">COUNTIF(D40:AI40,"*$N*")</f>
        <v>0</v>
      </c>
      <c r="BH40" s="37" t="n">
        <f aca="false">COUNTIF(D40:AI40,"*$PM*")</f>
        <v>2</v>
      </c>
      <c r="BI40" s="37"/>
      <c r="BJ40" s="37"/>
      <c r="BK40" s="37"/>
      <c r="BL40" s="37"/>
      <c r="BM40" s="37"/>
      <c r="BN40" s="37"/>
      <c r="BO40" s="37"/>
      <c r="BP40" s="37"/>
      <c r="BQ40" s="68"/>
    </row>
    <row r="41" customFormat="false" ht="19.5" hidden="false" customHeight="true" outlineLevel="0" collapsed="false">
      <c r="A41" s="30"/>
      <c r="B41" s="64"/>
      <c r="C41" s="116"/>
      <c r="D41" s="42"/>
      <c r="E41" s="33"/>
      <c r="F41" s="33"/>
      <c r="G41" s="33"/>
      <c r="H41" s="33"/>
      <c r="I41" s="33"/>
      <c r="J41" s="42"/>
      <c r="K41" s="45"/>
      <c r="L41" s="45"/>
      <c r="M41" s="63"/>
      <c r="N41" s="42"/>
      <c r="O41" s="45"/>
      <c r="P41" s="42"/>
      <c r="Q41" s="33"/>
      <c r="R41" s="33"/>
      <c r="S41" s="33"/>
      <c r="T41" s="116"/>
      <c r="U41" s="33"/>
      <c r="V41" s="136"/>
      <c r="W41" s="33"/>
      <c r="X41" s="42"/>
      <c r="Y41" s="33"/>
      <c r="Z41" s="33"/>
      <c r="AA41" s="33"/>
      <c r="AB41" s="33"/>
      <c r="AC41" s="33"/>
      <c r="AD41" s="42"/>
      <c r="AE41" s="42"/>
      <c r="AF41" s="42"/>
      <c r="AG41" s="116"/>
      <c r="AH41" s="42"/>
      <c r="AI41" s="35"/>
      <c r="AJ41" s="36"/>
      <c r="AK41" s="35"/>
      <c r="AL41" s="66"/>
      <c r="AM41" s="66"/>
      <c r="AN41" s="66"/>
      <c r="AO41" s="66"/>
      <c r="AP41" s="67"/>
      <c r="AQ41" s="37" t="n">
        <f aca="false">SUMPRODUCT(--WEEKDAY(C$3:AG$3,2)&lt;6,--((C41:AG41="DM"))+(C41:AG41="CS1")+((C41:AG41="CS2"))+(C41:AG41="SB1")+(C41:AG41="AE")+(C41:AG41="EM"))</f>
        <v>0</v>
      </c>
      <c r="AR41" s="67"/>
      <c r="AS41" s="38" t="n">
        <f aca="false">SUMPRODUCT(--WEEKDAY(C$3:AG$3,2)&gt;5,--((C41:AG41="DM"))+(C41:AG41="CS1")+((C41:AG41="CS2"))+(C41:AG41="SB1")+(C41:AG41="AE")+(C41:AG41="EM"))</f>
        <v>0</v>
      </c>
      <c r="AT41" s="67"/>
      <c r="AU41" s="38" t="n">
        <f aca="false">(AQ41-AR41)/2+(AS41-AT41)</f>
        <v>0</v>
      </c>
      <c r="AV41" s="38" t="n">
        <f aca="false">AI41+AJ41+AK41+AL41+AN41+AO41</f>
        <v>0</v>
      </c>
      <c r="AW41" s="38" t="n">
        <f aca="false">BG41+BH41+BJ41+BE41+BC41+BA41+BL41</f>
        <v>0</v>
      </c>
      <c r="AX41" s="38" t="e">
        <f aca="false">AU41+AY41</f>
        <v>#VALUE!</v>
      </c>
      <c r="AY41" s="37" t="e">
        <f aca="false">(BJ41*('Setting key Duty'!$I$8+'Setting key Duty'!$I$12))+(BH41*'Setting key Duty'!$I$9)+(BC41*('Setting key Duty'!$I$13+'Setting key Duty'!$I$9))+(BA41*('Setting key Duty'!$I$13+'Setting key Duty'!$I$12+'Setting key Duty'!$I$11))+(BE41*('Setting key Duty'!$I$8+'Setting key Duty'!$I$9+'Setting key Duty'!$I$12))</f>
        <v>#VALUE!</v>
      </c>
      <c r="AZ41" s="37" t="n">
        <f aca="false">COUNTIF(C41:Y41,"*BRT*")</f>
        <v>0</v>
      </c>
      <c r="BA41" s="37" t="n">
        <f aca="false">COUNTIF(A41:AI41,"*$BTP*")</f>
        <v>0</v>
      </c>
      <c r="BB41" s="37" t="e">
        <f aca="false">BA41*('Setting key Duty'!$I$13+'Setting key Duty'!$I$12+'Setting key Duty'!$I$11)</f>
        <v>#VALUE!</v>
      </c>
      <c r="BC41" s="37" t="n">
        <f aca="false">COUNTIF(D41:AI41,"*$L*")</f>
        <v>0</v>
      </c>
      <c r="BD41" s="37" t="e">
        <f aca="false">BC41*('Setting key Duty'!$I$13+'Setting key Duty'!$I$9)</f>
        <v>#VALUE!</v>
      </c>
      <c r="BE41" s="37" t="n">
        <f aca="false">COUNTIF(D41:AI41,"*$M*")</f>
        <v>0</v>
      </c>
      <c r="BF41" s="37" t="n">
        <f aca="false">BE41*('Setting key Duty'!$I$8+'Setting key Duty'!$I$9+'Setting key Duty'!$I$12)</f>
        <v>0</v>
      </c>
      <c r="BG41" s="37" t="n">
        <f aca="false">COUNTIF(D41:AI41,"*$N*")</f>
        <v>0</v>
      </c>
      <c r="BH41" s="37" t="n">
        <f aca="false">COUNTIF(D41:AI41,"*$PM*")</f>
        <v>0</v>
      </c>
      <c r="BI41" s="37" t="n">
        <f aca="false">BH41*('Setting key Duty'!$I$9)</f>
        <v>0</v>
      </c>
      <c r="BJ41" s="37" t="n">
        <f aca="false">COUNTIF(D41:AI41,"*$AM*")</f>
        <v>0</v>
      </c>
      <c r="BK41" s="37" t="n">
        <f aca="false">BJ41*('Setting key Duty'!$I$12+'Setting key Duty'!$I$8)</f>
        <v>0</v>
      </c>
      <c r="BL41" s="37" t="n">
        <f aca="false">COUNTIF(C41:AI41,"*$FC*")</f>
        <v>0</v>
      </c>
      <c r="BM41" s="37" t="n">
        <f aca="false">BL41*('Setting key Duty'!$J$11+'Setting key Duty'!$I$8)</f>
        <v>0</v>
      </c>
      <c r="BN41" s="37" t="n">
        <f aca="false">COUNTIF($C41:$AG41,BN$4)</f>
        <v>0</v>
      </c>
      <c r="BO41" s="37" t="n">
        <f aca="false">COUNTIF($C41:$AG41,BO$4)</f>
        <v>0</v>
      </c>
      <c r="BP41" s="37"/>
      <c r="BQ41" s="68"/>
    </row>
    <row r="42" customFormat="false" ht="19.5" hidden="false" customHeight="true" outlineLevel="0" collapsed="false">
      <c r="A42" s="30"/>
      <c r="B42" s="64" t="s">
        <v>148</v>
      </c>
      <c r="C42" s="125"/>
      <c r="D42" s="42"/>
      <c r="E42" s="42"/>
      <c r="F42" s="42"/>
      <c r="G42" s="42"/>
      <c r="H42" s="42"/>
      <c r="I42" s="42"/>
      <c r="J42" s="42"/>
      <c r="K42" s="42"/>
      <c r="L42" s="42"/>
      <c r="N42" s="42"/>
      <c r="O42" s="42"/>
      <c r="P42" s="42"/>
      <c r="Q42" s="33"/>
      <c r="R42" s="33"/>
      <c r="S42" s="42"/>
      <c r="T42" s="116"/>
      <c r="U42" s="34"/>
      <c r="V42" s="136"/>
      <c r="W42" s="42"/>
      <c r="X42" s="42"/>
      <c r="Y42" s="62"/>
      <c r="Z42" s="62"/>
      <c r="AA42" s="62"/>
      <c r="AB42" s="62"/>
      <c r="AC42" s="62"/>
      <c r="AD42" s="62"/>
      <c r="AE42" s="42"/>
      <c r="AF42" s="42"/>
      <c r="AG42" s="116"/>
      <c r="AH42" s="42"/>
      <c r="AI42" s="35" t="n">
        <f aca="false">COUNTIF($C42:$AG42,AI$4)</f>
        <v>0</v>
      </c>
      <c r="AJ42" s="36" t="n">
        <f aca="false">COUNTIF($C42:$AG42,AJ$4)</f>
        <v>0</v>
      </c>
      <c r="AK42" s="35" t="n">
        <f aca="false">COUNTIF($C42:$AG42,AK$4)</f>
        <v>0</v>
      </c>
      <c r="AL42" s="66" t="n">
        <f aca="false">COUNTIF($C42:$AG42,AL$4)</f>
        <v>0</v>
      </c>
      <c r="AM42" s="66" t="n">
        <f aca="false">COUNTIF($C42:$AG42,AM$4)</f>
        <v>0</v>
      </c>
      <c r="AN42" s="66" t="n">
        <f aca="false">COUNTIF($C42:$AG42,AN$4)</f>
        <v>0</v>
      </c>
      <c r="AO42" s="66" t="n">
        <f aca="false">COUNTIF($C42:$AG42,AO$4)</f>
        <v>0</v>
      </c>
      <c r="AP42" s="67"/>
      <c r="AQ42" s="37"/>
      <c r="AR42" s="67"/>
      <c r="AS42" s="38"/>
      <c r="AT42" s="67"/>
      <c r="AU42" s="67"/>
      <c r="AV42" s="38"/>
      <c r="AW42" s="38"/>
      <c r="AX42" s="38"/>
      <c r="AY42" s="37"/>
      <c r="AZ42" s="37"/>
      <c r="BA42" s="37"/>
      <c r="BB42" s="37"/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  <c r="BN42" s="66"/>
      <c r="BO42" s="66"/>
      <c r="BP42" s="66"/>
      <c r="BQ42" s="68"/>
    </row>
    <row r="43" customFormat="false" ht="19.5" hidden="false" customHeight="true" outlineLevel="0" collapsed="false">
      <c r="A43" s="30"/>
      <c r="B43" s="69"/>
      <c r="C43" s="70"/>
      <c r="D43" s="71"/>
      <c r="E43" s="71"/>
      <c r="F43" s="71"/>
      <c r="G43" s="71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110"/>
      <c r="AI43" s="72"/>
      <c r="AJ43" s="73"/>
      <c r="AK43" s="72"/>
      <c r="AL43" s="74"/>
      <c r="AM43" s="74"/>
      <c r="AN43" s="74"/>
      <c r="AO43" s="74"/>
      <c r="AP43" s="75"/>
      <c r="AQ43" s="75"/>
      <c r="AR43" s="75"/>
      <c r="AS43" s="75" t="n">
        <f aca="false">SUMPRODUCT(--WEEKDAY(C$3:AG$3,2)&gt;5,--((C43:AG43="DM"))+(C43:AG43="CS1")+((C43:AG43="CS2"))+(C43:AG43="SB1")+(C43:AG43="AE")+(C43:AG43="EM"))</f>
        <v>0</v>
      </c>
      <c r="AT43" s="75"/>
      <c r="AU43" s="75" t="n">
        <f aca="false">(AQ43-AR43)/2+(AS43-AT43)</f>
        <v>0</v>
      </c>
      <c r="AV43" s="75"/>
      <c r="AW43" s="75"/>
      <c r="AX43" s="75"/>
      <c r="AY43" s="74"/>
      <c r="AZ43" s="74"/>
      <c r="BA43" s="74"/>
      <c r="BB43" s="74"/>
      <c r="BC43" s="74"/>
      <c r="BD43" s="74"/>
      <c r="BE43" s="74"/>
      <c r="BF43" s="74"/>
      <c r="BG43" s="74"/>
      <c r="BH43" s="74"/>
      <c r="BI43" s="74"/>
      <c r="BJ43" s="74"/>
      <c r="BK43" s="74"/>
      <c r="BL43" s="74"/>
      <c r="BM43" s="74"/>
      <c r="BN43" s="74"/>
      <c r="BO43" s="74"/>
      <c r="BP43" s="74"/>
      <c r="BQ43" s="76"/>
    </row>
    <row r="44" customFormat="false" ht="19.5" hidden="false" customHeight="true" outlineLevel="0" collapsed="false">
      <c r="A44" s="30"/>
      <c r="B44" s="77" t="s">
        <v>57</v>
      </c>
      <c r="C44" s="78" t="e">
        <f aca="false">VLOOKUP("DM",C4:C42,1,FALSE())</f>
        <v>#N/A</v>
      </c>
      <c r="D44" s="78" t="str">
        <f aca="false">VLOOKUP("DM",D4:D42,1,FALSE())</f>
        <v>DM</v>
      </c>
      <c r="E44" s="78" t="e">
        <f aca="false">VLOOKUP("DM",E1:E42,1,FALSE())</f>
        <v>#N/A</v>
      </c>
      <c r="F44" s="78" t="e">
        <f aca="false">VLOOKUP("DM",F4:F42,1,FALSE())</f>
        <v>#N/A</v>
      </c>
      <c r="G44" s="78" t="str">
        <f aca="false">VLOOKUP("DM",G4:G42,1,FALSE())</f>
        <v>DM</v>
      </c>
      <c r="H44" s="78" t="e">
        <f aca="false">VLOOKUP("DM",H4:H42,1,FALSE())</f>
        <v>#N/A</v>
      </c>
      <c r="I44" s="78" t="e">
        <f aca="false">VLOOKUP("DM",I4:I42,1,FALSE())</f>
        <v>#N/A</v>
      </c>
      <c r="J44" s="78" t="e">
        <f aca="false">VLOOKUP("DM",J4:J42,1,FALSE())</f>
        <v>#N/A</v>
      </c>
      <c r="K44" s="78" t="e">
        <f aca="false">VLOOKUP("DM",K4:K42,1,FALSE())</f>
        <v>#N/A</v>
      </c>
      <c r="L44" s="78" t="e">
        <f aca="false">VLOOKUP("DM",L4:L42,1,FALSE())</f>
        <v>#N/A</v>
      </c>
      <c r="M44" s="78" t="e">
        <f aca="false">VLOOKUP("DM",M4:M26,1,FALSE())</f>
        <v>#N/A</v>
      </c>
      <c r="N44" s="78" t="str">
        <f aca="false">VLOOKUP("DM",N4:N42,1,FALSE())</f>
        <v>DM</v>
      </c>
      <c r="O44" s="78" t="e">
        <f aca="false">VLOOKUP("DM",O4:O42,1,FALSE())</f>
        <v>#N/A</v>
      </c>
      <c r="P44" s="78" t="e">
        <f aca="false">VLOOKUP("DM",P4:P42,1,FALSE())</f>
        <v>#N/A</v>
      </c>
      <c r="Q44" s="78" t="e">
        <f aca="false">VLOOKUP("DM",Q4:Q27,1,FALSE())</f>
        <v>#N/A</v>
      </c>
      <c r="R44" s="78" t="e">
        <f aca="false">VLOOKUP("DM",R4:R25,1,FALSE())</f>
        <v>#N/A</v>
      </c>
      <c r="S44" s="78" t="e">
        <f aca="false">VLOOKUP("DM",S4:S42,1,FALSE())</f>
        <v>#N/A</v>
      </c>
      <c r="T44" s="78" t="e">
        <f aca="false">VLOOKUP("DM",T4:T42,1,FALSE())</f>
        <v>#N/A</v>
      </c>
      <c r="U44" s="78" t="e">
        <f aca="false">VLOOKUP("DM",U4:U42,1,FALSE())</f>
        <v>#N/A</v>
      </c>
      <c r="V44" s="137" t="e">
        <f aca="false">VLOOKUP("DM",V4:V25,1,FALSE())</f>
        <v>#N/A</v>
      </c>
      <c r="W44" s="78" t="e">
        <f aca="false">VLOOKUP("DM",W4:W25,1,FALSE())</f>
        <v>#N/A</v>
      </c>
      <c r="X44" s="78" t="e">
        <f aca="false">VLOOKUP("DM",X4:X42,1,FALSE())</f>
        <v>#N/A</v>
      </c>
      <c r="Y44" s="78" t="e">
        <f aca="false">VLOOKUP("DM",Y4:Y42,1,FALSE())</f>
        <v>#N/A</v>
      </c>
      <c r="Z44" s="78" t="e">
        <f aca="false">VLOOKUP("DM",Z4:Z42,1,FALSE())</f>
        <v>#N/A</v>
      </c>
      <c r="AA44" s="78" t="e">
        <f aca="false">VLOOKUP("DM",AA1:AA42,1,FALSE())</f>
        <v>#N/A</v>
      </c>
      <c r="AB44" s="78" t="e">
        <f aca="false">VLOOKUP("DM",AB4:AB42,1,FALSE())</f>
        <v>#N/A</v>
      </c>
      <c r="AC44" s="78" t="e">
        <f aca="false">VLOOKUP("DM",AC4:AC42,1,FALSE())</f>
        <v>#N/A</v>
      </c>
      <c r="AD44" s="78" t="e">
        <f aca="false">VLOOKUP("DM",AD4:AD42,1,FALSE())</f>
        <v>#N/A</v>
      </c>
      <c r="AE44" s="78" t="e">
        <f aca="false">VLOOKUP("DM",AE4:AE42,1,FALSE())</f>
        <v>#N/A</v>
      </c>
      <c r="AF44" s="78" t="e">
        <f aca="false">VLOOKUP("DM",AF4:AF42,1,FALSE())</f>
        <v>#N/A</v>
      </c>
      <c r="AG44" s="78" t="e">
        <f aca="false">VLOOKUP("DM",AG4:AG42,1,FALSE())</f>
        <v>#N/A</v>
      </c>
      <c r="AH44" s="78" t="e">
        <f aca="false">VLOOKUP("DM",AH4:AH42,1,FALSE())</f>
        <v>#N/A</v>
      </c>
      <c r="AI44" s="35"/>
      <c r="AJ44" s="36"/>
      <c r="AK44" s="35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  <c r="BN44" s="37"/>
      <c r="BO44" s="37"/>
      <c r="BP44" s="37"/>
      <c r="BQ44" s="39"/>
    </row>
    <row r="45" customFormat="false" ht="19.5" hidden="false" customHeight="true" outlineLevel="0" collapsed="false">
      <c r="A45" s="30" t="e">
        <f aca="false">lte()</f>
        <v>#NAME?</v>
      </c>
      <c r="B45" s="79" t="s">
        <v>56</v>
      </c>
      <c r="C45" s="78" t="e">
        <f aca="false">VLOOKUP("CS1",C5:C42,1,FALSE())</f>
        <v>#N/A</v>
      </c>
      <c r="D45" s="78" t="e">
        <f aca="false">VLOOKUP("CS1",D1:D42,1,FALSE())</f>
        <v>#N/A</v>
      </c>
      <c r="E45" s="78" t="e">
        <f aca="false">VLOOKUP("CS1",E1:E42,1,FALSE())</f>
        <v>#N/A</v>
      </c>
      <c r="F45" s="78" t="e">
        <f aca="false">VLOOKUP("CS1",F9:F42,1,FALSE())</f>
        <v>#N/A</v>
      </c>
      <c r="G45" s="78" t="e">
        <f aca="false">VLOOKUP("CS1",G1:G42,1,FALSE())</f>
        <v>#N/A</v>
      </c>
      <c r="H45" s="78" t="e">
        <f aca="false">VLOOKUP("CS1",H6:H42,1,FALSE())</f>
        <v>#N/A</v>
      </c>
      <c r="I45" s="78" t="e">
        <f aca="false">VLOOKUP("CS1",I8:I42,1,FALSE())</f>
        <v>#N/A</v>
      </c>
      <c r="J45" s="78" t="e">
        <f aca="false">VLOOKUP("CS1",J4:J42,1,FALSE())</f>
        <v>#N/A</v>
      </c>
      <c r="K45" s="78" t="e">
        <f aca="false">VLOOKUP("CS1",K1:K42,1,FALSE())</f>
        <v>#N/A</v>
      </c>
      <c r="L45" s="78" t="e">
        <f aca="false">VLOOKUP("CS1",L1:L42,1,FALSE())</f>
        <v>#N/A</v>
      </c>
      <c r="M45" s="78" t="e">
        <f aca="false">VLOOKUP("CS1",M8:M26,1,FALSE())</f>
        <v>#N/A</v>
      </c>
      <c r="N45" s="78" t="str">
        <f aca="false">VLOOKUP("CS1",N6:N42,1,FALSE())</f>
        <v>CS1</v>
      </c>
      <c r="O45" s="78" t="e">
        <f aca="false">VLOOKUP("CS1",O1:O42,1,FALSE())</f>
        <v>#N/A</v>
      </c>
      <c r="P45" s="78" t="e">
        <f aca="false">VLOOKUP("CS1",P5:P42,1,FALSE())</f>
        <v>#N/A</v>
      </c>
      <c r="Q45" s="78" t="e">
        <f aca="false">VLOOKUP("CS1",Q6:Q27,1,FALSE())</f>
        <v>#N/A</v>
      </c>
      <c r="R45" s="78" t="e">
        <f aca="false">VLOOKUP("CS1",R6:R25,1,FALSE())</f>
        <v>#N/A</v>
      </c>
      <c r="S45" s="78" t="e">
        <f aca="false">VLOOKUP("CS1",S1:S42,1,FALSE())</f>
        <v>#N/A</v>
      </c>
      <c r="T45" s="78" t="e">
        <f aca="false">VLOOKUP("CS1",T1:T42,1,FALSE())</f>
        <v>#N/A</v>
      </c>
      <c r="U45" s="78" t="e">
        <f aca="false">VLOOKUP("CS1",U6:U42,1,FALSE())</f>
        <v>#N/A</v>
      </c>
      <c r="V45" s="137" t="e">
        <f aca="false">VLOOKUP("CS1",V1:V35,1,FALSE())</f>
        <v>#N/A</v>
      </c>
      <c r="W45" s="78" t="e">
        <f aca="false">VLOOKUP("CS1",W1:W25,1,FALSE())</f>
        <v>#N/A</v>
      </c>
      <c r="X45" s="78" t="e">
        <f aca="false">VLOOKUP("CS1",X1:X42,1,FALSE())</f>
        <v>#N/A</v>
      </c>
      <c r="Y45" s="78" t="e">
        <f aca="false">VLOOKUP("CS1",Y9:Y42,1,FALSE())</f>
        <v>#N/A</v>
      </c>
      <c r="Z45" s="78" t="e">
        <f aca="false">VLOOKUP("CS1",Z1:Z42,1,FALSE())</f>
        <v>#N/A</v>
      </c>
      <c r="AA45" s="78" t="e">
        <f aca="false">VLOOKUP("CS1",AA1:AA42,1,FALSE())</f>
        <v>#N/A</v>
      </c>
      <c r="AB45" s="78" t="e">
        <f aca="false">VLOOKUP("CS1",AB5:AB42,1,FALSE())</f>
        <v>#N/A</v>
      </c>
      <c r="AC45" s="78" t="e">
        <f aca="false">VLOOKUP("CS1",AC1:AC42,1,FALSE())</f>
        <v>#N/A</v>
      </c>
      <c r="AD45" s="78" t="e">
        <f aca="false">VLOOKUP("CS1",AD1:AD42,1,FALSE())</f>
        <v>#N/A</v>
      </c>
      <c r="AE45" s="78" t="e">
        <f aca="false">VLOOKUP("CS1",AE1:AE42,1,FALSE())</f>
        <v>#N/A</v>
      </c>
      <c r="AF45" s="78" t="e">
        <f aca="false">VLOOKUP("CS1",AF8:AF42,1,FALSE())</f>
        <v>#N/A</v>
      </c>
      <c r="AG45" s="78" t="e">
        <f aca="false">VLOOKUP("CS1",AG1:AG42,1,FALSE())</f>
        <v>#N/A</v>
      </c>
      <c r="AH45" s="78" t="e">
        <f aca="false">VLOOKUP("CS1",AH1:AH42,1,FALSE())</f>
        <v>#N/A</v>
      </c>
      <c r="AI45" s="35"/>
      <c r="AJ45" s="36"/>
      <c r="AK45" s="35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  <c r="BA45" s="37"/>
      <c r="BB45" s="37"/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  <c r="BN45" s="37"/>
      <c r="BO45" s="37"/>
      <c r="BP45" s="37"/>
      <c r="BQ45" s="39"/>
    </row>
    <row r="46" customFormat="false" ht="19.5" hidden="false" customHeight="true" outlineLevel="0" collapsed="false">
      <c r="A46" s="30"/>
      <c r="B46" s="80" t="s">
        <v>59</v>
      </c>
      <c r="C46" s="78" t="e">
        <f aca="false">VLOOKUP("CS2",C6:C42,1,FALSE())</f>
        <v>#N/A</v>
      </c>
      <c r="D46" s="78" t="e">
        <f aca="false">VLOOKUP("CS2",D10:D42,1,FALSE())</f>
        <v>#N/A</v>
      </c>
      <c r="E46" s="78" t="e">
        <f aca="false">VLOOKUP("CS2",E9:E42,1,FALSE())</f>
        <v>#N/A</v>
      </c>
      <c r="F46" s="78" t="e">
        <f aca="false">VLOOKUP("CS2",F9:F42,1,FALSE())</f>
        <v>#N/A</v>
      </c>
      <c r="G46" s="78" t="e">
        <f aca="false">VLOOKUP("CS2",G1:G42,1,FALSE())</f>
        <v>#N/A</v>
      </c>
      <c r="H46" s="78" t="e">
        <f aca="false">VLOOKUP("CS2",H1:H42,1,FALSE())</f>
        <v>#N/A</v>
      </c>
      <c r="I46" s="78" t="e">
        <f aca="false">VLOOKUP("CS2",I8:I42,1,FALSE())</f>
        <v>#N/A</v>
      </c>
      <c r="J46" s="78" t="e">
        <f aca="false">VLOOKUP("CS2",J4:J42,1,FALSE())</f>
        <v>#N/A</v>
      </c>
      <c r="K46" s="78" t="e">
        <f aca="false">VLOOKUP("CS2",K5:K42,1,FALSE())</f>
        <v>#N/A</v>
      </c>
      <c r="L46" s="78" t="e">
        <f aca="false">VLOOKUP("CS2",L4:L42,1,FALSE())</f>
        <v>#N/A</v>
      </c>
      <c r="M46" s="78" t="e">
        <f aca="false">VLOOKUP("CS2",M1:M26,1,FALSE())</f>
        <v>#N/A</v>
      </c>
      <c r="N46" s="78" t="str">
        <f aca="false">VLOOKUP("CS2",N1:N42,1,FALSE())</f>
        <v>CS2</v>
      </c>
      <c r="O46" s="78" t="e">
        <f aca="false">VLOOKUP("CS2",O1:O42,1,FALSE())</f>
        <v>#N/A</v>
      </c>
      <c r="P46" s="78" t="e">
        <f aca="false">VLOOKUP("CS2",P1:P42,1,FALSE())</f>
        <v>#N/A</v>
      </c>
      <c r="Q46" s="78" t="e">
        <f aca="false">VLOOKUP("CS2",Q6:Q27,1,FALSE())</f>
        <v>#N/A</v>
      </c>
      <c r="R46" s="78" t="e">
        <f aca="false">VLOOKUP("CS2",R6:R25,1,FALSE())</f>
        <v>#N/A</v>
      </c>
      <c r="S46" s="78" t="e">
        <f aca="false">VLOOKUP("CS2",S1:S42,1,FALSE())</f>
        <v>#N/A</v>
      </c>
      <c r="T46" s="78" t="e">
        <f aca="false">VLOOKUP("CS2",T1:T42,1,FALSE())</f>
        <v>#N/A</v>
      </c>
      <c r="U46" s="78" t="e">
        <f aca="false">VLOOKUP("CS2",U1:U42,1,FALSE())</f>
        <v>#N/A</v>
      </c>
      <c r="V46" s="137" t="e">
        <f aca="false">VLOOKUP("CS2",V1:V35,1,FALSE())</f>
        <v>#N/A</v>
      </c>
      <c r="W46" s="78" t="e">
        <f aca="false">VLOOKUP("CS2",W1:W35,1,FALSE())</f>
        <v>#N/A</v>
      </c>
      <c r="X46" s="78" t="e">
        <f aca="false">VLOOKUP("CS2",X9:X42,1,FALSE())</f>
        <v>#N/A</v>
      </c>
      <c r="Y46" s="78" t="e">
        <f aca="false">VLOOKUP("CS2",Y1:Y42,1,FALSE())</f>
        <v>#N/A</v>
      </c>
      <c r="Z46" s="78" t="e">
        <f aca="false">VLOOKUP("CS2",Z1:Z42,1,FALSE())</f>
        <v>#N/A</v>
      </c>
      <c r="AA46" s="78" t="e">
        <f aca="false">VLOOKUP("CS2",AA1:AA42,1,FALSE())</f>
        <v>#N/A</v>
      </c>
      <c r="AB46" s="78" t="e">
        <f aca="false">VLOOKUP("CS2",AB1:AB42,1,FALSE())</f>
        <v>#N/A</v>
      </c>
      <c r="AC46" s="78" t="e">
        <f aca="false">VLOOKUP("CS2",AC9:AC42,1,FALSE())</f>
        <v>#N/A</v>
      </c>
      <c r="AD46" s="78" t="e">
        <f aca="false">VLOOKUP("CS2",AD1:AD42,1,FALSE())</f>
        <v>#N/A</v>
      </c>
      <c r="AE46" s="78" t="e">
        <f aca="false">VLOOKUP("CS2",AE1:AE42,1,FALSE())</f>
        <v>#N/A</v>
      </c>
      <c r="AF46" s="78" t="e">
        <f aca="false">VLOOKUP("CS2",AF1:AF42,1,FALSE())</f>
        <v>#N/A</v>
      </c>
      <c r="AG46" s="78" t="e">
        <f aca="false">VLOOKUP("CS2",AG8:AG42,1,FALSE())</f>
        <v>#N/A</v>
      </c>
      <c r="AH46" s="78" t="e">
        <f aca="false">VLOOKUP("CS2",AH8:AH42,1,FALSE())</f>
        <v>#N/A</v>
      </c>
      <c r="AI46" s="35"/>
      <c r="AJ46" s="36"/>
      <c r="AK46" s="35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  <c r="BA46" s="37"/>
      <c r="BB46" s="37"/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  <c r="BN46" s="37"/>
      <c r="BO46" s="37"/>
      <c r="BP46" s="37"/>
      <c r="BQ46" s="39"/>
    </row>
    <row r="47" customFormat="false" ht="19.5" hidden="false" customHeight="true" outlineLevel="0" collapsed="false">
      <c r="A47" s="30"/>
      <c r="B47" s="81" t="s">
        <v>58</v>
      </c>
      <c r="C47" s="78" t="e">
        <f aca="false">VLOOKUP("SB1",C6:C42,1,FALSE())</f>
        <v>#N/A</v>
      </c>
      <c r="D47" s="78" t="e">
        <f aca="false">VLOOKUP("SB1",D3:D42,1,FALSE())</f>
        <v>#N/A</v>
      </c>
      <c r="E47" s="78" t="e">
        <f aca="false">VLOOKUP("SB1",E1:E42,1,FALSE())</f>
        <v>#N/A</v>
      </c>
      <c r="F47" s="78" t="e">
        <f aca="false">VLOOKUP("SB1",F9:F42,1,FALSE())</f>
        <v>#N/A</v>
      </c>
      <c r="G47" s="78" t="e">
        <f aca="false">VLOOKUP("SB1",G6:G42,1,FALSE())</f>
        <v>#N/A</v>
      </c>
      <c r="H47" s="78" t="e">
        <f aca="false">VLOOKUP("SB1",H6:H42,1,FALSE())</f>
        <v>#N/A</v>
      </c>
      <c r="I47" s="78" t="e">
        <f aca="false">VLOOKUP("SB1",I1:I42,1,FALSE())</f>
        <v>#N/A</v>
      </c>
      <c r="J47" s="78" t="e">
        <f aca="false">VLOOKUP("SB1",J4:J42,1,FALSE())</f>
        <v>#N/A</v>
      </c>
      <c r="K47" s="78" t="e">
        <f aca="false">VLOOKUP("SB1",K6:K42,1,FALSE())</f>
        <v>#N/A</v>
      </c>
      <c r="L47" s="78" t="e">
        <f aca="false">VLOOKUP("SB1",L1:L42,1,FALSE())</f>
        <v>#N/A</v>
      </c>
      <c r="M47" s="78" t="e">
        <f aca="false">VLOOKUP("SB1",M1:M26,1,FALSE())</f>
        <v>#N/A</v>
      </c>
      <c r="N47" s="78" t="str">
        <f aca="false">VLOOKUP("SB1",N6:N42,1,FALSE())</f>
        <v>SB1</v>
      </c>
      <c r="O47" s="78" t="e">
        <f aca="false">VLOOKUP("SB1",O1:O42,1,FALSE())</f>
        <v>#N/A</v>
      </c>
      <c r="P47" s="78" t="e">
        <f aca="false">VLOOKUP("SB1",P1:P42,1,FALSE())</f>
        <v>#N/A</v>
      </c>
      <c r="Q47" s="78" t="e">
        <f aca="false">VLOOKUP("SB1",Q1:Q27,1,FALSE())</f>
        <v>#N/A</v>
      </c>
      <c r="R47" s="78" t="e">
        <f aca="false">VLOOKUP("SB1",R6:R30,1,FALSE())</f>
        <v>#N/A</v>
      </c>
      <c r="S47" s="78" t="e">
        <f aca="false">VLOOKUP("SB1",S1:S42,1,FALSE())</f>
        <v>#N/A</v>
      </c>
      <c r="T47" s="78" t="e">
        <f aca="false">VLOOKUP("SB1",T9:T42,1,FALSE())</f>
        <v>#N/A</v>
      </c>
      <c r="U47" s="78" t="e">
        <f aca="false">VLOOKUP("SB1",U1:U42,1,FALSE())</f>
        <v>#N/A</v>
      </c>
      <c r="V47" s="137" t="e">
        <f aca="false">VLOOKUP("SB1",V11:V31,1,FALSE())</f>
        <v>#N/A</v>
      </c>
      <c r="W47" s="78" t="e">
        <f aca="false">VLOOKUP("SB1",W5:W25,1,FALSE())</f>
        <v>#N/A</v>
      </c>
      <c r="X47" s="78" t="e">
        <f aca="false">VLOOKUP("SB1",X6:X42,1,FALSE())</f>
        <v>#N/A</v>
      </c>
      <c r="Y47" s="78" t="e">
        <f aca="false">VLOOKUP("SB1",Y1:Y42,1,FALSE())</f>
        <v>#N/A</v>
      </c>
      <c r="Z47" s="78" t="e">
        <f aca="false">VLOOKUP("SB1",Z6:Z42,1,FALSE())</f>
        <v>#N/A</v>
      </c>
      <c r="AA47" s="78" t="e">
        <f aca="false">VLOOKUP("SB1",AA1:AA42,1,FALSE())</f>
        <v>#N/A</v>
      </c>
      <c r="AB47" s="78" t="e">
        <f aca="false">VLOOKUP("SB1",AB1:AB42,1,FALSE())</f>
        <v>#N/A</v>
      </c>
      <c r="AC47" s="78" t="e">
        <f aca="false">VLOOKUP("SB1",AC1:AC42,1,FALSE())</f>
        <v>#N/A</v>
      </c>
      <c r="AD47" s="78" t="e">
        <f aca="false">VLOOKUP("SB1",AD9:AD42,1,FALSE())</f>
        <v>#N/A</v>
      </c>
      <c r="AE47" s="78" t="e">
        <f aca="false">VLOOKUP("SB1",AE9:AE42,1,FALSE())</f>
        <v>#N/A</v>
      </c>
      <c r="AF47" s="78" t="e">
        <f aca="false">VLOOKUP("SB1",AF8:AF42,1,FALSE())</f>
        <v>#N/A</v>
      </c>
      <c r="AG47" s="78" t="e">
        <f aca="false">VLOOKUP("SB1",AG8:AG42,1,FALSE())</f>
        <v>#N/A</v>
      </c>
      <c r="AH47" s="78" t="e">
        <f aca="false">VLOOKUP("SB1",AH8:AH42,1,FALSE())</f>
        <v>#N/A</v>
      </c>
      <c r="AI47" s="35"/>
      <c r="AJ47" s="36"/>
      <c r="AK47" s="35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  <c r="BA47" s="37"/>
      <c r="BB47" s="37"/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  <c r="BN47" s="37"/>
      <c r="BO47" s="37"/>
      <c r="BP47" s="37"/>
      <c r="BQ47" s="39"/>
    </row>
    <row r="48" customFormat="false" ht="19.5" hidden="false" customHeight="true" outlineLevel="0" collapsed="false">
      <c r="A48" s="30"/>
      <c r="B48" s="82" t="s">
        <v>93</v>
      </c>
      <c r="C48" s="78" t="e">
        <f aca="false">VLOOKUP("SB2",C6:C42,1,FALSE())</f>
        <v>#N/A</v>
      </c>
      <c r="D48" s="78" t="e">
        <f aca="false">VLOOKUP("SB2",D10:D42,1,FALSE())</f>
        <v>#N/A</v>
      </c>
      <c r="E48" s="78" t="e">
        <f aca="false">VLOOKUP("SB2",E9:E42,1,FALSE())</f>
        <v>#N/A</v>
      </c>
      <c r="F48" s="78" t="e">
        <f aca="false">VLOOKUP("SB2",F1:F42,1,FALSE())</f>
        <v>#N/A</v>
      </c>
      <c r="G48" s="78" t="e">
        <f aca="false">VLOOKUP("SB2",G9:G42,1,FALSE())</f>
        <v>#N/A</v>
      </c>
      <c r="H48" s="78" t="e">
        <f aca="false">VLOOKUP("SB2",H6:H42,1,FALSE())</f>
        <v>#N/A</v>
      </c>
      <c r="I48" s="78" t="e">
        <f aca="false">VLOOKUP("SB2",I8:I42,1,FALSE())</f>
        <v>#N/A</v>
      </c>
      <c r="J48" s="78" t="e">
        <f aca="false">VLOOKUP("SB2",J4:J42,1,FALSE())</f>
        <v>#N/A</v>
      </c>
      <c r="K48" s="78" t="e">
        <f aca="false">VLOOKUP("SB2",K6:K42,1,FALSE())</f>
        <v>#N/A</v>
      </c>
      <c r="L48" s="78" t="e">
        <f aca="false">VLOOKUP("SB2",L12:L42,1,FALSE())</f>
        <v>#N/A</v>
      </c>
      <c r="M48" s="78" t="e">
        <f aca="false">VLOOKUP("SB2",M9:M46,1,FALSE())</f>
        <v>#N/A</v>
      </c>
      <c r="N48" s="78" t="e">
        <f aca="false">VLOOKUP("SB2",N6:N42,1,FALSE())</f>
        <v>#N/A</v>
      </c>
      <c r="O48" s="78" t="e">
        <f aca="false">VLOOKUP("SB2",O9:O42,1,FALSE())</f>
        <v>#N/A</v>
      </c>
      <c r="P48" s="78" t="e">
        <f aca="false">VLOOKUP("SB2",P8:P42,1,FALSE())</f>
        <v>#N/A</v>
      </c>
      <c r="Q48" s="78" t="e">
        <f aca="false">VLOOKUP("SB2",Q12:Q41,1,FALSE())</f>
        <v>#N/A</v>
      </c>
      <c r="R48" s="78" t="e">
        <f aca="false">VLOOKUP("SB2",R6:R41,1,FALSE())</f>
        <v>#N/A</v>
      </c>
      <c r="S48" s="78" t="e">
        <f aca="false">VLOOKUP("SB2",S10:S42,1,FALSE())</f>
        <v>#N/A</v>
      </c>
      <c r="T48" s="78" t="e">
        <f aca="false">VLOOKUP("SB2",T9:T42,1,FALSE())</f>
        <v>#N/A</v>
      </c>
      <c r="U48" s="78" t="e">
        <f aca="false">VLOOKUP("SB2",U11:U42,1,FALSE())</f>
        <v>#N/A</v>
      </c>
      <c r="V48" s="137" t="e">
        <f aca="false">VLOOKUP("SB2",V5:V42,1,FALSE())</f>
        <v>#N/A</v>
      </c>
      <c r="W48" s="78" t="e">
        <f aca="false">VLOOKUP("SB2",W13:W41,1,FALSE())</f>
        <v>#N/A</v>
      </c>
      <c r="X48" s="78" t="e">
        <f aca="false">VLOOKUP("SB2",X9:X42,1,FALSE())</f>
        <v>#N/A</v>
      </c>
      <c r="Y48" s="78" t="e">
        <f aca="false">VLOOKUP("SB2",Y9:Y42,1,FALSE())</f>
        <v>#N/A</v>
      </c>
      <c r="Z48" s="78" t="e">
        <f aca="false">VLOOKUP("SB2",Z6:Z42,1,FALSE())</f>
        <v>#N/A</v>
      </c>
      <c r="AA48" s="78" t="e">
        <f aca="false">VLOOKUP("SB2",AA12:AA42,1,FALSE())</f>
        <v>#N/A</v>
      </c>
      <c r="AB48" s="78" t="e">
        <f aca="false">VLOOKUP("SB2",AB10:AB42,1,FALSE())</f>
        <v>#N/A</v>
      </c>
      <c r="AC48" s="78" t="e">
        <f aca="false">VLOOKUP("SB2",AC12:AC42,1,FALSE())</f>
        <v>#N/A</v>
      </c>
      <c r="AD48" s="78" t="e">
        <f aca="false">VLOOKUP("SB2",AD9:AD42,1,FALSE())</f>
        <v>#N/A</v>
      </c>
      <c r="AE48" s="78" t="e">
        <f aca="false">VLOOKUP("SB2",AE9:AE42,1,FALSE())</f>
        <v>#N/A</v>
      </c>
      <c r="AF48" s="78" t="e">
        <f aca="false">VLOOKUP("SB2",AF8:AF42,1,FALSE())</f>
        <v>#N/A</v>
      </c>
      <c r="AG48" s="78" t="e">
        <f aca="false">VLOOKUP("SB2",AG8:AG42,1,FALSE())</f>
        <v>#N/A</v>
      </c>
      <c r="AH48" s="78" t="e">
        <f aca="false">VLOOKUP("SB2",AH8:AH42,1,FALSE())</f>
        <v>#N/A</v>
      </c>
      <c r="AI48" s="35"/>
      <c r="AJ48" s="36"/>
      <c r="AK48" s="35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  <c r="BA48" s="37"/>
      <c r="BB48" s="37"/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  <c r="BN48" s="37"/>
      <c r="BO48" s="37"/>
      <c r="BP48" s="37"/>
      <c r="BQ48" s="39"/>
    </row>
    <row r="49" customFormat="false" ht="19.5" hidden="false" customHeight="true" outlineLevel="0" collapsed="false">
      <c r="A49" s="30"/>
      <c r="B49" s="83" t="s">
        <v>65</v>
      </c>
      <c r="C49" s="78" t="e">
        <f aca="false">VLOOKUP("AE",C6:C42,1,FALSE())</f>
        <v>#N/A</v>
      </c>
      <c r="D49" s="78" t="e">
        <f aca="false">VLOOKUP("AE",D10:D42,1,FALSE())</f>
        <v>#N/A</v>
      </c>
      <c r="E49" s="78" t="e">
        <f aca="false">VLOOKUP("AE",E9:E42,1,FALSE())</f>
        <v>#N/A</v>
      </c>
      <c r="F49" s="78" t="e">
        <f aca="false">VLOOKUP("AE",F1:F42,1,FALSE())</f>
        <v>#N/A</v>
      </c>
      <c r="G49" s="78" t="e">
        <f aca="false">VLOOKUP("AE",G1:G42,1,FALSE())</f>
        <v>#N/A</v>
      </c>
      <c r="H49" s="78" t="e">
        <f aca="false">VLOOKUP("AE",H9:H42,1,FALSE())</f>
        <v>#N/A</v>
      </c>
      <c r="I49" s="78" t="e">
        <f aca="false">VLOOKUP("AE",I8:I42,1,FALSE())</f>
        <v>#N/A</v>
      </c>
      <c r="J49" s="78" t="e">
        <f aca="false">VLOOKUP("AE",J4:J42,1,FALSE())</f>
        <v>#N/A</v>
      </c>
      <c r="K49" s="78" t="e">
        <f aca="false">VLOOKUP("AE",K6:K42,1,FALSE())</f>
        <v>#N/A</v>
      </c>
      <c r="L49" s="78" t="e">
        <f aca="false">VLOOKUP("AE",L12:L42,1,FALSE())</f>
        <v>#N/A</v>
      </c>
      <c r="M49" s="78" t="e">
        <f aca="false">VLOOKUP("AE",M9:M46,1,FALSE())</f>
        <v>#N/A</v>
      </c>
      <c r="N49" s="78" t="str">
        <f aca="false">VLOOKUP("AE",N6:N42,1,FALSE())</f>
        <v>AE</v>
      </c>
      <c r="O49" s="78" t="e">
        <f aca="false">VLOOKUP("AE",O9:O42,1,FALSE())</f>
        <v>#N/A</v>
      </c>
      <c r="P49" s="78" t="e">
        <f aca="false">VLOOKUP("AE",P8:P42,1,FALSE())</f>
        <v>#N/A</v>
      </c>
      <c r="Q49" s="78" t="e">
        <f aca="false">VLOOKUP("AE",Q12:Q49,1,FALSE())</f>
        <v>#N/A</v>
      </c>
      <c r="R49" s="78" t="e">
        <f aca="false">VLOOKUP("AE",R6:R35,1,FALSE())</f>
        <v>#N/A</v>
      </c>
      <c r="S49" s="78" t="e">
        <f aca="false">VLOOKUP("AE",S10:S42,1,FALSE())</f>
        <v>#N/A</v>
      </c>
      <c r="T49" s="78" t="e">
        <f aca="false">VLOOKUP("AE",T9:T42,1,FALSE())</f>
        <v>#N/A</v>
      </c>
      <c r="U49" s="78" t="e">
        <f aca="false">VLOOKUP("AE",U11:U42,1,FALSE())</f>
        <v>#N/A</v>
      </c>
      <c r="V49" s="137" t="e">
        <f aca="false">VLOOKUP("AE",V11:V44,1,FALSE())</f>
        <v>#N/A</v>
      </c>
      <c r="W49" s="78" t="e">
        <f aca="false">VLOOKUP("AE",W13:W42,1,FALSE())</f>
        <v>#N/A</v>
      </c>
      <c r="X49" s="78" t="e">
        <f aca="false">VLOOKUP("AE",X9:X42,1,FALSE())</f>
        <v>#N/A</v>
      </c>
      <c r="Y49" s="78" t="e">
        <f aca="false">VLOOKUP("AE",Y9:Y42,1,FALSE())</f>
        <v>#N/A</v>
      </c>
      <c r="Z49" s="78" t="e">
        <f aca="false">VLOOKUP("AE",Z6:Z42,1,FALSE())</f>
        <v>#N/A</v>
      </c>
      <c r="AA49" s="78" t="e">
        <f aca="false">VLOOKUP("AE",AA12:AA42,1,FALSE())</f>
        <v>#N/A</v>
      </c>
      <c r="AB49" s="78" t="e">
        <f aca="false">VLOOKUP("AE",AB10:AB42,1,FALSE())</f>
        <v>#N/A</v>
      </c>
      <c r="AC49" s="78" t="e">
        <f aca="false">VLOOKUP("AE",AC12:AC42,1,FALSE())</f>
        <v>#N/A</v>
      </c>
      <c r="AD49" s="78" t="e">
        <f aca="false">VLOOKUP("AE",AD9:AD42,1,FALSE())</f>
        <v>#N/A</v>
      </c>
      <c r="AE49" s="78" t="e">
        <f aca="false">VLOOKUP("AE",AE9:AE42,1,FALSE())</f>
        <v>#N/A</v>
      </c>
      <c r="AF49" s="78" t="e">
        <f aca="false">VLOOKUP("AE",AF8:AF42,1,FALSE())</f>
        <v>#N/A</v>
      </c>
      <c r="AG49" s="78" t="e">
        <f aca="false">VLOOKUP("AE",AG8:AG42,1,FALSE())</f>
        <v>#N/A</v>
      </c>
      <c r="AH49" s="78" t="e">
        <f aca="false">VLOOKUP("AE",AH8:AH42,1,FALSE())</f>
        <v>#N/A</v>
      </c>
      <c r="AI49" s="35"/>
      <c r="AJ49" s="36"/>
      <c r="AK49" s="35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  <c r="BA49" s="37"/>
      <c r="BB49" s="37"/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  <c r="BN49" s="37"/>
      <c r="BO49" s="37"/>
      <c r="BP49" s="37"/>
      <c r="BQ49" s="39"/>
    </row>
  </sheetData>
  <mergeCells count="1">
    <mergeCell ref="C1:S1"/>
  </mergeCells>
  <conditionalFormatting sqref="O9 T18">
    <cfRule type="expression" priority="2" aboveAverage="0" equalAverage="0" bottom="0" percent="0" rank="0" text="" dxfId="21">
      <formula>WEEKDAY(Q$3,2)&gt;5</formula>
    </cfRule>
  </conditionalFormatting>
  <conditionalFormatting sqref="R23:R24">
    <cfRule type="expression" priority="3" aboveAverage="0" equalAverage="0" bottom="0" percent="0" rank="0" text="" dxfId="21">
      <formula>WEEKDAY(U$3,2)&gt;5</formula>
    </cfRule>
    <cfRule type="expression" priority="4" aboveAverage="0" equalAverage="0" bottom="0" percent="0" rank="0" text="" dxfId="21">
      <formula>WEEKDAY(V$3,2)&gt;5</formula>
    </cfRule>
  </conditionalFormatting>
  <conditionalFormatting sqref="D25 X25">
    <cfRule type="expression" priority="5" aboveAverage="0" equalAverage="0" bottom="0" percent="0" rank="0" text="" dxfId="21">
      <formula>WEEKDAY(G$3,2)&gt;5</formula>
    </cfRule>
    <cfRule type="expression" priority="6" aboveAverage="0" equalAverage="0" bottom="0" percent="0" rank="0" text="" dxfId="21">
      <formula>WEEKDAY(F$3,2)&gt;5</formula>
    </cfRule>
  </conditionalFormatting>
  <conditionalFormatting sqref="T18 G21:H22 C25 G25 H25:H26 G27 N27 U27 AB27 T33">
    <cfRule type="expression" priority="7" aboveAverage="0" equalAverage="0" bottom="0" percent="0" rank="0" text="" dxfId="21">
      <formula>WEEKDAY(U$3,2)&gt;5</formula>
    </cfRule>
  </conditionalFormatting>
  <conditionalFormatting sqref="C19 C23:C24">
    <cfRule type="expression" priority="8" aboveAverage="0" equalAverage="0" bottom="0" percent="0" rank="0" text="" dxfId="21">
      <formula>WEEKDAY(D$3,2)&gt;5</formula>
    </cfRule>
  </conditionalFormatting>
  <conditionalFormatting sqref="C5:C35 D5:D16 E5:E17 F5:F16 G5:G11 H5:H10 I5:I8 J5:J10 K5 L5:L19 M5:M10 N5:N17 O5:O12 P5:S10 T5:T15 U5 V5:W10 X5:X20 Y5:Y24 Z5 AA5:AA7 AB5 AC5:AD10 AF5 AG5:AG15 AH5:AH7 AE6:AE7 AB7 K8:K19 U8:U11 Z8:Z15 AF8:AF10 AA9:AA10 AB9:AB13 AE9:AE11 AH9:AH11 I10 H12:H16 I12 J12:J13 M12:M15 P12:P16 Q12:Q27 R12:S12 V12:V15 W12:W20 AA12:AA20 AC12 AD12:AD13 AF12 G13:G16 U13:U15 AE13:AE15 I14:I16 O14:O19 R14:S15 AF14:AF15 AB15:AB20 AC15 J16 M17:M19 T17:T18 Z17:Z20 AC17:AC19 AD17:AE20 AF17:AG19 AH17:AH18 F18:F28 G18:G32 H18:H19 I18:I32 J18:J19 R18:R19 U18:V20 D19 E19:E24 P19:P25 S19:S20 N20 D21:D22 H21:H28 J21:J25 K21 L21:L22 R21:R23 T21:T27 AC21:AC26 AF21:AF22 O22:O25 K23:K26 M23:M29 N23:N24 U23:U27 V23:V26 W23:W24 X23:X25 Z23:Z25 AA23:AB24 AG23:AG25 AH23:AH24 AF24 D25 L25:L29 R25:R27 S25 AD25 AE25:AE26 E26:E29 N26:N29 D27:D30 J27:J29 O27:P29 S27 Z27 AB27 AD27 K28:K29 AA28:AA29 AE28 Q29:Q30 S29 V29:W29 X29:X31 Y29:Y30 Z29 AC29 H30:H34 T30 AE30:AE31 E31:F33 N31 O31:O32 AC31 K32 M32 AA32 R33:W33 Z33 AB33 J34 AA34:AA35 F35:G35 K35 R35 U35 Y35 AF35 AH35 O36 M37 O38 M39">
    <cfRule type="cellIs" priority="9" operator="equal" aboveAverage="0" equalAverage="0" bottom="0" percent="0" rank="0" text="" dxfId="23">
      <formula>"B"</formula>
    </cfRule>
    <cfRule type="cellIs" priority="10" operator="equal" aboveAverage="0" equalAverage="0" bottom="0" percent="0" rank="0" text="" dxfId="23">
      <formula>"AL"</formula>
    </cfRule>
    <cfRule type="cellIs" priority="11" operator="equal" aboveAverage="0" equalAverage="0" bottom="0" percent="0" rank="0" text="" dxfId="24">
      <formula>"DM"</formula>
    </cfRule>
    <cfRule type="cellIs" priority="12" operator="equal" aboveAverage="0" equalAverage="0" bottom="0" percent="0" rank="0" text="" dxfId="25">
      <formula>"CS1"</formula>
    </cfRule>
    <cfRule type="cellIs" priority="13" operator="equal" aboveAverage="0" equalAverage="0" bottom="0" percent="0" rank="0" text="" dxfId="26">
      <formula>"CS2"</formula>
    </cfRule>
    <cfRule type="cellIs" priority="14" operator="equal" aboveAverage="0" equalAverage="0" bottom="0" percent="0" rank="0" text="" dxfId="27">
      <formula>"SB1"</formula>
    </cfRule>
    <cfRule type="cellIs" priority="15" operator="equal" aboveAverage="0" equalAverage="0" bottom="0" percent="0" rank="0" text="" dxfId="28">
      <formula>"SB2"</formula>
    </cfRule>
    <cfRule type="cellIs" priority="16" operator="equal" aboveAverage="0" equalAverage="0" bottom="0" percent="0" rank="0" text="" dxfId="29">
      <formula>"AE"</formula>
    </cfRule>
    <cfRule type="cellIs" priority="17" operator="equal" aboveAverage="0" equalAverage="0" bottom="0" percent="0" rank="0" text="" dxfId="23">
      <formula>"DB"</formula>
    </cfRule>
    <cfRule type="containsText" priority="18" operator="containsText" aboveAverage="0" equalAverage="0" bottom="0" percent="0" rank="0" text="$AM" dxfId="30">
      <formula>NOT(ISERROR(SEARCH("$AM",C5)))</formula>
    </cfRule>
    <cfRule type="containsText" priority="19" operator="containsText" aboveAverage="0" equalAverage="0" bottom="0" percent="0" rank="0" text="$PM" dxfId="31">
      <formula>NOT(ISERROR(SEARCH("$PM",C5)))</formula>
    </cfRule>
    <cfRule type="containsText" priority="20" operator="containsText" aboveAverage="0" equalAverage="0" bottom="0" percent="0" rank="0" text="$L" dxfId="32">
      <formula>NOT(ISERROR(SEARCH("$L",C5)))</formula>
    </cfRule>
    <cfRule type="containsText" priority="21" operator="containsText" aboveAverage="0" equalAverage="0" bottom="0" percent="0" rank="0" text="$BTP" dxfId="33">
      <formula>NOT(ISERROR(SEARCH("$BTP",C5)))</formula>
    </cfRule>
    <cfRule type="containsText" priority="22" operator="containsText" aboveAverage="0" equalAverage="0" bottom="0" percent="0" rank="0" text="$M" dxfId="34">
      <formula>NOT(ISERROR(SEARCH("$M",C5)))</formula>
    </cfRule>
    <cfRule type="containsText" priority="23" operator="containsText" aboveAverage="0" equalAverage="0" bottom="0" percent="0" rank="0" text="$N" dxfId="35">
      <formula>NOT(ISERROR(SEARCH("$N",C5)))</formula>
    </cfRule>
    <cfRule type="containsText" priority="24" operator="containsText" aboveAverage="0" equalAverage="0" bottom="0" percent="0" rank="0" text="$FC" dxfId="36">
      <formula>NOT(ISERROR(SEARCH("$FC",C5)))</formula>
    </cfRule>
    <cfRule type="containsText" priority="25" operator="containsText" aboveAverage="0" equalAverage="0" bottom="0" percent="0" rank="0" text="OAL" dxfId="37">
      <formula>NOT(ISERROR(SEARCH("OAL",C5)))</formula>
    </cfRule>
    <cfRule type="containsText" priority="26" operator="containsText" aboveAverage="0" equalAverage="0" bottom="0" percent="0" rank="0" text="S+" dxfId="38">
      <formula>NOT(ISERROR(SEARCH("S+",C5)))</formula>
    </cfRule>
    <cfRule type="containsText" priority="27" operator="containsText" aboveAverage="0" equalAverage="0" bottom="0" percent="0" rank="0" text="EX-D" dxfId="39">
      <formula>NOT(ISERROR(SEARCH("EX-D",C5)))</formula>
    </cfRule>
  </conditionalFormatting>
  <conditionalFormatting sqref="C5:C28 D5:D16 E5:E17 F5:F16 G5:G11 H5:H10 I5:I8 J5:J10 K5 L5:L19 M5:M10 N5:N17 O5:O12 P5:S10 T5:T15 U5 V5:W10 X5:X19 Y5:Y12 Z5 AA5:AA7 AB5 AC5:AD10 AF5 AG5:AG15 AH5:AH7 AE6:AE7 AB7 K8:K19 U8:U11 Z8:Z15 AF8:AF10 AA9:AA10 AB9:AB13 AE9:AE11 AH9:AH11 I10 H12:H16 I12 J12:J13 M12:M15 P12:P16 Q12:Q27 R12:S12 V12:V15 W12:W20 AA12:AA20 AC12 AD12:AD13 AF12 G13:G16 U13:U15 AE13:AE15 I14:I16 O14:O17 R14:S15 Y14:Y19 AF14:AF15 AB15:AB20 AC15 J16 M17:M19 T17:T18 Z17:Z20 AC17:AC19 AD17:AE20 AF17:AG19 AH17:AH18 F18:F28 G18:G32 H18:H19 I18:I32 J18:J19 R18:R19 U18:U20 V18:V19 D19 E19:E29 O19 P19:P29 S19:S20 N20 D21:D22 H21:H28 J21:J32 K21 L21:L22 R21:R23 T21:T28 Y21:Y24 AC21:AC27 AF21:AF22 O22 K23:K29 U23:U28 V23:V27 W23:W24 X23:X25 Z23:Z25 AA23:AB24 AG23:AG25 AH23:AH24 AF24 D25 L25:M29 R25:R28 AD25 AE25:AE28 N26:N29 W26:W29 D27:D30 O27:O29 S27:S29 X27:Y27 Z27:Z29 AA27:AA30 AB27 AD27 AF27:AF28 AG27:AH27 Q29:Q30 V29 X29:X31 Y29:Y30 AC29 H30:H34 T30 AE30:AE31 E31:F33 N31 O31:O33 AC31 K32 L32:M33 Z32:Z33 AB32:AB33 AD32 C33 N33 P33:W33 J34 AA34:AA36 F35:G35 K35 R35 U35 AF35 AH35 O36 I37 M37 J38 O38 I39 M39 J40">
    <cfRule type="expression" priority="28" aboveAverage="0" equalAverage="0" bottom="0" percent="0" rank="0" text="" dxfId="21">
      <formula>WEEKDAY(#REF!,2)&gt;5</formula>
    </cfRule>
  </conditionalFormatting>
  <conditionalFormatting sqref="F5:H5 W6:X7 AA6:AA7 U8 Z8:Z10 S10 V10:Y10 AA10:AB10 T12 Y12 AD12 C13 V13 Z13:AA15 AB13 T14:U15 Y14:Y15 T20 T26 AE26 Z27 AD27 AE28 AE30:AE31 AH35 C10 E12 C21:C22">
    <cfRule type="expression" priority="29" aboveAverage="0" equalAverage="0" bottom="0" percent="0" rank="0" text="" dxfId="21">
      <formula>WEEKDAY(H$3,2)&gt;5</formula>
    </cfRule>
  </conditionalFormatting>
  <conditionalFormatting sqref="C5:C26 D5:D19 E5:E24 F5:F26 G5:G33 H5:H10 I5:I26 J5:J25 K5:K19 L5:N29 O5:O26 P5:P16 Q5:Q26 R5:R29 S5:T26 U5:V16 W5:X25 Y5:Y26 Z5:AC41 AD5:AD28 AE5:AE33 AF5:AF30 AG5:AG25 AH5:AH27 H12:H26 P18:P25 U18:U35 V18:V26 D21:D26 K21:K26 E26 J27:J29 AG27:AG28 C28 D28:D30 E28:E33 F28 H28:H34 I28:I32 K28:K29 O28:P29 Q28:Q33 S28:S29 T28:T35 V28:V35 W28:W29 X28:X33 Y28:Y41 F30:F33 AD30 AG30:AH30 J31:J34 N31 O31:O33 R31 S31:S35 W31:W35 K32 L32:M33 P32:P33 AD32:AD33 AF32:AG32 C33 N33 R33 F35:G35 K35 Q35:R35 X35 AD35:AH35 O36 I37 M37 S37 J38 O38 W38 AG38 I39 M39 J40 W40 U42">
    <cfRule type="cellIs" priority="30" operator="equal" aboveAverage="0" equalAverage="0" bottom="0" percent="0" rank="0" text="" dxfId="23">
      <formula>"B"</formula>
    </cfRule>
    <cfRule type="cellIs" priority="31" operator="equal" aboveAverage="0" equalAverage="0" bottom="0" percent="0" rank="0" text="" dxfId="23">
      <formula>"AL"</formula>
    </cfRule>
    <cfRule type="cellIs" priority="32" operator="equal" aboveAverage="0" equalAverage="0" bottom="0" percent="0" rank="0" text="" dxfId="24">
      <formula>"DM"</formula>
    </cfRule>
    <cfRule type="cellIs" priority="33" operator="equal" aboveAverage="0" equalAverage="0" bottom="0" percent="0" rank="0" text="" dxfId="25">
      <formula>"CS1"</formula>
    </cfRule>
    <cfRule type="cellIs" priority="34" operator="equal" aboveAverage="0" equalAverage="0" bottom="0" percent="0" rank="0" text="" dxfId="26">
      <formula>"CS2"</formula>
    </cfRule>
    <cfRule type="cellIs" priority="35" operator="equal" aboveAverage="0" equalAverage="0" bottom="0" percent="0" rank="0" text="" dxfId="27">
      <formula>"SB1"</formula>
    </cfRule>
    <cfRule type="cellIs" priority="36" operator="equal" aboveAverage="0" equalAverage="0" bottom="0" percent="0" rank="0" text="" dxfId="28">
      <formula>"SB2"</formula>
    </cfRule>
    <cfRule type="cellIs" priority="37" operator="equal" aboveAverage="0" equalAverage="0" bottom="0" percent="0" rank="0" text="" dxfId="29">
      <formula>"AE"</formula>
    </cfRule>
    <cfRule type="cellIs" priority="38" operator="equal" aboveAverage="0" equalAverage="0" bottom="0" percent="0" rank="0" text="" dxfId="23">
      <formula>"DB"</formula>
    </cfRule>
    <cfRule type="containsText" priority="39" operator="containsText" aboveAverage="0" equalAverage="0" bottom="0" percent="0" rank="0" text="$AM" dxfId="30">
      <formula>NOT(ISERROR(SEARCH("$AM",C5)))</formula>
    </cfRule>
    <cfRule type="containsText" priority="40" operator="containsText" aboveAverage="0" equalAverage="0" bottom="0" percent="0" rank="0" text="$PM" dxfId="31">
      <formula>NOT(ISERROR(SEARCH("$PM",C5)))</formula>
    </cfRule>
    <cfRule type="containsText" priority="41" operator="containsText" aboveAverage="0" equalAverage="0" bottom="0" percent="0" rank="0" text="$L" dxfId="32">
      <formula>NOT(ISERROR(SEARCH("$L",C5)))</formula>
    </cfRule>
    <cfRule type="containsText" priority="42" operator="containsText" aboveAverage="0" equalAverage="0" bottom="0" percent="0" rank="0" text="$BTP" dxfId="33">
      <formula>NOT(ISERROR(SEARCH("$BTP",C5)))</formula>
    </cfRule>
    <cfRule type="containsText" priority="43" operator="containsText" aboveAverage="0" equalAverage="0" bottom="0" percent="0" rank="0" text="$M" dxfId="34">
      <formula>NOT(ISERROR(SEARCH("$M",C5)))</formula>
    </cfRule>
    <cfRule type="containsText" priority="44" operator="containsText" aboveAverage="0" equalAverage="0" bottom="0" percent="0" rank="0" text="$N" dxfId="35">
      <formula>NOT(ISERROR(SEARCH("$N",C5)))</formula>
    </cfRule>
    <cfRule type="containsText" priority="45" operator="containsText" aboveAverage="0" equalAverage="0" bottom="0" percent="0" rank="0" text="$FC" dxfId="36">
      <formula>NOT(ISERROR(SEARCH("$FC",C5)))</formula>
    </cfRule>
    <cfRule type="containsText" priority="46" operator="containsText" aboveAverage="0" equalAverage="0" bottom="0" percent="0" rank="0" text="OAL" dxfId="37">
      <formula>NOT(ISERROR(SEARCH("OAL",C5)))</formula>
    </cfRule>
    <cfRule type="containsText" priority="47" operator="containsText" aboveAverage="0" equalAverage="0" bottom="0" percent="0" rank="0" text="S+" dxfId="38">
      <formula>NOT(ISERROR(SEARCH("S+",C5)))</formula>
    </cfRule>
    <cfRule type="containsText" priority="48" operator="containsText" aboveAverage="0" equalAverage="0" bottom="0" percent="0" rank="0" text="EX-D" dxfId="39">
      <formula>NOT(ISERROR(SEARCH("EX-D",C5)))</formula>
    </cfRule>
    <cfRule type="expression" priority="49" aboveAverage="0" equalAverage="0" bottom="0" percent="0" rank="0" text="" dxfId="21">
      <formula>WEEKDAY(#REF!,2)&gt;5</formula>
    </cfRule>
  </conditionalFormatting>
  <conditionalFormatting sqref="C5:C28 D5:D19 E5:E33 F5:F28 G5:G33 H5:H10 I5:I32 J5:J34 K5:K19 L5:O29 P5:P16 Q5:Q33 R5:S29 T5:T35 U5:V16 W5:W29 X5:X25 Y5:AC41 AD5:AD28 AE5:AE33 AF5:AF30 AG5:AG25 AH5:AH27 H12:H34 P18:P29 U18:V35 D21:D30 K21:K29 X27:X33 AG27:AG28 F30:F33 AD30 AG30:AH30 N31 O31:O33 R31 S31:S35 W31:W35 K32 L32:M33 P32:P33 AD32:AD33 AF32:AG32 C33 N33 R33 F35:G35 K35 Q35:R35 X35 AD35:AH35 O36 I37 M37 S37 J38 O38 W38 AG38 I39 M39 J40 W40 U42">
    <cfRule type="containsText" priority="50" operator="containsText" aboveAverage="0" equalAverage="0" bottom="0" percent="0" rank="0" text="VACC" dxfId="40">
      <formula>NOT(ISERROR(SEARCH("VACC",C5)))</formula>
    </cfRule>
  </conditionalFormatting>
  <conditionalFormatting sqref="J4:J49 AA4:AA49 C5:I49 K5:Z49 AB5:AH49">
    <cfRule type="cellIs" priority="51" operator="equal" aboveAverage="0" equalAverage="0" bottom="0" percent="0" rank="0" text="" dxfId="23">
      <formula>"B"</formula>
    </cfRule>
    <cfRule type="cellIs" priority="52" operator="equal" aboveAverage="0" equalAverage="0" bottom="0" percent="0" rank="0" text="" dxfId="23">
      <formula>"AL"</formula>
    </cfRule>
    <cfRule type="cellIs" priority="53" operator="equal" aboveAverage="0" equalAverage="0" bottom="0" percent="0" rank="0" text="" dxfId="24">
      <formula>"DM"</formula>
    </cfRule>
    <cfRule type="cellIs" priority="54" operator="equal" aboveAverage="0" equalAverage="0" bottom="0" percent="0" rank="0" text="" dxfId="25">
      <formula>"CS1"</formula>
    </cfRule>
    <cfRule type="cellIs" priority="55" operator="equal" aboveAverage="0" equalAverage="0" bottom="0" percent="0" rank="0" text="" dxfId="26">
      <formula>"CS2"</formula>
    </cfRule>
    <cfRule type="cellIs" priority="56" operator="equal" aboveAverage="0" equalAverage="0" bottom="0" percent="0" rank="0" text="" dxfId="27">
      <formula>"SB1"</formula>
    </cfRule>
    <cfRule type="cellIs" priority="57" operator="equal" aboveAverage="0" equalAverage="0" bottom="0" percent="0" rank="0" text="" dxfId="28">
      <formula>"SB2"</formula>
    </cfRule>
    <cfRule type="cellIs" priority="58" operator="equal" aboveAverage="0" equalAverage="0" bottom="0" percent="0" rank="0" text="" dxfId="29">
      <formula>"AE"</formula>
    </cfRule>
  </conditionalFormatting>
  <conditionalFormatting sqref="BP5:BQ42">
    <cfRule type="cellIs" priority="59" operator="lessThan" aboveAverage="0" equalAverage="0" bottom="0" percent="0" rank="0" text="" dxfId="41">
      <formula>1</formula>
    </cfRule>
  </conditionalFormatting>
  <conditionalFormatting sqref="J4:J42 AA4:AA42 C5:I42 K5:Z42 AB5:AH42">
    <cfRule type="cellIs" priority="60" operator="equal" aboveAverage="0" equalAverage="0" bottom="0" percent="0" rank="0" text="" dxfId="23">
      <formula>"DB"</formula>
    </cfRule>
    <cfRule type="containsText" priority="61" operator="containsText" aboveAverage="0" equalAverage="0" bottom="0" percent="0" rank="0" text="$AM" dxfId="30">
      <formula>NOT(ISERROR(SEARCH("$AM",C4)))</formula>
    </cfRule>
    <cfRule type="containsText" priority="62" operator="containsText" aboveAverage="0" equalAverage="0" bottom="0" percent="0" rank="0" text="$PM" dxfId="31">
      <formula>NOT(ISERROR(SEARCH("$PM",C4)))</formula>
    </cfRule>
    <cfRule type="containsText" priority="63" operator="containsText" aboveAverage="0" equalAverage="0" bottom="0" percent="0" rank="0" text="$L" dxfId="32">
      <formula>NOT(ISERROR(SEARCH("$L",C4)))</formula>
    </cfRule>
    <cfRule type="containsText" priority="64" operator="containsText" aboveAverage="0" equalAverage="0" bottom="0" percent="0" rank="0" text="$BTP" dxfId="33">
      <formula>NOT(ISERROR(SEARCH("$BTP",C4)))</formula>
    </cfRule>
    <cfRule type="containsText" priority="65" operator="containsText" aboveAverage="0" equalAverage="0" bottom="0" percent="0" rank="0" text="$M" dxfId="34">
      <formula>NOT(ISERROR(SEARCH("$M",C4)))</formula>
    </cfRule>
    <cfRule type="containsText" priority="66" operator="containsText" aboveAverage="0" equalAverage="0" bottom="0" percent="0" rank="0" text="$N" dxfId="35">
      <formula>NOT(ISERROR(SEARCH("$N",C4)))</formula>
    </cfRule>
    <cfRule type="containsText" priority="67" operator="containsText" aboveAverage="0" equalAverage="0" bottom="0" percent="0" rank="0" text="$FC" dxfId="36">
      <formula>NOT(ISERROR(SEARCH("$FC",C4)))</formula>
    </cfRule>
    <cfRule type="containsText" priority="68" operator="containsText" aboveAverage="0" equalAverage="0" bottom="0" percent="0" rank="0" text="OAL" dxfId="37">
      <formula>NOT(ISERROR(SEARCH("OAL",C4)))</formula>
    </cfRule>
    <cfRule type="containsText" priority="69" operator="containsText" aboveAverage="0" equalAverage="0" bottom="0" percent="0" rank="0" text="S+" dxfId="38">
      <formula>NOT(ISERROR(SEARCH("S+",C4)))</formula>
    </cfRule>
    <cfRule type="containsText" priority="70" operator="containsText" aboveAverage="0" equalAverage="0" bottom="0" percent="0" rank="0" text="EX-D" dxfId="39">
      <formula>NOT(ISERROR(SEARCH("EX-D",C4)))</formula>
    </cfRule>
  </conditionalFormatting>
  <conditionalFormatting sqref="C3:S42 V10:Y10 T2:X42 Y3:AH42">
    <cfRule type="expression" priority="71" aboveAverage="0" equalAverage="0" bottom="0" percent="0" rank="0" text="" dxfId="21">
      <formula>WEEKDAY(T$3,2)&gt;5</formula>
    </cfRule>
  </conditionalFormatting>
  <conditionalFormatting sqref="J4:J25 C5:C26 D5:D19 E5:E24 F5:F26 G5:G33 H5:H10 I5:I26 K5:K19 L5:N29 O5:O26 P5:P16 Q5:Q26 R5:R29 S5:T26 U5:U35 V5:V16 W5:X25 Y5:Y26 Z5:AC41 AD5:AD28 AE5:AE33 AF5:AF30 AG5:AG25 AH5:AH27 H12:H26 P18:P25 V18:V26 D21:D26 K21:K26 E26 J27:J29 AG27:AG28 C28 D28:D30 E28:E33 F28 H28:H34 I28:I32 K28:K29 O28:P29 Q28:Q33 S28:S29 T28:T35 V28:V35 W28:W29 X28:X33 Y28:Y41 F30:F33 AD30 AG30:AH30 J31:J34 N31 O31:O33 R31 S31:S35 W31:W35 K32 L32:M33 P32:P33 AD32:AD33 AF32:AG32 C33 N33 R33 F35:G35 K35 Q35:R35 X35 AD35:AH35 O36 I37 M37 S37 J38 O38 W38 AG38 I39 M39 J40 W40 U42">
    <cfRule type="containsText" priority="72" operator="containsText" aboveAverage="0" equalAverage="0" bottom="0" percent="0" rank="0" text="VACC" dxfId="40">
      <formula>NOT(ISERROR(SEARCH("VACC",C4)))</formula>
    </cfRule>
  </conditionalFormatting>
  <conditionalFormatting sqref="A1:BQ49">
    <cfRule type="cellIs" priority="73" operator="equal" aboveAverage="0" equalAverage="0" bottom="0" percent="0" rank="0" text="" dxfId="41">
      <formula>"RESERVE"</formula>
    </cfRule>
  </conditionalFormatting>
  <dataValidations count="2">
    <dataValidation allowBlank="true" errorStyle="stop" operator="equal" showDropDown="true" showErrorMessage="false" showInputMessage="false" sqref="C5:AH5 C6:AE7 AG6:AH7 D8:J8 L8:AD8 AF8:AH8 C9:O9 R9:AH9 D10:AH10 C11:C13 E11:O11 R11 T11:AH11 D12:J12 L12:AH12 D13:H13 J13:K13 M13:R13 T13:AH13 C14:AD15 AF14:AH15 C16:Q17 S16:T16 V16:AH16 R17:U17 W17:AH18 C18:C19 E18:N18 P18:V18 D19:L19 N19:AG19 D20:E20 G20 I20:N20 P20:AH20 C21:R22 T21:V24 X21:Y22 AA21:AD22 AF21:AH22 C23:O24 R23:R25 W23:AC24 AE23:AH24 C25:D25 F25:M25 O25:Q25 S25:X25 Z25 AB25:AH25 C26 E26:Y26 AA26:AF26 AH26 C27:AH27 C28:AA28 AC28:AH28 C29:K30 M29:AC29 AE29:AH29 L30:Q30 S30:U30 X30:AB30 AD30:AH30 C31:E34 G31:K31 M31:O31 Q31:W31 Y31:AA31 AC31:AC33 AE31:AH31 F32:M34 O32:X32 Z32:AB32 AD32:AG32 N33:X33 Z33 AB33 AE33:AH33 O34:Y34 AA34:AH34 C35:D41 F35:G35 I35:N35 Q35:R35 T35:V35 X35:Y36 AA35:AA36 AC35:AH35 J36:L36 N36:P36 T36:T42 V36:V42 AD36:AH41 I37:P37 S37 X37:X41 J38:L38 N38:P38 W38 AA38 I39:P39 Z39:Z40 J40:L41 N40:P42 W40 C42:L42 S42 U42 W42:AH42" type="list">
      <formula1>'Setting key Duty'!$B$7:$B$56</formula1>
      <formula2>0</formula2>
    </dataValidation>
    <dataValidation allowBlank="true" errorStyle="stop" operator="equal" showDropDown="true" showErrorMessage="false" showInputMessage="false" sqref="C43:AH49" type="list">
      <formula1>'Setting key Duty'!$B$7:$B$23</formula1>
      <formula2>0</formula2>
    </dataValidation>
  </dataValidation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R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5" activeCellId="0" sqref="C5"/>
    </sheetView>
  </sheetViews>
  <sheetFormatPr defaultColWidth="12.6328125" defaultRowHeight="15.75" customHeight="true" zeroHeight="false" outlineLevelRow="0" outlineLevelCol="1"/>
  <cols>
    <col collapsed="false" customWidth="true" hidden="false" outlineLevel="0" max="1" min="1" style="0" width="2.13"/>
    <col collapsed="false" customWidth="true" hidden="false" outlineLevel="0" max="2" min="2" style="0" width="29.76"/>
    <col collapsed="false" customWidth="true" hidden="false" outlineLevel="0" max="11" min="3" style="0" width="9.24"/>
    <col collapsed="false" customWidth="true" hidden="false" outlineLevel="0" max="12" min="12" style="0" width="9.38"/>
    <col collapsed="false" customWidth="true" hidden="false" outlineLevel="0" max="13" min="13" style="0" width="10.63"/>
    <col collapsed="false" customWidth="true" hidden="false" outlineLevel="0" max="14" min="14" style="0" width="9.24"/>
    <col collapsed="false" customWidth="true" hidden="false" outlineLevel="0" max="15" min="15" style="0" width="10"/>
    <col collapsed="false" customWidth="true" hidden="false" outlineLevel="0" max="16" min="16" style="0" width="10.76"/>
    <col collapsed="false" customWidth="true" hidden="false" outlineLevel="0" max="17" min="17" style="0" width="10.25"/>
    <col collapsed="false" customWidth="true" hidden="false" outlineLevel="0" max="18" min="18" style="0" width="9.63"/>
    <col collapsed="false" customWidth="true" hidden="false" outlineLevel="0" max="19" min="19" style="0" width="9.14"/>
    <col collapsed="false" customWidth="true" hidden="false" outlineLevel="0" max="26" min="20" style="0" width="9.24"/>
    <col collapsed="false" customWidth="true" hidden="false" outlineLevel="0" max="27" min="27" style="0" width="10.51"/>
    <col collapsed="false" customWidth="true" hidden="false" outlineLevel="0" max="30" min="28" style="0" width="9.24"/>
    <col collapsed="false" customWidth="true" hidden="false" outlineLevel="0" max="31" min="31" style="0" width="10.51"/>
    <col collapsed="false" customWidth="true" hidden="false" outlineLevel="0" max="32" min="32" style="0" width="9.38"/>
    <col collapsed="false" customWidth="true" hidden="false" outlineLevel="0" max="34" min="33" style="0" width="9.24"/>
    <col collapsed="false" customWidth="true" hidden="true" outlineLevel="1" max="41" min="35" style="0" width="9.38"/>
    <col collapsed="false" customWidth="true" hidden="true" outlineLevel="1" max="42" min="42" style="0" width="12"/>
    <col collapsed="false" customWidth="true" hidden="true" outlineLevel="1" max="43" min="43" style="0" width="9.38"/>
    <col collapsed="false" customWidth="true" hidden="false" outlineLevel="0" max="46" min="44" style="0" width="6.76"/>
    <col collapsed="false" customWidth="true" hidden="false" outlineLevel="1" max="47" min="47" style="0" width="8.87"/>
    <col collapsed="false" customWidth="true" hidden="false" outlineLevel="1" max="49" min="48" style="0" width="7.88"/>
    <col collapsed="false" customWidth="true" hidden="false" outlineLevel="1" max="50" min="50" style="0" width="9.14"/>
    <col collapsed="false" customWidth="true" hidden="false" outlineLevel="1" max="51" min="51" style="0" width="8.24"/>
    <col collapsed="false" customWidth="true" hidden="false" outlineLevel="1" max="52" min="52" style="0" width="5.51"/>
    <col collapsed="false" customWidth="true" hidden="false" outlineLevel="0" max="55" min="53" style="0" width="9.38"/>
    <col collapsed="false" customWidth="true" hidden="false" outlineLevel="1" max="66" min="56" style="0" width="9.38"/>
    <col collapsed="false" customWidth="true" hidden="false" outlineLevel="0" max="67" min="67" style="0" width="9.38"/>
    <col collapsed="false" customWidth="true" hidden="false" outlineLevel="0" max="68" min="68" style="0" width="9.51"/>
    <col collapsed="false" customWidth="true" hidden="false" outlineLevel="0" max="70" min="69" style="0" width="9.38"/>
  </cols>
  <sheetData>
    <row r="1" customFormat="false" ht="3" hidden="false" customHeight="true" outlineLevel="0" collapsed="false">
      <c r="A1" s="152"/>
      <c r="B1" s="2" t="s">
        <v>0</v>
      </c>
      <c r="C1" s="153" t="str">
        <f aca="false"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  <c r="AG1" s="154"/>
      <c r="AH1" s="154"/>
      <c r="AI1" s="154"/>
      <c r="AJ1" s="154"/>
      <c r="AK1" s="154"/>
      <c r="AL1" s="154"/>
      <c r="AM1" s="155"/>
      <c r="AN1" s="155"/>
      <c r="AO1" s="155"/>
      <c r="AP1" s="155"/>
      <c r="AQ1" s="155"/>
      <c r="AR1" s="155"/>
      <c r="AS1" s="156"/>
      <c r="AT1" s="156"/>
      <c r="AU1" s="155"/>
      <c r="AV1" s="155"/>
      <c r="AW1" s="155"/>
      <c r="AX1" s="155"/>
      <c r="AY1" s="155"/>
      <c r="AZ1" s="155"/>
      <c r="BA1" s="155"/>
      <c r="BB1" s="155"/>
      <c r="BC1" s="157" t="s">
        <v>550</v>
      </c>
      <c r="BD1" s="155"/>
      <c r="BE1" s="155"/>
      <c r="BF1" s="155"/>
      <c r="BG1" s="155"/>
      <c r="BH1" s="155"/>
      <c r="BI1" s="155"/>
      <c r="BJ1" s="155"/>
      <c r="BK1" s="155"/>
      <c r="BL1" s="155"/>
      <c r="BM1" s="155"/>
      <c r="BN1" s="155"/>
      <c r="BO1" s="155"/>
      <c r="BP1" s="155"/>
      <c r="BQ1" s="155"/>
      <c r="BR1" s="156"/>
    </row>
    <row r="2" customFormat="false" ht="26.25" hidden="false" customHeight="true" outlineLevel="0" collapsed="false">
      <c r="A2" s="158"/>
      <c r="B2" s="159" t="s">
        <v>1</v>
      </c>
      <c r="C2" s="9"/>
      <c r="D2" s="9"/>
      <c r="E2" s="9"/>
      <c r="F2" s="9" t="s">
        <v>197</v>
      </c>
      <c r="G2" s="9" t="s">
        <v>197</v>
      </c>
      <c r="H2" s="9"/>
      <c r="I2" s="9"/>
      <c r="J2" s="9"/>
      <c r="K2" s="9" t="s">
        <v>551</v>
      </c>
      <c r="L2" s="9" t="s">
        <v>373</v>
      </c>
      <c r="M2" s="9" t="s">
        <v>552</v>
      </c>
      <c r="N2" s="9" t="s">
        <v>553</v>
      </c>
      <c r="O2" s="9" t="s">
        <v>9</v>
      </c>
      <c r="P2" s="9"/>
      <c r="Q2" s="9"/>
      <c r="R2" s="9" t="s">
        <v>208</v>
      </c>
      <c r="S2" s="9" t="s">
        <v>554</v>
      </c>
      <c r="T2" s="119" t="s">
        <v>555</v>
      </c>
      <c r="U2" s="9" t="s">
        <v>556</v>
      </c>
      <c r="V2" s="160" t="s">
        <v>268</v>
      </c>
      <c r="W2" s="9"/>
      <c r="X2" s="9"/>
      <c r="Y2" s="9" t="s">
        <v>2</v>
      </c>
      <c r="Z2" s="9" t="s">
        <v>557</v>
      </c>
      <c r="AA2" s="9" t="s">
        <v>266</v>
      </c>
      <c r="AB2" s="9" t="s">
        <v>372</v>
      </c>
      <c r="AC2" s="9"/>
      <c r="AD2" s="9"/>
      <c r="AE2" s="9"/>
      <c r="AF2" s="9"/>
      <c r="AG2" s="9"/>
      <c r="AH2" s="93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61"/>
      <c r="AT2" s="161"/>
      <c r="AU2" s="12"/>
      <c r="AV2" s="12"/>
      <c r="AW2" s="12"/>
      <c r="AX2" s="12"/>
      <c r="AY2" s="12"/>
      <c r="AZ2" s="12"/>
      <c r="BA2" s="12"/>
      <c r="BB2" s="12"/>
      <c r="BC2" s="162" t="s">
        <v>558</v>
      </c>
      <c r="BD2" s="12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2"/>
      <c r="BP2" s="12"/>
      <c r="BQ2" s="12"/>
      <c r="BR2" s="163"/>
    </row>
    <row r="3" customFormat="false" ht="26.25" hidden="false" customHeight="true" outlineLevel="0" collapsed="false">
      <c r="A3" s="158"/>
      <c r="B3" s="159" t="s">
        <v>21</v>
      </c>
      <c r="C3" s="164" t="n">
        <v>46054</v>
      </c>
      <c r="D3" s="165" t="n">
        <f aca="false">C3+1</f>
        <v>46055</v>
      </c>
      <c r="E3" s="165" t="n">
        <f aca="false">D3+1</f>
        <v>46056</v>
      </c>
      <c r="F3" s="165" t="n">
        <f aca="false">E3+1</f>
        <v>46057</v>
      </c>
      <c r="G3" s="165" t="n">
        <f aca="false">F3+1</f>
        <v>46058</v>
      </c>
      <c r="H3" s="165" t="n">
        <f aca="false">G3+1</f>
        <v>46059</v>
      </c>
      <c r="I3" s="165" t="n">
        <f aca="false">H3+1</f>
        <v>46060</v>
      </c>
      <c r="J3" s="165" t="n">
        <f aca="false">I3+1</f>
        <v>46061</v>
      </c>
      <c r="K3" s="165" t="n">
        <f aca="false">J3+1</f>
        <v>46062</v>
      </c>
      <c r="L3" s="165" t="n">
        <f aca="false">K3+1</f>
        <v>46063</v>
      </c>
      <c r="M3" s="165" t="n">
        <f aca="false">L3+1</f>
        <v>46064</v>
      </c>
      <c r="N3" s="165" t="n">
        <f aca="false">M3+1</f>
        <v>46065</v>
      </c>
      <c r="O3" s="165" t="n">
        <f aca="false">N3+1</f>
        <v>46066</v>
      </c>
      <c r="P3" s="165" t="n">
        <f aca="false">O3+1</f>
        <v>46067</v>
      </c>
      <c r="Q3" s="165" t="n">
        <f aca="false">P3+1</f>
        <v>46068</v>
      </c>
      <c r="R3" s="165" t="n">
        <f aca="false">Q3+1</f>
        <v>46069</v>
      </c>
      <c r="S3" s="165" t="n">
        <f aca="false">R3+1</f>
        <v>46070</v>
      </c>
      <c r="T3" s="166" t="n">
        <f aca="false">S3+1</f>
        <v>46071</v>
      </c>
      <c r="U3" s="165" t="n">
        <f aca="false">T3+1</f>
        <v>46072</v>
      </c>
      <c r="V3" s="167" t="n">
        <f aca="false">U3+1</f>
        <v>46073</v>
      </c>
      <c r="W3" s="165" t="n">
        <f aca="false">V3+1</f>
        <v>46074</v>
      </c>
      <c r="X3" s="165" t="n">
        <f aca="false">W3+1</f>
        <v>46075</v>
      </c>
      <c r="Y3" s="165" t="n">
        <f aca="false">X3+1</f>
        <v>46076</v>
      </c>
      <c r="Z3" s="165" t="n">
        <f aca="false">Y3+1</f>
        <v>46077</v>
      </c>
      <c r="AA3" s="165" t="n">
        <f aca="false">Z3+1</f>
        <v>46078</v>
      </c>
      <c r="AB3" s="165" t="n">
        <f aca="false">AA3+1</f>
        <v>46079</v>
      </c>
      <c r="AC3" s="165" t="n">
        <f aca="false">AB3+1</f>
        <v>46080</v>
      </c>
      <c r="AD3" s="165" t="n">
        <f aca="false">AC3+1</f>
        <v>46081</v>
      </c>
      <c r="AE3" s="165" t="n">
        <f aca="false">AD3+1</f>
        <v>46082</v>
      </c>
      <c r="AF3" s="165" t="n">
        <f aca="false">AE3+1</f>
        <v>46083</v>
      </c>
      <c r="AG3" s="166" t="n">
        <f aca="false">AF3+1</f>
        <v>46084</v>
      </c>
      <c r="AH3" s="165" t="n">
        <f aca="false">AG3+1</f>
        <v>46085</v>
      </c>
      <c r="AI3" s="18" t="str">
        <f aca="false">'Setting key Duty'!$C7</f>
        <v>DM</v>
      </c>
      <c r="AJ3" s="19" t="str">
        <f aca="false">'Setting key Duty'!$C8</f>
        <v>CS1</v>
      </c>
      <c r="AK3" s="20" t="str">
        <f aca="false">'Setting key Duty'!$C9</f>
        <v>CS2</v>
      </c>
      <c r="AL3" s="20" t="str">
        <f aca="false">'Setting key Duty'!$C10</f>
        <v>CS/B</v>
      </c>
      <c r="AM3" s="20" t="str">
        <f aca="false">'Setting key Duty'!$C11</f>
        <v>SB1</v>
      </c>
      <c r="AN3" s="20" t="str">
        <f aca="false">'Setting key Duty'!$C12</f>
        <v>SB2</v>
      </c>
      <c r="AO3" s="20" t="str">
        <f aca="false">'Setting key Duty'!$C13</f>
        <v>AE</v>
      </c>
      <c r="AP3" s="20" t="str">
        <f aca="false">'Setting key Duty'!$C16</f>
        <v>Outfield Reserve</v>
      </c>
      <c r="AQ3" s="20" t="str">
        <f aca="false">'Setting key Duty'!C14</f>
        <v>EM</v>
      </c>
      <c r="AR3" s="20"/>
      <c r="AS3" s="168" t="s">
        <v>559</v>
      </c>
      <c r="AT3" s="168" t="s">
        <v>560</v>
      </c>
      <c r="AU3" s="20" t="s">
        <v>22</v>
      </c>
      <c r="AV3" s="20" t="s">
        <v>23</v>
      </c>
      <c r="AW3" s="20" t="s">
        <v>561</v>
      </c>
      <c r="AX3" s="20" t="s">
        <v>24</v>
      </c>
      <c r="AY3" s="20" t="s">
        <v>25</v>
      </c>
      <c r="AZ3" s="20" t="s">
        <v>26</v>
      </c>
      <c r="BA3" s="20" t="s">
        <v>27</v>
      </c>
      <c r="BB3" s="20" t="s">
        <v>28</v>
      </c>
      <c r="BC3" s="169" t="s">
        <v>29</v>
      </c>
      <c r="BD3" s="20" t="s">
        <v>30</v>
      </c>
      <c r="BE3" s="20" t="s">
        <v>32</v>
      </c>
      <c r="BF3" s="20" t="s">
        <v>33</v>
      </c>
      <c r="BG3" s="20" t="s">
        <v>36</v>
      </c>
      <c r="BH3" s="20" t="s">
        <v>37</v>
      </c>
      <c r="BI3" s="20" t="s">
        <v>39</v>
      </c>
      <c r="BJ3" s="20" t="s">
        <v>40</v>
      </c>
      <c r="BK3" s="20" t="s">
        <v>41</v>
      </c>
      <c r="BL3" s="20" t="s">
        <v>42</v>
      </c>
      <c r="BM3" s="20" t="str">
        <f aca="false">'Setting key Duty'!C52</f>
        <v>Field Camp</v>
      </c>
      <c r="BN3" s="20" t="s">
        <v>43</v>
      </c>
      <c r="BO3" s="20" t="str">
        <f aca="false">'Setting key Duty'!$C15</f>
        <v>Block</v>
      </c>
      <c r="BP3" s="20" t="str">
        <f aca="false">'Setting key Duty'!C17</f>
        <v>Reserve</v>
      </c>
      <c r="BQ3" s="20" t="str">
        <f aca="false">'Setting key Duty'!$C22</f>
        <v>AL</v>
      </c>
      <c r="BR3" s="163"/>
    </row>
    <row r="4" customFormat="false" ht="18" hidden="false" customHeight="true" outlineLevel="0" collapsed="false">
      <c r="A4" s="170"/>
      <c r="B4" s="23" t="s">
        <v>156</v>
      </c>
      <c r="C4" s="171" t="str">
        <f aca="false">TEXT(C3,"ddd")</f>
        <v>Sun</v>
      </c>
      <c r="D4" s="172" t="str">
        <f aca="false">TEXT(D3,"ddd")</f>
        <v>Mon</v>
      </c>
      <c r="E4" s="172" t="str">
        <f aca="false">TEXT(E3,"ddd")</f>
        <v>Tue</v>
      </c>
      <c r="F4" s="172" t="str">
        <f aca="false">TEXT(F3,"ddd")</f>
        <v>Wed</v>
      </c>
      <c r="G4" s="172" t="str">
        <f aca="false">TEXT(G3,"ddd")</f>
        <v>Thu</v>
      </c>
      <c r="H4" s="172" t="str">
        <f aca="false">TEXT(H3,"ddd")</f>
        <v>Fri</v>
      </c>
      <c r="I4" s="172" t="str">
        <f aca="false">TEXT(I3,"ddd")</f>
        <v>Sat</v>
      </c>
      <c r="J4" s="172" t="str">
        <f aca="false">TEXT(J3,"ddd")</f>
        <v>Sun</v>
      </c>
      <c r="K4" s="172" t="str">
        <f aca="false">TEXT(K3,"ddd")</f>
        <v>Mon</v>
      </c>
      <c r="L4" s="172" t="str">
        <f aca="false">TEXT(L3,"ddd")</f>
        <v>Tue</v>
      </c>
      <c r="M4" s="172" t="str">
        <f aca="false">TEXT(M3,"ddd")</f>
        <v>Wed</v>
      </c>
      <c r="N4" s="172" t="str">
        <f aca="false">TEXT(N3,"ddd")</f>
        <v>Thu</v>
      </c>
      <c r="O4" s="172" t="str">
        <f aca="false">TEXT(O3,"ddd")</f>
        <v>Fri</v>
      </c>
      <c r="P4" s="172" t="str">
        <f aca="false">TEXT(P3,"ddd")</f>
        <v>Sat</v>
      </c>
      <c r="Q4" s="172" t="str">
        <f aca="false">TEXT(Q3,"ddd")</f>
        <v>Sun</v>
      </c>
      <c r="R4" s="172" t="str">
        <f aca="false">TEXT(R3,"ddd")</f>
        <v>Mon</v>
      </c>
      <c r="S4" s="172" t="str">
        <f aca="false">TEXT(S3,"ddd")</f>
        <v>Tue</v>
      </c>
      <c r="T4" s="171" t="str">
        <f aca="false">TEXT(T3,"ddd")</f>
        <v>Wed</v>
      </c>
      <c r="U4" s="172" t="str">
        <f aca="false">TEXT(U3,"ddd")</f>
        <v>Thu</v>
      </c>
      <c r="V4" s="173" t="str">
        <f aca="false">TEXT(V3,"ddd")</f>
        <v>Fri</v>
      </c>
      <c r="W4" s="172" t="str">
        <f aca="false">TEXT(W3,"ddd")</f>
        <v>Sat</v>
      </c>
      <c r="X4" s="172" t="str">
        <f aca="false">TEXT(X3,"ddd")</f>
        <v>Sun</v>
      </c>
      <c r="Y4" s="172" t="str">
        <f aca="false">TEXT(Y3,"ddd")</f>
        <v>Mon</v>
      </c>
      <c r="Z4" s="172" t="str">
        <f aca="false">TEXT(Z3,"ddd")</f>
        <v>Tue</v>
      </c>
      <c r="AA4" s="172" t="str">
        <f aca="false">TEXT(AA3,"ddd")</f>
        <v>Wed</v>
      </c>
      <c r="AB4" s="172" t="str">
        <f aca="false">TEXT(AB3,"ddd")</f>
        <v>Thu</v>
      </c>
      <c r="AC4" s="172" t="str">
        <f aca="false">TEXT(AC3,"ddd")</f>
        <v>Fri</v>
      </c>
      <c r="AD4" s="172" t="str">
        <f aca="false">TEXT(AD3,"ddd")</f>
        <v>Sat</v>
      </c>
      <c r="AE4" s="172" t="str">
        <f aca="false">TEXT(AE3,"ddd")</f>
        <v>Sun</v>
      </c>
      <c r="AF4" s="172" t="str">
        <f aca="false">TEXT(AF3,"ddd")</f>
        <v>Mon</v>
      </c>
      <c r="AG4" s="171" t="str">
        <f aca="false">TEXT(AG3,"ddd")</f>
        <v>Tue</v>
      </c>
      <c r="AH4" s="172" t="str">
        <f aca="false">TEXT(AH3,"ddd")</f>
        <v>Wed</v>
      </c>
      <c r="AI4" s="25" t="str">
        <f aca="false">'Setting key Duty'!$B7</f>
        <v>DM</v>
      </c>
      <c r="AJ4" s="26" t="str">
        <f aca="false">'Setting key Duty'!$B8</f>
        <v>CS1</v>
      </c>
      <c r="AK4" s="27" t="str">
        <f aca="false">'Setting key Duty'!$B9</f>
        <v>CS2</v>
      </c>
      <c r="AL4" s="27" t="str">
        <f aca="false">'Setting key Duty'!$B10</f>
        <v>CS/B</v>
      </c>
      <c r="AM4" s="27" t="str">
        <f aca="false">'Setting key Duty'!$B11</f>
        <v>SB1</v>
      </c>
      <c r="AN4" s="27" t="str">
        <f aca="false">'Setting key Duty'!$B12</f>
        <v>SB2</v>
      </c>
      <c r="AO4" s="27" t="str">
        <f aca="false">'Setting key Duty'!$B13</f>
        <v>AE</v>
      </c>
      <c r="AP4" s="27" t="str">
        <f aca="false">'Setting key Duty'!$B16</f>
        <v>Outfield Reserve</v>
      </c>
      <c r="AQ4" s="27" t="str">
        <f aca="false">'Setting key Duty'!B14</f>
        <v>EM</v>
      </c>
      <c r="AR4" s="27"/>
      <c r="AS4" s="168"/>
      <c r="AT4" s="168"/>
      <c r="AU4" s="27"/>
      <c r="AV4" s="27"/>
      <c r="AW4" s="27"/>
      <c r="AX4" s="27"/>
      <c r="AY4" s="27"/>
      <c r="AZ4" s="27"/>
      <c r="BA4" s="27"/>
      <c r="BB4" s="27"/>
      <c r="BC4" s="174"/>
      <c r="BD4" s="27"/>
      <c r="BE4" s="27" t="s">
        <v>46</v>
      </c>
      <c r="BF4" s="27"/>
      <c r="BG4" s="27" t="s">
        <v>48</v>
      </c>
      <c r="BH4" s="27"/>
      <c r="BI4" s="27" t="s">
        <v>50</v>
      </c>
      <c r="BJ4" s="27"/>
      <c r="BK4" s="27" t="s">
        <v>51</v>
      </c>
      <c r="BL4" s="27"/>
      <c r="BM4" s="27" t="str">
        <f aca="false">'Setting key Duty'!B52</f>
        <v>$FC</v>
      </c>
      <c r="BN4" s="27"/>
      <c r="BO4" s="27" t="n">
        <f aca="false">'Setting key Duty'!$B15</f>
        <v>0</v>
      </c>
      <c r="BP4" s="27" t="str">
        <f aca="false">'Setting key Duty'!B17</f>
        <v>RESERVE</v>
      </c>
      <c r="BQ4" s="27" t="str">
        <f aca="false">'Setting key Duty'!$B22</f>
        <v>AL</v>
      </c>
      <c r="BR4" s="175"/>
    </row>
    <row r="5" customFormat="false" ht="19.5" hidden="false" customHeight="true" outlineLevel="0" collapsed="false">
      <c r="A5" s="176"/>
      <c r="B5" s="177" t="s">
        <v>562</v>
      </c>
      <c r="C5" s="178"/>
      <c r="D5" s="92" t="s">
        <v>56</v>
      </c>
      <c r="E5" s="92"/>
      <c r="F5" s="92" t="s">
        <v>59</v>
      </c>
      <c r="G5" s="179"/>
      <c r="H5" s="92" t="s">
        <v>57</v>
      </c>
      <c r="I5" s="178"/>
      <c r="J5" s="178" t="s">
        <v>56</v>
      </c>
      <c r="K5" s="179"/>
      <c r="L5" s="92"/>
      <c r="M5" s="178" t="s">
        <v>56</v>
      </c>
      <c r="N5" s="92"/>
      <c r="O5" s="179"/>
      <c r="P5" s="179"/>
      <c r="Q5" s="179"/>
      <c r="R5" s="180"/>
      <c r="S5" s="178" t="s">
        <v>57</v>
      </c>
      <c r="T5" s="179"/>
      <c r="U5" s="92" t="s">
        <v>563</v>
      </c>
      <c r="V5" s="179" t="s">
        <v>564</v>
      </c>
      <c r="W5" s="179"/>
      <c r="X5" s="179"/>
      <c r="Y5" s="179"/>
      <c r="Z5" s="181" t="s">
        <v>57</v>
      </c>
      <c r="AA5" s="92"/>
      <c r="AB5" s="178"/>
      <c r="AC5" s="179"/>
      <c r="AD5" s="179"/>
      <c r="AE5" s="179"/>
      <c r="AF5" s="178"/>
      <c r="AG5" s="178"/>
      <c r="AH5" s="32"/>
      <c r="AI5" s="182" t="n">
        <f aca="false">COUNTIF($D5:$AE5,AI$4)</f>
        <v>3</v>
      </c>
      <c r="AJ5" s="183" t="n">
        <f aca="false">COUNTIF($D5:$AE5,AJ$4)</f>
        <v>3</v>
      </c>
      <c r="AK5" s="182" t="n">
        <f aca="false">COUNTIF($D5:$AE5,AK$4)</f>
        <v>1</v>
      </c>
      <c r="AL5" s="182" t="n">
        <f aca="false">COUNTIF($D5:$AE5,AL$4)</f>
        <v>0</v>
      </c>
      <c r="AM5" s="38" t="n">
        <f aca="false">COUNTIF($D5:$AE5,AM$4)</f>
        <v>0</v>
      </c>
      <c r="AN5" s="38" t="n">
        <f aca="false">COUNTIF($D5:$AE5,AN$4)</f>
        <v>0</v>
      </c>
      <c r="AO5" s="38" t="n">
        <f aca="false">COUNTIF($D5:$AE5,AO$4)</f>
        <v>0</v>
      </c>
      <c r="AP5" s="38" t="n">
        <f aca="false">COUNTIF($D5:$AE5,AP$4)</f>
        <v>0</v>
      </c>
      <c r="AQ5" s="38" t="n">
        <f aca="false">COUNTIF($D5:$AE5,AQ$4)</f>
        <v>0</v>
      </c>
      <c r="AR5" s="38"/>
      <c r="AS5" s="184"/>
      <c r="AT5" s="184" t="n">
        <v>0.5</v>
      </c>
      <c r="AU5" s="38" t="n">
        <f aca="false">SUMPRODUCT(--(WEEKDAY(C$3:AG$3,2)&lt;5),--ISNUMBER(MATCH(C5:AG5,{"DM","CS1","CS2","SB1","AE","CS/B"},0)))</f>
        <v>5</v>
      </c>
      <c r="AV5" s="38"/>
      <c r="AW5" s="38" t="n">
        <f aca="false">SUMPRODUCT(--(WEEKDAY(C$3:AG$3,2)=5),--ISNUMBER(MATCH(C5:AG5,{"DM","CS1","CS2","SB1","AE","CS/B"},0)))</f>
        <v>1</v>
      </c>
      <c r="AX5" s="38" t="n">
        <f aca="false">SUMPRODUCT(--(WEEKDAY(C$3:AG$3,2)&gt;5),--ISNUMBER(MATCH(C5:AG5,{"DM","CS1","CS2","SB1","AE","CS/B"},0)))</f>
        <v>1</v>
      </c>
      <c r="AY5" s="38"/>
      <c r="AZ5" s="38" t="n">
        <f aca="false">(AU5-AV5)+AW5*1.5+(AX5-AY5)*2+AN5*0.5+AP5*0.5+AS5-AT5</f>
        <v>8</v>
      </c>
      <c r="BA5" s="38" t="n">
        <f aca="false">AU5+AW5+AX5</f>
        <v>7</v>
      </c>
      <c r="BB5" s="38" t="n">
        <f aca="false">BE5+BG5+BI5+BK5+BM5</f>
        <v>0</v>
      </c>
      <c r="BC5" s="184" t="n">
        <f aca="false">AZ5+BD5</f>
        <v>8</v>
      </c>
      <c r="BD5" s="38" t="n">
        <f aca="false">BF5+BH5+BJ5+BL5+BN5</f>
        <v>0</v>
      </c>
      <c r="BE5" s="38" t="n">
        <f aca="false">COUNTIF(A5:AI5,"*$BTP*")</f>
        <v>0</v>
      </c>
      <c r="BF5" s="38" t="n">
        <f aca="false">BE5*1.5</f>
        <v>0</v>
      </c>
      <c r="BG5" s="38" t="n">
        <f aca="false">COUNTIF(A5:AI5,"*$M*")</f>
        <v>0</v>
      </c>
      <c r="BH5" s="38" t="n">
        <f aca="false">BG5*1</f>
        <v>0</v>
      </c>
      <c r="BI5" s="38" t="n">
        <f aca="false">COUNTIF(A5:AI5,"*$PM*")</f>
        <v>0</v>
      </c>
      <c r="BJ5" s="38" t="n">
        <f aca="false">BI5*0.5</f>
        <v>0</v>
      </c>
      <c r="BK5" s="38" t="n">
        <f aca="false">COUNTIF(A5:AI5,"*$AM*")</f>
        <v>0</v>
      </c>
      <c r="BL5" s="38" t="n">
        <f aca="false">BK5*0.5</f>
        <v>0</v>
      </c>
      <c r="BM5" s="38" t="n">
        <f aca="false">COUNTIF(A5:AI5,"*$FC*")</f>
        <v>0</v>
      </c>
      <c r="BN5" s="38" t="n">
        <f aca="false">BM5*1</f>
        <v>0</v>
      </c>
      <c r="BO5" s="38" t="n">
        <f aca="false">COUNTIF($D5:$AA5,BO$4)</f>
        <v>0</v>
      </c>
      <c r="BP5" s="38" t="n">
        <f aca="false">COUNTIF($D5:$AA5,BP$4)</f>
        <v>0</v>
      </c>
      <c r="BQ5" s="38" t="n">
        <f aca="false">COUNTIF($D5:$AA5,BQ$4)</f>
        <v>0</v>
      </c>
      <c r="BR5" s="185"/>
    </row>
    <row r="6" customFormat="false" ht="36" hidden="false" customHeight="true" outlineLevel="0" collapsed="false">
      <c r="A6" s="176"/>
      <c r="B6" s="186" t="s">
        <v>565</v>
      </c>
      <c r="C6" s="187"/>
      <c r="D6" s="188"/>
      <c r="E6" s="92" t="s">
        <v>56</v>
      </c>
      <c r="F6" s="188"/>
      <c r="G6" s="188"/>
      <c r="H6" s="92"/>
      <c r="I6" s="188" t="s">
        <v>57</v>
      </c>
      <c r="J6" s="188"/>
      <c r="K6" s="92" t="s">
        <v>93</v>
      </c>
      <c r="L6" s="188" t="s">
        <v>59</v>
      </c>
      <c r="M6" s="188"/>
      <c r="N6" s="188" t="s">
        <v>566</v>
      </c>
      <c r="O6" s="189" t="s">
        <v>55</v>
      </c>
      <c r="P6" s="189" t="s">
        <v>55</v>
      </c>
      <c r="Q6" s="189" t="s">
        <v>55</v>
      </c>
      <c r="R6" s="189" t="s">
        <v>55</v>
      </c>
      <c r="S6" s="189" t="s">
        <v>55</v>
      </c>
      <c r="T6" s="189" t="s">
        <v>55</v>
      </c>
      <c r="U6" s="189" t="s">
        <v>55</v>
      </c>
      <c r="V6" s="189" t="s">
        <v>55</v>
      </c>
      <c r="W6" s="189" t="s">
        <v>55</v>
      </c>
      <c r="X6" s="189" t="s">
        <v>55</v>
      </c>
      <c r="Y6" s="92"/>
      <c r="Z6" s="188"/>
      <c r="AA6" s="181" t="s">
        <v>59</v>
      </c>
      <c r="AB6" s="188"/>
      <c r="AC6" s="188"/>
      <c r="AD6" s="188" t="s">
        <v>57</v>
      </c>
      <c r="AE6" s="188"/>
      <c r="AF6" s="188"/>
      <c r="AG6" s="188"/>
      <c r="AH6" s="32"/>
      <c r="AI6" s="182" t="n">
        <f aca="false">COUNTIF($D6:$AE6,AI$4)</f>
        <v>2</v>
      </c>
      <c r="AJ6" s="183" t="n">
        <f aca="false">COUNTIF($D6:$AE6,AJ$4)</f>
        <v>1</v>
      </c>
      <c r="AK6" s="182" t="n">
        <f aca="false">COUNTIF($D6:$AE6,AK$4)</f>
        <v>2</v>
      </c>
      <c r="AL6" s="182" t="n">
        <f aca="false">COUNTIF($D6:$AE6,AL$4)</f>
        <v>1</v>
      </c>
      <c r="AM6" s="38" t="n">
        <f aca="false">COUNTIF($D6:$AE6,AM$4)</f>
        <v>0</v>
      </c>
      <c r="AN6" s="38" t="n">
        <f aca="false">COUNTIF($D6:$AE6,AN$4)</f>
        <v>1</v>
      </c>
      <c r="AO6" s="38" t="n">
        <f aca="false">COUNTIF($D6:$AE6,AO$4)</f>
        <v>0</v>
      </c>
      <c r="AP6" s="38" t="n">
        <f aca="false">COUNTIF($D6:$AE6,AP$4)</f>
        <v>0</v>
      </c>
      <c r="AQ6" s="38" t="n">
        <f aca="false">COUNTIF($D6:$AE6,AQ$4)</f>
        <v>0</v>
      </c>
      <c r="AR6" s="38"/>
      <c r="AS6" s="184"/>
      <c r="AT6" s="184"/>
      <c r="AU6" s="38" t="n">
        <f aca="false">SUMPRODUCT(--(WEEKDAY(C$3:AG$3,2)&lt;5),--ISNUMBER(MATCH(C6:AG6,{"DM","CS1","CS2","SB1","AE","CS/B"},0)))</f>
        <v>4</v>
      </c>
      <c r="AV6" s="38"/>
      <c r="AW6" s="38" t="n">
        <f aca="false">SUMPRODUCT(--(WEEKDAY(C$3:AG$3,2)=5),--ISNUMBER(MATCH(C6:AG6,{"DM","CS1","CS2","SB1","AE","CS/B"},0)))</f>
        <v>0</v>
      </c>
      <c r="AX6" s="38" t="n">
        <f aca="false">SUMPRODUCT(--(WEEKDAY(C$3:AG$3,2)&gt;5),--ISNUMBER(MATCH(C6:AG6,{"DM","CS1","CS2","SB1","AE","CS/B"},0)))</f>
        <v>2</v>
      </c>
      <c r="AY6" s="38"/>
      <c r="AZ6" s="38" t="n">
        <f aca="false">(AU6-AV6)+AW6*1.5+(AX6-AY6)*2+AN6*0.5+AP6*0.5+AS6-AT6</f>
        <v>8.5</v>
      </c>
      <c r="BA6" s="38" t="n">
        <f aca="false">AU6+AW6+AX6</f>
        <v>6</v>
      </c>
      <c r="BB6" s="38" t="n">
        <f aca="false">BE6+BG6+BI6+BK6+BM6</f>
        <v>0</v>
      </c>
      <c r="BC6" s="184" t="n">
        <f aca="false">AZ6+BD6</f>
        <v>8.5</v>
      </c>
      <c r="BD6" s="38" t="n">
        <f aca="false">BF6+BH6+BJ6+BL6+BN6</f>
        <v>0</v>
      </c>
      <c r="BE6" s="38" t="n">
        <f aca="false">COUNTIF(A6:AI6,"*$BTP*")</f>
        <v>0</v>
      </c>
      <c r="BF6" s="38" t="n">
        <f aca="false">BE6*1.5</f>
        <v>0</v>
      </c>
      <c r="BG6" s="38" t="n">
        <f aca="false">COUNTIF(A6:AI6,"*$M*")</f>
        <v>0</v>
      </c>
      <c r="BH6" s="38" t="n">
        <f aca="false">BG6*1</f>
        <v>0</v>
      </c>
      <c r="BI6" s="38" t="n">
        <f aca="false">COUNTIF(A6:AI6,"*$PM*")</f>
        <v>0</v>
      </c>
      <c r="BJ6" s="38" t="n">
        <f aca="false">BI6*0.5</f>
        <v>0</v>
      </c>
      <c r="BK6" s="38" t="n">
        <f aca="false">COUNTIF(A6:AI6,"*$AM*")</f>
        <v>0</v>
      </c>
      <c r="BL6" s="38" t="n">
        <f aca="false">BK6*0.5</f>
        <v>0</v>
      </c>
      <c r="BM6" s="38" t="n">
        <f aca="false">COUNTIF(A6:AI6,"*$FC*")</f>
        <v>0</v>
      </c>
      <c r="BN6" s="38" t="n">
        <f aca="false">BM6*1</f>
        <v>0</v>
      </c>
      <c r="BO6" s="38" t="n">
        <f aca="false">COUNTIF($D6:$AA6,BO$4)</f>
        <v>0</v>
      </c>
      <c r="BP6" s="38" t="n">
        <f aca="false">COUNTIF($D6:$AA6,BP$4)</f>
        <v>0</v>
      </c>
      <c r="BQ6" s="38" t="n">
        <f aca="false">COUNTIF($D6:$AA6,BQ$4)</f>
        <v>10</v>
      </c>
      <c r="BR6" s="185"/>
    </row>
    <row r="7" customFormat="false" ht="36" hidden="false" customHeight="true" outlineLevel="0" collapsed="false">
      <c r="A7" s="176"/>
      <c r="B7" s="190" t="s">
        <v>567</v>
      </c>
      <c r="C7" s="181"/>
      <c r="D7" s="92"/>
      <c r="E7" s="92"/>
      <c r="F7" s="92"/>
      <c r="G7" s="92"/>
      <c r="H7" s="92"/>
      <c r="I7" s="188"/>
      <c r="J7" s="181"/>
      <c r="K7" s="92"/>
      <c r="L7" s="92"/>
      <c r="M7" s="92"/>
      <c r="N7" s="92"/>
      <c r="O7" s="92"/>
      <c r="P7" s="181"/>
      <c r="Q7" s="181"/>
      <c r="R7" s="181"/>
      <c r="S7" s="181"/>
      <c r="T7" s="181"/>
      <c r="U7" s="181"/>
      <c r="V7" s="92"/>
      <c r="W7" s="181"/>
      <c r="X7" s="181"/>
      <c r="Y7" s="181"/>
      <c r="Z7" s="91"/>
      <c r="AA7" s="91"/>
      <c r="AB7" s="181"/>
      <c r="AC7" s="181"/>
      <c r="AD7" s="181"/>
      <c r="AE7" s="181"/>
      <c r="AF7" s="181"/>
      <c r="AG7" s="181"/>
      <c r="AH7" s="32"/>
      <c r="AI7" s="182" t="n">
        <f aca="false">COUNTIF($D7:$AE7,AI$4)</f>
        <v>0</v>
      </c>
      <c r="AJ7" s="183" t="n">
        <f aca="false">COUNTIF($D7:$AE7,AJ$4)</f>
        <v>0</v>
      </c>
      <c r="AK7" s="182" t="n">
        <f aca="false">COUNTIF($D7:$AE7,AK$4)</f>
        <v>0</v>
      </c>
      <c r="AL7" s="182" t="n">
        <f aca="false">COUNTIF($D7:$AE7,AL$4)</f>
        <v>0</v>
      </c>
      <c r="AM7" s="38" t="n">
        <f aca="false">COUNTIF($D7:$AE7,AM$4)</f>
        <v>0</v>
      </c>
      <c r="AN7" s="38" t="n">
        <f aca="false">COUNTIF($D7:$AE7,AN$4)</f>
        <v>0</v>
      </c>
      <c r="AO7" s="38" t="n">
        <f aca="false">COUNTIF($D7:$AE7,AO$4)</f>
        <v>0</v>
      </c>
      <c r="AP7" s="38" t="n">
        <f aca="false">COUNTIF($D7:$AE7,AP$4)</f>
        <v>0</v>
      </c>
      <c r="AQ7" s="38" t="n">
        <f aca="false">COUNTIF($D7:$AE7,AQ$4)</f>
        <v>0</v>
      </c>
      <c r="AR7" s="38"/>
      <c r="AS7" s="184"/>
      <c r="AT7" s="184"/>
      <c r="AU7" s="38" t="n">
        <f aca="false">SUMPRODUCT(--(WEEKDAY(C$3:AG$3,2)&lt;5),--ISNUMBER(MATCH(C7:AG7,{"DM","CS1","CS2","SB1","AE","CS/B"},0)))</f>
        <v>0</v>
      </c>
      <c r="AV7" s="38"/>
      <c r="AW7" s="38" t="n">
        <f aca="false">SUMPRODUCT(--(WEEKDAY(C$3:AG$3,2)=5),--ISNUMBER(MATCH(C7:AG7,{"DM","CS1","CS2","SB1","AE","CS/B"},0)))</f>
        <v>0</v>
      </c>
      <c r="AX7" s="38" t="n">
        <f aca="false">SUMPRODUCT(--(WEEKDAY(C$3:AG$3,2)&gt;5),--ISNUMBER(MATCH(C7:AG7,{"DM","CS1","CS2","SB1","AE","CS/B"},0)))</f>
        <v>0</v>
      </c>
      <c r="AY7" s="38"/>
      <c r="AZ7" s="38" t="n">
        <f aca="false">(AU7-AV7)+AW7*1.5+(AX7-AY7)*2+AN7*0.5+AP7*0.5+AS7-AT7</f>
        <v>0</v>
      </c>
      <c r="BA7" s="38" t="n">
        <f aca="false">AU7+AW7+AX7</f>
        <v>0</v>
      </c>
      <c r="BB7" s="38" t="n">
        <f aca="false">BE7+BG7+BI7+BK7+BM7</f>
        <v>0</v>
      </c>
      <c r="BC7" s="184" t="n">
        <f aca="false">AZ7+BD7</f>
        <v>0</v>
      </c>
      <c r="BD7" s="38" t="n">
        <f aca="false">BF7+BH7+BJ7+BL7+BN7</f>
        <v>0</v>
      </c>
      <c r="BE7" s="38" t="n">
        <f aca="false">COUNTIF(A7:AI7,"*$BTP*")</f>
        <v>0</v>
      </c>
      <c r="BF7" s="38" t="n">
        <f aca="false">BE7*1.5</f>
        <v>0</v>
      </c>
      <c r="BG7" s="38" t="n">
        <f aca="false">COUNTIF(A7:AI7,"*$M*")</f>
        <v>0</v>
      </c>
      <c r="BH7" s="38" t="n">
        <f aca="false">BG7*1</f>
        <v>0</v>
      </c>
      <c r="BI7" s="38" t="n">
        <f aca="false">COUNTIF(A7:AI7,"*$PM*")</f>
        <v>0</v>
      </c>
      <c r="BJ7" s="38" t="n">
        <f aca="false">BI7*0.5</f>
        <v>0</v>
      </c>
      <c r="BK7" s="38" t="n">
        <f aca="false">COUNTIF(A7:AI7,"*$AM*")</f>
        <v>0</v>
      </c>
      <c r="BL7" s="38" t="n">
        <f aca="false">BK7*0.5</f>
        <v>0</v>
      </c>
      <c r="BM7" s="38" t="n">
        <f aca="false">COUNTIF(A7:AI7,"*$FC*")</f>
        <v>0</v>
      </c>
      <c r="BN7" s="38" t="n">
        <f aca="false">BM7*1</f>
        <v>0</v>
      </c>
      <c r="BO7" s="38" t="n">
        <f aca="false">COUNTIF($D7:$AA7,BO$4)</f>
        <v>0</v>
      </c>
      <c r="BP7" s="38" t="n">
        <f aca="false">COUNTIF($D7:$AA7,BP$4)</f>
        <v>0</v>
      </c>
      <c r="BQ7" s="38" t="n">
        <f aca="false">COUNTIF($D7:$AA7,BQ$4)</f>
        <v>0</v>
      </c>
      <c r="BR7" s="185"/>
    </row>
    <row r="8" customFormat="false" ht="19.5" hidden="false" customHeight="true" outlineLevel="0" collapsed="false">
      <c r="A8" s="176"/>
      <c r="B8" s="191" t="s">
        <v>568</v>
      </c>
      <c r="C8" s="187" t="s">
        <v>569</v>
      </c>
      <c r="D8" s="188"/>
      <c r="E8" s="188"/>
      <c r="F8" s="92"/>
      <c r="G8" s="92"/>
      <c r="H8" s="192"/>
      <c r="I8" s="192"/>
      <c r="J8" s="188"/>
      <c r="K8" s="188"/>
      <c r="L8" s="92"/>
      <c r="M8" s="92"/>
      <c r="N8" s="92"/>
      <c r="O8" s="92"/>
      <c r="P8" s="188"/>
      <c r="Q8" s="188"/>
      <c r="R8" s="193" t="s">
        <v>570</v>
      </c>
      <c r="S8" s="188"/>
      <c r="T8" s="188"/>
      <c r="U8" s="188"/>
      <c r="V8" s="92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32"/>
      <c r="AI8" s="182" t="n">
        <f aca="false">COUNTIF($D8:$AE8,AI$4)</f>
        <v>0</v>
      </c>
      <c r="AJ8" s="183" t="n">
        <f aca="false">COUNTIF($D8:$AE8,AJ$4)</f>
        <v>0</v>
      </c>
      <c r="AK8" s="182" t="n">
        <f aca="false">COUNTIF($D8:$AE8,AK$4)</f>
        <v>0</v>
      </c>
      <c r="AL8" s="182" t="n">
        <f aca="false">COUNTIF($D8:$AE8,AL$4)</f>
        <v>0</v>
      </c>
      <c r="AM8" s="38" t="n">
        <f aca="false">COUNTIF($D8:$AE8,AM$4)</f>
        <v>0</v>
      </c>
      <c r="AN8" s="38" t="n">
        <f aca="false">COUNTIF($D8:$AE8,AN$4)</f>
        <v>0</v>
      </c>
      <c r="AO8" s="38" t="n">
        <f aca="false">COUNTIF($D8:$AE8,AO$4)</f>
        <v>0</v>
      </c>
      <c r="AP8" s="38" t="n">
        <f aca="false">COUNTIF($D8:$AE8,AP$4)</f>
        <v>0</v>
      </c>
      <c r="AQ8" s="38" t="n">
        <f aca="false">COUNTIF($D8:$AE8,AQ$4)</f>
        <v>0</v>
      </c>
      <c r="AR8" s="38"/>
      <c r="AS8" s="184"/>
      <c r="AT8" s="184"/>
      <c r="AU8" s="38" t="n">
        <f aca="false">SUMPRODUCT(--(WEEKDAY(C$3:AG$3,2)&lt;5),--ISNUMBER(MATCH(C8:AG8,{"DM","CS1","CS2","SB1","AE","CS/B"},0)))</f>
        <v>0</v>
      </c>
      <c r="AV8" s="38"/>
      <c r="AW8" s="38" t="n">
        <f aca="false">SUMPRODUCT(--(WEEKDAY(C$3:AG$3,2)=5),--ISNUMBER(MATCH(C8:AG8,{"DM","CS1","CS2","SB1","AE","CS/B"},0)))</f>
        <v>0</v>
      </c>
      <c r="AX8" s="38" t="n">
        <f aca="false">SUMPRODUCT(--(WEEKDAY(C$3:AG$3,2)&gt;5),--ISNUMBER(MATCH(C8:AG8,{"DM","CS1","CS2","SB1","AE","CS/B"},0)))</f>
        <v>0</v>
      </c>
      <c r="AY8" s="38"/>
      <c r="AZ8" s="38" t="n">
        <f aca="false">(AU8-AV8)+AW8*1.5+(AX8-AY8)*2+AN8*0.5+AP8*0.5+AS8-AT8</f>
        <v>0</v>
      </c>
      <c r="BA8" s="38" t="n">
        <f aca="false">AU8+AW8+AX8</f>
        <v>0</v>
      </c>
      <c r="BB8" s="38" t="n">
        <f aca="false">BE8+BG8+BI8+BK8+BM8</f>
        <v>0</v>
      </c>
      <c r="BC8" s="184" t="n">
        <f aca="false">AZ8+BD8</f>
        <v>0</v>
      </c>
      <c r="BD8" s="38" t="n">
        <f aca="false">BF8+BH8+BJ8+BL8+BN8</f>
        <v>0</v>
      </c>
      <c r="BE8" s="38" t="n">
        <f aca="false">COUNTIF(A8:AI8,"*$BTP*")</f>
        <v>0</v>
      </c>
      <c r="BF8" s="38" t="n">
        <f aca="false">BE8*1.5</f>
        <v>0</v>
      </c>
      <c r="BG8" s="38" t="n">
        <f aca="false">COUNTIF(A8:AI8,"*$M*")</f>
        <v>0</v>
      </c>
      <c r="BH8" s="38" t="n">
        <f aca="false">BG8*1</f>
        <v>0</v>
      </c>
      <c r="BI8" s="38" t="n">
        <f aca="false">COUNTIF(A8:AI8,"*$PM*")</f>
        <v>0</v>
      </c>
      <c r="BJ8" s="38" t="n">
        <f aca="false">BI8*0.5</f>
        <v>0</v>
      </c>
      <c r="BK8" s="38" t="n">
        <f aca="false">COUNTIF(A8:AI8,"*$AM*")</f>
        <v>0</v>
      </c>
      <c r="BL8" s="38" t="n">
        <f aca="false">BK8*0.5</f>
        <v>0</v>
      </c>
      <c r="BM8" s="38" t="n">
        <f aca="false">COUNTIF(A8:AI8,"*$FC*")</f>
        <v>0</v>
      </c>
      <c r="BN8" s="38" t="n">
        <f aca="false">BM8*1</f>
        <v>0</v>
      </c>
      <c r="BO8" s="38" t="n">
        <f aca="false">COUNTIF($D8:$AA8,BO$4)</f>
        <v>0</v>
      </c>
      <c r="BP8" s="38" t="n">
        <f aca="false">COUNTIF($D8:$AA8,BP$4)</f>
        <v>0</v>
      </c>
      <c r="BQ8" s="38" t="n">
        <f aca="false">COUNTIF($D8:$AA8,BQ$4)</f>
        <v>0</v>
      </c>
      <c r="BR8" s="185"/>
    </row>
    <row r="9" customFormat="false" ht="19.5" hidden="false" customHeight="true" outlineLevel="0" collapsed="false">
      <c r="A9" s="176"/>
      <c r="B9" s="194" t="s">
        <v>571</v>
      </c>
      <c r="C9" s="181"/>
      <c r="D9" s="181"/>
      <c r="E9" s="181" t="s">
        <v>57</v>
      </c>
      <c r="F9" s="181"/>
      <c r="G9" s="92"/>
      <c r="H9" s="92" t="s">
        <v>572</v>
      </c>
      <c r="I9" s="92"/>
      <c r="J9" s="181"/>
      <c r="K9" s="92" t="s">
        <v>350</v>
      </c>
      <c r="L9" s="181"/>
      <c r="M9" s="181"/>
      <c r="N9" s="92" t="s">
        <v>56</v>
      </c>
      <c r="O9" s="92"/>
      <c r="P9" s="181" t="s">
        <v>56</v>
      </c>
      <c r="Q9" s="181"/>
      <c r="R9" s="181"/>
      <c r="S9" s="181"/>
      <c r="T9" s="181"/>
      <c r="U9" s="181"/>
      <c r="V9" s="181" t="s">
        <v>57</v>
      </c>
      <c r="W9" s="181"/>
      <c r="X9" s="181"/>
      <c r="Y9" s="181"/>
      <c r="Z9" s="91" t="s">
        <v>56</v>
      </c>
      <c r="AA9" s="91"/>
      <c r="AB9" s="181" t="s">
        <v>57</v>
      </c>
      <c r="AC9" s="181"/>
      <c r="AD9" s="181"/>
      <c r="AE9" s="181"/>
      <c r="AF9" s="181"/>
      <c r="AG9" s="181"/>
      <c r="AH9" s="32"/>
      <c r="AI9" s="182" t="n">
        <f aca="false">COUNTIF($D9:$AE9,AI$4)</f>
        <v>3</v>
      </c>
      <c r="AJ9" s="183" t="n">
        <f aca="false">COUNTIF($D9:$AE9,AJ$4)</f>
        <v>3</v>
      </c>
      <c r="AK9" s="182" t="n">
        <f aca="false">COUNTIF($D9:$AE9,AK$4)</f>
        <v>0</v>
      </c>
      <c r="AL9" s="182" t="n">
        <f aca="false">COUNTIF($D9:$AE9,AL$4)</f>
        <v>0</v>
      </c>
      <c r="AM9" s="38" t="n">
        <f aca="false">COUNTIF($D9:$AE9,AM$4)</f>
        <v>0</v>
      </c>
      <c r="AN9" s="38" t="n">
        <f aca="false">COUNTIF($D9:$AE9,AN$4)</f>
        <v>0</v>
      </c>
      <c r="AO9" s="38" t="n">
        <f aca="false">COUNTIF($D9:$AE9,AO$4)</f>
        <v>0</v>
      </c>
      <c r="AP9" s="38" t="n">
        <f aca="false">COUNTIF($D9:$AE9,AP$4)</f>
        <v>0</v>
      </c>
      <c r="AQ9" s="38" t="n">
        <f aca="false">COUNTIF($D9:$AE9,AQ$4)</f>
        <v>0</v>
      </c>
      <c r="AR9" s="38"/>
      <c r="AS9" s="184"/>
      <c r="AT9" s="184" t="n">
        <v>0.5</v>
      </c>
      <c r="AU9" s="38" t="n">
        <f aca="false">SUMPRODUCT(--(WEEKDAY(C$3:AG$3,2)&lt;5),--ISNUMBER(MATCH(C9:AG9,{"DM","CS1","CS2","SB1","AE","CS/B"},0)))</f>
        <v>4</v>
      </c>
      <c r="AV9" s="38"/>
      <c r="AW9" s="38" t="n">
        <f aca="false">SUMPRODUCT(--(WEEKDAY(C$3:AG$3,2)=5),--ISNUMBER(MATCH(C9:AG9,{"DM","CS1","CS2","SB1","AE","CS/B"},0)))</f>
        <v>1</v>
      </c>
      <c r="AX9" s="38" t="n">
        <f aca="false">SUMPRODUCT(--(WEEKDAY(C$3:AG$3,2)&gt;5),--ISNUMBER(MATCH(C9:AG9,{"DM","CS1","CS2","SB1","AE","CS/B"},0)))</f>
        <v>1</v>
      </c>
      <c r="AY9" s="38"/>
      <c r="AZ9" s="38" t="n">
        <f aca="false">(AU9-AV9)+AW9*1.5+(AX9-AY9)*2+AN9*0.5+AP9*0.5+AS9-AT9</f>
        <v>7</v>
      </c>
      <c r="BA9" s="38" t="n">
        <f aca="false">AU9+AW9+AX9</f>
        <v>6</v>
      </c>
      <c r="BB9" s="38" t="n">
        <f aca="false">BE9+BG9+BI9+BK9+BM9</f>
        <v>0</v>
      </c>
      <c r="BC9" s="184" t="n">
        <f aca="false">AZ9+BD9</f>
        <v>7</v>
      </c>
      <c r="BD9" s="38" t="n">
        <f aca="false">BF9+BH9+BJ9+BL9+BN9</f>
        <v>0</v>
      </c>
      <c r="BE9" s="38" t="n">
        <f aca="false">COUNTIF(A9:AI9,"*$BTP*")</f>
        <v>0</v>
      </c>
      <c r="BF9" s="38" t="n">
        <f aca="false">BE9*1.5</f>
        <v>0</v>
      </c>
      <c r="BG9" s="38" t="n">
        <f aca="false">COUNTIF(A9:AI9,"*$M*")</f>
        <v>0</v>
      </c>
      <c r="BH9" s="38" t="n">
        <f aca="false">BG9*1</f>
        <v>0</v>
      </c>
      <c r="BI9" s="38" t="n">
        <f aca="false">COUNTIF(A9:AI9,"*$PM*")</f>
        <v>0</v>
      </c>
      <c r="BJ9" s="38" t="n">
        <f aca="false">BI9*0.5</f>
        <v>0</v>
      </c>
      <c r="BK9" s="38" t="n">
        <f aca="false">COUNTIF(A9:AI9,"*$AM*")</f>
        <v>0</v>
      </c>
      <c r="BL9" s="38" t="n">
        <f aca="false">BK9*0.5</f>
        <v>0</v>
      </c>
      <c r="BM9" s="38" t="n">
        <f aca="false">COUNTIF(A9:AI9,"*$FC*")</f>
        <v>0</v>
      </c>
      <c r="BN9" s="38" t="n">
        <f aca="false">BM9*1</f>
        <v>0</v>
      </c>
      <c r="BO9" s="38" t="n">
        <f aca="false">COUNTIF($D9:$AA9,BO$4)</f>
        <v>0</v>
      </c>
      <c r="BP9" s="38" t="n">
        <f aca="false">COUNTIF($D9:$AA9,BP$4)</f>
        <v>1</v>
      </c>
      <c r="BQ9" s="38" t="n">
        <f aca="false">COUNTIF($D9:$AA9,BQ$4)</f>
        <v>0</v>
      </c>
      <c r="BR9" s="185"/>
    </row>
    <row r="10" customFormat="false" ht="19.5" hidden="false" customHeight="true" outlineLevel="0" collapsed="false">
      <c r="A10" s="176"/>
      <c r="B10" s="195" t="s">
        <v>526</v>
      </c>
      <c r="C10" s="188"/>
      <c r="D10" s="188"/>
      <c r="E10" s="92" t="s">
        <v>59</v>
      </c>
      <c r="F10" s="188"/>
      <c r="G10" s="92"/>
      <c r="H10" s="188" t="s">
        <v>59</v>
      </c>
      <c r="I10" s="188"/>
      <c r="J10" s="188" t="s">
        <v>566</v>
      </c>
      <c r="K10" s="188"/>
      <c r="L10" s="181"/>
      <c r="M10" s="188" t="s">
        <v>59</v>
      </c>
      <c r="O10" s="92"/>
      <c r="P10" s="188" t="s">
        <v>57</v>
      </c>
      <c r="Q10" s="188"/>
      <c r="R10" s="188"/>
      <c r="S10" s="188"/>
      <c r="T10" s="188"/>
      <c r="U10" s="92" t="s">
        <v>350</v>
      </c>
      <c r="W10" s="188" t="s">
        <v>350</v>
      </c>
      <c r="X10" s="188"/>
      <c r="Y10" s="91" t="s">
        <v>57</v>
      </c>
      <c r="Z10" s="181" t="s">
        <v>71</v>
      </c>
      <c r="AA10" s="91" t="s">
        <v>71</v>
      </c>
      <c r="AB10" s="188" t="s">
        <v>573</v>
      </c>
      <c r="AC10" s="91" t="s">
        <v>93</v>
      </c>
      <c r="AD10" s="188"/>
      <c r="AE10" s="188"/>
      <c r="AF10" s="188"/>
      <c r="AG10" s="188"/>
      <c r="AH10" s="32"/>
      <c r="AI10" s="182" t="n">
        <f aca="false">COUNTIF($D10:$AE10,AI$4)</f>
        <v>2</v>
      </c>
      <c r="AJ10" s="183" t="n">
        <f aca="false">COUNTIF($D10:$AE10,AJ$4)</f>
        <v>0</v>
      </c>
      <c r="AK10" s="182" t="n">
        <f aca="false">COUNTIF($D10:$AE10,AK$4)</f>
        <v>3</v>
      </c>
      <c r="AL10" s="182" t="n">
        <f aca="false">COUNTIF($D10:$AE10,AL$4)</f>
        <v>1</v>
      </c>
      <c r="AM10" s="38" t="n">
        <f aca="false">COUNTIF($D10:$AE10,AM$4)</f>
        <v>0</v>
      </c>
      <c r="AN10" s="38" t="n">
        <f aca="false">COUNTIF($D10:$AE10,AN$4)</f>
        <v>1</v>
      </c>
      <c r="AO10" s="38" t="n">
        <f aca="false">COUNTIF($D10:$AE10,AO$4)</f>
        <v>0</v>
      </c>
      <c r="AP10" s="38" t="n">
        <f aca="false">COUNTIF($D10:$AE10,AP$4)</f>
        <v>0</v>
      </c>
      <c r="AQ10" s="38" t="n">
        <f aca="false">COUNTIF($D10:$AE10,AQ$4)</f>
        <v>0</v>
      </c>
      <c r="AR10" s="38"/>
      <c r="AS10" s="184"/>
      <c r="AT10" s="184"/>
      <c r="AU10" s="38" t="n">
        <f aca="false">SUMPRODUCT(--(WEEKDAY(C$3:AG$3,2)&lt;5),--ISNUMBER(MATCH(C10:AG10,{"DM","CS1","CS2","SB1","AE","CS/B"},0)))</f>
        <v>3</v>
      </c>
      <c r="AV10" s="38"/>
      <c r="AW10" s="38" t="n">
        <f aca="false">SUMPRODUCT(--(WEEKDAY(C$3:AG$3,2)=5),--ISNUMBER(MATCH(C10:AG10,{"DM","CS1","CS2","SB1","AE","CS/B"},0)))</f>
        <v>1</v>
      </c>
      <c r="AX10" s="38" t="n">
        <f aca="false">SUMPRODUCT(--(WEEKDAY(C$3:AG$3,2)&gt;5),--ISNUMBER(MATCH(C10:AG10,{"DM","CS1","CS2","SB1","AE","CS/B"},0)))</f>
        <v>2</v>
      </c>
      <c r="AY10" s="38"/>
      <c r="AZ10" s="38" t="n">
        <f aca="false">(AU10-AV10)+AW10*1.5+(AX10-AY10)*2+AN10*0.5+AP10*0.5+AS10-AT10</f>
        <v>9</v>
      </c>
      <c r="BA10" s="38" t="n">
        <f aca="false">AU10+AW10+AX10</f>
        <v>6</v>
      </c>
      <c r="BB10" s="38" t="n">
        <f aca="false">BE10+BG10+BI10+BK10+BM10</f>
        <v>0</v>
      </c>
      <c r="BC10" s="184" t="n">
        <f aca="false">AZ10+BD10</f>
        <v>9</v>
      </c>
      <c r="BD10" s="38" t="n">
        <f aca="false">BF10+BH10+BJ10+BL10+BN10</f>
        <v>0</v>
      </c>
      <c r="BE10" s="38" t="n">
        <f aca="false">COUNTIF(A10:AI10,"*$BTP*")</f>
        <v>0</v>
      </c>
      <c r="BF10" s="38" t="n">
        <f aca="false">BE10*1.5</f>
        <v>0</v>
      </c>
      <c r="BG10" s="38" t="n">
        <f aca="false">COUNTIF(A10:AI10,"*$M*")</f>
        <v>0</v>
      </c>
      <c r="BH10" s="38" t="n">
        <f aca="false">BG10*1</f>
        <v>0</v>
      </c>
      <c r="BI10" s="38" t="n">
        <f aca="false">COUNTIF(A10:AI10,"*$PM*")</f>
        <v>0</v>
      </c>
      <c r="BJ10" s="38" t="n">
        <f aca="false">BI10*0.5</f>
        <v>0</v>
      </c>
      <c r="BK10" s="38" t="n">
        <f aca="false">COUNTIF(A10:AI10,"*$AM*")</f>
        <v>0</v>
      </c>
      <c r="BL10" s="38" t="n">
        <f aca="false">BK10*0.5</f>
        <v>0</v>
      </c>
      <c r="BM10" s="38" t="n">
        <f aca="false">COUNTIF(A10:AI10,"*$FC*")</f>
        <v>0</v>
      </c>
      <c r="BN10" s="38" t="n">
        <f aca="false">BM10*1</f>
        <v>0</v>
      </c>
      <c r="BO10" s="38" t="n">
        <f aca="false">COUNTIF($D10:$AA10,BO$4)</f>
        <v>0</v>
      </c>
      <c r="BP10" s="38" t="n">
        <f aca="false">COUNTIF($D10:$AA10,BP$4)</f>
        <v>2</v>
      </c>
      <c r="BQ10" s="38" t="n">
        <f aca="false">COUNTIF($D10:$AA10,BQ$4)</f>
        <v>0</v>
      </c>
      <c r="BR10" s="185"/>
    </row>
    <row r="11" customFormat="false" ht="19.5" hidden="false" customHeight="true" outlineLevel="0" collapsed="false">
      <c r="A11" s="176"/>
      <c r="B11" s="195" t="s">
        <v>574</v>
      </c>
      <c r="C11" s="181"/>
      <c r="D11" s="181"/>
      <c r="E11" s="92"/>
      <c r="F11" s="187" t="s">
        <v>61</v>
      </c>
      <c r="G11" s="92"/>
      <c r="I11" s="181"/>
      <c r="K11" s="181"/>
      <c r="N11" s="92"/>
      <c r="Q11" s="92"/>
      <c r="R11" s="181"/>
      <c r="S11" s="181"/>
      <c r="T11" s="181"/>
      <c r="W11" s="181"/>
      <c r="X11" s="92"/>
      <c r="Y11" s="181"/>
      <c r="Z11" s="92"/>
      <c r="AA11" s="91" t="s">
        <v>61</v>
      </c>
      <c r="AC11" s="181"/>
      <c r="AD11" s="181"/>
      <c r="AE11" s="181"/>
      <c r="AF11" s="181"/>
      <c r="AG11" s="181"/>
      <c r="AH11" s="32"/>
      <c r="AI11" s="182" t="n">
        <f aca="false">COUNTIF($D11:$AE11,AI$4)</f>
        <v>0</v>
      </c>
      <c r="AJ11" s="183" t="n">
        <f aca="false">COUNTIF($D11:$AE11,AJ$4)</f>
        <v>0</v>
      </c>
      <c r="AK11" s="182" t="n">
        <f aca="false">COUNTIF($D11:$AE11,AK$4)</f>
        <v>0</v>
      </c>
      <c r="AL11" s="182" t="n">
        <f aca="false">COUNTIF($D11:$AE11,AL$4)</f>
        <v>0</v>
      </c>
      <c r="AM11" s="38" t="n">
        <f aca="false">COUNTIF($D11:$AE11,AM$4)</f>
        <v>0</v>
      </c>
      <c r="AN11" s="38" t="n">
        <f aca="false">COUNTIF($D11:$AE11,AN$4)</f>
        <v>0</v>
      </c>
      <c r="AO11" s="38" t="n">
        <f aca="false">COUNTIF($D11:$AE11,AO$4)</f>
        <v>0</v>
      </c>
      <c r="AP11" s="38" t="n">
        <f aca="false">COUNTIF($D11:$AE11,AP$4)</f>
        <v>0</v>
      </c>
      <c r="AQ11" s="38" t="n">
        <f aca="false">COUNTIF($D11:$AE11,AQ$4)</f>
        <v>0</v>
      </c>
      <c r="AR11" s="38"/>
      <c r="AS11" s="184"/>
      <c r="AT11" s="184" t="n">
        <v>1</v>
      </c>
      <c r="AU11" s="38" t="n">
        <f aca="false">SUMPRODUCT(--(WEEKDAY(C$3:AG$3,2)&lt;5),--ISNUMBER(MATCH(C11:AG11,{"DM","CS1","CS2","SB1","AE","CS/B"},0)))</f>
        <v>0</v>
      </c>
      <c r="AV11" s="38"/>
      <c r="AW11" s="38" t="n">
        <f aca="false">SUMPRODUCT(--(WEEKDAY(C$3:AG$3,2)=5),--ISNUMBER(MATCH(C11:AG11,{"DM","CS1","CS2","SB1","AE","CS/B"},0)))</f>
        <v>0</v>
      </c>
      <c r="AX11" s="38" t="n">
        <f aca="false">SUMPRODUCT(--(WEEKDAY(C$3:AG$3,2)&gt;5),--ISNUMBER(MATCH(C11:AG11,{"DM","CS1","CS2","SB1","AE","CS/B"},0)))</f>
        <v>0</v>
      </c>
      <c r="AY11" s="38"/>
      <c r="AZ11" s="38" t="n">
        <f aca="false">(AU11-AV11)+AW11*1.5+(AX11-AY11)*2+AN11*0.5+AP11*0.5+AS11-AT11</f>
        <v>-1</v>
      </c>
      <c r="BA11" s="38" t="n">
        <f aca="false">AU11+AW11+AX11</f>
        <v>0</v>
      </c>
      <c r="BB11" s="38" t="n">
        <f aca="false">BE11+BG11+BI11+BK11+BM11</f>
        <v>0</v>
      </c>
      <c r="BC11" s="184" t="n">
        <f aca="false">AZ11+BD11</f>
        <v>-1</v>
      </c>
      <c r="BD11" s="38" t="n">
        <f aca="false">BF11+BH11+BJ11+BL11+BN11</f>
        <v>0</v>
      </c>
      <c r="BE11" s="38" t="n">
        <f aca="false">COUNTIF(A11:AI11,"*$BTP*")</f>
        <v>0</v>
      </c>
      <c r="BF11" s="38" t="n">
        <f aca="false">BE11*1.5</f>
        <v>0</v>
      </c>
      <c r="BG11" s="38" t="n">
        <f aca="false">COUNTIF(A11:AI11,"*$M*")</f>
        <v>0</v>
      </c>
      <c r="BH11" s="38" t="n">
        <f aca="false">BG11*1</f>
        <v>0</v>
      </c>
      <c r="BI11" s="38" t="n">
        <f aca="false">COUNTIF(A11:AI11,"*$PM*")</f>
        <v>0</v>
      </c>
      <c r="BJ11" s="38" t="n">
        <f aca="false">BI11*0.5</f>
        <v>0</v>
      </c>
      <c r="BK11" s="38" t="n">
        <f aca="false">COUNTIF(A11:AI11,"*$AM*")</f>
        <v>0</v>
      </c>
      <c r="BL11" s="38" t="n">
        <f aca="false">BK11*0.5</f>
        <v>0</v>
      </c>
      <c r="BM11" s="38" t="n">
        <f aca="false">COUNTIF(A11:AI11,"*$FC*")</f>
        <v>0</v>
      </c>
      <c r="BN11" s="38" t="n">
        <f aca="false">BM11*1</f>
        <v>0</v>
      </c>
      <c r="BO11" s="38" t="n">
        <f aca="false">COUNTIF($D11:$AA11,BO$4)</f>
        <v>0</v>
      </c>
      <c r="BP11" s="38" t="n">
        <f aca="false">COUNTIF($D11:$AA11,BP$4)</f>
        <v>0</v>
      </c>
      <c r="BQ11" s="38" t="n">
        <f aca="false">COUNTIF($D11:$AA11,BQ$4)</f>
        <v>0</v>
      </c>
      <c r="BR11" s="185"/>
    </row>
    <row r="12" customFormat="false" ht="19.5" hidden="false" customHeight="true" outlineLevel="0" collapsed="false">
      <c r="A12" s="176"/>
      <c r="B12" s="196" t="s">
        <v>575</v>
      </c>
      <c r="C12" s="92"/>
      <c r="D12" s="92"/>
      <c r="E12" s="188" t="s">
        <v>576</v>
      </c>
      <c r="F12" s="92" t="s">
        <v>350</v>
      </c>
      <c r="G12" s="181" t="s">
        <v>577</v>
      </c>
      <c r="H12" s="92" t="s">
        <v>58</v>
      </c>
      <c r="I12" s="188"/>
      <c r="J12" s="181"/>
      <c r="K12" s="187" t="s">
        <v>176</v>
      </c>
      <c r="L12" s="187" t="s">
        <v>176</v>
      </c>
      <c r="M12" s="187" t="s">
        <v>176</v>
      </c>
      <c r="O12" s="46" t="s">
        <v>55</v>
      </c>
      <c r="P12" s="92"/>
      <c r="Q12" s="92"/>
      <c r="R12" s="188"/>
      <c r="S12" s="188"/>
      <c r="T12" s="188"/>
      <c r="U12" s="188" t="s">
        <v>578</v>
      </c>
      <c r="V12" s="188" t="s">
        <v>56</v>
      </c>
      <c r="W12" s="188"/>
      <c r="X12" s="188"/>
      <c r="Y12" s="188"/>
      <c r="Z12" s="188" t="s">
        <v>65</v>
      </c>
      <c r="AA12" s="92" t="s">
        <v>579</v>
      </c>
      <c r="AB12" s="91" t="s">
        <v>580</v>
      </c>
      <c r="AC12" s="188" t="s">
        <v>581</v>
      </c>
      <c r="AD12" s="92"/>
      <c r="AE12" s="188"/>
      <c r="AF12" s="188"/>
      <c r="AG12" s="188"/>
      <c r="AH12" s="32"/>
      <c r="AI12" s="182" t="n">
        <f aca="false">COUNTIF($D12:$AE12,AI$4)</f>
        <v>0</v>
      </c>
      <c r="AJ12" s="183" t="n">
        <f aca="false">COUNTIF($D12:$AE12,AJ$4)</f>
        <v>1</v>
      </c>
      <c r="AK12" s="182" t="n">
        <f aca="false">COUNTIF($D12:$AE12,AK$4)</f>
        <v>0</v>
      </c>
      <c r="AL12" s="182" t="n">
        <f aca="false">COUNTIF($D12:$AE12,AL$4)</f>
        <v>0</v>
      </c>
      <c r="AM12" s="38" t="n">
        <f aca="false">COUNTIF($D12:$AE12,AM$4)</f>
        <v>1</v>
      </c>
      <c r="AN12" s="38" t="n">
        <f aca="false">COUNTIF($D12:$AE12,AN$4)</f>
        <v>0</v>
      </c>
      <c r="AO12" s="38" t="n">
        <f aca="false">COUNTIF($D12:$AE12,AO$4)</f>
        <v>1</v>
      </c>
      <c r="AP12" s="38" t="n">
        <f aca="false">COUNTIF($D12:$AE12,AP$4)</f>
        <v>1</v>
      </c>
      <c r="AQ12" s="38" t="n">
        <f aca="false">COUNTIF($D12:$AE12,AQ$4)</f>
        <v>0</v>
      </c>
      <c r="AR12" s="38"/>
      <c r="AS12" s="184" t="n">
        <v>1.5</v>
      </c>
      <c r="AT12" s="184"/>
      <c r="AU12" s="38" t="n">
        <f aca="false">SUMPRODUCT(--(WEEKDAY(C$3:AG$3,2)&lt;5),--ISNUMBER(MATCH(C12:AG12,{"DM","CS1","CS2","SB1","AE","CS/B"},0)))</f>
        <v>1</v>
      </c>
      <c r="AV12" s="38"/>
      <c r="AW12" s="38" t="n">
        <f aca="false">SUMPRODUCT(--(WEEKDAY(C$3:AG$3,2)=5),--ISNUMBER(MATCH(C12:AG12,{"DM","CS1","CS2","SB1","AE","CS/B"},0)))</f>
        <v>2</v>
      </c>
      <c r="AX12" s="38" t="n">
        <f aca="false">SUMPRODUCT(--(WEEKDAY(C$3:AG$3,2)&gt;5),--ISNUMBER(MATCH(C12:AG12,{"DM","CS1","CS2","SB1","AE","CS/B"},0)))</f>
        <v>0</v>
      </c>
      <c r="AY12" s="38"/>
      <c r="AZ12" s="38" t="n">
        <f aca="false">(AU12-AV12)+AW12*1.5+(AX12-AY12)*2+AN12*0.5+AP12*0.5+AS12-AT12</f>
        <v>6</v>
      </c>
      <c r="BA12" s="38" t="n">
        <f aca="false">AU12+AW12+AX12</f>
        <v>3</v>
      </c>
      <c r="BB12" s="38" t="n">
        <f aca="false">BE12+BG12+BI12+BK12+BM12</f>
        <v>3</v>
      </c>
      <c r="BC12" s="184" t="n">
        <f aca="false">AZ12+BD12</f>
        <v>7.5</v>
      </c>
      <c r="BD12" s="38" t="n">
        <f aca="false">BF12+BH12+BJ12+BL12+BN12</f>
        <v>1.5</v>
      </c>
      <c r="BE12" s="38" t="n">
        <f aca="false">COUNTIF(A12:AI12,"*$BTP*")</f>
        <v>0</v>
      </c>
      <c r="BF12" s="38" t="n">
        <f aca="false">BE12*1.5</f>
        <v>0</v>
      </c>
      <c r="BG12" s="38" t="n">
        <f aca="false">COUNTIF(A12:AI12,"*$M*")</f>
        <v>0</v>
      </c>
      <c r="BH12" s="38" t="n">
        <f aca="false">BG12*1</f>
        <v>0</v>
      </c>
      <c r="BI12" s="38" t="n">
        <f aca="false">COUNTIF(A12:AI12,"*$PM*")</f>
        <v>1</v>
      </c>
      <c r="BJ12" s="38" t="n">
        <f aca="false">BI12*0.5</f>
        <v>0.5</v>
      </c>
      <c r="BK12" s="38" t="n">
        <f aca="false">COUNTIF(A12:AI12,"*$AM*")</f>
        <v>2</v>
      </c>
      <c r="BL12" s="38" t="n">
        <f aca="false">BK12*0.5</f>
        <v>1</v>
      </c>
      <c r="BM12" s="38" t="n">
        <f aca="false">COUNTIF(A12:AI12,"*$FC*")</f>
        <v>0</v>
      </c>
      <c r="BN12" s="38" t="n">
        <f aca="false">BM12*1</f>
        <v>0</v>
      </c>
      <c r="BO12" s="38" t="n">
        <f aca="false">COUNTIF($D12:$AA12,BO$4)</f>
        <v>0</v>
      </c>
      <c r="BP12" s="38" t="n">
        <f aca="false">COUNTIF($D12:$AA12,BP$4)</f>
        <v>1</v>
      </c>
      <c r="BQ12" s="38" t="n">
        <f aca="false">COUNTIF($D12:$AA12,BQ$4)</f>
        <v>1</v>
      </c>
      <c r="BR12" s="185"/>
    </row>
    <row r="13" customFormat="false" ht="19.5" hidden="false" customHeight="true" outlineLevel="0" collapsed="false">
      <c r="A13" s="176"/>
      <c r="B13" s="197" t="s">
        <v>475</v>
      </c>
      <c r="C13" s="181"/>
      <c r="D13" s="92"/>
      <c r="E13" s="92"/>
      <c r="F13" s="92"/>
      <c r="G13" s="92"/>
      <c r="H13" s="181"/>
      <c r="I13" s="181"/>
      <c r="J13" s="181"/>
      <c r="K13" s="181"/>
      <c r="L13" s="181"/>
      <c r="M13" s="181"/>
      <c r="N13" s="181"/>
      <c r="O13" s="181"/>
      <c r="P13" s="181"/>
      <c r="Q13" s="181"/>
      <c r="R13" s="181"/>
      <c r="S13" s="181"/>
      <c r="T13" s="181"/>
      <c r="U13" s="181" t="s">
        <v>55</v>
      </c>
      <c r="V13" s="181" t="s">
        <v>55</v>
      </c>
      <c r="W13" s="181"/>
      <c r="X13" s="181"/>
      <c r="Y13" s="181"/>
      <c r="Z13" s="181"/>
      <c r="AA13" s="181"/>
      <c r="AB13" s="181"/>
      <c r="AC13" s="181" t="s">
        <v>55</v>
      </c>
      <c r="AD13" s="181"/>
      <c r="AE13" s="181"/>
      <c r="AF13" s="181"/>
      <c r="AG13" s="181"/>
      <c r="AH13" s="32"/>
      <c r="AI13" s="182" t="n">
        <f aca="false">COUNTIF($D13:$AE13,AI$4)</f>
        <v>0</v>
      </c>
      <c r="AJ13" s="183" t="n">
        <f aca="false">COUNTIF($D13:$AE13,AJ$4)</f>
        <v>0</v>
      </c>
      <c r="AK13" s="182" t="n">
        <f aca="false">COUNTIF($D13:$AE13,AK$4)</f>
        <v>0</v>
      </c>
      <c r="AL13" s="182" t="n">
        <f aca="false">COUNTIF($D13:$AE13,AL$4)</f>
        <v>0</v>
      </c>
      <c r="AM13" s="38" t="n">
        <f aca="false">COUNTIF($D13:$AE13,AM$4)</f>
        <v>0</v>
      </c>
      <c r="AN13" s="38" t="n">
        <f aca="false">COUNTIF($D13:$AE13,AN$4)</f>
        <v>0</v>
      </c>
      <c r="AO13" s="38" t="n">
        <f aca="false">COUNTIF($D13:$AE13,AO$4)</f>
        <v>0</v>
      </c>
      <c r="AP13" s="38" t="n">
        <f aca="false">COUNTIF($D13:$AE13,AP$4)</f>
        <v>0</v>
      </c>
      <c r="AQ13" s="38" t="n">
        <f aca="false">COUNTIF($D13:$AE13,AQ$4)</f>
        <v>0</v>
      </c>
      <c r="AR13" s="38"/>
      <c r="AS13" s="184"/>
      <c r="AT13" s="184"/>
      <c r="AU13" s="38" t="n">
        <f aca="false">SUMPRODUCT(--(WEEKDAY(C$3:AG$3,2)&lt;5),--ISNUMBER(MATCH(C13:AG13,{"DM","CS1","CS2","SB1","AE","CS/B"},0)))</f>
        <v>0</v>
      </c>
      <c r="AV13" s="38"/>
      <c r="AW13" s="38" t="n">
        <f aca="false">SUMPRODUCT(--(WEEKDAY(C$3:AG$3,2)=5),--ISNUMBER(MATCH(C13:AG13,{"DM","CS1","CS2","SB1","AE","CS/B"},0)))</f>
        <v>0</v>
      </c>
      <c r="AX13" s="38" t="n">
        <f aca="false">SUMPRODUCT(--(WEEKDAY(C$3:AG$3,2)&gt;5),--ISNUMBER(MATCH(C13:AG13,{"DM","CS1","CS2","SB1","AE","CS/B"},0)))</f>
        <v>0</v>
      </c>
      <c r="AY13" s="38"/>
      <c r="AZ13" s="38" t="n">
        <f aca="false">(AU13-AV13)+AW13*1.5+(AX13-AY13)*2+AN13*0.5+AP13*0.5+AS13-AT13</f>
        <v>0</v>
      </c>
      <c r="BA13" s="38" t="n">
        <f aca="false">AU13+AW13+AX13</f>
        <v>0</v>
      </c>
      <c r="BB13" s="38" t="n">
        <f aca="false">BE13+BG13+BI13+BK13+BM13</f>
        <v>0</v>
      </c>
      <c r="BC13" s="184" t="n">
        <f aca="false">AZ13+BD13</f>
        <v>0</v>
      </c>
      <c r="BD13" s="38" t="n">
        <f aca="false">BF13+BH13+BJ13+BL13+BN13</f>
        <v>0</v>
      </c>
      <c r="BE13" s="38" t="n">
        <f aca="false">COUNTIF(A13:AI13,"*$BTP*")</f>
        <v>0</v>
      </c>
      <c r="BF13" s="38" t="n">
        <f aca="false">BE13*1.5</f>
        <v>0</v>
      </c>
      <c r="BG13" s="38" t="n">
        <f aca="false">COUNTIF(A13:AI13,"*$M*")</f>
        <v>0</v>
      </c>
      <c r="BH13" s="38" t="n">
        <f aca="false">BG13*1</f>
        <v>0</v>
      </c>
      <c r="BI13" s="38" t="n">
        <f aca="false">COUNTIF(A13:AI13,"*$PM*")</f>
        <v>0</v>
      </c>
      <c r="BJ13" s="38" t="n">
        <f aca="false">BI13*0.5</f>
        <v>0</v>
      </c>
      <c r="BK13" s="38" t="n">
        <f aca="false">COUNTIF(A13:AI13,"*$AM*")</f>
        <v>0</v>
      </c>
      <c r="BL13" s="38" t="n">
        <f aca="false">BK13*0.5</f>
        <v>0</v>
      </c>
      <c r="BM13" s="38" t="n">
        <f aca="false">COUNTIF(A13:AI13,"*$FC*")</f>
        <v>0</v>
      </c>
      <c r="BN13" s="38" t="n">
        <f aca="false">BM13*1</f>
        <v>0</v>
      </c>
      <c r="BO13" s="38" t="n">
        <f aca="false">COUNTIF($D13:$AA13,BO$4)</f>
        <v>0</v>
      </c>
      <c r="BP13" s="38" t="n">
        <f aca="false">COUNTIF($D13:$AA13,BP$4)</f>
        <v>0</v>
      </c>
      <c r="BQ13" s="38" t="n">
        <f aca="false">COUNTIF($D13:$AA13,BQ$4)</f>
        <v>2</v>
      </c>
      <c r="BR13" s="185"/>
    </row>
    <row r="14" customFormat="false" ht="19.5" hidden="false" customHeight="true" outlineLevel="0" collapsed="false">
      <c r="A14" s="176"/>
      <c r="B14" s="197" t="s">
        <v>582</v>
      </c>
      <c r="C14" s="188" t="s">
        <v>350</v>
      </c>
      <c r="D14" s="188" t="s">
        <v>93</v>
      </c>
      <c r="E14" s="92"/>
      <c r="F14" s="92"/>
      <c r="G14" s="92" t="s">
        <v>573</v>
      </c>
      <c r="H14" s="92"/>
      <c r="I14" s="92"/>
      <c r="J14" s="181"/>
      <c r="K14" s="92" t="s">
        <v>56</v>
      </c>
      <c r="L14" s="92"/>
      <c r="M14" s="188" t="s">
        <v>133</v>
      </c>
      <c r="O14" s="46" t="s">
        <v>56</v>
      </c>
      <c r="P14" s="187"/>
      <c r="R14" s="188"/>
      <c r="S14" s="188"/>
      <c r="T14" s="188"/>
      <c r="U14" s="181" t="s">
        <v>566</v>
      </c>
      <c r="V14" s="188" t="s">
        <v>573</v>
      </c>
      <c r="W14" s="198"/>
      <c r="X14" s="198" t="s">
        <v>56</v>
      </c>
      <c r="Y14" s="188"/>
      <c r="AA14" s="181" t="s">
        <v>583</v>
      </c>
      <c r="AB14" s="91" t="s">
        <v>580</v>
      </c>
      <c r="AC14" s="187"/>
      <c r="AD14" s="187"/>
      <c r="AE14" s="188"/>
      <c r="AF14" s="188"/>
      <c r="AG14" s="188"/>
      <c r="AH14" s="32"/>
      <c r="AI14" s="182" t="n">
        <f aca="false">COUNTIF($D14:$AE14,AI$4)</f>
        <v>0</v>
      </c>
      <c r="AJ14" s="183" t="n">
        <f aca="false">COUNTIF($D14:$AE14,AJ$4)</f>
        <v>3</v>
      </c>
      <c r="AK14" s="182" t="n">
        <f aca="false">COUNTIF($D14:$AE14,AK$4)</f>
        <v>0</v>
      </c>
      <c r="AL14" s="182" t="n">
        <f aca="false">COUNTIF($D14:$AE14,AL$4)</f>
        <v>1</v>
      </c>
      <c r="AM14" s="38" t="n">
        <f aca="false">COUNTIF($D14:$AE14,AM$4)</f>
        <v>0</v>
      </c>
      <c r="AN14" s="38" t="n">
        <f aca="false">COUNTIF($D14:$AE14,AN$4)</f>
        <v>1</v>
      </c>
      <c r="AO14" s="38" t="n">
        <f aca="false">COUNTIF($D14:$AE14,AO$4)</f>
        <v>0</v>
      </c>
      <c r="AP14" s="38" t="n">
        <f aca="false">COUNTIF($D14:$AE14,AP$4)</f>
        <v>0</v>
      </c>
      <c r="AQ14" s="38" t="n">
        <f aca="false">COUNTIF($D14:$AE14,AQ$4)</f>
        <v>0</v>
      </c>
      <c r="AR14" s="38"/>
      <c r="AS14" s="184"/>
      <c r="AT14" s="184" t="n">
        <v>0.5</v>
      </c>
      <c r="AU14" s="38" t="n">
        <f aca="false">SUMPRODUCT(--(WEEKDAY(C$3:AG$3,2)&lt;5),--ISNUMBER(MATCH(C14:AG14,{"DM","CS1","CS2","SB1","AE","CS/B"},0)))</f>
        <v>2</v>
      </c>
      <c r="AV14" s="38"/>
      <c r="AW14" s="38" t="n">
        <f aca="false">SUMPRODUCT(--(WEEKDAY(C$3:AG$3,2)=5),--ISNUMBER(MATCH(C14:AG14,{"DM","CS1","CS2","SB1","AE","CS/B"},0)))</f>
        <v>1</v>
      </c>
      <c r="AX14" s="38" t="n">
        <f aca="false">SUMPRODUCT(--(WEEKDAY(C$3:AG$3,2)&gt;5),--ISNUMBER(MATCH(C14:AG14,{"DM","CS1","CS2","SB1","AE","CS/B"},0)))</f>
        <v>1</v>
      </c>
      <c r="AY14" s="38"/>
      <c r="AZ14" s="38" t="n">
        <f aca="false">(AU14-AV14)+AW14*1.5+(AX14-AY14)*2+AN14*0.5+AP14*0.5+AS14-AT14</f>
        <v>5.5</v>
      </c>
      <c r="BA14" s="38" t="n">
        <f aca="false">AU14+AW14+AX14</f>
        <v>4</v>
      </c>
      <c r="BB14" s="38" t="n">
        <f aca="false">BE14+BG14+BI14+BK14+BM14</f>
        <v>2</v>
      </c>
      <c r="BC14" s="184" t="n">
        <f aca="false">AZ14+BD14</f>
        <v>6.5</v>
      </c>
      <c r="BD14" s="38" t="n">
        <f aca="false">BF14+BH14+BJ14+BL14+BN14</f>
        <v>1</v>
      </c>
      <c r="BE14" s="38" t="n">
        <f aca="false">COUNTIF(A14:AI14,"*$BTP*")</f>
        <v>0</v>
      </c>
      <c r="BF14" s="38" t="n">
        <f aca="false">BE14*1.5</f>
        <v>0</v>
      </c>
      <c r="BG14" s="38" t="n">
        <f aca="false">COUNTIF(A14:AI14,"*$M*")</f>
        <v>0</v>
      </c>
      <c r="BH14" s="38" t="n">
        <f aca="false">BG14*1</f>
        <v>0</v>
      </c>
      <c r="BI14" s="38" t="n">
        <f aca="false">COUNTIF(A14:AI14,"*$PM*")</f>
        <v>0</v>
      </c>
      <c r="BJ14" s="38" t="n">
        <f aca="false">BI14*0.5</f>
        <v>0</v>
      </c>
      <c r="BK14" s="38" t="n">
        <f aca="false">COUNTIF(A14:AI14,"*$AM*")</f>
        <v>2</v>
      </c>
      <c r="BL14" s="38" t="n">
        <f aca="false">BK14*0.5</f>
        <v>1</v>
      </c>
      <c r="BM14" s="38" t="n">
        <f aca="false">COUNTIF(A14:AI14,"*$FC*")</f>
        <v>0</v>
      </c>
      <c r="BN14" s="38" t="n">
        <f aca="false">BM14*1</f>
        <v>0</v>
      </c>
      <c r="BO14" s="38" t="n">
        <f aca="false">COUNTIF($D14:$AA14,BO$4)</f>
        <v>0</v>
      </c>
      <c r="BP14" s="38" t="n">
        <f aca="false">COUNTIF($D14:$AA14,BP$4)</f>
        <v>0</v>
      </c>
      <c r="BQ14" s="38" t="n">
        <f aca="false">COUNTIF($D14:$AA14,BQ$4)</f>
        <v>0</v>
      </c>
      <c r="BR14" s="185"/>
    </row>
    <row r="15" customFormat="false" ht="24" hidden="false" customHeight="true" outlineLevel="0" collapsed="false">
      <c r="A15" s="176"/>
      <c r="B15" s="195" t="s">
        <v>584</v>
      </c>
      <c r="C15" s="181" t="s">
        <v>56</v>
      </c>
      <c r="D15" s="181"/>
      <c r="E15" s="181" t="s">
        <v>58</v>
      </c>
      <c r="F15" s="181"/>
      <c r="G15" s="92" t="s">
        <v>573</v>
      </c>
      <c r="H15" s="92" t="s">
        <v>572</v>
      </c>
      <c r="I15" s="181" t="s">
        <v>56</v>
      </c>
      <c r="J15" s="92"/>
      <c r="K15" s="92"/>
      <c r="L15" s="92"/>
      <c r="M15" s="92"/>
      <c r="N15" s="188" t="s">
        <v>188</v>
      </c>
      <c r="O15" s="188"/>
      <c r="P15" s="181" t="s">
        <v>54</v>
      </c>
      <c r="Q15" s="181" t="s">
        <v>54</v>
      </c>
      <c r="R15" s="181" t="s">
        <v>54</v>
      </c>
      <c r="S15" s="181" t="s">
        <v>54</v>
      </c>
      <c r="T15" s="181" t="s">
        <v>54</v>
      </c>
      <c r="U15" s="92" t="s">
        <v>56</v>
      </c>
      <c r="V15" s="188"/>
      <c r="W15" s="199" t="s">
        <v>54</v>
      </c>
      <c r="X15" s="199" t="s">
        <v>54</v>
      </c>
      <c r="Y15" s="199" t="s">
        <v>54</v>
      </c>
      <c r="Z15" s="199" t="s">
        <v>54</v>
      </c>
      <c r="AA15" s="199" t="s">
        <v>54</v>
      </c>
      <c r="AB15" s="92" t="s">
        <v>93</v>
      </c>
      <c r="AC15" s="199"/>
      <c r="AD15" s="199"/>
      <c r="AE15" s="181"/>
      <c r="AF15" s="181"/>
      <c r="AG15" s="181"/>
      <c r="AH15" s="32"/>
      <c r="AI15" s="182" t="n">
        <f aca="false">COUNTIF($D15:$AE15,AI$4)</f>
        <v>0</v>
      </c>
      <c r="AJ15" s="183" t="n">
        <f aca="false">COUNTIF($D15:$AE15,AJ$4)</f>
        <v>2</v>
      </c>
      <c r="AK15" s="182" t="n">
        <f aca="false">COUNTIF($D15:$AE15,AK$4)</f>
        <v>0</v>
      </c>
      <c r="AL15" s="182" t="n">
        <f aca="false">COUNTIF($D15:$AE15,AL$4)</f>
        <v>0</v>
      </c>
      <c r="AM15" s="38" t="n">
        <f aca="false">COUNTIF($D15:$AE15,AM$4)</f>
        <v>1</v>
      </c>
      <c r="AN15" s="38" t="n">
        <f aca="false">COUNTIF($D15:$AE15,AN$4)</f>
        <v>1</v>
      </c>
      <c r="AO15" s="38" t="n">
        <f aca="false">COUNTIF($D15:$AE15,AO$4)</f>
        <v>0</v>
      </c>
      <c r="AP15" s="38" t="n">
        <f aca="false">COUNTIF($D15:$AE15,AP$4)</f>
        <v>0</v>
      </c>
      <c r="AQ15" s="38" t="n">
        <f aca="false">COUNTIF($D15:$AE15,AQ$4)</f>
        <v>0</v>
      </c>
      <c r="AR15" s="38"/>
      <c r="AS15" s="184"/>
      <c r="AT15" s="184" t="n">
        <v>0.5</v>
      </c>
      <c r="AU15" s="38" t="n">
        <f aca="false">SUMPRODUCT(--(WEEKDAY(C$3:AG$3,2)&lt;5),--ISNUMBER(MATCH(C15:AG15,{"DM","CS1","CS2","SB1","AE","CS/B"},0)))</f>
        <v>2</v>
      </c>
      <c r="AV15" s="38"/>
      <c r="AW15" s="38" t="n">
        <f aca="false">SUMPRODUCT(--(WEEKDAY(C$3:AG$3,2)=5),--ISNUMBER(MATCH(C15:AG15,{"DM","CS1","CS2","SB1","AE","CS/B"},0)))</f>
        <v>0</v>
      </c>
      <c r="AX15" s="38" t="n">
        <f aca="false">SUMPRODUCT(--(WEEKDAY(C$3:AG$3,2)&gt;5),--ISNUMBER(MATCH(C15:AG15,{"DM","CS1","CS2","SB1","AE","CS/B"},0)))</f>
        <v>2</v>
      </c>
      <c r="AY15" s="38"/>
      <c r="AZ15" s="38" t="n">
        <f aca="false">(AU15-AV15)+AW15*1.5+(AX15-AY15)*2+AN15*0.5+AP15*0.5+AS15-AT15</f>
        <v>6</v>
      </c>
      <c r="BA15" s="38" t="n">
        <f aca="false">AU15+AW15+AX15</f>
        <v>4</v>
      </c>
      <c r="BB15" s="38" t="n">
        <f aca="false">BE15+BG15+BI15+BK15+BM15</f>
        <v>1</v>
      </c>
      <c r="BC15" s="184" t="n">
        <f aca="false">AZ15+BD15</f>
        <v>6.5</v>
      </c>
      <c r="BD15" s="38" t="n">
        <f aca="false">BF15+BH15+BJ15+BL15+BN15</f>
        <v>0.5</v>
      </c>
      <c r="BE15" s="38" t="n">
        <f aca="false">COUNTIF(A15:AI15,"*$BTP*")</f>
        <v>0</v>
      </c>
      <c r="BF15" s="38" t="n">
        <f aca="false">BE15*1.5</f>
        <v>0</v>
      </c>
      <c r="BG15" s="38" t="n">
        <f aca="false">COUNTIF(A15:AI15,"*$M*")</f>
        <v>0</v>
      </c>
      <c r="BH15" s="38" t="n">
        <f aca="false">BG15*1</f>
        <v>0</v>
      </c>
      <c r="BI15" s="38" t="n">
        <f aca="false">COUNTIF(A15:AI15,"*$PM*")</f>
        <v>0</v>
      </c>
      <c r="BJ15" s="38" t="n">
        <f aca="false">BI15*0.5</f>
        <v>0</v>
      </c>
      <c r="BK15" s="38" t="n">
        <f aca="false">COUNTIF(A15:AI15,"*$AM*")</f>
        <v>1</v>
      </c>
      <c r="BL15" s="38" t="n">
        <f aca="false">BK15*0.5</f>
        <v>0.5</v>
      </c>
      <c r="BM15" s="38" t="n">
        <f aca="false">COUNTIF(A15:AI15,"*$FC*")</f>
        <v>0</v>
      </c>
      <c r="BN15" s="38" t="n">
        <f aca="false">BM15*1</f>
        <v>0</v>
      </c>
      <c r="BO15" s="38" t="n">
        <f aca="false">COUNTIF($D15:$AA15,BO$4)</f>
        <v>0</v>
      </c>
      <c r="BP15" s="38" t="n">
        <f aca="false">COUNTIF($D15:$AA15,BP$4)</f>
        <v>0</v>
      </c>
      <c r="BQ15" s="38" t="n">
        <f aca="false">COUNTIF($D15:$AA15,BQ$4)</f>
        <v>0</v>
      </c>
      <c r="BR15" s="185"/>
    </row>
    <row r="16" customFormat="false" ht="19.5" hidden="false" customHeight="true" outlineLevel="0" collapsed="false">
      <c r="A16" s="176"/>
      <c r="B16" s="200" t="s">
        <v>585</v>
      </c>
      <c r="C16" s="188"/>
      <c r="D16" s="187" t="s">
        <v>586</v>
      </c>
      <c r="E16" s="189" t="s">
        <v>587</v>
      </c>
      <c r="F16" s="189" t="s">
        <v>588</v>
      </c>
      <c r="G16" s="189" t="s">
        <v>588</v>
      </c>
      <c r="H16" s="189" t="s">
        <v>588</v>
      </c>
      <c r="I16" s="188"/>
      <c r="J16" s="188"/>
      <c r="K16" s="188" t="s">
        <v>589</v>
      </c>
      <c r="L16" s="92" t="s">
        <v>590</v>
      </c>
      <c r="M16" s="92" t="s">
        <v>573</v>
      </c>
      <c r="N16" s="92" t="s">
        <v>65</v>
      </c>
      <c r="O16" s="92" t="s">
        <v>93</v>
      </c>
      <c r="P16" s="188" t="s">
        <v>59</v>
      </c>
      <c r="Q16" s="188"/>
      <c r="R16" s="188"/>
      <c r="S16" s="188"/>
      <c r="T16" s="188"/>
      <c r="U16" s="188" t="s">
        <v>65</v>
      </c>
      <c r="V16" s="92"/>
      <c r="W16" s="188" t="s">
        <v>56</v>
      </c>
      <c r="X16" s="188"/>
      <c r="Y16" s="188"/>
      <c r="Z16" s="92"/>
      <c r="AA16" s="92" t="s">
        <v>65</v>
      </c>
      <c r="AB16" s="91" t="s">
        <v>580</v>
      </c>
      <c r="AC16" s="188" t="s">
        <v>350</v>
      </c>
      <c r="AD16" s="188"/>
      <c r="AE16" s="188"/>
      <c r="AF16" s="188"/>
      <c r="AG16" s="188"/>
      <c r="AH16" s="32"/>
      <c r="AI16" s="182" t="n">
        <f aca="false">COUNTIF($D16:$AE16,AI$4)</f>
        <v>0</v>
      </c>
      <c r="AJ16" s="183" t="n">
        <f aca="false">COUNTIF($D16:$AE16,AJ$4)</f>
        <v>1</v>
      </c>
      <c r="AK16" s="182" t="n">
        <f aca="false">COUNTIF($D16:$AE16,AK$4)</f>
        <v>1</v>
      </c>
      <c r="AL16" s="182" t="n">
        <f aca="false">COUNTIF($D16:$AE16,AL$4)</f>
        <v>0</v>
      </c>
      <c r="AM16" s="38" t="n">
        <f aca="false">COUNTIF($D16:$AE16,AM$4)</f>
        <v>0</v>
      </c>
      <c r="AN16" s="38" t="n">
        <f aca="false">COUNTIF($D16:$AE16,AN$4)</f>
        <v>1</v>
      </c>
      <c r="AO16" s="38" t="n">
        <f aca="false">COUNTIF($D16:$AE16,AO$4)</f>
        <v>3</v>
      </c>
      <c r="AP16" s="38" t="n">
        <f aca="false">COUNTIF($D16:$AE16,AP$4)</f>
        <v>0</v>
      </c>
      <c r="AQ16" s="38" t="n">
        <f aca="false">COUNTIF($D16:$AE16,AQ$4)</f>
        <v>0</v>
      </c>
      <c r="AR16" s="38"/>
      <c r="AS16" s="184"/>
      <c r="AT16" s="184" t="n">
        <v>1</v>
      </c>
      <c r="AU16" s="38" t="n">
        <f aca="false">SUMPRODUCT(--(WEEKDAY(C$3:AG$3,2)&lt;5),--ISNUMBER(MATCH(C16:AG16,{"DM","CS1","CS2","SB1","AE","CS/B"},0)))</f>
        <v>3</v>
      </c>
      <c r="AV16" s="38"/>
      <c r="AW16" s="38" t="n">
        <f aca="false">SUMPRODUCT(--(WEEKDAY(C$3:AG$3,2)=5),--ISNUMBER(MATCH(C16:AG16,{"DM","CS1","CS2","SB1","AE","CS/B"},0)))</f>
        <v>0</v>
      </c>
      <c r="AX16" s="38" t="n">
        <f aca="false">SUMPRODUCT(--(WEEKDAY(C$3:AG$3,2)&gt;5),--ISNUMBER(MATCH(C16:AG16,{"DM","CS1","CS2","SB1","AE","CS/B"},0)))</f>
        <v>2</v>
      </c>
      <c r="AY16" s="38"/>
      <c r="AZ16" s="38" t="n">
        <f aca="false">(AU16-AV16)+AW16*1.5+(AX16-AY16)*2+AN16*0.5+AP16*0.5+AS16-AT16</f>
        <v>6.5</v>
      </c>
      <c r="BA16" s="38" t="n">
        <f aca="false">AU16+AW16+AX16</f>
        <v>5</v>
      </c>
      <c r="BB16" s="38" t="n">
        <f aca="false">BE16+BG16+BI16+BK16+BM16</f>
        <v>1</v>
      </c>
      <c r="BC16" s="184" t="n">
        <f aca="false">AZ16+BD16</f>
        <v>7</v>
      </c>
      <c r="BD16" s="38" t="n">
        <f aca="false">BF16+BH16+BJ16+BL16+BN16</f>
        <v>0.5</v>
      </c>
      <c r="BE16" s="38" t="n">
        <f aca="false">COUNTIF(A16:AI16,"*$BTP*")</f>
        <v>0</v>
      </c>
      <c r="BF16" s="38" t="n">
        <f aca="false">BE16*1.5</f>
        <v>0</v>
      </c>
      <c r="BG16" s="38" t="n">
        <f aca="false">COUNTIF(A16:AI16,"*$M*")</f>
        <v>0</v>
      </c>
      <c r="BH16" s="38" t="n">
        <f aca="false">BG16*1</f>
        <v>0</v>
      </c>
      <c r="BI16" s="38" t="n">
        <f aca="false">COUNTIF(A16:AI16,"*$PM*")</f>
        <v>0</v>
      </c>
      <c r="BJ16" s="38" t="n">
        <f aca="false">BI16*0.5</f>
        <v>0</v>
      </c>
      <c r="BK16" s="38" t="n">
        <f aca="false">COUNTIF(A16:AI16,"*$AM*")</f>
        <v>1</v>
      </c>
      <c r="BL16" s="38" t="n">
        <f aca="false">BK16*0.5</f>
        <v>0.5</v>
      </c>
      <c r="BM16" s="38" t="n">
        <f aca="false">COUNTIF(A16:AI16,"*$FC*")</f>
        <v>0</v>
      </c>
      <c r="BN16" s="38" t="n">
        <f aca="false">BM16*1</f>
        <v>0</v>
      </c>
      <c r="BO16" s="38" t="n">
        <f aca="false">COUNTIF($D16:$AA16,BO$4)</f>
        <v>0</v>
      </c>
      <c r="BP16" s="38" t="n">
        <f aca="false">COUNTIF($D16:$AA16,BP$4)</f>
        <v>0</v>
      </c>
      <c r="BQ16" s="38" t="n">
        <f aca="false">COUNTIF($D16:$AA16,BQ$4)</f>
        <v>4</v>
      </c>
      <c r="BR16" s="185"/>
    </row>
    <row r="17" customFormat="false" ht="19.5" hidden="false" customHeight="true" outlineLevel="0" collapsed="false">
      <c r="A17" s="176"/>
      <c r="B17" s="196" t="s">
        <v>591</v>
      </c>
      <c r="C17" s="181" t="s">
        <v>409</v>
      </c>
      <c r="D17" s="181" t="s">
        <v>409</v>
      </c>
      <c r="E17" s="181" t="s">
        <v>409</v>
      </c>
      <c r="F17" s="181" t="s">
        <v>409</v>
      </c>
      <c r="G17" s="181" t="s">
        <v>409</v>
      </c>
      <c r="H17" s="181" t="s">
        <v>409</v>
      </c>
      <c r="I17" s="181" t="s">
        <v>409</v>
      </c>
      <c r="J17" s="181" t="s">
        <v>409</v>
      </c>
      <c r="K17" s="181" t="s">
        <v>409</v>
      </c>
      <c r="L17" s="181" t="s">
        <v>409</v>
      </c>
      <c r="M17" s="181" t="s">
        <v>409</v>
      </c>
      <c r="N17" s="181" t="s">
        <v>409</v>
      </c>
      <c r="O17" s="181" t="s">
        <v>409</v>
      </c>
      <c r="P17" s="181" t="s">
        <v>409</v>
      </c>
      <c r="Q17" s="181" t="s">
        <v>409</v>
      </c>
      <c r="R17" s="181" t="s">
        <v>409</v>
      </c>
      <c r="S17" s="181" t="s">
        <v>409</v>
      </c>
      <c r="T17" s="181" t="s">
        <v>409</v>
      </c>
      <c r="U17" s="181" t="s">
        <v>409</v>
      </c>
      <c r="V17" s="181" t="s">
        <v>409</v>
      </c>
      <c r="W17" s="181" t="s">
        <v>409</v>
      </c>
      <c r="X17" s="181" t="s">
        <v>409</v>
      </c>
      <c r="Y17" s="181" t="s">
        <v>409</v>
      </c>
      <c r="Z17" s="181" t="s">
        <v>409</v>
      </c>
      <c r="AA17" s="181" t="s">
        <v>409</v>
      </c>
      <c r="AB17" s="181" t="s">
        <v>409</v>
      </c>
      <c r="AC17" s="181" t="s">
        <v>409</v>
      </c>
      <c r="AD17" s="181" t="s">
        <v>409</v>
      </c>
      <c r="AE17" s="181" t="s">
        <v>409</v>
      </c>
      <c r="AF17" s="181" t="s">
        <v>409</v>
      </c>
      <c r="AG17" s="181" t="s">
        <v>409</v>
      </c>
      <c r="AH17" s="181" t="s">
        <v>409</v>
      </c>
      <c r="AI17" s="182" t="n">
        <f aca="false">COUNTIF($D17:$AE17,AI$4)</f>
        <v>0</v>
      </c>
      <c r="AJ17" s="183" t="n">
        <f aca="false">COUNTIF($D17:$AE17,AJ$4)</f>
        <v>0</v>
      </c>
      <c r="AK17" s="182" t="n">
        <f aca="false">COUNTIF($D17:$AE17,AK$4)</f>
        <v>0</v>
      </c>
      <c r="AL17" s="182" t="n">
        <f aca="false">COUNTIF($D17:$AE17,AL$4)</f>
        <v>0</v>
      </c>
      <c r="AM17" s="38" t="n">
        <f aca="false">COUNTIF($D17:$AE17,AM$4)</f>
        <v>0</v>
      </c>
      <c r="AN17" s="38" t="n">
        <f aca="false">COUNTIF($D17:$AE17,AN$4)</f>
        <v>0</v>
      </c>
      <c r="AO17" s="38" t="n">
        <f aca="false">COUNTIF($D17:$AE17,AO$4)</f>
        <v>0</v>
      </c>
      <c r="AP17" s="38" t="n">
        <f aca="false">COUNTIF($D17:$AE17,AP$4)</f>
        <v>0</v>
      </c>
      <c r="AQ17" s="38" t="n">
        <f aca="false">COUNTIF($D17:$AE17,AQ$4)</f>
        <v>0</v>
      </c>
      <c r="AR17" s="38"/>
      <c r="AS17" s="184"/>
      <c r="AT17" s="184"/>
      <c r="AU17" s="38" t="n">
        <f aca="false">SUMPRODUCT(--(WEEKDAY(C$3:AG$3,2)&lt;5),--ISNUMBER(MATCH(C17:AG17,{"DM","CS1","CS2","SB1","AE","CS/B"},0)))</f>
        <v>0</v>
      </c>
      <c r="AV17" s="38"/>
      <c r="AW17" s="38" t="n">
        <f aca="false">SUMPRODUCT(--(WEEKDAY(C$3:AG$3,2)=5),--ISNUMBER(MATCH(C17:AG17,{"DM","CS1","CS2","SB1","AE","CS/B"},0)))</f>
        <v>0</v>
      </c>
      <c r="AX17" s="38" t="n">
        <f aca="false">SUMPRODUCT(--(WEEKDAY(C$3:AG$3,2)&gt;5),--ISNUMBER(MATCH(C17:AG17,{"DM","CS1","CS2","SB1","AE","CS/B"},0)))</f>
        <v>0</v>
      </c>
      <c r="AY17" s="38"/>
      <c r="AZ17" s="38" t="n">
        <f aca="false">(AU17-AV17)+AW17*1.5+(AX17-AY17)*2+AN17*0.5+AP17*0.5+AS17-AT17</f>
        <v>0</v>
      </c>
      <c r="BA17" s="38" t="n">
        <f aca="false">AU17+AW17+AX17</f>
        <v>0</v>
      </c>
      <c r="BB17" s="38" t="n">
        <f aca="false">BE17+BG17+BI17+BK17+BM17</f>
        <v>0</v>
      </c>
      <c r="BC17" s="184" t="n">
        <f aca="false">AZ17+BD17</f>
        <v>0</v>
      </c>
      <c r="BD17" s="38" t="n">
        <f aca="false">BF17+BH17+BJ17+BL17+BN17</f>
        <v>0</v>
      </c>
      <c r="BE17" s="38" t="n">
        <f aca="false">COUNTIF(A17:AI17,"*$BTP*")</f>
        <v>0</v>
      </c>
      <c r="BF17" s="38" t="n">
        <f aca="false">BE17*1.5</f>
        <v>0</v>
      </c>
      <c r="BG17" s="38" t="n">
        <f aca="false">COUNTIF(A17:AI17,"*$M*")</f>
        <v>0</v>
      </c>
      <c r="BH17" s="38" t="n">
        <f aca="false">BG17*1</f>
        <v>0</v>
      </c>
      <c r="BI17" s="38" t="n">
        <f aca="false">COUNTIF(A17:AI17,"*$PM*")</f>
        <v>0</v>
      </c>
      <c r="BJ17" s="38" t="n">
        <f aca="false">BI17*0.5</f>
        <v>0</v>
      </c>
      <c r="BK17" s="38" t="n">
        <f aca="false">COUNTIF(A17:AI17,"*$AM*")</f>
        <v>0</v>
      </c>
      <c r="BL17" s="38" t="n">
        <f aca="false">BK17*0.5</f>
        <v>0</v>
      </c>
      <c r="BM17" s="38" t="n">
        <f aca="false">COUNTIF(A17:AI17,"*$FC*")</f>
        <v>0</v>
      </c>
      <c r="BN17" s="38" t="n">
        <f aca="false">BM17*1</f>
        <v>0</v>
      </c>
      <c r="BO17" s="38" t="n">
        <f aca="false">COUNTIF($D17:$AA17,BO$4)</f>
        <v>0</v>
      </c>
      <c r="BP17" s="38" t="n">
        <f aca="false">COUNTIF($D17:$AA17,BP$4)</f>
        <v>0</v>
      </c>
      <c r="BQ17" s="38" t="n">
        <f aca="false">COUNTIF($D17:$AA17,BQ$4)</f>
        <v>0</v>
      </c>
      <c r="BR17" s="185"/>
    </row>
    <row r="18" customFormat="false" ht="19.5" hidden="false" customHeight="true" outlineLevel="0" collapsed="false">
      <c r="A18" s="176"/>
      <c r="B18" s="201" t="s">
        <v>592</v>
      </c>
      <c r="C18" s="188"/>
      <c r="D18" s="188" t="s">
        <v>57</v>
      </c>
      <c r="E18" s="188"/>
      <c r="F18" s="188" t="s">
        <v>56</v>
      </c>
      <c r="G18" s="92"/>
      <c r="H18" s="181" t="s">
        <v>93</v>
      </c>
      <c r="I18" s="92"/>
      <c r="J18" s="92" t="s">
        <v>350</v>
      </c>
      <c r="K18" s="92" t="s">
        <v>566</v>
      </c>
      <c r="L18" s="188"/>
      <c r="N18" s="92"/>
      <c r="O18" s="92" t="s">
        <v>350</v>
      </c>
      <c r="P18" s="188"/>
      <c r="Q18" s="188" t="s">
        <v>566</v>
      </c>
      <c r="R18" s="188"/>
      <c r="S18" s="188"/>
      <c r="T18" s="188"/>
      <c r="U18" s="188" t="s">
        <v>57</v>
      </c>
      <c r="V18" s="92" t="s">
        <v>93</v>
      </c>
      <c r="W18" s="188" t="s">
        <v>59</v>
      </c>
      <c r="X18" s="92"/>
      <c r="Y18" s="188"/>
      <c r="Z18" s="92" t="s">
        <v>58</v>
      </c>
      <c r="AA18" s="92"/>
      <c r="AB18" s="181" t="s">
        <v>56</v>
      </c>
      <c r="AD18" s="188"/>
      <c r="AE18" s="188"/>
      <c r="AF18" s="188"/>
      <c r="AG18" s="188"/>
      <c r="AH18" s="32"/>
      <c r="AI18" s="182" t="n">
        <f aca="false">COUNTIF($D18:$AE18,AI$4)</f>
        <v>2</v>
      </c>
      <c r="AJ18" s="183" t="n">
        <f aca="false">COUNTIF($D18:$AE18,AJ$4)</f>
        <v>2</v>
      </c>
      <c r="AK18" s="182" t="n">
        <f aca="false">COUNTIF($D18:$AE18,AK$4)</f>
        <v>1</v>
      </c>
      <c r="AL18" s="182" t="n">
        <f aca="false">COUNTIF($D18:$AE18,AL$4)</f>
        <v>2</v>
      </c>
      <c r="AM18" s="38" t="n">
        <f aca="false">COUNTIF($D18:$AE18,AM$4)</f>
        <v>1</v>
      </c>
      <c r="AN18" s="38" t="n">
        <f aca="false">COUNTIF($D18:$AE18,AN$4)</f>
        <v>2</v>
      </c>
      <c r="AO18" s="38" t="n">
        <f aca="false">COUNTIF($D18:$AE18,AO$4)</f>
        <v>0</v>
      </c>
      <c r="AP18" s="38" t="n">
        <f aca="false">COUNTIF($D18:$AE18,AP$4)</f>
        <v>0</v>
      </c>
      <c r="AQ18" s="38" t="n">
        <f aca="false">COUNTIF($D18:$AE18,AQ$4)</f>
        <v>0</v>
      </c>
      <c r="AR18" s="38"/>
      <c r="AS18" s="184"/>
      <c r="AT18" s="184"/>
      <c r="AU18" s="38" t="n">
        <f aca="false">SUMPRODUCT(--(WEEKDAY(C$3:AG$3,2)&lt;5),--ISNUMBER(MATCH(C18:AG18,{"DM","CS1","CS2","SB1","AE","CS/B"},0)))</f>
        <v>6</v>
      </c>
      <c r="AV18" s="38"/>
      <c r="AW18" s="38" t="n">
        <f aca="false">SUMPRODUCT(--(WEEKDAY(C$3:AG$3,2)=5),--ISNUMBER(MATCH(C18:AG18,{"DM","CS1","CS2","SB1","AE","CS/B"},0)))</f>
        <v>0</v>
      </c>
      <c r="AX18" s="38" t="n">
        <f aca="false">SUMPRODUCT(--(WEEKDAY(C$3:AG$3,2)&gt;5),--ISNUMBER(MATCH(C18:AG18,{"DM","CS1","CS2","SB1","AE","CS/B"},0)))</f>
        <v>2</v>
      </c>
      <c r="AY18" s="38"/>
      <c r="AZ18" s="38" t="n">
        <f aca="false">(AU18-AV18)+AW18*1.5+(AX18-AY18)*2+AN18*0.5+AP18*0.5+AS18-AT18</f>
        <v>11</v>
      </c>
      <c r="BA18" s="38" t="n">
        <f aca="false">AU18+AW18+AX18</f>
        <v>8</v>
      </c>
      <c r="BB18" s="38" t="n">
        <f aca="false">BE18+BG18+BI18+BK18+BM18</f>
        <v>0</v>
      </c>
      <c r="BC18" s="184" t="n">
        <f aca="false">AZ18+BD18</f>
        <v>11</v>
      </c>
      <c r="BD18" s="38" t="n">
        <f aca="false">BF18+BH18+BJ18+BL18+BN18</f>
        <v>0</v>
      </c>
      <c r="BE18" s="38" t="n">
        <f aca="false">COUNTIF(A18:AI18,"*$BTP*")</f>
        <v>0</v>
      </c>
      <c r="BF18" s="38" t="n">
        <f aca="false">BE18*1.5</f>
        <v>0</v>
      </c>
      <c r="BG18" s="38" t="n">
        <f aca="false">COUNTIF(A18:AI18,"*$M*")</f>
        <v>0</v>
      </c>
      <c r="BH18" s="38" t="n">
        <f aca="false">BG18*1</f>
        <v>0</v>
      </c>
      <c r="BI18" s="38" t="n">
        <f aca="false">COUNTIF(A18:AI18,"*$PM*")</f>
        <v>0</v>
      </c>
      <c r="BJ18" s="38" t="n">
        <f aca="false">BI18*0.5</f>
        <v>0</v>
      </c>
      <c r="BK18" s="38" t="n">
        <f aca="false">COUNTIF(A18:AI18,"*$AM*")</f>
        <v>0</v>
      </c>
      <c r="BL18" s="38" t="n">
        <f aca="false">BK18*0.5</f>
        <v>0</v>
      </c>
      <c r="BM18" s="38" t="n">
        <f aca="false">COUNTIF(A18:AI18,"*$FC*")</f>
        <v>0</v>
      </c>
      <c r="BN18" s="38" t="n">
        <f aca="false">BM18*1</f>
        <v>0</v>
      </c>
      <c r="BO18" s="38" t="n">
        <f aca="false">COUNTIF($D18:$AA18,BO$4)</f>
        <v>0</v>
      </c>
      <c r="BP18" s="38" t="n">
        <f aca="false">COUNTIF($D18:$AA18,BP$4)</f>
        <v>2</v>
      </c>
      <c r="BQ18" s="38" t="n">
        <f aca="false">COUNTIF($D18:$AA18,BQ$4)</f>
        <v>0</v>
      </c>
      <c r="BR18" s="185"/>
    </row>
    <row r="19" customFormat="false" ht="30.75" hidden="false" customHeight="true" outlineLevel="0" collapsed="false">
      <c r="A19" s="176"/>
      <c r="B19" s="202" t="s">
        <v>467</v>
      </c>
      <c r="C19" s="199" t="s">
        <v>569</v>
      </c>
      <c r="D19" s="181"/>
      <c r="E19" s="181"/>
      <c r="F19" s="181"/>
      <c r="G19" s="181"/>
      <c r="H19" s="181"/>
      <c r="I19" s="181"/>
      <c r="J19" s="181"/>
      <c r="K19" s="181"/>
      <c r="L19" s="181"/>
      <c r="M19" s="199" t="s">
        <v>593</v>
      </c>
      <c r="N19" s="189" t="s">
        <v>54</v>
      </c>
      <c r="O19" s="189" t="s">
        <v>54</v>
      </c>
      <c r="P19" s="189" t="s">
        <v>54</v>
      </c>
      <c r="Q19" s="189" t="s">
        <v>54</v>
      </c>
      <c r="R19" s="199" t="s">
        <v>570</v>
      </c>
      <c r="S19" s="181"/>
      <c r="T19" s="181"/>
      <c r="U19" s="92"/>
      <c r="W19" s="181"/>
      <c r="X19" s="181"/>
      <c r="Y19" s="181"/>
      <c r="Z19" s="181"/>
      <c r="AA19" s="181"/>
      <c r="AB19" s="181"/>
      <c r="AD19" s="181"/>
      <c r="AE19" s="181"/>
      <c r="AF19" s="203"/>
      <c r="AG19" s="181"/>
      <c r="AH19" s="91"/>
      <c r="AI19" s="182" t="n">
        <f aca="false">COUNTIF($D19:$AE19,AI$4)</f>
        <v>0</v>
      </c>
      <c r="AJ19" s="183" t="n">
        <f aca="false">COUNTIF($D19:$AE19,AJ$4)</f>
        <v>0</v>
      </c>
      <c r="AK19" s="182" t="n">
        <f aca="false">COUNTIF($D19:$AE19,AK$4)</f>
        <v>0</v>
      </c>
      <c r="AL19" s="182" t="n">
        <f aca="false">COUNTIF($D19:$AE19,AL$4)</f>
        <v>0</v>
      </c>
      <c r="AM19" s="38" t="n">
        <f aca="false">COUNTIF($D19:$AE19,AM$4)</f>
        <v>0</v>
      </c>
      <c r="AN19" s="38" t="n">
        <f aca="false">COUNTIF($D19:$AE19,AN$4)</f>
        <v>0</v>
      </c>
      <c r="AO19" s="38" t="n">
        <f aca="false">COUNTIF($D19:$AE19,AO$4)</f>
        <v>0</v>
      </c>
      <c r="AP19" s="38" t="n">
        <f aca="false">COUNTIF($D19:$AE19,AP$4)</f>
        <v>0</v>
      </c>
      <c r="AQ19" s="38" t="n">
        <f aca="false">COUNTIF($D19:$AE19,AQ$4)</f>
        <v>0</v>
      </c>
      <c r="AR19" s="38"/>
      <c r="AS19" s="184"/>
      <c r="AT19" s="184"/>
      <c r="AU19" s="38" t="n">
        <f aca="false">SUMPRODUCT(--(WEEKDAY(C$3:AG$3,2)&lt;5),--ISNUMBER(MATCH(C19:AG19,{"DM","CS1","CS2","SB1","AE","CS/B"},0)))</f>
        <v>0</v>
      </c>
      <c r="AV19" s="38"/>
      <c r="AW19" s="38" t="n">
        <f aca="false">SUMPRODUCT(--(WEEKDAY(C$3:AG$3,2)=5),--ISNUMBER(MATCH(C19:AG19,{"DM","CS1","CS2","SB1","AE","CS/B"},0)))</f>
        <v>0</v>
      </c>
      <c r="AX19" s="38" t="n">
        <f aca="false">SUMPRODUCT(--(WEEKDAY(C$3:AG$3,2)&gt;5),--ISNUMBER(MATCH(C19:AG19,{"DM","CS1","CS2","SB1","AE","CS/B"},0)))</f>
        <v>0</v>
      </c>
      <c r="AY19" s="38"/>
      <c r="AZ19" s="38" t="n">
        <f aca="false">(AU19-AV19)+AW19*1.5+(AX19-AY19)*2+AN19*0.5+AP19*0.5+AS19-AT19</f>
        <v>0</v>
      </c>
      <c r="BA19" s="38" t="n">
        <f aca="false">AU19+AW19+AX19</f>
        <v>0</v>
      </c>
      <c r="BB19" s="38" t="n">
        <f aca="false">BE19+BG19+BI19+BK19+BM19</f>
        <v>0</v>
      </c>
      <c r="BC19" s="184" t="n">
        <f aca="false">AZ19+BD19</f>
        <v>0</v>
      </c>
      <c r="BD19" s="38" t="n">
        <f aca="false">BF19+BH19+BJ19+BL19+BN19</f>
        <v>0</v>
      </c>
      <c r="BE19" s="38" t="n">
        <f aca="false">COUNTIF(A19:AI19,"*$BTP*")</f>
        <v>0</v>
      </c>
      <c r="BF19" s="38" t="n">
        <f aca="false">BE19*1.5</f>
        <v>0</v>
      </c>
      <c r="BG19" s="38" t="n">
        <f aca="false">COUNTIF(A19:AI19,"*$M*")</f>
        <v>0</v>
      </c>
      <c r="BH19" s="38" t="n">
        <f aca="false">BG19*1</f>
        <v>0</v>
      </c>
      <c r="BI19" s="38" t="n">
        <f aca="false">COUNTIF(A19:AI19,"*$PM*")</f>
        <v>0</v>
      </c>
      <c r="BJ19" s="38" t="n">
        <f aca="false">BI19*0.5</f>
        <v>0</v>
      </c>
      <c r="BK19" s="38" t="n">
        <f aca="false">COUNTIF(A19:AI19,"*$AM*")</f>
        <v>0</v>
      </c>
      <c r="BL19" s="38" t="n">
        <f aca="false">BK19*0.5</f>
        <v>0</v>
      </c>
      <c r="BM19" s="38" t="n">
        <f aca="false">COUNTIF(A19:AI19,"*$FC*")</f>
        <v>0</v>
      </c>
      <c r="BN19" s="38" t="n">
        <f aca="false">BM19*1</f>
        <v>0</v>
      </c>
      <c r="BO19" s="38" t="n">
        <f aca="false">COUNTIF($D19:$AA19,BO$4)</f>
        <v>0</v>
      </c>
      <c r="BP19" s="38" t="n">
        <f aca="false">COUNTIF($D19:$AA19,BP$4)</f>
        <v>0</v>
      </c>
      <c r="BQ19" s="38" t="n">
        <f aca="false">COUNTIF($D19:$AA19,BQ$4)</f>
        <v>0</v>
      </c>
      <c r="BR19" s="185"/>
    </row>
    <row r="20" customFormat="false" ht="27.75" hidden="false" customHeight="true" outlineLevel="0" collapsed="false">
      <c r="A20" s="176"/>
      <c r="B20" s="204" t="s">
        <v>594</v>
      </c>
      <c r="C20" s="188" t="s">
        <v>57</v>
      </c>
      <c r="D20" s="188"/>
      <c r="E20" s="188" t="s">
        <v>350</v>
      </c>
      <c r="F20" s="188"/>
      <c r="G20" s="188" t="s">
        <v>56</v>
      </c>
      <c r="H20" s="187"/>
      <c r="I20" s="188" t="s">
        <v>595</v>
      </c>
      <c r="J20" s="92" t="s">
        <v>405</v>
      </c>
      <c r="K20" s="188" t="s">
        <v>595</v>
      </c>
      <c r="L20" s="188"/>
      <c r="M20" s="181" t="s">
        <v>57</v>
      </c>
      <c r="N20" s="92"/>
      <c r="O20" s="92" t="s">
        <v>573</v>
      </c>
      <c r="P20" s="92" t="s">
        <v>350</v>
      </c>
      <c r="Q20" s="188"/>
      <c r="R20" s="188" t="s">
        <v>57</v>
      </c>
      <c r="S20" s="188"/>
      <c r="T20" s="188" t="s">
        <v>56</v>
      </c>
      <c r="U20" s="188"/>
      <c r="V20" s="92" t="s">
        <v>350</v>
      </c>
      <c r="W20" s="187"/>
      <c r="X20" s="188" t="s">
        <v>566</v>
      </c>
      <c r="Y20" s="92"/>
      <c r="Z20" s="188"/>
      <c r="AA20" s="92"/>
      <c r="AC20" s="181" t="s">
        <v>57</v>
      </c>
      <c r="AD20" s="188"/>
      <c r="AE20" s="188"/>
      <c r="AF20" s="188"/>
      <c r="AG20" s="188"/>
      <c r="AH20" s="32"/>
      <c r="AI20" s="182" t="n">
        <f aca="false">COUNTIF($D20:$AE20,AI$4)</f>
        <v>3</v>
      </c>
      <c r="AJ20" s="183" t="n">
        <f aca="false">COUNTIF($D20:$AE20,AJ$4)</f>
        <v>2</v>
      </c>
      <c r="AK20" s="182" t="n">
        <f aca="false">COUNTIF($D20:$AE20,AK$4)</f>
        <v>0</v>
      </c>
      <c r="AL20" s="182" t="n">
        <f aca="false">COUNTIF($D20:$AE20,AL$4)</f>
        <v>1</v>
      </c>
      <c r="AM20" s="38" t="n">
        <f aca="false">COUNTIF($D20:$AE20,AM$4)</f>
        <v>0</v>
      </c>
      <c r="AN20" s="38" t="n">
        <f aca="false">COUNTIF($D20:$AE20,AN$4)</f>
        <v>0</v>
      </c>
      <c r="AO20" s="38" t="n">
        <f aca="false">COUNTIF($D20:$AE20,AO$4)</f>
        <v>0</v>
      </c>
      <c r="AP20" s="38" t="n">
        <f aca="false">COUNTIF($D20:$AE20,AP$4)</f>
        <v>0</v>
      </c>
      <c r="AQ20" s="38" t="n">
        <f aca="false">COUNTIF($D20:$AE20,AQ$4)</f>
        <v>0</v>
      </c>
      <c r="AR20" s="38"/>
      <c r="AS20" s="184"/>
      <c r="AT20" s="184"/>
      <c r="AU20" s="38" t="n">
        <f aca="false">SUMPRODUCT(--(WEEKDAY(C$3:AG$3,2)&lt;5),--ISNUMBER(MATCH(C20:AG20,{"DM","CS1","CS2","SB1","AE","CS/B"},0)))</f>
        <v>4</v>
      </c>
      <c r="AV20" s="38"/>
      <c r="AW20" s="38" t="n">
        <f aca="false">SUMPRODUCT(--(WEEKDAY(C$3:AG$3,2)=5),--ISNUMBER(MATCH(C20:AG20,{"DM","CS1","CS2","SB1","AE","CS/B"},0)))</f>
        <v>1</v>
      </c>
      <c r="AX20" s="38" t="n">
        <f aca="false">SUMPRODUCT(--(WEEKDAY(C$3:AG$3,2)&gt;5),--ISNUMBER(MATCH(C20:AG20,{"DM","CS1","CS2","SB1","AE","CS/B"},0)))</f>
        <v>2</v>
      </c>
      <c r="AY20" s="38"/>
      <c r="AZ20" s="38" t="n">
        <f aca="false">(AU20-AV20)+AW20*1.5+(AX20-AY20)*2+AN20*0.5+AP20*0.5+AS20-AT20</f>
        <v>9.5</v>
      </c>
      <c r="BA20" s="38" t="n">
        <f aca="false">AU20+AW20+AX20</f>
        <v>7</v>
      </c>
      <c r="BB20" s="38" t="n">
        <f aca="false">BE20+BG20+BI20+BK20+BM20</f>
        <v>3</v>
      </c>
      <c r="BC20" s="184" t="n">
        <f aca="false">AZ20+BD20</f>
        <v>12.5</v>
      </c>
      <c r="BD20" s="38" t="n">
        <f aca="false">BF20+BH20+BJ20+BL20+BN20</f>
        <v>3</v>
      </c>
      <c r="BE20" s="38" t="n">
        <f aca="false">COUNTIF(A20:AI20,"*$BTP*")</f>
        <v>0</v>
      </c>
      <c r="BF20" s="38" t="n">
        <f aca="false">BE20*1.5</f>
        <v>0</v>
      </c>
      <c r="BG20" s="38" t="n">
        <f aca="false">COUNTIF(A20:AI20,"*$M*")</f>
        <v>0</v>
      </c>
      <c r="BH20" s="38" t="n">
        <f aca="false">BG20*1</f>
        <v>0</v>
      </c>
      <c r="BI20" s="38" t="n">
        <f aca="false">COUNTIF(A20:AI20,"*$PM*")</f>
        <v>0</v>
      </c>
      <c r="BJ20" s="38" t="n">
        <f aca="false">BI20*0.5</f>
        <v>0</v>
      </c>
      <c r="BK20" s="38" t="n">
        <f aca="false">COUNTIF(A20:AI20,"*$AM*")</f>
        <v>0</v>
      </c>
      <c r="BL20" s="38" t="n">
        <f aca="false">BK20*0.5</f>
        <v>0</v>
      </c>
      <c r="BM20" s="38" t="n">
        <f aca="false">COUNTIF(A20:AI20,"*$FC*")</f>
        <v>3</v>
      </c>
      <c r="BN20" s="38" t="n">
        <f aca="false">BM20*1</f>
        <v>3</v>
      </c>
      <c r="BO20" s="38" t="n">
        <f aca="false">COUNTIF($D20:$AA20,BO$4)</f>
        <v>0</v>
      </c>
      <c r="BP20" s="38" t="n">
        <f aca="false">COUNTIF($D20:$AA20,BP$4)</f>
        <v>3</v>
      </c>
      <c r="BQ20" s="38" t="n">
        <f aca="false">COUNTIF($D20:$AA20,BQ$4)</f>
        <v>0</v>
      </c>
      <c r="BR20" s="185"/>
    </row>
    <row r="21" customFormat="false" ht="19.5" hidden="false" customHeight="true" outlineLevel="0" collapsed="false">
      <c r="A21" s="176"/>
      <c r="B21" s="205" t="s">
        <v>596</v>
      </c>
      <c r="C21" s="181"/>
      <c r="D21" s="181" t="s">
        <v>350</v>
      </c>
      <c r="E21" s="199" t="s">
        <v>597</v>
      </c>
      <c r="F21" s="181" t="s">
        <v>58</v>
      </c>
      <c r="G21" s="181" t="s">
        <v>93</v>
      </c>
      <c r="H21" s="92" t="s">
        <v>572</v>
      </c>
      <c r="I21" s="181"/>
      <c r="J21" s="181"/>
      <c r="K21" s="181"/>
      <c r="L21" s="181"/>
      <c r="M21" s="181" t="s">
        <v>93</v>
      </c>
      <c r="N21" s="181" t="s">
        <v>57</v>
      </c>
      <c r="O21" s="187"/>
      <c r="P21" s="181" t="s">
        <v>54</v>
      </c>
      <c r="Q21" s="181" t="s">
        <v>54</v>
      </c>
      <c r="R21" s="181" t="s">
        <v>54</v>
      </c>
      <c r="S21" s="181" t="s">
        <v>54</v>
      </c>
      <c r="T21" s="181" t="s">
        <v>54</v>
      </c>
      <c r="U21" s="181" t="s">
        <v>54</v>
      </c>
      <c r="V21" s="181" t="s">
        <v>54</v>
      </c>
      <c r="W21" s="181" t="s">
        <v>54</v>
      </c>
      <c r="X21" s="181" t="s">
        <v>54</v>
      </c>
      <c r="Y21" s="181" t="s">
        <v>93</v>
      </c>
      <c r="Z21" s="181"/>
      <c r="AA21" s="181" t="s">
        <v>56</v>
      </c>
      <c r="AB21" s="181"/>
      <c r="AC21" s="188" t="s">
        <v>59</v>
      </c>
      <c r="AD21" s="181"/>
      <c r="AE21" s="181"/>
      <c r="AF21" s="181"/>
      <c r="AG21" s="181"/>
      <c r="AH21" s="32"/>
      <c r="AI21" s="182" t="n">
        <f aca="false">COUNTIF($D21:$AE21,AI$4)</f>
        <v>1</v>
      </c>
      <c r="AJ21" s="183" t="n">
        <f aca="false">COUNTIF($D21:$AE21,AJ$4)</f>
        <v>1</v>
      </c>
      <c r="AK21" s="182" t="n">
        <f aca="false">COUNTIF($D21:$AE21,AK$4)</f>
        <v>1</v>
      </c>
      <c r="AL21" s="182" t="n">
        <f aca="false">COUNTIF($D21:$AE21,AL$4)</f>
        <v>0</v>
      </c>
      <c r="AM21" s="38" t="n">
        <f aca="false">COUNTIF($D21:$AE21,AM$4)</f>
        <v>1</v>
      </c>
      <c r="AN21" s="38" t="n">
        <f aca="false">COUNTIF($D21:$AE21,AN$4)</f>
        <v>3</v>
      </c>
      <c r="AO21" s="38" t="n">
        <f aca="false">COUNTIF($D21:$AE21,AO$4)</f>
        <v>0</v>
      </c>
      <c r="AP21" s="38" t="n">
        <f aca="false">COUNTIF($D21:$AE21,AP$4)</f>
        <v>0</v>
      </c>
      <c r="AQ21" s="38" t="n">
        <f aca="false">COUNTIF($D21:$AE21,AQ$4)</f>
        <v>0</v>
      </c>
      <c r="AR21" s="38"/>
      <c r="AS21" s="184" t="n">
        <v>1</v>
      </c>
      <c r="AT21" s="184"/>
      <c r="AU21" s="38" t="n">
        <f aca="false">SUMPRODUCT(--(WEEKDAY(C$3:AG$3,2)&lt;5),--ISNUMBER(MATCH(C21:AG21,{"DM","CS1","CS2","SB1","AE","CS/B"},0)))</f>
        <v>3</v>
      </c>
      <c r="AV21" s="38"/>
      <c r="AW21" s="38" t="n">
        <f aca="false">SUMPRODUCT(--(WEEKDAY(C$3:AG$3,2)=5),--ISNUMBER(MATCH(C21:AG21,{"DM","CS1","CS2","SB1","AE","CS/B"},0)))</f>
        <v>1</v>
      </c>
      <c r="AX21" s="38" t="n">
        <f aca="false">SUMPRODUCT(--(WEEKDAY(C$3:AG$3,2)&gt;5),--ISNUMBER(MATCH(C21:AG21,{"DM","CS1","CS2","SB1","AE","CS/B"},0)))</f>
        <v>0</v>
      </c>
      <c r="AY21" s="38"/>
      <c r="AZ21" s="38" t="n">
        <f aca="false">(AU21-AV21)+AW21*1.5+(AX21-AY21)*2+AN21*0.5+AP21*0.5+AS21-AT21</f>
        <v>7</v>
      </c>
      <c r="BA21" s="38" t="n">
        <f aca="false">AU21+AW21+AX21</f>
        <v>4</v>
      </c>
      <c r="BB21" s="38" t="n">
        <f aca="false">BE21+BG21+BI21+BK21+BM21</f>
        <v>0</v>
      </c>
      <c r="BC21" s="184" t="n">
        <f aca="false">AZ21+BD21</f>
        <v>7</v>
      </c>
      <c r="BD21" s="38" t="n">
        <f aca="false">BF21+BH21+BJ21+BL21+BN21</f>
        <v>0</v>
      </c>
      <c r="BE21" s="38" t="n">
        <f aca="false">COUNTIF(A21:AI21,"*$BTP*")</f>
        <v>0</v>
      </c>
      <c r="BF21" s="38" t="n">
        <f aca="false">BE21*1.5</f>
        <v>0</v>
      </c>
      <c r="BG21" s="38" t="n">
        <f aca="false">COUNTIF(A21:AI21,"*$M*")</f>
        <v>0</v>
      </c>
      <c r="BH21" s="38" t="n">
        <f aca="false">BG21*1</f>
        <v>0</v>
      </c>
      <c r="BI21" s="38" t="n">
        <f aca="false">COUNTIF(A21:AI21,"*$PM*")</f>
        <v>0</v>
      </c>
      <c r="BJ21" s="38" t="n">
        <f aca="false">BI21*0.5</f>
        <v>0</v>
      </c>
      <c r="BK21" s="38" t="n">
        <f aca="false">COUNTIF(A21:AI21,"*$AM*")</f>
        <v>0</v>
      </c>
      <c r="BL21" s="38" t="n">
        <f aca="false">BK21*0.5</f>
        <v>0</v>
      </c>
      <c r="BM21" s="38" t="n">
        <f aca="false">COUNTIF(A21:AI21,"*$FC*")</f>
        <v>0</v>
      </c>
      <c r="BN21" s="38" t="n">
        <f aca="false">BM21*1</f>
        <v>0</v>
      </c>
      <c r="BO21" s="38" t="n">
        <f aca="false">COUNTIF($D21:$AA21,BO$4)</f>
        <v>0</v>
      </c>
      <c r="BP21" s="38" t="n">
        <f aca="false">COUNTIF($D21:$AA21,BP$4)</f>
        <v>1</v>
      </c>
      <c r="BQ21" s="38" t="n">
        <f aca="false">COUNTIF($D21:$AA21,BQ$4)</f>
        <v>0</v>
      </c>
      <c r="BR21" s="185"/>
    </row>
    <row r="22" customFormat="false" ht="19.5" hidden="false" customHeight="true" outlineLevel="0" collapsed="false">
      <c r="A22" s="176"/>
      <c r="B22" s="206" t="s">
        <v>598</v>
      </c>
      <c r="C22" s="188" t="s">
        <v>329</v>
      </c>
      <c r="D22" s="188" t="s">
        <v>329</v>
      </c>
      <c r="E22" s="188"/>
      <c r="F22" s="188"/>
      <c r="G22" s="181" t="s">
        <v>57</v>
      </c>
      <c r="H22" s="92" t="s">
        <v>572</v>
      </c>
      <c r="I22" s="92"/>
      <c r="J22" s="188" t="s">
        <v>57</v>
      </c>
      <c r="K22" s="92"/>
      <c r="L22" s="188" t="s">
        <v>350</v>
      </c>
      <c r="M22" s="92" t="s">
        <v>573</v>
      </c>
      <c r="N22" s="181" t="s">
        <v>104</v>
      </c>
      <c r="O22" s="187"/>
      <c r="P22" s="92"/>
      <c r="Q22" s="188" t="s">
        <v>350</v>
      </c>
      <c r="R22" s="188"/>
      <c r="S22" s="188"/>
      <c r="T22" s="188"/>
      <c r="U22" s="188" t="s">
        <v>599</v>
      </c>
      <c r="V22" s="187"/>
      <c r="W22" s="187"/>
      <c r="X22" s="92"/>
      <c r="Y22" s="188" t="s">
        <v>350</v>
      </c>
      <c r="Z22" s="188"/>
      <c r="AA22" s="92"/>
      <c r="AB22" s="181" t="s">
        <v>566</v>
      </c>
      <c r="AC22" s="187"/>
      <c r="AD22" s="188"/>
      <c r="AE22" s="188"/>
      <c r="AF22" s="188"/>
      <c r="AG22" s="188"/>
      <c r="AH22" s="32"/>
      <c r="AI22" s="182" t="n">
        <f aca="false">COUNTIF($D22:$AE22,AI$4)</f>
        <v>2</v>
      </c>
      <c r="AJ22" s="183" t="n">
        <f aca="false">COUNTIF($D22:$AE22,AJ$4)</f>
        <v>0</v>
      </c>
      <c r="AK22" s="182" t="n">
        <f aca="false">COUNTIF($D22:$AE22,AK$4)</f>
        <v>0</v>
      </c>
      <c r="AL22" s="182" t="n">
        <f aca="false">COUNTIF($D22:$AE22,AL$4)</f>
        <v>1</v>
      </c>
      <c r="AM22" s="38" t="n">
        <f aca="false">COUNTIF($D22:$AE22,AM$4)</f>
        <v>0</v>
      </c>
      <c r="AN22" s="38" t="n">
        <f aca="false">COUNTIF($D22:$AE22,AN$4)</f>
        <v>0</v>
      </c>
      <c r="AO22" s="38" t="n">
        <f aca="false">COUNTIF($D22:$AE22,AO$4)</f>
        <v>0</v>
      </c>
      <c r="AP22" s="38" t="n">
        <f aca="false">COUNTIF($D22:$AE22,AP$4)</f>
        <v>0</v>
      </c>
      <c r="AQ22" s="38" t="n">
        <f aca="false">COUNTIF($D22:$AE22,AQ$4)</f>
        <v>0</v>
      </c>
      <c r="AR22" s="38"/>
      <c r="AS22" s="184" t="n">
        <v>2</v>
      </c>
      <c r="AT22" s="184"/>
      <c r="AU22" s="38" t="n">
        <f aca="false">SUMPRODUCT(--(WEEKDAY(C$3:AG$3,2)&lt;5),--ISNUMBER(MATCH(C22:AG22,{"DM","CS1","CS2","SB1","AE","CS/B"},0)))</f>
        <v>2</v>
      </c>
      <c r="AV22" s="38"/>
      <c r="AW22" s="38" t="n">
        <f aca="false">SUMPRODUCT(--(WEEKDAY(C$3:AG$3,2)=5),--ISNUMBER(MATCH(C22:AG22,{"DM","CS1","CS2","SB1","AE","CS/B"},0)))</f>
        <v>0</v>
      </c>
      <c r="AX22" s="38" t="n">
        <f aca="false">SUMPRODUCT(--(WEEKDAY(C$3:AG$3,2)&gt;5),--ISNUMBER(MATCH(C22:AG22,{"DM","CS1","CS2","SB1","AE","CS/B"},0)))</f>
        <v>1</v>
      </c>
      <c r="AY22" s="38"/>
      <c r="AZ22" s="38" t="n">
        <f aca="false">(AU22-AV22)+AW22*1.5+(AX22-AY22)*2+AN22*0.5+AP22*0.5+AS22-AT22</f>
        <v>6</v>
      </c>
      <c r="BA22" s="38" t="n">
        <f aca="false">AU22+AW22+AX22</f>
        <v>3</v>
      </c>
      <c r="BB22" s="38" t="n">
        <f aca="false">BE22+BG22+BI22+BK22+BM22</f>
        <v>4</v>
      </c>
      <c r="BC22" s="184" t="n">
        <f aca="false">AZ22+BD22</f>
        <v>10</v>
      </c>
      <c r="BD22" s="38" t="n">
        <f aca="false">BF22+BH22+BJ22+BL22+BN22</f>
        <v>4</v>
      </c>
      <c r="BE22" s="38" t="n">
        <f aca="false">COUNTIF(A22:AI22,"*$BTP*")</f>
        <v>1</v>
      </c>
      <c r="BF22" s="38" t="n">
        <f aca="false">BE22*1.5</f>
        <v>1.5</v>
      </c>
      <c r="BG22" s="38" t="n">
        <f aca="false">COUNTIF(A22:AI22,"*$M*")</f>
        <v>0</v>
      </c>
      <c r="BH22" s="38" t="n">
        <f aca="false">BG22*1</f>
        <v>0</v>
      </c>
      <c r="BI22" s="38" t="n">
        <f aca="false">COUNTIF(A22:AI22,"*$PM*")</f>
        <v>0</v>
      </c>
      <c r="BJ22" s="38" t="n">
        <f aca="false">BI22*0.5</f>
        <v>0</v>
      </c>
      <c r="BK22" s="38" t="n">
        <f aca="false">COUNTIF(A22:AI22,"*$AM*")</f>
        <v>1</v>
      </c>
      <c r="BL22" s="38" t="n">
        <f aca="false">BK22*0.5</f>
        <v>0.5</v>
      </c>
      <c r="BM22" s="38" t="n">
        <f aca="false">COUNTIF(A22:AI22,"*$FC*")</f>
        <v>2</v>
      </c>
      <c r="BN22" s="38" t="n">
        <f aca="false">BM22*1</f>
        <v>2</v>
      </c>
      <c r="BO22" s="38" t="n">
        <f aca="false">COUNTIF($D22:$AA22,BO$4)</f>
        <v>0</v>
      </c>
      <c r="BP22" s="38" t="n">
        <f aca="false">COUNTIF($D22:$AA22,BP$4)</f>
        <v>3</v>
      </c>
      <c r="BQ22" s="38" t="n">
        <f aca="false">COUNTIF($D22:$AA22,BQ$4)</f>
        <v>0</v>
      </c>
      <c r="BR22" s="185"/>
    </row>
    <row r="23" customFormat="false" ht="19.5" hidden="false" customHeight="true" outlineLevel="0" collapsed="false">
      <c r="A23" s="176"/>
      <c r="B23" s="207" t="s">
        <v>600</v>
      </c>
      <c r="C23" s="181"/>
      <c r="D23" s="181"/>
      <c r="E23" s="92" t="s">
        <v>93</v>
      </c>
      <c r="F23" s="181" t="s">
        <v>57</v>
      </c>
      <c r="G23" s="92"/>
      <c r="H23" s="92" t="s">
        <v>572</v>
      </c>
      <c r="I23" s="199"/>
      <c r="J23" s="92"/>
      <c r="K23" s="181" t="s">
        <v>57</v>
      </c>
      <c r="L23" s="92"/>
      <c r="M23" s="92" t="s">
        <v>601</v>
      </c>
      <c r="N23" s="181" t="s">
        <v>602</v>
      </c>
      <c r="O23" s="199"/>
      <c r="P23" s="181"/>
      <c r="Q23" s="199" t="s">
        <v>603</v>
      </c>
      <c r="R23" s="199" t="s">
        <v>603</v>
      </c>
      <c r="S23" s="199" t="s">
        <v>603</v>
      </c>
      <c r="T23" s="199" t="s">
        <v>603</v>
      </c>
      <c r="U23" s="92" t="s">
        <v>603</v>
      </c>
      <c r="V23" s="199"/>
      <c r="W23" s="181" t="s">
        <v>57</v>
      </c>
      <c r="X23" s="181"/>
      <c r="Y23" s="181"/>
      <c r="Z23" s="181" t="s">
        <v>281</v>
      </c>
      <c r="AA23" s="92"/>
      <c r="AB23" s="91" t="s">
        <v>580</v>
      </c>
      <c r="AC23" s="199"/>
      <c r="AD23" s="181" t="s">
        <v>56</v>
      </c>
      <c r="AE23" s="181"/>
      <c r="AF23" s="181"/>
      <c r="AG23" s="181"/>
      <c r="AH23" s="32"/>
      <c r="AI23" s="182" t="n">
        <f aca="false">COUNTIF($D23:$AE23,AI$4)</f>
        <v>3</v>
      </c>
      <c r="AJ23" s="183" t="n">
        <f aca="false">COUNTIF($D23:$AE23,AJ$4)</f>
        <v>1</v>
      </c>
      <c r="AK23" s="182" t="n">
        <f aca="false">COUNTIF($D23:$AE23,AK$4)</f>
        <v>0</v>
      </c>
      <c r="AL23" s="182" t="n">
        <f aca="false">COUNTIF($D23:$AE23,AL$4)</f>
        <v>0</v>
      </c>
      <c r="AM23" s="38" t="n">
        <f aca="false">COUNTIF($D23:$AE23,AM$4)</f>
        <v>0</v>
      </c>
      <c r="AN23" s="38" t="n">
        <f aca="false">COUNTIF($D23:$AE23,AN$4)</f>
        <v>1</v>
      </c>
      <c r="AO23" s="38" t="n">
        <f aca="false">COUNTIF($D23:$AE23,AO$4)</f>
        <v>0</v>
      </c>
      <c r="AP23" s="38" t="n">
        <f aca="false">COUNTIF($D23:$AE23,AP$4)</f>
        <v>0</v>
      </c>
      <c r="AQ23" s="38" t="n">
        <f aca="false">COUNTIF($D23:$AE23,AQ$4)</f>
        <v>0</v>
      </c>
      <c r="AR23" s="38"/>
      <c r="AS23" s="184"/>
      <c r="AT23" s="184" t="n">
        <v>1</v>
      </c>
      <c r="AU23" s="38" t="n">
        <f aca="false">SUMPRODUCT(--(WEEKDAY(C$3:AG$3,2)&lt;5),--ISNUMBER(MATCH(C23:AG23,{"DM","CS1","CS2","SB1","AE","CS/B"},0)))</f>
        <v>2</v>
      </c>
      <c r="AV23" s="38"/>
      <c r="AW23" s="38" t="n">
        <f aca="false">SUMPRODUCT(--(WEEKDAY(C$3:AG$3,2)=5),--ISNUMBER(MATCH(C23:AG23,{"DM","CS1","CS2","SB1","AE","CS/B"},0)))</f>
        <v>0</v>
      </c>
      <c r="AX23" s="38" t="n">
        <f aca="false">SUMPRODUCT(--(WEEKDAY(C$3:AG$3,2)&gt;5),--ISNUMBER(MATCH(C23:AG23,{"DM","CS1","CS2","SB1","AE","CS/B"},0)))</f>
        <v>2</v>
      </c>
      <c r="AY23" s="38"/>
      <c r="AZ23" s="38" t="n">
        <f aca="false">(AU23-AV23)+AW23*1.5+(AX23-AY23)*2+AN23*0.5+AP23*0.5+AS23-AT23</f>
        <v>5.5</v>
      </c>
      <c r="BA23" s="38" t="n">
        <f aca="false">AU23+AW23+AX23</f>
        <v>4</v>
      </c>
      <c r="BB23" s="38" t="n">
        <f aca="false">BE23+BG23+BI23+BK23+BM23</f>
        <v>3</v>
      </c>
      <c r="BC23" s="184" t="n">
        <f aca="false">AZ23+BD23</f>
        <v>9</v>
      </c>
      <c r="BD23" s="38" t="n">
        <f aca="false">BF23+BH23+BJ23+BL23+BN23</f>
        <v>3.5</v>
      </c>
      <c r="BE23" s="38" t="n">
        <f aca="false">COUNTIF(A23:AI23,"*$BTP*")</f>
        <v>2</v>
      </c>
      <c r="BF23" s="38" t="n">
        <f aca="false">BE23*1.5</f>
        <v>3</v>
      </c>
      <c r="BG23" s="38" t="n">
        <f aca="false">COUNTIF(A23:AI23,"*$M*")</f>
        <v>0</v>
      </c>
      <c r="BH23" s="38" t="n">
        <f aca="false">BG23*1</f>
        <v>0</v>
      </c>
      <c r="BI23" s="38" t="n">
        <f aca="false">COUNTIF(A23:AI23,"*$PM*")</f>
        <v>1</v>
      </c>
      <c r="BJ23" s="38" t="n">
        <f aca="false">BI23*0.5</f>
        <v>0.5</v>
      </c>
      <c r="BK23" s="38" t="n">
        <f aca="false">COUNTIF(A23:AI23,"*$AM*")</f>
        <v>0</v>
      </c>
      <c r="BL23" s="38" t="n">
        <f aca="false">BK23*0.5</f>
        <v>0</v>
      </c>
      <c r="BM23" s="38" t="n">
        <f aca="false">COUNTIF(A23:AI23,"*$FC*")</f>
        <v>0</v>
      </c>
      <c r="BN23" s="38" t="n">
        <f aca="false">BM23*1</f>
        <v>0</v>
      </c>
      <c r="BO23" s="38" t="n">
        <f aca="false">COUNTIF($D23:$AA23,BO$4)</f>
        <v>0</v>
      </c>
      <c r="BP23" s="38" t="n">
        <f aca="false">COUNTIF($D23:$AA23,BP$4)</f>
        <v>0</v>
      </c>
      <c r="BQ23" s="38" t="n">
        <f aca="false">COUNTIF($D23:$AA23,BQ$4)</f>
        <v>0</v>
      </c>
      <c r="BR23" s="185"/>
    </row>
    <row r="24" customFormat="false" ht="19.5" hidden="false" customHeight="true" outlineLevel="0" collapsed="false">
      <c r="A24" s="176"/>
      <c r="B24" s="207" t="s">
        <v>604</v>
      </c>
      <c r="C24" s="208"/>
      <c r="D24" s="188" t="s">
        <v>573</v>
      </c>
      <c r="E24" s="178" t="s">
        <v>605</v>
      </c>
      <c r="F24" s="92" t="s">
        <v>93</v>
      </c>
      <c r="G24" s="92" t="s">
        <v>350</v>
      </c>
      <c r="H24" s="92" t="s">
        <v>572</v>
      </c>
      <c r="I24" s="208"/>
      <c r="J24" s="181"/>
      <c r="K24" s="188"/>
      <c r="L24" s="188" t="s">
        <v>606</v>
      </c>
      <c r="M24" s="92" t="s">
        <v>58</v>
      </c>
      <c r="N24" s="92" t="s">
        <v>573</v>
      </c>
      <c r="O24" s="188" t="s">
        <v>57</v>
      </c>
      <c r="P24" s="188"/>
      <c r="Q24" s="188"/>
      <c r="R24" s="188" t="s">
        <v>56</v>
      </c>
      <c r="S24" s="188"/>
      <c r="T24" s="188" t="s">
        <v>57</v>
      </c>
      <c r="U24" s="188"/>
      <c r="V24" s="92"/>
      <c r="W24" s="188"/>
      <c r="X24" s="188" t="s">
        <v>57</v>
      </c>
      <c r="Y24" s="188"/>
      <c r="Z24" s="92" t="s">
        <v>573</v>
      </c>
      <c r="AA24" s="92" t="s">
        <v>573</v>
      </c>
      <c r="AB24" s="187" t="s">
        <v>607</v>
      </c>
      <c r="AC24" s="187" t="s">
        <v>607</v>
      </c>
      <c r="AD24" s="187" t="s">
        <v>607</v>
      </c>
      <c r="AE24" s="187" t="s">
        <v>608</v>
      </c>
      <c r="AF24" s="188"/>
      <c r="AG24" s="188"/>
      <c r="AH24" s="32"/>
      <c r="AI24" s="182" t="n">
        <f aca="false">COUNTIF($D24:$AE24,AI$4)</f>
        <v>3</v>
      </c>
      <c r="AJ24" s="183" t="n">
        <f aca="false">COUNTIF($D24:$AE24,AJ$4)</f>
        <v>1</v>
      </c>
      <c r="AK24" s="182" t="n">
        <f aca="false">COUNTIF($D24:$AE24,AK$4)</f>
        <v>0</v>
      </c>
      <c r="AL24" s="182" t="n">
        <f aca="false">COUNTIF($D24:$AE24,AL$4)</f>
        <v>0</v>
      </c>
      <c r="AM24" s="38" t="n">
        <f aca="false">COUNTIF($D24:$AE24,AM$4)</f>
        <v>1</v>
      </c>
      <c r="AN24" s="38" t="n">
        <f aca="false">COUNTIF($D24:$AE24,AN$4)</f>
        <v>1</v>
      </c>
      <c r="AO24" s="38" t="n">
        <f aca="false">COUNTIF($D24:$AE24,AO$4)</f>
        <v>0</v>
      </c>
      <c r="AP24" s="38" t="n">
        <f aca="false">COUNTIF($D24:$AE24,AP$4)</f>
        <v>0</v>
      </c>
      <c r="AQ24" s="38" t="n">
        <f aca="false">COUNTIF($D24:$AE24,AQ$4)</f>
        <v>0</v>
      </c>
      <c r="AR24" s="38"/>
      <c r="AS24" s="184" t="n">
        <v>0.5</v>
      </c>
      <c r="AT24" s="184"/>
      <c r="AU24" s="38" t="n">
        <f aca="false">SUMPRODUCT(--(WEEKDAY(C$3:AG$3,2)&lt;5),--ISNUMBER(MATCH(C24:AG24,{"DM","CS1","CS2","SB1","AE","CS/B"},0)))</f>
        <v>3</v>
      </c>
      <c r="AV24" s="38"/>
      <c r="AW24" s="38" t="n">
        <f aca="false">SUMPRODUCT(--(WEEKDAY(C$3:AG$3,2)=5),--ISNUMBER(MATCH(C24:AG24,{"DM","CS1","CS2","SB1","AE","CS/B"},0)))</f>
        <v>1</v>
      </c>
      <c r="AX24" s="38" t="n">
        <f aca="false">SUMPRODUCT(--(WEEKDAY(C$3:AG$3,2)&gt;5),--ISNUMBER(MATCH(C24:AG24,{"DM","CS1","CS2","SB1","AE","CS/B"},0)))</f>
        <v>1</v>
      </c>
      <c r="AY24" s="38"/>
      <c r="AZ24" s="38" t="n">
        <f aca="false">(AU24-AV24)+AW24*1.5+(AX24-AY24)*2+AN24*0.5+AP24*0.5+AS24-AT24</f>
        <v>7.5</v>
      </c>
      <c r="BA24" s="38" t="n">
        <f aca="false">AU24+AW24+AX24</f>
        <v>5</v>
      </c>
      <c r="BB24" s="38" t="n">
        <f aca="false">BE24+BG24+BI24+BK24+BM24</f>
        <v>2</v>
      </c>
      <c r="BC24" s="184" t="n">
        <f aca="false">AZ24+BD24</f>
        <v>8.5</v>
      </c>
      <c r="BD24" s="38" t="n">
        <f aca="false">BF24+BH24+BJ24+BL24+BN24</f>
        <v>1</v>
      </c>
      <c r="BE24" s="38" t="n">
        <f aca="false">COUNTIF(A24:AI24,"*$BTP*")</f>
        <v>0</v>
      </c>
      <c r="BF24" s="38" t="n">
        <f aca="false">BE24*1.5</f>
        <v>0</v>
      </c>
      <c r="BG24" s="38" t="n">
        <f aca="false">COUNTIF(A24:AI24,"*$M*")</f>
        <v>0</v>
      </c>
      <c r="BH24" s="38" t="n">
        <f aca="false">BG24*1</f>
        <v>0</v>
      </c>
      <c r="BI24" s="38" t="n">
        <f aca="false">COUNTIF(A24:AI24,"*$PM*")</f>
        <v>0</v>
      </c>
      <c r="BJ24" s="38" t="n">
        <f aca="false">BI24*0.5</f>
        <v>0</v>
      </c>
      <c r="BK24" s="38" t="n">
        <f aca="false">COUNTIF(A24:AI24,"*$AM*")</f>
        <v>2</v>
      </c>
      <c r="BL24" s="38" t="n">
        <f aca="false">BK24*0.5</f>
        <v>1</v>
      </c>
      <c r="BM24" s="38" t="n">
        <f aca="false">COUNTIF(A24:AI24,"*$FC*")</f>
        <v>0</v>
      </c>
      <c r="BN24" s="38" t="n">
        <f aca="false">BM24*1</f>
        <v>0</v>
      </c>
      <c r="BO24" s="38" t="n">
        <f aca="false">COUNTIF($D24:$AA24,BO$4)</f>
        <v>0</v>
      </c>
      <c r="BP24" s="38" t="n">
        <f aca="false">COUNTIF($D24:$AA24,BP$4)</f>
        <v>1</v>
      </c>
      <c r="BQ24" s="38" t="n">
        <f aca="false">COUNTIF($D24:$AA24,BQ$4)</f>
        <v>0</v>
      </c>
      <c r="BR24" s="185"/>
    </row>
    <row r="25" customFormat="false" ht="19.5" hidden="false" customHeight="true" outlineLevel="0" collapsed="false">
      <c r="A25" s="176"/>
      <c r="B25" s="209" t="s">
        <v>609</v>
      </c>
      <c r="C25" s="181"/>
      <c r="D25" s="181"/>
      <c r="E25" s="181"/>
      <c r="F25" s="187" t="s">
        <v>61</v>
      </c>
      <c r="G25" s="181"/>
      <c r="H25" s="92" t="s">
        <v>572</v>
      </c>
      <c r="I25" s="181"/>
      <c r="J25" s="181"/>
      <c r="L25" s="181"/>
      <c r="N25" s="181"/>
      <c r="P25" s="181"/>
      <c r="Q25" s="181"/>
      <c r="R25" s="181"/>
      <c r="S25" s="181"/>
      <c r="T25" s="181"/>
      <c r="X25" s="181"/>
      <c r="Z25" s="181"/>
      <c r="AA25" s="92"/>
      <c r="AC25" s="181"/>
      <c r="AD25" s="92"/>
      <c r="AE25" s="181"/>
      <c r="AF25" s="181"/>
      <c r="AG25" s="181"/>
      <c r="AH25" s="32"/>
      <c r="AI25" s="182" t="n">
        <f aca="false">COUNTIF($D25:$AE25,AI$4)</f>
        <v>0</v>
      </c>
      <c r="AJ25" s="183" t="n">
        <f aca="false">COUNTIF($D25:$AE25,AJ$4)</f>
        <v>0</v>
      </c>
      <c r="AK25" s="182" t="n">
        <f aca="false">COUNTIF($D25:$AE25,AK$4)</f>
        <v>0</v>
      </c>
      <c r="AL25" s="182" t="n">
        <f aca="false">COUNTIF($D25:$AE25,AL$4)</f>
        <v>0</v>
      </c>
      <c r="AM25" s="38" t="n">
        <f aca="false">COUNTIF($D25:$AE25,AM$4)</f>
        <v>0</v>
      </c>
      <c r="AN25" s="38" t="n">
        <f aca="false">COUNTIF($D25:$AE25,AN$4)</f>
        <v>0</v>
      </c>
      <c r="AO25" s="38" t="n">
        <f aca="false">COUNTIF($D25:$AE25,AO$4)</f>
        <v>0</v>
      </c>
      <c r="AP25" s="38" t="n">
        <f aca="false">COUNTIF($D25:$AE25,AP$4)</f>
        <v>0</v>
      </c>
      <c r="AQ25" s="38" t="n">
        <f aca="false">COUNTIF($D25:$AE25,AQ$4)</f>
        <v>0</v>
      </c>
      <c r="AR25" s="38"/>
      <c r="AS25" s="184"/>
      <c r="AT25" s="184"/>
      <c r="AU25" s="38" t="n">
        <f aca="false">SUMPRODUCT(--(WEEKDAY(C$3:AG$3,2)&lt;5),--ISNUMBER(MATCH(C25:AG25,{"DM","CS1","CS2","SB1","AE","CS/B"},0)))</f>
        <v>0</v>
      </c>
      <c r="AV25" s="38"/>
      <c r="AW25" s="38" t="n">
        <f aca="false">SUMPRODUCT(--(WEEKDAY(C$3:AG$3,2)=5),--ISNUMBER(MATCH(C25:AG25,{"DM","CS1","CS2","SB1","AE","CS/B"},0)))</f>
        <v>0</v>
      </c>
      <c r="AX25" s="38" t="n">
        <f aca="false">SUMPRODUCT(--(WEEKDAY(C$3:AG$3,2)&gt;5),--ISNUMBER(MATCH(C25:AG25,{"DM","CS1","CS2","SB1","AE","CS/B"},0)))</f>
        <v>0</v>
      </c>
      <c r="AY25" s="38"/>
      <c r="AZ25" s="38" t="n">
        <f aca="false">(AU25-AV25)+AW25*1.5+(AX25-AY25)*2+AN25*0.5+AP25*0.5+AS25-AT25</f>
        <v>0</v>
      </c>
      <c r="BA25" s="38" t="n">
        <f aca="false">AU25+AW25+AX25</f>
        <v>0</v>
      </c>
      <c r="BB25" s="38" t="n">
        <f aca="false">BE25+BG25+BI25+BK25+BM25</f>
        <v>0</v>
      </c>
      <c r="BC25" s="184" t="n">
        <f aca="false">AZ25+BD25</f>
        <v>0</v>
      </c>
      <c r="BD25" s="38" t="n">
        <f aca="false">BF25+BH25+BJ25+BL25+BN25</f>
        <v>0</v>
      </c>
      <c r="BE25" s="38" t="n">
        <f aca="false">COUNTIF(A25:AI25,"*$BTP*")</f>
        <v>0</v>
      </c>
      <c r="BF25" s="38" t="n">
        <f aca="false">BE25*1.5</f>
        <v>0</v>
      </c>
      <c r="BG25" s="38" t="n">
        <f aca="false">COUNTIF(A25:AI25,"*$M*")</f>
        <v>0</v>
      </c>
      <c r="BH25" s="38" t="n">
        <f aca="false">BG25*1</f>
        <v>0</v>
      </c>
      <c r="BI25" s="38" t="n">
        <f aca="false">COUNTIF(A25:AI25,"*$PM*")</f>
        <v>0</v>
      </c>
      <c r="BJ25" s="38" t="n">
        <f aca="false">BI25*0.5</f>
        <v>0</v>
      </c>
      <c r="BK25" s="38" t="n">
        <f aca="false">COUNTIF(A25:AI25,"*$AM*")</f>
        <v>0</v>
      </c>
      <c r="BL25" s="38" t="n">
        <f aca="false">BK25*0.5</f>
        <v>0</v>
      </c>
      <c r="BM25" s="38" t="n">
        <f aca="false">COUNTIF(A25:AI25,"*$FC*")</f>
        <v>0</v>
      </c>
      <c r="BN25" s="38" t="n">
        <f aca="false">BM25*1</f>
        <v>0</v>
      </c>
      <c r="BO25" s="38" t="n">
        <f aca="false">COUNTIF($D25:$AA25,BO$4)</f>
        <v>0</v>
      </c>
      <c r="BP25" s="38" t="n">
        <f aca="false">COUNTIF($D25:$AA25,BP$4)</f>
        <v>0</v>
      </c>
      <c r="BQ25" s="38" t="n">
        <f aca="false">COUNTIF($D25:$AA25,BQ$4)</f>
        <v>0</v>
      </c>
      <c r="BR25" s="185"/>
    </row>
    <row r="26" customFormat="false" ht="19.5" hidden="false" customHeight="true" outlineLevel="0" collapsed="false">
      <c r="A26" s="176"/>
      <c r="B26" s="207" t="s">
        <v>610</v>
      </c>
      <c r="C26" s="188"/>
      <c r="D26" s="188" t="s">
        <v>65</v>
      </c>
      <c r="E26" s="188"/>
      <c r="F26" s="181" t="s">
        <v>308</v>
      </c>
      <c r="G26" s="187"/>
      <c r="H26" s="92" t="s">
        <v>572</v>
      </c>
      <c r="I26" s="188" t="s">
        <v>350</v>
      </c>
      <c r="J26" s="188"/>
      <c r="K26" s="187" t="s">
        <v>176</v>
      </c>
      <c r="L26" s="187" t="s">
        <v>176</v>
      </c>
      <c r="M26" s="187" t="s">
        <v>176</v>
      </c>
      <c r="N26" s="188" t="s">
        <v>611</v>
      </c>
      <c r="O26" s="188" t="s">
        <v>310</v>
      </c>
      <c r="P26" s="188" t="s">
        <v>58</v>
      </c>
      <c r="Q26" s="188"/>
      <c r="R26" s="188" t="s">
        <v>65</v>
      </c>
      <c r="S26" s="188"/>
      <c r="T26" s="187"/>
      <c r="U26" s="92" t="s">
        <v>563</v>
      </c>
      <c r="V26" s="187" t="s">
        <v>612</v>
      </c>
      <c r="W26" s="187"/>
      <c r="X26" s="187"/>
      <c r="Y26" s="181" t="s">
        <v>65</v>
      </c>
      <c r="Z26" s="188"/>
      <c r="AA26" s="188" t="s">
        <v>245</v>
      </c>
      <c r="AB26" s="188"/>
      <c r="AC26" s="187"/>
      <c r="AD26" s="181" t="s">
        <v>65</v>
      </c>
      <c r="AE26" s="181"/>
      <c r="AF26" s="188"/>
      <c r="AG26" s="188"/>
      <c r="AH26" s="32"/>
      <c r="AI26" s="182" t="n">
        <f aca="false">COUNTIF($D26:$AE26,AI$4)</f>
        <v>0</v>
      </c>
      <c r="AJ26" s="183" t="n">
        <f aca="false">COUNTIF($D26:$AE26,AJ$4)</f>
        <v>0</v>
      </c>
      <c r="AK26" s="182" t="n">
        <f aca="false">COUNTIF($D26:$AE26,AK$4)</f>
        <v>0</v>
      </c>
      <c r="AL26" s="182" t="n">
        <f aca="false">COUNTIF($D26:$AE26,AL$4)</f>
        <v>0</v>
      </c>
      <c r="AM26" s="38" t="n">
        <f aca="false">COUNTIF($D26:$AE26,AM$4)</f>
        <v>1</v>
      </c>
      <c r="AN26" s="38" t="n">
        <f aca="false">COUNTIF($D26:$AE26,AN$4)</f>
        <v>0</v>
      </c>
      <c r="AO26" s="38" t="n">
        <f aca="false">COUNTIF($D26:$AE26,AO$4)</f>
        <v>4</v>
      </c>
      <c r="AP26" s="38" t="n">
        <f aca="false">COUNTIF($D26:$AE26,AP$4)</f>
        <v>0</v>
      </c>
      <c r="AQ26" s="38" t="n">
        <f aca="false">COUNTIF($D26:$AE26,AQ$4)</f>
        <v>0</v>
      </c>
      <c r="AR26" s="38"/>
      <c r="AS26" s="184" t="n">
        <v>2</v>
      </c>
      <c r="AT26" s="184"/>
      <c r="AU26" s="38" t="n">
        <f aca="false">SUMPRODUCT(--(WEEKDAY(C$3:AG$3,2)&lt;5),--ISNUMBER(MATCH(C26:AG26,{"DM","CS1","CS2","SB1","AE","CS/B"},0)))</f>
        <v>3</v>
      </c>
      <c r="AV26" s="38"/>
      <c r="AW26" s="38" t="n">
        <f aca="false">SUMPRODUCT(--(WEEKDAY(C$3:AG$3,2)=5),--ISNUMBER(MATCH(C26:AG26,{"DM","CS1","CS2","SB1","AE","CS/B"},0)))</f>
        <v>0</v>
      </c>
      <c r="AX26" s="38" t="n">
        <f aca="false">SUMPRODUCT(--(WEEKDAY(C$3:AG$3,2)&gt;5),--ISNUMBER(MATCH(C26:AG26,{"DM","CS1","CS2","SB1","AE","CS/B"},0)))</f>
        <v>2</v>
      </c>
      <c r="AY26" s="38"/>
      <c r="AZ26" s="38" t="n">
        <f aca="false">(AU26-AV26)+AW26*1.5+(AX26-AY26)*2+AN26*0.5+AP26*0.5+AS26-AT26</f>
        <v>9</v>
      </c>
      <c r="BA26" s="38" t="n">
        <f aca="false">AU26+AW26+AX26</f>
        <v>5</v>
      </c>
      <c r="BB26" s="38" t="n">
        <f aca="false">BE26+BG26+BI26+BK26+BM26</f>
        <v>4</v>
      </c>
      <c r="BC26" s="184" t="n">
        <f aca="false">AZ26+BD26</f>
        <v>12.5</v>
      </c>
      <c r="BD26" s="38" t="n">
        <f aca="false">BF26+BH26+BJ26+BL26+BN26</f>
        <v>3.5</v>
      </c>
      <c r="BE26" s="38" t="n">
        <f aca="false">COUNTIF(A26:AI26,"*$BTP*")</f>
        <v>1</v>
      </c>
      <c r="BF26" s="38" t="n">
        <f aca="false">BE26*1.5</f>
        <v>1.5</v>
      </c>
      <c r="BG26" s="38" t="n">
        <f aca="false">COUNTIF(A26:AI26,"*$M*")</f>
        <v>1</v>
      </c>
      <c r="BH26" s="38" t="n">
        <f aca="false">BG26*1</f>
        <v>1</v>
      </c>
      <c r="BI26" s="38" t="n">
        <f aca="false">COUNTIF(A26:AI26,"*$PM*")</f>
        <v>1</v>
      </c>
      <c r="BJ26" s="38" t="n">
        <f aca="false">BI26*0.5</f>
        <v>0.5</v>
      </c>
      <c r="BK26" s="38" t="n">
        <f aca="false">COUNTIF(A26:AI26,"*$AM*")</f>
        <v>1</v>
      </c>
      <c r="BL26" s="38" t="n">
        <f aca="false">BK26*0.5</f>
        <v>0.5</v>
      </c>
      <c r="BM26" s="38" t="n">
        <f aca="false">COUNTIF(A26:AI26,"*$FC*")</f>
        <v>0</v>
      </c>
      <c r="BN26" s="38" t="n">
        <f aca="false">BM26*1</f>
        <v>0</v>
      </c>
      <c r="BO26" s="38" t="n">
        <f aca="false">COUNTIF($D26:$AA26,BO$4)</f>
        <v>0</v>
      </c>
      <c r="BP26" s="38" t="n">
        <f aca="false">COUNTIF($D26:$AA26,BP$4)</f>
        <v>1</v>
      </c>
      <c r="BQ26" s="38" t="n">
        <f aca="false">COUNTIF($D26:$AA26,BQ$4)</f>
        <v>0</v>
      </c>
      <c r="BR26" s="185"/>
    </row>
    <row r="27" customFormat="false" ht="19.5" hidden="false" customHeight="true" outlineLevel="0" collapsed="false">
      <c r="A27" s="176"/>
      <c r="B27" s="210" t="s">
        <v>613</v>
      </c>
      <c r="C27" s="181"/>
      <c r="D27" s="181" t="s">
        <v>576</v>
      </c>
      <c r="E27" s="181" t="s">
        <v>576</v>
      </c>
      <c r="F27" s="181" t="s">
        <v>576</v>
      </c>
      <c r="G27" s="181" t="s">
        <v>576</v>
      </c>
      <c r="H27" s="92" t="s">
        <v>572</v>
      </c>
      <c r="I27" s="181"/>
      <c r="J27" s="181"/>
      <c r="K27" s="181"/>
      <c r="L27" s="181" t="s">
        <v>576</v>
      </c>
      <c r="M27" s="181" t="s">
        <v>576</v>
      </c>
      <c r="N27" s="181"/>
      <c r="O27" s="181" t="s">
        <v>612</v>
      </c>
      <c r="P27" s="181" t="s">
        <v>54</v>
      </c>
      <c r="Q27" s="181" t="s">
        <v>54</v>
      </c>
      <c r="R27" s="181" t="s">
        <v>54</v>
      </c>
      <c r="S27" s="181" t="s">
        <v>54</v>
      </c>
      <c r="T27" s="181" t="s">
        <v>54</v>
      </c>
      <c r="U27" s="181" t="s">
        <v>54</v>
      </c>
      <c r="V27" s="181" t="s">
        <v>54</v>
      </c>
      <c r="W27" s="181"/>
      <c r="X27" s="181"/>
      <c r="Y27" s="181"/>
      <c r="AA27" s="188"/>
      <c r="AC27" s="181"/>
      <c r="AD27" s="181"/>
      <c r="AE27" s="181"/>
      <c r="AF27" s="181"/>
      <c r="AG27" s="181"/>
      <c r="AH27" s="32"/>
      <c r="AI27" s="182" t="n">
        <f aca="false">COUNTIF($D27:$AE27,AI$4)</f>
        <v>0</v>
      </c>
      <c r="AJ27" s="183" t="n">
        <f aca="false">COUNTIF($D27:$AE27,AJ$4)</f>
        <v>0</v>
      </c>
      <c r="AK27" s="182" t="n">
        <f aca="false">COUNTIF($D27:$AE27,AK$4)</f>
        <v>0</v>
      </c>
      <c r="AL27" s="182" t="n">
        <f aca="false">COUNTIF($D27:$AE27,AL$4)</f>
        <v>0</v>
      </c>
      <c r="AM27" s="38" t="n">
        <f aca="false">COUNTIF($D27:$AE27,AM$4)</f>
        <v>0</v>
      </c>
      <c r="AN27" s="38" t="n">
        <f aca="false">COUNTIF($D27:$AE27,AN$4)</f>
        <v>0</v>
      </c>
      <c r="AO27" s="38" t="n">
        <f aca="false">COUNTIF($D27:$AE27,AO$4)</f>
        <v>0</v>
      </c>
      <c r="AP27" s="38" t="n">
        <f aca="false">COUNTIF($D27:$AE27,AP$4)</f>
        <v>6</v>
      </c>
      <c r="AQ27" s="38" t="n">
        <f aca="false">COUNTIF($D27:$AE27,AQ$4)</f>
        <v>0</v>
      </c>
      <c r="AR27" s="67"/>
      <c r="AS27" s="184"/>
      <c r="AT27" s="184"/>
      <c r="AU27" s="38" t="n">
        <f aca="false">SUMPRODUCT(--(WEEKDAY(C$3:AG$3,2)&lt;5),--ISNUMBER(MATCH(C27:AG27,{"DM","CS1","CS2","SB1","AE","CS/B"},0)))</f>
        <v>0</v>
      </c>
      <c r="AV27" s="38"/>
      <c r="AW27" s="38" t="n">
        <f aca="false">SUMPRODUCT(--(WEEKDAY(C$3:AG$3,2)=5),--ISNUMBER(MATCH(C27:AG27,{"DM","CS1","CS2","SB1","AE","CS/B"},0)))</f>
        <v>0</v>
      </c>
      <c r="AX27" s="38" t="n">
        <f aca="false">SUMPRODUCT(--(WEEKDAY(C$3:AG$3,2)&gt;5),--ISNUMBER(MATCH(C27:AG27,{"DM","CS1","CS2","SB1","AE","CS/B"},0)))</f>
        <v>0</v>
      </c>
      <c r="AY27" s="67"/>
      <c r="AZ27" s="38" t="n">
        <f aca="false">(AU27-AV27)+AW27*1.5+(AX27-AY27)*2+AN27*0.5+AP27*0.5+AS27-AT27</f>
        <v>3</v>
      </c>
      <c r="BA27" s="38" t="n">
        <f aca="false">AU27+AW27+AX27</f>
        <v>0</v>
      </c>
      <c r="BB27" s="38" t="n">
        <f aca="false">BE27+BG27+BI27+BK27+BM27</f>
        <v>0</v>
      </c>
      <c r="BC27" s="184" t="n">
        <f aca="false">AZ27+BD27</f>
        <v>3</v>
      </c>
      <c r="BD27" s="38" t="n">
        <f aca="false">BF27+BH27+BJ27+BL27+BN27</f>
        <v>0</v>
      </c>
      <c r="BE27" s="38" t="n">
        <f aca="false">COUNTIF(A27:AI27,"*$BTP*")</f>
        <v>0</v>
      </c>
      <c r="BF27" s="38" t="n">
        <f aca="false">BE27*1.5</f>
        <v>0</v>
      </c>
      <c r="BG27" s="38" t="n">
        <f aca="false">COUNTIF(A27:AI27,"*$M*")</f>
        <v>0</v>
      </c>
      <c r="BH27" s="38" t="n">
        <f aca="false">BG27*1</f>
        <v>0</v>
      </c>
      <c r="BI27" s="38" t="n">
        <f aca="false">COUNTIF(A27:AI27,"*$PM*")</f>
        <v>0</v>
      </c>
      <c r="BJ27" s="38" t="n">
        <f aca="false">BI27*0.5</f>
        <v>0</v>
      </c>
      <c r="BK27" s="38" t="n">
        <f aca="false">COUNTIF(A27:AI27,"*$AM*")</f>
        <v>0</v>
      </c>
      <c r="BL27" s="38" t="n">
        <f aca="false">BK27*0.5</f>
        <v>0</v>
      </c>
      <c r="BM27" s="38" t="n">
        <f aca="false">COUNTIF(A27:AI27,"*$FC*")</f>
        <v>0</v>
      </c>
      <c r="BN27" s="38" t="n">
        <f aca="false">BM27*1</f>
        <v>0</v>
      </c>
      <c r="BO27" s="38" t="n">
        <f aca="false">COUNTIF($D27:$AA27,BO$4)</f>
        <v>0</v>
      </c>
      <c r="BP27" s="38" t="n">
        <f aca="false">COUNTIF($D27:$AA27,BP$4)</f>
        <v>0</v>
      </c>
      <c r="BQ27" s="38" t="n">
        <f aca="false">COUNTIF($D27:$AA27,BQ$4)</f>
        <v>0</v>
      </c>
      <c r="BR27" s="211"/>
    </row>
    <row r="28" customFormat="false" ht="19.5" hidden="false" customHeight="true" outlineLevel="0" collapsed="false">
      <c r="A28" s="176"/>
      <c r="B28" s="207" t="s">
        <v>614</v>
      </c>
      <c r="C28" s="188" t="s">
        <v>566</v>
      </c>
      <c r="D28" s="188"/>
      <c r="E28" s="188" t="s">
        <v>573</v>
      </c>
      <c r="F28" s="188"/>
      <c r="G28" s="181" t="s">
        <v>595</v>
      </c>
      <c r="H28" s="181" t="s">
        <v>595</v>
      </c>
      <c r="I28" s="188" t="s">
        <v>615</v>
      </c>
      <c r="J28" s="188"/>
      <c r="K28" s="92"/>
      <c r="L28" s="92" t="s">
        <v>56</v>
      </c>
      <c r="M28" s="188"/>
      <c r="N28" s="92" t="s">
        <v>350</v>
      </c>
      <c r="O28" s="181" t="s">
        <v>616</v>
      </c>
      <c r="P28" s="188"/>
      <c r="Q28" s="188" t="s">
        <v>56</v>
      </c>
      <c r="R28" s="188"/>
      <c r="S28" s="188"/>
      <c r="T28" s="188"/>
      <c r="U28" s="92" t="s">
        <v>617</v>
      </c>
      <c r="V28" s="92"/>
      <c r="W28" s="92"/>
      <c r="X28" s="188"/>
      <c r="Y28" s="188"/>
      <c r="Z28" s="188" t="s">
        <v>59</v>
      </c>
      <c r="AB28" s="188"/>
      <c r="AC28" s="92"/>
      <c r="AD28" s="188"/>
      <c r="AE28" s="181"/>
      <c r="AF28" s="188"/>
      <c r="AG28" s="188"/>
      <c r="AH28" s="32"/>
      <c r="AI28" s="182" t="n">
        <f aca="false">COUNTIF($D28:$AE28,AI$4)</f>
        <v>0</v>
      </c>
      <c r="AJ28" s="183" t="n">
        <f aca="false">COUNTIF($D28:$AE28,AJ$4)</f>
        <v>2</v>
      </c>
      <c r="AK28" s="182" t="n">
        <f aca="false">COUNTIF($D28:$AE28,AK$4)</f>
        <v>1</v>
      </c>
      <c r="AL28" s="182" t="n">
        <f aca="false">COUNTIF($D28:$AE28,AL$4)</f>
        <v>0</v>
      </c>
      <c r="AM28" s="38" t="n">
        <f aca="false">COUNTIF($D28:$AE28,AM$4)</f>
        <v>0</v>
      </c>
      <c r="AN28" s="38" t="n">
        <f aca="false">COUNTIF($D28:$AE28,AN$4)</f>
        <v>0</v>
      </c>
      <c r="AO28" s="38" t="n">
        <f aca="false">COUNTIF($D28:$AE28,AO$4)</f>
        <v>0</v>
      </c>
      <c r="AP28" s="38" t="n">
        <f aca="false">COUNTIF($D28:$AE28,AP$4)</f>
        <v>0</v>
      </c>
      <c r="AQ28" s="38" t="n">
        <f aca="false">COUNTIF($D28:$AE28,AQ$4)</f>
        <v>0</v>
      </c>
      <c r="AR28" s="67"/>
      <c r="AS28" s="184"/>
      <c r="AT28" s="184"/>
      <c r="AU28" s="38" t="n">
        <f aca="false">SUMPRODUCT(--(WEEKDAY(C$3:AG$3,2)&lt;5),--ISNUMBER(MATCH(C28:AG28,{"DM","CS1","CS2","SB1","AE","CS/B"},0)))</f>
        <v>2</v>
      </c>
      <c r="AV28" s="67"/>
      <c r="AW28" s="38" t="n">
        <f aca="false">SUMPRODUCT(--(WEEKDAY(C$3:AG$3,2)=5),--ISNUMBER(MATCH(C28:AG28,{"DM","CS1","CS2","SB1","AE","CS/B"},0)))</f>
        <v>0</v>
      </c>
      <c r="AX28" s="38" t="n">
        <f aca="false">SUMPRODUCT(--(WEEKDAY(C$3:AG$3,2)&gt;5),--ISNUMBER(MATCH(C28:AG28,{"DM","CS1","CS2","SB1","AE","CS/B"},0)))</f>
        <v>2</v>
      </c>
      <c r="AY28" s="67"/>
      <c r="AZ28" s="38" t="n">
        <f aca="false">(AU28-AV28)+AW28*1.5+(AX28-AY28)*2+AN28*0.5+AP28*0.5+AS28-AT28</f>
        <v>6</v>
      </c>
      <c r="BA28" s="38" t="n">
        <f aca="false">AU28+AW28+AX28</f>
        <v>4</v>
      </c>
      <c r="BB28" s="38" t="n">
        <f aca="false">BE28+BG28+BI28+BK28+BM28</f>
        <v>5</v>
      </c>
      <c r="BC28" s="184" t="n">
        <f aca="false">AZ28+BD28</f>
        <v>10</v>
      </c>
      <c r="BD28" s="38" t="n">
        <f aca="false">BF28+BH28+BJ28+BL28+BN28</f>
        <v>4</v>
      </c>
      <c r="BE28" s="38" t="n">
        <f aca="false">COUNTIF(A28:AI28,"*$BTP*")</f>
        <v>0</v>
      </c>
      <c r="BF28" s="38" t="n">
        <f aca="false">BE28*1.5</f>
        <v>0</v>
      </c>
      <c r="BG28" s="38" t="n">
        <f aca="false">COUNTIF(A28:AI28,"*$M*")</f>
        <v>1</v>
      </c>
      <c r="BH28" s="38" t="n">
        <f aca="false">BG28*1</f>
        <v>1</v>
      </c>
      <c r="BI28" s="38" t="n">
        <f aca="false">COUNTIF(A28:AI28,"*$PM*")</f>
        <v>1</v>
      </c>
      <c r="BJ28" s="38" t="n">
        <f aca="false">BI28*0.5</f>
        <v>0.5</v>
      </c>
      <c r="BK28" s="38" t="n">
        <f aca="false">COUNTIF(A28:AI28,"*$AM*")</f>
        <v>1</v>
      </c>
      <c r="BL28" s="38" t="n">
        <f aca="false">BK28*0.5</f>
        <v>0.5</v>
      </c>
      <c r="BM28" s="38" t="n">
        <f aca="false">COUNTIF(A28:AI28,"*$FC*")</f>
        <v>2</v>
      </c>
      <c r="BN28" s="38" t="n">
        <f aca="false">BM28*1</f>
        <v>2</v>
      </c>
      <c r="BO28" s="38" t="n">
        <f aca="false">COUNTIF($D28:$AA28,BO$4)</f>
        <v>0</v>
      </c>
      <c r="BP28" s="38" t="n">
        <f aca="false">COUNTIF($D28:$AA28,BP$4)</f>
        <v>1</v>
      </c>
      <c r="BQ28" s="38" t="n">
        <f aca="false">COUNTIF($D28:$AA28,BQ$4)</f>
        <v>0</v>
      </c>
      <c r="BR28" s="211"/>
    </row>
    <row r="29" customFormat="false" ht="19.5" hidden="false" customHeight="true" outlineLevel="0" collapsed="false">
      <c r="A29" s="176"/>
      <c r="B29" s="207" t="s">
        <v>618</v>
      </c>
      <c r="C29" s="181"/>
      <c r="D29" s="92"/>
      <c r="E29" s="92"/>
      <c r="F29" s="181"/>
      <c r="G29" s="181" t="s">
        <v>308</v>
      </c>
      <c r="H29" s="92" t="s">
        <v>572</v>
      </c>
      <c r="I29" s="199"/>
      <c r="J29" s="199"/>
      <c r="K29" s="92"/>
      <c r="L29" s="92" t="s">
        <v>573</v>
      </c>
      <c r="M29" s="199"/>
      <c r="N29" s="46" t="s">
        <v>619</v>
      </c>
      <c r="O29" s="189" t="s">
        <v>55</v>
      </c>
      <c r="P29" s="181"/>
      <c r="Q29" s="181"/>
      <c r="R29" s="199"/>
      <c r="S29" s="181"/>
      <c r="T29" s="181"/>
      <c r="U29" s="181" t="s">
        <v>93</v>
      </c>
      <c r="V29" s="92" t="s">
        <v>59</v>
      </c>
      <c r="W29" s="92"/>
      <c r="X29" s="92"/>
      <c r="Y29" s="188" t="s">
        <v>56</v>
      </c>
      <c r="Z29" s="92" t="s">
        <v>93</v>
      </c>
      <c r="AA29" s="92" t="s">
        <v>58</v>
      </c>
      <c r="AB29" s="199"/>
      <c r="AD29" s="181" t="s">
        <v>350</v>
      </c>
      <c r="AE29" s="181"/>
      <c r="AF29" s="181"/>
      <c r="AG29" s="181"/>
      <c r="AH29" s="32"/>
      <c r="AI29" s="182" t="n">
        <f aca="false">COUNTIF($D29:$AE29,AI$4)</f>
        <v>0</v>
      </c>
      <c r="AJ29" s="183" t="n">
        <f aca="false">COUNTIF($D29:$AE29,AJ$4)</f>
        <v>1</v>
      </c>
      <c r="AK29" s="182" t="n">
        <f aca="false">COUNTIF($D29:$AE29,AK$4)</f>
        <v>1</v>
      </c>
      <c r="AL29" s="182" t="n">
        <f aca="false">COUNTIF($D29:$AE29,AL$4)</f>
        <v>0</v>
      </c>
      <c r="AM29" s="38" t="n">
        <f aca="false">COUNTIF($D29:$AE29,AM$4)</f>
        <v>1</v>
      </c>
      <c r="AN29" s="38" t="n">
        <f aca="false">COUNTIF($D29:$AE29,AN$4)</f>
        <v>2</v>
      </c>
      <c r="AO29" s="38" t="n">
        <f aca="false">COUNTIF($D29:$AE29,AO$4)</f>
        <v>0</v>
      </c>
      <c r="AP29" s="38" t="n">
        <f aca="false">COUNTIF($D29:$AE29,AP$4)</f>
        <v>0</v>
      </c>
      <c r="AQ29" s="38" t="n">
        <f aca="false">COUNTIF($D29:$AE29,AQ$4)</f>
        <v>0</v>
      </c>
      <c r="AR29" s="67"/>
      <c r="AS29" s="184" t="n">
        <v>0.5</v>
      </c>
      <c r="AT29" s="184"/>
      <c r="AU29" s="38" t="n">
        <f aca="false">SUMPRODUCT(--(WEEKDAY(C$3:AG$3,2)&lt;5),--ISNUMBER(MATCH(C29:AG29,{"DM","CS1","CS2","SB1","AE","CS/B"},0)))</f>
        <v>2</v>
      </c>
      <c r="AV29" s="67"/>
      <c r="AW29" s="38" t="n">
        <f aca="false">SUMPRODUCT(--(WEEKDAY(C$3:AG$3,2)=5),--ISNUMBER(MATCH(C29:AG29,{"DM","CS1","CS2","SB1","AE","CS/B"},0)))</f>
        <v>1</v>
      </c>
      <c r="AX29" s="38" t="n">
        <f aca="false">SUMPRODUCT(--(WEEKDAY(C$3:AG$3,2)&gt;5),--ISNUMBER(MATCH(C29:AG29,{"DM","CS1","CS2","SB1","AE","CS/B"},0)))</f>
        <v>0</v>
      </c>
      <c r="AY29" s="67"/>
      <c r="AZ29" s="38" t="n">
        <f aca="false">(AU29-AV29)+AW29*1.5+(AX29-AY29)*2+AN29*0.5+AP29*0.5+AS29-AT29</f>
        <v>5</v>
      </c>
      <c r="BA29" s="38" t="n">
        <f aca="false">AU29+AW29+AX29</f>
        <v>3</v>
      </c>
      <c r="BB29" s="38" t="n">
        <f aca="false">BE29+BG29+BI29+BK29+BM29</f>
        <v>2</v>
      </c>
      <c r="BC29" s="184" t="n">
        <f aca="false">AZ29+BD29</f>
        <v>7</v>
      </c>
      <c r="BD29" s="38" t="n">
        <f aca="false">BF29+BH29+BJ29+BL29+BN29</f>
        <v>2</v>
      </c>
      <c r="BE29" s="38" t="n">
        <f aca="false">COUNTIF(A29:AI29,"*$BTP*")</f>
        <v>1</v>
      </c>
      <c r="BF29" s="38" t="n">
        <f aca="false">BE29*1.5</f>
        <v>1.5</v>
      </c>
      <c r="BG29" s="38" t="n">
        <f aca="false">COUNTIF(A29:AI29,"*$M*")</f>
        <v>0</v>
      </c>
      <c r="BH29" s="38" t="n">
        <f aca="false">BG29*1</f>
        <v>0</v>
      </c>
      <c r="BI29" s="38" t="n">
        <f aca="false">COUNTIF(A29:AI29,"*$PM*")</f>
        <v>1</v>
      </c>
      <c r="BJ29" s="38" t="n">
        <f aca="false">BI29*0.5</f>
        <v>0.5</v>
      </c>
      <c r="BK29" s="38" t="n">
        <f aca="false">COUNTIF(A29:AI29,"*$AM*")</f>
        <v>0</v>
      </c>
      <c r="BL29" s="38" t="n">
        <f aca="false">BK29*0.5</f>
        <v>0</v>
      </c>
      <c r="BM29" s="38" t="n">
        <f aca="false">COUNTIF(A29:AI29,"*$FC*")</f>
        <v>0</v>
      </c>
      <c r="BN29" s="38" t="n">
        <f aca="false">BM29*1</f>
        <v>0</v>
      </c>
      <c r="BO29" s="38" t="n">
        <f aca="false">COUNTIF($D29:$AA29,BO$4)</f>
        <v>0</v>
      </c>
      <c r="BP29" s="38" t="n">
        <f aca="false">COUNTIF($D29:$AA29,BP$4)</f>
        <v>0</v>
      </c>
      <c r="BQ29" s="38" t="n">
        <f aca="false">COUNTIF($D29:$AA29,BQ$4)</f>
        <v>1</v>
      </c>
      <c r="BR29" s="211"/>
    </row>
    <row r="30" customFormat="false" ht="19.5" hidden="false" customHeight="true" outlineLevel="0" collapsed="false">
      <c r="A30" s="176"/>
      <c r="B30" s="212" t="s">
        <v>473</v>
      </c>
      <c r="C30" s="187" t="s">
        <v>569</v>
      </c>
      <c r="D30" s="92"/>
      <c r="E30" s="188"/>
      <c r="F30" s="188"/>
      <c r="G30" s="188"/>
      <c r="H30" s="188" t="s">
        <v>350</v>
      </c>
      <c r="I30" s="188"/>
      <c r="J30" s="188"/>
      <c r="K30" s="188"/>
      <c r="L30" s="188"/>
      <c r="M30" s="188"/>
      <c r="N30" s="188"/>
      <c r="O30" s="188"/>
      <c r="P30" s="188"/>
      <c r="Q30" s="188" t="s">
        <v>57</v>
      </c>
      <c r="R30" s="187" t="s">
        <v>570</v>
      </c>
      <c r="S30" s="188"/>
      <c r="T30" s="188"/>
      <c r="U30" s="188"/>
      <c r="V30" s="188"/>
      <c r="W30" s="188"/>
      <c r="X30" s="188"/>
      <c r="Y30" s="92"/>
      <c r="Z30" s="188"/>
      <c r="AA30" s="92"/>
      <c r="AB30" s="188"/>
      <c r="AC30" s="188"/>
      <c r="AD30" s="188"/>
      <c r="AE30" s="188"/>
      <c r="AF30" s="188"/>
      <c r="AG30" s="188"/>
      <c r="AH30" s="32"/>
      <c r="AI30" s="182" t="n">
        <f aca="false">COUNTIF($D30:$AE30,AI$4)</f>
        <v>1</v>
      </c>
      <c r="AJ30" s="183" t="n">
        <f aca="false">COUNTIF($D30:$AE30,AJ$4)</f>
        <v>0</v>
      </c>
      <c r="AK30" s="182" t="n">
        <f aca="false">COUNTIF($D30:$AE30,AK$4)</f>
        <v>0</v>
      </c>
      <c r="AL30" s="182" t="n">
        <f aca="false">COUNTIF($D30:$AE30,AL$4)</f>
        <v>0</v>
      </c>
      <c r="AM30" s="38" t="n">
        <f aca="false">COUNTIF($D30:$AE30,AM$4)</f>
        <v>0</v>
      </c>
      <c r="AN30" s="38" t="n">
        <f aca="false">COUNTIF($D30:$AE30,AN$4)</f>
        <v>0</v>
      </c>
      <c r="AO30" s="38" t="n">
        <f aca="false">COUNTIF($D30:$AE30,AO$4)</f>
        <v>0</v>
      </c>
      <c r="AP30" s="38" t="n">
        <f aca="false">COUNTIF($D30:$AE30,AP$4)</f>
        <v>0</v>
      </c>
      <c r="AQ30" s="38" t="n">
        <f aca="false">COUNTIF($D30:$AE30,AQ$4)</f>
        <v>0</v>
      </c>
      <c r="AR30" s="67"/>
      <c r="AS30" s="184"/>
      <c r="AT30" s="184"/>
      <c r="AU30" s="38" t="n">
        <f aca="false">SUMPRODUCT(--(WEEKDAY(C$3:AG$3,2)&lt;5),--ISNUMBER(MATCH(C30:AG30,{"DM","CS1","CS2","SB1","AE","CS/B"},0)))</f>
        <v>0</v>
      </c>
      <c r="AV30" s="67"/>
      <c r="AW30" s="38" t="n">
        <f aca="false">SUMPRODUCT(--(WEEKDAY(C$3:AG$3,2)=5),--ISNUMBER(MATCH(C30:AG30,{"DM","CS1","CS2","SB1","AE","CS/B"},0)))</f>
        <v>0</v>
      </c>
      <c r="AX30" s="38" t="n">
        <f aca="false">SUMPRODUCT(--(WEEKDAY(C$3:AG$3,2)&gt;5),--ISNUMBER(MATCH(C30:AG30,{"DM","CS1","CS2","SB1","AE","CS/B"},0)))</f>
        <v>1</v>
      </c>
      <c r="AY30" s="67"/>
      <c r="AZ30" s="38" t="n">
        <f aca="false">(AU30-AV30)+AW30*1.5+(AX30-AY30)*2+AN30*0.5+AP30*0.5+AS30-AT30</f>
        <v>2</v>
      </c>
      <c r="BA30" s="38" t="n">
        <f aca="false">AU30+AW30+AX30</f>
        <v>1</v>
      </c>
      <c r="BB30" s="38" t="n">
        <f aca="false">BE30+BG30+BI30+BK30+BM30</f>
        <v>0</v>
      </c>
      <c r="BC30" s="184" t="n">
        <f aca="false">AZ30+BD30</f>
        <v>2</v>
      </c>
      <c r="BD30" s="38" t="n">
        <f aca="false">BF30+BH30+BJ30+BL30+BN30</f>
        <v>0</v>
      </c>
      <c r="BE30" s="38" t="n">
        <f aca="false">COUNTIF(A30:AI30,"*$BTP*")</f>
        <v>0</v>
      </c>
      <c r="BF30" s="38" t="n">
        <f aca="false">BE30*1.5</f>
        <v>0</v>
      </c>
      <c r="BG30" s="38" t="n">
        <f aca="false">COUNTIF(A30:AI30,"*$M*")</f>
        <v>0</v>
      </c>
      <c r="BH30" s="38" t="n">
        <f aca="false">BG30*1</f>
        <v>0</v>
      </c>
      <c r="BI30" s="38" t="n">
        <f aca="false">COUNTIF(A30:AI30,"*$PM*")</f>
        <v>0</v>
      </c>
      <c r="BJ30" s="38" t="n">
        <f aca="false">BI30*0.5</f>
        <v>0</v>
      </c>
      <c r="BK30" s="38" t="n">
        <f aca="false">COUNTIF(A30:AI30,"*$AM*")</f>
        <v>0</v>
      </c>
      <c r="BL30" s="38" t="n">
        <f aca="false">BK30*0.5</f>
        <v>0</v>
      </c>
      <c r="BM30" s="38" t="n">
        <f aca="false">COUNTIF(A30:AI30,"*$FC*")</f>
        <v>0</v>
      </c>
      <c r="BN30" s="38" t="n">
        <f aca="false">BM30*1</f>
        <v>0</v>
      </c>
      <c r="BO30" s="38" t="n">
        <f aca="false">COUNTIF($D30:$AA30,BO$4)</f>
        <v>0</v>
      </c>
      <c r="BP30" s="38" t="n">
        <f aca="false">COUNTIF($D30:$AA30,BP$4)</f>
        <v>1</v>
      </c>
      <c r="BQ30" s="38" t="n">
        <f aca="false">COUNTIF($D30:$AA30,BQ$4)</f>
        <v>0</v>
      </c>
      <c r="BR30" s="211"/>
    </row>
    <row r="31" customFormat="false" ht="19.5" hidden="false" customHeight="true" outlineLevel="0" collapsed="false">
      <c r="A31" s="176"/>
      <c r="B31" s="213" t="s">
        <v>442</v>
      </c>
      <c r="C31" s="181"/>
      <c r="D31" s="92" t="s">
        <v>566</v>
      </c>
      <c r="E31" s="92"/>
      <c r="F31" s="92" t="s">
        <v>573</v>
      </c>
      <c r="G31" s="181" t="s">
        <v>620</v>
      </c>
      <c r="H31" s="181" t="s">
        <v>56</v>
      </c>
      <c r="I31" s="199"/>
      <c r="J31" s="199" t="s">
        <v>621</v>
      </c>
      <c r="K31" s="199" t="s">
        <v>453</v>
      </c>
      <c r="L31" s="181" t="s">
        <v>57</v>
      </c>
      <c r="M31" s="181"/>
      <c r="N31" s="92" t="s">
        <v>93</v>
      </c>
      <c r="O31" s="199"/>
      <c r="P31" s="189" t="s">
        <v>54</v>
      </c>
      <c r="Q31" s="189" t="s">
        <v>54</v>
      </c>
      <c r="R31" s="189" t="s">
        <v>54</v>
      </c>
      <c r="S31" s="189" t="s">
        <v>54</v>
      </c>
      <c r="T31" s="189" t="s">
        <v>54</v>
      </c>
      <c r="U31" s="199" t="s">
        <v>186</v>
      </c>
      <c r="V31" s="189" t="s">
        <v>54</v>
      </c>
      <c r="W31" s="199"/>
      <c r="X31" s="199"/>
      <c r="Y31" s="188"/>
      <c r="Z31" s="181"/>
      <c r="AA31" s="92" t="s">
        <v>57</v>
      </c>
      <c r="AB31" s="181" t="s">
        <v>622</v>
      </c>
      <c r="AC31" s="181"/>
      <c r="AD31" s="181" t="s">
        <v>59</v>
      </c>
      <c r="AE31" s="181"/>
      <c r="AF31" s="181"/>
      <c r="AG31" s="181"/>
      <c r="AH31" s="91"/>
      <c r="AI31" s="182" t="n">
        <f aca="false">COUNTIF($D31:$AE31,AI$4)</f>
        <v>2</v>
      </c>
      <c r="AJ31" s="183" t="n">
        <f aca="false">COUNTIF($D31:$AE31,AJ$4)</f>
        <v>1</v>
      </c>
      <c r="AK31" s="182" t="n">
        <f aca="false">COUNTIF($D31:$AE31,AK$4)</f>
        <v>1</v>
      </c>
      <c r="AL31" s="182" t="n">
        <f aca="false">COUNTIF($D31:$AE31,AL$4)</f>
        <v>1</v>
      </c>
      <c r="AM31" s="38" t="n">
        <f aca="false">COUNTIF($D31:$AE31,AM$4)</f>
        <v>0</v>
      </c>
      <c r="AN31" s="38" t="n">
        <f aca="false">COUNTIF($D31:$AE31,AN$4)</f>
        <v>1</v>
      </c>
      <c r="AO31" s="38" t="n">
        <f aca="false">COUNTIF($D31:$AE31,AO$4)</f>
        <v>0</v>
      </c>
      <c r="AP31" s="38" t="n">
        <f aca="false">COUNTIF($D31:$AE31,AP$4)</f>
        <v>0</v>
      </c>
      <c r="AQ31" s="38" t="n">
        <f aca="false">COUNTIF($D31:$AE31,AQ$4)</f>
        <v>0</v>
      </c>
      <c r="AR31" s="67"/>
      <c r="AS31" s="184"/>
      <c r="AT31" s="184" t="n">
        <v>0.5</v>
      </c>
      <c r="AU31" s="38" t="n">
        <f aca="false">SUMPRODUCT(--(WEEKDAY(C$3:AG$3,2)&lt;5),--ISNUMBER(MATCH(C31:AG31,{"DM","CS1","CS2","SB1","AE","CS/B"},0)))</f>
        <v>3</v>
      </c>
      <c r="AV31" s="67"/>
      <c r="AW31" s="38" t="n">
        <f aca="false">SUMPRODUCT(--(WEEKDAY(C$3:AG$3,2)=5),--ISNUMBER(MATCH(C31:AG31,{"DM","CS1","CS2","SB1","AE","CS/B"},0)))</f>
        <v>1</v>
      </c>
      <c r="AX31" s="38" t="n">
        <f aca="false">SUMPRODUCT(--(WEEKDAY(C$3:AG$3,2)&gt;5),--ISNUMBER(MATCH(C31:AG31,{"DM","CS1","CS2","SB1","AE","CS/B"},0)))</f>
        <v>1</v>
      </c>
      <c r="AY31" s="67"/>
      <c r="AZ31" s="38" t="n">
        <f aca="false">(AU31-AV31)+AW31*1.5+(AX31-AY31)*2+AN31*0.5+AP31*0.5+AS31-AT31</f>
        <v>6.5</v>
      </c>
      <c r="BA31" s="38" t="n">
        <f aca="false">AU31+AW31+AX31</f>
        <v>5</v>
      </c>
      <c r="BB31" s="38" t="n">
        <f aca="false">BE31+BG31+BI31+BK31+BM31</f>
        <v>2</v>
      </c>
      <c r="BC31" s="184" t="n">
        <f aca="false">AZ31+BD31</f>
        <v>8</v>
      </c>
      <c r="BD31" s="38" t="n">
        <f aca="false">BF31+BH31+BJ31+BL31+BN31</f>
        <v>1.5</v>
      </c>
      <c r="BE31" s="38" t="n">
        <f aca="false">COUNTIF(A31:AI31,"*$BTP*")</f>
        <v>0</v>
      </c>
      <c r="BF31" s="38" t="n">
        <f aca="false">BE31*1.5</f>
        <v>0</v>
      </c>
      <c r="BG31" s="38" t="n">
        <f aca="false">COUNTIF(A31:AI31,"*$M*")</f>
        <v>1</v>
      </c>
      <c r="BH31" s="38" t="n">
        <f aca="false">BG31*1</f>
        <v>1</v>
      </c>
      <c r="BI31" s="38" t="n">
        <f aca="false">COUNTIF(A31:AI31,"*$PM*")</f>
        <v>0</v>
      </c>
      <c r="BJ31" s="38" t="n">
        <f aca="false">BI31*0.5</f>
        <v>0</v>
      </c>
      <c r="BK31" s="38" t="n">
        <f aca="false">COUNTIF(A31:AI31,"*$AM*")</f>
        <v>1</v>
      </c>
      <c r="BL31" s="38" t="n">
        <f aca="false">BK31*0.5</f>
        <v>0.5</v>
      </c>
      <c r="BM31" s="38" t="n">
        <f aca="false">COUNTIF(A31:AI31,"*$FC*")</f>
        <v>0</v>
      </c>
      <c r="BN31" s="38" t="n">
        <f aca="false">BM31*1</f>
        <v>0</v>
      </c>
      <c r="BO31" s="38" t="n">
        <f aca="false">COUNTIF($D31:$AA31,BO$4)</f>
        <v>0</v>
      </c>
      <c r="BP31" s="38" t="n">
        <f aca="false">COUNTIF($D31:$AA31,BP$4)</f>
        <v>0</v>
      </c>
      <c r="BQ31" s="38" t="n">
        <f aca="false">COUNTIF($D31:$AA31,BQ$4)</f>
        <v>0</v>
      </c>
      <c r="BR31" s="211"/>
    </row>
    <row r="32" customFormat="false" ht="19.5" hidden="false" customHeight="true" outlineLevel="0" collapsed="false">
      <c r="A32" s="176"/>
      <c r="B32" s="213" t="s">
        <v>623</v>
      </c>
      <c r="C32" s="188"/>
      <c r="D32" s="188"/>
      <c r="E32" s="181" t="s">
        <v>236</v>
      </c>
      <c r="F32" s="181" t="s">
        <v>576</v>
      </c>
      <c r="G32" s="92" t="s">
        <v>566</v>
      </c>
      <c r="H32" s="92" t="s">
        <v>572</v>
      </c>
      <c r="I32" s="188" t="s">
        <v>59</v>
      </c>
      <c r="J32" s="181"/>
      <c r="K32" s="181" t="s">
        <v>576</v>
      </c>
      <c r="L32" s="188" t="s">
        <v>93</v>
      </c>
      <c r="M32" s="188" t="s">
        <v>624</v>
      </c>
      <c r="O32" s="92"/>
      <c r="P32" s="188" t="s">
        <v>54</v>
      </c>
      <c r="Q32" s="188" t="s">
        <v>54</v>
      </c>
      <c r="R32" s="188" t="s">
        <v>54</v>
      </c>
      <c r="S32" s="188" t="s">
        <v>54</v>
      </c>
      <c r="T32" s="188" t="s">
        <v>54</v>
      </c>
      <c r="U32" s="188" t="s">
        <v>54</v>
      </c>
      <c r="V32" s="188" t="s">
        <v>54</v>
      </c>
      <c r="W32" s="188" t="s">
        <v>54</v>
      </c>
      <c r="X32" s="188" t="s">
        <v>54</v>
      </c>
      <c r="Y32" s="188" t="s">
        <v>54</v>
      </c>
      <c r="Z32" s="188" t="s">
        <v>54</v>
      </c>
      <c r="AA32" s="188" t="s">
        <v>54</v>
      </c>
      <c r="AB32" s="188" t="s">
        <v>54</v>
      </c>
      <c r="AC32" s="188" t="s">
        <v>54</v>
      </c>
      <c r="AD32" s="188"/>
      <c r="AE32" s="188"/>
      <c r="AF32" s="188"/>
      <c r="AG32" s="188"/>
      <c r="AH32" s="32"/>
      <c r="AI32" s="182" t="n">
        <f aca="false">COUNTIF($D32:$AE32,AI$4)</f>
        <v>0</v>
      </c>
      <c r="AJ32" s="183" t="n">
        <f aca="false">COUNTIF($D32:$AE32,AJ$4)</f>
        <v>0</v>
      </c>
      <c r="AK32" s="182" t="n">
        <f aca="false">COUNTIF($D32:$AE32,AK$4)</f>
        <v>1</v>
      </c>
      <c r="AL32" s="182" t="n">
        <f aca="false">COUNTIF($D32:$AE32,AL$4)</f>
        <v>1</v>
      </c>
      <c r="AM32" s="38" t="n">
        <f aca="false">COUNTIF($D32:$AE32,AM$4)</f>
        <v>0</v>
      </c>
      <c r="AN32" s="38" t="n">
        <f aca="false">COUNTIF($D32:$AE32,AN$4)</f>
        <v>1</v>
      </c>
      <c r="AO32" s="38" t="n">
        <f aca="false">COUNTIF($D32:$AE32,AO$4)</f>
        <v>0</v>
      </c>
      <c r="AP32" s="38" t="n">
        <f aca="false">COUNTIF($D32:$AE32,AP$4)</f>
        <v>2</v>
      </c>
      <c r="AQ32" s="38" t="n">
        <f aca="false">COUNTIF($D32:$AE32,AQ$4)</f>
        <v>0</v>
      </c>
      <c r="AR32" s="67"/>
      <c r="AS32" s="184" t="n">
        <v>1</v>
      </c>
      <c r="AT32" s="184"/>
      <c r="AU32" s="38" t="n">
        <f aca="false">SUMPRODUCT(--(WEEKDAY(C$3:AG$3,2)&lt;5),--ISNUMBER(MATCH(C32:AG32,{"DM","CS1","CS2","SB1","AE","CS/B"},0)))</f>
        <v>1</v>
      </c>
      <c r="AV32" s="67"/>
      <c r="AW32" s="38" t="n">
        <f aca="false">SUMPRODUCT(--(WEEKDAY(C$3:AG$3,2)=5),--ISNUMBER(MATCH(C32:AG32,{"DM","CS1","CS2","SB1","AE","CS/B"},0)))</f>
        <v>0</v>
      </c>
      <c r="AX32" s="38" t="n">
        <f aca="false">SUMPRODUCT(--(WEEKDAY(C$3:AG$3,2)&gt;5),--ISNUMBER(MATCH(C32:AG32,{"DM","CS1","CS2","SB1","AE","CS/B"},0)))</f>
        <v>1</v>
      </c>
      <c r="AY32" s="67"/>
      <c r="AZ32" s="38" t="n">
        <f aca="false">(AU32-AV32)+AW32*1.5+(AX32-AY32)*2+AN32*0.5+AP32*0.5+AS32-AT32</f>
        <v>5.5</v>
      </c>
      <c r="BA32" s="38" t="n">
        <f aca="false">AU32+AW32+AX32</f>
        <v>2</v>
      </c>
      <c r="BB32" s="38" t="n">
        <f aca="false">BE32+BG32+BI32+BK32+BM32</f>
        <v>2</v>
      </c>
      <c r="BC32" s="184" t="n">
        <f aca="false">AZ32+BD32</f>
        <v>7.5</v>
      </c>
      <c r="BD32" s="38" t="n">
        <f aca="false">BF32+BH32+BJ32+BL32+BN32</f>
        <v>2</v>
      </c>
      <c r="BE32" s="38" t="n">
        <f aca="false">COUNTIF(A32:AI32,"*$BTP*")</f>
        <v>1</v>
      </c>
      <c r="BF32" s="38" t="n">
        <f aca="false">BE32*1.5</f>
        <v>1.5</v>
      </c>
      <c r="BG32" s="38" t="n">
        <f aca="false">COUNTIF(A32:AI32,"*$M*")</f>
        <v>0</v>
      </c>
      <c r="BH32" s="38" t="n">
        <f aca="false">BG32*1</f>
        <v>0</v>
      </c>
      <c r="BI32" s="38" t="n">
        <f aca="false">COUNTIF(A32:AI32,"*$PM*")</f>
        <v>0</v>
      </c>
      <c r="BJ32" s="38" t="n">
        <f aca="false">BI32*0.5</f>
        <v>0</v>
      </c>
      <c r="BK32" s="38" t="n">
        <f aca="false">COUNTIF(A32:AI32,"*$AM*")</f>
        <v>1</v>
      </c>
      <c r="BL32" s="38" t="n">
        <f aca="false">BK32*0.5</f>
        <v>0.5</v>
      </c>
      <c r="BM32" s="38" t="n">
        <f aca="false">COUNTIF(A32:AI32,"*$FC*")</f>
        <v>0</v>
      </c>
      <c r="BN32" s="38" t="n">
        <f aca="false">BM32*1</f>
        <v>0</v>
      </c>
      <c r="BO32" s="38" t="n">
        <f aca="false">COUNTIF($D32:$AA32,BO$4)</f>
        <v>0</v>
      </c>
      <c r="BP32" s="38" t="n">
        <f aca="false">COUNTIF($D32:$AA32,BP$4)</f>
        <v>0</v>
      </c>
      <c r="BQ32" s="38" t="n">
        <f aca="false">COUNTIF($D32:$AA32,BQ$4)</f>
        <v>0</v>
      </c>
      <c r="BR32" s="211"/>
    </row>
    <row r="33" customFormat="false" ht="19.5" hidden="false" customHeight="true" outlineLevel="0" collapsed="false">
      <c r="A33" s="176"/>
      <c r="B33" s="207" t="s">
        <v>625</v>
      </c>
      <c r="C33" s="181"/>
      <c r="D33" s="181" t="s">
        <v>576</v>
      </c>
      <c r="E33" s="181" t="s">
        <v>65</v>
      </c>
      <c r="F33" s="214"/>
      <c r="G33" s="181"/>
      <c r="H33" s="181" t="s">
        <v>572</v>
      </c>
      <c r="I33" s="214"/>
      <c r="J33" s="214"/>
      <c r="K33" s="92" t="s">
        <v>626</v>
      </c>
      <c r="L33" s="181" t="s">
        <v>58</v>
      </c>
      <c r="M33" s="181" t="s">
        <v>590</v>
      </c>
      <c r="N33" s="181" t="s">
        <v>590</v>
      </c>
      <c r="O33" s="181" t="s">
        <v>65</v>
      </c>
      <c r="P33" s="214"/>
      <c r="Q33" s="214"/>
      <c r="R33" s="181" t="s">
        <v>566</v>
      </c>
      <c r="S33" s="181"/>
      <c r="T33" s="181" t="s">
        <v>65</v>
      </c>
      <c r="U33" s="181"/>
      <c r="V33" s="199"/>
      <c r="W33" s="199"/>
      <c r="X33" s="199"/>
      <c r="Y33" s="181" t="s">
        <v>566</v>
      </c>
      <c r="Z33" s="181" t="s">
        <v>69</v>
      </c>
      <c r="AB33" s="92"/>
      <c r="AC33" s="188" t="s">
        <v>56</v>
      </c>
      <c r="AD33" s="181"/>
      <c r="AE33" s="181"/>
      <c r="AF33" s="181"/>
      <c r="AG33" s="181"/>
      <c r="AH33" s="32"/>
      <c r="AI33" s="182" t="n">
        <f aca="false">COUNTIF($D33:$AE33,AI$4)</f>
        <v>0</v>
      </c>
      <c r="AJ33" s="183" t="n">
        <f aca="false">COUNTIF($D33:$AE33,AJ$4)</f>
        <v>1</v>
      </c>
      <c r="AK33" s="182" t="n">
        <f aca="false">COUNTIF($D33:$AE33,AK$4)</f>
        <v>0</v>
      </c>
      <c r="AL33" s="182" t="n">
        <f aca="false">COUNTIF($D33:$AE33,AL$4)</f>
        <v>2</v>
      </c>
      <c r="AM33" s="38" t="n">
        <f aca="false">COUNTIF($D33:$AE33,AM$4)</f>
        <v>1</v>
      </c>
      <c r="AN33" s="38" t="n">
        <f aca="false">COUNTIF($D33:$AE33,AN$4)</f>
        <v>0</v>
      </c>
      <c r="AO33" s="38" t="n">
        <f aca="false">COUNTIF($D33:$AE33,AO$4)</f>
        <v>3</v>
      </c>
      <c r="AP33" s="38" t="n">
        <f aca="false">COUNTIF($D33:$AE33,AP$4)</f>
        <v>1</v>
      </c>
      <c r="AQ33" s="38" t="n">
        <f aca="false">COUNTIF($D33:$AE33,AQ$4)</f>
        <v>0</v>
      </c>
      <c r="AR33" s="67"/>
      <c r="AS33" s="184"/>
      <c r="AT33" s="184"/>
      <c r="AU33" s="38" t="n">
        <f aca="false">SUMPRODUCT(--(WEEKDAY(C$3:AG$3,2)&lt;5),--ISNUMBER(MATCH(C33:AG33,{"DM","CS1","CS2","SB1","AE","CS/B"},0)))</f>
        <v>5</v>
      </c>
      <c r="AV33" s="67"/>
      <c r="AW33" s="38" t="n">
        <f aca="false">SUMPRODUCT(--(WEEKDAY(C$3:AG$3,2)=5),--ISNUMBER(MATCH(C33:AG33,{"DM","CS1","CS2","SB1","AE","CS/B"},0)))</f>
        <v>2</v>
      </c>
      <c r="AX33" s="38" t="n">
        <f aca="false">SUMPRODUCT(--(WEEKDAY(C$3:AG$3,2)&gt;5),--ISNUMBER(MATCH(C33:AG33,{"DM","CS1","CS2","SB1","AE","CS/B"},0)))</f>
        <v>0</v>
      </c>
      <c r="AY33" s="67"/>
      <c r="AZ33" s="38" t="n">
        <f aca="false">(AU33-AV33)+AW33*1.5+(AX33-AY33)*2+AN33*0.5+AP33*0.5+AS33-AT33</f>
        <v>8.5</v>
      </c>
      <c r="BA33" s="38" t="n">
        <f aca="false">AU33+AW33+AX33</f>
        <v>7</v>
      </c>
      <c r="BB33" s="38" t="n">
        <f aca="false">BE33+BG33+BI33+BK33+BM33</f>
        <v>0</v>
      </c>
      <c r="BC33" s="184" t="n">
        <f aca="false">AZ33+BD33</f>
        <v>8.5</v>
      </c>
      <c r="BD33" s="38" t="n">
        <f aca="false">BF33+BH33+BJ33+BL33+BN33</f>
        <v>0</v>
      </c>
      <c r="BE33" s="38" t="n">
        <f aca="false">COUNTIF(A33:AI33,"*$BTP*")</f>
        <v>0</v>
      </c>
      <c r="BF33" s="38" t="n">
        <f aca="false">BE33*1.5</f>
        <v>0</v>
      </c>
      <c r="BG33" s="38" t="n">
        <f aca="false">COUNTIF(A33:AI33,"*$M*")</f>
        <v>0</v>
      </c>
      <c r="BH33" s="38" t="n">
        <f aca="false">BG33*1</f>
        <v>0</v>
      </c>
      <c r="BI33" s="38" t="n">
        <f aca="false">COUNTIF(A33:AI33,"*$PM*")</f>
        <v>0</v>
      </c>
      <c r="BJ33" s="38" t="n">
        <f aca="false">BI33*0.5</f>
        <v>0</v>
      </c>
      <c r="BK33" s="38" t="n">
        <f aca="false">COUNTIF(A33:AI33,"*$AM*")</f>
        <v>0</v>
      </c>
      <c r="BL33" s="38" t="n">
        <f aca="false">BK33*0.5</f>
        <v>0</v>
      </c>
      <c r="BM33" s="38" t="n">
        <f aca="false">COUNTIF(A33:AI33,"*$FC*")</f>
        <v>0</v>
      </c>
      <c r="BN33" s="38" t="n">
        <f aca="false">BM33*1</f>
        <v>0</v>
      </c>
      <c r="BO33" s="38" t="n">
        <f aca="false">COUNTIF($D33:$AA33,BO$4)</f>
        <v>0</v>
      </c>
      <c r="BP33" s="38" t="n">
        <f aca="false">COUNTIF($D33:$AA33,BP$4)</f>
        <v>0</v>
      </c>
      <c r="BQ33" s="38" t="n">
        <f aca="false">COUNTIF($D33:$AA33,BQ$4)</f>
        <v>0</v>
      </c>
      <c r="BR33" s="211"/>
    </row>
    <row r="34" customFormat="false" ht="19.5" hidden="false" customHeight="true" outlineLevel="0" collapsed="false">
      <c r="A34" s="176"/>
      <c r="B34" s="201" t="s">
        <v>627</v>
      </c>
      <c r="C34" s="188"/>
      <c r="D34" s="188"/>
      <c r="E34" s="188" t="s">
        <v>628</v>
      </c>
      <c r="F34" s="188"/>
      <c r="G34" s="92"/>
      <c r="H34" s="181" t="s">
        <v>629</v>
      </c>
      <c r="I34" s="188" t="s">
        <v>58</v>
      </c>
      <c r="J34" s="188"/>
      <c r="K34" s="181" t="s">
        <v>576</v>
      </c>
      <c r="L34" s="178" t="s">
        <v>630</v>
      </c>
      <c r="M34" s="92"/>
      <c r="N34" s="92" t="s">
        <v>631</v>
      </c>
      <c r="O34" s="92" t="s">
        <v>59</v>
      </c>
      <c r="P34" s="188"/>
      <c r="Q34" s="188"/>
      <c r="R34" s="92"/>
      <c r="S34" s="188" t="s">
        <v>56</v>
      </c>
      <c r="T34" s="181"/>
      <c r="U34" s="92" t="s">
        <v>563</v>
      </c>
      <c r="V34" s="92" t="s">
        <v>563</v>
      </c>
      <c r="W34" s="188"/>
      <c r="X34" s="91" t="s">
        <v>350</v>
      </c>
      <c r="Y34" s="188"/>
      <c r="Z34" s="188" t="s">
        <v>246</v>
      </c>
      <c r="AA34" s="92"/>
      <c r="AB34" s="92" t="s">
        <v>632</v>
      </c>
      <c r="AC34" s="188"/>
      <c r="AD34" s="188"/>
      <c r="AE34" s="188"/>
      <c r="AF34" s="188"/>
      <c r="AG34" s="188"/>
      <c r="AH34" s="32"/>
      <c r="AI34" s="182" t="n">
        <f aca="false">COUNTIF($D34:$AE34,AI$4)</f>
        <v>0</v>
      </c>
      <c r="AJ34" s="183" t="n">
        <f aca="false">COUNTIF($D34:$AE34,AJ$4)</f>
        <v>1</v>
      </c>
      <c r="AK34" s="182" t="n">
        <f aca="false">COUNTIF($D34:$AE34,AK$4)</f>
        <v>1</v>
      </c>
      <c r="AL34" s="182" t="n">
        <f aca="false">COUNTIF($D34:$AE34,AL$4)</f>
        <v>0</v>
      </c>
      <c r="AM34" s="38" t="n">
        <f aca="false">COUNTIF($D34:$AE34,AM$4)</f>
        <v>1</v>
      </c>
      <c r="AN34" s="38" t="n">
        <f aca="false">COUNTIF($D34:$AE34,AN$4)</f>
        <v>0</v>
      </c>
      <c r="AO34" s="38" t="n">
        <f aca="false">COUNTIF($D34:$AE34,AO$4)</f>
        <v>0</v>
      </c>
      <c r="AP34" s="38" t="n">
        <f aca="false">COUNTIF($D34:$AE34,AP$4)</f>
        <v>1</v>
      </c>
      <c r="AQ34" s="38" t="n">
        <f aca="false">COUNTIF($D34:$AE34,AQ$4)</f>
        <v>0</v>
      </c>
      <c r="AR34" s="67"/>
      <c r="AS34" s="184"/>
      <c r="AT34" s="184" t="n">
        <v>1</v>
      </c>
      <c r="AU34" s="38" t="n">
        <f aca="false">SUMPRODUCT(--(WEEKDAY(C$3:AG$3,2)&lt;5),--ISNUMBER(MATCH(C34:AG34,{"DM","CS1","CS2","SB1","AE","CS/B"},0)))</f>
        <v>1</v>
      </c>
      <c r="AV34" s="67"/>
      <c r="AW34" s="38" t="n">
        <f aca="false">SUMPRODUCT(--(WEEKDAY(C$3:AG$3,2)=5),--ISNUMBER(MATCH(C34:AG34,{"DM","CS1","CS2","SB1","AE","CS/B"},0)))</f>
        <v>1</v>
      </c>
      <c r="AX34" s="38" t="n">
        <f aca="false">SUMPRODUCT(--(WEEKDAY(C$3:AG$3,2)&gt;5),--ISNUMBER(MATCH(C34:AG34,{"DM","CS1","CS2","SB1","AE","CS/B"},0)))</f>
        <v>1</v>
      </c>
      <c r="AY34" s="67" t="n">
        <v>1</v>
      </c>
      <c r="AZ34" s="38" t="n">
        <f aca="false">(AU34-AV34)+AW34*1.5+(AX34-AY34)*2+AN34*0.5+AP34*0.5+AS34-AT34</f>
        <v>2</v>
      </c>
      <c r="BA34" s="38" t="n">
        <f aca="false">AU34+AW34+AX34</f>
        <v>3</v>
      </c>
      <c r="BB34" s="38" t="n">
        <f aca="false">BE34+BG34+BI34+BK34+BM34</f>
        <v>6</v>
      </c>
      <c r="BC34" s="184" t="n">
        <f aca="false">AZ34+BD34</f>
        <v>7</v>
      </c>
      <c r="BD34" s="38" t="n">
        <f aca="false">BF34+BH34+BJ34+BL34+BN34</f>
        <v>5</v>
      </c>
      <c r="BE34" s="38" t="n">
        <f aca="false">COUNTIF(A34:AI34,"*$BTP*")</f>
        <v>1</v>
      </c>
      <c r="BF34" s="38" t="n">
        <f aca="false">BE34*1.5</f>
        <v>1.5</v>
      </c>
      <c r="BG34" s="38" t="n">
        <f aca="false">COUNTIF(A34:AI34,"*$M*")</f>
        <v>2</v>
      </c>
      <c r="BH34" s="38" t="n">
        <f aca="false">BG34*1</f>
        <v>2</v>
      </c>
      <c r="BI34" s="38" t="n">
        <f aca="false">COUNTIF(A34:AI34,"*$PM*")</f>
        <v>0</v>
      </c>
      <c r="BJ34" s="38" t="n">
        <f aca="false">BI34*0.5</f>
        <v>0</v>
      </c>
      <c r="BK34" s="38" t="n">
        <f aca="false">COUNTIF(A34:AI34,"*$AM*")</f>
        <v>3</v>
      </c>
      <c r="BL34" s="38" t="n">
        <f aca="false">BK34*0.5</f>
        <v>1.5</v>
      </c>
      <c r="BM34" s="38" t="n">
        <f aca="false">COUNTIF(A34:AI34,"*$FC*")</f>
        <v>0</v>
      </c>
      <c r="BN34" s="38" t="n">
        <f aca="false">BM34*1</f>
        <v>0</v>
      </c>
      <c r="BO34" s="38" t="n">
        <f aca="false">COUNTIF($D34:$Z34,BO$4)</f>
        <v>0</v>
      </c>
      <c r="BP34" s="38" t="n">
        <f aca="false">COUNTIF($D34:$Z34,BP$4)</f>
        <v>1</v>
      </c>
      <c r="BQ34" s="38" t="n">
        <f aca="false">COUNTIF($D34:$Z34,BQ$4)</f>
        <v>0</v>
      </c>
      <c r="BR34" s="211"/>
    </row>
    <row r="35" customFormat="false" ht="19.5" hidden="false" customHeight="true" outlineLevel="0" collapsed="false">
      <c r="A35" s="176"/>
      <c r="B35" s="207" t="s">
        <v>633</v>
      </c>
      <c r="C35" s="181"/>
      <c r="D35" s="181" t="s">
        <v>252</v>
      </c>
      <c r="E35" s="181"/>
      <c r="F35" s="92" t="s">
        <v>573</v>
      </c>
      <c r="G35" s="181" t="s">
        <v>576</v>
      </c>
      <c r="H35" s="92" t="s">
        <v>572</v>
      </c>
      <c r="I35" s="92"/>
      <c r="J35" s="181" t="s">
        <v>65</v>
      </c>
      <c r="K35" s="92"/>
      <c r="L35" s="188" t="s">
        <v>624</v>
      </c>
      <c r="M35" s="181" t="s">
        <v>576</v>
      </c>
      <c r="N35" s="188" t="s">
        <v>634</v>
      </c>
      <c r="O35" s="188" t="s">
        <v>635</v>
      </c>
      <c r="P35" s="181"/>
      <c r="Q35" s="181"/>
      <c r="R35" s="181" t="s">
        <v>55</v>
      </c>
      <c r="S35" s="181" t="s">
        <v>55</v>
      </c>
      <c r="T35" s="181" t="s">
        <v>55</v>
      </c>
      <c r="U35" s="181" t="s">
        <v>55</v>
      </c>
      <c r="V35" s="181" t="s">
        <v>55</v>
      </c>
      <c r="W35" s="181"/>
      <c r="X35" s="181"/>
      <c r="Y35" s="188"/>
      <c r="Z35" s="92"/>
      <c r="AA35" s="181" t="s">
        <v>636</v>
      </c>
      <c r="AB35" s="188" t="s">
        <v>275</v>
      </c>
      <c r="AC35" s="92"/>
      <c r="AD35" s="181"/>
      <c r="AE35" s="181"/>
      <c r="AF35" s="181"/>
      <c r="AG35" s="181"/>
      <c r="AH35" s="32"/>
      <c r="AI35" s="182" t="n">
        <f aca="false">COUNTIF($D35:$AE35,AI$4)</f>
        <v>0</v>
      </c>
      <c r="AJ35" s="183" t="n">
        <f aca="false">COUNTIF($D35:$AE35,AJ$4)</f>
        <v>0</v>
      </c>
      <c r="AK35" s="182" t="n">
        <f aca="false">COUNTIF($D35:$AE35,AK$4)</f>
        <v>0</v>
      </c>
      <c r="AL35" s="182" t="n">
        <f aca="false">COUNTIF($D35:$AE35,AL$4)</f>
        <v>0</v>
      </c>
      <c r="AM35" s="38" t="n">
        <f aca="false">COUNTIF($D35:$AE35,AM$4)</f>
        <v>0</v>
      </c>
      <c r="AN35" s="38" t="n">
        <f aca="false">COUNTIF($D35:$AE35,AN$4)</f>
        <v>0</v>
      </c>
      <c r="AO35" s="38" t="n">
        <f aca="false">COUNTIF($D35:$AE35,AO$4)</f>
        <v>1</v>
      </c>
      <c r="AP35" s="38" t="n">
        <f aca="false">COUNTIF($D35:$AE35,AP$4)</f>
        <v>2</v>
      </c>
      <c r="AQ35" s="38" t="n">
        <f aca="false">COUNTIF($D35:$AE35,AQ$4)</f>
        <v>0</v>
      </c>
      <c r="AR35" s="67"/>
      <c r="AS35" s="184" t="n">
        <v>0.5</v>
      </c>
      <c r="AT35" s="184"/>
      <c r="AU35" s="38" t="n">
        <f aca="false">SUMPRODUCT(--(WEEKDAY(C$3:AG$3,2)&lt;5),--ISNUMBER(MATCH(C35:AG35,{"DM","CS1","CS2","SB1","AE","CS/B"},0)))</f>
        <v>0</v>
      </c>
      <c r="AV35" s="67"/>
      <c r="AW35" s="38" t="n">
        <f aca="false">SUMPRODUCT(--(WEEKDAY(C$3:AG$3,2)=5),--ISNUMBER(MATCH(C35:AG35,{"DM","CS1","CS2","SB1","AE","CS/B"},0)))</f>
        <v>0</v>
      </c>
      <c r="AX35" s="38" t="n">
        <f aca="false">SUMPRODUCT(--(WEEKDAY(C$3:AG$3,2)&gt;5),--ISNUMBER(MATCH(C35:AG35,{"DM","CS1","CS2","SB1","AE","CS/B"},0)))</f>
        <v>1</v>
      </c>
      <c r="AY35" s="67"/>
      <c r="AZ35" s="38" t="n">
        <f aca="false">(AU35-AV35)+AW35*1.5+(AX35-AY35)*2+AN35*0.5+AP35*0.5+AS35-AT35</f>
        <v>3.5</v>
      </c>
      <c r="BA35" s="38" t="n">
        <f aca="false">AU35+AW35+AX35</f>
        <v>1</v>
      </c>
      <c r="BB35" s="38" t="n">
        <f aca="false">BE35+BG35+BI35+BK35+BM35</f>
        <v>6</v>
      </c>
      <c r="BC35" s="184" t="n">
        <f aca="false">AZ35+BD35</f>
        <v>9</v>
      </c>
      <c r="BD35" s="38" t="n">
        <f aca="false">BF35+BH35+BJ35+BL35+BN35</f>
        <v>5.5</v>
      </c>
      <c r="BE35" s="38" t="n">
        <f aca="false">COUNTIF(A35:AI35,"*$BTP*")</f>
        <v>1</v>
      </c>
      <c r="BF35" s="38" t="n">
        <f aca="false">BE35*1.5</f>
        <v>1.5</v>
      </c>
      <c r="BG35" s="38" t="n">
        <f aca="false">COUNTIF(A35:AI35,"*$M*")</f>
        <v>3</v>
      </c>
      <c r="BH35" s="38" t="n">
        <f aca="false">BG35*1</f>
        <v>3</v>
      </c>
      <c r="BI35" s="38" t="n">
        <f aca="false">COUNTIF(A35:AI35,"*$PM*")</f>
        <v>1</v>
      </c>
      <c r="BJ35" s="38" t="n">
        <f aca="false">BI35*0.5</f>
        <v>0.5</v>
      </c>
      <c r="BK35" s="38" t="n">
        <f aca="false">COUNTIF(A35:AI35,"*$AM*")</f>
        <v>1</v>
      </c>
      <c r="BL35" s="38" t="n">
        <f aca="false">BK35*0.5</f>
        <v>0.5</v>
      </c>
      <c r="BM35" s="38" t="n">
        <f aca="false">COUNTIF(A35:AI35,"*$FC*")</f>
        <v>0</v>
      </c>
      <c r="BN35" s="38" t="n">
        <f aca="false">BM35*1</f>
        <v>0</v>
      </c>
      <c r="BO35" s="38" t="n">
        <f aca="false">COUNTIF($D35:$Z35,BO$4)</f>
        <v>0</v>
      </c>
      <c r="BP35" s="38" t="n">
        <f aca="false">COUNTIF($D35:$Z35,BP$4)</f>
        <v>0</v>
      </c>
      <c r="BQ35" s="38" t="n">
        <f aca="false">COUNTIF($D35:$Z35,BQ$4)</f>
        <v>5</v>
      </c>
      <c r="BR35" s="211"/>
    </row>
    <row r="36" customFormat="false" ht="19.5" hidden="false" customHeight="true" outlineLevel="0" collapsed="false">
      <c r="A36" s="176"/>
      <c r="B36" s="207" t="s">
        <v>637</v>
      </c>
      <c r="C36" s="188" t="s">
        <v>534</v>
      </c>
      <c r="D36" s="188" t="s">
        <v>534</v>
      </c>
      <c r="E36" s="188" t="s">
        <v>534</v>
      </c>
      <c r="F36" s="188" t="s">
        <v>534</v>
      </c>
      <c r="G36" s="188" t="s">
        <v>534</v>
      </c>
      <c r="H36" s="188"/>
      <c r="I36" s="188"/>
      <c r="J36" s="188"/>
      <c r="K36" s="181" t="s">
        <v>65</v>
      </c>
      <c r="M36" s="188" t="s">
        <v>350</v>
      </c>
      <c r="N36" s="188" t="s">
        <v>578</v>
      </c>
      <c r="O36" s="188" t="s">
        <v>310</v>
      </c>
      <c r="P36" s="188"/>
      <c r="Q36" s="188"/>
      <c r="R36" s="188" t="s">
        <v>350</v>
      </c>
      <c r="S36" s="188"/>
      <c r="T36" s="188" t="s">
        <v>59</v>
      </c>
      <c r="U36" s="188"/>
      <c r="V36" s="181" t="s">
        <v>638</v>
      </c>
      <c r="W36" s="188"/>
      <c r="X36" s="92"/>
      <c r="Y36" s="188" t="s">
        <v>599</v>
      </c>
      <c r="Z36" s="92"/>
      <c r="AA36" s="188" t="s">
        <v>573</v>
      </c>
      <c r="AB36" s="91" t="s">
        <v>580</v>
      </c>
      <c r="AC36" s="92"/>
      <c r="AD36" s="188"/>
      <c r="AE36" s="188"/>
      <c r="AF36" s="188"/>
      <c r="AG36" s="188"/>
      <c r="AH36" s="32"/>
      <c r="AI36" s="182" t="n">
        <f aca="false">COUNTIF($H36:$AE36,AI$4)</f>
        <v>0</v>
      </c>
      <c r="AJ36" s="183" t="n">
        <f aca="false">COUNTIF($H36:$AE36,AJ$4)</f>
        <v>0</v>
      </c>
      <c r="AK36" s="182" t="n">
        <f aca="false">COUNTIF($H36:$AE36,AK$4)</f>
        <v>1</v>
      </c>
      <c r="AL36" s="182" t="n">
        <f aca="false">COUNTIF($H36:$AE36,AL$4)</f>
        <v>0</v>
      </c>
      <c r="AM36" s="38" t="n">
        <f aca="false">COUNTIF($H36:$AE36,AM$4)</f>
        <v>0</v>
      </c>
      <c r="AN36" s="38" t="n">
        <f aca="false">COUNTIF($H36:$AE36,AN$4)</f>
        <v>0</v>
      </c>
      <c r="AO36" s="38" t="n">
        <f aca="false">COUNTIF($H36:$AE36,AO$4)</f>
        <v>1</v>
      </c>
      <c r="AP36" s="38" t="n">
        <f aca="false">COUNTIF($H36:$AE36,AP$4)</f>
        <v>0</v>
      </c>
      <c r="AQ36" s="38" t="n">
        <f aca="false">COUNTIF($H36:$AE36,AQ$4)</f>
        <v>0</v>
      </c>
      <c r="AR36" s="67"/>
      <c r="AS36" s="184" t="n">
        <v>1</v>
      </c>
      <c r="AT36" s="184"/>
      <c r="AU36" s="38" t="n">
        <f aca="false">SUMPRODUCT(--(WEEKDAY(C$3:AG$3,2)&lt;5),--ISNUMBER(MATCH(C36:AG36,{"DM","CS1","CS2","SB1","AE","CS/B"},0)))</f>
        <v>2</v>
      </c>
      <c r="AV36" s="67"/>
      <c r="AW36" s="38" t="n">
        <f aca="false">SUMPRODUCT(--(WEEKDAY(C$3:AG$3,2)=5),--ISNUMBER(MATCH(C36:AG36,{"DM","CS1","CS2","SB1","AE","CS/B"},0)))</f>
        <v>0</v>
      </c>
      <c r="AX36" s="38" t="n">
        <f aca="false">SUMPRODUCT(--(WEEKDAY(C$3:AG$3,2)&gt;5),--ISNUMBER(MATCH(C36:AG36,{"DM","CS1","CS2","SB1","AE","CS/B"},0)))</f>
        <v>0</v>
      </c>
      <c r="AY36" s="67"/>
      <c r="AZ36" s="38" t="n">
        <f aca="false">(AU36-AV36)+AW36*1.5+(AX36-AY36)*2+AN36*0.5+AP36*0.5+AS36-AT36</f>
        <v>3</v>
      </c>
      <c r="BA36" s="38" t="n">
        <f aca="false">AU36+AW36+AX36</f>
        <v>2</v>
      </c>
      <c r="BB36" s="38" t="n">
        <f aca="false">BE36+BG36+BI36+BK36+BM36</f>
        <v>8</v>
      </c>
      <c r="BC36" s="184" t="n">
        <f aca="false">AZ36+BD36</f>
        <v>11.5</v>
      </c>
      <c r="BD36" s="38" t="n">
        <f aca="false">BF36+BH36+BJ36+BL36+BN36</f>
        <v>8.5</v>
      </c>
      <c r="BE36" s="38" t="n">
        <f aca="false">COUNTIF(A36:AI36,"*$BTP*")</f>
        <v>1</v>
      </c>
      <c r="BF36" s="38" t="n">
        <f aca="false">BE36*1.5</f>
        <v>1.5</v>
      </c>
      <c r="BG36" s="38" t="n">
        <f aca="false">COUNTIF(A36:AI36,"*$M*")</f>
        <v>2</v>
      </c>
      <c r="BH36" s="38" t="n">
        <f aca="false">BG36*1</f>
        <v>2</v>
      </c>
      <c r="BI36" s="38" t="n">
        <f aca="false">COUNTIF(A36:AI36,"*$PM*")</f>
        <v>0</v>
      </c>
      <c r="BJ36" s="38" t="n">
        <f aca="false">BI36*0.5</f>
        <v>0</v>
      </c>
      <c r="BK36" s="38" t="n">
        <f aca="false">COUNTIF(A36:AI36,"*$AM*")</f>
        <v>0</v>
      </c>
      <c r="BL36" s="38" t="n">
        <f aca="false">BK36*0.5</f>
        <v>0</v>
      </c>
      <c r="BM36" s="38" t="n">
        <f aca="false">COUNTIF(A36:AI36,"*$FC*")</f>
        <v>5</v>
      </c>
      <c r="BN36" s="38" t="n">
        <f aca="false">BM36*1</f>
        <v>5</v>
      </c>
      <c r="BO36" s="38" t="n">
        <f aca="false">COUNTIF($H36:$AA36,BO$4)</f>
        <v>0</v>
      </c>
      <c r="BP36" s="38" t="n">
        <f aca="false">COUNTIF($H36:$AA36,BP$4)</f>
        <v>2</v>
      </c>
      <c r="BQ36" s="38" t="n">
        <f aca="false">COUNTIF($H36:$AA36,BQ$4)</f>
        <v>0</v>
      </c>
      <c r="BR36" s="211"/>
    </row>
    <row r="37" customFormat="false" ht="19.5" hidden="false" customHeight="true" outlineLevel="0" collapsed="false">
      <c r="A37" s="176"/>
      <c r="B37" s="207" t="s">
        <v>639</v>
      </c>
      <c r="C37" s="181" t="s">
        <v>65</v>
      </c>
      <c r="D37" s="181"/>
      <c r="E37" s="181"/>
      <c r="F37" s="181"/>
      <c r="G37" s="91" t="s">
        <v>65</v>
      </c>
      <c r="H37" s="92"/>
      <c r="I37" s="181"/>
      <c r="J37" s="181"/>
      <c r="K37" s="181"/>
      <c r="L37" s="181" t="s">
        <v>65</v>
      </c>
      <c r="M37" s="181"/>
      <c r="N37" s="181" t="s">
        <v>132</v>
      </c>
      <c r="O37" s="92" t="s">
        <v>58</v>
      </c>
      <c r="P37" s="92"/>
      <c r="Q37" s="91" t="s">
        <v>65</v>
      </c>
      <c r="R37" s="181"/>
      <c r="S37" s="92"/>
      <c r="T37" s="181"/>
      <c r="U37" s="92" t="s">
        <v>563</v>
      </c>
      <c r="V37" s="92" t="s">
        <v>563</v>
      </c>
      <c r="W37" s="181"/>
      <c r="X37" s="181"/>
      <c r="Y37" s="181"/>
      <c r="Z37" s="92"/>
      <c r="AB37" s="188"/>
      <c r="AC37" s="181" t="s">
        <v>640</v>
      </c>
      <c r="AD37" s="181"/>
      <c r="AE37" s="181"/>
      <c r="AF37" s="181"/>
      <c r="AG37" s="181"/>
      <c r="AH37" s="32"/>
      <c r="AI37" s="182" t="n">
        <f aca="false">COUNTIF($D37:$AE37,AI$4)</f>
        <v>0</v>
      </c>
      <c r="AJ37" s="183" t="n">
        <f aca="false">COUNTIF($D37:$AE37,AJ$4)</f>
        <v>0</v>
      </c>
      <c r="AK37" s="182" t="n">
        <f aca="false">COUNTIF($D37:$AE37,AK$4)</f>
        <v>0</v>
      </c>
      <c r="AL37" s="182" t="n">
        <f aca="false">COUNTIF($D37:$AE37,AL$4)</f>
        <v>0</v>
      </c>
      <c r="AM37" s="38" t="n">
        <f aca="false">COUNTIF($D37:$AE37,AM$4)</f>
        <v>1</v>
      </c>
      <c r="AN37" s="38" t="n">
        <f aca="false">COUNTIF($D37:$AE37,AN$4)</f>
        <v>0</v>
      </c>
      <c r="AO37" s="38" t="n">
        <f aca="false">COUNTIF($D37:$AE37,AO$4)</f>
        <v>3</v>
      </c>
      <c r="AP37" s="38" t="n">
        <f aca="false">COUNTIF($D37:$AE37,AP$4)</f>
        <v>0</v>
      </c>
      <c r="AQ37" s="38" t="n">
        <f aca="false">COUNTIF($D37:$AE37,AQ$4)</f>
        <v>0</v>
      </c>
      <c r="AR37" s="67"/>
      <c r="AS37" s="184" t="n">
        <v>0.5</v>
      </c>
      <c r="AT37" s="184"/>
      <c r="AU37" s="38" t="n">
        <f aca="false">SUMPRODUCT(--(WEEKDAY(C$3:AG$3,2)&lt;5),--ISNUMBER(MATCH(C37:AG37,{"DM","CS1","CS2","SB1","AE","CS/B"},0)))</f>
        <v>2</v>
      </c>
      <c r="AV37" s="67"/>
      <c r="AW37" s="38" t="n">
        <f aca="false">SUMPRODUCT(--(WEEKDAY(C$3:AG$3,2)=5),--ISNUMBER(MATCH(C37:AG37,{"DM","CS1","CS2","SB1","AE","CS/B"},0)))</f>
        <v>1</v>
      </c>
      <c r="AX37" s="38" t="n">
        <f aca="false">SUMPRODUCT(--(WEEKDAY(C$3:AG$3,2)&gt;5),--ISNUMBER(MATCH(C37:AG37,{"DM","CS1","CS2","SB1","AE","CS/B"},0)))</f>
        <v>2</v>
      </c>
      <c r="AY37" s="67"/>
      <c r="AZ37" s="38" t="n">
        <f aca="false">(AU37-AV37)+AW37*1.5+(AX37-AY37)*2+AN37*0.5+AP37*0.5+AS37-AT37</f>
        <v>8</v>
      </c>
      <c r="BA37" s="38" t="n">
        <f aca="false">AU37+AW37+AX37</f>
        <v>5</v>
      </c>
      <c r="BB37" s="38" t="n">
        <f aca="false">BE37+BG37+BI37+BK37+BM37</f>
        <v>2</v>
      </c>
      <c r="BC37" s="184" t="n">
        <f aca="false">AZ37+BD37</f>
        <v>9</v>
      </c>
      <c r="BD37" s="38" t="n">
        <f aca="false">BF37+BH37+BJ37+BL37+BN37</f>
        <v>1</v>
      </c>
      <c r="BE37" s="38" t="n">
        <f aca="false">COUNTIF(A37:AI37,"*$BTP*")</f>
        <v>0</v>
      </c>
      <c r="BF37" s="38" t="n">
        <f aca="false">BE37*1.5</f>
        <v>0</v>
      </c>
      <c r="BG37" s="38" t="n">
        <f aca="false">COUNTIF(A37:AI37,"*$M*")</f>
        <v>0</v>
      </c>
      <c r="BH37" s="38" t="n">
        <f aca="false">BG37*1</f>
        <v>0</v>
      </c>
      <c r="BI37" s="38" t="n">
        <f aca="false">COUNTIF(A37:AI37,"*$PM*")</f>
        <v>0</v>
      </c>
      <c r="BJ37" s="38" t="n">
        <f aca="false">BI37*0.5</f>
        <v>0</v>
      </c>
      <c r="BK37" s="38" t="n">
        <f aca="false">COUNTIF(A37:AI37,"*$AM*")</f>
        <v>2</v>
      </c>
      <c r="BL37" s="38" t="n">
        <f aca="false">BK37*0.5</f>
        <v>1</v>
      </c>
      <c r="BM37" s="38" t="n">
        <f aca="false">COUNTIF(A37:AI37,"*$FC*")</f>
        <v>0</v>
      </c>
      <c r="BN37" s="38" t="n">
        <f aca="false">BM37*1</f>
        <v>0</v>
      </c>
      <c r="BO37" s="38" t="n">
        <f aca="false">COUNTIF($D37:$Z37,BO$4)</f>
        <v>0</v>
      </c>
      <c r="BP37" s="38" t="n">
        <f aca="false">COUNTIF($D37:$Z37,BP$4)</f>
        <v>0</v>
      </c>
      <c r="BQ37" s="38" t="n">
        <f aca="false">COUNTIF($D37:$Z37,BQ$4)</f>
        <v>0</v>
      </c>
      <c r="BR37" s="211"/>
    </row>
    <row r="38" customFormat="false" ht="19.5" hidden="false" customHeight="true" outlineLevel="0" collapsed="false">
      <c r="A38" s="176"/>
      <c r="B38" s="207" t="s">
        <v>641</v>
      </c>
      <c r="C38" s="91" t="s">
        <v>242</v>
      </c>
      <c r="D38" s="91" t="s">
        <v>242</v>
      </c>
      <c r="E38" s="91"/>
      <c r="F38" s="91"/>
      <c r="G38" s="92"/>
      <c r="H38" s="178" t="s">
        <v>642</v>
      </c>
      <c r="I38" s="92"/>
      <c r="J38" s="92"/>
      <c r="K38" s="181" t="s">
        <v>643</v>
      </c>
      <c r="L38" s="92" t="s">
        <v>573</v>
      </c>
      <c r="N38" s="92" t="s">
        <v>573</v>
      </c>
      <c r="O38" s="92" t="s">
        <v>644</v>
      </c>
      <c r="P38" s="181" t="s">
        <v>602</v>
      </c>
      <c r="Q38" s="91"/>
      <c r="R38" s="91"/>
      <c r="S38" s="92"/>
      <c r="T38" s="91"/>
      <c r="U38" s="92" t="s">
        <v>573</v>
      </c>
      <c r="V38" s="188" t="s">
        <v>645</v>
      </c>
      <c r="W38" s="181" t="s">
        <v>65</v>
      </c>
      <c r="X38" s="91"/>
      <c r="Y38" s="91"/>
      <c r="Z38" s="188" t="s">
        <v>599</v>
      </c>
      <c r="AA38" s="92"/>
      <c r="AB38" s="91" t="s">
        <v>580</v>
      </c>
      <c r="AC38" s="91"/>
      <c r="AD38" s="91"/>
      <c r="AE38" s="91"/>
      <c r="AF38" s="91"/>
      <c r="AG38" s="91"/>
      <c r="AH38" s="32"/>
      <c r="AI38" s="182" t="n">
        <f aca="false">COUNTIF($D38:$AE38,AI$4)</f>
        <v>0</v>
      </c>
      <c r="AJ38" s="183" t="n">
        <f aca="false">COUNTIF($D38:$AE38,AJ$4)</f>
        <v>0</v>
      </c>
      <c r="AK38" s="182" t="n">
        <f aca="false">COUNTIF($D38:$AE38,AK$4)</f>
        <v>0</v>
      </c>
      <c r="AL38" s="182" t="n">
        <f aca="false">COUNTIF($D38:$AE38,AL$4)</f>
        <v>0</v>
      </c>
      <c r="AM38" s="38" t="n">
        <f aca="false">COUNTIF($D38:$AE38,AM$4)</f>
        <v>0</v>
      </c>
      <c r="AN38" s="38" t="n">
        <f aca="false">COUNTIF($D38:$AE38,AN$4)</f>
        <v>0</v>
      </c>
      <c r="AO38" s="38" t="n">
        <f aca="false">COUNTIF($D38:$AE38,AO$4)</f>
        <v>1</v>
      </c>
      <c r="AP38" s="38" t="n">
        <f aca="false">COUNTIF($D38:$AE38,AP$4)</f>
        <v>0</v>
      </c>
      <c r="AQ38" s="38" t="n">
        <f aca="false">COUNTIF($D38:$AE38,AQ$4)</f>
        <v>0</v>
      </c>
      <c r="AR38" s="67"/>
      <c r="AS38" s="184"/>
      <c r="AT38" s="184" t="n">
        <v>0.5</v>
      </c>
      <c r="AU38" s="38" t="n">
        <f aca="false">SUMPRODUCT(--(WEEKDAY(C$3:AG$3,2)&lt;5),--ISNUMBER(MATCH(C38:AG38,{"DM","CS1","CS2","SB1","AE","CS/B"},0)))</f>
        <v>0</v>
      </c>
      <c r="AV38" s="67"/>
      <c r="AW38" s="38" t="n">
        <f aca="false">SUMPRODUCT(--(WEEKDAY(C$3:AG$3,2)=5),--ISNUMBER(MATCH(C38:AG38,{"DM","CS1","CS2","SB1","AE","CS/B"},0)))</f>
        <v>0</v>
      </c>
      <c r="AX38" s="38" t="n">
        <f aca="false">SUMPRODUCT(--(WEEKDAY(C$3:AG$3,2)&gt;5),--ISNUMBER(MATCH(C38:AG38,{"DM","CS1","CS2","SB1","AE","CS/B"},0)))</f>
        <v>1</v>
      </c>
      <c r="AY38" s="67"/>
      <c r="AZ38" s="38" t="n">
        <f aca="false">(AU38-AV38)+AW38*1.5+(AX38-AY38)*2+AN38*0.5+AP38*0.5+AS38-AT38</f>
        <v>1.5</v>
      </c>
      <c r="BA38" s="38" t="n">
        <f aca="false">AU38+AW38+AX38</f>
        <v>1</v>
      </c>
      <c r="BB38" s="38" t="n">
        <f aca="false">BE38+BG38+BI38+BK38+BM38</f>
        <v>8</v>
      </c>
      <c r="BC38" s="184" t="n">
        <f aca="false">AZ38+BD38</f>
        <v>10</v>
      </c>
      <c r="BD38" s="38" t="n">
        <f aca="false">BF38+BH38+BJ38+BL38+BN38</f>
        <v>8.5</v>
      </c>
      <c r="BE38" s="38" t="n">
        <f aca="false">COUNTIF(A38:AI38,"*$BTP*")</f>
        <v>2</v>
      </c>
      <c r="BF38" s="38" t="n">
        <f aca="false">BE38*1.5</f>
        <v>3</v>
      </c>
      <c r="BG38" s="38" t="n">
        <f aca="false">COUNTIF(A38:AI38,"*$M*")</f>
        <v>3</v>
      </c>
      <c r="BH38" s="38" t="n">
        <f aca="false">BG38*1</f>
        <v>3</v>
      </c>
      <c r="BI38" s="38" t="n">
        <f aca="false">COUNTIF(A38:AI38,"*$PM*")</f>
        <v>1</v>
      </c>
      <c r="BJ38" s="38" t="n">
        <f aca="false">BI38*0.5</f>
        <v>0.5</v>
      </c>
      <c r="BK38" s="38" t="n">
        <f aca="false">COUNTIF(A38:AI38,"*$AM*")</f>
        <v>0</v>
      </c>
      <c r="BL38" s="38" t="n">
        <f aca="false">BK38*0.5</f>
        <v>0</v>
      </c>
      <c r="BM38" s="38" t="n">
        <f aca="false">COUNTIF(A38:AI38,"*$FC*")</f>
        <v>2</v>
      </c>
      <c r="BN38" s="38" t="n">
        <f aca="false">BM38*1</f>
        <v>2</v>
      </c>
      <c r="BO38" s="38" t="n">
        <f aca="false">COUNTIF($D38:$AA38,BO$4)</f>
        <v>0</v>
      </c>
      <c r="BP38" s="38" t="n">
        <f aca="false">COUNTIF($D38:$AA38,BP$4)</f>
        <v>0</v>
      </c>
      <c r="BQ38" s="38" t="n">
        <f aca="false">COUNTIF($D38:$AA38,BQ$4)</f>
        <v>0</v>
      </c>
      <c r="BR38" s="211"/>
    </row>
    <row r="39" customFormat="false" ht="19.5" hidden="false" customHeight="true" outlineLevel="0" collapsed="false">
      <c r="A39" s="176"/>
      <c r="B39" s="207" t="s">
        <v>646</v>
      </c>
      <c r="C39" s="91" t="s">
        <v>256</v>
      </c>
      <c r="D39" s="91" t="s">
        <v>256</v>
      </c>
      <c r="E39" s="91" t="s">
        <v>256</v>
      </c>
      <c r="F39" s="91"/>
      <c r="G39" s="92"/>
      <c r="H39" s="92"/>
      <c r="I39" s="91" t="s">
        <v>65</v>
      </c>
      <c r="J39" s="181"/>
      <c r="L39" s="181" t="s">
        <v>576</v>
      </c>
      <c r="M39" s="181" t="s">
        <v>65</v>
      </c>
      <c r="N39" s="91"/>
      <c r="O39" s="181" t="s">
        <v>647</v>
      </c>
      <c r="P39" s="91"/>
      <c r="Q39" s="92"/>
      <c r="R39" s="181"/>
      <c r="S39" s="181" t="s">
        <v>65</v>
      </c>
      <c r="T39" s="181"/>
      <c r="U39" s="92" t="s">
        <v>563</v>
      </c>
      <c r="V39" s="181" t="s">
        <v>65</v>
      </c>
      <c r="W39" s="181"/>
      <c r="X39" s="181"/>
      <c r="Y39" s="188" t="s">
        <v>573</v>
      </c>
      <c r="Z39" s="92"/>
      <c r="AA39" s="92" t="s">
        <v>648</v>
      </c>
      <c r="AB39" s="181" t="s">
        <v>65</v>
      </c>
      <c r="AC39" s="188" t="s">
        <v>573</v>
      </c>
      <c r="AD39" s="181"/>
      <c r="AE39" s="181"/>
      <c r="AF39" s="181"/>
      <c r="AG39" s="181"/>
      <c r="AH39" s="32"/>
      <c r="AI39" s="182" t="n">
        <f aca="false">COUNTIF($D39:$AE39,AI$4)</f>
        <v>0</v>
      </c>
      <c r="AJ39" s="183" t="n">
        <f aca="false">COUNTIF($D39:$AE39,AJ$4)</f>
        <v>0</v>
      </c>
      <c r="AK39" s="182" t="n">
        <f aca="false">COUNTIF($D39:$AE39,AK$4)</f>
        <v>0</v>
      </c>
      <c r="AL39" s="182" t="n">
        <f aca="false">COUNTIF($D39:$AE39,AL$4)</f>
        <v>0</v>
      </c>
      <c r="AM39" s="38" t="n">
        <f aca="false">COUNTIF($D39:$AE39,AM$4)</f>
        <v>0</v>
      </c>
      <c r="AN39" s="38" t="n">
        <f aca="false">COUNTIF($D39:$AE39,AN$4)</f>
        <v>0</v>
      </c>
      <c r="AO39" s="38" t="n">
        <f aca="false">COUNTIF($D39:$AE39,AO$4)</f>
        <v>5</v>
      </c>
      <c r="AP39" s="38" t="n">
        <f aca="false">COUNTIF($D39:$AE39,AP$4)</f>
        <v>1</v>
      </c>
      <c r="AQ39" s="38" t="n">
        <f aca="false">COUNTIF($D39:$AE39,AQ$4)</f>
        <v>0</v>
      </c>
      <c r="AR39" s="67"/>
      <c r="AS39" s="184"/>
      <c r="AT39" s="184" t="n">
        <v>0.5</v>
      </c>
      <c r="AU39" s="38" t="n">
        <f aca="false">SUMPRODUCT(--(WEEKDAY(C$3:AG$3,2)&lt;5),--ISNUMBER(MATCH(C39:AG39,{"DM","CS1","CS2","SB1","AE","CS/B"},0)))</f>
        <v>3</v>
      </c>
      <c r="AV39" s="67"/>
      <c r="AW39" s="38" t="n">
        <f aca="false">SUMPRODUCT(--(WEEKDAY(C$3:AG$3,2)=5),--ISNUMBER(MATCH(C39:AG39,{"DM","CS1","CS2","SB1","AE","CS/B"},0)))</f>
        <v>1</v>
      </c>
      <c r="AX39" s="38" t="n">
        <f aca="false">SUMPRODUCT(--(WEEKDAY(C$3:AG$3,2)&gt;5),--ISNUMBER(MATCH(C39:AG39,{"DM","CS1","CS2","SB1","AE","CS/B"},0)))</f>
        <v>1</v>
      </c>
      <c r="AY39" s="67"/>
      <c r="AZ39" s="38" t="n">
        <f aca="false">(AU39-AV39)+AW39*1.5+(AX39-AY39)*2+AN39*0.5+AP39*0.5+AS39-AT39</f>
        <v>6.5</v>
      </c>
      <c r="BA39" s="38" t="n">
        <f aca="false">AU39+AW39+AX39</f>
        <v>5</v>
      </c>
      <c r="BB39" s="38" t="n">
        <f aca="false">BE39+BG39+BI39+BK39+BM39</f>
        <v>5</v>
      </c>
      <c r="BC39" s="184" t="n">
        <f aca="false">AZ39+BD39</f>
        <v>11</v>
      </c>
      <c r="BD39" s="38" t="n">
        <f aca="false">BF39+BH39+BJ39+BL39+BN39</f>
        <v>4.5</v>
      </c>
      <c r="BE39" s="38" t="n">
        <f aca="false">COUNTIF(A39:AI39,"*$BTP*")</f>
        <v>0</v>
      </c>
      <c r="BF39" s="38" t="n">
        <f aca="false">BE39*1.5</f>
        <v>0</v>
      </c>
      <c r="BG39" s="38" t="n">
        <f aca="false">COUNTIF(A39:AI39,"*$M*")</f>
        <v>1</v>
      </c>
      <c r="BH39" s="38" t="n">
        <f aca="false">BG39*1</f>
        <v>1</v>
      </c>
      <c r="BI39" s="38" t="n">
        <f aca="false">COUNTIF(A39:AI39,"*$PM*")</f>
        <v>1</v>
      </c>
      <c r="BJ39" s="38" t="n">
        <f aca="false">BI39*0.5</f>
        <v>0.5</v>
      </c>
      <c r="BK39" s="38" t="n">
        <f aca="false">COUNTIF(A39:AI39,"*$AM*")</f>
        <v>0</v>
      </c>
      <c r="BL39" s="38" t="n">
        <f aca="false">BK39*0.5</f>
        <v>0</v>
      </c>
      <c r="BM39" s="38" t="n">
        <f aca="false">COUNTIF(A39:AI39,"*$FC*")</f>
        <v>3</v>
      </c>
      <c r="BN39" s="38" t="n">
        <f aca="false">BM39*1</f>
        <v>3</v>
      </c>
      <c r="BO39" s="38" t="n">
        <f aca="false">COUNTIF($D39:$AA39,BO$4)</f>
        <v>0</v>
      </c>
      <c r="BP39" s="38" t="n">
        <f aca="false">COUNTIF($D39:$AA39,BP$4)</f>
        <v>0</v>
      </c>
      <c r="BQ39" s="38" t="n">
        <f aca="false">COUNTIF($D39:$AA39,BQ$4)</f>
        <v>0</v>
      </c>
      <c r="BR39" s="211"/>
    </row>
    <row r="40" customFormat="false" ht="19.5" hidden="false" customHeight="true" outlineLevel="0" collapsed="false">
      <c r="A40" s="176"/>
      <c r="B40" s="207" t="s">
        <v>649</v>
      </c>
      <c r="C40" s="91" t="s">
        <v>650</v>
      </c>
      <c r="D40" s="91"/>
      <c r="E40" s="188" t="s">
        <v>573</v>
      </c>
      <c r="F40" s="92" t="s">
        <v>65</v>
      </c>
      <c r="G40" s="92"/>
      <c r="H40" s="92" t="s">
        <v>65</v>
      </c>
      <c r="I40" s="181"/>
      <c r="J40" s="181"/>
      <c r="K40" s="92" t="s">
        <v>573</v>
      </c>
      <c r="M40" s="181" t="s">
        <v>651</v>
      </c>
      <c r="N40" s="181" t="s">
        <v>652</v>
      </c>
      <c r="O40" s="181" t="s">
        <v>653</v>
      </c>
      <c r="P40" s="92" t="s">
        <v>573</v>
      </c>
      <c r="Q40" s="91"/>
      <c r="R40" s="181"/>
      <c r="S40" s="181"/>
      <c r="T40" s="181"/>
      <c r="U40" s="181" t="s">
        <v>654</v>
      </c>
      <c r="V40" s="181" t="s">
        <v>655</v>
      </c>
      <c r="W40" s="181"/>
      <c r="X40" s="181" t="s">
        <v>65</v>
      </c>
      <c r="Y40" s="92"/>
      <c r="Z40" s="181" t="s">
        <v>656</v>
      </c>
      <c r="AA40" s="92"/>
      <c r="AB40" s="91" t="s">
        <v>580</v>
      </c>
      <c r="AC40" s="181"/>
      <c r="AD40" s="181"/>
      <c r="AE40" s="181"/>
      <c r="AF40" s="181"/>
      <c r="AG40" s="181"/>
      <c r="AH40" s="32"/>
      <c r="AI40" s="182" t="n">
        <f aca="false">COUNTIF($D40:$AE40,AI$4)</f>
        <v>0</v>
      </c>
      <c r="AJ40" s="183" t="n">
        <f aca="false">COUNTIF($D40:$AE40,AJ$4)</f>
        <v>0</v>
      </c>
      <c r="AK40" s="182" t="n">
        <f aca="false">COUNTIF($D40:$AE40,AK$4)</f>
        <v>0</v>
      </c>
      <c r="AL40" s="182" t="n">
        <f aca="false">COUNTIF($D40:$AE40,AL$4)</f>
        <v>0</v>
      </c>
      <c r="AM40" s="38" t="n">
        <f aca="false">COUNTIF($D40:$AE40,AM$4)</f>
        <v>0</v>
      </c>
      <c r="AN40" s="38" t="n">
        <f aca="false">COUNTIF($D40:$AE40,AN$4)</f>
        <v>0</v>
      </c>
      <c r="AO40" s="38" t="n">
        <f aca="false">COUNTIF($D40:$AE40,AO$4)</f>
        <v>3</v>
      </c>
      <c r="AP40" s="38" t="n">
        <f aca="false">COUNTIF($D40:$AE40,AP$4)</f>
        <v>0</v>
      </c>
      <c r="AQ40" s="38" t="n">
        <f aca="false">COUNTIF($D40:$AE40,AQ$4)</f>
        <v>0</v>
      </c>
      <c r="AR40" s="67"/>
      <c r="AS40" s="184"/>
      <c r="AT40" s="184" t="n">
        <v>0.5</v>
      </c>
      <c r="AU40" s="38" t="n">
        <f aca="false">SUMPRODUCT(--(WEEKDAY(C$3:AG$3,2)&lt;5),--ISNUMBER(MATCH(C40:AG40,{"DM","CS1","CS2","SB1","AE","CS/B"},0)))</f>
        <v>1</v>
      </c>
      <c r="AV40" s="67"/>
      <c r="AW40" s="38" t="n">
        <f aca="false">SUMPRODUCT(--(WEEKDAY(C$3:AG$3,2)=5),--ISNUMBER(MATCH(C40:AG40,{"DM","CS1","CS2","SB1","AE","CS/B"},0)))</f>
        <v>1</v>
      </c>
      <c r="AX40" s="38" t="n">
        <f aca="false">SUMPRODUCT(--(WEEKDAY(C$3:AG$3,2)&gt;5),--ISNUMBER(MATCH(C40:AG40,{"DM","CS1","CS2","SB1","AE","CS/B"},0)))</f>
        <v>1</v>
      </c>
      <c r="AY40" s="67"/>
      <c r="AZ40" s="38" t="n">
        <f aca="false">(AU40-AV40)+AW40*1.5+(AX40-AY40)*2+AN40*0.5+AP40*0.5+AS40-AT40</f>
        <v>4</v>
      </c>
      <c r="BA40" s="38" t="n">
        <f aca="false">AU40+AW40+AX40</f>
        <v>3</v>
      </c>
      <c r="BB40" s="38" t="n">
        <f aca="false">BE40+BG40+BI40+BK40+BM40</f>
        <v>7</v>
      </c>
      <c r="BC40" s="184" t="n">
        <f aca="false">AZ40+BD40</f>
        <v>11</v>
      </c>
      <c r="BD40" s="38" t="n">
        <f aca="false">BF40+BH40+BJ40+BL40+BN40</f>
        <v>7</v>
      </c>
      <c r="BE40" s="38" t="n">
        <f aca="false">COUNTIF(A40:AI40,"*$BTP*")</f>
        <v>1</v>
      </c>
      <c r="BF40" s="38" t="n">
        <f aca="false">BE40*1.5</f>
        <v>1.5</v>
      </c>
      <c r="BG40" s="38" t="n">
        <f aca="false">COUNTIF(A40:AI40,"*$M*")</f>
        <v>4</v>
      </c>
      <c r="BH40" s="38" t="n">
        <f aca="false">BG40*1</f>
        <v>4</v>
      </c>
      <c r="BI40" s="38" t="n">
        <f aca="false">COUNTIF(A40:AI40,"*$PM*")</f>
        <v>1</v>
      </c>
      <c r="BJ40" s="38" t="n">
        <f aca="false">BI40*0.5</f>
        <v>0.5</v>
      </c>
      <c r="BK40" s="38" t="n">
        <f aca="false">COUNTIF(A40:AI40,"*$AM*")</f>
        <v>0</v>
      </c>
      <c r="BL40" s="38" t="n">
        <f aca="false">BK40*0.5</f>
        <v>0</v>
      </c>
      <c r="BM40" s="38" t="n">
        <f aca="false">COUNTIF(A40:AI40,"*$FC*")</f>
        <v>1</v>
      </c>
      <c r="BN40" s="38" t="n">
        <f aca="false">BM40*1</f>
        <v>1</v>
      </c>
      <c r="BO40" s="38" t="n">
        <f aca="false">COUNTIF($D40:$Z40,BO$4)</f>
        <v>0</v>
      </c>
      <c r="BP40" s="38" t="n">
        <f aca="false">COUNTIF($D40:$Z40,BP$4)</f>
        <v>0</v>
      </c>
      <c r="BQ40" s="38" t="n">
        <f aca="false">COUNTIF($D40:$Z40,BQ$4)</f>
        <v>0</v>
      </c>
      <c r="BR40" s="211"/>
    </row>
    <row r="41" customFormat="false" ht="19.5" hidden="false" customHeight="true" outlineLevel="0" collapsed="false">
      <c r="A41" s="176"/>
      <c r="B41" s="207" t="s">
        <v>657</v>
      </c>
      <c r="C41" s="91"/>
      <c r="D41" s="181" t="s">
        <v>658</v>
      </c>
      <c r="E41" s="188" t="s">
        <v>573</v>
      </c>
      <c r="F41" s="91"/>
      <c r="G41" s="188" t="s">
        <v>339</v>
      </c>
      <c r="H41" s="188" t="s">
        <v>339</v>
      </c>
      <c r="I41" s="188" t="s">
        <v>339</v>
      </c>
      <c r="J41" s="188" t="s">
        <v>339</v>
      </c>
      <c r="K41" s="188" t="s">
        <v>339</v>
      </c>
      <c r="L41" s="91"/>
      <c r="M41" s="91" t="s">
        <v>71</v>
      </c>
      <c r="N41" s="92" t="s">
        <v>71</v>
      </c>
      <c r="O41" s="181" t="s">
        <v>638</v>
      </c>
      <c r="P41" s="91"/>
      <c r="Q41" s="91"/>
      <c r="R41" s="181"/>
      <c r="S41" s="181" t="s">
        <v>59</v>
      </c>
      <c r="T41" s="181"/>
      <c r="U41" s="92" t="s">
        <v>573</v>
      </c>
      <c r="V41" s="181" t="s">
        <v>321</v>
      </c>
      <c r="W41" s="181"/>
      <c r="X41" s="181"/>
      <c r="Y41" s="181"/>
      <c r="Z41" s="92" t="s">
        <v>69</v>
      </c>
      <c r="AA41" s="92"/>
      <c r="AB41" s="91" t="s">
        <v>580</v>
      </c>
      <c r="AC41" s="181" t="s">
        <v>65</v>
      </c>
      <c r="AD41" s="181"/>
      <c r="AE41" s="181"/>
      <c r="AF41" s="181"/>
      <c r="AG41" s="181"/>
      <c r="AH41" s="32"/>
      <c r="AI41" s="182" t="n">
        <f aca="false">COUNTIF($D41:$AE41,AI$4)</f>
        <v>0</v>
      </c>
      <c r="AJ41" s="183" t="n">
        <f aca="false">COUNTIF($D41:$AE41,AJ$4)</f>
        <v>0</v>
      </c>
      <c r="AK41" s="182" t="n">
        <f aca="false">COUNTIF($D41:$AE41,AK$4)</f>
        <v>1</v>
      </c>
      <c r="AL41" s="182" t="n">
        <f aca="false">COUNTIF($D41:$AE41,AL$4)</f>
        <v>0</v>
      </c>
      <c r="AM41" s="38" t="n">
        <f aca="false">COUNTIF($D41:$AE41,AM$4)</f>
        <v>0</v>
      </c>
      <c r="AN41" s="38" t="n">
        <f aca="false">COUNTIF($D41:$AE41,AN$4)</f>
        <v>0</v>
      </c>
      <c r="AO41" s="38" t="n">
        <f aca="false">COUNTIF($D41:$AE41,AO$4)</f>
        <v>1</v>
      </c>
      <c r="AP41" s="38" t="n">
        <f aca="false">COUNTIF($D41:$AE41,AP$4)</f>
        <v>0</v>
      </c>
      <c r="AQ41" s="38" t="n">
        <f aca="false">COUNTIF($D41:$AE41,AQ$4)</f>
        <v>0</v>
      </c>
      <c r="AR41" s="67"/>
      <c r="AS41" s="184"/>
      <c r="AT41" s="184" t="n">
        <v>0.5</v>
      </c>
      <c r="AU41" s="38" t="n">
        <f aca="false">SUMPRODUCT(--(WEEKDAY(C$3:AG$3,2)&lt;5),--ISNUMBER(MATCH(C41:AG41,{"DM","CS1","CS2","SB1","AE","CS/B"},0)))</f>
        <v>1</v>
      </c>
      <c r="AV41" s="67"/>
      <c r="AW41" s="38" t="n">
        <f aca="false">SUMPRODUCT(--(WEEKDAY(C$3:AG$3,2)=5),--ISNUMBER(MATCH(C41:AG41,{"DM","CS1","CS2","SB1","AE","CS/B"},0)))</f>
        <v>1</v>
      </c>
      <c r="AX41" s="38" t="n">
        <f aca="false">SUMPRODUCT(--(WEEKDAY(C$3:AG$3,2)&gt;5),--ISNUMBER(MATCH(C41:AG41,{"DM","CS1","CS2","SB1","AE","CS/B"},0)))</f>
        <v>0</v>
      </c>
      <c r="AY41" s="67"/>
      <c r="AZ41" s="38" t="n">
        <f aca="false">(AU41-AV41)+AW41*1.5+(AX41-AY41)*2+AN41*0.5+AP41*0.5+AS41-AT41</f>
        <v>2</v>
      </c>
      <c r="BA41" s="38" t="n">
        <f aca="false">AU41+AW41+AX41</f>
        <v>2</v>
      </c>
      <c r="BB41" s="38" t="n">
        <f aca="false">BE41+BG41+BI41+BK41+BM41</f>
        <v>8</v>
      </c>
      <c r="BC41" s="184" t="n">
        <f aca="false">AZ41+BD41</f>
        <v>9.5</v>
      </c>
      <c r="BD41" s="38" t="n">
        <f aca="false">BF41+BH41+BJ41+BL41+BN41</f>
        <v>7.5</v>
      </c>
      <c r="BE41" s="38" t="n">
        <f aca="false">COUNTIF(A41:AI41,"*$BTP*")</f>
        <v>0</v>
      </c>
      <c r="BF41" s="38" t="n">
        <f aca="false">BE41*1.5</f>
        <v>0</v>
      </c>
      <c r="BG41" s="38" t="n">
        <f aca="false">COUNTIF(A41:AI41,"*$M*")</f>
        <v>2</v>
      </c>
      <c r="BH41" s="38" t="n">
        <f aca="false">BG41*1</f>
        <v>2</v>
      </c>
      <c r="BI41" s="38" t="n">
        <f aca="false">COUNTIF(A41:AI41,"*$PM*")</f>
        <v>1</v>
      </c>
      <c r="BJ41" s="38" t="n">
        <f aca="false">BI41*0.5</f>
        <v>0.5</v>
      </c>
      <c r="BK41" s="38" t="n">
        <f aca="false">COUNTIF(A41:AI41,"*$AM*")</f>
        <v>0</v>
      </c>
      <c r="BL41" s="38" t="n">
        <f aca="false">BK41*0.5</f>
        <v>0</v>
      </c>
      <c r="BM41" s="38" t="n">
        <f aca="false">COUNTIF(A41:AI41,"*$FC*")</f>
        <v>5</v>
      </c>
      <c r="BN41" s="38" t="n">
        <f aca="false">BM41*1</f>
        <v>5</v>
      </c>
      <c r="BO41" s="38" t="n">
        <f aca="false">COUNTIF($D41:$AA41,BO$4)</f>
        <v>0</v>
      </c>
      <c r="BP41" s="38" t="n">
        <f aca="false">COUNTIF($D41:$AA41,BP$4)</f>
        <v>0</v>
      </c>
      <c r="BQ41" s="38" t="n">
        <f aca="false">COUNTIF($D41:$AA41,BQ$4)</f>
        <v>0</v>
      </c>
      <c r="BR41" s="211"/>
    </row>
    <row r="42" customFormat="false" ht="19.5" hidden="false" customHeight="true" outlineLevel="0" collapsed="false">
      <c r="A42" s="176"/>
      <c r="B42" s="207" t="s">
        <v>659</v>
      </c>
      <c r="C42" s="91"/>
      <c r="D42" s="91"/>
      <c r="E42" s="181" t="s">
        <v>660</v>
      </c>
      <c r="F42" s="178" t="s">
        <v>589</v>
      </c>
      <c r="G42" s="91"/>
      <c r="H42" s="92" t="s">
        <v>573</v>
      </c>
      <c r="I42" s="181" t="s">
        <v>661</v>
      </c>
      <c r="J42" s="181" t="s">
        <v>88</v>
      </c>
      <c r="K42" s="181" t="s">
        <v>88</v>
      </c>
      <c r="L42" s="181" t="s">
        <v>88</v>
      </c>
      <c r="M42" s="181" t="s">
        <v>88</v>
      </c>
      <c r="N42" s="91"/>
      <c r="O42" s="92" t="s">
        <v>573</v>
      </c>
      <c r="P42" s="91" t="s">
        <v>65</v>
      </c>
      <c r="Q42" s="91"/>
      <c r="R42" s="181" t="s">
        <v>93</v>
      </c>
      <c r="S42" s="92" t="s">
        <v>350</v>
      </c>
      <c r="T42" s="181"/>
      <c r="U42" s="92" t="s">
        <v>563</v>
      </c>
      <c r="V42" s="92" t="s">
        <v>573</v>
      </c>
      <c r="W42" s="92"/>
      <c r="X42" s="181"/>
      <c r="Z42" s="188" t="s">
        <v>573</v>
      </c>
      <c r="AA42" s="92" t="s">
        <v>93</v>
      </c>
      <c r="AB42" s="91" t="s">
        <v>662</v>
      </c>
      <c r="AC42" s="181"/>
      <c r="AE42" s="181"/>
      <c r="AF42" s="181"/>
      <c r="AG42" s="181"/>
      <c r="AH42" s="32"/>
      <c r="AI42" s="182" t="n">
        <f aca="false">COUNTIF($D42:$AE42,AI$4)</f>
        <v>0</v>
      </c>
      <c r="AJ42" s="183" t="n">
        <f aca="false">COUNTIF($D42:$AE42,AJ$4)</f>
        <v>0</v>
      </c>
      <c r="AK42" s="182" t="n">
        <f aca="false">COUNTIF($D42:$AE42,AK$4)</f>
        <v>0</v>
      </c>
      <c r="AL42" s="182" t="n">
        <f aca="false">COUNTIF($D42:$AE42,AL$4)</f>
        <v>0</v>
      </c>
      <c r="AM42" s="38" t="n">
        <f aca="false">COUNTIF($D42:$AE42,AM$4)</f>
        <v>0</v>
      </c>
      <c r="AN42" s="38" t="n">
        <f aca="false">COUNTIF($D42:$AE42,AN$4)</f>
        <v>2</v>
      </c>
      <c r="AO42" s="38" t="n">
        <f aca="false">COUNTIF($D42:$AE42,AO$4)</f>
        <v>1</v>
      </c>
      <c r="AP42" s="38" t="n">
        <f aca="false">COUNTIF($D42:$AE42,AP$4)</f>
        <v>0</v>
      </c>
      <c r="AQ42" s="38" t="n">
        <f aca="false">COUNTIF($D42:$AE42,AQ$4)</f>
        <v>0</v>
      </c>
      <c r="AR42" s="67"/>
      <c r="AS42" s="184"/>
      <c r="AT42" s="184" t="n">
        <v>0.5</v>
      </c>
      <c r="AU42" s="38" t="n">
        <f aca="false">SUMPRODUCT(--(WEEKDAY(C$3:AG$3,2)&lt;5),--ISNUMBER(MATCH(C42:AG42,{"DM","CS1","CS2","SB1","AE","CS/B"},0)))</f>
        <v>0</v>
      </c>
      <c r="AV42" s="67"/>
      <c r="AW42" s="38" t="n">
        <f aca="false">SUMPRODUCT(--(WEEKDAY(C$3:AG$3,2)=5),--ISNUMBER(MATCH(C42:AG42,{"DM","CS1","CS2","SB1","AE","CS/B"},0)))</f>
        <v>0</v>
      </c>
      <c r="AX42" s="38" t="n">
        <f aca="false">SUMPRODUCT(--(WEEKDAY(C$3:AG$3,2)&gt;5),--ISNUMBER(MATCH(C42:AG42,{"DM","CS1","CS2","SB1","AE","CS/B"},0)))</f>
        <v>1</v>
      </c>
      <c r="AY42" s="67"/>
      <c r="AZ42" s="38" t="n">
        <f aca="false">(AU42-AV42)+AW42*1.5+(AX42-AY42)*2+AN42*0.5+AP42*0.5+AS42-AT42</f>
        <v>2.5</v>
      </c>
      <c r="BA42" s="38" t="n">
        <f aca="false">AU42+AW42+AX42</f>
        <v>1</v>
      </c>
      <c r="BB42" s="38" t="n">
        <f aca="false">BE42+BG42+BI42+BK42+BM42</f>
        <v>7</v>
      </c>
      <c r="BC42" s="184" t="n">
        <f aca="false">AZ42+BD42</f>
        <v>9</v>
      </c>
      <c r="BD42" s="38" t="n">
        <f aca="false">BF42+BH42+BJ42+BL42+BN42</f>
        <v>6.5</v>
      </c>
      <c r="BE42" s="38" t="n">
        <f aca="false">COUNTIF(A42:AI42,"*$BTP*")</f>
        <v>0</v>
      </c>
      <c r="BF42" s="38" t="n">
        <f aca="false">BE42*1.5</f>
        <v>0</v>
      </c>
      <c r="BG42" s="38" t="n">
        <f aca="false">COUNTIF(A42:AI42,"*$M*")</f>
        <v>2</v>
      </c>
      <c r="BH42" s="38" t="n">
        <f aca="false">BG42*1</f>
        <v>2</v>
      </c>
      <c r="BI42" s="38" t="n">
        <f aca="false">COUNTIF(A42:AI42,"*$PM*")</f>
        <v>0</v>
      </c>
      <c r="BJ42" s="38" t="n">
        <f aca="false">BI42*0.5</f>
        <v>0</v>
      </c>
      <c r="BK42" s="38" t="n">
        <f aca="false">COUNTIF(A42:AI42,"*$AM*")</f>
        <v>1</v>
      </c>
      <c r="BL42" s="38" t="n">
        <f aca="false">BK42*0.5</f>
        <v>0.5</v>
      </c>
      <c r="BM42" s="38" t="n">
        <f aca="false">COUNTIF(A42:AI42,"*$FC*")</f>
        <v>4</v>
      </c>
      <c r="BN42" s="38" t="n">
        <f aca="false">BM42*1</f>
        <v>4</v>
      </c>
      <c r="BO42" s="38" t="n">
        <f aca="false">COUNTIF($D42:$AA42,BO$4)</f>
        <v>0</v>
      </c>
      <c r="BP42" s="38" t="n">
        <f aca="false">COUNTIF($D42:$AA42,BP$4)</f>
        <v>1</v>
      </c>
      <c r="BQ42" s="38" t="n">
        <f aca="false">COUNTIF($D42:$AA42,BQ$4)</f>
        <v>0</v>
      </c>
      <c r="BR42" s="211"/>
    </row>
    <row r="43" customFormat="false" ht="19.5" hidden="false" customHeight="true" outlineLevel="0" collapsed="false">
      <c r="A43" s="176"/>
      <c r="B43" s="215" t="s">
        <v>148</v>
      </c>
      <c r="C43" s="216"/>
      <c r="D43" s="32"/>
      <c r="E43" s="32"/>
      <c r="F43" s="32"/>
      <c r="G43" s="92"/>
      <c r="H43" s="92"/>
      <c r="I43" s="32"/>
      <c r="J43" s="32"/>
      <c r="K43" s="32"/>
      <c r="L43" s="32"/>
      <c r="M43" s="92"/>
      <c r="N43" s="32"/>
      <c r="O43" s="32"/>
      <c r="P43" s="32"/>
      <c r="Q43" s="91"/>
      <c r="R43" s="91"/>
      <c r="S43" s="32"/>
      <c r="T43" s="52"/>
      <c r="U43" s="34"/>
      <c r="V43" s="92"/>
      <c r="W43" s="181"/>
      <c r="X43" s="32"/>
      <c r="Y43" s="105"/>
      <c r="Z43" s="105"/>
      <c r="AA43" s="105"/>
      <c r="AB43" s="105"/>
      <c r="AC43" s="105"/>
      <c r="AD43" s="105"/>
      <c r="AE43" s="32"/>
      <c r="AF43" s="32"/>
      <c r="AG43" s="52"/>
      <c r="AH43" s="32"/>
      <c r="AI43" s="182"/>
      <c r="AJ43" s="183"/>
      <c r="AK43" s="182"/>
      <c r="AL43" s="182"/>
      <c r="AM43" s="67"/>
      <c r="AN43" s="67"/>
      <c r="AO43" s="67"/>
      <c r="AP43" s="67"/>
      <c r="AQ43" s="67"/>
      <c r="AR43" s="67"/>
      <c r="AS43" s="67"/>
      <c r="AT43" s="67"/>
      <c r="AU43" s="38"/>
      <c r="AV43" s="67"/>
      <c r="AW43" s="67"/>
      <c r="AX43" s="38"/>
      <c r="AY43" s="67"/>
      <c r="AZ43" s="67"/>
      <c r="BA43" s="38"/>
      <c r="BB43" s="38" t="s">
        <v>663</v>
      </c>
      <c r="BC43" s="38" t="n">
        <f aca="false">SUM(BC18:BC42)</f>
        <v>203.5</v>
      </c>
      <c r="BD43" s="38"/>
      <c r="BE43" s="38"/>
      <c r="BF43" s="38"/>
      <c r="BG43" s="38"/>
      <c r="BH43" s="38"/>
      <c r="BI43" s="38"/>
      <c r="BJ43" s="38"/>
      <c r="BK43" s="38"/>
      <c r="BL43" s="38"/>
      <c r="BM43" s="38"/>
      <c r="BN43" s="38"/>
      <c r="BO43" s="67"/>
      <c r="BP43" s="67"/>
      <c r="BQ43" s="67"/>
      <c r="BR43" s="211"/>
    </row>
    <row r="44" customFormat="false" ht="19.5" hidden="false" customHeight="true" outlineLevel="0" collapsed="false">
      <c r="A44" s="176"/>
      <c r="B44" s="217" t="s">
        <v>664</v>
      </c>
      <c r="C44" s="216"/>
      <c r="D44" s="105"/>
      <c r="E44" s="105"/>
      <c r="F44" s="105"/>
      <c r="G44" s="105"/>
      <c r="H44" s="32"/>
      <c r="I44" s="32"/>
      <c r="J44" s="32"/>
      <c r="K44" s="32"/>
      <c r="L44" s="32"/>
      <c r="M44" s="92"/>
      <c r="N44" s="32"/>
      <c r="O44" s="32"/>
      <c r="P44" s="32"/>
      <c r="Q44" s="91"/>
      <c r="R44" s="91"/>
      <c r="S44" s="32"/>
      <c r="T44" s="52"/>
      <c r="U44" s="34"/>
      <c r="V44" s="50"/>
      <c r="W44" s="32"/>
      <c r="X44" s="32"/>
      <c r="Y44" s="105"/>
      <c r="Z44" s="105"/>
      <c r="AA44" s="105"/>
      <c r="AB44" s="105"/>
      <c r="AC44" s="105"/>
      <c r="AD44" s="105"/>
      <c r="AE44" s="32"/>
      <c r="AF44" s="32"/>
      <c r="AG44" s="52"/>
      <c r="AH44" s="141"/>
      <c r="AI44" s="182"/>
      <c r="AJ44" s="183"/>
      <c r="AK44" s="182"/>
      <c r="AL44" s="182"/>
      <c r="AM44" s="67"/>
      <c r="AN44" s="67"/>
      <c r="AO44" s="67"/>
      <c r="AP44" s="67"/>
      <c r="AQ44" s="67"/>
      <c r="AR44" s="67"/>
      <c r="AS44" s="67"/>
      <c r="AT44" s="67"/>
      <c r="AU44" s="38"/>
      <c r="AV44" s="67"/>
      <c r="AW44" s="67"/>
      <c r="AX44" s="38"/>
      <c r="AY44" s="67"/>
      <c r="AZ44" s="67"/>
      <c r="BA44" s="38"/>
      <c r="BB44" s="38" t="s">
        <v>665</v>
      </c>
      <c r="BC44" s="38" t="s">
        <v>666</v>
      </c>
      <c r="BD44" s="38"/>
      <c r="BE44" s="38"/>
      <c r="BF44" s="38"/>
      <c r="BG44" s="38"/>
      <c r="BH44" s="38"/>
      <c r="BI44" s="38"/>
      <c r="BJ44" s="38"/>
      <c r="BK44" s="38"/>
      <c r="BL44" s="38"/>
      <c r="BM44" s="38"/>
      <c r="BN44" s="38"/>
      <c r="BO44" s="67"/>
      <c r="BP44" s="67"/>
      <c r="BQ44" s="67"/>
      <c r="BR44" s="211"/>
    </row>
    <row r="45" customFormat="false" ht="19.5" hidden="false" customHeight="true" outlineLevel="0" collapsed="false">
      <c r="A45" s="176"/>
      <c r="B45" s="217" t="s">
        <v>667</v>
      </c>
      <c r="C45" s="216"/>
      <c r="D45" s="105"/>
      <c r="E45" s="105"/>
      <c r="F45" s="105"/>
      <c r="G45" s="105"/>
      <c r="H45" s="32"/>
      <c r="I45" s="32"/>
      <c r="J45" s="32"/>
      <c r="K45" s="32"/>
      <c r="L45" s="32"/>
      <c r="M45" s="92"/>
      <c r="N45" s="32"/>
      <c r="O45" s="32"/>
      <c r="P45" s="32"/>
      <c r="Q45" s="91"/>
      <c r="R45" s="91"/>
      <c r="S45" s="32"/>
      <c r="T45" s="52"/>
      <c r="U45" s="34"/>
      <c r="V45" s="50"/>
      <c r="W45" s="32"/>
      <c r="X45" s="32"/>
      <c r="Y45" s="105"/>
      <c r="Z45" s="105"/>
      <c r="AA45" s="105"/>
      <c r="AB45" s="105"/>
      <c r="AC45" s="105"/>
      <c r="AD45" s="105"/>
      <c r="AE45" s="32"/>
      <c r="AF45" s="32"/>
      <c r="AG45" s="52"/>
      <c r="AH45" s="141"/>
      <c r="AI45" s="182"/>
      <c r="AJ45" s="183"/>
      <c r="AK45" s="182"/>
      <c r="AL45" s="182"/>
      <c r="AM45" s="67"/>
      <c r="AN45" s="67"/>
      <c r="AO45" s="67"/>
      <c r="AP45" s="67"/>
      <c r="AQ45" s="67"/>
      <c r="AR45" s="67"/>
      <c r="AS45" s="67"/>
      <c r="AT45" s="67"/>
      <c r="AU45" s="38"/>
      <c r="AV45" s="67"/>
      <c r="AW45" s="67"/>
      <c r="AX45" s="38"/>
      <c r="AY45" s="67"/>
      <c r="AZ45" s="67"/>
      <c r="BA45" s="38"/>
      <c r="BB45" s="38"/>
      <c r="BC45" s="38"/>
      <c r="BD45" s="38"/>
      <c r="BE45" s="38"/>
      <c r="BF45" s="38"/>
      <c r="BG45" s="38"/>
      <c r="BH45" s="38"/>
      <c r="BI45" s="38"/>
      <c r="BJ45" s="38"/>
      <c r="BK45" s="38"/>
      <c r="BL45" s="38"/>
      <c r="BM45" s="38"/>
      <c r="BN45" s="38"/>
      <c r="BO45" s="67"/>
      <c r="BP45" s="67"/>
      <c r="BQ45" s="67"/>
      <c r="BR45" s="211"/>
    </row>
    <row r="46" customFormat="false" ht="19.5" hidden="false" customHeight="true" outlineLevel="0" collapsed="false">
      <c r="A46" s="176"/>
      <c r="B46" s="217" t="s">
        <v>668</v>
      </c>
      <c r="C46" s="216"/>
      <c r="D46" s="105"/>
      <c r="E46" s="105"/>
      <c r="F46" s="105"/>
      <c r="G46" s="105"/>
      <c r="H46" s="32"/>
      <c r="I46" s="32"/>
      <c r="J46" s="32"/>
      <c r="K46" s="32"/>
      <c r="L46" s="32"/>
      <c r="M46" s="92"/>
      <c r="N46" s="32"/>
      <c r="O46" s="32"/>
      <c r="P46" s="32"/>
      <c r="Q46" s="91"/>
      <c r="R46" s="91"/>
      <c r="S46" s="32"/>
      <c r="T46" s="52"/>
      <c r="U46" s="34"/>
      <c r="V46" s="50"/>
      <c r="W46" s="32"/>
      <c r="X46" s="32"/>
      <c r="Y46" s="105"/>
      <c r="Z46" s="105"/>
      <c r="AA46" s="105"/>
      <c r="AB46" s="105"/>
      <c r="AC46" s="105"/>
      <c r="AD46" s="105"/>
      <c r="AE46" s="32"/>
      <c r="AF46" s="32"/>
      <c r="AG46" s="52"/>
      <c r="AH46" s="141"/>
      <c r="AI46" s="182"/>
      <c r="AJ46" s="183"/>
      <c r="AK46" s="182"/>
      <c r="AL46" s="182"/>
      <c r="AM46" s="67"/>
      <c r="AN46" s="67"/>
      <c r="AO46" s="67"/>
      <c r="AP46" s="67"/>
      <c r="AQ46" s="67"/>
      <c r="AR46" s="67"/>
      <c r="AS46" s="67"/>
      <c r="AT46" s="67"/>
      <c r="AU46" s="38"/>
      <c r="AV46" s="67"/>
      <c r="AW46" s="67"/>
      <c r="AX46" s="38"/>
      <c r="AY46" s="67"/>
      <c r="AZ46" s="67"/>
      <c r="BA46" s="38"/>
      <c r="BB46" s="38"/>
      <c r="BC46" s="38"/>
      <c r="BD46" s="38"/>
      <c r="BE46" s="38"/>
      <c r="BF46" s="38"/>
      <c r="BG46" s="38"/>
      <c r="BH46" s="38"/>
      <c r="BI46" s="38"/>
      <c r="BJ46" s="38"/>
      <c r="BK46" s="38"/>
      <c r="BL46" s="38"/>
      <c r="BM46" s="38"/>
      <c r="BN46" s="38"/>
      <c r="BO46" s="67"/>
      <c r="BP46" s="67"/>
      <c r="BQ46" s="67"/>
      <c r="BR46" s="211"/>
    </row>
    <row r="47" customFormat="false" ht="19.5" hidden="false" customHeight="true" outlineLevel="0" collapsed="false">
      <c r="A47" s="176"/>
      <c r="B47" s="218"/>
      <c r="C47" s="219"/>
      <c r="D47" s="220"/>
      <c r="E47" s="220"/>
      <c r="F47" s="220"/>
      <c r="G47" s="220"/>
      <c r="H47" s="219"/>
      <c r="I47" s="219"/>
      <c r="J47" s="219"/>
      <c r="K47" s="219"/>
      <c r="L47" s="219"/>
      <c r="M47" s="219"/>
      <c r="N47" s="219"/>
      <c r="O47" s="219"/>
      <c r="P47" s="219"/>
      <c r="Q47" s="219"/>
      <c r="R47" s="219"/>
      <c r="S47" s="219"/>
      <c r="T47" s="219"/>
      <c r="U47" s="219"/>
      <c r="V47" s="219"/>
      <c r="W47" s="219"/>
      <c r="X47" s="219"/>
      <c r="Y47" s="219"/>
      <c r="Z47" s="219"/>
      <c r="AA47" s="219"/>
      <c r="AB47" s="219"/>
      <c r="AC47" s="219"/>
      <c r="AD47" s="219"/>
      <c r="AE47" s="219"/>
      <c r="AF47" s="219"/>
      <c r="AG47" s="219"/>
      <c r="AH47" s="221"/>
      <c r="AI47" s="222"/>
      <c r="AJ47" s="223"/>
      <c r="AK47" s="222"/>
      <c r="AL47" s="222"/>
      <c r="AM47" s="75"/>
      <c r="AN47" s="75"/>
      <c r="AO47" s="75"/>
      <c r="AP47" s="75"/>
      <c r="AQ47" s="75"/>
      <c r="AR47" s="75"/>
      <c r="AS47" s="75"/>
      <c r="AT47" s="75"/>
      <c r="AU47" s="75"/>
      <c r="AV47" s="75"/>
      <c r="AW47" s="75"/>
      <c r="AX47" s="75" t="n">
        <f aca="false">SUMPRODUCT(--WEEKDAY(C$3:AG$3,2)&gt;5,--((C47:AG47="DM"))+(C47:AG47="CS1")+((C47:AG47="CS2"))+(C47:AG47="SB1")+(C47:AG47="AE")+(C47:AG47="EM"))</f>
        <v>0</v>
      </c>
      <c r="AY47" s="75"/>
      <c r="AZ47" s="75" t="n">
        <f aca="false">(AU47-AV47)/2+(AX47-AY47)</f>
        <v>0</v>
      </c>
      <c r="BA47" s="75"/>
      <c r="BB47" s="75"/>
      <c r="BC47" s="75"/>
      <c r="BD47" s="75"/>
      <c r="BE47" s="75"/>
      <c r="BF47" s="75"/>
      <c r="BG47" s="75"/>
      <c r="BH47" s="75"/>
      <c r="BI47" s="75"/>
      <c r="BJ47" s="75"/>
      <c r="BK47" s="75"/>
      <c r="BL47" s="75"/>
      <c r="BM47" s="75"/>
      <c r="BN47" s="75"/>
      <c r="BO47" s="75"/>
      <c r="BP47" s="75"/>
      <c r="BQ47" s="75"/>
      <c r="BR47" s="224"/>
    </row>
    <row r="48" customFormat="false" ht="19.5" hidden="false" customHeight="true" outlineLevel="0" collapsed="false">
      <c r="A48" s="176"/>
      <c r="B48" s="225" t="s">
        <v>57</v>
      </c>
      <c r="C48" s="226" t="str">
        <f aca="false">VLOOKUP("DM",C5:C43,1,FALSE())</f>
        <v>DM</v>
      </c>
      <c r="D48" s="226" t="str">
        <f aca="false">VLOOKUP("DM",D5:D43,1,FALSE())</f>
        <v>DM</v>
      </c>
      <c r="E48" s="226" t="str">
        <f aca="false">VLOOKUP("DM",E6:E43,1,FALSE())</f>
        <v>DM</v>
      </c>
      <c r="F48" s="226" t="str">
        <f aca="false">VLOOKUP("DM",F5:F43,1,FALSE())</f>
        <v>DM</v>
      </c>
      <c r="G48" s="226" t="str">
        <f aca="false">VLOOKUP("DM",G5:G42,1,FALSE())</f>
        <v>DM</v>
      </c>
      <c r="H48" s="226" t="str">
        <f aca="false">VLOOKUP("DM",H5:H42,1,FALSE())</f>
        <v>DM</v>
      </c>
      <c r="I48" s="226" t="str">
        <f aca="false">VLOOKUP("DM",I5:I43,1,FALSE())</f>
        <v>DM</v>
      </c>
      <c r="J48" s="226" t="str">
        <f aca="false">VLOOKUP("DM",J5:J43,1,FALSE())</f>
        <v>DM</v>
      </c>
      <c r="K48" s="226" t="str">
        <f aca="false">VLOOKUP("DM",K5:K43,1,FALSE())</f>
        <v>DM</v>
      </c>
      <c r="L48" s="226" t="str">
        <f aca="false">VLOOKUP("DM",L5:L43,1,FALSE())</f>
        <v>DM</v>
      </c>
      <c r="M48" s="226" t="str">
        <f aca="false">VLOOKUP("DM",M5:M43,1,FALSE())</f>
        <v>DM</v>
      </c>
      <c r="N48" s="226" t="str">
        <f aca="false">VLOOKUP("DM",N5:N43,1,FALSE())</f>
        <v>DM</v>
      </c>
      <c r="O48" s="226" t="str">
        <f aca="false">VLOOKUP("DM",O5:O43,1,FALSE())</f>
        <v>DM</v>
      </c>
      <c r="P48" s="226" t="str">
        <f aca="false">VLOOKUP("DM",P5:P43,1,FALSE())</f>
        <v>DM</v>
      </c>
      <c r="Q48" s="226" t="str">
        <f aca="false">VLOOKUP("DM",Q5:Q43,1,FALSE())</f>
        <v>DM</v>
      </c>
      <c r="R48" s="226" t="str">
        <f aca="false">VLOOKUP("DM",R5:R43,1,FALSE())</f>
        <v>DM</v>
      </c>
      <c r="S48" s="226" t="str">
        <f aca="false">VLOOKUP("DM",S5:S43,1,FALSE())</f>
        <v>DM</v>
      </c>
      <c r="T48" s="226" t="str">
        <f aca="false">VLOOKUP("DM",T5:T43,1,FALSE())</f>
        <v>DM</v>
      </c>
      <c r="U48" s="226" t="str">
        <f aca="false">VLOOKUP("DM",U5:U43,1,FALSE())</f>
        <v>DM</v>
      </c>
      <c r="V48" s="226" t="str">
        <f aca="false">VLOOKUP("DM",V5:V41,1,FALSE())</f>
        <v>DM</v>
      </c>
      <c r="W48" s="226" t="str">
        <f aca="false">VLOOKUP("DM",W5:W43,1,FALSE())</f>
        <v>DM</v>
      </c>
      <c r="X48" s="226" t="str">
        <f aca="false">VLOOKUP("DM",X5:X43,1,FALSE())</f>
        <v>DM</v>
      </c>
      <c r="Y48" s="226" t="str">
        <f aca="false">VLOOKUP("DM",Y5:Y43,1,FALSE())</f>
        <v>DM</v>
      </c>
      <c r="Z48" s="226" t="str">
        <f aca="false">VLOOKUP("DM",Z5:Z43,1,FALSE())</f>
        <v>DM</v>
      </c>
      <c r="AA48" s="226" t="str">
        <f aca="false">VLOOKUP("DM",AA7:AA43,1,FALSE())</f>
        <v>DM</v>
      </c>
      <c r="AB48" s="226" t="str">
        <f aca="false">VLOOKUP("DM",AB5:AB43,1,FALSE())</f>
        <v>DM</v>
      </c>
      <c r="AC48" s="226" t="str">
        <f aca="false">VLOOKUP("DM",AC5:AC43,1,FALSE())</f>
        <v>DM</v>
      </c>
      <c r="AD48" s="226" t="str">
        <f aca="false">VLOOKUP("DM",AD5:AD43,1,FALSE())</f>
        <v>DM</v>
      </c>
      <c r="AE48" s="226" t="e">
        <f aca="false">VLOOKUP("DM",AE5:AE43,1,FALSE())</f>
        <v>#N/A</v>
      </c>
      <c r="AF48" s="226" t="e">
        <f aca="false">VLOOKUP("DM",AF5:AF43,1,FALSE())</f>
        <v>#N/A</v>
      </c>
      <c r="AG48" s="226" t="e">
        <f aca="false">VLOOKUP("DM",AG5:AG43,1,FALSE())</f>
        <v>#N/A</v>
      </c>
      <c r="AH48" s="226" t="e">
        <f aca="false">VLOOKUP("DM",AH5:AH43,1,FALSE())</f>
        <v>#N/A</v>
      </c>
      <c r="AI48" s="182"/>
      <c r="AJ48" s="183"/>
      <c r="AK48" s="182"/>
      <c r="AL48" s="182"/>
      <c r="AM48" s="38"/>
      <c r="AN48" s="38"/>
      <c r="AO48" s="38"/>
      <c r="AP48" s="38"/>
      <c r="AQ48" s="38"/>
      <c r="AR48" s="38"/>
      <c r="AS48" s="38"/>
      <c r="AT48" s="38"/>
      <c r="AU48" s="38"/>
      <c r="AV48" s="38"/>
      <c r="AW48" s="38"/>
      <c r="AX48" s="38"/>
      <c r="AY48" s="38"/>
      <c r="AZ48" s="38"/>
      <c r="BA48" s="38"/>
      <c r="BB48" s="38"/>
      <c r="BC48" s="38"/>
      <c r="BD48" s="38"/>
      <c r="BE48" s="38"/>
      <c r="BF48" s="38"/>
      <c r="BG48" s="38"/>
      <c r="BH48" s="38"/>
      <c r="BI48" s="38"/>
      <c r="BJ48" s="38"/>
      <c r="BK48" s="38"/>
      <c r="BL48" s="38"/>
      <c r="BM48" s="38"/>
      <c r="BN48" s="38"/>
      <c r="BO48" s="38"/>
      <c r="BP48" s="38"/>
      <c r="BQ48" s="38"/>
      <c r="BR48" s="185"/>
    </row>
    <row r="49" customFormat="false" ht="19.5" hidden="false" customHeight="true" outlineLevel="0" collapsed="false">
      <c r="A49" s="176" t="e">
        <f aca="false">lte()</f>
        <v>#NAME?</v>
      </c>
      <c r="B49" s="227" t="s">
        <v>56</v>
      </c>
      <c r="C49" s="226" t="str">
        <f aca="false">VLOOKUP("CS1",C5:C43,1,FALSE())</f>
        <v>CS1</v>
      </c>
      <c r="D49" s="226" t="str">
        <f aca="false">VLOOKUP("CS1",D5:D43,1,FALSE())</f>
        <v>CS1</v>
      </c>
      <c r="E49" s="226" t="str">
        <f aca="false">VLOOKUP("CS1",E6:E43,1,FALSE())</f>
        <v>CS1</v>
      </c>
      <c r="F49" s="226" t="str">
        <f aca="false">VLOOKUP("CS1",F5:F43,1,FALSE())</f>
        <v>CS1</v>
      </c>
      <c r="G49" s="226" t="str">
        <f aca="false">VLOOKUP("CS1",G5:G42,1,FALSE())</f>
        <v>CS1</v>
      </c>
      <c r="H49" s="226" t="str">
        <f aca="false">VLOOKUP("CS1",H5:H42,1,FALSE())</f>
        <v>CS1</v>
      </c>
      <c r="I49" s="226" t="str">
        <f aca="false">VLOOKUP("CS1",I5:I43,1,FALSE())</f>
        <v>CS1</v>
      </c>
      <c r="J49" s="226" t="str">
        <f aca="false">VLOOKUP("CS1",J5:J43,1,FALSE())</f>
        <v>CS1</v>
      </c>
      <c r="K49" s="226" t="str">
        <f aca="false">VLOOKUP("CS1",K5:K43,1,FALSE())</f>
        <v>CS1</v>
      </c>
      <c r="L49" s="226" t="str">
        <f aca="false">VLOOKUP("CS1",L5:L43,1,FALSE())</f>
        <v>CS1</v>
      </c>
      <c r="M49" s="226" t="str">
        <f aca="false">VLOOKUP("CS1",M5:M43,1,FALSE())</f>
        <v>CS1</v>
      </c>
      <c r="N49" s="226" t="str">
        <f aca="false">VLOOKUP("CS1",N5:N43,1,FALSE())</f>
        <v>CS1</v>
      </c>
      <c r="O49" s="226" t="str">
        <f aca="false">VLOOKUP("CS1",O5:O43,1,FALSE())</f>
        <v>CS1</v>
      </c>
      <c r="P49" s="226" t="str">
        <f aca="false">VLOOKUP("CS1",P5:P43,1,FALSE())</f>
        <v>CS1</v>
      </c>
      <c r="Q49" s="226" t="str">
        <f aca="false">VLOOKUP("CS1",Q5:Q43,1,FALSE())</f>
        <v>CS1</v>
      </c>
      <c r="R49" s="226" t="str">
        <f aca="false">VLOOKUP("CS1",R5:R43,1,FALSE())</f>
        <v>CS1</v>
      </c>
      <c r="S49" s="226" t="str">
        <f aca="false">VLOOKUP("CS1",S5:S43,1,FALSE())</f>
        <v>CS1</v>
      </c>
      <c r="T49" s="226" t="str">
        <f aca="false">VLOOKUP("CS1",T5:T43,1,FALSE())</f>
        <v>CS1</v>
      </c>
      <c r="U49" s="226" t="str">
        <f aca="false">VLOOKUP("CS1",U5:U43,1,FALSE())</f>
        <v>CS1</v>
      </c>
      <c r="V49" s="226" t="str">
        <f aca="false">VLOOKUP("CS1",V5:V41,1,FALSE())</f>
        <v>CS1</v>
      </c>
      <c r="W49" s="226" t="str">
        <f aca="false">VLOOKUP("CS1",W5:W43,1,FALSE())</f>
        <v>CS1</v>
      </c>
      <c r="X49" s="226" t="str">
        <f aca="false">VLOOKUP("CS1",X5:X43,1,FALSE())</f>
        <v>CS1</v>
      </c>
      <c r="Y49" s="226" t="str">
        <f aca="false">VLOOKUP("CS1",Y5:Y43,1,FALSE())</f>
        <v>CS1</v>
      </c>
      <c r="Z49" s="226" t="str">
        <f aca="false">VLOOKUP("CS1",Z5:Z43,1,FALSE())</f>
        <v>CS1</v>
      </c>
      <c r="AA49" s="226" t="str">
        <f aca="false">VLOOKUP("CS1",AA7:AA43,1,FALSE())</f>
        <v>CS1</v>
      </c>
      <c r="AB49" s="226" t="str">
        <f aca="false">VLOOKUP("CS1",AB5:AB43,1,FALSE())</f>
        <v>CS1</v>
      </c>
      <c r="AC49" s="226" t="str">
        <f aca="false">VLOOKUP("CS1",AC5:AC43,1,FALSE())</f>
        <v>CS1</v>
      </c>
      <c r="AD49" s="226" t="str">
        <f aca="false">VLOOKUP("CS1",AD5:AD43,1,FALSE())</f>
        <v>CS1</v>
      </c>
      <c r="AE49" s="226" t="e">
        <f aca="false">VLOOKUP("CS1",AE5:AE43,1,FALSE())</f>
        <v>#N/A</v>
      </c>
      <c r="AF49" s="226" t="e">
        <f aca="false">VLOOKUP("CS1",AF5:AF43,1,FALSE())</f>
        <v>#N/A</v>
      </c>
      <c r="AG49" s="226" t="e">
        <f aca="false">VLOOKUP("CS1",AG5:AG43,1,FALSE())</f>
        <v>#N/A</v>
      </c>
      <c r="AH49" s="226" t="e">
        <f aca="false">VLOOKUP("CS1",AH5:AH43,1,FALSE())</f>
        <v>#N/A</v>
      </c>
      <c r="AI49" s="182"/>
      <c r="AJ49" s="183"/>
      <c r="AK49" s="182"/>
      <c r="AL49" s="182"/>
      <c r="AM49" s="38"/>
      <c r="AN49" s="38"/>
      <c r="AO49" s="38"/>
      <c r="AP49" s="38"/>
      <c r="AQ49" s="38"/>
      <c r="AR49" s="38"/>
      <c r="AS49" s="38"/>
      <c r="AT49" s="38"/>
      <c r="AU49" s="38"/>
      <c r="AV49" s="38"/>
      <c r="AW49" s="38"/>
      <c r="AX49" s="38"/>
      <c r="AY49" s="38"/>
      <c r="AZ49" s="38"/>
      <c r="BA49" s="38"/>
      <c r="BB49" s="38"/>
      <c r="BC49" s="38"/>
      <c r="BD49" s="38"/>
      <c r="BE49" s="38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8"/>
      <c r="BR49" s="185"/>
    </row>
    <row r="50" customFormat="false" ht="19.5" hidden="false" customHeight="true" outlineLevel="0" collapsed="false">
      <c r="A50" s="176"/>
      <c r="B50" s="228" t="s">
        <v>59</v>
      </c>
      <c r="C50" s="226" t="e">
        <f aca="false">VLOOKUP("CS2",C5:C43,1,FALSE())</f>
        <v>#N/A</v>
      </c>
      <c r="D50" s="226" t="e">
        <f aca="false">VLOOKUP("CS2",D5:D43,1,FALSE())</f>
        <v>#N/A</v>
      </c>
      <c r="E50" s="226" t="str">
        <f aca="false">VLOOKUP("CS2",E6:E43,1,FALSE())</f>
        <v>CS2</v>
      </c>
      <c r="F50" s="226" t="str">
        <f aca="false">VLOOKUP("CS2",F5:F43,1,FALSE())</f>
        <v>CS2</v>
      </c>
      <c r="G50" s="226" t="e">
        <f aca="false">VLOOKUP("CS2",G5:G42,1,FALSE())</f>
        <v>#N/A</v>
      </c>
      <c r="H50" s="226" t="str">
        <f aca="false">VLOOKUP("CS2",H5:H42,1,FALSE())</f>
        <v>CS2</v>
      </c>
      <c r="I50" s="226" t="str">
        <f aca="false">VLOOKUP("CS2",I5:I43,1,FALSE())</f>
        <v>CS2</v>
      </c>
      <c r="J50" s="226" t="e">
        <f aca="false">VLOOKUP("CS2",J5:J43,1,FALSE())</f>
        <v>#N/A</v>
      </c>
      <c r="K50" s="226" t="e">
        <f aca="false">VLOOKUP("CS2",K5:K43,1,FALSE())</f>
        <v>#N/A</v>
      </c>
      <c r="L50" s="226" t="str">
        <f aca="false">VLOOKUP("CS2",L5:L43,1,FALSE())</f>
        <v>CS2</v>
      </c>
      <c r="M50" s="226" t="str">
        <f aca="false">VLOOKUP("CS2",M5:M43,1,FALSE())</f>
        <v>CS2</v>
      </c>
      <c r="N50" s="226" t="e">
        <f aca="false">VLOOKUP("CS2",N5:N43,1,FALSE())</f>
        <v>#N/A</v>
      </c>
      <c r="O50" s="226" t="str">
        <f aca="false">VLOOKUP("CS2",O5:O43,1,FALSE())</f>
        <v>CS2</v>
      </c>
      <c r="P50" s="226" t="str">
        <f aca="false">VLOOKUP("CS2",P5:P43,1,FALSE())</f>
        <v>CS2</v>
      </c>
      <c r="Q50" s="226" t="e">
        <f aca="false">VLOOKUP("CS2",Q5:Q43,1,FALSE())</f>
        <v>#N/A</v>
      </c>
      <c r="R50" s="226" t="e">
        <f aca="false">VLOOKUP("CS2",R5:R43,1,FALSE())</f>
        <v>#N/A</v>
      </c>
      <c r="S50" s="226" t="str">
        <f aca="false">VLOOKUP("CS2",S5:S43,1,FALSE())</f>
        <v>CS2</v>
      </c>
      <c r="T50" s="226" t="str">
        <f aca="false">VLOOKUP("CS2",T5:T43,1,FALSE())</f>
        <v>CS2</v>
      </c>
      <c r="U50" s="226" t="e">
        <f aca="false">VLOOKUP("CS2",U5:U43,1,FALSE())</f>
        <v>#N/A</v>
      </c>
      <c r="V50" s="226" t="str">
        <f aca="false">VLOOKUP("CS2",V5:V41,1,FALSE())</f>
        <v>CS2</v>
      </c>
      <c r="W50" s="226" t="str">
        <f aca="false">VLOOKUP("CS2",W5:W43,1,FALSE())</f>
        <v>CS2</v>
      </c>
      <c r="X50" s="226" t="e">
        <f aca="false">VLOOKUP("CS2",X5:X43,1,FALSE())</f>
        <v>#N/A</v>
      </c>
      <c r="Y50" s="226" t="e">
        <f aca="false">VLOOKUP("CS2",Y5:Y43,1,FALSE())</f>
        <v>#N/A</v>
      </c>
      <c r="Z50" s="226" t="str">
        <f aca="false">VLOOKUP("CS2",Z5:Z43,1,FALSE())</f>
        <v>CS2</v>
      </c>
      <c r="AA50" s="226" t="e">
        <f aca="false">VLOOKUP("CS2",AA7:AA43,1,FALSE())</f>
        <v>#N/A</v>
      </c>
      <c r="AB50" s="226" t="e">
        <f aca="false">VLOOKUP("CS2",AB5:AB43,1,FALSE())</f>
        <v>#N/A</v>
      </c>
      <c r="AC50" s="226" t="str">
        <f aca="false">VLOOKUP("CS2",AC5:AC43,1,FALSE())</f>
        <v>CS2</v>
      </c>
      <c r="AD50" s="226" t="str">
        <f aca="false">VLOOKUP("CS2",AD5:AD43,1,FALSE())</f>
        <v>CS2</v>
      </c>
      <c r="AE50" s="226" t="e">
        <f aca="false">VLOOKUP("CS2",AE5:AE43,1,FALSE())</f>
        <v>#N/A</v>
      </c>
      <c r="AF50" s="226" t="e">
        <f aca="false">VLOOKUP("CS2",AF5:AF43,1,FALSE())</f>
        <v>#N/A</v>
      </c>
      <c r="AG50" s="226" t="e">
        <f aca="false">VLOOKUP("CS2",AG5:AG43,1,FALSE())</f>
        <v>#N/A</v>
      </c>
      <c r="AH50" s="226" t="e">
        <f aca="false">VLOOKUP("CS2",AH5:AH43,1,FALSE())</f>
        <v>#N/A</v>
      </c>
      <c r="AI50" s="182"/>
      <c r="AJ50" s="183"/>
      <c r="AK50" s="182"/>
      <c r="AL50" s="182"/>
      <c r="AM50" s="38"/>
      <c r="AN50" s="3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38"/>
      <c r="BI50" s="38"/>
      <c r="BJ50" s="38"/>
      <c r="BK50" s="38"/>
      <c r="BL50" s="38"/>
      <c r="BM50" s="38"/>
      <c r="BN50" s="38"/>
      <c r="BO50" s="38"/>
      <c r="BP50" s="38"/>
      <c r="BQ50" s="38"/>
      <c r="BR50" s="185"/>
    </row>
    <row r="51" customFormat="false" ht="19.5" hidden="false" customHeight="true" outlineLevel="0" collapsed="false">
      <c r="A51" s="176"/>
      <c r="B51" s="229" t="s">
        <v>566</v>
      </c>
      <c r="C51" s="226" t="str">
        <f aca="false">VLOOKUP("CS/B",C5:C43,1,FALSE())</f>
        <v>CS/B</v>
      </c>
      <c r="D51" s="226" t="str">
        <f aca="false">VLOOKUP("CS/B",D5:D43,1,FALSE())</f>
        <v>CS/B</v>
      </c>
      <c r="E51" s="226" t="e">
        <f aca="false">VLOOKUP("CS/B",E6:E43,1,FALSE())</f>
        <v>#N/A</v>
      </c>
      <c r="F51" s="226" t="e">
        <f aca="false">VLOOKUP("CS/B",F5:F43,1,FALSE())</f>
        <v>#N/A</v>
      </c>
      <c r="G51" s="226" t="str">
        <f aca="false">VLOOKUP("CS/B",G5:G42,1,FALSE())</f>
        <v>CS/B</v>
      </c>
      <c r="H51" s="226" t="e">
        <f aca="false">VLOOKUP("CS/B",H5:H42,1,FALSE())</f>
        <v>#N/A</v>
      </c>
      <c r="I51" s="226" t="e">
        <f aca="false">VLOOKUP("CS/B",I5:I43,1,FALSE())</f>
        <v>#N/A</v>
      </c>
      <c r="J51" s="226" t="str">
        <f aca="false">VLOOKUP("CS/B",J5:J43,1,FALSE())</f>
        <v>CS/B</v>
      </c>
      <c r="K51" s="226" t="str">
        <f aca="false">VLOOKUP("CS/B",K5:K43,1,FALSE())</f>
        <v>CS/B</v>
      </c>
      <c r="L51" s="226" t="e">
        <f aca="false">VLOOKUP("CS/B",L5:L43,1,FALSE())</f>
        <v>#N/A</v>
      </c>
      <c r="M51" s="226" t="e">
        <f aca="false">VLOOKUP("CS/B",M5:M43,1,FALSE())</f>
        <v>#N/A</v>
      </c>
      <c r="N51" s="226" t="str">
        <f aca="false">VLOOKUP("CS/B",N5:N43,1,FALSE())</f>
        <v>CS/B</v>
      </c>
      <c r="O51" s="226" t="e">
        <f aca="false">VLOOKUP("CS/B",O5:O43,1,FALSE())</f>
        <v>#N/A</v>
      </c>
      <c r="P51" s="226" t="e">
        <f aca="false">VLOOKUP("CS/B",P5:P43,1,FALSE())</f>
        <v>#N/A</v>
      </c>
      <c r="Q51" s="226" t="str">
        <f aca="false">VLOOKUP("CS/B",Q5:Q43,1,FALSE())</f>
        <v>CS/B</v>
      </c>
      <c r="R51" s="226" t="str">
        <f aca="false">VLOOKUP("CS/B",R5:R43,1,FALSE())</f>
        <v>CS/B</v>
      </c>
      <c r="S51" s="226" t="e">
        <f aca="false">VLOOKUP("CS/B",S5:S43,1,FALSE())</f>
        <v>#N/A</v>
      </c>
      <c r="T51" s="226" t="e">
        <f aca="false">VLOOKUP("CS/B",T5:T43,1,FALSE())</f>
        <v>#N/A</v>
      </c>
      <c r="U51" s="226" t="str">
        <f aca="false">VLOOKUP("CS/B",U5:U43,1,FALSE())</f>
        <v>CS/B</v>
      </c>
      <c r="V51" s="226" t="e">
        <f aca="false">VLOOKUP("CS/B",V5:V41,1,FALSE())</f>
        <v>#N/A</v>
      </c>
      <c r="W51" s="226" t="e">
        <f aca="false">VLOOKUP("CS/B",W5:W43,1,FALSE())</f>
        <v>#N/A</v>
      </c>
      <c r="X51" s="226" t="str">
        <f aca="false">VLOOKUP("CS/B",X5:X43,1,FALSE())</f>
        <v>CS/B</v>
      </c>
      <c r="Y51" s="226" t="str">
        <f aca="false">VLOOKUP("CS/B",Y5:Y43,1,FALSE())</f>
        <v>CS/B</v>
      </c>
      <c r="Z51" s="226" t="e">
        <f aca="false">VLOOKUP("CS/B",Z5:Z43,1,FALSE())</f>
        <v>#N/A</v>
      </c>
      <c r="AA51" s="226" t="e">
        <f aca="false">VLOOKUP("CS/B",AA7:AA43,1,FALSE())</f>
        <v>#N/A</v>
      </c>
      <c r="AB51" s="226" t="str">
        <f aca="false">VLOOKUP("CS/B",AB5:AB43,1,FALSE())</f>
        <v>CS/B</v>
      </c>
      <c r="AC51" s="226" t="e">
        <f aca="false">VLOOKUP("CS/B",AC5:AC43,1,FALSE())</f>
        <v>#N/A</v>
      </c>
      <c r="AD51" s="226" t="e">
        <f aca="false">VLOOKUP("CS/B",AD5:AD43,1,FALSE())</f>
        <v>#N/A</v>
      </c>
      <c r="AE51" s="226" t="e">
        <f aca="false">VLOOKUP("CS/B",AE5:AE43,1,FALSE())</f>
        <v>#N/A</v>
      </c>
      <c r="AF51" s="226" t="e">
        <f aca="false">VLOOKUP("CS/B",AF5:AF43,1,FALSE())</f>
        <v>#N/A</v>
      </c>
      <c r="AG51" s="226" t="e">
        <f aca="false">VLOOKUP("CS/B",AG5:AG43,1,FALSE())</f>
        <v>#N/A</v>
      </c>
      <c r="AH51" s="226" t="e">
        <f aca="false">VLOOKUP("CS/B",AH5:AH43,1,FALSE())</f>
        <v>#N/A</v>
      </c>
      <c r="AI51" s="182"/>
      <c r="AJ51" s="183"/>
      <c r="AK51" s="182"/>
      <c r="AL51" s="182"/>
      <c r="AM51" s="38"/>
      <c r="AN51" s="38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8"/>
      <c r="BR51" s="185"/>
    </row>
    <row r="52" customFormat="false" ht="19.5" hidden="false" customHeight="true" outlineLevel="0" collapsed="false">
      <c r="A52" s="176"/>
      <c r="B52" s="230" t="s">
        <v>58</v>
      </c>
      <c r="C52" s="226" t="e">
        <f aca="false">VLOOKUP("SB1",C5:C43,1,FALSE())</f>
        <v>#N/A</v>
      </c>
      <c r="D52" s="226" t="e">
        <f aca="false">VLOOKUP("SB1",D5:D43,1,FALSE())</f>
        <v>#N/A</v>
      </c>
      <c r="E52" s="226" t="str">
        <f aca="false">VLOOKUP("SB1",E6:E43,1,FALSE())</f>
        <v>SB1</v>
      </c>
      <c r="F52" s="226" t="str">
        <f aca="false">VLOOKUP("SB1",F5:F43,1,FALSE())</f>
        <v>SB1</v>
      </c>
      <c r="G52" s="226" t="e">
        <f aca="false">VLOOKUP("SB1",G5:G42,1,FALSE())</f>
        <v>#N/A</v>
      </c>
      <c r="H52" s="226" t="str">
        <f aca="false">VLOOKUP("SB1",H5:H42,1,FALSE())</f>
        <v>SB1</v>
      </c>
      <c r="I52" s="226" t="str">
        <f aca="false">VLOOKUP("SB1",I5:I43,1,FALSE())</f>
        <v>SB1</v>
      </c>
      <c r="J52" s="226" t="e">
        <f aca="false">VLOOKUP("SB1",J5:J43,1,FALSE())</f>
        <v>#N/A</v>
      </c>
      <c r="K52" s="226" t="e">
        <f aca="false">VLOOKUP("SB1",K5:K43,1,FALSE())</f>
        <v>#N/A</v>
      </c>
      <c r="L52" s="226" t="str">
        <f aca="false">VLOOKUP("SB1",L5:L43,1,FALSE())</f>
        <v>SB1</v>
      </c>
      <c r="M52" s="226" t="str">
        <f aca="false">VLOOKUP("SB1",M5:M43,1,FALSE())</f>
        <v>SB1</v>
      </c>
      <c r="N52" s="226" t="e">
        <f aca="false">VLOOKUP("SB1",N5:N43,1,FALSE())</f>
        <v>#N/A</v>
      </c>
      <c r="O52" s="226" t="str">
        <f aca="false">VLOOKUP("SB1",O5:O43,1,FALSE())</f>
        <v>SB1</v>
      </c>
      <c r="P52" s="226" t="str">
        <f aca="false">VLOOKUP("SB1",P5:P43,1,FALSE())</f>
        <v>SB1</v>
      </c>
      <c r="Q52" s="226" t="e">
        <f aca="false">VLOOKUP("SB1",Q5:Q43,1,FALSE())</f>
        <v>#N/A</v>
      </c>
      <c r="R52" s="226" t="e">
        <f aca="false">VLOOKUP("SB1",R5:R43,1,FALSE())</f>
        <v>#N/A</v>
      </c>
      <c r="S52" s="226" t="e">
        <f aca="false">VLOOKUP("SB1",S5:S43,1,FALSE())</f>
        <v>#N/A</v>
      </c>
      <c r="T52" s="226" t="e">
        <f aca="false">VLOOKUP("SB1",T5:T43,1,FALSE())</f>
        <v>#N/A</v>
      </c>
      <c r="U52" s="226" t="e">
        <f aca="false">VLOOKUP("SB1",U5:U43,1,FALSE())</f>
        <v>#N/A</v>
      </c>
      <c r="V52" s="226" t="e">
        <f aca="false">VLOOKUP("SB1",V5:V41,1,FALSE())</f>
        <v>#N/A</v>
      </c>
      <c r="W52" s="226" t="e">
        <f aca="false">VLOOKUP("SB1",W5:W43,1,FALSE())</f>
        <v>#N/A</v>
      </c>
      <c r="X52" s="226" t="e">
        <f aca="false">VLOOKUP("SB1",X5:X43,1,FALSE())</f>
        <v>#N/A</v>
      </c>
      <c r="Y52" s="226" t="e">
        <f aca="false">VLOOKUP("SB1",Y5:Y43,1,FALSE())</f>
        <v>#N/A</v>
      </c>
      <c r="Z52" s="226" t="str">
        <f aca="false">VLOOKUP("SB1",Z5:Z43,1,FALSE())</f>
        <v>SB1</v>
      </c>
      <c r="AA52" s="226" t="str">
        <f aca="false">VLOOKUP("SB1",AA7:AA43,1,FALSE())</f>
        <v>SB1</v>
      </c>
      <c r="AB52" s="226" t="e">
        <f aca="false">VLOOKUP("SB1",AB5:AB43,1,FALSE())</f>
        <v>#N/A</v>
      </c>
      <c r="AC52" s="226" t="e">
        <f aca="false">VLOOKUP("SB1",AC5:AC43,1,FALSE())</f>
        <v>#N/A</v>
      </c>
      <c r="AD52" s="226" t="e">
        <f aca="false">VLOOKUP("SB1",AD5:AD43,1,FALSE())</f>
        <v>#N/A</v>
      </c>
      <c r="AE52" s="226" t="e">
        <f aca="false">VLOOKUP("SB1",AE5:AE43,1,FALSE())</f>
        <v>#N/A</v>
      </c>
      <c r="AF52" s="226" t="e">
        <f aca="false">VLOOKUP("SB1",AF5:AF43,1,FALSE())</f>
        <v>#N/A</v>
      </c>
      <c r="AG52" s="226" t="e">
        <f aca="false">VLOOKUP("SB1",AG5:AG43,1,FALSE())</f>
        <v>#N/A</v>
      </c>
      <c r="AH52" s="226" t="e">
        <f aca="false">VLOOKUP("SB1",AH5:AH43,1,FALSE())</f>
        <v>#N/A</v>
      </c>
      <c r="AI52" s="182"/>
      <c r="AJ52" s="183"/>
      <c r="AK52" s="182"/>
      <c r="AL52" s="182"/>
      <c r="AM52" s="38"/>
      <c r="AN52" s="38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38"/>
      <c r="BI52" s="38"/>
      <c r="BJ52" s="38"/>
      <c r="BK52" s="38"/>
      <c r="BL52" s="38"/>
      <c r="BM52" s="38"/>
      <c r="BN52" s="38"/>
      <c r="BO52" s="38"/>
      <c r="BP52" s="38"/>
      <c r="BQ52" s="38"/>
      <c r="BR52" s="185"/>
    </row>
    <row r="53" customFormat="false" ht="18.75" hidden="false" customHeight="true" outlineLevel="0" collapsed="false">
      <c r="A53" s="176"/>
      <c r="B53" s="231" t="s">
        <v>93</v>
      </c>
      <c r="C53" s="226" t="e">
        <f aca="false">VLOOKUP("SB2",C5:C43,1,FALSE())</f>
        <v>#N/A</v>
      </c>
      <c r="D53" s="226" t="str">
        <f aca="false">VLOOKUP("SB2",D5:D43,1,FALSE())</f>
        <v>SB2</v>
      </c>
      <c r="E53" s="226" t="str">
        <f aca="false">VLOOKUP("SB2",E6:E43,1,FALSE())</f>
        <v>SB2</v>
      </c>
      <c r="F53" s="226" t="str">
        <f aca="false">VLOOKUP("SB2",F5:F43,1,FALSE())</f>
        <v>SB2</v>
      </c>
      <c r="G53" s="226" t="str">
        <f aca="false">VLOOKUP("SB2",G5:G42,1,FALSE())</f>
        <v>SB2</v>
      </c>
      <c r="H53" s="226" t="str">
        <f aca="false">VLOOKUP("SB2",H5:H42,1,FALSE())</f>
        <v>SB2</v>
      </c>
      <c r="I53" s="226" t="e">
        <f aca="false">VLOOKUP("SB2",I5:I43,1,FALSE())</f>
        <v>#N/A</v>
      </c>
      <c r="J53" s="226" t="e">
        <f aca="false">VLOOKUP("SB2",J5:J43,1,FALSE())</f>
        <v>#N/A</v>
      </c>
      <c r="K53" s="226" t="str">
        <f aca="false">VLOOKUP("SB2",K5:K43,1,FALSE())</f>
        <v>SB2</v>
      </c>
      <c r="L53" s="226" t="str">
        <f aca="false">VLOOKUP("SB2",L5:L43,1,FALSE())</f>
        <v>SB2</v>
      </c>
      <c r="M53" s="226" t="str">
        <f aca="false">VLOOKUP("SB2",M5:M43,1,FALSE())</f>
        <v>SB2</v>
      </c>
      <c r="N53" s="226" t="str">
        <f aca="false">VLOOKUP("SB2",N5:N43,1,FALSE())</f>
        <v>SB2</v>
      </c>
      <c r="O53" s="226" t="str">
        <f aca="false">VLOOKUP("SB2",O5:O43,1,FALSE())</f>
        <v>SB2</v>
      </c>
      <c r="P53" s="226" t="e">
        <f aca="false">VLOOKUP("SB2",P5:P43,1,FALSE())</f>
        <v>#N/A</v>
      </c>
      <c r="Q53" s="226" t="e">
        <f aca="false">VLOOKUP("SB2",Q5:Q43,1,FALSE())</f>
        <v>#N/A</v>
      </c>
      <c r="R53" s="226" t="str">
        <f aca="false">VLOOKUP("SB2",R5:R43,1,FALSE())</f>
        <v>SB2</v>
      </c>
      <c r="S53" s="226" t="e">
        <f aca="false">VLOOKUP("SB2",S5:S43,1,FALSE())</f>
        <v>#N/A</v>
      </c>
      <c r="T53" s="226" t="e">
        <f aca="false">VLOOKUP("SB2",T5:T43,1,FALSE())</f>
        <v>#N/A</v>
      </c>
      <c r="U53" s="226" t="str">
        <f aca="false">VLOOKUP("SB2",U5:U43,1,FALSE())</f>
        <v>SB2</v>
      </c>
      <c r="V53" s="226" t="str">
        <f aca="false">VLOOKUP("SB2",V5:V41,1,FALSE())</f>
        <v>SB2</v>
      </c>
      <c r="W53" s="226" t="e">
        <f aca="false">VLOOKUP("SB2",W5:W43,1,FALSE())</f>
        <v>#N/A</v>
      </c>
      <c r="X53" s="226" t="e">
        <f aca="false">VLOOKUP("SB2",X5:X43,1,FALSE())</f>
        <v>#N/A</v>
      </c>
      <c r="Y53" s="226" t="str">
        <f aca="false">VLOOKUP("SB2",Y5:Y43,1,FALSE())</f>
        <v>SB2</v>
      </c>
      <c r="Z53" s="226" t="str">
        <f aca="false">VLOOKUP("SB2",Z5:Z43,1,FALSE())</f>
        <v>SB2</v>
      </c>
      <c r="AA53" s="226" t="str">
        <f aca="false">VLOOKUP("SB2",AA7:AA43,1,FALSE())</f>
        <v>SB2</v>
      </c>
      <c r="AB53" s="226" t="str">
        <f aca="false">VLOOKUP("SB2",AB5:AB43,1,FALSE())</f>
        <v>SB2</v>
      </c>
      <c r="AC53" s="226" t="str">
        <f aca="false">VLOOKUP("SB2",AC5:AC43,1,FALSE())</f>
        <v>SB2</v>
      </c>
      <c r="AD53" s="226" t="e">
        <f aca="false">VLOOKUP("SB2",AD5:AD43,1,FALSE())</f>
        <v>#N/A</v>
      </c>
      <c r="AE53" s="226" t="e">
        <f aca="false">VLOOKUP("SB2",AE5:AE43,1,FALSE())</f>
        <v>#N/A</v>
      </c>
      <c r="AF53" s="226" t="e">
        <f aca="false">VLOOKUP("SB2",AF5:AF43,1,FALSE())</f>
        <v>#N/A</v>
      </c>
      <c r="AG53" s="226" t="e">
        <f aca="false">VLOOKUP("SB2",AG5:AG43,1,FALSE())</f>
        <v>#N/A</v>
      </c>
      <c r="AH53" s="226" t="e">
        <f aca="false">VLOOKUP("SB2",AH5:AH43,1,FALSE())</f>
        <v>#N/A</v>
      </c>
      <c r="AI53" s="182"/>
      <c r="AJ53" s="183"/>
      <c r="AK53" s="182"/>
      <c r="AL53" s="182"/>
      <c r="AM53" s="38"/>
      <c r="AN53" s="38"/>
      <c r="AO53" s="38"/>
      <c r="AP53" s="38"/>
      <c r="AQ53" s="38"/>
      <c r="AR53" s="38"/>
      <c r="AS53" s="38"/>
      <c r="AT53" s="38"/>
      <c r="AU53" s="38"/>
      <c r="AV53" s="38"/>
      <c r="AW53" s="38"/>
      <c r="AX53" s="38"/>
      <c r="AY53" s="38"/>
      <c r="AZ53" s="38"/>
      <c r="BA53" s="38"/>
      <c r="BB53" s="38"/>
      <c r="BC53" s="38"/>
      <c r="BD53" s="38"/>
      <c r="BE53" s="38"/>
      <c r="BF53" s="38"/>
      <c r="BG53" s="38"/>
      <c r="BH53" s="38"/>
      <c r="BI53" s="38"/>
      <c r="BJ53" s="38"/>
      <c r="BK53" s="38"/>
      <c r="BL53" s="38"/>
      <c r="BM53" s="38"/>
      <c r="BN53" s="38"/>
      <c r="BO53" s="38"/>
      <c r="BP53" s="38"/>
      <c r="BQ53" s="38"/>
      <c r="BR53" s="185"/>
    </row>
    <row r="54" customFormat="false" ht="19.5" hidden="false" customHeight="true" outlineLevel="0" collapsed="false">
      <c r="A54" s="176"/>
      <c r="B54" s="232" t="s">
        <v>65</v>
      </c>
      <c r="C54" s="226" t="str">
        <f aca="false">VLOOKUP("AE",C5:C43,1,FALSE())</f>
        <v>AE</v>
      </c>
      <c r="D54" s="226" t="str">
        <f aca="false">VLOOKUP("AE",D5:D43,1,FALSE())</f>
        <v>AE</v>
      </c>
      <c r="E54" s="226" t="str">
        <f aca="false">VLOOKUP("AE",E6:E43,1,FALSE())</f>
        <v>AE</v>
      </c>
      <c r="F54" s="226" t="str">
        <f aca="false">VLOOKUP("AE",F5:F43,1,FALSE())</f>
        <v>AE</v>
      </c>
      <c r="G54" s="226" t="str">
        <f aca="false">VLOOKUP("AE",G5:G42,1,FALSE())</f>
        <v>AE</v>
      </c>
      <c r="H54" s="226" t="str">
        <f aca="false">VLOOKUP("AE",H5:H42,1,FALSE())</f>
        <v>AE</v>
      </c>
      <c r="I54" s="226" t="str">
        <f aca="false">VLOOKUP("AE",I5:I43,1,FALSE())</f>
        <v>AE</v>
      </c>
      <c r="J54" s="226" t="str">
        <f aca="false">VLOOKUP("AE",J5:J43,1,FALSE())</f>
        <v>AE</v>
      </c>
      <c r="K54" s="226" t="str">
        <f aca="false">VLOOKUP("AE",K5:K43,1,FALSE())</f>
        <v>AE</v>
      </c>
      <c r="L54" s="226" t="str">
        <f aca="false">VLOOKUP("AE",L5:L43,1,FALSE())</f>
        <v>AE</v>
      </c>
      <c r="M54" s="226" t="str">
        <f aca="false">VLOOKUP("AE",M5:M43,1,FALSE())</f>
        <v>AE</v>
      </c>
      <c r="N54" s="226" t="str">
        <f aca="false">VLOOKUP("AE",N5:N43,1,FALSE())</f>
        <v>AE</v>
      </c>
      <c r="O54" s="226" t="str">
        <f aca="false">VLOOKUP("AE",O5:O43,1,FALSE())</f>
        <v>AE</v>
      </c>
      <c r="P54" s="226" t="str">
        <f aca="false">VLOOKUP("AE",P5:P43,1,FALSE())</f>
        <v>AE</v>
      </c>
      <c r="Q54" s="226" t="str">
        <f aca="false">VLOOKUP("AE",Q5:Q43,1,FALSE())</f>
        <v>AE</v>
      </c>
      <c r="R54" s="226" t="str">
        <f aca="false">VLOOKUP("AE",R5:R43,1,FALSE())</f>
        <v>AE</v>
      </c>
      <c r="S54" s="226" t="str">
        <f aca="false">VLOOKUP("AE",S5:S43,1,FALSE())</f>
        <v>AE</v>
      </c>
      <c r="T54" s="226" t="str">
        <f aca="false">VLOOKUP("AE",T5:T43,1,FALSE())</f>
        <v>AE</v>
      </c>
      <c r="U54" s="226" t="str">
        <f aca="false">VLOOKUP("AE",U5:U43,1,FALSE())</f>
        <v>AE</v>
      </c>
      <c r="V54" s="226" t="str">
        <f aca="false">VLOOKUP("AE",V5:V41,1,FALSE())</f>
        <v>AE</v>
      </c>
      <c r="W54" s="226" t="str">
        <f aca="false">VLOOKUP("AE",W5:W43,1,FALSE())</f>
        <v>AE</v>
      </c>
      <c r="X54" s="226" t="str">
        <f aca="false">VLOOKUP("AE",X5:X43,1,FALSE())</f>
        <v>AE</v>
      </c>
      <c r="Y54" s="226" t="str">
        <f aca="false">VLOOKUP("AE",Y5:Y43,1,FALSE())</f>
        <v>AE</v>
      </c>
      <c r="Z54" s="226" t="str">
        <f aca="false">VLOOKUP("AE",Z5:Z43,1,FALSE())</f>
        <v>AE</v>
      </c>
      <c r="AA54" s="226" t="str">
        <f aca="false">VLOOKUP("AE",AA7:AA43,1,FALSE())</f>
        <v>AE</v>
      </c>
      <c r="AB54" s="226" t="str">
        <f aca="false">VLOOKUP("AE",AB5:AB43,1,FALSE())</f>
        <v>AE</v>
      </c>
      <c r="AC54" s="226" t="str">
        <f aca="false">VLOOKUP("AE",AC5:AC43,1,FALSE())</f>
        <v>AE</v>
      </c>
      <c r="AD54" s="226" t="str">
        <f aca="false">VLOOKUP("AE",AD5:AD43,1,FALSE())</f>
        <v>AE</v>
      </c>
      <c r="AE54" s="226" t="e">
        <f aca="false">VLOOKUP("AE",AE5:AE43,1,FALSE())</f>
        <v>#N/A</v>
      </c>
      <c r="AF54" s="226" t="e">
        <f aca="false">VLOOKUP("AE",AF5:AF43,1,FALSE())</f>
        <v>#N/A</v>
      </c>
      <c r="AG54" s="226" t="e">
        <f aca="false">VLOOKUP("AE",AG5:AG43,1,FALSE())</f>
        <v>#N/A</v>
      </c>
      <c r="AH54" s="226" t="e">
        <f aca="false">VLOOKUP("AE",AH5:AH43,1,FALSE())</f>
        <v>#N/A</v>
      </c>
      <c r="AI54" s="182"/>
      <c r="AJ54" s="183"/>
      <c r="AK54" s="182"/>
      <c r="AL54" s="182"/>
      <c r="AM54" s="38"/>
      <c r="AN54" s="38"/>
      <c r="AO54" s="38"/>
      <c r="AP54" s="38"/>
      <c r="AQ54" s="38"/>
      <c r="AR54" s="38"/>
      <c r="AS54" s="38"/>
      <c r="AT54" s="38"/>
      <c r="AU54" s="38"/>
      <c r="AV54" s="38"/>
      <c r="AW54" s="38"/>
      <c r="AX54" s="38"/>
      <c r="AY54" s="38"/>
      <c r="AZ54" s="38"/>
      <c r="BA54" s="38"/>
      <c r="BB54" s="38"/>
      <c r="BC54" s="38"/>
      <c r="BD54" s="38"/>
      <c r="BE54" s="38"/>
      <c r="BF54" s="38"/>
      <c r="BG54" s="38"/>
      <c r="BH54" s="38"/>
      <c r="BI54" s="38"/>
      <c r="BJ54" s="38"/>
      <c r="BK54" s="38"/>
      <c r="BL54" s="38"/>
      <c r="BM54" s="38"/>
      <c r="BN54" s="38"/>
      <c r="BO54" s="38"/>
      <c r="BP54" s="38"/>
      <c r="BQ54" s="38"/>
      <c r="BR54" s="185"/>
    </row>
  </sheetData>
  <mergeCells count="3">
    <mergeCell ref="C1:S1"/>
    <mergeCell ref="AS3:AS4"/>
    <mergeCell ref="AT3:AT4"/>
  </mergeCells>
  <conditionalFormatting sqref="AC37">
    <cfRule type="expression" priority="2" aboveAverage="0" equalAverage="0" bottom="0" percent="0" rank="0" text="" dxfId="21">
      <formula>WEEKDAY(AC$3,2)&gt;5</formula>
    </cfRule>
    <cfRule type="expression" priority="3" aboveAverage="0" equalAverage="0" bottom="0" percent="0" rank="0" text="" dxfId="21">
      <formula>WEEKDAY(AB$3,2)&gt;5</formula>
    </cfRule>
  </conditionalFormatting>
  <conditionalFormatting sqref="R23:R24">
    <cfRule type="expression" priority="4" aboveAverage="0" equalAverage="0" bottom="0" percent="0" rank="0" text="" dxfId="21">
      <formula>WEEKDAY(U$3,2)&gt;5</formula>
    </cfRule>
    <cfRule type="expression" priority="5" aboveAverage="0" equalAverage="0" bottom="0" percent="0" rank="0" text="" dxfId="21">
      <formula>WEEKDAY(V$3,2)&gt;5</formula>
    </cfRule>
  </conditionalFormatting>
  <conditionalFormatting sqref="D25 X25">
    <cfRule type="expression" priority="6" aboveAverage="0" equalAverage="0" bottom="0" percent="0" rank="0" text="" dxfId="21">
      <formula>WEEKDAY(G$3,2)&gt;5</formula>
    </cfRule>
    <cfRule type="expression" priority="7" aboveAverage="0" equalAverage="0" bottom="0" percent="0" rank="0" text="" dxfId="21">
      <formula>WEEKDAY(F$3,2)&gt;5</formula>
    </cfRule>
  </conditionalFormatting>
  <conditionalFormatting sqref="T18 AB18 G21 H21:H22 C25 G25 H25:H26 G27 N27 U27 F32 T32 D33">
    <cfRule type="expression" priority="8" aboveAverage="0" equalAverage="0" bottom="0" percent="0" rank="0" text="" dxfId="21">
      <formula>WEEKDAY(U$3,2)&gt;5</formula>
    </cfRule>
  </conditionalFormatting>
  <conditionalFormatting sqref="T18 O40">
    <cfRule type="expression" priority="9" aboveAverage="0" equalAverage="0" bottom="0" percent="0" rank="0" text="" dxfId="21">
      <formula>WEEKDAY(Q$3,2)&gt;5</formula>
    </cfRule>
  </conditionalFormatting>
  <conditionalFormatting sqref="C19 C23:C24">
    <cfRule type="expression" priority="10" aboveAverage="0" equalAverage="0" bottom="0" percent="0" rank="0" text="" dxfId="21">
      <formula>WEEKDAY(D$3,2)&gt;5</formula>
    </cfRule>
  </conditionalFormatting>
  <conditionalFormatting sqref="C5:C11 E5:E6 G5:I8 J5:J12 K5 M5:M12 N5:O6 P5:P10 Q5:S12 T5:T15 U5:U6 V5:V14 W5:W12 X5:X10 Y5:Y9 Z5 AA5:AA6 AB5 AC5:AC9 AD5:AD12 AF5 AG5:AG15 AH5:AH7 D6 F6:F11 L6:L10 AE6:AE7 AB7 D8:D11 E8:E10 K8 N8 U8:U9 Z8:Z13 AF8:AF12 AA9:AA12 AB9 AE9:AE15 AH9:AH13 H10 I10:I12 K10:K14 G11:G17 O11 Y11:Y24 AB11:AB14 AC11:AC12 E12:E17 H12 L12:L13 P12 U12:U15 X12:X19 C13:C34 F13:F23 N13 O13:O14 D14:D17 H14:H19 I14:J17 M14:M17 P14:P17 Q14:Q27 W14:W21 AA14:AA15 AD14 N15:N17 R15:S15 Z15 AF15 L16:L19 O16:O19 AB16:AB19 K17 R17:R19 S17 T17:T18 U17:U24 V17 Z17:AA17 AC17 AD17:AE20 AF17:AG19 AH17:AH18 D19 E19:E24 G19:G23 I19:I31 J19:K19 M19:M20 P19 S19:S21 Z19:AA20 AC19:AC26 V20:V21 D21:D22 H21:H23 J21:L21 O21:O31 P21:P25 R21:R23 T21:T27 X21 AF21:AF22 N22:N23 AB22 K23:K24 L23:L27 V23 W23:W24 X23:X25 AA23 AG23:AG25 AH23:AH24 J24:J25 M24:M29 AB24 AF24 D25 F25:F30 G25:G31 H25:H28 R25:R27 S25 Z25 AE25:AE28 E26:E28 K26 U26:V27 AA26:AA27 D27:D28 J27:J29 N27:N28 P27:P29 S27 Z27 AB27 AD27 K28 W28 Q29 S29 U29 Y29 AD29 E30:E32 H30:H34 N30 X30 AA30 AC30 AE30 D31 K31:K32 M31:M32 Z31:Z32 AB31:AB32 F32 J32:J33 N32 R32:W32 D33 AC33 E34:F34 K34 L34:L35 S34 Y34:Z34 AF34 AH34 D35:D36 G35:G36 M35:M36 N35 O35:O37 AA35:AB35 C36 E36:F36 K36:K37 V36 Y36 AC36:AC37 I37:J37 N37 AB37 H38:H39 L38:L39 P38 V38:W38 Z38 M39:M40 O39:O41 N40 U40 V40:V41 Z40 D41 G41:J41 K41:K42 E42:F42 L42:M42">
    <cfRule type="cellIs" priority="11" operator="equal" aboveAverage="0" equalAverage="0" bottom="0" percent="0" rank="0" text="" dxfId="23">
      <formula>"B"</formula>
    </cfRule>
    <cfRule type="cellIs" priority="12" operator="equal" aboveAverage="0" equalAverage="0" bottom="0" percent="0" rank="0" text="" dxfId="23">
      <formula>"AL"</formula>
    </cfRule>
    <cfRule type="cellIs" priority="13" operator="equal" aboveAverage="0" equalAverage="0" bottom="0" percent="0" rank="0" text="" dxfId="24">
      <formula>"DM"</formula>
    </cfRule>
    <cfRule type="cellIs" priority="14" operator="equal" aboveAverage="0" equalAverage="0" bottom="0" percent="0" rank="0" text="" dxfId="25">
      <formula>"CS1"</formula>
    </cfRule>
    <cfRule type="cellIs" priority="15" operator="equal" aboveAverage="0" equalAverage="0" bottom="0" percent="0" rank="0" text="" dxfId="26">
      <formula>"CS2"</formula>
    </cfRule>
    <cfRule type="cellIs" priority="16" operator="equal" aboveAverage="0" equalAverage="0" bottom="0" percent="0" rank="0" text="" dxfId="27">
      <formula>"SB1"</formula>
    </cfRule>
    <cfRule type="cellIs" priority="17" operator="equal" aboveAverage="0" equalAverage="0" bottom="0" percent="0" rank="0" text="" dxfId="28">
      <formula>"SB2"</formula>
    </cfRule>
    <cfRule type="cellIs" priority="18" operator="equal" aboveAverage="0" equalAverage="0" bottom="0" percent="0" rank="0" text="" dxfId="29">
      <formula>"AE"</formula>
    </cfRule>
    <cfRule type="cellIs" priority="19" operator="equal" aboveAverage="0" equalAverage="0" bottom="0" percent="0" rank="0" text="" dxfId="23">
      <formula>"DB"</formula>
    </cfRule>
    <cfRule type="containsText" priority="20" operator="containsText" aboveAverage="0" equalAverage="0" bottom="0" percent="0" rank="0" text="$AM" dxfId="30">
      <formula>NOT(ISERROR(SEARCH("$AM",C5)))</formula>
    </cfRule>
    <cfRule type="containsText" priority="21" operator="containsText" aboveAverage="0" equalAverage="0" bottom="0" percent="0" rank="0" text="$PM" dxfId="31">
      <formula>NOT(ISERROR(SEARCH("$PM",C5)))</formula>
    </cfRule>
    <cfRule type="containsText" priority="22" operator="containsText" aboveAverage="0" equalAverage="0" bottom="0" percent="0" rank="0" text="$L" dxfId="32">
      <formula>NOT(ISERROR(SEARCH("$L",C5)))</formula>
    </cfRule>
    <cfRule type="containsText" priority="23" operator="containsText" aboveAverage="0" equalAverage="0" bottom="0" percent="0" rank="0" text="$BTP" dxfId="33">
      <formula>NOT(ISERROR(SEARCH("$BTP",C5)))</formula>
    </cfRule>
    <cfRule type="containsText" priority="24" operator="containsText" aboveAverage="0" equalAverage="0" bottom="0" percent="0" rank="0" text="$M" dxfId="34">
      <formula>NOT(ISERROR(SEARCH("$M",C5)))</formula>
    </cfRule>
    <cfRule type="containsText" priority="25" operator="containsText" aboveAverage="0" equalAverage="0" bottom="0" percent="0" rank="0" text="$N" dxfId="35">
      <formula>NOT(ISERROR(SEARCH("$N",C5)))</formula>
    </cfRule>
    <cfRule type="containsText" priority="26" operator="containsText" aboveAverage="0" equalAverage="0" bottom="0" percent="0" rank="0" text="$FC" dxfId="36">
      <formula>NOT(ISERROR(SEARCH("$FC",C5)))</formula>
    </cfRule>
    <cfRule type="containsText" priority="27" operator="containsText" aboveAverage="0" equalAverage="0" bottom="0" percent="0" rank="0" text="OAL" dxfId="37">
      <formula>NOT(ISERROR(SEARCH("OAL",C5)))</formula>
    </cfRule>
    <cfRule type="containsText" priority="28" operator="containsText" aboveAverage="0" equalAverage="0" bottom="0" percent="0" rank="0" text="S+" dxfId="38">
      <formula>NOT(ISERROR(SEARCH("S+",C5)))</formula>
    </cfRule>
    <cfRule type="containsText" priority="29" operator="containsText" aboveAverage="0" equalAverage="0" bottom="0" percent="0" rank="0" text="EX-D" dxfId="39">
      <formula>NOT(ISERROR(SEARCH("EX-D",C5)))</formula>
    </cfRule>
  </conditionalFormatting>
  <conditionalFormatting sqref="C5:C11 E5:E6 G5:G9 H5:J12 K5 M5:O6 P5:P10 Q5:S12 T5:T15 U5:U6 V5:V9 W5:W12 X5:X10 Y5:Y9 Z5 AA5:AA6 AB5 AC5:AC9 AD5:AD12 AF5 AG5:AG15 AH5:AH7 D6 F6:F11 L6 AE6:AE7 AB7 D8:D11 E8:E10 K8 N8 U8:U9 Z8:Z13 AF8:AF12 L9:L10 M9:M12 AA9 AB9:AB14 AE9:AE15 AH9:AH13 K10:K14 G11:G17 O11 V11:V14 Y11:Y13 AC11:AC12 E12:E17 L12:L13 P12 U12:U15 X12:X19 AA12 C13:C28 F13:F23 N13:O13 D14:D17 H14:H19 I14:J17 M14:M17 P14:P17 Q14:Q27 W14:W21 AA14:AA15 AD14 N15:N17 O15:O19 R15:S15 Y15:Y19 Z15 AF15 L16:L19 AB16:AB19 K17 R17:R19 S17 T17:T18 U17:U24 V17 Z17:AA17 AC17 AD17:AE20 AF17:AG19 AH17:AH18 D19 E19:E28 G19:G31 I19:I31 J19:K19 M19:M20 P19 S19:S21 Z19:AA20 AC19:AC27 N20 V20:V21 D21:D22 H21:H23 J21:L21 O21:O22 P21:P29 R21:R23 T21:T28 X21 Y21:Y24 AF21:AF22 N22:N23 AB22:AB24 K23:K24 L23:L27 V23 W23:W24 X23:X25 AA23:AA24 AG23:AG25 AH23:AH24 J24:J33 M24:M29 AF24 D25 F25:F30 H25:H34 O25:O32 R25:R28 Z25 AE25:AE28 K26:K28 U26:V27 W26:W28 AA26:AA27 D27:D28 N27:N28 S27:S29 X27:Y27 Z27:Z28 AB27 AD27 AF27:AF28 AG27:AH27 Q29 U29 Y29 AD29 E30:E32 N30 X30 AA30 AC30 AE30 D31 K31:M32 Z31:Z32 AB31:AB32 AD31 C32 F32 N32 P32:Y32 AA32 AC32:AC33 D33 E34:F34 K34 L34:L35 M34:M36 S34 Z34 AF34 AH34 D35:D36 G35:G36 N35 Y35:Y36 AA35:AA36 AB35 C36 E36:F36 I36:I37 K36:K37 O36:O37 V36 AC36:AC37 J37 N37 AB37 H38:H39 L38:L39 P38 V38:W38 Z38 I39:J39 M39:M40 O39:O41 Y39 AC39 N40 U40 V40:V42 Z40:AB40 D41 G41:J41 K41:K42 E42:F42 L42:M42 Z42">
    <cfRule type="expression" priority="30" aboveAverage="0" equalAverage="0" bottom="0" percent="0" rank="0" text="" dxfId="21">
      <formula>WEEKDAY(#REF!,2)&gt;5</formula>
    </cfRule>
  </conditionalFormatting>
  <conditionalFormatting sqref="G5 Z5 W6:X7 U8 Z8:Z10 S10:S12 W10:W12 X10 Y11:Y12 V12 X12 Z12 AB12 C14 U14:V14 AA14:AA15 AB14 T15 W15:Z15 T20 V20 AB22 T26 AA26 AE26 AD27 W28 AE28 AE30 Z31 AH34 Y36 AB37 H38 Z38 V40 F42 C10:C11 C21:C22 C36:G36">
    <cfRule type="expression" priority="31" aboveAverage="0" equalAverage="0" bottom="0" percent="0" rank="0" text="" dxfId="21">
      <formula>WEEKDAY(I$3,2)&gt;5</formula>
    </cfRule>
  </conditionalFormatting>
  <conditionalFormatting sqref="Z5 W6:X7 U8 Z8:Z10 S10:S12 W10:W12 X10 Y11:Y12 V12 X12 Z12 AB12 U14:V14 AA14:AA15 AB14 T15 W15:Z15 T20 V20 Z20:AA20 G22 AB22 AC25 T26 AA26 AE26 AD27 W28 AE28 AE30 Z31 AH34 Y36 AB37 Z38 V40 U43:U46">
    <cfRule type="expression" priority="32" aboveAverage="0" equalAverage="0" bottom="0" percent="0" rank="0" text="" dxfId="21">
      <formula>WEEKDAY(AA$3,2)&gt;5</formula>
    </cfRule>
  </conditionalFormatting>
  <conditionalFormatting sqref="C5:C11 E5:E6 G5:G17 H5:H12 I5:J17 K5:K14 M5:M22 N5:O6 P5:P10 Q5:Q26 R5:R30 S5:T26 U5:U9 V5:V15 W5:W24 X5:X25 Y5:Y26 Z5:AC42 AD5:AD25 AE5:AE32 AF5:AF29 AG5:AG25 AH5:AH27 D6 F6:F11 L6:L10 D8:D11 E8:E10 N8 O11:O26 E12:E24 L12:L13 N12:N23 P12:P19 U12:U27 C13:C26 F13:F23 D14:D19 H14:H23 K16:K17 L16:L27 V17 G19:G31 I19:I26 J19:J22 K19:K26 V19:V26 D21:D28 P21:P25 J24:J25 M24:M29 F25:F30 H25:H34 N25:N28 E26:E28 J27:J33 AD27:AD29 AG27:AG28 C28 I28:I31 K28 O28:O32 P28:P29 Q28:Q32 S28:T34 V28:X28 Y28:Y42 U29:U33 E30:E32 N30:N32 V30:W34 X30:X32 D31 K31:M32 P31:P32 AD31:AD32 AF31:AG31 C32 F32 R32 D33 E34:F34 K34 L34:L35 M34:M36 Q34:R34 AD34:AH34 D35:D36 G35:G36 N35 O35:O37 C36 E36:F36 I36:I37 K36:K38 S36 V36 J37 N37 W37:W39 AG37 H38:H39 L38:L39 P38 V38 I39:J39 M39:M40 O39:O41 E40:E42 N40 U40:U41 V40:V42 D41 G41:I41 J41:K42 F42 L42:M42 U43:U46">
    <cfRule type="cellIs" priority="33" operator="equal" aboveAverage="0" equalAverage="0" bottom="0" percent="0" rank="0" text="" dxfId="23">
      <formula>"B"</formula>
    </cfRule>
    <cfRule type="cellIs" priority="34" operator="equal" aboveAverage="0" equalAverage="0" bottom="0" percent="0" rank="0" text="" dxfId="23">
      <formula>"AL"</formula>
    </cfRule>
    <cfRule type="cellIs" priority="35" operator="equal" aboveAverage="0" equalAverage="0" bottom="0" percent="0" rank="0" text="" dxfId="24">
      <formula>"DM"</formula>
    </cfRule>
    <cfRule type="cellIs" priority="36" operator="equal" aboveAverage="0" equalAverage="0" bottom="0" percent="0" rank="0" text="" dxfId="25">
      <formula>"CS1"</formula>
    </cfRule>
    <cfRule type="cellIs" priority="37" operator="equal" aboveAverage="0" equalAverage="0" bottom="0" percent="0" rank="0" text="" dxfId="26">
      <formula>"CS2"</formula>
    </cfRule>
    <cfRule type="cellIs" priority="38" operator="equal" aboveAverage="0" equalAverage="0" bottom="0" percent="0" rank="0" text="" dxfId="27">
      <formula>"SB1"</formula>
    </cfRule>
    <cfRule type="cellIs" priority="39" operator="equal" aboveAverage="0" equalAverage="0" bottom="0" percent="0" rank="0" text="" dxfId="28">
      <formula>"SB2"</formula>
    </cfRule>
    <cfRule type="cellIs" priority="40" operator="equal" aboveAverage="0" equalAverage="0" bottom="0" percent="0" rank="0" text="" dxfId="29">
      <formula>"AE"</formula>
    </cfRule>
    <cfRule type="cellIs" priority="41" operator="equal" aboveAverage="0" equalAverage="0" bottom="0" percent="0" rank="0" text="" dxfId="23">
      <formula>"DB"</formula>
    </cfRule>
    <cfRule type="containsText" priority="42" operator="containsText" aboveAverage="0" equalAverage="0" bottom="0" percent="0" rank="0" text="$AM" dxfId="30">
      <formula>NOT(ISERROR(SEARCH("$AM",C5)))</formula>
    </cfRule>
    <cfRule type="containsText" priority="43" operator="containsText" aboveAverage="0" equalAverage="0" bottom="0" percent="0" rank="0" text="$PM" dxfId="31">
      <formula>NOT(ISERROR(SEARCH("$PM",C5)))</formula>
    </cfRule>
    <cfRule type="containsText" priority="44" operator="containsText" aboveAverage="0" equalAverage="0" bottom="0" percent="0" rank="0" text="$L" dxfId="32">
      <formula>NOT(ISERROR(SEARCH("$L",C5)))</formula>
    </cfRule>
    <cfRule type="containsText" priority="45" operator="containsText" aboveAverage="0" equalAverage="0" bottom="0" percent="0" rank="0" text="$BTP" dxfId="33">
      <formula>NOT(ISERROR(SEARCH("$BTP",C5)))</formula>
    </cfRule>
    <cfRule type="containsText" priority="46" operator="containsText" aboveAverage="0" equalAverage="0" bottom="0" percent="0" rank="0" text="$M" dxfId="34">
      <formula>NOT(ISERROR(SEARCH("$M",C5)))</formula>
    </cfRule>
    <cfRule type="containsText" priority="47" operator="containsText" aboveAverage="0" equalAverage="0" bottom="0" percent="0" rank="0" text="$N" dxfId="35">
      <formula>NOT(ISERROR(SEARCH("$N",C5)))</formula>
    </cfRule>
    <cfRule type="containsText" priority="48" operator="containsText" aboveAverage="0" equalAverage="0" bottom="0" percent="0" rank="0" text="$FC" dxfId="36">
      <formula>NOT(ISERROR(SEARCH("$FC",C5)))</formula>
    </cfRule>
    <cfRule type="containsText" priority="49" operator="containsText" aboveAverage="0" equalAverage="0" bottom="0" percent="0" rank="0" text="OAL" dxfId="37">
      <formula>NOT(ISERROR(SEARCH("OAL",C5)))</formula>
    </cfRule>
    <cfRule type="containsText" priority="50" operator="containsText" aboveAverage="0" equalAverage="0" bottom="0" percent="0" rank="0" text="S+" dxfId="38">
      <formula>NOT(ISERROR(SEARCH("S+",C5)))</formula>
    </cfRule>
    <cfRule type="containsText" priority="51" operator="containsText" aboveAverage="0" equalAverage="0" bottom="0" percent="0" rank="0" text="EX-D" dxfId="39">
      <formula>NOT(ISERROR(SEARCH("EX-D",C5)))</formula>
    </cfRule>
    <cfRule type="expression" priority="52" aboveAverage="0" equalAverage="0" bottom="0" percent="0" rank="0" text="" dxfId="21">
      <formula>WEEKDAY(#REF!,2)&gt;5</formula>
    </cfRule>
  </conditionalFormatting>
  <conditionalFormatting sqref="C5:AH54">
    <cfRule type="containsText" priority="53" operator="containsText" aboveAverage="0" equalAverage="0" bottom="0" percent="0" rank="0" text="CS/B" dxfId="50">
      <formula>NOT(ISERROR(SEARCH("CS/B",C5)))</formula>
    </cfRule>
  </conditionalFormatting>
  <conditionalFormatting sqref="J4:J54 AA4:AA54 C5:I54 K5:Z54 AB5:AH54">
    <cfRule type="cellIs" priority="54" operator="equal" aboveAverage="0" equalAverage="0" bottom="0" percent="0" rank="0" text="" dxfId="23">
      <formula>"B"</formula>
    </cfRule>
    <cfRule type="cellIs" priority="55" operator="equal" aboveAverage="0" equalAverage="0" bottom="0" percent="0" rank="0" text="" dxfId="23">
      <formula>"AL"</formula>
    </cfRule>
    <cfRule type="cellIs" priority="56" operator="equal" aboveAverage="0" equalAverage="0" bottom="0" percent="0" rank="0" text="" dxfId="24">
      <formula>"DM"</formula>
    </cfRule>
    <cfRule type="cellIs" priority="57" operator="equal" aboveAverage="0" equalAverage="0" bottom="0" percent="0" rank="0" text="" dxfId="25">
      <formula>"CS1"</formula>
    </cfRule>
    <cfRule type="cellIs" priority="58" operator="equal" aboveAverage="0" equalAverage="0" bottom="0" percent="0" rank="0" text="" dxfId="26">
      <formula>"CS2"</formula>
    </cfRule>
    <cfRule type="cellIs" priority="59" operator="equal" aboveAverage="0" equalAverage="0" bottom="0" percent="0" rank="0" text="" dxfId="27">
      <formula>"SB1"</formula>
    </cfRule>
    <cfRule type="cellIs" priority="60" operator="equal" aboveAverage="0" equalAverage="0" bottom="0" percent="0" rank="0" text="" dxfId="28">
      <formula>"SB2"</formula>
    </cfRule>
    <cfRule type="cellIs" priority="61" operator="equal" aboveAverage="0" equalAverage="0" bottom="0" percent="0" rank="0" text="" dxfId="29">
      <formula>"AE"</formula>
    </cfRule>
  </conditionalFormatting>
  <conditionalFormatting sqref="BQ5:BR46">
    <cfRule type="cellIs" priority="62" operator="lessThan" aboveAverage="0" equalAverage="0" bottom="0" percent="0" rank="0" text="" dxfId="41">
      <formula>1</formula>
    </cfRule>
  </conditionalFormatting>
  <conditionalFormatting sqref="J4:J46 AA4:AA46 C5:I46 K5:Z46 AB5:AH46">
    <cfRule type="cellIs" priority="63" operator="equal" aboveAverage="0" equalAverage="0" bottom="0" percent="0" rank="0" text="" dxfId="23">
      <formula>"DB"</formula>
    </cfRule>
    <cfRule type="containsText" priority="64" operator="containsText" aboveAverage="0" equalAverage="0" bottom="0" percent="0" rank="0" text="$AM" dxfId="30">
      <formula>NOT(ISERROR(SEARCH("$AM",C4)))</formula>
    </cfRule>
    <cfRule type="containsText" priority="65" operator="containsText" aboveAverage="0" equalAverage="0" bottom="0" percent="0" rank="0" text="$PM" dxfId="31">
      <formula>NOT(ISERROR(SEARCH("$PM",C4)))</formula>
    </cfRule>
    <cfRule type="containsText" priority="66" operator="containsText" aboveAverage="0" equalAverage="0" bottom="0" percent="0" rank="0" text="$L" dxfId="32">
      <formula>NOT(ISERROR(SEARCH("$L",C4)))</formula>
    </cfRule>
    <cfRule type="containsText" priority="67" operator="containsText" aboveAverage="0" equalAverage="0" bottom="0" percent="0" rank="0" text="$BTP" dxfId="33">
      <formula>NOT(ISERROR(SEARCH("$BTP",C4)))</formula>
    </cfRule>
    <cfRule type="containsText" priority="68" operator="containsText" aboveAverage="0" equalAverage="0" bottom="0" percent="0" rank="0" text="$M" dxfId="34">
      <formula>NOT(ISERROR(SEARCH("$M",C4)))</formula>
    </cfRule>
    <cfRule type="containsText" priority="69" operator="containsText" aboveAverage="0" equalAverage="0" bottom="0" percent="0" rank="0" text="$N" dxfId="35">
      <formula>NOT(ISERROR(SEARCH("$N",C4)))</formula>
    </cfRule>
    <cfRule type="containsText" priority="70" operator="containsText" aboveAverage="0" equalAverage="0" bottom="0" percent="0" rank="0" text="$FC" dxfId="36">
      <formula>NOT(ISERROR(SEARCH("$FC",C4)))</formula>
    </cfRule>
    <cfRule type="containsText" priority="71" operator="containsText" aboveAverage="0" equalAverage="0" bottom="0" percent="0" rank="0" text="OAL" dxfId="37">
      <formula>NOT(ISERROR(SEARCH("OAL",C4)))</formula>
    </cfRule>
    <cfRule type="containsText" priority="72" operator="containsText" aboveAverage="0" equalAverage="0" bottom="0" percent="0" rank="0" text="S+" dxfId="38">
      <formula>NOT(ISERROR(SEARCH("S+",C4)))</formula>
    </cfRule>
    <cfRule type="containsText" priority="73" operator="containsText" aboveAverage="0" equalAverage="0" bottom="0" percent="0" rank="0" text="EX-D" dxfId="39">
      <formula>NOT(ISERROR(SEARCH("EX-D",C4)))</formula>
    </cfRule>
  </conditionalFormatting>
  <conditionalFormatting sqref="T2:X46 C3:S46 Y3:AH46">
    <cfRule type="expression" priority="74" aboveAverage="0" equalAverage="0" bottom="0" percent="0" rank="0" text="" dxfId="21">
      <formula>WEEKDAY(T$3,2)&gt;5</formula>
    </cfRule>
  </conditionalFormatting>
  <conditionalFormatting sqref="J4:J17 C5:C11 E5:E6 G5:G17 H5:H12 I5:I17 K5:K14 M5:M22 N5:O6 P5:P10 Q5:Q26 R5:R30 S5:T26 U5:U9 V5:V15 W5:W24 X5:X25 Y5:Y26 Z5:AC42 AD5:AD25 AE5:AE32 AF5:AF29 AG5:AG25 AH5:AH27 D6 F6:F11 L6:L10 D8:D11 E8:E10 N8 O11:O26 E12:E24 L12:L13 N12:N23 P12:P19 U12:U27 C13:C26 F13:F23 D14:D19 H14:H23 K16:K17 L16:L27 V17 G19:G31 I19:I26 J19:J22 K19:K26 V19:V26 D21:D28 P21:P25 J24:J25 M24:M29 F25:F30 H25:H34 N25:N28 E26:E28 J27:J33 AD27:AD29 AG27:AG28 C28 I28:I31 K28 O28:O32 P28:P29 Q28:Q32 S28:T34 V28:X28 Y28:Y42 U29:U33 E30:E32 N30:N32 V30:W34 X30:X32 D31 K31:M32 P31:P32 AD31:AD32 AF31:AG31 C32 F32 R32 D33 E34:F34 K34 L34:L35 M34:M36 Q34:R34 AD34:AH34 D35:D36 G35:G36 N35 O35:O37 C36 E36:F36 I36:I37 K36:K38 S36 V36 J37 N37 W37:W39 AG37 H38:H39 L38:L39 P38 V38 I39:J39 M39:M40 O39:O41 E40:E42 N40 U40:U41 V40:V42 D41 G41:I41 J41:K42 F42 L42:M42 U43:U46">
    <cfRule type="containsText" priority="75" operator="containsText" aboveAverage="0" equalAverage="0" bottom="0" percent="0" rank="0" text="VACC" dxfId="40">
      <formula>NOT(ISERROR(SEARCH("VACC",C4)))</formula>
    </cfRule>
  </conditionalFormatting>
  <conditionalFormatting sqref="A1:BR54">
    <cfRule type="cellIs" priority="76" operator="equal" aboveAverage="0" equalAverage="0" bottom="0" percent="0" rank="0" text="" dxfId="41">
      <formula>"RESERVE"</formula>
    </cfRule>
  </conditionalFormatting>
  <dataValidations count="3">
    <dataValidation allowBlank="true" errorStyle="stop" operator="equal" showDropDown="true" showErrorMessage="false" showInputMessage="false" sqref="B5:C5 G5 J5 R5 AG5:AH5 B6:B11 N6 AH6:AH16 J8 M10 B12:B13 D14 W14:X14 B15:B27 AH18 E20 G20 I20 S20 AH20:AH30 C21:C23 D22:G22 F23 K23 AC23 AE23:AF23 AD26 B28:B29 I32 AH32:AH46 I34 AG35 T38 AE38 C39:E39 J39:J40 N39 P39 S39 V39:X39 AD39:AG41 C40:D40 T40:T41 X40:X43 C41 L41 P41:P42 C42:D42 N42 AE42:AG42 C43:F43 I43:L43 N43:P46 S43:U46 Y43:AG43 C44:L46 V44:AG46" type="list">
      <formula1>'Setting key Duty'!$B$7:$B$56</formula1>
      <formula2>0</formula2>
    </dataValidation>
    <dataValidation allowBlank="true" errorStyle="stop" operator="equal" showDropDown="true" showErrorMessage="false" showInputMessage="false" sqref="I5:I7 K5 M5:M6 O5:Q6 S5:T5 V5:Z5 AB5:AF5 C6:D6 F6:G6 J6:J7 L6 R6:X6 Z6:AG6 C7:C8 P7:U9 W7:Y9 AB7:AG7 D8:E8 H8:I8 K8 Z8:AG8 C9:F9 J9:J10 L9:M9 V9 AB9:AG9 D10:D11 F10:F11 H10:I10 K10:L10 P10:T10 W10:X10 Z10 AB10 AD10:AG10 C11 I11:I12 K11:K12 R11:T12 W11 Y11 AC11:AG11 E12 G12 J12 L12:M12 U12:Z12 AB12:AC12 AE12:AG12 C13:C20 H13:AG13 J14 M14 P14:P19 R14:V14 Y14:Y15 AA14:AG14 D15:F18 I15 N15:O15 Q15:T19 V15:X15 Z15:AA15 AC15:AG15 G16:K17 W16:Y16 AB16:AG16 L17:O17 U17:AH17 H18 L18 U18 W18 Y18 AB18 AD18:AG19 D19:O19 W19:AB19 D20:D21 F20:F21 K20:M20 Q20:R20 T20:X20 Z20:Z23 AC20:AG20 E21 G21 I21:Y21 AA21:AG21 J22 L22 N22:O23 Q22:W22 Y22 AB22:AG22 D23:D28 I23:I24 P23:T23 V23:Y23 AB23:AB24 AG23 C24:C38 E24:E28 J24:L24 O24:U24 W24:Y24 AC24:AG24 F25:G29 I25:J27 L25:L27 N25:N27 P25:T25 X25:X26 Z25 AC25:AC27 AE25:AG26 K26:K27 M26:M29 O26:T29 V26:W26 Y26 AA26:AB26 U27:Y27 AA27 AD27:AG29 H28:J28 W28:Z28 AB28:AB32 I29:J29 U29 Y29 E30:X30 Z30:Z34 AC30:AG31 G31:M31 O31:Y31 D32:F34 J32:M32 P32:Y32 AA32 AC32:AC33 AE32:AG32 G33:J33 L33:Y33 AD33:AG33 H34 J34:L34 P34:Q36 S34:S36 W34:Y34 AC34:AG34 D35:E36 G35:G37 J35:J36 L35:O35 R35:R37 T35:Y35 AA35:AB36 AD35:AF35 F36 H36:I36 K36 M36:O36 T36:W36 Y36:Y39 AD36:AG36 D37:F38 I37:N37 T37 W37:X37 AB37:AG37 H38 K38 P38:R38 V38:X38 Z38 AB38:AD38 AF38:AG38 F39 I39 L39:M39 O39:O41 AB39:AC39 E40:E42 M40:N40 U40:V40 Z40 AB40:AB42 D41 G41:K41 V41 F42 J42:M42 Z42" type="list">
      <formula1>'Setting key Duty'!$B$7:$B$54</formula1>
      <formula2>0</formula2>
    </dataValidation>
    <dataValidation allowBlank="true" errorStyle="stop" operator="equal" showDropDown="true" showErrorMessage="false" showInputMessage="false" sqref="C47:AH54" type="list">
      <formula1>'Setting key Duty'!$B$7:$B$23</formula1>
      <formula2>0</formula2>
    </dataValidation>
  </dataValidation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R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5" activeCellId="0" sqref="C5"/>
    </sheetView>
  </sheetViews>
  <sheetFormatPr defaultColWidth="12.6328125" defaultRowHeight="15.75" customHeight="true" zeroHeight="false" outlineLevelRow="0" outlineLevelCol="1"/>
  <cols>
    <col collapsed="false" customWidth="true" hidden="false" outlineLevel="0" max="1" min="1" style="0" width="2.13"/>
    <col collapsed="false" customWidth="true" hidden="false" outlineLevel="0" max="2" min="2" style="0" width="29.76"/>
    <col collapsed="false" customWidth="true" hidden="false" outlineLevel="0" max="11" min="3" style="0" width="9.24"/>
    <col collapsed="false" customWidth="true" hidden="false" outlineLevel="0" max="12" min="12" style="0" width="9.38"/>
    <col collapsed="false" customWidth="true" hidden="false" outlineLevel="0" max="13" min="13" style="0" width="10.63"/>
    <col collapsed="false" customWidth="true" hidden="false" outlineLevel="0" max="14" min="14" style="0" width="9.24"/>
    <col collapsed="false" customWidth="true" hidden="false" outlineLevel="0" max="15" min="15" style="0" width="10"/>
    <col collapsed="false" customWidth="true" hidden="false" outlineLevel="0" max="16" min="16" style="0" width="10.76"/>
    <col collapsed="false" customWidth="true" hidden="false" outlineLevel="0" max="17" min="17" style="0" width="10.25"/>
    <col collapsed="false" customWidth="true" hidden="false" outlineLevel="0" max="18" min="18" style="0" width="9.63"/>
    <col collapsed="false" customWidth="true" hidden="false" outlineLevel="0" max="19" min="19" style="0" width="9.14"/>
    <col collapsed="false" customWidth="true" hidden="false" outlineLevel="0" max="26" min="20" style="0" width="9.24"/>
    <col collapsed="false" customWidth="true" hidden="false" outlineLevel="0" max="27" min="27" style="0" width="10.51"/>
    <col collapsed="false" customWidth="true" hidden="false" outlineLevel="0" max="30" min="28" style="0" width="9.24"/>
    <col collapsed="false" customWidth="true" hidden="false" outlineLevel="0" max="31" min="31" style="0" width="10.51"/>
    <col collapsed="false" customWidth="true" hidden="false" outlineLevel="0" max="32" min="32" style="0" width="9.38"/>
    <col collapsed="false" customWidth="true" hidden="false" outlineLevel="0" max="34" min="33" style="0" width="9.24"/>
    <col collapsed="false" customWidth="true" hidden="true" outlineLevel="1" max="41" min="35" style="0" width="9.38"/>
    <col collapsed="false" customWidth="true" hidden="true" outlineLevel="1" max="42" min="42" style="0" width="12"/>
    <col collapsed="false" customWidth="true" hidden="true" outlineLevel="1" max="43" min="43" style="0" width="9.38"/>
    <col collapsed="false" customWidth="true" hidden="false" outlineLevel="0" max="46" min="44" style="0" width="6.76"/>
    <col collapsed="false" customWidth="true" hidden="false" outlineLevel="1" max="47" min="47" style="0" width="8.87"/>
    <col collapsed="false" customWidth="true" hidden="false" outlineLevel="1" max="49" min="48" style="0" width="7.88"/>
    <col collapsed="false" customWidth="true" hidden="false" outlineLevel="1" max="50" min="50" style="0" width="9.14"/>
    <col collapsed="false" customWidth="true" hidden="false" outlineLevel="1" max="51" min="51" style="0" width="8.24"/>
    <col collapsed="false" customWidth="true" hidden="false" outlineLevel="1" max="52" min="52" style="0" width="5.51"/>
    <col collapsed="false" customWidth="true" hidden="false" outlineLevel="0" max="55" min="53" style="0" width="9.38"/>
    <col collapsed="false" customWidth="true" hidden="false" outlineLevel="1" max="66" min="56" style="0" width="9.38"/>
    <col collapsed="false" customWidth="true" hidden="false" outlineLevel="0" max="67" min="67" style="0" width="9.38"/>
    <col collapsed="false" customWidth="true" hidden="false" outlineLevel="0" max="68" min="68" style="0" width="9.51"/>
    <col collapsed="false" customWidth="true" hidden="false" outlineLevel="0" max="70" min="69" style="0" width="9.38"/>
  </cols>
  <sheetData>
    <row r="1" customFormat="false" ht="3" hidden="false" customHeight="true" outlineLevel="0" collapsed="false">
      <c r="A1" s="152"/>
      <c r="B1" s="233" t="s">
        <v>0</v>
      </c>
      <c r="C1" s="153" t="str">
        <f aca="false"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4"/>
      <c r="AG1" s="234"/>
      <c r="AH1" s="234"/>
      <c r="AI1" s="154"/>
      <c r="AJ1" s="154"/>
      <c r="AK1" s="154"/>
      <c r="AL1" s="154"/>
      <c r="AM1" s="155"/>
      <c r="AN1" s="155"/>
      <c r="AO1" s="155"/>
      <c r="AP1" s="155"/>
      <c r="AQ1" s="155"/>
      <c r="AR1" s="155"/>
      <c r="AS1" s="156"/>
      <c r="AT1" s="156"/>
      <c r="AU1" s="155"/>
      <c r="AV1" s="155"/>
      <c r="AW1" s="155"/>
      <c r="AX1" s="155"/>
      <c r="AY1" s="155"/>
      <c r="AZ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BM1" s="155"/>
      <c r="BN1" s="155"/>
      <c r="BO1" s="155"/>
      <c r="BP1" s="155"/>
      <c r="BQ1" s="155"/>
      <c r="BR1" s="156"/>
    </row>
    <row r="2" customFormat="false" ht="26.25" hidden="false" customHeight="true" outlineLevel="0" collapsed="false">
      <c r="A2" s="158"/>
      <c r="B2" s="235" t="s">
        <v>1</v>
      </c>
      <c r="C2" s="9"/>
      <c r="D2" s="9"/>
      <c r="E2" s="9"/>
      <c r="F2" s="9" t="s">
        <v>149</v>
      </c>
      <c r="G2" s="9" t="s">
        <v>149</v>
      </c>
      <c r="H2" s="9"/>
      <c r="I2" s="9" t="s">
        <v>150</v>
      </c>
      <c r="J2" s="9"/>
      <c r="K2" s="9"/>
      <c r="L2" s="9"/>
      <c r="M2" s="9"/>
      <c r="N2" s="9"/>
      <c r="O2" s="9"/>
      <c r="P2" s="9"/>
      <c r="Q2" s="9"/>
      <c r="R2" s="9"/>
      <c r="S2" s="9"/>
      <c r="T2" s="119"/>
      <c r="U2" s="9"/>
      <c r="V2" s="160"/>
      <c r="W2" s="9" t="s">
        <v>348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61"/>
      <c r="AT2" s="161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2"/>
      <c r="BP2" s="12"/>
      <c r="BQ2" s="12"/>
      <c r="BR2" s="163"/>
    </row>
    <row r="3" customFormat="false" ht="26.25" hidden="false" customHeight="true" outlineLevel="0" collapsed="false">
      <c r="A3" s="158"/>
      <c r="B3" s="235" t="s">
        <v>21</v>
      </c>
      <c r="C3" s="164" t="n">
        <v>46082</v>
      </c>
      <c r="D3" s="165" t="n">
        <f aca="false">C3+1</f>
        <v>46083</v>
      </c>
      <c r="E3" s="165" t="n">
        <f aca="false">D3+1</f>
        <v>46084</v>
      </c>
      <c r="F3" s="165" t="n">
        <f aca="false">E3+1</f>
        <v>46085</v>
      </c>
      <c r="G3" s="165" t="n">
        <f aca="false">F3+1</f>
        <v>46086</v>
      </c>
      <c r="H3" s="165" t="n">
        <f aca="false">G3+1</f>
        <v>46087</v>
      </c>
      <c r="I3" s="165" t="n">
        <f aca="false">H3+1</f>
        <v>46088</v>
      </c>
      <c r="J3" s="165" t="n">
        <f aca="false">I3+1</f>
        <v>46089</v>
      </c>
      <c r="K3" s="165" t="n">
        <f aca="false">J3+1</f>
        <v>46090</v>
      </c>
      <c r="L3" s="165" t="n">
        <f aca="false">K3+1</f>
        <v>46091</v>
      </c>
      <c r="M3" s="165" t="n">
        <f aca="false">L3+1</f>
        <v>46092</v>
      </c>
      <c r="N3" s="165" t="n">
        <f aca="false">M3+1</f>
        <v>46093</v>
      </c>
      <c r="O3" s="165" t="n">
        <f aca="false">N3+1</f>
        <v>46094</v>
      </c>
      <c r="P3" s="165" t="n">
        <f aca="false">O3+1</f>
        <v>46095</v>
      </c>
      <c r="Q3" s="165" t="n">
        <f aca="false">P3+1</f>
        <v>46096</v>
      </c>
      <c r="R3" s="165" t="n">
        <f aca="false">Q3+1</f>
        <v>46097</v>
      </c>
      <c r="S3" s="165" t="n">
        <f aca="false">R3+1</f>
        <v>46098</v>
      </c>
      <c r="T3" s="166" t="n">
        <f aca="false">S3+1</f>
        <v>46099</v>
      </c>
      <c r="U3" s="165" t="n">
        <f aca="false">T3+1</f>
        <v>46100</v>
      </c>
      <c r="V3" s="167" t="n">
        <f aca="false">U3+1</f>
        <v>46101</v>
      </c>
      <c r="W3" s="165" t="n">
        <f aca="false">V3+1</f>
        <v>46102</v>
      </c>
      <c r="X3" s="165" t="n">
        <f aca="false">W3+1</f>
        <v>46103</v>
      </c>
      <c r="Y3" s="165" t="n">
        <f aca="false">X3+1</f>
        <v>46104</v>
      </c>
      <c r="Z3" s="165" t="n">
        <f aca="false">Y3+1</f>
        <v>46105</v>
      </c>
      <c r="AA3" s="165" t="n">
        <f aca="false">Z3+1</f>
        <v>46106</v>
      </c>
      <c r="AB3" s="165" t="n">
        <f aca="false">AA3+1</f>
        <v>46107</v>
      </c>
      <c r="AC3" s="165" t="n">
        <f aca="false">AB3+1</f>
        <v>46108</v>
      </c>
      <c r="AD3" s="165" t="n">
        <f aca="false">AC3+1</f>
        <v>46109</v>
      </c>
      <c r="AE3" s="165" t="n">
        <f aca="false">AD3+1</f>
        <v>46110</v>
      </c>
      <c r="AF3" s="165" t="n">
        <f aca="false">AE3+1</f>
        <v>46111</v>
      </c>
      <c r="AG3" s="166" t="n">
        <f aca="false">AF3+1</f>
        <v>46112</v>
      </c>
      <c r="AH3" s="165" t="n">
        <f aca="false">AG3+1</f>
        <v>46113</v>
      </c>
      <c r="AI3" s="18" t="str">
        <f aca="false">'Setting key Duty'!$C7</f>
        <v>DM</v>
      </c>
      <c r="AJ3" s="19" t="str">
        <f aca="false">'Setting key Duty'!$C8</f>
        <v>CS1</v>
      </c>
      <c r="AK3" s="20" t="str">
        <f aca="false">'Setting key Duty'!$C9</f>
        <v>CS2</v>
      </c>
      <c r="AL3" s="20" t="str">
        <f aca="false">'Setting key Duty'!$C10</f>
        <v>CS/B</v>
      </c>
      <c r="AM3" s="20" t="str">
        <f aca="false">'Setting key Duty'!$C11</f>
        <v>SB1</v>
      </c>
      <c r="AN3" s="20" t="str">
        <f aca="false">'Setting key Duty'!$C12</f>
        <v>SB2</v>
      </c>
      <c r="AO3" s="20" t="str">
        <f aca="false">'Setting key Duty'!$C13</f>
        <v>AE</v>
      </c>
      <c r="AP3" s="20" t="str">
        <f aca="false">'Setting key Duty'!$C16</f>
        <v>Outfield Reserve</v>
      </c>
      <c r="AQ3" s="20" t="str">
        <f aca="false">'Setting key Duty'!C14</f>
        <v>EM</v>
      </c>
      <c r="AR3" s="20"/>
      <c r="AS3" s="168" t="s">
        <v>559</v>
      </c>
      <c r="AT3" s="168" t="s">
        <v>560</v>
      </c>
      <c r="AU3" s="20" t="s">
        <v>22</v>
      </c>
      <c r="AV3" s="20" t="s">
        <v>23</v>
      </c>
      <c r="AW3" s="20" t="s">
        <v>561</v>
      </c>
      <c r="AX3" s="20" t="s">
        <v>24</v>
      </c>
      <c r="AY3" s="20" t="s">
        <v>25</v>
      </c>
      <c r="AZ3" s="20" t="s">
        <v>26</v>
      </c>
      <c r="BA3" s="20" t="s">
        <v>27</v>
      </c>
      <c r="BB3" s="20" t="s">
        <v>28</v>
      </c>
      <c r="BC3" s="169" t="s">
        <v>29</v>
      </c>
      <c r="BD3" s="20" t="s">
        <v>30</v>
      </c>
      <c r="BE3" s="20" t="s">
        <v>32</v>
      </c>
      <c r="BF3" s="20" t="s">
        <v>33</v>
      </c>
      <c r="BG3" s="20" t="s">
        <v>36</v>
      </c>
      <c r="BH3" s="20" t="s">
        <v>37</v>
      </c>
      <c r="BI3" s="20" t="s">
        <v>39</v>
      </c>
      <c r="BJ3" s="20" t="s">
        <v>40</v>
      </c>
      <c r="BK3" s="20" t="s">
        <v>41</v>
      </c>
      <c r="BL3" s="20" t="s">
        <v>42</v>
      </c>
      <c r="BM3" s="20" t="str">
        <f aca="false">'Setting key Duty'!C52</f>
        <v>Field Camp</v>
      </c>
      <c r="BN3" s="20" t="s">
        <v>43</v>
      </c>
      <c r="BO3" s="20" t="str">
        <f aca="false">'Setting key Duty'!$C15</f>
        <v>Block</v>
      </c>
      <c r="BP3" s="20" t="str">
        <f aca="false">'Setting key Duty'!C17</f>
        <v>Reserve</v>
      </c>
      <c r="BQ3" s="20" t="str">
        <f aca="false">'Setting key Duty'!$C22</f>
        <v>AL</v>
      </c>
      <c r="BR3" s="163"/>
    </row>
    <row r="4" customFormat="false" ht="18" hidden="false" customHeight="true" outlineLevel="0" collapsed="false">
      <c r="A4" s="170"/>
      <c r="B4" s="236" t="s">
        <v>156</v>
      </c>
      <c r="C4" s="171" t="str">
        <f aca="false">TEXT(C3,"ddd")</f>
        <v>Sun</v>
      </c>
      <c r="D4" s="172" t="str">
        <f aca="false">TEXT(D3,"ddd")</f>
        <v>Mon</v>
      </c>
      <c r="E4" s="172" t="str">
        <f aca="false">TEXT(E3,"ddd")</f>
        <v>Tue</v>
      </c>
      <c r="F4" s="172" t="str">
        <f aca="false">TEXT(F3,"ddd")</f>
        <v>Wed</v>
      </c>
      <c r="G4" s="172" t="str">
        <f aca="false">TEXT(G3,"ddd")</f>
        <v>Thu</v>
      </c>
      <c r="H4" s="172" t="str">
        <f aca="false">TEXT(H3,"ddd")</f>
        <v>Fri</v>
      </c>
      <c r="I4" s="172" t="str">
        <f aca="false">TEXT(I3,"ddd")</f>
        <v>Sat</v>
      </c>
      <c r="J4" s="172" t="str">
        <f aca="false">TEXT(J3,"ddd")</f>
        <v>Sun</v>
      </c>
      <c r="K4" s="172" t="str">
        <f aca="false">TEXT(K3,"ddd")</f>
        <v>Mon</v>
      </c>
      <c r="L4" s="172" t="str">
        <f aca="false">TEXT(L3,"ddd")</f>
        <v>Tue</v>
      </c>
      <c r="M4" s="172" t="str">
        <f aca="false">TEXT(M3,"ddd")</f>
        <v>Wed</v>
      </c>
      <c r="N4" s="172" t="str">
        <f aca="false">TEXT(N3,"ddd")</f>
        <v>Thu</v>
      </c>
      <c r="O4" s="172" t="str">
        <f aca="false">TEXT(O3,"ddd")</f>
        <v>Fri</v>
      </c>
      <c r="P4" s="172" t="str">
        <f aca="false">TEXT(P3,"ddd")</f>
        <v>Sat</v>
      </c>
      <c r="Q4" s="172" t="str">
        <f aca="false">TEXT(Q3,"ddd")</f>
        <v>Sun</v>
      </c>
      <c r="R4" s="172" t="str">
        <f aca="false">TEXT(R3,"ddd")</f>
        <v>Mon</v>
      </c>
      <c r="S4" s="172" t="str">
        <f aca="false">TEXT(S3,"ddd")</f>
        <v>Tue</v>
      </c>
      <c r="T4" s="171" t="str">
        <f aca="false">TEXT(T3,"ddd")</f>
        <v>Wed</v>
      </c>
      <c r="U4" s="172" t="str">
        <f aca="false">TEXT(U3,"ddd")</f>
        <v>Thu</v>
      </c>
      <c r="V4" s="173" t="str">
        <f aca="false">TEXT(V3,"ddd")</f>
        <v>Fri</v>
      </c>
      <c r="W4" s="172" t="str">
        <f aca="false">TEXT(W3,"ddd")</f>
        <v>Sat</v>
      </c>
      <c r="X4" s="172" t="str">
        <f aca="false">TEXT(X3,"ddd")</f>
        <v>Sun</v>
      </c>
      <c r="Y4" s="172" t="str">
        <f aca="false">TEXT(Y3,"ddd")</f>
        <v>Mon</v>
      </c>
      <c r="Z4" s="172" t="str">
        <f aca="false">TEXT(Z3,"ddd")</f>
        <v>Tue</v>
      </c>
      <c r="AA4" s="172" t="str">
        <f aca="false">TEXT(AA3,"ddd")</f>
        <v>Wed</v>
      </c>
      <c r="AB4" s="172" t="str">
        <f aca="false">TEXT(AB3,"ddd")</f>
        <v>Thu</v>
      </c>
      <c r="AC4" s="172" t="str">
        <f aca="false">TEXT(AC3,"ddd")</f>
        <v>Fri</v>
      </c>
      <c r="AD4" s="172" t="str">
        <f aca="false">TEXT(AD3,"ddd")</f>
        <v>Sat</v>
      </c>
      <c r="AE4" s="172" t="str">
        <f aca="false">TEXT(AE3,"ddd")</f>
        <v>Sun</v>
      </c>
      <c r="AF4" s="172" t="str">
        <f aca="false">TEXT(AF3,"ddd")</f>
        <v>Mon</v>
      </c>
      <c r="AG4" s="171" t="str">
        <f aca="false">TEXT(AG3,"ddd")</f>
        <v>Tue</v>
      </c>
      <c r="AH4" s="172" t="str">
        <f aca="false">TEXT(AH3,"ddd")</f>
        <v>Wed</v>
      </c>
      <c r="AI4" s="25" t="str">
        <f aca="false">'Setting key Duty'!$B7</f>
        <v>DM</v>
      </c>
      <c r="AJ4" s="26" t="str">
        <f aca="false">'Setting key Duty'!$B8</f>
        <v>CS1</v>
      </c>
      <c r="AK4" s="27" t="str">
        <f aca="false">'Setting key Duty'!$B9</f>
        <v>CS2</v>
      </c>
      <c r="AL4" s="27" t="str">
        <f aca="false">'Setting key Duty'!$B10</f>
        <v>CS/B</v>
      </c>
      <c r="AM4" s="27" t="str">
        <f aca="false">'Setting key Duty'!$B11</f>
        <v>SB1</v>
      </c>
      <c r="AN4" s="27" t="str">
        <f aca="false">'Setting key Duty'!$B12</f>
        <v>SB2</v>
      </c>
      <c r="AO4" s="27" t="str">
        <f aca="false">'Setting key Duty'!$B13</f>
        <v>AE</v>
      </c>
      <c r="AP4" s="27" t="str">
        <f aca="false">'Setting key Duty'!$B16</f>
        <v>Outfield Reserve</v>
      </c>
      <c r="AQ4" s="27" t="str">
        <f aca="false">'Setting key Duty'!B14</f>
        <v>EM</v>
      </c>
      <c r="AR4" s="27"/>
      <c r="AS4" s="168"/>
      <c r="AT4" s="168"/>
      <c r="AU4" s="27"/>
      <c r="AV4" s="27"/>
      <c r="AW4" s="27"/>
      <c r="AX4" s="27"/>
      <c r="AY4" s="27"/>
      <c r="AZ4" s="27"/>
      <c r="BA4" s="27"/>
      <c r="BB4" s="27"/>
      <c r="BC4" s="174"/>
      <c r="BD4" s="27"/>
      <c r="BE4" s="27" t="s">
        <v>46</v>
      </c>
      <c r="BF4" s="27"/>
      <c r="BG4" s="27" t="s">
        <v>48</v>
      </c>
      <c r="BH4" s="27"/>
      <c r="BI4" s="27" t="s">
        <v>50</v>
      </c>
      <c r="BJ4" s="27"/>
      <c r="BK4" s="27" t="s">
        <v>51</v>
      </c>
      <c r="BL4" s="27"/>
      <c r="BM4" s="27" t="str">
        <f aca="false">'Setting key Duty'!B52</f>
        <v>$FC</v>
      </c>
      <c r="BN4" s="27"/>
      <c r="BO4" s="27" t="n">
        <f aca="false">'Setting key Duty'!$B15</f>
        <v>0</v>
      </c>
      <c r="BP4" s="27" t="str">
        <f aca="false">'Setting key Duty'!B17</f>
        <v>RESERVE</v>
      </c>
      <c r="BQ4" s="27" t="str">
        <f aca="false">'Setting key Duty'!$B22</f>
        <v>AL</v>
      </c>
      <c r="BR4" s="175"/>
    </row>
    <row r="5" customFormat="false" ht="41.25" hidden="false" customHeight="true" outlineLevel="0" collapsed="false">
      <c r="A5" s="176"/>
      <c r="B5" s="197" t="s">
        <v>562</v>
      </c>
      <c r="C5" s="179"/>
      <c r="D5" s="179"/>
      <c r="E5" s="91"/>
      <c r="F5" s="178" t="s">
        <v>57</v>
      </c>
      <c r="G5" s="178"/>
      <c r="H5" s="179" t="s">
        <v>253</v>
      </c>
      <c r="I5" s="179"/>
      <c r="J5" s="179"/>
      <c r="K5" s="181"/>
      <c r="L5" s="92"/>
      <c r="M5" s="91"/>
      <c r="N5" s="178"/>
      <c r="O5" s="237" t="s">
        <v>55</v>
      </c>
      <c r="P5" s="179"/>
      <c r="Q5" s="179"/>
      <c r="R5" s="178" t="s">
        <v>56</v>
      </c>
      <c r="S5" s="178"/>
      <c r="T5" s="92"/>
      <c r="U5" s="178"/>
      <c r="V5" s="179" t="s">
        <v>348</v>
      </c>
      <c r="W5" s="179" t="s">
        <v>348</v>
      </c>
      <c r="X5" s="179" t="s">
        <v>348</v>
      </c>
      <c r="Y5" s="179" t="s">
        <v>348</v>
      </c>
      <c r="Z5" s="180"/>
      <c r="AA5" s="180"/>
      <c r="AB5" s="178"/>
      <c r="AC5" s="178"/>
      <c r="AD5" s="178" t="s">
        <v>57</v>
      </c>
      <c r="AE5" s="178"/>
      <c r="AF5" s="178"/>
      <c r="AG5" s="178" t="s">
        <v>57</v>
      </c>
      <c r="AH5" s="32"/>
      <c r="AI5" s="182" t="n">
        <f aca="false">COUNTIF($C5:$AG5,AI$4)</f>
        <v>3</v>
      </c>
      <c r="AJ5" s="182" t="n">
        <f aca="false">COUNTIF($C5:$AG5,AJ$4)</f>
        <v>1</v>
      </c>
      <c r="AK5" s="182" t="n">
        <f aca="false">COUNTIF($C5:$AG5,AK$4)</f>
        <v>0</v>
      </c>
      <c r="AL5" s="182" t="n">
        <f aca="false">COUNTIF($C5:$AG5,AL$4)</f>
        <v>0</v>
      </c>
      <c r="AM5" s="182" t="n">
        <f aca="false">COUNTIF($C5:$AG5,AM$4)</f>
        <v>0</v>
      </c>
      <c r="AN5" s="182" t="n">
        <f aca="false">COUNTIF($C5:$AG5,AN$4)</f>
        <v>0</v>
      </c>
      <c r="AO5" s="182" t="n">
        <f aca="false">COUNTIF($C5:$AG5,AO$4)</f>
        <v>0</v>
      </c>
      <c r="AP5" s="182" t="n">
        <f aca="false">COUNTIF($C5:$AG5,AP$4)</f>
        <v>0</v>
      </c>
      <c r="AQ5" s="182" t="n">
        <f aca="false">COUNTIF($C5:$AG5,AQ$4)</f>
        <v>0</v>
      </c>
      <c r="AR5" s="38"/>
      <c r="AS5" s="184" t="n">
        <v>1</v>
      </c>
      <c r="AT5" s="184"/>
      <c r="AU5" s="38" t="n">
        <f aca="false">SUMPRODUCT(--(WEEKDAY(C$3:AG$3,2)&lt;5),--ISNUMBER(MATCH(C5:AG5,{"DM","CS1","CS2","SB1","AE","CS/B"},0)))</f>
        <v>3</v>
      </c>
      <c r="AV5" s="38"/>
      <c r="AW5" s="38" t="n">
        <f aca="false">SUMPRODUCT(--(WEEKDAY(C$3:AG$3,2)=5),--ISNUMBER(MATCH(C5:AG5,{"DM","CS1","CS2","SB1","AE","CS/B"},0)))</f>
        <v>0</v>
      </c>
      <c r="AX5" s="38" t="n">
        <f aca="false">SUMPRODUCT(--(WEEKDAY(C$3:AG$3,2)&gt;5),--ISNUMBER(MATCH(C5:AG5,{"DM","CS1","CS2","SB1","AE","CS/B"},0)))</f>
        <v>1</v>
      </c>
      <c r="AY5" s="38"/>
      <c r="AZ5" s="38" t="n">
        <f aca="false">(AU5-AV5)+AW5*1.5+(AX5-AY5)*2+AN5*0.5+AP5*0.5+AS5-AT5</f>
        <v>6</v>
      </c>
      <c r="BA5" s="38" t="n">
        <f aca="false">AU5+AW5+AX5</f>
        <v>4</v>
      </c>
      <c r="BB5" s="38" t="n">
        <f aca="false">BE5+BG5+BI5+BK5+BM5</f>
        <v>0</v>
      </c>
      <c r="BC5" s="184" t="n">
        <f aca="false">AZ5+BD5</f>
        <v>6</v>
      </c>
      <c r="BD5" s="38" t="n">
        <f aca="false">BF5+BH5+BJ5+BL5+BN5</f>
        <v>0</v>
      </c>
      <c r="BE5" s="38" t="n">
        <f aca="false">COUNTIF(A5:AI5,"*$BTP*")</f>
        <v>0</v>
      </c>
      <c r="BF5" s="38" t="n">
        <f aca="false">BE5*1.5</f>
        <v>0</v>
      </c>
      <c r="BG5" s="38" t="n">
        <f aca="false">COUNTIF(A5:AI5,"*$M*")</f>
        <v>0</v>
      </c>
      <c r="BH5" s="38" t="n">
        <f aca="false">BG5*1</f>
        <v>0</v>
      </c>
      <c r="BI5" s="38" t="n">
        <f aca="false">COUNTIF(A5:AI5,"*$PM*")</f>
        <v>0</v>
      </c>
      <c r="BJ5" s="38" t="n">
        <f aca="false">BI5*0.5</f>
        <v>0</v>
      </c>
      <c r="BK5" s="38" t="n">
        <f aca="false">COUNTIF(A5:AI5,"*$AM*")</f>
        <v>0</v>
      </c>
      <c r="BL5" s="38" t="n">
        <f aca="false">BK5*0.5</f>
        <v>0</v>
      </c>
      <c r="BM5" s="38" t="n">
        <f aca="false">COUNTIF(A5:AI5,"*$FC*")</f>
        <v>0</v>
      </c>
      <c r="BN5" s="38" t="n">
        <f aca="false">BM5*1</f>
        <v>0</v>
      </c>
      <c r="BO5" s="38" t="n">
        <f aca="false">COUNTIF($D5:$AA5,BO$4)</f>
        <v>0</v>
      </c>
      <c r="BP5" s="38" t="n">
        <f aca="false">COUNTIF($D5:$AA5,BP$4)</f>
        <v>0</v>
      </c>
      <c r="BQ5" s="38" t="n">
        <f aca="false">COUNTIF($D5:$AA5,BQ$4)</f>
        <v>1</v>
      </c>
      <c r="BR5" s="185"/>
    </row>
    <row r="6" customFormat="false" ht="36" hidden="false" customHeight="true" outlineLevel="0" collapsed="false">
      <c r="A6" s="176"/>
      <c r="B6" s="195" t="s">
        <v>565</v>
      </c>
      <c r="C6" s="188"/>
      <c r="D6" s="188"/>
      <c r="E6" s="188" t="s">
        <v>56</v>
      </c>
      <c r="F6" s="188" t="s">
        <v>669</v>
      </c>
      <c r="G6" s="188"/>
      <c r="H6" s="46" t="s">
        <v>670</v>
      </c>
      <c r="I6" s="187" t="s">
        <v>671</v>
      </c>
      <c r="J6" s="187"/>
      <c r="K6" s="188"/>
      <c r="L6" s="188"/>
      <c r="M6" s="178"/>
      <c r="N6" s="188" t="s">
        <v>350</v>
      </c>
      <c r="O6" s="188"/>
      <c r="P6" s="188" t="s">
        <v>57</v>
      </c>
      <c r="Q6" s="187"/>
      <c r="R6" s="187"/>
      <c r="S6" s="187"/>
      <c r="T6" s="187"/>
      <c r="U6" s="188"/>
      <c r="V6" s="189" t="s">
        <v>55</v>
      </c>
      <c r="W6" s="187"/>
      <c r="X6" s="187"/>
      <c r="Y6" s="187" t="s">
        <v>253</v>
      </c>
      <c r="AA6" s="187"/>
      <c r="AC6" s="181" t="s">
        <v>57</v>
      </c>
      <c r="AD6" s="188"/>
      <c r="AE6" s="187"/>
      <c r="AF6" s="91"/>
      <c r="AG6" s="187" t="s">
        <v>69</v>
      </c>
      <c r="AH6" s="32"/>
      <c r="AI6" s="182" t="n">
        <f aca="false">COUNTIF($C6:$AG6,AI$4)</f>
        <v>2</v>
      </c>
      <c r="AJ6" s="182" t="n">
        <f aca="false">COUNTIF($C6:$AG6,AJ$4)</f>
        <v>1</v>
      </c>
      <c r="AK6" s="182" t="n">
        <f aca="false">COUNTIF($C6:$AG6,AK$4)</f>
        <v>0</v>
      </c>
      <c r="AL6" s="182" t="n">
        <f aca="false">COUNTIF($C6:$AG6,AL$4)</f>
        <v>0</v>
      </c>
      <c r="AM6" s="182" t="n">
        <f aca="false">COUNTIF($C6:$AG6,AM$4)</f>
        <v>0</v>
      </c>
      <c r="AN6" s="182" t="n">
        <f aca="false">COUNTIF($C6:$AG6,AN$4)</f>
        <v>0</v>
      </c>
      <c r="AO6" s="182" t="n">
        <f aca="false">COUNTIF($C6:$AG6,AO$4)</f>
        <v>0</v>
      </c>
      <c r="AP6" s="182" t="n">
        <f aca="false">COUNTIF($C6:$AG6,AP$4)</f>
        <v>0</v>
      </c>
      <c r="AQ6" s="182" t="n">
        <f aca="false">COUNTIF($C6:$AG6,AQ$4)</f>
        <v>0</v>
      </c>
      <c r="AR6" s="38"/>
      <c r="AS6" s="184" t="n">
        <v>1.5</v>
      </c>
      <c r="AT6" s="184"/>
      <c r="AU6" s="38" t="n">
        <f aca="false">SUMPRODUCT(--(WEEKDAY(C$3:AG$3,2)&lt;5),--ISNUMBER(MATCH(C6:AG6,{"DM","CS1","CS2","SB1","AE","CS/B"},0)))</f>
        <v>1</v>
      </c>
      <c r="AV6" s="38"/>
      <c r="AW6" s="38" t="n">
        <f aca="false">SUMPRODUCT(--(WEEKDAY(C$3:AG$3,2)=5),--ISNUMBER(MATCH(C6:AG6,{"DM","CS1","CS2","SB1","AE","CS/B"},0)))</f>
        <v>1</v>
      </c>
      <c r="AX6" s="38" t="n">
        <f aca="false">SUMPRODUCT(--(WEEKDAY(C$3:AG$3,2)&gt;5),--ISNUMBER(MATCH(C6:AG6,{"DM","CS1","CS2","SB1","AE","CS/B"},0)))</f>
        <v>1</v>
      </c>
      <c r="AY6" s="38"/>
      <c r="AZ6" s="38" t="n">
        <f aca="false">(AU6-AV6)+AW6*1.5+(AX6-AY6)*2+AN6*0.5+AP6*0.5+AS6-AT6</f>
        <v>6</v>
      </c>
      <c r="BA6" s="38" t="n">
        <f aca="false">AU6+AW6+AX6</f>
        <v>3</v>
      </c>
      <c r="BB6" s="38" t="n">
        <f aca="false">BE6+BG6+BI6+BK6+BM6</f>
        <v>1</v>
      </c>
      <c r="BC6" s="184" t="n">
        <f aca="false">AZ6+BD6</f>
        <v>7</v>
      </c>
      <c r="BD6" s="38" t="n">
        <f aca="false">BF6+BH6+BJ6+BL6+BN6</f>
        <v>1</v>
      </c>
      <c r="BE6" s="38" t="n">
        <f aca="false">COUNTIF(A6:AI6,"*$BTP*")</f>
        <v>0</v>
      </c>
      <c r="BF6" s="38" t="n">
        <f aca="false">BE6*1.5</f>
        <v>0</v>
      </c>
      <c r="BG6" s="38" t="n">
        <f aca="false">COUNTIF(A6:AI6,"*$M*")</f>
        <v>1</v>
      </c>
      <c r="BH6" s="38" t="n">
        <f aca="false">BG6*1</f>
        <v>1</v>
      </c>
      <c r="BI6" s="38" t="n">
        <f aca="false">COUNTIF(A6:AI6,"*$PM*")</f>
        <v>0</v>
      </c>
      <c r="BJ6" s="38" t="n">
        <f aca="false">BI6*0.5</f>
        <v>0</v>
      </c>
      <c r="BK6" s="38" t="n">
        <f aca="false">COUNTIF(A6:AI6,"*$AM*")</f>
        <v>0</v>
      </c>
      <c r="BL6" s="38" t="n">
        <f aca="false">BK6*0.5</f>
        <v>0</v>
      </c>
      <c r="BM6" s="38" t="n">
        <f aca="false">COUNTIF(A6:AI6,"*$FC*")</f>
        <v>0</v>
      </c>
      <c r="BN6" s="38" t="n">
        <f aca="false">BM6*1</f>
        <v>0</v>
      </c>
      <c r="BO6" s="38" t="n">
        <f aca="false">COUNTIF($D6:$AA6,BO$4)</f>
        <v>0</v>
      </c>
      <c r="BP6" s="38" t="n">
        <f aca="false">COUNTIF($D6:$AA6,BP$4)</f>
        <v>1</v>
      </c>
      <c r="BQ6" s="38" t="n">
        <f aca="false">COUNTIF($D6:$AA6,BQ$4)</f>
        <v>1</v>
      </c>
      <c r="BR6" s="185"/>
    </row>
    <row r="7" customFormat="false" ht="50.25" hidden="true" customHeight="true" outlineLevel="0" collapsed="false">
      <c r="A7" s="176"/>
      <c r="B7" s="197" t="s">
        <v>567</v>
      </c>
      <c r="C7" s="181"/>
      <c r="D7" s="91"/>
      <c r="E7" s="91"/>
      <c r="F7" s="188" t="s">
        <v>669</v>
      </c>
      <c r="G7" s="181"/>
      <c r="H7" s="181"/>
      <c r="I7" s="181"/>
      <c r="J7" s="181"/>
      <c r="K7" s="91"/>
      <c r="L7" s="181"/>
      <c r="M7" s="181"/>
      <c r="N7" s="181"/>
      <c r="O7" s="181"/>
      <c r="P7" s="181"/>
      <c r="Q7" s="181"/>
      <c r="R7" s="91"/>
      <c r="S7" s="181"/>
      <c r="T7" s="91"/>
      <c r="U7" s="181"/>
      <c r="V7" s="181"/>
      <c r="W7" s="181"/>
      <c r="X7" s="181"/>
      <c r="Y7" s="181"/>
      <c r="Z7" s="181"/>
      <c r="AA7" s="181"/>
      <c r="AB7" s="91"/>
      <c r="AC7" s="91"/>
      <c r="AD7" s="181"/>
      <c r="AE7" s="181"/>
      <c r="AF7" s="91"/>
      <c r="AG7" s="91"/>
      <c r="AH7" s="32"/>
      <c r="AI7" s="182" t="n">
        <f aca="false">COUNTIF($C7:$AG7,AI$4)</f>
        <v>0</v>
      </c>
      <c r="AJ7" s="182" t="n">
        <f aca="false">COUNTIF($C7:$AG7,AJ$4)</f>
        <v>0</v>
      </c>
      <c r="AK7" s="182" t="n">
        <f aca="false">COUNTIF($C7:$AG7,AK$4)</f>
        <v>0</v>
      </c>
      <c r="AL7" s="182" t="n">
        <f aca="false">COUNTIF($C7:$AG7,AL$4)</f>
        <v>0</v>
      </c>
      <c r="AM7" s="182" t="n">
        <f aca="false">COUNTIF($C7:$AG7,AM$4)</f>
        <v>0</v>
      </c>
      <c r="AN7" s="182" t="n">
        <f aca="false">COUNTIF($C7:$AG7,AN$4)</f>
        <v>0</v>
      </c>
      <c r="AO7" s="182" t="n">
        <f aca="false">COUNTIF($C7:$AG7,AO$4)</f>
        <v>0</v>
      </c>
      <c r="AP7" s="182" t="n">
        <f aca="false">COUNTIF($C7:$AG7,AP$4)</f>
        <v>0</v>
      </c>
      <c r="AQ7" s="182" t="n">
        <f aca="false">COUNTIF($C7:$AG7,AQ$4)</f>
        <v>0</v>
      </c>
      <c r="AR7" s="38"/>
      <c r="AS7" s="184"/>
      <c r="AT7" s="184"/>
      <c r="AU7" s="38" t="n">
        <f aca="false">SUMPRODUCT(--(WEEKDAY(C$3:AG$3,2)&lt;5),--ISNUMBER(MATCH(C7:AG7,{"DM","CS1","CS2","SB1","AE","CS/B"},0)))</f>
        <v>0</v>
      </c>
      <c r="AV7" s="38"/>
      <c r="AW7" s="38" t="n">
        <f aca="false">SUMPRODUCT(--(WEEKDAY(C$3:AG$3,2)=5),--ISNUMBER(MATCH(C7:AG7,{"DM","CS1","CS2","SB1","AE","CS/B"},0)))</f>
        <v>0</v>
      </c>
      <c r="AX7" s="38" t="n">
        <f aca="false">SUMPRODUCT(--(WEEKDAY(C$3:AG$3,2)&gt;5),--ISNUMBER(MATCH(C7:AG7,{"DM","CS1","CS2","SB1","AE","CS/B"},0)))</f>
        <v>0</v>
      </c>
      <c r="AY7" s="38"/>
      <c r="AZ7" s="38" t="n">
        <f aca="false">(AU7-AV7)+AW7*1.5+(AX7-AY7)*2+AN7*0.5+AP7*0.5+AS7-AT7</f>
        <v>0</v>
      </c>
      <c r="BA7" s="38" t="n">
        <f aca="false">AU7+AW7+AX7</f>
        <v>0</v>
      </c>
      <c r="BB7" s="38" t="n">
        <f aca="false">BE7+BG7+BI7+BK7+BM7</f>
        <v>0</v>
      </c>
      <c r="BC7" s="184" t="n">
        <f aca="false">AZ7+BD7</f>
        <v>0</v>
      </c>
      <c r="BD7" s="38" t="n">
        <f aca="false">BF7+BH7+BJ7+BL7+BN7</f>
        <v>0</v>
      </c>
      <c r="BE7" s="38" t="n">
        <f aca="false">COUNTIF(A7:AI7,"*$BTP*")</f>
        <v>0</v>
      </c>
      <c r="BF7" s="38" t="n">
        <f aca="false">BE7*1.5</f>
        <v>0</v>
      </c>
      <c r="BG7" s="38" t="n">
        <f aca="false">COUNTIF(A7:AI7,"*$M*")</f>
        <v>0</v>
      </c>
      <c r="BH7" s="38" t="n">
        <f aca="false">BG7*1</f>
        <v>0</v>
      </c>
      <c r="BI7" s="38" t="n">
        <f aca="false">COUNTIF(A7:AI7,"*$PM*")</f>
        <v>0</v>
      </c>
      <c r="BJ7" s="38" t="n">
        <f aca="false">BI7*0.5</f>
        <v>0</v>
      </c>
      <c r="BK7" s="38" t="n">
        <f aca="false">COUNTIF(A7:AI7,"*$AM*")</f>
        <v>0</v>
      </c>
      <c r="BL7" s="38" t="n">
        <f aca="false">BK7*0.5</f>
        <v>0</v>
      </c>
      <c r="BM7" s="38" t="n">
        <f aca="false">COUNTIF(A7:AI7,"*$FC*")</f>
        <v>0</v>
      </c>
      <c r="BN7" s="38" t="n">
        <f aca="false">BM7*1</f>
        <v>0</v>
      </c>
      <c r="BO7" s="38" t="n">
        <f aca="false">COUNTIF($D7:$AA7,BO$4)</f>
        <v>0</v>
      </c>
      <c r="BP7" s="38" t="n">
        <f aca="false">COUNTIF($D7:$AA7,BP$4)</f>
        <v>0</v>
      </c>
      <c r="BQ7" s="38" t="n">
        <f aca="false">COUNTIF($D7:$AA7,BQ$4)</f>
        <v>0</v>
      </c>
      <c r="BR7" s="185"/>
    </row>
    <row r="8" customFormat="false" ht="49.5" hidden="false" customHeight="true" outlineLevel="0" collapsed="false">
      <c r="A8" s="176"/>
      <c r="B8" s="197" t="s">
        <v>571</v>
      </c>
      <c r="C8" s="188"/>
      <c r="D8" s="188"/>
      <c r="E8" s="188" t="s">
        <v>672</v>
      </c>
      <c r="F8" s="188" t="s">
        <v>71</v>
      </c>
      <c r="G8" s="188" t="s">
        <v>71</v>
      </c>
      <c r="H8" s="188" t="s">
        <v>71</v>
      </c>
      <c r="I8" s="188" t="s">
        <v>56</v>
      </c>
      <c r="J8" s="188"/>
      <c r="K8" s="188"/>
      <c r="L8" s="91"/>
      <c r="M8" s="91"/>
      <c r="N8" s="188" t="s">
        <v>57</v>
      </c>
      <c r="O8" s="188"/>
      <c r="P8" s="188"/>
      <c r="Q8" s="188" t="s">
        <v>350</v>
      </c>
      <c r="R8" s="91"/>
      <c r="S8" s="188"/>
      <c r="T8" s="178"/>
      <c r="U8" s="188" t="s">
        <v>59</v>
      </c>
      <c r="V8" s="188"/>
      <c r="W8" s="188"/>
      <c r="X8" s="188"/>
      <c r="Y8" s="188" t="s">
        <v>57</v>
      </c>
      <c r="Z8" s="91"/>
      <c r="AB8" s="91"/>
      <c r="AC8" s="188" t="s">
        <v>54</v>
      </c>
      <c r="AD8" s="188" t="s">
        <v>54</v>
      </c>
      <c r="AE8" s="188" t="s">
        <v>54</v>
      </c>
      <c r="AF8" s="188" t="s">
        <v>54</v>
      </c>
      <c r="AG8" s="188"/>
      <c r="AH8" s="32"/>
      <c r="AI8" s="182" t="n">
        <f aca="false">COUNTIF($C8:$AG8,AI$4)</f>
        <v>2</v>
      </c>
      <c r="AJ8" s="182" t="n">
        <f aca="false">COUNTIF($C8:$AG8,AJ$4)</f>
        <v>1</v>
      </c>
      <c r="AK8" s="182" t="n">
        <f aca="false">COUNTIF($C8:$AG8,AK$4)</f>
        <v>1</v>
      </c>
      <c r="AL8" s="182" t="n">
        <f aca="false">COUNTIF($C8:$AG8,AL$4)</f>
        <v>0</v>
      </c>
      <c r="AM8" s="182" t="n">
        <f aca="false">COUNTIF($C8:$AG8,AM$4)</f>
        <v>0</v>
      </c>
      <c r="AN8" s="182" t="n">
        <f aca="false">COUNTIF($C8:$AG8,AN$4)</f>
        <v>0</v>
      </c>
      <c r="AO8" s="182" t="n">
        <f aca="false">COUNTIF($C8:$AG8,AO$4)</f>
        <v>0</v>
      </c>
      <c r="AP8" s="182" t="n">
        <f aca="false">COUNTIF($C8:$AG8,AP$4)</f>
        <v>0</v>
      </c>
      <c r="AQ8" s="182" t="n">
        <f aca="false">COUNTIF($C8:$AG8,AQ$4)</f>
        <v>0</v>
      </c>
      <c r="AR8" s="38"/>
      <c r="AS8" s="184"/>
      <c r="AT8" s="184"/>
      <c r="AU8" s="38" t="n">
        <f aca="false">SUMPRODUCT(--(WEEKDAY(C$3:AG$3,2)&lt;5),--ISNUMBER(MATCH(C8:AG8,{"DM","CS1","CS2","SB1","AE","CS/B"},0)))</f>
        <v>3</v>
      </c>
      <c r="AV8" s="38"/>
      <c r="AW8" s="38" t="n">
        <f aca="false">SUMPRODUCT(--(WEEKDAY(C$3:AG$3,2)=5),--ISNUMBER(MATCH(C8:AG8,{"DM","CS1","CS2","SB1","AE","CS/B"},0)))</f>
        <v>0</v>
      </c>
      <c r="AX8" s="38" t="n">
        <f aca="false">SUMPRODUCT(--(WEEKDAY(C$3:AG$3,2)&gt;5),--ISNUMBER(MATCH(C8:AG8,{"DM","CS1","CS2","SB1","AE","CS/B"},0)))</f>
        <v>1</v>
      </c>
      <c r="AY8" s="38"/>
      <c r="AZ8" s="38" t="n">
        <f aca="false">(AU8-AV8)+AW8*1.5+(AX8-AY8)*2+AN8*0.5+AP8*0.5+AS8-AT8</f>
        <v>5</v>
      </c>
      <c r="BA8" s="38" t="n">
        <f aca="false">AU8+AW8+AX8</f>
        <v>4</v>
      </c>
      <c r="BB8" s="38" t="n">
        <f aca="false">BE8+BG8+BI8+BK8+BM8</f>
        <v>0</v>
      </c>
      <c r="BC8" s="184" t="n">
        <f aca="false">AZ8+BD8</f>
        <v>5</v>
      </c>
      <c r="BD8" s="38" t="n">
        <f aca="false">BF8+BH8+BJ8+BL8+BN8</f>
        <v>0</v>
      </c>
      <c r="BE8" s="38" t="n">
        <f aca="false">COUNTIF(A8:AI8,"*$BTP*")</f>
        <v>0</v>
      </c>
      <c r="BF8" s="38" t="n">
        <f aca="false">BE8*1.5</f>
        <v>0</v>
      </c>
      <c r="BG8" s="38" t="n">
        <f aca="false">COUNTIF(A8:AI8,"*$M*")</f>
        <v>0</v>
      </c>
      <c r="BH8" s="38" t="n">
        <f aca="false">BG8*1</f>
        <v>0</v>
      </c>
      <c r="BI8" s="38" t="n">
        <f aca="false">COUNTIF(A8:AI8,"*$PM*")</f>
        <v>0</v>
      </c>
      <c r="BJ8" s="38" t="n">
        <f aca="false">BI8*0.5</f>
        <v>0</v>
      </c>
      <c r="BK8" s="38" t="n">
        <f aca="false">COUNTIF(A8:AI8,"*$AM*")</f>
        <v>0</v>
      </c>
      <c r="BL8" s="38" t="n">
        <f aca="false">BK8*0.5</f>
        <v>0</v>
      </c>
      <c r="BM8" s="38" t="n">
        <f aca="false">COUNTIF(A8:AI8,"*$FC*")</f>
        <v>0</v>
      </c>
      <c r="BN8" s="38" t="n">
        <f aca="false">BM8*1</f>
        <v>0</v>
      </c>
      <c r="BO8" s="38" t="n">
        <f aca="false">COUNTIF($D8:$AA8,BO$4)</f>
        <v>0</v>
      </c>
      <c r="BP8" s="38" t="n">
        <f aca="false">COUNTIF($D8:$AA8,BP$4)</f>
        <v>1</v>
      </c>
      <c r="BQ8" s="38" t="n">
        <f aca="false">COUNTIF($D8:$AA8,BQ$4)</f>
        <v>0</v>
      </c>
      <c r="BR8" s="185"/>
    </row>
    <row r="9" customFormat="false" ht="42.75" hidden="false" customHeight="true" outlineLevel="0" collapsed="false">
      <c r="A9" s="176"/>
      <c r="B9" s="195" t="s">
        <v>526</v>
      </c>
      <c r="C9" s="181"/>
      <c r="D9" s="181" t="s">
        <v>253</v>
      </c>
      <c r="E9" s="181" t="s">
        <v>58</v>
      </c>
      <c r="F9" s="188" t="s">
        <v>669</v>
      </c>
      <c r="G9" s="181" t="s">
        <v>150</v>
      </c>
      <c r="H9" s="181" t="s">
        <v>150</v>
      </c>
      <c r="I9" s="181" t="s">
        <v>671</v>
      </c>
      <c r="J9" s="181"/>
      <c r="K9" s="181"/>
      <c r="L9" s="178" t="s">
        <v>180</v>
      </c>
      <c r="M9" s="181"/>
      <c r="N9" s="181" t="s">
        <v>672</v>
      </c>
      <c r="O9" s="181" t="s">
        <v>672</v>
      </c>
      <c r="P9" s="203"/>
      <c r="Q9" s="181"/>
      <c r="R9" s="91"/>
      <c r="S9" s="181" t="s">
        <v>59</v>
      </c>
      <c r="U9" s="181"/>
      <c r="V9" s="91"/>
      <c r="W9" s="181"/>
      <c r="X9" s="181" t="s">
        <v>350</v>
      </c>
      <c r="Y9" s="92"/>
      <c r="AA9" s="181"/>
      <c r="AB9" s="91"/>
      <c r="AC9" s="91" t="s">
        <v>573</v>
      </c>
      <c r="AD9" s="181"/>
      <c r="AE9" s="181" t="s">
        <v>59</v>
      </c>
      <c r="AF9" s="181"/>
      <c r="AG9" s="181" t="s">
        <v>350</v>
      </c>
      <c r="AH9" s="32"/>
      <c r="AI9" s="182" t="n">
        <f aca="false">COUNTIF($C9:$AG9,AI$4)</f>
        <v>0</v>
      </c>
      <c r="AJ9" s="182" t="n">
        <f aca="false">COUNTIF($C9:$AG9,AJ$4)</f>
        <v>0</v>
      </c>
      <c r="AK9" s="182" t="n">
        <f aca="false">COUNTIF($C9:$AG9,AK$4)</f>
        <v>2</v>
      </c>
      <c r="AL9" s="182" t="n">
        <f aca="false">COUNTIF($C9:$AG9,AL$4)</f>
        <v>0</v>
      </c>
      <c r="AM9" s="182" t="n">
        <f aca="false">COUNTIF($C9:$AG9,AM$4)</f>
        <v>1</v>
      </c>
      <c r="AN9" s="182" t="n">
        <f aca="false">COUNTIF($C9:$AG9,AN$4)</f>
        <v>0</v>
      </c>
      <c r="AO9" s="182" t="n">
        <f aca="false">COUNTIF($C9:$AG9,AO$4)</f>
        <v>0</v>
      </c>
      <c r="AP9" s="182" t="n">
        <f aca="false">COUNTIF($C9:$AG9,AP$4)</f>
        <v>0</v>
      </c>
      <c r="AQ9" s="182" t="n">
        <f aca="false">COUNTIF($C9:$AG9,AQ$4)</f>
        <v>0</v>
      </c>
      <c r="AR9" s="38"/>
      <c r="AS9" s="184" t="n">
        <v>2</v>
      </c>
      <c r="AT9" s="184"/>
      <c r="AU9" s="38" t="n">
        <f aca="false">SUMPRODUCT(--(WEEKDAY(C$3:AG$3,2)&lt;5),--ISNUMBER(MATCH(C9:AG9,{"DM","CS1","CS2","SB1","AE","CS/B"},0)))</f>
        <v>2</v>
      </c>
      <c r="AV9" s="38"/>
      <c r="AW9" s="38" t="n">
        <f aca="false">SUMPRODUCT(--(WEEKDAY(C$3:AG$3,2)=5),--ISNUMBER(MATCH(C9:AG9,{"DM","CS1","CS2","SB1","AE","CS/B"},0)))</f>
        <v>0</v>
      </c>
      <c r="AX9" s="38" t="n">
        <f aca="false">SUMPRODUCT(--(WEEKDAY(C$3:AG$3,2)&gt;5),--ISNUMBER(MATCH(C9:AG9,{"DM","CS1","CS2","SB1","AE","CS/B"},0)))</f>
        <v>1</v>
      </c>
      <c r="AY9" s="38"/>
      <c r="AZ9" s="38" t="n">
        <f aca="false">(AU9-AV9)+AW9*1.5+(AX9-AY9)*2+AN9*0.5+AP9*0.5+AS9-AT9</f>
        <v>6</v>
      </c>
      <c r="BA9" s="38" t="n">
        <f aca="false">AU9+AW9+AX9</f>
        <v>3</v>
      </c>
      <c r="BB9" s="38" t="n">
        <f aca="false">BE9+BG9+BI9+BK9+BM9</f>
        <v>2</v>
      </c>
      <c r="BC9" s="184" t="n">
        <f aca="false">AZ9+BD9</f>
        <v>7.5</v>
      </c>
      <c r="BD9" s="38" t="n">
        <f aca="false">BF9+BH9+BJ9+BL9+BN9</f>
        <v>1.5</v>
      </c>
      <c r="BE9" s="38" t="n">
        <f aca="false">COUNTIF(A9:AI9,"*$BTP*")</f>
        <v>0</v>
      </c>
      <c r="BF9" s="38" t="n">
        <f aca="false">BE9*1.5</f>
        <v>0</v>
      </c>
      <c r="BG9" s="38" t="n">
        <f aca="false">COUNTIF(A9:AI9,"*$M*")</f>
        <v>1</v>
      </c>
      <c r="BH9" s="38" t="n">
        <f aca="false">BG9*1</f>
        <v>1</v>
      </c>
      <c r="BI9" s="38" t="n">
        <f aca="false">COUNTIF(A9:AI9,"*$PM*")</f>
        <v>0</v>
      </c>
      <c r="BJ9" s="38" t="n">
        <f aca="false">BI9*0.5</f>
        <v>0</v>
      </c>
      <c r="BK9" s="38" t="n">
        <f aca="false">COUNTIF(A9:AI9,"*$AM*")</f>
        <v>1</v>
      </c>
      <c r="BL9" s="38" t="n">
        <f aca="false">BK9*0.5</f>
        <v>0.5</v>
      </c>
      <c r="BM9" s="38" t="n">
        <f aca="false">COUNTIF(A9:AI9,"*$FC*")</f>
        <v>0</v>
      </c>
      <c r="BN9" s="38" t="n">
        <f aca="false">BM9*1</f>
        <v>0</v>
      </c>
      <c r="BO9" s="38" t="n">
        <f aca="false">COUNTIF($D9:$AA9,BO$4)</f>
        <v>0</v>
      </c>
      <c r="BP9" s="38" t="n">
        <f aca="false">COUNTIF($D9:$AA9,BP$4)</f>
        <v>1</v>
      </c>
      <c r="BQ9" s="38" t="n">
        <f aca="false">COUNTIF($D9:$AA9,BQ$4)</f>
        <v>0</v>
      </c>
      <c r="BR9" s="185"/>
    </row>
    <row r="10" customFormat="false" ht="19.5" hidden="false" customHeight="true" outlineLevel="0" collapsed="false">
      <c r="A10" s="176"/>
      <c r="B10" s="195" t="s">
        <v>574</v>
      </c>
      <c r="C10" s="188" t="s">
        <v>57</v>
      </c>
      <c r="D10" s="188" t="s">
        <v>350</v>
      </c>
      <c r="E10" s="91"/>
      <c r="F10" s="188" t="s">
        <v>673</v>
      </c>
      <c r="G10" s="181"/>
      <c r="H10" s="46" t="s">
        <v>57</v>
      </c>
      <c r="I10" s="91"/>
      <c r="J10" s="181"/>
      <c r="K10" s="181"/>
      <c r="L10" s="188"/>
      <c r="M10" s="181" t="s">
        <v>93</v>
      </c>
      <c r="N10" s="91" t="s">
        <v>59</v>
      </c>
      <c r="O10" s="188"/>
      <c r="P10" s="188" t="s">
        <v>56</v>
      </c>
      <c r="Q10" s="188"/>
      <c r="S10" s="188"/>
      <c r="T10" s="181"/>
      <c r="U10" s="188"/>
      <c r="V10" s="188"/>
      <c r="W10" s="188" t="s">
        <v>56</v>
      </c>
      <c r="X10" s="188"/>
      <c r="Y10" s="91" t="s">
        <v>93</v>
      </c>
      <c r="Z10" s="188"/>
      <c r="AA10" s="188" t="s">
        <v>57</v>
      </c>
      <c r="AB10" s="188"/>
      <c r="AC10" s="188" t="s">
        <v>54</v>
      </c>
      <c r="AD10" s="188" t="s">
        <v>54</v>
      </c>
      <c r="AE10" s="188" t="s">
        <v>54</v>
      </c>
      <c r="AF10" s="188" t="s">
        <v>54</v>
      </c>
      <c r="AG10" s="188" t="s">
        <v>93</v>
      </c>
      <c r="AH10" s="32"/>
      <c r="AI10" s="182" t="n">
        <f aca="false">COUNTIF($C10:$AG10,AI$4)</f>
        <v>3</v>
      </c>
      <c r="AJ10" s="182" t="n">
        <f aca="false">COUNTIF($C10:$AG10,AJ$4)</f>
        <v>2</v>
      </c>
      <c r="AK10" s="182" t="n">
        <f aca="false">COUNTIF($C10:$AG10,AK$4)</f>
        <v>1</v>
      </c>
      <c r="AL10" s="182" t="n">
        <f aca="false">COUNTIF($C10:$AG10,AL$4)</f>
        <v>0</v>
      </c>
      <c r="AM10" s="182" t="n">
        <f aca="false">COUNTIF($C10:$AG10,AM$4)</f>
        <v>0</v>
      </c>
      <c r="AN10" s="182" t="n">
        <f aca="false">COUNTIF($C10:$AG10,AN$4)</f>
        <v>3</v>
      </c>
      <c r="AO10" s="182" t="n">
        <f aca="false">COUNTIF($C10:$AG10,AO$4)</f>
        <v>0</v>
      </c>
      <c r="AP10" s="182" t="n">
        <f aca="false">COUNTIF($C10:$AG10,AP$4)</f>
        <v>0</v>
      </c>
      <c r="AQ10" s="182" t="n">
        <f aca="false">COUNTIF($C10:$AG10,AQ$4)</f>
        <v>0</v>
      </c>
      <c r="AR10" s="38"/>
      <c r="AS10" s="184"/>
      <c r="AT10" s="184" t="n">
        <v>8</v>
      </c>
      <c r="AU10" s="38" t="n">
        <f aca="false">SUMPRODUCT(--(WEEKDAY(C$3:AG$3,2)&lt;5),--ISNUMBER(MATCH(C10:AG10,{"DM","CS1","CS2","SB1","AE","CS/B"},0)))</f>
        <v>2</v>
      </c>
      <c r="AV10" s="38"/>
      <c r="AW10" s="38" t="n">
        <f aca="false">SUMPRODUCT(--(WEEKDAY(C$3:AG$3,2)=5),--ISNUMBER(MATCH(C10:AG10,{"DM","CS1","CS2","SB1","AE","CS/B"},0)))</f>
        <v>1</v>
      </c>
      <c r="AX10" s="38" t="n">
        <f aca="false">SUMPRODUCT(--(WEEKDAY(C$3:AG$3,2)&gt;5),--ISNUMBER(MATCH(C10:AG10,{"DM","CS1","CS2","SB1","AE","CS/B"},0)))</f>
        <v>3</v>
      </c>
      <c r="AY10" s="38"/>
      <c r="AZ10" s="38" t="n">
        <f aca="false">(AU10-AV10)+AW10*1.5+(AX10-AY10)*2+AN10*0.5+AP10*0.5+AS10-AT10</f>
        <v>3</v>
      </c>
      <c r="BA10" s="38" t="n">
        <f aca="false">AU10+AW10+AX10</f>
        <v>6</v>
      </c>
      <c r="BB10" s="38" t="n">
        <f aca="false">BE10+BG10+BI10+BK10+BM10</f>
        <v>1</v>
      </c>
      <c r="BC10" s="184" t="n">
        <f aca="false">AZ10+BD10</f>
        <v>3.5</v>
      </c>
      <c r="BD10" s="38" t="n">
        <f aca="false">BF10+BH10+BJ10+BL10+BN10</f>
        <v>0.5</v>
      </c>
      <c r="BE10" s="38" t="n">
        <f aca="false">COUNTIF(A10:AI10,"*$BTP*")</f>
        <v>0</v>
      </c>
      <c r="BF10" s="38" t="n">
        <f aca="false">BE10*1.5</f>
        <v>0</v>
      </c>
      <c r="BG10" s="38" t="n">
        <f aca="false">COUNTIF(A10:AI10,"*$M*")</f>
        <v>0</v>
      </c>
      <c r="BH10" s="38" t="n">
        <f aca="false">BG10*1</f>
        <v>0</v>
      </c>
      <c r="BI10" s="38" t="n">
        <f aca="false">COUNTIF(A10:AI10,"*$PM*")</f>
        <v>0</v>
      </c>
      <c r="BJ10" s="38" t="n">
        <f aca="false">BI10*0.5</f>
        <v>0</v>
      </c>
      <c r="BK10" s="38" t="n">
        <f aca="false">COUNTIF(A10:AI10,"*$AM*")</f>
        <v>1</v>
      </c>
      <c r="BL10" s="38" t="n">
        <f aca="false">BK10*0.5</f>
        <v>0.5</v>
      </c>
      <c r="BM10" s="38" t="n">
        <f aca="false">COUNTIF(A10:AI10,"*$FC*")</f>
        <v>0</v>
      </c>
      <c r="BN10" s="38" t="n">
        <f aca="false">BM10*1</f>
        <v>0</v>
      </c>
      <c r="BO10" s="38" t="n">
        <f aca="false">COUNTIF($D10:$AA10,BO$4)</f>
        <v>0</v>
      </c>
      <c r="BP10" s="38" t="n">
        <f aca="false">COUNTIF($D10:$AA10,BP$4)</f>
        <v>1</v>
      </c>
      <c r="BQ10" s="38" t="n">
        <f aca="false">COUNTIF($D10:$AA10,BQ$4)</f>
        <v>0</v>
      </c>
      <c r="BR10" s="185"/>
    </row>
    <row r="11" customFormat="false" ht="19.5" hidden="false" customHeight="true" outlineLevel="0" collapsed="false">
      <c r="A11" s="176"/>
      <c r="B11" s="197" t="s">
        <v>575</v>
      </c>
      <c r="C11" s="181"/>
      <c r="D11" s="181"/>
      <c r="E11" s="181" t="s">
        <v>59</v>
      </c>
      <c r="G11" s="92" t="s">
        <v>150</v>
      </c>
      <c r="H11" s="92" t="s">
        <v>150</v>
      </c>
      <c r="I11" s="46" t="s">
        <v>671</v>
      </c>
      <c r="J11" s="181"/>
      <c r="K11" s="181"/>
      <c r="L11" s="181" t="s">
        <v>59</v>
      </c>
      <c r="M11" s="181"/>
      <c r="O11" s="91"/>
      <c r="P11" s="181" t="s">
        <v>350</v>
      </c>
      <c r="Q11" s="181"/>
      <c r="R11" s="181" t="s">
        <v>93</v>
      </c>
      <c r="T11" s="181"/>
      <c r="U11" s="188" t="s">
        <v>56</v>
      </c>
      <c r="V11" s="181" t="s">
        <v>350</v>
      </c>
      <c r="W11" s="181"/>
      <c r="X11" s="181" t="s">
        <v>59</v>
      </c>
      <c r="Y11" s="181"/>
      <c r="Z11" s="181"/>
      <c r="AA11" s="181"/>
      <c r="AB11" s="181"/>
      <c r="AC11" s="181" t="s">
        <v>54</v>
      </c>
      <c r="AD11" s="181" t="s">
        <v>54</v>
      </c>
      <c r="AE11" s="181" t="s">
        <v>54</v>
      </c>
      <c r="AF11" s="181" t="s">
        <v>54</v>
      </c>
      <c r="AG11" s="181"/>
      <c r="AH11" s="32"/>
      <c r="AI11" s="182" t="n">
        <f aca="false">COUNTIF($C11:$AG11,AI$4)</f>
        <v>0</v>
      </c>
      <c r="AJ11" s="182" t="n">
        <f aca="false">COUNTIF($C11:$AG11,AJ$4)</f>
        <v>1</v>
      </c>
      <c r="AK11" s="182" t="n">
        <f aca="false">COUNTIF($C11:$AG11,AK$4)</f>
        <v>3</v>
      </c>
      <c r="AL11" s="182" t="n">
        <f aca="false">COUNTIF($C11:$AG11,AL$4)</f>
        <v>0</v>
      </c>
      <c r="AM11" s="182" t="n">
        <f aca="false">COUNTIF($C11:$AG11,AM$4)</f>
        <v>0</v>
      </c>
      <c r="AN11" s="182" t="n">
        <f aca="false">COUNTIF($C11:$AG11,AN$4)</f>
        <v>1</v>
      </c>
      <c r="AO11" s="182" t="n">
        <f aca="false">COUNTIF($C11:$AG11,AO$4)</f>
        <v>0</v>
      </c>
      <c r="AP11" s="182" t="n">
        <f aca="false">COUNTIF($C11:$AG11,AP$4)</f>
        <v>0</v>
      </c>
      <c r="AQ11" s="182" t="n">
        <f aca="false">COUNTIF($C11:$AG11,AQ$4)</f>
        <v>0</v>
      </c>
      <c r="AR11" s="38"/>
      <c r="AS11" s="184" t="n">
        <v>0.5</v>
      </c>
      <c r="AT11" s="184"/>
      <c r="AU11" s="38" t="n">
        <f aca="false">SUMPRODUCT(--(WEEKDAY(C$3:AG$3,2)&lt;5),--ISNUMBER(MATCH(C11:AG11,{"DM","CS1","CS2","SB1","AE","CS/B"},0)))</f>
        <v>3</v>
      </c>
      <c r="AV11" s="38"/>
      <c r="AW11" s="38" t="n">
        <f aca="false">SUMPRODUCT(--(WEEKDAY(C$3:AG$3,2)=5),--ISNUMBER(MATCH(C11:AG11,{"DM","CS1","CS2","SB1","AE","CS/B"},0)))</f>
        <v>0</v>
      </c>
      <c r="AX11" s="38" t="n">
        <f aca="false">SUMPRODUCT(--(WEEKDAY(C$3:AG$3,2)&gt;5),--ISNUMBER(MATCH(C11:AG11,{"DM","CS1","CS2","SB1","AE","CS/B"},0)))</f>
        <v>1</v>
      </c>
      <c r="AY11" s="38"/>
      <c r="AZ11" s="38" t="n">
        <f aca="false">(AU11-AV11)+AW11*1.5+(AX11-AY11)*2+AN11*0.5+AP11*0.5+AS11-AT11</f>
        <v>6</v>
      </c>
      <c r="BA11" s="38" t="n">
        <f aca="false">AU11+AW11+AX11</f>
        <v>4</v>
      </c>
      <c r="BB11" s="38" t="n">
        <f aca="false">BE11+BG11+BI11+BK11+BM11</f>
        <v>1</v>
      </c>
      <c r="BC11" s="184" t="n">
        <f aca="false">AZ11+BD11</f>
        <v>7</v>
      </c>
      <c r="BD11" s="38" t="n">
        <f aca="false">BF11+BH11+BJ11+BL11+BN11</f>
        <v>1</v>
      </c>
      <c r="BE11" s="38" t="n">
        <f aca="false">COUNTIF(A11:AI11,"*$BTP*")</f>
        <v>0</v>
      </c>
      <c r="BF11" s="38" t="n">
        <f aca="false">BE11*1.5</f>
        <v>0</v>
      </c>
      <c r="BG11" s="38" t="n">
        <f aca="false">COUNTIF(A11:AI11,"*$M*")</f>
        <v>1</v>
      </c>
      <c r="BH11" s="38" t="n">
        <f aca="false">BG11*1</f>
        <v>1</v>
      </c>
      <c r="BI11" s="38" t="n">
        <f aca="false">COUNTIF(A11:AI11,"*$PM*")</f>
        <v>0</v>
      </c>
      <c r="BJ11" s="38" t="n">
        <f aca="false">BI11*0.5</f>
        <v>0</v>
      </c>
      <c r="BK11" s="38" t="n">
        <f aca="false">COUNTIF(A11:AI11,"*$AM*")</f>
        <v>0</v>
      </c>
      <c r="BL11" s="38" t="n">
        <f aca="false">BK11*0.5</f>
        <v>0</v>
      </c>
      <c r="BM11" s="38" t="n">
        <f aca="false">COUNTIF(A11:AI11,"*$FC*")</f>
        <v>0</v>
      </c>
      <c r="BN11" s="38" t="n">
        <f aca="false">BM11*1</f>
        <v>0</v>
      </c>
      <c r="BO11" s="38" t="n">
        <f aca="false">COUNTIF($D11:$AA11,BO$4)</f>
        <v>0</v>
      </c>
      <c r="BP11" s="38" t="n">
        <f aca="false">COUNTIF($D11:$AA11,BP$4)</f>
        <v>2</v>
      </c>
      <c r="BQ11" s="38" t="n">
        <f aca="false">COUNTIF($D11:$AA11,BQ$4)</f>
        <v>0</v>
      </c>
      <c r="BR11" s="185"/>
    </row>
    <row r="12" customFormat="false" ht="46.5" hidden="true" customHeight="true" outlineLevel="0" collapsed="false">
      <c r="A12" s="176"/>
      <c r="B12" s="197" t="s">
        <v>475</v>
      </c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32"/>
      <c r="AI12" s="182" t="n">
        <f aca="false">COUNTIF($C12:$AG12,AI$4)</f>
        <v>0</v>
      </c>
      <c r="AJ12" s="182" t="n">
        <f aca="false">COUNTIF($C12:$AG12,AJ$4)</f>
        <v>0</v>
      </c>
      <c r="AK12" s="182" t="n">
        <f aca="false">COUNTIF($C12:$AG12,AK$4)</f>
        <v>0</v>
      </c>
      <c r="AL12" s="182" t="n">
        <f aca="false">COUNTIF($C12:$AG12,AL$4)</f>
        <v>0</v>
      </c>
      <c r="AM12" s="182" t="n">
        <f aca="false">COUNTIF($C12:$AG12,AM$4)</f>
        <v>0</v>
      </c>
      <c r="AN12" s="182" t="n">
        <f aca="false">COUNTIF($C12:$AG12,AN$4)</f>
        <v>0</v>
      </c>
      <c r="AO12" s="182" t="n">
        <f aca="false">COUNTIF($C12:$AG12,AO$4)</f>
        <v>0</v>
      </c>
      <c r="AP12" s="182" t="n">
        <f aca="false">COUNTIF($C12:$AG12,AP$4)</f>
        <v>0</v>
      </c>
      <c r="AQ12" s="182" t="n">
        <f aca="false">COUNTIF($C12:$AG12,AQ$4)</f>
        <v>0</v>
      </c>
      <c r="AR12" s="38"/>
      <c r="AS12" s="184"/>
      <c r="AT12" s="184"/>
      <c r="AU12" s="38" t="n">
        <f aca="false">SUMPRODUCT(--(WEEKDAY(C$3:AG$3,2)&lt;5),--ISNUMBER(MATCH(C12:AG12,{"DM","CS1","CS2","SB1","AE","CS/B"},0)))</f>
        <v>0</v>
      </c>
      <c r="AV12" s="38"/>
      <c r="AW12" s="38" t="n">
        <f aca="false">SUMPRODUCT(--(WEEKDAY(C$3:AG$3,2)=5),--ISNUMBER(MATCH(C12:AG12,{"DM","CS1","CS2","SB1","AE","CS/B"},0)))</f>
        <v>0</v>
      </c>
      <c r="AX12" s="38" t="n">
        <f aca="false">SUMPRODUCT(--(WEEKDAY(C$3:AG$3,2)&gt;5),--ISNUMBER(MATCH(C12:AG12,{"DM","CS1","CS2","SB1","AE","CS/B"},0)))</f>
        <v>0</v>
      </c>
      <c r="AY12" s="38"/>
      <c r="AZ12" s="38" t="n">
        <f aca="false">(AU12-AV12)+AW12*1.5+(AX12-AY12)*2+AN12*0.5+AP12*0.5+AS12-AT12</f>
        <v>0</v>
      </c>
      <c r="BA12" s="38" t="n">
        <f aca="false">AU12+AW12+AX12</f>
        <v>0</v>
      </c>
      <c r="BB12" s="38" t="n">
        <f aca="false">BE12+BG12+BI12+BK12+BM12</f>
        <v>0</v>
      </c>
      <c r="BC12" s="184" t="n">
        <f aca="false">AZ12+BD12</f>
        <v>0</v>
      </c>
      <c r="BD12" s="38" t="n">
        <f aca="false">BF12+BH12+BJ12+BL12+BN12</f>
        <v>0</v>
      </c>
      <c r="BE12" s="38" t="n">
        <f aca="false">COUNTIF(A12:AI12,"*$BTP*")</f>
        <v>0</v>
      </c>
      <c r="BF12" s="38" t="n">
        <f aca="false">BE12*1.5</f>
        <v>0</v>
      </c>
      <c r="BG12" s="38" t="n">
        <f aca="false">COUNTIF(A12:AI12,"*$M*")</f>
        <v>0</v>
      </c>
      <c r="BH12" s="38" t="n">
        <f aca="false">BG12*1</f>
        <v>0</v>
      </c>
      <c r="BI12" s="38" t="n">
        <f aca="false">COUNTIF(A12:AI12,"*$PM*")</f>
        <v>0</v>
      </c>
      <c r="BJ12" s="38" t="n">
        <f aca="false">BI12*0.5</f>
        <v>0</v>
      </c>
      <c r="BK12" s="38" t="n">
        <f aca="false">COUNTIF(A12:AI12,"*$AM*")</f>
        <v>0</v>
      </c>
      <c r="BL12" s="38" t="n">
        <f aca="false">BK12*0.5</f>
        <v>0</v>
      </c>
      <c r="BM12" s="38" t="n">
        <f aca="false">COUNTIF(A12:AI12,"*$FC*")</f>
        <v>0</v>
      </c>
      <c r="BN12" s="38" t="n">
        <f aca="false">BM12*1</f>
        <v>0</v>
      </c>
      <c r="BO12" s="38" t="n">
        <f aca="false">COUNTIF($D12:$AA12,BO$4)</f>
        <v>0</v>
      </c>
      <c r="BP12" s="38" t="n">
        <f aca="false">COUNTIF($D12:$AA12,BP$4)</f>
        <v>0</v>
      </c>
      <c r="BQ12" s="38" t="n">
        <f aca="false">COUNTIF($D12:$AA12,BQ$4)</f>
        <v>0</v>
      </c>
      <c r="BR12" s="185"/>
    </row>
    <row r="13" customFormat="false" ht="19.5" hidden="false" customHeight="true" outlineLevel="0" collapsed="false">
      <c r="A13" s="176"/>
      <c r="B13" s="197" t="s">
        <v>674</v>
      </c>
      <c r="C13" s="181"/>
      <c r="D13" s="181" t="s">
        <v>253</v>
      </c>
      <c r="E13" s="181"/>
      <c r="F13" s="188" t="s">
        <v>93</v>
      </c>
      <c r="G13" s="188" t="s">
        <v>56</v>
      </c>
      <c r="H13" s="181"/>
      <c r="I13" s="181"/>
      <c r="J13" s="181" t="s">
        <v>350</v>
      </c>
      <c r="K13" s="181" t="s">
        <v>93</v>
      </c>
      <c r="L13" s="92"/>
      <c r="M13" s="181"/>
      <c r="N13" s="181"/>
      <c r="O13" s="181" t="s">
        <v>56</v>
      </c>
      <c r="P13" s="181"/>
      <c r="Q13" s="181"/>
      <c r="R13" s="181"/>
      <c r="S13" s="181" t="s">
        <v>56</v>
      </c>
      <c r="U13" s="181"/>
      <c r="V13" s="181"/>
      <c r="W13" s="181" t="s">
        <v>350</v>
      </c>
      <c r="X13" s="181"/>
      <c r="Y13" s="181"/>
      <c r="AA13" s="181" t="s">
        <v>675</v>
      </c>
      <c r="AB13" s="181" t="s">
        <v>675</v>
      </c>
      <c r="AC13" s="181" t="s">
        <v>675</v>
      </c>
      <c r="AD13" s="181" t="s">
        <v>59</v>
      </c>
      <c r="AE13" s="181"/>
      <c r="AF13" s="181" t="s">
        <v>675</v>
      </c>
      <c r="AG13" s="181" t="s">
        <v>675</v>
      </c>
      <c r="AH13" s="32"/>
      <c r="AI13" s="182" t="n">
        <f aca="false">COUNTIF($C13:$AG13,AI$4)</f>
        <v>0</v>
      </c>
      <c r="AJ13" s="182" t="n">
        <f aca="false">COUNTIF($C13:$AG13,AJ$4)</f>
        <v>3</v>
      </c>
      <c r="AK13" s="182" t="n">
        <f aca="false">COUNTIF($C13:$AG13,AK$4)</f>
        <v>1</v>
      </c>
      <c r="AL13" s="182" t="n">
        <f aca="false">COUNTIF($C13:$AG13,AL$4)</f>
        <v>0</v>
      </c>
      <c r="AM13" s="182" t="n">
        <f aca="false">COUNTIF($C13:$AG13,AM$4)</f>
        <v>0</v>
      </c>
      <c r="AN13" s="182" t="n">
        <f aca="false">COUNTIF($C13:$AG13,AN$4)</f>
        <v>2</v>
      </c>
      <c r="AO13" s="182" t="n">
        <f aca="false">COUNTIF($C13:$AG13,AO$4)</f>
        <v>0</v>
      </c>
      <c r="AP13" s="182" t="n">
        <f aca="false">COUNTIF($C13:$AG13,AP$4)</f>
        <v>0</v>
      </c>
      <c r="AQ13" s="182" t="n">
        <f aca="false">COUNTIF($C13:$AG13,AQ$4)</f>
        <v>0</v>
      </c>
      <c r="AR13" s="38"/>
      <c r="AS13" s="184" t="n">
        <v>1</v>
      </c>
      <c r="AT13" s="184"/>
      <c r="AU13" s="38" t="n">
        <f aca="false">SUMPRODUCT(--(WEEKDAY(C$3:AG$3,2)&lt;5),--ISNUMBER(MATCH(C13:AG13,{"DM","CS1","CS2","SB1","AE","CS/B"},0)))</f>
        <v>2</v>
      </c>
      <c r="AV13" s="38"/>
      <c r="AW13" s="38" t="n">
        <f aca="false">SUMPRODUCT(--(WEEKDAY(C$3:AG$3,2)=5),--ISNUMBER(MATCH(C13:AG13,{"DM","CS1","CS2","SB1","AE","CS/B"},0)))</f>
        <v>1</v>
      </c>
      <c r="AX13" s="38" t="n">
        <f aca="false">SUMPRODUCT(--(WEEKDAY(C$3:AG$3,2)&gt;5),--ISNUMBER(MATCH(C13:AG13,{"DM","CS1","CS2","SB1","AE","CS/B"},0)))</f>
        <v>1</v>
      </c>
      <c r="AY13" s="38"/>
      <c r="AZ13" s="38" t="n">
        <f aca="false">(AU13-AV13)+AW13*1.5+(AX13-AY13)*2+AN13*0.5+AP13*0.5+AS13-AT13</f>
        <v>7.5</v>
      </c>
      <c r="BA13" s="38" t="n">
        <f aca="false">AU13+AW13+AX13</f>
        <v>4</v>
      </c>
      <c r="BB13" s="38" t="n">
        <f aca="false">BE13+BG13+BI13+BK13+BM13</f>
        <v>0</v>
      </c>
      <c r="BC13" s="184" t="n">
        <f aca="false">AZ13+BD13</f>
        <v>7.5</v>
      </c>
      <c r="BD13" s="38" t="n">
        <f aca="false">BF13+BH13+BJ13+BL13+BN13</f>
        <v>0</v>
      </c>
      <c r="BE13" s="38" t="n">
        <f aca="false">COUNTIF(A13:AI13,"*$BTP*")</f>
        <v>0</v>
      </c>
      <c r="BF13" s="38" t="n">
        <f aca="false">BE13*1.5</f>
        <v>0</v>
      </c>
      <c r="BG13" s="38" t="n">
        <f aca="false">COUNTIF(A13:AI13,"*$M*")</f>
        <v>0</v>
      </c>
      <c r="BH13" s="38" t="n">
        <f aca="false">BG13*1</f>
        <v>0</v>
      </c>
      <c r="BI13" s="38" t="n">
        <f aca="false">COUNTIF(A13:AI13,"*$PM*")</f>
        <v>0</v>
      </c>
      <c r="BJ13" s="38" t="n">
        <f aca="false">BI13*0.5</f>
        <v>0</v>
      </c>
      <c r="BK13" s="38" t="n">
        <f aca="false">COUNTIF(A13:AI13,"*$AM*")</f>
        <v>0</v>
      </c>
      <c r="BL13" s="38" t="n">
        <f aca="false">BK13*0.5</f>
        <v>0</v>
      </c>
      <c r="BM13" s="38" t="n">
        <f aca="false">COUNTIF(A13:AI13,"*$FC*")</f>
        <v>0</v>
      </c>
      <c r="BN13" s="38" t="n">
        <f aca="false">BM13*1</f>
        <v>0</v>
      </c>
      <c r="BO13" s="38" t="n">
        <f aca="false">COUNTIF($D13:$AA13,BO$4)</f>
        <v>0</v>
      </c>
      <c r="BP13" s="38" t="n">
        <f aca="false">COUNTIF($D13:$AA13,BP$4)</f>
        <v>2</v>
      </c>
      <c r="BQ13" s="38" t="n">
        <f aca="false">COUNTIF($D13:$AA13,BQ$4)</f>
        <v>0</v>
      </c>
      <c r="BR13" s="185"/>
    </row>
    <row r="14" customFormat="false" ht="51" hidden="false" customHeight="true" outlineLevel="0" collapsed="false">
      <c r="A14" s="176"/>
      <c r="B14" s="195" t="s">
        <v>584</v>
      </c>
      <c r="C14" s="188"/>
      <c r="D14" s="188" t="s">
        <v>93</v>
      </c>
      <c r="E14" s="188"/>
      <c r="H14" s="188" t="s">
        <v>59</v>
      </c>
      <c r="I14" s="188"/>
      <c r="J14" s="91"/>
      <c r="K14" s="188" t="s">
        <v>350</v>
      </c>
      <c r="L14" s="188"/>
      <c r="M14" s="188" t="s">
        <v>56</v>
      </c>
      <c r="N14" s="188"/>
      <c r="O14" s="188"/>
      <c r="P14" s="188" t="s">
        <v>59</v>
      </c>
      <c r="Q14" s="188"/>
      <c r="R14" s="187"/>
      <c r="S14" s="187"/>
      <c r="T14" s="187"/>
      <c r="U14" s="187"/>
      <c r="V14" s="188" t="s">
        <v>93</v>
      </c>
      <c r="W14" s="188"/>
      <c r="X14" s="187"/>
      <c r="Y14" s="187"/>
      <c r="AA14" s="188" t="s">
        <v>59</v>
      </c>
      <c r="AB14" s="188"/>
      <c r="AC14" s="46" t="s">
        <v>676</v>
      </c>
      <c r="AD14" s="187"/>
      <c r="AE14" s="188" t="s">
        <v>350</v>
      </c>
      <c r="AF14" s="188"/>
      <c r="AG14" s="187"/>
      <c r="AH14" s="32"/>
      <c r="AI14" s="182" t="n">
        <f aca="false">COUNTIF($C14:$AG14,AI$4)</f>
        <v>0</v>
      </c>
      <c r="AJ14" s="182" t="n">
        <f aca="false">COUNTIF($C14:$AG14,AJ$4)</f>
        <v>1</v>
      </c>
      <c r="AK14" s="182" t="n">
        <f aca="false">COUNTIF($C14:$AG14,AK$4)</f>
        <v>3</v>
      </c>
      <c r="AL14" s="182" t="n">
        <f aca="false">COUNTIF($C14:$AG14,AL$4)</f>
        <v>0</v>
      </c>
      <c r="AM14" s="182" t="n">
        <f aca="false">COUNTIF($C14:$AG14,AM$4)</f>
        <v>0</v>
      </c>
      <c r="AN14" s="182" t="n">
        <f aca="false">COUNTIF($C14:$AG14,AN$4)</f>
        <v>2</v>
      </c>
      <c r="AO14" s="182" t="n">
        <f aca="false">COUNTIF($C14:$AG14,AO$4)</f>
        <v>0</v>
      </c>
      <c r="AP14" s="182" t="n">
        <f aca="false">COUNTIF($C14:$AG14,AP$4)</f>
        <v>0</v>
      </c>
      <c r="AQ14" s="182" t="n">
        <f aca="false">COUNTIF($C14:$AG14,AQ$4)</f>
        <v>0</v>
      </c>
      <c r="AR14" s="38"/>
      <c r="AS14" s="184"/>
      <c r="AT14" s="184" t="n">
        <v>0.5</v>
      </c>
      <c r="AU14" s="38" t="n">
        <f aca="false">SUMPRODUCT(--(WEEKDAY(C$3:AG$3,2)&lt;5),--ISNUMBER(MATCH(C14:AG14,{"DM","CS1","CS2","SB1","AE","CS/B"},0)))</f>
        <v>2</v>
      </c>
      <c r="AV14" s="38"/>
      <c r="AW14" s="38" t="n">
        <f aca="false">SUMPRODUCT(--(WEEKDAY(C$3:AG$3,2)=5),--ISNUMBER(MATCH(C14:AG14,{"DM","CS1","CS2","SB1","AE","CS/B"},0)))</f>
        <v>1</v>
      </c>
      <c r="AX14" s="38" t="n">
        <f aca="false">SUMPRODUCT(--(WEEKDAY(C$3:AG$3,2)&gt;5),--ISNUMBER(MATCH(C14:AG14,{"DM","CS1","CS2","SB1","AE","CS/B"},0)))</f>
        <v>1</v>
      </c>
      <c r="AY14" s="38"/>
      <c r="AZ14" s="38" t="n">
        <f aca="false">(AU14-AV14)+AW14*1.5+(AX14-AY14)*2+AN14*0.5+AP14*0.5+AS14-AT14</f>
        <v>6</v>
      </c>
      <c r="BA14" s="38" t="n">
        <f aca="false">AU14+AW14+AX14</f>
        <v>4</v>
      </c>
      <c r="BB14" s="38" t="n">
        <f aca="false">BE14+BG14+BI14+BK14+BM14</f>
        <v>0</v>
      </c>
      <c r="BC14" s="184" t="n">
        <f aca="false">AZ14+BD14</f>
        <v>6</v>
      </c>
      <c r="BD14" s="38" t="n">
        <f aca="false">BF14+BH14+BJ14+BL14+BN14</f>
        <v>0</v>
      </c>
      <c r="BE14" s="38" t="n">
        <f aca="false">COUNTIF(A14:AI14,"*$BTP*")</f>
        <v>0</v>
      </c>
      <c r="BF14" s="38" t="n">
        <f aca="false">BE14*1.5</f>
        <v>0</v>
      </c>
      <c r="BG14" s="38" t="n">
        <f aca="false">COUNTIF(A14:AI14,"*$M*")</f>
        <v>0</v>
      </c>
      <c r="BH14" s="38" t="n">
        <f aca="false">BG14*1</f>
        <v>0</v>
      </c>
      <c r="BI14" s="38" t="n">
        <f aca="false">COUNTIF(A14:AI14,"*$PM*")</f>
        <v>0</v>
      </c>
      <c r="BJ14" s="38" t="n">
        <f aca="false">BI14*0.5</f>
        <v>0</v>
      </c>
      <c r="BK14" s="38" t="n">
        <f aca="false">COUNTIF(A14:AI14,"*$AM*")</f>
        <v>0</v>
      </c>
      <c r="BL14" s="38" t="n">
        <f aca="false">BK14*0.5</f>
        <v>0</v>
      </c>
      <c r="BM14" s="38" t="n">
        <f aca="false">COUNTIF(A14:AI14,"*$FC*")</f>
        <v>0</v>
      </c>
      <c r="BN14" s="38" t="n">
        <f aca="false">BM14*1</f>
        <v>0</v>
      </c>
      <c r="BO14" s="38" t="n">
        <f aca="false">COUNTIF($D14:$AA14,BO$4)</f>
        <v>0</v>
      </c>
      <c r="BP14" s="38" t="n">
        <f aca="false">COUNTIF($D14:$AA14,BP$4)</f>
        <v>1</v>
      </c>
      <c r="BQ14" s="38" t="n">
        <f aca="false">COUNTIF($D14:$AA14,BQ$4)</f>
        <v>0</v>
      </c>
      <c r="BR14" s="185"/>
    </row>
    <row r="15" customFormat="false" ht="45" hidden="false" customHeight="true" outlineLevel="0" collapsed="false">
      <c r="A15" s="176"/>
      <c r="B15" s="195" t="s">
        <v>585</v>
      </c>
      <c r="C15" s="181"/>
      <c r="D15" s="181"/>
      <c r="E15" s="181"/>
      <c r="F15" s="181" t="s">
        <v>677</v>
      </c>
      <c r="G15" s="181" t="s">
        <v>678</v>
      </c>
      <c r="H15" s="181"/>
      <c r="I15" s="199"/>
      <c r="J15" s="188"/>
      <c r="K15" s="181"/>
      <c r="L15" s="181" t="s">
        <v>56</v>
      </c>
      <c r="M15" s="181"/>
      <c r="N15" s="181"/>
      <c r="O15" s="199" t="s">
        <v>253</v>
      </c>
      <c r="P15" s="181"/>
      <c r="Q15" s="181" t="s">
        <v>56</v>
      </c>
      <c r="R15" s="181"/>
      <c r="T15" s="181"/>
      <c r="U15" s="181"/>
      <c r="V15" s="181" t="s">
        <v>59</v>
      </c>
      <c r="W15" s="181"/>
      <c r="X15" s="181"/>
      <c r="Y15" s="199" t="s">
        <v>261</v>
      </c>
      <c r="Z15" s="181" t="s">
        <v>679</v>
      </c>
      <c r="AA15" s="188" t="s">
        <v>65</v>
      </c>
      <c r="AB15" s="181"/>
      <c r="AD15" s="181"/>
      <c r="AE15" s="181"/>
      <c r="AF15" s="181" t="s">
        <v>354</v>
      </c>
      <c r="AH15" s="32"/>
      <c r="AI15" s="182" t="n">
        <f aca="false">COUNTIF($C15:$AF15,AI$4)</f>
        <v>0</v>
      </c>
      <c r="AJ15" s="182" t="n">
        <f aca="false">COUNTIF($C15:$AF15,AJ$4)</f>
        <v>2</v>
      </c>
      <c r="AK15" s="182" t="n">
        <f aca="false">COUNTIF($C15:$AF15,AK$4)</f>
        <v>1</v>
      </c>
      <c r="AL15" s="182" t="n">
        <f aca="false">COUNTIF($C15:$AF15,AL$4)</f>
        <v>0</v>
      </c>
      <c r="AM15" s="182" t="n">
        <f aca="false">COUNTIF($C15:$AF15,AM$4)</f>
        <v>0</v>
      </c>
      <c r="AN15" s="182" t="n">
        <f aca="false">COUNTIF($C15:$AF15,AN$4)</f>
        <v>0</v>
      </c>
      <c r="AO15" s="182" t="n">
        <f aca="false">COUNTIF($C15:$AF15,AO$4)</f>
        <v>1</v>
      </c>
      <c r="AP15" s="182" t="n">
        <f aca="false">COUNTIF($C15:$AF15,AP$4)</f>
        <v>0</v>
      </c>
      <c r="AQ15" s="182" t="n">
        <f aca="false">COUNTIF($C15:$AF15,AQ$4)</f>
        <v>0</v>
      </c>
      <c r="AR15" s="38"/>
      <c r="AS15" s="184"/>
      <c r="AT15" s="184"/>
      <c r="AU15" s="38" t="n">
        <f aca="false">SUMPRODUCT(--(WEEKDAY(C$3:AG$3,2)&lt;5),--ISNUMBER(MATCH(C15:AG15,{"DM","CS1","CS2","SB1","AE","CS/B"},0)))</f>
        <v>2</v>
      </c>
      <c r="AV15" s="38"/>
      <c r="AW15" s="38" t="n">
        <f aca="false">SUMPRODUCT(--(WEEKDAY(C$3:AG$3,2)=5),--ISNUMBER(MATCH(C15:AG15,{"DM","CS1","CS2","SB1","AE","CS/B"},0)))</f>
        <v>1</v>
      </c>
      <c r="AX15" s="38" t="n">
        <f aca="false">SUMPRODUCT(--(WEEKDAY(C$3:AG$3,2)&gt;5),--ISNUMBER(MATCH(C15:AG15,{"DM","CS1","CS2","SB1","AE","CS/B"},0)))</f>
        <v>1</v>
      </c>
      <c r="AY15" s="38"/>
      <c r="AZ15" s="38" t="n">
        <f aca="false">(AU15-AV15)+AW15*1.5+(AX15-AY15)*2+AN15*0.5+AP15*0.5+AS15-AT15</f>
        <v>5.5</v>
      </c>
      <c r="BA15" s="38" t="n">
        <f aca="false">AU15+AW15+AX15</f>
        <v>4</v>
      </c>
      <c r="BB15" s="38" t="n">
        <f aca="false">BE15+BG15+BI15+BK15+BM15</f>
        <v>3</v>
      </c>
      <c r="BC15" s="184" t="n">
        <f aca="false">AZ15+BD15</f>
        <v>7</v>
      </c>
      <c r="BD15" s="38" t="n">
        <f aca="false">BF15+BH15+BJ15+BL15+BN15</f>
        <v>1.5</v>
      </c>
      <c r="BE15" s="38" t="n">
        <f aca="false">COUNTIF(A15:AI15,"*$BTP*")</f>
        <v>0</v>
      </c>
      <c r="BF15" s="38" t="n">
        <f aca="false">BE15*1.5</f>
        <v>0</v>
      </c>
      <c r="BG15" s="38" t="n">
        <f aca="false">COUNTIF(A15:AI15,"*$M*")</f>
        <v>0</v>
      </c>
      <c r="BH15" s="38" t="n">
        <f aca="false">BG15*1</f>
        <v>0</v>
      </c>
      <c r="BI15" s="38" t="n">
        <f aca="false">COUNTIF(A15:AI15,"*$PM*")</f>
        <v>1</v>
      </c>
      <c r="BJ15" s="38" t="n">
        <f aca="false">BI15*0.5</f>
        <v>0.5</v>
      </c>
      <c r="BK15" s="38" t="n">
        <f aca="false">COUNTIF(A15:AI15,"*$AM*")</f>
        <v>2</v>
      </c>
      <c r="BL15" s="38" t="n">
        <f aca="false">BK15*0.5</f>
        <v>1</v>
      </c>
      <c r="BM15" s="38" t="n">
        <f aca="false">COUNTIF(A15:AI15,"*$FC*")</f>
        <v>0</v>
      </c>
      <c r="BN15" s="38" t="n">
        <f aca="false">BM15*1</f>
        <v>0</v>
      </c>
      <c r="BO15" s="38" t="n">
        <f aca="false">COUNTIF($D15:$AA15,BO$4)</f>
        <v>0</v>
      </c>
      <c r="BP15" s="38" t="n">
        <f aca="false">COUNTIF($D15:$AA15,BP$4)</f>
        <v>0</v>
      </c>
      <c r="BQ15" s="38" t="n">
        <f aca="false">COUNTIF($D15:$AA15,BQ$4)</f>
        <v>0</v>
      </c>
      <c r="BR15" s="185"/>
    </row>
    <row r="16" customFormat="false" ht="47.25" hidden="false" customHeight="true" outlineLevel="0" collapsed="false">
      <c r="A16" s="176"/>
      <c r="B16" s="197" t="s">
        <v>591</v>
      </c>
      <c r="C16" s="188" t="s">
        <v>409</v>
      </c>
      <c r="D16" s="188" t="s">
        <v>409</v>
      </c>
      <c r="E16" s="188" t="s">
        <v>409</v>
      </c>
      <c r="F16" s="188" t="s">
        <v>409</v>
      </c>
      <c r="G16" s="188" t="s">
        <v>409</v>
      </c>
      <c r="H16" s="188" t="s">
        <v>409</v>
      </c>
      <c r="I16" s="188" t="s">
        <v>409</v>
      </c>
      <c r="J16" s="188" t="s">
        <v>409</v>
      </c>
      <c r="K16" s="188" t="s">
        <v>409</v>
      </c>
      <c r="L16" s="188" t="s">
        <v>409</v>
      </c>
      <c r="M16" s="188" t="s">
        <v>409</v>
      </c>
      <c r="N16" s="188" t="s">
        <v>409</v>
      </c>
      <c r="O16" s="188" t="s">
        <v>409</v>
      </c>
      <c r="P16" s="188" t="s">
        <v>409</v>
      </c>
      <c r="Q16" s="188" t="s">
        <v>409</v>
      </c>
      <c r="R16" s="188" t="s">
        <v>409</v>
      </c>
      <c r="S16" s="188" t="s">
        <v>409</v>
      </c>
      <c r="T16" s="188" t="s">
        <v>409</v>
      </c>
      <c r="U16" s="188" t="s">
        <v>409</v>
      </c>
      <c r="V16" s="188" t="s">
        <v>409</v>
      </c>
      <c r="W16" s="188" t="s">
        <v>409</v>
      </c>
      <c r="X16" s="188" t="s">
        <v>409</v>
      </c>
      <c r="Y16" s="188" t="s">
        <v>409</v>
      </c>
      <c r="Z16" s="188" t="s">
        <v>409</v>
      </c>
      <c r="AA16" s="188" t="s">
        <v>409</v>
      </c>
      <c r="AB16" s="188" t="s">
        <v>409</v>
      </c>
      <c r="AC16" s="188" t="s">
        <v>409</v>
      </c>
      <c r="AD16" s="188" t="s">
        <v>409</v>
      </c>
      <c r="AE16" s="188" t="s">
        <v>409</v>
      </c>
      <c r="AF16" s="188" t="s">
        <v>409</v>
      </c>
      <c r="AG16" s="188" t="s">
        <v>409</v>
      </c>
      <c r="AH16" s="181"/>
      <c r="AI16" s="182" t="n">
        <f aca="false">COUNTIF($C16:$AG16,AI$4)</f>
        <v>0</v>
      </c>
      <c r="AJ16" s="182" t="n">
        <f aca="false">COUNTIF($C16:$AG16,AJ$4)</f>
        <v>0</v>
      </c>
      <c r="AK16" s="182" t="n">
        <f aca="false">COUNTIF($C16:$AG16,AK$4)</f>
        <v>0</v>
      </c>
      <c r="AL16" s="182" t="n">
        <f aca="false">COUNTIF($C16:$AG16,AL$4)</f>
        <v>0</v>
      </c>
      <c r="AM16" s="182" t="n">
        <f aca="false">COUNTIF($C16:$AG16,AM$4)</f>
        <v>0</v>
      </c>
      <c r="AN16" s="182" t="n">
        <f aca="false">COUNTIF($C16:$AG16,AN$4)</f>
        <v>0</v>
      </c>
      <c r="AO16" s="182" t="n">
        <f aca="false">COUNTIF($C16:$AG16,AO$4)</f>
        <v>0</v>
      </c>
      <c r="AP16" s="182" t="n">
        <f aca="false">COUNTIF($C16:$AG16,AP$4)</f>
        <v>0</v>
      </c>
      <c r="AQ16" s="182" t="n">
        <f aca="false">COUNTIF($C16:$AG16,AQ$4)</f>
        <v>0</v>
      </c>
      <c r="AR16" s="38"/>
      <c r="AS16" s="184"/>
      <c r="AT16" s="184"/>
      <c r="AU16" s="38" t="n">
        <f aca="false">SUMPRODUCT(--(WEEKDAY(C$3:AG$3,2)&lt;5),--ISNUMBER(MATCH(C16:AG16,{"DM","CS1","CS2","SB1","AE","CS/B"},0)))</f>
        <v>0</v>
      </c>
      <c r="AV16" s="38"/>
      <c r="AW16" s="38" t="n">
        <f aca="false">SUMPRODUCT(--(WEEKDAY(C$3:AG$3,2)=5),--ISNUMBER(MATCH(C16:AG16,{"DM","CS1","CS2","SB1","AE","CS/B"},0)))</f>
        <v>0</v>
      </c>
      <c r="AX16" s="38" t="n">
        <f aca="false">SUMPRODUCT(--(WEEKDAY(C$3:AG$3,2)&gt;5),--ISNUMBER(MATCH(C16:AG16,{"DM","CS1","CS2","SB1","AE","CS/B"},0)))</f>
        <v>0</v>
      </c>
      <c r="AY16" s="38"/>
      <c r="AZ16" s="38" t="n">
        <f aca="false">(AU16-AV16)+AW16*1.5+(AX16-AY16)*2+AN16*0.5+AP16*0.5+AS16-AT16</f>
        <v>0</v>
      </c>
      <c r="BA16" s="38" t="n">
        <f aca="false">AU16+AW16+AX16</f>
        <v>0</v>
      </c>
      <c r="BB16" s="38" t="n">
        <f aca="false">BE16+BG16+BI16+BK16+BM16</f>
        <v>0</v>
      </c>
      <c r="BC16" s="184" t="n">
        <f aca="false">AZ16+BD16</f>
        <v>0</v>
      </c>
      <c r="BD16" s="38" t="n">
        <f aca="false">BF16+BH16+BJ16+BL16+BN16</f>
        <v>0</v>
      </c>
      <c r="BE16" s="38" t="n">
        <f aca="false">COUNTIF(A16:AI16,"*$BTP*")</f>
        <v>0</v>
      </c>
      <c r="BF16" s="38" t="n">
        <f aca="false">BE16*1.5</f>
        <v>0</v>
      </c>
      <c r="BG16" s="38" t="n">
        <f aca="false">COUNTIF(A16:AI16,"*$M*")</f>
        <v>0</v>
      </c>
      <c r="BH16" s="38" t="n">
        <f aca="false">BG16*1</f>
        <v>0</v>
      </c>
      <c r="BI16" s="38" t="n">
        <f aca="false">COUNTIF(A16:AI16,"*$PM*")</f>
        <v>0</v>
      </c>
      <c r="BJ16" s="38" t="n">
        <f aca="false">BI16*0.5</f>
        <v>0</v>
      </c>
      <c r="BK16" s="38" t="n">
        <f aca="false">COUNTIF(A16:AI16,"*$AM*")</f>
        <v>0</v>
      </c>
      <c r="BL16" s="38" t="n">
        <f aca="false">BK16*0.5</f>
        <v>0</v>
      </c>
      <c r="BM16" s="38" t="n">
        <f aca="false">COUNTIF(A16:AI16,"*$FC*")</f>
        <v>0</v>
      </c>
      <c r="BN16" s="38" t="n">
        <f aca="false">BM16*1</f>
        <v>0</v>
      </c>
      <c r="BO16" s="38" t="n">
        <f aca="false">COUNTIF($D16:$AA16,BO$4)</f>
        <v>0</v>
      </c>
      <c r="BP16" s="38" t="n">
        <f aca="false">COUNTIF($D16:$AA16,BP$4)</f>
        <v>0</v>
      </c>
      <c r="BQ16" s="38" t="n">
        <f aca="false">COUNTIF($D16:$AA16,BQ$4)</f>
        <v>0</v>
      </c>
      <c r="BR16" s="185"/>
    </row>
    <row r="17" customFormat="false" ht="45" hidden="false" customHeight="true" outlineLevel="0" collapsed="false">
      <c r="A17" s="176"/>
      <c r="B17" s="207" t="s">
        <v>592</v>
      </c>
      <c r="C17" s="181"/>
      <c r="D17" s="181" t="s">
        <v>57</v>
      </c>
      <c r="E17" s="181"/>
      <c r="F17" s="181" t="s">
        <v>669</v>
      </c>
      <c r="G17" s="181" t="s">
        <v>57</v>
      </c>
      <c r="H17" s="181"/>
      <c r="I17" s="91"/>
      <c r="J17" s="181" t="s">
        <v>57</v>
      </c>
      <c r="K17" s="181"/>
      <c r="L17" s="181"/>
      <c r="M17" s="181" t="s">
        <v>59</v>
      </c>
      <c r="N17" s="181"/>
      <c r="O17" s="181" t="s">
        <v>57</v>
      </c>
      <c r="P17" s="181"/>
      <c r="Q17" s="181"/>
      <c r="R17" s="188"/>
      <c r="S17" s="188"/>
      <c r="T17" s="188"/>
      <c r="U17" s="188" t="s">
        <v>93</v>
      </c>
      <c r="V17" s="181"/>
      <c r="W17" s="181" t="s">
        <v>57</v>
      </c>
      <c r="X17" s="181"/>
      <c r="Y17" s="181"/>
      <c r="AA17" s="181"/>
      <c r="AB17" s="91" t="s">
        <v>59</v>
      </c>
      <c r="AC17" s="181"/>
      <c r="AD17" s="181"/>
      <c r="AE17" s="181"/>
      <c r="AF17" s="181" t="s">
        <v>350</v>
      </c>
      <c r="AG17" s="181"/>
      <c r="AH17" s="32"/>
      <c r="AI17" s="182" t="n">
        <f aca="false">COUNTIF($C17:$AG17,AI$4)</f>
        <v>5</v>
      </c>
      <c r="AJ17" s="182" t="n">
        <f aca="false">COUNTIF($C17:$AG17,AJ$4)</f>
        <v>0</v>
      </c>
      <c r="AK17" s="182" t="n">
        <f aca="false">COUNTIF($C17:$AG17,AK$4)</f>
        <v>2</v>
      </c>
      <c r="AL17" s="182" t="n">
        <f aca="false">COUNTIF($C17:$AG17,AL$4)</f>
        <v>0</v>
      </c>
      <c r="AM17" s="182" t="n">
        <f aca="false">COUNTIF($C17:$AG17,AM$4)</f>
        <v>0</v>
      </c>
      <c r="AN17" s="182" t="n">
        <f aca="false">COUNTIF($C17:$AG17,AN$4)</f>
        <v>1</v>
      </c>
      <c r="AO17" s="182" t="n">
        <f aca="false">COUNTIF($C17:$AG17,AO$4)</f>
        <v>0</v>
      </c>
      <c r="AP17" s="182" t="n">
        <f aca="false">COUNTIF($C17:$AG17,AP$4)</f>
        <v>0</v>
      </c>
      <c r="AQ17" s="182" t="n">
        <f aca="false">COUNTIF($C17:$AG17,AQ$4)</f>
        <v>0</v>
      </c>
      <c r="AR17" s="38"/>
      <c r="AS17" s="184" t="n">
        <v>0.5</v>
      </c>
      <c r="AT17" s="184"/>
      <c r="AU17" s="38" t="n">
        <f aca="false">SUMPRODUCT(--(WEEKDAY(C$3:AG$3,2)&lt;5),--ISNUMBER(MATCH(C17:AG17,{"DM","CS1","CS2","SB1","AE","CS/B"},0)))</f>
        <v>4</v>
      </c>
      <c r="AV17" s="38"/>
      <c r="AW17" s="38" t="n">
        <f aca="false">SUMPRODUCT(--(WEEKDAY(C$3:AG$3,2)=5),--ISNUMBER(MATCH(C17:AG17,{"DM","CS1","CS2","SB1","AE","CS/B"},0)))</f>
        <v>1</v>
      </c>
      <c r="AX17" s="38" t="n">
        <f aca="false">SUMPRODUCT(--(WEEKDAY(C$3:AG$3,2)&gt;5),--ISNUMBER(MATCH(C17:AG17,{"DM","CS1","CS2","SB1","AE","CS/B"},0)))</f>
        <v>2</v>
      </c>
      <c r="AY17" s="38"/>
      <c r="AZ17" s="38" t="n">
        <f aca="false">(AU17-AV17)+AW17*1.5+(AX17-AY17)*2+AN17*0.5+AP17*0.5+AS17-AT17</f>
        <v>10.5</v>
      </c>
      <c r="BA17" s="38" t="n">
        <f aca="false">AU17+AW17+AX17</f>
        <v>7</v>
      </c>
      <c r="BB17" s="38" t="n">
        <f aca="false">BE17+BG17+BI17+BK17+BM17</f>
        <v>0</v>
      </c>
      <c r="BC17" s="184" t="n">
        <f aca="false">AZ17+BD17</f>
        <v>10.5</v>
      </c>
      <c r="BD17" s="38" t="n">
        <f aca="false">BF17+BH17+BJ17+BL17+BN17</f>
        <v>0</v>
      </c>
      <c r="BE17" s="38" t="n">
        <f aca="false">COUNTIF(A17:AI17,"*$BTP*")</f>
        <v>0</v>
      </c>
      <c r="BF17" s="38" t="n">
        <f aca="false">BE17*1.5</f>
        <v>0</v>
      </c>
      <c r="BG17" s="38" t="n">
        <f aca="false">COUNTIF(A17:AI17,"*$M*")</f>
        <v>0</v>
      </c>
      <c r="BH17" s="38" t="n">
        <f aca="false">BG17*1</f>
        <v>0</v>
      </c>
      <c r="BI17" s="38" t="n">
        <f aca="false">COUNTIF(A17:AI17,"*$PM*")</f>
        <v>0</v>
      </c>
      <c r="BJ17" s="38" t="n">
        <f aca="false">BI17*0.5</f>
        <v>0</v>
      </c>
      <c r="BK17" s="38" t="n">
        <f aca="false">COUNTIF(A17:AI17,"*$AM*")</f>
        <v>0</v>
      </c>
      <c r="BL17" s="38" t="n">
        <f aca="false">BK17*0.5</f>
        <v>0</v>
      </c>
      <c r="BM17" s="38" t="n">
        <f aca="false">COUNTIF(A17:AI17,"*$FC*")</f>
        <v>0</v>
      </c>
      <c r="BN17" s="38" t="n">
        <f aca="false">BM17*1</f>
        <v>0</v>
      </c>
      <c r="BO17" s="38" t="n">
        <f aca="false">COUNTIF($D17:$AA17,BO$4)</f>
        <v>0</v>
      </c>
      <c r="BP17" s="38" t="n">
        <f aca="false">COUNTIF($D17:$AA17,BP$4)</f>
        <v>0</v>
      </c>
      <c r="BQ17" s="38" t="n">
        <f aca="false">COUNTIF($D17:$AA17,BQ$4)</f>
        <v>0</v>
      </c>
      <c r="BR17" s="185"/>
    </row>
    <row r="18" customFormat="false" ht="60.75" hidden="false" customHeight="true" outlineLevel="0" collapsed="false">
      <c r="A18" s="176"/>
      <c r="B18" s="207" t="s">
        <v>594</v>
      </c>
      <c r="D18" s="187"/>
      <c r="E18" s="188" t="s">
        <v>573</v>
      </c>
      <c r="G18" s="188" t="s">
        <v>150</v>
      </c>
      <c r="H18" s="188" t="s">
        <v>150</v>
      </c>
      <c r="I18" s="187" t="s">
        <v>671</v>
      </c>
      <c r="J18" s="187"/>
      <c r="K18" s="188"/>
      <c r="L18" s="92"/>
      <c r="M18" s="188"/>
      <c r="N18" s="188" t="s">
        <v>573</v>
      </c>
      <c r="O18" s="188"/>
      <c r="P18" s="188"/>
      <c r="Q18" s="91"/>
      <c r="R18" s="91"/>
      <c r="S18" s="188"/>
      <c r="U18" s="188"/>
      <c r="V18" s="188"/>
      <c r="W18" s="188"/>
      <c r="X18" s="188"/>
      <c r="Y18" s="188"/>
      <c r="Z18" s="188" t="s">
        <v>59</v>
      </c>
      <c r="AA18" s="188"/>
      <c r="AB18" s="188"/>
      <c r="AC18" s="188" t="s">
        <v>350</v>
      </c>
      <c r="AD18" s="188"/>
      <c r="AE18" s="181" t="s">
        <v>57</v>
      </c>
      <c r="AF18" s="188"/>
      <c r="AH18" s="32"/>
      <c r="AI18" s="182" t="n">
        <f aca="false">COUNTIF($C18:$AG18,AI$4)</f>
        <v>1</v>
      </c>
      <c r="AJ18" s="182" t="n">
        <f aca="false">COUNTIF($C18:$AG18,AJ$4)</f>
        <v>0</v>
      </c>
      <c r="AK18" s="182" t="n">
        <f aca="false">COUNTIF($C18:$AG18,AK$4)</f>
        <v>1</v>
      </c>
      <c r="AL18" s="182" t="n">
        <f aca="false">COUNTIF($C18:$AG18,AL$4)</f>
        <v>0</v>
      </c>
      <c r="AM18" s="182" t="n">
        <f aca="false">COUNTIF($C18:$AG18,AM$4)</f>
        <v>0</v>
      </c>
      <c r="AN18" s="182" t="n">
        <f aca="false">COUNTIF($C18:$AG18,AN$4)</f>
        <v>0</v>
      </c>
      <c r="AO18" s="182" t="n">
        <f aca="false">COUNTIF($C18:$AG18,AO$4)</f>
        <v>0</v>
      </c>
      <c r="AP18" s="182" t="n">
        <f aca="false">COUNTIF($C18:$AG18,AP$4)</f>
        <v>0</v>
      </c>
      <c r="AQ18" s="182" t="n">
        <f aca="false">COUNTIF($C18:$AG18,AQ$4)</f>
        <v>0</v>
      </c>
      <c r="AR18" s="38"/>
      <c r="AS18" s="184" t="n">
        <v>3.5</v>
      </c>
      <c r="AT18" s="184"/>
      <c r="AU18" s="38" t="n">
        <f aca="false">SUMPRODUCT(--(WEEKDAY(C$3:AG$3,2)&lt;5),--ISNUMBER(MATCH(C18:AG18,{"DM","CS1","CS2","SB1","AE","CS/B"},0)))</f>
        <v>1</v>
      </c>
      <c r="AV18" s="38"/>
      <c r="AW18" s="38" t="n">
        <f aca="false">SUMPRODUCT(--(WEEKDAY(C$3:AG$3,2)=5),--ISNUMBER(MATCH(C18:AG18,{"DM","CS1","CS2","SB1","AE","CS/B"},0)))</f>
        <v>0</v>
      </c>
      <c r="AX18" s="38" t="n">
        <f aca="false">SUMPRODUCT(--(WEEKDAY(C$3:AG$3,2)&gt;5),--ISNUMBER(MATCH(C18:AG18,{"DM","CS1","CS2","SB1","AE","CS/B"},0)))</f>
        <v>1</v>
      </c>
      <c r="AY18" s="38"/>
      <c r="AZ18" s="38" t="n">
        <f aca="false">(AU18-AV18)+AW18*1.5+(AX18-AY18)*2+AN18*0.5+AP18*0.5+AS18-AT18</f>
        <v>6.5</v>
      </c>
      <c r="BA18" s="38" t="n">
        <f aca="false">AU18+AW18+AX18</f>
        <v>2</v>
      </c>
      <c r="BB18" s="38" t="n">
        <f aca="false">BE18+BG18+BI18+BK18+BM18</f>
        <v>1</v>
      </c>
      <c r="BC18" s="184" t="n">
        <f aca="false">AZ18+BD18</f>
        <v>7.5</v>
      </c>
      <c r="BD18" s="38" t="n">
        <f aca="false">BF18+BH18+BJ18+BL18+BN18</f>
        <v>1</v>
      </c>
      <c r="BE18" s="38" t="n">
        <f aca="false">COUNTIF(A18:AI18,"*$BTP*")</f>
        <v>0</v>
      </c>
      <c r="BF18" s="38" t="n">
        <f aca="false">BE18*1.5</f>
        <v>0</v>
      </c>
      <c r="BG18" s="38" t="n">
        <f aca="false">COUNTIF(A18:AI18,"*$M*")</f>
        <v>1</v>
      </c>
      <c r="BH18" s="38" t="n">
        <f aca="false">BG18*1</f>
        <v>1</v>
      </c>
      <c r="BI18" s="38" t="n">
        <f aca="false">COUNTIF(A18:AI18,"*$PM*")</f>
        <v>0</v>
      </c>
      <c r="BJ18" s="38" t="n">
        <f aca="false">BI18*0.5</f>
        <v>0</v>
      </c>
      <c r="BK18" s="38" t="n">
        <f aca="false">COUNTIF(A18:AI18,"*$AM*")</f>
        <v>0</v>
      </c>
      <c r="BL18" s="38" t="n">
        <f aca="false">BK18*0.5</f>
        <v>0</v>
      </c>
      <c r="BM18" s="38" t="n">
        <f aca="false">COUNTIF(A18:AI18,"*$FC*")</f>
        <v>0</v>
      </c>
      <c r="BN18" s="38" t="n">
        <f aca="false">BM18*1</f>
        <v>0</v>
      </c>
      <c r="BO18" s="38" t="n">
        <f aca="false">COUNTIF($D18:$AA18,BO$4)</f>
        <v>0</v>
      </c>
      <c r="BP18" s="38" t="n">
        <f aca="false">COUNTIF($D18:$AA18,BP$4)</f>
        <v>0</v>
      </c>
      <c r="BQ18" s="38" t="n">
        <f aca="false">COUNTIF($D18:$AA18,BQ$4)</f>
        <v>0</v>
      </c>
      <c r="BR18" s="185"/>
    </row>
    <row r="19" customFormat="false" ht="53.25" hidden="false" customHeight="true" outlineLevel="0" collapsed="false">
      <c r="A19" s="176"/>
      <c r="B19" s="207" t="s">
        <v>596</v>
      </c>
      <c r="C19" s="181"/>
      <c r="D19" s="181" t="s">
        <v>56</v>
      </c>
      <c r="E19" s="187"/>
      <c r="F19" s="188" t="s">
        <v>573</v>
      </c>
      <c r="G19" s="181" t="s">
        <v>350</v>
      </c>
      <c r="H19" s="181"/>
      <c r="I19" s="181" t="s">
        <v>59</v>
      </c>
      <c r="J19" s="187"/>
      <c r="K19" s="181"/>
      <c r="L19" s="92"/>
      <c r="M19" s="181" t="s">
        <v>54</v>
      </c>
      <c r="N19" s="181" t="s">
        <v>54</v>
      </c>
      <c r="O19" s="181" t="s">
        <v>54</v>
      </c>
      <c r="P19" s="181" t="s">
        <v>54</v>
      </c>
      <c r="Q19" s="181" t="s">
        <v>54</v>
      </c>
      <c r="R19" s="181" t="s">
        <v>253</v>
      </c>
      <c r="S19" s="187"/>
      <c r="T19" s="181"/>
      <c r="U19" s="181" t="s">
        <v>57</v>
      </c>
      <c r="V19" s="187"/>
      <c r="W19" s="181"/>
      <c r="X19" s="181"/>
      <c r="Y19" s="181" t="s">
        <v>56</v>
      </c>
      <c r="Z19" s="187"/>
      <c r="AA19" s="181" t="s">
        <v>56</v>
      </c>
      <c r="AB19" s="188" t="s">
        <v>93</v>
      </c>
      <c r="AC19" s="187" t="s">
        <v>54</v>
      </c>
      <c r="AD19" s="187" t="s">
        <v>54</v>
      </c>
      <c r="AE19" s="187" t="s">
        <v>54</v>
      </c>
      <c r="AF19" s="181" t="s">
        <v>59</v>
      </c>
      <c r="AG19" s="187"/>
      <c r="AH19" s="32"/>
      <c r="AI19" s="182" t="n">
        <f aca="false">COUNTIF($C19:$AG19,AI$4)</f>
        <v>1</v>
      </c>
      <c r="AJ19" s="182" t="n">
        <f aca="false">COUNTIF($C19:$AG19,AJ$4)</f>
        <v>3</v>
      </c>
      <c r="AK19" s="182" t="n">
        <f aca="false">COUNTIF($C19:$AG19,AK$4)</f>
        <v>2</v>
      </c>
      <c r="AL19" s="182" t="n">
        <f aca="false">COUNTIF($C19:$AG19,AL$4)</f>
        <v>0</v>
      </c>
      <c r="AM19" s="182" t="n">
        <f aca="false">COUNTIF($C19:$AG19,AM$4)</f>
        <v>0</v>
      </c>
      <c r="AN19" s="182" t="n">
        <f aca="false">COUNTIF($C19:$AG19,AN$4)</f>
        <v>1</v>
      </c>
      <c r="AO19" s="182" t="n">
        <f aca="false">COUNTIF($C19:$AG19,AO$4)</f>
        <v>0</v>
      </c>
      <c r="AP19" s="182" t="n">
        <f aca="false">COUNTIF($C19:$AG19,AP$4)</f>
        <v>0</v>
      </c>
      <c r="AQ19" s="182" t="n">
        <f aca="false">COUNTIF($C19:$AG19,AQ$4)</f>
        <v>0</v>
      </c>
      <c r="AR19" s="38"/>
      <c r="AS19" s="184"/>
      <c r="AT19" s="184" t="n">
        <v>2</v>
      </c>
      <c r="AU19" s="38" t="n">
        <f aca="false">SUMPRODUCT(--(WEEKDAY(C$3:AG$3,2)&lt;5),--ISNUMBER(MATCH(C19:AG19,{"DM","CS1","CS2","SB1","AE","CS/B"},0)))</f>
        <v>5</v>
      </c>
      <c r="AV19" s="38"/>
      <c r="AW19" s="38" t="n">
        <f aca="false">SUMPRODUCT(--(WEEKDAY(C$3:AG$3,2)=5),--ISNUMBER(MATCH(C19:AG19,{"DM","CS1","CS2","SB1","AE","CS/B"},0)))</f>
        <v>0</v>
      </c>
      <c r="AX19" s="38" t="n">
        <f aca="false">SUMPRODUCT(--(WEEKDAY(C$3:AG$3,2)&gt;5),--ISNUMBER(MATCH(C19:AG19,{"DM","CS1","CS2","SB1","AE","CS/B"},0)))</f>
        <v>1</v>
      </c>
      <c r="AY19" s="38"/>
      <c r="AZ19" s="38" t="n">
        <f aca="false">(AU19-AV19)+AW19*1.5+(AX19-AY19)*2+AN19*0.5+AP19*0.5+AS19-AT19</f>
        <v>5.5</v>
      </c>
      <c r="BA19" s="38" t="n">
        <f aca="false">AU19+AW19+AX19</f>
        <v>6</v>
      </c>
      <c r="BB19" s="38" t="n">
        <f aca="false">BE19+BG19+BI19+BK19+BM19</f>
        <v>0</v>
      </c>
      <c r="BC19" s="184" t="n">
        <f aca="false">AZ19+BD19</f>
        <v>5.5</v>
      </c>
      <c r="BD19" s="38" t="n">
        <f aca="false">BF19+BH19+BJ19+BL19+BN19</f>
        <v>0</v>
      </c>
      <c r="BE19" s="38" t="n">
        <f aca="false">COUNTIF(A19:AI19,"*$BTP*")</f>
        <v>0</v>
      </c>
      <c r="BF19" s="38" t="n">
        <f aca="false">BE19*1.5</f>
        <v>0</v>
      </c>
      <c r="BG19" s="38" t="n">
        <f aca="false">COUNTIF(A19:AI19,"*$M*")</f>
        <v>0</v>
      </c>
      <c r="BH19" s="38" t="n">
        <f aca="false">BG19*1</f>
        <v>0</v>
      </c>
      <c r="BI19" s="38" t="n">
        <f aca="false">COUNTIF(A19:AI19,"*$PM*")</f>
        <v>0</v>
      </c>
      <c r="BJ19" s="38" t="n">
        <f aca="false">BI19*0.5</f>
        <v>0</v>
      </c>
      <c r="BK19" s="38" t="n">
        <f aca="false">COUNTIF(A19:AI19,"*$AM*")</f>
        <v>0</v>
      </c>
      <c r="BL19" s="38" t="n">
        <f aca="false">BK19*0.5</f>
        <v>0</v>
      </c>
      <c r="BM19" s="38" t="n">
        <f aca="false">COUNTIF(A19:AI19,"*$FC*")</f>
        <v>0</v>
      </c>
      <c r="BN19" s="38" t="n">
        <f aca="false">BM19*1</f>
        <v>0</v>
      </c>
      <c r="BO19" s="38" t="n">
        <f aca="false">COUNTIF($D19:$AA19,BO$4)</f>
        <v>0</v>
      </c>
      <c r="BP19" s="38" t="n">
        <f aca="false">COUNTIF($D19:$AA19,BP$4)</f>
        <v>1</v>
      </c>
      <c r="BQ19" s="38" t="n">
        <f aca="false">COUNTIF($D19:$AA19,BQ$4)</f>
        <v>0</v>
      </c>
      <c r="BR19" s="185"/>
    </row>
    <row r="20" customFormat="false" ht="51" hidden="false" customHeight="true" outlineLevel="0" collapsed="false">
      <c r="A20" s="176"/>
      <c r="B20" s="207" t="s">
        <v>598</v>
      </c>
      <c r="C20" s="188"/>
      <c r="D20" s="188"/>
      <c r="E20" s="188" t="s">
        <v>350</v>
      </c>
      <c r="F20" s="181" t="s">
        <v>680</v>
      </c>
      <c r="G20" s="181" t="s">
        <v>678</v>
      </c>
      <c r="H20" s="187"/>
      <c r="I20" s="187" t="s">
        <v>681</v>
      </c>
      <c r="J20" s="188"/>
      <c r="K20" s="188"/>
      <c r="L20" s="188"/>
      <c r="N20" s="188" t="s">
        <v>253</v>
      </c>
      <c r="O20" s="187"/>
      <c r="P20" s="188"/>
      <c r="Q20" s="188"/>
      <c r="R20" s="188"/>
      <c r="S20" s="187"/>
      <c r="T20" s="188" t="s">
        <v>57</v>
      </c>
      <c r="U20" s="188"/>
      <c r="V20" s="187"/>
      <c r="W20" s="188"/>
      <c r="X20" s="188"/>
      <c r="Y20" s="238" t="s">
        <v>59</v>
      </c>
      <c r="Z20" s="188"/>
      <c r="AA20" s="91"/>
      <c r="AB20" s="188" t="s">
        <v>56</v>
      </c>
      <c r="AC20" s="187"/>
      <c r="AD20" s="188"/>
      <c r="AE20" s="188" t="s">
        <v>56</v>
      </c>
      <c r="AF20" s="188"/>
      <c r="AG20" s="188" t="s">
        <v>682</v>
      </c>
      <c r="AH20" s="32"/>
      <c r="AI20" s="182" t="n">
        <f aca="false">COUNTIF($C20:$AG20,AI$4)</f>
        <v>1</v>
      </c>
      <c r="AJ20" s="182" t="n">
        <f aca="false">COUNTIF($C20:$AG20,AJ$4)</f>
        <v>2</v>
      </c>
      <c r="AK20" s="182" t="n">
        <f aca="false">COUNTIF($C20:$AG20,AK$4)</f>
        <v>1</v>
      </c>
      <c r="AL20" s="182" t="n">
        <f aca="false">COUNTIF($C20:$AG20,AL$4)</f>
        <v>0</v>
      </c>
      <c r="AM20" s="182" t="n">
        <f aca="false">COUNTIF($C20:$AG20,AM$4)</f>
        <v>0</v>
      </c>
      <c r="AN20" s="182" t="n">
        <f aca="false">COUNTIF($C20:$AG20,AN$4)</f>
        <v>0</v>
      </c>
      <c r="AO20" s="182" t="n">
        <f aca="false">COUNTIF($C20:$AG20,AO$4)</f>
        <v>0</v>
      </c>
      <c r="AP20" s="182" t="n">
        <f aca="false">COUNTIF($C20:$AG20,AP$4)</f>
        <v>0</v>
      </c>
      <c r="AQ20" s="182" t="n">
        <f aca="false">COUNTIF($C20:$AG20,AQ$4)</f>
        <v>0</v>
      </c>
      <c r="AR20" s="38"/>
      <c r="AS20" s="184" t="n">
        <v>1</v>
      </c>
      <c r="AT20" s="184"/>
      <c r="AU20" s="38" t="n">
        <f aca="false">SUMPRODUCT(--(WEEKDAY(C$3:AG$3,2)&lt;5),--ISNUMBER(MATCH(C20:AG20,{"DM","CS1","CS2","SB1","AE","CS/B"},0)))</f>
        <v>3</v>
      </c>
      <c r="AV20" s="38"/>
      <c r="AW20" s="38" t="n">
        <f aca="false">SUMPRODUCT(--(WEEKDAY(C$3:AG$3,2)=5),--ISNUMBER(MATCH(C20:AG20,{"DM","CS1","CS2","SB1","AE","CS/B"},0)))</f>
        <v>0</v>
      </c>
      <c r="AX20" s="38" t="n">
        <f aca="false">SUMPRODUCT(--(WEEKDAY(C$3:AG$3,2)&gt;5),--ISNUMBER(MATCH(C20:AG20,{"DM","CS1","CS2","SB1","AE","CS/B"},0)))</f>
        <v>1</v>
      </c>
      <c r="AY20" s="38"/>
      <c r="AZ20" s="38" t="n">
        <f aca="false">(AU20-AV20)+AW20*1.5+(AX20-AY20)*2+AN20*0.5+AP20*0.5+AS20-AT20</f>
        <v>6</v>
      </c>
      <c r="BA20" s="38" t="n">
        <f aca="false">AU20+AW20+AX20</f>
        <v>4</v>
      </c>
      <c r="BB20" s="38" t="n">
        <f aca="false">BE20+BG20+BI20+BK20+BM20</f>
        <v>2</v>
      </c>
      <c r="BC20" s="184" t="n">
        <f aca="false">AZ20+BD20</f>
        <v>8</v>
      </c>
      <c r="BD20" s="38" t="n">
        <f aca="false">BF20+BH20+BJ20+BL20+BN20</f>
        <v>2</v>
      </c>
      <c r="BE20" s="38" t="n">
        <f aca="false">COUNTIF(A20:AI20,"*$BTP*")</f>
        <v>0</v>
      </c>
      <c r="BF20" s="38" t="n">
        <f aca="false">BE20*1.5</f>
        <v>0</v>
      </c>
      <c r="BG20" s="38" t="n">
        <f aca="false">COUNTIF(A20:AI20,"*$M*")</f>
        <v>2</v>
      </c>
      <c r="BH20" s="38" t="n">
        <f aca="false">BG20*1</f>
        <v>2</v>
      </c>
      <c r="BI20" s="38" t="n">
        <f aca="false">COUNTIF(A20:AI20,"*$PM*")</f>
        <v>0</v>
      </c>
      <c r="BJ20" s="38" t="n">
        <f aca="false">BI20*0.5</f>
        <v>0</v>
      </c>
      <c r="BK20" s="38" t="n">
        <f aca="false">COUNTIF(A20:AI20,"*$AM*")</f>
        <v>0</v>
      </c>
      <c r="BL20" s="38" t="n">
        <f aca="false">BK20*0.5</f>
        <v>0</v>
      </c>
      <c r="BM20" s="38" t="n">
        <f aca="false">COUNTIF(A20:AI20,"*$FC*")</f>
        <v>0</v>
      </c>
      <c r="BN20" s="38" t="n">
        <f aca="false">BM20*1</f>
        <v>0</v>
      </c>
      <c r="BO20" s="38" t="n">
        <f aca="false">COUNTIF($D20:$AA20,BO$4)</f>
        <v>0</v>
      </c>
      <c r="BP20" s="38" t="n">
        <f aca="false">COUNTIF($D20:$AA20,BP$4)</f>
        <v>1</v>
      </c>
      <c r="BQ20" s="38" t="n">
        <f aca="false">COUNTIF($D20:$AA20,BQ$4)</f>
        <v>0</v>
      </c>
      <c r="BR20" s="185"/>
    </row>
    <row r="21" customFormat="false" ht="68.25" hidden="false" customHeight="true" outlineLevel="0" collapsed="false">
      <c r="A21" s="176"/>
      <c r="B21" s="207" t="s">
        <v>600</v>
      </c>
      <c r="C21" s="199"/>
      <c r="D21" s="181"/>
      <c r="E21" s="181"/>
      <c r="F21" s="181" t="s">
        <v>680</v>
      </c>
      <c r="G21" s="181" t="s">
        <v>678</v>
      </c>
      <c r="H21" s="199"/>
      <c r="I21" s="181"/>
      <c r="J21" s="181"/>
      <c r="K21" s="181"/>
      <c r="L21" s="181"/>
      <c r="N21" s="181"/>
      <c r="O21" s="199"/>
      <c r="P21" s="181"/>
      <c r="Q21" s="181" t="s">
        <v>57</v>
      </c>
      <c r="R21" s="181"/>
      <c r="S21" s="181"/>
      <c r="T21" s="181"/>
      <c r="U21" s="181"/>
      <c r="V21" s="199"/>
      <c r="W21" s="181"/>
      <c r="X21" s="181" t="s">
        <v>57</v>
      </c>
      <c r="Y21" s="181"/>
      <c r="Z21" s="181"/>
      <c r="AA21" s="181"/>
      <c r="AB21" s="181" t="s">
        <v>57</v>
      </c>
      <c r="AC21" s="199"/>
      <c r="AD21" s="181"/>
      <c r="AE21" s="181"/>
      <c r="AF21" s="181" t="s">
        <v>57</v>
      </c>
      <c r="AG21" s="181"/>
      <c r="AH21" s="32"/>
      <c r="AI21" s="182" t="n">
        <f aca="false">COUNTIF($C21:$AG21,AI$4)</f>
        <v>4</v>
      </c>
      <c r="AJ21" s="182" t="n">
        <f aca="false">COUNTIF($C21:$AG21,AJ$4)</f>
        <v>0</v>
      </c>
      <c r="AK21" s="182" t="n">
        <f aca="false">COUNTIF($C21:$AG21,AK$4)</f>
        <v>0</v>
      </c>
      <c r="AL21" s="182" t="n">
        <f aca="false">COUNTIF($C21:$AG21,AL$4)</f>
        <v>0</v>
      </c>
      <c r="AM21" s="182" t="n">
        <f aca="false">COUNTIF($C21:$AG21,AM$4)</f>
        <v>0</v>
      </c>
      <c r="AN21" s="182" t="n">
        <f aca="false">COUNTIF($C21:$AG21,AN$4)</f>
        <v>0</v>
      </c>
      <c r="AO21" s="182" t="n">
        <f aca="false">COUNTIF($C21:$AG21,AO$4)</f>
        <v>0</v>
      </c>
      <c r="AP21" s="182" t="n">
        <f aca="false">COUNTIF($C21:$AG21,AP$4)</f>
        <v>0</v>
      </c>
      <c r="AQ21" s="182" t="n">
        <f aca="false">COUNTIF($C21:$AG21,AQ$4)</f>
        <v>0</v>
      </c>
      <c r="AR21" s="38"/>
      <c r="AS21" s="184"/>
      <c r="AT21" s="184"/>
      <c r="AU21" s="38" t="n">
        <f aca="false">SUMPRODUCT(--(WEEKDAY(C$3:AG$3,2)&lt;5),--ISNUMBER(MATCH(C21:AG21,{"DM","CS1","CS2","SB1","AE","CS/B"},0)))</f>
        <v>2</v>
      </c>
      <c r="AV21" s="38"/>
      <c r="AW21" s="38" t="n">
        <f aca="false">SUMPRODUCT(--(WEEKDAY(C$3:AG$3,2)=5),--ISNUMBER(MATCH(C21:AG21,{"DM","CS1","CS2","SB1","AE","CS/B"},0)))</f>
        <v>0</v>
      </c>
      <c r="AX21" s="38" t="n">
        <f aca="false">SUMPRODUCT(--(WEEKDAY(C$3:AG$3,2)&gt;5),--ISNUMBER(MATCH(C21:AG21,{"DM","CS1","CS2","SB1","AE","CS/B"},0)))</f>
        <v>2</v>
      </c>
      <c r="AY21" s="38"/>
      <c r="AZ21" s="38" t="n">
        <f aca="false">(AU21-AV21)+AW21*1.5+(AX21-AY21)*2+AN21*0.5+AP21*0.5+AS21-AT21</f>
        <v>6</v>
      </c>
      <c r="BA21" s="38" t="n">
        <f aca="false">AU21+AW21+AX21</f>
        <v>4</v>
      </c>
      <c r="BB21" s="38" t="n">
        <f aca="false">BE21+BG21+BI21+BK21+BM21</f>
        <v>1</v>
      </c>
      <c r="BC21" s="184" t="n">
        <f aca="false">AZ21+BD21</f>
        <v>7</v>
      </c>
      <c r="BD21" s="38" t="n">
        <f aca="false">BF21+BH21+BJ21+BL21+BN21</f>
        <v>1</v>
      </c>
      <c r="BE21" s="38" t="n">
        <f aca="false">COUNTIF(A21:AI21,"*$BTP*")</f>
        <v>0</v>
      </c>
      <c r="BF21" s="38" t="n">
        <f aca="false">BE21*1.5</f>
        <v>0</v>
      </c>
      <c r="BG21" s="38" t="n">
        <f aca="false">COUNTIF(A21:AI21,"*$M*")</f>
        <v>1</v>
      </c>
      <c r="BH21" s="38" t="n">
        <f aca="false">BG21*1</f>
        <v>1</v>
      </c>
      <c r="BI21" s="38" t="n">
        <f aca="false">COUNTIF(A21:AI21,"*$PM*")</f>
        <v>0</v>
      </c>
      <c r="BJ21" s="38" t="n">
        <f aca="false">BI21*0.5</f>
        <v>0</v>
      </c>
      <c r="BK21" s="38" t="n">
        <f aca="false">COUNTIF(A21:AI21,"*$AM*")</f>
        <v>0</v>
      </c>
      <c r="BL21" s="38" t="n">
        <f aca="false">BK21*0.5</f>
        <v>0</v>
      </c>
      <c r="BM21" s="38" t="n">
        <f aca="false">COUNTIF(A21:AI21,"*$FC*")</f>
        <v>0</v>
      </c>
      <c r="BN21" s="38" t="n">
        <f aca="false">BM21*1</f>
        <v>0</v>
      </c>
      <c r="BO21" s="38" t="n">
        <f aca="false">COUNTIF($D21:$AA21,BO$4)</f>
        <v>0</v>
      </c>
      <c r="BP21" s="38" t="n">
        <f aca="false">COUNTIF($D21:$AA21,BP$4)</f>
        <v>0</v>
      </c>
      <c r="BQ21" s="38" t="n">
        <f aca="false">COUNTIF($D21:$AA21,BQ$4)</f>
        <v>0</v>
      </c>
      <c r="BR21" s="185"/>
    </row>
    <row r="22" customFormat="false" ht="19.5" hidden="false" customHeight="true" outlineLevel="0" collapsed="false">
      <c r="A22" s="176"/>
      <c r="B22" s="207" t="s">
        <v>604</v>
      </c>
      <c r="C22" s="188"/>
      <c r="D22" s="188" t="s">
        <v>566</v>
      </c>
      <c r="E22" s="91"/>
      <c r="F22" s="181" t="s">
        <v>573</v>
      </c>
      <c r="G22" s="188"/>
      <c r="H22" s="188"/>
      <c r="I22" s="188" t="s">
        <v>57</v>
      </c>
      <c r="J22" s="188"/>
      <c r="K22" s="188"/>
      <c r="L22" s="188" t="s">
        <v>672</v>
      </c>
      <c r="M22" s="188" t="s">
        <v>71</v>
      </c>
      <c r="N22" s="188" t="s">
        <v>71</v>
      </c>
      <c r="O22" s="188" t="s">
        <v>71</v>
      </c>
      <c r="P22" s="188" t="s">
        <v>71</v>
      </c>
      <c r="Q22" s="188" t="s">
        <v>71</v>
      </c>
      <c r="R22" s="188" t="s">
        <v>71</v>
      </c>
      <c r="S22" s="188" t="s">
        <v>71</v>
      </c>
      <c r="T22" s="188"/>
      <c r="U22" s="188"/>
      <c r="V22" s="181" t="s">
        <v>57</v>
      </c>
      <c r="W22" s="188"/>
      <c r="X22" s="188"/>
      <c r="Y22" s="181"/>
      <c r="Z22" s="188" t="s">
        <v>57</v>
      </c>
      <c r="AA22" s="188"/>
      <c r="AB22" s="188"/>
      <c r="AC22" s="188" t="s">
        <v>54</v>
      </c>
      <c r="AD22" s="188" t="s">
        <v>54</v>
      </c>
      <c r="AE22" s="188" t="s">
        <v>54</v>
      </c>
      <c r="AF22" s="188" t="s">
        <v>54</v>
      </c>
      <c r="AG22" s="188"/>
      <c r="AH22" s="32"/>
      <c r="AI22" s="182" t="n">
        <f aca="false">COUNTIF($C22:$AG22,AI$4)</f>
        <v>3</v>
      </c>
      <c r="AJ22" s="182" t="n">
        <f aca="false">COUNTIF($C22:$AG22,AJ$4)</f>
        <v>0</v>
      </c>
      <c r="AK22" s="182" t="n">
        <f aca="false">COUNTIF($C22:$AG22,AK$4)</f>
        <v>0</v>
      </c>
      <c r="AL22" s="182" t="n">
        <f aca="false">COUNTIF($C22:$AG22,AL$4)</f>
        <v>1</v>
      </c>
      <c r="AM22" s="182" t="n">
        <f aca="false">COUNTIF($C22:$AG22,AM$4)</f>
        <v>0</v>
      </c>
      <c r="AN22" s="182" t="n">
        <f aca="false">COUNTIF($C22:$AG22,AN$4)</f>
        <v>0</v>
      </c>
      <c r="AO22" s="182" t="n">
        <f aca="false">COUNTIF($C22:$AG22,AO$4)</f>
        <v>0</v>
      </c>
      <c r="AP22" s="182" t="n">
        <f aca="false">COUNTIF($C22:$AG22,AP$4)</f>
        <v>0</v>
      </c>
      <c r="AQ22" s="182" t="n">
        <f aca="false">COUNTIF($C22:$AG22,AQ$4)</f>
        <v>0</v>
      </c>
      <c r="AR22" s="38"/>
      <c r="AS22" s="184"/>
      <c r="AT22" s="184" t="n">
        <v>0.5</v>
      </c>
      <c r="AU22" s="38" t="n">
        <f aca="false">SUMPRODUCT(--(WEEKDAY(C$3:AG$3,2)&lt;5),--ISNUMBER(MATCH(C22:AG22,{"DM","CS1","CS2","SB1","AE","CS/B"},0)))</f>
        <v>2</v>
      </c>
      <c r="AV22" s="38"/>
      <c r="AW22" s="38" t="n">
        <f aca="false">SUMPRODUCT(--(WEEKDAY(C$3:AG$3,2)=5),--ISNUMBER(MATCH(C22:AG22,{"DM","CS1","CS2","SB1","AE","CS/B"},0)))</f>
        <v>1</v>
      </c>
      <c r="AX22" s="38" t="n">
        <f aca="false">SUMPRODUCT(--(WEEKDAY(C$3:AG$3,2)&gt;5),--ISNUMBER(MATCH(C22:AG22,{"DM","CS1","CS2","SB1","AE","CS/B"},0)))</f>
        <v>1</v>
      </c>
      <c r="AY22" s="38"/>
      <c r="AZ22" s="38" t="n">
        <f aca="false">(AU22-AV22)+AW22*1.5+(AX22-AY22)*2+AN22*0.5+AP22*0.5+AS22-AT22</f>
        <v>5</v>
      </c>
      <c r="BA22" s="38" t="n">
        <f aca="false">AU22+AW22+AX22</f>
        <v>4</v>
      </c>
      <c r="BB22" s="38" t="n">
        <f aca="false">BE22+BG22+BI22+BK22+BM22</f>
        <v>0</v>
      </c>
      <c r="BC22" s="184" t="n">
        <f aca="false">AZ22+BD22</f>
        <v>5</v>
      </c>
      <c r="BD22" s="38" t="n">
        <f aca="false">BF22+BH22+BJ22+BL22+BN22</f>
        <v>0</v>
      </c>
      <c r="BE22" s="38" t="n">
        <f aca="false">COUNTIF(A22:AI22,"*$BTP*")</f>
        <v>0</v>
      </c>
      <c r="BF22" s="38" t="n">
        <f aca="false">BE22*1.5</f>
        <v>0</v>
      </c>
      <c r="BG22" s="38" t="n">
        <f aca="false">COUNTIF(A22:AI22,"*$M*")</f>
        <v>0</v>
      </c>
      <c r="BH22" s="38" t="n">
        <f aca="false">BG22*1</f>
        <v>0</v>
      </c>
      <c r="BI22" s="38" t="n">
        <f aca="false">COUNTIF(A22:AI22,"*$PM*")</f>
        <v>0</v>
      </c>
      <c r="BJ22" s="38" t="n">
        <f aca="false">BI22*0.5</f>
        <v>0</v>
      </c>
      <c r="BK22" s="38" t="n">
        <f aca="false">COUNTIF(A22:AI22,"*$AM*")</f>
        <v>0</v>
      </c>
      <c r="BL22" s="38" t="n">
        <f aca="false">BK22*0.5</f>
        <v>0</v>
      </c>
      <c r="BM22" s="38" t="n">
        <f aca="false">COUNTIF(A22:AI22,"*$FC*")</f>
        <v>0</v>
      </c>
      <c r="BN22" s="38" t="n">
        <f aca="false">BM22*1</f>
        <v>0</v>
      </c>
      <c r="BO22" s="38" t="n">
        <f aca="false">COUNTIF($D22:$AA22,BO$4)</f>
        <v>0</v>
      </c>
      <c r="BP22" s="38" t="n">
        <f aca="false">COUNTIF($D22:$AA22,BP$4)</f>
        <v>0</v>
      </c>
      <c r="BQ22" s="38" t="n">
        <f aca="false">COUNTIF($D22:$AA22,BQ$4)</f>
        <v>0</v>
      </c>
      <c r="BR22" s="185"/>
    </row>
    <row r="23" customFormat="false" ht="48" hidden="false" customHeight="true" outlineLevel="0" collapsed="false">
      <c r="A23" s="176"/>
      <c r="B23" s="207" t="s">
        <v>609</v>
      </c>
      <c r="C23" s="181"/>
      <c r="D23" s="181"/>
      <c r="G23" s="181"/>
      <c r="H23" s="181"/>
      <c r="I23" s="181"/>
      <c r="J23" s="181"/>
      <c r="K23" s="181"/>
      <c r="L23" s="181"/>
      <c r="N23" s="181"/>
      <c r="P23" s="181"/>
      <c r="R23" s="181"/>
      <c r="S23" s="181"/>
      <c r="T23" s="181"/>
      <c r="U23" s="181"/>
      <c r="W23" s="181"/>
      <c r="Y23" s="181"/>
      <c r="Z23" s="181"/>
      <c r="AA23" s="181"/>
      <c r="AB23" s="181"/>
      <c r="AD23" s="181"/>
      <c r="AF23" s="181"/>
      <c r="AG23" s="181"/>
      <c r="AH23" s="32"/>
      <c r="AI23" s="182" t="n">
        <f aca="false">COUNTIF($C23:$AG23,AI$4)</f>
        <v>0</v>
      </c>
      <c r="AJ23" s="182" t="n">
        <f aca="false">COUNTIF($C23:$AG23,AJ$4)</f>
        <v>0</v>
      </c>
      <c r="AK23" s="182" t="n">
        <f aca="false">COUNTIF($C23:$AG23,AK$4)</f>
        <v>0</v>
      </c>
      <c r="AL23" s="182" t="n">
        <f aca="false">COUNTIF($C23:$AG23,AL$4)</f>
        <v>0</v>
      </c>
      <c r="AM23" s="182" t="n">
        <f aca="false">COUNTIF($C23:$AG23,AM$4)</f>
        <v>0</v>
      </c>
      <c r="AN23" s="182" t="n">
        <f aca="false">COUNTIF($C23:$AG23,AN$4)</f>
        <v>0</v>
      </c>
      <c r="AO23" s="182" t="n">
        <f aca="false">COUNTIF($C23:$AG23,AO$4)</f>
        <v>0</v>
      </c>
      <c r="AP23" s="182" t="n">
        <f aca="false">COUNTIF($C23:$AG23,AP$4)</f>
        <v>0</v>
      </c>
      <c r="AQ23" s="182" t="n">
        <f aca="false">COUNTIF($C23:$AG23,AQ$4)</f>
        <v>0</v>
      </c>
      <c r="AR23" s="38"/>
      <c r="AS23" s="184"/>
      <c r="AT23" s="184" t="n">
        <v>9</v>
      </c>
      <c r="AU23" s="38" t="n">
        <f aca="false">SUMPRODUCT(--(WEEKDAY(C$3:AG$3,2)&lt;5),--ISNUMBER(MATCH(C23:AG23,{"DM","CS1","CS2","SB1","AE","CS/B"},0)))</f>
        <v>0</v>
      </c>
      <c r="AV23" s="38"/>
      <c r="AW23" s="38" t="n">
        <f aca="false">SUMPRODUCT(--(WEEKDAY(C$3:AG$3,2)=5),--ISNUMBER(MATCH(C23:AG23,{"DM","CS1","CS2","SB1","AE","CS/B"},0)))</f>
        <v>0</v>
      </c>
      <c r="AX23" s="38" t="n">
        <f aca="false">SUMPRODUCT(--(WEEKDAY(C$3:AG$3,2)&gt;5),--ISNUMBER(MATCH(C23:AG23,{"DM","CS1","CS2","SB1","AE","CS/B"},0)))</f>
        <v>0</v>
      </c>
      <c r="AY23" s="38"/>
      <c r="AZ23" s="38" t="n">
        <f aca="false">(AU23-AV23)+AW23*1.5+(AX23-AY23)*2+AN23*0.5+AP23*0.5+AS23-AT23</f>
        <v>-9</v>
      </c>
      <c r="BA23" s="38" t="n">
        <f aca="false">AU23+AW23+AX23</f>
        <v>0</v>
      </c>
      <c r="BB23" s="38" t="n">
        <f aca="false">BE23+BG23+BI23+BK23+BM23</f>
        <v>0</v>
      </c>
      <c r="BC23" s="184" t="n">
        <f aca="false">AZ23+BD23</f>
        <v>-9</v>
      </c>
      <c r="BD23" s="38" t="n">
        <f aca="false">BF23+BH23+BJ23+BL23+BN23</f>
        <v>0</v>
      </c>
      <c r="BE23" s="38" t="n">
        <f aca="false">COUNTIF(A23:AI23,"*$BTP*")</f>
        <v>0</v>
      </c>
      <c r="BF23" s="38" t="n">
        <f aca="false">BE23*1.5</f>
        <v>0</v>
      </c>
      <c r="BG23" s="38" t="n">
        <f aca="false">COUNTIF(A23:AI23,"*$M*")</f>
        <v>0</v>
      </c>
      <c r="BH23" s="38" t="n">
        <f aca="false">BG23*1</f>
        <v>0</v>
      </c>
      <c r="BI23" s="38" t="n">
        <f aca="false">COUNTIF(A23:AI23,"*$PM*")</f>
        <v>0</v>
      </c>
      <c r="BJ23" s="38" t="n">
        <f aca="false">BI23*0.5</f>
        <v>0</v>
      </c>
      <c r="BK23" s="38" t="n">
        <f aca="false">COUNTIF(A23:AI23,"*$AM*")</f>
        <v>0</v>
      </c>
      <c r="BL23" s="38" t="n">
        <f aca="false">BK23*0.5</f>
        <v>0</v>
      </c>
      <c r="BM23" s="38" t="n">
        <f aca="false">COUNTIF(A23:AI23,"*$FC*")</f>
        <v>0</v>
      </c>
      <c r="BN23" s="38" t="n">
        <f aca="false">BM23*1</f>
        <v>0</v>
      </c>
      <c r="BO23" s="38" t="n">
        <f aca="false">COUNTIF($D23:$AA23,BO$4)</f>
        <v>0</v>
      </c>
      <c r="BP23" s="38" t="n">
        <f aca="false">COUNTIF($D23:$AA23,BP$4)</f>
        <v>0</v>
      </c>
      <c r="BQ23" s="38" t="n">
        <f aca="false">COUNTIF($D23:$AA23,BQ$4)</f>
        <v>0</v>
      </c>
      <c r="BR23" s="185"/>
    </row>
    <row r="24" customFormat="false" ht="48.75" hidden="false" customHeight="true" outlineLevel="0" collapsed="false">
      <c r="A24" s="176"/>
      <c r="B24" s="207" t="s">
        <v>610</v>
      </c>
      <c r="D24" s="188"/>
      <c r="E24" s="181" t="s">
        <v>683</v>
      </c>
      <c r="F24" s="46" t="s">
        <v>65</v>
      </c>
      <c r="G24" s="188"/>
      <c r="H24" s="239" t="s">
        <v>58</v>
      </c>
      <c r="I24" s="188"/>
      <c r="J24" s="187"/>
      <c r="K24" s="188"/>
      <c r="L24" s="188" t="s">
        <v>581</v>
      </c>
      <c r="M24" s="188"/>
      <c r="N24" s="188"/>
      <c r="O24" s="187"/>
      <c r="P24" s="187"/>
      <c r="Q24" s="187"/>
      <c r="R24" s="188" t="s">
        <v>573</v>
      </c>
      <c r="S24" s="188"/>
      <c r="T24" s="188"/>
      <c r="U24" s="188"/>
      <c r="V24" s="188" t="s">
        <v>164</v>
      </c>
      <c r="W24" s="179" t="s">
        <v>348</v>
      </c>
      <c r="X24" s="179" t="s">
        <v>348</v>
      </c>
      <c r="Y24" s="188"/>
      <c r="Z24" s="188" t="s">
        <v>354</v>
      </c>
      <c r="AA24" s="188" t="s">
        <v>93</v>
      </c>
      <c r="AB24" s="92" t="s">
        <v>684</v>
      </c>
      <c r="AC24" s="181" t="s">
        <v>685</v>
      </c>
      <c r="AD24" s="188"/>
      <c r="AE24" s="188"/>
      <c r="AF24" s="188"/>
      <c r="AG24" s="188"/>
      <c r="AH24" s="32"/>
      <c r="AI24" s="182" t="n">
        <f aca="false">COUNTIF($C24:$AG24,AI$4)</f>
        <v>0</v>
      </c>
      <c r="AJ24" s="182" t="n">
        <f aca="false">COUNTIF($C24:$AG24,AJ$4)</f>
        <v>0</v>
      </c>
      <c r="AK24" s="182" t="n">
        <f aca="false">COUNTIF($C24:$AG24,AK$4)</f>
        <v>0</v>
      </c>
      <c r="AL24" s="182" t="n">
        <f aca="false">COUNTIF($C24:$AG24,AL$4)</f>
        <v>0</v>
      </c>
      <c r="AM24" s="182" t="n">
        <f aca="false">COUNTIF($C24:$AG24,AM$4)</f>
        <v>1</v>
      </c>
      <c r="AN24" s="182" t="n">
        <f aca="false">COUNTIF($C24:$AG24,AN$4)</f>
        <v>1</v>
      </c>
      <c r="AO24" s="182" t="n">
        <f aca="false">COUNTIF($C24:$AG24,AO$4)</f>
        <v>1</v>
      </c>
      <c r="AP24" s="182" t="n">
        <f aca="false">COUNTIF($C24:$AG24,AP$4)</f>
        <v>0</v>
      </c>
      <c r="AQ24" s="182" t="n">
        <f aca="false">COUNTIF($C24:$AG24,AQ$4)</f>
        <v>0</v>
      </c>
      <c r="AR24" s="38"/>
      <c r="AS24" s="184" t="n">
        <v>1.5</v>
      </c>
      <c r="AT24" s="184"/>
      <c r="AU24" s="38" t="n">
        <f aca="false">SUMPRODUCT(--(WEEKDAY(C$3:AG$3,2)&lt;5),--ISNUMBER(MATCH(C24:AG24,{"DM","CS1","CS2","SB1","AE","CS/B"},0)))</f>
        <v>1</v>
      </c>
      <c r="AV24" s="38"/>
      <c r="AW24" s="38" t="n">
        <f aca="false">SUMPRODUCT(--(WEEKDAY(C$3:AG$3,2)=5),--ISNUMBER(MATCH(C24:AG24,{"DM","CS1","CS2","SB1","AE","CS/B"},0)))</f>
        <v>1</v>
      </c>
      <c r="AX24" s="38" t="n">
        <f aca="false">SUMPRODUCT(--(WEEKDAY(C$3:AG$3,2)&gt;5),--ISNUMBER(MATCH(C24:AG24,{"DM","CS1","CS2","SB1","AE","CS/B"},0)))</f>
        <v>0</v>
      </c>
      <c r="AY24" s="38"/>
      <c r="AZ24" s="38" t="n">
        <f aca="false">(AU24-AV24)+AW24*1.5+(AX24-AY24)*2+AN24*0.5+AP24*0.5+AS24-AT24</f>
        <v>4.5</v>
      </c>
      <c r="BA24" s="38" t="n">
        <f aca="false">AU24+AW24+AX24</f>
        <v>2</v>
      </c>
      <c r="BB24" s="38" t="n">
        <f aca="false">BE24+BG24+BI24+BK24+BM24</f>
        <v>4</v>
      </c>
      <c r="BC24" s="184" t="n">
        <f aca="false">AZ24+BD24</f>
        <v>7</v>
      </c>
      <c r="BD24" s="38" t="n">
        <f aca="false">BF24+BH24+BJ24+BL24+BN24</f>
        <v>2.5</v>
      </c>
      <c r="BE24" s="38" t="n">
        <f aca="false">COUNTIF(A24:AI24,"*$BTP*")</f>
        <v>0</v>
      </c>
      <c r="BF24" s="38" t="n">
        <f aca="false">BE24*1.5</f>
        <v>0</v>
      </c>
      <c r="BG24" s="38" t="n">
        <f aca="false">COUNTIF(A24:AI24,"*$M*")</f>
        <v>1</v>
      </c>
      <c r="BH24" s="38" t="n">
        <f aca="false">BG24*1</f>
        <v>1</v>
      </c>
      <c r="BI24" s="38" t="n">
        <f aca="false">COUNTIF(A24:AI24,"*$PM*")</f>
        <v>0</v>
      </c>
      <c r="BJ24" s="38" t="n">
        <f aca="false">BI24*0.5</f>
        <v>0</v>
      </c>
      <c r="BK24" s="38" t="n">
        <f aca="false">COUNTIF(A24:AI24,"*$AM*")</f>
        <v>3</v>
      </c>
      <c r="BL24" s="38" t="n">
        <f aca="false">BK24*0.5</f>
        <v>1.5</v>
      </c>
      <c r="BM24" s="38" t="n">
        <f aca="false">COUNTIF(A24:AI24,"*$FC*")</f>
        <v>0</v>
      </c>
      <c r="BN24" s="38" t="n">
        <f aca="false">BM24*1</f>
        <v>0</v>
      </c>
      <c r="BO24" s="38" t="n">
        <f aca="false">COUNTIF($D24:$AA24,BO$4)</f>
        <v>0</v>
      </c>
      <c r="BP24" s="38" t="n">
        <f aca="false">COUNTIF($D24:$AA24,BP$4)</f>
        <v>0</v>
      </c>
      <c r="BQ24" s="38" t="n">
        <f aca="false">COUNTIF($D24:$AA24,BQ$4)</f>
        <v>0</v>
      </c>
      <c r="BR24" s="185"/>
    </row>
    <row r="25" customFormat="false" ht="51" hidden="false" customHeight="true" outlineLevel="0" collapsed="false">
      <c r="A25" s="176"/>
      <c r="B25" s="207" t="s">
        <v>613</v>
      </c>
      <c r="C25" s="181"/>
      <c r="D25" s="181" t="s">
        <v>672</v>
      </c>
      <c r="E25" s="181" t="s">
        <v>71</v>
      </c>
      <c r="F25" s="181" t="s">
        <v>71</v>
      </c>
      <c r="G25" s="181" t="s">
        <v>71</v>
      </c>
      <c r="H25" s="181" t="s">
        <v>71</v>
      </c>
      <c r="I25" s="181" t="s">
        <v>71</v>
      </c>
      <c r="J25" s="181"/>
      <c r="K25" s="181" t="s">
        <v>57</v>
      </c>
      <c r="L25" s="178"/>
      <c r="M25" s="188" t="s">
        <v>57</v>
      </c>
      <c r="N25" s="181"/>
      <c r="O25" s="181"/>
      <c r="P25" s="181"/>
      <c r="Q25" s="181"/>
      <c r="R25" s="188" t="s">
        <v>57</v>
      </c>
      <c r="T25" s="188" t="s">
        <v>56</v>
      </c>
      <c r="U25" s="181"/>
      <c r="V25" s="181"/>
      <c r="W25" s="181"/>
      <c r="X25" s="181"/>
      <c r="Y25" s="181"/>
      <c r="Z25" s="181" t="s">
        <v>56</v>
      </c>
      <c r="AA25" s="181"/>
      <c r="AB25" s="181"/>
      <c r="AC25" s="181"/>
      <c r="AD25" s="181"/>
      <c r="AE25" s="181"/>
      <c r="AF25" s="181"/>
      <c r="AG25" s="181"/>
      <c r="AH25" s="32"/>
      <c r="AI25" s="182" t="n">
        <f aca="false">COUNTIF($C25:$AG25,AI$4)</f>
        <v>3</v>
      </c>
      <c r="AJ25" s="182" t="n">
        <f aca="false">COUNTIF($C25:$AG25,AJ$4)</f>
        <v>2</v>
      </c>
      <c r="AK25" s="182" t="n">
        <f aca="false">COUNTIF($C25:$AG25,AK$4)</f>
        <v>0</v>
      </c>
      <c r="AL25" s="182" t="n">
        <f aca="false">COUNTIF($C25:$AG25,AL$4)</f>
        <v>0</v>
      </c>
      <c r="AM25" s="182" t="n">
        <f aca="false">COUNTIF($C25:$AG25,AM$4)</f>
        <v>0</v>
      </c>
      <c r="AN25" s="182" t="n">
        <f aca="false">COUNTIF($C25:$AG25,AN$4)</f>
        <v>0</v>
      </c>
      <c r="AO25" s="182" t="n">
        <f aca="false">COUNTIF($C25:$AG25,AO$4)</f>
        <v>0</v>
      </c>
      <c r="AP25" s="182" t="n">
        <f aca="false">COUNTIF($C25:$AG25,AP$4)</f>
        <v>0</v>
      </c>
      <c r="AQ25" s="182" t="n">
        <f aca="false">COUNTIF($C25:$AG25,AQ$4)</f>
        <v>0</v>
      </c>
      <c r="AR25" s="67"/>
      <c r="AS25" s="184"/>
      <c r="AT25" s="184" t="n">
        <v>4</v>
      </c>
      <c r="AU25" s="38" t="n">
        <f aca="false">SUMPRODUCT(--(WEEKDAY(C$3:AG$3,2)&lt;5),--ISNUMBER(MATCH(C25:AG25,{"DM","CS1","CS2","SB1","AE","CS/B"},0)))</f>
        <v>5</v>
      </c>
      <c r="AV25" s="38"/>
      <c r="AW25" s="38" t="n">
        <f aca="false">SUMPRODUCT(--(WEEKDAY(C$3:AG$3,2)=5),--ISNUMBER(MATCH(C25:AG25,{"DM","CS1","CS2","SB1","AE","CS/B"},0)))</f>
        <v>0</v>
      </c>
      <c r="AX25" s="38" t="n">
        <f aca="false">SUMPRODUCT(--(WEEKDAY(C$3:AG$3,2)&gt;5),--ISNUMBER(MATCH(C25:AG25,{"DM","CS1","CS2","SB1","AE","CS/B"},0)))</f>
        <v>0</v>
      </c>
      <c r="AY25" s="67"/>
      <c r="AZ25" s="38" t="n">
        <f aca="false">(AU25-AV25)+AW25*1.5+(AX25-AY25)*2+AN25*0.5+AP25*0.5+AS25-AT25</f>
        <v>1</v>
      </c>
      <c r="BA25" s="38" t="n">
        <f aca="false">AU25+AW25+AX25</f>
        <v>5</v>
      </c>
      <c r="BB25" s="38" t="n">
        <f aca="false">BE25+BG25+BI25+BK25+BM25</f>
        <v>0</v>
      </c>
      <c r="BC25" s="184" t="n">
        <f aca="false">AZ25+BD25</f>
        <v>1</v>
      </c>
      <c r="BD25" s="38" t="n">
        <f aca="false">BF25+BH25+BJ25+BL25+BN25</f>
        <v>0</v>
      </c>
      <c r="BE25" s="38" t="n">
        <f aca="false">COUNTIF(A25:AI25,"*$BTP*")</f>
        <v>0</v>
      </c>
      <c r="BF25" s="38" t="n">
        <f aca="false">BE25*1.5</f>
        <v>0</v>
      </c>
      <c r="BG25" s="38" t="n">
        <f aca="false">COUNTIF(A25:AI25,"*$M*")</f>
        <v>0</v>
      </c>
      <c r="BH25" s="38" t="n">
        <f aca="false">BG25*1</f>
        <v>0</v>
      </c>
      <c r="BI25" s="38" t="n">
        <f aca="false">COUNTIF(A25:AI25,"*$PM*")</f>
        <v>0</v>
      </c>
      <c r="BJ25" s="38" t="n">
        <f aca="false">BI25*0.5</f>
        <v>0</v>
      </c>
      <c r="BK25" s="38" t="n">
        <f aca="false">COUNTIF(A25:AI25,"*$AM*")</f>
        <v>0</v>
      </c>
      <c r="BL25" s="38" t="n">
        <f aca="false">BK25*0.5</f>
        <v>0</v>
      </c>
      <c r="BM25" s="38" t="n">
        <f aca="false">COUNTIF(A25:AI25,"*$FC*")</f>
        <v>0</v>
      </c>
      <c r="BN25" s="38" t="n">
        <f aca="false">BM25*1</f>
        <v>0</v>
      </c>
      <c r="BO25" s="38" t="n">
        <f aca="false">COUNTIF($D25:$AA25,BO$4)</f>
        <v>0</v>
      </c>
      <c r="BP25" s="38" t="n">
        <f aca="false">COUNTIF($D25:$AA25,BP$4)</f>
        <v>0</v>
      </c>
      <c r="BQ25" s="38" t="n">
        <f aca="false">COUNTIF($D25:$AA25,BQ$4)</f>
        <v>0</v>
      </c>
      <c r="BR25" s="211"/>
    </row>
    <row r="26" customFormat="false" ht="19.5" hidden="false" customHeight="true" outlineLevel="0" collapsed="false">
      <c r="A26" s="176"/>
      <c r="B26" s="207" t="s">
        <v>614</v>
      </c>
      <c r="C26" s="188" t="s">
        <v>566</v>
      </c>
      <c r="D26" s="188"/>
      <c r="E26" s="188" t="s">
        <v>93</v>
      </c>
      <c r="F26" s="181" t="s">
        <v>686</v>
      </c>
      <c r="G26" s="188"/>
      <c r="H26" s="188" t="s">
        <v>54</v>
      </c>
      <c r="I26" s="188" t="s">
        <v>54</v>
      </c>
      <c r="J26" s="188" t="s">
        <v>54</v>
      </c>
      <c r="K26" s="188" t="s">
        <v>54</v>
      </c>
      <c r="L26" s="188" t="s">
        <v>54</v>
      </c>
      <c r="M26" s="188" t="s">
        <v>54</v>
      </c>
      <c r="N26" s="188" t="s">
        <v>54</v>
      </c>
      <c r="O26" s="188"/>
      <c r="P26" s="188"/>
      <c r="Q26" s="188"/>
      <c r="R26" s="188"/>
      <c r="S26" s="188"/>
      <c r="T26" s="188"/>
      <c r="U26" s="188"/>
      <c r="V26" s="181"/>
      <c r="W26" s="188" t="s">
        <v>59</v>
      </c>
      <c r="X26" s="188"/>
      <c r="Y26" s="188"/>
      <c r="Z26" s="188"/>
      <c r="AA26" s="188" t="s">
        <v>573</v>
      </c>
      <c r="AB26" s="188"/>
      <c r="AC26" s="92"/>
      <c r="AD26" s="188" t="s">
        <v>350</v>
      </c>
      <c r="AE26" s="188"/>
      <c r="AF26" s="188"/>
      <c r="AG26" s="188" t="s">
        <v>59</v>
      </c>
      <c r="AH26" s="32"/>
      <c r="AI26" s="182" t="n">
        <f aca="false">COUNTIF($C26:$AG26,AI$4)</f>
        <v>0</v>
      </c>
      <c r="AJ26" s="182" t="n">
        <f aca="false">COUNTIF($C26:$AG26,AJ$4)</f>
        <v>0</v>
      </c>
      <c r="AK26" s="182" t="n">
        <f aca="false">COUNTIF($C26:$AG26,AK$4)</f>
        <v>2</v>
      </c>
      <c r="AL26" s="182" t="n">
        <f aca="false">COUNTIF($C26:$AG26,AL$4)</f>
        <v>1</v>
      </c>
      <c r="AM26" s="182" t="n">
        <f aca="false">COUNTIF($C26:$AG26,AM$4)</f>
        <v>0</v>
      </c>
      <c r="AN26" s="182" t="n">
        <f aca="false">COUNTIF($C26:$AG26,AN$4)</f>
        <v>1</v>
      </c>
      <c r="AO26" s="182" t="n">
        <f aca="false">COUNTIF($C26:$AG26,AO$4)</f>
        <v>0</v>
      </c>
      <c r="AP26" s="182" t="n">
        <f aca="false">COUNTIF($C26:$AG26,AP$4)</f>
        <v>0</v>
      </c>
      <c r="AQ26" s="182" t="n">
        <f aca="false">COUNTIF($C26:$AG26,AQ$4)</f>
        <v>0</v>
      </c>
      <c r="AR26" s="67"/>
      <c r="AS26" s="184" t="n">
        <v>1</v>
      </c>
      <c r="AT26" s="184"/>
      <c r="AU26" s="38" t="n">
        <f aca="false">SUMPRODUCT(--(WEEKDAY(C$3:AG$3,2)&lt;5),--ISNUMBER(MATCH(C26:AG26,{"DM","CS1","CS2","SB1","AE","CS/B"},0)))</f>
        <v>1</v>
      </c>
      <c r="AV26" s="67"/>
      <c r="AW26" s="38" t="n">
        <f aca="false">SUMPRODUCT(--(WEEKDAY(C$3:AG$3,2)=5),--ISNUMBER(MATCH(C26:AG26,{"DM","CS1","CS2","SB1","AE","CS/B"},0)))</f>
        <v>0</v>
      </c>
      <c r="AX26" s="38" t="n">
        <f aca="false">SUMPRODUCT(--(WEEKDAY(C$3:AG$3,2)&gt;5),--ISNUMBER(MATCH(C26:AG26,{"DM","CS1","CS2","SB1","AE","CS/B"},0)))</f>
        <v>2</v>
      </c>
      <c r="AY26" s="67"/>
      <c r="AZ26" s="38" t="n">
        <f aca="false">(AU26-AV26)+AW26*1.5+(AX26-AY26)*2+AN26*0.5+AP26*0.5+AS26-AT26</f>
        <v>6.5</v>
      </c>
      <c r="BA26" s="38" t="n">
        <f aca="false">AU26+AW26+AX26</f>
        <v>3</v>
      </c>
      <c r="BB26" s="38" t="n">
        <f aca="false">BE26+BG26+BI26+BK26+BM26</f>
        <v>1</v>
      </c>
      <c r="BC26" s="184" t="n">
        <f aca="false">AZ26+BD26</f>
        <v>7</v>
      </c>
      <c r="BD26" s="38" t="n">
        <f aca="false">BF26+BH26+BJ26+BL26+BN26</f>
        <v>0.5</v>
      </c>
      <c r="BE26" s="38" t="n">
        <f aca="false">COUNTIF(A26:AI26,"*$BTP*")</f>
        <v>0</v>
      </c>
      <c r="BF26" s="38" t="n">
        <f aca="false">BE26*1.5</f>
        <v>0</v>
      </c>
      <c r="BG26" s="38" t="n">
        <f aca="false">COUNTIF(A26:AI26,"*$M*")</f>
        <v>0</v>
      </c>
      <c r="BH26" s="38" t="n">
        <f aca="false">BG26*1</f>
        <v>0</v>
      </c>
      <c r="BI26" s="38" t="n">
        <f aca="false">COUNTIF(A26:AI26,"*$PM*")</f>
        <v>0</v>
      </c>
      <c r="BJ26" s="38" t="n">
        <f aca="false">BI26*0.5</f>
        <v>0</v>
      </c>
      <c r="BK26" s="38" t="n">
        <f aca="false">COUNTIF(A26:AI26,"*$AM*")</f>
        <v>1</v>
      </c>
      <c r="BL26" s="38" t="n">
        <f aca="false">BK26*0.5</f>
        <v>0.5</v>
      </c>
      <c r="BM26" s="38" t="n">
        <f aca="false">COUNTIF(A26:AI26,"*$FC*")</f>
        <v>0</v>
      </c>
      <c r="BN26" s="38" t="n">
        <f aca="false">BM26*1</f>
        <v>0</v>
      </c>
      <c r="BO26" s="38" t="n">
        <f aca="false">COUNTIF($D26:$AA26,BO$4)</f>
        <v>0</v>
      </c>
      <c r="BP26" s="38" t="n">
        <f aca="false">COUNTIF($D26:$AA26,BP$4)</f>
        <v>0</v>
      </c>
      <c r="BQ26" s="38" t="n">
        <f aca="false">COUNTIF($D26:$AA26,BQ$4)</f>
        <v>0</v>
      </c>
      <c r="BR26" s="211"/>
    </row>
    <row r="27" customFormat="false" ht="19.5" hidden="false" customHeight="true" outlineLevel="0" collapsed="false">
      <c r="A27" s="176"/>
      <c r="B27" s="207" t="s">
        <v>618</v>
      </c>
      <c r="C27" s="181"/>
      <c r="D27" s="181" t="s">
        <v>261</v>
      </c>
      <c r="E27" s="181"/>
      <c r="F27" s="188" t="s">
        <v>687</v>
      </c>
      <c r="G27" s="181" t="s">
        <v>150</v>
      </c>
      <c r="H27" s="181" t="s">
        <v>150</v>
      </c>
      <c r="I27" s="181" t="s">
        <v>671</v>
      </c>
      <c r="J27" s="181"/>
      <c r="K27" s="181"/>
      <c r="L27" s="181" t="s">
        <v>350</v>
      </c>
      <c r="M27" s="181"/>
      <c r="N27" s="188"/>
      <c r="O27" s="181" t="s">
        <v>59</v>
      </c>
      <c r="P27" s="181"/>
      <c r="Q27" s="181"/>
      <c r="R27" s="181" t="s">
        <v>59</v>
      </c>
      <c r="S27" s="181"/>
      <c r="T27" s="181" t="s">
        <v>59</v>
      </c>
      <c r="V27" s="92"/>
      <c r="W27" s="181"/>
      <c r="X27" s="181"/>
      <c r="Y27" s="181"/>
      <c r="Z27" s="181"/>
      <c r="AA27" s="181"/>
      <c r="AB27" s="181" t="s">
        <v>350</v>
      </c>
      <c r="AC27" s="181"/>
      <c r="AD27" s="181" t="s">
        <v>56</v>
      </c>
      <c r="AE27" s="181"/>
      <c r="AF27" s="181" t="s">
        <v>93</v>
      </c>
      <c r="AG27" s="92" t="s">
        <v>56</v>
      </c>
      <c r="AH27" s="32"/>
      <c r="AI27" s="182" t="n">
        <f aca="false">COUNTIF($C27:$AG27,AI$4)</f>
        <v>0</v>
      </c>
      <c r="AJ27" s="182" t="n">
        <f aca="false">COUNTIF($C27:$AG27,AJ$4)</f>
        <v>2</v>
      </c>
      <c r="AK27" s="182" t="n">
        <f aca="false">COUNTIF($C27:$AG27,AK$4)</f>
        <v>3</v>
      </c>
      <c r="AL27" s="182" t="n">
        <f aca="false">COUNTIF($C27:$AG27,AL$4)</f>
        <v>0</v>
      </c>
      <c r="AM27" s="182" t="n">
        <f aca="false">COUNTIF($C27:$AG27,AM$4)</f>
        <v>0</v>
      </c>
      <c r="AN27" s="182" t="n">
        <f aca="false">COUNTIF($C27:$AG27,AN$4)</f>
        <v>1</v>
      </c>
      <c r="AO27" s="182" t="n">
        <f aca="false">COUNTIF($C27:$AG27,AO$4)</f>
        <v>0</v>
      </c>
      <c r="AP27" s="182" t="n">
        <f aca="false">COUNTIF($C27:$AG27,AP$4)</f>
        <v>0</v>
      </c>
      <c r="AQ27" s="182" t="n">
        <f aca="false">COUNTIF($C27:$AG27,AQ$4)</f>
        <v>0</v>
      </c>
      <c r="AR27" s="67"/>
      <c r="AS27" s="184"/>
      <c r="AT27" s="184" t="n">
        <v>2</v>
      </c>
      <c r="AU27" s="38" t="n">
        <f aca="false">SUMPRODUCT(--(WEEKDAY(C$3:AG$3,2)&lt;5),--ISNUMBER(MATCH(C27:AG27,{"DM","CS1","CS2","SB1","AE","CS/B"},0)))</f>
        <v>3</v>
      </c>
      <c r="AV27" s="67"/>
      <c r="AW27" s="38" t="n">
        <f aca="false">SUMPRODUCT(--(WEEKDAY(C$3:AG$3,2)=5),--ISNUMBER(MATCH(C27:AG27,{"DM","CS1","CS2","SB1","AE","CS/B"},0)))</f>
        <v>1</v>
      </c>
      <c r="AX27" s="38" t="n">
        <f aca="false">SUMPRODUCT(--(WEEKDAY(C$3:AG$3,2)&gt;5),--ISNUMBER(MATCH(C27:AG27,{"DM","CS1","CS2","SB1","AE","CS/B"},0)))</f>
        <v>1</v>
      </c>
      <c r="AY27" s="67"/>
      <c r="AZ27" s="38" t="n">
        <f aca="false">(AU27-AV27)+AW27*1.5+(AX27-AY27)*2+AN27*0.5+AP27*0.5+AS27-AT27</f>
        <v>5</v>
      </c>
      <c r="BA27" s="38" t="n">
        <f aca="false">AU27+AW27+AX27</f>
        <v>5</v>
      </c>
      <c r="BB27" s="38" t="n">
        <f aca="false">BE27+BG27+BI27+BK27+BM27</f>
        <v>2</v>
      </c>
      <c r="BC27" s="184" t="n">
        <f aca="false">AZ27+BD27</f>
        <v>6.5</v>
      </c>
      <c r="BD27" s="38" t="n">
        <f aca="false">BF27+BH27+BJ27+BL27+BN27</f>
        <v>1.5</v>
      </c>
      <c r="BE27" s="38" t="n">
        <f aca="false">COUNTIF(A27:AI27,"*$BTP*")</f>
        <v>0</v>
      </c>
      <c r="BF27" s="38" t="n">
        <f aca="false">BE27*1.5</f>
        <v>0</v>
      </c>
      <c r="BG27" s="38" t="n">
        <f aca="false">COUNTIF(A27:AI27,"*$M*")</f>
        <v>1</v>
      </c>
      <c r="BH27" s="38" t="n">
        <f aca="false">BG27*1</f>
        <v>1</v>
      </c>
      <c r="BI27" s="38" t="n">
        <f aca="false">COUNTIF(A27:AI27,"*$PM*")</f>
        <v>0</v>
      </c>
      <c r="BJ27" s="38" t="n">
        <f aca="false">BI27*0.5</f>
        <v>0</v>
      </c>
      <c r="BK27" s="38" t="n">
        <f aca="false">COUNTIF(A27:AI27,"*$AM*")</f>
        <v>1</v>
      </c>
      <c r="BL27" s="38" t="n">
        <f aca="false">BK27*0.5</f>
        <v>0.5</v>
      </c>
      <c r="BM27" s="38" t="n">
        <f aca="false">COUNTIF(A27:AI27,"*$FC*")</f>
        <v>0</v>
      </c>
      <c r="BN27" s="38" t="n">
        <f aca="false">BM27*1</f>
        <v>0</v>
      </c>
      <c r="BO27" s="38" t="n">
        <f aca="false">COUNTIF($D27:$AA27,BO$4)</f>
        <v>0</v>
      </c>
      <c r="BP27" s="38" t="n">
        <f aca="false">COUNTIF($D27:$AA27,BP$4)</f>
        <v>1</v>
      </c>
      <c r="BQ27" s="38" t="n">
        <f aca="false">COUNTIF($D27:$AA27,BQ$4)</f>
        <v>0</v>
      </c>
      <c r="BR27" s="211"/>
    </row>
    <row r="28" customFormat="false" ht="19.5" hidden="false" customHeight="true" outlineLevel="0" collapsed="false">
      <c r="A28" s="176"/>
      <c r="B28" s="207" t="s">
        <v>442</v>
      </c>
      <c r="C28" s="188"/>
      <c r="D28" s="188"/>
      <c r="E28" s="188" t="s">
        <v>57</v>
      </c>
      <c r="F28" s="181" t="s">
        <v>669</v>
      </c>
      <c r="G28" s="188" t="s">
        <v>566</v>
      </c>
      <c r="H28" s="188"/>
      <c r="I28" s="187"/>
      <c r="J28" s="181" t="s">
        <v>59</v>
      </c>
      <c r="K28" s="188"/>
      <c r="L28" s="91" t="s">
        <v>57</v>
      </c>
      <c r="M28" s="188"/>
      <c r="N28" s="92"/>
      <c r="O28" s="188" t="s">
        <v>350</v>
      </c>
      <c r="P28" s="188"/>
      <c r="Q28" s="188"/>
      <c r="S28" s="181" t="s">
        <v>57</v>
      </c>
      <c r="T28" s="188"/>
      <c r="U28" s="188"/>
      <c r="V28" s="187"/>
      <c r="W28" s="187"/>
      <c r="X28" s="187"/>
      <c r="Y28" s="188"/>
      <c r="Z28" s="188"/>
      <c r="AA28" s="92"/>
      <c r="AB28" s="181" t="s">
        <v>245</v>
      </c>
      <c r="AC28" s="188" t="s">
        <v>59</v>
      </c>
      <c r="AD28" s="188"/>
      <c r="AE28" s="188"/>
      <c r="AF28" s="188"/>
      <c r="AG28" s="188"/>
      <c r="AH28" s="91"/>
      <c r="AI28" s="182" t="n">
        <f aca="false">COUNTIF($C28:$AG28,AI$4)</f>
        <v>3</v>
      </c>
      <c r="AJ28" s="182" t="n">
        <f aca="false">COUNTIF($C28:$AG28,AJ$4)</f>
        <v>0</v>
      </c>
      <c r="AK28" s="182" t="n">
        <f aca="false">COUNTIF($C28:$AG28,AK$4)</f>
        <v>2</v>
      </c>
      <c r="AL28" s="182" t="n">
        <f aca="false">COUNTIF($C28:$AG28,AL$4)</f>
        <v>1</v>
      </c>
      <c r="AM28" s="182" t="n">
        <f aca="false">COUNTIF($C28:$AG28,AM$4)</f>
        <v>0</v>
      </c>
      <c r="AN28" s="182" t="n">
        <f aca="false">COUNTIF($C28:$AG28,AN$4)</f>
        <v>0</v>
      </c>
      <c r="AO28" s="182" t="n">
        <f aca="false">COUNTIF($C28:$AG28,AO$4)</f>
        <v>0</v>
      </c>
      <c r="AP28" s="182" t="n">
        <f aca="false">COUNTIF($C28:$AG28,AP$4)</f>
        <v>0</v>
      </c>
      <c r="AQ28" s="182" t="n">
        <f aca="false">COUNTIF($C28:$AG28,AQ$4)</f>
        <v>0</v>
      </c>
      <c r="AR28" s="67"/>
      <c r="AS28" s="184"/>
      <c r="AT28" s="184" t="n">
        <v>1</v>
      </c>
      <c r="AU28" s="38" t="n">
        <f aca="false">SUMPRODUCT(--(WEEKDAY(C$3:AG$3,2)&lt;5),--ISNUMBER(MATCH(C28:AG28,{"DM","CS1","CS2","SB1","AE","CS/B"},0)))</f>
        <v>4</v>
      </c>
      <c r="AV28" s="67"/>
      <c r="AW28" s="38" t="n">
        <f aca="false">SUMPRODUCT(--(WEEKDAY(C$3:AG$3,2)=5),--ISNUMBER(MATCH(C28:AG28,{"DM","CS1","CS2","SB1","AE","CS/B"},0)))</f>
        <v>1</v>
      </c>
      <c r="AX28" s="38" t="n">
        <f aca="false">SUMPRODUCT(--(WEEKDAY(C$3:AG$3,2)&gt;5),--ISNUMBER(MATCH(C28:AG28,{"DM","CS1","CS2","SB1","AE","CS/B"},0)))</f>
        <v>1</v>
      </c>
      <c r="AY28" s="67"/>
      <c r="AZ28" s="38" t="n">
        <f aca="false">(AU28-AV28)+AW28*1.5+(AX28-AY28)*2+AN28*0.5+AP28*0.5+AS28-AT28</f>
        <v>6.5</v>
      </c>
      <c r="BA28" s="38" t="n">
        <f aca="false">AU28+AW28+AX28</f>
        <v>6</v>
      </c>
      <c r="BB28" s="38" t="n">
        <f aca="false">BE28+BG28+BI28+BK28+BM28</f>
        <v>1</v>
      </c>
      <c r="BC28" s="184" t="n">
        <f aca="false">AZ28+BD28</f>
        <v>7</v>
      </c>
      <c r="BD28" s="38" t="n">
        <f aca="false">BF28+BH28+BJ28+BL28+BN28</f>
        <v>0.5</v>
      </c>
      <c r="BE28" s="38" t="n">
        <f aca="false">COUNTIF(A28:AI28,"*$BTP*")</f>
        <v>0</v>
      </c>
      <c r="BF28" s="38" t="n">
        <f aca="false">BE28*1.5</f>
        <v>0</v>
      </c>
      <c r="BG28" s="38" t="n">
        <f aca="false">COUNTIF(A28:AI28,"*$M*")</f>
        <v>0</v>
      </c>
      <c r="BH28" s="38" t="n">
        <f aca="false">BG28*1</f>
        <v>0</v>
      </c>
      <c r="BI28" s="38" t="n">
        <f aca="false">COUNTIF(A28:AI28,"*$PM*")</f>
        <v>0</v>
      </c>
      <c r="BJ28" s="38" t="n">
        <f aca="false">BI28*0.5</f>
        <v>0</v>
      </c>
      <c r="BK28" s="38" t="n">
        <f aca="false">COUNTIF(A28:AI28,"*$AM*")</f>
        <v>1</v>
      </c>
      <c r="BL28" s="38" t="n">
        <f aca="false">BK28*0.5</f>
        <v>0.5</v>
      </c>
      <c r="BM28" s="38" t="n">
        <f aca="false">COUNTIF(A28:AI28,"*$FC*")</f>
        <v>0</v>
      </c>
      <c r="BN28" s="38" t="n">
        <f aca="false">BM28*1</f>
        <v>0</v>
      </c>
      <c r="BO28" s="38" t="n">
        <f aca="false">COUNTIF($D28:$AA28,BO$4)</f>
        <v>0</v>
      </c>
      <c r="BP28" s="38" t="n">
        <f aca="false">COUNTIF($D28:$AA28,BP$4)</f>
        <v>1</v>
      </c>
      <c r="BQ28" s="38" t="n">
        <f aca="false">COUNTIF($D28:$AA28,BQ$4)</f>
        <v>0</v>
      </c>
      <c r="BR28" s="211"/>
    </row>
    <row r="29" customFormat="false" ht="19.5" hidden="false" customHeight="true" outlineLevel="0" collapsed="false">
      <c r="A29" s="176"/>
      <c r="B29" s="207" t="s">
        <v>623</v>
      </c>
      <c r="C29" s="181"/>
      <c r="D29" s="181" t="s">
        <v>683</v>
      </c>
      <c r="E29" s="46"/>
      <c r="F29" s="181" t="s">
        <v>680</v>
      </c>
      <c r="G29" s="181" t="s">
        <v>678</v>
      </c>
      <c r="H29" s="181"/>
      <c r="I29" s="181" t="s">
        <v>65</v>
      </c>
      <c r="J29" s="181"/>
      <c r="L29" s="181"/>
      <c r="M29" s="181" t="s">
        <v>350</v>
      </c>
      <c r="N29" s="181"/>
      <c r="O29" s="181" t="s">
        <v>688</v>
      </c>
      <c r="P29" s="181"/>
      <c r="Q29" s="181"/>
      <c r="R29" s="188" t="s">
        <v>573</v>
      </c>
      <c r="S29" s="181"/>
      <c r="T29" s="181"/>
      <c r="U29" s="181"/>
      <c r="V29" s="181" t="s">
        <v>56</v>
      </c>
      <c r="W29" s="181"/>
      <c r="X29" s="181"/>
      <c r="Y29" s="181"/>
      <c r="Z29" s="181" t="s">
        <v>689</v>
      </c>
      <c r="AA29" s="181"/>
      <c r="AC29" s="188"/>
      <c r="AD29" s="181"/>
      <c r="AE29" s="181" t="s">
        <v>65</v>
      </c>
      <c r="AF29" s="181"/>
      <c r="AG29" s="92" t="s">
        <v>573</v>
      </c>
      <c r="AH29" s="32"/>
      <c r="AI29" s="182" t="n">
        <f aca="false">COUNTIF($C29:$AG29,AI$4)</f>
        <v>0</v>
      </c>
      <c r="AJ29" s="182" t="n">
        <f aca="false">COUNTIF($C29:$AG29,AJ$4)</f>
        <v>1</v>
      </c>
      <c r="AK29" s="182" t="n">
        <f aca="false">COUNTIF($C29:$AG29,AK$4)</f>
        <v>0</v>
      </c>
      <c r="AL29" s="182" t="n">
        <f aca="false">COUNTIF($C29:$AG29,AL$4)</f>
        <v>0</v>
      </c>
      <c r="AM29" s="182" t="n">
        <f aca="false">COUNTIF($C29:$AG29,AM$4)</f>
        <v>0</v>
      </c>
      <c r="AN29" s="182" t="n">
        <f aca="false">COUNTIF($C29:$AG29,AN$4)</f>
        <v>0</v>
      </c>
      <c r="AO29" s="182" t="n">
        <f aca="false">COUNTIF($C29:$AG29,AO$4)</f>
        <v>2</v>
      </c>
      <c r="AP29" s="182" t="n">
        <f aca="false">COUNTIF($C29:$AG29,AP$4)</f>
        <v>0</v>
      </c>
      <c r="AQ29" s="182" t="n">
        <f aca="false">COUNTIF($C29:$AG29,AQ$4)</f>
        <v>0</v>
      </c>
      <c r="AR29" s="67"/>
      <c r="AS29" s="184"/>
      <c r="AT29" s="184" t="n">
        <v>1.5</v>
      </c>
      <c r="AU29" s="38" t="n">
        <f aca="false">SUMPRODUCT(--(WEEKDAY(C$3:AG$3,2)&lt;5),--ISNUMBER(MATCH(C29:AG29,{"DM","CS1","CS2","SB1","AE","CS/B"},0)))</f>
        <v>0</v>
      </c>
      <c r="AV29" s="67"/>
      <c r="AW29" s="38" t="n">
        <f aca="false">SUMPRODUCT(--(WEEKDAY(C$3:AG$3,2)=5),--ISNUMBER(MATCH(C29:AG29,{"DM","CS1","CS2","SB1","AE","CS/B"},0)))</f>
        <v>1</v>
      </c>
      <c r="AX29" s="38" t="n">
        <f aca="false">SUMPRODUCT(--(WEEKDAY(C$3:AG$3,2)&gt;5),--ISNUMBER(MATCH(C29:AG29,{"DM","CS1","CS2","SB1","AE","CS/B"},0)))</f>
        <v>2</v>
      </c>
      <c r="AY29" s="67"/>
      <c r="AZ29" s="38" t="n">
        <f aca="false">(AU29-AV29)+AW29*1.5+(AX29-AY29)*2+AN29*0.5+AP29*0.5+AS29-AT29</f>
        <v>4</v>
      </c>
      <c r="BA29" s="38" t="n">
        <f aca="false">AU29+AW29+AX29</f>
        <v>3</v>
      </c>
      <c r="BB29" s="38" t="n">
        <f aca="false">BE29+BG29+BI29+BK29+BM29</f>
        <v>4</v>
      </c>
      <c r="BC29" s="184" t="n">
        <f aca="false">AZ29+BD29</f>
        <v>7.5</v>
      </c>
      <c r="BD29" s="38" t="n">
        <f aca="false">BF29+BH29+BJ29+BL29+BN29</f>
        <v>3.5</v>
      </c>
      <c r="BE29" s="38" t="n">
        <f aca="false">COUNTIF(A29:AI29,"*$BTP*")</f>
        <v>0</v>
      </c>
      <c r="BF29" s="38" t="n">
        <f aca="false">BE29*1.5</f>
        <v>0</v>
      </c>
      <c r="BG29" s="38" t="n">
        <f aca="false">COUNTIF(A29:AI29,"*$M*")</f>
        <v>3</v>
      </c>
      <c r="BH29" s="38" t="n">
        <f aca="false">BG29*1</f>
        <v>3</v>
      </c>
      <c r="BI29" s="38" t="n">
        <f aca="false">COUNTIF(A29:AI29,"*$PM*")</f>
        <v>1</v>
      </c>
      <c r="BJ29" s="38" t="n">
        <f aca="false">BI29*0.5</f>
        <v>0.5</v>
      </c>
      <c r="BK29" s="38" t="n">
        <f aca="false">COUNTIF(A29:AI29,"*$AM*")</f>
        <v>0</v>
      </c>
      <c r="BL29" s="38" t="n">
        <f aca="false">BK29*0.5</f>
        <v>0</v>
      </c>
      <c r="BM29" s="38" t="n">
        <f aca="false">COUNTIF(A29:AI29,"*$FC*")</f>
        <v>0</v>
      </c>
      <c r="BN29" s="38" t="n">
        <f aca="false">BM29*1</f>
        <v>0</v>
      </c>
      <c r="BO29" s="38" t="n">
        <f aca="false">COUNTIF($D29:$AA29,BO$4)</f>
        <v>0</v>
      </c>
      <c r="BP29" s="38" t="n">
        <f aca="false">COUNTIF($D29:$AA29,BP$4)</f>
        <v>1</v>
      </c>
      <c r="BQ29" s="38" t="n">
        <f aca="false">COUNTIF($D29:$AA29,BQ$4)</f>
        <v>0</v>
      </c>
      <c r="BR29" s="211"/>
    </row>
    <row r="30" customFormat="false" ht="47.25" hidden="false" customHeight="true" outlineLevel="0" collapsed="false">
      <c r="A30" s="176"/>
      <c r="B30" s="207" t="s">
        <v>625</v>
      </c>
      <c r="C30" s="187"/>
      <c r="D30" s="187" t="s">
        <v>690</v>
      </c>
      <c r="E30" s="187" t="s">
        <v>691</v>
      </c>
      <c r="F30" s="46" t="s">
        <v>56</v>
      </c>
      <c r="G30" s="188"/>
      <c r="H30" s="188" t="s">
        <v>670</v>
      </c>
      <c r="I30" s="188" t="s">
        <v>671</v>
      </c>
      <c r="J30" s="187"/>
      <c r="K30" s="181" t="s">
        <v>56</v>
      </c>
      <c r="L30" s="188"/>
      <c r="M30" s="188" t="s">
        <v>261</v>
      </c>
      <c r="N30" s="188"/>
      <c r="O30" s="188" t="s">
        <v>261</v>
      </c>
      <c r="P30" s="188" t="s">
        <v>65</v>
      </c>
      <c r="Q30" s="187"/>
      <c r="R30" s="188"/>
      <c r="S30" s="188" t="s">
        <v>65</v>
      </c>
      <c r="T30" s="188"/>
      <c r="U30" s="188"/>
      <c r="V30" s="187"/>
      <c r="W30" s="188" t="s">
        <v>65</v>
      </c>
      <c r="X30" s="187"/>
      <c r="Y30" s="188"/>
      <c r="Z30" s="181" t="s">
        <v>65</v>
      </c>
      <c r="AA30" s="188"/>
      <c r="AB30" s="91"/>
      <c r="AC30" s="187"/>
      <c r="AD30" s="187"/>
      <c r="AE30" s="187"/>
      <c r="AF30" s="188" t="s">
        <v>56</v>
      </c>
      <c r="AG30" s="188"/>
      <c r="AH30" s="32"/>
      <c r="AI30" s="182" t="n">
        <f aca="false">COUNTIF($C30:$AG30,AI$4)</f>
        <v>0</v>
      </c>
      <c r="AJ30" s="182" t="n">
        <f aca="false">COUNTIF($C30:$AG30,AJ$4)</f>
        <v>3</v>
      </c>
      <c r="AK30" s="182" t="n">
        <f aca="false">COUNTIF($C30:$AG30,AK$4)</f>
        <v>0</v>
      </c>
      <c r="AL30" s="182" t="n">
        <f aca="false">COUNTIF($C30:$AG30,AL$4)</f>
        <v>0</v>
      </c>
      <c r="AM30" s="182" t="n">
        <f aca="false">COUNTIF($C30:$AG30,AM$4)</f>
        <v>0</v>
      </c>
      <c r="AN30" s="182" t="n">
        <f aca="false">COUNTIF($C30:$AG30,AN$4)</f>
        <v>0</v>
      </c>
      <c r="AO30" s="182" t="n">
        <f aca="false">COUNTIF($C30:$AG30,AO$4)</f>
        <v>4</v>
      </c>
      <c r="AP30" s="182" t="n">
        <f aca="false">COUNTIF($C30:$AG30,AP$4)</f>
        <v>0</v>
      </c>
      <c r="AQ30" s="182" t="n">
        <f aca="false">COUNTIF($C30:$AG30,AQ$4)</f>
        <v>0</v>
      </c>
      <c r="AR30" s="67"/>
      <c r="AS30" s="184"/>
      <c r="AT30" s="184" t="n">
        <v>0.5</v>
      </c>
      <c r="AU30" s="38" t="n">
        <f aca="false">SUMPRODUCT(--(WEEKDAY(C$3:AG$3,2)&lt;5),--ISNUMBER(MATCH(C30:AG30,{"DM","CS1","CS2","SB1","AE","CS/B"},0)))</f>
        <v>5</v>
      </c>
      <c r="AV30" s="67"/>
      <c r="AW30" s="38" t="n">
        <f aca="false">SUMPRODUCT(--(WEEKDAY(C$3:AG$3,2)=5),--ISNUMBER(MATCH(C30:AG30,{"DM","CS1","CS2","SB1","AE","CS/B"},0)))</f>
        <v>0</v>
      </c>
      <c r="AX30" s="38" t="n">
        <f aca="false">SUMPRODUCT(--(WEEKDAY(C$3:AG$3,2)&gt;5),--ISNUMBER(MATCH(C30:AG30,{"DM","CS1","CS2","SB1","AE","CS/B"},0)))</f>
        <v>2</v>
      </c>
      <c r="AY30" s="67"/>
      <c r="AZ30" s="38" t="n">
        <f aca="false">(AU30-AV30)+AW30*1.5+(AX30-AY30)*2+AN30*0.5+AP30*0.5+AS30-AT30</f>
        <v>8.5</v>
      </c>
      <c r="BA30" s="38" t="n">
        <f aca="false">AU30+AW30+AX30</f>
        <v>7</v>
      </c>
      <c r="BB30" s="38" t="n">
        <f aca="false">BE30+BG30+BI30+BK30+BM30</f>
        <v>1</v>
      </c>
      <c r="BC30" s="184" t="n">
        <f aca="false">AZ30+BD30</f>
        <v>9.5</v>
      </c>
      <c r="BD30" s="38" t="n">
        <f aca="false">BF30+BH30+BJ30+BL30+BN30</f>
        <v>1</v>
      </c>
      <c r="BE30" s="38" t="n">
        <f aca="false">COUNTIF(A30:AI30,"*$BTP*")</f>
        <v>0</v>
      </c>
      <c r="BF30" s="38" t="n">
        <f aca="false">BE30*1.5</f>
        <v>0</v>
      </c>
      <c r="BG30" s="38" t="n">
        <f aca="false">COUNTIF(A30:AI30,"*$M*")</f>
        <v>1</v>
      </c>
      <c r="BH30" s="38" t="n">
        <f aca="false">BG30*1</f>
        <v>1</v>
      </c>
      <c r="BI30" s="38" t="n">
        <f aca="false">COUNTIF(A30:AI30,"*$PM*")</f>
        <v>0</v>
      </c>
      <c r="BJ30" s="38" t="n">
        <f aca="false">BI30*0.5</f>
        <v>0</v>
      </c>
      <c r="BK30" s="38" t="n">
        <f aca="false">COUNTIF(A30:AI30,"*$AM*")</f>
        <v>0</v>
      </c>
      <c r="BL30" s="38" t="n">
        <f aca="false">BK30*0.5</f>
        <v>0</v>
      </c>
      <c r="BM30" s="38" t="n">
        <f aca="false">COUNTIF(A30:AI30,"*$FC*")</f>
        <v>0</v>
      </c>
      <c r="BN30" s="38" t="n">
        <f aca="false">BM30*1</f>
        <v>0</v>
      </c>
      <c r="BO30" s="38" t="n">
        <f aca="false">COUNTIF($D30:$AA30,BO$4)</f>
        <v>0</v>
      </c>
      <c r="BP30" s="38" t="n">
        <f aca="false">COUNTIF($D30:$AA30,BP$4)</f>
        <v>0</v>
      </c>
      <c r="BQ30" s="38" t="n">
        <f aca="false">COUNTIF($D30:$AA30,BQ$4)</f>
        <v>0</v>
      </c>
      <c r="BR30" s="211"/>
    </row>
    <row r="31" customFormat="false" ht="19.5" hidden="false" customHeight="true" outlineLevel="0" collapsed="false">
      <c r="A31" s="176"/>
      <c r="B31" s="207" t="s">
        <v>627</v>
      </c>
      <c r="C31" s="181" t="s">
        <v>350</v>
      </c>
      <c r="D31" s="181"/>
      <c r="E31" s="178" t="s">
        <v>144</v>
      </c>
      <c r="F31" s="46" t="s">
        <v>59</v>
      </c>
      <c r="G31" s="181"/>
      <c r="H31" s="181"/>
      <c r="I31" s="181"/>
      <c r="J31" s="181" t="s">
        <v>56</v>
      </c>
      <c r="K31" s="181"/>
      <c r="L31" s="181" t="s">
        <v>93</v>
      </c>
      <c r="M31" s="181"/>
      <c r="N31" s="181" t="s">
        <v>293</v>
      </c>
      <c r="O31" s="181"/>
      <c r="P31" s="181"/>
      <c r="Q31" s="181" t="s">
        <v>59</v>
      </c>
      <c r="R31" s="181"/>
      <c r="S31" s="181" t="s">
        <v>350</v>
      </c>
      <c r="T31" s="181"/>
      <c r="U31" s="181"/>
      <c r="V31" s="179" t="s">
        <v>348</v>
      </c>
      <c r="W31" s="179" t="s">
        <v>348</v>
      </c>
      <c r="X31" s="179" t="s">
        <v>348</v>
      </c>
      <c r="Y31" s="181" t="s">
        <v>351</v>
      </c>
      <c r="Z31" s="181"/>
      <c r="AA31" s="188" t="s">
        <v>692</v>
      </c>
      <c r="AB31" s="188"/>
      <c r="AC31" s="181" t="s">
        <v>56</v>
      </c>
      <c r="AD31" s="181" t="s">
        <v>693</v>
      </c>
      <c r="AE31" s="181" t="s">
        <v>693</v>
      </c>
      <c r="AF31" s="181"/>
      <c r="AG31" s="181"/>
      <c r="AH31" s="32"/>
      <c r="AI31" s="182" t="n">
        <f aca="false">COUNTIF($C31:$AG31,AI$4)</f>
        <v>0</v>
      </c>
      <c r="AJ31" s="182" t="n">
        <f aca="false">COUNTIF($C31:$AG31,AJ$4)</f>
        <v>2</v>
      </c>
      <c r="AK31" s="182" t="n">
        <f aca="false">COUNTIF($C31:$AG31,AK$4)</f>
        <v>2</v>
      </c>
      <c r="AL31" s="182" t="n">
        <f aca="false">COUNTIF($C31:$AG31,AL$4)</f>
        <v>0</v>
      </c>
      <c r="AM31" s="182" t="n">
        <f aca="false">COUNTIF($C31:$AG31,AM$4)</f>
        <v>0</v>
      </c>
      <c r="AN31" s="182" t="n">
        <f aca="false">COUNTIF($C31:$AG31,AN$4)</f>
        <v>1</v>
      </c>
      <c r="AO31" s="182" t="n">
        <f aca="false">COUNTIF($C31:$AG31,AO$4)</f>
        <v>0</v>
      </c>
      <c r="AP31" s="182" t="n">
        <f aca="false">COUNTIF($C31:$AG31,AP$4)</f>
        <v>0</v>
      </c>
      <c r="AQ31" s="182" t="n">
        <f aca="false">COUNTIF($C31:$AG31,AQ$4)</f>
        <v>0</v>
      </c>
      <c r="AR31" s="67"/>
      <c r="AS31" s="184"/>
      <c r="AT31" s="184" t="n">
        <v>2</v>
      </c>
      <c r="AU31" s="38" t="n">
        <f aca="false">SUMPRODUCT(--(WEEKDAY(C$3:AG$3,2)&lt;5),--ISNUMBER(MATCH(C31:AG31,{"DM","CS1","CS2","SB1","AE","CS/B"},0)))</f>
        <v>1</v>
      </c>
      <c r="AV31" s="67"/>
      <c r="AW31" s="38" t="n">
        <f aca="false">SUMPRODUCT(--(WEEKDAY(C$3:AG$3,2)=5),--ISNUMBER(MATCH(C31:AG31,{"DM","CS1","CS2","SB1","AE","CS/B"},0)))</f>
        <v>1</v>
      </c>
      <c r="AX31" s="38" t="n">
        <f aca="false">SUMPRODUCT(--(WEEKDAY(C$3:AG$3,2)&gt;5),--ISNUMBER(MATCH(C31:AG31,{"DM","CS1","CS2","SB1","AE","CS/B"},0)))</f>
        <v>2</v>
      </c>
      <c r="AY31" s="67"/>
      <c r="AZ31" s="38" t="n">
        <f aca="false">(AU31-AV31)+AW31*1.5+(AX31-AY31)*2+AN31*0.5+AP31*0.5+AS31-AT31</f>
        <v>5</v>
      </c>
      <c r="BA31" s="38" t="n">
        <f aca="false">AU31+AW31+AX31</f>
        <v>4</v>
      </c>
      <c r="BB31" s="38" t="n">
        <f aca="false">BE31+BG31+BI31+BK31+BM31</f>
        <v>3</v>
      </c>
      <c r="BC31" s="184" t="n">
        <f aca="false">AZ31+BD31</f>
        <v>8</v>
      </c>
      <c r="BD31" s="38" t="n">
        <f aca="false">BF31+BH31+BJ31+BL31+BN31</f>
        <v>3</v>
      </c>
      <c r="BE31" s="38" t="n">
        <f aca="false">COUNTIF(A31:AI31,"*$BTP*")</f>
        <v>1</v>
      </c>
      <c r="BF31" s="38" t="n">
        <f aca="false">BE31*1.5</f>
        <v>1.5</v>
      </c>
      <c r="BG31" s="38" t="n">
        <f aca="false">COUNTIF(A31:AI31,"*$M*")</f>
        <v>1</v>
      </c>
      <c r="BH31" s="38" t="n">
        <f aca="false">BG31*1</f>
        <v>1</v>
      </c>
      <c r="BI31" s="38" t="n">
        <f aca="false">COUNTIF(A31:AI31,"*$PM*")</f>
        <v>0</v>
      </c>
      <c r="BJ31" s="38" t="n">
        <f aca="false">BI31*0.5</f>
        <v>0</v>
      </c>
      <c r="BK31" s="38" t="n">
        <f aca="false">COUNTIF(A31:AI31,"*$AM*")</f>
        <v>1</v>
      </c>
      <c r="BL31" s="38" t="n">
        <f aca="false">BK31*0.5</f>
        <v>0.5</v>
      </c>
      <c r="BM31" s="38" t="n">
        <f aca="false">COUNTIF(A31:AI31,"*$FC*")</f>
        <v>0</v>
      </c>
      <c r="BN31" s="38" t="n">
        <f aca="false">BM31*1</f>
        <v>0</v>
      </c>
      <c r="BO31" s="38" t="n">
        <f aca="false">COUNTIF($D31:$Z31,BO$4)</f>
        <v>0</v>
      </c>
      <c r="BP31" s="38" t="n">
        <f aca="false">COUNTIF($D31:$Z31,BP$4)</f>
        <v>1</v>
      </c>
      <c r="BQ31" s="38" t="n">
        <f aca="false">COUNTIF($D31:$Z31,BQ$4)</f>
        <v>0</v>
      </c>
      <c r="BR31" s="211"/>
    </row>
    <row r="32" customFormat="false" ht="19.5" hidden="false" customHeight="true" outlineLevel="0" collapsed="false">
      <c r="A32" s="176"/>
      <c r="B32" s="207" t="s">
        <v>633</v>
      </c>
      <c r="C32" s="188"/>
      <c r="D32" s="188" t="s">
        <v>578</v>
      </c>
      <c r="E32" s="188" t="s">
        <v>65</v>
      </c>
      <c r="F32" s="91" t="s">
        <v>578</v>
      </c>
      <c r="G32" s="188" t="s">
        <v>93</v>
      </c>
      <c r="H32" s="188" t="s">
        <v>56</v>
      </c>
      <c r="I32" s="188"/>
      <c r="J32" s="188"/>
      <c r="K32" s="188"/>
      <c r="L32" s="91"/>
      <c r="M32" s="188"/>
      <c r="N32" s="188" t="s">
        <v>56</v>
      </c>
      <c r="O32" s="181" t="s">
        <v>93</v>
      </c>
      <c r="P32" s="188"/>
      <c r="Q32" s="188"/>
      <c r="R32" s="91" t="s">
        <v>75</v>
      </c>
      <c r="S32" s="188"/>
      <c r="T32" s="188" t="s">
        <v>350</v>
      </c>
      <c r="U32" s="188"/>
      <c r="V32" s="188"/>
      <c r="W32" s="188"/>
      <c r="X32" s="188" t="s">
        <v>56</v>
      </c>
      <c r="Y32" s="188"/>
      <c r="Z32" s="188"/>
      <c r="AA32" s="188" t="s">
        <v>275</v>
      </c>
      <c r="AB32" s="188"/>
      <c r="AC32" s="188" t="s">
        <v>54</v>
      </c>
      <c r="AD32" s="188" t="s">
        <v>54</v>
      </c>
      <c r="AE32" s="188" t="s">
        <v>54</v>
      </c>
      <c r="AF32" s="188" t="s">
        <v>54</v>
      </c>
      <c r="AG32" s="188"/>
      <c r="AH32" s="32"/>
      <c r="AI32" s="182" t="n">
        <f aca="false">COUNTIF($C32:$AG32,AI$4)</f>
        <v>0</v>
      </c>
      <c r="AJ32" s="182" t="n">
        <f aca="false">COUNTIF($C32:$AG32,AJ$4)</f>
        <v>3</v>
      </c>
      <c r="AK32" s="182" t="n">
        <f aca="false">COUNTIF($C32:$AG32,AK$4)</f>
        <v>0</v>
      </c>
      <c r="AL32" s="182" t="n">
        <f aca="false">COUNTIF($C32:$AG32,AL$4)</f>
        <v>0</v>
      </c>
      <c r="AM32" s="182" t="n">
        <f aca="false">COUNTIF($C32:$AG32,AM$4)</f>
        <v>0</v>
      </c>
      <c r="AN32" s="182" t="n">
        <f aca="false">COUNTIF($C32:$AG32,AN$4)</f>
        <v>2</v>
      </c>
      <c r="AO32" s="182" t="n">
        <f aca="false">COUNTIF($C32:$AG32,AO$4)</f>
        <v>1</v>
      </c>
      <c r="AP32" s="182" t="n">
        <f aca="false">COUNTIF($C32:$AG32,AP$4)</f>
        <v>0</v>
      </c>
      <c r="AQ32" s="182" t="n">
        <f aca="false">COUNTIF($C32:$AG32,AQ$4)</f>
        <v>0</v>
      </c>
      <c r="AR32" s="67"/>
      <c r="AS32" s="184"/>
      <c r="AT32" s="184"/>
      <c r="AU32" s="38" t="n">
        <f aca="false">SUMPRODUCT(--(WEEKDAY(C$3:AG$3,2)&lt;5),--ISNUMBER(MATCH(C32:AG32,{"DM","CS1","CS2","SB1","AE","CS/B"},0)))</f>
        <v>2</v>
      </c>
      <c r="AV32" s="67"/>
      <c r="AW32" s="38" t="n">
        <f aca="false">SUMPRODUCT(--(WEEKDAY(C$3:AG$3,2)=5),--ISNUMBER(MATCH(C32:AG32,{"DM","CS1","CS2","SB1","AE","CS/B"},0)))</f>
        <v>1</v>
      </c>
      <c r="AX32" s="38" t="n">
        <f aca="false">SUMPRODUCT(--(WEEKDAY(C$3:AG$3,2)&gt;5),--ISNUMBER(MATCH(C32:AG32,{"DM","CS1","CS2","SB1","AE","CS/B"},0)))</f>
        <v>1</v>
      </c>
      <c r="AY32" s="67"/>
      <c r="AZ32" s="38" t="n">
        <f aca="false">(AU32-AV32)+AW32*1.5+(AX32-AY32)*2+AN32*0.5+AP32*0.5+AS32-AT32</f>
        <v>6.5</v>
      </c>
      <c r="BA32" s="38" t="n">
        <f aca="false">AU32+AW32+AX32</f>
        <v>4</v>
      </c>
      <c r="BB32" s="38" t="n">
        <f aca="false">BE32+BG32+BI32+BK32+BM32</f>
        <v>2</v>
      </c>
      <c r="BC32" s="184" t="n">
        <f aca="false">AZ32+BD32</f>
        <v>8</v>
      </c>
      <c r="BD32" s="38" t="n">
        <f aca="false">BF32+BH32+BJ32+BL32+BN32</f>
        <v>1.5</v>
      </c>
      <c r="BE32" s="38" t="n">
        <f aca="false">COUNTIF(A32:AI32,"*$BTP*")</f>
        <v>0</v>
      </c>
      <c r="BF32" s="38" t="n">
        <f aca="false">BE32*1.5</f>
        <v>0</v>
      </c>
      <c r="BG32" s="38" t="n">
        <f aca="false">COUNTIF(A32:AI32,"*$M*")</f>
        <v>1</v>
      </c>
      <c r="BH32" s="38" t="n">
        <f aca="false">BG32*1</f>
        <v>1</v>
      </c>
      <c r="BI32" s="38" t="n">
        <f aca="false">COUNTIF(A32:AI32,"*$PM*")</f>
        <v>0</v>
      </c>
      <c r="BJ32" s="38" t="n">
        <f aca="false">BI32*0.5</f>
        <v>0</v>
      </c>
      <c r="BK32" s="38" t="n">
        <f aca="false">COUNTIF(A32:AI32,"*$AM*")</f>
        <v>1</v>
      </c>
      <c r="BL32" s="38" t="n">
        <f aca="false">BK32*0.5</f>
        <v>0.5</v>
      </c>
      <c r="BM32" s="38" t="n">
        <f aca="false">COUNTIF(A32:AI32,"*$FC*")</f>
        <v>0</v>
      </c>
      <c r="BN32" s="38" t="n">
        <f aca="false">BM32*1</f>
        <v>0</v>
      </c>
      <c r="BO32" s="38" t="n">
        <f aca="false">COUNTIF($D32:$Z32,BO$4)</f>
        <v>0</v>
      </c>
      <c r="BP32" s="38" t="n">
        <f aca="false">COUNTIF($D32:$Z32,BP$4)</f>
        <v>1</v>
      </c>
      <c r="BQ32" s="38" t="n">
        <f aca="false">COUNTIF($D32:$Z32,BQ$4)</f>
        <v>0</v>
      </c>
      <c r="BR32" s="211"/>
    </row>
    <row r="33" customFormat="false" ht="19.5" hidden="false" customHeight="true" outlineLevel="0" collapsed="false">
      <c r="A33" s="176"/>
      <c r="B33" s="207" t="s">
        <v>637</v>
      </c>
      <c r="C33" s="181" t="s">
        <v>56</v>
      </c>
      <c r="D33" s="181"/>
      <c r="E33" s="181"/>
      <c r="F33" s="181" t="s">
        <v>680</v>
      </c>
      <c r="G33" s="181" t="s">
        <v>678</v>
      </c>
      <c r="H33" s="181"/>
      <c r="I33" s="181"/>
      <c r="J33" s="91"/>
      <c r="K33" s="181" t="s">
        <v>59</v>
      </c>
      <c r="L33" s="91"/>
      <c r="M33" s="181"/>
      <c r="N33" s="181"/>
      <c r="O33" s="181"/>
      <c r="P33" s="181"/>
      <c r="Q33" s="181"/>
      <c r="R33" s="181" t="s">
        <v>350</v>
      </c>
      <c r="S33" s="181"/>
      <c r="U33" s="181"/>
      <c r="V33" s="181" t="s">
        <v>573</v>
      </c>
      <c r="W33" s="181"/>
      <c r="X33" s="181"/>
      <c r="Y33" s="181" t="s">
        <v>65</v>
      </c>
      <c r="Z33" s="181"/>
      <c r="AB33" s="92" t="s">
        <v>573</v>
      </c>
      <c r="AD33" s="181"/>
      <c r="AE33" s="181"/>
      <c r="AF33" s="181"/>
      <c r="AG33" s="181"/>
      <c r="AH33" s="32"/>
      <c r="AI33" s="182" t="n">
        <f aca="false">COUNTIF($C33:$AG33,AI$4)</f>
        <v>0</v>
      </c>
      <c r="AJ33" s="182" t="n">
        <f aca="false">COUNTIF($C33:$AG33,AJ$4)</f>
        <v>1</v>
      </c>
      <c r="AK33" s="182" t="n">
        <f aca="false">COUNTIF($C33:$AG33,AK$4)</f>
        <v>1</v>
      </c>
      <c r="AL33" s="182" t="n">
        <f aca="false">COUNTIF($C33:$AG33,AL$4)</f>
        <v>0</v>
      </c>
      <c r="AM33" s="182" t="n">
        <f aca="false">COUNTIF($C33:$AG33,AM$4)</f>
        <v>0</v>
      </c>
      <c r="AN33" s="182" t="n">
        <f aca="false">COUNTIF($C33:$AG33,AN$4)</f>
        <v>0</v>
      </c>
      <c r="AO33" s="182" t="n">
        <f aca="false">COUNTIF($C33:$AG33,AO$4)</f>
        <v>1</v>
      </c>
      <c r="AP33" s="182" t="n">
        <f aca="false">COUNTIF($C33:$AG33,AP$4)</f>
        <v>0</v>
      </c>
      <c r="AQ33" s="182" t="n">
        <f aca="false">COUNTIF($C33:$AG33,AQ$4)</f>
        <v>0</v>
      </c>
      <c r="AR33" s="67"/>
      <c r="AS33" s="184" t="n">
        <v>2.5</v>
      </c>
      <c r="AT33" s="184"/>
      <c r="AU33" s="38" t="n">
        <f aca="false">SUMPRODUCT(--(WEEKDAY(C$3:AG$3,2)&lt;5),--ISNUMBER(MATCH(C33:AG33,{"DM","CS1","CS2","SB1","AE","CS/B"},0)))</f>
        <v>2</v>
      </c>
      <c r="AV33" s="67"/>
      <c r="AW33" s="38" t="n">
        <f aca="false">SUMPRODUCT(--(WEEKDAY(C$3:AG$3,2)=5),--ISNUMBER(MATCH(C33:AG33,{"DM","CS1","CS2","SB1","AE","CS/B"},0)))</f>
        <v>0</v>
      </c>
      <c r="AX33" s="38" t="n">
        <f aca="false">SUMPRODUCT(--(WEEKDAY(C$3:AG$3,2)&gt;5),--ISNUMBER(MATCH(C33:AG33,{"DM","CS1","CS2","SB1","AE","CS/B"},0)))</f>
        <v>1</v>
      </c>
      <c r="AY33" s="67"/>
      <c r="AZ33" s="38" t="n">
        <f aca="false">(AU33-AV33)+AW33*1.5+(AX33-AY33)*2+AN33*0.5+AP33*0.5+AS33-AT33</f>
        <v>6.5</v>
      </c>
      <c r="BA33" s="38" t="n">
        <f aca="false">AU33+AW33+AX33</f>
        <v>3</v>
      </c>
      <c r="BB33" s="38" t="n">
        <f aca="false">BE33+BG33+BI33+BK33+BM33</f>
        <v>1</v>
      </c>
      <c r="BC33" s="184" t="n">
        <f aca="false">AZ33+BD33</f>
        <v>7.5</v>
      </c>
      <c r="BD33" s="38" t="n">
        <f aca="false">BF33+BH33+BJ33+BL33+BN33</f>
        <v>1</v>
      </c>
      <c r="BE33" s="38" t="n">
        <f aca="false">COUNTIF(A33:AI33,"*$BTP*")</f>
        <v>0</v>
      </c>
      <c r="BF33" s="38" t="n">
        <f aca="false">BE33*1.5</f>
        <v>0</v>
      </c>
      <c r="BG33" s="38" t="n">
        <f aca="false">COUNTIF(A33:AI33,"*$M*")</f>
        <v>1</v>
      </c>
      <c r="BH33" s="38" t="n">
        <f aca="false">BG33*1</f>
        <v>1</v>
      </c>
      <c r="BI33" s="38" t="n">
        <f aca="false">COUNTIF(A33:AI33,"*$PM*")</f>
        <v>0</v>
      </c>
      <c r="BJ33" s="38" t="n">
        <f aca="false">BI33*0.5</f>
        <v>0</v>
      </c>
      <c r="BK33" s="38" t="n">
        <f aca="false">COUNTIF(A33:AI33,"*$AM*")</f>
        <v>0</v>
      </c>
      <c r="BL33" s="38" t="n">
        <f aca="false">BK33*0.5</f>
        <v>0</v>
      </c>
      <c r="BM33" s="38" t="n">
        <f aca="false">COUNTIF(A33:AI33,"*$FC*")</f>
        <v>0</v>
      </c>
      <c r="BN33" s="38" t="n">
        <f aca="false">BM33*1</f>
        <v>0</v>
      </c>
      <c r="BO33" s="38" t="n">
        <f aca="false">COUNTIF($H33:$AA33,BO$4)</f>
        <v>0</v>
      </c>
      <c r="BP33" s="38" t="n">
        <f aca="false">COUNTIF($H33:$AA33,BP$4)</f>
        <v>1</v>
      </c>
      <c r="BQ33" s="38" t="n">
        <f aca="false">COUNTIF($H33:$AA33,BQ$4)</f>
        <v>0</v>
      </c>
      <c r="BR33" s="211"/>
    </row>
    <row r="34" customFormat="false" ht="51.75" hidden="false" customHeight="true" outlineLevel="0" collapsed="false">
      <c r="A34" s="176"/>
      <c r="B34" s="207" t="s">
        <v>639</v>
      </c>
      <c r="C34" s="188"/>
      <c r="D34" s="181" t="s">
        <v>694</v>
      </c>
      <c r="E34" s="188" t="s">
        <v>573</v>
      </c>
      <c r="F34" s="188" t="s">
        <v>573</v>
      </c>
      <c r="G34" s="188" t="s">
        <v>65</v>
      </c>
      <c r="I34" s="188" t="s">
        <v>350</v>
      </c>
      <c r="J34" s="188"/>
      <c r="K34" s="188"/>
      <c r="L34" s="188" t="s">
        <v>65</v>
      </c>
      <c r="M34" s="188"/>
      <c r="N34" s="188"/>
      <c r="P34" s="188"/>
      <c r="Q34" s="181" t="s">
        <v>65</v>
      </c>
      <c r="S34" s="188"/>
      <c r="T34" s="181" t="s">
        <v>93</v>
      </c>
      <c r="U34" s="188" t="s">
        <v>65</v>
      </c>
      <c r="V34" s="188"/>
      <c r="W34" s="179" t="s">
        <v>348</v>
      </c>
      <c r="X34" s="179" t="s">
        <v>348</v>
      </c>
      <c r="Y34" s="188"/>
      <c r="AA34" s="188" t="s">
        <v>581</v>
      </c>
      <c r="AB34" s="188" t="s">
        <v>65</v>
      </c>
      <c r="AC34" s="188"/>
      <c r="AD34" s="188"/>
      <c r="AE34" s="188"/>
      <c r="AF34" s="188" t="s">
        <v>65</v>
      </c>
      <c r="AG34" s="188"/>
      <c r="AH34" s="32"/>
      <c r="AI34" s="182" t="n">
        <f aca="false">COUNTIF($C34:$AG34,AI$4)</f>
        <v>0</v>
      </c>
      <c r="AJ34" s="182" t="n">
        <f aca="false">COUNTIF($C34:$AG34,AJ$4)</f>
        <v>0</v>
      </c>
      <c r="AK34" s="182" t="n">
        <f aca="false">COUNTIF($C34:$AG34,AK$4)</f>
        <v>0</v>
      </c>
      <c r="AL34" s="182" t="n">
        <f aca="false">COUNTIF($C34:$AG34,AL$4)</f>
        <v>0</v>
      </c>
      <c r="AM34" s="182" t="n">
        <f aca="false">COUNTIF($C34:$AG34,AM$4)</f>
        <v>0</v>
      </c>
      <c r="AN34" s="182" t="n">
        <f aca="false">COUNTIF($C34:$AG34,AN$4)</f>
        <v>1</v>
      </c>
      <c r="AO34" s="182" t="n">
        <f aca="false">COUNTIF($C34:$AG34,AO$4)</f>
        <v>6</v>
      </c>
      <c r="AP34" s="182" t="n">
        <f aca="false">COUNTIF($C34:$AG34,AP$4)</f>
        <v>0</v>
      </c>
      <c r="AQ34" s="182" t="n">
        <f aca="false">COUNTIF($C34:$AG34,AQ$4)</f>
        <v>0</v>
      </c>
      <c r="AR34" s="67"/>
      <c r="AS34" s="184"/>
      <c r="AT34" s="184" t="n">
        <v>0.5</v>
      </c>
      <c r="AU34" s="38" t="n">
        <f aca="false">SUMPRODUCT(--(WEEKDAY(C$3:AG$3,2)&lt;5),--ISNUMBER(MATCH(C34:AG34,{"DM","CS1","CS2","SB1","AE","CS/B"},0)))</f>
        <v>5</v>
      </c>
      <c r="AV34" s="67"/>
      <c r="AW34" s="38" t="n">
        <f aca="false">SUMPRODUCT(--(WEEKDAY(C$3:AG$3,2)=5),--ISNUMBER(MATCH(C34:AG34,{"DM","CS1","CS2","SB1","AE","CS/B"},0)))</f>
        <v>0</v>
      </c>
      <c r="AX34" s="38" t="n">
        <f aca="false">SUMPRODUCT(--(WEEKDAY(C$3:AG$3,2)&gt;5),--ISNUMBER(MATCH(C34:AG34,{"DM","CS1","CS2","SB1","AE","CS/B"},0)))</f>
        <v>1</v>
      </c>
      <c r="AY34" s="67"/>
      <c r="AZ34" s="38" t="n">
        <f aca="false">(AU34-AV34)+AW34*1.5+(AX34-AY34)*2+AN34*0.5+AP34*0.5+AS34-AT34</f>
        <v>7</v>
      </c>
      <c r="BA34" s="38" t="n">
        <f aca="false">AU34+AW34+AX34</f>
        <v>6</v>
      </c>
      <c r="BB34" s="38" t="n">
        <f aca="false">BE34+BG34+BI34+BK34+BM34</f>
        <v>2</v>
      </c>
      <c r="BC34" s="184" t="n">
        <f aca="false">AZ34+BD34</f>
        <v>8</v>
      </c>
      <c r="BD34" s="38" t="n">
        <f aca="false">BF34+BH34+BJ34+BL34+BN34</f>
        <v>1</v>
      </c>
      <c r="BE34" s="38" t="n">
        <f aca="false">COUNTIF(A34:AI34,"*$BTP*")</f>
        <v>0</v>
      </c>
      <c r="BF34" s="38" t="n">
        <f aca="false">BE34*1.5</f>
        <v>0</v>
      </c>
      <c r="BG34" s="38" t="n">
        <f aca="false">COUNTIF(A34:AI34,"*$M*")</f>
        <v>0</v>
      </c>
      <c r="BH34" s="38" t="n">
        <f aca="false">BG34*1</f>
        <v>0</v>
      </c>
      <c r="BI34" s="38" t="n">
        <f aca="false">COUNTIF(A34:AI34,"*$PM*")</f>
        <v>0</v>
      </c>
      <c r="BJ34" s="38" t="n">
        <f aca="false">BI34*0.5</f>
        <v>0</v>
      </c>
      <c r="BK34" s="38" t="n">
        <f aca="false">COUNTIF(A34:AI34,"*$AM*")</f>
        <v>2</v>
      </c>
      <c r="BL34" s="38" t="n">
        <f aca="false">BK34*0.5</f>
        <v>1</v>
      </c>
      <c r="BM34" s="38" t="n">
        <f aca="false">COUNTIF(A34:AI34,"*$FC*")</f>
        <v>0</v>
      </c>
      <c r="BN34" s="38" t="n">
        <f aca="false">BM34*1</f>
        <v>0</v>
      </c>
      <c r="BO34" s="38" t="n">
        <f aca="false">COUNTIF($D34:$Z34,BO$4)</f>
        <v>0</v>
      </c>
      <c r="BP34" s="38" t="n">
        <f aca="false">COUNTIF($D34:$Z34,BP$4)</f>
        <v>1</v>
      </c>
      <c r="BQ34" s="38" t="n">
        <f aca="false">COUNTIF($D34:$Z34,BQ$4)</f>
        <v>0</v>
      </c>
      <c r="BR34" s="211"/>
    </row>
    <row r="35" customFormat="false" ht="19.5" hidden="false" customHeight="true" outlineLevel="0" collapsed="false">
      <c r="A35" s="176"/>
      <c r="B35" s="207" t="s">
        <v>641</v>
      </c>
      <c r="D35" s="181" t="s">
        <v>573</v>
      </c>
      <c r="E35" s="181"/>
      <c r="F35" s="181" t="s">
        <v>680</v>
      </c>
      <c r="G35" s="181" t="s">
        <v>678</v>
      </c>
      <c r="H35" s="181"/>
      <c r="I35" s="181"/>
      <c r="J35" s="181"/>
      <c r="K35" s="92" t="s">
        <v>573</v>
      </c>
      <c r="L35" s="181"/>
      <c r="M35" s="188" t="s">
        <v>695</v>
      </c>
      <c r="N35" s="188" t="s">
        <v>93</v>
      </c>
      <c r="O35" s="181"/>
      <c r="P35" s="181"/>
      <c r="R35" s="181" t="s">
        <v>694</v>
      </c>
      <c r="S35" s="181" t="s">
        <v>93</v>
      </c>
      <c r="T35" s="181"/>
      <c r="U35" s="181"/>
      <c r="V35" s="181"/>
      <c r="W35" s="181"/>
      <c r="X35" s="181" t="s">
        <v>65</v>
      </c>
      <c r="AA35" s="181"/>
      <c r="AB35" s="181"/>
      <c r="AC35" s="181" t="s">
        <v>93</v>
      </c>
      <c r="AD35" s="181" t="s">
        <v>65</v>
      </c>
      <c r="AE35" s="181"/>
      <c r="AF35" s="181"/>
      <c r="AH35" s="32"/>
      <c r="AI35" s="182" t="n">
        <f aca="false">COUNTIF($C35:$AG35,AI$4)</f>
        <v>0</v>
      </c>
      <c r="AJ35" s="182" t="n">
        <f aca="false">COUNTIF($C35:$AG35,AJ$4)</f>
        <v>0</v>
      </c>
      <c r="AK35" s="182" t="n">
        <f aca="false">COUNTIF($C35:$AG35,AK$4)</f>
        <v>0</v>
      </c>
      <c r="AL35" s="182" t="n">
        <f aca="false">COUNTIF($C35:$AG35,AL$4)</f>
        <v>0</v>
      </c>
      <c r="AM35" s="182" t="n">
        <f aca="false">COUNTIF($C35:$AG35,AM$4)</f>
        <v>0</v>
      </c>
      <c r="AN35" s="182" t="n">
        <f aca="false">COUNTIF($C35:$AG35,AN$4)</f>
        <v>3</v>
      </c>
      <c r="AO35" s="182" t="n">
        <f aca="false">COUNTIF($C35:$AG35,AO$4)</f>
        <v>2</v>
      </c>
      <c r="AP35" s="182" t="n">
        <f aca="false">COUNTIF($C35:$AG35,AP$4)</f>
        <v>0</v>
      </c>
      <c r="AQ35" s="182" t="n">
        <f aca="false">COUNTIF($C35:$AG35,AQ$4)</f>
        <v>0</v>
      </c>
      <c r="AR35" s="67"/>
      <c r="AS35" s="184" t="n">
        <v>1</v>
      </c>
      <c r="AT35" s="184"/>
      <c r="AU35" s="38" t="n">
        <f aca="false">SUMPRODUCT(--(WEEKDAY(C$3:AG$3,2)&lt;5),--ISNUMBER(MATCH(C35:AG35,{"DM","CS1","CS2","SB1","AE","CS/B"},0)))</f>
        <v>0</v>
      </c>
      <c r="AV35" s="67"/>
      <c r="AW35" s="38" t="n">
        <f aca="false">SUMPRODUCT(--(WEEKDAY(C$3:AG$3,2)=5),--ISNUMBER(MATCH(C35:AG35,{"DM","CS1","CS2","SB1","AE","CS/B"},0)))</f>
        <v>0</v>
      </c>
      <c r="AX35" s="38" t="n">
        <f aca="false">SUMPRODUCT(--(WEEKDAY(C$3:AG$3,2)&gt;5),--ISNUMBER(MATCH(C35:AG35,{"DM","CS1","CS2","SB1","AE","CS/B"},0)))</f>
        <v>2</v>
      </c>
      <c r="AY35" s="67"/>
      <c r="AZ35" s="38" t="n">
        <f aca="false">(AU35-AV35)+AW35*1.5+(AX35-AY35)*2+AN35*0.5+AP35*0.5+AS35-AT35</f>
        <v>6.5</v>
      </c>
      <c r="BA35" s="38" t="n">
        <f aca="false">AU35+AW35+AX35</f>
        <v>2</v>
      </c>
      <c r="BB35" s="38" t="n">
        <f aca="false">BE35+BG35+BI35+BK35+BM35</f>
        <v>3</v>
      </c>
      <c r="BC35" s="184" t="n">
        <f aca="false">AZ35+BD35</f>
        <v>8.5</v>
      </c>
      <c r="BD35" s="38" t="n">
        <f aca="false">BF35+BH35+BJ35+BL35+BN35</f>
        <v>2</v>
      </c>
      <c r="BE35" s="38" t="n">
        <f aca="false">COUNTIF(A35:AI35,"*$BTP*")</f>
        <v>0</v>
      </c>
      <c r="BF35" s="38" t="n">
        <f aca="false">BE35*1.5</f>
        <v>0</v>
      </c>
      <c r="BG35" s="38" t="n">
        <f aca="false">COUNTIF(A35:AI35,"*$M*")</f>
        <v>1</v>
      </c>
      <c r="BH35" s="38" t="n">
        <f aca="false">BG35*1</f>
        <v>1</v>
      </c>
      <c r="BI35" s="38" t="n">
        <f aca="false">COUNTIF(A35:AI35,"*$PM*")</f>
        <v>1</v>
      </c>
      <c r="BJ35" s="38" t="n">
        <f aca="false">BI35*0.5</f>
        <v>0.5</v>
      </c>
      <c r="BK35" s="38" t="n">
        <f aca="false">COUNTIF(A35:AI35,"*$AM*")</f>
        <v>1</v>
      </c>
      <c r="BL35" s="38" t="n">
        <f aca="false">BK35*0.5</f>
        <v>0.5</v>
      </c>
      <c r="BM35" s="38" t="n">
        <f aca="false">COUNTIF(A35:AI35,"*$FC*")</f>
        <v>0</v>
      </c>
      <c r="BN35" s="38" t="n">
        <f aca="false">BM35*1</f>
        <v>0</v>
      </c>
      <c r="BO35" s="38" t="n">
        <f aca="false">COUNTIF($D35:$AA35,BO$4)</f>
        <v>0</v>
      </c>
      <c r="BP35" s="38" t="n">
        <f aca="false">COUNTIF($D35:$AA35,BP$4)</f>
        <v>0</v>
      </c>
      <c r="BQ35" s="38" t="n">
        <f aca="false">COUNTIF($D35:$AA35,BQ$4)</f>
        <v>0</v>
      </c>
      <c r="BR35" s="211"/>
    </row>
    <row r="36" customFormat="false" ht="19.5" hidden="false" customHeight="true" outlineLevel="0" collapsed="false">
      <c r="A36" s="176"/>
      <c r="B36" s="207" t="s">
        <v>646</v>
      </c>
      <c r="D36" s="188"/>
      <c r="E36" s="181" t="s">
        <v>581</v>
      </c>
      <c r="G36" s="92"/>
      <c r="H36" s="188" t="s">
        <v>65</v>
      </c>
      <c r="I36" s="92"/>
      <c r="J36" s="188"/>
      <c r="K36" s="188"/>
      <c r="L36" s="188"/>
      <c r="M36" s="188"/>
      <c r="N36" s="188"/>
      <c r="O36" s="188" t="s">
        <v>573</v>
      </c>
      <c r="P36" s="188"/>
      <c r="Q36" s="188"/>
      <c r="R36" s="188" t="s">
        <v>65</v>
      </c>
      <c r="S36" s="188"/>
      <c r="T36" s="188"/>
      <c r="U36" s="188"/>
      <c r="V36" s="188"/>
      <c r="W36" s="179" t="s">
        <v>348</v>
      </c>
      <c r="X36" s="179" t="s">
        <v>348</v>
      </c>
      <c r="Y36" s="188"/>
      <c r="Z36" s="188"/>
      <c r="AA36" s="188"/>
      <c r="AB36" s="92" t="s">
        <v>573</v>
      </c>
      <c r="AD36" s="188"/>
      <c r="AE36" s="181"/>
      <c r="AF36" s="188" t="s">
        <v>573</v>
      </c>
      <c r="AG36" s="181" t="s">
        <v>65</v>
      </c>
      <c r="AH36" s="32"/>
      <c r="AI36" s="182" t="n">
        <f aca="false">COUNTIF($C36:$AG36,AI$4)</f>
        <v>0</v>
      </c>
      <c r="AJ36" s="182" t="n">
        <f aca="false">COUNTIF($C36:$AG36,AJ$4)</f>
        <v>0</v>
      </c>
      <c r="AK36" s="182" t="n">
        <f aca="false">COUNTIF($C36:$AG36,AK$4)</f>
        <v>0</v>
      </c>
      <c r="AL36" s="182" t="n">
        <f aca="false">COUNTIF($C36:$AG36,AL$4)</f>
        <v>0</v>
      </c>
      <c r="AM36" s="182" t="n">
        <f aca="false">COUNTIF($C36:$AG36,AM$4)</f>
        <v>0</v>
      </c>
      <c r="AN36" s="182" t="n">
        <f aca="false">COUNTIF($C36:$AG36,AN$4)</f>
        <v>0</v>
      </c>
      <c r="AO36" s="182" t="n">
        <f aca="false">COUNTIF($C36:$AG36,AO$4)</f>
        <v>3</v>
      </c>
      <c r="AP36" s="182" t="n">
        <f aca="false">COUNTIF($C36:$AG36,AP$4)</f>
        <v>0</v>
      </c>
      <c r="AQ36" s="182" t="n">
        <f aca="false">COUNTIF($C36:$AG36,AQ$4)</f>
        <v>0</v>
      </c>
      <c r="AR36" s="67"/>
      <c r="AS36" s="184" t="n">
        <v>2</v>
      </c>
      <c r="AT36" s="184"/>
      <c r="AU36" s="38" t="n">
        <f aca="false">SUMPRODUCT(--(WEEKDAY(C$3:AG$3,2)&lt;5),--ISNUMBER(MATCH(C36:AG36,{"DM","CS1","CS2","SB1","AE","CS/B"},0)))</f>
        <v>2</v>
      </c>
      <c r="AV36" s="67"/>
      <c r="AW36" s="38" t="n">
        <f aca="false">SUMPRODUCT(--(WEEKDAY(C$3:AG$3,2)=5),--ISNUMBER(MATCH(C36:AG36,{"DM","CS1","CS2","SB1","AE","CS/B"},0)))</f>
        <v>1</v>
      </c>
      <c r="AX36" s="38" t="n">
        <f aca="false">SUMPRODUCT(--(WEEKDAY(C$3:AG$3,2)&gt;5),--ISNUMBER(MATCH(C36:AG36,{"DM","CS1","CS2","SB1","AE","CS/B"},0)))</f>
        <v>0</v>
      </c>
      <c r="AY36" s="67"/>
      <c r="AZ36" s="38" t="n">
        <f aca="false">(AU36-AV36)+AW36*1.5+(AX36-AY36)*2+AN36*0.5+AP36*0.5+AS36-AT36</f>
        <v>5.5</v>
      </c>
      <c r="BA36" s="38" t="n">
        <f aca="false">AU36+AW36+AX36</f>
        <v>3</v>
      </c>
      <c r="BB36" s="38" t="n">
        <f aca="false">BE36+BG36+BI36+BK36+BM36</f>
        <v>1</v>
      </c>
      <c r="BC36" s="184" t="n">
        <f aca="false">AZ36+BD36</f>
        <v>6</v>
      </c>
      <c r="BD36" s="38" t="n">
        <f aca="false">BF36+BH36+BJ36+BL36+BN36</f>
        <v>0.5</v>
      </c>
      <c r="BE36" s="38" t="n">
        <f aca="false">COUNTIF(A36:AI36,"*$BTP*")</f>
        <v>0</v>
      </c>
      <c r="BF36" s="38" t="n">
        <f aca="false">BE36*1.5</f>
        <v>0</v>
      </c>
      <c r="BG36" s="38" t="n">
        <f aca="false">COUNTIF(A36:AI36,"*$M*")</f>
        <v>0</v>
      </c>
      <c r="BH36" s="38" t="n">
        <f aca="false">BG36*1</f>
        <v>0</v>
      </c>
      <c r="BI36" s="38" t="n">
        <f aca="false">COUNTIF(A36:AI36,"*$PM*")</f>
        <v>0</v>
      </c>
      <c r="BJ36" s="38" t="n">
        <f aca="false">BI36*0.5</f>
        <v>0</v>
      </c>
      <c r="BK36" s="38" t="n">
        <f aca="false">COUNTIF(A36:AI36,"*$AM*")</f>
        <v>1</v>
      </c>
      <c r="BL36" s="38" t="n">
        <f aca="false">BK36*0.5</f>
        <v>0.5</v>
      </c>
      <c r="BM36" s="38" t="n">
        <f aca="false">COUNTIF(A36:AI36,"*$FC*")</f>
        <v>0</v>
      </c>
      <c r="BN36" s="38" t="n">
        <f aca="false">BM36*1</f>
        <v>0</v>
      </c>
      <c r="BO36" s="38" t="n">
        <f aca="false">COUNTIF($D36:$AA36,BO$4)</f>
        <v>0</v>
      </c>
      <c r="BP36" s="38" t="n">
        <f aca="false">COUNTIF($D36:$AA36,BP$4)</f>
        <v>0</v>
      </c>
      <c r="BQ36" s="38" t="n">
        <f aca="false">COUNTIF($D36:$AA36,BQ$4)</f>
        <v>0</v>
      </c>
      <c r="BR36" s="211"/>
    </row>
    <row r="37" customFormat="false" ht="19.5" hidden="false" customHeight="true" outlineLevel="0" collapsed="false">
      <c r="A37" s="176"/>
      <c r="B37" s="207" t="s">
        <v>649</v>
      </c>
      <c r="C37" s="181" t="s">
        <v>683</v>
      </c>
      <c r="D37" s="181" t="s">
        <v>65</v>
      </c>
      <c r="E37" s="181"/>
      <c r="F37" s="181" t="s">
        <v>677</v>
      </c>
      <c r="G37" s="181" t="s">
        <v>678</v>
      </c>
      <c r="H37" s="181"/>
      <c r="I37" s="181"/>
      <c r="J37" s="181"/>
      <c r="K37" s="181" t="s">
        <v>694</v>
      </c>
      <c r="L37" s="181"/>
      <c r="M37" s="181"/>
      <c r="N37" s="181" t="s">
        <v>65</v>
      </c>
      <c r="O37" s="181"/>
      <c r="P37" s="181"/>
      <c r="Q37" s="181"/>
      <c r="R37" s="181"/>
      <c r="S37" s="181"/>
      <c r="T37" s="181"/>
      <c r="U37" s="181"/>
      <c r="V37" s="181" t="s">
        <v>65</v>
      </c>
      <c r="W37" s="181"/>
      <c r="X37" s="181"/>
      <c r="Y37" s="181"/>
      <c r="Z37" s="181" t="s">
        <v>573</v>
      </c>
      <c r="AA37" s="91"/>
      <c r="AB37" s="181"/>
      <c r="AC37" s="181"/>
      <c r="AE37" s="91"/>
      <c r="AF37" s="181"/>
      <c r="AG37" s="181"/>
      <c r="AH37" s="32"/>
      <c r="AI37" s="182" t="n">
        <f aca="false">COUNTIF($C37:$AG37,AI$4)</f>
        <v>0</v>
      </c>
      <c r="AJ37" s="182" t="n">
        <f aca="false">COUNTIF($C37:$AG37,AJ$4)</f>
        <v>0</v>
      </c>
      <c r="AK37" s="182" t="n">
        <f aca="false">COUNTIF($C37:$AG37,AK$4)</f>
        <v>0</v>
      </c>
      <c r="AL37" s="182" t="n">
        <f aca="false">COUNTIF($C37:$AG37,AL$4)</f>
        <v>0</v>
      </c>
      <c r="AM37" s="182" t="n">
        <f aca="false">COUNTIF($C37:$AG37,AM$4)</f>
        <v>0</v>
      </c>
      <c r="AN37" s="182" t="n">
        <f aca="false">COUNTIF($C37:$AG37,AN$4)</f>
        <v>0</v>
      </c>
      <c r="AO37" s="182" t="n">
        <f aca="false">COUNTIF($C37:$AG37,AO$4)</f>
        <v>3</v>
      </c>
      <c r="AP37" s="182" t="n">
        <f aca="false">COUNTIF($C37:$AG37,AP$4)</f>
        <v>0</v>
      </c>
      <c r="AQ37" s="182" t="n">
        <f aca="false">COUNTIF($C37:$AG37,AQ$4)</f>
        <v>0</v>
      </c>
      <c r="AR37" s="67"/>
      <c r="AS37" s="184" t="n">
        <v>2</v>
      </c>
      <c r="AT37" s="184"/>
      <c r="AU37" s="38" t="n">
        <f aca="false">SUMPRODUCT(--(WEEKDAY(C$3:AG$3,2)&lt;5),--ISNUMBER(MATCH(C37:AG37,{"DM","CS1","CS2","SB1","AE","CS/B"},0)))</f>
        <v>2</v>
      </c>
      <c r="AV37" s="67"/>
      <c r="AW37" s="38" t="n">
        <f aca="false">SUMPRODUCT(--(WEEKDAY(C$3:AG$3,2)=5),--ISNUMBER(MATCH(C37:AG37,{"DM","CS1","CS2","SB1","AE","CS/B"},0)))</f>
        <v>1</v>
      </c>
      <c r="AX37" s="38" t="n">
        <f aca="false">SUMPRODUCT(--(WEEKDAY(C$3:AG$3,2)&gt;5),--ISNUMBER(MATCH(C37:AG37,{"DM","CS1","CS2","SB1","AE","CS/B"},0)))</f>
        <v>0</v>
      </c>
      <c r="AY37" s="67"/>
      <c r="AZ37" s="38" t="n">
        <f aca="false">(AU37-AV37)+AW37*1.5+(AX37-AY37)*2+AN37*0.5+AP37*0.5+AS37-AT37</f>
        <v>5.5</v>
      </c>
      <c r="BA37" s="38" t="n">
        <f aca="false">AU37+AW37+AX37</f>
        <v>3</v>
      </c>
      <c r="BB37" s="38" t="n">
        <f aca="false">BE37+BG37+BI37+BK37+BM37</f>
        <v>3</v>
      </c>
      <c r="BC37" s="184" t="n">
        <f aca="false">AZ37+BD37</f>
        <v>7.5</v>
      </c>
      <c r="BD37" s="38" t="n">
        <f aca="false">BF37+BH37+BJ37+BL37+BN37</f>
        <v>2</v>
      </c>
      <c r="BE37" s="38" t="n">
        <f aca="false">COUNTIF(A37:AI37,"*$BTP*")</f>
        <v>0</v>
      </c>
      <c r="BF37" s="38" t="n">
        <f aca="false">BE37*1.5</f>
        <v>0</v>
      </c>
      <c r="BG37" s="38" t="n">
        <f aca="false">COUNTIF(A37:AI37,"*$M*")</f>
        <v>1</v>
      </c>
      <c r="BH37" s="38" t="n">
        <f aca="false">BG37*1</f>
        <v>1</v>
      </c>
      <c r="BI37" s="38" t="n">
        <f aca="false">COUNTIF(A37:AI37,"*$PM*")</f>
        <v>1</v>
      </c>
      <c r="BJ37" s="38" t="n">
        <f aca="false">BI37*0.5</f>
        <v>0.5</v>
      </c>
      <c r="BK37" s="38" t="n">
        <f aca="false">COUNTIF(A37:AI37,"*$AM*")</f>
        <v>1</v>
      </c>
      <c r="BL37" s="38" t="n">
        <f aca="false">BK37*0.5</f>
        <v>0.5</v>
      </c>
      <c r="BM37" s="38" t="n">
        <f aca="false">COUNTIF(A37:AI37,"*$FC*")</f>
        <v>0</v>
      </c>
      <c r="BN37" s="38" t="n">
        <f aca="false">BM37*1</f>
        <v>0</v>
      </c>
      <c r="BO37" s="38" t="n">
        <f aca="false">COUNTIF($D37:$Z37,BO$4)</f>
        <v>0</v>
      </c>
      <c r="BP37" s="38" t="n">
        <f aca="false">COUNTIF($D37:$Z37,BP$4)</f>
        <v>0</v>
      </c>
      <c r="BQ37" s="38" t="n">
        <f aca="false">COUNTIF($D37:$Z37,BQ$4)</f>
        <v>0</v>
      </c>
      <c r="BR37" s="211"/>
    </row>
    <row r="38" customFormat="false" ht="19.5" hidden="false" customHeight="true" outlineLevel="0" collapsed="false">
      <c r="A38" s="176"/>
      <c r="B38" s="207" t="s">
        <v>657</v>
      </c>
      <c r="C38" s="91"/>
      <c r="D38" s="91"/>
      <c r="E38" s="181"/>
      <c r="F38" s="181" t="s">
        <v>677</v>
      </c>
      <c r="G38" s="181" t="s">
        <v>678</v>
      </c>
      <c r="H38" s="91"/>
      <c r="I38" s="91"/>
      <c r="J38" s="91" t="s">
        <v>65</v>
      </c>
      <c r="K38" s="91"/>
      <c r="L38" s="91"/>
      <c r="M38" s="91" t="s">
        <v>65</v>
      </c>
      <c r="N38" s="91"/>
      <c r="O38" s="91"/>
      <c r="P38" s="91"/>
      <c r="Q38" s="91"/>
      <c r="R38" s="188" t="s">
        <v>581</v>
      </c>
      <c r="S38" s="91"/>
      <c r="T38" s="91" t="s">
        <v>65</v>
      </c>
      <c r="U38" s="91"/>
      <c r="V38" s="91"/>
      <c r="W38" s="91"/>
      <c r="X38" s="91"/>
      <c r="Y38" s="92" t="s">
        <v>696</v>
      </c>
      <c r="AB38" s="91"/>
      <c r="AC38" s="91" t="s">
        <v>65</v>
      </c>
      <c r="AD38" s="91"/>
      <c r="AE38" s="91"/>
      <c r="AF38" s="91"/>
      <c r="AG38" s="92"/>
      <c r="AH38" s="32"/>
      <c r="AI38" s="182" t="n">
        <f aca="false">COUNTIF($C38:$AG38,AI$4)</f>
        <v>0</v>
      </c>
      <c r="AJ38" s="182" t="n">
        <f aca="false">COUNTIF($C38:$AG38,AJ$4)</f>
        <v>0</v>
      </c>
      <c r="AK38" s="182" t="n">
        <f aca="false">COUNTIF($C38:$AG38,AK$4)</f>
        <v>0</v>
      </c>
      <c r="AL38" s="182" t="n">
        <f aca="false">COUNTIF($C38:$AG38,AL$4)</f>
        <v>0</v>
      </c>
      <c r="AM38" s="182" t="n">
        <f aca="false">COUNTIF($C38:$AG38,AM$4)</f>
        <v>0</v>
      </c>
      <c r="AN38" s="182" t="n">
        <f aca="false">COUNTIF($C38:$AG38,AN$4)</f>
        <v>0</v>
      </c>
      <c r="AO38" s="182" t="n">
        <f aca="false">COUNTIF($C38:$AG38,AO$4)</f>
        <v>4</v>
      </c>
      <c r="AP38" s="182" t="n">
        <f aca="false">COUNTIF($C38:$AG38,AP$4)</f>
        <v>0</v>
      </c>
      <c r="AQ38" s="182" t="n">
        <f aca="false">COUNTIF($C38:$AG38,AQ$4)</f>
        <v>0</v>
      </c>
      <c r="AR38" s="67"/>
      <c r="AS38" s="184" t="n">
        <v>0.5</v>
      </c>
      <c r="AT38" s="184"/>
      <c r="AU38" s="38" t="n">
        <f aca="false">SUMPRODUCT(--(WEEKDAY(C$3:AG$3,2)&lt;5),--ISNUMBER(MATCH(C38:AG38,{"DM","CS1","CS2","SB1","AE","CS/B"},0)))</f>
        <v>2</v>
      </c>
      <c r="AV38" s="67"/>
      <c r="AW38" s="38" t="n">
        <f aca="false">SUMPRODUCT(--(WEEKDAY(C$3:AG$3,2)=5),--ISNUMBER(MATCH(C38:AG38,{"DM","CS1","CS2","SB1","AE","CS/B"},0)))</f>
        <v>1</v>
      </c>
      <c r="AX38" s="38" t="n">
        <f aca="false">SUMPRODUCT(--(WEEKDAY(C$3:AG$3,2)&gt;5),--ISNUMBER(MATCH(C38:AG38,{"DM","CS1","CS2","SB1","AE","CS/B"},0)))</f>
        <v>1</v>
      </c>
      <c r="AY38" s="67"/>
      <c r="AZ38" s="38" t="n">
        <f aca="false">(AU38-AV38)+AW38*1.5+(AX38-AY38)*2+AN38*0.5+AP38*0.5+AS38-AT38</f>
        <v>6</v>
      </c>
      <c r="BA38" s="38" t="n">
        <f aca="false">AU38+AW38+AX38</f>
        <v>4</v>
      </c>
      <c r="BB38" s="38" t="n">
        <f aca="false">BE38+BG38+BI38+BK38+BM38</f>
        <v>3</v>
      </c>
      <c r="BC38" s="184" t="n">
        <f aca="false">AZ38+BD38</f>
        <v>8</v>
      </c>
      <c r="BD38" s="38" t="n">
        <f aca="false">BF38+BH38+BJ38+BL38+BN38</f>
        <v>2</v>
      </c>
      <c r="BE38" s="38" t="n">
        <f aca="false">COUNTIF(A38:AI38,"*$BTP*")</f>
        <v>0</v>
      </c>
      <c r="BF38" s="38" t="n">
        <f aca="false">BE38*1.5</f>
        <v>0</v>
      </c>
      <c r="BG38" s="38" t="n">
        <f aca="false">COUNTIF(A38:AI38,"*$M*")</f>
        <v>0</v>
      </c>
      <c r="BH38" s="38" t="n">
        <f aca="false">BG38*1</f>
        <v>0</v>
      </c>
      <c r="BI38" s="38" t="n">
        <f aca="false">COUNTIF(A38:AI38,"*$PM*")</f>
        <v>1</v>
      </c>
      <c r="BJ38" s="38" t="n">
        <f aca="false">BI38*0.5</f>
        <v>0.5</v>
      </c>
      <c r="BK38" s="38" t="n">
        <f aca="false">COUNTIF(A38:AI38,"*$AM*")</f>
        <v>1</v>
      </c>
      <c r="BL38" s="38" t="n">
        <f aca="false">BK38*0.5</f>
        <v>0.5</v>
      </c>
      <c r="BM38" s="38" t="n">
        <f aca="false">COUNTIF(A38:AI38,"*$FC*")</f>
        <v>1</v>
      </c>
      <c r="BN38" s="38" t="n">
        <f aca="false">BM38*1</f>
        <v>1</v>
      </c>
      <c r="BO38" s="38" t="n">
        <f aca="false">COUNTIF($D38:$AA38,BO$4)</f>
        <v>0</v>
      </c>
      <c r="BP38" s="38" t="n">
        <f aca="false">COUNTIF($D38:$AA38,BP$4)</f>
        <v>0</v>
      </c>
      <c r="BQ38" s="38" t="n">
        <f aca="false">COUNTIF($D38:$AA38,BQ$4)</f>
        <v>0</v>
      </c>
      <c r="BR38" s="211"/>
    </row>
    <row r="39" customFormat="false" ht="19.5" hidden="false" customHeight="true" outlineLevel="0" collapsed="false">
      <c r="A39" s="176"/>
      <c r="B39" s="207" t="s">
        <v>659</v>
      </c>
      <c r="C39" s="188" t="s">
        <v>65</v>
      </c>
      <c r="D39" s="91" t="s">
        <v>697</v>
      </c>
      <c r="E39" s="91"/>
      <c r="F39" s="46" t="s">
        <v>58</v>
      </c>
      <c r="G39" s="91"/>
      <c r="H39" s="188" t="s">
        <v>93</v>
      </c>
      <c r="I39" s="187"/>
      <c r="J39" s="181"/>
      <c r="K39" s="91" t="s">
        <v>65</v>
      </c>
      <c r="L39" s="91"/>
      <c r="M39" s="91" t="s">
        <v>573</v>
      </c>
      <c r="N39" s="91"/>
      <c r="O39" s="91" t="s">
        <v>65</v>
      </c>
      <c r="P39" s="91"/>
      <c r="Q39" s="91"/>
      <c r="S39" s="181"/>
      <c r="T39" s="181" t="s">
        <v>573</v>
      </c>
      <c r="U39" s="181"/>
      <c r="V39" s="181"/>
      <c r="W39" s="179" t="s">
        <v>348</v>
      </c>
      <c r="X39" s="179" t="s">
        <v>348</v>
      </c>
      <c r="Z39" s="188" t="s">
        <v>93</v>
      </c>
      <c r="AA39" s="181"/>
      <c r="AB39" s="181"/>
      <c r="AC39" s="181"/>
      <c r="AD39" s="181"/>
      <c r="AE39" s="181"/>
      <c r="AF39" s="181"/>
      <c r="AG39" s="92"/>
      <c r="AH39" s="32"/>
      <c r="AI39" s="182" t="n">
        <f aca="false">COUNTIF($C39:$AG39,AI$4)</f>
        <v>0</v>
      </c>
      <c r="AJ39" s="182" t="n">
        <f aca="false">COUNTIF($C39:$AG39,AJ$4)</f>
        <v>0</v>
      </c>
      <c r="AK39" s="182" t="n">
        <f aca="false">COUNTIF($C39:$AG39,AK$4)</f>
        <v>0</v>
      </c>
      <c r="AL39" s="182" t="n">
        <f aca="false">COUNTIF($C39:$AG39,AL$4)</f>
        <v>0</v>
      </c>
      <c r="AM39" s="182" t="n">
        <f aca="false">COUNTIF($C39:$AG39,AM$4)</f>
        <v>1</v>
      </c>
      <c r="AN39" s="182" t="n">
        <f aca="false">COUNTIF($C39:$AG39,AN$4)</f>
        <v>2</v>
      </c>
      <c r="AO39" s="182" t="n">
        <f aca="false">COUNTIF($C39:$AG39,AO$4)</f>
        <v>3</v>
      </c>
      <c r="AP39" s="182" t="n">
        <f aca="false">COUNTIF($C39:$AG39,AP$4)</f>
        <v>0</v>
      </c>
      <c r="AQ39" s="182" t="n">
        <f aca="false">COUNTIF($C39:$AG39,AQ$4)</f>
        <v>0</v>
      </c>
      <c r="AR39" s="67"/>
      <c r="AS39" s="184" t="n">
        <v>2</v>
      </c>
      <c r="AT39" s="184"/>
      <c r="AU39" s="38" t="n">
        <f aca="false">SUMPRODUCT(--(WEEKDAY(C$3:AG$3,2)&lt;5),--ISNUMBER(MATCH(C39:AG39,{"DM","CS1","CS2","SB1","AE","CS/B"},0)))</f>
        <v>2</v>
      </c>
      <c r="AV39" s="67"/>
      <c r="AW39" s="38" t="n">
        <f aca="false">SUMPRODUCT(--(WEEKDAY(C$3:AG$3,2)=5),--ISNUMBER(MATCH(C39:AG39,{"DM","CS1","CS2","SB1","AE","CS/B"},0)))</f>
        <v>1</v>
      </c>
      <c r="AX39" s="38" t="n">
        <f aca="false">SUMPRODUCT(--(WEEKDAY(C$3:AG$3,2)&gt;5),--ISNUMBER(MATCH(C39:AG39,{"DM","CS1","CS2","SB1","AE","CS/B"},0)))</f>
        <v>1</v>
      </c>
      <c r="AY39" s="67"/>
      <c r="AZ39" s="38" t="n">
        <f aca="false">(AU39-AV39)+AW39*1.5+(AX39-AY39)*2+AN39*0.5+AP39*0.5+AS39-AT39</f>
        <v>8.5</v>
      </c>
      <c r="BA39" s="38" t="n">
        <f aca="false">AU39+AW39+AX39</f>
        <v>4</v>
      </c>
      <c r="BB39" s="38" t="n">
        <f aca="false">BE39+BG39+BI39+BK39+BM39</f>
        <v>0</v>
      </c>
      <c r="BC39" s="184" t="n">
        <f aca="false">AZ39+BD39</f>
        <v>8.5</v>
      </c>
      <c r="BD39" s="38" t="n">
        <f aca="false">BF39+BH39+BJ39+BL39+BN39</f>
        <v>0</v>
      </c>
      <c r="BE39" s="38" t="n">
        <f aca="false">COUNTIF(A39:AI39,"*$BTP*")</f>
        <v>0</v>
      </c>
      <c r="BF39" s="38" t="n">
        <f aca="false">BE39*1.5</f>
        <v>0</v>
      </c>
      <c r="BG39" s="38" t="n">
        <f aca="false">COUNTIF(A39:AI39,"*$M*")</f>
        <v>0</v>
      </c>
      <c r="BH39" s="38" t="n">
        <f aca="false">BG39*1</f>
        <v>0</v>
      </c>
      <c r="BI39" s="38" t="n">
        <f aca="false">COUNTIF(A39:AI39,"*$PM*")</f>
        <v>0</v>
      </c>
      <c r="BJ39" s="38" t="n">
        <f aca="false">BI39*0.5</f>
        <v>0</v>
      </c>
      <c r="BK39" s="38" t="n">
        <f aca="false">COUNTIF(A39:AI39,"*$AM*")</f>
        <v>0</v>
      </c>
      <c r="BL39" s="38" t="n">
        <f aca="false">BK39*0.5</f>
        <v>0</v>
      </c>
      <c r="BM39" s="38" t="n">
        <f aca="false">COUNTIF(A39:AI39,"*$FC*")</f>
        <v>0</v>
      </c>
      <c r="BN39" s="38" t="n">
        <f aca="false">BM39*1</f>
        <v>0</v>
      </c>
      <c r="BO39" s="38" t="n">
        <f aca="false">COUNTIF($D39:$AA39,BO$4)</f>
        <v>0</v>
      </c>
      <c r="BP39" s="38" t="n">
        <f aca="false">COUNTIF($D39:$AA39,BP$4)</f>
        <v>0</v>
      </c>
      <c r="BQ39" s="38" t="n">
        <f aca="false">COUNTIF($D39:$AA39,BQ$4)</f>
        <v>0</v>
      </c>
      <c r="BR39" s="211"/>
    </row>
    <row r="40" customFormat="false" ht="19.5" hidden="false" customHeight="true" outlineLevel="0" collapsed="false">
      <c r="A40" s="176"/>
      <c r="B40" s="215" t="s">
        <v>148</v>
      </c>
      <c r="C40" s="52"/>
      <c r="D40" s="32"/>
      <c r="E40" s="32"/>
      <c r="F40" s="32"/>
      <c r="G40" s="91"/>
      <c r="I40" s="32"/>
      <c r="J40" s="32"/>
      <c r="K40" s="32"/>
      <c r="L40" s="32"/>
      <c r="M40" s="91"/>
      <c r="N40" s="32"/>
      <c r="O40" s="32"/>
      <c r="P40" s="32"/>
      <c r="Q40" s="91"/>
      <c r="R40" s="181"/>
      <c r="S40" s="32"/>
      <c r="T40" s="52"/>
      <c r="U40" s="34"/>
      <c r="V40" s="91"/>
      <c r="W40" s="181"/>
      <c r="X40" s="32"/>
      <c r="Y40" s="32"/>
      <c r="Z40" s="32"/>
      <c r="AA40" s="32"/>
      <c r="AB40" s="32"/>
      <c r="AC40" s="32"/>
      <c r="AD40" s="32"/>
      <c r="AE40" s="32"/>
      <c r="AF40" s="32"/>
      <c r="AG40" s="52"/>
      <c r="AH40" s="32"/>
      <c r="AI40" s="182"/>
      <c r="AJ40" s="183"/>
      <c r="AK40" s="182"/>
      <c r="AL40" s="182"/>
      <c r="AM40" s="67"/>
      <c r="AN40" s="67"/>
      <c r="AO40" s="67"/>
      <c r="AP40" s="67"/>
      <c r="AQ40" s="67"/>
      <c r="AR40" s="67"/>
      <c r="AS40" s="67"/>
      <c r="AT40" s="67"/>
      <c r="AU40" s="38"/>
      <c r="AV40" s="67"/>
      <c r="AW40" s="67"/>
      <c r="AX40" s="38"/>
      <c r="AY40" s="67"/>
      <c r="AZ40" s="67"/>
      <c r="BA40" s="38"/>
      <c r="BB40" s="38"/>
      <c r="BC40" s="38" t="s">
        <v>698</v>
      </c>
      <c r="BD40" s="38"/>
      <c r="BE40" s="38"/>
      <c r="BF40" s="38"/>
      <c r="BG40" s="38"/>
      <c r="BH40" s="38"/>
      <c r="BI40" s="38"/>
      <c r="BJ40" s="38"/>
      <c r="BK40" s="38"/>
      <c r="BL40" s="38"/>
      <c r="BM40" s="38"/>
      <c r="BN40" s="38"/>
      <c r="BO40" s="67"/>
      <c r="BP40" s="67"/>
      <c r="BQ40" s="67"/>
      <c r="BR40" s="211"/>
    </row>
    <row r="41" customFormat="false" ht="19.5" hidden="false" customHeight="true" outlineLevel="0" collapsed="false">
      <c r="A41" s="176"/>
      <c r="B41" s="217" t="s">
        <v>664</v>
      </c>
      <c r="C41" s="52"/>
      <c r="D41" s="32"/>
      <c r="E41" s="32"/>
      <c r="F41" s="32"/>
      <c r="G41" s="32"/>
      <c r="I41" s="32"/>
      <c r="J41" s="32"/>
      <c r="K41" s="32"/>
      <c r="L41" s="32"/>
      <c r="M41" s="91"/>
      <c r="N41" s="32"/>
      <c r="O41" s="32"/>
      <c r="P41" s="32"/>
      <c r="Q41" s="91"/>
      <c r="R41" s="91"/>
      <c r="S41" s="32"/>
      <c r="T41" s="52"/>
      <c r="U41" s="34"/>
      <c r="V41" s="50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52"/>
      <c r="AH41" s="32"/>
      <c r="AI41" s="182"/>
      <c r="AJ41" s="183"/>
      <c r="AK41" s="182"/>
      <c r="AL41" s="182"/>
      <c r="AM41" s="67"/>
      <c r="AN41" s="67"/>
      <c r="AO41" s="67"/>
      <c r="AP41" s="67"/>
      <c r="AQ41" s="67"/>
      <c r="AR41" s="67"/>
      <c r="AS41" s="67"/>
      <c r="AT41" s="67"/>
      <c r="AU41" s="38"/>
      <c r="AV41" s="67"/>
      <c r="AW41" s="67"/>
      <c r="AX41" s="38"/>
      <c r="AY41" s="67"/>
      <c r="AZ41" s="67"/>
      <c r="BA41" s="38"/>
      <c r="BB41" s="38"/>
      <c r="BC41" s="38" t="s">
        <v>699</v>
      </c>
      <c r="BD41" s="38"/>
      <c r="BE41" s="38"/>
      <c r="BF41" s="38"/>
      <c r="BG41" s="38"/>
      <c r="BH41" s="38"/>
      <c r="BI41" s="38"/>
      <c r="BJ41" s="38"/>
      <c r="BK41" s="38"/>
      <c r="BL41" s="38"/>
      <c r="BM41" s="38"/>
      <c r="BN41" s="38"/>
      <c r="BO41" s="67"/>
      <c r="BP41" s="67"/>
      <c r="BQ41" s="67"/>
      <c r="BR41" s="211"/>
    </row>
    <row r="42" customFormat="false" ht="19.5" hidden="false" customHeight="true" outlineLevel="0" collapsed="false">
      <c r="A42" s="176"/>
      <c r="B42" s="217" t="s">
        <v>667</v>
      </c>
      <c r="C42" s="52"/>
      <c r="D42" s="32"/>
      <c r="E42" s="32"/>
      <c r="F42" s="32"/>
      <c r="G42" s="32"/>
      <c r="H42" s="32"/>
      <c r="I42" s="32"/>
      <c r="J42" s="32"/>
      <c r="K42" s="32"/>
      <c r="L42" s="32"/>
      <c r="M42" s="91"/>
      <c r="N42" s="32"/>
      <c r="O42" s="32"/>
      <c r="P42" s="32"/>
      <c r="Q42" s="91"/>
      <c r="R42" s="91"/>
      <c r="S42" s="32"/>
      <c r="T42" s="52"/>
      <c r="U42" s="34" t="s">
        <v>700</v>
      </c>
      <c r="V42" s="50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52"/>
      <c r="AH42" s="32"/>
      <c r="AI42" s="182"/>
      <c r="AJ42" s="183"/>
      <c r="AK42" s="182"/>
      <c r="AL42" s="182"/>
      <c r="AM42" s="67"/>
      <c r="AN42" s="67"/>
      <c r="AO42" s="67"/>
      <c r="AP42" s="67"/>
      <c r="AQ42" s="67"/>
      <c r="AR42" s="67"/>
      <c r="AS42" s="67"/>
      <c r="AT42" s="67"/>
      <c r="AU42" s="38"/>
      <c r="AV42" s="67"/>
      <c r="AW42" s="67"/>
      <c r="AX42" s="38"/>
      <c r="AY42" s="67"/>
      <c r="AZ42" s="67"/>
      <c r="BA42" s="38"/>
      <c r="BB42" s="38"/>
      <c r="BC42" s="38"/>
      <c r="BD42" s="38"/>
      <c r="BE42" s="38"/>
      <c r="BF42" s="38"/>
      <c r="BG42" s="38"/>
      <c r="BH42" s="38"/>
      <c r="BI42" s="38"/>
      <c r="BJ42" s="38"/>
      <c r="BK42" s="38"/>
      <c r="BL42" s="38"/>
      <c r="BM42" s="38"/>
      <c r="BN42" s="38"/>
      <c r="BO42" s="67"/>
      <c r="BP42" s="67"/>
      <c r="BQ42" s="67"/>
      <c r="BR42" s="211"/>
    </row>
    <row r="43" customFormat="false" ht="19.5" hidden="false" customHeight="true" outlineLevel="0" collapsed="false">
      <c r="A43" s="176"/>
      <c r="B43" s="217" t="s">
        <v>668</v>
      </c>
      <c r="C43" s="52"/>
      <c r="D43" s="32"/>
      <c r="E43" s="32"/>
      <c r="F43" s="32"/>
      <c r="G43" s="32"/>
      <c r="H43" s="32"/>
      <c r="I43" s="32"/>
      <c r="J43" s="32"/>
      <c r="K43" s="32"/>
      <c r="L43" s="32"/>
      <c r="M43" s="91"/>
      <c r="N43" s="32"/>
      <c r="O43" s="32"/>
      <c r="P43" s="32"/>
      <c r="Q43" s="91"/>
      <c r="R43" s="91"/>
      <c r="S43" s="32"/>
      <c r="T43" s="52"/>
      <c r="U43" s="34"/>
      <c r="V43" s="50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52"/>
      <c r="AH43" s="32"/>
      <c r="AI43" s="182"/>
      <c r="AJ43" s="183"/>
      <c r="AK43" s="182"/>
      <c r="AL43" s="182"/>
      <c r="AM43" s="67"/>
      <c r="AN43" s="67"/>
      <c r="AO43" s="67"/>
      <c r="AP43" s="67"/>
      <c r="AQ43" s="67"/>
      <c r="AR43" s="67"/>
      <c r="AS43" s="67"/>
      <c r="AT43" s="67"/>
      <c r="AU43" s="38"/>
      <c r="AV43" s="67"/>
      <c r="AW43" s="67"/>
      <c r="AX43" s="38"/>
      <c r="AY43" s="67"/>
      <c r="AZ43" s="67"/>
      <c r="BA43" s="38"/>
      <c r="BB43" s="38"/>
      <c r="BC43" s="38"/>
      <c r="BD43" s="38"/>
      <c r="BE43" s="38"/>
      <c r="BF43" s="38"/>
      <c r="BG43" s="38"/>
      <c r="BH43" s="38"/>
      <c r="BI43" s="38"/>
      <c r="BJ43" s="38"/>
      <c r="BK43" s="38"/>
      <c r="BL43" s="38"/>
      <c r="BM43" s="38"/>
      <c r="BN43" s="38"/>
      <c r="BO43" s="67"/>
      <c r="BP43" s="67"/>
      <c r="BQ43" s="67"/>
      <c r="BR43" s="211"/>
    </row>
    <row r="44" customFormat="false" ht="19.5" hidden="false" customHeight="true" outlineLevel="0" collapsed="false">
      <c r="A44" s="176"/>
      <c r="B44" s="218"/>
      <c r="C44" s="219"/>
      <c r="D44" s="220"/>
      <c r="E44" s="220"/>
      <c r="F44" s="220"/>
      <c r="G44" s="220"/>
      <c r="H44" s="219"/>
      <c r="I44" s="219"/>
      <c r="J44" s="219"/>
      <c r="K44" s="219"/>
      <c r="L44" s="219"/>
      <c r="M44" s="219"/>
      <c r="N44" s="219"/>
      <c r="O44" s="219"/>
      <c r="P44" s="219"/>
      <c r="Q44" s="219"/>
      <c r="R44" s="219"/>
      <c r="S44" s="219"/>
      <c r="T44" s="219"/>
      <c r="U44" s="219"/>
      <c r="V44" s="219"/>
      <c r="W44" s="219"/>
      <c r="X44" s="219"/>
      <c r="Y44" s="219"/>
      <c r="Z44" s="219"/>
      <c r="AA44" s="219"/>
      <c r="AB44" s="219"/>
      <c r="AC44" s="219"/>
      <c r="AD44" s="219"/>
      <c r="AE44" s="219"/>
      <c r="AF44" s="219"/>
      <c r="AG44" s="219"/>
      <c r="AH44" s="221"/>
      <c r="AI44" s="222"/>
      <c r="AJ44" s="223"/>
      <c r="AK44" s="222"/>
      <c r="AL44" s="222"/>
      <c r="AM44" s="75"/>
      <c r="AN44" s="75"/>
      <c r="AO44" s="75"/>
      <c r="AP44" s="75"/>
      <c r="AQ44" s="75"/>
      <c r="AR44" s="75"/>
      <c r="AS44" s="75"/>
      <c r="AT44" s="75"/>
      <c r="AU44" s="75"/>
      <c r="AV44" s="75"/>
      <c r="AW44" s="75"/>
      <c r="AX44" s="75" t="n">
        <f aca="false">SUMPRODUCT(--WEEKDAY(C$3:AG$3,2)&gt;5,--((C44:AG44="DM"))+(C44:AG44="CS1")+((C44:AG44="CS2"))+(C44:AG44="SB1")+(C44:AG44="AE")+(C44:AG44="EM"))</f>
        <v>0</v>
      </c>
      <c r="AY44" s="75"/>
      <c r="AZ44" s="75" t="n">
        <f aca="false">(AU44-AV44)/2+(AX44-AY44)</f>
        <v>0</v>
      </c>
      <c r="BA44" s="75"/>
      <c r="BB44" s="75"/>
      <c r="BC44" s="75"/>
      <c r="BD44" s="75"/>
      <c r="BE44" s="75"/>
      <c r="BF44" s="75"/>
      <c r="BG44" s="75"/>
      <c r="BH44" s="75"/>
      <c r="BI44" s="75"/>
      <c r="BJ44" s="75"/>
      <c r="BK44" s="75"/>
      <c r="BL44" s="75"/>
      <c r="BM44" s="75"/>
      <c r="BN44" s="75"/>
      <c r="BO44" s="75"/>
      <c r="BP44" s="75"/>
      <c r="BQ44" s="75"/>
      <c r="BR44" s="224"/>
    </row>
    <row r="45" customFormat="false" ht="19.5" hidden="false" customHeight="true" outlineLevel="0" collapsed="false">
      <c r="A45" s="176"/>
      <c r="B45" s="225" t="s">
        <v>57</v>
      </c>
      <c r="C45" s="226" t="str">
        <f aca="false">VLOOKUP("DM",C5:C40,1,FALSE())</f>
        <v>DM</v>
      </c>
      <c r="D45" s="226" t="str">
        <f aca="false">VLOOKUP("DM",D5:D40,1,FALSE())</f>
        <v>DM</v>
      </c>
      <c r="E45" s="226" t="str">
        <f aca="false">VLOOKUP("DM",E5:E40,1,FALSE())</f>
        <v>DM</v>
      </c>
      <c r="F45" s="226" t="str">
        <f aca="false">VLOOKUP("DM",F5:F40,1,FALSE())</f>
        <v>DM</v>
      </c>
      <c r="G45" s="226" t="str">
        <f aca="false">VLOOKUP("DM",G5:G39,1,FALSE())</f>
        <v>DM</v>
      </c>
      <c r="H45" s="226" t="str">
        <f aca="false">VLOOKUP("DM",H5:H39,1,FALSE())</f>
        <v>DM</v>
      </c>
      <c r="I45" s="226" t="str">
        <f aca="false">VLOOKUP("DM",I5:I40,1,FALSE())</f>
        <v>DM</v>
      </c>
      <c r="J45" s="226" t="str">
        <f aca="false">VLOOKUP("DM",J5:J40,1,FALSE())</f>
        <v>DM</v>
      </c>
      <c r="K45" s="226" t="str">
        <f aca="false">VLOOKUP("DM",K5:K40,1,FALSE())</f>
        <v>DM</v>
      </c>
      <c r="L45" s="226" t="str">
        <f aca="false">VLOOKUP("DM",L6:L40,1,FALSE())</f>
        <v>DM</v>
      </c>
      <c r="M45" s="226" t="str">
        <f aca="false">VLOOKUP("DM",M5:M40,1,FALSE())</f>
        <v>DM</v>
      </c>
      <c r="N45" s="226" t="str">
        <f aca="false">VLOOKUP("DM",N5:N40,1,FALSE())</f>
        <v>DM</v>
      </c>
      <c r="O45" s="226" t="str">
        <f aca="false">VLOOKUP("DM",O5:O40,1,FALSE())</f>
        <v>DM</v>
      </c>
      <c r="P45" s="226" t="str">
        <f aca="false">VLOOKUP("DM",P5:P40,1,FALSE())</f>
        <v>DM</v>
      </c>
      <c r="Q45" s="226" t="str">
        <f aca="false">VLOOKUP("DM",Q5:Q40,1,FALSE())</f>
        <v>DM</v>
      </c>
      <c r="R45" s="226" t="str">
        <f aca="false">VLOOKUP("DM",R5:R40,1,FALSE())</f>
        <v>DM</v>
      </c>
      <c r="S45" s="226" t="str">
        <f aca="false">VLOOKUP("DM",S5:S40,1,FALSE())</f>
        <v>DM</v>
      </c>
      <c r="T45" s="226" t="str">
        <f aca="false">VLOOKUP("DM",T6:T40,1,FALSE())</f>
        <v>DM</v>
      </c>
      <c r="U45" s="226" t="str">
        <f aca="false">VLOOKUP("DM",U5:U40,1,FALSE())</f>
        <v>DM</v>
      </c>
      <c r="V45" s="226" t="str">
        <f aca="false">VLOOKUP("DM",V5:V38,1,FALSE())</f>
        <v>DM</v>
      </c>
      <c r="W45" s="226" t="str">
        <f aca="false">VLOOKUP("DM",W5:W40,1,FALSE())</f>
        <v>DM</v>
      </c>
      <c r="X45" s="226" t="str">
        <f aca="false">VLOOKUP("DM",X5:X40,1,FALSE())</f>
        <v>DM</v>
      </c>
      <c r="Y45" s="226" t="str">
        <f aca="false">VLOOKUP("DM",Y5:Y40,1,FALSE())</f>
        <v>DM</v>
      </c>
      <c r="Z45" s="226" t="str">
        <f aca="false">VLOOKUP("DM",Z5:Z40,1,FALSE())</f>
        <v>DM</v>
      </c>
      <c r="AA45" s="226" t="str">
        <f aca="false">VLOOKUP("DM",AA5:AA40,1,FALSE())</f>
        <v>DM</v>
      </c>
      <c r="AB45" s="226" t="str">
        <f aca="false">VLOOKUP("DM",AB5:AB40,1,FALSE())</f>
        <v>DM</v>
      </c>
      <c r="AC45" s="226" t="str">
        <f aca="false">VLOOKUP("DM",AC5:AC40,1,FALSE())</f>
        <v>DM</v>
      </c>
      <c r="AD45" s="226" t="str">
        <f aca="false">VLOOKUP("DM",AD5:AD40,1,FALSE())</f>
        <v>DM</v>
      </c>
      <c r="AE45" s="226" t="str">
        <f aca="false">VLOOKUP("DM",AE5:AE40,1,FALSE())</f>
        <v>DM</v>
      </c>
      <c r="AF45" s="226" t="str">
        <f aca="false">VLOOKUP("DM",AF5:AF40,1,FALSE())</f>
        <v>DM</v>
      </c>
      <c r="AG45" s="226" t="str">
        <f aca="false">VLOOKUP("DM",AG5:AG40,1,FALSE())</f>
        <v>DM</v>
      </c>
      <c r="AH45" s="226" t="e">
        <f aca="false">VLOOKUP("DM",AH5:AH40,1,FALSE())</f>
        <v>#N/A</v>
      </c>
      <c r="AI45" s="182"/>
      <c r="AJ45" s="183"/>
      <c r="AK45" s="182"/>
      <c r="AL45" s="182"/>
      <c r="AM45" s="38"/>
      <c r="AN45" s="38"/>
      <c r="AO45" s="38"/>
      <c r="AP45" s="38"/>
      <c r="AQ45" s="38"/>
      <c r="AR45" s="38"/>
      <c r="AS45" s="38"/>
      <c r="AT45" s="38"/>
      <c r="AU45" s="38"/>
      <c r="AV45" s="38"/>
      <c r="AW45" s="38"/>
      <c r="AX45" s="38"/>
      <c r="AY45" s="38"/>
      <c r="AZ45" s="38"/>
      <c r="BA45" s="38"/>
      <c r="BB45" s="38"/>
      <c r="BC45" s="38"/>
      <c r="BD45" s="38"/>
      <c r="BE45" s="38"/>
      <c r="BF45" s="38"/>
      <c r="BG45" s="38"/>
      <c r="BH45" s="38"/>
      <c r="BI45" s="38"/>
      <c r="BJ45" s="38"/>
      <c r="BK45" s="38"/>
      <c r="BL45" s="38"/>
      <c r="BM45" s="38"/>
      <c r="BN45" s="38"/>
      <c r="BO45" s="38"/>
      <c r="BP45" s="38"/>
      <c r="BQ45" s="38"/>
      <c r="BR45" s="185"/>
    </row>
    <row r="46" customFormat="false" ht="19.5" hidden="false" customHeight="true" outlineLevel="0" collapsed="false">
      <c r="A46" s="176" t="e">
        <f aca="false">lte()</f>
        <v>#NAME?</v>
      </c>
      <c r="B46" s="227" t="s">
        <v>56</v>
      </c>
      <c r="C46" s="226" t="str">
        <f aca="false">VLOOKUP("CS1",C5:C40,1,FALSE())</f>
        <v>CS1</v>
      </c>
      <c r="D46" s="226" t="str">
        <f aca="false">VLOOKUP("CS1",D5:D40,1,FALSE())</f>
        <v>CS1</v>
      </c>
      <c r="E46" s="226" t="str">
        <f aca="false">VLOOKUP("CS1",E5:E40,1,FALSE())</f>
        <v>CS1</v>
      </c>
      <c r="F46" s="226" t="str">
        <f aca="false">VLOOKUP("CS1",F5:F40,1,FALSE())</f>
        <v>CS1</v>
      </c>
      <c r="G46" s="226" t="str">
        <f aca="false">VLOOKUP("CS1",G5:G39,1,FALSE())</f>
        <v>CS1</v>
      </c>
      <c r="H46" s="226" t="str">
        <f aca="false">VLOOKUP("CS1",H5:H39,1,FALSE())</f>
        <v>CS1</v>
      </c>
      <c r="I46" s="226" t="str">
        <f aca="false">VLOOKUP("CS1",I5:I40,1,FALSE())</f>
        <v>CS1</v>
      </c>
      <c r="J46" s="226" t="str">
        <f aca="false">VLOOKUP("CS1",J5:J40,1,FALSE())</f>
        <v>CS1</v>
      </c>
      <c r="K46" s="226" t="str">
        <f aca="false">VLOOKUP("CS1",K5:K40,1,FALSE())</f>
        <v>CS1</v>
      </c>
      <c r="L46" s="226" t="str">
        <f aca="false">VLOOKUP("CS1",L6:L40,1,FALSE())</f>
        <v>CS1</v>
      </c>
      <c r="M46" s="226" t="str">
        <f aca="false">VLOOKUP("CS1",M6:M40,1,FALSE())</f>
        <v>CS1</v>
      </c>
      <c r="N46" s="226" t="str">
        <f aca="false">VLOOKUP("CS1",N5:N40,1,FALSE())</f>
        <v>CS1</v>
      </c>
      <c r="O46" s="226" t="str">
        <f aca="false">VLOOKUP("CS1",O5:O40,1,FALSE())</f>
        <v>CS1</v>
      </c>
      <c r="P46" s="226" t="str">
        <f aca="false">VLOOKUP("CS1",P5:P40,1,FALSE())</f>
        <v>CS1</v>
      </c>
      <c r="Q46" s="226" t="str">
        <f aca="false">VLOOKUP("CS1",Q5:Q40,1,FALSE())</f>
        <v>CS1</v>
      </c>
      <c r="R46" s="226" t="str">
        <f aca="false">VLOOKUP("CS1",R5:R40,1,FALSE())</f>
        <v>CS1</v>
      </c>
      <c r="S46" s="226" t="str">
        <f aca="false">VLOOKUP("CS1",S5:S40,1,FALSE())</f>
        <v>CS1</v>
      </c>
      <c r="T46" s="226" t="str">
        <f aca="false">VLOOKUP("CS1",T6:T40,1,FALSE())</f>
        <v>CS1</v>
      </c>
      <c r="U46" s="226" t="str">
        <f aca="false">VLOOKUP("CS1",U5:U40,1,FALSE())</f>
        <v>CS1</v>
      </c>
      <c r="V46" s="226" t="str">
        <f aca="false">VLOOKUP("CS1",V5:V38,1,FALSE())</f>
        <v>CS1</v>
      </c>
      <c r="W46" s="226" t="str">
        <f aca="false">VLOOKUP("CS1",W5:W40,1,FALSE())</f>
        <v>CS1</v>
      </c>
      <c r="X46" s="226" t="str">
        <f aca="false">VLOOKUP("CS1",X5:X40,1,FALSE())</f>
        <v>CS1</v>
      </c>
      <c r="Y46" s="226" t="str">
        <f aca="false">VLOOKUP("CS1",Y5:Y40,1,FALSE())</f>
        <v>CS1</v>
      </c>
      <c r="Z46" s="226" t="str">
        <f aca="false">VLOOKUP("CS1",Z5:Z40,1,FALSE())</f>
        <v>CS1</v>
      </c>
      <c r="AA46" s="226" t="str">
        <f aca="false">VLOOKUP("CS1",AA6:AA40,1,FALSE())</f>
        <v>CS1</v>
      </c>
      <c r="AB46" s="226" t="str">
        <f aca="false">VLOOKUP("CS1",AB5:AB40,1,FALSE())</f>
        <v>CS1</v>
      </c>
      <c r="AC46" s="226" t="str">
        <f aca="false">VLOOKUP("CS1",AC5:AC40,1,FALSE())</f>
        <v>CS1</v>
      </c>
      <c r="AD46" s="226" t="str">
        <f aca="false">VLOOKUP("CS1",AD5:AD40,1,FALSE())</f>
        <v>CS1</v>
      </c>
      <c r="AE46" s="226" t="str">
        <f aca="false">VLOOKUP("CS1",AE5:AE40,1,FALSE())</f>
        <v>CS1</v>
      </c>
      <c r="AF46" s="226" t="str">
        <f aca="false">VLOOKUP("CS1",AF5:AF40,1,FALSE())</f>
        <v>CS1</v>
      </c>
      <c r="AG46" s="226" t="str">
        <f aca="false">VLOOKUP("CS1",AG5:AG40,1,FALSE())</f>
        <v>CS1</v>
      </c>
      <c r="AH46" s="226" t="e">
        <f aca="false">VLOOKUP("CS1",AH5:AH40,1,FALSE())</f>
        <v>#N/A</v>
      </c>
      <c r="AI46" s="182"/>
      <c r="AJ46" s="183"/>
      <c r="AK46" s="182"/>
      <c r="AL46" s="182"/>
      <c r="AM46" s="38"/>
      <c r="AN46" s="38"/>
      <c r="AO46" s="38"/>
      <c r="AP46" s="38"/>
      <c r="AQ46" s="38"/>
      <c r="AR46" s="38"/>
      <c r="AS46" s="38"/>
      <c r="AT46" s="38"/>
      <c r="AU46" s="38"/>
      <c r="AV46" s="38"/>
      <c r="AW46" s="38"/>
      <c r="AX46" s="38"/>
      <c r="AY46" s="38"/>
      <c r="AZ46" s="38"/>
      <c r="BA46" s="38"/>
      <c r="BB46" s="38"/>
      <c r="BC46" s="38"/>
      <c r="BD46" s="38"/>
      <c r="BE46" s="38"/>
      <c r="BF46" s="38"/>
      <c r="BG46" s="38"/>
      <c r="BH46" s="38"/>
      <c r="BI46" s="38"/>
      <c r="BJ46" s="38"/>
      <c r="BK46" s="38"/>
      <c r="BL46" s="38"/>
      <c r="BM46" s="38"/>
      <c r="BN46" s="38"/>
      <c r="BO46" s="38"/>
      <c r="BP46" s="38"/>
      <c r="BQ46" s="38"/>
      <c r="BR46" s="185"/>
    </row>
    <row r="47" customFormat="false" ht="19.5" hidden="false" customHeight="true" outlineLevel="0" collapsed="false">
      <c r="A47" s="176"/>
      <c r="B47" s="228" t="s">
        <v>59</v>
      </c>
      <c r="C47" s="226" t="e">
        <f aca="false">VLOOKUP("CS2",C5:C40,1,FALSE())</f>
        <v>#N/A</v>
      </c>
      <c r="D47" s="226" t="e">
        <f aca="false">VLOOKUP("CS2",D5:D40,1,FALSE())</f>
        <v>#N/A</v>
      </c>
      <c r="E47" s="226" t="str">
        <f aca="false">VLOOKUP("CS2",E6:E40,1,FALSE())</f>
        <v>CS2</v>
      </c>
      <c r="F47" s="226" t="str">
        <f aca="false">VLOOKUP("CS2",F5:F40,1,FALSE())</f>
        <v>CS2</v>
      </c>
      <c r="G47" s="226" t="e">
        <f aca="false">VLOOKUP("CS2",G5:G39,1,FALSE())</f>
        <v>#N/A</v>
      </c>
      <c r="H47" s="226" t="str">
        <f aca="false">VLOOKUP("CS2",H5:H39,1,FALSE())</f>
        <v>CS2</v>
      </c>
      <c r="I47" s="226" t="str">
        <f aca="false">VLOOKUP("CS2",I5:I40,1,FALSE())</f>
        <v>CS2</v>
      </c>
      <c r="J47" s="226" t="str">
        <f aca="false">VLOOKUP("CS2",J5:J40,1,FALSE())</f>
        <v>CS2</v>
      </c>
      <c r="K47" s="226" t="str">
        <f aca="false">VLOOKUP("CS2",K5:K40,1,FALSE())</f>
        <v>CS2</v>
      </c>
      <c r="L47" s="226" t="str">
        <f aca="false">VLOOKUP("CS2",L6:L40,1,FALSE())</f>
        <v>CS2</v>
      </c>
      <c r="M47" s="226" t="str">
        <f aca="false">VLOOKUP("CS2",M6:M40,1,FALSE())</f>
        <v>CS2</v>
      </c>
      <c r="N47" s="226" t="str">
        <f aca="false">VLOOKUP("CS2",N5:N40,1,FALSE())</f>
        <v>CS2</v>
      </c>
      <c r="O47" s="226" t="str">
        <f aca="false">VLOOKUP("CS2",O5:O40,1,FALSE())</f>
        <v>CS2</v>
      </c>
      <c r="P47" s="226" t="str">
        <f aca="false">VLOOKUP("CS2",P5:P40,1,FALSE())</f>
        <v>CS2</v>
      </c>
      <c r="Q47" s="226" t="str">
        <f aca="false">VLOOKUP("CS2",Q5:Q40,1,FALSE())</f>
        <v>CS2</v>
      </c>
      <c r="R47" s="226" t="str">
        <f aca="false">VLOOKUP("CS2",R5:R40,1,FALSE())</f>
        <v>CS2</v>
      </c>
      <c r="S47" s="226" t="str">
        <f aca="false">VLOOKUP("CS2",S5:S40,1,FALSE())</f>
        <v>CS2</v>
      </c>
      <c r="T47" s="226" t="str">
        <f aca="false">VLOOKUP("CS2",T6:T40,1,FALSE())</f>
        <v>CS2</v>
      </c>
      <c r="U47" s="226" t="str">
        <f aca="false">VLOOKUP("CS2",U5:U40,1,FALSE())</f>
        <v>CS2</v>
      </c>
      <c r="V47" s="226" t="str">
        <f aca="false">VLOOKUP("CS2",V5:V38,1,FALSE())</f>
        <v>CS2</v>
      </c>
      <c r="W47" s="226" t="str">
        <f aca="false">VLOOKUP("CS2",W5:W40,1,FALSE())</f>
        <v>CS2</v>
      </c>
      <c r="X47" s="226" t="str">
        <f aca="false">VLOOKUP("CS2",X5:X40,1,FALSE())</f>
        <v>CS2</v>
      </c>
      <c r="Y47" s="226" t="str">
        <f aca="false">VLOOKUP("CS2",Y5:Y40,1,FALSE())</f>
        <v>CS2</v>
      </c>
      <c r="Z47" s="226" t="str">
        <f aca="false">VLOOKUP("CS2",Z5:Z40,1,FALSE())</f>
        <v>CS2</v>
      </c>
      <c r="AA47" s="226" t="str">
        <f aca="false">VLOOKUP("CS2",AA6:AA40,1,FALSE())</f>
        <v>CS2</v>
      </c>
      <c r="AB47" s="226" t="str">
        <f aca="false">VLOOKUP("CS2",AB5:AB40,1,FALSE())</f>
        <v>CS2</v>
      </c>
      <c r="AC47" s="226" t="str">
        <f aca="false">VLOOKUP("CS2",AC5:AC40,1,FALSE())</f>
        <v>CS2</v>
      </c>
      <c r="AD47" s="226" t="str">
        <f aca="false">VLOOKUP("CS2",AD5:AD40,1,FALSE())</f>
        <v>CS2</v>
      </c>
      <c r="AE47" s="226" t="str">
        <f aca="false">VLOOKUP("CS2",AE5:AE40,1,FALSE())</f>
        <v>CS2</v>
      </c>
      <c r="AF47" s="226" t="str">
        <f aca="false">VLOOKUP("CS2",AF5:AF40,1,FALSE())</f>
        <v>CS2</v>
      </c>
      <c r="AG47" s="226" t="str">
        <f aca="false">VLOOKUP("CS2",AG5:AG40,1,FALSE())</f>
        <v>CS2</v>
      </c>
      <c r="AH47" s="226" t="e">
        <f aca="false">VLOOKUP("CS2",AH5:AH40,1,FALSE())</f>
        <v>#N/A</v>
      </c>
      <c r="AI47" s="182"/>
      <c r="AJ47" s="183"/>
      <c r="AK47" s="182"/>
      <c r="AL47" s="182"/>
      <c r="AM47" s="38"/>
      <c r="AN47" s="38"/>
      <c r="AO47" s="38"/>
      <c r="AP47" s="38"/>
      <c r="AQ47" s="38"/>
      <c r="AR47" s="38"/>
      <c r="AS47" s="38"/>
      <c r="AT47" s="38"/>
      <c r="AU47" s="38"/>
      <c r="AV47" s="38"/>
      <c r="AW47" s="38"/>
      <c r="AX47" s="38"/>
      <c r="AY47" s="38"/>
      <c r="AZ47" s="38"/>
      <c r="BA47" s="38"/>
      <c r="BB47" s="38"/>
      <c r="BC47" s="38"/>
      <c r="BD47" s="38"/>
      <c r="BE47" s="38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8"/>
      <c r="BR47" s="185"/>
    </row>
    <row r="48" customFormat="false" ht="19.5" hidden="false" customHeight="true" outlineLevel="0" collapsed="false">
      <c r="A48" s="176"/>
      <c r="B48" s="229" t="s">
        <v>566</v>
      </c>
      <c r="C48" s="226" t="str">
        <f aca="false">VLOOKUP("CS/B",C5:C40,1,FALSE())</f>
        <v>CS/B</v>
      </c>
      <c r="D48" s="226" t="str">
        <f aca="false">VLOOKUP("CS/B",D5:D40,1,FALSE())</f>
        <v>CS/B</v>
      </c>
      <c r="E48" s="226" t="e">
        <f aca="false">VLOOKUP("CS/B",E6:E40,1,FALSE())</f>
        <v>#N/A</v>
      </c>
      <c r="F48" s="226" t="e">
        <f aca="false">VLOOKUP("CS/B",F5:F40,1,FALSE())</f>
        <v>#N/A</v>
      </c>
      <c r="G48" s="226" t="str">
        <f aca="false">VLOOKUP("CS/B",G5:G39,1,FALSE())</f>
        <v>CS/B</v>
      </c>
      <c r="H48" s="226" t="e">
        <f aca="false">VLOOKUP("CS/B",H5:H39,1,FALSE())</f>
        <v>#N/A</v>
      </c>
      <c r="I48" s="226" t="e">
        <f aca="false">VLOOKUP("CS/B",I5:I40,1,FALSE())</f>
        <v>#N/A</v>
      </c>
      <c r="J48" s="226" t="e">
        <f aca="false">VLOOKUP("CS/B",J5:J40,1,FALSE())</f>
        <v>#N/A</v>
      </c>
      <c r="K48" s="226" t="e">
        <f aca="false">VLOOKUP("CS/B",K5:K40,1,FALSE())</f>
        <v>#N/A</v>
      </c>
      <c r="L48" s="226" t="e">
        <f aca="false">VLOOKUP("CS/B",L6:L40,1,FALSE())</f>
        <v>#N/A</v>
      </c>
      <c r="M48" s="226" t="e">
        <f aca="false">VLOOKUP("CS/B",M6:M40,1,FALSE())</f>
        <v>#N/A</v>
      </c>
      <c r="N48" s="226" t="e">
        <f aca="false">VLOOKUP("CS/B",N5:N40,1,FALSE())</f>
        <v>#N/A</v>
      </c>
      <c r="O48" s="226" t="e">
        <f aca="false">VLOOKUP("CS/B",O5:O40,1,FALSE())</f>
        <v>#N/A</v>
      </c>
      <c r="P48" s="226" t="e">
        <f aca="false">VLOOKUP("CS/B",P5:P40,1,FALSE())</f>
        <v>#N/A</v>
      </c>
      <c r="Q48" s="226" t="e">
        <f aca="false">VLOOKUP("CS/B",Q5:Q40,1,FALSE())</f>
        <v>#N/A</v>
      </c>
      <c r="R48" s="226" t="e">
        <f aca="false">VLOOKUP("CS/B",R5:R40,1,FALSE())</f>
        <v>#N/A</v>
      </c>
      <c r="S48" s="226" t="e">
        <f aca="false">VLOOKUP("CS/B",S5:S40,1,FALSE())</f>
        <v>#N/A</v>
      </c>
      <c r="T48" s="226" t="e">
        <f aca="false">VLOOKUP("CS/B",T6:T40,1,FALSE())</f>
        <v>#N/A</v>
      </c>
      <c r="U48" s="226" t="e">
        <f aca="false">VLOOKUP("CS/B",U5:U40,1,FALSE())</f>
        <v>#N/A</v>
      </c>
      <c r="V48" s="226" t="e">
        <f aca="false">VLOOKUP("CS/B",V5:V38,1,FALSE())</f>
        <v>#N/A</v>
      </c>
      <c r="W48" s="226" t="e">
        <f aca="false">VLOOKUP("CS/B",W5:W40,1,FALSE())</f>
        <v>#N/A</v>
      </c>
      <c r="X48" s="226" t="e">
        <f aca="false">VLOOKUP("CS/B",X5:X40,1,FALSE())</f>
        <v>#N/A</v>
      </c>
      <c r="Y48" s="226" t="e">
        <f aca="false">VLOOKUP("CS/B",Y5:Y40,1,FALSE())</f>
        <v>#N/A</v>
      </c>
      <c r="Z48" s="226" t="e">
        <f aca="false">VLOOKUP("CS/B",Z5:Z40,1,FALSE())</f>
        <v>#N/A</v>
      </c>
      <c r="AA48" s="226" t="e">
        <f aca="false">VLOOKUP("CS/B",AA6:AA40,1,FALSE())</f>
        <v>#N/A</v>
      </c>
      <c r="AB48" s="226" t="e">
        <f aca="false">VLOOKUP("CS/B",AB5:AB40,1,FALSE())</f>
        <v>#N/A</v>
      </c>
      <c r="AC48" s="226" t="e">
        <f aca="false">VLOOKUP("CS/B",AC5:AC40,1,FALSE())</f>
        <v>#N/A</v>
      </c>
      <c r="AD48" s="226" t="e">
        <f aca="false">VLOOKUP("CS/B",AD5:AD40,1,FALSE())</f>
        <v>#N/A</v>
      </c>
      <c r="AE48" s="226" t="e">
        <f aca="false">VLOOKUP("CS/B",AE5:AE40,1,FALSE())</f>
        <v>#N/A</v>
      </c>
      <c r="AF48" s="226" t="e">
        <f aca="false">VLOOKUP("CS/B",AF5:AF40,1,FALSE())</f>
        <v>#N/A</v>
      </c>
      <c r="AG48" s="226" t="e">
        <f aca="false">VLOOKUP("CS/B",AG5:AG40,1,FALSE())</f>
        <v>#N/A</v>
      </c>
      <c r="AH48" s="226" t="e">
        <f aca="false">VLOOKUP("CS/B",AH5:AH40,1,FALSE())</f>
        <v>#N/A</v>
      </c>
      <c r="AI48" s="182"/>
      <c r="AJ48" s="183"/>
      <c r="AK48" s="182"/>
      <c r="AL48" s="182"/>
      <c r="AM48" s="38"/>
      <c r="AN48" s="38"/>
      <c r="AO48" s="38"/>
      <c r="AP48" s="38"/>
      <c r="AQ48" s="38"/>
      <c r="AR48" s="38"/>
      <c r="AS48" s="38"/>
      <c r="AT48" s="38"/>
      <c r="AU48" s="38"/>
      <c r="AV48" s="38"/>
      <c r="AW48" s="38"/>
      <c r="AX48" s="38"/>
      <c r="AY48" s="38"/>
      <c r="AZ48" s="38"/>
      <c r="BA48" s="38"/>
      <c r="BB48" s="38"/>
      <c r="BC48" s="38"/>
      <c r="BD48" s="38"/>
      <c r="BE48" s="38"/>
      <c r="BF48" s="38"/>
      <c r="BG48" s="38"/>
      <c r="BH48" s="38"/>
      <c r="BI48" s="38"/>
      <c r="BJ48" s="38"/>
      <c r="BK48" s="38"/>
      <c r="BL48" s="38"/>
      <c r="BM48" s="38"/>
      <c r="BN48" s="38"/>
      <c r="BO48" s="38"/>
      <c r="BP48" s="38"/>
      <c r="BQ48" s="38"/>
      <c r="BR48" s="185"/>
    </row>
    <row r="49" customFormat="false" ht="19.5" hidden="false" customHeight="true" outlineLevel="0" collapsed="false">
      <c r="A49" s="176"/>
      <c r="B49" s="230" t="s">
        <v>58</v>
      </c>
      <c r="C49" s="226" t="e">
        <f aca="false">VLOOKUP("SB1",C5:C40,1,FALSE())</f>
        <v>#N/A</v>
      </c>
      <c r="D49" s="226" t="e">
        <f aca="false">VLOOKUP("SB1",D5:D40,1,FALSE())</f>
        <v>#N/A</v>
      </c>
      <c r="E49" s="226" t="str">
        <f aca="false">VLOOKUP("SB1",E6:E40,1,FALSE())</f>
        <v>SB1</v>
      </c>
      <c r="F49" s="226" t="str">
        <f aca="false">VLOOKUP("SB1",F5:F40,1,FALSE())</f>
        <v>SB1</v>
      </c>
      <c r="G49" s="226" t="e">
        <f aca="false">VLOOKUP("SB1",G5:G39,1,FALSE())</f>
        <v>#N/A</v>
      </c>
      <c r="H49" s="226" t="str">
        <f aca="false">VLOOKUP("SB1",H5:H39,1,FALSE())</f>
        <v>SB1</v>
      </c>
      <c r="I49" s="226" t="e">
        <f aca="false">VLOOKUP("SB1",I5:I40,1,FALSE())</f>
        <v>#N/A</v>
      </c>
      <c r="J49" s="226" t="e">
        <f aca="false">VLOOKUP("SB1",J5:J40,1,FALSE())</f>
        <v>#N/A</v>
      </c>
      <c r="K49" s="226" t="e">
        <f aca="false">VLOOKUP("SB1",K5:K40,1,FALSE())</f>
        <v>#N/A</v>
      </c>
      <c r="L49" s="226" t="e">
        <f aca="false">VLOOKUP("SB1",L6:L40,1,FALSE())</f>
        <v>#N/A</v>
      </c>
      <c r="M49" s="226" t="e">
        <f aca="false">VLOOKUP("SB1",M6:M40,1,FALSE())</f>
        <v>#N/A</v>
      </c>
      <c r="N49" s="226" t="e">
        <f aca="false">VLOOKUP("SB1",N5:N40,1,FALSE())</f>
        <v>#N/A</v>
      </c>
      <c r="O49" s="226" t="e">
        <f aca="false">VLOOKUP("SB1",O5:O40,1,FALSE())</f>
        <v>#N/A</v>
      </c>
      <c r="P49" s="226" t="e">
        <f aca="false">VLOOKUP("SB1",P5:P40,1,FALSE())</f>
        <v>#N/A</v>
      </c>
      <c r="Q49" s="226" t="e">
        <f aca="false">VLOOKUP("SB1",Q5:Q40,1,FALSE())</f>
        <v>#N/A</v>
      </c>
      <c r="R49" s="226" t="e">
        <f aca="false">VLOOKUP("SB1",R5:R40,1,FALSE())</f>
        <v>#N/A</v>
      </c>
      <c r="S49" s="226" t="e">
        <f aca="false">VLOOKUP("SB1",S5:S40,1,FALSE())</f>
        <v>#N/A</v>
      </c>
      <c r="T49" s="226" t="e">
        <f aca="false">VLOOKUP("SB1",T6:T40,1,FALSE())</f>
        <v>#N/A</v>
      </c>
      <c r="U49" s="226" t="e">
        <f aca="false">VLOOKUP("SB1",U5:U40,1,FALSE())</f>
        <v>#N/A</v>
      </c>
      <c r="V49" s="226" t="e">
        <f aca="false">VLOOKUP("SB1",V5:V38,1,FALSE())</f>
        <v>#N/A</v>
      </c>
      <c r="W49" s="226" t="e">
        <f aca="false">VLOOKUP("SB1",W5:W40,1,FALSE())</f>
        <v>#N/A</v>
      </c>
      <c r="X49" s="226" t="e">
        <f aca="false">VLOOKUP("SB1",X5:X40,1,FALSE())</f>
        <v>#N/A</v>
      </c>
      <c r="Y49" s="226" t="e">
        <f aca="false">VLOOKUP("SB1",Y5:Y40,1,FALSE())</f>
        <v>#N/A</v>
      </c>
      <c r="Z49" s="226" t="e">
        <f aca="false">VLOOKUP("SB1",Z5:Z40,1,FALSE())</f>
        <v>#N/A</v>
      </c>
      <c r="AA49" s="226" t="e">
        <f aca="false">VLOOKUP("SB1",AA6:AA40,1,FALSE())</f>
        <v>#N/A</v>
      </c>
      <c r="AB49" s="226" t="e">
        <f aca="false">VLOOKUP("SB1",AB5:AB40,1,FALSE())</f>
        <v>#N/A</v>
      </c>
      <c r="AC49" s="226" t="e">
        <f aca="false">VLOOKUP("SB1",AC5:AC40,1,FALSE())</f>
        <v>#N/A</v>
      </c>
      <c r="AD49" s="226" t="e">
        <f aca="false">VLOOKUP("SB1",AD5:AD40,1,FALSE())</f>
        <v>#N/A</v>
      </c>
      <c r="AE49" s="226" t="e">
        <f aca="false">VLOOKUP("SB1",AE5:AE40,1,FALSE())</f>
        <v>#N/A</v>
      </c>
      <c r="AF49" s="226" t="e">
        <f aca="false">VLOOKUP("SB1",AF5:AF40,1,FALSE())</f>
        <v>#N/A</v>
      </c>
      <c r="AG49" s="226" t="e">
        <f aca="false">VLOOKUP("SB1",AG5:AG40,1,FALSE())</f>
        <v>#N/A</v>
      </c>
      <c r="AH49" s="226" t="e">
        <f aca="false">VLOOKUP("SB1",AH5:AH40,1,FALSE())</f>
        <v>#N/A</v>
      </c>
      <c r="AI49" s="182"/>
      <c r="AJ49" s="183"/>
      <c r="AK49" s="182"/>
      <c r="AL49" s="182"/>
      <c r="AM49" s="38"/>
      <c r="AN49" s="38"/>
      <c r="AO49" s="38"/>
      <c r="AP49" s="38"/>
      <c r="AQ49" s="38"/>
      <c r="AR49" s="38"/>
      <c r="AS49" s="38"/>
      <c r="AT49" s="38"/>
      <c r="AU49" s="38"/>
      <c r="AV49" s="38"/>
      <c r="AW49" s="38"/>
      <c r="AX49" s="38"/>
      <c r="AY49" s="38"/>
      <c r="AZ49" s="38"/>
      <c r="BA49" s="38"/>
      <c r="BB49" s="38"/>
      <c r="BC49" s="38"/>
      <c r="BD49" s="38"/>
      <c r="BE49" s="38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8"/>
      <c r="BR49" s="185"/>
    </row>
    <row r="50" customFormat="false" ht="18.75" hidden="false" customHeight="true" outlineLevel="0" collapsed="false">
      <c r="A50" s="176"/>
      <c r="B50" s="231" t="s">
        <v>93</v>
      </c>
      <c r="C50" s="226" t="e">
        <f aca="false">VLOOKUP("SB2",C5:C40,1,FALSE())</f>
        <v>#N/A</v>
      </c>
      <c r="D50" s="226" t="str">
        <f aca="false">VLOOKUP("SB2",D5:D40,1,FALSE())</f>
        <v>SB2</v>
      </c>
      <c r="E50" s="226" t="str">
        <f aca="false">VLOOKUP("SB2",E6:E40,1,FALSE())</f>
        <v>SB2</v>
      </c>
      <c r="F50" s="226" t="str">
        <f aca="false">VLOOKUP("SB2",F5:F40,1,FALSE())</f>
        <v>SB2</v>
      </c>
      <c r="G50" s="226" t="str">
        <f aca="false">VLOOKUP("SB2",G5:G39,1,FALSE())</f>
        <v>SB2</v>
      </c>
      <c r="H50" s="226" t="str">
        <f aca="false">VLOOKUP("SB2",H5:H39,1,FALSE())</f>
        <v>SB2</v>
      </c>
      <c r="I50" s="226" t="e">
        <f aca="false">VLOOKUP("SB2",I5:I40,1,FALSE())</f>
        <v>#N/A</v>
      </c>
      <c r="J50" s="226" t="e">
        <f aca="false">VLOOKUP("SB2",J5:J40,1,FALSE())</f>
        <v>#N/A</v>
      </c>
      <c r="K50" s="226" t="str">
        <f aca="false">VLOOKUP("SB2",K5:K40,1,FALSE())</f>
        <v>SB2</v>
      </c>
      <c r="L50" s="226" t="str">
        <f aca="false">VLOOKUP("SB2",L6:L40,1,FALSE())</f>
        <v>SB2</v>
      </c>
      <c r="M50" s="226" t="str">
        <f aca="false">VLOOKUP("SB2",M6:M40,1,FALSE())</f>
        <v>SB2</v>
      </c>
      <c r="N50" s="226" t="str">
        <f aca="false">VLOOKUP("SB2",N5:N40,1,FALSE())</f>
        <v>SB2</v>
      </c>
      <c r="O50" s="226" t="str">
        <f aca="false">VLOOKUP("SB2",O5:O40,1,FALSE())</f>
        <v>SB2</v>
      </c>
      <c r="P50" s="226" t="e">
        <f aca="false">VLOOKUP("SB2",P5:P40,1,FALSE())</f>
        <v>#N/A</v>
      </c>
      <c r="Q50" s="226" t="e">
        <f aca="false">VLOOKUP("SB2",Q5:Q40,1,FALSE())</f>
        <v>#N/A</v>
      </c>
      <c r="R50" s="226" t="str">
        <f aca="false">VLOOKUP("SB2",R5:R40,1,FALSE())</f>
        <v>SB2</v>
      </c>
      <c r="S50" s="226" t="str">
        <f aca="false">VLOOKUP("SB2",S5:S40,1,FALSE())</f>
        <v>SB2</v>
      </c>
      <c r="T50" s="226" t="str">
        <f aca="false">VLOOKUP("SB2",T6:T40,1,FALSE())</f>
        <v>SB2</v>
      </c>
      <c r="U50" s="226" t="str">
        <f aca="false">VLOOKUP("SB2",U5:U40,1,FALSE())</f>
        <v>SB2</v>
      </c>
      <c r="V50" s="226" t="str">
        <f aca="false">VLOOKUP("SB2",V5:V38,1,FALSE())</f>
        <v>SB2</v>
      </c>
      <c r="W50" s="226" t="e">
        <f aca="false">VLOOKUP("SB2",W5:W40,1,FALSE())</f>
        <v>#N/A</v>
      </c>
      <c r="X50" s="226" t="e">
        <f aca="false">VLOOKUP("SB2",X5:X40,1,FALSE())</f>
        <v>#N/A</v>
      </c>
      <c r="Y50" s="226" t="str">
        <f aca="false">VLOOKUP("SB2",Y5:Y40,1,FALSE())</f>
        <v>SB2</v>
      </c>
      <c r="Z50" s="226" t="str">
        <f aca="false">VLOOKUP("SB2",Z5:Z40,1,FALSE())</f>
        <v>SB2</v>
      </c>
      <c r="AA50" s="226" t="str">
        <f aca="false">VLOOKUP("SB2",AA6:AA40,1,FALSE())</f>
        <v>SB2</v>
      </c>
      <c r="AB50" s="226" t="str">
        <f aca="false">VLOOKUP("SB2",AB5:AB40,1,FALSE())</f>
        <v>SB2</v>
      </c>
      <c r="AC50" s="226" t="str">
        <f aca="false">VLOOKUP("SB2",AC5:AC40,1,FALSE())</f>
        <v>SB2</v>
      </c>
      <c r="AD50" s="226" t="e">
        <f aca="false">VLOOKUP("SB2",AD5:AD40,1,FALSE())</f>
        <v>#N/A</v>
      </c>
      <c r="AE50" s="226" t="e">
        <f aca="false">VLOOKUP("SB2",AE5:AE40,1,FALSE())</f>
        <v>#N/A</v>
      </c>
      <c r="AF50" s="226" t="str">
        <f aca="false">VLOOKUP("SB2",AF5:AF40,1,FALSE())</f>
        <v>SB2</v>
      </c>
      <c r="AG50" s="226" t="str">
        <f aca="false">VLOOKUP("SB2",AG5:AG40,1,FALSE())</f>
        <v>SB2</v>
      </c>
      <c r="AH50" s="226" t="e">
        <f aca="false">VLOOKUP("SB2",AH5:AH40,1,FALSE())</f>
        <v>#N/A</v>
      </c>
      <c r="AI50" s="182"/>
      <c r="AJ50" s="183"/>
      <c r="AK50" s="182"/>
      <c r="AL50" s="182"/>
      <c r="AM50" s="38"/>
      <c r="AN50" s="3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38"/>
      <c r="BI50" s="38"/>
      <c r="BJ50" s="38"/>
      <c r="BK50" s="38"/>
      <c r="BL50" s="38"/>
      <c r="BM50" s="38"/>
      <c r="BN50" s="38"/>
      <c r="BO50" s="38"/>
      <c r="BP50" s="38"/>
      <c r="BQ50" s="38"/>
      <c r="BR50" s="185"/>
    </row>
    <row r="51" customFormat="false" ht="19.5" hidden="false" customHeight="true" outlineLevel="0" collapsed="false">
      <c r="A51" s="176"/>
      <c r="B51" s="232" t="s">
        <v>65</v>
      </c>
      <c r="C51" s="226" t="str">
        <f aca="false">VLOOKUP("AE",C5:C40,1,FALSE())</f>
        <v>AE</v>
      </c>
      <c r="D51" s="226" t="str">
        <f aca="false">VLOOKUP("AE",D5:D40,1,FALSE())</f>
        <v>AE</v>
      </c>
      <c r="E51" s="226" t="str">
        <f aca="false">VLOOKUP("AE",E6:E40,1,FALSE())</f>
        <v>AE</v>
      </c>
      <c r="F51" s="226" t="str">
        <f aca="false">VLOOKUP("AE",F5:F40,1,FALSE())</f>
        <v>AE</v>
      </c>
      <c r="G51" s="226" t="str">
        <f aca="false">VLOOKUP("AE",G5:G39,1,FALSE())</f>
        <v>AE</v>
      </c>
      <c r="H51" s="226" t="str">
        <f aca="false">VLOOKUP("AE",H5:H39,1,FALSE())</f>
        <v>AE</v>
      </c>
      <c r="I51" s="226" t="str">
        <f aca="false">VLOOKUP("AE",I5:I40,1,FALSE())</f>
        <v>AE</v>
      </c>
      <c r="J51" s="226" t="str">
        <f aca="false">VLOOKUP("AE",J5:J40,1,FALSE())</f>
        <v>AE</v>
      </c>
      <c r="K51" s="226" t="str">
        <f aca="false">VLOOKUP("AE",K5:K40,1,FALSE())</f>
        <v>AE</v>
      </c>
      <c r="L51" s="226" t="str">
        <f aca="false">VLOOKUP("AE",L6:L40,1,FALSE())</f>
        <v>AE</v>
      </c>
      <c r="M51" s="226" t="str">
        <f aca="false">VLOOKUP("AE",M6:M40,1,FALSE())</f>
        <v>AE</v>
      </c>
      <c r="N51" s="226" t="str">
        <f aca="false">VLOOKUP("AE",N5:N40,1,FALSE())</f>
        <v>AE</v>
      </c>
      <c r="O51" s="226" t="str">
        <f aca="false">VLOOKUP("AE",O5:O40,1,FALSE())</f>
        <v>AE</v>
      </c>
      <c r="P51" s="226" t="str">
        <f aca="false">VLOOKUP("AE",P5:P40,1,FALSE())</f>
        <v>AE</v>
      </c>
      <c r="Q51" s="226" t="str">
        <f aca="false">VLOOKUP("AE",Q5:Q40,1,FALSE())</f>
        <v>AE</v>
      </c>
      <c r="R51" s="226" t="str">
        <f aca="false">VLOOKUP("AE",R5:R40,1,FALSE())</f>
        <v>AE</v>
      </c>
      <c r="S51" s="226" t="str">
        <f aca="false">VLOOKUP("AE",S5:S40,1,FALSE())</f>
        <v>AE</v>
      </c>
      <c r="T51" s="226" t="str">
        <f aca="false">VLOOKUP("AE",T6:T40,1,FALSE())</f>
        <v>AE</v>
      </c>
      <c r="U51" s="226" t="str">
        <f aca="false">VLOOKUP("AE",U5:U40,1,FALSE())</f>
        <v>AE</v>
      </c>
      <c r="V51" s="226" t="str">
        <f aca="false">VLOOKUP("AE",V5:V39,1,FALSE())</f>
        <v>AE</v>
      </c>
      <c r="W51" s="226" t="str">
        <f aca="false">VLOOKUP("AE",W5:W40,1,FALSE())</f>
        <v>AE</v>
      </c>
      <c r="X51" s="226" t="str">
        <f aca="false">VLOOKUP("AE",X5:X40,1,FALSE())</f>
        <v>AE</v>
      </c>
      <c r="Y51" s="226" t="str">
        <f aca="false">VLOOKUP("AE",Y5:Y40,1,FALSE())</f>
        <v>AE</v>
      </c>
      <c r="Z51" s="226" t="str">
        <f aca="false">VLOOKUP("AE",Z5:Z40,1,FALSE())</f>
        <v>AE</v>
      </c>
      <c r="AA51" s="226" t="str">
        <f aca="false">VLOOKUP("AE",AA6:AA40,1,FALSE())</f>
        <v>AE</v>
      </c>
      <c r="AB51" s="226" t="str">
        <f aca="false">VLOOKUP("AE",AB5:AB40,1,FALSE())</f>
        <v>AE</v>
      </c>
      <c r="AC51" s="226" t="str">
        <f aca="false">VLOOKUP("AE",AC5:AC40,1,FALSE())</f>
        <v>AE</v>
      </c>
      <c r="AD51" s="226" t="str">
        <f aca="false">VLOOKUP("AE",AD5:AD40,1,FALSE())</f>
        <v>AE</v>
      </c>
      <c r="AE51" s="226" t="str">
        <f aca="false">VLOOKUP("AE",AE5:AE40,1,FALSE())</f>
        <v>AE</v>
      </c>
      <c r="AF51" s="226" t="str">
        <f aca="false">VLOOKUP("AE",AF5:AF40,1,FALSE())</f>
        <v>AE</v>
      </c>
      <c r="AG51" s="226" t="str">
        <f aca="false">VLOOKUP("AE",AG5:AG40,1,FALSE())</f>
        <v>AE</v>
      </c>
      <c r="AH51" s="226" t="e">
        <f aca="false">VLOOKUP("AE",AH5:AH40,1,FALSE())</f>
        <v>#N/A</v>
      </c>
      <c r="AI51" s="182"/>
      <c r="AJ51" s="183"/>
      <c r="AK51" s="182"/>
      <c r="AL51" s="182"/>
      <c r="AM51" s="38"/>
      <c r="AN51" s="38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8"/>
      <c r="BR51" s="185"/>
    </row>
    <row r="52" customFormat="false" ht="19.5" hidden="false" customHeight="true" outlineLevel="0" collapsed="false">
      <c r="A52" s="176"/>
      <c r="B52" s="46" t="s">
        <v>350</v>
      </c>
      <c r="C52" s="0" t="str">
        <f aca="false">VLOOKUP("RESERVE",C5:C39,1,FALSE())</f>
        <v>RESERVE</v>
      </c>
      <c r="D52" s="0" t="str">
        <f aca="false">VLOOKUP("RESERVE",D5:D39,1,FALSE())</f>
        <v>RESERVE</v>
      </c>
      <c r="E52" s="0" t="str">
        <f aca="false">VLOOKUP("RESERVE",E5:E39,1,FALSE())</f>
        <v>RESERVE</v>
      </c>
      <c r="F52" s="0" t="e">
        <f aca="false">VLOOKUP("RESERVE",F5:F39,1,FALSE())</f>
        <v>#N/A</v>
      </c>
      <c r="G52" s="0" t="str">
        <f aca="false">VLOOKUP("RESERVE",G5:G39,1,FALSE())</f>
        <v>RESERVE</v>
      </c>
      <c r="H52" s="0" t="e">
        <f aca="false">VLOOKUP("RESERVE",H5:H39,1,FALSE())</f>
        <v>#N/A</v>
      </c>
      <c r="I52" s="0" t="str">
        <f aca="false">VLOOKUP("RESERVE",I5:I39,1,FALSE())</f>
        <v>RESERVE</v>
      </c>
      <c r="J52" s="0" t="str">
        <f aca="false">VLOOKUP("RESERVE",J5:J39,1,FALSE())</f>
        <v>RESERVE</v>
      </c>
      <c r="K52" s="0" t="str">
        <f aca="false">VLOOKUP("RESERVE",K5:K39,1,FALSE())</f>
        <v>RESERVE</v>
      </c>
      <c r="L52" s="0" t="str">
        <f aca="false">VLOOKUP("RESERVE",L5:L39,1,FALSE())</f>
        <v>RESERVE</v>
      </c>
      <c r="M52" s="0" t="str">
        <f aca="false">VLOOKUP("RESERVE",M5:M39,1,FALSE())</f>
        <v>RESERVE</v>
      </c>
      <c r="N52" s="0" t="str">
        <f aca="false">VLOOKUP("RESERVE",N5:N39,1,FALSE())</f>
        <v>RESERVE</v>
      </c>
      <c r="O52" s="0" t="str">
        <f aca="false">VLOOKUP("RESERVE",O5:O39,1,FALSE())</f>
        <v>RESERVE</v>
      </c>
      <c r="P52" s="0" t="str">
        <f aca="false">VLOOKUP("RESERVE",P5:P39,1,FALSE())</f>
        <v>RESERVE</v>
      </c>
      <c r="Q52" s="0" t="str">
        <f aca="false">VLOOKUP("RESERVE",Q5:Q39,1,FALSE())</f>
        <v>RESERVE</v>
      </c>
      <c r="R52" s="0" t="str">
        <f aca="false">VLOOKUP("RESERVE",R5:R40,1,FALSE())</f>
        <v>RESERVE</v>
      </c>
      <c r="S52" s="0" t="str">
        <f aca="false">VLOOKUP("RESERVE",S5:S39,1,FALSE())</f>
        <v>RESERVE</v>
      </c>
      <c r="T52" s="0" t="str">
        <f aca="false">VLOOKUP("RESERVE",T5:T39,1,FALSE())</f>
        <v>RESERVE</v>
      </c>
      <c r="U52" s="0" t="e">
        <f aca="false">VLOOKUP("RESERVE",U5:U39,1,FALSE())</f>
        <v>#N/A</v>
      </c>
      <c r="V52" s="0" t="str">
        <f aca="false">VLOOKUP("RESERVE",V5:V39,1,FALSE())</f>
        <v>RESERVE</v>
      </c>
      <c r="W52" s="0" t="str">
        <f aca="false">VLOOKUP("RESERVE",W5:W39,1,FALSE())</f>
        <v>RESERVE</v>
      </c>
      <c r="X52" s="0" t="str">
        <f aca="false">VLOOKUP("RESERVE",X5:X39,1,FALSE())</f>
        <v>RESERVE</v>
      </c>
      <c r="Y52" s="0" t="e">
        <f aca="false">VLOOKUP("RESERVE",Y5:Y37,1,FALSE())</f>
        <v>#N/A</v>
      </c>
      <c r="Z52" s="0" t="e">
        <f aca="false">VLOOKUP("RESERVE",Z5:Z39,1,FALSE())</f>
        <v>#N/A</v>
      </c>
      <c r="AA52" s="0" t="e">
        <f aca="false">VLOOKUP("RESERVE",AA5:AA39,1,FALSE())</f>
        <v>#N/A</v>
      </c>
      <c r="AB52" s="0" t="str">
        <f aca="false">VLOOKUP("RESERVE",AB5:AB39,1,FALSE())</f>
        <v>RESERVE</v>
      </c>
      <c r="AC52" s="0" t="str">
        <f aca="false">VLOOKUP("RESERVE",AC5:AC39,1,FALSE())</f>
        <v>RESERVE</v>
      </c>
      <c r="AD52" s="0" t="str">
        <f aca="false">VLOOKUP("RESERVE",AD5:AD39,1,FALSE())</f>
        <v>RESERVE</v>
      </c>
      <c r="AE52" s="0" t="str">
        <f aca="false">VLOOKUP("RESERVE",AE5:AE39,1,FALSE())</f>
        <v>RESERVE</v>
      </c>
      <c r="AF52" s="0" t="str">
        <f aca="false">VLOOKUP("RESERVE",AF5:AF39,1,FALSE())</f>
        <v>RESERVE</v>
      </c>
      <c r="AG52" s="0" t="str">
        <f aca="false">VLOOKUP("RESERVE",AG5:AG39,1,FALSE())</f>
        <v>RESERVE</v>
      </c>
      <c r="AH52" s="0" t="e">
        <f aca="false">VLOOKUP("RESERVE",AH5:AH39,1,FALSE())</f>
        <v>#N/A</v>
      </c>
      <c r="AI52" s="182"/>
      <c r="AJ52" s="183"/>
      <c r="AK52" s="182"/>
      <c r="AL52" s="182"/>
      <c r="AM52" s="38"/>
      <c r="AN52" s="38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38"/>
      <c r="BI52" s="38"/>
      <c r="BJ52" s="38"/>
      <c r="BK52" s="38"/>
      <c r="BL52" s="38"/>
      <c r="BM52" s="38"/>
      <c r="BN52" s="38"/>
      <c r="BO52" s="38"/>
      <c r="BP52" s="38"/>
      <c r="BQ52" s="38"/>
      <c r="BR52" s="185"/>
    </row>
  </sheetData>
  <mergeCells count="3">
    <mergeCell ref="C1:S1"/>
    <mergeCell ref="AS3:AS4"/>
    <mergeCell ref="AT3:AT4"/>
  </mergeCells>
  <conditionalFormatting sqref="AC34">
    <cfRule type="expression" priority="2" aboveAverage="0" equalAverage="0" bottom="0" percent="0" rank="0" text="" dxfId="21">
      <formula>WEEKDAY(AC$3,2)&gt;5</formula>
    </cfRule>
    <cfRule type="expression" priority="3" aboveAverage="0" equalAverage="0" bottom="0" percent="0" rank="0" text="" dxfId="21">
      <formula>WEEKDAY(AB$3,2)&gt;5</formula>
    </cfRule>
  </conditionalFormatting>
  <conditionalFormatting sqref="O37">
    <cfRule type="expression" priority="4" aboveAverage="0" equalAverage="0" bottom="0" percent="0" rank="0" text="" dxfId="21">
      <formula>WEEKDAY(Q$3,2)&gt;5</formula>
    </cfRule>
  </conditionalFormatting>
  <conditionalFormatting sqref="R21:R22">
    <cfRule type="expression" priority="5" aboveAverage="0" equalAverage="0" bottom="0" percent="0" rank="0" text="" dxfId="21">
      <formula>WEEKDAY(U$3,2)&gt;5</formula>
    </cfRule>
    <cfRule type="expression" priority="6" aboveAverage="0" equalAverage="0" bottom="0" percent="0" rank="0" text="" dxfId="21">
      <formula>WEEKDAY(V$3,2)&gt;5</formula>
    </cfRule>
  </conditionalFormatting>
  <conditionalFormatting sqref="D23 X35">
    <cfRule type="expression" priority="7" aboveAverage="0" equalAverage="0" bottom="0" percent="0" rank="0" text="" dxfId="21">
      <formula>WEEKDAY(G$3,2)&gt;5</formula>
    </cfRule>
    <cfRule type="expression" priority="8" aboveAverage="0" equalAverage="0" bottom="0" percent="0" rank="0" text="" dxfId="21">
      <formula>WEEKDAY(F$3,2)&gt;5</formula>
    </cfRule>
  </conditionalFormatting>
  <conditionalFormatting sqref="G19 H19:H20 C23 G23 H23:H24 G25 N25 U25 AB25 F29 T29 D30">
    <cfRule type="expression" priority="9" aboveAverage="0" equalAverage="0" bottom="0" percent="0" rank="0" text="" dxfId="21">
      <formula>WEEKDAY(H$3,2)&gt;5</formula>
    </cfRule>
  </conditionalFormatting>
  <conditionalFormatting sqref="C21:C22">
    <cfRule type="expression" priority="10" aboveAverage="0" equalAverage="0" bottom="0" percent="0" rank="0" text="" dxfId="21">
      <formula>WEEKDAY(D$3,2)&gt;5</formula>
    </cfRule>
  </conditionalFormatting>
  <conditionalFormatting sqref="C5:C10 E5:E6 G5:G8 H5:H9 I5:I10 J5:J11 K5 M5:M7 N5:O6 P5:P9 Q5:Q11 R5:R6 S5:S8 T5:U6 V5:V13 W5:W11 X5:X9 Y5:Y8 Z5:AC5 AD5:AD11 AF5 AG5:AG6 AH5:AH12 D6 F6:F10 L6:L9 AE6:AE14 AB7 AC7:AC8 D8:D10 E8 T8:T12 U8 AF8:AF11 AG8:AG14 K9:K13 M9:M11 AA9:AA11 G10:G16 O10 R10:R11 S10 Z10:Z12 AB10:AB13 AC10 E11:E13 H11 L11:L13 P11 U11:U14 X11:X17 Y11:Y21 C12:C23 F12:F13 N12 O12:O13 D13:D16 H13:H17 I13:J16 M13:M16 P13:P16 Q13:Q17 S13:S14 W13:W19 AA13:AA16 AC13:AD13 AF13:AF17 N14:N16 R14 T14 Z14 E15:E16 F15:F17 L15:L17 O15:O17 AB15:AB16 K16 R16:R17 S16:S19 T16:T17 U16:U21 V16 Z16 AC16:AC17 AD16:AE19 AG16:AH17 E18:E21 G18:G21 I18:I29 M18 V18:V19 Z18:Z19 AA18:AB18 D19:D20 F19:F22 H19:H21 J19 O19:O28 P19:P23 Q19:Q22 R19:R24 T19:T24 X19 AC19:AC22 AF19:AF20 AG19 N20:N22 AB20:AB22 K21:K22 L21:L24 V21 W21:X22 AA21 AG21:AG23 AH21:AH22 J22:J23 M22:M24 S22:S23 Z22:Z24 AD22 AE22:AE24 AF22 D23 G23:G28 H23:H26 E24:E26 K24 Q24:Q25 U24:U25 V24:V26 W24:X24 AC24 C25:C31 D25:D26 F25:F29 J25:J27 N25:N26 P25:P27 AA25:AB25 AD25 K26:L26 M26:M29 W26 AE26 Q27 S27:S29 T27:U27 Y27 AA27 AC27:AD27 D28 E28:E29 H28:H31 K28 Z28:Z29 J29:J30 N29 R29 T29:W29 AC29:AC30 D30 K30:K31 E31:F31 L31 S31 V31:V33 W31:Z31 AB31 AH31 D32:D33 G32:G33 M32:M33 N32 O32:O34 AA32 C33 E33:F33 K33:K34 AC33:AC35 I34:J34 N34 T34 W34:X36 E35:H35 L35:L36 M35:M37 P35 R35 V35 AB35 O36:O38 E37:E39 F37:G38 N37 U37 Z37 D38 H38:J38 K38:K39 R38 V38 C39 L39:M39 W39:X39 R40">
    <cfRule type="cellIs" priority="11" operator="equal" aboveAverage="0" equalAverage="0" bottom="0" percent="0" rank="0" text="" dxfId="23">
      <formula>"B"</formula>
    </cfRule>
    <cfRule type="cellIs" priority="12" operator="equal" aboveAverage="0" equalAverage="0" bottom="0" percent="0" rank="0" text="" dxfId="23">
      <formula>"AL"</formula>
    </cfRule>
    <cfRule type="cellIs" priority="13" operator="equal" aboveAverage="0" equalAverage="0" bottom="0" percent="0" rank="0" text="" dxfId="24">
      <formula>"DM"</formula>
    </cfRule>
    <cfRule type="cellIs" priority="14" operator="equal" aboveAverage="0" equalAverage="0" bottom="0" percent="0" rank="0" text="" dxfId="25">
      <formula>"CS1"</formula>
    </cfRule>
    <cfRule type="cellIs" priority="15" operator="equal" aboveAverage="0" equalAverage="0" bottom="0" percent="0" rank="0" text="" dxfId="26">
      <formula>"CS2"</formula>
    </cfRule>
    <cfRule type="cellIs" priority="16" operator="equal" aboveAverage="0" equalAverage="0" bottom="0" percent="0" rank="0" text="" dxfId="27">
      <formula>"SB1"</formula>
    </cfRule>
    <cfRule type="cellIs" priority="17" operator="equal" aboveAverage="0" equalAverage="0" bottom="0" percent="0" rank="0" text="" dxfId="28">
      <formula>"SB2"</formula>
    </cfRule>
    <cfRule type="cellIs" priority="18" operator="equal" aboveAverage="0" equalAverage="0" bottom="0" percent="0" rank="0" text="" dxfId="29">
      <formula>"AE"</formula>
    </cfRule>
    <cfRule type="cellIs" priority="19" operator="equal" aboveAverage="0" equalAverage="0" bottom="0" percent="0" rank="0" text="" dxfId="23">
      <formula>"DB"</formula>
    </cfRule>
    <cfRule type="containsText" priority="20" operator="containsText" aboveAverage="0" equalAverage="0" bottom="0" percent="0" rank="0" text="$AM" dxfId="30">
      <formula>NOT(ISERROR(SEARCH("$AM",C5)))</formula>
    </cfRule>
    <cfRule type="containsText" priority="21" operator="containsText" aboveAverage="0" equalAverage="0" bottom="0" percent="0" rank="0" text="$PM" dxfId="31">
      <formula>NOT(ISERROR(SEARCH("$PM",C5)))</formula>
    </cfRule>
    <cfRule type="containsText" priority="22" operator="containsText" aboveAverage="0" equalAverage="0" bottom="0" percent="0" rank="0" text="$L" dxfId="32">
      <formula>NOT(ISERROR(SEARCH("$L",C5)))</formula>
    </cfRule>
    <cfRule type="containsText" priority="23" operator="containsText" aboveAverage="0" equalAverage="0" bottom="0" percent="0" rank="0" text="$BTP" dxfId="33">
      <formula>NOT(ISERROR(SEARCH("$BTP",C5)))</formula>
    </cfRule>
    <cfRule type="containsText" priority="24" operator="containsText" aboveAverage="0" equalAverage="0" bottom="0" percent="0" rank="0" text="$M" dxfId="34">
      <formula>NOT(ISERROR(SEARCH("$M",C5)))</formula>
    </cfRule>
    <cfRule type="containsText" priority="25" operator="containsText" aboveAverage="0" equalAverage="0" bottom="0" percent="0" rank="0" text="$N" dxfId="35">
      <formula>NOT(ISERROR(SEARCH("$N",C5)))</formula>
    </cfRule>
    <cfRule type="containsText" priority="26" operator="containsText" aboveAverage="0" equalAverage="0" bottom="0" percent="0" rank="0" text="$FC" dxfId="36">
      <formula>NOT(ISERROR(SEARCH("$FC",C5)))</formula>
    </cfRule>
    <cfRule type="containsText" priority="27" operator="containsText" aboveAverage="0" equalAverage="0" bottom="0" percent="0" rank="0" text="OAL" dxfId="37">
      <formula>NOT(ISERROR(SEARCH("OAL",C5)))</formula>
    </cfRule>
    <cfRule type="containsText" priority="28" operator="containsText" aboveAverage="0" equalAverage="0" bottom="0" percent="0" rank="0" text="S+" dxfId="38">
      <formula>NOT(ISERROR(SEARCH("S+",C5)))</formula>
    </cfRule>
    <cfRule type="containsText" priority="29" operator="containsText" aboveAverage="0" equalAverage="0" bottom="0" percent="0" rank="0" text="EX-D" dxfId="39">
      <formula>NOT(ISERROR(SEARCH("EX-D",C5)))</formula>
    </cfRule>
  </conditionalFormatting>
  <conditionalFormatting sqref="C5:C10 E5:E6 G5:G8 H5:H9 I5:I10 J5:J11 K5 M5:O6 P5:P9 Q5:Q11 R5:R6 S5:S8 T5:U6 V5:V8 W5:W11 X5:X9 Y5:Y8 Z5:AC5 AD5:AD11 AF5 AG5:AG6 AH5:AH12 D6 F6:F10 L6 AE6:AE14 AB7 AC7:AC8 D8:D10 E8:E9 L8:L9 T8:T12 U8 AF8:AF11 AG8:AG14 K9:K13 M9:M11 AB9:AB13 G10:G16 O10 R10:R11 S10 V10:V13 Z10:Z12 AA10:AA11 AC10 E11:E13 H11 L11:L13 P11 U11:U14 X11:X17 Y11:Y12 C12:C23 F12:F13 N12:O12 D13:D16 H13:H17 I13:J16 M13:M16 P13:P16 Q13:Q17 S13:S14 W13:W19 AA13:AA16 AC13:AD13 AF13:AF17 N14:N16 O14:O17 R14 T14 Y14:Y17 Z14 E15:E16 F15:F17 L15:L17 AB15:AB16 K16 R16:R17 S16:S19 T16:T17 U16:U21 V16 Z16 AC16:AC17 AD16:AE19 AG16:AH17 E18:E21 G18:G28 I18:I29 M18:N18 V18:V19 Z18:Z19 AA18:AB18 D19:D20 F19:F22 H19:H21 J19 O19:O20 P19:P27 Q19:Q22 R19:R24 T19:T24 X19 Y19:Y21 AC19:AC27 AF19:AF20 AG19 N20:N22 AB20:AB22 K21:K22 L21:L24 V21 W21:X22 AA21:AA22 AG21:AG23 AH21:AH22 J22:J27 M22:M24 O22:O28 S22 Z22:Z24 AD22 AE22:AE26 AF22 D23 E23:E26 H23:H31 K24:K26 Q24:Q25 U24:V25 W24:W26 X24:X25 C25:D26 F25:F29 N25:N26 Y25 AA25:AA27 AB25 AD25 AF25:AG26 AH25 L26 M26:M29 R26 S26:S29 T26:T27 Z26 Q27 U27 Y27 AD27:AD28 D28 E28:E29 K28 Z28:Z31 AB28 C29 J29:J30 L29 N29 P29:R29 T29:Y29 AA29 AC29:AC30 D30 K30:K31 E31:F31 L31 M31:M33 S31 V31:V33 W31:X31 AB31 AH31 D32:D33 G32:G33 N32 O32:O33 Y32 AA32 C33 E33:F33 I33:I34 K33:K34 AC33:AC35 J34 N34 T34 W34:X36 E35:G35 H35:H36 L35:L36 M35:M37 P35 R35 V35 Z35 AB35 I36:J36 O36:O38 Y36 E37:E39 F37:G38 N37 U37 Z37 AB37 D38 H38:J38 K38:K39 R38 V38:V39 C39 L39:M39 W39:X39 AA39 R40">
    <cfRule type="expression" priority="30" aboveAverage="0" equalAverage="0" bottom="0" percent="0" rank="0" text="" dxfId="21">
      <formula>WEEKDAY(#REF!,2)&gt;5</formula>
    </cfRule>
  </conditionalFormatting>
  <conditionalFormatting sqref="G5 W6:X7 W9:W11 X9 S10 Z10:Z11 AA10 V11 X11:Y11 AB11 C13 S13 U13:V13 AA13:AC13 AE13:AG13 T14 W14:Y14 AA15 V18 AB20 Z22 T24:T25 Z24 AE24 AD25 W26 AE26 S28 Z28 AH31 H35 C9 C19:C20 E19 J19 S19 Z19 AC19:AE19 AG19 C33:G33">
    <cfRule type="expression" priority="31" aboveAverage="0" equalAverage="0" bottom="0" percent="0" rank="0" text="" dxfId="21">
      <formula>WEEKDAY(I$3,2)&gt;5</formula>
    </cfRule>
  </conditionalFormatting>
  <conditionalFormatting sqref="C5:C10 E5:E6 G5:G16 H5:H9 I5:I10 J5:J16 K5:K6 M5:M7 N5:O6 P5:P9 Q5:Q17 R5:R6 S5:S14 T5:T6 U5:U8 V5:V14 W5:X22 Y5:Y24 Z5:AC39 AD5:AE29 AF5:AF28 AG5:AG6 AH5:AH25 D6 F6:F10 L6:L9 D8:D10 E8 K8:K13 T8:T17 AG8:AG23 M9:M16 O10:O24 R10:R17 E11:E13 H11 L11:L13 P11:P17 U11:U21 C12:C23 F12:F13 I12:I16 N12:N26 D13:D17 H13:H21 E15:E21 F15:F17 K15:K16 L15:L17 S16:S31 V16 G18:G28 I18:I29 J18:J20 K18:K24 M18:M19 V18:V21 D19:D26 F19:F22 P19:P23 Q19:Q22 R19:R24 T19:T31 L20:L24 J22:J23 M22:M29 H23:H31 U23:U25 V23:V24 E24:E26 Q24 W24:X24 F25:F29 J25:J27 AG25:AG28 C26 K26:L26 O26:Q29 R26:R27 V26:X26 Y26:Y39 U27:U30 D28 E28:E29 K28 V28:V33 W28:W31 X28:X29 C29 J29:J30 L29 N29 R29 D30 K30:K31 E31:F31 L31 M31:M33 N31:N32 Q31:R31 X31 AD31:AF32 AG31:AH31 D32:D33 G32:G33 O32:O34 C33 E33:F33 I33:I34 K33:K35 S33 J34 N34:N35 T34 W34:X36 AG34 E35:G35 H35:H36 L35:L36 M35:M37 P35 R35 V35 I36:J36 O36:O38 E37:E39 F37:G38 K37:K39 N37 U37:U38 V37:V39 D38 H38:I38 J38:J39 R38 C39 L39:M39 W39:X39 R40 U40:U43">
    <cfRule type="cellIs" priority="32" operator="equal" aboveAverage="0" equalAverage="0" bottom="0" percent="0" rank="0" text="" dxfId="23">
      <formula>"B"</formula>
    </cfRule>
    <cfRule type="cellIs" priority="33" operator="equal" aboveAverage="0" equalAverage="0" bottom="0" percent="0" rank="0" text="" dxfId="23">
      <formula>"AL"</formula>
    </cfRule>
    <cfRule type="cellIs" priority="34" operator="equal" aboveAverage="0" equalAverage="0" bottom="0" percent="0" rank="0" text="" dxfId="24">
      <formula>"DM"</formula>
    </cfRule>
    <cfRule type="cellIs" priority="35" operator="equal" aboveAverage="0" equalAverage="0" bottom="0" percent="0" rank="0" text="" dxfId="25">
      <formula>"CS1"</formula>
    </cfRule>
    <cfRule type="cellIs" priority="36" operator="equal" aboveAverage="0" equalAverage="0" bottom="0" percent="0" rank="0" text="" dxfId="26">
      <formula>"CS2"</formula>
    </cfRule>
    <cfRule type="cellIs" priority="37" operator="equal" aboveAverage="0" equalAverage="0" bottom="0" percent="0" rank="0" text="" dxfId="27">
      <formula>"SB1"</formula>
    </cfRule>
    <cfRule type="cellIs" priority="38" operator="equal" aboveAverage="0" equalAverage="0" bottom="0" percent="0" rank="0" text="" dxfId="28">
      <formula>"SB2"</formula>
    </cfRule>
    <cfRule type="cellIs" priority="39" operator="equal" aboveAverage="0" equalAverage="0" bottom="0" percent="0" rank="0" text="" dxfId="29">
      <formula>"AE"</formula>
    </cfRule>
    <cfRule type="cellIs" priority="40" operator="equal" aboveAverage="0" equalAverage="0" bottom="0" percent="0" rank="0" text="" dxfId="23">
      <formula>"DB"</formula>
    </cfRule>
    <cfRule type="containsText" priority="41" operator="containsText" aboveAverage="0" equalAverage="0" bottom="0" percent="0" rank="0" text="$AM" dxfId="30">
      <formula>NOT(ISERROR(SEARCH("$AM",C5)))</formula>
    </cfRule>
    <cfRule type="containsText" priority="42" operator="containsText" aboveAverage="0" equalAverage="0" bottom="0" percent="0" rank="0" text="$PM" dxfId="31">
      <formula>NOT(ISERROR(SEARCH("$PM",C5)))</formula>
    </cfRule>
    <cfRule type="containsText" priority="43" operator="containsText" aboveAverage="0" equalAverage="0" bottom="0" percent="0" rank="0" text="$L" dxfId="32">
      <formula>NOT(ISERROR(SEARCH("$L",C5)))</formula>
    </cfRule>
    <cfRule type="containsText" priority="44" operator="containsText" aboveAverage="0" equalAverage="0" bottom="0" percent="0" rank="0" text="$BTP" dxfId="33">
      <formula>NOT(ISERROR(SEARCH("$BTP",C5)))</formula>
    </cfRule>
    <cfRule type="containsText" priority="45" operator="containsText" aboveAverage="0" equalAverage="0" bottom="0" percent="0" rank="0" text="$M" dxfId="34">
      <formula>NOT(ISERROR(SEARCH("$M",C5)))</formula>
    </cfRule>
    <cfRule type="containsText" priority="46" operator="containsText" aboveAverage="0" equalAverage="0" bottom="0" percent="0" rank="0" text="$N" dxfId="35">
      <formula>NOT(ISERROR(SEARCH("$N",C5)))</formula>
    </cfRule>
    <cfRule type="containsText" priority="47" operator="containsText" aboveAverage="0" equalAverage="0" bottom="0" percent="0" rank="0" text="$FC" dxfId="36">
      <formula>NOT(ISERROR(SEARCH("$FC",C5)))</formula>
    </cfRule>
    <cfRule type="containsText" priority="48" operator="containsText" aboveAverage="0" equalAverage="0" bottom="0" percent="0" rank="0" text="OAL" dxfId="37">
      <formula>NOT(ISERROR(SEARCH("OAL",C5)))</formula>
    </cfRule>
    <cfRule type="containsText" priority="49" operator="containsText" aboveAverage="0" equalAverage="0" bottom="0" percent="0" rank="0" text="S+" dxfId="38">
      <formula>NOT(ISERROR(SEARCH("S+",C5)))</formula>
    </cfRule>
    <cfRule type="containsText" priority="50" operator="containsText" aboveAverage="0" equalAverage="0" bottom="0" percent="0" rank="0" text="EX-D" dxfId="39">
      <formula>NOT(ISERROR(SEARCH("EX-D",C5)))</formula>
    </cfRule>
    <cfRule type="expression" priority="51" aboveAverage="0" equalAverage="0" bottom="0" percent="0" rank="0" text="" dxfId="21">
      <formula>WEEKDAY(#REF!,2)&gt;5</formula>
    </cfRule>
  </conditionalFormatting>
  <conditionalFormatting sqref="C5:AH52">
    <cfRule type="containsText" priority="52" operator="containsText" aboveAverage="0" equalAverage="0" bottom="0" percent="0" rank="0" text="CS/B" dxfId="50">
      <formula>NOT(ISERROR(SEARCH("CS/B",C5)))</formula>
    </cfRule>
  </conditionalFormatting>
  <conditionalFormatting sqref="J4:J52 AA4:AA52 C5:I52 K5:Z52 AB5:AH52">
    <cfRule type="cellIs" priority="53" operator="equal" aboveAverage="0" equalAverage="0" bottom="0" percent="0" rank="0" text="" dxfId="23">
      <formula>"B"</formula>
    </cfRule>
    <cfRule type="cellIs" priority="54" operator="equal" aboveAverage="0" equalAverage="0" bottom="0" percent="0" rank="0" text="" dxfId="23">
      <formula>"AL"</formula>
    </cfRule>
    <cfRule type="cellIs" priority="55" operator="equal" aboveAverage="0" equalAverage="0" bottom="0" percent="0" rank="0" text="" dxfId="24">
      <formula>"DM"</formula>
    </cfRule>
    <cfRule type="cellIs" priority="56" operator="equal" aboveAverage="0" equalAverage="0" bottom="0" percent="0" rank="0" text="" dxfId="25">
      <formula>"CS1"</formula>
    </cfRule>
    <cfRule type="cellIs" priority="57" operator="equal" aboveAverage="0" equalAverage="0" bottom="0" percent="0" rank="0" text="" dxfId="26">
      <formula>"CS2"</formula>
    </cfRule>
    <cfRule type="cellIs" priority="58" operator="equal" aboveAverage="0" equalAverage="0" bottom="0" percent="0" rank="0" text="" dxfId="27">
      <formula>"SB1"</formula>
    </cfRule>
    <cfRule type="cellIs" priority="59" operator="equal" aboveAverage="0" equalAverage="0" bottom="0" percent="0" rank="0" text="" dxfId="28">
      <formula>"SB2"</formula>
    </cfRule>
    <cfRule type="cellIs" priority="60" operator="equal" aboveAverage="0" equalAverage="0" bottom="0" percent="0" rank="0" text="" dxfId="29">
      <formula>"AE"</formula>
    </cfRule>
  </conditionalFormatting>
  <conditionalFormatting sqref="BQ5:BR43">
    <cfRule type="cellIs" priority="61" operator="lessThan" aboveAverage="0" equalAverage="0" bottom="0" percent="0" rank="0" text="" dxfId="41">
      <formula>1</formula>
    </cfRule>
  </conditionalFormatting>
  <conditionalFormatting sqref="J4:J43 AA4:AA43 C5:I43 K5:Z43 AB5:AH43">
    <cfRule type="cellIs" priority="62" operator="equal" aboveAverage="0" equalAverage="0" bottom="0" percent="0" rank="0" text="" dxfId="23">
      <formula>"DB"</formula>
    </cfRule>
    <cfRule type="containsText" priority="63" operator="containsText" aboveAverage="0" equalAverage="0" bottom="0" percent="0" rank="0" text="$AM" dxfId="30">
      <formula>NOT(ISERROR(SEARCH("$AM",C4)))</formula>
    </cfRule>
    <cfRule type="containsText" priority="64" operator="containsText" aboveAverage="0" equalAverage="0" bottom="0" percent="0" rank="0" text="$PM" dxfId="31">
      <formula>NOT(ISERROR(SEARCH("$PM",C4)))</formula>
    </cfRule>
    <cfRule type="containsText" priority="65" operator="containsText" aboveAverage="0" equalAverage="0" bottom="0" percent="0" rank="0" text="$L" dxfId="32">
      <formula>NOT(ISERROR(SEARCH("$L",C4)))</formula>
    </cfRule>
    <cfRule type="containsText" priority="66" operator="containsText" aboveAverage="0" equalAverage="0" bottom="0" percent="0" rank="0" text="$BTP" dxfId="33">
      <formula>NOT(ISERROR(SEARCH("$BTP",C4)))</formula>
    </cfRule>
    <cfRule type="containsText" priority="67" operator="containsText" aboveAverage="0" equalAverage="0" bottom="0" percent="0" rank="0" text="$M" dxfId="34">
      <formula>NOT(ISERROR(SEARCH("$M",C4)))</formula>
    </cfRule>
    <cfRule type="containsText" priority="68" operator="containsText" aboveAverage="0" equalAverage="0" bottom="0" percent="0" rank="0" text="$N" dxfId="35">
      <formula>NOT(ISERROR(SEARCH("$N",C4)))</formula>
    </cfRule>
    <cfRule type="containsText" priority="69" operator="containsText" aboveAverage="0" equalAverage="0" bottom="0" percent="0" rank="0" text="$FC" dxfId="36">
      <formula>NOT(ISERROR(SEARCH("$FC",C4)))</formula>
    </cfRule>
    <cfRule type="containsText" priority="70" operator="containsText" aboveAverage="0" equalAverage="0" bottom="0" percent="0" rank="0" text="OAL" dxfId="37">
      <formula>NOT(ISERROR(SEARCH("OAL",C4)))</formula>
    </cfRule>
    <cfRule type="containsText" priority="71" operator="containsText" aboveAverage="0" equalAverage="0" bottom="0" percent="0" rank="0" text="S+" dxfId="38">
      <formula>NOT(ISERROR(SEARCH("S+",C4)))</formula>
    </cfRule>
    <cfRule type="containsText" priority="72" operator="containsText" aboveAverage="0" equalAverage="0" bottom="0" percent="0" rank="0" text="EX-D" dxfId="39">
      <formula>NOT(ISERROR(SEARCH("EX-D",C4)))</formula>
    </cfRule>
  </conditionalFormatting>
  <conditionalFormatting sqref="X11:Y11 C3:S43 W14:Y14 T2:X43 Y3:AH43">
    <cfRule type="expression" priority="73" aboveAverage="0" equalAverage="0" bottom="0" percent="0" rank="0" text="" dxfId="21">
      <formula>WEEKDAY(T$3,2)&gt;5</formula>
    </cfRule>
  </conditionalFormatting>
  <conditionalFormatting sqref="J4:J16 C5:C10 E5:E6 G5:G16 H5:H9 I5:I10 K5:K6 M5:M7 N5:O6 P5:P9 Q5:Q17 R5:R6 S5:S14 T5:T6 U5:U8 V5:V14 W5:X22 Y5:Y24 Z5:AC39 AD5:AE29 AF5:AF28 AG5:AG6 AH5:AH25 D6 F6:F10 L6:L9 D8:D10 E8 K8:K13 T8:T17 AG8:AG23 M9:M16 O10:O24 R10:R17 E11:E13 H11 L11:L13 P11:P17 U11:U21 C12:C23 F12:F13 I12:I16 N12:N26 D13:D17 H13:H21 E15:E21 F15:F17 K15:K16 L15:L17 S16:S31 V16 G18:G28 I18:I29 J18:J20 K18:K24 M18:M19 V18:V21 D19:D26 F19:F22 P19:P23 Q19:Q22 R19:R24 T19:T31 L20:L24 J22:J23 M22:M29 H23:H31 U23:U25 V23:V24 E24:E26 Q24 W24:X24 F25:F29 J25:J27 AG25:AG28 C26 K26:L26 O26:Q29 R26:R27 V26:X26 Y26:Y39 U27:U30 D28 E28:E29 K28 V28:V33 W28:W31 X28:X29 C29 J29:J30 L29 N29 R29 D30 K30:K31 E31:F31 L31 M31:M33 N31:N32 Q31:R31 X31 AD31:AF32 AG31:AH31 D32:D33 G32:G33 O32:O34 C33 E33:F33 I33:I34 K33:K35 S33 J34 N34:N35 T34 W34:X36 AG34 E35:G35 H35:H36 L35:L36 M35:M37 P35 R35 V35 I36:J36 O36:O38 E37:E39 F37:G38 K37:K39 N37 U37:U38 V37:V39 D38 H38:I38 J38:J39 R38 C39 L39:M39 W39:X39 R40 U40:U43">
    <cfRule type="containsText" priority="74" operator="containsText" aboveAverage="0" equalAverage="0" bottom="0" percent="0" rank="0" text="VACC" dxfId="40">
      <formula>NOT(ISERROR(SEARCH("VACC",C4)))</formula>
    </cfRule>
  </conditionalFormatting>
  <conditionalFormatting sqref="A1:BR52">
    <cfRule type="cellIs" priority="75" operator="equal" aboveAverage="0" equalAverage="0" bottom="0" percent="0" rank="0" text="" dxfId="41">
      <formula>"RESERVE"</formula>
    </cfRule>
  </conditionalFormatting>
  <dataValidations count="5">
    <dataValidation allowBlank="true" errorStyle="stop" operator="equal" showDropDown="true" showErrorMessage="false" showInputMessage="false" sqref="B5:C5 G5 J5 R5 AG5:AH5 B6:B12 N6 AH6:AH15 G13 B14:B22 AH17:AH27 E20 C21 B23:B27 AH29:AH43 T35 AG36 T38 AE38 D39 N39 P39 AD39:AF39 C40:F40 I40:L41 N40:P43 S40:U43 X40:AG40 C41:G41 V41:AG43 C42:L43" type="list">
      <formula1>'Setting key Duty'!$B$7:$B$56</formula1>
      <formula2>0</formula2>
    </dataValidation>
    <dataValidation allowBlank="true" errorStyle="stop" operator="equal" showDropDown="true" showErrorMessage="false" showInputMessage="false" sqref="D5 F5:F10 H5:I5 K5:K6 N5:Q5 S5 U5:AF5 C6:E6 G6 I6:J6 L6:M7 O6:Y6 AA6 AC6:AE6 AG6 C7 G7:J8 N7:Q8 S7:S10 U7:AA7 AD7:AE7 C8:E9 K8 T8:Y8 AC8:AG8 G9:Q9 U9:U11 W9:X9 AA9:AA17 AD9:AG9 C10:D17 G10 J10:M11 O10:Q10 T10:T11 V10:Z11 AB10:AG13 E11 P11:R11 E12:Z12 F13 H13:K13 M13:S13 U13:Y13 E14 H14:I15 K14:Y14 AB14:AB16 AD14:AG14 J15:R15 T15:Z15 AD15:AF15 E16:Z16 AC16:AH16 E17:H17 J17:Y17 AC17:AG17 D18:E18 G18:G19 I18:K18 M18:P19 S18:S24 U18:AF18 C19:F19 H19:K19 Q19:R19 T19:AG19 C20:D20 J20:L20 N20:R21 T20:Z22 AB20:AG20 D21:D38 H21:L21 AA21:AG22 C22:C23 F22 I22:R22 G23:G32 I23:J23 L23:L27 N23:N27 P23:P24 R23:R25 T23:U25 W23:W24 Y23:AB23 AF23:AG23 E24:E28 H24:K28 M24:M31 O24 Q24 V24:V26 X24:AA24 AC24:AG24 C25:C34 F25:F26 O25:Q28 W25:AG25 R26:U26 W26:AB27 AD26:AG26 R27:T27 AC27:AF27 F28:F29 S28:Z28 AB28:AG28 H29:J31 L29:L31 N29:AA31 AC29:AF30 E30:E32 K30:K31 AG30 AB31:AG31 N32:Q32 S32:AB32 AG32 H33:I33 K33 M33:S33 U33:Z33 AD33:AG33 E34:G34 I34:N34 Q34 S34 U34:U35 W34:Y34 AA34:AB35 AE34:AG34 H35:J35 L35:P35 R35:R36 V35:X35 AC35:AF35 E36 H36 J36:Q36 S36:AA36 AD36:AF36 C37:C39 H37:AA37 AF37:AG37 H38:R38 U38:X38 AB38:AD38 AF38 E39 G39:M39 W39:X39 Z39 R40" type="list">
      <formula1>'Setting key Duty'!$B$7:$B$54</formula1>
      <formula2>0</formula2>
    </dataValidation>
    <dataValidation allowBlank="true" errorStyle="stop" operator="between" showDropDown="false" showErrorMessage="false" showInputMessage="false" sqref="F27" type="custom">
      <formula1>NOT(ISERROR(SEARCH(('Setting key Duty'!$B$7:$B$54),(F27))))</formula1>
      <formula2>0</formula2>
    </dataValidation>
    <dataValidation allowBlank="true" errorStyle="stop" operator="between" showDropDown="false" showErrorMessage="false" showInputMessage="false" sqref="P34 V34 AC34:AD34" type="custom">
      <formula1>NOT(ISERROR(SEARCH((#REF!),(P34))))</formula1>
      <formula2>0</formula2>
    </dataValidation>
    <dataValidation allowBlank="true" errorStyle="stop" operator="equal" showDropDown="true" showErrorMessage="false" showInputMessage="false" sqref="C44:AH51" type="list">
      <formula1>'Setting key Duty'!$B$7:$B$23</formula1>
      <formula2>0</formula2>
    </dataValidation>
  </dataValidation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Q56"/>
  <sheetViews>
    <sheetView showFormulas="false" showGridLines="fals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D2" activeCellId="0" sqref="D2"/>
    </sheetView>
  </sheetViews>
  <sheetFormatPr defaultColWidth="12.6328125" defaultRowHeight="15.75" customHeight="true" zeroHeight="false" outlineLevelRow="0" outlineLevelCol="1"/>
  <cols>
    <col collapsed="false" customWidth="true" hidden="false" outlineLevel="0" max="1" min="1" style="0" width="2.13"/>
    <col collapsed="false" customWidth="true" hidden="false" outlineLevel="0" max="3" min="2" style="0" width="29.76"/>
    <col collapsed="false" customWidth="true" hidden="false" outlineLevel="0" max="12" min="4" style="0" width="9.24"/>
    <col collapsed="false" customWidth="true" hidden="false" outlineLevel="0" max="13" min="13" style="0" width="9.38"/>
    <col collapsed="false" customWidth="true" hidden="false" outlineLevel="0" max="14" min="14" style="0" width="10.63"/>
    <col collapsed="false" customWidth="true" hidden="false" outlineLevel="0" max="15" min="15" style="0" width="9.24"/>
    <col collapsed="false" customWidth="true" hidden="false" outlineLevel="0" max="16" min="16" style="0" width="10"/>
    <col collapsed="false" customWidth="true" hidden="false" outlineLevel="0" max="17" min="17" style="0" width="10.76"/>
    <col collapsed="false" customWidth="true" hidden="false" outlineLevel="0" max="18" min="18" style="0" width="10.25"/>
    <col collapsed="false" customWidth="true" hidden="false" outlineLevel="0" max="19" min="19" style="0" width="9.63"/>
    <col collapsed="false" customWidth="true" hidden="false" outlineLevel="0" max="20" min="20" style="0" width="9.14"/>
    <col collapsed="false" customWidth="true" hidden="false" outlineLevel="0" max="27" min="21" style="0" width="9.24"/>
    <col collapsed="false" customWidth="true" hidden="false" outlineLevel="0" max="28" min="28" style="0" width="10.51"/>
    <col collapsed="false" customWidth="true" hidden="false" outlineLevel="0" max="29" min="29" style="0" width="10.38"/>
    <col collapsed="false" customWidth="true" hidden="false" outlineLevel="0" max="31" min="30" style="0" width="9.24"/>
    <col collapsed="false" customWidth="true" hidden="false" outlineLevel="0" max="32" min="32" style="0" width="10.51"/>
    <col collapsed="false" customWidth="true" hidden="false" outlineLevel="0" max="33" min="33" style="0" width="9.38"/>
    <col collapsed="false" customWidth="true" hidden="true" outlineLevel="1" max="40" min="34" style="0" width="9.38"/>
    <col collapsed="false" customWidth="true" hidden="true" outlineLevel="1" max="41" min="41" style="0" width="12"/>
    <col collapsed="false" customWidth="true" hidden="true" outlineLevel="1" max="42" min="42" style="0" width="9.38"/>
    <col collapsed="false" customWidth="true" hidden="false" outlineLevel="0" max="44" min="43" style="0" width="6.76"/>
    <col collapsed="false" customWidth="true" hidden="false" outlineLevel="1" max="45" min="45" style="0" width="8.87"/>
    <col collapsed="false" customWidth="true" hidden="false" outlineLevel="1" max="47" min="46" style="0" width="7.88"/>
    <col collapsed="false" customWidth="true" hidden="false" outlineLevel="1" max="48" min="48" style="0" width="9.14"/>
    <col collapsed="false" customWidth="true" hidden="false" outlineLevel="1" max="49" min="49" style="0" width="8.24"/>
    <col collapsed="false" customWidth="true" hidden="false" outlineLevel="1" max="50" min="50" style="0" width="5.51"/>
    <col collapsed="false" customWidth="true" hidden="false" outlineLevel="0" max="53" min="51" style="0" width="9.38"/>
    <col collapsed="false" customWidth="true" hidden="true" outlineLevel="0" max="54" min="54" style="0" width="9.38"/>
    <col collapsed="false" customWidth="true" hidden="true" outlineLevel="1" max="65" min="55" style="0" width="9.38"/>
    <col collapsed="false" customWidth="true" hidden="false" outlineLevel="0" max="66" min="66" style="0" width="9.38"/>
    <col collapsed="false" customWidth="true" hidden="false" outlineLevel="0" max="67" min="67" style="0" width="9.51"/>
    <col collapsed="false" customWidth="true" hidden="false" outlineLevel="0" max="69" min="68" style="0" width="9.38"/>
  </cols>
  <sheetData>
    <row r="1" customFormat="false" ht="3" hidden="false" customHeight="true" outlineLevel="0" collapsed="false">
      <c r="A1" s="240"/>
      <c r="B1" s="233" t="s">
        <v>0</v>
      </c>
      <c r="C1" s="233"/>
      <c r="D1" s="153" t="str">
        <f aca="false"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4"/>
      <c r="AG1" s="234"/>
      <c r="AH1" s="234"/>
      <c r="AI1" s="234"/>
      <c r="AJ1" s="234"/>
      <c r="AK1" s="234"/>
      <c r="AL1" s="241"/>
      <c r="AM1" s="241"/>
      <c r="AN1" s="241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1"/>
      <c r="BF1" s="241"/>
      <c r="BG1" s="241"/>
      <c r="BH1" s="241"/>
      <c r="BI1" s="241"/>
      <c r="BJ1" s="241"/>
      <c r="BK1" s="241"/>
      <c r="BL1" s="241"/>
      <c r="BM1" s="241"/>
      <c r="BN1" s="241"/>
      <c r="BO1" s="241"/>
      <c r="BP1" s="241"/>
      <c r="BQ1" s="241"/>
    </row>
    <row r="2" customFormat="false" ht="26.25" hidden="false" customHeight="true" outlineLevel="0" collapsed="false">
      <c r="A2" s="242"/>
      <c r="B2" s="235" t="s">
        <v>1</v>
      </c>
      <c r="C2" s="235"/>
      <c r="D2" s="9"/>
      <c r="E2" s="9"/>
      <c r="F2" s="9" t="s">
        <v>374</v>
      </c>
      <c r="G2" s="9"/>
      <c r="H2" s="9"/>
      <c r="I2" s="9" t="s">
        <v>701</v>
      </c>
      <c r="J2" s="9" t="s">
        <v>701</v>
      </c>
      <c r="K2" s="9" t="s">
        <v>701</v>
      </c>
      <c r="L2" s="9" t="s">
        <v>416</v>
      </c>
      <c r="M2" s="9"/>
      <c r="N2" s="9" t="s">
        <v>702</v>
      </c>
      <c r="O2" s="9"/>
      <c r="P2" s="9" t="s">
        <v>703</v>
      </c>
      <c r="Q2" s="9"/>
      <c r="R2" s="9"/>
      <c r="S2" s="9" t="s">
        <v>704</v>
      </c>
      <c r="T2" s="9" t="s">
        <v>705</v>
      </c>
      <c r="U2" s="119"/>
      <c r="V2" s="9"/>
      <c r="W2" s="160"/>
      <c r="X2" s="9"/>
      <c r="Y2" s="9"/>
      <c r="Z2" s="9"/>
      <c r="AA2" s="9"/>
      <c r="AB2" s="9"/>
      <c r="AC2" s="9"/>
      <c r="AD2" s="9"/>
      <c r="AE2" s="9"/>
      <c r="AF2" s="9"/>
      <c r="AG2" s="9"/>
      <c r="AH2" s="161"/>
      <c r="AI2" s="161"/>
      <c r="AJ2" s="161"/>
      <c r="AK2" s="161"/>
      <c r="AL2" s="161"/>
      <c r="AM2" s="161"/>
      <c r="AN2" s="161"/>
      <c r="AO2" s="161"/>
      <c r="AP2" s="161"/>
      <c r="AQ2" s="161"/>
      <c r="AR2" s="161"/>
      <c r="AS2" s="161"/>
      <c r="AT2" s="161"/>
      <c r="AU2" s="161"/>
      <c r="AV2" s="161"/>
      <c r="AW2" s="161"/>
      <c r="AX2" s="161"/>
      <c r="AY2" s="161"/>
      <c r="AZ2" s="161"/>
      <c r="BA2" s="161"/>
      <c r="BB2" s="161"/>
      <c r="BC2" s="161"/>
      <c r="BD2" s="243"/>
      <c r="BE2" s="243"/>
      <c r="BF2" s="243"/>
      <c r="BG2" s="243"/>
      <c r="BH2" s="243"/>
      <c r="BI2" s="243"/>
      <c r="BJ2" s="243"/>
      <c r="BK2" s="243"/>
      <c r="BL2" s="243"/>
      <c r="BM2" s="243"/>
      <c r="BN2" s="161"/>
      <c r="BO2" s="161"/>
      <c r="BP2" s="161"/>
      <c r="BQ2" s="161"/>
    </row>
    <row r="3" customFormat="false" ht="26.25" hidden="false" customHeight="true" outlineLevel="0" collapsed="false">
      <c r="A3" s="242"/>
      <c r="B3" s="235" t="s">
        <v>21</v>
      </c>
      <c r="C3" s="235"/>
      <c r="D3" s="164" t="n">
        <v>46113</v>
      </c>
      <c r="E3" s="165" t="n">
        <f aca="false">D3+1</f>
        <v>46114</v>
      </c>
      <c r="F3" s="165" t="n">
        <f aca="false">E3+1</f>
        <v>46115</v>
      </c>
      <c r="G3" s="165" t="n">
        <f aca="false">F3+1</f>
        <v>46116</v>
      </c>
      <c r="H3" s="165" t="n">
        <f aca="false">G3+1</f>
        <v>46117</v>
      </c>
      <c r="I3" s="165" t="n">
        <f aca="false">H3+1</f>
        <v>46118</v>
      </c>
      <c r="J3" s="165" t="n">
        <f aca="false">I3+1</f>
        <v>46119</v>
      </c>
      <c r="K3" s="165" t="n">
        <f aca="false">J3+1</f>
        <v>46120</v>
      </c>
      <c r="L3" s="165" t="n">
        <f aca="false">K3+1</f>
        <v>46121</v>
      </c>
      <c r="M3" s="165" t="n">
        <f aca="false">L3+1</f>
        <v>46122</v>
      </c>
      <c r="N3" s="165" t="n">
        <f aca="false">M3+1</f>
        <v>46123</v>
      </c>
      <c r="O3" s="165" t="n">
        <f aca="false">N3+1</f>
        <v>46124</v>
      </c>
      <c r="P3" s="165" t="n">
        <f aca="false">O3+1</f>
        <v>46125</v>
      </c>
      <c r="Q3" s="165" t="n">
        <f aca="false">P3+1</f>
        <v>46126</v>
      </c>
      <c r="R3" s="165" t="n">
        <f aca="false">Q3+1</f>
        <v>46127</v>
      </c>
      <c r="S3" s="165" t="n">
        <f aca="false">R3+1</f>
        <v>46128</v>
      </c>
      <c r="T3" s="165" t="n">
        <f aca="false">S3+1</f>
        <v>46129</v>
      </c>
      <c r="U3" s="166" t="n">
        <f aca="false">T3+1</f>
        <v>46130</v>
      </c>
      <c r="V3" s="165" t="n">
        <f aca="false">U3+1</f>
        <v>46131</v>
      </c>
      <c r="W3" s="167" t="n">
        <f aca="false">V3+1</f>
        <v>46132</v>
      </c>
      <c r="X3" s="165" t="n">
        <f aca="false">W3+1</f>
        <v>46133</v>
      </c>
      <c r="Y3" s="165" t="n">
        <f aca="false">X3+1</f>
        <v>46134</v>
      </c>
      <c r="Z3" s="165" t="n">
        <f aca="false">Y3+1</f>
        <v>46135</v>
      </c>
      <c r="AA3" s="165" t="n">
        <f aca="false">Z3+1</f>
        <v>46136</v>
      </c>
      <c r="AB3" s="165" t="n">
        <f aca="false">AA3+1</f>
        <v>46137</v>
      </c>
      <c r="AC3" s="165" t="n">
        <f aca="false">AB3+1</f>
        <v>46138</v>
      </c>
      <c r="AD3" s="165" t="n">
        <f aca="false">AC3+1</f>
        <v>46139</v>
      </c>
      <c r="AE3" s="165" t="n">
        <f aca="false">AD3+1</f>
        <v>46140</v>
      </c>
      <c r="AF3" s="165" t="n">
        <f aca="false">AE3+1</f>
        <v>46141</v>
      </c>
      <c r="AG3" s="165" t="n">
        <f aca="false">AF3+1</f>
        <v>46142</v>
      </c>
      <c r="AH3" s="161" t="str">
        <f aca="false">'Setting key Duty'!$C7</f>
        <v>DM</v>
      </c>
      <c r="AI3" s="161" t="str">
        <f aca="false">'Setting key Duty'!$C8</f>
        <v>CS1</v>
      </c>
      <c r="AJ3" s="161" t="str">
        <f aca="false">'Setting key Duty'!$C9</f>
        <v>CS2</v>
      </c>
      <c r="AK3" s="161" t="str">
        <f aca="false">'Setting key Duty'!$C10</f>
        <v>CS/B</v>
      </c>
      <c r="AL3" s="161" t="str">
        <f aca="false">'Setting key Duty'!$C11</f>
        <v>SB1</v>
      </c>
      <c r="AM3" s="161" t="str">
        <f aca="false">'Setting key Duty'!$C12</f>
        <v>SB2</v>
      </c>
      <c r="AN3" s="161" t="str">
        <f aca="false">'Setting key Duty'!$C13</f>
        <v>AE</v>
      </c>
      <c r="AO3" s="161" t="str">
        <f aca="false">'Setting key Duty'!$C16</f>
        <v>Outfield Reserve</v>
      </c>
      <c r="AP3" s="161" t="str">
        <f aca="false">'Setting key Duty'!C14</f>
        <v>EM</v>
      </c>
      <c r="AQ3" s="244" t="s">
        <v>559</v>
      </c>
      <c r="AR3" s="244" t="s">
        <v>560</v>
      </c>
      <c r="AS3" s="161" t="s">
        <v>22</v>
      </c>
      <c r="AT3" s="161" t="s">
        <v>23</v>
      </c>
      <c r="AU3" s="161" t="s">
        <v>561</v>
      </c>
      <c r="AV3" s="161" t="s">
        <v>24</v>
      </c>
      <c r="AW3" s="161" t="s">
        <v>25</v>
      </c>
      <c r="AX3" s="161" t="s">
        <v>26</v>
      </c>
      <c r="AY3" s="161" t="s">
        <v>27</v>
      </c>
      <c r="AZ3" s="161" t="s">
        <v>28</v>
      </c>
      <c r="BA3" s="245" t="s">
        <v>29</v>
      </c>
      <c r="BB3" s="245"/>
      <c r="BC3" s="161" t="s">
        <v>30</v>
      </c>
      <c r="BD3" s="161" t="s">
        <v>32</v>
      </c>
      <c r="BE3" s="161" t="s">
        <v>33</v>
      </c>
      <c r="BF3" s="161" t="s">
        <v>36</v>
      </c>
      <c r="BG3" s="161" t="s">
        <v>37</v>
      </c>
      <c r="BH3" s="161" t="s">
        <v>39</v>
      </c>
      <c r="BI3" s="161" t="s">
        <v>40</v>
      </c>
      <c r="BJ3" s="161" t="s">
        <v>41</v>
      </c>
      <c r="BK3" s="161" t="s">
        <v>42</v>
      </c>
      <c r="BL3" s="161" t="str">
        <f aca="false">'Setting key Duty'!C52</f>
        <v>Field Camp</v>
      </c>
      <c r="BM3" s="161" t="s">
        <v>43</v>
      </c>
      <c r="BN3" s="161" t="str">
        <f aca="false">'Setting key Duty'!$C15</f>
        <v>Block</v>
      </c>
      <c r="BO3" s="161" t="str">
        <f aca="false">'Setting key Duty'!C17</f>
        <v>Reserve</v>
      </c>
      <c r="BP3" s="161" t="str">
        <f aca="false">'Setting key Duty'!$C22</f>
        <v>AL</v>
      </c>
      <c r="BQ3" s="161"/>
    </row>
    <row r="4" customFormat="false" ht="18" hidden="false" customHeight="true" outlineLevel="0" collapsed="false">
      <c r="A4" s="246"/>
      <c r="B4" s="236" t="s">
        <v>156</v>
      </c>
      <c r="C4" s="236"/>
      <c r="D4" s="171" t="str">
        <f aca="false">TEXT(D3,"ddd")</f>
        <v>Wed</v>
      </c>
      <c r="E4" s="172" t="str">
        <f aca="false">TEXT(E3,"ddd")</f>
        <v>Thu</v>
      </c>
      <c r="F4" s="172" t="str">
        <f aca="false">TEXT(F3,"ddd")</f>
        <v>Fri</v>
      </c>
      <c r="G4" s="172" t="str">
        <f aca="false">TEXT(G3,"ddd")</f>
        <v>Sat</v>
      </c>
      <c r="H4" s="172" t="str">
        <f aca="false">TEXT(H3,"ddd")</f>
        <v>Sun</v>
      </c>
      <c r="I4" s="172" t="str">
        <f aca="false">TEXT(I3,"ddd")</f>
        <v>Mon</v>
      </c>
      <c r="J4" s="172" t="str">
        <f aca="false">TEXT(J3,"ddd")</f>
        <v>Tue</v>
      </c>
      <c r="K4" s="172" t="str">
        <f aca="false">TEXT(K3,"ddd")</f>
        <v>Wed</v>
      </c>
      <c r="L4" s="172" t="str">
        <f aca="false">TEXT(L3,"ddd")</f>
        <v>Thu</v>
      </c>
      <c r="M4" s="172" t="str">
        <f aca="false">TEXT(M3,"ddd")</f>
        <v>Fri</v>
      </c>
      <c r="N4" s="172" t="str">
        <f aca="false">TEXT(N3,"ddd")</f>
        <v>Sat</v>
      </c>
      <c r="O4" s="172" t="str">
        <f aca="false">TEXT(O3,"ddd")</f>
        <v>Sun</v>
      </c>
      <c r="P4" s="172" t="str">
        <f aca="false">TEXT(P3,"ddd")</f>
        <v>Mon</v>
      </c>
      <c r="Q4" s="172" t="str">
        <f aca="false">TEXT(Q3,"ddd")</f>
        <v>Tue</v>
      </c>
      <c r="R4" s="172" t="str">
        <f aca="false">TEXT(R3,"ddd")</f>
        <v>Wed</v>
      </c>
      <c r="S4" s="172" t="str">
        <f aca="false">TEXT(S3,"ddd")</f>
        <v>Thu</v>
      </c>
      <c r="T4" s="172" t="str">
        <f aca="false">TEXT(T3,"ddd")</f>
        <v>Fri</v>
      </c>
      <c r="U4" s="171" t="str">
        <f aca="false">TEXT(U3,"ddd")</f>
        <v>Sat</v>
      </c>
      <c r="V4" s="172" t="str">
        <f aca="false">TEXT(V3,"ddd")</f>
        <v>Sun</v>
      </c>
      <c r="W4" s="173" t="str">
        <f aca="false">TEXT(W3,"ddd")</f>
        <v>Mon</v>
      </c>
      <c r="X4" s="172" t="str">
        <f aca="false">TEXT(X3,"ddd")</f>
        <v>Tue</v>
      </c>
      <c r="Y4" s="172" t="str">
        <f aca="false">TEXT(Y3,"ddd")</f>
        <v>Wed</v>
      </c>
      <c r="Z4" s="172" t="str">
        <f aca="false">TEXT(Z3,"ddd")</f>
        <v>Thu</v>
      </c>
      <c r="AA4" s="172" t="str">
        <f aca="false">TEXT(AA3,"ddd")</f>
        <v>Fri</v>
      </c>
      <c r="AB4" s="172" t="str">
        <f aca="false">TEXT(AB3,"ddd")</f>
        <v>Sat</v>
      </c>
      <c r="AC4" s="172" t="str">
        <f aca="false">TEXT(AC3,"ddd")</f>
        <v>Sun</v>
      </c>
      <c r="AD4" s="172" t="str">
        <f aca="false">TEXT(AD3,"ddd")</f>
        <v>Mon</v>
      </c>
      <c r="AE4" s="172" t="str">
        <f aca="false">TEXT(AE3,"ddd")</f>
        <v>Tue</v>
      </c>
      <c r="AF4" s="172" t="str">
        <f aca="false">TEXT(AF3,"ddd")</f>
        <v>Wed</v>
      </c>
      <c r="AG4" s="172" t="str">
        <f aca="false">TEXT(AG3,"ddd")</f>
        <v>Thu</v>
      </c>
      <c r="AH4" s="247" t="str">
        <f aca="false">'Setting key Duty'!$B7</f>
        <v>DM</v>
      </c>
      <c r="AI4" s="247" t="str">
        <f aca="false">'Setting key Duty'!$B8</f>
        <v>CS1</v>
      </c>
      <c r="AJ4" s="247" t="str">
        <f aca="false">'Setting key Duty'!$B9</f>
        <v>CS2</v>
      </c>
      <c r="AK4" s="247" t="str">
        <f aca="false">'Setting key Duty'!$B10</f>
        <v>CS/B</v>
      </c>
      <c r="AL4" s="247" t="str">
        <f aca="false">'Setting key Duty'!$B11</f>
        <v>SB1</v>
      </c>
      <c r="AM4" s="247" t="str">
        <f aca="false">'Setting key Duty'!$B12</f>
        <v>SB2</v>
      </c>
      <c r="AN4" s="247" t="str">
        <f aca="false">'Setting key Duty'!$B13</f>
        <v>AE</v>
      </c>
      <c r="AO4" s="247" t="str">
        <f aca="false">'Setting key Duty'!$B16</f>
        <v>Outfield Reserve</v>
      </c>
      <c r="AP4" s="247" t="str">
        <f aca="false">'Setting key Duty'!B14</f>
        <v>EM</v>
      </c>
      <c r="AQ4" s="244"/>
      <c r="AR4" s="244"/>
      <c r="AS4" s="247"/>
      <c r="AT4" s="247"/>
      <c r="AU4" s="247"/>
      <c r="AV4" s="247"/>
      <c r="AW4" s="247"/>
      <c r="AX4" s="247"/>
      <c r="AY4" s="247"/>
      <c r="AZ4" s="247"/>
      <c r="BA4" s="248"/>
      <c r="BB4" s="248"/>
      <c r="BC4" s="247"/>
      <c r="BD4" s="247" t="s">
        <v>46</v>
      </c>
      <c r="BE4" s="247"/>
      <c r="BF4" s="247" t="s">
        <v>48</v>
      </c>
      <c r="BG4" s="247"/>
      <c r="BH4" s="247" t="s">
        <v>50</v>
      </c>
      <c r="BI4" s="247"/>
      <c r="BJ4" s="247" t="s">
        <v>51</v>
      </c>
      <c r="BK4" s="247"/>
      <c r="BL4" s="247" t="str">
        <f aca="false">'Setting key Duty'!B52</f>
        <v>$FC</v>
      </c>
      <c r="BM4" s="247"/>
      <c r="BN4" s="247" t="n">
        <f aca="false">'Setting key Duty'!$B15</f>
        <v>0</v>
      </c>
      <c r="BO4" s="247" t="str">
        <f aca="false">'Setting key Duty'!B17</f>
        <v>RESERVE</v>
      </c>
      <c r="BP4" s="247" t="str">
        <f aca="false">'Setting key Duty'!$B22</f>
        <v>AL</v>
      </c>
      <c r="BQ4" s="247"/>
    </row>
    <row r="5" customFormat="false" ht="41.25" hidden="false" customHeight="true" outlineLevel="0" collapsed="false">
      <c r="A5" s="249"/>
      <c r="B5" s="197" t="s">
        <v>562</v>
      </c>
      <c r="C5" s="207"/>
      <c r="D5" s="91"/>
      <c r="E5" s="91"/>
      <c r="F5" s="91"/>
      <c r="G5" s="91" t="s">
        <v>706</v>
      </c>
      <c r="H5" s="91" t="s">
        <v>57</v>
      </c>
      <c r="I5" s="91"/>
      <c r="J5" s="91"/>
      <c r="K5" s="91"/>
      <c r="L5" s="91" t="s">
        <v>707</v>
      </c>
      <c r="M5" s="91" t="s">
        <v>96</v>
      </c>
      <c r="N5" s="91"/>
      <c r="O5" s="91"/>
      <c r="P5" s="91" t="s">
        <v>380</v>
      </c>
      <c r="Q5" s="91" t="s">
        <v>380</v>
      </c>
      <c r="R5" s="91"/>
      <c r="S5" s="178" t="s">
        <v>57</v>
      </c>
      <c r="T5" s="91" t="s">
        <v>162</v>
      </c>
      <c r="U5" s="91"/>
      <c r="V5" s="91"/>
      <c r="W5" s="91"/>
      <c r="X5" s="91"/>
      <c r="Y5" s="91" t="s">
        <v>57</v>
      </c>
      <c r="Z5" s="91"/>
      <c r="AA5" s="91"/>
      <c r="AB5" s="91"/>
      <c r="AC5" s="91"/>
      <c r="AD5" s="91"/>
      <c r="AE5" s="91"/>
      <c r="AF5" s="91"/>
      <c r="AG5" s="91"/>
      <c r="AH5" s="250" t="n">
        <f aca="false">COUNTIF($D5:$AG5,AH$4)</f>
        <v>3</v>
      </c>
      <c r="AI5" s="250" t="n">
        <f aca="false">COUNTIF($D5:$AG5,AI$4)</f>
        <v>0</v>
      </c>
      <c r="AJ5" s="250" t="n">
        <f aca="false">COUNTIF($D5:$AG5,AJ$4)</f>
        <v>0</v>
      </c>
      <c r="AK5" s="250" t="n">
        <f aca="false">COUNTIF($D5:$AG5,AK$4)</f>
        <v>0</v>
      </c>
      <c r="AL5" s="250" t="n">
        <f aca="false">COUNTIF($D5:$AG5,AL$4)</f>
        <v>0</v>
      </c>
      <c r="AM5" s="250" t="n">
        <f aca="false">COUNTIF($D5:$AG5,AM$4)</f>
        <v>0</v>
      </c>
      <c r="AN5" s="250" t="n">
        <f aca="false">COUNTIF($D5:$AG5,AN$4)</f>
        <v>0</v>
      </c>
      <c r="AO5" s="250" t="n">
        <f aca="false">COUNTIF($D5:$AG5,AO$4)</f>
        <v>0</v>
      </c>
      <c r="AP5" s="250" t="n">
        <f aca="false">COUNTIF($D5:$AG5,AP$4)</f>
        <v>0</v>
      </c>
      <c r="AQ5" s="251"/>
      <c r="AR5" s="251"/>
      <c r="AS5" s="252" t="n">
        <f aca="false">SUMPRODUCT(--(WEEKDAY(D$3:AG$3,2)&lt;5),--ISNUMBER(MATCH(D5:AG5,{"DM","CS1","CS2","SB1","AE","CS/B"},0)))</f>
        <v>2</v>
      </c>
      <c r="AT5" s="252"/>
      <c r="AU5" s="252" t="n">
        <f aca="false">SUMPRODUCT(--(WEEKDAY(D$3:AG$3,2)=5),--ISNUMBER(MATCH(D5:AG5,{"DM","CS1","CS2","SB1","AE","CS/B","WEEKEND OUTFIELD RESERVE"},0)))</f>
        <v>0</v>
      </c>
      <c r="AV5" s="252" t="n">
        <f aca="false">SUMPRODUCT(--(WEEKDAY(D$3:AG$3,2)&gt;5),--ISNUMBER(MATCH(D5:AG5,{"DM","CS1","CS2","SB1","AE","CS/B","WEEKEND OUTFIELD RESERVE"},0)))</f>
        <v>1</v>
      </c>
      <c r="AW5" s="252"/>
      <c r="AX5" s="252" t="n">
        <f aca="false">(AS5-AT5)+AU5*1.5+(AV5-AW5)*2+AM5*0.5+AO5*0.5+AQ5-AR5</f>
        <v>4</v>
      </c>
      <c r="AY5" s="252" t="n">
        <f aca="false">AS5+AU5+AV5</f>
        <v>3</v>
      </c>
      <c r="AZ5" s="252" t="n">
        <f aca="false">BD5+BF5+BH5+BJ5+BL5</f>
        <v>0</v>
      </c>
      <c r="BA5" s="251" t="n">
        <f aca="false">AX5+BC5</f>
        <v>4</v>
      </c>
      <c r="BB5" s="251"/>
      <c r="BC5" s="252" t="n">
        <f aca="false">BE5+BG5+BI5+BK5+BM5</f>
        <v>0</v>
      </c>
      <c r="BD5" s="252" t="n">
        <f aca="false">COUNTIF(A5:AH5,"*$BTP*")</f>
        <v>0</v>
      </c>
      <c r="BE5" s="252" t="n">
        <f aca="false">BD5*1.5</f>
        <v>0</v>
      </c>
      <c r="BF5" s="252" t="n">
        <f aca="false">COUNTIF(A5:AH5,"*$M*")</f>
        <v>0</v>
      </c>
      <c r="BG5" s="252" t="n">
        <f aca="false">BF5*1</f>
        <v>0</v>
      </c>
      <c r="BH5" s="252" t="n">
        <f aca="false">COUNTIF(A5:AH5,"*$PM*")</f>
        <v>0</v>
      </c>
      <c r="BI5" s="252" t="n">
        <f aca="false">BH5*0.5</f>
        <v>0</v>
      </c>
      <c r="BJ5" s="252" t="n">
        <f aca="false">COUNTIF(A5:AH5,"*$AM*")</f>
        <v>0</v>
      </c>
      <c r="BK5" s="252" t="n">
        <f aca="false">BJ5*0.5</f>
        <v>0</v>
      </c>
      <c r="BL5" s="252" t="n">
        <f aca="false">COUNTIF(A5:AH5,"*$FC*")</f>
        <v>0</v>
      </c>
      <c r="BM5" s="252" t="n">
        <f aca="false">BL5*1</f>
        <v>0</v>
      </c>
      <c r="BN5" s="252" t="n">
        <f aca="false">COUNTIF($E5:$AB5,BN$4)</f>
        <v>0</v>
      </c>
      <c r="BO5" s="252" t="n">
        <f aca="false">COUNTIF($E5:$AB5,BO$4)</f>
        <v>0</v>
      </c>
      <c r="BP5" s="252" t="n">
        <f aca="false">COUNTIF($E5:$AB5,BP$4)</f>
        <v>0</v>
      </c>
      <c r="BQ5" s="252"/>
    </row>
    <row r="6" customFormat="false" ht="36" hidden="false" customHeight="true" outlineLevel="0" collapsed="false">
      <c r="A6" s="249"/>
      <c r="B6" s="195" t="s">
        <v>565</v>
      </c>
      <c r="C6" s="207"/>
      <c r="D6" s="188"/>
      <c r="E6" s="188" t="s">
        <v>57</v>
      </c>
      <c r="F6" s="91"/>
      <c r="G6" s="91"/>
      <c r="H6" s="91"/>
      <c r="I6" s="91" t="s">
        <v>350</v>
      </c>
      <c r="J6" s="91"/>
      <c r="K6" s="91"/>
      <c r="L6" s="91" t="s">
        <v>57</v>
      </c>
      <c r="M6" s="91"/>
      <c r="N6" s="178" t="s">
        <v>56</v>
      </c>
      <c r="O6" s="91"/>
      <c r="P6" s="91"/>
      <c r="Q6" s="91" t="s">
        <v>708</v>
      </c>
      <c r="R6" s="91"/>
      <c r="S6" s="91"/>
      <c r="T6" s="91"/>
      <c r="U6" s="91"/>
      <c r="V6" s="91"/>
      <c r="W6" s="91" t="s">
        <v>709</v>
      </c>
      <c r="X6" s="91" t="s">
        <v>93</v>
      </c>
      <c r="Y6" s="91"/>
      <c r="Z6" s="91" t="s">
        <v>56</v>
      </c>
      <c r="AA6" s="91"/>
      <c r="AB6" s="91"/>
      <c r="AC6" s="91"/>
      <c r="AD6" s="91" t="s">
        <v>93</v>
      </c>
      <c r="AE6" s="91"/>
      <c r="AF6" s="91"/>
      <c r="AG6" s="91"/>
      <c r="AH6" s="250" t="n">
        <f aca="false">COUNTIF($D6:$AG6,AH$4)</f>
        <v>2</v>
      </c>
      <c r="AI6" s="250" t="n">
        <f aca="false">COUNTIF($D6:$AG6,AI$4)</f>
        <v>2</v>
      </c>
      <c r="AJ6" s="250" t="n">
        <f aca="false">COUNTIF($D6:$AG6,AJ$4)</f>
        <v>0</v>
      </c>
      <c r="AK6" s="250" t="n">
        <f aca="false">COUNTIF($D6:$AG6,AK$4)</f>
        <v>0</v>
      </c>
      <c r="AL6" s="250" t="n">
        <f aca="false">COUNTIF($D6:$AG6,AL$4)</f>
        <v>0</v>
      </c>
      <c r="AM6" s="250" t="n">
        <f aca="false">COUNTIF($D6:$AG6,AM$4)</f>
        <v>2</v>
      </c>
      <c r="AN6" s="250" t="n">
        <f aca="false">COUNTIF($D6:$AG6,AN$4)</f>
        <v>0</v>
      </c>
      <c r="AO6" s="250" t="n">
        <f aca="false">COUNTIF($D6:$AG6,AO$4)</f>
        <v>0</v>
      </c>
      <c r="AP6" s="250" t="n">
        <f aca="false">COUNTIF($D6:$AG6,AP$4)</f>
        <v>0</v>
      </c>
      <c r="AQ6" s="251" t="n">
        <v>1</v>
      </c>
      <c r="AR6" s="251"/>
      <c r="AS6" s="252" t="n">
        <f aca="false">SUMPRODUCT(--(WEEKDAY(D$3:AG$3,2)&lt;5),--ISNUMBER(MATCH(D6:AG6,{"DM","CS1","CS2","SB1","AE","CS/B"},0)))</f>
        <v>3</v>
      </c>
      <c r="AT6" s="252"/>
      <c r="AU6" s="252" t="n">
        <f aca="false">SUMPRODUCT(--(WEEKDAY(D$3:AG$3,2)=5),--ISNUMBER(MATCH(D6:AG6,{"DM","CS1","CS2","SB1","AE","CS/B","WEEKEND OUTFIELD RESERVE"},0)))</f>
        <v>0</v>
      </c>
      <c r="AV6" s="252" t="n">
        <f aca="false">SUMPRODUCT(--(WEEKDAY(D$3:AG$3,2)&gt;5),--ISNUMBER(MATCH(D6:AG6,{"DM","CS1","CS2","SB1","AE","CS/B","WEEKEND OUTFIELD RESERVE"},0)))</f>
        <v>1</v>
      </c>
      <c r="AW6" s="252"/>
      <c r="AX6" s="252" t="n">
        <f aca="false">(AS6-AT6)+AU6*1.5+(AV6-AW6)*2+AM6*0.5+AO6*0.5+AQ6-AR6</f>
        <v>7</v>
      </c>
      <c r="AY6" s="252" t="n">
        <f aca="false">AS6+AU6+AV6</f>
        <v>4</v>
      </c>
      <c r="AZ6" s="252" t="n">
        <f aca="false">BD6+BF6+BH6+BJ6+BL6</f>
        <v>0</v>
      </c>
      <c r="BA6" s="251" t="n">
        <f aca="false">AX6+BC6</f>
        <v>7</v>
      </c>
      <c r="BB6" s="251" t="n">
        <f aca="false">(BA6-8)</f>
        <v>-1</v>
      </c>
      <c r="BC6" s="252" t="n">
        <f aca="false">BE6+BG6+BI6+BK6+BM6</f>
        <v>0</v>
      </c>
      <c r="BD6" s="252" t="n">
        <f aca="false">COUNTIF(A6:AH6,"*$BTP*")</f>
        <v>0</v>
      </c>
      <c r="BE6" s="252" t="n">
        <f aca="false">BD6*1.5</f>
        <v>0</v>
      </c>
      <c r="BF6" s="252" t="n">
        <f aca="false">COUNTIF(A6:AH6,"*$M*")</f>
        <v>0</v>
      </c>
      <c r="BG6" s="252" t="n">
        <f aca="false">BF6*1</f>
        <v>0</v>
      </c>
      <c r="BH6" s="252" t="n">
        <f aca="false">COUNTIF(A6:AH6,"*$PM*")</f>
        <v>0</v>
      </c>
      <c r="BI6" s="252" t="n">
        <f aca="false">BH6*0.5</f>
        <v>0</v>
      </c>
      <c r="BJ6" s="252" t="n">
        <f aca="false">COUNTIF(A6:AH6,"*$AM*")</f>
        <v>0</v>
      </c>
      <c r="BK6" s="252" t="n">
        <f aca="false">BJ6*0.5</f>
        <v>0</v>
      </c>
      <c r="BL6" s="252" t="n">
        <f aca="false">COUNTIF(A6:AH6,"*$FC*")</f>
        <v>0</v>
      </c>
      <c r="BM6" s="252" t="n">
        <f aca="false">BL6*1</f>
        <v>0</v>
      </c>
      <c r="BN6" s="252" t="n">
        <f aca="false">COUNTIF($E6:$AA6,BN$4)</f>
        <v>0</v>
      </c>
      <c r="BO6" s="252" t="n">
        <f aca="false">COUNTIF($E6:$AA6,BO$4)</f>
        <v>1</v>
      </c>
      <c r="BP6" s="252" t="n">
        <f aca="false">COUNTIF($E6:$AA6,BP$4)</f>
        <v>0</v>
      </c>
      <c r="BQ6" s="252"/>
    </row>
    <row r="7" customFormat="false" ht="50.25" hidden="false" customHeight="true" outlineLevel="0" collapsed="false">
      <c r="A7" s="249"/>
      <c r="B7" s="197" t="s">
        <v>567</v>
      </c>
      <c r="C7" s="207" t="n">
        <f aca="false">COUNTIF(D7:AG7,"DM")</f>
        <v>0</v>
      </c>
      <c r="D7" s="181"/>
      <c r="E7" s="181"/>
      <c r="F7" s="91"/>
      <c r="G7" s="91"/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250" t="n">
        <f aca="false">COUNTIF($D7:$AG7,AH$4)</f>
        <v>0</v>
      </c>
      <c r="AI7" s="250" t="n">
        <f aca="false">COUNTIF($D7:$AG7,AI$4)</f>
        <v>0</v>
      </c>
      <c r="AJ7" s="250" t="n">
        <f aca="false">COUNTIF($D7:$AG7,AJ$4)</f>
        <v>0</v>
      </c>
      <c r="AK7" s="250" t="n">
        <f aca="false">COUNTIF($D7:$AG7,AK$4)</f>
        <v>0</v>
      </c>
      <c r="AL7" s="250" t="n">
        <f aca="false">COUNTIF($D7:$AG7,AL$4)</f>
        <v>0</v>
      </c>
      <c r="AM7" s="250" t="n">
        <f aca="false">COUNTIF($D7:$AG7,AM$4)</f>
        <v>0</v>
      </c>
      <c r="AN7" s="250" t="n">
        <f aca="false">COUNTIF($D7:$AG7,AN$4)</f>
        <v>0</v>
      </c>
      <c r="AO7" s="250" t="n">
        <f aca="false">COUNTIF($D7:$AG7,AO$4)</f>
        <v>0</v>
      </c>
      <c r="AP7" s="250" t="n">
        <f aca="false">COUNTIF($D7:$AG7,AP$4)</f>
        <v>0</v>
      </c>
      <c r="AQ7" s="251"/>
      <c r="AR7" s="251"/>
      <c r="AS7" s="252" t="n">
        <f aca="false">SUMPRODUCT(--(WEEKDAY(D$3:AG$3,2)&lt;5),--ISNUMBER(MATCH(D7:AG7,{"DM","CS1","CS2","SB1","AE","CS/B"},0)))</f>
        <v>0</v>
      </c>
      <c r="AT7" s="252"/>
      <c r="AU7" s="252" t="n">
        <f aca="false">SUMPRODUCT(--(WEEKDAY(D$3:AG$3,2)=5),--ISNUMBER(MATCH(D7:AG7,{"DM","CS1","CS2","SB1","AE","CS/B","WEEKEND OUTFIELD RESERVE"},0)))</f>
        <v>0</v>
      </c>
      <c r="AV7" s="252" t="n">
        <f aca="false">SUMPRODUCT(--(WEEKDAY(D$3:AG$3,2)&gt;5),--ISNUMBER(MATCH(D7:AG7,{"DM","CS1","CS2","SB1","AE","CS/B","WEEKEND OUTFIELD RESERVE"},0)))</f>
        <v>0</v>
      </c>
      <c r="AW7" s="252"/>
      <c r="AX7" s="252" t="n">
        <f aca="false">(AS7-AT7)+AU7*1.5+(AV7-AW7)*2+AM7*0.5+AO7*0.5+AQ7-AR7</f>
        <v>0</v>
      </c>
      <c r="AY7" s="252" t="n">
        <f aca="false">AS7+AU7+AV7</f>
        <v>0</v>
      </c>
      <c r="AZ7" s="252" t="n">
        <f aca="false">BD7+BF7+BH7+BJ7+BL7</f>
        <v>0</v>
      </c>
      <c r="BA7" s="251" t="n">
        <f aca="false">AX7+BC7</f>
        <v>0</v>
      </c>
      <c r="BB7" s="251" t="n">
        <f aca="false">(BA7-8)</f>
        <v>-8</v>
      </c>
      <c r="BC7" s="252" t="n">
        <f aca="false">BE7+BG7+BI7+BK7+BM7</f>
        <v>0</v>
      </c>
      <c r="BD7" s="252" t="n">
        <f aca="false">COUNTIF(A7:AH7,"*$BTP*")</f>
        <v>0</v>
      </c>
      <c r="BE7" s="252" t="n">
        <f aca="false">BD7*1.5</f>
        <v>0</v>
      </c>
      <c r="BF7" s="252" t="n">
        <f aca="false">COUNTIF(A7:AH7,"*$M*")</f>
        <v>0</v>
      </c>
      <c r="BG7" s="252" t="n">
        <f aca="false">BF7*1</f>
        <v>0</v>
      </c>
      <c r="BH7" s="252" t="n">
        <f aca="false">COUNTIF(A7:AH7,"*$PM*")</f>
        <v>0</v>
      </c>
      <c r="BI7" s="252" t="n">
        <f aca="false">BH7*0.5</f>
        <v>0</v>
      </c>
      <c r="BJ7" s="252" t="n">
        <f aca="false">COUNTIF(A7:AH7,"*$AM*")</f>
        <v>0</v>
      </c>
      <c r="BK7" s="252" t="n">
        <f aca="false">BJ7*0.5</f>
        <v>0</v>
      </c>
      <c r="BL7" s="252" t="n">
        <f aca="false">COUNTIF(A7:AH7,"*$FC*")</f>
        <v>0</v>
      </c>
      <c r="BM7" s="252" t="n">
        <f aca="false">BL7*1</f>
        <v>0</v>
      </c>
      <c r="BN7" s="252" t="n">
        <f aca="false">COUNTIF($E7:$AC7,BN$4)</f>
        <v>0</v>
      </c>
      <c r="BO7" s="252" t="n">
        <f aca="false">COUNTIF($E7:$AC7,BO$4)</f>
        <v>0</v>
      </c>
      <c r="BP7" s="252" t="n">
        <f aca="false">COUNTIF($E7:$AC7,BP$4)</f>
        <v>0</v>
      </c>
      <c r="BQ7" s="252"/>
    </row>
    <row r="8" customFormat="false" ht="49.5" hidden="false" customHeight="true" outlineLevel="0" collapsed="false">
      <c r="A8" s="249"/>
      <c r="B8" s="197" t="s">
        <v>710</v>
      </c>
      <c r="C8" s="207"/>
      <c r="D8" s="188"/>
      <c r="E8" s="197"/>
      <c r="F8" s="91" t="s">
        <v>54</v>
      </c>
      <c r="G8" s="91" t="s">
        <v>54</v>
      </c>
      <c r="H8" s="91" t="s">
        <v>54</v>
      </c>
      <c r="I8" s="91" t="s">
        <v>711</v>
      </c>
      <c r="J8" s="91" t="s">
        <v>71</v>
      </c>
      <c r="K8" s="91" t="s">
        <v>71</v>
      </c>
      <c r="L8" s="91" t="s">
        <v>71</v>
      </c>
      <c r="M8" s="91"/>
      <c r="N8" s="91"/>
      <c r="O8" s="91" t="s">
        <v>57</v>
      </c>
      <c r="P8" s="91" t="s">
        <v>380</v>
      </c>
      <c r="Q8" s="91" t="s">
        <v>380</v>
      </c>
      <c r="R8" s="91"/>
      <c r="S8" s="91" t="s">
        <v>566</v>
      </c>
      <c r="T8" s="91" t="s">
        <v>162</v>
      </c>
      <c r="U8" s="91"/>
      <c r="V8" s="91"/>
      <c r="W8" s="91" t="s">
        <v>57</v>
      </c>
      <c r="X8" s="91"/>
      <c r="Y8" s="91"/>
      <c r="Z8" s="91"/>
      <c r="AA8" s="91"/>
      <c r="AB8" s="91"/>
      <c r="AC8" s="91"/>
      <c r="AD8" s="91"/>
      <c r="AE8" s="91"/>
      <c r="AF8" s="91"/>
      <c r="AG8" s="91"/>
      <c r="AH8" s="250" t="n">
        <f aca="false">COUNTIF($D8:$AG8,AH$4)</f>
        <v>2</v>
      </c>
      <c r="AI8" s="250" t="n">
        <f aca="false">COUNTIF($D8:$AG8,AI$4)</f>
        <v>0</v>
      </c>
      <c r="AJ8" s="250" t="n">
        <f aca="false">COUNTIF($D8:$AG8,AJ$4)</f>
        <v>0</v>
      </c>
      <c r="AK8" s="250" t="n">
        <f aca="false">COUNTIF($D8:$AG8,AK$4)</f>
        <v>1</v>
      </c>
      <c r="AL8" s="250" t="n">
        <f aca="false">COUNTIF($D8:$AG8,AL$4)</f>
        <v>0</v>
      </c>
      <c r="AM8" s="250" t="n">
        <f aca="false">COUNTIF($D8:$AG8,AM$4)</f>
        <v>0</v>
      </c>
      <c r="AN8" s="250" t="n">
        <f aca="false">COUNTIF($D8:$AG8,AN$4)</f>
        <v>0</v>
      </c>
      <c r="AO8" s="250" t="n">
        <f aca="false">COUNTIF($D8:$AG8,AO$4)</f>
        <v>0</v>
      </c>
      <c r="AP8" s="250" t="n">
        <f aca="false">COUNTIF($D8:$AG8,AP$4)</f>
        <v>0</v>
      </c>
      <c r="AQ8" s="251"/>
      <c r="AR8" s="251" t="n">
        <v>1</v>
      </c>
      <c r="AS8" s="252" t="n">
        <f aca="false">SUMPRODUCT(--(WEEKDAY(D$3:AG$3,2)&lt;5),--ISNUMBER(MATCH(D8:AG8,{"DM","CS1","CS2","SB1","AE","CS/B"},0)))</f>
        <v>2</v>
      </c>
      <c r="AT8" s="252"/>
      <c r="AU8" s="252" t="n">
        <f aca="false">SUMPRODUCT(--(WEEKDAY(D$3:AG$3,2)=5),--ISNUMBER(MATCH(D8:AG8,{"DM","CS1","CS2","SB1","AE","CS/B","WEEKEND OUTFIELD RESERVE"},0)))</f>
        <v>0</v>
      </c>
      <c r="AV8" s="252" t="n">
        <f aca="false">SUMPRODUCT(--(WEEKDAY(D$3:AG$3,2)&gt;5),--ISNUMBER(MATCH(D8:AG8,{"DM","CS1","CS2","SB1","AE","CS/B","WEEKEND OUTFIELD RESERVE"},0)))</f>
        <v>1</v>
      </c>
      <c r="AW8" s="252"/>
      <c r="AX8" s="252" t="n">
        <f aca="false">(AS8-AT8)+AU8*1.5+(AV8-AW8)*2+AM8*0.5+AO8*0.5+AQ8-AR8</f>
        <v>3</v>
      </c>
      <c r="AY8" s="252" t="n">
        <f aca="false">AS8+AU8+AV8</f>
        <v>3</v>
      </c>
      <c r="AZ8" s="252" t="n">
        <f aca="false">BD8+BF8+BH8+BJ8+BL8</f>
        <v>0</v>
      </c>
      <c r="BA8" s="251" t="n">
        <f aca="false">AX8+BC8</f>
        <v>3</v>
      </c>
      <c r="BB8" s="251" t="n">
        <f aca="false">(BA8-8)</f>
        <v>-5</v>
      </c>
      <c r="BC8" s="252" t="n">
        <f aca="false">BE8+BG8+BI8+BK8+BM8</f>
        <v>0</v>
      </c>
      <c r="BD8" s="252" t="n">
        <f aca="false">COUNTIF(A8:AH8,"*$BTP*")</f>
        <v>0</v>
      </c>
      <c r="BE8" s="252" t="n">
        <f aca="false">BD8*1.5</f>
        <v>0</v>
      </c>
      <c r="BF8" s="252" t="n">
        <f aca="false">COUNTIF(A8:AH8,"*$M*")</f>
        <v>0</v>
      </c>
      <c r="BG8" s="252" t="n">
        <f aca="false">BF8*1</f>
        <v>0</v>
      </c>
      <c r="BH8" s="252" t="n">
        <f aca="false">COUNTIF(A8:AH8,"*$PM*")</f>
        <v>0</v>
      </c>
      <c r="BI8" s="252" t="n">
        <f aca="false">BH8*0.5</f>
        <v>0</v>
      </c>
      <c r="BJ8" s="252" t="n">
        <f aca="false">COUNTIF(A8:AH8,"*$AM*")</f>
        <v>0</v>
      </c>
      <c r="BK8" s="252" t="n">
        <f aca="false">BJ8*0.5</f>
        <v>0</v>
      </c>
      <c r="BL8" s="252" t="n">
        <f aca="false">COUNTIF(A8:AH8,"*$FC*")</f>
        <v>0</v>
      </c>
      <c r="BM8" s="252" t="n">
        <f aca="false">BL8*1</f>
        <v>0</v>
      </c>
      <c r="BN8" s="252" t="n">
        <f aca="false">COUNTIF($E8:$AB8,BN$4)</f>
        <v>0</v>
      </c>
      <c r="BO8" s="252" t="n">
        <f aca="false">COUNTIF($E8:$AB8,BO$4)</f>
        <v>0</v>
      </c>
      <c r="BP8" s="252" t="n">
        <f aca="false">COUNTIF($E8:$AB8,BP$4)</f>
        <v>0</v>
      </c>
      <c r="BQ8" s="252"/>
    </row>
    <row r="9" customFormat="false" ht="42.75" hidden="false" customHeight="true" outlineLevel="0" collapsed="false">
      <c r="A9" s="249"/>
      <c r="B9" s="195" t="s">
        <v>526</v>
      </c>
      <c r="C9" s="207"/>
      <c r="D9" s="181"/>
      <c r="E9" s="91"/>
      <c r="F9" s="91"/>
      <c r="G9" s="91"/>
      <c r="H9" s="91"/>
      <c r="I9" s="91"/>
      <c r="J9" s="91"/>
      <c r="K9" s="91" t="s">
        <v>350</v>
      </c>
      <c r="L9" s="91"/>
      <c r="M9" s="91" t="s">
        <v>57</v>
      </c>
      <c r="N9" s="91"/>
      <c r="O9" s="91"/>
      <c r="P9" s="91"/>
      <c r="Q9" s="91"/>
      <c r="R9" s="91"/>
      <c r="S9" s="91"/>
      <c r="T9" s="91" t="s">
        <v>162</v>
      </c>
      <c r="U9" s="91"/>
      <c r="V9" s="91" t="s">
        <v>56</v>
      </c>
      <c r="W9" s="91"/>
      <c r="X9" s="91" t="s">
        <v>57</v>
      </c>
      <c r="Y9" s="91"/>
      <c r="Z9" s="91"/>
      <c r="AA9" s="92"/>
      <c r="AB9" s="91"/>
      <c r="AC9" s="91"/>
      <c r="AD9" s="91"/>
      <c r="AE9" s="91" t="s">
        <v>57</v>
      </c>
      <c r="AF9" s="91"/>
      <c r="AG9" s="91"/>
      <c r="AH9" s="250" t="n">
        <f aca="false">COUNTIF($D9:$AG9,AH$4)</f>
        <v>3</v>
      </c>
      <c r="AI9" s="250" t="n">
        <f aca="false">COUNTIF($D9:$AG9,AI$4)</f>
        <v>1</v>
      </c>
      <c r="AJ9" s="250" t="n">
        <f aca="false">COUNTIF($D9:$AG9,AJ$4)</f>
        <v>0</v>
      </c>
      <c r="AK9" s="250" t="n">
        <f aca="false">COUNTIF($D9:$AG9,AK$4)</f>
        <v>0</v>
      </c>
      <c r="AL9" s="250" t="n">
        <f aca="false">COUNTIF($D9:$AG9,AL$4)</f>
        <v>0</v>
      </c>
      <c r="AM9" s="250" t="n">
        <f aca="false">COUNTIF($D9:$AG9,AM$4)</f>
        <v>0</v>
      </c>
      <c r="AN9" s="250" t="n">
        <f aca="false">COUNTIF($D9:$AG9,AN$4)</f>
        <v>0</v>
      </c>
      <c r="AO9" s="250" t="n">
        <f aca="false">COUNTIF($D9:$AG9,AO$4)</f>
        <v>0</v>
      </c>
      <c r="AP9" s="250" t="n">
        <f aca="false">COUNTIF($D9:$AG9,AP$4)</f>
        <v>0</v>
      </c>
      <c r="AQ9" s="251"/>
      <c r="AR9" s="251"/>
      <c r="AS9" s="252" t="n">
        <f aca="false">SUMPRODUCT(--(WEEKDAY(D$3:AG$3,2)&lt;5),--ISNUMBER(MATCH(D9:AG9,{"DM","CS1","CS2","SB1","AE","CS/B"},0)))</f>
        <v>2</v>
      </c>
      <c r="AT9" s="252"/>
      <c r="AU9" s="252" t="n">
        <f aca="false">SUMPRODUCT(--(WEEKDAY(D$3:AG$3,2)=5),--ISNUMBER(MATCH(D9:AG9,{"DM","CS1","CS2","SB1","AE","CS/B","WEEKEND OUTFIELD RESERVE"},0)))</f>
        <v>1</v>
      </c>
      <c r="AV9" s="252" t="n">
        <f aca="false">SUMPRODUCT(--(WEEKDAY(D$3:AG$3,2)&gt;5),--ISNUMBER(MATCH(D9:AG9,{"DM","CS1","CS2","SB1","AE","CS/B","WEEKEND OUTFIELD RESERVE"},0)))</f>
        <v>1</v>
      </c>
      <c r="AW9" s="252"/>
      <c r="AX9" s="252" t="n">
        <f aca="false">(AS9-AT9)+AU9*1.5+(AV9-AW9)*2+AM9*0.5+AO9*0.5+AQ9-AR9</f>
        <v>5.5</v>
      </c>
      <c r="AY9" s="252" t="n">
        <f aca="false">AS9+AU9+AV9</f>
        <v>4</v>
      </c>
      <c r="AZ9" s="252" t="n">
        <f aca="false">BD9+BF9+BH9+BJ9+BL9</f>
        <v>0</v>
      </c>
      <c r="BA9" s="251" t="n">
        <f aca="false">AX9+BC9</f>
        <v>5.5</v>
      </c>
      <c r="BB9" s="251" t="n">
        <f aca="false">(BA9-8)</f>
        <v>-2.5</v>
      </c>
      <c r="BC9" s="252" t="n">
        <f aca="false">BE9+BG9+BI9+BK9+BM9</f>
        <v>0</v>
      </c>
      <c r="BD9" s="252" t="n">
        <f aca="false">COUNTIF(A9:AH9,"*$BTP*")</f>
        <v>0</v>
      </c>
      <c r="BE9" s="252" t="n">
        <f aca="false">BD9*1.5</f>
        <v>0</v>
      </c>
      <c r="BF9" s="252" t="n">
        <f aca="false">COUNTIF(A9:AH9,"*$M*")</f>
        <v>0</v>
      </c>
      <c r="BG9" s="252" t="n">
        <f aca="false">BF9*1</f>
        <v>0</v>
      </c>
      <c r="BH9" s="252" t="n">
        <f aca="false">COUNTIF(A9:AH9,"*$PM*")</f>
        <v>0</v>
      </c>
      <c r="BI9" s="252" t="n">
        <f aca="false">BH9*0.5</f>
        <v>0</v>
      </c>
      <c r="BJ9" s="252" t="n">
        <f aca="false">COUNTIF(A9:AH9,"*$AM*")</f>
        <v>0</v>
      </c>
      <c r="BK9" s="252" t="n">
        <f aca="false">BJ9*0.5</f>
        <v>0</v>
      </c>
      <c r="BL9" s="252" t="n">
        <f aca="false">COUNTIF(A9:AH9,"*$FC*")</f>
        <v>0</v>
      </c>
      <c r="BM9" s="252" t="n">
        <f aca="false">BL9*1</f>
        <v>0</v>
      </c>
      <c r="BN9" s="252" t="n">
        <f aca="false">COUNTIF($E9:$AB9,BN$4)</f>
        <v>0</v>
      </c>
      <c r="BO9" s="252" t="n">
        <f aca="false">COUNTIF($E9:$AB9,BO$4)</f>
        <v>1</v>
      </c>
      <c r="BP9" s="252" t="n">
        <f aca="false">COUNTIF($E9:$AB9,BP$4)</f>
        <v>0</v>
      </c>
      <c r="BQ9" s="252"/>
    </row>
    <row r="10" customFormat="false" ht="19.5" hidden="false" customHeight="true" outlineLevel="0" collapsed="false">
      <c r="A10" s="249"/>
      <c r="B10" s="195" t="s">
        <v>574</v>
      </c>
      <c r="C10" s="207"/>
      <c r="D10" s="188" t="s">
        <v>350</v>
      </c>
      <c r="E10" s="91"/>
      <c r="F10" s="91" t="s">
        <v>59</v>
      </c>
      <c r="G10" s="91"/>
      <c r="H10" s="91"/>
      <c r="I10" s="91"/>
      <c r="J10" s="91"/>
      <c r="K10" s="91"/>
      <c r="L10" s="91" t="s">
        <v>566</v>
      </c>
      <c r="M10" s="91"/>
      <c r="N10" s="91"/>
      <c r="O10" s="91" t="s">
        <v>350</v>
      </c>
      <c r="P10" s="91"/>
      <c r="Q10" s="91" t="s">
        <v>712</v>
      </c>
      <c r="R10" s="91" t="s">
        <v>56</v>
      </c>
      <c r="S10" s="91"/>
      <c r="T10" s="91" t="s">
        <v>57</v>
      </c>
      <c r="U10" s="91"/>
      <c r="V10" s="91"/>
      <c r="W10" s="91" t="s">
        <v>56</v>
      </c>
      <c r="X10" s="91"/>
      <c r="Y10" s="91" t="s">
        <v>93</v>
      </c>
      <c r="Z10" s="91"/>
      <c r="AA10" s="91" t="s">
        <v>713</v>
      </c>
      <c r="AB10" s="91" t="s">
        <v>57</v>
      </c>
      <c r="AC10" s="91"/>
      <c r="AD10" s="91" t="s">
        <v>576</v>
      </c>
      <c r="AE10" s="91" t="s">
        <v>576</v>
      </c>
      <c r="AF10" s="91"/>
      <c r="AG10" s="91"/>
      <c r="AH10" s="250" t="n">
        <f aca="false">COUNTIF($D10:$AG10,AH$4)</f>
        <v>2</v>
      </c>
      <c r="AI10" s="250" t="n">
        <f aca="false">COUNTIF($D10:$AG10,AI$4)</f>
        <v>2</v>
      </c>
      <c r="AJ10" s="250" t="n">
        <f aca="false">COUNTIF($D10:$AG10,AJ$4)</f>
        <v>1</v>
      </c>
      <c r="AK10" s="250" t="n">
        <f aca="false">COUNTIF($D10:$AG10,AK$4)</f>
        <v>1</v>
      </c>
      <c r="AL10" s="250" t="n">
        <f aca="false">COUNTIF($D10:$AG10,AL$4)</f>
        <v>0</v>
      </c>
      <c r="AM10" s="250" t="n">
        <f aca="false">COUNTIF($D10:$AG10,AM$4)</f>
        <v>1</v>
      </c>
      <c r="AN10" s="250" t="n">
        <f aca="false">COUNTIF($D10:$AG10,AN$4)</f>
        <v>0</v>
      </c>
      <c r="AO10" s="250" t="n">
        <f aca="false">COUNTIF($D10:$AG10,AO$4)</f>
        <v>2</v>
      </c>
      <c r="AP10" s="250" t="n">
        <f aca="false">COUNTIF($D10:$AG10,AP$4)</f>
        <v>0</v>
      </c>
      <c r="AQ10" s="251"/>
      <c r="AR10" s="251" t="n">
        <v>2.5</v>
      </c>
      <c r="AS10" s="252" t="n">
        <f aca="false">SUMPRODUCT(--(WEEKDAY(D$3:AG$3,2)&lt;5),--ISNUMBER(MATCH(D10:AG10,{"DM","CS1","CS2","SB1","AE","CS/B"},0)))</f>
        <v>3</v>
      </c>
      <c r="AT10" s="252"/>
      <c r="AU10" s="252" t="n">
        <f aca="false">SUMPRODUCT(--(WEEKDAY(D$3:AG$3,2)=5),--ISNUMBER(MATCH(D10:AG10,{"DM","CS1","CS2","SB1","AE","CS/B","WEEKEND OUTFIELD RESERVE"},0)))</f>
        <v>3</v>
      </c>
      <c r="AV10" s="252" t="n">
        <f aca="false">SUMPRODUCT(--(WEEKDAY(D$3:AG$3,2)&gt;5),--ISNUMBER(MATCH(D10:AG10,{"DM","CS1","CS2","SB1","AE","CS/B","WEEKEND OUTFIELD RESERVE"},0)))</f>
        <v>1</v>
      </c>
      <c r="AW10" s="252"/>
      <c r="AX10" s="252" t="n">
        <f aca="false">(AS10-AT10)+AU10*1.5+(AV10-AW10)*2+AM10*0.5+AO10*0.5+AQ10-AR10</f>
        <v>8.5</v>
      </c>
      <c r="AY10" s="252" t="n">
        <f aca="false">AS10+AU10+AV10</f>
        <v>7</v>
      </c>
      <c r="AZ10" s="252" t="n">
        <f aca="false">BD10+BF10+BH10+BJ10+BL10</f>
        <v>1</v>
      </c>
      <c r="BA10" s="251" t="n">
        <f aca="false">AX10+BC10</f>
        <v>9</v>
      </c>
      <c r="BB10" s="251" t="n">
        <f aca="false">(BA10-8)</f>
        <v>1</v>
      </c>
      <c r="BC10" s="252" t="n">
        <f aca="false">BE10+BG10+BI10+BK10+BM10</f>
        <v>0.5</v>
      </c>
      <c r="BD10" s="252" t="n">
        <f aca="false">COUNTIF(A10:AH10,"*$BTP*")</f>
        <v>0</v>
      </c>
      <c r="BE10" s="252" t="n">
        <f aca="false">BD10*1.5</f>
        <v>0</v>
      </c>
      <c r="BF10" s="252" t="n">
        <f aca="false">COUNTIF(A10:AH10,"*$M*")</f>
        <v>0</v>
      </c>
      <c r="BG10" s="252" t="n">
        <f aca="false">BF10*1</f>
        <v>0</v>
      </c>
      <c r="BH10" s="252" t="n">
        <f aca="false">COUNTIF(A10:AH10,"*$PM*")</f>
        <v>0</v>
      </c>
      <c r="BI10" s="252" t="n">
        <f aca="false">BH10*0.5</f>
        <v>0</v>
      </c>
      <c r="BJ10" s="252" t="n">
        <f aca="false">COUNTIF(A10:AH10,"*$AM*")</f>
        <v>1</v>
      </c>
      <c r="BK10" s="252" t="n">
        <f aca="false">BJ10*0.5</f>
        <v>0.5</v>
      </c>
      <c r="BL10" s="252" t="n">
        <f aca="false">COUNTIF(A10:AH10,"*$FC*")</f>
        <v>0</v>
      </c>
      <c r="BM10" s="252" t="n">
        <f aca="false">BL10*1</f>
        <v>0</v>
      </c>
      <c r="BN10" s="252" t="n">
        <f aca="false">COUNTIF($E10:$AB10,BN$4)</f>
        <v>0</v>
      </c>
      <c r="BO10" s="252" t="n">
        <f aca="false">COUNTIF($E10:$AB10,BO$4)</f>
        <v>1</v>
      </c>
      <c r="BP10" s="252" t="n">
        <f aca="false">COUNTIF($E10:$AB10,BP$4)</f>
        <v>0</v>
      </c>
      <c r="BQ10" s="252"/>
    </row>
    <row r="11" customFormat="false" ht="56.25" hidden="false" customHeight="true" outlineLevel="0" collapsed="false">
      <c r="A11" s="249"/>
      <c r="B11" s="197" t="s">
        <v>714</v>
      </c>
      <c r="C11" s="207"/>
      <c r="D11" s="195"/>
      <c r="E11" s="253" t="s">
        <v>180</v>
      </c>
      <c r="F11" s="91"/>
      <c r="G11" s="91"/>
      <c r="H11" s="91"/>
      <c r="I11" s="91"/>
      <c r="J11" s="91" t="s">
        <v>93</v>
      </c>
      <c r="K11" s="91" t="s">
        <v>59</v>
      </c>
      <c r="L11" s="91"/>
      <c r="M11" s="91"/>
      <c r="N11" s="91"/>
      <c r="O11" s="91"/>
      <c r="P11" s="91"/>
      <c r="Q11" s="91"/>
      <c r="R11" s="91"/>
      <c r="S11" s="91" t="s">
        <v>93</v>
      </c>
      <c r="T11" s="91"/>
      <c r="U11" s="91"/>
      <c r="V11" s="91"/>
      <c r="W11" s="91"/>
      <c r="X11" s="91" t="s">
        <v>56</v>
      </c>
      <c r="Y11" s="91"/>
      <c r="Z11" s="91"/>
      <c r="AA11" s="91" t="s">
        <v>350</v>
      </c>
      <c r="AB11" s="91"/>
      <c r="AC11" s="91" t="s">
        <v>56</v>
      </c>
      <c r="AD11" s="91"/>
      <c r="AE11" s="91" t="s">
        <v>56</v>
      </c>
      <c r="AF11" s="91"/>
      <c r="AG11" s="91"/>
      <c r="AH11" s="250" t="n">
        <f aca="false">COUNTIF($D11:$AG11,AH$4)</f>
        <v>0</v>
      </c>
      <c r="AI11" s="250" t="n">
        <f aca="false">COUNTIF($D11:$AG11,AI$4)</f>
        <v>3</v>
      </c>
      <c r="AJ11" s="250" t="n">
        <f aca="false">COUNTIF($D11:$AG11,AJ$4)</f>
        <v>1</v>
      </c>
      <c r="AK11" s="250" t="n">
        <f aca="false">COUNTIF($D11:$AG11,AK$4)</f>
        <v>0</v>
      </c>
      <c r="AL11" s="250" t="n">
        <f aca="false">COUNTIF($D11:$AG11,AL$4)</f>
        <v>0</v>
      </c>
      <c r="AM11" s="250" t="n">
        <f aca="false">COUNTIF($D11:$AG11,AM$4)</f>
        <v>2</v>
      </c>
      <c r="AN11" s="250" t="n">
        <f aca="false">COUNTIF($D11:$AG11,AN$4)</f>
        <v>0</v>
      </c>
      <c r="AO11" s="250" t="n">
        <f aca="false">COUNTIF($D11:$AG11,AO$4)</f>
        <v>0</v>
      </c>
      <c r="AP11" s="250" t="n">
        <f aca="false">COUNTIF($D11:$AG11,AP$4)</f>
        <v>0</v>
      </c>
      <c r="AQ11" s="251" t="n">
        <v>1</v>
      </c>
      <c r="AR11" s="251"/>
      <c r="AS11" s="252" t="n">
        <f aca="false">SUMPRODUCT(--(WEEKDAY(D$3:AG$3,2)&lt;5),--ISNUMBER(MATCH(D11:AG11,{"DM","CS1","CS2","SB1","AE","CS/B"},0)))</f>
        <v>3</v>
      </c>
      <c r="AT11" s="252"/>
      <c r="AU11" s="252" t="n">
        <f aca="false">SUMPRODUCT(--(WEEKDAY(D$3:AG$3,2)=5),--ISNUMBER(MATCH(D11:AG11,{"DM","CS1","CS2","SB1","AE","CS/B","WEEKEND OUTFIELD RESERVE"},0)))</f>
        <v>0</v>
      </c>
      <c r="AV11" s="252" t="n">
        <f aca="false">SUMPRODUCT(--(WEEKDAY(D$3:AG$3,2)&gt;5),--ISNUMBER(MATCH(D11:AG11,{"DM","CS1","CS2","SB1","AE","CS/B","WEEKEND OUTFIELD RESERVE"},0)))</f>
        <v>1</v>
      </c>
      <c r="AW11" s="252"/>
      <c r="AX11" s="252" t="n">
        <f aca="false">(AS11-AT11)+AU11*1.5+(AV11-AW11)*2+AM11*0.5+AO11*0.5+AQ11-AR11</f>
        <v>7</v>
      </c>
      <c r="AY11" s="252" t="n">
        <f aca="false">AS11+AU11+AV11</f>
        <v>4</v>
      </c>
      <c r="AZ11" s="252" t="n">
        <f aca="false">BD11+BF11+BH11+BJ11+BL11</f>
        <v>1</v>
      </c>
      <c r="BA11" s="251" t="n">
        <f aca="false">AX11+BC11</f>
        <v>7.5</v>
      </c>
      <c r="BB11" s="251" t="n">
        <f aca="false">(BA11-8)</f>
        <v>-0.5</v>
      </c>
      <c r="BC11" s="252" t="n">
        <f aca="false">BE11+BG11+BI11+BK11+BM11</f>
        <v>0.5</v>
      </c>
      <c r="BD11" s="252" t="n">
        <f aca="false">COUNTIF(A11:AH11,"*$BTP*")</f>
        <v>0</v>
      </c>
      <c r="BE11" s="252" t="n">
        <f aca="false">BD11*1.5</f>
        <v>0</v>
      </c>
      <c r="BF11" s="252" t="n">
        <f aca="false">COUNTIF(A11:AH11,"*$M*")</f>
        <v>0</v>
      </c>
      <c r="BG11" s="252" t="n">
        <f aca="false">BF11*1</f>
        <v>0</v>
      </c>
      <c r="BH11" s="252" t="n">
        <f aca="false">COUNTIF(A11:AH11,"*$PM*")</f>
        <v>0</v>
      </c>
      <c r="BI11" s="252" t="n">
        <f aca="false">BH11*0.5</f>
        <v>0</v>
      </c>
      <c r="BJ11" s="252" t="n">
        <f aca="false">COUNTIF(A11:AH11,"*$AM*")</f>
        <v>1</v>
      </c>
      <c r="BK11" s="252" t="n">
        <f aca="false">BJ11*0.5</f>
        <v>0.5</v>
      </c>
      <c r="BL11" s="252" t="n">
        <f aca="false">COUNTIF(A11:AH11,"*$FC*")</f>
        <v>0</v>
      </c>
      <c r="BM11" s="252" t="n">
        <f aca="false">BL11*1</f>
        <v>0</v>
      </c>
      <c r="BN11" s="252" t="n">
        <f aca="false">COUNTIF($E11:$AB11,BN$4)</f>
        <v>0</v>
      </c>
      <c r="BO11" s="252" t="n">
        <f aca="false">COUNTIF($E11:$AB11,BO$4)</f>
        <v>1</v>
      </c>
      <c r="BP11" s="252" t="n">
        <f aca="false">COUNTIF($E11:$AB11,BP$4)</f>
        <v>0</v>
      </c>
      <c r="BQ11" s="252"/>
    </row>
    <row r="12" customFormat="false" ht="19.5" hidden="false" customHeight="true" outlineLevel="0" collapsed="false">
      <c r="A12" s="249"/>
      <c r="B12" s="197" t="s">
        <v>715</v>
      </c>
      <c r="C12" s="254" t="n">
        <f aca="false">COUNTIF(D12:AG12,"DM")</f>
        <v>3</v>
      </c>
      <c r="D12" s="181" t="s">
        <v>675</v>
      </c>
      <c r="E12" s="181" t="s">
        <v>675</v>
      </c>
      <c r="F12" s="91"/>
      <c r="G12" s="91"/>
      <c r="H12" s="91"/>
      <c r="I12" s="91"/>
      <c r="J12" s="181" t="s">
        <v>716</v>
      </c>
      <c r="K12" s="91"/>
      <c r="L12" s="91"/>
      <c r="M12" s="91"/>
      <c r="N12" s="91"/>
      <c r="O12" s="91"/>
      <c r="P12" s="91" t="s">
        <v>350</v>
      </c>
      <c r="Q12" s="91" t="s">
        <v>57</v>
      </c>
      <c r="R12" s="91"/>
      <c r="S12" s="91" t="s">
        <v>57</v>
      </c>
      <c r="T12" s="91"/>
      <c r="U12" s="91"/>
      <c r="V12" s="91"/>
      <c r="W12" s="91" t="s">
        <v>93</v>
      </c>
      <c r="X12" s="91" t="s">
        <v>57</v>
      </c>
      <c r="Y12" s="91"/>
      <c r="Z12" s="91"/>
      <c r="AA12" s="91" t="s">
        <v>59</v>
      </c>
      <c r="AB12" s="91"/>
      <c r="AC12" s="91"/>
      <c r="AD12" s="92"/>
      <c r="AE12" s="91"/>
      <c r="AF12" s="91"/>
      <c r="AG12" s="91"/>
      <c r="AH12" s="250" t="n">
        <f aca="false">COUNTIF($D12:$AG12,AH$4)</f>
        <v>3</v>
      </c>
      <c r="AI12" s="250" t="n">
        <f aca="false">COUNTIF($D12:$AG12,AI$4)</f>
        <v>0</v>
      </c>
      <c r="AJ12" s="250" t="n">
        <f aca="false">COUNTIF($D12:$AG12,AJ$4)</f>
        <v>1</v>
      </c>
      <c r="AK12" s="250" t="n">
        <f aca="false">COUNTIF($D12:$AG12,AK$4)</f>
        <v>0</v>
      </c>
      <c r="AL12" s="250" t="n">
        <f aca="false">COUNTIF($D12:$AG12,AL$4)</f>
        <v>0</v>
      </c>
      <c r="AM12" s="250" t="n">
        <f aca="false">COUNTIF($D12:$AG12,AM$4)</f>
        <v>1</v>
      </c>
      <c r="AN12" s="250" t="n">
        <f aca="false">COUNTIF($D12:$AG12,AN$4)</f>
        <v>0</v>
      </c>
      <c r="AO12" s="250" t="n">
        <f aca="false">COUNTIF($D12:$AG12,AO$4)</f>
        <v>0</v>
      </c>
      <c r="AP12" s="250" t="n">
        <f aca="false">COUNTIF($D12:$AG12,AP$4)</f>
        <v>0</v>
      </c>
      <c r="AQ12" s="251" t="n">
        <v>1.5</v>
      </c>
      <c r="AR12" s="251"/>
      <c r="AS12" s="252" t="n">
        <f aca="false">SUMPRODUCT(--(WEEKDAY(D$3:AG$3,2)&lt;5),--ISNUMBER(MATCH(D12:AG12,{"DM","CS1","CS2","SB1","AE","CS/B"},0)))</f>
        <v>3</v>
      </c>
      <c r="AT12" s="252"/>
      <c r="AU12" s="252" t="n">
        <f aca="false">SUMPRODUCT(--(WEEKDAY(D$3:AG$3,2)=5),--ISNUMBER(MATCH(D12:AG12,{"DM","CS1","CS2","SB1","AE","CS/B","WEEKEND OUTFIELD RESERVE"},0)))</f>
        <v>1</v>
      </c>
      <c r="AV12" s="252" t="n">
        <f aca="false">SUMPRODUCT(--(WEEKDAY(D$3:AG$3,2)&gt;5),--ISNUMBER(MATCH(D12:AG12,{"DM","CS1","CS2","SB1","AE","CS/B","WEEKEND OUTFIELD RESERVE"},0)))</f>
        <v>0</v>
      </c>
      <c r="AW12" s="252"/>
      <c r="AX12" s="252" t="n">
        <f aca="false">(AS12-AT12)+AU12*1.5+(AV12-AW12)*2+AM12*0.5+AO12*0.5+AQ12-AR12</f>
        <v>6.5</v>
      </c>
      <c r="AY12" s="252" t="n">
        <f aca="false">AS12+AU12+AV12</f>
        <v>4</v>
      </c>
      <c r="AZ12" s="252" t="n">
        <f aca="false">BD12+BF12+BH12+BJ12+BL12</f>
        <v>1</v>
      </c>
      <c r="BA12" s="251" t="n">
        <f aca="false">AX12+BC12</f>
        <v>7</v>
      </c>
      <c r="BB12" s="251" t="n">
        <f aca="false">(BA12-8)</f>
        <v>-1</v>
      </c>
      <c r="BC12" s="252" t="n">
        <f aca="false">BE12+BG12+BI12+BK12+BM12</f>
        <v>0.5</v>
      </c>
      <c r="BD12" s="252" t="n">
        <f aca="false">COUNTIF(A12:AH12,"*$BTP*")</f>
        <v>0</v>
      </c>
      <c r="BE12" s="252" t="n">
        <f aca="false">BD12*1.5</f>
        <v>0</v>
      </c>
      <c r="BF12" s="252" t="n">
        <f aca="false">COUNTIF(A12:AH12,"*$M*")</f>
        <v>0</v>
      </c>
      <c r="BG12" s="252" t="n">
        <f aca="false">BF12*1</f>
        <v>0</v>
      </c>
      <c r="BH12" s="252" t="n">
        <f aca="false">COUNTIF(A12:AH12,"*$PM*")</f>
        <v>0</v>
      </c>
      <c r="BI12" s="252" t="n">
        <f aca="false">BH12*0.5</f>
        <v>0</v>
      </c>
      <c r="BJ12" s="252" t="n">
        <f aca="false">COUNTIF(A12:AH12,"*$AM*")</f>
        <v>1</v>
      </c>
      <c r="BK12" s="252" t="n">
        <f aca="false">BJ12*0.5</f>
        <v>0.5</v>
      </c>
      <c r="BL12" s="252" t="n">
        <f aca="false">COUNTIF(A12:AH12,"*$FC*")</f>
        <v>0</v>
      </c>
      <c r="BM12" s="252" t="n">
        <f aca="false">BL12*1</f>
        <v>0</v>
      </c>
      <c r="BN12" s="252" t="n">
        <f aca="false">COUNTIF($E12:$AB12,BN$4)</f>
        <v>0</v>
      </c>
      <c r="BO12" s="252" t="n">
        <f aca="false">COUNTIF($E12:$AB12,BO$4)</f>
        <v>1</v>
      </c>
      <c r="BP12" s="252" t="n">
        <f aca="false">COUNTIF($E12:$AB12,BP$4)</f>
        <v>0</v>
      </c>
      <c r="BQ12" s="252"/>
    </row>
    <row r="13" customFormat="false" ht="69" hidden="false" customHeight="true" outlineLevel="0" collapsed="false">
      <c r="A13" s="249"/>
      <c r="B13" s="195" t="s">
        <v>584</v>
      </c>
      <c r="C13" s="254" t="n">
        <f aca="false">COUNTIF(D13:AG13,"DM")</f>
        <v>3</v>
      </c>
      <c r="D13" s="181"/>
      <c r="E13" s="181" t="s">
        <v>56</v>
      </c>
      <c r="F13" s="91"/>
      <c r="G13" s="91"/>
      <c r="H13" s="91"/>
      <c r="I13" s="91"/>
      <c r="J13" s="91"/>
      <c r="K13" s="91"/>
      <c r="L13" s="91" t="s">
        <v>56</v>
      </c>
      <c r="M13" s="91"/>
      <c r="N13" s="91"/>
      <c r="O13" s="91"/>
      <c r="P13" s="91"/>
      <c r="Q13" s="91"/>
      <c r="R13" s="91"/>
      <c r="S13" s="91"/>
      <c r="T13" s="91" t="s">
        <v>57</v>
      </c>
      <c r="U13" s="91"/>
      <c r="V13" s="91"/>
      <c r="W13" s="91" t="s">
        <v>57</v>
      </c>
      <c r="X13" s="91"/>
      <c r="Y13" s="91"/>
      <c r="Z13" s="91"/>
      <c r="AA13" s="91" t="s">
        <v>58</v>
      </c>
      <c r="AB13" s="91"/>
      <c r="AC13" s="91" t="s">
        <v>566</v>
      </c>
      <c r="AD13" s="91"/>
      <c r="AE13" s="91"/>
      <c r="AF13" s="91" t="s">
        <v>350</v>
      </c>
      <c r="AG13" s="91" t="s">
        <v>57</v>
      </c>
      <c r="AH13" s="250" t="n">
        <f aca="false">COUNTIF($D13:$AG13,AH$4)</f>
        <v>3</v>
      </c>
      <c r="AI13" s="250" t="n">
        <f aca="false">COUNTIF($D13:$AG13,AI$4)</f>
        <v>2</v>
      </c>
      <c r="AJ13" s="250" t="n">
        <f aca="false">COUNTIF($D13:$AG13,AJ$4)</f>
        <v>0</v>
      </c>
      <c r="AK13" s="250" t="n">
        <f aca="false">COUNTIF($D13:$AG13,AK$4)</f>
        <v>1</v>
      </c>
      <c r="AL13" s="250" t="n">
        <f aca="false">COUNTIF($D13:$AG13,AL$4)</f>
        <v>1</v>
      </c>
      <c r="AM13" s="250" t="n">
        <f aca="false">COUNTIF($D13:$AG13,AM$4)</f>
        <v>0</v>
      </c>
      <c r="AN13" s="250" t="n">
        <f aca="false">COUNTIF($D13:$AG13,AN$4)</f>
        <v>0</v>
      </c>
      <c r="AO13" s="250" t="n">
        <f aca="false">COUNTIF($D13:$AG13,AO$4)</f>
        <v>0</v>
      </c>
      <c r="AP13" s="250" t="n">
        <f aca="false">COUNTIF($D13:$AG13,AP$4)</f>
        <v>0</v>
      </c>
      <c r="AQ13" s="251"/>
      <c r="AR13" s="251"/>
      <c r="AS13" s="252" t="n">
        <f aca="false">SUMPRODUCT(--(WEEKDAY(D$3:AG$3,2)&lt;5),--ISNUMBER(MATCH(D13:AG13,{"DM","CS1","CS2","SB1","AE","CS/B"},0)))</f>
        <v>4</v>
      </c>
      <c r="AT13" s="252"/>
      <c r="AU13" s="252" t="n">
        <f aca="false">SUMPRODUCT(--(WEEKDAY(D$3:AG$3,2)=5),--ISNUMBER(MATCH(D13:AG13,{"DM","CS1","CS2","SB1","AE","CS/B","WEEKEND OUTFIELD RESERVE"},0)))</f>
        <v>2</v>
      </c>
      <c r="AV13" s="252" t="n">
        <f aca="false">SUMPRODUCT(--(WEEKDAY(D$3:AG$3,2)&gt;5),--ISNUMBER(MATCH(D13:AG13,{"DM","CS1","CS2","SB1","AE","CS/B","WEEKEND OUTFIELD RESERVE"},0)))</f>
        <v>1</v>
      </c>
      <c r="AW13" s="252"/>
      <c r="AX13" s="252" t="n">
        <f aca="false">(AS13-AT13)+AU13*1.5+(AV13-AW13)*2+AM13*0.5+AO13*0.5+AQ13-AR13</f>
        <v>9</v>
      </c>
      <c r="AY13" s="252" t="n">
        <f aca="false">AS13+AU13+AV13</f>
        <v>7</v>
      </c>
      <c r="AZ13" s="252" t="n">
        <f aca="false">BD13+BF13+BH13+BJ13+BL13</f>
        <v>0</v>
      </c>
      <c r="BA13" s="251" t="n">
        <f aca="false">AX13+BC13</f>
        <v>9</v>
      </c>
      <c r="BB13" s="251" t="n">
        <f aca="false">(BA13-8)</f>
        <v>1</v>
      </c>
      <c r="BC13" s="252" t="n">
        <f aca="false">BE13+BG13+BI13+BK13+BM13</f>
        <v>0</v>
      </c>
      <c r="BD13" s="252" t="n">
        <f aca="false">COUNTIF(A13:AH13,"*$BTP*")</f>
        <v>0</v>
      </c>
      <c r="BE13" s="252" t="n">
        <f aca="false">BD13*1.5</f>
        <v>0</v>
      </c>
      <c r="BF13" s="252" t="n">
        <f aca="false">COUNTIF(A13:AH13,"*$M*")</f>
        <v>0</v>
      </c>
      <c r="BG13" s="252" t="n">
        <f aca="false">BF13*1</f>
        <v>0</v>
      </c>
      <c r="BH13" s="252" t="n">
        <f aca="false">COUNTIF(A13:AH13,"*$PM*")</f>
        <v>0</v>
      </c>
      <c r="BI13" s="252" t="n">
        <f aca="false">BH13*0.5</f>
        <v>0</v>
      </c>
      <c r="BJ13" s="252" t="n">
        <f aca="false">COUNTIF(A13:AH13,"*$AM*")</f>
        <v>0</v>
      </c>
      <c r="BK13" s="252" t="n">
        <f aca="false">BJ13*0.5</f>
        <v>0</v>
      </c>
      <c r="BL13" s="252" t="n">
        <f aca="false">COUNTIF(A13:AH13,"*$FC*")</f>
        <v>0</v>
      </c>
      <c r="BM13" s="252" t="n">
        <f aca="false">BL13*1</f>
        <v>0</v>
      </c>
      <c r="BN13" s="252" t="n">
        <f aca="false">COUNTIF($E13:$AB13,BN$4)</f>
        <v>0</v>
      </c>
      <c r="BO13" s="252" t="n">
        <f aca="false">COUNTIF($E13:$AB13,BO$4)</f>
        <v>0</v>
      </c>
      <c r="BP13" s="252" t="n">
        <f aca="false">COUNTIF($E13:$AB13,BP$4)</f>
        <v>0</v>
      </c>
      <c r="BQ13" s="252"/>
    </row>
    <row r="14" customFormat="false" ht="63" hidden="false" customHeight="true" outlineLevel="0" collapsed="false">
      <c r="A14" s="249"/>
      <c r="B14" s="195" t="s">
        <v>717</v>
      </c>
      <c r="C14" s="207"/>
      <c r="D14" s="91" t="s">
        <v>65</v>
      </c>
      <c r="E14" s="188"/>
      <c r="F14" s="91" t="s">
        <v>56</v>
      </c>
      <c r="G14" s="91"/>
      <c r="H14" s="91"/>
      <c r="I14" s="91"/>
      <c r="J14" s="91"/>
      <c r="K14" s="91"/>
      <c r="L14" s="91"/>
      <c r="M14" s="91"/>
      <c r="N14" s="91" t="s">
        <v>350</v>
      </c>
      <c r="O14" s="91"/>
      <c r="P14" s="91" t="s">
        <v>566</v>
      </c>
      <c r="Q14" s="91"/>
      <c r="R14" s="91" t="s">
        <v>350</v>
      </c>
      <c r="S14" s="91"/>
      <c r="T14" s="91"/>
      <c r="U14" s="91" t="s">
        <v>58</v>
      </c>
      <c r="V14" s="91"/>
      <c r="W14" s="91"/>
      <c r="X14" s="91"/>
      <c r="Y14" s="91"/>
      <c r="Z14" s="91"/>
      <c r="AA14" s="91"/>
      <c r="AB14" s="91"/>
      <c r="AC14" s="91" t="s">
        <v>713</v>
      </c>
      <c r="AD14" s="91"/>
      <c r="AE14" s="91"/>
      <c r="AF14" s="91"/>
      <c r="AG14" s="91"/>
      <c r="AH14" s="250" t="n">
        <f aca="false">COUNTIF($D14:$AG14,AH$4)</f>
        <v>0</v>
      </c>
      <c r="AI14" s="250" t="n">
        <f aca="false">COUNTIF($D14:$AG14,AI$4)</f>
        <v>1</v>
      </c>
      <c r="AJ14" s="250" t="n">
        <f aca="false">COUNTIF($D14:$AG14,AJ$4)</f>
        <v>0</v>
      </c>
      <c r="AK14" s="250" t="n">
        <f aca="false">COUNTIF($D14:$AG14,AK$4)</f>
        <v>1</v>
      </c>
      <c r="AL14" s="250" t="n">
        <f aca="false">COUNTIF($D14:$AG14,AL$4)</f>
        <v>1</v>
      </c>
      <c r="AM14" s="250" t="n">
        <f aca="false">COUNTIF($D14:$AG14,AM$4)</f>
        <v>0</v>
      </c>
      <c r="AN14" s="250" t="n">
        <f aca="false">COUNTIF($D14:$AG14,AN$4)</f>
        <v>1</v>
      </c>
      <c r="AO14" s="250" t="n">
        <f aca="false">COUNTIF($D14:$AG14,AO$4)</f>
        <v>0</v>
      </c>
      <c r="AP14" s="250" t="n">
        <f aca="false">COUNTIF($D14:$AG14,AP$4)</f>
        <v>0</v>
      </c>
      <c r="AQ14" s="251" t="n">
        <v>1.5</v>
      </c>
      <c r="AR14" s="251"/>
      <c r="AS14" s="252" t="n">
        <f aca="false">SUMPRODUCT(--(WEEKDAY(D$3:AG$3,2)&lt;5),--ISNUMBER(MATCH(D14:AG14,{"DM","CS1","CS2","SB1","AE","CS/B"},0)))</f>
        <v>2</v>
      </c>
      <c r="AT14" s="252"/>
      <c r="AU14" s="252" t="n">
        <f aca="false">SUMPRODUCT(--(WEEKDAY(D$3:AG$3,2)=5),--ISNUMBER(MATCH(D14:AG14,{"DM","CS1","CS2","SB1","AE","CS/B","WEEKEND OUTFIELD RESERVE"},0)))</f>
        <v>1</v>
      </c>
      <c r="AV14" s="252" t="n">
        <f aca="false">SUMPRODUCT(--(WEEKDAY(D$3:AG$3,2)&gt;5),--ISNUMBER(MATCH(D14:AG14,{"DM","CS1","CS2","SB1","AE","CS/B","WEEKEND OUTFIELD RESERVE"},0)))</f>
        <v>2</v>
      </c>
      <c r="AW14" s="252"/>
      <c r="AX14" s="252" t="n">
        <f aca="false">(AS14-AT14)+AU14*1.5+(AV14-AW14)*2+AM14*0.5+AO14*0.5+AQ14-AR14</f>
        <v>9</v>
      </c>
      <c r="AY14" s="252" t="n">
        <f aca="false">AS14+AU14+AV14</f>
        <v>5</v>
      </c>
      <c r="AZ14" s="252" t="n">
        <f aca="false">BD14+BF14+BH14+BJ14+BL14</f>
        <v>0</v>
      </c>
      <c r="BA14" s="251" t="n">
        <f aca="false">AX14+BC14</f>
        <v>9</v>
      </c>
      <c r="BB14" s="251" t="n">
        <f aca="false">(BA14-8)</f>
        <v>1</v>
      </c>
      <c r="BC14" s="252" t="n">
        <f aca="false">BE14+BG14+BI14+BK14+BM14</f>
        <v>0</v>
      </c>
      <c r="BD14" s="252" t="n">
        <f aca="false">COUNTIF(A14:AH14,"*$BTP*")</f>
        <v>0</v>
      </c>
      <c r="BE14" s="252" t="n">
        <f aca="false">BD14*1.5</f>
        <v>0</v>
      </c>
      <c r="BF14" s="252" t="n">
        <f aca="false">COUNTIF(A14:AH14,"*$M*")</f>
        <v>0</v>
      </c>
      <c r="BG14" s="252" t="n">
        <f aca="false">BF14*1</f>
        <v>0</v>
      </c>
      <c r="BH14" s="252" t="n">
        <f aca="false">COUNTIF(A14:AH14,"*$PM*")</f>
        <v>0</v>
      </c>
      <c r="BI14" s="252" t="n">
        <f aca="false">BH14*0.5</f>
        <v>0</v>
      </c>
      <c r="BJ14" s="252" t="n">
        <f aca="false">COUNTIF(A14:AH14,"*$AM*")</f>
        <v>0</v>
      </c>
      <c r="BK14" s="252" t="n">
        <f aca="false">BJ14*0.5</f>
        <v>0</v>
      </c>
      <c r="BL14" s="252" t="n">
        <f aca="false">COUNTIF(A14:AH14,"*$FC*")</f>
        <v>0</v>
      </c>
      <c r="BM14" s="252" t="n">
        <f aca="false">BL14*1</f>
        <v>0</v>
      </c>
      <c r="BN14" s="252" t="n">
        <f aca="false">COUNTIF($E14:$AB14,BN$4)</f>
        <v>0</v>
      </c>
      <c r="BO14" s="252" t="n">
        <f aca="false">COUNTIF($E14:$AB14,BO$4)</f>
        <v>2</v>
      </c>
      <c r="BP14" s="252" t="n">
        <f aca="false">COUNTIF($E14:$AB14,BP$4)</f>
        <v>0</v>
      </c>
      <c r="BQ14" s="252"/>
    </row>
    <row r="15" customFormat="false" ht="47.25" hidden="false" customHeight="true" outlineLevel="0" collapsed="false">
      <c r="A15" s="249"/>
      <c r="B15" s="197" t="s">
        <v>591</v>
      </c>
      <c r="C15" s="207"/>
      <c r="D15" s="181"/>
      <c r="E15" s="181"/>
      <c r="F15" s="91"/>
      <c r="G15" s="91"/>
      <c r="H15" s="91"/>
      <c r="I15" s="91"/>
      <c r="J15" s="91" t="s">
        <v>65</v>
      </c>
      <c r="K15" s="91"/>
      <c r="L15" s="91" t="s">
        <v>350</v>
      </c>
      <c r="M15" s="91"/>
      <c r="N15" s="91"/>
      <c r="O15" s="91" t="s">
        <v>65</v>
      </c>
      <c r="P15" s="91"/>
      <c r="Q15" s="91" t="s">
        <v>93</v>
      </c>
      <c r="R15" s="91"/>
      <c r="S15" s="91" t="s">
        <v>65</v>
      </c>
      <c r="T15" s="91"/>
      <c r="U15" s="91"/>
      <c r="V15" s="91"/>
      <c r="W15" s="91"/>
      <c r="X15" s="91" t="s">
        <v>58</v>
      </c>
      <c r="Y15" s="91"/>
      <c r="Z15" s="91"/>
      <c r="AA15" s="91"/>
      <c r="AB15" s="91" t="s">
        <v>713</v>
      </c>
      <c r="AC15" s="91"/>
      <c r="AD15" s="91" t="s">
        <v>573</v>
      </c>
      <c r="AE15" s="91"/>
      <c r="AF15" s="91"/>
      <c r="AG15" s="91" t="s">
        <v>65</v>
      </c>
      <c r="AH15" s="250" t="n">
        <f aca="false">COUNTIF($D15:$AG15,AH$4)</f>
        <v>0</v>
      </c>
      <c r="AI15" s="250" t="n">
        <f aca="false">COUNTIF($D15:$AG15,AI$4)</f>
        <v>0</v>
      </c>
      <c r="AJ15" s="250" t="n">
        <f aca="false">COUNTIF($D15:$AG15,AJ$4)</f>
        <v>0</v>
      </c>
      <c r="AK15" s="250" t="n">
        <f aca="false">COUNTIF($D15:$AG15,AK$4)</f>
        <v>0</v>
      </c>
      <c r="AL15" s="250" t="n">
        <f aca="false">COUNTIF($D15:$AG15,AL$4)</f>
        <v>1</v>
      </c>
      <c r="AM15" s="250" t="n">
        <f aca="false">COUNTIF($D15:$AG15,AM$4)</f>
        <v>1</v>
      </c>
      <c r="AN15" s="250" t="n">
        <f aca="false">COUNTIF($D15:$AG15,AN$4)</f>
        <v>4</v>
      </c>
      <c r="AO15" s="250" t="n">
        <f aca="false">COUNTIF($D15:$AG15,AO$4)</f>
        <v>0</v>
      </c>
      <c r="AP15" s="250" t="n">
        <f aca="false">COUNTIF($D15:$AG15,AP$4)</f>
        <v>0</v>
      </c>
      <c r="AQ15" s="251"/>
      <c r="AR15" s="251"/>
      <c r="AS15" s="252" t="n">
        <f aca="false">SUMPRODUCT(--(WEEKDAY(D$3:AG$3,2)&lt;5),--ISNUMBER(MATCH(D15:AG15,{"DM","CS1","CS2","SB1","AE","CS/B"},0)))</f>
        <v>4</v>
      </c>
      <c r="AT15" s="252"/>
      <c r="AU15" s="252" t="n">
        <f aca="false">SUMPRODUCT(--(WEEKDAY(D$3:AG$3,2)=5),--ISNUMBER(MATCH(D15:AG15,{"DM","CS1","CS2","SB1","AE","CS/B","WEEKEND OUTFIELD RESERVE"},0)))</f>
        <v>0</v>
      </c>
      <c r="AV15" s="252" t="n">
        <f aca="false">SUMPRODUCT(--(WEEKDAY(D$3:AG$3,2)&gt;5),--ISNUMBER(MATCH(D15:AG15,{"DM","CS1","CS2","SB1","AE","CS/B","WEEKEND OUTFIELD RESERVE"},0)))</f>
        <v>2</v>
      </c>
      <c r="AW15" s="252"/>
      <c r="AX15" s="252" t="n">
        <f aca="false">(AS15-AT15)+AU15*1.5+(AV15-AW15)*2+AM15*0.5+AO15*0.5+AQ15-AR15</f>
        <v>8.5</v>
      </c>
      <c r="AY15" s="252" t="n">
        <f aca="false">AS15+AU15+AV15</f>
        <v>6</v>
      </c>
      <c r="AZ15" s="252" t="n">
        <f aca="false">BD15+BF15+BH15+BJ15+BL15</f>
        <v>0</v>
      </c>
      <c r="BA15" s="251" t="n">
        <f aca="false">AX15+BC15</f>
        <v>8.5</v>
      </c>
      <c r="BB15" s="251" t="n">
        <f aca="false">(BA15-8)</f>
        <v>0.5</v>
      </c>
      <c r="BC15" s="252" t="n">
        <f aca="false">BE15+BG15+BI15+BK15+BM15</f>
        <v>0</v>
      </c>
      <c r="BD15" s="252" t="n">
        <f aca="false">COUNTIF(A15:AH15,"*$BTP*")</f>
        <v>0</v>
      </c>
      <c r="BE15" s="252" t="n">
        <f aca="false">BD15*1.5</f>
        <v>0</v>
      </c>
      <c r="BF15" s="252" t="n">
        <f aca="false">COUNTIF(A15:AH15,"*$M*")</f>
        <v>0</v>
      </c>
      <c r="BG15" s="252" t="n">
        <f aca="false">BF15*1</f>
        <v>0</v>
      </c>
      <c r="BH15" s="252" t="n">
        <f aca="false">COUNTIF(A15:AH15,"*$PM*")</f>
        <v>0</v>
      </c>
      <c r="BI15" s="252" t="n">
        <f aca="false">BH15*0.5</f>
        <v>0</v>
      </c>
      <c r="BJ15" s="252" t="n">
        <f aca="false">COUNTIF(A15:AH15,"*$AM*")</f>
        <v>0</v>
      </c>
      <c r="BK15" s="252" t="n">
        <f aca="false">BJ15*0.5</f>
        <v>0</v>
      </c>
      <c r="BL15" s="252" t="n">
        <f aca="false">COUNTIF(A15:AH15,"*$FC*")</f>
        <v>0</v>
      </c>
      <c r="BM15" s="252" t="n">
        <f aca="false">BL15*1</f>
        <v>0</v>
      </c>
      <c r="BN15" s="252" t="n">
        <f aca="false">COUNTIF($E15:$AB15,BN$4)</f>
        <v>0</v>
      </c>
      <c r="BO15" s="252" t="n">
        <f aca="false">COUNTIF($E15:$AB15,BO$4)</f>
        <v>1</v>
      </c>
      <c r="BP15" s="252" t="n">
        <f aca="false">COUNTIF($E15:$AB15,BP$4)</f>
        <v>0</v>
      </c>
      <c r="BQ15" s="252"/>
    </row>
    <row r="16" customFormat="false" ht="47.25" hidden="false" customHeight="true" outlineLevel="0" collapsed="false">
      <c r="A16" s="249"/>
      <c r="B16" s="207" t="s">
        <v>718</v>
      </c>
      <c r="C16" s="207"/>
      <c r="D16" s="188"/>
      <c r="E16" s="188"/>
      <c r="F16" s="91"/>
      <c r="G16" s="91"/>
      <c r="H16" s="91"/>
      <c r="I16" s="91" t="s">
        <v>65</v>
      </c>
      <c r="J16" s="91"/>
      <c r="K16" s="91"/>
      <c r="L16" s="91"/>
      <c r="M16" s="91"/>
      <c r="N16" s="91"/>
      <c r="O16" s="91"/>
      <c r="P16" s="91"/>
      <c r="Q16" s="91" t="s">
        <v>69</v>
      </c>
      <c r="R16" s="91" t="s">
        <v>65</v>
      </c>
      <c r="S16" s="91"/>
      <c r="T16" s="91" t="s">
        <v>93</v>
      </c>
      <c r="U16" s="91"/>
      <c r="V16" s="91" t="s">
        <v>65</v>
      </c>
      <c r="W16" s="91"/>
      <c r="X16" s="91"/>
      <c r="Y16" s="91" t="s">
        <v>350</v>
      </c>
      <c r="Z16" s="91" t="s">
        <v>93</v>
      </c>
      <c r="AA16" s="91" t="s">
        <v>65</v>
      </c>
      <c r="AB16" s="91"/>
      <c r="AC16" s="91"/>
      <c r="AD16" s="91"/>
      <c r="AE16" s="91" t="s">
        <v>65</v>
      </c>
      <c r="AF16" s="91"/>
      <c r="AG16" s="91"/>
      <c r="AH16" s="250" t="n">
        <f aca="false">COUNTIF($D16:$AG16,AH$4)</f>
        <v>0</v>
      </c>
      <c r="AI16" s="250" t="n">
        <f aca="false">COUNTIF($D16:$AG16,AI$4)</f>
        <v>0</v>
      </c>
      <c r="AJ16" s="250" t="n">
        <f aca="false">COUNTIF($D16:$AG16,AJ$4)</f>
        <v>0</v>
      </c>
      <c r="AK16" s="250" t="n">
        <f aca="false">COUNTIF($D16:$AG16,AK$4)</f>
        <v>0</v>
      </c>
      <c r="AL16" s="250" t="n">
        <f aca="false">COUNTIF($D16:$AG16,AL$4)</f>
        <v>0</v>
      </c>
      <c r="AM16" s="250" t="n">
        <f aca="false">COUNTIF($D16:$AG16,AM$4)</f>
        <v>2</v>
      </c>
      <c r="AN16" s="250" t="n">
        <f aca="false">COUNTIF($D16:$AG16,AN$4)</f>
        <v>5</v>
      </c>
      <c r="AO16" s="250" t="n">
        <f aca="false">COUNTIF($D16:$AG16,AO$4)</f>
        <v>0</v>
      </c>
      <c r="AP16" s="250" t="n">
        <f aca="false">COUNTIF($D16:$AG16,AP$4)</f>
        <v>0</v>
      </c>
      <c r="AQ16" s="251"/>
      <c r="AR16" s="251"/>
      <c r="AS16" s="252" t="n">
        <f aca="false">SUMPRODUCT(--(WEEKDAY(D$3:AG$3,2)&lt;5),--ISNUMBER(MATCH(D16:AG16,{"DM","CS1","CS2","SB1","AE","CS/B"},0)))</f>
        <v>3</v>
      </c>
      <c r="AT16" s="252"/>
      <c r="AU16" s="252" t="n">
        <f aca="false">SUMPRODUCT(--(WEEKDAY(D$3:AG$3,2)=5),--ISNUMBER(MATCH(D16:AG16,{"DM","CS1","CS2","SB1","AE","CS/B","WEEKEND OUTFIELD RESERVE"},0)))</f>
        <v>1</v>
      </c>
      <c r="AV16" s="252" t="n">
        <f aca="false">SUMPRODUCT(--(WEEKDAY(D$3:AG$3,2)&gt;5),--ISNUMBER(MATCH(D16:AG16,{"DM","CS1","CS2","SB1","AE","CS/B","WEEKEND OUTFIELD RESERVE"},0)))</f>
        <v>1</v>
      </c>
      <c r="AW16" s="252"/>
      <c r="AX16" s="252" t="n">
        <f aca="false">(AS16-AT16)+AU16*1.5+(AV16-AW16)*2+AM16*0.5+AO16*0.5+AQ16-AR16</f>
        <v>7.5</v>
      </c>
      <c r="AY16" s="252" t="n">
        <f aca="false">AS16+AU16+AV16</f>
        <v>5</v>
      </c>
      <c r="AZ16" s="252" t="s">
        <v>708</v>
      </c>
      <c r="BA16" s="251" t="n">
        <f aca="false">AX16+BC16</f>
        <v>7.5</v>
      </c>
      <c r="BB16" s="251" t="n">
        <f aca="false">(BA16-8)</f>
        <v>-0.5</v>
      </c>
      <c r="BC16" s="252" t="n">
        <f aca="false">BE16+BG16+BI16+BK16+BM16</f>
        <v>0</v>
      </c>
      <c r="BD16" s="252" t="n">
        <f aca="false">COUNTIF(A16:AH16,"*$BTP*")</f>
        <v>0</v>
      </c>
      <c r="BE16" s="252" t="n">
        <f aca="false">BD16*1.5</f>
        <v>0</v>
      </c>
      <c r="BF16" s="252" t="n">
        <f aca="false">COUNTIF(A16:AH16,"*$M*")</f>
        <v>0</v>
      </c>
      <c r="BG16" s="252" t="n">
        <f aca="false">BF16*1</f>
        <v>0</v>
      </c>
      <c r="BH16" s="252" t="n">
        <f aca="false">COUNTIF(A16:AH16,"*$PM*")</f>
        <v>0</v>
      </c>
      <c r="BI16" s="252" t="n">
        <f aca="false">BH16*0.5</f>
        <v>0</v>
      </c>
      <c r="BJ16" s="252" t="n">
        <f aca="false">COUNTIF(A16:AH16,"*$AM*")</f>
        <v>0</v>
      </c>
      <c r="BK16" s="252" t="n">
        <f aca="false">BJ16*0.5</f>
        <v>0</v>
      </c>
      <c r="BL16" s="252" t="n">
        <f aca="false">COUNTIF(A16:AH16,"*$FC*")</f>
        <v>0</v>
      </c>
      <c r="BM16" s="252" t="n">
        <f aca="false">BL16*1</f>
        <v>0</v>
      </c>
      <c r="BN16" s="252" t="n">
        <f aca="false">COUNTIF($E16:$AB16,BN$4)</f>
        <v>0</v>
      </c>
      <c r="BO16" s="252" t="n">
        <f aca="false">COUNTIF($E16:$AB16,BO$4)</f>
        <v>1</v>
      </c>
      <c r="BP16" s="252" t="n">
        <f aca="false">COUNTIF($E16:$AB16,BP$4)</f>
        <v>0</v>
      </c>
      <c r="BQ16" s="252"/>
    </row>
    <row r="17" customFormat="false" ht="45" hidden="false" customHeight="true" outlineLevel="0" collapsed="false">
      <c r="A17" s="249"/>
      <c r="B17" s="207" t="s">
        <v>592</v>
      </c>
      <c r="C17" s="207"/>
      <c r="D17" s="181"/>
      <c r="E17" s="181" t="s">
        <v>59</v>
      </c>
      <c r="F17" s="91"/>
      <c r="G17" s="91"/>
      <c r="H17" s="91"/>
      <c r="I17" s="91"/>
      <c r="J17" s="91"/>
      <c r="K17" s="91" t="s">
        <v>58</v>
      </c>
      <c r="L17" s="91"/>
      <c r="M17" s="91" t="s">
        <v>56</v>
      </c>
      <c r="N17" s="91"/>
      <c r="O17" s="91"/>
      <c r="P17" s="91"/>
      <c r="Q17" s="91" t="s">
        <v>57</v>
      </c>
      <c r="R17" s="91"/>
      <c r="S17" s="91"/>
      <c r="T17" s="91" t="s">
        <v>58</v>
      </c>
      <c r="U17" s="91"/>
      <c r="V17" s="91" t="s">
        <v>57</v>
      </c>
      <c r="W17" s="91"/>
      <c r="X17" s="91" t="s">
        <v>59</v>
      </c>
      <c r="Y17" s="91"/>
      <c r="Z17" s="91" t="s">
        <v>350</v>
      </c>
      <c r="AA17" s="91"/>
      <c r="AB17" s="91"/>
      <c r="AC17" s="91" t="s">
        <v>57</v>
      </c>
      <c r="AD17" s="91"/>
      <c r="AE17" s="91" t="s">
        <v>59</v>
      </c>
      <c r="AF17" s="91"/>
      <c r="AG17" s="91" t="s">
        <v>57</v>
      </c>
      <c r="AH17" s="250" t="n">
        <f aca="false">COUNTIF($D17:$AG17,AH$4)</f>
        <v>4</v>
      </c>
      <c r="AI17" s="250" t="n">
        <f aca="false">COUNTIF($D17:$AG17,AI$4)</f>
        <v>1</v>
      </c>
      <c r="AJ17" s="250" t="n">
        <f aca="false">COUNTIF($D17:$AG17,AJ$4)</f>
        <v>3</v>
      </c>
      <c r="AK17" s="250" t="n">
        <f aca="false">COUNTIF($D17:$AG17,AK$4)</f>
        <v>0</v>
      </c>
      <c r="AL17" s="250" t="n">
        <f aca="false">COUNTIF($D17:$AG17,AL$4)</f>
        <v>2</v>
      </c>
      <c r="AM17" s="250" t="n">
        <f aca="false">COUNTIF($D17:$AG17,AM$4)</f>
        <v>0</v>
      </c>
      <c r="AN17" s="250" t="n">
        <f aca="false">COUNTIF($D17:$AG17,AN$4)</f>
        <v>0</v>
      </c>
      <c r="AO17" s="250" t="n">
        <f aca="false">COUNTIF($D17:$AG17,AO$4)</f>
        <v>0</v>
      </c>
      <c r="AP17" s="250" t="n">
        <f aca="false">COUNTIF($D17:$AG17,AP$4)</f>
        <v>0</v>
      </c>
      <c r="AQ17" s="251" t="n">
        <v>3</v>
      </c>
      <c r="AR17" s="251"/>
      <c r="AS17" s="252" t="n">
        <f aca="false">SUMPRODUCT(--(WEEKDAY(D$3:AG$3,2)&lt;5),--ISNUMBER(MATCH(D17:AG17,{"DM","CS1","CS2","SB1","AE","CS/B"},0)))</f>
        <v>6</v>
      </c>
      <c r="AT17" s="252"/>
      <c r="AU17" s="252" t="n">
        <f aca="false">SUMPRODUCT(--(WEEKDAY(D$3:AG$3,2)=5),--ISNUMBER(MATCH(D17:AG17,{"DM","CS1","CS2","SB1","AE","CS/B","WEEKEND OUTFIELD RESERVE"},0)))</f>
        <v>2</v>
      </c>
      <c r="AV17" s="252" t="n">
        <f aca="false">SUMPRODUCT(--(WEEKDAY(D$3:AG$3,2)&gt;5),--ISNUMBER(MATCH(D17:AG17,{"DM","CS1","CS2","SB1","AE","CS/B","WEEKEND OUTFIELD RESERVE"},0)))</f>
        <v>2</v>
      </c>
      <c r="AW17" s="252"/>
      <c r="AX17" s="252" t="n">
        <f aca="false">(AS17-AT17)+AU17*1.5+(AV17-AW17)*2+AM17*0.5+AO17*0.5+AQ17-AR17</f>
        <v>16</v>
      </c>
      <c r="AY17" s="252" t="n">
        <f aca="false">AS17+AU17+AV17</f>
        <v>10</v>
      </c>
      <c r="AZ17" s="252" t="n">
        <f aca="false">BD17+BF17+BH17+BJ17+BL17</f>
        <v>0</v>
      </c>
      <c r="BA17" s="251" t="n">
        <f aca="false">AX17+BC17</f>
        <v>16</v>
      </c>
      <c r="BB17" s="251"/>
      <c r="BC17" s="252" t="n">
        <f aca="false">BE17+BG17+BI17+BK17+BM17</f>
        <v>0</v>
      </c>
      <c r="BD17" s="252" t="n">
        <f aca="false">COUNTIF(A17:AH17,"*$BTP*")</f>
        <v>0</v>
      </c>
      <c r="BE17" s="252" t="n">
        <f aca="false">BD17*1.5</f>
        <v>0</v>
      </c>
      <c r="BF17" s="252" t="n">
        <f aca="false">COUNTIF(A17:AH17,"*$M*")</f>
        <v>0</v>
      </c>
      <c r="BG17" s="252" t="n">
        <f aca="false">BF17*1</f>
        <v>0</v>
      </c>
      <c r="BH17" s="252" t="n">
        <f aca="false">COUNTIF(A17:AH17,"*$PM*")</f>
        <v>0</v>
      </c>
      <c r="BI17" s="252" t="n">
        <f aca="false">BH17*0.5</f>
        <v>0</v>
      </c>
      <c r="BJ17" s="252" t="n">
        <f aca="false">COUNTIF(A17:AH17,"*$AM*")</f>
        <v>0</v>
      </c>
      <c r="BK17" s="252" t="n">
        <f aca="false">BJ17*0.5</f>
        <v>0</v>
      </c>
      <c r="BL17" s="252" t="n">
        <f aca="false">COUNTIF(A17:AH17,"*$FC*")</f>
        <v>0</v>
      </c>
      <c r="BM17" s="252" t="n">
        <f aca="false">BL17*1</f>
        <v>0</v>
      </c>
      <c r="BN17" s="252" t="n">
        <f aca="false">COUNTIF($E17:$AB17,BN$4)</f>
        <v>0</v>
      </c>
      <c r="BO17" s="252" t="n">
        <f aca="false">COUNTIF($E17:$AB17,BO$4)</f>
        <v>1</v>
      </c>
      <c r="BP17" s="252" t="n">
        <f aca="false">COUNTIF($E17:$AB17,BP$4)</f>
        <v>0</v>
      </c>
      <c r="BQ17" s="252"/>
    </row>
    <row r="18" customFormat="false" ht="60.75" hidden="false" customHeight="true" outlineLevel="0" collapsed="false">
      <c r="A18" s="249"/>
      <c r="B18" s="207" t="s">
        <v>594</v>
      </c>
      <c r="C18" s="207"/>
      <c r="D18" s="188"/>
      <c r="E18" s="188"/>
      <c r="F18" s="91"/>
      <c r="G18" s="91"/>
      <c r="H18" s="91"/>
      <c r="I18" s="91"/>
      <c r="J18" s="91" t="s">
        <v>57</v>
      </c>
      <c r="K18" s="91"/>
      <c r="L18" s="91" t="s">
        <v>719</v>
      </c>
      <c r="M18" s="91"/>
      <c r="N18" s="91"/>
      <c r="O18" s="91"/>
      <c r="P18" s="91"/>
      <c r="Q18" s="91" t="s">
        <v>59</v>
      </c>
      <c r="R18" s="91"/>
      <c r="S18" s="91" t="s">
        <v>573</v>
      </c>
      <c r="T18" s="91"/>
      <c r="U18" s="91" t="s">
        <v>57</v>
      </c>
      <c r="V18" s="91"/>
      <c r="W18" s="91"/>
      <c r="X18" s="91"/>
      <c r="Y18" s="91" t="s">
        <v>59</v>
      </c>
      <c r="Z18" s="91"/>
      <c r="AA18" s="91"/>
      <c r="AB18" s="91" t="s">
        <v>350</v>
      </c>
      <c r="AC18" s="91"/>
      <c r="AD18" s="91" t="s">
        <v>57</v>
      </c>
      <c r="AE18" s="91"/>
      <c r="AF18" s="91"/>
      <c r="AG18" s="91" t="s">
        <v>566</v>
      </c>
      <c r="AH18" s="250" t="n">
        <f aca="false">COUNTIF($D18:$AG18,AH$4)</f>
        <v>3</v>
      </c>
      <c r="AI18" s="250" t="n">
        <f aca="false">COUNTIF($D18:$AG18,AI$4)</f>
        <v>0</v>
      </c>
      <c r="AJ18" s="250" t="n">
        <f aca="false">COUNTIF($D18:$AG18,AJ$4)</f>
        <v>2</v>
      </c>
      <c r="AK18" s="250" t="n">
        <f aca="false">COUNTIF($D18:$AG18,AK$4)</f>
        <v>1</v>
      </c>
      <c r="AL18" s="250" t="n">
        <f aca="false">COUNTIF($D18:$AG18,AL$4)</f>
        <v>0</v>
      </c>
      <c r="AM18" s="250" t="n">
        <f aca="false">COUNTIF($D18:$AG18,AM$4)</f>
        <v>0</v>
      </c>
      <c r="AN18" s="250" t="n">
        <f aca="false">COUNTIF($D18:$AG18,AN$4)</f>
        <v>0</v>
      </c>
      <c r="AO18" s="250" t="n">
        <f aca="false">COUNTIF($D18:$AG18,AO$4)</f>
        <v>0</v>
      </c>
      <c r="AP18" s="250" t="n">
        <f aca="false">COUNTIF($D18:$AG18,AP$4)</f>
        <v>0</v>
      </c>
      <c r="AQ18" s="251"/>
      <c r="AR18" s="251"/>
      <c r="AS18" s="252" t="n">
        <f aca="false">SUMPRODUCT(--(WEEKDAY(D$3:AG$3,2)&lt;5),--ISNUMBER(MATCH(D18:AG18,{"DM","CS1","CS2","SB1","AE","CS/B"},0)))</f>
        <v>5</v>
      </c>
      <c r="AT18" s="252"/>
      <c r="AU18" s="252" t="n">
        <f aca="false">SUMPRODUCT(--(WEEKDAY(D$3:AG$3,2)=5),--ISNUMBER(MATCH(D18:AG18,{"DM","CS1","CS2","SB1","AE","CS/B","WEEKEND OUTFIELD RESERVE"},0)))</f>
        <v>0</v>
      </c>
      <c r="AV18" s="252" t="n">
        <f aca="false">SUMPRODUCT(--(WEEKDAY(D$3:AG$3,2)&gt;5),--ISNUMBER(MATCH(D18:AG18,{"DM","CS1","CS2","SB1","AE","CS/B","WEEKEND OUTFIELD RESERVE"},0)))</f>
        <v>1</v>
      </c>
      <c r="AW18" s="252"/>
      <c r="AX18" s="252" t="n">
        <f aca="false">(AS18-AT18)+AU18*1.5+(AV18-AW18)*2+AM18*0.5+AO18*0.5+AQ18-AR18</f>
        <v>7</v>
      </c>
      <c r="AY18" s="252" t="n">
        <f aca="false">AS18+AU18+AV18</f>
        <v>6</v>
      </c>
      <c r="AZ18" s="252" t="n">
        <f aca="false">BD18+BF18+BH18+BJ18+BL18</f>
        <v>1</v>
      </c>
      <c r="BA18" s="251" t="n">
        <f aca="false">AX18+BC18</f>
        <v>8</v>
      </c>
      <c r="BB18" s="251" t="n">
        <f aca="false">(BA18-8.5)</f>
        <v>-0.5</v>
      </c>
      <c r="BC18" s="252" t="n">
        <f aca="false">BE18+BG18+BI18+BK18+BM18</f>
        <v>1</v>
      </c>
      <c r="BD18" s="252" t="n">
        <f aca="false">COUNTIF(A18:AH18,"*$BTP*")</f>
        <v>0</v>
      </c>
      <c r="BE18" s="252" t="n">
        <f aca="false">BD18*1.5</f>
        <v>0</v>
      </c>
      <c r="BF18" s="252" t="n">
        <f aca="false">COUNTIF(A18:AH18,"*$M*")</f>
        <v>1</v>
      </c>
      <c r="BG18" s="252" t="n">
        <f aca="false">BF18*1</f>
        <v>1</v>
      </c>
      <c r="BH18" s="252" t="n">
        <f aca="false">COUNTIF(A18:AH18,"*$PM*")</f>
        <v>0</v>
      </c>
      <c r="BI18" s="252" t="n">
        <f aca="false">BH18*0.5</f>
        <v>0</v>
      </c>
      <c r="BJ18" s="252" t="n">
        <f aca="false">COUNTIF(A18:AH18,"*$AM*")</f>
        <v>0</v>
      </c>
      <c r="BK18" s="252" t="n">
        <f aca="false">BJ18*0.5</f>
        <v>0</v>
      </c>
      <c r="BL18" s="252" t="n">
        <f aca="false">COUNTIF(A18:AH18,"*$FC*")</f>
        <v>0</v>
      </c>
      <c r="BM18" s="252" t="n">
        <f aca="false">BL18*1</f>
        <v>0</v>
      </c>
      <c r="BN18" s="252" t="n">
        <f aca="false">COUNTIF($E18:$AB18,BN$4)</f>
        <v>0</v>
      </c>
      <c r="BO18" s="252" t="n">
        <f aca="false">COUNTIF($E18:$AB18,BO$4)</f>
        <v>1</v>
      </c>
      <c r="BP18" s="252" t="n">
        <f aca="false">COUNTIF($E18:$AB18,BP$4)</f>
        <v>0</v>
      </c>
      <c r="BQ18" s="252"/>
    </row>
    <row r="19" customFormat="false" ht="53.25" hidden="false" customHeight="true" outlineLevel="0" collapsed="false">
      <c r="A19" s="249"/>
      <c r="B19" s="207" t="s">
        <v>596</v>
      </c>
      <c r="C19" s="207"/>
      <c r="D19" s="91"/>
      <c r="E19" s="91"/>
      <c r="F19" s="91"/>
      <c r="G19" s="91" t="s">
        <v>720</v>
      </c>
      <c r="H19" s="91" t="s">
        <v>720</v>
      </c>
      <c r="I19" s="91"/>
      <c r="J19" s="91"/>
      <c r="K19" s="91"/>
      <c r="L19" s="91" t="s">
        <v>707</v>
      </c>
      <c r="M19" s="91"/>
      <c r="N19" s="91"/>
      <c r="O19" s="91" t="s">
        <v>56</v>
      </c>
      <c r="P19" s="91" t="s">
        <v>380</v>
      </c>
      <c r="Q19" s="91" t="s">
        <v>380</v>
      </c>
      <c r="R19" s="91"/>
      <c r="S19" s="91" t="s">
        <v>56</v>
      </c>
      <c r="T19" s="91" t="s">
        <v>162</v>
      </c>
      <c r="U19" s="91"/>
      <c r="V19" s="91"/>
      <c r="W19" s="91" t="s">
        <v>721</v>
      </c>
      <c r="X19" s="91"/>
      <c r="Y19" s="91"/>
      <c r="Z19" s="91"/>
      <c r="AA19" s="91"/>
      <c r="AB19" s="91"/>
      <c r="AC19" s="91" t="s">
        <v>722</v>
      </c>
      <c r="AD19" s="91"/>
      <c r="AE19" s="91"/>
      <c r="AF19" s="91" t="s">
        <v>57</v>
      </c>
      <c r="AG19" s="91"/>
      <c r="AH19" s="250" t="n">
        <f aca="false">COUNTIF($D19:$AG19,AH$4)</f>
        <v>1</v>
      </c>
      <c r="AI19" s="250" t="n">
        <f aca="false">COUNTIF($D19:$AG19,AI$4)</f>
        <v>2</v>
      </c>
      <c r="AJ19" s="250" t="n">
        <f aca="false">COUNTIF($D19:$AG19,AJ$4)</f>
        <v>0</v>
      </c>
      <c r="AK19" s="250" t="n">
        <f aca="false">COUNTIF($D19:$AG19,AK$4)</f>
        <v>0</v>
      </c>
      <c r="AL19" s="250" t="n">
        <f aca="false">COUNTIF($D19:$AG19,AL$4)</f>
        <v>0</v>
      </c>
      <c r="AM19" s="250" t="n">
        <f aca="false">COUNTIF($D19:$AG19,AM$4)</f>
        <v>0</v>
      </c>
      <c r="AN19" s="250" t="n">
        <f aca="false">COUNTIF($D19:$AG19,AN$4)</f>
        <v>0</v>
      </c>
      <c r="AO19" s="250" t="n">
        <f aca="false">COUNTIF($D19:$AG19,AO$4)</f>
        <v>0</v>
      </c>
      <c r="AP19" s="250" t="n">
        <f aca="false">COUNTIF($D19:$AG19,AP$4)</f>
        <v>0</v>
      </c>
      <c r="AQ19" s="251"/>
      <c r="AR19" s="251" t="n">
        <v>2</v>
      </c>
      <c r="AS19" s="252" t="n">
        <f aca="false">SUMPRODUCT(--(WEEKDAY(D$3:AG$3,2)&lt;5),--ISNUMBER(MATCH(D19:AG19,{"DM","CS1","CS2","SB1","AE","CS/B"},0)))</f>
        <v>2</v>
      </c>
      <c r="AT19" s="252"/>
      <c r="AU19" s="252" t="n">
        <f aca="false">SUMPRODUCT(--(WEEKDAY(D$3:AG$3,2)=5),--ISNUMBER(MATCH(D19:AG19,{"DM","CS1","CS2","SB1","AE","CS/B","WEEKEND OUTFIELD RESERVE"},0)))</f>
        <v>0</v>
      </c>
      <c r="AV19" s="252" t="n">
        <f aca="false">SUMPRODUCT(--(WEEKDAY(D$3:AG$3,2)&gt;5),--ISNUMBER(MATCH(D19:AG19,{"DM","CS1","CS2","SB1","AE","CS/B","WEEKEND OUTFIELD RESERVE"},0)))</f>
        <v>1</v>
      </c>
      <c r="AW19" s="252"/>
      <c r="AX19" s="252" t="n">
        <f aca="false">(AS19-AT19)+AU19*1.5+(AV19-AW19)*2+AM19*0.5+AO19*0.5+AQ19-AR19</f>
        <v>2</v>
      </c>
      <c r="AY19" s="252" t="n">
        <f aca="false">AS19+AU19+AV19</f>
        <v>3</v>
      </c>
      <c r="AZ19" s="252" t="n">
        <f aca="false">BD19+BF19+BH19+BJ19+BL19</f>
        <v>1</v>
      </c>
      <c r="BA19" s="251" t="n">
        <f aca="false">AX19+BC19</f>
        <v>2.5</v>
      </c>
      <c r="BB19" s="251" t="n">
        <f aca="false">(BA19-8.5)</f>
        <v>-6</v>
      </c>
      <c r="BC19" s="252" t="n">
        <f aca="false">BE19+BG19+BI19+BK19+BM19</f>
        <v>0.5</v>
      </c>
      <c r="BD19" s="252" t="n">
        <f aca="false">COUNTIF(A19:AH19,"*$BTP*")</f>
        <v>0</v>
      </c>
      <c r="BE19" s="252" t="n">
        <f aca="false">BD19*1.5</f>
        <v>0</v>
      </c>
      <c r="BF19" s="252" t="n">
        <f aca="false">COUNTIF(A19:AH19,"*$M*")</f>
        <v>0</v>
      </c>
      <c r="BG19" s="252" t="n">
        <f aca="false">BF19*1</f>
        <v>0</v>
      </c>
      <c r="BH19" s="252" t="n">
        <f aca="false">COUNTIF(A19:AH19,"*$PM*")</f>
        <v>1</v>
      </c>
      <c r="BI19" s="252" t="n">
        <f aca="false">BH19*0.5</f>
        <v>0.5</v>
      </c>
      <c r="BJ19" s="252" t="n">
        <f aca="false">COUNTIF(A19:AH19,"*$AM*")</f>
        <v>0</v>
      </c>
      <c r="BK19" s="252" t="n">
        <f aca="false">BJ19*0.5</f>
        <v>0</v>
      </c>
      <c r="BL19" s="252" t="n">
        <f aca="false">COUNTIF(A19:AH19,"*$FC*")</f>
        <v>0</v>
      </c>
      <c r="BM19" s="252" t="n">
        <f aca="false">BL19*1</f>
        <v>0</v>
      </c>
      <c r="BN19" s="252" t="n">
        <f aca="false">COUNTIF($E19:$AB19,BN$4)</f>
        <v>0</v>
      </c>
      <c r="BO19" s="252" t="n">
        <f aca="false">COUNTIF($E19:$AB19,BO$4)</f>
        <v>0</v>
      </c>
      <c r="BP19" s="252" t="n">
        <f aca="false">COUNTIF($E19:$AB19,BP$4)</f>
        <v>0</v>
      </c>
      <c r="BQ19" s="252"/>
    </row>
    <row r="20" customFormat="false" ht="51" hidden="false" customHeight="true" outlineLevel="0" collapsed="false">
      <c r="A20" s="249"/>
      <c r="B20" s="207" t="s">
        <v>598</v>
      </c>
      <c r="C20" s="207"/>
      <c r="D20" s="188"/>
      <c r="E20" s="188"/>
      <c r="F20" s="91"/>
      <c r="G20" s="91" t="s">
        <v>57</v>
      </c>
      <c r="H20" s="91"/>
      <c r="I20" s="91"/>
      <c r="J20" s="91"/>
      <c r="K20" s="91" t="s">
        <v>57</v>
      </c>
      <c r="L20" s="91" t="s">
        <v>707</v>
      </c>
      <c r="M20" s="91" t="s">
        <v>54</v>
      </c>
      <c r="N20" s="91"/>
      <c r="O20" s="91"/>
      <c r="P20" s="91" t="s">
        <v>380</v>
      </c>
      <c r="Q20" s="91" t="s">
        <v>380</v>
      </c>
      <c r="R20" s="255" t="s">
        <v>57</v>
      </c>
      <c r="S20" s="91"/>
      <c r="T20" s="91" t="s">
        <v>162</v>
      </c>
      <c r="U20" s="91"/>
      <c r="V20" s="91"/>
      <c r="W20" s="91" t="s">
        <v>723</v>
      </c>
      <c r="X20" s="91"/>
      <c r="Y20" s="91"/>
      <c r="Z20" s="91"/>
      <c r="AA20" s="91"/>
      <c r="AB20" s="91"/>
      <c r="AC20" s="91"/>
      <c r="AD20" s="91"/>
      <c r="AE20" s="91"/>
      <c r="AF20" s="91"/>
      <c r="AG20" s="91" t="s">
        <v>724</v>
      </c>
      <c r="AH20" s="250" t="n">
        <f aca="false">COUNTIF($D20:$AG20,AH$4)</f>
        <v>3</v>
      </c>
      <c r="AI20" s="250" t="n">
        <f aca="false">COUNTIF($D20:$AG20,AI$4)</f>
        <v>0</v>
      </c>
      <c r="AJ20" s="250" t="n">
        <f aca="false">COUNTIF($D20:$AG20,AJ$4)</f>
        <v>0</v>
      </c>
      <c r="AK20" s="250" t="n">
        <f aca="false">COUNTIF($D20:$AG20,AK$4)</f>
        <v>0</v>
      </c>
      <c r="AL20" s="250" t="n">
        <f aca="false">COUNTIF($D20:$AG20,AL$4)</f>
        <v>0</v>
      </c>
      <c r="AM20" s="250" t="n">
        <f aca="false">COUNTIF($D20:$AG20,AM$4)</f>
        <v>0</v>
      </c>
      <c r="AN20" s="250" t="n">
        <f aca="false">COUNTIF($D20:$AG20,AN$4)</f>
        <v>0</v>
      </c>
      <c r="AO20" s="250" t="n">
        <f aca="false">COUNTIF($D20:$AG20,AO$4)</f>
        <v>0</v>
      </c>
      <c r="AP20" s="250" t="n">
        <f aca="false">COUNTIF($D20:$AG20,AP$4)</f>
        <v>0</v>
      </c>
      <c r="AQ20" s="251" t="n">
        <v>0.5</v>
      </c>
      <c r="AR20" s="251"/>
      <c r="AS20" s="252" t="n">
        <f aca="false">SUMPRODUCT(--(WEEKDAY(D$3:AG$3,2)&lt;5),--ISNUMBER(MATCH(D20:AG20,{"DM","CS1","CS2","SB1","AE","CS/B"},0)))</f>
        <v>2</v>
      </c>
      <c r="AT20" s="252"/>
      <c r="AU20" s="252" t="n">
        <f aca="false">SUMPRODUCT(--(WEEKDAY(D$3:AG$3,2)=5),--ISNUMBER(MATCH(D20:AG20,{"DM","CS1","CS2","SB1","AE","CS/B","WEEKEND OUTFIELD RESERVE"},0)))</f>
        <v>0</v>
      </c>
      <c r="AV20" s="252" t="n">
        <f aca="false">SUMPRODUCT(--(WEEKDAY(D$3:AG$3,2)&gt;5),--ISNUMBER(MATCH(D20:AG20,{"DM","CS1","CS2","SB1","AE","CS/B","WEEKEND OUTFIELD RESERVE"},0)))</f>
        <v>1</v>
      </c>
      <c r="AW20" s="252"/>
      <c r="AX20" s="252" t="n">
        <f aca="false">(AS20-AT20)+AU20*1.5+(AV20-AW20)*2+AM20*0.5+AO20*0.5+AQ20-AR20</f>
        <v>4.5</v>
      </c>
      <c r="AY20" s="252" t="n">
        <f aca="false">AS20+AU20+AV20</f>
        <v>3</v>
      </c>
      <c r="AZ20" s="252" t="n">
        <f aca="false">BD20+BF20+BH20+BJ20+BL20</f>
        <v>1</v>
      </c>
      <c r="BA20" s="251" t="n">
        <f aca="false">AX20+BC20</f>
        <v>5</v>
      </c>
      <c r="BB20" s="251" t="n">
        <f aca="false">(BA20-8.5)</f>
        <v>-3.5</v>
      </c>
      <c r="BC20" s="252" t="n">
        <f aca="false">BE20+BG20+BI20+BK20+BM20</f>
        <v>0.5</v>
      </c>
      <c r="BD20" s="252" t="n">
        <f aca="false">COUNTIF(A20:AH20,"*$BTP*")</f>
        <v>0</v>
      </c>
      <c r="BE20" s="252" t="n">
        <f aca="false">BD20*1.5</f>
        <v>0</v>
      </c>
      <c r="BF20" s="252" t="n">
        <f aca="false">COUNTIF(A20:AH20,"*$M*")</f>
        <v>0</v>
      </c>
      <c r="BG20" s="252" t="n">
        <f aca="false">BF20*1</f>
        <v>0</v>
      </c>
      <c r="BH20" s="252" t="n">
        <f aca="false">COUNTIF(A20:AH20,"*$PM*")</f>
        <v>1</v>
      </c>
      <c r="BI20" s="252" t="n">
        <f aca="false">BH20*0.5</f>
        <v>0.5</v>
      </c>
      <c r="BJ20" s="252" t="n">
        <f aca="false">COUNTIF(A20:AH20,"*$AM*")</f>
        <v>0</v>
      </c>
      <c r="BK20" s="252" t="n">
        <f aca="false">BJ20*0.5</f>
        <v>0</v>
      </c>
      <c r="BL20" s="252" t="n">
        <f aca="false">COUNTIF(A20:AH20,"*$FC*")</f>
        <v>0</v>
      </c>
      <c r="BM20" s="252" t="n">
        <f aca="false">BL20*1</f>
        <v>0</v>
      </c>
      <c r="BN20" s="252" t="n">
        <f aca="false">COUNTIF($E20:$AB20,BN$4)</f>
        <v>0</v>
      </c>
      <c r="BO20" s="252" t="n">
        <f aca="false">COUNTIF($E20:$AB20,BO$4)</f>
        <v>0</v>
      </c>
      <c r="BP20" s="252" t="n">
        <f aca="false">COUNTIF($E20:$AB20,BP$4)</f>
        <v>0</v>
      </c>
      <c r="BQ20" s="252"/>
    </row>
    <row r="21" customFormat="false" ht="68.25" hidden="false" customHeight="true" outlineLevel="0" collapsed="false">
      <c r="A21" s="249"/>
      <c r="B21" s="207" t="s">
        <v>725</v>
      </c>
      <c r="C21" s="207"/>
      <c r="D21" s="181"/>
      <c r="E21" s="181"/>
      <c r="F21" s="91" t="s">
        <v>57</v>
      </c>
      <c r="G21" s="91"/>
      <c r="H21" s="91"/>
      <c r="I21" s="91"/>
      <c r="J21" s="91" t="s">
        <v>59</v>
      </c>
      <c r="K21" s="91"/>
      <c r="L21" s="91"/>
      <c r="M21" s="91" t="s">
        <v>54</v>
      </c>
      <c r="N21" s="91" t="s">
        <v>57</v>
      </c>
      <c r="O21" s="91"/>
      <c r="P21" s="91" t="s">
        <v>57</v>
      </c>
      <c r="Q21" s="91"/>
      <c r="R21" s="91"/>
      <c r="S21" s="91" t="s">
        <v>726</v>
      </c>
      <c r="T21" s="91"/>
      <c r="U21" s="91"/>
      <c r="V21" s="91"/>
      <c r="W21" s="91" t="s">
        <v>253</v>
      </c>
      <c r="X21" s="91" t="s">
        <v>350</v>
      </c>
      <c r="Y21" s="91"/>
      <c r="Z21" s="91" t="s">
        <v>57</v>
      </c>
      <c r="AA21" s="92"/>
      <c r="AB21" s="91"/>
      <c r="AC21" s="91" t="s">
        <v>350</v>
      </c>
      <c r="AD21" s="91"/>
      <c r="AF21" s="91"/>
      <c r="AG21" s="91" t="s">
        <v>253</v>
      </c>
      <c r="AH21" s="250" t="n">
        <f aca="false">COUNTIF($D21:$AG21,AH$4)</f>
        <v>4</v>
      </c>
      <c r="AI21" s="250" t="n">
        <f aca="false">COUNTIF($D21:$AG21,AI$4)</f>
        <v>0</v>
      </c>
      <c r="AJ21" s="250" t="n">
        <f aca="false">COUNTIF($D21:$AG21,AJ$4)</f>
        <v>1</v>
      </c>
      <c r="AK21" s="250" t="n">
        <f aca="false">COUNTIF($D21:$AG21,AK$4)</f>
        <v>0</v>
      </c>
      <c r="AL21" s="250" t="n">
        <f aca="false">COUNTIF($D21:$AG21,AL$4)</f>
        <v>0</v>
      </c>
      <c r="AM21" s="250" t="n">
        <f aca="false">COUNTIF($D21:$AG21,AM$4)</f>
        <v>0</v>
      </c>
      <c r="AN21" s="250" t="n">
        <f aca="false">COUNTIF($D21:$AG21,AN$4)</f>
        <v>0</v>
      </c>
      <c r="AO21" s="250" t="n">
        <f aca="false">COUNTIF($D21:$AG21,AO$4)</f>
        <v>0</v>
      </c>
      <c r="AP21" s="250" t="n">
        <f aca="false">COUNTIF($D21:$AG21,AP$4)</f>
        <v>0</v>
      </c>
      <c r="AQ21" s="251"/>
      <c r="AR21" s="251" t="n">
        <v>0.5</v>
      </c>
      <c r="AS21" s="252" t="n">
        <f aca="false">SUMPRODUCT(--(WEEKDAY(D$3:AG$3,2)&lt;5),--ISNUMBER(MATCH(D21:AG21,{"DM","CS1","CS2","SB1","AE","CS/B"},0)))</f>
        <v>3</v>
      </c>
      <c r="AT21" s="252"/>
      <c r="AU21" s="252" t="n">
        <f aca="false">SUMPRODUCT(--(WEEKDAY(D$3:AG$3,2)=5),--ISNUMBER(MATCH(D21:AG21,{"DM","CS1","CS2","SB1","AE","CS/B","WEEKEND OUTFIELD RESERVE"},0)))</f>
        <v>1</v>
      </c>
      <c r="AV21" s="252" t="n">
        <f aca="false">SUMPRODUCT(--(WEEKDAY(D$3:AG$3,2)&gt;5),--ISNUMBER(MATCH(D21:AG21,{"DM","CS1","CS2","SB1","AE","CS/B","WEEKEND OUTFIELD RESERVE"},0)))</f>
        <v>1</v>
      </c>
      <c r="AW21" s="252"/>
      <c r="AX21" s="252" t="n">
        <f aca="false">(AS21-AT21)+AU21*1.5+(AV21-AW21)*2+AM21*0.5+AO21*0.5+AQ21-AR21</f>
        <v>6</v>
      </c>
      <c r="AY21" s="252" t="n">
        <f aca="false">AS21+AU21+AV21</f>
        <v>5</v>
      </c>
      <c r="AZ21" s="252" t="n">
        <f aca="false">BD21+BF21+BH21+BJ21+BL21</f>
        <v>1</v>
      </c>
      <c r="BA21" s="251" t="n">
        <f aca="false">AX21+BC21</f>
        <v>7</v>
      </c>
      <c r="BB21" s="251" t="n">
        <f aca="false">(BA21-8.5)</f>
        <v>-1.5</v>
      </c>
      <c r="BC21" s="252" t="n">
        <f aca="false">BE21+BG21+BI21+BK21+BM21</f>
        <v>1</v>
      </c>
      <c r="BD21" s="252" t="n">
        <f aca="false">COUNTIF(A21:AH21,"*$BTP*")</f>
        <v>0</v>
      </c>
      <c r="BE21" s="252" t="n">
        <f aca="false">BD21*1.5</f>
        <v>0</v>
      </c>
      <c r="BF21" s="252" t="n">
        <f aca="false">COUNTIF(A21:AH21,"*$M*")</f>
        <v>1</v>
      </c>
      <c r="BG21" s="252" t="n">
        <f aca="false">BF21*1</f>
        <v>1</v>
      </c>
      <c r="BH21" s="252" t="n">
        <f aca="false">COUNTIF(A21:AH21,"*$PM*")</f>
        <v>0</v>
      </c>
      <c r="BI21" s="252" t="n">
        <f aca="false">BH21*0.5</f>
        <v>0</v>
      </c>
      <c r="BJ21" s="252" t="n">
        <f aca="false">COUNTIF(A21:AH21,"*$AM*")</f>
        <v>0</v>
      </c>
      <c r="BK21" s="252" t="n">
        <f aca="false">BJ21*0.5</f>
        <v>0</v>
      </c>
      <c r="BL21" s="252" t="n">
        <f aca="false">COUNTIF(A21:AH21,"*$FC*")</f>
        <v>0</v>
      </c>
      <c r="BM21" s="252" t="n">
        <f aca="false">BL21*1</f>
        <v>0</v>
      </c>
      <c r="BN21" s="252" t="n">
        <f aca="false">COUNTIF($E21:$AB21,BN$4)</f>
        <v>0</v>
      </c>
      <c r="BO21" s="252" t="n">
        <f aca="false">COUNTIF($E21:$AB21,BO$4)</f>
        <v>1</v>
      </c>
      <c r="BP21" s="252" t="n">
        <f aca="false">COUNTIF($E21:$AB21,BP$4)</f>
        <v>0</v>
      </c>
      <c r="BQ21" s="252"/>
    </row>
    <row r="22" customFormat="false" ht="19.5" hidden="false" customHeight="true" outlineLevel="0" collapsed="false">
      <c r="A22" s="249"/>
      <c r="B22" s="207" t="s">
        <v>604</v>
      </c>
      <c r="C22" s="207"/>
      <c r="D22" s="188" t="s">
        <v>57</v>
      </c>
      <c r="E22" s="197"/>
      <c r="F22" s="91"/>
      <c r="G22" s="91" t="s">
        <v>59</v>
      </c>
      <c r="H22" s="91"/>
      <c r="I22" s="91" t="s">
        <v>57</v>
      </c>
      <c r="J22" s="91"/>
      <c r="K22" s="91"/>
      <c r="L22" s="91" t="s">
        <v>707</v>
      </c>
      <c r="M22" s="91"/>
      <c r="N22" s="91"/>
      <c r="O22" s="91"/>
      <c r="P22" s="91" t="s">
        <v>380</v>
      </c>
      <c r="Q22" s="91" t="s">
        <v>380</v>
      </c>
      <c r="R22" s="91"/>
      <c r="S22" s="91" t="s">
        <v>727</v>
      </c>
      <c r="T22" s="91" t="s">
        <v>162</v>
      </c>
      <c r="U22" s="91"/>
      <c r="V22" s="91"/>
      <c r="W22" s="91" t="s">
        <v>54</v>
      </c>
      <c r="X22" s="91"/>
      <c r="Y22" s="91"/>
      <c r="Z22" s="91"/>
      <c r="AA22" s="91" t="s">
        <v>54</v>
      </c>
      <c r="AB22" s="91"/>
      <c r="AC22" s="91"/>
      <c r="AD22" s="91" t="s">
        <v>54</v>
      </c>
      <c r="AE22" s="91"/>
      <c r="AF22" s="91"/>
      <c r="AG22" s="91" t="s">
        <v>724</v>
      </c>
      <c r="AH22" s="250" t="n">
        <f aca="false">COUNTIF($D22:$AG22,AH$4)</f>
        <v>2</v>
      </c>
      <c r="AI22" s="250" t="n">
        <f aca="false">COUNTIF($D22:$AG22,AI$4)</f>
        <v>0</v>
      </c>
      <c r="AJ22" s="250" t="n">
        <f aca="false">COUNTIF($D22:$AG22,AJ$4)</f>
        <v>1</v>
      </c>
      <c r="AK22" s="250" t="n">
        <f aca="false">COUNTIF($D22:$AG22,AK$4)</f>
        <v>0</v>
      </c>
      <c r="AL22" s="250" t="n">
        <f aca="false">COUNTIF($D22:$AG22,AL$4)</f>
        <v>0</v>
      </c>
      <c r="AM22" s="250" t="n">
        <f aca="false">COUNTIF($D22:$AG22,AM$4)</f>
        <v>0</v>
      </c>
      <c r="AN22" s="250" t="n">
        <f aca="false">COUNTIF($D22:$AG22,AN$4)</f>
        <v>0</v>
      </c>
      <c r="AO22" s="250" t="n">
        <f aca="false">COUNTIF($D22:$AG22,AO$4)</f>
        <v>0</v>
      </c>
      <c r="AP22" s="250" t="n">
        <f aca="false">COUNTIF($D22:$AG22,AP$4)</f>
        <v>0</v>
      </c>
      <c r="AQ22" s="251"/>
      <c r="AR22" s="251" t="n">
        <v>2</v>
      </c>
      <c r="AS22" s="252" t="n">
        <f aca="false">SUMPRODUCT(--(WEEKDAY(D$3:AG$3,2)&lt;5),--ISNUMBER(MATCH(D22:AG22,{"DM","CS1","CS2","SB1","AE","CS/B"},0)))</f>
        <v>2</v>
      </c>
      <c r="AT22" s="252"/>
      <c r="AU22" s="252" t="n">
        <f aca="false">SUMPRODUCT(--(WEEKDAY(D$3:AG$3,2)=5),--ISNUMBER(MATCH(D22:AG22,{"DM","CS1","CS2","SB1","AE","CS/B","WEEKEND OUTFIELD RESERVE"},0)))</f>
        <v>0</v>
      </c>
      <c r="AV22" s="252" t="n">
        <f aca="false">SUMPRODUCT(--(WEEKDAY(D$3:AG$3,2)&gt;5),--ISNUMBER(MATCH(D22:AG22,{"DM","CS1","CS2","SB1","AE","CS/B","WEEKEND OUTFIELD RESERVE"},0)))</f>
        <v>1</v>
      </c>
      <c r="AW22" s="252"/>
      <c r="AX22" s="252" t="n">
        <f aca="false">(AS22-AT22)+AU22*1.5+(AV22-AW22)*2+AM22*0.5+AO22*0.5+AQ22-AR22</f>
        <v>2</v>
      </c>
      <c r="AY22" s="252" t="n">
        <f aca="false">AS22+AU22+AV22</f>
        <v>3</v>
      </c>
      <c r="AZ22" s="252" t="n">
        <f aca="false">BD22+BF22+BH22+BJ22+BL22</f>
        <v>1</v>
      </c>
      <c r="BA22" s="251" t="n">
        <f aca="false">AX22+BC22</f>
        <v>2.5</v>
      </c>
      <c r="BB22" s="251" t="n">
        <f aca="false">(BA22-8.5)</f>
        <v>-6</v>
      </c>
      <c r="BC22" s="252" t="n">
        <f aca="false">BE22+BG22+BI22+BK22+BM22</f>
        <v>0.5</v>
      </c>
      <c r="BD22" s="252" t="n">
        <f aca="false">COUNTIF(A22:AH22,"*$BTP*")</f>
        <v>0</v>
      </c>
      <c r="BE22" s="252" t="n">
        <f aca="false">BD22*1.5</f>
        <v>0</v>
      </c>
      <c r="BF22" s="252" t="n">
        <f aca="false">COUNTIF(A22:AH22,"*$M*")</f>
        <v>0</v>
      </c>
      <c r="BG22" s="252" t="n">
        <f aca="false">BF22*1</f>
        <v>0</v>
      </c>
      <c r="BH22" s="252" t="n">
        <f aca="false">COUNTIF(A22:AH22,"*$PM*")</f>
        <v>1</v>
      </c>
      <c r="BI22" s="252" t="n">
        <f aca="false">BH22*0.5</f>
        <v>0.5</v>
      </c>
      <c r="BJ22" s="252" t="n">
        <f aca="false">COUNTIF(A22:AH22,"*$AM*")</f>
        <v>0</v>
      </c>
      <c r="BK22" s="252" t="n">
        <f aca="false">BJ22*0.5</f>
        <v>0</v>
      </c>
      <c r="BL22" s="252" t="n">
        <f aca="false">COUNTIF(A22:AH22,"*$FC*")</f>
        <v>0</v>
      </c>
      <c r="BM22" s="252" t="n">
        <f aca="false">BL22*1</f>
        <v>0</v>
      </c>
      <c r="BN22" s="252" t="n">
        <f aca="false">COUNTIF($E22:$AB22,BN$4)</f>
        <v>0</v>
      </c>
      <c r="BO22" s="252" t="n">
        <f aca="false">COUNTIF($E22:$AB22,BO$4)</f>
        <v>0</v>
      </c>
      <c r="BP22" s="252" t="n">
        <f aca="false">COUNTIF($E22:$AB22,BP$4)</f>
        <v>0</v>
      </c>
      <c r="BQ22" s="252"/>
    </row>
    <row r="23" customFormat="false" ht="48" hidden="false" customHeight="true" outlineLevel="0" collapsed="false">
      <c r="A23" s="249"/>
      <c r="B23" s="207" t="s">
        <v>609</v>
      </c>
      <c r="C23" s="207" t="n">
        <f aca="false">COUNTIF(D23:AG23,"DM")</f>
        <v>0</v>
      </c>
      <c r="D23" s="181"/>
      <c r="E23" s="181"/>
      <c r="F23" s="91"/>
      <c r="G23" s="91"/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250" t="n">
        <f aca="false">COUNTIF($D23:$AG23,AH$4)</f>
        <v>0</v>
      </c>
      <c r="AI23" s="250" t="n">
        <f aca="false">COUNTIF($D23:$AG23,AI$4)</f>
        <v>0</v>
      </c>
      <c r="AJ23" s="250" t="n">
        <f aca="false">COUNTIF($D23:$AG23,AJ$4)</f>
        <v>0</v>
      </c>
      <c r="AK23" s="250" t="n">
        <f aca="false">COUNTIF($D23:$AG23,AK$4)</f>
        <v>0</v>
      </c>
      <c r="AL23" s="250" t="n">
        <f aca="false">COUNTIF($D23:$AG23,AL$4)</f>
        <v>0</v>
      </c>
      <c r="AM23" s="250" t="n">
        <f aca="false">COUNTIF($D23:$AG23,AM$4)</f>
        <v>0</v>
      </c>
      <c r="AN23" s="250" t="n">
        <f aca="false">COUNTIF($D23:$AG23,AN$4)</f>
        <v>0</v>
      </c>
      <c r="AO23" s="250" t="n">
        <f aca="false">COUNTIF($D23:$AG23,AO$4)</f>
        <v>0</v>
      </c>
      <c r="AP23" s="250" t="n">
        <f aca="false">COUNTIF($D23:$AG23,AP$4)</f>
        <v>0</v>
      </c>
      <c r="AQ23" s="251"/>
      <c r="AR23" s="251" t="n">
        <v>9</v>
      </c>
      <c r="AS23" s="252" t="n">
        <f aca="false">SUMPRODUCT(--(WEEKDAY(D$3:AG$3,2)&lt;5),--ISNUMBER(MATCH(D23:AG23,{"DM","CS1","CS2","SB1","AE","CS/B"},0)))</f>
        <v>0</v>
      </c>
      <c r="AT23" s="252"/>
      <c r="AU23" s="252" t="n">
        <f aca="false">SUMPRODUCT(--(WEEKDAY(D$3:AG$3,2)=5),--ISNUMBER(MATCH(D23:AG23,{"DM","CS1","CS2","SB1","AE","CS/B","WEEKEND OUTFIELD RESERVE"},0)))</f>
        <v>0</v>
      </c>
      <c r="AV23" s="252" t="n">
        <f aca="false">SUMPRODUCT(--(WEEKDAY(D$3:AG$3,2)&gt;5),--ISNUMBER(MATCH(D23:AG23,{"DM","CS1","CS2","SB1","AE","CS/B","WEEKEND OUTFIELD RESERVE"},0)))</f>
        <v>0</v>
      </c>
      <c r="AW23" s="252"/>
      <c r="AX23" s="252" t="n">
        <f aca="false">(AS23-AT23)+AU23*1.5+(AV23-AW23)*2+AM23*0.5+AO23*0.5+AQ23-AR23</f>
        <v>-9</v>
      </c>
      <c r="AY23" s="252" t="n">
        <f aca="false">AS23+AU23+AV23</f>
        <v>0</v>
      </c>
      <c r="AZ23" s="252" t="n">
        <f aca="false">BD23+BF23+BH23+BJ23+BL23</f>
        <v>0</v>
      </c>
      <c r="BA23" s="251" t="n">
        <f aca="false">AX23+BC23</f>
        <v>-9</v>
      </c>
      <c r="BB23" s="251" t="n">
        <f aca="false">(BA23-8.5)</f>
        <v>-17.5</v>
      </c>
      <c r="BC23" s="252" t="n">
        <f aca="false">BE23+BG23+BI23+BK23+BM23</f>
        <v>0</v>
      </c>
      <c r="BD23" s="252" t="n">
        <f aca="false">COUNTIF(A23:AH23,"*$BTP*")</f>
        <v>0</v>
      </c>
      <c r="BE23" s="252" t="n">
        <f aca="false">BD23*1.5</f>
        <v>0</v>
      </c>
      <c r="BF23" s="252" t="n">
        <f aca="false">COUNTIF(A23:AH23,"*$M*")</f>
        <v>0</v>
      </c>
      <c r="BG23" s="252" t="n">
        <f aca="false">BF23*1</f>
        <v>0</v>
      </c>
      <c r="BH23" s="252" t="n">
        <f aca="false">COUNTIF(A23:AH23,"*$PM*")</f>
        <v>0</v>
      </c>
      <c r="BI23" s="252" t="n">
        <f aca="false">BH23*0.5</f>
        <v>0</v>
      </c>
      <c r="BJ23" s="252" t="n">
        <f aca="false">COUNTIF(A23:AH23,"*$AM*")</f>
        <v>0</v>
      </c>
      <c r="BK23" s="252" t="n">
        <f aca="false">BJ23*0.5</f>
        <v>0</v>
      </c>
      <c r="BL23" s="252" t="n">
        <f aca="false">COUNTIF(A23:AH23,"*$FC*")</f>
        <v>0</v>
      </c>
      <c r="BM23" s="252" t="n">
        <f aca="false">BL23*1</f>
        <v>0</v>
      </c>
      <c r="BN23" s="252" t="n">
        <f aca="false">COUNTIF($E23:$AB23,BN$4)</f>
        <v>0</v>
      </c>
      <c r="BO23" s="252" t="n">
        <f aca="false">COUNTIF($E23:$AB23,BO$4)</f>
        <v>0</v>
      </c>
      <c r="BP23" s="252" t="n">
        <f aca="false">COUNTIF($E23:$AB23,BP$4)</f>
        <v>0</v>
      </c>
      <c r="BQ23" s="252"/>
    </row>
    <row r="24" customFormat="false" ht="48.75" hidden="false" customHeight="true" outlineLevel="0" collapsed="false">
      <c r="A24" s="249"/>
      <c r="B24" s="207" t="s">
        <v>610</v>
      </c>
      <c r="C24" s="207"/>
      <c r="D24" s="188"/>
      <c r="E24" s="188" t="s">
        <v>93</v>
      </c>
      <c r="F24" s="91"/>
      <c r="G24" s="91" t="s">
        <v>56</v>
      </c>
      <c r="H24" s="91"/>
      <c r="I24" s="91"/>
      <c r="J24" s="91"/>
      <c r="K24" s="91" t="s">
        <v>383</v>
      </c>
      <c r="L24" s="91"/>
      <c r="M24" s="91"/>
      <c r="N24" s="91"/>
      <c r="O24" s="91"/>
      <c r="P24" s="91" t="s">
        <v>56</v>
      </c>
      <c r="Q24" s="91"/>
      <c r="R24" s="91"/>
      <c r="S24" s="91" t="s">
        <v>728</v>
      </c>
      <c r="T24" s="91"/>
      <c r="U24" s="91"/>
      <c r="V24" s="91"/>
      <c r="W24" s="91" t="s">
        <v>350</v>
      </c>
      <c r="X24" s="91"/>
      <c r="Y24" s="91"/>
      <c r="Z24" s="91"/>
      <c r="AA24" s="91" t="s">
        <v>56</v>
      </c>
      <c r="AB24" s="91"/>
      <c r="AC24" s="91"/>
      <c r="AD24" s="91" t="s">
        <v>549</v>
      </c>
      <c r="AE24" s="91"/>
      <c r="AF24" s="91" t="s">
        <v>573</v>
      </c>
      <c r="AG24" s="91" t="s">
        <v>93</v>
      </c>
      <c r="AH24" s="250" t="n">
        <f aca="false">COUNTIF($D24:$AG24,AH$4)</f>
        <v>0</v>
      </c>
      <c r="AI24" s="250" t="n">
        <f aca="false">COUNTIF($D24:$AG24,AI$4)</f>
        <v>3</v>
      </c>
      <c r="AJ24" s="250" t="n">
        <f aca="false">COUNTIF($D24:$AG24,AJ$4)</f>
        <v>0</v>
      </c>
      <c r="AK24" s="250" t="n">
        <f aca="false">COUNTIF($D24:$AG24,AK$4)</f>
        <v>0</v>
      </c>
      <c r="AL24" s="250" t="n">
        <f aca="false">COUNTIF($D24:$AG24,AL$4)</f>
        <v>0</v>
      </c>
      <c r="AM24" s="250" t="n">
        <f aca="false">COUNTIF($D24:$AG24,AM$4)</f>
        <v>2</v>
      </c>
      <c r="AN24" s="250" t="n">
        <f aca="false">COUNTIF($D24:$AG24,AN$4)</f>
        <v>0</v>
      </c>
      <c r="AO24" s="250" t="n">
        <f aca="false">COUNTIF($D24:$AG24,AO$4)</f>
        <v>0</v>
      </c>
      <c r="AP24" s="250" t="n">
        <f aca="false">COUNTIF($D24:$AG24,AP$4)</f>
        <v>0</v>
      </c>
      <c r="AQ24" s="251"/>
      <c r="AR24" s="251" t="n">
        <v>0.5</v>
      </c>
      <c r="AS24" s="252" t="n">
        <f aca="false">SUMPRODUCT(--(WEEKDAY(D$3:AG$3,2)&lt;5),--ISNUMBER(MATCH(D24:AG24,{"DM","CS1","CS2","SB1","AE","CS/B"},0)))</f>
        <v>1</v>
      </c>
      <c r="AT24" s="252"/>
      <c r="AU24" s="252" t="n">
        <f aca="false">SUMPRODUCT(--(WEEKDAY(D$3:AG$3,2)=5),--ISNUMBER(MATCH(D24:AG24,{"DM","CS1","CS2","SB1","AE","CS/B","WEEKEND OUTFIELD RESERVE"},0)))</f>
        <v>1</v>
      </c>
      <c r="AV24" s="252" t="n">
        <f aca="false">SUMPRODUCT(--(WEEKDAY(D$3:AG$3,2)&gt;5),--ISNUMBER(MATCH(D24:AG24,{"DM","CS1","CS2","SB1","AE","CS/B","WEEKEND OUTFIELD RESERVE"},0)))</f>
        <v>1</v>
      </c>
      <c r="AW24" s="252"/>
      <c r="AX24" s="252" t="n">
        <f aca="false">(AS24-AT24)+AU24*1.5+(AV24-AW24)*2+AM24*0.5+AO24*0.5+AQ24-AR24</f>
        <v>5</v>
      </c>
      <c r="AY24" s="252" t="n">
        <f aca="false">AS24+AU24+AV24</f>
        <v>3</v>
      </c>
      <c r="AZ24" s="252" t="n">
        <f aca="false">BD24+BF24+BH24+BJ24+BL24</f>
        <v>3</v>
      </c>
      <c r="BA24" s="251" t="n">
        <f aca="false">AX24+BC24</f>
        <v>8</v>
      </c>
      <c r="BB24" s="251" t="n">
        <f aca="false">(BA24-8.5)</f>
        <v>-0.5</v>
      </c>
      <c r="BC24" s="252" t="n">
        <f aca="false">BE24+BG24+BI24+BK24+BM24</f>
        <v>3</v>
      </c>
      <c r="BD24" s="252" t="n">
        <f aca="false">COUNTIF(A24:AH24,"*$BTP*")</f>
        <v>1</v>
      </c>
      <c r="BE24" s="252" t="n">
        <f aca="false">BD24*1.5</f>
        <v>1.5</v>
      </c>
      <c r="BF24" s="252" t="n">
        <f aca="false">COUNTIF(A24:AH24,"*$M*")</f>
        <v>1</v>
      </c>
      <c r="BG24" s="252" t="n">
        <f aca="false">BF24*1</f>
        <v>1</v>
      </c>
      <c r="BH24" s="252" t="n">
        <f aca="false">COUNTIF(A24:AH24,"*$PM*")</f>
        <v>0</v>
      </c>
      <c r="BI24" s="252" t="n">
        <f aca="false">BH24*0.5</f>
        <v>0</v>
      </c>
      <c r="BJ24" s="252" t="n">
        <f aca="false">COUNTIF(A24:AH24,"*$AM*")</f>
        <v>1</v>
      </c>
      <c r="BK24" s="252" t="n">
        <f aca="false">BJ24*0.5</f>
        <v>0.5</v>
      </c>
      <c r="BL24" s="252" t="n">
        <f aca="false">COUNTIF(A24:AH24,"*$FC*")</f>
        <v>0</v>
      </c>
      <c r="BM24" s="252" t="n">
        <f aca="false">BL24*1</f>
        <v>0</v>
      </c>
      <c r="BN24" s="252" t="n">
        <f aca="false">COUNTIF($E24:$AB24,BN$4)</f>
        <v>0</v>
      </c>
      <c r="BO24" s="252" t="n">
        <f aca="false">COUNTIF($E24:$AB24,BO$4)</f>
        <v>1</v>
      </c>
      <c r="BP24" s="252" t="n">
        <f aca="false">COUNTIF($E24:$AB24,BP$4)</f>
        <v>0</v>
      </c>
      <c r="BQ24" s="252"/>
    </row>
    <row r="25" customFormat="false" ht="19.5" hidden="false" customHeight="true" outlineLevel="0" collapsed="false">
      <c r="A25" s="249"/>
      <c r="B25" s="207" t="s">
        <v>614</v>
      </c>
      <c r="C25" s="254" t="n">
        <f aca="false">COUNTIF(D25:AG25,"DM")</f>
        <v>2</v>
      </c>
      <c r="D25" s="188"/>
      <c r="E25" s="188"/>
      <c r="F25" s="91"/>
      <c r="G25" s="91"/>
      <c r="H25" s="91" t="s">
        <v>350</v>
      </c>
      <c r="I25" s="91"/>
      <c r="J25" s="91"/>
      <c r="K25" s="91"/>
      <c r="L25" s="91"/>
      <c r="M25" s="91"/>
      <c r="N25" s="91"/>
      <c r="O25" s="91"/>
      <c r="P25" s="91"/>
      <c r="Q25" s="91"/>
      <c r="R25" s="91" t="s">
        <v>59</v>
      </c>
      <c r="S25" s="91"/>
      <c r="T25" s="91" t="s">
        <v>350</v>
      </c>
      <c r="U25" s="91"/>
      <c r="V25" s="91"/>
      <c r="W25" s="91" t="s">
        <v>566</v>
      </c>
      <c r="X25" s="91"/>
      <c r="Y25" s="91" t="s">
        <v>180</v>
      </c>
      <c r="Z25" s="91" t="s">
        <v>57</v>
      </c>
      <c r="AA25" s="91"/>
      <c r="AB25" s="91" t="s">
        <v>58</v>
      </c>
      <c r="AC25" s="91"/>
      <c r="AD25" s="91"/>
      <c r="AE25" s="91" t="s">
        <v>57</v>
      </c>
      <c r="AF25" s="91"/>
      <c r="AG25" s="91"/>
      <c r="AH25" s="250" t="n">
        <f aca="false">COUNTIF($D25:$AG25,AH$4)</f>
        <v>2</v>
      </c>
      <c r="AI25" s="250" t="n">
        <f aca="false">COUNTIF($D25:$AG25,AI$4)</f>
        <v>0</v>
      </c>
      <c r="AJ25" s="250" t="n">
        <f aca="false">COUNTIF($D25:$AG25,AJ$4)</f>
        <v>1</v>
      </c>
      <c r="AK25" s="250" t="n">
        <f aca="false">COUNTIF($D25:$AG25,AK$4)</f>
        <v>1</v>
      </c>
      <c r="AL25" s="250" t="n">
        <f aca="false">COUNTIF($D25:$AG25,AL$4)</f>
        <v>1</v>
      </c>
      <c r="AM25" s="250" t="n">
        <f aca="false">COUNTIF($D25:$AG25,AM$4)</f>
        <v>0</v>
      </c>
      <c r="AN25" s="250" t="n">
        <f aca="false">COUNTIF($D25:$AG25,AN$4)</f>
        <v>0</v>
      </c>
      <c r="AO25" s="250" t="n">
        <f aca="false">COUNTIF($D25:$AG25,AO$4)</f>
        <v>0</v>
      </c>
      <c r="AP25" s="250" t="n">
        <f aca="false">COUNTIF($D25:$AG25,AP$4)</f>
        <v>0</v>
      </c>
      <c r="AQ25" s="251"/>
      <c r="AR25" s="251" t="n">
        <v>0.5</v>
      </c>
      <c r="AS25" s="252" t="n">
        <f aca="false">SUMPRODUCT(--(WEEKDAY(D$3:AG$3,2)&lt;5),--ISNUMBER(MATCH(D25:AG25,{"DM","CS1","CS2","SB1","AE","CS/B"},0)))</f>
        <v>4</v>
      </c>
      <c r="AT25" s="256"/>
      <c r="AU25" s="252" t="n">
        <f aca="false">SUMPRODUCT(--(WEEKDAY(D$3:AG$3,2)=5),--ISNUMBER(MATCH(D25:AG25,{"DM","CS1","CS2","SB1","AE","CS/B","WEEKEND OUTFIELD RESERVE"},0)))</f>
        <v>0</v>
      </c>
      <c r="AV25" s="252" t="n">
        <f aca="false">SUMPRODUCT(--(WEEKDAY(D$3:AG$3,2)&gt;5),--ISNUMBER(MATCH(D25:AG25,{"DM","CS1","CS2","SB1","AE","CS/B","WEEKEND OUTFIELD RESERVE"},0)))</f>
        <v>1</v>
      </c>
      <c r="AW25" s="256"/>
      <c r="AX25" s="252" t="n">
        <f aca="false">(AS25-AT25)+AU25*1.5+(AV25-AW25)*2+AM25*0.5+AO25*0.5+AQ25-AR25</f>
        <v>5.5</v>
      </c>
      <c r="AY25" s="252" t="n">
        <f aca="false">AS25+AU25+AV25</f>
        <v>5</v>
      </c>
      <c r="AZ25" s="252" t="n">
        <f aca="false">BD25+BF25+BH25+BJ25+BL25</f>
        <v>1</v>
      </c>
      <c r="BA25" s="251" t="n">
        <f aca="false">AX25+BC25</f>
        <v>6</v>
      </c>
      <c r="BB25" s="251" t="n">
        <f aca="false">(BA25-8.5)</f>
        <v>-2.5</v>
      </c>
      <c r="BC25" s="252" t="n">
        <f aca="false">BE25+BG25+BI25+BK25+BM25</f>
        <v>0.5</v>
      </c>
      <c r="BD25" s="252" t="n">
        <f aca="false">COUNTIF(A25:AH25,"*$BTP*")</f>
        <v>0</v>
      </c>
      <c r="BE25" s="252" t="n">
        <f aca="false">BD25*1.5</f>
        <v>0</v>
      </c>
      <c r="BF25" s="252" t="n">
        <f aca="false">COUNTIF(A25:AH25,"*$M*")</f>
        <v>0</v>
      </c>
      <c r="BG25" s="252" t="n">
        <f aca="false">BF25*1</f>
        <v>0</v>
      </c>
      <c r="BH25" s="252" t="n">
        <f aca="false">COUNTIF(A25:AH25,"*$PM*")</f>
        <v>0</v>
      </c>
      <c r="BI25" s="252" t="n">
        <f aca="false">BH25*0.5</f>
        <v>0</v>
      </c>
      <c r="BJ25" s="252" t="n">
        <f aca="false">COUNTIF(A25:AH25,"*$AM*")</f>
        <v>1</v>
      </c>
      <c r="BK25" s="252" t="n">
        <f aca="false">BJ25*0.5</f>
        <v>0.5</v>
      </c>
      <c r="BL25" s="252" t="n">
        <f aca="false">COUNTIF(A25:AH25,"*$FC*")</f>
        <v>0</v>
      </c>
      <c r="BM25" s="252" t="n">
        <f aca="false">BL25*1</f>
        <v>0</v>
      </c>
      <c r="BN25" s="252" t="n">
        <f aca="false">COUNTIF($E25:$AB25,BN$4)</f>
        <v>0</v>
      </c>
      <c r="BO25" s="252" t="n">
        <f aca="false">COUNTIF($E25:$AB25,BO$4)</f>
        <v>2</v>
      </c>
      <c r="BP25" s="252" t="n">
        <f aca="false">COUNTIF($E25:$AB25,BP$4)</f>
        <v>0</v>
      </c>
      <c r="BQ25" s="256"/>
    </row>
    <row r="26" customFormat="false" ht="19.5" hidden="false" customHeight="true" outlineLevel="0" collapsed="false">
      <c r="A26" s="249"/>
      <c r="B26" s="207" t="s">
        <v>618</v>
      </c>
      <c r="C26" s="254" t="n">
        <f aca="false">COUNTIF(D26:AG26,"DM")</f>
        <v>3</v>
      </c>
      <c r="D26" s="181"/>
      <c r="E26" s="91"/>
      <c r="F26" s="91" t="s">
        <v>350</v>
      </c>
      <c r="G26" s="91"/>
      <c r="H26" s="91"/>
      <c r="I26" s="91"/>
      <c r="J26" s="91" t="s">
        <v>57</v>
      </c>
      <c r="K26" s="91"/>
      <c r="L26" s="91" t="s">
        <v>57</v>
      </c>
      <c r="M26" s="91" t="s">
        <v>93</v>
      </c>
      <c r="N26" s="91"/>
      <c r="O26" s="91"/>
      <c r="P26" s="91" t="s">
        <v>729</v>
      </c>
      <c r="Q26" s="91" t="s">
        <v>477</v>
      </c>
      <c r="R26" s="91" t="s">
        <v>730</v>
      </c>
      <c r="S26" s="91" t="s">
        <v>477</v>
      </c>
      <c r="T26" s="91" t="s">
        <v>477</v>
      </c>
      <c r="U26" s="91"/>
      <c r="V26" s="91"/>
      <c r="W26" s="91" t="s">
        <v>477</v>
      </c>
      <c r="X26" s="91" t="s">
        <v>477</v>
      </c>
      <c r="Y26" s="91" t="s">
        <v>477</v>
      </c>
      <c r="Z26" s="91" t="s">
        <v>477</v>
      </c>
      <c r="AA26" s="91" t="s">
        <v>477</v>
      </c>
      <c r="AB26" s="91" t="s">
        <v>56</v>
      </c>
      <c r="AC26" s="91"/>
      <c r="AD26" s="91" t="s">
        <v>57</v>
      </c>
      <c r="AE26" s="91"/>
      <c r="AF26" s="91" t="s">
        <v>304</v>
      </c>
      <c r="AG26" s="91"/>
      <c r="AH26" s="250" t="n">
        <f aca="false">COUNTIF($D26:$AG26,AH$4)</f>
        <v>3</v>
      </c>
      <c r="AI26" s="250" t="n">
        <f aca="false">COUNTIF($D26:$AG26,AI$4)</f>
        <v>1</v>
      </c>
      <c r="AJ26" s="250" t="n">
        <f aca="false">COUNTIF($D26:$AG26,AJ$4)</f>
        <v>0</v>
      </c>
      <c r="AK26" s="250" t="n">
        <f aca="false">COUNTIF($D26:$AG26,AK$4)</f>
        <v>0</v>
      </c>
      <c r="AL26" s="250" t="n">
        <f aca="false">COUNTIF($D26:$AG26,AL$4)</f>
        <v>0</v>
      </c>
      <c r="AM26" s="250" t="n">
        <f aca="false">COUNTIF($D26:$AG26,AM$4)</f>
        <v>1</v>
      </c>
      <c r="AN26" s="250" t="n">
        <f aca="false">COUNTIF($D26:$AG26,AN$4)</f>
        <v>0</v>
      </c>
      <c r="AO26" s="250" t="n">
        <f aca="false">COUNTIF($D26:$AG26,AO$4)</f>
        <v>0</v>
      </c>
      <c r="AP26" s="250" t="n">
        <f aca="false">COUNTIF($D26:$AG26,AP$4)</f>
        <v>0</v>
      </c>
      <c r="AQ26" s="251"/>
      <c r="AR26" s="251" t="n">
        <v>1</v>
      </c>
      <c r="AS26" s="252" t="n">
        <f aca="false">SUMPRODUCT(--(WEEKDAY(D$3:AG$3,2)&lt;5),--ISNUMBER(MATCH(D26:AG26,{"DM","CS1","CS2","SB1","AE","CS/B"},0)))</f>
        <v>3</v>
      </c>
      <c r="AT26" s="256"/>
      <c r="AU26" s="252" t="n">
        <f aca="false">SUMPRODUCT(--(WEEKDAY(D$3:AG$3,2)=5),--ISNUMBER(MATCH(D26:AG26,{"DM","CS1","CS2","SB1","AE","CS/B","WEEKEND OUTFIELD RESERVE"},0)))</f>
        <v>0</v>
      </c>
      <c r="AV26" s="252" t="n">
        <f aca="false">SUMPRODUCT(--(WEEKDAY(D$3:AG$3,2)&gt;5),--ISNUMBER(MATCH(D26:AG26,{"DM","CS1","CS2","SB1","AE","CS/B","WEEKEND OUTFIELD RESERVE"},0)))</f>
        <v>1</v>
      </c>
      <c r="AW26" s="256"/>
      <c r="AX26" s="252" t="n">
        <f aca="false">(AS26-AT26)+AU26*1.5+(AV26-AW26)*2+AM26*0.5+AO26*0.5+AQ26-AR26</f>
        <v>4.5</v>
      </c>
      <c r="AY26" s="252" t="n">
        <f aca="false">AS26+AU26+AV26</f>
        <v>4</v>
      </c>
      <c r="AZ26" s="252" t="n">
        <f aca="false">BD26+BF26+BH26+BJ26+BL26</f>
        <v>1</v>
      </c>
      <c r="BA26" s="251" t="n">
        <f aca="false">AX26+BC26</f>
        <v>5.5</v>
      </c>
      <c r="BB26" s="251" t="n">
        <f aca="false">(BA26-8.5)</f>
        <v>-3</v>
      </c>
      <c r="BC26" s="252" t="n">
        <f aca="false">BE26+BG26+BI26+BK26+BM26</f>
        <v>1</v>
      </c>
      <c r="BD26" s="252" t="n">
        <f aca="false">COUNTIF(A26:AH26,"*$BTP*")</f>
        <v>0</v>
      </c>
      <c r="BE26" s="252" t="n">
        <f aca="false">BD26*1.5</f>
        <v>0</v>
      </c>
      <c r="BF26" s="252" t="n">
        <f aca="false">COUNTIF(A26:AH26,"*$M*")</f>
        <v>1</v>
      </c>
      <c r="BG26" s="252" t="n">
        <f aca="false">BF26*1</f>
        <v>1</v>
      </c>
      <c r="BH26" s="252" t="n">
        <f aca="false">COUNTIF(A26:AH26,"*$PM*")</f>
        <v>0</v>
      </c>
      <c r="BI26" s="252" t="n">
        <f aca="false">BH26*0.5</f>
        <v>0</v>
      </c>
      <c r="BJ26" s="252" t="n">
        <f aca="false">COUNTIF(A26:AH26,"*$AM*")</f>
        <v>0</v>
      </c>
      <c r="BK26" s="252" t="n">
        <f aca="false">BJ26*0.5</f>
        <v>0</v>
      </c>
      <c r="BL26" s="252" t="n">
        <f aca="false">COUNTIF(A26:AH26,"*$FC*")</f>
        <v>0</v>
      </c>
      <c r="BM26" s="252" t="n">
        <f aca="false">BL26*1</f>
        <v>0</v>
      </c>
      <c r="BN26" s="252" t="n">
        <f aca="false">COUNTIF($E26:$AB26,BN$4)</f>
        <v>0</v>
      </c>
      <c r="BO26" s="252" t="n">
        <f aca="false">COUNTIF($E26:$AB26,BO$4)</f>
        <v>1</v>
      </c>
      <c r="BP26" s="252" t="n">
        <f aca="false">COUNTIF($E26:$AB26,BP$4)</f>
        <v>0</v>
      </c>
      <c r="BQ26" s="256"/>
    </row>
    <row r="27" customFormat="false" ht="19.5" hidden="false" customHeight="true" outlineLevel="0" collapsed="false">
      <c r="A27" s="249"/>
      <c r="B27" s="207" t="s">
        <v>442</v>
      </c>
      <c r="C27" s="254"/>
      <c r="D27" s="188" t="s">
        <v>56</v>
      </c>
      <c r="E27" s="188"/>
      <c r="F27" s="91"/>
      <c r="G27" s="91"/>
      <c r="H27" s="91"/>
      <c r="I27" s="91" t="s">
        <v>731</v>
      </c>
      <c r="J27" s="91" t="s">
        <v>731</v>
      </c>
      <c r="K27" s="91" t="s">
        <v>731</v>
      </c>
      <c r="L27" s="91" t="s">
        <v>731</v>
      </c>
      <c r="M27" s="91" t="s">
        <v>731</v>
      </c>
      <c r="N27" s="91" t="s">
        <v>731</v>
      </c>
      <c r="O27" s="91" t="s">
        <v>731</v>
      </c>
      <c r="P27" s="91" t="s">
        <v>731</v>
      </c>
      <c r="Q27" s="91" t="s">
        <v>731</v>
      </c>
      <c r="R27" s="91" t="s">
        <v>731</v>
      </c>
      <c r="S27" s="91" t="s">
        <v>731</v>
      </c>
      <c r="T27" s="91" t="s">
        <v>731</v>
      </c>
      <c r="U27" s="91" t="s">
        <v>731</v>
      </c>
      <c r="V27" s="91" t="s">
        <v>731</v>
      </c>
      <c r="W27" s="91" t="s">
        <v>731</v>
      </c>
      <c r="X27" s="91" t="s">
        <v>731</v>
      </c>
      <c r="Y27" s="91" t="s">
        <v>731</v>
      </c>
      <c r="Z27" s="91" t="s">
        <v>731</v>
      </c>
      <c r="AA27" s="91" t="s">
        <v>731</v>
      </c>
      <c r="AB27" s="91" t="s">
        <v>731</v>
      </c>
      <c r="AC27" s="91" t="s">
        <v>731</v>
      </c>
      <c r="AD27" s="91" t="s">
        <v>731</v>
      </c>
      <c r="AE27" s="91"/>
      <c r="AF27" s="91"/>
      <c r="AG27" s="91"/>
      <c r="AH27" s="250" t="n">
        <f aca="false">COUNTIF($D27:$AG27,AH$4)</f>
        <v>0</v>
      </c>
      <c r="AI27" s="250" t="n">
        <f aca="false">COUNTIF($D27:$AG27,AI$4)</f>
        <v>1</v>
      </c>
      <c r="AJ27" s="250" t="n">
        <f aca="false">COUNTIF($D27:$AG27,AJ$4)</f>
        <v>0</v>
      </c>
      <c r="AK27" s="250" t="n">
        <f aca="false">COUNTIF($D27:$AG27,AK$4)</f>
        <v>0</v>
      </c>
      <c r="AL27" s="250" t="n">
        <f aca="false">COUNTIF($D27:$AG27,AL$4)</f>
        <v>0</v>
      </c>
      <c r="AM27" s="250" t="n">
        <f aca="false">COUNTIF($D27:$AG27,AM$4)</f>
        <v>0</v>
      </c>
      <c r="AN27" s="250" t="n">
        <f aca="false">COUNTIF($D27:$AG27,AN$4)</f>
        <v>0</v>
      </c>
      <c r="AO27" s="250" t="n">
        <f aca="false">COUNTIF($D27:$AG27,AO$4)</f>
        <v>0</v>
      </c>
      <c r="AP27" s="250" t="n">
        <f aca="false">COUNTIF($D27:$AG27,AP$4)</f>
        <v>0</v>
      </c>
      <c r="AQ27" s="251"/>
      <c r="AR27" s="251" t="n">
        <v>0.5</v>
      </c>
      <c r="AS27" s="252" t="n">
        <f aca="false">SUMPRODUCT(--(WEEKDAY(D$3:AG$3,2)&lt;5),--ISNUMBER(MATCH(D27:AG27,{"DM","CS1","CS2","SB1","AE","CS/B"},0)))</f>
        <v>1</v>
      </c>
      <c r="AT27" s="256"/>
      <c r="AU27" s="252" t="n">
        <f aca="false">SUMPRODUCT(--(WEEKDAY(D$3:AG$3,2)=5),--ISNUMBER(MATCH(D27:AG27,{"DM","CS1","CS2","SB1","AE","CS/B","WEEKEND OUTFIELD RESERVE"},0)))</f>
        <v>0</v>
      </c>
      <c r="AV27" s="252" t="n">
        <f aca="false">SUMPRODUCT(--(WEEKDAY(D$3:AG$3,2)&gt;5),--ISNUMBER(MATCH(D27:AG27,{"DM","CS1","CS2","SB1","AE","CS/B","WEEKEND OUTFIELD RESERVE"},0)))</f>
        <v>0</v>
      </c>
      <c r="AW27" s="256"/>
      <c r="AX27" s="252" t="n">
        <f aca="false">(AS27-AT27)+AU27*1.5+(AV27-AW27)*2+AM27*0.5+AO27*0.5+AQ27-AR27</f>
        <v>0.5</v>
      </c>
      <c r="AY27" s="252" t="n">
        <f aca="false">AS27+AU27+AV27</f>
        <v>1</v>
      </c>
      <c r="AZ27" s="252" t="n">
        <f aca="false">BD27+BF27+BH27+BJ27+BL27</f>
        <v>0</v>
      </c>
      <c r="BA27" s="251" t="n">
        <f aca="false">AX27+BC27</f>
        <v>0.5</v>
      </c>
      <c r="BB27" s="251" t="n">
        <f aca="false">(BA27-8.5)</f>
        <v>-8</v>
      </c>
      <c r="BC27" s="252" t="n">
        <f aca="false">BE27+BG27+BI27+BK27+BM27</f>
        <v>0</v>
      </c>
      <c r="BD27" s="252" t="n">
        <f aca="false">COUNTIF(A27:AH27,"*$BTP*")</f>
        <v>0</v>
      </c>
      <c r="BE27" s="252" t="n">
        <f aca="false">BD27*1.5</f>
        <v>0</v>
      </c>
      <c r="BF27" s="252" t="n">
        <f aca="false">COUNTIF(A27:AH27,"*$M*")</f>
        <v>0</v>
      </c>
      <c r="BG27" s="252" t="n">
        <f aca="false">BF27*1</f>
        <v>0</v>
      </c>
      <c r="BH27" s="252" t="n">
        <f aca="false">COUNTIF(A27:AH27,"*$PM*")</f>
        <v>0</v>
      </c>
      <c r="BI27" s="252" t="n">
        <f aca="false">BH27*0.5</f>
        <v>0</v>
      </c>
      <c r="BJ27" s="252" t="n">
        <f aca="false">COUNTIF(A27:AH27,"*$AM*")</f>
        <v>0</v>
      </c>
      <c r="BK27" s="252" t="n">
        <f aca="false">BJ27*0.5</f>
        <v>0</v>
      </c>
      <c r="BL27" s="252" t="n">
        <f aca="false">COUNTIF(A27:AH27,"*$FC*")</f>
        <v>0</v>
      </c>
      <c r="BM27" s="252" t="n">
        <f aca="false">BL27*1</f>
        <v>0</v>
      </c>
      <c r="BN27" s="252" t="n">
        <f aca="false">COUNTIF($E27:$AB27,BN$4)</f>
        <v>0</v>
      </c>
      <c r="BO27" s="252" t="n">
        <f aca="false">COUNTIF($E27:$AB27,BO$4)</f>
        <v>0</v>
      </c>
      <c r="BP27" s="252" t="n">
        <f aca="false">COUNTIF($E27:$AB27,BP$4)</f>
        <v>0</v>
      </c>
      <c r="BQ27" s="256"/>
    </row>
    <row r="28" customFormat="false" ht="19.5" hidden="false" customHeight="true" outlineLevel="0" collapsed="false">
      <c r="A28" s="249"/>
      <c r="B28" s="207" t="s">
        <v>623</v>
      </c>
      <c r="C28" s="254" t="n">
        <f aca="false">COUNTIF(D28:AG28,"DM")</f>
        <v>4</v>
      </c>
      <c r="D28" s="181" t="s">
        <v>59</v>
      </c>
      <c r="E28" s="181"/>
      <c r="F28" s="91"/>
      <c r="G28" s="91"/>
      <c r="H28" s="91"/>
      <c r="I28" s="91" t="s">
        <v>57</v>
      </c>
      <c r="J28" s="91"/>
      <c r="K28" s="91"/>
      <c r="L28" s="91"/>
      <c r="M28" s="91"/>
      <c r="N28" s="91"/>
      <c r="O28" s="91"/>
      <c r="P28" s="91"/>
      <c r="Q28" s="91"/>
      <c r="R28" s="91" t="s">
        <v>57</v>
      </c>
      <c r="S28" s="91"/>
      <c r="T28" s="91"/>
      <c r="U28" s="91"/>
      <c r="V28" s="91" t="s">
        <v>566</v>
      </c>
      <c r="W28" s="91"/>
      <c r="X28" s="91"/>
      <c r="Y28" s="91" t="s">
        <v>57</v>
      </c>
      <c r="Z28" s="91"/>
      <c r="AA28" s="91" t="s">
        <v>57</v>
      </c>
      <c r="AB28" s="91"/>
      <c r="AC28" s="91"/>
      <c r="AD28" s="91" t="s">
        <v>732</v>
      </c>
      <c r="AE28" s="91"/>
      <c r="AF28" s="91"/>
      <c r="AG28" s="91" t="s">
        <v>350</v>
      </c>
      <c r="AH28" s="250" t="n">
        <f aca="false">COUNTIF($D28:$AG28,AH$4)</f>
        <v>4</v>
      </c>
      <c r="AI28" s="250" t="n">
        <f aca="false">COUNTIF($D28:$AG28,AI$4)</f>
        <v>0</v>
      </c>
      <c r="AJ28" s="250" t="n">
        <f aca="false">COUNTIF($D28:$AG28,AJ$4)</f>
        <v>1</v>
      </c>
      <c r="AK28" s="250" t="n">
        <f aca="false">COUNTIF($D28:$AG28,AK$4)</f>
        <v>1</v>
      </c>
      <c r="AL28" s="250" t="n">
        <f aca="false">COUNTIF($D28:$AG28,AL$4)</f>
        <v>0</v>
      </c>
      <c r="AM28" s="250" t="n">
        <f aca="false">COUNTIF($D28:$AG28,AM$4)</f>
        <v>0</v>
      </c>
      <c r="AN28" s="250" t="n">
        <f aca="false">COUNTIF($D28:$AG28,AN$4)</f>
        <v>0</v>
      </c>
      <c r="AO28" s="250" t="n">
        <f aca="false">COUNTIF($D28:$AG28,AO$4)</f>
        <v>0</v>
      </c>
      <c r="AP28" s="250" t="n">
        <f aca="false">COUNTIF($D28:$AG28,AP$4)</f>
        <v>0</v>
      </c>
      <c r="AQ28" s="251" t="n">
        <v>0.5</v>
      </c>
      <c r="AR28" s="251"/>
      <c r="AS28" s="252" t="n">
        <f aca="false">SUMPRODUCT(--(WEEKDAY(D$3:AG$3,2)&lt;5),--ISNUMBER(MATCH(D28:AG28,{"DM","CS1","CS2","SB1","AE","CS/B"},0)))</f>
        <v>4</v>
      </c>
      <c r="AT28" s="256"/>
      <c r="AU28" s="252" t="n">
        <f aca="false">SUMPRODUCT(--(WEEKDAY(D$3:AG$3,2)=5),--ISNUMBER(MATCH(D28:AG28,{"DM","CS1","CS2","SB1","AE","CS/B","WEEKEND OUTFIELD RESERVE"},0)))</f>
        <v>1</v>
      </c>
      <c r="AV28" s="252" t="n">
        <f aca="false">SUMPRODUCT(--(WEEKDAY(D$3:AG$3,2)&gt;5),--ISNUMBER(MATCH(D28:AG28,{"DM","CS1","CS2","SB1","AE","CS/B","WEEKEND OUTFIELD RESERVE"},0)))</f>
        <v>1</v>
      </c>
      <c r="AW28" s="256"/>
      <c r="AX28" s="252" t="n">
        <f aca="false">(AS28-AT28)+AU28*1.5+(AV28-AW28)*2+AM28*0.5+AO28*0.5+AQ28-AR28</f>
        <v>8</v>
      </c>
      <c r="AY28" s="252" t="n">
        <f aca="false">AS28+AU28+AV28</f>
        <v>6</v>
      </c>
      <c r="AZ28" s="252" t="n">
        <f aca="false">BD28+BF28+BH28+BJ28+BL28</f>
        <v>1</v>
      </c>
      <c r="BA28" s="251" t="n">
        <f aca="false">AX28+BC28</f>
        <v>8.5</v>
      </c>
      <c r="BB28" s="251" t="n">
        <f aca="false">(BA28-8.5)</f>
        <v>0</v>
      </c>
      <c r="BC28" s="252" t="n">
        <f aca="false">BE28+BG28+BI28+BK28+BM28</f>
        <v>0.5</v>
      </c>
      <c r="BD28" s="252" t="n">
        <f aca="false">COUNTIF(A28:AH28,"*$BTP*")</f>
        <v>0</v>
      </c>
      <c r="BE28" s="252" t="n">
        <f aca="false">BD28*1.5</f>
        <v>0</v>
      </c>
      <c r="BF28" s="252" t="n">
        <f aca="false">COUNTIF(A28:AH28,"*$M*")</f>
        <v>0</v>
      </c>
      <c r="BG28" s="252" t="n">
        <f aca="false">BF28*1</f>
        <v>0</v>
      </c>
      <c r="BH28" s="252" t="n">
        <f aca="false">COUNTIF(A28:AH28,"*$PM*")</f>
        <v>0</v>
      </c>
      <c r="BI28" s="252" t="n">
        <f aca="false">BH28*0.5</f>
        <v>0</v>
      </c>
      <c r="BJ28" s="252" t="n">
        <f aca="false">COUNTIF(A28:AH28,"*$AM*")</f>
        <v>1</v>
      </c>
      <c r="BK28" s="252" t="n">
        <f aca="false">BJ28*0.5</f>
        <v>0.5</v>
      </c>
      <c r="BL28" s="252" t="n">
        <f aca="false">COUNTIF(A28:AH28,"*$FC*")</f>
        <v>0</v>
      </c>
      <c r="BM28" s="252" t="n">
        <f aca="false">BL28*1</f>
        <v>0</v>
      </c>
      <c r="BN28" s="252" t="n">
        <f aca="false">COUNTIF($E28:$AB28,BN$4)</f>
        <v>0</v>
      </c>
      <c r="BO28" s="252" t="n">
        <f aca="false">COUNTIF($E28:$AB28,BO$4)</f>
        <v>0</v>
      </c>
      <c r="BP28" s="252" t="n">
        <f aca="false">COUNTIF($E28:$AB28,BP$4)</f>
        <v>0</v>
      </c>
      <c r="BQ28" s="256"/>
    </row>
    <row r="29" customFormat="false" ht="47.25" hidden="false" customHeight="true" outlineLevel="0" collapsed="false">
      <c r="A29" s="249"/>
      <c r="B29" s="207" t="s">
        <v>625</v>
      </c>
      <c r="C29" s="207"/>
      <c r="D29" s="188"/>
      <c r="E29" s="188"/>
      <c r="F29" s="91"/>
      <c r="G29" s="91"/>
      <c r="H29" s="91"/>
      <c r="I29" s="91"/>
      <c r="J29" s="91" t="s">
        <v>56</v>
      </c>
      <c r="K29" s="91"/>
      <c r="L29" s="91" t="s">
        <v>707</v>
      </c>
      <c r="M29" s="91" t="s">
        <v>59</v>
      </c>
      <c r="N29" s="91"/>
      <c r="O29" s="91" t="s">
        <v>566</v>
      </c>
      <c r="P29" s="91" t="s">
        <v>380</v>
      </c>
      <c r="Q29" s="91" t="s">
        <v>380</v>
      </c>
      <c r="R29" s="91"/>
      <c r="S29" s="91" t="s">
        <v>350</v>
      </c>
      <c r="T29" s="91" t="s">
        <v>162</v>
      </c>
      <c r="U29" s="91"/>
      <c r="V29" s="91"/>
      <c r="W29" s="91"/>
      <c r="X29" s="91"/>
      <c r="Y29" s="91" t="s">
        <v>56</v>
      </c>
      <c r="Z29" s="91"/>
      <c r="AA29" s="91" t="s">
        <v>54</v>
      </c>
      <c r="AB29" s="91" t="s">
        <v>54</v>
      </c>
      <c r="AC29" s="91" t="s">
        <v>54</v>
      </c>
      <c r="AD29" s="91"/>
      <c r="AE29" s="91"/>
      <c r="AF29" s="91"/>
      <c r="AG29" s="91"/>
      <c r="AH29" s="250" t="n">
        <f aca="false">COUNTIF($D29:$AG29,AH$4)</f>
        <v>0</v>
      </c>
      <c r="AI29" s="250" t="n">
        <f aca="false">COUNTIF($D29:$AG29,AI$4)</f>
        <v>2</v>
      </c>
      <c r="AJ29" s="250" t="n">
        <f aca="false">COUNTIF($D29:$AG29,AJ$4)</f>
        <v>1</v>
      </c>
      <c r="AK29" s="250" t="n">
        <f aca="false">COUNTIF($D29:$AG29,AK$4)</f>
        <v>1</v>
      </c>
      <c r="AL29" s="250" t="n">
        <f aca="false">COUNTIF($D29:$AG29,AL$4)</f>
        <v>0</v>
      </c>
      <c r="AM29" s="250" t="n">
        <f aca="false">COUNTIF($D29:$AG29,AM$4)</f>
        <v>0</v>
      </c>
      <c r="AN29" s="250" t="n">
        <f aca="false">COUNTIF($D29:$AG29,AN$4)</f>
        <v>0</v>
      </c>
      <c r="AO29" s="250" t="n">
        <f aca="false">COUNTIF($D29:$AG29,AO$4)</f>
        <v>0</v>
      </c>
      <c r="AP29" s="250" t="n">
        <f aca="false">COUNTIF($D29:$AG29,AP$4)</f>
        <v>0</v>
      </c>
      <c r="AQ29" s="251" t="n">
        <v>2</v>
      </c>
      <c r="AR29" s="251"/>
      <c r="AS29" s="252" t="n">
        <f aca="false">SUMPRODUCT(--(WEEKDAY(D$3:AG$3,2)&lt;5),--ISNUMBER(MATCH(D29:AG29,{"DM","CS1","CS2","SB1","AE","CS/B"},0)))</f>
        <v>2</v>
      </c>
      <c r="AT29" s="256"/>
      <c r="AU29" s="252" t="n">
        <f aca="false">SUMPRODUCT(--(WEEKDAY(D$3:AG$3,2)=5),--ISNUMBER(MATCH(D29:AG29,{"DM","CS1","CS2","SB1","AE","CS/B","WEEKEND OUTFIELD RESERVE"},0)))</f>
        <v>1</v>
      </c>
      <c r="AV29" s="252" t="n">
        <f aca="false">SUMPRODUCT(--(WEEKDAY(D$3:AG$3,2)&gt;5),--ISNUMBER(MATCH(D29:AG29,{"DM","CS1","CS2","SB1","AE","CS/B","WEEKEND OUTFIELD RESERVE"},0)))</f>
        <v>1</v>
      </c>
      <c r="AW29" s="256"/>
      <c r="AX29" s="252" t="n">
        <f aca="false">(AS29-AT29)+AU29*1.5+(AV29-AW29)*2+AM29*0.5+AO29*0.5+AQ29-AR29</f>
        <v>7.5</v>
      </c>
      <c r="AY29" s="252" t="n">
        <f aca="false">AS29+AU29+AV29</f>
        <v>4</v>
      </c>
      <c r="AZ29" s="252" t="n">
        <f aca="false">BD29+BF29+BH29+BJ29+BL29</f>
        <v>0</v>
      </c>
      <c r="BA29" s="251" t="n">
        <f aca="false">AX29+BC29</f>
        <v>7.5</v>
      </c>
      <c r="BB29" s="251" t="n">
        <f aca="false">(BA29-8.5)</f>
        <v>-1</v>
      </c>
      <c r="BC29" s="252" t="n">
        <f aca="false">BE29+BG29+BI29+BK29+BM29</f>
        <v>0</v>
      </c>
      <c r="BD29" s="252" t="n">
        <f aca="false">COUNTIF(A29:AH29,"*$BTP*")</f>
        <v>0</v>
      </c>
      <c r="BE29" s="252" t="n">
        <f aca="false">BD29*1.5</f>
        <v>0</v>
      </c>
      <c r="BF29" s="252" t="n">
        <f aca="false">COUNTIF(A29:AH29,"*$M*")</f>
        <v>0</v>
      </c>
      <c r="BG29" s="252" t="n">
        <f aca="false">BF29*1</f>
        <v>0</v>
      </c>
      <c r="BH29" s="252" t="n">
        <f aca="false">COUNTIF(A29:AH29,"*$PM*")</f>
        <v>0</v>
      </c>
      <c r="BI29" s="252" t="n">
        <f aca="false">BH29*0.5</f>
        <v>0</v>
      </c>
      <c r="BJ29" s="252" t="n">
        <f aca="false">COUNTIF(A29:AH29,"*$AM*")</f>
        <v>0</v>
      </c>
      <c r="BK29" s="252" t="n">
        <f aca="false">BJ29*0.5</f>
        <v>0</v>
      </c>
      <c r="BL29" s="252" t="n">
        <f aca="false">COUNTIF(A29:AH29,"*$FC*")</f>
        <v>0</v>
      </c>
      <c r="BM29" s="252" t="n">
        <f aca="false">BL29*1</f>
        <v>0</v>
      </c>
      <c r="BN29" s="252" t="n">
        <f aca="false">COUNTIF($E29:$AB29,BN$4)</f>
        <v>0</v>
      </c>
      <c r="BO29" s="252" t="n">
        <f aca="false">COUNTIF($E29:$AB29,BO$4)</f>
        <v>1</v>
      </c>
      <c r="BP29" s="252" t="n">
        <f aca="false">COUNTIF($E29:$AB29,BP$4)</f>
        <v>0</v>
      </c>
      <c r="BQ29" s="256"/>
    </row>
    <row r="30" customFormat="false" ht="19.5" hidden="false" customHeight="true" outlineLevel="0" collapsed="false">
      <c r="A30" s="249"/>
      <c r="B30" s="207" t="s">
        <v>627</v>
      </c>
      <c r="C30" s="254" t="n">
        <f aca="false">COUNTIF(D30:AG30,"DM")</f>
        <v>2</v>
      </c>
      <c r="D30" s="181"/>
      <c r="E30" s="181"/>
      <c r="F30" s="91"/>
      <c r="G30" s="91"/>
      <c r="H30" s="91" t="s">
        <v>59</v>
      </c>
      <c r="I30" s="91"/>
      <c r="J30" s="91" t="s">
        <v>573</v>
      </c>
      <c r="K30" s="91" t="s">
        <v>57</v>
      </c>
      <c r="L30" s="91"/>
      <c r="M30" s="91"/>
      <c r="N30" s="91"/>
      <c r="O30" s="91"/>
      <c r="P30" s="91" t="s">
        <v>57</v>
      </c>
      <c r="Q30" s="91"/>
      <c r="R30" s="91"/>
      <c r="S30" s="91"/>
      <c r="T30" s="91"/>
      <c r="U30" s="91"/>
      <c r="V30" s="91"/>
      <c r="W30" s="91"/>
      <c r="X30" s="91" t="s">
        <v>733</v>
      </c>
      <c r="Y30" s="91"/>
      <c r="Z30" s="91"/>
      <c r="AA30" s="91"/>
      <c r="AB30" s="91" t="s">
        <v>59</v>
      </c>
      <c r="AC30" s="91"/>
      <c r="AD30" s="91" t="s">
        <v>576</v>
      </c>
      <c r="AF30" s="91" t="s">
        <v>576</v>
      </c>
      <c r="AG30" s="91" t="s">
        <v>734</v>
      </c>
      <c r="AH30" s="250" t="n">
        <f aca="false">COUNTIF($D30:$AG30,AH$4)</f>
        <v>2</v>
      </c>
      <c r="AI30" s="250" t="n">
        <f aca="false">COUNTIF($D30:$AG30,AI$4)</f>
        <v>0</v>
      </c>
      <c r="AJ30" s="250" t="n">
        <f aca="false">COUNTIF($D30:$AG30,AJ$4)</f>
        <v>2</v>
      </c>
      <c r="AK30" s="250" t="n">
        <f aca="false">COUNTIF($D30:$AG30,AK$4)</f>
        <v>0</v>
      </c>
      <c r="AL30" s="250" t="n">
        <f aca="false">COUNTIF($D30:$AG30,AL$4)</f>
        <v>0</v>
      </c>
      <c r="AM30" s="250" t="n">
        <f aca="false">COUNTIF($D30:$AG30,AM$4)</f>
        <v>0</v>
      </c>
      <c r="AN30" s="250" t="n">
        <f aca="false">COUNTIF($D30:$AG30,AN$4)</f>
        <v>0</v>
      </c>
      <c r="AO30" s="250" t="n">
        <f aca="false">COUNTIF($D30:$AG30,AO$4)</f>
        <v>2</v>
      </c>
      <c r="AP30" s="250" t="n">
        <f aca="false">COUNTIF($D30:$AG30,AP$4)</f>
        <v>0</v>
      </c>
      <c r="AQ30" s="251" t="n">
        <v>0.5</v>
      </c>
      <c r="AR30" s="251"/>
      <c r="AS30" s="252" t="n">
        <f aca="false">SUMPRODUCT(--(WEEKDAY(D$3:AG$3,2)&lt;5),--ISNUMBER(MATCH(D30:AG30,{"DM","CS1","CS2","SB1","AE","CS/B"},0)))</f>
        <v>2</v>
      </c>
      <c r="AT30" s="256"/>
      <c r="AU30" s="252" t="n">
        <f aca="false">SUMPRODUCT(--(WEEKDAY(D$3:AG$3,2)=5),--ISNUMBER(MATCH(D30:AG30,{"DM","CS1","CS2","SB1","AE","CS/B","WEEKEND OUTFIELD RESERVE"},0)))</f>
        <v>0</v>
      </c>
      <c r="AV30" s="252" t="n">
        <f aca="false">SUMPRODUCT(--(WEEKDAY(D$3:AG$3,2)&gt;5),--ISNUMBER(MATCH(D30:AG30,{"DM","CS1","CS2","SB1","AE","CS/B","WEEKEND OUTFIELD RESERVE"},0)))</f>
        <v>2</v>
      </c>
      <c r="AW30" s="256"/>
      <c r="AX30" s="252" t="n">
        <f aca="false">(AS30-AT30)+AU30*1.5+(AV30-AW30)*2+AM30*0.5+AO30*0.5+AQ30-AR30</f>
        <v>7.5</v>
      </c>
      <c r="AY30" s="252" t="n">
        <f aca="false">AS30+AU30+AV30</f>
        <v>4</v>
      </c>
      <c r="AZ30" s="252" t="n">
        <f aca="false">BD30+BF30+BH30+BJ30+BL30</f>
        <v>2</v>
      </c>
      <c r="BA30" s="251" t="n">
        <f aca="false">AX30+BC30</f>
        <v>8.5</v>
      </c>
      <c r="BB30" s="251" t="n">
        <f aca="false">(BA30-8.5)</f>
        <v>0</v>
      </c>
      <c r="BC30" s="252" t="n">
        <f aca="false">BE30+BG30+BI30+BK30+BM30</f>
        <v>1</v>
      </c>
      <c r="BD30" s="252" t="n">
        <f aca="false">COUNTIF(A30:AH30,"*$BTP*")</f>
        <v>0</v>
      </c>
      <c r="BE30" s="252" t="n">
        <f aca="false">BD30*1.5</f>
        <v>0</v>
      </c>
      <c r="BF30" s="252" t="n">
        <f aca="false">COUNTIF(A30:AH30,"*$M*")</f>
        <v>0</v>
      </c>
      <c r="BG30" s="252" t="n">
        <f aca="false">BF30*1</f>
        <v>0</v>
      </c>
      <c r="BH30" s="252" t="n">
        <f aca="false">COUNTIF(A30:AH30,"*$PM*")</f>
        <v>1</v>
      </c>
      <c r="BI30" s="252" t="n">
        <f aca="false">BH30*0.5</f>
        <v>0.5</v>
      </c>
      <c r="BJ30" s="252" t="n">
        <f aca="false">COUNTIF(A30:AH30,"*$AM*")</f>
        <v>1</v>
      </c>
      <c r="BK30" s="252" t="n">
        <f aca="false">BJ30*0.5</f>
        <v>0.5</v>
      </c>
      <c r="BL30" s="252" t="n">
        <f aca="false">COUNTIF(A30:AH30,"*$FC*")</f>
        <v>0</v>
      </c>
      <c r="BM30" s="252" t="n">
        <f aca="false">BL30*1</f>
        <v>0</v>
      </c>
      <c r="BN30" s="252" t="n">
        <f aca="false">COUNTIF($E30:$AA30,BN$4)</f>
        <v>0</v>
      </c>
      <c r="BO30" s="252" t="n">
        <f aca="false">COUNTIF($E30:$AA30,BO$4)</f>
        <v>0</v>
      </c>
      <c r="BP30" s="252" t="n">
        <f aca="false">COUNTIF($E30:$AA30,BP$4)</f>
        <v>0</v>
      </c>
      <c r="BQ30" s="256"/>
    </row>
    <row r="31" customFormat="false" ht="19.5" hidden="false" customHeight="true" outlineLevel="0" collapsed="false">
      <c r="A31" s="249"/>
      <c r="B31" s="207" t="s">
        <v>633</v>
      </c>
      <c r="C31" s="207"/>
      <c r="D31" s="188"/>
      <c r="E31" s="188"/>
      <c r="F31" s="91"/>
      <c r="G31" s="91"/>
      <c r="H31" s="91" t="s">
        <v>56</v>
      </c>
      <c r="I31" s="91"/>
      <c r="J31" s="91" t="s">
        <v>58</v>
      </c>
      <c r="K31" s="91"/>
      <c r="L31" s="91"/>
      <c r="M31" s="91"/>
      <c r="N31" s="91"/>
      <c r="O31" s="91"/>
      <c r="P31" s="91" t="s">
        <v>65</v>
      </c>
      <c r="Q31" s="91"/>
      <c r="R31" s="91" t="s">
        <v>58</v>
      </c>
      <c r="S31" s="91"/>
      <c r="T31" s="91"/>
      <c r="U31" s="91"/>
      <c r="V31" s="91"/>
      <c r="W31" s="91"/>
      <c r="X31" s="91"/>
      <c r="Y31" s="91"/>
      <c r="Z31" s="91" t="s">
        <v>566</v>
      </c>
      <c r="AA31" s="91"/>
      <c r="AB31" s="91"/>
      <c r="AC31" s="91"/>
      <c r="AD31" s="91" t="s">
        <v>350</v>
      </c>
      <c r="AE31" s="91" t="s">
        <v>576</v>
      </c>
      <c r="AF31" s="91" t="s">
        <v>93</v>
      </c>
      <c r="AG31" s="91"/>
      <c r="AH31" s="250" t="n">
        <f aca="false">COUNTIF($D31:$AG31,AH$4)</f>
        <v>0</v>
      </c>
      <c r="AI31" s="250" t="n">
        <f aca="false">COUNTIF($D31:$AG31,AI$4)</f>
        <v>1</v>
      </c>
      <c r="AJ31" s="250" t="n">
        <f aca="false">COUNTIF($D31:$AG31,AJ$4)</f>
        <v>0</v>
      </c>
      <c r="AK31" s="250" t="n">
        <f aca="false">COUNTIF($D31:$AG31,AK$4)</f>
        <v>1</v>
      </c>
      <c r="AL31" s="250" t="n">
        <f aca="false">COUNTIF($D31:$AG31,AL$4)</f>
        <v>2</v>
      </c>
      <c r="AM31" s="250" t="n">
        <f aca="false">COUNTIF($D31:$AG31,AM$4)</f>
        <v>1</v>
      </c>
      <c r="AN31" s="250" t="n">
        <f aca="false">COUNTIF($D31:$AG31,AN$4)</f>
        <v>1</v>
      </c>
      <c r="AO31" s="250" t="n">
        <f aca="false">COUNTIF($D31:$AG31,AO$4)</f>
        <v>1</v>
      </c>
      <c r="AP31" s="250" t="n">
        <f aca="false">COUNTIF($D31:$AG31,AP$4)</f>
        <v>0</v>
      </c>
      <c r="AQ31" s="251"/>
      <c r="AR31" s="251"/>
      <c r="AS31" s="252" t="n">
        <f aca="false">SUMPRODUCT(--(WEEKDAY(D$3:AG$3,2)&lt;5),--ISNUMBER(MATCH(D31:AG31,{"DM","CS1","CS2","SB1","AE","CS/B"},0)))</f>
        <v>4</v>
      </c>
      <c r="AT31" s="256"/>
      <c r="AU31" s="252" t="n">
        <f aca="false">SUMPRODUCT(--(WEEKDAY(D$3:AG$3,2)=5),--ISNUMBER(MATCH(D31:AG31,{"DM","CS1","CS2","SB1","AE","CS/B","WEEKEND OUTFIELD RESERVE"},0)))</f>
        <v>0</v>
      </c>
      <c r="AV31" s="252" t="n">
        <f aca="false">SUMPRODUCT(--(WEEKDAY(D$3:AG$3,2)&gt;5),--ISNUMBER(MATCH(D31:AG31,{"DM","CS1","CS2","SB1","AE","CS/B","WEEKEND OUTFIELD RESERVE"},0)))</f>
        <v>1</v>
      </c>
      <c r="AW31" s="256"/>
      <c r="AX31" s="252" t="n">
        <f aca="false">(AS31-AT31)+AU31*1.5+(AV31-AW31)*2+AM31*0.5+AO31*0.5+AQ31-AR31</f>
        <v>7</v>
      </c>
      <c r="AY31" s="252" t="n">
        <f aca="false">AS31+AU31+AV31</f>
        <v>5</v>
      </c>
      <c r="AZ31" s="252" t="n">
        <f aca="false">BD31+BF31+BH31+BJ31+BL31</f>
        <v>0</v>
      </c>
      <c r="BA31" s="251" t="n">
        <f aca="false">AX31+BC31</f>
        <v>7</v>
      </c>
      <c r="BB31" s="251" t="n">
        <f aca="false">(BA31-8.5)</f>
        <v>-1.5</v>
      </c>
      <c r="BC31" s="252" t="n">
        <f aca="false">BE31+BG31+BI31+BK31+BM31</f>
        <v>0</v>
      </c>
      <c r="BD31" s="252" t="n">
        <f aca="false">COUNTIF(A31:AH31,"*$BTP*")</f>
        <v>0</v>
      </c>
      <c r="BE31" s="252" t="n">
        <f aca="false">BD31*1.5</f>
        <v>0</v>
      </c>
      <c r="BF31" s="252" t="n">
        <f aca="false">COUNTIF(A31:AH31,"*$M*")</f>
        <v>0</v>
      </c>
      <c r="BG31" s="252" t="n">
        <f aca="false">BF31*1</f>
        <v>0</v>
      </c>
      <c r="BH31" s="252" t="n">
        <f aca="false">COUNTIF(A31:AH31,"*$PM*")</f>
        <v>0</v>
      </c>
      <c r="BI31" s="252" t="n">
        <f aca="false">BH31*0.5</f>
        <v>0</v>
      </c>
      <c r="BJ31" s="252" t="n">
        <f aca="false">COUNTIF(A31:AH31,"*$AM*")</f>
        <v>0</v>
      </c>
      <c r="BK31" s="252" t="n">
        <f aca="false">BJ31*0.5</f>
        <v>0</v>
      </c>
      <c r="BL31" s="252" t="n">
        <f aca="false">COUNTIF(A31:AH31,"*$FC*")</f>
        <v>0</v>
      </c>
      <c r="BM31" s="252" t="n">
        <f aca="false">BL31*1</f>
        <v>0</v>
      </c>
      <c r="BN31" s="252" t="n">
        <f aca="false">COUNTIF($E31:$AA31,BN$4)</f>
        <v>0</v>
      </c>
      <c r="BO31" s="252" t="n">
        <f aca="false">COUNTIF($E31:$AA31,BO$4)</f>
        <v>0</v>
      </c>
      <c r="BP31" s="252" t="n">
        <f aca="false">COUNTIF($E31:$AA31,BP$4)</f>
        <v>0</v>
      </c>
      <c r="BQ31" s="256"/>
    </row>
    <row r="32" customFormat="false" ht="19.5" hidden="false" customHeight="true" outlineLevel="0" collapsed="false">
      <c r="A32" s="249"/>
      <c r="B32" s="207" t="s">
        <v>637</v>
      </c>
      <c r="C32" s="207"/>
      <c r="D32" s="181"/>
      <c r="E32" s="181"/>
      <c r="F32" s="91"/>
      <c r="G32" s="91"/>
      <c r="H32" s="91"/>
      <c r="I32" s="91" t="s">
        <v>56</v>
      </c>
      <c r="J32" s="91"/>
      <c r="K32" s="91" t="s">
        <v>573</v>
      </c>
      <c r="L32" s="91"/>
      <c r="M32" s="91" t="s">
        <v>350</v>
      </c>
      <c r="N32" s="91"/>
      <c r="O32" s="91"/>
      <c r="P32" s="91" t="s">
        <v>573</v>
      </c>
      <c r="Q32" s="91"/>
      <c r="R32" s="91"/>
      <c r="S32" s="91"/>
      <c r="T32" s="91" t="s">
        <v>275</v>
      </c>
      <c r="U32" s="91" t="s">
        <v>56</v>
      </c>
      <c r="V32" s="91"/>
      <c r="W32" s="91"/>
      <c r="X32" s="91"/>
      <c r="Y32" s="91"/>
      <c r="Z32" s="91"/>
      <c r="AA32" s="91"/>
      <c r="AB32" s="91" t="s">
        <v>404</v>
      </c>
      <c r="AC32" s="91" t="s">
        <v>404</v>
      </c>
      <c r="AD32" s="91" t="s">
        <v>404</v>
      </c>
      <c r="AE32" s="91" t="s">
        <v>404</v>
      </c>
      <c r="AF32" s="91" t="s">
        <v>404</v>
      </c>
      <c r="AG32" s="91"/>
      <c r="AH32" s="250" t="n">
        <f aca="false">COUNTIF($D32:$AG32,AH$4)</f>
        <v>0</v>
      </c>
      <c r="AI32" s="250" t="n">
        <f aca="false">COUNTIF($D32:$AG32,AI$4)</f>
        <v>2</v>
      </c>
      <c r="AJ32" s="250" t="n">
        <f aca="false">COUNTIF($D32:$AG32,AJ$4)</f>
        <v>0</v>
      </c>
      <c r="AK32" s="250" t="n">
        <f aca="false">COUNTIF($D32:$AG32,AK$4)</f>
        <v>0</v>
      </c>
      <c r="AL32" s="250" t="n">
        <f aca="false">COUNTIF($D32:$AG32,AL$4)</f>
        <v>0</v>
      </c>
      <c r="AM32" s="250" t="n">
        <f aca="false">COUNTIF($D32:$AG32,AM$4)</f>
        <v>0</v>
      </c>
      <c r="AN32" s="250" t="n">
        <f aca="false">COUNTIF($D32:$AG32,AN$4)</f>
        <v>0</v>
      </c>
      <c r="AO32" s="250" t="n">
        <f aca="false">COUNTIF($D32:$AG32,AO$4)</f>
        <v>0</v>
      </c>
      <c r="AP32" s="250" t="n">
        <f aca="false">COUNTIF($D32:$AG32,AP$4)</f>
        <v>0</v>
      </c>
      <c r="AQ32" s="251"/>
      <c r="AR32" s="251"/>
      <c r="AS32" s="252" t="n">
        <f aca="false">SUMPRODUCT(--(WEEKDAY(D$3:AG$3,2)&lt;5),--ISNUMBER(MATCH(D32:AG32,{"DM","CS1","CS2","SB1","AE","CS/B"},0)))</f>
        <v>1</v>
      </c>
      <c r="AT32" s="256"/>
      <c r="AU32" s="252" t="n">
        <f aca="false">SUMPRODUCT(--(WEEKDAY(D$3:AG$3,2)=5),--ISNUMBER(MATCH(D32:AG32,{"DM","CS1","CS2","SB1","AE","CS/B","WEEKEND OUTFIELD RESERVE"},0)))</f>
        <v>0</v>
      </c>
      <c r="AV32" s="252" t="n">
        <f aca="false">SUMPRODUCT(--(WEEKDAY(D$3:AG$3,2)&gt;5),--ISNUMBER(MATCH(D32:AG32,{"DM","CS1","CS2","SB1","AE","CS/B","WEEKEND OUTFIELD RESERVE"},0)))</f>
        <v>1</v>
      </c>
      <c r="AW32" s="256"/>
      <c r="AX32" s="252" t="n">
        <f aca="false">(AS32-AT32)+AU32*1.5+(AV32-AW32)*2+AM32*0.5+AO32*0.5+AQ32-AR32</f>
        <v>3</v>
      </c>
      <c r="AY32" s="252" t="n">
        <f aca="false">AS32+AU32+AV32</f>
        <v>2</v>
      </c>
      <c r="AZ32" s="252" t="n">
        <f aca="false">BD32+BF32+BH32+BJ32+BL32</f>
        <v>6</v>
      </c>
      <c r="BA32" s="251" t="n">
        <f aca="false">AX32+BC32</f>
        <v>8.5</v>
      </c>
      <c r="BB32" s="251" t="n">
        <f aca="false">(BA32-8.5)</f>
        <v>0</v>
      </c>
      <c r="BC32" s="252" t="n">
        <f aca="false">BE32+BG32+BI32+BK32+BM32</f>
        <v>5.5</v>
      </c>
      <c r="BD32" s="252" t="n">
        <f aca="false">COUNTIF(A32:AH32,"*$BTP*")</f>
        <v>0</v>
      </c>
      <c r="BE32" s="252" t="n">
        <f aca="false">BD32*1.5</f>
        <v>0</v>
      </c>
      <c r="BF32" s="252" t="n">
        <f aca="false">COUNTIF(A32:AH32,"*$M*")</f>
        <v>0</v>
      </c>
      <c r="BG32" s="252" t="n">
        <f aca="false">BF32*1</f>
        <v>0</v>
      </c>
      <c r="BH32" s="252" t="n">
        <f aca="false">COUNTIF(A32:AH32,"*$PM*")</f>
        <v>0</v>
      </c>
      <c r="BI32" s="252" t="n">
        <f aca="false">BH32*0.5</f>
        <v>0</v>
      </c>
      <c r="BJ32" s="252" t="n">
        <f aca="false">COUNTIF(A32:AH32,"*$AM*")</f>
        <v>1</v>
      </c>
      <c r="BK32" s="252" t="n">
        <f aca="false">BJ32*0.5</f>
        <v>0.5</v>
      </c>
      <c r="BL32" s="252" t="n">
        <f aca="false">COUNTIF(A32:AH32,"*$FC*")</f>
        <v>5</v>
      </c>
      <c r="BM32" s="252" t="n">
        <f aca="false">BL32*1</f>
        <v>5</v>
      </c>
      <c r="BN32" s="252" t="n">
        <f aca="false">COUNTIF($I32:$AB32,BN$4)</f>
        <v>0</v>
      </c>
      <c r="BO32" s="252" t="n">
        <f aca="false">COUNTIF($I32:$AB32,BO$4)</f>
        <v>1</v>
      </c>
      <c r="BP32" s="252" t="n">
        <f aca="false">COUNTIF($I32:$AB32,BP$4)</f>
        <v>0</v>
      </c>
      <c r="BQ32" s="256"/>
    </row>
    <row r="33" customFormat="false" ht="51.75" hidden="false" customHeight="true" outlineLevel="0" collapsed="false">
      <c r="A33" s="249"/>
      <c r="B33" s="207" t="s">
        <v>639</v>
      </c>
      <c r="C33" s="207"/>
      <c r="D33" s="188"/>
      <c r="E33" s="188" t="s">
        <v>573</v>
      </c>
      <c r="F33" s="91"/>
      <c r="G33" s="91"/>
      <c r="H33" s="91"/>
      <c r="I33" s="91"/>
      <c r="J33" s="91"/>
      <c r="K33" s="91" t="s">
        <v>65</v>
      </c>
      <c r="L33" s="91"/>
      <c r="M33" s="91"/>
      <c r="N33" s="91" t="s">
        <v>58</v>
      </c>
      <c r="O33" s="91"/>
      <c r="P33" s="91"/>
      <c r="Q33" s="91" t="s">
        <v>58</v>
      </c>
      <c r="R33" s="91"/>
      <c r="S33" s="91" t="s">
        <v>386</v>
      </c>
      <c r="T33" s="91"/>
      <c r="U33" s="91" t="s">
        <v>350</v>
      </c>
      <c r="V33" s="91"/>
      <c r="W33" s="91" t="s">
        <v>65</v>
      </c>
      <c r="X33" s="91"/>
      <c r="Y33" s="91"/>
      <c r="Z33" s="91"/>
      <c r="AA33" s="91" t="s">
        <v>93</v>
      </c>
      <c r="AB33" s="91" t="s">
        <v>65</v>
      </c>
      <c r="AC33" s="91"/>
      <c r="AD33" s="91" t="s">
        <v>735</v>
      </c>
      <c r="AE33" s="91" t="s">
        <v>58</v>
      </c>
      <c r="AF33" s="91"/>
      <c r="AG33" s="91"/>
      <c r="AH33" s="250" t="n">
        <f aca="false">COUNTIF($D33:$AG33,AH$4)</f>
        <v>0</v>
      </c>
      <c r="AI33" s="250" t="n">
        <f aca="false">COUNTIF($D33:$AG33,AI$4)</f>
        <v>0</v>
      </c>
      <c r="AJ33" s="250" t="n">
        <f aca="false">COUNTIF($D33:$AG33,AJ$4)</f>
        <v>0</v>
      </c>
      <c r="AK33" s="250" t="n">
        <f aca="false">COUNTIF($D33:$AG33,AK$4)</f>
        <v>0</v>
      </c>
      <c r="AL33" s="250" t="n">
        <f aca="false">COUNTIF($D33:$AG33,AL$4)</f>
        <v>3</v>
      </c>
      <c r="AM33" s="250" t="n">
        <f aca="false">COUNTIF($D33:$AG33,AM$4)</f>
        <v>1</v>
      </c>
      <c r="AN33" s="250" t="n">
        <f aca="false">COUNTIF($D33:$AG33,AN$4)</f>
        <v>3</v>
      </c>
      <c r="AO33" s="250" t="n">
        <f aca="false">COUNTIF($D33:$AG33,AO$4)</f>
        <v>0</v>
      </c>
      <c r="AP33" s="250" t="n">
        <f aca="false">COUNTIF($D33:$AG33,AP$4)</f>
        <v>0</v>
      </c>
      <c r="AQ33" s="251" t="n">
        <v>0.5</v>
      </c>
      <c r="AR33" s="251"/>
      <c r="AS33" s="252" t="n">
        <f aca="false">SUMPRODUCT(--(WEEKDAY(D$3:AG$3,2)&lt;5),--ISNUMBER(MATCH(D33:AG33,{"DM","CS1","CS2","SB1","AE","CS/B"},0)))</f>
        <v>4</v>
      </c>
      <c r="AT33" s="256"/>
      <c r="AU33" s="252" t="n">
        <f aca="false">SUMPRODUCT(--(WEEKDAY(D$3:AG$3,2)=5),--ISNUMBER(MATCH(D33:AG33,{"DM","CS1","CS2","SB1","AE","CS/B","WEEKEND OUTFIELD RESERVE"},0)))</f>
        <v>0</v>
      </c>
      <c r="AV33" s="252" t="n">
        <f aca="false">SUMPRODUCT(--(WEEKDAY(D$3:AG$3,2)&gt;5),--ISNUMBER(MATCH(D33:AG33,{"DM","CS1","CS2","SB1","AE","CS/B","WEEKEND OUTFIELD RESERVE"},0)))</f>
        <v>2</v>
      </c>
      <c r="AW33" s="256"/>
      <c r="AX33" s="252" t="n">
        <f aca="false">(AS33-AT33)+AU33*1.5+(AV33-AW33)*2+AM33*0.5+AO33*0.5+AQ33-AR33</f>
        <v>9</v>
      </c>
      <c r="AY33" s="252" t="n">
        <f aca="false">AS33+AU33+AV33</f>
        <v>6</v>
      </c>
      <c r="AZ33" s="252" t="n">
        <f aca="false">BD33+BF33+BH33+BJ33+BL33</f>
        <v>2</v>
      </c>
      <c r="BA33" s="251" t="n">
        <f aca="false">AX33+BC33</f>
        <v>10</v>
      </c>
      <c r="BB33" s="251" t="n">
        <f aca="false">(BA33-8.5)</f>
        <v>1.5</v>
      </c>
      <c r="BC33" s="252" t="n">
        <f aca="false">BE33+BG33+BI33+BK33+BM33</f>
        <v>1</v>
      </c>
      <c r="BD33" s="252" t="n">
        <f aca="false">COUNTIF(A33:AH33,"*$BTP*")</f>
        <v>0</v>
      </c>
      <c r="BE33" s="252" t="n">
        <f aca="false">BD33*1.5</f>
        <v>0</v>
      </c>
      <c r="BF33" s="252" t="n">
        <f aca="false">COUNTIF(A33:AH33,"*$M*")</f>
        <v>0</v>
      </c>
      <c r="BG33" s="252" t="n">
        <f aca="false">BF33*1</f>
        <v>0</v>
      </c>
      <c r="BH33" s="252" t="n">
        <f aca="false">COUNTIF(A33:AH33,"*$PM*")</f>
        <v>1</v>
      </c>
      <c r="BI33" s="252" t="n">
        <f aca="false">BH33*0.5</f>
        <v>0.5</v>
      </c>
      <c r="BJ33" s="252" t="n">
        <f aca="false">COUNTIF(A33:AH33,"*$AM*")</f>
        <v>1</v>
      </c>
      <c r="BK33" s="252" t="n">
        <f aca="false">BJ33*0.5</f>
        <v>0.5</v>
      </c>
      <c r="BL33" s="252" t="n">
        <f aca="false">COUNTIF(A33:AH33,"*$FC*")</f>
        <v>0</v>
      </c>
      <c r="BM33" s="252" t="n">
        <f aca="false">BL33*1</f>
        <v>0</v>
      </c>
      <c r="BN33" s="252" t="n">
        <f aca="false">COUNTIF($E33:$AA33,BN$4)</f>
        <v>0</v>
      </c>
      <c r="BO33" s="252" t="n">
        <f aca="false">COUNTIF($E33:$AA33,BO$4)</f>
        <v>1</v>
      </c>
      <c r="BP33" s="252" t="n">
        <f aca="false">COUNTIF($E33:$AA33,BP$4)</f>
        <v>0</v>
      </c>
      <c r="BQ33" s="256"/>
    </row>
    <row r="34" customFormat="false" ht="19.5" hidden="false" customHeight="true" outlineLevel="0" collapsed="false">
      <c r="A34" s="249"/>
      <c r="B34" s="207" t="s">
        <v>736</v>
      </c>
      <c r="C34" s="207"/>
      <c r="D34" s="181" t="s">
        <v>737</v>
      </c>
      <c r="E34" s="181" t="s">
        <v>684</v>
      </c>
      <c r="F34" s="91"/>
      <c r="G34" s="91" t="s">
        <v>350</v>
      </c>
      <c r="H34" s="91"/>
      <c r="I34" s="91" t="s">
        <v>573</v>
      </c>
      <c r="J34" s="91"/>
      <c r="K34" s="91"/>
      <c r="L34" s="91"/>
      <c r="M34" s="91"/>
      <c r="N34" s="91" t="s">
        <v>59</v>
      </c>
      <c r="O34" s="91"/>
      <c r="P34" s="91"/>
      <c r="Q34" s="91" t="s">
        <v>738</v>
      </c>
      <c r="R34" s="91"/>
      <c r="S34" s="91"/>
      <c r="T34" s="91" t="s">
        <v>59</v>
      </c>
      <c r="U34" s="91"/>
      <c r="V34" s="91" t="s">
        <v>573</v>
      </c>
      <c r="W34" s="91"/>
      <c r="X34" s="91"/>
      <c r="Y34" s="253" t="s">
        <v>549</v>
      </c>
      <c r="Z34" s="91"/>
      <c r="AA34" s="91"/>
      <c r="AB34" s="91"/>
      <c r="AC34" s="91"/>
      <c r="AD34" s="91" t="s">
        <v>56</v>
      </c>
      <c r="AE34" s="91"/>
      <c r="AF34" s="91" t="s">
        <v>58</v>
      </c>
      <c r="AG34" s="91"/>
      <c r="AH34" s="250" t="n">
        <f aca="false">COUNTIF($D34:$AG34,AH$4)</f>
        <v>0</v>
      </c>
      <c r="AI34" s="250" t="n">
        <f aca="false">COUNTIF($D34:$AG34,AI$4)</f>
        <v>1</v>
      </c>
      <c r="AJ34" s="250" t="n">
        <f aca="false">COUNTIF($D34:$AG34,AJ$4)</f>
        <v>2</v>
      </c>
      <c r="AK34" s="250" t="n">
        <f aca="false">COUNTIF($D34:$AG34,AK$4)</f>
        <v>0</v>
      </c>
      <c r="AL34" s="250" t="n">
        <f aca="false">COUNTIF($D34:$AG34,AL$4)</f>
        <v>1</v>
      </c>
      <c r="AM34" s="250" t="n">
        <f aca="false">COUNTIF($D34:$AG34,AM$4)</f>
        <v>0</v>
      </c>
      <c r="AN34" s="250" t="n">
        <f aca="false">COUNTIF($D34:$AG34,AN$4)</f>
        <v>0</v>
      </c>
      <c r="AO34" s="250" t="n">
        <f aca="false">COUNTIF($D34:$AG34,AO$4)</f>
        <v>0</v>
      </c>
      <c r="AP34" s="250" t="n">
        <f aca="false">COUNTIF($D34:$AG34,AP$4)</f>
        <v>0</v>
      </c>
      <c r="AQ34" s="251" t="n">
        <v>1</v>
      </c>
      <c r="AR34" s="251"/>
      <c r="AS34" s="252" t="n">
        <f aca="false">SUMPRODUCT(--(WEEKDAY(D$3:AG$3,2)&lt;5),--ISNUMBER(MATCH(D34:AG34,{"DM","CS1","CS2","SB1","AE","CS/B"},0)))</f>
        <v>2</v>
      </c>
      <c r="AT34" s="256"/>
      <c r="AU34" s="252" t="n">
        <f aca="false">SUMPRODUCT(--(WEEKDAY(D$3:AG$3,2)=5),--ISNUMBER(MATCH(D34:AG34,{"DM","CS1","CS2","SB1","AE","CS/B","WEEKEND OUTFIELD RESERVE"},0)))</f>
        <v>1</v>
      </c>
      <c r="AV34" s="252" t="n">
        <f aca="false">SUMPRODUCT(--(WEEKDAY(D$3:AG$3,2)&gt;5),--ISNUMBER(MATCH(D34:AG34,{"DM","CS1","CS2","SB1","AE","CS/B","WEEKEND OUTFIELD RESERVE"},0)))</f>
        <v>1</v>
      </c>
      <c r="AW34" s="256"/>
      <c r="AX34" s="252" t="n">
        <f aca="false">(AS34-AT34)+AU34*1.5+(AV34-AW34)*2+AM34*0.5+AO34*0.5+AQ34-AR34</f>
        <v>6.5</v>
      </c>
      <c r="AY34" s="252" t="n">
        <f aca="false">AS34+AU34+AV34</f>
        <v>4</v>
      </c>
      <c r="AZ34" s="252" t="n">
        <f aca="false">BD34+BF34+BH34+BJ34+BL34</f>
        <v>2</v>
      </c>
      <c r="BA34" s="251" t="n">
        <f aca="false">AX34+BC34</f>
        <v>8.5</v>
      </c>
      <c r="BB34" s="251" t="n">
        <f aca="false">(BA34-8.5)</f>
        <v>0</v>
      </c>
      <c r="BC34" s="252" t="n">
        <f aca="false">BE34+BG34+BI34+BK34+BM34</f>
        <v>2</v>
      </c>
      <c r="BD34" s="252" t="n">
        <f aca="false">COUNTIF(A34:AH34,"*$BTP*")</f>
        <v>1</v>
      </c>
      <c r="BE34" s="252" t="n">
        <f aca="false">BD34*1.5</f>
        <v>1.5</v>
      </c>
      <c r="BF34" s="252" t="n">
        <f aca="false">COUNTIF(A34:AH34,"*$M*")</f>
        <v>0</v>
      </c>
      <c r="BG34" s="252" t="n">
        <f aca="false">BF34*1</f>
        <v>0</v>
      </c>
      <c r="BH34" s="252" t="n">
        <f aca="false">COUNTIF(A34:AH34,"*$PM*")</f>
        <v>0</v>
      </c>
      <c r="BI34" s="252" t="n">
        <f aca="false">BH34*0.5</f>
        <v>0</v>
      </c>
      <c r="BJ34" s="252" t="n">
        <f aca="false">COUNTIF(A34:AH34,"*$AM*")</f>
        <v>1</v>
      </c>
      <c r="BK34" s="252" t="n">
        <f aca="false">BJ34*0.5</f>
        <v>0.5</v>
      </c>
      <c r="BL34" s="252" t="n">
        <f aca="false">COUNTIF(A34:AH34,"*$FC*")</f>
        <v>0</v>
      </c>
      <c r="BM34" s="252" t="n">
        <f aca="false">BL34*1</f>
        <v>0</v>
      </c>
      <c r="BN34" s="252" t="n">
        <f aca="false">COUNTIF($E34:$AB34,BN$4)</f>
        <v>0</v>
      </c>
      <c r="BO34" s="252" t="n">
        <f aca="false">COUNTIF($E34:$AB34,BO$4)</f>
        <v>1</v>
      </c>
      <c r="BP34" s="252" t="n">
        <f aca="false">COUNTIF($E34:$AB34,BP$4)</f>
        <v>0</v>
      </c>
      <c r="BQ34" s="256"/>
    </row>
    <row r="35" customFormat="false" ht="19.5" hidden="false" customHeight="true" outlineLevel="0" collapsed="false">
      <c r="A35" s="249"/>
      <c r="B35" s="207" t="s">
        <v>739</v>
      </c>
      <c r="C35" s="207"/>
      <c r="D35" s="188"/>
      <c r="E35" s="188" t="s">
        <v>65</v>
      </c>
      <c r="F35" s="91"/>
      <c r="G35" s="91"/>
      <c r="H35" s="91"/>
      <c r="I35" s="253" t="s">
        <v>740</v>
      </c>
      <c r="J35" s="91"/>
      <c r="K35" s="91" t="s">
        <v>737</v>
      </c>
      <c r="L35" s="91" t="s">
        <v>684</v>
      </c>
      <c r="M35" s="91" t="s">
        <v>58</v>
      </c>
      <c r="N35" s="91"/>
      <c r="O35" s="91"/>
      <c r="P35" s="91"/>
      <c r="Q35" s="91" t="s">
        <v>573</v>
      </c>
      <c r="R35" s="91" t="s">
        <v>93</v>
      </c>
      <c r="S35" s="91"/>
      <c r="T35" s="91" t="s">
        <v>56</v>
      </c>
      <c r="U35" s="91"/>
      <c r="V35" s="91"/>
      <c r="W35" s="91" t="s">
        <v>386</v>
      </c>
      <c r="X35" s="91"/>
      <c r="Y35" s="91"/>
      <c r="Z35" s="91"/>
      <c r="AA35" s="91"/>
      <c r="AB35" s="91"/>
      <c r="AC35" s="91"/>
      <c r="AD35" s="91" t="s">
        <v>65</v>
      </c>
      <c r="AE35" s="91"/>
      <c r="AF35" s="91" t="s">
        <v>56</v>
      </c>
      <c r="AG35" s="91"/>
      <c r="AH35" s="250" t="n">
        <f aca="false">COUNTIF($D35:$AG35,AH$4)</f>
        <v>0</v>
      </c>
      <c r="AI35" s="250" t="n">
        <f aca="false">COUNTIF($D35:$AG35,AI$4)</f>
        <v>2</v>
      </c>
      <c r="AJ35" s="250" t="n">
        <f aca="false">COUNTIF($D35:$AG35,AJ$4)</f>
        <v>0</v>
      </c>
      <c r="AK35" s="250" t="n">
        <f aca="false">COUNTIF($D35:$AG35,AK$4)</f>
        <v>0</v>
      </c>
      <c r="AL35" s="250" t="n">
        <f aca="false">COUNTIF($D35:$AG35,AL$4)</f>
        <v>1</v>
      </c>
      <c r="AM35" s="250" t="n">
        <f aca="false">COUNTIF($D35:$AG35,AM$4)</f>
        <v>1</v>
      </c>
      <c r="AN35" s="250" t="n">
        <f aca="false">COUNTIF($D35:$AG35,AN$4)</f>
        <v>2</v>
      </c>
      <c r="AO35" s="250" t="n">
        <f aca="false">COUNTIF($D35:$AG35,AO$4)</f>
        <v>0</v>
      </c>
      <c r="AP35" s="250" t="n">
        <f aca="false">COUNTIF($D35:$AG35,AP$4)</f>
        <v>0</v>
      </c>
      <c r="AQ35" s="251"/>
      <c r="AR35" s="251"/>
      <c r="AS35" s="252" t="n">
        <f aca="false">SUMPRODUCT(--(WEEKDAY(D$3:AG$3,2)&lt;5),--ISNUMBER(MATCH(D35:AG35,{"DM","CS1","CS2","SB1","AE","CS/B"},0)))</f>
        <v>3</v>
      </c>
      <c r="AT35" s="256"/>
      <c r="AU35" s="252" t="n">
        <f aca="false">SUMPRODUCT(--(WEEKDAY(D$3:AG$3,2)=5),--ISNUMBER(MATCH(D35:AG35,{"DM","CS1","CS2","SB1","AE","CS/B","WEEKEND OUTFIELD RESERVE"},0)))</f>
        <v>2</v>
      </c>
      <c r="AV35" s="252" t="n">
        <f aca="false">SUMPRODUCT(--(WEEKDAY(D$3:AG$3,2)&gt;5),--ISNUMBER(MATCH(D35:AG35,{"DM","CS1","CS2","SB1","AE","CS/B","WEEKEND OUTFIELD RESERVE"},0)))</f>
        <v>0</v>
      </c>
      <c r="AW35" s="256"/>
      <c r="AX35" s="252" t="n">
        <f aca="false">(AS35-AT35)+AU35*1.5+(AV35-AW35)*2+AM35*0.5+AO35*0.5+AQ35-AR35</f>
        <v>6.5</v>
      </c>
      <c r="AY35" s="252" t="n">
        <f aca="false">AS35+AU35+AV35</f>
        <v>5</v>
      </c>
      <c r="AZ35" s="252" t="n">
        <f aca="false">BD35+BF35+BH35+BJ35+BL35</f>
        <v>2</v>
      </c>
      <c r="BA35" s="251" t="n">
        <f aca="false">AX35+BC35</f>
        <v>8.5</v>
      </c>
      <c r="BB35" s="251" t="n">
        <f aca="false">(BA35-8.5)</f>
        <v>0</v>
      </c>
      <c r="BC35" s="252" t="n">
        <f aca="false">BE35+BG35+BI35+BK35+BM35</f>
        <v>2</v>
      </c>
      <c r="BD35" s="252" t="n">
        <f aca="false">COUNTIF(A35:AH35,"*$BTP*")</f>
        <v>1</v>
      </c>
      <c r="BE35" s="252" t="n">
        <f aca="false">BD35*1.5</f>
        <v>1.5</v>
      </c>
      <c r="BF35" s="252" t="n">
        <f aca="false">COUNTIF(A35:AH35,"*$M*")</f>
        <v>0</v>
      </c>
      <c r="BG35" s="252" t="n">
        <f aca="false">BF35*1</f>
        <v>0</v>
      </c>
      <c r="BH35" s="252" t="n">
        <f aca="false">COUNTIF(A35:AH35,"*$PM*")</f>
        <v>0</v>
      </c>
      <c r="BI35" s="252" t="n">
        <f aca="false">BH35*0.5</f>
        <v>0</v>
      </c>
      <c r="BJ35" s="252" t="n">
        <f aca="false">COUNTIF(A35:AH35,"*$AM*")</f>
        <v>1</v>
      </c>
      <c r="BK35" s="252" t="n">
        <f aca="false">BJ35*0.5</f>
        <v>0.5</v>
      </c>
      <c r="BL35" s="252" t="n">
        <f aca="false">COUNTIF(A35:AH35,"*$FC*")</f>
        <v>0</v>
      </c>
      <c r="BM35" s="252" t="n">
        <f aca="false">BL35*1</f>
        <v>0</v>
      </c>
      <c r="BN35" s="252" t="n">
        <f aca="false">COUNTIF($E35:$Z35,BN$4)</f>
        <v>0</v>
      </c>
      <c r="BO35" s="252" t="n">
        <f aca="false">COUNTIF($E35:$Z35,BO$4)</f>
        <v>0</v>
      </c>
      <c r="BP35" s="252" t="n">
        <f aca="false">COUNTIF($E35:$Z35,BP$4)</f>
        <v>0</v>
      </c>
      <c r="BQ35" s="256"/>
    </row>
    <row r="36" customFormat="false" ht="19.5" hidden="false" customHeight="true" outlineLevel="0" collapsed="false">
      <c r="A36" s="249"/>
      <c r="B36" s="207" t="s">
        <v>649</v>
      </c>
      <c r="C36" s="207"/>
      <c r="D36" s="181" t="s">
        <v>684</v>
      </c>
      <c r="E36" s="181" t="s">
        <v>737</v>
      </c>
      <c r="F36" s="91"/>
      <c r="G36" s="91"/>
      <c r="H36" s="91" t="s">
        <v>65</v>
      </c>
      <c r="I36" s="91"/>
      <c r="J36" s="91" t="s">
        <v>350</v>
      </c>
      <c r="K36" s="91"/>
      <c r="L36" s="91"/>
      <c r="M36" s="91" t="s">
        <v>65</v>
      </c>
      <c r="N36" s="91"/>
      <c r="O36" s="91"/>
      <c r="P36" s="91" t="s">
        <v>93</v>
      </c>
      <c r="Q36" s="91" t="s">
        <v>741</v>
      </c>
      <c r="R36" s="91"/>
      <c r="S36" s="91"/>
      <c r="T36" s="91"/>
      <c r="U36" s="91"/>
      <c r="V36" s="91" t="s">
        <v>742</v>
      </c>
      <c r="W36" s="91"/>
      <c r="X36" s="91"/>
      <c r="Y36" s="91" t="s">
        <v>65</v>
      </c>
      <c r="Z36" s="91"/>
      <c r="AA36" s="91"/>
      <c r="AB36" s="91"/>
      <c r="AC36" s="91"/>
      <c r="AD36" s="91"/>
      <c r="AE36" s="91"/>
      <c r="AF36" s="91" t="s">
        <v>59</v>
      </c>
      <c r="AG36" s="91"/>
      <c r="AH36" s="250" t="n">
        <f aca="false">COUNTIF($D36:$AG36,AH$4)</f>
        <v>0</v>
      </c>
      <c r="AI36" s="250" t="n">
        <f aca="false">COUNTIF($D36:$AG36,AI$4)</f>
        <v>0</v>
      </c>
      <c r="AJ36" s="250" t="n">
        <f aca="false">COUNTIF($D36:$AG36,AJ$4)</f>
        <v>1</v>
      </c>
      <c r="AK36" s="250" t="n">
        <f aca="false">COUNTIF($D36:$AG36,AK$4)</f>
        <v>0</v>
      </c>
      <c r="AL36" s="250" t="n">
        <f aca="false">COUNTIF($D36:$AG36,AL$4)</f>
        <v>0</v>
      </c>
      <c r="AM36" s="250" t="n">
        <f aca="false">COUNTIF($D36:$AG36,AM$4)</f>
        <v>1</v>
      </c>
      <c r="AN36" s="250" t="n">
        <f aca="false">COUNTIF($D36:$AG36,AN$4)</f>
        <v>3</v>
      </c>
      <c r="AO36" s="250" t="n">
        <f aca="false">COUNTIF($D36:$AG36,AO$4)</f>
        <v>0</v>
      </c>
      <c r="AP36" s="250" t="n">
        <f aca="false">COUNTIF($D36:$AG36,AP$4)</f>
        <v>0</v>
      </c>
      <c r="AQ36" s="251" t="n">
        <v>0.5</v>
      </c>
      <c r="AR36" s="251"/>
      <c r="AS36" s="252" t="n">
        <f aca="false">SUMPRODUCT(--(WEEKDAY(D$3:AG$3,2)&lt;5),--ISNUMBER(MATCH(D36:AG36,{"DM","CS1","CS2","SB1","AE","CS/B"},0)))</f>
        <v>2</v>
      </c>
      <c r="AT36" s="256"/>
      <c r="AU36" s="252" t="n">
        <f aca="false">SUMPRODUCT(--(WEEKDAY(D$3:AG$3,2)=5),--ISNUMBER(MATCH(D36:AG36,{"DM","CS1","CS2","SB1","AE","CS/B","WEEKEND OUTFIELD RESERVE"},0)))</f>
        <v>1</v>
      </c>
      <c r="AV36" s="252" t="n">
        <f aca="false">SUMPRODUCT(--(WEEKDAY(D$3:AG$3,2)&gt;5),--ISNUMBER(MATCH(D36:AG36,{"DM","CS1","CS2","SB1","AE","CS/B","WEEKEND OUTFIELD RESERVE"},0)))</f>
        <v>1</v>
      </c>
      <c r="AW36" s="256"/>
      <c r="AX36" s="252" t="n">
        <f aca="false">(AS36-AT36)+AU36*1.5+(AV36-AW36)*2+AM36*0.5+AO36*0.5+AQ36-AR36</f>
        <v>6.5</v>
      </c>
      <c r="AY36" s="252" t="n">
        <f aca="false">AS36+AU36+AV36</f>
        <v>4</v>
      </c>
      <c r="AZ36" s="252" t="n">
        <f aca="false">BD36+BF36+BH36+BJ36+BL36</f>
        <v>2</v>
      </c>
      <c r="BA36" s="251" t="n">
        <f aca="false">AX36+BC36</f>
        <v>8</v>
      </c>
      <c r="BB36" s="251" t="n">
        <f aca="false">(BA36-8.5)</f>
        <v>-0.5</v>
      </c>
      <c r="BC36" s="252" t="n">
        <f aca="false">BE36+BG36+BI36+BK36+BM36</f>
        <v>1.5</v>
      </c>
      <c r="BD36" s="252" t="n">
        <f aca="false">COUNTIF(A36:AH36,"*$BTP*")</f>
        <v>0</v>
      </c>
      <c r="BE36" s="252" t="n">
        <f aca="false">BD36*1.5</f>
        <v>0</v>
      </c>
      <c r="BF36" s="252" t="n">
        <f aca="false">COUNTIF(A36:AH36,"*$M*")</f>
        <v>1</v>
      </c>
      <c r="BG36" s="252" t="n">
        <f aca="false">BF36*1</f>
        <v>1</v>
      </c>
      <c r="BH36" s="252" t="n">
        <f aca="false">COUNTIF(A36:AH36,"*$PM*")</f>
        <v>1</v>
      </c>
      <c r="BI36" s="252" t="n">
        <f aca="false">BH36*0.5</f>
        <v>0.5</v>
      </c>
      <c r="BJ36" s="252" t="n">
        <f aca="false">COUNTIF(A36:AH36,"*$AM*")</f>
        <v>0</v>
      </c>
      <c r="BK36" s="252" t="n">
        <f aca="false">BJ36*0.5</f>
        <v>0</v>
      </c>
      <c r="BL36" s="252" t="n">
        <f aca="false">COUNTIF(A36:AH36,"*$FC*")</f>
        <v>0</v>
      </c>
      <c r="BM36" s="252" t="n">
        <f aca="false">BL36*1</f>
        <v>0</v>
      </c>
      <c r="BN36" s="252" t="n">
        <f aca="false">COUNTIF($E36:$AA36,BN$4)</f>
        <v>0</v>
      </c>
      <c r="BO36" s="252" t="n">
        <f aca="false">COUNTIF($E36:$AA36,BO$4)</f>
        <v>1</v>
      </c>
      <c r="BP36" s="252" t="n">
        <f aca="false">COUNTIF($E36:$AA36,BP$4)</f>
        <v>0</v>
      </c>
      <c r="BQ36" s="256"/>
    </row>
    <row r="37" customFormat="false" ht="19.5" hidden="false" customHeight="true" outlineLevel="0" collapsed="false">
      <c r="A37" s="249"/>
      <c r="B37" s="207" t="s">
        <v>657</v>
      </c>
      <c r="C37" s="207"/>
      <c r="D37" s="91"/>
      <c r="E37" s="91"/>
      <c r="F37" s="91" t="s">
        <v>65</v>
      </c>
      <c r="G37" s="91"/>
      <c r="H37" s="91"/>
      <c r="I37" s="91"/>
      <c r="J37" s="253" t="s">
        <v>740</v>
      </c>
      <c r="K37" s="91"/>
      <c r="L37" s="91"/>
      <c r="M37" s="91" t="s">
        <v>573</v>
      </c>
      <c r="N37" s="91"/>
      <c r="O37" s="91"/>
      <c r="P37" s="91"/>
      <c r="Q37" s="91" t="s">
        <v>56</v>
      </c>
      <c r="R37" s="91"/>
      <c r="S37" s="91"/>
      <c r="T37" s="91" t="s">
        <v>245</v>
      </c>
      <c r="U37" s="91"/>
      <c r="V37" s="91" t="s">
        <v>350</v>
      </c>
      <c r="W37" s="91"/>
      <c r="X37" s="91" t="s">
        <v>65</v>
      </c>
      <c r="Y37" s="91"/>
      <c r="Z37" s="91"/>
      <c r="AA37" s="91"/>
      <c r="AB37" s="91"/>
      <c r="AC37" s="91"/>
      <c r="AD37" s="91"/>
      <c r="AE37" s="91" t="s">
        <v>93</v>
      </c>
      <c r="AF37" s="91" t="s">
        <v>65</v>
      </c>
      <c r="AG37" s="91"/>
      <c r="AH37" s="250" t="n">
        <f aca="false">COUNTIF($D37:$AG37,AH$4)</f>
        <v>0</v>
      </c>
      <c r="AI37" s="250" t="n">
        <f aca="false">COUNTIF($D37:$AG37,AI$4)</f>
        <v>1</v>
      </c>
      <c r="AJ37" s="250" t="n">
        <f aca="false">COUNTIF($D37:$AG37,AJ$4)</f>
        <v>0</v>
      </c>
      <c r="AK37" s="250" t="n">
        <f aca="false">COUNTIF($D37:$AG37,AK$4)</f>
        <v>0</v>
      </c>
      <c r="AL37" s="250" t="n">
        <f aca="false">COUNTIF($D37:$AG37,AL$4)</f>
        <v>0</v>
      </c>
      <c r="AM37" s="250" t="n">
        <f aca="false">COUNTIF($D37:$AG37,AM$4)</f>
        <v>1</v>
      </c>
      <c r="AN37" s="250" t="n">
        <f aca="false">COUNTIF($D37:$AG37,AN$4)</f>
        <v>3</v>
      </c>
      <c r="AO37" s="250" t="n">
        <f aca="false">COUNTIF($D37:$AG37,AO$4)</f>
        <v>0</v>
      </c>
      <c r="AP37" s="250" t="n">
        <f aca="false">COUNTIF($D37:$AG37,AP$4)</f>
        <v>0</v>
      </c>
      <c r="AQ37" s="251" t="n">
        <v>1</v>
      </c>
      <c r="AR37" s="251"/>
      <c r="AS37" s="252" t="n">
        <f aca="false">SUMPRODUCT(--(WEEKDAY(D$3:AG$3,2)&lt;5),--ISNUMBER(MATCH(D37:AG37,{"DM","CS1","CS2","SB1","AE","CS/B"},0)))</f>
        <v>3</v>
      </c>
      <c r="AT37" s="256"/>
      <c r="AU37" s="252" t="n">
        <f aca="false">SUMPRODUCT(--(WEEKDAY(D$3:AG$3,2)=5),--ISNUMBER(MATCH(D37:AG37,{"DM","CS1","CS2","SB1","AE","CS/B","WEEKEND OUTFIELD RESERVE"},0)))</f>
        <v>1</v>
      </c>
      <c r="AV37" s="252" t="n">
        <f aca="false">SUMPRODUCT(--(WEEKDAY(D$3:AG$3,2)&gt;5),--ISNUMBER(MATCH(D37:AG37,{"DM","CS1","CS2","SB1","AE","CS/B","WEEKEND OUTFIELD RESERVE"},0)))</f>
        <v>0</v>
      </c>
      <c r="AW37" s="256"/>
      <c r="AX37" s="252" t="n">
        <f aca="false">(AS37-AT37)+AU37*1.5+(AV37-AW37)*2+AM37*0.5+AO37*0.5+AQ37-AR37</f>
        <v>6</v>
      </c>
      <c r="AY37" s="252" t="n">
        <f aca="false">AS37+AU37+AV37</f>
        <v>4</v>
      </c>
      <c r="AZ37" s="252" t="n">
        <f aca="false">BD37+BF37+BH37+BJ37+BL37</f>
        <v>2</v>
      </c>
      <c r="BA37" s="251" t="n">
        <f aca="false">AX37+BC37</f>
        <v>8</v>
      </c>
      <c r="BB37" s="251" t="n">
        <f aca="false">(BA37-8.5)</f>
        <v>-0.5</v>
      </c>
      <c r="BC37" s="252" t="n">
        <f aca="false">BE37+BG37+BI37+BK37+BM37</f>
        <v>2</v>
      </c>
      <c r="BD37" s="252" t="n">
        <f aca="false">COUNTIF(A37:AH37,"*$BTP*")</f>
        <v>1</v>
      </c>
      <c r="BE37" s="252" t="n">
        <f aca="false">BD37*1.5</f>
        <v>1.5</v>
      </c>
      <c r="BF37" s="252" t="n">
        <f aca="false">COUNTIF(A37:AH37,"*$M*")</f>
        <v>0</v>
      </c>
      <c r="BG37" s="252" t="n">
        <f aca="false">BF37*1</f>
        <v>0</v>
      </c>
      <c r="BH37" s="252" t="n">
        <f aca="false">COUNTIF(A37:AH37,"*$PM*")</f>
        <v>0</v>
      </c>
      <c r="BI37" s="252" t="n">
        <f aca="false">BH37*0.5</f>
        <v>0</v>
      </c>
      <c r="BJ37" s="252" t="n">
        <f aca="false">COUNTIF(A37:AH37,"*$AM*")</f>
        <v>1</v>
      </c>
      <c r="BK37" s="252" t="n">
        <f aca="false">BJ37*0.5</f>
        <v>0.5</v>
      </c>
      <c r="BL37" s="252" t="n">
        <f aca="false">COUNTIF(A37:AH37,"*$FC*")</f>
        <v>0</v>
      </c>
      <c r="BM37" s="252" t="n">
        <f aca="false">BL37*1</f>
        <v>0</v>
      </c>
      <c r="BN37" s="252" t="n">
        <f aca="false">COUNTIF($E37:$AA37,BN$4)</f>
        <v>0</v>
      </c>
      <c r="BO37" s="252" t="n">
        <f aca="false">COUNTIF($E37:$AA37,BO$4)</f>
        <v>1</v>
      </c>
      <c r="BP37" s="252" t="n">
        <f aca="false">COUNTIF($E37:$AA37,BP$4)</f>
        <v>0</v>
      </c>
      <c r="BQ37" s="256"/>
    </row>
    <row r="38" customFormat="false" ht="19.5" hidden="false" customHeight="true" outlineLevel="0" collapsed="false">
      <c r="A38" s="249"/>
      <c r="B38" s="207" t="s">
        <v>659</v>
      </c>
      <c r="C38" s="207"/>
      <c r="D38" s="91"/>
      <c r="E38" s="181" t="s">
        <v>350</v>
      </c>
      <c r="F38" s="91"/>
      <c r="G38" s="91"/>
      <c r="H38" s="91"/>
      <c r="I38" s="91" t="s">
        <v>566</v>
      </c>
      <c r="J38" s="91"/>
      <c r="K38" s="91" t="s">
        <v>56</v>
      </c>
      <c r="L38" s="91"/>
      <c r="M38" s="91" t="s">
        <v>743</v>
      </c>
      <c r="N38" s="91"/>
      <c r="O38" s="91"/>
      <c r="P38" s="91" t="s">
        <v>738</v>
      </c>
      <c r="Q38" s="91"/>
      <c r="R38" s="91" t="s">
        <v>573</v>
      </c>
      <c r="S38" s="91"/>
      <c r="T38" s="91"/>
      <c r="U38" s="91" t="s">
        <v>59</v>
      </c>
      <c r="V38" s="91"/>
      <c r="W38" s="92"/>
      <c r="X38" s="91"/>
      <c r="Y38" s="91" t="s">
        <v>58</v>
      </c>
      <c r="Z38" s="91"/>
      <c r="AA38" s="91"/>
      <c r="AB38" s="91"/>
      <c r="AC38" s="91"/>
      <c r="AD38" s="91" t="s">
        <v>566</v>
      </c>
      <c r="AE38" s="91"/>
      <c r="AF38" s="91"/>
      <c r="AG38" s="91" t="s">
        <v>56</v>
      </c>
      <c r="AH38" s="250" t="n">
        <f aca="false">COUNTIF($D38:$AG38,AH$4)</f>
        <v>0</v>
      </c>
      <c r="AI38" s="250" t="n">
        <f aca="false">COUNTIF($D38:$AG38,AI$4)</f>
        <v>2</v>
      </c>
      <c r="AJ38" s="250" t="n">
        <f aca="false">COUNTIF($D38:$AG38,AJ$4)</f>
        <v>1</v>
      </c>
      <c r="AK38" s="250" t="n">
        <f aca="false">COUNTIF($D38:$AG38,AK$4)</f>
        <v>2</v>
      </c>
      <c r="AL38" s="250" t="n">
        <f aca="false">COUNTIF($D38:$AG38,AL$4)</f>
        <v>1</v>
      </c>
      <c r="AM38" s="250" t="n">
        <f aca="false">COUNTIF($D38:$AG38,AM$4)</f>
        <v>0</v>
      </c>
      <c r="AN38" s="250" t="n">
        <f aca="false">COUNTIF($D38:$AG38,AN$4)</f>
        <v>0</v>
      </c>
      <c r="AO38" s="250" t="n">
        <f aca="false">COUNTIF($D38:$AG38,AO$4)</f>
        <v>0</v>
      </c>
      <c r="AP38" s="250" t="n">
        <f aca="false">COUNTIF($D38:$AG38,AP$4)</f>
        <v>0</v>
      </c>
      <c r="AQ38" s="251" t="n">
        <v>0.5</v>
      </c>
      <c r="AR38" s="251"/>
      <c r="AS38" s="252" t="n">
        <f aca="false">SUMPRODUCT(--(WEEKDAY(D$3:AG$3,2)&lt;5),--ISNUMBER(MATCH(D38:AG38,{"DM","CS1","CS2","SB1","AE","CS/B"},0)))</f>
        <v>5</v>
      </c>
      <c r="AT38" s="256"/>
      <c r="AU38" s="252" t="n">
        <f aca="false">SUMPRODUCT(--(WEEKDAY(D$3:AG$3,2)=5),--ISNUMBER(MATCH(D38:AG38,{"DM","CS1","CS2","SB1","AE","CS/B","WEEKEND OUTFIELD RESERVE"},0)))</f>
        <v>0</v>
      </c>
      <c r="AV38" s="252" t="n">
        <f aca="false">SUMPRODUCT(--(WEEKDAY(D$3:AG$3,2)&gt;5),--ISNUMBER(MATCH(D38:AG38,{"DM","CS1","CS2","SB1","AE","CS/B","WEEKEND OUTFIELD RESERVE"},0)))</f>
        <v>1</v>
      </c>
      <c r="AW38" s="256"/>
      <c r="AX38" s="252" t="n">
        <f aca="false">(AS38-AT38)+AU38*1.5+(AV38-AW38)*2+AM38*0.5+AO38*0.5+AQ38-AR38</f>
        <v>7.5</v>
      </c>
      <c r="AY38" s="252" t="n">
        <f aca="false">AS38+AU38+AV38</f>
        <v>6</v>
      </c>
      <c r="AZ38" s="252" t="n">
        <f aca="false">BD38+BF38+BH38+BJ38+BL38</f>
        <v>2</v>
      </c>
      <c r="BA38" s="251" t="n">
        <f aca="false">AX38+BC38</f>
        <v>9.5</v>
      </c>
      <c r="BB38" s="251" t="n">
        <f aca="false">(BA38-8.5)</f>
        <v>1</v>
      </c>
      <c r="BC38" s="252" t="n">
        <f aca="false">BE38+BG38+BI38+BK38+BM38</f>
        <v>2</v>
      </c>
      <c r="BD38" s="252" t="n">
        <f aca="false">COUNTIF(A38:AH38,"*$BTP*")</f>
        <v>1</v>
      </c>
      <c r="BE38" s="252" t="n">
        <f aca="false">BD38*1.5</f>
        <v>1.5</v>
      </c>
      <c r="BF38" s="252" t="n">
        <f aca="false">COUNTIF(A38:AH38,"*$M*")</f>
        <v>0</v>
      </c>
      <c r="BG38" s="252" t="n">
        <f aca="false">BF38*1</f>
        <v>0</v>
      </c>
      <c r="BH38" s="252" t="n">
        <f aca="false">COUNTIF(A38:AH38,"*$PM*")</f>
        <v>0</v>
      </c>
      <c r="BI38" s="252" t="n">
        <f aca="false">BH38*0.5</f>
        <v>0</v>
      </c>
      <c r="BJ38" s="252" t="n">
        <f aca="false">COUNTIF(A38:AH38,"*$AM*")</f>
        <v>1</v>
      </c>
      <c r="BK38" s="252" t="n">
        <f aca="false">BJ38*0.5</f>
        <v>0.5</v>
      </c>
      <c r="BL38" s="252" t="n">
        <f aca="false">COUNTIF(A38:AH38,"*$FC*")</f>
        <v>0</v>
      </c>
      <c r="BM38" s="252" t="n">
        <f aca="false">BL38*1</f>
        <v>0</v>
      </c>
      <c r="BN38" s="252" t="n">
        <f aca="false">COUNTIF($E38:$AA38,BN$4)</f>
        <v>0</v>
      </c>
      <c r="BO38" s="252" t="n">
        <f aca="false">COUNTIF($E38:$AA38,BO$4)</f>
        <v>1</v>
      </c>
      <c r="BP38" s="252" t="n">
        <f aca="false">COUNTIF($E38:$AA38,BP$4)</f>
        <v>0</v>
      </c>
      <c r="BQ38" s="256"/>
    </row>
    <row r="39" customFormat="false" ht="19.5" hidden="false" customHeight="true" outlineLevel="0" collapsed="false">
      <c r="A39" s="249"/>
      <c r="B39" s="207" t="s">
        <v>744</v>
      </c>
      <c r="C39" s="207"/>
      <c r="D39" s="91" t="s">
        <v>93</v>
      </c>
      <c r="E39" s="91" t="s">
        <v>745</v>
      </c>
      <c r="F39" s="91"/>
      <c r="G39" s="91"/>
      <c r="H39" s="91"/>
      <c r="I39" s="91"/>
      <c r="J39" s="91" t="s">
        <v>745</v>
      </c>
      <c r="K39" s="253" t="s">
        <v>746</v>
      </c>
      <c r="L39" s="91"/>
      <c r="M39" s="91"/>
      <c r="N39" s="91"/>
      <c r="O39" s="91"/>
      <c r="P39" s="91"/>
      <c r="Q39" s="91" t="s">
        <v>65</v>
      </c>
      <c r="R39" s="91"/>
      <c r="S39" s="91"/>
      <c r="T39" s="91" t="s">
        <v>573</v>
      </c>
      <c r="U39" s="91"/>
      <c r="V39" s="91"/>
      <c r="W39" s="91"/>
      <c r="X39" s="91" t="s">
        <v>573</v>
      </c>
      <c r="Y39" s="91" t="s">
        <v>747</v>
      </c>
      <c r="Z39" s="91"/>
      <c r="AA39" s="178" t="s">
        <v>92</v>
      </c>
      <c r="AB39" s="178" t="s">
        <v>92</v>
      </c>
      <c r="AC39" s="178" t="s">
        <v>92</v>
      </c>
      <c r="AD39" s="178" t="s">
        <v>92</v>
      </c>
      <c r="AE39" s="178" t="s">
        <v>92</v>
      </c>
      <c r="AF39" s="91"/>
      <c r="AG39" s="91"/>
      <c r="AH39" s="250" t="n">
        <f aca="false">COUNTIF($D39:$AG39,AH$4)</f>
        <v>0</v>
      </c>
      <c r="AI39" s="250" t="n">
        <f aca="false">COUNTIF($D39:$AG39,AI$4)</f>
        <v>0</v>
      </c>
      <c r="AJ39" s="250" t="n">
        <f aca="false">COUNTIF($D39:$AG39,AJ$4)</f>
        <v>0</v>
      </c>
      <c r="AK39" s="250" t="n">
        <f aca="false">COUNTIF($D39:$AG39,AK$4)</f>
        <v>0</v>
      </c>
      <c r="AL39" s="250" t="n">
        <f aca="false">COUNTIF($D39:$AG39,AL$4)</f>
        <v>0</v>
      </c>
      <c r="AM39" s="250" t="n">
        <f aca="false">COUNTIF($D39:$AG39,AM$4)</f>
        <v>1</v>
      </c>
      <c r="AN39" s="250" t="n">
        <f aca="false">COUNTIF($D39:$AG39,AN$4)</f>
        <v>1</v>
      </c>
      <c r="AO39" s="250" t="n">
        <f aca="false">COUNTIF($D39:$AG39,AO$4)</f>
        <v>0</v>
      </c>
      <c r="AP39" s="250" t="n">
        <f aca="false">COUNTIF($D39:$AG39,AP$4)</f>
        <v>0</v>
      </c>
      <c r="AQ39" s="251"/>
      <c r="AR39" s="251"/>
      <c r="AS39" s="252" t="n">
        <f aca="false">SUMPRODUCT(--(WEEKDAY(D$3:AG$3,2)&lt;5),--ISNUMBER(MATCH(D39:AG39,{"DM","CS1","CS2","SB1","AE","CS/B"},0)))</f>
        <v>1</v>
      </c>
      <c r="AT39" s="256"/>
      <c r="AU39" s="252" t="n">
        <f aca="false">SUMPRODUCT(--(WEEKDAY(D$3:AG$3,2)=5),--ISNUMBER(MATCH(D39:AG39,{"DM","CS1","CS2","SB1","AE","CS/B","WEEKEND OUTFIELD RESERVE"},0)))</f>
        <v>0</v>
      </c>
      <c r="AV39" s="252" t="n">
        <f aca="false">SUMPRODUCT(--(WEEKDAY(D$3:AG$3,2)&gt;5),--ISNUMBER(MATCH(D39:AG39,{"DM","CS1","CS2","SB1","AE","CS/B","WEEKEND OUTFIELD RESERVE"},0)))</f>
        <v>0</v>
      </c>
      <c r="AW39" s="256"/>
      <c r="AX39" s="252" t="n">
        <f aca="false">(AS39-AT39)+AU39*1.5+(AV39-AW39)*2+AM39*0.5+AO39*0.5+AQ39-AR39</f>
        <v>1.5</v>
      </c>
      <c r="AY39" s="252" t="n">
        <f aca="false">AS39+AU39+AV39</f>
        <v>1</v>
      </c>
      <c r="AZ39" s="252" t="n">
        <f aca="false">BD39+BF39+BH39+BJ39+BL39</f>
        <v>7</v>
      </c>
      <c r="BA39" s="251" t="n">
        <f aca="false">AX39+BC39</f>
        <v>8.5</v>
      </c>
      <c r="BB39" s="251" t="n">
        <f aca="false">(BA39-8.5)</f>
        <v>0</v>
      </c>
      <c r="BC39" s="252" t="n">
        <f aca="false">BE39+BG39+BI39+BK39+BM39</f>
        <v>7</v>
      </c>
      <c r="BD39" s="252" t="n">
        <f aca="false">COUNTIF(A39:AH39,"*$BTP*")</f>
        <v>1</v>
      </c>
      <c r="BE39" s="252" t="n">
        <f aca="false">BD39*1.5</f>
        <v>1.5</v>
      </c>
      <c r="BF39" s="252" t="n">
        <f aca="false">COUNTIF(A39:AH39,"*$M*")</f>
        <v>0</v>
      </c>
      <c r="BG39" s="252" t="n">
        <f aca="false">BF39*1</f>
        <v>0</v>
      </c>
      <c r="BH39" s="252" t="n">
        <f aca="false">COUNTIF(A39:AH39,"*$PM*")</f>
        <v>1</v>
      </c>
      <c r="BI39" s="252" t="n">
        <f aca="false">BH39*0.5</f>
        <v>0.5</v>
      </c>
      <c r="BJ39" s="252" t="n">
        <f aca="false">COUNTIF(A39:AH39,"*$AM*")</f>
        <v>0</v>
      </c>
      <c r="BK39" s="252" t="n">
        <f aca="false">BJ39*0.5</f>
        <v>0</v>
      </c>
      <c r="BL39" s="252" t="n">
        <f aca="false">COUNTIF(A39:AH39,"*$FC*")</f>
        <v>5</v>
      </c>
      <c r="BM39" s="252" t="n">
        <f aca="false">BL39*1</f>
        <v>5</v>
      </c>
      <c r="BN39" s="252" t="n">
        <f aca="false">COUNTIF($E39:$Z39,BN$4)</f>
        <v>0</v>
      </c>
      <c r="BO39" s="252" t="n">
        <f aca="false">COUNTIF($E39:$Z39,BO$4)</f>
        <v>0</v>
      </c>
      <c r="BP39" s="252" t="n">
        <f aca="false">COUNTIF($E39:$Z39,BP$4)</f>
        <v>0</v>
      </c>
      <c r="BQ39" s="256"/>
    </row>
    <row r="40" customFormat="false" ht="19.5" hidden="false" customHeight="true" outlineLevel="0" collapsed="false">
      <c r="A40" s="249"/>
      <c r="B40" s="207" t="s">
        <v>748</v>
      </c>
      <c r="C40" s="207"/>
      <c r="D40" s="91"/>
      <c r="E40" s="91" t="s">
        <v>745</v>
      </c>
      <c r="F40" s="91"/>
      <c r="G40" s="91"/>
      <c r="H40" s="91"/>
      <c r="I40" s="91" t="s">
        <v>93</v>
      </c>
      <c r="J40" s="91" t="s">
        <v>745</v>
      </c>
      <c r="K40" s="91"/>
      <c r="L40" s="253" t="s">
        <v>746</v>
      </c>
      <c r="M40" s="91"/>
      <c r="N40" s="91"/>
      <c r="O40" s="91"/>
      <c r="P40" s="253" t="s">
        <v>749</v>
      </c>
      <c r="Q40" s="91"/>
      <c r="R40" s="91"/>
      <c r="S40" s="91"/>
      <c r="T40" s="91"/>
      <c r="U40" s="91" t="s">
        <v>65</v>
      </c>
      <c r="V40" s="91"/>
      <c r="W40" s="91"/>
      <c r="X40" s="91" t="s">
        <v>750</v>
      </c>
      <c r="Y40" s="91"/>
      <c r="Z40" s="91"/>
      <c r="AA40" s="91"/>
      <c r="AB40" s="178" t="s">
        <v>751</v>
      </c>
      <c r="AC40" s="178" t="s">
        <v>751</v>
      </c>
      <c r="AD40" s="178" t="s">
        <v>751</v>
      </c>
      <c r="AE40" s="178" t="s">
        <v>751</v>
      </c>
      <c r="AF40" s="178" t="s">
        <v>751</v>
      </c>
      <c r="AG40" s="91"/>
      <c r="AH40" s="250" t="n">
        <f aca="false">COUNTIF($D40:$AG40,AH$4)</f>
        <v>0</v>
      </c>
      <c r="AI40" s="250" t="n">
        <f aca="false">COUNTIF($D40:$AG40,AI$4)</f>
        <v>0</v>
      </c>
      <c r="AJ40" s="250" t="n">
        <f aca="false">COUNTIF($D40:$AG40,AJ$4)</f>
        <v>0</v>
      </c>
      <c r="AK40" s="250" t="n">
        <f aca="false">COUNTIF($D40:$AG40,AK$4)</f>
        <v>0</v>
      </c>
      <c r="AL40" s="250" t="n">
        <f aca="false">COUNTIF($D40:$AG40,AL$4)</f>
        <v>0</v>
      </c>
      <c r="AM40" s="250" t="n">
        <f aca="false">COUNTIF($D40:$AG40,AM$4)</f>
        <v>1</v>
      </c>
      <c r="AN40" s="250" t="n">
        <f aca="false">COUNTIF($D40:$AG40,AN$4)</f>
        <v>1</v>
      </c>
      <c r="AO40" s="250" t="n">
        <f aca="false">COUNTIF($D40:$AG40,AO$4)</f>
        <v>0</v>
      </c>
      <c r="AP40" s="250" t="n">
        <f aca="false">COUNTIF($D40:$AG40,AP$4)</f>
        <v>0</v>
      </c>
      <c r="AQ40" s="251"/>
      <c r="AR40" s="251"/>
      <c r="AS40" s="252" t="n">
        <f aca="false">SUMPRODUCT(--(WEEKDAY(D$3:AG$3,2)&lt;5),--ISNUMBER(MATCH(D40:AG40,{"DM","CS1","CS2","SB1","AE","CS/B"},0)))</f>
        <v>0</v>
      </c>
      <c r="AT40" s="256"/>
      <c r="AU40" s="252" t="n">
        <f aca="false">SUMPRODUCT(--(WEEKDAY(D$3:AG$3,2)=5),--ISNUMBER(MATCH(D40:AG40,{"DM","CS1","CS2","SB1","AE","CS/B","WEEKEND OUTFIELD RESERVE"},0)))</f>
        <v>0</v>
      </c>
      <c r="AV40" s="252" t="n">
        <f aca="false">SUMPRODUCT(--(WEEKDAY(D$3:AG$3,2)&gt;5),--ISNUMBER(MATCH(D40:AG40,{"DM","CS1","CS2","SB1","AE","CS/B","WEEKEND OUTFIELD RESERVE"},0)))</f>
        <v>1</v>
      </c>
      <c r="AW40" s="256"/>
      <c r="AX40" s="252" t="n">
        <f aca="false">(AS40-AT40)+AU40*1.5+(AV40-AW40)*2+AM40*0.5+AO40*0.5+AQ40-AR40</f>
        <v>2.5</v>
      </c>
      <c r="AY40" s="252" t="n">
        <f aca="false">AS40+AU40+AV40</f>
        <v>1</v>
      </c>
      <c r="AZ40" s="252" t="n">
        <f aca="false">BD40+BF40+BH40+BJ40+BL40</f>
        <v>8</v>
      </c>
      <c r="BA40" s="251" t="n">
        <f aca="false">AX40+BC40</f>
        <v>10.5</v>
      </c>
      <c r="BB40" s="251" t="n">
        <f aca="false">(BA40-8.5)</f>
        <v>2</v>
      </c>
      <c r="BC40" s="252" t="n">
        <f aca="false">BE40+BG40+BI40+BK40+BM40</f>
        <v>8</v>
      </c>
      <c r="BD40" s="252" t="n">
        <f aca="false">COUNTIF(A40:AH40,"*$BTP*")</f>
        <v>1</v>
      </c>
      <c r="BE40" s="252" t="n">
        <f aca="false">BD40*1.5</f>
        <v>1.5</v>
      </c>
      <c r="BF40" s="252" t="n">
        <f aca="false">COUNTIF(A40:AH40,"*$M*")</f>
        <v>1</v>
      </c>
      <c r="BG40" s="252" t="n">
        <f aca="false">BF40*1</f>
        <v>1</v>
      </c>
      <c r="BH40" s="252" t="n">
        <f aca="false">COUNTIF(A40:AH40,"*$PM*")</f>
        <v>0</v>
      </c>
      <c r="BI40" s="252" t="n">
        <f aca="false">BH40*0.5</f>
        <v>0</v>
      </c>
      <c r="BJ40" s="252" t="n">
        <f aca="false">COUNTIF(A40:AH40,"*$AM*")</f>
        <v>1</v>
      </c>
      <c r="BK40" s="252" t="n">
        <f aca="false">BJ40*0.5</f>
        <v>0.5</v>
      </c>
      <c r="BL40" s="252" t="n">
        <f aca="false">COUNTIF(A40:AH40,"*$FC*")</f>
        <v>5</v>
      </c>
      <c r="BM40" s="252" t="n">
        <f aca="false">BL40*1</f>
        <v>5</v>
      </c>
      <c r="BN40" s="252" t="n">
        <f aca="false">COUNTIF($E40:$AA40,BN$4)</f>
        <v>0</v>
      </c>
      <c r="BO40" s="252" t="n">
        <f aca="false">COUNTIF($E40:$AA40,BO$4)</f>
        <v>0</v>
      </c>
      <c r="BP40" s="252" t="n">
        <f aca="false">COUNTIF($E40:$AA40,BP$4)</f>
        <v>0</v>
      </c>
      <c r="BQ40" s="256"/>
    </row>
    <row r="41" customFormat="false" ht="19.5" hidden="false" customHeight="true" outlineLevel="0" collapsed="false">
      <c r="A41" s="249"/>
      <c r="B41" s="207" t="s">
        <v>752</v>
      </c>
      <c r="C41" s="207"/>
      <c r="D41" s="91"/>
      <c r="E41" s="91" t="s">
        <v>745</v>
      </c>
      <c r="F41" s="91"/>
      <c r="G41" s="91" t="s">
        <v>65</v>
      </c>
      <c r="H41" s="91"/>
      <c r="I41" s="91"/>
      <c r="J41" s="91" t="s">
        <v>745</v>
      </c>
      <c r="K41" s="91" t="s">
        <v>93</v>
      </c>
      <c r="L41" s="91" t="s">
        <v>65</v>
      </c>
      <c r="M41" s="91"/>
      <c r="N41" s="91"/>
      <c r="O41" s="91"/>
      <c r="P41" s="91"/>
      <c r="Q41" s="91" t="s">
        <v>685</v>
      </c>
      <c r="R41" s="91"/>
      <c r="S41" s="91" t="s">
        <v>573</v>
      </c>
      <c r="T41" s="91" t="s">
        <v>65</v>
      </c>
      <c r="U41" s="91"/>
      <c r="V41" s="91"/>
      <c r="W41" s="91"/>
      <c r="X41" s="91"/>
      <c r="Y41" s="91" t="s">
        <v>573</v>
      </c>
      <c r="Z41" s="91" t="s">
        <v>65</v>
      </c>
      <c r="AA41" s="91"/>
      <c r="AB41" s="91"/>
      <c r="AC41" s="91" t="s">
        <v>65</v>
      </c>
      <c r="AD41" s="91"/>
      <c r="AE41" s="91"/>
      <c r="AF41" s="91"/>
      <c r="AG41" s="91" t="s">
        <v>573</v>
      </c>
      <c r="AH41" s="250" t="n">
        <f aca="false">COUNTIF($D41:$AG41,AH$4)</f>
        <v>0</v>
      </c>
      <c r="AI41" s="250" t="n">
        <f aca="false">COUNTIF($D41:$AG41,AI$4)</f>
        <v>0</v>
      </c>
      <c r="AJ41" s="250" t="n">
        <f aca="false">COUNTIF($D41:$AG41,AJ$4)</f>
        <v>0</v>
      </c>
      <c r="AK41" s="250" t="n">
        <f aca="false">COUNTIF($D41:$AG41,AK$4)</f>
        <v>0</v>
      </c>
      <c r="AL41" s="250" t="n">
        <f aca="false">COUNTIF($D41:$AG41,AL$4)</f>
        <v>0</v>
      </c>
      <c r="AM41" s="250" t="n">
        <f aca="false">COUNTIF($D41:$AG41,AM$4)</f>
        <v>1</v>
      </c>
      <c r="AN41" s="250" t="n">
        <f aca="false">COUNTIF($D41:$AG41,AN$4)</f>
        <v>5</v>
      </c>
      <c r="AO41" s="250" t="n">
        <f aca="false">COUNTIF($D41:$AG41,AO$4)</f>
        <v>0</v>
      </c>
      <c r="AP41" s="250" t="n">
        <f aca="false">COUNTIF($D41:$AG41,AP$4)</f>
        <v>0</v>
      </c>
      <c r="AQ41" s="251"/>
      <c r="AR41" s="251"/>
      <c r="AS41" s="252" t="n">
        <f aca="false">SUMPRODUCT(--(WEEKDAY(D$3:AG$3,2)&lt;5),--ISNUMBER(MATCH(D41:AG41,{"DM","CS1","CS2","SB1","AE","CS/B"},0)))</f>
        <v>2</v>
      </c>
      <c r="AT41" s="256"/>
      <c r="AU41" s="252" t="n">
        <f aca="false">SUMPRODUCT(--(WEEKDAY(D$3:AG$3,2)=5),--ISNUMBER(MATCH(D41:AG41,{"DM","CS1","CS2","SB1","AE","CS/B","WEEKEND OUTFIELD RESERVE"},0)))</f>
        <v>1</v>
      </c>
      <c r="AV41" s="252" t="n">
        <f aca="false">SUMPRODUCT(--(WEEKDAY(D$3:AG$3,2)&gt;5),--ISNUMBER(MATCH(D41:AG41,{"DM","CS1","CS2","SB1","AE","CS/B","WEEKEND OUTFIELD RESERVE"},0)))</f>
        <v>2</v>
      </c>
      <c r="AW41" s="256"/>
      <c r="AX41" s="252" t="n">
        <f aca="false">(AS41-AT41)+AU41*1.5+(AV41-AW41)*2+AM41*0.5+AO41*0.5+AQ41-AR41</f>
        <v>8</v>
      </c>
      <c r="AY41" s="252" t="n">
        <f aca="false">AS41+AU41+AV41</f>
        <v>5</v>
      </c>
      <c r="AZ41" s="252" t="n">
        <f aca="false">BD41+BF41+BH41+BJ41+BL41</f>
        <v>1</v>
      </c>
      <c r="BA41" s="251" t="n">
        <f aca="false">AX41+BC41</f>
        <v>8.5</v>
      </c>
      <c r="BB41" s="251" t="n">
        <f aca="false">(BA41-8.5)</f>
        <v>0</v>
      </c>
      <c r="BC41" s="252" t="n">
        <f aca="false">BE41+BG41+BI41+BK41+BM41</f>
        <v>0.5</v>
      </c>
      <c r="BD41" s="252" t="n">
        <f aca="false">COUNTIF(A41:AH41,"*$BTP*")</f>
        <v>0</v>
      </c>
      <c r="BE41" s="252" t="n">
        <f aca="false">BD41*1.5</f>
        <v>0</v>
      </c>
      <c r="BF41" s="252" t="n">
        <f aca="false">COUNTIF(A41:AH41,"*$M*")</f>
        <v>0</v>
      </c>
      <c r="BG41" s="252" t="n">
        <f aca="false">BF41*1</f>
        <v>0</v>
      </c>
      <c r="BH41" s="252" t="n">
        <f aca="false">COUNTIF(A41:AH41,"*$PM*")</f>
        <v>0</v>
      </c>
      <c r="BI41" s="252" t="n">
        <f aca="false">BH41*0.5</f>
        <v>0</v>
      </c>
      <c r="BJ41" s="252" t="n">
        <f aca="false">COUNTIF(A41:AH41,"*$AM*")</f>
        <v>1</v>
      </c>
      <c r="BK41" s="252" t="n">
        <f aca="false">BJ41*0.5</f>
        <v>0.5</v>
      </c>
      <c r="BL41" s="252" t="n">
        <f aca="false">COUNTIF(A41:AH41,"*$FC*")</f>
        <v>0</v>
      </c>
      <c r="BM41" s="252" t="n">
        <f aca="false">BL41*1</f>
        <v>0</v>
      </c>
      <c r="BN41" s="252" t="n">
        <f aca="false">COUNTIF($E41:$AA41,BN$4)</f>
        <v>0</v>
      </c>
      <c r="BO41" s="252" t="n">
        <f aca="false">COUNTIF($E41:$AA41,BO$4)</f>
        <v>0</v>
      </c>
      <c r="BP41" s="252" t="n">
        <f aca="false">COUNTIF($E41:$AA41,BP$4)</f>
        <v>0</v>
      </c>
      <c r="BQ41" s="256"/>
    </row>
    <row r="42" customFormat="false" ht="19.5" hidden="false" customHeight="true" outlineLevel="0" collapsed="false">
      <c r="A42" s="249"/>
      <c r="B42" s="207" t="s">
        <v>753</v>
      </c>
      <c r="C42" s="207"/>
      <c r="D42" s="91"/>
      <c r="E42" s="91" t="s">
        <v>745</v>
      </c>
      <c r="F42" s="91"/>
      <c r="G42" s="91"/>
      <c r="H42" s="91"/>
      <c r="I42" s="91"/>
      <c r="J42" s="91" t="s">
        <v>745</v>
      </c>
      <c r="K42" s="91"/>
      <c r="L42" s="91" t="s">
        <v>93</v>
      </c>
      <c r="M42" s="91"/>
      <c r="N42" s="91" t="s">
        <v>65</v>
      </c>
      <c r="O42" s="91"/>
      <c r="P42" s="91"/>
      <c r="Q42" s="91"/>
      <c r="R42" s="91" t="s">
        <v>728</v>
      </c>
      <c r="S42" s="91"/>
      <c r="T42" s="91"/>
      <c r="U42" s="91"/>
      <c r="V42" s="91"/>
      <c r="W42" s="91" t="s">
        <v>573</v>
      </c>
      <c r="X42" s="91"/>
      <c r="Y42" s="91"/>
      <c r="Z42" s="91"/>
      <c r="AA42" s="91" t="s">
        <v>754</v>
      </c>
      <c r="AB42" s="91" t="s">
        <v>754</v>
      </c>
      <c r="AC42" s="91" t="s">
        <v>754</v>
      </c>
      <c r="AD42" s="91" t="s">
        <v>754</v>
      </c>
      <c r="AE42" s="91" t="s">
        <v>754</v>
      </c>
      <c r="AF42" s="91"/>
      <c r="AG42" s="91"/>
      <c r="AH42" s="250" t="n">
        <f aca="false">COUNTIF($D42:$AG42,AH$4)</f>
        <v>0</v>
      </c>
      <c r="AI42" s="250" t="n">
        <f aca="false">COUNTIF($D42:$AG42,AI$4)</f>
        <v>0</v>
      </c>
      <c r="AJ42" s="250" t="n">
        <f aca="false">COUNTIF($D42:$AG42,AJ$4)</f>
        <v>0</v>
      </c>
      <c r="AK42" s="250" t="n">
        <f aca="false">COUNTIF($D42:$AG42,AK$4)</f>
        <v>0</v>
      </c>
      <c r="AL42" s="250" t="n">
        <f aca="false">COUNTIF($D42:$AG42,AL$4)</f>
        <v>0</v>
      </c>
      <c r="AM42" s="250" t="n">
        <f aca="false">COUNTIF($D42:$AG42,AM$4)</f>
        <v>1</v>
      </c>
      <c r="AN42" s="250" t="n">
        <f aca="false">COUNTIF($D42:$AG42,AN$4)</f>
        <v>1</v>
      </c>
      <c r="AO42" s="250" t="n">
        <f aca="false">COUNTIF($D42:$AG42,AO$4)</f>
        <v>0</v>
      </c>
      <c r="AP42" s="250" t="n">
        <f aca="false">COUNTIF($D42:$AG42,AP$4)</f>
        <v>0</v>
      </c>
      <c r="AQ42" s="251"/>
      <c r="AR42" s="251"/>
      <c r="AS42" s="252" t="n">
        <f aca="false">SUMPRODUCT(--(WEEKDAY(D$3:AG$3,2)&lt;5),--ISNUMBER(MATCH(D42:AG42,{"DM","CS1","CS2","SB1","AE","CS/B"},0)))</f>
        <v>0</v>
      </c>
      <c r="AT42" s="256"/>
      <c r="AU42" s="252" t="n">
        <f aca="false">SUMPRODUCT(--(WEEKDAY(D$3:AG$3,2)=5),--ISNUMBER(MATCH(D42:AG42,{"DM","CS1","CS2","SB1","AE","CS/B","WEEKEND OUTFIELD RESERVE"},0)))</f>
        <v>0</v>
      </c>
      <c r="AV42" s="252" t="n">
        <f aca="false">SUMPRODUCT(--(WEEKDAY(D$3:AG$3,2)&gt;5),--ISNUMBER(MATCH(D42:AG42,{"DM","CS1","CS2","SB1","AE","CS/B","WEEKEND OUTFIELD RESERVE"},0)))</f>
        <v>1</v>
      </c>
      <c r="AW42" s="256"/>
      <c r="AX42" s="252" t="n">
        <f aca="false">(AS42-AT42)+AU42*1.5+(AV42-AW42)*2+AM42*0.5+AO42*0.5+AQ42-AR42</f>
        <v>2.5</v>
      </c>
      <c r="AY42" s="252" t="n">
        <f aca="false">AS42+AU42+AV42</f>
        <v>1</v>
      </c>
      <c r="AZ42" s="252" t="n">
        <f aca="false">BD42+BF42+BH42+BJ42+BL42</f>
        <v>6</v>
      </c>
      <c r="BA42" s="251" t="n">
        <f aca="false">AX42+BC42</f>
        <v>9</v>
      </c>
      <c r="BB42" s="251" t="n">
        <f aca="false">(BA42-8.5)</f>
        <v>0.5</v>
      </c>
      <c r="BC42" s="252" t="n">
        <f aca="false">BE42+BG42+BI42+BK42+BM42</f>
        <v>6.5</v>
      </c>
      <c r="BD42" s="252" t="n">
        <f aca="false">COUNTIF(A42:AH42,"*$BTP*")</f>
        <v>1</v>
      </c>
      <c r="BE42" s="252" t="n">
        <f aca="false">BD42*1.5</f>
        <v>1.5</v>
      </c>
      <c r="BF42" s="252" t="n">
        <f aca="false">COUNTIF(A42:AH42,"*$M*")</f>
        <v>0</v>
      </c>
      <c r="BG42" s="252" t="n">
        <f aca="false">BF42*1</f>
        <v>0</v>
      </c>
      <c r="BH42" s="252" t="n">
        <f aca="false">COUNTIF(A42:AH42,"*$PM*")</f>
        <v>0</v>
      </c>
      <c r="BI42" s="252" t="n">
        <f aca="false">BH42*0.5</f>
        <v>0</v>
      </c>
      <c r="BJ42" s="252" t="n">
        <f aca="false">COUNTIF(A42:AH42,"*$AM*")</f>
        <v>0</v>
      </c>
      <c r="BK42" s="252" t="n">
        <f aca="false">BJ42*0.5</f>
        <v>0</v>
      </c>
      <c r="BL42" s="252" t="n">
        <f aca="false">COUNTIF(A42:AH42,"*$FC*")</f>
        <v>5</v>
      </c>
      <c r="BM42" s="252" t="n">
        <f aca="false">BL42*1</f>
        <v>5</v>
      </c>
      <c r="BN42" s="252" t="n">
        <f aca="false">COUNTIF($E42:$Z42,BN$4)</f>
        <v>0</v>
      </c>
      <c r="BO42" s="252" t="n">
        <f aca="false">COUNTIF($E42:$Z42,BO$4)</f>
        <v>0</v>
      </c>
      <c r="BP42" s="252" t="n">
        <f aca="false">COUNTIF($E42:$Z42,BP$4)</f>
        <v>0</v>
      </c>
      <c r="BQ42" s="256"/>
    </row>
    <row r="43" customFormat="false" ht="19.5" hidden="false" customHeight="true" outlineLevel="0" collapsed="false">
      <c r="A43" s="249"/>
      <c r="B43" s="215" t="s">
        <v>148</v>
      </c>
      <c r="C43" s="215"/>
      <c r="D43" s="52"/>
      <c r="E43" s="32"/>
      <c r="F43" s="32"/>
      <c r="G43" s="32"/>
      <c r="H43" s="91"/>
      <c r="I43" s="91"/>
      <c r="J43" s="32"/>
      <c r="K43" s="32"/>
      <c r="L43" s="32"/>
      <c r="M43" s="32"/>
      <c r="N43" s="91"/>
      <c r="O43" s="32"/>
      <c r="P43" s="32"/>
      <c r="Q43" s="32"/>
      <c r="R43" s="91"/>
      <c r="S43" s="91"/>
      <c r="T43" s="32"/>
      <c r="U43" s="52"/>
      <c r="V43" s="34"/>
      <c r="W43" s="91"/>
      <c r="X43" s="181"/>
      <c r="Y43" s="32"/>
      <c r="Z43" s="32"/>
      <c r="AA43" s="91"/>
      <c r="AB43" s="91"/>
      <c r="AC43" s="91"/>
      <c r="AD43" s="91"/>
      <c r="AE43" s="91"/>
      <c r="AF43" s="32"/>
      <c r="AG43" s="32"/>
      <c r="AH43" s="250"/>
      <c r="AI43" s="250"/>
      <c r="AJ43" s="250"/>
      <c r="AK43" s="250"/>
      <c r="AL43" s="256"/>
      <c r="AM43" s="256"/>
      <c r="AN43" s="256"/>
      <c r="AO43" s="256"/>
      <c r="AP43" s="256"/>
      <c r="AQ43" s="256"/>
      <c r="AR43" s="256"/>
      <c r="AS43" s="252"/>
      <c r="AT43" s="256"/>
      <c r="AU43" s="256"/>
      <c r="AV43" s="252"/>
      <c r="AW43" s="256"/>
      <c r="AX43" s="256"/>
      <c r="AY43" s="252"/>
      <c r="AZ43" s="252"/>
      <c r="BA43" s="252"/>
      <c r="BB43" s="252"/>
      <c r="BC43" s="252"/>
      <c r="BD43" s="252"/>
      <c r="BE43" s="252"/>
      <c r="BF43" s="252"/>
      <c r="BG43" s="252"/>
      <c r="BH43" s="252"/>
      <c r="BI43" s="252"/>
      <c r="BJ43" s="252"/>
      <c r="BK43" s="252"/>
      <c r="BL43" s="252"/>
      <c r="BM43" s="252"/>
      <c r="BN43" s="256"/>
      <c r="BO43" s="256"/>
      <c r="BP43" s="256"/>
      <c r="BQ43" s="256"/>
    </row>
    <row r="44" customFormat="false" ht="19.5" hidden="false" customHeight="true" outlineLevel="0" collapsed="false">
      <c r="A44" s="249"/>
      <c r="B44" s="217" t="s">
        <v>664</v>
      </c>
      <c r="C44" s="217"/>
      <c r="D44" s="52"/>
      <c r="E44" s="32"/>
      <c r="F44" s="32"/>
      <c r="G44" s="32"/>
      <c r="H44" s="32"/>
      <c r="I44" s="32"/>
      <c r="J44" s="32"/>
      <c r="K44" s="32"/>
      <c r="L44" s="32"/>
      <c r="M44" s="32"/>
      <c r="N44" s="91"/>
      <c r="O44" s="32"/>
      <c r="P44" s="32"/>
      <c r="Q44" s="32"/>
      <c r="R44" s="91"/>
      <c r="S44" s="91"/>
      <c r="T44" s="32"/>
      <c r="U44" s="52"/>
      <c r="V44" s="34"/>
      <c r="W44" s="50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250"/>
      <c r="AI44" s="250"/>
      <c r="AJ44" s="250"/>
      <c r="AK44" s="250"/>
      <c r="AL44" s="256"/>
      <c r="AM44" s="256"/>
      <c r="AN44" s="256"/>
      <c r="AO44" s="256"/>
      <c r="AP44" s="256"/>
      <c r="AQ44" s="256"/>
      <c r="AR44" s="256"/>
      <c r="AS44" s="252"/>
      <c r="AT44" s="256"/>
      <c r="AU44" s="256"/>
      <c r="AV44" s="252"/>
      <c r="AW44" s="256"/>
      <c r="AX44" s="256"/>
      <c r="AY44" s="252"/>
      <c r="AZ44" s="252"/>
      <c r="BA44" s="252"/>
      <c r="BB44" s="252"/>
      <c r="BC44" s="252"/>
      <c r="BD44" s="252"/>
      <c r="BE44" s="252"/>
      <c r="BF44" s="252"/>
      <c r="BG44" s="252"/>
      <c r="BH44" s="252"/>
      <c r="BI44" s="252"/>
      <c r="BJ44" s="252"/>
      <c r="BK44" s="252"/>
      <c r="BL44" s="252"/>
      <c r="BM44" s="252"/>
      <c r="BN44" s="256"/>
      <c r="BO44" s="256"/>
      <c r="BP44" s="256"/>
      <c r="BQ44" s="256"/>
    </row>
    <row r="45" customFormat="false" ht="19.5" hidden="false" customHeight="true" outlineLevel="0" collapsed="false">
      <c r="A45" s="249"/>
      <c r="B45" s="217" t="s">
        <v>667</v>
      </c>
      <c r="C45" s="217"/>
      <c r="D45" s="52"/>
      <c r="E45" s="32"/>
      <c r="F45" s="32"/>
      <c r="G45" s="32"/>
      <c r="H45" s="32"/>
      <c r="I45" s="32"/>
      <c r="J45" s="32"/>
      <c r="K45" s="32"/>
      <c r="L45" s="32"/>
      <c r="M45" s="32"/>
      <c r="N45" s="91"/>
      <c r="O45" s="32"/>
      <c r="P45" s="32"/>
      <c r="Q45" s="32"/>
      <c r="R45" s="91"/>
      <c r="S45" s="91"/>
      <c r="T45" s="32"/>
      <c r="U45" s="52"/>
      <c r="V45" s="34" t="s">
        <v>700</v>
      </c>
      <c r="W45" s="50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250"/>
      <c r="AI45" s="250"/>
      <c r="AJ45" s="250"/>
      <c r="AK45" s="250"/>
      <c r="AL45" s="256"/>
      <c r="AM45" s="256"/>
      <c r="AN45" s="256"/>
      <c r="AO45" s="256"/>
      <c r="AP45" s="256"/>
      <c r="AQ45" s="256"/>
      <c r="AR45" s="256"/>
      <c r="AS45" s="252"/>
      <c r="AT45" s="256"/>
      <c r="AU45" s="256"/>
      <c r="AV45" s="252"/>
      <c r="AW45" s="256"/>
      <c r="AX45" s="256"/>
      <c r="AY45" s="252"/>
      <c r="AZ45" s="252"/>
      <c r="BA45" s="252"/>
      <c r="BB45" s="252"/>
      <c r="BC45" s="252"/>
      <c r="BD45" s="252"/>
      <c r="BE45" s="252"/>
      <c r="BF45" s="252"/>
      <c r="BG45" s="252"/>
      <c r="BH45" s="252"/>
      <c r="BI45" s="252"/>
      <c r="BJ45" s="252"/>
      <c r="BK45" s="252"/>
      <c r="BL45" s="252"/>
      <c r="BM45" s="252"/>
      <c r="BN45" s="256"/>
      <c r="BO45" s="256"/>
      <c r="BP45" s="256"/>
      <c r="BQ45" s="256"/>
    </row>
    <row r="46" customFormat="false" ht="19.5" hidden="false" customHeight="true" outlineLevel="0" collapsed="false">
      <c r="A46" s="249"/>
      <c r="B46" s="217" t="s">
        <v>668</v>
      </c>
      <c r="C46" s="217"/>
      <c r="D46" s="52"/>
      <c r="E46" s="32"/>
      <c r="F46" s="32"/>
      <c r="G46" s="32"/>
      <c r="H46" s="32"/>
      <c r="I46" s="32"/>
      <c r="J46" s="32"/>
      <c r="K46" s="32"/>
      <c r="L46" s="32"/>
      <c r="M46" s="32"/>
      <c r="N46" s="91"/>
      <c r="O46" s="32"/>
      <c r="P46" s="32"/>
      <c r="Q46" s="32"/>
      <c r="R46" s="91"/>
      <c r="S46" s="91"/>
      <c r="T46" s="32"/>
      <c r="U46" s="52"/>
      <c r="V46" s="34"/>
      <c r="W46" s="50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250"/>
      <c r="AI46" s="250"/>
      <c r="AJ46" s="250"/>
      <c r="AK46" s="250"/>
      <c r="AL46" s="256"/>
      <c r="AM46" s="256"/>
      <c r="AN46" s="256"/>
      <c r="AO46" s="256"/>
      <c r="AP46" s="256"/>
      <c r="AQ46" s="256"/>
      <c r="AR46" s="256"/>
      <c r="AS46" s="252"/>
      <c r="AT46" s="256"/>
      <c r="AU46" s="256"/>
      <c r="AV46" s="252"/>
      <c r="AW46" s="256"/>
      <c r="AX46" s="256"/>
      <c r="AY46" s="252"/>
      <c r="AZ46" s="252"/>
      <c r="BA46" s="252"/>
      <c r="BB46" s="252"/>
      <c r="BC46" s="252"/>
      <c r="BD46" s="252"/>
      <c r="BE46" s="252"/>
      <c r="BF46" s="252"/>
      <c r="BG46" s="252"/>
      <c r="BH46" s="252"/>
      <c r="BI46" s="252"/>
      <c r="BJ46" s="252"/>
      <c r="BK46" s="252"/>
      <c r="BL46" s="252"/>
      <c r="BM46" s="252"/>
      <c r="BN46" s="256"/>
      <c r="BO46" s="256"/>
      <c r="BP46" s="256"/>
      <c r="BQ46" s="256"/>
    </row>
    <row r="47" customFormat="false" ht="19.5" hidden="false" customHeight="true" outlineLevel="0" collapsed="false">
      <c r="A47" s="249"/>
      <c r="B47" s="218"/>
      <c r="C47" s="218"/>
      <c r="D47" s="219"/>
      <c r="E47" s="219"/>
      <c r="F47" s="219"/>
      <c r="G47" s="219"/>
      <c r="H47" s="219"/>
      <c r="I47" s="219"/>
      <c r="J47" s="219"/>
      <c r="K47" s="219"/>
      <c r="L47" s="219"/>
      <c r="M47" s="219"/>
      <c r="N47" s="219"/>
      <c r="O47" s="219"/>
      <c r="P47" s="219"/>
      <c r="Q47" s="219"/>
      <c r="R47" s="219"/>
      <c r="S47" s="219"/>
      <c r="T47" s="219"/>
      <c r="U47" s="219"/>
      <c r="V47" s="219"/>
      <c r="W47" s="219"/>
      <c r="X47" s="219"/>
      <c r="Y47" s="219"/>
      <c r="Z47" s="219"/>
      <c r="AA47" s="219"/>
      <c r="AB47" s="219"/>
      <c r="AC47" s="219"/>
      <c r="AD47" s="219"/>
      <c r="AE47" s="219"/>
      <c r="AF47" s="219"/>
      <c r="AG47" s="219"/>
      <c r="AH47" s="257"/>
      <c r="AI47" s="257"/>
      <c r="AJ47" s="257"/>
      <c r="AK47" s="257"/>
      <c r="AL47" s="258"/>
      <c r="AM47" s="258"/>
      <c r="AN47" s="258"/>
      <c r="AO47" s="258"/>
      <c r="AP47" s="258"/>
      <c r="AQ47" s="258"/>
      <c r="AR47" s="258"/>
      <c r="AS47" s="258"/>
      <c r="AT47" s="258"/>
      <c r="AU47" s="258"/>
      <c r="AV47" s="258" t="n">
        <f aca="false">SUMPRODUCT(--WEEKDAY(D$3:AG$3,2)&gt;5,--((D47:AG47="DM"))+(D47:AG47="CS1")+((D47:AG47="CS2"))+(D47:AG47="SB1")+(D47:AG47="AE")+(D47:AG47="EM"))</f>
        <v>0</v>
      </c>
      <c r="AW47" s="258"/>
      <c r="AX47" s="258" t="n">
        <f aca="false">(AS47-AT47)/2+(AV47-AW47)</f>
        <v>0</v>
      </c>
      <c r="AY47" s="258"/>
      <c r="AZ47" s="258"/>
      <c r="BA47" s="258"/>
      <c r="BB47" s="258"/>
      <c r="BC47" s="258"/>
      <c r="BD47" s="258"/>
      <c r="BE47" s="258"/>
      <c r="BF47" s="258"/>
      <c r="BG47" s="258"/>
      <c r="BH47" s="258"/>
      <c r="BI47" s="258"/>
      <c r="BJ47" s="258"/>
      <c r="BK47" s="258"/>
      <c r="BL47" s="258"/>
      <c r="BM47" s="258"/>
      <c r="BN47" s="258"/>
      <c r="BO47" s="258"/>
      <c r="BP47" s="258"/>
      <c r="BQ47" s="258"/>
    </row>
    <row r="48" customFormat="false" ht="19.5" hidden="false" customHeight="true" outlineLevel="0" collapsed="false">
      <c r="A48" s="249"/>
      <c r="B48" s="225" t="s">
        <v>57</v>
      </c>
      <c r="C48" s="225"/>
      <c r="D48" s="226" t="str">
        <f aca="false">VLOOKUP("DM",D5:D42,1,FALSE())</f>
        <v>DM</v>
      </c>
      <c r="E48" s="226" t="str">
        <f aca="false">VLOOKUP("DM",E5:E42,1,FALSE())</f>
        <v>DM</v>
      </c>
      <c r="F48" s="226" t="str">
        <f aca="false">VLOOKUP("DM",F5:F42,1,FALSE())</f>
        <v>DM</v>
      </c>
      <c r="G48" s="226" t="str">
        <f aca="false">VLOOKUP("DM",G5:G42,1,FALSE())</f>
        <v>DM</v>
      </c>
      <c r="H48" s="226" t="str">
        <f aca="false">VLOOKUP("DM",H5:H42,1,FALSE())</f>
        <v>DM</v>
      </c>
      <c r="I48" s="226" t="str">
        <f aca="false">VLOOKUP("DM",I5:I42,1,FALSE())</f>
        <v>DM</v>
      </c>
      <c r="J48" s="226" t="str">
        <f aca="false">VLOOKUP("DM",J5:J42,1,FALSE())</f>
        <v>DM</v>
      </c>
      <c r="K48" s="226" t="str">
        <f aca="false">VLOOKUP("DM",K5:K42,1,FALSE())</f>
        <v>DM</v>
      </c>
      <c r="L48" s="226" t="str">
        <f aca="false">VLOOKUP("DM",L5:L42,1,FALSE())</f>
        <v>DM</v>
      </c>
      <c r="M48" s="226" t="str">
        <f aca="false">VLOOKUP("DM",M5:M42,1,FALSE())</f>
        <v>DM</v>
      </c>
      <c r="N48" s="226" t="str">
        <f aca="false">VLOOKUP("DM",N5:N42,1,FALSE())</f>
        <v>DM</v>
      </c>
      <c r="O48" s="226" t="str">
        <f aca="false">VLOOKUP("DM",O5:O42,1,FALSE())</f>
        <v>DM</v>
      </c>
      <c r="P48" s="226" t="str">
        <f aca="false">VLOOKUP("DM",P5:P42,1,FALSE())</f>
        <v>DM</v>
      </c>
      <c r="Q48" s="226" t="str">
        <f aca="false">VLOOKUP("DM",Q5:Q41,1,FALSE())</f>
        <v>DM</v>
      </c>
      <c r="R48" s="226" t="str">
        <f aca="false">VLOOKUP("DM",R5:R42,1,FALSE())</f>
        <v>DM</v>
      </c>
      <c r="S48" s="226" t="str">
        <f aca="false">VLOOKUP("DM",S5:S41,1,FALSE())</f>
        <v>DM</v>
      </c>
      <c r="T48" s="226" t="str">
        <f aca="false">VLOOKUP("DM",T5:T42,1,FALSE())</f>
        <v>DM</v>
      </c>
      <c r="U48" s="226" t="str">
        <f aca="false">VLOOKUP("DM",U5:U42,1,FALSE())</f>
        <v>DM</v>
      </c>
      <c r="V48" s="226" t="str">
        <f aca="false">VLOOKUP("DM",V5:V42,1,FALSE())</f>
        <v>DM</v>
      </c>
      <c r="W48" s="226" t="str">
        <f aca="false">VLOOKUP("DM",W5:W42,1,FALSE())</f>
        <v>DM</v>
      </c>
      <c r="X48" s="226" t="str">
        <f aca="false">VLOOKUP("DM",X5:X42,1,FALSE())</f>
        <v>DM</v>
      </c>
      <c r="Y48" s="226" t="str">
        <f aca="false">VLOOKUP("DM",Y5:Y40,1,FALSE())</f>
        <v>DM</v>
      </c>
      <c r="Z48" s="226" t="str">
        <f aca="false">VLOOKUP("DM",Z5:Z42,1,FALSE())</f>
        <v>DM</v>
      </c>
      <c r="AA48" s="226" t="str">
        <f aca="false">VLOOKUP("DM",AA5:AA42,1,FALSE())</f>
        <v>DM</v>
      </c>
      <c r="AB48" s="226" t="str">
        <f aca="false">VLOOKUP("DM",AB5:AB42,1,FALSE())</f>
        <v>DM</v>
      </c>
      <c r="AC48" s="226" t="str">
        <f aca="false">VLOOKUP("DM",AC5:AC42,1,FALSE())</f>
        <v>DM</v>
      </c>
      <c r="AD48" s="226" t="str">
        <f aca="false">VLOOKUP("DM",AD5:AD42,1,FALSE())</f>
        <v>DM</v>
      </c>
      <c r="AE48" s="226" t="str">
        <f aca="false">VLOOKUP("DM",AE5:AE42,1,FALSE())</f>
        <v>DM</v>
      </c>
      <c r="AF48" s="226" t="str">
        <f aca="false">VLOOKUP("DM",AF5:AF42,1,FALSE())</f>
        <v>DM</v>
      </c>
      <c r="AG48" s="226" t="str">
        <f aca="false">VLOOKUP("DM",AG5:AG42,1,FALSE())</f>
        <v>DM</v>
      </c>
      <c r="AH48" s="250"/>
      <c r="AI48" s="250"/>
      <c r="AJ48" s="250"/>
      <c r="AK48" s="250"/>
      <c r="AL48" s="252"/>
      <c r="AM48" s="252"/>
      <c r="AN48" s="252"/>
      <c r="AO48" s="252"/>
      <c r="AP48" s="252"/>
      <c r="AQ48" s="252"/>
      <c r="AR48" s="252"/>
      <c r="AS48" s="252"/>
      <c r="AT48" s="252"/>
      <c r="AU48" s="252"/>
      <c r="AV48" s="252"/>
      <c r="AW48" s="252"/>
      <c r="AX48" s="252"/>
      <c r="AY48" s="252"/>
      <c r="AZ48" s="252"/>
      <c r="BA48" s="252"/>
      <c r="BB48" s="252"/>
      <c r="BC48" s="252"/>
      <c r="BD48" s="252"/>
      <c r="BE48" s="252"/>
      <c r="BF48" s="252"/>
      <c r="BG48" s="252"/>
      <c r="BH48" s="252"/>
      <c r="BI48" s="252"/>
      <c r="BJ48" s="252"/>
      <c r="BK48" s="252"/>
      <c r="BL48" s="252"/>
      <c r="BM48" s="252"/>
      <c r="BN48" s="252"/>
      <c r="BO48" s="252"/>
      <c r="BP48" s="252"/>
      <c r="BQ48" s="252"/>
    </row>
    <row r="49" customFormat="false" ht="19.5" hidden="false" customHeight="true" outlineLevel="0" collapsed="false">
      <c r="A49" s="249" t="e">
        <f aca="false">lte()</f>
        <v>#NAME?</v>
      </c>
      <c r="B49" s="227" t="s">
        <v>56</v>
      </c>
      <c r="C49" s="227"/>
      <c r="D49" s="226" t="str">
        <f aca="false">VLOOKUP("CS1",D5:D43,1,FALSE())</f>
        <v>CS1</v>
      </c>
      <c r="E49" s="226" t="str">
        <f aca="false">VLOOKUP("CS1",E5:E43,1,FALSE())</f>
        <v>CS1</v>
      </c>
      <c r="F49" s="226" t="str">
        <f aca="false">VLOOKUP("CS1",F5:F43,1,FALSE())</f>
        <v>CS1</v>
      </c>
      <c r="G49" s="226" t="str">
        <f aca="false">VLOOKUP("CS1",G5:G43,1,FALSE())</f>
        <v>CS1</v>
      </c>
      <c r="H49" s="226" t="str">
        <f aca="false">VLOOKUP("CS1",H5:H43,1,FALSE())</f>
        <v>CS1</v>
      </c>
      <c r="I49" s="226" t="str">
        <f aca="false">VLOOKUP("CS1",I5:I43,1,FALSE())</f>
        <v>CS1</v>
      </c>
      <c r="J49" s="226" t="str">
        <f aca="false">VLOOKUP("CS1",J5:J43,1,FALSE())</f>
        <v>CS1</v>
      </c>
      <c r="K49" s="226" t="str">
        <f aca="false">VLOOKUP("CS1",K5:K43,1,FALSE())</f>
        <v>CS1</v>
      </c>
      <c r="L49" s="226" t="str">
        <f aca="false">VLOOKUP("CS1",L5:L43,1,FALSE())</f>
        <v>CS1</v>
      </c>
      <c r="M49" s="226" t="str">
        <f aca="false">VLOOKUP("CS1",M5:M43,1,FALSE())</f>
        <v>CS1</v>
      </c>
      <c r="N49" s="226" t="str">
        <f aca="false">VLOOKUP("CS1",N5:N43,1,FALSE())</f>
        <v>CS1</v>
      </c>
      <c r="O49" s="226" t="str">
        <f aca="false">VLOOKUP("CS1",O5:O43,1,FALSE())</f>
        <v>CS1</v>
      </c>
      <c r="P49" s="226" t="str">
        <f aca="false">VLOOKUP("CS1",P5:P43,1,FALSE())</f>
        <v>CS1</v>
      </c>
      <c r="Q49" s="226" t="str">
        <f aca="false">VLOOKUP("CS1",Q5:Q43,1,FALSE())</f>
        <v>CS1</v>
      </c>
      <c r="R49" s="226" t="str">
        <f aca="false">VLOOKUP("CS1",R5:R43,1,FALSE())</f>
        <v>CS1</v>
      </c>
      <c r="S49" s="226" t="str">
        <f aca="false">VLOOKUP("CS1",S5:S43,1,FALSE())</f>
        <v>CS1</v>
      </c>
      <c r="T49" s="226" t="str">
        <f aca="false">VLOOKUP("CS1",T5:T43,1,FALSE())</f>
        <v>CS1</v>
      </c>
      <c r="U49" s="226" t="str">
        <f aca="false">VLOOKUP("CS1",U5:U43,1,FALSE())</f>
        <v>CS1</v>
      </c>
      <c r="V49" s="226" t="str">
        <f aca="false">VLOOKUP("CS1",V5:V43,1,FALSE())</f>
        <v>CS1</v>
      </c>
      <c r="W49" s="226" t="str">
        <f aca="false">VLOOKUP("CS1",W5:W43,1,FALSE())</f>
        <v>CS1</v>
      </c>
      <c r="X49" s="226" t="str">
        <f aca="false">VLOOKUP("CS1",X5:X43,1,FALSE())</f>
        <v>CS1</v>
      </c>
      <c r="Y49" s="226" t="str">
        <f aca="false">VLOOKUP("CS1",Y5:Y43,1,FALSE())</f>
        <v>CS1</v>
      </c>
      <c r="Z49" s="226" t="str">
        <f aca="false">VLOOKUP("CS1",Z5:Z43,1,FALSE())</f>
        <v>CS1</v>
      </c>
      <c r="AA49" s="226" t="str">
        <f aca="false">VLOOKUP("CS1",AA5:AA42,1,FALSE())</f>
        <v>CS1</v>
      </c>
      <c r="AB49" s="226" t="str">
        <f aca="false">VLOOKUP("CS1",AB5:AB42,1,FALSE())</f>
        <v>CS1</v>
      </c>
      <c r="AC49" s="226" t="str">
        <f aca="false">VLOOKUP("CS1",AC5:AC42,1,FALSE())</f>
        <v>CS1</v>
      </c>
      <c r="AD49" s="226" t="str">
        <f aca="false">VLOOKUP("CS1",AD5:AD42,1,FALSE())</f>
        <v>CS1</v>
      </c>
      <c r="AE49" s="226" t="str">
        <f aca="false">VLOOKUP("CS1",AE5:AE42,1,FALSE())</f>
        <v>CS1</v>
      </c>
      <c r="AF49" s="226" t="str">
        <f aca="false">VLOOKUP("CS1",AF5:AF43,1,FALSE())</f>
        <v>CS1</v>
      </c>
      <c r="AG49" s="226" t="str">
        <f aca="false">VLOOKUP("CS1",AG5:AG43,1,FALSE())</f>
        <v>CS1</v>
      </c>
      <c r="AH49" s="250"/>
      <c r="AI49" s="250"/>
      <c r="AJ49" s="250"/>
      <c r="AK49" s="250"/>
      <c r="AL49" s="252"/>
      <c r="AM49" s="252"/>
      <c r="AN49" s="252"/>
      <c r="AO49" s="252"/>
      <c r="AP49" s="252"/>
      <c r="AQ49" s="252"/>
      <c r="AR49" s="252"/>
      <c r="AS49" s="252"/>
      <c r="AT49" s="252"/>
      <c r="AU49" s="252"/>
      <c r="AV49" s="252"/>
      <c r="AW49" s="252"/>
      <c r="AX49" s="252"/>
      <c r="AY49" s="252"/>
      <c r="AZ49" s="252"/>
      <c r="BA49" s="252"/>
      <c r="BB49" s="252"/>
      <c r="BC49" s="252"/>
      <c r="BD49" s="252"/>
      <c r="BE49" s="252"/>
      <c r="BF49" s="252"/>
      <c r="BG49" s="252"/>
      <c r="BH49" s="252"/>
      <c r="BI49" s="252"/>
      <c r="BJ49" s="252"/>
      <c r="BK49" s="252"/>
      <c r="BL49" s="252"/>
      <c r="BM49" s="252"/>
      <c r="BN49" s="252"/>
      <c r="BO49" s="252"/>
      <c r="BP49" s="252"/>
      <c r="BQ49" s="252"/>
    </row>
    <row r="50" customFormat="false" ht="19.5" hidden="false" customHeight="true" outlineLevel="0" collapsed="false">
      <c r="A50" s="249"/>
      <c r="B50" s="228" t="s">
        <v>59</v>
      </c>
      <c r="C50" s="228"/>
      <c r="D50" s="226" t="str">
        <f aca="false">VLOOKUP("CS2",D5:D43,1,FALSE())</f>
        <v>CS2</v>
      </c>
      <c r="E50" s="226" t="str">
        <f aca="false">VLOOKUP("CS2",E5:E43,1,FALSE())</f>
        <v>CS2</v>
      </c>
      <c r="F50" s="226" t="str">
        <f aca="false">VLOOKUP("CS2",F5:F43,1,FALSE())</f>
        <v>CS2</v>
      </c>
      <c r="G50" s="226" t="str">
        <f aca="false">VLOOKUP("CS2",G5:G43,1,FALSE())</f>
        <v>CS2</v>
      </c>
      <c r="H50" s="226" t="str">
        <f aca="false">VLOOKUP("CS2",H5:H43,1,FALSE())</f>
        <v>CS2</v>
      </c>
      <c r="I50" s="226" t="e">
        <f aca="false">VLOOKUP("CS2",I5:I43,1,FALSE())</f>
        <v>#N/A</v>
      </c>
      <c r="J50" s="226" t="str">
        <f aca="false">VLOOKUP("CS2",J5:J43,1,FALSE())</f>
        <v>CS2</v>
      </c>
      <c r="K50" s="226" t="str">
        <f aca="false">VLOOKUP("CS2",K5:K43,1,FALSE())</f>
        <v>CS2</v>
      </c>
      <c r="L50" s="226" t="e">
        <f aca="false">VLOOKUP("CS2",L5:L43,1,FALSE())</f>
        <v>#N/A</v>
      </c>
      <c r="M50" s="226" t="str">
        <f aca="false">VLOOKUP("CS2",M5:M43,1,FALSE())</f>
        <v>CS2</v>
      </c>
      <c r="N50" s="226" t="str">
        <f aca="false">VLOOKUP("CS2",N5:N43,1,FALSE())</f>
        <v>CS2</v>
      </c>
      <c r="O50" s="226" t="e">
        <f aca="false">VLOOKUP("CS2",O5:O43,1,FALSE())</f>
        <v>#N/A</v>
      </c>
      <c r="P50" s="226" t="e">
        <f aca="false">VLOOKUP("CS2",P5:P43,1,FALSE())</f>
        <v>#N/A</v>
      </c>
      <c r="Q50" s="226" t="str">
        <f aca="false">VLOOKUP("CS2",Q5:Q43,1,FALSE())</f>
        <v>CS2</v>
      </c>
      <c r="R50" s="226" t="str">
        <f aca="false">VLOOKUP("CS2",R5:R43,1,FALSE())</f>
        <v>CS2</v>
      </c>
      <c r="S50" s="226" t="e">
        <f aca="false">VLOOKUP("CS2",S5:S43,1,FALSE())</f>
        <v>#N/A</v>
      </c>
      <c r="T50" s="226" t="str">
        <f aca="false">VLOOKUP("CS2",T5:T43,1,FALSE())</f>
        <v>CS2</v>
      </c>
      <c r="U50" s="226" t="str">
        <f aca="false">VLOOKUP("CS2",U5:U43,1,FALSE())</f>
        <v>CS2</v>
      </c>
      <c r="V50" s="226" t="e">
        <f aca="false">VLOOKUP("CS2",V5:V43,1,FALSE())</f>
        <v>#N/A</v>
      </c>
      <c r="W50" s="226" t="e">
        <f aca="false">VLOOKUP("CS2",W5:W43,1,FALSE())</f>
        <v>#N/A</v>
      </c>
      <c r="X50" s="226" t="str">
        <f aca="false">VLOOKUP("CS2",X5:X43,1,FALSE())</f>
        <v>CS2</v>
      </c>
      <c r="Y50" s="226" t="str">
        <f aca="false">VLOOKUP("CS2",Y5:Y43,1,FALSE())</f>
        <v>CS2</v>
      </c>
      <c r="Z50" s="226" t="e">
        <f aca="false">VLOOKUP("CS2",Z5:Z43,1,FALSE())</f>
        <v>#N/A</v>
      </c>
      <c r="AA50" s="226" t="str">
        <f aca="false">VLOOKUP("CS2",AA5:AA42,1,FALSE())</f>
        <v>CS2</v>
      </c>
      <c r="AB50" s="226" t="str">
        <f aca="false">VLOOKUP("CS2",AB5:AB42,1,FALSE())</f>
        <v>CS2</v>
      </c>
      <c r="AC50" s="226" t="e">
        <f aca="false">VLOOKUP("CS2",AC5:AC42,1,FALSE())</f>
        <v>#N/A</v>
      </c>
      <c r="AD50" s="226" t="e">
        <f aca="false">VLOOKUP("CS2",AD5:AD42,1,FALSE())</f>
        <v>#N/A</v>
      </c>
      <c r="AE50" s="226" t="str">
        <f aca="false">VLOOKUP("CS2",AE5:AE42,1,FALSE())</f>
        <v>CS2</v>
      </c>
      <c r="AF50" s="226" t="str">
        <f aca="false">VLOOKUP("CS2",AF5:AF43,1,FALSE())</f>
        <v>CS2</v>
      </c>
      <c r="AG50" s="226" t="e">
        <f aca="false">VLOOKUP("CS2",AG5:AG43,1,FALSE())</f>
        <v>#N/A</v>
      </c>
      <c r="AH50" s="250"/>
      <c r="AI50" s="250"/>
      <c r="AJ50" s="250"/>
      <c r="AK50" s="250"/>
      <c r="AL50" s="252"/>
      <c r="AM50" s="252"/>
      <c r="AN50" s="252"/>
      <c r="AO50" s="252"/>
      <c r="AP50" s="252"/>
      <c r="AQ50" s="252"/>
      <c r="AR50" s="252"/>
      <c r="AS50" s="252"/>
      <c r="AT50" s="252"/>
      <c r="AU50" s="252"/>
      <c r="AV50" s="252"/>
      <c r="AW50" s="252"/>
      <c r="AX50" s="252"/>
      <c r="AY50" s="252"/>
      <c r="AZ50" s="252"/>
      <c r="BA50" s="252"/>
      <c r="BB50" s="252"/>
      <c r="BC50" s="252"/>
      <c r="BD50" s="252"/>
      <c r="BE50" s="252"/>
      <c r="BF50" s="252"/>
      <c r="BG50" s="252"/>
      <c r="BH50" s="252"/>
      <c r="BI50" s="252"/>
      <c r="BJ50" s="252"/>
      <c r="BK50" s="252"/>
      <c r="BL50" s="252"/>
      <c r="BM50" s="252"/>
      <c r="BN50" s="252"/>
      <c r="BO50" s="252"/>
      <c r="BP50" s="252"/>
      <c r="BQ50" s="252"/>
    </row>
    <row r="51" customFormat="false" ht="19.5" hidden="false" customHeight="true" outlineLevel="0" collapsed="false">
      <c r="A51" s="249"/>
      <c r="B51" s="229" t="s">
        <v>566</v>
      </c>
      <c r="C51" s="229"/>
      <c r="D51" s="226" t="e">
        <f aca="false">VLOOKUP("CS/B",D5:D43,1,FALSE())</f>
        <v>#N/A</v>
      </c>
      <c r="E51" s="226" t="e">
        <f aca="false">VLOOKUP("CS/B",E5:E43,1,FALSE())</f>
        <v>#N/A</v>
      </c>
      <c r="F51" s="226" t="e">
        <f aca="false">VLOOKUP("CS/B",F5:F43,1,FALSE())</f>
        <v>#N/A</v>
      </c>
      <c r="G51" s="226" t="e">
        <f aca="false">VLOOKUP("CS/B",G5:G43,1,FALSE())</f>
        <v>#N/A</v>
      </c>
      <c r="H51" s="226" t="e">
        <f aca="false">VLOOKUP("CS/B",H5:H43,1,FALSE())</f>
        <v>#N/A</v>
      </c>
      <c r="I51" s="226" t="str">
        <f aca="false">VLOOKUP("CS/B",I5:I43,1,FALSE())</f>
        <v>CS/B</v>
      </c>
      <c r="J51" s="226" t="e">
        <f aca="false">VLOOKUP("CS/B",J5:J43,1,FALSE())</f>
        <v>#N/A</v>
      </c>
      <c r="K51" s="226" t="e">
        <f aca="false">VLOOKUP("CS/B",K5:K43,1,FALSE())</f>
        <v>#N/A</v>
      </c>
      <c r="L51" s="226" t="str">
        <f aca="false">VLOOKUP("CS/B",L5:L43,1,FALSE())</f>
        <v>CS/B</v>
      </c>
      <c r="M51" s="226" t="e">
        <f aca="false">VLOOKUP("CS/B",M5:M43,1,FALSE())</f>
        <v>#N/A</v>
      </c>
      <c r="N51" s="226" t="e">
        <f aca="false">VLOOKUP("CS/B",N5:N43,1,FALSE())</f>
        <v>#N/A</v>
      </c>
      <c r="O51" s="226" t="str">
        <f aca="false">VLOOKUP("CS/B",O5:O43,1,FALSE())</f>
        <v>CS/B</v>
      </c>
      <c r="P51" s="226" t="str">
        <f aca="false">VLOOKUP("CS/B",P5:P43,1,FALSE())</f>
        <v>CS/B</v>
      </c>
      <c r="Q51" s="226" t="e">
        <f aca="false">VLOOKUP("CS/B",Q5:Q43,1,FALSE())</f>
        <v>#N/A</v>
      </c>
      <c r="R51" s="226" t="e">
        <f aca="false">VLOOKUP("CS/B",R5:R43,1,FALSE())</f>
        <v>#N/A</v>
      </c>
      <c r="S51" s="226" t="str">
        <f aca="false">VLOOKUP("CS/B",S5:S43,1,FALSE())</f>
        <v>CS/B</v>
      </c>
      <c r="T51" s="226" t="e">
        <f aca="false">VLOOKUP("CS/B",T5:T43,1,FALSE())</f>
        <v>#N/A</v>
      </c>
      <c r="U51" s="226" t="e">
        <f aca="false">VLOOKUP("CS/B",U5:U43,1,FALSE())</f>
        <v>#N/A</v>
      </c>
      <c r="V51" s="226" t="str">
        <f aca="false">VLOOKUP("CS/B",V5:V43,1,FALSE())</f>
        <v>CS/B</v>
      </c>
      <c r="W51" s="226" t="str">
        <f aca="false">VLOOKUP("CS/B",W5:W43,1,FALSE())</f>
        <v>CS/B</v>
      </c>
      <c r="X51" s="226" t="e">
        <f aca="false">VLOOKUP("CS/B",X5:X43,1,FALSE())</f>
        <v>#N/A</v>
      </c>
      <c r="Y51" s="226" t="e">
        <f aca="false">VLOOKUP("CS/B",Y5:Y43,1,FALSE())</f>
        <v>#N/A</v>
      </c>
      <c r="Z51" s="226" t="str">
        <f aca="false">VLOOKUP("CS/B",Z5:Z43,1,FALSE())</f>
        <v>CS/B</v>
      </c>
      <c r="AA51" s="226" t="e">
        <f aca="false">VLOOKUP("CS/B",AA5:AA42,1,FALSE())</f>
        <v>#N/A</v>
      </c>
      <c r="AB51" s="226" t="e">
        <f aca="false">VLOOKUP("CS/B",AB5:AB42,1,FALSE())</f>
        <v>#N/A</v>
      </c>
      <c r="AC51" s="226" t="str">
        <f aca="false">VLOOKUP("CS/B",AC5:AC42,1,FALSE())</f>
        <v>CS/B</v>
      </c>
      <c r="AD51" s="226" t="str">
        <f aca="false">VLOOKUP("CS/B",AD5:AD42,1,FALSE())</f>
        <v>CS/B</v>
      </c>
      <c r="AE51" s="226" t="e">
        <f aca="false">VLOOKUP("CS/B",AE5:AE42,1,FALSE())</f>
        <v>#N/A</v>
      </c>
      <c r="AF51" s="226" t="e">
        <f aca="false">VLOOKUP("CS/B",AF5:AF43,1,FALSE())</f>
        <v>#N/A</v>
      </c>
      <c r="AG51" s="226" t="str">
        <f aca="false">VLOOKUP("CS/B",AG5:AG43,1,FALSE())</f>
        <v>CS/B</v>
      </c>
      <c r="AH51" s="250"/>
      <c r="AI51" s="250"/>
      <c r="AJ51" s="250"/>
      <c r="AK51" s="250"/>
      <c r="AL51" s="252"/>
      <c r="AM51" s="252"/>
      <c r="AN51" s="252"/>
      <c r="AO51" s="252"/>
      <c r="AP51" s="252"/>
      <c r="AQ51" s="252"/>
      <c r="AR51" s="252"/>
      <c r="AS51" s="252"/>
      <c r="AT51" s="252"/>
      <c r="AU51" s="252"/>
      <c r="AV51" s="252"/>
      <c r="AW51" s="252"/>
      <c r="AX51" s="252"/>
      <c r="AY51" s="252"/>
      <c r="AZ51" s="252"/>
      <c r="BA51" s="252"/>
      <c r="BB51" s="252"/>
      <c r="BC51" s="252"/>
      <c r="BD51" s="252"/>
      <c r="BE51" s="252"/>
      <c r="BF51" s="252"/>
      <c r="BG51" s="252"/>
      <c r="BH51" s="252"/>
      <c r="BI51" s="252"/>
      <c r="BJ51" s="252"/>
      <c r="BK51" s="252"/>
      <c r="BL51" s="252"/>
      <c r="BM51" s="252"/>
      <c r="BN51" s="252"/>
      <c r="BO51" s="252"/>
      <c r="BP51" s="252"/>
      <c r="BQ51" s="252"/>
    </row>
    <row r="52" customFormat="false" ht="19.5" hidden="false" customHeight="true" outlineLevel="0" collapsed="false">
      <c r="A52" s="249"/>
      <c r="B52" s="230" t="s">
        <v>58</v>
      </c>
      <c r="C52" s="230"/>
      <c r="D52" s="226" t="e">
        <f aca="false">VLOOKUP("SB1",D5:D43,1,FALSE())</f>
        <v>#N/A</v>
      </c>
      <c r="E52" s="226" t="e">
        <f aca="false">VLOOKUP("SB1",E5:E43,1,FALSE())</f>
        <v>#N/A</v>
      </c>
      <c r="F52" s="226" t="e">
        <f aca="false">VLOOKUP("SB1",F5:F43,1,FALSE())</f>
        <v>#N/A</v>
      </c>
      <c r="G52" s="226" t="e">
        <f aca="false">VLOOKUP("SB1",G5:G43,1,FALSE())</f>
        <v>#N/A</v>
      </c>
      <c r="H52" s="226" t="e">
        <f aca="false">VLOOKUP("SB1",H5:H43,1,FALSE())</f>
        <v>#N/A</v>
      </c>
      <c r="I52" s="226" t="e">
        <f aca="false">VLOOKUP("SB1",I5:I43,1,FALSE())</f>
        <v>#N/A</v>
      </c>
      <c r="J52" s="226" t="str">
        <f aca="false">VLOOKUP("SB1",J5:J43,1,FALSE())</f>
        <v>SB1</v>
      </c>
      <c r="K52" s="226" t="str">
        <f aca="false">VLOOKUP("SB1",K5:K43,1,FALSE())</f>
        <v>SB1</v>
      </c>
      <c r="L52" s="226" t="e">
        <f aca="false">VLOOKUP("SB1",L5:L43,1,FALSE())</f>
        <v>#N/A</v>
      </c>
      <c r="M52" s="226" t="str">
        <f aca="false">VLOOKUP("SB1",M5:M43,1,FALSE())</f>
        <v>SB1</v>
      </c>
      <c r="N52" s="226" t="str">
        <f aca="false">VLOOKUP("SB1",N5:N43,1,FALSE())</f>
        <v>SB1</v>
      </c>
      <c r="O52" s="226" t="e">
        <f aca="false">VLOOKUP("SB1",O5:O43,1,FALSE())</f>
        <v>#N/A</v>
      </c>
      <c r="P52" s="226" t="e">
        <f aca="false">VLOOKUP("SB1",P5:P43,1,FALSE())</f>
        <v>#N/A</v>
      </c>
      <c r="Q52" s="226" t="str">
        <f aca="false">VLOOKUP("SB1",Q5:Q43,1,FALSE())</f>
        <v>SB1</v>
      </c>
      <c r="R52" s="226" t="str">
        <f aca="false">VLOOKUP("SB1",R5:R43,1,FALSE())</f>
        <v>SB1</v>
      </c>
      <c r="S52" s="226" t="e">
        <f aca="false">VLOOKUP("SB1",S5:S43,1,FALSE())</f>
        <v>#N/A</v>
      </c>
      <c r="T52" s="226" t="str">
        <f aca="false">VLOOKUP("SB1",T5:T43,1,FALSE())</f>
        <v>SB1</v>
      </c>
      <c r="U52" s="226" t="str">
        <f aca="false">VLOOKUP("SB1",U5:U43,1,FALSE())</f>
        <v>SB1</v>
      </c>
      <c r="V52" s="226" t="e">
        <f aca="false">VLOOKUP("SB1",V5:V43,1,FALSE())</f>
        <v>#N/A</v>
      </c>
      <c r="W52" s="226" t="e">
        <f aca="false">VLOOKUP("SB1",W5:W43,1,FALSE())</f>
        <v>#N/A</v>
      </c>
      <c r="X52" s="226" t="str">
        <f aca="false">VLOOKUP("SB1",X5:X43,1,FALSE())</f>
        <v>SB1</v>
      </c>
      <c r="Y52" s="226" t="str">
        <f aca="false">VLOOKUP("SB1",Y5:Y43,1,FALSE())</f>
        <v>SB1</v>
      </c>
      <c r="Z52" s="226" t="e">
        <f aca="false">VLOOKUP("SB1",Z5:Z43,1,FALSE())</f>
        <v>#N/A</v>
      </c>
      <c r="AA52" s="226" t="str">
        <f aca="false">VLOOKUP("SB1",AA5:AA42,1,FALSE())</f>
        <v>SB1</v>
      </c>
      <c r="AB52" s="226" t="str">
        <f aca="false">VLOOKUP("SB1",AB5:AB42,1,FALSE())</f>
        <v>SB1</v>
      </c>
      <c r="AC52" s="226" t="e">
        <f aca="false">VLOOKUP("SB1",AC5:AC42,1,FALSE())</f>
        <v>#N/A</v>
      </c>
      <c r="AD52" s="226" t="e">
        <f aca="false">VLOOKUP("SB1",AD5:AD42,1,FALSE())</f>
        <v>#N/A</v>
      </c>
      <c r="AE52" s="226" t="str">
        <f aca="false">VLOOKUP("SB1",AE5:AE42,1,FALSE())</f>
        <v>SB1</v>
      </c>
      <c r="AF52" s="226" t="str">
        <f aca="false">VLOOKUP("SB1",AF5:AF43,1,FALSE())</f>
        <v>SB1</v>
      </c>
      <c r="AG52" s="226" t="e">
        <f aca="false">VLOOKUP("SB1",AG5:AG43,1,FALSE())</f>
        <v>#N/A</v>
      </c>
      <c r="AH52" s="250"/>
      <c r="AI52" s="250"/>
      <c r="AJ52" s="250"/>
      <c r="AK52" s="250"/>
      <c r="AL52" s="252"/>
      <c r="AM52" s="252"/>
      <c r="AN52" s="252"/>
      <c r="AO52" s="252"/>
      <c r="AP52" s="252"/>
      <c r="AQ52" s="252"/>
      <c r="AR52" s="252"/>
      <c r="AS52" s="252"/>
      <c r="AT52" s="252"/>
      <c r="AU52" s="252"/>
      <c r="AV52" s="252"/>
      <c r="AW52" s="252"/>
      <c r="AX52" s="252"/>
      <c r="AY52" s="252"/>
      <c r="AZ52" s="252"/>
      <c r="BA52" s="252"/>
      <c r="BB52" s="252"/>
      <c r="BC52" s="252"/>
      <c r="BD52" s="252"/>
      <c r="BE52" s="252"/>
      <c r="BF52" s="252"/>
      <c r="BG52" s="252"/>
      <c r="BH52" s="252"/>
      <c r="BI52" s="252"/>
      <c r="BJ52" s="252"/>
      <c r="BK52" s="252"/>
      <c r="BL52" s="252"/>
      <c r="BM52" s="252"/>
      <c r="BN52" s="252"/>
      <c r="BO52" s="252"/>
      <c r="BP52" s="252"/>
      <c r="BQ52" s="252"/>
    </row>
    <row r="53" customFormat="false" ht="18.75" hidden="false" customHeight="true" outlineLevel="0" collapsed="false">
      <c r="A53" s="249"/>
      <c r="B53" s="231" t="s">
        <v>93</v>
      </c>
      <c r="C53" s="231"/>
      <c r="D53" s="226" t="str">
        <f aca="false">VLOOKUP("SB2",D5:D43,1,FALSE())</f>
        <v>SB2</v>
      </c>
      <c r="E53" s="226" t="str">
        <f aca="false">VLOOKUP("SB2",E5:E43,1,FALSE())</f>
        <v>SB2</v>
      </c>
      <c r="F53" s="226" t="e">
        <f aca="false">VLOOKUP("SB2",F5:F43,1,FALSE())</f>
        <v>#N/A</v>
      </c>
      <c r="G53" s="226" t="e">
        <f aca="false">VLOOKUP("SB2",G5:G43,1,FALSE())</f>
        <v>#N/A</v>
      </c>
      <c r="H53" s="226" t="e">
        <f aca="false">VLOOKUP("SB2",H5:H43,1,FALSE())</f>
        <v>#N/A</v>
      </c>
      <c r="I53" s="226" t="str">
        <f aca="false">VLOOKUP("SB2",I5:I43,1,FALSE())</f>
        <v>SB2</v>
      </c>
      <c r="J53" s="226" t="str">
        <f aca="false">VLOOKUP("SB2",J5:J43,1,FALSE())</f>
        <v>SB2</v>
      </c>
      <c r="K53" s="226" t="str">
        <f aca="false">VLOOKUP("SB2",K5:K43,1,FALSE())</f>
        <v>SB2</v>
      </c>
      <c r="L53" s="226" t="str">
        <f aca="false">VLOOKUP("SB2",L5:L43,1,FALSE())</f>
        <v>SB2</v>
      </c>
      <c r="M53" s="226" t="str">
        <f aca="false">VLOOKUP("SB2",M5:M43,1,FALSE())</f>
        <v>SB2</v>
      </c>
      <c r="N53" s="226" t="e">
        <f aca="false">VLOOKUP("SB2",N5:N43,1,FALSE())</f>
        <v>#N/A</v>
      </c>
      <c r="O53" s="226" t="e">
        <f aca="false">VLOOKUP("SB2",O5:O43,1,FALSE())</f>
        <v>#N/A</v>
      </c>
      <c r="P53" s="226" t="str">
        <f aca="false">VLOOKUP("SB2",P5:P43,1,FALSE())</f>
        <v>SB2</v>
      </c>
      <c r="Q53" s="226" t="str">
        <f aca="false">VLOOKUP("SB2",Q5:Q43,1,FALSE())</f>
        <v>SB2</v>
      </c>
      <c r="R53" s="226" t="str">
        <f aca="false">VLOOKUP("SB2",R5:R43,1,FALSE())</f>
        <v>SB2</v>
      </c>
      <c r="S53" s="226" t="str">
        <f aca="false">VLOOKUP("SB2",S5:S43,1,FALSE())</f>
        <v>SB2</v>
      </c>
      <c r="T53" s="226" t="str">
        <f aca="false">VLOOKUP("SB2",T5:T43,1,FALSE())</f>
        <v>SB2</v>
      </c>
      <c r="U53" s="226" t="e">
        <f aca="false">VLOOKUP("SB2",U5:U43,1,FALSE())</f>
        <v>#N/A</v>
      </c>
      <c r="V53" s="226" t="e">
        <f aca="false">VLOOKUP("SB2",V5:V43,1,FALSE())</f>
        <v>#N/A</v>
      </c>
      <c r="W53" s="226" t="str">
        <f aca="false">VLOOKUP("SB2",W5:W43,1,FALSE())</f>
        <v>SB2</v>
      </c>
      <c r="X53" s="226" t="str">
        <f aca="false">VLOOKUP("SB2",X5:X43,1,FALSE())</f>
        <v>SB2</v>
      </c>
      <c r="Y53" s="226" t="str">
        <f aca="false">VLOOKUP("SB2",Y5:Y43,1,FALSE())</f>
        <v>SB2</v>
      </c>
      <c r="Z53" s="226" t="str">
        <f aca="false">VLOOKUP("SB2",Z5:Z43,1,FALSE())</f>
        <v>SB2</v>
      </c>
      <c r="AA53" s="226" t="str">
        <f aca="false">VLOOKUP("SB2",AA5:AA42,1,FALSE())</f>
        <v>SB2</v>
      </c>
      <c r="AB53" s="226" t="e">
        <f aca="false">VLOOKUP("SB2",AB5:AB42,1,FALSE())</f>
        <v>#N/A</v>
      </c>
      <c r="AC53" s="226" t="e">
        <f aca="false">VLOOKUP("SB2",AC5:AC42,1,FALSE())</f>
        <v>#N/A</v>
      </c>
      <c r="AD53" s="226" t="str">
        <f aca="false">VLOOKUP("SB2",AD5:AD42,1,FALSE())</f>
        <v>SB2</v>
      </c>
      <c r="AE53" s="226" t="str">
        <f aca="false">VLOOKUP("SB2",AE5:AE42,1,FALSE())</f>
        <v>SB2</v>
      </c>
      <c r="AF53" s="226" t="str">
        <f aca="false">VLOOKUP("SB2",AF5:AF43,1,FALSE())</f>
        <v>SB2</v>
      </c>
      <c r="AG53" s="226" t="str">
        <f aca="false">VLOOKUP("SB2",AG5:AG43,1,FALSE())</f>
        <v>SB2</v>
      </c>
      <c r="AH53" s="250"/>
      <c r="AI53" s="250"/>
      <c r="AJ53" s="250"/>
      <c r="AK53" s="250"/>
      <c r="AL53" s="252"/>
      <c r="AM53" s="252"/>
      <c r="AN53" s="252"/>
      <c r="AO53" s="252"/>
      <c r="AP53" s="252"/>
      <c r="AQ53" s="252"/>
      <c r="AR53" s="252"/>
      <c r="AS53" s="252"/>
      <c r="AT53" s="252"/>
      <c r="AU53" s="252"/>
      <c r="AV53" s="252"/>
      <c r="AW53" s="252"/>
      <c r="AX53" s="252"/>
      <c r="AY53" s="252"/>
      <c r="AZ53" s="252"/>
      <c r="BA53" s="252"/>
      <c r="BB53" s="252"/>
      <c r="BC53" s="252"/>
      <c r="BD53" s="252"/>
      <c r="BE53" s="252"/>
      <c r="BF53" s="252"/>
      <c r="BG53" s="252"/>
      <c r="BH53" s="252"/>
      <c r="BI53" s="252"/>
      <c r="BJ53" s="252"/>
      <c r="BK53" s="252"/>
      <c r="BL53" s="252"/>
      <c r="BM53" s="252"/>
      <c r="BN53" s="252"/>
      <c r="BO53" s="252"/>
      <c r="BP53" s="252"/>
      <c r="BQ53" s="252"/>
    </row>
    <row r="54" customFormat="false" ht="19.5" hidden="false" customHeight="true" outlineLevel="0" collapsed="false">
      <c r="A54" s="249"/>
      <c r="B54" s="232" t="s">
        <v>65</v>
      </c>
      <c r="C54" s="232"/>
      <c r="D54" s="226" t="str">
        <f aca="false">VLOOKUP("AE",D5:D43,1,FALSE())</f>
        <v>AE</v>
      </c>
      <c r="E54" s="226" t="str">
        <f aca="false">VLOOKUP("AE",E5:E43,1,FALSE())</f>
        <v>AE</v>
      </c>
      <c r="F54" s="226" t="str">
        <f aca="false">VLOOKUP("AE",F5:F43,1,FALSE())</f>
        <v>AE</v>
      </c>
      <c r="G54" s="226" t="str">
        <f aca="false">VLOOKUP("AE",G5:G43,1,FALSE())</f>
        <v>AE</v>
      </c>
      <c r="H54" s="226" t="str">
        <f aca="false">VLOOKUP("AE",H5:H43,1,FALSE())</f>
        <v>AE</v>
      </c>
      <c r="I54" s="226" t="str">
        <f aca="false">VLOOKUP("AE",I5:I43,1,FALSE())</f>
        <v>AE</v>
      </c>
      <c r="J54" s="226" t="str">
        <f aca="false">VLOOKUP("AE",J5:J43,1,FALSE())</f>
        <v>AE</v>
      </c>
      <c r="K54" s="226" t="str">
        <f aca="false">VLOOKUP("AE",K5:K43,1,FALSE())</f>
        <v>AE</v>
      </c>
      <c r="L54" s="226" t="str">
        <f aca="false">VLOOKUP("AE",L5:L43,1,FALSE())</f>
        <v>AE</v>
      </c>
      <c r="M54" s="226" t="str">
        <f aca="false">VLOOKUP("AE",M5:M43,1,FALSE())</f>
        <v>AE</v>
      </c>
      <c r="N54" s="226" t="str">
        <f aca="false">VLOOKUP("AE",N5:N43,1,FALSE())</f>
        <v>AE</v>
      </c>
      <c r="O54" s="226" t="str">
        <f aca="false">VLOOKUP("AE",O5:O43,1,FALSE())</f>
        <v>AE</v>
      </c>
      <c r="P54" s="226" t="str">
        <f aca="false">VLOOKUP("AE",P5:P43,1,FALSE())</f>
        <v>AE</v>
      </c>
      <c r="Q54" s="226" t="str">
        <f aca="false">VLOOKUP("AE",Q5:Q43,1,FALSE())</f>
        <v>AE</v>
      </c>
      <c r="R54" s="226" t="str">
        <f aca="false">VLOOKUP("AE",R5:R43,1,FALSE())</f>
        <v>AE</v>
      </c>
      <c r="S54" s="226" t="str">
        <f aca="false">VLOOKUP("AE",S5:S43,1,FALSE())</f>
        <v>AE</v>
      </c>
      <c r="T54" s="226" t="str">
        <f aca="false">VLOOKUP("AE",T5:T43,1,FALSE())</f>
        <v>AE</v>
      </c>
      <c r="U54" s="226" t="str">
        <f aca="false">VLOOKUP("AE",U5:U43,1,FALSE())</f>
        <v>AE</v>
      </c>
      <c r="V54" s="226" t="str">
        <f aca="false">VLOOKUP("AE",V5:V43,1,FALSE())</f>
        <v>AE</v>
      </c>
      <c r="W54" s="226" t="str">
        <f aca="false">VLOOKUP("AE",W5:W43,1,FALSE())</f>
        <v>AE</v>
      </c>
      <c r="X54" s="226" t="str">
        <f aca="false">VLOOKUP("AE",X5:X43,1,FALSE())</f>
        <v>AE</v>
      </c>
      <c r="Y54" s="226" t="str">
        <f aca="false">VLOOKUP("AE",Y5:Y43,1,FALSE())</f>
        <v>AE</v>
      </c>
      <c r="Z54" s="226" t="str">
        <f aca="false">VLOOKUP("AE",Z5:Z43,1,FALSE())</f>
        <v>AE</v>
      </c>
      <c r="AA54" s="226" t="str">
        <f aca="false">VLOOKUP("AE",AA5:AA42,1,FALSE())</f>
        <v>AE</v>
      </c>
      <c r="AB54" s="226" t="str">
        <f aca="false">VLOOKUP("AE",AB5:AB42,1,FALSE())</f>
        <v>AE</v>
      </c>
      <c r="AC54" s="226" t="str">
        <f aca="false">VLOOKUP("AE",AC5:AC42,1,FALSE())</f>
        <v>AE</v>
      </c>
      <c r="AD54" s="226" t="str">
        <f aca="false">VLOOKUP("AE",AD5:AD42,1,FALSE())</f>
        <v>AE</v>
      </c>
      <c r="AE54" s="226" t="str">
        <f aca="false">VLOOKUP("AE",AE5:AE42,1,FALSE())</f>
        <v>AE</v>
      </c>
      <c r="AF54" s="226" t="str">
        <f aca="false">VLOOKUP("AE",AF5:AF43,1,FALSE())</f>
        <v>AE</v>
      </c>
      <c r="AG54" s="226" t="str">
        <f aca="false">VLOOKUP("AE",AG5:AG43,1,FALSE())</f>
        <v>AE</v>
      </c>
      <c r="AH54" s="250"/>
      <c r="AI54" s="250"/>
      <c r="AJ54" s="250"/>
      <c r="AK54" s="250"/>
      <c r="AL54" s="252"/>
      <c r="AM54" s="252"/>
      <c r="AN54" s="252"/>
      <c r="AO54" s="252"/>
      <c r="AP54" s="252"/>
      <c r="AQ54" s="252"/>
      <c r="AR54" s="252"/>
      <c r="AS54" s="252"/>
      <c r="AT54" s="252"/>
      <c r="AU54" s="252"/>
      <c r="AV54" s="252"/>
      <c r="AW54" s="252"/>
      <c r="AX54" s="252"/>
      <c r="AY54" s="252"/>
      <c r="AZ54" s="252"/>
      <c r="BA54" s="252"/>
      <c r="BB54" s="252"/>
      <c r="BC54" s="252"/>
      <c r="BD54" s="252"/>
      <c r="BE54" s="252"/>
      <c r="BF54" s="252"/>
      <c r="BG54" s="252"/>
      <c r="BH54" s="252"/>
      <c r="BI54" s="252"/>
      <c r="BJ54" s="252"/>
      <c r="BK54" s="252"/>
      <c r="BL54" s="252"/>
      <c r="BM54" s="252"/>
      <c r="BN54" s="252"/>
      <c r="BO54" s="252"/>
      <c r="BP54" s="252"/>
      <c r="BQ54" s="252"/>
    </row>
    <row r="55" customFormat="false" ht="19.5" hidden="false" customHeight="true" outlineLevel="0" collapsed="false">
      <c r="A55" s="249"/>
      <c r="B55" s="91" t="s">
        <v>350</v>
      </c>
      <c r="C55" s="91"/>
      <c r="D55" s="91" t="str">
        <f aca="false">VLOOKUP("RESERVE",D5:D42,1,FALSE())</f>
        <v>RESERVE</v>
      </c>
      <c r="E55" s="91" t="str">
        <f aca="false">VLOOKUP("RESERVE",E5:E42,1,FALSE())</f>
        <v>RESERVE</v>
      </c>
      <c r="F55" s="91" t="str">
        <f aca="false">VLOOKUP("RESERVE",F5:F42,1,FALSE())</f>
        <v>RESERVE</v>
      </c>
      <c r="G55" s="91" t="str">
        <f aca="false">VLOOKUP("RESERVE",G5:G42,1,FALSE())</f>
        <v>RESERVE</v>
      </c>
      <c r="H55" s="91" t="str">
        <f aca="false">VLOOKUP("RESERVE",H5:H42,1,FALSE())</f>
        <v>RESERVE</v>
      </c>
      <c r="I55" s="91" t="str">
        <f aca="false">VLOOKUP("RESERVE",I5:I42,1,FALSE())</f>
        <v>RESERVE</v>
      </c>
      <c r="J55" s="91" t="str">
        <f aca="false">VLOOKUP("RESERVE",J5:J42,1,FALSE())</f>
        <v>RESERVE</v>
      </c>
      <c r="K55" s="91" t="str">
        <f aca="false">VLOOKUP("RESERVE",K5:K42,1,FALSE())</f>
        <v>RESERVE</v>
      </c>
      <c r="L55" s="91" t="str">
        <f aca="false">VLOOKUP("RESERVE",L5:L42,1,FALSE())</f>
        <v>RESERVE</v>
      </c>
      <c r="M55" s="91" t="str">
        <f aca="false">VLOOKUP("RESERVE",M5:M42,1,FALSE())</f>
        <v>RESERVE</v>
      </c>
      <c r="N55" s="91" t="str">
        <f aca="false">VLOOKUP("RESERVE",N5:N42,1,FALSE())</f>
        <v>RESERVE</v>
      </c>
      <c r="O55" s="91" t="str">
        <f aca="false">VLOOKUP("RESERVE",O5:O42,1,FALSE())</f>
        <v>RESERVE</v>
      </c>
      <c r="P55" s="91" t="str">
        <f aca="false">VLOOKUP("RESERVE",P5:P42,1,FALSE())</f>
        <v>RESERVE</v>
      </c>
      <c r="Q55" s="91" t="e">
        <f aca="false">VLOOKUP("RESERVE",Q5:Q41,1,FALSE())</f>
        <v>#N/A</v>
      </c>
      <c r="R55" s="91" t="str">
        <f aca="false">VLOOKUP("RESERVE",R5:R42,1,FALSE())</f>
        <v>RESERVE</v>
      </c>
      <c r="S55" s="91" t="str">
        <f aca="false">VLOOKUP("RESERVE",S5:S41,1,FALSE())</f>
        <v>RESERVE</v>
      </c>
      <c r="T55" s="91" t="str">
        <f aca="false">VLOOKUP("RESERVE",T5:T42,1,FALSE())</f>
        <v>RESERVE</v>
      </c>
      <c r="U55" s="91" t="str">
        <f aca="false">VLOOKUP("RESERVE",U5:U42,1,FALSE())</f>
        <v>RESERVE</v>
      </c>
      <c r="V55" s="91" t="str">
        <f aca="false">VLOOKUP("RESERVE",V5:V42,1,FALSE())</f>
        <v>RESERVE</v>
      </c>
      <c r="W55" s="91" t="str">
        <f aca="false">VLOOKUP("RESERVE",W5:W42,1,FALSE())</f>
        <v>RESERVE</v>
      </c>
      <c r="X55" s="91" t="str">
        <f aca="false">VLOOKUP("RESERVE",X5:X42,1,FALSE())</f>
        <v>RESERVE</v>
      </c>
      <c r="Y55" s="91" t="str">
        <f aca="false">VLOOKUP("RESERVE",Y5:Y40,1,FALSE())</f>
        <v>RESERVE</v>
      </c>
      <c r="Z55" s="91" t="str">
        <f aca="false">VLOOKUP("RESERVE",Z5:Z42,1,FALSE())</f>
        <v>RESERVE</v>
      </c>
      <c r="AA55" s="91" t="str">
        <f aca="false">VLOOKUP("RESERVE",AA5:AA42,1,FALSE())</f>
        <v>RESERVE</v>
      </c>
      <c r="AB55" s="91" t="str">
        <f aca="false">VLOOKUP("RESERVE",AB5:AB42,1,FALSE())</f>
        <v>RESERVE</v>
      </c>
      <c r="AC55" s="91" t="str">
        <f aca="false">VLOOKUP("RESERVE",AC5:AC42,1,FALSE())</f>
        <v>RESERVE</v>
      </c>
      <c r="AD55" s="91" t="str">
        <f aca="false">VLOOKUP("RESERVE",AD5:AD42,1,FALSE())</f>
        <v>RESERVE</v>
      </c>
      <c r="AE55" s="91" t="e">
        <f aca="false">VLOOKUP("RESERVE",AE5:AE42,1,FALSE())</f>
        <v>#N/A</v>
      </c>
      <c r="AF55" s="91" t="str">
        <f aca="false">VLOOKUP("RESERVE",AF5:AF42,1,FALSE())</f>
        <v>RESERVE</v>
      </c>
      <c r="AG55" s="91" t="str">
        <f aca="false">VLOOKUP("RESERVE",AG5:AG42,1,FALSE())</f>
        <v>RESERVE</v>
      </c>
      <c r="AH55" s="250"/>
      <c r="AI55" s="250"/>
      <c r="AJ55" s="250"/>
      <c r="AK55" s="250"/>
      <c r="AL55" s="252"/>
      <c r="AM55" s="252"/>
      <c r="AN55" s="252"/>
      <c r="AO55" s="252"/>
      <c r="AP55" s="252"/>
      <c r="AQ55" s="252"/>
      <c r="AR55" s="252"/>
      <c r="AS55" s="252"/>
      <c r="AT55" s="252"/>
      <c r="AU55" s="252"/>
      <c r="AV55" s="252"/>
      <c r="AW55" s="252"/>
      <c r="AX55" s="252"/>
      <c r="AY55" s="252"/>
      <c r="AZ55" s="252"/>
      <c r="BA55" s="252"/>
      <c r="BB55" s="252"/>
      <c r="BC55" s="252"/>
      <c r="BD55" s="252"/>
      <c r="BE55" s="252"/>
      <c r="BF55" s="252"/>
      <c r="BG55" s="252"/>
      <c r="BH55" s="252"/>
      <c r="BI55" s="252"/>
      <c r="BJ55" s="252"/>
      <c r="BK55" s="252"/>
      <c r="BL55" s="252"/>
      <c r="BM55" s="252"/>
      <c r="BN55" s="252"/>
      <c r="BO55" s="252"/>
      <c r="BP55" s="252"/>
      <c r="BQ55" s="252"/>
    </row>
    <row r="56" customFormat="false" ht="19.5" hidden="false" customHeight="true" outlineLevel="0" collapsed="false">
      <c r="A56" s="249"/>
      <c r="B56" s="91" t="s">
        <v>755</v>
      </c>
      <c r="C56" s="91"/>
      <c r="D56" s="91" t="n">
        <f aca="false">COUNTIF(D5:D42,"DM")</f>
        <v>1</v>
      </c>
      <c r="E56" s="91" t="n">
        <f aca="false">COUNTIF(E5:E42,"DM")</f>
        <v>1</v>
      </c>
      <c r="F56" s="91" t="n">
        <f aca="false">COUNTIF(F5:F42,"DM")</f>
        <v>1</v>
      </c>
      <c r="G56" s="91" t="n">
        <f aca="false">COUNTIF(G5:G42,"DM")</f>
        <v>1</v>
      </c>
      <c r="H56" s="91" t="n">
        <f aca="false">COUNTIF(H5:H42,"DM")</f>
        <v>1</v>
      </c>
      <c r="I56" s="91" t="n">
        <f aca="false">COUNTIF(I5:I42,"DM")</f>
        <v>2</v>
      </c>
      <c r="J56" s="91" t="n">
        <f aca="false">COUNTIF(J5:J42,"DM")</f>
        <v>2</v>
      </c>
      <c r="K56" s="91" t="n">
        <f aca="false">COUNTIF(K5:K42,"DM")</f>
        <v>2</v>
      </c>
      <c r="L56" s="91" t="n">
        <f aca="false">COUNTIF(L5:L42,"DM")</f>
        <v>2</v>
      </c>
      <c r="M56" s="91" t="n">
        <f aca="false">COUNTIF(M5:M42,"DM")</f>
        <v>1</v>
      </c>
      <c r="N56" s="91" t="n">
        <f aca="false">COUNTIF(N5:N42,"DM")</f>
        <v>1</v>
      </c>
      <c r="O56" s="91" t="n">
        <f aca="false">COUNTIF(O5:O42,"DM")</f>
        <v>1</v>
      </c>
      <c r="P56" s="91" t="n">
        <f aca="false">COUNTIF(P5:P42,"DM")</f>
        <v>2</v>
      </c>
      <c r="Q56" s="91" t="n">
        <f aca="false">COUNTIF(Q5:Q41,"DM")</f>
        <v>2</v>
      </c>
      <c r="R56" s="91" t="n">
        <f aca="false">COUNTIF(R5:R42,"DM")</f>
        <v>2</v>
      </c>
      <c r="S56" s="91" t="n">
        <f aca="false">COUNTIF(S5:S41,"DM")</f>
        <v>2</v>
      </c>
      <c r="T56" s="91" t="n">
        <f aca="false">COUNTIF(T5:T42,"DM")</f>
        <v>2</v>
      </c>
      <c r="U56" s="91" t="n">
        <f aca="false">COUNTIF(U5:U42,"DM")</f>
        <v>1</v>
      </c>
      <c r="V56" s="91" t="n">
        <f aca="false">COUNTIF(V5:V42,"DM")</f>
        <v>1</v>
      </c>
      <c r="W56" s="91" t="n">
        <f aca="false">COUNTIF(W5:W42,"DM")</f>
        <v>2</v>
      </c>
      <c r="X56" s="91" t="n">
        <f aca="false">COUNTIF(X5:X42,"DM")</f>
        <v>2</v>
      </c>
      <c r="Y56" s="91" t="n">
        <f aca="false">COUNTIF(Y5:Y40,"DM")</f>
        <v>2</v>
      </c>
      <c r="Z56" s="91" t="n">
        <f aca="false">COUNTIF(Z5:Z42,"DM")</f>
        <v>2</v>
      </c>
      <c r="AA56" s="91" t="n">
        <f aca="false">COUNTIF(AA5:AA42,"DM")</f>
        <v>1</v>
      </c>
      <c r="AB56" s="91" t="n">
        <f aca="false">COUNTIF(AB5:AB42,"DM")</f>
        <v>1</v>
      </c>
      <c r="AC56" s="91" t="n">
        <f aca="false">COUNTIF(AC5:AC42,"DM")</f>
        <v>1</v>
      </c>
      <c r="AD56" s="91" t="n">
        <f aca="false">COUNTIF(AD5:AD42,"DM")</f>
        <v>2</v>
      </c>
      <c r="AE56" s="91" t="n">
        <f aca="false">COUNTIF(AE5:AE42,"DM")</f>
        <v>2</v>
      </c>
      <c r="AF56" s="91" t="n">
        <f aca="false">COUNTIF(AF5:AF42,"DM")</f>
        <v>1</v>
      </c>
      <c r="AG56" s="91" t="n">
        <f aca="false">COUNTIF(AG5:AG42,"DM")</f>
        <v>2</v>
      </c>
      <c r="AH56" s="250"/>
      <c r="AI56" s="250"/>
      <c r="AJ56" s="250"/>
      <c r="AK56" s="250"/>
      <c r="AL56" s="252"/>
      <c r="AM56" s="252"/>
      <c r="AN56" s="252"/>
      <c r="AO56" s="252"/>
      <c r="AP56" s="252"/>
      <c r="AQ56" s="252"/>
      <c r="AR56" s="252"/>
      <c r="AS56" s="252"/>
      <c r="AT56" s="252"/>
      <c r="AU56" s="252"/>
      <c r="AV56" s="252"/>
      <c r="AW56" s="252"/>
      <c r="AX56" s="252"/>
      <c r="AY56" s="252"/>
      <c r="AZ56" s="252"/>
      <c r="BA56" s="252"/>
      <c r="BB56" s="252"/>
      <c r="BC56" s="252"/>
      <c r="BD56" s="252"/>
      <c r="BE56" s="252"/>
      <c r="BF56" s="252"/>
      <c r="BG56" s="252"/>
      <c r="BH56" s="252"/>
      <c r="BI56" s="252"/>
      <c r="BJ56" s="252"/>
      <c r="BK56" s="252"/>
      <c r="BL56" s="252"/>
      <c r="BM56" s="252"/>
      <c r="BN56" s="252"/>
      <c r="BO56" s="252"/>
      <c r="BP56" s="252"/>
      <c r="BQ56" s="252"/>
    </row>
  </sheetData>
  <mergeCells count="3">
    <mergeCell ref="D1:T1"/>
    <mergeCell ref="AQ3:AQ4"/>
    <mergeCell ref="AR3:AR4"/>
  </mergeCells>
  <conditionalFormatting sqref="J11:J12">
    <cfRule type="expression" priority="2" aboveAverage="0" equalAverage="0" bottom="0" percent="0" rank="0" text="" dxfId="21">
      <formula>WEEKDAY(#REF!,2)&gt;5</formula>
    </cfRule>
    <cfRule type="containsText" priority="3" operator="containsText" aboveAverage="0" equalAverage="0" bottom="0" percent="0" rank="0" text="VACC" dxfId="40">
      <formula>NOT(ISERROR(SEARCH("VACC",J11)))</formula>
    </cfRule>
  </conditionalFormatting>
  <conditionalFormatting sqref="R19:R20 S22">
    <cfRule type="expression" priority="4" aboveAverage="0" equalAverage="0" bottom="0" percent="0" rank="0" text="" dxfId="21">
      <formula>WEEKDAY(U$3,2)&gt;5</formula>
    </cfRule>
    <cfRule type="expression" priority="5" aboveAverage="0" equalAverage="0" bottom="0" percent="0" rank="0" text="" dxfId="21">
      <formula>WEEKDAY(V$3,2)&gt;5</formula>
    </cfRule>
  </conditionalFormatting>
  <conditionalFormatting sqref="E23">
    <cfRule type="expression" priority="6" aboveAverage="0" equalAverage="0" bottom="0" percent="0" rank="0" text="" dxfId="21">
      <formula>WEEKDAY(H$3,2)&gt;5</formula>
    </cfRule>
    <cfRule type="expression" priority="7" aboveAverage="0" equalAverage="0" bottom="0" percent="0" rank="0" text="" dxfId="21">
      <formula>WEEKDAY(G$3,2)&gt;5</formula>
    </cfRule>
  </conditionalFormatting>
  <conditionalFormatting sqref="S8:S9 D12:E12 G19:H19 I19:I20 T22 D23 H23 I23:I24 N23 S25 G28 U28 E29 W35">
    <cfRule type="expression" priority="8" aboveAverage="0" equalAverage="0" bottom="0" percent="0" rank="0" text="" dxfId="21">
      <formula>WEEKDAY(T$3,2)&gt;5</formula>
    </cfRule>
  </conditionalFormatting>
  <conditionalFormatting sqref="D21:D22">
    <cfRule type="expression" priority="9" aboveAverage="0" equalAverage="0" bottom="0" percent="0" rank="0" text="" dxfId="21">
      <formula>WEEKDAY(E$3,2)&gt;5</formula>
    </cfRule>
  </conditionalFormatting>
  <conditionalFormatting sqref="D5:D10 F5:F6 H5:H8 I5 J5:J10 K5:K8 L5:L6 N5:N16 O5:P6 Q5 R5:R9 S5:S36 T5:W6 X5:X21 Y5:Y9 Z5:Z8 AF5:AG5 E6 G6:G10 M6:M9 AA6:AA7 I7:I9 Q7:Q10 AB7:AB11 AC7:AC8 AD7:AD10 AE7:AF11 E8:F8 P8:P10 T8:T9 U8:U13 AG8:AG16 L9 V9 F10:F12 H10:H16 K10:K13 W10:W11 AA10:AA11 AC10 I11:I17 R11:R17 T11 V11:V13 Y11:Y17 Z11:Z21 D12:D23 E12:E17 G12 L12:M12 P12 J13:J16 O13:O16 W13 AB13:AF13 F14:F16 G14:G19 M14:M17 P14:P17 Q14:Q16 K15:L16 T15:T20 U15:U17 V15:V21 W15:W16 AA15:AA17 AB15:AB19 AC15:AC22 AE15:AE16 AF15:AF19 AD16 F18:F20 H18:H21 J18:J22 L18:L22 N18:N25 Q18:Q23 W18:W21 AE18:AE19 E19:E20 I19:I25 K19 M19:M25 O19:O22 P19:P27 R19:R22 U19:U20 Y19:Y22 AA19 AD19:AD22 AG19:AG20 G21:G22 AB21 K22:K24 T22:U23 AE22 AF22:AF26 AG22 E23 H23:H27 AA23 F24:F25 J24:J25 L24:L27 V24 X24:X25 AD24 D25:D30 E25 G25:G28 O25 Q25:Q26 W25 R26 T26:T30 V26 Z26 AB26 AD26 E27 F27:F28 I27:J30 N27:N28 AA27:AA28 AE27 K28:K30 M28 O28 R28 U28:X28 AC28 AD28:AD33 E29 L29 P29:Q29 Y29:Y30 F30:G30 M30 W30:W35 X30 Z30:AA30 AC30 AG30 E31:E32 H31:H32 N31:N32 O31 AB31:AB32 AE31:AE32 D32 F32:G32 P32:P33 T32 AC32 AF32 J33:L33 O33 U33 X33:X34 Y33:Y36 F34:H34 I34:I35 M34 N34:N36 Q34 AC34:AC35 P35:P36 F36:F42 G36:H37 J36:J37 O36 V36 AA36 E37 I37:I38 K37:K39 L37:L40 T37 W37 X37:X42 D38:D42 M38:N42 S38:S42 U38 Y38:Y42 AA39 AB39:AB43 AC39:AC40 AD39:AE43 AF39:AF41 I40:I42 P40 G41 Q41 T41 L42 R42 AA42:AA43 AC42:AC43">
    <cfRule type="cellIs" priority="10" operator="equal" aboveAverage="0" equalAverage="0" bottom="0" percent="0" rank="0" text="" dxfId="23">
      <formula>"B"</formula>
    </cfRule>
    <cfRule type="cellIs" priority="11" operator="equal" aboveAverage="0" equalAverage="0" bottom="0" percent="0" rank="0" text="" dxfId="23">
      <formula>"AL"</formula>
    </cfRule>
    <cfRule type="cellIs" priority="12" operator="equal" aboveAverage="0" equalAverage="0" bottom="0" percent="0" rank="0" text="" dxfId="24">
      <formula>"DM"</formula>
    </cfRule>
    <cfRule type="cellIs" priority="13" operator="equal" aboveAverage="0" equalAverage="0" bottom="0" percent="0" rank="0" text="" dxfId="25">
      <formula>"CS1"</formula>
    </cfRule>
    <cfRule type="cellIs" priority="14" operator="equal" aboveAverage="0" equalAverage="0" bottom="0" percent="0" rank="0" text="" dxfId="26">
      <formula>"CS2"</formula>
    </cfRule>
    <cfRule type="cellIs" priority="15" operator="equal" aboveAverage="0" equalAverage="0" bottom="0" percent="0" rank="0" text="" dxfId="27">
      <formula>"SB1"</formula>
    </cfRule>
    <cfRule type="cellIs" priority="16" operator="equal" aboveAverage="0" equalAverage="0" bottom="0" percent="0" rank="0" text="" dxfId="28">
      <formula>"SB2"</formula>
    </cfRule>
    <cfRule type="cellIs" priority="17" operator="equal" aboveAverage="0" equalAverage="0" bottom="0" percent="0" rank="0" text="" dxfId="29">
      <formula>"AE"</formula>
    </cfRule>
    <cfRule type="cellIs" priority="18" operator="equal" aboveAverage="0" equalAverage="0" bottom="0" percent="0" rank="0" text="" dxfId="23">
      <formula>"DB"</formula>
    </cfRule>
    <cfRule type="containsText" priority="19" operator="containsText" aboveAverage="0" equalAverage="0" bottom="0" percent="0" rank="0" text="$AM" dxfId="30">
      <formula>NOT(ISERROR(SEARCH("$AM",D5)))</formula>
    </cfRule>
    <cfRule type="containsText" priority="20" operator="containsText" aboveAverage="0" equalAverage="0" bottom="0" percent="0" rank="0" text="$PM" dxfId="31">
      <formula>NOT(ISERROR(SEARCH("$PM",D5)))</formula>
    </cfRule>
    <cfRule type="containsText" priority="21" operator="containsText" aboveAverage="0" equalAverage="0" bottom="0" percent="0" rank="0" text="$L" dxfId="32">
      <formula>NOT(ISERROR(SEARCH("$L",D5)))</formula>
    </cfRule>
    <cfRule type="containsText" priority="22" operator="containsText" aboveAverage="0" equalAverage="0" bottom="0" percent="0" rank="0" text="$BTP" dxfId="33">
      <formula>NOT(ISERROR(SEARCH("$BTP",D5)))</formula>
    </cfRule>
    <cfRule type="containsText" priority="23" operator="containsText" aboveAverage="0" equalAverage="0" bottom="0" percent="0" rank="0" text="$M" dxfId="34">
      <formula>NOT(ISERROR(SEARCH("$M",D5)))</formula>
    </cfRule>
    <cfRule type="containsText" priority="24" operator="containsText" aboveAverage="0" equalAverage="0" bottom="0" percent="0" rank="0" text="$N" dxfId="35">
      <formula>NOT(ISERROR(SEARCH("$N",D5)))</formula>
    </cfRule>
    <cfRule type="containsText" priority="25" operator="containsText" aboveAverage="0" equalAverage="0" bottom="0" percent="0" rank="0" text="$FC" dxfId="36">
      <formula>NOT(ISERROR(SEARCH("$FC",D5)))</formula>
    </cfRule>
    <cfRule type="containsText" priority="26" operator="containsText" aboveAverage="0" equalAverage="0" bottom="0" percent="0" rank="0" text="OAL" dxfId="37">
      <formula>NOT(ISERROR(SEARCH("OAL",D5)))</formula>
    </cfRule>
    <cfRule type="containsText" priority="27" operator="containsText" aboveAverage="0" equalAverage="0" bottom="0" percent="0" rank="0" text="S+" dxfId="38">
      <formula>NOT(ISERROR(SEARCH("S+",D5)))</formula>
    </cfRule>
    <cfRule type="containsText" priority="28" operator="containsText" aboveAverage="0" equalAverage="0" bottom="0" percent="0" rank="0" text="EX-D" dxfId="39">
      <formula>NOT(ISERROR(SEARCH("EX-D",D5)))</formula>
    </cfRule>
  </conditionalFormatting>
  <conditionalFormatting sqref="D5:D10 F5:F6 H5:H8 I5 J5:J10 K5:K13 L5:L6 N5:N7 O5:O6 P5:Q5 R5:R17 S5:W6 X5:X21 Y5:Y9 Z5:Z8 AA5:AA7 AB5:AG5 E6 G6:G10 M6 I7:I9 Q7:Q10 AB7:AB8 AC7:AC22 AD7:AD10 AE7:AE16 AF7:AF13 E8:F8 M8:M9 P8:P10 S8:S10 T8:T9 U8:U13 AG8:AG16 L9 N9:N16 V9 F10:F12 H10:H16 W10:W13 AA10:AA11 AB10:AB19 I11:I17 T11 V11:V13 Y11:Y17 Z11 D12:D23 E12:E17 G12 L12:M12 S12:S30 AD12:AD14 J13:J16 O13:O16 P13:P17 Z13:Z17 F14:F16 G14:G19 M14:M17 Q14:Q16 AA14:AA17 K15:L16 T15:T20 U15:U17 V15:V21 W15:W16 AF15:AF19 AD16 F18:F20 H18:H27 J18:J22 L18:L22 N18:N25 O18:O22 Q18:Q26 W18:W21 AE18:AE19 E19:E20 I19:I25 K19 P19:P20 R19:R22 U19:U20 Y19:Y22 Z19:Z21 AA19 AD19:AD26 AG19:AG20 M20:M26 G21:G22 AB21:AB22 K22:K24 P22:P27 T22 U22:U23 AA22:AA25 AE22 AF22:AF26 AG22 E23 F23:F25 J24:J30 L24:L27 V24 X24:X25 D25:E25 G25:G28 O25 U25 W25 AB25:AB26 AG25 R26 T26:T30 V26 Z26 AE26:AE27 E27 F27:F28 I27:I30 N27:N28 AA27:AA30 AC27:AC30 D28 K28:K30 M28 O28 Q28:Q29 R28 U28:X28 Y28:Y30 Z28 AB28:AB29 AD28:AD33 E29 L29 P29 F30:G30 M30 N30:N32 W30:W33 X30 AG30 E31:E32 H31:H32 O31 Z31 AB31:AB32 AE31:AE32 D32 F32:G32 P32:P33 S32:S33 T32 AC32 AF32 J33 K33:K35 L33 O33 U33 X33:X34 Y33:Y36 F34:H34 I34:I35 M34 N34:N36 Q34 AA34:AA36 AB34:AB43 AC34:AC40 L35 P35:P36 S35 W35 Z35 F36:F42 G36:H37 J36:J37 O36 V36 E37 I37:I42 K37:K39 L37:L40 T37 W37 X37:X42 AD37:AE43 AF37:AF41 D38:D42 M38:N42 S38:S42 U38 Y38:Y42 AA38:AA43 J39 W39:W42 P40 G41 Q41 T41 L42 R42 AC42:AC43">
    <cfRule type="expression" priority="29" aboveAverage="0" equalAverage="0" bottom="0" percent="0" rank="0" text="" dxfId="21">
      <formula>WEEKDAY(#REF!,2)&gt;5</formula>
    </cfRule>
  </conditionalFormatting>
  <conditionalFormatting sqref="H5 X6:Y7 T8:T9 Y9 X10:X12 AA10:AA11 AB10:AE10 T11 W11 Y11:Z11 D12 V12 U13 W13 Y13:Z13 AB13 AA15:AA16 AB15 AG15 W18 AC20 AF24:AF25 X25 T27 AA27:AA28 AD30 AE31 AB32:AC32 T37 D9 K11 S17:S18 D19:D20 F19 K19 T19:T20 AA19 AD19:AF19 S20:S21 T22 D32:H32 S33">
    <cfRule type="expression" priority="30" aboveAverage="0" equalAverage="0" bottom="0" percent="0" rank="0" text="" dxfId="21">
      <formula>WEEKDAY(J$3,2)&gt;5</formula>
    </cfRule>
  </conditionalFormatting>
  <conditionalFormatting sqref="D5:D10 F5:F6 H5:H16 I5 J5:J10 K5:K8 L5:L6 N5:N7 O5:P6 Q5 R5:R17 S5:S6 T5:T9 U5:W6 X5:Y22 Z5:Z42 AA5:AC43 AD5:AD34 AE5:AF28 AG5:AG17 E6 G6:G10 M6:M9 I7:I9 Q7:Q10 E8:F8 L8:L12 P8:P29 U8:U17 W8:W13 N9:N19 V9 F10:F12 K10:K16 S10 I11:I25 T11:T12 D12:D23 E12:E17 G12 M12 O12:O25 S12:S26 V12:V21 J13:J16 Q13:Q23 F14:F20 G14:G19 L14:L16 M14:M17 T14:T23 W15:W16 H18:H27 J18:J22 K18:K20 L18:L27 W18:W21 E19:E25 R19:R22 U19:U23 AG19:AG27 M20:M26 G21:G22 K22:K25 N22:N25 V23:V24 W23 F24:F25 J24:J30 X24:X25 D25 G25:G28 Q25:Q29 R25:R28 T25:T30 U25:U28 W25 Y25 V26:V29 E27 F27:F28 I27:I30 N27:N28 W27:W42 X27:Y30 D28 K28:K30 M28 O28 S28:S30 E29 L29 F30:G30 M30 N30:N32 O30:O31 R30 U30 AE30:AF32 AG30:AG31 E31:E32 H31:H32 V31 D32 F32:G32 P32:P33 S32:T32 J33 K33:K35 L33 O33:O34 U33 X33:X34 Y33:Y36 F34:H34 I34:I35 M34 N34:N36 Q34 L35:L40 P35:P36 S35 V35:V37 F36:F42 G36:H37 J36:J37 O36 AD36:AD43 E37 I37:I42 K37:K42 T37:T38 X37:X42 AE37:AE43 AF37:AF41 D38:D42 M38:N42 S38:S42 U38 Y38:Y42 J39 P40 G41 Q41 T41 L42 R42 V43:V46">
    <cfRule type="cellIs" priority="31" operator="equal" aboveAverage="0" equalAverage="0" bottom="0" percent="0" rank="0" text="" dxfId="23">
      <formula>"B"</formula>
    </cfRule>
    <cfRule type="cellIs" priority="32" operator="equal" aboveAverage="0" equalAverage="0" bottom="0" percent="0" rank="0" text="" dxfId="23">
      <formula>"AL"</formula>
    </cfRule>
    <cfRule type="cellIs" priority="33" operator="equal" aboveAverage="0" equalAverage="0" bottom="0" percent="0" rank="0" text="" dxfId="24">
      <formula>"DM"</formula>
    </cfRule>
    <cfRule type="cellIs" priority="34" operator="equal" aboveAverage="0" equalAverage="0" bottom="0" percent="0" rank="0" text="" dxfId="25">
      <formula>"CS1"</formula>
    </cfRule>
    <cfRule type="cellIs" priority="35" operator="equal" aboveAverage="0" equalAverage="0" bottom="0" percent="0" rank="0" text="" dxfId="26">
      <formula>"CS2"</formula>
    </cfRule>
    <cfRule type="cellIs" priority="36" operator="equal" aboveAverage="0" equalAverage="0" bottom="0" percent="0" rank="0" text="" dxfId="27">
      <formula>"SB1"</formula>
    </cfRule>
    <cfRule type="cellIs" priority="37" operator="equal" aboveAverage="0" equalAverage="0" bottom="0" percent="0" rank="0" text="" dxfId="28">
      <formula>"SB2"</formula>
    </cfRule>
    <cfRule type="cellIs" priority="38" operator="equal" aboveAverage="0" equalAverage="0" bottom="0" percent="0" rank="0" text="" dxfId="29">
      <formula>"AE"</formula>
    </cfRule>
    <cfRule type="cellIs" priority="39" operator="equal" aboveAverage="0" equalAverage="0" bottom="0" percent="0" rank="0" text="" dxfId="23">
      <formula>"DB"</formula>
    </cfRule>
    <cfRule type="containsText" priority="40" operator="containsText" aboveAverage="0" equalAverage="0" bottom="0" percent="0" rank="0" text="$AM" dxfId="30">
      <formula>NOT(ISERROR(SEARCH("$AM",D5)))</formula>
    </cfRule>
    <cfRule type="containsText" priority="41" operator="containsText" aboveAverage="0" equalAverage="0" bottom="0" percent="0" rank="0" text="$PM" dxfId="31">
      <formula>NOT(ISERROR(SEARCH("$PM",D5)))</formula>
    </cfRule>
    <cfRule type="containsText" priority="42" operator="containsText" aboveAverage="0" equalAverage="0" bottom="0" percent="0" rank="0" text="$L" dxfId="32">
      <formula>NOT(ISERROR(SEARCH("$L",D5)))</formula>
    </cfRule>
    <cfRule type="containsText" priority="43" operator="containsText" aboveAverage="0" equalAverage="0" bottom="0" percent="0" rank="0" text="$BTP" dxfId="33">
      <formula>NOT(ISERROR(SEARCH("$BTP",D5)))</formula>
    </cfRule>
    <cfRule type="containsText" priority="44" operator="containsText" aboveAverage="0" equalAverage="0" bottom="0" percent="0" rank="0" text="$M" dxfId="34">
      <formula>NOT(ISERROR(SEARCH("$M",D5)))</formula>
    </cfRule>
    <cfRule type="containsText" priority="45" operator="containsText" aboveAverage="0" equalAverage="0" bottom="0" percent="0" rank="0" text="$N" dxfId="35">
      <formula>NOT(ISERROR(SEARCH("$N",D5)))</formula>
    </cfRule>
    <cfRule type="containsText" priority="46" operator="containsText" aboveAverage="0" equalAverage="0" bottom="0" percent="0" rank="0" text="$FC" dxfId="36">
      <formula>NOT(ISERROR(SEARCH("$FC",D5)))</formula>
    </cfRule>
    <cfRule type="containsText" priority="47" operator="containsText" aboveAverage="0" equalAverage="0" bottom="0" percent="0" rank="0" text="OAL" dxfId="37">
      <formula>NOT(ISERROR(SEARCH("OAL",D5)))</formula>
    </cfRule>
    <cfRule type="containsText" priority="48" operator="containsText" aboveAverage="0" equalAverage="0" bottom="0" percent="0" rank="0" text="S+" dxfId="38">
      <formula>NOT(ISERROR(SEARCH("S+",D5)))</formula>
    </cfRule>
    <cfRule type="containsText" priority="49" operator="containsText" aboveAverage="0" equalAverage="0" bottom="0" percent="0" rank="0" text="EX-D" dxfId="39">
      <formula>NOT(ISERROR(SEARCH("EX-D",D5)))</formula>
    </cfRule>
    <cfRule type="expression" priority="50" aboveAverage="0" equalAverage="0" bottom="0" percent="0" rank="0" text="" dxfId="21">
      <formula>WEEKDAY(#REF!,2)&gt;5</formula>
    </cfRule>
  </conditionalFormatting>
  <conditionalFormatting sqref="D5:I56 J5:J10 K5:AG56 J12:J56">
    <cfRule type="containsText" priority="51" operator="containsText" aboveAverage="0" equalAverage="0" bottom="0" percent="0" rank="0" text="CS/B" dxfId="50">
      <formula>NOT(ISERROR(SEARCH("CS/B",D5)))</formula>
    </cfRule>
  </conditionalFormatting>
  <conditionalFormatting sqref="K4:K56 AB4:AB56 D5:I56 J5:J10 L5:AA56 AC5:AG56 J12:J56">
    <cfRule type="cellIs" priority="52" operator="equal" aboveAverage="0" equalAverage="0" bottom="0" percent="0" rank="0" text="" dxfId="23">
      <formula>"B"</formula>
    </cfRule>
    <cfRule type="cellIs" priority="53" operator="equal" aboveAverage="0" equalAverage="0" bottom="0" percent="0" rank="0" text="" dxfId="23">
      <formula>"AL"</formula>
    </cfRule>
    <cfRule type="cellIs" priority="54" operator="equal" aboveAverage="0" equalAverage="0" bottom="0" percent="0" rank="0" text="" dxfId="24">
      <formula>"DM"</formula>
    </cfRule>
    <cfRule type="cellIs" priority="55" operator="equal" aboveAverage="0" equalAverage="0" bottom="0" percent="0" rank="0" text="" dxfId="25">
      <formula>"CS1"</formula>
    </cfRule>
    <cfRule type="cellIs" priority="56" operator="equal" aboveAverage="0" equalAverage="0" bottom="0" percent="0" rank="0" text="" dxfId="26">
      <formula>"CS2"</formula>
    </cfRule>
    <cfRule type="cellIs" priority="57" operator="equal" aboveAverage="0" equalAverage="0" bottom="0" percent="0" rank="0" text="" dxfId="27">
      <formula>"SB1"</formula>
    </cfRule>
    <cfRule type="cellIs" priority="58" operator="equal" aboveAverage="0" equalAverage="0" bottom="0" percent="0" rank="0" text="" dxfId="28">
      <formula>"SB2"</formula>
    </cfRule>
    <cfRule type="cellIs" priority="59" operator="equal" aboveAverage="0" equalAverage="0" bottom="0" percent="0" rank="0" text="" dxfId="29">
      <formula>"AE"</formula>
    </cfRule>
  </conditionalFormatting>
  <conditionalFormatting sqref="BP5:BQ46">
    <cfRule type="cellIs" priority="60" operator="lessThan" aboveAverage="0" equalAverage="0" bottom="0" percent="0" rank="0" text="" dxfId="41">
      <formula>1</formula>
    </cfRule>
  </conditionalFormatting>
  <conditionalFormatting sqref="K4:K46 AB4:AB46 D5:I46 J5:J10 L5:AA46 AC5:AG46 J12:J46">
    <cfRule type="cellIs" priority="61" operator="equal" aboveAverage="0" equalAverage="0" bottom="0" percent="0" rank="0" text="" dxfId="23">
      <formula>"DB"</formula>
    </cfRule>
    <cfRule type="containsText" priority="62" operator="containsText" aboveAverage="0" equalAverage="0" bottom="0" percent="0" rank="0" text="$AM" dxfId="30">
      <formula>NOT(ISERROR(SEARCH("$AM",D4)))</formula>
    </cfRule>
    <cfRule type="containsText" priority="63" operator="containsText" aboveAverage="0" equalAverage="0" bottom="0" percent="0" rank="0" text="$PM" dxfId="31">
      <formula>NOT(ISERROR(SEARCH("$PM",D4)))</formula>
    </cfRule>
    <cfRule type="containsText" priority="64" operator="containsText" aboveAverage="0" equalAverage="0" bottom="0" percent="0" rank="0" text="$L" dxfId="32">
      <formula>NOT(ISERROR(SEARCH("$L",D4)))</formula>
    </cfRule>
    <cfRule type="containsText" priority="65" operator="containsText" aboveAverage="0" equalAverage="0" bottom="0" percent="0" rank="0" text="$BTP" dxfId="33">
      <formula>NOT(ISERROR(SEARCH("$BTP",D4)))</formula>
    </cfRule>
    <cfRule type="containsText" priority="66" operator="containsText" aboveAverage="0" equalAverage="0" bottom="0" percent="0" rank="0" text="$M" dxfId="34">
      <formula>NOT(ISERROR(SEARCH("$M",D4)))</formula>
    </cfRule>
    <cfRule type="containsText" priority="67" operator="containsText" aboveAverage="0" equalAverage="0" bottom="0" percent="0" rank="0" text="$N" dxfId="35">
      <formula>NOT(ISERROR(SEARCH("$N",D4)))</formula>
    </cfRule>
    <cfRule type="containsText" priority="68" operator="containsText" aboveAverage="0" equalAverage="0" bottom="0" percent="0" rank="0" text="$FC" dxfId="36">
      <formula>NOT(ISERROR(SEARCH("$FC",D4)))</formula>
    </cfRule>
    <cfRule type="containsText" priority="69" operator="containsText" aboveAverage="0" equalAverage="0" bottom="0" percent="0" rank="0" text="OAL" dxfId="37">
      <formula>NOT(ISERROR(SEARCH("OAL",D4)))</formula>
    </cfRule>
    <cfRule type="containsText" priority="70" operator="containsText" aboveAverage="0" equalAverage="0" bottom="0" percent="0" rank="0" text="S+" dxfId="38">
      <formula>NOT(ISERROR(SEARCH("S+",D4)))</formula>
    </cfRule>
    <cfRule type="containsText" priority="71" operator="containsText" aboveAverage="0" equalAverage="0" bottom="0" percent="0" rank="0" text="EX-D" dxfId="39">
      <formula>NOT(ISERROR(SEARCH("EX-D",D4)))</formula>
    </cfRule>
  </conditionalFormatting>
  <conditionalFormatting sqref="J3:J10 J12:J46 Y11:Z11 Y13:Z13 D3:I46 Z3:AG46 U2:Y46 K3:T46">
    <cfRule type="expression" priority="72" aboveAverage="0" equalAverage="0" bottom="0" percent="0" rank="0" text="" dxfId="21">
      <formula>WEEKDAY(U$3,2)&gt;5</formula>
    </cfRule>
  </conditionalFormatting>
  <conditionalFormatting sqref="K4:K8 D5:D10 F5:F6 H5:H16 I5 J5:J10 L5:L6 N5:N7 O5:P6 Q5 R5:R17 S5:S6 T5:T9 U5:W6 X5:Y22 Z5:Z42 AA5:AC43 AD5:AD34 AE5:AF28 AG5:AG17 E6 G6:G10 M6:M9 I7:I9 Q7:Q10 E8:F8 L8:L12 P8:P29 S8:S10 U8:U17 W8:W13 N9:N25 V9 F10:F12 K10:K16 I11:I25 T11:T12 V11:V21 D12:D23 E12:E17 G12 M12 O12:O25 S12:S30 J13:J16 Q13:Q23 F14:F20 G14:G19 L14:L16 M14:M17 T14:T23 W15:W16 H18:H27 J18:J22 K18:K20 L18:L27 W18:W21 E19:E25 R19:R22 U19:U23 AG19:AG27 M20:M26 G21:G22 K22:K25 V23:V24 W23 F24:F25 J24:J30 X24:X25 D25 G25:G28 Q25:Q29 R25:R28 T25:T30 U25:U28 W25 Y25 V26:V29 E27 F27:F28 I27:I30 N27:N28 W27:W42 X27:Y30 D28 K28:K30 M28 O28 E29 L29 F30:G30 M30 N30:N32 O30:O31 R30 U30 AE30:AF32 AG30:AG31 E31:E32 H31:H32 V31 D32 F32:G32 P32:P33 S32:S33 T32 J33 K33:K35 L33 O33:O34 U33 X33:X34 Y33:Y36 F34:H34 I34:I35 M34 N34:N36 Q34 L35:L40 P35:P36 S35 V35:V37 F36:F42 G36:H37 J36:J37 O36 AD36:AD43 E37 I37:I42 K37:K42 T37:T38 X37:X42 AE37:AE43 AF37:AF41 D38:D42 M38:N42 S38:S42 U38 Y38:Y42 J39 P40 G41 Q41 T41 L42 R42 V43:V46">
    <cfRule type="containsText" priority="73" operator="containsText" aboveAverage="0" equalAverage="0" bottom="0" percent="0" rank="0" text="VACC" dxfId="40">
      <formula>NOT(ISERROR(SEARCH("VACC",D4)))</formula>
    </cfRule>
  </conditionalFormatting>
  <conditionalFormatting sqref="A1:I56 J1:J10 K1:BQ56 J12:J56">
    <cfRule type="cellIs" priority="74" operator="equal" aboveAverage="0" equalAverage="0" bottom="0" percent="0" rank="0" text="" dxfId="41">
      <formula>"RESERVE"</formula>
    </cfRule>
  </conditionalFormatting>
  <conditionalFormatting sqref="AE7">
    <cfRule type="expression" priority="75" aboveAverage="0" equalAverage="0" bottom="0" percent="0" rank="0" text="" dxfId="45">
      <formula>LEN(TRIM(AE7))&gt;0</formula>
    </cfRule>
  </conditionalFormatting>
  <conditionalFormatting sqref="A1:BQ56">
    <cfRule type="cellIs" priority="76" operator="equal" aboveAverage="0" equalAverage="0" bottom="0" percent="0" rank="0" text="" dxfId="52">
      <formula>"WEEKEND OUTFIELD RESERVE"</formula>
    </cfRule>
  </conditionalFormatting>
  <dataValidations count="4">
    <dataValidation allowBlank="true" errorStyle="stop" operator="equal" showDropDown="true" showErrorMessage="false" showInputMessage="false" sqref="B5:B6 S5 B7:B11 B13:B26 K39 L40 D43:G43 J43:M43 O43:Q46 T43:V46 Y43:Z43 AF43:AG43 D44:M46 W44:AG46" type="list">
      <formula1>'Setting key Duty'!$B$7:$B$56</formula1>
      <formula2>0</formula2>
    </dataValidation>
    <dataValidation allowBlank="true" errorStyle="stop" operator="between" showDropDown="false" showErrorMessage="false" showInputMessage="false" sqref="D5:D11 F5:K5 M5:O5 T5:Y5 AG5:AG7 E6:H6 K6:M6 O6 R6:R8 T6:X6 Z6 E7:M8 O7:P7 U7:U14 X7:AC7 AE7:AF7 O8:O12 Z8:AB8 AD8:AG8 G9:J9 M9:M10 P9:R9 V9 X9:X12 Z9:Z10 AB9:AB11 AE9:AG9 F10:J10 N10:N11 P10:P15 W10 AA10:AA13 AC10:AG11 F11:I12 R11:R12 T11:T12 Y11:Z15 K12:N12 S12 V12:W14 D13:G13 I13:O13 R13:S13 AG13 D14:I18 L14:O14 Q14:T14 J15:O15 Q15:X15 J16:P17 R16:Z16 Q17:Z17 AE17 AG17:AG26 J18:K18 M18:X18 Z18 AB18:AF18 D20:K20 R20:V20 Z20:AF20 D21:H22 J21:M21 O21:R21 T21:T23 V21:X21 Z21:Z31 AB21:AD21 AF21 K22:K23 M22:M23 O22:O24 R22:R23 U22:W23 AA22:AF23 D23:I23 L23 P23:Q24 S23 X23:Y23 D24:G24 I24:J24 L24:M24 U24:V25 X24:X27 AA24:AC27 AE24:AF24 D25:F25 I25 M25:S25 Y25:Y28 AD25:AF25 D26:D31 F26:H30 J26:J27 L26:L28 O26:W26 AD26:AD27 E27:E31 I27:I32 K27 M27:W27 AE27:AG28 N28:X28 AB28:AC28 K29:K30 M29:O29 S29:T30 V29:X29 AA29:AF29 J30 N30:R30 U30 W30:Y31 AA30:AD30 AF30:AF31 F31 H31 K31:T31 AB31:AC31 AE31 AG31:AG32 D32:H32 K32:K33 N32:P32 R32:R36 U32:AA32 D33:F34 H33:J33 L33:Q33 T33:U33 W33:AC33 AE33:AG33 G34:J34 M34:Q34 S34:V34 X34 Z34:AG34 D35:H36 K35:P36 S35:U35 Y35:AC35 AF35:AG35 I36 Q36:Q40 S36 U36 X36:AG36 D37:I37 K37:O37 R37:S37 V37:AC37 AG37:AG41 E38:L38 N38 P38 R38 U38:V38 X38:AC38 D39:H39 J39:J42 M39:O39 S39:U40 W39:X40 Z39:Z42 D40:E42 H40:I40 K40:K42 N40:O40 Y40:Y41 AA40:AA41 F41:I42 L41:L42 N41:P41 R41:T41 V41:X41 AC41 M42:P42 T42:X42 AF42:AG42" type="custom">
      <formula1>NOT(ISERROR(SEARCH((#REF!),(D5))))</formula1>
      <formula2>0</formula2>
    </dataValidation>
    <dataValidation allowBlank="true" errorStyle="stop" operator="equal" showDropDown="true" showErrorMessage="false" showInputMessage="false" sqref="L5 P5:Q5 N6:N7 Y6 P8:Q8 T8:T9 Y8:Y9 N9 Q10 S10 E11:E12 K11 D12 J12 AG12 AB13 AE13:AF13 AA15:AC15 AE15:AG15 AA16:AE16 AG16 AB17:AC17 AF17 D19:L19 N19:X19 Z19:AF19 L20:Q20 W20 S21:S22 L22 N22 P22:Q22 Y22 N24 S24 AF26 L29 P29:Q29 AG30 T32 AB32:AF32 AD33 Y34 I35 W35 V36 J37 T37 M38 Y39 AA39:AF39 P40 AB40:AF40 Q41 R42 AA42:AE42" type="list">
      <formula1>'Setting key Duty'!$B$7:$B$54</formula1>
      <formula2>0</formula2>
    </dataValidation>
    <dataValidation allowBlank="true" errorStyle="stop" operator="equal" showDropDown="true" showErrorMessage="false" showInputMessage="false" sqref="D47:AG54" type="list">
      <formula1>'Setting key Duty'!$B$7:$B$23</formula1>
      <formula2>0</formula2>
    </dataValidation>
  </dataValidation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R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5" activeCellId="0" sqref="C5"/>
    </sheetView>
  </sheetViews>
  <sheetFormatPr defaultColWidth="12.6328125" defaultRowHeight="15.75" customHeight="true" zeroHeight="false" outlineLevelRow="0" outlineLevelCol="1"/>
  <cols>
    <col collapsed="false" customWidth="true" hidden="false" outlineLevel="0" max="1" min="1" style="0" width="2.13"/>
    <col collapsed="false" customWidth="true" hidden="false" outlineLevel="0" max="2" min="2" style="0" width="29.76"/>
    <col collapsed="false" customWidth="true" hidden="true" outlineLevel="0" max="3" min="3" style="0" width="29.76"/>
    <col collapsed="false" customWidth="true" hidden="false" outlineLevel="0" max="12" min="4" style="0" width="9.24"/>
    <col collapsed="false" customWidth="true" hidden="false" outlineLevel="0" max="13" min="13" style="0" width="9.38"/>
    <col collapsed="false" customWidth="true" hidden="false" outlineLevel="0" max="14" min="14" style="0" width="10.63"/>
    <col collapsed="false" customWidth="true" hidden="false" outlineLevel="0" max="15" min="15" style="0" width="9.24"/>
    <col collapsed="false" customWidth="true" hidden="false" outlineLevel="0" max="16" min="16" style="0" width="10"/>
    <col collapsed="false" customWidth="true" hidden="false" outlineLevel="0" max="17" min="17" style="0" width="10.76"/>
    <col collapsed="false" customWidth="true" hidden="false" outlineLevel="0" max="18" min="18" style="0" width="10.25"/>
    <col collapsed="false" customWidth="true" hidden="false" outlineLevel="0" max="19" min="19" style="0" width="9.63"/>
    <col collapsed="false" customWidth="true" hidden="false" outlineLevel="0" max="20" min="20" style="0" width="9.14"/>
    <col collapsed="false" customWidth="true" hidden="false" outlineLevel="0" max="27" min="21" style="0" width="9.24"/>
    <col collapsed="false" customWidth="true" hidden="false" outlineLevel="0" max="28" min="28" style="0" width="10.51"/>
    <col collapsed="false" customWidth="true" hidden="false" outlineLevel="0" max="31" min="29" style="0" width="9.24"/>
    <col collapsed="false" customWidth="true" hidden="false" outlineLevel="0" max="32" min="32" style="0" width="10.51"/>
    <col collapsed="false" customWidth="true" hidden="false" outlineLevel="0" max="34" min="33" style="0" width="9.38"/>
    <col collapsed="false" customWidth="true" hidden="false" outlineLevel="1" max="41" min="35" style="0" width="9.38"/>
    <col collapsed="false" customWidth="true" hidden="false" outlineLevel="1" max="42" min="42" style="0" width="12"/>
    <col collapsed="false" customWidth="true" hidden="false" outlineLevel="1" max="43" min="43" style="0" width="9.38"/>
    <col collapsed="false" customWidth="true" hidden="false" outlineLevel="0" max="45" min="44" style="0" width="6.76"/>
    <col collapsed="false" customWidth="true" hidden="false" outlineLevel="1" max="46" min="46" style="0" width="8.87"/>
    <col collapsed="false" customWidth="true" hidden="false" outlineLevel="1" max="48" min="47" style="0" width="7.88"/>
    <col collapsed="false" customWidth="true" hidden="false" outlineLevel="1" max="49" min="49" style="0" width="9.14"/>
    <col collapsed="false" customWidth="true" hidden="false" outlineLevel="1" max="50" min="50" style="0" width="8.24"/>
    <col collapsed="false" customWidth="true" hidden="false" outlineLevel="1" max="51" min="51" style="0" width="5.51"/>
    <col collapsed="false" customWidth="true" hidden="false" outlineLevel="0" max="54" min="52" style="0" width="9.38"/>
    <col collapsed="false" customWidth="true" hidden="true" outlineLevel="1" max="65" min="55" style="0" width="9.38"/>
    <col collapsed="false" customWidth="true" hidden="false" outlineLevel="0" max="67" min="66" style="0" width="9.38"/>
    <col collapsed="false" customWidth="true" hidden="false" outlineLevel="0" max="68" min="68" style="0" width="9.51"/>
    <col collapsed="false" customWidth="true" hidden="false" outlineLevel="0" max="70" min="69" style="0" width="9.38"/>
  </cols>
  <sheetData>
    <row r="1" customFormat="false" ht="3" hidden="false" customHeight="true" outlineLevel="0" collapsed="false">
      <c r="A1" s="259" t="s">
        <v>756</v>
      </c>
      <c r="B1" s="260" t="s">
        <v>0</v>
      </c>
      <c r="C1" s="260"/>
      <c r="D1" s="261" t="str">
        <f aca="false"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3"/>
      <c r="AN1" s="263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3"/>
      <c r="BG1" s="263"/>
      <c r="BH1" s="263"/>
      <c r="BI1" s="263"/>
      <c r="BJ1" s="263"/>
      <c r="BK1" s="263"/>
      <c r="BL1" s="263"/>
      <c r="BM1" s="263"/>
      <c r="BN1" s="263"/>
      <c r="BO1" s="263"/>
      <c r="BP1" s="263"/>
      <c r="BQ1" s="263"/>
      <c r="BR1" s="263"/>
    </row>
    <row r="2" customFormat="false" ht="26.25" hidden="false" customHeight="true" outlineLevel="0" collapsed="false">
      <c r="A2" s="242"/>
      <c r="B2" s="235" t="s">
        <v>1</v>
      </c>
      <c r="C2" s="235"/>
      <c r="D2" s="235" t="s">
        <v>411</v>
      </c>
      <c r="E2" s="235"/>
      <c r="F2" s="235"/>
      <c r="G2" s="235"/>
      <c r="H2" s="235"/>
      <c r="I2" s="235"/>
      <c r="J2" s="235"/>
      <c r="K2" s="235"/>
      <c r="L2" s="235"/>
      <c r="M2" s="235"/>
      <c r="N2" s="235" t="s">
        <v>197</v>
      </c>
      <c r="O2" s="235" t="s">
        <v>197</v>
      </c>
      <c r="P2" s="235" t="s">
        <v>757</v>
      </c>
      <c r="Q2" s="235" t="s">
        <v>197</v>
      </c>
      <c r="R2" s="235"/>
      <c r="S2" s="235"/>
      <c r="T2" s="235"/>
      <c r="U2" s="264" t="s">
        <v>758</v>
      </c>
      <c r="V2" s="235" t="s">
        <v>272</v>
      </c>
      <c r="W2" s="265" t="s">
        <v>759</v>
      </c>
      <c r="X2" s="235" t="s">
        <v>3</v>
      </c>
      <c r="Y2" s="235" t="s">
        <v>760</v>
      </c>
      <c r="Z2" s="235"/>
      <c r="AA2" s="235"/>
      <c r="AB2" s="235" t="s">
        <v>271</v>
      </c>
      <c r="AC2" s="235" t="s">
        <v>206</v>
      </c>
      <c r="AD2" s="235" t="s">
        <v>761</v>
      </c>
      <c r="AE2" s="235"/>
      <c r="AF2" s="235" t="s">
        <v>206</v>
      </c>
      <c r="AG2" s="235"/>
      <c r="AH2" s="243" t="s">
        <v>414</v>
      </c>
      <c r="AI2" s="243"/>
      <c r="AJ2" s="243"/>
      <c r="AK2" s="243"/>
      <c r="AL2" s="243"/>
      <c r="AM2" s="243"/>
      <c r="AN2" s="243"/>
      <c r="AO2" s="243"/>
      <c r="AP2" s="243"/>
      <c r="AQ2" s="243"/>
      <c r="AR2" s="266"/>
      <c r="AS2" s="243"/>
      <c r="AT2" s="243"/>
      <c r="AU2" s="243"/>
      <c r="AV2" s="243"/>
      <c r="AW2" s="243"/>
      <c r="AX2" s="243"/>
      <c r="AY2" s="243"/>
      <c r="AZ2" s="243"/>
      <c r="BA2" s="243"/>
      <c r="BB2" s="243"/>
      <c r="BC2" s="243"/>
      <c r="BD2" s="243"/>
      <c r="BE2" s="243"/>
      <c r="BF2" s="243"/>
      <c r="BG2" s="243"/>
      <c r="BH2" s="243"/>
      <c r="BI2" s="243"/>
      <c r="BJ2" s="243"/>
      <c r="BK2" s="243"/>
      <c r="BL2" s="243"/>
      <c r="BM2" s="243"/>
      <c r="BN2" s="243"/>
      <c r="BO2" s="243"/>
      <c r="BP2" s="243"/>
      <c r="BQ2" s="243"/>
      <c r="BR2" s="243"/>
    </row>
    <row r="3" customFormat="false" ht="26.25" hidden="false" customHeight="true" outlineLevel="0" collapsed="false">
      <c r="A3" s="242"/>
      <c r="B3" s="235" t="s">
        <v>21</v>
      </c>
      <c r="C3" s="235"/>
      <c r="D3" s="267" t="n">
        <v>46143</v>
      </c>
      <c r="E3" s="268" t="n">
        <f aca="false">D3+1</f>
        <v>46144</v>
      </c>
      <c r="F3" s="268" t="n">
        <f aca="false">E3+1</f>
        <v>46145</v>
      </c>
      <c r="G3" s="268" t="n">
        <f aca="false">F3+1</f>
        <v>46146</v>
      </c>
      <c r="H3" s="268" t="n">
        <f aca="false">G3+1</f>
        <v>46147</v>
      </c>
      <c r="I3" s="268" t="n">
        <f aca="false">H3+1</f>
        <v>46148</v>
      </c>
      <c r="J3" s="268" t="n">
        <f aca="false">I3+1</f>
        <v>46149</v>
      </c>
      <c r="K3" s="268" t="n">
        <f aca="false">J3+1</f>
        <v>46150</v>
      </c>
      <c r="L3" s="268" t="n">
        <f aca="false">K3+1</f>
        <v>46151</v>
      </c>
      <c r="M3" s="268" t="n">
        <f aca="false">L3+1</f>
        <v>46152</v>
      </c>
      <c r="N3" s="268" t="n">
        <f aca="false">M3+1</f>
        <v>46153</v>
      </c>
      <c r="O3" s="268" t="n">
        <f aca="false">N3+1</f>
        <v>46154</v>
      </c>
      <c r="P3" s="268" t="n">
        <f aca="false">O3+1</f>
        <v>46155</v>
      </c>
      <c r="Q3" s="268" t="n">
        <f aca="false">P3+1</f>
        <v>46156</v>
      </c>
      <c r="R3" s="268" t="n">
        <f aca="false">Q3+1</f>
        <v>46157</v>
      </c>
      <c r="S3" s="268" t="n">
        <f aca="false">R3+1</f>
        <v>46158</v>
      </c>
      <c r="T3" s="268" t="n">
        <f aca="false">S3+1</f>
        <v>46159</v>
      </c>
      <c r="U3" s="269" t="n">
        <f aca="false">T3+1</f>
        <v>46160</v>
      </c>
      <c r="V3" s="268" t="n">
        <f aca="false">U3+1</f>
        <v>46161</v>
      </c>
      <c r="W3" s="270" t="n">
        <f aca="false">V3+1</f>
        <v>46162</v>
      </c>
      <c r="X3" s="268" t="n">
        <f aca="false">W3+1</f>
        <v>46163</v>
      </c>
      <c r="Y3" s="268" t="n">
        <f aca="false">X3+1</f>
        <v>46164</v>
      </c>
      <c r="Z3" s="268" t="n">
        <f aca="false">Y3+1</f>
        <v>46165</v>
      </c>
      <c r="AA3" s="268" t="n">
        <f aca="false">Z3+1</f>
        <v>46166</v>
      </c>
      <c r="AB3" s="268" t="n">
        <f aca="false">AA3+1</f>
        <v>46167</v>
      </c>
      <c r="AC3" s="268" t="n">
        <f aca="false">AB3+1</f>
        <v>46168</v>
      </c>
      <c r="AD3" s="268" t="n">
        <f aca="false">AC3+1</f>
        <v>46169</v>
      </c>
      <c r="AE3" s="268" t="n">
        <f aca="false">AD3+1</f>
        <v>46170</v>
      </c>
      <c r="AF3" s="268" t="n">
        <f aca="false">AE3+1</f>
        <v>46171</v>
      </c>
      <c r="AG3" s="268" t="n">
        <f aca="false">AF3+1</f>
        <v>46172</v>
      </c>
      <c r="AH3" s="268" t="n">
        <f aca="false">AG3+1</f>
        <v>46173</v>
      </c>
      <c r="AI3" s="243" t="str">
        <f aca="false">'Setting key Duty'!$C7</f>
        <v>DM</v>
      </c>
      <c r="AJ3" s="243" t="str">
        <f aca="false">'Setting key Duty'!$C8</f>
        <v>CS1</v>
      </c>
      <c r="AK3" s="243" t="str">
        <f aca="false">'Setting key Duty'!$C9</f>
        <v>CS2</v>
      </c>
      <c r="AL3" s="243" t="str">
        <f aca="false">'Setting key Duty'!$C10</f>
        <v>CS/B</v>
      </c>
      <c r="AM3" s="243" t="str">
        <f aca="false">'Setting key Duty'!$C11</f>
        <v>SB1</v>
      </c>
      <c r="AN3" s="243" t="str">
        <f aca="false">'Setting key Duty'!$C12</f>
        <v>SB2</v>
      </c>
      <c r="AO3" s="243" t="str">
        <f aca="false">'Setting key Duty'!$C13</f>
        <v>AE</v>
      </c>
      <c r="AP3" s="243" t="str">
        <f aca="false">'Setting key Duty'!$C16</f>
        <v>Outfield Reserve</v>
      </c>
      <c r="AQ3" s="243" t="str">
        <f aca="false">'Setting key Duty'!C14</f>
        <v>EM</v>
      </c>
      <c r="AR3" s="271" t="s">
        <v>559</v>
      </c>
      <c r="AS3" s="271" t="s">
        <v>560</v>
      </c>
      <c r="AT3" s="243" t="s">
        <v>22</v>
      </c>
      <c r="AU3" s="243" t="s">
        <v>23</v>
      </c>
      <c r="AV3" s="243" t="s">
        <v>561</v>
      </c>
      <c r="AW3" s="243" t="s">
        <v>24</v>
      </c>
      <c r="AX3" s="243" t="s">
        <v>25</v>
      </c>
      <c r="AY3" s="243" t="s">
        <v>26</v>
      </c>
      <c r="AZ3" s="243" t="s">
        <v>27</v>
      </c>
      <c r="BA3" s="243" t="s">
        <v>28</v>
      </c>
      <c r="BB3" s="271" t="s">
        <v>29</v>
      </c>
      <c r="BC3" s="243" t="s">
        <v>30</v>
      </c>
      <c r="BD3" s="243" t="s">
        <v>32</v>
      </c>
      <c r="BE3" s="243" t="s">
        <v>33</v>
      </c>
      <c r="BF3" s="243" t="s">
        <v>36</v>
      </c>
      <c r="BG3" s="243" t="s">
        <v>37</v>
      </c>
      <c r="BH3" s="243" t="s">
        <v>39</v>
      </c>
      <c r="BI3" s="243" t="s">
        <v>40</v>
      </c>
      <c r="BJ3" s="243" t="s">
        <v>41</v>
      </c>
      <c r="BK3" s="243" t="s">
        <v>42</v>
      </c>
      <c r="BL3" s="243" t="str">
        <f aca="false">'Setting key Duty'!C52</f>
        <v>Field Camp</v>
      </c>
      <c r="BM3" s="243" t="s">
        <v>43</v>
      </c>
      <c r="BN3" s="243" t="s">
        <v>762</v>
      </c>
      <c r="BO3" s="243" t="str">
        <f aca="false">'Setting key Duty'!$C15</f>
        <v>Block</v>
      </c>
      <c r="BP3" s="243" t="str">
        <f aca="false">'Setting key Duty'!C17</f>
        <v>Reserve</v>
      </c>
      <c r="BQ3" s="243" t="str">
        <f aca="false">'Setting key Duty'!$C22</f>
        <v>AL</v>
      </c>
      <c r="BR3" s="243"/>
    </row>
    <row r="4" customFormat="false" ht="18" hidden="false" customHeight="true" outlineLevel="0" collapsed="false">
      <c r="A4" s="272"/>
      <c r="B4" s="273" t="s">
        <v>156</v>
      </c>
      <c r="C4" s="273"/>
      <c r="D4" s="274" t="str">
        <f aca="false">TEXT(D3,"ddd")</f>
        <v>Fri</v>
      </c>
      <c r="E4" s="275" t="str">
        <f aca="false">TEXT(E3,"ddd")</f>
        <v>Sat</v>
      </c>
      <c r="F4" s="275" t="str">
        <f aca="false">TEXT(F3,"ddd")</f>
        <v>Sun</v>
      </c>
      <c r="G4" s="275" t="str">
        <f aca="false">TEXT(G3,"ddd")</f>
        <v>Mon</v>
      </c>
      <c r="H4" s="275" t="str">
        <f aca="false">TEXT(H3,"ddd")</f>
        <v>Tue</v>
      </c>
      <c r="I4" s="275" t="str">
        <f aca="false">TEXT(I3,"ddd")</f>
        <v>Wed</v>
      </c>
      <c r="J4" s="275" t="str">
        <f aca="false">TEXT(J3,"ddd")</f>
        <v>Thu</v>
      </c>
      <c r="K4" s="275" t="str">
        <f aca="false">TEXT(K3,"ddd")</f>
        <v>Fri</v>
      </c>
      <c r="L4" s="275" t="str">
        <f aca="false">TEXT(L3,"ddd")</f>
        <v>Sat</v>
      </c>
      <c r="M4" s="275" t="str">
        <f aca="false">TEXT(M3,"ddd")</f>
        <v>Sun</v>
      </c>
      <c r="N4" s="275" t="str">
        <f aca="false">TEXT(N3,"ddd")</f>
        <v>Mon</v>
      </c>
      <c r="O4" s="275" t="str">
        <f aca="false">TEXT(O3,"ddd")</f>
        <v>Tue</v>
      </c>
      <c r="P4" s="275" t="str">
        <f aca="false">TEXT(P3,"ddd")</f>
        <v>Wed</v>
      </c>
      <c r="Q4" s="275" t="str">
        <f aca="false">TEXT(Q3,"ddd")</f>
        <v>Thu</v>
      </c>
      <c r="R4" s="275" t="str">
        <f aca="false">TEXT(R3,"ddd")</f>
        <v>Fri</v>
      </c>
      <c r="S4" s="275" t="str">
        <f aca="false">TEXT(S3,"ddd")</f>
        <v>Sat</v>
      </c>
      <c r="T4" s="275" t="str">
        <f aca="false">TEXT(T3,"ddd")</f>
        <v>Sun</v>
      </c>
      <c r="U4" s="274" t="str">
        <f aca="false">TEXT(U3,"ddd")</f>
        <v>Mon</v>
      </c>
      <c r="V4" s="275" t="str">
        <f aca="false">TEXT(V3,"ddd")</f>
        <v>Tue</v>
      </c>
      <c r="W4" s="276" t="str">
        <f aca="false">TEXT(W3,"ddd")</f>
        <v>Wed</v>
      </c>
      <c r="X4" s="275" t="str">
        <f aca="false">TEXT(X3,"ddd")</f>
        <v>Thu</v>
      </c>
      <c r="Y4" s="275" t="str">
        <f aca="false">TEXT(Y3,"ddd")</f>
        <v>Fri</v>
      </c>
      <c r="Z4" s="275" t="str">
        <f aca="false">TEXT(Z3,"ddd")</f>
        <v>Sat</v>
      </c>
      <c r="AA4" s="275" t="str">
        <f aca="false">TEXT(AA3,"ddd")</f>
        <v>Sun</v>
      </c>
      <c r="AB4" s="275" t="str">
        <f aca="false">TEXT(AB3,"ddd")</f>
        <v>Mon</v>
      </c>
      <c r="AC4" s="275" t="str">
        <f aca="false">TEXT(AC3,"ddd")</f>
        <v>Tue</v>
      </c>
      <c r="AD4" s="275" t="str">
        <f aca="false">TEXT(AD3,"ddd")</f>
        <v>Wed</v>
      </c>
      <c r="AE4" s="275" t="str">
        <f aca="false">TEXT(AE3,"ddd")</f>
        <v>Thu</v>
      </c>
      <c r="AF4" s="275" t="str">
        <f aca="false">TEXT(AF3,"ddd")</f>
        <v>Fri</v>
      </c>
      <c r="AG4" s="275" t="str">
        <f aca="false">TEXT(AG3,"ddd")</f>
        <v>Sat</v>
      </c>
      <c r="AH4" s="275" t="str">
        <f aca="false">TEXT(AH3,"ddd")</f>
        <v>Sun</v>
      </c>
      <c r="AI4" s="273" t="str">
        <f aca="false">'Setting key Duty'!$B7</f>
        <v>DM</v>
      </c>
      <c r="AJ4" s="273" t="str">
        <f aca="false">'Setting key Duty'!$B8</f>
        <v>CS1</v>
      </c>
      <c r="AK4" s="273" t="str">
        <f aca="false">'Setting key Duty'!$B9</f>
        <v>CS2</v>
      </c>
      <c r="AL4" s="273" t="str">
        <f aca="false">'Setting key Duty'!$B10</f>
        <v>CS/B</v>
      </c>
      <c r="AM4" s="273" t="str">
        <f aca="false">'Setting key Duty'!$B11</f>
        <v>SB1</v>
      </c>
      <c r="AN4" s="273" t="str">
        <f aca="false">'Setting key Duty'!$B12</f>
        <v>SB2</v>
      </c>
      <c r="AO4" s="273" t="str">
        <f aca="false">'Setting key Duty'!$B13</f>
        <v>AE</v>
      </c>
      <c r="AP4" s="273" t="str">
        <f aca="false">'Setting key Duty'!$B16</f>
        <v>Outfield Reserve</v>
      </c>
      <c r="AQ4" s="273" t="str">
        <f aca="false">'Setting key Duty'!B14</f>
        <v>EM</v>
      </c>
      <c r="AR4" s="271"/>
      <c r="AS4" s="271"/>
      <c r="AT4" s="273"/>
      <c r="AU4" s="273"/>
      <c r="AV4" s="273"/>
      <c r="AW4" s="273"/>
      <c r="AX4" s="273"/>
      <c r="AY4" s="273"/>
      <c r="AZ4" s="273"/>
      <c r="BA4" s="273"/>
      <c r="BB4" s="277"/>
      <c r="BC4" s="273"/>
      <c r="BD4" s="273" t="s">
        <v>46</v>
      </c>
      <c r="BE4" s="273"/>
      <c r="BF4" s="273" t="s">
        <v>48</v>
      </c>
      <c r="BG4" s="273"/>
      <c r="BH4" s="273" t="s">
        <v>50</v>
      </c>
      <c r="BI4" s="273"/>
      <c r="BJ4" s="273" t="s">
        <v>51</v>
      </c>
      <c r="BK4" s="273"/>
      <c r="BL4" s="273" t="str">
        <f aca="false">'Setting key Duty'!B52</f>
        <v>$FC</v>
      </c>
      <c r="BM4" s="273"/>
      <c r="BN4" s="273"/>
      <c r="BO4" s="273" t="n">
        <f aca="false">'Setting key Duty'!$B15</f>
        <v>0</v>
      </c>
      <c r="BP4" s="273" t="str">
        <f aca="false">'Setting key Duty'!B17</f>
        <v>RESERVE</v>
      </c>
      <c r="BQ4" s="273" t="str">
        <f aca="false">'Setting key Duty'!$B22</f>
        <v>AL</v>
      </c>
      <c r="BR4" s="273"/>
    </row>
    <row r="5" customFormat="false" ht="60" hidden="true" customHeight="true" outlineLevel="0" collapsed="false">
      <c r="A5" s="278"/>
      <c r="B5" s="278" t="s">
        <v>562</v>
      </c>
      <c r="C5" s="279"/>
      <c r="D5" s="280"/>
      <c r="E5" s="280"/>
      <c r="F5" s="280"/>
      <c r="G5" s="280" t="s">
        <v>763</v>
      </c>
      <c r="H5" s="280" t="s">
        <v>55</v>
      </c>
      <c r="I5" s="280"/>
      <c r="J5" s="280"/>
      <c r="K5" s="280" t="s">
        <v>55</v>
      </c>
      <c r="L5" s="280"/>
      <c r="M5" s="280"/>
      <c r="N5" s="280" t="s">
        <v>55</v>
      </c>
      <c r="O5" s="280" t="s">
        <v>55</v>
      </c>
      <c r="P5" s="280"/>
      <c r="Q5" s="280"/>
      <c r="R5" s="280" t="s">
        <v>724</v>
      </c>
      <c r="S5" s="280"/>
      <c r="T5" s="280"/>
      <c r="U5" s="280"/>
      <c r="V5" s="280"/>
      <c r="W5" s="280"/>
      <c r="X5" s="280"/>
      <c r="Y5" s="281"/>
      <c r="Z5" s="280"/>
      <c r="AA5" s="280"/>
      <c r="AB5" s="280"/>
      <c r="AC5" s="280"/>
      <c r="AD5" s="280"/>
      <c r="AE5" s="280"/>
      <c r="AF5" s="280"/>
      <c r="AG5" s="280"/>
      <c r="AH5" s="280"/>
      <c r="AI5" s="278" t="n">
        <f aca="false">COUNTIF($D5:$AG5,AI$4)</f>
        <v>0</v>
      </c>
      <c r="AJ5" s="278" t="n">
        <f aca="false">COUNTIF($D5:$AG5,AJ$4)</f>
        <v>0</v>
      </c>
      <c r="AK5" s="278" t="n">
        <f aca="false">COUNTIF($D5:$AG5,AK$4)</f>
        <v>0</v>
      </c>
      <c r="AL5" s="278" t="n">
        <f aca="false">COUNTIF($D5:$AG5,AL$4)</f>
        <v>0</v>
      </c>
      <c r="AM5" s="278" t="n">
        <f aca="false">COUNTIF($D5:$AG5,AM$4)</f>
        <v>0</v>
      </c>
      <c r="AN5" s="278" t="n">
        <f aca="false">COUNTIF($D5:$AG5,AN$4)</f>
        <v>0</v>
      </c>
      <c r="AO5" s="278" t="n">
        <f aca="false">COUNTIF($D5:$AG5,AO$4)</f>
        <v>0</v>
      </c>
      <c r="AP5" s="278" t="n">
        <f aca="false">COUNTIF($D5:$AG5,AP$4)</f>
        <v>0</v>
      </c>
      <c r="AQ5" s="278" t="n">
        <f aca="false">COUNTIF($D5:$AG5,AQ$4)</f>
        <v>0</v>
      </c>
      <c r="AR5" s="279"/>
      <c r="AS5" s="279" t="n">
        <v>3</v>
      </c>
      <c r="AT5" s="278" t="n">
        <f aca="false" t="array" ref="AT5:AT5">SUMPRODUCT(--(WEEKDAY(D$3:AG$3,2)&lt;5),--ISNUMBER(MATCH(D5:AG5,{"DM","CS1","CS2","SB1","AE","CS/B"},0)))</f>
        <v>0</v>
      </c>
      <c r="AU5" s="278"/>
      <c r="AV5" s="278" t="n">
        <f aca="false" t="array" ref="AV5:AV5">SUMPRODUCT(--(WEEKDAY(D$3:AG$3,2)=5),--ISNUMBER(MATCH(D5:AG5,{"DM","CS1","CS2","SB1","AE","CS/B"},0)))</f>
        <v>0</v>
      </c>
      <c r="AW5" s="278" t="n">
        <f aca="false" t="array" ref="AW5:AW5">SUMPRODUCT(--(WEEKDAY(D$3:AG$3,2)&gt;5),--ISNUMBER(MATCH(D5:AG5,{"DM","CS1","CS2","SB1","AE","CS/B"},0)))</f>
        <v>0</v>
      </c>
      <c r="AX5" s="278"/>
      <c r="AY5" s="278" t="n">
        <f aca="false">(AT5-AU5)+AV5*1.5+(AW5-AX5)*2+AN5*0.5+AP5*0.5+AR5-AS5</f>
        <v>-3</v>
      </c>
      <c r="AZ5" s="278" t="n">
        <f aca="false">AT5+AV5+AW5</f>
        <v>0</v>
      </c>
      <c r="BA5" s="278" t="n">
        <f aca="false">BD5+BF5+BH5+BJ5+BL5</f>
        <v>0</v>
      </c>
      <c r="BB5" s="279" t="n">
        <f aca="false">AY5+BC5</f>
        <v>-3</v>
      </c>
      <c r="BC5" s="278" t="n">
        <f aca="false">BE5+BG5+BI5+BK5+BM5</f>
        <v>0</v>
      </c>
      <c r="BD5" s="278" t="n">
        <f aca="false">COUNTIF(A5:AI5,"*$BTP*")</f>
        <v>0</v>
      </c>
      <c r="BE5" s="278" t="n">
        <f aca="false">BD5*1.5</f>
        <v>0</v>
      </c>
      <c r="BF5" s="278" t="n">
        <f aca="false">COUNTIF(A5:AI5,"*$M*")</f>
        <v>0</v>
      </c>
      <c r="BG5" s="278" t="n">
        <f aca="false">BF5*1</f>
        <v>0</v>
      </c>
      <c r="BH5" s="278" t="n">
        <f aca="false">COUNTIF(A5:AI5,"*$PM*")</f>
        <v>0</v>
      </c>
      <c r="BI5" s="278" t="n">
        <f aca="false">BH5*0.5</f>
        <v>0</v>
      </c>
      <c r="BJ5" s="278" t="n">
        <f aca="false">COUNTIF(A5:AI5,"*$AM*")</f>
        <v>0</v>
      </c>
      <c r="BK5" s="278" t="n">
        <f aca="false">BJ5*0.5</f>
        <v>0</v>
      </c>
      <c r="BL5" s="278" t="n">
        <f aca="false">COUNTIF(A5:AI5,"*$FC*")</f>
        <v>0</v>
      </c>
      <c r="BM5" s="278" t="n">
        <f aca="false">BL5*1</f>
        <v>0</v>
      </c>
      <c r="BN5" s="278"/>
      <c r="BO5" s="278" t="n">
        <f aca="false">COUNTIF($E5:$AB5,BO$4)</f>
        <v>0</v>
      </c>
      <c r="BP5" s="278" t="n">
        <f aca="false">COUNTIF($E5:$AB5,BP$4)</f>
        <v>0</v>
      </c>
      <c r="BQ5" s="278" t="n">
        <f aca="false">COUNTIF($E5:$AB5,BQ$4)</f>
        <v>4</v>
      </c>
      <c r="BR5" s="278"/>
    </row>
    <row r="6" customFormat="false" ht="87" hidden="false" customHeight="true" outlineLevel="0" collapsed="false">
      <c r="A6" s="282"/>
      <c r="B6" s="282" t="s">
        <v>565</v>
      </c>
      <c r="C6" s="279"/>
      <c r="D6" s="283"/>
      <c r="E6" s="283" t="s">
        <v>57</v>
      </c>
      <c r="F6" s="283"/>
      <c r="G6" s="283"/>
      <c r="H6" s="283" t="s">
        <v>57</v>
      </c>
      <c r="I6" s="283"/>
      <c r="J6" s="283" t="s">
        <v>93</v>
      </c>
      <c r="K6" s="283"/>
      <c r="L6" s="283"/>
      <c r="M6" s="283"/>
      <c r="N6" s="283" t="s">
        <v>764</v>
      </c>
      <c r="O6" s="283" t="s">
        <v>56</v>
      </c>
      <c r="P6" s="283" t="s">
        <v>93</v>
      </c>
      <c r="Q6" s="283"/>
      <c r="R6" s="283"/>
      <c r="S6" s="283"/>
      <c r="T6" s="283"/>
      <c r="U6" s="283"/>
      <c r="V6" s="283" t="s">
        <v>59</v>
      </c>
      <c r="W6" s="283"/>
      <c r="X6" s="283" t="s">
        <v>57</v>
      </c>
      <c r="Y6" s="283"/>
      <c r="Z6" s="283"/>
      <c r="AA6" s="283"/>
      <c r="AB6" s="283" t="s">
        <v>765</v>
      </c>
      <c r="AC6" s="283"/>
      <c r="AD6" s="283"/>
      <c r="AE6" s="283"/>
      <c r="AF6" s="283" t="s">
        <v>57</v>
      </c>
      <c r="AG6" s="283"/>
      <c r="AH6" s="283"/>
      <c r="AI6" s="282" t="n">
        <f aca="false">COUNTIF($D6:$AG6,AI$4)</f>
        <v>4</v>
      </c>
      <c r="AJ6" s="282" t="n">
        <f aca="false">COUNTIF($D6:$AG6,AJ$4)</f>
        <v>1</v>
      </c>
      <c r="AK6" s="282" t="n">
        <f aca="false">COUNTIF($D6:$AG6,AK$4)</f>
        <v>1</v>
      </c>
      <c r="AL6" s="282" t="n">
        <f aca="false">COUNTIF($D6:$AG6,AL$4)</f>
        <v>0</v>
      </c>
      <c r="AM6" s="282" t="n">
        <f aca="false">COUNTIF($D6:$AG6,AM$4)</f>
        <v>0</v>
      </c>
      <c r="AN6" s="282" t="n">
        <f aca="false">COUNTIF($D6:$AG6,AN$4)</f>
        <v>2</v>
      </c>
      <c r="AO6" s="282" t="n">
        <f aca="false">COUNTIF($D6:$AG6,AO$4)</f>
        <v>0</v>
      </c>
      <c r="AP6" s="282" t="n">
        <f aca="false">COUNTIF($D6:$AG6,AP$4)</f>
        <v>0</v>
      </c>
      <c r="AQ6" s="282" t="n">
        <f aca="false">COUNTIF($D6:$AG6,AQ$4)</f>
        <v>0</v>
      </c>
      <c r="AR6" s="279"/>
      <c r="AS6" s="279" t="n">
        <v>1</v>
      </c>
      <c r="AT6" s="282" t="n">
        <f aca="false">SUMPRODUCT(--(WEEKDAY(D$3:AH$3,2)&lt;5),--ISNUMBER(MATCH(D6:AH6,{"DM","CS1","CS2","SB1","AE","CS/B"},0)))</f>
        <v>4</v>
      </c>
      <c r="AU6" s="282"/>
      <c r="AV6" s="282" t="n">
        <f aca="false">SUMPRODUCT(--(WEEKDAY(D$3:AH$3,2)=5),--ISNUMBER(MATCH(D6:AH6,{"DM","CS1","CS2","SB1","AE","CS/B","WEEKEND OUTFIELD RESERVE"},0)))</f>
        <v>1</v>
      </c>
      <c r="AW6" s="282" t="n">
        <f aca="false">SUMPRODUCT(--(WEEKDAY(D$3:AH$3,2)&gt;5),--ISNUMBER(MATCH(D6:AH6,{"DM","CS1","CS2","SB1","AE","CS/B","WEEKEND OUTFIELD RESERVE"},0)))</f>
        <v>1</v>
      </c>
      <c r="AX6" s="282"/>
      <c r="AY6" s="282" t="n">
        <f aca="false">(AT6-AU6)+AV6*1.5+(AW6-AX6)*2+AN6*0.5+AP6*0.5+AR6-AS6</f>
        <v>7.5</v>
      </c>
      <c r="AZ6" s="282" t="n">
        <f aca="false">AT6+AV6+AW6</f>
        <v>6</v>
      </c>
      <c r="BA6" s="282" t="n">
        <f aca="false">BD6+BF6+BH6+BJ6+BL6</f>
        <v>0</v>
      </c>
      <c r="BB6" s="279" t="n">
        <f aca="false">AY6+BC6</f>
        <v>7.5</v>
      </c>
      <c r="BC6" s="282" t="n">
        <f aca="false">BE6+BG6+BI6+BK6+BM6</f>
        <v>0</v>
      </c>
      <c r="BD6" s="282" t="n">
        <f aca="false">COUNTIF(A6:AI6,"*$BTP*")</f>
        <v>0</v>
      </c>
      <c r="BE6" s="282" t="n">
        <f aca="false">BD6*1.5</f>
        <v>0</v>
      </c>
      <c r="BF6" s="282" t="n">
        <f aca="false">COUNTIF(A6:AI6,"*$M*")</f>
        <v>0</v>
      </c>
      <c r="BG6" s="282" t="n">
        <f aca="false">BF6*1</f>
        <v>0</v>
      </c>
      <c r="BH6" s="282" t="n">
        <f aca="false">COUNTIF(A6:AI6,"*$PM*")</f>
        <v>0</v>
      </c>
      <c r="BI6" s="282" t="n">
        <f aca="false">BH6*0.5</f>
        <v>0</v>
      </c>
      <c r="BJ6" s="282" t="n">
        <f aca="false">COUNTIF(A6:AI6,"*$AM*")</f>
        <v>0</v>
      </c>
      <c r="BK6" s="282" t="n">
        <f aca="false">BJ6*0.5</f>
        <v>0</v>
      </c>
      <c r="BL6" s="282" t="n">
        <f aca="false">COUNTIF(A6:AI6,"*$FC*")</f>
        <v>0</v>
      </c>
      <c r="BM6" s="282" t="n">
        <f aca="false">BL6*1</f>
        <v>0</v>
      </c>
      <c r="BN6" s="282" t="n">
        <f aca="false">(BB6-8)</f>
        <v>-0.5</v>
      </c>
      <c r="BO6" s="282" t="n">
        <f aca="false">COUNTIF($E6:$AA6,BO$4)</f>
        <v>0</v>
      </c>
      <c r="BP6" s="282" t="n">
        <f aca="false">COUNTIF($E6:$AA6,BP$4)</f>
        <v>0</v>
      </c>
      <c r="BQ6" s="282" t="n">
        <f aca="false">COUNTIF($E6:$AA6,BQ$4)</f>
        <v>0</v>
      </c>
      <c r="BR6" s="282"/>
    </row>
    <row r="7" customFormat="false" ht="73.5" hidden="false" customHeight="true" outlineLevel="0" collapsed="false">
      <c r="A7" s="278"/>
      <c r="B7" s="278" t="s">
        <v>567</v>
      </c>
      <c r="C7" s="279" t="n">
        <f aca="false">COUNTIF(D7:AG7,"DM")</f>
        <v>0</v>
      </c>
      <c r="D7" s="280"/>
      <c r="E7" s="280"/>
      <c r="F7" s="280"/>
      <c r="G7" s="280"/>
      <c r="H7" s="280"/>
      <c r="I7" s="280"/>
      <c r="J7" s="280"/>
      <c r="K7" s="280"/>
      <c r="L7" s="280"/>
      <c r="M7" s="280"/>
      <c r="N7" s="280"/>
      <c r="O7" s="280"/>
      <c r="P7" s="280"/>
      <c r="Q7" s="280"/>
      <c r="R7" s="280"/>
      <c r="S7" s="280"/>
      <c r="T7" s="280"/>
      <c r="U7" s="280"/>
      <c r="V7" s="280"/>
      <c r="W7" s="280" t="s">
        <v>61</v>
      </c>
      <c r="X7" s="280" t="s">
        <v>93</v>
      </c>
      <c r="Y7" s="280"/>
      <c r="Z7" s="280"/>
      <c r="AA7" s="280"/>
      <c r="AB7" s="280" t="s">
        <v>65</v>
      </c>
      <c r="AD7" s="280"/>
      <c r="AE7" s="280"/>
      <c r="AF7" s="284" t="s">
        <v>59</v>
      </c>
      <c r="AG7" s="280"/>
      <c r="AH7" s="280"/>
      <c r="AI7" s="278" t="n">
        <f aca="false">COUNTIF($D7:$AG7,AI$4)</f>
        <v>0</v>
      </c>
      <c r="AJ7" s="278" t="n">
        <f aca="false">COUNTIF($D7:$AG7,AJ$4)</f>
        <v>0</v>
      </c>
      <c r="AK7" s="278" t="n">
        <f aca="false">COUNTIF($D7:$AG7,AK$4)</f>
        <v>1</v>
      </c>
      <c r="AL7" s="278" t="n">
        <f aca="false">COUNTIF($D7:$AG7,AL$4)</f>
        <v>0</v>
      </c>
      <c r="AM7" s="278" t="n">
        <f aca="false">COUNTIF($D7:$AG7,AM$4)</f>
        <v>0</v>
      </c>
      <c r="AN7" s="278" t="n">
        <f aca="false">COUNTIF($D7:$AG7,AN$4)</f>
        <v>1</v>
      </c>
      <c r="AO7" s="278" t="n">
        <f aca="false">COUNTIF($D7:$AG7,AO$4)</f>
        <v>1</v>
      </c>
      <c r="AP7" s="278" t="n">
        <f aca="false">COUNTIF($D7:$AG7,AP$4)</f>
        <v>0</v>
      </c>
      <c r="AQ7" s="278" t="n">
        <f aca="false">COUNTIF($D7:$AG7,AQ$4)</f>
        <v>0</v>
      </c>
      <c r="AR7" s="279"/>
      <c r="AS7" s="279"/>
      <c r="AT7" s="278" t="n">
        <f aca="false">SUMPRODUCT(--(WEEKDAY(D$3:AH$3,2)&lt;5),--ISNUMBER(MATCH(D7:AH7,{"DM","CS1","CS2","SB1","AE","CS/B"},0)))</f>
        <v>1</v>
      </c>
      <c r="AU7" s="278"/>
      <c r="AV7" s="278" t="n">
        <f aca="false">SUMPRODUCT(--(WEEKDAY(D$3:AH$3,2)=5),--ISNUMBER(MATCH(D7:AH7,{"DM","CS1","CS2","SB1","AE","CS/B","WEEKEND OUTFIELD RESERVE"},0)))</f>
        <v>1</v>
      </c>
      <c r="AW7" s="278" t="n">
        <f aca="false">SUMPRODUCT(--(WEEKDAY(D$3:AH$3,2)&gt;5),--ISNUMBER(MATCH(D7:AH7,{"DM","CS1","CS2","SB1","AE","CS/B","WEEKEND OUTFIELD RESERVE"},0)))</f>
        <v>0</v>
      </c>
      <c r="AX7" s="278"/>
      <c r="AY7" s="278" t="n">
        <f aca="false">(AT7-AU7)+AV7*1.5+(AW7-AX7)*2+AN7*0.5+AP7*0.5+AR7-AS7</f>
        <v>3</v>
      </c>
      <c r="AZ7" s="278" t="n">
        <f aca="false">AT7+AV7+AW7</f>
        <v>2</v>
      </c>
      <c r="BA7" s="278" t="n">
        <f aca="false">BD7+BF7+BH7+BJ7+BL7</f>
        <v>0</v>
      </c>
      <c r="BB7" s="279" t="n">
        <f aca="false">AY7+BC7</f>
        <v>3</v>
      </c>
      <c r="BC7" s="278" t="n">
        <f aca="false">BE7+BG7+BI7+BK7+BM7</f>
        <v>0</v>
      </c>
      <c r="BD7" s="278" t="n">
        <f aca="false">COUNTIF(A7:AI7,"*$BTP*")</f>
        <v>0</v>
      </c>
      <c r="BE7" s="278" t="n">
        <f aca="false">BD7*1.5</f>
        <v>0</v>
      </c>
      <c r="BF7" s="278" t="n">
        <f aca="false">COUNTIF(A7:AI7,"*$M*")</f>
        <v>0</v>
      </c>
      <c r="BG7" s="278" t="n">
        <f aca="false">BF7*1</f>
        <v>0</v>
      </c>
      <c r="BH7" s="278" t="n">
        <f aca="false">COUNTIF(A7:AI7,"*$PM*")</f>
        <v>0</v>
      </c>
      <c r="BI7" s="278" t="n">
        <f aca="false">BH7*0.5</f>
        <v>0</v>
      </c>
      <c r="BJ7" s="278" t="n">
        <f aca="false">COUNTIF(A7:AI7,"*$AM*")</f>
        <v>0</v>
      </c>
      <c r="BK7" s="278" t="n">
        <f aca="false">BJ7*0.5</f>
        <v>0</v>
      </c>
      <c r="BL7" s="278" t="n">
        <f aca="false">COUNTIF(A7:AI7,"*$FC*")</f>
        <v>0</v>
      </c>
      <c r="BM7" s="278" t="n">
        <f aca="false">BL7*1</f>
        <v>0</v>
      </c>
      <c r="BN7" s="278" t="n">
        <f aca="false">(BB7-8)</f>
        <v>-5</v>
      </c>
      <c r="BO7" s="278" t="n">
        <f aca="false">COUNTIF($E7:$AB7,BO$4)</f>
        <v>0</v>
      </c>
      <c r="BP7" s="278" t="n">
        <f aca="false">COUNTIF($E7:$AB7,BP$4)</f>
        <v>0</v>
      </c>
      <c r="BQ7" s="278" t="n">
        <f aca="false">COUNTIF($E7:$AB7,BQ$4)</f>
        <v>0</v>
      </c>
      <c r="BR7" s="278"/>
    </row>
    <row r="8" customFormat="false" ht="73.5" hidden="true" customHeight="true" outlineLevel="0" collapsed="false">
      <c r="A8" s="282"/>
      <c r="B8" s="282" t="s">
        <v>710</v>
      </c>
      <c r="C8" s="279"/>
      <c r="D8" s="283"/>
      <c r="E8" s="282"/>
      <c r="F8" s="283"/>
      <c r="G8" s="283" t="s">
        <v>507</v>
      </c>
      <c r="H8" s="283"/>
      <c r="I8" s="283"/>
      <c r="J8" s="283"/>
      <c r="K8" s="283"/>
      <c r="L8" s="283"/>
      <c r="M8" s="283"/>
      <c r="N8" s="283" t="s">
        <v>54</v>
      </c>
      <c r="O8" s="283"/>
      <c r="P8" s="283"/>
      <c r="Q8" s="283"/>
      <c r="R8" s="283" t="s">
        <v>724</v>
      </c>
      <c r="S8" s="283"/>
      <c r="T8" s="283"/>
      <c r="U8" s="283"/>
      <c r="V8" s="283"/>
      <c r="W8" s="283"/>
      <c r="X8" s="283"/>
      <c r="Y8" s="283"/>
      <c r="Z8" s="283"/>
      <c r="AA8" s="283"/>
      <c r="AB8" s="283"/>
      <c r="AC8" s="283"/>
      <c r="AD8" s="283"/>
      <c r="AE8" s="283"/>
      <c r="AF8" s="283"/>
      <c r="AG8" s="283"/>
      <c r="AH8" s="283"/>
      <c r="AI8" s="282" t="n">
        <f aca="false">COUNTIF($D8:$AG8,AI$4)</f>
        <v>0</v>
      </c>
      <c r="AJ8" s="282" t="n">
        <f aca="false">COUNTIF($D8:$AG8,AJ$4)</f>
        <v>0</v>
      </c>
      <c r="AK8" s="282" t="n">
        <f aca="false">COUNTIF($D8:$AG8,AK$4)</f>
        <v>0</v>
      </c>
      <c r="AL8" s="282" t="n">
        <f aca="false">COUNTIF($D8:$AG8,AL$4)</f>
        <v>0</v>
      </c>
      <c r="AM8" s="282" t="n">
        <f aca="false">COUNTIF($D8:$AG8,AM$4)</f>
        <v>0</v>
      </c>
      <c r="AN8" s="282" t="n">
        <f aca="false">COUNTIF($D8:$AG8,AN$4)</f>
        <v>0</v>
      </c>
      <c r="AO8" s="282" t="n">
        <f aca="false">COUNTIF($D8:$AG8,AO$4)</f>
        <v>0</v>
      </c>
      <c r="AP8" s="282" t="n">
        <f aca="false">COUNTIF($D8:$AG8,AP$4)</f>
        <v>0</v>
      </c>
      <c r="AQ8" s="282" t="n">
        <f aca="false">COUNTIF($D8:$AG8,AQ$4)</f>
        <v>0</v>
      </c>
      <c r="AR8" s="279"/>
      <c r="AS8" s="279"/>
      <c r="AT8" s="282" t="n">
        <f aca="false">SUMPRODUCT(--(WEEKDAY(D$3:AH$3,2)&lt;5),--ISNUMBER(MATCH(D8:AH8,{"DM","CS1","CS2","SB1","AE","CS/B"},0)))</f>
        <v>0</v>
      </c>
      <c r="AU8" s="282"/>
      <c r="AV8" s="282" t="n">
        <f aca="false">SUMPRODUCT(--(WEEKDAY(D$3:AH$3,2)=5),--ISNUMBER(MATCH(D8:AH8,{"DM","CS1","CS2","SB1","AE","CS/B","WEEKEND OUTFIELD RESERVE"},0)))</f>
        <v>0</v>
      </c>
      <c r="AW8" s="282" t="n">
        <f aca="false">SUMPRODUCT(--(WEEKDAY(D$3:AH$3,2)&gt;5),--ISNUMBER(MATCH(D8:AH8,{"DM","CS1","CS2","SB1","AE","CS/B","WEEKEND OUTFIELD RESERVE"},0)))</f>
        <v>0</v>
      </c>
      <c r="AX8" s="282"/>
      <c r="AY8" s="282" t="n">
        <f aca="false">(AT8-AU8)+AV8*1.5+(AW8-AX8)*2+AN8*0.5+AP8*0.5+AR8-AS8</f>
        <v>0</v>
      </c>
      <c r="AZ8" s="282" t="n">
        <f aca="false">AT8+AV8+AW8</f>
        <v>0</v>
      </c>
      <c r="BA8" s="282" t="n">
        <f aca="false">BD8+BF8+BH8+BJ8+BL8</f>
        <v>0</v>
      </c>
      <c r="BB8" s="279" t="n">
        <f aca="false">AY8+BC8</f>
        <v>0</v>
      </c>
      <c r="BC8" s="282" t="n">
        <f aca="false">BE8+BG8+BI8+BK8+BM8</f>
        <v>0</v>
      </c>
      <c r="BD8" s="282" t="n">
        <f aca="false">COUNTIF(A8:AI8,"*$BTP*")</f>
        <v>0</v>
      </c>
      <c r="BE8" s="282" t="n">
        <f aca="false">BD8*1.5</f>
        <v>0</v>
      </c>
      <c r="BF8" s="282" t="n">
        <f aca="false">COUNTIF(A8:AI8,"*$M*")</f>
        <v>0</v>
      </c>
      <c r="BG8" s="282" t="n">
        <f aca="false">BF8*1</f>
        <v>0</v>
      </c>
      <c r="BH8" s="282" t="n">
        <f aca="false">COUNTIF(A8:AI8,"*$PM*")</f>
        <v>0</v>
      </c>
      <c r="BI8" s="282" t="n">
        <f aca="false">BH8*0.5</f>
        <v>0</v>
      </c>
      <c r="BJ8" s="282" t="n">
        <f aca="false">COUNTIF(A8:AI8,"*$AM*")</f>
        <v>0</v>
      </c>
      <c r="BK8" s="282" t="n">
        <f aca="false">BJ8*0.5</f>
        <v>0</v>
      </c>
      <c r="BL8" s="282" t="n">
        <f aca="false">COUNTIF(A8:AI8,"*$FC*")</f>
        <v>0</v>
      </c>
      <c r="BM8" s="282" t="n">
        <f aca="false">BL8*1</f>
        <v>0</v>
      </c>
      <c r="BN8" s="282" t="n">
        <f aca="false">(BB8-8)</f>
        <v>-8</v>
      </c>
      <c r="BO8" s="282" t="n">
        <f aca="false">COUNTIF($E8:$AB8,BO$4)</f>
        <v>0</v>
      </c>
      <c r="BP8" s="282" t="n">
        <f aca="false">COUNTIF($E8:$AB8,BP$4)</f>
        <v>0</v>
      </c>
      <c r="BQ8" s="282" t="n">
        <f aca="false">COUNTIF($E8:$AB8,BQ$4)</f>
        <v>0</v>
      </c>
      <c r="BR8" s="282"/>
    </row>
    <row r="9" customFormat="false" ht="57" hidden="false" customHeight="true" outlineLevel="0" collapsed="false">
      <c r="A9" s="278"/>
      <c r="B9" s="278" t="s">
        <v>766</v>
      </c>
      <c r="C9" s="279"/>
      <c r="D9" s="280" t="s">
        <v>57</v>
      </c>
      <c r="E9" s="280"/>
      <c r="F9" s="280"/>
      <c r="G9" s="280" t="s">
        <v>56</v>
      </c>
      <c r="H9" s="280"/>
      <c r="J9" s="280"/>
      <c r="K9" s="280"/>
      <c r="L9" s="280"/>
      <c r="M9" s="280"/>
      <c r="N9" s="280"/>
      <c r="P9" s="280"/>
      <c r="Q9" s="280"/>
      <c r="R9" s="280" t="s">
        <v>59</v>
      </c>
      <c r="S9" s="280"/>
      <c r="T9" s="280"/>
      <c r="U9" s="280"/>
      <c r="V9" s="280"/>
      <c r="W9" s="280" t="s">
        <v>57</v>
      </c>
      <c r="X9" s="280"/>
      <c r="Y9" s="280"/>
      <c r="Z9" s="280"/>
      <c r="AA9" s="280" t="s">
        <v>57</v>
      </c>
      <c r="AB9" s="280"/>
      <c r="AC9" s="280" t="s">
        <v>57</v>
      </c>
      <c r="AD9" s="280"/>
      <c r="AE9" s="280"/>
      <c r="AF9" s="280"/>
      <c r="AG9" s="280"/>
      <c r="AH9" s="280"/>
      <c r="AI9" s="278" t="n">
        <f aca="false">COUNTIF($D9:$AG9,AI$4)</f>
        <v>4</v>
      </c>
      <c r="AJ9" s="278" t="n">
        <f aca="false">COUNTIF($D9:$AG9,AJ$4)</f>
        <v>1</v>
      </c>
      <c r="AK9" s="278" t="n">
        <f aca="false">COUNTIF($D9:$AG9,AK$4)</f>
        <v>1</v>
      </c>
      <c r="AL9" s="278" t="n">
        <f aca="false">COUNTIF($D9:$AG9,AL$4)</f>
        <v>0</v>
      </c>
      <c r="AM9" s="278" t="n">
        <f aca="false">COUNTIF($D9:$AG9,AM$4)</f>
        <v>0</v>
      </c>
      <c r="AN9" s="278" t="n">
        <f aca="false">COUNTIF($D9:$AG9,AN$4)</f>
        <v>0</v>
      </c>
      <c r="AO9" s="278" t="n">
        <f aca="false">COUNTIF($D9:$AG9,AO$4)</f>
        <v>0</v>
      </c>
      <c r="AP9" s="278" t="n">
        <f aca="false">COUNTIF($D9:$AG9,AP$4)</f>
        <v>0</v>
      </c>
      <c r="AQ9" s="278" t="n">
        <f aca="false">COUNTIF($D9:$AG9,AQ$4)</f>
        <v>0</v>
      </c>
      <c r="AR9" s="279"/>
      <c r="AS9" s="279" t="n">
        <v>1</v>
      </c>
      <c r="AT9" s="278" t="n">
        <f aca="false">SUMPRODUCT(--(WEEKDAY(D$3:AH$3,2)&lt;5),--ISNUMBER(MATCH(D9:AH9,{"DM","CS1","CS2","SB1","AE","CS/B"},0)))</f>
        <v>3</v>
      </c>
      <c r="AU9" s="278"/>
      <c r="AV9" s="278" t="n">
        <f aca="false">SUMPRODUCT(--(WEEKDAY(D$3:AH$3,2)=5),--ISNUMBER(MATCH(D9:AH9,{"DM","CS1","CS2","SB1","AE","CS/B","WEEKEND OUTFIELD RESERVE"},0)))</f>
        <v>2</v>
      </c>
      <c r="AW9" s="278" t="n">
        <f aca="false">SUMPRODUCT(--(WEEKDAY(D$3:AH$3,2)&gt;5),--ISNUMBER(MATCH(D9:AH9,{"DM","CS1","CS2","SB1","AE","CS/B","WEEKEND OUTFIELD RESERVE"},0)))</f>
        <v>1</v>
      </c>
      <c r="AX9" s="278"/>
      <c r="AY9" s="278" t="n">
        <f aca="false">(AT9-AU9)+AV9*1.5+(AW9-AX9)*2+AN9*0.5+AP9*0.5+AR9-AS9</f>
        <v>7</v>
      </c>
      <c r="AZ9" s="278" t="n">
        <f aca="false">AT9+AV9+AW9</f>
        <v>6</v>
      </c>
      <c r="BA9" s="278" t="n">
        <f aca="false">BD9+BF9+BH9+BJ9+BL9</f>
        <v>0</v>
      </c>
      <c r="BB9" s="279" t="n">
        <f aca="false">AY9+BC9</f>
        <v>7</v>
      </c>
      <c r="BC9" s="278" t="n">
        <f aca="false">BE9+BG9+BI9+BK9+BM9</f>
        <v>0</v>
      </c>
      <c r="BD9" s="278" t="n">
        <f aca="false">COUNTIF(A9:AI9,"*$BTP*")</f>
        <v>0</v>
      </c>
      <c r="BE9" s="278" t="n">
        <f aca="false">BD9*1.5</f>
        <v>0</v>
      </c>
      <c r="BF9" s="278" t="n">
        <f aca="false">COUNTIF(A9:AI9,"*$M*")</f>
        <v>0</v>
      </c>
      <c r="BG9" s="278" t="n">
        <f aca="false">BF9*1</f>
        <v>0</v>
      </c>
      <c r="BH9" s="278" t="n">
        <f aca="false">COUNTIF(A9:AI9,"*$PM*")</f>
        <v>0</v>
      </c>
      <c r="BI9" s="278" t="n">
        <f aca="false">BH9*0.5</f>
        <v>0</v>
      </c>
      <c r="BJ9" s="278" t="n">
        <f aca="false">COUNTIF(A9:AI9,"*$AM*")</f>
        <v>0</v>
      </c>
      <c r="BK9" s="278" t="n">
        <f aca="false">BJ9*0.5</f>
        <v>0</v>
      </c>
      <c r="BL9" s="278" t="n">
        <f aca="false">COUNTIF(A9:AI9,"*$FC*")</f>
        <v>0</v>
      </c>
      <c r="BM9" s="278" t="n">
        <f aca="false">BL9*1</f>
        <v>0</v>
      </c>
      <c r="BN9" s="278" t="n">
        <f aca="false">(BB9-8)</f>
        <v>-1</v>
      </c>
      <c r="BO9" s="278" t="n">
        <f aca="false">COUNTIF($E9:$AB9,BO$4)</f>
        <v>0</v>
      </c>
      <c r="BP9" s="278" t="n">
        <f aca="false">COUNTIF($E9:$AB9,BP$4)</f>
        <v>0</v>
      </c>
      <c r="BQ9" s="278" t="n">
        <f aca="false">COUNTIF($E9:$AB9,BQ$4)</f>
        <v>0</v>
      </c>
      <c r="BR9" s="278"/>
    </row>
    <row r="10" customFormat="false" ht="19.5" hidden="false" customHeight="true" outlineLevel="0" collapsed="false">
      <c r="A10" s="282"/>
      <c r="B10" s="282" t="s">
        <v>574</v>
      </c>
      <c r="C10" s="279"/>
      <c r="E10" s="283"/>
      <c r="F10" s="283"/>
      <c r="G10" s="283"/>
      <c r="H10" s="283" t="s">
        <v>73</v>
      </c>
      <c r="I10" s="283" t="s">
        <v>73</v>
      </c>
      <c r="J10" s="283" t="s">
        <v>73</v>
      </c>
      <c r="K10" s="283" t="s">
        <v>73</v>
      </c>
      <c r="L10" s="283"/>
      <c r="M10" s="285"/>
      <c r="N10" s="286" t="s">
        <v>767</v>
      </c>
      <c r="O10" s="283"/>
      <c r="P10" s="283" t="s">
        <v>573</v>
      </c>
      <c r="Q10" s="283" t="s">
        <v>768</v>
      </c>
      <c r="R10" s="283"/>
      <c r="S10" s="283"/>
      <c r="T10" s="283"/>
      <c r="U10" s="283" t="s">
        <v>350</v>
      </c>
      <c r="V10" s="283"/>
      <c r="W10" s="283"/>
      <c r="X10" s="283"/>
      <c r="Z10" s="283" t="s">
        <v>57</v>
      </c>
      <c r="AA10" s="283"/>
      <c r="AB10" s="283" t="s">
        <v>769</v>
      </c>
      <c r="AC10" s="287" t="s">
        <v>54</v>
      </c>
      <c r="AE10" s="283"/>
      <c r="AF10" s="283"/>
      <c r="AG10" s="283"/>
      <c r="AH10" s="283"/>
      <c r="AI10" s="282" t="n">
        <f aca="false">COUNTIF($D10:$AG10,AI$4)</f>
        <v>1</v>
      </c>
      <c r="AJ10" s="282" t="n">
        <f aca="false">COUNTIF($D10:$AG10,AJ$4)</f>
        <v>0</v>
      </c>
      <c r="AK10" s="282" t="n">
        <f aca="false">COUNTIF($D10:$AG10,AK$4)</f>
        <v>0</v>
      </c>
      <c r="AL10" s="282" t="n">
        <f aca="false">COUNTIF($D10:$AG10,AL$4)</f>
        <v>0</v>
      </c>
      <c r="AM10" s="282" t="n">
        <f aca="false">COUNTIF($D10:$AG10,AM$4)</f>
        <v>0</v>
      </c>
      <c r="AN10" s="282" t="n">
        <f aca="false">COUNTIF($D10:$AG10,AN$4)</f>
        <v>0</v>
      </c>
      <c r="AO10" s="282" t="n">
        <f aca="false">COUNTIF($D10:$AG10,AO$4)</f>
        <v>0</v>
      </c>
      <c r="AP10" s="282" t="n">
        <f aca="false">COUNTIF($D10:$AG10,AP$4)</f>
        <v>1</v>
      </c>
      <c r="AQ10" s="282" t="n">
        <f aca="false">COUNTIF($D10:$AG10,AQ$4)</f>
        <v>0</v>
      </c>
      <c r="AR10" s="279" t="n">
        <v>1</v>
      </c>
      <c r="AS10" s="279"/>
      <c r="AT10" s="282" t="n">
        <f aca="false">SUMPRODUCT(--(WEEKDAY(D$3:AH$3,2)&lt;5),--ISNUMBER(MATCH(D10:AH10,{"DM","CS1","CS2","SB1","AE","CS/B"},0)))</f>
        <v>0</v>
      </c>
      <c r="AU10" s="282"/>
      <c r="AV10" s="282" t="n">
        <f aca="false">SUMPRODUCT(--(WEEKDAY(D$3:AH$3,2)=5),--ISNUMBER(MATCH(D10:AH10,{"DM","CS1","CS2","SB1","AE","CS/B","WEEKEND OUTFIELD RESERVE"},0)))</f>
        <v>0</v>
      </c>
      <c r="AW10" s="282" t="n">
        <f aca="false">SUMPRODUCT(--(WEEKDAY(D$3:AH$3,2)&gt;5),--ISNUMBER(MATCH(D10:AH10,{"DM","CS1","CS2","SB1","AE","CS/B","WEEKEND OUTFIELD RESERVE"},0)))</f>
        <v>1</v>
      </c>
      <c r="AX10" s="282"/>
      <c r="AY10" s="282" t="n">
        <f aca="false">(AT10-AU10)+AV10*1.5+(AW10-AX10)*2+AN10*0.5+AP10*0.5+AR10-AS10</f>
        <v>3.5</v>
      </c>
      <c r="AZ10" s="282" t="n">
        <f aca="false">AT10+AV10+AW10</f>
        <v>1</v>
      </c>
      <c r="BA10" s="282" t="n">
        <f aca="false">BD10+BF10+BH10+BJ10+BL10</f>
        <v>5</v>
      </c>
      <c r="BB10" s="279" t="n">
        <f aca="false">AY10+BC10</f>
        <v>8</v>
      </c>
      <c r="BC10" s="282" t="n">
        <f aca="false">BE10+BG10+BI10+BK10+BM10</f>
        <v>4.5</v>
      </c>
      <c r="BD10" s="282" t="n">
        <f aca="false">COUNTIF(A10:AI10,"*$BTP*")</f>
        <v>0</v>
      </c>
      <c r="BE10" s="282" t="n">
        <f aca="false">BD10*1.5</f>
        <v>0</v>
      </c>
      <c r="BF10" s="282" t="n">
        <f aca="false">COUNTIF(A10:AI10,"*$M*")</f>
        <v>0</v>
      </c>
      <c r="BG10" s="282" t="n">
        <f aca="false">BF10*1</f>
        <v>0</v>
      </c>
      <c r="BH10" s="282" t="n">
        <f aca="false">COUNTIF(A10:AI10,"*$PM*")</f>
        <v>1</v>
      </c>
      <c r="BI10" s="282" t="n">
        <f aca="false">BH10*0.5</f>
        <v>0.5</v>
      </c>
      <c r="BJ10" s="282" t="n">
        <f aca="false">COUNTIF(A10:AI10,"*$AM*")</f>
        <v>0</v>
      </c>
      <c r="BK10" s="282" t="n">
        <f aca="false">BJ10*0.5</f>
        <v>0</v>
      </c>
      <c r="BL10" s="282" t="n">
        <f aca="false">COUNTIF(A10:AI10,"*$FC*")</f>
        <v>4</v>
      </c>
      <c r="BM10" s="282" t="n">
        <f aca="false">BL10*1</f>
        <v>4</v>
      </c>
      <c r="BN10" s="282" t="n">
        <f aca="false">(BB10-8)</f>
        <v>0</v>
      </c>
      <c r="BO10" s="282" t="n">
        <f aca="false">COUNTIF($E10:$AA10,BO$4)</f>
        <v>0</v>
      </c>
      <c r="BP10" s="282" t="n">
        <f aca="false">COUNTIF($E10:$AA10,BP$4)</f>
        <v>1</v>
      </c>
      <c r="BQ10" s="282" t="n">
        <f aca="false">COUNTIF($E10:$AA10,BQ$4)</f>
        <v>0</v>
      </c>
      <c r="BR10" s="282"/>
    </row>
    <row r="11" customFormat="false" ht="56.25" hidden="false" customHeight="true" outlineLevel="0" collapsed="false">
      <c r="A11" s="278"/>
      <c r="B11" s="278" t="s">
        <v>714</v>
      </c>
      <c r="C11" s="279"/>
      <c r="D11" s="278" t="s">
        <v>59</v>
      </c>
      <c r="E11" s="280"/>
      <c r="F11" s="280"/>
      <c r="G11" s="280"/>
      <c r="H11" s="280" t="s">
        <v>767</v>
      </c>
      <c r="I11" s="198"/>
      <c r="J11" s="280" t="s">
        <v>566</v>
      </c>
      <c r="K11" s="280"/>
      <c r="L11" s="280"/>
      <c r="M11" s="280"/>
      <c r="N11" s="280" t="s">
        <v>350</v>
      </c>
      <c r="O11" s="280" t="s">
        <v>93</v>
      </c>
      <c r="P11" s="280" t="s">
        <v>770</v>
      </c>
      <c r="Q11" s="280" t="s">
        <v>56</v>
      </c>
      <c r="R11" s="280"/>
      <c r="S11" s="280"/>
      <c r="T11" s="280" t="s">
        <v>56</v>
      </c>
      <c r="U11" s="280"/>
      <c r="V11" s="280"/>
      <c r="W11" s="280" t="s">
        <v>59</v>
      </c>
      <c r="Y11" s="280" t="s">
        <v>573</v>
      </c>
      <c r="Z11" s="280" t="s">
        <v>589</v>
      </c>
      <c r="AA11" s="280"/>
      <c r="AB11" s="280" t="s">
        <v>350</v>
      </c>
      <c r="AD11" s="280" t="s">
        <v>56</v>
      </c>
      <c r="AE11" s="280"/>
      <c r="AF11" s="280" t="s">
        <v>55</v>
      </c>
      <c r="AG11" s="280"/>
      <c r="AH11" s="280"/>
      <c r="AI11" s="278" t="n">
        <f aca="false">COUNTIF($D11:$AG11,AI$4)</f>
        <v>0</v>
      </c>
      <c r="AJ11" s="278" t="n">
        <f aca="false">COUNTIF($D11:$AG11,AJ$4)</f>
        <v>3</v>
      </c>
      <c r="AK11" s="278" t="n">
        <f aca="false">COUNTIF($D11:$AG11,AK$4)</f>
        <v>2</v>
      </c>
      <c r="AL11" s="278" t="n">
        <f aca="false">COUNTIF($D11:$AG11,AL$4)</f>
        <v>1</v>
      </c>
      <c r="AM11" s="278" t="n">
        <f aca="false">COUNTIF($D11:$AG11,AM$4)</f>
        <v>0</v>
      </c>
      <c r="AN11" s="278" t="n">
        <f aca="false">COUNTIF($D11:$AG11,AN$4)</f>
        <v>1</v>
      </c>
      <c r="AO11" s="278" t="n">
        <f aca="false">COUNTIF($D11:$AG11,AO$4)</f>
        <v>0</v>
      </c>
      <c r="AP11" s="278" t="n">
        <f aca="false">COUNTIF($D11:$AG11,AP$4)</f>
        <v>1</v>
      </c>
      <c r="AQ11" s="278" t="n">
        <f aca="false">COUNTIF($D11:$AG11,AQ$4)</f>
        <v>0</v>
      </c>
      <c r="AR11" s="279"/>
      <c r="AS11" s="279" t="n">
        <v>0.5</v>
      </c>
      <c r="AT11" s="278" t="n">
        <f aca="false">SUMPRODUCT(--(WEEKDAY(D$3:AH$3,2)&lt;5),--ISNUMBER(MATCH(D11:AH11,{"DM","CS1","CS2","SB1","AE","CS/B"},0)))</f>
        <v>4</v>
      </c>
      <c r="AU11" s="278"/>
      <c r="AV11" s="278" t="n">
        <f aca="false">SUMPRODUCT(--(WEEKDAY(D$3:AH$3,2)=5),--ISNUMBER(MATCH(D11:AH11,{"DM","CS1","CS2","SB1","AE","CS/B","WEEKEND OUTFIELD RESERVE"},0)))</f>
        <v>1</v>
      </c>
      <c r="AW11" s="278" t="n">
        <f aca="false">SUMPRODUCT(--(WEEKDAY(D$3:AH$3,2)&gt;5),--ISNUMBER(MATCH(D11:AH11,{"DM","CS1","CS2","SB1","AE","CS/B","WEEKEND OUTFIELD RESERVE"},0)))</f>
        <v>1</v>
      </c>
      <c r="AX11" s="278"/>
      <c r="AY11" s="278" t="n">
        <f aca="false">(AT11-AU11)+AV11*1.5+(AW11-AX11)*2+AN11*0.5+AP11*0.5+AR11-AS11</f>
        <v>8</v>
      </c>
      <c r="AZ11" s="278" t="n">
        <f aca="false">AT11+AV11+AW11</f>
        <v>6</v>
      </c>
      <c r="BA11" s="278" t="n">
        <f aca="false">BD11+BF11+BH11+BJ11+BL11</f>
        <v>1</v>
      </c>
      <c r="BB11" s="279" t="n">
        <f aca="false">AY11+BC11</f>
        <v>8.5</v>
      </c>
      <c r="BC11" s="278" t="n">
        <f aca="false">BE11+BG11+BI11+BK11+BM11</f>
        <v>0.5</v>
      </c>
      <c r="BD11" s="278" t="n">
        <f aca="false">COUNTIF(A11:AI11,"*$BTP*")</f>
        <v>0</v>
      </c>
      <c r="BE11" s="278" t="n">
        <f aca="false">BD11*1.5</f>
        <v>0</v>
      </c>
      <c r="BF11" s="278" t="n">
        <f aca="false">COUNTIF(A11:AI11,"*$M*")</f>
        <v>0</v>
      </c>
      <c r="BG11" s="278" t="n">
        <f aca="false">BF11*1</f>
        <v>0</v>
      </c>
      <c r="BH11" s="278" t="n">
        <f aca="false">COUNTIF(A11:AI11,"*$PM*")</f>
        <v>0</v>
      </c>
      <c r="BI11" s="278" t="n">
        <f aca="false">BH11*0.5</f>
        <v>0</v>
      </c>
      <c r="BJ11" s="278" t="n">
        <f aca="false">COUNTIF(A11:AI11,"*$AM*")</f>
        <v>1</v>
      </c>
      <c r="BK11" s="278" t="n">
        <f aca="false">BJ11*0.5</f>
        <v>0.5</v>
      </c>
      <c r="BL11" s="278" t="n">
        <f aca="false">COUNTIF(A11:AI11,"*$FC*")</f>
        <v>0</v>
      </c>
      <c r="BM11" s="278" t="n">
        <f aca="false">BL11*1</f>
        <v>0</v>
      </c>
      <c r="BN11" s="278" t="n">
        <f aca="false">(BB11-8)</f>
        <v>0.5</v>
      </c>
      <c r="BO11" s="278" t="n">
        <f aca="false">COUNTIF($E11:$AB11,BO$4)</f>
        <v>0</v>
      </c>
      <c r="BP11" s="278" t="n">
        <f aca="false">COUNTIF($E11:$AB11,BP$4)</f>
        <v>2</v>
      </c>
      <c r="BQ11" s="278" t="n">
        <f aca="false">COUNTIF($E11:$AB11,BQ$4)</f>
        <v>0</v>
      </c>
      <c r="BR11" s="278"/>
    </row>
    <row r="12" customFormat="false" ht="19.5" hidden="false" customHeight="true" outlineLevel="0" collapsed="false">
      <c r="A12" s="282"/>
      <c r="B12" s="282" t="s">
        <v>715</v>
      </c>
      <c r="C12" s="288" t="n">
        <f aca="false">COUNTIF(D12:AG12,"DM")</f>
        <v>2</v>
      </c>
      <c r="D12" s="283" t="s">
        <v>350</v>
      </c>
      <c r="E12" s="283"/>
      <c r="F12" s="283" t="s">
        <v>350</v>
      </c>
      <c r="G12" s="283" t="s">
        <v>93</v>
      </c>
      <c r="H12" s="283" t="s">
        <v>180</v>
      </c>
      <c r="J12" s="286" t="s">
        <v>573</v>
      </c>
      <c r="K12" s="283"/>
      <c r="L12" s="283" t="s">
        <v>57</v>
      </c>
      <c r="M12" s="283"/>
      <c r="O12" s="283" t="s">
        <v>59</v>
      </c>
      <c r="P12" s="287" t="s">
        <v>61</v>
      </c>
      <c r="Q12" s="283" t="s">
        <v>573</v>
      </c>
      <c r="R12" s="283"/>
      <c r="S12" s="283" t="s">
        <v>350</v>
      </c>
      <c r="T12" s="283"/>
      <c r="U12" s="283"/>
      <c r="V12" s="283" t="s">
        <v>56</v>
      </c>
      <c r="W12" s="283"/>
      <c r="X12" s="283"/>
      <c r="Y12" s="283" t="s">
        <v>245</v>
      </c>
      <c r="Z12" s="283" t="s">
        <v>56</v>
      </c>
      <c r="AA12" s="283"/>
      <c r="AB12" s="283"/>
      <c r="AC12" s="283" t="s">
        <v>771</v>
      </c>
      <c r="AD12" s="283"/>
      <c r="AE12" s="283" t="s">
        <v>56</v>
      </c>
      <c r="AF12" s="283"/>
      <c r="AG12" s="283" t="s">
        <v>57</v>
      </c>
      <c r="AH12" s="283"/>
      <c r="AI12" s="282" t="n">
        <f aca="false">COUNTIF($D12:$AG12,AI$4)</f>
        <v>2</v>
      </c>
      <c r="AJ12" s="282" t="n">
        <f aca="false">COUNTIF($D12:$AG12,AJ$4)</f>
        <v>3</v>
      </c>
      <c r="AK12" s="282" t="n">
        <f aca="false">COUNTIF($D12:$AG12,AK$4)</f>
        <v>1</v>
      </c>
      <c r="AL12" s="282" t="n">
        <f aca="false">COUNTIF($D12:$AG12,AL$4)</f>
        <v>0</v>
      </c>
      <c r="AM12" s="282" t="n">
        <f aca="false">COUNTIF($D12:$AG12,AM$4)</f>
        <v>0</v>
      </c>
      <c r="AN12" s="282" t="n">
        <f aca="false">COUNTIF($D12:$AG12,AN$4)</f>
        <v>1</v>
      </c>
      <c r="AO12" s="282" t="n">
        <f aca="false">COUNTIF($D12:$AG12,AO$4)</f>
        <v>0</v>
      </c>
      <c r="AP12" s="282" t="n">
        <f aca="false">COUNTIF($D12:$AG12,AP$4)</f>
        <v>0</v>
      </c>
      <c r="AQ12" s="282" t="n">
        <f aca="false">COUNTIF($D12:$AG12,AQ$4)</f>
        <v>0</v>
      </c>
      <c r="AR12" s="279"/>
      <c r="AS12" s="279" t="n">
        <v>1</v>
      </c>
      <c r="AT12" s="282" t="n">
        <f aca="false">SUMPRODUCT(--(WEEKDAY(D$3:AH$3,2)&lt;5),--ISNUMBER(MATCH(D12:AH12,{"DM","CS1","CS2","SB1","AE","CS/B"},0)))</f>
        <v>3</v>
      </c>
      <c r="AU12" s="282" t="n">
        <v>0</v>
      </c>
      <c r="AV12" s="282" t="n">
        <f aca="false">SUMPRODUCT(--(WEEKDAY(D$3:AH$3,2)=5),--ISNUMBER(MATCH(D12:AH12,{"DM","CS1","CS2","SB1","AE","CS/B","WEEKEND OUTFIELD RESERVE"},0)))</f>
        <v>0</v>
      </c>
      <c r="AW12" s="282" t="n">
        <f aca="false">SUMPRODUCT(--(WEEKDAY(D$3:AH$3,2)&gt;5),--ISNUMBER(MATCH(D12:AH12,{"DM","CS1","CS2","SB1","AE","CS/B","WEEKEND OUTFIELD RESERVE"},0)))</f>
        <v>3</v>
      </c>
      <c r="AX12" s="282"/>
      <c r="AY12" s="282" t="n">
        <f aca="false">(AT12-AU12)+AV12*1.5+(AW12-AX12)*2+AN12*0.5+AP12*0.5+AR12-AS12</f>
        <v>8.5</v>
      </c>
      <c r="AZ12" s="282" t="n">
        <f aca="false">AT12+AV12+AW12</f>
        <v>6</v>
      </c>
      <c r="BA12" s="282" t="n">
        <f aca="false">BD12+BF12+BH12+BJ12+BL12</f>
        <v>3</v>
      </c>
      <c r="BB12" s="279" t="n">
        <f aca="false">AY12+BC12</f>
        <v>10</v>
      </c>
      <c r="BC12" s="282" t="n">
        <f aca="false">BE12+BG12+BI12+BK12+BM12</f>
        <v>1.5</v>
      </c>
      <c r="BD12" s="282" t="n">
        <f aca="false">COUNTIF(A12:AI12,"*$BTP*")</f>
        <v>0</v>
      </c>
      <c r="BE12" s="282" t="n">
        <f aca="false">BD12*1.5</f>
        <v>0</v>
      </c>
      <c r="BF12" s="282" t="n">
        <f aca="false">COUNTIF(A12:AI12,"*$M*")</f>
        <v>0</v>
      </c>
      <c r="BG12" s="282" t="n">
        <f aca="false">BF12*1</f>
        <v>0</v>
      </c>
      <c r="BH12" s="282" t="n">
        <f aca="false">COUNTIF(A12:AI12,"*$PM*")</f>
        <v>0</v>
      </c>
      <c r="BI12" s="282" t="n">
        <f aca="false">BH12*0.5</f>
        <v>0</v>
      </c>
      <c r="BJ12" s="282" t="n">
        <f aca="false">COUNTIF(A12:AI12,"*$AM*")</f>
        <v>3</v>
      </c>
      <c r="BK12" s="282" t="n">
        <f aca="false">BJ12*0.5</f>
        <v>1.5</v>
      </c>
      <c r="BL12" s="282" t="n">
        <f aca="false">COUNTIF(A12:AI12,"*$FC*")</f>
        <v>0</v>
      </c>
      <c r="BM12" s="282" t="n">
        <f aca="false">BL12*1</f>
        <v>0</v>
      </c>
      <c r="BN12" s="282" t="n">
        <f aca="false">(BB12-8)</f>
        <v>2</v>
      </c>
      <c r="BO12" s="282" t="n">
        <f aca="false">COUNTIF($E12:$AB12,BO$4)</f>
        <v>0</v>
      </c>
      <c r="BP12" s="282" t="n">
        <f aca="false">COUNTIF($E12:$AB12,BP$4)</f>
        <v>2</v>
      </c>
      <c r="BQ12" s="282" t="n">
        <f aca="false">COUNTIF($E12:$AB12,BQ$4)</f>
        <v>0</v>
      </c>
      <c r="BR12" s="282"/>
    </row>
    <row r="13" customFormat="false" ht="51" hidden="false" customHeight="true" outlineLevel="0" collapsed="false">
      <c r="A13" s="278"/>
      <c r="B13" s="278" t="s">
        <v>584</v>
      </c>
      <c r="C13" s="288" t="n">
        <f aca="false">COUNTIF(D13:AG13,"DM")</f>
        <v>2</v>
      </c>
      <c r="D13" s="280"/>
      <c r="E13" s="280"/>
      <c r="F13" s="280" t="s">
        <v>57</v>
      </c>
      <c r="G13" s="280"/>
      <c r="H13" s="280"/>
      <c r="I13" s="280"/>
      <c r="J13" s="280"/>
      <c r="K13" s="280"/>
      <c r="L13" s="280"/>
      <c r="M13" s="280"/>
      <c r="N13" s="280" t="s">
        <v>57</v>
      </c>
      <c r="O13" s="280"/>
      <c r="P13" s="284" t="s">
        <v>61</v>
      </c>
      <c r="Q13" s="280"/>
      <c r="R13" s="280" t="s">
        <v>350</v>
      </c>
      <c r="S13" s="280"/>
      <c r="T13" s="280"/>
      <c r="U13" s="280" t="s">
        <v>56</v>
      </c>
      <c r="V13" s="280"/>
      <c r="X13" s="280"/>
      <c r="Y13" s="280"/>
      <c r="Z13" s="280"/>
      <c r="AA13" s="280"/>
      <c r="AB13" s="280"/>
      <c r="AC13" s="280" t="s">
        <v>56</v>
      </c>
      <c r="AD13" s="280"/>
      <c r="AE13" s="280"/>
      <c r="AF13" s="280" t="s">
        <v>350</v>
      </c>
      <c r="AG13" s="280"/>
      <c r="AH13" s="280" t="s">
        <v>57</v>
      </c>
      <c r="AI13" s="278" t="n">
        <f aca="false">COUNTIF($D13:$AG13,AI$4)</f>
        <v>2</v>
      </c>
      <c r="AJ13" s="278" t="n">
        <f aca="false">COUNTIF($D13:$AG13,AJ$4)</f>
        <v>2</v>
      </c>
      <c r="AK13" s="278" t="n">
        <f aca="false">COUNTIF($D13:$AG13,AK$4)</f>
        <v>0</v>
      </c>
      <c r="AL13" s="278" t="n">
        <f aca="false">COUNTIF($D13:$AG13,AL$4)</f>
        <v>0</v>
      </c>
      <c r="AM13" s="278" t="n">
        <f aca="false">COUNTIF($D13:$AG13,AM$4)</f>
        <v>0</v>
      </c>
      <c r="AN13" s="278" t="n">
        <f aca="false">COUNTIF($D13:$AG13,AN$4)</f>
        <v>0</v>
      </c>
      <c r="AO13" s="278" t="n">
        <f aca="false">COUNTIF($D13:$AG13,AO$4)</f>
        <v>0</v>
      </c>
      <c r="AP13" s="278" t="n">
        <f aca="false">COUNTIF($D13:$AG13,AP$4)</f>
        <v>0</v>
      </c>
      <c r="AQ13" s="278" t="n">
        <f aca="false">COUNTIF($D13:$AG13,AQ$4)</f>
        <v>0</v>
      </c>
      <c r="AR13" s="279" t="n">
        <v>1</v>
      </c>
      <c r="AS13" s="279"/>
      <c r="AT13" s="278" t="n">
        <f aca="false">SUMPRODUCT(--(WEEKDAY(D$3:AH$3,2)&lt;5),--ISNUMBER(MATCH(D13:AH13,{"DM","CS1","CS2","SB1","AE","CS/B"},0)))</f>
        <v>3</v>
      </c>
      <c r="AU13" s="278"/>
      <c r="AV13" s="278" t="n">
        <f aca="false">SUMPRODUCT(--(WEEKDAY(D$3:AH$3,2)=5),--ISNUMBER(MATCH(D13:AH13,{"DM","CS1","CS2","SB1","AE","CS/B","WEEKEND OUTFIELD RESERVE"},0)))</f>
        <v>0</v>
      </c>
      <c r="AW13" s="278" t="n">
        <f aca="false">SUMPRODUCT(--(WEEKDAY(D$3:AH$3,2)&gt;5),--ISNUMBER(MATCH(D13:AH13,{"DM","CS1","CS2","SB1","AE","CS/B","WEEKEND OUTFIELD RESERVE"},0)))</f>
        <v>2</v>
      </c>
      <c r="AX13" s="278"/>
      <c r="AY13" s="278" t="n">
        <f aca="false">(AT13-AU13)+AV13*1.5+(AW13-AX13)*2+AN13*0.5+AP13*0.5+AR13-AS13</f>
        <v>8</v>
      </c>
      <c r="AZ13" s="278" t="n">
        <f aca="false">AT13+AV13+AW13</f>
        <v>5</v>
      </c>
      <c r="BA13" s="278" t="n">
        <f aca="false">BD13+BF13+BH13+BJ13+BL13</f>
        <v>0</v>
      </c>
      <c r="BB13" s="279" t="n">
        <f aca="false">AY13+BC13</f>
        <v>8</v>
      </c>
      <c r="BC13" s="278" t="n">
        <f aca="false">BE13+BG13+BI13+BK13+BM13</f>
        <v>0</v>
      </c>
      <c r="BD13" s="278" t="n">
        <f aca="false">COUNTIF(A13:AI13,"*$BTP*")</f>
        <v>0</v>
      </c>
      <c r="BE13" s="278" t="n">
        <f aca="false">BD13*1.5</f>
        <v>0</v>
      </c>
      <c r="BF13" s="278" t="n">
        <f aca="false">COUNTIF(A13:AI13,"*$M*")</f>
        <v>0</v>
      </c>
      <c r="BG13" s="278" t="n">
        <f aca="false">BF13*1</f>
        <v>0</v>
      </c>
      <c r="BH13" s="278" t="n">
        <f aca="false">COUNTIF(A13:AI13,"*$PM*")</f>
        <v>0</v>
      </c>
      <c r="BI13" s="278" t="n">
        <f aca="false">BH13*0.5</f>
        <v>0</v>
      </c>
      <c r="BJ13" s="278" t="n">
        <f aca="false">COUNTIF(A13:AI13,"*$AM*")</f>
        <v>0</v>
      </c>
      <c r="BK13" s="278" t="n">
        <f aca="false">BJ13*0.5</f>
        <v>0</v>
      </c>
      <c r="BL13" s="278" t="n">
        <f aca="false">COUNTIF(A13:AI13,"*$FC*")</f>
        <v>0</v>
      </c>
      <c r="BM13" s="278" t="n">
        <f aca="false">BL13*1</f>
        <v>0</v>
      </c>
      <c r="BN13" s="278" t="n">
        <f aca="false">(BB13-8)</f>
        <v>0</v>
      </c>
      <c r="BO13" s="278" t="n">
        <f aca="false">COUNTIF($E13:$AB13,BO$4)</f>
        <v>0</v>
      </c>
      <c r="BP13" s="278" t="n">
        <f aca="false">COUNTIF($E13:$AB13,BP$4)</f>
        <v>1</v>
      </c>
      <c r="BQ13" s="278" t="n">
        <f aca="false">COUNTIF($E13:$AB13,BQ$4)</f>
        <v>0</v>
      </c>
      <c r="BR13" s="278"/>
    </row>
    <row r="14" customFormat="false" ht="45" hidden="false" customHeight="true" outlineLevel="0" collapsed="false">
      <c r="A14" s="282"/>
      <c r="B14" s="282" t="s">
        <v>717</v>
      </c>
      <c r="C14" s="279"/>
      <c r="D14" s="283" t="s">
        <v>58</v>
      </c>
      <c r="E14" s="283" t="s">
        <v>350</v>
      </c>
      <c r="F14" s="283"/>
      <c r="G14" s="283" t="s">
        <v>573</v>
      </c>
      <c r="I14" s="283" t="s">
        <v>261</v>
      </c>
      <c r="J14" s="283"/>
      <c r="K14" s="283" t="s">
        <v>350</v>
      </c>
      <c r="L14" s="283"/>
      <c r="M14" s="283" t="s">
        <v>56</v>
      </c>
      <c r="N14" s="283"/>
      <c r="O14" s="283" t="s">
        <v>573</v>
      </c>
      <c r="P14" s="283"/>
      <c r="R14" s="283"/>
      <c r="S14" s="283"/>
      <c r="T14" s="283"/>
      <c r="U14" s="283"/>
      <c r="V14" s="283"/>
      <c r="W14" s="283" t="s">
        <v>573</v>
      </c>
      <c r="X14" s="283"/>
      <c r="Y14" s="283" t="s">
        <v>93</v>
      </c>
      <c r="Z14" s="283"/>
      <c r="AA14" s="283"/>
      <c r="AB14" s="283" t="s">
        <v>56</v>
      </c>
      <c r="AD14" s="283"/>
      <c r="AF14" s="283"/>
      <c r="AG14" s="150"/>
      <c r="AH14" s="150"/>
      <c r="AI14" s="282" t="n">
        <f aca="false">COUNTIF($D14:$AG14,AI$4)</f>
        <v>0</v>
      </c>
      <c r="AJ14" s="282" t="n">
        <f aca="false">COUNTIF($D14:$AG14,AJ$4)</f>
        <v>2</v>
      </c>
      <c r="AK14" s="282" t="n">
        <f aca="false">COUNTIF($D14:$AG14,AK$4)</f>
        <v>0</v>
      </c>
      <c r="AL14" s="282" t="n">
        <f aca="false">COUNTIF($D14:$AG14,AL$4)</f>
        <v>0</v>
      </c>
      <c r="AM14" s="282" t="n">
        <f aca="false">COUNTIF($D14:$AG14,AM$4)</f>
        <v>1</v>
      </c>
      <c r="AN14" s="282" t="n">
        <f aca="false">COUNTIF($D14:$AG14,AN$4)</f>
        <v>1</v>
      </c>
      <c r="AO14" s="282" t="n">
        <f aca="false">COUNTIF($D14:$AG14,AO$4)</f>
        <v>0</v>
      </c>
      <c r="AP14" s="282" t="n">
        <f aca="false">COUNTIF($D14:$AG14,AP$4)</f>
        <v>0</v>
      </c>
      <c r="AQ14" s="282" t="n">
        <f aca="false">COUNTIF($D14:$AG14,AQ$4)</f>
        <v>0</v>
      </c>
      <c r="AR14" s="279" t="n">
        <v>1</v>
      </c>
      <c r="AS14" s="279"/>
      <c r="AT14" s="282" t="n">
        <f aca="false">SUMPRODUCT(--(WEEKDAY(D$3:AH$3,2)&lt;5),--ISNUMBER(MATCH(D14:AH14,{"DM","CS1","CS2","SB1","AE","CS/B"},0)))</f>
        <v>1</v>
      </c>
      <c r="AU14" s="282"/>
      <c r="AV14" s="282" t="n">
        <f aca="false">SUMPRODUCT(--(WEEKDAY(D$3:AH$3,2)=5),--ISNUMBER(MATCH(D14:AH14,{"DM","CS1","CS2","SB1","AE","CS/B","WEEKEND OUTFIELD RESERVE"},0)))</f>
        <v>1</v>
      </c>
      <c r="AW14" s="282" t="n">
        <f aca="false">SUMPRODUCT(--(WEEKDAY(D$3:AH$3,2)&gt;5),--ISNUMBER(MATCH(D14:AH14,{"DM","CS1","CS2","SB1","AE","CS/B","WEEKEND OUTFIELD RESERVE"},0)))</f>
        <v>1</v>
      </c>
      <c r="AX14" s="282"/>
      <c r="AY14" s="282" t="n">
        <f aca="false">(AT14-AU14)+AV14*1.5+(AW14-AX14)*2+AN14*0.5+AP14*0.5+AR14-AS14</f>
        <v>6</v>
      </c>
      <c r="AZ14" s="282" t="n">
        <f aca="false">AT14+AV14+AW14</f>
        <v>3</v>
      </c>
      <c r="BA14" s="282" t="n">
        <f aca="false">BD14+BF14+BH14+BJ14+BL14</f>
        <v>0</v>
      </c>
      <c r="BB14" s="279" t="n">
        <f aca="false">AY14+BC14</f>
        <v>6</v>
      </c>
      <c r="BC14" s="282" t="n">
        <f aca="false">BE14+BG14+BI14+BK14+BM14</f>
        <v>0</v>
      </c>
      <c r="BD14" s="282" t="n">
        <f aca="false">COUNTIF(A14:AI14,"*$BTP*")</f>
        <v>0</v>
      </c>
      <c r="BE14" s="282" t="n">
        <f aca="false">BD14*1.5</f>
        <v>0</v>
      </c>
      <c r="BF14" s="282" t="n">
        <f aca="false">COUNTIF(A14:AI14,"*$M*")</f>
        <v>0</v>
      </c>
      <c r="BG14" s="282" t="n">
        <f aca="false">BF14*1</f>
        <v>0</v>
      </c>
      <c r="BH14" s="282" t="n">
        <f aca="false">COUNTIF(A14:AI14,"*$PM*")</f>
        <v>0</v>
      </c>
      <c r="BI14" s="282" t="n">
        <f aca="false">BH14*0.5</f>
        <v>0</v>
      </c>
      <c r="BJ14" s="282" t="n">
        <f aca="false">COUNTIF(A14:AI14,"*$AM*")</f>
        <v>0</v>
      </c>
      <c r="BK14" s="282" t="n">
        <f aca="false">BJ14*0.5</f>
        <v>0</v>
      </c>
      <c r="BL14" s="282" t="n">
        <f aca="false">COUNTIF(A14:AI14,"*$FC*")</f>
        <v>0</v>
      </c>
      <c r="BM14" s="282" t="n">
        <f aca="false">BL14*1</f>
        <v>0</v>
      </c>
      <c r="BN14" s="282" t="n">
        <f aca="false">(BB14-8)</f>
        <v>-2</v>
      </c>
      <c r="BO14" s="282" t="n">
        <f aca="false">COUNTIF($E14:$AB14,BO$4)</f>
        <v>0</v>
      </c>
      <c r="BP14" s="282" t="n">
        <f aca="false">COUNTIF($E14:$AB14,BP$4)</f>
        <v>2</v>
      </c>
      <c r="BQ14" s="282" t="n">
        <f aca="false">COUNTIF($E14:$AB14,BQ$4)</f>
        <v>0</v>
      </c>
      <c r="BR14" s="282"/>
    </row>
    <row r="15" customFormat="false" ht="39.75" hidden="false" customHeight="true" outlineLevel="0" collapsed="false">
      <c r="A15" s="278"/>
      <c r="B15" s="278" t="s">
        <v>591</v>
      </c>
      <c r="C15" s="279"/>
      <c r="D15" s="280"/>
      <c r="E15" s="280"/>
      <c r="F15" s="280"/>
      <c r="G15" s="280" t="s">
        <v>350</v>
      </c>
      <c r="I15" s="280" t="s">
        <v>573</v>
      </c>
      <c r="J15" s="280"/>
      <c r="K15" s="280"/>
      <c r="L15" s="280"/>
      <c r="M15" s="280"/>
      <c r="N15" s="198"/>
      <c r="O15" s="280" t="s">
        <v>772</v>
      </c>
      <c r="P15" s="280"/>
      <c r="Q15" s="280" t="s">
        <v>65</v>
      </c>
      <c r="R15" s="280"/>
      <c r="S15" s="280"/>
      <c r="T15" s="280"/>
      <c r="U15" s="280"/>
      <c r="W15" s="280"/>
      <c r="X15" s="284" t="s">
        <v>261</v>
      </c>
      <c r="Y15" s="280" t="s">
        <v>65</v>
      </c>
      <c r="Z15" s="280"/>
      <c r="AA15" s="280"/>
      <c r="AB15" s="280" t="s">
        <v>773</v>
      </c>
      <c r="AC15" s="280" t="s">
        <v>58</v>
      </c>
      <c r="AD15" s="280"/>
      <c r="AE15" s="280"/>
      <c r="AF15" s="280" t="s">
        <v>58</v>
      </c>
      <c r="AG15" s="280"/>
      <c r="AH15" s="280"/>
      <c r="AI15" s="278" t="n">
        <f aca="false">COUNTIF($D15:$AG15,AI$4)</f>
        <v>0</v>
      </c>
      <c r="AJ15" s="278" t="n">
        <f aca="false">COUNTIF($D15:$AG15,AJ$4)</f>
        <v>0</v>
      </c>
      <c r="AK15" s="278" t="n">
        <f aca="false">COUNTIF($D15:$AG15,AK$4)</f>
        <v>0</v>
      </c>
      <c r="AL15" s="278" t="n">
        <f aca="false">COUNTIF($D15:$AG15,AL$4)</f>
        <v>0</v>
      </c>
      <c r="AM15" s="278" t="n">
        <f aca="false">COUNTIF($D15:$AG15,AM$4)</f>
        <v>2</v>
      </c>
      <c r="AN15" s="278" t="n">
        <f aca="false">COUNTIF($D15:$AG15,AN$4)</f>
        <v>0</v>
      </c>
      <c r="AO15" s="278" t="n">
        <f aca="false">COUNTIF($D15:$AG15,AO$4)</f>
        <v>2</v>
      </c>
      <c r="AP15" s="278" t="n">
        <f aca="false">COUNTIF($D15:$AG15,AP$4)</f>
        <v>0</v>
      </c>
      <c r="AQ15" s="278" t="n">
        <f aca="false">COUNTIF($D15:$AG15,AQ$4)</f>
        <v>0</v>
      </c>
      <c r="AR15" s="279" t="n">
        <v>0.5</v>
      </c>
      <c r="AS15" s="279"/>
      <c r="AT15" s="278" t="n">
        <f aca="false">SUMPRODUCT(--(WEEKDAY(D$3:AH$3,2)&lt;5),--ISNUMBER(MATCH(D15:AH15,{"DM","CS1","CS2","SB1","AE","CS/B"},0)))</f>
        <v>2</v>
      </c>
      <c r="AU15" s="278"/>
      <c r="AV15" s="278" t="n">
        <f aca="false">SUMPRODUCT(--(WEEKDAY(D$3:AH$3,2)=5),--ISNUMBER(MATCH(D15:AH15,{"DM","CS1","CS2","SB1","AE","CS/B","WEEKEND OUTFIELD RESERVE"},0)))</f>
        <v>2</v>
      </c>
      <c r="AW15" s="278" t="n">
        <f aca="false">SUMPRODUCT(--(WEEKDAY(D$3:AH$3,2)&gt;5),--ISNUMBER(MATCH(D15:AH15,{"DM","CS1","CS2","SB1","AE","CS/B","WEEKEND OUTFIELD RESERVE"},0)))</f>
        <v>0</v>
      </c>
      <c r="AX15" s="278"/>
      <c r="AY15" s="278" t="n">
        <f aca="false">(AT15-AU15)+AV15*1.5+(AW15-AX15)*2+AN15*0.5+AP15*0.5+AR15-AS15</f>
        <v>5.5</v>
      </c>
      <c r="AZ15" s="278" t="n">
        <f aca="false">AT15+AV15+AW15</f>
        <v>4</v>
      </c>
      <c r="BA15" s="278" t="n">
        <f aca="false">BD15+BF15+BH15+BJ15+BL15</f>
        <v>2</v>
      </c>
      <c r="BB15" s="279" t="n">
        <f aca="false">AY15+BC15</f>
        <v>6.5</v>
      </c>
      <c r="BC15" s="278" t="n">
        <f aca="false">BE15+BG15+BI15+BK15+BM15</f>
        <v>1</v>
      </c>
      <c r="BD15" s="278" t="n">
        <f aca="false">COUNTIF(A15:AI15,"*$BTP*")</f>
        <v>0</v>
      </c>
      <c r="BE15" s="278" t="n">
        <f aca="false">BD15*1.5</f>
        <v>0</v>
      </c>
      <c r="BF15" s="278" t="n">
        <f aca="false">COUNTIF(A15:AI15,"*$M*")</f>
        <v>0</v>
      </c>
      <c r="BG15" s="278" t="n">
        <f aca="false">BF15*1</f>
        <v>0</v>
      </c>
      <c r="BH15" s="278" t="n">
        <f aca="false">COUNTIF(A15:AI15,"*$PM*")</f>
        <v>0</v>
      </c>
      <c r="BI15" s="278" t="n">
        <f aca="false">BH15*0.5</f>
        <v>0</v>
      </c>
      <c r="BJ15" s="278" t="n">
        <f aca="false">COUNTIF(A15:AI15,"*$AM*")</f>
        <v>2</v>
      </c>
      <c r="BK15" s="278" t="n">
        <f aca="false">BJ15*0.5</f>
        <v>1</v>
      </c>
      <c r="BL15" s="278" t="n">
        <f aca="false">COUNTIF(A15:AI15,"*$FC*")</f>
        <v>0</v>
      </c>
      <c r="BM15" s="278" t="n">
        <f aca="false">BL15*1</f>
        <v>0</v>
      </c>
      <c r="BN15" s="278" t="n">
        <f aca="false">(BB15-8)</f>
        <v>-1.5</v>
      </c>
      <c r="BO15" s="278" t="n">
        <f aca="false">COUNTIF($E15:$AB15,BO$4)</f>
        <v>0</v>
      </c>
      <c r="BP15" s="278" t="n">
        <f aca="false">COUNTIF($E15:$AB15,BP$4)</f>
        <v>1</v>
      </c>
      <c r="BQ15" s="278" t="n">
        <f aca="false">COUNTIF($E15:$AB15,BQ$4)</f>
        <v>0</v>
      </c>
      <c r="BR15" s="278"/>
    </row>
    <row r="16" customFormat="false" ht="47.25" hidden="false" customHeight="true" outlineLevel="0" collapsed="false">
      <c r="A16" s="282"/>
      <c r="B16" s="282" t="s">
        <v>718</v>
      </c>
      <c r="C16" s="279"/>
      <c r="D16" s="283"/>
      <c r="E16" s="283" t="s">
        <v>350</v>
      </c>
      <c r="F16" s="283"/>
      <c r="G16" s="283"/>
      <c r="I16" s="283"/>
      <c r="J16" s="283" t="s">
        <v>350</v>
      </c>
      <c r="K16" s="283" t="s">
        <v>65</v>
      </c>
      <c r="L16" s="283"/>
      <c r="M16" s="283"/>
      <c r="N16" s="283"/>
      <c r="O16" s="283" t="s">
        <v>65</v>
      </c>
      <c r="P16" s="283"/>
      <c r="Q16" s="283"/>
      <c r="R16" s="283"/>
      <c r="S16" s="283" t="s">
        <v>65</v>
      </c>
      <c r="T16" s="283"/>
      <c r="V16" s="283"/>
      <c r="X16" s="283" t="s">
        <v>350</v>
      </c>
      <c r="Z16" s="283" t="s">
        <v>65</v>
      </c>
      <c r="AA16" s="283"/>
      <c r="AB16" s="283"/>
      <c r="AC16" s="283" t="s">
        <v>93</v>
      </c>
      <c r="AE16" s="283"/>
      <c r="AF16" s="283"/>
      <c r="AG16" s="283" t="s">
        <v>65</v>
      </c>
      <c r="AH16" s="283"/>
      <c r="AI16" s="282" t="n">
        <f aca="false">COUNTIF($D16:$AG16,AI$4)</f>
        <v>0</v>
      </c>
      <c r="AJ16" s="282" t="n">
        <f aca="false">COUNTIF($D16:$AG16,AJ$4)</f>
        <v>0</v>
      </c>
      <c r="AK16" s="282" t="n">
        <f aca="false">COUNTIF($D16:$AG16,AK$4)</f>
        <v>0</v>
      </c>
      <c r="AL16" s="282" t="n">
        <f aca="false">COUNTIF($D16:$AG16,AL$4)</f>
        <v>0</v>
      </c>
      <c r="AM16" s="282" t="n">
        <f aca="false">COUNTIF($D16:$AG16,AM$4)</f>
        <v>0</v>
      </c>
      <c r="AN16" s="282" t="n">
        <f aca="false">COUNTIF($D16:$AG16,AN$4)</f>
        <v>1</v>
      </c>
      <c r="AO16" s="282" t="n">
        <f aca="false">COUNTIF($D16:$AG16,AO$4)</f>
        <v>5</v>
      </c>
      <c r="AP16" s="282" t="n">
        <f aca="false">COUNTIF($D16:$AG16,AP$4)</f>
        <v>0</v>
      </c>
      <c r="AQ16" s="282" t="n">
        <f aca="false">COUNTIF($D16:$AG16,AQ$4)</f>
        <v>0</v>
      </c>
      <c r="AR16" s="279"/>
      <c r="AS16" s="279" t="n">
        <v>0.5</v>
      </c>
      <c r="AT16" s="282" t="n">
        <f aca="false">SUMPRODUCT(--(WEEKDAY(D$3:AH$3,2)&lt;5),--ISNUMBER(MATCH(D16:AH16,{"DM","CS1","CS2","SB1","AE","CS/B"},0)))</f>
        <v>1</v>
      </c>
      <c r="AU16" s="282"/>
      <c r="AV16" s="282" t="n">
        <f aca="false">SUMPRODUCT(--(WEEKDAY(D$3:AH$3,2)=5),--ISNUMBER(MATCH(D16:AH16,{"DM","CS1","CS2","SB1","AE","CS/B","WEEKEND OUTFIELD RESERVE"},0)))</f>
        <v>1</v>
      </c>
      <c r="AW16" s="282" t="n">
        <f aca="false">SUMPRODUCT(--(WEEKDAY(D$3:AH$3,2)&gt;5),--ISNUMBER(MATCH(D16:AH16,{"DM","CS1","CS2","SB1","AE","CS/B","WEEKEND OUTFIELD RESERVE"},0)))</f>
        <v>3</v>
      </c>
      <c r="AX16" s="282"/>
      <c r="AY16" s="282" t="n">
        <f aca="false">(AT16-AU16)+AV16*1.5+(AW16-AX16)*2+AN16*0.5+AP16*0.5+AR16-AS16</f>
        <v>8.5</v>
      </c>
      <c r="AZ16" s="282" t="n">
        <f aca="false">AT16+AV16+AW16</f>
        <v>5</v>
      </c>
      <c r="BA16" s="282" t="n">
        <f aca="false">BD16+BF16+BH16+BJ16+BL16</f>
        <v>0</v>
      </c>
      <c r="BB16" s="279" t="n">
        <f aca="false">AY16+BC16</f>
        <v>8.5</v>
      </c>
      <c r="BC16" s="282" t="n">
        <f aca="false">BE16+BG16+BI16+BK16+BM16</f>
        <v>0</v>
      </c>
      <c r="BD16" s="282" t="n">
        <f aca="false">COUNTIF(A16:AI16,"*$BTP*")</f>
        <v>0</v>
      </c>
      <c r="BE16" s="282" t="n">
        <f aca="false">BD16*1.5</f>
        <v>0</v>
      </c>
      <c r="BF16" s="282" t="n">
        <f aca="false">COUNTIF(A16:AI16,"*$M*")</f>
        <v>0</v>
      </c>
      <c r="BG16" s="282" t="n">
        <f aca="false">BF16*1</f>
        <v>0</v>
      </c>
      <c r="BH16" s="282" t="n">
        <f aca="false">COUNTIF(A16:AI16,"*$PM*")</f>
        <v>0</v>
      </c>
      <c r="BI16" s="282" t="n">
        <f aca="false">BH16*0.5</f>
        <v>0</v>
      </c>
      <c r="BJ16" s="282" t="n">
        <f aca="false">COUNTIF(A16:AI16,"*$AM*")</f>
        <v>0</v>
      </c>
      <c r="BK16" s="282" t="n">
        <f aca="false">BJ16*0.5</f>
        <v>0</v>
      </c>
      <c r="BL16" s="282" t="n">
        <f aca="false">COUNTIF(A16:AI16,"*$FC*")</f>
        <v>0</v>
      </c>
      <c r="BM16" s="282" t="n">
        <f aca="false">BL16*1</f>
        <v>0</v>
      </c>
      <c r="BN16" s="282" t="n">
        <f aca="false">(BB16-8)</f>
        <v>0.5</v>
      </c>
      <c r="BO16" s="282" t="n">
        <f aca="false">COUNTIF($E16:$AB16,BO$4)</f>
        <v>0</v>
      </c>
      <c r="BP16" s="282" t="n">
        <f aca="false">COUNTIF($E16:$AB16,BP$4)</f>
        <v>3</v>
      </c>
      <c r="BQ16" s="282" t="n">
        <f aca="false">COUNTIF($E16:$AB16,BQ$4)</f>
        <v>0</v>
      </c>
      <c r="BR16" s="282"/>
    </row>
    <row r="17" customFormat="false" ht="45" hidden="false" customHeight="true" outlineLevel="0" collapsed="false">
      <c r="A17" s="278"/>
      <c r="B17" s="279" t="s">
        <v>592</v>
      </c>
      <c r="C17" s="279"/>
      <c r="D17" s="280"/>
      <c r="E17" s="280"/>
      <c r="F17" s="280" t="s">
        <v>56</v>
      </c>
      <c r="G17" s="280"/>
      <c r="H17" s="284" t="s">
        <v>93</v>
      </c>
      <c r="I17" s="280"/>
      <c r="J17" s="280"/>
      <c r="K17" s="280"/>
      <c r="L17" s="281"/>
      <c r="M17" s="280" t="s">
        <v>350</v>
      </c>
      <c r="N17" s="280" t="s">
        <v>566</v>
      </c>
      <c r="O17" s="280"/>
      <c r="P17" s="280" t="s">
        <v>59</v>
      </c>
      <c r="Q17" s="280"/>
      <c r="R17" s="280"/>
      <c r="S17" s="280" t="s">
        <v>59</v>
      </c>
      <c r="T17" s="280"/>
      <c r="U17" s="280" t="s">
        <v>57</v>
      </c>
      <c r="V17" s="280"/>
      <c r="W17" s="280" t="s">
        <v>56</v>
      </c>
      <c r="X17" s="280"/>
      <c r="Y17" s="280" t="s">
        <v>58</v>
      </c>
      <c r="Z17" s="280"/>
      <c r="AA17" s="280"/>
      <c r="AB17" s="280"/>
      <c r="AC17" s="280" t="s">
        <v>59</v>
      </c>
      <c r="AD17" s="280"/>
      <c r="AE17" s="280" t="s">
        <v>350</v>
      </c>
      <c r="AF17" s="280"/>
      <c r="AG17" s="280"/>
      <c r="AH17" s="280" t="s">
        <v>566</v>
      </c>
      <c r="AI17" s="278" t="n">
        <f aca="false">COUNTIF($D17:$AG17,AI$4)</f>
        <v>1</v>
      </c>
      <c r="AJ17" s="278" t="n">
        <f aca="false">COUNTIF($D17:$AG17,AJ$4)</f>
        <v>2</v>
      </c>
      <c r="AK17" s="278" t="n">
        <f aca="false">COUNTIF($D17:$AG17,AK$4)</f>
        <v>3</v>
      </c>
      <c r="AL17" s="278" t="n">
        <f aca="false">COUNTIF($D17:$AG17,AL$4)</f>
        <v>1</v>
      </c>
      <c r="AM17" s="278" t="n">
        <f aca="false">COUNTIF($D17:$AG17,AM$4)</f>
        <v>1</v>
      </c>
      <c r="AN17" s="278" t="n">
        <f aca="false">COUNTIF($D17:$AG17,AN$4)</f>
        <v>1</v>
      </c>
      <c r="AO17" s="278" t="n">
        <f aca="false">COUNTIF($D17:$AG17,AO$4)</f>
        <v>0</v>
      </c>
      <c r="AP17" s="278" t="n">
        <f aca="false">COUNTIF($D17:$AG17,AP$4)</f>
        <v>0</v>
      </c>
      <c r="AQ17" s="278" t="n">
        <f aca="false">COUNTIF($D17:$AG17,AQ$4)</f>
        <v>0</v>
      </c>
      <c r="AR17" s="279"/>
      <c r="AS17" s="279"/>
      <c r="AT17" s="278" t="n">
        <f aca="false">SUMPRODUCT(--(WEEKDAY(D$3:AH$3,2)&lt;5),--ISNUMBER(MATCH(D17:AH17,{"DM","CS1","CS2","SB1","AE","CS/B"},0)))</f>
        <v>5</v>
      </c>
      <c r="AU17" s="278"/>
      <c r="AV17" s="278" t="n">
        <f aca="false">SUMPRODUCT(--(WEEKDAY(D$3:AH$3,2)=5),--ISNUMBER(MATCH(D17:AH17,{"DM","CS1","CS2","SB1","AE","CS/B","WEEKEND OUTFIELD RESERVE"},0)))</f>
        <v>1</v>
      </c>
      <c r="AW17" s="278" t="n">
        <f aca="false">SUMPRODUCT(--(WEEKDAY(D$3:AH$3,2)&gt;5),--ISNUMBER(MATCH(D17:AH17,{"DM","CS1","CS2","SB1","AE","CS/B","WEEKEND OUTFIELD RESERVE"},0)))</f>
        <v>3</v>
      </c>
      <c r="AX17" s="278"/>
      <c r="AY17" s="278" t="n">
        <f aca="false">(AT17-AU17)+AV17*1.5+(AW17-AX17)*2+AN17*0.5+AP17*0.5+AR17-AS17</f>
        <v>13</v>
      </c>
      <c r="AZ17" s="278" t="n">
        <f aca="false">AT17+AV17+AW17</f>
        <v>9</v>
      </c>
      <c r="BA17" s="278" t="n">
        <f aca="false">BD17+BF17+BH17+BJ17+BL17</f>
        <v>0</v>
      </c>
      <c r="BB17" s="279" t="n">
        <f aca="false">AY17+BC17</f>
        <v>13</v>
      </c>
      <c r="BC17" s="278" t="n">
        <f aca="false">BE17+BG17+BI17+BK17+BM17</f>
        <v>0</v>
      </c>
      <c r="BD17" s="278" t="n">
        <f aca="false">COUNTIF(A17:AI17,"*$BTP*")</f>
        <v>0</v>
      </c>
      <c r="BE17" s="278" t="n">
        <f aca="false">BD17*1.5</f>
        <v>0</v>
      </c>
      <c r="BF17" s="278" t="n">
        <f aca="false">COUNTIF(A17:AI17,"*$M*")</f>
        <v>0</v>
      </c>
      <c r="BG17" s="278" t="n">
        <f aca="false">BF17*1</f>
        <v>0</v>
      </c>
      <c r="BH17" s="278" t="n">
        <f aca="false">COUNTIF(A17:AI17,"*$PM*")</f>
        <v>0</v>
      </c>
      <c r="BI17" s="278" t="n">
        <f aca="false">BH17*0.5</f>
        <v>0</v>
      </c>
      <c r="BJ17" s="278" t="n">
        <f aca="false">COUNTIF(A17:AI17,"*$AM*")</f>
        <v>0</v>
      </c>
      <c r="BK17" s="278" t="n">
        <f aca="false">BJ17*0.5</f>
        <v>0</v>
      </c>
      <c r="BL17" s="278" t="n">
        <f aca="false">COUNTIF(A17:AI17,"*$FC*")</f>
        <v>0</v>
      </c>
      <c r="BM17" s="278" t="n">
        <f aca="false">BL17*1</f>
        <v>0</v>
      </c>
      <c r="BN17" s="278" t="n">
        <f aca="false">(BB17-10)</f>
        <v>3</v>
      </c>
      <c r="BO17" s="278" t="n">
        <f aca="false">COUNTIF($E17:$AB17,BO$4)</f>
        <v>0</v>
      </c>
      <c r="BP17" s="278" t="n">
        <f aca="false">COUNTIF($E17:$AB17,BP$4)</f>
        <v>1</v>
      </c>
      <c r="BQ17" s="278" t="n">
        <f aca="false">COUNTIF($E17:$AB17,BQ$4)</f>
        <v>0</v>
      </c>
      <c r="BR17" s="278"/>
    </row>
    <row r="18" customFormat="false" ht="51" hidden="false" customHeight="true" outlineLevel="0" collapsed="false">
      <c r="A18" s="282"/>
      <c r="B18" s="279" t="s">
        <v>598</v>
      </c>
      <c r="C18" s="279"/>
      <c r="D18" s="283"/>
      <c r="E18" s="283"/>
      <c r="F18" s="283"/>
      <c r="G18" s="283"/>
      <c r="H18" s="283" t="s">
        <v>56</v>
      </c>
      <c r="I18" s="283"/>
      <c r="J18" s="283"/>
      <c r="K18" s="283" t="s">
        <v>57</v>
      </c>
      <c r="L18" s="283"/>
      <c r="M18" s="283"/>
      <c r="N18" s="283" t="s">
        <v>573</v>
      </c>
      <c r="O18" s="283"/>
      <c r="P18" s="283" t="s">
        <v>57</v>
      </c>
      <c r="Q18" s="283"/>
      <c r="R18" s="283"/>
      <c r="S18" s="283"/>
      <c r="T18" s="283"/>
      <c r="U18" s="283"/>
      <c r="V18" s="283" t="s">
        <v>774</v>
      </c>
      <c r="W18" s="283"/>
      <c r="X18" s="283"/>
      <c r="Y18" s="283" t="s">
        <v>59</v>
      </c>
      <c r="Z18" s="283"/>
      <c r="AA18" s="283"/>
      <c r="AB18" s="283" t="s">
        <v>57</v>
      </c>
      <c r="AE18" s="283"/>
      <c r="AF18" s="287" t="s">
        <v>56</v>
      </c>
      <c r="AG18" s="283"/>
      <c r="AH18" s="283"/>
      <c r="AI18" s="282" t="n">
        <f aca="false">COUNTIF($D18:$AG18,AI$4)</f>
        <v>3</v>
      </c>
      <c r="AJ18" s="282" t="n">
        <f aca="false">COUNTIF($D18:$AG18,AJ$4)</f>
        <v>2</v>
      </c>
      <c r="AK18" s="282" t="n">
        <f aca="false">COUNTIF($D18:$AG18,AK$4)</f>
        <v>1</v>
      </c>
      <c r="AL18" s="282" t="n">
        <f aca="false">COUNTIF($D18:$AG18,AL$4)</f>
        <v>0</v>
      </c>
      <c r="AM18" s="282" t="n">
        <f aca="false">COUNTIF($D18:$AG18,AM$4)</f>
        <v>0</v>
      </c>
      <c r="AN18" s="282" t="n">
        <f aca="false">COUNTIF($D18:$AG18,AN$4)</f>
        <v>0</v>
      </c>
      <c r="AO18" s="282" t="n">
        <f aca="false">COUNTIF($D18:$AG18,AO$4)</f>
        <v>0</v>
      </c>
      <c r="AP18" s="282" t="n">
        <f aca="false">COUNTIF($D18:$AG18,AP$4)</f>
        <v>0</v>
      </c>
      <c r="AQ18" s="282" t="n">
        <f aca="false">COUNTIF($D18:$AG18,AQ$4)</f>
        <v>0</v>
      </c>
      <c r="AR18" s="279"/>
      <c r="AS18" s="279"/>
      <c r="AT18" s="282" t="n">
        <f aca="false">SUMPRODUCT(--(WEEKDAY(D$3:AH$3,2)&lt;5),--ISNUMBER(MATCH(D18:AH18,{"DM","CS1","CS2","SB1","AE","CS/B"},0)))</f>
        <v>3</v>
      </c>
      <c r="AU18" s="282"/>
      <c r="AV18" s="282" t="n">
        <f aca="false">SUMPRODUCT(--(WEEKDAY(D$3:AH$3,2)=5),--ISNUMBER(MATCH(D18:AH18,{"DM","CS1","CS2","SB1","AE","CS/B","WEEKEND OUTFIELD RESERVE"},0)))</f>
        <v>3</v>
      </c>
      <c r="AW18" s="282" t="n">
        <f aca="false">SUMPRODUCT(--(WEEKDAY(D$3:AH$3,2)&gt;5),--ISNUMBER(MATCH(D18:AH18,{"DM","CS1","CS2","SB1","AE","CS/B","WEEKEND OUTFIELD RESERVE"},0)))</f>
        <v>0</v>
      </c>
      <c r="AX18" s="282"/>
      <c r="AY18" s="282" t="n">
        <f aca="false">(AT18-AU18)+AV18*1.5+(AW18-AX18)*2+AN18*0.5+AP18*0.5+AR18-AS18</f>
        <v>7.5</v>
      </c>
      <c r="AZ18" s="282" t="n">
        <f aca="false">AT18+AV18+AW18</f>
        <v>6</v>
      </c>
      <c r="BA18" s="282" t="n">
        <f aca="false">BD18+BF18+BH18+BJ18+BL18</f>
        <v>1</v>
      </c>
      <c r="BB18" s="279" t="n">
        <f aca="false">AY18+BC18</f>
        <v>8.5</v>
      </c>
      <c r="BC18" s="282" t="n">
        <f aca="false">BE18+BG18+BI18+BK18+BM18</f>
        <v>1</v>
      </c>
      <c r="BD18" s="282" t="n">
        <f aca="false">COUNTIF(A18:AI18,"*$BTP*")</f>
        <v>0</v>
      </c>
      <c r="BE18" s="282" t="n">
        <f aca="false">BD18*1.5</f>
        <v>0</v>
      </c>
      <c r="BF18" s="282" t="n">
        <f aca="false">COUNTIF(A18:AI18,"*$M*")</f>
        <v>1</v>
      </c>
      <c r="BG18" s="282" t="n">
        <f aca="false">BF18*1</f>
        <v>1</v>
      </c>
      <c r="BH18" s="282" t="n">
        <f aca="false">COUNTIF(A18:AI18,"*$PM*")</f>
        <v>0</v>
      </c>
      <c r="BI18" s="282" t="n">
        <f aca="false">BH18*0.5</f>
        <v>0</v>
      </c>
      <c r="BJ18" s="282" t="n">
        <f aca="false">COUNTIF(A18:AI18,"*$AM*")</f>
        <v>0</v>
      </c>
      <c r="BK18" s="282" t="n">
        <f aca="false">BJ18*0.5</f>
        <v>0</v>
      </c>
      <c r="BL18" s="282" t="n">
        <f aca="false">COUNTIF(A18:AI18,"*$FC*")</f>
        <v>0</v>
      </c>
      <c r="BM18" s="282" t="n">
        <f aca="false">BL18*1</f>
        <v>0</v>
      </c>
      <c r="BN18" s="282" t="n">
        <f aca="false">(BB18-10)</f>
        <v>-1.5</v>
      </c>
      <c r="BO18" s="282" t="n">
        <f aca="false">COUNTIF($E18:$AB18,BO$4)</f>
        <v>0</v>
      </c>
      <c r="BP18" s="282" t="n">
        <f aca="false">COUNTIF($E18:$AB18,BP$4)</f>
        <v>0</v>
      </c>
      <c r="BQ18" s="282" t="n">
        <f aca="false">COUNTIF($E18:$AB18,BQ$4)</f>
        <v>0</v>
      </c>
      <c r="BR18" s="282"/>
    </row>
    <row r="19" customFormat="false" ht="19.5" hidden="false" customHeight="true" outlineLevel="0" collapsed="false">
      <c r="A19" s="278"/>
      <c r="B19" s="279" t="s">
        <v>442</v>
      </c>
      <c r="C19" s="288"/>
      <c r="D19" s="280"/>
      <c r="E19" s="280"/>
      <c r="F19" s="280"/>
      <c r="G19" s="280"/>
      <c r="H19" s="280" t="s">
        <v>775</v>
      </c>
      <c r="I19" s="280"/>
      <c r="J19" s="280" t="s">
        <v>57</v>
      </c>
      <c r="K19" s="280"/>
      <c r="L19" s="280"/>
      <c r="M19" s="280" t="s">
        <v>566</v>
      </c>
      <c r="N19" s="280"/>
      <c r="O19" s="280" t="s">
        <v>454</v>
      </c>
      <c r="P19" s="280"/>
      <c r="Q19" s="280" t="s">
        <v>776</v>
      </c>
      <c r="S19" s="280"/>
      <c r="T19" s="280"/>
      <c r="U19" s="280"/>
      <c r="V19" s="280" t="s">
        <v>57</v>
      </c>
      <c r="W19" s="280"/>
      <c r="X19" s="280" t="s">
        <v>777</v>
      </c>
      <c r="Y19" s="280" t="s">
        <v>778</v>
      </c>
      <c r="Z19" s="281"/>
      <c r="AA19" s="280"/>
      <c r="AB19" s="280"/>
      <c r="AC19" s="280"/>
      <c r="AD19" s="280"/>
      <c r="AE19" s="280" t="s">
        <v>446</v>
      </c>
      <c r="AF19" s="280" t="s">
        <v>446</v>
      </c>
      <c r="AG19" s="280"/>
      <c r="AH19" s="280"/>
      <c r="AI19" s="278" t="n">
        <f aca="false">COUNTIF($D19:$AG19,AI$4)</f>
        <v>2</v>
      </c>
      <c r="AJ19" s="278" t="n">
        <f aca="false">COUNTIF($D19:$AG19,AJ$4)</f>
        <v>0</v>
      </c>
      <c r="AK19" s="278" t="n">
        <f aca="false">COUNTIF($D19:$AG19,AK$4)</f>
        <v>0</v>
      </c>
      <c r="AL19" s="278" t="n">
        <f aca="false">COUNTIF($D19:$AG19,AL$4)</f>
        <v>1</v>
      </c>
      <c r="AM19" s="278" t="n">
        <f aca="false">COUNTIF($D19:$AG19,AM$4)</f>
        <v>0</v>
      </c>
      <c r="AN19" s="278" t="n">
        <f aca="false">COUNTIF($D19:$AG19,AN$4)</f>
        <v>0</v>
      </c>
      <c r="AO19" s="278" t="n">
        <f aca="false">COUNTIF($D19:$AG19,AO$4)</f>
        <v>0</v>
      </c>
      <c r="AP19" s="278" t="n">
        <f aca="false">COUNTIF($D19:$AG19,AP$4)</f>
        <v>0</v>
      </c>
      <c r="AQ19" s="278" t="n">
        <f aca="false">COUNTIF($D19:$AG19,AQ$4)</f>
        <v>0</v>
      </c>
      <c r="AR19" s="279"/>
      <c r="AS19" s="279"/>
      <c r="AT19" s="278" t="n">
        <f aca="false">SUMPRODUCT(--(WEEKDAY(D$3:AH$3,2)&lt;5),--ISNUMBER(MATCH(D19:AH19,{"DM","CS1","CS2","SB1","AE","CS/B"},0)))</f>
        <v>2</v>
      </c>
      <c r="AU19" s="278"/>
      <c r="AV19" s="278" t="n">
        <f aca="false">SUMPRODUCT(--(WEEKDAY(D$3:AH$3,2)=5),--ISNUMBER(MATCH(D19:AH19,{"DM","CS1","CS2","SB1","AE","CS/B","WEEKEND OUTFIELD RESERVE"},0)))</f>
        <v>0</v>
      </c>
      <c r="AW19" s="278" t="n">
        <f aca="false">SUMPRODUCT(--(WEEKDAY(D$3:AH$3,2)&gt;5),--ISNUMBER(MATCH(D19:AH19,{"DM","CS1","CS2","SB1","AE","CS/B","WEEKEND OUTFIELD RESERVE"},0)))</f>
        <v>1</v>
      </c>
      <c r="AX19" s="278"/>
      <c r="AY19" s="278" t="n">
        <f aca="false">(AT19-AU19)+AV19*1.5+(AW19-AX19)*2+AN19*0.5+AP19*0.5+AR19-AS19</f>
        <v>4</v>
      </c>
      <c r="AZ19" s="278" t="n">
        <f aca="false">AT19+AV19+AW19</f>
        <v>3</v>
      </c>
      <c r="BA19" s="278" t="n">
        <f aca="false">BD19+BF19+BH19+BJ19+BL19</f>
        <v>5</v>
      </c>
      <c r="BB19" s="279" t="n">
        <f aca="false">AY19+BC19</f>
        <v>8</v>
      </c>
      <c r="BC19" s="278" t="n">
        <f aca="false">BE19+BG19+BI19+BK19+BM19</f>
        <v>4</v>
      </c>
      <c r="BD19" s="278" t="n">
        <f aca="false">COUNTIF(A19:AI19,"*$BTP*")</f>
        <v>1</v>
      </c>
      <c r="BE19" s="278" t="n">
        <f aca="false">BD19*1.5</f>
        <v>1.5</v>
      </c>
      <c r="BF19" s="278" t="n">
        <f aca="false">COUNTIF(A19:AI19,"*$M*")</f>
        <v>1</v>
      </c>
      <c r="BG19" s="278" t="n">
        <f aca="false">BF19*1</f>
        <v>1</v>
      </c>
      <c r="BH19" s="278" t="n">
        <f aca="false">COUNTIF(A19:AI19,"*$PM*")</f>
        <v>1</v>
      </c>
      <c r="BI19" s="278" t="n">
        <f aca="false">BH19*0.5</f>
        <v>0.5</v>
      </c>
      <c r="BJ19" s="278" t="n">
        <f aca="false">COUNTIF(A19:AI19,"*$AM*")</f>
        <v>2</v>
      </c>
      <c r="BK19" s="278" t="n">
        <f aca="false">BJ19*0.5</f>
        <v>1</v>
      </c>
      <c r="BL19" s="278" t="n">
        <f aca="false">COUNTIF(A19:AI19,"*$FC*")</f>
        <v>0</v>
      </c>
      <c r="BM19" s="278" t="n">
        <f aca="false">BL19*1</f>
        <v>0</v>
      </c>
      <c r="BN19" s="278" t="n">
        <f aca="false">(BB19-10)</f>
        <v>-2</v>
      </c>
      <c r="BO19" s="278" t="n">
        <f aca="false">COUNTIF($E19:$AB19,BO$4)</f>
        <v>0</v>
      </c>
      <c r="BP19" s="278" t="n">
        <f aca="false">COUNTIF($E19:$AB19,BP$4)</f>
        <v>0</v>
      </c>
      <c r="BQ19" s="278" t="n">
        <f aca="false">COUNTIF($E19:$AB19,BQ$4)</f>
        <v>0</v>
      </c>
      <c r="BR19" s="278"/>
    </row>
    <row r="20" customFormat="false" ht="90" hidden="false" customHeight="true" outlineLevel="0" collapsed="false">
      <c r="A20" s="282"/>
      <c r="B20" s="279" t="s">
        <v>594</v>
      </c>
      <c r="C20" s="279"/>
      <c r="D20" s="283"/>
      <c r="E20" s="283"/>
      <c r="F20" s="283"/>
      <c r="G20" s="283" t="s">
        <v>57</v>
      </c>
      <c r="H20" s="283"/>
      <c r="I20" s="283" t="s">
        <v>573</v>
      </c>
      <c r="K20" s="283" t="s">
        <v>779</v>
      </c>
      <c r="L20" s="283" t="s">
        <v>56</v>
      </c>
      <c r="M20" s="283"/>
      <c r="P20" s="283"/>
      <c r="Q20" s="283"/>
      <c r="R20" s="283" t="s">
        <v>57</v>
      </c>
      <c r="S20" s="283"/>
      <c r="T20" s="283" t="s">
        <v>566</v>
      </c>
      <c r="U20" s="283"/>
      <c r="V20" s="287" t="s">
        <v>71</v>
      </c>
      <c r="W20" s="283" t="s">
        <v>71</v>
      </c>
      <c r="X20" s="287" t="s">
        <v>71</v>
      </c>
      <c r="Y20" s="283" t="s">
        <v>573</v>
      </c>
      <c r="Z20" s="283"/>
      <c r="AA20" s="283"/>
      <c r="AB20" s="287" t="s">
        <v>769</v>
      </c>
      <c r="AC20" s="283" t="s">
        <v>573</v>
      </c>
      <c r="AE20" s="283"/>
      <c r="AF20" s="283"/>
      <c r="AG20" s="283" t="s">
        <v>59</v>
      </c>
      <c r="AH20" s="283"/>
      <c r="AI20" s="282" t="n">
        <f aca="false">COUNTIF($D20:$AG20,AI$4)</f>
        <v>2</v>
      </c>
      <c r="AJ20" s="282" t="n">
        <f aca="false">COUNTIF($D20:$AG20,AJ$4)</f>
        <v>1</v>
      </c>
      <c r="AK20" s="282" t="n">
        <f aca="false">COUNTIF($D20:$AG20,AK$4)</f>
        <v>1</v>
      </c>
      <c r="AL20" s="282" t="n">
        <f aca="false">COUNTIF($D20:$AG20,AL$4)</f>
        <v>1</v>
      </c>
      <c r="AM20" s="282" t="n">
        <f aca="false">COUNTIF($D20:$AG20,AM$4)</f>
        <v>0</v>
      </c>
      <c r="AN20" s="282" t="n">
        <f aca="false">COUNTIF($D20:$AG20,AN$4)</f>
        <v>0</v>
      </c>
      <c r="AO20" s="282" t="n">
        <f aca="false">COUNTIF($D20:$AG20,AO$4)</f>
        <v>0</v>
      </c>
      <c r="AP20" s="282" t="n">
        <f aca="false">COUNTIF($D20:$AG20,AP$4)</f>
        <v>0</v>
      </c>
      <c r="AQ20" s="282" t="n">
        <f aca="false">COUNTIF($D20:$AG20,AQ$4)</f>
        <v>0</v>
      </c>
      <c r="AR20" s="279"/>
      <c r="AS20" s="279" t="n">
        <v>0.5</v>
      </c>
      <c r="AT20" s="282" t="n">
        <f aca="false">SUMPRODUCT(--(WEEKDAY(D$3:AH$3,2)&lt;5),--ISNUMBER(MATCH(D20:AH20,{"DM","CS1","CS2","SB1","AE","CS/B"},0)))</f>
        <v>1</v>
      </c>
      <c r="AU20" s="282"/>
      <c r="AV20" s="282" t="n">
        <f aca="false">SUMPRODUCT(--(WEEKDAY(D$3:AH$3,2)=5),--ISNUMBER(MATCH(D20:AH20,{"DM","CS1","CS2","SB1","AE","CS/B","WEEKEND OUTFIELD RESERVE"},0)))</f>
        <v>1</v>
      </c>
      <c r="AW20" s="282" t="n">
        <f aca="false">SUMPRODUCT(--(WEEKDAY(D$3:AH$3,2)&gt;5),--ISNUMBER(MATCH(D20:AH20,{"DM","CS1","CS2","SB1","AE","CS/B","WEEKEND OUTFIELD RESERVE"},0)))</f>
        <v>3</v>
      </c>
      <c r="AX20" s="282"/>
      <c r="AY20" s="282" t="n">
        <f aca="false">(AT20-AU20)+AV20*1.5+(AW20-AX20)*2+AN20*0.5+AP20*0.5+AR20-AS20</f>
        <v>8</v>
      </c>
      <c r="AZ20" s="282" t="n">
        <f aca="false">AT20+AV20+AW20</f>
        <v>5</v>
      </c>
      <c r="BA20" s="282" t="n">
        <f aca="false">BD20+BF20+BH20+BJ20+BL20</f>
        <v>1</v>
      </c>
      <c r="BB20" s="279" t="n">
        <f aca="false">AY20+BC20</f>
        <v>9.5</v>
      </c>
      <c r="BC20" s="282" t="n">
        <f aca="false">BE20+BG20+BI20+BK20+BM20</f>
        <v>1.5</v>
      </c>
      <c r="BD20" s="282" t="n">
        <f aca="false">COUNTIF(A20:AI20,"*$BTP*")</f>
        <v>1</v>
      </c>
      <c r="BE20" s="282" t="n">
        <f aca="false">BD20*1.5</f>
        <v>1.5</v>
      </c>
      <c r="BF20" s="282" t="n">
        <f aca="false">COUNTIF(A20:AI20,"*$M*")</f>
        <v>0</v>
      </c>
      <c r="BG20" s="282" t="n">
        <f aca="false">BF20*1</f>
        <v>0</v>
      </c>
      <c r="BH20" s="282" t="n">
        <f aca="false">COUNTIF(A20:AI20,"*$PM*")</f>
        <v>0</v>
      </c>
      <c r="BI20" s="282" t="n">
        <f aca="false">BH20*0.5</f>
        <v>0</v>
      </c>
      <c r="BJ20" s="282" t="n">
        <f aca="false">COUNTIF(A20:AI20,"*$AM*")</f>
        <v>0</v>
      </c>
      <c r="BK20" s="282" t="n">
        <f aca="false">BJ20*0.5</f>
        <v>0</v>
      </c>
      <c r="BL20" s="282" t="n">
        <f aca="false">COUNTIF(A20:AI20,"*$FC*")</f>
        <v>0</v>
      </c>
      <c r="BM20" s="282" t="n">
        <f aca="false">BL20*1</f>
        <v>0</v>
      </c>
      <c r="BN20" s="282" t="n">
        <f aca="false">(BB20-10)</f>
        <v>-0.5</v>
      </c>
      <c r="BO20" s="282" t="n">
        <f aca="false">COUNTIF($E20:$AB20,BO$4)</f>
        <v>0</v>
      </c>
      <c r="BP20" s="282" t="n">
        <f aca="false">COUNTIF($E20:$AB20,BP$4)</f>
        <v>0</v>
      </c>
      <c r="BQ20" s="282" t="n">
        <f aca="false">COUNTIF($E20:$AB20,BQ$4)</f>
        <v>0</v>
      </c>
      <c r="BR20" s="282"/>
    </row>
    <row r="21" customFormat="false" ht="53.25" hidden="true" customHeight="true" outlineLevel="0" collapsed="false">
      <c r="A21" s="278"/>
      <c r="B21" s="279" t="s">
        <v>596</v>
      </c>
      <c r="C21" s="279"/>
      <c r="D21" s="280"/>
      <c r="E21" s="280"/>
      <c r="F21" s="280"/>
      <c r="G21" s="280"/>
      <c r="H21" s="280"/>
      <c r="I21" s="280"/>
      <c r="J21" s="280"/>
      <c r="K21" s="280"/>
      <c r="L21" s="280"/>
      <c r="M21" s="280"/>
      <c r="N21" s="280"/>
      <c r="P21" s="280"/>
      <c r="Q21" s="280"/>
      <c r="R21" s="280" t="s">
        <v>724</v>
      </c>
      <c r="S21" s="280"/>
      <c r="T21" s="280"/>
      <c r="U21" s="280"/>
      <c r="V21" s="280"/>
      <c r="W21" s="280"/>
      <c r="X21" s="280"/>
      <c r="Y21" s="280"/>
      <c r="Z21" s="280"/>
      <c r="AA21" s="280"/>
      <c r="AB21" s="280"/>
      <c r="AC21" s="280"/>
      <c r="AD21" s="280"/>
      <c r="AE21" s="280"/>
      <c r="AF21" s="280"/>
      <c r="AG21" s="280"/>
      <c r="AH21" s="280"/>
      <c r="AI21" s="278" t="n">
        <f aca="false">COUNTIF($D21:$AG21,AI$4)</f>
        <v>0</v>
      </c>
      <c r="AJ21" s="278" t="n">
        <f aca="false">COUNTIF($D21:$AG21,AJ$4)</f>
        <v>0</v>
      </c>
      <c r="AK21" s="278" t="n">
        <f aca="false">COUNTIF($D21:$AG21,AK$4)</f>
        <v>0</v>
      </c>
      <c r="AL21" s="278" t="n">
        <f aca="false">COUNTIF($D21:$AG21,AL$4)</f>
        <v>0</v>
      </c>
      <c r="AM21" s="278" t="n">
        <f aca="false">COUNTIF($D21:$AG21,AM$4)</f>
        <v>0</v>
      </c>
      <c r="AN21" s="278" t="n">
        <f aca="false">COUNTIF($D21:$AG21,AN$4)</f>
        <v>0</v>
      </c>
      <c r="AO21" s="278" t="n">
        <f aca="false">COUNTIF($D21:$AG21,AO$4)</f>
        <v>0</v>
      </c>
      <c r="AP21" s="278" t="n">
        <f aca="false">COUNTIF($D21:$AG21,AP$4)</f>
        <v>0</v>
      </c>
      <c r="AQ21" s="278" t="n">
        <f aca="false">COUNTIF($D21:$AG21,AQ$4)</f>
        <v>0</v>
      </c>
      <c r="AR21" s="279" t="n">
        <v>-6</v>
      </c>
      <c r="AS21" s="279" t="n">
        <v>5.5</v>
      </c>
      <c r="AT21" s="278" t="n">
        <f aca="false">SUMPRODUCT(--(WEEKDAY(D$3:AH$3,2)&lt;5),--ISNUMBER(MATCH(D21:AH21,{"DM","CS1","CS2","SB1","AE","CS/B"},0)))</f>
        <v>0</v>
      </c>
      <c r="AU21" s="278"/>
      <c r="AV21" s="278" t="n">
        <f aca="false">SUMPRODUCT(--(WEEKDAY(D$3:AH$3,2)=5),--ISNUMBER(MATCH(D21:AH21,{"DM","CS1","CS2","SB1","AE","CS/B","WEEKEND OUTFIELD RESERVE"},0)))</f>
        <v>0</v>
      </c>
      <c r="AW21" s="278" t="n">
        <f aca="false">SUMPRODUCT(--(WEEKDAY(D$3:AH$3,2)&gt;5),--ISNUMBER(MATCH(D21:AH21,{"DM","CS1","CS2","SB1","AE","CS/B","WEEKEND OUTFIELD RESERVE"},0)))</f>
        <v>0</v>
      </c>
      <c r="AX21" s="278"/>
      <c r="AY21" s="278" t="n">
        <f aca="false">(AT21-AU21)+AV21*1.5+(AW21-AX21)*2+AN21*0.5+AP21*0.5+AR21-AS21</f>
        <v>-11.5</v>
      </c>
      <c r="AZ21" s="278" t="n">
        <f aca="false">AT21+AV21+AW21</f>
        <v>0</v>
      </c>
      <c r="BA21" s="278" t="n">
        <f aca="false">BD21+BF21+BH21+BJ21+BL21</f>
        <v>0</v>
      </c>
      <c r="BB21" s="279" t="n">
        <f aca="false">AY21+BC21</f>
        <v>-11.5</v>
      </c>
      <c r="BC21" s="278" t="n">
        <f aca="false">BE21+BG21+BI21+BK21+BM21</f>
        <v>0</v>
      </c>
      <c r="BD21" s="278" t="n">
        <f aca="false">COUNTIF(A21:AI21,"*$BTP*")</f>
        <v>0</v>
      </c>
      <c r="BE21" s="278" t="n">
        <f aca="false">BD21*1.5</f>
        <v>0</v>
      </c>
      <c r="BF21" s="278" t="n">
        <f aca="false">COUNTIF(A21:AI21,"*$M*")</f>
        <v>0</v>
      </c>
      <c r="BG21" s="278" t="n">
        <f aca="false">BF21*1</f>
        <v>0</v>
      </c>
      <c r="BH21" s="278" t="n">
        <f aca="false">COUNTIF(A21:AI21,"*$PM*")</f>
        <v>0</v>
      </c>
      <c r="BI21" s="278" t="n">
        <f aca="false">BH21*0.5</f>
        <v>0</v>
      </c>
      <c r="BJ21" s="278" t="n">
        <f aca="false">COUNTIF(A21:AI21,"*$AM*")</f>
        <v>0</v>
      </c>
      <c r="BK21" s="278" t="n">
        <f aca="false">BJ21*0.5</f>
        <v>0</v>
      </c>
      <c r="BL21" s="278" t="n">
        <f aca="false">COUNTIF(A21:AI21,"*$FC*")</f>
        <v>0</v>
      </c>
      <c r="BM21" s="278" t="n">
        <f aca="false">BL21*1</f>
        <v>0</v>
      </c>
      <c r="BN21" s="278" t="n">
        <f aca="false">(BB21-10)</f>
        <v>-21.5</v>
      </c>
      <c r="BO21" s="278" t="n">
        <f aca="false">COUNTIF($E21:$AB21,BO$4)</f>
        <v>0</v>
      </c>
      <c r="BP21" s="278" t="n">
        <f aca="false">COUNTIF($E21:$AB21,BP$4)</f>
        <v>0</v>
      </c>
      <c r="BQ21" s="278" t="n">
        <f aca="false">COUNTIF($E21:$AB21,BQ$4)</f>
        <v>0</v>
      </c>
      <c r="BR21" s="278"/>
    </row>
    <row r="22" customFormat="false" ht="68.25" hidden="false" customHeight="true" outlineLevel="0" collapsed="false">
      <c r="A22" s="282"/>
      <c r="B22" s="279" t="s">
        <v>725</v>
      </c>
      <c r="C22" s="279"/>
      <c r="D22" s="283"/>
      <c r="E22" s="283" t="s">
        <v>56</v>
      </c>
      <c r="F22" s="283"/>
      <c r="G22" s="283" t="s">
        <v>573</v>
      </c>
      <c r="H22" s="283"/>
      <c r="I22" s="283" t="s">
        <v>57</v>
      </c>
      <c r="J22" s="287" t="s">
        <v>573</v>
      </c>
      <c r="K22" s="283"/>
      <c r="L22" s="283"/>
      <c r="M22" s="283"/>
      <c r="N22" s="283" t="s">
        <v>93</v>
      </c>
      <c r="O22" s="287" t="s">
        <v>57</v>
      </c>
      <c r="P22" s="283"/>
      <c r="Q22" s="283" t="s">
        <v>57</v>
      </c>
      <c r="R22" s="283" t="s">
        <v>55</v>
      </c>
      <c r="S22" s="283"/>
      <c r="T22" s="283"/>
      <c r="V22" s="283"/>
      <c r="W22" s="283" t="s">
        <v>780</v>
      </c>
      <c r="X22" s="283"/>
      <c r="Y22" s="283" t="s">
        <v>57</v>
      </c>
      <c r="Z22" s="283"/>
      <c r="AA22" s="283" t="s">
        <v>350</v>
      </c>
      <c r="AB22" s="283" t="s">
        <v>769</v>
      </c>
      <c r="AD22" s="283"/>
      <c r="AE22" s="283" t="s">
        <v>57</v>
      </c>
      <c r="AF22" s="283"/>
      <c r="AG22" s="150"/>
      <c r="AH22" s="283" t="s">
        <v>56</v>
      </c>
      <c r="AI22" s="282" t="n">
        <f aca="false">COUNTIF($D22:$AG22,AI$4)</f>
        <v>5</v>
      </c>
      <c r="AJ22" s="282" t="n">
        <f aca="false">COUNTIF($D22:$AG22,AJ$4)</f>
        <v>1</v>
      </c>
      <c r="AK22" s="282" t="n">
        <f aca="false">COUNTIF($D22:$AG22,AK$4)</f>
        <v>0</v>
      </c>
      <c r="AL22" s="282" t="n">
        <f aca="false">COUNTIF($D22:$AG22,AL$4)</f>
        <v>0</v>
      </c>
      <c r="AM22" s="282" t="n">
        <f aca="false">COUNTIF($D22:$AG22,AM$4)</f>
        <v>0</v>
      </c>
      <c r="AN22" s="282" t="n">
        <f aca="false">COUNTIF($D22:$AG22,AN$4)</f>
        <v>1</v>
      </c>
      <c r="AO22" s="282" t="n">
        <f aca="false">COUNTIF($D22:$AG22,AO$4)</f>
        <v>0</v>
      </c>
      <c r="AP22" s="282" t="n">
        <f aca="false">COUNTIF($D22:$AG22,AP$4)</f>
        <v>0</v>
      </c>
      <c r="AQ22" s="282" t="n">
        <f aca="false">COUNTIF($D22:$AG22,AQ$4)</f>
        <v>0</v>
      </c>
      <c r="AR22" s="279"/>
      <c r="AS22" s="279" t="n">
        <v>0.5</v>
      </c>
      <c r="AT22" s="282" t="n">
        <f aca="false">SUMPRODUCT(--(WEEKDAY(D$3:AH$3,2)&lt;5),--ISNUMBER(MATCH(D22:AH22,{"DM","CS1","CS2","SB1","AE","CS/B"},0)))</f>
        <v>4</v>
      </c>
      <c r="AU22" s="282"/>
      <c r="AV22" s="282" t="n">
        <f aca="false">SUMPRODUCT(--(WEEKDAY(D$3:AH$3,2)=5),--ISNUMBER(MATCH(D22:AH22,{"DM","CS1","CS2","SB1","AE","CS/B","WEEKEND OUTFIELD RESERVE"},0)))</f>
        <v>1</v>
      </c>
      <c r="AW22" s="282" t="n">
        <f aca="false">SUMPRODUCT(--(WEEKDAY(D$3:AH$3,2)&gt;5),--ISNUMBER(MATCH(D22:AH22,{"DM","CS1","CS2","SB1","AE","CS/B","WEEKEND OUTFIELD RESERVE"},0)))</f>
        <v>2</v>
      </c>
      <c r="AX22" s="282"/>
      <c r="AY22" s="282" t="n">
        <f aca="false">(AT22-AU22)+AV22*1.5+(AW22-AX22)*2+AN22*0.5+AP22*0.5+AR22-AS22</f>
        <v>9.5</v>
      </c>
      <c r="AZ22" s="282" t="n">
        <f aca="false">AT22+AV22+AW22</f>
        <v>7</v>
      </c>
      <c r="BA22" s="282" t="n">
        <f aca="false">BD22+BF22+BH22+BJ22+BL22</f>
        <v>1</v>
      </c>
      <c r="BB22" s="279" t="n">
        <f aca="false">AY22+BC22</f>
        <v>10.5</v>
      </c>
      <c r="BC22" s="282" t="n">
        <f aca="false">BE22+BG22+BI22+BK22+BM22</f>
        <v>1</v>
      </c>
      <c r="BD22" s="282" t="n">
        <f aca="false">COUNTIF(A22:AI22,"*$BTP*")</f>
        <v>0</v>
      </c>
      <c r="BE22" s="282" t="n">
        <f aca="false">BD22*1.5</f>
        <v>0</v>
      </c>
      <c r="BF22" s="282" t="n">
        <f aca="false">COUNTIF(A22:AI22,"*$M*")</f>
        <v>1</v>
      </c>
      <c r="BG22" s="282" t="n">
        <f aca="false">BF22*1</f>
        <v>1</v>
      </c>
      <c r="BH22" s="282" t="n">
        <f aca="false">COUNTIF(A22:AI22,"*$PM*")</f>
        <v>0</v>
      </c>
      <c r="BI22" s="282" t="n">
        <f aca="false">BH22*0.5</f>
        <v>0</v>
      </c>
      <c r="BJ22" s="282" t="n">
        <f aca="false">COUNTIF(A22:AI22,"*$AM*")</f>
        <v>0</v>
      </c>
      <c r="BK22" s="282" t="n">
        <f aca="false">BJ22*0.5</f>
        <v>0</v>
      </c>
      <c r="BL22" s="282" t="n">
        <f aca="false">COUNTIF(A22:AI22,"*$FC*")</f>
        <v>0</v>
      </c>
      <c r="BM22" s="282" t="n">
        <f aca="false">BL22*1</f>
        <v>0</v>
      </c>
      <c r="BN22" s="282" t="n">
        <f aca="false">(BB22-10)</f>
        <v>0.5</v>
      </c>
      <c r="BO22" s="282" t="n">
        <f aca="false">COUNTIF($E22:$AB22,BO$4)</f>
        <v>0</v>
      </c>
      <c r="BP22" s="282" t="n">
        <f aca="false">COUNTIF($E22:$AB22,BP$4)</f>
        <v>1</v>
      </c>
      <c r="BQ22" s="282" t="n">
        <f aca="false">COUNTIF($E22:$AB22,BQ$4)</f>
        <v>1</v>
      </c>
      <c r="BR22" s="282"/>
    </row>
    <row r="23" customFormat="false" ht="75.75" hidden="true" customHeight="true" outlineLevel="0" collapsed="false">
      <c r="A23" s="278"/>
      <c r="B23" s="279" t="s">
        <v>604</v>
      </c>
      <c r="C23" s="279"/>
      <c r="D23" s="280"/>
      <c r="E23" s="278"/>
      <c r="F23" s="280"/>
      <c r="G23" s="280"/>
      <c r="H23" s="280"/>
      <c r="I23" s="280"/>
      <c r="J23" s="280"/>
      <c r="K23" s="280"/>
      <c r="L23" s="280"/>
      <c r="M23" s="280"/>
      <c r="N23" s="280"/>
      <c r="O23" s="280"/>
      <c r="P23" s="280"/>
      <c r="Q23" s="280"/>
      <c r="R23" s="280"/>
      <c r="S23" s="280"/>
      <c r="T23" s="280"/>
      <c r="U23" s="280"/>
      <c r="V23" s="280"/>
      <c r="W23" s="280"/>
      <c r="X23" s="280"/>
      <c r="Y23" s="280"/>
      <c r="Z23" s="280"/>
      <c r="AA23" s="280"/>
      <c r="AB23" s="280"/>
      <c r="AC23" s="280"/>
      <c r="AD23" s="280"/>
      <c r="AE23" s="280"/>
      <c r="AF23" s="280"/>
      <c r="AG23" s="280"/>
      <c r="AH23" s="280"/>
      <c r="AI23" s="278" t="n">
        <f aca="false">COUNTIF($D23:$AG23,AI$4)</f>
        <v>0</v>
      </c>
      <c r="AJ23" s="278" t="n">
        <f aca="false">COUNTIF($D23:$AG23,AJ$4)</f>
        <v>0</v>
      </c>
      <c r="AK23" s="278" t="n">
        <f aca="false">COUNTIF($D23:$AG23,AK$4)</f>
        <v>0</v>
      </c>
      <c r="AL23" s="278" t="n">
        <f aca="false">COUNTIF($D23:$AG23,AL$4)</f>
        <v>0</v>
      </c>
      <c r="AM23" s="278" t="n">
        <f aca="false">COUNTIF($D23:$AG23,AM$4)</f>
        <v>0</v>
      </c>
      <c r="AN23" s="278" t="n">
        <f aca="false">COUNTIF($D23:$AG23,AN$4)</f>
        <v>0</v>
      </c>
      <c r="AO23" s="278" t="n">
        <f aca="false">COUNTIF($D23:$AG23,AO$4)</f>
        <v>0</v>
      </c>
      <c r="AP23" s="278" t="n">
        <f aca="false">COUNTIF($D23:$AG23,AP$4)</f>
        <v>0</v>
      </c>
      <c r="AQ23" s="278" t="n">
        <f aca="false">COUNTIF($D23:$AG23,AQ$4)</f>
        <v>0</v>
      </c>
      <c r="AR23" s="279"/>
      <c r="AS23" s="279" t="n">
        <v>5.5</v>
      </c>
      <c r="AT23" s="278" t="n">
        <f aca="false">SUMPRODUCT(--(WEEKDAY(D$3:AH$3,2)&lt;5),--ISNUMBER(MATCH(D23:AH23,{"DM","CS1","CS2","SB1","AE","CS/B"},0)))</f>
        <v>0</v>
      </c>
      <c r="AU23" s="278"/>
      <c r="AV23" s="278" t="n">
        <f aca="false">SUMPRODUCT(--(WEEKDAY(D$3:AH$3,2)=5),--ISNUMBER(MATCH(D23:AH23,{"DM","CS1","CS2","SB1","AE","CS/B","WEEKEND OUTFIELD RESERVE"},0)))</f>
        <v>0</v>
      </c>
      <c r="AW23" s="278" t="n">
        <f aca="false">SUMPRODUCT(--(WEEKDAY(D$3:AH$3,2)&gt;5),--ISNUMBER(MATCH(D23:AH23,{"DM","CS1","CS2","SB1","AE","CS/B","WEEKEND OUTFIELD RESERVE"},0)))</f>
        <v>0</v>
      </c>
      <c r="AX23" s="278"/>
      <c r="AY23" s="278" t="n">
        <f aca="false">(AT23-AU23)+AV23*1.5+(AW23-AX23)*2+AN23*0.5+AP23*0.5+AR23-AS23</f>
        <v>-5.5</v>
      </c>
      <c r="AZ23" s="278" t="n">
        <f aca="false">AT23+AV23+AW23</f>
        <v>0</v>
      </c>
      <c r="BA23" s="278" t="n">
        <f aca="false">BD23+BF23+BH23+BJ23+BL23</f>
        <v>0</v>
      </c>
      <c r="BB23" s="279" t="n">
        <f aca="false">AY23+BC23</f>
        <v>-5.5</v>
      </c>
      <c r="BC23" s="278" t="n">
        <f aca="false">BE23+BG23+BI23+BK23+BM23</f>
        <v>0</v>
      </c>
      <c r="BD23" s="278" t="n">
        <f aca="false">COUNTIF(A23:AI23,"*$BTP*")</f>
        <v>0</v>
      </c>
      <c r="BE23" s="278" t="n">
        <f aca="false">BD23*1.5</f>
        <v>0</v>
      </c>
      <c r="BF23" s="278" t="n">
        <f aca="false">COUNTIF(A23:AI23,"*$M*")</f>
        <v>0</v>
      </c>
      <c r="BG23" s="278" t="n">
        <f aca="false">BF23*1</f>
        <v>0</v>
      </c>
      <c r="BH23" s="278" t="n">
        <f aca="false">COUNTIF(A23:AI23,"*$PM*")</f>
        <v>0</v>
      </c>
      <c r="BI23" s="278" t="n">
        <f aca="false">BH23*0.5</f>
        <v>0</v>
      </c>
      <c r="BJ23" s="278" t="n">
        <f aca="false">COUNTIF(A23:AI23,"*$AM*")</f>
        <v>0</v>
      </c>
      <c r="BK23" s="278" t="n">
        <f aca="false">BJ23*0.5</f>
        <v>0</v>
      </c>
      <c r="BL23" s="278" t="n">
        <f aca="false">COUNTIF(A23:AI23,"*$FC*")</f>
        <v>0</v>
      </c>
      <c r="BM23" s="278" t="n">
        <f aca="false">BL23*1</f>
        <v>0</v>
      </c>
      <c r="BN23" s="278" t="n">
        <f aca="false">(BB23-10)</f>
        <v>-15.5</v>
      </c>
      <c r="BO23" s="278" t="n">
        <f aca="false">COUNTIF($E23:$AB23,BO$4)</f>
        <v>0</v>
      </c>
      <c r="BP23" s="278" t="n">
        <f aca="false">COUNTIF($E23:$AB23,BP$4)</f>
        <v>0</v>
      </c>
      <c r="BQ23" s="278" t="n">
        <f aca="false">COUNTIF($E23:$AB23,BQ$4)</f>
        <v>0</v>
      </c>
      <c r="BR23" s="278"/>
    </row>
    <row r="24" customFormat="false" ht="19.5" hidden="false" customHeight="true" outlineLevel="0" collapsed="false">
      <c r="A24" s="282"/>
      <c r="B24" s="279" t="s">
        <v>623</v>
      </c>
      <c r="C24" s="288" t="n">
        <f aca="false">COUNTIF(D24:AG24,"DM")</f>
        <v>1</v>
      </c>
      <c r="D24" s="283"/>
      <c r="E24" s="283"/>
      <c r="F24" s="283"/>
      <c r="G24" s="283"/>
      <c r="H24" s="283" t="s">
        <v>59</v>
      </c>
      <c r="I24" s="283"/>
      <c r="J24" s="283" t="s">
        <v>781</v>
      </c>
      <c r="K24" s="283"/>
      <c r="L24" s="283"/>
      <c r="M24" s="283" t="s">
        <v>57</v>
      </c>
      <c r="N24" s="283"/>
      <c r="O24" s="283" t="s">
        <v>767</v>
      </c>
      <c r="P24" s="283" t="s">
        <v>782</v>
      </c>
      <c r="Q24" s="283" t="s">
        <v>782</v>
      </c>
      <c r="R24" s="283"/>
      <c r="S24" s="283"/>
      <c r="T24" s="283"/>
      <c r="U24" s="283"/>
      <c r="V24" s="283" t="s">
        <v>58</v>
      </c>
      <c r="W24" s="283"/>
      <c r="X24" s="283"/>
      <c r="Y24" s="283" t="s">
        <v>56</v>
      </c>
      <c r="Z24" s="150"/>
      <c r="AA24" s="283"/>
      <c r="AB24" s="283" t="s">
        <v>566</v>
      </c>
      <c r="AD24" s="283"/>
      <c r="AE24" s="283"/>
      <c r="AF24" s="283"/>
      <c r="AG24" s="283"/>
      <c r="AH24" s="283"/>
      <c r="AI24" s="282" t="n">
        <f aca="false">COUNTIF($D24:$AG24,AI$4)</f>
        <v>1</v>
      </c>
      <c r="AJ24" s="282" t="n">
        <f aca="false">COUNTIF($D24:$AG24,AJ$4)</f>
        <v>1</v>
      </c>
      <c r="AK24" s="282" t="n">
        <f aca="false">COUNTIF($D24:$AG24,AK$4)</f>
        <v>1</v>
      </c>
      <c r="AL24" s="282" t="n">
        <f aca="false">COUNTIF($D24:$AG24,AL$4)</f>
        <v>1</v>
      </c>
      <c r="AM24" s="282" t="n">
        <f aca="false">COUNTIF($D24:$AG24,AM$4)</f>
        <v>1</v>
      </c>
      <c r="AN24" s="282" t="n">
        <f aca="false">COUNTIF($D24:$AG24,AN$4)</f>
        <v>0</v>
      </c>
      <c r="AO24" s="282" t="n">
        <f aca="false">COUNTIF($D24:$AG24,AO$4)</f>
        <v>0</v>
      </c>
      <c r="AP24" s="282" t="n">
        <f aca="false">COUNTIF($D24:$AG24,AP$4)</f>
        <v>1</v>
      </c>
      <c r="AQ24" s="282" t="n">
        <f aca="false">COUNTIF($D24:$AG24,AQ$4)</f>
        <v>0</v>
      </c>
      <c r="AR24" s="279"/>
      <c r="AS24" s="279"/>
      <c r="AT24" s="282" t="n">
        <f aca="false">SUMPRODUCT(--(WEEKDAY(D$3:AH$3,2)&lt;5),--ISNUMBER(MATCH(D24:AH24,{"DM","CS1","CS2","SB1","AE","CS/B"},0)))</f>
        <v>3</v>
      </c>
      <c r="AU24" s="282"/>
      <c r="AV24" s="282" t="n">
        <f aca="false">SUMPRODUCT(--(WEEKDAY(D$3:AH$3,2)=5),--ISNUMBER(MATCH(D24:AH24,{"DM","CS1","CS2","SB1","AE","CS/B","WEEKEND OUTFIELD RESERVE"},0)))</f>
        <v>1</v>
      </c>
      <c r="AW24" s="282" t="n">
        <f aca="false">SUMPRODUCT(--(WEEKDAY(D$3:AH$3,2)&gt;5),--ISNUMBER(MATCH(D24:AH24,{"DM","CS1","CS2","SB1","AE","CS/B","WEEKEND OUTFIELD RESERVE"},0)))</f>
        <v>1</v>
      </c>
      <c r="AX24" s="282"/>
      <c r="AY24" s="282" t="n">
        <f aca="false">(AT24-AU24)+AV24*1.5+(AW24-AX24)*2+AN24*0.5+AP24*0.5+AR24-AS24</f>
        <v>7</v>
      </c>
      <c r="AZ24" s="282" t="n">
        <f aca="false">AT24+AV24+AW24</f>
        <v>5</v>
      </c>
      <c r="BA24" s="282" t="n">
        <f aca="false">BD24+BF24+BH24+BJ24+BL24</f>
        <v>3</v>
      </c>
      <c r="BB24" s="279" t="n">
        <f aca="false">AY24+BC24</f>
        <v>10.5</v>
      </c>
      <c r="BC24" s="282" t="n">
        <f aca="false">BE24+BG24+BI24+BK24+BM24</f>
        <v>3.5</v>
      </c>
      <c r="BD24" s="282" t="n">
        <f aca="false">COUNTIF(A24:AI24,"*$BTP*")</f>
        <v>1</v>
      </c>
      <c r="BE24" s="282" t="n">
        <f aca="false">BD24*1.5</f>
        <v>1.5</v>
      </c>
      <c r="BF24" s="282" t="n">
        <f aca="false">COUNTIF(A24:AI24,"*$M*")</f>
        <v>0</v>
      </c>
      <c r="BG24" s="282" t="n">
        <f aca="false">BF24*1</f>
        <v>0</v>
      </c>
      <c r="BH24" s="282" t="n">
        <f aca="false">COUNTIF(A24:AI24,"*$PM*")</f>
        <v>0</v>
      </c>
      <c r="BI24" s="282" t="n">
        <f aca="false">BH24*0.5</f>
        <v>0</v>
      </c>
      <c r="BJ24" s="282" t="n">
        <f aca="false">COUNTIF(A24:AI24,"*$AM*")</f>
        <v>0</v>
      </c>
      <c r="BK24" s="282" t="n">
        <f aca="false">BJ24*0.5</f>
        <v>0</v>
      </c>
      <c r="BL24" s="282" t="n">
        <f aca="false">COUNTIF(A24:AI24,"*$FC*")</f>
        <v>2</v>
      </c>
      <c r="BM24" s="282" t="n">
        <f aca="false">BL24*1</f>
        <v>2</v>
      </c>
      <c r="BN24" s="282" t="n">
        <f aca="false">(BB24-10)</f>
        <v>0.5</v>
      </c>
      <c r="BO24" s="282" t="n">
        <f aca="false">COUNTIF($E24:$AB24,BO$4)</f>
        <v>0</v>
      </c>
      <c r="BP24" s="282" t="n">
        <f aca="false">COUNTIF($E24:$AB24,BP$4)</f>
        <v>0</v>
      </c>
      <c r="BQ24" s="282" t="n">
        <f aca="false">COUNTIF($E24:$AB24,BQ$4)</f>
        <v>0</v>
      </c>
      <c r="BR24" s="282"/>
    </row>
    <row r="25" customFormat="false" ht="48" hidden="true" customHeight="true" outlineLevel="0" collapsed="false">
      <c r="A25" s="278"/>
      <c r="B25" s="279" t="s">
        <v>609</v>
      </c>
      <c r="C25" s="279" t="n">
        <f aca="false">COUNTIF(D25:AG25,"DM")</f>
        <v>0</v>
      </c>
      <c r="D25" s="280"/>
      <c r="E25" s="280"/>
      <c r="F25" s="280"/>
      <c r="G25" s="280"/>
      <c r="H25" s="280"/>
      <c r="I25" s="280"/>
      <c r="J25" s="280"/>
      <c r="K25" s="280"/>
      <c r="L25" s="280"/>
      <c r="M25" s="280"/>
      <c r="N25" s="280"/>
      <c r="O25" s="280"/>
      <c r="P25" s="280" t="s">
        <v>61</v>
      </c>
      <c r="Q25" s="280"/>
      <c r="R25" s="280"/>
      <c r="S25" s="280"/>
      <c r="T25" s="280"/>
      <c r="U25" s="280"/>
      <c r="V25" s="280"/>
      <c r="W25" s="280"/>
      <c r="X25" s="280"/>
      <c r="Y25" s="280"/>
      <c r="Z25" s="280"/>
      <c r="AA25" s="280"/>
      <c r="AB25" s="280" t="s">
        <v>769</v>
      </c>
      <c r="AC25" s="280"/>
      <c r="AD25" s="280"/>
      <c r="AE25" s="280"/>
      <c r="AF25" s="280"/>
      <c r="AG25" s="280"/>
      <c r="AH25" s="280"/>
      <c r="AI25" s="278" t="n">
        <f aca="false">COUNTIF($D25:$AG25,AI$4)</f>
        <v>0</v>
      </c>
      <c r="AJ25" s="278" t="n">
        <f aca="false">COUNTIF($D25:$AG25,AJ$4)</f>
        <v>0</v>
      </c>
      <c r="AK25" s="278" t="n">
        <f aca="false">COUNTIF($D25:$AG25,AK$4)</f>
        <v>0</v>
      </c>
      <c r="AL25" s="278" t="n">
        <f aca="false">COUNTIF($D25:$AG25,AL$4)</f>
        <v>0</v>
      </c>
      <c r="AM25" s="278" t="n">
        <f aca="false">COUNTIF($D25:$AG25,AM$4)</f>
        <v>0</v>
      </c>
      <c r="AN25" s="278" t="n">
        <f aca="false">COUNTIF($D25:$AG25,AN$4)</f>
        <v>0</v>
      </c>
      <c r="AO25" s="278" t="n">
        <f aca="false">COUNTIF($D25:$AG25,AO$4)</f>
        <v>0</v>
      </c>
      <c r="AP25" s="278" t="n">
        <f aca="false">COUNTIF($D25:$AG25,AP$4)</f>
        <v>0</v>
      </c>
      <c r="AQ25" s="278" t="n">
        <f aca="false">COUNTIF($D25:$AG25,AQ$4)</f>
        <v>0</v>
      </c>
      <c r="AR25" s="279" t="n">
        <v>-17.5</v>
      </c>
      <c r="AS25" s="279"/>
      <c r="AT25" s="278" t="n">
        <f aca="false">SUMPRODUCT(--(WEEKDAY(D$3:AH$3,2)&lt;5),--ISNUMBER(MATCH(D25:AH25,{"DM","CS1","CS2","SB1","AE","CS/B"},0)))</f>
        <v>0</v>
      </c>
      <c r="AU25" s="278"/>
      <c r="AV25" s="278" t="n">
        <f aca="false">SUMPRODUCT(--(WEEKDAY(D$3:AH$3,2)=5),--ISNUMBER(MATCH(D25:AH25,{"DM","CS1","CS2","SB1","AE","CS/B","WEEKEND OUTFIELD RESERVE"},0)))</f>
        <v>0</v>
      </c>
      <c r="AW25" s="278" t="n">
        <f aca="false">SUMPRODUCT(--(WEEKDAY(D$3:AH$3,2)&gt;5),--ISNUMBER(MATCH(D25:AH25,{"DM","CS1","CS2","SB1","AE","CS/B","WEEKEND OUTFIELD RESERVE"},0)))</f>
        <v>0</v>
      </c>
      <c r="AX25" s="278"/>
      <c r="AY25" s="278" t="n">
        <f aca="false">(AT25-AU25)+AV25*1.5+(AW25-AX25)*2+AN25*0.5+AP25*0.5+AR25-AS25</f>
        <v>-17.5</v>
      </c>
      <c r="AZ25" s="278" t="n">
        <f aca="false">AT25+AV25+AW25</f>
        <v>0</v>
      </c>
      <c r="BA25" s="278" t="n">
        <f aca="false">BD25+BF25+BH25+BJ25+BL25</f>
        <v>0</v>
      </c>
      <c r="BB25" s="279" t="n">
        <f aca="false">AY25+BC25</f>
        <v>-17.5</v>
      </c>
      <c r="BC25" s="278" t="n">
        <f aca="false">BE25+BG25+BI25+BK25+BM25</f>
        <v>0</v>
      </c>
      <c r="BD25" s="278" t="n">
        <f aca="false">COUNTIF(A25:AI25,"*$BTP*")</f>
        <v>0</v>
      </c>
      <c r="BE25" s="278" t="n">
        <f aca="false">BD25*1.5</f>
        <v>0</v>
      </c>
      <c r="BF25" s="278" t="n">
        <f aca="false">COUNTIF(A25:AI25,"*$M*")</f>
        <v>0</v>
      </c>
      <c r="BG25" s="278" t="n">
        <f aca="false">BF25*1</f>
        <v>0</v>
      </c>
      <c r="BH25" s="278" t="n">
        <f aca="false">COUNTIF(A25:AI25,"*$PM*")</f>
        <v>0</v>
      </c>
      <c r="BI25" s="278" t="n">
        <f aca="false">BH25*0.5</f>
        <v>0</v>
      </c>
      <c r="BJ25" s="278" t="n">
        <f aca="false">COUNTIF(A25:AI25,"*$AM*")</f>
        <v>0</v>
      </c>
      <c r="BK25" s="278" t="n">
        <f aca="false">BJ25*0.5</f>
        <v>0</v>
      </c>
      <c r="BL25" s="278" t="n">
        <f aca="false">COUNTIF(A25:AI25,"*$FC*")</f>
        <v>0</v>
      </c>
      <c r="BM25" s="278" t="n">
        <f aca="false">BL25*1</f>
        <v>0</v>
      </c>
      <c r="BN25" s="278" t="n">
        <f aca="false">(BB25-10)</f>
        <v>-27.5</v>
      </c>
      <c r="BO25" s="278" t="n">
        <f aca="false">COUNTIF($E25:$AB25,BO$4)</f>
        <v>0</v>
      </c>
      <c r="BP25" s="278" t="n">
        <f aca="false">COUNTIF($E25:$AB25,BP$4)</f>
        <v>0</v>
      </c>
      <c r="BQ25" s="278" t="n">
        <f aca="false">COUNTIF($E25:$AB25,BQ$4)</f>
        <v>0</v>
      </c>
      <c r="BR25" s="278"/>
    </row>
    <row r="26" customFormat="false" ht="19.5" hidden="false" customHeight="true" outlineLevel="0" collapsed="false">
      <c r="A26" s="282"/>
      <c r="B26" s="279" t="s">
        <v>614</v>
      </c>
      <c r="C26" s="288" t="n">
        <f aca="false">COUNTIF(D26:AG26,"DM")</f>
        <v>3</v>
      </c>
      <c r="D26" s="283"/>
      <c r="E26" s="283"/>
      <c r="F26" s="283" t="s">
        <v>566</v>
      </c>
      <c r="H26" s="283" t="s">
        <v>777</v>
      </c>
      <c r="I26" s="283" t="s">
        <v>57</v>
      </c>
      <c r="L26" s="283" t="s">
        <v>350</v>
      </c>
      <c r="M26" s="150"/>
      <c r="N26" s="283"/>
      <c r="O26" s="283" t="s">
        <v>573</v>
      </c>
      <c r="P26" s="283" t="s">
        <v>61</v>
      </c>
      <c r="Q26" s="283" t="s">
        <v>783</v>
      </c>
      <c r="R26" s="283" t="s">
        <v>56</v>
      </c>
      <c r="S26" s="283"/>
      <c r="T26" s="283" t="s">
        <v>57</v>
      </c>
      <c r="U26" s="283"/>
      <c r="V26" s="283" t="s">
        <v>784</v>
      </c>
      <c r="X26" s="283"/>
      <c r="Z26" s="283"/>
      <c r="AA26" s="283"/>
      <c r="AC26" s="283" t="s">
        <v>785</v>
      </c>
      <c r="AD26" s="283" t="s">
        <v>57</v>
      </c>
      <c r="AE26" s="283" t="s">
        <v>93</v>
      </c>
      <c r="AF26" s="283"/>
      <c r="AG26" s="283"/>
      <c r="AH26" s="283"/>
      <c r="AI26" s="282" t="n">
        <f aca="false">COUNTIF($D26:$AG26,AI$4)</f>
        <v>3</v>
      </c>
      <c r="AJ26" s="282" t="n">
        <f aca="false">COUNTIF($D26:$AG26,AJ$4)</f>
        <v>1</v>
      </c>
      <c r="AK26" s="282" t="n">
        <f aca="false">COUNTIF($D26:$AG26,AK$4)</f>
        <v>0</v>
      </c>
      <c r="AL26" s="282" t="n">
        <f aca="false">COUNTIF($D26:$AG26,AL$4)</f>
        <v>1</v>
      </c>
      <c r="AM26" s="282" t="n">
        <f aca="false">COUNTIF($D26:$AG26,AM$4)</f>
        <v>0</v>
      </c>
      <c r="AN26" s="282" t="n">
        <f aca="false">COUNTIF($D26:$AG26,AN$4)</f>
        <v>1</v>
      </c>
      <c r="AO26" s="282" t="n">
        <f aca="false">COUNTIF($D26:$AG26,AO$4)</f>
        <v>0</v>
      </c>
      <c r="AP26" s="282" t="n">
        <f aca="false">COUNTIF($D26:$AG26,AP$4)</f>
        <v>0</v>
      </c>
      <c r="AQ26" s="282" t="n">
        <f aca="false">COUNTIF($D26:$AG26,AQ$4)</f>
        <v>0</v>
      </c>
      <c r="AR26" s="279"/>
      <c r="AS26" s="279" t="n">
        <v>2.5</v>
      </c>
      <c r="AT26" s="282" t="n">
        <f aca="false">SUMPRODUCT(--(WEEKDAY(D$3:AH$3,2)&lt;5),--ISNUMBER(MATCH(D26:AH26,{"DM","CS1","CS2","SB1","AE","CS/B"},0)))</f>
        <v>2</v>
      </c>
      <c r="AU26" s="282"/>
      <c r="AV26" s="282" t="n">
        <f aca="false">SUMPRODUCT(--(WEEKDAY(D$3:AH$3,2)=5),--ISNUMBER(MATCH(D26:AH26,{"DM","CS1","CS2","SB1","AE","CS/B","WEEKEND OUTFIELD RESERVE"},0)))</f>
        <v>1</v>
      </c>
      <c r="AW26" s="282" t="n">
        <f aca="false">SUMPRODUCT(--(WEEKDAY(D$3:AH$3,2)&gt;5),--ISNUMBER(MATCH(D26:AH26,{"DM","CS1","CS2","SB1","AE","CS/B","WEEKEND OUTFIELD RESERVE"},0)))</f>
        <v>2</v>
      </c>
      <c r="AX26" s="282"/>
      <c r="AY26" s="282" t="n">
        <f aca="false">(AT26-AU26)+AV26*1.5+(AW26-AX26)*2+AN26*0.5+AP26*0.5+AR26-AS26</f>
        <v>5.5</v>
      </c>
      <c r="AZ26" s="282" t="n">
        <f aca="false">AT26+AV26+AW26</f>
        <v>5</v>
      </c>
      <c r="BA26" s="282" t="n">
        <f aca="false">BD26+BF26+BH26+BJ26+BL26</f>
        <v>4</v>
      </c>
      <c r="BB26" s="279" t="n">
        <f aca="false">AY26+BC26</f>
        <v>8</v>
      </c>
      <c r="BC26" s="282" t="n">
        <f aca="false">BE26+BG26+BI26+BK26+BM26</f>
        <v>2.5</v>
      </c>
      <c r="BD26" s="282" t="n">
        <f aca="false">COUNTIF(A26:AI26,"*$BTP*")</f>
        <v>0</v>
      </c>
      <c r="BE26" s="282" t="n">
        <f aca="false">BD26*1.5</f>
        <v>0</v>
      </c>
      <c r="BF26" s="282" t="n">
        <f aca="false">COUNTIF(A26:AI26,"*$M*")</f>
        <v>1</v>
      </c>
      <c r="BG26" s="282" t="n">
        <f aca="false">BF26*1</f>
        <v>1</v>
      </c>
      <c r="BH26" s="282" t="n">
        <f aca="false">COUNTIF(A26:AI26,"*$PM*")</f>
        <v>2</v>
      </c>
      <c r="BI26" s="282" t="n">
        <f aca="false">BH26*0.5</f>
        <v>1</v>
      </c>
      <c r="BJ26" s="282" t="n">
        <f aca="false">COUNTIF(A26:AI26,"*$AM*")</f>
        <v>1</v>
      </c>
      <c r="BK26" s="282" t="n">
        <f aca="false">BJ26*0.5</f>
        <v>0.5</v>
      </c>
      <c r="BL26" s="282" t="n">
        <f aca="false">COUNTIF(A26:AI26,"*$FC*")</f>
        <v>0</v>
      </c>
      <c r="BM26" s="282" t="n">
        <f aca="false">BL26*1</f>
        <v>0</v>
      </c>
      <c r="BN26" s="282" t="n">
        <f aca="false">(BB26-10)</f>
        <v>-2</v>
      </c>
      <c r="BO26" s="282" t="n">
        <f aca="false">COUNTIF($E26:$AB26,BO$4)</f>
        <v>0</v>
      </c>
      <c r="BP26" s="282" t="n">
        <f aca="false">COUNTIF($E26:$AB26,BP$4)</f>
        <v>1</v>
      </c>
      <c r="BQ26" s="282" t="n">
        <f aca="false">COUNTIF($E26:$AB26,BQ$4)</f>
        <v>0</v>
      </c>
      <c r="BR26" s="282"/>
    </row>
    <row r="27" customFormat="false" ht="19.5" hidden="false" customHeight="true" outlineLevel="0" collapsed="false">
      <c r="A27" s="278"/>
      <c r="B27" s="279" t="s">
        <v>618</v>
      </c>
      <c r="C27" s="288" t="n">
        <f aca="false">COUNTIF(D27:AG27,"DM")</f>
        <v>1</v>
      </c>
      <c r="D27" s="280"/>
      <c r="E27" s="280"/>
      <c r="F27" s="280"/>
      <c r="G27" s="280" t="s">
        <v>73</v>
      </c>
      <c r="H27" s="280"/>
      <c r="I27" s="280" t="s">
        <v>261</v>
      </c>
      <c r="J27" s="280"/>
      <c r="K27" s="280" t="s">
        <v>56</v>
      </c>
      <c r="L27" s="280"/>
      <c r="M27" s="280"/>
      <c r="N27" s="280" t="s">
        <v>454</v>
      </c>
      <c r="O27" s="280"/>
      <c r="P27" s="284" t="s">
        <v>350</v>
      </c>
      <c r="Q27" s="280"/>
      <c r="R27" s="280"/>
      <c r="S27" s="280" t="s">
        <v>57</v>
      </c>
      <c r="T27" s="280"/>
      <c r="U27" s="280" t="s">
        <v>786</v>
      </c>
      <c r="V27" s="280"/>
      <c r="W27" s="280" t="s">
        <v>61</v>
      </c>
      <c r="X27" s="280"/>
      <c r="Z27" s="281"/>
      <c r="AA27" s="280"/>
      <c r="AB27" s="280" t="s">
        <v>261</v>
      </c>
      <c r="AE27" s="280"/>
      <c r="AF27" s="280"/>
      <c r="AG27" s="280"/>
      <c r="AH27" s="280"/>
      <c r="AI27" s="278" t="n">
        <f aca="false">COUNTIF($D27:$AG27,AI$4)</f>
        <v>1</v>
      </c>
      <c r="AJ27" s="278" t="n">
        <f aca="false">COUNTIF($D27:$AG27,AJ$4)</f>
        <v>1</v>
      </c>
      <c r="AK27" s="278" t="n">
        <f aca="false">COUNTIF($D27:$AG27,AK$4)</f>
        <v>0</v>
      </c>
      <c r="AL27" s="278" t="n">
        <f aca="false">COUNTIF($D27:$AG27,AL$4)</f>
        <v>0</v>
      </c>
      <c r="AM27" s="278" t="n">
        <f aca="false">COUNTIF($D27:$AG27,AM$4)</f>
        <v>0</v>
      </c>
      <c r="AN27" s="278" t="n">
        <f aca="false">COUNTIF($D27:$AG27,AN$4)</f>
        <v>0</v>
      </c>
      <c r="AO27" s="278" t="n">
        <f aca="false">COUNTIF($D27:$AG27,AO$4)</f>
        <v>0</v>
      </c>
      <c r="AP27" s="278" t="n">
        <f aca="false">COUNTIF($D27:$AG27,AP$4)</f>
        <v>0</v>
      </c>
      <c r="AQ27" s="278" t="n">
        <f aca="false">COUNTIF($D27:$AG27,AQ$4)</f>
        <v>0</v>
      </c>
      <c r="AR27" s="279"/>
      <c r="AS27" s="279" t="n">
        <v>2.5</v>
      </c>
      <c r="AT27" s="278" t="n">
        <f aca="false">SUMPRODUCT(--(WEEKDAY(D$3:AH$3,2)&lt;5),--ISNUMBER(MATCH(D27:AH27,{"DM","CS1","CS2","SB1","AE","CS/B"},0)))</f>
        <v>0</v>
      </c>
      <c r="AU27" s="278"/>
      <c r="AV27" s="278" t="n">
        <f aca="false">SUMPRODUCT(--(WEEKDAY(D$3:AH$3,2)=5),--ISNUMBER(MATCH(D27:AH27,{"DM","CS1","CS2","SB1","AE","CS/B","WEEKEND OUTFIELD RESERVE"},0)))</f>
        <v>1</v>
      </c>
      <c r="AW27" s="278" t="n">
        <f aca="false">SUMPRODUCT(--(WEEKDAY(D$3:AH$3,2)&gt;5),--ISNUMBER(MATCH(D27:AH27,{"DM","CS1","CS2","SB1","AE","CS/B","WEEKEND OUTFIELD RESERVE"},0)))</f>
        <v>1</v>
      </c>
      <c r="AX27" s="278"/>
      <c r="AY27" s="278" t="n">
        <f aca="false">(AT27-AU27)+AV27*1.5+(AW27-AX27)*2+AN27*0.5+AP27*0.5+AR27-AS27</f>
        <v>1</v>
      </c>
      <c r="AZ27" s="278" t="n">
        <f aca="false">AT27+AV27+AW27</f>
        <v>2</v>
      </c>
      <c r="BA27" s="278" t="n">
        <f aca="false">BD27+BF27+BH27+BJ27+BL27</f>
        <v>3</v>
      </c>
      <c r="BB27" s="279" t="n">
        <f aca="false">AY27+BC27</f>
        <v>4.5</v>
      </c>
      <c r="BC27" s="278" t="n">
        <f aca="false">BE27+BG27+BI27+BK27+BM27</f>
        <v>3.5</v>
      </c>
      <c r="BD27" s="278" t="n">
        <f aca="false">COUNTIF(A27:AI27,"*$BTP*")</f>
        <v>1</v>
      </c>
      <c r="BE27" s="278" t="n">
        <f aca="false">BD27*1.5</f>
        <v>1.5</v>
      </c>
      <c r="BF27" s="278" t="n">
        <f aca="false">COUNTIF(A27:AI27,"*$M*")</f>
        <v>1</v>
      </c>
      <c r="BG27" s="278" t="n">
        <f aca="false">BF27*1</f>
        <v>1</v>
      </c>
      <c r="BH27" s="278" t="n">
        <f aca="false">COUNTIF(A27:AI27,"*$PM*")</f>
        <v>0</v>
      </c>
      <c r="BI27" s="278" t="n">
        <f aca="false">BH27*0.5</f>
        <v>0</v>
      </c>
      <c r="BJ27" s="278" t="n">
        <f aca="false">COUNTIF(A27:AI27,"*$AM*")</f>
        <v>0</v>
      </c>
      <c r="BK27" s="278" t="n">
        <f aca="false">BJ27*0.5</f>
        <v>0</v>
      </c>
      <c r="BL27" s="278" t="n">
        <f aca="false">COUNTIF(A27:AI27,"*$FC*")</f>
        <v>1</v>
      </c>
      <c r="BM27" s="278" t="n">
        <f aca="false">BL27*1</f>
        <v>1</v>
      </c>
      <c r="BN27" s="278" t="n">
        <f aca="false">(BB27-10)</f>
        <v>-5.5</v>
      </c>
      <c r="BO27" s="278" t="n">
        <f aca="false">COUNTIF($E27:$AB27,BO$4)</f>
        <v>0</v>
      </c>
      <c r="BP27" s="278" t="n">
        <f aca="false">COUNTIF($E27:$AB27,BP$4)</f>
        <v>1</v>
      </c>
      <c r="BQ27" s="278" t="n">
        <f aca="false">COUNTIF($E27:$AB27,BQ$4)</f>
        <v>0</v>
      </c>
      <c r="BR27" s="278"/>
    </row>
    <row r="28" customFormat="false" ht="47.25" hidden="true" customHeight="true" outlineLevel="0" collapsed="false">
      <c r="A28" s="282"/>
      <c r="B28" s="279" t="s">
        <v>625</v>
      </c>
      <c r="C28" s="279"/>
      <c r="D28" s="283"/>
      <c r="E28" s="283"/>
      <c r="F28" s="283"/>
      <c r="G28" s="283"/>
      <c r="H28" s="283"/>
      <c r="I28" s="283"/>
      <c r="J28" s="283"/>
      <c r="K28" s="283"/>
      <c r="L28" s="283"/>
      <c r="M28" s="283"/>
      <c r="N28" s="283"/>
      <c r="O28" s="283"/>
      <c r="P28" s="283"/>
      <c r="Q28" s="283"/>
      <c r="R28" s="283"/>
      <c r="S28" s="283"/>
      <c r="T28" s="283"/>
      <c r="U28" s="283"/>
      <c r="V28" s="283"/>
      <c r="W28" s="283"/>
      <c r="X28" s="283"/>
      <c r="Y28" s="283"/>
      <c r="Z28" s="283"/>
      <c r="AA28" s="283"/>
      <c r="AB28" s="283"/>
      <c r="AC28" s="283"/>
      <c r="AD28" s="283"/>
      <c r="AE28" s="283"/>
      <c r="AF28" s="283"/>
      <c r="AG28" s="283"/>
      <c r="AH28" s="283"/>
      <c r="AI28" s="282" t="n">
        <f aca="false">COUNTIF($D28:$AG28,AI$4)</f>
        <v>0</v>
      </c>
      <c r="AJ28" s="282" t="n">
        <f aca="false">COUNTIF($D28:$AG28,AJ$4)</f>
        <v>0</v>
      </c>
      <c r="AK28" s="282" t="n">
        <f aca="false">COUNTIF($D28:$AG28,AK$4)</f>
        <v>0</v>
      </c>
      <c r="AL28" s="282" t="n">
        <f aca="false">COUNTIF($D28:$AG28,AL$4)</f>
        <v>0</v>
      </c>
      <c r="AM28" s="282" t="n">
        <f aca="false">COUNTIF($D28:$AG28,AM$4)</f>
        <v>0</v>
      </c>
      <c r="AN28" s="282" t="n">
        <f aca="false">COUNTIF($D28:$AG28,AN$4)</f>
        <v>0</v>
      </c>
      <c r="AO28" s="282" t="n">
        <f aca="false">COUNTIF($D28:$AG28,AO$4)</f>
        <v>0</v>
      </c>
      <c r="AP28" s="282" t="n">
        <f aca="false">COUNTIF($D28:$AG28,AP$4)</f>
        <v>0</v>
      </c>
      <c r="AQ28" s="282" t="n">
        <f aca="false">COUNTIF($D28:$AG28,AQ$4)</f>
        <v>0</v>
      </c>
      <c r="AR28" s="279"/>
      <c r="AS28" s="279" t="n">
        <v>1</v>
      </c>
      <c r="AT28" s="282" t="n">
        <f aca="false">SUMPRODUCT(--(WEEKDAY(D$3:AH$3,2)&lt;5),--ISNUMBER(MATCH(D28:AH28,{"DM","CS1","CS2","SB1","AE","CS/B"},0)))</f>
        <v>0</v>
      </c>
      <c r="AU28" s="282"/>
      <c r="AV28" s="282" t="n">
        <f aca="false">SUMPRODUCT(--(WEEKDAY(D$3:AH$3,2)=5),--ISNUMBER(MATCH(D28:AH28,{"DM","CS1","CS2","SB1","AE","CS/B","WEEKEND OUTFIELD RESERVE"},0)))</f>
        <v>0</v>
      </c>
      <c r="AW28" s="282" t="n">
        <f aca="false">SUMPRODUCT(--(WEEKDAY(D$3:AH$3,2)&gt;5),--ISNUMBER(MATCH(D28:AH28,{"DM","CS1","CS2","SB1","AE","CS/B","WEEKEND OUTFIELD RESERVE"},0)))</f>
        <v>0</v>
      </c>
      <c r="AX28" s="282"/>
      <c r="AY28" s="282" t="n">
        <f aca="false">(AT28-AU28)+AV28*1.5+(AW28-AX28)*2+AN28*0.5+AP28*0.5+AR28-AS28</f>
        <v>-1</v>
      </c>
      <c r="AZ28" s="282" t="n">
        <f aca="false">AT28+AV28+AW28</f>
        <v>0</v>
      </c>
      <c r="BA28" s="282" t="n">
        <f aca="false">BD28+BF28+BH28+BJ28+BL28</f>
        <v>0</v>
      </c>
      <c r="BB28" s="279" t="n">
        <f aca="false">AY28+BC28</f>
        <v>-1</v>
      </c>
      <c r="BC28" s="282" t="n">
        <f aca="false">BE28+BG28+BI28+BK28+BM28</f>
        <v>0</v>
      </c>
      <c r="BD28" s="282" t="n">
        <f aca="false">COUNTIF(A28:AI28,"*$BTP*")</f>
        <v>0</v>
      </c>
      <c r="BE28" s="282" t="n">
        <f aca="false">BD28*1.5</f>
        <v>0</v>
      </c>
      <c r="BF28" s="282" t="n">
        <f aca="false">COUNTIF(A28:AI28,"*$M*")</f>
        <v>0</v>
      </c>
      <c r="BG28" s="282" t="n">
        <f aca="false">BF28*1</f>
        <v>0</v>
      </c>
      <c r="BH28" s="282" t="n">
        <f aca="false">COUNTIF(A28:AI28,"*$PM*")</f>
        <v>0</v>
      </c>
      <c r="BI28" s="282" t="n">
        <f aca="false">BH28*0.5</f>
        <v>0</v>
      </c>
      <c r="BJ28" s="282" t="n">
        <f aca="false">COUNTIF(A28:AI28,"*$AM*")</f>
        <v>0</v>
      </c>
      <c r="BK28" s="282" t="n">
        <f aca="false">BJ28*0.5</f>
        <v>0</v>
      </c>
      <c r="BL28" s="282" t="n">
        <f aca="false">COUNTIF(A28:AI28,"*$FC*")</f>
        <v>0</v>
      </c>
      <c r="BM28" s="282" t="n">
        <f aca="false">BL28*1</f>
        <v>0</v>
      </c>
      <c r="BN28" s="282" t="n">
        <f aca="false">(BB28-10)</f>
        <v>-11</v>
      </c>
      <c r="BO28" s="282" t="n">
        <f aca="false">COUNTIF($E28:$AB28,BO$4)</f>
        <v>0</v>
      </c>
      <c r="BP28" s="282" t="n">
        <f aca="false">COUNTIF($E28:$AB28,BP$4)</f>
        <v>0</v>
      </c>
      <c r="BQ28" s="282" t="n">
        <f aca="false">COUNTIF($E28:$AB28,BQ$4)</f>
        <v>0</v>
      </c>
      <c r="BR28" s="282"/>
    </row>
    <row r="29" customFormat="false" ht="19.5" hidden="false" customHeight="true" outlineLevel="0" collapsed="false">
      <c r="A29" s="278"/>
      <c r="B29" s="279" t="s">
        <v>627</v>
      </c>
      <c r="C29" s="288" t="n">
        <f aca="false">COUNTIF(D29:AG29,"DM")</f>
        <v>1</v>
      </c>
      <c r="D29" s="280"/>
      <c r="E29" s="280"/>
      <c r="F29" s="280"/>
      <c r="G29" s="280" t="s">
        <v>57</v>
      </c>
      <c r="H29" s="280"/>
      <c r="I29" s="280" t="s">
        <v>59</v>
      </c>
      <c r="J29" s="280"/>
      <c r="K29" s="280"/>
      <c r="L29" s="280" t="s">
        <v>58</v>
      </c>
      <c r="M29" s="280"/>
      <c r="N29" s="280"/>
      <c r="O29" s="188" t="s">
        <v>787</v>
      </c>
      <c r="P29" s="284" t="s">
        <v>61</v>
      </c>
      <c r="R29" s="280"/>
      <c r="S29" s="281"/>
      <c r="T29" s="280"/>
      <c r="U29" s="280"/>
      <c r="W29" s="280"/>
      <c r="Y29" s="280"/>
      <c r="Z29" s="280"/>
      <c r="AA29" s="280"/>
      <c r="AC29" s="280"/>
      <c r="AD29" s="280"/>
      <c r="AF29" s="280"/>
      <c r="AG29" s="280"/>
      <c r="AH29" s="280"/>
      <c r="AI29" s="278" t="n">
        <f aca="false">COUNTIF($D29:$AG29,AI$4)</f>
        <v>1</v>
      </c>
      <c r="AJ29" s="278" t="n">
        <f aca="false">COUNTIF($D29:$AG29,AJ$4)</f>
        <v>0</v>
      </c>
      <c r="AK29" s="278" t="n">
        <f aca="false">COUNTIF($D29:$AG29,AK$4)</f>
        <v>1</v>
      </c>
      <c r="AL29" s="278" t="n">
        <f aca="false">COUNTIF($D29:$AG29,AL$4)</f>
        <v>0</v>
      </c>
      <c r="AM29" s="278" t="n">
        <f aca="false">COUNTIF($D29:$AG29,AM$4)</f>
        <v>1</v>
      </c>
      <c r="AN29" s="278" t="n">
        <f aca="false">COUNTIF($D29:$AG29,AN$4)</f>
        <v>0</v>
      </c>
      <c r="AO29" s="278" t="n">
        <f aca="false">COUNTIF($D29:$AG29,AO$4)</f>
        <v>0</v>
      </c>
      <c r="AP29" s="278" t="n">
        <f aca="false">COUNTIF($D29:$AG29,AP$4)</f>
        <v>0</v>
      </c>
      <c r="AQ29" s="278" t="n">
        <f aca="false">COUNTIF($D29:$AG29,AQ$4)</f>
        <v>0</v>
      </c>
      <c r="AR29" s="279"/>
      <c r="AS29" s="279"/>
      <c r="AT29" s="278" t="n">
        <f aca="false">SUMPRODUCT(--(WEEKDAY(D$3:AH$3,2)&lt;5),--ISNUMBER(MATCH(D29:AH29,{"DM","CS1","CS2","SB1","AE","CS/B"},0)))</f>
        <v>2</v>
      </c>
      <c r="AU29" s="278"/>
      <c r="AV29" s="278" t="n">
        <f aca="false">SUMPRODUCT(--(WEEKDAY(D$3:AH$3,2)=5),--ISNUMBER(MATCH(D29:AH29,{"DM","CS1","CS2","SB1","AE","CS/B","WEEKEND OUTFIELD RESERVE"},0)))</f>
        <v>0</v>
      </c>
      <c r="AW29" s="278" t="n">
        <f aca="false">SUMPRODUCT(--(WEEKDAY(D$3:AH$3,2)&gt;5),--ISNUMBER(MATCH(D29:AH29,{"DM","CS1","CS2","SB1","AE","CS/B","WEEKEND OUTFIELD RESERVE"},0)))</f>
        <v>1</v>
      </c>
      <c r="AX29" s="278"/>
      <c r="AY29" s="278" t="n">
        <f aca="false">(AT29-AU29)+AV29*1.5+(AW29-AX29)*2+AN29*0.5+AP29*0.5+AR29-AS29</f>
        <v>4</v>
      </c>
      <c r="AZ29" s="278" t="n">
        <f aca="false">AT29+AV29+AW29</f>
        <v>3</v>
      </c>
      <c r="BA29" s="278" t="n">
        <f aca="false">BD29+BF29+BH29+BJ29+BL29</f>
        <v>1</v>
      </c>
      <c r="BB29" s="279" t="n">
        <f aca="false">AY29+BC29</f>
        <v>4.5</v>
      </c>
      <c r="BC29" s="278" t="n">
        <f aca="false">BE29+BG29+BI29+BK29+BM29</f>
        <v>0.5</v>
      </c>
      <c r="BD29" s="278" t="n">
        <f aca="false">COUNTIF(A29:AI29,"*$BTP*")</f>
        <v>0</v>
      </c>
      <c r="BE29" s="278" t="n">
        <f aca="false">BD29*1.5</f>
        <v>0</v>
      </c>
      <c r="BF29" s="278" t="n">
        <f aca="false">COUNTIF(A29:AI29,"*$M*")</f>
        <v>0</v>
      </c>
      <c r="BG29" s="278" t="n">
        <f aca="false">BF29*1</f>
        <v>0</v>
      </c>
      <c r="BH29" s="278" t="n">
        <f aca="false">COUNTIF(A29:AI29,"*$PM*")</f>
        <v>1</v>
      </c>
      <c r="BI29" s="278" t="n">
        <f aca="false">BH29*0.5</f>
        <v>0.5</v>
      </c>
      <c r="BJ29" s="278" t="n">
        <f aca="false">COUNTIF(A29:AI29,"*$AM*")</f>
        <v>0</v>
      </c>
      <c r="BK29" s="278" t="n">
        <f aca="false">BJ29*0.5</f>
        <v>0</v>
      </c>
      <c r="BL29" s="278" t="n">
        <f aca="false">COUNTIF(A29:AI29,"*$FC*")</f>
        <v>0</v>
      </c>
      <c r="BM29" s="278" t="n">
        <f aca="false">BL29*1</f>
        <v>0</v>
      </c>
      <c r="BN29" s="278" t="n">
        <f aca="false">(BB29-10)</f>
        <v>-5.5</v>
      </c>
      <c r="BO29" s="278" t="n">
        <f aca="false">COUNTIF($E29:$AA29,BO$4)</f>
        <v>0</v>
      </c>
      <c r="BP29" s="278" t="n">
        <f aca="false">COUNTIF($E29:$AA29,BP$4)</f>
        <v>0</v>
      </c>
      <c r="BQ29" s="278" t="n">
        <f aca="false">COUNTIF($E29:$AA29,BQ$4)</f>
        <v>0</v>
      </c>
      <c r="BR29" s="278"/>
    </row>
    <row r="30" customFormat="false" ht="48.75" hidden="false" customHeight="true" outlineLevel="0" collapsed="false">
      <c r="A30" s="282"/>
      <c r="B30" s="279" t="s">
        <v>610</v>
      </c>
      <c r="C30" s="279"/>
      <c r="D30" s="283"/>
      <c r="E30" s="283"/>
      <c r="F30" s="283"/>
      <c r="G30" s="283"/>
      <c r="H30" s="283" t="s">
        <v>788</v>
      </c>
      <c r="I30" s="283" t="s">
        <v>93</v>
      </c>
      <c r="J30" s="286"/>
      <c r="K30" s="283" t="s">
        <v>59</v>
      </c>
      <c r="L30" s="283"/>
      <c r="M30" s="283"/>
      <c r="N30" s="283"/>
      <c r="O30" s="283"/>
      <c r="R30" s="283"/>
      <c r="S30" s="283" t="s">
        <v>56</v>
      </c>
      <c r="T30" s="283"/>
      <c r="U30" s="283"/>
      <c r="V30" s="283" t="s">
        <v>789</v>
      </c>
      <c r="W30" s="283" t="s">
        <v>93</v>
      </c>
      <c r="X30" s="283" t="s">
        <v>566</v>
      </c>
      <c r="Y30" s="283"/>
      <c r="Z30" s="283"/>
      <c r="AA30" s="283"/>
      <c r="AB30" s="283"/>
      <c r="AC30" s="283"/>
      <c r="AD30" s="283"/>
      <c r="AE30" s="283" t="s">
        <v>566</v>
      </c>
      <c r="AF30" s="287" t="s">
        <v>93</v>
      </c>
      <c r="AG30" s="150"/>
      <c r="AH30" s="283"/>
      <c r="AI30" s="282" t="n">
        <f aca="false">COUNTIF($D30:$AG30,AI$4)</f>
        <v>0</v>
      </c>
      <c r="AJ30" s="282" t="n">
        <f aca="false">COUNTIF($D30:$AG30,AJ$4)</f>
        <v>1</v>
      </c>
      <c r="AK30" s="282" t="n">
        <f aca="false">COUNTIF($D30:$AG30,AK$4)</f>
        <v>1</v>
      </c>
      <c r="AL30" s="282" t="n">
        <f aca="false">COUNTIF($D30:$AG30,AL$4)</f>
        <v>2</v>
      </c>
      <c r="AM30" s="282" t="n">
        <f aca="false">COUNTIF($D30:$AG30,AM$4)</f>
        <v>0</v>
      </c>
      <c r="AN30" s="282" t="n">
        <f aca="false">COUNTIF($D30:$AG30,AN$4)</f>
        <v>3</v>
      </c>
      <c r="AO30" s="282" t="n">
        <f aca="false">COUNTIF($D30:$AG30,AO$4)</f>
        <v>0</v>
      </c>
      <c r="AP30" s="282" t="n">
        <f aca="false">COUNTIF($D30:$AG30,AP$4)</f>
        <v>0</v>
      </c>
      <c r="AQ30" s="282" t="n">
        <f aca="false">COUNTIF($D30:$AG30,AQ$4)</f>
        <v>0</v>
      </c>
      <c r="AR30" s="279"/>
      <c r="AS30" s="279" t="n">
        <v>0.5</v>
      </c>
      <c r="AT30" s="282" t="n">
        <f aca="false">SUMPRODUCT(--(WEEKDAY(D$3:AH$3,2)&lt;5),--ISNUMBER(MATCH(D30:AH30,{"DM","CS1","CS2","SB1","AE","CS/B"},0)))</f>
        <v>2</v>
      </c>
      <c r="AU30" s="282"/>
      <c r="AV30" s="282" t="n">
        <f aca="false">SUMPRODUCT(--(WEEKDAY(D$3:AH$3,2)=5),--ISNUMBER(MATCH(D30:AH30,{"DM","CS1","CS2","SB1","AE","CS/B","WEEKEND OUTFIELD RESERVE"},0)))</f>
        <v>1</v>
      </c>
      <c r="AW30" s="282" t="n">
        <f aca="false">SUMPRODUCT(--(WEEKDAY(D$3:AH$3,2)&gt;5),--ISNUMBER(MATCH(D30:AH30,{"DM","CS1","CS2","SB1","AE","CS/B","WEEKEND OUTFIELD RESERVE"},0)))</f>
        <v>1</v>
      </c>
      <c r="AX30" s="282"/>
      <c r="AY30" s="282" t="n">
        <f aca="false">(AT30-AU30)+AV30*1.5+(AW30-AX30)*2+AN30*0.5+AP30*0.5+AR30-AS30</f>
        <v>6.5</v>
      </c>
      <c r="AZ30" s="282" t="n">
        <f aca="false">AT30+AV30+AW30</f>
        <v>4</v>
      </c>
      <c r="BA30" s="282" t="n">
        <f aca="false">BD30+BF30+BH30+BJ30+BL30</f>
        <v>2</v>
      </c>
      <c r="BB30" s="279" t="n">
        <f aca="false">AY30+BC30</f>
        <v>8</v>
      </c>
      <c r="BC30" s="282" t="n">
        <f aca="false">BE30+BG30+BI30+BK30+BM30</f>
        <v>1.5</v>
      </c>
      <c r="BD30" s="282" t="n">
        <f aca="false">COUNTIF(A30:AI30,"*$BTP*")</f>
        <v>0</v>
      </c>
      <c r="BE30" s="282" t="n">
        <f aca="false">BD30*1.5</f>
        <v>0</v>
      </c>
      <c r="BF30" s="282" t="n">
        <f aca="false">COUNTIF(A30:AI30,"*$M*")</f>
        <v>1</v>
      </c>
      <c r="BG30" s="282" t="n">
        <f aca="false">BF30*1</f>
        <v>1</v>
      </c>
      <c r="BH30" s="282" t="n">
        <f aca="false">COUNTIF(A30:AI30,"*$PM*")</f>
        <v>0</v>
      </c>
      <c r="BI30" s="282" t="n">
        <f aca="false">BH30*0.5</f>
        <v>0</v>
      </c>
      <c r="BJ30" s="282" t="n">
        <f aca="false">COUNTIF(A30:AI30,"*$AM*")</f>
        <v>1</v>
      </c>
      <c r="BK30" s="282" t="n">
        <f aca="false">BJ30*0.5</f>
        <v>0.5</v>
      </c>
      <c r="BL30" s="282" t="n">
        <f aca="false">COUNTIF(A30:AI30,"*$FC*")</f>
        <v>0</v>
      </c>
      <c r="BM30" s="282" t="n">
        <f aca="false">BL30*1</f>
        <v>0</v>
      </c>
      <c r="BN30" s="282" t="n">
        <f aca="false">(BB30-10)</f>
        <v>-2</v>
      </c>
      <c r="BO30" s="282" t="n">
        <f aca="false">COUNTIF($E30:$AB30,BO$4)</f>
        <v>0</v>
      </c>
      <c r="BP30" s="282" t="n">
        <f aca="false">COUNTIF($E30:$AB30,BP$4)</f>
        <v>0</v>
      </c>
      <c r="BQ30" s="282" t="n">
        <f aca="false">COUNTIF($E30:$AB30,BQ$4)</f>
        <v>0</v>
      </c>
      <c r="BR30" s="282"/>
    </row>
    <row r="31" customFormat="false" ht="19.5" hidden="false" customHeight="true" outlineLevel="0" collapsed="false">
      <c r="A31" s="278"/>
      <c r="B31" s="279" t="s">
        <v>633</v>
      </c>
      <c r="C31" s="279"/>
      <c r="D31" s="280"/>
      <c r="E31" s="280" t="s">
        <v>58</v>
      </c>
      <c r="F31" s="280"/>
      <c r="G31" s="280"/>
      <c r="H31" s="280" t="s">
        <v>573</v>
      </c>
      <c r="I31" s="280"/>
      <c r="J31" s="280" t="s">
        <v>767</v>
      </c>
      <c r="K31" s="280"/>
      <c r="L31" s="280"/>
      <c r="M31" s="280"/>
      <c r="N31" s="280"/>
      <c r="O31" s="280" t="s">
        <v>790</v>
      </c>
      <c r="P31" s="280" t="s">
        <v>58</v>
      </c>
      <c r="Q31" s="280" t="s">
        <v>767</v>
      </c>
      <c r="R31" s="280" t="s">
        <v>93</v>
      </c>
      <c r="S31" s="280"/>
      <c r="T31" s="280"/>
      <c r="U31" s="280" t="s">
        <v>71</v>
      </c>
      <c r="V31" s="280" t="s">
        <v>71</v>
      </c>
      <c r="W31" s="280" t="s">
        <v>71</v>
      </c>
      <c r="X31" s="280" t="s">
        <v>71</v>
      </c>
      <c r="Y31" s="280" t="s">
        <v>71</v>
      </c>
      <c r="Z31" s="281"/>
      <c r="AA31" s="280" t="s">
        <v>56</v>
      </c>
      <c r="AB31" s="280" t="s">
        <v>769</v>
      </c>
      <c r="AC31" s="280" t="s">
        <v>791</v>
      </c>
      <c r="AD31" s="280" t="s">
        <v>59</v>
      </c>
      <c r="AE31" s="280"/>
      <c r="AF31" s="280"/>
      <c r="AG31" s="281"/>
      <c r="AH31" s="280"/>
      <c r="AI31" s="278" t="n">
        <f aca="false">COUNTIF($D31:$AG31,AI$4)</f>
        <v>0</v>
      </c>
      <c r="AJ31" s="278" t="n">
        <f aca="false">COUNTIF($D31:$AG31,AJ$4)</f>
        <v>1</v>
      </c>
      <c r="AK31" s="278" t="n">
        <f aca="false">COUNTIF($D31:$AG31,AK$4)</f>
        <v>1</v>
      </c>
      <c r="AL31" s="278" t="n">
        <f aca="false">COUNTIF($D31:$AG31,AL$4)</f>
        <v>0</v>
      </c>
      <c r="AM31" s="278" t="n">
        <f aca="false">COUNTIF($D31:$AG31,AM$4)</f>
        <v>2</v>
      </c>
      <c r="AN31" s="278" t="n">
        <f aca="false">COUNTIF($D31:$AG31,AN$4)</f>
        <v>1</v>
      </c>
      <c r="AO31" s="278" t="n">
        <f aca="false">COUNTIF($D31:$AG31,AO$4)</f>
        <v>0</v>
      </c>
      <c r="AP31" s="278" t="n">
        <f aca="false">COUNTIF($D31:$AG31,AP$4)</f>
        <v>2</v>
      </c>
      <c r="AQ31" s="278" t="n">
        <f aca="false">COUNTIF($D31:$AG31,AQ$4)</f>
        <v>0</v>
      </c>
      <c r="AR31" s="279"/>
      <c r="AS31" s="279" t="n">
        <v>1.5</v>
      </c>
      <c r="AT31" s="278" t="n">
        <f aca="false">SUMPRODUCT(--(WEEKDAY(D$3:AH$3,2)&lt;5),--ISNUMBER(MATCH(D31:AH31,{"DM","CS1","CS2","SB1","AE","CS/B"},0)))</f>
        <v>2</v>
      </c>
      <c r="AU31" s="278"/>
      <c r="AV31" s="278" t="n">
        <f aca="false">SUMPRODUCT(--(WEEKDAY(D$3:AH$3,2)=5),--ISNUMBER(MATCH(D31:AH31,{"DM","CS1","CS2","SB1","AE","CS/B","WEEKEND OUTFIELD RESERVE"},0)))</f>
        <v>0</v>
      </c>
      <c r="AW31" s="278" t="n">
        <f aca="false">SUMPRODUCT(--(WEEKDAY(D$3:AH$3,2)&gt;5),--ISNUMBER(MATCH(D31:AH31,{"DM","CS1","CS2","SB1","AE","CS/B","WEEKEND OUTFIELD RESERVE"},0)))</f>
        <v>2</v>
      </c>
      <c r="AX31" s="278"/>
      <c r="AY31" s="278" t="n">
        <f aca="false">(AT31-AU31)+AV31*1.5+(AW31-AX31)*2+AN31*0.5+AP31*0.5+AR31-AS31</f>
        <v>6</v>
      </c>
      <c r="AZ31" s="278" t="n">
        <f aca="false">AT31+AV31+AW31</f>
        <v>4</v>
      </c>
      <c r="BA31" s="278" t="n">
        <f aca="false">BD31+BF31+BH31+BJ31+BL31</f>
        <v>2</v>
      </c>
      <c r="BB31" s="279" t="n">
        <f aca="false">AY31+BC31</f>
        <v>7</v>
      </c>
      <c r="BC31" s="278" t="n">
        <f aca="false">BE31+BG31+BI31+BK31+BM31</f>
        <v>1</v>
      </c>
      <c r="BD31" s="278" t="n">
        <f aca="false">COUNTIF(A31:AI31,"*$BTP*")</f>
        <v>0</v>
      </c>
      <c r="BE31" s="278" t="n">
        <f aca="false">BD31*1.5</f>
        <v>0</v>
      </c>
      <c r="BF31" s="278" t="n">
        <f aca="false">COUNTIF(A31:AI31,"*$M*")</f>
        <v>0</v>
      </c>
      <c r="BG31" s="278" t="n">
        <f aca="false">BF31*1</f>
        <v>0</v>
      </c>
      <c r="BH31" s="278" t="n">
        <f aca="false">COUNTIF(A31:AI31,"*$PM*")</f>
        <v>1</v>
      </c>
      <c r="BI31" s="278" t="n">
        <f aca="false">BH31*0.5</f>
        <v>0.5</v>
      </c>
      <c r="BJ31" s="278" t="n">
        <f aca="false">COUNTIF(A31:AI31,"*$AM*")</f>
        <v>1</v>
      </c>
      <c r="BK31" s="278" t="n">
        <f aca="false">BJ31*0.5</f>
        <v>0.5</v>
      </c>
      <c r="BL31" s="278" t="n">
        <f aca="false">COUNTIF(A31:AI31,"*$FC*")</f>
        <v>0</v>
      </c>
      <c r="BM31" s="278" t="n">
        <f aca="false">BL31*1</f>
        <v>0</v>
      </c>
      <c r="BN31" s="278" t="n">
        <f aca="false">(BB31-10)</f>
        <v>-3</v>
      </c>
      <c r="BO31" s="278" t="n">
        <f aca="false">COUNTIF($E31:$AA31,BO$4)</f>
        <v>0</v>
      </c>
      <c r="BP31" s="278" t="n">
        <f aca="false">COUNTIF($E31:$AA31,BP$4)</f>
        <v>0</v>
      </c>
      <c r="BQ31" s="278" t="n">
        <f aca="false">COUNTIF($E31:$AA31,BQ$4)</f>
        <v>0</v>
      </c>
      <c r="BR31" s="278"/>
    </row>
    <row r="32" customFormat="false" ht="19.5" hidden="false" customHeight="true" outlineLevel="0" collapsed="false">
      <c r="A32" s="282"/>
      <c r="B32" s="279" t="s">
        <v>637</v>
      </c>
      <c r="C32" s="279"/>
      <c r="D32" s="283"/>
      <c r="E32" s="283"/>
      <c r="F32" s="283"/>
      <c r="G32" s="283" t="s">
        <v>792</v>
      </c>
      <c r="H32" s="283"/>
      <c r="I32" s="283" t="s">
        <v>56</v>
      </c>
      <c r="J32" s="283"/>
      <c r="K32" s="283"/>
      <c r="L32" s="283" t="s">
        <v>59</v>
      </c>
      <c r="M32" s="283"/>
      <c r="N32" s="283" t="s">
        <v>793</v>
      </c>
      <c r="O32" s="283"/>
      <c r="P32" s="283" t="s">
        <v>56</v>
      </c>
      <c r="Q32" s="283"/>
      <c r="R32" s="283" t="s">
        <v>144</v>
      </c>
      <c r="S32" s="283"/>
      <c r="T32" s="283"/>
      <c r="U32" s="283" t="s">
        <v>566</v>
      </c>
      <c r="V32" s="287" t="s">
        <v>794</v>
      </c>
      <c r="W32" s="287" t="s">
        <v>794</v>
      </c>
      <c r="Y32" s="283" t="s">
        <v>795</v>
      </c>
      <c r="Z32" s="285" t="s">
        <v>59</v>
      </c>
      <c r="AA32" s="150"/>
      <c r="AB32" s="283" t="s">
        <v>769</v>
      </c>
      <c r="AC32" s="283"/>
      <c r="AE32" s="283"/>
      <c r="AF32" s="283"/>
      <c r="AG32" s="283" t="s">
        <v>56</v>
      </c>
      <c r="AH32" s="283"/>
      <c r="AI32" s="282" t="n">
        <f aca="false">COUNTIF($D32:$AG32,AI$4)</f>
        <v>0</v>
      </c>
      <c r="AJ32" s="282" t="n">
        <f aca="false">COUNTIF($D32:$AG32,AJ$4)</f>
        <v>3</v>
      </c>
      <c r="AK32" s="282" t="n">
        <f aca="false">COUNTIF($D32:$AG32,AK$4)</f>
        <v>2</v>
      </c>
      <c r="AL32" s="282" t="n">
        <f aca="false">COUNTIF($D32:$AG32,AL$4)</f>
        <v>1</v>
      </c>
      <c r="AM32" s="282" t="n">
        <f aca="false">COUNTIF($D32:$AG32,AM$4)</f>
        <v>0</v>
      </c>
      <c r="AN32" s="282" t="n">
        <f aca="false">COUNTIF($D32:$AG32,AN$4)</f>
        <v>0</v>
      </c>
      <c r="AO32" s="282" t="n">
        <f aca="false">COUNTIF($D32:$AG32,AO$4)</f>
        <v>0</v>
      </c>
      <c r="AP32" s="282" t="n">
        <f aca="false">COUNTIF($D32:$AG32,AP$4)</f>
        <v>0</v>
      </c>
      <c r="AQ32" s="282" t="n">
        <f aca="false">COUNTIF($D32:$AG32,AQ$4)</f>
        <v>0</v>
      </c>
      <c r="AR32" s="279"/>
      <c r="AS32" s="279"/>
      <c r="AT32" s="282" t="n">
        <f aca="false">SUMPRODUCT(--(WEEKDAY(D$3:AH$3,2)&lt;5),--ISNUMBER(MATCH(D32:AH32,{"DM","CS1","CS2","SB1","AE","CS/B"},0)))</f>
        <v>3</v>
      </c>
      <c r="AU32" s="282"/>
      <c r="AV32" s="282" t="n">
        <f aca="false">SUMPRODUCT(--(WEEKDAY(D$3:AH$3,2)=5),--ISNUMBER(MATCH(D32:AH32,{"DM","CS1","CS2","SB1","AE","CS/B","WEEKEND OUTFIELD RESERVE"},0)))</f>
        <v>0</v>
      </c>
      <c r="AW32" s="282" t="n">
        <f aca="false">SUMPRODUCT(--(WEEKDAY(D$3:AH$3,2)&gt;5),--ISNUMBER(MATCH(D32:AH32,{"DM","CS1","CS2","SB1","AE","CS/B","WEEKEND OUTFIELD RESERVE"},0)))</f>
        <v>3</v>
      </c>
      <c r="AX32" s="282"/>
      <c r="AY32" s="282" t="n">
        <f aca="false">(AT32-AU32)+AV32*1.5+(AW32-AX32)*2+AN32*0.5+AP32*0.5+AR32-AS32</f>
        <v>9</v>
      </c>
      <c r="AZ32" s="282" t="n">
        <f aca="false">AT32+AV32+AW32</f>
        <v>6</v>
      </c>
      <c r="BA32" s="282" t="n">
        <f aca="false">BD32+BF32+BH32+BJ32+BL32</f>
        <v>3</v>
      </c>
      <c r="BB32" s="279" t="n">
        <f aca="false">AY32+BC32</f>
        <v>11</v>
      </c>
      <c r="BC32" s="282" t="n">
        <f aca="false">BE32+BG32+BI32+BK32+BM32</f>
        <v>2</v>
      </c>
      <c r="BD32" s="282" t="n">
        <f aca="false">COUNTIF(A32:AI32,"*$BTP*")</f>
        <v>0</v>
      </c>
      <c r="BE32" s="282" t="n">
        <f aca="false">BD32*1.5</f>
        <v>0</v>
      </c>
      <c r="BF32" s="282" t="n">
        <f aca="false">COUNTIF(A32:AI32,"*$M*")</f>
        <v>1</v>
      </c>
      <c r="BG32" s="282" t="n">
        <f aca="false">BF32*1</f>
        <v>1</v>
      </c>
      <c r="BH32" s="282" t="n">
        <f aca="false">COUNTIF(A32:AI32,"*$PM*")</f>
        <v>0</v>
      </c>
      <c r="BI32" s="282" t="n">
        <f aca="false">BH32*0.5</f>
        <v>0</v>
      </c>
      <c r="BJ32" s="282" t="n">
        <f aca="false">COUNTIF(A32:AI32,"*$AM*")</f>
        <v>2</v>
      </c>
      <c r="BK32" s="282" t="n">
        <f aca="false">BJ32*0.5</f>
        <v>1</v>
      </c>
      <c r="BL32" s="282" t="n">
        <f aca="false">COUNTIF(A32:AI32,"*$FC*")</f>
        <v>0</v>
      </c>
      <c r="BM32" s="282" t="n">
        <f aca="false">BL32*1</f>
        <v>0</v>
      </c>
      <c r="BN32" s="282" t="n">
        <f aca="false">(BB32-10)</f>
        <v>1</v>
      </c>
      <c r="BO32" s="282" t="n">
        <f aca="false">COUNTIF($I32:$AB32,BO$4)</f>
        <v>0</v>
      </c>
      <c r="BP32" s="282" t="n">
        <f aca="false">COUNTIF($I32:$AB32,BP$4)</f>
        <v>0</v>
      </c>
      <c r="BQ32" s="282" t="n">
        <f aca="false">COUNTIF($I32:$AB32,BQ$4)</f>
        <v>0</v>
      </c>
      <c r="BR32" s="282"/>
    </row>
    <row r="33" customFormat="false" ht="51.75" hidden="false" customHeight="true" outlineLevel="0" collapsed="false">
      <c r="A33" s="278"/>
      <c r="B33" s="279" t="s">
        <v>639</v>
      </c>
      <c r="C33" s="279"/>
      <c r="D33" s="280"/>
      <c r="E33" s="280"/>
      <c r="F33" s="280"/>
      <c r="H33" s="280"/>
      <c r="I33" s="280" t="s">
        <v>350</v>
      </c>
      <c r="J33" s="280"/>
      <c r="K33" s="280" t="s">
        <v>58</v>
      </c>
      <c r="L33" s="280"/>
      <c r="M33" s="280"/>
      <c r="N33" s="280"/>
      <c r="O33" s="280" t="s">
        <v>58</v>
      </c>
      <c r="P33" s="280" t="s">
        <v>767</v>
      </c>
      <c r="Q33" s="280" t="s">
        <v>93</v>
      </c>
      <c r="S33" s="280" t="s">
        <v>58</v>
      </c>
      <c r="T33" s="280"/>
      <c r="U33" s="280"/>
      <c r="V33" s="280" t="s">
        <v>65</v>
      </c>
      <c r="X33" s="280" t="s">
        <v>65</v>
      </c>
      <c r="Z33" s="289" t="s">
        <v>58</v>
      </c>
      <c r="AA33" s="280"/>
      <c r="AB33" s="280" t="s">
        <v>769</v>
      </c>
      <c r="AC33" s="280" t="s">
        <v>350</v>
      </c>
      <c r="AE33" s="280" t="s">
        <v>65</v>
      </c>
      <c r="AG33" s="280"/>
      <c r="AH33" s="281"/>
      <c r="AI33" s="278" t="n">
        <f aca="false">COUNTIF($D33:$AG33,AI$4)</f>
        <v>0</v>
      </c>
      <c r="AJ33" s="278" t="n">
        <f aca="false">COUNTIF($D33:$AG33,AJ$4)</f>
        <v>0</v>
      </c>
      <c r="AK33" s="278" t="n">
        <f aca="false">COUNTIF($D33:$AG33,AK$4)</f>
        <v>0</v>
      </c>
      <c r="AL33" s="278" t="n">
        <f aca="false">COUNTIF($D33:$AG33,AL$4)</f>
        <v>0</v>
      </c>
      <c r="AM33" s="278" t="n">
        <f aca="false">COUNTIF($D33:$AG33,AM$4)</f>
        <v>4</v>
      </c>
      <c r="AN33" s="278" t="n">
        <f aca="false">COUNTIF($D33:$AG33,AN$4)</f>
        <v>1</v>
      </c>
      <c r="AO33" s="278" t="n">
        <f aca="false">COUNTIF($D33:$AG33,AO$4)</f>
        <v>3</v>
      </c>
      <c r="AP33" s="278" t="n">
        <f aca="false">COUNTIF($D33:$AG33,AP$4)</f>
        <v>1</v>
      </c>
      <c r="AQ33" s="278" t="n">
        <f aca="false">COUNTIF($D33:$AG33,AQ$4)</f>
        <v>0</v>
      </c>
      <c r="AR33" s="279" t="n">
        <v>1.5</v>
      </c>
      <c r="AS33" s="279"/>
      <c r="AT33" s="278" t="n">
        <f aca="false">SUMPRODUCT(--(WEEKDAY(D$3:AH$3,2)&lt;5),--ISNUMBER(MATCH(D33:AH33,{"DM","CS1","CS2","SB1","AE","CS/B"},0)))</f>
        <v>4</v>
      </c>
      <c r="AU33" s="278"/>
      <c r="AV33" s="278" t="n">
        <f aca="false">SUMPRODUCT(--(WEEKDAY(D$3:AH$3,2)=5),--ISNUMBER(MATCH(D33:AH33,{"DM","CS1","CS2","SB1","AE","CS/B","WEEKEND OUTFIELD RESERVE"},0)))</f>
        <v>1</v>
      </c>
      <c r="AW33" s="278" t="n">
        <f aca="false">SUMPRODUCT(--(WEEKDAY(D$3:AH$3,2)&gt;5),--ISNUMBER(MATCH(D33:AH33,{"DM","CS1","CS2","SB1","AE","CS/B","WEEKEND OUTFIELD RESERVE"},0)))</f>
        <v>2</v>
      </c>
      <c r="AX33" s="278"/>
      <c r="AY33" s="278" t="n">
        <f aca="false">(AT33-AU33)+AV33*1.5+(AW33-AX33)*2+AN33*0.5+AP33*0.5+AR33-AS33</f>
        <v>12</v>
      </c>
      <c r="AZ33" s="278" t="n">
        <f aca="false">AT33+AV33+AW33</f>
        <v>7</v>
      </c>
      <c r="BA33" s="278" t="n">
        <f aca="false">BD33+BF33+BH33+BJ33+BL33</f>
        <v>0</v>
      </c>
      <c r="BB33" s="279" t="n">
        <f aca="false">AY33+BC33</f>
        <v>12</v>
      </c>
      <c r="BC33" s="278" t="n">
        <f aca="false">BE33+BG33+BI33+BK33+BM33</f>
        <v>0</v>
      </c>
      <c r="BD33" s="278" t="n">
        <f aca="false">COUNTIF(A33:AI33,"*$BTP*")</f>
        <v>0</v>
      </c>
      <c r="BE33" s="278" t="n">
        <f aca="false">BD33*1.5</f>
        <v>0</v>
      </c>
      <c r="BF33" s="278" t="n">
        <f aca="false">COUNTIF(A33:AI33,"*$M*")</f>
        <v>0</v>
      </c>
      <c r="BG33" s="278" t="n">
        <f aca="false">BF33*1</f>
        <v>0</v>
      </c>
      <c r="BH33" s="278" t="n">
        <f aca="false">COUNTIF(A33:AI33,"*$PM*")</f>
        <v>0</v>
      </c>
      <c r="BI33" s="278" t="n">
        <f aca="false">BH33*0.5</f>
        <v>0</v>
      </c>
      <c r="BJ33" s="278" t="n">
        <f aca="false">COUNTIF(A33:AI33,"*$AM*")</f>
        <v>0</v>
      </c>
      <c r="BK33" s="278" t="n">
        <f aca="false">BJ33*0.5</f>
        <v>0</v>
      </c>
      <c r="BL33" s="278" t="n">
        <f aca="false">COUNTIF(A33:AI33,"*$FC*")</f>
        <v>0</v>
      </c>
      <c r="BM33" s="278" t="n">
        <f aca="false">BL33*1</f>
        <v>0</v>
      </c>
      <c r="BN33" s="278" t="n">
        <f aca="false">(BB33-10)</f>
        <v>2</v>
      </c>
      <c r="BO33" s="278" t="n">
        <f aca="false">COUNTIF($E33:$AA33,BO$4)</f>
        <v>0</v>
      </c>
      <c r="BP33" s="278" t="n">
        <f aca="false">COUNTIF($E33:$AA33,BP$4)</f>
        <v>1</v>
      </c>
      <c r="BQ33" s="278" t="n">
        <f aca="false">COUNTIF($E33:$AA33,BQ$4)</f>
        <v>0</v>
      </c>
      <c r="BR33" s="278"/>
    </row>
    <row r="34" customFormat="false" ht="19.5" hidden="false" customHeight="true" outlineLevel="0" collapsed="false">
      <c r="A34" s="282"/>
      <c r="B34" s="279" t="s">
        <v>736</v>
      </c>
      <c r="C34" s="279"/>
      <c r="D34" s="283"/>
      <c r="E34" s="283" t="s">
        <v>59</v>
      </c>
      <c r="F34" s="283"/>
      <c r="G34" s="283" t="s">
        <v>767</v>
      </c>
      <c r="H34" s="283"/>
      <c r="I34" s="283" t="s">
        <v>144</v>
      </c>
      <c r="J34" s="283" t="s">
        <v>56</v>
      </c>
      <c r="K34" s="283"/>
      <c r="L34" s="283" t="s">
        <v>573</v>
      </c>
      <c r="M34" s="283"/>
      <c r="N34" s="283" t="s">
        <v>56</v>
      </c>
      <c r="P34" s="283"/>
      <c r="Q34" s="283" t="s">
        <v>566</v>
      </c>
      <c r="R34" s="283"/>
      <c r="S34" s="283"/>
      <c r="T34" s="283"/>
      <c r="U34" s="283" t="s">
        <v>573</v>
      </c>
      <c r="V34" s="283" t="s">
        <v>93</v>
      </c>
      <c r="X34" s="283" t="s">
        <v>56</v>
      </c>
      <c r="Z34" s="283"/>
      <c r="AA34" s="283" t="s">
        <v>566</v>
      </c>
      <c r="AB34" s="283"/>
      <c r="AC34" s="283" t="s">
        <v>796</v>
      </c>
      <c r="AD34" s="283"/>
      <c r="AE34" s="283"/>
      <c r="AG34" s="283"/>
      <c r="AH34" s="283"/>
      <c r="AI34" s="282" t="n">
        <f aca="false">COUNTIF($D34:$AG34,AI$4)</f>
        <v>0</v>
      </c>
      <c r="AJ34" s="282" t="n">
        <f aca="false">COUNTIF($D34:$AG34,AJ$4)</f>
        <v>3</v>
      </c>
      <c r="AK34" s="282" t="n">
        <f aca="false">COUNTIF($D34:$AG34,AK$4)</f>
        <v>1</v>
      </c>
      <c r="AL34" s="282" t="n">
        <f aca="false">COUNTIF($D34:$AG34,AL$4)</f>
        <v>2</v>
      </c>
      <c r="AM34" s="282" t="n">
        <f aca="false">COUNTIF($D34:$AG34,AM$4)</f>
        <v>0</v>
      </c>
      <c r="AN34" s="282" t="n">
        <f aca="false">COUNTIF($D34:$AG34,AN$4)</f>
        <v>1</v>
      </c>
      <c r="AO34" s="282" t="n">
        <f aca="false">COUNTIF($D34:$AG34,AO$4)</f>
        <v>0</v>
      </c>
      <c r="AP34" s="282" t="n">
        <f aca="false">COUNTIF($D34:$AG34,AP$4)</f>
        <v>1</v>
      </c>
      <c r="AQ34" s="282" t="n">
        <f aca="false">COUNTIF($D34:$AG34,AQ$4)</f>
        <v>0</v>
      </c>
      <c r="AR34" s="279"/>
      <c r="AS34" s="279" t="n">
        <v>0.5</v>
      </c>
      <c r="AT34" s="282" t="n">
        <f aca="false">SUMPRODUCT(--(WEEKDAY(D$3:AH$3,2)&lt;5),--ISNUMBER(MATCH(D34:AH34,{"DM","CS1","CS2","SB1","AE","CS/B"},0)))</f>
        <v>4</v>
      </c>
      <c r="AU34" s="282"/>
      <c r="AV34" s="282" t="n">
        <f aca="false">SUMPRODUCT(--(WEEKDAY(D$3:AH$3,2)=5),--ISNUMBER(MATCH(D34:AH34,{"DM","CS1","CS2","SB1","AE","CS/B","WEEKEND OUTFIELD RESERVE"},0)))</f>
        <v>0</v>
      </c>
      <c r="AW34" s="282" t="n">
        <f aca="false">SUMPRODUCT(--(WEEKDAY(D$3:AH$3,2)&gt;5),--ISNUMBER(MATCH(D34:AH34,{"DM","CS1","CS2","SB1","AE","CS/B","WEEKEND OUTFIELD RESERVE"},0)))</f>
        <v>2</v>
      </c>
      <c r="AX34" s="282"/>
      <c r="AY34" s="282" t="n">
        <f aca="false">(AT34-AU34)+AV34*1.5+(AW34-AX34)*2+AN34*0.5+AP34*0.5+AR34-AS34</f>
        <v>8.5</v>
      </c>
      <c r="AZ34" s="282" t="n">
        <f aca="false">AT34+AV34+AW34</f>
        <v>6</v>
      </c>
      <c r="BA34" s="282" t="n">
        <f aca="false">BD34+BF34+BH34+BJ34+BL34</f>
        <v>2</v>
      </c>
      <c r="BB34" s="279" t="n">
        <f aca="false">AY34+BC34</f>
        <v>10</v>
      </c>
      <c r="BC34" s="282" t="n">
        <f aca="false">BE34+BG34+BI34+BK34+BM34</f>
        <v>1.5</v>
      </c>
      <c r="BD34" s="282" t="n">
        <f aca="false">COUNTIF(A34:AI34,"*$BTP*")</f>
        <v>0</v>
      </c>
      <c r="BE34" s="282" t="n">
        <f aca="false">BD34*1.5</f>
        <v>0</v>
      </c>
      <c r="BF34" s="282" t="n">
        <f aca="false">COUNTIF(A34:AI34,"*$M*")</f>
        <v>1</v>
      </c>
      <c r="BG34" s="282" t="n">
        <f aca="false">BF34*1</f>
        <v>1</v>
      </c>
      <c r="BH34" s="282" t="n">
        <f aca="false">COUNTIF(A34:AI34,"*$PM*")</f>
        <v>0</v>
      </c>
      <c r="BI34" s="282" t="n">
        <f aca="false">BH34*0.5</f>
        <v>0</v>
      </c>
      <c r="BJ34" s="282" t="n">
        <f aca="false">COUNTIF(A34:AI34,"*$AM*")</f>
        <v>1</v>
      </c>
      <c r="BK34" s="282" t="n">
        <f aca="false">BJ34*0.5</f>
        <v>0.5</v>
      </c>
      <c r="BL34" s="282" t="n">
        <f aca="false">COUNTIF(A34:AI34,"*$FC*")</f>
        <v>0</v>
      </c>
      <c r="BM34" s="282" t="n">
        <f aca="false">BL34*1</f>
        <v>0</v>
      </c>
      <c r="BN34" s="282" t="n">
        <f aca="false">(BB34-10)</f>
        <v>0</v>
      </c>
      <c r="BO34" s="282" t="n">
        <f aca="false">COUNTIF($E34:$AB34,BO$4)</f>
        <v>0</v>
      </c>
      <c r="BP34" s="282" t="n">
        <f aca="false">COUNTIF($E34:$AB34,BP$4)</f>
        <v>0</v>
      </c>
      <c r="BQ34" s="282" t="n">
        <f aca="false">COUNTIF($E34:$AB34,BQ$4)</f>
        <v>0</v>
      </c>
      <c r="BR34" s="282"/>
    </row>
    <row r="35" customFormat="false" ht="19.5" hidden="false" customHeight="true" outlineLevel="0" collapsed="false">
      <c r="A35" s="278"/>
      <c r="B35" s="279" t="s">
        <v>739</v>
      </c>
      <c r="C35" s="279"/>
      <c r="D35" s="280" t="s">
        <v>56</v>
      </c>
      <c r="E35" s="280"/>
      <c r="F35" s="280"/>
      <c r="G35" s="280"/>
      <c r="H35" s="280" t="s">
        <v>58</v>
      </c>
      <c r="I35" s="280" t="s">
        <v>797</v>
      </c>
      <c r="K35" s="280"/>
      <c r="L35" s="280" t="s">
        <v>779</v>
      </c>
      <c r="M35" s="280"/>
      <c r="R35" s="280"/>
      <c r="S35" s="280"/>
      <c r="T35" s="280" t="s">
        <v>65</v>
      </c>
      <c r="U35" s="280"/>
      <c r="W35" s="280" t="s">
        <v>58</v>
      </c>
      <c r="Y35" s="280"/>
      <c r="Z35" s="280"/>
      <c r="AA35" s="280"/>
      <c r="AB35" s="280" t="s">
        <v>798</v>
      </c>
      <c r="AC35" s="280" t="s">
        <v>487</v>
      </c>
      <c r="AD35" s="280" t="s">
        <v>350</v>
      </c>
      <c r="AE35" s="280"/>
      <c r="AG35" s="280"/>
      <c r="AH35" s="280" t="s">
        <v>350</v>
      </c>
      <c r="AI35" s="278" t="n">
        <f aca="false">COUNTIF($D35:$AG35,AI$4)</f>
        <v>0</v>
      </c>
      <c r="AJ35" s="278" t="n">
        <f aca="false">COUNTIF($D35:$AG35,AJ$4)</f>
        <v>1</v>
      </c>
      <c r="AK35" s="278" t="n">
        <f aca="false">COUNTIF($D35:$AG35,AK$4)</f>
        <v>0</v>
      </c>
      <c r="AL35" s="278" t="n">
        <f aca="false">COUNTIF($D35:$AG35,AL$4)</f>
        <v>0</v>
      </c>
      <c r="AM35" s="278" t="n">
        <f aca="false">COUNTIF($D35:$AG35,AM$4)</f>
        <v>2</v>
      </c>
      <c r="AN35" s="278" t="n">
        <f aca="false">COUNTIF($D35:$AG35,AN$4)</f>
        <v>0</v>
      </c>
      <c r="AO35" s="278" t="n">
        <f aca="false">COUNTIF($D35:$AG35,AO$4)</f>
        <v>1</v>
      </c>
      <c r="AP35" s="278" t="n">
        <f aca="false">COUNTIF($D35:$AG35,AP$4)</f>
        <v>0</v>
      </c>
      <c r="AQ35" s="278" t="n">
        <f aca="false">COUNTIF($D35:$AG35,AQ$4)</f>
        <v>0</v>
      </c>
      <c r="AR35" s="279"/>
      <c r="AS35" s="279"/>
      <c r="AT35" s="278" t="n">
        <f aca="false">SUMPRODUCT(--(WEEKDAY(D$3:AH$3,2)&lt;5),--ISNUMBER(MATCH(D35:AH35,{"DM","CS1","CS2","SB1","AE","CS/B"},0)))</f>
        <v>2</v>
      </c>
      <c r="AU35" s="278"/>
      <c r="AV35" s="278" t="n">
        <f aca="false">SUMPRODUCT(--(WEEKDAY(D$3:AH$3,2)=5),--ISNUMBER(MATCH(D35:AH35,{"DM","CS1","CS2","SB1","AE","CS/B","WEEKEND OUTFIELD RESERVE"},0)))</f>
        <v>1</v>
      </c>
      <c r="AW35" s="278" t="n">
        <f aca="false">SUMPRODUCT(--(WEEKDAY(D$3:AH$3,2)&gt;5),--ISNUMBER(MATCH(D35:AH35,{"DM","CS1","CS2","SB1","AE","CS/B","WEEKEND OUTFIELD RESERVE"},0)))</f>
        <v>1</v>
      </c>
      <c r="AX35" s="278"/>
      <c r="AY35" s="278" t="n">
        <f aca="false">(AT35-AU35)+AV35*1.5+(AW35-AX35)*2+AN35*0.5+AP35*0.5+AR35-AS35</f>
        <v>5.5</v>
      </c>
      <c r="AZ35" s="278" t="n">
        <f aca="false">AT35+AV35+AW35</f>
        <v>4</v>
      </c>
      <c r="BA35" s="278" t="n">
        <f aca="false">BD35+BF35+BH35+BJ35+BL35</f>
        <v>3</v>
      </c>
      <c r="BB35" s="279" t="n">
        <f aca="false">AY35+BC35</f>
        <v>8.5</v>
      </c>
      <c r="BC35" s="278" t="n">
        <f aca="false">BE35+BG35+BI35+BK35+BM35</f>
        <v>3</v>
      </c>
      <c r="BD35" s="278" t="n">
        <f aca="false">COUNTIF(A35:AI35,"*$BTP*")</f>
        <v>1</v>
      </c>
      <c r="BE35" s="278" t="n">
        <f aca="false">BD35*1.5</f>
        <v>1.5</v>
      </c>
      <c r="BF35" s="278" t="n">
        <f aca="false">COUNTIF(A35:AI35,"*$M*")</f>
        <v>1</v>
      </c>
      <c r="BG35" s="278" t="n">
        <f aca="false">BF35*1</f>
        <v>1</v>
      </c>
      <c r="BH35" s="278" t="n">
        <f aca="false">COUNTIF(A35:AI35,"*$PM*")</f>
        <v>1</v>
      </c>
      <c r="BI35" s="278" t="n">
        <f aca="false">BH35*0.5</f>
        <v>0.5</v>
      </c>
      <c r="BJ35" s="278" t="n">
        <f aca="false">COUNTIF(A35:AI35,"*$AM*")</f>
        <v>0</v>
      </c>
      <c r="BK35" s="278" t="n">
        <f aca="false">BJ35*0.5</f>
        <v>0</v>
      </c>
      <c r="BL35" s="278" t="n">
        <f aca="false">COUNTIF(A35:AI35,"*$FC*")</f>
        <v>0</v>
      </c>
      <c r="BM35" s="278" t="n">
        <f aca="false">BL35*1</f>
        <v>0</v>
      </c>
      <c r="BN35" s="278" t="n">
        <f aca="false">(BB35-10)</f>
        <v>-1.5</v>
      </c>
      <c r="BO35" s="278" t="n">
        <f aca="false">COUNTIF($E35:$Z35,BO$4)</f>
        <v>0</v>
      </c>
      <c r="BP35" s="278" t="n">
        <f aca="false">COUNTIF($E35:$Z35,BP$4)</f>
        <v>0</v>
      </c>
      <c r="BQ35" s="278" t="n">
        <f aca="false">COUNTIF($E35:$Z35,BQ$4)</f>
        <v>0</v>
      </c>
      <c r="BR35" s="278"/>
    </row>
    <row r="36" customFormat="false" ht="19.5" hidden="false" customHeight="true" outlineLevel="0" collapsed="false">
      <c r="A36" s="282"/>
      <c r="B36" s="279" t="s">
        <v>649</v>
      </c>
      <c r="C36" s="279"/>
      <c r="D36" s="283" t="s">
        <v>65</v>
      </c>
      <c r="E36" s="283"/>
      <c r="F36" s="283"/>
      <c r="G36" s="283" t="s">
        <v>566</v>
      </c>
      <c r="H36" s="283"/>
      <c r="I36" s="286" t="s">
        <v>767</v>
      </c>
      <c r="J36" s="283"/>
      <c r="K36" s="283"/>
      <c r="L36" s="283"/>
      <c r="M36" s="283"/>
      <c r="R36" s="283" t="s">
        <v>573</v>
      </c>
      <c r="S36" s="283"/>
      <c r="T36" s="283"/>
      <c r="U36" s="283" t="s">
        <v>799</v>
      </c>
      <c r="V36" s="283" t="s">
        <v>800</v>
      </c>
      <c r="W36" s="283" t="s">
        <v>65</v>
      </c>
      <c r="X36" s="283"/>
      <c r="Y36" s="283" t="s">
        <v>801</v>
      </c>
      <c r="Z36" s="285"/>
      <c r="AA36" s="283"/>
      <c r="AB36" s="283" t="s">
        <v>93</v>
      </c>
      <c r="AC36" s="283" t="s">
        <v>802</v>
      </c>
      <c r="AD36" s="283"/>
      <c r="AE36" s="181"/>
      <c r="AF36" s="283"/>
      <c r="AG36" s="283" t="s">
        <v>58</v>
      </c>
      <c r="AH36" s="283"/>
      <c r="AI36" s="282" t="n">
        <f aca="false">COUNTIF($D36:$AG36,AI$4)</f>
        <v>0</v>
      </c>
      <c r="AJ36" s="282" t="n">
        <f aca="false">COUNTIF($D36:$AG36,AJ$4)</f>
        <v>0</v>
      </c>
      <c r="AK36" s="282" t="n">
        <f aca="false">COUNTIF($D36:$AG36,AK$4)</f>
        <v>0</v>
      </c>
      <c r="AL36" s="282" t="n">
        <f aca="false">COUNTIF($D36:$AG36,AL$4)</f>
        <v>1</v>
      </c>
      <c r="AM36" s="282" t="n">
        <f aca="false">COUNTIF($D36:$AG36,AM$4)</f>
        <v>1</v>
      </c>
      <c r="AN36" s="282" t="n">
        <f aca="false">COUNTIF($D36:$AG36,AN$4)</f>
        <v>1</v>
      </c>
      <c r="AO36" s="282" t="n">
        <f aca="false">COUNTIF($D36:$AG36,AO$4)</f>
        <v>2</v>
      </c>
      <c r="AP36" s="282" t="n">
        <f aca="false">COUNTIF($D36:$AG36,AP$4)</f>
        <v>1</v>
      </c>
      <c r="AQ36" s="282" t="n">
        <f aca="false">COUNTIF($D36:$AG36,AQ$4)</f>
        <v>0</v>
      </c>
      <c r="AR36" s="279"/>
      <c r="AS36" s="279" t="n">
        <v>0.5</v>
      </c>
      <c r="AT36" s="282" t="n">
        <f aca="false">SUMPRODUCT(--(WEEKDAY(D$3:AH$3,2)&lt;5),--ISNUMBER(MATCH(D36:AH36,{"DM","CS1","CS2","SB1","AE","CS/B"},0)))</f>
        <v>2</v>
      </c>
      <c r="AU36" s="282"/>
      <c r="AV36" s="282" t="n">
        <f aca="false">SUMPRODUCT(--(WEEKDAY(D$3:AH$3,2)=5),--ISNUMBER(MATCH(D36:AH36,{"DM","CS1","CS2","SB1","AE","CS/B","WEEKEND OUTFIELD RESERVE"},0)))</f>
        <v>1</v>
      </c>
      <c r="AW36" s="282" t="n">
        <f aca="false">SUMPRODUCT(--(WEEKDAY(D$3:AH$3,2)&gt;5),--ISNUMBER(MATCH(D36:AH36,{"DM","CS1","CS2","SB1","AE","CS/B","WEEKEND OUTFIELD RESERVE"},0)))</f>
        <v>1</v>
      </c>
      <c r="AX36" s="282"/>
      <c r="AY36" s="282" t="n">
        <f aca="false">(AT36-AU36)+AV36*1.5+(AW36-AX36)*2+AN36*0.5+AP36*0.5+AR36-AS36</f>
        <v>6</v>
      </c>
      <c r="AZ36" s="282" t="n">
        <f aca="false">AT36+AV36+AW36</f>
        <v>4</v>
      </c>
      <c r="BA36" s="282" t="n">
        <f aca="false">BD36+BF36+BH36+BJ36+BL36</f>
        <v>4</v>
      </c>
      <c r="BB36" s="279" t="n">
        <f aca="false">AY36+BC36</f>
        <v>9.5</v>
      </c>
      <c r="BC36" s="282" t="n">
        <f aca="false">BE36+BG36+BI36+BK36+BM36</f>
        <v>3.5</v>
      </c>
      <c r="BD36" s="282" t="n">
        <f aca="false">COUNTIF(A36:AI36,"*$BTP*")</f>
        <v>0</v>
      </c>
      <c r="BE36" s="282" t="n">
        <f aca="false">BD36*1.5</f>
        <v>0</v>
      </c>
      <c r="BF36" s="282" t="n">
        <f aca="false">COUNTIF(A36:AI36,"*$M*")</f>
        <v>3</v>
      </c>
      <c r="BG36" s="282" t="n">
        <f aca="false">BF36*1</f>
        <v>3</v>
      </c>
      <c r="BH36" s="282" t="n">
        <f aca="false">COUNTIF(A36:AI36,"*$PM*")</f>
        <v>0</v>
      </c>
      <c r="BI36" s="282" t="n">
        <f aca="false">BH36*0.5</f>
        <v>0</v>
      </c>
      <c r="BJ36" s="282" t="n">
        <f aca="false">COUNTIF(A36:AI36,"*$AM*")</f>
        <v>1</v>
      </c>
      <c r="BK36" s="282" t="n">
        <f aca="false">BJ36*0.5</f>
        <v>0.5</v>
      </c>
      <c r="BL36" s="282" t="n">
        <f aca="false">COUNTIF(A36:AI36,"*$FC*")</f>
        <v>0</v>
      </c>
      <c r="BM36" s="282" t="n">
        <f aca="false">BL36*1</f>
        <v>0</v>
      </c>
      <c r="BN36" s="282" t="n">
        <f aca="false">(BB36-10)</f>
        <v>-0.5</v>
      </c>
      <c r="BO36" s="282" t="n">
        <f aca="false">COUNTIF($E36:$AA36,BO$4)</f>
        <v>0</v>
      </c>
      <c r="BP36" s="282" t="n">
        <f aca="false">COUNTIF($E36:$AA36,BP$4)</f>
        <v>0</v>
      </c>
      <c r="BQ36" s="282" t="n">
        <f aca="false">COUNTIF($E36:$AA36,BQ$4)</f>
        <v>0</v>
      </c>
      <c r="BR36" s="282"/>
    </row>
    <row r="37" customFormat="false" ht="19.5" hidden="false" customHeight="true" outlineLevel="0" collapsed="false">
      <c r="A37" s="278"/>
      <c r="B37" s="279" t="s">
        <v>657</v>
      </c>
      <c r="C37" s="279"/>
      <c r="D37" s="280"/>
      <c r="E37" s="280"/>
      <c r="F37" s="280"/>
      <c r="G37" s="280"/>
      <c r="H37" s="280" t="s">
        <v>350</v>
      </c>
      <c r="I37" s="280"/>
      <c r="J37" s="280" t="s">
        <v>65</v>
      </c>
      <c r="K37" s="280" t="s">
        <v>93</v>
      </c>
      <c r="L37" s="280"/>
      <c r="M37" s="280"/>
      <c r="N37" s="280" t="s">
        <v>329</v>
      </c>
      <c r="O37" s="280" t="s">
        <v>329</v>
      </c>
      <c r="P37" s="280" t="s">
        <v>329</v>
      </c>
      <c r="Q37" s="280" t="s">
        <v>329</v>
      </c>
      <c r="S37" s="280"/>
      <c r="T37" s="280"/>
      <c r="U37" s="280" t="s">
        <v>93</v>
      </c>
      <c r="W37" s="284" t="s">
        <v>61</v>
      </c>
      <c r="X37" s="280"/>
      <c r="Y37" s="280"/>
      <c r="Z37" s="281"/>
      <c r="AA37" s="280"/>
      <c r="AB37" s="198" t="s">
        <v>769</v>
      </c>
      <c r="AC37" s="280"/>
      <c r="AF37" s="280"/>
      <c r="AG37" s="280"/>
      <c r="AH37" s="280"/>
      <c r="AI37" s="278" t="n">
        <f aca="false">COUNTIF($D37:$AG37,AI$4)</f>
        <v>0</v>
      </c>
      <c r="AJ37" s="278" t="n">
        <f aca="false">COUNTIF($D37:$AG37,AJ$4)</f>
        <v>0</v>
      </c>
      <c r="AK37" s="278" t="n">
        <f aca="false">COUNTIF($D37:$AG37,AK$4)</f>
        <v>0</v>
      </c>
      <c r="AL37" s="278" t="n">
        <f aca="false">COUNTIF($D37:$AG37,AL$4)</f>
        <v>0</v>
      </c>
      <c r="AM37" s="278" t="n">
        <f aca="false">COUNTIF($D37:$AG37,AM$4)</f>
        <v>0</v>
      </c>
      <c r="AN37" s="278" t="n">
        <f aca="false">COUNTIF($D37:$AG37,AN$4)</f>
        <v>2</v>
      </c>
      <c r="AO37" s="278" t="n">
        <f aca="false">COUNTIF($D37:$AG37,AO$4)</f>
        <v>1</v>
      </c>
      <c r="AP37" s="278" t="n">
        <f aca="false">COUNTIF($D37:$AG37,AP$4)</f>
        <v>0</v>
      </c>
      <c r="AQ37" s="278" t="n">
        <f aca="false">COUNTIF($D37:$AG37,AQ$4)</f>
        <v>0</v>
      </c>
      <c r="AR37" s="279"/>
      <c r="AS37" s="279" t="n">
        <v>0.5</v>
      </c>
      <c r="AT37" s="278" t="n">
        <f aca="false">SUMPRODUCT(--(WEEKDAY(D$3:AH$3,2)&lt;5),--ISNUMBER(MATCH(D37:AH37,{"DM","CS1","CS2","SB1","AE","CS/B"},0)))</f>
        <v>1</v>
      </c>
      <c r="AU37" s="278"/>
      <c r="AV37" s="278" t="n">
        <f aca="false">SUMPRODUCT(--(WEEKDAY(D$3:AH$3,2)=5),--ISNUMBER(MATCH(D37:AH37,{"DM","CS1","CS2","SB1","AE","CS/B","WEEKEND OUTFIELD RESERVE"},0)))</f>
        <v>0</v>
      </c>
      <c r="AW37" s="278" t="n">
        <f aca="false">SUMPRODUCT(--(WEEKDAY(D$3:AH$3,2)&gt;5),--ISNUMBER(MATCH(D37:AH37,{"DM","CS1","CS2","SB1","AE","CS/B","WEEKEND OUTFIELD RESERVE"},0)))</f>
        <v>0</v>
      </c>
      <c r="AX37" s="278"/>
      <c r="AY37" s="278" t="n">
        <f aca="false">(AT37-AU37)+AV37*1.5+(AW37-AX37)*2+AN37*0.5+AP37*0.5+AR37-AS37</f>
        <v>1.5</v>
      </c>
      <c r="AZ37" s="278" t="n">
        <f aca="false">AT37+AV37+AW37</f>
        <v>1</v>
      </c>
      <c r="BA37" s="278" t="n">
        <f aca="false">BD37+BF37+BH37+BJ37+BL37</f>
        <v>4</v>
      </c>
      <c r="BB37" s="279" t="n">
        <f aca="false">AY37+BC37</f>
        <v>5.5</v>
      </c>
      <c r="BC37" s="278" t="n">
        <f aca="false">BE37+BG37+BI37+BK37+BM37</f>
        <v>4</v>
      </c>
      <c r="BD37" s="278" t="n">
        <f aca="false">COUNTIF(A37:AI37,"*$BTP*")</f>
        <v>0</v>
      </c>
      <c r="BE37" s="278" t="n">
        <f aca="false">BD37*1.5</f>
        <v>0</v>
      </c>
      <c r="BF37" s="278" t="n">
        <f aca="false">COUNTIF(A37:AI37,"*$M*")</f>
        <v>0</v>
      </c>
      <c r="BG37" s="278" t="n">
        <f aca="false">BF37*1</f>
        <v>0</v>
      </c>
      <c r="BH37" s="278" t="n">
        <f aca="false">COUNTIF(A37:AI37,"*$PM*")</f>
        <v>0</v>
      </c>
      <c r="BI37" s="278" t="n">
        <f aca="false">BH37*0.5</f>
        <v>0</v>
      </c>
      <c r="BJ37" s="278" t="n">
        <f aca="false">COUNTIF(A37:AI37,"*$AM*")</f>
        <v>0</v>
      </c>
      <c r="BK37" s="278" t="n">
        <f aca="false">BJ37*0.5</f>
        <v>0</v>
      </c>
      <c r="BL37" s="278" t="n">
        <f aca="false">COUNTIF(A37:AI37,"*$FC*")</f>
        <v>4</v>
      </c>
      <c r="BM37" s="278" t="n">
        <f aca="false">BL37*1</f>
        <v>4</v>
      </c>
      <c r="BN37" s="278" t="n">
        <f aca="false">(BB37-10)</f>
        <v>-4.5</v>
      </c>
      <c r="BO37" s="278" t="n">
        <f aca="false">COUNTIF($E37:$AA37,BO$4)</f>
        <v>0</v>
      </c>
      <c r="BP37" s="278" t="n">
        <f aca="false">COUNTIF($E37:$AA37,BP$4)</f>
        <v>1</v>
      </c>
      <c r="BQ37" s="278" t="n">
        <f aca="false">COUNTIF($E37:$AA37,BQ$4)</f>
        <v>0</v>
      </c>
      <c r="BR37" s="278"/>
    </row>
    <row r="38" customFormat="false" ht="19.5" hidden="false" customHeight="true" outlineLevel="0" collapsed="false">
      <c r="A38" s="282"/>
      <c r="B38" s="279" t="s">
        <v>659</v>
      </c>
      <c r="C38" s="279"/>
      <c r="D38" s="283"/>
      <c r="E38" s="283"/>
      <c r="F38" s="283"/>
      <c r="G38" s="283"/>
      <c r="I38" s="283" t="s">
        <v>58</v>
      </c>
      <c r="K38" s="283" t="s">
        <v>573</v>
      </c>
      <c r="L38" s="283"/>
      <c r="M38" s="283"/>
      <c r="N38" s="283" t="s">
        <v>782</v>
      </c>
      <c r="O38" s="283" t="s">
        <v>782</v>
      </c>
      <c r="P38" s="283"/>
      <c r="Q38" s="283"/>
      <c r="R38" s="283" t="s">
        <v>58</v>
      </c>
      <c r="S38" s="283"/>
      <c r="T38" s="283"/>
      <c r="U38" s="290" t="s">
        <v>685</v>
      </c>
      <c r="V38" s="286" t="s">
        <v>734</v>
      </c>
      <c r="W38" s="287" t="s">
        <v>61</v>
      </c>
      <c r="X38" s="283" t="s">
        <v>803</v>
      </c>
      <c r="Y38" s="283"/>
      <c r="Z38" s="283"/>
      <c r="AA38" s="283"/>
      <c r="AB38" s="286" t="s">
        <v>769</v>
      </c>
      <c r="AC38" s="283" t="s">
        <v>65</v>
      </c>
      <c r="AD38" s="283"/>
      <c r="AG38" s="283"/>
      <c r="AH38" s="283" t="s">
        <v>65</v>
      </c>
      <c r="AI38" s="282" t="n">
        <f aca="false">COUNTIF($D38:$AG38,AI$4)</f>
        <v>0</v>
      </c>
      <c r="AJ38" s="282" t="n">
        <f aca="false">COUNTIF($D38:$AG38,AJ$4)</f>
        <v>0</v>
      </c>
      <c r="AK38" s="282" t="n">
        <f aca="false">COUNTIF($D38:$AG38,AK$4)</f>
        <v>0</v>
      </c>
      <c r="AL38" s="282" t="n">
        <f aca="false">COUNTIF($D38:$AG38,AL$4)</f>
        <v>0</v>
      </c>
      <c r="AM38" s="282" t="n">
        <f aca="false">COUNTIF($D38:$AG38,AM$4)</f>
        <v>2</v>
      </c>
      <c r="AN38" s="282" t="n">
        <f aca="false">COUNTIF($D38:$AG38,AN$4)</f>
        <v>0</v>
      </c>
      <c r="AO38" s="282" t="n">
        <f aca="false">COUNTIF($D38:$AG38,AO$4)</f>
        <v>1</v>
      </c>
      <c r="AP38" s="282" t="n">
        <f aca="false">COUNTIF($D38:$AG38,AP$4)</f>
        <v>0</v>
      </c>
      <c r="AQ38" s="282" t="n">
        <f aca="false">COUNTIF($D38:$AG38,AQ$4)</f>
        <v>0</v>
      </c>
      <c r="AR38" s="279" t="n">
        <v>1</v>
      </c>
      <c r="AS38" s="279"/>
      <c r="AT38" s="282" t="n">
        <f aca="false">SUMPRODUCT(--(WEEKDAY(D$3:AH$3,2)&lt;5),--ISNUMBER(MATCH(D38:AH38,{"DM","CS1","CS2","SB1","AE","CS/B"},0)))</f>
        <v>2</v>
      </c>
      <c r="AU38" s="282"/>
      <c r="AV38" s="282" t="n">
        <f aca="false">SUMPRODUCT(--(WEEKDAY(D$3:AH$3,2)=5),--ISNUMBER(MATCH(D38:AH38,{"DM","CS1","CS2","SB1","AE","CS/B","WEEKEND OUTFIELD RESERVE"},0)))</f>
        <v>1</v>
      </c>
      <c r="AW38" s="282" t="n">
        <f aca="false">SUMPRODUCT(--(WEEKDAY(D$3:AH$3,2)&gt;5),--ISNUMBER(MATCH(D38:AH38,{"DM","CS1","CS2","SB1","AE","CS/B","WEEKEND OUTFIELD RESERVE"},0)))</f>
        <v>1</v>
      </c>
      <c r="AX38" s="282"/>
      <c r="AY38" s="282" t="n">
        <f aca="false">(AT38-AU38)+AV38*1.5+(AW38-AX38)*2+AN38*0.5+AP38*0.5+AR38-AS38</f>
        <v>6.5</v>
      </c>
      <c r="AZ38" s="282" t="n">
        <f aca="false">AT38+AV38+AW38</f>
        <v>4</v>
      </c>
      <c r="BA38" s="282" t="n">
        <f aca="false">BD38+BF38+BH38+BJ38+BL38</f>
        <v>5</v>
      </c>
      <c r="BB38" s="279" t="n">
        <f aca="false">AY38+BC38</f>
        <v>10</v>
      </c>
      <c r="BC38" s="282" t="n">
        <f aca="false">BE38+BG38+BI38+BK38+BM38</f>
        <v>3.5</v>
      </c>
      <c r="BD38" s="282" t="n">
        <f aca="false">COUNTIF(A38:AI38,"*$BTP*")</f>
        <v>0</v>
      </c>
      <c r="BE38" s="282" t="n">
        <f aca="false">BD38*1.5</f>
        <v>0</v>
      </c>
      <c r="BF38" s="282" t="n">
        <f aca="false">COUNTIF(A38:AI38,"*$M*")</f>
        <v>0</v>
      </c>
      <c r="BG38" s="282" t="n">
        <f aca="false">BF38*1</f>
        <v>0</v>
      </c>
      <c r="BH38" s="282" t="n">
        <f aca="false">COUNTIF(A38:AI38,"*$PM*")</f>
        <v>1</v>
      </c>
      <c r="BI38" s="282" t="n">
        <f aca="false">BH38*0.5</f>
        <v>0.5</v>
      </c>
      <c r="BJ38" s="282" t="n">
        <f aca="false">COUNTIF(A38:AI38,"*$AM*")</f>
        <v>2</v>
      </c>
      <c r="BK38" s="282" t="n">
        <f aca="false">BJ38*0.5</f>
        <v>1</v>
      </c>
      <c r="BL38" s="282" t="n">
        <f aca="false">COUNTIF(A38:AI38,"*$FC*")</f>
        <v>2</v>
      </c>
      <c r="BM38" s="282" t="n">
        <f aca="false">BL38*1</f>
        <v>2</v>
      </c>
      <c r="BN38" s="282" t="n">
        <f aca="false">(BB38-10)</f>
        <v>0</v>
      </c>
      <c r="BO38" s="282" t="n">
        <f aca="false">COUNTIF($E38:$AA38,BO$4)</f>
        <v>0</v>
      </c>
      <c r="BP38" s="282" t="n">
        <f aca="false">COUNTIF($E38:$AA38,BP$4)</f>
        <v>0</v>
      </c>
      <c r="BQ38" s="282" t="n">
        <f aca="false">COUNTIF($E38:$AA38,BQ$4)</f>
        <v>0</v>
      </c>
      <c r="BR38" s="282"/>
    </row>
    <row r="39" customFormat="false" ht="19.5" hidden="false" customHeight="true" outlineLevel="0" collapsed="false">
      <c r="A39" s="278"/>
      <c r="B39" s="279" t="s">
        <v>744</v>
      </c>
      <c r="C39" s="279"/>
      <c r="D39" s="280"/>
      <c r="E39" s="280"/>
      <c r="F39" s="280"/>
      <c r="G39" s="280" t="s">
        <v>65</v>
      </c>
      <c r="H39" s="280"/>
      <c r="J39" s="188" t="s">
        <v>804</v>
      </c>
      <c r="L39" s="280"/>
      <c r="M39" s="280" t="s">
        <v>65</v>
      </c>
      <c r="N39" s="280"/>
      <c r="O39" s="280" t="s">
        <v>805</v>
      </c>
      <c r="Q39" s="198"/>
      <c r="S39" s="280"/>
      <c r="T39" s="280"/>
      <c r="U39" s="280"/>
      <c r="V39" s="280" t="s">
        <v>573</v>
      </c>
      <c r="W39" s="284" t="s">
        <v>71</v>
      </c>
      <c r="X39" s="284" t="s">
        <v>71</v>
      </c>
      <c r="Y39" s="284" t="s">
        <v>71</v>
      </c>
      <c r="Z39" s="280"/>
      <c r="AA39" s="280"/>
      <c r="AB39" s="198" t="s">
        <v>806</v>
      </c>
      <c r="AC39" s="280"/>
      <c r="AD39" s="280" t="s">
        <v>65</v>
      </c>
      <c r="AE39" s="280"/>
      <c r="AF39" s="280" t="s">
        <v>65</v>
      </c>
      <c r="AG39" s="280"/>
      <c r="AH39" s="280"/>
      <c r="AI39" s="278" t="n">
        <f aca="false">COUNTIF($D39:$AG39,AI$4)</f>
        <v>0</v>
      </c>
      <c r="AJ39" s="278" t="n">
        <f aca="false">COUNTIF($D39:$AG39,AJ$4)</f>
        <v>0</v>
      </c>
      <c r="AK39" s="278" t="n">
        <f aca="false">COUNTIF($D39:$AG39,AK$4)</f>
        <v>0</v>
      </c>
      <c r="AL39" s="278" t="n">
        <f aca="false">COUNTIF($D39:$AG39,AL$4)</f>
        <v>0</v>
      </c>
      <c r="AM39" s="278" t="n">
        <f aca="false">COUNTIF($D39:$AG39,AM$4)</f>
        <v>0</v>
      </c>
      <c r="AN39" s="278" t="n">
        <f aca="false">COUNTIF($D39:$AG39,AN$4)</f>
        <v>0</v>
      </c>
      <c r="AO39" s="278" t="n">
        <f aca="false">COUNTIF($D39:$AG39,AO$4)</f>
        <v>4</v>
      </c>
      <c r="AP39" s="278" t="n">
        <f aca="false">COUNTIF($D39:$AG39,AP$4)</f>
        <v>0</v>
      </c>
      <c r="AQ39" s="278" t="n">
        <f aca="false">COUNTIF($D39:$AG39,AQ$4)</f>
        <v>0</v>
      </c>
      <c r="AR39" s="279" t="n">
        <v>0</v>
      </c>
      <c r="AS39" s="279"/>
      <c r="AT39" s="278" t="n">
        <f aca="false">SUMPRODUCT(--(WEEKDAY(D$3:AH$3,2)&lt;5),--ISNUMBER(MATCH(D39:AH39,{"DM","CS1","CS2","SB1","AE","CS/B"},0)))</f>
        <v>2</v>
      </c>
      <c r="AU39" s="278"/>
      <c r="AV39" s="278" t="n">
        <f aca="false">SUMPRODUCT(--(WEEKDAY(D$3:AH$3,2)=5),--ISNUMBER(MATCH(D39:AH39,{"DM","CS1","CS2","SB1","AE","CS/B","WEEKEND OUTFIELD RESERVE"},0)))</f>
        <v>1</v>
      </c>
      <c r="AW39" s="278" t="n">
        <f aca="false">SUMPRODUCT(--(WEEKDAY(D$3:AH$3,2)&gt;5),--ISNUMBER(MATCH(D39:AH39,{"DM","CS1","CS2","SB1","AE","CS/B","WEEKEND OUTFIELD RESERVE"},0)))</f>
        <v>1</v>
      </c>
      <c r="AX39" s="278"/>
      <c r="AY39" s="278" t="n">
        <f aca="false">(AT39-AU39)+AV39*1.5+(AW39-AX39)*2+AN39*0.5+AP39*0.5+AR39-AS39</f>
        <v>5.5</v>
      </c>
      <c r="AZ39" s="278" t="n">
        <f aca="false">AT39+AV39+AW39</f>
        <v>4</v>
      </c>
      <c r="BA39" s="278" t="n">
        <f aca="false">BD39+BF39+BH39+BJ39+BL39</f>
        <v>3</v>
      </c>
      <c r="BB39" s="279" t="n">
        <f aca="false">AY39+BC39</f>
        <v>8</v>
      </c>
      <c r="BC39" s="278" t="n">
        <f aca="false">BE39+BG39+BI39+BK39+BM39</f>
        <v>2.5</v>
      </c>
      <c r="BD39" s="278" t="n">
        <f aca="false">COUNTIF(A39:AI39,"*$BTP*")</f>
        <v>0</v>
      </c>
      <c r="BE39" s="278" t="n">
        <f aca="false">BD39*1.5</f>
        <v>0</v>
      </c>
      <c r="BF39" s="278" t="n">
        <f aca="false">COUNTIF(A39:AI39,"*$M*")</f>
        <v>2</v>
      </c>
      <c r="BG39" s="278" t="n">
        <f aca="false">BF39*1</f>
        <v>2</v>
      </c>
      <c r="BH39" s="278" t="n">
        <f aca="false">COUNTIF(A39:AI39,"*$PM*")</f>
        <v>0</v>
      </c>
      <c r="BI39" s="278" t="n">
        <f aca="false">BH39*0.5</f>
        <v>0</v>
      </c>
      <c r="BJ39" s="278" t="n">
        <f aca="false">COUNTIF(A39:AI39,"*$AM*")</f>
        <v>1</v>
      </c>
      <c r="BK39" s="278" t="n">
        <f aca="false">BJ39*0.5</f>
        <v>0.5</v>
      </c>
      <c r="BL39" s="278" t="n">
        <f aca="false">COUNTIF(A39:AI39,"*$FC*")</f>
        <v>0</v>
      </c>
      <c r="BM39" s="278" t="n">
        <f aca="false">BL39*1</f>
        <v>0</v>
      </c>
      <c r="BN39" s="278" t="n">
        <f aca="false">(BB39-10)</f>
        <v>-2</v>
      </c>
      <c r="BO39" s="278" t="n">
        <f aca="false">COUNTIF($E39:$Z39,BO$4)</f>
        <v>0</v>
      </c>
      <c r="BP39" s="278" t="n">
        <f aca="false">COUNTIF($E39:$Z39,BP$4)</f>
        <v>0</v>
      </c>
      <c r="BQ39" s="278" t="n">
        <f aca="false">COUNTIF($E39:$Z39,BQ$4)</f>
        <v>0</v>
      </c>
      <c r="BR39" s="278"/>
    </row>
    <row r="40" customFormat="false" ht="19.5" hidden="false" customHeight="true" outlineLevel="0" collapsed="false">
      <c r="A40" s="282"/>
      <c r="B40" s="279" t="s">
        <v>748</v>
      </c>
      <c r="C40" s="279"/>
      <c r="D40" s="283"/>
      <c r="E40" s="283"/>
      <c r="F40" s="283"/>
      <c r="G40" s="283" t="s">
        <v>354</v>
      </c>
      <c r="H40" s="283"/>
      <c r="I40" s="283" t="s">
        <v>65</v>
      </c>
      <c r="J40" s="283"/>
      <c r="K40" s="283"/>
      <c r="L40" s="283" t="s">
        <v>65</v>
      </c>
      <c r="M40" s="283"/>
      <c r="N40" s="283"/>
      <c r="P40" s="283" t="s">
        <v>65</v>
      </c>
      <c r="Q40" s="283"/>
      <c r="R40" s="283"/>
      <c r="S40" s="283"/>
      <c r="T40" s="283"/>
      <c r="U40" s="283" t="s">
        <v>807</v>
      </c>
      <c r="V40" s="283"/>
      <c r="W40" s="287" t="s">
        <v>54</v>
      </c>
      <c r="X40" s="287" t="s">
        <v>54</v>
      </c>
      <c r="Y40" s="287" t="s">
        <v>54</v>
      </c>
      <c r="Z40" s="287" t="s">
        <v>54</v>
      </c>
      <c r="AA40" s="287" t="s">
        <v>54</v>
      </c>
      <c r="AB40" s="287" t="s">
        <v>54</v>
      </c>
      <c r="AC40" s="287" t="s">
        <v>54</v>
      </c>
      <c r="AD40" s="287" t="s">
        <v>54</v>
      </c>
      <c r="AE40" s="287" t="s">
        <v>54</v>
      </c>
      <c r="AF40" s="287" t="s">
        <v>54</v>
      </c>
      <c r="AG40" s="287" t="s">
        <v>54</v>
      </c>
      <c r="AH40" s="287" t="s">
        <v>54</v>
      </c>
      <c r="AI40" s="282" t="n">
        <f aca="false">COUNTIF($D40:$AG40,AI$4)</f>
        <v>0</v>
      </c>
      <c r="AJ40" s="282" t="n">
        <f aca="false">COUNTIF($D40:$AG40,AJ$4)</f>
        <v>0</v>
      </c>
      <c r="AK40" s="282" t="n">
        <f aca="false">COUNTIF($D40:$AG40,AK$4)</f>
        <v>0</v>
      </c>
      <c r="AL40" s="282" t="n">
        <f aca="false">COUNTIF($D40:$AG40,AL$4)</f>
        <v>0</v>
      </c>
      <c r="AM40" s="282" t="n">
        <f aca="false">COUNTIF($D40:$AG40,AM$4)</f>
        <v>0</v>
      </c>
      <c r="AN40" s="282" t="n">
        <f aca="false">COUNTIF($D40:$AG40,AN$4)</f>
        <v>0</v>
      </c>
      <c r="AO40" s="282" t="n">
        <f aca="false">COUNTIF($D40:$AG40,AO$4)</f>
        <v>3</v>
      </c>
      <c r="AP40" s="282" t="n">
        <f aca="false">COUNTIF($D40:$AG40,AP$4)</f>
        <v>0</v>
      </c>
      <c r="AQ40" s="282" t="n">
        <f aca="false">COUNTIF($D40:$AG40,AQ$4)</f>
        <v>0</v>
      </c>
      <c r="AR40" s="279" t="n">
        <v>2</v>
      </c>
      <c r="AS40" s="279"/>
      <c r="AT40" s="282" t="n">
        <f aca="false">SUMPRODUCT(--(WEEKDAY(D$3:AH$3,2)&lt;5),--ISNUMBER(MATCH(D40:AH40,{"DM","CS1","CS2","SB1","AE","CS/B"},0)))</f>
        <v>2</v>
      </c>
      <c r="AU40" s="282"/>
      <c r="AV40" s="282" t="n">
        <f aca="false">SUMPRODUCT(--(WEEKDAY(D$3:AH$3,2)=5),--ISNUMBER(MATCH(D40:AH40,{"DM","CS1","CS2","SB1","AE","CS/B","WEEKEND OUTFIELD RESERVE"},0)))</f>
        <v>0</v>
      </c>
      <c r="AW40" s="282" t="n">
        <f aca="false">SUMPRODUCT(--(WEEKDAY(D$3:AH$3,2)&gt;5),--ISNUMBER(MATCH(D40:AH40,{"DM","CS1","CS2","SB1","AE","CS/B","WEEKEND OUTFIELD RESERVE"},0)))</f>
        <v>1</v>
      </c>
      <c r="AX40" s="282"/>
      <c r="AY40" s="282" t="n">
        <f aca="false">(AT40-AU40)+AV40*1.5+(AW40-AX40)*2+AN40*0.5+AP40*0.5+AR40-AS40</f>
        <v>6</v>
      </c>
      <c r="AZ40" s="282" t="n">
        <f aca="false">AT40+AV40+AW40</f>
        <v>3</v>
      </c>
      <c r="BA40" s="282" t="n">
        <f aca="false">BD40+BF40+BH40+BJ40+BL40</f>
        <v>2</v>
      </c>
      <c r="BB40" s="279" t="n">
        <f aca="false">AY40+BC40</f>
        <v>7.5</v>
      </c>
      <c r="BC40" s="282" t="n">
        <f aca="false">BE40+BG40+BI40+BK40+BM40</f>
        <v>1.5</v>
      </c>
      <c r="BD40" s="282" t="n">
        <f aca="false">COUNTIF(A40:AI40,"*$BTP*")</f>
        <v>0</v>
      </c>
      <c r="BE40" s="282" t="n">
        <f aca="false">BD40*1.5</f>
        <v>0</v>
      </c>
      <c r="BF40" s="282" t="n">
        <f aca="false">COUNTIF(A40:AI40,"*$M*")</f>
        <v>1</v>
      </c>
      <c r="BG40" s="282" t="n">
        <f aca="false">BF40*1</f>
        <v>1</v>
      </c>
      <c r="BH40" s="282" t="n">
        <f aca="false">COUNTIF(A40:AI40,"*$PM*")</f>
        <v>0</v>
      </c>
      <c r="BI40" s="282" t="n">
        <f aca="false">BH40*0.5</f>
        <v>0</v>
      </c>
      <c r="BJ40" s="282" t="n">
        <f aca="false">COUNTIF(A40:AI40,"*$AM*")</f>
        <v>1</v>
      </c>
      <c r="BK40" s="282" t="n">
        <f aca="false">BJ40*0.5</f>
        <v>0.5</v>
      </c>
      <c r="BL40" s="282" t="n">
        <f aca="false">COUNTIF(A40:AI40,"*$FC*")</f>
        <v>0</v>
      </c>
      <c r="BM40" s="282" t="n">
        <f aca="false">BL40*1</f>
        <v>0</v>
      </c>
      <c r="BN40" s="282" t="n">
        <f aca="false">(BB40-10)</f>
        <v>-2.5</v>
      </c>
      <c r="BO40" s="282" t="n">
        <f aca="false">COUNTIF($E40:$AA40,BO$4)</f>
        <v>0</v>
      </c>
      <c r="BP40" s="282" t="n">
        <f aca="false">COUNTIF($E40:$AA40,BP$4)</f>
        <v>0</v>
      </c>
      <c r="BQ40" s="282" t="n">
        <f aca="false">COUNTIF($E40:$AA40,BQ$4)</f>
        <v>0</v>
      </c>
      <c r="BR40" s="282"/>
    </row>
    <row r="41" customFormat="false" ht="19.5" hidden="false" customHeight="true" outlineLevel="0" collapsed="false">
      <c r="A41" s="278"/>
      <c r="B41" s="279" t="s">
        <v>752</v>
      </c>
      <c r="C41" s="279"/>
      <c r="D41" s="280"/>
      <c r="E41" s="280" t="s">
        <v>65</v>
      </c>
      <c r="F41" s="280"/>
      <c r="G41" s="280" t="s">
        <v>777</v>
      </c>
      <c r="I41" s="280" t="s">
        <v>781</v>
      </c>
      <c r="K41" s="280" t="s">
        <v>713</v>
      </c>
      <c r="L41" s="280"/>
      <c r="M41" s="280"/>
      <c r="N41" s="280" t="s">
        <v>65</v>
      </c>
      <c r="P41" s="280" t="s">
        <v>808</v>
      </c>
      <c r="Q41" s="280"/>
      <c r="R41" s="280" t="s">
        <v>65</v>
      </c>
      <c r="S41" s="280"/>
      <c r="T41" s="280"/>
      <c r="U41" s="280" t="s">
        <v>65</v>
      </c>
      <c r="W41" s="280" t="s">
        <v>809</v>
      </c>
      <c r="X41" s="280"/>
      <c r="Y41" s="280"/>
      <c r="Z41" s="280"/>
      <c r="AA41" s="280"/>
      <c r="AB41" s="280" t="s">
        <v>573</v>
      </c>
      <c r="AD41" s="280"/>
      <c r="AE41" s="280"/>
      <c r="AG41" s="280" t="s">
        <v>810</v>
      </c>
      <c r="AH41" s="280"/>
      <c r="AI41" s="278" t="n">
        <f aca="false">COUNTIF($D41:$AG41,AI$4)</f>
        <v>0</v>
      </c>
      <c r="AJ41" s="278" t="n">
        <f aca="false">COUNTIF($D41:$AG41,AJ$4)</f>
        <v>0</v>
      </c>
      <c r="AK41" s="278" t="n">
        <f aca="false">COUNTIF($D41:$AG41,AK$4)</f>
        <v>0</v>
      </c>
      <c r="AL41" s="278" t="n">
        <f aca="false">COUNTIF($D41:$AG41,AL$4)</f>
        <v>0</v>
      </c>
      <c r="AM41" s="278" t="n">
        <f aca="false">COUNTIF($D41:$AG41,AM$4)</f>
        <v>0</v>
      </c>
      <c r="AN41" s="278" t="n">
        <f aca="false">COUNTIF($D41:$AG41,AN$4)</f>
        <v>0</v>
      </c>
      <c r="AO41" s="278" t="n">
        <f aca="false">COUNTIF($D41:$AG41,AO$4)</f>
        <v>4</v>
      </c>
      <c r="AP41" s="278" t="n">
        <f aca="false">COUNTIF($D41:$AG41,AP$4)</f>
        <v>0</v>
      </c>
      <c r="AQ41" s="278" t="n">
        <f aca="false">COUNTIF($D41:$AG41,AQ$4)</f>
        <v>0</v>
      </c>
      <c r="AR41" s="279" t="n">
        <v>0</v>
      </c>
      <c r="AS41" s="279"/>
      <c r="AT41" s="278" t="n">
        <f aca="false">SUMPRODUCT(--(WEEKDAY(D$3:AH$3,2)&lt;5),--ISNUMBER(MATCH(D41:AH41,{"DM","CS1","CS2","SB1","AE","CS/B"},0)))</f>
        <v>2</v>
      </c>
      <c r="AU41" s="278"/>
      <c r="AV41" s="278" t="n">
        <f aca="false">SUMPRODUCT(--(WEEKDAY(D$3:AH$3,2)=5),--ISNUMBER(MATCH(D41:AH41,{"DM","CS1","CS2","SB1","AE","CS/B","WEEKEND OUTFIELD RESERVE"},0)))</f>
        <v>2</v>
      </c>
      <c r="AW41" s="278" t="n">
        <f aca="false">SUMPRODUCT(--(WEEKDAY(D$3:AH$3,2)&gt;5),--ISNUMBER(MATCH(D41:AH41,{"DM","CS1","CS2","SB1","AE","CS/B","WEEKEND OUTFIELD RESERVE"},0)))</f>
        <v>1</v>
      </c>
      <c r="AX41" s="278"/>
      <c r="AY41" s="278" t="n">
        <f aca="false">(AT41-AU41)+AV41*1.5+(AW41-AX41)*2+AN41*0.5+AP41*0.5+AR41-AS41</f>
        <v>7</v>
      </c>
      <c r="AZ41" s="278" t="n">
        <f aca="false">AT41+AV41+AW41</f>
        <v>5</v>
      </c>
      <c r="BA41" s="278" t="n">
        <f aca="false">BD41+BF41+BH41+BJ41+BL41</f>
        <v>5</v>
      </c>
      <c r="BB41" s="279" t="n">
        <f aca="false">AY41+BC41</f>
        <v>11.5</v>
      </c>
      <c r="BC41" s="278" t="n">
        <f aca="false">BE41+BG41+BI41+BK41+BM41</f>
        <v>4.5</v>
      </c>
      <c r="BD41" s="278" t="n">
        <f aca="false">COUNTIF(A41:AI41,"*$BTP*")</f>
        <v>1</v>
      </c>
      <c r="BE41" s="278" t="n">
        <f aca="false">BD41*1.5</f>
        <v>1.5</v>
      </c>
      <c r="BF41" s="278" t="n">
        <f aca="false">COUNTIF(A41:AI41,"*$M*")</f>
        <v>2</v>
      </c>
      <c r="BG41" s="278" t="n">
        <f aca="false">BF41*1</f>
        <v>2</v>
      </c>
      <c r="BH41" s="278" t="n">
        <f aca="false">COUNTIF(A41:AI41,"*$PM*")</f>
        <v>1</v>
      </c>
      <c r="BI41" s="278" t="n">
        <f aca="false">BH41*0.5</f>
        <v>0.5</v>
      </c>
      <c r="BJ41" s="278" t="n">
        <f aca="false">COUNTIF(A41:AI41,"*$AM*")</f>
        <v>1</v>
      </c>
      <c r="BK41" s="278" t="n">
        <f aca="false">BJ41*0.5</f>
        <v>0.5</v>
      </c>
      <c r="BL41" s="278" t="n">
        <f aca="false">COUNTIF(A41:AI41,"*$FC*")</f>
        <v>0</v>
      </c>
      <c r="BM41" s="278" t="n">
        <f aca="false">BL41*1</f>
        <v>0</v>
      </c>
      <c r="BN41" s="278" t="n">
        <f aca="false">(BB41-10)</f>
        <v>1.5</v>
      </c>
      <c r="BO41" s="278" t="n">
        <f aca="false">COUNTIF($E41:$AA41,BO$4)</f>
        <v>0</v>
      </c>
      <c r="BP41" s="278" t="n">
        <f aca="false">COUNTIF($E41:$AA41,BP$4)</f>
        <v>0</v>
      </c>
      <c r="BQ41" s="278" t="n">
        <f aca="false">COUNTIF($E41:$AA41,BQ$4)</f>
        <v>0</v>
      </c>
      <c r="BR41" s="278"/>
    </row>
    <row r="42" customFormat="false" ht="19.5" hidden="false" customHeight="true" outlineLevel="0" collapsed="false">
      <c r="A42" s="282"/>
      <c r="B42" s="279" t="s">
        <v>753</v>
      </c>
      <c r="C42" s="279"/>
      <c r="D42" s="283"/>
      <c r="E42" s="283"/>
      <c r="F42" s="283" t="s">
        <v>65</v>
      </c>
      <c r="G42" s="283"/>
      <c r="H42" s="283" t="s">
        <v>65</v>
      </c>
      <c r="J42" s="283" t="s">
        <v>811</v>
      </c>
      <c r="L42" s="283"/>
      <c r="M42" s="283"/>
      <c r="N42" s="283"/>
      <c r="O42" s="283"/>
      <c r="P42" s="283" t="s">
        <v>275</v>
      </c>
      <c r="Q42" s="283" t="s">
        <v>573</v>
      </c>
      <c r="R42" s="283" t="s">
        <v>186</v>
      </c>
      <c r="S42" s="283"/>
      <c r="T42" s="283"/>
      <c r="U42" s="283" t="s">
        <v>55</v>
      </c>
      <c r="W42" s="283" t="s">
        <v>176</v>
      </c>
      <c r="X42" s="287" t="s">
        <v>176</v>
      </c>
      <c r="Y42" s="283" t="s">
        <v>176</v>
      </c>
      <c r="Z42" s="283"/>
      <c r="AA42" s="283" t="s">
        <v>65</v>
      </c>
      <c r="AB42" s="283" t="s">
        <v>807</v>
      </c>
      <c r="AC42" s="283"/>
      <c r="AD42" s="283" t="s">
        <v>58</v>
      </c>
      <c r="AE42" s="283"/>
      <c r="AF42" s="283" t="s">
        <v>810</v>
      </c>
      <c r="AG42" s="283"/>
      <c r="AH42" s="283"/>
      <c r="AI42" s="282" t="n">
        <f aca="false">COUNTIF($D42:$AG42,AI$4)</f>
        <v>0</v>
      </c>
      <c r="AJ42" s="282" t="n">
        <f aca="false">COUNTIF($D42:$AG42,AJ$4)</f>
        <v>0</v>
      </c>
      <c r="AK42" s="282" t="n">
        <f aca="false">COUNTIF($D42:$AG42,AK$4)</f>
        <v>0</v>
      </c>
      <c r="AL42" s="282" t="n">
        <f aca="false">COUNTIF($D42:$AG42,AL$4)</f>
        <v>0</v>
      </c>
      <c r="AM42" s="282" t="n">
        <f aca="false">COUNTIF($D42:$AG42,AM$4)</f>
        <v>1</v>
      </c>
      <c r="AN42" s="282" t="n">
        <f aca="false">COUNTIF($D42:$AG42,AN$4)</f>
        <v>0</v>
      </c>
      <c r="AO42" s="282" t="n">
        <f aca="false">COUNTIF($D42:$AG42,AO$4)</f>
        <v>3</v>
      </c>
      <c r="AP42" s="282" t="n">
        <f aca="false">COUNTIF($D42:$AG42,AP$4)</f>
        <v>0</v>
      </c>
      <c r="AQ42" s="282" t="n">
        <f aca="false">COUNTIF($D42:$AG42,AQ$4)</f>
        <v>0</v>
      </c>
      <c r="AR42" s="279" t="n">
        <v>0.5</v>
      </c>
      <c r="AS42" s="279"/>
      <c r="AT42" s="282" t="n">
        <f aca="false">SUMPRODUCT(--(WEEKDAY(D$3:AH$3,2)&lt;5),--ISNUMBER(MATCH(D42:AH42,{"DM","CS1","CS2","SB1","AE","CS/B"},0)))</f>
        <v>2</v>
      </c>
      <c r="AU42" s="282"/>
      <c r="AV42" s="282" t="n">
        <f aca="false">SUMPRODUCT(--(WEEKDAY(D$3:AH$3,2)=5),--ISNUMBER(MATCH(D42:AH42,{"DM","CS1","CS2","SB1","AE","CS/B","WEEKEND OUTFIELD RESERVE"},0)))</f>
        <v>0</v>
      </c>
      <c r="AW42" s="282" t="n">
        <f aca="false">SUMPRODUCT(--(WEEKDAY(D$3:AH$3,2)&gt;5),--ISNUMBER(MATCH(D42:AH42,{"DM","CS1","CS2","SB1","AE","CS/B","WEEKEND OUTFIELD RESERVE"},0)))</f>
        <v>2</v>
      </c>
      <c r="AX42" s="282"/>
      <c r="AY42" s="282" t="n">
        <f aca="false">(AT42-AU42)+AV42*1.5+(AW42-AX42)*2+AN42*0.5+AP42*0.5+AR42-AS42</f>
        <v>6.5</v>
      </c>
      <c r="AZ42" s="282" t="n">
        <f aca="false">AT42+AV42+AW42</f>
        <v>4</v>
      </c>
      <c r="BA42" s="282" t="n">
        <f aca="false">BD42+BF42+BH42+BJ42+BL42</f>
        <v>4</v>
      </c>
      <c r="BB42" s="279" t="n">
        <f aca="false">AY42+BC42</f>
        <v>9.5</v>
      </c>
      <c r="BC42" s="282" t="n">
        <f aca="false">BE42+BG42+BI42+BK42+BM42</f>
        <v>3</v>
      </c>
      <c r="BD42" s="282" t="n">
        <f aca="false">COUNTIF(A42:AI42,"*$BTP*")</f>
        <v>0</v>
      </c>
      <c r="BE42" s="282" t="n">
        <f aca="false">BD42*1.5</f>
        <v>0</v>
      </c>
      <c r="BF42" s="282" t="n">
        <f aca="false">COUNTIF(A42:AI42,"*$M*")</f>
        <v>2</v>
      </c>
      <c r="BG42" s="282" t="n">
        <f aca="false">BF42*1</f>
        <v>2</v>
      </c>
      <c r="BH42" s="282" t="n">
        <f aca="false">COUNTIF(A42:AI42,"*$PM*")</f>
        <v>1</v>
      </c>
      <c r="BI42" s="282" t="n">
        <f aca="false">BH42*0.5</f>
        <v>0.5</v>
      </c>
      <c r="BJ42" s="282" t="n">
        <f aca="false">COUNTIF(A42:AI42,"*$AM*")</f>
        <v>1</v>
      </c>
      <c r="BK42" s="282" t="n">
        <f aca="false">BJ42*0.5</f>
        <v>0.5</v>
      </c>
      <c r="BL42" s="282" t="n">
        <f aca="false">COUNTIF(A42:AI42,"*$FC*")</f>
        <v>0</v>
      </c>
      <c r="BM42" s="282" t="n">
        <f aca="false">BL42*1</f>
        <v>0</v>
      </c>
      <c r="BN42" s="282" t="n">
        <f aca="false">(BB42-10)</f>
        <v>-0.5</v>
      </c>
      <c r="BO42" s="282" t="n">
        <f aca="false">COUNTIF($E42:$Z42,BO$4)</f>
        <v>0</v>
      </c>
      <c r="BP42" s="282" t="n">
        <f aca="false">COUNTIF($E42:$Z42,BP$4)</f>
        <v>0</v>
      </c>
      <c r="BQ42" s="282" t="n">
        <f aca="false">COUNTIF($E42:$Z42,BQ$4)</f>
        <v>1</v>
      </c>
      <c r="BR42" s="282"/>
    </row>
    <row r="43" customFormat="false" ht="19.5" hidden="false" customHeight="true" outlineLevel="0" collapsed="false">
      <c r="A43" s="278"/>
      <c r="B43" s="280"/>
      <c r="C43" s="280"/>
      <c r="D43" s="280"/>
      <c r="E43" s="280"/>
      <c r="F43" s="280"/>
      <c r="G43" s="280"/>
      <c r="H43" s="280"/>
      <c r="I43" s="280"/>
      <c r="J43" s="280"/>
      <c r="K43" s="280"/>
      <c r="L43" s="280"/>
      <c r="M43" s="280"/>
      <c r="N43" s="280"/>
      <c r="O43" s="280"/>
      <c r="P43" s="280"/>
      <c r="Q43" s="280"/>
      <c r="R43" s="280"/>
      <c r="S43" s="280"/>
      <c r="T43" s="280"/>
      <c r="U43" s="280"/>
      <c r="V43" s="280"/>
      <c r="W43" s="280"/>
      <c r="X43" s="280"/>
      <c r="Y43" s="280"/>
      <c r="Z43" s="280"/>
      <c r="AA43" s="280"/>
      <c r="AB43" s="280"/>
      <c r="AC43" s="280"/>
      <c r="AD43" s="280"/>
      <c r="AE43" s="280"/>
      <c r="AF43" s="280"/>
      <c r="AG43" s="280"/>
      <c r="AH43" s="280"/>
      <c r="AI43" s="278"/>
      <c r="AJ43" s="278"/>
      <c r="AK43" s="278"/>
      <c r="AL43" s="278"/>
      <c r="AM43" s="278"/>
      <c r="AN43" s="278"/>
      <c r="AO43" s="278"/>
      <c r="AP43" s="278"/>
      <c r="AQ43" s="278"/>
      <c r="AR43" s="279"/>
      <c r="AS43" s="279"/>
      <c r="AT43" s="278"/>
      <c r="AU43" s="278"/>
      <c r="AV43" s="278"/>
      <c r="AW43" s="278" t="n">
        <f aca="false">SUMPRODUCT(--(WEEKDAY(D$3:AG$3,2)&gt;5),--ISNUMBER(MATCH(D43:AG43,{"DM","CS1","CS2","SB1","AE","CS/B"},0)))</f>
        <v>0</v>
      </c>
      <c r="AX43" s="278"/>
      <c r="AY43" s="278"/>
      <c r="AZ43" s="278"/>
      <c r="BA43" s="278"/>
      <c r="BB43" s="279"/>
      <c r="BC43" s="278"/>
      <c r="BD43" s="278"/>
      <c r="BE43" s="278"/>
      <c r="BF43" s="278"/>
      <c r="BG43" s="278"/>
      <c r="BH43" s="278"/>
      <c r="BI43" s="278"/>
      <c r="BJ43" s="278"/>
      <c r="BK43" s="278"/>
      <c r="BL43" s="278"/>
      <c r="BM43" s="278"/>
      <c r="BN43" s="278"/>
      <c r="BO43" s="278"/>
      <c r="BP43" s="278"/>
      <c r="BQ43" s="278"/>
      <c r="BR43" s="278"/>
    </row>
    <row r="44" customFormat="false" ht="19.5" hidden="false" customHeight="true" outlineLevel="0" collapsed="false">
      <c r="A44" s="282"/>
      <c r="B44" s="283" t="s">
        <v>57</v>
      </c>
      <c r="C44" s="283"/>
      <c r="D44" s="291" t="str">
        <f aca="false">INDEX($B$4:$B$42,MATCH($B44,D$4:D$42,0))</f>
        <v>CPL GOH DI XUAN</v>
      </c>
      <c r="E44" s="291" t="str">
        <f aca="false">INDEX($B$4:$B$42,MATCH($B44,E$4:E$42,0))</f>
        <v>CPL GERALD TAN </v>
      </c>
      <c r="F44" s="291" t="str">
        <f aca="false">INDEX($B$4:$B$42,MATCH($B44,F$4:F$42,0))</f>
        <v>LCP MATTHEW HWANG YEW SENG</v>
      </c>
      <c r="G44" s="291" t="str">
        <f aca="false">INDEX($B$4:$B$42,MATCH($B44,G$4:G$42,0))</f>
        <v>LCP EKLAYVA PINGALI</v>
      </c>
      <c r="H44" s="291" t="str">
        <f aca="false">INDEX($B$4:$B$42,MATCH($B44,H$4:H$42,0))</f>
        <v>CPL GERALD TAN </v>
      </c>
      <c r="I44" s="291" t="str">
        <f aca="false">INDEX($B$4:$B$42,MATCH($B44,I$4:I$41,0))</f>
        <v>CFC DERRICK CHIN</v>
      </c>
      <c r="J44" s="291" t="str">
        <f aca="false">INDEX($B$4:$B$42,MATCH($B44,J$4:J$42,0))</f>
        <v>LCP QUEK ZI YI</v>
      </c>
      <c r="K44" s="291" t="str">
        <f aca="false">INDEX($B$4:$B$42,MATCH($B44,K$4:K$41,0))</f>
        <v>CPL HO SHENGHUI HAYDEN</v>
      </c>
      <c r="L44" s="291" t="str">
        <f aca="false">INDEX($B$4:$B$42,MATCH($B44,L$4:L$42,0))</f>
        <v>3SG SAMUEL TAN ENG WEE</v>
      </c>
      <c r="M44" s="291" t="str">
        <f aca="false">INDEX($B$4:$B$42,MATCH($B44,M$4:M$42,0))</f>
        <v>LCP ZHANG ZHONGHAO</v>
      </c>
      <c r="N44" s="291" t="str">
        <f aca="false">INDEX($B$4:$B$42,MATCH($B44,N$4:N$42,0))</f>
        <v>LCP MATTHEW HWANG YEW SENG</v>
      </c>
      <c r="O44" s="291" t="str">
        <f aca="false">INDEX($B$4:$B$42,MATCH($B44,O$4:O$42,0))</f>
        <v>CFC DERRICK CHIN</v>
      </c>
      <c r="P44" s="291" t="str">
        <f aca="false">INDEX($B$4:$B$42,MATCH($B44,P$4:P$42,0))</f>
        <v>CPL HO SHENGHUI HAYDEN</v>
      </c>
      <c r="Q44" s="291" t="str">
        <f aca="false">INDEX($B$4:$B$42,MATCH($B44,Q$4:Q$42,0))</f>
        <v>CFC DERRICK CHIN</v>
      </c>
      <c r="R44" s="291" t="str">
        <f aca="false">INDEX($B$4:$B$42,MATCH($B44,R$4:R$42,0))</f>
        <v>LCP EKLAYVA PINGALI</v>
      </c>
      <c r="S44" s="291" t="str">
        <f aca="false">INDEX($B$4:$B$42,MATCH($B44,S$4:S$42,0))</f>
        <v>LCP TAN JUN YANG KELVIN</v>
      </c>
      <c r="T44" s="291" t="str">
        <f aca="false">INDEX($B$4:$B$42,MATCH($B44,T$4:T$42,0))</f>
        <v>LCP CHYE JING AN MAXIMUS</v>
      </c>
      <c r="U44" s="291" t="str">
        <f aca="false">INDEX($B$4:$B$42,MATCH($B44,U$4:U$42,0))</f>
        <v>LCP APPLE YEO</v>
      </c>
      <c r="V44" s="291" t="str">
        <f aca="false">INDEX($B$4:$B$42,MATCH($B44,V$4:V$41,0))</f>
        <v>LCP QUEK ZI YI</v>
      </c>
      <c r="W44" s="291" t="str">
        <f aca="false">INDEX($B$4:$B$42,MATCH($B44,W$4:W$42,0))</f>
        <v>CPL GOH DI XUAN</v>
      </c>
      <c r="X44" s="291" t="str">
        <f aca="false">INDEX($B$4:$B$42,MATCH($B44,X$4:X$41,0))</f>
        <v>CPL GERALD TAN </v>
      </c>
      <c r="Y44" s="291" t="str">
        <f aca="false">INDEX($B$4:$B$42,MATCH($B44,Y$4:Y$42,0))</f>
        <v>CFC DERRICK CHIN</v>
      </c>
      <c r="Z44" s="291" t="s">
        <v>487</v>
      </c>
      <c r="AA44" s="291" t="str">
        <f aca="false" t="array" ref="AA44:AA44">INDEX($B$4:$B$42,MATCH($B44,AA$4:AA$42,0))</f>
        <v>CPL GOH DI XUAN</v>
      </c>
      <c r="AB44" s="291" t="str">
        <f aca="false">INDEX($B$4:$B$42,MATCH($B44,AB$4:AB$41,0))</f>
        <v>CPL HO SHENGHUI HAYDEN</v>
      </c>
      <c r="AC44" s="291" t="str">
        <f aca="false">INDEX($B$4:$B$42,MATCH($B44,AC$4:AC$42,0))</f>
        <v>CPL GOH DI XUAN</v>
      </c>
      <c r="AD44" s="291" t="str">
        <f aca="false">INDEX($B$4:$B$42,MATCH($B44,AD$4:AD$42,0))</f>
        <v>LCP CHYE JING AN MAXIMUS</v>
      </c>
      <c r="AE44" s="291" t="str">
        <f aca="false">INDEX($B$4:$B$42,MATCH($B44,AE$4:AE$42,0))</f>
        <v>CFC DERRICK CHIN</v>
      </c>
      <c r="AF44" s="291" t="str">
        <f aca="false">INDEX($B$4:$B$42,MATCH($B44,AF$4:AF$42,0))</f>
        <v>CPL GERALD TAN </v>
      </c>
      <c r="AG44" s="291" t="str">
        <f aca="false">INDEX($B$4:$B$42,MATCH($B44,AG$4:AG$42,0))</f>
        <v>3SG SAMUEL TAN ENG WEE</v>
      </c>
      <c r="AH44" s="291" t="str">
        <f aca="false">INDEX($B$4:$B$42,MATCH($B44,AH$4:AH$42,0))</f>
        <v>LCP MATTHEW HWANG YEW SENG</v>
      </c>
      <c r="AI44" s="282"/>
      <c r="AJ44" s="282"/>
      <c r="AK44" s="282"/>
      <c r="AL44" s="282"/>
      <c r="AM44" s="282"/>
      <c r="AN44" s="282"/>
      <c r="AO44" s="282"/>
      <c r="AP44" s="282"/>
      <c r="AQ44" s="282"/>
      <c r="AR44" s="279"/>
      <c r="AS44" s="279"/>
      <c r="AT44" s="282"/>
      <c r="AU44" s="282"/>
      <c r="AV44" s="282"/>
      <c r="AW44" s="282" t="n">
        <f aca="false">SUMPRODUCT(--(WEEKDAY(D$3:AG$3,2)&gt;5),--ISNUMBER(MATCH(D44:AG44,{"DM","CS1","CS2","SB1","AE","CS/B"},0)))</f>
        <v>0</v>
      </c>
      <c r="AX44" s="282"/>
      <c r="AY44" s="282"/>
      <c r="AZ44" s="282"/>
      <c r="BA44" s="282"/>
      <c r="BB44" s="279"/>
      <c r="BC44" s="282"/>
      <c r="BD44" s="282"/>
      <c r="BE44" s="282"/>
      <c r="BF44" s="282"/>
      <c r="BG44" s="282"/>
      <c r="BH44" s="282"/>
      <c r="BI44" s="282"/>
      <c r="BJ44" s="282"/>
      <c r="BK44" s="282"/>
      <c r="BL44" s="282"/>
      <c r="BM44" s="282"/>
      <c r="BN44" s="282"/>
      <c r="BO44" s="282"/>
      <c r="BP44" s="282"/>
      <c r="BQ44" s="282"/>
      <c r="BR44" s="282"/>
    </row>
    <row r="45" customFormat="false" ht="19.5" hidden="false" customHeight="true" outlineLevel="0" collapsed="false">
      <c r="A45" s="278"/>
      <c r="B45" s="280" t="s">
        <v>56</v>
      </c>
      <c r="C45" s="280"/>
      <c r="D45" s="292" t="str">
        <f aca="false">INDEX($B$4:$B$42,MATCH($B45,D$4:D$42,0))</f>
        <v>LCP RAIYAN ZUFAYRI BIN MOHAMAD HELMY</v>
      </c>
      <c r="E45" s="292" t="str">
        <f aca="false">INDEX($B$4:$B$42,MATCH($B45,E$4:E$42,0))</f>
        <v>CFC DERRICK CHIN</v>
      </c>
      <c r="F45" s="292" t="str">
        <f aca="false">INDEX($B$4:$B$42,MATCH($B45,F$4:F$42,0))</f>
        <v>LCP APPLE YEO</v>
      </c>
      <c r="G45" s="292" t="str">
        <f aca="false">INDEX($B$4:$B$42,MATCH($B45,G$4:G$42,0))</f>
        <v>CPL GOH DI XUAN</v>
      </c>
      <c r="H45" s="292" t="str">
        <f aca="false">INDEX($B$4:$B$42,MATCH($B45,H$4:H$42,0))</f>
        <v>CPL HO SHENGHUI HAYDEN</v>
      </c>
      <c r="I45" s="292" t="str">
        <f aca="false">INDEX($B$4:$B$42,MATCH($B45,I$4:I$41,0))</f>
        <v>LCP TRAN MINH KHOA</v>
      </c>
      <c r="J45" s="292" t="str">
        <f aca="false">INDEX($B$4:$B$42,MATCH($B45,J$4:J$42,0))</f>
        <v>LCP EDWARD GAN BOON WEI </v>
      </c>
      <c r="K45" s="292" t="str">
        <f aca="false">INDEX($B$4:$B$42,MATCH($B45,K$4:K$41,0))</f>
        <v>LCP TAN JUN YANG KELVIN</v>
      </c>
      <c r="L45" s="292" t="str">
        <f aca="false">INDEX($B$4:$B$42,MATCH($B45,L$4:L$42,0))</f>
        <v>LCP EKLAYVA PINGALI</v>
      </c>
      <c r="M45" s="292" t="str">
        <f aca="false">INDEX($B$4:$B$42,MATCH($B45,M$4:M$42,0))</f>
        <v>LCP IGNATIUS QUEK </v>
      </c>
      <c r="N45" s="292" t="str">
        <f aca="false">INDEX($B$4:$B$42,MATCH($B45,N$4:N$42,0))</f>
        <v>LCP EDWARD GAN BOON WEI </v>
      </c>
      <c r="O45" s="292" t="str">
        <f aca="false">INDEX($B$4:$B$42,MATCH($B45,O$4:O$42,0))</f>
        <v>CPL GERALD TAN </v>
      </c>
      <c r="P45" s="292" t="str">
        <f aca="false">INDEX($B$4:$B$42,MATCH($B45,P$4:P$42,0))</f>
        <v>LCP TRAN MINH KHOA</v>
      </c>
      <c r="Q45" s="292" t="str">
        <f aca="false">INDEX($B$4:$B$42,MATCH($B45,Q$4:Q$42,0))</f>
        <v>LCP KOO YI XIAN RAPHAEL </v>
      </c>
      <c r="R45" s="292" t="str">
        <f aca="false">INDEX($B$4:$B$42,MATCH($B45,R$4:R$42,0))</f>
        <v>LCP CHYE JING AN MAXIMUS</v>
      </c>
      <c r="S45" s="292" t="str">
        <f aca="false">INDEX($B$4:$B$42,MATCH($B45,S$4:S$42,0))</f>
        <v>LCP MUHAMMAD YASIR BIN MUHAMMAD HIJAZ</v>
      </c>
      <c r="T45" s="292" t="str">
        <f aca="false">INDEX($B$4:$B$42,MATCH($B45,T$4:T$42,0))</f>
        <v>LCP KOO YI XIAN RAPHAEL </v>
      </c>
      <c r="U45" s="292" t="str">
        <f aca="false">INDEX($B$4:$B$42,MATCH($B45,U$4:U$42,0))</f>
        <v>LCP MATTHEW HWANG YEW SENG</v>
      </c>
      <c r="V45" s="292" t="str">
        <f aca="false">INDEX($B$4:$B$42,MATCH($B45,V$4:V$41,0))</f>
        <v>3SG SAMUEL TAN ENG WEE</v>
      </c>
      <c r="W45" s="292" t="str">
        <f aca="false">INDEX($B$4:$B$42,MATCH($B45,W$4:W$42,0))</f>
        <v>LCP APPLE YEO</v>
      </c>
      <c r="X45" s="292" t="str">
        <f aca="false">INDEX($B$4:$B$42,MATCH($B45,X$4:X$41,0))</f>
        <v>LCP EDWARD GAN BOON WEI </v>
      </c>
      <c r="Y45" s="292" t="str">
        <f aca="false">INDEX($B$4:$B$42,MATCH($B45,Y$4:Y$42,0))</f>
        <v>LCP ZHANG ZHONGHAO</v>
      </c>
      <c r="Z45" s="292" t="str">
        <f aca="false">INDEX($B$4:$B$42,MATCH($B45,Z$4:Z$42,0))</f>
        <v>3SG SAMUEL TAN ENG WEE</v>
      </c>
      <c r="AA45" s="292" t="str">
        <f aca="false">INDEX($B$4:$B$42,MATCH($B45,AA$4:AA$42,0))</f>
        <v>LCP RON NG </v>
      </c>
      <c r="AB45" s="292" t="str">
        <f aca="false">INDEX($B$4:$B$42,MATCH($B45,AB$4:AB$41,0))</f>
        <v>LCP IGNATIUS QUEK </v>
      </c>
      <c r="AC45" s="292" t="str">
        <f aca="false">INDEX($B$4:$B$42,MATCH($B45,AC$4:AC$42,0))</f>
        <v>LCP MATTHEW HWANG YEW SENG</v>
      </c>
      <c r="AD45" s="292" t="str">
        <f aca="false">INDEX($B$4:$B$42,MATCH($B45,AD$4:AD$42,0))</f>
        <v>LCP KOO YI XIAN RAPHAEL </v>
      </c>
      <c r="AE45" s="292" t="str">
        <f aca="false">INDEX($B$4:$B$42,MATCH($B45,AE$4:AE$42,0))</f>
        <v>3SG SAMUEL TAN ENG WEE</v>
      </c>
      <c r="AF45" s="292" t="str">
        <f aca="false">INDEX($B$4:$B$42,MATCH($B45,AF$4:AF$42,0))</f>
        <v>CPL HO SHENGHUI HAYDEN</v>
      </c>
      <c r="AG45" s="292" t="str">
        <f aca="false">INDEX($B$4:$B$42,MATCH($B45,AG$4:AG$42,0))</f>
        <v>LCP TRAN MINH KHOA</v>
      </c>
      <c r="AH45" s="292" t="str">
        <f aca="false">INDEX($B$4:$B$42,MATCH($B45,AH$4:AH$42,0))</f>
        <v>CFC DERRICK CHIN</v>
      </c>
      <c r="AI45" s="278"/>
      <c r="AJ45" s="278"/>
      <c r="AK45" s="278"/>
      <c r="AL45" s="278"/>
      <c r="AM45" s="278"/>
      <c r="AN45" s="278"/>
      <c r="AO45" s="278"/>
      <c r="AP45" s="278"/>
      <c r="AQ45" s="278"/>
      <c r="AR45" s="279"/>
      <c r="AS45" s="279"/>
      <c r="AT45" s="278"/>
      <c r="AU45" s="278"/>
      <c r="AV45" s="278"/>
      <c r="AW45" s="278" t="n">
        <f aca="false">SUMPRODUCT(--(WEEKDAY(D$3:AG$3,2)&gt;5),--ISNUMBER(MATCH(D45:AG45,{"DM","CS1","CS2","SB1","AE","CS/B"},0)))</f>
        <v>0</v>
      </c>
      <c r="AX45" s="278"/>
      <c r="AY45" s="278"/>
      <c r="AZ45" s="278"/>
      <c r="BA45" s="278"/>
      <c r="BB45" s="279"/>
      <c r="BC45" s="278"/>
      <c r="BD45" s="278"/>
      <c r="BE45" s="278"/>
      <c r="BF45" s="278"/>
      <c r="BG45" s="278"/>
      <c r="BH45" s="278"/>
      <c r="BI45" s="278"/>
      <c r="BJ45" s="278"/>
      <c r="BK45" s="278"/>
      <c r="BL45" s="278"/>
      <c r="BM45" s="278"/>
      <c r="BN45" s="278"/>
      <c r="BO45" s="278"/>
      <c r="BP45" s="278"/>
      <c r="BQ45" s="278"/>
      <c r="BR45" s="278"/>
    </row>
    <row r="46" customFormat="false" ht="19.5" hidden="false" customHeight="true" outlineLevel="0" collapsed="false">
      <c r="A46" s="282"/>
      <c r="B46" s="283" t="s">
        <v>59</v>
      </c>
      <c r="C46" s="283"/>
      <c r="D46" s="291" t="str">
        <f aca="false">INDEX($B$4:$B$42,MATCH($B46,D$4:D$42,0))</f>
        <v>LCP KOO YI XIAN RAPHAEL </v>
      </c>
      <c r="E46" s="291" t="str">
        <f aca="false">INDEX($B$4:$B$42,MATCH($B46,E$4:E$42,0))</f>
        <v>LCP EDWARD GAN BOON WEI </v>
      </c>
      <c r="F46" s="291" t="e">
        <f aca="false">INDEX($B$4:$B$42,MATCH($B46,F$4:F$42,0))</f>
        <v>#N/A</v>
      </c>
      <c r="G46" s="291" t="e">
        <f aca="false">INDEX($B$4:$B$42,MATCH($B46,G$4:G$42,0))</f>
        <v>#N/A</v>
      </c>
      <c r="H46" s="291" t="str">
        <f aca="false">INDEX($B$4:$B$42,MATCH($B46,H$4:H$42,0))</f>
        <v>LCP ZHANG ZHONGHAO</v>
      </c>
      <c r="I46" s="291" t="str">
        <f aca="false">INDEX($B$4:$B$42,MATCH($B46,I$4:I$41,0))</f>
        <v>LCP MUHAMAD ZULKHAIRI BIN MOHAMAD SAPARI</v>
      </c>
      <c r="J46" s="291" t="e">
        <f aca="false">INDEX($B$4:$B$42,MATCH($B46,J$4:J$42,0))</f>
        <v>#N/A</v>
      </c>
      <c r="K46" s="291" t="str">
        <f aca="false">INDEX($B$4:$B$42,MATCH($B46,K$4:K$41,0))</f>
        <v>LCP MUHAMMAD YASIR BIN MUHAMMAD HIJAZ</v>
      </c>
      <c r="L46" s="291" t="str">
        <f aca="false">INDEX($B$4:$B$42,MATCH($B46,L$4:L$42,0))</f>
        <v>LCP TRAN MINH KHOA</v>
      </c>
      <c r="M46" s="291" t="e">
        <f aca="false">INDEX($B$4:$B$42,MATCH($B46,M$4:M$42,0))</f>
        <v>#N/A</v>
      </c>
      <c r="N46" s="291" t="e">
        <f aca="false">INDEX($B$4:$B$42,MATCH($B46,N$4:N$42,0))</f>
        <v>#N/A</v>
      </c>
      <c r="O46" s="291" t="str">
        <f aca="false">INDEX($B$4:$B$42,MATCH($B46,O$4:O$42,0))</f>
        <v>3SG SAMUEL TAN ENG WEE</v>
      </c>
      <c r="P46" s="291" t="str">
        <f aca="false">INDEX($B$4:$B$42,MATCH($B46,P$4:P$42,0))</f>
        <v>LCP APPLE YEO</v>
      </c>
      <c r="Q46" s="291" t="e">
        <f aca="false">INDEX($B$4:$B$42,MATCH($B46,Q$4:Q$42,0))</f>
        <v>#N/A</v>
      </c>
      <c r="R46" s="291" t="str">
        <f aca="false">INDEX($B$4:$B$42,MATCH($B46,R$4:R$42,0))</f>
        <v>CPL GOH DI XUAN</v>
      </c>
      <c r="S46" s="291" t="str">
        <f aca="false">INDEX($B$4:$B$42,MATCH($B46,S$4:S$42,0))</f>
        <v>LCP APPLE YEO</v>
      </c>
      <c r="T46" s="291" t="e">
        <f aca="false">INDEX($B$4:$B$42,MATCH($B46,T$4:T$42,0))</f>
        <v>#N/A</v>
      </c>
      <c r="U46" s="291" t="e">
        <f aca="false">INDEX($B$4:$B$42,MATCH($B46,U$4:U$42,0))</f>
        <v>#N/A</v>
      </c>
      <c r="V46" s="291" t="str">
        <f aca="false">INDEX($B$4:$B$42,MATCH($B46,V$4:V$41,0))</f>
        <v>CPL GERALD TAN </v>
      </c>
      <c r="W46" s="291" t="str">
        <f aca="false">INDEX($B$4:$B$42,MATCH($B46,W$4:W$42,0))</f>
        <v>LCP KOO YI XIAN RAPHAEL </v>
      </c>
      <c r="X46" s="291" t="e">
        <f aca="false">INDEX($B$4:$B$42,MATCH($B46,X$4:X$41,0))</f>
        <v>#N/A</v>
      </c>
      <c r="Y46" s="291" t="str">
        <f aca="false">INDEX($B$4:$B$42,MATCH($B46,Y$4:Y$42,0))</f>
        <v>CPL HO SHENGHUI HAYDEN</v>
      </c>
      <c r="Z46" s="291" t="str">
        <f aca="false">INDEX($B$4:$B$42,MATCH($B46,Z$4:Z$42,0))</f>
        <v>LCP TRAN MINH KHOA</v>
      </c>
      <c r="AA46" s="291" t="e">
        <f aca="false">INDEX($B$4:$B$42,MATCH($B46,AA$4:AA$42,0))</f>
        <v>#N/A</v>
      </c>
      <c r="AB46" s="291" t="e">
        <f aca="false">INDEX($B$4:$B$42,MATCH($B46,AB$4:AB$41,0))</f>
        <v>#N/A</v>
      </c>
      <c r="AC46" s="291" t="str">
        <f aca="false">INDEX($B$4:$B$42,MATCH($B46,AC$4:AC$42,0))</f>
        <v>LCP APPLE YEO</v>
      </c>
      <c r="AD46" s="291" t="str">
        <f aca="false">INDEX($B$4:$B$42,MATCH($B46,AD$4:AD$42,0))</f>
        <v>LCP RON NG </v>
      </c>
      <c r="AE46" s="291" t="e">
        <f aca="false">INDEX($B$4:$B$42,MATCH($B46,AE$4:AE$42,0))</f>
        <v>#N/A</v>
      </c>
      <c r="AF46" s="291" t="str">
        <f aca="false">INDEX($B$4:$B$42,MATCH($B46,AF$4:AF$42,0))</f>
        <v>CPL FANG JIANGRUI</v>
      </c>
      <c r="AG46" s="291" t="str">
        <f aca="false">INDEX($B$4:$B$42,MATCH($B46,AG$4:AG$42,0))</f>
        <v>LCP EKLAYVA PINGALI</v>
      </c>
      <c r="AH46" s="291" t="e">
        <f aca="false">INDEX($B$4:$B$42,MATCH($B46,AH$4:AH$42,0))</f>
        <v>#N/A</v>
      </c>
      <c r="AI46" s="282"/>
      <c r="AJ46" s="282"/>
      <c r="AK46" s="282"/>
      <c r="AL46" s="282"/>
      <c r="AM46" s="282"/>
      <c r="AN46" s="282"/>
      <c r="AO46" s="282"/>
      <c r="AP46" s="282"/>
      <c r="AQ46" s="282"/>
      <c r="AR46" s="279"/>
      <c r="AS46" s="279"/>
      <c r="AT46" s="282"/>
      <c r="AU46" s="282"/>
      <c r="AV46" s="282"/>
      <c r="AW46" s="282" t="n">
        <f aca="false">SUMPRODUCT(--(WEEKDAY(D$3:AG$3,2)&gt;5),--ISNUMBER(MATCH(D46:AG46,{"DM","CS1","CS2","SB1","AE","CS/B"},0)))</f>
        <v>0</v>
      </c>
      <c r="AX46" s="282"/>
      <c r="AY46" s="282"/>
      <c r="AZ46" s="282"/>
      <c r="BA46" s="282"/>
      <c r="BB46" s="279"/>
      <c r="BC46" s="282"/>
      <c r="BD46" s="282"/>
      <c r="BE46" s="282"/>
      <c r="BF46" s="282"/>
      <c r="BG46" s="282"/>
      <c r="BH46" s="282"/>
      <c r="BI46" s="282"/>
      <c r="BJ46" s="282"/>
      <c r="BK46" s="282"/>
      <c r="BL46" s="282"/>
      <c r="BM46" s="282"/>
      <c r="BN46" s="282"/>
      <c r="BO46" s="282"/>
      <c r="BP46" s="282"/>
      <c r="BQ46" s="282"/>
      <c r="BR46" s="282"/>
    </row>
    <row r="47" customFormat="false" ht="19.5" hidden="false" customHeight="true" outlineLevel="0" collapsed="false">
      <c r="A47" s="278"/>
      <c r="B47" s="280" t="s">
        <v>566</v>
      </c>
      <c r="C47" s="280"/>
      <c r="D47" s="292" t="e">
        <f aca="false">INDEX($B$4:$B$42,MATCH($B47,D$4:D$42,0))</f>
        <v>#N/A</v>
      </c>
      <c r="E47" s="292" t="e">
        <f aca="false">INDEX($B$4:$B$42,MATCH($B47,E$4:E$42,0))</f>
        <v>#N/A</v>
      </c>
      <c r="F47" s="292" t="str">
        <f aca="false">INDEX($B$4:$B$42,MATCH($B47,F$4:F$42,0))</f>
        <v>LCP CHYE JING AN MAXIMUS</v>
      </c>
      <c r="G47" s="292" t="str">
        <f aca="false">INDEX($B$4:$B$42,MATCH($B47,G$4:G$42,0))</f>
        <v>PTE CHOA ZONGHAN ETIENNE</v>
      </c>
      <c r="H47" s="292" t="e">
        <f aca="false">INDEX($B$4:$B$42,MATCH($B47,H$4:H$42,0))</f>
        <v>#N/A</v>
      </c>
      <c r="I47" s="292" t="e">
        <f aca="false">INDEX($B$4:$B$42,MATCH($B47,I$4:I$41,0))</f>
        <v>#N/A</v>
      </c>
      <c r="J47" s="292" t="str">
        <f aca="false">INDEX($B$4:$B$42,MATCH($B47,J$4:J$42,0))</f>
        <v>LCP KOO YI XIAN RAPHAEL </v>
      </c>
      <c r="K47" s="292" t="e">
        <f aca="false">INDEX($B$4:$B$42,MATCH($B47,K$4:K$41,0))</f>
        <v>#N/A</v>
      </c>
      <c r="L47" s="292" t="e">
        <f aca="false">INDEX($B$4:$B$42,MATCH($B47,L$4:L$42,0))</f>
        <v>#N/A</v>
      </c>
      <c r="M47" s="292" t="str">
        <f aca="false">INDEX($B$4:$B$42,MATCH($B47,M$4:M$42,0))</f>
        <v>LCP QUEK ZI YI</v>
      </c>
      <c r="N47" s="292" t="str">
        <f aca="false">INDEX($B$4:$B$42,MATCH($B47,N$4:N$42,0))</f>
        <v>LCP APPLE YEO</v>
      </c>
      <c r="O47" s="292" t="e">
        <f aca="false">INDEX($B$4:$B$42,MATCH($B47,O$4:O$42,0))</f>
        <v>#N/A</v>
      </c>
      <c r="P47" s="292" t="e">
        <f aca="false">INDEX($B$4:$B$42,MATCH($B47,P$4:P$42,0))</f>
        <v>#N/A</v>
      </c>
      <c r="Q47" s="292" t="str">
        <f aca="false">INDEX($B$4:$B$42,MATCH($B47,Q$4:Q$42,0))</f>
        <v>LCP EDWARD GAN BOON WEI </v>
      </c>
      <c r="R47" s="292" t="e">
        <f aca="false">INDEX($B$4:$B$42,MATCH($B47,R$4:R$42,0))</f>
        <v>#N/A</v>
      </c>
      <c r="S47" s="292" t="e">
        <f aca="false">INDEX($B$4:$B$42,MATCH($B47,S$4:S$42,0))</f>
        <v>#N/A</v>
      </c>
      <c r="T47" s="292" t="str">
        <f aca="false">INDEX($B$4:$B$42,MATCH($B47,T$4:T$42,0))</f>
        <v>LCP EKLAYVA PINGALI</v>
      </c>
      <c r="U47" s="292" t="str">
        <f aca="false">INDEX($B$4:$B$42,MATCH($B47,U$4:U$42,0))</f>
        <v>LCP TRAN MINH KHOA</v>
      </c>
      <c r="V47" s="292" t="e">
        <f aca="false">INDEX($B$4:$B$42,MATCH($B47,V$4:V$41,0))</f>
        <v>#N/A</v>
      </c>
      <c r="W47" s="292" t="e">
        <f aca="false">INDEX($B$4:$B$42,MATCH($B47,W$4:W$42,0))</f>
        <v>#N/A</v>
      </c>
      <c r="X47" s="292" t="str">
        <f aca="false">INDEX($B$4:$B$42,MATCH($B47,X$4:X$41,0))</f>
        <v>LCP MUHAMMAD YASIR BIN MUHAMMAD HIJAZ</v>
      </c>
      <c r="Y47" s="292" t="e">
        <f aca="false">INDEX($B$4:$B$42,MATCH($B47,Y$4:Y$42,0))</f>
        <v>#N/A</v>
      </c>
      <c r="Z47" s="292" t="e">
        <f aca="false">INDEX($B$4:$B$42,MATCH($B47,Z$4:Z$42,0))</f>
        <v>#N/A</v>
      </c>
      <c r="AA47" s="292" t="str">
        <f aca="false">INDEX($B$4:$B$42,MATCH($B47,AA$4:AA$42,0))</f>
        <v>LCP EDWARD GAN BOON WEI </v>
      </c>
      <c r="AB47" s="292" t="str">
        <f aca="false">INDEX($B$4:$B$42,MATCH($B47,AB$4:AB$41,0))</f>
        <v>LCP ZHANG ZHONGHAO</v>
      </c>
      <c r="AC47" s="292" t="e">
        <f aca="false">INDEX($B$4:$B$42,MATCH($B47,AC$4:AC$42,0))</f>
        <v>#N/A</v>
      </c>
      <c r="AD47" s="292" t="e">
        <f aca="false">INDEX($B$4:$B$42,MATCH($B47,AD$4:AD$42,0))</f>
        <v>#N/A</v>
      </c>
      <c r="AE47" s="292" t="str">
        <f aca="false">INDEX($B$4:$B$42,MATCH($B47,AE$4:AE$42,0))</f>
        <v>LCP MUHAMMAD YASIR BIN MUHAMMAD HIJAZ</v>
      </c>
      <c r="AF47" s="292" t="e">
        <f aca="false">INDEX($B$4:$B$42,MATCH($B47,AF$4:AF$42,0))</f>
        <v>#N/A</v>
      </c>
      <c r="AG47" s="292" t="e">
        <f aca="false">INDEX($B$4:$B$42,MATCH($B47,AG$4:AG$42,0))</f>
        <v>#N/A</v>
      </c>
      <c r="AH47" s="292" t="str">
        <f aca="false">INDEX($B$4:$B$42,MATCH($B47,AH$4:AH$42,0))</f>
        <v>LCP APPLE YEO</v>
      </c>
      <c r="AI47" s="278"/>
      <c r="AJ47" s="278"/>
      <c r="AK47" s="278"/>
      <c r="AL47" s="278"/>
      <c r="AM47" s="278"/>
      <c r="AN47" s="278"/>
      <c r="AO47" s="278"/>
      <c r="AP47" s="278"/>
      <c r="AQ47" s="278"/>
      <c r="AR47" s="279"/>
      <c r="AS47" s="279"/>
      <c r="AT47" s="278"/>
      <c r="AU47" s="278"/>
      <c r="AV47" s="278"/>
      <c r="AW47" s="278" t="n">
        <f aca="false">SUMPRODUCT(--(WEEKDAY(D$3:AG$3,2)&gt;5),--ISNUMBER(MATCH(D47:AG47,{"DM","CS1","CS2","SB1","AE","CS/B"},0)))</f>
        <v>0</v>
      </c>
      <c r="AX47" s="278"/>
      <c r="AY47" s="278"/>
      <c r="AZ47" s="278"/>
      <c r="BA47" s="278"/>
      <c r="BB47" s="279"/>
      <c r="BC47" s="278"/>
      <c r="BD47" s="278"/>
      <c r="BE47" s="278"/>
      <c r="BF47" s="278"/>
      <c r="BG47" s="278"/>
      <c r="BH47" s="278"/>
      <c r="BI47" s="278"/>
      <c r="BJ47" s="278"/>
      <c r="BK47" s="278"/>
      <c r="BL47" s="278"/>
      <c r="BM47" s="278"/>
      <c r="BN47" s="278"/>
      <c r="BO47" s="278"/>
      <c r="BP47" s="278"/>
      <c r="BQ47" s="278"/>
      <c r="BR47" s="278"/>
    </row>
    <row r="48" customFormat="false" ht="19.5" hidden="false" customHeight="true" outlineLevel="0" collapsed="false">
      <c r="A48" s="282"/>
      <c r="B48" s="283" t="s">
        <v>58</v>
      </c>
      <c r="C48" s="283"/>
      <c r="D48" s="291" t="str">
        <f aca="false">INDEX($B$4:$B$42,MATCH($B48,D$4:D$42,0))</f>
        <v>LCP IGNATIUS QUEK </v>
      </c>
      <c r="E48" s="291" t="str">
        <f aca="false">INDEX($B$4:$B$42,MATCH($B48,E$4:E$42,0))</f>
        <v>LCP RON NG </v>
      </c>
      <c r="F48" s="291" t="e">
        <f aca="false">INDEX($B$4:$B$42,MATCH($B48,F$4:F$42,0))</f>
        <v>#N/A</v>
      </c>
      <c r="G48" s="291" t="e">
        <f aca="false">INDEX($B$4:$B$42,MATCH($B48,G$4:G$42,0))</f>
        <v>#N/A</v>
      </c>
      <c r="H48" s="291" t="str">
        <f aca="false">INDEX($B$4:$B$42,MATCH($B48,H$4:H$42,0))</f>
        <v>LCP RAIYAN ZUFAYRI BIN MOHAMAD HELMY</v>
      </c>
      <c r="I48" s="291" t="str">
        <f aca="false">INDEX($B$4:$B$42,MATCH($B48,I$4:I$41,0))</f>
        <v>LCP HYDER ISKANDAR BIN ZULKILFILY</v>
      </c>
      <c r="J48" s="291" t="e">
        <f aca="false">INDEX($B$4:$B$42,MATCH($B48,J$4:J$42,0))</f>
        <v>#N/A</v>
      </c>
      <c r="K48" s="291" t="str">
        <f aca="false">INDEX($B$4:$B$42,MATCH($B48,K$4:K$41,0))</f>
        <v>LCP STEPHEN TAY </v>
      </c>
      <c r="L48" s="291" t="str">
        <f aca="false">INDEX($B$4:$B$42,MATCH($B48,L$4:L$42,0))</f>
        <v>LCP MUHAMAD ZULKHAIRI BIN MOHAMAD SAPARI</v>
      </c>
      <c r="M48" s="291" t="e">
        <f aca="false">INDEX($B$4:$B$42,MATCH($B48,M$4:M$42,0))</f>
        <v>#N/A</v>
      </c>
      <c r="N48" s="291" t="e">
        <f aca="false">INDEX($B$4:$B$42,MATCH($B48,N$4:N$42,0))</f>
        <v>#N/A</v>
      </c>
      <c r="O48" s="291" t="str">
        <f aca="false">INDEX($B$4:$B$42,MATCH($B48,O$4:O$42,0))</f>
        <v>LCP STEPHEN TAY </v>
      </c>
      <c r="P48" s="291" t="str">
        <f aca="false">INDEX($B$4:$B$42,MATCH($B48,P$4:P$42,0))</f>
        <v>LCP RON NG </v>
      </c>
      <c r="Q48" s="291" t="e">
        <f aca="false">INDEX($B$4:$B$42,MATCH($B48,Q$4:Q$42,0))</f>
        <v>#N/A</v>
      </c>
      <c r="R48" s="291" t="str">
        <f aca="false">INDEX($B$4:$B$42,MATCH($B48,R$4:R$42,0))</f>
        <v>LCP HYDER ISKANDAR BIN ZULKILFILY</v>
      </c>
      <c r="S48" s="291" t="str">
        <f aca="false">INDEX($B$4:$B$42,MATCH($B48,S$4:S$42,0))</f>
        <v>LCP STEPHEN TAY </v>
      </c>
      <c r="T48" s="291" t="e">
        <f aca="false">INDEX($B$4:$B$42,MATCH($B48,T$4:T$42,0))</f>
        <v>#N/A</v>
      </c>
      <c r="U48" s="291" t="e">
        <f aca="false">INDEX($B$4:$B$42,MATCH($B48,U$4:U$42,0))</f>
        <v>#N/A</v>
      </c>
      <c r="V48" s="291" t="str">
        <f aca="false">INDEX($B$4:$B$42,MATCH($B48,V$4:V$41,0))</f>
        <v>LCP ZHANG ZHONGHAO</v>
      </c>
      <c r="W48" s="291" t="str">
        <f aca="false">INDEX($B$4:$B$42,MATCH($B48,W$4:W$42,0))</f>
        <v>LCP RAIYAN ZUFAYRI BIN MOHAMAD HELMY</v>
      </c>
      <c r="X48" s="291" t="e">
        <f aca="false">INDEX($B$4:$B$42,MATCH($B48,X$4:X$41,0))</f>
        <v>#N/A</v>
      </c>
      <c r="Y48" s="291" t="str">
        <f aca="false">INDEX($B$4:$B$42,MATCH($B48,Y$4:Y$42,0))</f>
        <v>LCP APPLE YEO</v>
      </c>
      <c r="Z48" s="291" t="str">
        <f aca="false">INDEX($B$4:$B$42,MATCH($B48,Z$4:Z$42,0))</f>
        <v>LCP STEPHEN TAY </v>
      </c>
      <c r="AA48" s="291" t="e">
        <f aca="false">INDEX($B$4:$B$42,MATCH($B48,AA$4:AA$42,0))</f>
        <v>#N/A</v>
      </c>
      <c r="AB48" s="291" t="e">
        <f aca="false">INDEX($B$4:$B$42,MATCH($B48,AB$4:AB$41,0))</f>
        <v>#N/A</v>
      </c>
      <c r="AC48" s="291" t="str">
        <f aca="false">INDEX($B$4:$B$42,MATCH($B48,AC$4:AC$42,0))</f>
        <v>PTE MENDEZ RALPH JUSTINE MACALINO</v>
      </c>
      <c r="AD48" s="291" t="str">
        <f aca="false">INDEX($B$4:$B$42,MATCH($B48,AD$4:AD$42,0))</f>
        <v>PTE RAGURAMAN ANIRUDH</v>
      </c>
      <c r="AE48" s="291" t="e">
        <f aca="false">INDEX($B$4:$B$42,MATCH($B48,AE$4:AE$42,0))</f>
        <v>#N/A</v>
      </c>
      <c r="AF48" s="291" t="str">
        <f aca="false">INDEX($B$4:$B$42,MATCH($B48,AF$4:AF$42,0))</f>
        <v>PTE MENDEZ RALPH JUSTINE MACALINO</v>
      </c>
      <c r="AG48" s="291" t="str">
        <f aca="false">INDEX($B$4:$B$42,MATCH($B48,AG$4:AG$42,0))</f>
        <v>PTE CHOA ZONGHAN ETIENNE</v>
      </c>
      <c r="AH48" s="291" t="e">
        <f aca="false">INDEX($B$4:$B$42,MATCH($B48,AH$4:AH$42,0))</f>
        <v>#N/A</v>
      </c>
      <c r="AI48" s="282"/>
      <c r="AJ48" s="282"/>
      <c r="AK48" s="282"/>
      <c r="AL48" s="282"/>
      <c r="AM48" s="282"/>
      <c r="AN48" s="282"/>
      <c r="AO48" s="282"/>
      <c r="AP48" s="282"/>
      <c r="AQ48" s="282"/>
      <c r="AR48" s="279"/>
      <c r="AS48" s="279"/>
      <c r="AT48" s="282"/>
      <c r="AU48" s="282"/>
      <c r="AV48" s="282"/>
      <c r="AW48" s="282" t="n">
        <f aca="false">SUMPRODUCT(--(WEEKDAY(D$3:AG$3,2)&gt;5),--ISNUMBER(MATCH(D48:AG48,{"DM","CS1","CS2","SB1","AE","CS/B"},0)))</f>
        <v>0</v>
      </c>
      <c r="AX48" s="282"/>
      <c r="AY48" s="282"/>
      <c r="AZ48" s="282"/>
      <c r="BA48" s="282"/>
      <c r="BB48" s="279"/>
      <c r="BC48" s="282"/>
      <c r="BD48" s="282"/>
      <c r="BE48" s="282"/>
      <c r="BF48" s="282"/>
      <c r="BG48" s="282"/>
      <c r="BH48" s="282"/>
      <c r="BI48" s="282"/>
      <c r="BJ48" s="282"/>
      <c r="BK48" s="282"/>
      <c r="BL48" s="282"/>
      <c r="BM48" s="282"/>
      <c r="BN48" s="282"/>
      <c r="BO48" s="282"/>
      <c r="BP48" s="282"/>
      <c r="BQ48" s="282"/>
      <c r="BR48" s="282"/>
    </row>
    <row r="49" customFormat="false" ht="19.5" hidden="false" customHeight="true" outlineLevel="0" collapsed="false">
      <c r="A49" s="278"/>
      <c r="B49" s="280" t="s">
        <v>93</v>
      </c>
      <c r="C49" s="280"/>
      <c r="D49" s="292" t="e">
        <f aca="false">INDEX($B$4:$B$42,MATCH($B49,D$4:D$42,0))</f>
        <v>#N/A</v>
      </c>
      <c r="E49" s="292" t="e">
        <f aca="false">INDEX($B$4:$B$42,MATCH($B49,E$4:E$42,0))</f>
        <v>#N/A</v>
      </c>
      <c r="F49" s="292" t="e">
        <f aca="false">INDEX($B$4:$B$42,MATCH($B49,F$4:F$42,0))</f>
        <v>#N/A</v>
      </c>
      <c r="G49" s="292" t="str">
        <f aca="false">INDEX($B$4:$B$42,MATCH($B49,G$4:G$42,0))</f>
        <v>3SG SAMUEL TAN ENG WEE</v>
      </c>
      <c r="H49" s="292" t="str">
        <f aca="false">INDEX($B$4:$B$42,MATCH($B49,H$4:H$42,0))</f>
        <v>LCP APPLE YEO</v>
      </c>
      <c r="I49" s="292" t="str">
        <f aca="false">INDEX($B$4:$B$42,MATCH($B49,I$4:I$41,0))</f>
        <v>LCP MUHAMMAD YASIR BIN MUHAMMAD HIJAZ</v>
      </c>
      <c r="J49" s="292" t="str">
        <f aca="false">INDEX($B$4:$B$42,MATCH($B49,J$4:J$42,0))</f>
        <v>CPL GERALD TAN </v>
      </c>
      <c r="K49" s="292" t="str">
        <f aca="false">INDEX($B$4:$B$42,MATCH($B49,K$4:K$41,0))</f>
        <v>LCP SHLOK PUROHIT</v>
      </c>
      <c r="L49" s="292" t="e">
        <f aca="false">INDEX($B$4:$B$42,MATCH($B49,L$4:L$42,0))</f>
        <v>#N/A</v>
      </c>
      <c r="M49" s="292" t="e">
        <f aca="false">INDEX($B$4:$B$42,MATCH($B49,M$4:M$42,0))</f>
        <v>#N/A</v>
      </c>
      <c r="N49" s="292" t="str">
        <f aca="false">INDEX($B$4:$B$42,MATCH($B49,N$4:N$42,0))</f>
        <v>CFC DERRICK CHIN</v>
      </c>
      <c r="O49" s="292" t="str">
        <f aca="false">INDEX($B$4:$B$42,MATCH($B49,O$4:O$42,0))</f>
        <v>LCP KOO YI XIAN RAPHAEL </v>
      </c>
      <c r="P49" s="292" t="str">
        <f aca="false">INDEX($B$4:$B$42,MATCH($B49,P$4:P$42,0))</f>
        <v>CPL GERALD TAN </v>
      </c>
      <c r="Q49" s="292" t="str">
        <f aca="false">INDEX($B$4:$B$42,MATCH($B49,Q$4:Q$42,0))</f>
        <v>LCP STEPHEN TAY </v>
      </c>
      <c r="R49" s="292" t="str">
        <f aca="false">INDEX($B$4:$B$42,MATCH($B49,R$4:R$42,0))</f>
        <v>LCP RON NG </v>
      </c>
      <c r="S49" s="292" t="e">
        <f aca="false">INDEX($B$4:$B$42,MATCH($B49,S$4:S$42,0))</f>
        <v>#N/A</v>
      </c>
      <c r="T49" s="292" t="e">
        <f aca="false">INDEX($B$4:$B$42,MATCH($B49,T$4:T$42,0))</f>
        <v>#N/A</v>
      </c>
      <c r="U49" s="292" t="str">
        <f aca="false">INDEX($B$4:$B$42,MATCH($B49,U$4:U$42,0))</f>
        <v>LCP SHLOK PUROHIT</v>
      </c>
      <c r="V49" s="292" t="str">
        <f aca="false">INDEX($B$4:$B$42,MATCH($B49,V$4:V$41,0))</f>
        <v>LCP EDWARD GAN BOON WEI </v>
      </c>
      <c r="W49" s="292" t="str">
        <f aca="false">INDEX($B$4:$B$42,MATCH($B49,W$4:W$42,0))</f>
        <v>LCP MUHAMMAD YASIR BIN MUHAMMAD HIJAZ</v>
      </c>
      <c r="X49" s="292" t="str">
        <f aca="false">INDEX($B$4:$B$42,MATCH($B49,X$4:X$41,0))</f>
        <v>CPL FANG JIANGRUI</v>
      </c>
      <c r="Y49" s="292" t="str">
        <f aca="false">INDEX($B$4:$B$42,MATCH($B49,Y$4:Y$42,0))</f>
        <v>LCP IGNATIUS QUEK </v>
      </c>
      <c r="Z49" s="292" t="e">
        <f aca="false">INDEX($B$4:$B$42,MATCH($B49,Z$4:Z$42,0))</f>
        <v>#N/A</v>
      </c>
      <c r="AA49" s="292" t="e">
        <f aca="false">INDEX($B$4:$B$42,MATCH($B49,AA$4:AA$42,0))</f>
        <v>#N/A</v>
      </c>
      <c r="AB49" s="292" t="str">
        <f aca="false">INDEX($B$4:$B$42,MATCH($B49,AB$4:AB$41,0))</f>
        <v>PTE CHOA ZONGHAN ETIENNE</v>
      </c>
      <c r="AC49" s="292" t="str">
        <f aca="false">INDEX($B$4:$B$42,MATCH($B49,AC$4:AC$42,0))</f>
        <v>PTE DANIEL ISKANDAR BIN SANUSI</v>
      </c>
      <c r="AD49" s="292" t="e">
        <f aca="false">INDEX($B$4:$B$42,MATCH($B49,AD$4:AD$42,0))</f>
        <v>#N/A</v>
      </c>
      <c r="AE49" s="292" t="str">
        <f aca="false">INDEX($B$4:$B$42,MATCH($B49,AE$4:AE$42,0))</f>
        <v>LCP CHYE JING AN MAXIMUS</v>
      </c>
      <c r="AF49" s="292" t="str">
        <f aca="false">INDEX($B$4:$B$42,MATCH($B49,AF$4:AF$42,0))</f>
        <v>LCP MUHAMMAD YASIR BIN MUHAMMAD HIJAZ</v>
      </c>
      <c r="AG49" s="292" t="e">
        <f aca="false">INDEX($B$4:$B$42,MATCH($B49,AG$4:AG$42,0))</f>
        <v>#N/A</v>
      </c>
      <c r="AH49" s="292" t="e">
        <f aca="false">INDEX($B$4:$B$42,MATCH($B49,AH$4:AH$42,0))</f>
        <v>#N/A</v>
      </c>
      <c r="AI49" s="278"/>
      <c r="AJ49" s="278"/>
      <c r="AK49" s="278"/>
      <c r="AL49" s="278"/>
      <c r="AM49" s="278"/>
      <c r="AN49" s="278"/>
      <c r="AO49" s="278"/>
      <c r="AP49" s="278"/>
      <c r="AQ49" s="278"/>
      <c r="AR49" s="279"/>
      <c r="AS49" s="279"/>
      <c r="AT49" s="278"/>
      <c r="AU49" s="278"/>
      <c r="AV49" s="278"/>
      <c r="AW49" s="278" t="n">
        <f aca="false">SUMPRODUCT(--(WEEKDAY(D$3:AG$3,2)&gt;5),--ISNUMBER(MATCH(D49:AG49,{"DM","CS1","CS2","SB1","AE","CS/B"},0)))</f>
        <v>0</v>
      </c>
      <c r="AX49" s="278"/>
      <c r="AY49" s="278"/>
      <c r="AZ49" s="278"/>
      <c r="BA49" s="278"/>
      <c r="BB49" s="279"/>
      <c r="BC49" s="278"/>
      <c r="BD49" s="278"/>
      <c r="BE49" s="278"/>
      <c r="BF49" s="278"/>
      <c r="BG49" s="278"/>
      <c r="BH49" s="278"/>
      <c r="BI49" s="278"/>
      <c r="BJ49" s="278"/>
      <c r="BK49" s="278"/>
      <c r="BL49" s="278"/>
      <c r="BM49" s="278"/>
      <c r="BN49" s="278"/>
      <c r="BO49" s="278"/>
      <c r="BP49" s="278"/>
      <c r="BQ49" s="278"/>
      <c r="BR49" s="278"/>
    </row>
    <row r="50" customFormat="false" ht="19.5" hidden="false" customHeight="true" outlineLevel="0" collapsed="false">
      <c r="A50" s="282"/>
      <c r="B50" s="283" t="s">
        <v>65</v>
      </c>
      <c r="C50" s="283"/>
      <c r="D50" s="291" t="str">
        <f aca="false">INDEX($B$4:$B$42,MATCH($B50,D$4:D$42,0))</f>
        <v>PTE CHOA ZONGHAN ETIENNE</v>
      </c>
      <c r="E50" s="291" t="str">
        <f aca="false">INDEX($B$4:$B$42,MATCH($B50,E$4:E$42,0))</f>
        <v>PTE MUHAMMAD HAMZA ZUBERI</v>
      </c>
      <c r="F50" s="291" t="str">
        <f aca="false">INDEX($B$4:$B$42,MATCH($B50,F$4:F$42,0))</f>
        <v>PTE RAGURAMAN ANIRUDH</v>
      </c>
      <c r="G50" s="291" t="str">
        <f aca="false">INDEX($B$4:$B$42,MATCH($B50,G$4:G$42,0))</f>
        <v>PTE MUHAMMAD SHAUKI BIN MOHD SHAM</v>
      </c>
      <c r="H50" s="291" t="str">
        <f aca="false">INDEX($B$4:$B$42,MATCH($B50,H$4:H$42,0))</f>
        <v>PTE RAGURAMAN ANIRUDH</v>
      </c>
      <c r="I50" s="291" t="str">
        <f aca="false">INDEX($B$4:$B$42,MATCH($B50,I$4:I$41,0))</f>
        <v>PTE HUANG JIHUI</v>
      </c>
      <c r="J50" s="291" t="str">
        <f aca="false">INDEX($B$4:$B$42,MATCH($B50,J$4:J$42,0))</f>
        <v>LCP SHLOK PUROHIT</v>
      </c>
      <c r="K50" s="291" t="str">
        <f aca="false">INDEX($B$4:$B$42,MATCH($B50,K$4:K$41,0))</f>
        <v>PTE DANIEL ISKANDAR BIN SANUSI</v>
      </c>
      <c r="L50" s="291" t="str">
        <f aca="false">INDEX($B$4:$B$42,MATCH($B50,L$4:L$42,0))</f>
        <v>PTE HUANG JIHUI</v>
      </c>
      <c r="M50" s="291" t="str">
        <f aca="false">INDEX($B$4:$B$42,MATCH($B50,M$4:M$42,0))</f>
        <v>PTE MUHAMMAD SHAUKI BIN MOHD SHAM</v>
      </c>
      <c r="N50" s="291" t="str">
        <f aca="false">INDEX($B$4:$B$42,MATCH($B50,N$4:N$42,0))</f>
        <v>PTE MUHAMMAD HAMZA ZUBERI</v>
      </c>
      <c r="O50" s="291" t="str">
        <f aca="false">INDEX($B$4:$B$42,MATCH($B50,O$4:O$42,0))</f>
        <v>PTE DANIEL ISKANDAR BIN SANUSI</v>
      </c>
      <c r="P50" s="291" t="str">
        <f aca="false">INDEX($B$4:$B$42,MATCH($B50,P$4:P$42,0))</f>
        <v>PTE HUANG JIHUI</v>
      </c>
      <c r="Q50" s="291" t="str">
        <f aca="false">INDEX($B$4:$B$42,MATCH($B50,Q$4:Q$42,0))</f>
        <v>PTE MENDEZ RALPH JUSTINE MACALINO</v>
      </c>
      <c r="R50" s="291" t="str">
        <f aca="false">INDEX($B$4:$B$42,MATCH($B50,R$4:R$42,0))</f>
        <v>PTE MUHAMMAD HAMZA ZUBERI</v>
      </c>
      <c r="S50" s="291" t="str">
        <f aca="false">INDEX($B$4:$B$42,MATCH($B50,S$4:S$42,0))</f>
        <v>PTE DANIEL ISKANDAR BIN SANUSI</v>
      </c>
      <c r="T50" s="291" t="str">
        <f aca="false">INDEX($B$4:$B$42,MATCH($B50,T$4:T$42,0))</f>
        <v>LCP RAIYAN ZUFAYRI BIN MOHAMAD HELMY</v>
      </c>
      <c r="U50" s="291" t="str">
        <f aca="false">INDEX($B$4:$B$42,MATCH($B50,U$4:U$42,0))</f>
        <v>PTE MUHAMMAD HAMZA ZUBERI</v>
      </c>
      <c r="V50" s="291" t="str">
        <f aca="false">INDEX($B$4:$B$42,MATCH($B50,V$4:V$41,0))</f>
        <v>LCP STEPHEN TAY </v>
      </c>
      <c r="W50" s="291" t="str">
        <f aca="false">INDEX($B$4:$B$42,MATCH($B50,W$4:W$42,0))</f>
        <v>PTE CHOA ZONGHAN ETIENNE</v>
      </c>
      <c r="X50" s="291" t="str">
        <f aca="false">INDEX($B$4:$B$42,MATCH($B50,X$4:X$41,0))</f>
        <v>LCP STEPHEN TAY </v>
      </c>
      <c r="Y50" s="291" t="str">
        <f aca="false">INDEX($B$4:$B$42,MATCH($B50,Y$4:Y$42,0))</f>
        <v>PTE MENDEZ RALPH JUSTINE MACALINO</v>
      </c>
      <c r="Z50" s="291" t="str">
        <f aca="false">INDEX($B$4:$B$42,MATCH($B50,Z$4:Z$42,0))</f>
        <v>PTE DANIEL ISKANDAR BIN SANUSI</v>
      </c>
      <c r="AA50" s="291" t="str">
        <f aca="false">INDEX($B$4:$B$42,MATCH($B50,AA$4:AA$42,0))</f>
        <v>PTE RAGURAMAN ANIRUDH</v>
      </c>
      <c r="AB50" s="291" t="str">
        <f aca="false">INDEX($B$4:$B$42,MATCH($B50,AB$4:AB$41,0))</f>
        <v>CPL FANG JIANGRUI</v>
      </c>
      <c r="AC50" s="291" t="str">
        <f aca="false">INDEX($B$4:$B$42,MATCH($B50,AC$4:AC$42,0))</f>
        <v>LCP HYDER ISKANDAR BIN ZULKILFILY</v>
      </c>
      <c r="AD50" s="291" t="str">
        <f aca="false">INDEX($B$4:$B$42,MATCH($B50,AD$4:AD$42,0))</f>
        <v>PTE MUHAMMAD SHAUKI BIN MOHD SHAM</v>
      </c>
      <c r="AE50" s="291" t="str">
        <f aca="false">INDEX($B$4:$B$42,MATCH($B50,AE$4:AE$42,0))</f>
        <v>LCP STEPHEN TAY </v>
      </c>
      <c r="AF50" s="291" t="str">
        <f aca="false">INDEX($B$4:$B$42,MATCH($B50,AF$4:AF$42,0))</f>
        <v>PTE MUHAMMAD SHAUKI BIN MOHD SHAM</v>
      </c>
      <c r="AG50" s="291" t="str">
        <f aca="false">INDEX($B$4:$B$42,MATCH($B50,AG$4:AG$42,0))</f>
        <v>PTE DANIEL ISKANDAR BIN SANUSI</v>
      </c>
      <c r="AH50" s="291" t="str">
        <f aca="false">INDEX($B$4:$B$42,MATCH($B50,AH$4:AH$42,0))</f>
        <v>LCP HYDER ISKANDAR BIN ZULKILFILY</v>
      </c>
      <c r="AI50" s="282"/>
      <c r="AJ50" s="282"/>
      <c r="AK50" s="282"/>
      <c r="AL50" s="282"/>
      <c r="AM50" s="282"/>
      <c r="AN50" s="282"/>
      <c r="AO50" s="282"/>
      <c r="AP50" s="282"/>
      <c r="AQ50" s="282"/>
      <c r="AR50" s="279"/>
      <c r="AS50" s="279"/>
      <c r="AT50" s="282"/>
      <c r="AU50" s="282"/>
      <c r="AV50" s="282"/>
      <c r="AW50" s="282" t="n">
        <f aca="false">SUMPRODUCT(--(WEEKDAY(D$3:AG$3,2)&gt;5),--ISNUMBER(MATCH(D50:AG50,{"DM","CS1","CS2","SB1","AE","CS/B"},0)))</f>
        <v>0</v>
      </c>
      <c r="AX50" s="282"/>
      <c r="AY50" s="282"/>
      <c r="AZ50" s="282"/>
      <c r="BA50" s="282"/>
      <c r="BB50" s="279"/>
      <c r="BC50" s="282"/>
      <c r="BD50" s="282"/>
      <c r="BE50" s="282"/>
      <c r="BF50" s="282"/>
      <c r="BG50" s="282"/>
      <c r="BH50" s="282"/>
      <c r="BI50" s="282"/>
      <c r="BJ50" s="282"/>
      <c r="BK50" s="282"/>
      <c r="BL50" s="282"/>
      <c r="BM50" s="282"/>
      <c r="BN50" s="282"/>
      <c r="BO50" s="282"/>
      <c r="BP50" s="282"/>
      <c r="BQ50" s="282"/>
      <c r="BR50" s="282"/>
    </row>
    <row r="51" customFormat="false" ht="19.5" hidden="false" customHeight="true" outlineLevel="0" collapsed="false">
      <c r="A51" s="278"/>
      <c r="B51" s="280" t="s">
        <v>350</v>
      </c>
      <c r="C51" s="280"/>
      <c r="D51" s="292" t="str">
        <f aca="false">INDEX($B$4:$B$42,MATCH($B51,D$4:D$42,0))</f>
        <v>3SG SAMUEL TAN ENG WEE</v>
      </c>
      <c r="E51" s="292" t="str">
        <f aca="false">INDEX($B$4:$B$42,MATCH($B51,E$4:E$42,0))</f>
        <v>LCP IGNATIUS QUEK </v>
      </c>
      <c r="F51" s="292" t="str">
        <f aca="false">INDEX($B$4:$B$42,MATCH($B51,F$4:F$42,0))</f>
        <v>3SG SAMUEL TAN ENG WEE</v>
      </c>
      <c r="G51" s="292" t="str">
        <f aca="false">INDEX($B$4:$B$42,MATCH($B51,G$4:G$42,0))</f>
        <v>PTE MENDEZ RALPH JUSTINE MACALINO</v>
      </c>
      <c r="H51" s="292" t="str">
        <f aca="false">INDEX($B$4:$B$42,MATCH($B51,H$4:H$42,0))</f>
        <v>LCP SHLOK PUROHIT</v>
      </c>
      <c r="I51" s="292" t="str">
        <f aca="false">INDEX($B$4:$B$42,MATCH($B51,I$4:I$41,0))</f>
        <v>LCP STEPHEN TAY </v>
      </c>
      <c r="J51" s="292" t="str">
        <f aca="false">INDEX($B$4:$B$42,MATCH($B51,J$4:J$42,0))</f>
        <v>PTE DANIEL ISKANDAR BIN SANUSI</v>
      </c>
      <c r="K51" s="292" t="str">
        <f aca="false">INDEX($B$4:$B$42,MATCH($B51,K$4:K$41,0))</f>
        <v>LCP IGNATIUS QUEK </v>
      </c>
      <c r="L51" s="292" t="str">
        <f aca="false">INDEX($B$4:$B$42,MATCH($B51,L$4:L$42,0))</f>
        <v>LCP CHYE JING AN MAXIMUS</v>
      </c>
      <c r="M51" s="292" t="str">
        <f aca="false">INDEX($B$4:$B$42,MATCH($B51,M$4:M$42,0))</f>
        <v>LCP APPLE YEO</v>
      </c>
      <c r="N51" s="292" t="str">
        <f aca="false">INDEX($B$4:$B$42,MATCH($B51,N$4:N$42,0))</f>
        <v>LCP KOO YI XIAN RAPHAEL </v>
      </c>
      <c r="O51" s="292" t="e">
        <f aca="false">INDEX($B$4:$B$42,MATCH($B51,O$4:O$42,0))</f>
        <v>#N/A</v>
      </c>
      <c r="P51" s="292" t="str">
        <f aca="false">INDEX($B$4:$B$42,MATCH($B51,P$4:P$42,0))</f>
        <v>LCP TAN JUN YANG KELVIN</v>
      </c>
      <c r="Q51" s="292" t="e">
        <f aca="false">INDEX($B$4:$B$42,MATCH($B51,Q$4:Q$42,0))</f>
        <v>#N/A</v>
      </c>
      <c r="R51" s="292" t="str">
        <f aca="false">INDEX($B$4:$B$42,MATCH($B51,R$4:R$42,0))</f>
        <v>LCP MATTHEW HWANG YEW SENG</v>
      </c>
      <c r="S51" s="292" t="str">
        <f aca="false">INDEX($B$4:$B$42,MATCH($B51,S$4:S$42,0))</f>
        <v>3SG SAMUEL TAN ENG WEE</v>
      </c>
      <c r="T51" s="292" t="e">
        <f aca="false">INDEX($B$4:$B$42,MATCH($B51,T$4:T$42,0))</f>
        <v>#N/A</v>
      </c>
      <c r="U51" s="292" t="str">
        <f aca="false">INDEX($B$4:$B$42,MATCH($B51,U$4:U$42,0))</f>
        <v>LCP WONG JI FENG WILLARD</v>
      </c>
      <c r="V51" s="292" t="e">
        <f aca="false">INDEX($B$4:$B$42,MATCH($B51,V$4:V$41,0))</f>
        <v>#N/A</v>
      </c>
      <c r="W51" s="292" t="e">
        <f aca="false">INDEX($B$4:$B$42,MATCH($B51,W$4:W$42,0))</f>
        <v>#N/A</v>
      </c>
      <c r="X51" s="292" t="str">
        <f aca="false">INDEX($B$4:$B$42,MATCH($B51,X$4:X$41,0))</f>
        <v>PTE DANIEL ISKANDAR BIN SANUSI</v>
      </c>
      <c r="Y51" s="292" t="e">
        <f aca="false">INDEX($B$4:$B$42,MATCH($B51,Y$4:Y$42,0))</f>
        <v>#N/A</v>
      </c>
      <c r="Z51" s="292" t="e">
        <f aca="false">INDEX($B$4:$B$42,MATCH($B51,Z$4:Z$42,0))</f>
        <v>#N/A</v>
      </c>
      <c r="AA51" s="292" t="str">
        <f aca="false">INDEX($B$4:$B$42,MATCH($B51,AA$4:AA$42,0))</f>
        <v>CFC DERRICK CHIN</v>
      </c>
      <c r="AB51" s="292" t="str">
        <f aca="false">INDEX($B$4:$B$42,MATCH($B51,AB$4:AB$41,0))</f>
        <v>LCP KOO YI XIAN RAPHAEL </v>
      </c>
      <c r="AC51" s="292" t="str">
        <f aca="false">INDEX($B$4:$B$42,MATCH($B51,AC$4:AC$42,0))</f>
        <v>LCP STEPHEN TAY </v>
      </c>
      <c r="AD51" s="292" t="str">
        <f aca="false">INDEX($B$4:$B$42,MATCH($B51,AD$4:AD$42,0))</f>
        <v>LCP RAIYAN ZUFAYRI BIN MOHAMAD HELMY</v>
      </c>
      <c r="AE51" s="292" t="str">
        <f aca="false">INDEX($B$4:$B$42,MATCH($B51,AE$4:AE$42,0))</f>
        <v>LCP APPLE YEO</v>
      </c>
      <c r="AF51" s="292" t="str">
        <f aca="false">INDEX($B$4:$B$42,MATCH($B51,AF$4:AF$42,0))</f>
        <v>LCP MATTHEW HWANG YEW SENG</v>
      </c>
      <c r="AG51" s="292" t="e">
        <f aca="false">INDEX($B$4:$B$42,MATCH($B51,AG$4:AG$42,0))</f>
        <v>#N/A</v>
      </c>
      <c r="AH51" s="292" t="str">
        <f aca="false">INDEX($B$4:$B$42,MATCH($B51,AH$4:AH$42,0))</f>
        <v>LCP RAIYAN ZUFAYRI BIN MOHAMAD HELMY</v>
      </c>
      <c r="AI51" s="278"/>
      <c r="AJ51" s="278"/>
      <c r="AK51" s="278"/>
      <c r="AL51" s="278"/>
      <c r="AM51" s="278"/>
      <c r="AN51" s="278"/>
      <c r="AO51" s="278"/>
      <c r="AP51" s="278"/>
      <c r="AQ51" s="278"/>
      <c r="AR51" s="279"/>
      <c r="AS51" s="279"/>
      <c r="AT51" s="278"/>
      <c r="AU51" s="278"/>
      <c r="AV51" s="278"/>
      <c r="AW51" s="278" t="n">
        <f aca="false">SUMPRODUCT(--(WEEKDAY(D$3:AG$3,2)&gt;5),--ISNUMBER(MATCH(D51:AG51,{"DM","CS1","CS2","SB1","AE","CS/B"},0)))</f>
        <v>0</v>
      </c>
      <c r="AX51" s="278"/>
      <c r="AY51" s="278"/>
      <c r="AZ51" s="278"/>
      <c r="BA51" s="278"/>
      <c r="BB51" s="279"/>
      <c r="BC51" s="278"/>
      <c r="BD51" s="278"/>
      <c r="BE51" s="278"/>
      <c r="BF51" s="278"/>
      <c r="BG51" s="278"/>
      <c r="BH51" s="278"/>
      <c r="BI51" s="278"/>
      <c r="BJ51" s="278"/>
      <c r="BK51" s="278"/>
      <c r="BL51" s="278"/>
      <c r="BM51" s="278"/>
      <c r="BN51" s="278"/>
      <c r="BO51" s="278"/>
      <c r="BP51" s="278"/>
      <c r="BQ51" s="278"/>
      <c r="BR51" s="278"/>
    </row>
    <row r="52" customFormat="false" ht="19.5" hidden="false" customHeight="true" outlineLevel="0" collapsed="false">
      <c r="A52" s="282"/>
      <c r="B52" s="293"/>
      <c r="C52" s="293"/>
      <c r="D52" s="294"/>
      <c r="E52" s="294"/>
      <c r="F52" s="294"/>
      <c r="G52" s="294"/>
      <c r="H52" s="294"/>
      <c r="I52" s="294"/>
      <c r="J52" s="294"/>
      <c r="K52" s="294"/>
      <c r="L52" s="294"/>
      <c r="M52" s="294"/>
      <c r="N52" s="294"/>
      <c r="O52" s="294"/>
      <c r="P52" s="294"/>
      <c r="Q52" s="294"/>
      <c r="R52" s="294"/>
      <c r="S52" s="294"/>
      <c r="T52" s="294"/>
      <c r="U52" s="294"/>
      <c r="V52" s="294"/>
      <c r="W52" s="294"/>
      <c r="X52" s="294"/>
      <c r="Y52" s="294"/>
      <c r="Z52" s="294"/>
      <c r="AA52" s="294"/>
      <c r="AB52" s="294"/>
      <c r="AC52" s="294"/>
      <c r="AD52" s="294"/>
      <c r="AE52" s="294"/>
      <c r="AF52" s="294"/>
      <c r="AG52" s="294"/>
      <c r="AH52" s="294"/>
      <c r="AI52" s="293" t="n">
        <f aca="false">COUNTIF($D52:$AG52,AI$4)</f>
        <v>0</v>
      </c>
      <c r="AJ52" s="293" t="n">
        <f aca="false">COUNTIF($D52:$AG52,AJ$4)</f>
        <v>0</v>
      </c>
      <c r="AK52" s="293" t="n">
        <f aca="false">COUNTIF($D52:$AG52,AK$4)</f>
        <v>0</v>
      </c>
      <c r="AL52" s="293" t="n">
        <f aca="false">COUNTIF($D52:$AG52,AL$4)</f>
        <v>0</v>
      </c>
      <c r="AM52" s="293" t="n">
        <f aca="false">COUNTIF($D52:$AG52,AM$4)</f>
        <v>0</v>
      </c>
      <c r="AN52" s="293" t="n">
        <f aca="false">COUNTIF($D52:$AG52,AN$4)</f>
        <v>0</v>
      </c>
      <c r="AO52" s="293" t="n">
        <f aca="false">COUNTIF($D52:$AG52,AO$4)</f>
        <v>0</v>
      </c>
      <c r="AP52" s="293" t="n">
        <f aca="false">COUNTIF($D52:$AG52,AP$4)</f>
        <v>0</v>
      </c>
      <c r="AQ52" s="293" t="n">
        <f aca="false">COUNTIF($D52:$AG52,AQ$4)</f>
        <v>0</v>
      </c>
      <c r="AR52" s="293" t="n">
        <v>1</v>
      </c>
      <c r="AS52" s="293"/>
      <c r="AT52" s="293" t="n">
        <f aca="false" t="array" ref="AT52:AT52">SUMPRODUCT(--(WEEKDAY(D$3:AG$3,2)&lt;5),--ISNUMBER(MATCH(D52:AG52,{"DM","CS1","CS2","SB1","AE","CS/B"},0)))</f>
        <v>0</v>
      </c>
      <c r="AU52" s="293"/>
      <c r="AV52" s="293" t="n">
        <f aca="false" t="array" ref="AV52:AV52">SUMPRODUCT(--(WEEKDAY(D$3:AG$3,2)=5),--ISNUMBER(MATCH(D52:AG52,{"DM","CS1","CS2","SB1","AE","CS/B"},0)))</f>
        <v>0</v>
      </c>
      <c r="AW52" s="282" t="n">
        <f aca="false">SUMPRODUCT(--(WEEKDAY(D$3:AG$3,2)&gt;5),--ISNUMBER(MATCH(D52:AG52,{"DM","CS1","CS2","SB1","AE","CS/B"},0)))</f>
        <v>0</v>
      </c>
      <c r="AX52" s="293"/>
      <c r="AY52" s="293" t="n">
        <f aca="false">(AT52-AU52)+AV52*1.5+(AW52-AX52)*2+AN52*0.5+AP52*0.5+AR52-AS52</f>
        <v>1</v>
      </c>
      <c r="AZ52" s="293" t="n">
        <f aca="false">AT52+AV52+AW52</f>
        <v>0</v>
      </c>
      <c r="BA52" s="293" t="n">
        <f aca="false">BD52+BF52+BH52+BJ52+BL52</f>
        <v>0</v>
      </c>
      <c r="BB52" s="293" t="n">
        <f aca="false">AY52+BC52</f>
        <v>1</v>
      </c>
      <c r="BC52" s="293" t="n">
        <f aca="false">BE52+BG52+BI52+BK52+BM52</f>
        <v>0</v>
      </c>
      <c r="BD52" s="293" t="n">
        <f aca="false">COUNTIF(A52:AI52,"*$BTP*")</f>
        <v>0</v>
      </c>
      <c r="BE52" s="293" t="n">
        <f aca="false">BD52*1.5</f>
        <v>0</v>
      </c>
      <c r="BF52" s="293" t="n">
        <f aca="false">COUNTIF(A52:AI52,"*$M*")</f>
        <v>0</v>
      </c>
      <c r="BG52" s="293" t="n">
        <f aca="false">BF52*1</f>
        <v>0</v>
      </c>
      <c r="BH52" s="293" t="n">
        <f aca="false">COUNTIF(A52:AI52,"*$PM*")</f>
        <v>0</v>
      </c>
      <c r="BI52" s="293" t="n">
        <f aca="false">BH52*0.5</f>
        <v>0</v>
      </c>
      <c r="BJ52" s="293" t="n">
        <f aca="false">COUNTIF(A52:AI52,"*$AM*")</f>
        <v>0</v>
      </c>
      <c r="BK52" s="293" t="n">
        <f aca="false">BJ52*0.5</f>
        <v>0</v>
      </c>
      <c r="BL52" s="293" t="n">
        <f aca="false">COUNTIF(A52:AI52,"*$FC*")</f>
        <v>0</v>
      </c>
      <c r="BM52" s="293" t="n">
        <f aca="false">BL52*1</f>
        <v>0</v>
      </c>
      <c r="BN52" s="293"/>
      <c r="BO52" s="293" t="n">
        <f aca="false">COUNTIF($E52:$Z52,BO$4)</f>
        <v>0</v>
      </c>
      <c r="BP52" s="293" t="n">
        <f aca="false">COUNTIF($E52:$Z52,BP$4)</f>
        <v>0</v>
      </c>
      <c r="BQ52" s="293" t="n">
        <f aca="false">COUNTIF($E52:$Z52,BQ$4)</f>
        <v>0</v>
      </c>
      <c r="BR52" s="293"/>
    </row>
    <row r="53" customFormat="false" ht="19.5" hidden="false" customHeight="true" outlineLevel="0" collapsed="false">
      <c r="A53" s="278"/>
      <c r="B53" s="279" t="s">
        <v>812</v>
      </c>
      <c r="C53" s="279"/>
      <c r="D53" s="280"/>
      <c r="E53" s="280"/>
      <c r="F53" s="280"/>
      <c r="G53" s="280"/>
      <c r="H53" s="280"/>
      <c r="I53" s="280"/>
      <c r="J53" s="280" t="s">
        <v>57</v>
      </c>
      <c r="K53" s="280"/>
      <c r="L53" s="280"/>
      <c r="M53" s="280"/>
      <c r="N53" s="280"/>
      <c r="O53" s="280"/>
      <c r="P53" s="280"/>
      <c r="Q53" s="280"/>
      <c r="R53" s="280"/>
      <c r="S53" s="280"/>
      <c r="T53" s="280"/>
      <c r="U53" s="280" t="s">
        <v>813</v>
      </c>
      <c r="V53" s="280"/>
      <c r="W53" s="280"/>
      <c r="X53" s="280"/>
      <c r="Y53" s="280"/>
      <c r="Z53" s="280"/>
      <c r="AA53" s="280"/>
      <c r="AB53" s="280"/>
      <c r="AC53" s="280"/>
      <c r="AD53" s="280"/>
      <c r="AE53" s="280"/>
      <c r="AF53" s="280"/>
      <c r="AG53" s="280"/>
      <c r="AH53" s="280"/>
      <c r="AI53" s="278" t="n">
        <f aca="false">COUNTIF($D53:$AG53,AI$4)</f>
        <v>1</v>
      </c>
      <c r="AJ53" s="278" t="n">
        <f aca="false">COUNTIF($D53:$AG53,AJ$4)</f>
        <v>0</v>
      </c>
      <c r="AK53" s="278" t="n">
        <f aca="false">COUNTIF($D53:$AG53,AK$4)</f>
        <v>0</v>
      </c>
      <c r="AL53" s="278" t="n">
        <f aca="false">COUNTIF($D53:$AG53,AL$4)</f>
        <v>0</v>
      </c>
      <c r="AM53" s="278" t="n">
        <f aca="false">COUNTIF($D53:$AG53,AM$4)</f>
        <v>0</v>
      </c>
      <c r="AN53" s="278" t="n">
        <f aca="false">COUNTIF($D53:$AG53,AN$4)</f>
        <v>0</v>
      </c>
      <c r="AO53" s="278" t="n">
        <f aca="false">COUNTIF($D53:$AG53,AO$4)</f>
        <v>0</v>
      </c>
      <c r="AP53" s="278" t="n">
        <f aca="false">COUNTIF($D53:$AG53,AP$4)</f>
        <v>0</v>
      </c>
      <c r="AQ53" s="278" t="n">
        <f aca="false">COUNTIF($D53:$AG53,AQ$4)</f>
        <v>0</v>
      </c>
      <c r="AR53" s="279"/>
      <c r="AS53" s="279"/>
      <c r="AT53" s="278" t="n">
        <f aca="false">SUMPRODUCT(--(WEEKDAY(D$3:AG$3,2)&lt;5),--ISNUMBER(MATCH(D53:AG53,{"DM","CS1","CS2","SB1","SB2","AE","CS/B"},0)))</f>
        <v>1</v>
      </c>
      <c r="AU53" s="278"/>
      <c r="AV53" s="278" t="n">
        <f aca="false">SUMPRODUCT(--(WEEKDAY(D$3:AG$3,2)=5),--ISNUMBER(MATCH(D53:AG53,{"DM","CS1","CS2","SB1","SB2","AE","CS/B"},0)))</f>
        <v>0</v>
      </c>
      <c r="AW53" s="278" t="n">
        <f aca="false">SUMPRODUCT(--(WEEKDAY(D$3:AG$3,2)&gt;5),--ISNUMBER(MATCH(D53:AG53,{"DM","CS1","CS2","SB1","AE","CS/B","SB2"},0)))</f>
        <v>0</v>
      </c>
      <c r="AX53" s="278"/>
      <c r="AY53" s="278" t="n">
        <f aca="false">(AT53-AU53)+AV53*1.5+(AW53-AX53)*2+AP53*0.5+AR53-AS53</f>
        <v>1</v>
      </c>
      <c r="AZ53" s="278" t="n">
        <f aca="false">AT53+AV53+AW53</f>
        <v>1</v>
      </c>
      <c r="BA53" s="278" t="n">
        <f aca="false">BD53+BF53+BH53+BJ53+BL53</f>
        <v>0</v>
      </c>
      <c r="BB53" s="279" t="n">
        <f aca="false">AY53+BC53</f>
        <v>1</v>
      </c>
      <c r="BC53" s="278" t="n">
        <f aca="false">BE53+BG53+BI53+BK53+BM53</f>
        <v>0</v>
      </c>
      <c r="BD53" s="278" t="n">
        <f aca="false">COUNTIF(A53:AI53,"*$BTP*")</f>
        <v>0</v>
      </c>
      <c r="BE53" s="278" t="n">
        <f aca="false">BD53*1.5</f>
        <v>0</v>
      </c>
      <c r="BF53" s="278" t="n">
        <f aca="false">COUNTIF(A53:AI53,"*$M*")</f>
        <v>0</v>
      </c>
      <c r="BG53" s="278" t="n">
        <f aca="false">BF53*1</f>
        <v>0</v>
      </c>
      <c r="BH53" s="278" t="n">
        <f aca="false">COUNTIF(A53:AI53,"*$PM*")</f>
        <v>0</v>
      </c>
      <c r="BI53" s="278" t="n">
        <f aca="false">BH53*0.5</f>
        <v>0</v>
      </c>
      <c r="BJ53" s="278" t="n">
        <f aca="false">COUNTIF(A53:AI53,"*$AM*")</f>
        <v>0</v>
      </c>
      <c r="BK53" s="278" t="n">
        <f aca="false">BJ53*0.5</f>
        <v>0</v>
      </c>
      <c r="BL53" s="278" t="n">
        <f aca="false">COUNTIF(A53:AI53,"*$FC*")</f>
        <v>0</v>
      </c>
      <c r="BM53" s="278" t="n">
        <f aca="false">BL53*1</f>
        <v>0</v>
      </c>
      <c r="BN53" s="278"/>
      <c r="BO53" s="278" t="n">
        <f aca="false">COUNTIF($E53:$Z53,BO$4)</f>
        <v>0</v>
      </c>
      <c r="BP53" s="278" t="n">
        <f aca="false">COUNTIF($E53:$Z53,BP$4)</f>
        <v>0</v>
      </c>
      <c r="BQ53" s="278" t="n">
        <f aca="false">COUNTIF($E53:$Z53,BQ$4)</f>
        <v>0</v>
      </c>
      <c r="BR53" s="278"/>
    </row>
    <row r="54" customFormat="false" ht="19.5" hidden="false" customHeight="true" outlineLevel="0" collapsed="false">
      <c r="A54" s="282"/>
      <c r="B54" s="279" t="s">
        <v>814</v>
      </c>
      <c r="C54" s="279"/>
      <c r="D54" s="283"/>
      <c r="E54" s="283"/>
      <c r="F54" s="283"/>
      <c r="G54" s="283" t="s">
        <v>815</v>
      </c>
      <c r="H54" s="283" t="s">
        <v>65</v>
      </c>
      <c r="I54" s="283"/>
      <c r="J54" s="283"/>
      <c r="K54" s="283" t="s">
        <v>65</v>
      </c>
      <c r="L54" s="283"/>
      <c r="M54" s="283"/>
      <c r="N54" s="283" t="s">
        <v>816</v>
      </c>
      <c r="O54" s="283" t="s">
        <v>58</v>
      </c>
      <c r="P54" s="283"/>
      <c r="Q54" s="283"/>
      <c r="R54" s="283" t="s">
        <v>56</v>
      </c>
      <c r="S54" s="283"/>
      <c r="T54" s="283" t="s">
        <v>58</v>
      </c>
      <c r="U54" s="283" t="s">
        <v>93</v>
      </c>
      <c r="V54" s="283"/>
      <c r="W54" s="283" t="s">
        <v>56</v>
      </c>
      <c r="X54" s="283" t="s">
        <v>253</v>
      </c>
      <c r="Y54" s="283"/>
      <c r="Z54" s="283"/>
      <c r="AA54" s="283"/>
      <c r="AB54" s="283" t="s">
        <v>261</v>
      </c>
      <c r="AC54" s="285"/>
      <c r="AD54" s="283"/>
      <c r="AE54" s="283" t="s">
        <v>56</v>
      </c>
      <c r="AF54" s="283"/>
      <c r="AG54" s="283"/>
      <c r="AH54" s="283"/>
      <c r="AI54" s="282" t="n">
        <f aca="false">COUNTIF($D54:$AG54,AI$4)</f>
        <v>0</v>
      </c>
      <c r="AJ54" s="282" t="n">
        <f aca="false">COUNTIF($D54:$AG54,AJ$4)</f>
        <v>3</v>
      </c>
      <c r="AK54" s="282" t="n">
        <f aca="false">COUNTIF($D54:$AG54,AK$4)</f>
        <v>0</v>
      </c>
      <c r="AL54" s="282" t="n">
        <f aca="false">COUNTIF($D54:$AG54,AL$4)</f>
        <v>0</v>
      </c>
      <c r="AM54" s="282" t="n">
        <f aca="false">COUNTIF($D54:$AG54,AM$4)</f>
        <v>2</v>
      </c>
      <c r="AN54" s="282" t="n">
        <f aca="false">COUNTIF($D54:$AG54,AN$4)</f>
        <v>1</v>
      </c>
      <c r="AO54" s="282" t="n">
        <f aca="false">COUNTIF($D54:$AG54,AO$4)</f>
        <v>2</v>
      </c>
      <c r="AP54" s="282" t="n">
        <f aca="false">COUNTIF($D54:$AG54,AP$4)</f>
        <v>0</v>
      </c>
      <c r="AQ54" s="282" t="n">
        <f aca="false">COUNTIF($D54:$AG54,AQ$4)</f>
        <v>0</v>
      </c>
      <c r="AR54" s="279"/>
      <c r="AS54" s="279"/>
      <c r="AT54" s="282" t="n">
        <f aca="false">SUMPRODUCT(--(WEEKDAY(D$3:AG$3,2)&lt;5),--ISNUMBER(MATCH(D54:AG54,{"DM","CS1","CS2","SB1","SB2","AE","CS/B"},0)))</f>
        <v>5</v>
      </c>
      <c r="AU54" s="282"/>
      <c r="AV54" s="282" t="n">
        <f aca="false">SUMPRODUCT(--(WEEKDAY(D$3:AG$3,2)=5),--ISNUMBER(MATCH(D54:AG54,{"DM","CS1","CS2","SB1","SB2","AE","CS/B"},0)))</f>
        <v>2</v>
      </c>
      <c r="AW54" s="282" t="n">
        <f aca="false">SUMPRODUCT(--(WEEKDAY(D$3:AG$3,2)&gt;5),--ISNUMBER(MATCH(D54:AG54,{"DM","CS1","CS2","SB1","AE","CS/B","SB2"},0)))</f>
        <v>1</v>
      </c>
      <c r="AX54" s="282"/>
      <c r="AY54" s="282" t="n">
        <f aca="false">(AT54-AU54)+AV54*1.5+(AW54-AX54)*2+AN54*0.5+AP54*0.5+AR54-AS54</f>
        <v>10.5</v>
      </c>
      <c r="AZ54" s="282" t="n">
        <f aca="false">AT54+AV54+AW54</f>
        <v>8</v>
      </c>
      <c r="BA54" s="282" t="n">
        <f aca="false">BD54+BF54+BH54+BJ54+BL54</f>
        <v>1</v>
      </c>
      <c r="BB54" s="279" t="n">
        <f aca="false">AY54+BC54</f>
        <v>11</v>
      </c>
      <c r="BC54" s="282" t="n">
        <f aca="false">BE54+BG54+BI54+BK54+BM54</f>
        <v>0.5</v>
      </c>
      <c r="BD54" s="282" t="n">
        <f aca="false">COUNTIF(A54:AI54,"*$BTP*")</f>
        <v>0</v>
      </c>
      <c r="BE54" s="282" t="n">
        <f aca="false">BD54*1.5</f>
        <v>0</v>
      </c>
      <c r="BF54" s="282" t="n">
        <f aca="false">COUNTIF(A54:AI54,"*$M*")</f>
        <v>0</v>
      </c>
      <c r="BG54" s="282" t="n">
        <f aca="false">BF54*1</f>
        <v>0</v>
      </c>
      <c r="BH54" s="282" t="n">
        <f aca="false">COUNTIF(A54:AI54,"*$PM*")</f>
        <v>1</v>
      </c>
      <c r="BI54" s="282" t="n">
        <f aca="false">BH54*0.5</f>
        <v>0.5</v>
      </c>
      <c r="BJ54" s="282" t="n">
        <f aca="false">COUNTIF(A54:AI54,"*$AM*")</f>
        <v>0</v>
      </c>
      <c r="BK54" s="282" t="n">
        <f aca="false">BJ54*0.5</f>
        <v>0</v>
      </c>
      <c r="BL54" s="282" t="n">
        <f aca="false">COUNTIF(A54:AI54,"*$FC*")</f>
        <v>0</v>
      </c>
      <c r="BM54" s="282" t="n">
        <f aca="false">BL54*1</f>
        <v>0</v>
      </c>
      <c r="BN54" s="282"/>
      <c r="BO54" s="282" t="n">
        <f aca="false">COUNTIF($E54:$Z54,BO$4)</f>
        <v>0</v>
      </c>
      <c r="BP54" s="282" t="n">
        <f aca="false">COUNTIF($E54:$Z54,BP$4)</f>
        <v>0</v>
      </c>
      <c r="BQ54" s="282" t="n">
        <f aca="false">COUNTIF($E54:$Z54,BQ$4)</f>
        <v>0</v>
      </c>
      <c r="BR54" s="282"/>
    </row>
    <row r="55" customFormat="false" ht="19.5" hidden="false" customHeight="true" outlineLevel="0" collapsed="false">
      <c r="A55" s="278"/>
      <c r="B55" s="279" t="s">
        <v>817</v>
      </c>
      <c r="C55" s="279"/>
      <c r="D55" s="280"/>
      <c r="E55" s="280"/>
      <c r="F55" s="280"/>
      <c r="G55" s="280" t="s">
        <v>507</v>
      </c>
      <c r="H55" s="280" t="s">
        <v>58</v>
      </c>
      <c r="I55" s="280"/>
      <c r="J55" s="280"/>
      <c r="K55" s="280" t="s">
        <v>818</v>
      </c>
      <c r="L55" s="280" t="s">
        <v>818</v>
      </c>
      <c r="M55" s="281"/>
      <c r="N55" s="280"/>
      <c r="O55" s="280" t="s">
        <v>56</v>
      </c>
      <c r="P55" s="280"/>
      <c r="Q55" s="280"/>
      <c r="R55" s="280"/>
      <c r="S55" s="280"/>
      <c r="T55" s="280" t="s">
        <v>93</v>
      </c>
      <c r="U55" s="280"/>
      <c r="V55" s="280" t="s">
        <v>65</v>
      </c>
      <c r="W55" s="280"/>
      <c r="X55" s="289" t="s">
        <v>58</v>
      </c>
      <c r="Y55" s="280"/>
      <c r="Z55" s="280"/>
      <c r="AA55" s="280"/>
      <c r="AB55" s="280"/>
      <c r="AC55" s="280" t="s">
        <v>819</v>
      </c>
      <c r="AD55" s="289"/>
      <c r="AE55" s="280"/>
      <c r="AF55" s="280" t="s">
        <v>56</v>
      </c>
      <c r="AG55" s="280" t="s">
        <v>58</v>
      </c>
      <c r="AH55" s="280"/>
      <c r="AI55" s="278" t="n">
        <f aca="false">COUNTIF($D55:$AG55,AI$4)</f>
        <v>0</v>
      </c>
      <c r="AJ55" s="278" t="n">
        <f aca="false">COUNTIF($D55:$AG55,AJ$4)</f>
        <v>2</v>
      </c>
      <c r="AK55" s="278" t="n">
        <f aca="false">COUNTIF($D55:$AG55,AK$4)</f>
        <v>0</v>
      </c>
      <c r="AL55" s="278" t="n">
        <f aca="false">COUNTIF($D55:$AG55,AL$4)</f>
        <v>0</v>
      </c>
      <c r="AM55" s="278" t="n">
        <f aca="false">COUNTIF($D55:$AG55,AM$4)</f>
        <v>3</v>
      </c>
      <c r="AN55" s="278" t="n">
        <f aca="false">COUNTIF($D55:$AG55,AN$4)</f>
        <v>1</v>
      </c>
      <c r="AO55" s="278" t="n">
        <f aca="false">COUNTIF($D55:$AG55,AO$4)</f>
        <v>1</v>
      </c>
      <c r="AP55" s="278" t="n">
        <f aca="false">COUNTIF($D55:$AG55,AP$4)</f>
        <v>0</v>
      </c>
      <c r="AQ55" s="278" t="n">
        <f aca="false">COUNTIF($D55:$AG55,AQ$4)</f>
        <v>0</v>
      </c>
      <c r="AR55" s="279"/>
      <c r="AS55" s="279"/>
      <c r="AT55" s="278" t="n">
        <f aca="false">SUMPRODUCT(--(WEEKDAY(D$3:AG$3,2)&lt;5),--ISNUMBER(MATCH(D55:AG55,{"DM","CS1","CS2","SB1","SB2","AE","CS/B"},0)))</f>
        <v>4</v>
      </c>
      <c r="AU55" s="278"/>
      <c r="AV55" s="278" t="n">
        <f aca="false">SUMPRODUCT(--(WEEKDAY(D$3:AG$3,2)=5),--ISNUMBER(MATCH(D55:AG55,{"DM","CS1","CS2","SB1","SB2","AE","CS/B"},0)))</f>
        <v>1</v>
      </c>
      <c r="AW55" s="278" t="n">
        <f aca="false">SUMPRODUCT(--(WEEKDAY(D$3:AG$3,2)&gt;5),--ISNUMBER(MATCH(D55:AG55,{"DM","CS1","CS2","SB1","AE","CS/B","SB2"},0)))</f>
        <v>2</v>
      </c>
      <c r="AX55" s="278"/>
      <c r="AY55" s="278" t="n">
        <f aca="false">(AT55-AU55)+AV55*1.5+(AW55-AX55)*2+AN55*0.5+AP55*0.5+AR55-AS55</f>
        <v>10</v>
      </c>
      <c r="AZ55" s="278" t="n">
        <f aca="false">AT55+AV55+AW55</f>
        <v>7</v>
      </c>
      <c r="BA55" s="278" t="n">
        <f aca="false">BD55+BF55+BH55+BJ55+BL55</f>
        <v>3</v>
      </c>
      <c r="BB55" s="279" t="n">
        <f aca="false">AY55+BC55</f>
        <v>12.5</v>
      </c>
      <c r="BC55" s="278" t="n">
        <f aca="false">BE55+BG55+BI55+BK55+BM55</f>
        <v>2.5</v>
      </c>
      <c r="BD55" s="278" t="n">
        <f aca="false">COUNTIF(A55:AI55,"*$BTP*")</f>
        <v>0</v>
      </c>
      <c r="BE55" s="278" t="n">
        <f aca="false">BD55*1.5</f>
        <v>0</v>
      </c>
      <c r="BF55" s="278" t="n">
        <f aca="false">COUNTIF(A55:AI55,"*$M*")</f>
        <v>0</v>
      </c>
      <c r="BG55" s="278" t="n">
        <f aca="false">BF55*1</f>
        <v>0</v>
      </c>
      <c r="BH55" s="278" t="n">
        <f aca="false">COUNTIF(A55:AI55,"*$PM*")</f>
        <v>0</v>
      </c>
      <c r="BI55" s="278" t="n">
        <f aca="false">BH55*0.5</f>
        <v>0</v>
      </c>
      <c r="BJ55" s="278" t="n">
        <f aca="false">COUNTIF(A55:AI55,"*$AM*")</f>
        <v>1</v>
      </c>
      <c r="BK55" s="278" t="n">
        <f aca="false">BJ55*0.5</f>
        <v>0.5</v>
      </c>
      <c r="BL55" s="278" t="n">
        <f aca="false">COUNTIF(A55:AI55,"*$FC*")</f>
        <v>2</v>
      </c>
      <c r="BM55" s="278" t="n">
        <f aca="false">BL55*1</f>
        <v>2</v>
      </c>
      <c r="BN55" s="278"/>
      <c r="BO55" s="278" t="n">
        <f aca="false">COUNTIF($E55:$Z55,BO$4)</f>
        <v>0</v>
      </c>
      <c r="BP55" s="278" t="n">
        <f aca="false">COUNTIF($E55:$Z55,BP$4)</f>
        <v>0</v>
      </c>
      <c r="BQ55" s="278" t="n">
        <f aca="false">COUNTIF($E55:$Z55,BQ$4)</f>
        <v>0</v>
      </c>
      <c r="BR55" s="278"/>
    </row>
    <row r="56" customFormat="false" ht="19.5" hidden="false" customHeight="true" outlineLevel="0" collapsed="false">
      <c r="A56" s="282"/>
      <c r="B56" s="279" t="s">
        <v>820</v>
      </c>
      <c r="C56" s="279"/>
      <c r="D56" s="283"/>
      <c r="E56" s="283"/>
      <c r="F56" s="283" t="s">
        <v>93</v>
      </c>
      <c r="G56" s="283"/>
      <c r="H56" s="283"/>
      <c r="I56" s="283"/>
      <c r="J56" s="285" t="s">
        <v>253</v>
      </c>
      <c r="K56" s="283" t="s">
        <v>58</v>
      </c>
      <c r="L56" s="283"/>
      <c r="M56" s="283"/>
      <c r="N56" s="283" t="s">
        <v>93</v>
      </c>
      <c r="O56" s="283"/>
      <c r="P56" s="283" t="s">
        <v>56</v>
      </c>
      <c r="R56" s="283"/>
      <c r="S56" s="283" t="s">
        <v>58</v>
      </c>
      <c r="T56" s="283"/>
      <c r="U56" s="283" t="s">
        <v>56</v>
      </c>
      <c r="V56" s="283" t="s">
        <v>56</v>
      </c>
      <c r="W56" s="283"/>
      <c r="X56" s="283" t="s">
        <v>253</v>
      </c>
      <c r="Y56" s="283"/>
      <c r="Z56" s="283"/>
      <c r="AA56" s="283"/>
      <c r="AB56" s="283" t="s">
        <v>54</v>
      </c>
      <c r="AC56" s="283" t="s">
        <v>54</v>
      </c>
      <c r="AD56" s="283" t="s">
        <v>54</v>
      </c>
      <c r="AE56" s="283" t="s">
        <v>54</v>
      </c>
      <c r="AF56" s="283" t="s">
        <v>54</v>
      </c>
      <c r="AG56" s="283" t="s">
        <v>54</v>
      </c>
      <c r="AH56" s="283" t="s">
        <v>54</v>
      </c>
      <c r="AI56" s="282" t="n">
        <f aca="false">COUNTIF($D56:$AG56,AI$4)</f>
        <v>0</v>
      </c>
      <c r="AJ56" s="282" t="n">
        <f aca="false">COUNTIF($D56:$AG56,AJ$4)</f>
        <v>3</v>
      </c>
      <c r="AK56" s="282" t="n">
        <f aca="false">COUNTIF($D56:$AG56,AK$4)</f>
        <v>0</v>
      </c>
      <c r="AL56" s="282" t="n">
        <f aca="false">COUNTIF($D56:$AG56,AL$4)</f>
        <v>0</v>
      </c>
      <c r="AM56" s="282" t="n">
        <f aca="false">COUNTIF($D56:$AG56,AM$4)</f>
        <v>2</v>
      </c>
      <c r="AN56" s="282" t="n">
        <f aca="false">COUNTIF($D56:$AG56,AN$4)</f>
        <v>2</v>
      </c>
      <c r="AO56" s="282" t="n">
        <f aca="false">COUNTIF($D56:$AG56,AO$4)</f>
        <v>0</v>
      </c>
      <c r="AP56" s="282" t="n">
        <f aca="false">COUNTIF($D56:$AG56,AP$4)</f>
        <v>0</v>
      </c>
      <c r="AQ56" s="282" t="n">
        <f aca="false">COUNTIF($D56:$AG56,AQ$4)</f>
        <v>0</v>
      </c>
      <c r="AR56" s="279"/>
      <c r="AS56" s="279"/>
      <c r="AT56" s="282" t="n">
        <f aca="false">SUMPRODUCT(--(WEEKDAY(D$3:AG$3,2)&lt;5),--ISNUMBER(MATCH(D56:AG56,{"DM","CS1","CS2","SB1","SB2","AE","CS/B"},0)))</f>
        <v>4</v>
      </c>
      <c r="AU56" s="282"/>
      <c r="AV56" s="282" t="n">
        <f aca="false">SUMPRODUCT(--(WEEKDAY(D$3:AG$3,2)=5),--ISNUMBER(MATCH(D56:AG56,{"DM","CS1","CS2","SB1","SB2","AE","CS/B"},0)))</f>
        <v>1</v>
      </c>
      <c r="AW56" s="282" t="n">
        <f aca="false">SUMPRODUCT(--(WEEKDAY(D$3:AG$3,2)&gt;5),--ISNUMBER(MATCH(D56:AG56,{"DM","CS1","CS2","SB1","AE","CS/B","SB2"},0)))</f>
        <v>2</v>
      </c>
      <c r="AX56" s="282"/>
      <c r="AY56" s="282" t="n">
        <f aca="false">(AT56-AU56)+AV56*1.5+(AW56-AX56)*2+AN56*0.5+AP56*0.5+AR56-AS56</f>
        <v>10.5</v>
      </c>
      <c r="AZ56" s="282" t="n">
        <f aca="false">AT56+AV56+AW56</f>
        <v>7</v>
      </c>
      <c r="BA56" s="282" t="n">
        <f aca="false">BD56+BF56+BH56+BJ56+BL56</f>
        <v>0</v>
      </c>
      <c r="BB56" s="279" t="n">
        <f aca="false">AY56+BC56</f>
        <v>10.5</v>
      </c>
      <c r="BC56" s="282" t="n">
        <f aca="false">BE56+BG56+BI56+BK56+BM56</f>
        <v>0</v>
      </c>
      <c r="BD56" s="282" t="n">
        <f aca="false">COUNTIF(A56:AI56,"*$BTP*")</f>
        <v>0</v>
      </c>
      <c r="BE56" s="282" t="n">
        <f aca="false">BD56*1.5</f>
        <v>0</v>
      </c>
      <c r="BF56" s="282" t="n">
        <f aca="false">COUNTIF(A56:AI56,"*$M*")</f>
        <v>0</v>
      </c>
      <c r="BG56" s="282" t="n">
        <f aca="false">BF56*1</f>
        <v>0</v>
      </c>
      <c r="BH56" s="282" t="n">
        <f aca="false">COUNTIF(A56:AI56,"*$PM*")</f>
        <v>0</v>
      </c>
      <c r="BI56" s="282" t="n">
        <f aca="false">BH56*0.5</f>
        <v>0</v>
      </c>
      <c r="BJ56" s="282" t="n">
        <f aca="false">COUNTIF(A56:AI56,"*$AM*")</f>
        <v>0</v>
      </c>
      <c r="BK56" s="282" t="n">
        <f aca="false">BJ56*0.5</f>
        <v>0</v>
      </c>
      <c r="BL56" s="282" t="n">
        <f aca="false">COUNTIF(A56:AI56,"*$FC*")</f>
        <v>0</v>
      </c>
      <c r="BM56" s="282" t="n">
        <f aca="false">BL56*1</f>
        <v>0</v>
      </c>
      <c r="BN56" s="282"/>
      <c r="BO56" s="282" t="n">
        <f aca="false">COUNTIF($E56:$Z56,BO$4)</f>
        <v>0</v>
      </c>
      <c r="BP56" s="282" t="n">
        <f aca="false">COUNTIF($E56:$Z56,BP$4)</f>
        <v>0</v>
      </c>
      <c r="BQ56" s="282" t="n">
        <f aca="false">COUNTIF($E56:$Z56,BQ$4)</f>
        <v>0</v>
      </c>
      <c r="BR56" s="282"/>
    </row>
    <row r="57" customFormat="false" ht="19.5" hidden="false" customHeight="true" outlineLevel="0" collapsed="false">
      <c r="A57" s="278"/>
      <c r="B57" s="279" t="s">
        <v>821</v>
      </c>
      <c r="C57" s="279"/>
      <c r="D57" s="280"/>
      <c r="E57" s="280"/>
      <c r="F57" s="280" t="s">
        <v>58</v>
      </c>
      <c r="G57" s="280"/>
      <c r="H57" s="280"/>
      <c r="I57" s="280"/>
      <c r="J57" s="280"/>
      <c r="K57" s="280"/>
      <c r="L57" s="280" t="s">
        <v>54</v>
      </c>
      <c r="M57" s="280" t="s">
        <v>54</v>
      </c>
      <c r="N57" s="280" t="s">
        <v>54</v>
      </c>
      <c r="O57" s="280" t="s">
        <v>54</v>
      </c>
      <c r="P57" s="289" t="s">
        <v>822</v>
      </c>
      <c r="Q57" s="280" t="s">
        <v>65</v>
      </c>
      <c r="R57" s="280"/>
      <c r="S57" s="280"/>
      <c r="T57" s="280"/>
      <c r="U57" s="289"/>
      <c r="V57" s="280"/>
      <c r="W57" s="280" t="s">
        <v>823</v>
      </c>
      <c r="X57" s="280" t="s">
        <v>253</v>
      </c>
      <c r="Y57" s="280" t="s">
        <v>65</v>
      </c>
      <c r="Z57" s="280"/>
      <c r="AA57" s="280" t="s">
        <v>824</v>
      </c>
      <c r="AB57" s="280"/>
      <c r="AC57" s="280" t="s">
        <v>65</v>
      </c>
      <c r="AD57" s="280"/>
      <c r="AE57" s="280" t="s">
        <v>261</v>
      </c>
      <c r="AF57" s="280" t="s">
        <v>58</v>
      </c>
      <c r="AG57" s="280"/>
      <c r="AH57" s="280"/>
      <c r="AI57" s="278" t="n">
        <f aca="false">COUNTIF($D57:$AG57,AI$4)</f>
        <v>0</v>
      </c>
      <c r="AJ57" s="278" t="n">
        <f aca="false">COUNTIF($D57:$AG57,AJ$4)</f>
        <v>0</v>
      </c>
      <c r="AK57" s="278" t="n">
        <f aca="false">COUNTIF($D57:$AG57,AK$4)</f>
        <v>0</v>
      </c>
      <c r="AL57" s="278" t="n">
        <f aca="false">COUNTIF($D57:$AG57,AL$4)</f>
        <v>0</v>
      </c>
      <c r="AM57" s="278" t="n">
        <f aca="false">COUNTIF($D57:$AG57,AM$4)</f>
        <v>2</v>
      </c>
      <c r="AN57" s="278" t="n">
        <f aca="false">COUNTIF($D57:$AG57,AN$4)</f>
        <v>0</v>
      </c>
      <c r="AO57" s="278" t="n">
        <f aca="false">COUNTIF($D57:$AG57,AO$4)</f>
        <v>3</v>
      </c>
      <c r="AP57" s="278" t="n">
        <f aca="false">COUNTIF($D57:$AG57,AP$4)</f>
        <v>0</v>
      </c>
      <c r="AQ57" s="278" t="n">
        <f aca="false">COUNTIF($D57:$AG57,AQ$4)</f>
        <v>0</v>
      </c>
      <c r="AR57" s="279"/>
      <c r="AS57" s="279"/>
      <c r="AT57" s="278" t="n">
        <f aca="false">SUMPRODUCT(--(WEEKDAY(D$3:AG$3,2)&lt;5),--ISNUMBER(MATCH(D57:AG57,{"DM","CS1","CS2","SB1","SB2","AE","CS/B"},0)))</f>
        <v>2</v>
      </c>
      <c r="AU57" s="278"/>
      <c r="AV57" s="278" t="n">
        <f aca="false">SUMPRODUCT(--(WEEKDAY(D$3:AG$3,2)=5),--ISNUMBER(MATCH(D57:AG57,{"DM","CS1","CS2","SB1","SB2","AE","CS/B"},0)))</f>
        <v>2</v>
      </c>
      <c r="AW57" s="278" t="n">
        <f aca="false">SUMPRODUCT(--(WEEKDAY(D$3:AG$3,2)&gt;5),--ISNUMBER(MATCH(D57:AG57,{"DM","CS1","CS2","SB1","AE","CS/B","SB2"},0)))</f>
        <v>1</v>
      </c>
      <c r="AX57" s="278"/>
      <c r="AY57" s="278" t="n">
        <f aca="false">(AT57-AU57)+AV57*1.5+(AW57-AX57)*2+AN57*0.5+AP57*0.5+AR57-AS57</f>
        <v>7</v>
      </c>
      <c r="AZ57" s="278" t="n">
        <f aca="false">AT57+AV57+AW57</f>
        <v>5</v>
      </c>
      <c r="BA57" s="278" t="n">
        <f aca="false">BD57+BF57+BH57+BJ57+BL57</f>
        <v>2</v>
      </c>
      <c r="BB57" s="279" t="n">
        <f aca="false">AY57+BC57</f>
        <v>8</v>
      </c>
      <c r="BC57" s="278" t="n">
        <f aca="false">BE57+BG57+BI57+BK57+BM57</f>
        <v>1</v>
      </c>
      <c r="BD57" s="278" t="n">
        <f aca="false">COUNTIF(A57:AI57,"*$BTP*")</f>
        <v>0</v>
      </c>
      <c r="BE57" s="278" t="n">
        <f aca="false">BD57*1.5</f>
        <v>0</v>
      </c>
      <c r="BF57" s="278" t="n">
        <f aca="false">COUNTIF(A57:AI57,"*$M*")</f>
        <v>0</v>
      </c>
      <c r="BG57" s="278" t="n">
        <f aca="false">BF57*1</f>
        <v>0</v>
      </c>
      <c r="BH57" s="278" t="n">
        <f aca="false">COUNTIF(A57:AI57,"*$PM*")</f>
        <v>1</v>
      </c>
      <c r="BI57" s="278" t="n">
        <f aca="false">BH57*0.5</f>
        <v>0.5</v>
      </c>
      <c r="BJ57" s="278" t="n">
        <f aca="false">COUNTIF(A57:AI57,"*$AM*")</f>
        <v>1</v>
      </c>
      <c r="BK57" s="278" t="n">
        <f aca="false">BJ57*0.5</f>
        <v>0.5</v>
      </c>
      <c r="BL57" s="278" t="n">
        <f aca="false">COUNTIF(A57:AI57,"*$FC*")</f>
        <v>0</v>
      </c>
      <c r="BM57" s="278" t="n">
        <f aca="false">BL57*1</f>
        <v>0</v>
      </c>
      <c r="BN57" s="278"/>
      <c r="BO57" s="278" t="n">
        <f aca="false">COUNTIF($E57:$Z57,BO$4)</f>
        <v>0</v>
      </c>
      <c r="BP57" s="278" t="n">
        <f aca="false">COUNTIF($E57:$Z57,BP$4)</f>
        <v>0</v>
      </c>
      <c r="BQ57" s="278" t="n">
        <f aca="false">COUNTIF($E57:$Z57,BQ$4)</f>
        <v>0</v>
      </c>
      <c r="BR57" s="278"/>
    </row>
    <row r="58" customFormat="false" ht="19.5" hidden="false" customHeight="true" outlineLevel="0" collapsed="false">
      <c r="A58" s="282"/>
      <c r="B58" s="282" t="s">
        <v>825</v>
      </c>
      <c r="C58" s="295"/>
      <c r="D58" s="296"/>
      <c r="E58" s="297"/>
      <c r="F58" s="297"/>
      <c r="G58" s="298" t="s">
        <v>57</v>
      </c>
      <c r="H58" s="283"/>
      <c r="I58" s="283" t="s">
        <v>826</v>
      </c>
      <c r="J58" s="283" t="s">
        <v>826</v>
      </c>
      <c r="K58" s="283" t="s">
        <v>826</v>
      </c>
      <c r="L58" s="297"/>
      <c r="M58" s="297"/>
      <c r="N58" s="299" t="s">
        <v>827</v>
      </c>
      <c r="O58" s="297"/>
      <c r="P58" s="297"/>
      <c r="Q58" s="299" t="s">
        <v>827</v>
      </c>
      <c r="R58" s="283"/>
      <c r="S58" s="283"/>
      <c r="T58" s="297"/>
      <c r="U58" s="283" t="s">
        <v>828</v>
      </c>
      <c r="V58" s="299"/>
      <c r="W58" s="283" t="s">
        <v>829</v>
      </c>
      <c r="X58" s="283" t="s">
        <v>829</v>
      </c>
      <c r="Y58" s="299" t="s">
        <v>57</v>
      </c>
      <c r="Z58" s="297"/>
      <c r="AA58" s="283"/>
      <c r="AB58" s="283" t="s">
        <v>830</v>
      </c>
      <c r="AC58" s="283" t="s">
        <v>830</v>
      </c>
      <c r="AD58" s="283"/>
      <c r="AE58" s="283" t="s">
        <v>57</v>
      </c>
      <c r="AF58" s="299" t="s">
        <v>831</v>
      </c>
      <c r="AG58" s="299" t="s">
        <v>831</v>
      </c>
      <c r="AH58" s="299" t="s">
        <v>831</v>
      </c>
      <c r="AI58" s="282" t="n">
        <f aca="false">COUNTIF($D58:$AG58,AI$4)</f>
        <v>3</v>
      </c>
      <c r="AJ58" s="282" t="n">
        <f aca="false">COUNTIF($D58:$AG58,AJ$4)</f>
        <v>0</v>
      </c>
      <c r="AK58" s="282" t="n">
        <f aca="false">COUNTIF($D58:$AG58,AK$4)</f>
        <v>0</v>
      </c>
      <c r="AL58" s="282" t="n">
        <f aca="false">COUNTIF($D58:$AG58,AL$4)</f>
        <v>0</v>
      </c>
      <c r="AM58" s="282" t="n">
        <f aca="false">COUNTIF($D58:$AG58,AM$4)</f>
        <v>0</v>
      </c>
      <c r="AN58" s="282" t="n">
        <f aca="false">COUNTIF($D58:$AG58,AN$4)</f>
        <v>0</v>
      </c>
      <c r="AO58" s="282" t="n">
        <f aca="false">COUNTIF($D58:$AG58,AO$4)</f>
        <v>0</v>
      </c>
      <c r="AP58" s="282" t="n">
        <f aca="false">COUNTIF($D58:$AG58,AP$4)</f>
        <v>0</v>
      </c>
      <c r="AQ58" s="282" t="n">
        <f aca="false">COUNTIF($D58:$AG58,AQ$4)</f>
        <v>0</v>
      </c>
      <c r="AR58" s="279" t="n">
        <v>1</v>
      </c>
      <c r="AS58" s="279"/>
      <c r="AT58" s="282" t="n">
        <f aca="false">SUMPRODUCT(--(WEEKDAY(D$3:AG$3,2)&lt;5),--ISNUMBER(MATCH(D58:AG58,{"DM","CS1","CS2","SB1","SB2","AE","CS/B"},0)))</f>
        <v>2</v>
      </c>
      <c r="AU58" s="282"/>
      <c r="AV58" s="282" t="n">
        <f aca="false">SUMPRODUCT(--(WEEKDAY(D$3:AG$3,2)=5),--ISNUMBER(MATCH(D58:AG58,{"DM","CS1","CS2","SB1","SB2","AE","CS/B"},0)))</f>
        <v>1</v>
      </c>
      <c r="AW58" s="282" t="n">
        <f aca="false">SUMPRODUCT(--(WEEKDAY(D$3:AG$3,2)&gt;5),--ISNUMBER(MATCH(D58:AG58,{"DM","CS1","CS2","SB1","AE","CS/B","SB2"},0)))</f>
        <v>0</v>
      </c>
      <c r="AX58" s="282"/>
      <c r="AY58" s="282" t="n">
        <f aca="false">(AT58-AU58)+AV58*1.5+(AW58-AX58)*2+AN58*0.5+AP58*0.5+AR58-AS58</f>
        <v>4.5</v>
      </c>
      <c r="AZ58" s="282" t="n">
        <f aca="false">AT58+AV58+AW58</f>
        <v>3</v>
      </c>
      <c r="BA58" s="282" t="n">
        <f aca="false">BD58+BF58+BH58+BJ58+BL58</f>
        <v>5</v>
      </c>
      <c r="BB58" s="279" t="n">
        <f aca="false">AY58+BC58</f>
        <v>9.5</v>
      </c>
      <c r="BC58" s="282" t="n">
        <f aca="false">BE58+BG58+BI58+BK58+BM58</f>
        <v>5</v>
      </c>
      <c r="BD58" s="282" t="n">
        <f aca="false">COUNTIF(A58:AI58,"*$BTP*")</f>
        <v>0</v>
      </c>
      <c r="BE58" s="282" t="n">
        <f aca="false">BD58*1.5</f>
        <v>0</v>
      </c>
      <c r="BF58" s="282" t="n">
        <f aca="false">COUNTIF(A58:AI58,"*$M*")</f>
        <v>0</v>
      </c>
      <c r="BG58" s="282" t="n">
        <f aca="false">BF58*1</f>
        <v>0</v>
      </c>
      <c r="BH58" s="282" t="n">
        <f aca="false">COUNTIF(A58:AI58,"*$PM*")</f>
        <v>0</v>
      </c>
      <c r="BI58" s="282" t="n">
        <f aca="false">BH58*0.5</f>
        <v>0</v>
      </c>
      <c r="BJ58" s="282" t="n">
        <f aca="false">COUNTIF(A58:AI58,"*$AM*")</f>
        <v>0</v>
      </c>
      <c r="BK58" s="282" t="n">
        <f aca="false">BJ58*0.5</f>
        <v>0</v>
      </c>
      <c r="BL58" s="282" t="n">
        <f aca="false">COUNTIF(A58:AI58,"*$FC*")</f>
        <v>5</v>
      </c>
      <c r="BM58" s="282" t="n">
        <f aca="false">BL58*1</f>
        <v>5</v>
      </c>
      <c r="BN58" s="282"/>
      <c r="BO58" s="282" t="n">
        <f aca="false">COUNTIF($E58:$Z58,BO$4)</f>
        <v>0</v>
      </c>
      <c r="BP58" s="282" t="n">
        <f aca="false">COUNTIF($E58:$Z58,BP$4)</f>
        <v>0</v>
      </c>
      <c r="BQ58" s="282" t="n">
        <f aca="false">COUNTIF($E58:$Z58,BQ$4)</f>
        <v>0</v>
      </c>
      <c r="BR58" s="282"/>
    </row>
    <row r="59" customFormat="false" ht="19.5" hidden="false" customHeight="true" outlineLevel="0" collapsed="false">
      <c r="A59" s="280"/>
      <c r="B59" s="280" t="s">
        <v>832</v>
      </c>
      <c r="C59" s="280"/>
      <c r="D59" s="280"/>
      <c r="E59" s="280"/>
      <c r="F59" s="280"/>
      <c r="G59" s="280" t="s">
        <v>56</v>
      </c>
      <c r="H59" s="280"/>
      <c r="I59" s="280" t="s">
        <v>767</v>
      </c>
      <c r="J59" s="280" t="s">
        <v>822</v>
      </c>
      <c r="K59" s="280"/>
      <c r="L59" s="280"/>
      <c r="M59" s="280"/>
      <c r="N59" s="280"/>
      <c r="O59" s="280" t="s">
        <v>813</v>
      </c>
      <c r="P59" s="280" t="s">
        <v>833</v>
      </c>
      <c r="Q59" s="280" t="s">
        <v>56</v>
      </c>
      <c r="R59" s="280" t="s">
        <v>65</v>
      </c>
      <c r="S59" s="280"/>
      <c r="T59" s="280"/>
      <c r="U59" s="280" t="s">
        <v>57</v>
      </c>
      <c r="V59" s="280"/>
      <c r="W59" s="280" t="s">
        <v>57</v>
      </c>
      <c r="X59" s="280" t="s">
        <v>834</v>
      </c>
      <c r="Y59" s="280"/>
      <c r="Z59" s="280"/>
      <c r="AA59" s="280"/>
      <c r="AB59" s="280" t="s">
        <v>57</v>
      </c>
      <c r="AC59" s="280" t="s">
        <v>822</v>
      </c>
      <c r="AD59" s="280"/>
      <c r="AE59" s="280"/>
      <c r="AF59" s="280" t="s">
        <v>57</v>
      </c>
      <c r="AG59" s="280"/>
      <c r="AH59" s="280" t="s">
        <v>58</v>
      </c>
      <c r="AI59" s="278" t="n">
        <f aca="false">COUNTIF($D59:$AG59,AI$4)</f>
        <v>4</v>
      </c>
      <c r="AJ59" s="278" t="n">
        <f aca="false">COUNTIF($D59:$AG59,AJ$4)</f>
        <v>2</v>
      </c>
      <c r="AK59" s="278" t="n">
        <f aca="false">COUNTIF($D59:$AG59,AK$4)</f>
        <v>0</v>
      </c>
      <c r="AL59" s="278" t="n">
        <f aca="false">COUNTIF($D59:$AG59,AL$4)</f>
        <v>0</v>
      </c>
      <c r="AM59" s="278" t="n">
        <f aca="false">COUNTIF($D59:$AG59,AM$4)</f>
        <v>0</v>
      </c>
      <c r="AN59" s="278" t="n">
        <f aca="false">COUNTIF($D59:$AG59,AN$4)</f>
        <v>0</v>
      </c>
      <c r="AO59" s="278" t="n">
        <f aca="false">COUNTIF($D59:$AG59,AO$4)</f>
        <v>1</v>
      </c>
      <c r="AP59" s="278" t="n">
        <f aca="false">COUNTIF($D59:$AG59,AP$4)</f>
        <v>1</v>
      </c>
      <c r="AQ59" s="278" t="n">
        <f aca="false">COUNTIF($D59:$AG59,AQ$4)</f>
        <v>0</v>
      </c>
      <c r="AR59" s="279"/>
      <c r="AS59" s="279"/>
      <c r="AT59" s="278" t="n">
        <f aca="false">SUMPRODUCT(--(WEEKDAY(D$3:AG$3,2)&lt;5),--ISNUMBER(MATCH(D59:AG59,{"DM","CS1","CS2","SB1","SB2","AE","CS/B"},0)))</f>
        <v>5</v>
      </c>
      <c r="AU59" s="278"/>
      <c r="AV59" s="278" t="n">
        <f aca="false">SUMPRODUCT(--(WEEKDAY(D$3:AG$3,2)=5),--ISNUMBER(MATCH(D59:AG59,{"DM","CS1","CS2","SB1","SB2","AE","CS/B"},0)))</f>
        <v>2</v>
      </c>
      <c r="AW59" s="278" t="n">
        <f aca="false">SUMPRODUCT(--(WEEKDAY(D$3:AG$3,2)&gt;5),--ISNUMBER(MATCH(D59:AG59,{"DM","CS1","CS2","SB1","AE","CS/B","SB2"},0)))</f>
        <v>0</v>
      </c>
      <c r="AX59" s="278"/>
      <c r="AY59" s="278" t="n">
        <f aca="false">(AT59-AU59)+AV59*1.5+(AW59-AX59)*2+AN59*0.5+AP59*0.5+AR59-AS59</f>
        <v>8.5</v>
      </c>
      <c r="AZ59" s="278" t="n">
        <f aca="false">AT59+AV59+AW59</f>
        <v>7</v>
      </c>
      <c r="BA59" s="278" t="n">
        <f aca="false">BD59+BF59+BH59+BJ59+BL59</f>
        <v>1</v>
      </c>
      <c r="BB59" s="279" t="n">
        <f aca="false">AY59+BC59</f>
        <v>9.5</v>
      </c>
      <c r="BC59" s="278" t="n">
        <f aca="false">BE59+BG59+BI59+BK59+BM59</f>
        <v>1</v>
      </c>
      <c r="BD59" s="278" t="n">
        <f aca="false">COUNTIF(A59:AI59,"*$BTP*")</f>
        <v>0</v>
      </c>
      <c r="BE59" s="278" t="n">
        <f aca="false">BD59*1.5</f>
        <v>0</v>
      </c>
      <c r="BF59" s="278" t="n">
        <f aca="false">COUNTIF(A59:AI59,"*$M*")</f>
        <v>1</v>
      </c>
      <c r="BG59" s="278" t="n">
        <f aca="false">BF59*1</f>
        <v>1</v>
      </c>
      <c r="BH59" s="278" t="n">
        <f aca="false">COUNTIF(A59:AI59,"*$PM*")</f>
        <v>0</v>
      </c>
      <c r="BI59" s="278" t="n">
        <f aca="false">BH59*0.5</f>
        <v>0</v>
      </c>
      <c r="BJ59" s="278" t="n">
        <f aca="false">COUNTIF(A59:AI59,"*$AM*")</f>
        <v>0</v>
      </c>
      <c r="BK59" s="278" t="n">
        <f aca="false">BJ59*0.5</f>
        <v>0</v>
      </c>
      <c r="BL59" s="278" t="n">
        <f aca="false">COUNTIF(A59:AI59,"*$FC*")</f>
        <v>0</v>
      </c>
      <c r="BM59" s="278" t="n">
        <f aca="false">BL59*1</f>
        <v>0</v>
      </c>
      <c r="BN59" s="278"/>
      <c r="BO59" s="278" t="n">
        <f aca="false">COUNTIF($E59:$Z59,BO$4)</f>
        <v>0</v>
      </c>
      <c r="BP59" s="278" t="n">
        <f aca="false">COUNTIF($E59:$Z59,BP$4)</f>
        <v>0</v>
      </c>
      <c r="BQ59" s="278" t="n">
        <f aca="false">COUNTIF($E59:$Z59,BQ$4)</f>
        <v>0</v>
      </c>
      <c r="BR59" s="280"/>
    </row>
    <row r="60" customFormat="false" ht="19.5" hidden="false" customHeight="true" outlineLevel="0" collapsed="false">
      <c r="A60" s="283"/>
      <c r="B60" s="283" t="s">
        <v>835</v>
      </c>
      <c r="C60" s="283"/>
      <c r="D60" s="283" t="s">
        <v>58</v>
      </c>
      <c r="E60" s="283"/>
      <c r="F60" s="283"/>
      <c r="G60" s="283" t="s">
        <v>93</v>
      </c>
      <c r="H60" s="283" t="s">
        <v>56</v>
      </c>
      <c r="I60" s="283"/>
      <c r="J60" s="283" t="s">
        <v>56</v>
      </c>
      <c r="K60" s="285"/>
      <c r="L60" s="283"/>
      <c r="M60" s="283"/>
      <c r="N60" s="283" t="s">
        <v>350</v>
      </c>
      <c r="O60" s="283" t="s">
        <v>57</v>
      </c>
      <c r="P60" s="283"/>
      <c r="Q60" s="283"/>
      <c r="R60" s="283"/>
      <c r="S60" s="283" t="s">
        <v>54</v>
      </c>
      <c r="T60" s="283" t="s">
        <v>54</v>
      </c>
      <c r="U60" s="283" t="s">
        <v>54</v>
      </c>
      <c r="V60" s="283" t="s">
        <v>54</v>
      </c>
      <c r="W60" s="283" t="s">
        <v>54</v>
      </c>
      <c r="X60" s="283" t="s">
        <v>54</v>
      </c>
      <c r="Y60" s="283" t="s">
        <v>54</v>
      </c>
      <c r="Z60" s="283" t="s">
        <v>54</v>
      </c>
      <c r="AA60" s="283" t="s">
        <v>54</v>
      </c>
      <c r="AB60" s="283" t="s">
        <v>54</v>
      </c>
      <c r="AC60" s="283" t="s">
        <v>54</v>
      </c>
      <c r="AD60" s="283" t="s">
        <v>54</v>
      </c>
      <c r="AE60" s="283" t="s">
        <v>54</v>
      </c>
      <c r="AF60" s="283" t="s">
        <v>54</v>
      </c>
      <c r="AG60" s="283"/>
      <c r="AH60" s="283"/>
      <c r="AI60" s="282" t="n">
        <f aca="false">COUNTIF($D60:$AG60,AI$4)</f>
        <v>1</v>
      </c>
      <c r="AJ60" s="282" t="n">
        <f aca="false">COUNTIF($D60:$AG60,AJ$4)</f>
        <v>2</v>
      </c>
      <c r="AK60" s="282" t="n">
        <f aca="false">COUNTIF($D60:$AG60,AK$4)</f>
        <v>0</v>
      </c>
      <c r="AL60" s="282" t="n">
        <f aca="false">COUNTIF($D60:$AG60,AL$4)</f>
        <v>0</v>
      </c>
      <c r="AM60" s="282" t="n">
        <f aca="false">COUNTIF($D60:$AG60,AM$4)</f>
        <v>1</v>
      </c>
      <c r="AN60" s="282" t="n">
        <f aca="false">COUNTIF($D60:$AG60,AN$4)</f>
        <v>1</v>
      </c>
      <c r="AO60" s="282" t="n">
        <f aca="false">COUNTIF($D60:$AG60,AO$4)</f>
        <v>0</v>
      </c>
      <c r="AP60" s="282" t="n">
        <f aca="false">COUNTIF($D60:$AG60,AP$4)</f>
        <v>0</v>
      </c>
      <c r="AQ60" s="282" t="n">
        <f aca="false">COUNTIF($D60:$AG60,AQ$4)</f>
        <v>0</v>
      </c>
      <c r="AR60" s="279" t="n">
        <v>3.5</v>
      </c>
      <c r="AS60" s="279"/>
      <c r="AT60" s="282" t="n">
        <f aca="false">SUMPRODUCT(--(WEEKDAY(D$3:AG$3,2)&lt;5),--ISNUMBER(MATCH(D60:AG60,{"DM","CS1","CS2","SB1","SB2","AE","CS/B"},0)))</f>
        <v>4</v>
      </c>
      <c r="AU60" s="282"/>
      <c r="AV60" s="282" t="n">
        <f aca="false">SUMPRODUCT(--(WEEKDAY(D$3:AG$3,2)=5),--ISNUMBER(MATCH(D60:AG60,{"DM","CS1","CS2","SB1","SB2","AE","CS/B"},0)))</f>
        <v>1</v>
      </c>
      <c r="AW60" s="282" t="n">
        <f aca="false">SUMPRODUCT(--(WEEKDAY(D$3:AG$3,2)&gt;5),--ISNUMBER(MATCH(D60:AG60,{"DM","CS1","CS2","SB1","AE","CS/B","SB2"},0)))</f>
        <v>0</v>
      </c>
      <c r="AX60" s="282"/>
      <c r="AY60" s="282" t="n">
        <f aca="false">(AT60-AU60)+AV60*1.5+(AW60-AX60)*2+AN60*0.5+AP60*0.5+AR60-AS60</f>
        <v>9.5</v>
      </c>
      <c r="AZ60" s="282" t="n">
        <f aca="false">AT60+AV60+AW60</f>
        <v>5</v>
      </c>
      <c r="BA60" s="282" t="n">
        <f aca="false">BD60+BF60+BH60+BJ60+BL60</f>
        <v>0</v>
      </c>
      <c r="BB60" s="279" t="n">
        <f aca="false">AY60+BC60</f>
        <v>9.5</v>
      </c>
      <c r="BC60" s="282" t="n">
        <f aca="false">BE60+BG60+BI60+BK60+BM60</f>
        <v>0</v>
      </c>
      <c r="BD60" s="282" t="n">
        <f aca="false">COUNTIF(A60:AI60,"*$BTP*")</f>
        <v>0</v>
      </c>
      <c r="BE60" s="282" t="n">
        <f aca="false">BD60*1.5</f>
        <v>0</v>
      </c>
      <c r="BF60" s="282" t="n">
        <f aca="false">COUNTIF(A60:AI60,"*$M*")</f>
        <v>0</v>
      </c>
      <c r="BG60" s="282" t="n">
        <f aca="false">BF60*1</f>
        <v>0</v>
      </c>
      <c r="BH60" s="282" t="n">
        <f aca="false">COUNTIF(A60:AI60,"*$PM*")</f>
        <v>0</v>
      </c>
      <c r="BI60" s="282" t="n">
        <f aca="false">BH60*0.5</f>
        <v>0</v>
      </c>
      <c r="BJ60" s="282" t="n">
        <f aca="false">COUNTIF(A60:AI60,"*$AM*")</f>
        <v>0</v>
      </c>
      <c r="BK60" s="282" t="n">
        <f aca="false">BJ60*0.5</f>
        <v>0</v>
      </c>
      <c r="BL60" s="282" t="n">
        <f aca="false">COUNTIF(A60:AI60,"*$FC*")</f>
        <v>0</v>
      </c>
      <c r="BM60" s="282" t="n">
        <f aca="false">BL60*1</f>
        <v>0</v>
      </c>
      <c r="BN60" s="282"/>
      <c r="BO60" s="282" t="n">
        <f aca="false">COUNTIF($E60:$Z60,BO$4)</f>
        <v>0</v>
      </c>
      <c r="BP60" s="282" t="n">
        <f aca="false">COUNTIF($E60:$Z60,BP$4)</f>
        <v>1</v>
      </c>
      <c r="BQ60" s="282" t="n">
        <f aca="false">COUNTIF($E60:$Z60,BQ$4)</f>
        <v>0</v>
      </c>
      <c r="BR60" s="283"/>
    </row>
    <row r="61" customFormat="false" ht="19.5" hidden="false" customHeight="true" outlineLevel="0" collapsed="false">
      <c r="A61" s="280"/>
      <c r="B61" s="280" t="s">
        <v>836</v>
      </c>
      <c r="C61" s="280"/>
      <c r="D61" s="280"/>
      <c r="E61" s="280" t="s">
        <v>58</v>
      </c>
      <c r="F61" s="280"/>
      <c r="G61" s="280"/>
      <c r="H61" s="280" t="s">
        <v>57</v>
      </c>
      <c r="I61" s="280"/>
      <c r="J61" s="280" t="s">
        <v>767</v>
      </c>
      <c r="K61" s="280"/>
      <c r="L61" s="280"/>
      <c r="M61" s="280" t="s">
        <v>837</v>
      </c>
      <c r="N61" s="280" t="s">
        <v>65</v>
      </c>
      <c r="O61" s="280"/>
      <c r="P61" s="280"/>
      <c r="Q61" s="280" t="s">
        <v>57</v>
      </c>
      <c r="R61" s="280"/>
      <c r="S61" s="280"/>
      <c r="T61" s="280"/>
      <c r="U61" s="280"/>
      <c r="V61" s="280"/>
      <c r="W61" s="280"/>
      <c r="X61" s="280"/>
      <c r="Y61" s="280" t="s">
        <v>54</v>
      </c>
      <c r="Z61" s="280" t="s">
        <v>54</v>
      </c>
      <c r="AA61" s="280" t="s">
        <v>54</v>
      </c>
      <c r="AB61" s="280" t="s">
        <v>54</v>
      </c>
      <c r="AC61" s="280" t="s">
        <v>54</v>
      </c>
      <c r="AD61" s="280" t="s">
        <v>54</v>
      </c>
      <c r="AE61" s="280" t="s">
        <v>54</v>
      </c>
      <c r="AF61" s="280" t="s">
        <v>54</v>
      </c>
      <c r="AG61" s="280" t="s">
        <v>54</v>
      </c>
      <c r="AH61" s="280" t="s">
        <v>54</v>
      </c>
      <c r="AI61" s="278" t="n">
        <f aca="false">COUNTIF($D61:$AG61,AI$4)</f>
        <v>2</v>
      </c>
      <c r="AJ61" s="278" t="n">
        <f aca="false">COUNTIF($D61:$AG61,AJ$4)</f>
        <v>0</v>
      </c>
      <c r="AK61" s="278" t="n">
        <f aca="false">COUNTIF($D61:$AG61,AK$4)</f>
        <v>0</v>
      </c>
      <c r="AL61" s="278" t="n">
        <f aca="false">COUNTIF($D61:$AG61,AL$4)</f>
        <v>0</v>
      </c>
      <c r="AM61" s="278" t="n">
        <f aca="false">COUNTIF($D61:$AG61,AM$4)</f>
        <v>1</v>
      </c>
      <c r="AN61" s="278" t="n">
        <f aca="false">COUNTIF($D61:$AG61,AN$4)</f>
        <v>0</v>
      </c>
      <c r="AO61" s="278" t="n">
        <f aca="false">COUNTIF($D61:$AG61,AO$4)</f>
        <v>1</v>
      </c>
      <c r="AP61" s="278" t="n">
        <f aca="false">COUNTIF($D61:$AG61,AP$4)</f>
        <v>1</v>
      </c>
      <c r="AQ61" s="278" t="n">
        <f aca="false">COUNTIF($D61:$AG61,AQ$4)</f>
        <v>0</v>
      </c>
      <c r="AR61" s="279" t="n">
        <v>3.5</v>
      </c>
      <c r="AS61" s="279"/>
      <c r="AT61" s="278" t="n">
        <f aca="false">SUMPRODUCT(--(WEEKDAY(D$3:AG$3,2)&lt;5),--ISNUMBER(MATCH(D61:AG61,{"DM","CS1","CS2","SB1","SB2","AE","CS/B"},0)))</f>
        <v>3</v>
      </c>
      <c r="AU61" s="278"/>
      <c r="AV61" s="278" t="n">
        <f aca="false">SUMPRODUCT(--(WEEKDAY(D$3:AG$3,2)=5),--ISNUMBER(MATCH(D61:AG61,{"DM","CS1","CS2","SB1","SB2","AE","CS/B"},0)))</f>
        <v>0</v>
      </c>
      <c r="AW61" s="278" t="n">
        <f aca="false">SUMPRODUCT(--(WEEKDAY(D$3:AG$3,2)&gt;5),--ISNUMBER(MATCH(D61:AG61,{"DM","CS1","CS2","SB1","AE","CS/B","SB2"},0)))</f>
        <v>1</v>
      </c>
      <c r="AX61" s="278"/>
      <c r="AY61" s="278" t="n">
        <f aca="false">(AT61-AU61)+AV61*1.5+(AW61-AX61)*2+AN61*0.5+AP61*0.5+AR61-AS61</f>
        <v>9</v>
      </c>
      <c r="AZ61" s="278" t="n">
        <f aca="false">AT61+AV61+AW61</f>
        <v>4</v>
      </c>
      <c r="BA61" s="278" t="n">
        <f aca="false">BD61+BF61+BH61+BJ61+BL61</f>
        <v>1</v>
      </c>
      <c r="BB61" s="279" t="n">
        <f aca="false">AY61+BC61</f>
        <v>9.5</v>
      </c>
      <c r="BC61" s="278" t="n">
        <f aca="false">BE61+BG61+BI61+BK61+BM61</f>
        <v>0.5</v>
      </c>
      <c r="BD61" s="278" t="n">
        <f aca="false">COUNTIF(A61:AI61,"*$BTP*")</f>
        <v>0</v>
      </c>
      <c r="BE61" s="278" t="n">
        <f aca="false">BD61*1.5</f>
        <v>0</v>
      </c>
      <c r="BF61" s="278" t="n">
        <f aca="false">COUNTIF(A61:AI61,"*$M*")</f>
        <v>0</v>
      </c>
      <c r="BG61" s="278" t="n">
        <f aca="false">BF61*1</f>
        <v>0</v>
      </c>
      <c r="BH61" s="278" t="n">
        <f aca="false">COUNTIF(A61:AI61,"*$PM*")</f>
        <v>0</v>
      </c>
      <c r="BI61" s="278" t="n">
        <f aca="false">BH61*0.5</f>
        <v>0</v>
      </c>
      <c r="BJ61" s="278" t="n">
        <f aca="false">COUNTIF(A61:AI61,"*$AM*")</f>
        <v>1</v>
      </c>
      <c r="BK61" s="278" t="n">
        <f aca="false">BJ61*0.5</f>
        <v>0.5</v>
      </c>
      <c r="BL61" s="278" t="n">
        <f aca="false">COUNTIF(A61:AI61,"*$FC*")</f>
        <v>0</v>
      </c>
      <c r="BM61" s="278" t="n">
        <f aca="false">BL61*1</f>
        <v>0</v>
      </c>
      <c r="BN61" s="278"/>
      <c r="BO61" s="278" t="n">
        <f aca="false">COUNTIF($E61:$Z61,BO$4)</f>
        <v>0</v>
      </c>
      <c r="BP61" s="278" t="n">
        <f aca="false">COUNTIF($E61:$Z61,BP$4)</f>
        <v>0</v>
      </c>
      <c r="BQ61" s="278" t="n">
        <f aca="false">COUNTIF($E61:$Z61,BQ$4)</f>
        <v>0</v>
      </c>
      <c r="BR61" s="280"/>
    </row>
    <row r="62" customFormat="false" ht="19.5" hidden="false" customHeight="true" outlineLevel="0" collapsed="false">
      <c r="A62" s="283"/>
      <c r="B62" s="283" t="s">
        <v>838</v>
      </c>
      <c r="C62" s="283"/>
      <c r="D62" s="283"/>
      <c r="E62" s="283"/>
      <c r="F62" s="283"/>
      <c r="G62" s="283" t="s">
        <v>839</v>
      </c>
      <c r="H62" s="283"/>
      <c r="I62" s="283" t="s">
        <v>57</v>
      </c>
      <c r="J62" s="285" t="s">
        <v>93</v>
      </c>
      <c r="K62" s="283"/>
      <c r="L62" s="283"/>
      <c r="M62" s="283"/>
      <c r="N62" s="283" t="s">
        <v>56</v>
      </c>
      <c r="O62" s="283"/>
      <c r="P62" s="283" t="s">
        <v>61</v>
      </c>
      <c r="Q62" s="283" t="s">
        <v>93</v>
      </c>
      <c r="R62" s="283" t="s">
        <v>57</v>
      </c>
      <c r="S62" s="283"/>
      <c r="T62" s="283"/>
      <c r="U62" s="300"/>
      <c r="V62" s="300" t="s">
        <v>487</v>
      </c>
      <c r="W62" s="283" t="s">
        <v>176</v>
      </c>
      <c r="X62" s="283" t="s">
        <v>176</v>
      </c>
      <c r="Y62" s="283" t="s">
        <v>176</v>
      </c>
      <c r="Z62" s="283" t="s">
        <v>58</v>
      </c>
      <c r="AA62" s="283"/>
      <c r="AB62" s="287" t="s">
        <v>93</v>
      </c>
      <c r="AC62" s="283" t="s">
        <v>57</v>
      </c>
      <c r="AD62" s="283"/>
      <c r="AE62" s="287" t="s">
        <v>58</v>
      </c>
      <c r="AF62" s="283"/>
      <c r="AG62" s="283"/>
      <c r="AH62" s="150"/>
      <c r="AI62" s="282" t="n">
        <f aca="false">COUNTIF($D62:$AG62,AI$4)</f>
        <v>3</v>
      </c>
      <c r="AJ62" s="282" t="n">
        <f aca="false">COUNTIF($D62:$AG62,AJ$4)</f>
        <v>1</v>
      </c>
      <c r="AK62" s="282" t="n">
        <f aca="false">COUNTIF($D62:$AG62,AK$4)</f>
        <v>0</v>
      </c>
      <c r="AL62" s="282" t="n">
        <f aca="false">COUNTIF($D62:$AG62,AL$4)</f>
        <v>0</v>
      </c>
      <c r="AM62" s="282" t="n">
        <f aca="false">COUNTIF($D62:$AG62,AM$4)</f>
        <v>2</v>
      </c>
      <c r="AN62" s="282" t="n">
        <f aca="false">COUNTIF($D62:$AG62,AN$4)</f>
        <v>3</v>
      </c>
      <c r="AO62" s="282" t="n">
        <f aca="false">COUNTIF($D62:$AG62,AO$4)</f>
        <v>0</v>
      </c>
      <c r="AP62" s="282" t="n">
        <f aca="false">COUNTIF($D62:$AG62,AP$4)</f>
        <v>0</v>
      </c>
      <c r="AQ62" s="282" t="n">
        <f aca="false">COUNTIF($D62:$AG62,AQ$4)</f>
        <v>0</v>
      </c>
      <c r="AR62" s="279"/>
      <c r="AS62" s="279" t="n">
        <v>1.5</v>
      </c>
      <c r="AT62" s="282" t="n">
        <f aca="false">SUMPRODUCT(--(WEEKDAY(D$3:AG$3,2)&lt;5),--ISNUMBER(MATCH(D62:AG62,{"DM","CS1","CS2","SB1","SB2","AE","CS/B"},0)))</f>
        <v>7</v>
      </c>
      <c r="AU62" s="282"/>
      <c r="AV62" s="282" t="n">
        <f aca="false">SUMPRODUCT(--(WEEKDAY(D$3:AG$3,2)=5),--ISNUMBER(MATCH(D62:AG62,{"DM","CS1","CS2","SB1","SB2","AE","CS/B"},0)))</f>
        <v>1</v>
      </c>
      <c r="AW62" s="282" t="n">
        <f aca="false">SUMPRODUCT(--(WEEKDAY(D$3:AG$3,2)&gt;5),--ISNUMBER(MATCH(D62:AG62,{"DM","CS1","CS2","SB1","AE","CS/B","SB2"},0)))</f>
        <v>1</v>
      </c>
      <c r="AX62" s="282"/>
      <c r="AY62" s="282" t="n">
        <f aca="false">(AT62-AU62)+AV62*1.5+(AW62-AX62)*2+AN62*0.5+AP62*0.5+AR62-AS62</f>
        <v>10.5</v>
      </c>
      <c r="AZ62" s="282" t="n">
        <f aca="false">AT62+AV62+AW62</f>
        <v>9</v>
      </c>
      <c r="BA62" s="282" t="n">
        <f aca="false">BD62+BF62+BH62+BJ62+BL62</f>
        <v>0</v>
      </c>
      <c r="BB62" s="279" t="n">
        <f aca="false">AY62+BC62</f>
        <v>10.5</v>
      </c>
      <c r="BC62" s="282" t="n">
        <f aca="false">BE62+BG62+BI62+BK62+BM62</f>
        <v>0</v>
      </c>
      <c r="BD62" s="282" t="n">
        <f aca="false">COUNTIF(A62:AI62,"*$BTP*")</f>
        <v>0</v>
      </c>
      <c r="BE62" s="282" t="n">
        <f aca="false">BD62*1.5</f>
        <v>0</v>
      </c>
      <c r="BF62" s="282" t="n">
        <f aca="false">COUNTIF(A62:AI62,"*$M*")</f>
        <v>0</v>
      </c>
      <c r="BG62" s="282" t="n">
        <f aca="false">BF62*1</f>
        <v>0</v>
      </c>
      <c r="BH62" s="282" t="n">
        <f aca="false">COUNTIF(A62:AI62,"*$PM*")</f>
        <v>0</v>
      </c>
      <c r="BI62" s="282" t="n">
        <f aca="false">BH62*0.5</f>
        <v>0</v>
      </c>
      <c r="BJ62" s="282" t="n">
        <f aca="false">COUNTIF(A62:AI62,"*$AM*")</f>
        <v>0</v>
      </c>
      <c r="BK62" s="282" t="n">
        <f aca="false">BJ62*0.5</f>
        <v>0</v>
      </c>
      <c r="BL62" s="282" t="n">
        <f aca="false">COUNTIF(A62:AI62,"*$FC*")</f>
        <v>0</v>
      </c>
      <c r="BM62" s="282" t="n">
        <f aca="false">BL62*1</f>
        <v>0</v>
      </c>
      <c r="BN62" s="282"/>
      <c r="BO62" s="282" t="n">
        <f aca="false">COUNTIF($E62:$Z62,BO$4)</f>
        <v>0</v>
      </c>
      <c r="BP62" s="282" t="n">
        <f aca="false">COUNTIF($E62:$Z62,BP$4)</f>
        <v>0</v>
      </c>
      <c r="BQ62" s="282" t="n">
        <f aca="false">COUNTIF($E62:$Z62,BQ$4)</f>
        <v>0</v>
      </c>
      <c r="BR62" s="283"/>
    </row>
    <row r="63" customFormat="false" ht="19.5" hidden="false" customHeight="true" outlineLevel="0" collapsed="false">
      <c r="A63" s="280"/>
      <c r="B63" s="280" t="s">
        <v>840</v>
      </c>
      <c r="C63" s="280"/>
      <c r="D63" s="280"/>
      <c r="E63" s="280"/>
      <c r="F63" s="280"/>
      <c r="G63" s="280" t="s">
        <v>58</v>
      </c>
      <c r="H63" s="280"/>
      <c r="I63" s="280"/>
      <c r="J63" s="280" t="s">
        <v>841</v>
      </c>
      <c r="K63" s="280" t="s">
        <v>841</v>
      </c>
      <c r="L63" s="280" t="s">
        <v>841</v>
      </c>
      <c r="M63" s="280"/>
      <c r="N63" s="280" t="s">
        <v>57</v>
      </c>
      <c r="O63" s="280"/>
      <c r="P63" s="280" t="s">
        <v>57</v>
      </c>
      <c r="Q63" s="280" t="s">
        <v>350</v>
      </c>
      <c r="R63" s="280" t="s">
        <v>842</v>
      </c>
      <c r="S63" s="280"/>
      <c r="T63" s="280"/>
      <c r="U63" s="289" t="s">
        <v>65</v>
      </c>
      <c r="V63" s="280"/>
      <c r="W63" s="280"/>
      <c r="X63" s="280" t="s">
        <v>57</v>
      </c>
      <c r="Y63" s="280"/>
      <c r="Z63" s="289"/>
      <c r="AA63" s="280"/>
      <c r="AB63" s="280" t="s">
        <v>843</v>
      </c>
      <c r="AC63" s="280"/>
      <c r="AD63" s="280"/>
      <c r="AE63" s="280"/>
      <c r="AF63" s="289"/>
      <c r="AG63" s="280"/>
      <c r="AH63" s="280"/>
      <c r="AI63" s="278" t="n">
        <f aca="false">COUNTIF($D63:$AG63,AI$4)</f>
        <v>3</v>
      </c>
      <c r="AJ63" s="278" t="n">
        <f aca="false">COUNTIF($D63:$AG63,AJ$4)</f>
        <v>0</v>
      </c>
      <c r="AK63" s="278" t="n">
        <f aca="false">COUNTIF($D63:$AG63,AK$4)</f>
        <v>0</v>
      </c>
      <c r="AL63" s="278" t="n">
        <f aca="false">COUNTIF($D63:$AG63,AL$4)</f>
        <v>0</v>
      </c>
      <c r="AM63" s="278" t="n">
        <f aca="false">COUNTIF($D63:$AG63,AM$4)</f>
        <v>1</v>
      </c>
      <c r="AN63" s="278" t="n">
        <f aca="false">COUNTIF($D63:$AG63,AN$4)</f>
        <v>0</v>
      </c>
      <c r="AO63" s="278" t="n">
        <f aca="false">COUNTIF($D63:$AG63,AO$4)</f>
        <v>1</v>
      </c>
      <c r="AP63" s="278" t="n">
        <f aca="false">COUNTIF($D63:$AG63,AP$4)</f>
        <v>0</v>
      </c>
      <c r="AQ63" s="278" t="n">
        <f aca="false">COUNTIF($D63:$AG63,AQ$4)</f>
        <v>0</v>
      </c>
      <c r="AR63" s="279" t="n">
        <v>0.5</v>
      </c>
      <c r="AS63" s="279"/>
      <c r="AT63" s="278" t="n">
        <f aca="false">SUMPRODUCT(--(WEEKDAY(D$3:AG$3,2)&lt;5),--ISNUMBER(MATCH(D63:AG63,{"DM","CS1","CS2","SB1","SB2","AE","CS/B"},0)))</f>
        <v>5</v>
      </c>
      <c r="AU63" s="278"/>
      <c r="AV63" s="278" t="n">
        <f aca="false">SUMPRODUCT(--(WEEKDAY(D$3:AG$3,2)=5),--ISNUMBER(MATCH(D63:AG63,{"DM","CS1","CS2","SB1","SB2","AE","CS/B"},0)))</f>
        <v>0</v>
      </c>
      <c r="AW63" s="278" t="n">
        <f aca="false">SUMPRODUCT(--(WEEKDAY(D$3:AG$3,2)&gt;5),--ISNUMBER(MATCH(D63:AG63,{"DM","CS1","CS2","SB1","AE","CS/B","SB2"},0)))</f>
        <v>0</v>
      </c>
      <c r="AX63" s="278"/>
      <c r="AY63" s="278" t="n">
        <f aca="false">(AT63-AU63)+AV63*1.5+(AW63-AX63)*2+AN63*0.5+AP63*0.5+AR63-AS63</f>
        <v>5.5</v>
      </c>
      <c r="AZ63" s="278" t="n">
        <f aca="false">AT63+AV63+AW63</f>
        <v>5</v>
      </c>
      <c r="BA63" s="278" t="n">
        <f aca="false">BD63+BF63+BH63+BJ63+BL63</f>
        <v>5</v>
      </c>
      <c r="BB63" s="279" t="n">
        <f aca="false">AY63+BC63</f>
        <v>9.5</v>
      </c>
      <c r="BC63" s="278" t="n">
        <f aca="false">BE63+BG63+BI63+BK63+BM63</f>
        <v>4</v>
      </c>
      <c r="BD63" s="278" t="n">
        <f aca="false">COUNTIF(A63:AI63,"*$BTP*")</f>
        <v>0</v>
      </c>
      <c r="BE63" s="278" t="n">
        <f aca="false">BD63*1.5</f>
        <v>0</v>
      </c>
      <c r="BF63" s="278" t="n">
        <f aca="false">COUNTIF(A63:AI63,"*$M*")</f>
        <v>0</v>
      </c>
      <c r="BG63" s="278" t="n">
        <f aca="false">BF63*1</f>
        <v>0</v>
      </c>
      <c r="BH63" s="278" t="n">
        <f aca="false">COUNTIF(A63:AI63,"*$PM*")</f>
        <v>0</v>
      </c>
      <c r="BI63" s="278" t="n">
        <f aca="false">BH63*0.5</f>
        <v>0</v>
      </c>
      <c r="BJ63" s="278" t="n">
        <f aca="false">COUNTIF(A63:AI63,"*$AM*")</f>
        <v>2</v>
      </c>
      <c r="BK63" s="278" t="n">
        <f aca="false">BJ63*0.5</f>
        <v>1</v>
      </c>
      <c r="BL63" s="278" t="n">
        <f aca="false">COUNTIF(A63:AI63,"*$FC*")</f>
        <v>3</v>
      </c>
      <c r="BM63" s="278" t="n">
        <f aca="false">BL63*1</f>
        <v>3</v>
      </c>
      <c r="BN63" s="278"/>
      <c r="BO63" s="278" t="n">
        <f aca="false">COUNTIF($E63:$Y63,BO$4)</f>
        <v>0</v>
      </c>
      <c r="BP63" s="278" t="n">
        <f aca="false">COUNTIF($E63:$Y63,BP$4)</f>
        <v>1</v>
      </c>
      <c r="BQ63" s="278" t="n">
        <f aca="false">COUNTIF($E63:$Y63,BQ$4)</f>
        <v>0</v>
      </c>
      <c r="BR63" s="280"/>
    </row>
    <row r="64" customFormat="false" ht="19.5" hidden="false" customHeight="true" outlineLevel="0" collapsed="false">
      <c r="A64" s="283"/>
      <c r="B64" s="283" t="s">
        <v>844</v>
      </c>
      <c r="C64" s="283"/>
      <c r="D64" s="283"/>
      <c r="E64" s="283"/>
      <c r="F64" s="283"/>
      <c r="G64" s="283" t="s">
        <v>65</v>
      </c>
      <c r="H64" s="283"/>
      <c r="I64" s="283" t="s">
        <v>56</v>
      </c>
      <c r="J64" s="283"/>
      <c r="K64" s="283" t="s">
        <v>57</v>
      </c>
      <c r="L64" s="283"/>
      <c r="M64" s="283" t="s">
        <v>58</v>
      </c>
      <c r="N64" s="285"/>
      <c r="O64" s="283"/>
      <c r="P64" s="283" t="s">
        <v>845</v>
      </c>
      <c r="R64" s="283"/>
      <c r="S64" s="283"/>
      <c r="T64" s="63"/>
      <c r="U64" s="283"/>
      <c r="V64" s="283"/>
      <c r="W64" s="285" t="s">
        <v>846</v>
      </c>
      <c r="X64" s="283" t="s">
        <v>56</v>
      </c>
      <c r="Y64" s="283" t="s">
        <v>58</v>
      </c>
      <c r="Z64" s="283"/>
      <c r="AA64" s="283"/>
      <c r="AB64" s="283" t="s">
        <v>65</v>
      </c>
      <c r="AC64" s="283"/>
      <c r="AD64" s="283"/>
      <c r="AE64" s="283" t="s">
        <v>847</v>
      </c>
      <c r="AF64" s="283"/>
      <c r="AG64" s="283"/>
      <c r="AH64" s="283"/>
      <c r="AI64" s="282" t="n">
        <f aca="false">COUNTIF($D64:$AG64,AI$4)</f>
        <v>1</v>
      </c>
      <c r="AJ64" s="282" t="n">
        <f aca="false">COUNTIF($D64:$AG64,AJ$4)</f>
        <v>2</v>
      </c>
      <c r="AK64" s="282" t="n">
        <f aca="false">COUNTIF($D64:$AG64,AK$4)</f>
        <v>0</v>
      </c>
      <c r="AL64" s="282" t="n">
        <f aca="false">COUNTIF($D64:$AG64,AL$4)</f>
        <v>0</v>
      </c>
      <c r="AM64" s="282" t="n">
        <f aca="false">COUNTIF($D64:$AG64,AM$4)</f>
        <v>2</v>
      </c>
      <c r="AN64" s="282" t="n">
        <f aca="false">COUNTIF($D64:$AG64,AN$4)</f>
        <v>0</v>
      </c>
      <c r="AO64" s="282" t="n">
        <f aca="false">COUNTIF($D64:$AG64,AO$4)</f>
        <v>2</v>
      </c>
      <c r="AP64" s="282" t="n">
        <f aca="false">COUNTIF($D64:$AG64,AP$4)</f>
        <v>0</v>
      </c>
      <c r="AQ64" s="282" t="n">
        <f aca="false">COUNTIF($D64:$AG64,AQ$4)</f>
        <v>0</v>
      </c>
      <c r="AR64" s="279"/>
      <c r="AS64" s="279" t="n">
        <v>2</v>
      </c>
      <c r="AT64" s="282" t="n">
        <f aca="false">SUMPRODUCT(--(WEEKDAY(D$3:AG$3,2)&lt;5),--ISNUMBER(MATCH(D64:AG64,{"DM","CS1","CS2","SB1","SB2","AE","CS/B"},0)))</f>
        <v>4</v>
      </c>
      <c r="AU64" s="282"/>
      <c r="AV64" s="282" t="n">
        <f aca="false">SUMPRODUCT(--(WEEKDAY(D$3:AG$3,2)=5),--ISNUMBER(MATCH(D64:AG64,{"DM","CS1","CS2","SB1","SB2","AE","CS/B"},0)))</f>
        <v>2</v>
      </c>
      <c r="AW64" s="282" t="n">
        <f aca="false">SUMPRODUCT(--(WEEKDAY(D$3:AG$3,2)&gt;5),--ISNUMBER(MATCH(D64:AG64,{"DM","CS1","CS2","SB1","AE","CS/B","SB2"},0)))</f>
        <v>1</v>
      </c>
      <c r="AX64" s="282"/>
      <c r="AY64" s="282" t="n">
        <f aca="false">(AT64-AU64)+AV64*1.5+(AW64-AX64)*2+AN64*0.5+AP64*0.5+AR64-AS64</f>
        <v>7</v>
      </c>
      <c r="AZ64" s="282" t="n">
        <f aca="false">AT64+AV64+AW64</f>
        <v>7</v>
      </c>
      <c r="BA64" s="282" t="n">
        <f aca="false">BD64+BF64+BH64+BJ64+BL64</f>
        <v>2</v>
      </c>
      <c r="BB64" s="279" t="n">
        <f aca="false">AY64+BC64</f>
        <v>9.5</v>
      </c>
      <c r="BC64" s="282" t="n">
        <f aca="false">BE64+BG64+BI64+BK64+BM64</f>
        <v>2.5</v>
      </c>
      <c r="BD64" s="282" t="n">
        <f aca="false">COUNTIF(A64:AI64,"*$BTP*")</f>
        <v>1</v>
      </c>
      <c r="BE64" s="282" t="n">
        <f aca="false">BD64*1.5</f>
        <v>1.5</v>
      </c>
      <c r="BF64" s="282" t="n">
        <f aca="false">COUNTIF(A64:AI64,"*$M*")</f>
        <v>0</v>
      </c>
      <c r="BG64" s="282" t="n">
        <f aca="false">BF64*1</f>
        <v>0</v>
      </c>
      <c r="BH64" s="282" t="n">
        <f aca="false">COUNTIF(A64:AI64,"*$PM*")</f>
        <v>0</v>
      </c>
      <c r="BI64" s="282" t="n">
        <f aca="false">BH64*0.5</f>
        <v>0</v>
      </c>
      <c r="BJ64" s="282" t="n">
        <f aca="false">COUNTIF(A64:AI64,"*$AM*")</f>
        <v>0</v>
      </c>
      <c r="BK64" s="282" t="n">
        <f aca="false">BJ64*0.5</f>
        <v>0</v>
      </c>
      <c r="BL64" s="282" t="n">
        <f aca="false">COUNTIF(A64:AI64,"*$FC*")</f>
        <v>1</v>
      </c>
      <c r="BM64" s="282" t="n">
        <f aca="false">BL64*1</f>
        <v>1</v>
      </c>
      <c r="BN64" s="282"/>
      <c r="BO64" s="282" t="n">
        <f aca="false">COUNTIF($E64:$Z64,BO$4)</f>
        <v>0</v>
      </c>
      <c r="BP64" s="282" t="n">
        <f aca="false">COUNTIF($E64:$Z64,BP$4)</f>
        <v>0</v>
      </c>
      <c r="BQ64" s="282" t="n">
        <f aca="false">COUNTIF($E64:$Z64,BQ$4)</f>
        <v>0</v>
      </c>
      <c r="BR64" s="283"/>
    </row>
    <row r="65" customFormat="false" ht="19.5" hidden="false" customHeight="true" outlineLevel="0" collapsed="false">
      <c r="A65" s="280"/>
      <c r="B65" s="280" t="s">
        <v>848</v>
      </c>
      <c r="C65" s="280"/>
      <c r="D65" s="280"/>
      <c r="E65" s="280"/>
      <c r="F65" s="280"/>
      <c r="G65" s="280" t="s">
        <v>815</v>
      </c>
      <c r="H65" s="280"/>
      <c r="I65" s="280" t="s">
        <v>839</v>
      </c>
      <c r="J65" s="280"/>
      <c r="K65" s="280" t="s">
        <v>56</v>
      </c>
      <c r="L65" s="280"/>
      <c r="M65" s="280" t="s">
        <v>93</v>
      </c>
      <c r="N65" s="280"/>
      <c r="O65" s="280"/>
      <c r="P65" s="280" t="s">
        <v>849</v>
      </c>
      <c r="Q65" s="280"/>
      <c r="R65" s="280"/>
      <c r="S65" s="280"/>
      <c r="T65" s="280"/>
      <c r="U65" s="280"/>
      <c r="V65" s="280"/>
      <c r="W65" s="280"/>
      <c r="X65" s="280" t="s">
        <v>65</v>
      </c>
      <c r="Y65" s="280" t="s">
        <v>56</v>
      </c>
      <c r="Z65" s="289"/>
      <c r="AA65" s="280"/>
      <c r="AB65" s="280" t="s">
        <v>850</v>
      </c>
      <c r="AC65" s="280" t="s">
        <v>58</v>
      </c>
      <c r="AD65" s="280" t="s">
        <v>58</v>
      </c>
      <c r="AE65" s="280" t="s">
        <v>93</v>
      </c>
      <c r="AF65" s="280"/>
      <c r="AG65" s="280"/>
      <c r="AH65" s="280"/>
      <c r="AI65" s="278" t="n">
        <f aca="false">COUNTIF($D65:$AG65,AI$4)</f>
        <v>0</v>
      </c>
      <c r="AJ65" s="278" t="n">
        <f aca="false">COUNTIF($D65:$AG65,AJ$4)</f>
        <v>2</v>
      </c>
      <c r="AK65" s="278" t="n">
        <f aca="false">COUNTIF($D65:$AG65,AK$4)</f>
        <v>0</v>
      </c>
      <c r="AL65" s="278" t="n">
        <f aca="false">COUNTIF($D65:$AG65,AL$4)</f>
        <v>0</v>
      </c>
      <c r="AM65" s="278" t="n">
        <f aca="false">COUNTIF($D65:$AG65,AM$4)</f>
        <v>2</v>
      </c>
      <c r="AN65" s="278" t="n">
        <f aca="false">COUNTIF($D65:$AG65,AN$4)</f>
        <v>2</v>
      </c>
      <c r="AO65" s="278" t="n">
        <f aca="false">COUNTIF($D65:$AG65,AO$4)</f>
        <v>1</v>
      </c>
      <c r="AP65" s="278" t="n">
        <f aca="false">COUNTIF($D65:$AG65,AP$4)</f>
        <v>0</v>
      </c>
      <c r="AQ65" s="278" t="n">
        <f aca="false">COUNTIF($D65:$AG65,AQ$4)</f>
        <v>0</v>
      </c>
      <c r="AR65" s="279"/>
      <c r="AS65" s="279" t="n">
        <v>1.5</v>
      </c>
      <c r="AT65" s="278" t="n">
        <f aca="false">SUMPRODUCT(--(WEEKDAY(D$3:AG$3,2)&lt;5),--ISNUMBER(MATCH(D65:AG65,{"DM","CS1","CS2","SB1","SB2","AE","CS/B"},0)))</f>
        <v>4</v>
      </c>
      <c r="AU65" s="278"/>
      <c r="AV65" s="278" t="n">
        <f aca="false">SUMPRODUCT(--(WEEKDAY(D$3:AG$3,2)=5),--ISNUMBER(MATCH(D65:AG65,{"DM","CS1","CS2","SB1","SB2","AE","CS/B"},0)))</f>
        <v>2</v>
      </c>
      <c r="AW65" s="278" t="n">
        <f aca="false">SUMPRODUCT(--(WEEKDAY(D$3:AG$3,2)&gt;5),--ISNUMBER(MATCH(D65:AG65,{"DM","CS1","CS2","SB1","AE","CS/B","SB2"},0)))</f>
        <v>1</v>
      </c>
      <c r="AX65" s="278"/>
      <c r="AY65" s="278" t="n">
        <f aca="false">(AT65-AU65)+AV65*1.5+(AW65-AX65)*2+AN65*0.5+AP65*0.5+AR65-AS65</f>
        <v>8.5</v>
      </c>
      <c r="AZ65" s="278" t="n">
        <f aca="false">AT65+AV65+AW65</f>
        <v>7</v>
      </c>
      <c r="BA65" s="278" t="n">
        <f aca="false">BD65+BF65+BH65+BJ65+BL65</f>
        <v>2</v>
      </c>
      <c r="BB65" s="279" t="n">
        <f aca="false">AY65+BC65</f>
        <v>9.5</v>
      </c>
      <c r="BC65" s="278" t="n">
        <f aca="false">BE65+BG65+BI65+BK65+BM65</f>
        <v>1</v>
      </c>
      <c r="BD65" s="278" t="n">
        <f aca="false">COUNTIF(A65:AI65,"*$BTP*")</f>
        <v>0</v>
      </c>
      <c r="BE65" s="278" t="n">
        <f aca="false">BD65*1.5</f>
        <v>0</v>
      </c>
      <c r="BF65" s="278" t="n">
        <f aca="false">COUNTIF(A65:AI65,"*$M*")</f>
        <v>0</v>
      </c>
      <c r="BG65" s="278" t="n">
        <f aca="false">BF65*1</f>
        <v>0</v>
      </c>
      <c r="BH65" s="278" t="n">
        <f aca="false">COUNTIF(A65:AI65,"*$PM*")</f>
        <v>1</v>
      </c>
      <c r="BI65" s="278" t="n">
        <f aca="false">BH65*0.5</f>
        <v>0.5</v>
      </c>
      <c r="BJ65" s="278" t="n">
        <f aca="false">COUNTIF(A65:AI65,"*$AM*")</f>
        <v>1</v>
      </c>
      <c r="BK65" s="278" t="n">
        <f aca="false">BJ65*0.5</f>
        <v>0.5</v>
      </c>
      <c r="BL65" s="278" t="n">
        <f aca="false">COUNTIF(A65:AI65,"*$FC*")</f>
        <v>0</v>
      </c>
      <c r="BM65" s="278" t="n">
        <f aca="false">BL65*1</f>
        <v>0</v>
      </c>
      <c r="BN65" s="278"/>
      <c r="BO65" s="278" t="n">
        <f aca="false">COUNTIF($E65:$Z65,BO$4)</f>
        <v>0</v>
      </c>
      <c r="BP65" s="278" t="n">
        <f aca="false">COUNTIF($E65:$Z65,BP$4)</f>
        <v>0</v>
      </c>
      <c r="BQ65" s="278" t="n">
        <f aca="false">COUNTIF($E65:$Z65,BQ$4)</f>
        <v>0</v>
      </c>
      <c r="BR65" s="280"/>
    </row>
    <row r="66" customFormat="false" ht="19.5" hidden="false" customHeight="true" outlineLevel="0" collapsed="false">
      <c r="A66" s="283"/>
      <c r="B66" s="283" t="s">
        <v>851</v>
      </c>
      <c r="C66" s="283"/>
      <c r="D66" s="283"/>
      <c r="E66" s="283"/>
      <c r="F66" s="283"/>
      <c r="G66" s="283" t="s">
        <v>826</v>
      </c>
      <c r="H66" s="283" t="s">
        <v>826</v>
      </c>
      <c r="I66" s="283" t="s">
        <v>826</v>
      </c>
      <c r="J66" s="283"/>
      <c r="K66" s="283" t="s">
        <v>261</v>
      </c>
      <c r="L66" s="283"/>
      <c r="M66" s="283"/>
      <c r="N66" s="283"/>
      <c r="O66" s="283" t="s">
        <v>65</v>
      </c>
      <c r="P66" s="283" t="s">
        <v>58</v>
      </c>
      <c r="Q66" s="283"/>
      <c r="R66" s="283" t="s">
        <v>261</v>
      </c>
      <c r="S66" s="283"/>
      <c r="T66" s="283"/>
      <c r="U66" s="285"/>
      <c r="V66" s="283" t="s">
        <v>852</v>
      </c>
      <c r="W66" s="283" t="s">
        <v>65</v>
      </c>
      <c r="X66" s="283"/>
      <c r="Y66" s="283"/>
      <c r="Z66" s="283"/>
      <c r="AA66" s="283" t="s">
        <v>93</v>
      </c>
      <c r="AB66" s="283" t="s">
        <v>56</v>
      </c>
      <c r="AC66" s="283" t="s">
        <v>56</v>
      </c>
      <c r="AD66" s="283"/>
      <c r="AE66" s="283" t="s">
        <v>65</v>
      </c>
      <c r="AF66" s="283" t="s">
        <v>65</v>
      </c>
      <c r="AG66" s="283"/>
      <c r="AH66" s="283"/>
      <c r="AI66" s="282" t="n">
        <f aca="false">COUNTIF($D66:$AG66,AI$4)</f>
        <v>0</v>
      </c>
      <c r="AJ66" s="282" t="n">
        <f aca="false">COUNTIF($D66:$AG66,AJ$4)</f>
        <v>2</v>
      </c>
      <c r="AK66" s="282" t="n">
        <f aca="false">COUNTIF($D66:$AG66,AK$4)</f>
        <v>0</v>
      </c>
      <c r="AL66" s="282" t="n">
        <f aca="false">COUNTIF($D66:$AG66,AL$4)</f>
        <v>0</v>
      </c>
      <c r="AM66" s="282" t="n">
        <f aca="false">COUNTIF($D66:$AG66,AM$4)</f>
        <v>1</v>
      </c>
      <c r="AN66" s="282" t="n">
        <f aca="false">COUNTIF($D66:$AG66,AN$4)</f>
        <v>1</v>
      </c>
      <c r="AO66" s="282" t="n">
        <f aca="false">COUNTIF($D66:$AG66,AO$4)</f>
        <v>4</v>
      </c>
      <c r="AP66" s="282" t="n">
        <f aca="false">COUNTIF($D66:$AG66,AP$4)</f>
        <v>0</v>
      </c>
      <c r="AQ66" s="282" t="n">
        <f aca="false">COUNTIF($D66:$AG66,AQ$4)</f>
        <v>0</v>
      </c>
      <c r="AR66" s="279"/>
      <c r="AS66" s="279" t="n">
        <v>4</v>
      </c>
      <c r="AT66" s="282" t="n">
        <f aca="false">SUMPRODUCT(--(WEEKDAY(D$3:AG$3,2)&lt;5),--ISNUMBER(MATCH(D66:AG66,{"DM","CS1","CS2","SB1","SB2","AE","CS/B"},0)))</f>
        <v>6</v>
      </c>
      <c r="AU66" s="282"/>
      <c r="AV66" s="282" t="n">
        <f aca="false">SUMPRODUCT(--(WEEKDAY(D$3:AG$3,2)=5),--ISNUMBER(MATCH(D66:AG66,{"DM","CS1","CS2","SB1","SB2","AE","CS/B"},0)))</f>
        <v>1</v>
      </c>
      <c r="AW66" s="282" t="n">
        <f aca="false">SUMPRODUCT(--(WEEKDAY(D$3:AG$3,2)&gt;5),--ISNUMBER(MATCH(D66:AG66,{"DM","CS1","CS2","SB1","AE","CS/B","SB2"},0)))</f>
        <v>1</v>
      </c>
      <c r="AX66" s="282"/>
      <c r="AY66" s="282" t="n">
        <f aca="false">(AT66-AU66)+AV66*1.5+(AW66-AX66)*2+AN66*0.5+AP66*0.5+AR66-AS66</f>
        <v>6</v>
      </c>
      <c r="AZ66" s="282" t="n">
        <f aca="false">AT66+AV66+AW66</f>
        <v>8</v>
      </c>
      <c r="BA66" s="282" t="n">
        <f aca="false">BD66+BF66+BH66+BJ66+BL66</f>
        <v>4</v>
      </c>
      <c r="BB66" s="279" t="n">
        <f aca="false">AY66+BC66</f>
        <v>9.5</v>
      </c>
      <c r="BC66" s="282" t="n">
        <f aca="false">BE66+BG66+BI66+BK66+BM66</f>
        <v>3.5</v>
      </c>
      <c r="BD66" s="282" t="n">
        <f aca="false">COUNTIF(A66:AI66,"*$BTP*")</f>
        <v>0</v>
      </c>
      <c r="BE66" s="282" t="n">
        <f aca="false">BD66*1.5</f>
        <v>0</v>
      </c>
      <c r="BF66" s="282" t="n">
        <f aca="false">COUNTIF(A66:AI66,"*$M*")</f>
        <v>0</v>
      </c>
      <c r="BG66" s="282" t="n">
        <f aca="false">BF66*1</f>
        <v>0</v>
      </c>
      <c r="BH66" s="282" t="n">
        <f aca="false">COUNTIF(A66:AI66,"*$PM*")</f>
        <v>1</v>
      </c>
      <c r="BI66" s="282" t="n">
        <f aca="false">BH66*0.5</f>
        <v>0.5</v>
      </c>
      <c r="BJ66" s="282" t="n">
        <f aca="false">COUNTIF(A66:AI66,"*$AM*")</f>
        <v>0</v>
      </c>
      <c r="BK66" s="282" t="n">
        <f aca="false">BJ66*0.5</f>
        <v>0</v>
      </c>
      <c r="BL66" s="282" t="n">
        <f aca="false">COUNTIF(A66:AI66,"*$FC*")</f>
        <v>3</v>
      </c>
      <c r="BM66" s="282" t="n">
        <f aca="false">BL66*1</f>
        <v>3</v>
      </c>
      <c r="BN66" s="282"/>
      <c r="BO66" s="282" t="n">
        <f aca="false">COUNTIF($E66:$Z66,BO$4)</f>
        <v>0</v>
      </c>
      <c r="BP66" s="282" t="n">
        <f aca="false">COUNTIF($E66:$Z66,BP$4)</f>
        <v>0</v>
      </c>
      <c r="BQ66" s="282" t="n">
        <f aca="false">COUNTIF($E66:$Z66,BQ$4)</f>
        <v>0</v>
      </c>
      <c r="BR66" s="283"/>
    </row>
    <row r="67" customFormat="false" ht="19.5" hidden="false" customHeight="true" outlineLevel="0" collapsed="false">
      <c r="A67" s="280"/>
      <c r="B67" s="280" t="s">
        <v>853</v>
      </c>
      <c r="C67" s="280"/>
      <c r="D67" s="280"/>
      <c r="E67" s="280"/>
      <c r="F67" s="280"/>
      <c r="G67" s="280" t="s">
        <v>253</v>
      </c>
      <c r="H67" s="280"/>
      <c r="I67" s="280" t="s">
        <v>58</v>
      </c>
      <c r="J67" s="280"/>
      <c r="K67" s="280" t="s">
        <v>253</v>
      </c>
      <c r="L67" s="280"/>
      <c r="M67" s="280"/>
      <c r="N67" s="280" t="s">
        <v>58</v>
      </c>
      <c r="O67" s="280"/>
      <c r="P67" s="289"/>
      <c r="Q67" s="280" t="s">
        <v>854</v>
      </c>
      <c r="R67" s="289"/>
      <c r="S67" s="280"/>
      <c r="T67" s="280"/>
      <c r="U67" s="280"/>
      <c r="V67" s="280" t="s">
        <v>58</v>
      </c>
      <c r="W67" s="284" t="s">
        <v>58</v>
      </c>
      <c r="X67" s="280" t="s">
        <v>93</v>
      </c>
      <c r="Y67" s="280" t="s">
        <v>253</v>
      </c>
      <c r="Z67" s="280"/>
      <c r="AA67" s="280" t="s">
        <v>58</v>
      </c>
      <c r="AB67" s="280" t="s">
        <v>58</v>
      </c>
      <c r="AC67" s="280"/>
      <c r="AD67" s="280"/>
      <c r="AE67" s="280"/>
      <c r="AF67" s="280"/>
      <c r="AG67" s="280"/>
      <c r="AH67" s="280"/>
      <c r="AI67" s="278" t="n">
        <f aca="false">COUNTIF($D67:$AG67,AI$4)</f>
        <v>0</v>
      </c>
      <c r="AJ67" s="278" t="n">
        <f aca="false">COUNTIF($D67:$AG67,AJ$4)</f>
        <v>0</v>
      </c>
      <c r="AK67" s="278" t="n">
        <f aca="false">COUNTIF($D67:$AG67,AK$4)</f>
        <v>0</v>
      </c>
      <c r="AL67" s="278" t="n">
        <f aca="false">COUNTIF($D67:$AG67,AL$4)</f>
        <v>0</v>
      </c>
      <c r="AM67" s="278" t="n">
        <f aca="false">COUNTIF($D67:$AG67,AM$4)</f>
        <v>6</v>
      </c>
      <c r="AN67" s="278" t="n">
        <f aca="false">COUNTIF($D67:$AG67,AN$4)</f>
        <v>1</v>
      </c>
      <c r="AO67" s="278" t="n">
        <f aca="false">COUNTIF($D67:$AG67,AO$4)</f>
        <v>0</v>
      </c>
      <c r="AP67" s="278" t="n">
        <f aca="false">COUNTIF($D67:$AG67,AP$4)</f>
        <v>0</v>
      </c>
      <c r="AQ67" s="278" t="n">
        <f aca="false">COUNTIF($D67:$AG67,AQ$4)</f>
        <v>0</v>
      </c>
      <c r="AR67" s="279"/>
      <c r="AS67" s="279" t="n">
        <v>0.5</v>
      </c>
      <c r="AT67" s="278" t="n">
        <f aca="false">SUMPRODUCT(--(WEEKDAY(D$3:AG$3,2)&lt;5),--ISNUMBER(MATCH(D67:AG67,{"DM","CS1","CS2","SB1","SB2","AE","CS/B"},0)))</f>
        <v>6</v>
      </c>
      <c r="AU67" s="278"/>
      <c r="AV67" s="278" t="n">
        <f aca="false">SUMPRODUCT(--(WEEKDAY(D$3:AG$3,2)=5),--ISNUMBER(MATCH(D67:AG67,{"DM","CS1","CS2","SB1","SB2","AE","CS/B"},0)))</f>
        <v>0</v>
      </c>
      <c r="AW67" s="278" t="n">
        <f aca="false">SUMPRODUCT(--(WEEKDAY(D$3:AG$3,2)&gt;5),--ISNUMBER(MATCH(D67:AG67,{"DM","CS1","CS2","SB1","AE","CS/B","SB2"},0)))</f>
        <v>1</v>
      </c>
      <c r="AX67" s="278"/>
      <c r="AY67" s="278" t="n">
        <f aca="false">(AT67-AU67)+AV67*1.5+(AW67-AX67)*2+AN67*0.5+AP67*0.5+AR67-AS67</f>
        <v>8</v>
      </c>
      <c r="AZ67" s="278" t="n">
        <f aca="false">AT67+AV67+AW67</f>
        <v>7</v>
      </c>
      <c r="BA67" s="278" t="n">
        <f aca="false">BD67+BF67+BH67+BJ67+BL67</f>
        <v>1</v>
      </c>
      <c r="BB67" s="279" t="n">
        <f aca="false">AY67+BC67</f>
        <v>9.5</v>
      </c>
      <c r="BC67" s="278" t="n">
        <f aca="false">BE67+BG67+BI67+BK67+BM67</f>
        <v>1.5</v>
      </c>
      <c r="BD67" s="278" t="n">
        <f aca="false">COUNTIF(A67:AI67,"*$BTP*")</f>
        <v>1</v>
      </c>
      <c r="BE67" s="278" t="n">
        <f aca="false">BD67*1.5</f>
        <v>1.5</v>
      </c>
      <c r="BF67" s="278" t="n">
        <f aca="false">COUNTIF(A67:AI67,"*$M*")</f>
        <v>0</v>
      </c>
      <c r="BG67" s="278" t="n">
        <f aca="false">BF67*1</f>
        <v>0</v>
      </c>
      <c r="BH67" s="278" t="n">
        <f aca="false">COUNTIF(A67:AI67,"*$PM*")</f>
        <v>0</v>
      </c>
      <c r="BI67" s="278" t="n">
        <f aca="false">BH67*0.5</f>
        <v>0</v>
      </c>
      <c r="BJ67" s="278" t="n">
        <f aca="false">COUNTIF(A67:AI67,"*$AM*")</f>
        <v>0</v>
      </c>
      <c r="BK67" s="278" t="n">
        <f aca="false">BJ67*0.5</f>
        <v>0</v>
      </c>
      <c r="BL67" s="278" t="n">
        <f aca="false">COUNTIF(A67:AI67,"*$FC*")</f>
        <v>0</v>
      </c>
      <c r="BM67" s="278" t="n">
        <f aca="false">BL67*1</f>
        <v>0</v>
      </c>
      <c r="BN67" s="278"/>
      <c r="BO67" s="278" t="n">
        <f aca="false">COUNTIF($E67:$Z67,BO$4)</f>
        <v>0</v>
      </c>
      <c r="BP67" s="278" t="n">
        <f aca="false">COUNTIF($E67:$Z67,BP$4)</f>
        <v>0</v>
      </c>
      <c r="BQ67" s="278" t="n">
        <f aca="false">COUNTIF($E67:$Z67,BQ$4)</f>
        <v>0</v>
      </c>
      <c r="BR67" s="280"/>
    </row>
    <row r="68" customFormat="false" ht="19.5" hidden="false" customHeight="true" outlineLevel="0" collapsed="false">
      <c r="A68" s="283"/>
      <c r="B68" s="283" t="s">
        <v>855</v>
      </c>
      <c r="C68" s="283"/>
      <c r="D68" s="283"/>
      <c r="E68" s="283"/>
      <c r="F68" s="283"/>
      <c r="G68" s="283" t="s">
        <v>856</v>
      </c>
      <c r="H68" s="283"/>
      <c r="I68" s="283" t="s">
        <v>65</v>
      </c>
      <c r="J68" s="283" t="s">
        <v>58</v>
      </c>
      <c r="K68" s="283"/>
      <c r="L68" s="283" t="s">
        <v>841</v>
      </c>
      <c r="M68" s="283" t="s">
        <v>841</v>
      </c>
      <c r="N68" s="283" t="s">
        <v>841</v>
      </c>
      <c r="O68" s="283"/>
      <c r="P68" s="283" t="s">
        <v>350</v>
      </c>
      <c r="Q68" s="283" t="s">
        <v>58</v>
      </c>
      <c r="R68" s="283"/>
      <c r="S68" s="283"/>
      <c r="T68" s="283"/>
      <c r="U68" s="283" t="s">
        <v>54</v>
      </c>
      <c r="V68" s="283" t="s">
        <v>54</v>
      </c>
      <c r="W68" s="283" t="s">
        <v>54</v>
      </c>
      <c r="X68" s="283" t="s">
        <v>54</v>
      </c>
      <c r="Y68" s="283" t="s">
        <v>54</v>
      </c>
      <c r="Z68" s="283" t="s">
        <v>54</v>
      </c>
      <c r="AA68" s="283" t="s">
        <v>54</v>
      </c>
      <c r="AB68" s="283" t="s">
        <v>54</v>
      </c>
      <c r="AC68" s="283"/>
      <c r="AD68" s="283"/>
      <c r="AE68" s="283"/>
      <c r="AF68" s="283"/>
      <c r="AG68" s="283"/>
      <c r="AH68" s="283"/>
      <c r="AI68" s="282" t="n">
        <f aca="false">COUNTIF($D68:$AG68,AI$4)</f>
        <v>0</v>
      </c>
      <c r="AJ68" s="282" t="n">
        <f aca="false">COUNTIF($D68:$AG68,AJ$4)</f>
        <v>0</v>
      </c>
      <c r="AK68" s="282" t="n">
        <f aca="false">COUNTIF($D68:$AG68,AK$4)</f>
        <v>0</v>
      </c>
      <c r="AL68" s="282" t="n">
        <f aca="false">COUNTIF($D68:$AG68,AL$4)</f>
        <v>0</v>
      </c>
      <c r="AM68" s="282" t="n">
        <f aca="false">COUNTIF($D68:$AG68,AM$4)</f>
        <v>2</v>
      </c>
      <c r="AN68" s="282" t="n">
        <f aca="false">COUNTIF($D68:$AG68,AN$4)</f>
        <v>0</v>
      </c>
      <c r="AO68" s="282" t="n">
        <f aca="false">COUNTIF($D68:$AG68,AO$4)</f>
        <v>1</v>
      </c>
      <c r="AP68" s="282" t="n">
        <f aca="false">COUNTIF($D68:$AG68,AP$4)</f>
        <v>0</v>
      </c>
      <c r="AQ68" s="282" t="n">
        <f aca="false">COUNTIF($D68:$AG68,AQ$4)</f>
        <v>0</v>
      </c>
      <c r="AR68" s="279" t="n">
        <v>1</v>
      </c>
      <c r="AS68" s="279"/>
      <c r="AT68" s="282" t="n">
        <f aca="false">SUMPRODUCT(--(WEEKDAY(D$3:AG$3,2)&lt;5),--ISNUMBER(MATCH(D68:AG68,{"DM","CS1","CS2","SB1","SB2","AE","CS/B"},0)))</f>
        <v>3</v>
      </c>
      <c r="AU68" s="282"/>
      <c r="AV68" s="282" t="n">
        <f aca="false">SUMPRODUCT(--(WEEKDAY(D$3:AG$3,2)=5),--ISNUMBER(MATCH(D68:AG68,{"DM","CS1","CS2","SB1","SB2","AE","CS/B"},0)))</f>
        <v>0</v>
      </c>
      <c r="AW68" s="282" t="n">
        <f aca="false">SUMPRODUCT(--(WEEKDAY(D$3:AG$3,2)&gt;5),--ISNUMBER(MATCH(D68:AG68,{"DM","CS1","CS2","SB1","AE","CS/B","SB2"},0)))</f>
        <v>0</v>
      </c>
      <c r="AX68" s="282"/>
      <c r="AY68" s="282" t="n">
        <f aca="false">(AT68-AU68)+AV68*1.5+(AW68-AX68)*2+AN68*0.5+AP68*0.5+AR68-AS68</f>
        <v>4</v>
      </c>
      <c r="AZ68" s="282" t="n">
        <f aca="false">AT68+AV68+AW68</f>
        <v>3</v>
      </c>
      <c r="BA68" s="282" t="n">
        <f aca="false">BD68+BF68+BH68+BJ68+BL68</f>
        <v>4</v>
      </c>
      <c r="BB68" s="279" t="n">
        <f aca="false">AY68+BC68</f>
        <v>8.5</v>
      </c>
      <c r="BC68" s="282" t="n">
        <f aca="false">BE68+BG68+BI68+BK68+BM68</f>
        <v>4.5</v>
      </c>
      <c r="BD68" s="282" t="n">
        <f aca="false">COUNTIF(A68:AI68,"*$BTP*")</f>
        <v>1</v>
      </c>
      <c r="BE68" s="282" t="n">
        <f aca="false">BD68*1.5</f>
        <v>1.5</v>
      </c>
      <c r="BF68" s="282" t="n">
        <f aca="false">COUNTIF(A68:AI68,"*$M*")</f>
        <v>0</v>
      </c>
      <c r="BG68" s="282" t="n">
        <f aca="false">BF68*1</f>
        <v>0</v>
      </c>
      <c r="BH68" s="282" t="n">
        <f aca="false">COUNTIF(A68:AI68,"*$PM*")</f>
        <v>0</v>
      </c>
      <c r="BI68" s="282" t="n">
        <f aca="false">BH68*0.5</f>
        <v>0</v>
      </c>
      <c r="BJ68" s="282" t="n">
        <f aca="false">COUNTIF(A68:AI68,"*$AM*")</f>
        <v>0</v>
      </c>
      <c r="BK68" s="282" t="n">
        <f aca="false">BJ68*0.5</f>
        <v>0</v>
      </c>
      <c r="BL68" s="282" t="n">
        <f aca="false">COUNTIF(A68:AI68,"*$FC*")</f>
        <v>3</v>
      </c>
      <c r="BM68" s="282" t="n">
        <f aca="false">BL68*1</f>
        <v>3</v>
      </c>
      <c r="BN68" s="282"/>
      <c r="BO68" s="282" t="n">
        <f aca="false">COUNTIF($E68:$Z68,BO$4)</f>
        <v>0</v>
      </c>
      <c r="BP68" s="282" t="n">
        <f aca="false">COUNTIF($E68:$Z68,BP$4)</f>
        <v>1</v>
      </c>
      <c r="BQ68" s="282" t="n">
        <f aca="false">COUNTIF($E68:$Z68,BQ$4)</f>
        <v>0</v>
      </c>
      <c r="BR68" s="283"/>
    </row>
    <row r="69" customFormat="false" ht="19.5" hidden="false" customHeight="true" outlineLevel="0" collapsed="false">
      <c r="A69" s="280"/>
      <c r="B69" s="280" t="s">
        <v>857</v>
      </c>
      <c r="C69" s="280"/>
      <c r="D69" s="280"/>
      <c r="E69" s="280"/>
      <c r="F69" s="289"/>
      <c r="G69" s="280"/>
      <c r="H69" s="280" t="s">
        <v>856</v>
      </c>
      <c r="I69" s="280"/>
      <c r="J69" s="280" t="s">
        <v>65</v>
      </c>
      <c r="K69" s="280"/>
      <c r="L69" s="280" t="s">
        <v>58</v>
      </c>
      <c r="M69" s="280"/>
      <c r="N69" s="280"/>
      <c r="O69" s="280"/>
      <c r="P69" s="280" t="s">
        <v>65</v>
      </c>
      <c r="Q69" s="280" t="s">
        <v>858</v>
      </c>
      <c r="R69" s="280" t="s">
        <v>58</v>
      </c>
      <c r="S69" s="280"/>
      <c r="T69" s="280"/>
      <c r="U69" s="280" t="s">
        <v>58</v>
      </c>
      <c r="V69" s="280"/>
      <c r="W69" s="280" t="s">
        <v>859</v>
      </c>
      <c r="X69" s="280" t="s">
        <v>860</v>
      </c>
      <c r="Y69" s="280"/>
      <c r="Z69" s="280" t="s">
        <v>54</v>
      </c>
      <c r="AA69" s="280" t="s">
        <v>54</v>
      </c>
      <c r="AB69" s="280" t="s">
        <v>54</v>
      </c>
      <c r="AC69" s="280" t="s">
        <v>54</v>
      </c>
      <c r="AD69" s="280" t="s">
        <v>54</v>
      </c>
      <c r="AE69" s="280" t="s">
        <v>54</v>
      </c>
      <c r="AF69" s="280" t="s">
        <v>54</v>
      </c>
      <c r="AG69" s="280" t="s">
        <v>54</v>
      </c>
      <c r="AH69" s="280" t="s">
        <v>54</v>
      </c>
      <c r="AI69" s="278" t="n">
        <f aca="false">COUNTIF($D69:$AG69,AI$4)</f>
        <v>0</v>
      </c>
      <c r="AJ69" s="278" t="n">
        <f aca="false">COUNTIF($D69:$AG69,AJ$4)</f>
        <v>0</v>
      </c>
      <c r="AK69" s="278" t="n">
        <f aca="false">COUNTIF($D69:$AG69,AK$4)</f>
        <v>0</v>
      </c>
      <c r="AL69" s="278" t="n">
        <f aca="false">COUNTIF($D69:$AG69,AL$4)</f>
        <v>0</v>
      </c>
      <c r="AM69" s="278" t="n">
        <f aca="false">COUNTIF($D69:$AG69,AM$4)</f>
        <v>3</v>
      </c>
      <c r="AN69" s="278" t="n">
        <f aca="false">COUNTIF($D69:$AG69,AN$4)</f>
        <v>0</v>
      </c>
      <c r="AO69" s="278" t="n">
        <f aca="false">COUNTIF($D69:$AG69,AO$4)</f>
        <v>2</v>
      </c>
      <c r="AP69" s="278" t="n">
        <f aca="false">COUNTIF($D69:$AG69,AP$4)</f>
        <v>0</v>
      </c>
      <c r="AQ69" s="278" t="n">
        <f aca="false">COUNTIF($D69:$AG69,AQ$4)</f>
        <v>0</v>
      </c>
      <c r="AR69" s="279"/>
      <c r="AS69" s="279" t="n">
        <v>0.5</v>
      </c>
      <c r="AT69" s="278" t="n">
        <f aca="false">SUMPRODUCT(--(WEEKDAY(D$3:AG$3,2)&lt;5),--ISNUMBER(MATCH(D69:AG69,{"DM","CS1","CS2","SB1","SB2","AE","CS/B"},0)))</f>
        <v>3</v>
      </c>
      <c r="AU69" s="278"/>
      <c r="AV69" s="278" t="n">
        <f aca="false">SUMPRODUCT(--(WEEKDAY(D$3:AG$3,2)=5),--ISNUMBER(MATCH(D69:AG69,{"DM","CS1","CS2","SB1","SB2","AE","CS/B"},0)))</f>
        <v>1</v>
      </c>
      <c r="AW69" s="278" t="n">
        <f aca="false">SUMPRODUCT(--(WEEKDAY(D$3:AG$3,2)&gt;5),--ISNUMBER(MATCH(D69:AG69,{"DM","CS1","CS2","SB1","AE","CS/B","SB2"},0)))</f>
        <v>1</v>
      </c>
      <c r="AX69" s="278"/>
      <c r="AY69" s="278" t="n">
        <f aca="false">(AT69-AU69)+AV69*1.5+(AW69-AX69)*2+AN69*0.5+AP69*0.5+AR69-AS69</f>
        <v>6</v>
      </c>
      <c r="AZ69" s="278" t="n">
        <f aca="false">AT69+AV69+AW69</f>
        <v>5</v>
      </c>
      <c r="BA69" s="278" t="n">
        <f aca="false">BD69+BF69+BH69+BJ69+BL69</f>
        <v>4</v>
      </c>
      <c r="BB69" s="279" t="n">
        <f aca="false">AY69+BC69</f>
        <v>9.5</v>
      </c>
      <c r="BC69" s="278" t="n">
        <f aca="false">BE69+BG69+BI69+BK69+BM69</f>
        <v>3.5</v>
      </c>
      <c r="BD69" s="278" t="n">
        <f aca="false">COUNTIF(A69:AI69,"*$BTP*")</f>
        <v>1</v>
      </c>
      <c r="BE69" s="278" t="n">
        <f aca="false">BD69*1.5</f>
        <v>1.5</v>
      </c>
      <c r="BF69" s="278" t="n">
        <f aca="false">COUNTIF(A69:AI69,"*$M*")</f>
        <v>1</v>
      </c>
      <c r="BG69" s="278" t="n">
        <f aca="false">BF69*1</f>
        <v>1</v>
      </c>
      <c r="BH69" s="278" t="n">
        <f aca="false">COUNTIF(A69:AI69,"*$PM*")</f>
        <v>1</v>
      </c>
      <c r="BI69" s="278" t="n">
        <f aca="false">BH69*0.5</f>
        <v>0.5</v>
      </c>
      <c r="BJ69" s="278" t="n">
        <f aca="false">COUNTIF(A69:AI69,"*$AM*")</f>
        <v>1</v>
      </c>
      <c r="BK69" s="278" t="n">
        <f aca="false">BJ69*0.5</f>
        <v>0.5</v>
      </c>
      <c r="BL69" s="278" t="n">
        <f aca="false">COUNTIF(A69:AI69,"*$FC*")</f>
        <v>0</v>
      </c>
      <c r="BM69" s="278" t="n">
        <f aca="false">BL69*1</f>
        <v>0</v>
      </c>
      <c r="BN69" s="278"/>
      <c r="BO69" s="278" t="n">
        <f aca="false">COUNTIF($E69:$Z69,BO$4)</f>
        <v>0</v>
      </c>
      <c r="BP69" s="278" t="n">
        <f aca="false">COUNTIF($E69:$Z69,BP$4)</f>
        <v>0</v>
      </c>
      <c r="BQ69" s="278" t="n">
        <f aca="false">COUNTIF($E69:$Z69,BQ$4)</f>
        <v>0</v>
      </c>
      <c r="BR69" s="280"/>
    </row>
    <row r="70" customFormat="false" ht="19.5" hidden="false" customHeight="true" outlineLevel="0" collapsed="false">
      <c r="A70" s="282"/>
      <c r="B70" s="301" t="s">
        <v>667</v>
      </c>
      <c r="C70" s="301"/>
      <c r="D70" s="296"/>
      <c r="E70" s="297"/>
      <c r="F70" s="297"/>
      <c r="G70" s="297"/>
      <c r="H70" s="297"/>
      <c r="I70" s="297"/>
      <c r="J70" s="297"/>
      <c r="K70" s="297"/>
      <c r="L70" s="297"/>
      <c r="M70" s="297"/>
      <c r="N70" s="283"/>
      <c r="O70" s="297"/>
      <c r="P70" s="297"/>
      <c r="Q70" s="297"/>
      <c r="R70" s="283"/>
      <c r="S70" s="283"/>
      <c r="T70" s="297"/>
      <c r="U70" s="283"/>
      <c r="V70" s="297" t="s">
        <v>700</v>
      </c>
      <c r="W70" s="302"/>
      <c r="X70" s="297"/>
      <c r="Y70" s="297"/>
      <c r="Z70" s="297"/>
      <c r="AA70" s="297"/>
      <c r="AB70" s="297"/>
      <c r="AC70" s="297"/>
      <c r="AD70" s="297"/>
      <c r="AE70" s="297"/>
      <c r="AF70" s="297"/>
      <c r="AG70" s="297"/>
      <c r="AH70" s="297"/>
      <c r="AI70" s="282"/>
      <c r="AJ70" s="282"/>
      <c r="AK70" s="282"/>
      <c r="AL70" s="282"/>
      <c r="AM70" s="282"/>
      <c r="AN70" s="282"/>
      <c r="AO70" s="282"/>
      <c r="AP70" s="282"/>
      <c r="AQ70" s="282"/>
      <c r="AR70" s="282"/>
      <c r="AS70" s="282"/>
      <c r="AT70" s="282"/>
      <c r="AU70" s="282"/>
      <c r="AV70" s="282"/>
      <c r="AW70" s="282"/>
      <c r="AX70" s="282"/>
      <c r="AY70" s="282"/>
      <c r="AZ70" s="282"/>
      <c r="BA70" s="282"/>
      <c r="BB70" s="282"/>
      <c r="BC70" s="282"/>
      <c r="BD70" s="282"/>
      <c r="BE70" s="282"/>
      <c r="BF70" s="282"/>
      <c r="BG70" s="282"/>
      <c r="BH70" s="282"/>
      <c r="BI70" s="282"/>
      <c r="BJ70" s="282"/>
      <c r="BK70" s="282"/>
      <c r="BL70" s="282"/>
      <c r="BM70" s="282"/>
      <c r="BN70" s="282"/>
      <c r="BO70" s="282"/>
      <c r="BP70" s="282"/>
      <c r="BQ70" s="282"/>
      <c r="BR70" s="282"/>
    </row>
    <row r="71" customFormat="false" ht="19.5" hidden="false" customHeight="true" outlineLevel="0" collapsed="false">
      <c r="A71" s="278"/>
      <c r="B71" s="301" t="s">
        <v>668</v>
      </c>
      <c r="C71" s="301"/>
      <c r="D71" s="296"/>
      <c r="E71" s="303"/>
      <c r="F71" s="303"/>
      <c r="G71" s="303"/>
      <c r="H71" s="303"/>
      <c r="I71" s="303"/>
      <c r="J71" s="303"/>
      <c r="K71" s="303"/>
      <c r="L71" s="303"/>
      <c r="M71" s="303"/>
      <c r="N71" s="280"/>
      <c r="O71" s="303"/>
      <c r="P71" s="303"/>
      <c r="Q71" s="303"/>
      <c r="R71" s="280"/>
      <c r="S71" s="280"/>
      <c r="T71" s="303"/>
      <c r="U71" s="280"/>
      <c r="V71" s="297"/>
      <c r="W71" s="304"/>
      <c r="X71" s="303"/>
      <c r="Y71" s="303"/>
      <c r="Z71" s="303"/>
      <c r="AA71" s="303"/>
      <c r="AB71" s="303"/>
      <c r="AC71" s="303"/>
      <c r="AD71" s="303"/>
      <c r="AE71" s="303"/>
      <c r="AF71" s="303"/>
      <c r="AG71" s="303"/>
      <c r="AH71" s="303"/>
      <c r="AI71" s="278"/>
      <c r="AJ71" s="278"/>
      <c r="AK71" s="278"/>
      <c r="AL71" s="278"/>
      <c r="AM71" s="278"/>
      <c r="AN71" s="278"/>
      <c r="AO71" s="278"/>
      <c r="AP71" s="278"/>
      <c r="AQ71" s="278"/>
      <c r="AR71" s="278"/>
      <c r="AS71" s="278"/>
      <c r="AT71" s="278"/>
      <c r="AU71" s="278"/>
      <c r="AV71" s="278"/>
      <c r="AW71" s="278"/>
      <c r="AX71" s="278"/>
      <c r="AY71" s="278"/>
      <c r="AZ71" s="278"/>
      <c r="BA71" s="278"/>
      <c r="BB71" s="278"/>
      <c r="BC71" s="278"/>
      <c r="BD71" s="278"/>
      <c r="BE71" s="278"/>
      <c r="BF71" s="278"/>
      <c r="BG71" s="278"/>
      <c r="BH71" s="278"/>
      <c r="BI71" s="278"/>
      <c r="BJ71" s="278"/>
      <c r="BK71" s="278"/>
      <c r="BL71" s="278"/>
      <c r="BM71" s="278"/>
      <c r="BN71" s="278"/>
      <c r="BO71" s="278"/>
      <c r="BP71" s="278"/>
      <c r="BQ71" s="278"/>
      <c r="BR71" s="278"/>
    </row>
    <row r="72" customFormat="false" ht="19.5" hidden="false" customHeight="true" outlineLevel="0" collapsed="false">
      <c r="A72" s="272"/>
      <c r="B72" s="293"/>
      <c r="C72" s="293"/>
      <c r="D72" s="305"/>
      <c r="E72" s="305"/>
      <c r="F72" s="305"/>
      <c r="G72" s="305"/>
      <c r="H72" s="305"/>
      <c r="I72" s="305"/>
      <c r="J72" s="305"/>
      <c r="K72" s="305"/>
      <c r="L72" s="305"/>
      <c r="M72" s="305"/>
      <c r="N72" s="305"/>
      <c r="O72" s="305"/>
      <c r="P72" s="305"/>
      <c r="Q72" s="305"/>
      <c r="R72" s="305"/>
      <c r="S72" s="305"/>
      <c r="T72" s="305"/>
      <c r="U72" s="305"/>
      <c r="V72" s="305"/>
      <c r="W72" s="305"/>
      <c r="X72" s="305"/>
      <c r="Y72" s="305"/>
      <c r="Z72" s="305"/>
      <c r="AA72" s="305"/>
      <c r="AB72" s="305"/>
      <c r="AC72" s="305"/>
      <c r="AD72" s="305"/>
      <c r="AE72" s="305"/>
      <c r="AF72" s="305"/>
      <c r="AG72" s="305"/>
      <c r="AH72" s="305"/>
      <c r="AI72" s="293"/>
      <c r="AJ72" s="293"/>
      <c r="AK72" s="293"/>
      <c r="AL72" s="293"/>
      <c r="AM72" s="293"/>
      <c r="AN72" s="293"/>
      <c r="AO72" s="293"/>
      <c r="AP72" s="293"/>
      <c r="AQ72" s="293"/>
      <c r="AR72" s="293"/>
      <c r="AS72" s="293"/>
      <c r="AT72" s="293"/>
      <c r="AU72" s="293"/>
      <c r="AV72" s="293"/>
      <c r="AW72" s="293" t="n">
        <f aca="false">SUMPRODUCT(--WEEKDAY(D$3:AG$3,2)&gt;5,--((D72:AG72="DM"))+(D72:AG72="CS1")+((D72:AG72="CS2"))+(D72:AG72="SB1")+(D72:AG72="AE")+(D72:AG72="EM"))</f>
        <v>0</v>
      </c>
      <c r="AX72" s="293"/>
      <c r="AY72" s="293" t="n">
        <f aca="false">(AT72-AU72)/2+(AW72-AX72)</f>
        <v>0</v>
      </c>
      <c r="AZ72" s="293"/>
      <c r="BA72" s="293"/>
      <c r="BB72" s="293"/>
      <c r="BC72" s="293"/>
      <c r="BD72" s="293"/>
      <c r="BE72" s="293"/>
      <c r="BF72" s="293"/>
      <c r="BG72" s="293"/>
      <c r="BH72" s="293"/>
      <c r="BI72" s="293"/>
      <c r="BJ72" s="293"/>
      <c r="BK72" s="293"/>
      <c r="BL72" s="293"/>
      <c r="BM72" s="293"/>
      <c r="BN72" s="293"/>
      <c r="BO72" s="293"/>
      <c r="BP72" s="293"/>
      <c r="BQ72" s="293"/>
      <c r="BR72" s="293"/>
    </row>
    <row r="73" customFormat="false" ht="19.5" hidden="false" customHeight="true" outlineLevel="0" collapsed="false">
      <c r="A73" s="272"/>
      <c r="B73" s="306" t="s">
        <v>57</v>
      </c>
      <c r="C73" s="306"/>
      <c r="D73" s="307" t="e">
        <f aca="false">VLOOKUP("DM",D53:D69,1,FALSE())</f>
        <v>#N/A</v>
      </c>
      <c r="E73" s="307" t="e">
        <f aca="false">VLOOKUP("DM",E53:E69,1,FALSE())</f>
        <v>#N/A</v>
      </c>
      <c r="F73" s="307" t="e">
        <f aca="false">VLOOKUP("DM",F53:F69,1,FALSE())</f>
        <v>#N/A</v>
      </c>
      <c r="G73" s="307" t="str">
        <f aca="false">VLOOKUP("DM",G53:G69,1,FALSE())</f>
        <v>DM</v>
      </c>
      <c r="H73" s="307" t="str">
        <f aca="false">VLOOKUP("DM",H53:H69,1,FALSE())</f>
        <v>DM</v>
      </c>
      <c r="I73" s="307" t="str">
        <f aca="false">VLOOKUP("DM",I53:I69,1,FALSE())</f>
        <v>DM</v>
      </c>
      <c r="J73" s="307" t="str">
        <f aca="false">VLOOKUP("DM",J53:J69,1,FALSE())</f>
        <v>DM</v>
      </c>
      <c r="K73" s="307" t="str">
        <f aca="false">VLOOKUP("DM",K53:K69,1,FALSE())</f>
        <v>DM</v>
      </c>
      <c r="L73" s="307" t="e">
        <f aca="false">VLOOKUP("DM",L53:L69,1,FALSE())</f>
        <v>#N/A</v>
      </c>
      <c r="M73" s="307" t="e">
        <f aca="false">VLOOKUP("DM",M53:M69,1,FALSE())</f>
        <v>#N/A</v>
      </c>
      <c r="N73" s="307" t="str">
        <f aca="false">VLOOKUP("DM",N53:N69,1,FALSE())</f>
        <v>DM</v>
      </c>
      <c r="O73" s="307" t="str">
        <f aca="false">VLOOKUP("DM",O53:O69,1,FALSE())</f>
        <v>DM</v>
      </c>
      <c r="P73" s="307" t="str">
        <f aca="false">VLOOKUP("DM",P53:P69,1,FALSE())</f>
        <v>DM</v>
      </c>
      <c r="Q73" s="307" t="str">
        <f aca="false">VLOOKUP("DM",Q53:Q69,1,FALSE())</f>
        <v>DM</v>
      </c>
      <c r="R73" s="307" t="str">
        <f aca="false">VLOOKUP("DM",R53:R69,1,FALSE())</f>
        <v>DM</v>
      </c>
      <c r="S73" s="307" t="e">
        <f aca="false">VLOOKUP("DM",S53:S69,1,FALSE())</f>
        <v>#N/A</v>
      </c>
      <c r="T73" s="307" t="e">
        <f aca="false">VLOOKUP("DM",T53:T69,1,FALSE())</f>
        <v>#N/A</v>
      </c>
      <c r="U73" s="307" t="str">
        <f aca="false">VLOOKUP("DM",U53:U69,1,FALSE())</f>
        <v>DM</v>
      </c>
      <c r="V73" s="307" t="e">
        <f aca="false">VLOOKUP("DM",V53:V69,1,FALSE())</f>
        <v>#N/A</v>
      </c>
      <c r="W73" s="307" t="str">
        <f aca="false">VLOOKUP("DM",W53:W69,1,FALSE())</f>
        <v>DM</v>
      </c>
      <c r="X73" s="307" t="str">
        <f aca="false">VLOOKUP("DM",X53:X69,1,FALSE())</f>
        <v>DM</v>
      </c>
      <c r="Y73" s="307" t="str">
        <f aca="false">VLOOKUP("DM",Y53:Y69,1,FALSE())</f>
        <v>DM</v>
      </c>
      <c r="Z73" s="307" t="e">
        <f aca="false">VLOOKUP("DM",Z53:Z69,1,FALSE())</f>
        <v>#N/A</v>
      </c>
      <c r="AA73" s="307" t="e">
        <f aca="false">VLOOKUP("DM",AA53:AA69,1,FALSE())</f>
        <v>#N/A</v>
      </c>
      <c r="AB73" s="307" t="str">
        <f aca="false">VLOOKUP("DM",AB53:AB69,1,FALSE())</f>
        <v>DM</v>
      </c>
      <c r="AC73" s="307" t="str">
        <f aca="false">VLOOKUP("DM",AC53:AC69,1,FALSE())</f>
        <v>DM</v>
      </c>
      <c r="AD73" s="307" t="e">
        <f aca="false">VLOOKUP("DM",AD53:AD69,1,FALSE())</f>
        <v>#N/A</v>
      </c>
      <c r="AE73" s="307" t="str">
        <f aca="false">VLOOKUP("DM",AE53:AE69,1,FALSE())</f>
        <v>DM</v>
      </c>
      <c r="AF73" s="307" t="str">
        <f aca="false">VLOOKUP("DM",AF53:AF69,1,FALSE())</f>
        <v>DM</v>
      </c>
      <c r="AG73" s="307" t="e">
        <f aca="false">VLOOKUP("DM",AG53:AG69,1,FALSE())</f>
        <v>#N/A</v>
      </c>
      <c r="AH73" s="307" t="e">
        <f aca="false">VLOOKUP("DM",AH53:AH69,1,FALSE())</f>
        <v>#N/A</v>
      </c>
      <c r="AI73" s="272"/>
      <c r="AJ73" s="272"/>
      <c r="AK73" s="272"/>
      <c r="AL73" s="272"/>
      <c r="AM73" s="278"/>
      <c r="AN73" s="278"/>
      <c r="AO73" s="278"/>
      <c r="AP73" s="278"/>
      <c r="AQ73" s="278"/>
      <c r="AR73" s="278"/>
      <c r="AS73" s="278"/>
      <c r="AT73" s="278"/>
      <c r="AU73" s="278"/>
      <c r="AV73" s="278"/>
      <c r="AW73" s="278"/>
      <c r="AX73" s="278"/>
      <c r="AY73" s="278"/>
      <c r="AZ73" s="278"/>
      <c r="BA73" s="278"/>
      <c r="BB73" s="278"/>
      <c r="BC73" s="278"/>
      <c r="BD73" s="278"/>
      <c r="BE73" s="278"/>
      <c r="BF73" s="278"/>
      <c r="BG73" s="278"/>
      <c r="BH73" s="278"/>
      <c r="BI73" s="278"/>
      <c r="BJ73" s="278"/>
      <c r="BK73" s="278"/>
      <c r="BL73" s="278"/>
      <c r="BM73" s="278"/>
      <c r="BN73" s="278"/>
      <c r="BO73" s="278"/>
      <c r="BP73" s="278"/>
      <c r="BQ73" s="278"/>
      <c r="BR73" s="278"/>
    </row>
    <row r="74" customFormat="false" ht="19.5" hidden="false" customHeight="true" outlineLevel="0" collapsed="false">
      <c r="A74" s="272"/>
      <c r="B74" s="308" t="s">
        <v>56</v>
      </c>
      <c r="C74" s="308"/>
      <c r="D74" s="307" t="e">
        <f aca="false">VLOOKUP("CS1",D53:D69,1,FALSE())</f>
        <v>#N/A</v>
      </c>
      <c r="E74" s="307" t="e">
        <f aca="false">VLOOKUP("CS1",E53:E69,1,FALSE())</f>
        <v>#N/A</v>
      </c>
      <c r="F74" s="307" t="e">
        <f aca="false">VLOOKUP("CS1",F53:F69,1,FALSE())</f>
        <v>#N/A</v>
      </c>
      <c r="G74" s="307" t="str">
        <f aca="false">VLOOKUP("CS1",G53:G69,1,FALSE())</f>
        <v>CS1</v>
      </c>
      <c r="H74" s="307" t="str">
        <f aca="false">VLOOKUP("CS1",H53:H69,1,FALSE())</f>
        <v>CS1</v>
      </c>
      <c r="I74" s="307" t="str">
        <f aca="false">VLOOKUP("CS1",I53:I69,1,FALSE())</f>
        <v>CS1</v>
      </c>
      <c r="J74" s="307" t="str">
        <f aca="false">VLOOKUP("CS1",J53:J69,1,FALSE())</f>
        <v>CS1</v>
      </c>
      <c r="K74" s="307" t="str">
        <f aca="false">VLOOKUP("CS1",K53:K69,1,FALSE())</f>
        <v>CS1</v>
      </c>
      <c r="L74" s="307" t="e">
        <f aca="false">VLOOKUP("CS1",L53:L69,1,FALSE())</f>
        <v>#N/A</v>
      </c>
      <c r="M74" s="307" t="e">
        <f aca="false">VLOOKUP("CS1",M53:M69,1,FALSE())</f>
        <v>#N/A</v>
      </c>
      <c r="N74" s="307" t="str">
        <f aca="false">VLOOKUP("CS1",N53:N69,1,FALSE())</f>
        <v>CS1</v>
      </c>
      <c r="O74" s="307" t="str">
        <f aca="false">VLOOKUP("CS1",O53:O69,1,FALSE())</f>
        <v>CS1</v>
      </c>
      <c r="P74" s="307" t="str">
        <f aca="false">VLOOKUP("CS1",P53:P69,1,FALSE())</f>
        <v>CS1</v>
      </c>
      <c r="Q74" s="307" t="str">
        <f aca="false">VLOOKUP("CS1",Q53:Q69,1,FALSE())</f>
        <v>CS1</v>
      </c>
      <c r="R74" s="307" t="str">
        <f aca="false">VLOOKUP("CS1",R53:R69,1,FALSE())</f>
        <v>CS1</v>
      </c>
      <c r="S74" s="307" t="e">
        <f aca="false">VLOOKUP("CS1",S53:S69,1,FALSE())</f>
        <v>#N/A</v>
      </c>
      <c r="T74" s="307" t="e">
        <f aca="false">VLOOKUP("CS1",T53:T69,1,FALSE())</f>
        <v>#N/A</v>
      </c>
      <c r="U74" s="307" t="str">
        <f aca="false">VLOOKUP("CS1",U53:U69,1,FALSE())</f>
        <v>CS1</v>
      </c>
      <c r="V74" s="307" t="str">
        <f aca="false">VLOOKUP("CS1",V53:V69,1,FALSE())</f>
        <v>CS1</v>
      </c>
      <c r="W74" s="307" t="str">
        <f aca="false">VLOOKUP("CS1",W53:W69,1,FALSE())</f>
        <v>CS1</v>
      </c>
      <c r="X74" s="307" t="str">
        <f aca="false">VLOOKUP("CS1",X53:X69,1,FALSE())</f>
        <v>CS1</v>
      </c>
      <c r="Y74" s="307" t="str">
        <f aca="false">VLOOKUP("CS1",Y53:Y69,1,FALSE())</f>
        <v>CS1</v>
      </c>
      <c r="Z74" s="307" t="e">
        <f aca="false">VLOOKUP("CS1",Z53:Z69,1,FALSE())</f>
        <v>#N/A</v>
      </c>
      <c r="AA74" s="307" t="e">
        <f aca="false">VLOOKUP("CS1",AA53:AA69,1,FALSE())</f>
        <v>#N/A</v>
      </c>
      <c r="AB74" s="307" t="str">
        <f aca="false">VLOOKUP("CS1",AB53:AB69,1,FALSE())</f>
        <v>CS1</v>
      </c>
      <c r="AC74" s="307" t="str">
        <f aca="false">VLOOKUP("CS1",AC53:AC69,1,FALSE())</f>
        <v>CS1</v>
      </c>
      <c r="AD74" s="307" t="e">
        <f aca="false">VLOOKUP("CS1",AD53:AD69,1,FALSE())</f>
        <v>#N/A</v>
      </c>
      <c r="AE74" s="307" t="str">
        <f aca="false">VLOOKUP("CS1",AE53:AE69,1,FALSE())</f>
        <v>CS1</v>
      </c>
      <c r="AF74" s="307" t="str">
        <f aca="false">VLOOKUP("CS1",AF53:AF69,1,FALSE())</f>
        <v>CS1</v>
      </c>
      <c r="AG74" s="307" t="e">
        <f aca="false">VLOOKUP("CS1",AG53:AG69,1,FALSE())</f>
        <v>#N/A</v>
      </c>
      <c r="AH74" s="307" t="e">
        <f aca="false">VLOOKUP("CS1",AH53:AH69,1,FALSE())</f>
        <v>#N/A</v>
      </c>
      <c r="AI74" s="272"/>
      <c r="AJ74" s="272"/>
      <c r="AK74" s="272"/>
      <c r="AL74" s="272"/>
      <c r="AM74" s="278"/>
      <c r="AN74" s="278"/>
      <c r="AO74" s="278"/>
      <c r="AP74" s="278"/>
      <c r="AQ74" s="278"/>
      <c r="AR74" s="278"/>
      <c r="AS74" s="278"/>
      <c r="AT74" s="278"/>
      <c r="AU74" s="278"/>
      <c r="AV74" s="278"/>
      <c r="AW74" s="278"/>
      <c r="AX74" s="278"/>
      <c r="AY74" s="278"/>
      <c r="AZ74" s="278"/>
      <c r="BA74" s="278"/>
      <c r="BB74" s="278"/>
      <c r="BC74" s="278"/>
      <c r="BD74" s="278"/>
      <c r="BE74" s="278"/>
      <c r="BF74" s="278"/>
      <c r="BG74" s="278"/>
      <c r="BH74" s="278"/>
      <c r="BI74" s="278"/>
      <c r="BJ74" s="278"/>
      <c r="BK74" s="278"/>
      <c r="BL74" s="278"/>
      <c r="BM74" s="278"/>
      <c r="BN74" s="278"/>
      <c r="BO74" s="278"/>
      <c r="BP74" s="278"/>
      <c r="BQ74" s="278"/>
      <c r="BR74" s="278"/>
    </row>
    <row r="75" customFormat="false" ht="19.5" hidden="false" customHeight="true" outlineLevel="0" collapsed="false">
      <c r="A75" s="272"/>
      <c r="B75" s="309" t="s">
        <v>58</v>
      </c>
      <c r="C75" s="309"/>
      <c r="D75" s="307" t="str">
        <f aca="false">VLOOKUP("SB1",D5:D69,1,FALSE())</f>
        <v>SB1</v>
      </c>
      <c r="E75" s="307" t="str">
        <f aca="false">VLOOKUP("SB1",E5:E69,1,FALSE())</f>
        <v>SB1</v>
      </c>
      <c r="F75" s="307" t="str">
        <f aca="false">VLOOKUP("SB1",F5:F69,1,FALSE())</f>
        <v>SB1</v>
      </c>
      <c r="G75" s="307" t="str">
        <f aca="false">VLOOKUP("SB1",G5:G69,1,FALSE())</f>
        <v>SB1</v>
      </c>
      <c r="H75" s="307" t="str">
        <f aca="false">VLOOKUP("SB1",H5:H69,1,FALSE())</f>
        <v>SB1</v>
      </c>
      <c r="I75" s="307" t="str">
        <f aca="false">VLOOKUP("SB1",I5:I69,1,FALSE())</f>
        <v>SB1</v>
      </c>
      <c r="J75" s="307" t="str">
        <f aca="false">VLOOKUP("SB1",J5:J69,1,FALSE())</f>
        <v>SB1</v>
      </c>
      <c r="K75" s="307" t="str">
        <f aca="false">VLOOKUP("SB1",K5:K69,1,FALSE())</f>
        <v>SB1</v>
      </c>
      <c r="L75" s="307" t="str">
        <f aca="false">VLOOKUP("SB1",L5:L69,1,FALSE())</f>
        <v>SB1</v>
      </c>
      <c r="M75" s="307" t="str">
        <f aca="false">VLOOKUP("SB1",M5:M69,1,FALSE())</f>
        <v>SB1</v>
      </c>
      <c r="N75" s="307" t="str">
        <f aca="false">VLOOKUP("SB1",N5:N69,1,FALSE())</f>
        <v>SB1</v>
      </c>
      <c r="O75" s="307" t="str">
        <f aca="false">VLOOKUP("SB1",O5:O69,1,FALSE())</f>
        <v>SB1</v>
      </c>
      <c r="P75" s="307" t="str">
        <f aca="false">VLOOKUP("SB1",P5:P69,1,FALSE())</f>
        <v>SB1</v>
      </c>
      <c r="Q75" s="307" t="str">
        <f aca="false">VLOOKUP("SB1",Q5:Q69,1,FALSE())</f>
        <v>SB1</v>
      </c>
      <c r="R75" s="307" t="str">
        <f aca="false">VLOOKUP("SB1",R5:R69,1,FALSE())</f>
        <v>SB1</v>
      </c>
      <c r="S75" s="307" t="str">
        <f aca="false">VLOOKUP("SB1",S5:S69,1,FALSE())</f>
        <v>SB1</v>
      </c>
      <c r="T75" s="307" t="str">
        <f aca="false">VLOOKUP("SB1",T5:T69,1,FALSE())</f>
        <v>SB1</v>
      </c>
      <c r="U75" s="307" t="str">
        <f aca="false">VLOOKUP("SB1",U5:U69,1,FALSE())</f>
        <v>SB1</v>
      </c>
      <c r="V75" s="307" t="str">
        <f aca="false">VLOOKUP("SB1",V5:V69,1,FALSE())</f>
        <v>SB1</v>
      </c>
      <c r="W75" s="307" t="str">
        <f aca="false">VLOOKUP("SB1",W5:W69,1,FALSE())</f>
        <v>SB1</v>
      </c>
      <c r="X75" s="307" t="str">
        <f aca="false">VLOOKUP("SB1",X5:X69,1,FALSE())</f>
        <v>SB1</v>
      </c>
      <c r="Y75" s="307" t="str">
        <f aca="false">VLOOKUP("SB1",Y6:Y69,1,FALSE())</f>
        <v>SB1</v>
      </c>
      <c r="Z75" s="307" t="str">
        <f aca="false">VLOOKUP("SB1",Z5:Z69,1,FALSE())</f>
        <v>SB1</v>
      </c>
      <c r="AA75" s="307" t="str">
        <f aca="false">VLOOKUP("SB1",AA5:AA69,1,FALSE())</f>
        <v>SB1</v>
      </c>
      <c r="AB75" s="307" t="str">
        <f aca="false">VLOOKUP("SB1",AB5:AB69,1,FALSE())</f>
        <v>SB1</v>
      </c>
      <c r="AC75" s="307" t="str">
        <f aca="false">VLOOKUP("SB1",AC5:AC69,1,FALSE())</f>
        <v>SB1</v>
      </c>
      <c r="AD75" s="307" t="str">
        <f aca="false">VLOOKUP("SB1",AD5:AD69,1,FALSE())</f>
        <v>SB1</v>
      </c>
      <c r="AE75" s="307" t="str">
        <f aca="false">VLOOKUP("SB1",AE5:AE69,1,FALSE())</f>
        <v>SB1</v>
      </c>
      <c r="AF75" s="307" t="str">
        <f aca="false">VLOOKUP("SB1",AF5:AF69,1,FALSE())</f>
        <v>SB1</v>
      </c>
      <c r="AG75" s="307" t="str">
        <f aca="false">VLOOKUP("SB1",AG5:AG69,1,FALSE())</f>
        <v>SB1</v>
      </c>
      <c r="AH75" s="307" t="str">
        <f aca="false">VLOOKUP("SB1",AH5:AH69,1,FALSE())</f>
        <v>SB1</v>
      </c>
      <c r="AI75" s="272"/>
      <c r="AJ75" s="272"/>
      <c r="AK75" s="272"/>
      <c r="AL75" s="272"/>
      <c r="AM75" s="278"/>
      <c r="AN75" s="278"/>
      <c r="AO75" s="278"/>
      <c r="AP75" s="278"/>
      <c r="AQ75" s="278"/>
      <c r="AR75" s="278"/>
      <c r="AS75" s="278"/>
      <c r="AT75" s="278"/>
      <c r="AU75" s="278"/>
      <c r="AV75" s="278"/>
      <c r="AW75" s="278"/>
      <c r="AX75" s="278"/>
      <c r="AY75" s="278"/>
      <c r="AZ75" s="278"/>
      <c r="BA75" s="278"/>
      <c r="BB75" s="278"/>
      <c r="BC75" s="278"/>
      <c r="BD75" s="278"/>
      <c r="BE75" s="278"/>
      <c r="BF75" s="278"/>
      <c r="BG75" s="278"/>
      <c r="BH75" s="278"/>
      <c r="BI75" s="278"/>
      <c r="BJ75" s="278"/>
      <c r="BK75" s="278"/>
      <c r="BL75" s="278"/>
      <c r="BM75" s="278"/>
      <c r="BN75" s="278"/>
      <c r="BO75" s="278"/>
      <c r="BP75" s="278"/>
      <c r="BQ75" s="278"/>
      <c r="BR75" s="278"/>
    </row>
    <row r="76" customFormat="false" ht="18.75" hidden="false" customHeight="true" outlineLevel="0" collapsed="false">
      <c r="A76" s="272"/>
      <c r="B76" s="310" t="s">
        <v>93</v>
      </c>
      <c r="C76" s="310"/>
      <c r="D76" s="307" t="e">
        <f aca="false">VLOOKUP("SB2",D53:D69,1,FALSE())</f>
        <v>#N/A</v>
      </c>
      <c r="E76" s="307" t="e">
        <f aca="false">VLOOKUP("SB2",E53:E69,1,FALSE())</f>
        <v>#N/A</v>
      </c>
      <c r="F76" s="307" t="str">
        <f aca="false">VLOOKUP("SB2",F53:F69,1,FALSE())</f>
        <v>SB2</v>
      </c>
      <c r="G76" s="307" t="str">
        <f aca="false">VLOOKUP("SB2",G53:G69,1,FALSE())</f>
        <v>SB2</v>
      </c>
      <c r="H76" s="307" t="e">
        <f aca="false">VLOOKUP("SB2",H53:H69,1,FALSE())</f>
        <v>#N/A</v>
      </c>
      <c r="I76" s="307" t="e">
        <f aca="false">VLOOKUP("SB2",I53:I69,1,FALSE())</f>
        <v>#N/A</v>
      </c>
      <c r="J76" s="307" t="str">
        <f aca="false">VLOOKUP("SB2",J53:J69,1,FALSE())</f>
        <v>SB2</v>
      </c>
      <c r="K76" s="307" t="e">
        <f aca="false">VLOOKUP("SB2",K53:K69,1,FALSE())</f>
        <v>#N/A</v>
      </c>
      <c r="L76" s="307" t="e">
        <f aca="false">VLOOKUP("SB2",L53:L69,1,FALSE())</f>
        <v>#N/A</v>
      </c>
      <c r="M76" s="307" t="str">
        <f aca="false">VLOOKUP("SB2",M53:M69,1,FALSE())</f>
        <v>SB2</v>
      </c>
      <c r="N76" s="307" t="str">
        <f aca="false">VLOOKUP("SB2",N53:N69,1,FALSE())</f>
        <v>SB2</v>
      </c>
      <c r="O76" s="307" t="e">
        <f aca="false">VLOOKUP("SB2",O53:O69,1,FALSE())</f>
        <v>#N/A</v>
      </c>
      <c r="P76" s="307" t="e">
        <f aca="false">VLOOKUP("SB2",P53:P69,1,FALSE())</f>
        <v>#N/A</v>
      </c>
      <c r="Q76" s="307" t="str">
        <f aca="false">VLOOKUP("SB2",Q53:Q69,1,FALSE())</f>
        <v>SB2</v>
      </c>
      <c r="R76" s="307" t="e">
        <f aca="false">VLOOKUP("SB2",R53:R69,1,FALSE())</f>
        <v>#N/A</v>
      </c>
      <c r="S76" s="307" t="e">
        <f aca="false">VLOOKUP("SB2",S53:S69,1,FALSE())</f>
        <v>#N/A</v>
      </c>
      <c r="T76" s="307" t="str">
        <f aca="false">VLOOKUP("SB2",T53:T69,1,FALSE())</f>
        <v>SB2</v>
      </c>
      <c r="U76" s="307" t="str">
        <f aca="false">VLOOKUP("SB2",U53:U69,1,FALSE())</f>
        <v>SB2</v>
      </c>
      <c r="V76" s="307" t="e">
        <f aca="false">VLOOKUP("SB2",V53:V69,1,FALSE())</f>
        <v>#N/A</v>
      </c>
      <c r="W76" s="307" t="e">
        <f aca="false">VLOOKUP("SB2",W53:W69,1,FALSE())</f>
        <v>#N/A</v>
      </c>
      <c r="X76" s="307" t="str">
        <f aca="false">VLOOKUP("SB2",X53:X69,1,FALSE())</f>
        <v>SB2</v>
      </c>
      <c r="Y76" s="307" t="e">
        <f aca="false">VLOOKUP("SB2",Y53:Y69,1,FALSE())</f>
        <v>#N/A</v>
      </c>
      <c r="Z76" s="307" t="e">
        <f aca="false">VLOOKUP("SB2",Z53:Z69,1,FALSE())</f>
        <v>#N/A</v>
      </c>
      <c r="AA76" s="307" t="str">
        <f aca="false">VLOOKUP("SB2",AA53:AA69,1,FALSE())</f>
        <v>SB2</v>
      </c>
      <c r="AB76" s="307" t="str">
        <f aca="false">VLOOKUP("SB2",AB53:AB69,1,FALSE())</f>
        <v>SB2</v>
      </c>
      <c r="AC76" s="307" t="e">
        <f aca="false">VLOOKUP("SB2",AC53:AC69,1,FALSE())</f>
        <v>#N/A</v>
      </c>
      <c r="AD76" s="307" t="e">
        <f aca="false">VLOOKUP("SB2",AD53:AD69,1,FALSE())</f>
        <v>#N/A</v>
      </c>
      <c r="AE76" s="307" t="str">
        <f aca="false">VLOOKUP("SB2",AE53:AE69,1,FALSE())</f>
        <v>SB2</v>
      </c>
      <c r="AF76" s="307" t="e">
        <f aca="false">VLOOKUP("SB2",AF53:AF69,1,FALSE())</f>
        <v>#N/A</v>
      </c>
      <c r="AG76" s="307" t="e">
        <f aca="false">VLOOKUP("SB2",AG53:AG69,1,FALSE())</f>
        <v>#N/A</v>
      </c>
      <c r="AH76" s="307" t="e">
        <f aca="false">VLOOKUP("SB2",AH53:AH69,1,FALSE())</f>
        <v>#N/A</v>
      </c>
      <c r="AI76" s="272"/>
      <c r="AJ76" s="272"/>
      <c r="AK76" s="272"/>
      <c r="AL76" s="272"/>
      <c r="AM76" s="278"/>
      <c r="AN76" s="278"/>
      <c r="AO76" s="278"/>
      <c r="AP76" s="278"/>
      <c r="AQ76" s="278"/>
      <c r="AR76" s="278"/>
      <c r="AS76" s="278"/>
      <c r="AT76" s="278"/>
      <c r="AU76" s="278"/>
      <c r="AV76" s="278"/>
      <c r="AW76" s="278"/>
      <c r="AX76" s="278"/>
      <c r="AY76" s="278"/>
      <c r="AZ76" s="278"/>
      <c r="BA76" s="278"/>
      <c r="BB76" s="278"/>
      <c r="BC76" s="278"/>
      <c r="BD76" s="278"/>
      <c r="BE76" s="278"/>
      <c r="BF76" s="278"/>
      <c r="BG76" s="278"/>
      <c r="BH76" s="278"/>
      <c r="BI76" s="278"/>
      <c r="BJ76" s="278"/>
      <c r="BK76" s="278"/>
      <c r="BL76" s="278"/>
      <c r="BM76" s="278"/>
      <c r="BN76" s="278"/>
      <c r="BO76" s="278"/>
      <c r="BP76" s="278"/>
      <c r="BQ76" s="278"/>
      <c r="BR76" s="278"/>
    </row>
    <row r="77" customFormat="false" ht="19.5" hidden="false" customHeight="true" outlineLevel="0" collapsed="false">
      <c r="A77" s="272"/>
      <c r="B77" s="311" t="s">
        <v>65</v>
      </c>
      <c r="C77" s="311"/>
      <c r="D77" s="307" t="e">
        <f aca="false">VLOOKUP("AE",D53:D69,1,FALSE())</f>
        <v>#N/A</v>
      </c>
      <c r="E77" s="307" t="e">
        <f aca="false">VLOOKUP("AE",E53:E69,1,FALSE())</f>
        <v>#N/A</v>
      </c>
      <c r="F77" s="307" t="e">
        <f aca="false">VLOOKUP("AE",F53:F69,1,FALSE())</f>
        <v>#N/A</v>
      </c>
      <c r="G77" s="307" t="str">
        <f aca="false">VLOOKUP("AE",G53:G69,1,FALSE())</f>
        <v>AE</v>
      </c>
      <c r="H77" s="307" t="str">
        <f aca="false">VLOOKUP("AE",H53:H69,1,FALSE())</f>
        <v>AE</v>
      </c>
      <c r="I77" s="307" t="str">
        <f aca="false">VLOOKUP("AE",I53:I69,1,FALSE())</f>
        <v>AE</v>
      </c>
      <c r="J77" s="307" t="str">
        <f aca="false">VLOOKUP("AE",J53:J69,1,FALSE())</f>
        <v>AE</v>
      </c>
      <c r="K77" s="307" t="str">
        <f aca="false">VLOOKUP("AE",K53:K69,1,FALSE())</f>
        <v>AE</v>
      </c>
      <c r="L77" s="307" t="e">
        <f aca="false">VLOOKUP("AE",L53:L69,1,FALSE())</f>
        <v>#N/A</v>
      </c>
      <c r="M77" s="307" t="e">
        <f aca="false">VLOOKUP("AE",M53:M69,1,FALSE())</f>
        <v>#N/A</v>
      </c>
      <c r="N77" s="307" t="str">
        <f aca="false">VLOOKUP("AE",N53:N69,1,FALSE())</f>
        <v>AE</v>
      </c>
      <c r="O77" s="307" t="str">
        <f aca="false">VLOOKUP("AE",O53:O69,1,FALSE())</f>
        <v>AE</v>
      </c>
      <c r="P77" s="307" t="str">
        <f aca="false">VLOOKUP("AE",P53:P69,1,FALSE())</f>
        <v>AE</v>
      </c>
      <c r="Q77" s="307" t="str">
        <f aca="false">VLOOKUP("AE",Q53:Q69,1,FALSE())</f>
        <v>AE</v>
      </c>
      <c r="R77" s="307" t="str">
        <f aca="false">VLOOKUP("AE",R53:R69,1,FALSE())</f>
        <v>AE</v>
      </c>
      <c r="S77" s="307" t="e">
        <f aca="false">VLOOKUP("AE",S53:S69,1,FALSE())</f>
        <v>#N/A</v>
      </c>
      <c r="T77" s="307" t="e">
        <f aca="false">VLOOKUP("AE",T53:T69,1,FALSE())</f>
        <v>#N/A</v>
      </c>
      <c r="U77" s="307" t="str">
        <f aca="false">VLOOKUP("AE",U53:U69,1,FALSE())</f>
        <v>AE</v>
      </c>
      <c r="V77" s="307" t="str">
        <f aca="false">VLOOKUP("AE",V53:V69,1,FALSE())</f>
        <v>AE</v>
      </c>
      <c r="W77" s="307" t="str">
        <f aca="false">VLOOKUP("AE",W53:W69,1,FALSE())</f>
        <v>AE</v>
      </c>
      <c r="X77" s="307" t="str">
        <f aca="false">VLOOKUP("AE",X53:X69,1,FALSE())</f>
        <v>AE</v>
      </c>
      <c r="Y77" s="307" t="str">
        <f aca="false">VLOOKUP("AE",Y53:Y69,1,FALSE())</f>
        <v>AE</v>
      </c>
      <c r="Z77" s="307" t="e">
        <f aca="false">VLOOKUP("AE",Z53:Z69,1,FALSE())</f>
        <v>#N/A</v>
      </c>
      <c r="AA77" s="307" t="e">
        <f aca="false">VLOOKUP("AE",AA53:AA69,1,FALSE())</f>
        <v>#N/A</v>
      </c>
      <c r="AB77" s="307" t="str">
        <f aca="false">VLOOKUP("AE",AB53:AB69,1,FALSE())</f>
        <v>AE</v>
      </c>
      <c r="AC77" s="307" t="str">
        <f aca="false">VLOOKUP("AE",AC53:AC69,1,FALSE())</f>
        <v>AE</v>
      </c>
      <c r="AD77" s="307" t="e">
        <f aca="false">VLOOKUP("AE",AD53:AD69,1,FALSE())</f>
        <v>#N/A</v>
      </c>
      <c r="AE77" s="307" t="str">
        <f aca="false">VLOOKUP("AE",AE53:AE69,1,FALSE())</f>
        <v>AE</v>
      </c>
      <c r="AF77" s="307" t="str">
        <f aca="false">VLOOKUP("AE",AF53:AF69,1,FALSE())</f>
        <v>AE</v>
      </c>
      <c r="AG77" s="307" t="e">
        <f aca="false">VLOOKUP("AE",AG53:AG69,1,FALSE())</f>
        <v>#N/A</v>
      </c>
      <c r="AH77" s="307" t="e">
        <f aca="false">VLOOKUP("AE",AH53:AH69,1,FALSE())</f>
        <v>#N/A</v>
      </c>
      <c r="AI77" s="272"/>
      <c r="AJ77" s="272"/>
      <c r="AK77" s="272"/>
      <c r="AL77" s="272"/>
      <c r="AM77" s="278"/>
      <c r="AN77" s="278"/>
      <c r="AO77" s="278"/>
      <c r="AP77" s="278"/>
      <c r="AQ77" s="278"/>
      <c r="AR77" s="278"/>
      <c r="AS77" s="278"/>
      <c r="AT77" s="278"/>
      <c r="AU77" s="278"/>
      <c r="AV77" s="278"/>
      <c r="AW77" s="278"/>
      <c r="AX77" s="278"/>
      <c r="AY77" s="278"/>
      <c r="AZ77" s="278"/>
      <c r="BA77" s="278"/>
      <c r="BB77" s="278"/>
      <c r="BC77" s="278"/>
      <c r="BD77" s="278"/>
      <c r="BE77" s="278"/>
      <c r="BF77" s="278"/>
      <c r="BG77" s="278"/>
      <c r="BH77" s="278"/>
      <c r="BI77" s="278"/>
      <c r="BJ77" s="278"/>
      <c r="BK77" s="278"/>
      <c r="BL77" s="278"/>
      <c r="BM77" s="278"/>
      <c r="BN77" s="278"/>
      <c r="BO77" s="278"/>
      <c r="BP77" s="278"/>
      <c r="BQ77" s="278"/>
      <c r="BR77" s="278"/>
    </row>
    <row r="78" customFormat="false" ht="19.5" hidden="false" customHeight="true" outlineLevel="0" collapsed="false">
      <c r="A78" s="272"/>
      <c r="B78" s="266" t="s">
        <v>350</v>
      </c>
      <c r="C78" s="266"/>
      <c r="D78" s="266" t="e">
        <f aca="false">VLOOKUP("RESERVE",D53:D69,1,FALSE())</f>
        <v>#N/A</v>
      </c>
      <c r="E78" s="266" t="e">
        <f aca="false">VLOOKUP("RESERVE",E53:E69,1,FALSE())</f>
        <v>#N/A</v>
      </c>
      <c r="F78" s="266" t="e">
        <f aca="false">VLOOKUP("RESERVE",F53:F69,1,FALSE())</f>
        <v>#N/A</v>
      </c>
      <c r="G78" s="266" t="e">
        <f aca="false">VLOOKUP("RESERVE",G53:G69,1,FALSE())</f>
        <v>#N/A</v>
      </c>
      <c r="H78" s="266" t="e">
        <f aca="false">VLOOKUP("RESERVE",H53:H69,1,FALSE())</f>
        <v>#N/A</v>
      </c>
      <c r="I78" s="266" t="e">
        <f aca="false">VLOOKUP("RESERVE",I53:I69,1,FALSE())</f>
        <v>#N/A</v>
      </c>
      <c r="J78" s="266" t="e">
        <f aca="false">VLOOKUP("RESERVE",J53:J69,1,FALSE())</f>
        <v>#N/A</v>
      </c>
      <c r="K78" s="266" t="e">
        <f aca="false">VLOOKUP("RESERVE",K53:K69,1,FALSE())</f>
        <v>#N/A</v>
      </c>
      <c r="L78" s="266" t="e">
        <f aca="false">VLOOKUP("RESERVE",L53:L69,1,FALSE())</f>
        <v>#N/A</v>
      </c>
      <c r="M78" s="266" t="e">
        <f aca="false">VLOOKUP("RESERVE",M53:M69,1,FALSE())</f>
        <v>#N/A</v>
      </c>
      <c r="N78" s="266" t="str">
        <f aca="false">VLOOKUP("RESERVE",N53:N69,1,FALSE())</f>
        <v>RESERVE</v>
      </c>
      <c r="O78" s="266" t="e">
        <f aca="false">VLOOKUP("RESERVE",O53:O69,1,FALSE())</f>
        <v>#N/A</v>
      </c>
      <c r="P78" s="266" t="str">
        <f aca="false">VLOOKUP("RESERVE",P53:P69,1,FALSE())</f>
        <v>RESERVE</v>
      </c>
      <c r="Q78" s="266" t="str">
        <f aca="false">VLOOKUP("RESERVE",Q53:Q69,1,FALSE())</f>
        <v>RESERVE</v>
      </c>
      <c r="R78" s="266" t="e">
        <f aca="false">VLOOKUP("RESERVE",R53:R69,1,FALSE())</f>
        <v>#N/A</v>
      </c>
      <c r="S78" s="266" t="e">
        <f aca="false">VLOOKUP("RESERVE",S53:S69,1,FALSE())</f>
        <v>#N/A</v>
      </c>
      <c r="T78" s="266" t="e">
        <f aca="false">VLOOKUP("RESERVE",T53:T69,1,FALSE())</f>
        <v>#N/A</v>
      </c>
      <c r="U78" s="266" t="e">
        <f aca="false">VLOOKUP("RESERVE",U53:U69,1,FALSE())</f>
        <v>#N/A</v>
      </c>
      <c r="V78" s="266" t="e">
        <f aca="false">VLOOKUP("RESERVE",V53:V69,1,FALSE())</f>
        <v>#N/A</v>
      </c>
      <c r="W78" s="266" t="e">
        <f aca="false">VLOOKUP("RESERVE",W53:W69,1,FALSE())</f>
        <v>#N/A</v>
      </c>
      <c r="X78" s="266" t="e">
        <f aca="false">VLOOKUP("RESERVE",X53:X69,1,FALSE())</f>
        <v>#N/A</v>
      </c>
      <c r="Y78" s="266" t="e">
        <f aca="false">VLOOKUP("RESERVE",Y53:Y69,1,FALSE())</f>
        <v>#N/A</v>
      </c>
      <c r="Z78" s="266" t="e">
        <f aca="false">VLOOKUP("RESERVE",Z53:Z69,1,FALSE())</f>
        <v>#N/A</v>
      </c>
      <c r="AA78" s="266" t="e">
        <f aca="false">VLOOKUP("RESERVE",AA53:AA69,1,FALSE())</f>
        <v>#N/A</v>
      </c>
      <c r="AB78" s="266" t="e">
        <f aca="false">VLOOKUP("RESERVE",AB53:AB69,1,FALSE())</f>
        <v>#N/A</v>
      </c>
      <c r="AC78" s="266" t="e">
        <f aca="false">VLOOKUP("RESERVE",AC53:AC69,1,FALSE())</f>
        <v>#N/A</v>
      </c>
      <c r="AD78" s="266" t="e">
        <f aca="false">VLOOKUP("RESERVE",AD53:AD69,1,FALSE())</f>
        <v>#N/A</v>
      </c>
      <c r="AE78" s="266" t="e">
        <f aca="false">VLOOKUP("RESERVE",AE53:AE69,1,FALSE())</f>
        <v>#N/A</v>
      </c>
      <c r="AF78" s="266" t="e">
        <f aca="false">VLOOKUP("RESERVE",AF53:AF69,1,FALSE())</f>
        <v>#N/A</v>
      </c>
      <c r="AG78" s="266" t="e">
        <f aca="false">VLOOKUP("RESERVE",AG53:AG69,1,FALSE())</f>
        <v>#N/A</v>
      </c>
      <c r="AH78" s="266" t="e">
        <f aca="false">VLOOKUP("RESERVE",AH53:AH69,1,FALSE())</f>
        <v>#N/A</v>
      </c>
      <c r="AI78" s="272"/>
      <c r="AJ78" s="272"/>
      <c r="AK78" s="272"/>
      <c r="AL78" s="272"/>
      <c r="AM78" s="278"/>
      <c r="AN78" s="278"/>
      <c r="AO78" s="278"/>
      <c r="AP78" s="278"/>
      <c r="AQ78" s="278"/>
      <c r="AR78" s="278"/>
      <c r="AS78" s="278"/>
      <c r="AT78" s="278"/>
      <c r="AU78" s="278"/>
      <c r="AV78" s="278"/>
      <c r="AW78" s="278"/>
      <c r="AX78" s="278"/>
      <c r="AY78" s="278"/>
      <c r="AZ78" s="278"/>
      <c r="BA78" s="278"/>
      <c r="BB78" s="278"/>
      <c r="BC78" s="278"/>
      <c r="BD78" s="278"/>
      <c r="BE78" s="278"/>
      <c r="BF78" s="278"/>
      <c r="BG78" s="278"/>
      <c r="BH78" s="278"/>
      <c r="BI78" s="278"/>
      <c r="BJ78" s="278"/>
      <c r="BK78" s="278"/>
      <c r="BL78" s="278"/>
      <c r="BM78" s="278"/>
      <c r="BN78" s="278"/>
      <c r="BO78" s="278"/>
      <c r="BP78" s="278"/>
      <c r="BQ78" s="278"/>
      <c r="BR78" s="278"/>
    </row>
    <row r="79" customFormat="false" ht="19.5" hidden="false" customHeight="true" outlineLevel="0" collapsed="false">
      <c r="A79" s="272"/>
      <c r="B79" s="266" t="s">
        <v>755</v>
      </c>
      <c r="C79" s="266"/>
      <c r="D79" s="266" t="n">
        <f aca="false">COUNTIF(D53:D69,"DM")</f>
        <v>0</v>
      </c>
      <c r="E79" s="266" t="n">
        <f aca="false">COUNTIF(E53:E69,"DM")</f>
        <v>0</v>
      </c>
      <c r="F79" s="266" t="n">
        <f aca="false">COUNTIF(F53:F69,"DM")</f>
        <v>0</v>
      </c>
      <c r="G79" s="266" t="n">
        <f aca="false">COUNTIF(G53:G69,"DM")</f>
        <v>1</v>
      </c>
      <c r="H79" s="266" t="n">
        <f aca="false">COUNTIF(H53:H69,"DM")</f>
        <v>1</v>
      </c>
      <c r="I79" s="266" t="n">
        <f aca="false">COUNTIF(I53:I69,"DM")</f>
        <v>1</v>
      </c>
      <c r="J79" s="266" t="n">
        <f aca="false">COUNTIF(J53:J69,"DM")</f>
        <v>1</v>
      </c>
      <c r="K79" s="266" t="n">
        <f aca="false">COUNTIF(K53:K69,"DM")</f>
        <v>1</v>
      </c>
      <c r="L79" s="266" t="n">
        <f aca="false">COUNTIF(L53:L69,"DM")</f>
        <v>0</v>
      </c>
      <c r="M79" s="266" t="n">
        <f aca="false">COUNTIF(M53:M69,"DM")</f>
        <v>0</v>
      </c>
      <c r="N79" s="266" t="n">
        <f aca="false">COUNTIF(N53:N69,"DM")</f>
        <v>1</v>
      </c>
      <c r="O79" s="266" t="n">
        <f aca="false">COUNTIF(O53:O69,"DM")</f>
        <v>1</v>
      </c>
      <c r="P79" s="266" t="n">
        <f aca="false">COUNTIF(P53:P69,"DM")</f>
        <v>1</v>
      </c>
      <c r="Q79" s="266" t="n">
        <f aca="false">COUNTIF(Q53:Q69,"DM")</f>
        <v>1</v>
      </c>
      <c r="R79" s="266" t="n">
        <f aca="false">COUNTIF(R53:R69,"DM")</f>
        <v>1</v>
      </c>
      <c r="S79" s="266" t="n">
        <f aca="false">COUNTIF(S53:S69,"DM")</f>
        <v>0</v>
      </c>
      <c r="T79" s="266" t="n">
        <f aca="false">COUNTIF(T53:T69,"DM")</f>
        <v>0</v>
      </c>
      <c r="U79" s="266" t="n">
        <f aca="false">COUNTIF(U53:U69,"DM")</f>
        <v>1</v>
      </c>
      <c r="V79" s="266" t="n">
        <f aca="false">COUNTIF(V53:V69,"DM")</f>
        <v>0</v>
      </c>
      <c r="W79" s="266" t="n">
        <f aca="false">COUNTIF(W53:W69,"DM")</f>
        <v>1</v>
      </c>
      <c r="X79" s="266" t="n">
        <f aca="false">COUNTIF(X53:X69,"DM")</f>
        <v>1</v>
      </c>
      <c r="Y79" s="266" t="n">
        <f aca="false">COUNTIF(Y53:Y69,"DM")</f>
        <v>1</v>
      </c>
      <c r="Z79" s="266" t="n">
        <f aca="false">COUNTIF(Z53:Z69,"DM")</f>
        <v>0</v>
      </c>
      <c r="AA79" s="266" t="n">
        <f aca="false">COUNTIF(AA53:AA69,"DM")</f>
        <v>0</v>
      </c>
      <c r="AB79" s="266" t="n">
        <f aca="false">COUNTIF(AB53:AB69,"DM")</f>
        <v>1</v>
      </c>
      <c r="AC79" s="266" t="n">
        <f aca="false">COUNTIF(AC53:AC69,"DM")</f>
        <v>1</v>
      </c>
      <c r="AD79" s="266" t="n">
        <f aca="false">COUNTIF(AD53:AD69,"DM")</f>
        <v>0</v>
      </c>
      <c r="AE79" s="266" t="n">
        <f aca="false">COUNTIF(AE53:AE69,"DM")</f>
        <v>1</v>
      </c>
      <c r="AF79" s="266" t="n">
        <f aca="false">COUNTIF(AF53:AF69,"DM")</f>
        <v>1</v>
      </c>
      <c r="AG79" s="266" t="n">
        <f aca="false">COUNTIF(AG53:AG69,"DM")</f>
        <v>0</v>
      </c>
      <c r="AH79" s="266" t="n">
        <f aca="false">COUNTIF(AH53:AH69,"DM")</f>
        <v>0</v>
      </c>
      <c r="AI79" s="272"/>
      <c r="AJ79" s="272"/>
      <c r="AK79" s="272"/>
      <c r="AL79" s="272"/>
      <c r="AM79" s="278"/>
      <c r="AN79" s="278"/>
      <c r="AO79" s="278"/>
      <c r="AP79" s="278"/>
      <c r="AQ79" s="278"/>
      <c r="AR79" s="278"/>
      <c r="AS79" s="278"/>
      <c r="AT79" s="278"/>
      <c r="AU79" s="278"/>
      <c r="AV79" s="278"/>
      <c r="AW79" s="278"/>
      <c r="AX79" s="278"/>
      <c r="AY79" s="278"/>
      <c r="AZ79" s="278"/>
      <c r="BA79" s="278"/>
      <c r="BB79" s="278"/>
      <c r="BC79" s="278"/>
      <c r="BD79" s="278"/>
      <c r="BE79" s="278"/>
      <c r="BF79" s="278"/>
      <c r="BG79" s="278"/>
      <c r="BH79" s="278"/>
      <c r="BI79" s="278"/>
      <c r="BJ79" s="278"/>
      <c r="BK79" s="278"/>
      <c r="BL79" s="278"/>
      <c r="BM79" s="278"/>
      <c r="BN79" s="278"/>
      <c r="BO79" s="278"/>
      <c r="BP79" s="278"/>
      <c r="BQ79" s="278"/>
      <c r="BR79" s="278"/>
    </row>
    <row r="80" customFormat="false" ht="19.5" hidden="false" customHeight="true" outlineLevel="0" collapsed="false">
      <c r="A80" s="312"/>
      <c r="B80" s="266" t="s">
        <v>861</v>
      </c>
      <c r="C80" s="266"/>
      <c r="D80" s="266" t="n">
        <f aca="false">COUNTIF(D53:D69,"SB1")+COUNTIF(D53:D69,"SB2")</f>
        <v>1</v>
      </c>
      <c r="E80" s="266" t="n">
        <f aca="false">COUNTIF(E53:E69,"SB1")+COUNTIF(E53:E69,"SB2")</f>
        <v>1</v>
      </c>
      <c r="F80" s="266" t="n">
        <f aca="false">COUNTIF(F53:F69,"SB1")+COUNTIF(F53:F69,"SB2")</f>
        <v>2</v>
      </c>
      <c r="G80" s="266" t="n">
        <f aca="false">COUNTIF(G53:G69,"SB1")+COUNTIF(G53:G69,"SB2")</f>
        <v>2</v>
      </c>
      <c r="H80" s="266" t="n">
        <f aca="false">COUNTIF(H53:H69,"SB1")+COUNTIF(H53:H69,"SB2")</f>
        <v>1</v>
      </c>
      <c r="I80" s="266" t="n">
        <f aca="false">COUNTIF(I53:I69,"SB1")+COUNTIF(I53:I69,"SB2")</f>
        <v>1</v>
      </c>
      <c r="J80" s="266" t="n">
        <f aca="false">COUNTIF(J53:J69,"SB1")+COUNTIF(J53:J69,"SB2")</f>
        <v>2</v>
      </c>
      <c r="K80" s="266" t="n">
        <f aca="false">COUNTIF(K53:K69,"SB1")+COUNTIF(K53:K69,"SB2")</f>
        <v>1</v>
      </c>
      <c r="L80" s="266" t="n">
        <f aca="false">COUNTIF(L53:L69,"SB1")+COUNTIF(L53:L69,"SB2")</f>
        <v>1</v>
      </c>
      <c r="M80" s="266" t="n">
        <f aca="false">COUNTIF(M53:M69,"SB1")+COUNTIF(M53:M69,"SB2")</f>
        <v>2</v>
      </c>
      <c r="N80" s="266" t="n">
        <f aca="false">COUNTIF(N53:N69,"SB1")+COUNTIF(N53:N69,"SB2")</f>
        <v>2</v>
      </c>
      <c r="O80" s="266" t="n">
        <f aca="false">COUNTIF(O53:O69,"SB1")+COUNTIF(O53:O69,"SB2")</f>
        <v>1</v>
      </c>
      <c r="P80" s="266" t="n">
        <f aca="false">COUNTIF(P53:P69,"SB1")+COUNTIF(P53:P69,"SB2")</f>
        <v>1</v>
      </c>
      <c r="Q80" s="266" t="n">
        <f aca="false">COUNTIF(Q53:Q69,"SB1")+COUNTIF(Q53:Q69,"SB2")</f>
        <v>2</v>
      </c>
      <c r="R80" s="266" t="n">
        <f aca="false">COUNTIF(R53:R69,"SB1")+COUNTIF(R53:R69,"SB2")</f>
        <v>1</v>
      </c>
      <c r="S80" s="266" t="n">
        <f aca="false">COUNTIF(S53:S69,"SB1")+COUNTIF(S53:S69,"SB2")</f>
        <v>1</v>
      </c>
      <c r="T80" s="266" t="n">
        <f aca="false">COUNTIF(T53:T69,"SB1")+COUNTIF(T53:T69,"SB2")</f>
        <v>2</v>
      </c>
      <c r="U80" s="266" t="n">
        <f aca="false">COUNTIF(U53:U69,"SB1")+COUNTIF(U53:U69,"SB2")</f>
        <v>2</v>
      </c>
      <c r="V80" s="266" t="n">
        <f aca="false">COUNTIF(V53:V69,"SB1")+COUNTIF(V53:V69,"SB2")</f>
        <v>1</v>
      </c>
      <c r="W80" s="266" t="n">
        <f aca="false">COUNTIF(W53:W69,"SB1")+COUNTIF(W53:W69,"SB2")</f>
        <v>1</v>
      </c>
      <c r="X80" s="266" t="n">
        <f aca="false">COUNTIF(X53:X69,"SB1")+COUNTIF(X53:X69,"SB2")</f>
        <v>2</v>
      </c>
      <c r="Y80" s="266" t="n">
        <f aca="false">COUNTIF(Y53:Y69,"SB1")+COUNTIF(Y53:Y69,"SB2")</f>
        <v>1</v>
      </c>
      <c r="Z80" s="266" t="n">
        <f aca="false">COUNTIF(Z53:Z69,"SB1")+COUNTIF(Z53:Z69,"SB2")</f>
        <v>1</v>
      </c>
      <c r="AA80" s="266" t="n">
        <f aca="false">COUNTIF(AA53:AA69,"SB1")+COUNTIF(AA53:AA69,"SB2")</f>
        <v>2</v>
      </c>
      <c r="AB80" s="266" t="n">
        <f aca="false">COUNTIF(AB53:AB69,"SB1")+COUNTIF(AB53:AB69,"SB2")</f>
        <v>2</v>
      </c>
      <c r="AC80" s="266" t="n">
        <f aca="false">COUNTIF(AC53:AC69,"SB1")+COUNTIF(AC53:AC69,"SB2")</f>
        <v>1</v>
      </c>
      <c r="AD80" s="266" t="n">
        <f aca="false">COUNTIF(AD53:AD69,"SB1")+COUNTIF(AD53:AD69,"SB2")</f>
        <v>1</v>
      </c>
      <c r="AE80" s="266" t="n">
        <f aca="false">COUNTIF(AE53:AE69,"SB1")+COUNTIF(AE53:AE69,"SB2")</f>
        <v>2</v>
      </c>
      <c r="AF80" s="266" t="n">
        <f aca="false">COUNTIF(AF53:AF69,"SB1")+COUNTIF(AF53:AF69,"SB2")</f>
        <v>1</v>
      </c>
      <c r="AG80" s="266" t="n">
        <f aca="false">COUNTIF(AG53:AG69,"SB1")+COUNTIF(AG53:AG69,"SB2")</f>
        <v>1</v>
      </c>
      <c r="AH80" s="266" t="n">
        <f aca="false">COUNTIF(AH53:AH69,"SB1")+COUNTIF(AH53:AH69,"SB2")</f>
        <v>1</v>
      </c>
      <c r="AI80" s="312"/>
      <c r="AJ80" s="312"/>
      <c r="AK80" s="312"/>
      <c r="AL80" s="312"/>
      <c r="AM80" s="313"/>
      <c r="AN80" s="313"/>
      <c r="AO80" s="313"/>
      <c r="AP80" s="313"/>
      <c r="AQ80" s="313"/>
      <c r="AR80" s="313"/>
      <c r="AS80" s="313"/>
      <c r="AT80" s="313"/>
      <c r="AU80" s="313"/>
      <c r="AV80" s="313"/>
      <c r="AW80" s="313"/>
      <c r="AX80" s="313"/>
      <c r="AY80" s="313"/>
      <c r="AZ80" s="313"/>
      <c r="BA80" s="313"/>
      <c r="BB80" s="313"/>
      <c r="BC80" s="313"/>
      <c r="BD80" s="313"/>
      <c r="BE80" s="313"/>
      <c r="BF80" s="313"/>
      <c r="BG80" s="313"/>
      <c r="BH80" s="313"/>
      <c r="BI80" s="313"/>
      <c r="BJ80" s="313"/>
      <c r="BK80" s="313"/>
      <c r="BL80" s="313"/>
      <c r="BM80" s="313"/>
      <c r="BN80" s="313"/>
      <c r="BO80" s="313"/>
      <c r="BP80" s="313"/>
      <c r="BQ80" s="313"/>
      <c r="BR80" s="313"/>
    </row>
    <row r="81" customFormat="false" ht="19.5" hidden="false" customHeight="true" outlineLevel="0" collapsed="false">
      <c r="A81" s="312"/>
      <c r="B81" s="266" t="s">
        <v>862</v>
      </c>
      <c r="C81" s="266"/>
      <c r="D81" s="266" t="n">
        <f aca="false">COUNTIF(D53:D69,"CS1")</f>
        <v>0</v>
      </c>
      <c r="E81" s="266" t="n">
        <f aca="false">COUNTIF(E53:E69,"CS1")</f>
        <v>0</v>
      </c>
      <c r="F81" s="266" t="n">
        <f aca="false">COUNTIF(F53:F69,"CS1")</f>
        <v>0</v>
      </c>
      <c r="G81" s="266" t="n">
        <f aca="false">COUNTIF(G53:G69,"CS1")</f>
        <v>1</v>
      </c>
      <c r="H81" s="266" t="n">
        <f aca="false">COUNTIF(H53:H69,"CS1")</f>
        <v>1</v>
      </c>
      <c r="I81" s="266" t="n">
        <f aca="false">COUNTIF(I53:I69,"CS1")</f>
        <v>1</v>
      </c>
      <c r="J81" s="266" t="n">
        <f aca="false">COUNTIF(J53:J69,"CS1")</f>
        <v>1</v>
      </c>
      <c r="K81" s="266" t="n">
        <f aca="false">COUNTIF(K53:K69,"CS1")</f>
        <v>1</v>
      </c>
      <c r="L81" s="266" t="n">
        <f aca="false">COUNTIF(L53:L69,"CS1")</f>
        <v>0</v>
      </c>
      <c r="M81" s="266" t="n">
        <f aca="false">COUNTIF(M53:M69,"CS1")</f>
        <v>0</v>
      </c>
      <c r="N81" s="266" t="n">
        <f aca="false">COUNTIF(N53:N69,"CS1")</f>
        <v>1</v>
      </c>
      <c r="O81" s="266" t="n">
        <f aca="false">COUNTIF(O53:O69,"CS1")</f>
        <v>1</v>
      </c>
      <c r="P81" s="266" t="n">
        <f aca="false">COUNTIF(P53:P69,"CS1")</f>
        <v>1</v>
      </c>
      <c r="Q81" s="266" t="n">
        <f aca="false">COUNTIF(Q53:Q69,"CS1")</f>
        <v>1</v>
      </c>
      <c r="R81" s="266" t="n">
        <f aca="false">COUNTIF(R53:R69,"CS1")</f>
        <v>1</v>
      </c>
      <c r="S81" s="266" t="n">
        <f aca="false">COUNTIF(S53:S69,"CS1")</f>
        <v>0</v>
      </c>
      <c r="T81" s="266" t="n">
        <f aca="false">COUNTIF(T53:T69,"CS1")</f>
        <v>0</v>
      </c>
      <c r="U81" s="266" t="n">
        <f aca="false">COUNTIF(U53:U69,"CS1")</f>
        <v>1</v>
      </c>
      <c r="V81" s="266" t="n">
        <f aca="false">COUNTIF(V53:V69,"CS1")</f>
        <v>1</v>
      </c>
      <c r="W81" s="266" t="n">
        <f aca="false">COUNTIF(W53:W69,"CS1")</f>
        <v>1</v>
      </c>
      <c r="X81" s="266" t="n">
        <f aca="false">COUNTIF(X53:X69,"CS1")</f>
        <v>1</v>
      </c>
      <c r="Y81" s="266" t="n">
        <f aca="false">COUNTIF(Y53:Y69,"CS1")</f>
        <v>1</v>
      </c>
      <c r="Z81" s="266" t="n">
        <f aca="false">COUNTIF(Z53:Z69,"CS1")</f>
        <v>0</v>
      </c>
      <c r="AA81" s="266" t="n">
        <f aca="false">COUNTIF(AA53:AA69,"CS1")</f>
        <v>0</v>
      </c>
      <c r="AB81" s="266" t="n">
        <f aca="false">COUNTIF(AB53:AB69,"CS1")</f>
        <v>1</v>
      </c>
      <c r="AC81" s="266" t="n">
        <f aca="false">COUNTIF(AC53:AC69,"CS1")</f>
        <v>1</v>
      </c>
      <c r="AD81" s="266" t="n">
        <f aca="false">COUNTIF(AD53:AD69,"CS1")</f>
        <v>0</v>
      </c>
      <c r="AE81" s="266" t="n">
        <f aca="false">COUNTIF(AE53:AE69,"CS1")</f>
        <v>1</v>
      </c>
      <c r="AF81" s="266" t="n">
        <f aca="false">COUNTIF(AF53:AF69,"CS1")</f>
        <v>1</v>
      </c>
      <c r="AG81" s="266" t="n">
        <f aca="false">COUNTIF(AG53:AG69,"CS1")</f>
        <v>0</v>
      </c>
      <c r="AH81" s="266" t="n">
        <f aca="false">COUNTIF(AH53:AH69,"CS1")</f>
        <v>0</v>
      </c>
      <c r="AI81" s="312"/>
      <c r="AJ81" s="312"/>
      <c r="AK81" s="312"/>
      <c r="AL81" s="312"/>
      <c r="AM81" s="313"/>
      <c r="AN81" s="313"/>
      <c r="AO81" s="313"/>
      <c r="AP81" s="313"/>
      <c r="AQ81" s="313"/>
      <c r="AR81" s="313"/>
      <c r="AS81" s="313"/>
      <c r="AT81" s="313"/>
      <c r="AU81" s="313"/>
      <c r="AV81" s="313"/>
      <c r="AW81" s="313"/>
      <c r="AX81" s="313"/>
      <c r="AY81" s="313"/>
      <c r="AZ81" s="313"/>
      <c r="BA81" s="313"/>
      <c r="BB81" s="313"/>
      <c r="BC81" s="313"/>
      <c r="BD81" s="313"/>
      <c r="BE81" s="313"/>
      <c r="BF81" s="313"/>
      <c r="BG81" s="313"/>
      <c r="BH81" s="313"/>
      <c r="BI81" s="313"/>
      <c r="BJ81" s="313"/>
      <c r="BK81" s="313"/>
      <c r="BL81" s="313"/>
      <c r="BM81" s="313"/>
      <c r="BN81" s="313"/>
      <c r="BO81" s="313"/>
      <c r="BP81" s="313"/>
      <c r="BQ81" s="313"/>
      <c r="BR81" s="313"/>
    </row>
    <row r="82" customFormat="false" ht="19.5" hidden="false" customHeight="true" outlineLevel="0" collapsed="false">
      <c r="A82" s="312"/>
      <c r="B82" s="266" t="s">
        <v>863</v>
      </c>
      <c r="C82" s="266"/>
      <c r="D82" s="266" t="n">
        <f aca="false">COUNTIF(D53:D69,"AE")</f>
        <v>0</v>
      </c>
      <c r="E82" s="266" t="n">
        <f aca="false">COUNTIF(E53:E69,"AE")</f>
        <v>0</v>
      </c>
      <c r="F82" s="266" t="n">
        <f aca="false">COUNTIF(F53:F69,"AE")</f>
        <v>0</v>
      </c>
      <c r="G82" s="266" t="n">
        <f aca="false">COUNTIF(G53:G69,"AE")</f>
        <v>1</v>
      </c>
      <c r="H82" s="266" t="n">
        <f aca="false">COUNTIF(H53:H69,"AE")</f>
        <v>1</v>
      </c>
      <c r="I82" s="266" t="n">
        <f aca="false">COUNTIF(I53:I69,"AE")</f>
        <v>1</v>
      </c>
      <c r="J82" s="266" t="n">
        <f aca="false">COUNTIF(J53:J69,"AE")</f>
        <v>1</v>
      </c>
      <c r="K82" s="266" t="n">
        <f aca="false">COUNTIF(K53:K69,"AE")</f>
        <v>1</v>
      </c>
      <c r="L82" s="266" t="n">
        <f aca="false">COUNTIF(L53:L69,"AE")</f>
        <v>0</v>
      </c>
      <c r="M82" s="266" t="n">
        <f aca="false">COUNTIF(M53:M69,"AE")</f>
        <v>0</v>
      </c>
      <c r="N82" s="266" t="n">
        <f aca="false">COUNTIF(N53:N69,"AE")</f>
        <v>1</v>
      </c>
      <c r="O82" s="266" t="n">
        <f aca="false">COUNTIF(O53:O69,"AE")</f>
        <v>1</v>
      </c>
      <c r="P82" s="266" t="n">
        <f aca="false">COUNTIF(P53:P69,"AE")</f>
        <v>1</v>
      </c>
      <c r="Q82" s="266" t="n">
        <f aca="false">COUNTIF(Q53:Q69,"AE")</f>
        <v>1</v>
      </c>
      <c r="R82" s="266" t="n">
        <f aca="false">COUNTIF(R53:R69,"AE")</f>
        <v>1</v>
      </c>
      <c r="S82" s="266" t="n">
        <f aca="false">COUNTIF(S53:S69,"AE")</f>
        <v>0</v>
      </c>
      <c r="T82" s="266" t="n">
        <f aca="false">COUNTIF(T53:T69,"AE")</f>
        <v>0</v>
      </c>
      <c r="U82" s="266" t="n">
        <f aca="false">COUNTIF(U53:U69,"AE")</f>
        <v>1</v>
      </c>
      <c r="V82" s="266" t="n">
        <f aca="false">COUNTIF(V53:V69,"AE")</f>
        <v>1</v>
      </c>
      <c r="W82" s="266" t="n">
        <f aca="false">COUNTIF(W53:W69,"AE")</f>
        <v>1</v>
      </c>
      <c r="X82" s="266" t="n">
        <f aca="false">COUNTIF(X53:X69,"AE")</f>
        <v>1</v>
      </c>
      <c r="Y82" s="266" t="n">
        <f aca="false">COUNTIF(Y53:Y69,"AE")</f>
        <v>1</v>
      </c>
      <c r="Z82" s="266" t="n">
        <f aca="false">COUNTIF(Z53:Z69,"AE")</f>
        <v>0</v>
      </c>
      <c r="AA82" s="266" t="n">
        <f aca="false">COUNTIF(AA53:AA69,"AE")</f>
        <v>0</v>
      </c>
      <c r="AB82" s="266" t="n">
        <f aca="false">COUNTIF(AB53:AB69,"AE")</f>
        <v>1</v>
      </c>
      <c r="AC82" s="266" t="n">
        <f aca="false">COUNTIF(AC53:AC69,"AE")</f>
        <v>1</v>
      </c>
      <c r="AD82" s="266" t="n">
        <f aca="false">COUNTIF(AD53:AD69,"AE")</f>
        <v>0</v>
      </c>
      <c r="AE82" s="266" t="n">
        <f aca="false">COUNTIF(AE53:AE69,"AE")</f>
        <v>1</v>
      </c>
      <c r="AF82" s="266" t="n">
        <f aca="false">COUNTIF(AF53:AF69,"AE")</f>
        <v>1</v>
      </c>
      <c r="AG82" s="266" t="n">
        <f aca="false">COUNTIF(AG53:AG69,"AE")</f>
        <v>0</v>
      </c>
      <c r="AH82" s="266" t="n">
        <f aca="false">COUNTIF(AH53:AH69,"AE")</f>
        <v>0</v>
      </c>
      <c r="AI82" s="312"/>
      <c r="AJ82" s="312"/>
      <c r="AK82" s="312"/>
      <c r="AL82" s="312"/>
      <c r="AM82" s="313"/>
      <c r="AN82" s="313"/>
      <c r="AO82" s="313"/>
      <c r="AP82" s="313"/>
      <c r="AQ82" s="313"/>
      <c r="AR82" s="313"/>
      <c r="AS82" s="313"/>
      <c r="AT82" s="313"/>
      <c r="AU82" s="313"/>
      <c r="AV82" s="313"/>
      <c r="AW82" s="313"/>
      <c r="AX82" s="313"/>
      <c r="AY82" s="313"/>
      <c r="AZ82" s="313"/>
      <c r="BA82" s="313"/>
      <c r="BB82" s="313"/>
      <c r="BC82" s="313"/>
      <c r="BD82" s="313"/>
      <c r="BE82" s="313"/>
      <c r="BF82" s="313"/>
      <c r="BG82" s="313"/>
      <c r="BH82" s="313"/>
      <c r="BI82" s="313"/>
      <c r="BJ82" s="313"/>
      <c r="BK82" s="313"/>
      <c r="BL82" s="313"/>
      <c r="BM82" s="313"/>
      <c r="BN82" s="313"/>
      <c r="BO82" s="313"/>
      <c r="BP82" s="313"/>
      <c r="BQ82" s="313"/>
      <c r="BR82" s="313"/>
    </row>
    <row r="83" customFormat="false" ht="19.5" hidden="false" customHeight="true" outlineLevel="0" collapsed="false">
      <c r="A83" s="312"/>
      <c r="B83" s="266" t="s">
        <v>864</v>
      </c>
      <c r="C83" s="314"/>
      <c r="D83" s="266" t="n">
        <f aca="false">SUM(D79:D82)</f>
        <v>1</v>
      </c>
      <c r="E83" s="266" t="n">
        <f aca="false">SUM(E79:E82)</f>
        <v>1</v>
      </c>
      <c r="F83" s="266" t="n">
        <f aca="false">SUM(F79:F82)</f>
        <v>2</v>
      </c>
      <c r="G83" s="266" t="n">
        <f aca="false">SUM(G79:G82)</f>
        <v>5</v>
      </c>
      <c r="H83" s="266" t="n">
        <f aca="false">SUM(H79:H82)</f>
        <v>4</v>
      </c>
      <c r="I83" s="266" t="n">
        <f aca="false">SUM(I79:I82)</f>
        <v>4</v>
      </c>
      <c r="J83" s="266" t="n">
        <f aca="false">SUM(J79:J82)</f>
        <v>5</v>
      </c>
      <c r="K83" s="266" t="n">
        <f aca="false">SUM(K79:K82)</f>
        <v>4</v>
      </c>
      <c r="L83" s="266" t="n">
        <f aca="false">SUM(L79:L82)</f>
        <v>1</v>
      </c>
      <c r="M83" s="266" t="n">
        <f aca="false">SUM(M79:M82)</f>
        <v>2</v>
      </c>
      <c r="N83" s="266" t="n">
        <f aca="false">SUM(N79:N82)</f>
        <v>5</v>
      </c>
      <c r="O83" s="266" t="n">
        <f aca="false">SUM(O79:O82)</f>
        <v>4</v>
      </c>
      <c r="P83" s="266" t="n">
        <f aca="false">SUM(P79:P82)</f>
        <v>4</v>
      </c>
      <c r="Q83" s="266" t="n">
        <f aca="false">SUM(Q79:Q82)</f>
        <v>5</v>
      </c>
      <c r="R83" s="266" t="n">
        <f aca="false">SUM(R79:R82)</f>
        <v>4</v>
      </c>
      <c r="S83" s="266" t="n">
        <f aca="false">SUM(S79:S82)</f>
        <v>1</v>
      </c>
      <c r="T83" s="266" t="n">
        <f aca="false">SUM(T79:T82)</f>
        <v>2</v>
      </c>
      <c r="U83" s="266" t="n">
        <f aca="false">SUM(U79:U82)</f>
        <v>5</v>
      </c>
      <c r="V83" s="266" t="n">
        <f aca="false">SUM(V79:V82)</f>
        <v>3</v>
      </c>
      <c r="W83" s="266" t="n">
        <f aca="false">SUM(W79:W82)</f>
        <v>4</v>
      </c>
      <c r="X83" s="266" t="n">
        <f aca="false">SUM(X79:X82)</f>
        <v>5</v>
      </c>
      <c r="Y83" s="266" t="n">
        <f aca="false">SUM(Y79:Y82)</f>
        <v>4</v>
      </c>
      <c r="Z83" s="266" t="n">
        <f aca="false">SUM(Z79:Z82)</f>
        <v>1</v>
      </c>
      <c r="AA83" s="266" t="n">
        <f aca="false">SUM(AA79:AA82)</f>
        <v>2</v>
      </c>
      <c r="AB83" s="266" t="n">
        <f aca="false">SUM(AB79:AB82)</f>
        <v>5</v>
      </c>
      <c r="AC83" s="266" t="n">
        <f aca="false">SUM(AC79:AC82)</f>
        <v>4</v>
      </c>
      <c r="AD83" s="266" t="n">
        <f aca="false">SUM(AD79:AD82)</f>
        <v>1</v>
      </c>
      <c r="AE83" s="266" t="n">
        <f aca="false">SUM(AE79:AE82)</f>
        <v>5</v>
      </c>
      <c r="AF83" s="266" t="n">
        <f aca="false">SUM(AF79:AF82)</f>
        <v>4</v>
      </c>
      <c r="AG83" s="266" t="n">
        <f aca="false">SUM(AG79:AG82)</f>
        <v>1</v>
      </c>
      <c r="AH83" s="266" t="n">
        <f aca="false">SUM(AH79:AH82)</f>
        <v>1</v>
      </c>
      <c r="AI83" s="312"/>
      <c r="AJ83" s="312"/>
      <c r="AK83" s="312"/>
      <c r="AL83" s="312"/>
      <c r="AM83" s="313"/>
      <c r="AN83" s="313"/>
      <c r="AO83" s="313"/>
      <c r="AP83" s="313"/>
      <c r="AQ83" s="313"/>
      <c r="AR83" s="313"/>
      <c r="AS83" s="313"/>
      <c r="AT83" s="313"/>
      <c r="AU83" s="313"/>
      <c r="AV83" s="313"/>
      <c r="AW83" s="313"/>
      <c r="AX83" s="313"/>
      <c r="AY83" s="313"/>
      <c r="AZ83" s="313"/>
      <c r="BA83" s="313"/>
      <c r="BB83" s="313"/>
      <c r="BC83" s="313"/>
      <c r="BD83" s="313"/>
      <c r="BE83" s="313"/>
      <c r="BF83" s="313"/>
      <c r="BG83" s="313"/>
      <c r="BH83" s="313"/>
      <c r="BI83" s="313"/>
      <c r="BJ83" s="313"/>
      <c r="BK83" s="313"/>
      <c r="BL83" s="313"/>
      <c r="BM83" s="313"/>
      <c r="BN83" s="313"/>
      <c r="BO83" s="313"/>
      <c r="BP83" s="313"/>
      <c r="BQ83" s="313"/>
      <c r="BR83" s="313"/>
    </row>
    <row r="84" customFormat="false" ht="19.5" hidden="false" customHeight="true" outlineLevel="0" collapsed="false">
      <c r="A84" s="312"/>
      <c r="B84" s="314"/>
      <c r="C84" s="314"/>
      <c r="D84" s="314"/>
      <c r="E84" s="314"/>
      <c r="F84" s="314"/>
      <c r="G84" s="314"/>
      <c r="H84" s="314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4"/>
      <c r="AC84" s="314"/>
      <c r="AD84" s="314"/>
      <c r="AE84" s="314"/>
      <c r="AF84" s="314"/>
      <c r="AG84" s="314"/>
      <c r="AH84" s="314"/>
      <c r="AI84" s="312"/>
      <c r="AJ84" s="312"/>
      <c r="AK84" s="312"/>
      <c r="AL84" s="312"/>
      <c r="AM84" s="313"/>
      <c r="AN84" s="313"/>
      <c r="AO84" s="313"/>
      <c r="AP84" s="313"/>
      <c r="AQ84" s="313"/>
      <c r="AR84" s="313"/>
      <c r="AS84" s="313"/>
      <c r="AT84" s="313"/>
      <c r="AU84" s="313"/>
      <c r="AV84" s="313"/>
      <c r="AW84" s="313"/>
      <c r="AX84" s="313"/>
      <c r="AY84" s="313"/>
      <c r="AZ84" s="313"/>
      <c r="BA84" s="313"/>
      <c r="BB84" s="313"/>
      <c r="BC84" s="313"/>
      <c r="BD84" s="313"/>
      <c r="BE84" s="313"/>
      <c r="BF84" s="313"/>
      <c r="BG84" s="313"/>
      <c r="BH84" s="313"/>
      <c r="BI84" s="313"/>
      <c r="BJ84" s="313"/>
      <c r="BK84" s="313"/>
      <c r="BL84" s="313"/>
      <c r="BM84" s="313"/>
      <c r="BN84" s="313"/>
      <c r="BO84" s="313"/>
      <c r="BP84" s="313"/>
      <c r="BQ84" s="313"/>
      <c r="BR84" s="313"/>
    </row>
    <row r="85" customFormat="false" ht="19.5" hidden="false" customHeight="true" outlineLevel="0" collapsed="false">
      <c r="A85" s="312"/>
      <c r="B85" s="314"/>
      <c r="C85" s="314"/>
      <c r="D85" s="314"/>
      <c r="E85" s="314"/>
      <c r="F85" s="314"/>
      <c r="G85" s="314"/>
      <c r="H85" s="314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4"/>
      <c r="AC85" s="314"/>
      <c r="AD85" s="314"/>
      <c r="AE85" s="314"/>
      <c r="AF85" s="314"/>
      <c r="AG85" s="314"/>
      <c r="AH85" s="314"/>
      <c r="AI85" s="312"/>
      <c r="AJ85" s="312"/>
      <c r="AK85" s="312"/>
      <c r="AL85" s="312"/>
      <c r="AM85" s="313"/>
      <c r="AN85" s="313"/>
      <c r="AO85" s="313"/>
      <c r="AP85" s="313"/>
      <c r="AQ85" s="313"/>
      <c r="AR85" s="313"/>
      <c r="AS85" s="313"/>
      <c r="AT85" s="313"/>
      <c r="AU85" s="313"/>
      <c r="AV85" s="313"/>
      <c r="AW85" s="313"/>
      <c r="AX85" s="313"/>
      <c r="AY85" s="313"/>
      <c r="AZ85" s="313"/>
      <c r="BA85" s="313"/>
      <c r="BB85" s="313"/>
      <c r="BC85" s="313"/>
      <c r="BD85" s="313"/>
      <c r="BE85" s="313"/>
      <c r="BF85" s="313"/>
      <c r="BG85" s="313"/>
      <c r="BH85" s="313"/>
      <c r="BI85" s="313"/>
      <c r="BJ85" s="313"/>
      <c r="BK85" s="313"/>
      <c r="BL85" s="313"/>
      <c r="BM85" s="313"/>
      <c r="BN85" s="313"/>
      <c r="BO85" s="313"/>
      <c r="BP85" s="313"/>
      <c r="BQ85" s="313"/>
      <c r="BR85" s="313"/>
    </row>
    <row r="86" customFormat="false" ht="19.5" hidden="false" customHeight="true" outlineLevel="0" collapsed="false">
      <c r="A86" s="312"/>
      <c r="B86" s="314"/>
      <c r="C86" s="314"/>
      <c r="D86" s="314"/>
      <c r="E86" s="314"/>
      <c r="F86" s="314"/>
      <c r="G86" s="314"/>
      <c r="H86" s="314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4"/>
      <c r="AC86" s="314"/>
      <c r="AD86" s="314"/>
      <c r="AE86" s="314"/>
      <c r="AF86" s="314"/>
      <c r="AG86" s="314"/>
      <c r="AH86" s="314"/>
      <c r="AI86" s="312"/>
      <c r="AJ86" s="312"/>
      <c r="AK86" s="312"/>
      <c r="AL86" s="312"/>
      <c r="AM86" s="313"/>
      <c r="AN86" s="313"/>
      <c r="AO86" s="313"/>
      <c r="AP86" s="313"/>
      <c r="AQ86" s="313"/>
      <c r="AR86" s="313"/>
      <c r="AS86" s="313"/>
      <c r="AT86" s="313"/>
      <c r="AU86" s="313"/>
      <c r="AV86" s="313"/>
      <c r="AW86" s="313"/>
      <c r="AX86" s="313"/>
      <c r="AY86" s="313"/>
      <c r="AZ86" s="313"/>
      <c r="BA86" s="313"/>
      <c r="BB86" s="313"/>
      <c r="BC86" s="313"/>
      <c r="BD86" s="313"/>
      <c r="BE86" s="313"/>
      <c r="BF86" s="313"/>
      <c r="BG86" s="313"/>
      <c r="BH86" s="313"/>
      <c r="BI86" s="313"/>
      <c r="BJ86" s="313"/>
      <c r="BK86" s="313"/>
      <c r="BL86" s="313"/>
      <c r="BM86" s="313"/>
      <c r="BN86" s="313"/>
      <c r="BO86" s="313"/>
      <c r="BP86" s="313"/>
      <c r="BQ86" s="313"/>
      <c r="BR86" s="313"/>
    </row>
    <row r="87" customFormat="false" ht="19.5" hidden="false" customHeight="true" outlineLevel="0" collapsed="false">
      <c r="A87" s="312"/>
      <c r="B87" s="314"/>
      <c r="C87" s="314"/>
      <c r="D87" s="314"/>
      <c r="E87" s="314"/>
      <c r="F87" s="314"/>
      <c r="G87" s="314"/>
      <c r="H87" s="314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4"/>
      <c r="AC87" s="314"/>
      <c r="AD87" s="314"/>
      <c r="AE87" s="314"/>
      <c r="AF87" s="314"/>
      <c r="AG87" s="314"/>
      <c r="AH87" s="314"/>
      <c r="AI87" s="312"/>
      <c r="AJ87" s="312"/>
      <c r="AK87" s="312"/>
      <c r="AL87" s="312"/>
      <c r="AM87" s="313"/>
      <c r="AN87" s="313"/>
      <c r="AO87" s="313"/>
      <c r="AP87" s="313"/>
      <c r="AQ87" s="313"/>
      <c r="AR87" s="313"/>
      <c r="AS87" s="313"/>
      <c r="AT87" s="313"/>
      <c r="AU87" s="313"/>
      <c r="AV87" s="313"/>
      <c r="AW87" s="313"/>
      <c r="AX87" s="313"/>
      <c r="AY87" s="313"/>
      <c r="AZ87" s="313"/>
      <c r="BA87" s="313"/>
      <c r="BB87" s="313"/>
      <c r="BC87" s="313"/>
      <c r="BD87" s="313"/>
      <c r="BE87" s="313"/>
      <c r="BF87" s="313"/>
      <c r="BG87" s="313"/>
      <c r="BH87" s="313"/>
      <c r="BI87" s="313"/>
      <c r="BJ87" s="313"/>
      <c r="BK87" s="313"/>
      <c r="BL87" s="313"/>
      <c r="BM87" s="313"/>
      <c r="BN87" s="313"/>
      <c r="BO87" s="313"/>
      <c r="BP87" s="313"/>
      <c r="BQ87" s="313"/>
      <c r="BR87" s="313"/>
    </row>
  </sheetData>
  <mergeCells count="4">
    <mergeCell ref="D1:T1"/>
    <mergeCell ref="AR3:AR4"/>
    <mergeCell ref="AS3:AS4"/>
    <mergeCell ref="G62:H62"/>
  </mergeCells>
  <conditionalFormatting sqref="X62">
    <cfRule type="expression" priority="2" aboveAverage="0" equalAverage="0" bottom="0" percent="0" rank="0" text="" dxfId="21">
      <formula>WEEKDAY(W$3,2)&gt;5</formula>
    </cfRule>
  </conditionalFormatting>
  <conditionalFormatting sqref="S9 D12:E12">
    <cfRule type="expression" priority="3" aboveAverage="0" equalAverage="0" bottom="0" percent="0" rank="0" text="" dxfId="21">
      <formula>WEEKDAY(U$3,2)&gt;5</formula>
    </cfRule>
  </conditionalFormatting>
  <conditionalFormatting sqref="R18 R21 S23">
    <cfRule type="expression" priority="4" aboveAverage="0" equalAverage="0" bottom="0" percent="0" rank="0" text="" dxfId="21">
      <formula>WEEKDAY(U$3,2)&gt;5</formula>
    </cfRule>
    <cfRule type="expression" priority="5" aboveAverage="0" equalAverage="0" bottom="0" percent="0" rank="0" text="" dxfId="21">
      <formula>WEEKDAY(V$3,2)&gt;5</formula>
    </cfRule>
  </conditionalFormatting>
  <conditionalFormatting sqref="E25">
    <cfRule type="expression" priority="6" aboveAverage="0" equalAverage="0" bottom="0" percent="0" rank="0" text="" dxfId="21">
      <formula>WEEKDAY(H$3,2)&gt;5</formula>
    </cfRule>
    <cfRule type="expression" priority="7" aboveAverage="0" equalAverage="0" bottom="0" percent="0" rank="0" text="" dxfId="21">
      <formula>WEEKDAY(G$3,2)&gt;5</formula>
    </cfRule>
  </conditionalFormatting>
  <conditionalFormatting sqref="S8:S9 D12:E12 I18 G21:I21 T23 G24 U24 D25 H25:I25 N25 S26 E28 I30">
    <cfRule type="expression" priority="8" aboveAverage="0" equalAverage="0" bottom="0" percent="0" rank="0" text="" dxfId="21">
      <formula>WEEKDAY(T$3,2)&gt;5</formula>
    </cfRule>
  </conditionalFormatting>
  <conditionalFormatting sqref="D22:D23">
    <cfRule type="expression" priority="9" aboveAverage="0" equalAverage="0" bottom="0" percent="0" rank="0" text="" dxfId="21">
      <formula>WEEKDAY(E$3,2)&gt;5</formula>
    </cfRule>
  </conditionalFormatting>
  <conditionalFormatting sqref="D5:D10 F5:F6 H5:H15 I5 J5:J10 K5:L6 N5:N12 O5 P5:P6 Q5:R5 S5:S36 T5:T6 X5:X7 Y5 Z5:Z8 AF5:AH5 E6 G6:G13 M6:M9 W6 AA6 AC6 AD6:AD10 AE6:AE11 I7:I8 O7 Q7:R8 E8:F8 K8 P8:P9 T8:T9 Y8 AC8 AF8:AF11 AG8:AH13 L9 V9 X9:X10 F10:F12 I10:I26 K10:K15 O10 U10:U13 W10:W11 AA10:AA12 L11:L12 R11:R18 T11 V11:V13 Y11 Z11:Z22 D12:D30 E12:E19 M12 X12:X19 J13:J16 W13 Y13:Y23 AB13:AF13 F14:F16 M14:M18 N14:N16 O14:O15 P14:P19 L15:L16 T15:T21 U15 V15:V22 W15 AA15:AB17 AC15:AD15 AE15:AE21 AG15 AH15:AH16 G16:G27 Q16 AF16:AF21 U17:U21 W17:W22 AC17:AC21 F18:F21 J18:J19 L18:L23 N18:N25 O18:O19 Q18:Q21 AG18:AH18 H19:H22 AA19 K20:K21 E21 J21:J26 M21:M26 P21 R21:R24 X21:X22 AA21 AB21:AB22 AD21:AD26 AG21 AH21:AH23 K23:K25 O23 P23:P28 Q23:Q25 T23:U25 AC23:AC24 AE23 AF23:AF27 AG23 E24:F26 H24:H27 V24 X24:X26 AA24:AA25 O26:O27 W26:W27 L27:L28 N27 Q27:Q28 R27 T27:T30 V27 Y27:Y30 AB27 E28 I28:K30 AD28:AD30 F29:F30 G29 M29:M30 O29:O30 V29:W30 X29:X33 Z29:AA29 AC29 AG29:AH29 E30:E32 H30 L30 N30:N32 P30:Q30 AB30 AF30 U31 D32 F32:H32 P32 R32 T32 W32:W33 Y32 AB32:AC32 AE32:AF32 J33:L33 U33 AD33 F34:I34 M34:N34 Y34:Y36 L35 P35:P38 W35 AC35:AD35 AF35 F36:F56 G36:H37 J36:J38 K36:K39 Q36:Q38 U36:V36 AB36 E37 I37 L37:L40 N37:N53 O37:O38 T37 X37:X38 AD37 D38:D57 M38:M54 S38:S57 U38 Y38 AC38:AC40 I39:I41 AA39 AD39:AE69 AF39 G40:G41 P40 U40:U41 X40:Y57 Q41 T41 AB41 AF41:AF42 AG41 H42 J42 L42:L57 P42:P51 R42:R54 AA42:AA69 AC42:AC69 I43:I56 AB43:AB64 B44:B50 E44:E51 G44:H51 J44:K51 O44:O51 Q44:Q51 T44:W51 Z44:Z51 AF44:AH51 N55:N57 M56:M57 R56:R57 Z56 AF56:AH56 G60 I60 M64 AF64:AH64 I66 AB66:AB69">
    <cfRule type="cellIs" priority="10" operator="equal" aboveAverage="0" equalAverage="0" bottom="0" percent="0" rank="0" text="" dxfId="23">
      <formula>"B"</formula>
    </cfRule>
    <cfRule type="cellIs" priority="11" operator="equal" aboveAverage="0" equalAverage="0" bottom="0" percent="0" rank="0" text="" dxfId="23">
      <formula>"AL"</formula>
    </cfRule>
    <cfRule type="cellIs" priority="12" operator="equal" aboveAverage="0" equalAverage="0" bottom="0" percent="0" rank="0" text="" dxfId="24">
      <formula>"DM"</formula>
    </cfRule>
    <cfRule type="cellIs" priority="13" operator="equal" aboveAverage="0" equalAverage="0" bottom="0" percent="0" rank="0" text="" dxfId="25">
      <formula>"CS1"</formula>
    </cfRule>
    <cfRule type="cellIs" priority="14" operator="equal" aboveAverage="0" equalAverage="0" bottom="0" percent="0" rank="0" text="" dxfId="26">
      <formula>"CS2"</formula>
    </cfRule>
    <cfRule type="cellIs" priority="15" operator="equal" aboveAverage="0" equalAverage="0" bottom="0" percent="0" rank="0" text="" dxfId="27">
      <formula>"SB1"</formula>
    </cfRule>
    <cfRule type="cellIs" priority="16" operator="equal" aboveAverage="0" equalAverage="0" bottom="0" percent="0" rank="0" text="" dxfId="28">
      <formula>"SB2"</formula>
    </cfRule>
    <cfRule type="cellIs" priority="17" operator="equal" aboveAverage="0" equalAverage="0" bottom="0" percent="0" rank="0" text="" dxfId="29">
      <formula>"AE"</formula>
    </cfRule>
    <cfRule type="cellIs" priority="18" operator="equal" aboveAverage="0" equalAverage="0" bottom="0" percent="0" rank="0" text="" dxfId="23">
      <formula>"DB"</formula>
    </cfRule>
    <cfRule type="containsText" priority="19" operator="containsText" aboveAverage="0" equalAverage="0" bottom="0" percent="0" rank="0" text="$AM" dxfId="30">
      <formula>NOT(ISERROR(SEARCH("$AM",B5)))</formula>
    </cfRule>
    <cfRule type="containsText" priority="20" operator="containsText" aboveAverage="0" equalAverage="0" bottom="0" percent="0" rank="0" text="$PM" dxfId="31">
      <formula>NOT(ISERROR(SEARCH("$PM",B5)))</formula>
    </cfRule>
    <cfRule type="containsText" priority="21" operator="containsText" aboveAverage="0" equalAverage="0" bottom="0" percent="0" rank="0" text="$L" dxfId="32">
      <formula>NOT(ISERROR(SEARCH("$L",B5)))</formula>
    </cfRule>
    <cfRule type="containsText" priority="22" operator="containsText" aboveAverage="0" equalAverage="0" bottom="0" percent="0" rank="0" text="$BTP" dxfId="33">
      <formula>NOT(ISERROR(SEARCH("$BTP",B5)))</formula>
    </cfRule>
    <cfRule type="containsText" priority="23" operator="containsText" aboveAverage="0" equalAverage="0" bottom="0" percent="0" rank="0" text="$M" dxfId="34">
      <formula>NOT(ISERROR(SEARCH("$M",B5)))</formula>
    </cfRule>
    <cfRule type="containsText" priority="24" operator="containsText" aboveAverage="0" equalAverage="0" bottom="0" percent="0" rank="0" text="$N" dxfId="35">
      <formula>NOT(ISERROR(SEARCH("$N",B5)))</formula>
    </cfRule>
    <cfRule type="containsText" priority="25" operator="containsText" aboveAverage="0" equalAverage="0" bottom="0" percent="0" rank="0" text="$FC" dxfId="36">
      <formula>NOT(ISERROR(SEARCH("$FC",B5)))</formula>
    </cfRule>
    <cfRule type="containsText" priority="26" operator="containsText" aboveAverage="0" equalAverage="0" bottom="0" percent="0" rank="0" text="OAL" dxfId="37">
      <formula>NOT(ISERROR(SEARCH("OAL",B5)))</formula>
    </cfRule>
    <cfRule type="containsText" priority="27" operator="containsText" aboveAverage="0" equalAverage="0" bottom="0" percent="0" rank="0" text="S+" dxfId="38">
      <formula>NOT(ISERROR(SEARCH("S+",B5)))</formula>
    </cfRule>
    <cfRule type="containsText" priority="28" operator="containsText" aboveAverage="0" equalAverage="0" bottom="0" percent="0" rank="0" text="EX-D" dxfId="39">
      <formula>NOT(ISERROR(SEARCH("EX-D",B5)))</formula>
    </cfRule>
  </conditionalFormatting>
  <conditionalFormatting sqref="D5:D10 F5:F6 H5:H15 I5 J5:J10 K5:K6 L5:L7 N5:N7 O5 P5:P6 Q5:R5 S5:T6 X5:X7 Y5 Z5:Z8 AA5:AB6 AC5:AC9 AD5:AD10 AE5:AE21 AF5:AH5 E6 G6:G13 M6 W6 I7:I8 O7 Q7:R8 E8:F8 K8:K15 M8:M9 P8:P9 S8:S10 T8:T9 Y8 AF8:AH13 L9 N9:N12 V9 X9:X10 F10:F12 I10:I26 O10 R10:R18 U10:U13 W10:W11 AA10:AA12 AB10:AB28 L11:L12 T11 V11:V13 Y11 Z11:Z18 AC11:AC24 D12:D26 E12:E19 M12 O12 S12:S30 X12:X19 AD12:AD15 J13:J16 W13 Y13:Y23 F14:F16 M14:M18 N14:N16 O14:O15 P14:P17 AA14:AA17 L15:L16 T15:T21 U15 V15:W22 AG15 AH15:AH16 G16:G27 Q16 AF16:AF21 U17:U21 F18:F21 J18:J19 L18:L23 N18:N25 O18:O20 Q18:Q25 AG18:AH18 H19:H27 P19 AA19 K20:K21 AD20:AD31 E21 J21:J30 P21 R21:R24 X21:X22 Z21:Z22 AA21 AG21 AH21:AH23 M22:M27 K23:K25 O23 P23:P28 T23:T24 U23:U26 AA23:AA26 AE23 AF23:AF27 AG23 E24:F26 V24 X24:X26 O26:O27 W26:W27 AG26:AH26 L27:L28 N27 Q27:Q28 R27 T27:T30 V27 Y27:Y30 Z27 AC27:AC30 AE27 E28 I28:I30 K28:K30 AA28:AA30 F29:F30 G29 M29:M30 N29:N32 O29:O30 V29:V30 W29:X33 AG29:AH29 E30:E32 H30 L30 P30:Q30 AB30 AE30:AF30 U31 D32 F32:H32 P32 R32 S32:S33 T32 Y32 AB32:AC32 AE32:AE33 AF32 J33 K33:K39 L33 U33 AD33 F34:I34 M34:N34 Y34:Y36 AA34:AA35 AB34:AB39 AC34:AC40 L35 P35:P38 S35 W35:W36 Z35 AD35 AF35 F36:F56 G36:H37 J36:J38 Q36:Q38 U36:V36 E37 I37 L37:L40 N37:N53 O37:O38 T37 X37:X38 AD37:AD69 AF37:AF42 D38:D57 M38:M54 S38:S57 U38 W38 Y38 AA38:AA69 AE38:AE69 I39:I41 G40:G41 P40 U40:U41 W40 X40:Y57 Z40 AG40:AG41 AH40 Q41 T41 AB41 H42 J42 L42:L57 R42:R54 W42:W56 AC42:AC69 I43:I56 AB43:AB64 B44:B50 E44:E51 G44:H51 J44:K51 O44:Q51 T44:V51 Z44:Z51 AF44:AH51 N55:N57 M56:M57 R56:R57 Z56 AF56:AH56 G60 I60 M64 AF64:AH64 I66 AB66:AB69">
    <cfRule type="expression" priority="29" aboveAverage="0" equalAverage="0" bottom="0" percent="0" rank="0" text="" dxfId="21">
      <formula>WEEKDAY(#REF!,2)&gt;5</formula>
    </cfRule>
  </conditionalFormatting>
  <conditionalFormatting sqref="Y5 X7 T8:T9 X10 AA10:AA11 AE10 T11 Z11 D12 H12 V12 X12 U13 Y13:Z13 AB13 AA15:AA16 AB15 AG15:AH15 W17 T19 AA19 W20 Y20 X24 AA24 X26 AD26 AF26 AD29 Y32 AB32:AC32 W35 Y36 T37">
    <cfRule type="expression" priority="30" aboveAverage="0" equalAverage="0" bottom="0" percent="0" rank="0" text="" dxfId="21">
      <formula>WEEKDAY(AA$3,2)&gt;5</formula>
    </cfRule>
  </conditionalFormatting>
  <conditionalFormatting sqref="Y5 X7 X10 AA10:AA12 AE10 T11 Z11 V12 X12 U13 Y13:Z13 AB13 AA15:AA16 AB15 AG15:AH15 W17 T19 AA19 W20 Y20 X24 AA24 X26 AD26 AF26 AD29 Y32 AB32:AC32 W35 Y36 T37 V58:V61 V63:V71">
    <cfRule type="expression" priority="31" aboveAverage="0" equalAverage="0" bottom="0" percent="0" rank="0" text="" dxfId="21">
      <formula>WEEKDAY(Z$3,2)&gt;5</formula>
    </cfRule>
  </conditionalFormatting>
  <conditionalFormatting sqref="T8:T9 D9 D12 H12 S17:S18 D18 T18 S20 D21 F21 K21 T21 AA21 AD21:AF21 S22 T23 D32:H32 S33">
    <cfRule type="expression" priority="32" aboveAverage="0" equalAverage="0" bottom="0" percent="0" rank="0" text="" dxfId="21">
      <formula>WEEKDAY(V$3,2)&gt;5</formula>
    </cfRule>
  </conditionalFormatting>
  <conditionalFormatting sqref="D5:D10 F5:F6 H5:H15 I5 J5:J10 K5:K6 L5:L12 N5:O7 P5:P6 Q5:R5 S5:S6 T5:T9 X5:X7 Y5 Z5:Z57 AA5:AA69 AB5:AB64 AC5:AC69 AD5:AD31 AE5:AE27 AF5 AG5:AG15 AH5:AH19 E6 G6:G13 M6:M9 U6 W6 I7:I8 Q7:Q8 R7:R19 Y7:Y8 E8:F8 K8 P8:P9 W8 AF8:AF14 N9:N11 U9:U15 V9 X9:X10 F10:F12 I10:I26 K10:K16 O10 S10 W10:W13 Y10:Y30 P11 T11:T12 D12:D26 E12:E19 M12 O12 S12:S30 V12:V22 X12:X26 J13:J16 F14:F21 L14:L16 M14:M18 N14:N19 O14:O15 P14:P21 T14:T30 W15:W22 G16:G27 Q16:Q25 AF16:AF27 O17:O20 U17:U21 AG17:AG19 J18:J19 K18:K21 L18:L23 H19:H27 E21:E26 J21:J30 N21:N25 R21:R27 AG21:AH27 M22:M27 K23:K26 O23:O27 P23:P30 U23:U26 F24:F26 V24:V25 W24:W36 L25 L27:L28 N27 Q27:Q28 V27:V31 E28 I28:I30 K28:K30 X28:X33 F29:F30 G29 M29:M30 N29:N32 O29:O30 R29 AE29:AE33 AF29:AF32 AG29 AH29:AH31 E30:E32 H30 L30 Q30:Q31 U31 D32 F32:H32 P32:P33 R32:T32 Y32:Y36 AG32 J33 K33:K55 L33 U33 AD33:AD69 F34:I34 M34:N34 L35:L40 P35:P38 S35 AF35 F36:F56 G36:H37 J36:J38 Q36:Q38 U36:V36 E37 I37 N37:N53 O37:O38 T37:T38 X37:X57 AF37:AF42 D38:D57 M38:M54 S38:S57 U38 W38 Y38:Y57 AE38:AE69 I39:I41 G40:G41 P40 U40:U41 W40:W56 AG40:AG41 AH40 Q41 T41 H42 J42 L42:L57 P42:P51 R42:R54 I43:I56 B44:B50 E44:E51 G44:H51 J44:J51 O44:O51 Q44:Q51 T44:V51 AF44:AH51 N55:N57 M56:M57 R56:R57 AF56:AH56 K57 V58:V61 G60 I60 X62 V63:V71 M64 AF64:AH64 I66 AB66:AB69">
    <cfRule type="cellIs" priority="33" operator="equal" aboveAverage="0" equalAverage="0" bottom="0" percent="0" rank="0" text="" dxfId="23">
      <formula>"B"</formula>
    </cfRule>
    <cfRule type="cellIs" priority="34" operator="equal" aboveAverage="0" equalAverage="0" bottom="0" percent="0" rank="0" text="" dxfId="23">
      <formula>"AL"</formula>
    </cfRule>
    <cfRule type="cellIs" priority="35" operator="equal" aboveAverage="0" equalAverage="0" bottom="0" percent="0" rank="0" text="" dxfId="24">
      <formula>"DM"</formula>
    </cfRule>
    <cfRule type="cellIs" priority="36" operator="equal" aboveAverage="0" equalAverage="0" bottom="0" percent="0" rank="0" text="" dxfId="25">
      <formula>"CS1"</formula>
    </cfRule>
    <cfRule type="cellIs" priority="37" operator="equal" aboveAverage="0" equalAverage="0" bottom="0" percent="0" rank="0" text="" dxfId="26">
      <formula>"CS2"</formula>
    </cfRule>
    <cfRule type="cellIs" priority="38" operator="equal" aboveAverage="0" equalAverage="0" bottom="0" percent="0" rank="0" text="" dxfId="27">
      <formula>"SB1"</formula>
    </cfRule>
    <cfRule type="cellIs" priority="39" operator="equal" aboveAverage="0" equalAverage="0" bottom="0" percent="0" rank="0" text="" dxfId="28">
      <formula>"SB2"</formula>
    </cfRule>
    <cfRule type="cellIs" priority="40" operator="equal" aboveAverage="0" equalAverage="0" bottom="0" percent="0" rank="0" text="" dxfId="29">
      <formula>"AE"</formula>
    </cfRule>
    <cfRule type="cellIs" priority="41" operator="equal" aboveAverage="0" equalAverage="0" bottom="0" percent="0" rank="0" text="" dxfId="23">
      <formula>"DB"</formula>
    </cfRule>
    <cfRule type="containsText" priority="42" operator="containsText" aboveAverage="0" equalAverage="0" bottom="0" percent="0" rank="0" text="$AM" dxfId="30">
      <formula>NOT(ISERROR(SEARCH("$AM",B5)))</formula>
    </cfRule>
    <cfRule type="containsText" priority="43" operator="containsText" aboveAverage="0" equalAverage="0" bottom="0" percent="0" rank="0" text="$PM" dxfId="31">
      <formula>NOT(ISERROR(SEARCH("$PM",B5)))</formula>
    </cfRule>
    <cfRule type="containsText" priority="44" operator="containsText" aboveAverage="0" equalAverage="0" bottom="0" percent="0" rank="0" text="$L" dxfId="32">
      <formula>NOT(ISERROR(SEARCH("$L",B5)))</formula>
    </cfRule>
    <cfRule type="containsText" priority="45" operator="containsText" aboveAverage="0" equalAverage="0" bottom="0" percent="0" rank="0" text="$BTP" dxfId="33">
      <formula>NOT(ISERROR(SEARCH("$BTP",B5)))</formula>
    </cfRule>
    <cfRule type="containsText" priority="46" operator="containsText" aboveAverage="0" equalAverage="0" bottom="0" percent="0" rank="0" text="$M" dxfId="34">
      <formula>NOT(ISERROR(SEARCH("$M",B5)))</formula>
    </cfRule>
    <cfRule type="containsText" priority="47" operator="containsText" aboveAverage="0" equalAverage="0" bottom="0" percent="0" rank="0" text="$N" dxfId="35">
      <formula>NOT(ISERROR(SEARCH("$N",B5)))</formula>
    </cfRule>
    <cfRule type="containsText" priority="48" operator="containsText" aboveAverage="0" equalAverage="0" bottom="0" percent="0" rank="0" text="$FC" dxfId="36">
      <formula>NOT(ISERROR(SEARCH("$FC",B5)))</formula>
    </cfRule>
    <cfRule type="containsText" priority="49" operator="containsText" aboveAverage="0" equalAverage="0" bottom="0" percent="0" rank="0" text="OAL" dxfId="37">
      <formula>NOT(ISERROR(SEARCH("OAL",B5)))</formula>
    </cfRule>
    <cfRule type="containsText" priority="50" operator="containsText" aboveAverage="0" equalAverage="0" bottom="0" percent="0" rank="0" text="S+" dxfId="38">
      <formula>NOT(ISERROR(SEARCH("S+",B5)))</formula>
    </cfRule>
    <cfRule type="containsText" priority="51" operator="containsText" aboveAverage="0" equalAverage="0" bottom="0" percent="0" rank="0" text="EX-D" dxfId="39">
      <formula>NOT(ISERROR(SEARCH("EX-D",B5)))</formula>
    </cfRule>
    <cfRule type="expression" priority="52" aboveAverage="0" equalAverage="0" bottom="0" percent="0" rank="0" text="" dxfId="21">
      <formula>WEEKDAY(#REF!,2)&gt;5</formula>
    </cfRule>
  </conditionalFormatting>
  <conditionalFormatting sqref="D5:AH87 B44:B50">
    <cfRule type="containsText" priority="53" operator="containsText" aboveAverage="0" equalAverage="0" bottom="0" percent="0" rank="0" text="CS/B" dxfId="50">
      <formula>NOT(ISERROR(SEARCH("CS/B",B5)))</formula>
    </cfRule>
  </conditionalFormatting>
  <conditionalFormatting sqref="K4:K87 AB4:AB87 D5:J87 L5:AA87 AC5:AH87 B44:B50">
    <cfRule type="cellIs" priority="54" operator="equal" aboveAverage="0" equalAverage="0" bottom="0" percent="0" rank="0" text="" dxfId="23">
      <formula>"B"</formula>
    </cfRule>
    <cfRule type="cellIs" priority="55" operator="equal" aboveAverage="0" equalAverage="0" bottom="0" percent="0" rank="0" text="" dxfId="23">
      <formula>"AL"</formula>
    </cfRule>
    <cfRule type="cellIs" priority="56" operator="equal" aboveAverage="0" equalAverage="0" bottom="0" percent="0" rank="0" text="" dxfId="24">
      <formula>"DM"</formula>
    </cfRule>
    <cfRule type="cellIs" priority="57" operator="equal" aboveAverage="0" equalAverage="0" bottom="0" percent="0" rank="0" text="" dxfId="25">
      <formula>"CS1"</formula>
    </cfRule>
    <cfRule type="cellIs" priority="58" operator="equal" aboveAverage="0" equalAverage="0" bottom="0" percent="0" rank="0" text="" dxfId="26">
      <formula>"CS2"</formula>
    </cfRule>
    <cfRule type="cellIs" priority="59" operator="equal" aboveAverage="0" equalAverage="0" bottom="0" percent="0" rank="0" text="" dxfId="27">
      <formula>"SB1"</formula>
    </cfRule>
    <cfRule type="cellIs" priority="60" operator="equal" aboveAverage="0" equalAverage="0" bottom="0" percent="0" rank="0" text="" dxfId="28">
      <formula>"SB2"</formula>
    </cfRule>
    <cfRule type="cellIs" priority="61" operator="equal" aboveAverage="0" equalAverage="0" bottom="0" percent="0" rank="0" text="" dxfId="29">
      <formula>"AE"</formula>
    </cfRule>
  </conditionalFormatting>
  <conditionalFormatting sqref="BQ5:BR71">
    <cfRule type="cellIs" priority="62" operator="lessThan" aboveAverage="0" equalAverage="0" bottom="0" percent="0" rank="0" text="" dxfId="41">
      <formula>1</formula>
    </cfRule>
  </conditionalFormatting>
  <conditionalFormatting sqref="K4:K71 AB4:AB71 D5:J71 L5:AA71 AC5:AH71 B44:B50">
    <cfRule type="cellIs" priority="63" operator="equal" aboveAverage="0" equalAverage="0" bottom="0" percent="0" rank="0" text="" dxfId="23">
      <formula>"DB"</formula>
    </cfRule>
    <cfRule type="containsText" priority="64" operator="containsText" aboveAverage="0" equalAverage="0" bottom="0" percent="0" rank="0" text="$AM" dxfId="30">
      <formula>NOT(ISERROR(SEARCH("$AM",B4)))</formula>
    </cfRule>
    <cfRule type="containsText" priority="65" operator="containsText" aboveAverage="0" equalAverage="0" bottom="0" percent="0" rank="0" text="$PM" dxfId="31">
      <formula>NOT(ISERROR(SEARCH("$PM",B4)))</formula>
    </cfRule>
    <cfRule type="containsText" priority="66" operator="containsText" aboveAverage="0" equalAverage="0" bottom="0" percent="0" rank="0" text="$L" dxfId="32">
      <formula>NOT(ISERROR(SEARCH("$L",B4)))</formula>
    </cfRule>
    <cfRule type="containsText" priority="67" operator="containsText" aboveAverage="0" equalAverage="0" bottom="0" percent="0" rank="0" text="$BTP" dxfId="33">
      <formula>NOT(ISERROR(SEARCH("$BTP",B4)))</formula>
    </cfRule>
    <cfRule type="containsText" priority="68" operator="containsText" aboveAverage="0" equalAverage="0" bottom="0" percent="0" rank="0" text="$M" dxfId="34">
      <formula>NOT(ISERROR(SEARCH("$M",B4)))</formula>
    </cfRule>
    <cfRule type="containsText" priority="69" operator="containsText" aboveAverage="0" equalAverage="0" bottom="0" percent="0" rank="0" text="$N" dxfId="35">
      <formula>NOT(ISERROR(SEARCH("$N",B4)))</formula>
    </cfRule>
    <cfRule type="containsText" priority="70" operator="containsText" aboveAverage="0" equalAverage="0" bottom="0" percent="0" rank="0" text="$FC" dxfId="36">
      <formula>NOT(ISERROR(SEARCH("$FC",B4)))</formula>
    </cfRule>
    <cfRule type="containsText" priority="71" operator="containsText" aboveAverage="0" equalAverage="0" bottom="0" percent="0" rank="0" text="OAL" dxfId="37">
      <formula>NOT(ISERROR(SEARCH("OAL",B4)))</formula>
    </cfRule>
    <cfRule type="containsText" priority="72" operator="containsText" aboveAverage="0" equalAverage="0" bottom="0" percent="0" rank="0" text="S+" dxfId="38">
      <formula>NOT(ISERROR(SEARCH("S+",B4)))</formula>
    </cfRule>
    <cfRule type="containsText" priority="73" operator="containsText" aboveAverage="0" equalAverage="0" bottom="0" percent="0" rank="0" text="EX-D" dxfId="39">
      <formula>NOT(ISERROR(SEARCH("EX-D",B4)))</formula>
    </cfRule>
  </conditionalFormatting>
  <conditionalFormatting sqref="U2:Y71 D3:T71 Z3:AH71 B44:B50">
    <cfRule type="expression" priority="74" aboveAverage="0" equalAverage="0" bottom="0" percent="0" rank="0" text="" dxfId="21">
      <formula>WEEKDAY(U$3,2)&gt;5</formula>
    </cfRule>
  </conditionalFormatting>
  <conditionalFormatting sqref="K4:K6 D5:D10 F5:F6 H5:H15 I5 J5:J10 L5:L12 N5:O7 P5:P6 Q5:R5 S5:S6 T5:T9 X5:X7 Y5 Z5:Z57 AA5:AA69 AB5:AB64 AC5:AC69 AD5:AD31 AE5:AE27 AF5 AG5:AG15 AH5:AH19 E6 G6:G13 M6:M9 U6 W6 I7:I8 Q7:Q8 R7:R19 Y7:Y8 E8:F8 K8 P8:P9 S8:S10 W8 AF8:AF14 N9:N12 U9:U15 V9 X9:X10 F10:F12 I10:I26 K10:K16 O10 W10:W13 Y10:Y30 P11 T11:T12 V11:V22 D12:D26 E12:E19 M12 O12 S12:S30 X12:X26 J13:J16 F14:F21 L14:L16 M14:M18 N14:N25 O14:O15 P14:P21 T14:T30 W15:W22 G16:G27 Q16:Q25 AF16:AF27 O17:O20 U17:U21 AG17:AG19 J18:J19 K18:K21 L18:L23 H19:H27 E21:E26 J21:J30 R21:R27 AG21:AH27 M22:M27 K23:K26 O23:O27 P23:P30 U23:U26 F24:F26 V24:V25 W24:W36 L25 L27:L28 N27 Q27:Q28 V27:V31 E28 I28:I30 K28:K30 X28:X33 F29:F30 G29 M29:M30 N29:N32 O29:O30 R29 AE29:AE33 AF29:AF32 AG29 AH29:AH31 E30:E32 H30 L30 Q30:Q31 U31 D32 F32:H32 P32:P33 R32 S32:S33 T32 Y32:Y36 AG32 J33 K33:K55 L33 U33 AD33:AD69 F34:I34 M34:N34 L35:L40 P35:P38 S35 AF35 F36:F56 G36:H37 J36:J38 Q36:Q38 U36:V36 E37 I37 N37:N53 O37:O38 T37:T38 X37:X57 AF37:AF42 D38:D57 M38:M54 S38:S57 U38 W38 Y38:Y57 AE38:AE69 I39:I41 G40:G41 P40 U40:U41 W40:W56 AG40:AG41 AH40 Q41 T41 H42 J42 L42:L57 P42:P51 R42:R54 I43:I56 B44:B50 E44:E51 G44:H51 J44:J51 O44:O51 Q44:Q51 T44:V51 AF44:AH51 N55:N57 M56:M57 R56:R57 AF56:AH56 K57 V58:V61 G60 I60 X62 V63:V71 M64 AF64:AH64 I66 AB66:AB69">
    <cfRule type="containsText" priority="75" operator="containsText" aboveAverage="0" equalAverage="0" bottom="0" percent="0" rank="0" text="VACC" dxfId="40">
      <formula>NOT(ISERROR(SEARCH("VACC",B4)))</formula>
    </cfRule>
  </conditionalFormatting>
  <conditionalFormatting sqref="A1:BR87">
    <cfRule type="cellIs" priority="76" operator="equal" aboveAverage="0" equalAverage="0" bottom="0" percent="0" rank="0" text="" dxfId="41">
      <formula>"RESERVE"</formula>
    </cfRule>
  </conditionalFormatting>
  <conditionalFormatting sqref="AB54 AD54:AF54">
    <cfRule type="cellIs" priority="77" operator="equal" aboveAverage="0" equalAverage="0" bottom="0" percent="0" rank="0" text="" dxfId="53">
      <formula>"CS"</formula>
    </cfRule>
  </conditionalFormatting>
  <dataValidations count="4">
    <dataValidation allowBlank="true" errorStyle="stop" operator="equal" showDropDown="true" showErrorMessage="false" showInputMessage="false" sqref="B5:B6 S5 B7:B11 B13:B18 B20:B23 B25:B27 B30 K38 L40 T55 K56 P56 U56 F57 D58:G59 L58:Q58 T58:V59 Y58:Z59 AF58:AH59 J59:M59 O59:P59 D60:F60 L60:M60 O60 Q60:Q63 AG60:AH60 D61:G65 J61:M61 O61:P65 T61:V61 Y61:AH61 K62:M62 T62:T63 W62:X62 Z62 AF62:AG62 J63:M63 V63:V64 Y63:Y65 AG63:AH63 J64:L65 U64:U65 Z64 M65 Q65:Q69 AF65:AH65 D66:F68 J66:M69 O66:O69 T66 V66:V71 Y66:Z67 AE66:AH66 G67:G69 T67:U68 AF67:AH68 N68 W68:AB68 D69:E69 H69 T69:T71 Y69:AH69 D70:M71 O70:Q71 W70:AH71" type="list">
      <formula1>'Setting key Duty'!$B$7:$B$56</formula1>
      <formula2>0</formula2>
    </dataValidation>
    <dataValidation allowBlank="true" errorStyle="stop" operator="between" showDropDown="false" showErrorMessage="false" showInputMessage="false" sqref="D5:D9 F5:F6 K5 M5 T5:T6 AG5:AH7 E6 K6:N6 P6 V6 X6:X7 Z6:AF6 E7:F8 M7:M9 R7:R9 Z7:AB7 AD7:AE7 L8 Z8:AA10 AC8:AH8 J9:J10 P9 W9:W11 AE9:AH10 F10:I10 K10 O10 U10:U13 X10 D11 F11:F14 N11 P11 R11:R13 T11:T12 Y11 AA11:AB11 AD11:AH11 G12:H12 K12:M12 O12 S12:S13 V12:V13 X12 Z12 D13:E14 L13:M14 Y13:AA13 AG13:AH13 N14:P14 R14:W14 Y14:Z14 D15:F17 K15:M15 O15:U15 W15 Z15:Z18 AF15 K16:P16 R16:T16 V16:V17 X16:X17 AG16:AG17 G17 I17:K17 M17:U17 W17 Y17 AH17 D18:J19 N18:N19 P18:P20 R18:U18 AA18:AB18 AE18:AE19 AG18:AH19 K19:M19 S19:W19 Y19 AA19 AC19:AD19 AF19 D20:F20 H20:I20 K20 M20 Q20:U20 W20 Z20 AC20 AE20:AH21 D22:H24 K22:N22 P22:R22 T22:T23 V22:AB22 AD22:AF22 K23 M23 O23:O26 R23 U23:W23 Z23:AH23 I24:J24 L24:L27 N24 P24:V24 X24:Y24 AB24:AB25 AE24:AH24 D25:I25 K25 M25 P25:AA25 AC25:AH26 D26:F26 H26:H27 P26 R26:S26 U26:U27 X26:X27 Z26:AA26 D27:D31 F27:G27 J27 Q27:T27 V27:W27 AA27:AB27 AG27:AH27 E28:I28 K28 M28:O28 S28:T28 V28:X28 Z28:AF28 E29:H30 J29:K29 N29:O29 R29 T29 W29:W31 Y29:AA29 AC29:AD29 AF29 I30:I32 L30:O30 U30:V30 Z30:AC30 AH30:AH32 E31:F31 H31:H35 K31:Q31 S31:V31 X31:Y31 AA31:AF31 D32:G32 K32:K33 O32:P32 U32:U34 Y32 AG32:AG33 D33:F34 J33:J34 L33:N33 P33:Q33 T33:T35 X33 AA33:AC33 G34 I34 M34:N34 P34 R34:S36 V34 Z34:AB34 AD34:AE34 AG34:AH35 D35:G37 K35:M37 Y35:AA35 AC35 U36:X36 AA36:AA38 AD36:AH36 H37:I37 N37:Q38 S37 Y37:Y38 AC37 AG37:AH39 E38:G38 I38 L38 R38 U38 X38 Z38:Z39 D39:F39 H39:H40 J39:J40 M39:O39 S39:U40 D40:E42 G40:G41 I40:I41 K40:K41 N40:N41 Q40 F41:F42 L41 P41 R41:U41 X41:AA41 AH41 J42 L42:O42 T42:U42 W42 Z42 AB42 AG42:AH42 AH43 D52:P53 T52:X54 Z52:Z55 AF52:AH55 D54:M54 O54:P54 D55:L55 N55:P55 U55:W55 D56:I56 L56:O56 T56:T57 V56:X56 D57:E57 J57:O57 V57 X57 Z57 AF57:AH57 G60:H60 J60 M64 P66 U69:U71" type="custom">
      <formula1>NOT(ISERROR(SEARCH((#REF!),(D5))))</formula1>
      <formula2>0</formula2>
    </dataValidation>
    <dataValidation allowBlank="true" errorStyle="stop" operator="equal" showDropDown="true" showErrorMessage="false" showInputMessage="false" sqref="L5 P8:Q8 T8:T9 Y8 S10 E11:E12 Z11 D12 AG12:AH12 AB13 AE13:AF13 Y15 AA15:AE15 AG15:AH15 AA16:AB16 AE16:AE17 AH16 AB17:AC17 AF17 L18:M18 O18:O19 Q18 W18 Y18 Y20 D21:L21 N21 P21:X21 Z21:AD21 S22:S23 L23 N23 P23:Q23 Y23 N27 AF27 L28 P28:Q28 AG29:AH29 S30 N32 T32 AB32:AC32 AE32:AF32 AD35 Y36 AB36 J37 T37 M38 AC38:AC39 AA39:AB39 AD39:AF39 P40 Q41 AB41 AG41 R42 AA42 AC42 AE42:AF42 R52:R54 AA52:AE53 AA54:AB55 AD54:AE54 AC55:AC57 AE55:AE57 R56:R57 AB56:AB57 AD56:AD57 AF56:AH56 AA57 AD59" type="list">
      <formula1>'Setting key Duty'!$B$7:$B$54</formula1>
      <formula2>0</formula2>
    </dataValidation>
    <dataValidation allowBlank="true" errorStyle="stop" operator="equal" showDropDown="true" showErrorMessage="false" showInputMessage="false" sqref="D43:AG51 AH44:AH51 D72:AH77" type="list">
      <formula1>'Setting key Duty'!$B$7:$B$23</formula1>
      <formula2>0</formula2>
    </dataValidation>
  </dataValidation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Q81"/>
  <sheetViews>
    <sheetView showFormulas="false" showGridLines="fals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2" ySplit="4" topLeftCell="C21" activePane="bottomRight" state="frozen"/>
      <selection pane="topLeft" activeCell="A1" activeCellId="0" sqref="A1"/>
      <selection pane="topRight" activeCell="C1" activeCellId="0" sqref="C1"/>
      <selection pane="bottomLeft" activeCell="A21" activeCellId="0" sqref="A21"/>
      <selection pane="bottomRight" activeCell="B62" activeCellId="0" sqref="B62"/>
    </sheetView>
  </sheetViews>
  <sheetFormatPr defaultColWidth="12.6328125" defaultRowHeight="15.75" customHeight="true" zeroHeight="false" outlineLevelRow="0" outlineLevelCol="1"/>
  <cols>
    <col collapsed="false" customWidth="true" hidden="false" outlineLevel="0" max="1" min="1" style="0" width="2.13"/>
    <col collapsed="false" customWidth="true" hidden="false" outlineLevel="0" max="2" min="2" style="0" width="29.76"/>
    <col collapsed="false" customWidth="true" hidden="false" outlineLevel="0" max="11" min="3" style="0" width="9.24"/>
    <col collapsed="false" customWidth="true" hidden="false" outlineLevel="0" max="12" min="12" style="0" width="9.38"/>
    <col collapsed="false" customWidth="true" hidden="false" outlineLevel="0" max="13" min="13" style="0" width="10.63"/>
    <col collapsed="false" customWidth="true" hidden="false" outlineLevel="0" max="14" min="14" style="0" width="9.24"/>
    <col collapsed="false" customWidth="true" hidden="false" outlineLevel="0" max="15" min="15" style="0" width="10"/>
    <col collapsed="false" customWidth="true" hidden="false" outlineLevel="0" max="16" min="16" style="0" width="10.76"/>
    <col collapsed="false" customWidth="true" hidden="false" outlineLevel="0" max="17" min="17" style="0" width="10.25"/>
    <col collapsed="false" customWidth="true" hidden="false" outlineLevel="0" max="18" min="18" style="0" width="9.63"/>
    <col collapsed="false" customWidth="true" hidden="false" outlineLevel="0" max="19" min="19" style="0" width="9.14"/>
    <col collapsed="false" customWidth="true" hidden="false" outlineLevel="0" max="23" min="20" style="0" width="9.24"/>
    <col collapsed="false" customWidth="true" hidden="false" outlineLevel="0" max="24" min="24" style="0" width="12.88"/>
    <col collapsed="false" customWidth="true" hidden="false" outlineLevel="0" max="26" min="25" style="0" width="9.24"/>
    <col collapsed="false" customWidth="true" hidden="false" outlineLevel="0" max="27" min="27" style="0" width="10.51"/>
    <col collapsed="false" customWidth="true" hidden="false" outlineLevel="0" max="30" min="28" style="0" width="9.24"/>
    <col collapsed="false" customWidth="true" hidden="false" outlineLevel="0" max="31" min="31" style="0" width="10.51"/>
    <col collapsed="false" customWidth="true" hidden="false" outlineLevel="0" max="33" min="32" style="0" width="9.38"/>
    <col collapsed="false" customWidth="true" hidden="false" outlineLevel="1" max="40" min="34" style="0" width="9.38"/>
    <col collapsed="false" customWidth="true" hidden="false" outlineLevel="1" max="41" min="41" style="0" width="12"/>
    <col collapsed="false" customWidth="true" hidden="false" outlineLevel="1" max="42" min="42" style="0" width="9.38"/>
    <col collapsed="false" customWidth="true" hidden="false" outlineLevel="0" max="44" min="43" style="0" width="6.76"/>
    <col collapsed="false" customWidth="true" hidden="false" outlineLevel="1" max="45" min="45" style="0" width="8.87"/>
    <col collapsed="false" customWidth="true" hidden="false" outlineLevel="1" max="47" min="46" style="0" width="7.88"/>
    <col collapsed="false" customWidth="true" hidden="false" outlineLevel="1" max="48" min="48" style="0" width="9.14"/>
    <col collapsed="false" customWidth="true" hidden="false" outlineLevel="1" max="49" min="49" style="0" width="8.24"/>
    <col collapsed="false" customWidth="true" hidden="false" outlineLevel="1" max="50" min="50" style="0" width="5.51"/>
    <col collapsed="false" customWidth="true" hidden="false" outlineLevel="0" max="54" min="51" style="0" width="9.38"/>
    <col collapsed="false" customWidth="true" hidden="true" outlineLevel="1" max="65" min="55" style="0" width="9.38"/>
    <col collapsed="false" customWidth="true" hidden="false" outlineLevel="0" max="66" min="66" style="0" width="9.38"/>
    <col collapsed="false" customWidth="true" hidden="false" outlineLevel="0" max="67" min="67" style="0" width="9.51"/>
    <col collapsed="false" customWidth="true" hidden="false" outlineLevel="0" max="69" min="68" style="0" width="9.38"/>
  </cols>
  <sheetData>
    <row r="1" customFormat="false" ht="3" hidden="false" customHeight="true" outlineLevel="0" collapsed="false">
      <c r="A1" s="259" t="s">
        <v>865</v>
      </c>
      <c r="B1" s="260" t="s">
        <v>0</v>
      </c>
      <c r="C1" s="261" t="str">
        <f aca="false"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3"/>
      <c r="AM1" s="263"/>
      <c r="AN1" s="263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3"/>
      <c r="BG1" s="263"/>
      <c r="BH1" s="263"/>
      <c r="BI1" s="263"/>
      <c r="BJ1" s="263"/>
      <c r="BK1" s="263"/>
      <c r="BL1" s="263"/>
      <c r="BM1" s="263"/>
      <c r="BN1" s="263"/>
      <c r="BO1" s="263"/>
      <c r="BP1" s="263"/>
      <c r="BQ1" s="263"/>
    </row>
    <row r="2" customFormat="false" ht="26.25" hidden="false" customHeight="true" outlineLevel="0" collapsed="false">
      <c r="A2" s="242"/>
      <c r="B2" s="235" t="s">
        <v>1</v>
      </c>
      <c r="C2" s="235" t="s">
        <v>866</v>
      </c>
      <c r="D2" s="235"/>
      <c r="E2" s="235" t="s">
        <v>678</v>
      </c>
      <c r="F2" s="235" t="s">
        <v>678</v>
      </c>
      <c r="G2" s="235" t="s">
        <v>867</v>
      </c>
      <c r="H2" s="235" t="s">
        <v>150</v>
      </c>
      <c r="I2" s="235"/>
      <c r="J2" s="235"/>
      <c r="K2" s="235"/>
      <c r="L2" s="235"/>
      <c r="M2" s="235"/>
      <c r="N2" s="235"/>
      <c r="O2" s="235"/>
      <c r="P2" s="235"/>
      <c r="Q2" s="235"/>
      <c r="R2" s="235"/>
      <c r="S2" s="235"/>
      <c r="T2" s="264"/>
      <c r="U2" s="235"/>
      <c r="V2" s="265"/>
      <c r="W2" s="235"/>
      <c r="X2" s="235"/>
      <c r="Y2" s="235"/>
      <c r="Z2" s="235"/>
      <c r="AA2" s="235"/>
      <c r="AB2" s="235"/>
      <c r="AC2" s="235"/>
      <c r="AD2" s="235"/>
      <c r="AE2" s="235"/>
      <c r="AF2" s="235"/>
      <c r="AG2" s="243"/>
      <c r="AH2" s="243"/>
      <c r="AI2" s="243"/>
      <c r="AJ2" s="243"/>
      <c r="AK2" s="243"/>
      <c r="AL2" s="243"/>
      <c r="AM2" s="243"/>
      <c r="AN2" s="243"/>
      <c r="AO2" s="243"/>
      <c r="AP2" s="243"/>
      <c r="AQ2" s="266"/>
      <c r="AR2" s="243"/>
      <c r="AS2" s="243"/>
      <c r="AT2" s="243"/>
      <c r="AU2" s="243"/>
      <c r="AV2" s="243"/>
      <c r="AW2" s="243"/>
      <c r="AX2" s="243"/>
      <c r="AY2" s="243"/>
      <c r="AZ2" s="243"/>
      <c r="BA2" s="243"/>
      <c r="BB2" s="243"/>
      <c r="BC2" s="243"/>
      <c r="BD2" s="243"/>
      <c r="BE2" s="243"/>
      <c r="BF2" s="243"/>
      <c r="BG2" s="243"/>
      <c r="BH2" s="243"/>
      <c r="BI2" s="243"/>
      <c r="BJ2" s="243"/>
      <c r="BK2" s="243"/>
      <c r="BL2" s="243"/>
      <c r="BM2" s="243"/>
      <c r="BN2" s="243"/>
      <c r="BO2" s="243"/>
      <c r="BP2" s="243"/>
      <c r="BQ2" s="243"/>
    </row>
    <row r="3" customFormat="false" ht="26.25" hidden="false" customHeight="true" outlineLevel="0" collapsed="false">
      <c r="A3" s="242"/>
      <c r="B3" s="235" t="s">
        <v>21</v>
      </c>
      <c r="C3" s="267" t="n">
        <v>46174</v>
      </c>
      <c r="D3" s="268" t="n">
        <f aca="false">C3+1</f>
        <v>46175</v>
      </c>
      <c r="E3" s="268" t="n">
        <f aca="false">D3+1</f>
        <v>46176</v>
      </c>
      <c r="F3" s="268" t="n">
        <f aca="false">E3+1</f>
        <v>46177</v>
      </c>
      <c r="G3" s="268" t="n">
        <f aca="false">F3+1</f>
        <v>46178</v>
      </c>
      <c r="H3" s="268" t="n">
        <f aca="false">G3+1</f>
        <v>46179</v>
      </c>
      <c r="I3" s="268" t="n">
        <f aca="false">H3+1</f>
        <v>46180</v>
      </c>
      <c r="J3" s="268" t="n">
        <f aca="false">I3+1</f>
        <v>46181</v>
      </c>
      <c r="K3" s="268" t="n">
        <f aca="false">J3+1</f>
        <v>46182</v>
      </c>
      <c r="L3" s="268" t="n">
        <f aca="false">K3+1</f>
        <v>46183</v>
      </c>
      <c r="M3" s="268" t="n">
        <f aca="false">L3+1</f>
        <v>46184</v>
      </c>
      <c r="N3" s="268" t="n">
        <f aca="false">M3+1</f>
        <v>46185</v>
      </c>
      <c r="O3" s="268" t="n">
        <f aca="false">N3+1</f>
        <v>46186</v>
      </c>
      <c r="P3" s="268" t="n">
        <f aca="false">O3+1</f>
        <v>46187</v>
      </c>
      <c r="Q3" s="268" t="n">
        <f aca="false">P3+1</f>
        <v>46188</v>
      </c>
      <c r="R3" s="268" t="n">
        <f aca="false">Q3+1</f>
        <v>46189</v>
      </c>
      <c r="S3" s="268" t="n">
        <f aca="false">R3+1</f>
        <v>46190</v>
      </c>
      <c r="T3" s="269" t="n">
        <f aca="false">S3+1</f>
        <v>46191</v>
      </c>
      <c r="U3" s="268" t="n">
        <f aca="false">T3+1</f>
        <v>46192</v>
      </c>
      <c r="V3" s="270" t="n">
        <f aca="false">U3+1</f>
        <v>46193</v>
      </c>
      <c r="W3" s="268" t="n">
        <f aca="false">V3+1</f>
        <v>46194</v>
      </c>
      <c r="X3" s="268" t="n">
        <f aca="false">W3+1</f>
        <v>46195</v>
      </c>
      <c r="Y3" s="268" t="n">
        <f aca="false">X3+1</f>
        <v>46196</v>
      </c>
      <c r="Z3" s="268" t="n">
        <f aca="false">Y3+1</f>
        <v>46197</v>
      </c>
      <c r="AA3" s="268" t="n">
        <f aca="false">Z3+1</f>
        <v>46198</v>
      </c>
      <c r="AB3" s="268" t="n">
        <f aca="false">AA3+1</f>
        <v>46199</v>
      </c>
      <c r="AC3" s="268" t="n">
        <f aca="false">AB3+1</f>
        <v>46200</v>
      </c>
      <c r="AD3" s="268" t="n">
        <f aca="false">AC3+1</f>
        <v>46201</v>
      </c>
      <c r="AE3" s="268" t="n">
        <f aca="false">AD3+1</f>
        <v>46202</v>
      </c>
      <c r="AF3" s="268" t="n">
        <f aca="false">AE3+1</f>
        <v>46203</v>
      </c>
      <c r="AG3" s="268" t="n">
        <f aca="false">AF3+1</f>
        <v>46204</v>
      </c>
      <c r="AH3" s="243" t="str">
        <f aca="false">'Setting key Duty'!$C7</f>
        <v>DM</v>
      </c>
      <c r="AI3" s="243" t="str">
        <f aca="false">'Setting key Duty'!$C8</f>
        <v>CS1</v>
      </c>
      <c r="AJ3" s="243" t="str">
        <f aca="false">'Setting key Duty'!$C9</f>
        <v>CS2</v>
      </c>
      <c r="AK3" s="243" t="str">
        <f aca="false">'Setting key Duty'!$C10</f>
        <v>CS/B</v>
      </c>
      <c r="AL3" s="243" t="str">
        <f aca="false">'Setting key Duty'!$C11</f>
        <v>SB1</v>
      </c>
      <c r="AM3" s="243" t="str">
        <f aca="false">'Setting key Duty'!$C12</f>
        <v>SB2</v>
      </c>
      <c r="AN3" s="243" t="str">
        <f aca="false">'Setting key Duty'!$C13</f>
        <v>AE</v>
      </c>
      <c r="AO3" s="243" t="str">
        <f aca="false">'Setting key Duty'!$C16</f>
        <v>Outfield Reserve</v>
      </c>
      <c r="AP3" s="243" t="str">
        <f aca="false">'Setting key Duty'!C14</f>
        <v>EM</v>
      </c>
      <c r="AQ3" s="271" t="s">
        <v>559</v>
      </c>
      <c r="AR3" s="271" t="s">
        <v>560</v>
      </c>
      <c r="AS3" s="243" t="s">
        <v>22</v>
      </c>
      <c r="AT3" s="243" t="s">
        <v>23</v>
      </c>
      <c r="AU3" s="243" t="s">
        <v>561</v>
      </c>
      <c r="AV3" s="243" t="s">
        <v>24</v>
      </c>
      <c r="AW3" s="243" t="s">
        <v>25</v>
      </c>
      <c r="AX3" s="243" t="s">
        <v>26</v>
      </c>
      <c r="AY3" s="243" t="s">
        <v>27</v>
      </c>
      <c r="AZ3" s="243" t="s">
        <v>28</v>
      </c>
      <c r="BA3" s="271" t="s">
        <v>29</v>
      </c>
      <c r="BB3" s="271"/>
      <c r="BC3" s="243" t="s">
        <v>30</v>
      </c>
      <c r="BD3" s="243" t="s">
        <v>32</v>
      </c>
      <c r="BE3" s="243" t="s">
        <v>33</v>
      </c>
      <c r="BF3" s="243" t="s">
        <v>36</v>
      </c>
      <c r="BG3" s="243" t="s">
        <v>37</v>
      </c>
      <c r="BH3" s="243" t="s">
        <v>39</v>
      </c>
      <c r="BI3" s="243" t="s">
        <v>40</v>
      </c>
      <c r="BJ3" s="243" t="s">
        <v>41</v>
      </c>
      <c r="BK3" s="243" t="s">
        <v>42</v>
      </c>
      <c r="BL3" s="243" t="str">
        <f aca="false">'Setting key Duty'!C52</f>
        <v>Field Camp</v>
      </c>
      <c r="BM3" s="243" t="s">
        <v>43</v>
      </c>
      <c r="BN3" s="243" t="str">
        <f aca="false">'Setting key Duty'!$C15</f>
        <v>Block</v>
      </c>
      <c r="BO3" s="243" t="str">
        <f aca="false">'Setting key Duty'!C17</f>
        <v>Reserve</v>
      </c>
      <c r="BP3" s="243" t="str">
        <f aca="false">'Setting key Duty'!$C22</f>
        <v>AL</v>
      </c>
      <c r="BQ3" s="243"/>
    </row>
    <row r="4" customFormat="false" ht="18" hidden="false" customHeight="true" outlineLevel="0" collapsed="false">
      <c r="A4" s="272"/>
      <c r="B4" s="273" t="s">
        <v>156</v>
      </c>
      <c r="C4" s="274" t="str">
        <f aca="false">TEXT(C3,"ddd")</f>
        <v>Mon</v>
      </c>
      <c r="D4" s="275" t="str">
        <f aca="false">TEXT(D3,"ddd")</f>
        <v>Tue</v>
      </c>
      <c r="E4" s="275" t="str">
        <f aca="false">TEXT(E3,"ddd")</f>
        <v>Wed</v>
      </c>
      <c r="F4" s="275" t="str">
        <f aca="false">TEXT(F3,"ddd")</f>
        <v>Thu</v>
      </c>
      <c r="G4" s="275" t="str">
        <f aca="false">TEXT(G3,"ddd")</f>
        <v>Fri</v>
      </c>
      <c r="H4" s="275" t="str">
        <f aca="false">TEXT(H3,"ddd")</f>
        <v>Sat</v>
      </c>
      <c r="I4" s="275" t="str">
        <f aca="false">TEXT(I3,"ddd")</f>
        <v>Sun</v>
      </c>
      <c r="J4" s="275" t="str">
        <f aca="false">TEXT(J3,"ddd")</f>
        <v>Mon</v>
      </c>
      <c r="K4" s="275" t="str">
        <f aca="false">TEXT(K3,"ddd")</f>
        <v>Tue</v>
      </c>
      <c r="L4" s="275" t="str">
        <f aca="false">TEXT(L3,"ddd")</f>
        <v>Wed</v>
      </c>
      <c r="M4" s="275" t="str">
        <f aca="false">TEXT(M3,"ddd")</f>
        <v>Thu</v>
      </c>
      <c r="N4" s="275" t="str">
        <f aca="false">TEXT(N3,"ddd")</f>
        <v>Fri</v>
      </c>
      <c r="O4" s="275" t="str">
        <f aca="false">TEXT(O3,"ddd")</f>
        <v>Sat</v>
      </c>
      <c r="P4" s="275" t="str">
        <f aca="false">TEXT(P3,"ddd")</f>
        <v>Sun</v>
      </c>
      <c r="Q4" s="275" t="str">
        <f aca="false">TEXT(Q3,"ddd")</f>
        <v>Mon</v>
      </c>
      <c r="R4" s="275" t="str">
        <f aca="false">TEXT(R3,"ddd")</f>
        <v>Tue</v>
      </c>
      <c r="S4" s="275" t="str">
        <f aca="false">TEXT(S3,"ddd")</f>
        <v>Wed</v>
      </c>
      <c r="T4" s="274" t="str">
        <f aca="false">TEXT(T3,"ddd")</f>
        <v>Thu</v>
      </c>
      <c r="U4" s="275" t="str">
        <f aca="false">TEXT(U3,"ddd")</f>
        <v>Fri</v>
      </c>
      <c r="V4" s="276" t="str">
        <f aca="false">TEXT(V3,"ddd")</f>
        <v>Sat</v>
      </c>
      <c r="W4" s="275" t="str">
        <f aca="false">TEXT(W3,"ddd")</f>
        <v>Sun</v>
      </c>
      <c r="X4" s="275" t="str">
        <f aca="false">TEXT(X3,"ddd")</f>
        <v>Mon</v>
      </c>
      <c r="Y4" s="275" t="str">
        <f aca="false">TEXT(Y3,"ddd")</f>
        <v>Tue</v>
      </c>
      <c r="Z4" s="275" t="str">
        <f aca="false">TEXT(Z3,"ddd")</f>
        <v>Wed</v>
      </c>
      <c r="AA4" s="275" t="str">
        <f aca="false">TEXT(AA3,"ddd")</f>
        <v>Thu</v>
      </c>
      <c r="AB4" s="275" t="str">
        <f aca="false">TEXT(AB3,"ddd")</f>
        <v>Fri</v>
      </c>
      <c r="AC4" s="275" t="str">
        <f aca="false">TEXT(AC3,"ddd")</f>
        <v>Sat</v>
      </c>
      <c r="AD4" s="275" t="str">
        <f aca="false">TEXT(AD3,"ddd")</f>
        <v>Sun</v>
      </c>
      <c r="AE4" s="275" t="str">
        <f aca="false">TEXT(AE3,"ddd")</f>
        <v>Mon</v>
      </c>
      <c r="AF4" s="275" t="str">
        <f aca="false">TEXT(AF3,"ddd")</f>
        <v>Tue</v>
      </c>
      <c r="AG4" s="275" t="str">
        <f aca="false">TEXT(AG3,"ddd")</f>
        <v>Wed</v>
      </c>
      <c r="AH4" s="273" t="str">
        <f aca="false">'Setting key Duty'!$B7</f>
        <v>DM</v>
      </c>
      <c r="AI4" s="273" t="str">
        <f aca="false">'Setting key Duty'!$B8</f>
        <v>CS1</v>
      </c>
      <c r="AJ4" s="273" t="str">
        <f aca="false">'Setting key Duty'!$B9</f>
        <v>CS2</v>
      </c>
      <c r="AK4" s="273" t="str">
        <f aca="false">'Setting key Duty'!$B10</f>
        <v>CS/B</v>
      </c>
      <c r="AL4" s="273" t="str">
        <f aca="false">'Setting key Duty'!$B11</f>
        <v>SB1</v>
      </c>
      <c r="AM4" s="273" t="str">
        <f aca="false">'Setting key Duty'!$B12</f>
        <v>SB2</v>
      </c>
      <c r="AN4" s="273" t="str">
        <f aca="false">'Setting key Duty'!$B13</f>
        <v>AE</v>
      </c>
      <c r="AO4" s="273" t="str">
        <f aca="false">'Setting key Duty'!$B16</f>
        <v>Outfield Reserve</v>
      </c>
      <c r="AP4" s="273" t="str">
        <f aca="false">'Setting key Duty'!B14</f>
        <v>EM</v>
      </c>
      <c r="AQ4" s="271"/>
      <c r="AR4" s="271"/>
      <c r="AS4" s="273"/>
      <c r="AT4" s="273"/>
      <c r="AU4" s="273"/>
      <c r="AV4" s="273"/>
      <c r="AW4" s="273"/>
      <c r="AX4" s="273"/>
      <c r="AY4" s="273"/>
      <c r="AZ4" s="273"/>
      <c r="BA4" s="277"/>
      <c r="BB4" s="277"/>
      <c r="BC4" s="273"/>
      <c r="BD4" s="273" t="s">
        <v>46</v>
      </c>
      <c r="BE4" s="273"/>
      <c r="BF4" s="273" t="s">
        <v>48</v>
      </c>
      <c r="BG4" s="273"/>
      <c r="BH4" s="273" t="s">
        <v>50</v>
      </c>
      <c r="BI4" s="273"/>
      <c r="BJ4" s="273" t="s">
        <v>51</v>
      </c>
      <c r="BK4" s="273"/>
      <c r="BL4" s="273" t="str">
        <f aca="false">'Setting key Duty'!B52</f>
        <v>$FC</v>
      </c>
      <c r="BM4" s="273"/>
      <c r="BN4" s="273" t="n">
        <f aca="false">'Setting key Duty'!$B15</f>
        <v>0</v>
      </c>
      <c r="BO4" s="273" t="str">
        <f aca="false">'Setting key Duty'!B17</f>
        <v>RESERVE</v>
      </c>
      <c r="BP4" s="273" t="str">
        <f aca="false">'Setting key Duty'!$B22</f>
        <v>AL</v>
      </c>
      <c r="BQ4" s="273"/>
    </row>
    <row r="5" customFormat="false" ht="87" hidden="false" customHeight="true" outlineLevel="0" collapsed="false">
      <c r="A5" s="272"/>
      <c r="B5" s="282" t="s">
        <v>565</v>
      </c>
      <c r="C5" s="280"/>
      <c r="D5" s="280" t="s">
        <v>709</v>
      </c>
      <c r="E5" s="92"/>
      <c r="F5" s="266"/>
      <c r="G5" s="266" t="s">
        <v>150</v>
      </c>
      <c r="H5" s="266" t="s">
        <v>671</v>
      </c>
      <c r="I5" s="266"/>
      <c r="J5" s="266" t="s">
        <v>55</v>
      </c>
      <c r="K5" s="266" t="s">
        <v>57</v>
      </c>
      <c r="L5" s="92"/>
      <c r="M5" s="91" t="s">
        <v>709</v>
      </c>
      <c r="N5" s="92"/>
      <c r="O5" s="266"/>
      <c r="P5" s="266" t="s">
        <v>56</v>
      </c>
      <c r="Q5" s="92"/>
      <c r="R5" s="46" t="s">
        <v>350</v>
      </c>
      <c r="T5" s="91" t="s">
        <v>868</v>
      </c>
      <c r="U5" s="266" t="s">
        <v>869</v>
      </c>
      <c r="V5" s="266" t="s">
        <v>869</v>
      </c>
      <c r="W5" s="266" t="s">
        <v>869</v>
      </c>
      <c r="X5" s="266" t="s">
        <v>869</v>
      </c>
      <c r="Y5" s="266" t="s">
        <v>93</v>
      </c>
      <c r="Z5" s="266" t="s">
        <v>869</v>
      </c>
      <c r="AA5" s="266" t="s">
        <v>869</v>
      </c>
      <c r="AB5" s="266" t="s">
        <v>869</v>
      </c>
      <c r="AC5" s="266" t="s">
        <v>869</v>
      </c>
      <c r="AD5" s="266" t="s">
        <v>869</v>
      </c>
      <c r="AE5" s="266" t="s">
        <v>869</v>
      </c>
      <c r="AF5" s="266" t="s">
        <v>869</v>
      </c>
      <c r="AG5" s="266" t="s">
        <v>869</v>
      </c>
      <c r="AH5" s="272" t="n">
        <f aca="false">COUNTIF($C5:$AF5,AH$4)</f>
        <v>1</v>
      </c>
      <c r="AI5" s="272" t="n">
        <f aca="false">COUNTIF($C5:$AF5,AI$4)</f>
        <v>1</v>
      </c>
      <c r="AJ5" s="272" t="n">
        <f aca="false">COUNTIF($C5:$AF5,AJ$4)</f>
        <v>0</v>
      </c>
      <c r="AK5" s="272" t="n">
        <f aca="false">COUNTIF($C5:$AF5,AK$4)</f>
        <v>0</v>
      </c>
      <c r="AL5" s="272" t="n">
        <f aca="false">COUNTIF($C5:$AF5,AL$4)</f>
        <v>0</v>
      </c>
      <c r="AM5" s="272" t="n">
        <f aca="false">COUNTIF($C5:$AF5,AM$4)</f>
        <v>1</v>
      </c>
      <c r="AN5" s="272" t="n">
        <f aca="false">COUNTIF($C5:$AF5,AN$4)</f>
        <v>0</v>
      </c>
      <c r="AO5" s="272" t="n">
        <f aca="false">COUNTIF($C5:$AF5,AO$4)</f>
        <v>0</v>
      </c>
      <c r="AP5" s="272" t="n">
        <f aca="false">COUNTIF($C5:$AF5,AP$4)</f>
        <v>0</v>
      </c>
      <c r="AQ5" s="279"/>
      <c r="AR5" s="279" t="n">
        <v>0.5</v>
      </c>
      <c r="AS5" s="278" t="n">
        <f aca="false">SUMPRODUCT(--(WEEKDAY(C$3:AG$3,2)&lt;5),--ISNUMBER(MATCH(C5:AG5,{"DM","CS1","CS2","SB1","AE","CS/B"},0)))</f>
        <v>1</v>
      </c>
      <c r="AT5" s="278"/>
      <c r="AU5" s="278" t="n">
        <f aca="false">SUMPRODUCT(--(WEEKDAY(C$3:AG$3,2)=5),--ISNUMBER(MATCH(C5:AG5,{"DM","CS1","CS2","SB1","AE","CS/B","WEEKEND OUTFIELD RESERVE"},0)))</f>
        <v>0</v>
      </c>
      <c r="AV5" s="278" t="n">
        <f aca="false">SUMPRODUCT(--(WEEKDAY(C$3:AG$3,2)&gt;5),--ISNUMBER(MATCH(C5:AG5,{"DM","CS1","CS2","SB1","AE","CS/B","WEEKEND OUTFIELD RESERVE"},0)))</f>
        <v>1</v>
      </c>
      <c r="AW5" s="278"/>
      <c r="AX5" s="278" t="n">
        <f aca="false">(AS5-AT5)+AU5*1.5+(AV5-AW5)*2+AM5*0.5+AO5*0.5+AQ5-AR5</f>
        <v>3</v>
      </c>
      <c r="AY5" s="278" t="n">
        <f aca="false">AS5+AU5+AV5</f>
        <v>2</v>
      </c>
      <c r="AZ5" s="278" t="n">
        <f aca="false">BD5+BF5+BH5+BJ5+BL5</f>
        <v>1</v>
      </c>
      <c r="BA5" s="279" t="n">
        <f aca="false">AX5+BC5</f>
        <v>4</v>
      </c>
      <c r="BB5" s="279" t="n">
        <f aca="false">(BA5-5)</f>
        <v>-1</v>
      </c>
      <c r="BC5" s="278" t="n">
        <f aca="false">BE5+BG5+BI5+BK5+BM5</f>
        <v>1</v>
      </c>
      <c r="BD5" s="278" t="n">
        <f aca="false">COUNTIF(A5:AH5,"*$BTP*")</f>
        <v>0</v>
      </c>
      <c r="BE5" s="278" t="n">
        <f aca="false">BD5*1.5</f>
        <v>0</v>
      </c>
      <c r="BF5" s="278" t="n">
        <f aca="false">COUNTIF(A5:AH5,"*$M*")</f>
        <v>1</v>
      </c>
      <c r="BG5" s="278" t="n">
        <f aca="false">BF5*1</f>
        <v>1</v>
      </c>
      <c r="BH5" s="278" t="n">
        <f aca="false">COUNTIF(A5:AH5,"*$PM*")</f>
        <v>0</v>
      </c>
      <c r="BI5" s="278" t="n">
        <f aca="false">BH5*0.5</f>
        <v>0</v>
      </c>
      <c r="BJ5" s="278" t="n">
        <f aca="false">COUNTIF(A5:AH5,"*$AM*")</f>
        <v>0</v>
      </c>
      <c r="BK5" s="278" t="n">
        <f aca="false">BJ5*0.5</f>
        <v>0</v>
      </c>
      <c r="BL5" s="278" t="n">
        <f aca="false">COUNTIF(A5:AH5,"*$FC*")</f>
        <v>0</v>
      </c>
      <c r="BM5" s="278" t="n">
        <f aca="false">BL5*1</f>
        <v>0</v>
      </c>
      <c r="BN5" s="278" t="n">
        <f aca="false">COUNTIF($D5:$Z5,BN$4)</f>
        <v>0</v>
      </c>
      <c r="BO5" s="278" t="n">
        <f aca="false">COUNTIF($D5:$Z5,BO$4)</f>
        <v>1</v>
      </c>
      <c r="BP5" s="278" t="n">
        <f aca="false">COUNTIF($D5:$Z5,BP$4)</f>
        <v>1</v>
      </c>
      <c r="BQ5" s="278"/>
    </row>
    <row r="6" customFormat="false" ht="73.5" hidden="false" customHeight="true" outlineLevel="0" collapsed="false">
      <c r="A6" s="272"/>
      <c r="B6" s="278" t="s">
        <v>567</v>
      </c>
      <c r="C6" s="283"/>
      <c r="D6" s="283" t="s">
        <v>57</v>
      </c>
      <c r="E6" s="92"/>
      <c r="F6" s="266" t="s">
        <v>150</v>
      </c>
      <c r="G6" s="266" t="s">
        <v>150</v>
      </c>
      <c r="H6" s="266" t="s">
        <v>671</v>
      </c>
      <c r="I6" s="266"/>
      <c r="J6" s="266"/>
      <c r="K6" s="266"/>
      <c r="L6" s="266"/>
      <c r="M6" s="92"/>
      <c r="N6" s="266"/>
      <c r="O6" s="266" t="s">
        <v>56</v>
      </c>
      <c r="P6" s="266"/>
      <c r="Q6" s="91" t="s">
        <v>672</v>
      </c>
      <c r="R6" s="91" t="s">
        <v>672</v>
      </c>
      <c r="S6" s="91" t="s">
        <v>672</v>
      </c>
      <c r="T6" s="91" t="s">
        <v>672</v>
      </c>
      <c r="U6" s="91" t="s">
        <v>672</v>
      </c>
      <c r="V6" s="91" t="s">
        <v>672</v>
      </c>
      <c r="W6" s="91" t="s">
        <v>672</v>
      </c>
      <c r="X6" s="266" t="s">
        <v>57</v>
      </c>
      <c r="Y6" s="92" t="s">
        <v>69</v>
      </c>
      <c r="Z6" s="266" t="s">
        <v>57</v>
      </c>
      <c r="AA6" s="92"/>
      <c r="AB6" s="266" t="s">
        <v>93</v>
      </c>
      <c r="AC6" s="92"/>
      <c r="AD6" s="266"/>
      <c r="AE6" s="92"/>
      <c r="AF6" s="92" t="s">
        <v>56</v>
      </c>
      <c r="AG6" s="266"/>
      <c r="AH6" s="272" t="n">
        <f aca="false">COUNTIF($C6:$AF6,AH$4)</f>
        <v>3</v>
      </c>
      <c r="AI6" s="272" t="n">
        <f aca="false">COUNTIF($C6:$AF6,AI$4)</f>
        <v>2</v>
      </c>
      <c r="AJ6" s="272" t="n">
        <f aca="false">COUNTIF($C6:$AF6,AJ$4)</f>
        <v>0</v>
      </c>
      <c r="AK6" s="272" t="n">
        <f aca="false">COUNTIF($C6:$AF6,AK$4)</f>
        <v>0</v>
      </c>
      <c r="AL6" s="272" t="n">
        <f aca="false">COUNTIF($C6:$AF6,AL$4)</f>
        <v>0</v>
      </c>
      <c r="AM6" s="272" t="n">
        <f aca="false">COUNTIF($C6:$AF6,AM$4)</f>
        <v>1</v>
      </c>
      <c r="AN6" s="272" t="n">
        <f aca="false">COUNTIF($C6:$AF6,AN$4)</f>
        <v>0</v>
      </c>
      <c r="AO6" s="272" t="n">
        <f aca="false">COUNTIF($C6:$AF6,AO$4)</f>
        <v>0</v>
      </c>
      <c r="AP6" s="272" t="n">
        <f aca="false">COUNTIF($C6:$AF6,AP$4)</f>
        <v>0</v>
      </c>
      <c r="AQ6" s="279"/>
      <c r="AR6" s="279" t="n">
        <v>5</v>
      </c>
      <c r="AS6" s="278" t="n">
        <f aca="false">SUMPRODUCT(--(WEEKDAY(C$3:AG$3,2)&lt;5),--ISNUMBER(MATCH(C6:AG6,{"DM","CS1","CS2","SB1","AE","CS/B"},0)))</f>
        <v>4</v>
      </c>
      <c r="AT6" s="278"/>
      <c r="AU6" s="278" t="n">
        <f aca="false">SUMPRODUCT(--(WEEKDAY(C$3:AG$3,2)=5),--ISNUMBER(MATCH(C6:AG6,{"DM","CS1","CS2","SB1","AE","CS/B","WEEKEND OUTFIELD RESERVE"},0)))</f>
        <v>0</v>
      </c>
      <c r="AV6" s="278" t="n">
        <f aca="false">SUMPRODUCT(--(WEEKDAY(C$3:AG$3,2)&gt;5),--ISNUMBER(MATCH(C6:AG6,{"DM","CS1","CS2","SB1","AE","CS/B","WEEKEND OUTFIELD RESERVE"},0)))</f>
        <v>1</v>
      </c>
      <c r="AW6" s="278"/>
      <c r="AX6" s="278" t="n">
        <f aca="false">(AS6-AT6)+AU6*1.5+(AV6-AW6)*2+AM6*0.5+AO6*0.5+AQ6-AR6</f>
        <v>1.5</v>
      </c>
      <c r="AY6" s="278" t="n">
        <f aca="false">AS6+AU6+AV6</f>
        <v>5</v>
      </c>
      <c r="AZ6" s="278" t="n">
        <f aca="false">BD6+BF6+BH6+BJ6+BL6</f>
        <v>1</v>
      </c>
      <c r="BA6" s="279" t="n">
        <f aca="false">AX6+BC6</f>
        <v>2.5</v>
      </c>
      <c r="BB6" s="279" t="n">
        <f aca="false">(BA6-5)</f>
        <v>-2.5</v>
      </c>
      <c r="BC6" s="278" t="n">
        <f aca="false">BE6+BG6+BI6+BK6+BM6</f>
        <v>1</v>
      </c>
      <c r="BD6" s="278" t="n">
        <f aca="false">COUNTIF(A6:AH6,"*$BTP*")</f>
        <v>0</v>
      </c>
      <c r="BE6" s="278" t="n">
        <f aca="false">BD6*1.5</f>
        <v>0</v>
      </c>
      <c r="BF6" s="278" t="n">
        <f aca="false">COUNTIF(A6:AH6,"*$M*")</f>
        <v>1</v>
      </c>
      <c r="BG6" s="278" t="n">
        <f aca="false">BF6*1</f>
        <v>1</v>
      </c>
      <c r="BH6" s="278" t="n">
        <f aca="false">COUNTIF(A6:AH6,"*$PM*")</f>
        <v>0</v>
      </c>
      <c r="BI6" s="278" t="n">
        <f aca="false">BH6*0.5</f>
        <v>0</v>
      </c>
      <c r="BJ6" s="278" t="n">
        <f aca="false">COUNTIF(A6:AH6,"*$AM*")</f>
        <v>0</v>
      </c>
      <c r="BK6" s="278" t="n">
        <f aca="false">BJ6*0.5</f>
        <v>0</v>
      </c>
      <c r="BL6" s="278" t="n">
        <f aca="false">COUNTIF(A6:AH6,"*$FC*")</f>
        <v>0</v>
      </c>
      <c r="BM6" s="278" t="n">
        <f aca="false">BL6*1</f>
        <v>0</v>
      </c>
      <c r="BN6" s="278" t="n">
        <f aca="false">COUNTIF($D6:$AA6,BN$4)</f>
        <v>0</v>
      </c>
      <c r="BO6" s="278" t="n">
        <f aca="false">COUNTIF($D6:$AA6,BO$4)</f>
        <v>0</v>
      </c>
      <c r="BP6" s="278" t="n">
        <f aca="false">COUNTIF($D6:$AA6,BP$4)</f>
        <v>0</v>
      </c>
      <c r="BQ6" s="278"/>
    </row>
    <row r="7" customFormat="false" ht="80.25" hidden="false" customHeight="true" outlineLevel="0" collapsed="false">
      <c r="A7" s="272"/>
      <c r="B7" s="282" t="s">
        <v>766</v>
      </c>
      <c r="C7" s="283"/>
      <c r="D7" s="266"/>
      <c r="E7" s="91" t="s">
        <v>57</v>
      </c>
      <c r="F7" s="266"/>
      <c r="G7" s="266" t="s">
        <v>870</v>
      </c>
      <c r="H7" s="91"/>
      <c r="I7" s="266"/>
      <c r="J7" s="266" t="s">
        <v>870</v>
      </c>
      <c r="K7" s="266"/>
      <c r="L7" s="266" t="s">
        <v>57</v>
      </c>
      <c r="M7" s="266"/>
      <c r="N7" s="91"/>
      <c r="O7" s="266"/>
      <c r="P7" s="266"/>
      <c r="Q7" s="91" t="s">
        <v>55</v>
      </c>
      <c r="R7" s="266" t="s">
        <v>55</v>
      </c>
      <c r="S7" s="266" t="s">
        <v>55</v>
      </c>
      <c r="T7" s="91" t="s">
        <v>55</v>
      </c>
      <c r="U7" s="266" t="s">
        <v>55</v>
      </c>
      <c r="V7" s="266"/>
      <c r="W7" s="266"/>
      <c r="X7" s="266" t="s">
        <v>253</v>
      </c>
      <c r="Y7" s="266"/>
      <c r="Z7" s="266"/>
      <c r="AA7" s="283" t="s">
        <v>350</v>
      </c>
      <c r="AB7" s="266"/>
      <c r="AC7" s="266" t="s">
        <v>57</v>
      </c>
      <c r="AD7" s="266"/>
      <c r="AE7" s="92"/>
      <c r="AF7" s="266"/>
      <c r="AG7" s="266"/>
      <c r="AH7" s="272" t="n">
        <f aca="false">COUNTIF($C7:$AF7,AH$4)</f>
        <v>3</v>
      </c>
      <c r="AI7" s="272" t="n">
        <f aca="false">COUNTIF($C7:$AF7,AI$4)</f>
        <v>0</v>
      </c>
      <c r="AJ7" s="272" t="n">
        <f aca="false">COUNTIF($C7:$AF7,AJ$4)</f>
        <v>0</v>
      </c>
      <c r="AK7" s="272" t="n">
        <f aca="false">COUNTIF($C7:$AF7,AK$4)</f>
        <v>0</v>
      </c>
      <c r="AL7" s="272" t="n">
        <f aca="false">COUNTIF($C7:$AF7,AL$4)</f>
        <v>0</v>
      </c>
      <c r="AM7" s="272" t="n">
        <f aca="false">COUNTIF($C7:$AF7,AM$4)</f>
        <v>0</v>
      </c>
      <c r="AN7" s="272" t="n">
        <f aca="false">COUNTIF($C7:$AF7,AN$4)</f>
        <v>0</v>
      </c>
      <c r="AO7" s="272" t="n">
        <f aca="false">COUNTIF($C7:$AF7,AO$4)</f>
        <v>0</v>
      </c>
      <c r="AP7" s="272" t="n">
        <f aca="false">COUNTIF($C7:$AF7,AP$4)</f>
        <v>0</v>
      </c>
      <c r="AQ7" s="279" t="n">
        <v>1</v>
      </c>
      <c r="AR7" s="279"/>
      <c r="AS7" s="278" t="n">
        <f aca="false">SUMPRODUCT(--(WEEKDAY(C$3:AG$3,2)&lt;5),--ISNUMBER(MATCH(C7:AG7,{"DM","CS1","CS2","SB1","AE","CS/B"},0)))</f>
        <v>2</v>
      </c>
      <c r="AT7" s="278"/>
      <c r="AU7" s="278" t="n">
        <f aca="false">SUMPRODUCT(--(WEEKDAY(C$3:AG$3,2)=5),--ISNUMBER(MATCH(C7:AG7,{"DM","CS1","CS2","SB1","AE","CS/B","WEEKEND OUTFIELD RESERVE"},0)))</f>
        <v>0</v>
      </c>
      <c r="AV7" s="278" t="n">
        <f aca="false">SUMPRODUCT(--(WEEKDAY(C$3:AG$3,2)&gt;5),--ISNUMBER(MATCH(C7:AG7,{"DM","CS1","CS2","SB1","AE","CS/B","WEEKEND OUTFIELD RESERVE"},0)))</f>
        <v>1</v>
      </c>
      <c r="AW7" s="278"/>
      <c r="AX7" s="278" t="n">
        <f aca="false">(AS7-AT7)+AU7*1.5+(AV7-AW7)*2+AM7*0.5+AO7*0.5+AQ7-AR7</f>
        <v>5</v>
      </c>
      <c r="AY7" s="278" t="n">
        <f aca="false">AS7+AU7+AV7</f>
        <v>3</v>
      </c>
      <c r="AZ7" s="278" t="n">
        <f aca="false">BD7+BF7+BH7+BJ7+BL7</f>
        <v>0</v>
      </c>
      <c r="BA7" s="279" t="n">
        <f aca="false">AX7+BC7</f>
        <v>5</v>
      </c>
      <c r="BB7" s="279" t="n">
        <f aca="false">(BA7-5)</f>
        <v>0</v>
      </c>
      <c r="BC7" s="278" t="n">
        <f aca="false">BE7+BG7+BI7+BK7+BM7</f>
        <v>0</v>
      </c>
      <c r="BD7" s="278" t="n">
        <f aca="false">COUNTIF(A7:AH7,"*$BTP*")</f>
        <v>0</v>
      </c>
      <c r="BE7" s="278" t="n">
        <f aca="false">BD7*1.5</f>
        <v>0</v>
      </c>
      <c r="BF7" s="278" t="n">
        <f aca="false">COUNTIF(A7:AH7,"*$M*")</f>
        <v>0</v>
      </c>
      <c r="BG7" s="278" t="n">
        <f aca="false">BF7*1</f>
        <v>0</v>
      </c>
      <c r="BH7" s="278" t="n">
        <f aca="false">COUNTIF(A7:AH7,"*$PM*")</f>
        <v>0</v>
      </c>
      <c r="BI7" s="278" t="n">
        <f aca="false">BH7*0.5</f>
        <v>0</v>
      </c>
      <c r="BJ7" s="278" t="n">
        <f aca="false">COUNTIF(A7:AH7,"*$AM*")</f>
        <v>0</v>
      </c>
      <c r="BK7" s="278" t="n">
        <f aca="false">BJ7*0.5</f>
        <v>0</v>
      </c>
      <c r="BL7" s="278" t="n">
        <f aca="false">COUNTIF(A7:AH7,"*$FC*")</f>
        <v>0</v>
      </c>
      <c r="BM7" s="278" t="n">
        <f aca="false">BL7*1</f>
        <v>0</v>
      </c>
      <c r="BN7" s="278" t="n">
        <f aca="false">COUNTIF($D7:$AA7,BN$4)</f>
        <v>0</v>
      </c>
      <c r="BO7" s="278" t="n">
        <f aca="false">COUNTIF($D7:$AA7,BO$4)</f>
        <v>1</v>
      </c>
      <c r="BP7" s="278" t="n">
        <f aca="false">COUNTIF($D7:$AA7,BP$4)</f>
        <v>5</v>
      </c>
      <c r="BQ7" s="278"/>
    </row>
    <row r="8" customFormat="false" ht="19.5" hidden="false" customHeight="true" outlineLevel="0" collapsed="false">
      <c r="A8" s="272"/>
      <c r="B8" s="282" t="s">
        <v>574</v>
      </c>
      <c r="C8" s="91"/>
      <c r="D8" s="266" t="s">
        <v>58</v>
      </c>
      <c r="E8" s="92"/>
      <c r="F8" s="266" t="s">
        <v>150</v>
      </c>
      <c r="G8" s="266" t="s">
        <v>150</v>
      </c>
      <c r="H8" s="266" t="s">
        <v>671</v>
      </c>
      <c r="I8" s="266"/>
      <c r="J8" s="283" t="s">
        <v>350</v>
      </c>
      <c r="K8" s="266"/>
      <c r="L8" s="92"/>
      <c r="M8" s="91"/>
      <c r="N8" s="266"/>
      <c r="P8" s="266"/>
      <c r="Q8" s="92"/>
      <c r="R8" s="92" t="s">
        <v>573</v>
      </c>
      <c r="S8" s="266"/>
      <c r="T8" s="91" t="s">
        <v>57</v>
      </c>
      <c r="U8" s="92"/>
      <c r="V8" s="266" t="s">
        <v>57</v>
      </c>
      <c r="W8" s="266"/>
      <c r="X8" s="91"/>
      <c r="Y8" s="266" t="s">
        <v>57</v>
      </c>
      <c r="Z8" s="92"/>
      <c r="AA8" s="92"/>
      <c r="AC8" s="91"/>
      <c r="AD8" s="266"/>
      <c r="AE8" s="266"/>
      <c r="AF8" s="266"/>
      <c r="AG8" s="266"/>
      <c r="AH8" s="272" t="n">
        <f aca="false">COUNTIF($C8:$AF8,AH$4)</f>
        <v>3</v>
      </c>
      <c r="AI8" s="272" t="n">
        <f aca="false">COUNTIF($C8:$AF8,AI$4)</f>
        <v>0</v>
      </c>
      <c r="AJ8" s="272" t="n">
        <f aca="false">COUNTIF($C8:$AF8,AJ$4)</f>
        <v>0</v>
      </c>
      <c r="AK8" s="272" t="n">
        <f aca="false">COUNTIF($C8:$AF8,AK$4)</f>
        <v>0</v>
      </c>
      <c r="AL8" s="272" t="n">
        <f aca="false">COUNTIF($C8:$AF8,AL$4)</f>
        <v>1</v>
      </c>
      <c r="AM8" s="272" t="n">
        <f aca="false">COUNTIF($C8:$AF8,AM$4)</f>
        <v>0</v>
      </c>
      <c r="AN8" s="272" t="n">
        <f aca="false">COUNTIF($C8:$AF8,AN$4)</f>
        <v>0</v>
      </c>
      <c r="AO8" s="272" t="n">
        <f aca="false">COUNTIF($C8:$AF8,AO$4)</f>
        <v>0</v>
      </c>
      <c r="AP8" s="272" t="n">
        <f aca="false">COUNTIF($C8:$AF8,AP$4)</f>
        <v>0</v>
      </c>
      <c r="AQ8" s="279" t="n">
        <v>0</v>
      </c>
      <c r="AR8" s="279"/>
      <c r="AS8" s="278" t="n">
        <f aca="false">SUMPRODUCT(--(WEEKDAY(C$3:AG$3,2)&lt;5),--ISNUMBER(MATCH(C8:AG8,{"DM","CS1","CS2","SB1","AE","CS/B"},0)))</f>
        <v>3</v>
      </c>
      <c r="AT8" s="278"/>
      <c r="AU8" s="278" t="n">
        <f aca="false">SUMPRODUCT(--(WEEKDAY(C$3:AG$3,2)=5),--ISNUMBER(MATCH(C8:AG8,{"DM","CS1","CS2","SB1","AE","CS/B","WEEKEND OUTFIELD RESERVE"},0)))</f>
        <v>0</v>
      </c>
      <c r="AV8" s="278" t="n">
        <f aca="false">SUMPRODUCT(--(WEEKDAY(C$3:AG$3,2)&gt;5),--ISNUMBER(MATCH(C8:AG8,{"DM","CS1","CS2","SB1","AE","CS/B","WEEKEND OUTFIELD RESERVE"},0)))</f>
        <v>1</v>
      </c>
      <c r="AW8" s="278"/>
      <c r="AX8" s="278" t="n">
        <f aca="false">(AS8-AT8)+AU8*1.5+(AV8-AW8)*2+AM8*0.5+AO8*0.5+AQ8-AR8</f>
        <v>5</v>
      </c>
      <c r="AY8" s="278" t="n">
        <f aca="false">AS8+AU8+AV8</f>
        <v>4</v>
      </c>
      <c r="AZ8" s="278" t="n">
        <f aca="false">BD8+BF8+BH8+BJ8+BL8</f>
        <v>1</v>
      </c>
      <c r="BA8" s="279" t="n">
        <f aca="false">AX8+BC8</f>
        <v>6</v>
      </c>
      <c r="BB8" s="279" t="n">
        <f aca="false">(BA8-5)</f>
        <v>1</v>
      </c>
      <c r="BC8" s="278" t="n">
        <f aca="false">BE8+BG8+BI8+BK8+BM8</f>
        <v>1</v>
      </c>
      <c r="BD8" s="278" t="n">
        <f aca="false">COUNTIF(A8:AH8,"*$BTP*")</f>
        <v>0</v>
      </c>
      <c r="BE8" s="278" t="n">
        <f aca="false">BD8*1.5</f>
        <v>0</v>
      </c>
      <c r="BF8" s="278" t="n">
        <f aca="false">COUNTIF(A8:AH8,"*$M*")</f>
        <v>1</v>
      </c>
      <c r="BG8" s="278" t="n">
        <f aca="false">BF8*1</f>
        <v>1</v>
      </c>
      <c r="BH8" s="278" t="n">
        <f aca="false">COUNTIF(A8:AH8,"*$PM*")</f>
        <v>0</v>
      </c>
      <c r="BI8" s="278" t="n">
        <f aca="false">BH8*0.5</f>
        <v>0</v>
      </c>
      <c r="BJ8" s="278" t="n">
        <f aca="false">COUNTIF(A8:AH8,"*$AM*")</f>
        <v>0</v>
      </c>
      <c r="BK8" s="278" t="n">
        <f aca="false">BJ8*0.5</f>
        <v>0</v>
      </c>
      <c r="BL8" s="278" t="n">
        <f aca="false">COUNTIF(A8:AH8,"*$FC*")</f>
        <v>0</v>
      </c>
      <c r="BM8" s="278" t="n">
        <f aca="false">BL8*1</f>
        <v>0</v>
      </c>
      <c r="BN8" s="278" t="n">
        <f aca="false">COUNTIF($D8:$X8,BN$4)</f>
        <v>0</v>
      </c>
      <c r="BO8" s="278" t="n">
        <f aca="false">COUNTIF($D8:$X8,BO$4)</f>
        <v>1</v>
      </c>
      <c r="BP8" s="278" t="n">
        <f aca="false">COUNTIF($D8:$X8,BP$4)</f>
        <v>0</v>
      </c>
      <c r="BQ8" s="278"/>
    </row>
    <row r="9" customFormat="false" ht="56.25" hidden="false" customHeight="true" outlineLevel="0" collapsed="false">
      <c r="A9" s="272"/>
      <c r="B9" s="278" t="s">
        <v>714</v>
      </c>
      <c r="C9" s="282" t="s">
        <v>350</v>
      </c>
      <c r="D9" s="266"/>
      <c r="E9" s="92" t="s">
        <v>573</v>
      </c>
      <c r="F9" s="266" t="s">
        <v>150</v>
      </c>
      <c r="G9" s="266" t="s">
        <v>150</v>
      </c>
      <c r="H9" s="91" t="s">
        <v>671</v>
      </c>
      <c r="I9" s="266"/>
      <c r="J9" s="266"/>
      <c r="K9" s="266"/>
      <c r="L9" s="266"/>
      <c r="M9" s="266"/>
      <c r="N9" s="266" t="s">
        <v>56</v>
      </c>
      <c r="O9" s="266"/>
      <c r="P9" s="266"/>
      <c r="Q9" s="92"/>
      <c r="R9" s="92"/>
      <c r="S9" s="266" t="s">
        <v>59</v>
      </c>
      <c r="T9" s="92"/>
      <c r="U9" s="283" t="s">
        <v>350</v>
      </c>
      <c r="V9" s="266"/>
      <c r="W9" s="91" t="s">
        <v>56</v>
      </c>
      <c r="X9" s="266"/>
      <c r="Y9" s="266"/>
      <c r="Z9" s="91"/>
      <c r="AA9" s="266"/>
      <c r="AB9" s="91" t="s">
        <v>770</v>
      </c>
      <c r="AC9" s="266"/>
      <c r="AD9" s="266"/>
      <c r="AE9" s="266" t="s">
        <v>57</v>
      </c>
      <c r="AF9" s="266"/>
      <c r="AG9" s="266"/>
      <c r="AH9" s="272" t="n">
        <f aca="false">COUNTIF($C9:$AF9,AH$4)</f>
        <v>1</v>
      </c>
      <c r="AI9" s="272" t="n">
        <f aca="false">COUNTIF($C9:$AF9,AI$4)</f>
        <v>2</v>
      </c>
      <c r="AJ9" s="272" t="n">
        <f aca="false">COUNTIF($C9:$AF9,AJ$4)</f>
        <v>1</v>
      </c>
      <c r="AK9" s="272" t="n">
        <f aca="false">COUNTIF($C9:$AF9,AK$4)</f>
        <v>0</v>
      </c>
      <c r="AL9" s="272" t="n">
        <f aca="false">COUNTIF($C9:$AF9,AL$4)</f>
        <v>0</v>
      </c>
      <c r="AM9" s="272" t="n">
        <f aca="false">COUNTIF($C9:$AF9,AM$4)</f>
        <v>0</v>
      </c>
      <c r="AN9" s="272" t="n">
        <f aca="false">COUNTIF($C9:$AF9,AN$4)</f>
        <v>0</v>
      </c>
      <c r="AO9" s="272" t="n">
        <f aca="false">COUNTIF($C9:$AF9,AO$4)</f>
        <v>0</v>
      </c>
      <c r="AP9" s="272" t="n">
        <f aca="false">COUNTIF($C9:$AF9,AP$4)</f>
        <v>0</v>
      </c>
      <c r="AQ9" s="279" t="n">
        <v>0.5</v>
      </c>
      <c r="AR9" s="279"/>
      <c r="AS9" s="278" t="n">
        <f aca="false">SUMPRODUCT(--(WEEKDAY(C$3:AG$3,2)&lt;5),--ISNUMBER(MATCH(C9:AG9,{"DM","CS1","CS2","SB1","AE","CS/B"},0)))</f>
        <v>2</v>
      </c>
      <c r="AT9" s="278"/>
      <c r="AU9" s="278" t="n">
        <f aca="false">SUMPRODUCT(--(WEEKDAY(C$3:AG$3,2)=5),--ISNUMBER(MATCH(C9:AG9,{"DM","CS1","CS2","SB1","AE","CS/B","WEEKEND OUTFIELD RESERVE"},0)))</f>
        <v>1</v>
      </c>
      <c r="AV9" s="278" t="n">
        <f aca="false">SUMPRODUCT(--(WEEKDAY(C$3:AG$3,2)&gt;5),--ISNUMBER(MATCH(C9:AG9,{"DM","CS1","CS2","SB1","AE","CS/B","WEEKEND OUTFIELD RESERVE"},0)))</f>
        <v>1</v>
      </c>
      <c r="AW9" s="278"/>
      <c r="AX9" s="278" t="n">
        <f aca="false">(AS9-AT9)+AU9*1.5+(AV9-AW9)*2+AM9*0.5+AO9*0.5+AQ9-AR9</f>
        <v>6</v>
      </c>
      <c r="AY9" s="278" t="n">
        <f aca="false">AS9+AU9+AV9</f>
        <v>4</v>
      </c>
      <c r="AZ9" s="278" t="n">
        <f aca="false">BD9+BF9+BH9+BJ9+BL9</f>
        <v>1</v>
      </c>
      <c r="BA9" s="279" t="n">
        <f aca="false">AX9+BC9</f>
        <v>7</v>
      </c>
      <c r="BB9" s="279" t="n">
        <f aca="false">(BA9-5)</f>
        <v>2</v>
      </c>
      <c r="BC9" s="278" t="n">
        <f aca="false">BE9+BG9+BI9+BK9+BM9</f>
        <v>1</v>
      </c>
      <c r="BD9" s="278" t="n">
        <f aca="false">COUNTIF(A9:AH9,"*$BTP*")</f>
        <v>0</v>
      </c>
      <c r="BE9" s="278" t="n">
        <f aca="false">BD9*1.5</f>
        <v>0</v>
      </c>
      <c r="BF9" s="278" t="n">
        <f aca="false">COUNTIF(A9:AH9,"*$M*")</f>
        <v>1</v>
      </c>
      <c r="BG9" s="278" t="n">
        <f aca="false">BF9*1</f>
        <v>1</v>
      </c>
      <c r="BH9" s="278" t="n">
        <f aca="false">COUNTIF(A9:AH9,"*$PM*")</f>
        <v>0</v>
      </c>
      <c r="BI9" s="278" t="n">
        <f aca="false">BH9*0.5</f>
        <v>0</v>
      </c>
      <c r="BJ9" s="278" t="n">
        <f aca="false">COUNTIF(A9:AH9,"*$AM*")</f>
        <v>0</v>
      </c>
      <c r="BK9" s="278" t="n">
        <f aca="false">BJ9*0.5</f>
        <v>0</v>
      </c>
      <c r="BL9" s="278" t="n">
        <f aca="false">COUNTIF(A9:AH9,"*$FC*")</f>
        <v>0</v>
      </c>
      <c r="BM9" s="278" t="n">
        <f aca="false">BL9*1</f>
        <v>0</v>
      </c>
      <c r="BN9" s="278" t="n">
        <f aca="false">COUNTIF($D9:$AA9,BN$4)</f>
        <v>0</v>
      </c>
      <c r="BO9" s="278" t="n">
        <f aca="false">COUNTIF($D9:$AA9,BO$4)</f>
        <v>1</v>
      </c>
      <c r="BP9" s="278" t="n">
        <f aca="false">COUNTIF($D9:$AA9,BP$4)</f>
        <v>0</v>
      </c>
      <c r="BQ9" s="278"/>
    </row>
    <row r="10" customFormat="false" ht="19.5" hidden="false" customHeight="true" outlineLevel="0" collapsed="false">
      <c r="A10" s="272"/>
      <c r="B10" s="278" t="s">
        <v>715</v>
      </c>
      <c r="C10" s="283"/>
      <c r="D10" s="283" t="s">
        <v>350</v>
      </c>
      <c r="E10" s="266"/>
      <c r="F10" s="266" t="s">
        <v>150</v>
      </c>
      <c r="G10" s="266" t="s">
        <v>150</v>
      </c>
      <c r="H10" s="266" t="s">
        <v>671</v>
      </c>
      <c r="I10" s="91"/>
      <c r="J10" s="266"/>
      <c r="K10" s="266"/>
      <c r="L10" s="266" t="s">
        <v>54</v>
      </c>
      <c r="M10" s="266" t="s">
        <v>54</v>
      </c>
      <c r="N10" s="266" t="s">
        <v>54</v>
      </c>
      <c r="O10" s="91" t="s">
        <v>54</v>
      </c>
      <c r="P10" s="266"/>
      <c r="Q10" s="266"/>
      <c r="R10" s="266" t="s">
        <v>56</v>
      </c>
      <c r="S10" s="266"/>
      <c r="T10" s="283" t="s">
        <v>59</v>
      </c>
      <c r="U10" s="92"/>
      <c r="V10" s="92"/>
      <c r="W10" s="266"/>
      <c r="X10" s="266" t="s">
        <v>65</v>
      </c>
      <c r="Y10" s="266" t="s">
        <v>573</v>
      </c>
      <c r="Z10" s="266"/>
      <c r="AB10" s="91" t="s">
        <v>57</v>
      </c>
      <c r="AC10" s="266"/>
      <c r="AD10" s="266"/>
      <c r="AE10" s="266"/>
      <c r="AF10" s="46" t="s">
        <v>573</v>
      </c>
      <c r="AG10" s="266"/>
      <c r="AH10" s="272" t="n">
        <f aca="false">COUNTIF($C10:$AF10,AH$4)</f>
        <v>1</v>
      </c>
      <c r="AI10" s="272" t="n">
        <f aca="false">COUNTIF($C10:$AF10,AI$4)</f>
        <v>1</v>
      </c>
      <c r="AJ10" s="272" t="n">
        <f aca="false">COUNTIF($C10:$AF10,AJ$4)</f>
        <v>1</v>
      </c>
      <c r="AK10" s="272" t="n">
        <f aca="false">COUNTIF($C10:$AF10,AK$4)</f>
        <v>0</v>
      </c>
      <c r="AL10" s="272" t="n">
        <f aca="false">COUNTIF($C10:$AF10,AL$4)</f>
        <v>0</v>
      </c>
      <c r="AM10" s="272" t="n">
        <f aca="false">COUNTIF($C10:$AF10,AM$4)</f>
        <v>0</v>
      </c>
      <c r="AN10" s="272" t="n">
        <f aca="false">COUNTIF($C10:$AF10,AN$4)</f>
        <v>1</v>
      </c>
      <c r="AO10" s="272" t="n">
        <f aca="false">COUNTIF($C10:$AF10,AO$4)</f>
        <v>0</v>
      </c>
      <c r="AP10" s="272" t="n">
        <f aca="false">COUNTIF($C10:$AF10,AP$4)</f>
        <v>0</v>
      </c>
      <c r="AQ10" s="279" t="n">
        <v>2</v>
      </c>
      <c r="AR10" s="279"/>
      <c r="AS10" s="278" t="n">
        <f aca="false">SUMPRODUCT(--(WEEKDAY(C$3:AG$3,2)&lt;5),--ISNUMBER(MATCH(C10:AG10,{"DM","CS1","CS2","SB1","AE","CS/B"},0)))</f>
        <v>3</v>
      </c>
      <c r="AT10" s="278" t="n">
        <v>0</v>
      </c>
      <c r="AU10" s="278" t="n">
        <f aca="false">SUMPRODUCT(--(WEEKDAY(C$3:AG$3,2)=5),--ISNUMBER(MATCH(C10:AG10,{"DM","CS1","CS2","SB1","AE","CS/B","WEEKEND OUTFIELD RESERVE"},0)))</f>
        <v>1</v>
      </c>
      <c r="AV10" s="278" t="n">
        <f aca="false">SUMPRODUCT(--(WEEKDAY(C$3:AG$3,2)&gt;5),--ISNUMBER(MATCH(C10:AG10,{"DM","CS1","CS2","SB1","AE","CS/B","WEEKEND OUTFIELD RESERVE"},0)))</f>
        <v>0</v>
      </c>
      <c r="AW10" s="278"/>
      <c r="AX10" s="278" t="n">
        <f aca="false">(AS10-AT10)+AU10*1.5+(AV10-AW10)*2+AM10*0.5+AO10*0.5+AQ10-AR10</f>
        <v>6.5</v>
      </c>
      <c r="AY10" s="278" t="n">
        <f aca="false">AS10+AU10+AV10</f>
        <v>4</v>
      </c>
      <c r="AZ10" s="278" t="n">
        <f aca="false">BD10+BF10+BH10+BJ10+BL10</f>
        <v>1</v>
      </c>
      <c r="BA10" s="279" t="n">
        <f aca="false">AX10+BC10</f>
        <v>7.5</v>
      </c>
      <c r="BB10" s="279" t="n">
        <f aca="false">(BA10-5)</f>
        <v>2.5</v>
      </c>
      <c r="BC10" s="278" t="n">
        <f aca="false">BE10+BG10+BI10+BK10+BM10</f>
        <v>1</v>
      </c>
      <c r="BD10" s="278" t="n">
        <f aca="false">COUNTIF(A10:AH10,"*$BTP*")</f>
        <v>0</v>
      </c>
      <c r="BE10" s="278" t="n">
        <f aca="false">BD10*1.5</f>
        <v>0</v>
      </c>
      <c r="BF10" s="278" t="n">
        <f aca="false">COUNTIF(A10:AH10,"*$M*")</f>
        <v>1</v>
      </c>
      <c r="BG10" s="278" t="n">
        <f aca="false">BF10*1</f>
        <v>1</v>
      </c>
      <c r="BH10" s="278" t="n">
        <f aca="false">COUNTIF(A10:AH10,"*$PM*")</f>
        <v>0</v>
      </c>
      <c r="BI10" s="278" t="n">
        <f aca="false">BH10*0.5</f>
        <v>0</v>
      </c>
      <c r="BJ10" s="278" t="n">
        <f aca="false">COUNTIF(A10:AH10,"*$AM*")</f>
        <v>0</v>
      </c>
      <c r="BK10" s="278" t="n">
        <f aca="false">BJ10*0.5</f>
        <v>0</v>
      </c>
      <c r="BL10" s="278" t="n">
        <f aca="false">COUNTIF(A10:AH10,"*$FC*")</f>
        <v>0</v>
      </c>
      <c r="BM10" s="278" t="n">
        <f aca="false">BL10*1</f>
        <v>0</v>
      </c>
      <c r="BN10" s="278" t="n">
        <f aca="false">COUNTIF($D10:$AA10,BN$4)</f>
        <v>0</v>
      </c>
      <c r="BO10" s="278" t="n">
        <f aca="false">COUNTIF($D10:$AA10,BO$4)</f>
        <v>1</v>
      </c>
      <c r="BP10" s="278" t="n">
        <f aca="false">COUNTIF($D10:$AA10,BP$4)</f>
        <v>0</v>
      </c>
      <c r="BQ10" s="278"/>
    </row>
    <row r="11" customFormat="false" ht="51" hidden="false" customHeight="true" outlineLevel="0" collapsed="false">
      <c r="A11" s="272"/>
      <c r="B11" s="282" t="s">
        <v>584</v>
      </c>
      <c r="C11" s="283"/>
      <c r="D11" s="283"/>
      <c r="E11" s="266" t="s">
        <v>56</v>
      </c>
      <c r="F11" s="266"/>
      <c r="G11" s="266"/>
      <c r="H11" s="266" t="s">
        <v>57</v>
      </c>
      <c r="J11" s="266"/>
      <c r="K11" s="283" t="s">
        <v>350</v>
      </c>
      <c r="L11" s="266"/>
      <c r="M11" s="266" t="s">
        <v>56</v>
      </c>
      <c r="N11" s="266"/>
      <c r="O11" s="91"/>
      <c r="P11" s="266"/>
      <c r="Q11" s="266"/>
      <c r="R11" s="266" t="s">
        <v>59</v>
      </c>
      <c r="S11" s="266"/>
      <c r="T11" s="283"/>
      <c r="U11" s="92" t="s">
        <v>573</v>
      </c>
      <c r="V11" s="91"/>
      <c r="W11" s="266"/>
      <c r="X11" s="266" t="s">
        <v>56</v>
      </c>
      <c r="Y11" s="266"/>
      <c r="Z11" s="92"/>
      <c r="AA11" s="266" t="s">
        <v>56</v>
      </c>
      <c r="AB11" s="266"/>
      <c r="AC11" s="266"/>
      <c r="AD11" s="266" t="s">
        <v>57</v>
      </c>
      <c r="AE11" s="92" t="s">
        <v>573</v>
      </c>
      <c r="AF11" s="266"/>
      <c r="AG11" s="266"/>
      <c r="AH11" s="272" t="n">
        <f aca="false">COUNTIF($C11:$AF11,AH$4)</f>
        <v>2</v>
      </c>
      <c r="AI11" s="272" t="n">
        <f aca="false">COUNTIF($C11:$AF11,AI$4)</f>
        <v>4</v>
      </c>
      <c r="AJ11" s="272" t="n">
        <f aca="false">COUNTIF($C11:$AF11,AJ$4)</f>
        <v>1</v>
      </c>
      <c r="AK11" s="272" t="n">
        <f aca="false">COUNTIF($C11:$AF11,AK$4)</f>
        <v>0</v>
      </c>
      <c r="AL11" s="272" t="n">
        <f aca="false">COUNTIF($C11:$AF11,AL$4)</f>
        <v>0</v>
      </c>
      <c r="AM11" s="272" t="n">
        <f aca="false">COUNTIF($C11:$AF11,AM$4)</f>
        <v>0</v>
      </c>
      <c r="AN11" s="272" t="n">
        <f aca="false">COUNTIF($C11:$AF11,AN$4)</f>
        <v>0</v>
      </c>
      <c r="AO11" s="272" t="n">
        <f aca="false">COUNTIF($C11:$AF11,AO$4)</f>
        <v>0</v>
      </c>
      <c r="AP11" s="272" t="n">
        <f aca="false">COUNTIF($C11:$AF11,AP$4)</f>
        <v>0</v>
      </c>
      <c r="AQ11" s="279" t="n">
        <v>0</v>
      </c>
      <c r="AR11" s="279"/>
      <c r="AS11" s="278" t="n">
        <f aca="false">SUMPRODUCT(--(WEEKDAY(C$3:AG$3,2)&lt;5),--ISNUMBER(MATCH(C11:AG11,{"DM","CS1","CS2","SB1","AE","CS/B"},0)))</f>
        <v>5</v>
      </c>
      <c r="AT11" s="278"/>
      <c r="AU11" s="278" t="n">
        <f aca="false">SUMPRODUCT(--(WEEKDAY(C$3:AG$3,2)=5),--ISNUMBER(MATCH(C11:AG11,{"DM","CS1","CS2","SB1","AE","CS/B","WEEKEND OUTFIELD RESERVE"},0)))</f>
        <v>0</v>
      </c>
      <c r="AV11" s="278" t="n">
        <f aca="false">SUMPRODUCT(--(WEEKDAY(C$3:AG$3,2)&gt;5),--ISNUMBER(MATCH(C11:AG11,{"DM","CS1","CS2","SB1","AE","CS/B","WEEKEND OUTFIELD RESERVE"},0)))</f>
        <v>2</v>
      </c>
      <c r="AW11" s="278"/>
      <c r="AX11" s="278" t="n">
        <f aca="false">(AS11-AT11)+AU11*1.5+(AV11-AW11)*2+AM11*0.5+AO11*0.5+AQ11-AR11</f>
        <v>9</v>
      </c>
      <c r="AY11" s="278" t="n">
        <f aca="false">AS11+AU11+AV11</f>
        <v>7</v>
      </c>
      <c r="AZ11" s="278" t="n">
        <f aca="false">BD11+BF11+BH11+BJ11+BL11</f>
        <v>0</v>
      </c>
      <c r="BA11" s="279" t="n">
        <f aca="false">AX11+BC11</f>
        <v>9</v>
      </c>
      <c r="BB11" s="279" t="n">
        <f aca="false">(BA11-5)</f>
        <v>4</v>
      </c>
      <c r="BC11" s="278" t="n">
        <f aca="false">BE11+BG11+BI11+BK11+BM11</f>
        <v>0</v>
      </c>
      <c r="BD11" s="278" t="n">
        <f aca="false">COUNTIF(A11:AH11,"*$BTP*")</f>
        <v>0</v>
      </c>
      <c r="BE11" s="278" t="n">
        <f aca="false">BD11*1.5</f>
        <v>0</v>
      </c>
      <c r="BF11" s="278" t="n">
        <f aca="false">COUNTIF(A11:AH11,"*$M*")</f>
        <v>0</v>
      </c>
      <c r="BG11" s="278" t="n">
        <f aca="false">BF11*1</f>
        <v>0</v>
      </c>
      <c r="BH11" s="278" t="n">
        <f aca="false">COUNTIF(A11:AH11,"*$PM*")</f>
        <v>0</v>
      </c>
      <c r="BI11" s="278" t="n">
        <f aca="false">BH11*0.5</f>
        <v>0</v>
      </c>
      <c r="BJ11" s="278" t="n">
        <f aca="false">COUNTIF(A11:AH11,"*$AM*")</f>
        <v>0</v>
      </c>
      <c r="BK11" s="278" t="n">
        <f aca="false">BJ11*0.5</f>
        <v>0</v>
      </c>
      <c r="BL11" s="278" t="n">
        <f aca="false">COUNTIF(A11:AH11,"*$FC*")</f>
        <v>0</v>
      </c>
      <c r="BM11" s="278" t="n">
        <f aca="false">BL11*1</f>
        <v>0</v>
      </c>
      <c r="BN11" s="278" t="n">
        <f aca="false">COUNTIF($D11:$AA11,BN$4)</f>
        <v>0</v>
      </c>
      <c r="BO11" s="278" t="n">
        <f aca="false">COUNTIF($D11:$AA11,BO$4)</f>
        <v>1</v>
      </c>
      <c r="BP11" s="278" t="n">
        <f aca="false">COUNTIF($D11:$AA11,BP$4)</f>
        <v>0</v>
      </c>
      <c r="BQ11" s="278"/>
    </row>
    <row r="12" customFormat="false" ht="45" hidden="false" customHeight="true" outlineLevel="0" collapsed="false">
      <c r="A12" s="272"/>
      <c r="B12" s="282" t="s">
        <v>717</v>
      </c>
      <c r="C12" s="280" t="s">
        <v>167</v>
      </c>
      <c r="D12" s="280" t="s">
        <v>167</v>
      </c>
      <c r="E12" s="280" t="s">
        <v>167</v>
      </c>
      <c r="F12" s="280" t="s">
        <v>167</v>
      </c>
      <c r="G12" s="280" t="s">
        <v>167</v>
      </c>
      <c r="H12" s="280" t="s">
        <v>167</v>
      </c>
      <c r="I12" s="280" t="s">
        <v>167</v>
      </c>
      <c r="J12" s="280" t="s">
        <v>167</v>
      </c>
      <c r="K12" s="280" t="s">
        <v>167</v>
      </c>
      <c r="L12" s="280" t="s">
        <v>167</v>
      </c>
      <c r="M12" s="280" t="s">
        <v>167</v>
      </c>
      <c r="N12" s="280" t="s">
        <v>167</v>
      </c>
      <c r="O12" s="280" t="s">
        <v>167</v>
      </c>
      <c r="P12" s="280" t="s">
        <v>167</v>
      </c>
      <c r="Q12" s="280" t="s">
        <v>167</v>
      </c>
      <c r="R12" s="92"/>
      <c r="T12" s="266"/>
      <c r="U12" s="266" t="s">
        <v>54</v>
      </c>
      <c r="V12" s="266" t="s">
        <v>59</v>
      </c>
      <c r="W12" s="266"/>
      <c r="Y12" s="266"/>
      <c r="Z12" s="266"/>
      <c r="AA12" s="266"/>
      <c r="AB12" s="91"/>
      <c r="AD12" s="91"/>
      <c r="AE12" s="266"/>
      <c r="AF12" s="266"/>
      <c r="AG12" s="91"/>
      <c r="AH12" s="272" t="n">
        <f aca="false">COUNTIF($C12:$AF12,AH$4)</f>
        <v>0</v>
      </c>
      <c r="AI12" s="272" t="n">
        <f aca="false">COUNTIF($C12:$AF12,AI$4)</f>
        <v>0</v>
      </c>
      <c r="AJ12" s="272" t="n">
        <f aca="false">COUNTIF($C12:$AF12,AJ$4)</f>
        <v>1</v>
      </c>
      <c r="AK12" s="272" t="n">
        <f aca="false">COUNTIF($C12:$AF12,AK$4)</f>
        <v>0</v>
      </c>
      <c r="AL12" s="272" t="n">
        <f aca="false">COUNTIF($C12:$AF12,AL$4)</f>
        <v>0</v>
      </c>
      <c r="AM12" s="272" t="n">
        <f aca="false">COUNTIF($C12:$AF12,AM$4)</f>
        <v>0</v>
      </c>
      <c r="AN12" s="272" t="n">
        <f aca="false">COUNTIF($C12:$AF12,AN$4)</f>
        <v>0</v>
      </c>
      <c r="AO12" s="272" t="n">
        <f aca="false">COUNTIF($C12:$AF12,AO$4)</f>
        <v>0</v>
      </c>
      <c r="AP12" s="272" t="n">
        <f aca="false">COUNTIF($C12:$AF12,AP$4)</f>
        <v>0</v>
      </c>
      <c r="AQ12" s="279" t="n">
        <v>0</v>
      </c>
      <c r="AR12" s="279"/>
      <c r="AS12" s="278" t="n">
        <f aca="false">SUMPRODUCT(--(WEEKDAY(C$3:AG$3,2)&lt;5),--ISNUMBER(MATCH(C12:AG12,{"DM","CS1","CS2","SB1","AE","CS/B"},0)))</f>
        <v>0</v>
      </c>
      <c r="AT12" s="278"/>
      <c r="AU12" s="278" t="n">
        <f aca="false">SUMPRODUCT(--(WEEKDAY(C$3:AG$3,2)=5),--ISNUMBER(MATCH(C12:AG12,{"DM","CS1","CS2","SB1","AE","CS/B","WEEKEND OUTFIELD RESERVE"},0)))</f>
        <v>0</v>
      </c>
      <c r="AV12" s="278" t="n">
        <f aca="false">SUMPRODUCT(--(WEEKDAY(C$3:AG$3,2)&gt;5),--ISNUMBER(MATCH(C12:AG12,{"DM","CS1","CS2","SB1","AE","CS/B","WEEKEND OUTFIELD RESERVE"},0)))</f>
        <v>1</v>
      </c>
      <c r="AW12" s="278"/>
      <c r="AX12" s="278" t="n">
        <f aca="false">(AS12-AT12)+AU12*1.5+(AV12-AW12)*2+AM12*0.5+AO12*0.5+AQ12-AR12</f>
        <v>2</v>
      </c>
      <c r="AY12" s="278" t="n">
        <f aca="false">AS12+AU12+AV12</f>
        <v>1</v>
      </c>
      <c r="AZ12" s="278" t="n">
        <f aca="false">BD12+BF12+BH12+BJ12+BL12</f>
        <v>0</v>
      </c>
      <c r="BA12" s="279" t="n">
        <f aca="false">AX12+BC12</f>
        <v>2</v>
      </c>
      <c r="BB12" s="279" t="n">
        <f aca="false">(BA12-5)</f>
        <v>-3</v>
      </c>
      <c r="BC12" s="278" t="n">
        <f aca="false">BE12+BG12+BI12+BK12+BM12</f>
        <v>0</v>
      </c>
      <c r="BD12" s="278" t="n">
        <f aca="false">COUNTIF(A12:AH12,"*$BTP*")</f>
        <v>0</v>
      </c>
      <c r="BE12" s="278" t="n">
        <f aca="false">BD12*1.5</f>
        <v>0</v>
      </c>
      <c r="BF12" s="278" t="n">
        <f aca="false">COUNTIF(A12:AH12,"*$M*")</f>
        <v>0</v>
      </c>
      <c r="BG12" s="278" t="n">
        <f aca="false">BF12*1</f>
        <v>0</v>
      </c>
      <c r="BH12" s="278" t="n">
        <f aca="false">COUNTIF(A12:AH12,"*$PM*")</f>
        <v>0</v>
      </c>
      <c r="BI12" s="278" t="n">
        <f aca="false">BH12*0.5</f>
        <v>0</v>
      </c>
      <c r="BJ12" s="278" t="n">
        <f aca="false">COUNTIF(A12:AH12,"*$AM*")</f>
        <v>0</v>
      </c>
      <c r="BK12" s="278" t="n">
        <f aca="false">BJ12*0.5</f>
        <v>0</v>
      </c>
      <c r="BL12" s="278" t="n">
        <f aca="false">COUNTIF(A12:AH12,"*$FC*")</f>
        <v>0</v>
      </c>
      <c r="BM12" s="278" t="n">
        <f aca="false">BL12*1</f>
        <v>0</v>
      </c>
      <c r="BN12" s="278" t="n">
        <f aca="false">COUNTIF($D12:$AA12,BN$4)</f>
        <v>0</v>
      </c>
      <c r="BO12" s="278" t="n">
        <f aca="false">COUNTIF($D12:$AA12,BO$4)</f>
        <v>0</v>
      </c>
      <c r="BP12" s="278" t="n">
        <f aca="false">COUNTIF($D12:$AA12,BP$4)</f>
        <v>0</v>
      </c>
      <c r="BQ12" s="278"/>
    </row>
    <row r="13" customFormat="false" ht="39.75" hidden="false" customHeight="true" outlineLevel="0" collapsed="false">
      <c r="A13" s="272"/>
      <c r="B13" s="278" t="s">
        <v>591</v>
      </c>
      <c r="C13" s="283"/>
      <c r="D13" s="283"/>
      <c r="E13" s="266" t="s">
        <v>871</v>
      </c>
      <c r="F13" s="266" t="s">
        <v>65</v>
      </c>
      <c r="H13" s="266"/>
      <c r="I13" s="266"/>
      <c r="J13" s="266"/>
      <c r="K13" s="266"/>
      <c r="L13" s="266" t="s">
        <v>65</v>
      </c>
      <c r="M13" s="91"/>
      <c r="N13" s="266"/>
      <c r="O13" s="266"/>
      <c r="P13" s="266"/>
      <c r="Q13" s="283" t="s">
        <v>350</v>
      </c>
      <c r="R13" s="266"/>
      <c r="S13" s="266"/>
      <c r="T13" s="266" t="s">
        <v>54</v>
      </c>
      <c r="U13" s="91" t="s">
        <v>54</v>
      </c>
      <c r="V13" s="266" t="s">
        <v>54</v>
      </c>
      <c r="W13" s="91"/>
      <c r="Z13" s="266"/>
      <c r="AA13" s="266"/>
      <c r="AB13" s="266"/>
      <c r="AC13" s="266" t="s">
        <v>65</v>
      </c>
      <c r="AD13" s="266"/>
      <c r="AE13" s="266"/>
      <c r="AF13" s="91" t="s">
        <v>65</v>
      </c>
      <c r="AG13" s="266"/>
      <c r="AH13" s="272" t="n">
        <f aca="false">COUNTIF($C13:$AF13,AH$4)</f>
        <v>0</v>
      </c>
      <c r="AI13" s="272" t="n">
        <f aca="false">COUNTIF($C13:$AF13,AI$4)</f>
        <v>0</v>
      </c>
      <c r="AJ13" s="272" t="n">
        <f aca="false">COUNTIF($C13:$AF13,AJ$4)</f>
        <v>0</v>
      </c>
      <c r="AK13" s="272" t="n">
        <f aca="false">COUNTIF($C13:$AF13,AK$4)</f>
        <v>0</v>
      </c>
      <c r="AL13" s="272" t="n">
        <f aca="false">COUNTIF($C13:$AF13,AL$4)</f>
        <v>0</v>
      </c>
      <c r="AM13" s="272" t="n">
        <f aca="false">COUNTIF($C13:$AF13,AM$4)</f>
        <v>0</v>
      </c>
      <c r="AN13" s="272" t="n">
        <f aca="false">COUNTIF($C13:$AF13,AN$4)</f>
        <v>4</v>
      </c>
      <c r="AO13" s="272" t="n">
        <f aca="false">COUNTIF($C13:$AF13,AO$4)</f>
        <v>0</v>
      </c>
      <c r="AP13" s="272" t="n">
        <f aca="false">COUNTIF($C13:$AF13,AP$4)</f>
        <v>0</v>
      </c>
      <c r="AQ13" s="279"/>
      <c r="AR13" s="279" t="n">
        <v>1.5</v>
      </c>
      <c r="AS13" s="278" t="n">
        <f aca="false">SUMPRODUCT(--(WEEKDAY(C$3:AG$3,2)&lt;5),--ISNUMBER(MATCH(C13:AG13,{"DM","CS1","CS2","SB1","AE","CS/B"},0)))</f>
        <v>3</v>
      </c>
      <c r="AT13" s="278"/>
      <c r="AU13" s="278" t="n">
        <f aca="false">SUMPRODUCT(--(WEEKDAY(C$3:AG$3,2)=5),--ISNUMBER(MATCH(C13:AG13,{"DM","CS1","CS2","SB1","AE","CS/B","WEEKEND OUTFIELD RESERVE"},0)))</f>
        <v>0</v>
      </c>
      <c r="AV13" s="278" t="n">
        <f aca="false">SUMPRODUCT(--(WEEKDAY(C$3:AG$3,2)&gt;5),--ISNUMBER(MATCH(C13:AG13,{"DM","CS1","CS2","SB1","AE","CS/B","WEEKEND OUTFIELD RESERVE"},0)))</f>
        <v>1</v>
      </c>
      <c r="AW13" s="278"/>
      <c r="AX13" s="278" t="n">
        <f aca="false">(AS13-AT13)+AU13*1.5+(AV13-AW13)*2+AM13*0.5+AO13*0.5+AQ13-AR13</f>
        <v>3.5</v>
      </c>
      <c r="AY13" s="278" t="n">
        <f aca="false">AS13+AU13+AV13</f>
        <v>4</v>
      </c>
      <c r="AZ13" s="278" t="n">
        <f aca="false">BD13+BF13+BH13+BJ13+BL13</f>
        <v>1</v>
      </c>
      <c r="BA13" s="279" t="n">
        <f aca="false">AX13+BC13</f>
        <v>4</v>
      </c>
      <c r="BB13" s="279" t="n">
        <f aca="false">(BA13-5)</f>
        <v>-1</v>
      </c>
      <c r="BC13" s="278" t="n">
        <f aca="false">BE13+BG13+BI13+BK13+BM13</f>
        <v>0.5</v>
      </c>
      <c r="BD13" s="278" t="n">
        <f aca="false">COUNTIF(A13:AH13,"*$BTP*")</f>
        <v>0</v>
      </c>
      <c r="BE13" s="278" t="n">
        <f aca="false">BD13*1.5</f>
        <v>0</v>
      </c>
      <c r="BF13" s="278" t="n">
        <f aca="false">COUNTIF(A13:AH13,"*$M*")</f>
        <v>0</v>
      </c>
      <c r="BG13" s="278" t="n">
        <f aca="false">BF13*1</f>
        <v>0</v>
      </c>
      <c r="BH13" s="278" t="n">
        <f aca="false">COUNTIF(A13:AH13,"*$PM*")</f>
        <v>0</v>
      </c>
      <c r="BI13" s="278" t="n">
        <f aca="false">BH13*0.5</f>
        <v>0</v>
      </c>
      <c r="BJ13" s="278" t="n">
        <f aca="false">COUNTIF(A13:AH13,"*$AM*")</f>
        <v>1</v>
      </c>
      <c r="BK13" s="278" t="n">
        <f aca="false">BJ13*0.5</f>
        <v>0.5</v>
      </c>
      <c r="BL13" s="278" t="n">
        <f aca="false">COUNTIF(A13:AH13,"*$FC*")</f>
        <v>0</v>
      </c>
      <c r="BM13" s="278" t="n">
        <f aca="false">BL13*1</f>
        <v>0</v>
      </c>
      <c r="BN13" s="278" t="n">
        <f aca="false">COUNTIF($D13:$AA13,BN$4)</f>
        <v>0</v>
      </c>
      <c r="BO13" s="278" t="n">
        <f aca="false">COUNTIF($D13:$AA13,BO$4)</f>
        <v>1</v>
      </c>
      <c r="BP13" s="278" t="n">
        <f aca="false">COUNTIF($D13:$AA13,BP$4)</f>
        <v>0</v>
      </c>
      <c r="BQ13" s="278"/>
    </row>
    <row r="14" customFormat="false" ht="47.25" hidden="false" customHeight="true" outlineLevel="0" collapsed="false">
      <c r="A14" s="272"/>
      <c r="B14" s="279" t="s">
        <v>718</v>
      </c>
      <c r="C14" s="280"/>
      <c r="E14" s="266"/>
      <c r="G14" s="91" t="s">
        <v>65</v>
      </c>
      <c r="H14" s="266"/>
      <c r="I14" s="266"/>
      <c r="J14" s="266"/>
      <c r="K14" s="266"/>
      <c r="L14" s="92"/>
      <c r="M14" s="283" t="s">
        <v>350</v>
      </c>
      <c r="N14" s="266"/>
      <c r="O14" s="266" t="s">
        <v>65</v>
      </c>
      <c r="P14" s="266"/>
      <c r="Q14" s="266"/>
      <c r="R14" s="266"/>
      <c r="S14" s="266" t="s">
        <v>65</v>
      </c>
      <c r="T14" s="91" t="s">
        <v>350</v>
      </c>
      <c r="U14" s="266"/>
      <c r="V14" s="266"/>
      <c r="W14" s="266"/>
      <c r="X14" s="266"/>
      <c r="Y14" s="266" t="s">
        <v>65</v>
      </c>
      <c r="Z14" s="266"/>
      <c r="AA14" s="266"/>
      <c r="AC14" s="91"/>
      <c r="AD14" s="266"/>
      <c r="AE14" s="266"/>
      <c r="AF14" s="266"/>
      <c r="AG14" s="266"/>
      <c r="AH14" s="272" t="n">
        <f aca="false">COUNTIF($C14:$AF14,AH$4)</f>
        <v>0</v>
      </c>
      <c r="AI14" s="272" t="n">
        <f aca="false">COUNTIF($C14:$AF14,AI$4)</f>
        <v>0</v>
      </c>
      <c r="AJ14" s="272" t="n">
        <f aca="false">COUNTIF($C14:$AF14,AJ$4)</f>
        <v>0</v>
      </c>
      <c r="AK14" s="272" t="n">
        <f aca="false">COUNTIF($C14:$AF14,AK$4)</f>
        <v>0</v>
      </c>
      <c r="AL14" s="272" t="n">
        <f aca="false">COUNTIF($C14:$AF14,AL$4)</f>
        <v>0</v>
      </c>
      <c r="AM14" s="272" t="n">
        <f aca="false">COUNTIF($C14:$AF14,AM$4)</f>
        <v>0</v>
      </c>
      <c r="AN14" s="272" t="n">
        <f aca="false">COUNTIF($C14:$AF14,AN$4)</f>
        <v>4</v>
      </c>
      <c r="AO14" s="272" t="n">
        <f aca="false">COUNTIF($C14:$AF14,AO$4)</f>
        <v>0</v>
      </c>
      <c r="AP14" s="272" t="n">
        <f aca="false">COUNTIF($C14:$AF14,AP$4)</f>
        <v>0</v>
      </c>
      <c r="AQ14" s="279" t="n">
        <v>0.5</v>
      </c>
      <c r="AR14" s="279"/>
      <c r="AS14" s="278" t="n">
        <f aca="false">SUMPRODUCT(--(WEEKDAY(C$3:AG$3,2)&lt;5),--ISNUMBER(MATCH(C14:AG14,{"DM","CS1","CS2","SB1","AE","CS/B"},0)))</f>
        <v>2</v>
      </c>
      <c r="AT14" s="278"/>
      <c r="AU14" s="278" t="n">
        <f aca="false">SUMPRODUCT(--(WEEKDAY(C$3:AG$3,2)=5),--ISNUMBER(MATCH(C14:AG14,{"DM","CS1","CS2","SB1","AE","CS/B","WEEKEND OUTFIELD RESERVE"},0)))</f>
        <v>1</v>
      </c>
      <c r="AV14" s="278" t="n">
        <f aca="false">SUMPRODUCT(--(WEEKDAY(C$3:AG$3,2)&gt;5),--ISNUMBER(MATCH(C14:AG14,{"DM","CS1","CS2","SB1","AE","CS/B","WEEKEND OUTFIELD RESERVE"},0)))</f>
        <v>1</v>
      </c>
      <c r="AW14" s="278"/>
      <c r="AX14" s="278" t="n">
        <f aca="false">(AS14-AT14)+AU14*1.5+(AV14-AW14)*2+AM14*0.5+AO14*0.5+AQ14-AR14</f>
        <v>6</v>
      </c>
      <c r="AY14" s="278" t="n">
        <f aca="false">AS14+AU14+AV14</f>
        <v>4</v>
      </c>
      <c r="AZ14" s="278" t="n">
        <f aca="false">BD14+BF14+BH14+BJ14+BL14</f>
        <v>0</v>
      </c>
      <c r="BA14" s="279" t="n">
        <f aca="false">AX14+BC14</f>
        <v>6</v>
      </c>
      <c r="BB14" s="279" t="n">
        <f aca="false">(BA14-5)</f>
        <v>1</v>
      </c>
      <c r="BC14" s="278" t="n">
        <f aca="false">BE14+BG14+BI14+BK14+BM14</f>
        <v>0</v>
      </c>
      <c r="BD14" s="278" t="n">
        <f aca="false">COUNTIF(A14:AH14,"*$BTP*")</f>
        <v>0</v>
      </c>
      <c r="BE14" s="278" t="n">
        <f aca="false">BD14*1.5</f>
        <v>0</v>
      </c>
      <c r="BF14" s="278" t="n">
        <f aca="false">COUNTIF(A14:AH14,"*$M*")</f>
        <v>0</v>
      </c>
      <c r="BG14" s="278" t="n">
        <f aca="false">BF14*1</f>
        <v>0</v>
      </c>
      <c r="BH14" s="278" t="n">
        <f aca="false">COUNTIF(A14:AH14,"*$PM*")</f>
        <v>0</v>
      </c>
      <c r="BI14" s="278" t="n">
        <f aca="false">BH14*0.5</f>
        <v>0</v>
      </c>
      <c r="BJ14" s="278" t="n">
        <f aca="false">COUNTIF(A14:AH14,"*$AM*")</f>
        <v>0</v>
      </c>
      <c r="BK14" s="278" t="n">
        <f aca="false">BJ14*0.5</f>
        <v>0</v>
      </c>
      <c r="BL14" s="278" t="n">
        <f aca="false">COUNTIF(A14:AH14,"*$FC*")</f>
        <v>0</v>
      </c>
      <c r="BM14" s="278" t="n">
        <f aca="false">BL14*1</f>
        <v>0</v>
      </c>
      <c r="BN14" s="278" t="n">
        <f aca="false">COUNTIF($D14:$AA14,BN$4)</f>
        <v>0</v>
      </c>
      <c r="BO14" s="278" t="n">
        <f aca="false">COUNTIF($D14:$AA14,BO$4)</f>
        <v>2</v>
      </c>
      <c r="BP14" s="278" t="n">
        <f aca="false">COUNTIF($D14:$AA14,BP$4)</f>
        <v>0</v>
      </c>
      <c r="BQ14" s="278"/>
    </row>
    <row r="15" customFormat="false" ht="45" hidden="false" customHeight="true" outlineLevel="0" collapsed="false">
      <c r="A15" s="272"/>
      <c r="B15" s="279" t="s">
        <v>592</v>
      </c>
      <c r="C15" s="283"/>
      <c r="D15" s="283"/>
      <c r="E15" s="266" t="s">
        <v>59</v>
      </c>
      <c r="F15" s="266"/>
      <c r="G15" s="91"/>
      <c r="H15" s="91" t="s">
        <v>59</v>
      </c>
      <c r="J15" s="266"/>
      <c r="K15" s="91"/>
      <c r="L15" s="266"/>
      <c r="M15" s="266" t="s">
        <v>57</v>
      </c>
      <c r="N15" s="266"/>
      <c r="O15" s="266"/>
      <c r="P15" s="266"/>
      <c r="Q15" s="266"/>
      <c r="R15" s="92" t="s">
        <v>57</v>
      </c>
      <c r="S15" s="266"/>
      <c r="V15" s="266"/>
      <c r="W15" s="266"/>
      <c r="X15" s="266" t="s">
        <v>868</v>
      </c>
      <c r="Y15" s="266"/>
      <c r="Z15" s="266"/>
      <c r="AA15" s="266"/>
      <c r="AB15" s="266"/>
      <c r="AC15" s="266"/>
      <c r="AD15" s="266"/>
      <c r="AE15" s="266"/>
      <c r="AF15" s="266"/>
      <c r="AG15" s="266"/>
      <c r="AH15" s="272" t="n">
        <f aca="false">COUNTIF($C15:$AF15,AH$4)</f>
        <v>2</v>
      </c>
      <c r="AI15" s="272" t="n">
        <f aca="false">COUNTIF($C15:$AF15,AI$4)</f>
        <v>0</v>
      </c>
      <c r="AJ15" s="272" t="n">
        <f aca="false">COUNTIF($C15:$AF15,AJ$4)</f>
        <v>2</v>
      </c>
      <c r="AK15" s="272" t="n">
        <f aca="false">COUNTIF($C15:$AF15,AK$4)</f>
        <v>0</v>
      </c>
      <c r="AL15" s="272" t="n">
        <f aca="false">COUNTIF($C15:$AF15,AL$4)</f>
        <v>0</v>
      </c>
      <c r="AM15" s="272" t="n">
        <f aca="false">COUNTIF($C15:$AF15,AM$4)</f>
        <v>0</v>
      </c>
      <c r="AN15" s="272" t="n">
        <f aca="false">COUNTIF($C15:$AF15,AN$4)</f>
        <v>0</v>
      </c>
      <c r="AO15" s="272" t="n">
        <f aca="false">COUNTIF($C15:$AF15,AO$4)</f>
        <v>0</v>
      </c>
      <c r="AP15" s="272" t="n">
        <f aca="false">COUNTIF($C15:$AF15,AP$4)</f>
        <v>0</v>
      </c>
      <c r="AQ15" s="279" t="n">
        <v>3</v>
      </c>
      <c r="AR15" s="279"/>
      <c r="AS15" s="278" t="n">
        <f aca="false">SUMPRODUCT(--(WEEKDAY(C$3:AG$3,2)&lt;5),--ISNUMBER(MATCH(C15:AG15,{"DM","CS1","CS2","SB1","AE","CS/B"},0)))</f>
        <v>3</v>
      </c>
      <c r="AT15" s="278"/>
      <c r="AU15" s="278" t="n">
        <f aca="false">SUMPRODUCT(--(WEEKDAY(C$3:AG$3,2)=5),--ISNUMBER(MATCH(C15:AG15,{"DM","CS1","CS2","SB1","AE","CS/B","WEEKEND OUTFIELD RESERVE"},0)))</f>
        <v>0</v>
      </c>
      <c r="AV15" s="278" t="n">
        <f aca="false">SUMPRODUCT(--(WEEKDAY(C$3:AG$3,2)&gt;5),--ISNUMBER(MATCH(C15:AG15,{"DM","CS1","CS2","SB1","AE","CS/B","WEEKEND OUTFIELD RESERVE"},0)))</f>
        <v>1</v>
      </c>
      <c r="AW15" s="278"/>
      <c r="AX15" s="278" t="n">
        <f aca="false">(AS15-AT15)+AU15*1.5+(AV15-AW15)*2+AM15*0.5+AO15*0.5+AQ15-AR15</f>
        <v>8</v>
      </c>
      <c r="AY15" s="278" t="n">
        <f aca="false">AS15+AU15+AV15</f>
        <v>4</v>
      </c>
      <c r="AZ15" s="278" t="n">
        <f aca="false">BD15+BF15+BH15+BJ15+BL15</f>
        <v>0</v>
      </c>
      <c r="BA15" s="279" t="n">
        <f aca="false">AX15+BC15</f>
        <v>8</v>
      </c>
      <c r="BB15" s="279" t="n">
        <f aca="false">(BA15-7)</f>
        <v>1</v>
      </c>
      <c r="BC15" s="278" t="n">
        <f aca="false">BE15+BG15+BI15+BK15+BM15</f>
        <v>0</v>
      </c>
      <c r="BD15" s="278" t="n">
        <f aca="false">COUNTIF(A15:AH15,"*$BTP*")</f>
        <v>0</v>
      </c>
      <c r="BE15" s="278" t="n">
        <f aca="false">BD15*1.5</f>
        <v>0</v>
      </c>
      <c r="BF15" s="278" t="n">
        <f aca="false">COUNTIF(A15:AH15,"*$M*")</f>
        <v>0</v>
      </c>
      <c r="BG15" s="278" t="n">
        <f aca="false">BF15*1</f>
        <v>0</v>
      </c>
      <c r="BH15" s="278" t="n">
        <f aca="false">COUNTIF(A15:AH15,"*$PM*")</f>
        <v>0</v>
      </c>
      <c r="BI15" s="278" t="n">
        <f aca="false">BH15*0.5</f>
        <v>0</v>
      </c>
      <c r="BJ15" s="278" t="n">
        <f aca="false">COUNTIF(A15:AH15,"*$AM*")</f>
        <v>0</v>
      </c>
      <c r="BK15" s="278" t="n">
        <f aca="false">BJ15*0.5</f>
        <v>0</v>
      </c>
      <c r="BL15" s="278" t="n">
        <f aca="false">COUNTIF(A15:AH15,"*$FC*")</f>
        <v>0</v>
      </c>
      <c r="BM15" s="278" t="n">
        <f aca="false">BL15*1</f>
        <v>0</v>
      </c>
      <c r="BN15" s="278" t="n">
        <f aca="false">COUNTIF($D15:$AA15,BN$4)</f>
        <v>0</v>
      </c>
      <c r="BO15" s="278" t="n">
        <f aca="false">COUNTIF($D15:$AA15,BO$4)</f>
        <v>0</v>
      </c>
      <c r="BP15" s="278" t="n">
        <f aca="false">COUNTIF($D15:$AA15,BP$4)</f>
        <v>0</v>
      </c>
      <c r="BQ15" s="278"/>
    </row>
    <row r="16" customFormat="false" ht="51" hidden="false" customHeight="true" outlineLevel="0" collapsed="false">
      <c r="A16" s="272"/>
      <c r="B16" s="279" t="s">
        <v>598</v>
      </c>
      <c r="C16" s="280" t="s">
        <v>678</v>
      </c>
      <c r="D16" s="280" t="s">
        <v>678</v>
      </c>
      <c r="E16" s="280" t="s">
        <v>678</v>
      </c>
      <c r="F16" s="280" t="s">
        <v>678</v>
      </c>
      <c r="G16" s="266"/>
      <c r="H16" s="266"/>
      <c r="I16" s="266"/>
      <c r="J16" s="266" t="s">
        <v>872</v>
      </c>
      <c r="K16" s="266"/>
      <c r="L16" s="266"/>
      <c r="M16" s="266" t="s">
        <v>59</v>
      </c>
      <c r="N16" s="266"/>
      <c r="O16" s="266"/>
      <c r="P16" s="266" t="s">
        <v>59</v>
      </c>
      <c r="Q16" s="266"/>
      <c r="R16" s="266"/>
      <c r="S16" s="266" t="s">
        <v>54</v>
      </c>
      <c r="T16" s="266" t="s">
        <v>54</v>
      </c>
      <c r="U16" s="266" t="s">
        <v>57</v>
      </c>
      <c r="V16" s="266"/>
      <c r="W16" s="266"/>
      <c r="X16" s="266"/>
      <c r="Y16" s="266" t="s">
        <v>873</v>
      </c>
      <c r="Z16" s="266" t="s">
        <v>56</v>
      </c>
      <c r="AA16" s="266"/>
      <c r="AB16" s="266" t="s">
        <v>56</v>
      </c>
      <c r="AC16" s="91"/>
      <c r="AD16" s="266"/>
      <c r="AE16" s="266"/>
      <c r="AF16" s="266" t="s">
        <v>57</v>
      </c>
      <c r="AG16" s="266"/>
      <c r="AH16" s="272" t="n">
        <f aca="false">COUNTIF($C16:$AF16,AH$4)</f>
        <v>2</v>
      </c>
      <c r="AI16" s="272" t="n">
        <f aca="false">COUNTIF($C16:$AF16,AI$4)</f>
        <v>2</v>
      </c>
      <c r="AJ16" s="272" t="n">
        <f aca="false">COUNTIF($C16:$AF16,AJ$4)</f>
        <v>2</v>
      </c>
      <c r="AK16" s="272" t="n">
        <f aca="false">COUNTIF($C16:$AF16,AK$4)</f>
        <v>0</v>
      </c>
      <c r="AL16" s="272" t="n">
        <f aca="false">COUNTIF($C16:$AF16,AL$4)</f>
        <v>0</v>
      </c>
      <c r="AM16" s="272" t="n">
        <f aca="false">COUNTIF($C16:$AF16,AM$4)</f>
        <v>0</v>
      </c>
      <c r="AN16" s="272" t="n">
        <f aca="false">COUNTIF($C16:$AF16,AN$4)</f>
        <v>0</v>
      </c>
      <c r="AO16" s="272" t="n">
        <f aca="false">COUNTIF($C16:$AF16,AO$4)</f>
        <v>0</v>
      </c>
      <c r="AP16" s="272" t="n">
        <f aca="false">COUNTIF($C16:$AF16,AP$4)</f>
        <v>0</v>
      </c>
      <c r="AQ16" s="279"/>
      <c r="AR16" s="279" t="n">
        <v>1.5</v>
      </c>
      <c r="AS16" s="278" t="n">
        <f aca="false">SUMPRODUCT(--(WEEKDAY(C$3:AG$3,2)&lt;5),--ISNUMBER(MATCH(C16:AG16,{"DM","CS1","CS2","SB1","AE","CS/B"},0)))</f>
        <v>3</v>
      </c>
      <c r="AT16" s="278"/>
      <c r="AU16" s="278" t="n">
        <f aca="false">SUMPRODUCT(--(WEEKDAY(C$3:AG$3,2)=5),--ISNUMBER(MATCH(C16:AG16,{"DM","CS1","CS2","SB1","AE","CS/B","WEEKEND OUTFIELD RESERVE"},0)))</f>
        <v>2</v>
      </c>
      <c r="AV16" s="278" t="n">
        <f aca="false">SUMPRODUCT(--(WEEKDAY(C$3:AG$3,2)&gt;5),--ISNUMBER(MATCH(C16:AG16,{"DM","CS1","CS2","SB1","AE","CS/B","WEEKEND OUTFIELD RESERVE"},0)))</f>
        <v>1</v>
      </c>
      <c r="AW16" s="278"/>
      <c r="AX16" s="278" t="n">
        <f aca="false">(AS16-AT16)+AU16*1.5+(AV16-AW16)*2+AM16*0.5+AO16*0.5+AQ16-AR16</f>
        <v>6.5</v>
      </c>
      <c r="AY16" s="278" t="n">
        <f aca="false">AS16+AU16+AV16</f>
        <v>6</v>
      </c>
      <c r="AZ16" s="278" t="n">
        <f aca="false">BD16+BF16+BH16+BJ16+BL16</f>
        <v>1</v>
      </c>
      <c r="BA16" s="279" t="n">
        <f aca="false">AX16+BC16</f>
        <v>7</v>
      </c>
      <c r="BB16" s="279" t="n">
        <f aca="false">(BA16-7)</f>
        <v>0</v>
      </c>
      <c r="BC16" s="278" t="n">
        <f aca="false">BE16+BG16+BI16+BK16+BM16</f>
        <v>0.5</v>
      </c>
      <c r="BD16" s="278" t="n">
        <f aca="false">COUNTIF(A16:AH16,"*$BTP*")</f>
        <v>0</v>
      </c>
      <c r="BE16" s="278" t="n">
        <f aca="false">BD16*1.5</f>
        <v>0</v>
      </c>
      <c r="BF16" s="278" t="n">
        <f aca="false">COUNTIF(A16:AH16,"*$M*")</f>
        <v>0</v>
      </c>
      <c r="BG16" s="278" t="n">
        <f aca="false">BF16*1</f>
        <v>0</v>
      </c>
      <c r="BH16" s="278" t="n">
        <f aca="false">COUNTIF(A16:AH16,"*$PM*")</f>
        <v>0</v>
      </c>
      <c r="BI16" s="278" t="n">
        <f aca="false">BH16*0.5</f>
        <v>0</v>
      </c>
      <c r="BJ16" s="278" t="n">
        <f aca="false">COUNTIF(A16:AH16,"*$AM*")</f>
        <v>1</v>
      </c>
      <c r="BK16" s="278" t="n">
        <f aca="false">BJ16*0.5</f>
        <v>0.5</v>
      </c>
      <c r="BL16" s="278" t="n">
        <f aca="false">COUNTIF(A16:AH16,"*$FC*")</f>
        <v>0</v>
      </c>
      <c r="BM16" s="278" t="n">
        <f aca="false">BL16*1</f>
        <v>0</v>
      </c>
      <c r="BN16" s="278" t="n">
        <f aca="false">COUNTIF($D16:$AA16,BN$4)</f>
        <v>0</v>
      </c>
      <c r="BO16" s="278" t="n">
        <f aca="false">COUNTIF($D16:$AA16,BO$4)</f>
        <v>0</v>
      </c>
      <c r="BP16" s="278" t="n">
        <f aca="false">COUNTIF($D16:$AA16,BP$4)</f>
        <v>0</v>
      </c>
      <c r="BQ16" s="278"/>
    </row>
    <row r="17" customFormat="false" ht="19.5" hidden="false" customHeight="true" outlineLevel="0" collapsed="false">
      <c r="A17" s="272"/>
      <c r="B17" s="279" t="s">
        <v>442</v>
      </c>
      <c r="C17" s="280"/>
      <c r="D17" s="280" t="s">
        <v>57</v>
      </c>
      <c r="E17" s="266" t="s">
        <v>93</v>
      </c>
      <c r="F17" s="266" t="s">
        <v>672</v>
      </c>
      <c r="G17" s="266" t="s">
        <v>71</v>
      </c>
      <c r="H17" s="266" t="s">
        <v>71</v>
      </c>
      <c r="I17" s="266" t="s">
        <v>71</v>
      </c>
      <c r="J17" s="266" t="s">
        <v>71</v>
      </c>
      <c r="K17" s="266" t="s">
        <v>71</v>
      </c>
      <c r="L17" s="266" t="s">
        <v>71</v>
      </c>
      <c r="M17" s="266" t="s">
        <v>71</v>
      </c>
      <c r="N17" s="266" t="s">
        <v>71</v>
      </c>
      <c r="O17" s="266" t="s">
        <v>57</v>
      </c>
      <c r="P17" s="266"/>
      <c r="Q17" s="92"/>
      <c r="R17" s="92"/>
      <c r="S17" s="266" t="s">
        <v>57</v>
      </c>
      <c r="U17" s="92"/>
      <c r="W17" s="92"/>
      <c r="X17" s="46" t="s">
        <v>55</v>
      </c>
      <c r="Y17" s="91" t="s">
        <v>55</v>
      </c>
      <c r="Z17" s="46" t="s">
        <v>55</v>
      </c>
      <c r="AA17" s="266" t="s">
        <v>672</v>
      </c>
      <c r="AB17" s="266" t="s">
        <v>71</v>
      </c>
      <c r="AC17" s="266" t="s">
        <v>71</v>
      </c>
      <c r="AD17" s="266" t="s">
        <v>71</v>
      </c>
      <c r="AE17" s="266" t="s">
        <v>71</v>
      </c>
      <c r="AF17" s="266" t="s">
        <v>71</v>
      </c>
      <c r="AG17" s="266" t="s">
        <v>71</v>
      </c>
      <c r="AH17" s="272" t="n">
        <f aca="false">COUNTIF($C17:$Z17,AH$4)</f>
        <v>3</v>
      </c>
      <c r="AI17" s="272" t="n">
        <f aca="false">COUNTIF($C17:$Z17,AI$4)</f>
        <v>0</v>
      </c>
      <c r="AJ17" s="272" t="n">
        <f aca="false">COUNTIF($C17:$Z17,AJ$4)</f>
        <v>0</v>
      </c>
      <c r="AK17" s="272" t="n">
        <f aca="false">COUNTIF($C17:$Z17,AK$4)</f>
        <v>0</v>
      </c>
      <c r="AL17" s="272" t="n">
        <f aca="false">COUNTIF($C17:$Z17,AL$4)</f>
        <v>0</v>
      </c>
      <c r="AM17" s="272" t="n">
        <f aca="false">COUNTIF($C17:$Z17,AM$4)</f>
        <v>1</v>
      </c>
      <c r="AN17" s="272" t="n">
        <f aca="false">COUNTIF($C17:$Z17,AN$4)</f>
        <v>0</v>
      </c>
      <c r="AO17" s="272" t="n">
        <f aca="false">COUNTIF($C17:$Z17,AO$4)</f>
        <v>0</v>
      </c>
      <c r="AP17" s="272" t="n">
        <f aca="false">COUNTIF($C17:$Z17,AP$4)</f>
        <v>0</v>
      </c>
      <c r="AQ17" s="279"/>
      <c r="AR17" s="279" t="n">
        <v>2</v>
      </c>
      <c r="AS17" s="278" t="n">
        <f aca="false">SUMPRODUCT(--(WEEKDAY(C$3:AG$3,2)&lt;5),--ISNUMBER(MATCH(C17:AG17,{"DM","CS1","CS2","SB1","AE","CS/B"},0)))</f>
        <v>2</v>
      </c>
      <c r="AT17" s="272"/>
      <c r="AU17" s="278" t="n">
        <f aca="false">SUMPRODUCT(--(WEEKDAY(C$3:AG$3,2)=5),--ISNUMBER(MATCH(C17:AG17,{"DM","CS1","CS2","SB1","AE","CS/B","WEEKEND OUTFIELD RESERVE"},0)))</f>
        <v>0</v>
      </c>
      <c r="AV17" s="278" t="n">
        <f aca="false">SUMPRODUCT(--(WEEKDAY(C$3:AG$3,2)&gt;5),--ISNUMBER(MATCH(C17:AG17,{"DM","CS1","CS2","SB1","AE","CS/B","WEEKEND OUTFIELD RESERVE"},0)))</f>
        <v>1</v>
      </c>
      <c r="AW17" s="272"/>
      <c r="AX17" s="278" t="n">
        <f aca="false">(AS17-AT17)+AU17*1.5+(AV17-AW17)*2+AM17*0.5+AO17*0.5+AQ17-AR17</f>
        <v>2.5</v>
      </c>
      <c r="AY17" s="278" t="n">
        <f aca="false">AS17+AU17+AV17</f>
        <v>3</v>
      </c>
      <c r="AZ17" s="278" t="n">
        <f aca="false">BD17+BF17+BH17+BJ17+BL17</f>
        <v>0</v>
      </c>
      <c r="BA17" s="279" t="n">
        <f aca="false">AX17+BC17</f>
        <v>2.5</v>
      </c>
      <c r="BB17" s="279" t="n">
        <f aca="false">(BA17-7)</f>
        <v>-4.5</v>
      </c>
      <c r="BC17" s="278" t="n">
        <f aca="false">BE17+BG17+BI17+BK17+BM17</f>
        <v>0</v>
      </c>
      <c r="BD17" s="278" t="n">
        <f aca="false">COUNTIF(A17:AH17,"*$BTP*")</f>
        <v>0</v>
      </c>
      <c r="BE17" s="278" t="n">
        <f aca="false">BD17*1.5</f>
        <v>0</v>
      </c>
      <c r="BF17" s="278" t="n">
        <f aca="false">COUNTIF(A17:AH17,"*$M*")</f>
        <v>0</v>
      </c>
      <c r="BG17" s="278" t="n">
        <f aca="false">BF17*1</f>
        <v>0</v>
      </c>
      <c r="BH17" s="278" t="n">
        <f aca="false">COUNTIF(A17:AH17,"*$PM*")</f>
        <v>0</v>
      </c>
      <c r="BI17" s="278" t="n">
        <f aca="false">BH17*0.5</f>
        <v>0</v>
      </c>
      <c r="BJ17" s="278" t="n">
        <f aca="false">COUNTIF(A17:AH17,"*$AM*")</f>
        <v>0</v>
      </c>
      <c r="BK17" s="278" t="n">
        <f aca="false">BJ17*0.5</f>
        <v>0</v>
      </c>
      <c r="BL17" s="278" t="n">
        <f aca="false">COUNTIF(A17:AH17,"*$FC*")</f>
        <v>0</v>
      </c>
      <c r="BM17" s="278" t="n">
        <f aca="false">BL17*1</f>
        <v>0</v>
      </c>
      <c r="BN17" s="278" t="n">
        <f aca="false">COUNTIF($D17:$Z17,BN$4)</f>
        <v>0</v>
      </c>
      <c r="BO17" s="278" t="n">
        <f aca="false">COUNTIF($D17:$Z17,BO$4)</f>
        <v>0</v>
      </c>
      <c r="BP17" s="278" t="n">
        <f aca="false">COUNTIF($D17:$Z17,BP$4)</f>
        <v>3</v>
      </c>
      <c r="BQ17" s="272"/>
    </row>
    <row r="18" customFormat="false" ht="103.5" hidden="false" customHeight="true" outlineLevel="0" collapsed="false">
      <c r="A18" s="272"/>
      <c r="B18" s="279" t="s">
        <v>594</v>
      </c>
      <c r="C18" s="280" t="s">
        <v>57</v>
      </c>
      <c r="D18" s="280" t="s">
        <v>93</v>
      </c>
      <c r="E18" s="283" t="s">
        <v>350</v>
      </c>
      <c r="F18" s="266"/>
      <c r="G18" s="266" t="s">
        <v>150</v>
      </c>
      <c r="H18" s="266" t="s">
        <v>671</v>
      </c>
      <c r="I18" s="91"/>
      <c r="J18" s="266" t="s">
        <v>57</v>
      </c>
      <c r="K18" s="266"/>
      <c r="L18" s="266" t="s">
        <v>59</v>
      </c>
      <c r="M18" s="91"/>
      <c r="N18" s="91"/>
      <c r="O18" s="266" t="s">
        <v>54</v>
      </c>
      <c r="P18" s="266" t="s">
        <v>54</v>
      </c>
      <c r="Q18" s="266" t="s">
        <v>54</v>
      </c>
      <c r="R18" s="266" t="s">
        <v>54</v>
      </c>
      <c r="S18" s="266" t="s">
        <v>54</v>
      </c>
      <c r="T18" s="266" t="s">
        <v>54</v>
      </c>
      <c r="U18" s="266" t="s">
        <v>54</v>
      </c>
      <c r="V18" s="266" t="s">
        <v>54</v>
      </c>
      <c r="W18" s="266" t="s">
        <v>54</v>
      </c>
      <c r="X18" s="266" t="s">
        <v>54</v>
      </c>
      <c r="Y18" s="266" t="s">
        <v>54</v>
      </c>
      <c r="Z18" s="266" t="s">
        <v>54</v>
      </c>
      <c r="AA18" s="266" t="s">
        <v>54</v>
      </c>
      <c r="AB18" s="266" t="s">
        <v>54</v>
      </c>
      <c r="AC18" s="266" t="s">
        <v>54</v>
      </c>
      <c r="AD18" s="266" t="s">
        <v>54</v>
      </c>
      <c r="AE18" s="266"/>
      <c r="AF18" s="92" t="s">
        <v>874</v>
      </c>
      <c r="AG18" s="266"/>
      <c r="AH18" s="272" t="n">
        <f aca="false">COUNTIF($C18:$AF18,AH$4)</f>
        <v>2</v>
      </c>
      <c r="AI18" s="272" t="n">
        <f aca="false">COUNTIF($C18:$AF18,AI$4)</f>
        <v>0</v>
      </c>
      <c r="AJ18" s="272" t="n">
        <f aca="false">COUNTIF($C18:$AF18,AJ$4)</f>
        <v>1</v>
      </c>
      <c r="AK18" s="272" t="n">
        <f aca="false">COUNTIF($C18:$AF18,AK$4)</f>
        <v>0</v>
      </c>
      <c r="AL18" s="272" t="n">
        <f aca="false">COUNTIF($C18:$AF18,AL$4)</f>
        <v>0</v>
      </c>
      <c r="AM18" s="272" t="n">
        <f aca="false">COUNTIF($C18:$AF18,AM$4)</f>
        <v>1</v>
      </c>
      <c r="AN18" s="272" t="n">
        <f aca="false">COUNTIF($C18:$AF18,AN$4)</f>
        <v>0</v>
      </c>
      <c r="AO18" s="272" t="n">
        <f aca="false">COUNTIF($C18:$AF18,AO$4)</f>
        <v>0</v>
      </c>
      <c r="AP18" s="272" t="n">
        <f aca="false">COUNTIF($C18:$AF18,AP$4)</f>
        <v>0</v>
      </c>
      <c r="AQ18" s="279"/>
      <c r="AR18" s="279" t="n">
        <v>0.5</v>
      </c>
      <c r="AS18" s="278" t="n">
        <f aca="false">SUMPRODUCT(--(WEEKDAY(C$3:AG$3,2)&lt;5),--ISNUMBER(MATCH(C18:AG18,{"DM","CS1","CS2","SB1","AE","CS/B"},0)))</f>
        <v>3</v>
      </c>
      <c r="AT18" s="278"/>
      <c r="AU18" s="278" t="n">
        <f aca="false">SUMPRODUCT(--(WEEKDAY(C$3:AG$3,2)=5),--ISNUMBER(MATCH(C18:AG18,{"DM","CS1","CS2","SB1","AE","CS/B","WEEKEND OUTFIELD RESERVE"},0)))</f>
        <v>0</v>
      </c>
      <c r="AV18" s="278" t="n">
        <f aca="false">SUMPRODUCT(--(WEEKDAY(C$3:AG$3,2)&gt;5),--ISNUMBER(MATCH(C18:AG18,{"DM","CS1","CS2","SB1","AE","CS/B","WEEKEND OUTFIELD RESERVE"},0)))</f>
        <v>0</v>
      </c>
      <c r="AW18" s="278"/>
      <c r="AX18" s="278" t="n">
        <f aca="false">(AS18-AT18)+AU18*1.5+(AV18-AW18)*2+AM18*0.5+AO18*0.5+AQ18-AR18</f>
        <v>3</v>
      </c>
      <c r="AY18" s="278" t="n">
        <f aca="false">AS18+AU18+AV18</f>
        <v>3</v>
      </c>
      <c r="AZ18" s="278" t="n">
        <f aca="false">BD18+BF18+BH18+BJ18+BL18</f>
        <v>2</v>
      </c>
      <c r="BA18" s="279" t="n">
        <f aca="false">AX18+BC18</f>
        <v>4.5</v>
      </c>
      <c r="BB18" s="279" t="n">
        <f aca="false">(BA18-7)</f>
        <v>-2.5</v>
      </c>
      <c r="BC18" s="278" t="n">
        <f aca="false">BE18+BG18+BI18+BK18+BM18</f>
        <v>1.5</v>
      </c>
      <c r="BD18" s="278" t="n">
        <f aca="false">COUNTIF(A18:AH18,"*$BTP*")</f>
        <v>0</v>
      </c>
      <c r="BE18" s="278" t="n">
        <f aca="false">BD18*1.5</f>
        <v>0</v>
      </c>
      <c r="BF18" s="278" t="n">
        <f aca="false">COUNTIF(A18:AH18,"*$M*")</f>
        <v>1</v>
      </c>
      <c r="BG18" s="278" t="n">
        <f aca="false">BF18*1</f>
        <v>1</v>
      </c>
      <c r="BH18" s="278" t="n">
        <f aca="false">COUNTIF(A18:AH18,"*$PM*")</f>
        <v>0</v>
      </c>
      <c r="BI18" s="278" t="n">
        <f aca="false">BH18*0.5</f>
        <v>0</v>
      </c>
      <c r="BJ18" s="278" t="n">
        <f aca="false">COUNTIF(A18:AH18,"*$AM*")</f>
        <v>1</v>
      </c>
      <c r="BK18" s="278" t="n">
        <f aca="false">BJ18*0.5</f>
        <v>0.5</v>
      </c>
      <c r="BL18" s="278" t="n">
        <f aca="false">COUNTIF(A18:AH18,"*$FC*")</f>
        <v>0</v>
      </c>
      <c r="BM18" s="278" t="n">
        <f aca="false">BL18*1</f>
        <v>0</v>
      </c>
      <c r="BN18" s="278" t="n">
        <f aca="false">COUNTIF($D18:$AA18,BN$4)</f>
        <v>0</v>
      </c>
      <c r="BO18" s="278" t="n">
        <f aca="false">COUNTIF($D18:$AA18,BO$4)</f>
        <v>1</v>
      </c>
      <c r="BP18" s="278" t="n">
        <f aca="false">COUNTIF($D18:$AA18,BP$4)</f>
        <v>0</v>
      </c>
      <c r="BQ18" s="278"/>
    </row>
    <row r="19" customFormat="false" ht="68.25" hidden="false" customHeight="true" outlineLevel="0" collapsed="false">
      <c r="A19" s="272"/>
      <c r="B19" s="279" t="s">
        <v>725</v>
      </c>
      <c r="C19" s="283" t="s">
        <v>678</v>
      </c>
      <c r="D19" s="283" t="s">
        <v>678</v>
      </c>
      <c r="E19" s="283" t="s">
        <v>680</v>
      </c>
      <c r="F19" s="283" t="s">
        <v>678</v>
      </c>
      <c r="G19" s="266"/>
      <c r="H19" s="266"/>
      <c r="I19" s="91"/>
      <c r="J19" s="266" t="s">
        <v>872</v>
      </c>
      <c r="K19" s="92"/>
      <c r="L19" s="266"/>
      <c r="M19" s="266"/>
      <c r="N19" s="91"/>
      <c r="O19" s="266"/>
      <c r="P19" s="266"/>
      <c r="Q19" s="266" t="s">
        <v>57</v>
      </c>
      <c r="R19" s="266"/>
      <c r="S19" s="283" t="s">
        <v>54</v>
      </c>
      <c r="U19" s="266" t="s">
        <v>59</v>
      </c>
      <c r="V19" s="266"/>
      <c r="W19" s="266" t="s">
        <v>57</v>
      </c>
      <c r="X19" s="266"/>
      <c r="Y19" s="266" t="s">
        <v>875</v>
      </c>
      <c r="Z19" s="266" t="s">
        <v>71</v>
      </c>
      <c r="AA19" s="266" t="s">
        <v>71</v>
      </c>
      <c r="AB19" s="266" t="s">
        <v>71</v>
      </c>
      <c r="AC19" s="266"/>
      <c r="AD19" s="266"/>
      <c r="AE19" s="266" t="s">
        <v>56</v>
      </c>
      <c r="AF19" s="91"/>
      <c r="AG19" s="266"/>
      <c r="AH19" s="272" t="n">
        <f aca="false">COUNTIF($C19:$AF19,AH$4)</f>
        <v>2</v>
      </c>
      <c r="AI19" s="272" t="n">
        <f aca="false">COUNTIF($C19:$AF19,AI$4)</f>
        <v>1</v>
      </c>
      <c r="AJ19" s="272" t="n">
        <f aca="false">COUNTIF($C19:$AF19,AJ$4)</f>
        <v>1</v>
      </c>
      <c r="AK19" s="272" t="n">
        <f aca="false">COUNTIF($C19:$AF19,AK$4)</f>
        <v>0</v>
      </c>
      <c r="AL19" s="272" t="n">
        <f aca="false">COUNTIF($C19:$AF19,AL$4)</f>
        <v>0</v>
      </c>
      <c r="AM19" s="272" t="n">
        <f aca="false">COUNTIF($C19:$AF19,AM$4)</f>
        <v>0</v>
      </c>
      <c r="AN19" s="272" t="n">
        <f aca="false">COUNTIF($C19:$AF19,AN$4)</f>
        <v>0</v>
      </c>
      <c r="AO19" s="272" t="n">
        <f aca="false">COUNTIF($C19:$AF19,AO$4)</f>
        <v>0</v>
      </c>
      <c r="AP19" s="272" t="n">
        <f aca="false">COUNTIF($C19:$AF19,AP$4)</f>
        <v>0</v>
      </c>
      <c r="AQ19" s="279" t="n">
        <v>0.5</v>
      </c>
      <c r="AR19" s="279"/>
      <c r="AS19" s="278" t="n">
        <f aca="false">SUMPRODUCT(--(WEEKDAY(C$3:AG$3,2)&lt;5),--ISNUMBER(MATCH(C19:AG19,{"DM","CS1","CS2","SB1","AE","CS/B"},0)))</f>
        <v>2</v>
      </c>
      <c r="AT19" s="278"/>
      <c r="AU19" s="278" t="n">
        <f aca="false">SUMPRODUCT(--(WEEKDAY(C$3:AG$3,2)=5),--ISNUMBER(MATCH(C19:AG19,{"DM","CS1","CS2","SB1","AE","CS/B","WEEKEND OUTFIELD RESERVE"},0)))</f>
        <v>1</v>
      </c>
      <c r="AV19" s="278" t="n">
        <f aca="false">SUMPRODUCT(--(WEEKDAY(C$3:AG$3,2)&gt;5),--ISNUMBER(MATCH(C19:AG19,{"DM","CS1","CS2","SB1","AE","CS/B","WEEKEND OUTFIELD RESERVE"},0)))</f>
        <v>1</v>
      </c>
      <c r="AW19" s="278"/>
      <c r="AX19" s="278" t="n">
        <f aca="false">(AS19-AT19)+AU19*1.5+(AV19-AW19)*2+AM19*0.5+AO19*0.5+AQ19-AR19</f>
        <v>6</v>
      </c>
      <c r="AY19" s="278" t="n">
        <f aca="false">AS19+AU19+AV19</f>
        <v>4</v>
      </c>
      <c r="AZ19" s="278" t="n">
        <f aca="false">BD19+BF19+BH19+BJ19+BL19</f>
        <v>1</v>
      </c>
      <c r="BA19" s="279" t="n">
        <f aca="false">AX19+BC19</f>
        <v>7</v>
      </c>
      <c r="BB19" s="279" t="n">
        <f aca="false">(BA19-7)</f>
        <v>0</v>
      </c>
      <c r="BC19" s="278" t="n">
        <f aca="false">BE19+BG19+BI19+BK19+BM19</f>
        <v>1</v>
      </c>
      <c r="BD19" s="278" t="n">
        <f aca="false">COUNTIF(A19:AH19,"*$BTP*")</f>
        <v>0</v>
      </c>
      <c r="BE19" s="278" t="n">
        <f aca="false">BD19*1.5</f>
        <v>0</v>
      </c>
      <c r="BF19" s="278" t="n">
        <f aca="false">COUNTIF(A19:AH19,"*$M*")</f>
        <v>1</v>
      </c>
      <c r="BG19" s="278" t="n">
        <f aca="false">BF19*1</f>
        <v>1</v>
      </c>
      <c r="BH19" s="278" t="n">
        <f aca="false">COUNTIF(A19:AH19,"*$PM*")</f>
        <v>0</v>
      </c>
      <c r="BI19" s="278" t="n">
        <f aca="false">BH19*0.5</f>
        <v>0</v>
      </c>
      <c r="BJ19" s="278" t="n">
        <f aca="false">COUNTIF(A19:AH19,"*$AM*")</f>
        <v>0</v>
      </c>
      <c r="BK19" s="278" t="n">
        <f aca="false">BJ19*0.5</f>
        <v>0</v>
      </c>
      <c r="BL19" s="278" t="n">
        <f aca="false">COUNTIF(A19:AH19,"*$FC*")</f>
        <v>0</v>
      </c>
      <c r="BM19" s="278" t="n">
        <f aca="false">BL19*1</f>
        <v>0</v>
      </c>
      <c r="BN19" s="278" t="n">
        <f aca="false">COUNTIF($D19:$AA19,BN$4)</f>
        <v>0</v>
      </c>
      <c r="BO19" s="278" t="n">
        <f aca="false">COUNTIF($D19:$AA19,BO$4)</f>
        <v>0</v>
      </c>
      <c r="BP19" s="278" t="n">
        <f aca="false">COUNTIF($D19:$AA19,BP$4)</f>
        <v>0</v>
      </c>
      <c r="BQ19" s="278"/>
    </row>
    <row r="20" customFormat="false" ht="19.5" hidden="false" customHeight="true" outlineLevel="0" collapsed="false">
      <c r="A20" s="272"/>
      <c r="B20" s="279" t="s">
        <v>623</v>
      </c>
      <c r="C20" s="283"/>
      <c r="D20" s="283"/>
      <c r="E20" s="92"/>
      <c r="F20" s="92"/>
      <c r="G20" s="266" t="s">
        <v>57</v>
      </c>
      <c r="H20" s="266"/>
      <c r="I20" s="266"/>
      <c r="K20" s="266"/>
      <c r="L20" s="266"/>
      <c r="M20" s="266"/>
      <c r="N20" s="266"/>
      <c r="O20" s="266"/>
      <c r="P20" s="283" t="s">
        <v>350</v>
      </c>
      <c r="Q20" s="266" t="s">
        <v>93</v>
      </c>
      <c r="R20" s="266"/>
      <c r="S20" s="266"/>
      <c r="T20" s="266" t="s">
        <v>56</v>
      </c>
      <c r="U20" s="266"/>
      <c r="V20" s="266" t="s">
        <v>56</v>
      </c>
      <c r="W20" s="266"/>
      <c r="X20" s="266" t="s">
        <v>59</v>
      </c>
      <c r="Y20" s="91"/>
      <c r="Z20" s="266" t="s">
        <v>59</v>
      </c>
      <c r="AA20" s="266"/>
      <c r="AB20" s="91"/>
      <c r="AC20" s="283"/>
      <c r="AD20" s="91" t="s">
        <v>56</v>
      </c>
      <c r="AE20" s="266"/>
      <c r="AF20" s="263" t="s">
        <v>876</v>
      </c>
      <c r="AG20" s="266"/>
      <c r="AH20" s="272" t="n">
        <f aca="false">COUNTIF($C20:$AF20,AH$4)</f>
        <v>1</v>
      </c>
      <c r="AI20" s="272" t="n">
        <f aca="false">COUNTIF($C20:$AF20,AI$4)</f>
        <v>3</v>
      </c>
      <c r="AJ20" s="272" t="n">
        <f aca="false">COUNTIF($C20:$AF20,AJ$4)</f>
        <v>2</v>
      </c>
      <c r="AK20" s="272" t="n">
        <f aca="false">COUNTIF($C20:$AF20,AK$4)</f>
        <v>0</v>
      </c>
      <c r="AL20" s="272" t="n">
        <f aca="false">COUNTIF($C20:$AF20,AL$4)</f>
        <v>0</v>
      </c>
      <c r="AM20" s="272" t="n">
        <f aca="false">COUNTIF($C20:$AF20,AM$4)</f>
        <v>1</v>
      </c>
      <c r="AN20" s="272" t="n">
        <f aca="false">COUNTIF($C20:$AF20,AN$4)</f>
        <v>0</v>
      </c>
      <c r="AO20" s="272" t="n">
        <f aca="false">COUNTIF($C20:$AF20,AO$4)</f>
        <v>0</v>
      </c>
      <c r="AP20" s="272" t="n">
        <f aca="false">COUNTIF($C20:$AF20,AP$4)</f>
        <v>0</v>
      </c>
      <c r="AQ20" s="279" t="n">
        <v>0.5</v>
      </c>
      <c r="AR20" s="279"/>
      <c r="AS20" s="278" t="n">
        <f aca="false">SUMPRODUCT(--(WEEKDAY(C$3:AG$3,2)&lt;5),--ISNUMBER(MATCH(C20:AG20,{"DM","CS1","CS2","SB1","AE","CS/B"},0)))</f>
        <v>3</v>
      </c>
      <c r="AT20" s="272"/>
      <c r="AU20" s="278" t="n">
        <f aca="false">SUMPRODUCT(--(WEEKDAY(C$3:AG$3,2)=5),--ISNUMBER(MATCH(C20:AG20,{"DM","CS1","CS2","SB1","AE","CS/B","WEEKEND OUTFIELD RESERVE"},0)))</f>
        <v>1</v>
      </c>
      <c r="AV20" s="278" t="n">
        <f aca="false">SUMPRODUCT(--(WEEKDAY(C$3:AG$3,2)&gt;5),--ISNUMBER(MATCH(C20:AG20,{"DM","CS1","CS2","SB1","AE","CS/B","WEEKEND OUTFIELD RESERVE"},0)))</f>
        <v>2</v>
      </c>
      <c r="AW20" s="272"/>
      <c r="AX20" s="278" t="n">
        <f aca="false">(AS20-AT20)+AU20*1.5+(AV20-AW20)*2+AM20*0.5+AO20*0.5+AQ20-AR20</f>
        <v>9.5</v>
      </c>
      <c r="AY20" s="278" t="n">
        <f aca="false">AS20+AU20+AV20</f>
        <v>6</v>
      </c>
      <c r="AZ20" s="278" t="n">
        <f aca="false">BD20+BF20+BH20+BJ20+BL20</f>
        <v>1</v>
      </c>
      <c r="BA20" s="279" t="n">
        <f aca="false">AX20+BC20</f>
        <v>10</v>
      </c>
      <c r="BB20" s="279" t="n">
        <f aca="false">(BA20-7)</f>
        <v>3</v>
      </c>
      <c r="BC20" s="278" t="n">
        <f aca="false">BE20+BG20+BI20+BK20+BM20</f>
        <v>0.5</v>
      </c>
      <c r="BD20" s="278" t="n">
        <f aca="false">COUNTIF(A20:AH20,"*$BTP*")</f>
        <v>0</v>
      </c>
      <c r="BE20" s="278" t="n">
        <f aca="false">BD20*1.5</f>
        <v>0</v>
      </c>
      <c r="BF20" s="278" t="n">
        <f aca="false">COUNTIF(A20:AH20,"*$M*")</f>
        <v>0</v>
      </c>
      <c r="BG20" s="278" t="n">
        <f aca="false">BF20*1</f>
        <v>0</v>
      </c>
      <c r="BH20" s="278" t="n">
        <f aca="false">COUNTIF(A20:AH20,"*$PM*")</f>
        <v>1</v>
      </c>
      <c r="BI20" s="278" t="n">
        <f aca="false">BH20*0.5</f>
        <v>0.5</v>
      </c>
      <c r="BJ20" s="278" t="n">
        <f aca="false">COUNTIF(A20:AH20,"*$AM*")</f>
        <v>0</v>
      </c>
      <c r="BK20" s="278" t="n">
        <f aca="false">BJ20*0.5</f>
        <v>0</v>
      </c>
      <c r="BL20" s="278" t="n">
        <f aca="false">COUNTIF(A20:AH20,"*$FC*")</f>
        <v>0</v>
      </c>
      <c r="BM20" s="278" t="n">
        <f aca="false">BL20*1</f>
        <v>0</v>
      </c>
      <c r="BN20" s="278" t="n">
        <f aca="false">COUNTIF($D20:$AA20,BN$4)</f>
        <v>0</v>
      </c>
      <c r="BO20" s="278" t="n">
        <f aca="false">COUNTIF($D20:$AA20,BO$4)</f>
        <v>1</v>
      </c>
      <c r="BP20" s="278" t="n">
        <f aca="false">COUNTIF($D20:$AA20,BP$4)</f>
        <v>0</v>
      </c>
      <c r="BQ20" s="272"/>
    </row>
    <row r="21" customFormat="false" ht="48" hidden="false" customHeight="true" outlineLevel="0" collapsed="false">
      <c r="A21" s="272"/>
      <c r="B21" s="279" t="s">
        <v>609</v>
      </c>
      <c r="C21" s="283"/>
      <c r="D21" s="283"/>
      <c r="E21" s="266"/>
      <c r="F21" s="266"/>
      <c r="G21" s="266"/>
      <c r="H21" s="266"/>
      <c r="I21" s="266"/>
      <c r="J21" s="266"/>
      <c r="K21" s="266"/>
      <c r="L21" s="266"/>
      <c r="M21" s="266"/>
      <c r="N21" s="266" t="s">
        <v>55</v>
      </c>
      <c r="O21" s="266"/>
      <c r="P21" s="266"/>
      <c r="Q21" s="266" t="s">
        <v>55</v>
      </c>
      <c r="R21" s="266"/>
      <c r="S21" s="266"/>
      <c r="T21" s="266"/>
      <c r="U21" s="266" t="s">
        <v>55</v>
      </c>
      <c r="V21" s="266"/>
      <c r="W21" s="266"/>
      <c r="X21" s="266" t="s">
        <v>55</v>
      </c>
      <c r="Y21" s="266"/>
      <c r="Z21" s="266"/>
      <c r="AA21" s="266" t="s">
        <v>55</v>
      </c>
      <c r="AB21" s="266" t="s">
        <v>55</v>
      </c>
      <c r="AC21" s="266"/>
      <c r="AD21" s="266"/>
      <c r="AE21" s="266" t="s">
        <v>55</v>
      </c>
      <c r="AF21" s="266"/>
      <c r="AG21" s="266"/>
      <c r="AH21" s="272" t="n">
        <f aca="false">COUNTIF($C21:$AF21,AH$4)</f>
        <v>0</v>
      </c>
      <c r="AI21" s="272" t="n">
        <f aca="false">COUNTIF($C21:$AF21,AI$4)</f>
        <v>0</v>
      </c>
      <c r="AJ21" s="272" t="n">
        <f aca="false">COUNTIF($C21:$AF21,AJ$4)</f>
        <v>0</v>
      </c>
      <c r="AK21" s="272" t="n">
        <f aca="false">COUNTIF($C21:$AF21,AK$4)</f>
        <v>0</v>
      </c>
      <c r="AL21" s="272" t="n">
        <f aca="false">COUNTIF($C21:$AF21,AL$4)</f>
        <v>0</v>
      </c>
      <c r="AM21" s="272" t="n">
        <f aca="false">COUNTIF($C21:$AF21,AM$4)</f>
        <v>0</v>
      </c>
      <c r="AN21" s="272" t="n">
        <f aca="false">COUNTIF($C21:$AF21,AN$4)</f>
        <v>0</v>
      </c>
      <c r="AO21" s="272" t="n">
        <f aca="false">COUNTIF($C21:$AF21,AO$4)</f>
        <v>0</v>
      </c>
      <c r="AP21" s="272" t="n">
        <f aca="false">COUNTIF($C21:$AF21,AP$4)</f>
        <v>0</v>
      </c>
      <c r="AQ21" s="279"/>
      <c r="AR21" s="279"/>
      <c r="AS21" s="278" t="n">
        <f aca="false">SUMPRODUCT(--(WEEKDAY(C$3:AG$3,2)&lt;5),--ISNUMBER(MATCH(C21:AG21,{"DM","CS1","CS2","SB1","AE","CS/B"},0)))</f>
        <v>0</v>
      </c>
      <c r="AT21" s="278"/>
      <c r="AU21" s="278" t="n">
        <f aca="false">SUMPRODUCT(--(WEEKDAY(C$3:AG$3,2)=5),--ISNUMBER(MATCH(C21:AG21,{"DM","CS1","CS2","SB1","AE","CS/B","WEEKEND OUTFIELD RESERVE"},0)))</f>
        <v>0</v>
      </c>
      <c r="AV21" s="278" t="n">
        <f aca="false">SUMPRODUCT(--(WEEKDAY(C$3:AG$3,2)&gt;5),--ISNUMBER(MATCH(C21:AG21,{"DM","CS1","CS2","SB1","AE","CS/B","WEEKEND OUTFIELD RESERVE"},0)))</f>
        <v>0</v>
      </c>
      <c r="AW21" s="278"/>
      <c r="AX21" s="278" t="n">
        <f aca="false">(AS21-AT21)+AU21*1.5+(AV21-AW21)*2+AM21*0.5+AO21*0.5+AQ21-AR21</f>
        <v>0</v>
      </c>
      <c r="AY21" s="278" t="n">
        <f aca="false">AS21+AU21+AV21</f>
        <v>0</v>
      </c>
      <c r="AZ21" s="278" t="n">
        <f aca="false">BD21+BF21+BH21+BJ21+BL21</f>
        <v>0</v>
      </c>
      <c r="BA21" s="279" t="n">
        <f aca="false">AX21+BC21</f>
        <v>0</v>
      </c>
      <c r="BB21" s="279" t="n">
        <f aca="false">(BA21-7)</f>
        <v>-7</v>
      </c>
      <c r="BC21" s="278" t="n">
        <f aca="false">BE21+BG21+BI21+BK21+BM21</f>
        <v>0</v>
      </c>
      <c r="BD21" s="278" t="n">
        <f aca="false">COUNTIF(A21:AH21,"*$BTP*")</f>
        <v>0</v>
      </c>
      <c r="BE21" s="278" t="n">
        <f aca="false">BD21*1.5</f>
        <v>0</v>
      </c>
      <c r="BF21" s="278" t="n">
        <f aca="false">COUNTIF(A21:AH21,"*$M*")</f>
        <v>0</v>
      </c>
      <c r="BG21" s="278" t="n">
        <f aca="false">BF21*1</f>
        <v>0</v>
      </c>
      <c r="BH21" s="278" t="n">
        <f aca="false">COUNTIF(A21:AH21,"*$PM*")</f>
        <v>0</v>
      </c>
      <c r="BI21" s="278" t="n">
        <f aca="false">BH21*0.5</f>
        <v>0</v>
      </c>
      <c r="BJ21" s="278" t="n">
        <f aca="false">COUNTIF(A21:AH21,"*$AM*")</f>
        <v>0</v>
      </c>
      <c r="BK21" s="278" t="n">
        <f aca="false">BJ21*0.5</f>
        <v>0</v>
      </c>
      <c r="BL21" s="278" t="n">
        <f aca="false">COUNTIF(A21:AH21,"*$FC*")</f>
        <v>0</v>
      </c>
      <c r="BM21" s="278" t="n">
        <f aca="false">BL21*1</f>
        <v>0</v>
      </c>
      <c r="BN21" s="278" t="n">
        <f aca="false">COUNTIF($D21:$AA21,BN$4)</f>
        <v>0</v>
      </c>
      <c r="BO21" s="278" t="n">
        <f aca="false">COUNTIF($D21:$AA21,BO$4)</f>
        <v>0</v>
      </c>
      <c r="BP21" s="278" t="n">
        <f aca="false">COUNTIF($D21:$AA21,BP$4)</f>
        <v>5</v>
      </c>
      <c r="BQ21" s="278"/>
    </row>
    <row r="22" customFormat="false" ht="19.5" hidden="false" customHeight="true" outlineLevel="0" collapsed="false">
      <c r="A22" s="272"/>
      <c r="B22" s="279" t="s">
        <v>614</v>
      </c>
      <c r="C22" s="280"/>
      <c r="D22" s="280" t="s">
        <v>56</v>
      </c>
      <c r="E22" s="266"/>
      <c r="F22" s="91" t="s">
        <v>57</v>
      </c>
      <c r="G22" s="266"/>
      <c r="I22" s="266" t="s">
        <v>57</v>
      </c>
      <c r="J22" s="91"/>
      <c r="K22" s="266" t="s">
        <v>56</v>
      </c>
      <c r="M22" s="266"/>
      <c r="N22" s="91" t="s">
        <v>57</v>
      </c>
      <c r="O22" s="266"/>
      <c r="P22" s="266"/>
      <c r="Q22" s="266"/>
      <c r="R22" s="266"/>
      <c r="S22" s="266"/>
      <c r="T22" s="266"/>
      <c r="U22" s="266" t="s">
        <v>54</v>
      </c>
      <c r="V22" s="91"/>
      <c r="W22" s="266"/>
      <c r="X22" s="266"/>
      <c r="Y22" s="266"/>
      <c r="Z22" s="263" t="s">
        <v>877</v>
      </c>
      <c r="AA22" s="91" t="s">
        <v>57</v>
      </c>
      <c r="AB22" s="266"/>
      <c r="AC22" s="266" t="s">
        <v>56</v>
      </c>
      <c r="AD22" s="266"/>
      <c r="AE22" s="266" t="s">
        <v>57</v>
      </c>
      <c r="AF22" s="266"/>
      <c r="AG22" s="266"/>
      <c r="AH22" s="272" t="n">
        <f aca="false">COUNTIF($C22:$AF22,AH$4)</f>
        <v>5</v>
      </c>
      <c r="AI22" s="272" t="n">
        <f aca="false">COUNTIF($C22:$AF22,AI$4)</f>
        <v>3</v>
      </c>
      <c r="AJ22" s="272" t="n">
        <f aca="false">COUNTIF($C22:$AF22,AJ$4)</f>
        <v>0</v>
      </c>
      <c r="AK22" s="272" t="n">
        <f aca="false">COUNTIF($C22:$AF22,AK$4)</f>
        <v>0</v>
      </c>
      <c r="AL22" s="272" t="n">
        <f aca="false">COUNTIF($C22:$AF22,AL$4)</f>
        <v>0</v>
      </c>
      <c r="AM22" s="272" t="n">
        <f aca="false">COUNTIF($C22:$AF22,AM$4)</f>
        <v>0</v>
      </c>
      <c r="AN22" s="272" t="n">
        <f aca="false">COUNTIF($C22:$AF22,AN$4)</f>
        <v>0</v>
      </c>
      <c r="AO22" s="272" t="n">
        <f aca="false">COUNTIF($C22:$AF22,AO$4)</f>
        <v>0</v>
      </c>
      <c r="AP22" s="272" t="n">
        <f aca="false">COUNTIF($C22:$AF22,AP$4)</f>
        <v>0</v>
      </c>
      <c r="AQ22" s="279"/>
      <c r="AR22" s="279" t="n">
        <v>2</v>
      </c>
      <c r="AS22" s="278" t="n">
        <f aca="false">SUMPRODUCT(--(WEEKDAY(C$3:AG$3,2)&lt;5),--ISNUMBER(MATCH(C22:AG22,{"DM","CS1","CS2","SB1","AE","CS/B"},0)))</f>
        <v>5</v>
      </c>
      <c r="AT22" s="272"/>
      <c r="AU22" s="278" t="n">
        <f aca="false">SUMPRODUCT(--(WEEKDAY(C$3:AG$3,2)=5),--ISNUMBER(MATCH(C22:AG22,{"DM","CS1","CS2","SB1","AE","CS/B","WEEKEND OUTFIELD RESERVE"},0)))</f>
        <v>1</v>
      </c>
      <c r="AV22" s="278" t="n">
        <f aca="false">SUMPRODUCT(--(WEEKDAY(C$3:AG$3,2)&gt;5),--ISNUMBER(MATCH(C22:AG22,{"DM","CS1","CS2","SB1","AE","CS/B","WEEKEND OUTFIELD RESERVE"},0)))</f>
        <v>2</v>
      </c>
      <c r="AW22" s="272"/>
      <c r="AX22" s="278" t="n">
        <f aca="false">(AS22-AT22)+AU22*1.5+(AV22-AW22)*2+AM22*0.5+AO22*0.5+AQ22-AR22</f>
        <v>8.5</v>
      </c>
      <c r="AY22" s="278" t="n">
        <f aca="false">AS22+AU22+AV22</f>
        <v>8</v>
      </c>
      <c r="AZ22" s="278" t="n">
        <f aca="false">BD22+BF22+BH22+BJ22+BL22</f>
        <v>1</v>
      </c>
      <c r="BA22" s="279" t="n">
        <f aca="false">AX22+BC22</f>
        <v>9</v>
      </c>
      <c r="BB22" s="279" t="n">
        <f aca="false">(BA22-7)</f>
        <v>2</v>
      </c>
      <c r="BC22" s="278" t="n">
        <f aca="false">BE22+BG22+BI22+BK22+BM22</f>
        <v>0.5</v>
      </c>
      <c r="BD22" s="278" t="n">
        <f aca="false">COUNTIF(A22:AH22,"*$BTP*")</f>
        <v>0</v>
      </c>
      <c r="BE22" s="278" t="n">
        <f aca="false">BD22*1.5</f>
        <v>0</v>
      </c>
      <c r="BF22" s="278" t="n">
        <f aca="false">COUNTIF(A22:AH22,"*$M*")</f>
        <v>0</v>
      </c>
      <c r="BG22" s="278" t="n">
        <f aca="false">BF22*1</f>
        <v>0</v>
      </c>
      <c r="BH22" s="278" t="n">
        <f aca="false">COUNTIF(A22:AH22,"*$PM*")</f>
        <v>0</v>
      </c>
      <c r="BI22" s="278" t="n">
        <f aca="false">BH22*0.5</f>
        <v>0</v>
      </c>
      <c r="BJ22" s="278" t="n">
        <f aca="false">COUNTIF(A22:AH22,"*$AM*")</f>
        <v>1</v>
      </c>
      <c r="BK22" s="278" t="n">
        <f aca="false">BJ22*0.5</f>
        <v>0.5</v>
      </c>
      <c r="BL22" s="278" t="n">
        <f aca="false">COUNTIF(A22:AH22,"*$FC*")</f>
        <v>0</v>
      </c>
      <c r="BM22" s="278" t="n">
        <f aca="false">BL22*1</f>
        <v>0</v>
      </c>
      <c r="BN22" s="278" t="n">
        <f aca="false">COUNTIF($D22:$AA22,BN$4)</f>
        <v>0</v>
      </c>
      <c r="BO22" s="278" t="n">
        <f aca="false">COUNTIF($D22:$AA22,BO$4)</f>
        <v>0</v>
      </c>
      <c r="BP22" s="278" t="n">
        <f aca="false">COUNTIF($D22:$AA22,BP$4)</f>
        <v>0</v>
      </c>
      <c r="BQ22" s="272"/>
    </row>
    <row r="23" customFormat="false" ht="19.5" hidden="false" customHeight="true" outlineLevel="0" collapsed="false">
      <c r="A23" s="272"/>
      <c r="B23" s="279" t="s">
        <v>618</v>
      </c>
      <c r="C23" s="283"/>
      <c r="D23" s="266"/>
      <c r="E23" s="266" t="s">
        <v>61</v>
      </c>
      <c r="F23" s="266"/>
      <c r="G23" s="266" t="s">
        <v>55</v>
      </c>
      <c r="H23" s="266"/>
      <c r="I23" s="266" t="s">
        <v>56</v>
      </c>
      <c r="J23" s="266"/>
      <c r="L23" s="91" t="s">
        <v>56</v>
      </c>
      <c r="M23" s="266"/>
      <c r="O23" s="91"/>
      <c r="P23" s="266" t="s">
        <v>57</v>
      </c>
      <c r="Q23" s="266"/>
      <c r="R23" s="91" t="s">
        <v>93</v>
      </c>
      <c r="S23" s="266" t="s">
        <v>261</v>
      </c>
      <c r="T23" s="266" t="s">
        <v>873</v>
      </c>
      <c r="U23" s="266" t="s">
        <v>54</v>
      </c>
      <c r="V23" s="266"/>
      <c r="W23" s="266"/>
      <c r="X23" s="91"/>
      <c r="Y23" s="266" t="s">
        <v>56</v>
      </c>
      <c r="Z23" s="92"/>
      <c r="AB23" s="91"/>
      <c r="AC23" s="91"/>
      <c r="AE23" s="266"/>
      <c r="AG23" s="266"/>
      <c r="AH23" s="272" t="n">
        <f aca="false">COUNTIF($C23:$AF23,AH$4)</f>
        <v>1</v>
      </c>
      <c r="AI23" s="272" t="n">
        <f aca="false">COUNTIF($C23:$AF23,AI$4)</f>
        <v>3</v>
      </c>
      <c r="AJ23" s="272" t="n">
        <f aca="false">COUNTIF($C23:$AF23,AJ$4)</f>
        <v>0</v>
      </c>
      <c r="AK23" s="272" t="n">
        <f aca="false">COUNTIF($C23:$AF23,AK$4)</f>
        <v>0</v>
      </c>
      <c r="AL23" s="272" t="n">
        <f aca="false">COUNTIF($C23:$AF23,AL$4)</f>
        <v>0</v>
      </c>
      <c r="AM23" s="272" t="n">
        <f aca="false">COUNTIF($C23:$AF23,AM$4)</f>
        <v>1</v>
      </c>
      <c r="AN23" s="272" t="n">
        <f aca="false">COUNTIF($C23:$AF23,AN$4)</f>
        <v>0</v>
      </c>
      <c r="AO23" s="272" t="n">
        <f aca="false">COUNTIF($C23:$AF23,AO$4)</f>
        <v>0</v>
      </c>
      <c r="AP23" s="272" t="n">
        <f aca="false">COUNTIF($C23:$AF23,AP$4)</f>
        <v>0</v>
      </c>
      <c r="AQ23" s="279" t="n">
        <v>0.5</v>
      </c>
      <c r="AR23" s="279" t="n">
        <v>5.5</v>
      </c>
      <c r="AS23" s="278" t="n">
        <f aca="false">SUMPRODUCT(--(WEEKDAY(C$3:AG$3,2)&lt;5),--ISNUMBER(MATCH(C23:AG23,{"DM","CS1","CS2","SB1","AE","CS/B"},0)))</f>
        <v>2</v>
      </c>
      <c r="AT23" s="272"/>
      <c r="AU23" s="278" t="n">
        <f aca="false">SUMPRODUCT(--(WEEKDAY(C$3:AG$3,2)=5),--ISNUMBER(MATCH(C23:AG23,{"DM","CS1","CS2","SB1","AE","CS/B","WEEKEND OUTFIELD RESERVE"},0)))</f>
        <v>0</v>
      </c>
      <c r="AV23" s="278" t="n">
        <f aca="false">SUMPRODUCT(--(WEEKDAY(C$3:AG$3,2)&gt;5),--ISNUMBER(MATCH(C23:AG23,{"DM","CS1","CS2","SB1","AE","CS/B","WEEKEND OUTFIELD RESERVE"},0)))</f>
        <v>2</v>
      </c>
      <c r="AW23" s="272"/>
      <c r="AX23" s="278" t="n">
        <f aca="false">(AS23-AT23)+AU23*1.5+(AV23-AW23)*2+AM23*0.5+AO23*0.5+AQ23-AR23</f>
        <v>1.5</v>
      </c>
      <c r="AY23" s="278" t="n">
        <f aca="false">AS23+AU23+AV23</f>
        <v>4</v>
      </c>
      <c r="AZ23" s="278" t="n">
        <f aca="false">BD23+BF23+BH23+BJ23+BL23</f>
        <v>1</v>
      </c>
      <c r="BA23" s="279" t="n">
        <f aca="false">AX23+BC23</f>
        <v>2</v>
      </c>
      <c r="BB23" s="279" t="n">
        <f aca="false">(BA23-7)</f>
        <v>-5</v>
      </c>
      <c r="BC23" s="278" t="n">
        <f aca="false">BE23+BG23+BI23+BK23+BM23</f>
        <v>0.5</v>
      </c>
      <c r="BD23" s="278" t="n">
        <f aca="false">COUNTIF(A23:AH23,"*$BTP*")</f>
        <v>0</v>
      </c>
      <c r="BE23" s="278" t="n">
        <f aca="false">BD23*1.5</f>
        <v>0</v>
      </c>
      <c r="BF23" s="278" t="n">
        <f aca="false">COUNTIF(A23:AH23,"*$M*")</f>
        <v>0</v>
      </c>
      <c r="BG23" s="278" t="n">
        <f aca="false">BF23*1</f>
        <v>0</v>
      </c>
      <c r="BH23" s="278" t="n">
        <f aca="false">COUNTIF(A23:AH23,"*$PM*")</f>
        <v>0</v>
      </c>
      <c r="BI23" s="278" t="n">
        <f aca="false">BH23*0.5</f>
        <v>0</v>
      </c>
      <c r="BJ23" s="278" t="n">
        <f aca="false">COUNTIF(A23:AH23,"*$AM*")</f>
        <v>1</v>
      </c>
      <c r="BK23" s="278" t="n">
        <f aca="false">BJ23*0.5</f>
        <v>0.5</v>
      </c>
      <c r="BL23" s="278" t="n">
        <f aca="false">COUNTIF(A23:AH23,"*$FC*")</f>
        <v>0</v>
      </c>
      <c r="BM23" s="278" t="n">
        <f aca="false">BL23*1</f>
        <v>0</v>
      </c>
      <c r="BN23" s="278" t="n">
        <f aca="false">COUNTIF($D23:$AA23,BN$4)</f>
        <v>0</v>
      </c>
      <c r="BO23" s="278" t="n">
        <f aca="false">COUNTIF($D23:$AA23,BO$4)</f>
        <v>0</v>
      </c>
      <c r="BP23" s="278" t="n">
        <f aca="false">COUNTIF($D23:$AA23,BP$4)</f>
        <v>1</v>
      </c>
      <c r="BQ23" s="272"/>
    </row>
    <row r="24" customFormat="false" ht="19.5" hidden="false" customHeight="true" outlineLevel="0" collapsed="false">
      <c r="A24" s="272"/>
      <c r="B24" s="279" t="s">
        <v>627</v>
      </c>
      <c r="C24" s="283"/>
      <c r="D24" s="283"/>
      <c r="E24" s="266" t="s">
        <v>61</v>
      </c>
      <c r="F24" s="283" t="s">
        <v>350</v>
      </c>
      <c r="I24" s="266"/>
      <c r="J24" s="266"/>
      <c r="K24" s="92"/>
      <c r="M24" s="266"/>
      <c r="O24" s="91"/>
      <c r="P24" s="91"/>
      <c r="T24" s="266"/>
      <c r="V24" s="266"/>
      <c r="X24" s="266"/>
      <c r="Z24" s="266"/>
      <c r="AA24" s="91"/>
      <c r="AC24" s="266"/>
      <c r="AD24" s="91"/>
      <c r="AE24" s="266"/>
      <c r="AF24" s="266"/>
      <c r="AG24" s="266"/>
      <c r="AH24" s="272" t="n">
        <f aca="false">COUNTIF($C24:$AF24,AH$4)</f>
        <v>0</v>
      </c>
      <c r="AI24" s="272" t="n">
        <f aca="false">COUNTIF($C24:$AF24,AI$4)</f>
        <v>0</v>
      </c>
      <c r="AJ24" s="272" t="n">
        <f aca="false">COUNTIF($C24:$AF24,AJ$4)</f>
        <v>0</v>
      </c>
      <c r="AK24" s="272" t="n">
        <f aca="false">COUNTIF($C24:$AF24,AK$4)</f>
        <v>0</v>
      </c>
      <c r="AL24" s="272" t="n">
        <f aca="false">COUNTIF($C24:$AF24,AL$4)</f>
        <v>0</v>
      </c>
      <c r="AM24" s="272" t="n">
        <f aca="false">COUNTIF($C24:$AF24,AM$4)</f>
        <v>0</v>
      </c>
      <c r="AN24" s="272" t="n">
        <f aca="false">COUNTIF($C24:$AF24,AN$4)</f>
        <v>0</v>
      </c>
      <c r="AO24" s="272" t="n">
        <f aca="false">COUNTIF($C24:$AF24,AO$4)</f>
        <v>0</v>
      </c>
      <c r="AP24" s="272" t="n">
        <f aca="false">COUNTIF($C24:$AF24,AP$4)</f>
        <v>0</v>
      </c>
      <c r="AQ24" s="279"/>
      <c r="AR24" s="279" t="n">
        <v>5.5</v>
      </c>
      <c r="AS24" s="278" t="n">
        <f aca="false">SUMPRODUCT(--(WEEKDAY(C$3:AG$3,2)&lt;5),--ISNUMBER(MATCH(C24:AG24,{"DM","CS1","CS2","SB1","AE","CS/B"},0)))</f>
        <v>0</v>
      </c>
      <c r="AT24" s="272"/>
      <c r="AU24" s="278" t="n">
        <f aca="false">SUMPRODUCT(--(WEEKDAY(C$3:AG$3,2)=5),--ISNUMBER(MATCH(C24:AG24,{"DM","CS1","CS2","SB1","AE","CS/B","WEEKEND OUTFIELD RESERVE"},0)))</f>
        <v>0</v>
      </c>
      <c r="AV24" s="278" t="n">
        <f aca="false">SUMPRODUCT(--(WEEKDAY(C$3:AG$3,2)&gt;5),--ISNUMBER(MATCH(C24:AG24,{"DM","CS1","CS2","SB1","AE","CS/B","WEEKEND OUTFIELD RESERVE"},0)))</f>
        <v>0</v>
      </c>
      <c r="AW24" s="272"/>
      <c r="AX24" s="278" t="n">
        <f aca="false">(AS24-AT24)+AU24*1.5+(AV24-AW24)*2+AM24*0.5+AO24*0.5+AQ24-AR24</f>
        <v>-5.5</v>
      </c>
      <c r="AY24" s="278" t="n">
        <f aca="false">AS24+AU24+AV24</f>
        <v>0</v>
      </c>
      <c r="AZ24" s="278" t="n">
        <f aca="false">BD24+BF24+BH24+BJ24+BL24</f>
        <v>0</v>
      </c>
      <c r="BA24" s="279" t="n">
        <f aca="false">AX24+BC24</f>
        <v>-5.5</v>
      </c>
      <c r="BB24" s="279" t="n">
        <f aca="false">(BA24-7)</f>
        <v>-12.5</v>
      </c>
      <c r="BC24" s="278" t="n">
        <f aca="false">BE24+BG24+BI24+BK24+BM24</f>
        <v>0</v>
      </c>
      <c r="BD24" s="278" t="n">
        <f aca="false">COUNTIF(A24:AH24,"*$BTP*")</f>
        <v>0</v>
      </c>
      <c r="BE24" s="278" t="n">
        <f aca="false">BD24*1.5</f>
        <v>0</v>
      </c>
      <c r="BF24" s="278" t="n">
        <f aca="false">COUNTIF(A24:AH24,"*$M*")</f>
        <v>0</v>
      </c>
      <c r="BG24" s="278" t="n">
        <f aca="false">BF24*1</f>
        <v>0</v>
      </c>
      <c r="BH24" s="278" t="n">
        <f aca="false">COUNTIF(A24:AH24,"*$PM*")</f>
        <v>0</v>
      </c>
      <c r="BI24" s="278" t="n">
        <f aca="false">BH24*0.5</f>
        <v>0</v>
      </c>
      <c r="BJ24" s="278" t="n">
        <f aca="false">COUNTIF(A24:AH24,"*$AM*")</f>
        <v>0</v>
      </c>
      <c r="BK24" s="278" t="n">
        <f aca="false">BJ24*0.5</f>
        <v>0</v>
      </c>
      <c r="BL24" s="278" t="n">
        <f aca="false">COUNTIF(A24:AH24,"*$FC*")</f>
        <v>0</v>
      </c>
      <c r="BM24" s="278" t="n">
        <f aca="false">BL24*1</f>
        <v>0</v>
      </c>
      <c r="BN24" s="278" t="n">
        <f aca="false">COUNTIF($D24:$Z24,BN$4)</f>
        <v>0</v>
      </c>
      <c r="BO24" s="278" t="n">
        <f aca="false">COUNTIF($D24:$Z24,BO$4)</f>
        <v>1</v>
      </c>
      <c r="BP24" s="278" t="n">
        <f aca="false">COUNTIF($D24:$Z24,BP$4)</f>
        <v>0</v>
      </c>
      <c r="BQ24" s="272"/>
    </row>
    <row r="25" customFormat="false" ht="48.75" hidden="false" customHeight="true" outlineLevel="0" collapsed="false">
      <c r="A25" s="272"/>
      <c r="B25" s="279" t="s">
        <v>610</v>
      </c>
      <c r="C25" s="280" t="s">
        <v>56</v>
      </c>
      <c r="D25" s="280"/>
      <c r="E25" s="266" t="s">
        <v>878</v>
      </c>
      <c r="F25" s="266" t="s">
        <v>566</v>
      </c>
      <c r="G25" s="266"/>
      <c r="H25" s="266"/>
      <c r="I25" s="91"/>
      <c r="J25" s="266" t="s">
        <v>59</v>
      </c>
      <c r="K25" s="266"/>
      <c r="L25" s="266"/>
      <c r="M25" s="266" t="s">
        <v>879</v>
      </c>
      <c r="N25" s="266" t="s">
        <v>164</v>
      </c>
      <c r="O25" s="266" t="s">
        <v>59</v>
      </c>
      <c r="P25" s="91"/>
      <c r="R25" s="266"/>
      <c r="S25" s="266"/>
      <c r="U25" s="92"/>
      <c r="V25" s="266"/>
      <c r="W25" s="283" t="s">
        <v>350</v>
      </c>
      <c r="X25" s="266" t="s">
        <v>93</v>
      </c>
      <c r="Z25" s="266"/>
      <c r="AA25" s="266" t="s">
        <v>57</v>
      </c>
      <c r="AB25" s="266"/>
      <c r="AC25" s="266" t="s">
        <v>59</v>
      </c>
      <c r="AD25" s="266"/>
      <c r="AE25" s="266"/>
      <c r="AF25" s="266"/>
      <c r="AG25" s="266"/>
      <c r="AH25" s="272" t="n">
        <f aca="false">COUNTIF($C25:$AF25,AH$4)</f>
        <v>1</v>
      </c>
      <c r="AI25" s="272" t="n">
        <f aca="false">COUNTIF($C25:$AF25,AI$4)</f>
        <v>1</v>
      </c>
      <c r="AJ25" s="272" t="n">
        <f aca="false">COUNTIF($C25:$AF25,AJ$4)</f>
        <v>3</v>
      </c>
      <c r="AK25" s="272" t="n">
        <f aca="false">COUNTIF($C25:$AF25,AK$4)</f>
        <v>1</v>
      </c>
      <c r="AL25" s="272" t="n">
        <f aca="false">COUNTIF($C25:$AF25,AL$4)</f>
        <v>0</v>
      </c>
      <c r="AM25" s="272" t="n">
        <f aca="false">COUNTIF($C25:$AF25,AM$4)</f>
        <v>1</v>
      </c>
      <c r="AN25" s="272" t="n">
        <f aca="false">COUNTIF($C25:$AF25,AN$4)</f>
        <v>0</v>
      </c>
      <c r="AO25" s="272" t="n">
        <f aca="false">COUNTIF($C25:$AF25,AO$4)</f>
        <v>0</v>
      </c>
      <c r="AP25" s="272" t="n">
        <f aca="false">COUNTIF($C25:$AF25,AP$4)</f>
        <v>0</v>
      </c>
      <c r="AQ25" s="279"/>
      <c r="AR25" s="279" t="n">
        <v>2</v>
      </c>
      <c r="AS25" s="278" t="n">
        <f aca="false">SUMPRODUCT(--(WEEKDAY(C$3:AG$3,2)&lt;5),--ISNUMBER(MATCH(C25:AG25,{"DM","CS1","CS2","SB1","AE","CS/B"},0)))</f>
        <v>4</v>
      </c>
      <c r="AT25" s="278"/>
      <c r="AU25" s="278" t="n">
        <f aca="false">SUMPRODUCT(--(WEEKDAY(C$3:AG$3,2)=5),--ISNUMBER(MATCH(C25:AG25,{"DM","CS1","CS2","SB1","AE","CS/B","WEEKEND OUTFIELD RESERVE"},0)))</f>
        <v>0</v>
      </c>
      <c r="AV25" s="278" t="n">
        <f aca="false">SUMPRODUCT(--(WEEKDAY(C$3:AG$3,2)&gt;5),--ISNUMBER(MATCH(C25:AG25,{"DM","CS1","CS2","SB1","AE","CS/B","WEEKEND OUTFIELD RESERVE"},0)))</f>
        <v>2</v>
      </c>
      <c r="AW25" s="278"/>
      <c r="AX25" s="278" t="n">
        <f aca="false">(AS25-AT25)+AU25*1.5+(AV25-AW25)*2+AM25*0.5+AO25*0.5+AQ25-AR25</f>
        <v>6.5</v>
      </c>
      <c r="AY25" s="278" t="n">
        <f aca="false">AS25+AU25+AV25</f>
        <v>6</v>
      </c>
      <c r="AZ25" s="278" t="n">
        <f aca="false">BD25+BF25+BH25+BJ25+BL25</f>
        <v>2</v>
      </c>
      <c r="BA25" s="279" t="n">
        <f aca="false">AX25+BC25</f>
        <v>8</v>
      </c>
      <c r="BB25" s="279" t="n">
        <f aca="false">(BA25-7)</f>
        <v>1</v>
      </c>
      <c r="BC25" s="278" t="n">
        <f aca="false">BE25+BG25+BI25+BK25+BM25</f>
        <v>1.5</v>
      </c>
      <c r="BD25" s="278" t="n">
        <f aca="false">COUNTIF(A25:AH25,"*$BTP*")</f>
        <v>0</v>
      </c>
      <c r="BE25" s="278" t="n">
        <f aca="false">BD25*1.5</f>
        <v>0</v>
      </c>
      <c r="BF25" s="278" t="n">
        <f aca="false">COUNTIF(A25:AH25,"*$M*")</f>
        <v>1</v>
      </c>
      <c r="BG25" s="278" t="n">
        <f aca="false">BF25*1</f>
        <v>1</v>
      </c>
      <c r="BH25" s="278" t="n">
        <f aca="false">COUNTIF(A25:AH25,"*$PM*")</f>
        <v>0</v>
      </c>
      <c r="BI25" s="278" t="n">
        <f aca="false">BH25*0.5</f>
        <v>0</v>
      </c>
      <c r="BJ25" s="278" t="n">
        <f aca="false">COUNTIF(A25:AH25,"*$AM*")</f>
        <v>1</v>
      </c>
      <c r="BK25" s="278" t="n">
        <f aca="false">BJ25*0.5</f>
        <v>0.5</v>
      </c>
      <c r="BL25" s="278" t="n">
        <f aca="false">COUNTIF(A25:AH25,"*$FC*")</f>
        <v>0</v>
      </c>
      <c r="BM25" s="278" t="n">
        <f aca="false">BL25*1</f>
        <v>0</v>
      </c>
      <c r="BN25" s="278" t="n">
        <f aca="false">COUNTIF($D25:$AA25,BN$4)</f>
        <v>0</v>
      </c>
      <c r="BO25" s="278" t="n">
        <f aca="false">COUNTIF($D25:$AA25,BO$4)</f>
        <v>1</v>
      </c>
      <c r="BP25" s="278" t="n">
        <f aca="false">COUNTIF($D25:$AA25,BP$4)</f>
        <v>0</v>
      </c>
      <c r="BQ25" s="278"/>
    </row>
    <row r="26" customFormat="false" ht="19.5" hidden="false" customHeight="true" outlineLevel="0" collapsed="false">
      <c r="A26" s="272"/>
      <c r="B26" s="279" t="s">
        <v>633</v>
      </c>
      <c r="C26" s="280"/>
      <c r="D26" s="280" t="s">
        <v>59</v>
      </c>
      <c r="E26" s="92"/>
      <c r="F26" s="266" t="s">
        <v>93</v>
      </c>
      <c r="G26" s="266"/>
      <c r="H26" s="266" t="s">
        <v>56</v>
      </c>
      <c r="I26" s="266"/>
      <c r="J26" s="266"/>
      <c r="K26" s="266"/>
      <c r="L26" s="266"/>
      <c r="M26" s="266" t="s">
        <v>93</v>
      </c>
      <c r="N26" s="266"/>
      <c r="O26" s="283" t="s">
        <v>350</v>
      </c>
      <c r="P26" s="266"/>
      <c r="Q26" s="266" t="s">
        <v>246</v>
      </c>
      <c r="S26" s="266"/>
      <c r="T26" s="266" t="s">
        <v>104</v>
      </c>
      <c r="U26" s="266"/>
      <c r="V26" s="266"/>
      <c r="W26" s="91" t="s">
        <v>59</v>
      </c>
      <c r="X26" s="266"/>
      <c r="Y26" s="92" t="s">
        <v>880</v>
      </c>
      <c r="Z26" s="266" t="s">
        <v>573</v>
      </c>
      <c r="AA26" s="266"/>
      <c r="AB26" s="266" t="s">
        <v>57</v>
      </c>
      <c r="AC26" s="266"/>
      <c r="AD26" s="266"/>
      <c r="AE26" s="266" t="s">
        <v>59</v>
      </c>
      <c r="AF26" s="266"/>
      <c r="AG26" s="266"/>
      <c r="AH26" s="272" t="n">
        <f aca="false">COUNTIF($C26:$AF26,AH$4)</f>
        <v>1</v>
      </c>
      <c r="AI26" s="272" t="n">
        <f aca="false">COUNTIF($C26:$AF26,AI$4)</f>
        <v>1</v>
      </c>
      <c r="AJ26" s="272" t="n">
        <f aca="false">COUNTIF($C26:$AF26,AJ$4)</f>
        <v>3</v>
      </c>
      <c r="AK26" s="272" t="n">
        <f aca="false">COUNTIF($C26:$AF26,AK$4)</f>
        <v>0</v>
      </c>
      <c r="AL26" s="272" t="n">
        <f aca="false">COUNTIF($C26:$AF26,AL$4)</f>
        <v>0</v>
      </c>
      <c r="AM26" s="272" t="n">
        <f aca="false">COUNTIF($C26:$AF26,AM$4)</f>
        <v>2</v>
      </c>
      <c r="AN26" s="272" t="n">
        <f aca="false">COUNTIF($C26:$AF26,AN$4)</f>
        <v>0</v>
      </c>
      <c r="AO26" s="272" t="n">
        <f aca="false">COUNTIF($C26:$AF26,AO$4)</f>
        <v>0</v>
      </c>
      <c r="AP26" s="272" t="n">
        <f aca="false">COUNTIF($C26:$AF26,AP$4)</f>
        <v>0</v>
      </c>
      <c r="AQ26" s="279"/>
      <c r="AR26" s="279" t="n">
        <v>2</v>
      </c>
      <c r="AS26" s="278" t="n">
        <f aca="false">SUMPRODUCT(--(WEEKDAY(C$3:AG$3,2)&lt;5),--ISNUMBER(MATCH(C26:AG26,{"DM","CS1","CS2","SB1","AE","CS/B"},0)))</f>
        <v>2</v>
      </c>
      <c r="AT26" s="272"/>
      <c r="AU26" s="278" t="n">
        <f aca="false">SUMPRODUCT(--(WEEKDAY(C$3:AG$3,2)=5),--ISNUMBER(MATCH(C26:AG26,{"DM","CS1","CS2","SB1","AE","CS/B","WEEKEND OUTFIELD RESERVE"},0)))</f>
        <v>1</v>
      </c>
      <c r="AV26" s="278" t="n">
        <f aca="false">SUMPRODUCT(--(WEEKDAY(C$3:AG$3,2)&gt;5),--ISNUMBER(MATCH(C26:AG26,{"DM","CS1","CS2","SB1","AE","CS/B","WEEKEND OUTFIELD RESERVE"},0)))</f>
        <v>2</v>
      </c>
      <c r="AW26" s="272"/>
      <c r="AX26" s="278" t="n">
        <f aca="false">(AS26-AT26)+AU26*1.5+(AV26-AW26)*2+AM26*0.5+AO26*0.5+AQ26-AR26</f>
        <v>6.5</v>
      </c>
      <c r="AY26" s="278" t="n">
        <f aca="false">AS26+AU26+AV26</f>
        <v>5</v>
      </c>
      <c r="AZ26" s="278" t="n">
        <f aca="false">BD26+BF26+BH26+BJ26+BL26</f>
        <v>3</v>
      </c>
      <c r="BA26" s="279" t="n">
        <f aca="false">AX26+BC26</f>
        <v>8</v>
      </c>
      <c r="BB26" s="279" t="n">
        <f aca="false">(BA26-7)</f>
        <v>1</v>
      </c>
      <c r="BC26" s="278" t="n">
        <f aca="false">BE26+BG26+BI26+BK26+BM26</f>
        <v>1.5</v>
      </c>
      <c r="BD26" s="278" t="n">
        <f aca="false">COUNTIF(A26:AH26,"*$BTP*")</f>
        <v>0</v>
      </c>
      <c r="BE26" s="278" t="n">
        <f aca="false">BD26*1.5</f>
        <v>0</v>
      </c>
      <c r="BF26" s="278" t="n">
        <f aca="false">COUNTIF(A26:AH26,"*$M*")</f>
        <v>0</v>
      </c>
      <c r="BG26" s="278" t="n">
        <f aca="false">BF26*1</f>
        <v>0</v>
      </c>
      <c r="BH26" s="278" t="n">
        <f aca="false">COUNTIF(A26:AH26,"*$PM*")</f>
        <v>1</v>
      </c>
      <c r="BI26" s="278" t="n">
        <f aca="false">BH26*0.5</f>
        <v>0.5</v>
      </c>
      <c r="BJ26" s="278" t="n">
        <f aca="false">COUNTIF(A26:AH26,"*$AM*")</f>
        <v>2</v>
      </c>
      <c r="BK26" s="278" t="n">
        <f aca="false">BJ26*0.5</f>
        <v>1</v>
      </c>
      <c r="BL26" s="278" t="n">
        <f aca="false">COUNTIF(A26:AH26,"*$FC*")</f>
        <v>0</v>
      </c>
      <c r="BM26" s="278" t="n">
        <f aca="false">BL26*1</f>
        <v>0</v>
      </c>
      <c r="BN26" s="278" t="n">
        <f aca="false">COUNTIF($D26:$Z26,BN$4)</f>
        <v>0</v>
      </c>
      <c r="BO26" s="278" t="n">
        <f aca="false">COUNTIF($D26:$Z26,BO$4)</f>
        <v>1</v>
      </c>
      <c r="BP26" s="278" t="n">
        <f aca="false">COUNTIF($D26:$Z26,BP$4)</f>
        <v>0</v>
      </c>
      <c r="BQ26" s="272"/>
    </row>
    <row r="27" customFormat="false" ht="19.5" hidden="false" customHeight="true" outlineLevel="0" collapsed="false">
      <c r="A27" s="272"/>
      <c r="B27" s="279" t="s">
        <v>637</v>
      </c>
      <c r="C27" s="283" t="s">
        <v>59</v>
      </c>
      <c r="D27" s="92"/>
      <c r="E27" s="266" t="s">
        <v>58</v>
      </c>
      <c r="F27" s="266"/>
      <c r="G27" s="266" t="s">
        <v>56</v>
      </c>
      <c r="H27" s="266"/>
      <c r="I27" s="266"/>
      <c r="J27" s="266"/>
      <c r="K27" s="92"/>
      <c r="L27" s="266"/>
      <c r="M27" s="266"/>
      <c r="N27" s="266"/>
      <c r="P27" s="266"/>
      <c r="Q27" s="266"/>
      <c r="R27" s="266"/>
      <c r="S27" s="266"/>
      <c r="T27" s="92"/>
      <c r="U27" s="266" t="s">
        <v>93</v>
      </c>
      <c r="V27" s="91"/>
      <c r="W27" s="91"/>
      <c r="X27" s="266"/>
      <c r="Y27" s="266" t="s">
        <v>57</v>
      </c>
      <c r="Z27" s="91"/>
      <c r="AA27" s="266" t="s">
        <v>881</v>
      </c>
      <c r="AB27" s="266"/>
      <c r="AC27" s="266"/>
      <c r="AD27" s="92"/>
      <c r="AE27" s="266"/>
      <c r="AF27" s="266" t="s">
        <v>873</v>
      </c>
      <c r="AG27" s="266"/>
      <c r="AH27" s="272" t="n">
        <f aca="false">COUNTIF($C27:$AF27,AH$4)</f>
        <v>1</v>
      </c>
      <c r="AI27" s="272" t="n">
        <f aca="false">COUNTIF($C27:$AF27,AI$4)</f>
        <v>1</v>
      </c>
      <c r="AJ27" s="272" t="n">
        <f aca="false">COUNTIF($C27:$AF27,AJ$4)</f>
        <v>1</v>
      </c>
      <c r="AK27" s="272" t="n">
        <f aca="false">COUNTIF($C27:$AF27,AK$4)</f>
        <v>0</v>
      </c>
      <c r="AL27" s="272" t="n">
        <f aca="false">COUNTIF($C27:$AF27,AL$4)</f>
        <v>1</v>
      </c>
      <c r="AM27" s="272" t="n">
        <f aca="false">COUNTIF($C27:$AF27,AM$4)</f>
        <v>1</v>
      </c>
      <c r="AN27" s="272" t="n">
        <f aca="false">COUNTIF($C27:$AF27,AN$4)</f>
        <v>0</v>
      </c>
      <c r="AO27" s="272" t="n">
        <f aca="false">COUNTIF($C27:$AF27,AO$4)</f>
        <v>0</v>
      </c>
      <c r="AP27" s="272" t="n">
        <f aca="false">COUNTIF($C27:$AF27,AP$4)</f>
        <v>0</v>
      </c>
      <c r="AQ27" s="279" t="n">
        <v>1</v>
      </c>
      <c r="AR27" s="279"/>
      <c r="AS27" s="278" t="n">
        <f aca="false">SUMPRODUCT(--(WEEKDAY(C$3:AG$3,2)&lt;5),--ISNUMBER(MATCH(C27:AG27,{"DM","CS1","CS2","SB1","AE","CS/B"},0)))</f>
        <v>3</v>
      </c>
      <c r="AT27" s="272"/>
      <c r="AU27" s="278" t="n">
        <f aca="false">SUMPRODUCT(--(WEEKDAY(C$3:AG$3,2)=5),--ISNUMBER(MATCH(C27:AG27,{"DM","CS1","CS2","SB1","AE","CS/B","WEEKEND OUTFIELD RESERVE"},0)))</f>
        <v>1</v>
      </c>
      <c r="AV27" s="278" t="n">
        <f aca="false">SUMPRODUCT(--(WEEKDAY(C$3:AG$3,2)&gt;5),--ISNUMBER(MATCH(C27:AG27,{"DM","CS1","CS2","SB1","AE","CS/B","WEEKEND OUTFIELD RESERVE"},0)))</f>
        <v>0</v>
      </c>
      <c r="AW27" s="272"/>
      <c r="AX27" s="278" t="n">
        <f aca="false">(AS27-AT27)+AU27*1.5+(AV27-AW27)*2+AM27*0.5+AO27*0.5+AQ27-AR27</f>
        <v>6</v>
      </c>
      <c r="AY27" s="278" t="n">
        <f aca="false">AS27+AU27+AV27</f>
        <v>4</v>
      </c>
      <c r="AZ27" s="278" t="n">
        <f aca="false">BD27+BF27+BH27+BJ27+BL27</f>
        <v>2</v>
      </c>
      <c r="BA27" s="279" t="n">
        <f aca="false">AX27+BC27</f>
        <v>7</v>
      </c>
      <c r="BB27" s="279" t="n">
        <f aca="false">(BA27-7)</f>
        <v>0</v>
      </c>
      <c r="BC27" s="278" t="n">
        <f aca="false">BE27+BG27+BI27+BK27+BM27</f>
        <v>1</v>
      </c>
      <c r="BD27" s="278" t="n">
        <f aca="false">COUNTIF(A27:AH27,"*$BTP*")</f>
        <v>0</v>
      </c>
      <c r="BE27" s="278" t="n">
        <f aca="false">BD27*1.5</f>
        <v>0</v>
      </c>
      <c r="BF27" s="278" t="n">
        <f aca="false">COUNTIF(A27:AH27,"*$M*")</f>
        <v>0</v>
      </c>
      <c r="BG27" s="278" t="n">
        <f aca="false">BF27*1</f>
        <v>0</v>
      </c>
      <c r="BH27" s="278" t="n">
        <f aca="false">COUNTIF(A27:AH27,"*$PM*")</f>
        <v>0</v>
      </c>
      <c r="BI27" s="278" t="n">
        <f aca="false">BH27*0.5</f>
        <v>0</v>
      </c>
      <c r="BJ27" s="278" t="n">
        <f aca="false">COUNTIF(A27:AH27,"*$AM*")</f>
        <v>2</v>
      </c>
      <c r="BK27" s="278" t="n">
        <f aca="false">BJ27*0.5</f>
        <v>1</v>
      </c>
      <c r="BL27" s="278" t="n">
        <f aca="false">COUNTIF(A27:AH27,"*$FC*")</f>
        <v>0</v>
      </c>
      <c r="BM27" s="278" t="n">
        <f aca="false">BL27*1</f>
        <v>0</v>
      </c>
      <c r="BN27" s="278" t="n">
        <f aca="false">COUNTIF($H27:$AA27,BN$4)</f>
        <v>0</v>
      </c>
      <c r="BO27" s="278" t="n">
        <f aca="false">COUNTIF($H27:$AA27,BO$4)</f>
        <v>0</v>
      </c>
      <c r="BP27" s="278" t="n">
        <f aca="false">COUNTIF($H27:$AA27,BP$4)</f>
        <v>0</v>
      </c>
      <c r="BQ27" s="272"/>
    </row>
    <row r="28" customFormat="false" ht="51.75" hidden="false" customHeight="true" outlineLevel="0" collapsed="false">
      <c r="A28" s="272"/>
      <c r="B28" s="279" t="s">
        <v>639</v>
      </c>
      <c r="C28" s="280"/>
      <c r="D28" s="280"/>
      <c r="E28" s="266" t="s">
        <v>65</v>
      </c>
      <c r="F28" s="91"/>
      <c r="G28" s="283" t="s">
        <v>350</v>
      </c>
      <c r="H28" s="266"/>
      <c r="I28" s="266"/>
      <c r="J28" s="266"/>
      <c r="K28" s="266"/>
      <c r="L28" s="266" t="s">
        <v>93</v>
      </c>
      <c r="M28" s="266"/>
      <c r="N28" s="266"/>
      <c r="O28" s="266"/>
      <c r="P28" s="266"/>
      <c r="Q28" s="91"/>
      <c r="R28" s="266"/>
      <c r="S28" s="266"/>
      <c r="T28" s="266"/>
      <c r="U28" s="91" t="s">
        <v>56</v>
      </c>
      <c r="V28" s="91"/>
      <c r="W28" s="266"/>
      <c r="X28" s="91"/>
      <c r="Y28" s="266"/>
      <c r="AA28" s="266" t="s">
        <v>59</v>
      </c>
      <c r="AB28" s="266"/>
      <c r="AC28" s="91"/>
      <c r="AD28" s="92" t="s">
        <v>56</v>
      </c>
      <c r="AE28" s="91" t="s">
        <v>93</v>
      </c>
      <c r="AF28" s="266"/>
      <c r="AG28" s="91"/>
      <c r="AH28" s="272" t="n">
        <f aca="false">COUNTIF($C28:$AF28,AH$4)</f>
        <v>0</v>
      </c>
      <c r="AI28" s="272" t="n">
        <f aca="false">COUNTIF($C28:$AF28,AI$4)</f>
        <v>2</v>
      </c>
      <c r="AJ28" s="272" t="n">
        <f aca="false">COUNTIF($C28:$AF28,AJ$4)</f>
        <v>1</v>
      </c>
      <c r="AK28" s="272" t="n">
        <f aca="false">COUNTIF($C28:$AF28,AK$4)</f>
        <v>0</v>
      </c>
      <c r="AL28" s="272" t="n">
        <f aca="false">COUNTIF($C28:$AF28,AL$4)</f>
        <v>0</v>
      </c>
      <c r="AM28" s="272" t="n">
        <f aca="false">COUNTIF($C28:$AF28,AM$4)</f>
        <v>2</v>
      </c>
      <c r="AN28" s="272" t="n">
        <f aca="false">COUNTIF($C28:$AF28,AN$4)</f>
        <v>1</v>
      </c>
      <c r="AO28" s="272" t="n">
        <f aca="false">COUNTIF($C28:$AF28,AO$4)</f>
        <v>0</v>
      </c>
      <c r="AP28" s="272" t="n">
        <f aca="false">COUNTIF($C28:$AF28,AP$4)</f>
        <v>0</v>
      </c>
      <c r="AQ28" s="279" t="n">
        <v>2</v>
      </c>
      <c r="AR28" s="279"/>
      <c r="AS28" s="278" t="n">
        <f aca="false">SUMPRODUCT(--(WEEKDAY(C$3:AG$3,2)&lt;5),--ISNUMBER(MATCH(C28:AG28,{"DM","CS1","CS2","SB1","AE","CS/B"},0)))</f>
        <v>2</v>
      </c>
      <c r="AT28" s="272"/>
      <c r="AU28" s="278" t="n">
        <f aca="false">SUMPRODUCT(--(WEEKDAY(C$3:AG$3,2)=5),--ISNUMBER(MATCH(C28:AG28,{"DM","CS1","CS2","SB1","AE","CS/B","WEEKEND OUTFIELD RESERVE"},0)))</f>
        <v>1</v>
      </c>
      <c r="AV28" s="278" t="n">
        <f aca="false">SUMPRODUCT(--(WEEKDAY(C$3:AG$3,2)&gt;5),--ISNUMBER(MATCH(C28:AG28,{"DM","CS1","CS2","SB1","AE","CS/B","WEEKEND OUTFIELD RESERVE"},0)))</f>
        <v>1</v>
      </c>
      <c r="AW28" s="272"/>
      <c r="AX28" s="278" t="n">
        <f aca="false">(AS28-AT28)+AU28*1.5+(AV28-AW28)*2+AM28*0.5+AO28*0.5+AQ28-AR28</f>
        <v>8.5</v>
      </c>
      <c r="AY28" s="278" t="n">
        <f aca="false">AS28+AU28+AV28</f>
        <v>4</v>
      </c>
      <c r="AZ28" s="278" t="n">
        <f aca="false">BD28+BF28+BH28+BJ28+BL28</f>
        <v>0</v>
      </c>
      <c r="BA28" s="279" t="n">
        <f aca="false">AX28+BC28</f>
        <v>8.5</v>
      </c>
      <c r="BB28" s="279" t="n">
        <f aca="false">(BA28-7)</f>
        <v>1.5</v>
      </c>
      <c r="BC28" s="278" t="n">
        <f aca="false">BE28+BG28+BI28+BK28+BM28</f>
        <v>0</v>
      </c>
      <c r="BD28" s="278" t="n">
        <f aca="false">COUNTIF(A28:AH28,"*$BTP*")</f>
        <v>0</v>
      </c>
      <c r="BE28" s="278" t="n">
        <f aca="false">BD28*1.5</f>
        <v>0</v>
      </c>
      <c r="BF28" s="278" t="n">
        <f aca="false">COUNTIF(A28:AH28,"*$M*")</f>
        <v>0</v>
      </c>
      <c r="BG28" s="278" t="n">
        <f aca="false">BF28*1</f>
        <v>0</v>
      </c>
      <c r="BH28" s="278" t="n">
        <f aca="false">COUNTIF(A28:AH28,"*$PM*")</f>
        <v>0</v>
      </c>
      <c r="BI28" s="278" t="n">
        <f aca="false">BH28*0.5</f>
        <v>0</v>
      </c>
      <c r="BJ28" s="278" t="n">
        <f aca="false">COUNTIF(A28:AH28,"*$AM*")</f>
        <v>0</v>
      </c>
      <c r="BK28" s="278" t="n">
        <f aca="false">BJ28*0.5</f>
        <v>0</v>
      </c>
      <c r="BL28" s="278" t="n">
        <f aca="false">COUNTIF(A28:AH28,"*$FC*")</f>
        <v>0</v>
      </c>
      <c r="BM28" s="278" t="n">
        <f aca="false">BL28*1</f>
        <v>0</v>
      </c>
      <c r="BN28" s="278" t="n">
        <f aca="false">COUNTIF($D28:$Z28,BN$4)</f>
        <v>0</v>
      </c>
      <c r="BO28" s="278" t="n">
        <f aca="false">COUNTIF($D28:$Z28,BO$4)</f>
        <v>1</v>
      </c>
      <c r="BP28" s="278" t="n">
        <f aca="false">COUNTIF($D28:$Z28,BP$4)</f>
        <v>0</v>
      </c>
      <c r="BQ28" s="272"/>
    </row>
    <row r="29" customFormat="false" ht="19.5" hidden="false" customHeight="true" outlineLevel="0" collapsed="false">
      <c r="A29" s="272"/>
      <c r="B29" s="279" t="s">
        <v>736</v>
      </c>
      <c r="C29" s="283"/>
      <c r="D29" s="283"/>
      <c r="E29" s="266" t="s">
        <v>680</v>
      </c>
      <c r="F29" s="266"/>
      <c r="G29" s="266" t="s">
        <v>93</v>
      </c>
      <c r="H29" s="266" t="s">
        <v>58</v>
      </c>
      <c r="I29" s="266"/>
      <c r="J29" s="266"/>
      <c r="K29" s="266" t="s">
        <v>59</v>
      </c>
      <c r="L29" s="266"/>
      <c r="M29" s="266"/>
      <c r="N29" s="91"/>
      <c r="O29" s="266"/>
      <c r="P29" s="266"/>
      <c r="Q29" s="266"/>
      <c r="R29" s="266" t="s">
        <v>246</v>
      </c>
      <c r="S29" s="266"/>
      <c r="T29" s="266" t="s">
        <v>54</v>
      </c>
      <c r="U29" s="266" t="s">
        <v>54</v>
      </c>
      <c r="V29" s="91" t="s">
        <v>54</v>
      </c>
      <c r="W29" s="266" t="s">
        <v>54</v>
      </c>
      <c r="X29" s="91" t="s">
        <v>54</v>
      </c>
      <c r="Y29" s="266" t="s">
        <v>54</v>
      </c>
      <c r="Z29" s="283" t="s">
        <v>350</v>
      </c>
      <c r="AA29" s="266"/>
      <c r="AB29" s="266" t="s">
        <v>59</v>
      </c>
      <c r="AC29" s="266"/>
      <c r="AD29" s="266"/>
      <c r="AE29" s="91"/>
      <c r="AF29" s="266"/>
      <c r="AG29" s="266"/>
      <c r="AH29" s="272" t="n">
        <f aca="false">COUNTIF($C29:$AF29,AH$4)</f>
        <v>0</v>
      </c>
      <c r="AI29" s="272" t="n">
        <f aca="false">COUNTIF($C29:$AF29,AI$4)</f>
        <v>0</v>
      </c>
      <c r="AJ29" s="272" t="n">
        <f aca="false">COUNTIF($C29:$AF29,AJ$4)</f>
        <v>2</v>
      </c>
      <c r="AK29" s="272" t="n">
        <f aca="false">COUNTIF($C29:$AF29,AK$4)</f>
        <v>0</v>
      </c>
      <c r="AL29" s="272" t="n">
        <f aca="false">COUNTIF($C29:$AF29,AL$4)</f>
        <v>1</v>
      </c>
      <c r="AM29" s="272" t="n">
        <f aca="false">COUNTIF($C29:$AF29,AM$4)</f>
        <v>1</v>
      </c>
      <c r="AN29" s="272" t="n">
        <f aca="false">COUNTIF($C29:$AF29,AN$4)</f>
        <v>0</v>
      </c>
      <c r="AO29" s="272" t="n">
        <f aca="false">COUNTIF($C29:$AF29,AO$4)</f>
        <v>0</v>
      </c>
      <c r="AP29" s="272" t="n">
        <f aca="false">COUNTIF($C29:$AF29,AP$4)</f>
        <v>0</v>
      </c>
      <c r="AQ29" s="279"/>
      <c r="AR29" s="279"/>
      <c r="AS29" s="278" t="n">
        <f aca="false">SUMPRODUCT(--(WEEKDAY(C$3:AG$3,2)&lt;5),--ISNUMBER(MATCH(C29:AG29,{"DM","CS1","CS2","SB1","AE","CS/B"},0)))</f>
        <v>1</v>
      </c>
      <c r="AT29" s="272"/>
      <c r="AU29" s="278" t="n">
        <f aca="false">SUMPRODUCT(--(WEEKDAY(C$3:AG$3,2)=5),--ISNUMBER(MATCH(C29:AG29,{"DM","CS1","CS2","SB1","AE","CS/B","WEEKEND OUTFIELD RESERVE"},0)))</f>
        <v>1</v>
      </c>
      <c r="AV29" s="278" t="n">
        <f aca="false">SUMPRODUCT(--(WEEKDAY(C$3:AG$3,2)&gt;5),--ISNUMBER(MATCH(C29:AG29,{"DM","CS1","CS2","SB1","AE","CS/B","WEEKEND OUTFIELD RESERVE"},0)))</f>
        <v>1</v>
      </c>
      <c r="AW29" s="272"/>
      <c r="AX29" s="278" t="n">
        <f aca="false">(AS29-AT29)+AU29*1.5+(AV29-AW29)*2+AM29*0.5+AO29*0.5+AQ29-AR29</f>
        <v>5</v>
      </c>
      <c r="AY29" s="278" t="n">
        <f aca="false">AS29+AU29+AV29</f>
        <v>3</v>
      </c>
      <c r="AZ29" s="278" t="n">
        <f aca="false">BD29+BF29+BH29+BJ29+BL29</f>
        <v>2</v>
      </c>
      <c r="BA29" s="279" t="n">
        <f aca="false">AX29+BC29</f>
        <v>6.5</v>
      </c>
      <c r="BB29" s="279" t="n">
        <f aca="false">(BA29-7)</f>
        <v>-0.5</v>
      </c>
      <c r="BC29" s="278" t="n">
        <f aca="false">BE29+BG29+BI29+BK29+BM29</f>
        <v>1.5</v>
      </c>
      <c r="BD29" s="278" t="n">
        <f aca="false">COUNTIF(A29:AH29,"*$BTP*")</f>
        <v>0</v>
      </c>
      <c r="BE29" s="278" t="n">
        <f aca="false">BD29*1.5</f>
        <v>0</v>
      </c>
      <c r="BF29" s="278" t="n">
        <f aca="false">COUNTIF(A29:AH29,"*$M*")</f>
        <v>1</v>
      </c>
      <c r="BG29" s="278" t="n">
        <f aca="false">BF29*1</f>
        <v>1</v>
      </c>
      <c r="BH29" s="278" t="n">
        <f aca="false">COUNTIF(A29:AH29,"*$PM*")</f>
        <v>0</v>
      </c>
      <c r="BI29" s="278" t="n">
        <f aca="false">BH29*0.5</f>
        <v>0</v>
      </c>
      <c r="BJ29" s="278" t="n">
        <f aca="false">COUNTIF(A29:AH29,"*$AM*")</f>
        <v>1</v>
      </c>
      <c r="BK29" s="278" t="n">
        <f aca="false">BJ29*0.5</f>
        <v>0.5</v>
      </c>
      <c r="BL29" s="278" t="n">
        <f aca="false">COUNTIF(A29:AH29,"*$FC*")</f>
        <v>0</v>
      </c>
      <c r="BM29" s="278" t="n">
        <f aca="false">BL29*1</f>
        <v>0</v>
      </c>
      <c r="BN29" s="278" t="n">
        <f aca="false">COUNTIF($D29:$AA29,BN$4)</f>
        <v>0</v>
      </c>
      <c r="BO29" s="278" t="n">
        <f aca="false">COUNTIF($D29:$AA29,BO$4)</f>
        <v>1</v>
      </c>
      <c r="BP29" s="278" t="n">
        <f aca="false">COUNTIF($D29:$AA29,BP$4)</f>
        <v>0</v>
      </c>
      <c r="BQ29" s="272"/>
    </row>
    <row r="30" customFormat="false" ht="19.5" hidden="false" customHeight="true" outlineLevel="0" collapsed="false">
      <c r="A30" s="272"/>
      <c r="B30" s="279" t="s">
        <v>739</v>
      </c>
      <c r="C30" s="280"/>
      <c r="D30" s="280"/>
      <c r="E30" s="266" t="s">
        <v>882</v>
      </c>
      <c r="F30" s="266" t="s">
        <v>56</v>
      </c>
      <c r="G30" s="266"/>
      <c r="H30" s="266"/>
      <c r="I30" s="91"/>
      <c r="J30" s="266" t="s">
        <v>56</v>
      </c>
      <c r="K30" s="266" t="s">
        <v>93</v>
      </c>
      <c r="L30" s="266"/>
      <c r="M30" s="91"/>
      <c r="N30" s="266" t="s">
        <v>59</v>
      </c>
      <c r="O30" s="91"/>
      <c r="P30" s="91"/>
      <c r="Q30" s="266" t="s">
        <v>56</v>
      </c>
      <c r="R30" s="266"/>
      <c r="S30" s="266"/>
      <c r="T30" s="266" t="s">
        <v>54</v>
      </c>
      <c r="U30" s="91" t="s">
        <v>54</v>
      </c>
      <c r="V30" s="266" t="s">
        <v>54</v>
      </c>
      <c r="W30" s="91"/>
      <c r="X30" s="266" t="s">
        <v>763</v>
      </c>
      <c r="Y30" s="266"/>
      <c r="Z30" s="92" t="s">
        <v>93</v>
      </c>
      <c r="AA30" s="92"/>
      <c r="AB30" s="92" t="s">
        <v>883</v>
      </c>
      <c r="AC30" s="266"/>
      <c r="AD30" s="266" t="s">
        <v>65</v>
      </c>
      <c r="AE30" s="266"/>
      <c r="AF30" s="283" t="s">
        <v>350</v>
      </c>
      <c r="AG30" s="266"/>
      <c r="AH30" s="272" t="n">
        <f aca="false">COUNTIF($C30:$AF30,AH$4)</f>
        <v>0</v>
      </c>
      <c r="AI30" s="272" t="n">
        <f aca="false">COUNTIF($C30:$AF30,AI$4)</f>
        <v>3</v>
      </c>
      <c r="AJ30" s="272" t="n">
        <f aca="false">COUNTIF($C30:$AF30,AJ$4)</f>
        <v>1</v>
      </c>
      <c r="AK30" s="272" t="n">
        <f aca="false">COUNTIF($C30:$AF30,AK$4)</f>
        <v>0</v>
      </c>
      <c r="AL30" s="272" t="n">
        <f aca="false">COUNTIF($C30:$AF30,AL$4)</f>
        <v>0</v>
      </c>
      <c r="AM30" s="272" t="n">
        <f aca="false">COUNTIF($C30:$AF30,AM$4)</f>
        <v>2</v>
      </c>
      <c r="AN30" s="272" t="n">
        <f aca="false">COUNTIF($C30:$AF30,AN$4)</f>
        <v>1</v>
      </c>
      <c r="AO30" s="272" t="n">
        <f aca="false">COUNTIF($C30:$AF30,AO$4)</f>
        <v>0</v>
      </c>
      <c r="AP30" s="272" t="n">
        <f aca="false">COUNTIF($C30:$AF30,AP$4)</f>
        <v>0</v>
      </c>
      <c r="AQ30" s="279"/>
      <c r="AR30" s="279" t="n">
        <v>1.5</v>
      </c>
      <c r="AS30" s="278" t="n">
        <f aca="false">SUMPRODUCT(--(WEEKDAY(C$3:AG$3,2)&lt;5),--ISNUMBER(MATCH(C30:AG30,{"DM","CS1","CS2","SB1","AE","CS/B"},0)))</f>
        <v>3</v>
      </c>
      <c r="AT30" s="272"/>
      <c r="AU30" s="278" t="n">
        <f aca="false">SUMPRODUCT(--(WEEKDAY(C$3:AG$3,2)=5),--ISNUMBER(MATCH(C30:AG30,{"DM","CS1","CS2","SB1","AE","CS/B","WEEKEND OUTFIELD RESERVE"},0)))</f>
        <v>1</v>
      </c>
      <c r="AV30" s="278" t="n">
        <f aca="false">SUMPRODUCT(--(WEEKDAY(C$3:AG$3,2)&gt;5),--ISNUMBER(MATCH(C30:AG30,{"DM","CS1","CS2","SB1","AE","CS/B","WEEKEND OUTFIELD RESERVE"},0)))</f>
        <v>1</v>
      </c>
      <c r="AW30" s="272"/>
      <c r="AX30" s="278" t="n">
        <f aca="false">(AS30-AT30)+AU30*1.5+(AV30-AW30)*2+AM30*0.5+AO30*0.5+AQ30-AR30</f>
        <v>6</v>
      </c>
      <c r="AY30" s="278" t="n">
        <f aca="false">AS30+AU30+AV30</f>
        <v>5</v>
      </c>
      <c r="AZ30" s="278" t="n">
        <f aca="false">BD30+BF30+BH30+BJ30+BL30</f>
        <v>2</v>
      </c>
      <c r="BA30" s="279" t="n">
        <f aca="false">AX30+BC30</f>
        <v>7</v>
      </c>
      <c r="BB30" s="279" t="n">
        <f aca="false">(BA30-7)</f>
        <v>0</v>
      </c>
      <c r="BC30" s="278" t="n">
        <f aca="false">BE30+BG30+BI30+BK30+BM30</f>
        <v>1</v>
      </c>
      <c r="BD30" s="278" t="n">
        <f aca="false">COUNTIF(A30:AH30,"*$BTP*")</f>
        <v>0</v>
      </c>
      <c r="BE30" s="278" t="n">
        <f aca="false">BD30*1.5</f>
        <v>0</v>
      </c>
      <c r="BF30" s="278" t="n">
        <f aca="false">COUNTIF(A30:AH30,"*$M*")</f>
        <v>0</v>
      </c>
      <c r="BG30" s="278" t="n">
        <f aca="false">BF30*1</f>
        <v>0</v>
      </c>
      <c r="BH30" s="278" t="n">
        <f aca="false">COUNTIF(A30:AH30,"*$PM*")</f>
        <v>0</v>
      </c>
      <c r="BI30" s="278" t="n">
        <f aca="false">BH30*0.5</f>
        <v>0</v>
      </c>
      <c r="BJ30" s="278" t="n">
        <f aca="false">COUNTIF(A30:AH30,"*$AM*")</f>
        <v>2</v>
      </c>
      <c r="BK30" s="278" t="n">
        <f aca="false">BJ30*0.5</f>
        <v>1</v>
      </c>
      <c r="BL30" s="278" t="n">
        <f aca="false">COUNTIF(A30:AH30,"*$FC*")</f>
        <v>0</v>
      </c>
      <c r="BM30" s="278" t="n">
        <f aca="false">BL30*1</f>
        <v>0</v>
      </c>
      <c r="BN30" s="278" t="n">
        <f aca="false">COUNTIF($D30:$Y30,BN$4)</f>
        <v>0</v>
      </c>
      <c r="BO30" s="278" t="n">
        <f aca="false">COUNTIF($D30:$Y30,BO$4)</f>
        <v>0</v>
      </c>
      <c r="BP30" s="278" t="n">
        <f aca="false">COUNTIF($D30:$Y30,BP$4)</f>
        <v>0</v>
      </c>
      <c r="BQ30" s="272"/>
    </row>
    <row r="31" customFormat="false" ht="19.5" hidden="false" customHeight="true" outlineLevel="0" collapsed="false">
      <c r="A31" s="272"/>
      <c r="B31" s="279" t="s">
        <v>649</v>
      </c>
      <c r="C31" s="283" t="s">
        <v>58</v>
      </c>
      <c r="D31" s="283"/>
      <c r="E31" s="266" t="s">
        <v>677</v>
      </c>
      <c r="F31" s="266" t="s">
        <v>678</v>
      </c>
      <c r="G31" s="266"/>
      <c r="J31" s="266" t="s">
        <v>54</v>
      </c>
      <c r="K31" s="266" t="s">
        <v>54</v>
      </c>
      <c r="L31" s="266" t="s">
        <v>54</v>
      </c>
      <c r="M31" s="91" t="s">
        <v>54</v>
      </c>
      <c r="N31" s="266" t="s">
        <v>93</v>
      </c>
      <c r="O31" s="91"/>
      <c r="P31" s="91"/>
      <c r="Q31" s="266" t="s">
        <v>65</v>
      </c>
      <c r="R31" s="266"/>
      <c r="S31" s="266"/>
      <c r="T31" s="266" t="s">
        <v>54</v>
      </c>
      <c r="U31" s="266" t="s">
        <v>54</v>
      </c>
      <c r="V31" s="266" t="s">
        <v>54</v>
      </c>
      <c r="W31" s="266"/>
      <c r="X31" s="266"/>
      <c r="Y31" s="266"/>
      <c r="Z31" s="266" t="s">
        <v>884</v>
      </c>
      <c r="AA31" s="92" t="s">
        <v>93</v>
      </c>
      <c r="AB31" s="266"/>
      <c r="AC31" s="92"/>
      <c r="AD31" s="91" t="s">
        <v>59</v>
      </c>
      <c r="AE31" s="266"/>
      <c r="AF31" s="266" t="s">
        <v>59</v>
      </c>
      <c r="AG31" s="266"/>
      <c r="AH31" s="272" t="n">
        <f aca="false">COUNTIF($C31:$AF31,AH$4)</f>
        <v>0</v>
      </c>
      <c r="AI31" s="272" t="n">
        <f aca="false">COUNTIF($C31:$AF31,AI$4)</f>
        <v>0</v>
      </c>
      <c r="AJ31" s="272" t="n">
        <f aca="false">COUNTIF($C31:$AF31,AJ$4)</f>
        <v>2</v>
      </c>
      <c r="AK31" s="272" t="n">
        <f aca="false">COUNTIF($C31:$AF31,AK$4)</f>
        <v>0</v>
      </c>
      <c r="AL31" s="272" t="n">
        <f aca="false">COUNTIF($C31:$AF31,AL$4)</f>
        <v>1</v>
      </c>
      <c r="AM31" s="272" t="n">
        <f aca="false">COUNTIF($C31:$AF31,AM$4)</f>
        <v>2</v>
      </c>
      <c r="AN31" s="272" t="n">
        <f aca="false">COUNTIF($C31:$AF31,AN$4)</f>
        <v>1</v>
      </c>
      <c r="AO31" s="272" t="n">
        <f aca="false">COUNTIF($C31:$AF31,AO$4)</f>
        <v>0</v>
      </c>
      <c r="AP31" s="272" t="n">
        <f aca="false">COUNTIF($C31:$AF31,AP$4)</f>
        <v>0</v>
      </c>
      <c r="AQ31" s="279"/>
      <c r="AR31" s="279" t="n">
        <v>0.5</v>
      </c>
      <c r="AS31" s="278" t="n">
        <f aca="false">SUMPRODUCT(--(WEEKDAY(C$3:AG$3,2)&lt;5),--ISNUMBER(MATCH(C31:AG31,{"DM","CS1","CS2","SB1","AE","CS/B"},0)))</f>
        <v>3</v>
      </c>
      <c r="AT31" s="272"/>
      <c r="AU31" s="278" t="n">
        <f aca="false">SUMPRODUCT(--(WEEKDAY(C$3:AG$3,2)=5),--ISNUMBER(MATCH(C31:AG31,{"DM","CS1","CS2","SB1","AE","CS/B","WEEKEND OUTFIELD RESERVE"},0)))</f>
        <v>0</v>
      </c>
      <c r="AV31" s="278" t="n">
        <f aca="false">SUMPRODUCT(--(WEEKDAY(C$3:AG$3,2)&gt;5),--ISNUMBER(MATCH(C31:AG31,{"DM","CS1","CS2","SB1","AE","CS/B","WEEKEND OUTFIELD RESERVE"},0)))</f>
        <v>1</v>
      </c>
      <c r="AW31" s="272"/>
      <c r="AX31" s="278" t="n">
        <f aca="false">(AS31-AT31)+AU31*1.5+(AV31-AW31)*2+AM31*0.5+AO31*0.5+AQ31-AR31</f>
        <v>5.5</v>
      </c>
      <c r="AY31" s="278" t="n">
        <f aca="false">AS31+AU31+AV31</f>
        <v>4</v>
      </c>
      <c r="AZ31" s="278" t="n">
        <f aca="false">BD31+BF31+BH31+BJ31+BL31</f>
        <v>2</v>
      </c>
      <c r="BA31" s="279" t="n">
        <f aca="false">AX31+BC31</f>
        <v>6.5</v>
      </c>
      <c r="BB31" s="279" t="n">
        <f aca="false">(BA31-7)</f>
        <v>-0.5</v>
      </c>
      <c r="BC31" s="278" t="n">
        <f aca="false">BE31+BG31+BI31+BK31+BM31</f>
        <v>1</v>
      </c>
      <c r="BD31" s="278" t="n">
        <f aca="false">COUNTIF(A31:AH31,"*$BTP*")</f>
        <v>0</v>
      </c>
      <c r="BE31" s="278" t="n">
        <f aca="false">BD31*1.5</f>
        <v>0</v>
      </c>
      <c r="BF31" s="278" t="n">
        <f aca="false">COUNTIF(A31:AH31,"*$M*")</f>
        <v>0</v>
      </c>
      <c r="BG31" s="278" t="n">
        <f aca="false">BF31*1</f>
        <v>0</v>
      </c>
      <c r="BH31" s="278" t="n">
        <f aca="false">COUNTIF(A31:AH31,"*$PM*")</f>
        <v>1</v>
      </c>
      <c r="BI31" s="278" t="n">
        <f aca="false">BH31*0.5</f>
        <v>0.5</v>
      </c>
      <c r="BJ31" s="278" t="n">
        <f aca="false">COUNTIF(A31:AH31,"*$AM*")</f>
        <v>1</v>
      </c>
      <c r="BK31" s="278" t="n">
        <f aca="false">BJ31*0.5</f>
        <v>0.5</v>
      </c>
      <c r="BL31" s="278" t="n">
        <f aca="false">COUNTIF(A31:AH31,"*$FC*")</f>
        <v>0</v>
      </c>
      <c r="BM31" s="278" t="n">
        <f aca="false">BL31*1</f>
        <v>0</v>
      </c>
      <c r="BN31" s="278" t="n">
        <f aca="false">COUNTIF($D31:$Z31,BN$4)</f>
        <v>0</v>
      </c>
      <c r="BO31" s="278" t="n">
        <f aca="false">COUNTIF($D31:$Z31,BO$4)</f>
        <v>0</v>
      </c>
      <c r="BP31" s="278" t="n">
        <f aca="false">COUNTIF($D31:$Z31,BP$4)</f>
        <v>0</v>
      </c>
      <c r="BQ31" s="272"/>
    </row>
    <row r="32" customFormat="false" ht="19.5" hidden="false" customHeight="true" outlineLevel="0" collapsed="false">
      <c r="A32" s="272"/>
      <c r="B32" s="279" t="s">
        <v>657</v>
      </c>
      <c r="C32" s="266"/>
      <c r="D32" s="266"/>
      <c r="E32" s="266" t="s">
        <v>61</v>
      </c>
      <c r="F32" s="266"/>
      <c r="G32" s="266" t="s">
        <v>59</v>
      </c>
      <c r="H32" s="266"/>
      <c r="I32" s="266"/>
      <c r="J32" s="266" t="s">
        <v>93</v>
      </c>
      <c r="K32" s="266"/>
      <c r="L32" s="266"/>
      <c r="M32" s="266"/>
      <c r="N32" s="283" t="s">
        <v>350</v>
      </c>
      <c r="O32" s="266"/>
      <c r="P32" s="266"/>
      <c r="Q32" s="91" t="s">
        <v>573</v>
      </c>
      <c r="R32" s="266" t="s">
        <v>69</v>
      </c>
      <c r="S32" s="266" t="s">
        <v>56</v>
      </c>
      <c r="T32" s="92" t="s">
        <v>93</v>
      </c>
      <c r="U32" s="46" t="s">
        <v>54</v>
      </c>
      <c r="V32" s="46" t="s">
        <v>54</v>
      </c>
      <c r="W32" s="46" t="s">
        <v>54</v>
      </c>
      <c r="X32" s="46" t="s">
        <v>54</v>
      </c>
      <c r="Y32" s="46" t="s">
        <v>54</v>
      </c>
      <c r="Z32" s="46" t="s">
        <v>54</v>
      </c>
      <c r="AA32" s="46" t="s">
        <v>54</v>
      </c>
      <c r="AB32" s="46" t="s">
        <v>54</v>
      </c>
      <c r="AC32" s="46" t="s">
        <v>54</v>
      </c>
      <c r="AE32" s="266" t="s">
        <v>885</v>
      </c>
      <c r="AF32" s="266" t="s">
        <v>93</v>
      </c>
      <c r="AG32" s="266"/>
      <c r="AH32" s="272" t="n">
        <f aca="false">COUNTIF($C32:$AF32,AH$4)</f>
        <v>0</v>
      </c>
      <c r="AI32" s="272" t="n">
        <f aca="false">COUNTIF($C32:$AF32,AI$4)</f>
        <v>1</v>
      </c>
      <c r="AJ32" s="272" t="n">
        <f aca="false">COUNTIF($C32:$AF32,AJ$4)</f>
        <v>1</v>
      </c>
      <c r="AK32" s="272" t="n">
        <f aca="false">COUNTIF($C32:$AF32,AK$4)</f>
        <v>0</v>
      </c>
      <c r="AL32" s="272" t="n">
        <f aca="false">COUNTIF($C32:$AF32,AL$4)</f>
        <v>0</v>
      </c>
      <c r="AM32" s="272" t="n">
        <f aca="false">COUNTIF($C32:$AF32,AM$4)</f>
        <v>3</v>
      </c>
      <c r="AN32" s="272" t="n">
        <f aca="false">COUNTIF($C32:$AF32,AN$4)</f>
        <v>0</v>
      </c>
      <c r="AO32" s="272" t="n">
        <f aca="false">COUNTIF($C32:$AF32,AO$4)</f>
        <v>0</v>
      </c>
      <c r="AP32" s="272" t="n">
        <f aca="false">COUNTIF($C32:$AF32,AP$4)</f>
        <v>0</v>
      </c>
      <c r="AQ32" s="279"/>
      <c r="AR32" s="279" t="n">
        <v>4.5</v>
      </c>
      <c r="AS32" s="278" t="n">
        <f aca="false">SUMPRODUCT(--(WEEKDAY(C$3:AG$3,2)&lt;5),--ISNUMBER(MATCH(C32:AG32,{"DM","CS1","CS2","SB1","AE","CS/B"},0)))</f>
        <v>1</v>
      </c>
      <c r="AT32" s="272"/>
      <c r="AU32" s="278" t="n">
        <f aca="false">SUMPRODUCT(--(WEEKDAY(C$3:AG$3,2)=5),--ISNUMBER(MATCH(C32:AG32,{"DM","CS1","CS2","SB1","AE","CS/B","WEEKEND OUTFIELD RESERVE"},0)))</f>
        <v>1</v>
      </c>
      <c r="AV32" s="278" t="n">
        <f aca="false">SUMPRODUCT(--(WEEKDAY(C$3:AG$3,2)&gt;5),--ISNUMBER(MATCH(C32:AG32,{"DM","CS1","CS2","SB1","AE","CS/B","WEEKEND OUTFIELD RESERVE"},0)))</f>
        <v>0</v>
      </c>
      <c r="AW32" s="272"/>
      <c r="AX32" s="278" t="n">
        <f aca="false">(AS32-AT32)+AU32*1.5+(AV32-AW32)*2+AM32*0.5+AO32*0.5+AQ32-AR32</f>
        <v>-0.5</v>
      </c>
      <c r="AY32" s="278" t="n">
        <f aca="false">AS32+AU32+AV32</f>
        <v>2</v>
      </c>
      <c r="AZ32" s="278" t="n">
        <f aca="false">BD32+BF32+BH32+BJ32+BL32</f>
        <v>1</v>
      </c>
      <c r="BA32" s="279" t="n">
        <f aca="false">AX32+BC32</f>
        <v>0</v>
      </c>
      <c r="BB32" s="279" t="n">
        <f aca="false">(BA32-7)</f>
        <v>-7</v>
      </c>
      <c r="BC32" s="278" t="n">
        <f aca="false">BE32+BG32+BI32+BK32+BM32</f>
        <v>0.5</v>
      </c>
      <c r="BD32" s="278" t="n">
        <f aca="false">COUNTIF(A32:AH32,"*$BTP*")</f>
        <v>0</v>
      </c>
      <c r="BE32" s="278" t="n">
        <f aca="false">BD32*1.5</f>
        <v>0</v>
      </c>
      <c r="BF32" s="278" t="n">
        <f aca="false">COUNTIF(A32:AH32,"*$M*")</f>
        <v>0</v>
      </c>
      <c r="BG32" s="278" t="n">
        <f aca="false">BF32*1</f>
        <v>0</v>
      </c>
      <c r="BH32" s="278" t="n">
        <f aca="false">COUNTIF(A32:AH32,"*$PM*")</f>
        <v>1</v>
      </c>
      <c r="BI32" s="278" t="n">
        <f aca="false">BH32*0.5</f>
        <v>0.5</v>
      </c>
      <c r="BJ32" s="278" t="n">
        <f aca="false">COUNTIF(A32:AH32,"*$AM*")</f>
        <v>0</v>
      </c>
      <c r="BK32" s="278" t="n">
        <f aca="false">BJ32*0.5</f>
        <v>0</v>
      </c>
      <c r="BL32" s="278" t="n">
        <f aca="false">COUNTIF(A32:AH32,"*$FC*")</f>
        <v>0</v>
      </c>
      <c r="BM32" s="278" t="n">
        <f aca="false">BL32*1</f>
        <v>0</v>
      </c>
      <c r="BN32" s="278" t="n">
        <f aca="false">COUNTIF($D32:$Z32,BN$4)</f>
        <v>0</v>
      </c>
      <c r="BO32" s="278" t="n">
        <f aca="false">COUNTIF($D32:$Z32,BO$4)</f>
        <v>1</v>
      </c>
      <c r="BP32" s="278" t="n">
        <f aca="false">COUNTIF($D32:$Z32,BP$4)</f>
        <v>0</v>
      </c>
      <c r="BQ32" s="272"/>
    </row>
    <row r="33" customFormat="false" ht="19.5" hidden="false" customHeight="true" outlineLevel="0" collapsed="false">
      <c r="A33" s="272"/>
      <c r="B33" s="279" t="s">
        <v>659</v>
      </c>
      <c r="C33" s="266"/>
      <c r="D33" s="283"/>
      <c r="E33" s="266" t="s">
        <v>680</v>
      </c>
      <c r="F33" s="266" t="s">
        <v>678</v>
      </c>
      <c r="G33" s="266" t="s">
        <v>58</v>
      </c>
      <c r="H33" s="266"/>
      <c r="I33" s="91" t="s">
        <v>59</v>
      </c>
      <c r="J33" s="266"/>
      <c r="K33" s="266" t="s">
        <v>54</v>
      </c>
      <c r="L33" s="266" t="s">
        <v>54</v>
      </c>
      <c r="M33" s="266" t="s">
        <v>54</v>
      </c>
      <c r="N33" s="266"/>
      <c r="O33" s="266"/>
      <c r="P33" s="266"/>
      <c r="Q33" s="266" t="s">
        <v>59</v>
      </c>
      <c r="R33" s="92"/>
      <c r="S33" s="266"/>
      <c r="T33" s="181" t="s">
        <v>54</v>
      </c>
      <c r="U33" s="91" t="s">
        <v>54</v>
      </c>
      <c r="V33" s="91" t="s">
        <v>54</v>
      </c>
      <c r="W33" s="266"/>
      <c r="X33" s="266"/>
      <c r="Y33" s="266" t="s">
        <v>59</v>
      </c>
      <c r="Z33" s="266"/>
      <c r="AA33" s="91" t="s">
        <v>573</v>
      </c>
      <c r="AB33" s="266"/>
      <c r="AC33" s="266"/>
      <c r="AD33" s="46" t="s">
        <v>350</v>
      </c>
      <c r="AE33" s="91"/>
      <c r="AF33" s="266"/>
      <c r="AG33" s="266"/>
      <c r="AH33" s="272" t="n">
        <f aca="false">COUNTIF($C33:$AF33,AH$4)</f>
        <v>0</v>
      </c>
      <c r="AI33" s="272" t="n">
        <f aca="false">COUNTIF($C33:$AF33,AI$4)</f>
        <v>0</v>
      </c>
      <c r="AJ33" s="272" t="n">
        <f aca="false">COUNTIF($C33:$AF33,AJ$4)</f>
        <v>3</v>
      </c>
      <c r="AK33" s="272" t="n">
        <f aca="false">COUNTIF($C33:$AF33,AK$4)</f>
        <v>0</v>
      </c>
      <c r="AL33" s="272" t="n">
        <f aca="false">COUNTIF($C33:$AF33,AL$4)</f>
        <v>1</v>
      </c>
      <c r="AM33" s="272" t="n">
        <f aca="false">COUNTIF($C33:$AF33,AM$4)</f>
        <v>0</v>
      </c>
      <c r="AN33" s="272" t="n">
        <f aca="false">COUNTIF($C33:$AF33,AN$4)</f>
        <v>0</v>
      </c>
      <c r="AO33" s="272" t="n">
        <f aca="false">COUNTIF($C33:$AF33,AO$4)</f>
        <v>0</v>
      </c>
      <c r="AP33" s="272" t="n">
        <f aca="false">COUNTIF($C33:$AF33,AP$4)</f>
        <v>0</v>
      </c>
      <c r="AQ33" s="279"/>
      <c r="AR33" s="279"/>
      <c r="AS33" s="278" t="n">
        <f aca="false">SUMPRODUCT(--(WEEKDAY(C$3:AG$3,2)&lt;5),--ISNUMBER(MATCH(C33:AG33,{"DM","CS1","CS2","SB1","AE","CS/B"},0)))</f>
        <v>2</v>
      </c>
      <c r="AT33" s="272"/>
      <c r="AU33" s="278" t="n">
        <f aca="false">SUMPRODUCT(--(WEEKDAY(C$3:AG$3,2)=5),--ISNUMBER(MATCH(C33:AG33,{"DM","CS1","CS2","SB1","AE","CS/B","WEEKEND OUTFIELD RESERVE"},0)))</f>
        <v>1</v>
      </c>
      <c r="AV33" s="278" t="n">
        <f aca="false">SUMPRODUCT(--(WEEKDAY(C$3:AG$3,2)&gt;5),--ISNUMBER(MATCH(C33:AG33,{"DM","CS1","CS2","SB1","AE","CS/B","WEEKEND OUTFIELD RESERVE"},0)))</f>
        <v>1</v>
      </c>
      <c r="AW33" s="272"/>
      <c r="AX33" s="278" t="n">
        <f aca="false">(AS33-AT33)+AU33*1.5+(AV33-AW33)*2+AM33*0.5+AO33*0.5+AQ33-AR33</f>
        <v>5.5</v>
      </c>
      <c r="AY33" s="278" t="n">
        <f aca="false">AS33+AU33+AV33</f>
        <v>4</v>
      </c>
      <c r="AZ33" s="278" t="n">
        <f aca="false">BD33+BF33+BH33+BJ33+BL33</f>
        <v>1</v>
      </c>
      <c r="BA33" s="279" t="n">
        <f aca="false">AX33+BC33</f>
        <v>6.5</v>
      </c>
      <c r="BB33" s="279" t="n">
        <f aca="false">(BA33-7)</f>
        <v>-0.5</v>
      </c>
      <c r="BC33" s="278" t="n">
        <f aca="false">BE33+BG33+BI33+BK33+BM33</f>
        <v>1</v>
      </c>
      <c r="BD33" s="278" t="n">
        <f aca="false">COUNTIF(A33:AH33,"*$BTP*")</f>
        <v>0</v>
      </c>
      <c r="BE33" s="278" t="n">
        <f aca="false">BD33*1.5</f>
        <v>0</v>
      </c>
      <c r="BF33" s="278" t="n">
        <f aca="false">COUNTIF(A33:AH33,"*$M*")</f>
        <v>1</v>
      </c>
      <c r="BG33" s="278" t="n">
        <f aca="false">BF33*1</f>
        <v>1</v>
      </c>
      <c r="BH33" s="278" t="n">
        <f aca="false">COUNTIF(A33:AH33,"*$PM*")</f>
        <v>0</v>
      </c>
      <c r="BI33" s="278" t="n">
        <f aca="false">BH33*0.5</f>
        <v>0</v>
      </c>
      <c r="BJ33" s="278" t="n">
        <f aca="false">COUNTIF(A33:AH33,"*$AM*")</f>
        <v>0</v>
      </c>
      <c r="BK33" s="278" t="n">
        <f aca="false">BJ33*0.5</f>
        <v>0</v>
      </c>
      <c r="BL33" s="278" t="n">
        <f aca="false">COUNTIF(A33:AH33,"*$FC*")</f>
        <v>0</v>
      </c>
      <c r="BM33" s="278" t="n">
        <f aca="false">BL33*1</f>
        <v>0</v>
      </c>
      <c r="BN33" s="278" t="n">
        <f aca="false">COUNTIF($D33:$Z33,BN$4)</f>
        <v>0</v>
      </c>
      <c r="BO33" s="278" t="n">
        <f aca="false">COUNTIF($D33:$Z33,BO$4)</f>
        <v>0</v>
      </c>
      <c r="BP33" s="278" t="n">
        <f aca="false">COUNTIF($D33:$Z33,BP$4)</f>
        <v>0</v>
      </c>
      <c r="BQ33" s="272"/>
    </row>
    <row r="34" customFormat="false" ht="19.5" hidden="false" customHeight="true" outlineLevel="0" collapsed="false">
      <c r="A34" s="272"/>
      <c r="B34" s="279" t="s">
        <v>744</v>
      </c>
      <c r="C34" s="266" t="s">
        <v>65</v>
      </c>
      <c r="D34" s="266" t="s">
        <v>886</v>
      </c>
      <c r="E34" s="266" t="s">
        <v>677</v>
      </c>
      <c r="F34" s="266" t="s">
        <v>678</v>
      </c>
      <c r="G34" s="266"/>
      <c r="H34" s="91"/>
      <c r="J34" s="91"/>
      <c r="K34" s="266"/>
      <c r="L34" s="266"/>
      <c r="M34" s="266" t="s">
        <v>65</v>
      </c>
      <c r="N34" s="266"/>
      <c r="O34" s="91"/>
      <c r="P34" s="91" t="s">
        <v>65</v>
      </c>
      <c r="Q34" s="91"/>
      <c r="S34" s="266"/>
      <c r="T34" s="92" t="s">
        <v>65</v>
      </c>
      <c r="U34" s="266"/>
      <c r="V34" s="266"/>
      <c r="W34" s="266"/>
      <c r="X34" s="266" t="s">
        <v>887</v>
      </c>
      <c r="Z34" s="266" t="s">
        <v>65</v>
      </c>
      <c r="AA34" s="315"/>
      <c r="AB34" s="91" t="s">
        <v>65</v>
      </c>
      <c r="AC34" s="266"/>
      <c r="AD34" s="266"/>
      <c r="AE34" s="266"/>
      <c r="AG34" s="266"/>
      <c r="AH34" s="272" t="n">
        <f aca="false">COUNTIF($C34:$AF34,AH$4)</f>
        <v>0</v>
      </c>
      <c r="AI34" s="272" t="n">
        <f aca="false">COUNTIF($C34:$AF34,AI$4)</f>
        <v>0</v>
      </c>
      <c r="AJ34" s="272" t="n">
        <f aca="false">COUNTIF($C34:$AF34,AJ$4)</f>
        <v>0</v>
      </c>
      <c r="AK34" s="272" t="n">
        <f aca="false">COUNTIF($C34:$AF34,AK$4)</f>
        <v>0</v>
      </c>
      <c r="AL34" s="272" t="n">
        <f aca="false">COUNTIF($C34:$AF34,AL$4)</f>
        <v>0</v>
      </c>
      <c r="AM34" s="272" t="n">
        <f aca="false">COUNTIF($C34:$AF34,AM$4)</f>
        <v>0</v>
      </c>
      <c r="AN34" s="272" t="n">
        <f aca="false">COUNTIF($C34:$AF34,AN$4)</f>
        <v>6</v>
      </c>
      <c r="AO34" s="272" t="n">
        <f aca="false">COUNTIF($C34:$AF34,AO$4)</f>
        <v>0</v>
      </c>
      <c r="AP34" s="272" t="n">
        <f aca="false">COUNTIF($C34:$AF34,AP$4)</f>
        <v>0</v>
      </c>
      <c r="AQ34" s="279"/>
      <c r="AR34" s="279" t="n">
        <v>2.5</v>
      </c>
      <c r="AS34" s="278" t="n">
        <f aca="false">SUMPRODUCT(--(WEEKDAY(C$3:AG$3,2)&lt;5),--ISNUMBER(MATCH(C34:AG34,{"DM","CS1","CS2","SB1","AE","CS/B"},0)))</f>
        <v>4</v>
      </c>
      <c r="AT34" s="272"/>
      <c r="AU34" s="278" t="n">
        <f aca="false">SUMPRODUCT(--(WEEKDAY(C$3:AG$3,2)=5),--ISNUMBER(MATCH(C34:AG34,{"DM","CS1","CS2","SB1","AE","CS/B","WEEKEND OUTFIELD RESERVE"},0)))</f>
        <v>1</v>
      </c>
      <c r="AV34" s="278" t="n">
        <f aca="false">SUMPRODUCT(--(WEEKDAY(C$3:AG$3,2)&gt;5),--ISNUMBER(MATCH(C34:AG34,{"DM","CS1","CS2","SB1","AE","CS/B","WEEKEND OUTFIELD RESERVE"},0)))</f>
        <v>1</v>
      </c>
      <c r="AW34" s="272"/>
      <c r="AX34" s="278" t="n">
        <f aca="false">(AS34-AT34)+AU34*1.5+(AV34-AW34)*2+AM34*0.5+AO34*0.5+AQ34-AR34</f>
        <v>5</v>
      </c>
      <c r="AY34" s="278" t="n">
        <f aca="false">AS34+AU34+AV34</f>
        <v>6</v>
      </c>
      <c r="AZ34" s="278" t="n">
        <f aca="false">BD34+BF34+BH34+BJ34+BL34</f>
        <v>2</v>
      </c>
      <c r="BA34" s="279" t="n">
        <f aca="false">AX34+BC34</f>
        <v>6.5</v>
      </c>
      <c r="BB34" s="279" t="n">
        <f aca="false">(BA34-7)</f>
        <v>-0.5</v>
      </c>
      <c r="BC34" s="278" t="n">
        <f aca="false">BE34+BG34+BI34+BK34+BM34</f>
        <v>1.5</v>
      </c>
      <c r="BD34" s="278" t="n">
        <f aca="false">COUNTIF(A34:AH34,"*$BTP*")</f>
        <v>0</v>
      </c>
      <c r="BE34" s="278" t="n">
        <f aca="false">BD34*1.5</f>
        <v>0</v>
      </c>
      <c r="BF34" s="278" t="n">
        <f aca="false">COUNTIF(A34:AH34,"*$M*")</f>
        <v>1</v>
      </c>
      <c r="BG34" s="278" t="n">
        <f aca="false">BF34*1</f>
        <v>1</v>
      </c>
      <c r="BH34" s="278" t="n">
        <f aca="false">COUNTIF(A34:AH34,"*$PM*")</f>
        <v>1</v>
      </c>
      <c r="BI34" s="278" t="n">
        <f aca="false">BH34*0.5</f>
        <v>0.5</v>
      </c>
      <c r="BJ34" s="278" t="n">
        <f aca="false">COUNTIF(A34:AH34,"*$AM*")</f>
        <v>0</v>
      </c>
      <c r="BK34" s="278" t="n">
        <f aca="false">BJ34*0.5</f>
        <v>0</v>
      </c>
      <c r="BL34" s="278" t="n">
        <f aca="false">COUNTIF(A34:AH34,"*$FC*")</f>
        <v>0</v>
      </c>
      <c r="BM34" s="278" t="n">
        <f aca="false">BL34*1</f>
        <v>0</v>
      </c>
      <c r="BN34" s="278" t="n">
        <f aca="false">COUNTIF($D34:$Y34,BN$4)</f>
        <v>0</v>
      </c>
      <c r="BO34" s="278" t="n">
        <f aca="false">COUNTIF($D34:$Y34,BO$4)</f>
        <v>0</v>
      </c>
      <c r="BP34" s="278" t="n">
        <f aca="false">COUNTIF($D34:$Y34,BP$4)</f>
        <v>0</v>
      </c>
      <c r="BQ34" s="272"/>
    </row>
    <row r="35" customFormat="false" ht="19.5" hidden="false" customHeight="true" outlineLevel="0" collapsed="false">
      <c r="A35" s="272"/>
      <c r="B35" s="279" t="s">
        <v>748</v>
      </c>
      <c r="C35" s="266" t="s">
        <v>888</v>
      </c>
      <c r="D35" s="280" t="s">
        <v>65</v>
      </c>
      <c r="E35" s="266" t="s">
        <v>680</v>
      </c>
      <c r="F35" s="266" t="s">
        <v>678</v>
      </c>
      <c r="G35" s="266"/>
      <c r="H35" s="266" t="s">
        <v>65</v>
      </c>
      <c r="I35" s="266"/>
      <c r="J35" s="266" t="s">
        <v>65</v>
      </c>
      <c r="K35" s="266"/>
      <c r="L35" s="266"/>
      <c r="M35" s="266"/>
      <c r="N35" s="91"/>
      <c r="O35" s="266"/>
      <c r="P35" s="266"/>
      <c r="Q35" s="266"/>
      <c r="R35" s="266" t="s">
        <v>889</v>
      </c>
      <c r="S35" s="92" t="s">
        <v>93</v>
      </c>
      <c r="T35" s="266"/>
      <c r="U35" s="91" t="s">
        <v>65</v>
      </c>
      <c r="V35" s="91"/>
      <c r="W35" s="91"/>
      <c r="X35" s="91"/>
      <c r="Y35" s="283" t="s">
        <v>350</v>
      </c>
      <c r="Z35" s="91"/>
      <c r="AA35" s="266" t="s">
        <v>65</v>
      </c>
      <c r="AB35" s="91"/>
      <c r="AC35" s="91"/>
      <c r="AD35" s="91"/>
      <c r="AE35" s="91" t="s">
        <v>218</v>
      </c>
      <c r="AF35" s="91" t="s">
        <v>218</v>
      </c>
      <c r="AG35" s="91"/>
      <c r="AH35" s="272" t="n">
        <f aca="false">COUNTIF($C35:$AF35,AH$4)</f>
        <v>0</v>
      </c>
      <c r="AI35" s="272" t="n">
        <f aca="false">COUNTIF($C35:$AF35,AI$4)</f>
        <v>0</v>
      </c>
      <c r="AJ35" s="272" t="n">
        <f aca="false">COUNTIF($C35:$AF35,AJ$4)</f>
        <v>0</v>
      </c>
      <c r="AK35" s="272" t="n">
        <f aca="false">COUNTIF($C35:$AF35,AK$4)</f>
        <v>0</v>
      </c>
      <c r="AL35" s="272" t="n">
        <f aca="false">COUNTIF($C35:$AF35,AL$4)</f>
        <v>0</v>
      </c>
      <c r="AM35" s="272" t="n">
        <f aca="false">COUNTIF($C35:$AF35,AM$4)</f>
        <v>1</v>
      </c>
      <c r="AN35" s="272" t="n">
        <f aca="false">COUNTIF($C35:$AF35,AN$4)</f>
        <v>5</v>
      </c>
      <c r="AO35" s="272" t="n">
        <f aca="false">COUNTIF($C35:$AF35,AO$4)</f>
        <v>0</v>
      </c>
      <c r="AP35" s="272" t="n">
        <f aca="false">COUNTIF($C35:$AF35,AP$4)</f>
        <v>0</v>
      </c>
      <c r="AQ35" s="279"/>
      <c r="AR35" s="279" t="n">
        <v>2.5</v>
      </c>
      <c r="AS35" s="278" t="n">
        <f aca="false">SUMPRODUCT(--(WEEKDAY(C$3:AG$3,2)&lt;5),--ISNUMBER(MATCH(C35:AG35,{"DM","CS1","CS2","SB1","AE","CS/B"},0)))</f>
        <v>3</v>
      </c>
      <c r="AT35" s="272"/>
      <c r="AU35" s="278" t="n">
        <f aca="false">SUMPRODUCT(--(WEEKDAY(C$3:AG$3,2)=5),--ISNUMBER(MATCH(C35:AG35,{"DM","CS1","CS2","SB1","AE","CS/B","WEEKEND OUTFIELD RESERVE"},0)))</f>
        <v>1</v>
      </c>
      <c r="AV35" s="278" t="n">
        <f aca="false">SUMPRODUCT(--(WEEKDAY(C$3:AG$3,2)&gt;5),--ISNUMBER(MATCH(C35:AG35,{"DM","CS1","CS2","SB1","AE","CS/B","WEEKEND OUTFIELD RESERVE"},0)))</f>
        <v>1</v>
      </c>
      <c r="AW35" s="272"/>
      <c r="AX35" s="278" t="n">
        <f aca="false">(AS35-AT35)+AU35*1.5+(AV35-AW35)*2+AM35*0.5+AO35*0.5+AQ35-AR35</f>
        <v>4.5</v>
      </c>
      <c r="AY35" s="278" t="n">
        <f aca="false">AS35+AU35+AV35</f>
        <v>5</v>
      </c>
      <c r="AZ35" s="278" t="n">
        <f aca="false">BD35+BF35+BH35+BJ35+BL35</f>
        <v>2</v>
      </c>
      <c r="BA35" s="279" t="n">
        <f aca="false">AX35+BC35</f>
        <v>6</v>
      </c>
      <c r="BB35" s="279" t="n">
        <f aca="false">(BA35-7)</f>
        <v>-1</v>
      </c>
      <c r="BC35" s="278" t="n">
        <f aca="false">BE35+BG35+BI35+BK35+BM35</f>
        <v>1.5</v>
      </c>
      <c r="BD35" s="278" t="n">
        <f aca="false">COUNTIF(A35:AH35,"*$BTP*")</f>
        <v>0</v>
      </c>
      <c r="BE35" s="278" t="n">
        <f aca="false">BD35*1.5</f>
        <v>0</v>
      </c>
      <c r="BF35" s="278" t="n">
        <f aca="false">COUNTIF(A35:AH35,"*$M*")</f>
        <v>1</v>
      </c>
      <c r="BG35" s="278" t="n">
        <f aca="false">BF35*1</f>
        <v>1</v>
      </c>
      <c r="BH35" s="278" t="n">
        <f aca="false">COUNTIF(A35:AH35,"*$PM*")</f>
        <v>0</v>
      </c>
      <c r="BI35" s="278" t="n">
        <f aca="false">BH35*0.5</f>
        <v>0</v>
      </c>
      <c r="BJ35" s="278" t="n">
        <f aca="false">COUNTIF(A35:AH35,"*$AM*")</f>
        <v>1</v>
      </c>
      <c r="BK35" s="278" t="n">
        <f aca="false">BJ35*0.5</f>
        <v>0.5</v>
      </c>
      <c r="BL35" s="278" t="n">
        <f aca="false">COUNTIF(A35:AH35,"*$FC*")</f>
        <v>0</v>
      </c>
      <c r="BM35" s="278" t="n">
        <f aca="false">BL35*1</f>
        <v>0</v>
      </c>
      <c r="BN35" s="278" t="n">
        <f aca="false">COUNTIF($D35:$Z35,BN$4)</f>
        <v>0</v>
      </c>
      <c r="BO35" s="278" t="n">
        <f aca="false">COUNTIF($D35:$Z35,BO$4)</f>
        <v>1</v>
      </c>
      <c r="BP35" s="278" t="n">
        <f aca="false">COUNTIF($D35:$Z35,BP$4)</f>
        <v>0</v>
      </c>
      <c r="BQ35" s="272"/>
    </row>
    <row r="36" customFormat="false" ht="19.5" hidden="false" customHeight="true" outlineLevel="0" collapsed="false">
      <c r="A36" s="272"/>
      <c r="B36" s="279" t="s">
        <v>752</v>
      </c>
      <c r="C36" s="266"/>
      <c r="D36" s="266"/>
      <c r="E36" s="266" t="s">
        <v>680</v>
      </c>
      <c r="F36" s="266" t="s">
        <v>678</v>
      </c>
      <c r="G36" s="91"/>
      <c r="H36" s="266" t="s">
        <v>350</v>
      </c>
      <c r="I36" s="91"/>
      <c r="J36" s="266"/>
      <c r="K36" s="266" t="s">
        <v>65</v>
      </c>
      <c r="L36" s="266"/>
      <c r="M36" s="266"/>
      <c r="N36" s="91"/>
      <c r="O36" s="266"/>
      <c r="P36" s="266"/>
      <c r="Q36" s="266" t="s">
        <v>873</v>
      </c>
      <c r="R36" s="266" t="s">
        <v>65</v>
      </c>
      <c r="S36" s="266"/>
      <c r="T36" s="266" t="s">
        <v>573</v>
      </c>
      <c r="U36" s="91"/>
      <c r="V36" s="266"/>
      <c r="W36" s="266" t="s">
        <v>65</v>
      </c>
      <c r="X36" s="266"/>
      <c r="Y36" s="266" t="s">
        <v>890</v>
      </c>
      <c r="AA36" s="92"/>
      <c r="AC36" s="266"/>
      <c r="AD36" s="266"/>
      <c r="AE36" s="266" t="s">
        <v>65</v>
      </c>
      <c r="AF36" s="91"/>
      <c r="AG36" s="266"/>
      <c r="AH36" s="272" t="n">
        <f aca="false">COUNTIF($C36:$AF36,AH$4)</f>
        <v>0</v>
      </c>
      <c r="AI36" s="272" t="n">
        <f aca="false">COUNTIF($C36:$AF36,AI$4)</f>
        <v>0</v>
      </c>
      <c r="AJ36" s="272" t="n">
        <f aca="false">COUNTIF($C36:$AF36,AJ$4)</f>
        <v>0</v>
      </c>
      <c r="AK36" s="272" t="n">
        <f aca="false">COUNTIF($C36:$AF36,AK$4)</f>
        <v>0</v>
      </c>
      <c r="AL36" s="272" t="n">
        <f aca="false">COUNTIF($C36:$AF36,AL$4)</f>
        <v>0</v>
      </c>
      <c r="AM36" s="272" t="n">
        <f aca="false">COUNTIF($C36:$AF36,AM$4)</f>
        <v>0</v>
      </c>
      <c r="AN36" s="272" t="n">
        <f aca="false">COUNTIF($C36:$AF36,AN$4)</f>
        <v>4</v>
      </c>
      <c r="AO36" s="272" t="n">
        <f aca="false">COUNTIF($C36:$AF36,AO$4)</f>
        <v>0</v>
      </c>
      <c r="AP36" s="272" t="n">
        <f aca="false">COUNTIF($C36:$AF36,AP$4)</f>
        <v>0</v>
      </c>
      <c r="AQ36" s="279" t="n">
        <v>1.5</v>
      </c>
      <c r="AR36" s="279"/>
      <c r="AS36" s="278" t="n">
        <f aca="false">SUMPRODUCT(--(WEEKDAY(C$3:AG$3,2)&lt;5),--ISNUMBER(MATCH(C36:AG36,{"DM","CS1","CS2","SB1","AE","CS/B"},0)))</f>
        <v>3</v>
      </c>
      <c r="AT36" s="272"/>
      <c r="AU36" s="278" t="n">
        <f aca="false">SUMPRODUCT(--(WEEKDAY(C$3:AG$3,2)=5),--ISNUMBER(MATCH(C36:AG36,{"DM","CS1","CS2","SB1","AE","CS/B","WEEKEND OUTFIELD RESERVE"},0)))</f>
        <v>0</v>
      </c>
      <c r="AV36" s="278" t="n">
        <f aca="false">SUMPRODUCT(--(WEEKDAY(C$3:AG$3,2)&gt;5),--ISNUMBER(MATCH(C36:AG36,{"DM","CS1","CS2","SB1","AE","CS/B","WEEKEND OUTFIELD RESERVE"},0)))</f>
        <v>1</v>
      </c>
      <c r="AW36" s="272"/>
      <c r="AX36" s="278" t="n">
        <f aca="false">(AS36-AT36)+AU36*1.5+(AV36-AW36)*2+AM36*0.5+AO36*0.5+AQ36-AR36</f>
        <v>6.5</v>
      </c>
      <c r="AY36" s="278" t="n">
        <f aca="false">AS36+AU36+AV36</f>
        <v>4</v>
      </c>
      <c r="AZ36" s="278" t="n">
        <f aca="false">BD36+BF36+BH36+BJ36+BL36</f>
        <v>3</v>
      </c>
      <c r="BA36" s="279" t="n">
        <f aca="false">AX36+BC36</f>
        <v>9.5</v>
      </c>
      <c r="BB36" s="279" t="n">
        <f aca="false">(BA36-7)</f>
        <v>2.5</v>
      </c>
      <c r="BC36" s="278" t="n">
        <f aca="false">BE36+BG36+BI36+BK36+BM36</f>
        <v>3</v>
      </c>
      <c r="BD36" s="278" t="n">
        <f aca="false">COUNTIF(A36:AH36,"*$BTP*")</f>
        <v>1</v>
      </c>
      <c r="BE36" s="278" t="n">
        <f aca="false">BD36*1.5</f>
        <v>1.5</v>
      </c>
      <c r="BF36" s="278" t="n">
        <f aca="false">COUNTIF(A36:AH36,"*$M*")</f>
        <v>1</v>
      </c>
      <c r="BG36" s="278" t="n">
        <f aca="false">BF36*1</f>
        <v>1</v>
      </c>
      <c r="BH36" s="278" t="n">
        <f aca="false">COUNTIF(A36:AH36,"*$PM*")</f>
        <v>0</v>
      </c>
      <c r="BI36" s="278" t="n">
        <f aca="false">BH36*0.5</f>
        <v>0</v>
      </c>
      <c r="BJ36" s="278" t="n">
        <f aca="false">COUNTIF(A36:AH36,"*$AM*")</f>
        <v>1</v>
      </c>
      <c r="BK36" s="278" t="n">
        <f aca="false">BJ36*0.5</f>
        <v>0.5</v>
      </c>
      <c r="BL36" s="278" t="n">
        <f aca="false">COUNTIF(A36:AH36,"*$FC*")</f>
        <v>0</v>
      </c>
      <c r="BM36" s="278" t="n">
        <f aca="false">BL36*1</f>
        <v>0</v>
      </c>
      <c r="BN36" s="278" t="n">
        <f aca="false">COUNTIF($D36:$Y36,BN$4)</f>
        <v>0</v>
      </c>
      <c r="BO36" s="278" t="n">
        <f aca="false">COUNTIF($D36:$Y36,BO$4)</f>
        <v>1</v>
      </c>
      <c r="BP36" s="278" t="n">
        <f aca="false">COUNTIF($D36:$Y36,BP$4)</f>
        <v>0</v>
      </c>
      <c r="BQ36" s="272"/>
    </row>
    <row r="37" customFormat="false" ht="19.5" hidden="false" customHeight="true" outlineLevel="0" collapsed="false">
      <c r="A37" s="272"/>
      <c r="B37" s="279" t="s">
        <v>753</v>
      </c>
      <c r="C37" s="266"/>
      <c r="D37" s="266"/>
      <c r="E37" s="266" t="s">
        <v>680</v>
      </c>
      <c r="F37" s="266" t="s">
        <v>678</v>
      </c>
      <c r="G37" s="92"/>
      <c r="H37" s="91"/>
      <c r="I37" s="91" t="s">
        <v>65</v>
      </c>
      <c r="J37" s="91"/>
      <c r="K37" s="266"/>
      <c r="L37" s="266"/>
      <c r="M37" s="266"/>
      <c r="N37" s="266" t="s">
        <v>65</v>
      </c>
      <c r="O37" s="266"/>
      <c r="P37" s="266"/>
      <c r="Q37" s="266"/>
      <c r="R37" s="266"/>
      <c r="S37" s="266" t="s">
        <v>573</v>
      </c>
      <c r="T37" s="266"/>
      <c r="U37" s="266" t="s">
        <v>891</v>
      </c>
      <c r="V37" s="266" t="s">
        <v>65</v>
      </c>
      <c r="W37" s="91"/>
      <c r="X37" s="266"/>
      <c r="Y37" s="266"/>
      <c r="AA37" s="266"/>
      <c r="AB37" s="266"/>
      <c r="AC37" s="266"/>
      <c r="AD37" s="266"/>
      <c r="AE37" s="283" t="s">
        <v>350</v>
      </c>
      <c r="AF37" s="92"/>
      <c r="AG37" s="266"/>
      <c r="AH37" s="272" t="n">
        <f aca="false">COUNTIF($C37:$AF37,AH$4)</f>
        <v>0</v>
      </c>
      <c r="AI37" s="272" t="n">
        <f aca="false">COUNTIF($C37:$AF37,AI$4)</f>
        <v>0</v>
      </c>
      <c r="AJ37" s="272" t="n">
        <f aca="false">COUNTIF($C37:$AF37,AJ$4)</f>
        <v>0</v>
      </c>
      <c r="AK37" s="272" t="n">
        <f aca="false">COUNTIF($C37:$AF37,AK$4)</f>
        <v>0</v>
      </c>
      <c r="AL37" s="272" t="n">
        <f aca="false">COUNTIF($C37:$AF37,AL$4)</f>
        <v>0</v>
      </c>
      <c r="AM37" s="272" t="n">
        <f aca="false">COUNTIF($C37:$AF37,AM$4)</f>
        <v>0</v>
      </c>
      <c r="AN37" s="272" t="n">
        <f aca="false">COUNTIF($C37:$AF37,AN$4)</f>
        <v>3</v>
      </c>
      <c r="AO37" s="272" t="n">
        <f aca="false">COUNTIF($C37:$AF37,AO$4)</f>
        <v>0</v>
      </c>
      <c r="AP37" s="272" t="n">
        <f aca="false">COUNTIF($C37:$AF37,AP$4)</f>
        <v>0</v>
      </c>
      <c r="AQ37" s="279"/>
      <c r="AR37" s="279"/>
      <c r="AS37" s="278" t="n">
        <f aca="false">SUMPRODUCT(--(WEEKDAY(C$3:AG$3,2)&lt;5),--ISNUMBER(MATCH(C37:AG37,{"DM","CS1","CS2","SB1","AE","CS/B"},0)))</f>
        <v>0</v>
      </c>
      <c r="AT37" s="272"/>
      <c r="AU37" s="278" t="n">
        <f aca="false">SUMPRODUCT(--(WEEKDAY(C$3:AG$3,2)=5),--ISNUMBER(MATCH(C37:AG37,{"DM","CS1","CS2","SB1","AE","CS/B","WEEKEND OUTFIELD RESERVE"},0)))</f>
        <v>1</v>
      </c>
      <c r="AV37" s="278" t="n">
        <f aca="false">SUMPRODUCT(--(WEEKDAY(C$3:AG$3,2)&gt;5),--ISNUMBER(MATCH(C37:AG37,{"DM","CS1","CS2","SB1","AE","CS/B","WEEKEND OUTFIELD RESERVE"},0)))</f>
        <v>2</v>
      </c>
      <c r="AW37" s="272"/>
      <c r="AX37" s="278" t="n">
        <f aca="false">(AS37-AT37)+AU37*1.5+(AV37-AW37)*2+AM37*0.5+AO37*0.5+AQ37-AR37</f>
        <v>5.5</v>
      </c>
      <c r="AY37" s="278" t="n">
        <f aca="false">AS37+AU37+AV37</f>
        <v>3</v>
      </c>
      <c r="AZ37" s="278" t="n">
        <f aca="false">BD37+BF37+BH37+BJ37+BL37</f>
        <v>2</v>
      </c>
      <c r="BA37" s="279" t="n">
        <f aca="false">AX37+BC37</f>
        <v>7</v>
      </c>
      <c r="BB37" s="279" t="n">
        <f aca="false">(BA37-7)</f>
        <v>0</v>
      </c>
      <c r="BC37" s="278" t="n">
        <f aca="false">BE37+BG37+BI37+BK37+BM37</f>
        <v>1.5</v>
      </c>
      <c r="BD37" s="278" t="n">
        <f aca="false">COUNTIF(A37:AH37,"*$BTP*")</f>
        <v>0</v>
      </c>
      <c r="BE37" s="278" t="n">
        <f aca="false">BD37*1.5</f>
        <v>0</v>
      </c>
      <c r="BF37" s="278" t="n">
        <f aca="false">COUNTIF(A37:AH37,"*$M*")</f>
        <v>1</v>
      </c>
      <c r="BG37" s="278" t="n">
        <f aca="false">BF37*1</f>
        <v>1</v>
      </c>
      <c r="BH37" s="278" t="n">
        <f aca="false">COUNTIF(A37:AH37,"*$PM*")</f>
        <v>0</v>
      </c>
      <c r="BI37" s="278" t="n">
        <f aca="false">BH37*0.5</f>
        <v>0</v>
      </c>
      <c r="BJ37" s="278" t="n">
        <f aca="false">COUNTIF(A37:AH37,"*$AM*")</f>
        <v>1</v>
      </c>
      <c r="BK37" s="278" t="n">
        <f aca="false">BJ37*0.5</f>
        <v>0.5</v>
      </c>
      <c r="BL37" s="278" t="n">
        <f aca="false">COUNTIF(A37:AH37,"*$FC*")</f>
        <v>0</v>
      </c>
      <c r="BM37" s="278" t="n">
        <f aca="false">BL37*1</f>
        <v>0</v>
      </c>
      <c r="BN37" s="278" t="n">
        <f aca="false">COUNTIF($D37:$Y37,BN$4)</f>
        <v>0</v>
      </c>
      <c r="BO37" s="278" t="n">
        <f aca="false">COUNTIF($D37:$Y37,BO$4)</f>
        <v>0</v>
      </c>
      <c r="BP37" s="278" t="n">
        <f aca="false">COUNTIF($D37:$Y37,BP$4)</f>
        <v>0</v>
      </c>
      <c r="BQ37" s="272"/>
    </row>
    <row r="38" customFormat="false" ht="19.5" hidden="false" customHeight="true" outlineLevel="0" collapsed="false">
      <c r="A38" s="272"/>
      <c r="B38" s="294"/>
      <c r="C38" s="294"/>
      <c r="D38" s="294"/>
      <c r="E38" s="294"/>
      <c r="F38" s="294"/>
      <c r="G38" s="294"/>
      <c r="H38" s="294"/>
      <c r="I38" s="294"/>
      <c r="J38" s="294"/>
      <c r="K38" s="294"/>
      <c r="L38" s="294"/>
      <c r="M38" s="294"/>
      <c r="N38" s="294"/>
      <c r="O38" s="294"/>
      <c r="P38" s="294"/>
      <c r="Q38" s="294"/>
      <c r="R38" s="294"/>
      <c r="S38" s="294"/>
      <c r="T38" s="294"/>
      <c r="U38" s="294"/>
      <c r="V38" s="294"/>
      <c r="W38" s="294"/>
      <c r="X38" s="294"/>
      <c r="Y38" s="294"/>
      <c r="Z38" s="294"/>
      <c r="AA38" s="294"/>
      <c r="AB38" s="294"/>
      <c r="AC38" s="294"/>
      <c r="AD38" s="294"/>
      <c r="AE38" s="294"/>
      <c r="AF38" s="294"/>
      <c r="AG38" s="266"/>
      <c r="AH38" s="272"/>
      <c r="AI38" s="272"/>
      <c r="AJ38" s="272"/>
      <c r="AK38" s="272"/>
      <c r="AL38" s="272"/>
      <c r="AM38" s="272"/>
      <c r="AN38" s="272"/>
      <c r="AO38" s="272"/>
      <c r="AP38" s="272"/>
      <c r="AQ38" s="279"/>
      <c r="AR38" s="279"/>
      <c r="AS38" s="278"/>
      <c r="AT38" s="272"/>
      <c r="AU38" s="278"/>
      <c r="AV38" s="278" t="n">
        <f aca="false">SUMPRODUCT(--(WEEKDAY(C$3:AF$3,2)&gt;5),--ISNUMBER(MATCH(C38:AF38,{"DM","CS1","CS2","SB1","AE","CS/B"},0)))</f>
        <v>0</v>
      </c>
      <c r="AW38" s="272"/>
      <c r="AX38" s="278"/>
      <c r="AY38" s="278"/>
      <c r="AZ38" s="278"/>
      <c r="BA38" s="279"/>
      <c r="BB38" s="279"/>
      <c r="BC38" s="278"/>
      <c r="BD38" s="278"/>
      <c r="BE38" s="278"/>
      <c r="BF38" s="278"/>
      <c r="BG38" s="278"/>
      <c r="BH38" s="278"/>
      <c r="BI38" s="278"/>
      <c r="BJ38" s="278"/>
      <c r="BK38" s="278"/>
      <c r="BL38" s="278"/>
      <c r="BM38" s="278"/>
      <c r="BN38" s="278"/>
      <c r="BO38" s="278"/>
      <c r="BP38" s="278"/>
      <c r="BQ38" s="272"/>
    </row>
    <row r="39" customFormat="false" ht="19.5" hidden="false" customHeight="true" outlineLevel="0" collapsed="false">
      <c r="A39" s="272"/>
      <c r="B39" s="266" t="s">
        <v>57</v>
      </c>
      <c r="C39" s="292" t="str">
        <f aca="false">INDEX($B$4:$B$37,MATCH($B39,C$4:C$37,0))</f>
        <v>LCP EKLAYVA PINGALI</v>
      </c>
      <c r="D39" s="292" t="str">
        <f aca="false">INDEX($B$4:$B$37,MATCH($B39,D$4:D$37,0))</f>
        <v>CPL FANG JIANGRUI</v>
      </c>
      <c r="E39" s="292" t="str">
        <f aca="false">INDEX($B$4:$B$37,MATCH($B39,E$4:E$37,0))</f>
        <v>CPL GOH DI XUAN</v>
      </c>
      <c r="F39" s="292" t="str">
        <f aca="false">INDEX($B$4:$B$37,MATCH($B39,F$4:F$37,0))</f>
        <v>LCP CHYE JING AN MAXIMUS</v>
      </c>
      <c r="G39" s="292" t="str">
        <f aca="false">INDEX($B$4:$B$37,MATCH($B39,G$4:G$36,0))</f>
        <v>LCP ZHANG ZHONGHAO</v>
      </c>
      <c r="H39" s="292" t="str">
        <f aca="false">INDEX($B$4:$B$37,MATCH($B39,H$4:H$36,0))</f>
        <v>LCP MATTHEW HWANG YEW SENG</v>
      </c>
      <c r="I39" s="292" t="str">
        <f aca="false">INDEX($B$4:$B$37,MATCH($B39,I$4:I$37,0))</f>
        <v>LCP CHYE JING AN MAXIMUS</v>
      </c>
      <c r="J39" s="292" t="str">
        <f aca="false">INDEX($B$4:$B$37,MATCH($B39,J$4:J$36,0))</f>
        <v>LCP EKLAYVA PINGALI</v>
      </c>
      <c r="K39" s="292" t="str">
        <f aca="false">INDEX($B$4:$B$37,MATCH($B39,K$4:K$37,0))</f>
        <v>CPL GERALD TAN </v>
      </c>
      <c r="L39" s="292" t="str">
        <f aca="false">INDEX($B$4:$B$37,MATCH($B39,L$4:L$37,0))</f>
        <v>CPL GOH DI XUAN</v>
      </c>
      <c r="M39" s="292" t="str">
        <f aca="false">INDEX($B$4:$B$37,MATCH($B39,M$4:M$37,0))</f>
        <v>LCP APPLE YEO</v>
      </c>
      <c r="N39" s="292" t="str">
        <f aca="false">INDEX($B$4:$B$37,MATCH($B39,N$4:N$37,0))</f>
        <v>LCP CHYE JING AN MAXIMUS</v>
      </c>
      <c r="O39" s="292" t="str">
        <f aca="false">INDEX($B$4:$B$37,MATCH($B39,O$4:O$37,0))</f>
        <v>LCP QUEK ZI YI</v>
      </c>
      <c r="P39" s="292" t="str">
        <f aca="false">INDEX($B$4:$B$37,MATCH($B39,P$4:P$37,0))</f>
        <v>LCP TAN JUN YANG KELVIN</v>
      </c>
      <c r="Q39" s="292" t="str">
        <f aca="false">INDEX($B$4:$B$37,MATCH($B39,Q$4:Q$37,0))</f>
        <v>CFC DERRICK CHIN</v>
      </c>
      <c r="R39" s="292" t="str">
        <f aca="false">INDEX($B$4:$B$37,MATCH($B39,R$4:R$37,0))</f>
        <v>LCP APPLE YEO</v>
      </c>
      <c r="S39" s="292" t="str">
        <f aca="false">INDEX($B$4:$B$37,MATCH($B39,S$4:S$37,0))</f>
        <v>LCP QUEK ZI YI</v>
      </c>
      <c r="T39" s="292" t="str">
        <f aca="false">INDEX($B$4:$B$37,MATCH($B39,T$4:T$37,0))</f>
        <v>LCP WONG JI FENG WILLARD</v>
      </c>
      <c r="U39" s="292" t="str">
        <f aca="false">INDEX($B$4:$B$37,MATCH($B39,U$4:U$36,0))</f>
        <v>CPL HO SHENGHUI HAYDEN</v>
      </c>
      <c r="V39" s="292" t="str">
        <f aca="false">INDEX($B$4:$B$37,MATCH($B39,V$4:V$37,0))</f>
        <v>LCP WONG JI FENG WILLARD</v>
      </c>
      <c r="W39" s="292" t="str">
        <f aca="false">INDEX($B$4:$B$37,MATCH($B39,W$4:W$36,0))</f>
        <v>CFC DERRICK CHIN</v>
      </c>
      <c r="X39" s="292" t="str">
        <f aca="false">INDEX($B$4:$B$37,MATCH($B39,X$4:X$37,0))</f>
        <v>CPL FANG JIANGRUI</v>
      </c>
      <c r="Y39" s="292" t="str">
        <f aca="false">INDEX($B$4:$B$37,MATCH($B39,Y$4:Y$37,0))</f>
        <v>LCP WONG JI FENG WILLARD</v>
      </c>
      <c r="Z39" s="292" t="str">
        <f aca="false">INDEX($B$4:$B$37,MATCH($B39,Z$4:Z$36,0))</f>
        <v>CPL FANG JIANGRUI</v>
      </c>
      <c r="AA39" s="292" t="str">
        <f aca="false">INDEX($B$4:$B$37,MATCH($B39,AA$4:AA$35,0))</f>
        <v>LCP CHYE JING AN MAXIMUS</v>
      </c>
      <c r="AB39" s="292" t="str">
        <f aca="false">INDEX($B$4:$B$37,MATCH($B39,AB$4:AB$37,0))</f>
        <v>3SG SAMUEL TAN ENG WEE</v>
      </c>
      <c r="AC39" s="292" t="str">
        <f aca="false">INDEX($B$4:$B$37,MATCH($B39,AC$4:AC$37,0))</f>
        <v>CPL GOH DI XUAN</v>
      </c>
      <c r="AD39" s="292" t="str">
        <f aca="false">INDEX($B$4:$B$37,MATCH($B39,AD$4:AD$37,0))</f>
        <v>LCP MATTHEW HWANG YEW SENG</v>
      </c>
      <c r="AE39" s="292" t="str">
        <f aca="false">INDEX($B$4:$B$37,MATCH($B39,AE$4:AE$37,0))</f>
        <v>LCP KOO YI XIAN RAPHAEL </v>
      </c>
      <c r="AF39" s="292" t="str">
        <f aca="false">INDEX($B$4:$B$37,MATCH($B39,AF$4:AF$36,0))</f>
        <v>CPL HO SHENGHUI HAYDEN</v>
      </c>
      <c r="AG39" s="292" t="e">
        <f aca="false">INDEX($B$4:$B$37,MATCH($B39,AG$4:AG$37,0))</f>
        <v>#N/A</v>
      </c>
      <c r="AH39" s="272"/>
      <c r="AI39" s="272"/>
      <c r="AJ39" s="272"/>
      <c r="AK39" s="272"/>
      <c r="AL39" s="272"/>
      <c r="AM39" s="272"/>
      <c r="AN39" s="272"/>
      <c r="AO39" s="272"/>
      <c r="AP39" s="272"/>
      <c r="AQ39" s="279"/>
      <c r="AR39" s="279"/>
      <c r="AS39" s="278"/>
      <c r="AT39" s="272"/>
      <c r="AU39" s="278"/>
      <c r="AV39" s="278" t="n">
        <f aca="false">SUMPRODUCT(--(WEEKDAY(C$3:AF$3,2)&gt;5),--ISNUMBER(MATCH(C39:AF39,{"DM","CS1","CS2","SB1","AE","CS/B"},0)))</f>
        <v>0</v>
      </c>
      <c r="AW39" s="272"/>
      <c r="AX39" s="278"/>
      <c r="AY39" s="278"/>
      <c r="AZ39" s="278"/>
      <c r="BA39" s="279"/>
      <c r="BB39" s="279"/>
      <c r="BC39" s="278"/>
      <c r="BD39" s="278"/>
      <c r="BE39" s="278"/>
      <c r="BF39" s="278"/>
      <c r="BG39" s="278"/>
      <c r="BH39" s="278"/>
      <c r="BI39" s="278"/>
      <c r="BJ39" s="278"/>
      <c r="BK39" s="278"/>
      <c r="BL39" s="278"/>
      <c r="BM39" s="278"/>
      <c r="BN39" s="278"/>
      <c r="BO39" s="278"/>
      <c r="BP39" s="278"/>
      <c r="BQ39" s="272"/>
    </row>
    <row r="40" customFormat="false" ht="19.5" hidden="false" customHeight="true" outlineLevel="0" collapsed="false">
      <c r="A40" s="272"/>
      <c r="B40" s="266" t="s">
        <v>56</v>
      </c>
      <c r="C40" s="292" t="str">
        <f aca="false">INDEX($B$4:$B$37,MATCH($B40,C$4:C$37,0))</f>
        <v>LCP MUHAMMAD YASIR BIN MUHAMMAD HIJAZ</v>
      </c>
      <c r="D40" s="292" t="str">
        <f aca="false">INDEX($B$4:$B$37,MATCH($B40,D$4:D$37,0))</f>
        <v>LCP CHYE JING AN MAXIMUS</v>
      </c>
      <c r="E40" s="292" t="str">
        <f aca="false">INDEX($B$4:$B$37,MATCH($B40,E$4:E$37,0))</f>
        <v>LCP MATTHEW HWANG YEW SENG</v>
      </c>
      <c r="F40" s="292" t="str">
        <f aca="false">INDEX($B$4:$B$37,MATCH($B40,F$4:F$37,0))</f>
        <v>LCP RAIYAN ZUFAYRI BIN MOHAMAD HELMY</v>
      </c>
      <c r="G40" s="292" t="str">
        <f aca="false">INDEX($B$4:$B$37,MATCH($B40,G$4:G$36,0))</f>
        <v>LCP TRAN MINH KHOA</v>
      </c>
      <c r="H40" s="292" t="str">
        <f aca="false">INDEX($B$4:$B$37,MATCH($B40,H$4:H$36,0))</f>
        <v>LCP RON NG </v>
      </c>
      <c r="I40" s="292" t="str">
        <f aca="false">INDEX($B$4:$B$37,MATCH($B40,I$4:I$37,0))</f>
        <v>LCP TAN JUN YANG KELVIN</v>
      </c>
      <c r="J40" s="292" t="str">
        <f aca="false">INDEX($B$4:$B$37,MATCH($B40,J$4:J$36,0))</f>
        <v>LCP RAIYAN ZUFAYRI BIN MOHAMAD HELMY</v>
      </c>
      <c r="K40" s="292" t="str">
        <f aca="false">INDEX($B$4:$B$37,MATCH($B40,K$4:K$37,0))</f>
        <v>LCP CHYE JING AN MAXIMUS</v>
      </c>
      <c r="L40" s="292" t="str">
        <f aca="false">INDEX($B$4:$B$37,MATCH($B40,L$4:L$37,0))</f>
        <v>LCP TAN JUN YANG KELVIN</v>
      </c>
      <c r="M40" s="292" t="str">
        <f aca="false">INDEX($B$4:$B$37,MATCH($B40,M$4:M$37,0))</f>
        <v>LCP MATTHEW HWANG YEW SENG</v>
      </c>
      <c r="N40" s="292" t="str">
        <f aca="false">INDEX($B$4:$B$37,MATCH($B40,N$4:N$37,0))</f>
        <v>LCP KOO YI XIAN RAPHAEL </v>
      </c>
      <c r="O40" s="292" t="str">
        <f aca="false">INDEX($B$4:$B$37,MATCH($B40,O$4:O$37,0))</f>
        <v>CPL FANG JIANGRUI</v>
      </c>
      <c r="P40" s="292" t="str">
        <f aca="false">INDEX($B$4:$B$37,MATCH($B40,P$4:P$37,0))</f>
        <v>CPL GERALD TAN </v>
      </c>
      <c r="Q40" s="292" t="str">
        <f aca="false">INDEX($B$4:$B$37,MATCH($B40,Q$4:Q$37,0))</f>
        <v>LCP RAIYAN ZUFAYRI BIN MOHAMAD HELMY</v>
      </c>
      <c r="R40" s="292" t="str">
        <f aca="false">INDEX($B$4:$B$37,MATCH($B40,R$4:R$37,0))</f>
        <v>3SG SAMUEL TAN ENG WEE</v>
      </c>
      <c r="S40" s="292" t="str">
        <f aca="false">INDEX($B$4:$B$37,MATCH($B40,S$4:S$37,0))</f>
        <v>LCP SHLOK PUROHIT</v>
      </c>
      <c r="T40" s="292" t="str">
        <f aca="false">INDEX($B$4:$B$37,MATCH($B40,T$4:T$37,0))</f>
        <v>LCP ZHANG ZHONGHAO</v>
      </c>
      <c r="U40" s="292" t="str">
        <f aca="false">INDEX($B$4:$B$37,MATCH($B40,U$4:U$36,0))</f>
        <v>LCP STEPHEN TAY </v>
      </c>
      <c r="V40" s="292" t="str">
        <f aca="false">INDEX($B$4:$B$37,MATCH($B40,V$4:V$37,0))</f>
        <v>LCP ZHANG ZHONGHAO</v>
      </c>
      <c r="W40" s="292" t="str">
        <f aca="false">INDEX($B$4:$B$37,MATCH($B40,W$4:W$36,0))</f>
        <v>LCP KOO YI XIAN RAPHAEL </v>
      </c>
      <c r="X40" s="292" t="str">
        <f aca="false">INDEX($B$4:$B$37,MATCH($B40,X$4:X$37,0))</f>
        <v>LCP MATTHEW HWANG YEW SENG</v>
      </c>
      <c r="Y40" s="292" t="str">
        <f aca="false">INDEX($B$4:$B$37,MATCH($B40,Y$4:Y$37,0))</f>
        <v>LCP TAN JUN YANG KELVIN</v>
      </c>
      <c r="Z40" s="292" t="str">
        <f aca="false">INDEX($B$4:$B$37,MATCH($B40,Z$4:Z$36,0))</f>
        <v>CPL HO SHENGHUI HAYDEN</v>
      </c>
      <c r="AA40" s="292" t="str">
        <f aca="false">INDEX($B$4:$B$37,MATCH($B40,AA$4:AA$35,0))</f>
        <v>LCP MATTHEW HWANG YEW SENG</v>
      </c>
      <c r="AB40" s="292" t="str">
        <f aca="false">INDEX($B$4:$B$37,MATCH($B40,AB$4:AB$37,0))</f>
        <v>CPL HO SHENGHUI HAYDEN</v>
      </c>
      <c r="AC40" s="292" t="str">
        <f aca="false">INDEX($B$4:$B$37,MATCH($B40,AC$4:AC$37,0))</f>
        <v>LCP CHYE JING AN MAXIMUS</v>
      </c>
      <c r="AD40" s="292" t="str">
        <f aca="false">INDEX($B$4:$B$37,MATCH($B40,AD$4:AD$37,0))</f>
        <v>LCP ZHANG ZHONGHAO</v>
      </c>
      <c r="AE40" s="292" t="str">
        <f aca="false">INDEX($B$4:$B$37,MATCH($B40,AE$4:AE$37,0))</f>
        <v>CFC DERRICK CHIN</v>
      </c>
      <c r="AF40" s="292" t="str">
        <f aca="false">INDEX($B$4:$B$37,MATCH($B40,AF$4:AF$36,0))</f>
        <v>CPL FANG JIANGRUI</v>
      </c>
      <c r="AG40" s="292" t="e">
        <f aca="false">INDEX($B$4:$B$37,MATCH($B40,AG$4:AG$37,0))</f>
        <v>#N/A</v>
      </c>
      <c r="AH40" s="272"/>
      <c r="AI40" s="272"/>
      <c r="AJ40" s="272"/>
      <c r="AK40" s="272"/>
      <c r="AL40" s="272"/>
      <c r="AM40" s="272"/>
      <c r="AN40" s="272"/>
      <c r="AO40" s="272"/>
      <c r="AP40" s="272"/>
      <c r="AQ40" s="279"/>
      <c r="AR40" s="279"/>
      <c r="AS40" s="278"/>
      <c r="AT40" s="272"/>
      <c r="AU40" s="278"/>
      <c r="AV40" s="278" t="n">
        <f aca="false">SUMPRODUCT(--(WEEKDAY(C$3:AF$3,2)&gt;5),--ISNUMBER(MATCH(C40:AF40,{"DM","CS1","CS2","SB1","AE","CS/B"},0)))</f>
        <v>0</v>
      </c>
      <c r="AW40" s="272"/>
      <c r="AX40" s="278"/>
      <c r="AY40" s="278"/>
      <c r="AZ40" s="278"/>
      <c r="BA40" s="279"/>
      <c r="BB40" s="279"/>
      <c r="BC40" s="278"/>
      <c r="BD40" s="278"/>
      <c r="BE40" s="278"/>
      <c r="BF40" s="278"/>
      <c r="BG40" s="278"/>
      <c r="BH40" s="278"/>
      <c r="BI40" s="278"/>
      <c r="BJ40" s="278"/>
      <c r="BK40" s="278"/>
      <c r="BL40" s="278"/>
      <c r="BM40" s="278"/>
      <c r="BN40" s="278"/>
      <c r="BO40" s="278"/>
      <c r="BP40" s="278"/>
      <c r="BQ40" s="272"/>
    </row>
    <row r="41" customFormat="false" ht="19.5" hidden="false" customHeight="true" outlineLevel="0" collapsed="false">
      <c r="A41" s="272"/>
      <c r="B41" s="266" t="s">
        <v>59</v>
      </c>
      <c r="C41" s="292" t="str">
        <f aca="false">INDEX($B$4:$B$37,MATCH($B41,C$4:C$37,0))</f>
        <v>LCP TRAN MINH KHOA</v>
      </c>
      <c r="D41" s="292" t="str">
        <f aca="false">INDEX($B$4:$B$37,MATCH($B41,D$4:D$37,0))</f>
        <v>LCP RON NG </v>
      </c>
      <c r="E41" s="292" t="str">
        <f aca="false">INDEX($B$4:$B$37,MATCH($B41,E$4:E$37,0))</f>
        <v>LCP APPLE YEO</v>
      </c>
      <c r="F41" s="292" t="e">
        <f aca="false">INDEX($B$4:$B$37,MATCH($B41,F$4:F$37,0))</f>
        <v>#N/A</v>
      </c>
      <c r="G41" s="292" t="str">
        <f aca="false">INDEX($B$4:$B$37,MATCH($B41,G$4:G$36,0))</f>
        <v>LCP SHLOK PUROHIT</v>
      </c>
      <c r="H41" s="292" t="str">
        <f aca="false">INDEX($B$4:$B$37,MATCH($B41,H$4:H$36,0))</f>
        <v>LCP APPLE YEO</v>
      </c>
      <c r="I41" s="292" t="str">
        <f aca="false">INDEX($B$4:$B$37,MATCH($B41,I$4:I$37,0))</f>
        <v>LCP HYDER ISKANDAR BIN ZULKILFILY</v>
      </c>
      <c r="J41" s="292" t="str">
        <f aca="false">INDEX($B$4:$B$37,MATCH($B41,J$4:J$36,0))</f>
        <v>LCP MUHAMMAD YASIR BIN MUHAMMAD HIJAZ</v>
      </c>
      <c r="K41" s="292" t="str">
        <f aca="false">INDEX($B$4:$B$37,MATCH($B41,K$4:K$37,0))</f>
        <v>LCP EDWARD GAN BOON WEI </v>
      </c>
      <c r="L41" s="292" t="str">
        <f aca="false">INDEX($B$4:$B$37,MATCH($B41,L$4:L$37,0))</f>
        <v>LCP EKLAYVA PINGALI</v>
      </c>
      <c r="M41" s="292" t="str">
        <f aca="false">INDEX($B$4:$B$37,MATCH($B41,M$4:M$37,0))</f>
        <v>CPL HO SHENGHUI HAYDEN</v>
      </c>
      <c r="N41" s="292" t="str">
        <f aca="false">INDEX($B$4:$B$37,MATCH($B41,N$4:N$37,0))</f>
        <v>LCP RAIYAN ZUFAYRI BIN MOHAMAD HELMY</v>
      </c>
      <c r="O41" s="292" t="str">
        <f aca="false">INDEX($B$4:$B$37,MATCH($B41,O$4:O$37,0))</f>
        <v>LCP MUHAMMAD YASIR BIN MUHAMMAD HIJAZ</v>
      </c>
      <c r="P41" s="292" t="str">
        <f aca="false">INDEX($B$4:$B$37,MATCH($B41,P$4:P$37,0))</f>
        <v>CPL HO SHENGHUI HAYDEN</v>
      </c>
      <c r="Q41" s="292" t="str">
        <f aca="false">INDEX($B$4:$B$37,MATCH($B41,Q$4:Q$37,0))</f>
        <v>LCP HYDER ISKANDAR BIN ZULKILFILY</v>
      </c>
      <c r="R41" s="292" t="str">
        <f aca="false">INDEX($B$4:$B$37,MATCH($B41,R$4:R$37,0))</f>
        <v>LCP MATTHEW HWANG YEW SENG</v>
      </c>
      <c r="S41" s="292" t="str">
        <f aca="false">INDEX($B$4:$B$37,MATCH($B41,S$4:S$37,0))</f>
        <v>LCP KOO YI XIAN RAPHAEL </v>
      </c>
      <c r="T41" s="292" t="str">
        <f aca="false">INDEX($B$4:$B$37,MATCH($B41,T$4:T$37,0))</f>
        <v>3SG SAMUEL TAN ENG WEE</v>
      </c>
      <c r="U41" s="292" t="str">
        <f aca="false">INDEX($B$4:$B$37,MATCH($B41,U$4:U$36,0))</f>
        <v>CFC DERRICK CHIN</v>
      </c>
      <c r="V41" s="292" t="str">
        <f aca="false">INDEX($B$4:$B$37,MATCH($B41,V$4:V$37,0))</f>
        <v>LCP IGNATIUS QUEK </v>
      </c>
      <c r="W41" s="292" t="str">
        <f aca="false">INDEX($B$4:$B$37,MATCH($B41,W$4:W$36,0))</f>
        <v>LCP RON NG </v>
      </c>
      <c r="X41" s="292" t="str">
        <f aca="false">INDEX($B$4:$B$37,MATCH($B41,X$4:X$37,0))</f>
        <v>LCP ZHANG ZHONGHAO</v>
      </c>
      <c r="Y41" s="292" t="str">
        <f aca="false">INDEX($B$4:$B$37,MATCH($B41,Y$4:Y$37,0))</f>
        <v>LCP HYDER ISKANDAR BIN ZULKILFILY</v>
      </c>
      <c r="Z41" s="292" t="str">
        <f aca="false">INDEX($B$4:$B$37,MATCH($B41,Z$4:Z$36,0))</f>
        <v>LCP ZHANG ZHONGHAO</v>
      </c>
      <c r="AA41" s="292" t="str">
        <f aca="false">INDEX($B$4:$B$37,MATCH($B41,AA$4:AA$35,0))</f>
        <v>LCP STEPHEN TAY </v>
      </c>
      <c r="AB41" s="292" t="str">
        <f aca="false">INDEX($B$4:$B$37,MATCH($B41,AB$4:AB$37,0))</f>
        <v>LCP EDWARD GAN BOON WEI </v>
      </c>
      <c r="AC41" s="292" t="str">
        <f aca="false">INDEX($B$4:$B$37,MATCH($B41,AC$4:AC$37,0))</f>
        <v>LCP MUHAMMAD YASIR BIN MUHAMMAD HIJAZ</v>
      </c>
      <c r="AD41" s="292" t="str">
        <f aca="false">INDEX($B$4:$B$37,MATCH($B41,AD$4:AD$37,0))</f>
        <v>PTE CHOA ZONGHAN ETIENNE</v>
      </c>
      <c r="AE41" s="292" t="str">
        <f aca="false">INDEX($B$4:$B$37,MATCH($B41,AE$4:AE$37,0))</f>
        <v>LCP RON NG </v>
      </c>
      <c r="AF41" s="292" t="str">
        <f aca="false">INDEX($B$4:$B$37,MATCH($B41,AF$4:AF$36,0))</f>
        <v>PTE CHOA ZONGHAN ETIENNE</v>
      </c>
      <c r="AG41" s="292" t="e">
        <f aca="false">INDEX($B$4:$B$37,MATCH($B41,AG$4:AG$37,0))</f>
        <v>#N/A</v>
      </c>
      <c r="AH41" s="272"/>
      <c r="AI41" s="272"/>
      <c r="AJ41" s="272"/>
      <c r="AK41" s="272"/>
      <c r="AL41" s="272"/>
      <c r="AM41" s="272"/>
      <c r="AN41" s="272"/>
      <c r="AO41" s="272"/>
      <c r="AP41" s="272"/>
      <c r="AQ41" s="279"/>
      <c r="AR41" s="279"/>
      <c r="AS41" s="278"/>
      <c r="AT41" s="272"/>
      <c r="AU41" s="278"/>
      <c r="AV41" s="278" t="n">
        <f aca="false">SUMPRODUCT(--(WEEKDAY(C$3:AF$3,2)&gt;5),--ISNUMBER(MATCH(C41:AF41,{"DM","CS1","CS2","SB1","AE","CS/B"},0)))</f>
        <v>0</v>
      </c>
      <c r="AW41" s="272"/>
      <c r="AX41" s="278"/>
      <c r="AY41" s="278"/>
      <c r="AZ41" s="278"/>
      <c r="BA41" s="279"/>
      <c r="BB41" s="279"/>
      <c r="BC41" s="278"/>
      <c r="BD41" s="278"/>
      <c r="BE41" s="278"/>
      <c r="BF41" s="278"/>
      <c r="BG41" s="278"/>
      <c r="BH41" s="278"/>
      <c r="BI41" s="278"/>
      <c r="BJ41" s="278"/>
      <c r="BK41" s="278"/>
      <c r="BL41" s="278"/>
      <c r="BM41" s="278"/>
      <c r="BN41" s="278"/>
      <c r="BO41" s="278"/>
      <c r="BP41" s="278"/>
      <c r="BQ41" s="272"/>
    </row>
    <row r="42" customFormat="false" ht="19.5" hidden="false" customHeight="true" outlineLevel="0" collapsed="false">
      <c r="A42" s="272"/>
      <c r="B42" s="266" t="s">
        <v>566</v>
      </c>
      <c r="C42" s="292" t="e">
        <f aca="false">INDEX($B$4:$B$37,MATCH($B42,C$4:C$37,0))</f>
        <v>#N/A</v>
      </c>
      <c r="D42" s="292" t="e">
        <f aca="false">INDEX($B$4:$B$37,MATCH($B42,D$4:D$37,0))</f>
        <v>#N/A</v>
      </c>
      <c r="E42" s="292" t="e">
        <f aca="false">INDEX($B$4:$B$37,MATCH($B42,E$4:E$37,0))</f>
        <v>#N/A</v>
      </c>
      <c r="F42" s="292" t="str">
        <f aca="false">INDEX($B$4:$B$37,MATCH($B42,F$4:F$37,0))</f>
        <v>LCP MUHAMMAD YASIR BIN MUHAMMAD HIJAZ</v>
      </c>
      <c r="G42" s="292" t="e">
        <f aca="false">INDEX($B$4:$B$37,MATCH($B42,G$4:G$36,0))</f>
        <v>#N/A</v>
      </c>
      <c r="H42" s="292" t="e">
        <f aca="false">INDEX($B$4:$B$37,MATCH($B42,H$4:H$36,0))</f>
        <v>#N/A</v>
      </c>
      <c r="I42" s="292" t="e">
        <f aca="false">INDEX($B$4:$B$37,MATCH($B42,I$4:I$37,0))</f>
        <v>#N/A</v>
      </c>
      <c r="J42" s="292" t="e">
        <f aca="false">INDEX($B$4:$B$37,MATCH($B42,J$4:J$36,0))</f>
        <v>#N/A</v>
      </c>
      <c r="K42" s="292" t="e">
        <f aca="false">INDEX($B$4:$B$37,MATCH($B42,K$4:K$37,0))</f>
        <v>#N/A</v>
      </c>
      <c r="L42" s="292" t="e">
        <f aca="false">INDEX($B$4:$B$37,MATCH($B42,L$4:L$37,0))</f>
        <v>#N/A</v>
      </c>
      <c r="M42" s="292" t="e">
        <f aca="false">INDEX($B$4:$B$37,MATCH($B42,M$4:M$37,0))</f>
        <v>#N/A</v>
      </c>
      <c r="N42" s="292" t="e">
        <f aca="false">INDEX($B$4:$B$37,MATCH($B42,N$4:N$37,0))</f>
        <v>#N/A</v>
      </c>
      <c r="O42" s="292" t="e">
        <f aca="false">INDEX($B$4:$B$37,MATCH($B42,O$4:O$37,0))</f>
        <v>#N/A</v>
      </c>
      <c r="P42" s="292" t="e">
        <f aca="false">INDEX($B$4:$B$37,MATCH($B42,P$4:P$37,0))</f>
        <v>#N/A</v>
      </c>
      <c r="Q42" s="292" t="e">
        <f aca="false">INDEX($B$4:$B$37,MATCH($B42,Q$4:Q$37,0))</f>
        <v>#N/A</v>
      </c>
      <c r="R42" s="292" t="e">
        <f aca="false">INDEX($B$4:$B$37,MATCH($B42,R$4:R$37,0))</f>
        <v>#N/A</v>
      </c>
      <c r="S42" s="292" t="e">
        <f aca="false">INDEX($B$4:$B$37,MATCH($B42,S$4:S$37,0))</f>
        <v>#N/A</v>
      </c>
      <c r="T42" s="292" t="e">
        <f aca="false">INDEX($B$4:$B$37,MATCH($B42,T$4:T$37,0))</f>
        <v>#N/A</v>
      </c>
      <c r="U42" s="292" t="e">
        <f aca="false">INDEX($B$4:$B$37,MATCH($B42,U$4:U$36,0))</f>
        <v>#N/A</v>
      </c>
      <c r="V42" s="292" t="e">
        <f aca="false">INDEX($B$4:$B$37,MATCH($B42,V$4:V$37,0))</f>
        <v>#N/A</v>
      </c>
      <c r="W42" s="292" t="e">
        <f aca="false">INDEX($B$4:$B$37,MATCH($B42,W$4:W$36,0))</f>
        <v>#N/A</v>
      </c>
      <c r="X42" s="292" t="e">
        <f aca="false">INDEX($B$4:$B$37,MATCH($B42,X$4:X$37,0))</f>
        <v>#N/A</v>
      </c>
      <c r="Y42" s="292" t="e">
        <f aca="false">INDEX($B$4:$B$37,MATCH($B42,Y$4:Y$37,0))</f>
        <v>#N/A</v>
      </c>
      <c r="Z42" s="292" t="e">
        <f aca="false">INDEX($B$4:$B$37,MATCH($B42,Z$4:Z$36,0))</f>
        <v>#N/A</v>
      </c>
      <c r="AA42" s="292" t="e">
        <f aca="false">INDEX($B$4:$B$37,MATCH($B42,AA$4:AA$35,0))</f>
        <v>#N/A</v>
      </c>
      <c r="AB42" s="292" t="e">
        <f aca="false">INDEX($B$4:$B$37,MATCH($B42,AB$4:AB$37,0))</f>
        <v>#N/A</v>
      </c>
      <c r="AC42" s="292" t="e">
        <f aca="false">INDEX($B$4:$B$37,MATCH($B42,AC$4:AC$37,0))</f>
        <v>#N/A</v>
      </c>
      <c r="AD42" s="292" t="e">
        <f aca="false">INDEX($B$4:$B$37,MATCH($B42,AD$4:AD$37,0))</f>
        <v>#N/A</v>
      </c>
      <c r="AE42" s="292" t="e">
        <f aca="false">INDEX($B$4:$B$37,MATCH($B42,AE$4:AE$37,0))</f>
        <v>#N/A</v>
      </c>
      <c r="AF42" s="292" t="e">
        <f aca="false">INDEX($B$4:$B$37,MATCH($B42,AF$4:AF$36,0))</f>
        <v>#N/A</v>
      </c>
      <c r="AG42" s="292" t="e">
        <f aca="false">INDEX($B$4:$B$37,MATCH($B42,AG$4:AG$37,0))</f>
        <v>#N/A</v>
      </c>
      <c r="AH42" s="272"/>
      <c r="AI42" s="272"/>
      <c r="AJ42" s="272"/>
      <c r="AK42" s="272"/>
      <c r="AL42" s="272"/>
      <c r="AM42" s="272"/>
      <c r="AN42" s="272"/>
      <c r="AO42" s="272"/>
      <c r="AP42" s="272"/>
      <c r="AQ42" s="279"/>
      <c r="AR42" s="279"/>
      <c r="AS42" s="278"/>
      <c r="AT42" s="272"/>
      <c r="AU42" s="278"/>
      <c r="AV42" s="278" t="n">
        <f aca="false">SUMPRODUCT(--(WEEKDAY(C$3:AF$3,2)&gt;5),--ISNUMBER(MATCH(C42:AF42,{"DM","CS1","CS2","SB1","AE","CS/B"},0)))</f>
        <v>0</v>
      </c>
      <c r="AW42" s="272"/>
      <c r="AX42" s="278"/>
      <c r="AY42" s="278"/>
      <c r="AZ42" s="278"/>
      <c r="BA42" s="279"/>
      <c r="BB42" s="279"/>
      <c r="BC42" s="278"/>
      <c r="BD42" s="278"/>
      <c r="BE42" s="278"/>
      <c r="BF42" s="278"/>
      <c r="BG42" s="278"/>
      <c r="BH42" s="278"/>
      <c r="BI42" s="278"/>
      <c r="BJ42" s="278"/>
      <c r="BK42" s="278"/>
      <c r="BL42" s="278"/>
      <c r="BM42" s="278"/>
      <c r="BN42" s="278"/>
      <c r="BO42" s="278"/>
      <c r="BP42" s="278"/>
      <c r="BQ42" s="272"/>
    </row>
    <row r="43" customFormat="false" ht="19.5" hidden="false" customHeight="true" outlineLevel="0" collapsed="false">
      <c r="A43" s="272"/>
      <c r="B43" s="266" t="s">
        <v>58</v>
      </c>
      <c r="C43" s="292" t="str">
        <f aca="false">INDEX($B$4:$B$37,MATCH($B43,C$4:C$37,0))</f>
        <v>PTE CHOA ZONGHAN ETIENNE</v>
      </c>
      <c r="D43" s="292" t="str">
        <f aca="false">INDEX($B$4:$B$37,MATCH($B43,D$4:D$37,0))</f>
        <v>LCP WONG JI FENG WILLARD</v>
      </c>
      <c r="E43" s="292" t="str">
        <f aca="false">INDEX($B$4:$B$37,MATCH($B43,E$4:E$37,0))</f>
        <v>LCP TRAN MINH KHOA</v>
      </c>
      <c r="F43" s="292" t="e">
        <f aca="false">INDEX($B$4:$B$37,MATCH($B43,F$4:F$37,0))</f>
        <v>#N/A</v>
      </c>
      <c r="G43" s="292" t="str">
        <f aca="false">INDEX($B$4:$B$37,MATCH($B43,G$4:G$36,0))</f>
        <v>LCP HYDER ISKANDAR BIN ZULKILFILY</v>
      </c>
      <c r="H43" s="292" t="str">
        <f aca="false">INDEX($B$4:$B$37,MATCH($B43,H$4:H$36,0))</f>
        <v>LCP EDWARD GAN BOON WEI </v>
      </c>
      <c r="I43" s="292" t="e">
        <f aca="false">INDEX($B$4:$B$37,MATCH($B43,I$4:I$37,0))</f>
        <v>#N/A</v>
      </c>
      <c r="J43" s="292" t="e">
        <f aca="false">INDEX($B$4:$B$37,MATCH($B43,J$4:J$36,0))</f>
        <v>#N/A</v>
      </c>
      <c r="K43" s="292" t="e">
        <f aca="false">INDEX($B$4:$B$37,MATCH($B43,K$4:K$37,0))</f>
        <v>#N/A</v>
      </c>
      <c r="L43" s="292" t="e">
        <f aca="false">INDEX($B$4:$B$37,MATCH($B43,L$4:L$37,0))</f>
        <v>#N/A</v>
      </c>
      <c r="M43" s="292" t="e">
        <f aca="false">INDEX($B$4:$B$37,MATCH($B43,M$4:M$37,0))</f>
        <v>#N/A</v>
      </c>
      <c r="N43" s="292" t="e">
        <f aca="false">INDEX($B$4:$B$37,MATCH($B43,N$4:N$37,0))</f>
        <v>#N/A</v>
      </c>
      <c r="O43" s="292" t="e">
        <f aca="false">INDEX($B$4:$B$37,MATCH($B43,O$4:O$37,0))</f>
        <v>#N/A</v>
      </c>
      <c r="P43" s="292" t="e">
        <f aca="false">INDEX($B$4:$B$37,MATCH($B43,P$4:P$37,0))</f>
        <v>#N/A</v>
      </c>
      <c r="Q43" s="292" t="e">
        <f aca="false">INDEX($B$4:$B$37,MATCH($B43,Q$4:Q$37,0))</f>
        <v>#N/A</v>
      </c>
      <c r="R43" s="292" t="e">
        <f aca="false">INDEX($B$4:$B$37,MATCH($B43,R$4:R$37,0))</f>
        <v>#N/A</v>
      </c>
      <c r="S43" s="292" t="e">
        <f aca="false">INDEX($B$4:$B$37,MATCH($B43,S$4:S$37,0))</f>
        <v>#N/A</v>
      </c>
      <c r="T43" s="292" t="e">
        <f aca="false">INDEX($B$4:$B$37,MATCH($B43,T$4:T$37,0))</f>
        <v>#N/A</v>
      </c>
      <c r="U43" s="292" t="e">
        <f aca="false">INDEX($B$4:$B$37,MATCH($B43,U$4:U$36,0))</f>
        <v>#N/A</v>
      </c>
      <c r="V43" s="292" t="e">
        <f aca="false">INDEX($B$4:$B$37,MATCH($B43,V$4:V$37,0))</f>
        <v>#N/A</v>
      </c>
      <c r="W43" s="292" t="e">
        <f aca="false">INDEX($B$4:$B$37,MATCH($B43,W$4:W$36,0))</f>
        <v>#N/A</v>
      </c>
      <c r="X43" s="292" t="e">
        <f aca="false">INDEX($B$4:$B$37,MATCH($B43,X$4:X$37,0))</f>
        <v>#N/A</v>
      </c>
      <c r="Y43" s="292" t="e">
        <f aca="false">INDEX($B$4:$B$37,MATCH($B43,Y$4:Y$37,0))</f>
        <v>#N/A</v>
      </c>
      <c r="Z43" s="292" t="e">
        <f aca="false">INDEX($B$4:$B$37,MATCH($B43,Z$4:Z$36,0))</f>
        <v>#N/A</v>
      </c>
      <c r="AA43" s="292" t="e">
        <f aca="false">INDEX($B$4:$B$37,MATCH($B43,AA$4:AA$35,0))</f>
        <v>#N/A</v>
      </c>
      <c r="AB43" s="292" t="e">
        <f aca="false">INDEX($B$4:$B$37,MATCH($B43,AB$4:AB$37,0))</f>
        <v>#N/A</v>
      </c>
      <c r="AC43" s="292" t="e">
        <f aca="false">INDEX($B$4:$B$37,MATCH($B43,AC$4:AC$37,0))</f>
        <v>#N/A</v>
      </c>
      <c r="AD43" s="292" t="e">
        <f aca="false">INDEX($B$4:$B$37,MATCH($B43,AD$4:AD$37,0))</f>
        <v>#N/A</v>
      </c>
      <c r="AE43" s="292" t="e">
        <f aca="false">INDEX($B$4:$B$37,MATCH($B43,AE$4:AE$37,0))</f>
        <v>#N/A</v>
      </c>
      <c r="AF43" s="292" t="e">
        <f aca="false">INDEX($B$4:$B$37,MATCH($B43,AF$4:AF$36,0))</f>
        <v>#N/A</v>
      </c>
      <c r="AG43" s="292" t="e">
        <f aca="false">INDEX($B$4:$B$37,MATCH($B43,AG$4:AG$37,0))</f>
        <v>#N/A</v>
      </c>
      <c r="AH43" s="272"/>
      <c r="AI43" s="272"/>
      <c r="AJ43" s="272"/>
      <c r="AK43" s="272"/>
      <c r="AL43" s="272"/>
      <c r="AM43" s="272"/>
      <c r="AN43" s="272"/>
      <c r="AO43" s="272"/>
      <c r="AP43" s="272"/>
      <c r="AQ43" s="279"/>
      <c r="AR43" s="279"/>
      <c r="AS43" s="278"/>
      <c r="AT43" s="272"/>
      <c r="AU43" s="278"/>
      <c r="AV43" s="278" t="n">
        <f aca="false">SUMPRODUCT(--(WEEKDAY(C$3:AF$3,2)&gt;5),--ISNUMBER(MATCH(C43:AF43,{"DM","CS1","CS2","SB1","AE","CS/B"},0)))</f>
        <v>0</v>
      </c>
      <c r="AW43" s="272"/>
      <c r="AX43" s="278"/>
      <c r="AY43" s="278"/>
      <c r="AZ43" s="278"/>
      <c r="BA43" s="279"/>
      <c r="BB43" s="279"/>
      <c r="BC43" s="278"/>
      <c r="BD43" s="278"/>
      <c r="BE43" s="278"/>
      <c r="BF43" s="278"/>
      <c r="BG43" s="278"/>
      <c r="BH43" s="278"/>
      <c r="BI43" s="278"/>
      <c r="BJ43" s="278"/>
      <c r="BK43" s="278"/>
      <c r="BL43" s="278"/>
      <c r="BM43" s="278"/>
      <c r="BN43" s="278"/>
      <c r="BO43" s="278"/>
      <c r="BP43" s="278"/>
      <c r="BQ43" s="272"/>
    </row>
    <row r="44" customFormat="false" ht="19.5" hidden="false" customHeight="true" outlineLevel="0" collapsed="false">
      <c r="A44" s="272"/>
      <c r="B44" s="266" t="s">
        <v>93</v>
      </c>
      <c r="C44" s="292" t="e">
        <f aca="false">INDEX($B$4:$B$37,MATCH($B44,C$4:C$37,0))</f>
        <v>#N/A</v>
      </c>
      <c r="D44" s="292" t="str">
        <f aca="false">INDEX($B$4:$B$37,MATCH($B44,D$4:D$37,0))</f>
        <v>LCP EKLAYVA PINGALI</v>
      </c>
      <c r="E44" s="292" t="str">
        <f aca="false">INDEX($B$4:$B$37,MATCH($B44,E$4:E$37,0))</f>
        <v>LCP QUEK ZI YI</v>
      </c>
      <c r="F44" s="292" t="str">
        <f aca="false">INDEX($B$4:$B$37,MATCH($B44,F$4:F$37,0))</f>
        <v>LCP RON NG </v>
      </c>
      <c r="G44" s="292" t="str">
        <f aca="false">INDEX($B$4:$B$37,MATCH($B44,G$4:G$36,0))</f>
        <v>LCP EDWARD GAN BOON WEI </v>
      </c>
      <c r="H44" s="292" t="e">
        <f aca="false">INDEX($B$4:$B$37,MATCH($B44,H$4:H$36,0))</f>
        <v>#N/A</v>
      </c>
      <c r="I44" s="292" t="e">
        <f aca="false">INDEX($B$4:$B$37,MATCH($B44,I$4:I$37,0))</f>
        <v>#N/A</v>
      </c>
      <c r="J44" s="292" t="str">
        <f aca="false">INDEX($B$4:$B$37,MATCH($B44,J$4:J$36,0))</f>
        <v>LCP SHLOK PUROHIT</v>
      </c>
      <c r="K44" s="292" t="str">
        <f aca="false">INDEX($B$4:$B$37,MATCH($B44,K$4:K$37,0))</f>
        <v>LCP RAIYAN ZUFAYRI BIN MOHAMAD HELMY</v>
      </c>
      <c r="L44" s="292" t="str">
        <f aca="false">INDEX($B$4:$B$37,MATCH($B44,L$4:L$37,0))</f>
        <v>LCP STEPHEN TAY </v>
      </c>
      <c r="M44" s="292" t="str">
        <f aca="false">INDEX($B$4:$B$37,MATCH($B44,M$4:M$37,0))</f>
        <v>LCP RON NG </v>
      </c>
      <c r="N44" s="292" t="str">
        <f aca="false">INDEX($B$4:$B$37,MATCH($B44,N$4:N$37,0))</f>
        <v>PTE CHOA ZONGHAN ETIENNE</v>
      </c>
      <c r="O44" s="292" t="e">
        <f aca="false">INDEX($B$4:$B$37,MATCH($B44,O$4:O$37,0))</f>
        <v>#N/A</v>
      </c>
      <c r="P44" s="292" t="e">
        <f aca="false">INDEX($B$4:$B$37,MATCH($B44,P$4:P$37,0))</f>
        <v>#N/A</v>
      </c>
      <c r="Q44" s="292" t="str">
        <f aca="false">INDEX($B$4:$B$37,MATCH($B44,Q$4:Q$37,0))</f>
        <v>LCP ZHANG ZHONGHAO</v>
      </c>
      <c r="R44" s="292" t="str">
        <f aca="false">INDEX($B$4:$B$37,MATCH($B44,R$4:R$37,0))</f>
        <v>LCP TAN JUN YANG KELVIN</v>
      </c>
      <c r="S44" s="292" t="str">
        <f aca="false">INDEX($B$4:$B$37,MATCH($B44,S$4:S$37,0))</f>
        <v>PTE HUANG JIHUI</v>
      </c>
      <c r="T44" s="292" t="str">
        <f aca="false">INDEX($B$4:$B$37,MATCH($B44,T$4:T$37,0))</f>
        <v>LCP SHLOK PUROHIT</v>
      </c>
      <c r="U44" s="292" t="str">
        <f aca="false">INDEX($B$4:$B$37,MATCH($B44,U$4:U$36,0))</f>
        <v>LCP TRAN MINH KHOA</v>
      </c>
      <c r="V44" s="292" t="e">
        <f aca="false">INDEX($B$4:$B$37,MATCH($B44,V$4:V$37,0))</f>
        <v>#N/A</v>
      </c>
      <c r="W44" s="292" t="e">
        <f aca="false">INDEX($B$4:$B$37,MATCH($B44,W$4:W$36,0))</f>
        <v>#N/A</v>
      </c>
      <c r="X44" s="292" t="str">
        <f aca="false">INDEX($B$4:$B$37,MATCH($B44,X$4:X$37,0))</f>
        <v>LCP MUHAMMAD YASIR BIN MUHAMMAD HIJAZ</v>
      </c>
      <c r="Y44" s="292" t="str">
        <f aca="false">INDEX($B$4:$B$37,MATCH($B44,Y$4:Y$37,0))</f>
        <v>CPL GERALD TAN </v>
      </c>
      <c r="Z44" s="292" t="str">
        <f aca="false">INDEX($B$4:$B$37,MATCH($B44,Z$4:Z$36,0))</f>
        <v>LCP RAIYAN ZUFAYRI BIN MOHAMAD HELMY</v>
      </c>
      <c r="AA44" s="292" t="str">
        <f aca="false">INDEX($B$4:$B$37,MATCH($B44,AA$4:AA$35,0))</f>
        <v>PTE CHOA ZONGHAN ETIENNE</v>
      </c>
      <c r="AB44" s="292" t="str">
        <f aca="false">INDEX($B$4:$B$37,MATCH($B44,AB$4:AB$37,0))</f>
        <v>CPL FANG JIANGRUI</v>
      </c>
      <c r="AC44" s="292" t="e">
        <f aca="false">INDEX($B$4:$B$37,MATCH($B44,AC$4:AC$37,0))</f>
        <v>#N/A</v>
      </c>
      <c r="AD44" s="292" t="e">
        <f aca="false">INDEX($B$4:$B$37,MATCH($B44,AD$4:AD$37,0))</f>
        <v>#N/A</v>
      </c>
      <c r="AE44" s="292" t="str">
        <f aca="false">INDEX($B$4:$B$37,MATCH($B44,AE$4:AE$37,0))</f>
        <v>LCP STEPHEN TAY </v>
      </c>
      <c r="AF44" s="292" t="str">
        <f aca="false">INDEX($B$4:$B$37,MATCH($B44,AF$4:AF$36,0))</f>
        <v>LCP SHLOK PUROHIT</v>
      </c>
      <c r="AG44" s="292" t="e">
        <f aca="false">INDEX($B$4:$B$37,MATCH($B44,AG$4:AG$37,0))</f>
        <v>#N/A</v>
      </c>
      <c r="AH44" s="272"/>
      <c r="AI44" s="272"/>
      <c r="AJ44" s="272"/>
      <c r="AK44" s="272"/>
      <c r="AL44" s="272"/>
      <c r="AM44" s="272"/>
      <c r="AN44" s="272"/>
      <c r="AO44" s="272"/>
      <c r="AP44" s="272"/>
      <c r="AQ44" s="279"/>
      <c r="AR44" s="279"/>
      <c r="AS44" s="278"/>
      <c r="AT44" s="272"/>
      <c r="AU44" s="278"/>
      <c r="AV44" s="278" t="n">
        <f aca="false">SUMPRODUCT(--(WEEKDAY(C$3:AF$3,2)&gt;5),--ISNUMBER(MATCH(C44:AF44,{"DM","CS1","CS2","SB1","AE","CS/B"},0)))</f>
        <v>0</v>
      </c>
      <c r="AW44" s="272"/>
      <c r="AX44" s="278"/>
      <c r="AY44" s="278"/>
      <c r="AZ44" s="278"/>
      <c r="BA44" s="279"/>
      <c r="BB44" s="279"/>
      <c r="BC44" s="278"/>
      <c r="BD44" s="278"/>
      <c r="BE44" s="278"/>
      <c r="BF44" s="278"/>
      <c r="BG44" s="278"/>
      <c r="BH44" s="278"/>
      <c r="BI44" s="278"/>
      <c r="BJ44" s="278"/>
      <c r="BK44" s="278"/>
      <c r="BL44" s="278"/>
      <c r="BM44" s="278"/>
      <c r="BN44" s="278"/>
      <c r="BO44" s="278"/>
      <c r="BP44" s="278"/>
      <c r="BQ44" s="272"/>
    </row>
    <row r="45" customFormat="false" ht="19.5" hidden="false" customHeight="true" outlineLevel="0" collapsed="false">
      <c r="A45" s="272"/>
      <c r="B45" s="266" t="s">
        <v>65</v>
      </c>
      <c r="C45" s="292" t="str">
        <f aca="false">INDEX($B$4:$B$37,MATCH($B45,C$4:C$37,0))</f>
        <v>PTE MUHAMMAD SHAUKI BIN MOHD SHAM</v>
      </c>
      <c r="D45" s="292" t="str">
        <f aca="false">INDEX($B$4:$B$37,MATCH($B45,D$4:D$37,0))</f>
        <v>PTE HUANG JIHUI</v>
      </c>
      <c r="E45" s="292" t="str">
        <f aca="false">INDEX($B$4:$B$37,MATCH($B45,E$4:E$37,0))</f>
        <v>LCP STEPHEN TAY </v>
      </c>
      <c r="F45" s="292" t="str">
        <f aca="false">INDEX($B$4:$B$37,MATCH($B45,F$4:F$37,0))</f>
        <v>PTE MENDEZ RALPH JUSTINE MACALINO</v>
      </c>
      <c r="G45" s="292" t="str">
        <f aca="false">INDEX($B$4:$B$37,MATCH($B45,G$4:G$36,0))</f>
        <v>PTE DANIEL ISKANDAR BIN SANUSI</v>
      </c>
      <c r="H45" s="292" t="str">
        <f aca="false">INDEX($B$4:$B$37,MATCH($B45,H$4:H$36,0))</f>
        <v>PTE HUANG JIHUI</v>
      </c>
      <c r="I45" s="292" t="str">
        <f aca="false">INDEX($B$4:$B$37,MATCH($B45,I$4:I$37,0))</f>
        <v>PTE RAGURAMAN ANIRUDH</v>
      </c>
      <c r="J45" s="292" t="str">
        <f aca="false">INDEX($B$4:$B$37,MATCH($B45,J$4:J$36,0))</f>
        <v>PTE HUANG JIHUI</v>
      </c>
      <c r="K45" s="292" t="str">
        <f aca="false">INDEX($B$4:$B$37,MATCH($B45,K$4:K$37,0))</f>
        <v>PTE MUHAMMAD HAMZA ZUBERI</v>
      </c>
      <c r="L45" s="292" t="str">
        <f aca="false">INDEX($B$4:$B$37,MATCH($B45,L$4:L$37,0))</f>
        <v>PTE MENDEZ RALPH JUSTINE MACALINO</v>
      </c>
      <c r="M45" s="292" t="str">
        <f aca="false">INDEX($B$4:$B$37,MATCH($B45,M$4:M$37,0))</f>
        <v>PTE MUHAMMAD SHAUKI BIN MOHD SHAM</v>
      </c>
      <c r="N45" s="292" t="str">
        <f aca="false">INDEX($B$4:$B$37,MATCH($B45,N$4:N$37,0))</f>
        <v>PTE RAGURAMAN ANIRUDH</v>
      </c>
      <c r="O45" s="292" t="str">
        <f aca="false">INDEX($B$4:$B$37,MATCH($B45,O$4:O$37,0))</f>
        <v>PTE DANIEL ISKANDAR BIN SANUSI</v>
      </c>
      <c r="P45" s="292" t="str">
        <f aca="false">INDEX($B$4:$B$37,MATCH($B45,P$4:P$37,0))</f>
        <v>PTE MUHAMMAD SHAUKI BIN MOHD SHAM</v>
      </c>
      <c r="Q45" s="292" t="str">
        <f aca="false">INDEX($B$4:$B$37,MATCH($B45,Q$4:Q$37,0))</f>
        <v>PTE CHOA ZONGHAN ETIENNE</v>
      </c>
      <c r="R45" s="292" t="str">
        <f aca="false">INDEX($B$4:$B$37,MATCH($B45,R$4:R$37,0))</f>
        <v>PTE MUHAMMAD HAMZA ZUBERI</v>
      </c>
      <c r="S45" s="292" t="str">
        <f aca="false">INDEX($B$4:$B$37,MATCH($B45,S$4:S$37,0))</f>
        <v>PTE DANIEL ISKANDAR BIN SANUSI</v>
      </c>
      <c r="T45" s="292" t="str">
        <f aca="false">INDEX($B$4:$B$37,MATCH($B45,T$4:T$37,0))</f>
        <v>PTE MUHAMMAD SHAUKI BIN MOHD SHAM</v>
      </c>
      <c r="U45" s="292" t="str">
        <f aca="false">INDEX($B$4:$B$37,MATCH($B45,U$4:U$36,0))</f>
        <v>PTE HUANG JIHUI</v>
      </c>
      <c r="V45" s="292" t="str">
        <f aca="false">INDEX($B$4:$B$37,MATCH($B45,V$4:V$37,0))</f>
        <v>PTE RAGURAMAN ANIRUDH</v>
      </c>
      <c r="W45" s="292" t="str">
        <f aca="false">INDEX($B$4:$B$37,MATCH($B45,W$4:W$36,0))</f>
        <v>PTE MUHAMMAD HAMZA ZUBERI</v>
      </c>
      <c r="X45" s="292" t="str">
        <f aca="false">INDEX($B$4:$B$37,MATCH($B45,X$4:X$37,0))</f>
        <v>3SG SAMUEL TAN ENG WEE</v>
      </c>
      <c r="Y45" s="292" t="str">
        <f aca="false">INDEX($B$4:$B$37,MATCH($B45,Y$4:Y$37,0))</f>
        <v>PTE DANIEL ISKANDAR BIN SANUSI</v>
      </c>
      <c r="Z45" s="292" t="str">
        <f aca="false">INDEX($B$4:$B$37,MATCH($B45,Z$4:Z$36,0))</f>
        <v>PTE MUHAMMAD SHAUKI BIN MOHD SHAM</v>
      </c>
      <c r="AA45" s="292" t="str">
        <f aca="false">INDEX($B$4:$B$37,MATCH($B45,AA$4:AA$35,0))</f>
        <v>PTE HUANG JIHUI</v>
      </c>
      <c r="AB45" s="292" t="str">
        <f aca="false">INDEX($B$4:$B$37,MATCH($B45,AB$4:AB$37,0))</f>
        <v>PTE MUHAMMAD SHAUKI BIN MOHD SHAM</v>
      </c>
      <c r="AC45" s="292" t="str">
        <f aca="false">INDEX($B$4:$B$37,MATCH($B45,AC$4:AC$37,0))</f>
        <v>PTE MENDEZ RALPH JUSTINE MACALINO</v>
      </c>
      <c r="AD45" s="292" t="str">
        <f aca="false">INDEX($B$4:$B$37,MATCH($B45,AD$4:AD$37,0))</f>
        <v>LCP RAIYAN ZUFAYRI BIN MOHAMAD HELMY</v>
      </c>
      <c r="AE45" s="292" t="str">
        <f aca="false">INDEX($B$4:$B$37,MATCH($B45,AE$4:AE$37,0))</f>
        <v>PTE MUHAMMAD HAMZA ZUBERI</v>
      </c>
      <c r="AF45" s="292" t="str">
        <f aca="false">INDEX($B$4:$B$37,MATCH($B45,AF$4:AF$36,0))</f>
        <v>PTE MENDEZ RALPH JUSTINE MACALINO</v>
      </c>
      <c r="AG45" s="292" t="e">
        <f aca="false">INDEX($B$4:$B$37,MATCH($B45,AG$4:AG$37,0))</f>
        <v>#N/A</v>
      </c>
      <c r="AH45" s="272"/>
      <c r="AI45" s="272"/>
      <c r="AJ45" s="272"/>
      <c r="AK45" s="272"/>
      <c r="AL45" s="272"/>
      <c r="AM45" s="272"/>
      <c r="AN45" s="272"/>
      <c r="AO45" s="272"/>
      <c r="AP45" s="272"/>
      <c r="AQ45" s="279"/>
      <c r="AR45" s="279"/>
      <c r="AS45" s="278"/>
      <c r="AT45" s="272"/>
      <c r="AU45" s="278"/>
      <c r="AV45" s="278" t="n">
        <f aca="false">SUMPRODUCT(--(WEEKDAY(C$3:AF$3,2)&gt;5),--ISNUMBER(MATCH(C45:AF45,{"DM","CS1","CS2","SB1","AE","CS/B"},0)))</f>
        <v>0</v>
      </c>
      <c r="AW45" s="272"/>
      <c r="AX45" s="278"/>
      <c r="AY45" s="278"/>
      <c r="AZ45" s="278"/>
      <c r="BA45" s="279"/>
      <c r="BB45" s="279"/>
      <c r="BC45" s="278"/>
      <c r="BD45" s="278"/>
      <c r="BE45" s="278"/>
      <c r="BF45" s="278"/>
      <c r="BG45" s="278"/>
      <c r="BH45" s="278"/>
      <c r="BI45" s="278"/>
      <c r="BJ45" s="278"/>
      <c r="BK45" s="278"/>
      <c r="BL45" s="278"/>
      <c r="BM45" s="278"/>
      <c r="BN45" s="278"/>
      <c r="BO45" s="278"/>
      <c r="BP45" s="278"/>
      <c r="BQ45" s="272"/>
    </row>
    <row r="46" customFormat="false" ht="19.5" hidden="false" customHeight="true" outlineLevel="0" collapsed="false">
      <c r="A46" s="272"/>
      <c r="B46" s="316" t="s">
        <v>350</v>
      </c>
      <c r="C46" s="292" t="str">
        <f aca="false">INDEX($B$4:$B$37,MATCH($B46,C$4:C$37,0))</f>
        <v>LCP KOO YI XIAN RAPHAEL </v>
      </c>
      <c r="D46" s="292" t="str">
        <f aca="false">INDEX($B$4:$B$37,MATCH($B46,D$4:D$37,0))</f>
        <v>3SG SAMUEL TAN ENG WEE</v>
      </c>
      <c r="E46" s="292" t="str">
        <f aca="false">INDEX($B$4:$B$37,MATCH($B46,E$4:E$37,0))</f>
        <v>LCP EKLAYVA PINGALI</v>
      </c>
      <c r="F46" s="292" t="str">
        <f aca="false">INDEX($B$4:$B$37,MATCH($B46,F$4:F$37,0))</f>
        <v>LCP MUHAMAD ZULKHAIRI BIN MOHAMAD SAPARI</v>
      </c>
      <c r="G46" s="292" t="str">
        <f aca="false">INDEX($B$4:$B$37,MATCH($B46,G$4:G$36,0))</f>
        <v>LCP STEPHEN TAY </v>
      </c>
      <c r="H46" s="292" t="str">
        <f aca="false">INDEX($B$4:$B$37,MATCH($B46,H$4:H$36,0))</f>
        <v>PTE MUHAMMAD HAMZA ZUBERI</v>
      </c>
      <c r="I46" s="292" t="e">
        <f aca="false">INDEX($B$4:$B$37,MATCH($B46,I$4:I$37,0))</f>
        <v>#N/A</v>
      </c>
      <c r="J46" s="292" t="str">
        <f aca="false">INDEX($B$4:$B$37,MATCH($B46,J$4:J$36,0))</f>
        <v>LCP WONG JI FENG WILLARD</v>
      </c>
      <c r="K46" s="292" t="str">
        <f aca="false">INDEX($B$4:$B$37,MATCH($B46,K$4:K$37,0))</f>
        <v>LCP MATTHEW HWANG YEW SENG</v>
      </c>
      <c r="L46" s="292" t="e">
        <f aca="false">INDEX($B$4:$B$37,MATCH($B46,L$4:L$37,0))</f>
        <v>#N/A</v>
      </c>
      <c r="M46" s="292" t="str">
        <f aca="false">INDEX($B$4:$B$37,MATCH($B46,M$4:M$37,0))</f>
        <v>PTE DANIEL ISKANDAR BIN SANUSI</v>
      </c>
      <c r="N46" s="292" t="str">
        <f aca="false">INDEX($B$4:$B$37,MATCH($B46,N$4:N$37,0))</f>
        <v>LCP SHLOK PUROHIT</v>
      </c>
      <c r="O46" s="292" t="str">
        <f aca="false">INDEX($B$4:$B$37,MATCH($B46,O$4:O$37,0))</f>
        <v>LCP RON NG </v>
      </c>
      <c r="P46" s="292" t="str">
        <f aca="false">INDEX($B$4:$B$37,MATCH($B46,P$4:P$37,0))</f>
        <v>LCP ZHANG ZHONGHAO</v>
      </c>
      <c r="Q46" s="292" t="str">
        <f aca="false">INDEX($B$4:$B$37,MATCH($B46,Q$4:Q$37,0))</f>
        <v>PTE MENDEZ RALPH JUSTINE MACALINO</v>
      </c>
      <c r="R46" s="292" t="str">
        <f aca="false">INDEX($B$4:$B$37,MATCH($B46,R$4:R$37,0))</f>
        <v>CPL GERALD TAN </v>
      </c>
      <c r="S46" s="292" t="e">
        <f aca="false">INDEX($B$4:$B$37,MATCH($B46,S$4:S$37,0))</f>
        <v>#N/A</v>
      </c>
      <c r="T46" s="292" t="str">
        <f aca="false">INDEX($B$4:$B$37,MATCH($B46,T$4:T$37,0))</f>
        <v>PTE DANIEL ISKANDAR BIN SANUSI</v>
      </c>
      <c r="U46" s="292" t="str">
        <f aca="false">INDEX($B$4:$B$37,MATCH($B46,U$4:U$36,0))</f>
        <v>LCP KOO YI XIAN RAPHAEL </v>
      </c>
      <c r="V46" s="292" t="e">
        <f aca="false">INDEX($B$4:$B$37,MATCH($B46,V$4:V$37,0))</f>
        <v>#N/A</v>
      </c>
      <c r="W46" s="292" t="str">
        <f aca="false">INDEX($B$4:$B$37,MATCH($B46,W$4:W$36,0))</f>
        <v>LCP MUHAMMAD YASIR BIN MUHAMMAD HIJAZ</v>
      </c>
      <c r="X46" s="292" t="e">
        <f aca="false">INDEX($B$4:$B$37,MATCH($B46,X$4:X$37,0))</f>
        <v>#N/A</v>
      </c>
      <c r="Y46" s="292" t="str">
        <f aca="false">INDEX($B$4:$B$37,MATCH($B46,Y$4:Y$37,0))</f>
        <v>PTE HUANG JIHUI</v>
      </c>
      <c r="Z46" s="292" t="str">
        <f aca="false">INDEX($B$4:$B$37,MATCH($B46,Z$4:Z$36,0))</f>
        <v>LCP EDWARD GAN BOON WEI </v>
      </c>
      <c r="AA46" s="292" t="str">
        <f aca="false">INDEX($B$4:$B$37,MATCH($B46,AA$4:AA$35,0))</f>
        <v>CPL GOH DI XUAN</v>
      </c>
      <c r="AB46" s="292" t="e">
        <f aca="false">INDEX($B$4:$B$37,MATCH($B46,AB$4:AB$37,0))</f>
        <v>#N/A</v>
      </c>
      <c r="AC46" s="292" t="e">
        <f aca="false">INDEX($B$4:$B$37,MATCH($B46,AC$4:AC$37,0))</f>
        <v>#N/A</v>
      </c>
      <c r="AD46" s="292" t="str">
        <f aca="false">INDEX($B$4:$B$37,MATCH($B46,AD$4:AD$37,0))</f>
        <v>LCP HYDER ISKANDAR BIN ZULKILFILY</v>
      </c>
      <c r="AE46" s="292" t="str">
        <f aca="false">INDEX($B$4:$B$37,MATCH($B46,AE$4:AE$37,0))</f>
        <v>PTE RAGURAMAN ANIRUDH</v>
      </c>
      <c r="AF46" s="292" t="str">
        <f aca="false">INDEX($B$4:$B$37,MATCH($B46,AF$4:AF$36,0))</f>
        <v>LCP RAIYAN ZUFAYRI BIN MOHAMAD HELMY</v>
      </c>
      <c r="AG46" s="292" t="e">
        <f aca="false">INDEX($B$4:$B$37,MATCH($B46,AG$4:AG$37,0))</f>
        <v>#N/A</v>
      </c>
      <c r="AH46" s="272"/>
      <c r="AI46" s="272"/>
      <c r="AJ46" s="272"/>
      <c r="AK46" s="272"/>
      <c r="AL46" s="272"/>
      <c r="AM46" s="272"/>
      <c r="AN46" s="272"/>
      <c r="AO46" s="272"/>
      <c r="AP46" s="272"/>
      <c r="AQ46" s="279"/>
      <c r="AR46" s="279"/>
      <c r="AS46" s="278"/>
      <c r="AT46" s="272"/>
      <c r="AU46" s="278"/>
      <c r="AV46" s="278" t="n">
        <f aca="false">SUMPRODUCT(--(WEEKDAY(C$3:AF$3,2)&gt;5),--ISNUMBER(MATCH(C46:AF46,{"DM","CS1","CS2","SB1","AE","CS/B"},0)))</f>
        <v>0</v>
      </c>
      <c r="AW46" s="272"/>
      <c r="AX46" s="278"/>
      <c r="AY46" s="278"/>
      <c r="AZ46" s="278"/>
      <c r="BA46" s="279"/>
      <c r="BB46" s="279"/>
      <c r="BC46" s="278"/>
      <c r="BD46" s="278"/>
      <c r="BE46" s="278"/>
      <c r="BF46" s="278"/>
      <c r="BG46" s="278"/>
      <c r="BH46" s="278"/>
      <c r="BI46" s="278"/>
      <c r="BJ46" s="278"/>
      <c r="BK46" s="278"/>
      <c r="BL46" s="278"/>
      <c r="BM46" s="278"/>
      <c r="BN46" s="278"/>
      <c r="BO46" s="278"/>
      <c r="BP46" s="278"/>
      <c r="BQ46" s="272"/>
    </row>
    <row r="47" customFormat="false" ht="19.5" hidden="false" customHeight="true" outlineLevel="0" collapsed="false">
      <c r="A47" s="272"/>
      <c r="B47" s="293"/>
      <c r="C47" s="294"/>
      <c r="D47" s="294"/>
      <c r="E47" s="294"/>
      <c r="F47" s="294"/>
      <c r="G47" s="294"/>
      <c r="H47" s="294"/>
      <c r="I47" s="294"/>
      <c r="J47" s="294"/>
      <c r="K47" s="294"/>
      <c r="L47" s="294"/>
      <c r="M47" s="294"/>
      <c r="N47" s="294"/>
      <c r="O47" s="294"/>
      <c r="P47" s="294"/>
      <c r="Q47" s="294"/>
      <c r="R47" s="294"/>
      <c r="S47" s="294"/>
      <c r="T47" s="294"/>
      <c r="U47" s="294"/>
      <c r="V47" s="294"/>
      <c r="W47" s="294"/>
      <c r="X47" s="294"/>
      <c r="Y47" s="294"/>
      <c r="Z47" s="294"/>
      <c r="AA47" s="294"/>
      <c r="AB47" s="294"/>
      <c r="AC47" s="294"/>
      <c r="AD47" s="294"/>
      <c r="AE47" s="294"/>
      <c r="AF47" s="294"/>
      <c r="AG47" s="294"/>
      <c r="AH47" s="293" t="n">
        <f aca="false">COUNTIF($C47:$AF47,AH$4)</f>
        <v>0</v>
      </c>
      <c r="AI47" s="293" t="n">
        <f aca="false">COUNTIF($C47:$AF47,AI$4)</f>
        <v>0</v>
      </c>
      <c r="AJ47" s="293" t="n">
        <f aca="false">COUNTIF($C47:$AF47,AJ$4)</f>
        <v>0</v>
      </c>
      <c r="AK47" s="293" t="n">
        <f aca="false">COUNTIF($C47:$AF47,AK$4)</f>
        <v>0</v>
      </c>
      <c r="AL47" s="293" t="n">
        <f aca="false">COUNTIF($C47:$AF47,AL$4)</f>
        <v>0</v>
      </c>
      <c r="AM47" s="293" t="n">
        <f aca="false">COUNTIF($C47:$AF47,AM$4)</f>
        <v>0</v>
      </c>
      <c r="AN47" s="293" t="n">
        <f aca="false">COUNTIF($C47:$AF47,AN$4)</f>
        <v>0</v>
      </c>
      <c r="AO47" s="293" t="n">
        <f aca="false">COUNTIF($C47:$AF47,AO$4)</f>
        <v>0</v>
      </c>
      <c r="AP47" s="293" t="n">
        <f aca="false">COUNTIF($C47:$AF47,AP$4)</f>
        <v>0</v>
      </c>
      <c r="AQ47" s="293" t="n">
        <v>1</v>
      </c>
      <c r="AR47" s="293"/>
      <c r="AS47" s="293" t="n">
        <f aca="false" t="array" ref="AS47:AS47">SUMPRODUCT(--(WEEKDAY(C$3:AF$3,2)&lt;5),--ISNUMBER(MATCH(C47:AF47,{"DM","CS1","CS2","SB1","AE","CS/B"},0)))</f>
        <v>0</v>
      </c>
      <c r="AT47" s="293"/>
      <c r="AU47" s="293" t="n">
        <f aca="false" t="array" ref="AU47:AU47">SUMPRODUCT(--(WEEKDAY(C$3:AF$3,2)=5),--ISNUMBER(MATCH(C47:AF47,{"DM","CS1","CS2","SB1","AE","CS/B"},0)))</f>
        <v>0</v>
      </c>
      <c r="AV47" s="278" t="n">
        <f aca="false">SUMPRODUCT(--(WEEKDAY(C$3:AF$3,2)&gt;5),--ISNUMBER(MATCH(C47:AF47,{"DM","CS1","CS2","SB1","AE","CS/B"},0)))</f>
        <v>0</v>
      </c>
      <c r="AW47" s="293"/>
      <c r="AX47" s="293" t="n">
        <f aca="false">(AS47-AT47)+AU47*1.5+(AV47-AW47)*2+AM47*0.5+AO47*0.5+AQ47-AR47</f>
        <v>1</v>
      </c>
      <c r="AY47" s="293" t="n">
        <f aca="false">AS47+AU47+AV47</f>
        <v>0</v>
      </c>
      <c r="AZ47" s="293" t="n">
        <f aca="false">BD47+BF47+BH47+BJ47+BL47</f>
        <v>0</v>
      </c>
      <c r="BA47" s="293" t="n">
        <f aca="false">AX47+BC47</f>
        <v>1</v>
      </c>
      <c r="BB47" s="293"/>
      <c r="BC47" s="293" t="n">
        <f aca="false">BE47+BG47+BI47+BK47+BM47</f>
        <v>0</v>
      </c>
      <c r="BD47" s="293" t="n">
        <f aca="false">COUNTIF(A47:AH47,"*$BTP*")</f>
        <v>0</v>
      </c>
      <c r="BE47" s="293" t="n">
        <f aca="false">BD47*1.5</f>
        <v>0</v>
      </c>
      <c r="BF47" s="293" t="n">
        <f aca="false">COUNTIF(A47:AH47,"*$M*")</f>
        <v>0</v>
      </c>
      <c r="BG47" s="293" t="n">
        <f aca="false">BF47*1</f>
        <v>0</v>
      </c>
      <c r="BH47" s="293" t="n">
        <f aca="false">COUNTIF(A47:AH47,"*$PM*")</f>
        <v>0</v>
      </c>
      <c r="BI47" s="293" t="n">
        <f aca="false">BH47*0.5</f>
        <v>0</v>
      </c>
      <c r="BJ47" s="293" t="n">
        <f aca="false">COUNTIF(A47:AH47,"*$AM*")</f>
        <v>0</v>
      </c>
      <c r="BK47" s="293" t="n">
        <f aca="false">BJ47*0.5</f>
        <v>0</v>
      </c>
      <c r="BL47" s="293" t="n">
        <f aca="false">COUNTIF(A47:AH47,"*$FC*")</f>
        <v>0</v>
      </c>
      <c r="BM47" s="293" t="n">
        <f aca="false">BL47*1</f>
        <v>0</v>
      </c>
      <c r="BN47" s="293" t="n">
        <f aca="false">COUNTIF($D47:$Y47,BN$4)</f>
        <v>0</v>
      </c>
      <c r="BO47" s="293" t="n">
        <f aca="false">COUNTIF($D47:$Y47,BO$4)</f>
        <v>0</v>
      </c>
      <c r="BP47" s="293"/>
      <c r="BQ47" s="293"/>
    </row>
    <row r="48" customFormat="false" ht="19.5" hidden="false" customHeight="true" outlineLevel="0" collapsed="false">
      <c r="A48" s="272"/>
      <c r="B48" s="279" t="s">
        <v>814</v>
      </c>
      <c r="C48" s="266" t="s">
        <v>58</v>
      </c>
      <c r="D48" s="92"/>
      <c r="E48" s="317" t="s">
        <v>680</v>
      </c>
      <c r="F48" s="266" t="s">
        <v>892</v>
      </c>
      <c r="G48" s="266" t="s">
        <v>56</v>
      </c>
      <c r="H48" s="266"/>
      <c r="I48" s="266"/>
      <c r="J48" s="266"/>
      <c r="K48" s="91"/>
      <c r="L48" s="91" t="s">
        <v>58</v>
      </c>
      <c r="M48" s="91"/>
      <c r="N48" s="266"/>
      <c r="O48" s="266"/>
      <c r="P48" s="266"/>
      <c r="Q48" s="92" t="s">
        <v>57</v>
      </c>
      <c r="R48" s="91"/>
      <c r="S48" s="266"/>
      <c r="T48" s="92" t="s">
        <v>56</v>
      </c>
      <c r="U48" s="266"/>
      <c r="V48" s="266"/>
      <c r="W48" s="266"/>
      <c r="X48" s="266" t="s">
        <v>893</v>
      </c>
      <c r="Y48" s="92"/>
      <c r="Z48" s="266" t="s">
        <v>56</v>
      </c>
      <c r="AA48" s="91"/>
      <c r="AB48" s="266" t="s">
        <v>893</v>
      </c>
      <c r="AC48" s="266"/>
      <c r="AD48" s="266"/>
      <c r="AE48" s="92" t="s">
        <v>894</v>
      </c>
      <c r="AF48" s="266"/>
      <c r="AG48" s="92"/>
      <c r="AH48" s="272" t="n">
        <f aca="false">COUNTIF($C48:$AF48,AH$4)</f>
        <v>1</v>
      </c>
      <c r="AI48" s="272" t="n">
        <f aca="false">COUNTIF($C48:$AF48,AI$4)</f>
        <v>3</v>
      </c>
      <c r="AJ48" s="272" t="n">
        <f aca="false">COUNTIF($C48:$AF48,AJ$4)</f>
        <v>0</v>
      </c>
      <c r="AK48" s="272" t="n">
        <f aca="false">COUNTIF($C48:$AF48,AK$4)</f>
        <v>0</v>
      </c>
      <c r="AL48" s="272" t="n">
        <f aca="false">COUNTIF($C48:$AF48,AL$4)</f>
        <v>2</v>
      </c>
      <c r="AM48" s="272" t="n">
        <f aca="false">COUNTIF($C48:$AF48,AM$4)</f>
        <v>0</v>
      </c>
      <c r="AN48" s="272" t="n">
        <f aca="false">COUNTIF($C48:$AF48,AN$4)</f>
        <v>0</v>
      </c>
      <c r="AO48" s="272" t="n">
        <f aca="false">COUNTIF($C48:$AF48,AO$4)</f>
        <v>0</v>
      </c>
      <c r="AP48" s="272" t="n">
        <f aca="false">COUNTIF($C48:$AF48,AP$4)</f>
        <v>0</v>
      </c>
      <c r="AQ48" s="279"/>
      <c r="AR48" s="279"/>
      <c r="AS48" s="278" t="n">
        <f aca="false">SUMPRODUCT(--(WEEKDAY(C$3:AG$3,2)&lt;5),--ISNUMBER(MATCH(C48:AG48,{"SB1","SB2"},0)))</f>
        <v>2</v>
      </c>
      <c r="AT48" s="272"/>
      <c r="AU48" s="278" t="n">
        <f aca="false">SUMPRODUCT(--(WEEKDAY(C$3:AG$3,2)=5),--ISNUMBER(MATCH(C48:AG48,{"SB1","SB2"},0)))</f>
        <v>0</v>
      </c>
      <c r="AV48" s="278" t="n">
        <f aca="false">SUMPRODUCT(--(WEEKDAY(C$3:AG$3,2)&gt;5),--ISNUMBER(MATCH(C48:AG48,{"SB1","SB2"},0)))</f>
        <v>0</v>
      </c>
      <c r="AW48" s="272"/>
      <c r="AX48" s="278" t="n">
        <f aca="false">(AS48-AT48)+AU48*1.5+(AV48-AW48)*2+(AO48+AH48+AI48+AJ48+AK48+AN48)*0.5+AQ48-AR48</f>
        <v>4</v>
      </c>
      <c r="AY48" s="278" t="n">
        <f aca="false">AS48+AU48+AV48</f>
        <v>2</v>
      </c>
      <c r="AZ48" s="278" t="n">
        <f aca="false">BD48+BF48+BH48+BJ48+BL48</f>
        <v>1</v>
      </c>
      <c r="BA48" s="279" t="n">
        <f aca="false">AX48+BC48</f>
        <v>5</v>
      </c>
      <c r="BB48" s="279"/>
      <c r="BC48" s="278" t="n">
        <f aca="false">BE48+BG48+BI48+BK48+BM48</f>
        <v>1</v>
      </c>
      <c r="BD48" s="278" t="n">
        <f aca="false">COUNTIF(A48:AH48,"*$BTP*")</f>
        <v>0</v>
      </c>
      <c r="BE48" s="278" t="n">
        <f aca="false">BD48*1.5</f>
        <v>0</v>
      </c>
      <c r="BF48" s="278" t="n">
        <f aca="false">COUNTIF(A48:AH48,"*$M*")</f>
        <v>1</v>
      </c>
      <c r="BG48" s="278" t="n">
        <f aca="false">BF48*1</f>
        <v>1</v>
      </c>
      <c r="BH48" s="278" t="n">
        <f aca="false">COUNTIF(A48:AH48,"*$PM*")</f>
        <v>0</v>
      </c>
      <c r="BI48" s="278" t="n">
        <f aca="false">BH48*0.5</f>
        <v>0</v>
      </c>
      <c r="BJ48" s="278" t="n">
        <f aca="false">COUNTIF(A48:AH48,"*$AM*")</f>
        <v>0</v>
      </c>
      <c r="BK48" s="278" t="n">
        <f aca="false">BJ48*0.5</f>
        <v>0</v>
      </c>
      <c r="BL48" s="278" t="n">
        <f aca="false">COUNTIF(A48:AH48,"*$FC*")</f>
        <v>0</v>
      </c>
      <c r="BM48" s="278" t="n">
        <f aca="false">BL48*1</f>
        <v>0</v>
      </c>
      <c r="BN48" s="278" t="n">
        <f aca="false">COUNTIF($E48:$AG48,BN$4)</f>
        <v>0</v>
      </c>
      <c r="BO48" s="278" t="n">
        <f aca="false">COUNTIF($E48:$AG48,BO$4)</f>
        <v>0</v>
      </c>
      <c r="BP48" s="278" t="n">
        <f aca="false">COUNTIF($E48:$Y48,BP$4)</f>
        <v>0</v>
      </c>
      <c r="BQ48" s="272"/>
    </row>
    <row r="49" customFormat="false" ht="19.5" hidden="false" customHeight="true" outlineLevel="0" collapsed="false">
      <c r="A49" s="272"/>
      <c r="B49" s="279" t="s">
        <v>895</v>
      </c>
      <c r="C49" s="266"/>
      <c r="D49" s="91" t="s">
        <v>896</v>
      </c>
      <c r="E49" s="266" t="s">
        <v>897</v>
      </c>
      <c r="F49" s="280" t="s">
        <v>93</v>
      </c>
      <c r="G49" s="266" t="s">
        <v>65</v>
      </c>
      <c r="H49" s="266"/>
      <c r="I49" s="266"/>
      <c r="J49" s="266" t="s">
        <v>898</v>
      </c>
      <c r="K49" s="91"/>
      <c r="L49" s="91"/>
      <c r="M49" s="266"/>
      <c r="N49" s="266" t="s">
        <v>58</v>
      </c>
      <c r="O49" s="266" t="s">
        <v>58</v>
      </c>
      <c r="P49" s="266"/>
      <c r="Q49" s="280"/>
      <c r="R49" s="92"/>
      <c r="S49" s="317"/>
      <c r="T49" s="266" t="s">
        <v>57</v>
      </c>
      <c r="U49" s="299"/>
      <c r="V49" s="266"/>
      <c r="W49" s="266"/>
      <c r="X49" s="266"/>
      <c r="Y49" s="266"/>
      <c r="Z49" s="266" t="s">
        <v>899</v>
      </c>
      <c r="AA49" s="91"/>
      <c r="AB49" s="266"/>
      <c r="AC49" s="266"/>
      <c r="AD49" s="266"/>
      <c r="AE49" s="266"/>
      <c r="AF49" s="266" t="s">
        <v>58</v>
      </c>
      <c r="AG49" s="266"/>
      <c r="AH49" s="272" t="n">
        <f aca="false">COUNTIF($C49:$AF49,AH$4)</f>
        <v>1</v>
      </c>
      <c r="AI49" s="272" t="n">
        <f aca="false">COUNTIF($C49:$AF49,AI$4)</f>
        <v>0</v>
      </c>
      <c r="AJ49" s="272" t="n">
        <f aca="false">COUNTIF($C49:$AF49,AJ$4)</f>
        <v>0</v>
      </c>
      <c r="AK49" s="272" t="n">
        <f aca="false">COUNTIF($C49:$AF49,AK$4)</f>
        <v>0</v>
      </c>
      <c r="AL49" s="272" t="n">
        <f aca="false">COUNTIF($C49:$AF49,AL$4)</f>
        <v>3</v>
      </c>
      <c r="AM49" s="272" t="n">
        <f aca="false">COUNTIF($C49:$AF49,AM$4)</f>
        <v>1</v>
      </c>
      <c r="AN49" s="272" t="n">
        <f aca="false">COUNTIF($C49:$AF49,AN$4)</f>
        <v>1</v>
      </c>
      <c r="AO49" s="272" t="n">
        <f aca="false">COUNTIF($C49:$AF49,AO$4)</f>
        <v>0</v>
      </c>
      <c r="AP49" s="272" t="n">
        <f aca="false">COUNTIF($C49:$AF49,AP$4)</f>
        <v>0</v>
      </c>
      <c r="AQ49" s="279"/>
      <c r="AR49" s="279"/>
      <c r="AS49" s="278" t="n">
        <f aca="false">SUMPRODUCT(--(WEEKDAY(C$3:AG$3,2)&lt;5),--ISNUMBER(MATCH(C49:AG49,{"SB1","SB2"},0)))</f>
        <v>2</v>
      </c>
      <c r="AT49" s="272"/>
      <c r="AU49" s="278" t="n">
        <f aca="false">SUMPRODUCT(--(WEEKDAY(C$3:AG$3,2)=5),--ISNUMBER(MATCH(C49:AG49,{"SB1","SB2"},0)))</f>
        <v>1</v>
      </c>
      <c r="AV49" s="278" t="n">
        <f aca="false">SUMPRODUCT(--(WEEKDAY(C$3:AG$3,2)&gt;5),--ISNUMBER(MATCH(C49:AG49,{"SB1","SB2"},0)))</f>
        <v>1</v>
      </c>
      <c r="AW49" s="272"/>
      <c r="AX49" s="278" t="n">
        <f aca="false">(AS49-AT49)+AU49*1.5+(AV49-AW49)*2+(AO49+AH49+AI49+AJ49+AK49+AN49)*0.5+AQ49-AR49</f>
        <v>6.5</v>
      </c>
      <c r="AY49" s="278" t="n">
        <f aca="false">AS49+AU49+AV49</f>
        <v>4</v>
      </c>
      <c r="AZ49" s="278" t="n">
        <f aca="false">BD49+BF49+BH49+BJ49+BL49</f>
        <v>2</v>
      </c>
      <c r="BA49" s="279" t="n">
        <f aca="false">AX49+BC49</f>
        <v>8.5</v>
      </c>
      <c r="BB49" s="279"/>
      <c r="BC49" s="278" t="n">
        <f aca="false">BE49+BG49+BI49+BK49+BM49</f>
        <v>2</v>
      </c>
      <c r="BD49" s="278" t="n">
        <f aca="false">COUNTIF(A49:AH49,"*$BTP*")</f>
        <v>1</v>
      </c>
      <c r="BE49" s="278" t="n">
        <f aca="false">BD49*1.5</f>
        <v>1.5</v>
      </c>
      <c r="BF49" s="278" t="n">
        <f aca="false">COUNTIF(A49:AH49,"*$M*")</f>
        <v>0</v>
      </c>
      <c r="BG49" s="278" t="n">
        <f aca="false">BF49*1</f>
        <v>0</v>
      </c>
      <c r="BH49" s="278" t="n">
        <f aca="false">COUNTIF(A49:AH49,"*$PM*")</f>
        <v>0</v>
      </c>
      <c r="BI49" s="278" t="n">
        <f aca="false">BH49*0.5</f>
        <v>0</v>
      </c>
      <c r="BJ49" s="278" t="n">
        <f aca="false">COUNTIF(A49:AH49,"*$AM*")</f>
        <v>1</v>
      </c>
      <c r="BK49" s="278" t="n">
        <f aca="false">BJ49*0.5</f>
        <v>0.5</v>
      </c>
      <c r="BL49" s="278" t="n">
        <f aca="false">COUNTIF(A49:AH49,"*$FC*")</f>
        <v>0</v>
      </c>
      <c r="BM49" s="278" t="n">
        <f aca="false">BL49*1</f>
        <v>0</v>
      </c>
      <c r="BN49" s="278" t="n">
        <f aca="false">COUNTIF($E49:$AG49,BN$4)</f>
        <v>0</v>
      </c>
      <c r="BO49" s="278" t="n">
        <f aca="false">COUNTIF($E49:$AG49,BO$4)</f>
        <v>0</v>
      </c>
      <c r="BP49" s="278" t="n">
        <f aca="false">COUNTIF($D49:$Y49,BP$4)</f>
        <v>0</v>
      </c>
      <c r="BQ49" s="272"/>
    </row>
    <row r="50" customFormat="false" ht="19.5" hidden="false" customHeight="true" outlineLevel="0" collapsed="false">
      <c r="A50" s="272"/>
      <c r="B50" s="279" t="s">
        <v>820</v>
      </c>
      <c r="C50" s="266"/>
      <c r="D50" s="266"/>
      <c r="E50" s="266" t="s">
        <v>896</v>
      </c>
      <c r="F50" s="266" t="s">
        <v>58</v>
      </c>
      <c r="G50" s="92"/>
      <c r="H50" s="266" t="s">
        <v>93</v>
      </c>
      <c r="I50" s="266"/>
      <c r="J50" s="280" t="s">
        <v>65</v>
      </c>
      <c r="K50" s="266"/>
      <c r="L50" s="266" t="s">
        <v>261</v>
      </c>
      <c r="M50" s="266"/>
      <c r="N50" s="266"/>
      <c r="O50" s="266"/>
      <c r="P50" s="266"/>
      <c r="Q50" s="266"/>
      <c r="R50" s="266" t="s">
        <v>56</v>
      </c>
      <c r="S50" s="266"/>
      <c r="T50" s="317"/>
      <c r="U50" s="266"/>
      <c r="V50" s="266"/>
      <c r="W50" s="266"/>
      <c r="X50" s="266"/>
      <c r="Y50" s="266"/>
      <c r="Z50" s="266"/>
      <c r="AA50" s="266"/>
      <c r="AB50" s="266" t="s">
        <v>261</v>
      </c>
      <c r="AC50" s="266"/>
      <c r="AD50" s="266"/>
      <c r="AE50" s="266" t="s">
        <v>65</v>
      </c>
      <c r="AF50" s="266"/>
      <c r="AG50" s="266"/>
      <c r="AH50" s="272" t="n">
        <f aca="false">COUNTIF($C50:$AF50,AH$4)</f>
        <v>0</v>
      </c>
      <c r="AI50" s="272" t="n">
        <f aca="false">COUNTIF($C50:$AF50,AI$4)</f>
        <v>1</v>
      </c>
      <c r="AJ50" s="272" t="n">
        <f aca="false">COUNTIF($C50:$AF50,AJ$4)</f>
        <v>0</v>
      </c>
      <c r="AK50" s="272" t="n">
        <f aca="false">COUNTIF($C50:$AF50,AK$4)</f>
        <v>0</v>
      </c>
      <c r="AL50" s="272" t="n">
        <f aca="false">COUNTIF($C50:$AF50,AL$4)</f>
        <v>1</v>
      </c>
      <c r="AM50" s="272" t="n">
        <f aca="false">COUNTIF($C50:$AF50,AM$4)</f>
        <v>1</v>
      </c>
      <c r="AN50" s="272" t="n">
        <f aca="false">COUNTIF($C50:$AF50,AN$4)</f>
        <v>2</v>
      </c>
      <c r="AO50" s="272" t="n">
        <f aca="false">COUNTIF($C50:$AF50,AO$4)</f>
        <v>0</v>
      </c>
      <c r="AP50" s="272" t="n">
        <f aca="false">COUNTIF($C50:$AF50,AP$4)</f>
        <v>0</v>
      </c>
      <c r="AQ50" s="279"/>
      <c r="AR50" s="279"/>
      <c r="AS50" s="278" t="n">
        <f aca="false">SUMPRODUCT(--(WEEKDAY(C$3:AG$3,2)&lt;5),--ISNUMBER(MATCH(C50:AG50,{"SB1","SB2"},0)))</f>
        <v>1</v>
      </c>
      <c r="AT50" s="272"/>
      <c r="AU50" s="278" t="n">
        <f aca="false">SUMPRODUCT(--(WEEKDAY(C$3:AG$3,2)=5),--ISNUMBER(MATCH(C50:AG50,{"SB1","SB2"},0)))</f>
        <v>0</v>
      </c>
      <c r="AV50" s="278" t="n">
        <f aca="false">SUMPRODUCT(--(WEEKDAY(C$3:AG$3,2)&gt;5),--ISNUMBER(MATCH(C50:AG50,{"SB1","SB2"},0)))</f>
        <v>1</v>
      </c>
      <c r="AW50" s="272"/>
      <c r="AX50" s="278" t="n">
        <f aca="false">(AS50-AT50)+AU50*1.5+(AV50-AW50)*2+(AO50+AH50+AI50+AJ50+AK50+AN50)*0.5+AQ50-AR50</f>
        <v>4.5</v>
      </c>
      <c r="AY50" s="278" t="n">
        <f aca="false">AS50+AU50+AV50</f>
        <v>2</v>
      </c>
      <c r="AZ50" s="278" t="n">
        <f aca="false">BD50+BF50+BH50+BJ50+BL50</f>
        <v>0</v>
      </c>
      <c r="BA50" s="279" t="n">
        <f aca="false">AX50+BC50</f>
        <v>4.5</v>
      </c>
      <c r="BB50" s="279"/>
      <c r="BC50" s="278" t="n">
        <f aca="false">BE50+BG50+BI50+BK50+BM50</f>
        <v>0</v>
      </c>
      <c r="BD50" s="278" t="n">
        <f aca="false">COUNTIF(A50:AH50,"*$BTP*")</f>
        <v>0</v>
      </c>
      <c r="BE50" s="278" t="n">
        <f aca="false">BD50*1.5</f>
        <v>0</v>
      </c>
      <c r="BF50" s="278" t="n">
        <f aca="false">COUNTIF(A50:AH50,"*$M*")</f>
        <v>0</v>
      </c>
      <c r="BG50" s="278" t="n">
        <f aca="false">BF50*1</f>
        <v>0</v>
      </c>
      <c r="BH50" s="278" t="n">
        <f aca="false">COUNTIF(A50:AH50,"*$PM*")</f>
        <v>0</v>
      </c>
      <c r="BI50" s="278" t="n">
        <f aca="false">BH50*0.5</f>
        <v>0</v>
      </c>
      <c r="BJ50" s="278" t="n">
        <f aca="false">COUNTIF(A50:AH50,"*$AM*")</f>
        <v>0</v>
      </c>
      <c r="BK50" s="278" t="n">
        <f aca="false">BJ50*0.5</f>
        <v>0</v>
      </c>
      <c r="BL50" s="278" t="n">
        <f aca="false">COUNTIF(A50:AH50,"*$FC*")</f>
        <v>0</v>
      </c>
      <c r="BM50" s="278" t="n">
        <f aca="false">BL50*1</f>
        <v>0</v>
      </c>
      <c r="BN50" s="278" t="n">
        <f aca="false">COUNTIF($E50:$AG50,BN$4)</f>
        <v>0</v>
      </c>
      <c r="BO50" s="278" t="n">
        <f aca="false">COUNTIF($E50:$AG50,BO$4)</f>
        <v>0</v>
      </c>
      <c r="BP50" s="278" t="n">
        <f aca="false">COUNTIF($D50:$Y50,BP$4)</f>
        <v>0</v>
      </c>
      <c r="BQ50" s="272"/>
    </row>
    <row r="51" customFormat="false" ht="19.5" hidden="false" customHeight="true" outlineLevel="0" collapsed="false">
      <c r="A51" s="272"/>
      <c r="B51" s="279" t="s">
        <v>821</v>
      </c>
      <c r="C51" s="266"/>
      <c r="D51" s="266"/>
      <c r="E51" s="317" t="s">
        <v>680</v>
      </c>
      <c r="F51" s="266" t="s">
        <v>892</v>
      </c>
      <c r="G51" s="266" t="s">
        <v>900</v>
      </c>
      <c r="H51" s="266"/>
      <c r="I51" s="266"/>
      <c r="J51" s="280" t="s">
        <v>578</v>
      </c>
      <c r="K51" s="266" t="s">
        <v>579</v>
      </c>
      <c r="L51" s="266" t="s">
        <v>900</v>
      </c>
      <c r="M51" s="266"/>
      <c r="N51" s="266" t="s">
        <v>56</v>
      </c>
      <c r="O51" s="266"/>
      <c r="P51" s="266"/>
      <c r="Q51" s="266"/>
      <c r="R51" s="266"/>
      <c r="S51" s="266" t="s">
        <v>56</v>
      </c>
      <c r="T51" s="266"/>
      <c r="U51" s="266" t="s">
        <v>901</v>
      </c>
      <c r="V51" s="280" t="s">
        <v>54</v>
      </c>
      <c r="W51" s="280" t="s">
        <v>54</v>
      </c>
      <c r="X51" s="280" t="s">
        <v>54</v>
      </c>
      <c r="Y51" s="280" t="s">
        <v>54</v>
      </c>
      <c r="Z51" s="280" t="s">
        <v>54</v>
      </c>
      <c r="AA51" s="280" t="s">
        <v>54</v>
      </c>
      <c r="AB51" s="280" t="s">
        <v>54</v>
      </c>
      <c r="AC51" s="280" t="s">
        <v>54</v>
      </c>
      <c r="AD51" s="280" t="s">
        <v>54</v>
      </c>
      <c r="AE51" s="266" t="s">
        <v>56</v>
      </c>
      <c r="AF51" s="266" t="s">
        <v>56</v>
      </c>
      <c r="AG51" s="266"/>
      <c r="AH51" s="272" t="n">
        <f aca="false">COUNTIF($C51:$AF51,AH$4)</f>
        <v>0</v>
      </c>
      <c r="AI51" s="272" t="n">
        <f aca="false">COUNTIF($C51:$AF51,AI$4)</f>
        <v>4</v>
      </c>
      <c r="AJ51" s="272" t="n">
        <f aca="false">COUNTIF($C51:$AF51,AJ$4)</f>
        <v>0</v>
      </c>
      <c r="AK51" s="272" t="n">
        <f aca="false">COUNTIF($C51:$AF51,AK$4)</f>
        <v>0</v>
      </c>
      <c r="AL51" s="272" t="n">
        <f aca="false">COUNTIF($C51:$AF51,AL$4)</f>
        <v>0</v>
      </c>
      <c r="AM51" s="272" t="n">
        <f aca="false">COUNTIF($C51:$AF51,AM$4)</f>
        <v>0</v>
      </c>
      <c r="AN51" s="272" t="n">
        <f aca="false">COUNTIF($C51:$AF51,AN$4)</f>
        <v>0</v>
      </c>
      <c r="AO51" s="272" t="n">
        <f aca="false">COUNTIF($C51:$AF51,AO$4)</f>
        <v>0</v>
      </c>
      <c r="AP51" s="272" t="n">
        <f aca="false">COUNTIF($C51:$AF51,AP$4)</f>
        <v>0</v>
      </c>
      <c r="AQ51" s="279" t="n">
        <v>0.5</v>
      </c>
      <c r="AR51" s="279"/>
      <c r="AS51" s="278" t="n">
        <f aca="false">SUMPRODUCT(--(WEEKDAY(C$3:AG$3,2)&lt;5),--ISNUMBER(MATCH(C51:AG51,{"SB1","SB2"},0)))</f>
        <v>0</v>
      </c>
      <c r="AT51" s="272"/>
      <c r="AU51" s="278" t="n">
        <f aca="false">SUMPRODUCT(--(WEEKDAY(C$3:AG$3,2)=5),--ISNUMBER(MATCH(C51:AG51,{"SB1","SB2"},0)))</f>
        <v>0</v>
      </c>
      <c r="AV51" s="278" t="n">
        <f aca="false">SUMPRODUCT(--(WEEKDAY(C$3:AG$3,2)&gt;5),--ISNUMBER(MATCH(C51:AG51,{"SB1","SB2"},0)))</f>
        <v>0</v>
      </c>
      <c r="AW51" s="272"/>
      <c r="AX51" s="278" t="n">
        <f aca="false">(AS51-AT51)+AU51*1.5+(AV51-AW51)*2+(AO51+AH51+AI51+AJ51+AK51+AN51)*0.5+AQ51-AR51</f>
        <v>2.5</v>
      </c>
      <c r="AY51" s="278" t="n">
        <f aca="false">AS51+AU51+AV51</f>
        <v>0</v>
      </c>
      <c r="AZ51" s="278" t="n">
        <f aca="false">BD51+BF51+BH51+BJ51+BL51</f>
        <v>2</v>
      </c>
      <c r="BA51" s="279" t="n">
        <f aca="false">AX51+BC51</f>
        <v>4</v>
      </c>
      <c r="BB51" s="279"/>
      <c r="BC51" s="278" t="n">
        <f aca="false">BE51+BG51+BI51+BK51+BM51</f>
        <v>1.5</v>
      </c>
      <c r="BD51" s="278" t="n">
        <f aca="false">COUNTIF(A51:AH51,"*$BTP*")</f>
        <v>0</v>
      </c>
      <c r="BE51" s="278" t="n">
        <f aca="false">BD51*1.5</f>
        <v>0</v>
      </c>
      <c r="BF51" s="278" t="n">
        <f aca="false">COUNTIF(A51:AH51,"*$M*")</f>
        <v>1</v>
      </c>
      <c r="BG51" s="278" t="n">
        <f aca="false">BF51*1</f>
        <v>1</v>
      </c>
      <c r="BH51" s="278" t="n">
        <f aca="false">COUNTIF(A51:AH51,"*$PM*")</f>
        <v>1</v>
      </c>
      <c r="BI51" s="278" t="n">
        <f aca="false">BH51*0.5</f>
        <v>0.5</v>
      </c>
      <c r="BJ51" s="278" t="n">
        <f aca="false">COUNTIF(A51:AH51,"*$AM*")</f>
        <v>0</v>
      </c>
      <c r="BK51" s="278" t="n">
        <f aca="false">BJ51*0.5</f>
        <v>0</v>
      </c>
      <c r="BL51" s="278" t="n">
        <f aca="false">COUNTIF(A51:AH51,"*$FC*")</f>
        <v>0</v>
      </c>
      <c r="BM51" s="278" t="n">
        <f aca="false">BL51*1</f>
        <v>0</v>
      </c>
      <c r="BN51" s="278" t="n">
        <f aca="false">COUNTIF($E51:$AG51,BN$4)</f>
        <v>0</v>
      </c>
      <c r="BO51" s="278" t="n">
        <f aca="false">COUNTIF($E51:$AG51,BO$4)</f>
        <v>0</v>
      </c>
      <c r="BP51" s="278" t="n">
        <f aca="false">COUNTIF($D51:$Y51,BP$4)</f>
        <v>0</v>
      </c>
      <c r="BQ51" s="272"/>
    </row>
    <row r="52" customFormat="false" ht="19.5" hidden="false" customHeight="true" outlineLevel="0" collapsed="false">
      <c r="A52" s="272"/>
      <c r="B52" s="272" t="s">
        <v>825</v>
      </c>
      <c r="C52" s="318" t="s">
        <v>831</v>
      </c>
      <c r="D52" s="318" t="s">
        <v>831</v>
      </c>
      <c r="E52" s="318" t="s">
        <v>831</v>
      </c>
      <c r="F52" s="318" t="s">
        <v>831</v>
      </c>
      <c r="G52" s="318" t="s">
        <v>831</v>
      </c>
      <c r="H52" s="318" t="s">
        <v>831</v>
      </c>
      <c r="I52" s="318" t="s">
        <v>831</v>
      </c>
      <c r="J52" s="318" t="s">
        <v>831</v>
      </c>
      <c r="K52" s="318" t="s">
        <v>831</v>
      </c>
      <c r="L52" s="318" t="s">
        <v>831</v>
      </c>
      <c r="M52" s="318" t="s">
        <v>831</v>
      </c>
      <c r="N52" s="318" t="s">
        <v>831</v>
      </c>
      <c r="O52" s="318" t="s">
        <v>831</v>
      </c>
      <c r="P52" s="318" t="s">
        <v>831</v>
      </c>
      <c r="Q52" s="318" t="s">
        <v>831</v>
      </c>
      <c r="R52" s="318" t="s">
        <v>831</v>
      </c>
      <c r="S52" s="318" t="s">
        <v>831</v>
      </c>
      <c r="T52" s="317"/>
      <c r="U52" s="283" t="s">
        <v>57</v>
      </c>
      <c r="V52" s="266" t="s">
        <v>902</v>
      </c>
      <c r="W52" s="266"/>
      <c r="X52" s="319" t="s">
        <v>65</v>
      </c>
      <c r="Y52" s="319" t="s">
        <v>65</v>
      </c>
      <c r="Z52" s="317" t="s">
        <v>57</v>
      </c>
      <c r="AA52" s="266" t="s">
        <v>350</v>
      </c>
      <c r="AB52" s="92" t="s">
        <v>65</v>
      </c>
      <c r="AC52" s="266"/>
      <c r="AD52" s="266"/>
      <c r="AE52" s="319"/>
      <c r="AF52" s="317" t="s">
        <v>65</v>
      </c>
      <c r="AG52" s="319"/>
      <c r="AH52" s="272" t="n">
        <f aca="false">COUNTIF($C52:$AF52,AH$4)</f>
        <v>2</v>
      </c>
      <c r="AI52" s="272" t="n">
        <f aca="false">COUNTIF($C52:$AF52,AI$4)</f>
        <v>0</v>
      </c>
      <c r="AJ52" s="272" t="n">
        <f aca="false">COUNTIF($C52:$AF52,AJ$4)</f>
        <v>0</v>
      </c>
      <c r="AK52" s="272" t="n">
        <f aca="false">COUNTIF($C52:$AF52,AK$4)</f>
        <v>0</v>
      </c>
      <c r="AL52" s="272" t="n">
        <f aca="false">COUNTIF($C52:$AF52,AL$4)</f>
        <v>0</v>
      </c>
      <c r="AM52" s="272" t="n">
        <f aca="false">COUNTIF($C52:$AF52,AM$4)</f>
        <v>0</v>
      </c>
      <c r="AN52" s="272" t="n">
        <f aca="false">COUNTIF($C52:$AF52,AN$4)</f>
        <v>4</v>
      </c>
      <c r="AO52" s="272" t="n">
        <f aca="false">COUNTIF($C52:$AF52,AO$4)</f>
        <v>0</v>
      </c>
      <c r="AP52" s="272" t="n">
        <f aca="false">COUNTIF($C52:$AF52,AP$4)</f>
        <v>0</v>
      </c>
      <c r="AQ52" s="279" t="n">
        <v>2.5</v>
      </c>
      <c r="AR52" s="279"/>
      <c r="AS52" s="278" t="n">
        <f aca="false">SUMPRODUCT(--(WEEKDAY(C$3:AG$3,2)&lt;5),--ISNUMBER(MATCH(C52:AG52,{"SB1","SB2"},0)))</f>
        <v>0</v>
      </c>
      <c r="AT52" s="272"/>
      <c r="AU52" s="278" t="n">
        <f aca="false">SUMPRODUCT(--(WEEKDAY(C$3:AG$3,2)=5),--ISNUMBER(MATCH(C52:AG52,{"SB1","SB2"},0)))</f>
        <v>0</v>
      </c>
      <c r="AV52" s="278" t="n">
        <f aca="false">SUMPRODUCT(--(WEEKDAY(C$3:AG$3,2)&gt;5),--ISNUMBER(MATCH(C52:AG52,{"SB1","SB2"},0)))</f>
        <v>0</v>
      </c>
      <c r="AW52" s="272"/>
      <c r="AX52" s="278" t="n">
        <f aca="false">(AS52-AT52)+AU52*1.5+(AV52-AW52)*2+(AO52+AH52+AI52+AJ52+AK52+AN52)*0.5+AQ52-AR52</f>
        <v>5.5</v>
      </c>
      <c r="AY52" s="278" t="n">
        <f aca="false">AS52+AU52+AV52</f>
        <v>0</v>
      </c>
      <c r="AZ52" s="278" t="n">
        <f aca="false">BD52+BF52+BH52+BJ52+BL52</f>
        <v>0</v>
      </c>
      <c r="BA52" s="279" t="n">
        <f aca="false">AX52+BC52</f>
        <v>5.5</v>
      </c>
      <c r="BB52" s="279"/>
      <c r="BC52" s="278" t="n">
        <f aca="false">BE52+BG52+BI52+BK52+BM52</f>
        <v>0</v>
      </c>
      <c r="BD52" s="278" t="n">
        <f aca="false">COUNTIF(A52:AH52,"*$BTP*")</f>
        <v>0</v>
      </c>
      <c r="BE52" s="278" t="n">
        <f aca="false">BD52*1.5</f>
        <v>0</v>
      </c>
      <c r="BF52" s="278" t="n">
        <f aca="false">COUNTIF(A52:AH52,"*$M*")</f>
        <v>0</v>
      </c>
      <c r="BG52" s="278" t="n">
        <f aca="false">BF52*1</f>
        <v>0</v>
      </c>
      <c r="BH52" s="278" t="n">
        <f aca="false">COUNTIF(A52:AH52,"*$PM*")</f>
        <v>0</v>
      </c>
      <c r="BI52" s="278" t="n">
        <f aca="false">BH52*0.5</f>
        <v>0</v>
      </c>
      <c r="BJ52" s="278" t="n">
        <f aca="false">COUNTIF(A52:AH52,"*$AM*")</f>
        <v>0</v>
      </c>
      <c r="BK52" s="278" t="n">
        <f aca="false">BJ52*0.5</f>
        <v>0</v>
      </c>
      <c r="BL52" s="278" t="n">
        <f aca="false">COUNTIF(A52:AH52,"*$FC*")</f>
        <v>0</v>
      </c>
      <c r="BM52" s="278" t="n">
        <f aca="false">BL52*1</f>
        <v>0</v>
      </c>
      <c r="BN52" s="278" t="n">
        <f aca="false">COUNTIF($E52:$AG52,BN$4)</f>
        <v>0</v>
      </c>
      <c r="BO52" s="278" t="n">
        <f aca="false">COUNTIF($E52:$AG52,BO$4)</f>
        <v>1</v>
      </c>
      <c r="BP52" s="278" t="n">
        <f aca="false">COUNTIF($D52:$Y52,BP$4)</f>
        <v>0</v>
      </c>
      <c r="BQ52" s="272"/>
    </row>
    <row r="53" customFormat="false" ht="19.5" hidden="false" customHeight="true" outlineLevel="0" collapsed="false">
      <c r="A53" s="280"/>
      <c r="B53" s="280" t="s">
        <v>832</v>
      </c>
      <c r="C53" s="317"/>
      <c r="D53" s="92" t="s">
        <v>57</v>
      </c>
      <c r="E53" s="317" t="s">
        <v>680</v>
      </c>
      <c r="F53" s="266" t="s">
        <v>892</v>
      </c>
      <c r="G53" s="280" t="s">
        <v>57</v>
      </c>
      <c r="H53" s="280"/>
      <c r="I53" s="280"/>
      <c r="J53" s="280"/>
      <c r="K53" s="92"/>
      <c r="L53" s="317" t="s">
        <v>65</v>
      </c>
      <c r="M53" s="280" t="s">
        <v>56</v>
      </c>
      <c r="N53" s="280"/>
      <c r="O53" s="280"/>
      <c r="P53" s="266"/>
      <c r="Q53" s="280"/>
      <c r="R53" s="317"/>
      <c r="S53" s="317"/>
      <c r="T53" s="317"/>
      <c r="U53" s="283" t="s">
        <v>65</v>
      </c>
      <c r="V53" s="280"/>
      <c r="W53" s="283"/>
      <c r="X53" s="280"/>
      <c r="Y53" s="317" t="s">
        <v>56</v>
      </c>
      <c r="Z53" s="317"/>
      <c r="AA53" s="280" t="s">
        <v>65</v>
      </c>
      <c r="AB53" s="280" t="s">
        <v>903</v>
      </c>
      <c r="AC53" s="266"/>
      <c r="AD53" s="280"/>
      <c r="AE53" s="280"/>
      <c r="AF53" s="317" t="s">
        <v>57</v>
      </c>
      <c r="AG53" s="317"/>
      <c r="AH53" s="272" t="n">
        <f aca="false">COUNTIF($C53:$AF53,AH$4)</f>
        <v>3</v>
      </c>
      <c r="AI53" s="272" t="n">
        <f aca="false">COUNTIF($C53:$AF53,AI$4)</f>
        <v>2</v>
      </c>
      <c r="AJ53" s="272" t="n">
        <f aca="false">COUNTIF($C53:$AF53,AJ$4)</f>
        <v>0</v>
      </c>
      <c r="AK53" s="272" t="n">
        <f aca="false">COUNTIF($C53:$AF53,AK$4)</f>
        <v>0</v>
      </c>
      <c r="AL53" s="272" t="n">
        <f aca="false">COUNTIF($C53:$AF53,AL$4)</f>
        <v>0</v>
      </c>
      <c r="AM53" s="272" t="n">
        <f aca="false">COUNTIF($C53:$AF53,AM$4)</f>
        <v>0</v>
      </c>
      <c r="AN53" s="272" t="n">
        <f aca="false">COUNTIF($C53:$AF53,AN$4)</f>
        <v>3</v>
      </c>
      <c r="AO53" s="272" t="n">
        <f aca="false">COUNTIF($C53:$AF53,AO$4)</f>
        <v>0</v>
      </c>
      <c r="AP53" s="272" t="n">
        <f aca="false">COUNTIF($C53:$AF53,AP$4)</f>
        <v>0</v>
      </c>
      <c r="AQ53" s="279"/>
      <c r="AR53" s="279"/>
      <c r="AS53" s="278" t="n">
        <f aca="false">SUMPRODUCT(--(WEEKDAY(C$3:AG$3,2)&lt;5),--ISNUMBER(MATCH(C53:AG53,{"SB1","SB2"},0)))</f>
        <v>0</v>
      </c>
      <c r="AT53" s="272"/>
      <c r="AU53" s="278" t="n">
        <f aca="false">SUMPRODUCT(--(WEEKDAY(C$3:AG$3,2)=5),--ISNUMBER(MATCH(C53:AG53,{"SB1","SB2"},0)))</f>
        <v>0</v>
      </c>
      <c r="AV53" s="278" t="n">
        <f aca="false">SUMPRODUCT(--(WEEKDAY(C$3:AG$3,2)&gt;5),--ISNUMBER(MATCH(C53:AG53,{"SB1","SB2"},0)))</f>
        <v>0</v>
      </c>
      <c r="AW53" s="272"/>
      <c r="AX53" s="278" t="n">
        <f aca="false">(AS53-AT53)+AU53*1.5+(AV53-AW53)*2+(AO53+AH53+AI53+AJ53+AK53+AN53)*0.5+AQ53-AR53</f>
        <v>4</v>
      </c>
      <c r="AY53" s="278" t="n">
        <f aca="false">AS53+AU53+AV53</f>
        <v>0</v>
      </c>
      <c r="AZ53" s="278" t="n">
        <f aca="false">BD53+BF53+BH53+BJ53+BL53</f>
        <v>1</v>
      </c>
      <c r="BA53" s="279" t="n">
        <f aca="false">AX53+BC53</f>
        <v>5</v>
      </c>
      <c r="BB53" s="279"/>
      <c r="BC53" s="278" t="n">
        <f aca="false">BE53+BG53+BI53+BK53+BM53</f>
        <v>1</v>
      </c>
      <c r="BD53" s="278" t="n">
        <f aca="false">COUNTIF(A53:AH53,"*$BTP*")</f>
        <v>0</v>
      </c>
      <c r="BE53" s="278" t="n">
        <f aca="false">BD53*1.5</f>
        <v>0</v>
      </c>
      <c r="BF53" s="278" t="n">
        <f aca="false">COUNTIF(A53:AH53,"*$M*")</f>
        <v>1</v>
      </c>
      <c r="BG53" s="278" t="n">
        <f aca="false">BF53*1</f>
        <v>1</v>
      </c>
      <c r="BH53" s="278" t="n">
        <f aca="false">COUNTIF(A53:AH53,"*$PM*")</f>
        <v>0</v>
      </c>
      <c r="BI53" s="278" t="n">
        <f aca="false">BH53*0.5</f>
        <v>0</v>
      </c>
      <c r="BJ53" s="278" t="n">
        <f aca="false">COUNTIF(A53:AH53,"*$AM*")</f>
        <v>0</v>
      </c>
      <c r="BK53" s="278" t="n">
        <f aca="false">BJ53*0.5</f>
        <v>0</v>
      </c>
      <c r="BL53" s="278" t="n">
        <f aca="false">COUNTIF(A53:AH53,"*$FC*")</f>
        <v>0</v>
      </c>
      <c r="BM53" s="278" t="n">
        <f aca="false">BL53*1</f>
        <v>0</v>
      </c>
      <c r="BN53" s="278" t="n">
        <f aca="false">COUNTIF($E53:$AG53,BN$4)</f>
        <v>0</v>
      </c>
      <c r="BO53" s="278" t="n">
        <f aca="false">COUNTIF($E53:$AG53,BO$4)</f>
        <v>0</v>
      </c>
      <c r="BP53" s="278" t="n">
        <f aca="false">COUNTIF($E53:$Y53,BP$4)</f>
        <v>0</v>
      </c>
      <c r="BQ53" s="280"/>
    </row>
    <row r="54" customFormat="false" ht="19.5" hidden="false" customHeight="true" outlineLevel="0" collapsed="false">
      <c r="A54" s="280"/>
      <c r="B54" s="280" t="s">
        <v>835</v>
      </c>
      <c r="C54" s="317"/>
      <c r="D54" s="317" t="s">
        <v>65</v>
      </c>
      <c r="E54" s="317"/>
      <c r="F54" s="266" t="s">
        <v>56</v>
      </c>
      <c r="G54" s="320" t="s">
        <v>867</v>
      </c>
      <c r="H54" s="317" t="s">
        <v>671</v>
      </c>
      <c r="I54" s="266"/>
      <c r="J54" s="266"/>
      <c r="K54" s="317" t="s">
        <v>58</v>
      </c>
      <c r="L54" s="317"/>
      <c r="M54" s="280"/>
      <c r="N54" s="280" t="s">
        <v>65</v>
      </c>
      <c r="O54" s="266"/>
      <c r="P54" s="280"/>
      <c r="Q54" s="280" t="s">
        <v>56</v>
      </c>
      <c r="R54" s="317" t="s">
        <v>57</v>
      </c>
      <c r="S54" s="317"/>
      <c r="T54" s="317"/>
      <c r="U54" s="317"/>
      <c r="V54" s="317"/>
      <c r="W54" s="317" t="s">
        <v>58</v>
      </c>
      <c r="X54" s="317"/>
      <c r="Y54" s="317"/>
      <c r="Z54" s="92"/>
      <c r="AA54" s="317"/>
      <c r="AB54" s="266" t="s">
        <v>57</v>
      </c>
      <c r="AC54" s="317"/>
      <c r="AD54" s="317"/>
      <c r="AF54" s="317"/>
      <c r="AG54" s="317"/>
      <c r="AH54" s="272" t="n">
        <f aca="false">COUNTIF($C54:$AF54,AH$4)</f>
        <v>2</v>
      </c>
      <c r="AI54" s="272" t="n">
        <f aca="false">COUNTIF($C54:$AF54,AI$4)</f>
        <v>2</v>
      </c>
      <c r="AJ54" s="272" t="n">
        <f aca="false">COUNTIF($C54:$AF54,AJ$4)</f>
        <v>0</v>
      </c>
      <c r="AK54" s="272" t="n">
        <f aca="false">COUNTIF($C54:$AF54,AK$4)</f>
        <v>0</v>
      </c>
      <c r="AL54" s="272" t="n">
        <f aca="false">COUNTIF($C54:$AF54,AL$4)</f>
        <v>2</v>
      </c>
      <c r="AM54" s="272" t="n">
        <f aca="false">COUNTIF($C54:$AF54,AM$4)</f>
        <v>0</v>
      </c>
      <c r="AN54" s="272" t="n">
        <f aca="false">COUNTIF($C54:$AF54,AN$4)</f>
        <v>2</v>
      </c>
      <c r="AO54" s="272" t="n">
        <f aca="false">COUNTIF($C54:$AF54,AO$4)</f>
        <v>0</v>
      </c>
      <c r="AP54" s="272" t="n">
        <f aca="false">COUNTIF($C54:$AF54,AP$4)</f>
        <v>0</v>
      </c>
      <c r="AQ54" s="279"/>
      <c r="AR54" s="279"/>
      <c r="AS54" s="278" t="n">
        <f aca="false">SUMPRODUCT(--(WEEKDAY(C$3:AG$3,2)&lt;5),--ISNUMBER(MATCH(C54:AG54,{"SB1","SB2"},0)))</f>
        <v>1</v>
      </c>
      <c r="AT54" s="272"/>
      <c r="AU54" s="278" t="n">
        <f aca="false">SUMPRODUCT(--(WEEKDAY(C$3:AG$3,2)=5),--ISNUMBER(MATCH(C54:AG54,{"SB1","SB2"},0)))</f>
        <v>0</v>
      </c>
      <c r="AV54" s="278" t="n">
        <f aca="false">SUMPRODUCT(--(WEEKDAY(C$3:AG$3,2)&gt;5),--ISNUMBER(MATCH(C54:AG54,{"SB1","SB2"},0)))</f>
        <v>1</v>
      </c>
      <c r="AW54" s="272"/>
      <c r="AX54" s="278" t="n">
        <f aca="false">(AS54-AT54)+AU54*1.5+(AV54-AW54)*2+(AO54+AH54+AI54+AJ54+AK54+AN54)*0.5+AQ54-AR54</f>
        <v>6</v>
      </c>
      <c r="AY54" s="278" t="n">
        <f aca="false">AS54+AU54+AV54</f>
        <v>2</v>
      </c>
      <c r="AZ54" s="278" t="n">
        <f aca="false">BD54+BF54+BH54+BJ54+BL54</f>
        <v>1</v>
      </c>
      <c r="BA54" s="279" t="n">
        <f aca="false">AX54+BC54</f>
        <v>7</v>
      </c>
      <c r="BB54" s="279"/>
      <c r="BC54" s="278" t="n">
        <f aca="false">BE54+BG54+BI54+BK54+BM54</f>
        <v>1</v>
      </c>
      <c r="BD54" s="278" t="n">
        <f aca="false">COUNTIF(A54:AH54,"*$BTP*")</f>
        <v>0</v>
      </c>
      <c r="BE54" s="278" t="n">
        <f aca="false">BD54*1.5</f>
        <v>0</v>
      </c>
      <c r="BF54" s="278" t="n">
        <f aca="false">COUNTIF(A54:AH54,"*$M*")</f>
        <v>1</v>
      </c>
      <c r="BG54" s="278" t="n">
        <f aca="false">BF54*1</f>
        <v>1</v>
      </c>
      <c r="BH54" s="278" t="n">
        <f aca="false">COUNTIF(A54:AH54,"*$PM*")</f>
        <v>0</v>
      </c>
      <c r="BI54" s="278" t="n">
        <f aca="false">BH54*0.5</f>
        <v>0</v>
      </c>
      <c r="BJ54" s="278" t="n">
        <f aca="false">COUNTIF(A54:AH54,"*$AM*")</f>
        <v>0</v>
      </c>
      <c r="BK54" s="278" t="n">
        <f aca="false">BJ54*0.5</f>
        <v>0</v>
      </c>
      <c r="BL54" s="278" t="n">
        <f aca="false">COUNTIF(A54:AH54,"*$FC*")</f>
        <v>0</v>
      </c>
      <c r="BM54" s="278" t="n">
        <f aca="false">BL54*1</f>
        <v>0</v>
      </c>
      <c r="BN54" s="278" t="n">
        <f aca="false">COUNTIF($E54:$AG54,BN$4)</f>
        <v>0</v>
      </c>
      <c r="BO54" s="278" t="n">
        <f aca="false">COUNTIF($E54:$AG54,BO$4)</f>
        <v>0</v>
      </c>
      <c r="BP54" s="278" t="n">
        <f aca="false">COUNTIF($D54:$Y54,BP$4)</f>
        <v>0</v>
      </c>
      <c r="BQ54" s="280"/>
    </row>
    <row r="55" customFormat="false" ht="19.5" hidden="false" customHeight="true" outlineLevel="0" collapsed="false">
      <c r="A55" s="280"/>
      <c r="B55" s="280" t="s">
        <v>836</v>
      </c>
      <c r="C55" s="317"/>
      <c r="D55" s="92" t="s">
        <v>56</v>
      </c>
      <c r="E55" s="317" t="s">
        <v>680</v>
      </c>
      <c r="F55" s="266" t="s">
        <v>892</v>
      </c>
      <c r="G55" s="280" t="s">
        <v>261</v>
      </c>
      <c r="H55" s="317"/>
      <c r="I55" s="280"/>
      <c r="J55" s="280"/>
      <c r="K55" s="317" t="s">
        <v>56</v>
      </c>
      <c r="L55" s="317"/>
      <c r="M55" s="280" t="s">
        <v>65</v>
      </c>
      <c r="N55" s="280"/>
      <c r="O55" s="280"/>
      <c r="P55" s="280"/>
      <c r="Q55" s="280"/>
      <c r="R55" s="266" t="s">
        <v>93</v>
      </c>
      <c r="S55" s="317"/>
      <c r="T55" s="317" t="s">
        <v>93</v>
      </c>
      <c r="U55" s="283"/>
      <c r="V55" s="283"/>
      <c r="W55" s="92"/>
      <c r="X55" s="280"/>
      <c r="Y55" s="280"/>
      <c r="Z55" s="280"/>
      <c r="AA55" s="280" t="s">
        <v>56</v>
      </c>
      <c r="AB55" s="280" t="s">
        <v>822</v>
      </c>
      <c r="AC55" s="280" t="s">
        <v>58</v>
      </c>
      <c r="AD55" s="280"/>
      <c r="AE55" s="280" t="s">
        <v>904</v>
      </c>
      <c r="AF55" s="280" t="s">
        <v>904</v>
      </c>
      <c r="AG55" s="266"/>
      <c r="AH55" s="272" t="n">
        <f aca="false">COUNTIF($C55:$AF55,AH$4)</f>
        <v>0</v>
      </c>
      <c r="AI55" s="272" t="n">
        <f aca="false">COUNTIF($C55:$AF55,AI$4)</f>
        <v>3</v>
      </c>
      <c r="AJ55" s="272" t="n">
        <f aca="false">COUNTIF($C55:$AF55,AJ$4)</f>
        <v>0</v>
      </c>
      <c r="AK55" s="272" t="n">
        <f aca="false">COUNTIF($C55:$AF55,AK$4)</f>
        <v>0</v>
      </c>
      <c r="AL55" s="272" t="n">
        <f aca="false">COUNTIF($C55:$AF55,AL$4)</f>
        <v>1</v>
      </c>
      <c r="AM55" s="272" t="n">
        <f aca="false">COUNTIF($C55:$AF55,AM$4)</f>
        <v>2</v>
      </c>
      <c r="AN55" s="272" t="n">
        <f aca="false">COUNTIF($C55:$AF55,AN$4)</f>
        <v>1</v>
      </c>
      <c r="AO55" s="272" t="n">
        <f aca="false">COUNTIF($C55:$AF55,AO$4)</f>
        <v>0</v>
      </c>
      <c r="AP55" s="272" t="n">
        <f aca="false">COUNTIF($C55:$AF55,AP$4)</f>
        <v>0</v>
      </c>
      <c r="AQ55" s="279"/>
      <c r="AR55" s="279"/>
      <c r="AS55" s="278" t="n">
        <f aca="false">SUMPRODUCT(--(WEEKDAY(C$3:AG$3,2)&lt;5),--ISNUMBER(MATCH(C55:AG55,{"SB1","SB2"},0)))</f>
        <v>2</v>
      </c>
      <c r="AT55" s="272"/>
      <c r="AU55" s="278" t="n">
        <f aca="false">SUMPRODUCT(--(WEEKDAY(C$3:AG$3,2)=5),--ISNUMBER(MATCH(C55:AG55,{"SB1","SB2"},0)))</f>
        <v>0</v>
      </c>
      <c r="AV55" s="278" t="n">
        <f aca="false">SUMPRODUCT(--(WEEKDAY(C$3:AG$3,2)&gt;5),--ISNUMBER(MATCH(C55:AG55,{"SB1","SB2"},0)))</f>
        <v>1</v>
      </c>
      <c r="AW55" s="272"/>
      <c r="AX55" s="278" t="n">
        <f aca="false">(AS55-AT55)+AU55*1.5+(AV55-AW55)*2+(AO55+AH55+AI55+AJ55+AK55+AN55)*0.5+AQ55-AR55</f>
        <v>6</v>
      </c>
      <c r="AY55" s="278" t="n">
        <f aca="false">AS55+AU55+AV55</f>
        <v>3</v>
      </c>
      <c r="AZ55" s="278" t="n">
        <f aca="false">BD55+BF55+BH55+BJ55+BL55</f>
        <v>1</v>
      </c>
      <c r="BA55" s="279" t="n">
        <f aca="false">AX55+BC55</f>
        <v>7</v>
      </c>
      <c r="BB55" s="279"/>
      <c r="BC55" s="278" t="n">
        <f aca="false">BE55+BG55+BI55+BK55+BM55</f>
        <v>1</v>
      </c>
      <c r="BD55" s="278" t="n">
        <f aca="false">COUNTIF(A55:AH55,"*$BTP*")</f>
        <v>0</v>
      </c>
      <c r="BE55" s="278" t="n">
        <f aca="false">BD55*1.5</f>
        <v>0</v>
      </c>
      <c r="BF55" s="278" t="n">
        <f aca="false">COUNTIF(A55:AH55,"*$M*")</f>
        <v>1</v>
      </c>
      <c r="BG55" s="278" t="n">
        <f aca="false">BF55*1</f>
        <v>1</v>
      </c>
      <c r="BH55" s="278" t="n">
        <f aca="false">COUNTIF(A55:AH55,"*$PM*")</f>
        <v>0</v>
      </c>
      <c r="BI55" s="278" t="n">
        <f aca="false">BH55*0.5</f>
        <v>0</v>
      </c>
      <c r="BJ55" s="278" t="n">
        <f aca="false">COUNTIF(A55:AH55,"*$AM*")</f>
        <v>0</v>
      </c>
      <c r="BK55" s="278" t="n">
        <f aca="false">BJ55*0.5</f>
        <v>0</v>
      </c>
      <c r="BL55" s="278" t="n">
        <f aca="false">COUNTIF(A55:AH55,"*$FC*")</f>
        <v>0</v>
      </c>
      <c r="BM55" s="278" t="n">
        <f aca="false">BL55*1</f>
        <v>0</v>
      </c>
      <c r="BN55" s="278" t="n">
        <f aca="false">COUNTIF($E55:$AG55,BN$4)</f>
        <v>0</v>
      </c>
      <c r="BO55" s="278" t="n">
        <f aca="false">COUNTIF($E55:$AG55,BO$4)</f>
        <v>0</v>
      </c>
      <c r="BP55" s="278" t="n">
        <f aca="false">COUNTIF($E55:$Y55,BP$4)</f>
        <v>0</v>
      </c>
      <c r="BQ55" s="280"/>
    </row>
    <row r="56" customFormat="false" ht="19.5" hidden="false" customHeight="true" outlineLevel="0" collapsed="false">
      <c r="A56" s="280"/>
      <c r="B56" s="280" t="s">
        <v>838</v>
      </c>
      <c r="C56" s="317"/>
      <c r="D56" s="317"/>
      <c r="E56" s="317" t="s">
        <v>57</v>
      </c>
      <c r="F56" s="33"/>
      <c r="G56" s="320" t="s">
        <v>867</v>
      </c>
      <c r="H56" s="317" t="s">
        <v>671</v>
      </c>
      <c r="I56" s="266"/>
      <c r="J56" s="280" t="s">
        <v>58</v>
      </c>
      <c r="K56" s="317" t="s">
        <v>350</v>
      </c>
      <c r="L56" s="92"/>
      <c r="M56" s="280" t="s">
        <v>770</v>
      </c>
      <c r="N56" s="280" t="s">
        <v>57</v>
      </c>
      <c r="O56" s="280"/>
      <c r="P56" s="280"/>
      <c r="Q56" s="266"/>
      <c r="R56" s="317"/>
      <c r="S56" s="317"/>
      <c r="T56" s="91" t="s">
        <v>905</v>
      </c>
      <c r="U56" s="91" t="s">
        <v>54</v>
      </c>
      <c r="V56" s="91" t="s">
        <v>54</v>
      </c>
      <c r="W56" s="91" t="s">
        <v>54</v>
      </c>
      <c r="X56" s="91" t="s">
        <v>54</v>
      </c>
      <c r="Y56" s="91" t="s">
        <v>54</v>
      </c>
      <c r="Z56" s="91" t="s">
        <v>54</v>
      </c>
      <c r="AA56" s="91" t="s">
        <v>906</v>
      </c>
      <c r="AB56" s="92" t="s">
        <v>906</v>
      </c>
      <c r="AC56" s="280"/>
      <c r="AD56" s="280"/>
      <c r="AE56" s="266" t="s">
        <v>907</v>
      </c>
      <c r="AF56" s="317" t="s">
        <v>908</v>
      </c>
      <c r="AG56" s="91"/>
      <c r="AH56" s="272" t="n">
        <f aca="false">COUNTIF($C56:$AF56,AH$4)</f>
        <v>2</v>
      </c>
      <c r="AI56" s="272" t="n">
        <f aca="false">COUNTIF($C56:$AF56,AI$4)</f>
        <v>0</v>
      </c>
      <c r="AJ56" s="272" t="n">
        <f aca="false">COUNTIF($C56:$AF56,AJ$4)</f>
        <v>0</v>
      </c>
      <c r="AK56" s="272" t="n">
        <f aca="false">COUNTIF($C56:$AF56,AK$4)</f>
        <v>0</v>
      </c>
      <c r="AL56" s="272" t="n">
        <f aca="false">COUNTIF($C56:$AF56,AL$4)</f>
        <v>1</v>
      </c>
      <c r="AM56" s="272" t="n">
        <f aca="false">COUNTIF($C56:$AF56,AM$4)</f>
        <v>0</v>
      </c>
      <c r="AN56" s="272" t="n">
        <f aca="false">COUNTIF($C56:$AF56,AN$4)</f>
        <v>0</v>
      </c>
      <c r="AO56" s="272" t="n">
        <f aca="false">COUNTIF($C56:$AF56,AO$4)</f>
        <v>0</v>
      </c>
      <c r="AP56" s="272" t="n">
        <f aca="false">COUNTIF($C56:$AF56,AP$4)</f>
        <v>0</v>
      </c>
      <c r="AQ56" s="279"/>
      <c r="AR56" s="279"/>
      <c r="AS56" s="278" t="n">
        <f aca="false">SUMPRODUCT(--(WEEKDAY(C$3:AG$3,2)&lt;5),--ISNUMBER(MATCH(C56:AG56,{"SB1","SB2"},0)))</f>
        <v>1</v>
      </c>
      <c r="AT56" s="272"/>
      <c r="AU56" s="278" t="n">
        <f aca="false">SUMPRODUCT(--(WEEKDAY(C$3:AG$3,2)=5),--ISNUMBER(MATCH(C56:AG56,{"SB1","SB2"},0)))</f>
        <v>0</v>
      </c>
      <c r="AV56" s="278" t="n">
        <f aca="false">SUMPRODUCT(--(WEEKDAY(C$3:AG$3,2)&gt;5),--ISNUMBER(MATCH(C56:AG56,{"SB1","SB2"},0)))</f>
        <v>0</v>
      </c>
      <c r="AW56" s="272"/>
      <c r="AX56" s="278" t="n">
        <f aca="false">(AS56-AT56)+AU56*1.5+(AV56-AW56)*2+(AO56+AH56+AI56+AJ56+AK56+AN56)*0.5+AQ56-AR56</f>
        <v>2</v>
      </c>
      <c r="AY56" s="278" t="n">
        <f aca="false">AS56+AU56+AV56</f>
        <v>1</v>
      </c>
      <c r="AZ56" s="278" t="n">
        <f aca="false">BD56+BF56+BH56+BJ56+BL56</f>
        <v>2</v>
      </c>
      <c r="BA56" s="279" t="n">
        <f aca="false">AX56+BC56</f>
        <v>3.5</v>
      </c>
      <c r="BB56" s="279"/>
      <c r="BC56" s="278" t="n">
        <f aca="false">BE56+BG56+BI56+BK56+BM56</f>
        <v>1.5</v>
      </c>
      <c r="BD56" s="278" t="n">
        <f aca="false">COUNTIF(A56:AH56,"*$BTP*")</f>
        <v>0</v>
      </c>
      <c r="BE56" s="278" t="n">
        <f aca="false">BD56*1.5</f>
        <v>0</v>
      </c>
      <c r="BF56" s="278" t="n">
        <f aca="false">COUNTIF(A56:AH56,"*$M*")</f>
        <v>1</v>
      </c>
      <c r="BG56" s="278" t="n">
        <f aca="false">BF56*1</f>
        <v>1</v>
      </c>
      <c r="BH56" s="278" t="n">
        <f aca="false">COUNTIF(A56:AH56,"*$PM*")</f>
        <v>1</v>
      </c>
      <c r="BI56" s="278" t="n">
        <f aca="false">BH56*0.5</f>
        <v>0.5</v>
      </c>
      <c r="BJ56" s="278" t="n">
        <f aca="false">COUNTIF(A56:AH56,"*$AM*")</f>
        <v>0</v>
      </c>
      <c r="BK56" s="278" t="n">
        <f aca="false">BJ56*0.5</f>
        <v>0</v>
      </c>
      <c r="BL56" s="278" t="n">
        <f aca="false">COUNTIF(A56:AH56,"*$FC*")</f>
        <v>0</v>
      </c>
      <c r="BM56" s="278" t="n">
        <f aca="false">BL56*1</f>
        <v>0</v>
      </c>
      <c r="BN56" s="278" t="n">
        <f aca="false">COUNTIF($E56:$AG56,BN$4)</f>
        <v>0</v>
      </c>
      <c r="BO56" s="278" t="n">
        <f aca="false">COUNTIF($E56:$AG56,BO$4)</f>
        <v>1</v>
      </c>
      <c r="BP56" s="278" t="n">
        <f aca="false">COUNTIF($D56:$Y56,BP$4)</f>
        <v>0</v>
      </c>
      <c r="BQ56" s="280"/>
    </row>
    <row r="57" customFormat="false" ht="19.5" hidden="false" customHeight="true" outlineLevel="0" collapsed="false">
      <c r="A57" s="280"/>
      <c r="B57" s="280" t="s">
        <v>840</v>
      </c>
      <c r="C57" s="317"/>
      <c r="D57" s="317" t="s">
        <v>507</v>
      </c>
      <c r="E57" s="317" t="s">
        <v>54</v>
      </c>
      <c r="F57" s="317" t="s">
        <v>54</v>
      </c>
      <c r="G57" s="317" t="s">
        <v>54</v>
      </c>
      <c r="H57" s="280"/>
      <c r="I57" s="280" t="s">
        <v>58</v>
      </c>
      <c r="J57" s="280"/>
      <c r="K57" s="317" t="s">
        <v>57</v>
      </c>
      <c r="L57" s="317" t="s">
        <v>57</v>
      </c>
      <c r="M57" s="280"/>
      <c r="N57" s="280"/>
      <c r="O57" s="280"/>
      <c r="P57" s="280"/>
      <c r="Q57" s="280"/>
      <c r="R57" s="317"/>
      <c r="S57" s="317" t="s">
        <v>57</v>
      </c>
      <c r="T57" s="266" t="s">
        <v>909</v>
      </c>
      <c r="U57" s="283"/>
      <c r="V57" s="280"/>
      <c r="W57" s="283"/>
      <c r="X57" s="280"/>
      <c r="Y57" s="266" t="s">
        <v>350</v>
      </c>
      <c r="Z57" s="317"/>
      <c r="AA57" s="280" t="s">
        <v>57</v>
      </c>
      <c r="AB57" s="280"/>
      <c r="AC57" s="280"/>
      <c r="AD57" s="280"/>
      <c r="AE57" s="266"/>
      <c r="AF57" s="317" t="s">
        <v>910</v>
      </c>
      <c r="AG57" s="317"/>
      <c r="AH57" s="272" t="n">
        <f aca="false">COUNTIF($C57:$AF57,AH$4)</f>
        <v>4</v>
      </c>
      <c r="AI57" s="272" t="n">
        <f aca="false">COUNTIF($C57:$AF57,AI$4)</f>
        <v>0</v>
      </c>
      <c r="AJ57" s="272" t="n">
        <f aca="false">COUNTIF($C57:$AF57,AJ$4)</f>
        <v>0</v>
      </c>
      <c r="AK57" s="272" t="n">
        <f aca="false">COUNTIF($C57:$AF57,AK$4)</f>
        <v>0</v>
      </c>
      <c r="AL57" s="272" t="n">
        <f aca="false">COUNTIF($C57:$AF57,AL$4)</f>
        <v>1</v>
      </c>
      <c r="AM57" s="272" t="n">
        <f aca="false">COUNTIF($C57:$AF57,AM$4)</f>
        <v>0</v>
      </c>
      <c r="AN57" s="272" t="n">
        <f aca="false">COUNTIF($C57:$AF57,AN$4)</f>
        <v>0</v>
      </c>
      <c r="AO57" s="272" t="n">
        <f aca="false">COUNTIF($C57:$AF57,AO$4)</f>
        <v>0</v>
      </c>
      <c r="AP57" s="272" t="n">
        <f aca="false">COUNTIF($C57:$AF57,AP$4)</f>
        <v>0</v>
      </c>
      <c r="AQ57" s="279"/>
      <c r="AR57" s="279"/>
      <c r="AS57" s="278" t="n">
        <f aca="false">SUMPRODUCT(--(WEEKDAY(C$3:AG$3,2)&lt;5),--ISNUMBER(MATCH(C57:AG57,{"SB1","SB2"},0)))</f>
        <v>0</v>
      </c>
      <c r="AT57" s="272"/>
      <c r="AU57" s="278" t="n">
        <f aca="false">SUMPRODUCT(--(WEEKDAY(C$3:AG$3,2)=5),--ISNUMBER(MATCH(C57:AG57,{"SB1","SB2"},0)))</f>
        <v>0</v>
      </c>
      <c r="AV57" s="278" t="n">
        <f aca="false">SUMPRODUCT(--(WEEKDAY(C$3:AG$3,2)&gt;5),--ISNUMBER(MATCH(C57:AG57,{"SB1","SB2"},0)))</f>
        <v>1</v>
      </c>
      <c r="AW57" s="272"/>
      <c r="AX57" s="278" t="n">
        <f aca="false">(AS57-AT57)+AU57*1.5+(AV57-AW57)*2+(AO57+AH57+AI57+AJ57+AK57+AN57)*0.5+AQ57-AR57</f>
        <v>4</v>
      </c>
      <c r="AY57" s="278" t="n">
        <f aca="false">AS57+AU57+AV57</f>
        <v>1</v>
      </c>
      <c r="AZ57" s="278" t="n">
        <f aca="false">BD57+BF57+BH57+BJ57+BL57</f>
        <v>1</v>
      </c>
      <c r="BA57" s="279" t="n">
        <f aca="false">AX57+BC57</f>
        <v>4.5</v>
      </c>
      <c r="BB57" s="279"/>
      <c r="BC57" s="278" t="n">
        <f aca="false">BE57+BG57+BI57+BK57+BM57</f>
        <v>0.5</v>
      </c>
      <c r="BD57" s="278" t="n">
        <f aca="false">COUNTIF(A57:AH57,"*$BTP*")</f>
        <v>0</v>
      </c>
      <c r="BE57" s="278" t="n">
        <f aca="false">BD57*1.5</f>
        <v>0</v>
      </c>
      <c r="BF57" s="278" t="n">
        <f aca="false">COUNTIF(A57:AH57,"*$M*")</f>
        <v>0</v>
      </c>
      <c r="BG57" s="278" t="n">
        <f aca="false">BF57*1</f>
        <v>0</v>
      </c>
      <c r="BH57" s="278" t="n">
        <f aca="false">COUNTIF(A57:AH57,"*$PM*")</f>
        <v>0</v>
      </c>
      <c r="BI57" s="278" t="n">
        <f aca="false">BH57*0.5</f>
        <v>0</v>
      </c>
      <c r="BJ57" s="278" t="n">
        <f aca="false">COUNTIF(A57:AH57,"*$AM*")</f>
        <v>1</v>
      </c>
      <c r="BK57" s="278" t="n">
        <f aca="false">BJ57*0.5</f>
        <v>0.5</v>
      </c>
      <c r="BL57" s="278" t="n">
        <f aca="false">COUNTIF(A57:AH57,"*$FC*")</f>
        <v>0</v>
      </c>
      <c r="BM57" s="278" t="n">
        <f aca="false">BL57*1</f>
        <v>0</v>
      </c>
      <c r="BN57" s="278" t="n">
        <f aca="false">COUNTIF($E57:$AG57,BN$4)</f>
        <v>0</v>
      </c>
      <c r="BO57" s="278" t="n">
        <f aca="false">COUNTIF($E57:$AG57,BO$4)</f>
        <v>1</v>
      </c>
      <c r="BP57" s="278" t="n">
        <f aca="false">COUNTIF($D57:$X57,BP$4)</f>
        <v>0</v>
      </c>
      <c r="BQ57" s="280"/>
    </row>
    <row r="58" customFormat="false" ht="19.5" hidden="false" customHeight="true" outlineLevel="0" collapsed="false">
      <c r="A58" s="280"/>
      <c r="B58" s="280" t="s">
        <v>844</v>
      </c>
      <c r="C58" s="317"/>
      <c r="D58" s="317"/>
      <c r="E58" s="317"/>
      <c r="F58" s="280" t="s">
        <v>65</v>
      </c>
      <c r="G58" s="320" t="s">
        <v>867</v>
      </c>
      <c r="H58" s="317" t="s">
        <v>671</v>
      </c>
      <c r="I58" s="280"/>
      <c r="J58" s="280" t="s">
        <v>56</v>
      </c>
      <c r="K58" s="317"/>
      <c r="L58" s="266"/>
      <c r="M58" s="92"/>
      <c r="N58" s="280"/>
      <c r="O58" s="280"/>
      <c r="P58" s="91"/>
      <c r="Q58" s="280" t="s">
        <v>58</v>
      </c>
      <c r="R58" s="317"/>
      <c r="S58" s="91"/>
      <c r="T58" s="317" t="s">
        <v>350</v>
      </c>
      <c r="U58" s="92"/>
      <c r="V58" s="266"/>
      <c r="W58" s="283"/>
      <c r="X58" s="280"/>
      <c r="Y58" s="317" t="s">
        <v>58</v>
      </c>
      <c r="Z58" s="317"/>
      <c r="AA58" s="280"/>
      <c r="AB58" s="280" t="s">
        <v>56</v>
      </c>
      <c r="AC58" s="280"/>
      <c r="AD58" s="280" t="s">
        <v>93</v>
      </c>
      <c r="AE58" s="280" t="s">
        <v>57</v>
      </c>
      <c r="AF58" s="280"/>
      <c r="AG58" s="280"/>
      <c r="AH58" s="272" t="n">
        <f aca="false">COUNTIF($C58:$AF58,AH$4)</f>
        <v>1</v>
      </c>
      <c r="AI58" s="272" t="n">
        <f aca="false">COUNTIF($C58:$AF58,AI$4)</f>
        <v>2</v>
      </c>
      <c r="AJ58" s="272" t="n">
        <f aca="false">COUNTIF($C58:$AF58,AJ$4)</f>
        <v>0</v>
      </c>
      <c r="AK58" s="272" t="n">
        <f aca="false">COUNTIF($C58:$AF58,AK$4)</f>
        <v>0</v>
      </c>
      <c r="AL58" s="272" t="n">
        <f aca="false">COUNTIF($C58:$AF58,AL$4)</f>
        <v>2</v>
      </c>
      <c r="AM58" s="272" t="n">
        <f aca="false">COUNTIF($C58:$AF58,AM$4)</f>
        <v>1</v>
      </c>
      <c r="AN58" s="272" t="n">
        <f aca="false">COUNTIF($C58:$AF58,AN$4)</f>
        <v>1</v>
      </c>
      <c r="AO58" s="272" t="n">
        <f aca="false">COUNTIF($C58:$AF58,AO$4)</f>
        <v>0</v>
      </c>
      <c r="AP58" s="272" t="n">
        <f aca="false">COUNTIF($C58:$AF58,AP$4)</f>
        <v>0</v>
      </c>
      <c r="AQ58" s="279"/>
      <c r="AR58" s="279"/>
      <c r="AS58" s="278" t="n">
        <f aca="false">SUMPRODUCT(--(WEEKDAY(C$3:AG$3,2)&lt;5),--ISNUMBER(MATCH(C58:AG58,{"SB1","SB2"},0)))</f>
        <v>2</v>
      </c>
      <c r="AT58" s="272"/>
      <c r="AU58" s="278" t="n">
        <f aca="false">SUMPRODUCT(--(WEEKDAY(C$3:AG$3,2)=5),--ISNUMBER(MATCH(C58:AG58,{"SB1","SB2"},0)))</f>
        <v>0</v>
      </c>
      <c r="AV58" s="278" t="n">
        <f aca="false">SUMPRODUCT(--(WEEKDAY(C$3:AG$3,2)&gt;5),--ISNUMBER(MATCH(C58:AG58,{"SB1","SB2"},0)))</f>
        <v>1</v>
      </c>
      <c r="AW58" s="272"/>
      <c r="AX58" s="278" t="n">
        <f aca="false">(AS58-AT58)+AU58*1.5+(AV58-AW58)*2+(AO58+AH58+AI58+AJ58+AK58+AN58)*0.5+AQ58-AR58</f>
        <v>6</v>
      </c>
      <c r="AY58" s="278" t="n">
        <f aca="false">AS58+AU58+AV58</f>
        <v>3</v>
      </c>
      <c r="AZ58" s="278" t="n">
        <f aca="false">BD58+BF58+BH58+BJ58+BL58</f>
        <v>1</v>
      </c>
      <c r="BA58" s="279" t="n">
        <f aca="false">AX58+BC58</f>
        <v>7</v>
      </c>
      <c r="BB58" s="279"/>
      <c r="BC58" s="278" t="n">
        <f aca="false">BE58+BG58+BI58+BK58+BM58</f>
        <v>1</v>
      </c>
      <c r="BD58" s="278" t="n">
        <f aca="false">COUNTIF(A58:AH58,"*$BTP*")</f>
        <v>0</v>
      </c>
      <c r="BE58" s="278" t="n">
        <f aca="false">BD58*1.5</f>
        <v>0</v>
      </c>
      <c r="BF58" s="278" t="n">
        <f aca="false">COUNTIF(A58:AH58,"*$M*")</f>
        <v>1</v>
      </c>
      <c r="BG58" s="278" t="n">
        <f aca="false">BF58*1</f>
        <v>1</v>
      </c>
      <c r="BH58" s="278" t="n">
        <f aca="false">COUNTIF(A58:AH58,"*$PM*")</f>
        <v>0</v>
      </c>
      <c r="BI58" s="278" t="n">
        <f aca="false">BH58*0.5</f>
        <v>0</v>
      </c>
      <c r="BJ58" s="278" t="n">
        <f aca="false">COUNTIF(A58:AH58,"*$AM*")</f>
        <v>0</v>
      </c>
      <c r="BK58" s="278" t="n">
        <f aca="false">BJ58*0.5</f>
        <v>0</v>
      </c>
      <c r="BL58" s="278" t="n">
        <f aca="false">COUNTIF(A58:AH58,"*$FC*")</f>
        <v>0</v>
      </c>
      <c r="BM58" s="278" t="n">
        <f aca="false">BL58*1</f>
        <v>0</v>
      </c>
      <c r="BN58" s="278" t="n">
        <f aca="false">COUNTIF($E58:$AG58,BN$4)</f>
        <v>0</v>
      </c>
      <c r="BO58" s="278" t="n">
        <f aca="false">COUNTIF($E58:$AG58,BO$4)</f>
        <v>1</v>
      </c>
      <c r="BP58" s="278" t="n">
        <f aca="false">COUNTIF($D58:$Y58,BP$4)</f>
        <v>0</v>
      </c>
      <c r="BQ58" s="280"/>
    </row>
    <row r="59" customFormat="false" ht="19.5" hidden="false" customHeight="true" outlineLevel="0" collapsed="false">
      <c r="A59" s="280"/>
      <c r="B59" s="280" t="s">
        <v>848</v>
      </c>
      <c r="C59" s="317"/>
      <c r="D59" s="91" t="s">
        <v>896</v>
      </c>
      <c r="E59" s="317" t="s">
        <v>56</v>
      </c>
      <c r="F59" s="280"/>
      <c r="G59" s="320" t="s">
        <v>867</v>
      </c>
      <c r="H59" s="317" t="s">
        <v>671</v>
      </c>
      <c r="I59" s="280"/>
      <c r="J59" s="280"/>
      <c r="K59" s="317"/>
      <c r="L59" s="317"/>
      <c r="M59" s="280" t="s">
        <v>57</v>
      </c>
      <c r="N59" s="280"/>
      <c r="O59" s="280"/>
      <c r="P59" s="280"/>
      <c r="Q59" s="280" t="s">
        <v>65</v>
      </c>
      <c r="R59" s="317"/>
      <c r="S59" s="266"/>
      <c r="T59" s="317"/>
      <c r="U59" s="92"/>
      <c r="V59" s="280"/>
      <c r="W59" s="280"/>
      <c r="X59" s="280" t="s">
        <v>57</v>
      </c>
      <c r="Y59" s="266" t="s">
        <v>911</v>
      </c>
      <c r="Z59" s="317"/>
      <c r="AA59" s="283" t="s">
        <v>93</v>
      </c>
      <c r="AB59" s="280"/>
      <c r="AC59" s="280"/>
      <c r="AD59" s="280"/>
      <c r="AE59" s="280" t="s">
        <v>912</v>
      </c>
      <c r="AF59" s="317" t="s">
        <v>913</v>
      </c>
      <c r="AG59" s="317"/>
      <c r="AH59" s="272" t="n">
        <f aca="false">COUNTIF($C59:$AF59,AH$4)</f>
        <v>2</v>
      </c>
      <c r="AI59" s="272" t="n">
        <f aca="false">COUNTIF($C59:$AF59,AI$4)</f>
        <v>1</v>
      </c>
      <c r="AJ59" s="272" t="n">
        <f aca="false">COUNTIF($C59:$AF59,AJ$4)</f>
        <v>0</v>
      </c>
      <c r="AK59" s="272" t="n">
        <f aca="false">COUNTIF($C59:$AF59,AK$4)</f>
        <v>0</v>
      </c>
      <c r="AL59" s="272" t="n">
        <f aca="false">COUNTIF($C59:$AF59,AL$4)</f>
        <v>0</v>
      </c>
      <c r="AM59" s="272" t="n">
        <f aca="false">COUNTIF($C59:$AF59,AM$4)</f>
        <v>1</v>
      </c>
      <c r="AN59" s="272" t="n">
        <f aca="false">COUNTIF($C59:$AF59,AN$4)</f>
        <v>1</v>
      </c>
      <c r="AO59" s="272" t="n">
        <f aca="false">COUNTIF($C59:$AF59,AO$4)</f>
        <v>0</v>
      </c>
      <c r="AP59" s="272" t="n">
        <f aca="false">COUNTIF($C59:$AF59,AP$4)</f>
        <v>0</v>
      </c>
      <c r="AQ59" s="279"/>
      <c r="AR59" s="279" t="n">
        <v>1.5</v>
      </c>
      <c r="AS59" s="278" t="n">
        <f aca="false">SUMPRODUCT(--(WEEKDAY(C$3:AG$3,2)&lt;5),--ISNUMBER(MATCH(C59:AG59,{"SB1","SB2"},0)))</f>
        <v>1</v>
      </c>
      <c r="AT59" s="272"/>
      <c r="AU59" s="278" t="n">
        <f aca="false">SUMPRODUCT(--(WEEKDAY(C$3:AG$3,2)=5),--ISNUMBER(MATCH(C59:AG59,{"SB1","SB2"},0)))</f>
        <v>0</v>
      </c>
      <c r="AV59" s="278" t="n">
        <f aca="false">SUMPRODUCT(--(WEEKDAY(C$3:AG$3,2)&gt;5),--ISNUMBER(MATCH(C59:AG59,{"SB1","SB2"},0)))</f>
        <v>0</v>
      </c>
      <c r="AW59" s="272"/>
      <c r="AX59" s="278" t="n">
        <f aca="false">(AS59-AT59)+AU59*1.5+(AV59-AW59)*2+(AO59+AH59+AI59+AJ59+AK59+AN59)*0.5+AQ59-AR59</f>
        <v>1.5</v>
      </c>
      <c r="AY59" s="278" t="n">
        <f aca="false">AS59+AU59+AV59</f>
        <v>1</v>
      </c>
      <c r="AZ59" s="278" t="n">
        <f aca="false">BD59+BF59+BH59+BJ59+BL59</f>
        <v>2</v>
      </c>
      <c r="BA59" s="279" t="n">
        <f aca="false">AX59+BC59</f>
        <v>3</v>
      </c>
      <c r="BB59" s="279"/>
      <c r="BC59" s="278" t="n">
        <f aca="false">BE59+BG59+BI59+BK59+BM59</f>
        <v>1.5</v>
      </c>
      <c r="BD59" s="278" t="n">
        <f aca="false">COUNTIF(A59:AH59,"*$BTP*")</f>
        <v>0</v>
      </c>
      <c r="BE59" s="278" t="n">
        <f aca="false">BD59*1.5</f>
        <v>0</v>
      </c>
      <c r="BF59" s="278" t="n">
        <f aca="false">COUNTIF(A59:AH59,"*$M*")</f>
        <v>1</v>
      </c>
      <c r="BG59" s="278" t="n">
        <f aca="false">BF59*1</f>
        <v>1</v>
      </c>
      <c r="BH59" s="278" t="n">
        <f aca="false">COUNTIF(A59:AH59,"*$PM*")</f>
        <v>0</v>
      </c>
      <c r="BI59" s="278" t="n">
        <f aca="false">BH59*0.5</f>
        <v>0</v>
      </c>
      <c r="BJ59" s="278" t="n">
        <f aca="false">COUNTIF(A59:AH59,"*$AM*")</f>
        <v>1</v>
      </c>
      <c r="BK59" s="278" t="n">
        <f aca="false">BJ59*0.5</f>
        <v>0.5</v>
      </c>
      <c r="BL59" s="278" t="n">
        <f aca="false">COUNTIF(A59:AH59,"*$FC*")</f>
        <v>0</v>
      </c>
      <c r="BM59" s="278" t="n">
        <f aca="false">BL59*1</f>
        <v>0</v>
      </c>
      <c r="BN59" s="278" t="n">
        <f aca="false">COUNTIF($E59:$AG59,BN$4)</f>
        <v>0</v>
      </c>
      <c r="BO59" s="278" t="n">
        <f aca="false">COUNTIF($E59:$AG59,BO$4)</f>
        <v>0</v>
      </c>
      <c r="BP59" s="278" t="n">
        <f aca="false">COUNTIF($D59:$Y59,BP$4)</f>
        <v>0</v>
      </c>
      <c r="BQ59" s="280"/>
    </row>
    <row r="60" customFormat="false" ht="19.5" hidden="false" customHeight="true" outlineLevel="0" collapsed="false">
      <c r="A60" s="280"/>
      <c r="B60" s="280" t="s">
        <v>914</v>
      </c>
      <c r="C60" s="317"/>
      <c r="D60" s="91" t="s">
        <v>896</v>
      </c>
      <c r="E60" s="317" t="s">
        <v>65</v>
      </c>
      <c r="F60" s="33"/>
      <c r="G60" s="320" t="s">
        <v>867</v>
      </c>
      <c r="H60" s="317" t="s">
        <v>671</v>
      </c>
      <c r="I60" s="280"/>
      <c r="J60" s="280"/>
      <c r="K60" s="266"/>
      <c r="L60" s="317"/>
      <c r="M60" s="266" t="s">
        <v>93</v>
      </c>
      <c r="N60" s="280"/>
      <c r="O60" s="266"/>
      <c r="P60" s="280"/>
      <c r="Q60" s="280"/>
      <c r="R60" s="317"/>
      <c r="S60" s="317" t="s">
        <v>65</v>
      </c>
      <c r="T60" s="266"/>
      <c r="U60" s="266" t="s">
        <v>56</v>
      </c>
      <c r="V60" s="280"/>
      <c r="W60" s="283"/>
      <c r="X60" s="280"/>
      <c r="Y60" s="317" t="s">
        <v>915</v>
      </c>
      <c r="Z60" s="317" t="s">
        <v>54</v>
      </c>
      <c r="AA60" s="317" t="s">
        <v>54</v>
      </c>
      <c r="AB60" s="317" t="s">
        <v>54</v>
      </c>
      <c r="AC60" s="317" t="s">
        <v>54</v>
      </c>
      <c r="AD60" s="317" t="s">
        <v>54</v>
      </c>
      <c r="AE60" s="280" t="s">
        <v>916</v>
      </c>
      <c r="AF60" s="92" t="s">
        <v>913</v>
      </c>
      <c r="AG60" s="317"/>
      <c r="AH60" s="272" t="n">
        <f aca="false">COUNTIF($C60:$AF60,AH$4)</f>
        <v>0</v>
      </c>
      <c r="AI60" s="272" t="n">
        <f aca="false">COUNTIF($C60:$AF60,AI$4)</f>
        <v>1</v>
      </c>
      <c r="AJ60" s="272" t="n">
        <f aca="false">COUNTIF($C60:$AF60,AJ$4)</f>
        <v>0</v>
      </c>
      <c r="AK60" s="272" t="n">
        <f aca="false">COUNTIF($C60:$AF60,AK$4)</f>
        <v>0</v>
      </c>
      <c r="AL60" s="272" t="n">
        <f aca="false">COUNTIF($C60:$AF60,AL$4)</f>
        <v>0</v>
      </c>
      <c r="AM60" s="272" t="n">
        <f aca="false">COUNTIF($C60:$AF60,AM$4)</f>
        <v>1</v>
      </c>
      <c r="AN60" s="272" t="n">
        <f aca="false">COUNTIF($C60:$AF60,AN$4)</f>
        <v>2</v>
      </c>
      <c r="AO60" s="272" t="n">
        <f aca="false">COUNTIF($C60:$AF60,AO$4)</f>
        <v>0</v>
      </c>
      <c r="AP60" s="272" t="n">
        <f aca="false">COUNTIF($C60:$AF60,AP$4)</f>
        <v>0</v>
      </c>
      <c r="AQ60" s="279"/>
      <c r="AR60" s="279" t="n">
        <v>1</v>
      </c>
      <c r="AS60" s="278" t="n">
        <f aca="false">SUMPRODUCT(--(WEEKDAY(C$3:AG$3,2)&lt;5),--ISNUMBER(MATCH(C60:AG60,{"SB1","SB2"},0)))</f>
        <v>1</v>
      </c>
      <c r="AT60" s="272"/>
      <c r="AU60" s="278" t="n">
        <f aca="false">SUMPRODUCT(--(WEEKDAY(C$3:AG$3,2)=5),--ISNUMBER(MATCH(C60:AG60,{"SB1","SB2"},0)))</f>
        <v>0</v>
      </c>
      <c r="AV60" s="278" t="n">
        <f aca="false">SUMPRODUCT(--(WEEKDAY(C$3:AG$3,2)&gt;5),--ISNUMBER(MATCH(C60:AG60,{"SB1","SB2"},0)))</f>
        <v>0</v>
      </c>
      <c r="AW60" s="272"/>
      <c r="AX60" s="278" t="n">
        <f aca="false">(AS60-AT60)+AU60*1.5+(AV60-AW60)*2+(AO60+AH60+AI60+AJ60+AK60+AN60)*0.5+AQ60-AR60</f>
        <v>1.5</v>
      </c>
      <c r="AY60" s="278" t="n">
        <f aca="false">AS60+AU60+AV60</f>
        <v>1</v>
      </c>
      <c r="AZ60" s="278" t="n">
        <f aca="false">BD60+BF60+BH60+BJ60+BL60</f>
        <v>1</v>
      </c>
      <c r="BA60" s="279" t="n">
        <f aca="false">AX60+BC60</f>
        <v>2.5</v>
      </c>
      <c r="BB60" s="279"/>
      <c r="BC60" s="278" t="n">
        <f aca="false">BE60+BG60+BI60+BK60+BM60</f>
        <v>1</v>
      </c>
      <c r="BD60" s="278" t="n">
        <f aca="false">COUNTIF(A60:AH60,"*$BTP*")</f>
        <v>0</v>
      </c>
      <c r="BE60" s="278" t="n">
        <f aca="false">BD60*1.5</f>
        <v>0</v>
      </c>
      <c r="BF60" s="278" t="n">
        <f aca="false">COUNTIF(A60:AH60,"*$M*")</f>
        <v>1</v>
      </c>
      <c r="BG60" s="278" t="n">
        <f aca="false">BF60*1</f>
        <v>1</v>
      </c>
      <c r="BH60" s="278" t="n">
        <f aca="false">COUNTIF(A60:AH60,"*$PM*")</f>
        <v>0</v>
      </c>
      <c r="BI60" s="278" t="n">
        <f aca="false">BH60*0.5</f>
        <v>0</v>
      </c>
      <c r="BJ60" s="278" t="n">
        <f aca="false">COUNTIF(A60:AH60,"*$AM*")</f>
        <v>0</v>
      </c>
      <c r="BK60" s="278" t="n">
        <f aca="false">BJ60*0.5</f>
        <v>0</v>
      </c>
      <c r="BL60" s="278" t="n">
        <f aca="false">COUNTIF(A60:AH60,"*$FC*")</f>
        <v>0</v>
      </c>
      <c r="BM60" s="278" t="n">
        <f aca="false">BL60*1</f>
        <v>0</v>
      </c>
      <c r="BN60" s="278" t="n">
        <f aca="false">COUNTIF($E60:$AG60,BN$4)</f>
        <v>0</v>
      </c>
      <c r="BO60" s="278" t="n">
        <f aca="false">COUNTIF($E60:$AG60,BO$4)</f>
        <v>0</v>
      </c>
      <c r="BP60" s="278" t="n">
        <f aca="false">COUNTIF($D60:$Y60,BP$4)</f>
        <v>0</v>
      </c>
      <c r="BQ60" s="280"/>
    </row>
    <row r="61" customFormat="false" ht="19.5" hidden="false" customHeight="true" outlineLevel="0" collapsed="false">
      <c r="A61" s="280"/>
      <c r="B61" s="280" t="s">
        <v>917</v>
      </c>
      <c r="C61" s="317"/>
      <c r="D61" s="91" t="s">
        <v>896</v>
      </c>
      <c r="E61" s="317" t="s">
        <v>58</v>
      </c>
      <c r="F61" s="91" t="s">
        <v>57</v>
      </c>
      <c r="G61" s="320" t="s">
        <v>867</v>
      </c>
      <c r="H61" s="317" t="s">
        <v>671</v>
      </c>
      <c r="I61" s="280"/>
      <c r="J61" s="280" t="s">
        <v>57</v>
      </c>
      <c r="K61" s="317"/>
      <c r="L61" s="317" t="s">
        <v>350</v>
      </c>
      <c r="M61" s="91"/>
      <c r="N61" s="280"/>
      <c r="O61" s="266"/>
      <c r="P61" s="280" t="s">
        <v>58</v>
      </c>
      <c r="Q61" s="266" t="s">
        <v>918</v>
      </c>
      <c r="R61" s="317" t="s">
        <v>65</v>
      </c>
      <c r="S61" s="317"/>
      <c r="T61" s="317"/>
      <c r="U61" s="283"/>
      <c r="V61" s="91"/>
      <c r="W61" s="283"/>
      <c r="X61" s="280"/>
      <c r="Y61" s="317" t="s">
        <v>57</v>
      </c>
      <c r="Z61" s="317" t="s">
        <v>58</v>
      </c>
      <c r="AA61" s="280"/>
      <c r="AB61" s="280" t="s">
        <v>919</v>
      </c>
      <c r="AC61" s="280"/>
      <c r="AD61" s="280"/>
      <c r="AE61" s="280" t="s">
        <v>920</v>
      </c>
      <c r="AF61" s="317" t="s">
        <v>913</v>
      </c>
      <c r="AG61" s="317"/>
      <c r="AH61" s="272" t="n">
        <f aca="false">COUNTIF($C61:$AF61,AH$4)</f>
        <v>3</v>
      </c>
      <c r="AI61" s="272" t="n">
        <f aca="false">COUNTIF($C61:$AF61,AI$4)</f>
        <v>0</v>
      </c>
      <c r="AJ61" s="272" t="n">
        <f aca="false">COUNTIF($C61:$AF61,AJ$4)</f>
        <v>0</v>
      </c>
      <c r="AK61" s="272" t="n">
        <f aca="false">COUNTIF($C61:$AF61,AK$4)</f>
        <v>0</v>
      </c>
      <c r="AL61" s="272" t="n">
        <f aca="false">COUNTIF($C61:$AF61,AL$4)</f>
        <v>3</v>
      </c>
      <c r="AM61" s="272" t="n">
        <f aca="false">COUNTIF($C61:$AF61,AM$4)</f>
        <v>0</v>
      </c>
      <c r="AN61" s="272" t="n">
        <f aca="false">COUNTIF($C61:$AF61,AN$4)</f>
        <v>1</v>
      </c>
      <c r="AO61" s="272" t="n">
        <f aca="false">COUNTIF($C61:$AF61,AO$4)</f>
        <v>0</v>
      </c>
      <c r="AP61" s="272" t="n">
        <f aca="false">COUNTIF($C61:$AF61,AP$4)</f>
        <v>0</v>
      </c>
      <c r="AQ61" s="279"/>
      <c r="AR61" s="279" t="n">
        <v>1.5</v>
      </c>
      <c r="AS61" s="278" t="n">
        <f aca="false">SUMPRODUCT(--(WEEKDAY(C$3:AG$3,2)&lt;5),--ISNUMBER(MATCH(C61:AG61,{"SB1","SB2"},0)))</f>
        <v>2</v>
      </c>
      <c r="AT61" s="272"/>
      <c r="AU61" s="278" t="n">
        <f aca="false">SUMPRODUCT(--(WEEKDAY(C$3:AG$3,2)=5),--ISNUMBER(MATCH(C61:AG61,{"SB1","SB2"},0)))</f>
        <v>0</v>
      </c>
      <c r="AV61" s="278" t="n">
        <f aca="false">SUMPRODUCT(--(WEEKDAY(C$3:AG$3,2)&gt;5),--ISNUMBER(MATCH(C61:AG61,{"SB1","SB2"},0)))</f>
        <v>1</v>
      </c>
      <c r="AW61" s="272"/>
      <c r="AX61" s="278" t="n">
        <f aca="false">(AS61-AT61)+AU61*1.5+(AV61-AW61)*2+(AO61+AH61+AI61+AJ61+AK61+AN61)*0.5+AQ61-AR61</f>
        <v>4.5</v>
      </c>
      <c r="AY61" s="278" t="n">
        <f aca="false">AS61+AU61+AV61</f>
        <v>3</v>
      </c>
      <c r="AZ61" s="278" t="n">
        <f aca="false">BD61+BF61+BH61+BJ61+BL61</f>
        <v>2</v>
      </c>
      <c r="BA61" s="279" t="n">
        <f aca="false">AX61+BC61</f>
        <v>6</v>
      </c>
      <c r="BB61" s="279"/>
      <c r="BC61" s="278" t="n">
        <f aca="false">BE61+BG61+BI61+BK61+BM61</f>
        <v>1.5</v>
      </c>
      <c r="BD61" s="278" t="n">
        <f aca="false">COUNTIF(A61:AH61,"*$BTP*")</f>
        <v>0</v>
      </c>
      <c r="BE61" s="278" t="n">
        <f aca="false">BD61*1.5</f>
        <v>0</v>
      </c>
      <c r="BF61" s="278" t="n">
        <f aca="false">COUNTIF(A61:AH61,"*$M*")</f>
        <v>1</v>
      </c>
      <c r="BG61" s="278" t="n">
        <f aca="false">BF61*1</f>
        <v>1</v>
      </c>
      <c r="BH61" s="278" t="n">
        <f aca="false">COUNTIF(A61:AH61,"*$PM*")</f>
        <v>1</v>
      </c>
      <c r="BI61" s="278" t="n">
        <f aca="false">BH61*0.5</f>
        <v>0.5</v>
      </c>
      <c r="BJ61" s="278" t="n">
        <f aca="false">COUNTIF(A61:AH61,"*$AM*")</f>
        <v>0</v>
      </c>
      <c r="BK61" s="278" t="n">
        <f aca="false">BJ61*0.5</f>
        <v>0</v>
      </c>
      <c r="BL61" s="278" t="n">
        <f aca="false">COUNTIF(A61:AH61,"*$FC*")</f>
        <v>0</v>
      </c>
      <c r="BM61" s="278" t="n">
        <f aca="false">BL61*1</f>
        <v>0</v>
      </c>
      <c r="BN61" s="278" t="n">
        <f aca="false">COUNTIF($E61:$AG61,BN$4)</f>
        <v>0</v>
      </c>
      <c r="BO61" s="278" t="n">
        <f aca="false">COUNTIF($E61:$AG61,BO$4)</f>
        <v>1</v>
      </c>
      <c r="BP61" s="278" t="n">
        <f aca="false">COUNTIF($D61:$Y61,BP$4)</f>
        <v>0</v>
      </c>
      <c r="BQ61" s="280"/>
    </row>
    <row r="62" customFormat="false" ht="19.5" hidden="false" customHeight="true" outlineLevel="0" collapsed="false">
      <c r="A62" s="280"/>
      <c r="B62" s="280" t="s">
        <v>921</v>
      </c>
      <c r="C62" s="317"/>
      <c r="D62" s="92" t="s">
        <v>58</v>
      </c>
      <c r="E62" s="317" t="s">
        <v>680</v>
      </c>
      <c r="F62" s="266" t="s">
        <v>892</v>
      </c>
      <c r="G62" s="280" t="s">
        <v>58</v>
      </c>
      <c r="H62" s="280"/>
      <c r="I62" s="280"/>
      <c r="J62" s="280" t="s">
        <v>578</v>
      </c>
      <c r="K62" s="280"/>
      <c r="L62" s="280" t="s">
        <v>56</v>
      </c>
      <c r="M62" s="92"/>
      <c r="N62" s="280"/>
      <c r="O62" s="280"/>
      <c r="P62" s="280"/>
      <c r="Q62" s="280"/>
      <c r="R62" s="317"/>
      <c r="S62" s="317"/>
      <c r="T62" s="317"/>
      <c r="U62" s="317"/>
      <c r="V62" s="317"/>
      <c r="W62" s="317"/>
      <c r="X62" s="317" t="s">
        <v>56</v>
      </c>
      <c r="Y62" s="317" t="s">
        <v>253</v>
      </c>
      <c r="Z62" s="317" t="s">
        <v>65</v>
      </c>
      <c r="AA62" s="266" t="s">
        <v>922</v>
      </c>
      <c r="AB62" s="280" t="s">
        <v>58</v>
      </c>
      <c r="AC62" s="280"/>
      <c r="AD62" s="280"/>
      <c r="AE62" s="280" t="s">
        <v>923</v>
      </c>
      <c r="AF62" s="317"/>
      <c r="AG62" s="317"/>
      <c r="AH62" s="272" t="n">
        <f aca="false">COUNTIF($C62:$AF62,AH$4)</f>
        <v>0</v>
      </c>
      <c r="AI62" s="272" t="n">
        <f aca="false">COUNTIF($C62:$AF62,AI$4)</f>
        <v>2</v>
      </c>
      <c r="AJ62" s="272" t="n">
        <f aca="false">COUNTIF($C62:$AF62,AJ$4)</f>
        <v>0</v>
      </c>
      <c r="AK62" s="272" t="n">
        <f aca="false">COUNTIF($C62:$AF62,AK$4)</f>
        <v>0</v>
      </c>
      <c r="AL62" s="272" t="n">
        <f aca="false">COUNTIF($C62:$AF62,AL$4)</f>
        <v>3</v>
      </c>
      <c r="AM62" s="272" t="n">
        <f aca="false">COUNTIF($C62:$AF62,AM$4)</f>
        <v>0</v>
      </c>
      <c r="AN62" s="272" t="n">
        <f aca="false">COUNTIF($C62:$AF62,AN$4)</f>
        <v>1</v>
      </c>
      <c r="AO62" s="272" t="n">
        <f aca="false">COUNTIF($C62:$AF62,AO$4)</f>
        <v>0</v>
      </c>
      <c r="AP62" s="272" t="n">
        <f aca="false">COUNTIF($C62:$AF62,AP$4)</f>
        <v>0</v>
      </c>
      <c r="AQ62" s="279" t="n">
        <v>0.5</v>
      </c>
      <c r="AR62" s="279"/>
      <c r="AS62" s="278" t="n">
        <f aca="false">SUMPRODUCT(--(WEEKDAY(C$3:AG$3,2)&lt;5),--ISNUMBER(MATCH(C62:AG62,{"SB1","SB2"},0)))</f>
        <v>1</v>
      </c>
      <c r="AT62" s="272"/>
      <c r="AU62" s="278" t="n">
        <f aca="false">SUMPRODUCT(--(WEEKDAY(C$3:AG$3,2)=5),--ISNUMBER(MATCH(C62:AG62,{"SB1","SB2"},0)))</f>
        <v>2</v>
      </c>
      <c r="AV62" s="278" t="n">
        <f aca="false">SUMPRODUCT(--(WEEKDAY(C$3:AG$3,2)&gt;5),--ISNUMBER(MATCH(C62:AG62,{"SB1","SB2"},0)))</f>
        <v>0</v>
      </c>
      <c r="AW62" s="272"/>
      <c r="AX62" s="278" t="n">
        <f aca="false">(AS62-AT62)+AU62*1.5+(AV62-AW62)*2+(AO62+AH62+AI62+AJ62+AK62+AN62)*0.5+AQ62-AR62</f>
        <v>6</v>
      </c>
      <c r="AY62" s="278" t="n">
        <f aca="false">AS62+AU62+AV62</f>
        <v>3</v>
      </c>
      <c r="AZ62" s="278" t="n">
        <f aca="false">BD62+BF62+BH62+BJ62+BL62</f>
        <v>2</v>
      </c>
      <c r="BA62" s="279" t="n">
        <f aca="false">AX62+BC62</f>
        <v>7.5</v>
      </c>
      <c r="BB62" s="279"/>
      <c r="BC62" s="278" t="n">
        <f aca="false">BE62+BG62+BI62+BK62+BM62</f>
        <v>1.5</v>
      </c>
      <c r="BD62" s="278" t="n">
        <f aca="false">COUNTIF(A62:AH62,"*$BTP*")</f>
        <v>0</v>
      </c>
      <c r="BE62" s="278" t="n">
        <f aca="false">BD62*1.5</f>
        <v>0</v>
      </c>
      <c r="BF62" s="278" t="n">
        <f aca="false">COUNTIF(A62:AH62,"*$M*")</f>
        <v>1</v>
      </c>
      <c r="BG62" s="278" t="n">
        <f aca="false">BF62*1</f>
        <v>1</v>
      </c>
      <c r="BH62" s="278" t="n">
        <f aca="false">COUNTIF(A62:AH62,"*$PM*")</f>
        <v>0</v>
      </c>
      <c r="BI62" s="278" t="n">
        <f aca="false">BH62*0.5</f>
        <v>0</v>
      </c>
      <c r="BJ62" s="278" t="n">
        <f aca="false">COUNTIF(A62:AH62,"*$AM*")</f>
        <v>1</v>
      </c>
      <c r="BK62" s="278" t="n">
        <f aca="false">BJ62*0.5</f>
        <v>0.5</v>
      </c>
      <c r="BL62" s="278" t="n">
        <f aca="false">COUNTIF(A62:AH62,"*$FC*")</f>
        <v>0</v>
      </c>
      <c r="BM62" s="278" t="n">
        <f aca="false">BL62*1</f>
        <v>0</v>
      </c>
      <c r="BN62" s="278" t="n">
        <f aca="false">COUNTIF($E62:$AG62,BN$4)</f>
        <v>0</v>
      </c>
      <c r="BO62" s="278" t="n">
        <f aca="false">COUNTIF($E62:$AG62,BO$4)</f>
        <v>0</v>
      </c>
      <c r="BP62" s="278" t="n">
        <f aca="false">COUNTIF($E62:$Y62,BP$4)</f>
        <v>0</v>
      </c>
      <c r="BQ62" s="280"/>
    </row>
    <row r="63" customFormat="false" ht="19.5" hidden="false" customHeight="true" outlineLevel="0" collapsed="false">
      <c r="A63" s="280"/>
      <c r="B63" s="280" t="s">
        <v>857</v>
      </c>
      <c r="C63" s="317" t="s">
        <v>54</v>
      </c>
      <c r="D63" s="317" t="s">
        <v>54</v>
      </c>
      <c r="E63" s="317" t="s">
        <v>54</v>
      </c>
      <c r="F63" s="317" t="s">
        <v>54</v>
      </c>
      <c r="G63" s="317" t="s">
        <v>54</v>
      </c>
      <c r="H63" s="280"/>
      <c r="I63" s="280"/>
      <c r="J63" s="280" t="s">
        <v>578</v>
      </c>
      <c r="K63" s="317" t="s">
        <v>65</v>
      </c>
      <c r="L63" s="266" t="s">
        <v>924</v>
      </c>
      <c r="M63" s="280"/>
      <c r="N63" s="280" t="s">
        <v>350</v>
      </c>
      <c r="O63" s="266"/>
      <c r="P63" s="280"/>
      <c r="Q63" s="280"/>
      <c r="R63" s="317"/>
      <c r="S63" s="317" t="s">
        <v>58</v>
      </c>
      <c r="T63" s="266" t="s">
        <v>65</v>
      </c>
      <c r="U63" s="283" t="s">
        <v>58</v>
      </c>
      <c r="V63" s="280"/>
      <c r="W63" s="283"/>
      <c r="X63" s="280" t="s">
        <v>58</v>
      </c>
      <c r="Y63" s="317"/>
      <c r="Z63" s="317"/>
      <c r="AA63" s="92"/>
      <c r="AB63" s="266" t="s">
        <v>923</v>
      </c>
      <c r="AC63" s="317"/>
      <c r="AD63" s="317"/>
      <c r="AE63" s="317" t="s">
        <v>58</v>
      </c>
      <c r="AF63" s="317"/>
      <c r="AG63" s="317"/>
      <c r="AH63" s="272" t="n">
        <f aca="false">COUNTIF($C63:$AF63,AH$4)</f>
        <v>0</v>
      </c>
      <c r="AI63" s="272" t="n">
        <f aca="false">COUNTIF($C63:$AF63,AI$4)</f>
        <v>0</v>
      </c>
      <c r="AJ63" s="272" t="n">
        <f aca="false">COUNTIF($C63:$AF63,AJ$4)</f>
        <v>0</v>
      </c>
      <c r="AK63" s="272" t="n">
        <f aca="false">COUNTIF($C63:$AF63,AK$4)</f>
        <v>0</v>
      </c>
      <c r="AL63" s="272" t="n">
        <f aca="false">COUNTIF($C63:$AF63,AL$4)</f>
        <v>4</v>
      </c>
      <c r="AM63" s="272" t="n">
        <f aca="false">COUNTIF($C63:$AF63,AM$4)</f>
        <v>0</v>
      </c>
      <c r="AN63" s="272" t="n">
        <f aca="false">COUNTIF($C63:$AF63,AN$4)</f>
        <v>2</v>
      </c>
      <c r="AO63" s="272" t="n">
        <f aca="false">COUNTIF($C63:$AF63,AO$4)</f>
        <v>0</v>
      </c>
      <c r="AP63" s="272" t="n">
        <f aca="false">COUNTIF($C63:$AF63,AP$4)</f>
        <v>0</v>
      </c>
      <c r="AQ63" s="279"/>
      <c r="AR63" s="279"/>
      <c r="AS63" s="278" t="n">
        <f aca="false">SUMPRODUCT(--(WEEKDAY(C$3:AG$3,2)&lt;5),--ISNUMBER(MATCH(C63:AG63,{"SB1","SB2"},0)))</f>
        <v>3</v>
      </c>
      <c r="AT63" s="272"/>
      <c r="AU63" s="278" t="n">
        <f aca="false">SUMPRODUCT(--(WEEKDAY(C$3:AG$3,2)=5),--ISNUMBER(MATCH(C63:AG63,{"SB1","SB2"},0)))</f>
        <v>1</v>
      </c>
      <c r="AV63" s="278" t="n">
        <f aca="false">SUMPRODUCT(--(WEEKDAY(C$3:AG$3,2)&gt;5),--ISNUMBER(MATCH(C63:AG63,{"SB1","SB2"},0)))</f>
        <v>0</v>
      </c>
      <c r="AW63" s="272"/>
      <c r="AX63" s="278" t="n">
        <f aca="false">(AS63-AT63)+AU63*1.5+(AV63-AW63)*2+(AO63+AH63+AI63+AJ63+AK63+AN63)*0.5+AQ63-AR63</f>
        <v>5.5</v>
      </c>
      <c r="AY63" s="278" t="n">
        <f aca="false">AS63+AU63+AV63</f>
        <v>4</v>
      </c>
      <c r="AZ63" s="278" t="n">
        <f aca="false">BD63+BF63+BH63+BJ63+BL63</f>
        <v>1</v>
      </c>
      <c r="BA63" s="279" t="n">
        <f aca="false">AX63+BC63</f>
        <v>6.5</v>
      </c>
      <c r="BB63" s="279"/>
      <c r="BC63" s="278" t="n">
        <f aca="false">BE63+BG63+BI63+BK63+BM63</f>
        <v>1</v>
      </c>
      <c r="BD63" s="278" t="n">
        <f aca="false">COUNTIF(A63:AH63,"*$BTP*")</f>
        <v>0</v>
      </c>
      <c r="BE63" s="278" t="n">
        <f aca="false">BD63*1.5</f>
        <v>0</v>
      </c>
      <c r="BF63" s="278" t="n">
        <f aca="false">COUNTIF(A63:AH63,"*$M*")</f>
        <v>1</v>
      </c>
      <c r="BG63" s="278" t="n">
        <f aca="false">BF63*1</f>
        <v>1</v>
      </c>
      <c r="BH63" s="278" t="n">
        <f aca="false">COUNTIF(A63:AH63,"*$PM*")</f>
        <v>0</v>
      </c>
      <c r="BI63" s="278" t="n">
        <f aca="false">BH63*0.5</f>
        <v>0</v>
      </c>
      <c r="BJ63" s="278" t="n">
        <f aca="false">COUNTIF(A63:AH63,"*$AM*")</f>
        <v>0</v>
      </c>
      <c r="BK63" s="278" t="n">
        <f aca="false">BJ63*0.5</f>
        <v>0</v>
      </c>
      <c r="BL63" s="278" t="n">
        <f aca="false">COUNTIF(A63:AH63,"*$FC*")</f>
        <v>0</v>
      </c>
      <c r="BM63" s="278" t="n">
        <f aca="false">BL63*1</f>
        <v>0</v>
      </c>
      <c r="BN63" s="278" t="n">
        <f aca="false">COUNTIF($E63:$AG63,BN$4)</f>
        <v>0</v>
      </c>
      <c r="BO63" s="278" t="n">
        <f aca="false">COUNTIF($E63:$AG63,BO$4)</f>
        <v>1</v>
      </c>
      <c r="BP63" s="278" t="n">
        <f aca="false">COUNTIF($D63:$Y63,BP$4)</f>
        <v>0</v>
      </c>
      <c r="BQ63" s="280"/>
    </row>
    <row r="64" customFormat="false" ht="19.5" hidden="false" customHeight="true" outlineLevel="0" collapsed="false">
      <c r="A64" s="272"/>
      <c r="B64" s="301" t="s">
        <v>667</v>
      </c>
      <c r="C64" s="296"/>
      <c r="D64" s="321"/>
      <c r="E64" s="321"/>
      <c r="F64" s="321"/>
      <c r="G64" s="321"/>
      <c r="H64" s="321"/>
      <c r="I64" s="321"/>
      <c r="J64" s="321"/>
      <c r="K64" s="321"/>
      <c r="L64" s="321"/>
      <c r="M64" s="266"/>
      <c r="N64" s="321"/>
      <c r="O64" s="321"/>
      <c r="P64" s="321"/>
      <c r="Q64" s="266"/>
      <c r="R64" s="266"/>
      <c r="S64" s="321"/>
      <c r="T64" s="266"/>
      <c r="U64" s="297" t="s">
        <v>700</v>
      </c>
      <c r="V64" s="322"/>
      <c r="W64" s="321"/>
      <c r="X64" s="321"/>
      <c r="Y64" s="321"/>
      <c r="Z64" s="321"/>
      <c r="AA64" s="321"/>
      <c r="AB64" s="321"/>
      <c r="AC64" s="321"/>
      <c r="AD64" s="321"/>
      <c r="AE64" s="321"/>
      <c r="AF64" s="321"/>
      <c r="AG64" s="321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8"/>
      <c r="AT64" s="272"/>
      <c r="AU64" s="272"/>
      <c r="AV64" s="278"/>
      <c r="AW64" s="272"/>
      <c r="AX64" s="272"/>
      <c r="AY64" s="278"/>
      <c r="AZ64" s="278"/>
      <c r="BA64" s="278"/>
      <c r="BB64" s="278"/>
      <c r="BC64" s="278"/>
      <c r="BD64" s="278"/>
      <c r="BE64" s="278"/>
      <c r="BF64" s="278"/>
      <c r="BG64" s="278"/>
      <c r="BH64" s="278"/>
      <c r="BI64" s="278"/>
      <c r="BJ64" s="278"/>
      <c r="BK64" s="278"/>
      <c r="BL64" s="278"/>
      <c r="BM64" s="278"/>
      <c r="BN64" s="272"/>
      <c r="BO64" s="272"/>
      <c r="BP64" s="272"/>
      <c r="BQ64" s="272"/>
    </row>
    <row r="65" customFormat="false" ht="19.5" hidden="false" customHeight="true" outlineLevel="0" collapsed="false">
      <c r="A65" s="272"/>
      <c r="B65" s="301" t="s">
        <v>668</v>
      </c>
      <c r="C65" s="296"/>
      <c r="D65" s="321"/>
      <c r="E65" s="321"/>
      <c r="F65" s="321"/>
      <c r="G65" s="321"/>
      <c r="H65" s="321"/>
      <c r="I65" s="321"/>
      <c r="J65" s="321"/>
      <c r="K65" s="321"/>
      <c r="L65" s="321"/>
      <c r="M65" s="266"/>
      <c r="N65" s="321"/>
      <c r="O65" s="321"/>
      <c r="P65" s="321"/>
      <c r="Q65" s="266"/>
      <c r="R65" s="266"/>
      <c r="S65" s="321"/>
      <c r="T65" s="266"/>
      <c r="U65" s="297"/>
      <c r="V65" s="322"/>
      <c r="W65" s="321"/>
      <c r="X65" s="321"/>
      <c r="Y65" s="321"/>
      <c r="Z65" s="321"/>
      <c r="AA65" s="321"/>
      <c r="AB65" s="321"/>
      <c r="AC65" s="321"/>
      <c r="AD65" s="321"/>
      <c r="AE65" s="321"/>
      <c r="AF65" s="321"/>
      <c r="AG65" s="321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8"/>
      <c r="AT65" s="272"/>
      <c r="AU65" s="272"/>
      <c r="AV65" s="278"/>
      <c r="AW65" s="272"/>
      <c r="AX65" s="272"/>
      <c r="AY65" s="278"/>
      <c r="AZ65" s="278"/>
      <c r="BA65" s="278"/>
      <c r="BB65" s="278"/>
      <c r="BC65" s="278"/>
      <c r="BD65" s="278"/>
      <c r="BE65" s="278"/>
      <c r="BF65" s="278"/>
      <c r="BG65" s="278"/>
      <c r="BH65" s="278"/>
      <c r="BI65" s="278"/>
      <c r="BJ65" s="278"/>
      <c r="BK65" s="278"/>
      <c r="BL65" s="278"/>
      <c r="BM65" s="278"/>
      <c r="BN65" s="272"/>
      <c r="BO65" s="272"/>
      <c r="BP65" s="272"/>
      <c r="BQ65" s="272"/>
    </row>
    <row r="66" customFormat="false" ht="19.5" hidden="false" customHeight="true" outlineLevel="0" collapsed="false">
      <c r="A66" s="272"/>
      <c r="B66" s="293"/>
      <c r="C66" s="305"/>
      <c r="D66" s="305"/>
      <c r="E66" s="305"/>
      <c r="F66" s="305"/>
      <c r="G66" s="305"/>
      <c r="H66" s="305"/>
      <c r="I66" s="305"/>
      <c r="J66" s="305"/>
      <c r="K66" s="305"/>
      <c r="L66" s="305"/>
      <c r="M66" s="305"/>
      <c r="N66" s="305"/>
      <c r="O66" s="305"/>
      <c r="P66" s="305"/>
      <c r="Q66" s="305"/>
      <c r="R66" s="305"/>
      <c r="S66" s="305"/>
      <c r="T66" s="305"/>
      <c r="U66" s="305"/>
      <c r="V66" s="305"/>
      <c r="W66" s="305"/>
      <c r="X66" s="305"/>
      <c r="Y66" s="305"/>
      <c r="Z66" s="305"/>
      <c r="AA66" s="305"/>
      <c r="AB66" s="305"/>
      <c r="AC66" s="305"/>
      <c r="AD66" s="305"/>
      <c r="AE66" s="305"/>
      <c r="AF66" s="305"/>
      <c r="AG66" s="305"/>
      <c r="AH66" s="293"/>
      <c r="AI66" s="293"/>
      <c r="AJ66" s="293"/>
      <c r="AK66" s="293"/>
      <c r="AL66" s="293"/>
      <c r="AM66" s="293"/>
      <c r="AN66" s="293"/>
      <c r="AO66" s="293"/>
      <c r="AP66" s="293"/>
      <c r="AQ66" s="293"/>
      <c r="AR66" s="293"/>
      <c r="AS66" s="293"/>
      <c r="AT66" s="293"/>
      <c r="AU66" s="293"/>
      <c r="AV66" s="293" t="n">
        <f aca="false">SUMPRODUCT(--WEEKDAY(C$3:AF$3,2)&gt;5,--((C66:AF66="DM"))+(C66:AF66="CS1")+((C66:AF66="CS2"))+(C66:AF66="SB1")+(C66:AF66="AE")+(C66:AF66="EM"))</f>
        <v>0</v>
      </c>
      <c r="AW66" s="293"/>
      <c r="AX66" s="293" t="n">
        <f aca="false">(AS66-AT66)/2+(AV66-AW66)</f>
        <v>0</v>
      </c>
      <c r="AY66" s="293"/>
      <c r="AZ66" s="293"/>
      <c r="BA66" s="293"/>
      <c r="BB66" s="293"/>
      <c r="BC66" s="293"/>
      <c r="BD66" s="293"/>
      <c r="BE66" s="293"/>
      <c r="BF66" s="293"/>
      <c r="BG66" s="293"/>
      <c r="BH66" s="293"/>
      <c r="BI66" s="293"/>
      <c r="BJ66" s="293"/>
      <c r="BK66" s="293"/>
      <c r="BL66" s="293"/>
      <c r="BM66" s="293"/>
      <c r="BN66" s="293"/>
      <c r="BO66" s="293"/>
      <c r="BP66" s="293"/>
      <c r="BQ66" s="293"/>
    </row>
    <row r="67" customFormat="false" ht="19.5" hidden="false" customHeight="true" outlineLevel="0" collapsed="false">
      <c r="A67" s="272"/>
      <c r="B67" s="306" t="s">
        <v>57</v>
      </c>
      <c r="C67" s="307" t="e">
        <f aca="false">INDEX($B$48:$B$63,MATCH($B67,C$48:C$63,0))</f>
        <v>#N/A</v>
      </c>
      <c r="D67" s="307" t="str">
        <f aca="false">INDEX($B$48:$B$63,MATCH($B67,D$48:D$63,0))</f>
        <v>CFC MUHAMMAD AMSYAR SUFI BIN SUNARDI</v>
      </c>
      <c r="E67" s="307" t="str">
        <f aca="false">INDEX($B$48:$B$63,MATCH($B67,E$48:E$63,0))</f>
        <v>CFC KOH KAI JIE, ETHAN</v>
      </c>
      <c r="F67" s="307" t="str">
        <f aca="false">INDEX($B$48:$B$63,MATCH($B67,F$48:F$63,0))</f>
        <v>CPL LAN ZHI XIANG</v>
      </c>
      <c r="G67" s="307" t="str">
        <f aca="false">INDEX($B$48:$B$63,MATCH($B67,G$48:G$63,0))</f>
        <v>CFC MUHAMMAD AMSYAR SUFI BIN SUNARDI</v>
      </c>
      <c r="H67" s="307" t="e">
        <f aca="false">INDEX($B$48:$B$63,MATCH($B67,H$48:H$63,0))</f>
        <v>#N/A</v>
      </c>
      <c r="I67" s="307" t="e">
        <f aca="false">INDEX($B$48:$B$63,MATCH($B67,I$48:I$63,0))</f>
        <v>#N/A</v>
      </c>
      <c r="J67" s="307" t="str">
        <f aca="false">INDEX($B$48:$B$63,MATCH($B67,J$48:J$63,0))</f>
        <v>CPL LAN ZHI XIANG</v>
      </c>
      <c r="K67" s="307" t="str">
        <f aca="false">INDEX($B$48:$B$63,MATCH($B67,K$48:K$63,0))</f>
        <v>LCP LIM CHU FENG</v>
      </c>
      <c r="L67" s="307" t="str">
        <f aca="false">INDEX($B$48:$B$63,MATCH($B67,L$48:L$63,0))</f>
        <v>LCP LIM CHU FENG</v>
      </c>
      <c r="M67" s="307" t="str">
        <f aca="false">INDEX($B$48:$B$63,MATCH($B67,M$48:M$63,0))</f>
        <v>3SG HO JI XUAN ISAAC</v>
      </c>
      <c r="N67" s="307" t="str">
        <f aca="false">INDEX($B$48:$B$63,MATCH($B67,N$48:N$63,0))</f>
        <v>CFC KOH KAI JIE, ETHAN</v>
      </c>
      <c r="O67" s="307" t="e">
        <f aca="false">INDEX($B$48:$B$63,MATCH($B67,O$48:O$63,0))</f>
        <v>#N/A</v>
      </c>
      <c r="P67" s="307" t="e">
        <f aca="false">INDEX($B$48:$B$63,MATCH($B67,P$48:P$63,0))</f>
        <v>#N/A</v>
      </c>
      <c r="Q67" s="307" t="str">
        <f aca="false">INDEX($B$48:$B$63,MATCH($B67,Q$48:Q$63,0))</f>
        <v>LCP GOH SONG YEE, ETHAN</v>
      </c>
      <c r="R67" s="307" t="str">
        <f aca="false">INDEX($B$48:$B$63,MATCH($B67,R$48:R$63,0))</f>
        <v>CFC BRENDON TOH YI CHEN</v>
      </c>
      <c r="S67" s="307" t="str">
        <f aca="false">INDEX($B$48:$B$63,MATCH($B67,S$48:S$63,0))</f>
        <v>LCP LIM CHU FENG</v>
      </c>
      <c r="T67" s="307" t="str">
        <f aca="false">INDEX($B$48:$B$63,MATCH($B67,T$48:T$63,0))</f>
        <v>LCP KOH KAH SENG</v>
      </c>
      <c r="U67" s="307" t="str">
        <f aca="false">INDEX($B$48:$B$63,MATCH($B67,U$48:U$63,0))</f>
        <v>3SG THOTA DEV ADITYA</v>
      </c>
      <c r="V67" s="307" t="e">
        <f aca="false">INDEX($B$48:$B$63,MATCH($B67,V$48:V$63,0))</f>
        <v>#N/A</v>
      </c>
      <c r="W67" s="307" t="e">
        <f aca="false">INDEX($B$48:$B$63,MATCH($B67,W$48:W$63,0))</f>
        <v>#N/A</v>
      </c>
      <c r="X67" s="307" t="str">
        <f aca="false">INDEX($B$48:$B$63,MATCH($B67,X$48:X$63,0))</f>
        <v>3SG HO JI XUAN ISAAC</v>
      </c>
      <c r="Y67" s="307" t="str">
        <f aca="false">INDEX($B$48:$B$63,MATCH($B67,Y$48:Y$63,0))</f>
        <v>CPL LAN ZHI XIANG</v>
      </c>
      <c r="Z67" s="307" t="str">
        <f aca="false">INDEX($B$48:$B$63,MATCH($B67,Z$48:Z$63,0))</f>
        <v>3SG THOTA DEV ADITYA</v>
      </c>
      <c r="AA67" s="307" t="str">
        <f aca="false">INDEX($B$48:$B$63,MATCH($B67,AA$48:AA$63,0))</f>
        <v>LCP LIM CHU FENG</v>
      </c>
      <c r="AB67" s="307" t="str">
        <f aca="false">INDEX($B$48:$B$63,MATCH($B67,AB$48:AB$63,0))</f>
        <v>CFC BRENDON TOH YI CHEN</v>
      </c>
      <c r="AC67" s="307" t="e">
        <f aca="false">INDEX($B$48:$B$63,MATCH($B67,AC$48:AC$63,0))</f>
        <v>#N/A</v>
      </c>
      <c r="AD67" s="307" t="e">
        <f aca="false">INDEX($B$48:$B$63,MATCH($B67,AD$48:AD$63,0))</f>
        <v>#N/A</v>
      </c>
      <c r="AE67" s="307" t="str">
        <f aca="false">INDEX($B$48:$B$63,MATCH($B67,AE$48:AE$63,0))</f>
        <v>CPL TAN TZE JUE JULIAN</v>
      </c>
      <c r="AF67" s="307" t="str">
        <f aca="false">INDEX($B$48:$B$63,MATCH($B67,AF$48:AF$63,0))</f>
        <v>CFC MUHAMMAD AMSYAR SUFI BIN SUNARDI</v>
      </c>
      <c r="AG67" s="307" t="e">
        <f aca="false">INDEX($B$48:$B$63,MATCH($B67,AG$48:AG$63,0))</f>
        <v>#N/A</v>
      </c>
      <c r="AH67" s="272"/>
      <c r="AI67" s="272"/>
      <c r="AJ67" s="272"/>
      <c r="AK67" s="272"/>
      <c r="AL67" s="278"/>
      <c r="AM67" s="278"/>
      <c r="AN67" s="278"/>
      <c r="AO67" s="278"/>
      <c r="AP67" s="278"/>
      <c r="AQ67" s="278"/>
      <c r="AR67" s="278"/>
      <c r="AS67" s="278"/>
      <c r="AT67" s="278"/>
      <c r="AU67" s="278"/>
      <c r="AV67" s="278"/>
      <c r="AW67" s="278"/>
      <c r="AX67" s="278"/>
      <c r="AY67" s="278"/>
      <c r="AZ67" s="278"/>
      <c r="BA67" s="278"/>
      <c r="BB67" s="278"/>
      <c r="BC67" s="278"/>
      <c r="BD67" s="278"/>
      <c r="BE67" s="278"/>
      <c r="BF67" s="278"/>
      <c r="BG67" s="278"/>
      <c r="BH67" s="278"/>
      <c r="BI67" s="278"/>
      <c r="BJ67" s="278"/>
      <c r="BK67" s="278"/>
      <c r="BL67" s="278"/>
      <c r="BM67" s="278"/>
      <c r="BN67" s="278"/>
      <c r="BO67" s="278"/>
      <c r="BP67" s="278"/>
      <c r="BQ67" s="278"/>
    </row>
    <row r="68" customFormat="false" ht="19.5" hidden="false" customHeight="true" outlineLevel="0" collapsed="false">
      <c r="A68" s="272"/>
      <c r="B68" s="308" t="s">
        <v>56</v>
      </c>
      <c r="C68" s="307" t="e">
        <f aca="false">INDEX($B$48:$B$63,MATCH($B68,C$48:C$63,0))</f>
        <v>#N/A</v>
      </c>
      <c r="D68" s="307" t="str">
        <f aca="false">INDEX($B$48:$B$63,MATCH($B68,D$48:D$63,0))</f>
        <v>CFC AINSLEY YAP SHENG JIE</v>
      </c>
      <c r="E68" s="307" t="str">
        <f aca="false">INDEX($B$48:$B$63,MATCH($B68,E$48:E$63,0))</f>
        <v>3SG HO JI XUAN ISAAC</v>
      </c>
      <c r="F68" s="307" t="str">
        <f aca="false">INDEX($B$48:$B$63,MATCH($B68,F$48:F$63,0))</f>
        <v>CFC BRENDON TOH YI CHEN</v>
      </c>
      <c r="G68" s="307" t="str">
        <f aca="false">INDEX($B$48:$B$63,MATCH($B68,G$48:G$63,0))</f>
        <v>LCP GOH SONG YEE, ETHAN</v>
      </c>
      <c r="H68" s="307" t="e">
        <f aca="false">INDEX($B$48:$B$63,MATCH($B68,H$48:H$63,0))</f>
        <v>#N/A</v>
      </c>
      <c r="I68" s="307" t="e">
        <f aca="false">INDEX($B$48:$B$63,MATCH($B68,I$48:I$63,0))</f>
        <v>#N/A</v>
      </c>
      <c r="J68" s="307" t="str">
        <f aca="false">INDEX($B$48:$B$63,MATCH($B68,J$48:J$63,0))</f>
        <v>CPL TAN TZE JUE JULIAN</v>
      </c>
      <c r="K68" s="307" t="str">
        <f aca="false">INDEX($B$48:$B$63,MATCH($B68,K$48:K$63,0))</f>
        <v>CFC AINSLEY YAP SHENG JIE</v>
      </c>
      <c r="L68" s="307" t="str">
        <f aca="false">INDEX($B$48:$B$63,MATCH($B68,L$48:L$63,0))</f>
        <v>LCP DAANYAAL ABDUL AZEEZ JANJUA</v>
      </c>
      <c r="M68" s="307" t="str">
        <f aca="false">INDEX($B$48:$B$63,MATCH($B68,M$48:M$63,0))</f>
        <v>CFC MUHAMMAD AMSYAR SUFI BIN SUNARDI</v>
      </c>
      <c r="N68" s="307" t="str">
        <f aca="false">INDEX($B$48:$B$63,MATCH($B68,N$48:N$63,0))</f>
        <v>PTE MATTHEW WILLIAM TAN</v>
      </c>
      <c r="O68" s="307" t="e">
        <f aca="false">INDEX($B$48:$B$63,MATCH($B68,O$48:O$63,0))</f>
        <v>#N/A</v>
      </c>
      <c r="P68" s="307" t="e">
        <f aca="false">INDEX($B$48:$B$63,MATCH($B68,P$48:P$63,0))</f>
        <v>#N/A</v>
      </c>
      <c r="Q68" s="307" t="str">
        <f aca="false">INDEX($B$48:$B$63,MATCH($B68,Q$48:Q$63,0))</f>
        <v>CFC BRENDON TOH YI CHEN</v>
      </c>
      <c r="R68" s="307" t="str">
        <f aca="false">INDEX($B$48:$B$63,MATCH($B68,R$48:R$63,0))</f>
        <v>PTE LUTH HARITH AFIF BIN NORFIFI</v>
      </c>
      <c r="S68" s="307" t="str">
        <f aca="false">INDEX($B$48:$B$63,MATCH($B68,S$48:S$63,0))</f>
        <v>PTE MATTHEW WILLIAM TAN</v>
      </c>
      <c r="T68" s="307" t="str">
        <f aca="false">INDEX($B$48:$B$63,MATCH($B68,T$48:T$63,0))</f>
        <v>LCP GOH SONG YEE, ETHAN</v>
      </c>
      <c r="U68" s="307" t="str">
        <f aca="false">INDEX($B$48:$B$63,MATCH($B68,U$48:U$63,0))</f>
        <v>CPL JOVAN CHUA RUI CHENG</v>
      </c>
      <c r="V68" s="307" t="e">
        <f aca="false">INDEX($B$48:$B$63,MATCH($B68,V$48:V$63,0))</f>
        <v>#N/A</v>
      </c>
      <c r="W68" s="307" t="e">
        <f aca="false">INDEX($B$48:$B$63,MATCH($B68,W$48:W$63,0))</f>
        <v>#N/A</v>
      </c>
      <c r="X68" s="307" t="str">
        <f aca="false">INDEX($B$48:$B$63,MATCH($B68,X$48:X$63,0))</f>
        <v>LCP DAANYAAL ABDUL AZEEZ JANJUA</v>
      </c>
      <c r="Y68" s="307" t="str">
        <f aca="false">INDEX($B$48:$B$63,MATCH($B68,Y$48:Y$63,0))</f>
        <v>CFC MUHAMMAD AMSYAR SUFI BIN SUNARDI</v>
      </c>
      <c r="Z68" s="307" t="str">
        <f aca="false">INDEX($B$48:$B$63,MATCH($B68,Z$48:Z$63,0))</f>
        <v>LCP GOH SONG YEE, ETHAN</v>
      </c>
      <c r="AA68" s="307" t="str">
        <f aca="false">INDEX($B$48:$B$63,MATCH($B68,AA$48:AA$63,0))</f>
        <v>CFC AINSLEY YAP SHENG JIE</v>
      </c>
      <c r="AB68" s="307" t="str">
        <f aca="false">INDEX($B$48:$B$63,MATCH($B68,AB$48:AB$63,0))</f>
        <v>CPL TAN TZE JUE JULIAN</v>
      </c>
      <c r="AC68" s="307" t="e">
        <f aca="false">INDEX($B$48:$B$63,MATCH($B68,AC$48:AC$63,0))</f>
        <v>#N/A</v>
      </c>
      <c r="AD68" s="307" t="e">
        <f aca="false">INDEX($B$48:$B$63,MATCH($B68,AD$48:AD$63,0))</f>
        <v>#N/A</v>
      </c>
      <c r="AE68" s="307" t="str">
        <f aca="false">INDEX($B$48:$B$63,MATCH($B68,AE$48:AE$63,0))</f>
        <v>PTE MATTHEW WILLIAM TAN</v>
      </c>
      <c r="AF68" s="307" t="str">
        <f aca="false">INDEX($B$48:$B$63,MATCH($B68,AF$48:AF$63,0))</f>
        <v>PTE MATTHEW WILLIAM TAN</v>
      </c>
      <c r="AG68" s="307" t="e">
        <f aca="false">INDEX($B$48:$B$63,MATCH($B68,AG$48:AG$63,0))</f>
        <v>#N/A</v>
      </c>
      <c r="AH68" s="272"/>
      <c r="AI68" s="272"/>
      <c r="AJ68" s="272"/>
      <c r="AK68" s="272"/>
      <c r="AL68" s="278"/>
      <c r="AM68" s="278"/>
      <c r="AN68" s="278"/>
      <c r="AO68" s="278"/>
      <c r="AP68" s="278"/>
      <c r="AQ68" s="278"/>
      <c r="AR68" s="278"/>
      <c r="AS68" s="278"/>
      <c r="AT68" s="278"/>
      <c r="AU68" s="278"/>
      <c r="AV68" s="278"/>
      <c r="AW68" s="278"/>
      <c r="AX68" s="278"/>
      <c r="AY68" s="278"/>
      <c r="AZ68" s="278"/>
      <c r="BA68" s="278"/>
      <c r="BB68" s="278"/>
      <c r="BC68" s="278"/>
      <c r="BD68" s="278"/>
      <c r="BE68" s="278"/>
      <c r="BF68" s="278"/>
      <c r="BG68" s="278"/>
      <c r="BH68" s="278"/>
      <c r="BI68" s="278"/>
      <c r="BJ68" s="278"/>
      <c r="BK68" s="278"/>
      <c r="BL68" s="278"/>
      <c r="BM68" s="278"/>
      <c r="BN68" s="278"/>
      <c r="BO68" s="278"/>
      <c r="BP68" s="278"/>
      <c r="BQ68" s="278"/>
    </row>
    <row r="69" customFormat="false" ht="19.5" hidden="false" customHeight="true" outlineLevel="0" collapsed="false">
      <c r="A69" s="272"/>
      <c r="B69" s="309" t="s">
        <v>58</v>
      </c>
      <c r="C69" s="307" t="str">
        <f aca="false">INDEX($B$48:$B$63,MATCH($B69,C$48:C$63,0))</f>
        <v>LCP GOH SONG YEE, ETHAN</v>
      </c>
      <c r="D69" s="307" t="str">
        <f aca="false">INDEX($B$48:$B$63,MATCH($B69,D$48:D$63,0))</f>
        <v>LCP DAANYAAL ABDUL AZEEZ JANJUA</v>
      </c>
      <c r="E69" s="307" t="str">
        <f aca="false">INDEX($B$48:$B$63,MATCH($B69,E$48:E$63,0))</f>
        <v>CPL LAN ZHI XIANG</v>
      </c>
      <c r="F69" s="307" t="str">
        <f aca="false">INDEX($B$48:$B$63,MATCH($B69,F$48:F$63,0))</f>
        <v>PTE LUTH HARITH AFIF BIN NORFIFI</v>
      </c>
      <c r="G69" s="307" t="str">
        <f aca="false">INDEX($B$48:$B$63,MATCH($B69,G$48:G$63,0))</f>
        <v>LCP DAANYAAL ABDUL AZEEZ JANJUA</v>
      </c>
      <c r="H69" s="307" t="e">
        <f aca="false">INDEX($B$48:$B$63,MATCH($B69,H$48:H$63,0))</f>
        <v>#N/A</v>
      </c>
      <c r="I69" s="307" t="str">
        <f aca="false">INDEX($B$48:$B$63,MATCH($B69,I$48:I$63,0))</f>
        <v>LCP LIM CHU FENG</v>
      </c>
      <c r="J69" s="307" t="str">
        <f aca="false">INDEX($B$48:$B$63,MATCH($B69,J$48:J$63,0))</f>
        <v>CFC KOH KAI JIE, ETHAN</v>
      </c>
      <c r="K69" s="307" t="str">
        <f aca="false">INDEX($B$48:$B$63,MATCH($B69,K$48:K$63,0))</f>
        <v>CFC BRENDON TOH YI CHEN</v>
      </c>
      <c r="L69" s="307" t="str">
        <f aca="false">INDEX($B$48:$B$63,MATCH($B69,L$48:L$63,0))</f>
        <v>LCP GOH SONG YEE, ETHAN</v>
      </c>
      <c r="M69" s="307" t="e">
        <f aca="false">INDEX($B$48:$B$63,MATCH($B69,M$48:M$63,0))</f>
        <v>#N/A</v>
      </c>
      <c r="N69" s="307" t="str">
        <f aca="false">INDEX($B$48:$B$63,MATCH($B69,N$48:N$63,0))</f>
        <v>LCP KOH KAH SENG</v>
      </c>
      <c r="O69" s="307" t="str">
        <f aca="false">INDEX($B$48:$B$63,MATCH($B69,O$48:O$63,0))</f>
        <v>LCP KOH KAH SENG</v>
      </c>
      <c r="P69" s="307" t="str">
        <f aca="false">INDEX($B$48:$B$63,MATCH($B69,P$48:P$63,0))</f>
        <v>CPL LAN ZHI XIANG</v>
      </c>
      <c r="Q69" s="307" t="str">
        <f aca="false">INDEX($B$48:$B$63,MATCH($B69,Q$48:Q$63,0))</f>
        <v>CPL TAN TZE JUE JULIAN</v>
      </c>
      <c r="R69" s="307" t="e">
        <f aca="false">INDEX($B$48:$B$63,MATCH($B69,R$48:R$63,0))</f>
        <v>#N/A</v>
      </c>
      <c r="S69" s="307" t="str">
        <f aca="false">INDEX($B$48:$B$63,MATCH($B69,S$48:S$63,0))</f>
        <v>PTE SUNDARARAJU DHANUSH</v>
      </c>
      <c r="T69" s="307" t="e">
        <f aca="false">INDEX($B$48:$B$63,MATCH($B69,T$48:T$63,0))</f>
        <v>#N/A</v>
      </c>
      <c r="U69" s="307" t="str">
        <f aca="false">INDEX($B$48:$B$63,MATCH($B69,U$48:U$63,0))</f>
        <v>PTE SUNDARARAJU DHANUSH</v>
      </c>
      <c r="V69" s="307" t="e">
        <f aca="false">INDEX($B$48:$B$63,MATCH($B69,V$48:V$63,0))</f>
        <v>#N/A</v>
      </c>
      <c r="W69" s="307" t="str">
        <f aca="false">INDEX($B$48:$B$63,MATCH($B69,W$48:W$63,0))</f>
        <v>CFC BRENDON TOH YI CHEN</v>
      </c>
      <c r="X69" s="307" t="str">
        <f aca="false">INDEX($B$48:$B$63,MATCH($B69,X$48:X$63,0))</f>
        <v>PTE SUNDARARAJU DHANUSH</v>
      </c>
      <c r="Y69" s="307" t="str">
        <f aca="false">INDEX($B$48:$B$63,MATCH($B69,Y$48:Y$63,0))</f>
        <v>CPL TAN TZE JUE JULIAN</v>
      </c>
      <c r="Z69" s="307" t="str">
        <f aca="false">INDEX($B$48:$B$63,MATCH($B69,Z$48:Z$63,0))</f>
        <v>CPL LAN ZHI XIANG</v>
      </c>
      <c r="AA69" s="307" t="e">
        <f aca="false">INDEX($B$48:$B$63,MATCH($B69,AA$48:AA$63,0))</f>
        <v>#N/A</v>
      </c>
      <c r="AB69" s="307" t="str">
        <f aca="false">INDEX($B$48:$B$63,MATCH($B69,AB$48:AB$63,0))</f>
        <v>LCP DAANYAAL ABDUL AZEEZ JANJUA</v>
      </c>
      <c r="AC69" s="307" t="str">
        <f aca="false">INDEX($B$48:$B$63,MATCH($B69,AC$48:AC$63,0))</f>
        <v>CFC AINSLEY YAP SHENG JIE</v>
      </c>
      <c r="AD69" s="307" t="e">
        <f aca="false">INDEX($B$48:$B$63,MATCH($B69,AD$48:AD$63,0))</f>
        <v>#N/A</v>
      </c>
      <c r="AE69" s="307" t="str">
        <f aca="false">INDEX($B$48:$B$63,MATCH($B69,AE$48:AE$63,0))</f>
        <v>PTE SUNDARARAJU DHANUSH</v>
      </c>
      <c r="AF69" s="307" t="str">
        <f aca="false">INDEX($B$48:$B$63,MATCH($B69,AF$48:AF$63,0))</f>
        <v>LCP KOH KAH SENG</v>
      </c>
      <c r="AG69" s="307" t="e">
        <f aca="false">INDEX($B$48:$B$63,MATCH($B69,AG$48:AG$63,0))</f>
        <v>#N/A</v>
      </c>
      <c r="AH69" s="272"/>
      <c r="AI69" s="272"/>
      <c r="AJ69" s="272"/>
      <c r="AK69" s="272"/>
      <c r="AL69" s="278"/>
      <c r="AM69" s="278"/>
      <c r="AN69" s="278"/>
      <c r="AO69" s="278"/>
      <c r="AP69" s="278"/>
      <c r="AQ69" s="278"/>
      <c r="AR69" s="278"/>
      <c r="AS69" s="278"/>
      <c r="AT69" s="278"/>
      <c r="AU69" s="278"/>
      <c r="AV69" s="278"/>
      <c r="AW69" s="278"/>
      <c r="AX69" s="278"/>
      <c r="AY69" s="278"/>
      <c r="AZ69" s="278"/>
      <c r="BA69" s="278"/>
      <c r="BB69" s="278"/>
      <c r="BC69" s="278"/>
      <c r="BD69" s="278"/>
      <c r="BE69" s="278"/>
      <c r="BF69" s="278"/>
      <c r="BG69" s="278"/>
      <c r="BH69" s="278"/>
      <c r="BI69" s="278"/>
      <c r="BJ69" s="278"/>
      <c r="BK69" s="278"/>
      <c r="BL69" s="278"/>
      <c r="BM69" s="278"/>
      <c r="BN69" s="278"/>
      <c r="BO69" s="278"/>
      <c r="BP69" s="278"/>
      <c r="BQ69" s="278"/>
    </row>
    <row r="70" customFormat="false" ht="55.2" hidden="false" customHeight="false" outlineLevel="0" collapsed="false">
      <c r="A70" s="272"/>
      <c r="B70" s="310" t="s">
        <v>93</v>
      </c>
      <c r="C70" s="307" t="e">
        <f aca="false">INDEX($B$48:$B$63,MATCH($B70,C$48:C$63,0))</f>
        <v>#N/A</v>
      </c>
      <c r="D70" s="307" t="e">
        <f aca="false">INDEX($B$48:$B$63,MATCH($B70,D$48:D$63,0))</f>
        <v>#N/A</v>
      </c>
      <c r="E70" s="307" t="e">
        <f aca="false">INDEX($B$48:$B$63,MATCH($B70,E$48:E$63,0))</f>
        <v>#N/A</v>
      </c>
      <c r="F70" s="307" t="str">
        <f aca="false">INDEX($B$48:$B$63,MATCH($B70,F$48:F$63,0))</f>
        <v>LCP KOH KAH SENG</v>
      </c>
      <c r="G70" s="307" t="e">
        <f aca="false">INDEX($B$48:$B$63,MATCH($B70,G$48:G$63,0))</f>
        <v>#N/A</v>
      </c>
      <c r="H70" s="307" t="str">
        <f aca="false">INDEX($B$48:$B$63,MATCH($B70,H$48:H$63,0))</f>
        <v>PTE LUTH HARITH AFIF BIN NORFIFI</v>
      </c>
      <c r="I70" s="307" t="e">
        <f aca="false">INDEX($B$48:$B$63,MATCH($B70,I$48:I$63,0))</f>
        <v>#N/A</v>
      </c>
      <c r="J70" s="307" t="e">
        <f aca="false">INDEX($B$48:$B$63,MATCH($B70,J$48:J$63,0))</f>
        <v>#N/A</v>
      </c>
      <c r="K70" s="307" t="e">
        <f aca="false">INDEX($B$48:$B$63,MATCH($B70,K$48:K$63,0))</f>
        <v>#N/A</v>
      </c>
      <c r="L70" s="307" t="e">
        <f aca="false">INDEX($B$48:$B$63,MATCH($B70,L$48:L$63,0))</f>
        <v>#N/A</v>
      </c>
      <c r="M70" s="307" t="str">
        <f aca="false">INDEX($B$48:$B$63,MATCH($B70,M$48:M$63,0))</f>
        <v>CPL JOVAN CHUA RUI CHENG</v>
      </c>
      <c r="N70" s="307" t="e">
        <f aca="false">INDEX($B$48:$B$63,MATCH($B70,N$48:N$63,0))</f>
        <v>#N/A</v>
      </c>
      <c r="O70" s="307" t="e">
        <f aca="false">INDEX($B$48:$B$63,MATCH($B70,O$48:O$63,0))</f>
        <v>#N/A</v>
      </c>
      <c r="P70" s="307" t="e">
        <f aca="false">INDEX($B$48:$B$63,MATCH($B70,P$48:P$63,0))</f>
        <v>#N/A</v>
      </c>
      <c r="Q70" s="307" t="e">
        <f aca="false">INDEX($B$48:$B$63,MATCH($B70,Q$48:Q$63,0))</f>
        <v>#N/A</v>
      </c>
      <c r="R70" s="307" t="str">
        <f aca="false">INDEX($B$48:$B$63,MATCH($B70,R$48:R$63,0))</f>
        <v>CFC AINSLEY YAP SHENG JIE</v>
      </c>
      <c r="S70" s="307" t="e">
        <f aca="false">INDEX($B$48:$B$63,MATCH($B70,S$48:S$63,0))</f>
        <v>#N/A</v>
      </c>
      <c r="T70" s="307" t="str">
        <f aca="false">INDEX($B$48:$B$63,MATCH($B70,T$48:T$63,0))</f>
        <v>CFC AINSLEY YAP SHENG JIE</v>
      </c>
      <c r="U70" s="307" t="e">
        <f aca="false">INDEX($B$48:$B$63,MATCH($B70,U$48:U$63,0))</f>
        <v>#N/A</v>
      </c>
      <c r="V70" s="307" t="e">
        <f aca="false">INDEX($B$48:$B$63,MATCH($B70,V$48:V$63,0))</f>
        <v>#N/A</v>
      </c>
      <c r="W70" s="307" t="e">
        <f aca="false">INDEX($B$48:$B$63,MATCH($B70,W$48:W$63,0))</f>
        <v>#N/A</v>
      </c>
      <c r="X70" s="307" t="e">
        <f aca="false">INDEX($B$48:$B$63,MATCH($B70,X$48:X$63,0))</f>
        <v>#N/A</v>
      </c>
      <c r="Y70" s="307" t="e">
        <f aca="false">INDEX($B$48:$B$63,MATCH($B70,Y$48:Y$63,0))</f>
        <v>#N/A</v>
      </c>
      <c r="Z70" s="307" t="e">
        <f aca="false">INDEX($B$48:$B$63,MATCH($B70,Z$48:Z$63,0))</f>
        <v>#N/A</v>
      </c>
      <c r="AA70" s="307" t="str">
        <f aca="false">INDEX($B$48:$B$63,MATCH($B70,AA$48:AA$63,0))</f>
        <v>3SG HO JI XUAN ISAAC</v>
      </c>
      <c r="AB70" s="307" t="e">
        <f aca="false">INDEX($B$48:$B$63,MATCH($B70,AB$48:AB$63,0))</f>
        <v>#N/A</v>
      </c>
      <c r="AC70" s="307" t="e">
        <f aca="false">INDEX($B$48:$B$63,MATCH($B70,AC$48:AC$63,0))</f>
        <v>#N/A</v>
      </c>
      <c r="AD70" s="307" t="str">
        <f aca="false">INDEX($B$48:$B$63,MATCH($B70,AD$48:AD$63,0))</f>
        <v>CPL TAN TZE JUE JULIAN</v>
      </c>
      <c r="AE70" s="307" t="e">
        <f aca="false">INDEX($B$48:$B$63,MATCH($B70,AE$48:AE$63,0))</f>
        <v>#N/A</v>
      </c>
      <c r="AF70" s="307" t="e">
        <f aca="false">INDEX($B$48:$B$63,MATCH($B70,AF$48:AF$63,0))</f>
        <v>#N/A</v>
      </c>
      <c r="AG70" s="307" t="e">
        <f aca="false">INDEX($B$48:$B$63,MATCH($B70,AG$48:AG$63,0))</f>
        <v>#N/A</v>
      </c>
      <c r="AH70" s="272"/>
      <c r="AI70" s="272"/>
      <c r="AJ70" s="272"/>
      <c r="AK70" s="272"/>
      <c r="AL70" s="278"/>
      <c r="AM70" s="278"/>
      <c r="AN70" s="278"/>
      <c r="AO70" s="278"/>
      <c r="AP70" s="278"/>
      <c r="AQ70" s="278"/>
      <c r="AR70" s="278"/>
      <c r="AS70" s="278"/>
      <c r="AT70" s="278"/>
      <c r="AU70" s="278"/>
      <c r="AV70" s="278"/>
      <c r="AW70" s="278"/>
      <c r="AX70" s="278"/>
      <c r="AY70" s="278"/>
      <c r="AZ70" s="278"/>
      <c r="BA70" s="278"/>
      <c r="BB70" s="278"/>
      <c r="BC70" s="278"/>
      <c r="BD70" s="278"/>
      <c r="BE70" s="278"/>
      <c r="BF70" s="278"/>
      <c r="BG70" s="278"/>
      <c r="BH70" s="278"/>
      <c r="BI70" s="278"/>
      <c r="BJ70" s="278"/>
      <c r="BK70" s="278"/>
      <c r="BL70" s="278"/>
      <c r="BM70" s="278"/>
      <c r="BN70" s="278"/>
      <c r="BO70" s="278"/>
      <c r="BP70" s="278"/>
      <c r="BQ70" s="278"/>
    </row>
    <row r="71" customFormat="false" ht="19.5" hidden="false" customHeight="true" outlineLevel="0" collapsed="false">
      <c r="A71" s="272"/>
      <c r="B71" s="311" t="s">
        <v>65</v>
      </c>
      <c r="C71" s="307" t="e">
        <f aca="false">INDEX($B$48:$B$63,MATCH($B71,C$48:C$63,0))</f>
        <v>#N/A</v>
      </c>
      <c r="D71" s="307" t="str">
        <f aca="false">INDEX($B$48:$B$63,MATCH($B71,D$48:D$63,0))</f>
        <v>CFC BRENDON TOH YI CHEN</v>
      </c>
      <c r="E71" s="307" t="str">
        <f aca="false">INDEX($B$48:$B$63,MATCH($B71,E$48:E$63,0))</f>
        <v>CPL JOVAN CHUA RUI CHENG</v>
      </c>
      <c r="F71" s="307" t="str">
        <f aca="false">INDEX($B$48:$B$63,MATCH($B71,F$48:F$63,0))</f>
        <v>CPL TAN TZE JUE JULIAN</v>
      </c>
      <c r="G71" s="307" t="str">
        <f aca="false">INDEX($B$48:$B$63,MATCH($B71,G$48:G$63,0))</f>
        <v>LCP KOH KAH SENG</v>
      </c>
      <c r="H71" s="307" t="e">
        <f aca="false">INDEX($B$48:$B$63,MATCH($B71,H$48:H$63,0))</f>
        <v>#N/A</v>
      </c>
      <c r="I71" s="307" t="e">
        <f aca="false">INDEX($B$48:$B$63,MATCH($B71,I$48:I$63,0))</f>
        <v>#N/A</v>
      </c>
      <c r="J71" s="307" t="str">
        <f aca="false">INDEX($B$48:$B$63,MATCH($B71,J$48:J$63,0))</f>
        <v>PTE LUTH HARITH AFIF BIN NORFIFI</v>
      </c>
      <c r="K71" s="307" t="str">
        <f aca="false">INDEX($B$48:$B$63,MATCH($B71,K$48:K$63,0))</f>
        <v>PTE SUNDARARAJU DHANUSH</v>
      </c>
      <c r="L71" s="307" t="str">
        <f aca="false">INDEX($B$48:$B$63,MATCH($B71,L$48:L$63,0))</f>
        <v>CFC MUHAMMAD AMSYAR SUFI BIN SUNARDI</v>
      </c>
      <c r="M71" s="307" t="str">
        <f aca="false">INDEX($B$48:$B$63,MATCH($B71,M$48:M$63,0))</f>
        <v>CFC AINSLEY YAP SHENG JIE</v>
      </c>
      <c r="N71" s="307" t="str">
        <f aca="false">INDEX($B$48:$B$63,MATCH($B71,N$48:N$63,0))</f>
        <v>CFC BRENDON TOH YI CHEN</v>
      </c>
      <c r="O71" s="307" t="e">
        <f aca="false">INDEX($B$48:$B$63,MATCH($B71,O$48:O$63,0))</f>
        <v>#N/A</v>
      </c>
      <c r="P71" s="307" t="e">
        <f aca="false">INDEX($B$48:$B$63,MATCH($B71,P$48:P$63,0))</f>
        <v>#N/A</v>
      </c>
      <c r="Q71" s="307" t="str">
        <f aca="false">INDEX($B$48:$B$63,MATCH($B71,Q$48:Q$63,0))</f>
        <v>3SG HO JI XUAN ISAAC</v>
      </c>
      <c r="R71" s="307" t="str">
        <f aca="false">INDEX($B$48:$B$63,MATCH($B71,R$48:R$63,0))</f>
        <v>CPL LAN ZHI XIANG</v>
      </c>
      <c r="S71" s="307" t="str">
        <f aca="false">INDEX($B$48:$B$63,MATCH($B71,S$48:S$63,0))</f>
        <v>CPL JOVAN CHUA RUI CHENG</v>
      </c>
      <c r="T71" s="307" t="str">
        <f aca="false">INDEX($B$48:$B$63,MATCH($B71,T$48:T$63,0))</f>
        <v>PTE SUNDARARAJU DHANUSH</v>
      </c>
      <c r="U71" s="307" t="str">
        <f aca="false">INDEX($B$48:$B$63,MATCH($B71,U$48:U$63,0))</f>
        <v>CFC MUHAMMAD AMSYAR SUFI BIN SUNARDI</v>
      </c>
      <c r="V71" s="307" t="e">
        <f aca="false">INDEX($B$48:$B$63,MATCH($B71,V$48:V$63,0))</f>
        <v>#N/A</v>
      </c>
      <c r="W71" s="307" t="e">
        <f aca="false">INDEX($B$48:$B$63,MATCH($B71,W$48:W$63,0))</f>
        <v>#N/A</v>
      </c>
      <c r="X71" s="307" t="str">
        <f aca="false">INDEX($B$48:$B$63,MATCH($B71,X$48:X$63,0))</f>
        <v>3SG THOTA DEV ADITYA</v>
      </c>
      <c r="Y71" s="307" t="str">
        <f aca="false">INDEX($B$48:$B$63,MATCH($B71,Y$48:Y$63,0))</f>
        <v>3SG THOTA DEV ADITYA</v>
      </c>
      <c r="Z71" s="307" t="str">
        <f aca="false">INDEX($B$48:$B$63,MATCH($B71,Z$48:Z$63,0))</f>
        <v>LCP DAANYAAL ABDUL AZEEZ JANJUA</v>
      </c>
      <c r="AA71" s="307" t="str">
        <f aca="false">INDEX($B$48:$B$63,MATCH($B71,AA$48:AA$63,0))</f>
        <v>CFC MUHAMMAD AMSYAR SUFI BIN SUNARDI</v>
      </c>
      <c r="AB71" s="307" t="str">
        <f aca="false">INDEX($B$48:$B$63,MATCH($B71,AB$48:AB$63,0))</f>
        <v>3SG THOTA DEV ADITYA</v>
      </c>
      <c r="AC71" s="307" t="e">
        <f aca="false">INDEX($B$48:$B$63,MATCH($B71,AC$48:AC$63,0))</f>
        <v>#N/A</v>
      </c>
      <c r="AD71" s="307" t="e">
        <f aca="false">INDEX($B$48:$B$63,MATCH($B71,AD$48:AD$63,0))</f>
        <v>#N/A</v>
      </c>
      <c r="AE71" s="307" t="str">
        <f aca="false">INDEX($B$48:$B$63,MATCH($B71,AE$48:AE$63,0))</f>
        <v>PTE LUTH HARITH AFIF BIN NORFIFI</v>
      </c>
      <c r="AF71" s="307" t="str">
        <f aca="false">INDEX($B$48:$B$63,MATCH($B71,AF$48:AF$63,0))</f>
        <v>3SG THOTA DEV ADITYA</v>
      </c>
      <c r="AG71" s="307" t="e">
        <f aca="false">INDEX($B$48:$B$63,MATCH($B71,AG$48:AG$63,0))</f>
        <v>#N/A</v>
      </c>
      <c r="AH71" s="272"/>
      <c r="AI71" s="272"/>
      <c r="AJ71" s="272"/>
      <c r="AK71" s="272"/>
      <c r="AL71" s="278"/>
      <c r="AM71" s="278"/>
      <c r="AN71" s="278"/>
      <c r="AO71" s="278"/>
      <c r="AP71" s="278"/>
      <c r="AQ71" s="278"/>
      <c r="AR71" s="278"/>
      <c r="AS71" s="278"/>
      <c r="AT71" s="278"/>
      <c r="AU71" s="278"/>
      <c r="AV71" s="278"/>
      <c r="AW71" s="278"/>
      <c r="AX71" s="278"/>
      <c r="AY71" s="278"/>
      <c r="AZ71" s="278"/>
      <c r="BA71" s="278"/>
      <c r="BB71" s="278"/>
      <c r="BC71" s="278"/>
      <c r="BD71" s="278"/>
      <c r="BE71" s="278"/>
      <c r="BF71" s="278"/>
      <c r="BG71" s="278"/>
      <c r="BH71" s="278"/>
      <c r="BI71" s="278"/>
      <c r="BJ71" s="278"/>
      <c r="BK71" s="278"/>
      <c r="BL71" s="278"/>
      <c r="BM71" s="278"/>
      <c r="BN71" s="278"/>
      <c r="BO71" s="278"/>
      <c r="BP71" s="278"/>
      <c r="BQ71" s="278"/>
    </row>
    <row r="72" customFormat="false" ht="19.5" hidden="false" customHeight="true" outlineLevel="0" collapsed="false">
      <c r="A72" s="272"/>
      <c r="B72" s="266" t="s">
        <v>350</v>
      </c>
      <c r="C72" s="266" t="e">
        <f aca="false">INDEX($B$48:$B$63,MATCH($B72,C$48:C$63,0))</f>
        <v>#N/A</v>
      </c>
      <c r="D72" s="266" t="e">
        <f aca="false">INDEX($B$48:$B$63,MATCH($B72,D$48:D$63,0))</f>
        <v>#N/A</v>
      </c>
      <c r="E72" s="266" t="e">
        <f aca="false">INDEX($B$48:$B$63,MATCH($B72,E$48:E$63,0))</f>
        <v>#N/A</v>
      </c>
      <c r="F72" s="266" t="e">
        <f aca="false">INDEX($B$48:$B$63,MATCH($B72,F$48:F$63,0))</f>
        <v>#N/A</v>
      </c>
      <c r="G72" s="266" t="e">
        <f aca="false">INDEX($B$48:$B$63,MATCH($B72,G$48:G$63,0))</f>
        <v>#N/A</v>
      </c>
      <c r="H72" s="266" t="e">
        <f aca="false">INDEX($B$48:$B$63,MATCH($B72,H$48:H$63,0))</f>
        <v>#N/A</v>
      </c>
      <c r="I72" s="266" t="e">
        <f aca="false">INDEX($B$48:$B$63,MATCH($B72,I$48:I$63,0))</f>
        <v>#N/A</v>
      </c>
      <c r="J72" s="266" t="e">
        <f aca="false">INDEX($B$48:$B$63,MATCH($B72,J$48:J$63,0))</f>
        <v>#N/A</v>
      </c>
      <c r="K72" s="266" t="str">
        <f aca="false">INDEX($B$48:$B$63,MATCH($B72,K$48:K$63,0))</f>
        <v>CFC KOH KAI JIE, ETHAN</v>
      </c>
      <c r="L72" s="266" t="str">
        <f aca="false">INDEX($B$48:$B$63,MATCH($B72,L$48:L$63,0))</f>
        <v>CPL LAN ZHI XIANG</v>
      </c>
      <c r="M72" s="266" t="e">
        <f aca="false">INDEX($B$48:$B$63,MATCH($B72,M$48:M$63,0))</f>
        <v>#N/A</v>
      </c>
      <c r="N72" s="266" t="str">
        <f aca="false">INDEX($B$48:$B$63,MATCH($B72,N$48:N$63,0))</f>
        <v>PTE SUNDARARAJU DHANUSH</v>
      </c>
      <c r="O72" s="266" t="e">
        <f aca="false">INDEX($B$48:$B$63,MATCH($B72,O$48:O$63,0))</f>
        <v>#N/A</v>
      </c>
      <c r="P72" s="266" t="e">
        <f aca="false">INDEX($B$48:$B$63,MATCH($B72,P$48:P$63,0))</f>
        <v>#N/A</v>
      </c>
      <c r="Q72" s="266" t="e">
        <f aca="false">INDEX($B$48:$B$63,MATCH($B72,Q$48:Q$63,0))</f>
        <v>#N/A</v>
      </c>
      <c r="R72" s="266" t="e">
        <f aca="false">INDEX($B$48:$B$63,MATCH($B72,R$48:R$63,0))</f>
        <v>#N/A</v>
      </c>
      <c r="S72" s="266" t="e">
        <f aca="false">INDEX($B$48:$B$63,MATCH($B72,S$48:S$63,0))</f>
        <v>#N/A</v>
      </c>
      <c r="T72" s="266" t="str">
        <f aca="false">INDEX($B$48:$B$63,MATCH($B72,T$48:T$63,0))</f>
        <v>CPL TAN TZE JUE JULIAN</v>
      </c>
      <c r="U72" s="266" t="e">
        <f aca="false">INDEX($B$48:$B$63,MATCH($B72,U$48:U$63,0))</f>
        <v>#N/A</v>
      </c>
      <c r="V72" s="266" t="e">
        <f aca="false">INDEX($B$48:$B$63,MATCH($B72,V$48:V$63,0))</f>
        <v>#N/A</v>
      </c>
      <c r="W72" s="266" t="e">
        <f aca="false">INDEX($B$48:$B$63,MATCH($B72,W$48:W$63,0))</f>
        <v>#N/A</v>
      </c>
      <c r="X72" s="266" t="e">
        <f aca="false">INDEX($B$48:$B$63,MATCH($B72,X$48:X$63,0))</f>
        <v>#N/A</v>
      </c>
      <c r="Y72" s="266" t="str">
        <f aca="false">INDEX($B$48:$B$63,MATCH($B72,Y$48:Y$63,0))</f>
        <v>LCP LIM CHU FENG</v>
      </c>
      <c r="Z72" s="266" t="e">
        <f aca="false">INDEX($B$48:$B$63,MATCH($B72,Z$48:Z$63,0))</f>
        <v>#N/A</v>
      </c>
      <c r="AA72" s="266" t="str">
        <f aca="false">INDEX($B$48:$B$63,MATCH($B72,AA$48:AA$63,0))</f>
        <v>3SG THOTA DEV ADITYA</v>
      </c>
      <c r="AB72" s="266" t="e">
        <f aca="false">INDEX($B$48:$B$63,MATCH($B72,AB$48:AB$63,0))</f>
        <v>#N/A</v>
      </c>
      <c r="AC72" s="266" t="e">
        <f aca="false">INDEX($B$48:$B$63,MATCH($B72,AC$48:AC$63,0))</f>
        <v>#N/A</v>
      </c>
      <c r="AD72" s="266" t="e">
        <f aca="false">INDEX($B$48:$B$63,MATCH($B72,AD$48:AD$63,0))</f>
        <v>#N/A</v>
      </c>
      <c r="AE72" s="266" t="e">
        <f aca="false">INDEX($B$48:$B$63,MATCH($B72,AE$48:AE$63,0))</f>
        <v>#N/A</v>
      </c>
      <c r="AF72" s="266" t="e">
        <f aca="false">INDEX($B$48:$B$63,MATCH($B72,AF$48:AF$63,0))</f>
        <v>#N/A</v>
      </c>
      <c r="AG72" s="266" t="e">
        <f aca="false">INDEX($B$48:$B$63,MATCH($B72,AG$48:AG$63,0))</f>
        <v>#N/A</v>
      </c>
      <c r="AH72" s="272"/>
      <c r="AI72" s="272"/>
      <c r="AJ72" s="272"/>
      <c r="AK72" s="272"/>
      <c r="AL72" s="278"/>
      <c r="AM72" s="278"/>
      <c r="AN72" s="278"/>
      <c r="AO72" s="278"/>
      <c r="AP72" s="278"/>
      <c r="AQ72" s="278"/>
      <c r="AR72" s="278"/>
      <c r="AS72" s="278"/>
      <c r="AT72" s="278"/>
      <c r="AU72" s="278"/>
      <c r="AV72" s="278"/>
      <c r="AW72" s="278"/>
      <c r="AX72" s="278"/>
      <c r="AY72" s="278"/>
      <c r="AZ72" s="278"/>
      <c r="BA72" s="278"/>
      <c r="BB72" s="278"/>
      <c r="BC72" s="278"/>
      <c r="BD72" s="278"/>
      <c r="BE72" s="278"/>
      <c r="BF72" s="278"/>
      <c r="BG72" s="278"/>
      <c r="BH72" s="278"/>
      <c r="BI72" s="278"/>
      <c r="BJ72" s="278"/>
      <c r="BK72" s="278"/>
      <c r="BL72" s="278"/>
      <c r="BM72" s="278"/>
      <c r="BN72" s="278"/>
      <c r="BO72" s="278"/>
      <c r="BP72" s="278"/>
      <c r="BQ72" s="278"/>
    </row>
    <row r="73" customFormat="false" ht="19.5" hidden="false" customHeight="true" outlineLevel="0" collapsed="false">
      <c r="A73" s="272"/>
      <c r="B73" s="266" t="s">
        <v>755</v>
      </c>
      <c r="C73" s="266" t="n">
        <f aca="false">COUNTIF(C48:C63,"DM")</f>
        <v>0</v>
      </c>
      <c r="D73" s="266" t="n">
        <f aca="false">COUNTIF(D48:D63,"DM")</f>
        <v>1</v>
      </c>
      <c r="E73" s="266" t="n">
        <f aca="false">COUNTIF(E48:E63,"DM")</f>
        <v>1</v>
      </c>
      <c r="F73" s="266" t="n">
        <f aca="false">COUNTIF(F48:F63,"DM")</f>
        <v>1</v>
      </c>
      <c r="G73" s="266" t="n">
        <f aca="false">COUNTIF(G48:G63,"DM")</f>
        <v>1</v>
      </c>
      <c r="H73" s="266" t="n">
        <f aca="false">COUNTIF(H48:H63,"DM")</f>
        <v>0</v>
      </c>
      <c r="I73" s="266" t="n">
        <f aca="false">COUNTIF(I48:I63,"DM")</f>
        <v>0</v>
      </c>
      <c r="J73" s="266" t="n">
        <f aca="false">COUNTIF(J48:J63,"DM")</f>
        <v>1</v>
      </c>
      <c r="K73" s="266" t="n">
        <f aca="false">COUNTIF(K48:K63,"DM")</f>
        <v>1</v>
      </c>
      <c r="L73" s="266" t="n">
        <f aca="false">COUNTIF(L48:L63,"DM")</f>
        <v>1</v>
      </c>
      <c r="M73" s="266" t="n">
        <f aca="false">COUNTIF(M48:M63,"DM")</f>
        <v>1</v>
      </c>
      <c r="N73" s="266" t="n">
        <f aca="false">COUNTIF(N48:N63,"DM")</f>
        <v>1</v>
      </c>
      <c r="O73" s="266" t="n">
        <f aca="false">COUNTIF(O48:O63,"DM")</f>
        <v>0</v>
      </c>
      <c r="P73" s="266" t="n">
        <f aca="false">COUNTIF(P48:P63,"DM")</f>
        <v>0</v>
      </c>
      <c r="Q73" s="266" t="n">
        <f aca="false">COUNTIF(Q48:Q63,"DM")</f>
        <v>1</v>
      </c>
      <c r="R73" s="266" t="n">
        <f aca="false">COUNTIF(R48:R63,"DM")</f>
        <v>1</v>
      </c>
      <c r="S73" s="266" t="n">
        <f aca="false">COUNTIF(S48:S63,"DM")</f>
        <v>1</v>
      </c>
      <c r="T73" s="266" t="n">
        <f aca="false">COUNTIF(T48:T63,"DM")</f>
        <v>1</v>
      </c>
      <c r="U73" s="266" t="n">
        <f aca="false">COUNTIF(U48:U63,"DM")</f>
        <v>1</v>
      </c>
      <c r="V73" s="266" t="n">
        <f aca="false">COUNTIF(V48:V63,"DM")</f>
        <v>0</v>
      </c>
      <c r="W73" s="266" t="n">
        <f aca="false">COUNTIF(W48:W63,"DM")</f>
        <v>0</v>
      </c>
      <c r="X73" s="266" t="n">
        <f aca="false">COUNTIF(X48:X63,"DM")</f>
        <v>1</v>
      </c>
      <c r="Y73" s="266" t="n">
        <f aca="false">COUNTIF(Y48:Y63,"DM")</f>
        <v>1</v>
      </c>
      <c r="Z73" s="266" t="n">
        <f aca="false">COUNTIF(Z48:Z63,"DM")</f>
        <v>1</v>
      </c>
      <c r="AA73" s="266" t="n">
        <f aca="false">COUNTIF(AA48:AA63,"DM")</f>
        <v>1</v>
      </c>
      <c r="AB73" s="266" t="n">
        <f aca="false">COUNTIF(AB48:AB63,"DM")</f>
        <v>1</v>
      </c>
      <c r="AC73" s="266" t="n">
        <f aca="false">COUNTIF(AC48:AC63,"DM")</f>
        <v>0</v>
      </c>
      <c r="AD73" s="266" t="n">
        <f aca="false">COUNTIF(AD48:AD63,"DM")</f>
        <v>0</v>
      </c>
      <c r="AE73" s="266" t="n">
        <f aca="false">COUNTIF(AE48:AE63,"DM")</f>
        <v>1</v>
      </c>
      <c r="AF73" s="266" t="n">
        <f aca="false">COUNTIF(AF48:AF63,"DM")</f>
        <v>1</v>
      </c>
      <c r="AG73" s="266" t="n">
        <f aca="false">COUNTIF(AG48:AG63,"DM")</f>
        <v>0</v>
      </c>
      <c r="AH73" s="272"/>
      <c r="AI73" s="272"/>
      <c r="AJ73" s="272"/>
      <c r="AK73" s="272"/>
      <c r="AL73" s="278"/>
      <c r="AM73" s="278"/>
      <c r="AN73" s="278"/>
      <c r="AO73" s="278"/>
      <c r="AP73" s="278"/>
      <c r="AQ73" s="278"/>
      <c r="AR73" s="278"/>
      <c r="AS73" s="278"/>
      <c r="AT73" s="278"/>
      <c r="AU73" s="278"/>
      <c r="AV73" s="278"/>
      <c r="AW73" s="278"/>
      <c r="AX73" s="278"/>
      <c r="AY73" s="278"/>
      <c r="AZ73" s="278"/>
      <c r="BA73" s="278"/>
      <c r="BB73" s="278"/>
      <c r="BC73" s="278"/>
      <c r="BD73" s="278"/>
      <c r="BE73" s="278"/>
      <c r="BF73" s="278"/>
      <c r="BG73" s="278"/>
      <c r="BH73" s="278"/>
      <c r="BI73" s="278"/>
      <c r="BJ73" s="278"/>
      <c r="BK73" s="278"/>
      <c r="BL73" s="278"/>
      <c r="BM73" s="278"/>
      <c r="BN73" s="278"/>
      <c r="BO73" s="278"/>
      <c r="BP73" s="278"/>
      <c r="BQ73" s="278"/>
    </row>
    <row r="74" customFormat="false" ht="19.5" hidden="false" customHeight="true" outlineLevel="0" collapsed="false">
      <c r="A74" s="272"/>
      <c r="B74" s="266" t="s">
        <v>861</v>
      </c>
      <c r="C74" s="266" t="n">
        <f aca="false">COUNTIF(C48:C63,"SB1")+COUNTIF(C48:C63,"SB2")</f>
        <v>1</v>
      </c>
      <c r="D74" s="266" t="n">
        <f aca="false">COUNTIF(D48:D63,"SB1")+COUNTIF(D48:D63,"SB2")</f>
        <v>1</v>
      </c>
      <c r="E74" s="266" t="n">
        <f aca="false">COUNTIF(E48:E63,"SB1")+COUNTIF(E48:E63,"SB2")</f>
        <v>1</v>
      </c>
      <c r="F74" s="266" t="n">
        <f aca="false">COUNTIF(F48:F63,"SB1")+COUNTIF(F48:F63,"SB2")</f>
        <v>2</v>
      </c>
      <c r="G74" s="266" t="n">
        <f aca="false">COUNTIF(G48:G63,"SB1")+COUNTIF(G48:G63,"SB2")</f>
        <v>1</v>
      </c>
      <c r="H74" s="266" t="n">
        <f aca="false">COUNTIF(H48:H63,"SB1")+COUNTIF(H48:H63,"SB2")</f>
        <v>1</v>
      </c>
      <c r="I74" s="266" t="n">
        <f aca="false">COUNTIF(I48:I63,"SB1")+COUNTIF(I48:I63,"SB2")</f>
        <v>1</v>
      </c>
      <c r="J74" s="266" t="n">
        <f aca="false">COUNTIF(J48:J63,"SB1")+COUNTIF(J48:J63,"SB2")</f>
        <v>1</v>
      </c>
      <c r="K74" s="266" t="n">
        <f aca="false">COUNTIF(K48:K63,"SB1")+COUNTIF(K48:K63,"SB2")</f>
        <v>1</v>
      </c>
      <c r="L74" s="266" t="n">
        <f aca="false">COUNTIF(L48:L63,"SB1")+COUNTIF(L48:L63,"SB2")</f>
        <v>1</v>
      </c>
      <c r="M74" s="266" t="n">
        <f aca="false">COUNTIF(M48:M63,"SB1")+COUNTIF(M48:M63,"SB2")</f>
        <v>1</v>
      </c>
      <c r="N74" s="266" t="n">
        <f aca="false">COUNTIF(N48:N63,"SB1")+COUNTIF(N48:N63,"SB2")</f>
        <v>1</v>
      </c>
      <c r="O74" s="266" t="n">
        <f aca="false">COUNTIF(O48:O63,"SB1")+COUNTIF(O48:O63,"SB2")</f>
        <v>1</v>
      </c>
      <c r="P74" s="266" t="n">
        <f aca="false">COUNTIF(P48:P63,"SB1")+COUNTIF(P48:P63,"SB2")</f>
        <v>1</v>
      </c>
      <c r="Q74" s="266" t="n">
        <f aca="false">COUNTIF(Q48:Q63,"SB1")+COUNTIF(Q48:Q63,"SB2")</f>
        <v>1</v>
      </c>
      <c r="R74" s="266" t="n">
        <f aca="false">COUNTIF(R48:R63,"SB1")+COUNTIF(R48:R63,"SB2")</f>
        <v>1</v>
      </c>
      <c r="S74" s="266" t="n">
        <f aca="false">COUNTIF(S48:S63,"SB1")+COUNTIF(S48:S63,"SB2")</f>
        <v>1</v>
      </c>
      <c r="T74" s="266" t="n">
        <f aca="false">COUNTIF(T48:T63,"SB1")+COUNTIF(T48:T63,"SB2")</f>
        <v>1</v>
      </c>
      <c r="U74" s="266" t="n">
        <f aca="false">COUNTIF(U48:U63,"SB1")+COUNTIF(U48:U63,"SB2")</f>
        <v>1</v>
      </c>
      <c r="V74" s="266" t="n">
        <f aca="false">COUNTIF(V48:V63,"SB1")+COUNTIF(V48:V63,"SB2")</f>
        <v>0</v>
      </c>
      <c r="W74" s="266" t="n">
        <f aca="false">COUNTIF(W48:W63,"SB1")+COUNTIF(W48:W63,"SB2")</f>
        <v>1</v>
      </c>
      <c r="X74" s="266" t="n">
        <f aca="false">COUNTIF(X48:X63,"SB1")+COUNTIF(X48:X63,"SB2")</f>
        <v>1</v>
      </c>
      <c r="Y74" s="266" t="n">
        <f aca="false">COUNTIF(Y48:Y63,"SB1")+COUNTIF(Y48:Y63,"SB2")</f>
        <v>1</v>
      </c>
      <c r="Z74" s="266" t="n">
        <f aca="false">COUNTIF(Z48:Z63,"SB1")+COUNTIF(Z48:Z63,"SB2")</f>
        <v>1</v>
      </c>
      <c r="AA74" s="266" t="n">
        <f aca="false">COUNTIF(AA48:AA63,"SB1")+COUNTIF(AA48:AA63,"SB2")</f>
        <v>1</v>
      </c>
      <c r="AB74" s="266" t="n">
        <f aca="false">COUNTIF(AB48:AB63,"SB1")+COUNTIF(AB48:AB63,"SB2")</f>
        <v>1</v>
      </c>
      <c r="AC74" s="266" t="n">
        <f aca="false">COUNTIF(AC48:AC63,"SB1")+COUNTIF(AC48:AC63,"SB2")</f>
        <v>1</v>
      </c>
      <c r="AD74" s="266" t="n">
        <f aca="false">COUNTIF(AD48:AD63,"SB1")+COUNTIF(AD48:AD63,"SB2")</f>
        <v>1</v>
      </c>
      <c r="AE74" s="266" t="n">
        <f aca="false">COUNTIF(AE48:AE63,"SB1")+COUNTIF(AE48:AE63,"SB2")</f>
        <v>1</v>
      </c>
      <c r="AF74" s="266" t="n">
        <f aca="false">COUNTIF(AF48:AF63,"SB1")+COUNTIF(AF48:AF63,"SB2")</f>
        <v>1</v>
      </c>
      <c r="AG74" s="266" t="n">
        <f aca="false">COUNTIF(AG48:AG63,"SB1")+COUNTIF(AG48:AG63,"SB2")</f>
        <v>0</v>
      </c>
      <c r="AH74" s="272"/>
      <c r="AI74" s="272"/>
      <c r="AJ74" s="272"/>
      <c r="AK74" s="272"/>
      <c r="AL74" s="278"/>
      <c r="AM74" s="278"/>
      <c r="AN74" s="278"/>
      <c r="AO74" s="278"/>
      <c r="AP74" s="278"/>
      <c r="AQ74" s="278"/>
      <c r="AR74" s="278"/>
      <c r="AS74" s="278"/>
      <c r="AT74" s="278"/>
      <c r="AU74" s="278"/>
      <c r="AV74" s="278"/>
      <c r="AW74" s="278"/>
      <c r="AX74" s="278"/>
      <c r="AY74" s="278"/>
      <c r="AZ74" s="278"/>
      <c r="BA74" s="278"/>
      <c r="BB74" s="278"/>
      <c r="BC74" s="278"/>
      <c r="BD74" s="278"/>
      <c r="BE74" s="278"/>
      <c r="BF74" s="278"/>
      <c r="BG74" s="278"/>
      <c r="BH74" s="278"/>
      <c r="BI74" s="278"/>
      <c r="BJ74" s="278"/>
      <c r="BK74" s="278"/>
      <c r="BL74" s="278"/>
      <c r="BM74" s="278"/>
      <c r="BN74" s="278"/>
      <c r="BO74" s="278"/>
      <c r="BP74" s="278"/>
      <c r="BQ74" s="278"/>
    </row>
    <row r="75" customFormat="false" ht="19.5" hidden="false" customHeight="true" outlineLevel="0" collapsed="false">
      <c r="A75" s="272"/>
      <c r="B75" s="266" t="s">
        <v>862</v>
      </c>
      <c r="C75" s="266" t="n">
        <f aca="false">COUNTIF(C48:C63,"CS1")</f>
        <v>0</v>
      </c>
      <c r="D75" s="266" t="n">
        <f aca="false">COUNTIF(D48:D63,"CS1")</f>
        <v>1</v>
      </c>
      <c r="E75" s="266" t="n">
        <f aca="false">COUNTIF(E48:E63,"CS1")</f>
        <v>1</v>
      </c>
      <c r="F75" s="266" t="n">
        <f aca="false">COUNTIF(F48:F63,"CS1")</f>
        <v>1</v>
      </c>
      <c r="G75" s="266" t="n">
        <f aca="false">COUNTIF(G48:G63,"CS1")</f>
        <v>1</v>
      </c>
      <c r="H75" s="266" t="n">
        <f aca="false">COUNTIF(H48:H63,"CS1")</f>
        <v>0</v>
      </c>
      <c r="I75" s="266" t="n">
        <f aca="false">COUNTIF(I48:I63,"CS1")</f>
        <v>0</v>
      </c>
      <c r="J75" s="266" t="n">
        <f aca="false">COUNTIF(J48:J63,"CS1")</f>
        <v>1</v>
      </c>
      <c r="K75" s="266" t="n">
        <f aca="false">COUNTIF(K48:K63,"CS1")</f>
        <v>1</v>
      </c>
      <c r="L75" s="266" t="n">
        <f aca="false">COUNTIF(L48:L63,"CS1")</f>
        <v>1</v>
      </c>
      <c r="M75" s="266" t="n">
        <f aca="false">COUNTIF(M48:M63,"CS1")</f>
        <v>1</v>
      </c>
      <c r="N75" s="266" t="n">
        <f aca="false">COUNTIF(N48:N63,"CS1")</f>
        <v>1</v>
      </c>
      <c r="O75" s="266" t="n">
        <f aca="false">COUNTIF(O48:O63,"CS1")</f>
        <v>0</v>
      </c>
      <c r="P75" s="266" t="n">
        <f aca="false">COUNTIF(P48:P63,"CS1")</f>
        <v>0</v>
      </c>
      <c r="Q75" s="266" t="n">
        <f aca="false">COUNTIF(Q48:Q63,"CS1")</f>
        <v>1</v>
      </c>
      <c r="R75" s="266" t="n">
        <f aca="false">COUNTIF(R48:R63,"CS1")</f>
        <v>1</v>
      </c>
      <c r="S75" s="266" t="n">
        <f aca="false">COUNTIF(S48:S63,"CS1")</f>
        <v>1</v>
      </c>
      <c r="T75" s="266" t="n">
        <f aca="false">COUNTIF(T48:T63,"CS1")</f>
        <v>1</v>
      </c>
      <c r="U75" s="266" t="n">
        <f aca="false">COUNTIF(U48:U63,"CS1")</f>
        <v>1</v>
      </c>
      <c r="V75" s="266" t="n">
        <f aca="false">COUNTIF(V48:V63,"CS1")</f>
        <v>0</v>
      </c>
      <c r="W75" s="266" t="n">
        <f aca="false">COUNTIF(W48:W63,"CS1")</f>
        <v>0</v>
      </c>
      <c r="X75" s="266" t="n">
        <f aca="false">COUNTIF(X48:X63,"CS1")</f>
        <v>1</v>
      </c>
      <c r="Y75" s="266" t="n">
        <f aca="false">COUNTIF(Y48:Y63,"CS1")</f>
        <v>1</v>
      </c>
      <c r="Z75" s="266" t="n">
        <f aca="false">COUNTIF(Z48:Z63,"CS1")</f>
        <v>1</v>
      </c>
      <c r="AA75" s="266" t="n">
        <f aca="false">COUNTIF(AA48:AA63,"CS1")</f>
        <v>1</v>
      </c>
      <c r="AB75" s="266" t="n">
        <f aca="false">COUNTIF(AB48:AB63,"CS1")</f>
        <v>1</v>
      </c>
      <c r="AC75" s="266" t="n">
        <f aca="false">COUNTIF(AC48:AC63,"CS1")</f>
        <v>0</v>
      </c>
      <c r="AD75" s="266" t="n">
        <f aca="false">COUNTIF(AD48:AD63,"CS1")</f>
        <v>0</v>
      </c>
      <c r="AE75" s="266" t="n">
        <f aca="false">COUNTIF(AE48:AE63,"CS1")</f>
        <v>1</v>
      </c>
      <c r="AF75" s="266" t="n">
        <f aca="false">COUNTIF(AF48:AF63,"CS1")</f>
        <v>1</v>
      </c>
      <c r="AG75" s="266" t="n">
        <f aca="false">COUNTIF(AG48:AG63,"CS1")</f>
        <v>0</v>
      </c>
      <c r="AH75" s="272"/>
      <c r="AI75" s="272"/>
      <c r="AJ75" s="272"/>
      <c r="AK75" s="272"/>
      <c r="AL75" s="278"/>
      <c r="AM75" s="278"/>
      <c r="AN75" s="278"/>
      <c r="AO75" s="278"/>
      <c r="AP75" s="278"/>
      <c r="AQ75" s="278"/>
      <c r="AR75" s="278"/>
      <c r="AS75" s="278"/>
      <c r="AT75" s="278"/>
      <c r="AU75" s="278"/>
      <c r="AV75" s="278"/>
      <c r="AW75" s="278"/>
      <c r="AX75" s="278"/>
      <c r="AY75" s="278"/>
      <c r="AZ75" s="278"/>
      <c r="BA75" s="278"/>
      <c r="BB75" s="278"/>
      <c r="BC75" s="278"/>
      <c r="BD75" s="278"/>
      <c r="BE75" s="278"/>
      <c r="BF75" s="278"/>
      <c r="BG75" s="278"/>
      <c r="BH75" s="278"/>
      <c r="BI75" s="278"/>
      <c r="BJ75" s="278"/>
      <c r="BK75" s="278"/>
      <c r="BL75" s="278"/>
      <c r="BM75" s="278"/>
      <c r="BN75" s="278"/>
      <c r="BO75" s="278"/>
      <c r="BP75" s="278"/>
      <c r="BQ75" s="278"/>
    </row>
    <row r="76" customFormat="false" ht="19.5" hidden="false" customHeight="true" outlineLevel="0" collapsed="false">
      <c r="A76" s="272"/>
      <c r="B76" s="266" t="s">
        <v>863</v>
      </c>
      <c r="C76" s="266" t="n">
        <f aca="false">COUNTIF(C48:C63,"AE")</f>
        <v>0</v>
      </c>
      <c r="D76" s="266" t="n">
        <f aca="false">COUNTIF(D48:D63,"AE")</f>
        <v>1</v>
      </c>
      <c r="E76" s="266" t="n">
        <f aca="false">COUNTIF(E48:E63,"AE")</f>
        <v>1</v>
      </c>
      <c r="F76" s="266" t="n">
        <f aca="false">COUNTIF(F48:F63,"AE")</f>
        <v>1</v>
      </c>
      <c r="G76" s="266" t="n">
        <f aca="false">COUNTIF(G48:G63,"AE")</f>
        <v>1</v>
      </c>
      <c r="H76" s="266" t="n">
        <f aca="false">COUNTIF(H48:H63,"AE")</f>
        <v>0</v>
      </c>
      <c r="I76" s="266" t="n">
        <f aca="false">COUNTIF(I48:I63,"AE")</f>
        <v>0</v>
      </c>
      <c r="J76" s="266" t="n">
        <f aca="false">COUNTIF(J48:J63,"AE")</f>
        <v>1</v>
      </c>
      <c r="K76" s="266" t="n">
        <f aca="false">COUNTIF(K48:K63,"AE")</f>
        <v>1</v>
      </c>
      <c r="L76" s="266" t="n">
        <f aca="false">COUNTIF(L48:L63,"AE")</f>
        <v>1</v>
      </c>
      <c r="M76" s="266" t="n">
        <f aca="false">COUNTIF(M48:M63,"AE")</f>
        <v>1</v>
      </c>
      <c r="N76" s="266" t="n">
        <f aca="false">COUNTIF(N48:N63,"AE")</f>
        <v>1</v>
      </c>
      <c r="O76" s="266" t="n">
        <f aca="false">COUNTIF(O48:O63,"AE")</f>
        <v>0</v>
      </c>
      <c r="P76" s="266" t="n">
        <f aca="false">COUNTIF(P48:P63,"AE")</f>
        <v>0</v>
      </c>
      <c r="Q76" s="266" t="n">
        <f aca="false">COUNTIF(Q48:Q63,"AE")</f>
        <v>1</v>
      </c>
      <c r="R76" s="266" t="n">
        <f aca="false">COUNTIF(R48:R63,"AE")</f>
        <v>1</v>
      </c>
      <c r="S76" s="266" t="n">
        <f aca="false">COUNTIF(S48:S63,"AE")</f>
        <v>1</v>
      </c>
      <c r="T76" s="266" t="n">
        <f aca="false">COUNTIF(T48:T63,"AE")</f>
        <v>1</v>
      </c>
      <c r="U76" s="266" t="n">
        <f aca="false">COUNTIF(U48:U63,"AE")</f>
        <v>1</v>
      </c>
      <c r="V76" s="266" t="n">
        <f aca="false">COUNTIF(V48:V63,"AE")</f>
        <v>0</v>
      </c>
      <c r="W76" s="266" t="n">
        <f aca="false">COUNTIF(W48:W63,"AE")</f>
        <v>0</v>
      </c>
      <c r="X76" s="266" t="n">
        <f aca="false">COUNTIF(X48:X63,"AE")</f>
        <v>1</v>
      </c>
      <c r="Y76" s="266" t="n">
        <f aca="false">COUNTIF(Y48:Y63,"AE")</f>
        <v>1</v>
      </c>
      <c r="Z76" s="266" t="n">
        <f aca="false">COUNTIF(Z48:Z63,"AE")</f>
        <v>1</v>
      </c>
      <c r="AA76" s="266" t="n">
        <f aca="false">COUNTIF(AA48:AA63,"AE")</f>
        <v>1</v>
      </c>
      <c r="AB76" s="266" t="n">
        <f aca="false">COUNTIF(AB48:AB63,"AE")</f>
        <v>1</v>
      </c>
      <c r="AC76" s="266" t="n">
        <f aca="false">COUNTIF(AC48:AC63,"AE")</f>
        <v>0</v>
      </c>
      <c r="AD76" s="266" t="n">
        <f aca="false">COUNTIF(AD48:AD63,"AE")</f>
        <v>0</v>
      </c>
      <c r="AE76" s="266" t="n">
        <f aca="false">COUNTIF(AE48:AE63,"AE")</f>
        <v>1</v>
      </c>
      <c r="AF76" s="266" t="n">
        <f aca="false">COUNTIF(AF48:AF63,"AE")</f>
        <v>1</v>
      </c>
      <c r="AG76" s="266" t="n">
        <f aca="false">COUNTIF(AG48:AG63,"AE")</f>
        <v>0</v>
      </c>
      <c r="AH76" s="272"/>
      <c r="AI76" s="272"/>
      <c r="AJ76" s="272"/>
      <c r="AK76" s="272"/>
      <c r="AL76" s="278"/>
      <c r="AM76" s="278"/>
      <c r="AN76" s="278"/>
      <c r="AO76" s="278"/>
      <c r="AP76" s="278"/>
      <c r="AQ76" s="278"/>
      <c r="AR76" s="278"/>
      <c r="AS76" s="278"/>
      <c r="AT76" s="278"/>
      <c r="AU76" s="278"/>
      <c r="AV76" s="278"/>
      <c r="AW76" s="278"/>
      <c r="AX76" s="278"/>
      <c r="AY76" s="278"/>
      <c r="AZ76" s="278"/>
      <c r="BA76" s="278"/>
      <c r="BB76" s="278"/>
      <c r="BC76" s="278"/>
      <c r="BD76" s="278"/>
      <c r="BE76" s="278"/>
      <c r="BF76" s="278"/>
      <c r="BG76" s="278"/>
      <c r="BH76" s="278"/>
      <c r="BI76" s="278"/>
      <c r="BJ76" s="278"/>
      <c r="BK76" s="278"/>
      <c r="BL76" s="278"/>
      <c r="BM76" s="278"/>
      <c r="BN76" s="278"/>
      <c r="BO76" s="278"/>
      <c r="BP76" s="278"/>
      <c r="BQ76" s="278"/>
    </row>
    <row r="77" customFormat="false" ht="19.5" hidden="false" customHeight="true" outlineLevel="0" collapsed="false">
      <c r="A77" s="272"/>
      <c r="B77" s="266" t="s">
        <v>864</v>
      </c>
      <c r="C77" s="266" t="n">
        <f aca="false">SUM(C73:C76)</f>
        <v>1</v>
      </c>
      <c r="D77" s="266" t="n">
        <f aca="false">SUM(D73:D76)</f>
        <v>4</v>
      </c>
      <c r="E77" s="266" t="n">
        <f aca="false">SUM(E73:E76)</f>
        <v>4</v>
      </c>
      <c r="F77" s="266" t="n">
        <f aca="false">SUM(F73:F76)</f>
        <v>5</v>
      </c>
      <c r="G77" s="266" t="n">
        <f aca="false">SUM(G73:G76)</f>
        <v>4</v>
      </c>
      <c r="H77" s="266" t="n">
        <f aca="false">SUM(H73:H76)</f>
        <v>1</v>
      </c>
      <c r="I77" s="266" t="n">
        <f aca="false">SUM(I73:I76)</f>
        <v>1</v>
      </c>
      <c r="J77" s="266" t="n">
        <f aca="false">SUM(J73:J76)</f>
        <v>4</v>
      </c>
      <c r="K77" s="266" t="n">
        <f aca="false">SUM(K73:K76)</f>
        <v>4</v>
      </c>
      <c r="L77" s="266" t="n">
        <f aca="false">SUM(L73:L76)</f>
        <v>4</v>
      </c>
      <c r="M77" s="266" t="n">
        <f aca="false">SUM(M73:M76)</f>
        <v>4</v>
      </c>
      <c r="N77" s="266" t="n">
        <f aca="false">SUM(N73:N76)</f>
        <v>4</v>
      </c>
      <c r="O77" s="266" t="n">
        <f aca="false">SUM(O73:O76)</f>
        <v>1</v>
      </c>
      <c r="P77" s="266" t="n">
        <f aca="false">SUM(P73:P76)</f>
        <v>1</v>
      </c>
      <c r="Q77" s="266" t="n">
        <f aca="false">SUM(Q73:Q76)</f>
        <v>4</v>
      </c>
      <c r="R77" s="266" t="n">
        <f aca="false">SUM(R73:R76)</f>
        <v>4</v>
      </c>
      <c r="S77" s="266" t="n">
        <f aca="false">SUM(S73:S76)</f>
        <v>4</v>
      </c>
      <c r="T77" s="266" t="n">
        <f aca="false">SUM(T73:T76)</f>
        <v>4</v>
      </c>
      <c r="U77" s="266" t="n">
        <f aca="false">SUM(U73:U76)</f>
        <v>4</v>
      </c>
      <c r="V77" s="266" t="n">
        <f aca="false">SUM(V73:V76)</f>
        <v>0</v>
      </c>
      <c r="W77" s="266" t="n">
        <f aca="false">SUM(W73:W76)</f>
        <v>1</v>
      </c>
      <c r="X77" s="266" t="n">
        <f aca="false">SUM(X73:X76)</f>
        <v>4</v>
      </c>
      <c r="Y77" s="266" t="n">
        <f aca="false">SUM(Y73:Y76)</f>
        <v>4</v>
      </c>
      <c r="Z77" s="266" t="n">
        <f aca="false">SUM(Z73:Z76)</f>
        <v>4</v>
      </c>
      <c r="AA77" s="266" t="n">
        <f aca="false">SUM(AA73:AA76)</f>
        <v>4</v>
      </c>
      <c r="AB77" s="266" t="n">
        <f aca="false">SUM(AB73:AB76)</f>
        <v>4</v>
      </c>
      <c r="AC77" s="266" t="n">
        <f aca="false">SUM(AC73:AC76)</f>
        <v>1</v>
      </c>
      <c r="AD77" s="266" t="n">
        <f aca="false">SUM(AD73:AD76)</f>
        <v>1</v>
      </c>
      <c r="AE77" s="266" t="n">
        <f aca="false">SUM(AE73:AE76)</f>
        <v>4</v>
      </c>
      <c r="AF77" s="266" t="n">
        <f aca="false">SUM(AF73:AF76)</f>
        <v>4</v>
      </c>
      <c r="AG77" s="266" t="n">
        <f aca="false">SUM(AG73:AG76)</f>
        <v>0</v>
      </c>
      <c r="AH77" s="272"/>
      <c r="AI77" s="272"/>
      <c r="AJ77" s="272"/>
      <c r="AK77" s="272"/>
      <c r="AL77" s="278"/>
      <c r="AM77" s="278"/>
      <c r="AN77" s="278"/>
      <c r="AO77" s="278"/>
      <c r="AP77" s="278"/>
      <c r="AQ77" s="278"/>
      <c r="AR77" s="278"/>
      <c r="AS77" s="278"/>
      <c r="AT77" s="278"/>
      <c r="AU77" s="278"/>
      <c r="AV77" s="278"/>
      <c r="AW77" s="278"/>
      <c r="AX77" s="278"/>
      <c r="AY77" s="278"/>
      <c r="AZ77" s="278"/>
      <c r="BA77" s="278"/>
      <c r="BB77" s="278"/>
      <c r="BC77" s="278"/>
      <c r="BD77" s="278"/>
      <c r="BE77" s="278"/>
      <c r="BF77" s="278"/>
      <c r="BG77" s="278"/>
      <c r="BH77" s="278"/>
      <c r="BI77" s="278"/>
      <c r="BJ77" s="278"/>
      <c r="BK77" s="278"/>
      <c r="BL77" s="278"/>
      <c r="BM77" s="278"/>
      <c r="BN77" s="278"/>
      <c r="BO77" s="278"/>
      <c r="BP77" s="278"/>
      <c r="BQ77" s="278"/>
    </row>
    <row r="78" customFormat="false" ht="19.5" hidden="false" customHeight="true" outlineLevel="0" collapsed="false">
      <c r="A78" s="272"/>
      <c r="B78" s="266"/>
      <c r="C78" s="266"/>
      <c r="D78" s="266"/>
      <c r="E78" s="266"/>
      <c r="F78" s="266"/>
      <c r="G78" s="266"/>
      <c r="H78" s="266"/>
      <c r="I78" s="266"/>
      <c r="J78" s="266"/>
      <c r="K78" s="266"/>
      <c r="L78" s="266"/>
      <c r="M78" s="266"/>
      <c r="N78" s="266"/>
      <c r="O78" s="266"/>
      <c r="P78" s="266"/>
      <c r="Q78" s="266"/>
      <c r="R78" s="266"/>
      <c r="S78" s="266"/>
      <c r="T78" s="266"/>
      <c r="U78" s="266"/>
      <c r="V78" s="266"/>
      <c r="W78" s="266"/>
      <c r="X78" s="266"/>
      <c r="Y78" s="266"/>
      <c r="Z78" s="266"/>
      <c r="AA78" s="266"/>
      <c r="AB78" s="266"/>
      <c r="AC78" s="266"/>
      <c r="AD78" s="266"/>
      <c r="AE78" s="266"/>
      <c r="AF78" s="266"/>
      <c r="AG78" s="266"/>
      <c r="AH78" s="272"/>
      <c r="AI78" s="272"/>
      <c r="AJ78" s="272"/>
      <c r="AK78" s="272"/>
      <c r="AL78" s="278"/>
      <c r="AM78" s="278"/>
      <c r="AN78" s="278"/>
      <c r="AO78" s="278"/>
      <c r="AP78" s="278"/>
      <c r="AQ78" s="278"/>
      <c r="AR78" s="278"/>
      <c r="AS78" s="278"/>
      <c r="AT78" s="278"/>
      <c r="AU78" s="278"/>
      <c r="AV78" s="278"/>
      <c r="AW78" s="278"/>
      <c r="AX78" s="278"/>
      <c r="AY78" s="278"/>
      <c r="AZ78" s="278"/>
      <c r="BA78" s="278"/>
      <c r="BB78" s="278"/>
      <c r="BC78" s="278"/>
      <c r="BD78" s="278"/>
      <c r="BE78" s="278"/>
      <c r="BF78" s="278"/>
      <c r="BG78" s="278"/>
      <c r="BH78" s="278"/>
      <c r="BI78" s="278"/>
      <c r="BJ78" s="278"/>
      <c r="BK78" s="278"/>
      <c r="BL78" s="278"/>
      <c r="BM78" s="278"/>
      <c r="BN78" s="278"/>
      <c r="BO78" s="278"/>
      <c r="BP78" s="278"/>
      <c r="BQ78" s="278"/>
    </row>
    <row r="79" customFormat="false" ht="19.5" hidden="false" customHeight="true" outlineLevel="0" collapsed="false">
      <c r="A79" s="272"/>
      <c r="B79" s="266"/>
      <c r="C79" s="266"/>
      <c r="D79" s="266"/>
      <c r="E79" s="266"/>
      <c r="F79" s="266"/>
      <c r="G79" s="266"/>
      <c r="H79" s="266"/>
      <c r="I79" s="266"/>
      <c r="J79" s="266"/>
      <c r="K79" s="266"/>
      <c r="L79" s="266"/>
      <c r="M79" s="266"/>
      <c r="N79" s="266"/>
      <c r="O79" s="266"/>
      <c r="P79" s="266"/>
      <c r="Q79" s="266"/>
      <c r="R79" s="266"/>
      <c r="S79" s="266"/>
      <c r="T79" s="266"/>
      <c r="U79" s="266"/>
      <c r="V79" s="266"/>
      <c r="W79" s="266"/>
      <c r="X79" s="266"/>
      <c r="Y79" s="266"/>
      <c r="Z79" s="266"/>
      <c r="AA79" s="266"/>
      <c r="AB79" s="266"/>
      <c r="AC79" s="266"/>
      <c r="AD79" s="266"/>
      <c r="AE79" s="266"/>
      <c r="AF79" s="266"/>
      <c r="AG79" s="266"/>
      <c r="AH79" s="272"/>
      <c r="AI79" s="272"/>
      <c r="AJ79" s="272"/>
      <c r="AK79" s="272"/>
      <c r="AL79" s="278"/>
      <c r="AM79" s="278"/>
      <c r="AN79" s="278"/>
      <c r="AO79" s="278"/>
      <c r="AP79" s="278"/>
      <c r="AQ79" s="278"/>
      <c r="AR79" s="278"/>
      <c r="AS79" s="278"/>
      <c r="AT79" s="278"/>
      <c r="AU79" s="278"/>
      <c r="AV79" s="278"/>
      <c r="AW79" s="278"/>
      <c r="AX79" s="278"/>
      <c r="AY79" s="278"/>
      <c r="AZ79" s="278"/>
      <c r="BA79" s="278"/>
      <c r="BB79" s="278"/>
      <c r="BC79" s="278"/>
      <c r="BD79" s="278"/>
      <c r="BE79" s="278"/>
      <c r="BF79" s="278"/>
      <c r="BG79" s="278"/>
      <c r="BH79" s="278"/>
      <c r="BI79" s="278"/>
      <c r="BJ79" s="278"/>
      <c r="BK79" s="278"/>
      <c r="BL79" s="278"/>
      <c r="BM79" s="278"/>
      <c r="BN79" s="278"/>
      <c r="BO79" s="278"/>
      <c r="BP79" s="278"/>
      <c r="BQ79" s="278"/>
    </row>
    <row r="80" customFormat="false" ht="19.5" hidden="false" customHeight="true" outlineLevel="0" collapsed="false">
      <c r="A80" s="272"/>
      <c r="B80" s="266"/>
      <c r="C80" s="266"/>
      <c r="D80" s="266"/>
      <c r="E80" s="266"/>
      <c r="F80" s="266"/>
      <c r="G80" s="266"/>
      <c r="H80" s="266"/>
      <c r="I80" s="266"/>
      <c r="J80" s="266"/>
      <c r="K80" s="266"/>
      <c r="L80" s="266"/>
      <c r="M80" s="266"/>
      <c r="N80" s="266"/>
      <c r="O80" s="266"/>
      <c r="P80" s="266"/>
      <c r="Q80" s="266"/>
      <c r="R80" s="266"/>
      <c r="S80" s="266"/>
      <c r="T80" s="266"/>
      <c r="U80" s="266"/>
      <c r="V80" s="266"/>
      <c r="W80" s="266"/>
      <c r="X80" s="266"/>
      <c r="Y80" s="266"/>
      <c r="Z80" s="266"/>
      <c r="AA80" s="266"/>
      <c r="AB80" s="266"/>
      <c r="AC80" s="266"/>
      <c r="AD80" s="266"/>
      <c r="AE80" s="266"/>
      <c r="AF80" s="266"/>
      <c r="AG80" s="266"/>
      <c r="AH80" s="272"/>
      <c r="AI80" s="272"/>
      <c r="AJ80" s="272"/>
      <c r="AK80" s="272"/>
      <c r="AL80" s="278"/>
      <c r="AM80" s="278"/>
      <c r="AN80" s="278"/>
      <c r="AO80" s="278"/>
      <c r="AP80" s="278"/>
      <c r="AQ80" s="278"/>
      <c r="AR80" s="278"/>
      <c r="AS80" s="278"/>
      <c r="AT80" s="278"/>
      <c r="AU80" s="278"/>
      <c r="AV80" s="278"/>
      <c r="AW80" s="278"/>
      <c r="AX80" s="278"/>
      <c r="AY80" s="278"/>
      <c r="AZ80" s="278"/>
      <c r="BA80" s="278"/>
      <c r="BB80" s="278"/>
      <c r="BC80" s="278"/>
      <c r="BD80" s="278"/>
      <c r="BE80" s="278"/>
      <c r="BF80" s="278"/>
      <c r="BG80" s="278"/>
      <c r="BH80" s="278"/>
      <c r="BI80" s="278"/>
      <c r="BJ80" s="278"/>
      <c r="BK80" s="278"/>
      <c r="BL80" s="278"/>
      <c r="BM80" s="278"/>
      <c r="BN80" s="278"/>
      <c r="BO80" s="278"/>
      <c r="BP80" s="278"/>
      <c r="BQ80" s="278"/>
    </row>
    <row r="81" customFormat="false" ht="19.5" hidden="false" customHeight="true" outlineLevel="0" collapsed="false">
      <c r="A81" s="272"/>
      <c r="B81" s="266"/>
      <c r="C81" s="266"/>
      <c r="D81" s="266"/>
      <c r="E81" s="266"/>
      <c r="F81" s="266"/>
      <c r="G81" s="266"/>
      <c r="H81" s="266"/>
      <c r="I81" s="266"/>
      <c r="J81" s="266"/>
      <c r="K81" s="266"/>
      <c r="L81" s="266"/>
      <c r="M81" s="266"/>
      <c r="N81" s="266"/>
      <c r="O81" s="266"/>
      <c r="P81" s="266"/>
      <c r="Q81" s="266"/>
      <c r="R81" s="266"/>
      <c r="S81" s="266"/>
      <c r="T81" s="266"/>
      <c r="U81" s="266"/>
      <c r="V81" s="266"/>
      <c r="W81" s="266"/>
      <c r="X81" s="266"/>
      <c r="Y81" s="266"/>
      <c r="Z81" s="266"/>
      <c r="AA81" s="266"/>
      <c r="AB81" s="266"/>
      <c r="AC81" s="266"/>
      <c r="AD81" s="266"/>
      <c r="AE81" s="266"/>
      <c r="AF81" s="266"/>
      <c r="AG81" s="266"/>
      <c r="AH81" s="272"/>
      <c r="AI81" s="272"/>
      <c r="AJ81" s="272"/>
      <c r="AK81" s="272"/>
      <c r="AL81" s="278"/>
      <c r="AM81" s="278"/>
      <c r="AN81" s="278"/>
      <c r="AO81" s="278"/>
      <c r="AP81" s="278"/>
      <c r="AQ81" s="278"/>
      <c r="AR81" s="278"/>
      <c r="AS81" s="278"/>
      <c r="AT81" s="278"/>
      <c r="AU81" s="278"/>
      <c r="AV81" s="278"/>
      <c r="AW81" s="278"/>
      <c r="AX81" s="278"/>
      <c r="AY81" s="278"/>
      <c r="AZ81" s="278"/>
      <c r="BA81" s="278"/>
      <c r="BB81" s="278"/>
      <c r="BC81" s="278"/>
      <c r="BD81" s="278"/>
      <c r="BE81" s="278"/>
      <c r="BF81" s="278"/>
      <c r="BG81" s="278"/>
      <c r="BH81" s="278"/>
      <c r="BI81" s="278"/>
      <c r="BJ81" s="278"/>
      <c r="BK81" s="278"/>
      <c r="BL81" s="278"/>
      <c r="BM81" s="278"/>
      <c r="BN81" s="278"/>
      <c r="BO81" s="278"/>
      <c r="BP81" s="278"/>
      <c r="BQ81" s="278"/>
    </row>
  </sheetData>
  <mergeCells count="3">
    <mergeCell ref="C1:S1"/>
    <mergeCell ref="AQ3:AQ4"/>
    <mergeCell ref="AR3:AR4"/>
  </mergeCells>
  <conditionalFormatting sqref="G20">
    <cfRule type="expression" priority="2" aboveAverage="0" equalAverage="0" bottom="0" percent="0" rank="0" text="" dxfId="21">
      <formula>WEEKDAY(G$3,2)&gt;5</formula>
    </cfRule>
  </conditionalFormatting>
  <conditionalFormatting sqref="AC17">
    <cfRule type="expression" priority="3" aboveAverage="0" equalAverage="0" bottom="0" percent="0" rank="0" text="" dxfId="21">
      <formula>WEEKDAY(T$3,2)&gt;5</formula>
    </cfRule>
    <cfRule type="expression" priority="4" aboveAverage="0" equalAverage="0" bottom="0" percent="0" rank="0" text="" dxfId="21">
      <formula>WEEKDAY(U$3,2)&gt;5</formula>
    </cfRule>
  </conditionalFormatting>
  <conditionalFormatting sqref="W56">
    <cfRule type="expression" priority="5" aboveAverage="0" equalAverage="0" bottom="0" percent="0" rank="0" text="" dxfId="21">
      <formula>WEEKDAY(V$3,2)&gt;5</formula>
    </cfRule>
  </conditionalFormatting>
  <conditionalFormatting sqref="R7 C10:D10 E18 F24 G28">
    <cfRule type="expression" priority="6" aboveAverage="0" equalAverage="0" bottom="0" percent="0" rank="0" text="" dxfId="21">
      <formula>WEEKDAY(T$3,2)&gt;5</formula>
    </cfRule>
  </conditionalFormatting>
  <conditionalFormatting sqref="Q16">
    <cfRule type="expression" priority="7" aboveAverage="0" equalAverage="0" bottom="0" percent="0" rank="0" text="" dxfId="21">
      <formula>WEEKDAY(T$3,2)&gt;5</formula>
    </cfRule>
    <cfRule type="expression" priority="8" aboveAverage="0" equalAverage="0" bottom="0" percent="0" rank="0" text="" dxfId="21">
      <formula>WEEKDAY(U$3,2)&gt;5</formula>
    </cfRule>
  </conditionalFormatting>
  <conditionalFormatting sqref="D21">
    <cfRule type="expression" priority="9" aboveAverage="0" equalAverage="0" bottom="0" percent="0" rank="0" text="" dxfId="21">
      <formula>WEEKDAY(G$3,2)&gt;5</formula>
    </cfRule>
    <cfRule type="expression" priority="10" aboveAverage="0" equalAverage="0" bottom="0" percent="0" rank="0" text="" dxfId="21">
      <formula>WEEKDAY(F$3,2)&gt;5</formula>
    </cfRule>
  </conditionalFormatting>
  <conditionalFormatting sqref="R7 C10:D10 H16 E18 T20 C21 G21:H21 M21 R22 F24 H25 G28">
    <cfRule type="expression" priority="11" aboveAverage="0" equalAverage="0" bottom="0" percent="0" rank="0" text="" dxfId="21">
      <formula>WEEKDAY(S$3,2)&gt;5</formula>
    </cfRule>
  </conditionalFormatting>
  <conditionalFormatting sqref="C19:F19">
    <cfRule type="expression" priority="12" aboveAverage="0" equalAverage="0" bottom="0" percent="0" rank="0" text="" dxfId="21">
      <formula>WEEKDAY(D$3,2)&gt;5</formula>
    </cfRule>
  </conditionalFormatting>
  <conditionalFormatting sqref="C5:C8 D5 E5:E10 F5:F13 G5:G12 I5:I8 J5:K5 L5:L7 M5:M10 O5:O7 R5:R25 V5 W5:W8 Y5:Z5 AB5:AB6 AC5 AD5:AD9 H6 N6 P6 T6 K7 S7 U7 AC7:AC8 AF7:AF9 AG7:AG11 H8:H21 J8:J13 N8 Y8:Y9 AE8:AE9 K9:K10 S9 U9:U10 V9 X9:X12 Z9:Z10 C10:C25 D10:D13 L10 N10 Q10:Q20 W10:W20 I11:I20 T11 V11 Y11:Y13 AB11 AC11:AC13 AE11:AF11 E12:E14 K12:K14 L12:L13 M12:M14 N12:N13 O12:O16 P12 S13:T13 U13:U15 V13 AA13:AA15 AB13 AD13:AE15 AG13:AG14 G14 P14 X14:X20 Z14:Z15 D15:D22 F15:F20 L15:L17 S15:S18 V15:V16 Y15:Y19 AB15:AB18 E16:E19 K16:K18 M16:M21 N16:N17 P16:P18 T16 AF16:AF17 AG16:AG19 G17:G23 U17:U20 AA17 AC17 AD17:AE18 J18 T18 V18:V19 L19:L21 AA19 AC19:AC20 J20:J21 O20:O23 P20:P21 S20:T21 AB20 AF20 Z21:Z22 AE21:AE23 E22 F22:F24 I22 N22 V22:V25 W22 AC22 L23:M23 P23:Q23 S23:S25 T23:U23 X23:X24 E24:E25 H24:J25 W24:W28 Y24:Z24 AB24 AC24:AC25 AF24:AF27 AG24 D25:D27 G25 K25:L25 M25:M27 N25:P25 AA25 AE25 Q26:Q27 C27 F27 G27:G28 O27 R27:R31 S27 U27 V27:V28 X27 AB27 AC27:AC28 AE27 I28:K28 T28 E29:E47 F29 H29 L29:M29 S29 X29:X31 K30 N30:O33 V30:V31 Z30 AE30 F31:F32 G31:G33 J31:J34 P31:P33 T31:T33 U31 AF31 D32 H32:I32 K32:K35 L32:M47 S32 W32:W51 AE32 C33:C51 R33:R48 X33:X51 AB33 H34:H36 V34 Z34 AC34:AD63 AE34 D35 F35:F36 O35 T35:T36 U35 AA35:AB35 P36:Q36 S36 AE36:AE37 K37:K48 O37:O46 Z37:Z63 AB37:AB63 H38:H50 Q38:Q47 AA38:AA47 B39:B45 D39:D46 F39:G46 I39:J46 N39:N46 P39:P46 S39:V46 Y39:Y46 AE39:AG46 E49:E50 M49:M51 AA49:AA58 AE49:AF50 K50:L51 Q50:R51 Y50 AG50 F54 H54:H56 R55 T57 H58:H61 L58 AE58:AG58 Y59 K60 AA60:AA61 Q61 L63">
    <cfRule type="cellIs" priority="13" operator="equal" aboveAverage="0" equalAverage="0" bottom="0" percent="0" rank="0" text="" dxfId="23">
      <formula>"B"</formula>
    </cfRule>
    <cfRule type="cellIs" priority="14" operator="equal" aboveAverage="0" equalAverage="0" bottom="0" percent="0" rank="0" text="" dxfId="23">
      <formula>"AL"</formula>
    </cfRule>
    <cfRule type="cellIs" priority="15" operator="equal" aboveAverage="0" equalAverage="0" bottom="0" percent="0" rank="0" text="" dxfId="24">
      <formula>"DM"</formula>
    </cfRule>
    <cfRule type="cellIs" priority="16" operator="equal" aboveAverage="0" equalAverage="0" bottom="0" percent="0" rank="0" text="" dxfId="25">
      <formula>"CS1"</formula>
    </cfRule>
    <cfRule type="cellIs" priority="17" operator="equal" aboveAverage="0" equalAverage="0" bottom="0" percent="0" rank="0" text="" dxfId="26">
      <formula>"CS2"</formula>
    </cfRule>
    <cfRule type="cellIs" priority="18" operator="equal" aboveAverage="0" equalAverage="0" bottom="0" percent="0" rank="0" text="" dxfId="27">
      <formula>"SB1"</formula>
    </cfRule>
    <cfRule type="cellIs" priority="19" operator="equal" aboveAverage="0" equalAverage="0" bottom="0" percent="0" rank="0" text="" dxfId="28">
      <formula>"SB2"</formula>
    </cfRule>
    <cfRule type="cellIs" priority="20" operator="equal" aboveAverage="0" equalAverage="0" bottom="0" percent="0" rank="0" text="" dxfId="29">
      <formula>"AE"</formula>
    </cfRule>
    <cfRule type="cellIs" priority="21" operator="equal" aboveAverage="0" equalAverage="0" bottom="0" percent="0" rank="0" text="" dxfId="23">
      <formula>"DB"</formula>
    </cfRule>
    <cfRule type="containsText" priority="22" operator="containsText" aboveAverage="0" equalAverage="0" bottom="0" percent="0" rank="0" text="$AM" dxfId="30">
      <formula>NOT(ISERROR(SEARCH("$AM",B5)))</formula>
    </cfRule>
    <cfRule type="containsText" priority="23" operator="containsText" aboveAverage="0" equalAverage="0" bottom="0" percent="0" rank="0" text="$PM" dxfId="31">
      <formula>NOT(ISERROR(SEARCH("$PM",B5)))</formula>
    </cfRule>
    <cfRule type="containsText" priority="24" operator="containsText" aboveAverage="0" equalAverage="0" bottom="0" percent="0" rank="0" text="$L" dxfId="32">
      <formula>NOT(ISERROR(SEARCH("$L",B5)))</formula>
    </cfRule>
    <cfRule type="containsText" priority="25" operator="containsText" aboveAverage="0" equalAverage="0" bottom="0" percent="0" rank="0" text="$BTP" dxfId="33">
      <formula>NOT(ISERROR(SEARCH("$BTP",B5)))</formula>
    </cfRule>
    <cfRule type="containsText" priority="26" operator="containsText" aboveAverage="0" equalAverage="0" bottom="0" percent="0" rank="0" text="$M" dxfId="34">
      <formula>NOT(ISERROR(SEARCH("$M",B5)))</formula>
    </cfRule>
    <cfRule type="containsText" priority="27" operator="containsText" aboveAverage="0" equalAverage="0" bottom="0" percent="0" rank="0" text="$N" dxfId="35">
      <formula>NOT(ISERROR(SEARCH("$N",B5)))</formula>
    </cfRule>
    <cfRule type="containsText" priority="28" operator="containsText" aboveAverage="0" equalAverage="0" bottom="0" percent="0" rank="0" text="$FC" dxfId="36">
      <formula>NOT(ISERROR(SEARCH("$FC",B5)))</formula>
    </cfRule>
    <cfRule type="containsText" priority="29" operator="containsText" aboveAverage="0" equalAverage="0" bottom="0" percent="0" rank="0" text="OAL" dxfId="37">
      <formula>NOT(ISERROR(SEARCH("OAL",B5)))</formula>
    </cfRule>
    <cfRule type="containsText" priority="30" operator="containsText" aboveAverage="0" equalAverage="0" bottom="0" percent="0" rank="0" text="S+" dxfId="38">
      <formula>NOT(ISERROR(SEARCH("S+",B5)))</formula>
    </cfRule>
    <cfRule type="containsText" priority="31" operator="containsText" aboveAverage="0" equalAverage="0" bottom="0" percent="0" rank="0" text="EX-D" dxfId="39">
      <formula>NOT(ISERROR(SEARCH("EX-D",B5)))</formula>
    </cfRule>
  </conditionalFormatting>
  <conditionalFormatting sqref="C5:C8 D5 E5:E10 F5:F13 G5:G12 I5:I8 J5:L5 M5:M10 O5:O7 V5 W5:W8 Y5:AA5 AB5:AB7 AC5 AD5:AD15 H6 N6 P6 T6 J7:J13 K7:L7 Q7:S7 U7 AC7:AC8 AE7:AG11 H8:H21 N8 Z8:Z10 AA8:AA15 K9:K10 S9 U9:U10 V9 X9:X12 Y9:Y13 AB9 C10:C22 D10:D13 L10 N10 Q10:Q20 R10:R14 W10:W20 AC10:AC13 I11:I20 T11 V11 AB11:AB13 E12:E14 K12:K14 L12:L13 M12:M14 N12:N13 O12:O15 P12 Z12:Z15 S13:T13 U13:U15 V13:V16 AE13:AE15 AF13 AG13:AG14 G14 P14 X14:X20 D15:D22 F15:F20 L15:L23 S15:S18 Y15:Y19 AB15:AB20 E16:E19 K16:K19 M16:M21 N16:N18 P16:P21 R16:R25 T16 AF16:AF17 AG16:AG19 G17:G23 U17:U20 AA17:AA20 AC17:AC28 AD17:AE18 J18 T18 V18:V19 J20:J21 O20:O23 S20 T20:T23 AD20 AF20 E21:E22 Z21:Z22 AE21:AE23 F22:F24 I22 N22 V22:V28 W22 AA22 AF22:AG22 M23:M27 P23:Q23 S23:S25 U23 X23:X24 AB23:AB25 AD23 E24:E25 H24:J25 W24:W28 Z24:Z25 AF24:AF27 AG24 D25:D27 G25 K25:L25 N25:P25 AA25 AD25:AE25 C27 F27 G27:G28 O27 Q27 R27:R30 S27 U27 X27 AB27 AE27 I28 J28:J34 K28 T28 E29:E47 F29 H29 L29:M29 S29 X29:X31 Z29:Z31 AA29:AA35 AB29:AB63 K30 N30:O33 V30:V31 Y30 AD30:AE30 F31:F32 G31:G33 P31:P33 T31:T33 U31 AF31 D32 H32:I32 K32:K35 L32:M47 S32 W32:W51 AE32:AE37 C33:C51 V33:V35 X33:X51 Z33:Z35 AC33:AC63 H34:H36 R34 AD34:AD63 D35 F35:F36 O35 T35:T36 U35 Y35 AF35:AG35 P36:Q36 R36:R47 S36 K37:K48 V37:V50 Z37:Z63 H38:H50 Q38:Q47 AA38:AA47 B39:B45 D39:D46 F39:G46 I39:J46 N39:P46 S39:U46 Y39:Y46 AE39:AG46 E49:E50 M49:M51 AA49:AA58 AE49:AF50 K50:L51 Q50:R51 Y50 AG50 F54 H54:H56 R55 T57 H58:H61 L58 AE58:AG58 Y59 K60 AA60:AA61 Q61 L63">
    <cfRule type="expression" priority="32" aboveAverage="0" equalAverage="0" bottom="0" percent="0" rank="0" text="" dxfId="21">
      <formula>WEEKDAY(#REF!,2)&gt;5</formula>
    </cfRule>
  </conditionalFormatting>
  <conditionalFormatting sqref="W6 S7 W8 AD8 S9 U9 Y9:Z9 C10 G10 W10 T11 Y11 AA13 AG13 Z14 V15 V18 X18 W20 W22 AC24 AE25 X27 AB27 V30 X31 S32">
    <cfRule type="expression" priority="33" aboveAverage="0" equalAverage="0" bottom="0" percent="0" rank="0" text="" dxfId="21">
      <formula>WEEKDAY(Y$3,2)&gt;5</formula>
    </cfRule>
  </conditionalFormatting>
  <conditionalFormatting sqref="W6 W8 AD8 S9 U9 Y9 Z9:Z10 W10 T11 Y11 AA13 AG13 Z14 V15 V18 X18 W20 W22 AC24 AE25 X27 AB27 V30 X31 S32 U49 U52:U55 U57 U59:U65">
    <cfRule type="expression" priority="34" aboveAverage="0" equalAverage="0" bottom="0" percent="0" rank="0" text="" dxfId="21">
      <formula>WEEKDAY(X$3,2)&gt;5</formula>
    </cfRule>
  </conditionalFormatting>
  <conditionalFormatting sqref="C5:C8 D5 E5:E10 F5:F13 G5:G12 I5:I8 J5:K5 L5:L7 M5:M10 O5:O7 T5:T7 V5:V6 W5:W8 Y5:Y24 Z5:Z63 AA5:AA58 AB5:AB63 AC5 AD5:AD26 AF5:AF13 AG5:AG26 H6 N6 P6 Q6:Q7 R6 S6:S7 U6:U7 X6 K7:K10 AC7:AC29 AE7:AE15 H8:H21 J8:J14 N8 V8:V11 X8:X20 O9 Q9:Q20 S9:S10 U9:U10 C10:C22 D10:D13 L10 N10 R10:R14 W10:W20 I11:I20 T11:T13 E12:E19 K12:K14 L12:L13 M12:M21 N12:N13 O12:O16 P12 U12:U15 S13:S25 V13:V31 G14 P14:P21 D15:D22 F15:F20 L15:L23 N15:N18 AF15:AF22 J16 K16:K21 R16:R25 T16 G17:G23 U17:U21 AE17:AE27 J18 O18 T18 J20:J22 N20:N22 O20:O25 T20:T23 E22 F22:F24 I22 Q22:Q23 W22 X22:X25 M23:M27 P23 U23 E24:E25 H24:J25 W24:W28 AF24:AF27 D25:D27 G25 K25:L25 N25 P25:P26 T26 U26:U27 C27 F27 G27:G28 O27:O28 Q27:S27 X27:X31 Y27:Y47 I28 J28:J49 K28 T28 E29:E47 F29 H29 L29:M29 R29:R30 S29 K30:K35 N30:O33 AD30:AE30 F31:F32 G31:G33 P31:P33 T31:T33 U31 AC31:AC63 AF31 D32 H32:I32 L32:M47 S32:S33 W32:W51 AD32 AE32:AE37 C33:C51 V33:V50 X33:X51 H34:H36 R34 AD34:AD63 AF34:AF35 D35 F35:F36 O35 T35:T36 U35 AG35 P36:Q36 R36:R47 S36 K37:K48 O37:O46 H38:H50 Q38:Q47 B39:B45 D39:D46 F39:G46 I39:I46 N39:N46 P39:P46 S39:U46 AE39:AG46 N48 E49:E50 M49:M51 U49 Y49:Y51 AE49:AF50 K50:L51 Q50:R51 AG50 J51 U52:U55 F54 H54:H56 R55 W56 T57:U57 H58:H61 L58 AE58:AG58 U59:U65 Y59 K60 AA60:AA63 Q61 L63">
    <cfRule type="cellIs" priority="35" operator="equal" aboveAverage="0" equalAverage="0" bottom="0" percent="0" rank="0" text="" dxfId="23">
      <formula>"B"</formula>
    </cfRule>
    <cfRule type="cellIs" priority="36" operator="equal" aboveAverage="0" equalAverage="0" bottom="0" percent="0" rank="0" text="" dxfId="23">
      <formula>"AL"</formula>
    </cfRule>
    <cfRule type="cellIs" priority="37" operator="equal" aboveAverage="0" equalAverage="0" bottom="0" percent="0" rank="0" text="" dxfId="24">
      <formula>"DM"</formula>
    </cfRule>
    <cfRule type="cellIs" priority="38" operator="equal" aboveAverage="0" equalAverage="0" bottom="0" percent="0" rank="0" text="" dxfId="25">
      <formula>"CS1"</formula>
    </cfRule>
    <cfRule type="cellIs" priority="39" operator="equal" aboveAverage="0" equalAverage="0" bottom="0" percent="0" rank="0" text="" dxfId="26">
      <formula>"CS2"</formula>
    </cfRule>
    <cfRule type="cellIs" priority="40" operator="equal" aboveAverage="0" equalAverage="0" bottom="0" percent="0" rank="0" text="" dxfId="27">
      <formula>"SB1"</formula>
    </cfRule>
    <cfRule type="cellIs" priority="41" operator="equal" aboveAverage="0" equalAverage="0" bottom="0" percent="0" rank="0" text="" dxfId="28">
      <formula>"SB2"</formula>
    </cfRule>
    <cfRule type="cellIs" priority="42" operator="equal" aboveAverage="0" equalAverage="0" bottom="0" percent="0" rank="0" text="" dxfId="29">
      <formula>"AE"</formula>
    </cfRule>
    <cfRule type="cellIs" priority="43" operator="equal" aboveAverage="0" equalAverage="0" bottom="0" percent="0" rank="0" text="" dxfId="23">
      <formula>"DB"</formula>
    </cfRule>
    <cfRule type="containsText" priority="44" operator="containsText" aboveAverage="0" equalAverage="0" bottom="0" percent="0" rank="0" text="$AM" dxfId="30">
      <formula>NOT(ISERROR(SEARCH("$AM",B5)))</formula>
    </cfRule>
    <cfRule type="containsText" priority="45" operator="containsText" aboveAverage="0" equalAverage="0" bottom="0" percent="0" rank="0" text="$PM" dxfId="31">
      <formula>NOT(ISERROR(SEARCH("$PM",B5)))</formula>
    </cfRule>
    <cfRule type="containsText" priority="46" operator="containsText" aboveAverage="0" equalAverage="0" bottom="0" percent="0" rank="0" text="$L" dxfId="32">
      <formula>NOT(ISERROR(SEARCH("$L",B5)))</formula>
    </cfRule>
    <cfRule type="containsText" priority="47" operator="containsText" aboveAverage="0" equalAverage="0" bottom="0" percent="0" rank="0" text="$BTP" dxfId="33">
      <formula>NOT(ISERROR(SEARCH("$BTP",B5)))</formula>
    </cfRule>
    <cfRule type="containsText" priority="48" operator="containsText" aboveAverage="0" equalAverage="0" bottom="0" percent="0" rank="0" text="$M" dxfId="34">
      <formula>NOT(ISERROR(SEARCH("$M",B5)))</formula>
    </cfRule>
    <cfRule type="containsText" priority="49" operator="containsText" aboveAverage="0" equalAverage="0" bottom="0" percent="0" rank="0" text="$N" dxfId="35">
      <formula>NOT(ISERROR(SEARCH("$N",B5)))</formula>
    </cfRule>
    <cfRule type="containsText" priority="50" operator="containsText" aboveAverage="0" equalAverage="0" bottom="0" percent="0" rank="0" text="$FC" dxfId="36">
      <formula>NOT(ISERROR(SEARCH("$FC",B5)))</formula>
    </cfRule>
    <cfRule type="containsText" priority="51" operator="containsText" aboveAverage="0" equalAverage="0" bottom="0" percent="0" rank="0" text="OAL" dxfId="37">
      <formula>NOT(ISERROR(SEARCH("OAL",B5)))</formula>
    </cfRule>
    <cfRule type="containsText" priority="52" operator="containsText" aboveAverage="0" equalAverage="0" bottom="0" percent="0" rank="0" text="S+" dxfId="38">
      <formula>NOT(ISERROR(SEARCH("S+",B5)))</formula>
    </cfRule>
    <cfRule type="containsText" priority="53" operator="containsText" aboveAverage="0" equalAverage="0" bottom="0" percent="0" rank="0" text="EX-D" dxfId="39">
      <formula>NOT(ISERROR(SEARCH("EX-D",B5)))</formula>
    </cfRule>
    <cfRule type="expression" priority="54" aboveAverage="0" equalAverage="0" bottom="0" percent="0" rank="0" text="" dxfId="21">
      <formula>WEEKDAY(#REF!,2)&gt;5</formula>
    </cfRule>
  </conditionalFormatting>
  <conditionalFormatting sqref="C5:AG81 B39:B45">
    <cfRule type="containsText" priority="55" operator="containsText" aboveAverage="0" equalAverage="0" bottom="0" percent="0" rank="0" text="CS/B" dxfId="50">
      <formula>NOT(ISERROR(SEARCH("CS/B",B5)))</formula>
    </cfRule>
  </conditionalFormatting>
  <conditionalFormatting sqref="J4:J81 AA4:AA81 C5:I81 K5:Z81 AB5:AG81 B39:B45">
    <cfRule type="cellIs" priority="56" operator="equal" aboveAverage="0" equalAverage="0" bottom="0" percent="0" rank="0" text="" dxfId="23">
      <formula>"B"</formula>
    </cfRule>
    <cfRule type="cellIs" priority="57" operator="equal" aboveAverage="0" equalAverage="0" bottom="0" percent="0" rank="0" text="" dxfId="23">
      <formula>"AL"</formula>
    </cfRule>
    <cfRule type="cellIs" priority="58" operator="equal" aboveAverage="0" equalAverage="0" bottom="0" percent="0" rank="0" text="" dxfId="24">
      <formula>"DM"</formula>
    </cfRule>
    <cfRule type="cellIs" priority="59" operator="equal" aboveAverage="0" equalAverage="0" bottom="0" percent="0" rank="0" text="" dxfId="25">
      <formula>"CS1"</formula>
    </cfRule>
    <cfRule type="cellIs" priority="60" operator="equal" aboveAverage="0" equalAverage="0" bottom="0" percent="0" rank="0" text="" dxfId="26">
      <formula>"CS2"</formula>
    </cfRule>
    <cfRule type="cellIs" priority="61" operator="equal" aboveAverage="0" equalAverage="0" bottom="0" percent="0" rank="0" text="" dxfId="27">
      <formula>"SB1"</formula>
    </cfRule>
    <cfRule type="cellIs" priority="62" operator="equal" aboveAverage="0" equalAverage="0" bottom="0" percent="0" rank="0" text="" dxfId="28">
      <formula>"SB2"</formula>
    </cfRule>
    <cfRule type="cellIs" priority="63" operator="equal" aboveAverage="0" equalAverage="0" bottom="0" percent="0" rank="0" text="" dxfId="29">
      <formula>"AE"</formula>
    </cfRule>
  </conditionalFormatting>
  <conditionalFormatting sqref="BP5:BQ65">
    <cfRule type="cellIs" priority="64" operator="lessThan" aboveAverage="0" equalAverage="0" bottom="0" percent="0" rank="0" text="" dxfId="41">
      <formula>1</formula>
    </cfRule>
  </conditionalFormatting>
  <conditionalFormatting sqref="J4:J65 AA4:AA65 C5:I65 K5:Z65 AB5:AG65 B39:B45">
    <cfRule type="cellIs" priority="65" operator="equal" aboveAverage="0" equalAverage="0" bottom="0" percent="0" rank="0" text="" dxfId="23">
      <formula>"DB"</formula>
    </cfRule>
    <cfRule type="containsText" priority="66" operator="containsText" aboveAverage="0" equalAverage="0" bottom="0" percent="0" rank="0" text="$AM" dxfId="30">
      <formula>NOT(ISERROR(SEARCH("$AM",B4)))</formula>
    </cfRule>
    <cfRule type="containsText" priority="67" operator="containsText" aboveAverage="0" equalAverage="0" bottom="0" percent="0" rank="0" text="$PM" dxfId="31">
      <formula>NOT(ISERROR(SEARCH("$PM",B4)))</formula>
    </cfRule>
    <cfRule type="containsText" priority="68" operator="containsText" aboveAverage="0" equalAverage="0" bottom="0" percent="0" rank="0" text="$L" dxfId="32">
      <formula>NOT(ISERROR(SEARCH("$L",B4)))</formula>
    </cfRule>
    <cfRule type="containsText" priority="69" operator="containsText" aboveAverage="0" equalAverage="0" bottom="0" percent="0" rank="0" text="$BTP" dxfId="33">
      <formula>NOT(ISERROR(SEARCH("$BTP",B4)))</formula>
    </cfRule>
    <cfRule type="containsText" priority="70" operator="containsText" aboveAverage="0" equalAverage="0" bottom="0" percent="0" rank="0" text="$M" dxfId="34">
      <formula>NOT(ISERROR(SEARCH("$M",B4)))</formula>
    </cfRule>
    <cfRule type="containsText" priority="71" operator="containsText" aboveAverage="0" equalAverage="0" bottom="0" percent="0" rank="0" text="$N" dxfId="35">
      <formula>NOT(ISERROR(SEARCH("$N",B4)))</formula>
    </cfRule>
    <cfRule type="containsText" priority="72" operator="containsText" aboveAverage="0" equalAverage="0" bottom="0" percent="0" rank="0" text="$FC" dxfId="36">
      <formula>NOT(ISERROR(SEARCH("$FC",B4)))</formula>
    </cfRule>
    <cfRule type="containsText" priority="73" operator="containsText" aboveAverage="0" equalAverage="0" bottom="0" percent="0" rank="0" text="OAL" dxfId="37">
      <formula>NOT(ISERROR(SEARCH("OAL",B4)))</formula>
    </cfRule>
    <cfRule type="containsText" priority="74" operator="containsText" aboveAverage="0" equalAverage="0" bottom="0" percent="0" rank="0" text="S+" dxfId="38">
      <formula>NOT(ISERROR(SEARCH("S+",B4)))</formula>
    </cfRule>
    <cfRule type="containsText" priority="75" operator="containsText" aboveAverage="0" equalAverage="0" bottom="0" percent="0" rank="0" text="EX-D" dxfId="39">
      <formula>NOT(ISERROR(SEARCH("EX-D",B4)))</formula>
    </cfRule>
  </conditionalFormatting>
  <conditionalFormatting sqref="T2:X65 Y3:AG65 B39:B45 C3:S65">
    <cfRule type="expression" priority="76" aboveAverage="0" equalAverage="0" bottom="0" percent="0" rank="0" text="" dxfId="21">
      <formula>WEEKDAY(T$3,2)&gt;5</formula>
    </cfRule>
  </conditionalFormatting>
  <conditionalFormatting sqref="J4:J5 C5:C8 D5 E5:E10 F5:F13 G5:G12 I5:I8 K5 L5:L7 M5:M10 O5:O7 T5:T7 V5:V6 W5:W8 Y5:Y24 Z5:Z63 AA5:AA58 AB5:AB63 AC5 AD5:AD26 AF5:AF13 AG5:AG26 H6 N6 P6 Q6:S7 U6:U7 X6 K7:K10 AC7:AC29 AE7:AE15 H8:H21 J8:J14 N8 V8:V11 X8:X20 O9 Q9:Q20 S9:S10 U9:U10 C10:C22 D10:D13 L10 N10 R10:R14 W10:W20 I11:I20 T11:T13 E12:E19 K12:K14 L12:L13 M12:M21 N12:N13 O12:O16 P12 U12:U15 S13:S25 V13:V31 G14 P14:P21 D15:D22 F15:F20 L15:L23 N15:N18 AF15:AF22 J16 K16:K21 R16:R25 T16 G17:G23 U17:U21 AE17:AE27 J18 O18 T18 J20:J22 N20:N22 O20:O25 T20:T23 E22 F22:F24 I22 Q22:Q23 W22 X22:X25 M23:M27 P23 U23 E24:E25 H24:J25 W24:W28 AF24:AF27 D25:D27 G25 K25:L25 N25 P25:P26 T26 U26:U27 C27 F27 G27:G28 O27:O28 Q27 R27:R30 S27 X27:X31 Y27:Y47 I28 J28:J49 K28 T28 E29:E47 F29 H29 L29:M29 S29 K30:K35 N30:O33 AD30:AE30 F31:F32 G31:G33 P31:P33 T31:T33 U31 AC31:AC63 AF31 D32 H32:I32 L32:M47 S32:S33 W32:W51 AD32 AE32:AE37 C33:C51 V33:V50 X33:X51 H34:H36 R34 AD34:AD63 AF34:AF35 D35 F35:F36 O35 T35:T36 U35 AG35 P36:Q36 R36:R47 S36 K37:K48 O37:O46 H38:H50 Q38:Q47 B39:B45 D39:D46 F39:G46 I39:I46 N39:N46 P39:P46 S39:U46 AE39:AG46 N48 E49:E50 M49:M51 U49 Y49:Y51 AE49:AF50 K50:L51 Q50:R51 AG50 J51 U52:U55 F54 H54:H56 R55 W56 T57:U57 H58:H61 L58 AE58:AG58 U59:U65 Y59 K60 AA60:AA63 Q61 L63">
    <cfRule type="containsText" priority="77" operator="containsText" aboveAverage="0" equalAverage="0" bottom="0" percent="0" rank="0" text="VACC" dxfId="40">
      <formula>NOT(ISERROR(SEARCH("VACC",B4)))</formula>
    </cfRule>
  </conditionalFormatting>
  <conditionalFormatting sqref="A1:BQ81">
    <cfRule type="cellIs" priority="78" operator="equal" aboveAverage="0" equalAverage="0" bottom="0" percent="0" rank="0" text="" dxfId="41">
      <formula>"RESERVE"</formula>
    </cfRule>
  </conditionalFormatting>
  <conditionalFormatting sqref="AC48:AD48 AB54">
    <cfRule type="cellIs" priority="79" operator="equal" aboveAverage="0" equalAverage="0" bottom="0" percent="0" rank="0" text="" dxfId="53">
      <formula>"CS"</formula>
    </cfRule>
  </conditionalFormatting>
  <dataValidations count="4">
    <dataValidation allowBlank="true" errorStyle="stop" operator="equal" showDropDown="true" showErrorMessage="false" showInputMessage="false" sqref="C38:AF46 AG39:AG46 C66:AG71" type="list">
      <formula1>'Setting key Duty'!$B$7:$B$23</formula1>
      <formula2>0</formula2>
    </dataValidation>
    <dataValidation allowBlank="true" errorStyle="stop" operator="equal" showDropDown="true" showErrorMessage="false" showInputMessage="false" sqref="B5:B9 B11:B16 B18:B19 B21:B23 B25 J33 K35 E48 F49 S49 U49 J50:J52 T50 E51:E57 C52:D52 F52:I52 K52:U52 X52:Y53 AE52:AG53 C53:C55 I53:J53 L53:L55 N53:O53 S53:U53 D54 G54:H54 K54:K58 N54 P54 AF54:AG54 H55:J55 N55:P55 S55:U55 X55:AF55 C56:D57 G56:H56 J56:J58 M56:P56 S56:S57 AF56:AF57 F57:G57 I57:I58 L57 N57:P57 U57 X57:X63 AG57 C58:H58 N58:O58 T58:T59 Y58 C59:C65 E59:L59 N59:P59 AE59:AG59 E60:E63 G60:J61 L60:L62 N60:N61 P60:P61 S60 Y60:Y63 AE60:AE62 AG60:AG61 K61:K63 S61:U62 AF61 I62:J63 N62:Q62 V62:W62 Z62:Z63 AF62:AG63 D63 F63:G63 N63 P63 S63:S65 U63:U65 AC63:AD63 D64:L65 N64:P65 V64:AG65" type="list">
      <formula1>'Setting key Duty'!$B$7:$B$56</formula1>
      <formula2>0</formula2>
    </dataValidation>
    <dataValidation allowBlank="true" errorStyle="stop" operator="between" showDropDown="false" showErrorMessage="false" showInputMessage="false" sqref="C5:D6 J5:K5 O5:O7 U5:AG5 L6:L7 Z6 AB6 AD6:AD9 AG6 C7 I7:I8 V7 Y7:Z7 AF7:AG7 F8:H8 N8 W8 Y8 AE8:AG9 C9 M9:M10 O9 S9:S10 V9 X9:X11 Z9:AA9 AC9 E10:G10 J10:L10 N10 Q10:R11 W10 Y10:Y12 C11:E13 L11:L13 T11:T13 AF11:AG11 F12:K12 M12:Q12 U12:V12 AF12 J13:K14 N13:P13 R13:S13 V13:V15 Z13 C14 E14:E17 N14:O14 Q14:S14 U14 W14:Y14 AF14 C15:D22 F15:F17 J15 L15:Q15 S15:S18 W15 Y15:Y16 AF15:AG15 G16:I17 M16:M17 O16 Q16:R16 T16 Z16:AB16 AD16:AG16 J17:L17 N17 P17:P19 AA17:AG17 G18:G20 J18:J19 O18:O20 Q18:R18 T18:AE18 AG18 E19:F19 L19:M19 Q19:Q23 U19:AA19 AC19:AE19 H20:I20 K20:K21 M20:N20 R20:U21 W20:X20 Z20:AA20 AE20:AG20 E21:H21 J21 L21 N21:P21 V21:AG21 E22:E25 G22:G23 N22:O22 R22 T22:T23 W22:Z22 AB22:AD22 AF22:AG22 C23:C27 F23 I23 P23 S23 U23:W23 AG23 D24:D26 I24:J24 M24:M26 V24:V26 X24 Z24:Z26 AC24 AE24:AE26 F25:H25 K25:L25 N25:O25 AA25:AB26 AF25:AG25 G26:H26 J26:L26 N26:N27 P26:Q26 S26 U26:U27 X26:X27 AC26:AD26 AG26:AG27 E27:H27 J27 AA27:AA29 AF27:AF28 C28:E32 I28:M28 O28:P28 S28:T28 W28 Y28:Y31 AB28 F29:I29 L29:M29 O29 Q29:Q31 T29:U29 AC29:AD29 AF29:AG29 F30:G30 J30:L31 N30 R30:S30 X30 AG30:AG32 F31:F37 R31:R32 T31:W31 Z31 AE31:AE32 G32:H32 J32:M32 O32:P32 AF32 D33:E33 H33 K33 M33:Q33 T33 W33:Z33 AF33:AG33 C34:E37 G34:G35 L34:N34 S34 AG34 H35:J35 M35:M36 P35 T35:T37 H36 J36:K36 O36 Q36:S36 W36:Y36 AG36:AG38 I37 K37:N37 S37 V37 Y37 AA37 C47:O47 S47:W47 Y47 AE47:AG47 C48:C51 G48:J49 O48:O49 S48 U48:W48 AF48 E49:E50 M49:N49 T49 V49:V50 Y49 AG49 D50:D51 F50 H50 K50:Q50 S50:S51 U50:U51 W50 I51 K51:N51 AE51:AG51 F54 I54 AG55 AE56 T57 L58 Y59 K60 O60 Q61 L63 T63:T65" type="custom">
      <formula1>NOT(ISERROR(SEARCH((#REF!),(J5))))</formula1>
      <formula2>0</formula2>
    </dataValidation>
    <dataValidation allowBlank="true" errorStyle="stop" operator="equal" showDropDown="true" showErrorMessage="false" showInputMessage="false" sqref="S7 AA7 J8 D9:D10 U9 Y9 C10 T10 AG10 K11 Q13 AA13:AE13 AG13:AG14 M14 Z14:AA14 AD14 X15:X16 AA15:AB15 AD15:AE15 K16:L16 N16 P16 V16 E18 R19:S19 P20 AC20 AE22:AE23 M23 F24 AF24:AG24 R25 W25 O26 AF26 M27 S27 AB27:AC27 AE27 G28 Z29 AE30:AF30 X31 AF31 I32 N32 S32 L33 AB33 V34:X34 Z34:AA34 AC34:AE34 O35 Y35 AA35 P36 AB37:AE37 Q47 Z47:AD47 Z48:Z49 AC48:AD48 AB49:AF49 AA50:AG50 Q51 AC53 AB54" type="list">
      <formula1>'Setting key Duty'!$B$7:$B$54</formula1>
      <formula2>0</formula2>
    </dataValidation>
  </dataValidation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P95"/>
  <sheetViews>
    <sheetView showFormulas="false" showGridLines="fals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2" ySplit="4" topLeftCell="C31" activePane="bottomRight" state="frozen"/>
      <selection pane="topLeft" activeCell="A1" activeCellId="0" sqref="A1"/>
      <selection pane="topRight" activeCell="C1" activeCellId="0" sqref="C1"/>
      <selection pane="bottomLeft" activeCell="A31" activeCellId="0" sqref="A31"/>
      <selection pane="bottomRight" activeCell="C46" activeCellId="0" sqref="C46"/>
    </sheetView>
  </sheetViews>
  <sheetFormatPr defaultColWidth="12.6328125" defaultRowHeight="15.75" customHeight="true" zeroHeight="false" outlineLevelRow="0" outlineLevelCol="1"/>
  <cols>
    <col collapsed="false" customWidth="true" hidden="false" outlineLevel="0" max="1" min="1" style="0" width="2.13"/>
    <col collapsed="false" customWidth="true" hidden="false" outlineLevel="0" max="2" min="2" style="0" width="29.76"/>
    <col collapsed="false" customWidth="true" hidden="false" outlineLevel="0" max="8" min="3" style="0" width="9.24"/>
    <col collapsed="false" customWidth="true" hidden="false" outlineLevel="0" max="9" min="9" style="0" width="10.13"/>
    <col collapsed="false" customWidth="true" hidden="false" outlineLevel="0" max="11" min="10" style="0" width="9.24"/>
    <col collapsed="false" customWidth="true" hidden="false" outlineLevel="0" max="12" min="12" style="0" width="9.38"/>
    <col collapsed="false" customWidth="true" hidden="false" outlineLevel="0" max="13" min="13" style="0" width="9.76"/>
    <col collapsed="false" customWidth="true" hidden="false" outlineLevel="0" max="14" min="14" style="0" width="9.24"/>
    <col collapsed="false" customWidth="true" hidden="false" outlineLevel="0" max="15" min="15" style="0" width="10"/>
    <col collapsed="false" customWidth="true" hidden="false" outlineLevel="0" max="16" min="16" style="0" width="10.76"/>
    <col collapsed="false" customWidth="true" hidden="false" outlineLevel="0" max="17" min="17" style="0" width="10.25"/>
    <col collapsed="false" customWidth="true" hidden="false" outlineLevel="0" max="18" min="18" style="0" width="10.13"/>
    <col collapsed="false" customWidth="true" hidden="false" outlineLevel="0" max="19" min="19" style="0" width="9.51"/>
    <col collapsed="false" customWidth="true" hidden="false" outlineLevel="0" max="20" min="20" style="0" width="10"/>
    <col collapsed="false" customWidth="true" hidden="false" outlineLevel="0" max="23" min="21" style="0" width="9.24"/>
    <col collapsed="false" customWidth="true" hidden="false" outlineLevel="0" max="24" min="24" style="0" width="12.88"/>
    <col collapsed="false" customWidth="true" hidden="false" outlineLevel="0" max="26" min="25" style="0" width="9.24"/>
    <col collapsed="false" customWidth="true" hidden="false" outlineLevel="0" max="27" min="27" style="0" width="10.51"/>
    <col collapsed="false" customWidth="true" hidden="false" outlineLevel="0" max="30" min="28" style="0" width="9.24"/>
    <col collapsed="false" customWidth="true" hidden="false" outlineLevel="0" max="31" min="31" style="0" width="10.51"/>
    <col collapsed="false" customWidth="true" hidden="false" outlineLevel="0" max="33" min="32" style="0" width="9.38"/>
    <col collapsed="false" customWidth="true" hidden="true" outlineLevel="1" max="40" min="34" style="0" width="9.38"/>
    <col collapsed="false" customWidth="true" hidden="true" outlineLevel="1" max="41" min="41" style="0" width="12"/>
    <col collapsed="false" customWidth="true" hidden="true" outlineLevel="1" max="42" min="42" style="0" width="9.38"/>
    <col collapsed="false" customWidth="true" hidden="false" outlineLevel="0" max="44" min="43" style="0" width="6.76"/>
    <col collapsed="false" customWidth="true" hidden="false" outlineLevel="1" max="45" min="45" style="0" width="8.87"/>
    <col collapsed="false" customWidth="true" hidden="false" outlineLevel="1" max="47" min="46" style="0" width="7.88"/>
    <col collapsed="false" customWidth="true" hidden="false" outlineLevel="1" max="48" min="48" style="0" width="9.14"/>
    <col collapsed="false" customWidth="true" hidden="false" outlineLevel="1" max="49" min="49" style="0" width="8.24"/>
    <col collapsed="false" customWidth="true" hidden="false" outlineLevel="1" max="50" min="50" style="0" width="5.51"/>
    <col collapsed="false" customWidth="true" hidden="false" outlineLevel="0" max="53" min="51" style="0" width="9.38"/>
    <col collapsed="false" customWidth="true" hidden="true" outlineLevel="1" max="64" min="54" style="0" width="9.38"/>
    <col collapsed="false" customWidth="true" hidden="false" outlineLevel="0" max="65" min="65" style="0" width="9.38"/>
    <col collapsed="false" customWidth="true" hidden="false" outlineLevel="0" max="66" min="66" style="0" width="9.51"/>
    <col collapsed="false" customWidth="true" hidden="false" outlineLevel="0" max="68" min="67" style="0" width="9.38"/>
  </cols>
  <sheetData>
    <row r="1" customFormat="false" ht="3" hidden="false" customHeight="true" outlineLevel="0" collapsed="false">
      <c r="A1" s="259" t="s">
        <v>865</v>
      </c>
      <c r="B1" s="260" t="s">
        <v>0</v>
      </c>
      <c r="C1" s="261" t="str">
        <f aca="false"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3"/>
      <c r="AM1" s="263"/>
      <c r="AN1" s="263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3"/>
      <c r="BG1" s="263"/>
      <c r="BH1" s="263"/>
      <c r="BI1" s="263"/>
      <c r="BJ1" s="263"/>
      <c r="BK1" s="263"/>
      <c r="BL1" s="263"/>
      <c r="BM1" s="263"/>
      <c r="BN1" s="263"/>
      <c r="BO1" s="263"/>
      <c r="BP1" s="263"/>
    </row>
    <row r="2" customFormat="false" ht="26.25" hidden="false" customHeight="true" outlineLevel="0" collapsed="false">
      <c r="A2" s="242"/>
      <c r="B2" s="235" t="s">
        <v>1</v>
      </c>
      <c r="C2" s="235"/>
      <c r="D2" s="91" t="s">
        <v>925</v>
      </c>
      <c r="E2" s="317" t="s">
        <v>926</v>
      </c>
      <c r="F2" s="235"/>
      <c r="G2" s="323"/>
      <c r="H2" s="235"/>
      <c r="I2" s="235"/>
      <c r="J2" s="235"/>
      <c r="K2" s="235"/>
      <c r="L2" s="235"/>
      <c r="M2" s="235"/>
      <c r="N2" s="323"/>
      <c r="O2" s="235"/>
      <c r="P2" s="235"/>
      <c r="Q2" s="235"/>
      <c r="R2" s="235"/>
      <c r="S2" s="235"/>
      <c r="T2" s="264"/>
      <c r="U2" s="324"/>
      <c r="V2" s="265"/>
      <c r="W2" s="235"/>
      <c r="X2" s="235"/>
      <c r="Y2" s="235"/>
      <c r="Z2" s="235"/>
      <c r="AA2" s="235"/>
      <c r="AB2" s="323"/>
      <c r="AC2" s="235"/>
      <c r="AD2" s="235"/>
      <c r="AE2" s="235"/>
      <c r="AF2" s="235"/>
      <c r="AG2" s="243"/>
      <c r="AH2" s="243"/>
      <c r="AI2" s="243"/>
      <c r="AJ2" s="243"/>
      <c r="AK2" s="243"/>
      <c r="AL2" s="243"/>
      <c r="AM2" s="243"/>
      <c r="AN2" s="243"/>
      <c r="AO2" s="243"/>
      <c r="AP2" s="243"/>
      <c r="AQ2" s="266"/>
      <c r="AR2" s="243"/>
      <c r="AS2" s="243"/>
      <c r="AT2" s="243"/>
      <c r="AU2" s="243"/>
      <c r="AV2" s="243"/>
      <c r="AW2" s="243"/>
      <c r="AX2" s="243"/>
      <c r="AY2" s="243"/>
      <c r="AZ2" s="243"/>
      <c r="BA2" s="243"/>
      <c r="BB2" s="243"/>
      <c r="BC2" s="243"/>
      <c r="BD2" s="243"/>
      <c r="BE2" s="243"/>
      <c r="BF2" s="243"/>
      <c r="BG2" s="243"/>
      <c r="BH2" s="243"/>
      <c r="BI2" s="243"/>
      <c r="BJ2" s="243"/>
      <c r="BK2" s="243"/>
      <c r="BL2" s="243"/>
      <c r="BM2" s="243"/>
      <c r="BN2" s="243"/>
      <c r="BO2" s="243"/>
      <c r="BP2" s="243"/>
    </row>
    <row r="3" customFormat="false" ht="26.25" hidden="false" customHeight="true" outlineLevel="0" collapsed="false">
      <c r="A3" s="242"/>
      <c r="B3" s="235" t="s">
        <v>21</v>
      </c>
      <c r="C3" s="267" t="n">
        <v>46204</v>
      </c>
      <c r="D3" s="268" t="n">
        <f aca="false">C3+1</f>
        <v>46205</v>
      </c>
      <c r="E3" s="268" t="n">
        <f aca="false">D3+1</f>
        <v>46206</v>
      </c>
      <c r="F3" s="268" t="n">
        <f aca="false">E3+1</f>
        <v>46207</v>
      </c>
      <c r="G3" s="268" t="n">
        <f aca="false">F3+1</f>
        <v>46208</v>
      </c>
      <c r="H3" s="268" t="n">
        <f aca="false">G3+1</f>
        <v>46209</v>
      </c>
      <c r="I3" s="268" t="n">
        <f aca="false">H3+1</f>
        <v>46210</v>
      </c>
      <c r="J3" s="268" t="n">
        <f aca="false">I3+1</f>
        <v>46211</v>
      </c>
      <c r="K3" s="268" t="n">
        <f aca="false">J3+1</f>
        <v>46212</v>
      </c>
      <c r="L3" s="268" t="n">
        <f aca="false">K3+1</f>
        <v>46213</v>
      </c>
      <c r="M3" s="268" t="n">
        <f aca="false">L3+1</f>
        <v>46214</v>
      </c>
      <c r="N3" s="268" t="n">
        <f aca="false">M3+1</f>
        <v>46215</v>
      </c>
      <c r="O3" s="268" t="n">
        <f aca="false">N3+1</f>
        <v>46216</v>
      </c>
      <c r="P3" s="268" t="n">
        <f aca="false">O3+1</f>
        <v>46217</v>
      </c>
      <c r="Q3" s="268" t="n">
        <f aca="false">P3+1</f>
        <v>46218</v>
      </c>
      <c r="R3" s="268" t="n">
        <f aca="false">Q3+1</f>
        <v>46219</v>
      </c>
      <c r="S3" s="268" t="n">
        <f aca="false">R3+1</f>
        <v>46220</v>
      </c>
      <c r="T3" s="269" t="n">
        <f aca="false">S3+1</f>
        <v>46221</v>
      </c>
      <c r="U3" s="268" t="n">
        <f aca="false">T3+1</f>
        <v>46222</v>
      </c>
      <c r="V3" s="270" t="n">
        <f aca="false">U3+1</f>
        <v>46223</v>
      </c>
      <c r="W3" s="268" t="n">
        <f aca="false">V3+1</f>
        <v>46224</v>
      </c>
      <c r="X3" s="268" t="n">
        <f aca="false">W3+1</f>
        <v>46225</v>
      </c>
      <c r="Y3" s="268" t="n">
        <f aca="false">X3+1</f>
        <v>46226</v>
      </c>
      <c r="Z3" s="268" t="n">
        <f aca="false">Y3+1</f>
        <v>46227</v>
      </c>
      <c r="AA3" s="268" t="n">
        <f aca="false">Z3+1</f>
        <v>46228</v>
      </c>
      <c r="AB3" s="268" t="n">
        <f aca="false">AA3+1</f>
        <v>46229</v>
      </c>
      <c r="AC3" s="268" t="n">
        <f aca="false">AB3+1</f>
        <v>46230</v>
      </c>
      <c r="AD3" s="268" t="n">
        <f aca="false">AC3+1</f>
        <v>46231</v>
      </c>
      <c r="AE3" s="268" t="n">
        <f aca="false">AD3+1</f>
        <v>46232</v>
      </c>
      <c r="AF3" s="268" t="n">
        <f aca="false">AE3+1</f>
        <v>46233</v>
      </c>
      <c r="AG3" s="268" t="n">
        <f aca="false">AF3+1</f>
        <v>46234</v>
      </c>
      <c r="AH3" s="243" t="str">
        <f aca="false">'Setting key Duty'!$C7</f>
        <v>DM</v>
      </c>
      <c r="AI3" s="243" t="str">
        <f aca="false">'Setting key Duty'!$C8</f>
        <v>CS1</v>
      </c>
      <c r="AJ3" s="243" t="str">
        <f aca="false">'Setting key Duty'!$C9</f>
        <v>CS2</v>
      </c>
      <c r="AK3" s="243" t="str">
        <f aca="false">'Setting key Duty'!$C10</f>
        <v>CS/B</v>
      </c>
      <c r="AL3" s="243" t="str">
        <f aca="false">'Setting key Duty'!$C11</f>
        <v>SB1</v>
      </c>
      <c r="AM3" s="243" t="str">
        <f aca="false">'Setting key Duty'!$C12</f>
        <v>SB2</v>
      </c>
      <c r="AN3" s="243" t="str">
        <f aca="false">'Setting key Duty'!$C13</f>
        <v>AE</v>
      </c>
      <c r="AO3" s="243" t="str">
        <f aca="false">'Setting key Duty'!$C16</f>
        <v>Outfield Reserve</v>
      </c>
      <c r="AP3" s="243" t="str">
        <f aca="false">'Setting key Duty'!C14</f>
        <v>EM</v>
      </c>
      <c r="AQ3" s="271" t="s">
        <v>559</v>
      </c>
      <c r="AR3" s="271" t="s">
        <v>560</v>
      </c>
      <c r="AS3" s="243" t="s">
        <v>22</v>
      </c>
      <c r="AT3" s="243" t="s">
        <v>23</v>
      </c>
      <c r="AU3" s="243" t="s">
        <v>561</v>
      </c>
      <c r="AV3" s="243" t="s">
        <v>24</v>
      </c>
      <c r="AW3" s="243" t="s">
        <v>25</v>
      </c>
      <c r="AX3" s="243" t="s">
        <v>26</v>
      </c>
      <c r="AY3" s="243" t="s">
        <v>27</v>
      </c>
      <c r="AZ3" s="243" t="s">
        <v>28</v>
      </c>
      <c r="BA3" s="271" t="s">
        <v>29</v>
      </c>
      <c r="BB3" s="243" t="s">
        <v>30</v>
      </c>
      <c r="BC3" s="243" t="s">
        <v>32</v>
      </c>
      <c r="BD3" s="243" t="s">
        <v>33</v>
      </c>
      <c r="BE3" s="243" t="s">
        <v>36</v>
      </c>
      <c r="BF3" s="243" t="s">
        <v>37</v>
      </c>
      <c r="BG3" s="243" t="s">
        <v>39</v>
      </c>
      <c r="BH3" s="243" t="s">
        <v>40</v>
      </c>
      <c r="BI3" s="243" t="s">
        <v>41</v>
      </c>
      <c r="BJ3" s="243" t="s">
        <v>42</v>
      </c>
      <c r="BK3" s="243" t="str">
        <f aca="false">'Setting key Duty'!C52</f>
        <v>Field Camp</v>
      </c>
      <c r="BL3" s="243" t="s">
        <v>43</v>
      </c>
      <c r="BM3" s="243" t="str">
        <f aca="false">'Setting key Duty'!$C15</f>
        <v>Block</v>
      </c>
      <c r="BN3" s="243" t="str">
        <f aca="false">'Setting key Duty'!C17</f>
        <v>Reserve</v>
      </c>
      <c r="BO3" s="243" t="str">
        <f aca="false">'Setting key Duty'!$C22</f>
        <v>AL</v>
      </c>
      <c r="BP3" s="243"/>
    </row>
    <row r="4" customFormat="false" ht="18" hidden="false" customHeight="true" outlineLevel="0" collapsed="false">
      <c r="A4" s="272"/>
      <c r="B4" s="273" t="s">
        <v>156</v>
      </c>
      <c r="C4" s="274" t="str">
        <f aca="false">TEXT(C3,"ddd")</f>
        <v>Wed</v>
      </c>
      <c r="D4" s="275" t="str">
        <f aca="false">TEXT(D3,"ddd")</f>
        <v>Thu</v>
      </c>
      <c r="E4" s="275" t="str">
        <f aca="false">TEXT(E3,"ddd")</f>
        <v>Fri</v>
      </c>
      <c r="F4" s="275" t="str">
        <f aca="false">TEXT(F3,"ddd")</f>
        <v>Sat</v>
      </c>
      <c r="G4" s="275" t="str">
        <f aca="false">TEXT(G3,"ddd")</f>
        <v>Sun</v>
      </c>
      <c r="H4" s="275" t="str">
        <f aca="false">TEXT(H3,"ddd")</f>
        <v>Mon</v>
      </c>
      <c r="I4" s="275" t="str">
        <f aca="false">TEXT(I3,"ddd")</f>
        <v>Tue</v>
      </c>
      <c r="J4" s="275" t="str">
        <f aca="false">TEXT(J3,"ddd")</f>
        <v>Wed</v>
      </c>
      <c r="K4" s="275" t="str">
        <f aca="false">TEXT(K3,"ddd")</f>
        <v>Thu</v>
      </c>
      <c r="L4" s="275" t="str">
        <f aca="false">TEXT(L3,"ddd")</f>
        <v>Fri</v>
      </c>
      <c r="M4" s="275" t="str">
        <f aca="false">TEXT(M3,"ddd")</f>
        <v>Sat</v>
      </c>
      <c r="N4" s="275" t="str">
        <f aca="false">TEXT(N3,"ddd")</f>
        <v>Sun</v>
      </c>
      <c r="O4" s="275" t="str">
        <f aca="false">TEXT(O3,"ddd")</f>
        <v>Mon</v>
      </c>
      <c r="P4" s="275" t="str">
        <f aca="false">TEXT(P3,"ddd")</f>
        <v>Tue</v>
      </c>
      <c r="Q4" s="275" t="str">
        <f aca="false">TEXT(Q3,"ddd")</f>
        <v>Wed</v>
      </c>
      <c r="R4" s="275" t="str">
        <f aca="false">TEXT(R3,"ddd")</f>
        <v>Thu</v>
      </c>
      <c r="S4" s="275" t="str">
        <f aca="false">TEXT(S3,"ddd")</f>
        <v>Fri</v>
      </c>
      <c r="T4" s="274" t="str">
        <f aca="false">TEXT(T3,"ddd")</f>
        <v>Sat</v>
      </c>
      <c r="U4" s="275" t="str">
        <f aca="false">TEXT(U3,"ddd")</f>
        <v>Sun</v>
      </c>
      <c r="V4" s="276" t="str">
        <f aca="false">TEXT(V3,"ddd")</f>
        <v>Mon</v>
      </c>
      <c r="W4" s="275" t="str">
        <f aca="false">TEXT(W3,"ddd")</f>
        <v>Tue</v>
      </c>
      <c r="X4" s="275" t="str">
        <f aca="false">TEXT(X3,"ddd")</f>
        <v>Wed</v>
      </c>
      <c r="Y4" s="275" t="str">
        <f aca="false">TEXT(Y3,"ddd")</f>
        <v>Thu</v>
      </c>
      <c r="Z4" s="275" t="str">
        <f aca="false">TEXT(Z3,"ddd")</f>
        <v>Fri</v>
      </c>
      <c r="AA4" s="275" t="str">
        <f aca="false">TEXT(AA3,"ddd")</f>
        <v>Sat</v>
      </c>
      <c r="AB4" s="275" t="str">
        <f aca="false">TEXT(AB3,"ddd")</f>
        <v>Sun</v>
      </c>
      <c r="AC4" s="275" t="str">
        <f aca="false">TEXT(AC3,"ddd")</f>
        <v>Mon</v>
      </c>
      <c r="AD4" s="275" t="str">
        <f aca="false">TEXT(AD3,"ddd")</f>
        <v>Tue</v>
      </c>
      <c r="AE4" s="275" t="str">
        <f aca="false">TEXT(AE3,"ddd")</f>
        <v>Wed</v>
      </c>
      <c r="AF4" s="275" t="str">
        <f aca="false">TEXT(AF3,"ddd")</f>
        <v>Thu</v>
      </c>
      <c r="AG4" s="275" t="str">
        <f aca="false">TEXT(AG3,"ddd")</f>
        <v>Fri</v>
      </c>
      <c r="AH4" s="273" t="str">
        <f aca="false">'Setting key Duty'!$B7</f>
        <v>DM</v>
      </c>
      <c r="AI4" s="273" t="str">
        <f aca="false">'Setting key Duty'!$B8</f>
        <v>CS1</v>
      </c>
      <c r="AJ4" s="273" t="str">
        <f aca="false">'Setting key Duty'!$B9</f>
        <v>CS2</v>
      </c>
      <c r="AK4" s="273" t="str">
        <f aca="false">'Setting key Duty'!$B10</f>
        <v>CS/B</v>
      </c>
      <c r="AL4" s="273" t="str">
        <f aca="false">'Setting key Duty'!$B11</f>
        <v>SB1</v>
      </c>
      <c r="AM4" s="273" t="str">
        <f aca="false">'Setting key Duty'!$B12</f>
        <v>SB2</v>
      </c>
      <c r="AN4" s="273" t="str">
        <f aca="false">'Setting key Duty'!$B13</f>
        <v>AE</v>
      </c>
      <c r="AO4" s="273" t="str">
        <f aca="false">'Setting key Duty'!$B16</f>
        <v>Outfield Reserve</v>
      </c>
      <c r="AP4" s="273" t="str">
        <f aca="false">'Setting key Duty'!B14</f>
        <v>EM</v>
      </c>
      <c r="AQ4" s="271"/>
      <c r="AR4" s="271"/>
      <c r="AS4" s="273"/>
      <c r="AT4" s="273"/>
      <c r="AU4" s="273"/>
      <c r="AV4" s="273"/>
      <c r="AW4" s="273"/>
      <c r="AX4" s="273"/>
      <c r="AY4" s="273"/>
      <c r="AZ4" s="273"/>
      <c r="BA4" s="277"/>
      <c r="BB4" s="273"/>
      <c r="BC4" s="273" t="s">
        <v>46</v>
      </c>
      <c r="BD4" s="273"/>
      <c r="BE4" s="273" t="s">
        <v>48</v>
      </c>
      <c r="BF4" s="273"/>
      <c r="BG4" s="273" t="s">
        <v>50</v>
      </c>
      <c r="BH4" s="273"/>
      <c r="BI4" s="273" t="s">
        <v>51</v>
      </c>
      <c r="BJ4" s="273"/>
      <c r="BK4" s="273" t="str">
        <f aca="false">'Setting key Duty'!B52</f>
        <v>$FC</v>
      </c>
      <c r="BL4" s="273"/>
      <c r="BM4" s="273" t="n">
        <f aca="false">'Setting key Duty'!$B15</f>
        <v>0</v>
      </c>
      <c r="BN4" s="273" t="str">
        <f aca="false">'Setting key Duty'!B17</f>
        <v>RESERVE</v>
      </c>
      <c r="BO4" s="273" t="str">
        <f aca="false">'Setting key Duty'!$B22</f>
        <v>AL</v>
      </c>
      <c r="BP4" s="273"/>
    </row>
    <row r="5" customFormat="false" ht="87" hidden="false" customHeight="true" outlineLevel="0" collapsed="false">
      <c r="A5" s="272"/>
      <c r="B5" s="282" t="s">
        <v>927</v>
      </c>
      <c r="C5" s="91"/>
      <c r="D5" s="266"/>
      <c r="E5" s="91" t="s">
        <v>770</v>
      </c>
      <c r="F5" s="266"/>
      <c r="G5" s="266" t="s">
        <v>56</v>
      </c>
      <c r="H5" s="91"/>
      <c r="I5" s="266"/>
      <c r="J5" s="266" t="s">
        <v>69</v>
      </c>
      <c r="K5" s="266" t="s">
        <v>707</v>
      </c>
      <c r="L5" s="91"/>
      <c r="M5" s="91"/>
      <c r="N5" s="266"/>
      <c r="O5" s="266" t="s">
        <v>380</v>
      </c>
      <c r="P5" s="266" t="s">
        <v>380</v>
      </c>
      <c r="Q5" s="266" t="s">
        <v>57</v>
      </c>
      <c r="R5" s="91"/>
      <c r="S5" s="91" t="s">
        <v>162</v>
      </c>
      <c r="T5" s="91"/>
      <c r="U5" s="324"/>
      <c r="V5" s="91"/>
      <c r="W5" s="91"/>
      <c r="X5" s="91" t="s">
        <v>56</v>
      </c>
      <c r="Y5" s="91"/>
      <c r="Z5" s="91"/>
      <c r="AA5" s="266"/>
      <c r="AB5" s="266"/>
      <c r="AC5" s="266" t="s">
        <v>93</v>
      </c>
      <c r="AD5" s="266" t="s">
        <v>764</v>
      </c>
      <c r="AE5" s="188" t="s">
        <v>672</v>
      </c>
      <c r="AF5" s="91" t="s">
        <v>71</v>
      </c>
      <c r="AG5" s="91" t="s">
        <v>71</v>
      </c>
      <c r="AH5" s="272" t="n">
        <f aca="false">COUNTIF($C5:$AF5,AH$4)</f>
        <v>1</v>
      </c>
      <c r="AI5" s="272" t="n">
        <f aca="false">COUNTIF($C5:$AF5,AI$4)</f>
        <v>2</v>
      </c>
      <c r="AJ5" s="272" t="n">
        <f aca="false">COUNTIF($C5:$AF5,AJ$4)</f>
        <v>0</v>
      </c>
      <c r="AK5" s="272" t="n">
        <f aca="false">COUNTIF($C5:$AF5,AK$4)</f>
        <v>0</v>
      </c>
      <c r="AL5" s="272" t="n">
        <f aca="false">COUNTIF($C5:$AF5,AL$4)</f>
        <v>0</v>
      </c>
      <c r="AM5" s="272" t="n">
        <f aca="false">COUNTIF($C5:$AF5,AM$4)</f>
        <v>1</v>
      </c>
      <c r="AN5" s="272" t="n">
        <f aca="false">COUNTIF($C5:$AF5,AN$4)</f>
        <v>0</v>
      </c>
      <c r="AO5" s="272" t="n">
        <f aca="false">COUNTIF($C5:$AF5,AO$4)</f>
        <v>0</v>
      </c>
      <c r="AP5" s="272" t="n">
        <f aca="false">COUNTIF($C5:$AF5,AP$4)</f>
        <v>0</v>
      </c>
      <c r="AQ5" s="279"/>
      <c r="AR5" s="279" t="n">
        <v>1</v>
      </c>
      <c r="AS5" s="278" t="n">
        <f aca="false">SUMPRODUCT(--(WEEKDAY(C$3:AG$3,2)&lt;5),--ISNUMBER(MATCH(C5:AG5,{"DM","CS1","CS2","SB1","AE","CS/B"},0)))</f>
        <v>2</v>
      </c>
      <c r="AT5" s="278"/>
      <c r="AU5" s="278" t="n">
        <f aca="false">SUMPRODUCT(--(WEEKDAY(C$3:AG$3,2)=5),--ISNUMBER(MATCH(C5:AG5,{"DM","CS1","CS2","SB1","AE","CS/B","WEEKEND OUTFIELD RESERVE"},0)))</f>
        <v>0</v>
      </c>
      <c r="AV5" s="278" t="n">
        <f aca="false">SUMPRODUCT(--(WEEKDAY(C$3:AG$3,2)&gt;5),--ISNUMBER(MATCH(C5:AG5,{"DM","CS1","CS2","SB1","AE","CS/B","WEEKEND OUTFIELD RESERVE"},0)))</f>
        <v>1</v>
      </c>
      <c r="AW5" s="278"/>
      <c r="AX5" s="278" t="n">
        <f aca="false">(AS5-AT5)+AU5*1.5+(AV5-AW5)*2+AM5*0.5+AO5*0.5+AQ5-AR5</f>
        <v>3.5</v>
      </c>
      <c r="AY5" s="278" t="n">
        <f aca="false">AS5+AU5+AV5</f>
        <v>3</v>
      </c>
      <c r="AZ5" s="278" t="n">
        <f aca="false">BC5+BE5+BG5+BI5+BK5</f>
        <v>0</v>
      </c>
      <c r="BA5" s="279" t="n">
        <f aca="false">AX5+BB5</f>
        <v>3.5</v>
      </c>
      <c r="BB5" s="278" t="n">
        <f aca="false">BD5+BF5+BH5+BJ5+BL5</f>
        <v>0</v>
      </c>
      <c r="BC5" s="278" t="n">
        <f aca="false">COUNTIF(A5:AH5,"*$BTP*")</f>
        <v>0</v>
      </c>
      <c r="BD5" s="278" t="n">
        <f aca="false">BC5*1.5</f>
        <v>0</v>
      </c>
      <c r="BE5" s="278" t="n">
        <f aca="false">COUNTIF(A5:AH5,"*$M*")</f>
        <v>0</v>
      </c>
      <c r="BF5" s="278" t="n">
        <f aca="false">BE5*1</f>
        <v>0</v>
      </c>
      <c r="BG5" s="278" t="n">
        <f aca="false">COUNTIF(A5:AH5,"*$PM*")</f>
        <v>0</v>
      </c>
      <c r="BH5" s="278" t="n">
        <f aca="false">BG5*0.5</f>
        <v>0</v>
      </c>
      <c r="BI5" s="278" t="n">
        <f aca="false">COUNTIF(A5:AH5,"*$AM*")</f>
        <v>0</v>
      </c>
      <c r="BJ5" s="278" t="n">
        <f aca="false">BI5*0.5</f>
        <v>0</v>
      </c>
      <c r="BK5" s="278" t="n">
        <f aca="false">COUNTIF(A5:AH5,"*$FC*")</f>
        <v>0</v>
      </c>
      <c r="BL5" s="278" t="n">
        <f aca="false">BK5*1</f>
        <v>0</v>
      </c>
      <c r="BM5" s="278" t="n">
        <f aca="false">COUNTIF($D5:$Z5,BM$4)</f>
        <v>0</v>
      </c>
      <c r="BN5" s="278" t="n">
        <f aca="false">COUNTIF($D5:$Z5,BN$4)</f>
        <v>0</v>
      </c>
      <c r="BO5" s="278" t="n">
        <f aca="false">COUNTIF($D5:$Z5,BO$4)</f>
        <v>0</v>
      </c>
      <c r="BP5" s="278"/>
    </row>
    <row r="6" customFormat="false" ht="73.5" hidden="false" customHeight="true" outlineLevel="0" collapsed="false">
      <c r="A6" s="272"/>
      <c r="B6" s="278" t="s">
        <v>567</v>
      </c>
      <c r="C6" s="91"/>
      <c r="E6" s="91"/>
      <c r="F6" s="266" t="s">
        <v>350</v>
      </c>
      <c r="G6" s="266"/>
      <c r="H6" s="266" t="s">
        <v>770</v>
      </c>
      <c r="I6" s="91"/>
      <c r="J6" s="91"/>
      <c r="K6" s="266" t="s">
        <v>707</v>
      </c>
      <c r="L6" s="266" t="s">
        <v>928</v>
      </c>
      <c r="M6" s="91" t="s">
        <v>57</v>
      </c>
      <c r="N6" s="266"/>
      <c r="O6" s="266" t="s">
        <v>380</v>
      </c>
      <c r="P6" s="266" t="s">
        <v>380</v>
      </c>
      <c r="Q6" s="91" t="s">
        <v>56</v>
      </c>
      <c r="R6" s="91"/>
      <c r="S6" s="91" t="s">
        <v>162</v>
      </c>
      <c r="T6" s="91" t="s">
        <v>59</v>
      </c>
      <c r="U6" s="91"/>
      <c r="V6" s="91" t="s">
        <v>55</v>
      </c>
      <c r="W6" s="91" t="s">
        <v>929</v>
      </c>
      <c r="X6" s="91"/>
      <c r="Y6" s="91"/>
      <c r="Z6" s="91"/>
      <c r="AA6" s="91"/>
      <c r="AB6" s="266"/>
      <c r="AC6" s="91" t="s">
        <v>55</v>
      </c>
      <c r="AD6" s="91"/>
      <c r="AE6" s="325" t="s">
        <v>764</v>
      </c>
      <c r="AF6" s="91" t="s">
        <v>56</v>
      </c>
      <c r="AG6" s="91"/>
      <c r="AH6" s="272" t="n">
        <f aca="false">COUNTIF($C6:$AF6,AH$4)</f>
        <v>1</v>
      </c>
      <c r="AI6" s="272" t="n">
        <f aca="false">COUNTIF($C6:$AF6,AI$4)</f>
        <v>2</v>
      </c>
      <c r="AJ6" s="272" t="n">
        <f aca="false">COUNTIF($C6:$AF6,AJ$4)</f>
        <v>1</v>
      </c>
      <c r="AK6" s="272" t="n">
        <f aca="false">COUNTIF($C6:$AF6,AK$4)</f>
        <v>0</v>
      </c>
      <c r="AL6" s="272" t="n">
        <f aca="false">COUNTIF($C6:$AF6,AL$4)</f>
        <v>0</v>
      </c>
      <c r="AM6" s="272" t="n">
        <f aca="false">COUNTIF($C6:$AF6,AM$4)</f>
        <v>0</v>
      </c>
      <c r="AN6" s="272" t="n">
        <f aca="false">COUNTIF($C6:$AF6,AN$4)</f>
        <v>0</v>
      </c>
      <c r="AO6" s="272" t="n">
        <f aca="false">COUNTIF($C6:$AF6,AO$4)</f>
        <v>0</v>
      </c>
      <c r="AP6" s="272" t="n">
        <f aca="false">COUNTIF($C6:$AF6,AP$4)</f>
        <v>0</v>
      </c>
      <c r="AQ6" s="279"/>
      <c r="AR6" s="279" t="n">
        <v>2.5</v>
      </c>
      <c r="AS6" s="278" t="n">
        <f aca="false">SUMPRODUCT(--(WEEKDAY(C$3:AG$3,2)&lt;5),--ISNUMBER(MATCH(C6:AG6,{"DM","CS1","CS2","SB1","AE","CS/B"},0)))</f>
        <v>2</v>
      </c>
      <c r="AT6" s="278"/>
      <c r="AU6" s="278" t="n">
        <f aca="false">SUMPRODUCT(--(WEEKDAY(C$3:AG$3,2)=5),--ISNUMBER(MATCH(C6:AG6,{"DM","CS1","CS2","SB1","AE","CS/B","WEEKEND OUTFIELD RESERVE"},0)))</f>
        <v>0</v>
      </c>
      <c r="AV6" s="278" t="n">
        <f aca="false">SUMPRODUCT(--(WEEKDAY(C$3:AG$3,2)&gt;5),--ISNUMBER(MATCH(C6:AG6,{"DM","CS1","CS2","SB1","AE","CS/B","WEEKEND OUTFIELD RESERVE"},0)))</f>
        <v>2</v>
      </c>
      <c r="AW6" s="278"/>
      <c r="AX6" s="278" t="n">
        <f aca="false">(AS6-AT6)+AU6*1.5+(AV6-AW6)*2+AM6*0.5+AO6*0.5+AQ6-AR6</f>
        <v>3.5</v>
      </c>
      <c r="AY6" s="278" t="n">
        <f aca="false">AS6+AU6+AV6</f>
        <v>4</v>
      </c>
      <c r="AZ6" s="278" t="n">
        <f aca="false">BC6+BE6+BG6+BI6+BK6</f>
        <v>1</v>
      </c>
      <c r="BA6" s="279" t="n">
        <f aca="false">AX6+BB6</f>
        <v>4</v>
      </c>
      <c r="BB6" s="278" t="n">
        <f aca="false">BD6+BF6+BH6+BJ6+BL6</f>
        <v>0.5</v>
      </c>
      <c r="BC6" s="278" t="n">
        <f aca="false">COUNTIF(A6:AH6,"*$BTP*")</f>
        <v>0</v>
      </c>
      <c r="BD6" s="278" t="n">
        <f aca="false">BC6*1.5</f>
        <v>0</v>
      </c>
      <c r="BE6" s="278" t="n">
        <f aca="false">COUNTIF(A6:AH6,"*$M*")</f>
        <v>0</v>
      </c>
      <c r="BF6" s="278" t="n">
        <f aca="false">BE6*1</f>
        <v>0</v>
      </c>
      <c r="BG6" s="278" t="n">
        <f aca="false">COUNTIF(A6:AH6,"*$PM*")</f>
        <v>1</v>
      </c>
      <c r="BH6" s="278" t="n">
        <f aca="false">BG6*0.5</f>
        <v>0.5</v>
      </c>
      <c r="BI6" s="278" t="n">
        <f aca="false">COUNTIF(A6:AH6,"*$AM*")</f>
        <v>0</v>
      </c>
      <c r="BJ6" s="278" t="n">
        <f aca="false">BI6*0.5</f>
        <v>0</v>
      </c>
      <c r="BK6" s="278" t="n">
        <f aca="false">COUNTIF(A6:AH6,"*$FC*")</f>
        <v>0</v>
      </c>
      <c r="BL6" s="278" t="n">
        <f aca="false">BK6*1</f>
        <v>0</v>
      </c>
      <c r="BM6" s="278" t="n">
        <f aca="false">COUNTIF($D6:$AA6,BM$4)</f>
        <v>0</v>
      </c>
      <c r="BN6" s="278" t="n">
        <f aca="false">COUNTIF($D6:$AA6,BN$4)</f>
        <v>1</v>
      </c>
      <c r="BO6" s="278" t="n">
        <f aca="false">COUNTIF($D6:$AA6,BO$4)</f>
        <v>1</v>
      </c>
      <c r="BP6" s="278"/>
    </row>
    <row r="7" customFormat="false" ht="19.5" hidden="false" customHeight="true" outlineLevel="0" collapsed="false">
      <c r="A7" s="272"/>
      <c r="B7" s="282" t="s">
        <v>930</v>
      </c>
      <c r="C7" s="91" t="s">
        <v>57</v>
      </c>
      <c r="D7" s="91"/>
      <c r="E7" s="91"/>
      <c r="F7" s="266" t="s">
        <v>59</v>
      </c>
      <c r="G7" s="266"/>
      <c r="H7" s="266"/>
      <c r="I7" s="91" t="s">
        <v>350</v>
      </c>
      <c r="J7" s="266"/>
      <c r="K7" s="266" t="s">
        <v>881</v>
      </c>
      <c r="L7" s="91"/>
      <c r="M7" s="91"/>
      <c r="N7" s="91"/>
      <c r="O7" s="91" t="s">
        <v>350</v>
      </c>
      <c r="P7" s="266" t="s">
        <v>931</v>
      </c>
      <c r="Q7" s="91"/>
      <c r="R7" s="91" t="s">
        <v>57</v>
      </c>
      <c r="S7" s="91"/>
      <c r="T7" s="91"/>
      <c r="U7" s="91"/>
      <c r="V7" s="266"/>
      <c r="W7" s="266" t="s">
        <v>54</v>
      </c>
      <c r="X7" s="266" t="s">
        <v>54</v>
      </c>
      <c r="Y7" s="266" t="s">
        <v>54</v>
      </c>
      <c r="Z7" s="266" t="s">
        <v>54</v>
      </c>
      <c r="AA7" s="91"/>
      <c r="AB7" s="91"/>
      <c r="AC7" s="91"/>
      <c r="AD7" s="91" t="s">
        <v>57</v>
      </c>
      <c r="AE7" s="326"/>
      <c r="AF7" s="266" t="s">
        <v>767</v>
      </c>
      <c r="AG7" s="266"/>
      <c r="AH7" s="272" t="n">
        <f aca="false">COUNTIF($C7:$AF7,AH$4)</f>
        <v>3</v>
      </c>
      <c r="AI7" s="272" t="n">
        <f aca="false">COUNTIF($C7:$AF7,AI$4)</f>
        <v>0</v>
      </c>
      <c r="AJ7" s="272" t="n">
        <f aca="false">COUNTIF($C7:$AF7,AJ$4)</f>
        <v>1</v>
      </c>
      <c r="AK7" s="272" t="n">
        <f aca="false">COUNTIF($C7:$AF7,AK$4)</f>
        <v>0</v>
      </c>
      <c r="AL7" s="272" t="n">
        <f aca="false">COUNTIF($C7:$AF7,AL$4)</f>
        <v>0</v>
      </c>
      <c r="AM7" s="272" t="n">
        <f aca="false">COUNTIF($C7:$AF7,AM$4)</f>
        <v>0</v>
      </c>
      <c r="AN7" s="272" t="n">
        <f aca="false">COUNTIF($C7:$AF7,AN$4)</f>
        <v>0</v>
      </c>
      <c r="AO7" s="272" t="n">
        <f aca="false">COUNTIF($C7:$AF7,AO$4)</f>
        <v>1</v>
      </c>
      <c r="AP7" s="272" t="n">
        <f aca="false">COUNTIF($C7:$AF7,AP$4)</f>
        <v>0</v>
      </c>
      <c r="AQ7" s="279" t="n">
        <v>1</v>
      </c>
      <c r="AR7" s="279"/>
      <c r="AS7" s="278" t="n">
        <f aca="false">SUMPRODUCT(--(WEEKDAY(C$3:AG$3,2)&lt;5),--ISNUMBER(MATCH(C7:AG7,{"DM","CS1","CS2","SB1","AE","CS/B"},0)))</f>
        <v>3</v>
      </c>
      <c r="AT7" s="278"/>
      <c r="AU7" s="278" t="n">
        <f aca="false">SUMPRODUCT(--(WEEKDAY(C$3:AG$3,2)=5),--ISNUMBER(MATCH(C7:AG7,{"DM","CS1","CS2","SB1","AE","CS/B","WEEKEND OUTFIELD RESERVE"},0)))</f>
        <v>0</v>
      </c>
      <c r="AV7" s="278" t="n">
        <f aca="false">SUMPRODUCT(--(WEEKDAY(C$3:AG$3,2)&gt;5),--ISNUMBER(MATCH(C7:AG7,{"DM","CS1","CS2","SB1","AE","CS/B","WEEKEND OUTFIELD RESERVE"},0)))</f>
        <v>1</v>
      </c>
      <c r="AW7" s="278"/>
      <c r="AX7" s="278" t="n">
        <f aca="false">(AS7-AT7)+AU7*1.5+(AV7-AW7)*2+AM7*0.5+AO7*0.5+AQ7-AR7</f>
        <v>6.5</v>
      </c>
      <c r="AY7" s="278" t="n">
        <f aca="false">AS7+AU7+AV7</f>
        <v>4</v>
      </c>
      <c r="AZ7" s="278" t="n">
        <f aca="false">BC7+BE7+BG7+BI7+BK7</f>
        <v>2</v>
      </c>
      <c r="BA7" s="279" t="n">
        <f aca="false">AX7+BB7</f>
        <v>7.5</v>
      </c>
      <c r="BB7" s="278" t="n">
        <f aca="false">BD7+BF7+BH7+BJ7+BL7</f>
        <v>1</v>
      </c>
      <c r="BC7" s="278" t="n">
        <f aca="false">COUNTIF(A7:AH7,"*$BTP*")</f>
        <v>0</v>
      </c>
      <c r="BD7" s="278" t="n">
        <f aca="false">BC7*1.5</f>
        <v>0</v>
      </c>
      <c r="BE7" s="278" t="n">
        <f aca="false">COUNTIF(A7:AH7,"*$M*")</f>
        <v>0</v>
      </c>
      <c r="BF7" s="278" t="n">
        <f aca="false">BE7*1</f>
        <v>0</v>
      </c>
      <c r="BG7" s="278" t="n">
        <f aca="false">COUNTIF(A7:AH7,"*$PM*")</f>
        <v>0</v>
      </c>
      <c r="BH7" s="278" t="n">
        <f aca="false">BG7*0.5</f>
        <v>0</v>
      </c>
      <c r="BI7" s="278" t="n">
        <f aca="false">COUNTIF(A7:AH7,"*$AM*")</f>
        <v>2</v>
      </c>
      <c r="BJ7" s="278" t="n">
        <f aca="false">BI7*0.5</f>
        <v>1</v>
      </c>
      <c r="BK7" s="278" t="n">
        <f aca="false">COUNTIF(A7:AH7,"*$FC*")</f>
        <v>0</v>
      </c>
      <c r="BL7" s="278" t="n">
        <f aca="false">BK7*1</f>
        <v>0</v>
      </c>
      <c r="BM7" s="278" t="n">
        <f aca="false">COUNTIF($D7:$X7,BM$4)</f>
        <v>0</v>
      </c>
      <c r="BN7" s="278" t="n">
        <f aca="false">COUNTIF($D7:$X7,BN$4)</f>
        <v>2</v>
      </c>
      <c r="BO7" s="278" t="n">
        <f aca="false">COUNTIF($D7:$X7,BO$4)</f>
        <v>0</v>
      </c>
      <c r="BP7" s="278"/>
    </row>
    <row r="8" customFormat="false" ht="56.25" hidden="false" customHeight="true" outlineLevel="0" collapsed="false">
      <c r="A8" s="272"/>
      <c r="B8" s="278" t="s">
        <v>714</v>
      </c>
      <c r="C8" s="272" t="s">
        <v>57</v>
      </c>
      <c r="D8" s="266"/>
      <c r="E8" s="91"/>
      <c r="F8" s="266"/>
      <c r="G8" s="266"/>
      <c r="H8" s="91" t="s">
        <v>57</v>
      </c>
      <c r="I8" s="266"/>
      <c r="J8" s="266"/>
      <c r="K8" s="91"/>
      <c r="L8" s="91" t="s">
        <v>59</v>
      </c>
      <c r="M8" s="91"/>
      <c r="N8" s="266"/>
      <c r="P8" s="91" t="s">
        <v>57</v>
      </c>
      <c r="Q8" s="91"/>
      <c r="R8" s="91"/>
      <c r="S8" s="266" t="s">
        <v>573</v>
      </c>
      <c r="T8" s="91"/>
      <c r="U8" s="266" t="s">
        <v>350</v>
      </c>
      <c r="V8" s="266"/>
      <c r="W8" s="91"/>
      <c r="X8" s="91" t="s">
        <v>61</v>
      </c>
      <c r="Y8" s="91"/>
      <c r="Z8" s="91"/>
      <c r="AB8" s="266" t="s">
        <v>56</v>
      </c>
      <c r="AC8" s="266"/>
      <c r="AE8" s="327" t="s">
        <v>350</v>
      </c>
      <c r="AF8" s="266"/>
      <c r="AG8" s="266"/>
      <c r="AH8" s="272" t="n">
        <f aca="false">COUNTIF($C8:$AF8,AH$4)</f>
        <v>3</v>
      </c>
      <c r="AI8" s="272" t="n">
        <f aca="false">COUNTIF($C8:$AF8,AI$4)</f>
        <v>1</v>
      </c>
      <c r="AJ8" s="272" t="n">
        <f aca="false">COUNTIF($C8:$AF8,AJ$4)</f>
        <v>1</v>
      </c>
      <c r="AK8" s="272" t="n">
        <f aca="false">COUNTIF($C8:$AF8,AK$4)</f>
        <v>0</v>
      </c>
      <c r="AL8" s="272" t="n">
        <f aca="false">COUNTIF($C8:$AF8,AL$4)</f>
        <v>0</v>
      </c>
      <c r="AM8" s="272" t="n">
        <f aca="false">COUNTIF($C8:$AF8,AM$4)</f>
        <v>0</v>
      </c>
      <c r="AN8" s="272" t="n">
        <f aca="false">COUNTIF($C8:$AF8,AN$4)</f>
        <v>0</v>
      </c>
      <c r="AO8" s="272" t="n">
        <f aca="false">COUNTIF($C8:$AF8,AO$4)</f>
        <v>0</v>
      </c>
      <c r="AP8" s="272" t="n">
        <f aca="false">COUNTIF($C8:$AF8,AP$4)</f>
        <v>0</v>
      </c>
      <c r="AQ8" s="279" t="n">
        <v>2</v>
      </c>
      <c r="AR8" s="279"/>
      <c r="AS8" s="278" t="n">
        <f aca="false">SUMPRODUCT(--(WEEKDAY(C$3:AG$3,2)&lt;5),--ISNUMBER(MATCH(C8:AG8,{"DM","CS1","CS2","SB1","AE","CS/B"},0)))</f>
        <v>3</v>
      </c>
      <c r="AT8" s="278"/>
      <c r="AU8" s="278" t="n">
        <f aca="false">SUMPRODUCT(--(WEEKDAY(C$3:AG$3,2)=5),--ISNUMBER(MATCH(C8:AG8,{"DM","CS1","CS2","SB1","AE","CS/B","WEEKEND OUTFIELD RESERVE"},0)))</f>
        <v>1</v>
      </c>
      <c r="AV8" s="278" t="n">
        <f aca="false">SUMPRODUCT(--(WEEKDAY(C$3:AG$3,2)&gt;5),--ISNUMBER(MATCH(C8:AG8,{"DM","CS1","CS2","SB1","AE","CS/B","WEEKEND OUTFIELD RESERVE"},0)))</f>
        <v>1</v>
      </c>
      <c r="AW8" s="278"/>
      <c r="AX8" s="278" t="n">
        <f aca="false">(AS8-AT8)+AU8*1.5+(AV8-AW8)*2+AM8*0.5+AO8*0.5+AQ8-AR8</f>
        <v>8.5</v>
      </c>
      <c r="AY8" s="278" t="n">
        <f aca="false">AS8+AU8+AV8</f>
        <v>5</v>
      </c>
      <c r="AZ8" s="278" t="n">
        <f aca="false">BC8+BE8+BG8+BI8+BK8</f>
        <v>0</v>
      </c>
      <c r="BA8" s="279" t="n">
        <f aca="false">AX8+BB8</f>
        <v>8.5</v>
      </c>
      <c r="BB8" s="278" t="n">
        <f aca="false">BD8+BF8+BH8+BJ8+BL8</f>
        <v>0</v>
      </c>
      <c r="BC8" s="278" t="n">
        <f aca="false">COUNTIF(A8:AH8,"*$BTP*")</f>
        <v>0</v>
      </c>
      <c r="BD8" s="278" t="n">
        <f aca="false">BC8*1.5</f>
        <v>0</v>
      </c>
      <c r="BE8" s="278" t="n">
        <f aca="false">COUNTIF(A8:AH8,"*$M*")</f>
        <v>0</v>
      </c>
      <c r="BF8" s="278" t="n">
        <f aca="false">BE8*1</f>
        <v>0</v>
      </c>
      <c r="BG8" s="278" t="n">
        <f aca="false">COUNTIF(A8:AH8,"*$PM*")</f>
        <v>0</v>
      </c>
      <c r="BH8" s="278" t="n">
        <f aca="false">BG8*0.5</f>
        <v>0</v>
      </c>
      <c r="BI8" s="278" t="n">
        <f aca="false">COUNTIF(A8:AH8,"*$AM*")</f>
        <v>0</v>
      </c>
      <c r="BJ8" s="278" t="n">
        <f aca="false">BI8*0.5</f>
        <v>0</v>
      </c>
      <c r="BK8" s="278" t="n">
        <f aca="false">COUNTIF(A8:AH8,"*$FC*")</f>
        <v>0</v>
      </c>
      <c r="BL8" s="278" t="n">
        <f aca="false">BK8*1</f>
        <v>0</v>
      </c>
      <c r="BM8" s="278" t="n">
        <f aca="false">COUNTIF($D8:$AA8,BM$4)</f>
        <v>0</v>
      </c>
      <c r="BN8" s="278" t="n">
        <f aca="false">COUNTIF($D8:$AA8,BN$4)</f>
        <v>1</v>
      </c>
      <c r="BO8" s="278" t="n">
        <f aca="false">COUNTIF($D8:$AA8,BO$4)</f>
        <v>0</v>
      </c>
      <c r="BP8" s="278"/>
    </row>
    <row r="9" customFormat="false" ht="19.5" hidden="false" customHeight="true" outlineLevel="0" collapsed="false">
      <c r="A9" s="272"/>
      <c r="B9" s="278" t="s">
        <v>715</v>
      </c>
      <c r="C9" s="266" t="s">
        <v>58</v>
      </c>
      <c r="D9" s="266"/>
      <c r="E9" s="266"/>
      <c r="F9" s="266"/>
      <c r="G9" s="266"/>
      <c r="H9" s="266" t="s">
        <v>350</v>
      </c>
      <c r="I9" s="91"/>
      <c r="J9" s="91" t="s">
        <v>57</v>
      </c>
      <c r="K9" s="91"/>
      <c r="L9" s="91"/>
      <c r="N9" s="266"/>
      <c r="O9" s="91" t="s">
        <v>57</v>
      </c>
      <c r="Q9" s="266"/>
      <c r="R9" s="266" t="s">
        <v>566</v>
      </c>
      <c r="S9" s="91"/>
      <c r="T9" s="266"/>
      <c r="U9" s="91"/>
      <c r="V9" s="266" t="s">
        <v>573</v>
      </c>
      <c r="W9" s="91"/>
      <c r="X9" s="91" t="s">
        <v>59</v>
      </c>
      <c r="Y9" s="266"/>
      <c r="Z9" s="266" t="s">
        <v>350</v>
      </c>
      <c r="AA9" s="266" t="s">
        <v>58</v>
      </c>
      <c r="AB9" s="91"/>
      <c r="AC9" s="91" t="s">
        <v>350</v>
      </c>
      <c r="AD9" s="91"/>
      <c r="AE9" s="328" t="s">
        <v>56</v>
      </c>
      <c r="AF9" s="91"/>
      <c r="AG9" s="266"/>
      <c r="AH9" s="272" t="n">
        <f aca="false">COUNTIF($C9:$AF9,AH$4)</f>
        <v>2</v>
      </c>
      <c r="AI9" s="272" t="n">
        <f aca="false">COUNTIF($C9:$AF9,AI$4)</f>
        <v>1</v>
      </c>
      <c r="AJ9" s="272" t="n">
        <f aca="false">COUNTIF($C9:$AF9,AJ$4)</f>
        <v>1</v>
      </c>
      <c r="AK9" s="272" t="n">
        <f aca="false">COUNTIF($C9:$AF9,AK$4)</f>
        <v>1</v>
      </c>
      <c r="AL9" s="272" t="n">
        <f aca="false">COUNTIF($C9:$AF9,AL$4)</f>
        <v>2</v>
      </c>
      <c r="AM9" s="272" t="n">
        <f aca="false">COUNTIF($C9:$AF9,AM$4)</f>
        <v>0</v>
      </c>
      <c r="AN9" s="272" t="n">
        <f aca="false">COUNTIF($C9:$AF9,AN$4)</f>
        <v>0</v>
      </c>
      <c r="AO9" s="272" t="n">
        <f aca="false">COUNTIF($C9:$AF9,AO$4)</f>
        <v>0</v>
      </c>
      <c r="AP9" s="272" t="n">
        <f aca="false">COUNTIF($C9:$AF9,AP$4)</f>
        <v>0</v>
      </c>
      <c r="AQ9" s="279" t="n">
        <v>2.5</v>
      </c>
      <c r="AR9" s="279"/>
      <c r="AS9" s="278" t="n">
        <f aca="false">SUMPRODUCT(--(WEEKDAY(C$3:AG$3,2)&lt;5),--ISNUMBER(MATCH(C9:AG9,{"DM","CS1","CS2","SB1","AE","CS/B"},0)))</f>
        <v>6</v>
      </c>
      <c r="AT9" s="278" t="n">
        <v>0</v>
      </c>
      <c r="AU9" s="278" t="n">
        <f aca="false">SUMPRODUCT(--(WEEKDAY(C$3:AG$3,2)=5),--ISNUMBER(MATCH(C9:AG9,{"DM","CS1","CS2","SB1","AE","CS/B","WEEKEND OUTFIELD RESERVE"},0)))</f>
        <v>0</v>
      </c>
      <c r="AV9" s="278" t="n">
        <f aca="false">SUMPRODUCT(--(WEEKDAY(C$3:AG$3,2)&gt;5),--ISNUMBER(MATCH(C9:AG9,{"DM","CS1","CS2","SB1","AE","CS/B","WEEKEND OUTFIELD RESERVE"},0)))</f>
        <v>1</v>
      </c>
      <c r="AW9" s="278"/>
      <c r="AX9" s="278" t="n">
        <f aca="false">(AS9-AT9)+AU9*1.5+(AV9-AW9)*2+AM9*0.5+AO9*0.5+AQ9-AR9</f>
        <v>10.5</v>
      </c>
      <c r="AY9" s="278" t="n">
        <f aca="false">AS9+AU9+AV9</f>
        <v>7</v>
      </c>
      <c r="AZ9" s="278" t="n">
        <f aca="false">BC9+BE9+BG9+BI9+BK9</f>
        <v>0</v>
      </c>
      <c r="BA9" s="279" t="n">
        <f aca="false">AX9+BB9</f>
        <v>10.5</v>
      </c>
      <c r="BB9" s="278" t="n">
        <f aca="false">BD9+BF9+BH9+BJ9+BL9</f>
        <v>0</v>
      </c>
      <c r="BC9" s="278" t="n">
        <f aca="false">COUNTIF(A9:AH9,"*$BTP*")</f>
        <v>0</v>
      </c>
      <c r="BD9" s="278" t="n">
        <f aca="false">BC9*1.5</f>
        <v>0</v>
      </c>
      <c r="BE9" s="278" t="n">
        <f aca="false">COUNTIF(A9:AH9,"*$M*")</f>
        <v>0</v>
      </c>
      <c r="BF9" s="278" t="n">
        <f aca="false">BE9*1</f>
        <v>0</v>
      </c>
      <c r="BG9" s="278" t="n">
        <f aca="false">COUNTIF(A9:AH9,"*$PM*")</f>
        <v>0</v>
      </c>
      <c r="BH9" s="278" t="n">
        <f aca="false">BG9*0.5</f>
        <v>0</v>
      </c>
      <c r="BI9" s="278" t="n">
        <f aca="false">COUNTIF(A9:AH9,"*$AM*")</f>
        <v>0</v>
      </c>
      <c r="BJ9" s="278" t="n">
        <f aca="false">BI9*0.5</f>
        <v>0</v>
      </c>
      <c r="BK9" s="278" t="n">
        <f aca="false">COUNTIF(A9:AH9,"*$FC*")</f>
        <v>0</v>
      </c>
      <c r="BL9" s="278" t="n">
        <f aca="false">BK9*1</f>
        <v>0</v>
      </c>
      <c r="BM9" s="278" t="n">
        <f aca="false">COUNTIF($D9:$AA9,BM$4)</f>
        <v>0</v>
      </c>
      <c r="BN9" s="278" t="n">
        <f aca="false">COUNTIF($D9:$AA9,BN$4)</f>
        <v>2</v>
      </c>
      <c r="BO9" s="278" t="n">
        <f aca="false">COUNTIF($D9:$AA9,BO$4)</f>
        <v>0</v>
      </c>
      <c r="BP9" s="278"/>
    </row>
    <row r="10" customFormat="false" ht="51" hidden="false" customHeight="true" outlineLevel="0" collapsed="false">
      <c r="A10" s="272"/>
      <c r="B10" s="282" t="s">
        <v>584</v>
      </c>
      <c r="C10" s="266"/>
      <c r="D10" s="91" t="s">
        <v>350</v>
      </c>
      <c r="E10" s="266"/>
      <c r="F10" s="266"/>
      <c r="G10" s="266"/>
      <c r="H10" s="266" t="s">
        <v>57</v>
      </c>
      <c r="I10" s="91"/>
      <c r="J10" s="266"/>
      <c r="K10" s="266" t="s">
        <v>350</v>
      </c>
      <c r="L10" s="266"/>
      <c r="M10" s="91"/>
      <c r="N10" s="46" t="s">
        <v>350</v>
      </c>
      <c r="O10" s="91"/>
      <c r="P10" s="266"/>
      <c r="Q10" s="266"/>
      <c r="R10" s="266" t="s">
        <v>55</v>
      </c>
      <c r="S10" s="91" t="s">
        <v>59</v>
      </c>
      <c r="T10" s="266"/>
      <c r="U10" s="91"/>
      <c r="V10" s="91" t="s">
        <v>350</v>
      </c>
      <c r="W10" s="91"/>
      <c r="X10" s="91"/>
      <c r="Y10" s="266"/>
      <c r="Z10" s="91" t="s">
        <v>57</v>
      </c>
      <c r="AA10" s="266"/>
      <c r="AB10" s="266" t="s">
        <v>350</v>
      </c>
      <c r="AC10" s="91"/>
      <c r="AD10" s="91"/>
      <c r="AE10" s="329" t="s">
        <v>59</v>
      </c>
      <c r="AF10" s="91"/>
      <c r="AG10" s="91"/>
      <c r="AH10" s="272" t="n">
        <f aca="false">COUNTIF($C10:$AF10,AH$4)</f>
        <v>2</v>
      </c>
      <c r="AI10" s="272" t="n">
        <f aca="false">COUNTIF($C10:$AF10,AI$4)</f>
        <v>0</v>
      </c>
      <c r="AJ10" s="272" t="n">
        <f aca="false">COUNTIF($C10:$AF10,AJ$4)</f>
        <v>2</v>
      </c>
      <c r="AK10" s="272" t="n">
        <f aca="false">COUNTIF($C10:$AF10,AK$4)</f>
        <v>0</v>
      </c>
      <c r="AL10" s="272" t="n">
        <f aca="false">COUNTIF($C10:$AF10,AL$4)</f>
        <v>0</v>
      </c>
      <c r="AM10" s="272" t="n">
        <f aca="false">COUNTIF($C10:$AF10,AM$4)</f>
        <v>0</v>
      </c>
      <c r="AN10" s="272" t="n">
        <f aca="false">COUNTIF($C10:$AF10,AN$4)</f>
        <v>0</v>
      </c>
      <c r="AO10" s="272" t="n">
        <f aca="false">COUNTIF($C10:$AF10,AO$4)</f>
        <v>0</v>
      </c>
      <c r="AP10" s="272" t="n">
        <f aca="false">COUNTIF($C10:$AF10,AP$4)</f>
        <v>0</v>
      </c>
      <c r="AQ10" s="279" t="n">
        <v>2</v>
      </c>
      <c r="AR10" s="279"/>
      <c r="AS10" s="278" t="n">
        <f aca="false">SUMPRODUCT(--(WEEKDAY(C$3:AG$3,2)&lt;5),--ISNUMBER(MATCH(C10:AG10,{"DM","CS1","CS2","SB1","AE","CS/B"},0)))</f>
        <v>2</v>
      </c>
      <c r="AT10" s="278"/>
      <c r="AU10" s="278" t="n">
        <f aca="false">SUMPRODUCT(--(WEEKDAY(C$3:AG$3,2)=5),--ISNUMBER(MATCH(C10:AG10,{"DM","CS1","CS2","SB1","AE","CS/B","WEEKEND OUTFIELD RESERVE"},0)))</f>
        <v>2</v>
      </c>
      <c r="AV10" s="278" t="n">
        <f aca="false">SUMPRODUCT(--(WEEKDAY(C$3:AG$3,2)&gt;5),--ISNUMBER(MATCH(C10:AG10,{"DM","CS1","CS2","SB1","AE","CS/B","WEEKEND OUTFIELD RESERVE"},0)))</f>
        <v>0</v>
      </c>
      <c r="AW10" s="278"/>
      <c r="AX10" s="278" t="n">
        <f aca="false">(AS10-AT10)+AU10*1.5+(AV10-AW10)*2+AM10*0.5+AO10*0.5+AQ10-AR10</f>
        <v>7</v>
      </c>
      <c r="AY10" s="278" t="n">
        <f aca="false">AS10+AU10+AV10</f>
        <v>4</v>
      </c>
      <c r="AZ10" s="278" t="n">
        <f aca="false">BC10+BE10+BG10+BI10+BK10</f>
        <v>0</v>
      </c>
      <c r="BA10" s="279" t="n">
        <f aca="false">AX10+BB10</f>
        <v>7</v>
      </c>
      <c r="BB10" s="278" t="n">
        <f aca="false">BD10+BF10+BH10+BJ10+BL10</f>
        <v>0</v>
      </c>
      <c r="BC10" s="278" t="n">
        <f aca="false">COUNTIF(A10:AH10,"*$BTP*")</f>
        <v>0</v>
      </c>
      <c r="BD10" s="278" t="n">
        <f aca="false">BC10*1.5</f>
        <v>0</v>
      </c>
      <c r="BE10" s="278" t="n">
        <f aca="false">COUNTIF(A10:AH10,"*$M*")</f>
        <v>0</v>
      </c>
      <c r="BF10" s="278" t="n">
        <f aca="false">BE10*1</f>
        <v>0</v>
      </c>
      <c r="BG10" s="278" t="n">
        <f aca="false">COUNTIF(A10:AH10,"*$PM*")</f>
        <v>0</v>
      </c>
      <c r="BH10" s="278" t="n">
        <f aca="false">BG10*0.5</f>
        <v>0</v>
      </c>
      <c r="BI10" s="278" t="n">
        <f aca="false">COUNTIF(A10:AH10,"*$AM*")</f>
        <v>0</v>
      </c>
      <c r="BJ10" s="278" t="n">
        <f aca="false">BI10*0.5</f>
        <v>0</v>
      </c>
      <c r="BK10" s="278" t="n">
        <f aca="false">COUNTIF(A10:AH10,"*$FC*")</f>
        <v>0</v>
      </c>
      <c r="BL10" s="278" t="n">
        <f aca="false">BK10*1</f>
        <v>0</v>
      </c>
      <c r="BM10" s="278" t="n">
        <f aca="false">COUNTIF($D10:$AA10,BM$4)</f>
        <v>0</v>
      </c>
      <c r="BN10" s="278" t="n">
        <f aca="false">COUNTIF($D10:$AA10,BN$4)</f>
        <v>4</v>
      </c>
      <c r="BO10" s="278" t="n">
        <f aca="false">COUNTIF($D10:$AA10,BO$4)</f>
        <v>1</v>
      </c>
      <c r="BP10" s="278"/>
    </row>
    <row r="11" customFormat="false" ht="45" hidden="false" customHeight="true" outlineLevel="0" collapsed="false">
      <c r="A11" s="272"/>
      <c r="B11" s="282" t="s">
        <v>717</v>
      </c>
      <c r="C11" s="266" t="s">
        <v>71</v>
      </c>
      <c r="D11" s="266" t="s">
        <v>71</v>
      </c>
      <c r="E11" s="266" t="s">
        <v>71</v>
      </c>
      <c r="F11" s="266" t="s">
        <v>71</v>
      </c>
      <c r="G11" s="266" t="s">
        <v>71</v>
      </c>
      <c r="H11" s="266" t="s">
        <v>71</v>
      </c>
      <c r="I11" s="266" t="s">
        <v>71</v>
      </c>
      <c r="J11" s="266" t="s">
        <v>71</v>
      </c>
      <c r="K11" s="266" t="s">
        <v>71</v>
      </c>
      <c r="L11" s="266" t="s">
        <v>71</v>
      </c>
      <c r="M11" s="266" t="s">
        <v>71</v>
      </c>
      <c r="N11" s="266" t="s">
        <v>71</v>
      </c>
      <c r="O11" s="266" t="s">
        <v>71</v>
      </c>
      <c r="P11" s="266" t="s">
        <v>71</v>
      </c>
      <c r="Q11" s="266" t="s">
        <v>71</v>
      </c>
      <c r="R11" s="266" t="s">
        <v>71</v>
      </c>
      <c r="S11" s="266" t="s">
        <v>71</v>
      </c>
      <c r="T11" s="266" t="s">
        <v>71</v>
      </c>
      <c r="U11" s="266" t="s">
        <v>71</v>
      </c>
      <c r="V11" s="266" t="s">
        <v>71</v>
      </c>
      <c r="W11" s="266" t="s">
        <v>71</v>
      </c>
      <c r="X11" s="266" t="s">
        <v>71</v>
      </c>
      <c r="Y11" s="266" t="s">
        <v>71</v>
      </c>
      <c r="Z11" s="266" t="s">
        <v>71</v>
      </c>
      <c r="AA11" s="91"/>
      <c r="AB11" s="266" t="s">
        <v>566</v>
      </c>
      <c r="AC11" s="91"/>
      <c r="AD11" s="91"/>
      <c r="AE11" s="330" t="s">
        <v>61</v>
      </c>
      <c r="AF11" s="91" t="s">
        <v>566</v>
      </c>
      <c r="AG11" s="91"/>
      <c r="AH11" s="272" t="n">
        <f aca="false">COUNTIF($C11:$Z11,AH$4)</f>
        <v>0</v>
      </c>
      <c r="AI11" s="272" t="n">
        <f aca="false">COUNTIF($C11:$Z11,AI$4)</f>
        <v>0</v>
      </c>
      <c r="AJ11" s="272" t="n">
        <f aca="false">COUNTIF($C11:$Z11,AJ$4)</f>
        <v>0</v>
      </c>
      <c r="AK11" s="272" t="n">
        <f aca="false">COUNTIF($C11:$Z11,AK$4)</f>
        <v>0</v>
      </c>
      <c r="AL11" s="272" t="n">
        <f aca="false">COUNTIF($C11:$Z11,AL$4)</f>
        <v>0</v>
      </c>
      <c r="AM11" s="272" t="n">
        <f aca="false">COUNTIF($C11:$Z11,AM$4)</f>
        <v>0</v>
      </c>
      <c r="AN11" s="272" t="n">
        <f aca="false">COUNTIF($C11:$Z11,AN$4)</f>
        <v>0</v>
      </c>
      <c r="AO11" s="272" t="n">
        <f aca="false">COUNTIF($C11:$Z11,AO$4)</f>
        <v>0</v>
      </c>
      <c r="AP11" s="272" t="n">
        <f aca="false">COUNTIF($C11:$Z11,AP$4)</f>
        <v>0</v>
      </c>
      <c r="AQ11" s="279"/>
      <c r="AR11" s="279" t="n">
        <v>3</v>
      </c>
      <c r="AS11" s="278" t="n">
        <f aca="false">SUMPRODUCT(--(WEEKDAY(C$3:AG$3,2)&lt;5),--ISNUMBER(MATCH(C11:AG11,{"DM","CS1","CS2","SB1","AE","CS/B"},0)))</f>
        <v>1</v>
      </c>
      <c r="AT11" s="278"/>
      <c r="AU11" s="278" t="n">
        <f aca="false">SUMPRODUCT(--(WEEKDAY(C$3:AG$3,2)=5),--ISNUMBER(MATCH(C11:AG11,{"DM","CS1","CS2","SB1","AE","CS/B","WEEKEND OUTFIELD RESERVE"},0)))</f>
        <v>0</v>
      </c>
      <c r="AV11" s="278" t="n">
        <f aca="false">SUMPRODUCT(--(WEEKDAY(C$3:AG$3,2)&gt;5),--ISNUMBER(MATCH(C11:AG11,{"DM","CS1","CS2","SB1","AE","CS/B","WEEKEND OUTFIELD RESERVE"},0)))</f>
        <v>1</v>
      </c>
      <c r="AW11" s="278"/>
      <c r="AX11" s="278" t="n">
        <f aca="false">(AS11-AT11)+AU11*1.5+(AV11-AW11)*2+AM11*0.5+AO11*0.5+AQ11-AR11</f>
        <v>0</v>
      </c>
      <c r="AY11" s="278" t="n">
        <f aca="false">AS11+AU11+AV11</f>
        <v>2</v>
      </c>
      <c r="AZ11" s="278" t="n">
        <f aca="false">BC11+BE11+BG11+BI11+BK11</f>
        <v>0</v>
      </c>
      <c r="BA11" s="279" t="n">
        <f aca="false">AX11+BB11</f>
        <v>0</v>
      </c>
      <c r="BB11" s="278" t="n">
        <f aca="false">BD11+BF11+BH11+BJ11+BL11</f>
        <v>0</v>
      </c>
      <c r="BC11" s="278" t="n">
        <f aca="false">COUNTIF(A11:AH11,"*$BTP*")</f>
        <v>0</v>
      </c>
      <c r="BD11" s="278" t="n">
        <f aca="false">BC11*1.5</f>
        <v>0</v>
      </c>
      <c r="BE11" s="278" t="n">
        <f aca="false">COUNTIF(A11:AH11,"*$M*")</f>
        <v>0</v>
      </c>
      <c r="BF11" s="278" t="n">
        <f aca="false">BE11*1</f>
        <v>0</v>
      </c>
      <c r="BG11" s="278" t="n">
        <f aca="false">COUNTIF(A11:AH11,"*$PM*")</f>
        <v>0</v>
      </c>
      <c r="BH11" s="278" t="n">
        <f aca="false">BG11*0.5</f>
        <v>0</v>
      </c>
      <c r="BI11" s="278" t="n">
        <f aca="false">COUNTIF(A11:AH11,"*$AM*")</f>
        <v>0</v>
      </c>
      <c r="BJ11" s="278" t="n">
        <f aca="false">BI11*0.5</f>
        <v>0</v>
      </c>
      <c r="BK11" s="278" t="n">
        <f aca="false">COUNTIF(A11:AH11,"*$FC*")</f>
        <v>0</v>
      </c>
      <c r="BL11" s="278" t="n">
        <f aca="false">BK11*1</f>
        <v>0</v>
      </c>
      <c r="BM11" s="278" t="n">
        <f aca="false">COUNTIF($D11:$Z11,BM$4)</f>
        <v>0</v>
      </c>
      <c r="BN11" s="278" t="n">
        <f aca="false">COUNTIF($D11:$Z11,BN$4)</f>
        <v>0</v>
      </c>
      <c r="BO11" s="278" t="n">
        <f aca="false">COUNTIF($D11:$Z11,BO$4)</f>
        <v>0</v>
      </c>
      <c r="BP11" s="278"/>
    </row>
    <row r="12" customFormat="false" ht="28.35" hidden="false" customHeight="false" outlineLevel="0" collapsed="false">
      <c r="A12" s="272"/>
      <c r="B12" s="278" t="s">
        <v>591</v>
      </c>
      <c r="C12" s="266"/>
      <c r="D12" s="266"/>
      <c r="E12" s="266"/>
      <c r="F12" s="266"/>
      <c r="G12" s="91"/>
      <c r="H12" s="266"/>
      <c r="I12" s="266"/>
      <c r="J12" s="266" t="s">
        <v>56</v>
      </c>
      <c r="K12" s="266"/>
      <c r="L12" s="266"/>
      <c r="M12" s="266" t="s">
        <v>58</v>
      </c>
      <c r="N12" s="266"/>
      <c r="O12" s="266"/>
      <c r="P12" s="266"/>
      <c r="Q12" s="91"/>
      <c r="R12" s="91" t="s">
        <v>56</v>
      </c>
      <c r="S12" s="91"/>
      <c r="T12" s="266"/>
      <c r="U12" s="91"/>
      <c r="V12" s="266" t="s">
        <v>566</v>
      </c>
      <c r="W12" s="91"/>
      <c r="X12" s="266"/>
      <c r="Y12" s="266"/>
      <c r="Z12" s="266" t="s">
        <v>56</v>
      </c>
      <c r="AA12" s="266"/>
      <c r="AB12" s="91"/>
      <c r="AC12" s="91"/>
      <c r="AD12" s="266" t="s">
        <v>350</v>
      </c>
      <c r="AE12" s="331"/>
      <c r="AF12" s="91" t="s">
        <v>65</v>
      </c>
      <c r="AG12" s="266"/>
      <c r="AH12" s="272" t="n">
        <f aca="false">COUNTIF($C12:$AF12,AH$4)</f>
        <v>0</v>
      </c>
      <c r="AI12" s="272" t="n">
        <f aca="false">COUNTIF($C12:$AF12,AI$4)</f>
        <v>3</v>
      </c>
      <c r="AJ12" s="272" t="n">
        <f aca="false">COUNTIF($C12:$AF12,AJ$4)</f>
        <v>0</v>
      </c>
      <c r="AK12" s="272" t="n">
        <f aca="false">COUNTIF($C12:$AF12,AK$4)</f>
        <v>1</v>
      </c>
      <c r="AL12" s="272" t="n">
        <f aca="false">COUNTIF($C12:$AF12,AL$4)</f>
        <v>1</v>
      </c>
      <c r="AM12" s="272" t="n">
        <f aca="false">COUNTIF($C12:$AF12,AM$4)</f>
        <v>0</v>
      </c>
      <c r="AN12" s="272" t="n">
        <f aca="false">COUNTIF($C12:$AF12,AN$4)</f>
        <v>1</v>
      </c>
      <c r="AO12" s="272" t="n">
        <f aca="false">COUNTIF($C12:$AF12,AO$4)</f>
        <v>0</v>
      </c>
      <c r="AP12" s="272" t="n">
        <f aca="false">COUNTIF($C12:$AF12,AP$4)</f>
        <v>0</v>
      </c>
      <c r="AQ12" s="279"/>
      <c r="AR12" s="279" t="n">
        <v>1</v>
      </c>
      <c r="AS12" s="278" t="n">
        <f aca="false">SUMPRODUCT(--(WEEKDAY(C$3:AG$3,2)&lt;5),--ISNUMBER(MATCH(C12:AG12,{"DM","CS1","CS2","SB1","AE","CS/B"},0)))</f>
        <v>4</v>
      </c>
      <c r="AT12" s="278"/>
      <c r="AU12" s="278" t="n">
        <f aca="false">SUMPRODUCT(--(WEEKDAY(C$3:AG$3,2)=5),--ISNUMBER(MATCH(C12:AG12,{"DM","CS1","CS2","SB1","AE","CS/B","WEEKEND OUTFIELD RESERVE"},0)))</f>
        <v>1</v>
      </c>
      <c r="AV12" s="278" t="n">
        <f aca="false">SUMPRODUCT(--(WEEKDAY(C$3:AG$3,2)&gt;5),--ISNUMBER(MATCH(C12:AG12,{"DM","CS1","CS2","SB1","AE","CS/B","WEEKEND OUTFIELD RESERVE"},0)))</f>
        <v>1</v>
      </c>
      <c r="AW12" s="278"/>
      <c r="AX12" s="278" t="n">
        <f aca="false">(AS12-AT12)+AU12*1.5+(AV12-AW12)*2+AM12*0.5+AO12*0.5+AQ12-AR12</f>
        <v>6.5</v>
      </c>
      <c r="AY12" s="278" t="n">
        <f aca="false">AS12+AU12+AV12</f>
        <v>6</v>
      </c>
      <c r="AZ12" s="278" t="n">
        <f aca="false">BC12+BE12+BG12+BI12+BK12</f>
        <v>0</v>
      </c>
      <c r="BA12" s="279" t="n">
        <f aca="false">AX12+BB12</f>
        <v>6.5</v>
      </c>
      <c r="BB12" s="278" t="n">
        <f aca="false">BD12+BF12+BH12+BJ12+BL12</f>
        <v>0</v>
      </c>
      <c r="BC12" s="278" t="n">
        <f aca="false">COUNTIF(A12:AH12,"*$BTP*")</f>
        <v>0</v>
      </c>
      <c r="BD12" s="278" t="n">
        <f aca="false">BC12*1.5</f>
        <v>0</v>
      </c>
      <c r="BE12" s="278" t="n">
        <f aca="false">COUNTIF(A12:AH12,"*$M*")</f>
        <v>0</v>
      </c>
      <c r="BF12" s="278" t="n">
        <f aca="false">BE12*1</f>
        <v>0</v>
      </c>
      <c r="BG12" s="278" t="n">
        <f aca="false">COUNTIF(A12:AH12,"*$PM*")</f>
        <v>0</v>
      </c>
      <c r="BH12" s="278" t="n">
        <f aca="false">BG12*0.5</f>
        <v>0</v>
      </c>
      <c r="BI12" s="278" t="n">
        <f aca="false">COUNTIF(A12:AH12,"*$AM*")</f>
        <v>0</v>
      </c>
      <c r="BJ12" s="278" t="n">
        <f aca="false">BI12*0.5</f>
        <v>0</v>
      </c>
      <c r="BK12" s="278" t="n">
        <f aca="false">COUNTIF(A12:AH12,"*$FC*")</f>
        <v>0</v>
      </c>
      <c r="BL12" s="278" t="n">
        <f aca="false">BK12*1</f>
        <v>0</v>
      </c>
      <c r="BM12" s="278" t="n">
        <f aca="false">COUNTIF($D12:$AA12,BM$4)</f>
        <v>0</v>
      </c>
      <c r="BN12" s="278" t="n">
        <f aca="false">COUNTIF($D12:$AA12,BN$4)</f>
        <v>0</v>
      </c>
      <c r="BO12" s="278" t="n">
        <f aca="false">COUNTIF($D12:$AA12,BO$4)</f>
        <v>0</v>
      </c>
      <c r="BP12" s="278"/>
    </row>
    <row r="13" customFormat="false" ht="47.25" hidden="false" customHeight="true" outlineLevel="0" collapsed="false">
      <c r="A13" s="272"/>
      <c r="B13" s="279" t="s">
        <v>718</v>
      </c>
      <c r="C13" s="266"/>
      <c r="D13" s="91"/>
      <c r="E13" s="266" t="s">
        <v>65</v>
      </c>
      <c r="F13" s="91"/>
      <c r="G13" s="91"/>
      <c r="H13" s="266"/>
      <c r="I13" s="266"/>
      <c r="J13" s="266" t="s">
        <v>350</v>
      </c>
      <c r="K13" s="266"/>
      <c r="L13" s="91" t="s">
        <v>56</v>
      </c>
      <c r="M13" s="266"/>
      <c r="N13" s="266"/>
      <c r="P13" s="266"/>
      <c r="Q13" s="266"/>
      <c r="R13" s="266"/>
      <c r="S13" s="266" t="s">
        <v>350</v>
      </c>
      <c r="T13" s="91"/>
      <c r="U13" s="266"/>
      <c r="V13" s="266"/>
      <c r="W13" s="266" t="s">
        <v>69</v>
      </c>
      <c r="X13" s="266"/>
      <c r="Y13" s="266"/>
      <c r="Z13" s="266"/>
      <c r="AA13" s="91" t="s">
        <v>932</v>
      </c>
      <c r="AB13" s="91"/>
      <c r="AE13" s="326"/>
      <c r="AF13" s="91"/>
      <c r="AG13" s="91" t="s">
        <v>65</v>
      </c>
      <c r="AH13" s="272" t="n">
        <f aca="false">COUNTIF($C13:$AF13,AH$4)</f>
        <v>0</v>
      </c>
      <c r="AI13" s="272" t="n">
        <f aca="false">COUNTIF($C13:$AF13,AI$4)</f>
        <v>1</v>
      </c>
      <c r="AJ13" s="272" t="n">
        <f aca="false">COUNTIF($C13:$AF13,AJ$4)</f>
        <v>0</v>
      </c>
      <c r="AK13" s="272" t="n">
        <f aca="false">COUNTIF($C13:$AF13,AK$4)</f>
        <v>0</v>
      </c>
      <c r="AL13" s="272" t="n">
        <f aca="false">COUNTIF($C13:$AF13,AL$4)</f>
        <v>0</v>
      </c>
      <c r="AM13" s="272" t="n">
        <f aca="false">COUNTIF($C13:$AF13,AM$4)</f>
        <v>0</v>
      </c>
      <c r="AN13" s="272" t="n">
        <f aca="false">COUNTIF($C13:$AF13,AN$4)</f>
        <v>1</v>
      </c>
      <c r="AO13" s="272" t="n">
        <f aca="false">COUNTIF($C13:$AF13,AO$4)</f>
        <v>0</v>
      </c>
      <c r="AP13" s="272" t="n">
        <f aca="false">COUNTIF($C13:$AF13,AP$4)</f>
        <v>0</v>
      </c>
      <c r="AQ13" s="279" t="n">
        <v>1</v>
      </c>
      <c r="AR13" s="279"/>
      <c r="AS13" s="278" t="n">
        <f aca="false">SUMPRODUCT(--(WEEKDAY(C$3:AG$3,2)&lt;5),--ISNUMBER(MATCH(C13:AG13,{"DM","CS1","CS2","SB1","AE","CS/B"},0)))</f>
        <v>0</v>
      </c>
      <c r="AT13" s="278"/>
      <c r="AU13" s="278" t="n">
        <f aca="false">SUMPRODUCT(--(WEEKDAY(C$3:AG$3,2)=5),--ISNUMBER(MATCH(C13:AG13,{"DM","CS1","CS2","SB1","AE","CS/B","WEEKEND OUTFIELD RESERVE"},0)))</f>
        <v>3</v>
      </c>
      <c r="AV13" s="278" t="n">
        <f aca="false">SUMPRODUCT(--(WEEKDAY(C$3:AG$3,2)&gt;5),--ISNUMBER(MATCH(C13:AG13,{"DM","CS1","CS2","SB1","AE","CS/B","WEEKEND OUTFIELD RESERVE"},0)))</f>
        <v>0</v>
      </c>
      <c r="AW13" s="278"/>
      <c r="AX13" s="278" t="n">
        <f aca="false">(AS13-AT13)+AU13*1.5+(AV13-AW13)*2+AM13*0.5+AO13*0.5+AQ13-AR13</f>
        <v>5.5</v>
      </c>
      <c r="AY13" s="278" t="n">
        <f aca="false">AS13+AU13+AV13</f>
        <v>3</v>
      </c>
      <c r="AZ13" s="278" t="n">
        <f aca="false">BC13+BE13+BG13+BI13+BK13</f>
        <v>0</v>
      </c>
      <c r="BA13" s="279" t="n">
        <f aca="false">AX13+BB13</f>
        <v>5.5</v>
      </c>
      <c r="BB13" s="278" t="n">
        <f aca="false">BD13+BF13+BH13+BJ13+BL13</f>
        <v>0</v>
      </c>
      <c r="BC13" s="278" t="n">
        <f aca="false">COUNTIF(A13:AH13,"*$BTP*")</f>
        <v>0</v>
      </c>
      <c r="BD13" s="278" t="n">
        <f aca="false">BC13*1.5</f>
        <v>0</v>
      </c>
      <c r="BE13" s="278" t="n">
        <f aca="false">COUNTIF(A13:AH13,"*$M*")</f>
        <v>0</v>
      </c>
      <c r="BF13" s="278" t="n">
        <f aca="false">BE13*1</f>
        <v>0</v>
      </c>
      <c r="BG13" s="278" t="n">
        <f aca="false">COUNTIF(A13:AH13,"*$PM*")</f>
        <v>0</v>
      </c>
      <c r="BH13" s="278" t="n">
        <f aca="false">BG13*0.5</f>
        <v>0</v>
      </c>
      <c r="BI13" s="278" t="n">
        <f aca="false">COUNTIF(A13:AH13,"*$AM*")</f>
        <v>0</v>
      </c>
      <c r="BJ13" s="278" t="n">
        <f aca="false">BI13*0.5</f>
        <v>0</v>
      </c>
      <c r="BK13" s="278" t="n">
        <f aca="false">COUNTIF(A13:AH13,"*$FC*")</f>
        <v>0</v>
      </c>
      <c r="BL13" s="278" t="n">
        <f aca="false">BK13*1</f>
        <v>0</v>
      </c>
      <c r="BM13" s="278" t="n">
        <f aca="false">COUNTIF($D13:$AA13,BM$4)</f>
        <v>0</v>
      </c>
      <c r="BN13" s="278" t="n">
        <f aca="false">COUNTIF($D13:$AA13,BN$4)</f>
        <v>2</v>
      </c>
      <c r="BO13" s="278" t="n">
        <f aca="false">COUNTIF($D13:$AA13,BO$4)</f>
        <v>0</v>
      </c>
      <c r="BP13" s="278"/>
    </row>
    <row r="14" customFormat="false" ht="47.25" hidden="false" customHeight="true" outlineLevel="0" collapsed="false">
      <c r="A14" s="272"/>
      <c r="B14" s="279" t="s">
        <v>933</v>
      </c>
      <c r="C14" s="266" t="s">
        <v>93</v>
      </c>
      <c r="D14" s="91"/>
      <c r="E14" s="266" t="s">
        <v>93</v>
      </c>
      <c r="F14" s="91"/>
      <c r="G14" s="91"/>
      <c r="H14" s="266"/>
      <c r="I14" s="266"/>
      <c r="J14" s="266"/>
      <c r="K14" s="266"/>
      <c r="L14" s="91"/>
      <c r="N14" s="266"/>
      <c r="O14" s="266" t="s">
        <v>934</v>
      </c>
      <c r="P14" s="266" t="s">
        <v>934</v>
      </c>
      <c r="Q14" s="266" t="s">
        <v>934</v>
      </c>
      <c r="R14" s="266" t="s">
        <v>934</v>
      </c>
      <c r="S14" s="266" t="s">
        <v>934</v>
      </c>
      <c r="T14" s="266" t="s">
        <v>934</v>
      </c>
      <c r="U14" s="266" t="s">
        <v>934</v>
      </c>
      <c r="V14" s="266" t="s">
        <v>934</v>
      </c>
      <c r="W14" s="266" t="s">
        <v>934</v>
      </c>
      <c r="X14" s="266" t="s">
        <v>934</v>
      </c>
      <c r="Y14" s="266" t="s">
        <v>934</v>
      </c>
      <c r="Z14" s="266" t="s">
        <v>934</v>
      </c>
      <c r="AA14" s="266" t="s">
        <v>934</v>
      </c>
      <c r="AB14" s="266" t="s">
        <v>934</v>
      </c>
      <c r="AC14" s="266" t="s">
        <v>934</v>
      </c>
      <c r="AD14" s="266" t="s">
        <v>934</v>
      </c>
      <c r="AE14" s="325" t="s">
        <v>934</v>
      </c>
      <c r="AF14" s="266" t="s">
        <v>934</v>
      </c>
      <c r="AG14" s="266" t="s">
        <v>934</v>
      </c>
      <c r="AH14" s="272" t="n">
        <f aca="false">COUNTIF($C14:$AF14,AH$4)</f>
        <v>0</v>
      </c>
      <c r="AI14" s="272" t="n">
        <f aca="false">COUNTIF($C14:$AF14,AI$4)</f>
        <v>0</v>
      </c>
      <c r="AJ14" s="272" t="n">
        <f aca="false">COUNTIF($C14:$AF14,AJ$4)</f>
        <v>0</v>
      </c>
      <c r="AK14" s="272" t="n">
        <f aca="false">COUNTIF($C14:$AF14,AK$4)</f>
        <v>0</v>
      </c>
      <c r="AL14" s="272" t="n">
        <f aca="false">COUNTIF($C14:$AF14,AL$4)</f>
        <v>0</v>
      </c>
      <c r="AM14" s="272" t="n">
        <f aca="false">COUNTIF($C14:$AF14,AM$4)</f>
        <v>2</v>
      </c>
      <c r="AN14" s="272" t="n">
        <f aca="false">COUNTIF($C14:$AF14,AN$4)</f>
        <v>0</v>
      </c>
      <c r="AO14" s="272" t="n">
        <f aca="false">COUNTIF($C14:$AF14,AO$4)</f>
        <v>0</v>
      </c>
      <c r="AP14" s="272" t="n">
        <f aca="false">COUNTIF($C14:$AF14,AP$4)</f>
        <v>0</v>
      </c>
      <c r="AQ14" s="279"/>
      <c r="AR14" s="279"/>
      <c r="AS14" s="278" t="n">
        <f aca="false">SUMPRODUCT(--(WEEKDAY(C$3:AG$3,2)&lt;5),--ISNUMBER(MATCH(C14:AG14,{"DM","CS1","CS2","SB1","AE","CS/B"},0)))</f>
        <v>0</v>
      </c>
      <c r="AT14" s="278"/>
      <c r="AU14" s="278" t="n">
        <f aca="false">SUMPRODUCT(--(WEEKDAY(C$3:AG$3,2)=5),--ISNUMBER(MATCH(C14:AG14,{"DM","CS1","CS2","SB1","AE","CS/B","WEEKEND OUTFIELD RESERVE"},0)))</f>
        <v>0</v>
      </c>
      <c r="AV14" s="278" t="n">
        <f aca="false">SUMPRODUCT(--(WEEKDAY(C$3:AG$3,2)&gt;5),--ISNUMBER(MATCH(C14:AG14,{"DM","CS1","CS2","SB1","AE","CS/B","WEEKEND OUTFIELD RESERVE"},0)))</f>
        <v>0</v>
      </c>
      <c r="AW14" s="278"/>
      <c r="AX14" s="278" t="n">
        <f aca="false">(AS14-AT14)+AU14*1.5+(AV14-AW14)*2+AM14*0.5+AO14*0.5+AQ14-AR14</f>
        <v>1</v>
      </c>
      <c r="AY14" s="278" t="n">
        <f aca="false">AS14+AU14+AV14</f>
        <v>0</v>
      </c>
      <c r="AZ14" s="278" t="n">
        <f aca="false">BC14+BE14+BG14+BI14+BK14</f>
        <v>0</v>
      </c>
      <c r="BA14" s="279" t="n">
        <f aca="false">AX14+BB14</f>
        <v>1</v>
      </c>
      <c r="BB14" s="278" t="n">
        <f aca="false">BD14+BF14+BH14+BJ14+BL14</f>
        <v>0</v>
      </c>
      <c r="BC14" s="278" t="n">
        <f aca="false">COUNTIF(A14:AH14,"*$BTP*")</f>
        <v>0</v>
      </c>
      <c r="BD14" s="278" t="n">
        <f aca="false">BC14*1.5</f>
        <v>0</v>
      </c>
      <c r="BE14" s="278" t="n">
        <f aca="false">COUNTIF(A14:AH14,"*$M*")</f>
        <v>0</v>
      </c>
      <c r="BF14" s="278" t="n">
        <f aca="false">BE14*1</f>
        <v>0</v>
      </c>
      <c r="BG14" s="278" t="n">
        <f aca="false">COUNTIF(A14:AH14,"*$PM*")</f>
        <v>0</v>
      </c>
      <c r="BH14" s="278" t="n">
        <f aca="false">BG14*0.5</f>
        <v>0</v>
      </c>
      <c r="BI14" s="278" t="n">
        <f aca="false">COUNTIF(A14:AH14,"*$AM*")</f>
        <v>0</v>
      </c>
      <c r="BJ14" s="278" t="n">
        <f aca="false">BI14*0.5</f>
        <v>0</v>
      </c>
      <c r="BK14" s="278" t="n">
        <f aca="false">COUNTIF(A14:AH14,"*$FC*")</f>
        <v>0</v>
      </c>
      <c r="BL14" s="278" t="n">
        <f aca="false">BK14*1</f>
        <v>0</v>
      </c>
      <c r="BM14" s="278" t="n">
        <f aca="false">COUNTIF($D14:$AA14,BM$4)</f>
        <v>0</v>
      </c>
      <c r="BN14" s="278" t="n">
        <f aca="false">COUNTIF($D14:$AA14,BN$4)</f>
        <v>0</v>
      </c>
      <c r="BO14" s="278" t="n">
        <f aca="false">COUNTIF($D14:$AA14,BO$4)</f>
        <v>0</v>
      </c>
      <c r="BP14" s="278"/>
    </row>
    <row r="15" customFormat="false" ht="47.25" hidden="false" customHeight="true" outlineLevel="0" collapsed="false">
      <c r="A15" s="272"/>
      <c r="B15" s="279" t="s">
        <v>935</v>
      </c>
      <c r="C15" s="266"/>
      <c r="D15" s="91"/>
      <c r="E15" s="266"/>
      <c r="F15" s="91"/>
      <c r="G15" s="91" t="s">
        <v>65</v>
      </c>
      <c r="H15" s="266"/>
      <c r="I15" s="266"/>
      <c r="J15" s="266"/>
      <c r="K15" s="266"/>
      <c r="L15" s="91"/>
      <c r="M15" s="266"/>
      <c r="N15" s="266"/>
      <c r="O15" s="266" t="s">
        <v>934</v>
      </c>
      <c r="P15" s="266" t="s">
        <v>934</v>
      </c>
      <c r="Q15" s="266" t="s">
        <v>934</v>
      </c>
      <c r="R15" s="266" t="s">
        <v>934</v>
      </c>
      <c r="S15" s="266" t="s">
        <v>934</v>
      </c>
      <c r="T15" s="266" t="s">
        <v>934</v>
      </c>
      <c r="U15" s="266" t="s">
        <v>934</v>
      </c>
      <c r="V15" s="266" t="s">
        <v>934</v>
      </c>
      <c r="W15" s="266" t="s">
        <v>934</v>
      </c>
      <c r="X15" s="266" t="s">
        <v>934</v>
      </c>
      <c r="Y15" s="266" t="s">
        <v>934</v>
      </c>
      <c r="Z15" s="266" t="s">
        <v>934</v>
      </c>
      <c r="AA15" s="266" t="s">
        <v>934</v>
      </c>
      <c r="AB15" s="266" t="s">
        <v>934</v>
      </c>
      <c r="AC15" s="266" t="s">
        <v>934</v>
      </c>
      <c r="AD15" s="266" t="s">
        <v>934</v>
      </c>
      <c r="AE15" s="330" t="s">
        <v>934</v>
      </c>
      <c r="AF15" s="266" t="s">
        <v>934</v>
      </c>
      <c r="AG15" s="266" t="s">
        <v>934</v>
      </c>
      <c r="AH15" s="272" t="n">
        <f aca="false">COUNTIF($C15:$AF15,AH$4)</f>
        <v>0</v>
      </c>
      <c r="AI15" s="272" t="n">
        <f aca="false">COUNTIF($C15:$AF15,AI$4)</f>
        <v>0</v>
      </c>
      <c r="AJ15" s="272" t="n">
        <f aca="false">COUNTIF($C15:$AF15,AJ$4)</f>
        <v>0</v>
      </c>
      <c r="AK15" s="272" t="n">
        <f aca="false">COUNTIF($C15:$AF15,AK$4)</f>
        <v>0</v>
      </c>
      <c r="AL15" s="272" t="n">
        <f aca="false">COUNTIF($C15:$AF15,AL$4)</f>
        <v>0</v>
      </c>
      <c r="AM15" s="272" t="n">
        <f aca="false">COUNTIF($C15:$AF15,AM$4)</f>
        <v>0</v>
      </c>
      <c r="AN15" s="272" t="n">
        <f aca="false">COUNTIF($C15:$AF15,AN$4)</f>
        <v>1</v>
      </c>
      <c r="AO15" s="272" t="n">
        <f aca="false">COUNTIF($C15:$AF15,AO$4)</f>
        <v>0</v>
      </c>
      <c r="AP15" s="272" t="n">
        <f aca="false">COUNTIF($C15:$AF15,AP$4)</f>
        <v>0</v>
      </c>
      <c r="AQ15" s="279"/>
      <c r="AR15" s="279"/>
      <c r="AS15" s="278" t="n">
        <f aca="false">SUMPRODUCT(--(WEEKDAY(C$3:AG$3,2)&lt;5),--ISNUMBER(MATCH(C15:AG15,{"DM","CS1","CS2","SB1","AE","CS/B"},0)))</f>
        <v>0</v>
      </c>
      <c r="AT15" s="278"/>
      <c r="AU15" s="278" t="n">
        <f aca="false">SUMPRODUCT(--(WEEKDAY(C$3:AG$3,2)=5),--ISNUMBER(MATCH(C15:AG15,{"DM","CS1","CS2","SB1","AE","CS/B","WEEKEND OUTFIELD RESERVE"},0)))</f>
        <v>0</v>
      </c>
      <c r="AV15" s="278" t="n">
        <f aca="false">SUMPRODUCT(--(WEEKDAY(C$3:AG$3,2)&gt;5),--ISNUMBER(MATCH(C15:AG15,{"DM","CS1","CS2","SB1","AE","CS/B","WEEKEND OUTFIELD RESERVE"},0)))</f>
        <v>1</v>
      </c>
      <c r="AW15" s="278"/>
      <c r="AX15" s="278" t="n">
        <f aca="false">(AS15-AT15)+AU15*1.5+(AV15-AW15)*2+AM15*0.5+AO15*0.5+AQ15-AR15</f>
        <v>2</v>
      </c>
      <c r="AY15" s="278" t="n">
        <f aca="false">AS15+AU15+AV15</f>
        <v>1</v>
      </c>
      <c r="AZ15" s="278" t="n">
        <f aca="false">BC15+BE15+BG15+BI15+BK15</f>
        <v>0</v>
      </c>
      <c r="BA15" s="279" t="n">
        <f aca="false">AX15+BB15</f>
        <v>2</v>
      </c>
      <c r="BB15" s="278" t="n">
        <f aca="false">BD15+BF15+BH15+BJ15+BL15</f>
        <v>0</v>
      </c>
      <c r="BC15" s="278" t="n">
        <f aca="false">COUNTIF(A15:AH15,"*$BTP*")</f>
        <v>0</v>
      </c>
      <c r="BD15" s="278" t="n">
        <f aca="false">BC15*1.5</f>
        <v>0</v>
      </c>
      <c r="BE15" s="278" t="n">
        <f aca="false">COUNTIF(A15:AH15,"*$M*")</f>
        <v>0</v>
      </c>
      <c r="BF15" s="278" t="n">
        <f aca="false">BE15*1</f>
        <v>0</v>
      </c>
      <c r="BG15" s="278" t="n">
        <f aca="false">COUNTIF(A15:AH15,"*$PM*")</f>
        <v>0</v>
      </c>
      <c r="BH15" s="278" t="n">
        <f aca="false">BG15*0.5</f>
        <v>0</v>
      </c>
      <c r="BI15" s="278" t="n">
        <f aca="false">COUNTIF(A15:AH15,"*$AM*")</f>
        <v>0</v>
      </c>
      <c r="BJ15" s="278" t="n">
        <f aca="false">BI15*0.5</f>
        <v>0</v>
      </c>
      <c r="BK15" s="278" t="n">
        <f aca="false">COUNTIF(A15:AH15,"*$FC*")</f>
        <v>0</v>
      </c>
      <c r="BL15" s="278" t="n">
        <f aca="false">BK15*1</f>
        <v>0</v>
      </c>
      <c r="BM15" s="278" t="n">
        <f aca="false">COUNTIF($D15:$AA15,BM$4)</f>
        <v>0</v>
      </c>
      <c r="BN15" s="278" t="n">
        <f aca="false">COUNTIF($D15:$AA15,BN$4)</f>
        <v>0</v>
      </c>
      <c r="BO15" s="278" t="n">
        <f aca="false">COUNTIF($D15:$AA15,BO$4)</f>
        <v>0</v>
      </c>
      <c r="BP15" s="278"/>
    </row>
    <row r="16" customFormat="false" ht="47.25" hidden="false" customHeight="true" outlineLevel="0" collapsed="false">
      <c r="A16" s="272"/>
      <c r="B16" s="279" t="s">
        <v>936</v>
      </c>
      <c r="C16" s="266"/>
      <c r="D16" s="91"/>
      <c r="E16" s="266"/>
      <c r="F16" s="91"/>
      <c r="G16" s="91"/>
      <c r="H16" s="266"/>
      <c r="I16" s="266"/>
      <c r="J16" s="266"/>
      <c r="K16" s="266"/>
      <c r="L16" s="91" t="s">
        <v>58</v>
      </c>
      <c r="M16" s="266"/>
      <c r="N16" s="266"/>
      <c r="O16" s="266" t="s">
        <v>93</v>
      </c>
      <c r="P16" s="266"/>
      <c r="Q16" s="266"/>
      <c r="R16" s="266"/>
      <c r="S16" s="266"/>
      <c r="T16" s="91"/>
      <c r="U16" s="266"/>
      <c r="V16" s="266"/>
      <c r="W16" s="266"/>
      <c r="X16" s="266"/>
      <c r="Y16" s="266"/>
      <c r="Z16" s="266"/>
      <c r="AA16" s="266"/>
      <c r="AB16" s="91"/>
      <c r="AC16" s="91"/>
      <c r="AD16" s="266"/>
      <c r="AE16" s="332" t="s">
        <v>93</v>
      </c>
      <c r="AF16" s="266"/>
      <c r="AG16" s="266"/>
      <c r="AH16" s="272" t="n">
        <f aca="false">COUNTIF($C16:$AF16,AH$4)</f>
        <v>0</v>
      </c>
      <c r="AI16" s="272" t="n">
        <f aca="false">COUNTIF($C16:$AF16,AI$4)</f>
        <v>0</v>
      </c>
      <c r="AJ16" s="272" t="n">
        <f aca="false">COUNTIF($C16:$AF16,AJ$4)</f>
        <v>0</v>
      </c>
      <c r="AK16" s="272" t="n">
        <f aca="false">COUNTIF($C16:$AF16,AK$4)</f>
        <v>0</v>
      </c>
      <c r="AL16" s="272" t="n">
        <f aca="false">COUNTIF($C16:$AF16,AL$4)</f>
        <v>1</v>
      </c>
      <c r="AM16" s="272" t="n">
        <f aca="false">COUNTIF($C16:$AF16,AM$4)</f>
        <v>2</v>
      </c>
      <c r="AN16" s="272" t="n">
        <f aca="false">COUNTIF($C16:$AF16,AN$4)</f>
        <v>0</v>
      </c>
      <c r="AO16" s="272" t="n">
        <f aca="false">COUNTIF($C16:$AF16,AO$4)</f>
        <v>0</v>
      </c>
      <c r="AP16" s="272" t="n">
        <f aca="false">COUNTIF($C16:$AF16,AP$4)</f>
        <v>0</v>
      </c>
      <c r="AQ16" s="279"/>
      <c r="AR16" s="279"/>
      <c r="AS16" s="278" t="n">
        <f aca="false">SUMPRODUCT(--(WEEKDAY(C$3:AG$3,2)&lt;5),--ISNUMBER(MATCH(C16:AG16,{"DM","CS1","CS2","SB1","AE","CS/B"},0)))</f>
        <v>0</v>
      </c>
      <c r="AT16" s="278"/>
      <c r="AU16" s="278" t="n">
        <f aca="false">SUMPRODUCT(--(WEEKDAY(C$3:AG$3,2)=5),--ISNUMBER(MATCH(C16:AG16,{"DM","CS1","CS2","SB1","AE","CS/B","WEEKEND OUTFIELD RESERVE"},0)))</f>
        <v>1</v>
      </c>
      <c r="AV16" s="278" t="n">
        <f aca="false">SUMPRODUCT(--(WEEKDAY(C$3:AG$3,2)&gt;5),--ISNUMBER(MATCH(C16:AG16,{"DM","CS1","CS2","SB1","AE","CS/B","WEEKEND OUTFIELD RESERVE"},0)))</f>
        <v>0</v>
      </c>
      <c r="AW16" s="278"/>
      <c r="AX16" s="278" t="n">
        <f aca="false">(AS16-AT16)+AU16*1.5+(AV16-AW16)*2+AM16*0.5+AO16*0.5+AQ16-AR16</f>
        <v>2.5</v>
      </c>
      <c r="AY16" s="278" t="n">
        <f aca="false">AS16+AU16+AV16</f>
        <v>1</v>
      </c>
      <c r="AZ16" s="278" t="n">
        <f aca="false">BC16+BE16+BG16+BI16+BK16</f>
        <v>0</v>
      </c>
      <c r="BA16" s="279" t="n">
        <f aca="false">AX16+BB16</f>
        <v>2.5</v>
      </c>
      <c r="BB16" s="278" t="n">
        <f aca="false">BD16+BF16+BH16+BJ16+BL16</f>
        <v>0</v>
      </c>
      <c r="BC16" s="278" t="n">
        <f aca="false">COUNTIF(A16:AH16,"*$BTP*")</f>
        <v>0</v>
      </c>
      <c r="BD16" s="278" t="n">
        <f aca="false">BC16*1.5</f>
        <v>0</v>
      </c>
      <c r="BE16" s="278" t="n">
        <f aca="false">COUNTIF(A16:AH16,"*$M*")</f>
        <v>0</v>
      </c>
      <c r="BF16" s="278" t="n">
        <f aca="false">BE16*1</f>
        <v>0</v>
      </c>
      <c r="BG16" s="278" t="n">
        <f aca="false">COUNTIF(A16:AH16,"*$PM*")</f>
        <v>0</v>
      </c>
      <c r="BH16" s="278" t="n">
        <f aca="false">BG16*0.5</f>
        <v>0</v>
      </c>
      <c r="BI16" s="278" t="n">
        <f aca="false">COUNTIF(A16:AH16,"*$AM*")</f>
        <v>0</v>
      </c>
      <c r="BJ16" s="278" t="n">
        <f aca="false">BI16*0.5</f>
        <v>0</v>
      </c>
      <c r="BK16" s="278" t="n">
        <f aca="false">COUNTIF(A16:AH16,"*$FC*")</f>
        <v>0</v>
      </c>
      <c r="BL16" s="278" t="n">
        <f aca="false">BK16*1</f>
        <v>0</v>
      </c>
      <c r="BM16" s="278" t="n">
        <f aca="false">COUNTIF($D16:$AA16,BM$4)</f>
        <v>0</v>
      </c>
      <c r="BN16" s="278" t="n">
        <f aca="false">COUNTIF($D16:$AA16,BN$4)</f>
        <v>0</v>
      </c>
      <c r="BO16" s="278" t="n">
        <f aca="false">COUNTIF($D16:$AA16,BO$4)</f>
        <v>0</v>
      </c>
      <c r="BP16" s="278"/>
    </row>
    <row r="17" customFormat="false" ht="47.25" hidden="false" customHeight="true" outlineLevel="0" collapsed="false">
      <c r="A17" s="272"/>
      <c r="B17" s="279" t="s">
        <v>937</v>
      </c>
      <c r="C17" s="266"/>
      <c r="D17" s="91"/>
      <c r="E17" s="266"/>
      <c r="F17" s="91"/>
      <c r="G17" s="91"/>
      <c r="H17" s="266"/>
      <c r="I17" s="266"/>
      <c r="J17" s="266"/>
      <c r="K17" s="266"/>
      <c r="L17" s="91"/>
      <c r="M17" s="266"/>
      <c r="N17" s="266"/>
      <c r="O17" s="91"/>
      <c r="P17" s="266" t="s">
        <v>65</v>
      </c>
      <c r="Q17" s="266"/>
      <c r="R17" s="266"/>
      <c r="S17" s="266"/>
      <c r="T17" s="91"/>
      <c r="U17" s="266"/>
      <c r="V17" s="266"/>
      <c r="W17" s="266"/>
      <c r="X17" s="266"/>
      <c r="Y17" s="266" t="s">
        <v>65</v>
      </c>
      <c r="Z17" s="266"/>
      <c r="AA17" s="266"/>
      <c r="AB17" s="91"/>
      <c r="AC17" s="91"/>
      <c r="AD17" s="266"/>
      <c r="AE17" s="326"/>
      <c r="AF17" s="266"/>
      <c r="AG17" s="266"/>
      <c r="AH17" s="272" t="n">
        <f aca="false">COUNTIF($C17:$AF17,AH$4)</f>
        <v>0</v>
      </c>
      <c r="AI17" s="272" t="n">
        <f aca="false">COUNTIF($C17:$AF17,AI$4)</f>
        <v>0</v>
      </c>
      <c r="AJ17" s="272" t="n">
        <f aca="false">COUNTIF($C17:$AF17,AJ$4)</f>
        <v>0</v>
      </c>
      <c r="AK17" s="272" t="n">
        <f aca="false">COUNTIF($C17:$AF17,AK$4)</f>
        <v>0</v>
      </c>
      <c r="AL17" s="272" t="n">
        <f aca="false">COUNTIF($C17:$AF17,AL$4)</f>
        <v>0</v>
      </c>
      <c r="AM17" s="272" t="n">
        <f aca="false">COUNTIF($C17:$AF17,AM$4)</f>
        <v>0</v>
      </c>
      <c r="AN17" s="272" t="n">
        <f aca="false">COUNTIF($C17:$AF17,AN$4)</f>
        <v>2</v>
      </c>
      <c r="AO17" s="272" t="n">
        <f aca="false">COUNTIF($C17:$AF17,AO$4)</f>
        <v>0</v>
      </c>
      <c r="AP17" s="272" t="n">
        <f aca="false">COUNTIF($C17:$AF17,AP$4)</f>
        <v>0</v>
      </c>
      <c r="AQ17" s="279"/>
      <c r="AR17" s="279"/>
      <c r="AS17" s="278" t="n">
        <f aca="false">SUMPRODUCT(--(WEEKDAY(C$3:AG$3,2)&lt;5),--ISNUMBER(MATCH(C17:AG17,{"DM","CS1","CS2","SB1","AE","CS/B"},0)))</f>
        <v>2</v>
      </c>
      <c r="AT17" s="278"/>
      <c r="AU17" s="278" t="n">
        <f aca="false">SUMPRODUCT(--(WEEKDAY(C$3:AG$3,2)=5),--ISNUMBER(MATCH(C17:AG17,{"DM","CS1","CS2","SB1","AE","CS/B","WEEKEND OUTFIELD RESERVE"},0)))</f>
        <v>0</v>
      </c>
      <c r="AV17" s="278" t="n">
        <f aca="false">SUMPRODUCT(--(WEEKDAY(C$3:AG$3,2)&gt;5),--ISNUMBER(MATCH(C17:AG17,{"DM","CS1","CS2","SB1","AE","CS/B","WEEKEND OUTFIELD RESERVE"},0)))</f>
        <v>0</v>
      </c>
      <c r="AW17" s="278"/>
      <c r="AX17" s="278" t="n">
        <f aca="false">(AS17-AT17)+AU17*1.5+(AV17-AW17)*2+AM17*0.5+AO17*0.5+AQ17-AR17</f>
        <v>2</v>
      </c>
      <c r="AY17" s="278" t="n">
        <f aca="false">AS17+AU17+AV17</f>
        <v>2</v>
      </c>
      <c r="AZ17" s="278" t="n">
        <f aca="false">BC17+BE17+BG17+BI17+BK17</f>
        <v>0</v>
      </c>
      <c r="BA17" s="279" t="n">
        <f aca="false">AX17+BB17</f>
        <v>2</v>
      </c>
      <c r="BB17" s="278" t="n">
        <f aca="false">BD17+BF17+BH17+BJ17+BL17</f>
        <v>0</v>
      </c>
      <c r="BC17" s="278" t="n">
        <f aca="false">COUNTIF(A17:AH17,"*$BTP*")</f>
        <v>0</v>
      </c>
      <c r="BD17" s="278" t="n">
        <f aca="false">BC17*1.5</f>
        <v>0</v>
      </c>
      <c r="BE17" s="278" t="n">
        <f aca="false">COUNTIF(A17:AH17,"*$M*")</f>
        <v>0</v>
      </c>
      <c r="BF17" s="278" t="n">
        <f aca="false">BE17*1</f>
        <v>0</v>
      </c>
      <c r="BG17" s="278" t="n">
        <f aca="false">COUNTIF(A17:AH17,"*$PM*")</f>
        <v>0</v>
      </c>
      <c r="BH17" s="278" t="n">
        <f aca="false">BG17*0.5</f>
        <v>0</v>
      </c>
      <c r="BI17" s="278" t="n">
        <f aca="false">COUNTIF(A17:AH17,"*$AM*")</f>
        <v>0</v>
      </c>
      <c r="BJ17" s="278" t="n">
        <f aca="false">BI17*0.5</f>
        <v>0</v>
      </c>
      <c r="BK17" s="278" t="n">
        <f aca="false">COUNTIF(A17:AH17,"*$FC*")</f>
        <v>0</v>
      </c>
      <c r="BL17" s="278" t="n">
        <f aca="false">BK17*1</f>
        <v>0</v>
      </c>
      <c r="BM17" s="278" t="n">
        <f aca="false">COUNTIF($D17:$AA17,BM$4)</f>
        <v>0</v>
      </c>
      <c r="BN17" s="278" t="n">
        <f aca="false">COUNTIF($D17:$AA17,BN$4)</f>
        <v>0</v>
      </c>
      <c r="BO17" s="278" t="n">
        <f aca="false">COUNTIF($D17:$AA17,BO$4)</f>
        <v>0</v>
      </c>
      <c r="BP17" s="278"/>
    </row>
    <row r="18" customFormat="false" ht="47.25" hidden="false" customHeight="true" outlineLevel="0" collapsed="false">
      <c r="A18" s="272"/>
      <c r="B18" s="279" t="s">
        <v>938</v>
      </c>
      <c r="C18" s="266"/>
      <c r="D18" s="91"/>
      <c r="E18" s="266"/>
      <c r="F18" s="91"/>
      <c r="G18" s="91"/>
      <c r="H18" s="266"/>
      <c r="I18" s="266"/>
      <c r="J18" s="266"/>
      <c r="K18" s="266"/>
      <c r="L18" s="91"/>
      <c r="M18" s="266" t="s">
        <v>65</v>
      </c>
      <c r="N18" s="266"/>
      <c r="O18" s="266"/>
      <c r="P18" s="266"/>
      <c r="Q18" s="266"/>
      <c r="R18" s="266"/>
      <c r="S18" s="266"/>
      <c r="T18" s="91"/>
      <c r="U18" s="266"/>
      <c r="V18" s="266"/>
      <c r="W18" s="266"/>
      <c r="X18" s="266"/>
      <c r="Y18" s="266" t="s">
        <v>93</v>
      </c>
      <c r="Z18" s="266"/>
      <c r="AA18" s="266"/>
      <c r="AB18" s="91"/>
      <c r="AC18" s="91" t="s">
        <v>65</v>
      </c>
      <c r="AD18" s="266"/>
      <c r="AE18" s="331"/>
      <c r="AF18" s="266" t="s">
        <v>939</v>
      </c>
      <c r="AG18" s="266"/>
      <c r="AH18" s="272" t="n">
        <f aca="false">COUNTIF($C18:$AF18,AH$4)</f>
        <v>0</v>
      </c>
      <c r="AI18" s="272" t="n">
        <f aca="false">COUNTIF($C18:$AF18,AI$4)</f>
        <v>0</v>
      </c>
      <c r="AJ18" s="272" t="n">
        <f aca="false">COUNTIF($C18:$AF18,AJ$4)</f>
        <v>0</v>
      </c>
      <c r="AK18" s="272" t="n">
        <f aca="false">COUNTIF($C18:$AF18,AK$4)</f>
        <v>0</v>
      </c>
      <c r="AL18" s="272" t="n">
        <f aca="false">COUNTIF($C18:$AF18,AL$4)</f>
        <v>0</v>
      </c>
      <c r="AM18" s="272" t="n">
        <f aca="false">COUNTIF($C18:$AF18,AM$4)</f>
        <v>1</v>
      </c>
      <c r="AN18" s="272" t="n">
        <f aca="false">COUNTIF($C18:$AF18,AN$4)</f>
        <v>2</v>
      </c>
      <c r="AO18" s="272" t="n">
        <f aca="false">COUNTIF($C18:$AF18,AO$4)</f>
        <v>0</v>
      </c>
      <c r="AP18" s="272" t="n">
        <f aca="false">COUNTIF($C18:$AF18,AP$4)</f>
        <v>0</v>
      </c>
      <c r="AQ18" s="279"/>
      <c r="AR18" s="279"/>
      <c r="AS18" s="278" t="n">
        <f aca="false">SUMPRODUCT(--(WEEKDAY(C$3:AG$3,2)&lt;5),--ISNUMBER(MATCH(C18:AG18,{"DM","CS1","CS2","SB1","AE","CS/B"},0)))</f>
        <v>1</v>
      </c>
      <c r="AT18" s="278"/>
      <c r="AU18" s="278" t="n">
        <f aca="false">SUMPRODUCT(--(WEEKDAY(C$3:AG$3,2)=5),--ISNUMBER(MATCH(C18:AG18,{"DM","CS1","CS2","SB1","AE","CS/B","WEEKEND OUTFIELD RESERVE"},0)))</f>
        <v>0</v>
      </c>
      <c r="AV18" s="278" t="n">
        <f aca="false">SUMPRODUCT(--(WEEKDAY(C$3:AG$3,2)&gt;5),--ISNUMBER(MATCH(C18:AG18,{"DM","CS1","CS2","SB1","AE","CS/B","WEEKEND OUTFIELD RESERVE"},0)))</f>
        <v>1</v>
      </c>
      <c r="AW18" s="278"/>
      <c r="AX18" s="278" t="n">
        <f aca="false">(AS18-AT18)+AU18*1.5+(AV18-AW18)*2+AM18*0.5+AO18*0.5+AQ18-AR18</f>
        <v>3.5</v>
      </c>
      <c r="AY18" s="278" t="n">
        <f aca="false">AS18+AU18+AV18</f>
        <v>2</v>
      </c>
      <c r="AZ18" s="278" t="n">
        <f aca="false">BC18+BE18+BG18+BI18+BK18</f>
        <v>0</v>
      </c>
      <c r="BA18" s="279" t="n">
        <f aca="false">AX18+BB18</f>
        <v>3.5</v>
      </c>
      <c r="BB18" s="278" t="n">
        <f aca="false">BD18+BF18+BH18+BJ18+BL18</f>
        <v>0</v>
      </c>
      <c r="BC18" s="278" t="n">
        <f aca="false">COUNTIF(A18:AH18,"*$BTP*")</f>
        <v>0</v>
      </c>
      <c r="BD18" s="278" t="n">
        <f aca="false">BC18*1.5</f>
        <v>0</v>
      </c>
      <c r="BE18" s="278" t="n">
        <f aca="false">COUNTIF(A18:AH18,"*$M*")</f>
        <v>0</v>
      </c>
      <c r="BF18" s="278" t="n">
        <f aca="false">BE18*1</f>
        <v>0</v>
      </c>
      <c r="BG18" s="278" t="n">
        <f aca="false">COUNTIF(A18:AH18,"*$PM*")</f>
        <v>0</v>
      </c>
      <c r="BH18" s="278" t="n">
        <f aca="false">BG18*0.5</f>
        <v>0</v>
      </c>
      <c r="BI18" s="278" t="n">
        <f aca="false">COUNTIF(A18:AH18,"*$AM*")</f>
        <v>0</v>
      </c>
      <c r="BJ18" s="278" t="n">
        <f aca="false">BI18*0.5</f>
        <v>0</v>
      </c>
      <c r="BK18" s="278" t="n">
        <f aca="false">COUNTIF(A18:AH18,"*$FC*")</f>
        <v>0</v>
      </c>
      <c r="BL18" s="278" t="n">
        <f aca="false">BK18*1</f>
        <v>0</v>
      </c>
      <c r="BM18" s="278" t="n">
        <f aca="false">COUNTIF($D18:$AA18,BM$4)</f>
        <v>0</v>
      </c>
      <c r="BN18" s="278" t="n">
        <f aca="false">COUNTIF($D18:$AA18,BN$4)</f>
        <v>0</v>
      </c>
      <c r="BO18" s="278" t="n">
        <f aca="false">COUNTIF($D18:$AA18,BO$4)</f>
        <v>0</v>
      </c>
      <c r="BP18" s="278"/>
    </row>
    <row r="19" customFormat="false" ht="47.25" hidden="false" customHeight="true" outlineLevel="0" collapsed="false">
      <c r="A19" s="272"/>
      <c r="B19" s="279" t="s">
        <v>940</v>
      </c>
      <c r="C19" s="266"/>
      <c r="D19" s="91"/>
      <c r="E19" s="266"/>
      <c r="F19" s="91"/>
      <c r="G19" s="91"/>
      <c r="H19" s="266"/>
      <c r="I19" s="266"/>
      <c r="J19" s="266"/>
      <c r="K19" s="266"/>
      <c r="L19" s="266" t="s">
        <v>65</v>
      </c>
      <c r="M19" s="266"/>
      <c r="N19" s="266" t="s">
        <v>65</v>
      </c>
      <c r="O19" s="266"/>
      <c r="P19" s="266"/>
      <c r="Q19" s="266"/>
      <c r="R19" s="266"/>
      <c r="S19" s="266"/>
      <c r="T19" s="91"/>
      <c r="U19" s="266"/>
      <c r="V19" s="266"/>
      <c r="W19" s="266" t="s">
        <v>573</v>
      </c>
      <c r="X19" s="91" t="s">
        <v>58</v>
      </c>
      <c r="Y19" s="266"/>
      <c r="Z19" s="266" t="s">
        <v>93</v>
      </c>
      <c r="AA19" s="266" t="s">
        <v>65</v>
      </c>
      <c r="AB19" s="91"/>
      <c r="AC19" s="91"/>
      <c r="AE19" s="326"/>
      <c r="AF19" s="266"/>
      <c r="AG19" s="266"/>
      <c r="AH19" s="272" t="n">
        <f aca="false">COUNTIF($C19:$AF19,AH$4)</f>
        <v>0</v>
      </c>
      <c r="AI19" s="272" t="n">
        <f aca="false">COUNTIF($C19:$AF19,AI$4)</f>
        <v>0</v>
      </c>
      <c r="AJ19" s="272" t="n">
        <f aca="false">COUNTIF($C19:$AF19,AJ$4)</f>
        <v>0</v>
      </c>
      <c r="AK19" s="272" t="n">
        <f aca="false">COUNTIF($C19:$AF19,AK$4)</f>
        <v>0</v>
      </c>
      <c r="AL19" s="272" t="n">
        <f aca="false">COUNTIF($C19:$AF19,AL$4)</f>
        <v>1</v>
      </c>
      <c r="AM19" s="272" t="n">
        <f aca="false">COUNTIF($C19:$AF19,AM$4)</f>
        <v>1</v>
      </c>
      <c r="AN19" s="272" t="n">
        <f aca="false">COUNTIF($C19:$AF19,AN$4)</f>
        <v>3</v>
      </c>
      <c r="AO19" s="272" t="n">
        <f aca="false">COUNTIF($C19:$AF19,AO$4)</f>
        <v>0</v>
      </c>
      <c r="AP19" s="272" t="n">
        <f aca="false">COUNTIF($C19:$AF19,AP$4)</f>
        <v>0</v>
      </c>
      <c r="AQ19" s="279"/>
      <c r="AR19" s="279"/>
      <c r="AS19" s="278" t="n">
        <f aca="false">SUMPRODUCT(--(WEEKDAY(C$3:AG$3,2)&lt;5),--ISNUMBER(MATCH(C19:AG19,{"DM","CS1","CS2","SB1","AE","CS/B"},0)))</f>
        <v>1</v>
      </c>
      <c r="AT19" s="278"/>
      <c r="AU19" s="278" t="n">
        <f aca="false">SUMPRODUCT(--(WEEKDAY(C$3:AG$3,2)=5),--ISNUMBER(MATCH(C19:AG19,{"DM","CS1","CS2","SB1","AE","CS/B","WEEKEND OUTFIELD RESERVE"},0)))</f>
        <v>1</v>
      </c>
      <c r="AV19" s="278" t="n">
        <f aca="false">SUMPRODUCT(--(WEEKDAY(C$3:AG$3,2)&gt;5),--ISNUMBER(MATCH(C19:AG19,{"DM","CS1","CS2","SB1","AE","CS/B","WEEKEND OUTFIELD RESERVE"},0)))</f>
        <v>2</v>
      </c>
      <c r="AW19" s="278"/>
      <c r="AX19" s="278" t="n">
        <f aca="false">(AS19-AT19)+AU19*1.5+(AV19-AW19)*2+AM19*0.5+AO19*0.5+AQ19-AR19</f>
        <v>7</v>
      </c>
      <c r="AY19" s="278" t="n">
        <f aca="false">AS19+AU19+AV19</f>
        <v>4</v>
      </c>
      <c r="AZ19" s="278" t="n">
        <f aca="false">BC19+BE19+BG19+BI19+BK19</f>
        <v>0</v>
      </c>
      <c r="BA19" s="279" t="n">
        <f aca="false">AX19+BB19</f>
        <v>7</v>
      </c>
      <c r="BB19" s="278" t="n">
        <f aca="false">BD19+BF19+BH19+BJ19+BL19</f>
        <v>0</v>
      </c>
      <c r="BC19" s="278" t="n">
        <f aca="false">COUNTIF(A19:AH19,"*$BTP*")</f>
        <v>0</v>
      </c>
      <c r="BD19" s="278" t="n">
        <f aca="false">BC19*1.5</f>
        <v>0</v>
      </c>
      <c r="BE19" s="278" t="n">
        <f aca="false">COUNTIF(A19:AH19,"*$M*")</f>
        <v>0</v>
      </c>
      <c r="BF19" s="278" t="n">
        <f aca="false">BE19*1</f>
        <v>0</v>
      </c>
      <c r="BG19" s="278" t="n">
        <f aca="false">COUNTIF(A19:AH19,"*$PM*")</f>
        <v>0</v>
      </c>
      <c r="BH19" s="278" t="n">
        <f aca="false">BG19*0.5</f>
        <v>0</v>
      </c>
      <c r="BI19" s="278" t="n">
        <f aca="false">COUNTIF(A19:AH19,"*$AM*")</f>
        <v>0</v>
      </c>
      <c r="BJ19" s="278" t="n">
        <f aca="false">BI19*0.5</f>
        <v>0</v>
      </c>
      <c r="BK19" s="278" t="n">
        <f aca="false">COUNTIF(A19:AH19,"*$FC*")</f>
        <v>0</v>
      </c>
      <c r="BL19" s="278" t="n">
        <f aca="false">BK19*1</f>
        <v>0</v>
      </c>
      <c r="BM19" s="278" t="n">
        <f aca="false">COUNTIF($D19:$AA19,BM$4)</f>
        <v>0</v>
      </c>
      <c r="BN19" s="278" t="n">
        <f aca="false">COUNTIF($D19:$AA19,BN$4)</f>
        <v>0</v>
      </c>
      <c r="BO19" s="278" t="n">
        <f aca="false">COUNTIF($D19:$AA19,BO$4)</f>
        <v>0</v>
      </c>
      <c r="BP19" s="278"/>
    </row>
    <row r="20" customFormat="false" ht="47.25" hidden="false" customHeight="true" outlineLevel="0" collapsed="false">
      <c r="A20" s="272"/>
      <c r="B20" s="279" t="s">
        <v>941</v>
      </c>
      <c r="C20" s="266"/>
      <c r="D20" s="91"/>
      <c r="E20" s="266"/>
      <c r="F20" s="91"/>
      <c r="G20" s="91"/>
      <c r="H20" s="266"/>
      <c r="I20" s="266"/>
      <c r="J20" s="266"/>
      <c r="K20" s="266"/>
      <c r="L20" s="91"/>
      <c r="M20" s="266"/>
      <c r="N20" s="266"/>
      <c r="O20" s="266"/>
      <c r="P20" s="266" t="s">
        <v>93</v>
      </c>
      <c r="Q20" s="266"/>
      <c r="R20" s="266"/>
      <c r="T20" s="91"/>
      <c r="U20" s="266"/>
      <c r="V20" s="266"/>
      <c r="W20" s="266"/>
      <c r="X20" s="266"/>
      <c r="Y20" s="266"/>
      <c r="AA20" s="266"/>
      <c r="AB20" s="91"/>
      <c r="AC20" s="91"/>
      <c r="AD20" s="266"/>
      <c r="AE20" s="331"/>
      <c r="AF20" s="266"/>
      <c r="AG20" s="266"/>
      <c r="AH20" s="272" t="n">
        <f aca="false">COUNTIF($C20:$AF20,AH$4)</f>
        <v>0</v>
      </c>
      <c r="AI20" s="272" t="n">
        <f aca="false">COUNTIF($C20:$AF20,AI$4)</f>
        <v>0</v>
      </c>
      <c r="AJ20" s="272" t="n">
        <f aca="false">COUNTIF($C20:$AF20,AJ$4)</f>
        <v>0</v>
      </c>
      <c r="AK20" s="272" t="n">
        <f aca="false">COUNTIF($C20:$AF20,AK$4)</f>
        <v>0</v>
      </c>
      <c r="AL20" s="272" t="n">
        <f aca="false">COUNTIF($C20:$AF20,AL$4)</f>
        <v>0</v>
      </c>
      <c r="AM20" s="272" t="n">
        <f aca="false">COUNTIF($C20:$AF20,AM$4)</f>
        <v>1</v>
      </c>
      <c r="AN20" s="272" t="n">
        <f aca="false">COUNTIF($C20:$AF20,AN$4)</f>
        <v>0</v>
      </c>
      <c r="AO20" s="272" t="n">
        <f aca="false">COUNTIF($C20:$AF20,AO$4)</f>
        <v>0</v>
      </c>
      <c r="AP20" s="272" t="n">
        <f aca="false">COUNTIF($C20:$AF20,AP$4)</f>
        <v>0</v>
      </c>
      <c r="AQ20" s="279"/>
      <c r="AR20" s="279"/>
      <c r="AS20" s="278" t="n">
        <f aca="false">SUMPRODUCT(--(WEEKDAY(C$3:AG$3,2)&lt;5),--ISNUMBER(MATCH(C20:AG20,{"DM","CS1","CS2","SB1","AE","CS/B"},0)))</f>
        <v>0</v>
      </c>
      <c r="AT20" s="278"/>
      <c r="AU20" s="278" t="n">
        <f aca="false">SUMPRODUCT(--(WEEKDAY(C$3:AG$3,2)=5),--ISNUMBER(MATCH(C20:AG20,{"DM","CS1","CS2","SB1","AE","CS/B","WEEKEND OUTFIELD RESERVE"},0)))</f>
        <v>0</v>
      </c>
      <c r="AV20" s="278" t="n">
        <f aca="false">SUMPRODUCT(--(WEEKDAY(C$3:AG$3,2)&gt;5),--ISNUMBER(MATCH(C20:AG20,{"DM","CS1","CS2","SB1","AE","CS/B","WEEKEND OUTFIELD RESERVE"},0)))</f>
        <v>0</v>
      </c>
      <c r="AW20" s="278"/>
      <c r="AX20" s="278" t="n">
        <f aca="false">(AS20-AT20)+AU20*1.5+(AV20-AW20)*2+AM20*0.5+AO20*0.5+AQ20-AR20</f>
        <v>0.5</v>
      </c>
      <c r="AY20" s="278" t="n">
        <f aca="false">AS20+AU20+AV20</f>
        <v>0</v>
      </c>
      <c r="AZ20" s="278" t="n">
        <f aca="false">BC20+BE20+BG20+BI20+BK20</f>
        <v>0</v>
      </c>
      <c r="BA20" s="279" t="n">
        <f aca="false">AX20+BB20</f>
        <v>0.5</v>
      </c>
      <c r="BB20" s="278" t="n">
        <f aca="false">BD20+BF20+BH20+BJ20+BL20</f>
        <v>0</v>
      </c>
      <c r="BC20" s="278" t="n">
        <f aca="false">COUNTIF(A20:AH20,"*$BTP*")</f>
        <v>0</v>
      </c>
      <c r="BD20" s="278" t="n">
        <f aca="false">BC20*1.5</f>
        <v>0</v>
      </c>
      <c r="BE20" s="278" t="n">
        <f aca="false">COUNTIF(A20:AH20,"*$M*")</f>
        <v>0</v>
      </c>
      <c r="BF20" s="278" t="n">
        <f aca="false">BE20*1</f>
        <v>0</v>
      </c>
      <c r="BG20" s="278" t="n">
        <f aca="false">COUNTIF(A20:AH20,"*$PM*")</f>
        <v>0</v>
      </c>
      <c r="BH20" s="278" t="n">
        <f aca="false">BG20*0.5</f>
        <v>0</v>
      </c>
      <c r="BI20" s="278" t="n">
        <f aca="false">COUNTIF(A20:AH20,"*$AM*")</f>
        <v>0</v>
      </c>
      <c r="BJ20" s="278" t="n">
        <f aca="false">BI20*0.5</f>
        <v>0</v>
      </c>
      <c r="BK20" s="278" t="n">
        <f aca="false">COUNTIF(A20:AH20,"*$FC*")</f>
        <v>0</v>
      </c>
      <c r="BL20" s="278" t="n">
        <f aca="false">BK20*1</f>
        <v>0</v>
      </c>
      <c r="BM20" s="278" t="n">
        <f aca="false">COUNTIF($D20:$AA20,BM$4)</f>
        <v>0</v>
      </c>
      <c r="BN20" s="278" t="n">
        <f aca="false">COUNTIF($D20:$AA20,BN$4)</f>
        <v>0</v>
      </c>
      <c r="BO20" s="278" t="n">
        <f aca="false">COUNTIF($D20:$AA20,BO$4)</f>
        <v>0</v>
      </c>
      <c r="BP20" s="278"/>
    </row>
    <row r="21" customFormat="false" ht="88.5" hidden="false" customHeight="true" outlineLevel="0" collapsed="false">
      <c r="A21" s="272"/>
      <c r="B21" s="279" t="s">
        <v>942</v>
      </c>
      <c r="C21" s="266"/>
      <c r="D21" s="91"/>
      <c r="E21" s="266"/>
      <c r="F21" s="91"/>
      <c r="G21" s="91"/>
      <c r="H21" s="266"/>
      <c r="I21" s="266"/>
      <c r="J21" s="266"/>
      <c r="K21" s="266"/>
      <c r="L21" s="91"/>
      <c r="M21" s="266"/>
      <c r="N21" s="266"/>
      <c r="O21" s="266"/>
      <c r="P21" s="266"/>
      <c r="Q21" s="266"/>
      <c r="R21" s="266"/>
      <c r="S21" s="266" t="s">
        <v>58</v>
      </c>
      <c r="T21" s="91"/>
      <c r="U21" s="266"/>
      <c r="V21" s="266"/>
      <c r="W21" s="266" t="s">
        <v>65</v>
      </c>
      <c r="X21" s="266"/>
      <c r="Y21" s="266"/>
      <c r="Z21" s="266"/>
      <c r="AA21" s="266"/>
      <c r="AB21" s="91"/>
      <c r="AC21" s="91"/>
      <c r="AD21" s="266" t="s">
        <v>65</v>
      </c>
      <c r="AE21" s="326"/>
      <c r="AF21" s="266"/>
      <c r="AG21" s="266" t="s">
        <v>58</v>
      </c>
      <c r="AH21" s="272" t="n">
        <f aca="false">COUNTIF($C21:$AF21,AH$4)</f>
        <v>0</v>
      </c>
      <c r="AI21" s="272" t="n">
        <f aca="false">COUNTIF($C21:$AF21,AI$4)</f>
        <v>0</v>
      </c>
      <c r="AJ21" s="272" t="n">
        <f aca="false">COUNTIF($C21:$AF21,AJ$4)</f>
        <v>0</v>
      </c>
      <c r="AK21" s="272" t="n">
        <f aca="false">COUNTIF($C21:$AF21,AK$4)</f>
        <v>0</v>
      </c>
      <c r="AL21" s="272" t="n">
        <f aca="false">COUNTIF($C21:$AF21,AL$4)</f>
        <v>1</v>
      </c>
      <c r="AM21" s="272" t="n">
        <f aca="false">COUNTIF($C21:$AF21,AM$4)</f>
        <v>0</v>
      </c>
      <c r="AN21" s="272" t="n">
        <f aca="false">COUNTIF($C21:$AF21,AN$4)</f>
        <v>2</v>
      </c>
      <c r="AO21" s="272" t="n">
        <f aca="false">COUNTIF($C21:$AF21,AO$4)</f>
        <v>0</v>
      </c>
      <c r="AP21" s="272" t="n">
        <f aca="false">COUNTIF($C21:$AF21,AP$4)</f>
        <v>0</v>
      </c>
      <c r="AQ21" s="279"/>
      <c r="AR21" s="279"/>
      <c r="AS21" s="278" t="n">
        <f aca="false">SUMPRODUCT(--(WEEKDAY(C$3:AG$3,2)&lt;5),--ISNUMBER(MATCH(C21:AG21,{"DM","CS1","CS2","SB1","AE","CS/B"},0)))</f>
        <v>2</v>
      </c>
      <c r="AT21" s="278"/>
      <c r="AU21" s="278" t="n">
        <f aca="false">SUMPRODUCT(--(WEEKDAY(C$3:AG$3,2)=5),--ISNUMBER(MATCH(C21:AG21,{"DM","CS1","CS2","SB1","AE","CS/B","WEEKEND OUTFIELD RESERVE"},0)))</f>
        <v>2</v>
      </c>
      <c r="AV21" s="278" t="n">
        <f aca="false">SUMPRODUCT(--(WEEKDAY(C$3:AG$3,2)&gt;5),--ISNUMBER(MATCH(C21:AG21,{"DM","CS1","CS2","SB1","AE","CS/B","WEEKEND OUTFIELD RESERVE"},0)))</f>
        <v>0</v>
      </c>
      <c r="AW21" s="278"/>
      <c r="AX21" s="278" t="n">
        <f aca="false">(AS21-AT21)+AU21*1.5+(AV21-AW21)*2+AM21*0.5+AO21*0.5+AQ21-AR21</f>
        <v>5</v>
      </c>
      <c r="AY21" s="278" t="n">
        <f aca="false">AS21+AU21+AV21</f>
        <v>4</v>
      </c>
      <c r="AZ21" s="278" t="n">
        <f aca="false">BC21+BE21+BG21+BI21+BK21</f>
        <v>0</v>
      </c>
      <c r="BA21" s="279" t="n">
        <f aca="false">AX21+BB21</f>
        <v>5</v>
      </c>
      <c r="BB21" s="278" t="n">
        <f aca="false">BD21+BF21+BH21+BJ21+BL21</f>
        <v>0</v>
      </c>
      <c r="BC21" s="278" t="n">
        <f aca="false">COUNTIF(A21:AH21,"*$BTP*")</f>
        <v>0</v>
      </c>
      <c r="BD21" s="278" t="n">
        <f aca="false">BC21*1.5</f>
        <v>0</v>
      </c>
      <c r="BE21" s="278" t="n">
        <f aca="false">COUNTIF(A21:AH21,"*$M*")</f>
        <v>0</v>
      </c>
      <c r="BF21" s="278" t="n">
        <f aca="false">BE21*1</f>
        <v>0</v>
      </c>
      <c r="BG21" s="278" t="n">
        <f aca="false">COUNTIF(A21:AH21,"*$PM*")</f>
        <v>0</v>
      </c>
      <c r="BH21" s="278" t="n">
        <f aca="false">BG21*0.5</f>
        <v>0</v>
      </c>
      <c r="BI21" s="278" t="n">
        <f aca="false">COUNTIF(A21:AH21,"*$AM*")</f>
        <v>0</v>
      </c>
      <c r="BJ21" s="278" t="n">
        <f aca="false">BI21*0.5</f>
        <v>0</v>
      </c>
      <c r="BK21" s="278" t="n">
        <f aca="false">COUNTIF(A21:AH21,"*$FC*")</f>
        <v>0</v>
      </c>
      <c r="BL21" s="278" t="n">
        <f aca="false">BK21*1</f>
        <v>0</v>
      </c>
      <c r="BM21" s="278" t="n">
        <f aca="false">COUNTIF($D21:$AA21,BM$4)</f>
        <v>0</v>
      </c>
      <c r="BN21" s="278" t="n">
        <f aca="false">COUNTIF($D21:$AA21,BN$4)</f>
        <v>0</v>
      </c>
      <c r="BO21" s="278" t="n">
        <f aca="false">COUNTIF($D21:$AA21,BO$4)</f>
        <v>0</v>
      </c>
      <c r="BP21" s="278"/>
    </row>
    <row r="22" customFormat="false" ht="45" hidden="false" customHeight="true" outlineLevel="0" collapsed="false">
      <c r="A22" s="272"/>
      <c r="B22" s="279" t="s">
        <v>592</v>
      </c>
      <c r="C22" s="266"/>
      <c r="D22" s="266"/>
      <c r="E22" s="266"/>
      <c r="F22" s="266"/>
      <c r="G22" s="91"/>
      <c r="H22" s="91"/>
      <c r="I22" s="91"/>
      <c r="J22" s="266"/>
      <c r="K22" s="91"/>
      <c r="L22" s="266"/>
      <c r="M22" s="266"/>
      <c r="N22" s="266"/>
      <c r="O22" s="266"/>
      <c r="P22" s="266"/>
      <c r="Q22" s="266"/>
      <c r="R22" s="91"/>
      <c r="S22" s="266"/>
      <c r="T22" s="91"/>
      <c r="U22" s="91"/>
      <c r="V22" s="266"/>
      <c r="W22" s="266"/>
      <c r="X22" s="266"/>
      <c r="Y22" s="266"/>
      <c r="Z22" s="266"/>
      <c r="AA22" s="266"/>
      <c r="AB22" s="266"/>
      <c r="AC22" s="266"/>
      <c r="AD22" s="266"/>
      <c r="AE22" s="331"/>
      <c r="AF22" s="266"/>
      <c r="AG22" s="266"/>
      <c r="AH22" s="272" t="n">
        <f aca="false">COUNTIF($C22:$AF22,AH$4)</f>
        <v>0</v>
      </c>
      <c r="AI22" s="272" t="n">
        <f aca="false">COUNTIF($C22:$AF22,AI$4)</f>
        <v>0</v>
      </c>
      <c r="AJ22" s="272" t="n">
        <f aca="false">COUNTIF($C22:$AF22,AJ$4)</f>
        <v>0</v>
      </c>
      <c r="AK22" s="272" t="n">
        <f aca="false">COUNTIF($C22:$AF22,AK$4)</f>
        <v>0</v>
      </c>
      <c r="AL22" s="272" t="n">
        <f aca="false">COUNTIF($C22:$AF22,AL$4)</f>
        <v>0</v>
      </c>
      <c r="AM22" s="272" t="n">
        <f aca="false">COUNTIF($C22:$AF22,AM$4)</f>
        <v>0</v>
      </c>
      <c r="AN22" s="272" t="n">
        <f aca="false">COUNTIF($C22:$AF22,AN$4)</f>
        <v>0</v>
      </c>
      <c r="AO22" s="272" t="n">
        <f aca="false">COUNTIF($C22:$AF22,AO$4)</f>
        <v>0</v>
      </c>
      <c r="AP22" s="272" t="n">
        <f aca="false">COUNTIF($C22:$AF22,AP$4)</f>
        <v>0</v>
      </c>
      <c r="AQ22" s="279" t="n">
        <v>1</v>
      </c>
      <c r="AR22" s="279"/>
      <c r="AS22" s="278" t="n">
        <f aca="false">SUMPRODUCT(--(WEEKDAY(C$3:AG$3,2)&lt;5),--ISNUMBER(MATCH(C22:AG22,{"DM","CS1","CS2","SB1","AE","CS/B"},0)))</f>
        <v>0</v>
      </c>
      <c r="AT22" s="278"/>
      <c r="AU22" s="278" t="n">
        <f aca="false">SUMPRODUCT(--(WEEKDAY(C$3:AG$3,2)=5),--ISNUMBER(MATCH(C22:AG22,{"DM","CS1","CS2","SB1","AE","CS/B","WEEKEND OUTFIELD RESERVE"},0)))</f>
        <v>0</v>
      </c>
      <c r="AV22" s="278" t="n">
        <f aca="false">SUMPRODUCT(--(WEEKDAY(C$3:AG$3,2)&gt;5),--ISNUMBER(MATCH(C22:AG22,{"DM","CS1","CS2","SB1","AE","CS/B","WEEKEND OUTFIELD RESERVE"},0)))</f>
        <v>0</v>
      </c>
      <c r="AW22" s="278"/>
      <c r="AX22" s="278" t="n">
        <f aca="false">(AS22-AT22)+AU22*1.5+(AV22-AW22)*2+AM22*0.5+AO22*0.5+AQ22-AR22</f>
        <v>1</v>
      </c>
      <c r="AY22" s="278" t="n">
        <f aca="false">AS22+AU22+AV22</f>
        <v>0</v>
      </c>
      <c r="AZ22" s="278" t="n">
        <f aca="false">BC22+BE22+BG22+BI22+BK22</f>
        <v>0</v>
      </c>
      <c r="BA22" s="279" t="n">
        <f aca="false">AX22+BB22</f>
        <v>1</v>
      </c>
      <c r="BB22" s="278" t="n">
        <f aca="false">BD22+BF22+BH22+BJ22+BL22</f>
        <v>0</v>
      </c>
      <c r="BC22" s="278" t="n">
        <f aca="false">COUNTIF(A22:AH22,"*$BTP*")</f>
        <v>0</v>
      </c>
      <c r="BD22" s="278" t="n">
        <f aca="false">BC22*1.5</f>
        <v>0</v>
      </c>
      <c r="BE22" s="278" t="n">
        <f aca="false">COUNTIF(A22:AH22,"*$M*")</f>
        <v>0</v>
      </c>
      <c r="BF22" s="278" t="n">
        <f aca="false">BE22*1</f>
        <v>0</v>
      </c>
      <c r="BG22" s="278" t="n">
        <f aca="false">COUNTIF(A22:AH22,"*$PM*")</f>
        <v>0</v>
      </c>
      <c r="BH22" s="278" t="n">
        <f aca="false">BG22*0.5</f>
        <v>0</v>
      </c>
      <c r="BI22" s="278" t="n">
        <f aca="false">COUNTIF(A22:AH22,"*$AM*")</f>
        <v>0</v>
      </c>
      <c r="BJ22" s="278" t="n">
        <f aca="false">BI22*0.5</f>
        <v>0</v>
      </c>
      <c r="BK22" s="278" t="n">
        <f aca="false">COUNTIF(A22:AH22,"*$FC*")</f>
        <v>0</v>
      </c>
      <c r="BL22" s="278" t="n">
        <f aca="false">BK22*1</f>
        <v>0</v>
      </c>
      <c r="BM22" s="278" t="n">
        <f aca="false">COUNTIF($D22:$AA22,BM$4)</f>
        <v>0</v>
      </c>
      <c r="BN22" s="278" t="n">
        <f aca="false">COUNTIF($D22:$AA22,BN$4)</f>
        <v>0</v>
      </c>
      <c r="BO22" s="278" t="n">
        <f aca="false">COUNTIF($D22:$AA22,BO$4)</f>
        <v>0</v>
      </c>
      <c r="BP22" s="278"/>
    </row>
    <row r="23" customFormat="false" ht="51" hidden="false" customHeight="true" outlineLevel="0" collapsed="false">
      <c r="A23" s="272"/>
      <c r="B23" s="279" t="s">
        <v>598</v>
      </c>
      <c r="C23" s="266"/>
      <c r="D23" s="266"/>
      <c r="E23" s="266" t="s">
        <v>56</v>
      </c>
      <c r="F23" s="266"/>
      <c r="G23" s="266"/>
      <c r="H23" s="266" t="s">
        <v>55</v>
      </c>
      <c r="I23" s="266" t="s">
        <v>58</v>
      </c>
      <c r="J23" s="266"/>
      <c r="L23" s="266"/>
      <c r="N23" s="266" t="s">
        <v>56</v>
      </c>
      <c r="O23" s="266" t="s">
        <v>55</v>
      </c>
      <c r="P23" s="266" t="s">
        <v>350</v>
      </c>
      <c r="Q23" s="266"/>
      <c r="S23" s="266"/>
      <c r="T23" s="266"/>
      <c r="U23" s="266"/>
      <c r="V23" s="266" t="s">
        <v>55</v>
      </c>
      <c r="W23" s="266"/>
      <c r="X23" s="266" t="s">
        <v>93</v>
      </c>
      <c r="Y23" s="266"/>
      <c r="Z23" s="91"/>
      <c r="AA23" s="266"/>
      <c r="AB23" s="266"/>
      <c r="AC23" s="91" t="s">
        <v>55</v>
      </c>
      <c r="AD23" s="266"/>
      <c r="AE23" s="326"/>
      <c r="AF23" s="266" t="s">
        <v>943</v>
      </c>
      <c r="AG23" s="266"/>
      <c r="AH23" s="272" t="n">
        <f aca="false">COUNTIF($C23:$AF23,AH$4)</f>
        <v>0</v>
      </c>
      <c r="AI23" s="272" t="n">
        <f aca="false">COUNTIF($C23:$AF23,AI$4)</f>
        <v>2</v>
      </c>
      <c r="AJ23" s="272" t="n">
        <f aca="false">COUNTIF($C23:$AF23,AJ$4)</f>
        <v>0</v>
      </c>
      <c r="AK23" s="272" t="n">
        <f aca="false">COUNTIF($C23:$AF23,AK$4)</f>
        <v>0</v>
      </c>
      <c r="AL23" s="272" t="n">
        <f aca="false">COUNTIF($C23:$AF23,AL$4)</f>
        <v>1</v>
      </c>
      <c r="AM23" s="272" t="n">
        <f aca="false">COUNTIF($C23:$AF23,AM$4)</f>
        <v>1</v>
      </c>
      <c r="AN23" s="272" t="n">
        <f aca="false">COUNTIF($C23:$AF23,AN$4)</f>
        <v>0</v>
      </c>
      <c r="AO23" s="272" t="n">
        <f aca="false">COUNTIF($C23:$AF23,AO$4)</f>
        <v>0</v>
      </c>
      <c r="AP23" s="272" t="n">
        <f aca="false">COUNTIF($C23:$AF23,AP$4)</f>
        <v>0</v>
      </c>
      <c r="AQ23" s="279" t="n">
        <v>0</v>
      </c>
      <c r="AR23" s="279"/>
      <c r="AS23" s="278" t="n">
        <f aca="false">SUMPRODUCT(--(WEEKDAY(C$3:AG$3,2)&lt;5),--ISNUMBER(MATCH(C23:AG23,{"DM","CS1","CS2","SB1","AE","CS/B"},0)))</f>
        <v>1</v>
      </c>
      <c r="AT23" s="278"/>
      <c r="AU23" s="278" t="n">
        <f aca="false">SUMPRODUCT(--(WEEKDAY(C$3:AG$3,2)=5),--ISNUMBER(MATCH(C23:AG23,{"DM","CS1","CS2","SB1","AE","CS/B","WEEKEND OUTFIELD RESERVE"},0)))</f>
        <v>1</v>
      </c>
      <c r="AV23" s="278" t="n">
        <f aca="false">SUMPRODUCT(--(WEEKDAY(C$3:AG$3,2)&gt;5),--ISNUMBER(MATCH(C23:AG23,{"DM","CS1","CS2","SB1","AE","CS/B","WEEKEND OUTFIELD RESERVE"},0)))</f>
        <v>1</v>
      </c>
      <c r="AW23" s="278"/>
      <c r="AX23" s="278" t="n">
        <f aca="false">(AS23-AT23)+AU23*1.5+(AV23-AW23)*2+AM23*0.5+AO23*0.5+AQ23-AR23</f>
        <v>5</v>
      </c>
      <c r="AY23" s="278" t="n">
        <f aca="false">AS23+AU23+AV23</f>
        <v>3</v>
      </c>
      <c r="AZ23" s="278" t="n">
        <f aca="false">BC23+BE23+BG23+BI23+BK23</f>
        <v>1</v>
      </c>
      <c r="BA23" s="279" t="n">
        <f aca="false">AX23+BB23</f>
        <v>6</v>
      </c>
      <c r="BB23" s="278" t="n">
        <f aca="false">BD23+BF23+BH23+BJ23+BL23</f>
        <v>1</v>
      </c>
      <c r="BC23" s="278" t="n">
        <f aca="false">COUNTIF(A23:AH23,"*$BTP*")</f>
        <v>0</v>
      </c>
      <c r="BD23" s="278" t="n">
        <f aca="false">BC23*1.5</f>
        <v>0</v>
      </c>
      <c r="BE23" s="278" t="n">
        <f aca="false">COUNTIF(A23:AH23,"*$M*")</f>
        <v>1</v>
      </c>
      <c r="BF23" s="278" t="n">
        <f aca="false">BE23*1</f>
        <v>1</v>
      </c>
      <c r="BG23" s="278" t="n">
        <f aca="false">COUNTIF(A23:AH23,"*$PM*")</f>
        <v>0</v>
      </c>
      <c r="BH23" s="278" t="n">
        <f aca="false">BG23*0.5</f>
        <v>0</v>
      </c>
      <c r="BI23" s="278" t="n">
        <f aca="false">COUNTIF(A23:AH23,"*$AM*")</f>
        <v>0</v>
      </c>
      <c r="BJ23" s="278" t="n">
        <f aca="false">BI23*0.5</f>
        <v>0</v>
      </c>
      <c r="BK23" s="278" t="n">
        <f aca="false">COUNTIF(A23:AH23,"*$FC*")</f>
        <v>0</v>
      </c>
      <c r="BL23" s="278" t="n">
        <f aca="false">BK23*1</f>
        <v>0</v>
      </c>
      <c r="BM23" s="278" t="n">
        <f aca="false">COUNTIF($D23:$AA23,BM$4)</f>
        <v>0</v>
      </c>
      <c r="BN23" s="278" t="n">
        <f aca="false">COUNTIF($D23:$AA23,BN$4)</f>
        <v>1</v>
      </c>
      <c r="BO23" s="278" t="n">
        <f aca="false">COUNTIF($D23:$AA23,BO$4)</f>
        <v>3</v>
      </c>
      <c r="BP23" s="278"/>
    </row>
    <row r="24" customFormat="false" ht="19.5" hidden="false" customHeight="true" outlineLevel="0" collapsed="false">
      <c r="A24" s="272"/>
      <c r="B24" s="279" t="s">
        <v>944</v>
      </c>
      <c r="C24" s="266"/>
      <c r="D24" s="266" t="s">
        <v>566</v>
      </c>
      <c r="E24" s="266"/>
      <c r="F24" s="266"/>
      <c r="G24" s="266"/>
      <c r="H24" s="266"/>
      <c r="I24" s="266" t="s">
        <v>55</v>
      </c>
      <c r="J24" s="266" t="s">
        <v>945</v>
      </c>
      <c r="K24" s="266" t="s">
        <v>54</v>
      </c>
      <c r="L24" s="266" t="s">
        <v>54</v>
      </c>
      <c r="M24" s="266" t="s">
        <v>54</v>
      </c>
      <c r="N24" s="266" t="s">
        <v>54</v>
      </c>
      <c r="O24" s="266"/>
      <c r="P24" s="266"/>
      <c r="Q24" s="91" t="s">
        <v>59</v>
      </c>
      <c r="R24" s="91"/>
      <c r="S24" s="266"/>
      <c r="T24" s="91" t="s">
        <v>57</v>
      </c>
      <c r="U24" s="91"/>
      <c r="V24" s="266"/>
      <c r="W24" s="91"/>
      <c r="X24" s="266" t="s">
        <v>946</v>
      </c>
      <c r="Y24" s="91"/>
      <c r="Z24" s="91"/>
      <c r="AA24" s="266"/>
      <c r="AB24" s="266"/>
      <c r="AC24" s="266"/>
      <c r="AD24" s="266"/>
      <c r="AE24" s="331"/>
      <c r="AF24" s="266"/>
      <c r="AG24" s="266"/>
      <c r="AH24" s="272" t="n">
        <f aca="false">COUNTIF($C24:$Z24,AH$4)</f>
        <v>1</v>
      </c>
      <c r="AI24" s="272" t="n">
        <f aca="false">COUNTIF($C24:$Z24,AI$4)</f>
        <v>0</v>
      </c>
      <c r="AJ24" s="272" t="n">
        <f aca="false">COUNTIF($C24:$Z24,AJ$4)</f>
        <v>1</v>
      </c>
      <c r="AK24" s="272" t="n">
        <f aca="false">COUNTIF($C24:$Z24,AK$4)</f>
        <v>1</v>
      </c>
      <c r="AL24" s="272" t="n">
        <f aca="false">COUNTIF($C24:$Z24,AL$4)</f>
        <v>0</v>
      </c>
      <c r="AM24" s="272" t="n">
        <f aca="false">COUNTIF($C24:$Z24,AM$4)</f>
        <v>0</v>
      </c>
      <c r="AN24" s="272" t="n">
        <f aca="false">COUNTIF($C24:$Z24,AN$4)</f>
        <v>0</v>
      </c>
      <c r="AO24" s="272" t="n">
        <f aca="false">COUNTIF($C24:$Z24,AO$4)</f>
        <v>0</v>
      </c>
      <c r="AP24" s="272" t="n">
        <f aca="false">COUNTIF($C24:$Z24,AP$4)</f>
        <v>0</v>
      </c>
      <c r="AQ24" s="279"/>
      <c r="AR24" s="279" t="n">
        <v>4.5</v>
      </c>
      <c r="AS24" s="278" t="n">
        <f aca="false">SUMPRODUCT(--(WEEKDAY(C$3:AG$3,2)&lt;5),--ISNUMBER(MATCH(C24:AG24,{"DM","CS1","CS2","SB1","AE","CS/B"},0)))</f>
        <v>2</v>
      </c>
      <c r="AT24" s="272"/>
      <c r="AU24" s="278" t="n">
        <f aca="false">SUMPRODUCT(--(WEEKDAY(C$3:AG$3,2)=5),--ISNUMBER(MATCH(C24:AG24,{"DM","CS1","CS2","SB1","AE","CS/B","WEEKEND OUTFIELD RESERVE"},0)))</f>
        <v>0</v>
      </c>
      <c r="AV24" s="278" t="n">
        <f aca="false">SUMPRODUCT(--(WEEKDAY(C$3:AG$3,2)&gt;5),--ISNUMBER(MATCH(C24:AG24,{"DM","CS1","CS2","SB1","AE","CS/B","WEEKEND OUTFIELD RESERVE"},0)))</f>
        <v>1</v>
      </c>
      <c r="AW24" s="272"/>
      <c r="AX24" s="278" t="n">
        <f aca="false">(AS24-AT24)+AU24*1.5+(AV24-AW24)*2+AM24*0.5+AO24*0.5+AQ24-AR24</f>
        <v>-0.5</v>
      </c>
      <c r="AY24" s="278" t="n">
        <f aca="false">AS24+AU24+AV24</f>
        <v>3</v>
      </c>
      <c r="AZ24" s="278" t="n">
        <f aca="false">BC24+BE24+BG24+BI24+BK24</f>
        <v>1</v>
      </c>
      <c r="BA24" s="279" t="n">
        <f aca="false">AX24+BB24</f>
        <v>0</v>
      </c>
      <c r="BB24" s="278" t="n">
        <f aca="false">BD24+BF24+BH24+BJ24+BL24</f>
        <v>0.5</v>
      </c>
      <c r="BC24" s="278" t="n">
        <f aca="false">COUNTIF(A24:AH24,"*$BTP*")</f>
        <v>0</v>
      </c>
      <c r="BD24" s="278" t="n">
        <f aca="false">BC24*1.5</f>
        <v>0</v>
      </c>
      <c r="BE24" s="278" t="n">
        <f aca="false">COUNTIF(A24:AH24,"*$M*")</f>
        <v>0</v>
      </c>
      <c r="BF24" s="278" t="n">
        <f aca="false">BE24*1</f>
        <v>0</v>
      </c>
      <c r="BG24" s="278" t="n">
        <f aca="false">COUNTIF(A24:AH24,"*$PM*")</f>
        <v>0</v>
      </c>
      <c r="BH24" s="278" t="n">
        <f aca="false">BG24*0.5</f>
        <v>0</v>
      </c>
      <c r="BI24" s="278" t="n">
        <f aca="false">COUNTIF(A24:AH24,"*$AM*")</f>
        <v>1</v>
      </c>
      <c r="BJ24" s="278" t="n">
        <f aca="false">BI24*0.5</f>
        <v>0.5</v>
      </c>
      <c r="BK24" s="278" t="n">
        <f aca="false">COUNTIF(A24:AH24,"*$FC*")</f>
        <v>0</v>
      </c>
      <c r="BL24" s="278" t="n">
        <f aca="false">BK24*1</f>
        <v>0</v>
      </c>
      <c r="BM24" s="278" t="n">
        <f aca="false">COUNTIF($D24:$Z24,BM$4)</f>
        <v>0</v>
      </c>
      <c r="BN24" s="278" t="n">
        <f aca="false">COUNTIF($D24:$Z24,BN$4)</f>
        <v>0</v>
      </c>
      <c r="BO24" s="278" t="n">
        <f aca="false">COUNTIF($D24:$Z24,BO$4)</f>
        <v>1</v>
      </c>
      <c r="BP24" s="272"/>
    </row>
    <row r="25" customFormat="false" ht="103.5" hidden="false" customHeight="true" outlineLevel="0" collapsed="false">
      <c r="A25" s="272"/>
      <c r="B25" s="279" t="s">
        <v>594</v>
      </c>
      <c r="C25" s="266"/>
      <c r="D25" s="266" t="s">
        <v>573</v>
      </c>
      <c r="E25" s="266"/>
      <c r="F25" s="266" t="s">
        <v>56</v>
      </c>
      <c r="G25" s="266"/>
      <c r="H25" s="266"/>
      <c r="I25" s="266" t="s">
        <v>308</v>
      </c>
      <c r="J25" s="266"/>
      <c r="K25" s="266" t="s">
        <v>707</v>
      </c>
      <c r="L25" s="91"/>
      <c r="M25" s="266" t="s">
        <v>56</v>
      </c>
      <c r="N25" s="266"/>
      <c r="O25" s="266" t="s">
        <v>380</v>
      </c>
      <c r="P25" s="266" t="s">
        <v>380</v>
      </c>
      <c r="Q25" s="266"/>
      <c r="R25" s="91"/>
      <c r="S25" s="91" t="s">
        <v>162</v>
      </c>
      <c r="T25" s="266"/>
      <c r="U25" s="266" t="s">
        <v>947</v>
      </c>
      <c r="V25" s="266"/>
      <c r="W25" s="266" t="s">
        <v>948</v>
      </c>
      <c r="X25" s="266"/>
      <c r="Y25" s="266" t="s">
        <v>57</v>
      </c>
      <c r="Z25" s="266"/>
      <c r="AB25" s="266"/>
      <c r="AC25" s="266"/>
      <c r="AD25" s="266" t="s">
        <v>59</v>
      </c>
      <c r="AE25" s="326"/>
      <c r="AF25" s="266" t="s">
        <v>93</v>
      </c>
      <c r="AG25" s="266" t="s">
        <v>57</v>
      </c>
      <c r="AH25" s="272" t="n">
        <f aca="false">COUNTIF($C25:$AF25,AH$4)</f>
        <v>1</v>
      </c>
      <c r="AI25" s="272" t="n">
        <f aca="false">COUNTIF($C25:$AF25,AI$4)</f>
        <v>2</v>
      </c>
      <c r="AJ25" s="272" t="n">
        <f aca="false">COUNTIF($C25:$AF25,AJ$4)</f>
        <v>1</v>
      </c>
      <c r="AK25" s="272" t="n">
        <f aca="false">COUNTIF($C25:$AF25,AK$4)</f>
        <v>0</v>
      </c>
      <c r="AL25" s="272" t="n">
        <f aca="false">COUNTIF($C25:$AF25,AL$4)</f>
        <v>0</v>
      </c>
      <c r="AM25" s="272" t="n">
        <f aca="false">COUNTIF($C25:$AF25,AM$4)</f>
        <v>1</v>
      </c>
      <c r="AN25" s="272" t="n">
        <f aca="false">COUNTIF($C25:$AF25,AN$4)</f>
        <v>0</v>
      </c>
      <c r="AO25" s="272" t="n">
        <f aca="false">COUNTIF($C25:$AF25,AO$4)</f>
        <v>0</v>
      </c>
      <c r="AP25" s="272" t="n">
        <f aca="false">COUNTIF($C25:$AF25,AP$4)</f>
        <v>0</v>
      </c>
      <c r="AQ25" s="279"/>
      <c r="AR25" s="279" t="n">
        <v>2.5</v>
      </c>
      <c r="AS25" s="278" t="n">
        <f aca="false">SUMPRODUCT(--(WEEKDAY(C$3:AG$3,2)&lt;5),--ISNUMBER(MATCH(C25:AG25,{"DM","CS1","CS2","SB1","AE","CS/B"},0)))</f>
        <v>2</v>
      </c>
      <c r="AT25" s="278"/>
      <c r="AU25" s="278" t="n">
        <f aca="false">SUMPRODUCT(--(WEEKDAY(C$3:AG$3,2)=5),--ISNUMBER(MATCH(C25:AG25,{"DM","CS1","CS2","SB1","AE","CS/B","WEEKEND OUTFIELD RESERVE"},0)))</f>
        <v>1</v>
      </c>
      <c r="AV25" s="278" t="n">
        <f aca="false">SUMPRODUCT(--(WEEKDAY(C$3:AG$3,2)&gt;5),--ISNUMBER(MATCH(C25:AG25,{"DM","CS1","CS2","SB1","AE","CS/B","WEEKEND OUTFIELD RESERVE"},0)))</f>
        <v>2</v>
      </c>
      <c r="AW25" s="278"/>
      <c r="AX25" s="278" t="n">
        <f aca="false">(AS25-AT25)+AU25*1.5+(AV25-AW25)*2+AM25*0.5+AO25*0.5+AQ25-AR25</f>
        <v>5.5</v>
      </c>
      <c r="AY25" s="278" t="n">
        <f aca="false">AS25+AU25+AV25</f>
        <v>5</v>
      </c>
      <c r="AZ25" s="278" t="n">
        <f aca="false">BC25+BE25+BG25+BI25+BK25</f>
        <v>2</v>
      </c>
      <c r="BA25" s="279" t="n">
        <f aca="false">AX25+BB25</f>
        <v>7.5</v>
      </c>
      <c r="BB25" s="278" t="n">
        <f aca="false">BD25+BF25+BH25+BJ25+BL25</f>
        <v>2</v>
      </c>
      <c r="BC25" s="278" t="n">
        <f aca="false">COUNTIF(A25:AH25,"*$BTP*")</f>
        <v>1</v>
      </c>
      <c r="BD25" s="278" t="n">
        <f aca="false">BC25*1.5</f>
        <v>1.5</v>
      </c>
      <c r="BE25" s="278" t="n">
        <f aca="false">COUNTIF(A25:AH25,"*$M*")</f>
        <v>0</v>
      </c>
      <c r="BF25" s="278" t="n">
        <f aca="false">BE25*1</f>
        <v>0</v>
      </c>
      <c r="BG25" s="278" t="n">
        <f aca="false">COUNTIF(A25:AH25,"*$PM*")</f>
        <v>1</v>
      </c>
      <c r="BH25" s="278" t="n">
        <f aca="false">BG25*0.5</f>
        <v>0.5</v>
      </c>
      <c r="BI25" s="278" t="n">
        <f aca="false">COUNTIF(A25:AH25,"*$AM*")</f>
        <v>0</v>
      </c>
      <c r="BJ25" s="278" t="n">
        <f aca="false">BI25*0.5</f>
        <v>0</v>
      </c>
      <c r="BK25" s="278" t="n">
        <f aca="false">COUNTIF(A25:AH25,"*$FC*")</f>
        <v>0</v>
      </c>
      <c r="BL25" s="278" t="n">
        <f aca="false">BK25*1</f>
        <v>0</v>
      </c>
      <c r="BM25" s="278" t="n">
        <f aca="false">COUNTIF($D25:$AA25,BM$4)</f>
        <v>0</v>
      </c>
      <c r="BN25" s="278" t="n">
        <f aca="false">COUNTIF($D25:$AA25,BN$4)</f>
        <v>0</v>
      </c>
      <c r="BO25" s="278" t="n">
        <f aca="false">COUNTIF($D25:$AA25,BO$4)</f>
        <v>0</v>
      </c>
      <c r="BP25" s="278"/>
    </row>
    <row r="26" customFormat="false" ht="68.25" hidden="false" customHeight="true" outlineLevel="0" collapsed="false">
      <c r="A26" s="272"/>
      <c r="B26" s="279" t="s">
        <v>725</v>
      </c>
      <c r="C26" s="91"/>
      <c r="D26" s="266" t="s">
        <v>93</v>
      </c>
      <c r="E26" s="266"/>
      <c r="F26" s="266" t="s">
        <v>57</v>
      </c>
      <c r="G26" s="91"/>
      <c r="H26" s="266" t="s">
        <v>949</v>
      </c>
      <c r="I26" s="91" t="s">
        <v>55</v>
      </c>
      <c r="J26" s="266" t="s">
        <v>69</v>
      </c>
      <c r="K26" s="91" t="s">
        <v>57</v>
      </c>
      <c r="L26" s="266"/>
      <c r="M26" s="266"/>
      <c r="N26" s="91"/>
      <c r="O26" s="333"/>
      <c r="Q26" s="334"/>
      <c r="R26" s="335" t="s">
        <v>350</v>
      </c>
      <c r="S26" s="334"/>
      <c r="T26" s="336"/>
      <c r="U26" s="336"/>
      <c r="V26" s="337" t="s">
        <v>55</v>
      </c>
      <c r="W26" s="333" t="s">
        <v>55</v>
      </c>
      <c r="X26" s="255" t="s">
        <v>950</v>
      </c>
      <c r="Y26" s="338" t="s">
        <v>55</v>
      </c>
      <c r="Z26" s="266"/>
      <c r="AA26" s="266"/>
      <c r="AB26" s="266"/>
      <c r="AC26" s="266" t="s">
        <v>483</v>
      </c>
      <c r="AD26" s="266" t="s">
        <v>71</v>
      </c>
      <c r="AE26" s="325" t="s">
        <v>71</v>
      </c>
      <c r="AF26" s="91"/>
      <c r="AG26" s="266"/>
      <c r="AH26" s="272" t="n">
        <f aca="false">COUNTIF($C26:$AF26,AH$4)</f>
        <v>2</v>
      </c>
      <c r="AI26" s="272" t="n">
        <f aca="false">COUNTIF($C26:$AF26,AI$4)</f>
        <v>0</v>
      </c>
      <c r="AJ26" s="272" t="n">
        <f aca="false">COUNTIF($C26:$AF26,AJ$4)</f>
        <v>0</v>
      </c>
      <c r="AK26" s="272" t="n">
        <f aca="false">COUNTIF($C26:$AF26,AK$4)</f>
        <v>0</v>
      </c>
      <c r="AL26" s="272" t="n">
        <f aca="false">COUNTIF($C26:$AF26,AL$4)</f>
        <v>0</v>
      </c>
      <c r="AM26" s="272" t="n">
        <f aca="false">COUNTIF($C26:$AF26,AM$4)</f>
        <v>1</v>
      </c>
      <c r="AN26" s="272" t="n">
        <f aca="false">COUNTIF($C26:$AF26,AN$4)</f>
        <v>0</v>
      </c>
      <c r="AO26" s="272" t="n">
        <f aca="false">COUNTIF($C26:$AF26,AO$4)</f>
        <v>0</v>
      </c>
      <c r="AP26" s="272" t="n">
        <f aca="false">COUNTIF($C26:$AF26,AP$4)</f>
        <v>0</v>
      </c>
      <c r="AQ26" s="279"/>
      <c r="AR26" s="279"/>
      <c r="AS26" s="278" t="n">
        <f aca="false">SUMPRODUCT(--(WEEKDAY(C$3:AG$3,2)&lt;5),--ISNUMBER(MATCH(C26:AG26,{"DM","CS1","CS2","SB1","AE","CS/B"},0)))</f>
        <v>1</v>
      </c>
      <c r="AT26" s="278"/>
      <c r="AU26" s="278" t="n">
        <f aca="false">SUMPRODUCT(--(WEEKDAY(C$3:AG$3,2)=5),--ISNUMBER(MATCH(C26:AG26,{"DM","CS1","CS2","SB1","AE","CS/B","WEEKEND OUTFIELD RESERVE"},0)))</f>
        <v>0</v>
      </c>
      <c r="AV26" s="278" t="n">
        <f aca="false">SUMPRODUCT(--(WEEKDAY(C$3:AG$3,2)&gt;5),--ISNUMBER(MATCH(C26:AG26,{"DM","CS1","CS2","SB1","AE","CS/B","WEEKEND OUTFIELD RESERVE"},0)))</f>
        <v>1</v>
      </c>
      <c r="AW26" s="278"/>
      <c r="AX26" s="278" t="n">
        <f aca="false">(AS26-AT26)+AU26*1.5+(AV26-AW26)*2+AM26*0.5+AO26*0.5+AQ26-AR26</f>
        <v>3.5</v>
      </c>
      <c r="AY26" s="278" t="n">
        <f aca="false">AS26+AU26+AV26</f>
        <v>2</v>
      </c>
      <c r="AZ26" s="278" t="n">
        <f aca="false">BC26+BE26+BG26+BI26+BK26</f>
        <v>1</v>
      </c>
      <c r="BA26" s="279" t="n">
        <f aca="false">AX26+BB26</f>
        <v>4</v>
      </c>
      <c r="BB26" s="278" t="n">
        <f aca="false">BD26+BF26+BH26+BJ26+BL26</f>
        <v>0.5</v>
      </c>
      <c r="BC26" s="278" t="n">
        <f aca="false">COUNTIF(A26:AH26,"*$BTP*")</f>
        <v>0</v>
      </c>
      <c r="BD26" s="278" t="n">
        <f aca="false">BC26*1.5</f>
        <v>0</v>
      </c>
      <c r="BE26" s="278" t="n">
        <f aca="false">COUNTIF(A26:AH26,"*$M*")</f>
        <v>0</v>
      </c>
      <c r="BF26" s="278" t="n">
        <f aca="false">BE26*1</f>
        <v>0</v>
      </c>
      <c r="BG26" s="278" t="n">
        <f aca="false">COUNTIF(A26:AH26,"*$PM*")</f>
        <v>1</v>
      </c>
      <c r="BH26" s="278" t="n">
        <f aca="false">BG26*0.5</f>
        <v>0.5</v>
      </c>
      <c r="BI26" s="278" t="n">
        <f aca="false">COUNTIF(A26:AH26,"*$AM*")</f>
        <v>0</v>
      </c>
      <c r="BJ26" s="278" t="n">
        <f aca="false">BI26*0.5</f>
        <v>0</v>
      </c>
      <c r="BK26" s="278" t="n">
        <f aca="false">COUNTIF(A26:AH26,"*$FC*")</f>
        <v>0</v>
      </c>
      <c r="BL26" s="278" t="n">
        <f aca="false">BK26*1</f>
        <v>0</v>
      </c>
      <c r="BM26" s="278" t="n">
        <f aca="false">COUNTIF($D26:$AA26,BM$4)</f>
        <v>0</v>
      </c>
      <c r="BN26" s="278" t="n">
        <f aca="false">COUNTIF($D26:$AA26,BN$4)</f>
        <v>1</v>
      </c>
      <c r="BO26" s="278" t="n">
        <f aca="false">COUNTIF($D26:$AA26,BO$4)</f>
        <v>4</v>
      </c>
      <c r="BP26" s="278"/>
    </row>
    <row r="27" customFormat="false" ht="19.5" hidden="false" customHeight="true" outlineLevel="0" collapsed="false">
      <c r="A27" s="272"/>
      <c r="B27" s="279" t="s">
        <v>951</v>
      </c>
      <c r="C27" s="266"/>
      <c r="D27" s="266"/>
      <c r="E27" s="91" t="s">
        <v>57</v>
      </c>
      <c r="F27" s="91"/>
      <c r="G27" s="266"/>
      <c r="H27" s="266" t="s">
        <v>573</v>
      </c>
      <c r="I27" s="266"/>
      <c r="J27" s="91" t="s">
        <v>573</v>
      </c>
      <c r="K27" s="266" t="s">
        <v>707</v>
      </c>
      <c r="L27" s="91" t="s">
        <v>54</v>
      </c>
      <c r="M27" s="91" t="s">
        <v>54</v>
      </c>
      <c r="N27" s="266" t="s">
        <v>54</v>
      </c>
      <c r="O27" s="266" t="s">
        <v>380</v>
      </c>
      <c r="P27" s="266" t="s">
        <v>380</v>
      </c>
      <c r="Q27" s="266"/>
      <c r="R27" s="91"/>
      <c r="S27" s="91" t="s">
        <v>162</v>
      </c>
      <c r="T27" s="266"/>
      <c r="U27" s="266" t="s">
        <v>57</v>
      </c>
      <c r="V27" s="266"/>
      <c r="W27" s="91" t="s">
        <v>952</v>
      </c>
      <c r="X27" s="266" t="s">
        <v>57</v>
      </c>
      <c r="Y27" s="91"/>
      <c r="Z27" s="91"/>
      <c r="AA27" s="266" t="s">
        <v>350</v>
      </c>
      <c r="AB27" s="91"/>
      <c r="AC27" s="284" t="s">
        <v>573</v>
      </c>
      <c r="AD27" s="339" t="s">
        <v>93</v>
      </c>
      <c r="AE27" s="340" t="s">
        <v>58</v>
      </c>
      <c r="AF27" s="266"/>
      <c r="AG27" s="266"/>
      <c r="AH27" s="272" t="n">
        <f aca="false">COUNTIF($C27:$AF27,AH$4)</f>
        <v>3</v>
      </c>
      <c r="AI27" s="272" t="n">
        <f aca="false">COUNTIF($C27:$AF27,AI$4)</f>
        <v>0</v>
      </c>
      <c r="AJ27" s="272" t="n">
        <f aca="false">COUNTIF($C27:$AF27,AJ$4)</f>
        <v>0</v>
      </c>
      <c r="AK27" s="272" t="n">
        <f aca="false">COUNTIF($C27:$AF27,AK$4)</f>
        <v>0</v>
      </c>
      <c r="AL27" s="272" t="n">
        <f aca="false">COUNTIF($C27:$AF27,AL$4)</f>
        <v>1</v>
      </c>
      <c r="AM27" s="272" t="n">
        <f aca="false">COUNTIF($C27:$AF27,AM$4)</f>
        <v>1</v>
      </c>
      <c r="AN27" s="272" t="n">
        <f aca="false">COUNTIF($C27:$AF27,AN$4)</f>
        <v>0</v>
      </c>
      <c r="AO27" s="272" t="n">
        <f aca="false">COUNTIF($C27:$AF27,AO$4)</f>
        <v>0</v>
      </c>
      <c r="AP27" s="272" t="n">
        <f aca="false">COUNTIF($C27:$AF27,AP$4)</f>
        <v>0</v>
      </c>
      <c r="AQ27" s="279" t="n">
        <v>3</v>
      </c>
      <c r="AR27" s="279"/>
      <c r="AS27" s="278" t="n">
        <f aca="false">SUMPRODUCT(--(WEEKDAY(C$3:AG$3,2)&lt;5),--ISNUMBER(MATCH(C27:AG27,{"DM","CS1","CS2","SB1","AE","CS/B"},0)))</f>
        <v>2</v>
      </c>
      <c r="AT27" s="272"/>
      <c r="AU27" s="278" t="n">
        <f aca="false">SUMPRODUCT(--(WEEKDAY(C$3:AG$3,2)=5),--ISNUMBER(MATCH(C27:AG27,{"DM","CS1","CS2","SB1","AE","CS/B","WEEKEND OUTFIELD RESERVE"},0)))</f>
        <v>1</v>
      </c>
      <c r="AV27" s="278" t="n">
        <f aca="false">SUMPRODUCT(--(WEEKDAY(C$3:AG$3,2)&gt;5),--ISNUMBER(MATCH(C27:AG27,{"DM","CS1","CS2","SB1","AE","CS/B","WEEKEND OUTFIELD RESERVE"},0)))</f>
        <v>1</v>
      </c>
      <c r="AW27" s="272"/>
      <c r="AX27" s="278" t="n">
        <f aca="false">(AS27-AT27)+AU27*1.5+(AV27-AW27)*2+AM27*0.5+AO27*0.5+AQ27-AR27</f>
        <v>9</v>
      </c>
      <c r="AY27" s="278" t="n">
        <f aca="false">AS27+AU27+AV27</f>
        <v>4</v>
      </c>
      <c r="AZ27" s="278" t="n">
        <f aca="false">BC27+BE27+BG27+BI27+BK27</f>
        <v>1</v>
      </c>
      <c r="BA27" s="279" t="n">
        <f aca="false">AX27+BB27</f>
        <v>9.5</v>
      </c>
      <c r="BB27" s="278" t="n">
        <f aca="false">BD27+BF27+BH27+BJ27+BL27</f>
        <v>0.5</v>
      </c>
      <c r="BC27" s="278" t="n">
        <f aca="false">COUNTIF(A27:AH27,"*$BTP*")</f>
        <v>0</v>
      </c>
      <c r="BD27" s="278" t="n">
        <f aca="false">BC27*1.5</f>
        <v>0</v>
      </c>
      <c r="BE27" s="278" t="n">
        <f aca="false">COUNTIF(A27:AH27,"*$M*")</f>
        <v>0</v>
      </c>
      <c r="BF27" s="278" t="n">
        <f aca="false">BE27*1</f>
        <v>0</v>
      </c>
      <c r="BG27" s="278" t="n">
        <f aca="false">COUNTIF(A27:AH27,"*$PM*")</f>
        <v>0</v>
      </c>
      <c r="BH27" s="278" t="n">
        <f aca="false">BG27*0.5</f>
        <v>0</v>
      </c>
      <c r="BI27" s="278" t="n">
        <f aca="false">COUNTIF(A27:AH27,"*$AM*")</f>
        <v>1</v>
      </c>
      <c r="BJ27" s="278" t="n">
        <f aca="false">BI27*0.5</f>
        <v>0.5</v>
      </c>
      <c r="BK27" s="278" t="n">
        <f aca="false">COUNTIF(A27:AH27,"*$FC*")</f>
        <v>0</v>
      </c>
      <c r="BL27" s="278" t="n">
        <f aca="false">BK27*1</f>
        <v>0</v>
      </c>
      <c r="BM27" s="278" t="n">
        <f aca="false">COUNTIF($D27:$AA27,BM$4)</f>
        <v>0</v>
      </c>
      <c r="BN27" s="278" t="n">
        <f aca="false">COUNTIF($D27:$AA27,BN$4)</f>
        <v>1</v>
      </c>
      <c r="BO27" s="278" t="n">
        <f aca="false">COUNTIF($D27:$AA27,BO$4)</f>
        <v>0</v>
      </c>
      <c r="BP27" s="272"/>
    </row>
    <row r="28" customFormat="false" ht="48" hidden="false" customHeight="true" outlineLevel="0" collapsed="false">
      <c r="A28" s="272"/>
      <c r="B28" s="279" t="s">
        <v>609</v>
      </c>
      <c r="C28" s="91"/>
      <c r="D28" s="266"/>
      <c r="E28" s="266"/>
      <c r="F28" s="266"/>
      <c r="G28" s="266"/>
      <c r="H28" s="266"/>
      <c r="I28" s="266"/>
      <c r="J28" s="266"/>
      <c r="K28" s="266"/>
      <c r="L28" s="266"/>
      <c r="M28" s="266"/>
      <c r="N28" s="266"/>
      <c r="O28" s="266"/>
      <c r="P28" s="266"/>
      <c r="Q28" s="266"/>
      <c r="R28" s="266"/>
      <c r="S28" s="266"/>
      <c r="T28" s="266"/>
      <c r="U28" s="266"/>
      <c r="V28" s="266"/>
      <c r="X28" s="266"/>
      <c r="Y28" s="266"/>
      <c r="Z28" s="266"/>
      <c r="AA28" s="266"/>
      <c r="AB28" s="266"/>
      <c r="AC28" s="300"/>
      <c r="AD28" s="300"/>
      <c r="AE28" s="331"/>
      <c r="AF28" s="266"/>
      <c r="AG28" s="266"/>
      <c r="AH28" s="272" t="n">
        <f aca="false">COUNTIF($C28:$AF28,AH$4)</f>
        <v>0</v>
      </c>
      <c r="AI28" s="272" t="n">
        <f aca="false">COUNTIF($C28:$AF28,AI$4)</f>
        <v>0</v>
      </c>
      <c r="AJ28" s="272" t="n">
        <f aca="false">COUNTIF($C28:$AF28,AJ$4)</f>
        <v>0</v>
      </c>
      <c r="AK28" s="272" t="n">
        <f aca="false">COUNTIF($C28:$AF28,AK$4)</f>
        <v>0</v>
      </c>
      <c r="AL28" s="272" t="n">
        <f aca="false">COUNTIF($C28:$AF28,AL$4)</f>
        <v>0</v>
      </c>
      <c r="AM28" s="272" t="n">
        <f aca="false">COUNTIF($C28:$AF28,AM$4)</f>
        <v>0</v>
      </c>
      <c r="AN28" s="272" t="n">
        <f aca="false">COUNTIF($C28:$AF28,AN$4)</f>
        <v>0</v>
      </c>
      <c r="AO28" s="272" t="n">
        <f aca="false">COUNTIF($C28:$AF28,AO$4)</f>
        <v>0</v>
      </c>
      <c r="AP28" s="272" t="n">
        <f aca="false">COUNTIF($C28:$AF28,AP$4)</f>
        <v>0</v>
      </c>
      <c r="AQ28" s="279"/>
      <c r="AR28" s="279" t="n">
        <v>7</v>
      </c>
      <c r="AS28" s="278" t="n">
        <f aca="false">SUMPRODUCT(--(WEEKDAY(C$3:AG$3,2)&lt;5),--ISNUMBER(MATCH(C28:AG28,{"DM","CS1","CS2","SB1","AE","CS/B"},0)))</f>
        <v>0</v>
      </c>
      <c r="AT28" s="278"/>
      <c r="AU28" s="278" t="n">
        <f aca="false">SUMPRODUCT(--(WEEKDAY(C$3:AG$3,2)=5),--ISNUMBER(MATCH(C28:AG28,{"DM","CS1","CS2","SB1","AE","CS/B","WEEKEND OUTFIELD RESERVE"},0)))</f>
        <v>0</v>
      </c>
      <c r="AV28" s="278" t="n">
        <f aca="false">SUMPRODUCT(--(WEEKDAY(C$3:AG$3,2)&gt;5),--ISNUMBER(MATCH(C28:AG28,{"DM","CS1","CS2","SB1","AE","CS/B","WEEKEND OUTFIELD RESERVE"},0)))</f>
        <v>0</v>
      </c>
      <c r="AW28" s="278"/>
      <c r="AX28" s="278" t="n">
        <f aca="false">(AS28-AT28)+AU28*1.5+(AV28-AW28)*2+AM28*0.5+AO28*0.5+AQ28-AR28</f>
        <v>-7</v>
      </c>
      <c r="AY28" s="278" t="n">
        <f aca="false">AS28+AU28+AV28</f>
        <v>0</v>
      </c>
      <c r="AZ28" s="278" t="n">
        <f aca="false">BC28+BE28+BG28+BI28+BK28</f>
        <v>0</v>
      </c>
      <c r="BA28" s="279" t="n">
        <f aca="false">AX28+BB28</f>
        <v>-7</v>
      </c>
      <c r="BB28" s="278" t="n">
        <f aca="false">BD28+BF28+BH28+BJ28+BL28</f>
        <v>0</v>
      </c>
      <c r="BC28" s="278" t="n">
        <f aca="false">COUNTIF(A28:AH28,"*$BTP*")</f>
        <v>0</v>
      </c>
      <c r="BD28" s="278" t="n">
        <f aca="false">BC28*1.5</f>
        <v>0</v>
      </c>
      <c r="BE28" s="278" t="n">
        <f aca="false">COUNTIF(A28:AH28,"*$M*")</f>
        <v>0</v>
      </c>
      <c r="BF28" s="278" t="n">
        <f aca="false">BE28*1</f>
        <v>0</v>
      </c>
      <c r="BG28" s="278" t="n">
        <f aca="false">COUNTIF(A28:AH28,"*$PM*")</f>
        <v>0</v>
      </c>
      <c r="BH28" s="278" t="n">
        <f aca="false">BG28*0.5</f>
        <v>0</v>
      </c>
      <c r="BI28" s="278" t="n">
        <f aca="false">COUNTIF(A28:AH28,"*$AM*")</f>
        <v>0</v>
      </c>
      <c r="BJ28" s="278" t="n">
        <f aca="false">BI28*0.5</f>
        <v>0</v>
      </c>
      <c r="BK28" s="278" t="n">
        <f aca="false">COUNTIF(A28:AH28,"*$FC*")</f>
        <v>0</v>
      </c>
      <c r="BL28" s="278" t="n">
        <f aca="false">BK28*1</f>
        <v>0</v>
      </c>
      <c r="BM28" s="278" t="n">
        <f aca="false">COUNTIF($D28:$AA28,BM$4)</f>
        <v>0</v>
      </c>
      <c r="BN28" s="278" t="n">
        <f aca="false">COUNTIF($D28:$AA28,BN$4)</f>
        <v>0</v>
      </c>
      <c r="BO28" s="278" t="n">
        <f aca="false">COUNTIF($D28:$AA28,BO$4)</f>
        <v>0</v>
      </c>
      <c r="BP28" s="278"/>
    </row>
    <row r="29" customFormat="false" ht="19.5" hidden="false" customHeight="true" outlineLevel="0" collapsed="false">
      <c r="A29" s="272"/>
      <c r="B29" s="279" t="s">
        <v>614</v>
      </c>
      <c r="C29" s="266" t="s">
        <v>56</v>
      </c>
      <c r="D29" s="266"/>
      <c r="E29" s="266" t="s">
        <v>573</v>
      </c>
      <c r="F29" s="91"/>
      <c r="G29" s="266" t="s">
        <v>350</v>
      </c>
      <c r="H29" s="91"/>
      <c r="I29" s="266" t="s">
        <v>57</v>
      </c>
      <c r="J29" s="91"/>
      <c r="K29" s="266" t="s">
        <v>56</v>
      </c>
      <c r="L29" s="91"/>
      <c r="M29" s="91"/>
      <c r="N29" s="91"/>
      <c r="O29" s="266"/>
      <c r="P29" s="266" t="s">
        <v>56</v>
      </c>
      <c r="Q29" s="266"/>
      <c r="R29" s="266"/>
      <c r="S29" s="266" t="s">
        <v>57</v>
      </c>
      <c r="T29" s="266"/>
      <c r="U29" s="266"/>
      <c r="V29" s="91"/>
      <c r="W29" s="266"/>
      <c r="X29" s="266" t="s">
        <v>953</v>
      </c>
      <c r="Y29" s="266"/>
      <c r="Z29" s="266"/>
      <c r="AA29" s="91" t="s">
        <v>57</v>
      </c>
      <c r="AB29" s="266"/>
      <c r="AC29" s="341"/>
      <c r="AD29" s="342" t="s">
        <v>952</v>
      </c>
      <c r="AE29" s="326"/>
      <c r="AF29" s="266" t="s">
        <v>573</v>
      </c>
      <c r="AG29" s="266"/>
      <c r="AH29" s="272" t="n">
        <f aca="false">COUNTIF($C29:$AF29,AH$4)</f>
        <v>3</v>
      </c>
      <c r="AI29" s="272" t="n">
        <f aca="false">COUNTIF($C29:$AF29,AI$4)</f>
        <v>3</v>
      </c>
      <c r="AJ29" s="272" t="n">
        <f aca="false">COUNTIF($C29:$AF29,AJ$4)</f>
        <v>0</v>
      </c>
      <c r="AK29" s="272" t="n">
        <f aca="false">COUNTIF($C29:$AF29,AK$4)</f>
        <v>0</v>
      </c>
      <c r="AL29" s="272" t="n">
        <f aca="false">COUNTIF($C29:$AF29,AL$4)</f>
        <v>0</v>
      </c>
      <c r="AM29" s="272" t="n">
        <f aca="false">COUNTIF($C29:$AF29,AM$4)</f>
        <v>0</v>
      </c>
      <c r="AN29" s="272" t="n">
        <f aca="false">COUNTIF($C29:$AF29,AN$4)</f>
        <v>0</v>
      </c>
      <c r="AO29" s="272" t="n">
        <f aca="false">COUNTIF($C29:$AF29,AO$4)</f>
        <v>0</v>
      </c>
      <c r="AP29" s="272" t="n">
        <f aca="false">COUNTIF($C29:$AF29,AP$4)</f>
        <v>0</v>
      </c>
      <c r="AQ29" s="279" t="n">
        <v>2</v>
      </c>
      <c r="AR29" s="279"/>
      <c r="AS29" s="278" t="n">
        <f aca="false">SUMPRODUCT(--(WEEKDAY(C$3:AG$3,2)&lt;5),--ISNUMBER(MATCH(C29:AG29,{"DM","CS1","CS2","SB1","AE","CS/B"},0)))</f>
        <v>4</v>
      </c>
      <c r="AT29" s="272"/>
      <c r="AU29" s="278" t="n">
        <f aca="false">SUMPRODUCT(--(WEEKDAY(C$3:AG$3,2)=5),--ISNUMBER(MATCH(C29:AG29,{"DM","CS1","CS2","SB1","AE","CS/B","WEEKEND OUTFIELD RESERVE"},0)))</f>
        <v>1</v>
      </c>
      <c r="AV29" s="278" t="n">
        <f aca="false">SUMPRODUCT(--(WEEKDAY(C$3:AG$3,2)&gt;5),--ISNUMBER(MATCH(C29:AG29,{"DM","CS1","CS2","SB1","AE","CS/B","WEEKEND OUTFIELD RESERVE"},0)))</f>
        <v>1</v>
      </c>
      <c r="AW29" s="272"/>
      <c r="AX29" s="278" t="n">
        <f aca="false">(AS29-AT29)+AU29*1.5+(AV29-AW29)*2+AM29*0.5+AO29*0.5+AQ29-AR29</f>
        <v>9.5</v>
      </c>
      <c r="AY29" s="278" t="n">
        <f aca="false">AS29+AU29+AV29</f>
        <v>6</v>
      </c>
      <c r="AZ29" s="278" t="n">
        <f aca="false">BC29+BE29+BG29+BI29+BK29</f>
        <v>2</v>
      </c>
      <c r="BA29" s="279" t="n">
        <f aca="false">AX29+BB29</f>
        <v>10.5</v>
      </c>
      <c r="BB29" s="278" t="n">
        <f aca="false">BD29+BF29+BH29+BJ29+BL29</f>
        <v>1</v>
      </c>
      <c r="BC29" s="278" t="n">
        <f aca="false">COUNTIF(A29:AH29,"*$BTP*")</f>
        <v>0</v>
      </c>
      <c r="BD29" s="278" t="n">
        <f aca="false">BC29*1.5</f>
        <v>0</v>
      </c>
      <c r="BE29" s="278" t="n">
        <f aca="false">COUNTIF(A29:AH29,"*$M*")</f>
        <v>0</v>
      </c>
      <c r="BF29" s="278" t="n">
        <f aca="false">BE29*1</f>
        <v>0</v>
      </c>
      <c r="BG29" s="278" t="n">
        <f aca="false">COUNTIF(A29:AH29,"*$PM*")</f>
        <v>0</v>
      </c>
      <c r="BH29" s="278" t="n">
        <f aca="false">BG29*0.5</f>
        <v>0</v>
      </c>
      <c r="BI29" s="278" t="n">
        <f aca="false">COUNTIF(A29:AH29,"*$AM*")</f>
        <v>2</v>
      </c>
      <c r="BJ29" s="278" t="n">
        <f aca="false">BI29*0.5</f>
        <v>1</v>
      </c>
      <c r="BK29" s="278" t="n">
        <f aca="false">COUNTIF(A29:AH29,"*$FC*")</f>
        <v>0</v>
      </c>
      <c r="BL29" s="278" t="n">
        <f aca="false">BK29*1</f>
        <v>0</v>
      </c>
      <c r="BM29" s="278" t="n">
        <f aca="false">COUNTIF($D29:$AA29,BM$4)</f>
        <v>0</v>
      </c>
      <c r="BN29" s="278" t="n">
        <f aca="false">COUNTIF($D29:$AA29,BN$4)</f>
        <v>1</v>
      </c>
      <c r="BO29" s="278" t="n">
        <f aca="false">COUNTIF($D29:$AA29,BO$4)</f>
        <v>0</v>
      </c>
      <c r="BP29" s="272"/>
    </row>
    <row r="30" customFormat="false" ht="19.5" hidden="false" customHeight="true" outlineLevel="0" collapsed="false">
      <c r="A30" s="272"/>
      <c r="B30" s="279" t="s">
        <v>954</v>
      </c>
      <c r="C30" s="266"/>
      <c r="D30" s="266" t="s">
        <v>57</v>
      </c>
      <c r="E30" s="266"/>
      <c r="F30" s="91"/>
      <c r="G30" s="266" t="s">
        <v>57</v>
      </c>
      <c r="H30" s="266"/>
      <c r="I30" s="266" t="s">
        <v>573</v>
      </c>
      <c r="J30" s="91" t="s">
        <v>955</v>
      </c>
      <c r="L30" s="91" t="s">
        <v>57</v>
      </c>
      <c r="M30" s="266"/>
      <c r="N30" s="91" t="s">
        <v>57</v>
      </c>
      <c r="O30" s="91"/>
      <c r="P30" s="343" t="s">
        <v>956</v>
      </c>
      <c r="Q30" s="266" t="s">
        <v>93</v>
      </c>
      <c r="R30" s="91"/>
      <c r="S30" s="266"/>
      <c r="T30" s="266" t="s">
        <v>56</v>
      </c>
      <c r="U30" s="266"/>
      <c r="W30" s="266"/>
      <c r="X30" s="266" t="s">
        <v>957</v>
      </c>
      <c r="Y30" s="266" t="s">
        <v>56</v>
      </c>
      <c r="Z30" s="91"/>
      <c r="AA30" s="266"/>
      <c r="AB30" s="91"/>
      <c r="AC30" s="344" t="s">
        <v>237</v>
      </c>
      <c r="AD30" s="300"/>
      <c r="AE30" s="345" t="s">
        <v>57</v>
      </c>
      <c r="AF30" s="266"/>
      <c r="AG30" s="266" t="s">
        <v>573</v>
      </c>
      <c r="AH30" s="272" t="n">
        <f aca="false">COUNTIF($C30:$AF30,AH$4)</f>
        <v>5</v>
      </c>
      <c r="AI30" s="272" t="n">
        <f aca="false">COUNTIF($C30:$AF30,AI$4)</f>
        <v>2</v>
      </c>
      <c r="AJ30" s="272" t="n">
        <f aca="false">COUNTIF($C30:$AF30,AJ$4)</f>
        <v>0</v>
      </c>
      <c r="AK30" s="272" t="n">
        <f aca="false">COUNTIF($C30:$AF30,AK$4)</f>
        <v>0</v>
      </c>
      <c r="AL30" s="272" t="n">
        <f aca="false">COUNTIF($C30:$AF30,AL$4)</f>
        <v>0</v>
      </c>
      <c r="AM30" s="272" t="n">
        <f aca="false">COUNTIF($C30:$AF30,AM$4)</f>
        <v>1</v>
      </c>
      <c r="AN30" s="272" t="n">
        <f aca="false">COUNTIF($C30:$AF30,AN$4)</f>
        <v>0</v>
      </c>
      <c r="AO30" s="272" t="n">
        <f aca="false">COUNTIF($C30:$AF30,AO$4)</f>
        <v>0</v>
      </c>
      <c r="AP30" s="272" t="n">
        <f aca="false">COUNTIF($C30:$AF30,AP$4)</f>
        <v>0</v>
      </c>
      <c r="AQ30" s="279"/>
      <c r="AR30" s="279" t="n">
        <v>5</v>
      </c>
      <c r="AS30" s="278" t="n">
        <f aca="false">SUMPRODUCT(--(WEEKDAY(C$3:AG$3,2)&lt;5),--ISNUMBER(MATCH(C30:AG30,{"DM","CS1","CS2","SB1","AE","CS/B"},0)))</f>
        <v>3</v>
      </c>
      <c r="AT30" s="272"/>
      <c r="AU30" s="278" t="n">
        <f aca="false">SUMPRODUCT(--(WEEKDAY(C$3:AG$3,2)=5),--ISNUMBER(MATCH(C30:AG30,{"DM","CS1","CS2","SB1","AE","CS/B","WEEKEND OUTFIELD RESERVE"},0)))</f>
        <v>1</v>
      </c>
      <c r="AV30" s="278" t="n">
        <f aca="false">SUMPRODUCT(--(WEEKDAY(C$3:AG$3,2)&gt;5),--ISNUMBER(MATCH(C30:AG30,{"DM","CS1","CS2","SB1","AE","CS/B","WEEKEND OUTFIELD RESERVE"},0)))</f>
        <v>3</v>
      </c>
      <c r="AW30" s="272"/>
      <c r="AX30" s="278" t="n">
        <f aca="false">(AS30-AT30)+AU30*1.5+(AV30-AW30)*2+AM30*0.5+AO30*0.5+AQ30-AR30</f>
        <v>6</v>
      </c>
      <c r="AY30" s="278" t="n">
        <f aca="false">AS30+AU30+AV30</f>
        <v>7</v>
      </c>
      <c r="AZ30" s="278" t="n">
        <f aca="false">BC30+BE30+BG30+BI30+BK30</f>
        <v>4</v>
      </c>
      <c r="BA30" s="279" t="n">
        <f aca="false">AX30+BB30</f>
        <v>9</v>
      </c>
      <c r="BB30" s="278" t="n">
        <f aca="false">BD30+BF30+BH30+BJ30+BL30</f>
        <v>3</v>
      </c>
      <c r="BC30" s="278" t="n">
        <f aca="false">COUNTIF(A30:AH30,"*$BTP*")</f>
        <v>1</v>
      </c>
      <c r="BD30" s="278" t="n">
        <f aca="false">BC30*1.5</f>
        <v>1.5</v>
      </c>
      <c r="BE30" s="278" t="n">
        <f aca="false">COUNTIF(A30:AH30,"*$M*")</f>
        <v>0</v>
      </c>
      <c r="BF30" s="278" t="n">
        <f aca="false">BE30*1</f>
        <v>0</v>
      </c>
      <c r="BG30" s="278" t="n">
        <f aca="false">COUNTIF(A30:AH30,"*$PM*")</f>
        <v>1</v>
      </c>
      <c r="BH30" s="278" t="n">
        <f aca="false">BG30*0.5</f>
        <v>0.5</v>
      </c>
      <c r="BI30" s="278" t="n">
        <f aca="false">COUNTIF(A30:AH30,"*$AM*")</f>
        <v>2</v>
      </c>
      <c r="BJ30" s="278" t="n">
        <f aca="false">BI30*0.5</f>
        <v>1</v>
      </c>
      <c r="BK30" s="278" t="n">
        <f aca="false">COUNTIF(A30:AH30,"*$FC*")</f>
        <v>0</v>
      </c>
      <c r="BL30" s="278" t="n">
        <f aca="false">BK30*1</f>
        <v>0</v>
      </c>
      <c r="BM30" s="278" t="n">
        <f aca="false">COUNTIF($D30:$AA30,BM$4)</f>
        <v>0</v>
      </c>
      <c r="BN30" s="278" t="n">
        <f aca="false">COUNTIF($D30:$AA30,BN$4)</f>
        <v>0</v>
      </c>
      <c r="BO30" s="278" t="n">
        <f aca="false">COUNTIF($D30:$AA30,BO$4)</f>
        <v>0</v>
      </c>
      <c r="BP30" s="272"/>
    </row>
    <row r="31" customFormat="false" ht="19.5" hidden="false" customHeight="true" outlineLevel="0" collapsed="false">
      <c r="A31" s="272"/>
      <c r="B31" s="279" t="s">
        <v>627</v>
      </c>
      <c r="C31" s="266"/>
      <c r="D31" s="266"/>
      <c r="E31" s="266"/>
      <c r="F31" s="266"/>
      <c r="G31" s="91"/>
      <c r="H31" s="91" t="s">
        <v>949</v>
      </c>
      <c r="I31" s="266"/>
      <c r="J31" s="266" t="s">
        <v>61</v>
      </c>
      <c r="L31" s="91"/>
      <c r="M31" s="266" t="s">
        <v>54</v>
      </c>
      <c r="N31" s="266" t="s">
        <v>54</v>
      </c>
      <c r="O31" s="266" t="s">
        <v>54</v>
      </c>
      <c r="P31" s="266" t="s">
        <v>54</v>
      </c>
      <c r="Q31" s="266" t="s">
        <v>54</v>
      </c>
      <c r="R31" s="266" t="s">
        <v>54</v>
      </c>
      <c r="S31" s="266" t="s">
        <v>54</v>
      </c>
      <c r="T31" s="266" t="s">
        <v>54</v>
      </c>
      <c r="U31" s="91" t="s">
        <v>56</v>
      </c>
      <c r="V31" s="266"/>
      <c r="W31" s="91" t="s">
        <v>93</v>
      </c>
      <c r="X31" s="266" t="s">
        <v>958</v>
      </c>
      <c r="Y31" s="91"/>
      <c r="Z31" s="343" t="s">
        <v>956</v>
      </c>
      <c r="AA31" s="91"/>
      <c r="AB31" s="266" t="s">
        <v>595</v>
      </c>
      <c r="AC31" s="346" t="s">
        <v>595</v>
      </c>
      <c r="AD31" s="346" t="s">
        <v>595</v>
      </c>
      <c r="AE31" s="347" t="s">
        <v>595</v>
      </c>
      <c r="AF31" s="266" t="s">
        <v>595</v>
      </c>
      <c r="AG31" s="266"/>
      <c r="AH31" s="272" t="n">
        <f aca="false">COUNTIF($C31:$AF31,AH$4)</f>
        <v>0</v>
      </c>
      <c r="AI31" s="272" t="n">
        <f aca="false">COUNTIF($C31:$AF31,AI$4)</f>
        <v>1</v>
      </c>
      <c r="AJ31" s="272" t="n">
        <f aca="false">COUNTIF($C31:$AF31,AJ$4)</f>
        <v>0</v>
      </c>
      <c r="AK31" s="272" t="n">
        <f aca="false">COUNTIF($C31:$AF31,AK$4)</f>
        <v>0</v>
      </c>
      <c r="AL31" s="272" t="n">
        <f aca="false">COUNTIF($C31:$AF31,AL$4)</f>
        <v>0</v>
      </c>
      <c r="AM31" s="272" t="n">
        <f aca="false">COUNTIF($C31:$AF31,AM$4)</f>
        <v>1</v>
      </c>
      <c r="AN31" s="272" t="n">
        <f aca="false">COUNTIF($C31:$AF31,AN$4)</f>
        <v>0</v>
      </c>
      <c r="AO31" s="272" t="n">
        <f aca="false">COUNTIF($C31:$AF31,AO$4)</f>
        <v>0</v>
      </c>
      <c r="AP31" s="272" t="n">
        <f aca="false">COUNTIF($C31:$AF31,AP$4)</f>
        <v>0</v>
      </c>
      <c r="AQ31" s="279"/>
      <c r="AR31" s="279" t="n">
        <v>12.5</v>
      </c>
      <c r="AS31" s="278" t="n">
        <f aca="false">SUMPRODUCT(--(WEEKDAY(C$3:AG$3,2)&lt;5),--ISNUMBER(MATCH(C31:AG31,{"DM","CS1","CS2","SB1","AE","CS/B"},0)))</f>
        <v>0</v>
      </c>
      <c r="AT31" s="272"/>
      <c r="AU31" s="278" t="n">
        <f aca="false">SUMPRODUCT(--(WEEKDAY(C$3:AG$3,2)=5),--ISNUMBER(MATCH(C31:AG31,{"DM","CS1","CS2","SB1","AE","CS/B","WEEKEND OUTFIELD RESERVE"},0)))</f>
        <v>0</v>
      </c>
      <c r="AV31" s="278" t="n">
        <f aca="false">SUMPRODUCT(--(WEEKDAY(C$3:AG$3,2)&gt;5),--ISNUMBER(MATCH(C31:AG31,{"DM","CS1","CS2","SB1","AE","CS/B","WEEKEND OUTFIELD RESERVE"},0)))</f>
        <v>1</v>
      </c>
      <c r="AW31" s="272"/>
      <c r="AX31" s="278" t="n">
        <f aca="false">(AS31-AT31)+AU31*1.5+(AV31-AW31)*2+AM31*0.5+AO31*0.5+AQ31-AR31</f>
        <v>-10</v>
      </c>
      <c r="AY31" s="278" t="n">
        <f aca="false">AS31+AU31+AV31</f>
        <v>1</v>
      </c>
      <c r="AZ31" s="278" t="n">
        <f aca="false">BC31+BE31+BG31+BI31+BK31</f>
        <v>7</v>
      </c>
      <c r="BA31" s="279" t="n">
        <f aca="false">AX31+BB31</f>
        <v>-3.5</v>
      </c>
      <c r="BB31" s="278" t="n">
        <f aca="false">BD31+BF31+BH31+BJ31+BL31</f>
        <v>6.5</v>
      </c>
      <c r="BC31" s="278" t="n">
        <f aca="false">COUNTIF(A31:AH31,"*$BTP*")</f>
        <v>0</v>
      </c>
      <c r="BD31" s="278" t="n">
        <f aca="false">BC31*1.5</f>
        <v>0</v>
      </c>
      <c r="BE31" s="278" t="n">
        <f aca="false">COUNTIF(A31:AH31,"*$M*")</f>
        <v>1</v>
      </c>
      <c r="BF31" s="278" t="n">
        <f aca="false">BE31*1</f>
        <v>1</v>
      </c>
      <c r="BG31" s="278" t="n">
        <f aca="false">COUNTIF(A31:AH31,"*$PM*")</f>
        <v>0</v>
      </c>
      <c r="BH31" s="278" t="n">
        <f aca="false">BG31*0.5</f>
        <v>0</v>
      </c>
      <c r="BI31" s="278" t="n">
        <f aca="false">COUNTIF(A31:AH31,"*$AM*")</f>
        <v>1</v>
      </c>
      <c r="BJ31" s="278" t="n">
        <f aca="false">BI31*0.5</f>
        <v>0.5</v>
      </c>
      <c r="BK31" s="278" t="n">
        <f aca="false">COUNTIF(A31:AH31,"*$FC*")</f>
        <v>5</v>
      </c>
      <c r="BL31" s="278" t="n">
        <f aca="false">BK31*1</f>
        <v>5</v>
      </c>
      <c r="BM31" s="278" t="n">
        <f aca="false">COUNTIF($D31:$Z31,BM$4)</f>
        <v>0</v>
      </c>
      <c r="BN31" s="278" t="n">
        <f aca="false">COUNTIF($D31:$Z31,BN$4)</f>
        <v>0</v>
      </c>
      <c r="BO31" s="278" t="n">
        <f aca="false">COUNTIF($D31:$Z31,BO$4)</f>
        <v>0</v>
      </c>
      <c r="BP31" s="272"/>
    </row>
    <row r="32" customFormat="false" ht="48.75" hidden="false" customHeight="true" outlineLevel="0" collapsed="false">
      <c r="A32" s="272"/>
      <c r="B32" s="279" t="s">
        <v>610</v>
      </c>
      <c r="C32" s="266" t="s">
        <v>959</v>
      </c>
      <c r="D32" s="266" t="s">
        <v>57</v>
      </c>
      <c r="E32" s="266" t="s">
        <v>164</v>
      </c>
      <c r="F32" s="266"/>
      <c r="G32" s="266"/>
      <c r="H32" s="266"/>
      <c r="I32" s="91"/>
      <c r="J32" s="266"/>
      <c r="K32" s="266" t="s">
        <v>566</v>
      </c>
      <c r="L32" s="266"/>
      <c r="M32" s="266" t="s">
        <v>59</v>
      </c>
      <c r="O32" s="266"/>
      <c r="Q32" s="91"/>
      <c r="R32" s="266"/>
      <c r="S32" s="266" t="s">
        <v>960</v>
      </c>
      <c r="T32" s="91"/>
      <c r="U32" s="91"/>
      <c r="V32" s="266"/>
      <c r="W32" s="266" t="s">
        <v>573</v>
      </c>
      <c r="X32" s="266"/>
      <c r="Y32" s="91" t="s">
        <v>57</v>
      </c>
      <c r="Z32" s="266"/>
      <c r="AA32" s="266"/>
      <c r="AB32" s="266"/>
      <c r="AC32" s="255" t="s">
        <v>57</v>
      </c>
      <c r="AD32" s="300"/>
      <c r="AE32" s="325" t="s">
        <v>61</v>
      </c>
      <c r="AF32" s="266"/>
      <c r="AG32" s="266" t="s">
        <v>59</v>
      </c>
      <c r="AH32" s="272" t="n">
        <f aca="false">COUNTIF($C32:$AF32,AH$4)</f>
        <v>3</v>
      </c>
      <c r="AI32" s="272" t="n">
        <f aca="false">COUNTIF($C32:$AF32,AI$4)</f>
        <v>0</v>
      </c>
      <c r="AJ32" s="272" t="n">
        <f aca="false">COUNTIF($C32:$AF32,AJ$4)</f>
        <v>1</v>
      </c>
      <c r="AK32" s="272" t="n">
        <f aca="false">COUNTIF($C32:$AF32,AK$4)</f>
        <v>1</v>
      </c>
      <c r="AL32" s="272" t="n">
        <f aca="false">COUNTIF($C32:$AF32,AL$4)</f>
        <v>0</v>
      </c>
      <c r="AM32" s="272" t="n">
        <f aca="false">COUNTIF($C32:$AF32,AM$4)</f>
        <v>0</v>
      </c>
      <c r="AN32" s="272" t="n">
        <f aca="false">COUNTIF($C32:$AF32,AN$4)</f>
        <v>0</v>
      </c>
      <c r="AO32" s="272" t="n">
        <f aca="false">COUNTIF($C32:$AF32,AO$4)</f>
        <v>0</v>
      </c>
      <c r="AP32" s="272" t="n">
        <f aca="false">COUNTIF($C32:$AF32,AP$4)</f>
        <v>0</v>
      </c>
      <c r="AQ32" s="279" t="n">
        <v>1</v>
      </c>
      <c r="AR32" s="279"/>
      <c r="AS32" s="278" t="n">
        <f aca="false">SUMPRODUCT(--(WEEKDAY(C$3:AG$3,2)&lt;5),--ISNUMBER(MATCH(C32:AG32,{"DM","CS1","CS2","SB1","AE","CS/B"},0)))</f>
        <v>4</v>
      </c>
      <c r="AT32" s="278"/>
      <c r="AU32" s="278" t="n">
        <f aca="false">SUMPRODUCT(--(WEEKDAY(C$3:AG$3,2)=5),--ISNUMBER(MATCH(C32:AG32,{"DM","CS1","CS2","SB1","AE","CS/B","WEEKEND OUTFIELD RESERVE"},0)))</f>
        <v>1</v>
      </c>
      <c r="AV32" s="278" t="n">
        <f aca="false">SUMPRODUCT(--(WEEKDAY(C$3:AG$3,2)&gt;5),--ISNUMBER(MATCH(C32:AG32,{"DM","CS1","CS2","SB1","AE","CS/B","WEEKEND OUTFIELD RESERVE"},0)))</f>
        <v>1</v>
      </c>
      <c r="AW32" s="278"/>
      <c r="AX32" s="278" t="n">
        <f aca="false">(AS32-AT32)+AU32*1.5+(AV32-AW32)*2+AM32*0.5+AO32*0.5+AQ32-AR32</f>
        <v>8.5</v>
      </c>
      <c r="AY32" s="278" t="n">
        <f aca="false">AS32+AU32+AV32</f>
        <v>6</v>
      </c>
      <c r="AZ32" s="278" t="n">
        <f aca="false">BC32+BE32+BG32+BI32+BK32</f>
        <v>2</v>
      </c>
      <c r="BA32" s="279" t="n">
        <f aca="false">AX32+BB32</f>
        <v>9.5</v>
      </c>
      <c r="BB32" s="278" t="n">
        <f aca="false">BD32+BF32+BH32+BJ32+BL32</f>
        <v>1</v>
      </c>
      <c r="BC32" s="278" t="n">
        <f aca="false">COUNTIF(A32:AH32,"*$BTP*")</f>
        <v>0</v>
      </c>
      <c r="BD32" s="278" t="n">
        <f aca="false">BC32*1.5</f>
        <v>0</v>
      </c>
      <c r="BE32" s="278" t="n">
        <f aca="false">COUNTIF(A32:AH32,"*$M*")</f>
        <v>0</v>
      </c>
      <c r="BF32" s="278" t="n">
        <f aca="false">BE32*1</f>
        <v>0</v>
      </c>
      <c r="BG32" s="278" t="n">
        <f aca="false">COUNTIF(A32:AH32,"*$PM*")</f>
        <v>0</v>
      </c>
      <c r="BH32" s="278" t="n">
        <f aca="false">BG32*0.5</f>
        <v>0</v>
      </c>
      <c r="BI32" s="278" t="n">
        <f aca="false">COUNTIF(A32:AH32,"*$AM*")</f>
        <v>2</v>
      </c>
      <c r="BJ32" s="278" t="n">
        <f aca="false">BI32*0.5</f>
        <v>1</v>
      </c>
      <c r="BK32" s="278" t="n">
        <f aca="false">COUNTIF(A32:AH32,"*$FC*")</f>
        <v>0</v>
      </c>
      <c r="BL32" s="278" t="n">
        <f aca="false">BK32*1</f>
        <v>0</v>
      </c>
      <c r="BM32" s="278" t="n">
        <f aca="false">COUNTIF($D32:$AA32,BM$4)</f>
        <v>0</v>
      </c>
      <c r="BN32" s="278" t="n">
        <f aca="false">COUNTIF($D32:$AA32,BN$4)</f>
        <v>0</v>
      </c>
      <c r="BO32" s="278" t="n">
        <f aca="false">COUNTIF($D32:$AA32,BO$4)</f>
        <v>0</v>
      </c>
      <c r="BP32" s="278"/>
    </row>
    <row r="33" customFormat="false" ht="19.5" hidden="false" customHeight="true" outlineLevel="0" collapsed="false">
      <c r="A33" s="272"/>
      <c r="B33" s="279" t="s">
        <v>633</v>
      </c>
      <c r="C33" s="266"/>
      <c r="D33" s="266" t="s">
        <v>55</v>
      </c>
      <c r="E33" s="91" t="s">
        <v>54</v>
      </c>
      <c r="F33" s="266" t="s">
        <v>54</v>
      </c>
      <c r="G33" s="266" t="s">
        <v>54</v>
      </c>
      <c r="H33" s="266" t="s">
        <v>949</v>
      </c>
      <c r="I33" s="266" t="s">
        <v>57</v>
      </c>
      <c r="J33" s="266"/>
      <c r="K33" s="266" t="s">
        <v>57</v>
      </c>
      <c r="L33" s="266"/>
      <c r="M33" s="266"/>
      <c r="N33" s="266"/>
      <c r="O33" s="266"/>
      <c r="Q33" s="266"/>
      <c r="R33" s="91" t="s">
        <v>93</v>
      </c>
      <c r="S33" s="266"/>
      <c r="T33" s="266"/>
      <c r="U33" s="266" t="s">
        <v>566</v>
      </c>
      <c r="V33" s="266"/>
      <c r="W33" s="91" t="s">
        <v>57</v>
      </c>
      <c r="X33" s="91"/>
      <c r="Y33" s="91"/>
      <c r="Z33" s="266"/>
      <c r="AA33" s="266"/>
      <c r="AB33" s="266"/>
      <c r="AC33" s="188" t="s">
        <v>767</v>
      </c>
      <c r="AD33" s="188" t="s">
        <v>767</v>
      </c>
      <c r="AE33" s="326"/>
      <c r="AF33" s="266" t="s">
        <v>57</v>
      </c>
      <c r="AG33" s="266"/>
      <c r="AH33" s="272" t="n">
        <f aca="false">COUNTIF($C33:$AF33,AH$4)</f>
        <v>4</v>
      </c>
      <c r="AI33" s="272" t="n">
        <f aca="false">COUNTIF($C33:$AF33,AI$4)</f>
        <v>0</v>
      </c>
      <c r="AJ33" s="272" t="n">
        <f aca="false">COUNTIF($C33:$AF33,AJ$4)</f>
        <v>0</v>
      </c>
      <c r="AK33" s="272" t="n">
        <f aca="false">COUNTIF($C33:$AF33,AK$4)</f>
        <v>1</v>
      </c>
      <c r="AL33" s="272" t="n">
        <f aca="false">COUNTIF($C33:$AF33,AL$4)</f>
        <v>0</v>
      </c>
      <c r="AM33" s="272" t="n">
        <f aca="false">COUNTIF($C33:$AF33,AM$4)</f>
        <v>1</v>
      </c>
      <c r="AN33" s="272" t="n">
        <f aca="false">COUNTIF($C33:$AF33,AN$4)</f>
        <v>0</v>
      </c>
      <c r="AO33" s="272" t="n">
        <f aca="false">COUNTIF($C33:$AF33,AO$4)</f>
        <v>2</v>
      </c>
      <c r="AP33" s="272" t="n">
        <f aca="false">COUNTIF($C33:$AF33,AP$4)</f>
        <v>0</v>
      </c>
      <c r="AQ33" s="279" t="n">
        <v>1</v>
      </c>
      <c r="AR33" s="279"/>
      <c r="AS33" s="278" t="n">
        <f aca="false">SUMPRODUCT(--(WEEKDAY(C$3:AG$3,2)&lt;5),--ISNUMBER(MATCH(C33:AG33,{"DM","CS1","CS2","SB1","AE","CS/B"},0)))</f>
        <v>4</v>
      </c>
      <c r="AT33" s="272"/>
      <c r="AU33" s="278" t="n">
        <f aca="false">SUMPRODUCT(--(WEEKDAY(C$3:AG$3,2)=5),--ISNUMBER(MATCH(C33:AG33,{"DM","CS1","CS2","SB1","AE","CS/B","WEEKEND OUTFIELD RESERVE"},0)))</f>
        <v>0</v>
      </c>
      <c r="AV33" s="278" t="n">
        <f aca="false">SUMPRODUCT(--(WEEKDAY(C$3:AG$3,2)&gt;5),--ISNUMBER(MATCH(C33:AG33,{"DM","CS1","CS2","SB1","AE","CS/B","WEEKEND OUTFIELD RESERVE"},0)))</f>
        <v>1</v>
      </c>
      <c r="AW33" s="272"/>
      <c r="AX33" s="278" t="n">
        <f aca="false">(AS33-AT33)+AU33*1.5+(AV33-AW33)*2+AM33*0.5+AO33*0.5+AQ33-AR33</f>
        <v>8.5</v>
      </c>
      <c r="AY33" s="278" t="n">
        <f aca="false">AS33+AU33+AV33</f>
        <v>5</v>
      </c>
      <c r="AZ33" s="278" t="n">
        <f aca="false">BC33+BE33+BG33+BI33+BK33</f>
        <v>0</v>
      </c>
      <c r="BA33" s="279" t="n">
        <f aca="false">AX33+BB33</f>
        <v>8.5</v>
      </c>
      <c r="BB33" s="278" t="n">
        <f aca="false">BD33+BF33+BH33+BJ33+BL33</f>
        <v>0</v>
      </c>
      <c r="BC33" s="278" t="n">
        <f aca="false">COUNTIF(A33:AH33,"*$BTP*")</f>
        <v>0</v>
      </c>
      <c r="BD33" s="278" t="n">
        <f aca="false">BC33*1.5</f>
        <v>0</v>
      </c>
      <c r="BE33" s="278" t="n">
        <f aca="false">COUNTIF(A33:AH33,"*$M*")</f>
        <v>0</v>
      </c>
      <c r="BF33" s="278" t="n">
        <f aca="false">BE33*1</f>
        <v>0</v>
      </c>
      <c r="BG33" s="278" t="n">
        <f aca="false">COUNTIF(A33:AH33,"*$PM*")</f>
        <v>0</v>
      </c>
      <c r="BH33" s="278" t="n">
        <f aca="false">BG33*0.5</f>
        <v>0</v>
      </c>
      <c r="BI33" s="278" t="n">
        <f aca="false">COUNTIF(A33:AH33,"*$AM*")</f>
        <v>0</v>
      </c>
      <c r="BJ33" s="278" t="n">
        <f aca="false">BI33*0.5</f>
        <v>0</v>
      </c>
      <c r="BK33" s="278" t="n">
        <f aca="false">COUNTIF(A33:AH33,"*$FC*")</f>
        <v>0</v>
      </c>
      <c r="BL33" s="278" t="n">
        <f aca="false">BK33*1</f>
        <v>0</v>
      </c>
      <c r="BM33" s="278" t="n">
        <f aca="false">COUNTIF($D33:$Z33,BM$4)</f>
        <v>0</v>
      </c>
      <c r="BN33" s="278" t="n">
        <f aca="false">COUNTIF($D33:$Z33,BN$4)</f>
        <v>0</v>
      </c>
      <c r="BO33" s="278" t="n">
        <f aca="false">COUNTIF($D33:$Z33,BO$4)</f>
        <v>1</v>
      </c>
      <c r="BP33" s="272"/>
    </row>
    <row r="34" customFormat="false" ht="19.5" hidden="false" customHeight="true" outlineLevel="0" collapsed="false">
      <c r="A34" s="272"/>
      <c r="B34" s="279" t="s">
        <v>637</v>
      </c>
      <c r="D34" s="91" t="s">
        <v>961</v>
      </c>
      <c r="E34" s="266" t="s">
        <v>57</v>
      </c>
      <c r="F34" s="266"/>
      <c r="G34" s="266"/>
      <c r="H34" s="266" t="s">
        <v>949</v>
      </c>
      <c r="I34" s="266"/>
      <c r="K34" s="266" t="s">
        <v>707</v>
      </c>
      <c r="L34" s="91"/>
      <c r="M34" s="266" t="s">
        <v>57</v>
      </c>
      <c r="N34" s="266"/>
      <c r="O34" s="266" t="s">
        <v>380</v>
      </c>
      <c r="P34" s="266" t="s">
        <v>380</v>
      </c>
      <c r="Q34" s="266"/>
      <c r="R34" s="91"/>
      <c r="S34" s="91" t="s">
        <v>162</v>
      </c>
      <c r="T34" s="91"/>
      <c r="U34" s="266"/>
      <c r="V34" s="91" t="s">
        <v>57</v>
      </c>
      <c r="W34" s="91"/>
      <c r="Z34" s="91"/>
      <c r="AA34" s="266"/>
      <c r="AB34" s="266" t="s">
        <v>57</v>
      </c>
      <c r="AC34" s="300"/>
      <c r="AD34" s="300"/>
      <c r="AE34" s="325" t="s">
        <v>767</v>
      </c>
      <c r="AF34" s="266" t="s">
        <v>767</v>
      </c>
      <c r="AG34" s="266" t="s">
        <v>56</v>
      </c>
      <c r="AH34" s="272" t="n">
        <f aca="false">COUNTIF($C34:$AF34,AH$4)</f>
        <v>4</v>
      </c>
      <c r="AI34" s="272" t="n">
        <f aca="false">COUNTIF($C34:$AF34,AI$4)</f>
        <v>0</v>
      </c>
      <c r="AJ34" s="272" t="n">
        <f aca="false">COUNTIF($C34:$AF34,AJ$4)</f>
        <v>0</v>
      </c>
      <c r="AK34" s="272" t="n">
        <f aca="false">COUNTIF($C34:$AF34,AK$4)</f>
        <v>0</v>
      </c>
      <c r="AL34" s="272" t="n">
        <f aca="false">COUNTIF($C34:$AF34,AL$4)</f>
        <v>0</v>
      </c>
      <c r="AM34" s="272" t="n">
        <f aca="false">COUNTIF($C34:$AF34,AM$4)</f>
        <v>0</v>
      </c>
      <c r="AN34" s="272" t="n">
        <f aca="false">COUNTIF($C34:$AF34,AN$4)</f>
        <v>0</v>
      </c>
      <c r="AO34" s="272" t="n">
        <f aca="false">COUNTIF($C34:$AF34,AO$4)</f>
        <v>2</v>
      </c>
      <c r="AP34" s="272" t="n">
        <f aca="false">COUNTIF($C34:$AF34,AP$4)</f>
        <v>0</v>
      </c>
      <c r="AQ34" s="279" t="n">
        <v>0</v>
      </c>
      <c r="AR34" s="279"/>
      <c r="AS34" s="278" t="n">
        <f aca="false">SUMPRODUCT(--(WEEKDAY(C$3:AG$3,2)&lt;5),--ISNUMBER(MATCH(C34:AG34,{"DM","CS1","CS2","SB1","AE","CS/B"},0)))</f>
        <v>1</v>
      </c>
      <c r="AT34" s="272"/>
      <c r="AU34" s="278" t="n">
        <f aca="false">SUMPRODUCT(--(WEEKDAY(C$3:AG$3,2)=5),--ISNUMBER(MATCH(C34:AG34,{"DM","CS1","CS2","SB1","AE","CS/B","WEEKEND OUTFIELD RESERVE"},0)))</f>
        <v>2</v>
      </c>
      <c r="AV34" s="278" t="n">
        <f aca="false">SUMPRODUCT(--(WEEKDAY(C$3:AG$3,2)&gt;5),--ISNUMBER(MATCH(C34:AG34,{"DM","CS1","CS2","SB1","AE","CS/B","WEEKEND OUTFIELD RESERVE"},0)))</f>
        <v>2</v>
      </c>
      <c r="AW34" s="272"/>
      <c r="AX34" s="278" t="n">
        <f aca="false">(AS34-AT34)+AU34*1.5+(AV34-AW34)*2+AM34*0.5+AO34*0.5+AQ34-AR34</f>
        <v>9</v>
      </c>
      <c r="AY34" s="278" t="n">
        <f aca="false">AS34+AU34+AV34</f>
        <v>5</v>
      </c>
      <c r="AZ34" s="278" t="n">
        <f aca="false">BC34+BE34+BG34+BI34+BK34</f>
        <v>1</v>
      </c>
      <c r="BA34" s="279" t="n">
        <f aca="false">AX34+BB34</f>
        <v>9.5</v>
      </c>
      <c r="BB34" s="278" t="n">
        <f aca="false">BD34+BF34+BH34+BJ34+BL34</f>
        <v>0.5</v>
      </c>
      <c r="BC34" s="278" t="n">
        <f aca="false">COUNTIF(A34:AH34,"*$BTP*")</f>
        <v>0</v>
      </c>
      <c r="BD34" s="278" t="n">
        <f aca="false">BC34*1.5</f>
        <v>0</v>
      </c>
      <c r="BE34" s="278" t="n">
        <f aca="false">COUNTIF(A34:AH34,"*$M*")</f>
        <v>0</v>
      </c>
      <c r="BF34" s="278" t="n">
        <f aca="false">BE34*1</f>
        <v>0</v>
      </c>
      <c r="BG34" s="278" t="n">
        <f aca="false">COUNTIF(A34:AH34,"*$PM*")</f>
        <v>0</v>
      </c>
      <c r="BH34" s="278" t="n">
        <f aca="false">BG34*0.5</f>
        <v>0</v>
      </c>
      <c r="BI34" s="278" t="n">
        <f aca="false">COUNTIF(A34:AH34,"*$AM*")</f>
        <v>1</v>
      </c>
      <c r="BJ34" s="278" t="n">
        <f aca="false">BI34*0.5</f>
        <v>0.5</v>
      </c>
      <c r="BK34" s="278" t="n">
        <f aca="false">COUNTIF(A34:AH34,"*$FC*")</f>
        <v>0</v>
      </c>
      <c r="BL34" s="278" t="n">
        <f aca="false">BK34*1</f>
        <v>0</v>
      </c>
      <c r="BM34" s="278" t="n">
        <f aca="false">COUNTIF($H34:$AA34,BM$4)</f>
        <v>0</v>
      </c>
      <c r="BN34" s="278" t="n">
        <f aca="false">COUNTIF($H34:$AA34,BN$4)</f>
        <v>0</v>
      </c>
      <c r="BO34" s="278" t="n">
        <f aca="false">COUNTIF($H34:$AA34,BO$4)</f>
        <v>0</v>
      </c>
      <c r="BP34" s="272"/>
    </row>
    <row r="35" customFormat="false" ht="51.75" hidden="false" customHeight="true" outlineLevel="0" collapsed="false">
      <c r="A35" s="272"/>
      <c r="B35" s="279" t="s">
        <v>639</v>
      </c>
      <c r="C35" s="266"/>
      <c r="D35" s="266"/>
      <c r="E35" s="266" t="s">
        <v>58</v>
      </c>
      <c r="F35" s="91"/>
      <c r="G35" s="266"/>
      <c r="H35" s="266" t="s">
        <v>949</v>
      </c>
      <c r="I35" s="266" t="s">
        <v>56</v>
      </c>
      <c r="J35" s="266"/>
      <c r="K35" s="266" t="s">
        <v>93</v>
      </c>
      <c r="L35" s="266"/>
      <c r="M35" s="266"/>
      <c r="N35" s="266"/>
      <c r="O35" s="266" t="s">
        <v>65</v>
      </c>
      <c r="P35" s="266"/>
      <c r="Q35" s="91" t="s">
        <v>350</v>
      </c>
      <c r="R35" s="266"/>
      <c r="S35" s="266" t="s">
        <v>93</v>
      </c>
      <c r="T35" s="266"/>
      <c r="U35" s="91"/>
      <c r="V35" s="91" t="s">
        <v>65</v>
      </c>
      <c r="W35" s="91"/>
      <c r="X35" s="91"/>
      <c r="Y35" s="266" t="s">
        <v>350</v>
      </c>
      <c r="Z35" s="266"/>
      <c r="AA35" s="266"/>
      <c r="AB35" s="266" t="s">
        <v>65</v>
      </c>
      <c r="AC35" s="341"/>
      <c r="AD35" s="341"/>
      <c r="AE35" s="330" t="s">
        <v>61</v>
      </c>
      <c r="AF35" s="266"/>
      <c r="AH35" s="272" t="n">
        <f aca="false">COUNTIF($C35:$AF35,AH$4)</f>
        <v>0</v>
      </c>
      <c r="AI35" s="272" t="n">
        <f aca="false">COUNTIF($C35:$AF35,AI$4)</f>
        <v>1</v>
      </c>
      <c r="AJ35" s="272" t="n">
        <f aca="false">COUNTIF($C35:$AF35,AJ$4)</f>
        <v>0</v>
      </c>
      <c r="AK35" s="272" t="n">
        <f aca="false">COUNTIF($C35:$AF35,AK$4)</f>
        <v>0</v>
      </c>
      <c r="AL35" s="272" t="n">
        <f aca="false">COUNTIF($C35:$AF35,AL$4)</f>
        <v>1</v>
      </c>
      <c r="AM35" s="272" t="n">
        <f aca="false">COUNTIF($C35:$AF35,AM$4)</f>
        <v>2</v>
      </c>
      <c r="AN35" s="272" t="n">
        <f aca="false">COUNTIF($C35:$AF35,AN$4)</f>
        <v>3</v>
      </c>
      <c r="AO35" s="272" t="n">
        <f aca="false">COUNTIF($C35:$AF35,AO$4)</f>
        <v>0</v>
      </c>
      <c r="AP35" s="272" t="n">
        <f aca="false">COUNTIF($C35:$AF35,AP$4)</f>
        <v>0</v>
      </c>
      <c r="AQ35" s="279" t="n">
        <v>1.5</v>
      </c>
      <c r="AR35" s="279"/>
      <c r="AS35" s="278" t="n">
        <f aca="false">SUMPRODUCT(--(WEEKDAY(C$3:AG$3,2)&lt;5),--ISNUMBER(MATCH(C35:AG35,{"DM","CS1","CS2","SB1","AE","CS/B"},0)))</f>
        <v>3</v>
      </c>
      <c r="AT35" s="272"/>
      <c r="AU35" s="278" t="n">
        <f aca="false">SUMPRODUCT(--(WEEKDAY(C$3:AG$3,2)=5),--ISNUMBER(MATCH(C35:AG35,{"DM","CS1","CS2","SB1","AE","CS/B","WEEKEND OUTFIELD RESERVE"},0)))</f>
        <v>1</v>
      </c>
      <c r="AV35" s="278" t="n">
        <f aca="false">SUMPRODUCT(--(WEEKDAY(C$3:AG$3,2)&gt;5),--ISNUMBER(MATCH(C35:AG35,{"DM","CS1","CS2","SB1","AE","CS/B","WEEKEND OUTFIELD RESERVE"},0)))</f>
        <v>1</v>
      </c>
      <c r="AW35" s="272"/>
      <c r="AX35" s="278" t="n">
        <f aca="false">(AS35-AT35)+AU35*1.5+(AV35-AW35)*2+AM35*0.5+AO35*0.5+AQ35-AR35</f>
        <v>9</v>
      </c>
      <c r="AY35" s="278" t="n">
        <f aca="false">AS35+AU35+AV35</f>
        <v>5</v>
      </c>
      <c r="AZ35" s="278" t="n">
        <f aca="false">BC35+BE35+BG35+BI35+BK35</f>
        <v>0</v>
      </c>
      <c r="BA35" s="279" t="n">
        <f aca="false">AX35+BB35</f>
        <v>9</v>
      </c>
      <c r="BB35" s="278" t="n">
        <f aca="false">BD35+BF35+BH35+BJ35+BL35</f>
        <v>0</v>
      </c>
      <c r="BC35" s="278" t="n">
        <f aca="false">COUNTIF(A35:AH35,"*$BTP*")</f>
        <v>0</v>
      </c>
      <c r="BD35" s="278" t="n">
        <f aca="false">BC35*1.5</f>
        <v>0</v>
      </c>
      <c r="BE35" s="278" t="n">
        <f aca="false">COUNTIF(A35:AH35,"*$M*")</f>
        <v>0</v>
      </c>
      <c r="BF35" s="278" t="n">
        <f aca="false">BE35*1</f>
        <v>0</v>
      </c>
      <c r="BG35" s="278" t="n">
        <f aca="false">COUNTIF(A35:AH35,"*$PM*")</f>
        <v>0</v>
      </c>
      <c r="BH35" s="278" t="n">
        <f aca="false">BG35*0.5</f>
        <v>0</v>
      </c>
      <c r="BI35" s="278" t="n">
        <f aca="false">COUNTIF(A35:AH35,"*$AM*")</f>
        <v>0</v>
      </c>
      <c r="BJ35" s="278" t="n">
        <f aca="false">BI35*0.5</f>
        <v>0</v>
      </c>
      <c r="BK35" s="278" t="n">
        <f aca="false">COUNTIF(A35:AH35,"*$FC*")</f>
        <v>0</v>
      </c>
      <c r="BL35" s="278" t="n">
        <f aca="false">BK35*1</f>
        <v>0</v>
      </c>
      <c r="BM35" s="278" t="n">
        <f aca="false">COUNTIF($D35:$Z35,BM$4)</f>
        <v>0</v>
      </c>
      <c r="BN35" s="278" t="n">
        <f aca="false">COUNTIF($D35:$Z35,BN$4)</f>
        <v>2</v>
      </c>
      <c r="BO35" s="278" t="n">
        <f aca="false">COUNTIF($D35:$Z35,BO$4)</f>
        <v>0</v>
      </c>
      <c r="BP35" s="272"/>
    </row>
    <row r="36" customFormat="false" ht="19.5" hidden="false" customHeight="true" outlineLevel="0" collapsed="false">
      <c r="A36" s="272"/>
      <c r="B36" s="279" t="s">
        <v>736</v>
      </c>
      <c r="C36" s="266" t="s">
        <v>124</v>
      </c>
      <c r="D36" s="91" t="s">
        <v>962</v>
      </c>
      <c r="E36" s="266" t="s">
        <v>59</v>
      </c>
      <c r="F36" s="266"/>
      <c r="G36" s="266"/>
      <c r="H36" s="266"/>
      <c r="I36" s="266" t="s">
        <v>93</v>
      </c>
      <c r="J36" s="266" t="s">
        <v>308</v>
      </c>
      <c r="K36" s="266"/>
      <c r="L36" s="266" t="s">
        <v>350</v>
      </c>
      <c r="M36" s="266"/>
      <c r="N36" s="91"/>
      <c r="O36" s="266" t="s">
        <v>56</v>
      </c>
      <c r="P36" s="325" t="s">
        <v>963</v>
      </c>
      <c r="Q36" s="266"/>
      <c r="R36" s="266"/>
      <c r="S36" s="266"/>
      <c r="T36" s="266" t="s">
        <v>58</v>
      </c>
      <c r="U36" s="266"/>
      <c r="V36" s="91"/>
      <c r="W36" s="266" t="s">
        <v>240</v>
      </c>
      <c r="X36" s="91"/>
      <c r="Y36" s="266" t="s">
        <v>55</v>
      </c>
      <c r="Z36" s="266" t="s">
        <v>55</v>
      </c>
      <c r="AA36" s="266"/>
      <c r="AB36" s="266"/>
      <c r="AC36" s="300"/>
      <c r="AD36" s="344" t="s">
        <v>237</v>
      </c>
      <c r="AF36" s="92" t="s">
        <v>602</v>
      </c>
      <c r="AH36" s="272" t="n">
        <f aca="false">COUNTIF($C36:$AF36,AH$4)</f>
        <v>0</v>
      </c>
      <c r="AI36" s="272" t="n">
        <f aca="false">COUNTIF($C36:$AF36,AI$4)</f>
        <v>1</v>
      </c>
      <c r="AJ36" s="272" t="n">
        <f aca="false">COUNTIF($C36:$AF36,AJ$4)</f>
        <v>1</v>
      </c>
      <c r="AK36" s="272" t="n">
        <f aca="false">COUNTIF($C36:$AF36,AK$4)</f>
        <v>0</v>
      </c>
      <c r="AL36" s="272" t="n">
        <f aca="false">COUNTIF($C36:$AF36,AL$4)</f>
        <v>1</v>
      </c>
      <c r="AM36" s="272" t="n">
        <f aca="false">COUNTIF($C36:$AF36,AM$4)</f>
        <v>1</v>
      </c>
      <c r="AN36" s="272" t="n">
        <f aca="false">COUNTIF($C36:$AF36,AN$4)</f>
        <v>0</v>
      </c>
      <c r="AO36" s="272" t="n">
        <f aca="false">COUNTIF($C36:$AF36,AO$4)</f>
        <v>0</v>
      </c>
      <c r="AP36" s="272" t="n">
        <f aca="false">COUNTIF($C36:$AF36,AP$4)</f>
        <v>0</v>
      </c>
      <c r="AQ36" s="279"/>
      <c r="AR36" s="279" t="n">
        <v>0.5</v>
      </c>
      <c r="AS36" s="278" t="n">
        <f aca="false">SUMPRODUCT(--(WEEKDAY(C$3:AG$3,2)&lt;5),--ISNUMBER(MATCH(C36:AG36,{"DM","CS1","CS2","SB1","AE","CS/B"},0)))</f>
        <v>1</v>
      </c>
      <c r="AT36" s="272"/>
      <c r="AU36" s="278" t="n">
        <f aca="false">SUMPRODUCT(--(WEEKDAY(C$3:AG$3,2)=5),--ISNUMBER(MATCH(C36:AG36,{"DM","CS1","CS2","SB1","AE","CS/B","WEEKEND OUTFIELD RESERVE"},0)))</f>
        <v>1</v>
      </c>
      <c r="AV36" s="278" t="n">
        <f aca="false">SUMPRODUCT(--(WEEKDAY(C$3:AG$3,2)&gt;5),--ISNUMBER(MATCH(C36:AG36,{"DM","CS1","CS2","SB1","AE","CS/B","WEEKEND OUTFIELD RESERVE"},0)))</f>
        <v>1</v>
      </c>
      <c r="AW36" s="272"/>
      <c r="AX36" s="278" t="n">
        <f aca="false">(AS36-AT36)+AU36*1.5+(AV36-AW36)*2+AM36*0.5+AO36*0.5+AQ36-AR36</f>
        <v>4.5</v>
      </c>
      <c r="AY36" s="278" t="n">
        <f aca="false">AS36+AU36+AV36</f>
        <v>3</v>
      </c>
      <c r="AZ36" s="278" t="n">
        <f aca="false">BC36+BE36+BG36+BI36+BK36</f>
        <v>7</v>
      </c>
      <c r="BA36" s="279" t="n">
        <f aca="false">AX36+BB36</f>
        <v>11.5</v>
      </c>
      <c r="BB36" s="278" t="n">
        <f aca="false">BD36+BF36+BH36+BJ36+BL36</f>
        <v>7</v>
      </c>
      <c r="BC36" s="278" t="n">
        <f aca="false">COUNTIF(A36:AH36,"*$BTP*")</f>
        <v>3</v>
      </c>
      <c r="BD36" s="278" t="n">
        <f aca="false">BC36*1.5</f>
        <v>4.5</v>
      </c>
      <c r="BE36" s="278" t="n">
        <f aca="false">COUNTIF(A36:AH36,"*$M*")</f>
        <v>1</v>
      </c>
      <c r="BF36" s="278" t="n">
        <f aca="false">BE36*1</f>
        <v>1</v>
      </c>
      <c r="BG36" s="278" t="n">
        <f aca="false">COUNTIF(A36:AH36,"*$PM*")</f>
        <v>2</v>
      </c>
      <c r="BH36" s="278" t="n">
        <f aca="false">BG36*0.5</f>
        <v>1</v>
      </c>
      <c r="BI36" s="278" t="n">
        <f aca="false">COUNTIF(A36:AH36,"*$AM*")</f>
        <v>1</v>
      </c>
      <c r="BJ36" s="278" t="n">
        <f aca="false">BI36*0.5</f>
        <v>0.5</v>
      </c>
      <c r="BK36" s="278" t="n">
        <f aca="false">COUNTIF(A36:AH36,"*$FC*")</f>
        <v>0</v>
      </c>
      <c r="BL36" s="278" t="n">
        <f aca="false">BK36*1</f>
        <v>0</v>
      </c>
      <c r="BM36" s="278" t="n">
        <f aca="false">COUNTIF($D36:$AA36,BM$4)</f>
        <v>0</v>
      </c>
      <c r="BN36" s="278" t="n">
        <f aca="false">COUNTIF($D36:$AA36,BN$4)</f>
        <v>1</v>
      </c>
      <c r="BO36" s="278" t="n">
        <f aca="false">COUNTIF($D36:$AA36,BO$4)</f>
        <v>2</v>
      </c>
      <c r="BP36" s="272"/>
    </row>
    <row r="37" customFormat="false" ht="19.5" hidden="false" customHeight="true" outlineLevel="0" collapsed="false">
      <c r="A37" s="272"/>
      <c r="B37" s="279" t="s">
        <v>739</v>
      </c>
      <c r="C37" s="91" t="s">
        <v>59</v>
      </c>
      <c r="D37" s="91"/>
      <c r="E37" s="266"/>
      <c r="F37" s="266" t="s">
        <v>58</v>
      </c>
      <c r="G37" s="266"/>
      <c r="H37" s="266" t="s">
        <v>566</v>
      </c>
      <c r="I37" s="91"/>
      <c r="J37" s="266" t="s">
        <v>93</v>
      </c>
      <c r="K37" s="266" t="s">
        <v>573</v>
      </c>
      <c r="L37" s="266"/>
      <c r="M37" s="91" t="s">
        <v>964</v>
      </c>
      <c r="N37" s="266"/>
      <c r="O37" s="91"/>
      <c r="P37" s="91" t="s">
        <v>58</v>
      </c>
      <c r="Q37" s="266"/>
      <c r="R37" s="266"/>
      <c r="S37" s="266" t="s">
        <v>65</v>
      </c>
      <c r="T37" s="266"/>
      <c r="U37" s="91"/>
      <c r="W37" s="91" t="s">
        <v>58</v>
      </c>
      <c r="X37" s="266" t="s">
        <v>573</v>
      </c>
      <c r="Y37" s="266"/>
      <c r="Z37" s="266" t="s">
        <v>54</v>
      </c>
      <c r="AA37" s="91" t="s">
        <v>54</v>
      </c>
      <c r="AB37" s="91" t="s">
        <v>54</v>
      </c>
      <c r="AC37" s="341"/>
      <c r="AD37" s="188" t="s">
        <v>573</v>
      </c>
      <c r="AE37" s="326"/>
      <c r="AG37" s="266"/>
      <c r="AH37" s="272" t="n">
        <f aca="false">COUNTIF($C37:$AF37,AH$4)</f>
        <v>0</v>
      </c>
      <c r="AI37" s="272" t="n">
        <f aca="false">COUNTIF($C37:$AF37,AI$4)</f>
        <v>0</v>
      </c>
      <c r="AJ37" s="272" t="n">
        <f aca="false">COUNTIF($C37:$AF37,AJ$4)</f>
        <v>1</v>
      </c>
      <c r="AK37" s="272" t="n">
        <f aca="false">COUNTIF($C37:$AF37,AK$4)</f>
        <v>1</v>
      </c>
      <c r="AL37" s="272" t="n">
        <f aca="false">COUNTIF($C37:$AF37,AL$4)</f>
        <v>3</v>
      </c>
      <c r="AM37" s="272" t="n">
        <f aca="false">COUNTIF($C37:$AF37,AM$4)</f>
        <v>1</v>
      </c>
      <c r="AN37" s="272" t="n">
        <f aca="false">COUNTIF($C37:$AF37,AN$4)</f>
        <v>1</v>
      </c>
      <c r="AO37" s="272" t="n">
        <f aca="false">COUNTIF($C37:$AF37,AO$4)</f>
        <v>0</v>
      </c>
      <c r="AP37" s="272" t="n">
        <f aca="false">COUNTIF($C37:$AF37,AP$4)</f>
        <v>0</v>
      </c>
      <c r="AQ37" s="279" t="n">
        <v>0</v>
      </c>
      <c r="AR37" s="279"/>
      <c r="AS37" s="278" t="n">
        <f aca="false">SUMPRODUCT(--(WEEKDAY(C$3:AG$3,2)&lt;5),--ISNUMBER(MATCH(C37:AG37,{"DM","CS1","CS2","SB1","AE","CS/B"},0)))</f>
        <v>4</v>
      </c>
      <c r="AT37" s="272"/>
      <c r="AU37" s="278" t="n">
        <f aca="false">SUMPRODUCT(--(WEEKDAY(C$3:AG$3,2)=5),--ISNUMBER(MATCH(C37:AG37,{"DM","CS1","CS2","SB1","AE","CS/B","WEEKEND OUTFIELD RESERVE"},0)))</f>
        <v>1</v>
      </c>
      <c r="AV37" s="278" t="n">
        <f aca="false">SUMPRODUCT(--(WEEKDAY(C$3:AG$3,2)&gt;5),--ISNUMBER(MATCH(C37:AG37,{"DM","CS1","CS2","SB1","AE","CS/B","WEEKEND OUTFIELD RESERVE"},0)))</f>
        <v>1</v>
      </c>
      <c r="AW37" s="272"/>
      <c r="AX37" s="278" t="n">
        <f aca="false">(AS37-AT37)+AU37*1.5+(AV37-AW37)*2+AM37*0.5+AO37*0.5+AQ37-AR37</f>
        <v>8</v>
      </c>
      <c r="AY37" s="278" t="n">
        <f aca="false">AS37+AU37+AV37</f>
        <v>6</v>
      </c>
      <c r="AZ37" s="278" t="n">
        <f aca="false">BC37+BE37+BG37+BI37+BK37</f>
        <v>1</v>
      </c>
      <c r="BA37" s="279" t="n">
        <f aca="false">AX37+BB37</f>
        <v>9</v>
      </c>
      <c r="BB37" s="278" t="n">
        <f aca="false">BD37+BF37+BH37+BJ37+BL37</f>
        <v>1</v>
      </c>
      <c r="BC37" s="278" t="n">
        <f aca="false">COUNTIF(A37:AH37,"*$BTP*")</f>
        <v>0</v>
      </c>
      <c r="BD37" s="278" t="n">
        <f aca="false">BC37*1.5</f>
        <v>0</v>
      </c>
      <c r="BE37" s="278" t="n">
        <f aca="false">COUNTIF(A37:AH37,"*$M*")</f>
        <v>1</v>
      </c>
      <c r="BF37" s="278" t="n">
        <f aca="false">BE37*1</f>
        <v>1</v>
      </c>
      <c r="BG37" s="278" t="n">
        <f aca="false">COUNTIF(A37:AH37,"*$PM*")</f>
        <v>0</v>
      </c>
      <c r="BH37" s="278" t="n">
        <f aca="false">BG37*0.5</f>
        <v>0</v>
      </c>
      <c r="BI37" s="278" t="n">
        <f aca="false">COUNTIF(A37:AH37,"*$AM*")</f>
        <v>0</v>
      </c>
      <c r="BJ37" s="278" t="n">
        <f aca="false">BI37*0.5</f>
        <v>0</v>
      </c>
      <c r="BK37" s="278" t="n">
        <f aca="false">COUNTIF(A37:AH37,"*$FC*")</f>
        <v>0</v>
      </c>
      <c r="BL37" s="278" t="n">
        <f aca="false">BK37*1</f>
        <v>0</v>
      </c>
      <c r="BM37" s="278" t="n">
        <f aca="false">COUNTIF($D37:$Y37,BM$4)</f>
        <v>0</v>
      </c>
      <c r="BN37" s="278" t="n">
        <f aca="false">COUNTIF($D37:$Y37,BN$4)</f>
        <v>0</v>
      </c>
      <c r="BO37" s="278" t="n">
        <f aca="false">COUNTIF($D37:$Y37,BO$4)</f>
        <v>0</v>
      </c>
      <c r="BP37" s="272"/>
    </row>
    <row r="38" customFormat="false" ht="19.5" hidden="false" customHeight="true" outlineLevel="0" collapsed="false">
      <c r="A38" s="272"/>
      <c r="B38" s="279" t="s">
        <v>965</v>
      </c>
      <c r="C38" s="266"/>
      <c r="D38" s="91"/>
      <c r="E38" s="266"/>
      <c r="F38" s="266"/>
      <c r="G38" s="266"/>
      <c r="H38" s="91" t="s">
        <v>56</v>
      </c>
      <c r="I38" s="91"/>
      <c r="J38" s="266" t="s">
        <v>58</v>
      </c>
      <c r="K38" s="266"/>
      <c r="L38" s="266" t="s">
        <v>93</v>
      </c>
      <c r="M38" s="91"/>
      <c r="N38" s="266" t="s">
        <v>966</v>
      </c>
      <c r="P38" s="266" t="s">
        <v>967</v>
      </c>
      <c r="Q38" s="266"/>
      <c r="R38" s="266"/>
      <c r="S38" s="266" t="s">
        <v>968</v>
      </c>
      <c r="T38" s="266"/>
      <c r="U38" s="266"/>
      <c r="V38" s="266" t="s">
        <v>56</v>
      </c>
      <c r="X38" s="266" t="s">
        <v>350</v>
      </c>
      <c r="Z38" s="91"/>
      <c r="AA38" s="91"/>
      <c r="AB38" s="266"/>
      <c r="AC38" s="346" t="s">
        <v>754</v>
      </c>
      <c r="AD38" s="346" t="s">
        <v>754</v>
      </c>
      <c r="AE38" s="347" t="s">
        <v>754</v>
      </c>
      <c r="AF38" s="266" t="s">
        <v>754</v>
      </c>
      <c r="AG38" s="266" t="s">
        <v>754</v>
      </c>
      <c r="AH38" s="272" t="n">
        <f aca="false">COUNTIF($C38:$AB38,AH$4)</f>
        <v>0</v>
      </c>
      <c r="AI38" s="272" t="n">
        <f aca="false">COUNTIF($C38:$AB38,AI$4)</f>
        <v>2</v>
      </c>
      <c r="AJ38" s="272" t="n">
        <f aca="false">COUNTIF($C38:$AB38,AJ$4)</f>
        <v>0</v>
      </c>
      <c r="AK38" s="272" t="n">
        <f aca="false">COUNTIF($C38:$AB38,AK$4)</f>
        <v>0</v>
      </c>
      <c r="AL38" s="272" t="n">
        <f aca="false">COUNTIF($C38:$AB38,AL$4)</f>
        <v>1</v>
      </c>
      <c r="AM38" s="272" t="n">
        <f aca="false">COUNTIF($C38:$AB38,AM$4)</f>
        <v>1</v>
      </c>
      <c r="AN38" s="272" t="n">
        <f aca="false">COUNTIF($C38:$AB38,AN$4)</f>
        <v>0</v>
      </c>
      <c r="AO38" s="272" t="n">
        <f aca="false">COUNTIF($C38:$AB38,AO$4)</f>
        <v>0</v>
      </c>
      <c r="AP38" s="272" t="n">
        <f aca="false">COUNTIF($C38:$AB38,AP$4)</f>
        <v>0</v>
      </c>
      <c r="AQ38" s="279"/>
      <c r="AR38" s="279" t="n">
        <v>0.5</v>
      </c>
      <c r="AS38" s="278" t="n">
        <f aca="false">SUMPRODUCT(--(WEEKDAY(C$3:AG$3,2)&lt;5),--ISNUMBER(MATCH(C38:AG38,{"DM","CS1","CS2","SB1","AE","CS/B"},0)))</f>
        <v>3</v>
      </c>
      <c r="AT38" s="272"/>
      <c r="AU38" s="278" t="n">
        <f aca="false">SUMPRODUCT(--(WEEKDAY(C$3:AG$3,2)=5),--ISNUMBER(MATCH(C38:AG38,{"DM","CS1","CS2","SB1","AE","CS/B","WEEKEND OUTFIELD RESERVE"},0)))</f>
        <v>0</v>
      </c>
      <c r="AV38" s="278" t="n">
        <f aca="false">SUMPRODUCT(--(WEEKDAY(C$3:AG$3,2)&gt;5),--ISNUMBER(MATCH(C38:AG38,{"DM","CS1","CS2","SB1","AE","CS/B","WEEKEND OUTFIELD RESERVE"},0)))</f>
        <v>0</v>
      </c>
      <c r="AW38" s="272"/>
      <c r="AX38" s="278" t="n">
        <f aca="false">(AS38-AT38)+AU38*1.5+(AV38-AW38)*2+AM38*0.5+AO38*0.5+AQ38-AR38</f>
        <v>3</v>
      </c>
      <c r="AY38" s="278" t="n">
        <f aca="false">AS38+AU38+AV38</f>
        <v>3</v>
      </c>
      <c r="AZ38" s="278" t="n">
        <f aca="false">BC38+BE38+BG38+BI38+BK38</f>
        <v>8</v>
      </c>
      <c r="BA38" s="279" t="n">
        <f aca="false">AX38+BB38</f>
        <v>11</v>
      </c>
      <c r="BB38" s="278" t="n">
        <f aca="false">BD38+BF38+BH38+BJ38+BL38</f>
        <v>8</v>
      </c>
      <c r="BC38" s="278" t="n">
        <f aca="false">COUNTIF(A38:AH38,"*$BTP*")</f>
        <v>1</v>
      </c>
      <c r="BD38" s="278" t="n">
        <f aca="false">BC38*1.5</f>
        <v>1.5</v>
      </c>
      <c r="BE38" s="278" t="n">
        <f aca="false">COUNTIF(A38:AH38,"*$M*")</f>
        <v>1</v>
      </c>
      <c r="BF38" s="278" t="n">
        <f aca="false">BE38*1</f>
        <v>1</v>
      </c>
      <c r="BG38" s="278" t="n">
        <f aca="false">COUNTIF(A38:AH38,"*$PM*")</f>
        <v>1</v>
      </c>
      <c r="BH38" s="278" t="n">
        <f aca="false">BG38*0.5</f>
        <v>0.5</v>
      </c>
      <c r="BI38" s="278" t="n">
        <f aca="false">COUNTIF(A38:AH38,"*$AM*")</f>
        <v>0</v>
      </c>
      <c r="BJ38" s="278" t="n">
        <f aca="false">BI38*0.5</f>
        <v>0</v>
      </c>
      <c r="BK38" s="278" t="n">
        <f aca="false">COUNTIF(A38:AH38,"*$FC*")</f>
        <v>5</v>
      </c>
      <c r="BL38" s="278" t="n">
        <f aca="false">BK38*1</f>
        <v>5</v>
      </c>
      <c r="BM38" s="278" t="n">
        <f aca="false">COUNTIF($D38:$Z38,BM$4)</f>
        <v>0</v>
      </c>
      <c r="BN38" s="278" t="n">
        <f aca="false">COUNTIF($D38:$Z38,BN$4)</f>
        <v>1</v>
      </c>
      <c r="BO38" s="278" t="n">
        <f aca="false">COUNTIF($D38:$Z38,BO$4)</f>
        <v>0</v>
      </c>
      <c r="BP38" s="272"/>
    </row>
    <row r="39" customFormat="false" ht="19.5" hidden="false" customHeight="true" outlineLevel="0" collapsed="false">
      <c r="A39" s="272"/>
      <c r="B39" s="279" t="s">
        <v>657</v>
      </c>
      <c r="D39" s="91" t="s">
        <v>56</v>
      </c>
      <c r="E39" s="266"/>
      <c r="F39" s="266"/>
      <c r="G39" s="266" t="s">
        <v>566</v>
      </c>
      <c r="I39" s="91"/>
      <c r="J39" s="266" t="s">
        <v>59</v>
      </c>
      <c r="K39" s="266"/>
      <c r="L39" s="266"/>
      <c r="M39" s="266"/>
      <c r="N39" s="266" t="s">
        <v>566</v>
      </c>
      <c r="O39" s="91"/>
      <c r="Q39" s="91"/>
      <c r="R39" s="91" t="s">
        <v>969</v>
      </c>
      <c r="S39" s="266" t="s">
        <v>56</v>
      </c>
      <c r="T39" s="91"/>
      <c r="U39" s="91"/>
      <c r="V39" s="91"/>
      <c r="W39" s="266" t="s">
        <v>59</v>
      </c>
      <c r="Y39" s="266" t="s">
        <v>566</v>
      </c>
      <c r="Z39" s="266" t="s">
        <v>573</v>
      </c>
      <c r="AA39" s="91"/>
      <c r="AB39" s="266"/>
      <c r="AD39" s="348" t="s">
        <v>58</v>
      </c>
      <c r="AF39" s="91" t="s">
        <v>350</v>
      </c>
      <c r="AG39" s="266" t="s">
        <v>93</v>
      </c>
      <c r="AH39" s="272" t="n">
        <f aca="false">COUNTIF($C39:$AB39,AH$4)</f>
        <v>0</v>
      </c>
      <c r="AI39" s="272" t="n">
        <f aca="false">COUNTIF($C39:$AB39,AI$4)</f>
        <v>2</v>
      </c>
      <c r="AJ39" s="272" t="n">
        <f aca="false">COUNTIF($C39:$AB39,AJ$4)</f>
        <v>2</v>
      </c>
      <c r="AK39" s="272" t="n">
        <f aca="false">COUNTIF($C39:$AB39,AK$4)</f>
        <v>3</v>
      </c>
      <c r="AL39" s="272" t="n">
        <f aca="false">COUNTIF($C39:$AB39,AL$4)</f>
        <v>0</v>
      </c>
      <c r="AM39" s="272" t="n">
        <f aca="false">COUNTIF($C39:$AB39,AM$4)</f>
        <v>0</v>
      </c>
      <c r="AN39" s="272" t="n">
        <f aca="false">COUNTIF($C39:$AB39,AN$4)</f>
        <v>0</v>
      </c>
      <c r="AO39" s="272" t="n">
        <f aca="false">COUNTIF($C39:$AB39,AO$4)</f>
        <v>0</v>
      </c>
      <c r="AP39" s="272" t="n">
        <f aca="false">COUNTIF($C39:$AB39,AP$4)</f>
        <v>0</v>
      </c>
      <c r="AQ39" s="279"/>
      <c r="AR39" s="279" t="n">
        <v>7</v>
      </c>
      <c r="AS39" s="278" t="n">
        <f aca="false">SUMPRODUCT(--(WEEKDAY(C$3:AG$3,2)&lt;5),--ISNUMBER(MATCH(C39:AG39,{"DM","CS1","CS2","SB1","AE","CS/B"},0)))</f>
        <v>5</v>
      </c>
      <c r="AT39" s="272"/>
      <c r="AU39" s="278" t="n">
        <f aca="false">SUMPRODUCT(--(WEEKDAY(C$3:AG$3,2)=5),--ISNUMBER(MATCH(C39:AG39,{"DM","CS1","CS2","SB1","AE","CS/B","WEEKEND OUTFIELD RESERVE"},0)))</f>
        <v>1</v>
      </c>
      <c r="AV39" s="278" t="n">
        <f aca="false">SUMPRODUCT(--(WEEKDAY(C$3:AG$3,2)&gt;5),--ISNUMBER(MATCH(C39:AG39,{"DM","CS1","CS2","SB1","AE","CS/B","WEEKEND OUTFIELD RESERVE"},0)))</f>
        <v>2</v>
      </c>
      <c r="AW39" s="272"/>
      <c r="AX39" s="278" t="n">
        <f aca="false">(AS39-AT39)+AU39*1.5+(AV39-AW39)*2+AM39*0.5+AO39*0.5+AQ39-AR39</f>
        <v>3.5</v>
      </c>
      <c r="AY39" s="278" t="n">
        <f aca="false">AS39+AU39+AV39</f>
        <v>8</v>
      </c>
      <c r="AZ39" s="278" t="n">
        <f aca="false">BC39+BE39+BG39+BI39+BK39</f>
        <v>1</v>
      </c>
      <c r="BA39" s="279" t="n">
        <f aca="false">AX39+BB39</f>
        <v>4</v>
      </c>
      <c r="BB39" s="278" t="n">
        <f aca="false">BD39+BF39+BH39+BJ39+BL39</f>
        <v>0.5</v>
      </c>
      <c r="BC39" s="278" t="n">
        <f aca="false">COUNTIF(A39:AH39,"*$BTP*")</f>
        <v>0</v>
      </c>
      <c r="BD39" s="278" t="n">
        <f aca="false">BC39*1.5</f>
        <v>0</v>
      </c>
      <c r="BE39" s="278" t="n">
        <f aca="false">COUNTIF(A39:AH39,"*$M*")</f>
        <v>0</v>
      </c>
      <c r="BF39" s="278" t="n">
        <f aca="false">BE39*1</f>
        <v>0</v>
      </c>
      <c r="BG39" s="278" t="n">
        <f aca="false">COUNTIF(A39:AH39,"*$PM*")</f>
        <v>0</v>
      </c>
      <c r="BH39" s="278" t="n">
        <f aca="false">BG39*0.5</f>
        <v>0</v>
      </c>
      <c r="BI39" s="278" t="n">
        <f aca="false">COUNTIF(A39:AH39,"*$AM*")</f>
        <v>1</v>
      </c>
      <c r="BJ39" s="278" t="n">
        <f aca="false">BI39*0.5</f>
        <v>0.5</v>
      </c>
      <c r="BK39" s="278" t="n">
        <f aca="false">COUNTIF(A39:AH39,"*$FC*")</f>
        <v>0</v>
      </c>
      <c r="BL39" s="278" t="n">
        <f aca="false">BK39*1</f>
        <v>0</v>
      </c>
      <c r="BM39" s="278" t="n">
        <f aca="false">COUNTIF($D39:$Z39,BM$4)</f>
        <v>0</v>
      </c>
      <c r="BN39" s="278" t="n">
        <f aca="false">COUNTIF($D39:$Z39,BN$4)</f>
        <v>0</v>
      </c>
      <c r="BO39" s="278" t="n">
        <f aca="false">COUNTIF($D39:$Z39,BO$4)</f>
        <v>0</v>
      </c>
      <c r="BP39" s="272"/>
    </row>
    <row r="40" customFormat="false" ht="19.5" hidden="false" customHeight="true" outlineLevel="0" collapsed="false">
      <c r="A40" s="272"/>
      <c r="B40" s="279" t="s">
        <v>970</v>
      </c>
      <c r="C40" s="266" t="s">
        <v>573</v>
      </c>
      <c r="D40" s="343" t="s">
        <v>971</v>
      </c>
      <c r="E40" s="266"/>
      <c r="F40" s="266"/>
      <c r="G40" s="266"/>
      <c r="H40" s="266" t="s">
        <v>949</v>
      </c>
      <c r="I40" s="91" t="s">
        <v>59</v>
      </c>
      <c r="K40" s="266"/>
      <c r="L40" s="266"/>
      <c r="M40" s="266" t="s">
        <v>972</v>
      </c>
      <c r="N40" s="266"/>
      <c r="O40" s="266" t="s">
        <v>566</v>
      </c>
      <c r="P40" s="266"/>
      <c r="Q40" s="266" t="s">
        <v>58</v>
      </c>
      <c r="R40" s="91"/>
      <c r="T40" s="91" t="s">
        <v>350</v>
      </c>
      <c r="U40" s="91"/>
      <c r="V40" s="91" t="s">
        <v>93</v>
      </c>
      <c r="W40" s="91" t="s">
        <v>962</v>
      </c>
      <c r="Y40" s="91" t="s">
        <v>973</v>
      </c>
      <c r="Z40" s="266" t="s">
        <v>58</v>
      </c>
      <c r="AB40" s="266"/>
      <c r="AC40" s="238" t="s">
        <v>56</v>
      </c>
      <c r="AH40" s="272" t="n">
        <f aca="false">COUNTIF($C40:$AB40,AH$4)</f>
        <v>0</v>
      </c>
      <c r="AI40" s="272" t="n">
        <f aca="false">COUNTIF($C40:$AB40,AI$4)</f>
        <v>0</v>
      </c>
      <c r="AJ40" s="272" t="n">
        <f aca="false">COUNTIF($C40:$AB40,AJ$4)</f>
        <v>1</v>
      </c>
      <c r="AK40" s="272" t="n">
        <f aca="false">COUNTIF($C40:$AB40,AK$4)</f>
        <v>1</v>
      </c>
      <c r="AL40" s="272" t="n">
        <f aca="false">COUNTIF($C40:$AB40,AL$4)</f>
        <v>2</v>
      </c>
      <c r="AM40" s="272" t="n">
        <f aca="false">COUNTIF($C40:$AB40,AM$4)</f>
        <v>1</v>
      </c>
      <c r="AN40" s="272" t="n">
        <f aca="false">COUNTIF($C40:$AB40,AN$4)</f>
        <v>0</v>
      </c>
      <c r="AO40" s="272" t="n">
        <f aca="false">COUNTIF($C40:$AB40,AO$4)</f>
        <v>0</v>
      </c>
      <c r="AP40" s="272" t="n">
        <f aca="false">COUNTIF($C40:$AB40,AP$4)</f>
        <v>0</v>
      </c>
      <c r="AQ40" s="279"/>
      <c r="AR40" s="279" t="n">
        <v>0.5</v>
      </c>
      <c r="AS40" s="278" t="n">
        <f aca="false">SUMPRODUCT(--(WEEKDAY(C$3:AG$3,2)&lt;5),--ISNUMBER(MATCH(C40:AG40,{"DM","CS1","CS2","SB1","AE","CS/B"},0)))</f>
        <v>4</v>
      </c>
      <c r="AT40" s="272"/>
      <c r="AU40" s="278" t="n">
        <f aca="false">SUMPRODUCT(--(WEEKDAY(C$3:AG$3,2)=5),--ISNUMBER(MATCH(C40:AG40,{"DM","CS1","CS2","SB1","AE","CS/B","WEEKEND OUTFIELD RESERVE"},0)))</f>
        <v>1</v>
      </c>
      <c r="AV40" s="278" t="n">
        <f aca="false">SUMPRODUCT(--(WEEKDAY(C$3:AG$3,2)&gt;5),--ISNUMBER(MATCH(C40:AG40,{"DM","CS1","CS2","SB1","AE","CS/B","WEEKEND OUTFIELD RESERVE"},0)))</f>
        <v>0</v>
      </c>
      <c r="AW40" s="272"/>
      <c r="AX40" s="278" t="n">
        <f aca="false">(AS40-AT40)+AU40*1.5+(AV40-AW40)*2+AM40*0.5+AO40*0.5+AQ40-AR40</f>
        <v>5.5</v>
      </c>
      <c r="AY40" s="278" t="n">
        <f aca="false">AS40+AU40+AV40</f>
        <v>5</v>
      </c>
      <c r="AZ40" s="278" t="n">
        <f aca="false">BC40+BE40+BG40+BI40+BK40</f>
        <v>4</v>
      </c>
      <c r="BA40" s="279" t="n">
        <f aca="false">AX40+BB40</f>
        <v>7.5</v>
      </c>
      <c r="BB40" s="278" t="n">
        <f aca="false">BD40+BF40+BH40+BJ40+BL40</f>
        <v>2</v>
      </c>
      <c r="BC40" s="278" t="n">
        <f aca="false">COUNTIF(A40:AH40,"*$BTP*")</f>
        <v>0</v>
      </c>
      <c r="BD40" s="278" t="n">
        <f aca="false">BC40*1.5</f>
        <v>0</v>
      </c>
      <c r="BE40" s="278" t="n">
        <f aca="false">COUNTIF(A40:AH40,"*$M*")</f>
        <v>0</v>
      </c>
      <c r="BF40" s="278" t="n">
        <f aca="false">BE40*1</f>
        <v>0</v>
      </c>
      <c r="BG40" s="278" t="n">
        <f aca="false">COUNTIF(A40:AH40,"*$PM*")</f>
        <v>1</v>
      </c>
      <c r="BH40" s="278" t="n">
        <f aca="false">BG40*0.5</f>
        <v>0.5</v>
      </c>
      <c r="BI40" s="278" t="n">
        <f aca="false">COUNTIF(A40:AH40,"*$AM*")</f>
        <v>3</v>
      </c>
      <c r="BJ40" s="278" t="n">
        <f aca="false">BI40*0.5</f>
        <v>1.5</v>
      </c>
      <c r="BK40" s="278" t="n">
        <f aca="false">COUNTIF(A40:AH40,"*$FC*")</f>
        <v>0</v>
      </c>
      <c r="BL40" s="278" t="n">
        <f aca="false">BK40*1</f>
        <v>0</v>
      </c>
      <c r="BM40" s="278" t="n">
        <f aca="false">COUNTIF($D40:$Z40,BM$4)</f>
        <v>0</v>
      </c>
      <c r="BN40" s="278" t="n">
        <f aca="false">COUNTIF($D40:$Z40,BN$4)</f>
        <v>1</v>
      </c>
      <c r="BO40" s="278" t="n">
        <f aca="false">COUNTIF($D40:$Z40,BO$4)</f>
        <v>0</v>
      </c>
      <c r="BP40" s="272"/>
    </row>
    <row r="41" customFormat="false" ht="19.5" hidden="false" customHeight="true" outlineLevel="0" collapsed="false">
      <c r="A41" s="272"/>
      <c r="B41" s="279" t="s">
        <v>974</v>
      </c>
      <c r="C41" s="91" t="s">
        <v>55</v>
      </c>
      <c r="D41" s="91" t="s">
        <v>55</v>
      </c>
      <c r="E41" s="266" t="s">
        <v>55</v>
      </c>
      <c r="F41" s="266"/>
      <c r="G41" s="266"/>
      <c r="H41" s="91" t="s">
        <v>93</v>
      </c>
      <c r="I41" s="91"/>
      <c r="J41" s="266"/>
      <c r="K41" s="266" t="s">
        <v>65</v>
      </c>
      <c r="L41" s="266"/>
      <c r="M41" s="266"/>
      <c r="O41" s="91"/>
      <c r="P41" s="91" t="s">
        <v>573</v>
      </c>
      <c r="R41" s="91" t="s">
        <v>65</v>
      </c>
      <c r="T41" s="91"/>
      <c r="U41" s="266" t="s">
        <v>65</v>
      </c>
      <c r="V41" s="91"/>
      <c r="W41" s="266" t="s">
        <v>56</v>
      </c>
      <c r="X41" s="266"/>
      <c r="Y41" s="91" t="s">
        <v>975</v>
      </c>
      <c r="AA41" s="266" t="s">
        <v>88</v>
      </c>
      <c r="AB41" s="266" t="s">
        <v>88</v>
      </c>
      <c r="AD41" s="91" t="s">
        <v>56</v>
      </c>
      <c r="AE41" s="349" t="s">
        <v>976</v>
      </c>
      <c r="AF41" s="91"/>
      <c r="AG41" s="266" t="s">
        <v>977</v>
      </c>
      <c r="AH41" s="272" t="n">
        <f aca="false">COUNTIF($E41:$AF41,AH$4)</f>
        <v>0</v>
      </c>
      <c r="AI41" s="272" t="n">
        <f aca="false">COUNTIF($E41:$AF41,AI$4)</f>
        <v>2</v>
      </c>
      <c r="AJ41" s="272" t="n">
        <f aca="false">COUNTIF($E41:$AF41,AJ$4)</f>
        <v>0</v>
      </c>
      <c r="AK41" s="272" t="n">
        <f aca="false">COUNTIF($E41:$AF41,AK$4)</f>
        <v>0</v>
      </c>
      <c r="AL41" s="272" t="n">
        <f aca="false">COUNTIF($E41:$AF41,AL$4)</f>
        <v>0</v>
      </c>
      <c r="AM41" s="272" t="n">
        <f aca="false">COUNTIF($E41:$AF41,AM$4)</f>
        <v>1</v>
      </c>
      <c r="AN41" s="272" t="n">
        <f aca="false">COUNTIF($E41:$AF41,AN$4)</f>
        <v>3</v>
      </c>
      <c r="AO41" s="272" t="n">
        <f aca="false">COUNTIF($E41:$AF41,AO$4)</f>
        <v>0</v>
      </c>
      <c r="AP41" s="272" t="n">
        <f aca="false">COUNTIF($E41:$AF41,AP$4)</f>
        <v>0</v>
      </c>
      <c r="AQ41" s="279"/>
      <c r="AR41" s="279"/>
      <c r="AS41" s="278" t="n">
        <f aca="false">SUMPRODUCT(--(WEEKDAY(C$3:AG$3,2)&lt;5),--ISNUMBER(MATCH(C41:AG41,{"DM","CS1","CS2","SB1","AE","CS/B"},0)))</f>
        <v>4</v>
      </c>
      <c r="AT41" s="272"/>
      <c r="AU41" s="278" t="n">
        <f aca="false">SUMPRODUCT(--(WEEKDAY(C$3:AG$3,2)=5),--ISNUMBER(MATCH(C41:AG41,{"DM","CS1","CS2","SB1","AE","CS/B","WEEKEND OUTFIELD RESERVE"},0)))</f>
        <v>0</v>
      </c>
      <c r="AV41" s="278" t="n">
        <f aca="false">SUMPRODUCT(--(WEEKDAY(C$3:AG$3,2)&gt;5),--ISNUMBER(MATCH(C41:AG41,{"DM","CS1","CS2","SB1","AE","CS/B","WEEKEND OUTFIELD RESERVE"},0)))</f>
        <v>1</v>
      </c>
      <c r="AW41" s="272"/>
      <c r="AX41" s="278" t="n">
        <f aca="false">(AS41-AT41)+AU41*1.5+(AV41-AW41)*2+AM41*0.5+AO41*0.5+AQ41-AR41</f>
        <v>6.5</v>
      </c>
      <c r="AY41" s="278" t="n">
        <f aca="false">AS41+AU41+AV41</f>
        <v>5</v>
      </c>
      <c r="AZ41" s="278" t="n">
        <f aca="false">BC41+BE41+BG41+BI41+BK41</f>
        <v>4</v>
      </c>
      <c r="BA41" s="279" t="n">
        <f aca="false">AX41+BB41</f>
        <v>9.5</v>
      </c>
      <c r="BB41" s="278" t="n">
        <f aca="false">BD41+BF41+BH41+BJ41+BL41</f>
        <v>3</v>
      </c>
      <c r="BC41" s="278" t="n">
        <f aca="false">COUNTIF(A41:AH41,"*$BTP*")</f>
        <v>0</v>
      </c>
      <c r="BD41" s="278" t="n">
        <f aca="false">BC41*1.5</f>
        <v>0</v>
      </c>
      <c r="BE41" s="278" t="n">
        <f aca="false">COUNTIF(A41:AH41,"*$M*")</f>
        <v>0</v>
      </c>
      <c r="BF41" s="278" t="n">
        <f aca="false">BE41*1</f>
        <v>0</v>
      </c>
      <c r="BG41" s="278" t="n">
        <f aca="false">COUNTIF(A41:AH41,"*$PM*")</f>
        <v>0</v>
      </c>
      <c r="BH41" s="278" t="n">
        <f aca="false">BG41*0.5</f>
        <v>0</v>
      </c>
      <c r="BI41" s="278" t="n">
        <f aca="false">COUNTIF(A41:AH41,"*$AM*")</f>
        <v>2</v>
      </c>
      <c r="BJ41" s="278" t="n">
        <f aca="false">BI41*0.5</f>
        <v>1</v>
      </c>
      <c r="BK41" s="278" t="n">
        <f aca="false">COUNTIF(A41:AH41,"*$FC*")</f>
        <v>2</v>
      </c>
      <c r="BL41" s="278" t="n">
        <f aca="false">BK41*1</f>
        <v>2</v>
      </c>
      <c r="BM41" s="278" t="n">
        <f aca="false">COUNTIF($K41:$Y41,BM$4)</f>
        <v>0</v>
      </c>
      <c r="BN41" s="278" t="n">
        <f aca="false">COUNTIF($K41:$Y41,BN$4)</f>
        <v>0</v>
      </c>
      <c r="BO41" s="278" t="n">
        <f aca="false">COUNTIF($K41:$Y41,BO$4)</f>
        <v>0</v>
      </c>
      <c r="BP41" s="272"/>
    </row>
    <row r="42" customFormat="false" ht="19.5" hidden="false" customHeight="true" outlineLevel="0" collapsed="false">
      <c r="A42" s="272"/>
      <c r="B42" s="279" t="s">
        <v>978</v>
      </c>
      <c r="C42" s="91" t="s">
        <v>218</v>
      </c>
      <c r="D42" s="91" t="s">
        <v>218</v>
      </c>
      <c r="E42" s="91" t="s">
        <v>218</v>
      </c>
      <c r="F42" s="91" t="s">
        <v>65</v>
      </c>
      <c r="G42" s="91"/>
      <c r="H42" s="91" t="s">
        <v>218</v>
      </c>
      <c r="I42" s="91" t="s">
        <v>218</v>
      </c>
      <c r="J42" s="91" t="s">
        <v>218</v>
      </c>
      <c r="K42" s="91" t="s">
        <v>218</v>
      </c>
      <c r="L42" s="91" t="s">
        <v>218</v>
      </c>
      <c r="M42" s="266" t="s">
        <v>54</v>
      </c>
      <c r="N42" s="91" t="s">
        <v>54</v>
      </c>
      <c r="O42" s="266"/>
      <c r="P42" s="266" t="s">
        <v>59</v>
      </c>
      <c r="Q42" s="266"/>
      <c r="R42" s="266"/>
      <c r="S42" s="266" t="s">
        <v>979</v>
      </c>
      <c r="T42" s="266"/>
      <c r="U42" s="91"/>
      <c r="V42" s="91"/>
      <c r="W42" s="91"/>
      <c r="X42" s="91" t="s">
        <v>65</v>
      </c>
      <c r="Y42" s="266"/>
      <c r="Z42" s="91" t="s">
        <v>65</v>
      </c>
      <c r="AA42" s="266"/>
      <c r="AB42" s="91"/>
      <c r="AC42" s="91" t="s">
        <v>566</v>
      </c>
      <c r="AD42" s="91"/>
      <c r="AE42" s="350" t="s">
        <v>65</v>
      </c>
      <c r="AF42" s="266" t="s">
        <v>980</v>
      </c>
      <c r="AG42" s="266" t="s">
        <v>350</v>
      </c>
      <c r="AH42" s="272" t="n">
        <f aca="false">COUNTIF($C42:$AF42,AH$4)</f>
        <v>0</v>
      </c>
      <c r="AI42" s="272" t="n">
        <f aca="false">COUNTIF($C42:$AF42,AI$4)</f>
        <v>0</v>
      </c>
      <c r="AJ42" s="272" t="n">
        <f aca="false">COUNTIF($C42:$AF42,AJ$4)</f>
        <v>1</v>
      </c>
      <c r="AK42" s="272" t="n">
        <f aca="false">COUNTIF($C42:$AF42,AK$4)</f>
        <v>1</v>
      </c>
      <c r="AL42" s="272" t="n">
        <f aca="false">COUNTIF($C42:$AF42,AL$4)</f>
        <v>0</v>
      </c>
      <c r="AM42" s="272" t="n">
        <f aca="false">COUNTIF($C42:$AF42,AM$4)</f>
        <v>0</v>
      </c>
      <c r="AN42" s="272" t="n">
        <f aca="false">COUNTIF($C42:$AF42,AN$4)</f>
        <v>4</v>
      </c>
      <c r="AO42" s="272" t="n">
        <f aca="false">COUNTIF($C42:$AF42,AO$4)</f>
        <v>0</v>
      </c>
      <c r="AP42" s="272" t="n">
        <f aca="false">COUNTIF($C42:$AF42,AP$4)</f>
        <v>0</v>
      </c>
      <c r="AQ42" s="279"/>
      <c r="AR42" s="279" t="n">
        <v>1</v>
      </c>
      <c r="AS42" s="278" t="n">
        <f aca="false">SUMPRODUCT(--(WEEKDAY(C$3:AG$3,2)&lt;5),--ISNUMBER(MATCH(C42:AG42,{"DM","CS1","CS2","SB1","AE","CS/B"},0)))</f>
        <v>4</v>
      </c>
      <c r="AT42" s="272"/>
      <c r="AU42" s="278" t="n">
        <f aca="false">SUMPRODUCT(--(WEEKDAY(C$3:AG$3,2)=5),--ISNUMBER(MATCH(C42:AG42,{"DM","CS1","CS2","SB1","AE","CS/B","WEEKEND OUTFIELD RESERVE"},0)))</f>
        <v>1</v>
      </c>
      <c r="AV42" s="278" t="n">
        <f aca="false">SUMPRODUCT(--(WEEKDAY(C$3:AG$3,2)&gt;5),--ISNUMBER(MATCH(C42:AG42,{"DM","CS1","CS2","SB1","AE","CS/B","WEEKEND OUTFIELD RESERVE"},0)))</f>
        <v>1</v>
      </c>
      <c r="AW42" s="272"/>
      <c r="AX42" s="278" t="n">
        <f aca="false">(AS42-AT42)+AU42*1.5+(AV42-AW42)*2+AM42*0.5+AO42*0.5+AQ42-AR42</f>
        <v>6.5</v>
      </c>
      <c r="AY42" s="278" t="n">
        <f aca="false">AS42+AU42+AV42</f>
        <v>6</v>
      </c>
      <c r="AZ42" s="278" t="n">
        <f aca="false">BC42+BE42+BG42+BI42+BK42</f>
        <v>2</v>
      </c>
      <c r="BA42" s="279" t="n">
        <f aca="false">AX42+BB42</f>
        <v>7.5</v>
      </c>
      <c r="BB42" s="278" t="n">
        <f aca="false">BD42+BF42+BH42+BJ42+BL42</f>
        <v>1</v>
      </c>
      <c r="BC42" s="278" t="n">
        <f aca="false">COUNTIF(A42:AH42,"*$BTP*")</f>
        <v>0</v>
      </c>
      <c r="BD42" s="278" t="n">
        <f aca="false">BC42*1.5</f>
        <v>0</v>
      </c>
      <c r="BE42" s="278" t="n">
        <f aca="false">COUNTIF(A42:AH42,"*$M*")</f>
        <v>0</v>
      </c>
      <c r="BF42" s="278" t="n">
        <f aca="false">BE42*1</f>
        <v>0</v>
      </c>
      <c r="BG42" s="278" t="n">
        <f aca="false">COUNTIF(A42:AH42,"*$PM*")</f>
        <v>1</v>
      </c>
      <c r="BH42" s="278" t="n">
        <f aca="false">BG42*0.5</f>
        <v>0.5</v>
      </c>
      <c r="BI42" s="278" t="n">
        <f aca="false">COUNTIF(A42:AH42,"*$AM*")</f>
        <v>1</v>
      </c>
      <c r="BJ42" s="278" t="n">
        <f aca="false">BI42*0.5</f>
        <v>0.5</v>
      </c>
      <c r="BK42" s="278" t="n">
        <f aca="false">COUNTIF(A42:AH42,"*$FC*")</f>
        <v>0</v>
      </c>
      <c r="BL42" s="278" t="n">
        <f aca="false">BK42*1</f>
        <v>0</v>
      </c>
      <c r="BM42" s="278" t="n">
        <f aca="false">COUNTIF($D42:$Z42,BM$4)</f>
        <v>0</v>
      </c>
      <c r="BN42" s="278" t="n">
        <f aca="false">COUNTIF($D42:$Z42,BN$4)</f>
        <v>0</v>
      </c>
      <c r="BO42" s="278" t="n">
        <f aca="false">COUNTIF($D42:$Z42,BO$4)</f>
        <v>0</v>
      </c>
      <c r="BP42" s="272"/>
    </row>
    <row r="43" customFormat="false" ht="19.5" hidden="false" customHeight="true" outlineLevel="0" collapsed="false">
      <c r="A43" s="272"/>
      <c r="B43" s="279" t="s">
        <v>981</v>
      </c>
      <c r="C43" s="266" t="s">
        <v>65</v>
      </c>
      <c r="D43" s="266"/>
      <c r="E43" s="266" t="s">
        <v>350</v>
      </c>
      <c r="F43" s="266"/>
      <c r="G43" s="91"/>
      <c r="H43" s="266"/>
      <c r="I43" s="91" t="s">
        <v>65</v>
      </c>
      <c r="J43" s="266"/>
      <c r="L43" s="266"/>
      <c r="M43" s="91"/>
      <c r="N43" s="91"/>
      <c r="O43" s="266" t="s">
        <v>967</v>
      </c>
      <c r="P43" s="91"/>
      <c r="Q43" s="266" t="s">
        <v>65</v>
      </c>
      <c r="S43" s="266"/>
      <c r="T43" s="266"/>
      <c r="U43" s="91"/>
      <c r="V43" s="266" t="s">
        <v>982</v>
      </c>
      <c r="W43" s="266" t="s">
        <v>350</v>
      </c>
      <c r="X43" s="266"/>
      <c r="Y43" s="266" t="s">
        <v>573</v>
      </c>
      <c r="Z43" s="91"/>
      <c r="AA43" s="91" t="s">
        <v>59</v>
      </c>
      <c r="AB43" s="91"/>
      <c r="AC43" s="266" t="s">
        <v>767</v>
      </c>
      <c r="AD43" s="266" t="s">
        <v>767</v>
      </c>
      <c r="AE43" s="92" t="s">
        <v>602</v>
      </c>
      <c r="AF43" s="266" t="s">
        <v>983</v>
      </c>
      <c r="AG43" s="266" t="s">
        <v>713</v>
      </c>
      <c r="AH43" s="272" t="n">
        <f aca="false">COUNTIF($C43:$AF43,AH$4)</f>
        <v>0</v>
      </c>
      <c r="AI43" s="272" t="n">
        <f aca="false">COUNTIF($C43:$AF43,AI$4)</f>
        <v>0</v>
      </c>
      <c r="AJ43" s="272" t="n">
        <f aca="false">COUNTIF($C43:$AF43,AJ$4)</f>
        <v>1</v>
      </c>
      <c r="AK43" s="272" t="n">
        <f aca="false">COUNTIF($C43:$AF43,AK$4)</f>
        <v>0</v>
      </c>
      <c r="AL43" s="272" t="n">
        <f aca="false">COUNTIF($C43:$AF43,AL$4)</f>
        <v>0</v>
      </c>
      <c r="AM43" s="272" t="n">
        <f aca="false">COUNTIF($C43:$AF43,AM$4)</f>
        <v>0</v>
      </c>
      <c r="AN43" s="272" t="n">
        <f aca="false">COUNTIF($C43:$AF43,AN$4)</f>
        <v>3</v>
      </c>
      <c r="AO43" s="272" t="n">
        <f aca="false">COUNTIF($C43:$AF43,AO$4)</f>
        <v>2</v>
      </c>
      <c r="AP43" s="272" t="n">
        <f aca="false">COUNTIF($C43:$AF43,AP$4)</f>
        <v>0</v>
      </c>
      <c r="AQ43" s="279" t="n">
        <v>2.5</v>
      </c>
      <c r="AR43" s="279"/>
      <c r="AS43" s="278" t="n">
        <f aca="false">SUMPRODUCT(--(WEEKDAY(C$3:AG$3,2)&lt;5),--ISNUMBER(MATCH(C43:AG43,{"DM","CS1","CS2","SB1","AE","CS/B"},0)))</f>
        <v>3</v>
      </c>
      <c r="AT43" s="272"/>
      <c r="AU43" s="278" t="n">
        <f aca="false">SUMPRODUCT(--(WEEKDAY(C$3:AG$3,2)=5),--ISNUMBER(MATCH(C43:AG43,{"DM","CS1","CS2","SB1","AE","CS/B","WEEKEND OUTFIELD RESERVE"},0)))</f>
        <v>1</v>
      </c>
      <c r="AV43" s="278" t="n">
        <f aca="false">SUMPRODUCT(--(WEEKDAY(C$3:AG$3,2)&gt;5),--ISNUMBER(MATCH(C43:AG43,{"DM","CS1","CS2","SB1","AE","CS/B","WEEKEND OUTFIELD RESERVE"},0)))</f>
        <v>1</v>
      </c>
      <c r="AW43" s="272"/>
      <c r="AX43" s="278" t="n">
        <f aca="false">(AS43-AT43)+AU43*1.5+(AV43-AW43)*2+AM43*0.5+AO43*0.5+AQ43-AR43</f>
        <v>10</v>
      </c>
      <c r="AY43" s="278" t="n">
        <f aca="false">AS43+AU43+AV43</f>
        <v>5</v>
      </c>
      <c r="AZ43" s="278" t="n">
        <f aca="false">BC43+BE43+BG43+BI43+BK43</f>
        <v>4</v>
      </c>
      <c r="BA43" s="279" t="n">
        <f aca="false">AX43+BB43</f>
        <v>14</v>
      </c>
      <c r="BB43" s="278" t="n">
        <f aca="false">BD43+BF43+BH43+BJ43+BL43</f>
        <v>4</v>
      </c>
      <c r="BC43" s="278" t="n">
        <f aca="false">COUNTIF(A43:AH43,"*$BTP*")</f>
        <v>2</v>
      </c>
      <c r="BD43" s="278" t="n">
        <f aca="false">BC43*1.5</f>
        <v>3</v>
      </c>
      <c r="BE43" s="278" t="n">
        <f aca="false">COUNTIF(A43:AH43,"*$M*")</f>
        <v>0</v>
      </c>
      <c r="BF43" s="278" t="n">
        <f aca="false">BE43*1</f>
        <v>0</v>
      </c>
      <c r="BG43" s="278" t="n">
        <f aca="false">COUNTIF(A43:AH43,"*$PM*")</f>
        <v>0</v>
      </c>
      <c r="BH43" s="278" t="n">
        <f aca="false">BG43*0.5</f>
        <v>0</v>
      </c>
      <c r="BI43" s="278" t="n">
        <f aca="false">COUNTIF(A43:AH43,"*$AM*")</f>
        <v>2</v>
      </c>
      <c r="BJ43" s="278" t="n">
        <f aca="false">BI43*0.5</f>
        <v>1</v>
      </c>
      <c r="BK43" s="278" t="n">
        <f aca="false">COUNTIF(A43:AH43,"*$FC*")</f>
        <v>0</v>
      </c>
      <c r="BL43" s="278" t="n">
        <f aca="false">BK43*1</f>
        <v>0</v>
      </c>
      <c r="BM43" s="278" t="n">
        <f aca="false">COUNTIF($D43:$Y43,BM$4)</f>
        <v>0</v>
      </c>
      <c r="BN43" s="278" t="n">
        <f aca="false">COUNTIF($D43:$Y43,BN$4)</f>
        <v>2</v>
      </c>
      <c r="BO43" s="278" t="n">
        <f aca="false">COUNTIF($D43:$Y43,BO$4)</f>
        <v>0</v>
      </c>
      <c r="BP43" s="272"/>
    </row>
    <row r="44" customFormat="false" ht="49.5" hidden="false" customHeight="true" outlineLevel="0" collapsed="false">
      <c r="A44" s="272"/>
      <c r="B44" s="279" t="s">
        <v>984</v>
      </c>
      <c r="C44" s="266"/>
      <c r="D44" s="266" t="s">
        <v>65</v>
      </c>
      <c r="E44" s="266"/>
      <c r="F44" s="266"/>
      <c r="G44" s="91"/>
      <c r="H44" s="266" t="s">
        <v>985</v>
      </c>
      <c r="I44" s="91"/>
      <c r="J44" s="91"/>
      <c r="K44" s="343" t="s">
        <v>986</v>
      </c>
      <c r="L44" s="266"/>
      <c r="M44" s="266"/>
      <c r="N44" s="266"/>
      <c r="O44" s="266" t="s">
        <v>573</v>
      </c>
      <c r="P44" s="266"/>
      <c r="Q44" s="266"/>
      <c r="S44" s="266"/>
      <c r="T44" s="266" t="s">
        <v>65</v>
      </c>
      <c r="U44" s="91"/>
      <c r="V44" s="266"/>
      <c r="W44" s="91"/>
      <c r="X44" s="266" t="s">
        <v>573</v>
      </c>
      <c r="Y44" s="266"/>
      <c r="Z44" s="266"/>
      <c r="AC44" s="266" t="s">
        <v>88</v>
      </c>
      <c r="AD44" s="266" t="s">
        <v>88</v>
      </c>
      <c r="AE44" s="347" t="s">
        <v>88</v>
      </c>
      <c r="AF44" s="91"/>
      <c r="AG44" s="266" t="s">
        <v>713</v>
      </c>
      <c r="AH44" s="272" t="n">
        <f aca="false">COUNTIF($C44:$AF44,AH$4)</f>
        <v>0</v>
      </c>
      <c r="AI44" s="272" t="n">
        <f aca="false">COUNTIF($C44:$AF44,AI$4)</f>
        <v>0</v>
      </c>
      <c r="AJ44" s="272" t="n">
        <f aca="false">COUNTIF($C44:$AF44,AJ$4)</f>
        <v>0</v>
      </c>
      <c r="AK44" s="272" t="n">
        <f aca="false">COUNTIF($C44:$AF44,AK$4)</f>
        <v>0</v>
      </c>
      <c r="AL44" s="272" t="n">
        <f aca="false">COUNTIF($C44:$AF44,AL$4)</f>
        <v>0</v>
      </c>
      <c r="AM44" s="272" t="n">
        <f aca="false">COUNTIF($C44:$AF44,AM$4)</f>
        <v>0</v>
      </c>
      <c r="AN44" s="272" t="n">
        <f aca="false">COUNTIF($C44:$AF44,AN$4)</f>
        <v>2</v>
      </c>
      <c r="AO44" s="272" t="n">
        <f aca="false">COUNTIF($C44:$AF44,AO$4)</f>
        <v>0</v>
      </c>
      <c r="AP44" s="272" t="n">
        <f aca="false">COUNTIF($C44:$AF44,AP$4)</f>
        <v>0</v>
      </c>
      <c r="AQ44" s="279" t="n">
        <v>0</v>
      </c>
      <c r="AR44" s="279"/>
      <c r="AS44" s="278" t="n">
        <f aca="false">SUMPRODUCT(--(WEEKDAY(C$3:AG$3,2)&lt;5),--ISNUMBER(MATCH(C44:AG44,{"DM","CS1","CS2","SB1","AE","CS/B"},0)))</f>
        <v>1</v>
      </c>
      <c r="AT44" s="272"/>
      <c r="AU44" s="278" t="n">
        <f aca="false">SUMPRODUCT(--(WEEKDAY(C$3:AG$3,2)=5),--ISNUMBER(MATCH(C44:AG44,{"DM","CS1","CS2","SB1","AE","CS/B","WEEKEND OUTFIELD RESERVE"},0)))</f>
        <v>1</v>
      </c>
      <c r="AV44" s="278" t="n">
        <f aca="false">SUMPRODUCT(--(WEEKDAY(C$3:AG$3,2)&gt;5),--ISNUMBER(MATCH(C44:AG44,{"DM","CS1","CS2","SB1","AE","CS/B","WEEKEND OUTFIELD RESERVE"},0)))</f>
        <v>1</v>
      </c>
      <c r="AW44" s="272"/>
      <c r="AX44" s="278" t="n">
        <f aca="false">(AS44-AT44)+AU44*1.5+(AV44-AW44)*2+AM44*0.5+AO44*0.5+AQ44-AR44</f>
        <v>4.5</v>
      </c>
      <c r="AY44" s="278" t="n">
        <f aca="false">AS44+AU44+AV44</f>
        <v>3</v>
      </c>
      <c r="AZ44" s="278" t="n">
        <f aca="false">BC44+BE44+BG44+BI44+BK44</f>
        <v>5</v>
      </c>
      <c r="BA44" s="279" t="n">
        <f aca="false">AX44+BB44</f>
        <v>9.5</v>
      </c>
      <c r="BB44" s="278" t="n">
        <f aca="false">BD44+BF44+BH44+BJ44+BL44</f>
        <v>5</v>
      </c>
      <c r="BC44" s="278" t="n">
        <f aca="false">COUNTIF(A44:AH44,"*$BTP*")</f>
        <v>0</v>
      </c>
      <c r="BD44" s="278" t="n">
        <f aca="false">BC44*1.5</f>
        <v>0</v>
      </c>
      <c r="BE44" s="278" t="n">
        <f aca="false">COUNTIF(A44:AH44,"*$M*")</f>
        <v>2</v>
      </c>
      <c r="BF44" s="278" t="n">
        <f aca="false">BE44*1</f>
        <v>2</v>
      </c>
      <c r="BG44" s="278" t="n">
        <f aca="false">COUNTIF(A44:AH44,"*$PM*")</f>
        <v>0</v>
      </c>
      <c r="BH44" s="278" t="n">
        <f aca="false">BG44*0.5</f>
        <v>0</v>
      </c>
      <c r="BI44" s="278" t="n">
        <f aca="false">COUNTIF(A44:AH44,"*$AM*")</f>
        <v>0</v>
      </c>
      <c r="BJ44" s="278" t="n">
        <f aca="false">BI44*0.5</f>
        <v>0</v>
      </c>
      <c r="BK44" s="278" t="n">
        <f aca="false">COUNTIF(A44:AH44,"*$FC*")</f>
        <v>3</v>
      </c>
      <c r="BL44" s="278" t="n">
        <f aca="false">BK44*1</f>
        <v>3</v>
      </c>
      <c r="BM44" s="278" t="n">
        <f aca="false">COUNTIF($D44:$Y44,BM$4)</f>
        <v>0</v>
      </c>
      <c r="BN44" s="278" t="n">
        <f aca="false">COUNTIF($D44:$Y44,BN$4)</f>
        <v>0</v>
      </c>
      <c r="BO44" s="278" t="n">
        <f aca="false">COUNTIF($D44:$Y44,BO$4)</f>
        <v>0</v>
      </c>
      <c r="BP44" s="272"/>
    </row>
    <row r="45" customFormat="false" ht="37.5" hidden="false" customHeight="true" outlineLevel="0" collapsed="false">
      <c r="A45" s="272"/>
      <c r="B45" s="279" t="s">
        <v>987</v>
      </c>
      <c r="C45" s="266"/>
      <c r="D45" s="266"/>
      <c r="E45" s="266"/>
      <c r="F45" s="266"/>
      <c r="G45" s="91"/>
      <c r="H45" s="91" t="s">
        <v>65</v>
      </c>
      <c r="I45" s="91"/>
      <c r="J45" s="91" t="s">
        <v>65</v>
      </c>
      <c r="L45" s="266"/>
      <c r="M45" s="266"/>
      <c r="N45" s="266"/>
      <c r="O45" s="266" t="s">
        <v>934</v>
      </c>
      <c r="P45" s="266" t="s">
        <v>934</v>
      </c>
      <c r="Q45" s="266" t="s">
        <v>934</v>
      </c>
      <c r="R45" s="266" t="s">
        <v>934</v>
      </c>
      <c r="S45" s="266" t="s">
        <v>934</v>
      </c>
      <c r="T45" s="266" t="s">
        <v>934</v>
      </c>
      <c r="U45" s="266" t="s">
        <v>934</v>
      </c>
      <c r="V45" s="266" t="s">
        <v>934</v>
      </c>
      <c r="W45" s="266" t="s">
        <v>934</v>
      </c>
      <c r="X45" s="266" t="s">
        <v>934</v>
      </c>
      <c r="Y45" s="266" t="s">
        <v>934</v>
      </c>
      <c r="Z45" s="266" t="s">
        <v>934</v>
      </c>
      <c r="AA45" s="266" t="s">
        <v>934</v>
      </c>
      <c r="AB45" s="266" t="s">
        <v>934</v>
      </c>
      <c r="AC45" s="266" t="s">
        <v>934</v>
      </c>
      <c r="AD45" s="266" t="s">
        <v>934</v>
      </c>
      <c r="AE45" s="330" t="s">
        <v>934</v>
      </c>
      <c r="AF45" s="266" t="s">
        <v>934</v>
      </c>
      <c r="AG45" s="266" t="s">
        <v>934</v>
      </c>
      <c r="AH45" s="272" t="n">
        <f aca="false">COUNTIF($C45:$AF45,AH$4)</f>
        <v>0</v>
      </c>
      <c r="AI45" s="272" t="n">
        <f aca="false">COUNTIF($C45:$AF45,AI$4)</f>
        <v>0</v>
      </c>
      <c r="AJ45" s="272" t="n">
        <f aca="false">COUNTIF($C45:$AF45,AJ$4)</f>
        <v>0</v>
      </c>
      <c r="AK45" s="272" t="n">
        <f aca="false">COUNTIF($C45:$AF45,AK$4)</f>
        <v>0</v>
      </c>
      <c r="AL45" s="272" t="n">
        <f aca="false">COUNTIF($C45:$AF45,AL$4)</f>
        <v>0</v>
      </c>
      <c r="AM45" s="272" t="n">
        <f aca="false">COUNTIF($C45:$AF45,AM$4)</f>
        <v>0</v>
      </c>
      <c r="AN45" s="272" t="n">
        <f aca="false">COUNTIF($C45:$AF45,AN$4)</f>
        <v>2</v>
      </c>
      <c r="AO45" s="272" t="n">
        <f aca="false">COUNTIF($C45:$AF45,AO$4)</f>
        <v>0</v>
      </c>
      <c r="AP45" s="272" t="n">
        <f aca="false">COUNTIF($C45:$AF45,AP$4)</f>
        <v>0</v>
      </c>
      <c r="AQ45" s="279"/>
      <c r="AR45" s="279"/>
      <c r="AS45" s="278" t="n">
        <f aca="false">SUMPRODUCT(--(WEEKDAY(C$3:AG$3,2)&lt;5),--ISNUMBER(MATCH(C45:AG45,{"DM","CS1","CS2","SB1","AE","CS/B"},0)))</f>
        <v>2</v>
      </c>
      <c r="AT45" s="272"/>
      <c r="AU45" s="278" t="n">
        <f aca="false">SUMPRODUCT(--(WEEKDAY(C$3:AG$3,2)=5),--ISNUMBER(MATCH(C45:AG45,{"DM","CS1","CS2","SB1","AE","CS/B","WEEKEND OUTFIELD RESERVE"},0)))</f>
        <v>0</v>
      </c>
      <c r="AV45" s="278" t="n">
        <f aca="false">SUMPRODUCT(--(WEEKDAY(C$3:AG$3,2)&gt;5),--ISNUMBER(MATCH(C45:AG45,{"DM","CS1","CS2","SB1","AE","CS/B","WEEKEND OUTFIELD RESERVE"},0)))</f>
        <v>0</v>
      </c>
      <c r="AW45" s="272"/>
      <c r="AX45" s="278" t="n">
        <f aca="false">(AS45-AT45)+AU45*1.5+(AV45-AW45)*2+AM45*0.5+AO45*0.5+AQ45-AR45</f>
        <v>2</v>
      </c>
      <c r="AY45" s="278" t="n">
        <f aca="false">AS45+AU45+AV45</f>
        <v>2</v>
      </c>
      <c r="AZ45" s="278" t="n">
        <f aca="false">BC45+BE45+BG45+BI45+BK45</f>
        <v>0</v>
      </c>
      <c r="BA45" s="279" t="n">
        <f aca="false">AX45+BB45</f>
        <v>2</v>
      </c>
      <c r="BB45" s="278" t="n">
        <f aca="false">BD45+BF45+BH45+BJ45+BL45</f>
        <v>0</v>
      </c>
      <c r="BC45" s="278" t="n">
        <f aca="false">COUNTIF(A45:AH45,"*$BTP*")</f>
        <v>0</v>
      </c>
      <c r="BD45" s="278" t="n">
        <f aca="false">BC45*1.5</f>
        <v>0</v>
      </c>
      <c r="BE45" s="278" t="n">
        <f aca="false">COUNTIF(A45:AH45,"*$M*")</f>
        <v>0</v>
      </c>
      <c r="BF45" s="278" t="n">
        <f aca="false">BE45*1</f>
        <v>0</v>
      </c>
      <c r="BG45" s="278" t="n">
        <f aca="false">COUNTIF(A45:AH45,"*$PM*")</f>
        <v>0</v>
      </c>
      <c r="BH45" s="278" t="n">
        <f aca="false">BG45*0.5</f>
        <v>0</v>
      </c>
      <c r="BI45" s="278" t="n">
        <f aca="false">COUNTIF(A45:AH45,"*$AM*")</f>
        <v>0</v>
      </c>
      <c r="BJ45" s="278" t="n">
        <f aca="false">BI45*0.5</f>
        <v>0</v>
      </c>
      <c r="BK45" s="278" t="n">
        <f aca="false">COUNTIF(A45:AH45,"*$FC*")</f>
        <v>0</v>
      </c>
      <c r="BL45" s="278" t="n">
        <f aca="false">BK45*1</f>
        <v>0</v>
      </c>
      <c r="BM45" s="278" t="n">
        <f aca="false">COUNTIF($D45:$Y45,BM$4)</f>
        <v>0</v>
      </c>
      <c r="BN45" s="278" t="n">
        <f aca="false">COUNTIF($D45:$Y45,BN$4)</f>
        <v>0</v>
      </c>
      <c r="BO45" s="278" t="n">
        <f aca="false">COUNTIF($D45:$Y45,BO$4)</f>
        <v>0</v>
      </c>
      <c r="BP45" s="272"/>
    </row>
    <row r="46" customFormat="false" ht="43.5" hidden="false" customHeight="true" outlineLevel="0" collapsed="false">
      <c r="A46" s="272"/>
      <c r="B46" s="279" t="s">
        <v>988</v>
      </c>
      <c r="C46" s="266" t="s">
        <v>409</v>
      </c>
      <c r="D46" s="266" t="s">
        <v>409</v>
      </c>
      <c r="E46" s="266" t="s">
        <v>409</v>
      </c>
      <c r="F46" s="266" t="s">
        <v>409</v>
      </c>
      <c r="G46" s="266" t="s">
        <v>409</v>
      </c>
      <c r="H46" s="266" t="s">
        <v>409</v>
      </c>
      <c r="I46" s="266" t="s">
        <v>409</v>
      </c>
      <c r="J46" s="266" t="s">
        <v>409</v>
      </c>
      <c r="K46" s="266" t="s">
        <v>409</v>
      </c>
      <c r="L46" s="266" t="s">
        <v>409</v>
      </c>
      <c r="M46" s="266" t="s">
        <v>409</v>
      </c>
      <c r="N46" s="266" t="s">
        <v>409</v>
      </c>
      <c r="O46" s="266" t="s">
        <v>409</v>
      </c>
      <c r="P46" s="266" t="s">
        <v>409</v>
      </c>
      <c r="Q46" s="266" t="s">
        <v>409</v>
      </c>
      <c r="R46" s="266" t="s">
        <v>409</v>
      </c>
      <c r="S46" s="266" t="s">
        <v>409</v>
      </c>
      <c r="T46" s="266" t="s">
        <v>409</v>
      </c>
      <c r="U46" s="266" t="s">
        <v>409</v>
      </c>
      <c r="V46" s="266" t="s">
        <v>409</v>
      </c>
      <c r="W46" s="266" t="s">
        <v>409</v>
      </c>
      <c r="X46" s="266" t="s">
        <v>409</v>
      </c>
      <c r="Y46" s="266" t="s">
        <v>409</v>
      </c>
      <c r="Z46" s="266" t="s">
        <v>409</v>
      </c>
      <c r="AA46" s="266" t="s">
        <v>409</v>
      </c>
      <c r="AB46" s="266" t="s">
        <v>409</v>
      </c>
      <c r="AC46" s="266" t="s">
        <v>409</v>
      </c>
      <c r="AD46" s="266" t="s">
        <v>409</v>
      </c>
      <c r="AE46" s="325" t="s">
        <v>409</v>
      </c>
      <c r="AF46" s="266" t="s">
        <v>409</v>
      </c>
      <c r="AG46" s="266" t="s">
        <v>409</v>
      </c>
      <c r="AH46" s="272" t="n">
        <f aca="false">COUNTIF($C46:$AF46,AH$4)</f>
        <v>0</v>
      </c>
      <c r="AI46" s="272" t="n">
        <f aca="false">COUNTIF($C46:$AF46,AI$4)</f>
        <v>0</v>
      </c>
      <c r="AJ46" s="272" t="n">
        <f aca="false">COUNTIF($C46:$AF46,AJ$4)</f>
        <v>0</v>
      </c>
      <c r="AK46" s="272" t="n">
        <f aca="false">COUNTIF($C46:$AF46,AK$4)</f>
        <v>0</v>
      </c>
      <c r="AL46" s="272" t="n">
        <f aca="false">COUNTIF($C46:$AF46,AL$4)</f>
        <v>0</v>
      </c>
      <c r="AM46" s="272" t="n">
        <f aca="false">COUNTIF($C46:$AF46,AM$4)</f>
        <v>0</v>
      </c>
      <c r="AN46" s="272" t="n">
        <f aca="false">COUNTIF($C46:$AF46,AN$4)</f>
        <v>0</v>
      </c>
      <c r="AO46" s="272" t="n">
        <f aca="false">COUNTIF($C46:$AF46,AO$4)</f>
        <v>0</v>
      </c>
      <c r="AP46" s="272" t="n">
        <f aca="false">COUNTIF($C46:$AF46,AP$4)</f>
        <v>0</v>
      </c>
      <c r="AQ46" s="279"/>
      <c r="AR46" s="279"/>
      <c r="AS46" s="278" t="n">
        <f aca="false">SUMPRODUCT(--(WEEKDAY(C$3:AG$3,2)&lt;5),--ISNUMBER(MATCH(C46:AG46,{"DM","CS1","CS2","SB1","AE","CS/B"},0)))</f>
        <v>0</v>
      </c>
      <c r="AT46" s="272"/>
      <c r="AU46" s="278" t="n">
        <f aca="false">SUMPRODUCT(--(WEEKDAY(C$3:AG$3,2)=5),--ISNUMBER(MATCH(C46:AG46,{"DM","CS1","CS2","SB1","AE","CS/B","WEEKEND OUTFIELD RESERVE"},0)))</f>
        <v>0</v>
      </c>
      <c r="AV46" s="278" t="n">
        <f aca="false">SUMPRODUCT(--(WEEKDAY(C$3:AG$3,2)&gt;5),--ISNUMBER(MATCH(C46:AG46,{"DM","CS1","CS2","SB1","AE","CS/B","WEEKEND OUTFIELD RESERVE"},0)))</f>
        <v>0</v>
      </c>
      <c r="AW46" s="272"/>
      <c r="AX46" s="278" t="n">
        <f aca="false">(AS46-AT46)+AU46*1.5+(AV46-AW46)*2+AM46*0.5+AO46*0.5+AQ46-AR46</f>
        <v>0</v>
      </c>
      <c r="AY46" s="278" t="n">
        <f aca="false">AS46+AU46+AV46</f>
        <v>0</v>
      </c>
      <c r="AZ46" s="278" t="n">
        <f aca="false">BC46+BE46+BG46+BI46+BK46</f>
        <v>0</v>
      </c>
      <c r="BA46" s="279" t="n">
        <f aca="false">AX46+BB46</f>
        <v>0</v>
      </c>
      <c r="BB46" s="278" t="n">
        <f aca="false">BD46+BF46+BH46+BJ46+BL46</f>
        <v>0</v>
      </c>
      <c r="BC46" s="278" t="n">
        <f aca="false">COUNTIF(A46:AH46,"*$BTP*")</f>
        <v>0</v>
      </c>
      <c r="BD46" s="278" t="n">
        <f aca="false">BC46*1.5</f>
        <v>0</v>
      </c>
      <c r="BE46" s="278" t="n">
        <f aca="false">COUNTIF(A46:AH46,"*$M*")</f>
        <v>0</v>
      </c>
      <c r="BF46" s="278" t="n">
        <f aca="false">BE46*1</f>
        <v>0</v>
      </c>
      <c r="BG46" s="278" t="n">
        <f aca="false">COUNTIF(A46:AH46,"*$PM*")</f>
        <v>0</v>
      </c>
      <c r="BH46" s="278" t="n">
        <f aca="false">BG46*0.5</f>
        <v>0</v>
      </c>
      <c r="BI46" s="278" t="n">
        <f aca="false">COUNTIF(A46:AH46,"*$AM*")</f>
        <v>0</v>
      </c>
      <c r="BJ46" s="278" t="n">
        <f aca="false">BI46*0.5</f>
        <v>0</v>
      </c>
      <c r="BK46" s="278" t="n">
        <f aca="false">COUNTIF(A46:AH46,"*$FC*")</f>
        <v>0</v>
      </c>
      <c r="BL46" s="278" t="n">
        <f aca="false">BK46*1</f>
        <v>0</v>
      </c>
      <c r="BM46" s="278" t="n">
        <f aca="false">COUNTIF($D46:$Y46,BM$4)</f>
        <v>0</v>
      </c>
      <c r="BN46" s="278" t="n">
        <f aca="false">COUNTIF($D46:$Y46,BN$4)</f>
        <v>0</v>
      </c>
      <c r="BO46" s="278" t="n">
        <f aca="false">COUNTIF($D46:$Y46,BO$4)</f>
        <v>0</v>
      </c>
      <c r="BP46" s="272"/>
    </row>
    <row r="47" customFormat="false" ht="19.5" hidden="false" customHeight="true" outlineLevel="0" collapsed="false">
      <c r="A47" s="272"/>
      <c r="B47" s="294"/>
      <c r="C47" s="294"/>
      <c r="D47" s="294"/>
      <c r="E47" s="294"/>
      <c r="F47" s="294"/>
      <c r="G47" s="294"/>
      <c r="H47" s="294"/>
      <c r="I47" s="294"/>
      <c r="J47" s="294"/>
      <c r="K47" s="294"/>
      <c r="L47" s="294"/>
      <c r="M47" s="294"/>
      <c r="N47" s="294"/>
      <c r="O47" s="294"/>
      <c r="P47" s="294"/>
      <c r="Q47" s="294"/>
      <c r="R47" s="294"/>
      <c r="S47" s="294"/>
      <c r="T47" s="294"/>
      <c r="U47" s="294"/>
      <c r="V47" s="294"/>
      <c r="W47" s="294"/>
      <c r="X47" s="294"/>
      <c r="Y47" s="294"/>
      <c r="Z47" s="294"/>
      <c r="AA47" s="294"/>
      <c r="AB47" s="294"/>
      <c r="AC47" s="294"/>
      <c r="AD47" s="294"/>
      <c r="AE47" s="294"/>
      <c r="AF47" s="294"/>
      <c r="AG47" s="266"/>
      <c r="AH47" s="272"/>
      <c r="AI47" s="272"/>
      <c r="AJ47" s="272"/>
      <c r="AK47" s="272"/>
      <c r="AL47" s="272"/>
      <c r="AM47" s="272"/>
      <c r="AN47" s="272"/>
      <c r="AO47" s="272"/>
      <c r="AP47" s="272"/>
      <c r="AQ47" s="279"/>
      <c r="AR47" s="279"/>
      <c r="AS47" s="278"/>
      <c r="AT47" s="272"/>
      <c r="AU47" s="278"/>
      <c r="AV47" s="278" t="n">
        <f aca="false">SUMPRODUCT(--(WEEKDAY(C$3:AF$3,2)&gt;5),--ISNUMBER(MATCH(C47:AF47,{"DM","CS1","CS2","SB1","AE","CS/B"},0)))</f>
        <v>0</v>
      </c>
      <c r="AW47" s="272"/>
      <c r="AX47" s="278"/>
      <c r="AY47" s="278"/>
      <c r="AZ47" s="278"/>
      <c r="BA47" s="279"/>
      <c r="BB47" s="278"/>
      <c r="BC47" s="278"/>
      <c r="BD47" s="278"/>
      <c r="BE47" s="278"/>
      <c r="BF47" s="278"/>
      <c r="BG47" s="278"/>
      <c r="BH47" s="278"/>
      <c r="BI47" s="278"/>
      <c r="BJ47" s="278"/>
      <c r="BK47" s="278"/>
      <c r="BL47" s="278"/>
      <c r="BM47" s="278"/>
      <c r="BN47" s="278"/>
      <c r="BO47" s="278"/>
      <c r="BP47" s="272"/>
    </row>
    <row r="48" customFormat="false" ht="19.5" hidden="false" customHeight="true" outlineLevel="0" collapsed="false">
      <c r="A48" s="272"/>
      <c r="B48" s="266" t="s">
        <v>57</v>
      </c>
      <c r="C48" s="292" t="str">
        <f aca="false">INDEX($B$4:$B$46,MATCH($B48,C$4:C$46,0))</f>
        <v>CPL WONG JI FENG WILLARD</v>
      </c>
      <c r="D48" s="292" t="str">
        <f aca="false">INDEX($B$4:$B$46,MATCH($B48,D$4:D$46,0))</f>
        <v>CPL TAN JUN YANG KELVIN</v>
      </c>
      <c r="E48" s="292" t="str">
        <f aca="false">INDEX($B$4:$B$46,MATCH($B48,E$4:E$46,0))</f>
        <v>CPL ZHANG ZHONGHAO</v>
      </c>
      <c r="F48" s="292" t="str">
        <f aca="false">INDEX($B$4:$B$46,MATCH($B48,F$4:F$46,0))</f>
        <v>CFC DERRICK CHIN</v>
      </c>
      <c r="G48" s="292" t="str">
        <f aca="false">INDEX($B$4:$B$46,MATCH($B48,G$4:G$46,0))</f>
        <v>CPL TAN JUN YANG KELVIN</v>
      </c>
      <c r="H48" s="292" t="str">
        <f aca="false">INDEX($B$4:$B$46,MATCH($B48,H$4:H$46,0))</f>
        <v>LCP KOO YI XIAN RAPHAEL </v>
      </c>
      <c r="I48" s="292" t="str">
        <f aca="false">INDEX($B$4:$B$46,MATCH($B48,I$4:I$46,0))</f>
        <v>LCP CHYE JING AN MAXIMUS</v>
      </c>
      <c r="J48" s="292" t="str">
        <f aca="false">INDEX($B$4:$B$46,MATCH($B48,J$4:J$46,0))</f>
        <v>3SG SAMUEL TAN ENG WEE</v>
      </c>
      <c r="K48" s="292" t="str">
        <f aca="false">INDEX($B$4:$B$46,MATCH($B48,K$4:K$46,0))</f>
        <v>CFC DERRICK CHIN</v>
      </c>
      <c r="L48" s="292" t="str">
        <f aca="false">INDEX($B$4:$B$46,MATCH($B48,L$4:L$46,0))</f>
        <v>CPL TAN JUN YANG KELVIN</v>
      </c>
      <c r="M48" s="292" t="str">
        <f aca="false">INDEX($B$4:$B$46,MATCH($B48,M$4:M$46,0))</f>
        <v>CPL FANG JIANGRUI</v>
      </c>
      <c r="N48" s="292" t="str">
        <f aca="false">INDEX($B$4:$B$46,MATCH($B48,N$4:N$46,0))</f>
        <v>CPL TAN JUN YANG KELVIN</v>
      </c>
      <c r="O48" s="292" t="str">
        <f aca="false">INDEX($B$4:$B$46,MATCH($B48,O$4:O$46,0))</f>
        <v>3SG SAMUEL TAN ENG WEE</v>
      </c>
      <c r="P48" s="292" t="str">
        <f aca="false">INDEX($B$4:$B$46,MATCH($B48,P$4:P$46,0))</f>
        <v>LCP KOO YI XIAN RAPHAEL </v>
      </c>
      <c r="Q48" s="292" t="str">
        <f aca="false">INDEX($B$4:$B$46,MATCH($B48,Q$4:Q$46,0))</f>
        <v>CFC GERALD TAN </v>
      </c>
      <c r="R48" s="292" t="str">
        <f aca="false">INDEX($B$4:$B$46,MATCH($B48,R$4:R$46,0))</f>
        <v>CPL WONG JI FENG WILLARD</v>
      </c>
      <c r="S48" s="292" t="str">
        <f aca="false">INDEX($B$4:$B$46,MATCH($B48,S$4:S$46,0))</f>
        <v>LCP CHYE JING AN MAXIMUS</v>
      </c>
      <c r="T48" s="292" t="str">
        <f aca="false">INDEX($B$4:$B$46,MATCH($B48,T$4:T$46,0))</f>
        <v>CPL QUEK ZI YI</v>
      </c>
      <c r="U48" s="292" t="str">
        <f aca="false">INDEX($B$4:$B$46,MATCH($B48,U$4:U$46,0))</f>
        <v>CPL ZHANG ZHONGHAO</v>
      </c>
      <c r="V48" s="292" t="str">
        <f aca="false">INDEX($B$4:$B$46,MATCH($B48,V$4:V$46,0))</f>
        <v>LCP TRAN MINH KHOA</v>
      </c>
      <c r="W48" s="292" t="str">
        <f aca="false">INDEX($B$4:$B$46,MATCH($B48,W$4:W$46,0))</f>
        <v>LCP RON NG </v>
      </c>
      <c r="X48" s="292" t="str">
        <f aca="false">INDEX($B$4:$B$46,MATCH($B48,X$4:X$46,0))</f>
        <v>CPL ZHANG ZHONGHAO</v>
      </c>
      <c r="Y48" s="292" t="str">
        <f aca="false">INDEX($B$4:$B$46,MATCH($B48,Y$4:Y$46,0))</f>
        <v>LCP EKLAYVA PINGALI</v>
      </c>
      <c r="Z48" s="292" t="str">
        <f aca="false">INDEX($B$4:$B$46,MATCH($B48,Z$4:Z$46,0))</f>
        <v>LCP MATTHEW HWANG YEW SENG</v>
      </c>
      <c r="AA48" s="292" t="str">
        <f aca="false">INDEX($B$4:$B$46,MATCH($B48,AA$4:AA$46,0))</f>
        <v>LCP CHYE JING AN MAXIMUS</v>
      </c>
      <c r="AB48" s="292" t="str">
        <f aca="false">INDEX($B$4:$B$46,MATCH($B48,AB$4:AB$46,0))</f>
        <v>LCP TRAN MINH KHOA</v>
      </c>
      <c r="AC48" s="292" t="str">
        <f aca="false">INDEX($B$4:$B$46,MATCH($B48,AC$4:AC$46,0))</f>
        <v>LCP MUHAMMAD YASIR BIN MUHAMMAD HIJAZ</v>
      </c>
      <c r="AD48" s="292" t="str">
        <f aca="false">INDEX($B$4:$B$46,MATCH($B48,AD$4:AD$46,0))</f>
        <v>CPL WONG JI FENG WILLARD</v>
      </c>
      <c r="AE48" s="292" t="str">
        <f aca="false">INDEX($B$4:$B$46,MATCH($B48,AE$4:AE$46,0))</f>
        <v>CPL TAN JUN YANG KELVIN</v>
      </c>
      <c r="AF48" s="292" t="str">
        <f aca="false">INDEX($B$4:$B$46,MATCH($B48,AF$4:AF$46,0))</f>
        <v>LCP RON NG </v>
      </c>
      <c r="AG48" s="292" t="str">
        <f aca="false">INDEX($B$4:$B$46,MATCH($B48,AG$4:AG$46,0))</f>
        <v>LCP EKLAYVA PINGALI</v>
      </c>
      <c r="AH48" s="272"/>
      <c r="AI48" s="272"/>
      <c r="AJ48" s="272"/>
      <c r="AK48" s="272"/>
      <c r="AL48" s="272"/>
      <c r="AM48" s="272"/>
      <c r="AN48" s="272"/>
      <c r="AO48" s="272"/>
      <c r="AP48" s="272"/>
      <c r="AQ48" s="279"/>
      <c r="AR48" s="279"/>
      <c r="AS48" s="278"/>
      <c r="AT48" s="272"/>
      <c r="AU48" s="278"/>
      <c r="AV48" s="278" t="n">
        <f aca="false">SUMPRODUCT(--(WEEKDAY(C$3:AF$3,2)&gt;5),--ISNUMBER(MATCH(C48:AF48,{"DM","CS1","CS2","SB1","AE","CS/B"},0)))</f>
        <v>0</v>
      </c>
      <c r="AW48" s="272"/>
      <c r="AX48" s="278"/>
      <c r="AY48" s="278"/>
      <c r="AZ48" s="278"/>
      <c r="BA48" s="279"/>
      <c r="BB48" s="278"/>
      <c r="BC48" s="278"/>
      <c r="BD48" s="278"/>
      <c r="BE48" s="278"/>
      <c r="BF48" s="278"/>
      <c r="BG48" s="278"/>
      <c r="BH48" s="278"/>
      <c r="BI48" s="278"/>
      <c r="BJ48" s="278"/>
      <c r="BK48" s="278"/>
      <c r="BL48" s="278"/>
      <c r="BM48" s="278"/>
      <c r="BN48" s="278"/>
      <c r="BO48" s="278"/>
      <c r="BP48" s="272"/>
    </row>
    <row r="49" customFormat="false" ht="19.5" hidden="false" customHeight="true" outlineLevel="0" collapsed="false">
      <c r="A49" s="272"/>
      <c r="B49" s="266" t="s">
        <v>56</v>
      </c>
      <c r="C49" s="292" t="str">
        <f aca="false">INDEX($B$4:$B$46,MATCH($B49,C$4:C$46,0))</f>
        <v>LCP CHYE JING AN MAXIMUS</v>
      </c>
      <c r="D49" s="292" t="str">
        <f aca="false">INDEX($B$4:$B$46,MATCH($B49,D$4:D$46,0))</f>
        <v>LCP SHLOK PUROHIT</v>
      </c>
      <c r="E49" s="292" t="str">
        <f aca="false">INDEX($B$4:$B$46,MATCH($B49,E$4:E$46,0))</f>
        <v>CPL HO SHENGHUI HAYDEN</v>
      </c>
      <c r="F49" s="292" t="str">
        <f aca="false">INDEX($B$4:$B$46,MATCH($B49,F$4:F$46,0))</f>
        <v>LCP EKLAYVA PINGALI</v>
      </c>
      <c r="G49" s="292" t="str">
        <f aca="false">INDEX($B$4:$B$46,MATCH($B49,G$4:G$46,0))</f>
        <v>CFC GERALD TAN </v>
      </c>
      <c r="H49" s="292" t="str">
        <f aca="false">INDEX($B$4:$B$46,MATCH($B49,H$4:H$46,0))</f>
        <v>LCP CHOA ZONGHAN ETIENNE</v>
      </c>
      <c r="I49" s="292" t="str">
        <f aca="false">INDEX($B$4:$B$46,MATCH($B49,I$4:I$46,0))</f>
        <v>LCP STEPHEN TAY </v>
      </c>
      <c r="J49" s="292" t="str">
        <f aca="false">INDEX($B$4:$B$46,MATCH($B49,J$4:J$46,0))</f>
        <v>PTE MENDEZ RALPH JUSTINE MACALINO</v>
      </c>
      <c r="K49" s="292" t="str">
        <f aca="false">INDEX($B$4:$B$46,MATCH($B49,K$4:K$46,0))</f>
        <v>LCP CHYE JING AN MAXIMUS</v>
      </c>
      <c r="L49" s="292" t="str">
        <f aca="false">INDEX($B$4:$B$46,MATCH($B49,L$4:L$46,0))</f>
        <v>PTE DANIEL ISKANDAR BIN SANUSI</v>
      </c>
      <c r="M49" s="292" t="str">
        <f aca="false">INDEX($B$4:$B$46,MATCH($B49,M$4:M$46,0))</f>
        <v>LCP EKLAYVA PINGALI</v>
      </c>
      <c r="N49" s="292" t="str">
        <f aca="false">INDEX($B$4:$B$46,MATCH($B49,N$4:N$46,0))</f>
        <v>CPL HO SHENGHUI HAYDEN</v>
      </c>
      <c r="O49" s="292" t="str">
        <f aca="false">INDEX($B$4:$B$46,MATCH($B49,O$4:O$46,0))</f>
        <v>LCP EDWARD GAN BOON WEI </v>
      </c>
      <c r="P49" s="292" t="str">
        <f aca="false">INDEX($B$4:$B$46,MATCH($B49,P$4:P$46,0))</f>
        <v>LCP CHYE JING AN MAXIMUS</v>
      </c>
      <c r="Q49" s="292" t="str">
        <f aca="false">INDEX($B$4:$B$46,MATCH($B49,Q$4:Q$46,0))</f>
        <v>CPL FANG JIANGRUI</v>
      </c>
      <c r="R49" s="292" t="str">
        <f aca="false">INDEX($B$4:$B$46,MATCH($B49,R$4:R$46,0))</f>
        <v>PTE MENDEZ RALPH JUSTINE MACALINO</v>
      </c>
      <c r="S49" s="292" t="str">
        <f aca="false">INDEX($B$4:$B$46,MATCH($B49,S$4:S$46,0))</f>
        <v>LCP SHLOK PUROHIT</v>
      </c>
      <c r="T49" s="292" t="str">
        <f aca="false">INDEX($B$4:$B$46,MATCH($B49,T$4:T$46,0))</f>
        <v>CPL TAN JUN YANG KELVIN</v>
      </c>
      <c r="U49" s="292" t="str">
        <f aca="false">INDEX($B$4:$B$46,MATCH($B49,U$4:U$46,0))</f>
        <v>LCP MUHAMAD ZULKHAIRI BIN MOHAMAD SAPARI</v>
      </c>
      <c r="V49" s="292" t="str">
        <f aca="false">INDEX($B$4:$B$46,MATCH($B49,V$4:V$46,0))</f>
        <v>LCP CHOA ZONGHAN ETIENNE</v>
      </c>
      <c r="W49" s="292" t="str">
        <f aca="false">INDEX($B$4:$B$46,MATCH($B49,W$4:W$46,0))</f>
        <v>LCP MUHAMMAD SHAUKI BIN MOHD SHAM</v>
      </c>
      <c r="X49" s="292" t="str">
        <f aca="false">INDEX($B$4:$B$46,MATCH($B49,X$4:X$46,0))</f>
        <v>CFC GERALD TAN </v>
      </c>
      <c r="Y49" s="292" t="str">
        <f aca="false">INDEX($B$4:$B$46,MATCH($B49,Y$4:Y$46,0))</f>
        <v>CPL TAN JUN YANG KELVIN</v>
      </c>
      <c r="Z49" s="292" t="str">
        <f aca="false">INDEX($B$4:$B$46,MATCH($B49,Z$4:Z$46,0))</f>
        <v>PTE MENDEZ RALPH JUSTINE MACALINO</v>
      </c>
      <c r="AA49" s="292" t="e">
        <f aca="false">INDEX($B$4:$B$46,MATCH($B49,AA$4:AA$46,0))</f>
        <v>#N/A</v>
      </c>
      <c r="AB49" s="292" t="str">
        <f aca="false">INDEX($B$4:$B$46,MATCH($B49,AB$4:AB$46,0))</f>
        <v>LCP KOO YI XIAN RAPHAEL </v>
      </c>
      <c r="AC49" s="292" t="str">
        <f aca="false">INDEX($B$4:$B$46,MATCH($B49,AC$4:AC$46,0))</f>
        <v>CPL HYDER ISKANDAR BIN ZULKILFILY</v>
      </c>
      <c r="AD49" s="292" t="str">
        <f aca="false">INDEX($B$4:$B$46,MATCH($B49,AD$4:AD$46,0))</f>
        <v>LCP MUHAMMAD SHAUKI BIN MOHD SHAM</v>
      </c>
      <c r="AE49" s="292" t="str">
        <f aca="false">INDEX($B$4:$B$46,MATCH($B49,AE$4:AE$46,0))</f>
        <v>3SG SAMUEL TAN ENG WEE</v>
      </c>
      <c r="AF49" s="292" t="str">
        <f aca="false">INDEX($B$4:$B$46,MATCH($B49,AF$4:AF$46,0))</f>
        <v>CPL FANG JIANGRUI</v>
      </c>
      <c r="AG49" s="292" t="str">
        <f aca="false">INDEX($B$4:$B$46,MATCH($B49,AG$4:AG$46,0))</f>
        <v>LCP TRAN MINH KHOA</v>
      </c>
      <c r="AH49" s="272"/>
      <c r="AI49" s="272"/>
      <c r="AJ49" s="272"/>
      <c r="AK49" s="272"/>
      <c r="AL49" s="272"/>
      <c r="AM49" s="272"/>
      <c r="AN49" s="272"/>
      <c r="AO49" s="272"/>
      <c r="AP49" s="272"/>
      <c r="AQ49" s="279"/>
      <c r="AR49" s="279"/>
      <c r="AS49" s="278"/>
      <c r="AT49" s="272"/>
      <c r="AU49" s="278"/>
      <c r="AV49" s="278" t="n">
        <f aca="false">SUMPRODUCT(--(WEEKDAY(C$3:AF$3,2)&gt;5),--ISNUMBER(MATCH(C49:AF49,{"DM","CS1","CS2","SB1","AE","CS/B"},0)))</f>
        <v>0</v>
      </c>
      <c r="AW49" s="272"/>
      <c r="AX49" s="278"/>
      <c r="AY49" s="278"/>
      <c r="AZ49" s="278"/>
      <c r="BA49" s="279"/>
      <c r="BB49" s="278"/>
      <c r="BC49" s="278"/>
      <c r="BD49" s="278"/>
      <c r="BE49" s="278"/>
      <c r="BF49" s="278"/>
      <c r="BG49" s="278"/>
      <c r="BH49" s="278"/>
      <c r="BI49" s="278"/>
      <c r="BJ49" s="278"/>
      <c r="BK49" s="278"/>
      <c r="BL49" s="278"/>
      <c r="BM49" s="278"/>
      <c r="BN49" s="278"/>
      <c r="BO49" s="278"/>
      <c r="BP49" s="272"/>
    </row>
    <row r="50" customFormat="false" ht="19.5" hidden="false" customHeight="true" outlineLevel="0" collapsed="false">
      <c r="A50" s="272"/>
      <c r="B50" s="266" t="s">
        <v>59</v>
      </c>
      <c r="C50" s="292" t="str">
        <f aca="false">INDEX($B$4:$B$46,MATCH($B50,C$4:C$46,0))</f>
        <v>LCP RAIYAN ZUFAYRI BIN MOHAMAD HELMY</v>
      </c>
      <c r="D50" s="292" t="e">
        <f aca="false">INDEX($B$4:$B$44,MATCH($B50,D$4:D$46,0))</f>
        <v>#N/A</v>
      </c>
      <c r="E50" s="292" t="str">
        <f aca="false">INDEX($B$4:$B$44,MATCH($B50,E$4:E$46,0))</f>
        <v>LCP EDWARD GAN BOON WEI </v>
      </c>
      <c r="F50" s="292" t="str">
        <f aca="false">INDEX($B$4:$B$44,MATCH($B50,F$4:F$46,0))</f>
        <v>CPL WONG JI FENG WILLARD</v>
      </c>
      <c r="G50" s="292" t="e">
        <f aca="false">INDEX($B$4:$B$44,MATCH($B50,G$4:G$46,0))</f>
        <v>#N/A</v>
      </c>
      <c r="H50" s="292" t="e">
        <f aca="false">INDEX($B$4:$B$44,MATCH($B50,H$4:H$46,0))</f>
        <v>#N/A</v>
      </c>
      <c r="I50" s="292" t="str">
        <f aca="false">INDEX($B$4:$B$44,MATCH($B50,I$4:I$46,0))</f>
        <v>CPL HYDER ISKANDAR BIN ZULKILFILY</v>
      </c>
      <c r="J50" s="292" t="str">
        <f aca="false">INDEX($B$4:$B$44,MATCH($B50,J$4:J$46,0))</f>
        <v>LCP SHLOK PUROHIT</v>
      </c>
      <c r="K50" s="292" t="e">
        <f aca="false">INDEX($B$4:$B$44,MATCH($B50,K$4:K$46,0))</f>
        <v>#N/A</v>
      </c>
      <c r="L50" s="292" t="str">
        <f aca="false">INDEX($B$4:$B$44,MATCH($B50,L$4:L$46,0))</f>
        <v>LCP KOO YI XIAN RAPHAEL </v>
      </c>
      <c r="M50" s="292" t="str">
        <f aca="false">INDEX($B$4:$B$44,MATCH($B50,M$4:M$46,0))</f>
        <v>LCP MUHAMMAD YASIR BIN MUHAMMAD HIJAZ</v>
      </c>
      <c r="N50" s="292" t="e">
        <f aca="false">INDEX($B$4:$B$44,MATCH($B50,N$4:N$46,0))</f>
        <v>#N/A</v>
      </c>
      <c r="O50" s="292" t="e">
        <f aca="false">INDEX($B$4:$B$44,MATCH($B50,O$4:O$46,0))</f>
        <v>#N/A</v>
      </c>
      <c r="P50" s="292" t="str">
        <f aca="false">INDEX($B$4:$B$44,MATCH($B50,P$4:P$46,0))</f>
        <v>LCP HUANG JIHUI</v>
      </c>
      <c r="Q50" s="292" t="str">
        <f aca="false">INDEX($B$4:$B$44,MATCH($B50,Q$4:Q$46,0))</f>
        <v>CPL QUEK ZI YI</v>
      </c>
      <c r="R50" s="292" t="e">
        <f aca="false">INDEX($B$4:$B$44,MATCH($B50,R$4:R$46,0))</f>
        <v>#N/A</v>
      </c>
      <c r="S50" s="292" t="str">
        <f aca="false">INDEX($B$4:$B$44,MATCH($B50,S$4:S$46,0))</f>
        <v>LCP MATTHEW HWANG YEW SENG</v>
      </c>
      <c r="T50" s="292" t="str">
        <f aca="false">INDEX($B$4:$B$44,MATCH($B50,T$4:T$46,0))</f>
        <v>CPL FANG JIANGRUI</v>
      </c>
      <c r="U50" s="292" t="e">
        <f aca="false">INDEX($B$4:$B$44,MATCH($B50,U$4:U$46,0))</f>
        <v>#N/A</v>
      </c>
      <c r="V50" s="292" t="e">
        <f aca="false">INDEX($B$4:$B$44,MATCH($B50,V$4:V$46,0))</f>
        <v>#N/A</v>
      </c>
      <c r="W50" s="292" t="str">
        <f aca="false">INDEX($B$4:$B$44,MATCH($B50,W$4:W$46,0))</f>
        <v>LCP SHLOK PUROHIT</v>
      </c>
      <c r="X50" s="292" t="str">
        <f aca="false">INDEX($B$4:$B$44,MATCH($B50,X$4:X$46,0))</f>
        <v>3SG SAMUEL TAN ENG WEE</v>
      </c>
      <c r="Y50" s="292" t="e">
        <f aca="false">INDEX($B$4:$B$44,MATCH($B50,Y$4:Y$46,0))</f>
        <v>#N/A</v>
      </c>
      <c r="Z50" s="292" t="e">
        <f aca="false">INDEX($B$4:$B$44,MATCH($B50,Z$4:Z$46,0))</f>
        <v>#N/A</v>
      </c>
      <c r="AA50" s="292" t="str">
        <f aca="false">INDEX($B$4:$B$44,MATCH($B50,AA$4:AA$46,0))</f>
        <v>LCP MUHAMMAD HAMZA ZUBERI</v>
      </c>
      <c r="AB50" s="292" t="e">
        <f aca="false">INDEX($B$4:$B$44,MATCH($B50,AB$4:AB$46,0))</f>
        <v>#N/A</v>
      </c>
      <c r="AC50" s="292" t="e">
        <f aca="false">INDEX($B$4:$B$44,MATCH($B50,AC$4:AC$46,0))</f>
        <v>#N/A</v>
      </c>
      <c r="AD50" s="292" t="str">
        <f aca="false">INDEX($B$4:$B$44,MATCH($B50,AD$4:AD$46,0))</f>
        <v>LCP EKLAYVA PINGALI</v>
      </c>
      <c r="AE50" s="292" t="str">
        <f aca="false">INDEX($B$4:$B$44,MATCH($B50,AE$4:AE$46,0))</f>
        <v>LCP MATTHEW HWANG YEW SENG</v>
      </c>
      <c r="AF50" s="292" t="e">
        <f aca="false">INDEX($B$4:$B$44,MATCH($B50,AF$4:AF$46,0))</f>
        <v>#N/A</v>
      </c>
      <c r="AG50" s="292" t="str">
        <f aca="false">INDEX($B$4:$B$44,MATCH($B50,AG$4:AG$46,0))</f>
        <v>LCP MUHAMMAD YASIR BIN MUHAMMAD HIJAZ</v>
      </c>
      <c r="AH50" s="272"/>
      <c r="AI50" s="272"/>
      <c r="AJ50" s="272"/>
      <c r="AK50" s="272"/>
      <c r="AL50" s="272"/>
      <c r="AM50" s="272"/>
      <c r="AN50" s="272"/>
      <c r="AO50" s="272"/>
      <c r="AP50" s="272"/>
      <c r="AQ50" s="279"/>
      <c r="AR50" s="279"/>
      <c r="AS50" s="278"/>
      <c r="AT50" s="272"/>
      <c r="AU50" s="278"/>
      <c r="AV50" s="278" t="n">
        <f aca="false">SUMPRODUCT(--(WEEKDAY(C$3:AF$3,2)&gt;5),--ISNUMBER(MATCH(C50:AF50,{"DM","CS1","CS2","SB1","AE","CS/B"},0)))</f>
        <v>0</v>
      </c>
      <c r="AW50" s="272"/>
      <c r="AX50" s="278"/>
      <c r="AY50" s="278"/>
      <c r="AZ50" s="278"/>
      <c r="BA50" s="279"/>
      <c r="BB50" s="278"/>
      <c r="BC50" s="278"/>
      <c r="BD50" s="278"/>
      <c r="BE50" s="278"/>
      <c r="BF50" s="278"/>
      <c r="BG50" s="278"/>
      <c r="BH50" s="278"/>
      <c r="BI50" s="278"/>
      <c r="BJ50" s="278"/>
      <c r="BK50" s="278"/>
      <c r="BL50" s="278"/>
      <c r="BM50" s="278"/>
      <c r="BN50" s="278"/>
      <c r="BO50" s="278"/>
      <c r="BP50" s="272"/>
    </row>
    <row r="51" customFormat="false" ht="19.5" hidden="false" customHeight="true" outlineLevel="0" collapsed="false">
      <c r="A51" s="272"/>
      <c r="B51" s="266" t="s">
        <v>566</v>
      </c>
      <c r="C51" s="292" t="e">
        <f aca="false">INDEX($B$4:$B$46,MATCH($B51,C$4:C$46,0))</f>
        <v>#N/A</v>
      </c>
      <c r="D51" s="292" t="str">
        <f aca="false">INDEX($B$4:$B$46,MATCH($B51,D$4:D$46,0))</f>
        <v>CPL QUEK ZI YI</v>
      </c>
      <c r="E51" s="292" t="e">
        <f aca="false">INDEX($B$4:$B$46,MATCH($B51,E$4:E$46,0))</f>
        <v>#N/A</v>
      </c>
      <c r="F51" s="292" t="e">
        <f aca="false">INDEX($B$4:$B$46,MATCH($B51,F$4:F$46,0))</f>
        <v>#N/A</v>
      </c>
      <c r="G51" s="292" t="str">
        <f aca="false">INDEX($B$4:$B$46,MATCH($B51,G$4:G$46,0))</f>
        <v>LCP SHLOK PUROHIT</v>
      </c>
      <c r="H51" s="292" t="str">
        <f aca="false">INDEX($B$4:$B$46,MATCH($B51,H$4:H$46,0))</f>
        <v>LCP RAIYAN ZUFAYRI BIN MOHAMAD HELMY</v>
      </c>
      <c r="I51" s="292" t="e">
        <f aca="false">INDEX($B$4:$B$46,MATCH($B51,I$4:I$46,0))</f>
        <v>#N/A</v>
      </c>
      <c r="J51" s="292" t="e">
        <f aca="false">INDEX($B$4:$B$46,MATCH($B51,J$4:J$46,0))</f>
        <v>#N/A</v>
      </c>
      <c r="K51" s="292" t="str">
        <f aca="false">INDEX($B$4:$B$46,MATCH($B51,K$4:K$46,0))</f>
        <v>LCP MUHAMMAD YASIR BIN MUHAMMAD HIJAZ</v>
      </c>
      <c r="L51" s="292" t="e">
        <f aca="false">INDEX($B$4:$B$46,MATCH($B51,L$4:L$46,0))</f>
        <v>#N/A</v>
      </c>
      <c r="M51" s="292" t="e">
        <f aca="false">INDEX($B$4:$B$46,MATCH($B51,M$4:M$46,0))</f>
        <v>#N/A</v>
      </c>
      <c r="N51" s="292" t="str">
        <f aca="false">INDEX($B$4:$B$46,MATCH($B51,N$4:N$46,0))</f>
        <v>LCP SHLOK PUROHIT</v>
      </c>
      <c r="O51" s="292" t="str">
        <f aca="false">INDEX($B$4:$B$46,MATCH($B51,O$4:O$46,0))</f>
        <v>CPL HYDER ISKANDAR BIN ZULKILFILY</v>
      </c>
      <c r="P51" s="292" t="e">
        <f aca="false">INDEX($B$4:$B$46,MATCH($B51,P$4:P$46,0))</f>
        <v>#N/A</v>
      </c>
      <c r="Q51" s="292" t="e">
        <f aca="false">INDEX($B$4:$B$46,MATCH($B51,Q$4:Q$46,0))</f>
        <v>#N/A</v>
      </c>
      <c r="R51" s="292" t="str">
        <f aca="false">INDEX($B$4:$B$46,MATCH($B51,R$4:R$46,0))</f>
        <v>3SG SAMUEL TAN ENG WEE</v>
      </c>
      <c r="S51" s="292" t="e">
        <f aca="false">INDEX($B$4:$B$46,MATCH($B51,S$4:S$46,0))</f>
        <v>#N/A</v>
      </c>
      <c r="T51" s="292" t="e">
        <f aca="false">INDEX($B$4:$B$46,MATCH($B51,T$4:T$46,0))</f>
        <v>#N/A</v>
      </c>
      <c r="U51" s="292" t="str">
        <f aca="false">INDEX($B$4:$B$46,MATCH($B51,U$4:U$46,0))</f>
        <v>LCP RON NG </v>
      </c>
      <c r="V51" s="292" t="str">
        <f aca="false">INDEX($B$4:$B$46,MATCH($B51,V$4:V$46,0))</f>
        <v>PTE MENDEZ RALPH JUSTINE MACALINO</v>
      </c>
      <c r="W51" s="292" t="e">
        <f aca="false">INDEX($B$4:$B$46,MATCH($B51,W$4:W$46,0))</f>
        <v>#N/A</v>
      </c>
      <c r="X51" s="292" t="e">
        <f aca="false">INDEX($B$4:$B$46,MATCH($B51,X$4:X$46,0))</f>
        <v>#N/A</v>
      </c>
      <c r="Y51" s="292" t="str">
        <f aca="false">INDEX($B$4:$B$46,MATCH($B51,Y$4:Y$46,0))</f>
        <v>LCP SHLOK PUROHIT</v>
      </c>
      <c r="Z51" s="292" t="e">
        <f aca="false">INDEX($B$4:$B$46,MATCH($B51,Z$4:Z$46,0))</f>
        <v>#N/A</v>
      </c>
      <c r="AA51" s="292" t="e">
        <f aca="false">INDEX($B$4:$B$46,MATCH($B51,AA$4:AA$46,0))</f>
        <v>#N/A</v>
      </c>
      <c r="AB51" s="292" t="str">
        <f aca="false">INDEX($B$4:$B$46,MATCH($B51,AB$4:AB$46,0))</f>
        <v>LCP IGNATIUS QUEK </v>
      </c>
      <c r="AC51" s="292" t="str">
        <f aca="false">INDEX($B$4:$B$46,MATCH($B51,AC$4:AC$46,0))</f>
        <v>LCP HUANG JIHUI</v>
      </c>
      <c r="AD51" s="292" t="e">
        <f aca="false">INDEX($B$4:$B$46,MATCH($B51,AD$4:AD$46,0))</f>
        <v>#N/A</v>
      </c>
      <c r="AE51" s="292" t="e">
        <f aca="false">INDEX($B$4:$B$46,MATCH($B51,AE$4:AE$46,0))</f>
        <v>#N/A</v>
      </c>
      <c r="AF51" s="292" t="str">
        <f aca="false">INDEX($B$4:$B$46,MATCH($B51,AF$4:AF$46,0))</f>
        <v>LCP IGNATIUS QUEK </v>
      </c>
      <c r="AG51" s="292" t="e">
        <f aca="false">INDEX($B$4:$B$46,MATCH($B51,AG$4:AG$46,0))</f>
        <v>#N/A</v>
      </c>
      <c r="AH51" s="272"/>
      <c r="AI51" s="272"/>
      <c r="AJ51" s="272"/>
      <c r="AK51" s="272"/>
      <c r="AL51" s="272"/>
      <c r="AM51" s="272"/>
      <c r="AN51" s="272"/>
      <c r="AO51" s="272"/>
      <c r="AP51" s="272"/>
      <c r="AQ51" s="279"/>
      <c r="AR51" s="279"/>
      <c r="AS51" s="278"/>
      <c r="AT51" s="272"/>
      <c r="AU51" s="278"/>
      <c r="AV51" s="278" t="n">
        <f aca="false">SUMPRODUCT(--(WEEKDAY(C$3:AF$3,2)&gt;5),--ISNUMBER(MATCH(C51:AF51,{"DM","CS1","CS2","SB1","AE","CS/B"},0)))</f>
        <v>0</v>
      </c>
      <c r="AW51" s="272"/>
      <c r="AX51" s="278"/>
      <c r="AY51" s="278"/>
      <c r="AZ51" s="278"/>
      <c r="BA51" s="279"/>
      <c r="BB51" s="278"/>
      <c r="BC51" s="278"/>
      <c r="BD51" s="278"/>
      <c r="BE51" s="278"/>
      <c r="BF51" s="278"/>
      <c r="BG51" s="278"/>
      <c r="BH51" s="278"/>
      <c r="BI51" s="278"/>
      <c r="BJ51" s="278"/>
      <c r="BK51" s="278"/>
      <c r="BL51" s="278"/>
      <c r="BM51" s="278"/>
      <c r="BN51" s="278"/>
      <c r="BO51" s="278"/>
      <c r="BP51" s="272"/>
    </row>
    <row r="52" customFormat="false" ht="19.5" hidden="false" customHeight="true" outlineLevel="0" collapsed="false">
      <c r="A52" s="272"/>
      <c r="B52" s="266" t="s">
        <v>58</v>
      </c>
      <c r="C52" s="292" t="str">
        <f aca="false">INDEX($B$4:$B$46,MATCH($B52,C$4:C$46,0))</f>
        <v>3SG SAMUEL TAN ENG WEE</v>
      </c>
      <c r="D52" s="292" t="e">
        <f aca="false">INDEX($B$4:$B$46,MATCH($B52,D$4:D$46,0))</f>
        <v>#N/A</v>
      </c>
      <c r="E52" s="292" t="str">
        <f aca="false">INDEX($B$4:$B$46,MATCH($B52,E$4:E$46,0))</f>
        <v>LCP STEPHEN TAY </v>
      </c>
      <c r="F52" s="292" t="str">
        <f aca="false">INDEX($B$4:$B$46,MATCH($B52,F$4:F$46,0))</f>
        <v>LCP RAIYAN ZUFAYRI BIN MOHAMAD HELMY</v>
      </c>
      <c r="G52" s="292" t="e">
        <f aca="false">INDEX($B$4:$B$46,MATCH($B52,G$4:G$46,0))</f>
        <v>#N/A</v>
      </c>
      <c r="H52" s="292" t="e">
        <f aca="false">INDEX($B$4:$B$46,MATCH($B52,H$4:H$46,0))</f>
        <v>#N/A</v>
      </c>
      <c r="I52" s="292" t="str">
        <f aca="false">INDEX($B$4:$B$46,MATCH($B52,I$4:I$46,0))</f>
        <v>CPL HO SHENGHUI HAYDEN</v>
      </c>
      <c r="J52" s="292" t="str">
        <f aca="false">INDEX($B$4:$B$46,MATCH($B52,J$4:J$46,0))</f>
        <v>LCP CHOA ZONGHAN ETIENNE</v>
      </c>
      <c r="K52" s="292" t="e">
        <f aca="false">INDEX($B$4:$B$46,MATCH($B52,K$4:K$46,0))</f>
        <v>#N/A</v>
      </c>
      <c r="L52" s="292" t="str">
        <f aca="false">INDEX($B$4:$B$46,MATCH($B52,L$4:L$46,0))</f>
        <v>LCP JARED JUAY (BCF)</v>
      </c>
      <c r="M52" s="292" t="str">
        <f aca="false">INDEX($B$4:$B$46,MATCH($B52,M$4:M$46,0))</f>
        <v>PTE MENDEZ RALPH JUSTINE MACALINO</v>
      </c>
      <c r="N52" s="292" t="e">
        <f aca="false">INDEX($B$4:$B$46,MATCH($B52,N$4:N$46,0))</f>
        <v>#N/A</v>
      </c>
      <c r="O52" s="292" t="e">
        <f aca="false">INDEX($B$4:$B$46,MATCH($B52,O$4:O$46,0))</f>
        <v>#N/A</v>
      </c>
      <c r="P52" s="292" t="str">
        <f aca="false">INDEX($B$4:$B$46,MATCH($B52,P$4:P$46,0))</f>
        <v>LCP RAIYAN ZUFAYRI BIN MOHAMAD HELMY</v>
      </c>
      <c r="Q52" s="292" t="str">
        <f aca="false">INDEX($B$4:$B$46,MATCH($B52,Q$4:Q$46,0))</f>
        <v>CPL HYDER ISKANDAR BIN ZULKILFILY</v>
      </c>
      <c r="R52" s="292" t="e">
        <f aca="false">INDEX($B$4:$B$46,MATCH($B52,R$4:R$46,0))</f>
        <v>#N/A</v>
      </c>
      <c r="S52" s="292" t="str">
        <f aca="false">INDEX($B$4:$B$46,MATCH($B52,S$4:S$46,0))</f>
        <v>PTE JAR RUI (BCF)</v>
      </c>
      <c r="T52" s="292" t="str">
        <f aca="false">INDEX($B$4:$B$46,MATCH($B52,T$4:T$46,0))</f>
        <v>LCP EDWARD GAN BOON WEI </v>
      </c>
      <c r="U52" s="292" t="e">
        <f aca="false">INDEX($B$4:$B$46,MATCH($B52,U$4:U$46,0))</f>
        <v>#N/A</v>
      </c>
      <c r="V52" s="292" t="e">
        <f aca="false">INDEX($B$4:$B$46,MATCH($B52,V$4:V$46,0))</f>
        <v>#N/A</v>
      </c>
      <c r="W52" s="292" t="str">
        <f aca="false">INDEX($B$4:$B$46,MATCH($B52,W$4:W$46,0))</f>
        <v>LCP RAIYAN ZUFAYRI BIN MOHAMAD HELMY</v>
      </c>
      <c r="X52" s="292" t="str">
        <f aca="false">INDEX($B$4:$B$46,MATCH($B52,X$4:X$46,0))</f>
        <v>PTE JEROME TEO (BCF)</v>
      </c>
      <c r="Y52" s="292" t="e">
        <f aca="false">INDEX($B$4:$B$46,MATCH($B52,Y$4:Y$46,0))</f>
        <v>#N/A</v>
      </c>
      <c r="Z52" s="292" t="str">
        <f aca="false">INDEX($B$4:$B$46,MATCH($B52,Z$4:Z$46,0))</f>
        <v>CPL HYDER ISKANDAR BIN ZULKILFILY</v>
      </c>
      <c r="AA52" s="292" t="str">
        <f aca="false">INDEX($B$4:$B$46,MATCH($B52,AA$4:AA$46,0))</f>
        <v>3SG SAMUEL TAN ENG WEE</v>
      </c>
      <c r="AB52" s="292" t="e">
        <f aca="false">INDEX($B$4:$B$46,MATCH($B52,AB$4:AB$46,0))</f>
        <v>#N/A</v>
      </c>
      <c r="AC52" s="292" t="e">
        <f aca="false">INDEX($B$4:$B$46,MATCH($B52,AC$4:AC$46,0))</f>
        <v>#N/A</v>
      </c>
      <c r="AD52" s="292" t="str">
        <f aca="false">INDEX($B$4:$B$46,MATCH($B52,AD$4:AD$46,0))</f>
        <v>LCP SHLOK PUROHIT</v>
      </c>
      <c r="AE52" s="292" t="str">
        <f aca="false">INDEX($B$4:$B$46,MATCH($B52,AE$4:AE$46,0))</f>
        <v>CPL ZHANG ZHONGHAO</v>
      </c>
      <c r="AF52" s="292" t="e">
        <f aca="false">INDEX($B$4:$B$46,MATCH($B52,AF$4:AF$46,0))</f>
        <v>#N/A</v>
      </c>
      <c r="AG52" s="292" t="str">
        <f aca="false">INDEX($B$4:$B$46,MATCH($B52,AG$4:AG$46,0))</f>
        <v>PTE JAR RUI (BCF)</v>
      </c>
      <c r="AH52" s="272"/>
      <c r="AI52" s="272"/>
      <c r="AJ52" s="272"/>
      <c r="AK52" s="272"/>
      <c r="AL52" s="272"/>
      <c r="AM52" s="272"/>
      <c r="AN52" s="272"/>
      <c r="AO52" s="272"/>
      <c r="AP52" s="272"/>
      <c r="AQ52" s="279"/>
      <c r="AR52" s="279"/>
      <c r="AS52" s="278"/>
      <c r="AT52" s="272"/>
      <c r="AU52" s="278"/>
      <c r="AV52" s="278" t="n">
        <f aca="false">SUMPRODUCT(--(WEEKDAY(C$3:AF$3,2)&gt;5),--ISNUMBER(MATCH(C52:AF52,{"DM","CS1","CS2","SB1","AE","CS/B"},0)))</f>
        <v>0</v>
      </c>
      <c r="AW52" s="272"/>
      <c r="AX52" s="278"/>
      <c r="AY52" s="278"/>
      <c r="AZ52" s="278"/>
      <c r="BA52" s="279"/>
      <c r="BB52" s="278"/>
      <c r="BC52" s="278"/>
      <c r="BD52" s="278"/>
      <c r="BE52" s="278"/>
      <c r="BF52" s="278"/>
      <c r="BG52" s="278"/>
      <c r="BH52" s="278"/>
      <c r="BI52" s="278"/>
      <c r="BJ52" s="278"/>
      <c r="BK52" s="278"/>
      <c r="BL52" s="278"/>
      <c r="BM52" s="278"/>
      <c r="BN52" s="278"/>
      <c r="BO52" s="278"/>
      <c r="BP52" s="272"/>
    </row>
    <row r="53" customFormat="false" ht="19.5" hidden="false" customHeight="true" outlineLevel="0" collapsed="false">
      <c r="A53" s="272"/>
      <c r="B53" s="266" t="s">
        <v>93</v>
      </c>
      <c r="C53" s="292" t="str">
        <f aca="false">INDEX($B$4:$B$46,MATCH($B53,C$4:C$46,0))</f>
        <v>PTE KERK NATHAN</v>
      </c>
      <c r="D53" s="292" t="str">
        <f aca="false">INDEX($B$4:$B$46,MATCH($B53,D$4:D$46,0))</f>
        <v>CFC DERRICK CHIN</v>
      </c>
      <c r="E53" s="292" t="str">
        <f aca="false">INDEX($B$4:$B$46,MATCH($B53,E$4:E$46,0))</f>
        <v>PTE KERK NATHAN</v>
      </c>
      <c r="F53" s="292" t="e">
        <f aca="false">INDEX($B$4:$B$46,MATCH($B53,F$4:F$46,0))</f>
        <v>#N/A</v>
      </c>
      <c r="G53" s="292" t="e">
        <f aca="false">INDEX($B$4:$B$46,MATCH($B53,G$4:G$46,0))</f>
        <v>#N/A</v>
      </c>
      <c r="H53" s="292" t="str">
        <f aca="false">INDEX($B$4:$B$46,MATCH($B53,H$4:H$46,0))</f>
        <v>LCP MUHAMMAD SHAUKI BIN MOHD SHAM</v>
      </c>
      <c r="I53" s="292" t="str">
        <f aca="false">INDEX($B$4:$B$46,MATCH($B53,I$4:I$46,0))</f>
        <v>LCP EDWARD GAN BOON WEI </v>
      </c>
      <c r="J53" s="292" t="str">
        <f aca="false">INDEX($B$4:$B$46,MATCH($B53,J$4:J$46,0))</f>
        <v>LCP RAIYAN ZUFAYRI BIN MOHAMAD HELMY</v>
      </c>
      <c r="K53" s="292" t="str">
        <f aca="false">INDEX($B$4:$B$46,MATCH($B53,K$4:K$46,0))</f>
        <v>LCP STEPHEN TAY </v>
      </c>
      <c r="L53" s="292" t="str">
        <f aca="false">INDEX($B$4:$B$46,MATCH($B53,L$4:L$46,0))</f>
        <v>LCP CHOA ZONGHAN ETIENNE</v>
      </c>
      <c r="M53" s="292" t="e">
        <f aca="false">INDEX($B$4:$B$46,MATCH($B53,M$4:M$46,0))</f>
        <v>#N/A</v>
      </c>
      <c r="N53" s="292" t="e">
        <f aca="false">INDEX($B$4:$B$46,MATCH($B53,N$4:N$46,0))</f>
        <v>#N/A</v>
      </c>
      <c r="O53" s="292" t="str">
        <f aca="false">INDEX($B$4:$B$46,MATCH($B53,O$4:O$46,0))</f>
        <v>LCP JARED JUAY (BCF)</v>
      </c>
      <c r="P53" s="292" t="str">
        <f aca="false">INDEX($B$4:$B$46,MATCH($B53,P$4:P$46,0))</f>
        <v>PTE EUGENE ANG (BCF)</v>
      </c>
      <c r="Q53" s="292" t="str">
        <f aca="false">INDEX($B$4:$B$46,MATCH($B53,Q$4:Q$46,0))</f>
        <v>CPL TAN JUN YANG KELVIN</v>
      </c>
      <c r="R53" s="292" t="str">
        <f aca="false">INDEX($B$4:$B$46,MATCH($B53,R$4:R$46,0))</f>
        <v>LCP RON NG </v>
      </c>
      <c r="S53" s="292" t="str">
        <f aca="false">INDEX($B$4:$B$46,MATCH($B53,S$4:S$46,0))</f>
        <v>LCP STEPHEN TAY </v>
      </c>
      <c r="T53" s="292" t="e">
        <f aca="false">INDEX($B$4:$B$46,MATCH($B53,T$4:T$46,0))</f>
        <v>#N/A</v>
      </c>
      <c r="U53" s="292" t="e">
        <f aca="false">INDEX($B$4:$B$46,MATCH($B53,U$4:U$46,0))</f>
        <v>#N/A</v>
      </c>
      <c r="V53" s="292" t="str">
        <f aca="false">INDEX($B$4:$B$46,MATCH($B53,V$4:V$46,0))</f>
        <v>CPL HYDER ISKANDAR BIN ZULKILFILY</v>
      </c>
      <c r="W53" s="292" t="str">
        <f aca="false">INDEX($B$4:$B$46,MATCH($B53,W$4:W$46,0))</f>
        <v>LCP MUHAMAD ZULKHAIRI BIN MOHAMAD SAPARI</v>
      </c>
      <c r="X53" s="292" t="str">
        <f aca="false">INDEX($B$4:$B$46,MATCH($B53,X$4:X$46,0))</f>
        <v>CPL HO SHENGHUI HAYDEN</v>
      </c>
      <c r="Y53" s="292" t="str">
        <f aca="false">INDEX($B$4:$B$46,MATCH($B53,Y$4:Y$46,0))</f>
        <v>LCP LAU KAN SHEN (BCF)</v>
      </c>
      <c r="Z53" s="292" t="str">
        <f aca="false">INDEX($B$4:$B$46,MATCH($B53,Z$4:Z$46,0))</f>
        <v>PTE JEROME TEO (BCF)</v>
      </c>
      <c r="AA53" s="292" t="e">
        <f aca="false">INDEX($B$4:$B$46,MATCH($B53,AA$4:AA$46,0))</f>
        <v>#N/A</v>
      </c>
      <c r="AB53" s="292" t="e">
        <f aca="false">INDEX($B$4:$B$46,MATCH($B53,AB$4:AB$46,0))</f>
        <v>#N/A</v>
      </c>
      <c r="AC53" s="292" t="str">
        <f aca="false">INDEX($B$4:$B$46,MATCH($B53,AC$4:AC$46,0))</f>
        <v>CFC GERALD TAN </v>
      </c>
      <c r="AD53" s="292" t="str">
        <f aca="false">INDEX($B$4:$B$46,MATCH($B53,AD$4:AD$46,0))</f>
        <v>CPL ZHANG ZHONGHAO</v>
      </c>
      <c r="AE53" s="292" t="str">
        <f aca="false">INDEX($B$4:$B$46,MATCH($B53,AE$4:AE$46,0))</f>
        <v>LCP JARED JUAY (BCF)</v>
      </c>
      <c r="AF53" s="292" t="str">
        <f aca="false">INDEX($B$4:$B$46,MATCH($B53,AF$4:AF$46,0))</f>
        <v>LCP EKLAYVA PINGALI</v>
      </c>
      <c r="AG53" s="292" t="str">
        <f aca="false">INDEX($B$4:$B$46,MATCH($B53,AG$4:AG$46,0))</f>
        <v>LCP SHLOK PUROHIT</v>
      </c>
      <c r="AH53" s="272"/>
      <c r="AI53" s="272"/>
      <c r="AJ53" s="272"/>
      <c r="AK53" s="272"/>
      <c r="AL53" s="272"/>
      <c r="AM53" s="272"/>
      <c r="AN53" s="272"/>
      <c r="AO53" s="272"/>
      <c r="AP53" s="272"/>
      <c r="AQ53" s="279"/>
      <c r="AR53" s="279"/>
      <c r="AS53" s="278"/>
      <c r="AT53" s="272"/>
      <c r="AU53" s="278"/>
      <c r="AV53" s="278" t="n">
        <f aca="false">SUMPRODUCT(--(WEEKDAY(C$3:AF$3,2)&gt;5),--ISNUMBER(MATCH(C53:AF53,{"DM","CS1","CS2","SB1","AE","CS/B"},0)))</f>
        <v>0</v>
      </c>
      <c r="AW53" s="272"/>
      <c r="AX53" s="278"/>
      <c r="AY53" s="278"/>
      <c r="AZ53" s="278"/>
      <c r="BA53" s="279"/>
      <c r="BB53" s="278"/>
      <c r="BC53" s="278"/>
      <c r="BD53" s="278"/>
      <c r="BE53" s="278"/>
      <c r="BF53" s="278"/>
      <c r="BG53" s="278"/>
      <c r="BH53" s="278"/>
      <c r="BI53" s="278"/>
      <c r="BJ53" s="278"/>
      <c r="BK53" s="278"/>
      <c r="BL53" s="278"/>
      <c r="BM53" s="278"/>
      <c r="BN53" s="278"/>
      <c r="BO53" s="278"/>
      <c r="BP53" s="272"/>
    </row>
    <row r="54" customFormat="false" ht="19.5" hidden="false" customHeight="true" outlineLevel="0" collapsed="false">
      <c r="A54" s="272"/>
      <c r="B54" s="266" t="s">
        <v>65</v>
      </c>
      <c r="C54" s="292" t="str">
        <f aca="false">INDEX($B$4:$B$46,MATCH($B54,C$4:C$46,0))</f>
        <v>LCP MUHAMMAD HAMZA ZUBERI</v>
      </c>
      <c r="D54" s="292" t="str">
        <f aca="false">INDEX($B$4:$B$46,MATCH($B54,D$4:D$46,0))</f>
        <v>LCP RAGURAMAN ANIRUDH</v>
      </c>
      <c r="E54" s="292" t="str">
        <f aca="false">INDEX($B$4:$B$46,MATCH($B54,E$4:E$46,0))</f>
        <v>PTE DANIEL ISKANDAR BIN SANUSI</v>
      </c>
      <c r="F54" s="292" t="str">
        <f aca="false">INDEX($B$4:$B$46,MATCH($B54,F$4:F$46,0))</f>
        <v>LCP HUANG JIHUI</v>
      </c>
      <c r="G54" s="292" t="str">
        <f aca="false">INDEX($B$4:$B$46,MATCH($B54,G$4:G$46,0))</f>
        <v>PTE OWEN LEE</v>
      </c>
      <c r="H54" s="292" t="str">
        <f aca="false">INDEX($B$4:$B$46,MATCH($B54,H$4:H$46,0))</f>
        <v>PTE PATIL AMEYA MANOJ</v>
      </c>
      <c r="I54" s="292" t="str">
        <f aca="false">INDEX($B$4:$B$46,MATCH($B54,I$4:I$46,0))</f>
        <v>LCP MUHAMMAD HAMZA ZUBERI</v>
      </c>
      <c r="J54" s="292" t="str">
        <f aca="false">INDEX($B$4:$B$46,MATCH($B54,J$4:J$46,0))</f>
        <v>PTE PATIL AMEYA MANOJ</v>
      </c>
      <c r="K54" s="292" t="str">
        <f aca="false">INDEX($B$4:$B$46,MATCH($B54,K$4:K$46,0))</f>
        <v>LCP MUHAMMAD SHAUKI BIN MOHD SHAM</v>
      </c>
      <c r="L54" s="292" t="str">
        <f aca="false">INDEX($B$4:$B$46,MATCH($B54,L$4:L$46,0))</f>
        <v>PTE JEROME TEO (BCF)</v>
      </c>
      <c r="M54" s="292" t="str">
        <f aca="false">INDEX($B$4:$B$46,MATCH($B54,M$4:M$46,0))</f>
        <v>LCP LAU KAN SHEN (BCF)</v>
      </c>
      <c r="N54" s="292" t="str">
        <f aca="false">INDEX($B$4:$B$46,MATCH($B54,N$4:N$46,0))</f>
        <v>PTE JEROME TEO (BCF)</v>
      </c>
      <c r="O54" s="292" t="str">
        <f aca="false">INDEX($B$4:$B$46,MATCH($B54,O$4:O$46,0))</f>
        <v>LCP STEPHEN TAY </v>
      </c>
      <c r="P54" s="292" t="str">
        <f aca="false">INDEX($B$4:$B$46,MATCH($B54,P$4:P$46,0))</f>
        <v>LCP AHMAD IMRAN (BCF)</v>
      </c>
      <c r="Q54" s="292" t="str">
        <f aca="false">INDEX($B$4:$B$46,MATCH($B54,Q$4:Q$46,0))</f>
        <v>LCP MUHAMMAD HAMZA ZUBERI</v>
      </c>
      <c r="R54" s="292" t="str">
        <f aca="false">INDEX($B$4:$B$46,MATCH($B54,R$4:R$46,0))</f>
        <v>LCP MUHAMMAD SHAUKI BIN MOHD SHAM</v>
      </c>
      <c r="S54" s="292" t="str">
        <f aca="false">INDEX($B$4:$B$46,MATCH($B54,S$4:S$46,0))</f>
        <v>LCP RAIYAN ZUFAYRI BIN MOHAMAD HELMY</v>
      </c>
      <c r="T54" s="292" t="str">
        <f aca="false">INDEX($B$4:$B$46,MATCH($B54,T$4:T$46,0))</f>
        <v>LCP RAGURAMAN ANIRUDH</v>
      </c>
      <c r="U54" s="292" t="str">
        <f aca="false">INDEX($B$4:$B$46,MATCH($B54,U$4:U$46,0))</f>
        <v>LCP MUHAMMAD SHAUKI BIN MOHD SHAM</v>
      </c>
      <c r="V54" s="292" t="str">
        <f aca="false">INDEX($B$4:$B$46,MATCH($B54,V$4:V$46,0))</f>
        <v>LCP STEPHEN TAY </v>
      </c>
      <c r="W54" s="292" t="str">
        <f aca="false">INDEX($B$4:$B$46,MATCH($B54,W$4:W$46,0))</f>
        <v>PTE JAR RUI (BCF)</v>
      </c>
      <c r="X54" s="292" t="str">
        <f aca="false">INDEX($B$4:$B$46,MATCH($B54,X$4:X$46,0))</f>
        <v>LCP HUANG JIHUI</v>
      </c>
      <c r="Y54" s="292" t="str">
        <f aca="false">INDEX($B$4:$B$46,MATCH($B54,Y$4:Y$46,0))</f>
        <v>LCP AHMAD IMRAN (BCF)</v>
      </c>
      <c r="Z54" s="292" t="str">
        <f aca="false">INDEX($B$4:$B$46,MATCH($B54,Z$4:Z$46,0))</f>
        <v>LCP HUANG JIHUI</v>
      </c>
      <c r="AA54" s="292" t="str">
        <f aca="false">INDEX($B$4:$B$46,MATCH($B54,AA$4:AA$46,0))</f>
        <v>PTE JEROME TEO (BCF)</v>
      </c>
      <c r="AB54" s="292" t="str">
        <f aca="false">INDEX($B$4:$B$46,MATCH($B54,AB$4:AB$46,0))</f>
        <v>LCP STEPHEN TAY </v>
      </c>
      <c r="AC54" s="292" t="str">
        <f aca="false">INDEX($B$4:$B$46,MATCH($B54,AC$4:AC$46,0))</f>
        <v>LCP LAU KAN SHEN (BCF)</v>
      </c>
      <c r="AD54" s="292" t="str">
        <f aca="false">INDEX($B$4:$B$46,MATCH($B54,AD$4:AD$46,0))</f>
        <v>PTE JAR RUI (BCF)</v>
      </c>
      <c r="AE54" s="292" t="str">
        <f aca="false">INDEX($B$4:$B$46,MATCH($B54,AE$4:AE$46,0))</f>
        <v>LCP HUANG JIHUI</v>
      </c>
      <c r="AF54" s="292" t="str">
        <f aca="false">INDEX($B$4:$B$46,MATCH($B54,AF$4:AF$46,0))</f>
        <v>PTE MENDEZ RALPH JUSTINE MACALINO</v>
      </c>
      <c r="AG54" s="292" t="str">
        <f aca="false">INDEX($B$4:$B$46,MATCH($B54,AG$4:AG$46,0))</f>
        <v>PTE DANIEL ISKANDAR BIN SANUSI</v>
      </c>
      <c r="AH54" s="272"/>
      <c r="AI54" s="272"/>
      <c r="AJ54" s="272"/>
      <c r="AK54" s="272"/>
      <c r="AL54" s="272"/>
      <c r="AM54" s="272"/>
      <c r="AN54" s="272"/>
      <c r="AO54" s="272"/>
      <c r="AP54" s="272"/>
      <c r="AQ54" s="279"/>
      <c r="AR54" s="279"/>
      <c r="AS54" s="278"/>
      <c r="AT54" s="272"/>
      <c r="AU54" s="278"/>
      <c r="AV54" s="278" t="n">
        <f aca="false">SUMPRODUCT(--(WEEKDAY(C$3:AF$3,2)&gt;5),--ISNUMBER(MATCH(C54:AF54,{"DM","CS1","CS2","SB1","AE","CS/B"},0)))</f>
        <v>0</v>
      </c>
      <c r="AW54" s="272"/>
      <c r="AX54" s="278"/>
      <c r="AY54" s="278"/>
      <c r="AZ54" s="278"/>
      <c r="BA54" s="279"/>
      <c r="BB54" s="278"/>
      <c r="BC54" s="278"/>
      <c r="BD54" s="278"/>
      <c r="BE54" s="278"/>
      <c r="BF54" s="278"/>
      <c r="BG54" s="278"/>
      <c r="BH54" s="278"/>
      <c r="BI54" s="278"/>
      <c r="BJ54" s="278"/>
      <c r="BK54" s="278"/>
      <c r="BL54" s="278"/>
      <c r="BM54" s="278"/>
      <c r="BN54" s="278"/>
      <c r="BO54" s="278"/>
      <c r="BP54" s="272"/>
    </row>
    <row r="55" customFormat="false" ht="19.5" hidden="false" customHeight="true" outlineLevel="0" collapsed="false">
      <c r="A55" s="272"/>
      <c r="B55" s="316" t="s">
        <v>350</v>
      </c>
      <c r="C55" s="292" t="e">
        <f aca="false">INDEX($B$4:$B$46,MATCH($B55,C$4:C$46,0))</f>
        <v>#N/A</v>
      </c>
      <c r="D55" s="292" t="str">
        <f aca="false">INDEX($B$4:$B$46,MATCH($B55,D$4:D$46,0))</f>
        <v>LCP MATTHEW HWANG YEW SENG</v>
      </c>
      <c r="E55" s="292" t="str">
        <f aca="false">INDEX($B$4:$B$46,MATCH($B55,E$4:E$46,0))</f>
        <v>LCP MUHAMMAD HAMZA ZUBERI</v>
      </c>
      <c r="F55" s="292" t="str">
        <f aca="false">INDEX($B$4:$B$46,MATCH($B55,F$4:F$46,0))</f>
        <v>CPL FANG JIANGRUI</v>
      </c>
      <c r="G55" s="292" t="str">
        <f aca="false">INDEX($B$4:$B$46,MATCH($B55,G$4:G$46,0))</f>
        <v>LCP CHYE JING AN MAXIMUS</v>
      </c>
      <c r="H55" s="292" t="str">
        <f aca="false">INDEX($B$4:$B$46,MATCH($B55,H$4:H$46,0))</f>
        <v>3SG SAMUEL TAN ENG WEE</v>
      </c>
      <c r="I55" s="292" t="str">
        <f aca="false">INDEX($B$4:$B$46,MATCH($B55,I$4:I$46,0))</f>
        <v>CPL WONG JI FENG WILLARD</v>
      </c>
      <c r="J55" s="292" t="str">
        <f aca="false">INDEX($B$4:$B$46,MATCH($B55,J$4:J$46,0))</f>
        <v>PTE DANIEL ISKANDAR BIN SANUSI</v>
      </c>
      <c r="K55" s="292" t="str">
        <f aca="false">INDEX($B$4:$B$46,MATCH($B55,K$4:K$46,0))</f>
        <v>LCP MATTHEW HWANG YEW SENG</v>
      </c>
      <c r="L55" s="292" t="str">
        <f aca="false">INDEX($B$4:$B$46,MATCH($B55,L$4:L$46,0))</f>
        <v>LCP EDWARD GAN BOON WEI </v>
      </c>
      <c r="M55" s="292" t="e">
        <f aca="false">INDEX($B$4:$B$46,MATCH($B55,M$4:M$46,0))</f>
        <v>#N/A</v>
      </c>
      <c r="N55" s="292" t="str">
        <f aca="false">INDEX($B$4:$B$46,MATCH($B55,N$4:N$46,0))</f>
        <v>LCP MATTHEW HWANG YEW SENG</v>
      </c>
      <c r="O55" s="292" t="str">
        <f aca="false">INDEX($B$4:$B$46,MATCH($B55,O$4:O$46,0))</f>
        <v>CPL WONG JI FENG WILLARD</v>
      </c>
      <c r="P55" s="292" t="str">
        <f aca="false">INDEX($B$4:$B$46,MATCH($B55,P$4:P$46,0))</f>
        <v>CPL HO SHENGHUI HAYDEN</v>
      </c>
      <c r="Q55" s="292" t="str">
        <f aca="false">INDEX($B$4:$B$46,MATCH($B55,Q$4:Q$46,0))</f>
        <v>LCP STEPHEN TAY </v>
      </c>
      <c r="R55" s="292" t="str">
        <f aca="false">INDEX($B$4:$B$46,MATCH($B55,R$4:R$46,0))</f>
        <v>CFC DERRICK CHIN</v>
      </c>
      <c r="S55" s="292" t="str">
        <f aca="false">INDEX($B$4:$B$46,MATCH($B55,S$4:S$46,0))</f>
        <v>PTE DANIEL ISKANDAR BIN SANUSI</v>
      </c>
      <c r="T55" s="292" t="str">
        <f aca="false">INDEX($B$4:$B$46,MATCH($B55,T$4:T$46,0))</f>
        <v>CPL HYDER ISKANDAR BIN ZULKILFILY</v>
      </c>
      <c r="U55" s="292" t="str">
        <f aca="false">INDEX($B$4:$B$46,MATCH($B55,U$4:U$46,0))</f>
        <v>LCP KOO YI XIAN RAPHAEL </v>
      </c>
      <c r="V55" s="292" t="str">
        <f aca="false">INDEX($B$4:$B$46,MATCH($B55,V$4:V$46,0))</f>
        <v>LCP MATTHEW HWANG YEW SENG</v>
      </c>
      <c r="W55" s="292" t="str">
        <f aca="false">INDEX($B$4:$B$46,MATCH($B55,W$4:W$46,0))</f>
        <v>LCP MUHAMMAD HAMZA ZUBERI</v>
      </c>
      <c r="X55" s="292" t="str">
        <f aca="false">INDEX($B$4:$B$46,MATCH($B55,X$4:X$46,0))</f>
        <v>LCP CHOA ZONGHAN ETIENNE</v>
      </c>
      <c r="Y55" s="292" t="str">
        <f aca="false">INDEX($B$4:$B$46,MATCH($B55,Y$4:Y$46,0))</f>
        <v>LCP STEPHEN TAY </v>
      </c>
      <c r="Z55" s="292" t="str">
        <f aca="false">INDEX($B$4:$B$46,MATCH($B55,Z$4:Z$46,0))</f>
        <v>3SG SAMUEL TAN ENG WEE</v>
      </c>
      <c r="AA55" s="292" t="str">
        <f aca="false">INDEX($B$4:$B$46,MATCH($B55,AA$4:AA$46,0))</f>
        <v>CPL ZHANG ZHONGHAO</v>
      </c>
      <c r="AB55" s="292" t="str">
        <f aca="false">INDEX($B$4:$B$46,MATCH($B55,AB$4:AB$46,0))</f>
        <v>LCP MATTHEW HWANG YEW SENG</v>
      </c>
      <c r="AC55" s="292" t="str">
        <f aca="false">INDEX($B$4:$B$46,MATCH($B55,AC$4:AC$46,0))</f>
        <v>3SG SAMUEL TAN ENG WEE</v>
      </c>
      <c r="AD55" s="292" t="str">
        <f aca="false">INDEX($B$4:$B$46,MATCH($B55,AD$4:AD$46,0))</f>
        <v>PTE MENDEZ RALPH JUSTINE MACALINO</v>
      </c>
      <c r="AE55" s="292" t="str">
        <f aca="false">INDEX($B$4:$B$46,MATCH($B55,AE$4:AE$46,0))</f>
        <v>LCP KOO YI XIAN RAPHAEL </v>
      </c>
      <c r="AF55" s="292" t="str">
        <f aca="false">INDEX($B$4:$B$46,MATCH($B55,AF$4:AF$46,0))</f>
        <v>LCP SHLOK PUROHIT</v>
      </c>
      <c r="AG55" s="292" t="str">
        <f aca="false">INDEX($B$4:$B$46,MATCH($B55,AG$4:AG$46,0))</f>
        <v>LCP HUANG JIHUI</v>
      </c>
      <c r="AH55" s="272"/>
      <c r="AI55" s="272"/>
      <c r="AJ55" s="272"/>
      <c r="AK55" s="272"/>
      <c r="AL55" s="272"/>
      <c r="AM55" s="272"/>
      <c r="AN55" s="272"/>
      <c r="AO55" s="272"/>
      <c r="AP55" s="272"/>
      <c r="AQ55" s="279"/>
      <c r="AR55" s="279"/>
      <c r="AS55" s="278"/>
      <c r="AT55" s="272"/>
      <c r="AU55" s="278"/>
      <c r="AV55" s="278" t="n">
        <f aca="false">SUMPRODUCT(--(WEEKDAY(C$3:AF$3,2)&gt;5),--ISNUMBER(MATCH(C55:AF55,{"DM","CS1","CS2","SB1","AE","CS/B"},0)))</f>
        <v>0</v>
      </c>
      <c r="AW55" s="272"/>
      <c r="AX55" s="278"/>
      <c r="AY55" s="278"/>
      <c r="AZ55" s="278"/>
      <c r="BA55" s="279"/>
      <c r="BB55" s="278"/>
      <c r="BC55" s="278"/>
      <c r="BD55" s="278"/>
      <c r="BE55" s="278"/>
      <c r="BF55" s="278"/>
      <c r="BG55" s="278"/>
      <c r="BH55" s="278"/>
      <c r="BI55" s="278"/>
      <c r="BJ55" s="278"/>
      <c r="BK55" s="278"/>
      <c r="BL55" s="278"/>
      <c r="BM55" s="278"/>
      <c r="BN55" s="278"/>
      <c r="BO55" s="278"/>
      <c r="BP55" s="272"/>
    </row>
    <row r="56" customFormat="false" ht="19.5" hidden="false" customHeight="true" outlineLevel="0" collapsed="false">
      <c r="A56" s="272"/>
      <c r="B56" s="293"/>
      <c r="C56" s="294"/>
      <c r="D56" s="294"/>
      <c r="E56" s="294"/>
      <c r="F56" s="294"/>
      <c r="G56" s="294"/>
      <c r="H56" s="294"/>
      <c r="I56" s="294"/>
      <c r="J56" s="294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  <c r="Y56" s="294"/>
      <c r="Z56" s="294"/>
      <c r="AA56" s="294"/>
      <c r="AB56" s="294"/>
      <c r="AC56" s="294"/>
      <c r="AD56" s="294"/>
      <c r="AE56" s="294"/>
      <c r="AF56" s="294"/>
      <c r="AG56" s="294"/>
      <c r="AH56" s="293" t="n">
        <f aca="false">COUNTIF($C56:$AF56,AH$4)</f>
        <v>0</v>
      </c>
      <c r="AI56" s="293" t="n">
        <f aca="false">COUNTIF($C56:$AF56,AI$4)</f>
        <v>0</v>
      </c>
      <c r="AJ56" s="293" t="n">
        <f aca="false">COUNTIF($C56:$AF56,AJ$4)</f>
        <v>0</v>
      </c>
      <c r="AK56" s="293" t="n">
        <f aca="false">COUNTIF($C56:$AF56,AK$4)</f>
        <v>0</v>
      </c>
      <c r="AL56" s="293" t="n">
        <f aca="false">COUNTIF($C56:$AF56,AL$4)</f>
        <v>0</v>
      </c>
      <c r="AM56" s="293" t="n">
        <f aca="false">COUNTIF($C56:$AF56,AM$4)</f>
        <v>0</v>
      </c>
      <c r="AN56" s="293" t="n">
        <f aca="false">COUNTIF($C56:$AF56,AN$4)</f>
        <v>0</v>
      </c>
      <c r="AO56" s="293" t="n">
        <f aca="false">COUNTIF($C56:$AF56,AO$4)</f>
        <v>0</v>
      </c>
      <c r="AP56" s="293" t="n">
        <f aca="false">COUNTIF($C56:$AF56,AP$4)</f>
        <v>0</v>
      </c>
      <c r="AQ56" s="293" t="n">
        <v>1</v>
      </c>
      <c r="AR56" s="293"/>
      <c r="AS56" s="293" t="n">
        <f aca="false" t="array" ref="AS56:AS56">SUMPRODUCT(--(WEEKDAY(C$3:AF$3,2)&lt;5),--ISNUMBER(MATCH(C56:AF56,{"DM","CS1","CS2","SB1","AE","CS/B"},0)))</f>
        <v>0</v>
      </c>
      <c r="AT56" s="293"/>
      <c r="AU56" s="293" t="n">
        <f aca="false" t="array" ref="AU56:AU56">SUMPRODUCT(--(WEEKDAY(C$3:AF$3,2)=5),--ISNUMBER(MATCH(C56:AF56,{"DM","CS1","CS2","SB1","AE","CS/B"},0)))</f>
        <v>0</v>
      </c>
      <c r="AV56" s="278" t="n">
        <f aca="false">SUMPRODUCT(--(WEEKDAY(C$3:AF$3,2)&gt;5),--ISNUMBER(MATCH(C56:AF56,{"DM","CS1","CS2","SB1","AE","CS/B"},0)))</f>
        <v>0</v>
      </c>
      <c r="AW56" s="293"/>
      <c r="AX56" s="293" t="n">
        <f aca="false">(AS56-AT56)+AU56*1.5+(AV56-AW56)*2+AM56*0.5+AO56*0.5+AQ56-AR56</f>
        <v>1</v>
      </c>
      <c r="AY56" s="293" t="n">
        <f aca="false">AS56+AU56+AV56</f>
        <v>0</v>
      </c>
      <c r="AZ56" s="293" t="n">
        <f aca="false">BC56+BE56+BG56+BI56+BK56</f>
        <v>0</v>
      </c>
      <c r="BA56" s="293" t="n">
        <f aca="false">AX56+BB56</f>
        <v>1</v>
      </c>
      <c r="BB56" s="293" t="n">
        <f aca="false">BD56+BF56+BH56+BJ56+BL56</f>
        <v>0</v>
      </c>
      <c r="BC56" s="293" t="n">
        <f aca="false">COUNTIF(A56:AH56,"*$BTP*")</f>
        <v>0</v>
      </c>
      <c r="BD56" s="293" t="n">
        <f aca="false">BC56*1.5</f>
        <v>0</v>
      </c>
      <c r="BE56" s="293" t="n">
        <f aca="false">COUNTIF(A56:AH56,"*$M*")</f>
        <v>0</v>
      </c>
      <c r="BF56" s="293" t="n">
        <f aca="false">BE56*1</f>
        <v>0</v>
      </c>
      <c r="BG56" s="293" t="n">
        <f aca="false">COUNTIF(A56:AH56,"*$PM*")</f>
        <v>0</v>
      </c>
      <c r="BH56" s="293" t="n">
        <f aca="false">BG56*0.5</f>
        <v>0</v>
      </c>
      <c r="BI56" s="293" t="n">
        <f aca="false">COUNTIF(A56:AH56,"*$AM*")</f>
        <v>0</v>
      </c>
      <c r="BJ56" s="293" t="n">
        <f aca="false">BI56*0.5</f>
        <v>0</v>
      </c>
      <c r="BK56" s="293" t="n">
        <f aca="false">COUNTIF(A56:AH56,"*$FC*")</f>
        <v>0</v>
      </c>
      <c r="BL56" s="293" t="n">
        <f aca="false">BK56*1</f>
        <v>0</v>
      </c>
      <c r="BM56" s="293" t="n">
        <f aca="false">COUNTIF($D56:$Y56,BM$4)</f>
        <v>0</v>
      </c>
      <c r="BN56" s="293" t="n">
        <f aca="false">COUNTIF($D56:$Y56,BN$4)</f>
        <v>0</v>
      </c>
      <c r="BO56" s="293"/>
      <c r="BP56" s="293"/>
    </row>
    <row r="57" customFormat="false" ht="19.5" hidden="false" customHeight="true" outlineLevel="0" collapsed="false">
      <c r="A57" s="272"/>
      <c r="B57" s="279" t="s">
        <v>814</v>
      </c>
      <c r="C57" s="91"/>
      <c r="D57" s="33"/>
      <c r="E57" s="33"/>
      <c r="F57" s="266"/>
      <c r="G57" s="266"/>
      <c r="H57" s="266"/>
      <c r="I57" s="266" t="s">
        <v>261</v>
      </c>
      <c r="J57" s="266" t="s">
        <v>56</v>
      </c>
      <c r="K57" s="91"/>
      <c r="L57" s="266"/>
      <c r="M57" s="91" t="s">
        <v>989</v>
      </c>
      <c r="N57" s="266"/>
      <c r="O57" s="266" t="s">
        <v>93</v>
      </c>
      <c r="P57" s="266"/>
      <c r="Q57" s="91"/>
      <c r="R57" s="91" t="s">
        <v>56</v>
      </c>
      <c r="S57" s="266" t="s">
        <v>58</v>
      </c>
      <c r="T57" s="91" t="s">
        <v>58</v>
      </c>
      <c r="U57" s="266"/>
      <c r="V57" s="266"/>
      <c r="W57" s="266"/>
      <c r="X57" s="266" t="s">
        <v>61</v>
      </c>
      <c r="Y57" s="266" t="s">
        <v>979</v>
      </c>
      <c r="Z57" s="266" t="s">
        <v>56</v>
      </c>
      <c r="AA57" s="91"/>
      <c r="AB57" s="266"/>
      <c r="AC57" s="266" t="s">
        <v>990</v>
      </c>
      <c r="AD57" s="46" t="s">
        <v>990</v>
      </c>
      <c r="AE57" s="319" t="s">
        <v>991</v>
      </c>
      <c r="AF57" s="319"/>
      <c r="AG57" s="319"/>
      <c r="AH57" s="272" t="n">
        <f aca="false">COUNTIF($C57:$AD57,AH$4)</f>
        <v>0</v>
      </c>
      <c r="AI57" s="272" t="n">
        <f aca="false">COUNTIF($C57:$AD57,AI$4)</f>
        <v>3</v>
      </c>
      <c r="AJ57" s="272" t="n">
        <f aca="false">COUNTIF($C57:$AD57,AJ$4)</f>
        <v>0</v>
      </c>
      <c r="AK57" s="272" t="n">
        <f aca="false">COUNTIF($C57:$AD57,AK$4)</f>
        <v>0</v>
      </c>
      <c r="AL57" s="272" t="n">
        <f aca="false">COUNTIF($C57:$AD57,AL$4)</f>
        <v>2</v>
      </c>
      <c r="AM57" s="272" t="n">
        <f aca="false">COUNTIF($C57:$AD57,AM$4)</f>
        <v>1</v>
      </c>
      <c r="AN57" s="272" t="n">
        <f aca="false">COUNTIF($C57:$AD57,AN$4)</f>
        <v>0</v>
      </c>
      <c r="AO57" s="272" t="n">
        <f aca="false">COUNTIF($C57:$AD57,AO$4)</f>
        <v>0</v>
      </c>
      <c r="AP57" s="272" t="n">
        <f aca="false">COUNTIF($C57:$AD57,AP$4)</f>
        <v>0</v>
      </c>
      <c r="AQ57" s="279"/>
      <c r="AR57" s="279"/>
      <c r="AS57" s="278" t="n">
        <f aca="false">SUMPRODUCT(--(WEEKDAY(C$3:AG$3,2)&lt;5),--ISNUMBER(MATCH(C57:AG57,{"SB1","SB2"},0)))</f>
        <v>1</v>
      </c>
      <c r="AT57" s="272"/>
      <c r="AU57" s="278" t="n">
        <f aca="false">SUMPRODUCT(--(WEEKDAY(C$3:AG$3,2)=5),--ISNUMBER(MATCH(C57:AG57,{"SB1","SB2"},0)))</f>
        <v>1</v>
      </c>
      <c r="AV57" s="278" t="n">
        <f aca="false">SUMPRODUCT(--(WEEKDAY(C$3:AG$3,2)&gt;5),--ISNUMBER(MATCH(C57:AG57,{"SB1","SB2"},0)))</f>
        <v>1</v>
      </c>
      <c r="AW57" s="272"/>
      <c r="AX57" s="278" t="n">
        <f aca="false">(AS57-AT57)+AU57*1.5+(AV57-AW57)*2+(AO57+AH57+AI57+AJ57+AK57+AN57)*0.5+AQ57-AR57</f>
        <v>6</v>
      </c>
      <c r="AY57" s="278" t="n">
        <f aca="false">AS57+AU57+AV57</f>
        <v>3</v>
      </c>
      <c r="AZ57" s="278" t="n">
        <f aca="false">BC57+BE57+BG57+BI57+BK57</f>
        <v>4</v>
      </c>
      <c r="BA57" s="279" t="n">
        <f aca="false">AX57+BB57</f>
        <v>9.5</v>
      </c>
      <c r="BB57" s="278" t="n">
        <f aca="false">BD57+BF57+BH57+BJ57+BL57</f>
        <v>3.5</v>
      </c>
      <c r="BC57" s="278" t="n">
        <f aca="false">COUNTIF(A57:AH57,"*$BTP*")</f>
        <v>0</v>
      </c>
      <c r="BD57" s="278" t="n">
        <f aca="false">BC57*1.5</f>
        <v>0</v>
      </c>
      <c r="BE57" s="278" t="n">
        <f aca="false">COUNTIF(A57:AH57,"*$M*")</f>
        <v>0</v>
      </c>
      <c r="BF57" s="278" t="n">
        <f aca="false">BE57*1</f>
        <v>0</v>
      </c>
      <c r="BG57" s="278" t="n">
        <f aca="false">COUNTIF(A57:AH57,"*$PM*")</f>
        <v>0</v>
      </c>
      <c r="BH57" s="278" t="n">
        <f aca="false">BG57*0.5</f>
        <v>0</v>
      </c>
      <c r="BI57" s="278" t="n">
        <f aca="false">COUNTIF(A57:AH57,"*$AM*")</f>
        <v>1</v>
      </c>
      <c r="BJ57" s="278" t="n">
        <f aca="false">BI57*0.5</f>
        <v>0.5</v>
      </c>
      <c r="BK57" s="278" t="n">
        <f aca="false">COUNTIF(A57:AH57,"*$FC*")</f>
        <v>3</v>
      </c>
      <c r="BL57" s="278" t="n">
        <f aca="false">BK57*1</f>
        <v>3</v>
      </c>
      <c r="BM57" s="278" t="n">
        <f aca="false">COUNTIF($E57:$AG57,BM$4)</f>
        <v>0</v>
      </c>
      <c r="BN57" s="278" t="n">
        <f aca="false">COUNTIF($E57:$AG57,BN$4)</f>
        <v>0</v>
      </c>
      <c r="BO57" s="278" t="n">
        <f aca="false">COUNTIF($E57:$Y57,BO$4)</f>
        <v>0</v>
      </c>
      <c r="BP57" s="272"/>
    </row>
    <row r="58" customFormat="false" ht="19.5" hidden="false" customHeight="true" outlineLevel="0" collapsed="false">
      <c r="A58" s="272" t="s">
        <v>487</v>
      </c>
      <c r="B58" s="279" t="s">
        <v>895</v>
      </c>
      <c r="C58" s="266"/>
      <c r="D58" s="91" t="s">
        <v>57</v>
      </c>
      <c r="E58" s="266" t="s">
        <v>56</v>
      </c>
      <c r="F58" s="280"/>
      <c r="G58" s="280" t="s">
        <v>58</v>
      </c>
      <c r="H58" s="266"/>
      <c r="I58" s="266" t="s">
        <v>55</v>
      </c>
      <c r="J58" s="266" t="s">
        <v>55</v>
      </c>
      <c r="K58" s="266" t="s">
        <v>55</v>
      </c>
      <c r="L58" s="266" t="s">
        <v>55</v>
      </c>
      <c r="M58" s="266" t="s">
        <v>989</v>
      </c>
      <c r="N58" s="266" t="s">
        <v>989</v>
      </c>
      <c r="O58" s="266" t="s">
        <v>992</v>
      </c>
      <c r="P58" s="266" t="s">
        <v>56</v>
      </c>
      <c r="Q58" s="266"/>
      <c r="R58" s="266" t="s">
        <v>65</v>
      </c>
      <c r="S58" s="319"/>
      <c r="T58" s="266"/>
      <c r="V58" s="266"/>
      <c r="W58" s="91" t="s">
        <v>65</v>
      </c>
      <c r="X58" s="266" t="s">
        <v>56</v>
      </c>
      <c r="Y58" s="266" t="s">
        <v>93</v>
      </c>
      <c r="Z58" s="266"/>
      <c r="AA58" s="91"/>
      <c r="AB58" s="266"/>
      <c r="AC58" s="266" t="s">
        <v>93</v>
      </c>
      <c r="AD58" s="33"/>
      <c r="AE58" s="47" t="s">
        <v>57</v>
      </c>
      <c r="AF58" s="266" t="s">
        <v>989</v>
      </c>
      <c r="AG58" s="266" t="s">
        <v>96</v>
      </c>
      <c r="AH58" s="272" t="n">
        <f aca="false">COUNTIF($C58:$AF58,AH$4)</f>
        <v>2</v>
      </c>
      <c r="AI58" s="272" t="n">
        <f aca="false">COUNTIF($C58:$AF58,AI$4)</f>
        <v>3</v>
      </c>
      <c r="AJ58" s="272" t="n">
        <f aca="false">COUNTIF($C58:$AF58,AJ$4)</f>
        <v>0</v>
      </c>
      <c r="AK58" s="272" t="n">
        <f aca="false">COUNTIF($C58:$AF58,AK$4)</f>
        <v>0</v>
      </c>
      <c r="AL58" s="272" t="n">
        <f aca="false">COUNTIF($C58:$AF58,AL$4)</f>
        <v>1</v>
      </c>
      <c r="AM58" s="272" t="n">
        <f aca="false">COUNTIF($C58:$AF58,AM$4)</f>
        <v>2</v>
      </c>
      <c r="AN58" s="272" t="n">
        <f aca="false">COUNTIF($C58:$AF58,AN$4)</f>
        <v>2</v>
      </c>
      <c r="AO58" s="272" t="n">
        <f aca="false">COUNTIF($C58:$AF58,AO$4)</f>
        <v>0</v>
      </c>
      <c r="AP58" s="272" t="n">
        <f aca="false">COUNTIF($C58:$AF58,AP$4)</f>
        <v>0</v>
      </c>
      <c r="AQ58" s="279"/>
      <c r="AR58" s="279"/>
      <c r="AS58" s="278" t="n">
        <f aca="false">SUMPRODUCT(--(WEEKDAY(C$3:AG$3,2)&lt;5),--ISNUMBER(MATCH(C58:AG58,{"SB1","SB2"},0)))</f>
        <v>2</v>
      </c>
      <c r="AT58" s="272"/>
      <c r="AU58" s="278" t="n">
        <f aca="false">SUMPRODUCT(--(WEEKDAY(C$3:AG$3,2)=5),--ISNUMBER(MATCH(C58:AG58,{"SB1","SB2"},0)))</f>
        <v>0</v>
      </c>
      <c r="AV58" s="278" t="n">
        <f aca="false">SUMPRODUCT(--(WEEKDAY(C$3:AG$3,2)&gt;5),--ISNUMBER(MATCH(C58:AG58,{"SB1","SB2"},0)))</f>
        <v>1</v>
      </c>
      <c r="AW58" s="272"/>
      <c r="AX58" s="278" t="n">
        <f aca="false">(AS58-AT58)+AU58*1.5+(AV58-AW58)*2+(AO58+AH58+AI58+AJ58+AK58+AN58)*0.5+AQ58-AR58</f>
        <v>7.5</v>
      </c>
      <c r="AY58" s="278" t="n">
        <f aca="false">AS58+AU58+AV58</f>
        <v>3</v>
      </c>
      <c r="AZ58" s="278" t="n">
        <f aca="false">BC58+BE58+BG58+BI58+BK58</f>
        <v>0</v>
      </c>
      <c r="BA58" s="279" t="n">
        <f aca="false">AX58+BB58</f>
        <v>7.5</v>
      </c>
      <c r="BB58" s="278" t="n">
        <f aca="false">BD58+BF58+BH58+BJ58+BL58</f>
        <v>0</v>
      </c>
      <c r="BC58" s="278" t="n">
        <f aca="false">COUNTIF(A58:AH58,"*$BTP*")</f>
        <v>0</v>
      </c>
      <c r="BD58" s="278" t="n">
        <f aca="false">BC58*1.5</f>
        <v>0</v>
      </c>
      <c r="BE58" s="278" t="n">
        <f aca="false">COUNTIF(A58:AH58,"*$M*")</f>
        <v>0</v>
      </c>
      <c r="BF58" s="278" t="n">
        <f aca="false">BE58*1</f>
        <v>0</v>
      </c>
      <c r="BG58" s="278" t="n">
        <f aca="false">COUNTIF(A58:AH58,"*$PM*")</f>
        <v>0</v>
      </c>
      <c r="BH58" s="278" t="n">
        <f aca="false">BG58*0.5</f>
        <v>0</v>
      </c>
      <c r="BI58" s="278" t="n">
        <f aca="false">COUNTIF(A58:AH58,"*$AM*")</f>
        <v>0</v>
      </c>
      <c r="BJ58" s="278" t="n">
        <f aca="false">BI58*0.5</f>
        <v>0</v>
      </c>
      <c r="BK58" s="278" t="n">
        <f aca="false">COUNTIF(A58:AH58,"*$FC*")</f>
        <v>0</v>
      </c>
      <c r="BL58" s="278" t="n">
        <f aca="false">BK58*1</f>
        <v>0</v>
      </c>
      <c r="BM58" s="278" t="n">
        <f aca="false">COUNTIF($E58:$AG58,BM$4)</f>
        <v>0</v>
      </c>
      <c r="BN58" s="278" t="n">
        <f aca="false">COUNTIF($E58:$AG58,BN$4)</f>
        <v>0</v>
      </c>
      <c r="BO58" s="278" t="n">
        <f aca="false">COUNTIF($D58:$Y58,BO$4)</f>
        <v>4</v>
      </c>
      <c r="BP58" s="272"/>
    </row>
    <row r="59" customFormat="false" ht="19.5" hidden="false" customHeight="true" outlineLevel="0" collapsed="false">
      <c r="A59" s="272"/>
      <c r="B59" s="279" t="s">
        <v>820</v>
      </c>
      <c r="C59" s="266"/>
      <c r="D59" s="266" t="s">
        <v>253</v>
      </c>
      <c r="E59" s="266" t="s">
        <v>65</v>
      </c>
      <c r="F59" s="266"/>
      <c r="G59" s="91" t="s">
        <v>989</v>
      </c>
      <c r="H59" s="266"/>
      <c r="I59" s="266" t="s">
        <v>989</v>
      </c>
      <c r="J59" s="280" t="s">
        <v>989</v>
      </c>
      <c r="L59" s="266"/>
      <c r="M59" s="266"/>
      <c r="O59" s="266"/>
      <c r="P59" s="266"/>
      <c r="Q59" s="266"/>
      <c r="R59" s="33"/>
      <c r="S59" s="280" t="s">
        <v>57</v>
      </c>
      <c r="T59" s="317" t="s">
        <v>989</v>
      </c>
      <c r="U59" s="266"/>
      <c r="V59" s="46" t="s">
        <v>57</v>
      </c>
      <c r="W59" s="266"/>
      <c r="X59" s="266" t="s">
        <v>57</v>
      </c>
      <c r="Y59" s="319" t="s">
        <v>57</v>
      </c>
      <c r="AA59" s="266"/>
      <c r="AB59" s="266"/>
      <c r="AC59" s="280" t="s">
        <v>56</v>
      </c>
      <c r="AD59" s="266"/>
      <c r="AE59" s="33"/>
      <c r="AF59" s="266" t="s">
        <v>56</v>
      </c>
      <c r="AG59" s="317" t="s">
        <v>57</v>
      </c>
      <c r="AH59" s="272" t="n">
        <f aca="false">COUNTIF($C59:$AF59,AH$4)</f>
        <v>4</v>
      </c>
      <c r="AI59" s="272" t="n">
        <f aca="false">COUNTIF($C59:$AF59,AI$4)</f>
        <v>2</v>
      </c>
      <c r="AJ59" s="272" t="n">
        <f aca="false">COUNTIF($C59:$AF59,AJ$4)</f>
        <v>0</v>
      </c>
      <c r="AK59" s="272" t="n">
        <f aca="false">COUNTIF($C59:$AF59,AK$4)</f>
        <v>0</v>
      </c>
      <c r="AL59" s="272" t="n">
        <f aca="false">COUNTIF($C59:$AF59,AL$4)</f>
        <v>0</v>
      </c>
      <c r="AM59" s="272" t="n">
        <f aca="false">COUNTIF($C59:$AF59,AM$4)</f>
        <v>0</v>
      </c>
      <c r="AN59" s="272" t="n">
        <f aca="false">COUNTIF($C59:$AF59,AN$4)</f>
        <v>1</v>
      </c>
      <c r="AO59" s="272" t="n">
        <f aca="false">COUNTIF($C59:$AF59,AO$4)</f>
        <v>0</v>
      </c>
      <c r="AP59" s="272" t="n">
        <f aca="false">COUNTIF($C59:$AF59,AP$4)</f>
        <v>0</v>
      </c>
      <c r="AQ59" s="279"/>
      <c r="AR59" s="279"/>
      <c r="AS59" s="278" t="n">
        <f aca="false">SUMPRODUCT(--(WEEKDAY(C$3:AG$3,2)&lt;5),--ISNUMBER(MATCH(C59:AG59,{"SB1","SB2"},0)))</f>
        <v>0</v>
      </c>
      <c r="AT59" s="272"/>
      <c r="AU59" s="278" t="n">
        <f aca="false">SUMPRODUCT(--(WEEKDAY(C$3:AG$3,2)=5),--ISNUMBER(MATCH(C59:AG59,{"SB1","SB2"},0)))</f>
        <v>0</v>
      </c>
      <c r="AV59" s="278" t="n">
        <f aca="false">SUMPRODUCT(--(WEEKDAY(C$3:AG$3,2)&gt;5),--ISNUMBER(MATCH(C59:AG59,{"SB1","SB2"},0)))</f>
        <v>0</v>
      </c>
      <c r="AW59" s="272"/>
      <c r="AX59" s="278" t="n">
        <f aca="false">(AS59-AT59)+AU59*1.5+(AV59-AW59)*2+(AO59+AH59+AI59+AJ59+AK59+AN59)*0.5+AQ59-AR59</f>
        <v>3.5</v>
      </c>
      <c r="AY59" s="278" t="n">
        <f aca="false">AS59+AU59+AV59</f>
        <v>0</v>
      </c>
      <c r="AZ59" s="278" t="n">
        <f aca="false">BC59+BE59+BG59+BI59+BK59</f>
        <v>0</v>
      </c>
      <c r="BA59" s="279" t="n">
        <f aca="false">AX59+BB59</f>
        <v>3.5</v>
      </c>
      <c r="BB59" s="278" t="n">
        <f aca="false">BD59+BF59+BH59+BJ59+BL59</f>
        <v>0</v>
      </c>
      <c r="BC59" s="278" t="n">
        <f aca="false">COUNTIF(A59:AH59,"*$BTP*")</f>
        <v>0</v>
      </c>
      <c r="BD59" s="278" t="n">
        <f aca="false">BC59*1.5</f>
        <v>0</v>
      </c>
      <c r="BE59" s="278" t="n">
        <f aca="false">COUNTIF(A59:AH59,"*$M*")</f>
        <v>0</v>
      </c>
      <c r="BF59" s="278" t="n">
        <f aca="false">BE59*1</f>
        <v>0</v>
      </c>
      <c r="BG59" s="278" t="n">
        <f aca="false">COUNTIF(A59:AH59,"*$PM*")</f>
        <v>0</v>
      </c>
      <c r="BH59" s="278" t="n">
        <f aca="false">BG59*0.5</f>
        <v>0</v>
      </c>
      <c r="BI59" s="278" t="n">
        <f aca="false">COUNTIF(A59:AH59,"*$AM*")</f>
        <v>0</v>
      </c>
      <c r="BJ59" s="278" t="n">
        <f aca="false">BI59*0.5</f>
        <v>0</v>
      </c>
      <c r="BK59" s="278" t="n">
        <f aca="false">COUNTIF(A59:AH59,"*$FC*")</f>
        <v>0</v>
      </c>
      <c r="BL59" s="278" t="n">
        <f aca="false">BK59*1</f>
        <v>0</v>
      </c>
      <c r="BM59" s="278" t="n">
        <f aca="false">COUNTIF($E59:$AG59,BM$4)</f>
        <v>0</v>
      </c>
      <c r="BN59" s="278" t="n">
        <f aca="false">COUNTIF($E59:$AG59,BN$4)</f>
        <v>0</v>
      </c>
      <c r="BO59" s="278" t="n">
        <f aca="false">COUNTIF($D59:$Y59,BO$4)</f>
        <v>0</v>
      </c>
      <c r="BP59" s="272"/>
    </row>
    <row r="60" customFormat="false" ht="19.5" hidden="false" customHeight="true" outlineLevel="0" collapsed="false">
      <c r="A60" s="272"/>
      <c r="B60" s="279" t="s">
        <v>821</v>
      </c>
      <c r="C60" s="266"/>
      <c r="D60" s="266"/>
      <c r="E60" s="317" t="s">
        <v>58</v>
      </c>
      <c r="F60" s="266"/>
      <c r="G60" s="266"/>
      <c r="H60" s="266" t="s">
        <v>58</v>
      </c>
      <c r="I60" s="266"/>
      <c r="J60" s="280" t="s">
        <v>822</v>
      </c>
      <c r="K60" s="266"/>
      <c r="L60" s="266" t="s">
        <v>56</v>
      </c>
      <c r="M60" s="266" t="s">
        <v>989</v>
      </c>
      <c r="N60" s="266" t="s">
        <v>989</v>
      </c>
      <c r="O60" s="266" t="s">
        <v>56</v>
      </c>
      <c r="P60" s="266" t="s">
        <v>993</v>
      </c>
      <c r="Q60" s="266" t="s">
        <v>56</v>
      </c>
      <c r="S60" s="266"/>
      <c r="T60" s="266" t="s">
        <v>989</v>
      </c>
      <c r="U60" s="266" t="s">
        <v>989</v>
      </c>
      <c r="V60" s="46"/>
      <c r="W60" s="280"/>
      <c r="X60" s="280" t="s">
        <v>900</v>
      </c>
      <c r="Y60" s="319" t="s">
        <v>65</v>
      </c>
      <c r="Z60" s="266" t="s">
        <v>994</v>
      </c>
      <c r="AA60" s="319"/>
      <c r="AB60" s="319"/>
      <c r="AC60" s="319"/>
      <c r="AD60" s="319" t="s">
        <v>56</v>
      </c>
      <c r="AE60" s="266"/>
      <c r="AF60" s="266" t="s">
        <v>58</v>
      </c>
      <c r="AG60" s="266" t="s">
        <v>65</v>
      </c>
      <c r="AH60" s="272" t="n">
        <f aca="false">COUNTIF($C60:$AF60,AH$4)</f>
        <v>0</v>
      </c>
      <c r="AI60" s="272" t="n">
        <f aca="false">COUNTIF($C60:$AF60,AI$4)</f>
        <v>4</v>
      </c>
      <c r="AJ60" s="272" t="n">
        <f aca="false">COUNTIF($C60:$AF60,AJ$4)</f>
        <v>0</v>
      </c>
      <c r="AK60" s="272" t="n">
        <f aca="false">COUNTIF($C60:$AF60,AK$4)</f>
        <v>0</v>
      </c>
      <c r="AL60" s="272" t="n">
        <f aca="false">COUNTIF($C60:$AF60,AL$4)</f>
        <v>3</v>
      </c>
      <c r="AM60" s="272" t="n">
        <f aca="false">COUNTIF($C60:$AF60,AM$4)</f>
        <v>0</v>
      </c>
      <c r="AN60" s="272" t="n">
        <f aca="false">COUNTIF($C60:$AF60,AN$4)</f>
        <v>1</v>
      </c>
      <c r="AO60" s="272" t="n">
        <f aca="false">COUNTIF($C60:$AF60,AO$4)</f>
        <v>0</v>
      </c>
      <c r="AP60" s="272" t="n">
        <f aca="false">COUNTIF($C60:$AF60,AP$4)</f>
        <v>0</v>
      </c>
      <c r="AQ60" s="279" t="n">
        <v>0.5</v>
      </c>
      <c r="AR60" s="279"/>
      <c r="AS60" s="278" t="n">
        <f aca="false">SUMPRODUCT(--(WEEKDAY(C$3:AG$3,2)&lt;5),--ISNUMBER(MATCH(C60:AG60,{"SB1","SB2"},0)))</f>
        <v>2</v>
      </c>
      <c r="AT60" s="272"/>
      <c r="AU60" s="278" t="n">
        <f aca="false">SUMPRODUCT(--(WEEKDAY(C$3:AG$3,2)=5),--ISNUMBER(MATCH(C60:AG60,{"SB1","SB2"},0)))</f>
        <v>1</v>
      </c>
      <c r="AV60" s="278" t="n">
        <f aca="false">SUMPRODUCT(--(WEEKDAY(C$3:AG$3,2)&gt;5),--ISNUMBER(MATCH(C60:AG60,{"SB1","SB2"},0)))</f>
        <v>0</v>
      </c>
      <c r="AW60" s="272"/>
      <c r="AX60" s="278" t="n">
        <f aca="false">(AS60-AT60)+AU60*1.5+(AV60-AW60)*2+(AO60+AH60+AI60+AJ60+AK60+AN60)*0.5+AQ60-AR60</f>
        <v>6.5</v>
      </c>
      <c r="AY60" s="278" t="n">
        <f aca="false">AS60+AU60+AV60</f>
        <v>3</v>
      </c>
      <c r="AZ60" s="278" t="n">
        <f aca="false">BC60+BE60+BG60+BI60+BK60</f>
        <v>2</v>
      </c>
      <c r="BA60" s="279" t="n">
        <f aca="false">AX60+BB60</f>
        <v>8</v>
      </c>
      <c r="BB60" s="278" t="n">
        <f aca="false">BD60+BF60+BH60+BJ60+BL60</f>
        <v>1.5</v>
      </c>
      <c r="BC60" s="278" t="n">
        <f aca="false">COUNTIF(A60:AH60,"*$BTP*")</f>
        <v>0</v>
      </c>
      <c r="BD60" s="278" t="n">
        <f aca="false">BC60*1.5</f>
        <v>0</v>
      </c>
      <c r="BE60" s="278" t="n">
        <f aca="false">COUNTIF(A60:AH60,"*$M*")</f>
        <v>1</v>
      </c>
      <c r="BF60" s="278" t="n">
        <f aca="false">BE60*1</f>
        <v>1</v>
      </c>
      <c r="BG60" s="278" t="n">
        <f aca="false">COUNTIF(A60:AH60,"*$PM*")</f>
        <v>0</v>
      </c>
      <c r="BH60" s="278" t="n">
        <f aca="false">BG60*0.5</f>
        <v>0</v>
      </c>
      <c r="BI60" s="278" t="n">
        <f aca="false">COUNTIF(A60:AH60,"*$AM*")</f>
        <v>1</v>
      </c>
      <c r="BJ60" s="278" t="n">
        <f aca="false">BI60*0.5</f>
        <v>0.5</v>
      </c>
      <c r="BK60" s="278" t="n">
        <f aca="false">COUNTIF(A60:AH60,"*$FC*")</f>
        <v>0</v>
      </c>
      <c r="BL60" s="278" t="n">
        <f aca="false">BK60*1</f>
        <v>0</v>
      </c>
      <c r="BM60" s="278" t="n">
        <f aca="false">COUNTIF($E60:$AG60,BM$4)</f>
        <v>0</v>
      </c>
      <c r="BN60" s="278" t="n">
        <f aca="false">COUNTIF($E60:$AG60,BN$4)</f>
        <v>0</v>
      </c>
      <c r="BO60" s="278" t="n">
        <f aca="false">COUNTIF($D60:$Y60,BO$4)</f>
        <v>0</v>
      </c>
      <c r="BP60" s="272"/>
    </row>
    <row r="61" customFormat="false" ht="24.75" hidden="false" customHeight="true" outlineLevel="0" collapsed="false">
      <c r="A61" s="272"/>
      <c r="B61" s="279" t="s">
        <v>933</v>
      </c>
      <c r="C61" s="266" t="s">
        <v>995</v>
      </c>
      <c r="D61" s="266" t="s">
        <v>995</v>
      </c>
      <c r="E61" s="266" t="s">
        <v>995</v>
      </c>
      <c r="F61" s="266" t="s">
        <v>995</v>
      </c>
      <c r="G61" s="266" t="s">
        <v>995</v>
      </c>
      <c r="H61" s="266" t="s">
        <v>995</v>
      </c>
      <c r="I61" s="266" t="s">
        <v>995</v>
      </c>
      <c r="J61" s="266" t="s">
        <v>995</v>
      </c>
      <c r="K61" s="266" t="s">
        <v>995</v>
      </c>
      <c r="L61" s="266" t="s">
        <v>995</v>
      </c>
      <c r="M61" s="266" t="s">
        <v>995</v>
      </c>
      <c r="N61" s="266" t="s">
        <v>995</v>
      </c>
      <c r="O61" s="266" t="s">
        <v>822</v>
      </c>
      <c r="P61" s="266"/>
      <c r="Q61" s="266"/>
      <c r="R61" s="266" t="s">
        <v>261</v>
      </c>
      <c r="S61" s="266" t="s">
        <v>65</v>
      </c>
      <c r="T61" s="266" t="s">
        <v>989</v>
      </c>
      <c r="U61" s="266" t="s">
        <v>989</v>
      </c>
      <c r="V61" s="266" t="s">
        <v>65</v>
      </c>
      <c r="W61" s="266"/>
      <c r="X61" s="266" t="s">
        <v>65</v>
      </c>
      <c r="Y61" s="266"/>
      <c r="Z61" s="317" t="s">
        <v>65</v>
      </c>
      <c r="AA61" s="266" t="s">
        <v>989</v>
      </c>
      <c r="AB61" s="266" t="s">
        <v>989</v>
      </c>
      <c r="AC61" s="266"/>
      <c r="AD61" s="266" t="s">
        <v>65</v>
      </c>
      <c r="AE61" s="266"/>
      <c r="AF61" s="266"/>
      <c r="AG61" s="317"/>
      <c r="AH61" s="272" t="n">
        <f aca="false">COUNTIF($C61:$AF61,AH$4)</f>
        <v>0</v>
      </c>
      <c r="AI61" s="272" t="n">
        <f aca="false">COUNTIF($C61:$AF61,AI$4)</f>
        <v>0</v>
      </c>
      <c r="AJ61" s="272" t="n">
        <f aca="false">COUNTIF($C61:$AF61,AJ$4)</f>
        <v>0</v>
      </c>
      <c r="AK61" s="272" t="n">
        <f aca="false">COUNTIF($C61:$AF61,AK$4)</f>
        <v>0</v>
      </c>
      <c r="AL61" s="272" t="n">
        <f aca="false">COUNTIF($C61:$AF61,AL$4)</f>
        <v>0</v>
      </c>
      <c r="AM61" s="272" t="n">
        <f aca="false">COUNTIF($C61:$AF61,AM$4)</f>
        <v>0</v>
      </c>
      <c r="AN61" s="272" t="n">
        <f aca="false">COUNTIF($C61:$AF61,AN$4)</f>
        <v>5</v>
      </c>
      <c r="AO61" s="272" t="n">
        <f aca="false">COUNTIF($C61:$AF61,AO$4)</f>
        <v>0</v>
      </c>
      <c r="AP61" s="272" t="n">
        <f aca="false">COUNTIF($C61:$AF61,AP$4)</f>
        <v>0</v>
      </c>
      <c r="AQ61" s="279"/>
      <c r="AR61" s="279"/>
      <c r="AS61" s="278" t="n">
        <f aca="false">SUMPRODUCT(--(WEEKDAY(C$3:AG$3,2)&lt;5),--ISNUMBER(MATCH(C61:AG61,{"SB1","SB2"},0)))</f>
        <v>0</v>
      </c>
      <c r="AT61" s="272"/>
      <c r="AU61" s="278" t="n">
        <f aca="false">SUMPRODUCT(--(WEEKDAY(C$3:AG$3,2)=5),--ISNUMBER(MATCH(C61:AG61,{"SB1","SB2"},0)))</f>
        <v>0</v>
      </c>
      <c r="AV61" s="278" t="n">
        <f aca="false">SUMPRODUCT(--(WEEKDAY(C$3:AG$3,2)&gt;5),--ISNUMBER(MATCH(C61:AG61,{"SB1","SB2"},0)))</f>
        <v>0</v>
      </c>
      <c r="AW61" s="272"/>
      <c r="AX61" s="278" t="n">
        <f aca="false">(AS61-AT61)+AU61*1.5+(AV61-AW61)*2+(AO61+AH61+AI61+AJ61+AK61+AN61)*0.5+AQ61-AR61</f>
        <v>2.5</v>
      </c>
      <c r="AY61" s="278" t="n">
        <f aca="false">AS61+AU61+AV61</f>
        <v>0</v>
      </c>
      <c r="AZ61" s="278" t="n">
        <f aca="false">BC61+BE61+BG61+BI61+BK61</f>
        <v>0</v>
      </c>
      <c r="BA61" s="279" t="n">
        <f aca="false">AX61+BB61</f>
        <v>2.5</v>
      </c>
      <c r="BB61" s="278" t="n">
        <f aca="false">BD61+BF61+BH61+BJ61+BL61</f>
        <v>0</v>
      </c>
      <c r="BC61" s="278" t="n">
        <f aca="false">COUNTIF(A61:AH61,"*$BTP*")</f>
        <v>0</v>
      </c>
      <c r="BD61" s="278" t="n">
        <f aca="false">BC61*1.5</f>
        <v>0</v>
      </c>
      <c r="BE61" s="278" t="n">
        <f aca="false">COUNTIF(A61:AH61,"*$M*")</f>
        <v>0</v>
      </c>
      <c r="BF61" s="278" t="n">
        <f aca="false">BE61*1</f>
        <v>0</v>
      </c>
      <c r="BG61" s="278" t="n">
        <f aca="false">COUNTIF(A61:AH61,"*$PM*")</f>
        <v>0</v>
      </c>
      <c r="BH61" s="278" t="n">
        <f aca="false">BG61*0.5</f>
        <v>0</v>
      </c>
      <c r="BI61" s="278" t="n">
        <f aca="false">COUNTIF(A61:AH61,"*$AM*")</f>
        <v>0</v>
      </c>
      <c r="BJ61" s="278" t="n">
        <f aca="false">BI61*0.5</f>
        <v>0</v>
      </c>
      <c r="BK61" s="278" t="n">
        <f aca="false">COUNTIF(A61:AH61,"*$FC*")</f>
        <v>0</v>
      </c>
      <c r="BL61" s="278" t="n">
        <f aca="false">BK61*1</f>
        <v>0</v>
      </c>
      <c r="BM61" s="278" t="n">
        <f aca="false">COUNTIF($D61:$AA61,BM$4)</f>
        <v>0</v>
      </c>
      <c r="BN61" s="278" t="n">
        <f aca="false">COUNTIF($D61:$AA61,BN$4)</f>
        <v>0</v>
      </c>
      <c r="BO61" s="278" t="n">
        <f aca="false">COUNTIF($D61:$AA61,BO$4)</f>
        <v>0</v>
      </c>
      <c r="BP61" s="278"/>
    </row>
    <row r="62" customFormat="false" ht="24.75" hidden="false" customHeight="true" outlineLevel="0" collapsed="false">
      <c r="A62" s="272"/>
      <c r="B62" s="279" t="s">
        <v>935</v>
      </c>
      <c r="C62" s="266" t="s">
        <v>995</v>
      </c>
      <c r="D62" s="266" t="s">
        <v>995</v>
      </c>
      <c r="E62" s="266" t="s">
        <v>995</v>
      </c>
      <c r="F62" s="266" t="s">
        <v>995</v>
      </c>
      <c r="G62" s="266" t="s">
        <v>995</v>
      </c>
      <c r="H62" s="266" t="s">
        <v>995</v>
      </c>
      <c r="I62" s="266" t="s">
        <v>995</v>
      </c>
      <c r="J62" s="266" t="s">
        <v>995</v>
      </c>
      <c r="K62" s="266" t="s">
        <v>995</v>
      </c>
      <c r="L62" s="266" t="s">
        <v>995</v>
      </c>
      <c r="M62" s="266" t="s">
        <v>995</v>
      </c>
      <c r="N62" s="266" t="s">
        <v>995</v>
      </c>
      <c r="O62" s="266"/>
      <c r="P62" s="266"/>
      <c r="Q62" s="266"/>
      <c r="R62" s="266" t="s">
        <v>58</v>
      </c>
      <c r="S62" s="91" t="s">
        <v>253</v>
      </c>
      <c r="T62" s="266"/>
      <c r="U62" s="266"/>
      <c r="V62" s="266" t="s">
        <v>93</v>
      </c>
      <c r="W62" s="266"/>
      <c r="X62" s="266"/>
      <c r="Y62" s="266"/>
      <c r="Z62" s="266"/>
      <c r="AA62" s="280" t="s">
        <v>58</v>
      </c>
      <c r="AB62" s="266"/>
      <c r="AC62" s="266" t="s">
        <v>65</v>
      </c>
      <c r="AD62" s="266"/>
      <c r="AE62" s="266" t="s">
        <v>65</v>
      </c>
      <c r="AF62" s="319"/>
      <c r="AG62" s="319"/>
      <c r="AH62" s="272" t="n">
        <f aca="false">COUNTIF($C62:$AE62,AH$4)</f>
        <v>0</v>
      </c>
      <c r="AI62" s="272" t="n">
        <f aca="false">COUNTIF($C62:$AE62,AI$4)</f>
        <v>0</v>
      </c>
      <c r="AJ62" s="272" t="n">
        <f aca="false">COUNTIF($C62:$AE62,AJ$4)</f>
        <v>0</v>
      </c>
      <c r="AK62" s="272" t="n">
        <f aca="false">COUNTIF($C62:$AE62,AK$4)</f>
        <v>0</v>
      </c>
      <c r="AL62" s="272" t="n">
        <f aca="false">COUNTIF($C62:$AE62,AL$4)</f>
        <v>2</v>
      </c>
      <c r="AM62" s="272" t="n">
        <f aca="false">COUNTIF($C62:$AE62,AM$4)</f>
        <v>1</v>
      </c>
      <c r="AN62" s="272" t="n">
        <f aca="false">COUNTIF($C62:$AE62,AN$4)</f>
        <v>2</v>
      </c>
      <c r="AO62" s="272" t="n">
        <f aca="false">COUNTIF($C62:$AE62,AO$4)</f>
        <v>0</v>
      </c>
      <c r="AP62" s="272" t="n">
        <f aca="false">COUNTIF($C62:$AE62,AP$4)</f>
        <v>0</v>
      </c>
      <c r="AQ62" s="279"/>
      <c r="AR62" s="279"/>
      <c r="AS62" s="278" t="n">
        <f aca="false">SUMPRODUCT(--(WEEKDAY(C$3:AG$3,2)&lt;5),--ISNUMBER(MATCH(C62:AG62,{"SB1","SB2"},0)))</f>
        <v>2</v>
      </c>
      <c r="AT62" s="272"/>
      <c r="AU62" s="278" t="n">
        <f aca="false">SUMPRODUCT(--(WEEKDAY(C$3:AG$3,2)=5),--ISNUMBER(MATCH(C62:AG62,{"SB1","SB2"},0)))</f>
        <v>0</v>
      </c>
      <c r="AV62" s="278" t="n">
        <f aca="false">SUMPRODUCT(--(WEEKDAY(C$3:AG$3,2)&gt;5),--ISNUMBER(MATCH(C62:AG62,{"SB1","SB2"},0)))</f>
        <v>1</v>
      </c>
      <c r="AW62" s="272"/>
      <c r="AX62" s="278" t="n">
        <f aca="false">(AS62-AT62)+AU62*1.5+(AV62-AW62)*2+(AO62+AH62+AI62+AJ62+AK62+AN62)*0.5+AQ62-AR62</f>
        <v>5</v>
      </c>
      <c r="AY62" s="278" t="n">
        <f aca="false">AS62+AU62+AV62</f>
        <v>3</v>
      </c>
      <c r="AZ62" s="278" t="n">
        <f aca="false">BC62+BE62+BG62+BI62+BK62</f>
        <v>0</v>
      </c>
      <c r="BA62" s="279" t="n">
        <f aca="false">AX62+BB62</f>
        <v>5</v>
      </c>
      <c r="BB62" s="278" t="n">
        <f aca="false">BD62+BF62+BH62+BJ62+BL62</f>
        <v>0</v>
      </c>
      <c r="BC62" s="278" t="n">
        <f aca="false">COUNTIF(A62:AH62,"*$BTP*")</f>
        <v>0</v>
      </c>
      <c r="BD62" s="278" t="n">
        <f aca="false">BC62*1.5</f>
        <v>0</v>
      </c>
      <c r="BE62" s="278" t="n">
        <f aca="false">COUNTIF(A62:AH62,"*$M*")</f>
        <v>0</v>
      </c>
      <c r="BF62" s="278" t="n">
        <f aca="false">BE62*1</f>
        <v>0</v>
      </c>
      <c r="BG62" s="278" t="n">
        <f aca="false">COUNTIF(A62:AH62,"*$PM*")</f>
        <v>0</v>
      </c>
      <c r="BH62" s="278" t="n">
        <f aca="false">BG62*0.5</f>
        <v>0</v>
      </c>
      <c r="BI62" s="278" t="n">
        <f aca="false">COUNTIF(A62:AH62,"*$AM*")</f>
        <v>0</v>
      </c>
      <c r="BJ62" s="278" t="n">
        <f aca="false">BI62*0.5</f>
        <v>0</v>
      </c>
      <c r="BK62" s="278" t="n">
        <f aca="false">COUNTIF(A62:AH62,"*$FC*")</f>
        <v>0</v>
      </c>
      <c r="BL62" s="278" t="n">
        <f aca="false">BK62*1</f>
        <v>0</v>
      </c>
      <c r="BM62" s="278" t="n">
        <f aca="false">COUNTIF($D62:$AA62,BM$4)</f>
        <v>0</v>
      </c>
      <c r="BN62" s="278" t="n">
        <f aca="false">COUNTIF($D62:$AA62,BN$4)</f>
        <v>0</v>
      </c>
      <c r="BO62" s="278" t="n">
        <f aca="false">COUNTIF($D62:$AA62,BO$4)</f>
        <v>0</v>
      </c>
      <c r="BP62" s="278"/>
    </row>
    <row r="63" customFormat="false" ht="19.5" hidden="false" customHeight="true" outlineLevel="0" collapsed="false">
      <c r="A63" s="272"/>
      <c r="B63" s="272" t="s">
        <v>825</v>
      </c>
      <c r="C63" s="319" t="s">
        <v>55</v>
      </c>
      <c r="D63" s="351" t="s">
        <v>55</v>
      </c>
      <c r="E63" s="351" t="s">
        <v>55</v>
      </c>
      <c r="F63" s="351" t="s">
        <v>989</v>
      </c>
      <c r="G63" s="351" t="s">
        <v>989</v>
      </c>
      <c r="H63" s="351" t="s">
        <v>996</v>
      </c>
      <c r="I63" s="319" t="s">
        <v>55</v>
      </c>
      <c r="J63" s="319" t="s">
        <v>55</v>
      </c>
      <c r="K63" s="319" t="s">
        <v>55</v>
      </c>
      <c r="L63" s="319" t="s">
        <v>55</v>
      </c>
      <c r="M63" s="319"/>
      <c r="N63" s="319"/>
      <c r="O63" s="319" t="s">
        <v>57</v>
      </c>
      <c r="P63" s="319" t="s">
        <v>997</v>
      </c>
      <c r="Q63" s="319" t="s">
        <v>57</v>
      </c>
      <c r="R63" s="319" t="s">
        <v>997</v>
      </c>
      <c r="S63" s="351" t="s">
        <v>724</v>
      </c>
      <c r="T63" s="317"/>
      <c r="U63" s="283" t="s">
        <v>998</v>
      </c>
      <c r="V63" s="266" t="s">
        <v>998</v>
      </c>
      <c r="W63" s="266" t="s">
        <v>998</v>
      </c>
      <c r="X63" s="266" t="s">
        <v>998</v>
      </c>
      <c r="Y63" s="266" t="s">
        <v>998</v>
      </c>
      <c r="Z63" s="266" t="s">
        <v>998</v>
      </c>
      <c r="AA63" s="266" t="s">
        <v>998</v>
      </c>
      <c r="AB63" s="266" t="s">
        <v>998</v>
      </c>
      <c r="AC63" s="266" t="s">
        <v>998</v>
      </c>
      <c r="AD63" s="266" t="s">
        <v>998</v>
      </c>
      <c r="AE63" s="266" t="s">
        <v>998</v>
      </c>
      <c r="AF63" s="266" t="s">
        <v>998</v>
      </c>
      <c r="AG63" s="266" t="s">
        <v>998</v>
      </c>
      <c r="AH63" s="272" t="n">
        <f aca="false">COUNTIF($C63:$AF63,AH$4)</f>
        <v>2</v>
      </c>
      <c r="AI63" s="272" t="n">
        <f aca="false">COUNTIF($C63:$AF63,AI$4)</f>
        <v>0</v>
      </c>
      <c r="AJ63" s="272" t="n">
        <f aca="false">COUNTIF($C63:$AF63,AJ$4)</f>
        <v>0</v>
      </c>
      <c r="AK63" s="272" t="n">
        <f aca="false">COUNTIF($C63:$AF63,AK$4)</f>
        <v>0</v>
      </c>
      <c r="AL63" s="272" t="n">
        <f aca="false">COUNTIF($C63:$AF63,AL$4)</f>
        <v>0</v>
      </c>
      <c r="AM63" s="272" t="n">
        <f aca="false">COUNTIF($C63:$AF63,AM$4)</f>
        <v>0</v>
      </c>
      <c r="AN63" s="272" t="n">
        <f aca="false">COUNTIF($C63:$AF63,AN$4)</f>
        <v>0</v>
      </c>
      <c r="AO63" s="272" t="n">
        <f aca="false">COUNTIF($C63:$AF63,AO$4)</f>
        <v>0</v>
      </c>
      <c r="AP63" s="272" t="n">
        <f aca="false">COUNTIF($C63:$AF63,AP$4)</f>
        <v>0</v>
      </c>
      <c r="AQ63" s="279"/>
      <c r="AR63" s="279"/>
      <c r="AS63" s="278" t="n">
        <f aca="false">SUMPRODUCT(--(WEEKDAY(C$3:AG$3,2)&lt;5),--ISNUMBER(MATCH(C63:AG63,{"SB1","SB2"},0)))</f>
        <v>0</v>
      </c>
      <c r="AT63" s="272"/>
      <c r="AU63" s="278" t="n">
        <f aca="false">SUMPRODUCT(--(WEEKDAY(C$3:AG$3,2)=5),--ISNUMBER(MATCH(C63:AG63,{"SB1","SB2"},0)))</f>
        <v>0</v>
      </c>
      <c r="AV63" s="278" t="n">
        <f aca="false">SUMPRODUCT(--(WEEKDAY(C$3:AG$3,2)&gt;5),--ISNUMBER(MATCH(C63:AG63,{"SB1","SB2"},0)))</f>
        <v>0</v>
      </c>
      <c r="AW63" s="272"/>
      <c r="AX63" s="278" t="n">
        <f aca="false">(AS63-AT63)+AU63*1.5+(AV63-AW63)*2+(AO63+AH63+AI63+AJ63+AK63+AN63)*0.5+AQ63-AR63</f>
        <v>1</v>
      </c>
      <c r="AY63" s="278" t="n">
        <f aca="false">AS63+AU63+AV63</f>
        <v>0</v>
      </c>
      <c r="AZ63" s="278" t="n">
        <f aca="false">BC63+BE63+BG63+BI63+BK63</f>
        <v>0</v>
      </c>
      <c r="BA63" s="279" t="n">
        <f aca="false">AX63+BB63</f>
        <v>1</v>
      </c>
      <c r="BB63" s="278" t="n">
        <f aca="false">BD63+BF63+BH63+BJ63+BL63</f>
        <v>0</v>
      </c>
      <c r="BC63" s="278" t="n">
        <f aca="false">COUNTIF(A63:AH63,"*$BTP*")</f>
        <v>0</v>
      </c>
      <c r="BD63" s="278" t="n">
        <f aca="false">BC63*1.5</f>
        <v>0</v>
      </c>
      <c r="BE63" s="278" t="n">
        <f aca="false">COUNTIF(A63:AH63,"*$M*")</f>
        <v>0</v>
      </c>
      <c r="BF63" s="278" t="n">
        <f aca="false">BE63*1</f>
        <v>0</v>
      </c>
      <c r="BG63" s="278" t="n">
        <f aca="false">COUNTIF(A63:AH63,"*$PM*")</f>
        <v>0</v>
      </c>
      <c r="BH63" s="278" t="n">
        <f aca="false">BG63*0.5</f>
        <v>0</v>
      </c>
      <c r="BI63" s="278" t="n">
        <f aca="false">COUNTIF(A63:AH63,"*$AM*")</f>
        <v>0</v>
      </c>
      <c r="BJ63" s="278" t="n">
        <f aca="false">BI63*0.5</f>
        <v>0</v>
      </c>
      <c r="BK63" s="278" t="n">
        <f aca="false">COUNTIF(A63:AH63,"*$FC*")</f>
        <v>0</v>
      </c>
      <c r="BL63" s="278" t="n">
        <f aca="false">BK63*1</f>
        <v>0</v>
      </c>
      <c r="BM63" s="278" t="n">
        <f aca="false">COUNTIF($E63:$AG63,BM$4)</f>
        <v>0</v>
      </c>
      <c r="BN63" s="278" t="n">
        <f aca="false">COUNTIF($E63:$AG63,BN$4)</f>
        <v>0</v>
      </c>
      <c r="BO63" s="278" t="n">
        <f aca="false">COUNTIF($D63:$Y63,BO$4)</f>
        <v>6</v>
      </c>
      <c r="BP63" s="272"/>
    </row>
    <row r="64" customFormat="false" ht="19.5" hidden="false" customHeight="true" outlineLevel="0" collapsed="false">
      <c r="A64" s="280"/>
      <c r="B64" s="280" t="s">
        <v>832</v>
      </c>
      <c r="C64" s="317"/>
      <c r="D64" s="91"/>
      <c r="E64" s="317" t="s">
        <v>900</v>
      </c>
      <c r="F64" s="266"/>
      <c r="G64" s="280"/>
      <c r="H64" s="280"/>
      <c r="I64" s="319" t="s">
        <v>56</v>
      </c>
      <c r="J64" s="280"/>
      <c r="K64" s="91" t="s">
        <v>58</v>
      </c>
      <c r="L64" s="319" t="s">
        <v>57</v>
      </c>
      <c r="M64" s="280"/>
      <c r="N64" s="280"/>
      <c r="O64" s="319" t="s">
        <v>65</v>
      </c>
      <c r="P64" s="266"/>
      <c r="Q64" s="280" t="s">
        <v>999</v>
      </c>
      <c r="R64" s="317" t="s">
        <v>1000</v>
      </c>
      <c r="S64" s="317" t="s">
        <v>989</v>
      </c>
      <c r="T64" s="317"/>
      <c r="U64" s="283"/>
      <c r="V64" s="280" t="s">
        <v>56</v>
      </c>
      <c r="W64" s="352"/>
      <c r="X64" s="352"/>
      <c r="Y64" s="352"/>
      <c r="Z64" s="352"/>
      <c r="AA64" s="352"/>
      <c r="AB64" s="352"/>
      <c r="AC64" s="352"/>
      <c r="AD64" s="352"/>
      <c r="AE64" s="352"/>
      <c r="AF64" s="352"/>
      <c r="AG64" s="352"/>
      <c r="AH64" s="272" t="n">
        <f aca="false">COUNTIF($C64:$AF64,AH$4)</f>
        <v>1</v>
      </c>
      <c r="AI64" s="272" t="n">
        <f aca="false">COUNTIF($C64:$AF64,AI$4)</f>
        <v>2</v>
      </c>
      <c r="AJ64" s="272" t="n">
        <f aca="false">COUNTIF($C64:$AF64,AJ$4)</f>
        <v>0</v>
      </c>
      <c r="AK64" s="272" t="n">
        <f aca="false">COUNTIF($C64:$AF64,AK$4)</f>
        <v>0</v>
      </c>
      <c r="AL64" s="272" t="n">
        <f aca="false">COUNTIF($C64:$AF64,AL$4)</f>
        <v>1</v>
      </c>
      <c r="AM64" s="272" t="n">
        <f aca="false">COUNTIF($C64:$AF64,AM$4)</f>
        <v>0</v>
      </c>
      <c r="AN64" s="272" t="n">
        <f aca="false">COUNTIF($C64:$AF64,AN$4)</f>
        <v>1</v>
      </c>
      <c r="AO64" s="272" t="n">
        <f aca="false">COUNTIF($C64:$AF64,AO$4)</f>
        <v>0</v>
      </c>
      <c r="AP64" s="272" t="n">
        <f aca="false">COUNTIF($C64:$AF64,AP$4)</f>
        <v>0</v>
      </c>
      <c r="AQ64" s="279"/>
      <c r="AR64" s="279"/>
      <c r="AS64" s="278" t="n">
        <f aca="false">SUMPRODUCT(--(WEEKDAY(C$3:AG$3,2)&lt;5),--ISNUMBER(MATCH(C64:AG64,{"SB1","SB2"},0)))</f>
        <v>1</v>
      </c>
      <c r="AT64" s="272"/>
      <c r="AU64" s="278" t="n">
        <f aca="false">SUMPRODUCT(--(WEEKDAY(C$3:AG$3,2)=5),--ISNUMBER(MATCH(C64:AG64,{"SB1","SB2"},0)))</f>
        <v>0</v>
      </c>
      <c r="AV64" s="278" t="n">
        <f aca="false">SUMPRODUCT(--(WEEKDAY(C$3:AG$3,2)&gt;5),--ISNUMBER(MATCH(C64:AG64,{"SB1","SB2"},0)))</f>
        <v>0</v>
      </c>
      <c r="AW64" s="272"/>
      <c r="AX64" s="278" t="n">
        <f aca="false">(AS64-AT64)+AU64*1.5+(AV64-AW64)*2+(AO64+AH64+AI64+AJ64+AK64+AN64)*0.5+AQ64-AR64</f>
        <v>3</v>
      </c>
      <c r="AY64" s="278" t="n">
        <f aca="false">AS64+AU64+AV64</f>
        <v>1</v>
      </c>
      <c r="AZ64" s="278" t="n">
        <f aca="false">BC64+BE64+BG64+BI64+BK64</f>
        <v>0</v>
      </c>
      <c r="BA64" s="279" t="n">
        <f aca="false">AX64+BB64</f>
        <v>3</v>
      </c>
      <c r="BB64" s="278" t="n">
        <f aca="false">BD64+BF64+BH64+BJ64+BL64</f>
        <v>0</v>
      </c>
      <c r="BC64" s="278" t="n">
        <f aca="false">COUNTIF(A64:AH64,"*$BTP*")</f>
        <v>0</v>
      </c>
      <c r="BD64" s="278" t="n">
        <f aca="false">BC64*1.5</f>
        <v>0</v>
      </c>
      <c r="BE64" s="278" t="n">
        <f aca="false">COUNTIF(A64:AH64,"*$M*")</f>
        <v>0</v>
      </c>
      <c r="BF64" s="278" t="n">
        <f aca="false">BE64*1</f>
        <v>0</v>
      </c>
      <c r="BG64" s="278" t="n">
        <f aca="false">COUNTIF(A64:AH64,"*$PM*")</f>
        <v>0</v>
      </c>
      <c r="BH64" s="278" t="n">
        <f aca="false">BG64*0.5</f>
        <v>0</v>
      </c>
      <c r="BI64" s="278" t="n">
        <f aca="false">COUNTIF(A64:AH64,"*$AM*")</f>
        <v>0</v>
      </c>
      <c r="BJ64" s="278" t="n">
        <f aca="false">BI64*0.5</f>
        <v>0</v>
      </c>
      <c r="BK64" s="278" t="n">
        <f aca="false">COUNTIF(A64:AH64,"*$FC*")</f>
        <v>0</v>
      </c>
      <c r="BL64" s="278" t="n">
        <f aca="false">BK64*1</f>
        <v>0</v>
      </c>
      <c r="BM64" s="278" t="n">
        <f aca="false">COUNTIF($E64:$AG64,BM$4)</f>
        <v>0</v>
      </c>
      <c r="BN64" s="278" t="n">
        <f aca="false">COUNTIF($E64:$AG64,BN$4)</f>
        <v>0</v>
      </c>
      <c r="BO64" s="278" t="n">
        <f aca="false">COUNTIF($E64:$Y64,BO$4)</f>
        <v>0</v>
      </c>
      <c r="BP64" s="280"/>
    </row>
    <row r="65" customFormat="false" ht="19.5" hidden="false" customHeight="true" outlineLevel="0" collapsed="false">
      <c r="A65" s="280"/>
      <c r="B65" s="280" t="s">
        <v>835</v>
      </c>
      <c r="C65" s="317" t="s">
        <v>65</v>
      </c>
      <c r="D65" s="317"/>
      <c r="E65" s="317" t="s">
        <v>96</v>
      </c>
      <c r="F65" s="266"/>
      <c r="H65" s="317"/>
      <c r="I65" s="319" t="s">
        <v>65</v>
      </c>
      <c r="J65" s="266"/>
      <c r="K65" s="317"/>
      <c r="L65" s="319"/>
      <c r="M65" s="280"/>
      <c r="N65" s="280"/>
      <c r="O65" s="266"/>
      <c r="P65" s="280" t="s">
        <v>989</v>
      </c>
      <c r="Q65" s="280"/>
      <c r="R65" s="317" t="s">
        <v>93</v>
      </c>
      <c r="S65" s="317"/>
      <c r="T65" s="317"/>
      <c r="U65" s="317"/>
      <c r="V65" s="317" t="s">
        <v>989</v>
      </c>
      <c r="W65" s="352"/>
      <c r="X65" s="352"/>
      <c r="Y65" s="352"/>
      <c r="Z65" s="91" t="s">
        <v>57</v>
      </c>
      <c r="AA65" s="352"/>
      <c r="AB65" s="352"/>
      <c r="AC65" s="352"/>
      <c r="AD65" s="352"/>
      <c r="AE65" s="352"/>
      <c r="AF65" s="352"/>
      <c r="AG65" s="352"/>
      <c r="AH65" s="272" t="n">
        <f aca="false">COUNTIF($C65:$AF65,AH$4)</f>
        <v>1</v>
      </c>
      <c r="AI65" s="272" t="n">
        <f aca="false">COUNTIF($C65:$AF65,AI$4)</f>
        <v>0</v>
      </c>
      <c r="AJ65" s="272" t="n">
        <f aca="false">COUNTIF($C65:$AF65,AJ$4)</f>
        <v>0</v>
      </c>
      <c r="AK65" s="272" t="n">
        <f aca="false">COUNTIF($C65:$AF65,AK$4)</f>
        <v>0</v>
      </c>
      <c r="AL65" s="272" t="n">
        <f aca="false">COUNTIF($C65:$AF65,AL$4)</f>
        <v>0</v>
      </c>
      <c r="AM65" s="272" t="n">
        <f aca="false">COUNTIF($C65:$AF65,AM$4)</f>
        <v>1</v>
      </c>
      <c r="AN65" s="272" t="n">
        <f aca="false">COUNTIF($C65:$AF65,AN$4)</f>
        <v>2</v>
      </c>
      <c r="AO65" s="272" t="n">
        <f aca="false">COUNTIF($C65:$AF65,AO$4)</f>
        <v>0</v>
      </c>
      <c r="AP65" s="272" t="n">
        <f aca="false">COUNTIF($C65:$AF65,AP$4)</f>
        <v>0</v>
      </c>
      <c r="AQ65" s="279"/>
      <c r="AR65" s="279"/>
      <c r="AS65" s="278" t="n">
        <f aca="false">SUMPRODUCT(--(WEEKDAY(C$3:AG$3,2)&lt;5),--ISNUMBER(MATCH(C65:AG65,{"SB1","SB2"},0)))</f>
        <v>1</v>
      </c>
      <c r="AT65" s="272"/>
      <c r="AU65" s="278" t="n">
        <f aca="false">SUMPRODUCT(--(WEEKDAY(C$3:AG$3,2)=5),--ISNUMBER(MATCH(C65:AG65,{"SB1","SB2"},0)))</f>
        <v>0</v>
      </c>
      <c r="AV65" s="278" t="n">
        <f aca="false">SUMPRODUCT(--(WEEKDAY(C$3:AG$3,2)&gt;5),--ISNUMBER(MATCH(C65:AG65,{"SB1","SB2"},0)))</f>
        <v>0</v>
      </c>
      <c r="AW65" s="272"/>
      <c r="AX65" s="278" t="n">
        <f aca="false">(AS65-AT65)+AU65*1.5+(AV65-AW65)*2+(AO65+AH65+AI65+AJ65+AK65+AN65)*0.5+AQ65-AR65</f>
        <v>2.5</v>
      </c>
      <c r="AY65" s="278" t="n">
        <f aca="false">AS65+AU65+AV65</f>
        <v>1</v>
      </c>
      <c r="AZ65" s="278" t="n">
        <f aca="false">BC65+BE65+BG65+BI65+BK65</f>
        <v>0</v>
      </c>
      <c r="BA65" s="279" t="n">
        <f aca="false">AX65+BB65</f>
        <v>2.5</v>
      </c>
      <c r="BB65" s="278" t="n">
        <f aca="false">BD65+BF65+BH65+BJ65+BL65</f>
        <v>0</v>
      </c>
      <c r="BC65" s="278" t="n">
        <f aca="false">COUNTIF(A65:AH65,"*$BTP*")</f>
        <v>0</v>
      </c>
      <c r="BD65" s="278" t="n">
        <f aca="false">BC65*1.5</f>
        <v>0</v>
      </c>
      <c r="BE65" s="278" t="n">
        <f aca="false">COUNTIF(A65:AH65,"*$M*")</f>
        <v>0</v>
      </c>
      <c r="BF65" s="278" t="n">
        <f aca="false">BE65*1</f>
        <v>0</v>
      </c>
      <c r="BG65" s="278" t="n">
        <f aca="false">COUNTIF(A65:AH65,"*$PM*")</f>
        <v>0</v>
      </c>
      <c r="BH65" s="278" t="n">
        <f aca="false">BG65*0.5</f>
        <v>0</v>
      </c>
      <c r="BI65" s="278" t="n">
        <f aca="false">COUNTIF(A65:AH65,"*$AM*")</f>
        <v>0</v>
      </c>
      <c r="BJ65" s="278" t="n">
        <f aca="false">BI65*0.5</f>
        <v>0</v>
      </c>
      <c r="BK65" s="278" t="n">
        <f aca="false">COUNTIF(A65:AH65,"*$FC*")</f>
        <v>0</v>
      </c>
      <c r="BL65" s="278" t="n">
        <f aca="false">BK65*1</f>
        <v>0</v>
      </c>
      <c r="BM65" s="278" t="n">
        <f aca="false">COUNTIF($E65:$AG65,BM$4)</f>
        <v>0</v>
      </c>
      <c r="BN65" s="278" t="n">
        <f aca="false">COUNTIF($E65:$AG65,BN$4)</f>
        <v>0</v>
      </c>
      <c r="BO65" s="278" t="n">
        <f aca="false">COUNTIF($D65:$Y65,BO$4)</f>
        <v>0</v>
      </c>
      <c r="BP65" s="280"/>
    </row>
    <row r="66" customFormat="false" ht="19.5" hidden="false" customHeight="true" outlineLevel="0" collapsed="false">
      <c r="A66" s="280"/>
      <c r="B66" s="280" t="s">
        <v>836</v>
      </c>
      <c r="C66" s="266" t="s">
        <v>1001</v>
      </c>
      <c r="D66" s="91" t="s">
        <v>507</v>
      </c>
      <c r="E66" s="91" t="s">
        <v>1002</v>
      </c>
      <c r="F66" s="91"/>
      <c r="G66" s="91"/>
      <c r="H66" s="91" t="s">
        <v>55</v>
      </c>
      <c r="I66" s="91" t="s">
        <v>55</v>
      </c>
      <c r="J66" s="280" t="s">
        <v>55</v>
      </c>
      <c r="K66" s="317" t="s">
        <v>380</v>
      </c>
      <c r="L66" s="317" t="s">
        <v>55</v>
      </c>
      <c r="M66" s="280"/>
      <c r="N66" s="280"/>
      <c r="O66" s="280" t="s">
        <v>1003</v>
      </c>
      <c r="P66" s="280" t="s">
        <v>1003</v>
      </c>
      <c r="Q66" s="266"/>
      <c r="R66" s="280"/>
      <c r="S66" s="46" t="s">
        <v>162</v>
      </c>
      <c r="T66" s="317"/>
      <c r="U66" s="283"/>
      <c r="V66" s="283" t="s">
        <v>71</v>
      </c>
      <c r="W66" s="283" t="s">
        <v>71</v>
      </c>
      <c r="X66" s="283" t="s">
        <v>71</v>
      </c>
      <c r="Y66" s="283" t="s">
        <v>71</v>
      </c>
      <c r="Z66" s="283" t="s">
        <v>71</v>
      </c>
      <c r="AA66" s="283" t="s">
        <v>71</v>
      </c>
      <c r="AB66" s="283" t="s">
        <v>71</v>
      </c>
      <c r="AC66" s="280"/>
      <c r="AD66" s="280"/>
      <c r="AE66" s="280" t="s">
        <v>56</v>
      </c>
      <c r="AF66" s="280"/>
      <c r="AG66" s="266"/>
      <c r="AH66" s="272" t="n">
        <f aca="false">COUNTIF($C66:$AF66,AH$4)</f>
        <v>0</v>
      </c>
      <c r="AI66" s="272" t="n">
        <f aca="false">COUNTIF($C66:$AF66,AI$4)</f>
        <v>1</v>
      </c>
      <c r="AJ66" s="272" t="n">
        <f aca="false">COUNTIF($C66:$AF66,AJ$4)</f>
        <v>0</v>
      </c>
      <c r="AK66" s="272" t="n">
        <f aca="false">COUNTIF($C66:$AF66,AK$4)</f>
        <v>0</v>
      </c>
      <c r="AL66" s="272" t="n">
        <f aca="false">COUNTIF($C66:$AF66,AL$4)</f>
        <v>0</v>
      </c>
      <c r="AM66" s="272" t="n">
        <f aca="false">COUNTIF($C66:$AF66,AM$4)</f>
        <v>0</v>
      </c>
      <c r="AN66" s="272" t="n">
        <f aca="false">COUNTIF($C66:$AF66,AN$4)</f>
        <v>0</v>
      </c>
      <c r="AO66" s="272" t="n">
        <f aca="false">COUNTIF($C66:$AF66,AO$4)</f>
        <v>0</v>
      </c>
      <c r="AP66" s="272" t="n">
        <f aca="false">COUNTIF($C66:$AF66,AP$4)</f>
        <v>0</v>
      </c>
      <c r="AQ66" s="279"/>
      <c r="AR66" s="279"/>
      <c r="AS66" s="278" t="n">
        <f aca="false">SUMPRODUCT(--(WEEKDAY(C$3:AG$3,2)&lt;5),--ISNUMBER(MATCH(C66:AG66,{"SB1","SB2"},0)))</f>
        <v>0</v>
      </c>
      <c r="AT66" s="272"/>
      <c r="AU66" s="278" t="n">
        <f aca="false">SUMPRODUCT(--(WEEKDAY(C$3:AG$3,2)=5),--ISNUMBER(MATCH(C66:AG66,{"SB1","SB2"},0)))</f>
        <v>0</v>
      </c>
      <c r="AV66" s="278" t="n">
        <f aca="false">SUMPRODUCT(--(WEEKDAY(C$3:AG$3,2)&gt;5),--ISNUMBER(MATCH(C66:AG66,{"SB1","SB2"},0)))</f>
        <v>0</v>
      </c>
      <c r="AW66" s="272"/>
      <c r="AX66" s="278" t="n">
        <f aca="false">(AS66-AT66)+AU66*1.5+(AV66-AW66)*2+(AO66+AH66+AI66+AJ66+AK66+AN66)*0.5+AQ66-AR66</f>
        <v>0.5</v>
      </c>
      <c r="AY66" s="278" t="n">
        <f aca="false">AS66+AU66+AV66</f>
        <v>0</v>
      </c>
      <c r="AZ66" s="278" t="n">
        <f aca="false">BC66+BE66+BG66+BI66+BK66</f>
        <v>0</v>
      </c>
      <c r="BA66" s="279" t="n">
        <f aca="false">AX66+BB66</f>
        <v>0.5</v>
      </c>
      <c r="BB66" s="278" t="n">
        <f aca="false">BD66+BF66+BH66+BJ66+BL66</f>
        <v>0</v>
      </c>
      <c r="BC66" s="278" t="n">
        <f aca="false">COUNTIF(A66:AH66,"*$BTP*")</f>
        <v>0</v>
      </c>
      <c r="BD66" s="278" t="n">
        <f aca="false">BC66*1.5</f>
        <v>0</v>
      </c>
      <c r="BE66" s="278" t="n">
        <f aca="false">COUNTIF(A66:AH66,"*$M*")</f>
        <v>0</v>
      </c>
      <c r="BF66" s="278" t="n">
        <f aca="false">BE66*1</f>
        <v>0</v>
      </c>
      <c r="BG66" s="278" t="n">
        <f aca="false">COUNTIF(A66:AH66,"*$PM*")</f>
        <v>0</v>
      </c>
      <c r="BH66" s="278" t="n">
        <f aca="false">BG66*0.5</f>
        <v>0</v>
      </c>
      <c r="BI66" s="278" t="n">
        <f aca="false">COUNTIF(A66:AH66,"*$AM*")</f>
        <v>0</v>
      </c>
      <c r="BJ66" s="278" t="n">
        <f aca="false">BI66*0.5</f>
        <v>0</v>
      </c>
      <c r="BK66" s="278" t="n">
        <f aca="false">COUNTIF(A66:AH66,"*$FC*")</f>
        <v>0</v>
      </c>
      <c r="BL66" s="278" t="n">
        <f aca="false">BK66*1</f>
        <v>0</v>
      </c>
      <c r="BM66" s="278" t="n">
        <f aca="false">COUNTIF($E66:$AG66,BM$4)</f>
        <v>0</v>
      </c>
      <c r="BN66" s="278" t="n">
        <f aca="false">COUNTIF($E66:$AG66,BN$4)</f>
        <v>0</v>
      </c>
      <c r="BO66" s="278" t="n">
        <f aca="false">COUNTIF($E66:$Y66,BO$4)</f>
        <v>4</v>
      </c>
      <c r="BP66" s="280"/>
    </row>
    <row r="67" customFormat="false" ht="19.5" hidden="false" customHeight="true" outlineLevel="0" collapsed="false">
      <c r="A67" s="280"/>
      <c r="B67" s="280" t="s">
        <v>838</v>
      </c>
      <c r="C67" s="91"/>
      <c r="D67" s="317" t="s">
        <v>58</v>
      </c>
      <c r="E67" s="317"/>
      <c r="F67" s="91"/>
      <c r="G67" s="280"/>
      <c r="H67" s="317" t="s">
        <v>57</v>
      </c>
      <c r="I67" s="266"/>
      <c r="J67" s="280" t="s">
        <v>65</v>
      </c>
      <c r="K67" s="266" t="s">
        <v>93</v>
      </c>
      <c r="L67" s="91"/>
      <c r="M67" s="280"/>
      <c r="N67" s="266" t="s">
        <v>58</v>
      </c>
      <c r="O67" s="280" t="s">
        <v>989</v>
      </c>
      <c r="P67" s="33"/>
      <c r="Q67" s="33"/>
      <c r="R67" s="317"/>
      <c r="T67" s="91"/>
      <c r="U67" s="91"/>
      <c r="V67" s="280"/>
      <c r="W67" s="319" t="s">
        <v>1004</v>
      </c>
      <c r="Y67" s="91"/>
      <c r="Z67" s="91"/>
      <c r="AA67" s="91" t="s">
        <v>1005</v>
      </c>
      <c r="AB67" s="91" t="s">
        <v>1005</v>
      </c>
      <c r="AC67" s="91" t="s">
        <v>1005</v>
      </c>
      <c r="AD67" s="280" t="s">
        <v>1006</v>
      </c>
      <c r="AE67" s="47" t="s">
        <v>58</v>
      </c>
      <c r="AF67" s="280" t="s">
        <v>57</v>
      </c>
      <c r="AG67" s="33"/>
      <c r="AH67" s="272" t="n">
        <f aca="false">COUNTIF($C67:$AF67,AH$4)</f>
        <v>2</v>
      </c>
      <c r="AI67" s="272" t="n">
        <f aca="false">COUNTIF($C67:$AF67,AI$4)</f>
        <v>0</v>
      </c>
      <c r="AJ67" s="272" t="n">
        <f aca="false">COUNTIF($C67:$AF67,AJ$4)</f>
        <v>0</v>
      </c>
      <c r="AK67" s="272" t="n">
        <f aca="false">COUNTIF($C67:$AF67,AK$4)</f>
        <v>0</v>
      </c>
      <c r="AL67" s="272" t="n">
        <f aca="false">COUNTIF($C67:$AF67,AL$4)</f>
        <v>3</v>
      </c>
      <c r="AM67" s="272" t="n">
        <f aca="false">COUNTIF($C67:$AF67,AM$4)</f>
        <v>1</v>
      </c>
      <c r="AN67" s="272" t="n">
        <f aca="false">COUNTIF($C67:$AF67,AN$4)</f>
        <v>1</v>
      </c>
      <c r="AO67" s="272" t="n">
        <f aca="false">COUNTIF($C67:$AF67,AO$4)</f>
        <v>0</v>
      </c>
      <c r="AP67" s="272" t="n">
        <f aca="false">COUNTIF($C67:$AF67,AP$4)</f>
        <v>0</v>
      </c>
      <c r="AQ67" s="279"/>
      <c r="AR67" s="279"/>
      <c r="AS67" s="278" t="n">
        <f aca="false">SUMPRODUCT(--(WEEKDAY(C$3:AG$3,2)&lt;5),--ISNUMBER(MATCH(C67:AG67,{"SB1","SB2"},0)))</f>
        <v>3</v>
      </c>
      <c r="AT67" s="272"/>
      <c r="AU67" s="278" t="n">
        <f aca="false">SUMPRODUCT(--(WEEKDAY(C$3:AG$3,2)=5),--ISNUMBER(MATCH(C67:AG67,{"SB1","SB2"},0)))</f>
        <v>0</v>
      </c>
      <c r="AV67" s="278" t="n">
        <f aca="false">SUMPRODUCT(--(WEEKDAY(C$3:AG$3,2)&gt;5),--ISNUMBER(MATCH(C67:AG67,{"SB1","SB2"},0)))</f>
        <v>1</v>
      </c>
      <c r="AW67" s="272"/>
      <c r="AX67" s="278" t="n">
        <f aca="false">(AS67-AT67)+AU67*1.5+(AV67-AW67)*2+(AO67+AH67+AI67+AJ67+AK67+AN67)*0.5+AQ67-AR67</f>
        <v>6.5</v>
      </c>
      <c r="AY67" s="278" t="n">
        <f aca="false">AS67+AU67+AV67</f>
        <v>4</v>
      </c>
      <c r="AZ67" s="278" t="n">
        <f aca="false">BC67+BE67+BG67+BI67+BK67</f>
        <v>5</v>
      </c>
      <c r="BA67" s="279" t="n">
        <f aca="false">AX67+BB67</f>
        <v>10.5</v>
      </c>
      <c r="BB67" s="278" t="n">
        <f aca="false">BD67+BF67+BH67+BJ67+BL67</f>
        <v>4</v>
      </c>
      <c r="BC67" s="278" t="n">
        <f aca="false">COUNTIF(A67:AH67,"*$BTP*")</f>
        <v>0</v>
      </c>
      <c r="BD67" s="278" t="n">
        <f aca="false">BC67*1.5</f>
        <v>0</v>
      </c>
      <c r="BE67" s="278" t="n">
        <f aca="false">COUNTIF(A67:AH67,"*$M*")</f>
        <v>0</v>
      </c>
      <c r="BF67" s="278" t="n">
        <f aca="false">BE67*1</f>
        <v>0</v>
      </c>
      <c r="BG67" s="278" t="n">
        <f aca="false">COUNTIF(A67:AH67,"*$PM*")</f>
        <v>2</v>
      </c>
      <c r="BH67" s="278" t="n">
        <f aca="false">BG67*0.5</f>
        <v>1</v>
      </c>
      <c r="BI67" s="278" t="n">
        <f aca="false">COUNTIF(A67:AH67,"*$AM*")</f>
        <v>0</v>
      </c>
      <c r="BJ67" s="278" t="n">
        <f aca="false">BI67*0.5</f>
        <v>0</v>
      </c>
      <c r="BK67" s="278" t="n">
        <f aca="false">COUNTIF(A67:AH67,"*$FC*")</f>
        <v>3</v>
      </c>
      <c r="BL67" s="278" t="n">
        <f aca="false">BK67*1</f>
        <v>3</v>
      </c>
      <c r="BM67" s="278" t="n">
        <f aca="false">COUNTIF($E67:$AG67,BM$4)</f>
        <v>0</v>
      </c>
      <c r="BN67" s="278" t="n">
        <f aca="false">COUNTIF($E67:$AG67,BN$4)</f>
        <v>0</v>
      </c>
      <c r="BO67" s="278" t="n">
        <f aca="false">COUNTIF($D67:$Y67,BO$4)</f>
        <v>0</v>
      </c>
      <c r="BP67" s="280"/>
    </row>
    <row r="68" customFormat="false" ht="19.5" hidden="false" customHeight="true" outlineLevel="0" collapsed="false">
      <c r="A68" s="280"/>
      <c r="B68" s="280" t="s">
        <v>840</v>
      </c>
      <c r="C68" s="317"/>
      <c r="D68" s="317"/>
      <c r="E68" s="317"/>
      <c r="F68" s="317"/>
      <c r="G68" s="317" t="s">
        <v>93</v>
      </c>
      <c r="H68" s="280"/>
      <c r="I68" s="280" t="s">
        <v>58</v>
      </c>
      <c r="J68" s="280"/>
      <c r="K68" s="317"/>
      <c r="L68" s="91" t="s">
        <v>1007</v>
      </c>
      <c r="M68" s="280"/>
      <c r="N68" s="280"/>
      <c r="O68" s="319"/>
      <c r="P68" s="280" t="s">
        <v>989</v>
      </c>
      <c r="Q68" s="280"/>
      <c r="R68" s="266"/>
      <c r="S68" s="317"/>
      <c r="T68" s="266"/>
      <c r="U68" s="283"/>
      <c r="V68" s="46" t="s">
        <v>58</v>
      </c>
      <c r="W68" s="283"/>
      <c r="X68" s="91" t="s">
        <v>61</v>
      </c>
      <c r="Y68" s="319" t="s">
        <v>1008</v>
      </c>
      <c r="Z68" s="317"/>
      <c r="AA68" s="280"/>
      <c r="AB68" s="280"/>
      <c r="AC68" s="280" t="s">
        <v>57</v>
      </c>
      <c r="AD68" s="46"/>
      <c r="AE68" s="266" t="s">
        <v>982</v>
      </c>
      <c r="AF68" s="46" t="s">
        <v>65</v>
      </c>
      <c r="AG68" s="266" t="s">
        <v>185</v>
      </c>
      <c r="AH68" s="272" t="n">
        <f aca="false">COUNTIF($C68:$AF68,AH$4)</f>
        <v>1</v>
      </c>
      <c r="AI68" s="272" t="n">
        <f aca="false">COUNTIF($C68:$AF68,AI$4)</f>
        <v>0</v>
      </c>
      <c r="AJ68" s="272" t="n">
        <f aca="false">COUNTIF($C68:$AF68,AJ$4)</f>
        <v>0</v>
      </c>
      <c r="AK68" s="272" t="n">
        <f aca="false">COUNTIF($C68:$AF68,AK$4)</f>
        <v>0</v>
      </c>
      <c r="AL68" s="272" t="n">
        <f aca="false">COUNTIF($C68:$AF68,AL$4)</f>
        <v>2</v>
      </c>
      <c r="AM68" s="272" t="n">
        <f aca="false">COUNTIF($C68:$AF68,AM$4)</f>
        <v>1</v>
      </c>
      <c r="AN68" s="272" t="n">
        <f aca="false">COUNTIF($C68:$AF68,AN$4)</f>
        <v>1</v>
      </c>
      <c r="AO68" s="272" t="n">
        <f aca="false">COUNTIF($C68:$AF68,AO$4)</f>
        <v>0</v>
      </c>
      <c r="AP68" s="272" t="n">
        <f aca="false">COUNTIF($C68:$AF68,AP$4)</f>
        <v>0</v>
      </c>
      <c r="AQ68" s="279"/>
      <c r="AR68" s="279"/>
      <c r="AS68" s="278" t="n">
        <f aca="false">SUMPRODUCT(--(WEEKDAY(C$3:AG$3,2)&lt;5),--ISNUMBER(MATCH(C68:AG68,{"SB1","SB2"},0)))</f>
        <v>2</v>
      </c>
      <c r="AT68" s="272"/>
      <c r="AU68" s="278" t="n">
        <f aca="false">SUMPRODUCT(--(WEEKDAY(C$3:AG$3,2)=5),--ISNUMBER(MATCH(C68:AG68,{"SB1","SB2"},0)))</f>
        <v>0</v>
      </c>
      <c r="AV68" s="278" t="n">
        <f aca="false">SUMPRODUCT(--(WEEKDAY(C$3:AG$3,2)&gt;5),--ISNUMBER(MATCH(C68:AG68,{"SB1","SB2"},0)))</f>
        <v>1</v>
      </c>
      <c r="AW68" s="272"/>
      <c r="AX68" s="278" t="n">
        <f aca="false">(AS68-AT68)+AU68*1.5+(AV68-AW68)*2+(AO68+AH68+AI68+AJ68+AK68+AN68)*0.5+AQ68-AR68</f>
        <v>5</v>
      </c>
      <c r="AY68" s="278" t="n">
        <f aca="false">AS68+AU68+AV68</f>
        <v>3</v>
      </c>
      <c r="AZ68" s="278" t="n">
        <f aca="false">BC68+BE68+BG68+BI68+BK68</f>
        <v>4</v>
      </c>
      <c r="BA68" s="279" t="n">
        <f aca="false">AX68+BB68</f>
        <v>7.5</v>
      </c>
      <c r="BB68" s="278" t="n">
        <f aca="false">BD68+BF68+BH68+BJ68+BL68</f>
        <v>2.5</v>
      </c>
      <c r="BC68" s="278" t="n">
        <f aca="false">COUNTIF(A68:AH68,"*$BTP*")</f>
        <v>0</v>
      </c>
      <c r="BD68" s="278" t="n">
        <f aca="false">BC68*1.5</f>
        <v>0</v>
      </c>
      <c r="BE68" s="278" t="n">
        <f aca="false">COUNTIF(A68:AH68,"*$M*")</f>
        <v>1</v>
      </c>
      <c r="BF68" s="278" t="n">
        <f aca="false">BE68*1</f>
        <v>1</v>
      </c>
      <c r="BG68" s="278" t="n">
        <f aca="false">COUNTIF(A68:AH68,"*$PM*")</f>
        <v>0</v>
      </c>
      <c r="BH68" s="278" t="n">
        <f aca="false">BG68*0.5</f>
        <v>0</v>
      </c>
      <c r="BI68" s="278" t="n">
        <f aca="false">COUNTIF(A68:AH68,"*$AM*")</f>
        <v>3</v>
      </c>
      <c r="BJ68" s="278" t="n">
        <f aca="false">BI68*0.5</f>
        <v>1.5</v>
      </c>
      <c r="BK68" s="278" t="n">
        <f aca="false">COUNTIF(A68:AH68,"*$FC*")</f>
        <v>0</v>
      </c>
      <c r="BL68" s="278" t="n">
        <f aca="false">BK68*1</f>
        <v>0</v>
      </c>
      <c r="BM68" s="278" t="n">
        <f aca="false">COUNTIF($E68:$AG68,BM$4)</f>
        <v>0</v>
      </c>
      <c r="BN68" s="278" t="n">
        <f aca="false">COUNTIF($E68:$AG68,BN$4)</f>
        <v>0</v>
      </c>
      <c r="BO68" s="278" t="n">
        <f aca="false">COUNTIF($D68:$X68,BO$4)</f>
        <v>0</v>
      </c>
      <c r="BP68" s="280"/>
    </row>
    <row r="69" customFormat="false" ht="84.75" hidden="false" customHeight="true" outlineLevel="0" collapsed="false">
      <c r="A69" s="280"/>
      <c r="B69" s="280" t="s">
        <v>844</v>
      </c>
      <c r="C69" s="280" t="s">
        <v>58</v>
      </c>
      <c r="D69" s="317" t="s">
        <v>56</v>
      </c>
      <c r="E69" s="317" t="s">
        <v>57</v>
      </c>
      <c r="F69" s="280"/>
      <c r="G69" s="280"/>
      <c r="H69" s="317" t="s">
        <v>93</v>
      </c>
      <c r="I69" s="280" t="s">
        <v>57</v>
      </c>
      <c r="J69" s="280" t="s">
        <v>57</v>
      </c>
      <c r="K69" s="317"/>
      <c r="L69" s="319" t="s">
        <v>1009</v>
      </c>
      <c r="M69" s="91"/>
      <c r="N69" s="280" t="s">
        <v>93</v>
      </c>
      <c r="O69" s="319"/>
      <c r="P69" s="92" t="s">
        <v>1010</v>
      </c>
      <c r="Q69" s="280" t="s">
        <v>61</v>
      </c>
      <c r="R69" s="317" t="s">
        <v>57</v>
      </c>
      <c r="S69" s="317" t="s">
        <v>56</v>
      </c>
      <c r="T69" s="317"/>
      <c r="U69" s="91"/>
      <c r="V69" s="266" t="s">
        <v>1011</v>
      </c>
      <c r="X69" s="280" t="s">
        <v>54</v>
      </c>
      <c r="Y69" s="280" t="s">
        <v>54</v>
      </c>
      <c r="Z69" s="280" t="s">
        <v>54</v>
      </c>
      <c r="AA69" s="280" t="s">
        <v>54</v>
      </c>
      <c r="AB69" s="280" t="s">
        <v>54</v>
      </c>
      <c r="AC69" s="280" t="s">
        <v>54</v>
      </c>
      <c r="AD69" s="280" t="s">
        <v>54</v>
      </c>
      <c r="AE69" s="280"/>
      <c r="AG69" s="280" t="s">
        <v>56</v>
      </c>
      <c r="AH69" s="272" t="n">
        <f aca="false">COUNTIF($C69:$AF69,AH$4)</f>
        <v>4</v>
      </c>
      <c r="AI69" s="272" t="n">
        <f aca="false">COUNTIF($C69:$AF69,AI$4)</f>
        <v>2</v>
      </c>
      <c r="AJ69" s="272" t="n">
        <f aca="false">COUNTIF($C69:$AF69,AJ$4)</f>
        <v>0</v>
      </c>
      <c r="AK69" s="272" t="n">
        <f aca="false">COUNTIF($C69:$AF69,AK$4)</f>
        <v>0</v>
      </c>
      <c r="AL69" s="272" t="n">
        <f aca="false">COUNTIF($C69:$AF69,AL$4)</f>
        <v>1</v>
      </c>
      <c r="AM69" s="272" t="n">
        <f aca="false">COUNTIF($C69:$AF69,AM$4)</f>
        <v>2</v>
      </c>
      <c r="AN69" s="272" t="n">
        <f aca="false">COUNTIF($C69:$AF69,AN$4)</f>
        <v>0</v>
      </c>
      <c r="AO69" s="272" t="n">
        <f aca="false">COUNTIF($C69:$AF69,AO$4)</f>
        <v>0</v>
      </c>
      <c r="AP69" s="272" t="n">
        <f aca="false">COUNTIF($C69:$AF69,AP$4)</f>
        <v>0</v>
      </c>
      <c r="AQ69" s="279"/>
      <c r="AR69" s="279"/>
      <c r="AS69" s="278" t="n">
        <f aca="false">SUMPRODUCT(--(WEEKDAY(C$3:AG$3,2)&lt;5),--ISNUMBER(MATCH(C69:AG69,{"SB1","SB2"},0)))</f>
        <v>2</v>
      </c>
      <c r="AT69" s="272"/>
      <c r="AU69" s="278" t="n">
        <f aca="false">SUMPRODUCT(--(WEEKDAY(C$3:AG$3,2)=5),--ISNUMBER(MATCH(C69:AG69,{"SB1","SB2"},0)))</f>
        <v>0</v>
      </c>
      <c r="AV69" s="278" t="n">
        <f aca="false">SUMPRODUCT(--(WEEKDAY(C$3:AG$3,2)&gt;5),--ISNUMBER(MATCH(C69:AG69,{"SB1","SB2"},0)))</f>
        <v>1</v>
      </c>
      <c r="AW69" s="272"/>
      <c r="AX69" s="278" t="n">
        <f aca="false">(AS69-AT69)+AU69*1.5+(AV69-AW69)*2+(AO69+AH69+AI69+AJ69+AK69+AN69)*0.5+AQ69-AR69</f>
        <v>7</v>
      </c>
      <c r="AY69" s="278" t="n">
        <f aca="false">AS69+AU69+AV69</f>
        <v>3</v>
      </c>
      <c r="AZ69" s="278" t="n">
        <f aca="false">BC69+BE69+BG69+BI69+BK69</f>
        <v>2</v>
      </c>
      <c r="BA69" s="279" t="n">
        <f aca="false">AX69+BB69</f>
        <v>8</v>
      </c>
      <c r="BB69" s="278" t="n">
        <f aca="false">BD69+BF69+BH69+BJ69+BL69</f>
        <v>1</v>
      </c>
      <c r="BC69" s="278" t="n">
        <f aca="false">COUNTIF(A69:AH69,"*$BTP*")</f>
        <v>0</v>
      </c>
      <c r="BD69" s="278" t="n">
        <f aca="false">BC69*1.5</f>
        <v>0</v>
      </c>
      <c r="BE69" s="278" t="n">
        <f aca="false">COUNTIF(A69:AH69,"*$M*")</f>
        <v>0</v>
      </c>
      <c r="BF69" s="278" t="n">
        <f aca="false">BE69*1</f>
        <v>0</v>
      </c>
      <c r="BG69" s="278" t="n">
        <f aca="false">COUNTIF(A69:AH69,"*$PM*")</f>
        <v>1</v>
      </c>
      <c r="BH69" s="278" t="n">
        <f aca="false">BG69*0.5</f>
        <v>0.5</v>
      </c>
      <c r="BI69" s="278" t="n">
        <f aca="false">COUNTIF(A69:AH69,"*$AM*")</f>
        <v>1</v>
      </c>
      <c r="BJ69" s="278" t="n">
        <f aca="false">BI69*0.5</f>
        <v>0.5</v>
      </c>
      <c r="BK69" s="278" t="n">
        <f aca="false">COUNTIF(A69:AH69,"*$FC*")</f>
        <v>0</v>
      </c>
      <c r="BL69" s="278" t="n">
        <f aca="false">BK69*1</f>
        <v>0</v>
      </c>
      <c r="BM69" s="278" t="n">
        <f aca="false">COUNTIF($E69:$AG69,BM$4)</f>
        <v>0</v>
      </c>
      <c r="BN69" s="278" t="n">
        <f aca="false">COUNTIF($E69:$AG69,BN$4)</f>
        <v>0</v>
      </c>
      <c r="BO69" s="278" t="n">
        <f aca="false">COUNTIF($D69:$Y69,BO$4)</f>
        <v>0</v>
      </c>
      <c r="BP69" s="280"/>
    </row>
    <row r="70" customFormat="false" ht="19.5" hidden="false" customHeight="true" outlineLevel="0" collapsed="false">
      <c r="A70" s="280"/>
      <c r="B70" s="280" t="s">
        <v>848</v>
      </c>
      <c r="C70" s="317" t="s">
        <v>1012</v>
      </c>
      <c r="D70" s="91"/>
      <c r="E70" s="317"/>
      <c r="F70" s="280"/>
      <c r="G70" s="280"/>
      <c r="H70" s="317" t="s">
        <v>989</v>
      </c>
      <c r="I70" s="280" t="s">
        <v>989</v>
      </c>
      <c r="J70" s="280" t="s">
        <v>989</v>
      </c>
      <c r="K70" s="317" t="s">
        <v>57</v>
      </c>
      <c r="L70" s="317" t="s">
        <v>65</v>
      </c>
      <c r="M70" s="280" t="s">
        <v>989</v>
      </c>
      <c r="N70" s="280" t="s">
        <v>989</v>
      </c>
      <c r="O70" s="280" t="s">
        <v>983</v>
      </c>
      <c r="P70" s="280" t="s">
        <v>57</v>
      </c>
      <c r="Q70" s="280" t="s">
        <v>58</v>
      </c>
      <c r="R70" s="317"/>
      <c r="S70" s="266"/>
      <c r="T70" s="317"/>
      <c r="U70" s="91" t="s">
        <v>93</v>
      </c>
      <c r="V70" s="280"/>
      <c r="W70" s="280" t="s">
        <v>57</v>
      </c>
      <c r="X70" s="280"/>
      <c r="Y70" s="266"/>
      <c r="Z70" s="317"/>
      <c r="AA70" s="283"/>
      <c r="AB70" s="280" t="s">
        <v>93</v>
      </c>
      <c r="AC70" s="266"/>
      <c r="AD70" s="266" t="s">
        <v>57</v>
      </c>
      <c r="AE70" s="266" t="s">
        <v>1013</v>
      </c>
      <c r="AF70" s="317" t="s">
        <v>990</v>
      </c>
      <c r="AG70" s="317" t="s">
        <v>990</v>
      </c>
      <c r="AH70" s="272" t="n">
        <f aca="false">COUNTIF($C70:$AF70,AH$4)</f>
        <v>4</v>
      </c>
      <c r="AI70" s="272" t="n">
        <f aca="false">COUNTIF($C70:$AF70,AI$4)</f>
        <v>0</v>
      </c>
      <c r="AJ70" s="272" t="n">
        <f aca="false">COUNTIF($C70:$AF70,AJ$4)</f>
        <v>0</v>
      </c>
      <c r="AK70" s="272" t="n">
        <f aca="false">COUNTIF($C70:$AF70,AK$4)</f>
        <v>0</v>
      </c>
      <c r="AL70" s="272" t="n">
        <f aca="false">COUNTIF($C70:$AF70,AL$4)</f>
        <v>1</v>
      </c>
      <c r="AM70" s="272" t="n">
        <f aca="false">COUNTIF($C70:$AF70,AM$4)</f>
        <v>2</v>
      </c>
      <c r="AN70" s="272" t="n">
        <f aca="false">COUNTIF($C70:$AF70,AN$4)</f>
        <v>1</v>
      </c>
      <c r="AO70" s="272" t="n">
        <f aca="false">COUNTIF($C70:$AF70,AO$4)</f>
        <v>0</v>
      </c>
      <c r="AP70" s="272" t="n">
        <f aca="false">COUNTIF($C70:$AF70,AP$4)</f>
        <v>0</v>
      </c>
      <c r="AQ70" s="279"/>
      <c r="AR70" s="279"/>
      <c r="AS70" s="278" t="n">
        <f aca="false">SUMPRODUCT(--(WEEKDAY(C$3:AG$3,2)&lt;5),--ISNUMBER(MATCH(C70:AG70,{"SB1","SB2"},0)))</f>
        <v>1</v>
      </c>
      <c r="AT70" s="272"/>
      <c r="AU70" s="278" t="n">
        <f aca="false">SUMPRODUCT(--(WEEKDAY(C$3:AG$3,2)=5),--ISNUMBER(MATCH(C70:AG70,{"SB1","SB2"},0)))</f>
        <v>0</v>
      </c>
      <c r="AV70" s="278" t="n">
        <f aca="false">SUMPRODUCT(--(WEEKDAY(C$3:AG$3,2)&gt;5),--ISNUMBER(MATCH(C70:AG70,{"SB1","SB2"},0)))</f>
        <v>2</v>
      </c>
      <c r="AW70" s="272"/>
      <c r="AX70" s="278" t="n">
        <f aca="false">(AS70-AT70)+AU70*1.5+(AV70-AW70)*2+(AO70+AH70+AI70+AJ70+AK70+AN70)*0.5+AQ70-AR70</f>
        <v>7.5</v>
      </c>
      <c r="AY70" s="278" t="n">
        <f aca="false">AS70+AU70+AV70</f>
        <v>3</v>
      </c>
      <c r="AZ70" s="278" t="n">
        <f aca="false">BC70+BE70+BG70+BI70+BK70</f>
        <v>4</v>
      </c>
      <c r="BA70" s="279" t="n">
        <f aca="false">AX70+BB70</f>
        <v>11</v>
      </c>
      <c r="BB70" s="278" t="n">
        <f aca="false">BD70+BF70+BH70+BJ70+BL70</f>
        <v>3.5</v>
      </c>
      <c r="BC70" s="278" t="n">
        <f aca="false">COUNTIF(A70:AH70,"*$BTP*")</f>
        <v>0</v>
      </c>
      <c r="BD70" s="278" t="n">
        <f aca="false">BC70*1.5</f>
        <v>0</v>
      </c>
      <c r="BE70" s="278" t="n">
        <f aca="false">COUNTIF(A70:AH70,"*$M*")</f>
        <v>0</v>
      </c>
      <c r="BF70" s="278" t="n">
        <f aca="false">BE70*1</f>
        <v>0</v>
      </c>
      <c r="BG70" s="278" t="n">
        <f aca="false">COUNTIF(A70:AH70,"*$PM*")</f>
        <v>0</v>
      </c>
      <c r="BH70" s="278" t="n">
        <f aca="false">BG70*0.5</f>
        <v>0</v>
      </c>
      <c r="BI70" s="278" t="n">
        <f aca="false">COUNTIF(A70:AH70,"*$AM*")</f>
        <v>1</v>
      </c>
      <c r="BJ70" s="278" t="n">
        <f aca="false">BI70*0.5</f>
        <v>0.5</v>
      </c>
      <c r="BK70" s="278" t="n">
        <f aca="false">COUNTIF(A70:AH70,"*$FC*")</f>
        <v>3</v>
      </c>
      <c r="BL70" s="278" t="n">
        <f aca="false">BK70*1</f>
        <v>3</v>
      </c>
      <c r="BM70" s="278" t="n">
        <f aca="false">COUNTIF($E70:$AG70,BM$4)</f>
        <v>0</v>
      </c>
      <c r="BN70" s="278" t="n">
        <f aca="false">COUNTIF($E70:$AG70,BN$4)</f>
        <v>0</v>
      </c>
      <c r="BO70" s="278" t="n">
        <f aca="false">COUNTIF($D70:$Y70,BO$4)</f>
        <v>0</v>
      </c>
      <c r="BP70" s="280"/>
    </row>
    <row r="71" customFormat="false" ht="19.5" hidden="false" customHeight="true" outlineLevel="0" collapsed="false">
      <c r="A71" s="280"/>
      <c r="B71" s="280" t="s">
        <v>914</v>
      </c>
      <c r="C71" s="317" t="s">
        <v>57</v>
      </c>
      <c r="D71" s="91" t="s">
        <v>65</v>
      </c>
      <c r="E71" s="317" t="s">
        <v>261</v>
      </c>
      <c r="F71" s="91"/>
      <c r="G71" s="280"/>
      <c r="H71" s="317" t="s">
        <v>362</v>
      </c>
      <c r="I71" s="280" t="s">
        <v>167</v>
      </c>
      <c r="J71" s="280" t="s">
        <v>167</v>
      </c>
      <c r="K71" s="280" t="s">
        <v>167</v>
      </c>
      <c r="L71" s="280" t="s">
        <v>167</v>
      </c>
      <c r="M71" s="280" t="s">
        <v>167</v>
      </c>
      <c r="N71" s="280" t="s">
        <v>167</v>
      </c>
      <c r="O71" s="280" t="s">
        <v>167</v>
      </c>
      <c r="P71" s="280" t="s">
        <v>167</v>
      </c>
      <c r="Q71" s="280" t="s">
        <v>167</v>
      </c>
      <c r="R71" s="280" t="s">
        <v>167</v>
      </c>
      <c r="S71" s="280" t="s">
        <v>167</v>
      </c>
      <c r="T71" s="280" t="s">
        <v>167</v>
      </c>
      <c r="U71" s="280" t="s">
        <v>167</v>
      </c>
      <c r="V71" s="280" t="s">
        <v>167</v>
      </c>
      <c r="W71" s="280" t="s">
        <v>167</v>
      </c>
      <c r="X71" s="280" t="s">
        <v>167</v>
      </c>
      <c r="Y71" s="280" t="s">
        <v>167</v>
      </c>
      <c r="Z71" s="280" t="s">
        <v>167</v>
      </c>
      <c r="AA71" s="280" t="s">
        <v>167</v>
      </c>
      <c r="AB71" s="280" t="s">
        <v>167</v>
      </c>
      <c r="AC71" s="280" t="s">
        <v>167</v>
      </c>
      <c r="AD71" s="280"/>
      <c r="AE71" s="280" t="s">
        <v>216</v>
      </c>
      <c r="AF71" s="280" t="s">
        <v>1014</v>
      </c>
      <c r="AG71" s="280" t="s">
        <v>1015</v>
      </c>
      <c r="AH71" s="272" t="n">
        <f aca="false">COUNTIF($C71:$AF71,AH$4)</f>
        <v>1</v>
      </c>
      <c r="AI71" s="272" t="n">
        <f aca="false">COUNTIF($C71:$AF71,AI$4)</f>
        <v>0</v>
      </c>
      <c r="AJ71" s="272" t="n">
        <f aca="false">COUNTIF($C71:$AF71,AJ$4)</f>
        <v>0</v>
      </c>
      <c r="AK71" s="272" t="n">
        <f aca="false">COUNTIF($C71:$AF71,AK$4)</f>
        <v>0</v>
      </c>
      <c r="AL71" s="272" t="n">
        <f aca="false">COUNTIF($C71:$AF71,AL$4)</f>
        <v>0</v>
      </c>
      <c r="AM71" s="272" t="n">
        <f aca="false">COUNTIF($C71:$AF71,AM$4)</f>
        <v>0</v>
      </c>
      <c r="AN71" s="272" t="n">
        <f aca="false">COUNTIF($C71:$AF71,AN$4)</f>
        <v>1</v>
      </c>
      <c r="AO71" s="272" t="n">
        <f aca="false">COUNTIF($C71:$AF71,AO$4)</f>
        <v>0</v>
      </c>
      <c r="AP71" s="272" t="n">
        <f aca="false">COUNTIF($C71:$AF71,AP$4)</f>
        <v>0</v>
      </c>
      <c r="AQ71" s="279"/>
      <c r="AR71" s="279"/>
      <c r="AS71" s="278" t="n">
        <f aca="false">SUMPRODUCT(--(WEEKDAY(C$3:AG$3,2)&lt;5),--ISNUMBER(MATCH(C71:AG71,{"SB1","SB2"},0)))</f>
        <v>0</v>
      </c>
      <c r="AT71" s="272"/>
      <c r="AU71" s="278" t="n">
        <f aca="false">SUMPRODUCT(--(WEEKDAY(C$3:AG$3,2)=5),--ISNUMBER(MATCH(C71:AG71,{"SB1","SB2"},0)))</f>
        <v>0</v>
      </c>
      <c r="AV71" s="278" t="n">
        <f aca="false">SUMPRODUCT(--(WEEKDAY(C$3:AG$3,2)&gt;5),--ISNUMBER(MATCH(C71:AG71,{"SB1","SB2"},0)))</f>
        <v>0</v>
      </c>
      <c r="AW71" s="272"/>
      <c r="AX71" s="278" t="n">
        <f aca="false">(AS71-AT71)+AU71*1.5+(AV71-AW71)*2+(AO71+AH71+AI71+AJ71+AK71+AN71)*0.5+AQ71-AR71</f>
        <v>1</v>
      </c>
      <c r="AY71" s="278" t="n">
        <f aca="false">AS71+AU71+AV71</f>
        <v>0</v>
      </c>
      <c r="AZ71" s="278" t="n">
        <f aca="false">BC71+BE71+BG71+BI71+BK71</f>
        <v>0</v>
      </c>
      <c r="BA71" s="279" t="n">
        <f aca="false">AX71+BB71</f>
        <v>1</v>
      </c>
      <c r="BB71" s="278" t="n">
        <f aca="false">BD71+BF71+BH71+BJ71+BL71</f>
        <v>0</v>
      </c>
      <c r="BC71" s="278" t="n">
        <f aca="false">COUNTIF(A71:AH71,"*$BTP*")</f>
        <v>0</v>
      </c>
      <c r="BD71" s="278" t="n">
        <f aca="false">BC71*1.5</f>
        <v>0</v>
      </c>
      <c r="BE71" s="278" t="n">
        <f aca="false">COUNTIF(A71:AH71,"*$M*")</f>
        <v>0</v>
      </c>
      <c r="BF71" s="278" t="n">
        <f aca="false">BE71*1</f>
        <v>0</v>
      </c>
      <c r="BG71" s="278" t="n">
        <f aca="false">COUNTIF(A71:AH71,"*$PM*")</f>
        <v>0</v>
      </c>
      <c r="BH71" s="278" t="n">
        <f aca="false">BG71*0.5</f>
        <v>0</v>
      </c>
      <c r="BI71" s="278" t="n">
        <f aca="false">COUNTIF(A71:AH71,"*$AM*")</f>
        <v>0</v>
      </c>
      <c r="BJ71" s="278" t="n">
        <f aca="false">BI71*0.5</f>
        <v>0</v>
      </c>
      <c r="BK71" s="278" t="n">
        <f aca="false">COUNTIF(A71:AH71,"*$FC*")</f>
        <v>0</v>
      </c>
      <c r="BL71" s="278" t="n">
        <f aca="false">BK71*1</f>
        <v>0</v>
      </c>
      <c r="BM71" s="278" t="n">
        <f aca="false">COUNTIF($E71:$AG71,BM$4)</f>
        <v>0</v>
      </c>
      <c r="BN71" s="278" t="n">
        <f aca="false">COUNTIF($E71:$AG71,BN$4)</f>
        <v>0</v>
      </c>
      <c r="BO71" s="278" t="n">
        <f aca="false">COUNTIF($D71:$Y71,BO$4)</f>
        <v>0</v>
      </c>
      <c r="BP71" s="280"/>
    </row>
    <row r="72" customFormat="false" ht="19.5" hidden="false" customHeight="true" outlineLevel="0" collapsed="false">
      <c r="A72" s="280"/>
      <c r="B72" s="280" t="s">
        <v>917</v>
      </c>
      <c r="C72" s="266"/>
      <c r="D72" s="91"/>
      <c r="E72" s="317"/>
      <c r="F72" s="91" t="s">
        <v>58</v>
      </c>
      <c r="G72" s="280"/>
      <c r="H72" s="317" t="s">
        <v>65</v>
      </c>
      <c r="I72" s="280" t="s">
        <v>1016</v>
      </c>
      <c r="J72" s="280"/>
      <c r="K72" s="317"/>
      <c r="L72" s="266"/>
      <c r="M72" s="91"/>
      <c r="N72" s="280" t="s">
        <v>989</v>
      </c>
      <c r="O72" s="266"/>
      <c r="P72" s="280" t="s">
        <v>58</v>
      </c>
      <c r="Q72" s="266"/>
      <c r="R72" s="353"/>
      <c r="S72" s="319"/>
      <c r="T72" s="319"/>
      <c r="U72" s="283"/>
      <c r="V72" s="91" t="s">
        <v>989</v>
      </c>
      <c r="W72" s="283"/>
      <c r="X72" s="317" t="s">
        <v>58</v>
      </c>
      <c r="Y72" s="91" t="s">
        <v>58</v>
      </c>
      <c r="Z72" s="317" t="s">
        <v>253</v>
      </c>
      <c r="AA72" s="280"/>
      <c r="AB72" s="280"/>
      <c r="AC72" s="46" t="s">
        <v>58</v>
      </c>
      <c r="AD72" s="280" t="s">
        <v>58</v>
      </c>
      <c r="AE72" s="266"/>
      <c r="AF72" s="317"/>
      <c r="AH72" s="272" t="n">
        <f aca="false">COUNTIF($C72:$AF72,AH$4)</f>
        <v>0</v>
      </c>
      <c r="AI72" s="272" t="n">
        <f aca="false">COUNTIF($C72:$AF72,AI$4)</f>
        <v>0</v>
      </c>
      <c r="AJ72" s="272" t="n">
        <f aca="false">COUNTIF($C72:$AF72,AJ$4)</f>
        <v>0</v>
      </c>
      <c r="AK72" s="272" t="n">
        <f aca="false">COUNTIF($C72:$AF72,AK$4)</f>
        <v>0</v>
      </c>
      <c r="AL72" s="272" t="n">
        <f aca="false">COUNTIF($C72:$AF72,AL$4)</f>
        <v>6</v>
      </c>
      <c r="AM72" s="272" t="n">
        <f aca="false">COUNTIF($C72:$AF72,AM$4)</f>
        <v>0</v>
      </c>
      <c r="AN72" s="272" t="n">
        <f aca="false">COUNTIF($C72:$AF72,AN$4)</f>
        <v>1</v>
      </c>
      <c r="AO72" s="272" t="n">
        <f aca="false">COUNTIF($C72:$AF72,AO$4)</f>
        <v>0</v>
      </c>
      <c r="AP72" s="272" t="n">
        <f aca="false">COUNTIF($C72:$AF72,AP$4)</f>
        <v>0</v>
      </c>
      <c r="AQ72" s="279"/>
      <c r="AR72" s="279"/>
      <c r="AS72" s="278" t="n">
        <f aca="false">SUMPRODUCT(--(WEEKDAY(C$3:AG$3,2)&lt;5),--ISNUMBER(MATCH(C72:AG72,{"SB1","SB2"},0)))</f>
        <v>5</v>
      </c>
      <c r="AT72" s="272"/>
      <c r="AU72" s="278" t="n">
        <f aca="false">SUMPRODUCT(--(WEEKDAY(C$3:AG$3,2)=5),--ISNUMBER(MATCH(C72:AG72,{"SB1","SB2"},0)))</f>
        <v>0</v>
      </c>
      <c r="AV72" s="278" t="n">
        <f aca="false">SUMPRODUCT(--(WEEKDAY(C$3:AG$3,2)&gt;5),--ISNUMBER(MATCH(C72:AG72,{"SB1","SB2"},0)))</f>
        <v>1</v>
      </c>
      <c r="AW72" s="272"/>
      <c r="AX72" s="278" t="n">
        <f aca="false">(AS72-AT72)+AU72*1.5+(AV72-AW72)*2+(AO72+AH72+AI72+AJ72+AK72+AN72)*0.5+AQ72-AR72</f>
        <v>7.5</v>
      </c>
      <c r="AY72" s="278" t="n">
        <f aca="false">AS72+AU72+AV72</f>
        <v>6</v>
      </c>
      <c r="AZ72" s="278" t="n">
        <f aca="false">BC72+BE72+BG72+BI72+BK72</f>
        <v>1</v>
      </c>
      <c r="BA72" s="279" t="n">
        <f aca="false">AX72+BB72</f>
        <v>8</v>
      </c>
      <c r="BB72" s="278" t="n">
        <f aca="false">BD72+BF72+BH72+BJ72+BL72</f>
        <v>0.5</v>
      </c>
      <c r="BC72" s="278" t="n">
        <f aca="false">COUNTIF(A72:AH72,"*$BTP*")</f>
        <v>0</v>
      </c>
      <c r="BD72" s="278" t="n">
        <f aca="false">BC72*1.5</f>
        <v>0</v>
      </c>
      <c r="BE72" s="278" t="n">
        <f aca="false">COUNTIF(A72:AH72,"*$M*")</f>
        <v>0</v>
      </c>
      <c r="BF72" s="278" t="n">
        <f aca="false">BE72*1</f>
        <v>0</v>
      </c>
      <c r="BG72" s="278" t="n">
        <f aca="false">COUNTIF(A72:AH72,"*$PM*")</f>
        <v>1</v>
      </c>
      <c r="BH72" s="278" t="n">
        <f aca="false">BG72*0.5</f>
        <v>0.5</v>
      </c>
      <c r="BI72" s="278" t="n">
        <f aca="false">COUNTIF(A72:AH72,"*$AM*")</f>
        <v>0</v>
      </c>
      <c r="BJ72" s="278" t="n">
        <f aca="false">BI72*0.5</f>
        <v>0</v>
      </c>
      <c r="BK72" s="278" t="n">
        <f aca="false">COUNTIF(A72:AH72,"*$FC*")</f>
        <v>0</v>
      </c>
      <c r="BL72" s="278" t="n">
        <f aca="false">BK72*1</f>
        <v>0</v>
      </c>
      <c r="BM72" s="278" t="n">
        <f aca="false">COUNTIF($E72:$AG72,BM$4)</f>
        <v>0</v>
      </c>
      <c r="BN72" s="278" t="n">
        <f aca="false">COUNTIF($E72:$AG72,BN$4)</f>
        <v>0</v>
      </c>
      <c r="BO72" s="278" t="n">
        <f aca="false">COUNTIF($D72:$Y72,BO$4)</f>
        <v>0</v>
      </c>
      <c r="BP72" s="280"/>
    </row>
    <row r="73" customFormat="false" ht="19.5" hidden="false" customHeight="true" outlineLevel="0" collapsed="false">
      <c r="A73" s="280"/>
      <c r="B73" s="280" t="s">
        <v>921</v>
      </c>
      <c r="C73" s="317" t="s">
        <v>56</v>
      </c>
      <c r="D73" s="91"/>
      <c r="E73" s="317" t="s">
        <v>55</v>
      </c>
      <c r="F73" s="266" t="s">
        <v>989</v>
      </c>
      <c r="G73" s="280" t="s">
        <v>989</v>
      </c>
      <c r="H73" s="280" t="s">
        <v>989</v>
      </c>
      <c r="I73" s="280"/>
      <c r="J73" s="280" t="s">
        <v>58</v>
      </c>
      <c r="K73" s="280" t="s">
        <v>56</v>
      </c>
      <c r="L73" s="280" t="s">
        <v>58</v>
      </c>
      <c r="M73" s="354" t="s">
        <v>1017</v>
      </c>
      <c r="N73" s="280"/>
      <c r="O73" s="280"/>
      <c r="P73" s="46" t="s">
        <v>65</v>
      </c>
      <c r="Q73" s="266"/>
      <c r="S73" s="317"/>
      <c r="T73" s="317"/>
      <c r="U73" s="299"/>
      <c r="W73" s="283" t="s">
        <v>58</v>
      </c>
      <c r="X73" s="317" t="s">
        <v>261</v>
      </c>
      <c r="Y73" s="91" t="s">
        <v>975</v>
      </c>
      <c r="Z73" s="317" t="s">
        <v>1018</v>
      </c>
      <c r="AA73" s="266"/>
      <c r="AB73" s="280"/>
      <c r="AC73" s="280"/>
      <c r="AD73" s="280" t="s">
        <v>1019</v>
      </c>
      <c r="AE73" s="266"/>
      <c r="AF73" s="317"/>
      <c r="AG73" s="317" t="s">
        <v>841</v>
      </c>
      <c r="AH73" s="272" t="n">
        <f aca="false">COUNTIF($C73:$AF73,AH$4)</f>
        <v>0</v>
      </c>
      <c r="AI73" s="272" t="n">
        <f aca="false">COUNTIF($C73:$AF73,AI$4)</f>
        <v>2</v>
      </c>
      <c r="AJ73" s="272" t="n">
        <f aca="false">COUNTIF($C73:$AF73,AJ$4)</f>
        <v>0</v>
      </c>
      <c r="AK73" s="272" t="n">
        <f aca="false">COUNTIF($C73:$AF73,AK$4)</f>
        <v>0</v>
      </c>
      <c r="AL73" s="272" t="n">
        <f aca="false">COUNTIF($C73:$AF73,AL$4)</f>
        <v>3</v>
      </c>
      <c r="AM73" s="272" t="n">
        <f aca="false">COUNTIF($C73:$AF73,AM$4)</f>
        <v>0</v>
      </c>
      <c r="AN73" s="272" t="n">
        <f aca="false">COUNTIF($C73:$AF73,AN$4)</f>
        <v>1</v>
      </c>
      <c r="AO73" s="272" t="n">
        <f aca="false">COUNTIF($C73:$AF73,AO$4)</f>
        <v>0</v>
      </c>
      <c r="AP73" s="272" t="n">
        <f aca="false">COUNTIF($C73:$AF73,AP$4)</f>
        <v>0</v>
      </c>
      <c r="AQ73" s="279"/>
      <c r="AR73" s="279"/>
      <c r="AS73" s="278" t="n">
        <f aca="false">SUMPRODUCT(--(WEEKDAY(C$3:AG$3,2)&lt;5),--ISNUMBER(MATCH(C73:AG73,{"SB1","SB2"},0)))</f>
        <v>2</v>
      </c>
      <c r="AT73" s="272"/>
      <c r="AU73" s="278" t="n">
        <f aca="false">SUMPRODUCT(--(WEEKDAY(C$3:AG$3,2)=5),--ISNUMBER(MATCH(C73:AG73,{"SB1","SB2"},0)))</f>
        <v>1</v>
      </c>
      <c r="AV73" s="278" t="n">
        <f aca="false">SUMPRODUCT(--(WEEKDAY(C$3:AG$3,2)&gt;5),--ISNUMBER(MATCH(C73:AG73,{"SB1","SB2"},0)))</f>
        <v>0</v>
      </c>
      <c r="AW73" s="272"/>
      <c r="AX73" s="278" t="n">
        <f aca="false">(AS73-AT73)+AU73*1.5+(AV73-AW73)*2+(AO73+AH73+AI73+AJ73+AK73+AN73)*0.5+AQ73-AR73</f>
        <v>5</v>
      </c>
      <c r="AY73" s="278" t="n">
        <f aca="false">AS73+AU73+AV73</f>
        <v>3</v>
      </c>
      <c r="AZ73" s="278" t="n">
        <f aca="false">BC73+BE73+BG73+BI73+BK73</f>
        <v>4</v>
      </c>
      <c r="BA73" s="279" t="n">
        <f aca="false">AX73+BB73</f>
        <v>7.5</v>
      </c>
      <c r="BB73" s="278" t="n">
        <f aca="false">BD73+BF73+BH73+BJ73+BL73</f>
        <v>2.5</v>
      </c>
      <c r="BC73" s="278" t="n">
        <f aca="false">COUNTIF(A73:AH73,"*$BTP*")</f>
        <v>0</v>
      </c>
      <c r="BD73" s="278" t="n">
        <f aca="false">BC73*1.5</f>
        <v>0</v>
      </c>
      <c r="BE73" s="278" t="n">
        <f aca="false">COUNTIF(A73:AH73,"*$M*")</f>
        <v>0</v>
      </c>
      <c r="BF73" s="278" t="n">
        <f aca="false">BE73*1</f>
        <v>0</v>
      </c>
      <c r="BG73" s="278" t="n">
        <f aca="false">COUNTIF(A73:AH73,"*$PM*")</f>
        <v>0</v>
      </c>
      <c r="BH73" s="278" t="n">
        <f aca="false">BG73*0.5</f>
        <v>0</v>
      </c>
      <c r="BI73" s="278" t="n">
        <f aca="false">COUNTIF(A73:AH73,"*$AM*")</f>
        <v>3</v>
      </c>
      <c r="BJ73" s="278" t="n">
        <f aca="false">BI73*0.5</f>
        <v>1.5</v>
      </c>
      <c r="BK73" s="278" t="n">
        <f aca="false">COUNTIF(A73:AH73,"*$FC*")</f>
        <v>1</v>
      </c>
      <c r="BL73" s="278" t="n">
        <f aca="false">BK73*1</f>
        <v>1</v>
      </c>
      <c r="BM73" s="278" t="n">
        <f aca="false">COUNTIF($E73:$AG73,BM$4)</f>
        <v>0</v>
      </c>
      <c r="BN73" s="278" t="n">
        <f aca="false">COUNTIF($E73:$AG73,BN$4)</f>
        <v>0</v>
      </c>
      <c r="BO73" s="278" t="n">
        <f aca="false">COUNTIF($E73:$Y73,BO$4)</f>
        <v>1</v>
      </c>
      <c r="BP73" s="280"/>
    </row>
    <row r="74" customFormat="false" ht="19.5" hidden="false" customHeight="true" outlineLevel="0" collapsed="false">
      <c r="A74" s="280"/>
      <c r="B74" s="280" t="s">
        <v>857</v>
      </c>
      <c r="C74" s="317"/>
      <c r="D74" s="317" t="s">
        <v>93</v>
      </c>
      <c r="E74" s="317"/>
      <c r="F74" s="317"/>
      <c r="G74" s="317"/>
      <c r="H74" s="280"/>
      <c r="I74" s="319" t="s">
        <v>1020</v>
      </c>
      <c r="J74" s="280"/>
      <c r="K74" s="317" t="s">
        <v>65</v>
      </c>
      <c r="L74" s="319"/>
      <c r="M74" s="280"/>
      <c r="N74" s="280"/>
      <c r="O74" s="266" t="s">
        <v>58</v>
      </c>
      <c r="P74" s="280"/>
      <c r="Q74" s="280"/>
      <c r="R74" s="317"/>
      <c r="S74" s="319"/>
      <c r="T74" s="266"/>
      <c r="U74" s="283"/>
      <c r="V74" s="280"/>
      <c r="W74" s="283" t="s">
        <v>56</v>
      </c>
      <c r="X74" s="280"/>
      <c r="Y74" s="317" t="s">
        <v>56</v>
      </c>
      <c r="Z74" s="317"/>
      <c r="AA74" s="91"/>
      <c r="AB74" s="266"/>
      <c r="AC74" s="319" t="s">
        <v>1021</v>
      </c>
      <c r="AD74" s="319" t="s">
        <v>1021</v>
      </c>
      <c r="AE74" s="319" t="s">
        <v>1021</v>
      </c>
      <c r="AF74" s="317"/>
      <c r="AG74" s="317" t="s">
        <v>58</v>
      </c>
      <c r="AH74" s="272" t="n">
        <f aca="false">COUNTIF($C74:$AF74,AH$4)</f>
        <v>0</v>
      </c>
      <c r="AI74" s="272" t="n">
        <f aca="false">COUNTIF($C74:$AF74,AI$4)</f>
        <v>2</v>
      </c>
      <c r="AJ74" s="272" t="n">
        <f aca="false">COUNTIF($C74:$AF74,AJ$4)</f>
        <v>0</v>
      </c>
      <c r="AK74" s="272" t="n">
        <f aca="false">COUNTIF($C74:$AF74,AK$4)</f>
        <v>0</v>
      </c>
      <c r="AL74" s="272" t="n">
        <f aca="false">COUNTIF($C74:$AF74,AL$4)</f>
        <v>1</v>
      </c>
      <c r="AM74" s="272" t="n">
        <f aca="false">COUNTIF($C74:$AF74,AM$4)</f>
        <v>1</v>
      </c>
      <c r="AN74" s="272" t="n">
        <f aca="false">COUNTIF($C74:$AF74,AN$4)</f>
        <v>1</v>
      </c>
      <c r="AO74" s="272" t="n">
        <f aca="false">COUNTIF($C74:$AF74,AO$4)</f>
        <v>0</v>
      </c>
      <c r="AP74" s="272" t="n">
        <f aca="false">COUNTIF($C74:$AF74,AP$4)</f>
        <v>0</v>
      </c>
      <c r="AQ74" s="279"/>
      <c r="AR74" s="279"/>
      <c r="AS74" s="278" t="n">
        <f aca="false">SUMPRODUCT(--(WEEKDAY(C$3:AG$3,2)&lt;5),--ISNUMBER(MATCH(C74:AG74,{"SB1","SB2"},0)))</f>
        <v>2</v>
      </c>
      <c r="AT74" s="272"/>
      <c r="AU74" s="278" t="n">
        <f aca="false">SUMPRODUCT(--(WEEKDAY(C$3:AG$3,2)=5),--ISNUMBER(MATCH(C74:AG74,{"SB1","SB2"},0)))</f>
        <v>1</v>
      </c>
      <c r="AV74" s="278" t="n">
        <f aca="false">SUMPRODUCT(--(WEEKDAY(C$3:AG$3,2)&gt;5),--ISNUMBER(MATCH(C74:AG74,{"SB1","SB2"},0)))</f>
        <v>0</v>
      </c>
      <c r="AW74" s="272"/>
      <c r="AX74" s="278" t="n">
        <f aca="false">(AS74-AT74)+AU74*1.5+(AV74-AW74)*2+(AO74+AH74+AI74+AJ74+AK74+AN74)*0.5+AQ74-AR74</f>
        <v>5</v>
      </c>
      <c r="AY74" s="278" t="n">
        <f aca="false">AS74+AU74+AV74</f>
        <v>3</v>
      </c>
      <c r="AZ74" s="278" t="n">
        <f aca="false">BC74+BE74+BG74+BI74+BK74</f>
        <v>4</v>
      </c>
      <c r="BA74" s="279" t="n">
        <f aca="false">AX74+BB74</f>
        <v>9</v>
      </c>
      <c r="BB74" s="278" t="n">
        <f aca="false">BD74+BF74+BH74+BJ74+BL74</f>
        <v>4</v>
      </c>
      <c r="BC74" s="278" t="n">
        <f aca="false">COUNTIF(A74:AH74,"*$BTP*")</f>
        <v>0</v>
      </c>
      <c r="BD74" s="278" t="n">
        <f aca="false">BC74*1.5</f>
        <v>0</v>
      </c>
      <c r="BE74" s="278" t="n">
        <f aca="false">COUNTIF(A74:AH74,"*$M*")</f>
        <v>1</v>
      </c>
      <c r="BF74" s="278" t="n">
        <f aca="false">BE74*1</f>
        <v>1</v>
      </c>
      <c r="BG74" s="278" t="n">
        <f aca="false">COUNTIF(A74:AH74,"*$PM*")</f>
        <v>0</v>
      </c>
      <c r="BH74" s="278" t="n">
        <f aca="false">BG74*0.5</f>
        <v>0</v>
      </c>
      <c r="BI74" s="278" t="n">
        <f aca="false">COUNTIF(A74:AH74,"*$AM*")</f>
        <v>0</v>
      </c>
      <c r="BJ74" s="278" t="n">
        <f aca="false">BI74*0.5</f>
        <v>0</v>
      </c>
      <c r="BK74" s="278" t="n">
        <f aca="false">COUNTIF(A74:AH74,"*$FC*")</f>
        <v>3</v>
      </c>
      <c r="BL74" s="278" t="n">
        <f aca="false">BK74*1</f>
        <v>3</v>
      </c>
      <c r="BM74" s="278" t="n">
        <f aca="false">COUNTIF($E74:$AG74,BM$4)</f>
        <v>0</v>
      </c>
      <c r="BN74" s="278" t="n">
        <f aca="false">COUNTIF($E74:$AG74,BN$4)</f>
        <v>0</v>
      </c>
      <c r="BO74" s="278" t="n">
        <f aca="false">COUNTIF($D74:$Y74,BO$4)</f>
        <v>0</v>
      </c>
      <c r="BP74" s="280"/>
    </row>
    <row r="75" customFormat="false" ht="31.5" hidden="false" customHeight="true" outlineLevel="0" collapsed="false">
      <c r="A75" s="272"/>
      <c r="B75" s="282" t="s">
        <v>987</v>
      </c>
      <c r="C75" s="266" t="s">
        <v>995</v>
      </c>
      <c r="D75" s="266" t="s">
        <v>995</v>
      </c>
      <c r="E75" s="266" t="s">
        <v>995</v>
      </c>
      <c r="F75" s="266" t="s">
        <v>995</v>
      </c>
      <c r="G75" s="266" t="s">
        <v>995</v>
      </c>
      <c r="H75" s="266" t="s">
        <v>995</v>
      </c>
      <c r="I75" s="266" t="s">
        <v>995</v>
      </c>
      <c r="J75" s="266" t="s">
        <v>995</v>
      </c>
      <c r="K75" s="266" t="s">
        <v>995</v>
      </c>
      <c r="L75" s="266" t="s">
        <v>995</v>
      </c>
      <c r="M75" s="266" t="s">
        <v>995</v>
      </c>
      <c r="N75" s="266" t="s">
        <v>995</v>
      </c>
      <c r="O75" s="266"/>
      <c r="P75" s="266"/>
      <c r="Q75" s="280" t="s">
        <v>65</v>
      </c>
      <c r="R75" s="266"/>
      <c r="S75" s="266"/>
      <c r="T75" s="266"/>
      <c r="U75" s="299" t="s">
        <v>58</v>
      </c>
      <c r="V75" s="266"/>
      <c r="W75" s="266"/>
      <c r="X75" s="266"/>
      <c r="Z75" s="266" t="s">
        <v>58</v>
      </c>
      <c r="AA75" s="266"/>
      <c r="AB75" s="266" t="s">
        <v>58</v>
      </c>
      <c r="AC75" s="266"/>
      <c r="AD75" s="266" t="s">
        <v>261</v>
      </c>
      <c r="AE75" s="266"/>
      <c r="AF75" s="317" t="s">
        <v>93</v>
      </c>
      <c r="AG75" s="266"/>
      <c r="AH75" s="272" t="n">
        <f aca="false">COUNTIF($C75:$AF75,AH$4)</f>
        <v>0</v>
      </c>
      <c r="AI75" s="272" t="n">
        <f aca="false">COUNTIF($C75:$AF75,AI$4)</f>
        <v>0</v>
      </c>
      <c r="AJ75" s="272" t="n">
        <f aca="false">COUNTIF($C75:$AF75,AJ$4)</f>
        <v>0</v>
      </c>
      <c r="AK75" s="272" t="n">
        <f aca="false">COUNTIF($C75:$AF75,AK$4)</f>
        <v>0</v>
      </c>
      <c r="AL75" s="272" t="n">
        <f aca="false">COUNTIF($C75:$AF75,AL$4)</f>
        <v>3</v>
      </c>
      <c r="AM75" s="272" t="n">
        <f aca="false">COUNTIF($C75:$AF75,AM$4)</f>
        <v>1</v>
      </c>
      <c r="AN75" s="272" t="n">
        <f aca="false">COUNTIF($C75:$AF75,AN$4)</f>
        <v>1</v>
      </c>
      <c r="AO75" s="272" t="n">
        <f aca="false">COUNTIF($C75:$AF75,AO$4)</f>
        <v>0</v>
      </c>
      <c r="AP75" s="272" t="n">
        <f aca="false">COUNTIF($C75:$AF75,AP$4)</f>
        <v>0</v>
      </c>
      <c r="AQ75" s="279"/>
      <c r="AR75" s="279"/>
      <c r="AS75" s="278" t="n">
        <f aca="false">SUMPRODUCT(--(WEEKDAY(C$3:AG$3,2)&lt;5),--ISNUMBER(MATCH(C75:AG75,{"SB1","SB2"},0)))</f>
        <v>1</v>
      </c>
      <c r="AT75" s="272"/>
      <c r="AU75" s="278" t="n">
        <f aca="false">SUMPRODUCT(--(WEEKDAY(C$3:AG$3,2)=5),--ISNUMBER(MATCH(C75:AG75,{"SB1","SB2"},0)))</f>
        <v>1</v>
      </c>
      <c r="AV75" s="278" t="n">
        <f aca="false">SUMPRODUCT(--(WEEKDAY(C$3:AG$3,2)&gt;5),--ISNUMBER(MATCH(C75:AG75,{"SB1","SB2"},0)))</f>
        <v>2</v>
      </c>
      <c r="AW75" s="272"/>
      <c r="AX75" s="278" t="n">
        <f aca="false">(AS75-AT75)+AU75*1.5+(AV75-AW75)*2+(AO75+AH75+AI75+AJ75+AK75+AN75)*0.5+AQ75-AR75</f>
        <v>7</v>
      </c>
      <c r="AY75" s="278" t="n">
        <f aca="false">AS75+AU75+AV75</f>
        <v>4</v>
      </c>
      <c r="AZ75" s="278" t="n">
        <f aca="false">BC75+BE75+BG75+BI75+BK75</f>
        <v>0</v>
      </c>
      <c r="BA75" s="279" t="n">
        <f aca="false">AX75+BB75</f>
        <v>7</v>
      </c>
      <c r="BB75" s="278" t="n">
        <f aca="false">BD75+BF75+BH75+BJ75+BL75</f>
        <v>0</v>
      </c>
      <c r="BC75" s="278" t="n">
        <f aca="false">COUNTIF(A75:AH75,"*$BTP*")</f>
        <v>0</v>
      </c>
      <c r="BD75" s="278" t="n">
        <f aca="false">BC75*1.5</f>
        <v>0</v>
      </c>
      <c r="BE75" s="278" t="n">
        <f aca="false">COUNTIF(A75:AH75,"*$M*")</f>
        <v>0</v>
      </c>
      <c r="BF75" s="278" t="n">
        <f aca="false">BE75*1</f>
        <v>0</v>
      </c>
      <c r="BG75" s="278" t="n">
        <f aca="false">COUNTIF(A75:AH75,"*$PM*")</f>
        <v>0</v>
      </c>
      <c r="BH75" s="278" t="n">
        <f aca="false">BG75*0.5</f>
        <v>0</v>
      </c>
      <c r="BI75" s="278" t="n">
        <f aca="false">COUNTIF(A75:AH75,"*$AM*")</f>
        <v>0</v>
      </c>
      <c r="BJ75" s="278" t="n">
        <f aca="false">BI75*0.5</f>
        <v>0</v>
      </c>
      <c r="BK75" s="278" t="n">
        <f aca="false">COUNTIF(A75:AH75,"*$FC*")</f>
        <v>0</v>
      </c>
      <c r="BL75" s="278" t="n">
        <f aca="false">BK75*1</f>
        <v>0</v>
      </c>
      <c r="BM75" s="278" t="n">
        <f aca="false">COUNTIF($D75:$Y75,BM$4)</f>
        <v>0</v>
      </c>
      <c r="BN75" s="278" t="n">
        <f aca="false">COUNTIF($D75:$Y75,BN$4)</f>
        <v>0</v>
      </c>
      <c r="BO75" s="278" t="n">
        <f aca="false">COUNTIF($D75:$Y75,BO$4)</f>
        <v>0</v>
      </c>
      <c r="BP75" s="272"/>
    </row>
    <row r="76" customFormat="false" ht="31.5" hidden="false" customHeight="true" outlineLevel="0" collapsed="false">
      <c r="A76" s="272"/>
      <c r="B76" s="282" t="s">
        <v>988</v>
      </c>
      <c r="C76" s="266" t="s">
        <v>409</v>
      </c>
      <c r="D76" s="266" t="s">
        <v>409</v>
      </c>
      <c r="E76" s="266" t="s">
        <v>409</v>
      </c>
      <c r="F76" s="266" t="s">
        <v>409</v>
      </c>
      <c r="G76" s="266" t="s">
        <v>409</v>
      </c>
      <c r="H76" s="266" t="s">
        <v>409</v>
      </c>
      <c r="I76" s="266" t="s">
        <v>409</v>
      </c>
      <c r="J76" s="266" t="s">
        <v>409</v>
      </c>
      <c r="K76" s="266" t="s">
        <v>409</v>
      </c>
      <c r="L76" s="266" t="s">
        <v>409</v>
      </c>
      <c r="M76" s="266" t="s">
        <v>409</v>
      </c>
      <c r="N76" s="266" t="s">
        <v>409</v>
      </c>
      <c r="O76" s="266" t="s">
        <v>409</v>
      </c>
      <c r="P76" s="266" t="s">
        <v>409</v>
      </c>
      <c r="Q76" s="266" t="s">
        <v>409</v>
      </c>
      <c r="R76" s="266" t="s">
        <v>409</v>
      </c>
      <c r="S76" s="266" t="s">
        <v>409</v>
      </c>
      <c r="T76" s="266" t="s">
        <v>409</v>
      </c>
      <c r="U76" s="266" t="s">
        <v>409</v>
      </c>
      <c r="V76" s="266" t="s">
        <v>409</v>
      </c>
      <c r="W76" s="266" t="s">
        <v>409</v>
      </c>
      <c r="X76" s="266" t="s">
        <v>409</v>
      </c>
      <c r="Y76" s="266" t="s">
        <v>409</v>
      </c>
      <c r="Z76" s="266" t="s">
        <v>409</v>
      </c>
      <c r="AA76" s="266" t="s">
        <v>409</v>
      </c>
      <c r="AB76" s="266" t="s">
        <v>409</v>
      </c>
      <c r="AC76" s="266" t="s">
        <v>409</v>
      </c>
      <c r="AD76" s="266" t="s">
        <v>409</v>
      </c>
      <c r="AE76" s="266" t="s">
        <v>409</v>
      </c>
      <c r="AF76" s="266" t="s">
        <v>409</v>
      </c>
      <c r="AG76" s="266" t="s">
        <v>409</v>
      </c>
      <c r="AH76" s="272" t="n">
        <f aca="false">COUNTIF($C76:$AF76,AH$4)</f>
        <v>0</v>
      </c>
      <c r="AI76" s="272" t="n">
        <f aca="false">COUNTIF($C76:$AF76,AI$4)</f>
        <v>0</v>
      </c>
      <c r="AJ76" s="272" t="n">
        <f aca="false">COUNTIF($C76:$AF76,AJ$4)</f>
        <v>0</v>
      </c>
      <c r="AK76" s="272" t="n">
        <f aca="false">COUNTIF($C76:$AF76,AK$4)</f>
        <v>0</v>
      </c>
      <c r="AL76" s="272" t="n">
        <f aca="false">COUNTIF($C76:$AF76,AL$4)</f>
        <v>0</v>
      </c>
      <c r="AM76" s="272" t="n">
        <f aca="false">COUNTIF($C76:$AF76,AM$4)</f>
        <v>0</v>
      </c>
      <c r="AN76" s="272" t="n">
        <f aca="false">COUNTIF($C76:$AF76,AN$4)</f>
        <v>0</v>
      </c>
      <c r="AO76" s="272" t="n">
        <f aca="false">COUNTIF($C76:$AF76,AO$4)</f>
        <v>0</v>
      </c>
      <c r="AP76" s="272" t="n">
        <f aca="false">COUNTIF($C76:$AF76,AP$4)</f>
        <v>0</v>
      </c>
      <c r="AQ76" s="279"/>
      <c r="AR76" s="279"/>
      <c r="AS76" s="278" t="n">
        <f aca="false">SUMPRODUCT(--(WEEKDAY(C$3:AG$3,2)&lt;5),--ISNUMBER(MATCH(C76:AG76,{"SB1","SB2"},0)))</f>
        <v>0</v>
      </c>
      <c r="AT76" s="272"/>
      <c r="AU76" s="278" t="n">
        <f aca="false">SUMPRODUCT(--(WEEKDAY(C$3:AG$3,2)=5),--ISNUMBER(MATCH(C76:AG76,{"SB1","SB2"},0)))</f>
        <v>0</v>
      </c>
      <c r="AV76" s="278" t="n">
        <f aca="false">SUMPRODUCT(--(WEEKDAY(C$3:AG$3,2)&gt;5),--ISNUMBER(MATCH(C76:AG76,{"SB1","SB2"},0)))</f>
        <v>0</v>
      </c>
      <c r="AW76" s="272"/>
      <c r="AX76" s="278" t="n">
        <f aca="false">(AS76-AT76)+AU76*1.5+(AV76-AW76)*2+(AO76+AH76+AI76+AJ76+AK76+AN76)*0.5+AQ76-AR76</f>
        <v>0</v>
      </c>
      <c r="AY76" s="278" t="n">
        <f aca="false">AS76+AU76+AV76</f>
        <v>0</v>
      </c>
      <c r="AZ76" s="278" t="n">
        <f aca="false">BC76+BE76+BG76+BI76+BK76</f>
        <v>0</v>
      </c>
      <c r="BA76" s="279" t="n">
        <f aca="false">AX76+BB76</f>
        <v>0</v>
      </c>
      <c r="BB76" s="278" t="n">
        <f aca="false">BD76+BF76+BH76+BJ76+BL76</f>
        <v>0</v>
      </c>
      <c r="BC76" s="278" t="n">
        <f aca="false">COUNTIF(A76:AH76,"*$BTP*")</f>
        <v>0</v>
      </c>
      <c r="BD76" s="278" t="n">
        <f aca="false">BC76*1.5</f>
        <v>0</v>
      </c>
      <c r="BE76" s="278" t="n">
        <f aca="false">COUNTIF(A76:AH76,"*$M*")</f>
        <v>0</v>
      </c>
      <c r="BF76" s="278" t="n">
        <f aca="false">BE76*1</f>
        <v>0</v>
      </c>
      <c r="BG76" s="278" t="n">
        <f aca="false">COUNTIF(A76:AH76,"*$PM*")</f>
        <v>0</v>
      </c>
      <c r="BH76" s="278" t="n">
        <f aca="false">BG76*0.5</f>
        <v>0</v>
      </c>
      <c r="BI76" s="278" t="n">
        <f aca="false">COUNTIF(A76:AH76,"*$AM*")</f>
        <v>0</v>
      </c>
      <c r="BJ76" s="278" t="n">
        <f aca="false">BI76*0.5</f>
        <v>0</v>
      </c>
      <c r="BK76" s="278" t="n">
        <f aca="false">COUNTIF(A76:AH76,"*$FC*")</f>
        <v>0</v>
      </c>
      <c r="BL76" s="278" t="n">
        <f aca="false">BK76*1</f>
        <v>0</v>
      </c>
      <c r="BM76" s="278" t="n">
        <f aca="false">COUNTIF($D76:$Y76,BM$4)</f>
        <v>0</v>
      </c>
      <c r="BN76" s="278" t="n">
        <f aca="false">COUNTIF($D76:$Y76,BN$4)</f>
        <v>0</v>
      </c>
      <c r="BO76" s="278" t="n">
        <f aca="false">COUNTIF($D76:$Y76,BO$4)</f>
        <v>0</v>
      </c>
      <c r="BP76" s="272"/>
    </row>
    <row r="77" customFormat="false" ht="19.5" hidden="false" customHeight="true" outlineLevel="0" collapsed="false">
      <c r="A77" s="272"/>
      <c r="B77" s="301" t="s">
        <v>1022</v>
      </c>
      <c r="C77" s="355"/>
      <c r="D77" s="91"/>
      <c r="E77" s="343"/>
      <c r="F77" s="343"/>
      <c r="G77" s="343"/>
      <c r="H77" s="343"/>
      <c r="I77" s="91"/>
      <c r="J77" s="343"/>
      <c r="K77" s="91"/>
      <c r="L77" s="91"/>
      <c r="M77" s="266"/>
      <c r="N77" s="343"/>
      <c r="O77" s="91"/>
      <c r="P77" s="91"/>
      <c r="Q77" s="91"/>
      <c r="R77" s="91"/>
      <c r="S77" s="91"/>
      <c r="T77" s="91"/>
      <c r="U77" s="356"/>
      <c r="V77" s="357"/>
      <c r="W77" s="91"/>
      <c r="X77" s="343" t="s">
        <v>1023</v>
      </c>
      <c r="Y77" s="91"/>
      <c r="Z77" s="91"/>
      <c r="AA77" s="91"/>
      <c r="AB77" s="91"/>
      <c r="AC77" s="91"/>
      <c r="AD77" s="91"/>
      <c r="AE77" s="91"/>
      <c r="AF77" s="91"/>
      <c r="AG77" s="91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8"/>
      <c r="AT77" s="272"/>
      <c r="AU77" s="272"/>
      <c r="AV77" s="278"/>
      <c r="AW77" s="272"/>
      <c r="AX77" s="272"/>
      <c r="AY77" s="278"/>
      <c r="AZ77" s="278"/>
      <c r="BA77" s="278"/>
      <c r="BB77" s="278"/>
      <c r="BC77" s="278"/>
      <c r="BD77" s="278"/>
      <c r="BE77" s="278"/>
      <c r="BF77" s="278"/>
      <c r="BG77" s="278"/>
      <c r="BH77" s="278"/>
      <c r="BI77" s="278"/>
      <c r="BJ77" s="278"/>
      <c r="BK77" s="278"/>
      <c r="BL77" s="278"/>
      <c r="BM77" s="272"/>
      <c r="BN77" s="272"/>
      <c r="BO77" s="272"/>
      <c r="BP77" s="272"/>
    </row>
    <row r="78" customFormat="false" ht="19.5" hidden="false" customHeight="true" outlineLevel="0" collapsed="false">
      <c r="A78" s="272"/>
      <c r="B78" s="301" t="s">
        <v>667</v>
      </c>
      <c r="C78" s="296"/>
      <c r="D78" s="321"/>
      <c r="E78" s="321"/>
      <c r="F78" s="321"/>
      <c r="G78" s="321"/>
      <c r="H78" s="321"/>
      <c r="I78" s="321"/>
      <c r="J78" s="321"/>
      <c r="K78" s="321"/>
      <c r="L78" s="321"/>
      <c r="M78" s="266"/>
      <c r="N78" s="321"/>
      <c r="O78" s="321"/>
      <c r="P78" s="321"/>
      <c r="Q78" s="266"/>
      <c r="R78" s="266"/>
      <c r="S78" s="321"/>
      <c r="T78" s="266"/>
      <c r="U78" s="297" t="s">
        <v>700</v>
      </c>
      <c r="V78" s="322"/>
      <c r="W78" s="321"/>
      <c r="X78" s="321"/>
      <c r="Y78" s="321"/>
      <c r="Z78" s="321"/>
      <c r="AA78" s="321"/>
      <c r="AB78" s="321"/>
      <c r="AC78" s="321"/>
      <c r="AD78" s="321"/>
      <c r="AE78" s="321"/>
      <c r="AF78" s="321"/>
      <c r="AG78" s="321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8"/>
      <c r="AT78" s="272"/>
      <c r="AU78" s="272"/>
      <c r="AV78" s="278"/>
      <c r="AW78" s="272"/>
      <c r="AX78" s="272"/>
      <c r="AY78" s="278"/>
      <c r="AZ78" s="278"/>
      <c r="BA78" s="278"/>
      <c r="BB78" s="278"/>
      <c r="BC78" s="278"/>
      <c r="BD78" s="278"/>
      <c r="BE78" s="278"/>
      <c r="BF78" s="278"/>
      <c r="BG78" s="278"/>
      <c r="BH78" s="278"/>
      <c r="BI78" s="278"/>
      <c r="BJ78" s="278"/>
      <c r="BK78" s="278"/>
      <c r="BL78" s="278"/>
      <c r="BM78" s="272"/>
      <c r="BN78" s="272"/>
      <c r="BO78" s="272"/>
      <c r="BP78" s="272"/>
    </row>
    <row r="79" customFormat="false" ht="19.5" hidden="false" customHeight="true" outlineLevel="0" collapsed="false">
      <c r="A79" s="272"/>
      <c r="B79" s="301" t="s">
        <v>668</v>
      </c>
      <c r="C79" s="296"/>
      <c r="D79" s="321"/>
      <c r="E79" s="321"/>
      <c r="F79" s="321"/>
      <c r="G79" s="321"/>
      <c r="H79" s="321"/>
      <c r="I79" s="321"/>
      <c r="J79" s="321"/>
      <c r="K79" s="321"/>
      <c r="L79" s="321"/>
      <c r="M79" s="266"/>
      <c r="N79" s="321"/>
      <c r="O79" s="321"/>
      <c r="P79" s="321"/>
      <c r="Q79" s="266"/>
      <c r="R79" s="266"/>
      <c r="S79" s="321"/>
      <c r="T79" s="266"/>
      <c r="U79" s="297"/>
      <c r="V79" s="322"/>
      <c r="W79" s="321"/>
      <c r="X79" s="321"/>
      <c r="Y79" s="321"/>
      <c r="Z79" s="321"/>
      <c r="AA79" s="321"/>
      <c r="AB79" s="321"/>
      <c r="AC79" s="321"/>
      <c r="AD79" s="321"/>
      <c r="AE79" s="321"/>
      <c r="AF79" s="321"/>
      <c r="AG79" s="321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8"/>
      <c r="AT79" s="272"/>
      <c r="AU79" s="272"/>
      <c r="AV79" s="278"/>
      <c r="AW79" s="272"/>
      <c r="AX79" s="272"/>
      <c r="AY79" s="278"/>
      <c r="AZ79" s="278"/>
      <c r="BA79" s="278"/>
      <c r="BB79" s="278"/>
      <c r="BC79" s="278"/>
      <c r="BD79" s="278"/>
      <c r="BE79" s="278"/>
      <c r="BF79" s="278"/>
      <c r="BG79" s="278"/>
      <c r="BH79" s="278"/>
      <c r="BI79" s="278"/>
      <c r="BJ79" s="278"/>
      <c r="BK79" s="278"/>
      <c r="BL79" s="278"/>
      <c r="BM79" s="272"/>
      <c r="BN79" s="272"/>
      <c r="BO79" s="272"/>
      <c r="BP79" s="272"/>
    </row>
    <row r="80" customFormat="false" ht="19.5" hidden="false" customHeight="true" outlineLevel="0" collapsed="false">
      <c r="A80" s="272"/>
      <c r="B80" s="293"/>
      <c r="C80" s="305"/>
      <c r="D80" s="305"/>
      <c r="E80" s="305"/>
      <c r="F80" s="305"/>
      <c r="G80" s="305"/>
      <c r="H80" s="305"/>
      <c r="I80" s="305"/>
      <c r="J80" s="305"/>
      <c r="K80" s="305"/>
      <c r="L80" s="305"/>
      <c r="M80" s="305"/>
      <c r="N80" s="305"/>
      <c r="O80" s="305"/>
      <c r="P80" s="305"/>
      <c r="Q80" s="305"/>
      <c r="R80" s="305"/>
      <c r="S80" s="305"/>
      <c r="T80" s="305"/>
      <c r="U80" s="305"/>
      <c r="V80" s="305"/>
      <c r="W80" s="305"/>
      <c r="X80" s="305"/>
      <c r="Y80" s="305"/>
      <c r="Z80" s="305"/>
      <c r="AA80" s="305"/>
      <c r="AB80" s="305"/>
      <c r="AC80" s="305"/>
      <c r="AD80" s="305"/>
      <c r="AE80" s="305"/>
      <c r="AF80" s="305"/>
      <c r="AG80" s="305"/>
      <c r="AH80" s="293"/>
      <c r="AI80" s="293"/>
      <c r="AJ80" s="293"/>
      <c r="AK80" s="293"/>
      <c r="AL80" s="293"/>
      <c r="AM80" s="293"/>
      <c r="AN80" s="293"/>
      <c r="AO80" s="293"/>
      <c r="AP80" s="293"/>
      <c r="AQ80" s="293"/>
      <c r="AR80" s="293"/>
      <c r="AS80" s="293"/>
      <c r="AT80" s="293"/>
      <c r="AU80" s="293"/>
      <c r="AV80" s="293" t="n">
        <f aca="false">SUMPRODUCT(--WEEKDAY(C$3:AF$3,2)&gt;5,--((C80:AF80="DM"))+(C80:AF80="CS1")+((C80:AF80="CS2"))+(C80:AF80="SB1")+(C80:AF80="AE")+(C80:AF80="EM"))</f>
        <v>0</v>
      </c>
      <c r="AW80" s="293"/>
      <c r="AX80" s="293" t="n">
        <f aca="false">(AS80-AT80)/2+(AV80-AW80)</f>
        <v>0</v>
      </c>
      <c r="AY80" s="293"/>
      <c r="AZ80" s="293"/>
      <c r="BA80" s="293"/>
      <c r="BB80" s="293"/>
      <c r="BC80" s="293"/>
      <c r="BD80" s="293"/>
      <c r="BE80" s="293"/>
      <c r="BF80" s="293"/>
      <c r="BG80" s="293"/>
      <c r="BH80" s="293"/>
      <c r="BI80" s="293"/>
      <c r="BJ80" s="293"/>
      <c r="BK80" s="293"/>
      <c r="BL80" s="293"/>
      <c r="BM80" s="293"/>
      <c r="BN80" s="293"/>
      <c r="BO80" s="293"/>
      <c r="BP80" s="293"/>
    </row>
    <row r="81" customFormat="false" ht="19.5" hidden="false" customHeight="true" outlineLevel="0" collapsed="false">
      <c r="A81" s="272"/>
      <c r="B81" s="306" t="s">
        <v>57</v>
      </c>
      <c r="C81" s="307" t="str">
        <f aca="false">INDEX($B$57:$B$74,MATCH($B81,C$57:C$76,0))</f>
        <v>CPL JOVAN CHUA RUI CHENG</v>
      </c>
      <c r="D81" s="307" t="str">
        <f aca="false">INDEX($B$57:$B$74,MATCH($B81,D$57:D$76,0))</f>
        <v>LCP KOH KAH SENG</v>
      </c>
      <c r="E81" s="307" t="str">
        <f aca="false">INDEX($B$57:$B$74,MATCH($B81,E$57:E$76,0))</f>
        <v>CPL TAN TZE JUE JULIAN</v>
      </c>
      <c r="F81" s="307" t="e">
        <f aca="false">INDEX($B$57:$B$74,MATCH($B81,F$57:F$76,0))</f>
        <v>#N/A</v>
      </c>
      <c r="G81" s="307" t="e">
        <f aca="false">INDEX($B$57:$B$74,MATCH($B81,G$57:G$76,0))</f>
        <v>#N/A</v>
      </c>
      <c r="H81" s="307" t="str">
        <f aca="false">INDEX($B$57:$B$74,MATCH($B81,H$57:H$76,0))</f>
        <v>CFC KOH KAI JIE, ETHAN</v>
      </c>
      <c r="I81" s="307" t="str">
        <f aca="false">INDEX($B$57:$B$74,MATCH($B81,I$57:I$76,0))</f>
        <v>CPL TAN TZE JUE JULIAN</v>
      </c>
      <c r="J81" s="307" t="str">
        <f aca="false">INDEX($B$57:$B$74,MATCH($B81,J$57:J$76,0))</f>
        <v>CPL TAN TZE JUE JULIAN</v>
      </c>
      <c r="K81" s="307" t="str">
        <f aca="false">INDEX($B$57:$B$74,MATCH($B81,K$57:K$76,0))</f>
        <v>3SG HO JI XUAN ISAAC</v>
      </c>
      <c r="L81" s="307" t="str">
        <f aca="false">INDEX($B$57:$B$74,MATCH($B81,L$57:L$76,0))</f>
        <v>CFC MUHAMMAD AMSYAR SUFI BIN SUNARDI</v>
      </c>
      <c r="M81" s="307" t="e">
        <f aca="false">INDEX($B$57:$B$74,MATCH($B81,M$57:M$76,0))</f>
        <v>#N/A</v>
      </c>
      <c r="N81" s="307" t="e">
        <f aca="false">INDEX($B$57:$B$74,MATCH($B81,N$57:N$76,0))</f>
        <v>#N/A</v>
      </c>
      <c r="O81" s="307" t="str">
        <f aca="false">INDEX($B$57:$B$74,MATCH($B81,O$57:O$76,0))</f>
        <v>3SG THOTA DEV ADITYA</v>
      </c>
      <c r="P81" s="307" t="str">
        <f aca="false">INDEX($B$57:$B$74,MATCH($B81,P$57:P$76,0))</f>
        <v>3SG HO JI XUAN ISAAC</v>
      </c>
      <c r="Q81" s="307" t="str">
        <f aca="false">INDEX($B$57:$B$74,MATCH($B81,Q$57:Q$76,0))</f>
        <v>3SG THOTA DEV ADITYA</v>
      </c>
      <c r="R81" s="307" t="str">
        <f aca="false">INDEX($B$57:$B$74,MATCH($B81,R$57:R$76,0))</f>
        <v>CPL TAN TZE JUE JULIAN</v>
      </c>
      <c r="S81" s="307" t="str">
        <f aca="false">INDEX($B$57:$B$74,MATCH($B81,S$57:S$76,0))</f>
        <v>PTE LUTH HARITH AFIF BIN NORFIFI</v>
      </c>
      <c r="T81" s="307" t="e">
        <f aca="false">INDEX($B$57:$B$74,MATCH($B81,T$57:T$76,0))</f>
        <v>#N/A</v>
      </c>
      <c r="U81" s="307" t="e">
        <f aca="false">INDEX($B$57:$B$74,MATCH($B81,U$57:U$76,0))</f>
        <v>#N/A</v>
      </c>
      <c r="V81" s="307" t="str">
        <f aca="false">INDEX($B$57:$B$74,MATCH($B81,V$57:V$76,0))</f>
        <v>PTE LUTH HARITH AFIF BIN NORFIFI</v>
      </c>
      <c r="W81" s="307" t="str">
        <f aca="false">INDEX($B$57:$B$74,MATCH($B81,W$57:W$76,0))</f>
        <v>3SG HO JI XUAN ISAAC</v>
      </c>
      <c r="X81" s="307" t="str">
        <f aca="false">INDEX($B$57:$B$74,MATCH($B81,X$57:X$76,0))</f>
        <v>PTE LUTH HARITH AFIF BIN NORFIFI</v>
      </c>
      <c r="Y81" s="307" t="str">
        <f aca="false">INDEX($B$57:$B$74,MATCH($B81,Y$57:Y$76,0))</f>
        <v>PTE LUTH HARITH AFIF BIN NORFIFI</v>
      </c>
      <c r="Z81" s="307" t="str">
        <f aca="false">INDEX($B$57:$B$74,MATCH($B81,Z$57:Z$76,0))</f>
        <v>CFC BRENDON TOH YI CHEN</v>
      </c>
      <c r="AA81" s="307" t="e">
        <f aca="false">INDEX($B$57:$B$74,MATCH($B81,AA$57:AA$76,0))</f>
        <v>#N/A</v>
      </c>
      <c r="AB81" s="307" t="e">
        <f aca="false">INDEX($B$57:$B$74,MATCH($B81,AB$57:AB$76,0))</f>
        <v>#N/A</v>
      </c>
      <c r="AC81" s="307" t="str">
        <f aca="false">INDEX($B$57:$B$74,MATCH($B81,AC$57:AC$76,0))</f>
        <v>LCP LIM CHU FENG</v>
      </c>
      <c r="AD81" s="307" t="str">
        <f aca="false">INDEX($B$57:$B$74,MATCH($B81,AD$58:AD$76,0))</f>
        <v>CPL TAN TZE JUE JULIAN</v>
      </c>
      <c r="AE81" s="307" t="str">
        <f aca="false">INDEX($B$57:$B$74,MATCH($B81,AE$57:AE$76,0))</f>
        <v>LCP KOH KAH SENG</v>
      </c>
      <c r="AF81" s="307" t="str">
        <f aca="false">INDEX($B$57:$B$74,MATCH($B81,AF$57:AF$76,0))</f>
        <v>CFC KOH KAI JIE, ETHAN</v>
      </c>
      <c r="AG81" s="307" t="str">
        <f aca="false">INDEX($B$57:$B$74,MATCH($B81,AG$57:AG$76,0))</f>
        <v>PTE LUTH HARITH AFIF BIN NORFIFI</v>
      </c>
      <c r="AH81" s="272"/>
      <c r="AI81" s="272"/>
      <c r="AJ81" s="272"/>
      <c r="AK81" s="272"/>
      <c r="AL81" s="278"/>
      <c r="AM81" s="278"/>
      <c r="AN81" s="278"/>
      <c r="AO81" s="278"/>
      <c r="AP81" s="278"/>
      <c r="AQ81" s="278"/>
      <c r="AR81" s="278"/>
      <c r="AS81" s="278"/>
      <c r="AT81" s="278"/>
      <c r="AU81" s="278"/>
      <c r="AV81" s="278"/>
      <c r="AW81" s="278"/>
      <c r="AX81" s="278"/>
      <c r="AY81" s="278"/>
      <c r="AZ81" s="278"/>
      <c r="BA81" s="278"/>
      <c r="BB81" s="278"/>
      <c r="BC81" s="278"/>
      <c r="BD81" s="278"/>
      <c r="BE81" s="278"/>
      <c r="BF81" s="278"/>
      <c r="BG81" s="278"/>
      <c r="BH81" s="278"/>
      <c r="BI81" s="278"/>
      <c r="BJ81" s="278"/>
      <c r="BK81" s="278"/>
      <c r="BL81" s="278"/>
      <c r="BM81" s="278"/>
      <c r="BN81" s="278"/>
      <c r="BO81" s="278"/>
      <c r="BP81" s="278"/>
    </row>
    <row r="82" customFormat="false" ht="19.5" hidden="false" customHeight="true" outlineLevel="0" collapsed="false">
      <c r="A82" s="272"/>
      <c r="B82" s="308" t="s">
        <v>56</v>
      </c>
      <c r="C82" s="307" t="str">
        <f aca="false">INDEX($B$57:$B$74,MATCH($B82,C$57:C$76,0))</f>
        <v>LCP DAANYAAL ABDUL AZEEZ JANJUA</v>
      </c>
      <c r="D82" s="307" t="str">
        <f aca="false">INDEX($B$57:$B$74,MATCH($B82,D$57:D$76,0))</f>
        <v>CPL TAN TZE JUE JULIAN</v>
      </c>
      <c r="E82" s="307" t="str">
        <f aca="false">INDEX($B$57:$B$74,MATCH($B82,E$57:E$76,0))</f>
        <v>LCP KOH KAH SENG</v>
      </c>
      <c r="F82" s="307" t="e">
        <f aca="false">INDEX($B$57:$B$74,MATCH($B82,F$57:F$76,0))</f>
        <v>#N/A</v>
      </c>
      <c r="G82" s="307" t="e">
        <f aca="false">INDEX($B$57:$B$74,MATCH($B82,G$57:G$76,0))</f>
        <v>#N/A</v>
      </c>
      <c r="H82" s="307" t="e">
        <f aca="false">INDEX($B$57:$B$74,MATCH($B82,H$57:H$76,0))</f>
        <v>#N/A</v>
      </c>
      <c r="I82" s="307" t="str">
        <f aca="false">INDEX($B$57:$B$74,MATCH($B82,I$57:I$76,0))</f>
        <v>CFC MUHAMMAD AMSYAR SUFI BIN SUNARDI</v>
      </c>
      <c r="J82" s="307" t="str">
        <f aca="false">INDEX($B$57:$B$74,MATCH($B82,J$57:J$76,0))</f>
        <v>LCP GOH SONG YEE, ETHAN</v>
      </c>
      <c r="K82" s="307" t="str">
        <f aca="false">INDEX($B$57:$B$74,MATCH($B82,K$57:K$76,0))</f>
        <v>LCP DAANYAAL ABDUL AZEEZ JANJUA</v>
      </c>
      <c r="L82" s="307" t="str">
        <f aca="false">INDEX($B$57:$B$74,MATCH($B82,L$57:L$76,0))</f>
        <v>PTE MATTHEW WILLIAM TAN</v>
      </c>
      <c r="M82" s="307" t="e">
        <f aca="false">INDEX($B$57:$B$74,MATCH($B82,M$57:M$76,0))</f>
        <v>#N/A</v>
      </c>
      <c r="N82" s="307" t="e">
        <f aca="false">INDEX($B$57:$B$74,MATCH($B82,N$57:N$76,0))</f>
        <v>#N/A</v>
      </c>
      <c r="O82" s="307" t="str">
        <f aca="false">INDEX($B$57:$B$74,MATCH($B82,O$57:O$76,0))</f>
        <v>PTE MATTHEW WILLIAM TAN</v>
      </c>
      <c r="P82" s="307" t="str">
        <f aca="false">INDEX($B$57:$B$74,MATCH($B82,P$57:P$76,0))</f>
        <v>LCP KOH KAH SENG</v>
      </c>
      <c r="Q82" s="307" t="str">
        <f aca="false">INDEX($B$57:$B$74,MATCH($B82,Q$57:Q$76,0))</f>
        <v>PTE MATTHEW WILLIAM TAN</v>
      </c>
      <c r="R82" s="307" t="str">
        <f aca="false">INDEX($B$57:$B$74,MATCH($B82,R$57:R$76,0))</f>
        <v>LCP GOH SONG YEE, ETHAN</v>
      </c>
      <c r="S82" s="307" t="str">
        <f aca="false">INDEX($B$57:$B$74,MATCH($B82,S$57:S$76,0))</f>
        <v>CPL TAN TZE JUE JULIAN</v>
      </c>
      <c r="T82" s="307" t="e">
        <f aca="false">INDEX($B$57:$B$74,MATCH($B82,T$57:T$76,0))</f>
        <v>#N/A</v>
      </c>
      <c r="U82" s="307" t="e">
        <f aca="false">INDEX($B$57:$B$74,MATCH($B82,U$57:U$76,0))</f>
        <v>#N/A</v>
      </c>
      <c r="V82" s="307" t="str">
        <f aca="false">INDEX($B$57:$B$74,MATCH($B82,V$57:V$76,0))</f>
        <v>CFC MUHAMMAD AMSYAR SUFI BIN SUNARDI</v>
      </c>
      <c r="W82" s="307" t="str">
        <f aca="false">INDEX($B$57:$B$74,MATCH($B82,W$57:W$76,0))</f>
        <v>PTE SUNDARARAJU DHANUSH</v>
      </c>
      <c r="X82" s="307" t="str">
        <f aca="false">INDEX($B$57:$B$74,MATCH($B82,X$57:X$76,0))</f>
        <v>LCP KOH KAH SENG</v>
      </c>
      <c r="Y82" s="307" t="str">
        <f aca="false">INDEX($B$57:$B$74,MATCH($B82,Y$57:Y$76,0))</f>
        <v>PTE SUNDARARAJU DHANUSH</v>
      </c>
      <c r="Z82" s="307" t="str">
        <f aca="false">INDEX($B$57:$B$74,MATCH($B82,Z$57:Z$76,0))</f>
        <v>LCP GOH SONG YEE, ETHAN</v>
      </c>
      <c r="AA82" s="307" t="e">
        <f aca="false">INDEX($B$57:$B$74,MATCH($B82,AA$57:AA$76,0))</f>
        <v>#N/A</v>
      </c>
      <c r="AB82" s="307" t="e">
        <f aca="false">INDEX($B$57:$B$74,MATCH($B82,AB$57:AB$76,0))</f>
        <v>#N/A</v>
      </c>
      <c r="AC82" s="307" t="str">
        <f aca="false">INDEX($B$57:$B$74,MATCH($B82,AC$57:AC$76,0))</f>
        <v>PTE LUTH HARITH AFIF BIN NORFIFI</v>
      </c>
      <c r="AD82" s="307" t="str">
        <f aca="false">INDEX($B$57:$B$74,MATCH($B82,AD$58:AD$76,0))</f>
        <v>PTE LUTH HARITH AFIF BIN NORFIFI</v>
      </c>
      <c r="AE82" s="307" t="str">
        <f aca="false">INDEX($B$57:$B$74,MATCH($B82,AE$57:AE$76,0))</f>
        <v>CFC AINSLEY YAP SHENG JIE</v>
      </c>
      <c r="AF82" s="307" t="str">
        <f aca="false">INDEX($B$57:$B$74,MATCH($B82,AF$57:AF$76,0))</f>
        <v>PTE LUTH HARITH AFIF BIN NORFIFI</v>
      </c>
      <c r="AG82" s="307" t="str">
        <f aca="false">INDEX($B$57:$B$74,MATCH($B82,AG$57:AG$76,0))</f>
        <v>CPL TAN TZE JUE JULIAN</v>
      </c>
      <c r="AH82" s="272"/>
      <c r="AI82" s="272"/>
      <c r="AJ82" s="272"/>
      <c r="AK82" s="272"/>
      <c r="AL82" s="278"/>
      <c r="AM82" s="278"/>
      <c r="AN82" s="278"/>
      <c r="AO82" s="278"/>
      <c r="AP82" s="278"/>
      <c r="AQ82" s="278"/>
      <c r="AR82" s="278"/>
      <c r="AS82" s="278"/>
      <c r="AT82" s="278"/>
      <c r="AU82" s="278"/>
      <c r="AV82" s="278"/>
      <c r="AW82" s="278"/>
      <c r="AX82" s="278"/>
      <c r="AY82" s="278"/>
      <c r="AZ82" s="278"/>
      <c r="BA82" s="278"/>
      <c r="BB82" s="278"/>
      <c r="BC82" s="278"/>
      <c r="BD82" s="278"/>
      <c r="BE82" s="278"/>
      <c r="BF82" s="278"/>
      <c r="BG82" s="278"/>
      <c r="BH82" s="278"/>
      <c r="BI82" s="278"/>
      <c r="BJ82" s="278"/>
      <c r="BK82" s="278"/>
      <c r="BL82" s="278"/>
      <c r="BM82" s="278"/>
      <c r="BN82" s="278"/>
      <c r="BO82" s="278"/>
      <c r="BP82" s="278"/>
    </row>
    <row r="83" customFormat="false" ht="19.5" hidden="false" customHeight="true" outlineLevel="0" collapsed="false">
      <c r="A83" s="272"/>
      <c r="B83" s="309" t="s">
        <v>58</v>
      </c>
      <c r="C83" s="307" t="str">
        <f aca="false">INDEX($B$57:$B$74,MATCH($B83,C$57:C$76,0))</f>
        <v>CPL TAN TZE JUE JULIAN</v>
      </c>
      <c r="D83" s="307" t="str">
        <f aca="false">INDEX($B$57:$B$74,MATCH($B83,D$57:D$76,0))</f>
        <v>CFC KOH KAI JIE, ETHAN</v>
      </c>
      <c r="E83" s="307" t="str">
        <f aca="false">INDEX($B$57:$B$74,MATCH($B83,E$57:E$76,0))</f>
        <v>PTE MATTHEW WILLIAM TAN</v>
      </c>
      <c r="F83" s="307" t="str">
        <f aca="false">INDEX($B$57:$B$74,MATCH($B83,F$57:F$76,0))</f>
        <v>CPL LAN ZHI XIANG</v>
      </c>
      <c r="G83" s="307" t="str">
        <f aca="false">INDEX($B$57:$B$74,MATCH($B83,G$57:G$76,0))</f>
        <v>LCP KOH KAH SENG</v>
      </c>
      <c r="H83" s="307" t="str">
        <f aca="false">INDEX($B$57:$B$74,MATCH($B83,H$57:H$76,0))</f>
        <v>PTE MATTHEW WILLIAM TAN</v>
      </c>
      <c r="I83" s="307" t="str">
        <f aca="false">INDEX($B$57:$B$74,MATCH($B83,I$57:I$76,0))</f>
        <v>LCP LIM CHU FENG</v>
      </c>
      <c r="J83" s="307" t="str">
        <f aca="false">INDEX($B$57:$B$74,MATCH($B83,J$57:J$76,0))</f>
        <v>LCP DAANYAAL ABDUL AZEEZ JANJUA</v>
      </c>
      <c r="K83" s="307" t="str">
        <f aca="false">INDEX($B$57:$B$74,MATCH($B83,K$57:K$76,0))</f>
        <v>CFC MUHAMMAD AMSYAR SUFI BIN SUNARDI</v>
      </c>
      <c r="L83" s="307" t="str">
        <f aca="false">INDEX($B$57:$B$74,MATCH($B83,L$57:L$76,0))</f>
        <v>LCP DAANYAAL ABDUL AZEEZ JANJUA</v>
      </c>
      <c r="M83" s="307" t="e">
        <f aca="false">INDEX($B$57:$B$74,MATCH($B83,M$57:M$76,0))</f>
        <v>#N/A</v>
      </c>
      <c r="N83" s="307" t="str">
        <f aca="false">INDEX($B$57:$B$74,MATCH($B83,N$57:N$76,0))</f>
        <v>CFC KOH KAI JIE, ETHAN</v>
      </c>
      <c r="O83" s="307" t="str">
        <f aca="false">INDEX($B$57:$B$74,MATCH($B83,O$57:O$76,0))</f>
        <v>PTE SUNDARARAJU DHANUSH</v>
      </c>
      <c r="P83" s="307" t="str">
        <f aca="false">INDEX($B$57:$B$74,MATCH($B83,P$57:P$76,0))</f>
        <v>CPL LAN ZHI XIANG</v>
      </c>
      <c r="Q83" s="307" t="str">
        <f aca="false">INDEX($B$57:$B$74,MATCH($B83,Q$57:Q$76,0))</f>
        <v>3SG HO JI XUAN ISAAC</v>
      </c>
      <c r="R83" s="307" t="str">
        <f aca="false">INDEX($B$57:$B$74,MATCH($B83,R$57:R$76,0))</f>
        <v>PTE OWEN LEE</v>
      </c>
      <c r="S83" s="307" t="str">
        <f aca="false">INDEX($B$57:$B$74,MATCH($B83,S$57:S$76,0))</f>
        <v>LCP GOH SONG YEE, ETHAN</v>
      </c>
      <c r="T83" s="307" t="str">
        <f aca="false">INDEX($B$57:$B$74,MATCH($B83,T$57:T$76,0))</f>
        <v>LCP GOH SONG YEE, ETHAN</v>
      </c>
      <c r="U83" s="307" t="e">
        <f aca="false">INDEX($B$57:$B$74,MATCH($B83,U$57:U$76,0))</f>
        <v>#REF!</v>
      </c>
      <c r="V83" s="307" t="str">
        <f aca="false">INDEX($B$57:$B$74,MATCH($B83,V$57:V$76,0))</f>
        <v>LCP LIM CHU FENG</v>
      </c>
      <c r="W83" s="307" t="str">
        <f aca="false">INDEX($B$57:$B$74,MATCH($B83,W$57:W$76,0))</f>
        <v>LCP DAANYAAL ABDUL AZEEZ JANJUA</v>
      </c>
      <c r="X83" s="307" t="str">
        <f aca="false">INDEX($B$57:$B$74,MATCH($B83,X$57:X$76,0))</f>
        <v>CPL LAN ZHI XIANG</v>
      </c>
      <c r="Y83" s="307" t="str">
        <f aca="false">INDEX($B$57:$B$74,MATCH($B83,Y$57:Y$76,0))</f>
        <v>CPL LAN ZHI XIANG</v>
      </c>
      <c r="Z83" s="307" t="e">
        <f aca="false">INDEX($B$57:$B$74,MATCH($B83,Z$57:Z$76,0))</f>
        <v>#REF!</v>
      </c>
      <c r="AA83" s="307" t="str">
        <f aca="false">INDEX($B$57:$B$74,MATCH($B83,AA$57:AA$76,0))</f>
        <v>PTE OWEN LEE</v>
      </c>
      <c r="AB83" s="307" t="e">
        <f aca="false">INDEX($B$57:$B$74,MATCH($B83,AB$57:AB$76,0))</f>
        <v>#REF!</v>
      </c>
      <c r="AC83" s="307" t="str">
        <f aca="false">INDEX($B$57:$B$74,MATCH($B83,AC$57:AC$76,0))</f>
        <v>CPL LAN ZHI XIANG</v>
      </c>
      <c r="AD83" s="307" t="str">
        <f aca="false">INDEX($B$57:$B$74,MATCH($B83,AD$58:AD$76,0))</f>
        <v>CPL JOVAN CHUA RUI CHENG</v>
      </c>
      <c r="AE83" s="307" t="str">
        <f aca="false">INDEX($B$57:$B$74,MATCH($B83,AE$57:AE$76,0))</f>
        <v>CFC KOH KAI JIE, ETHAN</v>
      </c>
      <c r="AF83" s="307" t="str">
        <f aca="false">INDEX($B$57:$B$74,MATCH($B83,AF$57:AF$76,0))</f>
        <v>PTE MATTHEW WILLIAM TAN</v>
      </c>
      <c r="AG83" s="307" t="str">
        <f aca="false">INDEX($B$57:$B$74,MATCH($B83,AG$57:AG$76,0))</f>
        <v>PTE SUNDARARAJU DHANUSH</v>
      </c>
      <c r="AH83" s="272"/>
      <c r="AI83" s="272"/>
      <c r="AJ83" s="272"/>
      <c r="AK83" s="272"/>
      <c r="AL83" s="278"/>
      <c r="AM83" s="278"/>
      <c r="AN83" s="278"/>
      <c r="AO83" s="278"/>
      <c r="AP83" s="278"/>
      <c r="AQ83" s="278"/>
      <c r="AR83" s="278"/>
      <c r="AS83" s="278"/>
      <c r="AT83" s="278"/>
      <c r="AU83" s="278"/>
      <c r="AV83" s="278"/>
      <c r="AW83" s="278"/>
      <c r="AX83" s="278"/>
      <c r="AY83" s="278"/>
      <c r="AZ83" s="278"/>
      <c r="BA83" s="278"/>
      <c r="BB83" s="278"/>
      <c r="BC83" s="278"/>
      <c r="BD83" s="278"/>
      <c r="BE83" s="278"/>
      <c r="BF83" s="278"/>
      <c r="BG83" s="278"/>
      <c r="BH83" s="278"/>
      <c r="BI83" s="278"/>
      <c r="BJ83" s="278"/>
      <c r="BK83" s="278"/>
      <c r="BL83" s="278"/>
      <c r="BM83" s="278"/>
      <c r="BN83" s="278"/>
      <c r="BO83" s="278"/>
      <c r="BP83" s="278"/>
    </row>
    <row r="84" customFormat="false" ht="68.65" hidden="false" customHeight="false" outlineLevel="0" collapsed="false">
      <c r="A84" s="272"/>
      <c r="B84" s="310" t="s">
        <v>93</v>
      </c>
      <c r="C84" s="307" t="e">
        <f aca="false">INDEX($B$57:$B$74,MATCH($B84,C$57:C$76,0))</f>
        <v>#N/A</v>
      </c>
      <c r="D84" s="307" t="str">
        <f aca="false">INDEX($B$57:$B$74,MATCH($B84,D$57:D$76,0))</f>
        <v>PTE SUNDARARAJU DHANUSH</v>
      </c>
      <c r="E84" s="307" t="e">
        <f aca="false">INDEX($B$57:$B$74,MATCH($B84,E$57:E$76,0))</f>
        <v>#N/A</v>
      </c>
      <c r="F84" s="307" t="e">
        <f aca="false">INDEX($B$57:$B$74,MATCH($B84,F$57:F$76,0))</f>
        <v>#N/A</v>
      </c>
      <c r="G84" s="307" t="str">
        <f aca="false">INDEX($B$57:$B$74,MATCH($B84,G$57:G$76,0))</f>
        <v>LCP LIM CHU FENG</v>
      </c>
      <c r="H84" s="307" t="str">
        <f aca="false">INDEX($B$57:$B$74,MATCH($B84,H$57:H$76,0))</f>
        <v>CPL TAN TZE JUE JULIAN</v>
      </c>
      <c r="I84" s="307" t="e">
        <f aca="false">INDEX($B$57:$B$74,MATCH($B84,I$57:I$76,0))</f>
        <v>#N/A</v>
      </c>
      <c r="J84" s="307" t="e">
        <f aca="false">INDEX($B$57:$B$74,MATCH($B84,J$57:J$76,0))</f>
        <v>#N/A</v>
      </c>
      <c r="K84" s="307" t="str">
        <f aca="false">INDEX($B$57:$B$74,MATCH($B84,K$57:K$76,0))</f>
        <v>CFC KOH KAI JIE, ETHAN</v>
      </c>
      <c r="L84" s="307" t="e">
        <f aca="false">INDEX($B$57:$B$74,MATCH($B84,L$57:L$76,0))</f>
        <v>#N/A</v>
      </c>
      <c r="M84" s="307" t="e">
        <f aca="false">INDEX($B$57:$B$74,MATCH($B84,M$57:M$76,0))</f>
        <v>#N/A</v>
      </c>
      <c r="N84" s="307" t="str">
        <f aca="false">INDEX($B$57:$B$74,MATCH($B84,N$57:N$76,0))</f>
        <v>CPL TAN TZE JUE JULIAN</v>
      </c>
      <c r="O84" s="307" t="str">
        <f aca="false">INDEX($B$57:$B$74,MATCH($B84,O$57:O$76,0))</f>
        <v>LCP GOH SONG YEE, ETHAN</v>
      </c>
      <c r="P84" s="307" t="e">
        <f aca="false">INDEX($B$57:$B$74,MATCH($B84,P$57:P$76,0))</f>
        <v>#N/A</v>
      </c>
      <c r="Q84" s="307" t="e">
        <f aca="false">INDEX($B$57:$B$74,MATCH($B84,Q$57:Q$76,0))</f>
        <v>#N/A</v>
      </c>
      <c r="R84" s="307" t="str">
        <f aca="false">INDEX($B$57:$B$74,MATCH($B84,R$57:R$76,0))</f>
        <v>CFC BRENDON TOH YI CHEN</v>
      </c>
      <c r="S84" s="307" t="e">
        <f aca="false">INDEX($B$57:$B$74,MATCH($B84,S$57:S$76,0))</f>
        <v>#N/A</v>
      </c>
      <c r="T84" s="307" t="e">
        <f aca="false">INDEX($B$57:$B$74,MATCH($B84,T$57:T$76,0))</f>
        <v>#N/A</v>
      </c>
      <c r="U84" s="307" t="str">
        <f aca="false">INDEX($B$57:$B$74,MATCH($B84,U$57:U$76,0))</f>
        <v>3SG HO JI XUAN ISAAC</v>
      </c>
      <c r="V84" s="307" t="str">
        <f aca="false">INDEX($B$57:$B$74,MATCH($B84,V$57:V$76,0))</f>
        <v>PTE OWEN LEE</v>
      </c>
      <c r="W84" s="307" t="e">
        <f aca="false">INDEX($B$57:$B$74,MATCH($B84,W$57:W$76,0))</f>
        <v>#N/A</v>
      </c>
      <c r="X84" s="307" t="e">
        <f aca="false">INDEX($B$57:$B$74,MATCH($B84,X$57:X$76,0))</f>
        <v>#N/A</v>
      </c>
      <c r="Y84" s="307" t="str">
        <f aca="false">INDEX($B$57:$B$74,MATCH($B84,Y$57:Y$76,0))</f>
        <v>LCP KOH KAH SENG</v>
      </c>
      <c r="Z84" s="307" t="e">
        <f aca="false">INDEX($B$57:$B$74,MATCH($B84,Z$57:Z$76,0))</f>
        <v>#N/A</v>
      </c>
      <c r="AA84" s="307" t="e">
        <f aca="false">INDEX($B$57:$B$74,MATCH($B84,AA$57:AA$76,0))</f>
        <v>#N/A</v>
      </c>
      <c r="AB84" s="307" t="str">
        <f aca="false">INDEX($B$57:$B$74,MATCH($B84,AB$57:AB$76,0))</f>
        <v>3SG HO JI XUAN ISAAC</v>
      </c>
      <c r="AC84" s="307" t="str">
        <f aca="false">INDEX($B$57:$B$74,MATCH($B84,AC$57:AC$76,0))</f>
        <v>LCP KOH KAH SENG</v>
      </c>
      <c r="AD84" s="307" t="e">
        <f aca="false">INDEX($B$57:$B$74,MATCH($B84,AD$58:AD$76,0))</f>
        <v>#N/A</v>
      </c>
      <c r="AE84" s="307" t="e">
        <f aca="false">INDEX($B$57:$B$74,MATCH($B84,AE$57:AE$76,0))</f>
        <v>#N/A</v>
      </c>
      <c r="AF84" s="307" t="e">
        <f aca="false">INDEX($B$57:$B$74,MATCH($B84,AF$57:AF$76,0))</f>
        <v>#REF!</v>
      </c>
      <c r="AG84" s="307" t="e">
        <f aca="false">INDEX($B$57:$B$74,MATCH($B84,AG$57:AG$76,0))</f>
        <v>#N/A</v>
      </c>
      <c r="AH84" s="272"/>
      <c r="AI84" s="272"/>
      <c r="AJ84" s="272"/>
      <c r="AK84" s="272"/>
      <c r="AL84" s="278"/>
      <c r="AM84" s="278"/>
      <c r="AN84" s="278"/>
      <c r="AO84" s="278"/>
      <c r="AP84" s="278"/>
      <c r="AQ84" s="278"/>
      <c r="AR84" s="278"/>
      <c r="AS84" s="278"/>
      <c r="AT84" s="278"/>
      <c r="AU84" s="278"/>
      <c r="AV84" s="278"/>
      <c r="AW84" s="278"/>
      <c r="AX84" s="278"/>
      <c r="AY84" s="278"/>
      <c r="AZ84" s="278"/>
      <c r="BA84" s="278"/>
      <c r="BB84" s="278"/>
      <c r="BC84" s="278"/>
      <c r="BD84" s="278"/>
      <c r="BE84" s="278"/>
      <c r="BF84" s="278"/>
      <c r="BG84" s="278"/>
      <c r="BH84" s="278"/>
      <c r="BI84" s="278"/>
      <c r="BJ84" s="278"/>
      <c r="BK84" s="278"/>
      <c r="BL84" s="278"/>
      <c r="BM84" s="278"/>
      <c r="BN84" s="278"/>
      <c r="BO84" s="278"/>
      <c r="BP84" s="278"/>
    </row>
    <row r="85" customFormat="false" ht="19.5" hidden="false" customHeight="true" outlineLevel="0" collapsed="false">
      <c r="A85" s="272"/>
      <c r="B85" s="311" t="s">
        <v>65</v>
      </c>
      <c r="C85" s="307" t="str">
        <f aca="false">INDEX($B$57:$B$74,MATCH($B85,C$57:C$76,0))</f>
        <v>CFC BRENDON TOH YI CHEN</v>
      </c>
      <c r="D85" s="307" t="str">
        <f aca="false">INDEX($B$57:$B$74,MATCH($B85,D$57:D$76,0))</f>
        <v>CPL JOVAN CHUA RUI CHENG</v>
      </c>
      <c r="E85" s="307" t="str">
        <f aca="false">INDEX($B$57:$B$74,MATCH($B85,E$57:E$76,0))</f>
        <v>PTE LUTH HARITH AFIF BIN NORFIFI</v>
      </c>
      <c r="F85" s="307" t="e">
        <f aca="false">INDEX($B$57:$B$74,MATCH($B85,F$57:F$76,0))</f>
        <v>#N/A</v>
      </c>
      <c r="G85" s="307" t="e">
        <f aca="false">INDEX($B$57:$B$74,MATCH($B85,G$57:G$76,0))</f>
        <v>#N/A</v>
      </c>
      <c r="H85" s="307" t="str">
        <f aca="false">INDEX($B$57:$B$74,MATCH($B85,H$57:H$76,0))</f>
        <v>CPL LAN ZHI XIANG</v>
      </c>
      <c r="I85" s="307" t="str">
        <f aca="false">INDEX($B$57:$B$74,MATCH($B85,I$57:I$76,0))</f>
        <v>CFC BRENDON TOH YI CHEN</v>
      </c>
      <c r="J85" s="307" t="str">
        <f aca="false">INDEX($B$57:$B$74,MATCH($B85,J$57:J$76,0))</f>
        <v>CFC KOH KAI JIE, ETHAN</v>
      </c>
      <c r="K85" s="307" t="str">
        <f aca="false">INDEX($B$57:$B$74,MATCH($B85,K$57:K$76,0))</f>
        <v>PTE SUNDARARAJU DHANUSH</v>
      </c>
      <c r="L85" s="307" t="str">
        <f aca="false">INDEX($B$57:$B$74,MATCH($B85,L$57:L$76,0))</f>
        <v>3SG HO JI XUAN ISAAC</v>
      </c>
      <c r="M85" s="307" t="e">
        <f aca="false">INDEX($B$57:$B$74,MATCH($B85,M$57:M$76,0))</f>
        <v>#N/A</v>
      </c>
      <c r="N85" s="307" t="e">
        <f aca="false">INDEX($B$57:$B$74,MATCH($B85,N$57:N$76,0))</f>
        <v>#N/A</v>
      </c>
      <c r="O85" s="307" t="str">
        <f aca="false">INDEX($B$57:$B$74,MATCH($B85,O$57:O$76,0))</f>
        <v>CFC MUHAMMAD AMSYAR SUFI BIN SUNARDI</v>
      </c>
      <c r="P85" s="307" t="str">
        <f aca="false">INDEX($B$57:$B$74,MATCH($B85,P$57:P$76,0))</f>
        <v>LCP DAANYAAL ABDUL AZEEZ JANJUA</v>
      </c>
      <c r="Q85" s="307" t="e">
        <f aca="false">INDEX($B$57:$B$74,MATCH($B85,Q$57:Q$76,0))</f>
        <v>#REF!</v>
      </c>
      <c r="R85" s="307" t="str">
        <f aca="false">INDEX($B$57:$B$74,MATCH($B85,R$57:R$76,0))</f>
        <v>LCP KOH KAH SENG</v>
      </c>
      <c r="S85" s="307" t="str">
        <f aca="false">INDEX($B$57:$B$74,MATCH($B85,S$57:S$76,0))</f>
        <v>PTE KERK NATHAN</v>
      </c>
      <c r="T85" s="307" t="e">
        <f aca="false">INDEX($B$57:$B$74,MATCH($B85,T$57:T$76,0))</f>
        <v>#N/A</v>
      </c>
      <c r="U85" s="307" t="e">
        <f aca="false">INDEX($B$57:$B$74,MATCH($B85,U$57:U$76,0))</f>
        <v>#N/A</v>
      </c>
      <c r="V85" s="307" t="str">
        <f aca="false">INDEX($B$57:$B$74,MATCH($B85,V$57:V$76,0))</f>
        <v>PTE KERK NATHAN</v>
      </c>
      <c r="W85" s="307" t="str">
        <f aca="false">INDEX($B$57:$B$74,MATCH($B85,W$57:W$76,0))</f>
        <v>LCP KOH KAH SENG</v>
      </c>
      <c r="X85" s="307" t="str">
        <f aca="false">INDEX($B$57:$B$74,MATCH($B85,X$57:X$76,0))</f>
        <v>PTE KERK NATHAN</v>
      </c>
      <c r="Y85" s="307" t="str">
        <f aca="false">INDEX($B$57:$B$74,MATCH($B85,Y$57:Y$76,0))</f>
        <v>PTE MATTHEW WILLIAM TAN</v>
      </c>
      <c r="Z85" s="307" t="str">
        <f aca="false">INDEX($B$57:$B$74,MATCH($B85,Z$57:Z$76,0))</f>
        <v>PTE KERK NATHAN</v>
      </c>
      <c r="AA85" s="307" t="e">
        <f aca="false">INDEX($B$57:$B$74,MATCH($B85,AA$57:AA$76,0))</f>
        <v>#N/A</v>
      </c>
      <c r="AB85" s="307" t="e">
        <f aca="false">INDEX($B$57:$B$74,MATCH($B85,AB$57:AB$76,0))</f>
        <v>#N/A</v>
      </c>
      <c r="AC85" s="307" t="str">
        <f aca="false">INDEX($B$57:$B$74,MATCH($B85,AC$57:AC$76,0))</f>
        <v>PTE OWEN LEE</v>
      </c>
      <c r="AD85" s="307" t="str">
        <f aca="false">INDEX($B$57:$B$74,MATCH($B85,AD$58:AD$76,0))</f>
        <v>PTE MATTHEW WILLIAM TAN</v>
      </c>
      <c r="AE85" s="307" t="str">
        <f aca="false">INDEX($B$57:$B$74,MATCH($B85,AE$57:AE$76,0))</f>
        <v>PTE OWEN LEE</v>
      </c>
      <c r="AF85" s="307" t="str">
        <f aca="false">INDEX($B$57:$B$74,MATCH($B85,AF$57:AF$76,0))</f>
        <v>LCP LIM CHU FENG</v>
      </c>
      <c r="AG85" s="307" t="str">
        <f aca="false">INDEX($B$57:$B$74,MATCH($B85,AG$57:AG$76,0))</f>
        <v>PTE MATTHEW WILLIAM TAN</v>
      </c>
      <c r="AH85" s="272"/>
      <c r="AI85" s="272"/>
      <c r="AJ85" s="272"/>
      <c r="AK85" s="272"/>
      <c r="AL85" s="278"/>
      <c r="AM85" s="278"/>
      <c r="AN85" s="278"/>
      <c r="AO85" s="278"/>
      <c r="AP85" s="278"/>
      <c r="AQ85" s="278"/>
      <c r="AR85" s="278"/>
      <c r="AS85" s="278"/>
      <c r="AT85" s="278"/>
      <c r="AU85" s="278"/>
      <c r="AV85" s="278"/>
      <c r="AW85" s="278"/>
      <c r="AX85" s="278"/>
      <c r="AY85" s="278"/>
      <c r="AZ85" s="278"/>
      <c r="BA85" s="278"/>
      <c r="BB85" s="278"/>
      <c r="BC85" s="278"/>
      <c r="BD85" s="278"/>
      <c r="BE85" s="278"/>
      <c r="BF85" s="278"/>
      <c r="BG85" s="278"/>
      <c r="BH85" s="278"/>
      <c r="BI85" s="278"/>
      <c r="BJ85" s="278"/>
      <c r="BK85" s="278"/>
      <c r="BL85" s="278"/>
      <c r="BM85" s="278"/>
      <c r="BN85" s="278"/>
      <c r="BO85" s="278"/>
      <c r="BP85" s="278"/>
    </row>
    <row r="86" customFormat="false" ht="19.5" hidden="false" customHeight="true" outlineLevel="0" collapsed="false">
      <c r="A86" s="272"/>
      <c r="B86" s="266" t="s">
        <v>350</v>
      </c>
      <c r="C86" s="266" t="e">
        <f aca="false">INDEX($B$57:$B$74,MATCH($B86,C$57:C$76,0))</f>
        <v>#N/A</v>
      </c>
      <c r="D86" s="266" t="e">
        <f aca="false">INDEX($B$57:$B$74,MATCH($B86,D$57:D$76,0))</f>
        <v>#N/A</v>
      </c>
      <c r="E86" s="266" t="e">
        <f aca="false">INDEX($B$57:$B$74,MATCH($B86,E$57:E$76,0))</f>
        <v>#N/A</v>
      </c>
      <c r="F86" s="266" t="e">
        <f aca="false">INDEX($B$57:$B$74,MATCH($B86,F$57:F$76,0))</f>
        <v>#N/A</v>
      </c>
      <c r="G86" s="266" t="e">
        <f aca="false">INDEX($B$57:$B$74,MATCH($B86,G$57:G$76,0))</f>
        <v>#N/A</v>
      </c>
      <c r="H86" s="266" t="e">
        <f aca="false">INDEX($B$57:$B$74,MATCH($B86,H$57:H$76,0))</f>
        <v>#N/A</v>
      </c>
      <c r="I86" s="266" t="e">
        <f aca="false">INDEX($B$57:$B$74,MATCH($B86,I$57:I$76,0))</f>
        <v>#N/A</v>
      </c>
      <c r="J86" s="266" t="e">
        <f aca="false">INDEX($B$57:$B$74,MATCH($B86,J$57:J$76,0))</f>
        <v>#N/A</v>
      </c>
      <c r="K86" s="266" t="e">
        <f aca="false">INDEX($B$57:$B$74,MATCH($B86,K$57:K$76,0))</f>
        <v>#N/A</v>
      </c>
      <c r="L86" s="266" t="e">
        <f aca="false">INDEX($B$57:$B$74,MATCH($B86,L$57:L$76,0))</f>
        <v>#N/A</v>
      </c>
      <c r="M86" s="266" t="e">
        <f aca="false">INDEX($B$57:$B$74,MATCH($B86,M$57:M$76,0))</f>
        <v>#N/A</v>
      </c>
      <c r="N86" s="266" t="e">
        <f aca="false">INDEX($B$57:$B$74,MATCH($B86,N$57:N$76,0))</f>
        <v>#N/A</v>
      </c>
      <c r="O86" s="266" t="e">
        <f aca="false">INDEX($B$57:$B$74,MATCH($B86,O$57:O$76,0))</f>
        <v>#N/A</v>
      </c>
      <c r="P86" s="266" t="e">
        <f aca="false">INDEX($B$57:$B$74,MATCH($B86,P$57:P$76,0))</f>
        <v>#N/A</v>
      </c>
      <c r="Q86" s="266" t="e">
        <f aca="false">INDEX($B$57:$B$74,MATCH($B86,Q$57:Q$76,0))</f>
        <v>#N/A</v>
      </c>
      <c r="R86" s="266" t="e">
        <f aca="false">INDEX($B$57:$B$74,MATCH($B86,R$57:R$76,0))</f>
        <v>#N/A</v>
      </c>
      <c r="S86" s="266" t="e">
        <f aca="false">INDEX($B$57:$B$74,MATCH($B86,S$57:S$76,0))</f>
        <v>#N/A</v>
      </c>
      <c r="T86" s="266" t="e">
        <f aca="false">INDEX($B$57:$B$74,MATCH($B86,T$57:T$76,0))</f>
        <v>#N/A</v>
      </c>
      <c r="U86" s="266" t="e">
        <f aca="false">INDEX($B$57:$B$74,MATCH($B86,U$57:U$76,0))</f>
        <v>#N/A</v>
      </c>
      <c r="V86" s="266" t="e">
        <f aca="false">INDEX($B$57:$B$74,MATCH($B86,V$57:V$76,0))</f>
        <v>#N/A</v>
      </c>
      <c r="W86" s="266" t="e">
        <f aca="false">INDEX($B$57:$B$74,MATCH($B86,W$57:W$76,0))</f>
        <v>#N/A</v>
      </c>
      <c r="X86" s="266" t="e">
        <f aca="false">INDEX($B$57:$B$74,MATCH($B86,X$57:X$76,0))</f>
        <v>#N/A</v>
      </c>
      <c r="Y86" s="266" t="e">
        <f aca="false">INDEX($B$57:$B$74,MATCH($B86,Y$57:Y$76,0))</f>
        <v>#N/A</v>
      </c>
      <c r="Z86" s="266" t="e">
        <f aca="false">INDEX($B$57:$B$74,MATCH($B86,Z$57:Z$76,0))</f>
        <v>#N/A</v>
      </c>
      <c r="AA86" s="266" t="e">
        <f aca="false">INDEX($B$57:$B$74,MATCH($B86,AA$57:AA$76,0))</f>
        <v>#N/A</v>
      </c>
      <c r="AB86" s="266" t="e">
        <f aca="false">INDEX($B$57:$B$74,MATCH($B86,AB$57:AB$76,0))</f>
        <v>#N/A</v>
      </c>
      <c r="AC86" s="266" t="e">
        <f aca="false">INDEX($B$57:$B$74,MATCH($B86,AC$57:AC$76,0))</f>
        <v>#N/A</v>
      </c>
      <c r="AD86" s="266" t="e">
        <f aca="false">INDEX($B$57:$B$74,MATCH($B86,AD$58:AD$76,0))</f>
        <v>#N/A</v>
      </c>
      <c r="AE86" s="266" t="e">
        <f aca="false">INDEX($B$57:$B$74,MATCH($B86,AE$57:AE$76,0))</f>
        <v>#N/A</v>
      </c>
      <c r="AF86" s="266" t="e">
        <f aca="false">INDEX($B$57:$B$74,MATCH($B86,AF$57:AF$76,0))</f>
        <v>#N/A</v>
      </c>
      <c r="AG86" s="266" t="e">
        <f aca="false">INDEX($B$57:$B$74,MATCH($B86,AG$57:AG$76,0))</f>
        <v>#N/A</v>
      </c>
      <c r="AH86" s="272"/>
      <c r="AI86" s="272"/>
      <c r="AJ86" s="272"/>
      <c r="AK86" s="272"/>
      <c r="AL86" s="278"/>
      <c r="AM86" s="278"/>
      <c r="AN86" s="278"/>
      <c r="AO86" s="278"/>
      <c r="AP86" s="278"/>
      <c r="AQ86" s="278"/>
      <c r="AR86" s="278"/>
      <c r="AS86" s="278"/>
      <c r="AT86" s="278"/>
      <c r="AU86" s="278"/>
      <c r="AV86" s="278"/>
      <c r="AW86" s="278"/>
      <c r="AX86" s="278"/>
      <c r="AY86" s="278"/>
      <c r="AZ86" s="278"/>
      <c r="BA86" s="278"/>
      <c r="BB86" s="278"/>
      <c r="BC86" s="278"/>
      <c r="BD86" s="278"/>
      <c r="BE86" s="278"/>
      <c r="BF86" s="278"/>
      <c r="BG86" s="278"/>
      <c r="BH86" s="278"/>
      <c r="BI86" s="278"/>
      <c r="BJ86" s="278"/>
      <c r="BK86" s="278"/>
      <c r="BL86" s="278"/>
      <c r="BM86" s="278"/>
      <c r="BN86" s="278"/>
      <c r="BO86" s="278"/>
      <c r="BP86" s="278"/>
    </row>
    <row r="87" customFormat="false" ht="19.5" hidden="false" customHeight="true" outlineLevel="0" collapsed="false">
      <c r="A87" s="272"/>
      <c r="B87" s="266" t="s">
        <v>755</v>
      </c>
      <c r="C87" s="266" t="n">
        <f aca="false">COUNTIF(C57:C74,"DM")</f>
        <v>1</v>
      </c>
      <c r="D87" s="266" t="n">
        <f aca="false">COUNTIF(D2:D74,"DM")</f>
        <v>3</v>
      </c>
      <c r="E87" s="266" t="n">
        <f aca="false">COUNTIF(E2:E74,"DM")</f>
        <v>3</v>
      </c>
      <c r="F87" s="266" t="n">
        <f aca="false">COUNTIF(F57:F74,"DM")</f>
        <v>0</v>
      </c>
      <c r="G87" s="266" t="n">
        <f aca="false">COUNTIF(G57:G74,"DM")</f>
        <v>0</v>
      </c>
      <c r="H87" s="266" t="n">
        <f aca="false">COUNTIF(H57:H74,"DM")</f>
        <v>1</v>
      </c>
      <c r="I87" s="266" t="n">
        <f aca="false">COUNTIF(I57:I74,"DM")</f>
        <v>1</v>
      </c>
      <c r="J87" s="266" t="n">
        <f aca="false">COUNTIF(J57:J74,"DM")</f>
        <v>1</v>
      </c>
      <c r="K87" s="266" t="n">
        <f aca="false">COUNTIF(K57:K74,"DM")</f>
        <v>1</v>
      </c>
      <c r="L87" s="266" t="n">
        <f aca="false">COUNTIF(L57:L74,"DM")</f>
        <v>1</v>
      </c>
      <c r="M87" s="266" t="n">
        <f aca="false">COUNTIF(M57:M74,"DM")</f>
        <v>0</v>
      </c>
      <c r="N87" s="266" t="n">
        <f aca="false">COUNTIF(N57:N74,"DM")</f>
        <v>0</v>
      </c>
      <c r="O87" s="266" t="n">
        <f aca="false">COUNTIF(O57:O74,"DM")</f>
        <v>1</v>
      </c>
      <c r="P87" s="266" t="n">
        <f aca="false">COUNTIF(P57:P74,"DM")</f>
        <v>1</v>
      </c>
      <c r="Q87" s="266" t="n">
        <f aca="false">COUNTIF(Q57:Q74,"DM")</f>
        <v>1</v>
      </c>
      <c r="R87" s="266" t="n">
        <f aca="false">COUNTIF(R57:R74,"DM")</f>
        <v>1</v>
      </c>
      <c r="S87" s="266" t="n">
        <f aca="false">COUNTIF(S57:S74,"DM")</f>
        <v>1</v>
      </c>
      <c r="T87" s="266" t="n">
        <f aca="false">COUNTIF(T57:T74,"DM")</f>
        <v>0</v>
      </c>
      <c r="U87" s="266" t="n">
        <f aca="false">COUNTIF(U57:U74,"DM")</f>
        <v>0</v>
      </c>
      <c r="V87" s="266" t="n">
        <f aca="false">COUNTIF(V57:V74,"DM")</f>
        <v>1</v>
      </c>
      <c r="W87" s="266" t="n">
        <f aca="false">COUNTIF(W57:W74,"DM")</f>
        <v>1</v>
      </c>
      <c r="X87" s="266" t="n">
        <f aca="false">COUNTIF(X57:X74,"DM")</f>
        <v>1</v>
      </c>
      <c r="Y87" s="266" t="n">
        <f aca="false">COUNTIF(Y57:Y74,"DM")</f>
        <v>1</v>
      </c>
      <c r="Z87" s="266" t="n">
        <f aca="false">COUNTIF(Z57:Z74,"DM")</f>
        <v>1</v>
      </c>
      <c r="AA87" s="266" t="n">
        <f aca="false">COUNTIF(AA57:AA74,"DM")</f>
        <v>0</v>
      </c>
      <c r="AB87" s="266" t="n">
        <f aca="false">COUNTIF(AB57:AB74,"DM")</f>
        <v>0</v>
      </c>
      <c r="AC87" s="266" t="n">
        <f aca="false">COUNTIF(AC57:AC74,"DM")</f>
        <v>1</v>
      </c>
      <c r="AD87" s="266" t="n">
        <f aca="false">COUNTIF(AD58:AD74,"DM")</f>
        <v>1</v>
      </c>
      <c r="AE87" s="266" t="n">
        <f aca="false">COUNTIF(AE57:AE74,"DM")</f>
        <v>1</v>
      </c>
      <c r="AF87" s="266" t="n">
        <f aca="false">COUNTIF(AF57:AF74,"DM")</f>
        <v>1</v>
      </c>
      <c r="AG87" s="266" t="n">
        <f aca="false">COUNTIF(AG57:AG74,"DM")</f>
        <v>1</v>
      </c>
      <c r="AH87" s="272"/>
      <c r="AI87" s="272"/>
      <c r="AJ87" s="272"/>
      <c r="AK87" s="272"/>
      <c r="AL87" s="278"/>
      <c r="AM87" s="278"/>
      <c r="AN87" s="278"/>
      <c r="AO87" s="278"/>
      <c r="AP87" s="278"/>
      <c r="AQ87" s="278"/>
      <c r="AR87" s="278"/>
      <c r="AS87" s="278"/>
      <c r="AT87" s="278"/>
      <c r="AU87" s="278"/>
      <c r="AV87" s="278"/>
      <c r="AW87" s="278"/>
      <c r="AX87" s="278"/>
      <c r="AY87" s="278"/>
      <c r="AZ87" s="278"/>
      <c r="BA87" s="278"/>
      <c r="BB87" s="278"/>
      <c r="BC87" s="278"/>
      <c r="BD87" s="278"/>
      <c r="BE87" s="278"/>
      <c r="BF87" s="278"/>
      <c r="BG87" s="278"/>
      <c r="BH87" s="278"/>
      <c r="BI87" s="278"/>
      <c r="BJ87" s="278"/>
      <c r="BK87" s="278"/>
      <c r="BL87" s="278"/>
      <c r="BM87" s="278"/>
      <c r="BN87" s="278"/>
      <c r="BO87" s="278"/>
      <c r="BP87" s="278"/>
    </row>
    <row r="88" customFormat="false" ht="19.5" hidden="false" customHeight="true" outlineLevel="0" collapsed="false">
      <c r="A88" s="272"/>
      <c r="B88" s="266" t="s">
        <v>861</v>
      </c>
      <c r="C88" s="266" t="n">
        <f aca="false">COUNTIF(C57:C74,"SB1")+COUNTIF(C57:C74,"SB2")</f>
        <v>1</v>
      </c>
      <c r="D88" s="266" t="n">
        <f aca="false">COUNTIF(D2:D74,"SB1")+COUNTIF(D2:D74,"SB2")</f>
        <v>3</v>
      </c>
      <c r="E88" s="266" t="n">
        <f aca="false">COUNTIF(E2:E74,"SB1")+COUNTIF(E2:E74,"SB2")</f>
        <v>3</v>
      </c>
      <c r="F88" s="266" t="n">
        <f aca="false">COUNTIF(F57:F74,"SB1")+COUNTIF(F57:F74,"SB2")</f>
        <v>1</v>
      </c>
      <c r="G88" s="266" t="n">
        <f aca="false">COUNTIF(G57:G74,"SB1")+COUNTIF(G57:G74,"SB2")</f>
        <v>2</v>
      </c>
      <c r="H88" s="266" t="n">
        <f aca="false">COUNTIF(H57:H74,"SB1")+COUNTIF(H57:H74,"SB2")</f>
        <v>2</v>
      </c>
      <c r="I88" s="266" t="n">
        <f aca="false">COUNTIF(I57:I74,"SB1")+COUNTIF(I57:I74,"SB2")</f>
        <v>1</v>
      </c>
      <c r="J88" s="266" t="n">
        <f aca="false">COUNTIF(J57:J74,"SB1")+COUNTIF(J57:J74,"SB2")</f>
        <v>1</v>
      </c>
      <c r="K88" s="266" t="n">
        <f aca="false">COUNTIF(K57:K74,"SB1")+COUNTIF(K57:K74,"SB2")</f>
        <v>2</v>
      </c>
      <c r="L88" s="266" t="n">
        <f aca="false">COUNTIF(L57:L74,"SB1")+COUNTIF(L57:L74,"SB2")</f>
        <v>1</v>
      </c>
      <c r="M88" s="266" t="n">
        <f aca="false">COUNTIF(M57:M74,"SB1")+COUNTIF(M57:M74,"SB2")</f>
        <v>0</v>
      </c>
      <c r="N88" s="266" t="n">
        <f aca="false">COUNTIF(N57:N74,"SB1")+COUNTIF(N57:N74,"SB2")</f>
        <v>2</v>
      </c>
      <c r="O88" s="266" t="n">
        <f aca="false">COUNTIF(O57:O74,"SB1")+COUNTIF(O57:O74,"SB2")</f>
        <v>2</v>
      </c>
      <c r="P88" s="266" t="n">
        <f aca="false">COUNTIF(P57:P74,"SB1")+COUNTIF(P57:P74,"SB2")</f>
        <v>1</v>
      </c>
      <c r="Q88" s="266" t="n">
        <f aca="false">COUNTIF(Q57:Q74,"SB1")+COUNTIF(Q57:Q74,"SB2")</f>
        <v>1</v>
      </c>
      <c r="R88" s="266" t="n">
        <f aca="false">COUNTIF(R57:R74,"SB1")+COUNTIF(R57:R74,"SB2")</f>
        <v>2</v>
      </c>
      <c r="S88" s="266" t="n">
        <f aca="false">COUNTIF(S57:S74,"SB1")+COUNTIF(S57:S74,"SB2")</f>
        <v>1</v>
      </c>
      <c r="T88" s="266" t="n">
        <f aca="false">COUNTIF(T57:T74,"SB1")+COUNTIF(T57:T74,"SB2")</f>
        <v>1</v>
      </c>
      <c r="U88" s="266" t="n">
        <f aca="false">COUNTIF(U57:U74,"SB1")+COUNTIF(U57:U74,"SB2")</f>
        <v>1</v>
      </c>
      <c r="V88" s="266" t="n">
        <f aca="false">COUNTIF(V57:V74,"SB1")+COUNTIF(V57:V74,"SB2")</f>
        <v>2</v>
      </c>
      <c r="W88" s="266" t="n">
        <f aca="false">COUNTIF(W57:W74,"SB1")+COUNTIF(W57:W74,"SB2")</f>
        <v>1</v>
      </c>
      <c r="X88" s="266" t="n">
        <f aca="false">COUNTIF(X57:X74,"SB1")+COUNTIF(X57:X74,"SB2")</f>
        <v>1</v>
      </c>
      <c r="Y88" s="266" t="n">
        <f aca="false">COUNTIF(Y57:Y74,"SB1")+COUNTIF(Y57:Y74,"SB2")</f>
        <v>2</v>
      </c>
      <c r="Z88" s="266" t="n">
        <f aca="false">COUNTIF(Z57:Z74,"SB1")+COUNTIF(Z57:Z74,"SB2")</f>
        <v>0</v>
      </c>
      <c r="AA88" s="266" t="n">
        <f aca="false">COUNTIF(AA57:AA74,"SB1")+COUNTIF(AA57:AA74,"SB2")</f>
        <v>1</v>
      </c>
      <c r="AB88" s="266" t="n">
        <f aca="false">COUNTIF(AB57:AB74,"SB1")+COUNTIF(AB57:AB74,"SB2")</f>
        <v>1</v>
      </c>
      <c r="AC88" s="266" t="n">
        <f aca="false">COUNTIF(AC57:AC74,"SB1")+COUNTIF(AC57:AC74,"SB2")</f>
        <v>2</v>
      </c>
      <c r="AD88" s="266" t="n">
        <f aca="false">COUNTIF(AD58:AD74,"SB1")+COUNTIF(AD58:AD74,"SB2")</f>
        <v>1</v>
      </c>
      <c r="AE88" s="266" t="n">
        <f aca="false">COUNTIF(AE57:AE74,"SB1")+COUNTIF(AE57:AE74,"SB2")</f>
        <v>1</v>
      </c>
      <c r="AF88" s="266" t="n">
        <f aca="false">COUNTIF(AF57:AF74,"SB1")+COUNTIF(AF57:AF74,"SB2")</f>
        <v>1</v>
      </c>
      <c r="AG88" s="266" t="n">
        <f aca="false">COUNTIF(AG57:AG74,"SB1")+COUNTIF(AG57:AG74,"SB2")</f>
        <v>1</v>
      </c>
      <c r="AH88" s="272"/>
      <c r="AI88" s="272"/>
      <c r="AJ88" s="272"/>
      <c r="AK88" s="272"/>
      <c r="AL88" s="278"/>
      <c r="AM88" s="278"/>
      <c r="AN88" s="278"/>
      <c r="AO88" s="278"/>
      <c r="AP88" s="278"/>
      <c r="AQ88" s="278"/>
      <c r="AR88" s="278"/>
      <c r="AS88" s="278"/>
      <c r="AT88" s="278"/>
      <c r="AU88" s="278"/>
      <c r="AV88" s="278"/>
      <c r="AW88" s="278"/>
      <c r="AX88" s="278"/>
      <c r="AY88" s="278"/>
      <c r="AZ88" s="278"/>
      <c r="BA88" s="278"/>
      <c r="BB88" s="278"/>
      <c r="BC88" s="278"/>
      <c r="BD88" s="278"/>
      <c r="BE88" s="278"/>
      <c r="BF88" s="278"/>
      <c r="BG88" s="278"/>
      <c r="BH88" s="278"/>
      <c r="BI88" s="278"/>
      <c r="BJ88" s="278"/>
      <c r="BK88" s="278"/>
      <c r="BL88" s="278"/>
      <c r="BM88" s="278"/>
      <c r="BN88" s="278"/>
      <c r="BO88" s="278"/>
      <c r="BP88" s="278"/>
    </row>
    <row r="89" customFormat="false" ht="19.5" hidden="false" customHeight="true" outlineLevel="0" collapsed="false">
      <c r="A89" s="272"/>
      <c r="B89" s="266" t="s">
        <v>862</v>
      </c>
      <c r="C89" s="266" t="n">
        <f aca="false">COUNTIF(C57:C74,"CS1")</f>
        <v>1</v>
      </c>
      <c r="D89" s="266" t="n">
        <f aca="false">COUNTIF(D2:D74,"CS1")</f>
        <v>2</v>
      </c>
      <c r="E89" s="266" t="n">
        <f aca="false">COUNTIF(E2:E74,"CS1")</f>
        <v>2</v>
      </c>
      <c r="F89" s="266" t="n">
        <f aca="false">COUNTIF(F57:F74,"CS1")</f>
        <v>0</v>
      </c>
      <c r="G89" s="266" t="n">
        <f aca="false">COUNTIF(G57:G74,"CS1")</f>
        <v>0</v>
      </c>
      <c r="H89" s="266" t="n">
        <f aca="false">COUNTIF(H57:H74,"CS1")</f>
        <v>0</v>
      </c>
      <c r="I89" s="266" t="n">
        <f aca="false">COUNTIF(I57:I74,"CS1")</f>
        <v>1</v>
      </c>
      <c r="J89" s="266" t="n">
        <f aca="false">COUNTIF(J57:J74,"CS1")</f>
        <v>1</v>
      </c>
      <c r="K89" s="266" t="n">
        <f aca="false">COUNTIF(K57:K74,"CS1")</f>
        <v>1</v>
      </c>
      <c r="L89" s="266" t="n">
        <f aca="false">COUNTIF(L57:L74,"CS1")</f>
        <v>1</v>
      </c>
      <c r="M89" s="266" t="n">
        <f aca="false">COUNTIF(M57:M74,"CS1")</f>
        <v>0</v>
      </c>
      <c r="N89" s="266" t="n">
        <f aca="false">COUNTIF(N57:N74,"CS1")</f>
        <v>0</v>
      </c>
      <c r="O89" s="266" t="n">
        <f aca="false">COUNTIF(O57:O74,"CS1")</f>
        <v>1</v>
      </c>
      <c r="P89" s="266" t="n">
        <f aca="false">COUNTIF(P57:P74,"CS1")</f>
        <v>1</v>
      </c>
      <c r="Q89" s="266" t="n">
        <f aca="false">COUNTIF(Q57:Q74,"CS1")</f>
        <v>1</v>
      </c>
      <c r="R89" s="266" t="n">
        <f aca="false">COUNTIF(R57:R74,"CS1")</f>
        <v>1</v>
      </c>
      <c r="S89" s="266" t="n">
        <f aca="false">COUNTIF(S57:S74,"CS1")</f>
        <v>1</v>
      </c>
      <c r="T89" s="266" t="n">
        <f aca="false">COUNTIF(T57:T74,"CS1")</f>
        <v>0</v>
      </c>
      <c r="U89" s="266" t="n">
        <f aca="false">COUNTIF(U57:U74,"CS1")</f>
        <v>0</v>
      </c>
      <c r="V89" s="266" t="n">
        <f aca="false">COUNTIF(V57:V74,"CS1")</f>
        <v>1</v>
      </c>
      <c r="W89" s="266" t="n">
        <f aca="false">COUNTIF(W57:W74,"CS1")</f>
        <v>1</v>
      </c>
      <c r="X89" s="266" t="n">
        <f aca="false">COUNTIF(X57:X74,"CS1")</f>
        <v>1</v>
      </c>
      <c r="Y89" s="266" t="n">
        <f aca="false">COUNTIF(Y57:Y74,"CS1")</f>
        <v>1</v>
      </c>
      <c r="Z89" s="266" t="n">
        <f aca="false">COUNTIF(Z57:Z74,"CS1")</f>
        <v>1</v>
      </c>
      <c r="AA89" s="266" t="n">
        <f aca="false">COUNTIF(AA57:AA74,"CS1")</f>
        <v>0</v>
      </c>
      <c r="AB89" s="266" t="n">
        <f aca="false">COUNTIF(AB57:AB74,"CS1")</f>
        <v>0</v>
      </c>
      <c r="AC89" s="266" t="n">
        <f aca="false">COUNTIF(AC57:AC74,"CS1")</f>
        <v>1</v>
      </c>
      <c r="AD89" s="266" t="n">
        <f aca="false">COUNTIF(AD58:AD74,"CS1")</f>
        <v>1</v>
      </c>
      <c r="AE89" s="266" t="n">
        <f aca="false">COUNTIF(AE57:AE74,"CS1")</f>
        <v>1</v>
      </c>
      <c r="AF89" s="266" t="n">
        <f aca="false">COUNTIF(AF57:AF74,"CS1")</f>
        <v>1</v>
      </c>
      <c r="AG89" s="266" t="n">
        <f aca="false">COUNTIF(AG57:AG74,"CS1")</f>
        <v>1</v>
      </c>
      <c r="AH89" s="272"/>
      <c r="AI89" s="272"/>
      <c r="AJ89" s="272"/>
      <c r="AK89" s="272"/>
      <c r="AL89" s="278"/>
      <c r="AM89" s="278"/>
      <c r="AN89" s="278"/>
      <c r="AO89" s="278"/>
      <c r="AP89" s="278"/>
      <c r="AQ89" s="278"/>
      <c r="AR89" s="278"/>
      <c r="AS89" s="278"/>
      <c r="AT89" s="278"/>
      <c r="AU89" s="278"/>
      <c r="AV89" s="278"/>
      <c r="AW89" s="278"/>
      <c r="AX89" s="278"/>
      <c r="AY89" s="278"/>
      <c r="AZ89" s="278"/>
      <c r="BA89" s="278"/>
      <c r="BB89" s="278"/>
      <c r="BC89" s="278"/>
      <c r="BD89" s="278"/>
      <c r="BE89" s="278"/>
      <c r="BF89" s="278"/>
      <c r="BG89" s="278"/>
      <c r="BH89" s="278"/>
      <c r="BI89" s="278"/>
      <c r="BJ89" s="278"/>
      <c r="BK89" s="278"/>
      <c r="BL89" s="278"/>
      <c r="BM89" s="278"/>
      <c r="BN89" s="278"/>
      <c r="BO89" s="278"/>
      <c r="BP89" s="278"/>
    </row>
    <row r="90" customFormat="false" ht="19.5" hidden="false" customHeight="true" outlineLevel="0" collapsed="false">
      <c r="A90" s="272"/>
      <c r="B90" s="266" t="s">
        <v>863</v>
      </c>
      <c r="C90" s="266" t="n">
        <f aca="false">COUNTIF(C57:C74,"AE")</f>
        <v>1</v>
      </c>
      <c r="D90" s="266" t="n">
        <f aca="false">COUNTIF(D2:D74,"AE")</f>
        <v>2</v>
      </c>
      <c r="E90" s="266" t="n">
        <f aca="false">COUNTIF(E2:E74,"AE")</f>
        <v>2</v>
      </c>
      <c r="F90" s="266" t="n">
        <f aca="false">COUNTIF(F57:F74,"AE")</f>
        <v>0</v>
      </c>
      <c r="G90" s="266" t="n">
        <f aca="false">COUNTIF(G57:G74,"AE")</f>
        <v>0</v>
      </c>
      <c r="H90" s="266" t="n">
        <f aca="false">COUNTIF(H57:H74,"AE")</f>
        <v>1</v>
      </c>
      <c r="I90" s="266" t="n">
        <f aca="false">COUNTIF(I57:I74,"AE")</f>
        <v>1</v>
      </c>
      <c r="J90" s="266" t="n">
        <f aca="false">COUNTIF(J57:J74,"AE")</f>
        <v>1</v>
      </c>
      <c r="K90" s="266" t="n">
        <f aca="false">COUNTIF(K57:K74,"AE")</f>
        <v>1</v>
      </c>
      <c r="L90" s="266" t="n">
        <f aca="false">COUNTIF(L57:L74,"AE")</f>
        <v>1</v>
      </c>
      <c r="M90" s="266" t="n">
        <f aca="false">COUNTIF(M57:M74,"AE")</f>
        <v>0</v>
      </c>
      <c r="N90" s="266" t="n">
        <f aca="false">COUNTIF(N57:N74,"AE")</f>
        <v>0</v>
      </c>
      <c r="O90" s="266" t="n">
        <f aca="false">COUNTIF(O57:O74,"AE")</f>
        <v>1</v>
      </c>
      <c r="P90" s="266" t="n">
        <f aca="false">COUNTIF(P57:P74,"AE")</f>
        <v>1</v>
      </c>
      <c r="Q90" s="266" t="n">
        <f aca="false">COUNTIF(Q57:Q74,"AE")</f>
        <v>0</v>
      </c>
      <c r="R90" s="266" t="n">
        <f aca="false">COUNTIF(R57:R74,"AE")</f>
        <v>1</v>
      </c>
      <c r="S90" s="266" t="n">
        <f aca="false">COUNTIF(S57:S74,"AE")</f>
        <v>1</v>
      </c>
      <c r="T90" s="266" t="n">
        <f aca="false">COUNTIF(T57:T74,"AE")</f>
        <v>0</v>
      </c>
      <c r="U90" s="266" t="n">
        <f aca="false">COUNTIF(U57:U74,"AE")</f>
        <v>0</v>
      </c>
      <c r="V90" s="266" t="n">
        <f aca="false">COUNTIF(V57:V74,"AE")</f>
        <v>1</v>
      </c>
      <c r="W90" s="266" t="n">
        <f aca="false">COUNTIF(W57:W74,"AE")</f>
        <v>1</v>
      </c>
      <c r="X90" s="266" t="n">
        <f aca="false">COUNTIF(X57:X74,"AE")</f>
        <v>1</v>
      </c>
      <c r="Y90" s="266" t="n">
        <f aca="false">COUNTIF(Y57:Y74,"AE")</f>
        <v>1</v>
      </c>
      <c r="Z90" s="266" t="n">
        <f aca="false">COUNTIF(Z57:Z74,"AE")</f>
        <v>1</v>
      </c>
      <c r="AA90" s="266" t="n">
        <f aca="false">COUNTIF(AA57:AA74,"AE")</f>
        <v>0</v>
      </c>
      <c r="AB90" s="266" t="n">
        <f aca="false">COUNTIF(AB57:AB74,"AE")</f>
        <v>0</v>
      </c>
      <c r="AC90" s="266" t="n">
        <f aca="false">COUNTIF(AC57:AC74,"AE")</f>
        <v>1</v>
      </c>
      <c r="AD90" s="266" t="n">
        <f aca="false">COUNTIF(AD58:AD74,"AE")</f>
        <v>1</v>
      </c>
      <c r="AE90" s="266" t="n">
        <f aca="false">COUNTIF(AE57:AE74,"AE")</f>
        <v>1</v>
      </c>
      <c r="AF90" s="266" t="n">
        <f aca="false">COUNTIF(AF57:AF74,"AE")</f>
        <v>1</v>
      </c>
      <c r="AG90" s="266" t="n">
        <f aca="false">COUNTIF(AG57:AG74,"AE")</f>
        <v>1</v>
      </c>
      <c r="AH90" s="272"/>
      <c r="AI90" s="272"/>
      <c r="AJ90" s="272"/>
      <c r="AK90" s="272"/>
      <c r="AL90" s="278"/>
      <c r="AM90" s="278"/>
      <c r="AN90" s="278"/>
      <c r="AO90" s="278"/>
      <c r="AP90" s="278"/>
      <c r="AQ90" s="278"/>
      <c r="AR90" s="278"/>
      <c r="AS90" s="278"/>
      <c r="AT90" s="278"/>
      <c r="AU90" s="278"/>
      <c r="AV90" s="278"/>
      <c r="AW90" s="278"/>
      <c r="AX90" s="278"/>
      <c r="AY90" s="278"/>
      <c r="AZ90" s="278"/>
      <c r="BA90" s="278"/>
      <c r="BB90" s="278"/>
      <c r="BC90" s="278"/>
      <c r="BD90" s="278"/>
      <c r="BE90" s="278"/>
      <c r="BF90" s="278"/>
      <c r="BG90" s="278"/>
      <c r="BH90" s="278"/>
      <c r="BI90" s="278"/>
      <c r="BJ90" s="278"/>
      <c r="BK90" s="278"/>
      <c r="BL90" s="278"/>
      <c r="BM90" s="278"/>
      <c r="BN90" s="278"/>
      <c r="BO90" s="278"/>
      <c r="BP90" s="278"/>
    </row>
    <row r="91" customFormat="false" ht="19.5" hidden="false" customHeight="true" outlineLevel="0" collapsed="false">
      <c r="A91" s="272"/>
      <c r="B91" s="266" t="s">
        <v>864</v>
      </c>
      <c r="C91" s="266" t="n">
        <f aca="false">SUM(C87:C90)</f>
        <v>4</v>
      </c>
      <c r="D91" s="266" t="n">
        <f aca="false">SUM(D87:D90)</f>
        <v>10</v>
      </c>
      <c r="E91" s="266" t="n">
        <f aca="false">SUM(E87:E90)</f>
        <v>10</v>
      </c>
      <c r="F91" s="266" t="n">
        <f aca="false">SUM(F87:F90)</f>
        <v>1</v>
      </c>
      <c r="G91" s="266" t="n">
        <f aca="false">SUM(G87:G90)</f>
        <v>2</v>
      </c>
      <c r="H91" s="266" t="n">
        <f aca="false">SUM(H87:H90)</f>
        <v>4</v>
      </c>
      <c r="I91" s="266" t="n">
        <f aca="false">SUM(I87:I90)</f>
        <v>4</v>
      </c>
      <c r="J91" s="266" t="n">
        <f aca="false">SUM(J87:J90)</f>
        <v>4</v>
      </c>
      <c r="K91" s="266" t="n">
        <f aca="false">SUM(K87:K90)</f>
        <v>5</v>
      </c>
      <c r="L91" s="266" t="n">
        <f aca="false">SUM(L87:L90)</f>
        <v>4</v>
      </c>
      <c r="M91" s="266" t="n">
        <f aca="false">SUM(M87:M90)</f>
        <v>0</v>
      </c>
      <c r="N91" s="266" t="n">
        <f aca="false">SUM(N87:N90)</f>
        <v>2</v>
      </c>
      <c r="O91" s="266" t="n">
        <f aca="false">SUM(O87:O90)</f>
        <v>5</v>
      </c>
      <c r="P91" s="266" t="n">
        <f aca="false">SUM(P87:P90)</f>
        <v>4</v>
      </c>
      <c r="Q91" s="266" t="n">
        <f aca="false">SUM(Q87:Q90)</f>
        <v>3</v>
      </c>
      <c r="R91" s="266" t="n">
        <f aca="false">SUM(R87:R90)</f>
        <v>5</v>
      </c>
      <c r="S91" s="266" t="n">
        <f aca="false">SUM(S87:S90)</f>
        <v>4</v>
      </c>
      <c r="T91" s="266" t="n">
        <f aca="false">SUM(T87:T90)</f>
        <v>1</v>
      </c>
      <c r="U91" s="266" t="n">
        <f aca="false">SUM(U87:U90)</f>
        <v>1</v>
      </c>
      <c r="V91" s="266" t="n">
        <f aca="false">SUM(V87:V90)</f>
        <v>5</v>
      </c>
      <c r="W91" s="266" t="n">
        <f aca="false">SUM(W87:W90)</f>
        <v>4</v>
      </c>
      <c r="X91" s="266" t="n">
        <f aca="false">SUM(X87:X90)</f>
        <v>4</v>
      </c>
      <c r="Y91" s="266" t="n">
        <f aca="false">SUM(Y87:Y90)</f>
        <v>5</v>
      </c>
      <c r="Z91" s="266" t="n">
        <f aca="false">SUM(Z87:Z90)</f>
        <v>3</v>
      </c>
      <c r="AA91" s="266" t="n">
        <f aca="false">SUM(AA87:AA90)</f>
        <v>1</v>
      </c>
      <c r="AB91" s="266" t="n">
        <f aca="false">SUM(AB87:AB90)</f>
        <v>1</v>
      </c>
      <c r="AC91" s="266" t="n">
        <f aca="false">SUM(AC87:AC90)</f>
        <v>5</v>
      </c>
      <c r="AD91" s="266" t="n">
        <f aca="false">SUM(AD87:AD90)</f>
        <v>4</v>
      </c>
      <c r="AE91" s="266" t="n">
        <f aca="false">SUM(AE87:AE90)</f>
        <v>4</v>
      </c>
      <c r="AF91" s="266" t="n">
        <f aca="false">SUM(AF87:AF90)</f>
        <v>4</v>
      </c>
      <c r="AG91" s="266" t="n">
        <f aca="false">SUM(AG87:AG90)</f>
        <v>4</v>
      </c>
      <c r="AH91" s="272"/>
      <c r="AI91" s="272"/>
      <c r="AJ91" s="272"/>
      <c r="AK91" s="272"/>
      <c r="AL91" s="278"/>
      <c r="AM91" s="278"/>
      <c r="AN91" s="278"/>
      <c r="AO91" s="278"/>
      <c r="AP91" s="278"/>
      <c r="AQ91" s="278"/>
      <c r="AR91" s="278"/>
      <c r="AS91" s="278"/>
      <c r="AT91" s="278"/>
      <c r="AU91" s="278"/>
      <c r="AV91" s="278"/>
      <c r="AW91" s="278"/>
      <c r="AX91" s="278"/>
      <c r="AY91" s="278"/>
      <c r="AZ91" s="278"/>
      <c r="BA91" s="278"/>
      <c r="BB91" s="278"/>
      <c r="BC91" s="278"/>
      <c r="BD91" s="278"/>
      <c r="BE91" s="278"/>
      <c r="BF91" s="278"/>
      <c r="BG91" s="278"/>
      <c r="BH91" s="278"/>
      <c r="BI91" s="278"/>
      <c r="BJ91" s="278"/>
      <c r="BK91" s="278"/>
      <c r="BL91" s="278"/>
      <c r="BM91" s="278"/>
      <c r="BN91" s="278"/>
      <c r="BO91" s="278"/>
      <c r="BP91" s="278"/>
    </row>
    <row r="92" customFormat="false" ht="19.5" hidden="false" customHeight="true" outlineLevel="0" collapsed="false">
      <c r="A92" s="272"/>
      <c r="B92" s="266"/>
      <c r="C92" s="266"/>
      <c r="D92" s="266"/>
      <c r="E92" s="266"/>
      <c r="F92" s="266"/>
      <c r="G92" s="266"/>
      <c r="H92" s="266"/>
      <c r="I92" s="266"/>
      <c r="J92" s="266"/>
      <c r="K92" s="266"/>
      <c r="L92" s="266"/>
      <c r="M92" s="266"/>
      <c r="N92" s="266"/>
      <c r="O92" s="266"/>
      <c r="P92" s="266"/>
      <c r="Q92" s="266"/>
      <c r="R92" s="266"/>
      <c r="S92" s="266"/>
      <c r="T92" s="266"/>
      <c r="U92" s="266"/>
      <c r="V92" s="266"/>
      <c r="W92" s="266"/>
      <c r="X92" s="266"/>
      <c r="Y92" s="266"/>
      <c r="Z92" s="266"/>
      <c r="AA92" s="266"/>
      <c r="AB92" s="266"/>
      <c r="AC92" s="266"/>
      <c r="AD92" s="266"/>
      <c r="AE92" s="266"/>
      <c r="AF92" s="266"/>
      <c r="AG92" s="266"/>
      <c r="AH92" s="272"/>
      <c r="AI92" s="272"/>
      <c r="AJ92" s="272"/>
      <c r="AK92" s="272"/>
      <c r="AL92" s="278"/>
      <c r="AM92" s="278"/>
      <c r="AN92" s="278"/>
      <c r="AO92" s="278"/>
      <c r="AP92" s="278"/>
      <c r="AQ92" s="278"/>
      <c r="AR92" s="278"/>
      <c r="AS92" s="278"/>
      <c r="AT92" s="278"/>
      <c r="AU92" s="278"/>
      <c r="AV92" s="278"/>
      <c r="AW92" s="278"/>
      <c r="AX92" s="278"/>
      <c r="AY92" s="278"/>
      <c r="AZ92" s="278"/>
      <c r="BA92" s="278"/>
      <c r="BB92" s="278"/>
      <c r="BC92" s="278"/>
      <c r="BD92" s="278"/>
      <c r="BE92" s="278"/>
      <c r="BF92" s="278"/>
      <c r="BG92" s="278"/>
      <c r="BH92" s="278"/>
      <c r="BI92" s="278"/>
      <c r="BJ92" s="278"/>
      <c r="BK92" s="278"/>
      <c r="BL92" s="278"/>
      <c r="BM92" s="278"/>
      <c r="BN92" s="278"/>
      <c r="BO92" s="278"/>
      <c r="BP92" s="278"/>
    </row>
    <row r="93" customFormat="false" ht="19.5" hidden="false" customHeight="true" outlineLevel="0" collapsed="false">
      <c r="A93" s="272"/>
      <c r="B93" s="266"/>
      <c r="C93" s="266"/>
      <c r="D93" s="266"/>
      <c r="E93" s="266"/>
      <c r="F93" s="266"/>
      <c r="G93" s="266"/>
      <c r="H93" s="266"/>
      <c r="I93" s="266"/>
      <c r="J93" s="266"/>
      <c r="K93" s="266"/>
      <c r="L93" s="266"/>
      <c r="M93" s="266"/>
      <c r="N93" s="266"/>
      <c r="O93" s="266"/>
      <c r="P93" s="266"/>
      <c r="Q93" s="266"/>
      <c r="R93" s="266"/>
      <c r="S93" s="266"/>
      <c r="T93" s="266"/>
      <c r="U93" s="266"/>
      <c r="V93" s="266"/>
      <c r="W93" s="266"/>
      <c r="X93" s="266"/>
      <c r="Y93" s="266"/>
      <c r="Z93" s="266"/>
      <c r="AA93" s="266"/>
      <c r="AB93" s="266"/>
      <c r="AC93" s="266"/>
      <c r="AD93" s="266"/>
      <c r="AE93" s="266"/>
      <c r="AF93" s="266"/>
      <c r="AG93" s="266"/>
      <c r="AH93" s="272"/>
      <c r="AI93" s="272"/>
      <c r="AJ93" s="272"/>
      <c r="AK93" s="272"/>
      <c r="AL93" s="278"/>
      <c r="AM93" s="278"/>
      <c r="AN93" s="278"/>
      <c r="AO93" s="278"/>
      <c r="AP93" s="278"/>
      <c r="AQ93" s="278"/>
      <c r="AR93" s="278"/>
      <c r="AS93" s="278"/>
      <c r="AT93" s="278"/>
      <c r="AU93" s="278"/>
      <c r="AV93" s="278"/>
      <c r="AW93" s="278"/>
      <c r="AX93" s="278"/>
      <c r="AY93" s="278"/>
      <c r="AZ93" s="278"/>
      <c r="BA93" s="278"/>
      <c r="BB93" s="278"/>
      <c r="BC93" s="278"/>
      <c r="BD93" s="278"/>
      <c r="BE93" s="278"/>
      <c r="BF93" s="278"/>
      <c r="BG93" s="278"/>
      <c r="BH93" s="278"/>
      <c r="BI93" s="278"/>
      <c r="BJ93" s="278"/>
      <c r="BK93" s="278"/>
      <c r="BL93" s="278"/>
      <c r="BM93" s="278"/>
      <c r="BN93" s="278"/>
      <c r="BO93" s="278"/>
      <c r="BP93" s="278"/>
    </row>
    <row r="94" customFormat="false" ht="19.5" hidden="false" customHeight="true" outlineLevel="0" collapsed="false">
      <c r="A94" s="272"/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6"/>
      <c r="N94" s="266"/>
      <c r="O94" s="266"/>
      <c r="P94" s="266"/>
      <c r="Q94" s="266"/>
      <c r="R94" s="266"/>
      <c r="S94" s="266"/>
      <c r="T94" s="266"/>
      <c r="U94" s="266"/>
      <c r="V94" s="266"/>
      <c r="W94" s="266"/>
      <c r="X94" s="266"/>
      <c r="Y94" s="266"/>
      <c r="Z94" s="266"/>
      <c r="AA94" s="266"/>
      <c r="AB94" s="266"/>
      <c r="AC94" s="266"/>
      <c r="AD94" s="266"/>
      <c r="AE94" s="266"/>
      <c r="AF94" s="266"/>
      <c r="AG94" s="266"/>
      <c r="AH94" s="272"/>
      <c r="AI94" s="272"/>
      <c r="AJ94" s="272"/>
      <c r="AK94" s="272"/>
      <c r="AL94" s="278"/>
      <c r="AM94" s="278"/>
      <c r="AN94" s="278"/>
      <c r="AO94" s="278"/>
      <c r="AP94" s="278"/>
      <c r="AQ94" s="278"/>
      <c r="AR94" s="278"/>
      <c r="AS94" s="278"/>
      <c r="AT94" s="278"/>
      <c r="AU94" s="278"/>
      <c r="AV94" s="278"/>
      <c r="AW94" s="278"/>
      <c r="AX94" s="278"/>
      <c r="AY94" s="278"/>
      <c r="AZ94" s="278"/>
      <c r="BA94" s="278"/>
      <c r="BB94" s="278"/>
      <c r="BC94" s="278"/>
      <c r="BD94" s="278"/>
      <c r="BE94" s="278"/>
      <c r="BF94" s="278"/>
      <c r="BG94" s="278"/>
      <c r="BH94" s="278"/>
      <c r="BI94" s="278"/>
      <c r="BJ94" s="278"/>
      <c r="BK94" s="278"/>
      <c r="BL94" s="278"/>
      <c r="BM94" s="278"/>
      <c r="BN94" s="278"/>
      <c r="BO94" s="278"/>
      <c r="BP94" s="278"/>
    </row>
    <row r="95" customFormat="false" ht="19.5" hidden="false" customHeight="true" outlineLevel="0" collapsed="false">
      <c r="A95" s="272"/>
      <c r="B95" s="266"/>
      <c r="C95" s="266"/>
      <c r="D95" s="266"/>
      <c r="E95" s="266"/>
      <c r="F95" s="266"/>
      <c r="G95" s="266"/>
      <c r="H95" s="266"/>
      <c r="I95" s="266"/>
      <c r="J95" s="266"/>
      <c r="K95" s="266"/>
      <c r="L95" s="266"/>
      <c r="M95" s="266"/>
      <c r="N95" s="266"/>
      <c r="O95" s="266"/>
      <c r="P95" s="266"/>
      <c r="Q95" s="266"/>
      <c r="R95" s="266"/>
      <c r="S95" s="266"/>
      <c r="T95" s="266"/>
      <c r="U95" s="266"/>
      <c r="V95" s="266"/>
      <c r="W95" s="266"/>
      <c r="X95" s="266"/>
      <c r="Y95" s="266"/>
      <c r="Z95" s="266"/>
      <c r="AA95" s="266"/>
      <c r="AB95" s="266"/>
      <c r="AC95" s="266"/>
      <c r="AD95" s="266"/>
      <c r="AE95" s="266"/>
      <c r="AF95" s="266"/>
      <c r="AG95" s="266"/>
      <c r="AH95" s="272"/>
      <c r="AI95" s="272"/>
      <c r="AJ95" s="272"/>
      <c r="AK95" s="272"/>
      <c r="AL95" s="278"/>
      <c r="AM95" s="278"/>
      <c r="AN95" s="278"/>
      <c r="AO95" s="278"/>
      <c r="AP95" s="278"/>
      <c r="AQ95" s="278"/>
      <c r="AR95" s="278"/>
      <c r="AS95" s="278"/>
      <c r="AT95" s="278"/>
      <c r="AU95" s="278"/>
      <c r="AV95" s="278"/>
      <c r="AW95" s="278"/>
      <c r="AX95" s="278"/>
      <c r="AY95" s="278"/>
      <c r="AZ95" s="278"/>
      <c r="BA95" s="278"/>
      <c r="BB95" s="278"/>
      <c r="BC95" s="278"/>
      <c r="BD95" s="278"/>
      <c r="BE95" s="278"/>
      <c r="BF95" s="278"/>
      <c r="BG95" s="278"/>
      <c r="BH95" s="278"/>
      <c r="BI95" s="278"/>
      <c r="BJ95" s="278"/>
      <c r="BK95" s="278"/>
      <c r="BL95" s="278"/>
      <c r="BM95" s="278"/>
      <c r="BN95" s="278"/>
      <c r="BO95" s="278"/>
      <c r="BP95" s="278"/>
    </row>
  </sheetData>
  <mergeCells count="3">
    <mergeCell ref="C1:S1"/>
    <mergeCell ref="AQ3:AQ4"/>
    <mergeCell ref="AR3:AR4"/>
  </mergeCells>
  <conditionalFormatting sqref="P23">
    <cfRule type="expression" priority="2" aboveAverage="0" equalAverage="0" bottom="0" percent="0" rank="0" text="" dxfId="21">
      <formula>WEEKDAY(AJ$3,2)&gt;5</formula>
    </cfRule>
  </conditionalFormatting>
  <conditionalFormatting sqref="G27">
    <cfRule type="expression" priority="3" aboveAverage="0" equalAverage="0" bottom="0" percent="0" rank="0" text="" dxfId="21">
      <formula>WEEKDAY(G$3,2)&gt;5</formula>
    </cfRule>
  </conditionalFormatting>
  <conditionalFormatting sqref="AC24">
    <cfRule type="expression" priority="4" aboveAverage="0" equalAverage="0" bottom="0" percent="0" rank="0" text="" dxfId="21">
      <formula>WEEKDAY(T$3,2)&gt;5</formula>
    </cfRule>
    <cfRule type="expression" priority="5" aboveAverage="0" equalAverage="0" bottom="0" percent="0" rank="0" text="" dxfId="21">
      <formula>WEEKDAY(U$3,2)&gt;5</formula>
    </cfRule>
  </conditionalFormatting>
  <conditionalFormatting sqref="Q23">
    <cfRule type="expression" priority="6" aboveAverage="0" equalAverage="0" bottom="0" percent="0" rank="0" text="" dxfId="21">
      <formula>WEEKDAY(T$3,2)&gt;5</formula>
    </cfRule>
    <cfRule type="expression" priority="7" aboveAverage="0" equalAverage="0" bottom="0" percent="0" rank="0" text="" dxfId="21">
      <formula>WEEKDAY(U$3,2)&gt;5</formula>
    </cfRule>
  </conditionalFormatting>
  <conditionalFormatting sqref="D28">
    <cfRule type="expression" priority="8" aboveAverage="0" equalAverage="0" bottom="0" percent="0" rank="0" text="" dxfId="21">
      <formula>WEEKDAY(G$3,2)&gt;5</formula>
    </cfRule>
    <cfRule type="expression" priority="9" aboveAverage="0" equalAverage="0" bottom="0" percent="0" rank="0" text="" dxfId="21">
      <formula>WEEKDAY(F$3,2)&gt;5</formula>
    </cfRule>
  </conditionalFormatting>
  <conditionalFormatting sqref="D9 H23 E25 T27 G28:H28 M28 R29 F31 H32 G35">
    <cfRule type="expression" priority="10" aboveAverage="0" equalAverage="0" bottom="0" percent="0" rank="0" text="" dxfId="21">
      <formula>WEEKDAY(E$3,2)&gt;5</formula>
    </cfRule>
  </conditionalFormatting>
  <conditionalFormatting sqref="C5:C7 D5 E5:E9 F5:F12 G5:G11 I5:K5 L5:L6 M5:M9 N5:N7 O5:O6 P5:P8 Q5:R5 V5:W5 Z5 AB5:AB6 AC5:AD5 H6:H28 T6:T7 J7:J8 K7 R7:R11 V7:V12 W7:Z7 AF7:AF8 AG7:AG10 S8:S9 U8:U9 AD8:AE8 C9:C27 D9 N9 Q9:Q11 W9 Z9 I10:I27 J10:J12 T10:T12 Y10:Y26 AA10 AB10:AB11 AC10:AD12 AE10 AF10:AF11 D11:D12 E11:E21 K11:K22 L11:L12 M11 N11:O12 P11 S11 U11:U22 W11:W26 X11:X23 Z11 AA12 AE12:AE15 AG12 G13:G21 M13:M21 P13:P21 Q13:Q27 R13:R25 S13:S19 Z13:Z19 O14:O25 T14:T15 V14:V15 AA14:AA22 AB14:AC15 AD14:AD22 AF14:AF15 AG14:AG21 AE17:AE22 L19 S21:S25 Z21:Z22 D22:D30 F22:F27 L22:L28 V22:V23 AB22:AB25 E23:E26 M23:M28 N23:N25 P23:P25 T23 AF23:AF25 AG23:AG26 G24:G30 K24:K25 U24:U27 AA24 AC24 AD24:AE25 J25 T25 V25:V26 X25 AA26 AC26:AC27 J27:J28 K27 N27 O27:O30 P27:P28 R27:R32 S27:T28 X27 Z27:Z29 AB27 AD27 AE28:AE30 C29:C32 E29 F29:F31 I29 N29 V29:V32 W29 X29:X30 AC29:AC35 AD29 L30:M30 Q30 S30:S32 T30:U30 AF30:AF34 E31:E32 H31:J32 W31:W37 Y31:Y32 AB31 AD31 AG31 D32:D34 G32 K32:L32 M32:M33 N32:O32 AA32 AE32 Q33:Q34 AD33 C34 F34 G34:G35 K34:K35 L34 N34 O34:O35 P34 R34:R40 S34 U34 V34:V35 X34 AB34 AE34 I35 J35:J36 T35 C36 E36:E56 F36 H36 L36 M36:M37 S36:S38 X36:X37 AD36 N37:N40 O37:O38 AE37:AF38 F38:F39 G38:G40 J38:J42 P38 T38:T40 U38:V38 AC38:AD38 AG38 H39:I39 K39:K42 L39:L57 M39:M42 C40:C76 O40:P40 W40:W57 X40:X62 Z40:Z41 AB40:AB42 AC40 H41:H43 I41:I42 S41:S43 AE41 D42 F42:F43 G42 O42:O55 R42:R43 T42:T43 U42 V42:V43 AA42 AC42:AD59 Q43 Y43 AF43 M44:M56 Z44:Z56 AB44:AB59 AE44:AE46 K45:K57 P45:P46 Q45:Q56 R45:R57 S45:V46 Y45:Y46 AA45:AA56 AF45:AG46 D46 F46:G46 H46:H59 I46:J46 N46 B48:B54 D48:D55 F48:G55 I48:J55 N48:N55 P48:P55 S48:V55 Y48:Y55 AE48:AG55 S57 E58:E59 M58:M62 Y58:Y62 Z58:Z72 AA58:AA59 AF58:AF59 L59:L63 Q59:Q62 W59:W62 K60:K62 AE60:AE63 D61:J62 N61:P62 R61:R62 S61 T61:V62 AA61:AA69 AB61:AD76 AF61:AG61 F65 H65:H67 L65 R66 K67 AF67 L68:L69 T68 Y68 AE68:AE70 H69:H72 AG69 S70 Y70 K71 AA71:AA72 Q72:R72 Y72 AE72:AE76 L74:L76 Z74:Z76 D75:K76 M75:Y76 AA75:AA76 AF75:AG76">
    <cfRule type="cellIs" priority="11" operator="equal" aboveAverage="0" equalAverage="0" bottom="0" percent="0" rank="0" text="" dxfId="23">
      <formula>"B"</formula>
    </cfRule>
    <cfRule type="cellIs" priority="12" operator="equal" aboveAverage="0" equalAverage="0" bottom="0" percent="0" rank="0" text="" dxfId="23">
      <formula>"AL"</formula>
    </cfRule>
    <cfRule type="cellIs" priority="13" operator="equal" aboveAverage="0" equalAverage="0" bottom="0" percent="0" rank="0" text="" dxfId="24">
      <formula>"DM"</formula>
    </cfRule>
    <cfRule type="cellIs" priority="14" operator="equal" aboveAverage="0" equalAverage="0" bottom="0" percent="0" rank="0" text="" dxfId="25">
      <formula>"CS1"</formula>
    </cfRule>
    <cfRule type="cellIs" priority="15" operator="equal" aboveAverage="0" equalAverage="0" bottom="0" percent="0" rank="0" text="" dxfId="26">
      <formula>"CS2"</formula>
    </cfRule>
    <cfRule type="cellIs" priority="16" operator="equal" aboveAverage="0" equalAverage="0" bottom="0" percent="0" rank="0" text="" dxfId="27">
      <formula>"SB1"</formula>
    </cfRule>
    <cfRule type="cellIs" priority="17" operator="equal" aboveAverage="0" equalAverage="0" bottom="0" percent="0" rank="0" text="" dxfId="28">
      <formula>"SB2"</formula>
    </cfRule>
    <cfRule type="cellIs" priority="18" operator="equal" aboveAverage="0" equalAverage="0" bottom="0" percent="0" rank="0" text="" dxfId="29">
      <formula>"AE"</formula>
    </cfRule>
    <cfRule type="cellIs" priority="19" operator="equal" aboveAverage="0" equalAverage="0" bottom="0" percent="0" rank="0" text="" dxfId="23">
      <formula>"DB"</formula>
    </cfRule>
    <cfRule type="containsText" priority="20" operator="containsText" aboveAverage="0" equalAverage="0" bottom="0" percent="0" rank="0" text="$AM" dxfId="30">
      <formula>NOT(ISERROR(SEARCH("$AM",B5)))</formula>
    </cfRule>
    <cfRule type="containsText" priority="21" operator="containsText" aboveAverage="0" equalAverage="0" bottom="0" percent="0" rank="0" text="$PM" dxfId="31">
      <formula>NOT(ISERROR(SEARCH("$PM",B5)))</formula>
    </cfRule>
    <cfRule type="containsText" priority="22" operator="containsText" aboveAverage="0" equalAverage="0" bottom="0" percent="0" rank="0" text="$L" dxfId="32">
      <formula>NOT(ISERROR(SEARCH("$L",B5)))</formula>
    </cfRule>
    <cfRule type="containsText" priority="23" operator="containsText" aboveAverage="0" equalAverage="0" bottom="0" percent="0" rank="0" text="$BTP" dxfId="33">
      <formula>NOT(ISERROR(SEARCH("$BTP",B5)))</formula>
    </cfRule>
    <cfRule type="containsText" priority="24" operator="containsText" aboveAverage="0" equalAverage="0" bottom="0" percent="0" rank="0" text="$M" dxfId="34">
      <formula>NOT(ISERROR(SEARCH("$M",B5)))</formula>
    </cfRule>
    <cfRule type="containsText" priority="25" operator="containsText" aboveAverage="0" equalAverage="0" bottom="0" percent="0" rank="0" text="$N" dxfId="35">
      <formula>NOT(ISERROR(SEARCH("$N",B5)))</formula>
    </cfRule>
    <cfRule type="containsText" priority="26" operator="containsText" aboveAverage="0" equalAverage="0" bottom="0" percent="0" rank="0" text="$FC" dxfId="36">
      <formula>NOT(ISERROR(SEARCH("$FC",B5)))</formula>
    </cfRule>
    <cfRule type="containsText" priority="27" operator="containsText" aboveAverage="0" equalAverage="0" bottom="0" percent="0" rank="0" text="OAL" dxfId="37">
      <formula>NOT(ISERROR(SEARCH("OAL",B5)))</formula>
    </cfRule>
    <cfRule type="containsText" priority="28" operator="containsText" aboveAverage="0" equalAverage="0" bottom="0" percent="0" rank="0" text="S+" dxfId="38">
      <formula>NOT(ISERROR(SEARCH("S+",B5)))</formula>
    </cfRule>
    <cfRule type="containsText" priority="29" operator="containsText" aboveAverage="0" equalAverage="0" bottom="0" percent="0" rank="0" text="EX-D" dxfId="39">
      <formula>NOT(ISERROR(SEARCH("EX-D",B5)))</formula>
    </cfRule>
  </conditionalFormatting>
  <conditionalFormatting sqref="D5 E5:E9 F5:F12 G5:G11 I5:L5 M5:M9 N5:N7 O5:O6 P5:P8 Q5 V5:W5 Z5:AA5 AB5:AB6 AC5:AD5 C6:C7 H6:H28 T6:T7 J7:J8 K7 V7:V23 W7:Z7 AA7:AA10 AC7:AC8 AF7:AF8 AG7:AG10 S8:S9 U8:U9 AB8 AD8:AE8 C9:C27 D9 N9 Q9:R11 W9 Y9:Y26 Z9 I10:I27 J10:J12 T10:T12 AB10:AB27 AC10:AD12 AE10:AE22 AF10:AF11 D11:D12 E11:E21 K11:K22 L11:L12 M11 N11:O12 P11 S11 U11:U22 W11:W26 X11:X23 Z11:Z22 AA12:AA22 AG12 G13:G21 M13:M21 P13:P21 Q13:Q27 R13:R21 S13:S19 O14:O22 T14:T15 AC14:AC15 AD14:AD22 AF14:AF15 AG14:AG21 L19 S21:S25 D22:D30 F22:F27 L22:L30 E23:E26 M23:M33 N23:N25 P23:P28 R23:R32 T23 AF23:AF25 AG23:AG26 G24:G30 K24:K27 O24:O25 U24:U27 AA24:AA27 AC24:AC35 AD24:AE25 J25 T25 V25:V26 X25 J27:J28 N27 O27:O32 S27 T27:T31 X27 Z27:Z29 AD27 E28:E29 AE28:AE32 C29 F29:F31 I29 N29 V29:V35 W29 X29:X30 AA29:AA30 AD29:AD33 AF29:AF34 AG29 J30:J32 Q30:Q31 S30:S32 U30 AB30:AB32 E31:E32 H31:I32 N31:N32 P31 W31:W37 AG31 C32 D32:D34 G32 K32:L32 Y32:AA32 C34 F34 G34:G35 K34:K35 L34 N34 O34:O35 P34:Q34 R34:R37 S34 U34 X34 AB34 AE34 I35 J35:J42 T35 C36 E36:E56 F36 H36 L36 M36:M37 S36:S38 X36:X37 Z36 AA36:AB42 AD36:AD38 N37:N40 O37 Y37 AE37:AE39 AF37:AF38 F38:F39 G38:G40 P38 T38:T40 U38:V38 AC38:AC40 AG38 H39:I39 K39:K42 L39:L57 M39:M42 R39 C40:C62 O40:P40 V40 W40:W57 X40:X62 Z40:Z42 H41:H43 I41:I42 S41:S43 AE41:AE46 D42 F42:F43 G42 O42:O44 T42:T43 U42 V42:V58 Y42:Y43 AC42:AD59 Q43:R43 AF43 M44:M56 Z44:AA56 AB44:AB59 K45:K57 R45:R56 D46 F46:G46 H46:H59 I46:J46 N46:P46 Q46:Q56 S46:U46 Y46 AF46:AG46 B48:B54 D48:D55 F48:G55 I48:J55 N48:P55 S48:U55 Y48:Y55 AE48:AG55 S57 E58:E59 M58:M62 Y58:Y62 Z58:Z72 AA58:AA59 AF58:AF59 L59:L63 Q59:Q62 W59:W62 K60:K62 AE60:AE63 D61:J62 N61:P62 R61:R62 S61 T61:V62 AA61:AA69 AB61:AD76 AF61:AG61 F65 H65:H67 L65 R66 K67 AF67 L68:L69 T68 Y68 AE68:AE70 C69 H69:H72 AG69 S70 Y70 K71 AA71:AA72 Q72:R72 AE72:AE76 L74:L76 Z74:Z76 C75:K76 M75:N76 R75:R76 V75:X76 AA75:AA76 O76:Q76 S76:U76 Y76 AF76:AG76">
    <cfRule type="expression" priority="30" aboveAverage="0" equalAverage="0" bottom="0" percent="0" rank="0" text="" dxfId="21">
      <formula>WEEKDAY(#REF!,2)&gt;5</formula>
    </cfRule>
  </conditionalFormatting>
  <conditionalFormatting sqref="W7:Z7 U8 G9 T10 Y10 AA10 AA12 AG12 Z13:Z19 Z21 V22 V25 X25 W29 AC29 X30 S32 AE32 AB34 AD36 S37 W40 S42 AF43 S57 Z61:Z62 S70 C9 C23:F23 S23 R25 C34:D34 F34:G34 R35">
    <cfRule type="expression" priority="31" aboveAverage="0" equalAverage="0" bottom="0" percent="0" rank="0" text="" dxfId="21">
      <formula>WEEKDAY(U$3,2)&gt;5</formula>
    </cfRule>
  </conditionalFormatting>
  <conditionalFormatting sqref="W7:Z7 U8 Z9 T10 Y10 AA10 AA12 AG12 Z13:Z19 Z21 V22 V25 X25 W29 AC29 X30 AE32 AB34 AD36 S37 W40 S42 AF43 U58 Z61:Z62 U63:U66 U68 U70:U79">
    <cfRule type="expression" priority="32" aboveAverage="0" equalAverage="0" bottom="0" percent="0" rank="0" text="" dxfId="21">
      <formula>WEEKDAY(X$3,2)&gt;5</formula>
    </cfRule>
  </conditionalFormatting>
  <conditionalFormatting sqref="D5 E5:E9 F5:F12 G5:G11 I5:K5 L5:L6 M5:M9 N5:N7 O5:O6 P5:P8 Q5 S5:S6 V5:V36 W5 Y5:Z7 AA5:AA10 AB5:AB8 AC5 AD5:AD6 C6:C7 H6:H28 T6:T7 U6 X6:X8 J7:J8 K7 W7 AC7:AC8 AF7:AF8 AG7:AG10 O8 Q8:Q11 S8:S9 U8:U9 AD8:AE8 C9:C27 D9 N9 R9:R11 W9 Y9:Y56 Z9:Z22 I10:I27 J10:J21 T10:T12 AB10:AC59 AD10:AD33 AE10:AE22 AF10:AF12 D11:D12 E11:E26 K11:K22 L11:L12 M11 N11:N12 O11:O25 P11 S11 U11:U22 W11:W26 X11:X23 AA12:AA59 AG12 G13:G21 M13:M33 P13:P28 Q13:Q27 R13:R21 S13:S19 T14:T15 AF14:AF15 AG14:AG33 L19 S21:S32 D22:D30 F22:F27 L22:L30 N22:N25 AF22:AF34 J23 R23:R32 T23 G24:G30 K24:K29 U24:U28 Z24:Z30 AE24:AE34 J25 T25 X25:X27 J27:J32 N27:N29 O27:O32 T27:T31 C29 E29 F29:F31 I29 Q29:Q31 W29 X29:X37 U30 E31:E32 H31:I32 N31:N32 P31:P32 W31:W37 C32 D32:D34 G32 K32:L32 Z32:Z72 T33 U33:U34 C34 F34 G34:G35 K34:K35 L34 N34 O34:O35 P34:S34 I35 J35:J58 T35 C36 E36:E56 F36 H36 L36 M36:M37 R36:R37 S36:S38 AD36:AD38 AF36:AF38 N37:N40 O37:O38 AE37:AE46 F38:F39 G38:G40 K38:K42 P38 T38:T40 U38:V38 AG38 H39:I39 L39:L57 M39:M42 R39 C40:C62 O40:P40 V40:V58 W40:W57 X40:X62 AD40:AD59 AF40 AG40:AG41 H41:H43 I41:I42 S41:S43 D42 F42:F43 G42 O42:O55 T42:T43 U42 AF42:AF43 Q43:R43 M44:M56 K45:K57 P45:P46 Q45:Q56 R45:R57 S45:U46 AF45:AG46 D46 F46:G46 H46:H59 I46 N46 B48:B54 D48:D55 F48:G55 I48:I55 N48:N55 P48:P55 S48:U55 AE48:AG55 N57 S57 E58:E59 M58:M62 U58 Y58:Y62 AF58:AF59 L59:L63 Q59:Q62 W59:W62 J60:K62 AE60:AE63 D61:I62 N61:P62 R61:R62 S61 T61:T62 U61:U66 V61:V62 AA61:AA69 AB61:AD76 AF61:AG61 F65 H65:H67 L65 R66 K67 AF67 L68:L69 T68:U68 Y68 AE68:AE70 AG68:AG69 H69:H72 S70 U70:U79 Y70 K71 AA71:AA76 Q72:R72 Y72:Y73 AE72:AE76 L74:L76 Z74:Z76 C75:K76 M75:T76 V75:Y76 AF75:AG76">
    <cfRule type="cellIs" priority="33" operator="equal" aboveAverage="0" equalAverage="0" bottom="0" percent="0" rank="0" text="" dxfId="23">
      <formula>"B"</formula>
    </cfRule>
    <cfRule type="cellIs" priority="34" operator="equal" aboveAverage="0" equalAverage="0" bottom="0" percent="0" rank="0" text="" dxfId="23">
      <formula>"AL"</formula>
    </cfRule>
    <cfRule type="cellIs" priority="35" operator="equal" aboveAverage="0" equalAverage="0" bottom="0" percent="0" rank="0" text="" dxfId="24">
      <formula>"DM"</formula>
    </cfRule>
    <cfRule type="cellIs" priority="36" operator="equal" aboveAverage="0" equalAverage="0" bottom="0" percent="0" rank="0" text="" dxfId="25">
      <formula>"CS1"</formula>
    </cfRule>
    <cfRule type="cellIs" priority="37" operator="equal" aboveAverage="0" equalAverage="0" bottom="0" percent="0" rank="0" text="" dxfId="26">
      <formula>"CS2"</formula>
    </cfRule>
    <cfRule type="cellIs" priority="38" operator="equal" aboveAverage="0" equalAverage="0" bottom="0" percent="0" rank="0" text="" dxfId="27">
      <formula>"SB1"</formula>
    </cfRule>
    <cfRule type="cellIs" priority="39" operator="equal" aboveAverage="0" equalAverage="0" bottom="0" percent="0" rank="0" text="" dxfId="28">
      <formula>"SB2"</formula>
    </cfRule>
    <cfRule type="cellIs" priority="40" operator="equal" aboveAverage="0" equalAverage="0" bottom="0" percent="0" rank="0" text="" dxfId="29">
      <formula>"AE"</formula>
    </cfRule>
    <cfRule type="cellIs" priority="41" operator="equal" aboveAverage="0" equalAverage="0" bottom="0" percent="0" rank="0" text="" dxfId="23">
      <formula>"DB"</formula>
    </cfRule>
    <cfRule type="containsText" priority="42" operator="containsText" aboveAverage="0" equalAverage="0" bottom="0" percent="0" rank="0" text="$AM" dxfId="30">
      <formula>NOT(ISERROR(SEARCH("$AM",B5)))</formula>
    </cfRule>
    <cfRule type="containsText" priority="43" operator="containsText" aboveAverage="0" equalAverage="0" bottom="0" percent="0" rank="0" text="$PM" dxfId="31">
      <formula>NOT(ISERROR(SEARCH("$PM",B5)))</formula>
    </cfRule>
    <cfRule type="containsText" priority="44" operator="containsText" aboveAverage="0" equalAverage="0" bottom="0" percent="0" rank="0" text="$L" dxfId="32">
      <formula>NOT(ISERROR(SEARCH("$L",B5)))</formula>
    </cfRule>
    <cfRule type="containsText" priority="45" operator="containsText" aboveAverage="0" equalAverage="0" bottom="0" percent="0" rank="0" text="$BTP" dxfId="33">
      <formula>NOT(ISERROR(SEARCH("$BTP",B5)))</formula>
    </cfRule>
    <cfRule type="containsText" priority="46" operator="containsText" aboveAverage="0" equalAverage="0" bottom="0" percent="0" rank="0" text="$M" dxfId="34">
      <formula>NOT(ISERROR(SEARCH("$M",B5)))</formula>
    </cfRule>
    <cfRule type="containsText" priority="47" operator="containsText" aboveAverage="0" equalAverage="0" bottom="0" percent="0" rank="0" text="$N" dxfId="35">
      <formula>NOT(ISERROR(SEARCH("$N",B5)))</formula>
    </cfRule>
    <cfRule type="containsText" priority="48" operator="containsText" aboveAverage="0" equalAverage="0" bottom="0" percent="0" rank="0" text="$FC" dxfId="36">
      <formula>NOT(ISERROR(SEARCH("$FC",B5)))</formula>
    </cfRule>
    <cfRule type="containsText" priority="49" operator="containsText" aboveAverage="0" equalAverage="0" bottom="0" percent="0" rank="0" text="OAL" dxfId="37">
      <formula>NOT(ISERROR(SEARCH("OAL",B5)))</formula>
    </cfRule>
    <cfRule type="containsText" priority="50" operator="containsText" aboveAverage="0" equalAverage="0" bottom="0" percent="0" rank="0" text="S+" dxfId="38">
      <formula>NOT(ISERROR(SEARCH("S+",B5)))</formula>
    </cfRule>
    <cfRule type="containsText" priority="51" operator="containsText" aboveAverage="0" equalAverage="0" bottom="0" percent="0" rank="0" text="EX-D" dxfId="39">
      <formula>NOT(ISERROR(SEARCH("EX-D",B5)))</formula>
    </cfRule>
    <cfRule type="expression" priority="52" aboveAverage="0" equalAverage="0" bottom="0" percent="0" rank="0" text="" dxfId="21">
      <formula>WEEKDAY(#REF!,2)&gt;5</formula>
    </cfRule>
  </conditionalFormatting>
  <conditionalFormatting sqref="D2:E2 C5:C95 D5:E56 F5:AG95 B48:B54 D58:E95">
    <cfRule type="containsText" priority="53" operator="containsText" aboveAverage="0" equalAverage="0" bottom="0" percent="0" rank="0" text="CS/B" dxfId="50">
      <formula>NOT(ISERROR(SEARCH("CS/B",B2)))</formula>
    </cfRule>
  </conditionalFormatting>
  <conditionalFormatting sqref="D2:E2 J4:J95 AA4:AA95 C5:C95 D5:E56 F5:I95 K5:Z95 AB5:AG95 B48:B54 D58:E95">
    <cfRule type="cellIs" priority="54" operator="equal" aboveAverage="0" equalAverage="0" bottom="0" percent="0" rank="0" text="" dxfId="23">
      <formula>"B"</formula>
    </cfRule>
    <cfRule type="cellIs" priority="55" operator="equal" aboveAverage="0" equalAverage="0" bottom="0" percent="0" rank="0" text="" dxfId="23">
      <formula>"AL"</formula>
    </cfRule>
    <cfRule type="cellIs" priority="56" operator="equal" aboveAverage="0" equalAverage="0" bottom="0" percent="0" rank="0" text="" dxfId="24">
      <formula>"DM"</formula>
    </cfRule>
    <cfRule type="cellIs" priority="57" operator="equal" aboveAverage="0" equalAverage="0" bottom="0" percent="0" rank="0" text="" dxfId="25">
      <formula>"CS1"</formula>
    </cfRule>
    <cfRule type="cellIs" priority="58" operator="equal" aboveAverage="0" equalAverage="0" bottom="0" percent="0" rank="0" text="" dxfId="26">
      <formula>"CS2"</formula>
    </cfRule>
    <cfRule type="cellIs" priority="59" operator="equal" aboveAverage="0" equalAverage="0" bottom="0" percent="0" rank="0" text="" dxfId="27">
      <formula>"SB1"</formula>
    </cfRule>
    <cfRule type="cellIs" priority="60" operator="equal" aboveAverage="0" equalAverage="0" bottom="0" percent="0" rank="0" text="" dxfId="28">
      <formula>"SB2"</formula>
    </cfRule>
    <cfRule type="cellIs" priority="61" operator="equal" aboveAverage="0" equalAverage="0" bottom="0" percent="0" rank="0" text="" dxfId="29">
      <formula>"AE"</formula>
    </cfRule>
  </conditionalFormatting>
  <conditionalFormatting sqref="BO5:BP79">
    <cfRule type="cellIs" priority="62" operator="lessThan" aboveAverage="0" equalAverage="0" bottom="0" percent="0" rank="0" text="" dxfId="41">
      <formula>1</formula>
    </cfRule>
  </conditionalFormatting>
  <conditionalFormatting sqref="D2:E2 J4:J79 AA4:AA79 C5:C79 D5:E56 F5:I79 K5:Z79 AB5:AG79 B48:B54 D58:E79">
    <cfRule type="cellIs" priority="63" operator="equal" aboveAverage="0" equalAverage="0" bottom="0" percent="0" rank="0" text="" dxfId="23">
      <formula>"DB"</formula>
    </cfRule>
    <cfRule type="containsText" priority="64" operator="containsText" aboveAverage="0" equalAverage="0" bottom="0" percent="0" rank="0" text="$AM" dxfId="30">
      <formula>NOT(ISERROR(SEARCH("$AM",B2)))</formula>
    </cfRule>
    <cfRule type="containsText" priority="65" operator="containsText" aboveAverage="0" equalAverage="0" bottom="0" percent="0" rank="0" text="$PM" dxfId="31">
      <formula>NOT(ISERROR(SEARCH("$PM",B2)))</formula>
    </cfRule>
    <cfRule type="containsText" priority="66" operator="containsText" aboveAverage="0" equalAverage="0" bottom="0" percent="0" rank="0" text="$L" dxfId="32">
      <formula>NOT(ISERROR(SEARCH("$L",B2)))</formula>
    </cfRule>
    <cfRule type="containsText" priority="67" operator="containsText" aboveAverage="0" equalAverage="0" bottom="0" percent="0" rank="0" text="$BTP" dxfId="33">
      <formula>NOT(ISERROR(SEARCH("$BTP",B2)))</formula>
    </cfRule>
    <cfRule type="containsText" priority="68" operator="containsText" aboveAverage="0" equalAverage="0" bottom="0" percent="0" rank="0" text="$M" dxfId="34">
      <formula>NOT(ISERROR(SEARCH("$M",B2)))</formula>
    </cfRule>
    <cfRule type="containsText" priority="69" operator="containsText" aboveAverage="0" equalAverage="0" bottom="0" percent="0" rank="0" text="$N" dxfId="35">
      <formula>NOT(ISERROR(SEARCH("$N",B2)))</formula>
    </cfRule>
    <cfRule type="containsText" priority="70" operator="containsText" aboveAverage="0" equalAverage="0" bottom="0" percent="0" rank="0" text="$FC" dxfId="36">
      <formula>NOT(ISERROR(SEARCH("$FC",B2)))</formula>
    </cfRule>
    <cfRule type="containsText" priority="71" operator="containsText" aboveAverage="0" equalAverage="0" bottom="0" percent="0" rank="0" text="OAL" dxfId="37">
      <formula>NOT(ISERROR(SEARCH("OAL",B2)))</formula>
    </cfRule>
    <cfRule type="containsText" priority="72" operator="containsText" aboveAverage="0" equalAverage="0" bottom="0" percent="0" rank="0" text="S+" dxfId="38">
      <formula>NOT(ISERROR(SEARCH("S+",B2)))</formula>
    </cfRule>
    <cfRule type="containsText" priority="73" operator="containsText" aboveAverage="0" equalAverage="0" bottom="0" percent="0" rank="0" text="EX-D" dxfId="39">
      <formula>NOT(ISERROR(SEARCH("EX-D",B2)))</formula>
    </cfRule>
  </conditionalFormatting>
  <conditionalFormatting sqref="T2:X79 C3:C79 Y3:AG79 B48:B54 D58:E79 D2:E56 F3:S79">
    <cfRule type="expression" priority="74" aboveAverage="0" equalAverage="0" bottom="0" percent="0" rank="0" text="" dxfId="21">
      <formula>WEEKDAY(D$3,2)&gt;5</formula>
    </cfRule>
  </conditionalFormatting>
  <conditionalFormatting sqref="J4:J5 D5 E5:E9 F5:F12 G5:G11 I5 K5 L5:L6 M5:M9 N5:N7 O5:O6 P5:P8 Q5 S5:S6 V5:V36 W5 Y5:Z7 AA5:AA10 AB5:AB8 AC5 AD5:AD6 C6:C7 H6:H28 T6:T7 U6 X6:X8 J7:J8 K7 W7 AC7:AC8 AF7:AF8 AG7:AG10 O8 Q8:Q11 S8:S9 U8:U9 AD8:AE8 C9:C27 D9 N9 R9:R11 W9 Y9:Y56 Z9:Z22 I10:I27 J10:J21 T10:T12 AB10:AC59 AD10:AD33 AE10:AE22 AF10:AF12 D11:D12 E11:E26 K11:K22 L11:L12 M11 N11:N12 O11:O25 P11 S11 U11:U22 W11:W26 X11:X23 AA12:AA59 AG12 G13:G21 M13:M33 P13:P28 Q13:Q27 R13:R21 S13:S19 T14:T15 AF14:AF15 AG14:AG33 L19 S21:S32 D22:D30 F22:F27 L22:L30 N22:N25 AF22:AF34 J23 R23:R32 T23 G24:G30 K24:K29 U24:U28 Z24:Z30 AE24:AE34 J25 T25 X25:X27 J27:J32 N27:N29 O27:O32 T27:T31 C29 E29 F29:F31 I29 Q29:Q31 W29 X29:X37 U30 E31:E32 H31:I32 N31:N32 P31:P32 W31:W37 C32 D32:D34 G32 K32:L32 Z32:Z72 T33 U33:U34 C34 F34 G34:G35 K34:K35 L34 N34 O34:O35 P34:Q34 R34:R37 S34 I35 J35:J58 T35 C36 E36:E56 F36 H36 L36 M36:M37 S36:S38 AD36:AD38 AF36:AF38 N37:N40 O37:O38 AE37:AE46 F38:F39 G38:G40 K38:K42 P38 T38:T40 U38:V38 AG38 H39:I39 L39:L57 M39:M42 R39 C40:C62 O40:P40 V40:V58 W40:W57 X40:X62 AD40:AD59 AF40 AG40:AG41 H41:H43 I41:I42 S41:S43 D42 F42:F43 G42 O42:O55 T42:T43 U42 AF42:AF43 Q43:R43 M44:M56 K45:K57 P45:P46 Q45:Q56 R45:R57 S45:U46 AF45:AG46 D46 F46:G46 H46:H59 I46 N46 B48:B54 D48:D55 F48:G55 I48:I55 N48:N55 P48:P55 S48:U55 AE48:AG55 N57 S57 E58:E59 M58:M62 U58 Y58:Y62 AF58:AF59 L59:L63 Q59:Q62 W59:W62 J60:K62 AE60:AE63 D61:I62 N61:P62 R61:R62 S61 T61:T62 U61:U66 V61:V62 AA61:AA69 AB61:AD76 AF61:AG61 F65 H65:H67 L65 R66 K67 AF67 L68:L69 T68:U68 Y68 AE68:AE70 AG68:AG69 C69 H69:H72 S70 U70:U79 Y70 K71 AA71:AA76 Q72:R72 Y72:Y73 AE72:AE76 L74:L76 Z74:Z76 C75:K76 M75:T76 V75:Y76 AF75:AG76">
    <cfRule type="containsText" priority="75" operator="containsText" aboveAverage="0" equalAverage="0" bottom="0" percent="0" rank="0" text="VACC" dxfId="40">
      <formula>NOT(ISERROR(SEARCH("VACC",B4)))</formula>
    </cfRule>
  </conditionalFormatting>
  <conditionalFormatting sqref="A1:BP95">
    <cfRule type="cellIs" priority="76" operator="equal" aboveAverage="0" equalAverage="0" bottom="0" percent="0" rank="0" text="" dxfId="41">
      <formula>"RESERVE"</formula>
    </cfRule>
  </conditionalFormatting>
  <conditionalFormatting sqref="AC57 AB65 AD67">
    <cfRule type="cellIs" priority="77" operator="equal" aboveAverage="0" equalAverage="0" bottom="0" percent="0" rank="0" text="" dxfId="53">
      <formula>"CS"</formula>
    </cfRule>
  </conditionalFormatting>
  <dataValidations count="4">
    <dataValidation allowBlank="true" errorStyle="stop" operator="equal" showDropDown="true" showErrorMessage="false" showInputMessage="false" sqref="E2 B5:B8 B10:B23 B25:B26 B28:B30 P30 Z31 B32 D40 K44 AE57:AG57 F58:G58 S58:S59 J59:J60 T59 Y59:Y60 AG59 E60 AA60:AD60 B61:B62 AF62:AG62 C63:U63 C64:C65 E64:E65 I64:J64 L64:L66 N64:O64 S64:U64 X64:Y64 AE64:AG64 D65 H65:I65 K65:K66 N65:N66 P65:P66 AF65:AG65 J66:J74 O66:O71 R66 T66:U66 AC66:AF66 D67:E67 G67:H67 M67 W67 C68:G68 I68:I74 K68:K74 N68:N72 P68 S68:S69 U68 Y68:Y69 D69:H69 L69:L74 T69:T71 X69:X74 Z69:AD69 C70:C74 E70:H70 P70:P72 AF70:AG70 E71:E73 G71:H72 M71 Q71:S71 U71:W71 Y71:AG71 S72:U73 AF72:AF75 N73:O73 Z73:Z74 AG73:AG74 D74:G74 N74 P74 S74 U74:U75 Y74 AC74:AE74 C77:C79 E77:H77 J77 N77 U77:V79 X77 D78:L79 N78:P79 S78:S79 W78:AG79" type="list">
      <formula1>'Setting key Duty'!$B$7:$B$56</formula1>
      <formula2>0</formula2>
    </dataValidation>
    <dataValidation allowBlank="true" errorStyle="stop" operator="between" showDropDown="false" showErrorMessage="false" showInputMessage="false" sqref="D5 J5 O5:O6 U5 AA5:AE5 L6 AB6 F7:H7 P7 W7:Z7 AG7 C8:C11 S8 V8:V9 AB8:AC8 AF8:AG8 E9:G9 N9 Q9:R10 Y9:Y11 AA9 E10:E11 L10:L11 T10:T12 D11 F11:K11 M11:S11 U11:X11 Z11:Z12 C12:E12 J12:L12 N12:P12 V12:V22 X12:Y15 AD12 C13:C21 E13:E23 J13:K21 N13:N21 Q13:S13 U13:U21 W13:W15 O14:T15 Z14:AG15 O16 Q16:S19 W16:Y18 AF16:AF21 P17 O18:O23 L19 W19 Y19 Q20:R21 W20:Y21 S21:S24 C22:D25 F22:F23 J22 L22:N22 P22:Q23 W22 Y22:Y23 AF22:AG22 G23:I23 N23:N24 T23 AA23:AB24 AD23:AG23 E24:M24 O24:P24 X24:X29 AC24:AG24 G25 J25:J26 M25 O25:O27 T25:V26 Y25:Z26 AB25:AE25 AG25 D26:F26 L26:M26 Q26:R26 W26 AA26:AA27 AC26:AE26 C27:D27 G27:I27 T27:U27 AE27:AG27 D28:H28 J28:L28 N28:V28 Y28:AG28 C29:E32 G29:G30 N29:O29 Q29:R29 T29:T31 W29:W30 Y29:Z29 AB29 AD29:AD30 AF29:AG29 I30:I31 Q30:Q31 S30:S31 U30 AA30 AE30:AG30 J31 M31:P31 R31 V31:V33 AC31:AC32 AE31:AE33 F32:H32 K32:M32 O32 W32 Z32:AB33 AF32:AG32 C33:D33 G33:H33 J33:N33 Q33 S33 U33:U34 AG33:AG34 E34:H34 M34 O34:O36 AA34 C35:E35 I35:M35 P35 S35:T35 Y35:AB35 AF35 C36 E36:I36 L36:M36 Q36:Q38 T36:U36 W36 Y36:Y37 AA36 AC36:AD37 E37:G37 J37:L38 N37 R37:R38 X37:X38 Z37 AG37 C38 E38:F40 P38 S38:V38 G39 J39:M39 S39 Y39:Z39 AB39 AG39 H40 K40:K42 M40:Q40 T40 E41:G41 J41:J43 L41:M42 AA41:AB41 AE41 AG41:AG44 C42:I42 P42 S42:T44 AF42 C43:F46 H43 O43:O44 Q43 V43:Y43 I44:I46 L44:N45 V44 X44:Y44 AC44:AE44 G46:H46 J46:AG46 AG47 C56:O56 S56:W56 Y56:Y58 AE56:AG56 G57:J57 O57:O58 U57:W57 Z57:Z58 C58 E58:E59 H58:N58 T58 V58 AG58 D59:D62 F59 H59 L59:M59 O59:Q59 U59:U61 W59 C60:C62 I60:I62 K60:N60 S60:S61 Z60:Z62 AF60:AG60 E61:H62 J61:R61 T61 V61:Y61 AA61:AG61 J62:Q62 T62:U62 W62:Y62 AB62 AE62 F65 C66 Q66 AG66 K67 N67 T68 AG68 Y70 Q72 AE72:AE73 T74 C75:N76 S75:S76 AB75:AB76 O76:R76 T76:AA76 AC76:AG76 T78:T79" type="custom">
      <formula1>NOT(ISERROR(SEARCH((#REF!),(D2))))</formula1>
      <formula2>0</formula2>
    </dataValidation>
    <dataValidation allowBlank="true" errorStyle="stop" operator="equal" showDropDown="true" showErrorMessage="false" showInputMessage="false" sqref="J7 V7 D8:D9 U8 T9 AG9 K10 AA10 AB11 AA12 AG12 M13 Z13 M15:M21 Z16:AA19 AD16:AD18 AG16:AG21 AA20:AA21 AD20:AD22 Z21 X22:X23 AA22:AB22 AE22 L23 V23 E25 AF25 S26 AC27:AD27 AC29 AE29 M30 X30 F31 AD31 AG31 R32:S32 O33 AC33:AC35 AF33 AB34 AD34:AE34 G35 Z36 S37 AE37 N39 L40 Z40 AB40:AC40 W41:X41 O42 Y42 AA42 AF43 Z44 Q56 Z56:AD56 S57 AC57:AC58 AB58 AF58:AF59 C59 AA59:AB59 AD59 Q60 AE60 AC62:AD62 AC64 AB65 AE68 S70 AC70:AE70" type="list">
      <formula1>'Setting key Duty'!$B$7:$B$54</formula1>
      <formula2>0</formula2>
    </dataValidation>
    <dataValidation allowBlank="true" errorStyle="stop" operator="equal" showDropDown="true" showErrorMessage="false" showInputMessage="false" sqref="C47:AF55 AG48:AG55 C80:AG85" type="list">
      <formula1>'Setting key Duty'!$B$7:$B$23</formula1>
      <formula2>0</formula2>
    </dataValidation>
  </dataValidation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P1048576"/>
  <sheetViews>
    <sheetView showFormulas="false" showGridLines="false" showRowColHeaders="true" showZeros="true" rightToLeft="false" tabSelected="true" showOutlineSymbols="true" defaultGridColor="true" view="normal" topLeftCell="A1" colorId="64" zoomScale="55" zoomScaleNormal="55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X19" activeCellId="0" sqref="X19"/>
    </sheetView>
  </sheetViews>
  <sheetFormatPr defaultColWidth="12.6328125" defaultRowHeight="15.75" customHeight="true" zeroHeight="false" outlineLevelRow="0" outlineLevelCol="1"/>
  <cols>
    <col collapsed="false" customWidth="true" hidden="false" outlineLevel="0" max="1" min="1" style="0" width="2.13"/>
    <col collapsed="false" customWidth="true" hidden="false" outlineLevel="0" max="2" min="2" style="0" width="29.76"/>
    <col collapsed="false" customWidth="true" hidden="false" outlineLevel="0" max="8" min="3" style="0" width="9.24"/>
    <col collapsed="false" customWidth="true" hidden="false" outlineLevel="0" max="9" min="9" style="0" width="10.13"/>
    <col collapsed="false" customWidth="true" hidden="false" outlineLevel="0" max="11" min="10" style="0" width="9.24"/>
    <col collapsed="false" customWidth="true" hidden="false" outlineLevel="0" max="12" min="12" style="0" width="9.38"/>
    <col collapsed="false" customWidth="true" hidden="false" outlineLevel="0" max="13" min="13" style="0" width="9.76"/>
    <col collapsed="false" customWidth="true" hidden="false" outlineLevel="0" max="14" min="14" style="0" width="9.24"/>
    <col collapsed="false" customWidth="true" hidden="false" outlineLevel="0" max="15" min="15" style="0" width="10"/>
    <col collapsed="false" customWidth="true" hidden="false" outlineLevel="0" max="16" min="16" style="0" width="10.76"/>
    <col collapsed="false" customWidth="true" hidden="false" outlineLevel="0" max="17" min="17" style="0" width="10.25"/>
    <col collapsed="false" customWidth="true" hidden="false" outlineLevel="0" max="18" min="18" style="0" width="10.13"/>
    <col collapsed="false" customWidth="true" hidden="false" outlineLevel="0" max="19" min="19" style="0" width="9.51"/>
    <col collapsed="false" customWidth="true" hidden="false" outlineLevel="0" max="20" min="20" style="0" width="10"/>
    <col collapsed="false" customWidth="true" hidden="false" outlineLevel="0" max="23" min="21" style="0" width="9.24"/>
    <col collapsed="false" customWidth="true" hidden="false" outlineLevel="0" max="24" min="24" style="0" width="12.88"/>
    <col collapsed="false" customWidth="true" hidden="false" outlineLevel="0" max="26" min="25" style="0" width="9.24"/>
    <col collapsed="false" customWidth="true" hidden="false" outlineLevel="0" max="27" min="27" style="0" width="10.51"/>
    <col collapsed="false" customWidth="true" hidden="false" outlineLevel="0" max="30" min="28" style="0" width="9.24"/>
    <col collapsed="false" customWidth="true" hidden="false" outlineLevel="0" max="31" min="31" style="0" width="10.51"/>
    <col collapsed="false" customWidth="true" hidden="false" outlineLevel="0" max="33" min="32" style="0" width="9.38"/>
    <col collapsed="false" customWidth="true" hidden="true" outlineLevel="1" max="40" min="34" style="0" width="9.38"/>
    <col collapsed="false" customWidth="true" hidden="true" outlineLevel="1" max="41" min="41" style="0" width="12"/>
    <col collapsed="false" customWidth="true" hidden="true" outlineLevel="1" max="42" min="42" style="0" width="9.38"/>
    <col collapsed="false" customWidth="true" hidden="false" outlineLevel="0" max="44" min="43" style="0" width="6.76"/>
    <col collapsed="false" customWidth="true" hidden="false" outlineLevel="1" max="45" min="45" style="0" width="8.87"/>
    <col collapsed="false" customWidth="true" hidden="false" outlineLevel="1" max="47" min="46" style="0" width="7.88"/>
    <col collapsed="false" customWidth="true" hidden="false" outlineLevel="1" max="48" min="48" style="0" width="9.14"/>
    <col collapsed="false" customWidth="true" hidden="false" outlineLevel="1" max="49" min="49" style="0" width="8.24"/>
    <col collapsed="false" customWidth="true" hidden="false" outlineLevel="1" max="50" min="50" style="0" width="5.51"/>
    <col collapsed="false" customWidth="true" hidden="false" outlineLevel="0" max="53" min="51" style="0" width="9.38"/>
    <col collapsed="false" customWidth="true" hidden="true" outlineLevel="1" max="64" min="54" style="0" width="9.38"/>
    <col collapsed="false" customWidth="true" hidden="false" outlineLevel="0" max="65" min="65" style="0" width="9.38"/>
    <col collapsed="false" customWidth="true" hidden="false" outlineLevel="0" max="66" min="66" style="0" width="9.51"/>
    <col collapsed="false" customWidth="true" hidden="false" outlineLevel="0" max="68" min="67" style="0" width="9.38"/>
  </cols>
  <sheetData>
    <row r="1" customFormat="false" ht="3" hidden="false" customHeight="true" outlineLevel="0" collapsed="false">
      <c r="A1" s="259" t="s">
        <v>865</v>
      </c>
      <c r="B1" s="260" t="s">
        <v>0</v>
      </c>
      <c r="C1" s="261" t="str">
        <f aca="false"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3"/>
      <c r="AM1" s="263"/>
      <c r="AN1" s="263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3"/>
      <c r="BG1" s="263"/>
      <c r="BH1" s="263"/>
      <c r="BI1" s="263"/>
      <c r="BJ1" s="263"/>
      <c r="BK1" s="263"/>
      <c r="BL1" s="263"/>
      <c r="BM1" s="263"/>
      <c r="BN1" s="263"/>
      <c r="BO1" s="263"/>
      <c r="BP1" s="263"/>
    </row>
    <row r="2" customFormat="false" ht="26.25" hidden="false" customHeight="true" outlineLevel="0" collapsed="false">
      <c r="A2" s="242"/>
      <c r="B2" s="235" t="s">
        <v>1</v>
      </c>
      <c r="C2" s="235"/>
      <c r="D2" s="91" t="s">
        <v>925</v>
      </c>
      <c r="E2" s="317" t="s">
        <v>926</v>
      </c>
      <c r="F2" s="235"/>
      <c r="G2" s="323"/>
      <c r="H2" s="235"/>
      <c r="I2" s="235"/>
      <c r="J2" s="235"/>
      <c r="K2" s="235"/>
      <c r="L2" s="235"/>
      <c r="M2" s="235"/>
      <c r="N2" s="323"/>
      <c r="O2" s="235"/>
      <c r="P2" s="235"/>
      <c r="Q2" s="235"/>
      <c r="R2" s="235"/>
      <c r="S2" s="235"/>
      <c r="T2" s="264"/>
      <c r="U2" s="324"/>
      <c r="V2" s="265"/>
      <c r="W2" s="235"/>
      <c r="X2" s="235"/>
      <c r="Y2" s="235"/>
      <c r="Z2" s="235"/>
      <c r="AA2" s="235"/>
      <c r="AB2" s="323"/>
      <c r="AC2" s="235"/>
      <c r="AD2" s="235"/>
      <c r="AE2" s="235"/>
      <c r="AF2" s="235"/>
      <c r="AG2" s="243"/>
      <c r="AH2" s="243"/>
      <c r="AI2" s="243"/>
      <c r="AJ2" s="243"/>
      <c r="AK2" s="243"/>
      <c r="AL2" s="243"/>
      <c r="AM2" s="243"/>
      <c r="AN2" s="243"/>
      <c r="AO2" s="243"/>
      <c r="AP2" s="243"/>
      <c r="AQ2" s="266"/>
      <c r="AR2" s="243"/>
      <c r="AS2" s="243"/>
      <c r="AT2" s="243"/>
      <c r="AU2" s="243"/>
      <c r="AV2" s="243"/>
      <c r="AW2" s="243"/>
      <c r="AX2" s="243"/>
      <c r="AY2" s="243"/>
      <c r="AZ2" s="243"/>
      <c r="BA2" s="243"/>
      <c r="BB2" s="243"/>
      <c r="BC2" s="243"/>
      <c r="BD2" s="243"/>
      <c r="BE2" s="243"/>
      <c r="BF2" s="243"/>
      <c r="BG2" s="243"/>
      <c r="BH2" s="243"/>
      <c r="BI2" s="243"/>
      <c r="BJ2" s="243"/>
      <c r="BK2" s="243"/>
      <c r="BL2" s="243"/>
      <c r="BM2" s="243"/>
      <c r="BN2" s="243"/>
      <c r="BO2" s="243"/>
      <c r="BP2" s="243"/>
    </row>
    <row r="3" customFormat="false" ht="26.25" hidden="false" customHeight="true" outlineLevel="0" collapsed="false">
      <c r="A3" s="242"/>
      <c r="B3" s="235" t="s">
        <v>21</v>
      </c>
      <c r="C3" s="267" t="n">
        <v>46235</v>
      </c>
      <c r="D3" s="268" t="n">
        <f aca="false">C3+1</f>
        <v>46236</v>
      </c>
      <c r="E3" s="268" t="n">
        <f aca="false">D3+1</f>
        <v>46237</v>
      </c>
      <c r="F3" s="268" t="n">
        <f aca="false">E3+1</f>
        <v>46238</v>
      </c>
      <c r="G3" s="268" t="n">
        <f aca="false">F3+1</f>
        <v>46239</v>
      </c>
      <c r="H3" s="268" t="n">
        <f aca="false">G3+1</f>
        <v>46240</v>
      </c>
      <c r="I3" s="268" t="n">
        <f aca="false">H3+1</f>
        <v>46241</v>
      </c>
      <c r="J3" s="268" t="n">
        <f aca="false">I3+1</f>
        <v>46242</v>
      </c>
      <c r="K3" s="268" t="n">
        <f aca="false">J3+1</f>
        <v>46243</v>
      </c>
      <c r="L3" s="268" t="n">
        <f aca="false">K3+1</f>
        <v>46244</v>
      </c>
      <c r="M3" s="268" t="n">
        <f aca="false">L3+1</f>
        <v>46245</v>
      </c>
      <c r="N3" s="268" t="n">
        <f aca="false">M3+1</f>
        <v>46246</v>
      </c>
      <c r="O3" s="268" t="n">
        <f aca="false">N3+1</f>
        <v>46247</v>
      </c>
      <c r="P3" s="268" t="n">
        <f aca="false">O3+1</f>
        <v>46248</v>
      </c>
      <c r="Q3" s="268" t="n">
        <f aca="false">P3+1</f>
        <v>46249</v>
      </c>
      <c r="R3" s="268" t="n">
        <f aca="false">Q3+1</f>
        <v>46250</v>
      </c>
      <c r="S3" s="268" t="n">
        <f aca="false">R3+1</f>
        <v>46251</v>
      </c>
      <c r="T3" s="269" t="n">
        <f aca="false">S3+1</f>
        <v>46252</v>
      </c>
      <c r="U3" s="268" t="n">
        <f aca="false">T3+1</f>
        <v>46253</v>
      </c>
      <c r="V3" s="270" t="n">
        <f aca="false">U3+1</f>
        <v>46254</v>
      </c>
      <c r="W3" s="268" t="n">
        <f aca="false">V3+1</f>
        <v>46255</v>
      </c>
      <c r="X3" s="268" t="n">
        <f aca="false">W3+1</f>
        <v>46256</v>
      </c>
      <c r="Y3" s="268" t="n">
        <f aca="false">X3+1</f>
        <v>46257</v>
      </c>
      <c r="Z3" s="268" t="n">
        <f aca="false">Y3+1</f>
        <v>46258</v>
      </c>
      <c r="AA3" s="268" t="n">
        <f aca="false">Z3+1</f>
        <v>46259</v>
      </c>
      <c r="AB3" s="268" t="n">
        <f aca="false">AA3+1</f>
        <v>46260</v>
      </c>
      <c r="AC3" s="268" t="n">
        <f aca="false">AB3+1</f>
        <v>46261</v>
      </c>
      <c r="AD3" s="268" t="n">
        <f aca="false">AC3+1</f>
        <v>46262</v>
      </c>
      <c r="AE3" s="268" t="n">
        <f aca="false">AD3+1</f>
        <v>46263</v>
      </c>
      <c r="AF3" s="268" t="n">
        <f aca="false">AE3+1</f>
        <v>46264</v>
      </c>
      <c r="AG3" s="268" t="n">
        <f aca="false">AF3+1</f>
        <v>46265</v>
      </c>
      <c r="AH3" s="243" t="str">
        <f aca="false">'Setting key Duty'!$C7</f>
        <v>DM</v>
      </c>
      <c r="AI3" s="243" t="str">
        <f aca="false">'Setting key Duty'!$C8</f>
        <v>CS1</v>
      </c>
      <c r="AJ3" s="243" t="str">
        <f aca="false">'Setting key Duty'!$C9</f>
        <v>CS2</v>
      </c>
      <c r="AK3" s="243" t="str">
        <f aca="false">'Setting key Duty'!$C10</f>
        <v>CS/B</v>
      </c>
      <c r="AL3" s="243" t="str">
        <f aca="false">'Setting key Duty'!$C11</f>
        <v>SB1</v>
      </c>
      <c r="AM3" s="243" t="str">
        <f aca="false">'Setting key Duty'!$C12</f>
        <v>SB2</v>
      </c>
      <c r="AN3" s="243" t="str">
        <f aca="false">'Setting key Duty'!$C13</f>
        <v>AE</v>
      </c>
      <c r="AO3" s="243" t="str">
        <f aca="false">'Setting key Duty'!$C16</f>
        <v>Outfield Reserve</v>
      </c>
      <c r="AP3" s="243" t="str">
        <f aca="false">'Setting key Duty'!C14</f>
        <v>EM</v>
      </c>
      <c r="AQ3" s="271" t="s">
        <v>559</v>
      </c>
      <c r="AR3" s="271" t="s">
        <v>560</v>
      </c>
      <c r="AS3" s="243" t="s">
        <v>22</v>
      </c>
      <c r="AT3" s="243" t="s">
        <v>23</v>
      </c>
      <c r="AU3" s="243" t="s">
        <v>561</v>
      </c>
      <c r="AV3" s="243" t="s">
        <v>24</v>
      </c>
      <c r="AW3" s="243" t="s">
        <v>25</v>
      </c>
      <c r="AX3" s="243" t="s">
        <v>26</v>
      </c>
      <c r="AY3" s="243" t="s">
        <v>27</v>
      </c>
      <c r="AZ3" s="243" t="s">
        <v>28</v>
      </c>
      <c r="BA3" s="271" t="s">
        <v>29</v>
      </c>
      <c r="BB3" s="243" t="s">
        <v>30</v>
      </c>
      <c r="BC3" s="243" t="s">
        <v>32</v>
      </c>
      <c r="BD3" s="243" t="s">
        <v>33</v>
      </c>
      <c r="BE3" s="243" t="s">
        <v>36</v>
      </c>
      <c r="BF3" s="243" t="s">
        <v>37</v>
      </c>
      <c r="BG3" s="243" t="s">
        <v>39</v>
      </c>
      <c r="BH3" s="243" t="s">
        <v>40</v>
      </c>
      <c r="BI3" s="243" t="s">
        <v>41</v>
      </c>
      <c r="BJ3" s="243" t="s">
        <v>42</v>
      </c>
      <c r="BK3" s="243" t="str">
        <f aca="false">'Setting key Duty'!C52</f>
        <v>Field Camp</v>
      </c>
      <c r="BL3" s="243" t="s">
        <v>43</v>
      </c>
      <c r="BM3" s="243" t="str">
        <f aca="false">'Setting key Duty'!$C15</f>
        <v>Block</v>
      </c>
      <c r="BN3" s="243" t="str">
        <f aca="false">'Setting key Duty'!C17</f>
        <v>Reserve</v>
      </c>
      <c r="BO3" s="243" t="str">
        <f aca="false">'Setting key Duty'!$C22</f>
        <v>AL</v>
      </c>
      <c r="BP3" s="243"/>
    </row>
    <row r="4" customFormat="false" ht="18" hidden="false" customHeight="true" outlineLevel="0" collapsed="false">
      <c r="A4" s="272"/>
      <c r="B4" s="273" t="s">
        <v>156</v>
      </c>
      <c r="C4" s="274" t="str">
        <f aca="false">TEXT(C3,"ddd")</f>
        <v>Sat</v>
      </c>
      <c r="D4" s="275" t="str">
        <f aca="false">TEXT(D3,"ddd")</f>
        <v>Sun</v>
      </c>
      <c r="E4" s="275" t="str">
        <f aca="false">TEXT(E3,"ddd")</f>
        <v>Mon</v>
      </c>
      <c r="F4" s="275" t="str">
        <f aca="false">TEXT(F3,"ddd")</f>
        <v>Tue</v>
      </c>
      <c r="G4" s="275" t="str">
        <f aca="false">TEXT(G3,"ddd")</f>
        <v>Wed</v>
      </c>
      <c r="H4" s="275" t="str">
        <f aca="false">TEXT(H3,"ddd")</f>
        <v>Thu</v>
      </c>
      <c r="I4" s="275" t="str">
        <f aca="false">TEXT(I3,"ddd")</f>
        <v>Fri</v>
      </c>
      <c r="J4" s="275" t="str">
        <f aca="false">TEXT(J3,"ddd")</f>
        <v>Sat</v>
      </c>
      <c r="K4" s="275" t="str">
        <f aca="false">TEXT(K3,"ddd")</f>
        <v>Sun</v>
      </c>
      <c r="L4" s="275" t="str">
        <f aca="false">TEXT(L3,"ddd")</f>
        <v>Mon</v>
      </c>
      <c r="M4" s="275" t="str">
        <f aca="false">TEXT(M3,"ddd")</f>
        <v>Tue</v>
      </c>
      <c r="N4" s="275" t="str">
        <f aca="false">TEXT(N3,"ddd")</f>
        <v>Wed</v>
      </c>
      <c r="O4" s="275" t="str">
        <f aca="false">TEXT(O3,"ddd")</f>
        <v>Thu</v>
      </c>
      <c r="P4" s="275" t="str">
        <f aca="false">TEXT(P3,"ddd")</f>
        <v>Fri</v>
      </c>
      <c r="Q4" s="275" t="str">
        <f aca="false">TEXT(Q3,"ddd")</f>
        <v>Sat</v>
      </c>
      <c r="R4" s="275" t="str">
        <f aca="false">TEXT(R3,"ddd")</f>
        <v>Sun</v>
      </c>
      <c r="S4" s="275" t="str">
        <f aca="false">TEXT(S3,"ddd")</f>
        <v>Mon</v>
      </c>
      <c r="T4" s="274" t="str">
        <f aca="false">TEXT(T3,"ddd")</f>
        <v>Tue</v>
      </c>
      <c r="U4" s="275" t="str">
        <f aca="false">TEXT(U3,"ddd")</f>
        <v>Wed</v>
      </c>
      <c r="V4" s="276" t="str">
        <f aca="false">TEXT(V3,"ddd")</f>
        <v>Thu</v>
      </c>
      <c r="W4" s="275" t="str">
        <f aca="false">TEXT(W3,"ddd")</f>
        <v>Fri</v>
      </c>
      <c r="X4" s="275" t="str">
        <f aca="false">TEXT(X3,"ddd")</f>
        <v>Sat</v>
      </c>
      <c r="Y4" s="275" t="str">
        <f aca="false">TEXT(Y3,"ddd")</f>
        <v>Sun</v>
      </c>
      <c r="Z4" s="275" t="str">
        <f aca="false">TEXT(Z3,"ddd")</f>
        <v>Mon</v>
      </c>
      <c r="AA4" s="275" t="str">
        <f aca="false">TEXT(AA3,"ddd")</f>
        <v>Tue</v>
      </c>
      <c r="AB4" s="275" t="str">
        <f aca="false">TEXT(AB3,"ddd")</f>
        <v>Wed</v>
      </c>
      <c r="AC4" s="275" t="str">
        <f aca="false">TEXT(AC3,"ddd")</f>
        <v>Thu</v>
      </c>
      <c r="AD4" s="275" t="str">
        <f aca="false">TEXT(AD3,"ddd")</f>
        <v>Fri</v>
      </c>
      <c r="AE4" s="275" t="str">
        <f aca="false">TEXT(AE3,"ddd")</f>
        <v>Sat</v>
      </c>
      <c r="AF4" s="275" t="str">
        <f aca="false">TEXT(AF3,"ddd")</f>
        <v>Sun</v>
      </c>
      <c r="AG4" s="275" t="str">
        <f aca="false">TEXT(AG3,"ddd")</f>
        <v>Mon</v>
      </c>
      <c r="AH4" s="273" t="str">
        <f aca="false">'Setting key Duty'!$B7</f>
        <v>DM</v>
      </c>
      <c r="AI4" s="273" t="str">
        <f aca="false">'Setting key Duty'!$B8</f>
        <v>CS1</v>
      </c>
      <c r="AJ4" s="273" t="str">
        <f aca="false">'Setting key Duty'!$B9</f>
        <v>CS2</v>
      </c>
      <c r="AK4" s="273" t="str">
        <f aca="false">'Setting key Duty'!$B10</f>
        <v>CS/B</v>
      </c>
      <c r="AL4" s="273" t="str">
        <f aca="false">'Setting key Duty'!$B11</f>
        <v>SB1</v>
      </c>
      <c r="AM4" s="273" t="str">
        <f aca="false">'Setting key Duty'!$B12</f>
        <v>SB2</v>
      </c>
      <c r="AN4" s="273" t="str">
        <f aca="false">'Setting key Duty'!$B13</f>
        <v>AE</v>
      </c>
      <c r="AO4" s="273" t="str">
        <f aca="false">'Setting key Duty'!$B16</f>
        <v>Outfield Reserve</v>
      </c>
      <c r="AP4" s="273" t="str">
        <f aca="false">'Setting key Duty'!B14</f>
        <v>EM</v>
      </c>
      <c r="AQ4" s="271"/>
      <c r="AR4" s="271"/>
      <c r="AS4" s="273"/>
      <c r="AT4" s="273"/>
      <c r="AU4" s="273"/>
      <c r="AV4" s="273"/>
      <c r="AW4" s="273"/>
      <c r="AX4" s="273"/>
      <c r="AY4" s="273"/>
      <c r="AZ4" s="273"/>
      <c r="BA4" s="277"/>
      <c r="BB4" s="273"/>
      <c r="BC4" s="273" t="s">
        <v>46</v>
      </c>
      <c r="BD4" s="273"/>
      <c r="BE4" s="273" t="s">
        <v>48</v>
      </c>
      <c r="BF4" s="273"/>
      <c r="BG4" s="273" t="s">
        <v>50</v>
      </c>
      <c r="BH4" s="273"/>
      <c r="BI4" s="273" t="s">
        <v>51</v>
      </c>
      <c r="BJ4" s="273"/>
      <c r="BK4" s="273" t="str">
        <f aca="false">'Setting key Duty'!B52</f>
        <v>$FC</v>
      </c>
      <c r="BL4" s="273"/>
      <c r="BM4" s="273" t="n">
        <f aca="false">'Setting key Duty'!$B15</f>
        <v>0</v>
      </c>
      <c r="BN4" s="273" t="str">
        <f aca="false">'Setting key Duty'!B17</f>
        <v>RESERVE</v>
      </c>
      <c r="BO4" s="273" t="str">
        <f aca="false">'Setting key Duty'!$B22</f>
        <v>AL</v>
      </c>
      <c r="BP4" s="273"/>
    </row>
    <row r="5" customFormat="false" ht="87" hidden="false" customHeight="true" outlineLevel="0" collapsed="false">
      <c r="A5" s="272"/>
      <c r="B5" s="282" t="s">
        <v>927</v>
      </c>
      <c r="C5" s="91"/>
      <c r="D5" s="266"/>
      <c r="E5" s="91"/>
      <c r="F5" s="266"/>
      <c r="G5" s="266"/>
      <c r="H5" s="91"/>
      <c r="I5" s="266"/>
      <c r="J5" s="266"/>
      <c r="K5" s="266"/>
      <c r="L5" s="91"/>
      <c r="M5" s="91"/>
      <c r="N5" s="266"/>
      <c r="O5" s="266"/>
      <c r="P5" s="266"/>
      <c r="Q5" s="266"/>
      <c r="R5" s="91"/>
      <c r="S5" s="91"/>
      <c r="T5" s="91"/>
      <c r="U5" s="324"/>
      <c r="V5" s="91"/>
      <c r="W5" s="91"/>
      <c r="X5" s="91"/>
      <c r="Y5" s="91"/>
      <c r="Z5" s="91"/>
      <c r="AA5" s="266"/>
      <c r="AB5" s="266"/>
      <c r="AC5" s="266"/>
      <c r="AD5" s="266"/>
      <c r="AE5" s="188"/>
      <c r="AF5" s="91"/>
      <c r="AG5" s="91"/>
      <c r="AH5" s="272" t="n">
        <f aca="false">COUNTIF($C5:$AF5,AH$4)</f>
        <v>0</v>
      </c>
      <c r="AI5" s="272" t="n">
        <f aca="false">COUNTIF($C5:$AF5,AI$4)</f>
        <v>0</v>
      </c>
      <c r="AJ5" s="272" t="n">
        <f aca="false">COUNTIF($C5:$AF5,AJ$4)</f>
        <v>0</v>
      </c>
      <c r="AK5" s="272" t="n">
        <f aca="false">COUNTIF($C5:$AF5,AK$4)</f>
        <v>0</v>
      </c>
      <c r="AL5" s="272" t="n">
        <f aca="false">COUNTIF($C5:$AF5,AL$4)</f>
        <v>0</v>
      </c>
      <c r="AM5" s="272" t="n">
        <f aca="false">COUNTIF($C5:$AF5,AM$4)</f>
        <v>0</v>
      </c>
      <c r="AN5" s="272" t="n">
        <f aca="false">COUNTIF($C5:$AF5,AN$4)</f>
        <v>0</v>
      </c>
      <c r="AO5" s="272" t="n">
        <f aca="false">COUNTIF($C5:$AF5,AO$4)</f>
        <v>0</v>
      </c>
      <c r="AP5" s="272" t="n">
        <f aca="false">COUNTIF($C5:$AF5,AP$4)</f>
        <v>0</v>
      </c>
      <c r="AQ5" s="279"/>
      <c r="AR5" s="279"/>
      <c r="AS5" s="278" t="n">
        <f aca="false">SUMPRODUCT(--(WEEKDAY(C$3:AG$3,2)&lt;5),--ISNUMBER(MATCH(C5:AG5,{"DM","CS1","CS2","SB1","AE","CS/B"},0)))</f>
        <v>0</v>
      </c>
      <c r="AT5" s="278"/>
      <c r="AU5" s="278" t="n">
        <f aca="false">SUMPRODUCT(--(WEEKDAY(C$3:AG$3,2)=5),--ISNUMBER(MATCH(C5:AG5,{"DM","CS1","CS2","SB1","AE","CS/B","WEEKEND OUTFIELD RESERVE"},0)))</f>
        <v>0</v>
      </c>
      <c r="AV5" s="278" t="n">
        <f aca="false">SUMPRODUCT(--(WEEKDAY(C$3:AG$3,2)&gt;5),--ISNUMBER(MATCH(C5:AG5,{"DM","CS1","CS2","SB1","AE","CS/B","WEEKEND OUTFIELD RESERVE"},0)))</f>
        <v>0</v>
      </c>
      <c r="AW5" s="278"/>
      <c r="AX5" s="278" t="n">
        <f aca="false">(AS5-AT5)+AU5*1.5+(AV5-AW5)*2+AM5*0.5+AO5*0.5+AQ5-AR5</f>
        <v>0</v>
      </c>
      <c r="AY5" s="278" t="n">
        <f aca="false">AS5+AU5+AV5</f>
        <v>0</v>
      </c>
      <c r="AZ5" s="278" t="n">
        <f aca="false">BC5+BE5+BG5+BI5+BK5</f>
        <v>0</v>
      </c>
      <c r="BA5" s="279" t="n">
        <f aca="false">AX5+BB5</f>
        <v>0</v>
      </c>
      <c r="BB5" s="278" t="n">
        <f aca="false">BD5+BF5+BH5+BJ5+BL5</f>
        <v>0</v>
      </c>
      <c r="BC5" s="278" t="n">
        <f aca="false">COUNTIF(A5:AH5,"*$BTP*")</f>
        <v>0</v>
      </c>
      <c r="BD5" s="278" t="n">
        <f aca="false">BC5*1.5</f>
        <v>0</v>
      </c>
      <c r="BE5" s="278" t="n">
        <f aca="false">COUNTIF(A5:AH5,"*$M*")</f>
        <v>0</v>
      </c>
      <c r="BF5" s="278" t="n">
        <f aca="false">BE5*1</f>
        <v>0</v>
      </c>
      <c r="BG5" s="278" t="n">
        <f aca="false">COUNTIF(A5:AH5,"*$PM*")</f>
        <v>0</v>
      </c>
      <c r="BH5" s="278" t="n">
        <f aca="false">BG5*0.5</f>
        <v>0</v>
      </c>
      <c r="BI5" s="278" t="n">
        <f aca="false">COUNTIF(A5:AH5,"*$AM*")</f>
        <v>0</v>
      </c>
      <c r="BJ5" s="278" t="n">
        <f aca="false">BI5*0.5</f>
        <v>0</v>
      </c>
      <c r="BK5" s="278" t="n">
        <f aca="false">COUNTIF(A5:AH5,"*$FC*")</f>
        <v>0</v>
      </c>
      <c r="BL5" s="278" t="n">
        <f aca="false">BK5*1</f>
        <v>0</v>
      </c>
      <c r="BM5" s="278" t="n">
        <f aca="false">COUNTIF($D5:$Z5,BM$4)</f>
        <v>0</v>
      </c>
      <c r="BN5" s="278" t="n">
        <f aca="false">COUNTIF($D5:$Z5,BN$4)</f>
        <v>0</v>
      </c>
      <c r="BO5" s="278" t="n">
        <f aca="false">COUNTIF($D5:$Z5,BO$4)</f>
        <v>0</v>
      </c>
      <c r="BP5" s="278"/>
    </row>
    <row r="6" customFormat="false" ht="73.5" hidden="false" customHeight="true" outlineLevel="0" collapsed="false">
      <c r="A6" s="272"/>
      <c r="B6" s="278" t="s">
        <v>567</v>
      </c>
      <c r="C6" s="91"/>
      <c r="E6" s="91"/>
      <c r="F6" s="266"/>
      <c r="G6" s="266"/>
      <c r="H6" s="266"/>
      <c r="I6" s="91"/>
      <c r="J6" s="91"/>
      <c r="K6" s="266"/>
      <c r="L6" s="266"/>
      <c r="M6" s="91"/>
      <c r="N6" s="266"/>
      <c r="O6" s="266"/>
      <c r="P6" s="266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266"/>
      <c r="AC6" s="91"/>
      <c r="AD6" s="91"/>
      <c r="AE6" s="325"/>
      <c r="AF6" s="91"/>
      <c r="AG6" s="91"/>
      <c r="AH6" s="272" t="n">
        <f aca="false">COUNTIF($C6:$AF6,AH$4)</f>
        <v>0</v>
      </c>
      <c r="AI6" s="272" t="n">
        <f aca="false">COUNTIF($C6:$AF6,AI$4)</f>
        <v>0</v>
      </c>
      <c r="AJ6" s="272" t="n">
        <f aca="false">COUNTIF($C6:$AF6,AJ$4)</f>
        <v>0</v>
      </c>
      <c r="AK6" s="272" t="n">
        <f aca="false">COUNTIF($C6:$AF6,AK$4)</f>
        <v>0</v>
      </c>
      <c r="AL6" s="272" t="n">
        <f aca="false">COUNTIF($C6:$AF6,AL$4)</f>
        <v>0</v>
      </c>
      <c r="AM6" s="272" t="n">
        <f aca="false">COUNTIF($C6:$AF6,AM$4)</f>
        <v>0</v>
      </c>
      <c r="AN6" s="272" t="n">
        <f aca="false">COUNTIF($C6:$AF6,AN$4)</f>
        <v>0</v>
      </c>
      <c r="AO6" s="272" t="n">
        <f aca="false">COUNTIF($C6:$AF6,AO$4)</f>
        <v>0</v>
      </c>
      <c r="AP6" s="272" t="n">
        <f aca="false">COUNTIF($C6:$AF6,AP$4)</f>
        <v>0</v>
      </c>
      <c r="AQ6" s="279"/>
      <c r="AR6" s="279"/>
      <c r="AS6" s="278" t="n">
        <f aca="false">SUMPRODUCT(--(WEEKDAY(C$3:AG$3,2)&lt;5),--ISNUMBER(MATCH(C6:AG6,{"DM","CS1","CS2","SB1","AE","CS/B"},0)))</f>
        <v>0</v>
      </c>
      <c r="AT6" s="278"/>
      <c r="AU6" s="278" t="n">
        <f aca="false">SUMPRODUCT(--(WEEKDAY(C$3:AG$3,2)=5),--ISNUMBER(MATCH(C6:AG6,{"DM","CS1","CS2","SB1","AE","CS/B","WEEKEND OUTFIELD RESERVE"},0)))</f>
        <v>0</v>
      </c>
      <c r="AV6" s="278" t="n">
        <f aca="false">SUMPRODUCT(--(WEEKDAY(C$3:AG$3,2)&gt;5),--ISNUMBER(MATCH(C6:AG6,{"DM","CS1","CS2","SB1","AE","CS/B","WEEKEND OUTFIELD RESERVE"},0)))</f>
        <v>0</v>
      </c>
      <c r="AW6" s="278"/>
      <c r="AX6" s="278" t="n">
        <f aca="false">(AS6-AT6)+AU6*1.5+(AV6-AW6)*2+AM6*0.5+AO6*0.5+AQ6-AR6</f>
        <v>0</v>
      </c>
      <c r="AY6" s="278" t="n">
        <f aca="false">AS6+AU6+AV6</f>
        <v>0</v>
      </c>
      <c r="AZ6" s="278" t="n">
        <f aca="false">BC6+BE6+BG6+BI6+BK6</f>
        <v>0</v>
      </c>
      <c r="BA6" s="279" t="n">
        <f aca="false">AX6+BB6</f>
        <v>0</v>
      </c>
      <c r="BB6" s="278" t="n">
        <f aca="false">BD6+BF6+BH6+BJ6+BL6</f>
        <v>0</v>
      </c>
      <c r="BC6" s="278" t="n">
        <f aca="false">COUNTIF(A6:AH6,"*$BTP*")</f>
        <v>0</v>
      </c>
      <c r="BD6" s="278" t="n">
        <f aca="false">BC6*1.5</f>
        <v>0</v>
      </c>
      <c r="BE6" s="278" t="n">
        <f aca="false">COUNTIF(A6:AH6,"*$M*")</f>
        <v>0</v>
      </c>
      <c r="BF6" s="278" t="n">
        <f aca="false">BE6*1</f>
        <v>0</v>
      </c>
      <c r="BG6" s="278" t="n">
        <f aca="false">COUNTIF(A6:AH6,"*$PM*")</f>
        <v>0</v>
      </c>
      <c r="BH6" s="278" t="n">
        <f aca="false">BG6*0.5</f>
        <v>0</v>
      </c>
      <c r="BI6" s="278" t="n">
        <f aca="false">COUNTIF(A6:AH6,"*$AM*")</f>
        <v>0</v>
      </c>
      <c r="BJ6" s="278" t="n">
        <f aca="false">BI6*0.5</f>
        <v>0</v>
      </c>
      <c r="BK6" s="278" t="n">
        <f aca="false">COUNTIF(A6:AH6,"*$FC*")</f>
        <v>0</v>
      </c>
      <c r="BL6" s="278" t="n">
        <f aca="false">BK6*1</f>
        <v>0</v>
      </c>
      <c r="BM6" s="278" t="n">
        <f aca="false">COUNTIF($D6:$AA6,BM$4)</f>
        <v>0</v>
      </c>
      <c r="BN6" s="278" t="n">
        <f aca="false">COUNTIF($D6:$AA6,BN$4)</f>
        <v>0</v>
      </c>
      <c r="BO6" s="278" t="n">
        <f aca="false">COUNTIF($D6:$AA6,BO$4)</f>
        <v>0</v>
      </c>
      <c r="BP6" s="278"/>
    </row>
    <row r="7" customFormat="false" ht="19.5" hidden="false" customHeight="true" outlineLevel="0" collapsed="false">
      <c r="A7" s="272"/>
      <c r="B7" s="282" t="s">
        <v>930</v>
      </c>
      <c r="C7" s="91"/>
      <c r="D7" s="91"/>
      <c r="E7" s="91"/>
      <c r="F7" s="266"/>
      <c r="G7" s="266"/>
      <c r="H7" s="266"/>
      <c r="I7" s="91"/>
      <c r="J7" s="266"/>
      <c r="K7" s="266"/>
      <c r="L7" s="91"/>
      <c r="M7" s="91"/>
      <c r="N7" s="91"/>
      <c r="O7" s="91"/>
      <c r="P7" s="91"/>
      <c r="Q7" s="91"/>
      <c r="R7" s="91"/>
      <c r="S7" s="91"/>
      <c r="T7" s="91"/>
      <c r="U7" s="91"/>
      <c r="V7" s="266"/>
      <c r="W7" s="266"/>
      <c r="X7" s="266"/>
      <c r="Y7" s="266"/>
      <c r="Z7" s="266"/>
      <c r="AA7" s="91"/>
      <c r="AB7" s="91"/>
      <c r="AC7" s="91"/>
      <c r="AD7" s="91"/>
      <c r="AE7" s="326"/>
      <c r="AF7" s="266"/>
      <c r="AG7" s="266"/>
      <c r="AH7" s="272" t="n">
        <f aca="false">COUNTIF($C7:$AF7,AH$4)</f>
        <v>0</v>
      </c>
      <c r="AI7" s="272" t="n">
        <f aca="false">COUNTIF($C7:$AF7,AI$4)</f>
        <v>0</v>
      </c>
      <c r="AJ7" s="272" t="n">
        <f aca="false">COUNTIF($C7:$AF7,AJ$4)</f>
        <v>0</v>
      </c>
      <c r="AK7" s="272" t="n">
        <f aca="false">COUNTIF($C7:$AF7,AK$4)</f>
        <v>0</v>
      </c>
      <c r="AL7" s="272" t="n">
        <f aca="false">COUNTIF($C7:$AF7,AL$4)</f>
        <v>0</v>
      </c>
      <c r="AM7" s="272" t="n">
        <f aca="false">COUNTIF($C7:$AF7,AM$4)</f>
        <v>0</v>
      </c>
      <c r="AN7" s="272" t="n">
        <f aca="false">COUNTIF($C7:$AF7,AN$4)</f>
        <v>0</v>
      </c>
      <c r="AO7" s="272" t="n">
        <f aca="false">COUNTIF($C7:$AF7,AO$4)</f>
        <v>0</v>
      </c>
      <c r="AP7" s="272" t="n">
        <f aca="false">COUNTIF($C7:$AF7,AP$4)</f>
        <v>0</v>
      </c>
      <c r="AQ7" s="279"/>
      <c r="AR7" s="279"/>
      <c r="AS7" s="278" t="n">
        <f aca="false">SUMPRODUCT(--(WEEKDAY(C$3:AG$3,2)&lt;5),--ISNUMBER(MATCH(C7:AG7,{"DM","CS1","CS2","SB1","AE","CS/B"},0)))</f>
        <v>0</v>
      </c>
      <c r="AT7" s="278"/>
      <c r="AU7" s="278" t="n">
        <f aca="false">SUMPRODUCT(--(WEEKDAY(C$3:AG$3,2)=5),--ISNUMBER(MATCH(C7:AG7,{"DM","CS1","CS2","SB1","AE","CS/B","WEEKEND OUTFIELD RESERVE"},0)))</f>
        <v>0</v>
      </c>
      <c r="AV7" s="278" t="n">
        <f aca="false">SUMPRODUCT(--(WEEKDAY(C$3:AG$3,2)&gt;5),--ISNUMBER(MATCH(C7:AG7,{"DM","CS1","CS2","SB1","AE","CS/B","WEEKEND OUTFIELD RESERVE"},0)))</f>
        <v>0</v>
      </c>
      <c r="AW7" s="278"/>
      <c r="AX7" s="278" t="n">
        <f aca="false">(AS7-AT7)+AU7*1.5+(AV7-AW7)*2+AM7*0.5+AO7*0.5+AQ7-AR7</f>
        <v>0</v>
      </c>
      <c r="AY7" s="278" t="n">
        <f aca="false">AS7+AU7+AV7</f>
        <v>0</v>
      </c>
      <c r="AZ7" s="278" t="n">
        <f aca="false">BC7+BE7+BG7+BI7+BK7</f>
        <v>0</v>
      </c>
      <c r="BA7" s="279" t="n">
        <f aca="false">AX7+BB7</f>
        <v>0</v>
      </c>
      <c r="BB7" s="278" t="n">
        <f aca="false">BD7+BF7+BH7+BJ7+BL7</f>
        <v>0</v>
      </c>
      <c r="BC7" s="278" t="n">
        <f aca="false">COUNTIF(A7:AH7,"*$BTP*")</f>
        <v>0</v>
      </c>
      <c r="BD7" s="278" t="n">
        <f aca="false">BC7*1.5</f>
        <v>0</v>
      </c>
      <c r="BE7" s="278" t="n">
        <f aca="false">COUNTIF(A7:AH7,"*$M*")</f>
        <v>0</v>
      </c>
      <c r="BF7" s="278" t="n">
        <f aca="false">BE7*1</f>
        <v>0</v>
      </c>
      <c r="BG7" s="278" t="n">
        <f aca="false">COUNTIF(A7:AH7,"*$PM*")</f>
        <v>0</v>
      </c>
      <c r="BH7" s="278" t="n">
        <f aca="false">BG7*0.5</f>
        <v>0</v>
      </c>
      <c r="BI7" s="278" t="n">
        <f aca="false">COUNTIF(A7:AH7,"*$AM*")</f>
        <v>0</v>
      </c>
      <c r="BJ7" s="278" t="n">
        <f aca="false">BI7*0.5</f>
        <v>0</v>
      </c>
      <c r="BK7" s="278" t="n">
        <f aca="false">COUNTIF(A7:AH7,"*$FC*")</f>
        <v>0</v>
      </c>
      <c r="BL7" s="278" t="n">
        <f aca="false">BK7*1</f>
        <v>0</v>
      </c>
      <c r="BM7" s="278" t="n">
        <f aca="false">COUNTIF($D7:$X7,BM$4)</f>
        <v>0</v>
      </c>
      <c r="BN7" s="278" t="n">
        <f aca="false">COUNTIF($D7:$X7,BN$4)</f>
        <v>0</v>
      </c>
      <c r="BO7" s="278" t="n">
        <f aca="false">COUNTIF($D7:$X7,BO$4)</f>
        <v>0</v>
      </c>
      <c r="BP7" s="278"/>
    </row>
    <row r="8" customFormat="false" ht="56.25" hidden="false" customHeight="true" outlineLevel="0" collapsed="false">
      <c r="A8" s="272"/>
      <c r="B8" s="278" t="s">
        <v>714</v>
      </c>
      <c r="C8" s="272"/>
      <c r="D8" s="266"/>
      <c r="E8" s="91"/>
      <c r="F8" s="266"/>
      <c r="G8" s="266"/>
      <c r="H8" s="91"/>
      <c r="I8" s="266"/>
      <c r="J8" s="266"/>
      <c r="K8" s="91"/>
      <c r="L8" s="91"/>
      <c r="M8" s="91"/>
      <c r="N8" s="266"/>
      <c r="O8" s="91"/>
      <c r="P8" s="91"/>
      <c r="Q8" s="91"/>
      <c r="R8" s="91"/>
      <c r="S8" s="266"/>
      <c r="T8" s="91"/>
      <c r="U8" s="266"/>
      <c r="V8" s="266"/>
      <c r="W8" s="91"/>
      <c r="X8" s="91"/>
      <c r="Y8" s="91"/>
      <c r="Z8" s="91"/>
      <c r="AA8" s="266"/>
      <c r="AB8" s="266"/>
      <c r="AC8" s="266"/>
      <c r="AE8" s="327"/>
      <c r="AF8" s="266"/>
      <c r="AG8" s="266"/>
      <c r="AH8" s="272" t="n">
        <f aca="false">COUNTIF($C8:$AF8,AH$4)</f>
        <v>0</v>
      </c>
      <c r="AI8" s="272" t="n">
        <f aca="false">COUNTIF($C8:$AF8,AI$4)</f>
        <v>0</v>
      </c>
      <c r="AJ8" s="272" t="n">
        <f aca="false">COUNTIF($C8:$AF8,AJ$4)</f>
        <v>0</v>
      </c>
      <c r="AK8" s="272" t="n">
        <f aca="false">COUNTIF($C8:$AF8,AK$4)</f>
        <v>0</v>
      </c>
      <c r="AL8" s="272" t="n">
        <f aca="false">COUNTIF($C8:$AF8,AL$4)</f>
        <v>0</v>
      </c>
      <c r="AM8" s="272" t="n">
        <f aca="false">COUNTIF($C8:$AF8,AM$4)</f>
        <v>0</v>
      </c>
      <c r="AN8" s="272" t="n">
        <f aca="false">COUNTIF($C8:$AF8,AN$4)</f>
        <v>0</v>
      </c>
      <c r="AO8" s="272" t="n">
        <f aca="false">COUNTIF($C8:$AF8,AO$4)</f>
        <v>0</v>
      </c>
      <c r="AP8" s="272" t="n">
        <f aca="false">COUNTIF($C8:$AF8,AP$4)</f>
        <v>0</v>
      </c>
      <c r="AQ8" s="279"/>
      <c r="AR8" s="279"/>
      <c r="AS8" s="278" t="n">
        <f aca="false">SUMPRODUCT(--(WEEKDAY(C$3:AG$3,2)&lt;5),--ISNUMBER(MATCH(C8:AG8,{"DM","CS1","CS2","SB1","AE","CS/B"},0)))</f>
        <v>0</v>
      </c>
      <c r="AT8" s="278"/>
      <c r="AU8" s="278" t="n">
        <f aca="false">SUMPRODUCT(--(WEEKDAY(C$3:AG$3,2)=5),--ISNUMBER(MATCH(C8:AG8,{"DM","CS1","CS2","SB1","AE","CS/B","WEEKEND OUTFIELD RESERVE"},0)))</f>
        <v>0</v>
      </c>
      <c r="AV8" s="278" t="n">
        <f aca="false">SUMPRODUCT(--(WEEKDAY(C$3:AG$3,2)&gt;5),--ISNUMBER(MATCH(C8:AG8,{"DM","CS1","CS2","SB1","AE","CS/B","WEEKEND OUTFIELD RESERVE"},0)))</f>
        <v>0</v>
      </c>
      <c r="AW8" s="278"/>
      <c r="AX8" s="278" t="n">
        <f aca="false">(AS8-AT8)+AU8*1.5+(AV8-AW8)*2+AM8*0.5+AO8*0.5+AQ8-AR8</f>
        <v>0</v>
      </c>
      <c r="AY8" s="278" t="n">
        <f aca="false">AS8+AU8+AV8</f>
        <v>0</v>
      </c>
      <c r="AZ8" s="278" t="n">
        <f aca="false">BC8+BE8+BG8+BI8+BK8</f>
        <v>0</v>
      </c>
      <c r="BA8" s="279" t="n">
        <f aca="false">AX8+BB8</f>
        <v>0</v>
      </c>
      <c r="BB8" s="278" t="n">
        <f aca="false">BD8+BF8+BH8+BJ8+BL8</f>
        <v>0</v>
      </c>
      <c r="BC8" s="278" t="n">
        <f aca="false">COUNTIF(A8:AH8,"*$BTP*")</f>
        <v>0</v>
      </c>
      <c r="BD8" s="278" t="n">
        <f aca="false">BC8*1.5</f>
        <v>0</v>
      </c>
      <c r="BE8" s="278" t="n">
        <f aca="false">COUNTIF(A8:AH8,"*$M*")</f>
        <v>0</v>
      </c>
      <c r="BF8" s="278" t="n">
        <f aca="false">BE8*1</f>
        <v>0</v>
      </c>
      <c r="BG8" s="278" t="n">
        <f aca="false">COUNTIF(A8:AH8,"*$PM*")</f>
        <v>0</v>
      </c>
      <c r="BH8" s="278" t="n">
        <f aca="false">BG8*0.5</f>
        <v>0</v>
      </c>
      <c r="BI8" s="278" t="n">
        <f aca="false">COUNTIF(A8:AH8,"*$AM*")</f>
        <v>0</v>
      </c>
      <c r="BJ8" s="278" t="n">
        <f aca="false">BI8*0.5</f>
        <v>0</v>
      </c>
      <c r="BK8" s="278" t="n">
        <f aca="false">COUNTIF(A8:AH8,"*$FC*")</f>
        <v>0</v>
      </c>
      <c r="BL8" s="278" t="n">
        <f aca="false">BK8*1</f>
        <v>0</v>
      </c>
      <c r="BM8" s="278" t="n">
        <f aca="false">COUNTIF($D8:$AA8,BM$4)</f>
        <v>0</v>
      </c>
      <c r="BN8" s="278" t="n">
        <f aca="false">COUNTIF($D8:$AA8,BN$4)</f>
        <v>0</v>
      </c>
      <c r="BO8" s="278" t="n">
        <f aca="false">COUNTIF($D8:$AA8,BO$4)</f>
        <v>0</v>
      </c>
      <c r="BP8" s="278"/>
    </row>
    <row r="9" customFormat="false" ht="19.5" hidden="false" customHeight="true" outlineLevel="0" collapsed="false">
      <c r="A9" s="272"/>
      <c r="B9" s="278" t="s">
        <v>715</v>
      </c>
      <c r="C9" s="266"/>
      <c r="D9" s="266"/>
      <c r="E9" s="266"/>
      <c r="F9" s="266"/>
      <c r="G9" s="266"/>
      <c r="H9" s="266"/>
      <c r="I9" s="91"/>
      <c r="J9" s="91"/>
      <c r="K9" s="91"/>
      <c r="L9" s="91"/>
      <c r="M9" s="266"/>
      <c r="N9" s="266"/>
      <c r="O9" s="91"/>
      <c r="P9" s="91"/>
      <c r="Q9" s="266"/>
      <c r="R9" s="266"/>
      <c r="S9" s="91"/>
      <c r="T9" s="266"/>
      <c r="U9" s="91"/>
      <c r="V9" s="266"/>
      <c r="W9" s="91"/>
      <c r="X9" s="91"/>
      <c r="Y9" s="266"/>
      <c r="Z9" s="266"/>
      <c r="AA9" s="266"/>
      <c r="AB9" s="91"/>
      <c r="AC9" s="91"/>
      <c r="AD9" s="91"/>
      <c r="AE9" s="328"/>
      <c r="AF9" s="91"/>
      <c r="AG9" s="266"/>
      <c r="AH9" s="272" t="n">
        <f aca="false">COUNTIF($C9:$AF9,AH$4)</f>
        <v>0</v>
      </c>
      <c r="AI9" s="272" t="n">
        <f aca="false">COUNTIF($C9:$AF9,AI$4)</f>
        <v>0</v>
      </c>
      <c r="AJ9" s="272" t="n">
        <f aca="false">COUNTIF($C9:$AF9,AJ$4)</f>
        <v>0</v>
      </c>
      <c r="AK9" s="272" t="n">
        <f aca="false">COUNTIF($C9:$AF9,AK$4)</f>
        <v>0</v>
      </c>
      <c r="AL9" s="272" t="n">
        <f aca="false">COUNTIF($C9:$AF9,AL$4)</f>
        <v>0</v>
      </c>
      <c r="AM9" s="272" t="n">
        <f aca="false">COUNTIF($C9:$AF9,AM$4)</f>
        <v>0</v>
      </c>
      <c r="AN9" s="272" t="n">
        <f aca="false">COUNTIF($C9:$AF9,AN$4)</f>
        <v>0</v>
      </c>
      <c r="AO9" s="272" t="n">
        <f aca="false">COUNTIF($C9:$AF9,AO$4)</f>
        <v>0</v>
      </c>
      <c r="AP9" s="272" t="n">
        <f aca="false">COUNTIF($C9:$AF9,AP$4)</f>
        <v>0</v>
      </c>
      <c r="AQ9" s="279"/>
      <c r="AR9" s="279"/>
      <c r="AS9" s="278" t="n">
        <f aca="false">SUMPRODUCT(--(WEEKDAY(C$3:AG$3,2)&lt;5),--ISNUMBER(MATCH(C9:AG9,{"DM","CS1","CS2","SB1","AE","CS/B"},0)))</f>
        <v>0</v>
      </c>
      <c r="AT9" s="278" t="n">
        <v>0</v>
      </c>
      <c r="AU9" s="278" t="n">
        <f aca="false">SUMPRODUCT(--(WEEKDAY(C$3:AG$3,2)=5),--ISNUMBER(MATCH(C9:AG9,{"DM","CS1","CS2","SB1","AE","CS/B","WEEKEND OUTFIELD RESERVE"},0)))</f>
        <v>0</v>
      </c>
      <c r="AV9" s="278" t="n">
        <f aca="false">SUMPRODUCT(--(WEEKDAY(C$3:AG$3,2)&gt;5),--ISNUMBER(MATCH(C9:AG9,{"DM","CS1","CS2","SB1","AE","CS/B","WEEKEND OUTFIELD RESERVE"},0)))</f>
        <v>0</v>
      </c>
      <c r="AW9" s="278"/>
      <c r="AX9" s="278" t="n">
        <f aca="false">(AS9-AT9)+AU9*1.5+(AV9-AW9)*2+AM9*0.5+AO9*0.5+AQ9-AR9</f>
        <v>0</v>
      </c>
      <c r="AY9" s="278" t="n">
        <f aca="false">AS9+AU9+AV9</f>
        <v>0</v>
      </c>
      <c r="AZ9" s="278" t="n">
        <f aca="false">BC9+BE9+BG9+BI9+BK9</f>
        <v>0</v>
      </c>
      <c r="BA9" s="279" t="n">
        <f aca="false">AX9+BB9</f>
        <v>0</v>
      </c>
      <c r="BB9" s="278" t="n">
        <f aca="false">BD9+BF9+BH9+BJ9+BL9</f>
        <v>0</v>
      </c>
      <c r="BC9" s="278" t="n">
        <f aca="false">COUNTIF(A9:AH9,"*$BTP*")</f>
        <v>0</v>
      </c>
      <c r="BD9" s="278" t="n">
        <f aca="false">BC9*1.5</f>
        <v>0</v>
      </c>
      <c r="BE9" s="278" t="n">
        <f aca="false">COUNTIF(A9:AH9,"*$M*")</f>
        <v>0</v>
      </c>
      <c r="BF9" s="278" t="n">
        <f aca="false">BE9*1</f>
        <v>0</v>
      </c>
      <c r="BG9" s="278" t="n">
        <f aca="false">COUNTIF(A9:AH9,"*$PM*")</f>
        <v>0</v>
      </c>
      <c r="BH9" s="278" t="n">
        <f aca="false">BG9*0.5</f>
        <v>0</v>
      </c>
      <c r="BI9" s="278" t="n">
        <f aca="false">COUNTIF(A9:AH9,"*$AM*")</f>
        <v>0</v>
      </c>
      <c r="BJ9" s="278" t="n">
        <f aca="false">BI9*0.5</f>
        <v>0</v>
      </c>
      <c r="BK9" s="278" t="n">
        <f aca="false">COUNTIF(A9:AH9,"*$FC*")</f>
        <v>0</v>
      </c>
      <c r="BL9" s="278" t="n">
        <f aca="false">BK9*1</f>
        <v>0</v>
      </c>
      <c r="BM9" s="278" t="n">
        <f aca="false">COUNTIF($D9:$AA9,BM$4)</f>
        <v>0</v>
      </c>
      <c r="BN9" s="278" t="n">
        <f aca="false">COUNTIF($D9:$AA9,BN$4)</f>
        <v>0</v>
      </c>
      <c r="BO9" s="278" t="n">
        <f aca="false">COUNTIF($D9:$AA9,BO$4)</f>
        <v>0</v>
      </c>
      <c r="BP9" s="278"/>
    </row>
    <row r="10" customFormat="false" ht="51" hidden="false" customHeight="true" outlineLevel="0" collapsed="false">
      <c r="A10" s="272"/>
      <c r="B10" s="282" t="s">
        <v>584</v>
      </c>
      <c r="C10" s="266"/>
      <c r="D10" s="91"/>
      <c r="E10" s="266"/>
      <c r="F10" s="266"/>
      <c r="G10" s="266"/>
      <c r="H10" s="266"/>
      <c r="I10" s="91"/>
      <c r="J10" s="266"/>
      <c r="K10" s="266"/>
      <c r="L10" s="266"/>
      <c r="M10" s="91"/>
      <c r="N10" s="46"/>
      <c r="O10" s="91"/>
      <c r="P10" s="266"/>
      <c r="Q10" s="266"/>
      <c r="R10" s="266"/>
      <c r="S10" s="91"/>
      <c r="T10" s="266"/>
      <c r="U10" s="91"/>
      <c r="V10" s="91"/>
      <c r="W10" s="91"/>
      <c r="X10" s="91"/>
      <c r="Y10" s="266"/>
      <c r="Z10" s="91"/>
      <c r="AA10" s="266"/>
      <c r="AB10" s="266"/>
      <c r="AC10" s="91"/>
      <c r="AD10" s="91"/>
      <c r="AE10" s="329"/>
      <c r="AF10" s="91"/>
      <c r="AG10" s="91"/>
      <c r="AH10" s="272" t="n">
        <f aca="false">COUNTIF($C10:$AF10,AH$4)</f>
        <v>0</v>
      </c>
      <c r="AI10" s="272" t="n">
        <f aca="false">COUNTIF($C10:$AF10,AI$4)</f>
        <v>0</v>
      </c>
      <c r="AJ10" s="272" t="n">
        <f aca="false">COUNTIF($C10:$AF10,AJ$4)</f>
        <v>0</v>
      </c>
      <c r="AK10" s="272" t="n">
        <f aca="false">COUNTIF($C10:$AF10,AK$4)</f>
        <v>0</v>
      </c>
      <c r="AL10" s="272" t="n">
        <f aca="false">COUNTIF($C10:$AF10,AL$4)</f>
        <v>0</v>
      </c>
      <c r="AM10" s="272" t="n">
        <f aca="false">COUNTIF($C10:$AF10,AM$4)</f>
        <v>0</v>
      </c>
      <c r="AN10" s="272" t="n">
        <f aca="false">COUNTIF($C10:$AF10,AN$4)</f>
        <v>0</v>
      </c>
      <c r="AO10" s="272" t="n">
        <f aca="false">COUNTIF($C10:$AF10,AO$4)</f>
        <v>0</v>
      </c>
      <c r="AP10" s="272" t="n">
        <f aca="false">COUNTIF($C10:$AF10,AP$4)</f>
        <v>0</v>
      </c>
      <c r="AQ10" s="279"/>
      <c r="AR10" s="279"/>
      <c r="AS10" s="278" t="n">
        <f aca="false">SUMPRODUCT(--(WEEKDAY(C$3:AG$3,2)&lt;5),--ISNUMBER(MATCH(C10:AG10,{"DM","CS1","CS2","SB1","AE","CS/B"},0)))</f>
        <v>0</v>
      </c>
      <c r="AT10" s="278"/>
      <c r="AU10" s="278" t="n">
        <f aca="false">SUMPRODUCT(--(WEEKDAY(C$3:AG$3,2)=5),--ISNUMBER(MATCH(C10:AG10,{"DM","CS1","CS2","SB1","AE","CS/B","WEEKEND OUTFIELD RESERVE"},0)))</f>
        <v>0</v>
      </c>
      <c r="AV10" s="278" t="n">
        <f aca="false">SUMPRODUCT(--(WEEKDAY(C$3:AG$3,2)&gt;5),--ISNUMBER(MATCH(C10:AG10,{"DM","CS1","CS2","SB1","AE","CS/B","WEEKEND OUTFIELD RESERVE"},0)))</f>
        <v>0</v>
      </c>
      <c r="AW10" s="278"/>
      <c r="AX10" s="278" t="n">
        <f aca="false">(AS10-AT10)+AU10*1.5+(AV10-AW10)*2+AM10*0.5+AO10*0.5+AQ10-AR10</f>
        <v>0</v>
      </c>
      <c r="AY10" s="278" t="n">
        <f aca="false">AS10+AU10+AV10</f>
        <v>0</v>
      </c>
      <c r="AZ10" s="278" t="n">
        <f aca="false">BC10+BE10+BG10+BI10+BK10</f>
        <v>0</v>
      </c>
      <c r="BA10" s="279" t="n">
        <f aca="false">AX10+BB10</f>
        <v>0</v>
      </c>
      <c r="BB10" s="278" t="n">
        <f aca="false">BD10+BF10+BH10+BJ10+BL10</f>
        <v>0</v>
      </c>
      <c r="BC10" s="278" t="n">
        <f aca="false">COUNTIF(A10:AH10,"*$BTP*")</f>
        <v>0</v>
      </c>
      <c r="BD10" s="278" t="n">
        <f aca="false">BC10*1.5</f>
        <v>0</v>
      </c>
      <c r="BE10" s="278" t="n">
        <f aca="false">COUNTIF(A10:AH10,"*$M*")</f>
        <v>0</v>
      </c>
      <c r="BF10" s="278" t="n">
        <f aca="false">BE10*1</f>
        <v>0</v>
      </c>
      <c r="BG10" s="278" t="n">
        <f aca="false">COUNTIF(A10:AH10,"*$PM*")</f>
        <v>0</v>
      </c>
      <c r="BH10" s="278" t="n">
        <f aca="false">BG10*0.5</f>
        <v>0</v>
      </c>
      <c r="BI10" s="278" t="n">
        <f aca="false">COUNTIF(A10:AH10,"*$AM*")</f>
        <v>0</v>
      </c>
      <c r="BJ10" s="278" t="n">
        <f aca="false">BI10*0.5</f>
        <v>0</v>
      </c>
      <c r="BK10" s="278" t="n">
        <f aca="false">COUNTIF(A10:AH10,"*$FC*")</f>
        <v>0</v>
      </c>
      <c r="BL10" s="278" t="n">
        <f aca="false">BK10*1</f>
        <v>0</v>
      </c>
      <c r="BM10" s="278" t="n">
        <f aca="false">COUNTIF($D10:$AA10,BM$4)</f>
        <v>0</v>
      </c>
      <c r="BN10" s="278" t="n">
        <f aca="false">COUNTIF($D10:$AA10,BN$4)</f>
        <v>0</v>
      </c>
      <c r="BO10" s="278" t="n">
        <f aca="false">COUNTIF($D10:$AA10,BO$4)</f>
        <v>0</v>
      </c>
      <c r="BP10" s="278"/>
    </row>
    <row r="11" customFormat="false" ht="45" hidden="false" customHeight="true" outlineLevel="0" collapsed="false">
      <c r="A11" s="272"/>
      <c r="B11" s="282" t="s">
        <v>717</v>
      </c>
      <c r="C11" s="266"/>
      <c r="D11" s="266"/>
      <c r="E11" s="266"/>
      <c r="F11" s="266"/>
      <c r="G11" s="266"/>
      <c r="H11" s="266"/>
      <c r="I11" s="266"/>
      <c r="J11" s="266"/>
      <c r="K11" s="266"/>
      <c r="L11" s="266"/>
      <c r="M11" s="266"/>
      <c r="N11" s="266"/>
      <c r="O11" s="266"/>
      <c r="P11" s="266"/>
      <c r="Q11" s="266"/>
      <c r="R11" s="266"/>
      <c r="S11" s="266"/>
      <c r="T11" s="266"/>
      <c r="U11" s="266"/>
      <c r="V11" s="266"/>
      <c r="W11" s="266"/>
      <c r="X11" s="266"/>
      <c r="Y11" s="266"/>
      <c r="Z11" s="266"/>
      <c r="AA11" s="91"/>
      <c r="AB11" s="266"/>
      <c r="AC11" s="91"/>
      <c r="AD11" s="91"/>
      <c r="AE11" s="330"/>
      <c r="AF11" s="91"/>
      <c r="AG11" s="91"/>
      <c r="AH11" s="272" t="n">
        <f aca="false">COUNTIF($C11:$Z11,AH$4)</f>
        <v>0</v>
      </c>
      <c r="AI11" s="272" t="n">
        <f aca="false">COUNTIF($C11:$Z11,AI$4)</f>
        <v>0</v>
      </c>
      <c r="AJ11" s="272" t="n">
        <f aca="false">COUNTIF($C11:$Z11,AJ$4)</f>
        <v>0</v>
      </c>
      <c r="AK11" s="272" t="n">
        <f aca="false">COUNTIF($C11:$Z11,AK$4)</f>
        <v>0</v>
      </c>
      <c r="AL11" s="272" t="n">
        <f aca="false">COUNTIF($C11:$Z11,AL$4)</f>
        <v>0</v>
      </c>
      <c r="AM11" s="272" t="n">
        <f aca="false">COUNTIF($C11:$Z11,AM$4)</f>
        <v>0</v>
      </c>
      <c r="AN11" s="272" t="n">
        <f aca="false">COUNTIF($C11:$Z11,AN$4)</f>
        <v>0</v>
      </c>
      <c r="AO11" s="272" t="n">
        <f aca="false">COUNTIF($C11:$Z11,AO$4)</f>
        <v>0</v>
      </c>
      <c r="AP11" s="272" t="n">
        <f aca="false">COUNTIF($C11:$Z11,AP$4)</f>
        <v>0</v>
      </c>
      <c r="AQ11" s="279"/>
      <c r="AR11" s="279"/>
      <c r="AS11" s="278" t="n">
        <f aca="false">SUMPRODUCT(--(WEEKDAY(C$3:AG$3,2)&lt;5),--ISNUMBER(MATCH(C11:AG11,{"DM","CS1","CS2","SB1","AE","CS/B"},0)))</f>
        <v>0</v>
      </c>
      <c r="AT11" s="278"/>
      <c r="AU11" s="278" t="n">
        <f aca="false">SUMPRODUCT(--(WEEKDAY(C$3:AG$3,2)=5),--ISNUMBER(MATCH(C11:AG11,{"DM","CS1","CS2","SB1","AE","CS/B","WEEKEND OUTFIELD RESERVE"},0)))</f>
        <v>0</v>
      </c>
      <c r="AV11" s="278" t="n">
        <f aca="false">SUMPRODUCT(--(WEEKDAY(C$3:AG$3,2)&gt;5),--ISNUMBER(MATCH(C11:AG11,{"DM","CS1","CS2","SB1","AE","CS/B","WEEKEND OUTFIELD RESERVE"},0)))</f>
        <v>0</v>
      </c>
      <c r="AW11" s="278"/>
      <c r="AX11" s="278" t="n">
        <f aca="false">(AS11-AT11)+AU11*1.5+(AV11-AW11)*2+AM11*0.5+AO11*0.5+AQ11-AR11</f>
        <v>0</v>
      </c>
      <c r="AY11" s="278" t="n">
        <f aca="false">AS11+AU11+AV11</f>
        <v>0</v>
      </c>
      <c r="AZ11" s="278" t="n">
        <f aca="false">BC11+BE11+BG11+BI11+BK11</f>
        <v>0</v>
      </c>
      <c r="BA11" s="279" t="n">
        <f aca="false">AX11+BB11</f>
        <v>0</v>
      </c>
      <c r="BB11" s="278" t="n">
        <f aca="false">BD11+BF11+BH11+BJ11+BL11</f>
        <v>0</v>
      </c>
      <c r="BC11" s="278" t="n">
        <f aca="false">COUNTIF(A11:AH11,"*$BTP*")</f>
        <v>0</v>
      </c>
      <c r="BD11" s="278" t="n">
        <f aca="false">BC11*1.5</f>
        <v>0</v>
      </c>
      <c r="BE11" s="278" t="n">
        <f aca="false">COUNTIF(A11:AH11,"*$M*")</f>
        <v>0</v>
      </c>
      <c r="BF11" s="278" t="n">
        <f aca="false">BE11*1</f>
        <v>0</v>
      </c>
      <c r="BG11" s="278" t="n">
        <f aca="false">COUNTIF(A11:AH11,"*$PM*")</f>
        <v>0</v>
      </c>
      <c r="BH11" s="278" t="n">
        <f aca="false">BG11*0.5</f>
        <v>0</v>
      </c>
      <c r="BI11" s="278" t="n">
        <f aca="false">COUNTIF(A11:AH11,"*$AM*")</f>
        <v>0</v>
      </c>
      <c r="BJ11" s="278" t="n">
        <f aca="false">BI11*0.5</f>
        <v>0</v>
      </c>
      <c r="BK11" s="278" t="n">
        <f aca="false">COUNTIF(A11:AH11,"*$FC*")</f>
        <v>0</v>
      </c>
      <c r="BL11" s="278" t="n">
        <f aca="false">BK11*1</f>
        <v>0</v>
      </c>
      <c r="BM11" s="278" t="n">
        <f aca="false">COUNTIF($D11:$Z11,BM$4)</f>
        <v>0</v>
      </c>
      <c r="BN11" s="278" t="n">
        <f aca="false">COUNTIF($D11:$Z11,BN$4)</f>
        <v>0</v>
      </c>
      <c r="BO11" s="278" t="n">
        <f aca="false">COUNTIF($D11:$Z11,BO$4)</f>
        <v>0</v>
      </c>
      <c r="BP11" s="278"/>
    </row>
    <row r="12" customFormat="false" ht="28.35" hidden="false" customHeight="false" outlineLevel="0" collapsed="false">
      <c r="A12" s="272"/>
      <c r="B12" s="278" t="s">
        <v>591</v>
      </c>
      <c r="C12" s="266"/>
      <c r="D12" s="266"/>
      <c r="E12" s="266"/>
      <c r="F12" s="266"/>
      <c r="G12" s="91"/>
      <c r="H12" s="266"/>
      <c r="I12" s="266"/>
      <c r="J12" s="266"/>
      <c r="K12" s="266"/>
      <c r="L12" s="266"/>
      <c r="M12" s="266"/>
      <c r="N12" s="266"/>
      <c r="O12" s="266"/>
      <c r="P12" s="266"/>
      <c r="Q12" s="91"/>
      <c r="R12" s="91"/>
      <c r="S12" s="91"/>
      <c r="T12" s="266"/>
      <c r="U12" s="91"/>
      <c r="V12" s="266"/>
      <c r="W12" s="91"/>
      <c r="X12" s="266"/>
      <c r="Y12" s="266"/>
      <c r="Z12" s="266"/>
      <c r="AA12" s="266"/>
      <c r="AB12" s="91"/>
      <c r="AC12" s="91"/>
      <c r="AD12" s="266"/>
      <c r="AE12" s="331"/>
      <c r="AF12" s="91"/>
      <c r="AG12" s="266"/>
      <c r="AH12" s="272" t="n">
        <f aca="false">COUNTIF($C12:$AF12,AH$4)</f>
        <v>0</v>
      </c>
      <c r="AI12" s="272" t="n">
        <f aca="false">COUNTIF($C12:$AF12,AI$4)</f>
        <v>0</v>
      </c>
      <c r="AJ12" s="272" t="n">
        <f aca="false">COUNTIF($C12:$AF12,AJ$4)</f>
        <v>0</v>
      </c>
      <c r="AK12" s="272" t="n">
        <f aca="false">COUNTIF($C12:$AF12,AK$4)</f>
        <v>0</v>
      </c>
      <c r="AL12" s="272" t="n">
        <f aca="false">COUNTIF($C12:$AF12,AL$4)</f>
        <v>0</v>
      </c>
      <c r="AM12" s="272" t="n">
        <f aca="false">COUNTIF($C12:$AF12,AM$4)</f>
        <v>0</v>
      </c>
      <c r="AN12" s="272" t="n">
        <f aca="false">COUNTIF($C12:$AF12,AN$4)</f>
        <v>0</v>
      </c>
      <c r="AO12" s="272" t="n">
        <f aca="false">COUNTIF($C12:$AF12,AO$4)</f>
        <v>0</v>
      </c>
      <c r="AP12" s="272" t="n">
        <f aca="false">COUNTIF($C12:$AF12,AP$4)</f>
        <v>0</v>
      </c>
      <c r="AQ12" s="279"/>
      <c r="AR12" s="279"/>
      <c r="AS12" s="278" t="n">
        <f aca="false">SUMPRODUCT(--(WEEKDAY(C$3:AG$3,2)&lt;5),--ISNUMBER(MATCH(C12:AG12,{"DM","CS1","CS2","SB1","AE","CS/B"},0)))</f>
        <v>0</v>
      </c>
      <c r="AT12" s="278"/>
      <c r="AU12" s="278" t="n">
        <f aca="false">SUMPRODUCT(--(WEEKDAY(C$3:AG$3,2)=5),--ISNUMBER(MATCH(C12:AG12,{"DM","CS1","CS2","SB1","AE","CS/B","WEEKEND OUTFIELD RESERVE"},0)))</f>
        <v>0</v>
      </c>
      <c r="AV12" s="278" t="n">
        <f aca="false">SUMPRODUCT(--(WEEKDAY(C$3:AG$3,2)&gt;5),--ISNUMBER(MATCH(C12:AG12,{"DM","CS1","CS2","SB1","AE","CS/B","WEEKEND OUTFIELD RESERVE"},0)))</f>
        <v>0</v>
      </c>
      <c r="AW12" s="278"/>
      <c r="AX12" s="278" t="n">
        <f aca="false">(AS12-AT12)+AU12*1.5+(AV12-AW12)*2+AM12*0.5+AO12*0.5+AQ12-AR12</f>
        <v>0</v>
      </c>
      <c r="AY12" s="278" t="n">
        <f aca="false">AS12+AU12+AV12</f>
        <v>0</v>
      </c>
      <c r="AZ12" s="278" t="n">
        <f aca="false">BC12+BE12+BG12+BI12+BK12</f>
        <v>0</v>
      </c>
      <c r="BA12" s="279" t="n">
        <f aca="false">AX12+BB12</f>
        <v>0</v>
      </c>
      <c r="BB12" s="278" t="n">
        <f aca="false">BD12+BF12+BH12+BJ12+BL12</f>
        <v>0</v>
      </c>
      <c r="BC12" s="278" t="n">
        <f aca="false">COUNTIF(A12:AH12,"*$BTP*")</f>
        <v>0</v>
      </c>
      <c r="BD12" s="278" t="n">
        <f aca="false">BC12*1.5</f>
        <v>0</v>
      </c>
      <c r="BE12" s="278" t="n">
        <f aca="false">COUNTIF(A12:AH12,"*$M*")</f>
        <v>0</v>
      </c>
      <c r="BF12" s="278" t="n">
        <f aca="false">BE12*1</f>
        <v>0</v>
      </c>
      <c r="BG12" s="278" t="n">
        <f aca="false">COUNTIF(A12:AH12,"*$PM*")</f>
        <v>0</v>
      </c>
      <c r="BH12" s="278" t="n">
        <f aca="false">BG12*0.5</f>
        <v>0</v>
      </c>
      <c r="BI12" s="278" t="n">
        <f aca="false">COUNTIF(A12:AH12,"*$AM*")</f>
        <v>0</v>
      </c>
      <c r="BJ12" s="278" t="n">
        <f aca="false">BI12*0.5</f>
        <v>0</v>
      </c>
      <c r="BK12" s="278" t="n">
        <f aca="false">COUNTIF(A12:AH12,"*$FC*")</f>
        <v>0</v>
      </c>
      <c r="BL12" s="278" t="n">
        <f aca="false">BK12*1</f>
        <v>0</v>
      </c>
      <c r="BM12" s="278" t="n">
        <f aca="false">COUNTIF($D12:$AA12,BM$4)</f>
        <v>0</v>
      </c>
      <c r="BN12" s="278" t="n">
        <f aca="false">COUNTIF($D12:$AA12,BN$4)</f>
        <v>0</v>
      </c>
      <c r="BO12" s="278" t="n">
        <f aca="false">COUNTIF($D12:$AA12,BO$4)</f>
        <v>0</v>
      </c>
      <c r="BP12" s="278"/>
    </row>
    <row r="13" customFormat="false" ht="47.25" hidden="false" customHeight="true" outlineLevel="0" collapsed="false">
      <c r="A13" s="272"/>
      <c r="B13" s="279" t="s">
        <v>718</v>
      </c>
      <c r="C13" s="266"/>
      <c r="D13" s="91"/>
      <c r="E13" s="266"/>
      <c r="F13" s="91"/>
      <c r="G13" s="91"/>
      <c r="H13" s="266"/>
      <c r="I13" s="266"/>
      <c r="J13" s="266"/>
      <c r="K13" s="266"/>
      <c r="L13" s="91"/>
      <c r="M13" s="266"/>
      <c r="N13" s="266"/>
      <c r="O13" s="266"/>
      <c r="P13" s="266"/>
      <c r="Q13" s="266"/>
      <c r="R13" s="266"/>
      <c r="S13" s="266"/>
      <c r="T13" s="91"/>
      <c r="U13" s="266"/>
      <c r="V13" s="266"/>
      <c r="W13" s="266"/>
      <c r="X13" s="266"/>
      <c r="Y13" s="266"/>
      <c r="Z13" s="266"/>
      <c r="AA13" s="266"/>
      <c r="AB13" s="91"/>
      <c r="AC13" s="91"/>
      <c r="AD13" s="91"/>
      <c r="AE13" s="326"/>
      <c r="AF13" s="91"/>
      <c r="AG13" s="266"/>
      <c r="AH13" s="272" t="n">
        <f aca="false">COUNTIF($C13:$AF13,AH$4)</f>
        <v>0</v>
      </c>
      <c r="AI13" s="272" t="n">
        <f aca="false">COUNTIF($C13:$AF13,AI$4)</f>
        <v>0</v>
      </c>
      <c r="AJ13" s="272" t="n">
        <f aca="false">COUNTIF($C13:$AF13,AJ$4)</f>
        <v>0</v>
      </c>
      <c r="AK13" s="272" t="n">
        <f aca="false">COUNTIF($C13:$AF13,AK$4)</f>
        <v>0</v>
      </c>
      <c r="AL13" s="272" t="n">
        <f aca="false">COUNTIF($C13:$AF13,AL$4)</f>
        <v>0</v>
      </c>
      <c r="AM13" s="272" t="n">
        <f aca="false">COUNTIF($C13:$AF13,AM$4)</f>
        <v>0</v>
      </c>
      <c r="AN13" s="272" t="n">
        <f aca="false">COUNTIF($C13:$AF13,AN$4)</f>
        <v>0</v>
      </c>
      <c r="AO13" s="272" t="n">
        <f aca="false">COUNTIF($C13:$AF13,AO$4)</f>
        <v>0</v>
      </c>
      <c r="AP13" s="272" t="n">
        <f aca="false">COUNTIF($C13:$AF13,AP$4)</f>
        <v>0</v>
      </c>
      <c r="AQ13" s="279"/>
      <c r="AR13" s="279"/>
      <c r="AS13" s="278" t="n">
        <f aca="false">SUMPRODUCT(--(WEEKDAY(C$3:AG$3,2)&lt;5),--ISNUMBER(MATCH(C13:AG13,{"DM","CS1","CS2","SB1","AE","CS/B"},0)))</f>
        <v>0</v>
      </c>
      <c r="AT13" s="278"/>
      <c r="AU13" s="278" t="n">
        <f aca="false">SUMPRODUCT(--(WEEKDAY(C$3:AG$3,2)=5),--ISNUMBER(MATCH(C13:AG13,{"DM","CS1","CS2","SB1","AE","CS/B","WEEKEND OUTFIELD RESERVE"},0)))</f>
        <v>0</v>
      </c>
      <c r="AV13" s="278" t="n">
        <f aca="false">SUMPRODUCT(--(WEEKDAY(C$3:AG$3,2)&gt;5),--ISNUMBER(MATCH(C13:AG13,{"DM","CS1","CS2","SB1","AE","CS/B","WEEKEND OUTFIELD RESERVE"},0)))</f>
        <v>0</v>
      </c>
      <c r="AW13" s="278"/>
      <c r="AX13" s="278" t="n">
        <f aca="false">(AS13-AT13)+AU13*1.5+(AV13-AW13)*2+AM13*0.5+AO13*0.5+AQ13-AR13</f>
        <v>0</v>
      </c>
      <c r="AY13" s="278" t="n">
        <f aca="false">AS13+AU13+AV13</f>
        <v>0</v>
      </c>
      <c r="AZ13" s="278" t="n">
        <f aca="false">BC13+BE13+BG13+BI13+BK13</f>
        <v>0</v>
      </c>
      <c r="BA13" s="279" t="n">
        <f aca="false">AX13+BB13</f>
        <v>0</v>
      </c>
      <c r="BB13" s="278" t="n">
        <f aca="false">BD13+BF13+BH13+BJ13+BL13</f>
        <v>0</v>
      </c>
      <c r="BC13" s="278" t="n">
        <f aca="false">COUNTIF(A13:AH13,"*$BTP*")</f>
        <v>0</v>
      </c>
      <c r="BD13" s="278" t="n">
        <f aca="false">BC13*1.5</f>
        <v>0</v>
      </c>
      <c r="BE13" s="278" t="n">
        <f aca="false">COUNTIF(A13:AH13,"*$M*")</f>
        <v>0</v>
      </c>
      <c r="BF13" s="278" t="n">
        <f aca="false">BE13*1</f>
        <v>0</v>
      </c>
      <c r="BG13" s="278" t="n">
        <f aca="false">COUNTIF(A13:AH13,"*$PM*")</f>
        <v>0</v>
      </c>
      <c r="BH13" s="278" t="n">
        <f aca="false">BG13*0.5</f>
        <v>0</v>
      </c>
      <c r="BI13" s="278" t="n">
        <f aca="false">COUNTIF(A13:AH13,"*$AM*")</f>
        <v>0</v>
      </c>
      <c r="BJ13" s="278" t="n">
        <f aca="false">BI13*0.5</f>
        <v>0</v>
      </c>
      <c r="BK13" s="278" t="n">
        <f aca="false">COUNTIF(A13:AH13,"*$FC*")</f>
        <v>0</v>
      </c>
      <c r="BL13" s="278" t="n">
        <f aca="false">BK13*1</f>
        <v>0</v>
      </c>
      <c r="BM13" s="278" t="n">
        <f aca="false">COUNTIF($D13:$AA13,BM$4)</f>
        <v>0</v>
      </c>
      <c r="BN13" s="278" t="n">
        <f aca="false">COUNTIF($D13:$AA13,BN$4)</f>
        <v>0</v>
      </c>
      <c r="BO13" s="278" t="n">
        <f aca="false">COUNTIF($D13:$AA13,BO$4)</f>
        <v>0</v>
      </c>
      <c r="BP13" s="278"/>
    </row>
    <row r="14" customFormat="false" ht="47.25" hidden="false" customHeight="true" outlineLevel="0" collapsed="false">
      <c r="A14" s="272"/>
      <c r="B14" s="279" t="s">
        <v>936</v>
      </c>
      <c r="C14" s="266"/>
      <c r="D14" s="91"/>
      <c r="E14" s="266"/>
      <c r="F14" s="91"/>
      <c r="G14" s="91"/>
      <c r="H14" s="266"/>
      <c r="I14" s="266"/>
      <c r="J14" s="266"/>
      <c r="K14" s="266"/>
      <c r="L14" s="91"/>
      <c r="M14" s="266"/>
      <c r="N14" s="266"/>
      <c r="O14" s="266"/>
      <c r="P14" s="266"/>
      <c r="Q14" s="266"/>
      <c r="R14" s="266"/>
      <c r="S14" s="266"/>
      <c r="T14" s="91"/>
      <c r="U14" s="266"/>
      <c r="V14" s="266"/>
      <c r="W14" s="266"/>
      <c r="X14" s="266"/>
      <c r="Y14" s="266"/>
      <c r="Z14" s="266"/>
      <c r="AA14" s="266"/>
      <c r="AB14" s="91"/>
      <c r="AC14" s="91"/>
      <c r="AD14" s="266"/>
      <c r="AE14" s="331"/>
      <c r="AF14" s="266"/>
      <c r="AG14" s="266"/>
      <c r="AH14" s="272" t="n">
        <f aca="false">COUNTIF($C14:$AF14,AH$4)</f>
        <v>0</v>
      </c>
      <c r="AI14" s="272" t="n">
        <f aca="false">COUNTIF($C14:$AF14,AI$4)</f>
        <v>0</v>
      </c>
      <c r="AJ14" s="272" t="n">
        <f aca="false">COUNTIF($C14:$AF14,AJ$4)</f>
        <v>0</v>
      </c>
      <c r="AK14" s="272" t="n">
        <f aca="false">COUNTIF($C14:$AF14,AK$4)</f>
        <v>0</v>
      </c>
      <c r="AL14" s="272" t="n">
        <f aca="false">COUNTIF($C14:$AF14,AL$4)</f>
        <v>0</v>
      </c>
      <c r="AM14" s="272" t="n">
        <f aca="false">COUNTIF($C14:$AF14,AM$4)</f>
        <v>0</v>
      </c>
      <c r="AN14" s="272" t="n">
        <f aca="false">COUNTIF($C14:$AF14,AN$4)</f>
        <v>0</v>
      </c>
      <c r="AO14" s="272" t="n">
        <f aca="false">COUNTIF($C14:$AF14,AO$4)</f>
        <v>0</v>
      </c>
      <c r="AP14" s="272" t="n">
        <f aca="false">COUNTIF($C14:$AF14,AP$4)</f>
        <v>0</v>
      </c>
      <c r="AQ14" s="279"/>
      <c r="AR14" s="279"/>
      <c r="AS14" s="278" t="n">
        <f aca="false">SUMPRODUCT(--(WEEKDAY(C$3:AG$3,2)&lt;5),--ISNUMBER(MATCH(C14:AG14,{"DM","CS1","CS2","SB1","AE","CS/B"},0)))</f>
        <v>0</v>
      </c>
      <c r="AT14" s="278"/>
      <c r="AU14" s="278" t="n">
        <f aca="false">SUMPRODUCT(--(WEEKDAY(C$3:AG$3,2)=5),--ISNUMBER(MATCH(C14:AG14,{"DM","CS1","CS2","SB1","AE","CS/B","WEEKEND OUTFIELD RESERVE"},0)))</f>
        <v>0</v>
      </c>
      <c r="AV14" s="278" t="n">
        <f aca="false">SUMPRODUCT(--(WEEKDAY(C$3:AG$3,2)&gt;5),--ISNUMBER(MATCH(C14:AG14,{"DM","CS1","CS2","SB1","AE","CS/B","WEEKEND OUTFIELD RESERVE"},0)))</f>
        <v>0</v>
      </c>
      <c r="AW14" s="278"/>
      <c r="AX14" s="278" t="n">
        <f aca="false">(AS14-AT14)+AU14*1.5+(AV14-AW14)*2+AM14*0.5+AO14*0.5+AQ14-AR14</f>
        <v>0</v>
      </c>
      <c r="AY14" s="278" t="n">
        <f aca="false">AS14+AU14+AV14</f>
        <v>0</v>
      </c>
      <c r="AZ14" s="278" t="n">
        <f aca="false">BC14+BE14+BG14+BI14+BK14</f>
        <v>0</v>
      </c>
      <c r="BA14" s="279" t="n">
        <f aca="false">AX14+BB14</f>
        <v>0</v>
      </c>
      <c r="BB14" s="278" t="n">
        <f aca="false">BD14+BF14+BH14+BJ14+BL14</f>
        <v>0</v>
      </c>
      <c r="BC14" s="278" t="n">
        <f aca="false">COUNTIF(A14:AH14,"*$BTP*")</f>
        <v>0</v>
      </c>
      <c r="BD14" s="278" t="n">
        <f aca="false">BC14*1.5</f>
        <v>0</v>
      </c>
      <c r="BE14" s="278" t="n">
        <f aca="false">COUNTIF(A14:AH14,"*$M*")</f>
        <v>0</v>
      </c>
      <c r="BF14" s="278" t="n">
        <f aca="false">BE14*1</f>
        <v>0</v>
      </c>
      <c r="BG14" s="278" t="n">
        <f aca="false">COUNTIF(A14:AH14,"*$PM*")</f>
        <v>0</v>
      </c>
      <c r="BH14" s="278" t="n">
        <f aca="false">BG14*0.5</f>
        <v>0</v>
      </c>
      <c r="BI14" s="278" t="n">
        <f aca="false">COUNTIF(A14:AH14,"*$AM*")</f>
        <v>0</v>
      </c>
      <c r="BJ14" s="278" t="n">
        <f aca="false">BI14*0.5</f>
        <v>0</v>
      </c>
      <c r="BK14" s="278" t="n">
        <f aca="false">COUNTIF(A14:AH14,"*$FC*")</f>
        <v>0</v>
      </c>
      <c r="BL14" s="278" t="n">
        <f aca="false">BK14*1</f>
        <v>0</v>
      </c>
      <c r="BM14" s="278" t="n">
        <f aca="false">COUNTIF($D14:$AA14,BM$4)</f>
        <v>0</v>
      </c>
      <c r="BN14" s="278" t="n">
        <f aca="false">COUNTIF($D14:$AA14,BN$4)</f>
        <v>0</v>
      </c>
      <c r="BO14" s="278" t="n">
        <f aca="false">COUNTIF($D14:$AA14,BO$4)</f>
        <v>0</v>
      </c>
      <c r="BP14" s="278"/>
    </row>
    <row r="15" customFormat="false" ht="47.25" hidden="false" customHeight="true" outlineLevel="0" collapsed="false">
      <c r="A15" s="272"/>
      <c r="B15" s="279" t="s">
        <v>937</v>
      </c>
      <c r="C15" s="266"/>
      <c r="D15" s="91"/>
      <c r="E15" s="266"/>
      <c r="F15" s="91"/>
      <c r="G15" s="91"/>
      <c r="H15" s="266"/>
      <c r="I15" s="266"/>
      <c r="J15" s="266"/>
      <c r="K15" s="266"/>
      <c r="L15" s="91"/>
      <c r="M15" s="266"/>
      <c r="N15" s="266"/>
      <c r="O15" s="91"/>
      <c r="P15" s="266"/>
      <c r="Q15" s="266"/>
      <c r="R15" s="266"/>
      <c r="S15" s="266"/>
      <c r="T15" s="91"/>
      <c r="U15" s="266"/>
      <c r="V15" s="266"/>
      <c r="W15" s="266"/>
      <c r="X15" s="266"/>
      <c r="Y15" s="266"/>
      <c r="Z15" s="266"/>
      <c r="AA15" s="266"/>
      <c r="AB15" s="91"/>
      <c r="AC15" s="91"/>
      <c r="AD15" s="266"/>
      <c r="AE15" s="326"/>
      <c r="AF15" s="266"/>
      <c r="AG15" s="266"/>
      <c r="AH15" s="272" t="n">
        <f aca="false">COUNTIF($C15:$AF15,AH$4)</f>
        <v>0</v>
      </c>
      <c r="AI15" s="272" t="n">
        <f aca="false">COUNTIF($C15:$AF15,AI$4)</f>
        <v>0</v>
      </c>
      <c r="AJ15" s="272" t="n">
        <f aca="false">COUNTIF($C15:$AF15,AJ$4)</f>
        <v>0</v>
      </c>
      <c r="AK15" s="272" t="n">
        <f aca="false">COUNTIF($C15:$AF15,AK$4)</f>
        <v>0</v>
      </c>
      <c r="AL15" s="272" t="n">
        <f aca="false">COUNTIF($C15:$AF15,AL$4)</f>
        <v>0</v>
      </c>
      <c r="AM15" s="272" t="n">
        <f aca="false">COUNTIF($C15:$AF15,AM$4)</f>
        <v>0</v>
      </c>
      <c r="AN15" s="272" t="n">
        <f aca="false">COUNTIF($C15:$AF15,AN$4)</f>
        <v>0</v>
      </c>
      <c r="AO15" s="272" t="n">
        <f aca="false">COUNTIF($C15:$AF15,AO$4)</f>
        <v>0</v>
      </c>
      <c r="AP15" s="272" t="n">
        <f aca="false">COUNTIF($C15:$AF15,AP$4)</f>
        <v>0</v>
      </c>
      <c r="AQ15" s="279"/>
      <c r="AR15" s="279"/>
      <c r="AS15" s="278" t="n">
        <f aca="false">SUMPRODUCT(--(WEEKDAY(C$3:AG$3,2)&lt;5),--ISNUMBER(MATCH(C15:AG15,{"DM","CS1","CS2","SB1","AE","CS/B"},0)))</f>
        <v>0</v>
      </c>
      <c r="AT15" s="278"/>
      <c r="AU15" s="278" t="n">
        <f aca="false">SUMPRODUCT(--(WEEKDAY(C$3:AG$3,2)=5),--ISNUMBER(MATCH(C15:AG15,{"DM","CS1","CS2","SB1","AE","CS/B","WEEKEND OUTFIELD RESERVE"},0)))</f>
        <v>0</v>
      </c>
      <c r="AV15" s="278" t="n">
        <f aca="false">SUMPRODUCT(--(WEEKDAY(C$3:AG$3,2)&gt;5),--ISNUMBER(MATCH(C15:AG15,{"DM","CS1","CS2","SB1","AE","CS/B","WEEKEND OUTFIELD RESERVE"},0)))</f>
        <v>0</v>
      </c>
      <c r="AW15" s="278"/>
      <c r="AX15" s="278" t="n">
        <f aca="false">(AS15-AT15)+AU15*1.5+(AV15-AW15)*2+AM15*0.5+AO15*0.5+AQ15-AR15</f>
        <v>0</v>
      </c>
      <c r="AY15" s="278" t="n">
        <f aca="false">AS15+AU15+AV15</f>
        <v>0</v>
      </c>
      <c r="AZ15" s="278" t="n">
        <f aca="false">BC15+BE15+BG15+BI15+BK15</f>
        <v>0</v>
      </c>
      <c r="BA15" s="279" t="n">
        <f aca="false">AX15+BB15</f>
        <v>0</v>
      </c>
      <c r="BB15" s="278" t="n">
        <f aca="false">BD15+BF15+BH15+BJ15+BL15</f>
        <v>0</v>
      </c>
      <c r="BC15" s="278" t="n">
        <f aca="false">COUNTIF(A15:AH15,"*$BTP*")</f>
        <v>0</v>
      </c>
      <c r="BD15" s="278" t="n">
        <f aca="false">BC15*1.5</f>
        <v>0</v>
      </c>
      <c r="BE15" s="278" t="n">
        <f aca="false">COUNTIF(A15:AH15,"*$M*")</f>
        <v>0</v>
      </c>
      <c r="BF15" s="278" t="n">
        <f aca="false">BE15*1</f>
        <v>0</v>
      </c>
      <c r="BG15" s="278" t="n">
        <f aca="false">COUNTIF(A15:AH15,"*$PM*")</f>
        <v>0</v>
      </c>
      <c r="BH15" s="278" t="n">
        <f aca="false">BG15*0.5</f>
        <v>0</v>
      </c>
      <c r="BI15" s="278" t="n">
        <f aca="false">COUNTIF(A15:AH15,"*$AM*")</f>
        <v>0</v>
      </c>
      <c r="BJ15" s="278" t="n">
        <f aca="false">BI15*0.5</f>
        <v>0</v>
      </c>
      <c r="BK15" s="278" t="n">
        <f aca="false">COUNTIF(A15:AH15,"*$FC*")</f>
        <v>0</v>
      </c>
      <c r="BL15" s="278" t="n">
        <f aca="false">BK15*1</f>
        <v>0</v>
      </c>
      <c r="BM15" s="278" t="n">
        <f aca="false">COUNTIF($D15:$AA15,BM$4)</f>
        <v>0</v>
      </c>
      <c r="BN15" s="278" t="n">
        <f aca="false">COUNTIF($D15:$AA15,BN$4)</f>
        <v>0</v>
      </c>
      <c r="BO15" s="278" t="n">
        <f aca="false">COUNTIF($D15:$AA15,BO$4)</f>
        <v>0</v>
      </c>
      <c r="BP15" s="278"/>
    </row>
    <row r="16" customFormat="false" ht="47.25" hidden="false" customHeight="true" outlineLevel="0" collapsed="false">
      <c r="A16" s="272"/>
      <c r="B16" s="279" t="s">
        <v>938</v>
      </c>
      <c r="C16" s="266"/>
      <c r="D16" s="91"/>
      <c r="E16" s="266"/>
      <c r="F16" s="91"/>
      <c r="G16" s="91"/>
      <c r="H16" s="266"/>
      <c r="I16" s="266"/>
      <c r="J16" s="266"/>
      <c r="K16" s="266"/>
      <c r="L16" s="91"/>
      <c r="M16" s="266"/>
      <c r="N16" s="266"/>
      <c r="O16" s="266"/>
      <c r="P16" s="266"/>
      <c r="Q16" s="266"/>
      <c r="R16" s="266"/>
      <c r="S16" s="266"/>
      <c r="T16" s="91"/>
      <c r="U16" s="266"/>
      <c r="V16" s="266"/>
      <c r="W16" s="266"/>
      <c r="X16" s="266"/>
      <c r="Y16" s="266"/>
      <c r="Z16" s="266"/>
      <c r="AA16" s="266"/>
      <c r="AB16" s="91"/>
      <c r="AC16" s="91"/>
      <c r="AD16" s="266"/>
      <c r="AE16" s="331"/>
      <c r="AF16" s="266"/>
      <c r="AG16" s="266"/>
      <c r="AH16" s="272" t="n">
        <f aca="false">COUNTIF($C16:$AF16,AH$4)</f>
        <v>0</v>
      </c>
      <c r="AI16" s="272" t="n">
        <f aca="false">COUNTIF($C16:$AF16,AI$4)</f>
        <v>0</v>
      </c>
      <c r="AJ16" s="272" t="n">
        <f aca="false">COUNTIF($C16:$AF16,AJ$4)</f>
        <v>0</v>
      </c>
      <c r="AK16" s="272" t="n">
        <f aca="false">COUNTIF($C16:$AF16,AK$4)</f>
        <v>0</v>
      </c>
      <c r="AL16" s="272" t="n">
        <f aca="false">COUNTIF($C16:$AF16,AL$4)</f>
        <v>0</v>
      </c>
      <c r="AM16" s="272" t="n">
        <f aca="false">COUNTIF($C16:$AF16,AM$4)</f>
        <v>0</v>
      </c>
      <c r="AN16" s="272" t="n">
        <f aca="false">COUNTIF($C16:$AF16,AN$4)</f>
        <v>0</v>
      </c>
      <c r="AO16" s="272" t="n">
        <f aca="false">COUNTIF($C16:$AF16,AO$4)</f>
        <v>0</v>
      </c>
      <c r="AP16" s="272" t="n">
        <f aca="false">COUNTIF($C16:$AF16,AP$4)</f>
        <v>0</v>
      </c>
      <c r="AQ16" s="279"/>
      <c r="AR16" s="279"/>
      <c r="AS16" s="278" t="n">
        <f aca="false">SUMPRODUCT(--(WEEKDAY(C$3:AG$3,2)&lt;5),--ISNUMBER(MATCH(C16:AG16,{"DM","CS1","CS2","SB1","AE","CS/B"},0)))</f>
        <v>0</v>
      </c>
      <c r="AT16" s="278"/>
      <c r="AU16" s="278" t="n">
        <f aca="false">SUMPRODUCT(--(WEEKDAY(C$3:AG$3,2)=5),--ISNUMBER(MATCH(C16:AG16,{"DM","CS1","CS2","SB1","AE","CS/B","WEEKEND OUTFIELD RESERVE"},0)))</f>
        <v>0</v>
      </c>
      <c r="AV16" s="278" t="n">
        <f aca="false">SUMPRODUCT(--(WEEKDAY(C$3:AG$3,2)&gt;5),--ISNUMBER(MATCH(C16:AG16,{"DM","CS1","CS2","SB1","AE","CS/B","WEEKEND OUTFIELD RESERVE"},0)))</f>
        <v>0</v>
      </c>
      <c r="AW16" s="278"/>
      <c r="AX16" s="278" t="n">
        <f aca="false">(AS16-AT16)+AU16*1.5+(AV16-AW16)*2+AM16*0.5+AO16*0.5+AQ16-AR16</f>
        <v>0</v>
      </c>
      <c r="AY16" s="278" t="n">
        <f aca="false">AS16+AU16+AV16</f>
        <v>0</v>
      </c>
      <c r="AZ16" s="278" t="n">
        <f aca="false">BC16+BE16+BG16+BI16+BK16</f>
        <v>0</v>
      </c>
      <c r="BA16" s="279" t="n">
        <f aca="false">AX16+BB16</f>
        <v>0</v>
      </c>
      <c r="BB16" s="278" t="n">
        <f aca="false">BD16+BF16+BH16+BJ16+BL16</f>
        <v>0</v>
      </c>
      <c r="BC16" s="278" t="n">
        <f aca="false">COUNTIF(A16:AH16,"*$BTP*")</f>
        <v>0</v>
      </c>
      <c r="BD16" s="278" t="n">
        <f aca="false">BC16*1.5</f>
        <v>0</v>
      </c>
      <c r="BE16" s="278" t="n">
        <f aca="false">COUNTIF(A16:AH16,"*$M*")</f>
        <v>0</v>
      </c>
      <c r="BF16" s="278" t="n">
        <f aca="false">BE16*1</f>
        <v>0</v>
      </c>
      <c r="BG16" s="278" t="n">
        <f aca="false">COUNTIF(A16:AH16,"*$PM*")</f>
        <v>0</v>
      </c>
      <c r="BH16" s="278" t="n">
        <f aca="false">BG16*0.5</f>
        <v>0</v>
      </c>
      <c r="BI16" s="278" t="n">
        <f aca="false">COUNTIF(A16:AH16,"*$AM*")</f>
        <v>0</v>
      </c>
      <c r="BJ16" s="278" t="n">
        <f aca="false">BI16*0.5</f>
        <v>0</v>
      </c>
      <c r="BK16" s="278" t="n">
        <f aca="false">COUNTIF(A16:AH16,"*$FC*")</f>
        <v>0</v>
      </c>
      <c r="BL16" s="278" t="n">
        <f aca="false">BK16*1</f>
        <v>0</v>
      </c>
      <c r="BM16" s="278" t="n">
        <f aca="false">COUNTIF($D16:$AA16,BM$4)</f>
        <v>0</v>
      </c>
      <c r="BN16" s="278" t="n">
        <f aca="false">COUNTIF($D16:$AA16,BN$4)</f>
        <v>0</v>
      </c>
      <c r="BO16" s="278" t="n">
        <f aca="false">COUNTIF($D16:$AA16,BO$4)</f>
        <v>0</v>
      </c>
      <c r="BP16" s="278"/>
    </row>
    <row r="17" customFormat="false" ht="47.25" hidden="false" customHeight="true" outlineLevel="0" collapsed="false">
      <c r="A17" s="272"/>
      <c r="B17" s="279" t="s">
        <v>940</v>
      </c>
      <c r="C17" s="266"/>
      <c r="D17" s="91"/>
      <c r="E17" s="266"/>
      <c r="F17" s="91"/>
      <c r="G17" s="91"/>
      <c r="H17" s="266"/>
      <c r="I17" s="266"/>
      <c r="J17" s="266"/>
      <c r="K17" s="266"/>
      <c r="L17" s="266"/>
      <c r="M17" s="266"/>
      <c r="N17" s="266"/>
      <c r="O17" s="266"/>
      <c r="P17" s="266"/>
      <c r="Q17" s="266"/>
      <c r="R17" s="266"/>
      <c r="S17" s="266"/>
      <c r="T17" s="91"/>
      <c r="U17" s="266"/>
      <c r="V17" s="266"/>
      <c r="W17" s="266"/>
      <c r="X17" s="266"/>
      <c r="Y17" s="266"/>
      <c r="Z17" s="266"/>
      <c r="AA17" s="266"/>
      <c r="AB17" s="91"/>
      <c r="AC17" s="91"/>
      <c r="AD17" s="266"/>
      <c r="AE17" s="326"/>
      <c r="AF17" s="266"/>
      <c r="AG17" s="266"/>
      <c r="AH17" s="272" t="n">
        <f aca="false">COUNTIF($C17:$AF17,AH$4)</f>
        <v>0</v>
      </c>
      <c r="AI17" s="272" t="n">
        <f aca="false">COUNTIF($C17:$AF17,AI$4)</f>
        <v>0</v>
      </c>
      <c r="AJ17" s="272" t="n">
        <f aca="false">COUNTIF($C17:$AF17,AJ$4)</f>
        <v>0</v>
      </c>
      <c r="AK17" s="272" t="n">
        <f aca="false">COUNTIF($C17:$AF17,AK$4)</f>
        <v>0</v>
      </c>
      <c r="AL17" s="272" t="n">
        <f aca="false">COUNTIF($C17:$AF17,AL$4)</f>
        <v>0</v>
      </c>
      <c r="AM17" s="272" t="n">
        <f aca="false">COUNTIF($C17:$AF17,AM$4)</f>
        <v>0</v>
      </c>
      <c r="AN17" s="272" t="n">
        <f aca="false">COUNTIF($C17:$AF17,AN$4)</f>
        <v>0</v>
      </c>
      <c r="AO17" s="272" t="n">
        <f aca="false">COUNTIF($C17:$AF17,AO$4)</f>
        <v>0</v>
      </c>
      <c r="AP17" s="272" t="n">
        <f aca="false">COUNTIF($C17:$AF17,AP$4)</f>
        <v>0</v>
      </c>
      <c r="AQ17" s="279"/>
      <c r="AR17" s="279"/>
      <c r="AS17" s="278" t="n">
        <f aca="false">SUMPRODUCT(--(WEEKDAY(C$3:AG$3,2)&lt;5),--ISNUMBER(MATCH(C17:AG17,{"DM","CS1","CS2","SB1","AE","CS/B"},0)))</f>
        <v>0</v>
      </c>
      <c r="AT17" s="278"/>
      <c r="AU17" s="278" t="n">
        <f aca="false">SUMPRODUCT(--(WEEKDAY(C$3:AG$3,2)=5),--ISNUMBER(MATCH(C17:AG17,{"DM","CS1","CS2","SB1","AE","CS/B","WEEKEND OUTFIELD RESERVE"},0)))</f>
        <v>0</v>
      </c>
      <c r="AV17" s="278" t="n">
        <f aca="false">SUMPRODUCT(--(WEEKDAY(C$3:AG$3,2)&gt;5),--ISNUMBER(MATCH(C17:AG17,{"DM","CS1","CS2","SB1","AE","CS/B","WEEKEND OUTFIELD RESERVE"},0)))</f>
        <v>0</v>
      </c>
      <c r="AW17" s="278"/>
      <c r="AX17" s="278" t="n">
        <f aca="false">(AS17-AT17)+AU17*1.5+(AV17-AW17)*2+AM17*0.5+AO17*0.5+AQ17-AR17</f>
        <v>0</v>
      </c>
      <c r="AY17" s="278" t="n">
        <f aca="false">AS17+AU17+AV17</f>
        <v>0</v>
      </c>
      <c r="AZ17" s="278" t="n">
        <f aca="false">BC17+BE17+BG17+BI17+BK17</f>
        <v>0</v>
      </c>
      <c r="BA17" s="279" t="n">
        <f aca="false">AX17+BB17</f>
        <v>0</v>
      </c>
      <c r="BB17" s="278" t="n">
        <f aca="false">BD17+BF17+BH17+BJ17+BL17</f>
        <v>0</v>
      </c>
      <c r="BC17" s="278" t="n">
        <f aca="false">COUNTIF(A17:AH17,"*$BTP*")</f>
        <v>0</v>
      </c>
      <c r="BD17" s="278" t="n">
        <f aca="false">BC17*1.5</f>
        <v>0</v>
      </c>
      <c r="BE17" s="278" t="n">
        <f aca="false">COUNTIF(A17:AH17,"*$M*")</f>
        <v>0</v>
      </c>
      <c r="BF17" s="278" t="n">
        <f aca="false">BE17*1</f>
        <v>0</v>
      </c>
      <c r="BG17" s="278" t="n">
        <f aca="false">COUNTIF(A17:AH17,"*$PM*")</f>
        <v>0</v>
      </c>
      <c r="BH17" s="278" t="n">
        <f aca="false">BG17*0.5</f>
        <v>0</v>
      </c>
      <c r="BI17" s="278" t="n">
        <f aca="false">COUNTIF(A17:AH17,"*$AM*")</f>
        <v>0</v>
      </c>
      <c r="BJ17" s="278" t="n">
        <f aca="false">BI17*0.5</f>
        <v>0</v>
      </c>
      <c r="BK17" s="278" t="n">
        <f aca="false">COUNTIF(A17:AH17,"*$FC*")</f>
        <v>0</v>
      </c>
      <c r="BL17" s="278" t="n">
        <f aca="false">BK17*1</f>
        <v>0</v>
      </c>
      <c r="BM17" s="278" t="n">
        <f aca="false">COUNTIF($D17:$AA17,BM$4)</f>
        <v>0</v>
      </c>
      <c r="BN17" s="278" t="n">
        <f aca="false">COUNTIF($D17:$AA17,BN$4)</f>
        <v>0</v>
      </c>
      <c r="BO17" s="278" t="n">
        <f aca="false">COUNTIF($D17:$AA17,BO$4)</f>
        <v>0</v>
      </c>
      <c r="BP17" s="278"/>
    </row>
    <row r="18" customFormat="false" ht="47.25" hidden="false" customHeight="true" outlineLevel="0" collapsed="false">
      <c r="A18" s="272"/>
      <c r="B18" s="279" t="s">
        <v>941</v>
      </c>
      <c r="C18" s="266"/>
      <c r="D18" s="91"/>
      <c r="E18" s="266"/>
      <c r="F18" s="91"/>
      <c r="G18" s="91"/>
      <c r="H18" s="266"/>
      <c r="I18" s="266"/>
      <c r="J18" s="266"/>
      <c r="K18" s="266"/>
      <c r="L18" s="91"/>
      <c r="M18" s="266"/>
      <c r="N18" s="266"/>
      <c r="O18" s="266"/>
      <c r="P18" s="266"/>
      <c r="Q18" s="266"/>
      <c r="R18" s="266"/>
      <c r="T18" s="91"/>
      <c r="U18" s="266"/>
      <c r="V18" s="266"/>
      <c r="W18" s="266"/>
      <c r="X18" s="266"/>
      <c r="Y18" s="266"/>
      <c r="Z18" s="266"/>
      <c r="AA18" s="266"/>
      <c r="AB18" s="91"/>
      <c r="AC18" s="91"/>
      <c r="AD18" s="266"/>
      <c r="AE18" s="331"/>
      <c r="AF18" s="266"/>
      <c r="AG18" s="266"/>
      <c r="AH18" s="272" t="n">
        <f aca="false">COUNTIF($C18:$AF18,AH$4)</f>
        <v>0</v>
      </c>
      <c r="AI18" s="272" t="n">
        <f aca="false">COUNTIF($C18:$AF18,AI$4)</f>
        <v>0</v>
      </c>
      <c r="AJ18" s="272" t="n">
        <f aca="false">COUNTIF($C18:$AF18,AJ$4)</f>
        <v>0</v>
      </c>
      <c r="AK18" s="272" t="n">
        <f aca="false">COUNTIF($C18:$AF18,AK$4)</f>
        <v>0</v>
      </c>
      <c r="AL18" s="272" t="n">
        <f aca="false">COUNTIF($C18:$AF18,AL$4)</f>
        <v>0</v>
      </c>
      <c r="AM18" s="272" t="n">
        <f aca="false">COUNTIF($C18:$AF18,AM$4)</f>
        <v>0</v>
      </c>
      <c r="AN18" s="272" t="n">
        <f aca="false">COUNTIF($C18:$AF18,AN$4)</f>
        <v>0</v>
      </c>
      <c r="AO18" s="272" t="n">
        <f aca="false">COUNTIF($C18:$AF18,AO$4)</f>
        <v>0</v>
      </c>
      <c r="AP18" s="272" t="n">
        <f aca="false">COUNTIF($C18:$AF18,AP$4)</f>
        <v>0</v>
      </c>
      <c r="AQ18" s="279"/>
      <c r="AR18" s="279"/>
      <c r="AS18" s="278" t="n">
        <f aca="false">SUMPRODUCT(--(WEEKDAY(C$3:AG$3,2)&lt;5),--ISNUMBER(MATCH(C18:AG18,{"DM","CS1","CS2","SB1","AE","CS/B"},0)))</f>
        <v>0</v>
      </c>
      <c r="AT18" s="278"/>
      <c r="AU18" s="278" t="n">
        <f aca="false">SUMPRODUCT(--(WEEKDAY(C$3:AG$3,2)=5),--ISNUMBER(MATCH(C18:AG18,{"DM","CS1","CS2","SB1","AE","CS/B","WEEKEND OUTFIELD RESERVE"},0)))</f>
        <v>0</v>
      </c>
      <c r="AV18" s="278" t="n">
        <f aca="false">SUMPRODUCT(--(WEEKDAY(C$3:AG$3,2)&gt;5),--ISNUMBER(MATCH(C18:AG18,{"DM","CS1","CS2","SB1","AE","CS/B","WEEKEND OUTFIELD RESERVE"},0)))</f>
        <v>0</v>
      </c>
      <c r="AW18" s="278"/>
      <c r="AX18" s="278" t="n">
        <f aca="false">(AS18-AT18)+AU18*1.5+(AV18-AW18)*2+AM18*0.5+AO18*0.5+AQ18-AR18</f>
        <v>0</v>
      </c>
      <c r="AY18" s="278" t="n">
        <f aca="false">AS18+AU18+AV18</f>
        <v>0</v>
      </c>
      <c r="AZ18" s="278" t="n">
        <f aca="false">BC18+BE18+BG18+BI18+BK18</f>
        <v>0</v>
      </c>
      <c r="BA18" s="279" t="n">
        <f aca="false">AX18+BB18</f>
        <v>0</v>
      </c>
      <c r="BB18" s="278" t="n">
        <f aca="false">BD18+BF18+BH18+BJ18+BL18</f>
        <v>0</v>
      </c>
      <c r="BC18" s="278" t="n">
        <f aca="false">COUNTIF(A18:AH18,"*$BTP*")</f>
        <v>0</v>
      </c>
      <c r="BD18" s="278" t="n">
        <f aca="false">BC18*1.5</f>
        <v>0</v>
      </c>
      <c r="BE18" s="278" t="n">
        <f aca="false">COUNTIF(A18:AH18,"*$M*")</f>
        <v>0</v>
      </c>
      <c r="BF18" s="278" t="n">
        <f aca="false">BE18*1</f>
        <v>0</v>
      </c>
      <c r="BG18" s="278" t="n">
        <f aca="false">COUNTIF(A18:AH18,"*$PM*")</f>
        <v>0</v>
      </c>
      <c r="BH18" s="278" t="n">
        <f aca="false">BG18*0.5</f>
        <v>0</v>
      </c>
      <c r="BI18" s="278" t="n">
        <f aca="false">COUNTIF(A18:AH18,"*$AM*")</f>
        <v>0</v>
      </c>
      <c r="BJ18" s="278" t="n">
        <f aca="false">BI18*0.5</f>
        <v>0</v>
      </c>
      <c r="BK18" s="278" t="n">
        <f aca="false">COUNTIF(A18:AH18,"*$FC*")</f>
        <v>0</v>
      </c>
      <c r="BL18" s="278" t="n">
        <f aca="false">BK18*1</f>
        <v>0</v>
      </c>
      <c r="BM18" s="278" t="n">
        <f aca="false">COUNTIF($D18:$AA18,BM$4)</f>
        <v>0</v>
      </c>
      <c r="BN18" s="278" t="n">
        <f aca="false">COUNTIF($D18:$AA18,BN$4)</f>
        <v>0</v>
      </c>
      <c r="BO18" s="278" t="n">
        <f aca="false">COUNTIF($D18:$AA18,BO$4)</f>
        <v>0</v>
      </c>
      <c r="BP18" s="278"/>
    </row>
    <row r="19" customFormat="false" ht="47.25" hidden="false" customHeight="true" outlineLevel="0" collapsed="false">
      <c r="A19" s="272"/>
      <c r="B19" s="279" t="s">
        <v>942</v>
      </c>
      <c r="C19" s="266"/>
      <c r="D19" s="91"/>
      <c r="E19" s="266"/>
      <c r="F19" s="91"/>
      <c r="G19" s="91"/>
      <c r="H19" s="266"/>
      <c r="I19" s="266"/>
      <c r="J19" s="266"/>
      <c r="K19" s="266"/>
      <c r="L19" s="91"/>
      <c r="M19" s="266"/>
      <c r="N19" s="266"/>
      <c r="O19" s="266"/>
      <c r="P19" s="266"/>
      <c r="Q19" s="266"/>
      <c r="R19" s="266"/>
      <c r="S19" s="266"/>
      <c r="T19" s="91"/>
      <c r="U19" s="266"/>
      <c r="V19" s="266"/>
      <c r="W19" s="266"/>
      <c r="X19" s="266"/>
      <c r="Y19" s="266"/>
      <c r="Z19" s="266"/>
      <c r="AA19" s="266"/>
      <c r="AB19" s="91"/>
      <c r="AC19" s="91"/>
      <c r="AD19" s="266"/>
      <c r="AE19" s="326"/>
      <c r="AF19" s="266"/>
      <c r="AG19" s="266"/>
      <c r="AH19" s="272" t="n">
        <f aca="false">COUNTIF($C19:$AF19,AH$4)</f>
        <v>0</v>
      </c>
      <c r="AI19" s="272" t="n">
        <f aca="false">COUNTIF($C19:$AF19,AI$4)</f>
        <v>0</v>
      </c>
      <c r="AJ19" s="272" t="n">
        <f aca="false">COUNTIF($C19:$AF19,AJ$4)</f>
        <v>0</v>
      </c>
      <c r="AK19" s="272" t="n">
        <f aca="false">COUNTIF($C19:$AF19,AK$4)</f>
        <v>0</v>
      </c>
      <c r="AL19" s="272" t="n">
        <f aca="false">COUNTIF($C19:$AF19,AL$4)</f>
        <v>0</v>
      </c>
      <c r="AM19" s="272" t="n">
        <f aca="false">COUNTIF($C19:$AF19,AM$4)</f>
        <v>0</v>
      </c>
      <c r="AN19" s="272" t="n">
        <f aca="false">COUNTIF($C19:$AF19,AN$4)</f>
        <v>0</v>
      </c>
      <c r="AO19" s="272" t="n">
        <f aca="false">COUNTIF($C19:$AF19,AO$4)</f>
        <v>0</v>
      </c>
      <c r="AP19" s="272" t="n">
        <f aca="false">COUNTIF($C19:$AF19,AP$4)</f>
        <v>0</v>
      </c>
      <c r="AQ19" s="279"/>
      <c r="AR19" s="279"/>
      <c r="AS19" s="278" t="n">
        <f aca="false">SUMPRODUCT(--(WEEKDAY(C$3:AG$3,2)&lt;5),--ISNUMBER(MATCH(C19:AG19,{"DM","CS1","CS2","SB1","AE","CS/B"},0)))</f>
        <v>0</v>
      </c>
      <c r="AT19" s="278"/>
      <c r="AU19" s="278" t="n">
        <f aca="false">SUMPRODUCT(--(WEEKDAY(C$3:AG$3,2)=5),--ISNUMBER(MATCH(C19:AG19,{"DM","CS1","CS2","SB1","AE","CS/B","WEEKEND OUTFIELD RESERVE"},0)))</f>
        <v>0</v>
      </c>
      <c r="AV19" s="278" t="n">
        <f aca="false">SUMPRODUCT(--(WEEKDAY(C$3:AG$3,2)&gt;5),--ISNUMBER(MATCH(C19:AG19,{"DM","CS1","CS2","SB1","AE","CS/B","WEEKEND OUTFIELD RESERVE"},0)))</f>
        <v>0</v>
      </c>
      <c r="AW19" s="278"/>
      <c r="AX19" s="278" t="n">
        <f aca="false">(AS19-AT19)+AU19*1.5+(AV19-AW19)*2+AM19*0.5+AO19*0.5+AQ19-AR19</f>
        <v>0</v>
      </c>
      <c r="AY19" s="278" t="n">
        <f aca="false">AS19+AU19+AV19</f>
        <v>0</v>
      </c>
      <c r="AZ19" s="278" t="n">
        <f aca="false">BC19+BE19+BG19+BI19+BK19</f>
        <v>0</v>
      </c>
      <c r="BA19" s="279" t="n">
        <f aca="false">AX19+BB19</f>
        <v>0</v>
      </c>
      <c r="BB19" s="278" t="n">
        <f aca="false">BD19+BF19+BH19+BJ19+BL19</f>
        <v>0</v>
      </c>
      <c r="BC19" s="278" t="n">
        <f aca="false">COUNTIF(A19:AH19,"*$BTP*")</f>
        <v>0</v>
      </c>
      <c r="BD19" s="278" t="n">
        <f aca="false">BC19*1.5</f>
        <v>0</v>
      </c>
      <c r="BE19" s="278" t="n">
        <f aca="false">COUNTIF(A19:AH19,"*$M*")</f>
        <v>0</v>
      </c>
      <c r="BF19" s="278" t="n">
        <f aca="false">BE19*1</f>
        <v>0</v>
      </c>
      <c r="BG19" s="278" t="n">
        <f aca="false">COUNTIF(A19:AH19,"*$PM*")</f>
        <v>0</v>
      </c>
      <c r="BH19" s="278" t="n">
        <f aca="false">BG19*0.5</f>
        <v>0</v>
      </c>
      <c r="BI19" s="278" t="n">
        <f aca="false">COUNTIF(A19:AH19,"*$AM*")</f>
        <v>0</v>
      </c>
      <c r="BJ19" s="278" t="n">
        <f aca="false">BI19*0.5</f>
        <v>0</v>
      </c>
      <c r="BK19" s="278" t="n">
        <f aca="false">COUNTIF(A19:AH19,"*$FC*")</f>
        <v>0</v>
      </c>
      <c r="BL19" s="278" t="n">
        <f aca="false">BK19*1</f>
        <v>0</v>
      </c>
      <c r="BM19" s="278" t="n">
        <f aca="false">COUNTIF($D19:$AA19,BM$4)</f>
        <v>0</v>
      </c>
      <c r="BN19" s="278" t="n">
        <f aca="false">COUNTIF($D19:$AA19,BN$4)</f>
        <v>0</v>
      </c>
      <c r="BO19" s="278" t="n">
        <f aca="false">COUNTIF($D19:$AA19,BO$4)</f>
        <v>0</v>
      </c>
      <c r="BP19" s="278"/>
    </row>
    <row r="20" customFormat="false" ht="45" hidden="false" customHeight="true" outlineLevel="0" collapsed="false">
      <c r="A20" s="272"/>
      <c r="B20" s="279" t="s">
        <v>592</v>
      </c>
      <c r="C20" s="266"/>
      <c r="D20" s="266"/>
      <c r="E20" s="266"/>
      <c r="F20" s="266"/>
      <c r="G20" s="91"/>
      <c r="H20" s="91"/>
      <c r="I20" s="91"/>
      <c r="J20" s="266"/>
      <c r="K20" s="91"/>
      <c r="L20" s="266"/>
      <c r="M20" s="266"/>
      <c r="N20" s="266"/>
      <c r="O20" s="266"/>
      <c r="P20" s="266"/>
      <c r="Q20" s="266"/>
      <c r="R20" s="91"/>
      <c r="S20" s="266"/>
      <c r="T20" s="91"/>
      <c r="U20" s="91"/>
      <c r="V20" s="266"/>
      <c r="W20" s="266"/>
      <c r="X20" s="266"/>
      <c r="Y20" s="266"/>
      <c r="Z20" s="266"/>
      <c r="AA20" s="266"/>
      <c r="AB20" s="266"/>
      <c r="AC20" s="266"/>
      <c r="AD20" s="266"/>
      <c r="AE20" s="331"/>
      <c r="AF20" s="266"/>
      <c r="AG20" s="266"/>
      <c r="AH20" s="272" t="n">
        <f aca="false">COUNTIF($C20:$AF20,AH$4)</f>
        <v>0</v>
      </c>
      <c r="AI20" s="272" t="n">
        <f aca="false">COUNTIF($C20:$AF20,AI$4)</f>
        <v>0</v>
      </c>
      <c r="AJ20" s="272" t="n">
        <f aca="false">COUNTIF($C20:$AF20,AJ$4)</f>
        <v>0</v>
      </c>
      <c r="AK20" s="272" t="n">
        <f aca="false">COUNTIF($C20:$AF20,AK$4)</f>
        <v>0</v>
      </c>
      <c r="AL20" s="272" t="n">
        <f aca="false">COUNTIF($C20:$AF20,AL$4)</f>
        <v>0</v>
      </c>
      <c r="AM20" s="272" t="n">
        <f aca="false">COUNTIF($C20:$AF20,AM$4)</f>
        <v>0</v>
      </c>
      <c r="AN20" s="272" t="n">
        <f aca="false">COUNTIF($C20:$AF20,AN$4)</f>
        <v>0</v>
      </c>
      <c r="AO20" s="272" t="n">
        <f aca="false">COUNTIF($C20:$AF20,AO$4)</f>
        <v>0</v>
      </c>
      <c r="AP20" s="272" t="n">
        <f aca="false">COUNTIF($C20:$AF20,AP$4)</f>
        <v>0</v>
      </c>
      <c r="AQ20" s="279"/>
      <c r="AR20" s="279"/>
      <c r="AS20" s="278" t="n">
        <f aca="false">SUMPRODUCT(--(WEEKDAY(C$3:AG$3,2)&lt;5),--ISNUMBER(MATCH(C20:AG20,{"DM","CS1","CS2","SB1","AE","CS/B"},0)))</f>
        <v>0</v>
      </c>
      <c r="AT20" s="278"/>
      <c r="AU20" s="278" t="n">
        <f aca="false">SUMPRODUCT(--(WEEKDAY(C$3:AG$3,2)=5),--ISNUMBER(MATCH(C20:AG20,{"DM","CS1","CS2","SB1","AE","CS/B","WEEKEND OUTFIELD RESERVE"},0)))</f>
        <v>0</v>
      </c>
      <c r="AV20" s="278" t="n">
        <f aca="false">SUMPRODUCT(--(WEEKDAY(C$3:AG$3,2)&gt;5),--ISNUMBER(MATCH(C20:AG20,{"DM","CS1","CS2","SB1","AE","CS/B","WEEKEND OUTFIELD RESERVE"},0)))</f>
        <v>0</v>
      </c>
      <c r="AW20" s="278"/>
      <c r="AX20" s="278" t="n">
        <f aca="false">(AS20-AT20)+AU20*1.5+(AV20-AW20)*2+AM20*0.5+AO20*0.5+AQ20-AR20</f>
        <v>0</v>
      </c>
      <c r="AY20" s="278" t="n">
        <f aca="false">AS20+AU20+AV20</f>
        <v>0</v>
      </c>
      <c r="AZ20" s="278" t="n">
        <f aca="false">BC20+BE20+BG20+BI20+BK20</f>
        <v>0</v>
      </c>
      <c r="BA20" s="279" t="n">
        <f aca="false">AX20+BB20</f>
        <v>0</v>
      </c>
      <c r="BB20" s="278" t="n">
        <f aca="false">BD20+BF20+BH20+BJ20+BL20</f>
        <v>0</v>
      </c>
      <c r="BC20" s="278" t="n">
        <f aca="false">COUNTIF(A20:AH20,"*$BTP*")</f>
        <v>0</v>
      </c>
      <c r="BD20" s="278" t="n">
        <f aca="false">BC20*1.5</f>
        <v>0</v>
      </c>
      <c r="BE20" s="278" t="n">
        <f aca="false">COUNTIF(A20:AH20,"*$M*")</f>
        <v>0</v>
      </c>
      <c r="BF20" s="278" t="n">
        <f aca="false">BE20*1</f>
        <v>0</v>
      </c>
      <c r="BG20" s="278" t="n">
        <f aca="false">COUNTIF(A20:AH20,"*$PM*")</f>
        <v>0</v>
      </c>
      <c r="BH20" s="278" t="n">
        <f aca="false">BG20*0.5</f>
        <v>0</v>
      </c>
      <c r="BI20" s="278" t="n">
        <f aca="false">COUNTIF(A20:AH20,"*$AM*")</f>
        <v>0</v>
      </c>
      <c r="BJ20" s="278" t="n">
        <f aca="false">BI20*0.5</f>
        <v>0</v>
      </c>
      <c r="BK20" s="278" t="n">
        <f aca="false">COUNTIF(A20:AH20,"*$FC*")</f>
        <v>0</v>
      </c>
      <c r="BL20" s="278" t="n">
        <f aca="false">BK20*1</f>
        <v>0</v>
      </c>
      <c r="BM20" s="278" t="n">
        <f aca="false">COUNTIF($D20:$AA20,BM$4)</f>
        <v>0</v>
      </c>
      <c r="BN20" s="278" t="n">
        <f aca="false">COUNTIF($D20:$AA20,BN$4)</f>
        <v>0</v>
      </c>
      <c r="BO20" s="278" t="n">
        <f aca="false">COUNTIF($D20:$AA20,BO$4)</f>
        <v>0</v>
      </c>
      <c r="BP20" s="278"/>
    </row>
    <row r="21" customFormat="false" ht="51" hidden="false" customHeight="true" outlineLevel="0" collapsed="false">
      <c r="A21" s="272"/>
      <c r="B21" s="279" t="s">
        <v>598</v>
      </c>
      <c r="C21" s="266"/>
      <c r="D21" s="266"/>
      <c r="E21" s="266"/>
      <c r="F21" s="266"/>
      <c r="G21" s="266"/>
      <c r="H21" s="266"/>
      <c r="I21" s="266"/>
      <c r="J21" s="266"/>
      <c r="K21" s="343"/>
      <c r="L21" s="266"/>
      <c r="N21" s="266"/>
      <c r="O21" s="266"/>
      <c r="P21" s="266"/>
      <c r="Q21" s="266"/>
      <c r="R21" s="266"/>
      <c r="S21" s="266"/>
      <c r="T21" s="266"/>
      <c r="U21" s="266"/>
      <c r="V21" s="266"/>
      <c r="W21" s="266"/>
      <c r="X21" s="266"/>
      <c r="Y21" s="266"/>
      <c r="Z21" s="91"/>
      <c r="AA21" s="266"/>
      <c r="AB21" s="266"/>
      <c r="AC21" s="91"/>
      <c r="AD21" s="266"/>
      <c r="AE21" s="326"/>
      <c r="AF21" s="266"/>
      <c r="AG21" s="266"/>
      <c r="AH21" s="272" t="n">
        <f aca="false">COUNTIF($C21:$AF21,AH$4)</f>
        <v>0</v>
      </c>
      <c r="AI21" s="272" t="n">
        <f aca="false">COUNTIF($C21:$AF21,AI$4)</f>
        <v>0</v>
      </c>
      <c r="AJ21" s="272" t="n">
        <f aca="false">COUNTIF($C21:$AF21,AJ$4)</f>
        <v>0</v>
      </c>
      <c r="AK21" s="272" t="n">
        <f aca="false">COUNTIF($C21:$AF21,AK$4)</f>
        <v>0</v>
      </c>
      <c r="AL21" s="272" t="n">
        <f aca="false">COUNTIF($C21:$AF21,AL$4)</f>
        <v>0</v>
      </c>
      <c r="AM21" s="272" t="n">
        <f aca="false">COUNTIF($C21:$AF21,AM$4)</f>
        <v>0</v>
      </c>
      <c r="AN21" s="272" t="n">
        <f aca="false">COUNTIF($C21:$AF21,AN$4)</f>
        <v>0</v>
      </c>
      <c r="AO21" s="272" t="n">
        <f aca="false">COUNTIF($C21:$AF21,AO$4)</f>
        <v>0</v>
      </c>
      <c r="AP21" s="272" t="n">
        <f aca="false">COUNTIF($C21:$AF21,AP$4)</f>
        <v>0</v>
      </c>
      <c r="AQ21" s="279"/>
      <c r="AR21" s="279"/>
      <c r="AS21" s="278" t="n">
        <f aca="false">SUMPRODUCT(--(WEEKDAY(C$3:AG$3,2)&lt;5),--ISNUMBER(MATCH(C21:AG21,{"DM","CS1","CS2","SB1","AE","CS/B"},0)))</f>
        <v>0</v>
      </c>
      <c r="AT21" s="278"/>
      <c r="AU21" s="278" t="n">
        <f aca="false">SUMPRODUCT(--(WEEKDAY(C$3:AG$3,2)=5),--ISNUMBER(MATCH(C21:AG21,{"DM","CS1","CS2","SB1","AE","CS/B","WEEKEND OUTFIELD RESERVE"},0)))</f>
        <v>0</v>
      </c>
      <c r="AV21" s="278" t="n">
        <f aca="false">SUMPRODUCT(--(WEEKDAY(C$3:AG$3,2)&gt;5),--ISNUMBER(MATCH(C21:AG21,{"DM","CS1","CS2","SB1","AE","CS/B","WEEKEND OUTFIELD RESERVE"},0)))</f>
        <v>0</v>
      </c>
      <c r="AW21" s="278"/>
      <c r="AX21" s="278" t="n">
        <f aca="false">(AS21-AT21)+AU21*1.5+(AV21-AW21)*2+AM21*0.5+AO21*0.5+AQ21-AR21</f>
        <v>0</v>
      </c>
      <c r="AY21" s="278" t="n">
        <f aca="false">AS21+AU21+AV21</f>
        <v>0</v>
      </c>
      <c r="AZ21" s="278" t="n">
        <f aca="false">BC21+BE21+BG21+BI21+BK21</f>
        <v>0</v>
      </c>
      <c r="BA21" s="279" t="n">
        <f aca="false">AX21+BB21</f>
        <v>0</v>
      </c>
      <c r="BB21" s="278" t="n">
        <f aca="false">BD21+BF21+BH21+BJ21+BL21</f>
        <v>0</v>
      </c>
      <c r="BC21" s="278" t="n">
        <f aca="false">COUNTIF(A21:AH21,"*$BTP*")</f>
        <v>0</v>
      </c>
      <c r="BD21" s="278" t="n">
        <f aca="false">BC21*1.5</f>
        <v>0</v>
      </c>
      <c r="BE21" s="278" t="n">
        <f aca="false">COUNTIF(A21:AH21,"*$M*")</f>
        <v>0</v>
      </c>
      <c r="BF21" s="278" t="n">
        <f aca="false">BE21*1</f>
        <v>0</v>
      </c>
      <c r="BG21" s="278" t="n">
        <f aca="false">COUNTIF(A21:AH21,"*$PM*")</f>
        <v>0</v>
      </c>
      <c r="BH21" s="278" t="n">
        <f aca="false">BG21*0.5</f>
        <v>0</v>
      </c>
      <c r="BI21" s="278" t="n">
        <f aca="false">COUNTIF(A21:AH21,"*$AM*")</f>
        <v>0</v>
      </c>
      <c r="BJ21" s="278" t="n">
        <f aca="false">BI21*0.5</f>
        <v>0</v>
      </c>
      <c r="BK21" s="278" t="n">
        <f aca="false">COUNTIF(A21:AH21,"*$FC*")</f>
        <v>0</v>
      </c>
      <c r="BL21" s="278" t="n">
        <f aca="false">BK21*1</f>
        <v>0</v>
      </c>
      <c r="BM21" s="278" t="n">
        <f aca="false">COUNTIF($D21:$AA21,BM$4)</f>
        <v>0</v>
      </c>
      <c r="BN21" s="278" t="n">
        <f aca="false">COUNTIF($D21:$AA21,BN$4)</f>
        <v>0</v>
      </c>
      <c r="BO21" s="278" t="n">
        <f aca="false">COUNTIF($D21:$AA21,BO$4)</f>
        <v>0</v>
      </c>
      <c r="BP21" s="278"/>
    </row>
    <row r="22" customFormat="false" ht="103.5" hidden="false" customHeight="true" outlineLevel="0" collapsed="false">
      <c r="A22" s="272"/>
      <c r="B22" s="279" t="s">
        <v>594</v>
      </c>
      <c r="C22" s="266"/>
      <c r="D22" s="266"/>
      <c r="E22" s="266"/>
      <c r="F22" s="266"/>
      <c r="G22" s="266"/>
      <c r="H22" s="266"/>
      <c r="I22" s="266"/>
      <c r="J22" s="266"/>
      <c r="K22" s="266"/>
      <c r="L22" s="91"/>
      <c r="M22" s="91"/>
      <c r="N22" s="266"/>
      <c r="O22" s="266"/>
      <c r="P22" s="266"/>
      <c r="Q22" s="266"/>
      <c r="R22" s="91"/>
      <c r="S22" s="91"/>
      <c r="T22" s="266"/>
      <c r="U22" s="266"/>
      <c r="V22" s="266"/>
      <c r="W22" s="266"/>
      <c r="X22" s="266"/>
      <c r="Y22" s="266"/>
      <c r="Z22" s="266"/>
      <c r="AA22" s="266"/>
      <c r="AB22" s="266"/>
      <c r="AC22" s="266"/>
      <c r="AD22" s="266"/>
      <c r="AE22" s="326"/>
      <c r="AF22" s="91"/>
      <c r="AG22" s="266"/>
      <c r="AH22" s="272" t="n">
        <f aca="false">COUNTIF($C22:$AF22,AH$4)</f>
        <v>0</v>
      </c>
      <c r="AI22" s="272" t="n">
        <f aca="false">COUNTIF($C22:$AF22,AI$4)</f>
        <v>0</v>
      </c>
      <c r="AJ22" s="272" t="n">
        <f aca="false">COUNTIF($C22:$AF22,AJ$4)</f>
        <v>0</v>
      </c>
      <c r="AK22" s="272" t="n">
        <f aca="false">COUNTIF($C22:$AF22,AK$4)</f>
        <v>0</v>
      </c>
      <c r="AL22" s="272" t="n">
        <f aca="false">COUNTIF($C22:$AF22,AL$4)</f>
        <v>0</v>
      </c>
      <c r="AM22" s="272" t="n">
        <f aca="false">COUNTIF($C22:$AF22,AM$4)</f>
        <v>0</v>
      </c>
      <c r="AN22" s="272" t="n">
        <f aca="false">COUNTIF($C22:$AF22,AN$4)</f>
        <v>0</v>
      </c>
      <c r="AO22" s="272" t="n">
        <f aca="false">COUNTIF($C22:$AF22,AO$4)</f>
        <v>0</v>
      </c>
      <c r="AP22" s="272" t="n">
        <f aca="false">COUNTIF($C22:$AF22,AP$4)</f>
        <v>0</v>
      </c>
      <c r="AQ22" s="279"/>
      <c r="AR22" s="279"/>
      <c r="AS22" s="278" t="n">
        <f aca="false">SUMPRODUCT(--(WEEKDAY(C$3:AG$3,2)&lt;5),--ISNUMBER(MATCH(C22:AG22,{"DM","CS1","CS2","SB1","AE","CS/B"},0)))</f>
        <v>0</v>
      </c>
      <c r="AT22" s="278"/>
      <c r="AU22" s="278" t="n">
        <f aca="false">SUMPRODUCT(--(WEEKDAY(C$3:AG$3,2)=5),--ISNUMBER(MATCH(C22:AG22,{"DM","CS1","CS2","SB1","AE","CS/B","WEEKEND OUTFIELD RESERVE"},0)))</f>
        <v>0</v>
      </c>
      <c r="AV22" s="278" t="n">
        <f aca="false">SUMPRODUCT(--(WEEKDAY(C$3:AG$3,2)&gt;5),--ISNUMBER(MATCH(C22:AG22,{"DM","CS1","CS2","SB1","AE","CS/B","WEEKEND OUTFIELD RESERVE"},0)))</f>
        <v>0</v>
      </c>
      <c r="AW22" s="278"/>
      <c r="AX22" s="278" t="n">
        <f aca="false">(AS22-AT22)+AU22*1.5+(AV22-AW22)*2+AM22*0.5+AO22*0.5+AQ22-AR22</f>
        <v>0</v>
      </c>
      <c r="AY22" s="278" t="n">
        <f aca="false">AS22+AU22+AV22</f>
        <v>0</v>
      </c>
      <c r="AZ22" s="278" t="n">
        <f aca="false">BC22+BE22+BG22+BI22+BK22</f>
        <v>0</v>
      </c>
      <c r="BA22" s="279" t="n">
        <f aca="false">AX22+BB22</f>
        <v>0</v>
      </c>
      <c r="BB22" s="278" t="n">
        <f aca="false">BD22+BF22+BH22+BJ22+BL22</f>
        <v>0</v>
      </c>
      <c r="BC22" s="278" t="n">
        <f aca="false">COUNTIF(A22:AH22,"*$BTP*")</f>
        <v>0</v>
      </c>
      <c r="BD22" s="278" t="n">
        <f aca="false">BC22*1.5</f>
        <v>0</v>
      </c>
      <c r="BE22" s="278" t="n">
        <f aca="false">COUNTIF(A22:AH22,"*$M*")</f>
        <v>0</v>
      </c>
      <c r="BF22" s="278" t="n">
        <f aca="false">BE22*1</f>
        <v>0</v>
      </c>
      <c r="BG22" s="278" t="n">
        <f aca="false">COUNTIF(A22:AH22,"*$PM*")</f>
        <v>0</v>
      </c>
      <c r="BH22" s="278" t="n">
        <f aca="false">BG22*0.5</f>
        <v>0</v>
      </c>
      <c r="BI22" s="278" t="n">
        <f aca="false">COUNTIF(A22:AH22,"*$AM*")</f>
        <v>0</v>
      </c>
      <c r="BJ22" s="278" t="n">
        <f aca="false">BI22*0.5</f>
        <v>0</v>
      </c>
      <c r="BK22" s="278" t="n">
        <f aca="false">COUNTIF(A22:AH22,"*$FC*")</f>
        <v>0</v>
      </c>
      <c r="BL22" s="278" t="n">
        <f aca="false">BK22*1</f>
        <v>0</v>
      </c>
      <c r="BM22" s="278" t="n">
        <f aca="false">COUNTIF($D22:$AA22,BM$4)</f>
        <v>0</v>
      </c>
      <c r="BN22" s="278" t="n">
        <f aca="false">COUNTIF($D22:$AA22,BN$4)</f>
        <v>0</v>
      </c>
      <c r="BO22" s="278" t="n">
        <f aca="false">COUNTIF($D22:$AA22,BO$4)</f>
        <v>0</v>
      </c>
      <c r="BP22" s="278"/>
    </row>
    <row r="23" customFormat="false" ht="68.25" hidden="false" customHeight="true" outlineLevel="0" collapsed="false">
      <c r="A23" s="272"/>
      <c r="B23" s="279" t="s">
        <v>725</v>
      </c>
      <c r="C23" s="91"/>
      <c r="D23" s="266"/>
      <c r="E23" s="266"/>
      <c r="F23" s="266"/>
      <c r="G23" s="91"/>
      <c r="H23" s="266"/>
      <c r="I23" s="91"/>
      <c r="J23" s="266"/>
      <c r="K23" s="91"/>
      <c r="L23" s="266"/>
      <c r="M23" s="266"/>
      <c r="N23" s="91"/>
      <c r="O23" s="266"/>
      <c r="P23" s="266"/>
      <c r="Q23" s="266"/>
      <c r="R23" s="266"/>
      <c r="S23" s="266"/>
      <c r="T23" s="91"/>
      <c r="U23" s="266"/>
      <c r="V23" s="266"/>
      <c r="W23" s="266"/>
      <c r="X23" s="91"/>
      <c r="Y23" s="266"/>
      <c r="Z23" s="266"/>
      <c r="AA23" s="266"/>
      <c r="AB23" s="266"/>
      <c r="AC23" s="266"/>
      <c r="AD23" s="266"/>
      <c r="AE23" s="325"/>
      <c r="AF23" s="91"/>
      <c r="AG23" s="266"/>
      <c r="AH23" s="272" t="n">
        <f aca="false">COUNTIF($C23:$AF23,AH$4)</f>
        <v>0</v>
      </c>
      <c r="AI23" s="272" t="n">
        <f aca="false">COUNTIF($C23:$AF23,AI$4)</f>
        <v>0</v>
      </c>
      <c r="AJ23" s="272" t="n">
        <f aca="false">COUNTIF($C23:$AF23,AJ$4)</f>
        <v>0</v>
      </c>
      <c r="AK23" s="272" t="n">
        <f aca="false">COUNTIF($C23:$AF23,AK$4)</f>
        <v>0</v>
      </c>
      <c r="AL23" s="272" t="n">
        <f aca="false">COUNTIF($C23:$AF23,AL$4)</f>
        <v>0</v>
      </c>
      <c r="AM23" s="272" t="n">
        <f aca="false">COUNTIF($C23:$AF23,AM$4)</f>
        <v>0</v>
      </c>
      <c r="AN23" s="272" t="n">
        <f aca="false">COUNTIF($C23:$AF23,AN$4)</f>
        <v>0</v>
      </c>
      <c r="AO23" s="272" t="n">
        <f aca="false">COUNTIF($C23:$AF23,AO$4)</f>
        <v>0</v>
      </c>
      <c r="AP23" s="272" t="n">
        <f aca="false">COUNTIF($C23:$AF23,AP$4)</f>
        <v>0</v>
      </c>
      <c r="AQ23" s="279"/>
      <c r="AR23" s="279"/>
      <c r="AS23" s="278" t="n">
        <f aca="false">SUMPRODUCT(--(WEEKDAY(C$3:AG$3,2)&lt;5),--ISNUMBER(MATCH(C23:AG23,{"DM","CS1","CS2","SB1","AE","CS/B"},0)))</f>
        <v>0</v>
      </c>
      <c r="AT23" s="278"/>
      <c r="AU23" s="278" t="n">
        <f aca="false">SUMPRODUCT(--(WEEKDAY(C$3:AG$3,2)=5),--ISNUMBER(MATCH(C23:AG23,{"DM","CS1","CS2","SB1","AE","CS/B","WEEKEND OUTFIELD RESERVE"},0)))</f>
        <v>0</v>
      </c>
      <c r="AV23" s="278" t="n">
        <f aca="false">SUMPRODUCT(--(WEEKDAY(C$3:AG$3,2)&gt;5),--ISNUMBER(MATCH(C23:AG23,{"DM","CS1","CS2","SB1","AE","CS/B","WEEKEND OUTFIELD RESERVE"},0)))</f>
        <v>0</v>
      </c>
      <c r="AW23" s="278"/>
      <c r="AX23" s="278" t="n">
        <f aca="false">(AS23-AT23)+AU23*1.5+(AV23-AW23)*2+AM23*0.5+AO23*0.5+AQ23-AR23</f>
        <v>0</v>
      </c>
      <c r="AY23" s="278" t="n">
        <f aca="false">AS23+AU23+AV23</f>
        <v>0</v>
      </c>
      <c r="AZ23" s="278" t="n">
        <f aca="false">BC23+BE23+BG23+BI23+BK23</f>
        <v>0</v>
      </c>
      <c r="BA23" s="279" t="n">
        <f aca="false">AX23+BB23</f>
        <v>0</v>
      </c>
      <c r="BB23" s="278" t="n">
        <f aca="false">BD23+BF23+BH23+BJ23+BL23</f>
        <v>0</v>
      </c>
      <c r="BC23" s="278" t="n">
        <f aca="false">COUNTIF(A23:AH23,"*$BTP*")</f>
        <v>0</v>
      </c>
      <c r="BD23" s="278" t="n">
        <f aca="false">BC23*1.5</f>
        <v>0</v>
      </c>
      <c r="BE23" s="278" t="n">
        <f aca="false">COUNTIF(A23:AH23,"*$M*")</f>
        <v>0</v>
      </c>
      <c r="BF23" s="278" t="n">
        <f aca="false">BE23*1</f>
        <v>0</v>
      </c>
      <c r="BG23" s="278" t="n">
        <f aca="false">COUNTIF(A23:AH23,"*$PM*")</f>
        <v>0</v>
      </c>
      <c r="BH23" s="278" t="n">
        <f aca="false">BG23*0.5</f>
        <v>0</v>
      </c>
      <c r="BI23" s="278" t="n">
        <f aca="false">COUNTIF(A23:AH23,"*$AM*")</f>
        <v>0</v>
      </c>
      <c r="BJ23" s="278" t="n">
        <f aca="false">BI23*0.5</f>
        <v>0</v>
      </c>
      <c r="BK23" s="278" t="n">
        <f aca="false">COUNTIF(A23:AH23,"*$FC*")</f>
        <v>0</v>
      </c>
      <c r="BL23" s="278" t="n">
        <f aca="false">BK23*1</f>
        <v>0</v>
      </c>
      <c r="BM23" s="278" t="n">
        <f aca="false">COUNTIF($D23:$AA23,BM$4)</f>
        <v>0</v>
      </c>
      <c r="BN23" s="278" t="n">
        <f aca="false">COUNTIF($D23:$AA23,BN$4)</f>
        <v>0</v>
      </c>
      <c r="BO23" s="278" t="n">
        <f aca="false">COUNTIF($D23:$AA23,BO$4)</f>
        <v>0</v>
      </c>
      <c r="BP23" s="278"/>
    </row>
    <row r="24" customFormat="false" ht="19.5" hidden="false" customHeight="true" outlineLevel="0" collapsed="false">
      <c r="A24" s="272"/>
      <c r="B24" s="279" t="s">
        <v>951</v>
      </c>
      <c r="C24" s="266"/>
      <c r="D24" s="266"/>
      <c r="E24" s="91"/>
      <c r="F24" s="91"/>
      <c r="G24" s="266"/>
      <c r="H24" s="266"/>
      <c r="I24" s="266"/>
      <c r="J24" s="91"/>
      <c r="K24" s="266"/>
      <c r="L24" s="91"/>
      <c r="M24" s="91"/>
      <c r="N24" s="266"/>
      <c r="O24" s="266"/>
      <c r="P24" s="266"/>
      <c r="Q24" s="266"/>
      <c r="R24" s="91"/>
      <c r="S24" s="91"/>
      <c r="T24" s="266"/>
      <c r="U24" s="266"/>
      <c r="V24" s="266"/>
      <c r="W24" s="91"/>
      <c r="X24" s="266"/>
      <c r="Y24" s="91"/>
      <c r="Z24" s="91"/>
      <c r="AA24" s="266"/>
      <c r="AB24" s="91"/>
      <c r="AC24" s="284"/>
      <c r="AD24" s="339"/>
      <c r="AE24" s="340"/>
      <c r="AF24" s="266"/>
      <c r="AG24" s="266"/>
      <c r="AH24" s="272" t="n">
        <f aca="false">COUNTIF($C24:$AF24,AH$4)</f>
        <v>0</v>
      </c>
      <c r="AI24" s="272" t="n">
        <f aca="false">COUNTIF($C24:$AF24,AI$4)</f>
        <v>0</v>
      </c>
      <c r="AJ24" s="272" t="n">
        <f aca="false">COUNTIF($C24:$AF24,AJ$4)</f>
        <v>0</v>
      </c>
      <c r="AK24" s="272" t="n">
        <f aca="false">COUNTIF($C24:$AF24,AK$4)</f>
        <v>0</v>
      </c>
      <c r="AL24" s="272" t="n">
        <f aca="false">COUNTIF($C24:$AF24,AL$4)</f>
        <v>0</v>
      </c>
      <c r="AM24" s="272" t="n">
        <f aca="false">COUNTIF($C24:$AF24,AM$4)</f>
        <v>0</v>
      </c>
      <c r="AN24" s="272" t="n">
        <f aca="false">COUNTIF($C24:$AF24,AN$4)</f>
        <v>0</v>
      </c>
      <c r="AO24" s="272" t="n">
        <f aca="false">COUNTIF($C24:$AF24,AO$4)</f>
        <v>0</v>
      </c>
      <c r="AP24" s="272" t="n">
        <f aca="false">COUNTIF($C24:$AF24,AP$4)</f>
        <v>0</v>
      </c>
      <c r="AQ24" s="279"/>
      <c r="AR24" s="279"/>
      <c r="AS24" s="278" t="n">
        <f aca="false">SUMPRODUCT(--(WEEKDAY(C$3:AG$3,2)&lt;5),--ISNUMBER(MATCH(C24:AG24,{"DM","CS1","CS2","SB1","AE","CS/B"},0)))</f>
        <v>0</v>
      </c>
      <c r="AT24" s="272"/>
      <c r="AU24" s="278" t="n">
        <f aca="false">SUMPRODUCT(--(WEEKDAY(C$3:AG$3,2)=5),--ISNUMBER(MATCH(C24:AG24,{"DM","CS1","CS2","SB1","AE","CS/B","WEEKEND OUTFIELD RESERVE"},0)))</f>
        <v>0</v>
      </c>
      <c r="AV24" s="278" t="n">
        <f aca="false">SUMPRODUCT(--(WEEKDAY(C$3:AG$3,2)&gt;5),--ISNUMBER(MATCH(C24:AG24,{"DM","CS1","CS2","SB1","AE","CS/B","WEEKEND OUTFIELD RESERVE"},0)))</f>
        <v>0</v>
      </c>
      <c r="AW24" s="272"/>
      <c r="AX24" s="278" t="n">
        <f aca="false">(AS24-AT24)+AU24*1.5+(AV24-AW24)*2+AM24*0.5+AO24*0.5+AQ24-AR24</f>
        <v>0</v>
      </c>
      <c r="AY24" s="278" t="n">
        <f aca="false">AS24+AU24+AV24</f>
        <v>0</v>
      </c>
      <c r="AZ24" s="278" t="n">
        <f aca="false">BC24+BE24+BG24+BI24+BK24</f>
        <v>0</v>
      </c>
      <c r="BA24" s="279" t="n">
        <f aca="false">AX24+BB24</f>
        <v>0</v>
      </c>
      <c r="BB24" s="278" t="n">
        <f aca="false">BD24+BF24+BH24+BJ24+BL24</f>
        <v>0</v>
      </c>
      <c r="BC24" s="278" t="n">
        <f aca="false">COUNTIF(A24:AH24,"*$BTP*")</f>
        <v>0</v>
      </c>
      <c r="BD24" s="278" t="n">
        <f aca="false">BC24*1.5</f>
        <v>0</v>
      </c>
      <c r="BE24" s="278" t="n">
        <f aca="false">COUNTIF(A24:AH24,"*$M*")</f>
        <v>0</v>
      </c>
      <c r="BF24" s="278" t="n">
        <f aca="false">BE24*1</f>
        <v>0</v>
      </c>
      <c r="BG24" s="278" t="n">
        <f aca="false">COUNTIF(A24:AH24,"*$PM*")</f>
        <v>0</v>
      </c>
      <c r="BH24" s="278" t="n">
        <f aca="false">BG24*0.5</f>
        <v>0</v>
      </c>
      <c r="BI24" s="278" t="n">
        <f aca="false">COUNTIF(A24:AH24,"*$AM*")</f>
        <v>0</v>
      </c>
      <c r="BJ24" s="278" t="n">
        <f aca="false">BI24*0.5</f>
        <v>0</v>
      </c>
      <c r="BK24" s="278" t="n">
        <f aca="false">COUNTIF(A24:AH24,"*$FC*")</f>
        <v>0</v>
      </c>
      <c r="BL24" s="278" t="n">
        <f aca="false">BK24*1</f>
        <v>0</v>
      </c>
      <c r="BM24" s="278" t="n">
        <f aca="false">COUNTIF($D24:$AA24,BM$4)</f>
        <v>0</v>
      </c>
      <c r="BN24" s="278" t="n">
        <f aca="false">COUNTIF($D24:$AA24,BN$4)</f>
        <v>0</v>
      </c>
      <c r="BO24" s="278" t="n">
        <f aca="false">COUNTIF($D24:$AA24,BO$4)</f>
        <v>0</v>
      </c>
      <c r="BP24" s="272"/>
    </row>
    <row r="25" customFormat="false" ht="48" hidden="false" customHeight="true" outlineLevel="0" collapsed="false">
      <c r="A25" s="272"/>
      <c r="B25" s="279" t="s">
        <v>609</v>
      </c>
      <c r="C25" s="91"/>
      <c r="D25" s="266"/>
      <c r="E25" s="266"/>
      <c r="F25" s="266"/>
      <c r="G25" s="266"/>
      <c r="H25" s="266"/>
      <c r="I25" s="266"/>
      <c r="J25" s="266"/>
      <c r="K25" s="266"/>
      <c r="L25" s="266"/>
      <c r="M25" s="266"/>
      <c r="N25" s="266"/>
      <c r="O25" s="266"/>
      <c r="P25" s="266"/>
      <c r="Q25" s="266"/>
      <c r="R25" s="266"/>
      <c r="S25" s="266"/>
      <c r="T25" s="266"/>
      <c r="U25" s="266"/>
      <c r="V25" s="266"/>
      <c r="X25" s="266"/>
      <c r="Y25" s="266"/>
      <c r="Z25" s="266"/>
      <c r="AA25" s="266"/>
      <c r="AB25" s="266"/>
      <c r="AC25" s="300"/>
      <c r="AD25" s="300"/>
      <c r="AE25" s="331"/>
      <c r="AF25" s="266"/>
      <c r="AG25" s="266"/>
      <c r="AH25" s="272" t="n">
        <f aca="false">COUNTIF($C25:$AF25,AH$4)</f>
        <v>0</v>
      </c>
      <c r="AI25" s="272" t="n">
        <f aca="false">COUNTIF($C25:$AF25,AI$4)</f>
        <v>0</v>
      </c>
      <c r="AJ25" s="272" t="n">
        <f aca="false">COUNTIF($C25:$AF25,AJ$4)</f>
        <v>0</v>
      </c>
      <c r="AK25" s="272" t="n">
        <f aca="false">COUNTIF($C25:$AF25,AK$4)</f>
        <v>0</v>
      </c>
      <c r="AL25" s="272" t="n">
        <f aca="false">COUNTIF($C25:$AF25,AL$4)</f>
        <v>0</v>
      </c>
      <c r="AM25" s="272" t="n">
        <f aca="false">COUNTIF($C25:$AF25,AM$4)</f>
        <v>0</v>
      </c>
      <c r="AN25" s="272" t="n">
        <f aca="false">COUNTIF($C25:$AF25,AN$4)</f>
        <v>0</v>
      </c>
      <c r="AO25" s="272" t="n">
        <f aca="false">COUNTIF($C25:$AF25,AO$4)</f>
        <v>0</v>
      </c>
      <c r="AP25" s="272" t="n">
        <f aca="false">COUNTIF($C25:$AF25,AP$4)</f>
        <v>0</v>
      </c>
      <c r="AQ25" s="279"/>
      <c r="AR25" s="279"/>
      <c r="AS25" s="278" t="n">
        <f aca="false">SUMPRODUCT(--(WEEKDAY(C$3:AG$3,2)&lt;5),--ISNUMBER(MATCH(C25:AG25,{"DM","CS1","CS2","SB1","AE","CS/B"},0)))</f>
        <v>0</v>
      </c>
      <c r="AT25" s="278"/>
      <c r="AU25" s="278" t="n">
        <f aca="false">SUMPRODUCT(--(WEEKDAY(C$3:AG$3,2)=5),--ISNUMBER(MATCH(C25:AG25,{"DM","CS1","CS2","SB1","AE","CS/B","WEEKEND OUTFIELD RESERVE"},0)))</f>
        <v>0</v>
      </c>
      <c r="AV25" s="278" t="n">
        <f aca="false">SUMPRODUCT(--(WEEKDAY(C$3:AG$3,2)&gt;5),--ISNUMBER(MATCH(C25:AG25,{"DM","CS1","CS2","SB1","AE","CS/B","WEEKEND OUTFIELD RESERVE"},0)))</f>
        <v>0</v>
      </c>
      <c r="AW25" s="278"/>
      <c r="AX25" s="278" t="n">
        <f aca="false">(AS25-AT25)+AU25*1.5+(AV25-AW25)*2+AM25*0.5+AO25*0.5+AQ25-AR25</f>
        <v>0</v>
      </c>
      <c r="AY25" s="278" t="n">
        <f aca="false">AS25+AU25+AV25</f>
        <v>0</v>
      </c>
      <c r="AZ25" s="278" t="n">
        <f aca="false">BC25+BE25+BG25+BI25+BK25</f>
        <v>0</v>
      </c>
      <c r="BA25" s="279" t="n">
        <f aca="false">AX25+BB25</f>
        <v>0</v>
      </c>
      <c r="BB25" s="278" t="n">
        <f aca="false">BD25+BF25+BH25+BJ25+BL25</f>
        <v>0</v>
      </c>
      <c r="BC25" s="278" t="n">
        <f aca="false">COUNTIF(A25:AH25,"*$BTP*")</f>
        <v>0</v>
      </c>
      <c r="BD25" s="278" t="n">
        <f aca="false">BC25*1.5</f>
        <v>0</v>
      </c>
      <c r="BE25" s="278" t="n">
        <f aca="false">COUNTIF(A25:AH25,"*$M*")</f>
        <v>0</v>
      </c>
      <c r="BF25" s="278" t="n">
        <f aca="false">BE25*1</f>
        <v>0</v>
      </c>
      <c r="BG25" s="278" t="n">
        <f aca="false">COUNTIF(A25:AH25,"*$PM*")</f>
        <v>0</v>
      </c>
      <c r="BH25" s="278" t="n">
        <f aca="false">BG25*0.5</f>
        <v>0</v>
      </c>
      <c r="BI25" s="278" t="n">
        <f aca="false">COUNTIF(A25:AH25,"*$AM*")</f>
        <v>0</v>
      </c>
      <c r="BJ25" s="278" t="n">
        <f aca="false">BI25*0.5</f>
        <v>0</v>
      </c>
      <c r="BK25" s="278" t="n">
        <f aca="false">COUNTIF(A25:AH25,"*$FC*")</f>
        <v>0</v>
      </c>
      <c r="BL25" s="278" t="n">
        <f aca="false">BK25*1</f>
        <v>0</v>
      </c>
      <c r="BM25" s="278" t="n">
        <f aca="false">COUNTIF($D25:$AA25,BM$4)</f>
        <v>0</v>
      </c>
      <c r="BN25" s="278" t="n">
        <f aca="false">COUNTIF($D25:$AA25,BN$4)</f>
        <v>0</v>
      </c>
      <c r="BO25" s="278" t="n">
        <f aca="false">COUNTIF($D25:$AA25,BO$4)</f>
        <v>0</v>
      </c>
      <c r="BP25" s="278"/>
    </row>
    <row r="26" customFormat="false" ht="19.5" hidden="false" customHeight="true" outlineLevel="0" collapsed="false">
      <c r="A26" s="272"/>
      <c r="B26" s="279" t="s">
        <v>614</v>
      </c>
      <c r="C26" s="266"/>
      <c r="D26" s="266"/>
      <c r="E26" s="266"/>
      <c r="F26" s="91"/>
      <c r="G26" s="266"/>
      <c r="H26" s="91"/>
      <c r="I26" s="266"/>
      <c r="J26" s="91"/>
      <c r="K26" s="266"/>
      <c r="L26" s="91"/>
      <c r="M26" s="91"/>
      <c r="N26" s="91"/>
      <c r="O26" s="266"/>
      <c r="P26" s="266"/>
      <c r="Q26" s="266"/>
      <c r="R26" s="266"/>
      <c r="S26" s="266"/>
      <c r="T26" s="266"/>
      <c r="U26" s="266"/>
      <c r="V26" s="91"/>
      <c r="W26" s="266"/>
      <c r="X26" s="266"/>
      <c r="Y26" s="266"/>
      <c r="Z26" s="266"/>
      <c r="AA26" s="91"/>
      <c r="AB26" s="266"/>
      <c r="AC26" s="341"/>
      <c r="AD26" s="342"/>
      <c r="AE26" s="326"/>
      <c r="AF26" s="266"/>
      <c r="AG26" s="266"/>
      <c r="AH26" s="272" t="n">
        <f aca="false">COUNTIF($C26:$AF26,AH$4)</f>
        <v>0</v>
      </c>
      <c r="AI26" s="272" t="n">
        <f aca="false">COUNTIF($C26:$AF26,AI$4)</f>
        <v>0</v>
      </c>
      <c r="AJ26" s="272" t="n">
        <f aca="false">COUNTIF($C26:$AF26,AJ$4)</f>
        <v>0</v>
      </c>
      <c r="AK26" s="272" t="n">
        <f aca="false">COUNTIF($C26:$AF26,AK$4)</f>
        <v>0</v>
      </c>
      <c r="AL26" s="272" t="n">
        <f aca="false">COUNTIF($C26:$AF26,AL$4)</f>
        <v>0</v>
      </c>
      <c r="AM26" s="272" t="n">
        <f aca="false">COUNTIF($C26:$AF26,AM$4)</f>
        <v>0</v>
      </c>
      <c r="AN26" s="272" t="n">
        <f aca="false">COUNTIF($C26:$AF26,AN$4)</f>
        <v>0</v>
      </c>
      <c r="AO26" s="272" t="n">
        <f aca="false">COUNTIF($C26:$AF26,AO$4)</f>
        <v>0</v>
      </c>
      <c r="AP26" s="272" t="n">
        <f aca="false">COUNTIF($C26:$AF26,AP$4)</f>
        <v>0</v>
      </c>
      <c r="AQ26" s="279"/>
      <c r="AR26" s="279"/>
      <c r="AS26" s="278" t="n">
        <f aca="false">SUMPRODUCT(--(WEEKDAY(C$3:AG$3,2)&lt;5),--ISNUMBER(MATCH(C26:AG26,{"DM","CS1","CS2","SB1","AE","CS/B"},0)))</f>
        <v>0</v>
      </c>
      <c r="AT26" s="272"/>
      <c r="AU26" s="278" t="n">
        <f aca="false">SUMPRODUCT(--(WEEKDAY(C$3:AG$3,2)=5),--ISNUMBER(MATCH(C26:AG26,{"DM","CS1","CS2","SB1","AE","CS/B","WEEKEND OUTFIELD RESERVE"},0)))</f>
        <v>0</v>
      </c>
      <c r="AV26" s="278" t="n">
        <f aca="false">SUMPRODUCT(--(WEEKDAY(C$3:AG$3,2)&gt;5),--ISNUMBER(MATCH(C26:AG26,{"DM","CS1","CS2","SB1","AE","CS/B","WEEKEND OUTFIELD RESERVE"},0)))</f>
        <v>0</v>
      </c>
      <c r="AW26" s="272"/>
      <c r="AX26" s="278" t="n">
        <f aca="false">(AS26-AT26)+AU26*1.5+(AV26-AW26)*2+AM26*0.5+AO26*0.5+AQ26-AR26</f>
        <v>0</v>
      </c>
      <c r="AY26" s="278" t="n">
        <f aca="false">AS26+AU26+AV26</f>
        <v>0</v>
      </c>
      <c r="AZ26" s="278" t="n">
        <f aca="false">BC26+BE26+BG26+BI26+BK26</f>
        <v>0</v>
      </c>
      <c r="BA26" s="279" t="n">
        <f aca="false">AX26+BB26</f>
        <v>0</v>
      </c>
      <c r="BB26" s="278" t="n">
        <f aca="false">BD26+BF26+BH26+BJ26+BL26</f>
        <v>0</v>
      </c>
      <c r="BC26" s="278" t="n">
        <f aca="false">COUNTIF(A26:AH26,"*$BTP*")</f>
        <v>0</v>
      </c>
      <c r="BD26" s="278" t="n">
        <f aca="false">BC26*1.5</f>
        <v>0</v>
      </c>
      <c r="BE26" s="278" t="n">
        <f aca="false">COUNTIF(A26:AH26,"*$M*")</f>
        <v>0</v>
      </c>
      <c r="BF26" s="278" t="n">
        <f aca="false">BE26*1</f>
        <v>0</v>
      </c>
      <c r="BG26" s="278" t="n">
        <f aca="false">COUNTIF(A26:AH26,"*$PM*")</f>
        <v>0</v>
      </c>
      <c r="BH26" s="278" t="n">
        <f aca="false">BG26*0.5</f>
        <v>0</v>
      </c>
      <c r="BI26" s="278" t="n">
        <f aca="false">COUNTIF(A26:AH26,"*$AM*")</f>
        <v>0</v>
      </c>
      <c r="BJ26" s="278" t="n">
        <f aca="false">BI26*0.5</f>
        <v>0</v>
      </c>
      <c r="BK26" s="278" t="n">
        <f aca="false">COUNTIF(A26:AH26,"*$FC*")</f>
        <v>0</v>
      </c>
      <c r="BL26" s="278" t="n">
        <f aca="false">BK26*1</f>
        <v>0</v>
      </c>
      <c r="BM26" s="278" t="n">
        <f aca="false">COUNTIF($D26:$AA26,BM$4)</f>
        <v>0</v>
      </c>
      <c r="BN26" s="278" t="n">
        <f aca="false">COUNTIF($D26:$AA26,BN$4)</f>
        <v>0</v>
      </c>
      <c r="BO26" s="278" t="n">
        <f aca="false">COUNTIF($D26:$AA26,BO$4)</f>
        <v>0</v>
      </c>
      <c r="BP26" s="272"/>
    </row>
    <row r="27" customFormat="false" ht="19.5" hidden="false" customHeight="true" outlineLevel="0" collapsed="false">
      <c r="A27" s="272"/>
      <c r="B27" s="279" t="s">
        <v>954</v>
      </c>
      <c r="C27" s="266"/>
      <c r="D27" s="266"/>
      <c r="E27" s="266"/>
      <c r="F27" s="91"/>
      <c r="G27" s="266"/>
      <c r="H27" s="266"/>
      <c r="I27" s="266"/>
      <c r="J27" s="91"/>
      <c r="K27" s="91"/>
      <c r="L27" s="91"/>
      <c r="M27" s="266"/>
      <c r="N27" s="91"/>
      <c r="O27" s="91"/>
      <c r="P27" s="343"/>
      <c r="Q27" s="266"/>
      <c r="R27" s="91"/>
      <c r="S27" s="266"/>
      <c r="T27" s="266"/>
      <c r="U27" s="266"/>
      <c r="W27" s="266"/>
      <c r="X27" s="266"/>
      <c r="Y27" s="266"/>
      <c r="Z27" s="91"/>
      <c r="AA27" s="266"/>
      <c r="AB27" s="91"/>
      <c r="AC27" s="344"/>
      <c r="AD27" s="300"/>
      <c r="AE27" s="345"/>
      <c r="AF27" s="266"/>
      <c r="AG27" s="266"/>
      <c r="AH27" s="272" t="n">
        <f aca="false">COUNTIF($C27:$AF27,AH$4)</f>
        <v>0</v>
      </c>
      <c r="AI27" s="272" t="n">
        <f aca="false">COUNTIF($C27:$AF27,AI$4)</f>
        <v>0</v>
      </c>
      <c r="AJ27" s="272" t="n">
        <f aca="false">COUNTIF($C27:$AF27,AJ$4)</f>
        <v>0</v>
      </c>
      <c r="AK27" s="272" t="n">
        <f aca="false">COUNTIF($C27:$AF27,AK$4)</f>
        <v>0</v>
      </c>
      <c r="AL27" s="272" t="n">
        <f aca="false">COUNTIF($C27:$AF27,AL$4)</f>
        <v>0</v>
      </c>
      <c r="AM27" s="272" t="n">
        <f aca="false">COUNTIF($C27:$AF27,AM$4)</f>
        <v>0</v>
      </c>
      <c r="AN27" s="272" t="n">
        <f aca="false">COUNTIF($C27:$AF27,AN$4)</f>
        <v>0</v>
      </c>
      <c r="AO27" s="272" t="n">
        <f aca="false">COUNTIF($C27:$AF27,AO$4)</f>
        <v>0</v>
      </c>
      <c r="AP27" s="272" t="n">
        <f aca="false">COUNTIF($C27:$AF27,AP$4)</f>
        <v>0</v>
      </c>
      <c r="AQ27" s="279"/>
      <c r="AR27" s="279"/>
      <c r="AS27" s="278" t="n">
        <f aca="false">SUMPRODUCT(--(WEEKDAY(C$3:AG$3,2)&lt;5),--ISNUMBER(MATCH(C27:AG27,{"DM","CS1","CS2","SB1","AE","CS/B"},0)))</f>
        <v>0</v>
      </c>
      <c r="AT27" s="272"/>
      <c r="AU27" s="278" t="n">
        <f aca="false">SUMPRODUCT(--(WEEKDAY(C$3:AG$3,2)=5),--ISNUMBER(MATCH(C27:AG27,{"DM","CS1","CS2","SB1","AE","CS/B","WEEKEND OUTFIELD RESERVE"},0)))</f>
        <v>0</v>
      </c>
      <c r="AV27" s="278" t="n">
        <f aca="false">SUMPRODUCT(--(WEEKDAY(C$3:AG$3,2)&gt;5),--ISNUMBER(MATCH(C27:AG27,{"DM","CS1","CS2","SB1","AE","CS/B","WEEKEND OUTFIELD RESERVE"},0)))</f>
        <v>0</v>
      </c>
      <c r="AW27" s="272"/>
      <c r="AX27" s="278" t="n">
        <f aca="false">(AS27-AT27)+AU27*1.5+(AV27-AW27)*2+AM27*0.5+AO27*0.5+AQ27-AR27</f>
        <v>0</v>
      </c>
      <c r="AY27" s="278" t="n">
        <f aca="false">AS27+AU27+AV27</f>
        <v>0</v>
      </c>
      <c r="AZ27" s="278" t="n">
        <f aca="false">BC27+BE27+BG27+BI27+BK27</f>
        <v>0</v>
      </c>
      <c r="BA27" s="279" t="n">
        <f aca="false">AX27+BB27</f>
        <v>0</v>
      </c>
      <c r="BB27" s="278" t="n">
        <f aca="false">BD27+BF27+BH27+BJ27+BL27</f>
        <v>0</v>
      </c>
      <c r="BC27" s="278" t="n">
        <f aca="false">COUNTIF(A27:AH27,"*$BTP*")</f>
        <v>0</v>
      </c>
      <c r="BD27" s="278" t="n">
        <f aca="false">BC27*1.5</f>
        <v>0</v>
      </c>
      <c r="BE27" s="278" t="n">
        <f aca="false">COUNTIF(A27:AH27,"*$M*")</f>
        <v>0</v>
      </c>
      <c r="BF27" s="278" t="n">
        <f aca="false">BE27*1</f>
        <v>0</v>
      </c>
      <c r="BG27" s="278" t="n">
        <f aca="false">COUNTIF(A27:AH27,"*$PM*")</f>
        <v>0</v>
      </c>
      <c r="BH27" s="278" t="n">
        <f aca="false">BG27*0.5</f>
        <v>0</v>
      </c>
      <c r="BI27" s="278" t="n">
        <f aca="false">COUNTIF(A27:AH27,"*$AM*")</f>
        <v>0</v>
      </c>
      <c r="BJ27" s="278" t="n">
        <f aca="false">BI27*0.5</f>
        <v>0</v>
      </c>
      <c r="BK27" s="278" t="n">
        <f aca="false">COUNTIF(A27:AH27,"*$FC*")</f>
        <v>0</v>
      </c>
      <c r="BL27" s="278" t="n">
        <f aca="false">BK27*1</f>
        <v>0</v>
      </c>
      <c r="BM27" s="278" t="n">
        <f aca="false">COUNTIF($D27:$AA27,BM$4)</f>
        <v>0</v>
      </c>
      <c r="BN27" s="278" t="n">
        <f aca="false">COUNTIF($D27:$AA27,BN$4)</f>
        <v>0</v>
      </c>
      <c r="BO27" s="278" t="n">
        <f aca="false">COUNTIF($D27:$AA27,BO$4)</f>
        <v>0</v>
      </c>
      <c r="BP27" s="272"/>
    </row>
    <row r="28" customFormat="false" ht="19.5" hidden="false" customHeight="true" outlineLevel="0" collapsed="false">
      <c r="A28" s="272"/>
      <c r="B28" s="279" t="s">
        <v>627</v>
      </c>
      <c r="C28" s="266"/>
      <c r="D28" s="266"/>
      <c r="E28" s="266"/>
      <c r="F28" s="266"/>
      <c r="G28" s="91"/>
      <c r="H28" s="91"/>
      <c r="I28" s="266"/>
      <c r="J28" s="266"/>
      <c r="L28" s="91"/>
      <c r="M28" s="266"/>
      <c r="N28" s="266"/>
      <c r="O28" s="266"/>
      <c r="P28" s="266"/>
      <c r="Q28" s="266"/>
      <c r="R28" s="266"/>
      <c r="S28" s="266"/>
      <c r="T28" s="266"/>
      <c r="U28" s="91"/>
      <c r="V28" s="266"/>
      <c r="W28" s="91"/>
      <c r="X28" s="266"/>
      <c r="Y28" s="91"/>
      <c r="Z28" s="343"/>
      <c r="AA28" s="91"/>
      <c r="AB28" s="266"/>
      <c r="AC28" s="346"/>
      <c r="AD28" s="346"/>
      <c r="AE28" s="347"/>
      <c r="AF28" s="266"/>
      <c r="AG28" s="266"/>
      <c r="AH28" s="272" t="n">
        <f aca="false">COUNTIF($C28:$AF28,AH$4)</f>
        <v>0</v>
      </c>
      <c r="AI28" s="272" t="n">
        <f aca="false">COUNTIF($C28:$AF28,AI$4)</f>
        <v>0</v>
      </c>
      <c r="AJ28" s="272" t="n">
        <f aca="false">COUNTIF($C28:$AF28,AJ$4)</f>
        <v>0</v>
      </c>
      <c r="AK28" s="272" t="n">
        <f aca="false">COUNTIF($C28:$AF28,AK$4)</f>
        <v>0</v>
      </c>
      <c r="AL28" s="272" t="n">
        <f aca="false">COUNTIF($C28:$AF28,AL$4)</f>
        <v>0</v>
      </c>
      <c r="AM28" s="272" t="n">
        <f aca="false">COUNTIF($C28:$AF28,AM$4)</f>
        <v>0</v>
      </c>
      <c r="AN28" s="272" t="n">
        <f aca="false">COUNTIF($C28:$AF28,AN$4)</f>
        <v>0</v>
      </c>
      <c r="AO28" s="272" t="n">
        <f aca="false">COUNTIF($C28:$AF28,AO$4)</f>
        <v>0</v>
      </c>
      <c r="AP28" s="272" t="n">
        <f aca="false">COUNTIF($C28:$AF28,AP$4)</f>
        <v>0</v>
      </c>
      <c r="AQ28" s="279"/>
      <c r="AR28" s="279"/>
      <c r="AS28" s="278" t="n">
        <f aca="false">SUMPRODUCT(--(WEEKDAY(C$3:AG$3,2)&lt;5),--ISNUMBER(MATCH(C28:AG28,{"DM","CS1","CS2","SB1","AE","CS/B"},0)))</f>
        <v>0</v>
      </c>
      <c r="AT28" s="272"/>
      <c r="AU28" s="278" t="n">
        <f aca="false">SUMPRODUCT(--(WEEKDAY(C$3:AG$3,2)=5),--ISNUMBER(MATCH(C28:AG28,{"DM","CS1","CS2","SB1","AE","CS/B","WEEKEND OUTFIELD RESERVE"},0)))</f>
        <v>0</v>
      </c>
      <c r="AV28" s="278" t="n">
        <f aca="false">SUMPRODUCT(--(WEEKDAY(C$3:AG$3,2)&gt;5),--ISNUMBER(MATCH(C28:AG28,{"DM","CS1","CS2","SB1","AE","CS/B","WEEKEND OUTFIELD RESERVE"},0)))</f>
        <v>0</v>
      </c>
      <c r="AW28" s="272"/>
      <c r="AX28" s="278" t="n">
        <f aca="false">(AS28-AT28)+AU28*1.5+(AV28-AW28)*2+AM28*0.5+AO28*0.5+AQ28-AR28</f>
        <v>0</v>
      </c>
      <c r="AY28" s="278" t="n">
        <f aca="false">AS28+AU28+AV28</f>
        <v>0</v>
      </c>
      <c r="AZ28" s="278" t="n">
        <f aca="false">BC28+BE28+BG28+BI28+BK28</f>
        <v>0</v>
      </c>
      <c r="BA28" s="279" t="n">
        <f aca="false">AX28+BB28</f>
        <v>0</v>
      </c>
      <c r="BB28" s="278" t="n">
        <f aca="false">BD28+BF28+BH28+BJ28+BL28</f>
        <v>0</v>
      </c>
      <c r="BC28" s="278" t="n">
        <f aca="false">COUNTIF(A28:AH28,"*$BTP*")</f>
        <v>0</v>
      </c>
      <c r="BD28" s="278" t="n">
        <f aca="false">BC28*1.5</f>
        <v>0</v>
      </c>
      <c r="BE28" s="278" t="n">
        <f aca="false">COUNTIF(A28:AH28,"*$M*")</f>
        <v>0</v>
      </c>
      <c r="BF28" s="278" t="n">
        <f aca="false">BE28*1</f>
        <v>0</v>
      </c>
      <c r="BG28" s="278" t="n">
        <f aca="false">COUNTIF(A28:AH28,"*$PM*")</f>
        <v>0</v>
      </c>
      <c r="BH28" s="278" t="n">
        <f aca="false">BG28*0.5</f>
        <v>0</v>
      </c>
      <c r="BI28" s="278" t="n">
        <f aca="false">COUNTIF(A28:AH28,"*$AM*")</f>
        <v>0</v>
      </c>
      <c r="BJ28" s="278" t="n">
        <f aca="false">BI28*0.5</f>
        <v>0</v>
      </c>
      <c r="BK28" s="278" t="n">
        <f aca="false">COUNTIF(A28:AH28,"*$FC*")</f>
        <v>0</v>
      </c>
      <c r="BL28" s="278" t="n">
        <f aca="false">BK28*1</f>
        <v>0</v>
      </c>
      <c r="BM28" s="278" t="n">
        <f aca="false">COUNTIF($D28:$Z28,BM$4)</f>
        <v>0</v>
      </c>
      <c r="BN28" s="278" t="n">
        <f aca="false">COUNTIF($D28:$Z28,BN$4)</f>
        <v>0</v>
      </c>
      <c r="BO28" s="278" t="n">
        <f aca="false">COUNTIF($D28:$Z28,BO$4)</f>
        <v>0</v>
      </c>
      <c r="BP28" s="272"/>
    </row>
    <row r="29" customFormat="false" ht="48.75" hidden="false" customHeight="true" outlineLevel="0" collapsed="false">
      <c r="A29" s="272"/>
      <c r="B29" s="279" t="s">
        <v>610</v>
      </c>
      <c r="C29" s="266"/>
      <c r="D29" s="266"/>
      <c r="E29" s="266"/>
      <c r="F29" s="266"/>
      <c r="G29" s="266"/>
      <c r="H29" s="266"/>
      <c r="I29" s="91"/>
      <c r="J29" s="266"/>
      <c r="K29" s="266"/>
      <c r="L29" s="266"/>
      <c r="M29" s="266"/>
      <c r="O29" s="266"/>
      <c r="P29" s="91"/>
      <c r="Q29" s="91"/>
      <c r="R29" s="266"/>
      <c r="S29" s="266"/>
      <c r="T29" s="91"/>
      <c r="U29" s="91"/>
      <c r="V29" s="266"/>
      <c r="W29" s="266"/>
      <c r="X29" s="266"/>
      <c r="Y29" s="91"/>
      <c r="Z29" s="266"/>
      <c r="AA29" s="266"/>
      <c r="AB29" s="266"/>
      <c r="AC29" s="255"/>
      <c r="AD29" s="300"/>
      <c r="AE29" s="325"/>
      <c r="AF29" s="266"/>
      <c r="AG29" s="266"/>
      <c r="AH29" s="272" t="n">
        <f aca="false">COUNTIF($C29:$AF29,AH$4)</f>
        <v>0</v>
      </c>
      <c r="AI29" s="272" t="n">
        <f aca="false">COUNTIF($C29:$AF29,AI$4)</f>
        <v>0</v>
      </c>
      <c r="AJ29" s="272" t="n">
        <f aca="false">COUNTIF($C29:$AF29,AJ$4)</f>
        <v>0</v>
      </c>
      <c r="AK29" s="272" t="n">
        <f aca="false">COUNTIF($C29:$AF29,AK$4)</f>
        <v>0</v>
      </c>
      <c r="AL29" s="272" t="n">
        <f aca="false">COUNTIF($C29:$AF29,AL$4)</f>
        <v>0</v>
      </c>
      <c r="AM29" s="272" t="n">
        <f aca="false">COUNTIF($C29:$AF29,AM$4)</f>
        <v>0</v>
      </c>
      <c r="AN29" s="272" t="n">
        <f aca="false">COUNTIF($C29:$AF29,AN$4)</f>
        <v>0</v>
      </c>
      <c r="AO29" s="272" t="n">
        <f aca="false">COUNTIF($C29:$AF29,AO$4)</f>
        <v>0</v>
      </c>
      <c r="AP29" s="272" t="n">
        <f aca="false">COUNTIF($C29:$AF29,AP$4)</f>
        <v>0</v>
      </c>
      <c r="AQ29" s="279"/>
      <c r="AR29" s="279"/>
      <c r="AS29" s="278" t="n">
        <f aca="false">SUMPRODUCT(--(WEEKDAY(C$3:AG$3,2)&lt;5),--ISNUMBER(MATCH(C29:AG29,{"DM","CS1","CS2","SB1","AE","CS/B"},0)))</f>
        <v>0</v>
      </c>
      <c r="AT29" s="278"/>
      <c r="AU29" s="278" t="n">
        <f aca="false">SUMPRODUCT(--(WEEKDAY(C$3:AG$3,2)=5),--ISNUMBER(MATCH(C29:AG29,{"DM","CS1","CS2","SB1","AE","CS/B","WEEKEND OUTFIELD RESERVE"},0)))</f>
        <v>0</v>
      </c>
      <c r="AV29" s="278" t="n">
        <f aca="false">SUMPRODUCT(--(WEEKDAY(C$3:AG$3,2)&gt;5),--ISNUMBER(MATCH(C29:AG29,{"DM","CS1","CS2","SB1","AE","CS/B","WEEKEND OUTFIELD RESERVE"},0)))</f>
        <v>0</v>
      </c>
      <c r="AW29" s="278"/>
      <c r="AX29" s="278" t="n">
        <f aca="false">(AS29-AT29)+AU29*1.5+(AV29-AW29)*2+AM29*0.5+AO29*0.5+AQ29-AR29</f>
        <v>0</v>
      </c>
      <c r="AY29" s="278" t="n">
        <f aca="false">AS29+AU29+AV29</f>
        <v>0</v>
      </c>
      <c r="AZ29" s="278" t="n">
        <f aca="false">BC29+BE29+BG29+BI29+BK29</f>
        <v>0</v>
      </c>
      <c r="BA29" s="279" t="n">
        <f aca="false">AX29+BB29</f>
        <v>0</v>
      </c>
      <c r="BB29" s="278" t="n">
        <f aca="false">BD29+BF29+BH29+BJ29+BL29</f>
        <v>0</v>
      </c>
      <c r="BC29" s="278" t="n">
        <f aca="false">COUNTIF(A29:AH29,"*$BTP*")</f>
        <v>0</v>
      </c>
      <c r="BD29" s="278" t="n">
        <f aca="false">BC29*1.5</f>
        <v>0</v>
      </c>
      <c r="BE29" s="278" t="n">
        <f aca="false">COUNTIF(A29:AH29,"*$M*")</f>
        <v>0</v>
      </c>
      <c r="BF29" s="278" t="n">
        <f aca="false">BE29*1</f>
        <v>0</v>
      </c>
      <c r="BG29" s="278" t="n">
        <f aca="false">COUNTIF(A29:AH29,"*$PM*")</f>
        <v>0</v>
      </c>
      <c r="BH29" s="278" t="n">
        <f aca="false">BG29*0.5</f>
        <v>0</v>
      </c>
      <c r="BI29" s="278" t="n">
        <f aca="false">COUNTIF(A29:AH29,"*$AM*")</f>
        <v>0</v>
      </c>
      <c r="BJ29" s="278" t="n">
        <f aca="false">BI29*0.5</f>
        <v>0</v>
      </c>
      <c r="BK29" s="278" t="n">
        <f aca="false">COUNTIF(A29:AH29,"*$FC*")</f>
        <v>0</v>
      </c>
      <c r="BL29" s="278" t="n">
        <f aca="false">BK29*1</f>
        <v>0</v>
      </c>
      <c r="BM29" s="278" t="n">
        <f aca="false">COUNTIF($D29:$AA29,BM$4)</f>
        <v>0</v>
      </c>
      <c r="BN29" s="278" t="n">
        <f aca="false">COUNTIF($D29:$AA29,BN$4)</f>
        <v>0</v>
      </c>
      <c r="BO29" s="278" t="n">
        <f aca="false">COUNTIF($D29:$AA29,BO$4)</f>
        <v>0</v>
      </c>
      <c r="BP29" s="278"/>
    </row>
    <row r="30" customFormat="false" ht="19.5" hidden="false" customHeight="true" outlineLevel="0" collapsed="false">
      <c r="A30" s="272"/>
      <c r="B30" s="279" t="s">
        <v>633</v>
      </c>
      <c r="C30" s="266"/>
      <c r="D30" s="266"/>
      <c r="E30" s="91"/>
      <c r="F30" s="266"/>
      <c r="G30" s="266"/>
      <c r="H30" s="266"/>
      <c r="I30" s="266"/>
      <c r="J30" s="266"/>
      <c r="K30" s="266"/>
      <c r="L30" s="266"/>
      <c r="M30" s="266"/>
      <c r="N30" s="266"/>
      <c r="O30" s="266"/>
      <c r="P30" s="266"/>
      <c r="Q30" s="266"/>
      <c r="R30" s="91"/>
      <c r="S30" s="266"/>
      <c r="T30" s="266"/>
      <c r="U30" s="266"/>
      <c r="V30" s="266"/>
      <c r="W30" s="91"/>
      <c r="X30" s="91"/>
      <c r="Y30" s="91"/>
      <c r="Z30" s="266"/>
      <c r="AA30" s="266"/>
      <c r="AB30" s="266"/>
      <c r="AC30" s="188"/>
      <c r="AD30" s="188"/>
      <c r="AE30" s="326"/>
      <c r="AF30" s="266"/>
      <c r="AG30" s="266"/>
      <c r="AH30" s="272" t="n">
        <f aca="false">COUNTIF($C30:$AF30,AH$4)</f>
        <v>0</v>
      </c>
      <c r="AI30" s="272" t="n">
        <f aca="false">COUNTIF($C30:$AF30,AI$4)</f>
        <v>0</v>
      </c>
      <c r="AJ30" s="272" t="n">
        <f aca="false">COUNTIF($C30:$AF30,AJ$4)</f>
        <v>0</v>
      </c>
      <c r="AK30" s="272" t="n">
        <f aca="false">COUNTIF($C30:$AF30,AK$4)</f>
        <v>0</v>
      </c>
      <c r="AL30" s="272" t="n">
        <f aca="false">COUNTIF($C30:$AF30,AL$4)</f>
        <v>0</v>
      </c>
      <c r="AM30" s="272" t="n">
        <f aca="false">COUNTIF($C30:$AF30,AM$4)</f>
        <v>0</v>
      </c>
      <c r="AN30" s="272" t="n">
        <f aca="false">COUNTIF($C30:$AF30,AN$4)</f>
        <v>0</v>
      </c>
      <c r="AO30" s="272" t="n">
        <f aca="false">COUNTIF($C30:$AF30,AO$4)</f>
        <v>0</v>
      </c>
      <c r="AP30" s="272" t="n">
        <f aca="false">COUNTIF($C30:$AF30,AP$4)</f>
        <v>0</v>
      </c>
      <c r="AQ30" s="279"/>
      <c r="AR30" s="279"/>
      <c r="AS30" s="278" t="n">
        <f aca="false">SUMPRODUCT(--(WEEKDAY(C$3:AG$3,2)&lt;5),--ISNUMBER(MATCH(C30:AG30,{"DM","CS1","CS2","SB1","AE","CS/B"},0)))</f>
        <v>0</v>
      </c>
      <c r="AT30" s="272"/>
      <c r="AU30" s="278" t="n">
        <f aca="false">SUMPRODUCT(--(WEEKDAY(C$3:AG$3,2)=5),--ISNUMBER(MATCH(C30:AG30,{"DM","CS1","CS2","SB1","AE","CS/B","WEEKEND OUTFIELD RESERVE"},0)))</f>
        <v>0</v>
      </c>
      <c r="AV30" s="278" t="n">
        <f aca="false">SUMPRODUCT(--(WEEKDAY(C$3:AG$3,2)&gt;5),--ISNUMBER(MATCH(C30:AG30,{"DM","CS1","CS2","SB1","AE","CS/B","WEEKEND OUTFIELD RESERVE"},0)))</f>
        <v>0</v>
      </c>
      <c r="AW30" s="272"/>
      <c r="AX30" s="278" t="n">
        <f aca="false">(AS30-AT30)+AU30*1.5+(AV30-AW30)*2+AM30*0.5+AO30*0.5+AQ30-AR30</f>
        <v>0</v>
      </c>
      <c r="AY30" s="278" t="n">
        <f aca="false">AS30+AU30+AV30</f>
        <v>0</v>
      </c>
      <c r="AZ30" s="278" t="n">
        <f aca="false">BC30+BE30+BG30+BI30+BK30</f>
        <v>0</v>
      </c>
      <c r="BA30" s="279" t="n">
        <f aca="false">AX30+BB30</f>
        <v>0</v>
      </c>
      <c r="BB30" s="278" t="n">
        <f aca="false">BD30+BF30+BH30+BJ30+BL30</f>
        <v>0</v>
      </c>
      <c r="BC30" s="278" t="n">
        <f aca="false">COUNTIF(A30:AH30,"*$BTP*")</f>
        <v>0</v>
      </c>
      <c r="BD30" s="278" t="n">
        <f aca="false">BC30*1.5</f>
        <v>0</v>
      </c>
      <c r="BE30" s="278" t="n">
        <f aca="false">COUNTIF(A30:AH30,"*$M*")</f>
        <v>0</v>
      </c>
      <c r="BF30" s="278" t="n">
        <f aca="false">BE30*1</f>
        <v>0</v>
      </c>
      <c r="BG30" s="278" t="n">
        <f aca="false">COUNTIF(A30:AH30,"*$PM*")</f>
        <v>0</v>
      </c>
      <c r="BH30" s="278" t="n">
        <f aca="false">BG30*0.5</f>
        <v>0</v>
      </c>
      <c r="BI30" s="278" t="n">
        <f aca="false">COUNTIF(A30:AH30,"*$AM*")</f>
        <v>0</v>
      </c>
      <c r="BJ30" s="278" t="n">
        <f aca="false">BI30*0.5</f>
        <v>0</v>
      </c>
      <c r="BK30" s="278" t="n">
        <f aca="false">COUNTIF(A30:AH30,"*$FC*")</f>
        <v>0</v>
      </c>
      <c r="BL30" s="278" t="n">
        <f aca="false">BK30*1</f>
        <v>0</v>
      </c>
      <c r="BM30" s="278" t="n">
        <f aca="false">COUNTIF($D30:$Z30,BM$4)</f>
        <v>0</v>
      </c>
      <c r="BN30" s="278" t="n">
        <f aca="false">COUNTIF($D30:$Z30,BN$4)</f>
        <v>0</v>
      </c>
      <c r="BO30" s="278" t="n">
        <f aca="false">COUNTIF($D30:$Z30,BO$4)</f>
        <v>0</v>
      </c>
      <c r="BP30" s="272"/>
    </row>
    <row r="31" customFormat="false" ht="19.5" hidden="false" customHeight="true" outlineLevel="0" collapsed="false">
      <c r="A31" s="272"/>
      <c r="B31" s="279" t="s">
        <v>637</v>
      </c>
      <c r="D31" s="91"/>
      <c r="E31" s="266"/>
      <c r="F31" s="266"/>
      <c r="G31" s="266"/>
      <c r="H31" s="266"/>
      <c r="I31" s="266"/>
      <c r="J31" s="266"/>
      <c r="K31" s="266"/>
      <c r="L31" s="91"/>
      <c r="M31" s="91"/>
      <c r="N31" s="266"/>
      <c r="O31" s="266"/>
      <c r="P31" s="266"/>
      <c r="Q31" s="266"/>
      <c r="R31" s="91"/>
      <c r="S31" s="91"/>
      <c r="T31" s="91"/>
      <c r="U31" s="266"/>
      <c r="V31" s="91"/>
      <c r="W31" s="91"/>
      <c r="Y31" s="266"/>
      <c r="Z31" s="91"/>
      <c r="AA31" s="266"/>
      <c r="AB31" s="266"/>
      <c r="AC31" s="300"/>
      <c r="AD31" s="300"/>
      <c r="AE31" s="325"/>
      <c r="AF31" s="266"/>
      <c r="AG31" s="266"/>
      <c r="AH31" s="272" t="n">
        <f aca="false">COUNTIF($C31:$AF31,AH$4)</f>
        <v>0</v>
      </c>
      <c r="AI31" s="272" t="n">
        <f aca="false">COUNTIF($C31:$AF31,AI$4)</f>
        <v>0</v>
      </c>
      <c r="AJ31" s="272" t="n">
        <f aca="false">COUNTIF($C31:$AF31,AJ$4)</f>
        <v>0</v>
      </c>
      <c r="AK31" s="272" t="n">
        <f aca="false">COUNTIF($C31:$AF31,AK$4)</f>
        <v>0</v>
      </c>
      <c r="AL31" s="272" t="n">
        <f aca="false">COUNTIF($C31:$AF31,AL$4)</f>
        <v>0</v>
      </c>
      <c r="AM31" s="272" t="n">
        <f aca="false">COUNTIF($C31:$AF31,AM$4)</f>
        <v>0</v>
      </c>
      <c r="AN31" s="272" t="n">
        <f aca="false">COUNTIF($C31:$AF31,AN$4)</f>
        <v>0</v>
      </c>
      <c r="AO31" s="272" t="n">
        <f aca="false">COUNTIF($C31:$AF31,AO$4)</f>
        <v>0</v>
      </c>
      <c r="AP31" s="272" t="n">
        <f aca="false">COUNTIF($C31:$AF31,AP$4)</f>
        <v>0</v>
      </c>
      <c r="AQ31" s="279"/>
      <c r="AR31" s="279"/>
      <c r="AS31" s="278" t="n">
        <f aca="false">SUMPRODUCT(--(WEEKDAY(C$3:AG$3,2)&lt;5),--ISNUMBER(MATCH(C31:AG31,{"DM","CS1","CS2","SB1","AE","CS/B"},0)))</f>
        <v>0</v>
      </c>
      <c r="AT31" s="272"/>
      <c r="AU31" s="278" t="n">
        <f aca="false">SUMPRODUCT(--(WEEKDAY(C$3:AG$3,2)=5),--ISNUMBER(MATCH(C31:AG31,{"DM","CS1","CS2","SB1","AE","CS/B","WEEKEND OUTFIELD RESERVE"},0)))</f>
        <v>0</v>
      </c>
      <c r="AV31" s="278" t="n">
        <f aca="false">SUMPRODUCT(--(WEEKDAY(C$3:AG$3,2)&gt;5),--ISNUMBER(MATCH(C31:AG31,{"DM","CS1","CS2","SB1","AE","CS/B","WEEKEND OUTFIELD RESERVE"},0)))</f>
        <v>0</v>
      </c>
      <c r="AW31" s="272"/>
      <c r="AX31" s="278" t="n">
        <f aca="false">(AS31-AT31)+AU31*1.5+(AV31-AW31)*2+AM31*0.5+AO31*0.5+AQ31-AR31</f>
        <v>0</v>
      </c>
      <c r="AY31" s="278" t="n">
        <f aca="false">AS31+AU31+AV31</f>
        <v>0</v>
      </c>
      <c r="AZ31" s="278" t="n">
        <f aca="false">BC31+BE31+BG31+BI31+BK31</f>
        <v>0</v>
      </c>
      <c r="BA31" s="279" t="n">
        <f aca="false">AX31+BB31</f>
        <v>0</v>
      </c>
      <c r="BB31" s="278" t="n">
        <f aca="false">BD31+BF31+BH31+BJ31+BL31</f>
        <v>0</v>
      </c>
      <c r="BC31" s="278" t="n">
        <f aca="false">COUNTIF(A31:AH31,"*$BTP*")</f>
        <v>0</v>
      </c>
      <c r="BD31" s="278" t="n">
        <f aca="false">BC31*1.5</f>
        <v>0</v>
      </c>
      <c r="BE31" s="278" t="n">
        <f aca="false">COUNTIF(A31:AH31,"*$M*")</f>
        <v>0</v>
      </c>
      <c r="BF31" s="278" t="n">
        <f aca="false">BE31*1</f>
        <v>0</v>
      </c>
      <c r="BG31" s="278" t="n">
        <f aca="false">COUNTIF(A31:AH31,"*$PM*")</f>
        <v>0</v>
      </c>
      <c r="BH31" s="278" t="n">
        <f aca="false">BG31*0.5</f>
        <v>0</v>
      </c>
      <c r="BI31" s="278" t="n">
        <f aca="false">COUNTIF(A31:AH31,"*$AM*")</f>
        <v>0</v>
      </c>
      <c r="BJ31" s="278" t="n">
        <f aca="false">BI31*0.5</f>
        <v>0</v>
      </c>
      <c r="BK31" s="278" t="n">
        <f aca="false">COUNTIF(A31:AH31,"*$FC*")</f>
        <v>0</v>
      </c>
      <c r="BL31" s="278" t="n">
        <f aca="false">BK31*1</f>
        <v>0</v>
      </c>
      <c r="BM31" s="278" t="n">
        <f aca="false">COUNTIF($H31:$AA31,BM$4)</f>
        <v>0</v>
      </c>
      <c r="BN31" s="278" t="n">
        <f aca="false">COUNTIF($H31:$AA31,BN$4)</f>
        <v>0</v>
      </c>
      <c r="BO31" s="278" t="n">
        <f aca="false">COUNTIF($H31:$AA31,BO$4)</f>
        <v>0</v>
      </c>
      <c r="BP31" s="272"/>
    </row>
    <row r="32" customFormat="false" ht="51.75" hidden="false" customHeight="true" outlineLevel="0" collapsed="false">
      <c r="A32" s="272"/>
      <c r="B32" s="279" t="s">
        <v>639</v>
      </c>
      <c r="C32" s="266"/>
      <c r="D32" s="266"/>
      <c r="E32" s="266"/>
      <c r="F32" s="91"/>
      <c r="G32" s="266"/>
      <c r="H32" s="266"/>
      <c r="I32" s="266"/>
      <c r="J32" s="266"/>
      <c r="K32" s="266"/>
      <c r="L32" s="266"/>
      <c r="M32" s="266"/>
      <c r="N32" s="266"/>
      <c r="O32" s="266"/>
      <c r="P32" s="266"/>
      <c r="Q32" s="91"/>
      <c r="R32" s="266"/>
      <c r="S32" s="266"/>
      <c r="T32" s="266"/>
      <c r="U32" s="91"/>
      <c r="V32" s="91"/>
      <c r="W32" s="91"/>
      <c r="X32" s="91"/>
      <c r="Y32" s="266"/>
      <c r="Z32" s="266"/>
      <c r="AA32" s="266"/>
      <c r="AB32" s="266"/>
      <c r="AC32" s="341"/>
      <c r="AD32" s="341"/>
      <c r="AE32" s="330"/>
      <c r="AF32" s="266"/>
      <c r="AG32" s="91"/>
      <c r="AH32" s="272" t="n">
        <f aca="false">COUNTIF($C32:$AF32,AH$4)</f>
        <v>0</v>
      </c>
      <c r="AI32" s="272" t="n">
        <f aca="false">COUNTIF($C32:$AF32,AI$4)</f>
        <v>0</v>
      </c>
      <c r="AJ32" s="272" t="n">
        <f aca="false">COUNTIF($C32:$AF32,AJ$4)</f>
        <v>0</v>
      </c>
      <c r="AK32" s="272" t="n">
        <f aca="false">COUNTIF($C32:$AF32,AK$4)</f>
        <v>0</v>
      </c>
      <c r="AL32" s="272" t="n">
        <f aca="false">COUNTIF($C32:$AF32,AL$4)</f>
        <v>0</v>
      </c>
      <c r="AM32" s="272" t="n">
        <f aca="false">COUNTIF($C32:$AF32,AM$4)</f>
        <v>0</v>
      </c>
      <c r="AN32" s="272" t="n">
        <f aca="false">COUNTIF($C32:$AF32,AN$4)</f>
        <v>0</v>
      </c>
      <c r="AO32" s="272" t="n">
        <f aca="false">COUNTIF($C32:$AF32,AO$4)</f>
        <v>0</v>
      </c>
      <c r="AP32" s="272" t="n">
        <f aca="false">COUNTIF($C32:$AF32,AP$4)</f>
        <v>0</v>
      </c>
      <c r="AQ32" s="279"/>
      <c r="AR32" s="279"/>
      <c r="AS32" s="278" t="n">
        <f aca="false">SUMPRODUCT(--(WEEKDAY(C$3:AG$3,2)&lt;5),--ISNUMBER(MATCH(C32:AG32,{"DM","CS1","CS2","SB1","AE","CS/B"},0)))</f>
        <v>0</v>
      </c>
      <c r="AT32" s="272"/>
      <c r="AU32" s="278" t="n">
        <f aca="false">SUMPRODUCT(--(WEEKDAY(C$3:AG$3,2)=5),--ISNUMBER(MATCH(C32:AG32,{"DM","CS1","CS2","SB1","AE","CS/B","WEEKEND OUTFIELD RESERVE"},0)))</f>
        <v>0</v>
      </c>
      <c r="AV32" s="278" t="n">
        <f aca="false">SUMPRODUCT(--(WEEKDAY(C$3:AG$3,2)&gt;5),--ISNUMBER(MATCH(C32:AG32,{"DM","CS1","CS2","SB1","AE","CS/B","WEEKEND OUTFIELD RESERVE"},0)))</f>
        <v>0</v>
      </c>
      <c r="AW32" s="272"/>
      <c r="AX32" s="278" t="n">
        <f aca="false">(AS32-AT32)+AU32*1.5+(AV32-AW32)*2+AM32*0.5+AO32*0.5+AQ32-AR32</f>
        <v>0</v>
      </c>
      <c r="AY32" s="278" t="n">
        <f aca="false">AS32+AU32+AV32</f>
        <v>0</v>
      </c>
      <c r="AZ32" s="278" t="n">
        <f aca="false">BC32+BE32+BG32+BI32+BK32</f>
        <v>0</v>
      </c>
      <c r="BA32" s="279" t="n">
        <f aca="false">AX32+BB32</f>
        <v>0</v>
      </c>
      <c r="BB32" s="278" t="n">
        <f aca="false">BD32+BF32+BH32+BJ32+BL32</f>
        <v>0</v>
      </c>
      <c r="BC32" s="278" t="n">
        <f aca="false">COUNTIF(A32:AH32,"*$BTP*")</f>
        <v>0</v>
      </c>
      <c r="BD32" s="278" t="n">
        <f aca="false">BC32*1.5</f>
        <v>0</v>
      </c>
      <c r="BE32" s="278" t="n">
        <f aca="false">COUNTIF(A32:AH32,"*$M*")</f>
        <v>0</v>
      </c>
      <c r="BF32" s="278" t="n">
        <f aca="false">BE32*1</f>
        <v>0</v>
      </c>
      <c r="BG32" s="278" t="n">
        <f aca="false">COUNTIF(A32:AH32,"*$PM*")</f>
        <v>0</v>
      </c>
      <c r="BH32" s="278" t="n">
        <f aca="false">BG32*0.5</f>
        <v>0</v>
      </c>
      <c r="BI32" s="278" t="n">
        <f aca="false">COUNTIF(A32:AH32,"*$AM*")</f>
        <v>0</v>
      </c>
      <c r="BJ32" s="278" t="n">
        <f aca="false">BI32*0.5</f>
        <v>0</v>
      </c>
      <c r="BK32" s="278" t="n">
        <f aca="false">COUNTIF(A32:AH32,"*$FC*")</f>
        <v>0</v>
      </c>
      <c r="BL32" s="278" t="n">
        <f aca="false">BK32*1</f>
        <v>0</v>
      </c>
      <c r="BM32" s="278" t="n">
        <f aca="false">COUNTIF($D32:$Z32,BM$4)</f>
        <v>0</v>
      </c>
      <c r="BN32" s="278" t="n">
        <f aca="false">COUNTIF($D32:$Z32,BN$4)</f>
        <v>0</v>
      </c>
      <c r="BO32" s="278" t="n">
        <f aca="false">COUNTIF($D32:$Z32,BO$4)</f>
        <v>0</v>
      </c>
      <c r="BP32" s="272"/>
    </row>
    <row r="33" customFormat="false" ht="19.5" hidden="false" customHeight="true" outlineLevel="0" collapsed="false">
      <c r="A33" s="272"/>
      <c r="B33" s="279" t="s">
        <v>736</v>
      </c>
      <c r="C33" s="266"/>
      <c r="D33" s="91"/>
      <c r="E33" s="266"/>
      <c r="F33" s="266"/>
      <c r="G33" s="266"/>
      <c r="H33" s="266"/>
      <c r="I33" s="266"/>
      <c r="J33" s="266"/>
      <c r="K33" s="266"/>
      <c r="L33" s="266"/>
      <c r="M33" s="266"/>
      <c r="N33" s="91"/>
      <c r="O33" s="266"/>
      <c r="P33" s="91"/>
      <c r="Q33" s="266"/>
      <c r="R33" s="266"/>
      <c r="S33" s="266"/>
      <c r="T33" s="266"/>
      <c r="U33" s="266"/>
      <c r="V33" s="91"/>
      <c r="W33" s="266"/>
      <c r="X33" s="91"/>
      <c r="Y33" s="266"/>
      <c r="Z33" s="266"/>
      <c r="AA33" s="266"/>
      <c r="AB33" s="266"/>
      <c r="AC33" s="300"/>
      <c r="AD33" s="344"/>
      <c r="AE33" s="331"/>
      <c r="AF33" s="266"/>
      <c r="AG33" s="266"/>
      <c r="AH33" s="272" t="n">
        <f aca="false">COUNTIF($C33:$AF33,AH$4)</f>
        <v>0</v>
      </c>
      <c r="AI33" s="272" t="n">
        <f aca="false">COUNTIF($C33:$AF33,AI$4)</f>
        <v>0</v>
      </c>
      <c r="AJ33" s="272" t="n">
        <f aca="false">COUNTIF($C33:$AF33,AJ$4)</f>
        <v>0</v>
      </c>
      <c r="AK33" s="272" t="n">
        <f aca="false">COUNTIF($C33:$AF33,AK$4)</f>
        <v>0</v>
      </c>
      <c r="AL33" s="272" t="n">
        <f aca="false">COUNTIF($C33:$AF33,AL$4)</f>
        <v>0</v>
      </c>
      <c r="AM33" s="272" t="n">
        <f aca="false">COUNTIF($C33:$AF33,AM$4)</f>
        <v>0</v>
      </c>
      <c r="AN33" s="272" t="n">
        <f aca="false">COUNTIF($C33:$AF33,AN$4)</f>
        <v>0</v>
      </c>
      <c r="AO33" s="272" t="n">
        <f aca="false">COUNTIF($C33:$AF33,AO$4)</f>
        <v>0</v>
      </c>
      <c r="AP33" s="272" t="n">
        <f aca="false">COUNTIF($C33:$AF33,AP$4)</f>
        <v>0</v>
      </c>
      <c r="AQ33" s="279"/>
      <c r="AR33" s="279"/>
      <c r="AS33" s="278" t="n">
        <f aca="false">SUMPRODUCT(--(WEEKDAY(C$3:AG$3,2)&lt;5),--ISNUMBER(MATCH(C33:AG33,{"DM","CS1","CS2","SB1","AE","CS/B"},0)))</f>
        <v>0</v>
      </c>
      <c r="AT33" s="272"/>
      <c r="AU33" s="278" t="n">
        <f aca="false">SUMPRODUCT(--(WEEKDAY(C$3:AG$3,2)=5),--ISNUMBER(MATCH(C33:AG33,{"DM","CS1","CS2","SB1","AE","CS/B","WEEKEND OUTFIELD RESERVE"},0)))</f>
        <v>0</v>
      </c>
      <c r="AV33" s="278" t="n">
        <f aca="false">SUMPRODUCT(--(WEEKDAY(C$3:AG$3,2)&gt;5),--ISNUMBER(MATCH(C33:AG33,{"DM","CS1","CS2","SB1","AE","CS/B","WEEKEND OUTFIELD RESERVE"},0)))</f>
        <v>0</v>
      </c>
      <c r="AW33" s="272"/>
      <c r="AX33" s="278" t="n">
        <f aca="false">(AS33-AT33)+AU33*1.5+(AV33-AW33)*2+AM33*0.5+AO33*0.5+AQ33-AR33</f>
        <v>0</v>
      </c>
      <c r="AY33" s="278" t="n">
        <f aca="false">AS33+AU33+AV33</f>
        <v>0</v>
      </c>
      <c r="AZ33" s="278" t="n">
        <f aca="false">BC33+BE33+BG33+BI33+BK33</f>
        <v>0</v>
      </c>
      <c r="BA33" s="279" t="n">
        <f aca="false">AX33+BB33</f>
        <v>0</v>
      </c>
      <c r="BB33" s="278" t="n">
        <f aca="false">BD33+BF33+BH33+BJ33+BL33</f>
        <v>0</v>
      </c>
      <c r="BC33" s="278" t="n">
        <f aca="false">COUNTIF(A33:AH33,"*$BTP*")</f>
        <v>0</v>
      </c>
      <c r="BD33" s="278" t="n">
        <f aca="false">BC33*1.5</f>
        <v>0</v>
      </c>
      <c r="BE33" s="278" t="n">
        <f aca="false">COUNTIF(A33:AH33,"*$M*")</f>
        <v>0</v>
      </c>
      <c r="BF33" s="278" t="n">
        <f aca="false">BE33*1</f>
        <v>0</v>
      </c>
      <c r="BG33" s="278" t="n">
        <f aca="false">COUNTIF(A33:AH33,"*$PM*")</f>
        <v>0</v>
      </c>
      <c r="BH33" s="278" t="n">
        <f aca="false">BG33*0.5</f>
        <v>0</v>
      </c>
      <c r="BI33" s="278" t="n">
        <f aca="false">COUNTIF(A33:AH33,"*$AM*")</f>
        <v>0</v>
      </c>
      <c r="BJ33" s="278" t="n">
        <f aca="false">BI33*0.5</f>
        <v>0</v>
      </c>
      <c r="BK33" s="278" t="n">
        <f aca="false">COUNTIF(A33:AH33,"*$FC*")</f>
        <v>0</v>
      </c>
      <c r="BL33" s="278" t="n">
        <f aca="false">BK33*1</f>
        <v>0</v>
      </c>
      <c r="BM33" s="278" t="n">
        <f aca="false">COUNTIF($D33:$AA33,BM$4)</f>
        <v>0</v>
      </c>
      <c r="BN33" s="278" t="n">
        <f aca="false">COUNTIF($D33:$AA33,BN$4)</f>
        <v>0</v>
      </c>
      <c r="BO33" s="278" t="n">
        <f aca="false">COUNTIF($D33:$AA33,BO$4)</f>
        <v>0</v>
      </c>
      <c r="BP33" s="272"/>
    </row>
    <row r="34" customFormat="false" ht="19.5" hidden="false" customHeight="true" outlineLevel="0" collapsed="false">
      <c r="A34" s="272"/>
      <c r="B34" s="279" t="s">
        <v>739</v>
      </c>
      <c r="C34" s="91"/>
      <c r="D34" s="91"/>
      <c r="E34" s="266"/>
      <c r="F34" s="266"/>
      <c r="G34" s="266"/>
      <c r="H34" s="266"/>
      <c r="I34" s="91"/>
      <c r="J34" s="266"/>
      <c r="K34" s="266"/>
      <c r="L34" s="266"/>
      <c r="M34" s="91"/>
      <c r="N34" s="266"/>
      <c r="O34" s="91"/>
      <c r="P34" s="91"/>
      <c r="Q34" s="266"/>
      <c r="R34" s="266"/>
      <c r="S34" s="266"/>
      <c r="T34" s="266"/>
      <c r="U34" s="91"/>
      <c r="V34" s="91"/>
      <c r="W34" s="91"/>
      <c r="X34" s="266"/>
      <c r="Y34" s="266"/>
      <c r="Z34" s="266"/>
      <c r="AA34" s="91"/>
      <c r="AB34" s="91"/>
      <c r="AC34" s="341"/>
      <c r="AD34" s="188"/>
      <c r="AE34" s="326"/>
      <c r="AF34" s="266"/>
      <c r="AG34" s="266"/>
      <c r="AH34" s="272" t="n">
        <f aca="false">COUNTIF($C34:$AF34,AH$4)</f>
        <v>0</v>
      </c>
      <c r="AI34" s="272" t="n">
        <f aca="false">COUNTIF($C34:$AF34,AI$4)</f>
        <v>0</v>
      </c>
      <c r="AJ34" s="272" t="n">
        <f aca="false">COUNTIF($C34:$AF34,AJ$4)</f>
        <v>0</v>
      </c>
      <c r="AK34" s="272" t="n">
        <f aca="false">COUNTIF($C34:$AF34,AK$4)</f>
        <v>0</v>
      </c>
      <c r="AL34" s="272" t="n">
        <f aca="false">COUNTIF($C34:$AF34,AL$4)</f>
        <v>0</v>
      </c>
      <c r="AM34" s="272" t="n">
        <f aca="false">COUNTIF($C34:$AF34,AM$4)</f>
        <v>0</v>
      </c>
      <c r="AN34" s="272" t="n">
        <f aca="false">COUNTIF($C34:$AF34,AN$4)</f>
        <v>0</v>
      </c>
      <c r="AO34" s="272" t="n">
        <f aca="false">COUNTIF($C34:$AF34,AO$4)</f>
        <v>0</v>
      </c>
      <c r="AP34" s="272" t="n">
        <f aca="false">COUNTIF($C34:$AF34,AP$4)</f>
        <v>0</v>
      </c>
      <c r="AQ34" s="279"/>
      <c r="AR34" s="279"/>
      <c r="AS34" s="278" t="n">
        <f aca="false">SUMPRODUCT(--(WEEKDAY(C$3:AG$3,2)&lt;5),--ISNUMBER(MATCH(C34:AG34,{"DM","CS1","CS2","SB1","AE","CS/B"},0)))</f>
        <v>0</v>
      </c>
      <c r="AT34" s="272"/>
      <c r="AU34" s="278" t="n">
        <f aca="false">SUMPRODUCT(--(WEEKDAY(C$3:AG$3,2)=5),--ISNUMBER(MATCH(C34:AG34,{"DM","CS1","CS2","SB1","AE","CS/B","WEEKEND OUTFIELD RESERVE"},0)))</f>
        <v>0</v>
      </c>
      <c r="AV34" s="278" t="n">
        <f aca="false">SUMPRODUCT(--(WEEKDAY(C$3:AG$3,2)&gt;5),--ISNUMBER(MATCH(C34:AG34,{"DM","CS1","CS2","SB1","AE","CS/B","WEEKEND OUTFIELD RESERVE"},0)))</f>
        <v>0</v>
      </c>
      <c r="AW34" s="272"/>
      <c r="AX34" s="278" t="n">
        <f aca="false">(AS34-AT34)+AU34*1.5+(AV34-AW34)*2+AM34*0.5+AO34*0.5+AQ34-AR34</f>
        <v>0</v>
      </c>
      <c r="AY34" s="278" t="n">
        <f aca="false">AS34+AU34+AV34</f>
        <v>0</v>
      </c>
      <c r="AZ34" s="278" t="n">
        <f aca="false">BC34+BE34+BG34+BI34+BK34</f>
        <v>0</v>
      </c>
      <c r="BA34" s="279" t="n">
        <f aca="false">AX34+BB34</f>
        <v>0</v>
      </c>
      <c r="BB34" s="278" t="n">
        <f aca="false">BD34+BF34+BH34+BJ34+BL34</f>
        <v>0</v>
      </c>
      <c r="BC34" s="278" t="n">
        <f aca="false">COUNTIF(A34:AH34,"*$BTP*")</f>
        <v>0</v>
      </c>
      <c r="BD34" s="278" t="n">
        <f aca="false">BC34*1.5</f>
        <v>0</v>
      </c>
      <c r="BE34" s="278" t="n">
        <f aca="false">COUNTIF(A34:AH34,"*$M*")</f>
        <v>0</v>
      </c>
      <c r="BF34" s="278" t="n">
        <f aca="false">BE34*1</f>
        <v>0</v>
      </c>
      <c r="BG34" s="278" t="n">
        <f aca="false">COUNTIF(A34:AH34,"*$PM*")</f>
        <v>0</v>
      </c>
      <c r="BH34" s="278" t="n">
        <f aca="false">BG34*0.5</f>
        <v>0</v>
      </c>
      <c r="BI34" s="278" t="n">
        <f aca="false">COUNTIF(A34:AH34,"*$AM*")</f>
        <v>0</v>
      </c>
      <c r="BJ34" s="278" t="n">
        <f aca="false">BI34*0.5</f>
        <v>0</v>
      </c>
      <c r="BK34" s="278" t="n">
        <f aca="false">COUNTIF(A34:AH34,"*$FC*")</f>
        <v>0</v>
      </c>
      <c r="BL34" s="278" t="n">
        <f aca="false">BK34*1</f>
        <v>0</v>
      </c>
      <c r="BM34" s="278" t="n">
        <f aca="false">COUNTIF($D34:$Y34,BM$4)</f>
        <v>0</v>
      </c>
      <c r="BN34" s="278" t="n">
        <f aca="false">COUNTIF($D34:$Y34,BN$4)</f>
        <v>0</v>
      </c>
      <c r="BO34" s="278" t="n">
        <f aca="false">COUNTIF($D34:$Y34,BO$4)</f>
        <v>0</v>
      </c>
      <c r="BP34" s="272"/>
    </row>
    <row r="35" customFormat="false" ht="19.5" hidden="false" customHeight="true" outlineLevel="0" collapsed="false">
      <c r="A35" s="272"/>
      <c r="B35" s="279" t="s">
        <v>965</v>
      </c>
      <c r="C35" s="266"/>
      <c r="D35" s="91"/>
      <c r="E35" s="266"/>
      <c r="F35" s="266"/>
      <c r="G35" s="266"/>
      <c r="H35" s="91"/>
      <c r="I35" s="91"/>
      <c r="J35" s="266"/>
      <c r="K35" s="266"/>
      <c r="L35" s="266"/>
      <c r="M35" s="91"/>
      <c r="N35" s="266"/>
      <c r="P35" s="266"/>
      <c r="Q35" s="266"/>
      <c r="R35" s="266"/>
      <c r="S35" s="266"/>
      <c r="T35" s="266"/>
      <c r="U35" s="266"/>
      <c r="V35" s="266"/>
      <c r="W35" s="266"/>
      <c r="X35" s="91"/>
      <c r="Y35" s="266"/>
      <c r="Z35" s="91"/>
      <c r="AA35" s="91"/>
      <c r="AB35" s="266"/>
      <c r="AC35" s="300"/>
      <c r="AD35" s="348"/>
      <c r="AE35" s="331"/>
      <c r="AF35" s="266"/>
      <c r="AG35" s="266"/>
      <c r="AH35" s="272" t="n">
        <f aca="false">COUNTIF($C35:$AF35,AH$4)</f>
        <v>0</v>
      </c>
      <c r="AI35" s="272" t="n">
        <f aca="false">COUNTIF($C35:$AF35,AI$4)</f>
        <v>0</v>
      </c>
      <c r="AJ35" s="272" t="n">
        <f aca="false">COUNTIF($C35:$AF35,AJ$4)</f>
        <v>0</v>
      </c>
      <c r="AK35" s="272" t="n">
        <f aca="false">COUNTIF($C35:$AF35,AK$4)</f>
        <v>0</v>
      </c>
      <c r="AL35" s="272" t="n">
        <f aca="false">COUNTIF($C35:$AF35,AL$4)</f>
        <v>0</v>
      </c>
      <c r="AM35" s="272" t="n">
        <f aca="false">COUNTIF($C35:$AF35,AM$4)</f>
        <v>0</v>
      </c>
      <c r="AN35" s="272" t="n">
        <f aca="false">COUNTIF($C35:$AF35,AN$4)</f>
        <v>0</v>
      </c>
      <c r="AO35" s="272" t="n">
        <f aca="false">COUNTIF($C35:$AF35,AO$4)</f>
        <v>0</v>
      </c>
      <c r="AP35" s="272" t="n">
        <f aca="false">COUNTIF($C35:$AF35,AP$4)</f>
        <v>0</v>
      </c>
      <c r="AQ35" s="279"/>
      <c r="AR35" s="279"/>
      <c r="AS35" s="278" t="n">
        <f aca="false">SUMPRODUCT(--(WEEKDAY(C$3:AG$3,2)&lt;5),--ISNUMBER(MATCH(C35:AG35,{"DM","CS1","CS2","SB1","AE","CS/B"},0)))</f>
        <v>0</v>
      </c>
      <c r="AT35" s="272"/>
      <c r="AU35" s="278" t="n">
        <f aca="false">SUMPRODUCT(--(WEEKDAY(C$3:AG$3,2)=5),--ISNUMBER(MATCH(C35:AG35,{"DM","CS1","CS2","SB1","AE","CS/B","WEEKEND OUTFIELD RESERVE"},0)))</f>
        <v>0</v>
      </c>
      <c r="AV35" s="278" t="n">
        <f aca="false">SUMPRODUCT(--(WEEKDAY(C$3:AG$3,2)&gt;5),--ISNUMBER(MATCH(C35:AG35,{"DM","CS1","CS2","SB1","AE","CS/B","WEEKEND OUTFIELD RESERVE"},0)))</f>
        <v>0</v>
      </c>
      <c r="AW35" s="272"/>
      <c r="AX35" s="278" t="n">
        <f aca="false">(AS35-AT35)+AU35*1.5+(AV35-AW35)*2+AM35*0.5+AO35*0.5+AQ35-AR35</f>
        <v>0</v>
      </c>
      <c r="AY35" s="278" t="n">
        <f aca="false">AS35+AU35+AV35</f>
        <v>0</v>
      </c>
      <c r="AZ35" s="278" t="n">
        <f aca="false">BC35+BE35+BG35+BI35+BK35</f>
        <v>0</v>
      </c>
      <c r="BA35" s="279" t="n">
        <f aca="false">AX35+BB35</f>
        <v>0</v>
      </c>
      <c r="BB35" s="278" t="n">
        <f aca="false">BD35+BF35+BH35+BJ35+BL35</f>
        <v>0</v>
      </c>
      <c r="BC35" s="278" t="n">
        <f aca="false">COUNTIF(A35:AH35,"*$BTP*")</f>
        <v>0</v>
      </c>
      <c r="BD35" s="278" t="n">
        <f aca="false">BC35*1.5</f>
        <v>0</v>
      </c>
      <c r="BE35" s="278" t="n">
        <f aca="false">COUNTIF(A35:AH35,"*$M*")</f>
        <v>0</v>
      </c>
      <c r="BF35" s="278" t="n">
        <f aca="false">BE35*1</f>
        <v>0</v>
      </c>
      <c r="BG35" s="278" t="n">
        <f aca="false">COUNTIF(A35:AH35,"*$PM*")</f>
        <v>0</v>
      </c>
      <c r="BH35" s="278" t="n">
        <f aca="false">BG35*0.5</f>
        <v>0</v>
      </c>
      <c r="BI35" s="278" t="n">
        <f aca="false">COUNTIF(A35:AH35,"*$AM*")</f>
        <v>0</v>
      </c>
      <c r="BJ35" s="278" t="n">
        <f aca="false">BI35*0.5</f>
        <v>0</v>
      </c>
      <c r="BK35" s="278" t="n">
        <f aca="false">COUNTIF(A35:AH35,"*$FC*")</f>
        <v>0</v>
      </c>
      <c r="BL35" s="278" t="n">
        <f aca="false">BK35*1</f>
        <v>0</v>
      </c>
      <c r="BM35" s="278" t="n">
        <f aca="false">COUNTIF($D35:$Z35,BM$4)</f>
        <v>0</v>
      </c>
      <c r="BN35" s="278" t="n">
        <f aca="false">COUNTIF($D35:$Z35,BN$4)</f>
        <v>0</v>
      </c>
      <c r="BO35" s="278" t="n">
        <f aca="false">COUNTIF($D35:$Z35,BO$4)</f>
        <v>0</v>
      </c>
      <c r="BP35" s="272"/>
    </row>
    <row r="36" customFormat="false" ht="19.5" hidden="false" customHeight="true" outlineLevel="0" collapsed="false">
      <c r="A36" s="272"/>
      <c r="B36" s="279" t="s">
        <v>657</v>
      </c>
      <c r="D36" s="91"/>
      <c r="E36" s="266"/>
      <c r="F36" s="266"/>
      <c r="G36" s="266"/>
      <c r="I36" s="91"/>
      <c r="J36" s="266"/>
      <c r="K36" s="266"/>
      <c r="L36" s="266"/>
      <c r="M36" s="266"/>
      <c r="N36" s="266"/>
      <c r="O36" s="91"/>
      <c r="P36" s="266"/>
      <c r="Q36" s="91"/>
      <c r="R36" s="266"/>
      <c r="S36" s="266"/>
      <c r="T36" s="91"/>
      <c r="U36" s="91"/>
      <c r="V36" s="91"/>
      <c r="W36" s="266"/>
      <c r="X36" s="266"/>
      <c r="Y36" s="266"/>
      <c r="Z36" s="266"/>
      <c r="AA36" s="91"/>
      <c r="AB36" s="266"/>
      <c r="AC36" s="346"/>
      <c r="AD36" s="346"/>
      <c r="AE36" s="347"/>
      <c r="AF36" s="266"/>
      <c r="AG36" s="266"/>
      <c r="AH36" s="272" t="n">
        <f aca="false">COUNTIF($C36:$AB36,AH$4)</f>
        <v>0</v>
      </c>
      <c r="AI36" s="272" t="n">
        <f aca="false">COUNTIF($C36:$AB36,AI$4)</f>
        <v>0</v>
      </c>
      <c r="AJ36" s="272" t="n">
        <f aca="false">COUNTIF($C36:$AB36,AJ$4)</f>
        <v>0</v>
      </c>
      <c r="AK36" s="272" t="n">
        <f aca="false">COUNTIF($C36:$AB36,AK$4)</f>
        <v>0</v>
      </c>
      <c r="AL36" s="272" t="n">
        <f aca="false">COUNTIF($C36:$AB36,AL$4)</f>
        <v>0</v>
      </c>
      <c r="AM36" s="272" t="n">
        <f aca="false">COUNTIF($C36:$AB36,AM$4)</f>
        <v>0</v>
      </c>
      <c r="AN36" s="272" t="n">
        <f aca="false">COUNTIF($C36:$AB36,AN$4)</f>
        <v>0</v>
      </c>
      <c r="AO36" s="272" t="n">
        <f aca="false">COUNTIF($C36:$AB36,AO$4)</f>
        <v>0</v>
      </c>
      <c r="AP36" s="272" t="n">
        <f aca="false">COUNTIF($C36:$AB36,AP$4)</f>
        <v>0</v>
      </c>
      <c r="AQ36" s="279"/>
      <c r="AR36" s="279"/>
      <c r="AS36" s="278" t="n">
        <f aca="false">SUMPRODUCT(--(WEEKDAY(C$3:AG$3,2)&lt;5),--ISNUMBER(MATCH(C36:AG36,{"DM","CS1","CS2","SB1","AE","CS/B"},0)))</f>
        <v>0</v>
      </c>
      <c r="AT36" s="272"/>
      <c r="AU36" s="278" t="n">
        <f aca="false">SUMPRODUCT(--(WEEKDAY(C$3:AG$3,2)=5),--ISNUMBER(MATCH(C36:AG36,{"DM","CS1","CS2","SB1","AE","CS/B","WEEKEND OUTFIELD RESERVE"},0)))</f>
        <v>0</v>
      </c>
      <c r="AV36" s="278" t="n">
        <f aca="false">SUMPRODUCT(--(WEEKDAY(C$3:AG$3,2)&gt;5),--ISNUMBER(MATCH(C36:AG36,{"DM","CS1","CS2","SB1","AE","CS/B","WEEKEND OUTFIELD RESERVE"},0)))</f>
        <v>0</v>
      </c>
      <c r="AW36" s="272"/>
      <c r="AX36" s="278" t="n">
        <f aca="false">(AS36-AT36)+AU36*1.5+(AV36-AW36)*2+AM36*0.5+AO36*0.5+AQ36-AR36</f>
        <v>0</v>
      </c>
      <c r="AY36" s="278" t="n">
        <f aca="false">AS36+AU36+AV36</f>
        <v>0</v>
      </c>
      <c r="AZ36" s="278" t="n">
        <f aca="false">BC36+BE36+BG36+BI36+BK36</f>
        <v>0</v>
      </c>
      <c r="BA36" s="279" t="n">
        <f aca="false">AX36+BB36</f>
        <v>0</v>
      </c>
      <c r="BB36" s="278" t="n">
        <f aca="false">BD36+BF36+BH36+BJ36+BL36</f>
        <v>0</v>
      </c>
      <c r="BC36" s="278" t="n">
        <f aca="false">COUNTIF(A36:AH36,"*$BTP*")</f>
        <v>0</v>
      </c>
      <c r="BD36" s="278" t="n">
        <f aca="false">BC36*1.5</f>
        <v>0</v>
      </c>
      <c r="BE36" s="278" t="n">
        <f aca="false">COUNTIF(A36:AH36,"*$M*")</f>
        <v>0</v>
      </c>
      <c r="BF36" s="278" t="n">
        <f aca="false">BE36*1</f>
        <v>0</v>
      </c>
      <c r="BG36" s="278" t="n">
        <f aca="false">COUNTIF(A36:AH36,"*$PM*")</f>
        <v>0</v>
      </c>
      <c r="BH36" s="278" t="n">
        <f aca="false">BG36*0.5</f>
        <v>0</v>
      </c>
      <c r="BI36" s="278" t="n">
        <f aca="false">COUNTIF(A36:AH36,"*$AM*")</f>
        <v>0</v>
      </c>
      <c r="BJ36" s="278" t="n">
        <f aca="false">BI36*0.5</f>
        <v>0</v>
      </c>
      <c r="BK36" s="278" t="n">
        <f aca="false">COUNTIF(A36:AH36,"*$FC*")</f>
        <v>0</v>
      </c>
      <c r="BL36" s="278" t="n">
        <f aca="false">BK36*1</f>
        <v>0</v>
      </c>
      <c r="BM36" s="278" t="n">
        <f aca="false">COUNTIF($D36:$Z36,BM$4)</f>
        <v>0</v>
      </c>
      <c r="BN36" s="278" t="n">
        <f aca="false">COUNTIF($D36:$Z36,BN$4)</f>
        <v>0</v>
      </c>
      <c r="BO36" s="278" t="n">
        <f aca="false">COUNTIF($D36:$Z36,BO$4)</f>
        <v>0</v>
      </c>
      <c r="BP36" s="272"/>
    </row>
    <row r="37" customFormat="false" ht="19.5" hidden="false" customHeight="true" outlineLevel="0" collapsed="false">
      <c r="A37" s="272"/>
      <c r="B37" s="279" t="s">
        <v>970</v>
      </c>
      <c r="C37" s="266"/>
      <c r="D37" s="343"/>
      <c r="E37" s="266"/>
      <c r="F37" s="266"/>
      <c r="G37" s="266"/>
      <c r="H37" s="266"/>
      <c r="I37" s="91"/>
      <c r="J37" s="266"/>
      <c r="K37" s="266"/>
      <c r="L37" s="266"/>
      <c r="M37" s="266"/>
      <c r="N37" s="266"/>
      <c r="O37" s="266"/>
      <c r="P37" s="266"/>
      <c r="Q37" s="266"/>
      <c r="R37" s="91"/>
      <c r="S37" s="266"/>
      <c r="T37" s="91"/>
      <c r="U37" s="91"/>
      <c r="V37" s="91"/>
      <c r="W37" s="91"/>
      <c r="X37" s="91"/>
      <c r="Y37" s="91"/>
      <c r="Z37" s="266"/>
      <c r="AA37" s="91"/>
      <c r="AB37" s="266"/>
      <c r="AC37" s="348"/>
      <c r="AD37" s="300"/>
      <c r="AE37" s="332"/>
      <c r="AF37" s="91"/>
      <c r="AG37" s="266"/>
      <c r="AH37" s="272" t="n">
        <f aca="false">COUNTIF($C37:$AF37,AH$4)</f>
        <v>0</v>
      </c>
      <c r="AI37" s="272" t="n">
        <f aca="false">COUNTIF($C37:$AF37,AI$4)</f>
        <v>0</v>
      </c>
      <c r="AJ37" s="272" t="n">
        <f aca="false">COUNTIF($C37:$AF37,AJ$4)</f>
        <v>0</v>
      </c>
      <c r="AK37" s="272" t="n">
        <f aca="false">COUNTIF($C37:$AF37,AK$4)</f>
        <v>0</v>
      </c>
      <c r="AL37" s="272" t="n">
        <f aca="false">COUNTIF($C37:$AF37,AL$4)</f>
        <v>0</v>
      </c>
      <c r="AM37" s="272" t="n">
        <f aca="false">COUNTIF($C37:$AF37,AM$4)</f>
        <v>0</v>
      </c>
      <c r="AN37" s="272" t="n">
        <f aca="false">COUNTIF($C37:$AF37,AN$4)</f>
        <v>0</v>
      </c>
      <c r="AO37" s="272" t="n">
        <f aca="false">COUNTIF($C37:$AF37,AO$4)</f>
        <v>0</v>
      </c>
      <c r="AP37" s="272" t="n">
        <f aca="false">COUNTIF($C37:$AF37,AP$4)</f>
        <v>0</v>
      </c>
      <c r="AQ37" s="279"/>
      <c r="AR37" s="279"/>
      <c r="AS37" s="278" t="n">
        <f aca="false">SUMPRODUCT(--(WEEKDAY(C$3:AG$3,2)&lt;5),--ISNUMBER(MATCH(C37:AG37,{"DM","CS1","CS2","SB1","AE","CS/B"},0)))</f>
        <v>0</v>
      </c>
      <c r="AT37" s="272"/>
      <c r="AU37" s="278" t="n">
        <f aca="false">SUMPRODUCT(--(WEEKDAY(C$3:AG$3,2)=5),--ISNUMBER(MATCH(C37:AG37,{"DM","CS1","CS2","SB1","AE","CS/B","WEEKEND OUTFIELD RESERVE"},0)))</f>
        <v>0</v>
      </c>
      <c r="AV37" s="278" t="n">
        <f aca="false">SUMPRODUCT(--(WEEKDAY(C$3:AG$3,2)&gt;5),--ISNUMBER(MATCH(C37:AG37,{"DM","CS1","CS2","SB1","AE","CS/B","WEEKEND OUTFIELD RESERVE"},0)))</f>
        <v>0</v>
      </c>
      <c r="AW37" s="272"/>
      <c r="AX37" s="278" t="n">
        <f aca="false">(AS37-AT37)+AU37*1.5+(AV37-AW37)*2+AM37*0.5+AO37*0.5+AQ37-AR37</f>
        <v>0</v>
      </c>
      <c r="AY37" s="278" t="n">
        <f aca="false">AS37+AU37+AV37</f>
        <v>0</v>
      </c>
      <c r="AZ37" s="278" t="n">
        <f aca="false">BC37+BE37+BG37+BI37+BK37</f>
        <v>0</v>
      </c>
      <c r="BA37" s="279" t="n">
        <f aca="false">AX37+BB37</f>
        <v>0</v>
      </c>
      <c r="BB37" s="278" t="n">
        <f aca="false">BD37+BF37+BH37+BJ37+BL37</f>
        <v>0</v>
      </c>
      <c r="BC37" s="278" t="n">
        <f aca="false">COUNTIF(A37:AH37,"*$BTP*")</f>
        <v>0</v>
      </c>
      <c r="BD37" s="278" t="n">
        <f aca="false">BC37*1.5</f>
        <v>0</v>
      </c>
      <c r="BE37" s="278" t="n">
        <f aca="false">COUNTIF(A37:AH37,"*$M*")</f>
        <v>0</v>
      </c>
      <c r="BF37" s="278" t="n">
        <f aca="false">BE37*1</f>
        <v>0</v>
      </c>
      <c r="BG37" s="278" t="n">
        <f aca="false">COUNTIF(A37:AH37,"*$PM*")</f>
        <v>0</v>
      </c>
      <c r="BH37" s="278" t="n">
        <f aca="false">BG37*0.5</f>
        <v>0</v>
      </c>
      <c r="BI37" s="278" t="n">
        <f aca="false">COUNTIF(A37:AH37,"*$AM*")</f>
        <v>0</v>
      </c>
      <c r="BJ37" s="278" t="n">
        <f aca="false">BI37*0.5</f>
        <v>0</v>
      </c>
      <c r="BK37" s="278" t="n">
        <f aca="false">COUNTIF(A37:AH37,"*$FC*")</f>
        <v>0</v>
      </c>
      <c r="BL37" s="278" t="n">
        <f aca="false">BK37*1</f>
        <v>0</v>
      </c>
      <c r="BM37" s="278" t="n">
        <f aca="false">COUNTIF($D37:$Z37,BM$4)</f>
        <v>0</v>
      </c>
      <c r="BN37" s="278" t="n">
        <f aca="false">COUNTIF($D37:$Z37,BN$4)</f>
        <v>0</v>
      </c>
      <c r="BO37" s="278" t="n">
        <f aca="false">COUNTIF($D37:$Z37,BO$4)</f>
        <v>0</v>
      </c>
      <c r="BP37" s="272"/>
    </row>
    <row r="38" customFormat="false" ht="19.5" hidden="false" customHeight="true" outlineLevel="0" collapsed="false">
      <c r="A38" s="272"/>
      <c r="B38" s="279" t="s">
        <v>974</v>
      </c>
      <c r="C38" s="91"/>
      <c r="D38" s="91"/>
      <c r="E38" s="266"/>
      <c r="F38" s="266"/>
      <c r="G38" s="266"/>
      <c r="H38" s="91"/>
      <c r="I38" s="91"/>
      <c r="J38" s="266"/>
      <c r="K38" s="266"/>
      <c r="L38" s="266"/>
      <c r="M38" s="266"/>
      <c r="N38" s="266"/>
      <c r="O38" s="91"/>
      <c r="P38" s="91"/>
      <c r="Q38" s="91"/>
      <c r="R38" s="91"/>
      <c r="S38" s="266"/>
      <c r="T38" s="91"/>
      <c r="U38" s="266"/>
      <c r="V38" s="91"/>
      <c r="W38" s="266"/>
      <c r="X38" s="266"/>
      <c r="Y38" s="91"/>
      <c r="Z38" s="266"/>
      <c r="AA38" s="91"/>
      <c r="AB38" s="266"/>
      <c r="AC38" s="238"/>
      <c r="AD38" s="284"/>
      <c r="AE38" s="349"/>
      <c r="AF38" s="91"/>
      <c r="AG38" s="266"/>
      <c r="AH38" s="272" t="n">
        <f aca="false">COUNTIF($E38:$AF38,AH$4)</f>
        <v>0</v>
      </c>
      <c r="AI38" s="272" t="n">
        <f aca="false">COUNTIF($E38:$AF38,AI$4)</f>
        <v>0</v>
      </c>
      <c r="AJ38" s="272" t="n">
        <f aca="false">COUNTIF($E38:$AF38,AJ$4)</f>
        <v>0</v>
      </c>
      <c r="AK38" s="272" t="n">
        <f aca="false">COUNTIF($E38:$AF38,AK$4)</f>
        <v>0</v>
      </c>
      <c r="AL38" s="272" t="n">
        <f aca="false">COUNTIF($E38:$AF38,AL$4)</f>
        <v>0</v>
      </c>
      <c r="AM38" s="272" t="n">
        <f aca="false">COUNTIF($E38:$AF38,AM$4)</f>
        <v>0</v>
      </c>
      <c r="AN38" s="272" t="n">
        <f aca="false">COUNTIF($E38:$AF38,AN$4)</f>
        <v>0</v>
      </c>
      <c r="AO38" s="272" t="n">
        <f aca="false">COUNTIF($E38:$AF38,AO$4)</f>
        <v>0</v>
      </c>
      <c r="AP38" s="272" t="n">
        <f aca="false">COUNTIF($E38:$AF38,AP$4)</f>
        <v>0</v>
      </c>
      <c r="AQ38" s="279"/>
      <c r="AR38" s="279"/>
      <c r="AS38" s="278" t="n">
        <f aca="false">SUMPRODUCT(--(WEEKDAY(C$3:AG$3,2)&lt;5),--ISNUMBER(MATCH(C38:AG38,{"DM","CS1","CS2","SB1","AE","CS/B"},0)))</f>
        <v>0</v>
      </c>
      <c r="AT38" s="272"/>
      <c r="AU38" s="278" t="n">
        <f aca="false">SUMPRODUCT(--(WEEKDAY(C$3:AG$3,2)=5),--ISNUMBER(MATCH(C38:AG38,{"DM","CS1","CS2","SB1","AE","CS/B","WEEKEND OUTFIELD RESERVE"},0)))</f>
        <v>0</v>
      </c>
      <c r="AV38" s="278" t="n">
        <f aca="false">SUMPRODUCT(--(WEEKDAY(C$3:AG$3,2)&gt;5),--ISNUMBER(MATCH(C38:AG38,{"DM","CS1","CS2","SB1","AE","CS/B","WEEKEND OUTFIELD RESERVE"},0)))</f>
        <v>0</v>
      </c>
      <c r="AW38" s="272"/>
      <c r="AX38" s="278" t="n">
        <f aca="false">(AS38-AT38)+AU38*1.5+(AV38-AW38)*2+AM38*0.5+AO38*0.5+AQ38-AR38</f>
        <v>0</v>
      </c>
      <c r="AY38" s="278" t="n">
        <f aca="false">AS38+AU38+AV38</f>
        <v>0</v>
      </c>
      <c r="AZ38" s="278" t="n">
        <f aca="false">BC38+BE38+BG38+BI38+BK38</f>
        <v>0</v>
      </c>
      <c r="BA38" s="279" t="n">
        <f aca="false">AX38+BB38</f>
        <v>0</v>
      </c>
      <c r="BB38" s="278" t="n">
        <f aca="false">BD38+BF38+BH38+BJ38+BL38</f>
        <v>0</v>
      </c>
      <c r="BC38" s="278" t="n">
        <f aca="false">COUNTIF(A38:AH38,"*$BTP*")</f>
        <v>0</v>
      </c>
      <c r="BD38" s="278" t="n">
        <f aca="false">BC38*1.5</f>
        <v>0</v>
      </c>
      <c r="BE38" s="278" t="n">
        <f aca="false">COUNTIF(A38:AH38,"*$M*")</f>
        <v>0</v>
      </c>
      <c r="BF38" s="278" t="n">
        <f aca="false">BE38*1</f>
        <v>0</v>
      </c>
      <c r="BG38" s="278" t="n">
        <f aca="false">COUNTIF(A38:AH38,"*$PM*")</f>
        <v>0</v>
      </c>
      <c r="BH38" s="278" t="n">
        <f aca="false">BG38*0.5</f>
        <v>0</v>
      </c>
      <c r="BI38" s="278" t="n">
        <f aca="false">COUNTIF(A38:AH38,"*$AM*")</f>
        <v>0</v>
      </c>
      <c r="BJ38" s="278" t="n">
        <f aca="false">BI38*0.5</f>
        <v>0</v>
      </c>
      <c r="BK38" s="278" t="n">
        <f aca="false">COUNTIF(A38:AH38,"*$FC*")</f>
        <v>0</v>
      </c>
      <c r="BL38" s="278" t="n">
        <f aca="false">BK38*1</f>
        <v>0</v>
      </c>
      <c r="BM38" s="278" t="n">
        <f aca="false">COUNTIF($K38:$Y38,BM$4)</f>
        <v>0</v>
      </c>
      <c r="BN38" s="278" t="n">
        <f aca="false">COUNTIF($K38:$Y38,BN$4)</f>
        <v>0</v>
      </c>
      <c r="BO38" s="278" t="n">
        <f aca="false">COUNTIF($K38:$Y38,BO$4)</f>
        <v>0</v>
      </c>
      <c r="BP38" s="272"/>
    </row>
    <row r="39" customFormat="false" ht="19.5" hidden="false" customHeight="true" outlineLevel="0" collapsed="false">
      <c r="A39" s="272"/>
      <c r="B39" s="279" t="s">
        <v>978</v>
      </c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266"/>
      <c r="N39" s="91"/>
      <c r="O39" s="266"/>
      <c r="P39" s="266"/>
      <c r="Q39" s="266"/>
      <c r="R39" s="266"/>
      <c r="S39" s="266"/>
      <c r="T39" s="266"/>
      <c r="U39" s="91"/>
      <c r="V39" s="91"/>
      <c r="W39" s="91"/>
      <c r="X39" s="91"/>
      <c r="Y39" s="266"/>
      <c r="Z39" s="91"/>
      <c r="AA39" s="266"/>
      <c r="AB39" s="91"/>
      <c r="AC39" s="91"/>
      <c r="AD39" s="91"/>
      <c r="AE39" s="350"/>
      <c r="AF39" s="266"/>
      <c r="AG39" s="91"/>
      <c r="AH39" s="272" t="n">
        <f aca="false">COUNTIF($C39:$AF39,AH$4)</f>
        <v>0</v>
      </c>
      <c r="AI39" s="272" t="n">
        <f aca="false">COUNTIF($C39:$AF39,AI$4)</f>
        <v>0</v>
      </c>
      <c r="AJ39" s="272" t="n">
        <f aca="false">COUNTIF($C39:$AF39,AJ$4)</f>
        <v>0</v>
      </c>
      <c r="AK39" s="272" t="n">
        <f aca="false">COUNTIF($C39:$AF39,AK$4)</f>
        <v>0</v>
      </c>
      <c r="AL39" s="272" t="n">
        <f aca="false">COUNTIF($C39:$AF39,AL$4)</f>
        <v>0</v>
      </c>
      <c r="AM39" s="272" t="n">
        <f aca="false">COUNTIF($C39:$AF39,AM$4)</f>
        <v>0</v>
      </c>
      <c r="AN39" s="272" t="n">
        <f aca="false">COUNTIF($C39:$AF39,AN$4)</f>
        <v>0</v>
      </c>
      <c r="AO39" s="272" t="n">
        <f aca="false">COUNTIF($C39:$AF39,AO$4)</f>
        <v>0</v>
      </c>
      <c r="AP39" s="272" t="n">
        <f aca="false">COUNTIF($C39:$AF39,AP$4)</f>
        <v>0</v>
      </c>
      <c r="AQ39" s="279"/>
      <c r="AR39" s="279"/>
      <c r="AS39" s="278" t="n">
        <f aca="false">SUMPRODUCT(--(WEEKDAY(C$3:AG$3,2)&lt;5),--ISNUMBER(MATCH(C39:AG39,{"DM","CS1","CS2","SB1","AE","CS/B"},0)))</f>
        <v>0</v>
      </c>
      <c r="AT39" s="272"/>
      <c r="AU39" s="278" t="n">
        <f aca="false">SUMPRODUCT(--(WEEKDAY(C$3:AG$3,2)=5),--ISNUMBER(MATCH(C39:AG39,{"DM","CS1","CS2","SB1","AE","CS/B","WEEKEND OUTFIELD RESERVE"},0)))</f>
        <v>0</v>
      </c>
      <c r="AV39" s="278" t="n">
        <f aca="false">SUMPRODUCT(--(WEEKDAY(C$3:AG$3,2)&gt;5),--ISNUMBER(MATCH(C39:AG39,{"DM","CS1","CS2","SB1","AE","CS/B","WEEKEND OUTFIELD RESERVE"},0)))</f>
        <v>0</v>
      </c>
      <c r="AW39" s="272"/>
      <c r="AX39" s="278" t="n">
        <f aca="false">(AS39-AT39)+AU39*1.5+(AV39-AW39)*2+AM39*0.5+AO39*0.5+AQ39-AR39</f>
        <v>0</v>
      </c>
      <c r="AY39" s="278" t="n">
        <f aca="false">AS39+AU39+AV39</f>
        <v>0</v>
      </c>
      <c r="AZ39" s="278" t="n">
        <f aca="false">BC39+BE39+BG39+BI39+BK39</f>
        <v>0</v>
      </c>
      <c r="BA39" s="279" t="n">
        <f aca="false">AX39+BB39</f>
        <v>0</v>
      </c>
      <c r="BB39" s="278" t="n">
        <f aca="false">BD39+BF39+BH39+BJ39+BL39</f>
        <v>0</v>
      </c>
      <c r="BC39" s="278" t="n">
        <f aca="false">COUNTIF(A39:AH39,"*$BTP*")</f>
        <v>0</v>
      </c>
      <c r="BD39" s="278" t="n">
        <f aca="false">BC39*1.5</f>
        <v>0</v>
      </c>
      <c r="BE39" s="278" t="n">
        <f aca="false">COUNTIF(A39:AH39,"*$M*")</f>
        <v>0</v>
      </c>
      <c r="BF39" s="278" t="n">
        <f aca="false">BE39*1</f>
        <v>0</v>
      </c>
      <c r="BG39" s="278" t="n">
        <f aca="false">COUNTIF(A39:AH39,"*$PM*")</f>
        <v>0</v>
      </c>
      <c r="BH39" s="278" t="n">
        <f aca="false">BG39*0.5</f>
        <v>0</v>
      </c>
      <c r="BI39" s="278" t="n">
        <f aca="false">COUNTIF(A39:AH39,"*$AM*")</f>
        <v>0</v>
      </c>
      <c r="BJ39" s="278" t="n">
        <f aca="false">BI39*0.5</f>
        <v>0</v>
      </c>
      <c r="BK39" s="278" t="n">
        <f aca="false">COUNTIF(A39:AH39,"*$FC*")</f>
        <v>0</v>
      </c>
      <c r="BL39" s="278" t="n">
        <f aca="false">BK39*1</f>
        <v>0</v>
      </c>
      <c r="BM39" s="278" t="n">
        <f aca="false">COUNTIF($D39:$Z39,BM$4)</f>
        <v>0</v>
      </c>
      <c r="BN39" s="278" t="n">
        <f aca="false">COUNTIF($D39:$Z39,BN$4)</f>
        <v>0</v>
      </c>
      <c r="BO39" s="278" t="n">
        <f aca="false">COUNTIF($D39:$Z39,BO$4)</f>
        <v>0</v>
      </c>
      <c r="BP39" s="272"/>
    </row>
    <row r="40" customFormat="false" ht="19.5" hidden="false" customHeight="true" outlineLevel="0" collapsed="false">
      <c r="A40" s="272"/>
      <c r="B40" s="279" t="s">
        <v>981</v>
      </c>
      <c r="C40" s="266"/>
      <c r="D40" s="266"/>
      <c r="E40" s="266"/>
      <c r="F40" s="266"/>
      <c r="G40" s="91"/>
      <c r="H40" s="266"/>
      <c r="I40" s="91"/>
      <c r="J40" s="266"/>
      <c r="K40" s="266"/>
      <c r="L40" s="266"/>
      <c r="M40" s="91"/>
      <c r="N40" s="91"/>
      <c r="O40" s="266"/>
      <c r="P40" s="91"/>
      <c r="Q40" s="266"/>
      <c r="R40" s="266"/>
      <c r="S40" s="266"/>
      <c r="T40" s="266"/>
      <c r="U40" s="91"/>
      <c r="V40" s="266"/>
      <c r="W40" s="266"/>
      <c r="X40" s="266"/>
      <c r="Y40" s="266"/>
      <c r="Z40" s="91"/>
      <c r="AA40" s="91"/>
      <c r="AB40" s="91"/>
      <c r="AC40" s="266"/>
      <c r="AD40" s="266"/>
      <c r="AE40" s="326"/>
      <c r="AF40" s="266"/>
      <c r="AG40" s="266"/>
      <c r="AH40" s="272" t="n">
        <f aca="false">COUNTIF($C40:$AF40,AH$4)</f>
        <v>0</v>
      </c>
      <c r="AI40" s="272" t="n">
        <f aca="false">COUNTIF($C40:$AF40,AI$4)</f>
        <v>0</v>
      </c>
      <c r="AJ40" s="272" t="n">
        <f aca="false">COUNTIF($C40:$AF40,AJ$4)</f>
        <v>0</v>
      </c>
      <c r="AK40" s="272" t="n">
        <f aca="false">COUNTIF($C40:$AF40,AK$4)</f>
        <v>0</v>
      </c>
      <c r="AL40" s="272" t="n">
        <f aca="false">COUNTIF($C40:$AF40,AL$4)</f>
        <v>0</v>
      </c>
      <c r="AM40" s="272" t="n">
        <f aca="false">COUNTIF($C40:$AF40,AM$4)</f>
        <v>0</v>
      </c>
      <c r="AN40" s="272" t="n">
        <f aca="false">COUNTIF($C40:$AF40,AN$4)</f>
        <v>0</v>
      </c>
      <c r="AO40" s="272" t="n">
        <f aca="false">COUNTIF($C40:$AF40,AO$4)</f>
        <v>0</v>
      </c>
      <c r="AP40" s="272" t="n">
        <f aca="false">COUNTIF($C40:$AF40,AP$4)</f>
        <v>0</v>
      </c>
      <c r="AQ40" s="279"/>
      <c r="AR40" s="279"/>
      <c r="AS40" s="278" t="n">
        <f aca="false">SUMPRODUCT(--(WEEKDAY(C$3:AG$3,2)&lt;5),--ISNUMBER(MATCH(C40:AG40,{"DM","CS1","CS2","SB1","AE","CS/B"},0)))</f>
        <v>0</v>
      </c>
      <c r="AT40" s="272"/>
      <c r="AU40" s="278" t="n">
        <f aca="false">SUMPRODUCT(--(WEEKDAY(C$3:AG$3,2)=5),--ISNUMBER(MATCH(C40:AG40,{"DM","CS1","CS2","SB1","AE","CS/B","WEEKEND OUTFIELD RESERVE"},0)))</f>
        <v>0</v>
      </c>
      <c r="AV40" s="278" t="n">
        <f aca="false">SUMPRODUCT(--(WEEKDAY(C$3:AG$3,2)&gt;5),--ISNUMBER(MATCH(C40:AG40,{"DM","CS1","CS2","SB1","AE","CS/B","WEEKEND OUTFIELD RESERVE"},0)))</f>
        <v>0</v>
      </c>
      <c r="AW40" s="272"/>
      <c r="AX40" s="278" t="n">
        <f aca="false">(AS40-AT40)+AU40*1.5+(AV40-AW40)*2+AM40*0.5+AO40*0.5+AQ40-AR40</f>
        <v>0</v>
      </c>
      <c r="AY40" s="278" t="n">
        <f aca="false">AS40+AU40+AV40</f>
        <v>0</v>
      </c>
      <c r="AZ40" s="278" t="n">
        <f aca="false">BC40+BE40+BG40+BI40+BK40</f>
        <v>0</v>
      </c>
      <c r="BA40" s="279" t="n">
        <f aca="false">AX40+BB40</f>
        <v>0</v>
      </c>
      <c r="BB40" s="278" t="n">
        <f aca="false">BD40+BF40+BH40+BJ40+BL40</f>
        <v>0</v>
      </c>
      <c r="BC40" s="278" t="n">
        <f aca="false">COUNTIF(A40:AH40,"*$BTP*")</f>
        <v>0</v>
      </c>
      <c r="BD40" s="278" t="n">
        <f aca="false">BC40*1.5</f>
        <v>0</v>
      </c>
      <c r="BE40" s="278" t="n">
        <f aca="false">COUNTIF(A40:AH40,"*$M*")</f>
        <v>0</v>
      </c>
      <c r="BF40" s="278" t="n">
        <f aca="false">BE40*1</f>
        <v>0</v>
      </c>
      <c r="BG40" s="278" t="n">
        <f aca="false">COUNTIF(A40:AH40,"*$PM*")</f>
        <v>0</v>
      </c>
      <c r="BH40" s="278" t="n">
        <f aca="false">BG40*0.5</f>
        <v>0</v>
      </c>
      <c r="BI40" s="278" t="n">
        <f aca="false">COUNTIF(A40:AH40,"*$AM*")</f>
        <v>0</v>
      </c>
      <c r="BJ40" s="278" t="n">
        <f aca="false">BI40*0.5</f>
        <v>0</v>
      </c>
      <c r="BK40" s="278" t="n">
        <f aca="false">COUNTIF(A40:AH40,"*$FC*")</f>
        <v>0</v>
      </c>
      <c r="BL40" s="278" t="n">
        <f aca="false">BK40*1</f>
        <v>0</v>
      </c>
      <c r="BM40" s="278" t="n">
        <f aca="false">COUNTIF($D40:$Y40,BM$4)</f>
        <v>0</v>
      </c>
      <c r="BN40" s="278" t="n">
        <f aca="false">COUNTIF($D40:$Y40,BN$4)</f>
        <v>0</v>
      </c>
      <c r="BO40" s="278" t="n">
        <f aca="false">COUNTIF($D40:$Y40,BO$4)</f>
        <v>0</v>
      </c>
      <c r="BP40" s="272"/>
    </row>
    <row r="41" customFormat="false" ht="49.5" hidden="false" customHeight="true" outlineLevel="0" collapsed="false">
      <c r="A41" s="272"/>
      <c r="B41" s="279" t="s">
        <v>984</v>
      </c>
      <c r="C41" s="266"/>
      <c r="D41" s="266"/>
      <c r="E41" s="266"/>
      <c r="F41" s="266"/>
      <c r="G41" s="91"/>
      <c r="H41" s="266"/>
      <c r="I41" s="91"/>
      <c r="J41" s="91"/>
      <c r="K41" s="266"/>
      <c r="L41" s="266"/>
      <c r="M41" s="266"/>
      <c r="N41" s="266"/>
      <c r="O41" s="266"/>
      <c r="P41" s="266"/>
      <c r="Q41" s="266"/>
      <c r="R41" s="266"/>
      <c r="S41" s="266"/>
      <c r="T41" s="266"/>
      <c r="U41" s="91"/>
      <c r="V41" s="266"/>
      <c r="W41" s="91"/>
      <c r="X41" s="266"/>
      <c r="Y41" s="266"/>
      <c r="Z41" s="266"/>
      <c r="AA41" s="266"/>
      <c r="AB41" s="266"/>
      <c r="AC41" s="266"/>
      <c r="AD41" s="266"/>
      <c r="AE41" s="347"/>
      <c r="AF41" s="91"/>
      <c r="AG41" s="266"/>
      <c r="AH41" s="272" t="n">
        <f aca="false">COUNTIF($C41:$AF41,AH$4)</f>
        <v>0</v>
      </c>
      <c r="AI41" s="272" t="n">
        <f aca="false">COUNTIF($C41:$AF41,AI$4)</f>
        <v>0</v>
      </c>
      <c r="AJ41" s="272" t="n">
        <f aca="false">COUNTIF($C41:$AF41,AJ$4)</f>
        <v>0</v>
      </c>
      <c r="AK41" s="272" t="n">
        <f aca="false">COUNTIF($C41:$AF41,AK$4)</f>
        <v>0</v>
      </c>
      <c r="AL41" s="272" t="n">
        <f aca="false">COUNTIF($C41:$AF41,AL$4)</f>
        <v>0</v>
      </c>
      <c r="AM41" s="272" t="n">
        <f aca="false">COUNTIF($C41:$AF41,AM$4)</f>
        <v>0</v>
      </c>
      <c r="AN41" s="272" t="n">
        <f aca="false">COUNTIF($C41:$AF41,AN$4)</f>
        <v>0</v>
      </c>
      <c r="AO41" s="272" t="n">
        <f aca="false">COUNTIF($C41:$AF41,AO$4)</f>
        <v>0</v>
      </c>
      <c r="AP41" s="272" t="n">
        <f aca="false">COUNTIF($C41:$AF41,AP$4)</f>
        <v>0</v>
      </c>
      <c r="AQ41" s="279"/>
      <c r="AR41" s="279"/>
      <c r="AS41" s="278" t="n">
        <f aca="false">SUMPRODUCT(--(WEEKDAY(C$3:AG$3,2)&lt;5),--ISNUMBER(MATCH(C41:AG41,{"DM","CS1","CS2","SB1","AE","CS/B"},0)))</f>
        <v>0</v>
      </c>
      <c r="AT41" s="272"/>
      <c r="AU41" s="278" t="n">
        <f aca="false">SUMPRODUCT(--(WEEKDAY(C$3:AG$3,2)=5),--ISNUMBER(MATCH(C41:AG41,{"DM","CS1","CS2","SB1","AE","CS/B","WEEKEND OUTFIELD RESERVE"},0)))</f>
        <v>0</v>
      </c>
      <c r="AV41" s="278" t="n">
        <f aca="false">SUMPRODUCT(--(WEEKDAY(C$3:AG$3,2)&gt;5),--ISNUMBER(MATCH(C41:AG41,{"DM","CS1","CS2","SB1","AE","CS/B","WEEKEND OUTFIELD RESERVE"},0)))</f>
        <v>0</v>
      </c>
      <c r="AW41" s="272"/>
      <c r="AX41" s="278" t="n">
        <f aca="false">(AS41-AT41)+AU41*1.5+(AV41-AW41)*2+AM41*0.5+AO41*0.5+AQ41-AR41</f>
        <v>0</v>
      </c>
      <c r="AY41" s="278" t="n">
        <f aca="false">AS41+AU41+AV41</f>
        <v>0</v>
      </c>
      <c r="AZ41" s="278" t="n">
        <f aca="false">BC41+BE41+BG41+BI41+BK41</f>
        <v>0</v>
      </c>
      <c r="BA41" s="279" t="n">
        <f aca="false">AX41+BB41</f>
        <v>0</v>
      </c>
      <c r="BB41" s="278" t="n">
        <f aca="false">BD41+BF41+BH41+BJ41+BL41</f>
        <v>0</v>
      </c>
      <c r="BC41" s="278" t="n">
        <f aca="false">COUNTIF(A41:AH41,"*$BTP*")</f>
        <v>0</v>
      </c>
      <c r="BD41" s="278" t="n">
        <f aca="false">BC41*1.5</f>
        <v>0</v>
      </c>
      <c r="BE41" s="278" t="n">
        <f aca="false">COUNTIF(A41:AH41,"*$M*")</f>
        <v>0</v>
      </c>
      <c r="BF41" s="278" t="n">
        <f aca="false">BE41*1</f>
        <v>0</v>
      </c>
      <c r="BG41" s="278" t="n">
        <f aca="false">COUNTIF(A41:AH41,"*$PM*")</f>
        <v>0</v>
      </c>
      <c r="BH41" s="278" t="n">
        <f aca="false">BG41*0.5</f>
        <v>0</v>
      </c>
      <c r="BI41" s="278" t="n">
        <f aca="false">COUNTIF(A41:AH41,"*$AM*")</f>
        <v>0</v>
      </c>
      <c r="BJ41" s="278" t="n">
        <f aca="false">BI41*0.5</f>
        <v>0</v>
      </c>
      <c r="BK41" s="278" t="n">
        <f aca="false">COUNTIF(A41:AH41,"*$FC*")</f>
        <v>0</v>
      </c>
      <c r="BL41" s="278" t="n">
        <f aca="false">BK41*1</f>
        <v>0</v>
      </c>
      <c r="BM41" s="278" t="n">
        <f aca="false">COUNTIF($D41:$Y41,BM$4)</f>
        <v>0</v>
      </c>
      <c r="BN41" s="278" t="n">
        <f aca="false">COUNTIF($D41:$Y41,BN$4)</f>
        <v>0</v>
      </c>
      <c r="BO41" s="278" t="n">
        <f aca="false">COUNTIF($D41:$Y41,BO$4)</f>
        <v>0</v>
      </c>
      <c r="BP41" s="272"/>
    </row>
    <row r="42" customFormat="false" ht="19.5" hidden="false" customHeight="true" outlineLevel="0" collapsed="false">
      <c r="A42" s="272"/>
      <c r="B42" s="294"/>
      <c r="C42" s="294"/>
      <c r="D42" s="294"/>
      <c r="E42" s="294"/>
      <c r="F42" s="294"/>
      <c r="G42" s="294"/>
      <c r="H42" s="294"/>
      <c r="I42" s="294"/>
      <c r="J42" s="294"/>
      <c r="K42" s="294"/>
      <c r="L42" s="294"/>
      <c r="M42" s="294"/>
      <c r="N42" s="294"/>
      <c r="O42" s="294"/>
      <c r="P42" s="294"/>
      <c r="Q42" s="294"/>
      <c r="R42" s="294"/>
      <c r="S42" s="294"/>
      <c r="T42" s="294"/>
      <c r="U42" s="294"/>
      <c r="V42" s="294"/>
      <c r="W42" s="294"/>
      <c r="X42" s="294"/>
      <c r="Y42" s="294"/>
      <c r="Z42" s="294"/>
      <c r="AA42" s="294"/>
      <c r="AB42" s="294"/>
      <c r="AC42" s="294"/>
      <c r="AD42" s="294"/>
      <c r="AE42" s="294"/>
      <c r="AF42" s="294"/>
      <c r="AG42" s="266"/>
      <c r="AH42" s="272"/>
      <c r="AI42" s="272"/>
      <c r="AJ42" s="272"/>
      <c r="AK42" s="272"/>
      <c r="AL42" s="272"/>
      <c r="AM42" s="272"/>
      <c r="AN42" s="272"/>
      <c r="AO42" s="272"/>
      <c r="AP42" s="272"/>
      <c r="AQ42" s="279"/>
      <c r="AR42" s="279"/>
      <c r="AS42" s="278"/>
      <c r="AT42" s="272"/>
      <c r="AU42" s="278"/>
      <c r="AV42" s="278" t="n">
        <f aca="false">SUMPRODUCT(--(WEEKDAY(C$3:AF$3,2)&gt;5),--ISNUMBER(MATCH(C42:AF42,{"DM","CS1","CS2","SB1","AE","CS/B"},0)))</f>
        <v>0</v>
      </c>
      <c r="AW42" s="272"/>
      <c r="AX42" s="278"/>
      <c r="AY42" s="278"/>
      <c r="AZ42" s="278"/>
      <c r="BA42" s="279"/>
      <c r="BB42" s="278"/>
      <c r="BC42" s="278"/>
      <c r="BD42" s="278"/>
      <c r="BE42" s="278"/>
      <c r="BF42" s="278"/>
      <c r="BG42" s="278"/>
      <c r="BH42" s="278"/>
      <c r="BI42" s="278"/>
      <c r="BJ42" s="278"/>
      <c r="BK42" s="278"/>
      <c r="BL42" s="278"/>
      <c r="BM42" s="278"/>
      <c r="BN42" s="278"/>
      <c r="BO42" s="278"/>
      <c r="BP42" s="272"/>
    </row>
    <row r="43" customFormat="false" ht="19.5" hidden="false" customHeight="true" outlineLevel="0" collapsed="false">
      <c r="A43" s="272"/>
      <c r="B43" s="266" t="s">
        <v>57</v>
      </c>
      <c r="C43" s="358" t="e">
        <f aca="false">INDEX($B$4:$B$41,MATCH($B43,C$4:C$41,0))</f>
        <v>#N/A</v>
      </c>
      <c r="D43" s="358" t="e">
        <f aca="false">INDEX($B$4:$B$41,MATCH($B43,D$4:D$41,0))</f>
        <v>#N/A</v>
      </c>
      <c r="E43" s="358" t="e">
        <f aca="false">INDEX($B$4:$B$41,MATCH($B43,E$4:E$41,0))</f>
        <v>#N/A</v>
      </c>
      <c r="F43" s="358" t="e">
        <f aca="false">INDEX($B$4:$B$41,MATCH($B43,F$4:F$41,0))</f>
        <v>#N/A</v>
      </c>
      <c r="G43" s="358" t="e">
        <f aca="false">INDEX($B$4:$B$41,MATCH($B43,G$4:G$41,0))</f>
        <v>#N/A</v>
      </c>
      <c r="H43" s="358" t="e">
        <f aca="false">INDEX($B$4:$B$41,MATCH($B43,H$4:H$41,0))</f>
        <v>#N/A</v>
      </c>
      <c r="I43" s="358" t="e">
        <f aca="false">INDEX($B$4:$B$41,MATCH($B43,I$4:I$41,0))</f>
        <v>#N/A</v>
      </c>
      <c r="J43" s="358" t="e">
        <f aca="false">INDEX($B$4:$B$41,MATCH($B43,J$4:J$41,0))</f>
        <v>#N/A</v>
      </c>
      <c r="K43" s="358" t="e">
        <f aca="false">INDEX($B$4:$B$41,MATCH($B43,K$4:K$41,0))</f>
        <v>#N/A</v>
      </c>
      <c r="L43" s="358" t="e">
        <f aca="false">INDEX($B$4:$B$41,MATCH($B43,L$4:L$41,0))</f>
        <v>#N/A</v>
      </c>
      <c r="M43" s="358" t="e">
        <f aca="false">INDEX($B$4:$B$41,MATCH($B43,M$4:M$41,0))</f>
        <v>#N/A</v>
      </c>
      <c r="N43" s="358" t="e">
        <f aca="false">INDEX($B$4:$B$41,MATCH($B43,N$4:N$41,0))</f>
        <v>#N/A</v>
      </c>
      <c r="O43" s="358" t="e">
        <f aca="false">INDEX($B$4:$B$41,MATCH($B43,O$4:O$41,0))</f>
        <v>#N/A</v>
      </c>
      <c r="P43" s="358" t="e">
        <f aca="false">INDEX($B$4:$B$41,MATCH($B43,P$4:P$41,0))</f>
        <v>#N/A</v>
      </c>
      <c r="Q43" s="358" t="e">
        <f aca="false">INDEX($B$4:$B$41,MATCH($B43,Q$4:Q$41,0))</f>
        <v>#N/A</v>
      </c>
      <c r="R43" s="358" t="e">
        <f aca="false">INDEX($B$4:$B$41,MATCH($B43,R$4:R$41,0))</f>
        <v>#N/A</v>
      </c>
      <c r="S43" s="358" t="e">
        <f aca="false">INDEX($B$4:$B$41,MATCH($B43,S$4:S$41,0))</f>
        <v>#N/A</v>
      </c>
      <c r="T43" s="358" t="e">
        <f aca="false">INDEX($B$4:$B$41,MATCH($B43,T$4:T$41,0))</f>
        <v>#N/A</v>
      </c>
      <c r="U43" s="358" t="e">
        <f aca="false">INDEX($B$4:$B$41,MATCH($B43,U$4:U$41,0))</f>
        <v>#N/A</v>
      </c>
      <c r="V43" s="358" t="e">
        <f aca="false">INDEX($B$4:$B$41,MATCH($B43,V$4:V$41,0))</f>
        <v>#N/A</v>
      </c>
      <c r="W43" s="358" t="e">
        <f aca="false">INDEX($B$4:$B$41,MATCH($B43,W$4:W$41,0))</f>
        <v>#N/A</v>
      </c>
      <c r="X43" s="358" t="e">
        <f aca="false">INDEX($B$4:$B$41,MATCH($B43,X$4:X$41,0))</f>
        <v>#N/A</v>
      </c>
      <c r="Y43" s="358" t="e">
        <f aca="false">INDEX($B$4:$B$41,MATCH($B43,Y$4:Y$41,0))</f>
        <v>#N/A</v>
      </c>
      <c r="Z43" s="358" t="e">
        <f aca="false">INDEX($B$4:$B$41,MATCH($B43,Z$4:Z$41,0))</f>
        <v>#N/A</v>
      </c>
      <c r="AA43" s="358" t="e">
        <f aca="false">INDEX($B$4:$B$41,MATCH($B43,AA$4:AA$41,0))</f>
        <v>#N/A</v>
      </c>
      <c r="AB43" s="358" t="e">
        <f aca="false">INDEX($B$4:$B$41,MATCH($B43,AB$4:AB$41,0))</f>
        <v>#N/A</v>
      </c>
      <c r="AC43" s="358" t="e">
        <f aca="false">INDEX($B$4:$B$41,MATCH($B43,AC$4:AC$41,0))</f>
        <v>#N/A</v>
      </c>
      <c r="AD43" s="358" t="e">
        <f aca="false">INDEX($B$4:$B$41,MATCH($B43,AD$4:AD$41,0))</f>
        <v>#N/A</v>
      </c>
      <c r="AE43" s="358" t="e">
        <f aca="false">INDEX($B$4:$B$41,MATCH($B43,AE$4:AE$41,0))</f>
        <v>#N/A</v>
      </c>
      <c r="AF43" s="358" t="e">
        <f aca="false">INDEX($B$4:$B$41,MATCH($B43,AF$4:AF$41,0))</f>
        <v>#N/A</v>
      </c>
      <c r="AG43" s="358" t="e">
        <f aca="false">INDEX($B$4:$B$41,MATCH($B43,AG$4:AG$41,0))</f>
        <v>#N/A</v>
      </c>
      <c r="AH43" s="272"/>
      <c r="AI43" s="272"/>
      <c r="AJ43" s="272"/>
      <c r="AK43" s="272"/>
      <c r="AL43" s="272"/>
      <c r="AM43" s="272"/>
      <c r="AN43" s="272"/>
      <c r="AO43" s="272"/>
      <c r="AP43" s="272"/>
      <c r="AQ43" s="279"/>
      <c r="AR43" s="279"/>
      <c r="AS43" s="278"/>
      <c r="AT43" s="272"/>
      <c r="AU43" s="278"/>
      <c r="AV43" s="278" t="n">
        <f aca="false">SUMPRODUCT(--(WEEKDAY(C$3:AF$3,2)&gt;5),--ISNUMBER(MATCH(C43:AF43,{"DM","CS1","CS2","SB1","AE","CS/B"},0)))</f>
        <v>0</v>
      </c>
      <c r="AW43" s="272"/>
      <c r="AX43" s="278"/>
      <c r="AY43" s="278"/>
      <c r="AZ43" s="278"/>
      <c r="BA43" s="279"/>
      <c r="BB43" s="278"/>
      <c r="BC43" s="278"/>
      <c r="BD43" s="278"/>
      <c r="BE43" s="278"/>
      <c r="BF43" s="278"/>
      <c r="BG43" s="278"/>
      <c r="BH43" s="278"/>
      <c r="BI43" s="278"/>
      <c r="BJ43" s="278"/>
      <c r="BK43" s="278"/>
      <c r="BL43" s="278"/>
      <c r="BM43" s="278"/>
      <c r="BN43" s="278"/>
      <c r="BO43" s="278"/>
      <c r="BP43" s="272"/>
    </row>
    <row r="44" customFormat="false" ht="19.5" hidden="false" customHeight="true" outlineLevel="0" collapsed="false">
      <c r="A44" s="272"/>
      <c r="B44" s="266" t="s">
        <v>56</v>
      </c>
      <c r="C44" s="358" t="e">
        <f aca="false">INDEX($B$4:$B$41,MATCH($B44,C$4:C$41,0))</f>
        <v>#N/A</v>
      </c>
      <c r="D44" s="358" t="e">
        <f aca="false">INDEX($B$4:$B$41,MATCH($B44,D$4:D$41,0))</f>
        <v>#N/A</v>
      </c>
      <c r="E44" s="358" t="e">
        <f aca="false">INDEX($B$4:$B$41,MATCH($B44,E$4:E$41,0))</f>
        <v>#N/A</v>
      </c>
      <c r="F44" s="358" t="e">
        <f aca="false">INDEX($B$4:$B$41,MATCH($B44,F$4:F$41,0))</f>
        <v>#N/A</v>
      </c>
      <c r="G44" s="358" t="e">
        <f aca="false">INDEX($B$4:$B$41,MATCH($B44,G$4:G$41,0))</f>
        <v>#N/A</v>
      </c>
      <c r="H44" s="358" t="e">
        <f aca="false">INDEX($B$4:$B$41,MATCH($B44,H$4:H$41,0))</f>
        <v>#N/A</v>
      </c>
      <c r="I44" s="358" t="e">
        <f aca="false">INDEX($B$4:$B$41,MATCH($B44,I$4:I$41,0))</f>
        <v>#N/A</v>
      </c>
      <c r="J44" s="358" t="e">
        <f aca="false">INDEX($B$4:$B$41,MATCH($B44,J$4:J$41,0))</f>
        <v>#N/A</v>
      </c>
      <c r="K44" s="358" t="e">
        <f aca="false">INDEX($B$4:$B$41,MATCH($B44,K$4:K$41,0))</f>
        <v>#N/A</v>
      </c>
      <c r="L44" s="358" t="e">
        <f aca="false">INDEX($B$4:$B$41,MATCH($B44,L$4:L$41,0))</f>
        <v>#N/A</v>
      </c>
      <c r="M44" s="358" t="e">
        <f aca="false">INDEX($B$4:$B$41,MATCH($B44,M$4:M$41,0))</f>
        <v>#N/A</v>
      </c>
      <c r="N44" s="358" t="e">
        <f aca="false">INDEX($B$4:$B$41,MATCH($B44,N$4:N$41,0))</f>
        <v>#N/A</v>
      </c>
      <c r="O44" s="358" t="e">
        <f aca="false">INDEX($B$4:$B$41,MATCH($B44,O$4:O$41,0))</f>
        <v>#N/A</v>
      </c>
      <c r="P44" s="358" t="e">
        <f aca="false">INDEX($B$4:$B$41,MATCH($B44,P$4:P$41,0))</f>
        <v>#N/A</v>
      </c>
      <c r="Q44" s="358" t="e">
        <f aca="false">INDEX($B$4:$B$41,MATCH($B44,Q$4:Q$41,0))</f>
        <v>#N/A</v>
      </c>
      <c r="R44" s="358" t="e">
        <f aca="false">INDEX($B$4:$B$41,MATCH($B44,R$4:R$41,0))</f>
        <v>#N/A</v>
      </c>
      <c r="S44" s="358" t="e">
        <f aca="false">INDEX($B$4:$B$41,MATCH($B44,S$4:S$41,0))</f>
        <v>#N/A</v>
      </c>
      <c r="T44" s="358" t="e">
        <f aca="false">INDEX($B$4:$B$41,MATCH($B44,T$4:T$41,0))</f>
        <v>#N/A</v>
      </c>
      <c r="U44" s="358" t="e">
        <f aca="false">INDEX($B$4:$B$41,MATCH($B44,U$4:U$41,0))</f>
        <v>#N/A</v>
      </c>
      <c r="V44" s="358" t="e">
        <f aca="false">INDEX($B$4:$B$41,MATCH($B44,V$4:V$41,0))</f>
        <v>#N/A</v>
      </c>
      <c r="W44" s="358" t="e">
        <f aca="false">INDEX($B$4:$B$41,MATCH($B44,W$4:W$41,0))</f>
        <v>#N/A</v>
      </c>
      <c r="X44" s="358" t="e">
        <f aca="false">INDEX($B$4:$B$41,MATCH($B44,X$4:X$41,0))</f>
        <v>#N/A</v>
      </c>
      <c r="Y44" s="358" t="e">
        <f aca="false">INDEX($B$4:$B$41,MATCH($B44,Y$4:Y$41,0))</f>
        <v>#N/A</v>
      </c>
      <c r="Z44" s="358" t="e">
        <f aca="false">INDEX($B$4:$B$41,MATCH($B44,Z$4:Z$41,0))</f>
        <v>#N/A</v>
      </c>
      <c r="AA44" s="358" t="e">
        <f aca="false">INDEX($B$4:$B$41,MATCH($B44,AA$4:AA$41,0))</f>
        <v>#N/A</v>
      </c>
      <c r="AB44" s="358" t="e">
        <f aca="false">INDEX($B$4:$B$41,MATCH($B44,AB$4:AB$41,0))</f>
        <v>#N/A</v>
      </c>
      <c r="AC44" s="358" t="e">
        <f aca="false">INDEX($B$4:$B$41,MATCH($B44,AC$4:AC$41,0))</f>
        <v>#N/A</v>
      </c>
      <c r="AD44" s="358" t="e">
        <f aca="false">INDEX($B$4:$B$41,MATCH($B44,AD$4:AD$41,0))</f>
        <v>#N/A</v>
      </c>
      <c r="AE44" s="358" t="e">
        <f aca="false">INDEX($B$4:$B$41,MATCH($B44,AE$4:AE$41,0))</f>
        <v>#N/A</v>
      </c>
      <c r="AF44" s="358" t="e">
        <f aca="false">INDEX($B$4:$B$41,MATCH($B44,AF$4:AF$41,0))</f>
        <v>#N/A</v>
      </c>
      <c r="AG44" s="358" t="e">
        <f aca="false">INDEX($B$4:$B$41,MATCH($B44,AG$4:AG$41,0))</f>
        <v>#N/A</v>
      </c>
      <c r="AH44" s="272"/>
      <c r="AI44" s="272"/>
      <c r="AJ44" s="272"/>
      <c r="AK44" s="272"/>
      <c r="AL44" s="272"/>
      <c r="AM44" s="272"/>
      <c r="AN44" s="272"/>
      <c r="AO44" s="272"/>
      <c r="AP44" s="272"/>
      <c r="AQ44" s="279"/>
      <c r="AR44" s="279"/>
      <c r="AS44" s="278"/>
      <c r="AT44" s="272"/>
      <c r="AU44" s="278"/>
      <c r="AV44" s="278" t="n">
        <f aca="false">SUMPRODUCT(--(WEEKDAY(C$3:AF$3,2)&gt;5),--ISNUMBER(MATCH(C44:AF44,{"DM","CS1","CS2","SB1","AE","CS/B"},0)))</f>
        <v>0</v>
      </c>
      <c r="AW44" s="272"/>
      <c r="AX44" s="278"/>
      <c r="AY44" s="278"/>
      <c r="AZ44" s="278"/>
      <c r="BA44" s="279"/>
      <c r="BB44" s="278"/>
      <c r="BC44" s="278"/>
      <c r="BD44" s="278"/>
      <c r="BE44" s="278"/>
      <c r="BF44" s="278"/>
      <c r="BG44" s="278"/>
      <c r="BH44" s="278"/>
      <c r="BI44" s="278"/>
      <c r="BJ44" s="278"/>
      <c r="BK44" s="278"/>
      <c r="BL44" s="278"/>
      <c r="BM44" s="278"/>
      <c r="BN44" s="278"/>
      <c r="BO44" s="278"/>
      <c r="BP44" s="272"/>
    </row>
    <row r="45" customFormat="false" ht="19.5" hidden="false" customHeight="true" outlineLevel="0" collapsed="false">
      <c r="A45" s="272"/>
      <c r="B45" s="266" t="s">
        <v>59</v>
      </c>
      <c r="C45" s="358" t="e">
        <f aca="false">INDEX($B$4:$B$41,MATCH($B45,C$4:C$41,0))</f>
        <v>#N/A</v>
      </c>
      <c r="D45" s="292" t="e">
        <f aca="false">INDEX($B$4:$B$41,MATCH($B45,D$4:D$41,0))</f>
        <v>#N/A</v>
      </c>
      <c r="E45" s="358" t="e">
        <f aca="false">INDEX($B$4:$B$41,MATCH($B45,E$4:E$41,0))</f>
        <v>#N/A</v>
      </c>
      <c r="F45" s="358" t="e">
        <f aca="false">INDEX($B$4:$B$41,MATCH($B45,F$4:F$41,0))</f>
        <v>#N/A</v>
      </c>
      <c r="G45" s="292" t="e">
        <f aca="false">INDEX($B$4:$B$41,MATCH($B45,G$4:G$41,0))</f>
        <v>#N/A</v>
      </c>
      <c r="H45" s="292" t="e">
        <f aca="false">INDEX($B$4:$B$41,MATCH($B45,H$4:H$41,0))</f>
        <v>#N/A</v>
      </c>
      <c r="I45" s="358" t="e">
        <f aca="false">INDEX($B$4:$B$41,MATCH($B45,I$4:I$41,0))</f>
        <v>#N/A</v>
      </c>
      <c r="J45" s="358" t="e">
        <f aca="false">INDEX($B$4:$B$41,MATCH($B45,J$4:J$41,0))</f>
        <v>#N/A</v>
      </c>
      <c r="K45" s="292" t="e">
        <f aca="false">INDEX($B$4:$B$41,MATCH($B45,K$4:K$41,0))</f>
        <v>#N/A</v>
      </c>
      <c r="L45" s="358" t="e">
        <f aca="false">INDEX($B$4:$B$41,MATCH($B45,L$4:L$41,0))</f>
        <v>#N/A</v>
      </c>
      <c r="M45" s="358" t="e">
        <f aca="false">INDEX($B$4:$B$41,MATCH($B45,M$4:M$41,0))</f>
        <v>#N/A</v>
      </c>
      <c r="N45" s="292" t="e">
        <f aca="false">INDEX($B$4:$B$41,MATCH($B45,N$4:N$41,0))</f>
        <v>#N/A</v>
      </c>
      <c r="O45" s="292" t="e">
        <f aca="false">INDEX($B$4:$B$41,MATCH($B45,O$4:O$41,0))</f>
        <v>#N/A</v>
      </c>
      <c r="P45" s="358" t="e">
        <f aca="false">INDEX($B$4:$B$41,MATCH($B45,P$4:P$41,0))</f>
        <v>#N/A</v>
      </c>
      <c r="Q45" s="358" t="e">
        <f aca="false">INDEX($B$4:$B$41,MATCH($B45,Q$4:Q$41,0))</f>
        <v>#N/A</v>
      </c>
      <c r="R45" s="292" t="e">
        <f aca="false">INDEX($B$4:$B$41,MATCH($B45,R$4:R$41,0))</f>
        <v>#N/A</v>
      </c>
      <c r="S45" s="358" t="e">
        <f aca="false">INDEX($B$4:$B$41,MATCH($B45,S$4:S$41,0))</f>
        <v>#N/A</v>
      </c>
      <c r="T45" s="358" t="e">
        <f aca="false">INDEX($B$4:$B$41,MATCH($B45,T$4:T$41,0))</f>
        <v>#N/A</v>
      </c>
      <c r="U45" s="292" t="e">
        <f aca="false">INDEX($B$4:$B$41,MATCH($B45,U$4:U$41,0))</f>
        <v>#N/A</v>
      </c>
      <c r="V45" s="292" t="e">
        <f aca="false">INDEX($B$4:$B$41,MATCH($B45,V$4:V$41,0))</f>
        <v>#N/A</v>
      </c>
      <c r="W45" s="358" t="e">
        <f aca="false">INDEX($B$4:$B$41,MATCH($B45,W$4:W$41,0))</f>
        <v>#N/A</v>
      </c>
      <c r="X45" s="358" t="e">
        <f aca="false">INDEX($B$4:$B$41,MATCH($B45,X$4:X$41,0))</f>
        <v>#N/A</v>
      </c>
      <c r="Y45" s="292" t="e">
        <f aca="false">INDEX($B$4:$B$41,MATCH($B45,Y$4:Y$41,0))</f>
        <v>#N/A</v>
      </c>
      <c r="Z45" s="358" t="e">
        <f aca="false">INDEX($B$4:$B$41,MATCH($B45,Z$4:Z$41,0))</f>
        <v>#N/A</v>
      </c>
      <c r="AA45" s="358" t="e">
        <f aca="false">INDEX($B$4:$B$41,MATCH($B45,AA$4:AA$41,0))</f>
        <v>#N/A</v>
      </c>
      <c r="AB45" s="292" t="e">
        <f aca="false">INDEX($B$4:$B$41,MATCH($B45,AB$4:AB$41,0))</f>
        <v>#N/A</v>
      </c>
      <c r="AC45" s="292" t="e">
        <f aca="false">INDEX($B$4:$B$41,MATCH($B45,AC$4:AC$41,0))</f>
        <v>#N/A</v>
      </c>
      <c r="AD45" s="358" t="e">
        <f aca="false">INDEX($B$4:$B$41,MATCH($B45,AD$4:AD$41,0))</f>
        <v>#N/A</v>
      </c>
      <c r="AE45" s="358" t="e">
        <f aca="false">INDEX($B$4:$B$41,MATCH($B45,AE$4:AE$41,0))</f>
        <v>#N/A</v>
      </c>
      <c r="AF45" s="292" t="e">
        <f aca="false">INDEX($B$4:$B$41,MATCH($B45,AF$4:AF$41,0))</f>
        <v>#N/A</v>
      </c>
      <c r="AG45" s="358" t="e">
        <f aca="false">INDEX($B$4:$B$41,MATCH($B45,AG$4:AG$41,0))</f>
        <v>#N/A</v>
      </c>
      <c r="AH45" s="272"/>
      <c r="AI45" s="272"/>
      <c r="AJ45" s="272"/>
      <c r="AK45" s="272"/>
      <c r="AL45" s="272"/>
      <c r="AM45" s="272"/>
      <c r="AN45" s="272"/>
      <c r="AO45" s="272"/>
      <c r="AP45" s="272"/>
      <c r="AQ45" s="279"/>
      <c r="AR45" s="279"/>
      <c r="AS45" s="278"/>
      <c r="AT45" s="272"/>
      <c r="AU45" s="278"/>
      <c r="AV45" s="278" t="n">
        <f aca="false">SUMPRODUCT(--(WEEKDAY(C$3:AF$3,2)&gt;5),--ISNUMBER(MATCH(C45:AF45,{"DM","CS1","CS2","SB1","AE","CS/B"},0)))</f>
        <v>0</v>
      </c>
      <c r="AW45" s="272"/>
      <c r="AX45" s="278"/>
      <c r="AY45" s="278"/>
      <c r="AZ45" s="278"/>
      <c r="BA45" s="279"/>
      <c r="BB45" s="278"/>
      <c r="BC45" s="278"/>
      <c r="BD45" s="278"/>
      <c r="BE45" s="278"/>
      <c r="BF45" s="278"/>
      <c r="BG45" s="278"/>
      <c r="BH45" s="278"/>
      <c r="BI45" s="278"/>
      <c r="BJ45" s="278"/>
      <c r="BK45" s="278"/>
      <c r="BL45" s="278"/>
      <c r="BM45" s="278"/>
      <c r="BN45" s="278"/>
      <c r="BO45" s="278"/>
      <c r="BP45" s="272"/>
    </row>
    <row r="46" customFormat="false" ht="19.5" hidden="false" customHeight="true" outlineLevel="0" collapsed="false">
      <c r="A46" s="272"/>
      <c r="B46" s="266" t="s">
        <v>566</v>
      </c>
      <c r="C46" s="292" t="e">
        <f aca="false">INDEX($B$4:$B$41,MATCH($B46,C$4:C$41,0))</f>
        <v>#N/A</v>
      </c>
      <c r="D46" s="358" t="e">
        <f aca="false">INDEX($B$4:$B$41,MATCH($B46,D$4:D$41,0))</f>
        <v>#N/A</v>
      </c>
      <c r="E46" s="292" t="e">
        <f aca="false">INDEX($B$4:$B$41,MATCH($B46,E$4:E$41,0))</f>
        <v>#N/A</v>
      </c>
      <c r="F46" s="292" t="e">
        <f aca="false">INDEX($B$4:$B$41,MATCH($B46,F$4:F$41,0))</f>
        <v>#N/A</v>
      </c>
      <c r="G46" s="358" t="e">
        <f aca="false">INDEX($B$4:$B$41,MATCH($B46,G$4:G$41,0))</f>
        <v>#N/A</v>
      </c>
      <c r="H46" s="358" t="e">
        <f aca="false">INDEX($B$4:$B$41,MATCH($B46,H$4:H$41,0))</f>
        <v>#N/A</v>
      </c>
      <c r="I46" s="292" t="e">
        <f aca="false">INDEX($B$4:$B$41,MATCH($B46,I$4:I$41,0))</f>
        <v>#N/A</v>
      </c>
      <c r="J46" s="292" t="e">
        <f aca="false">INDEX($B$4:$B$41,MATCH($B46,J$4:J$41,0))</f>
        <v>#N/A</v>
      </c>
      <c r="K46" s="358" t="e">
        <f aca="false">INDEX($B$4:$B$41,MATCH($B46,K$4:K$41,0))</f>
        <v>#N/A</v>
      </c>
      <c r="L46" s="292" t="e">
        <f aca="false">INDEX($B$4:$B$41,MATCH($B46,L$4:L$41,0))</f>
        <v>#N/A</v>
      </c>
      <c r="M46" s="292" t="e">
        <f aca="false">INDEX($B$4:$B$41,MATCH($B46,M$4:M$41,0))</f>
        <v>#N/A</v>
      </c>
      <c r="N46" s="358" t="e">
        <f aca="false">INDEX($B$4:$B$41,MATCH($B46,N$4:N$41,0))</f>
        <v>#N/A</v>
      </c>
      <c r="O46" s="358" t="e">
        <f aca="false">INDEX($B$4:$B$41,MATCH($B46,O$4:O$41,0))</f>
        <v>#N/A</v>
      </c>
      <c r="P46" s="292" t="e">
        <f aca="false">INDEX($B$4:$B$41,MATCH($B46,P$4:P$41,0))</f>
        <v>#N/A</v>
      </c>
      <c r="Q46" s="292" t="e">
        <f aca="false">INDEX($B$4:$B$41,MATCH($B46,Q$4:Q$41,0))</f>
        <v>#N/A</v>
      </c>
      <c r="R46" s="358" t="e">
        <f aca="false">INDEX($B$4:$B$41,MATCH($B46,R$4:R$41,0))</f>
        <v>#N/A</v>
      </c>
      <c r="S46" s="292" t="e">
        <f aca="false">INDEX($B$4:$B$41,MATCH($B46,S$4:S$41,0))</f>
        <v>#N/A</v>
      </c>
      <c r="T46" s="292" t="e">
        <f aca="false">INDEX($B$4:$B$41,MATCH($B46,T$4:T$41,0))</f>
        <v>#N/A</v>
      </c>
      <c r="U46" s="358" t="e">
        <f aca="false">INDEX($B$4:$B$41,MATCH($B46,U$4:U$41,0))</f>
        <v>#N/A</v>
      </c>
      <c r="V46" s="358" t="e">
        <f aca="false">INDEX($B$4:$B$41,MATCH($B46,V$4:V$41,0))</f>
        <v>#N/A</v>
      </c>
      <c r="W46" s="292" t="e">
        <f aca="false">INDEX($B$4:$B$41,MATCH($B46,W$4:W$41,0))</f>
        <v>#N/A</v>
      </c>
      <c r="X46" s="292" t="e">
        <f aca="false">INDEX($B$4:$B$41,MATCH($B46,X$4:X$41,0))</f>
        <v>#N/A</v>
      </c>
      <c r="Y46" s="358" t="e">
        <f aca="false">INDEX($B$4:$B$41,MATCH($B46,Y$4:Y$41,0))</f>
        <v>#N/A</v>
      </c>
      <c r="Z46" s="292" t="e">
        <f aca="false">INDEX($B$4:$B$41,MATCH($B46,Z$4:Z$41,0))</f>
        <v>#N/A</v>
      </c>
      <c r="AA46" s="292" t="e">
        <f aca="false">INDEX($B$4:$B$41,MATCH($B46,AA$4:AA$41,0))</f>
        <v>#N/A</v>
      </c>
      <c r="AB46" s="358" t="e">
        <f aca="false">INDEX($B$4:$B$41,MATCH($B46,AB$4:AB$41,0))</f>
        <v>#N/A</v>
      </c>
      <c r="AC46" s="358" t="e">
        <f aca="false">INDEX($B$4:$B$41,MATCH($B46,AC$4:AC$41,0))</f>
        <v>#N/A</v>
      </c>
      <c r="AD46" s="292" t="e">
        <f aca="false">INDEX($B$4:$B$41,MATCH($B46,AD$4:AD$41,0))</f>
        <v>#N/A</v>
      </c>
      <c r="AE46" s="292" t="e">
        <f aca="false">INDEX($B$4:$B$41,MATCH($B46,AE$4:AE$41,0))</f>
        <v>#N/A</v>
      </c>
      <c r="AF46" s="358" t="e">
        <f aca="false">INDEX($B$4:$B$41,MATCH($B46,AF$4:AF$41,0))</f>
        <v>#N/A</v>
      </c>
      <c r="AG46" s="292" t="e">
        <f aca="false">INDEX($B$4:$B$41,MATCH($B46,AG$4:AG$41,0))</f>
        <v>#N/A</v>
      </c>
      <c r="AH46" s="272"/>
      <c r="AI46" s="272"/>
      <c r="AJ46" s="272"/>
      <c r="AK46" s="272"/>
      <c r="AL46" s="272"/>
      <c r="AM46" s="272"/>
      <c r="AN46" s="272"/>
      <c r="AO46" s="272"/>
      <c r="AP46" s="272"/>
      <c r="AQ46" s="279"/>
      <c r="AR46" s="279"/>
      <c r="AS46" s="278"/>
      <c r="AT46" s="272"/>
      <c r="AU46" s="278"/>
      <c r="AV46" s="278" t="n">
        <f aca="false">SUMPRODUCT(--(WEEKDAY(C$3:AF$3,2)&gt;5),--ISNUMBER(MATCH(C46:AF46,{"DM","CS1","CS2","SB1","AE","CS/B"},0)))</f>
        <v>0</v>
      </c>
      <c r="AW46" s="272"/>
      <c r="AX46" s="278"/>
      <c r="AY46" s="278"/>
      <c r="AZ46" s="278"/>
      <c r="BA46" s="279"/>
      <c r="BB46" s="278"/>
      <c r="BC46" s="278"/>
      <c r="BD46" s="278"/>
      <c r="BE46" s="278"/>
      <c r="BF46" s="278"/>
      <c r="BG46" s="278"/>
      <c r="BH46" s="278"/>
      <c r="BI46" s="278"/>
      <c r="BJ46" s="278"/>
      <c r="BK46" s="278"/>
      <c r="BL46" s="278"/>
      <c r="BM46" s="278"/>
      <c r="BN46" s="278"/>
      <c r="BO46" s="278"/>
      <c r="BP46" s="272"/>
    </row>
    <row r="47" customFormat="false" ht="19.5" hidden="false" customHeight="true" outlineLevel="0" collapsed="false">
      <c r="A47" s="272"/>
      <c r="B47" s="266" t="s">
        <v>58</v>
      </c>
      <c r="C47" s="358" t="e">
        <f aca="false">INDEX($B$4:$B$41,MATCH($B47,C$4:C$41,0))</f>
        <v>#N/A</v>
      </c>
      <c r="D47" s="292" t="e">
        <f aca="false">INDEX($B$4:$B$41,MATCH($B47,D$4:D$41,0))</f>
        <v>#N/A</v>
      </c>
      <c r="E47" s="358" t="e">
        <f aca="false">INDEX($B$4:$B$41,MATCH($B47,E$4:E$41,0))</f>
        <v>#N/A</v>
      </c>
      <c r="F47" s="358" t="e">
        <f aca="false">INDEX($B$4:$B$41,MATCH($B47,F$4:F$41,0))</f>
        <v>#N/A</v>
      </c>
      <c r="G47" s="292" t="e">
        <f aca="false">INDEX($B$4:$B$41,MATCH($B47,G$4:G$41,0))</f>
        <v>#N/A</v>
      </c>
      <c r="H47" s="292" t="e">
        <f aca="false">INDEX($B$4:$B$41,MATCH($B47,H$4:H$41,0))</f>
        <v>#N/A</v>
      </c>
      <c r="I47" s="358" t="e">
        <f aca="false">INDEX($B$4:$B$41,MATCH($B47,I$4:I$41,0))</f>
        <v>#N/A</v>
      </c>
      <c r="J47" s="358" t="e">
        <f aca="false">INDEX($B$4:$B$41,MATCH($B47,J$4:J$41,0))</f>
        <v>#N/A</v>
      </c>
      <c r="K47" s="292" t="e">
        <f aca="false">INDEX($B$4:$B$41,MATCH($B47,K$4:K$41,0))</f>
        <v>#N/A</v>
      </c>
      <c r="L47" s="358" t="e">
        <f aca="false">INDEX($B$4:$B$41,MATCH($B47,L$4:L$41,0))</f>
        <v>#N/A</v>
      </c>
      <c r="M47" s="358" t="e">
        <f aca="false">INDEX($B$4:$B$41,MATCH($B47,M$4:M$41,0))</f>
        <v>#N/A</v>
      </c>
      <c r="N47" s="292" t="e">
        <f aca="false">INDEX($B$4:$B$41,MATCH($B47,N$4:N$41,0))</f>
        <v>#N/A</v>
      </c>
      <c r="O47" s="292" t="e">
        <f aca="false">INDEX($B$4:$B$41,MATCH($B47,O$4:O$41,0))</f>
        <v>#N/A</v>
      </c>
      <c r="P47" s="358" t="e">
        <f aca="false">INDEX($B$4:$B$41,MATCH($B47,P$4:P$41,0))</f>
        <v>#N/A</v>
      </c>
      <c r="Q47" s="358" t="e">
        <f aca="false">INDEX($B$4:$B$41,MATCH($B47,Q$4:Q$41,0))</f>
        <v>#N/A</v>
      </c>
      <c r="R47" s="292" t="e">
        <f aca="false">INDEX($B$4:$B$41,MATCH($B47,R$4:R$41,0))</f>
        <v>#N/A</v>
      </c>
      <c r="S47" s="358" t="e">
        <f aca="false">INDEX($B$4:$B$41,MATCH($B47,S$4:S$41,0))</f>
        <v>#N/A</v>
      </c>
      <c r="T47" s="358" t="e">
        <f aca="false">INDEX($B$4:$B$41,MATCH($B47,T$4:T$41,0))</f>
        <v>#N/A</v>
      </c>
      <c r="U47" s="292" t="e">
        <f aca="false">INDEX($B$4:$B$41,MATCH($B47,U$4:U$41,0))</f>
        <v>#N/A</v>
      </c>
      <c r="V47" s="292" t="e">
        <f aca="false">INDEX($B$4:$B$41,MATCH($B47,V$4:V$41,0))</f>
        <v>#N/A</v>
      </c>
      <c r="W47" s="358" t="e">
        <f aca="false">INDEX($B$4:$B$41,MATCH($B47,W$4:W$41,0))</f>
        <v>#N/A</v>
      </c>
      <c r="X47" s="358" t="e">
        <f aca="false">INDEX($B$4:$B$41,MATCH($B47,X$4:X$41,0))</f>
        <v>#N/A</v>
      </c>
      <c r="Y47" s="292" t="e">
        <f aca="false">INDEX($B$4:$B$41,MATCH($B47,Y$4:Y$41,0))</f>
        <v>#N/A</v>
      </c>
      <c r="Z47" s="358" t="e">
        <f aca="false">INDEX($B$4:$B$41,MATCH($B47,Z$4:Z$41,0))</f>
        <v>#N/A</v>
      </c>
      <c r="AA47" s="358" t="e">
        <f aca="false">INDEX($B$4:$B$41,MATCH($B47,AA$4:AA$41,0))</f>
        <v>#N/A</v>
      </c>
      <c r="AB47" s="292" t="e">
        <f aca="false">INDEX($B$4:$B$41,MATCH($B47,AB$4:AB$41,0))</f>
        <v>#N/A</v>
      </c>
      <c r="AC47" s="292" t="e">
        <f aca="false">INDEX($B$4:$B$41,MATCH($B47,AC$4:AC$41,0))</f>
        <v>#N/A</v>
      </c>
      <c r="AD47" s="358" t="e">
        <f aca="false">INDEX($B$4:$B$41,MATCH($B47,AD$4:AD$41,0))</f>
        <v>#N/A</v>
      </c>
      <c r="AE47" s="358" t="e">
        <f aca="false">INDEX($B$4:$B$41,MATCH($B47,AE$4:AE$41,0))</f>
        <v>#N/A</v>
      </c>
      <c r="AF47" s="292" t="e">
        <f aca="false">INDEX($B$4:$B$41,MATCH($B47,AF$4:AF$41,0))</f>
        <v>#N/A</v>
      </c>
      <c r="AG47" s="358" t="e">
        <f aca="false">INDEX($B$4:$B$41,MATCH($B47,AG$4:AG$41,0))</f>
        <v>#N/A</v>
      </c>
      <c r="AH47" s="272"/>
      <c r="AI47" s="272"/>
      <c r="AJ47" s="272"/>
      <c r="AK47" s="272"/>
      <c r="AL47" s="272"/>
      <c r="AM47" s="272"/>
      <c r="AN47" s="272"/>
      <c r="AO47" s="272"/>
      <c r="AP47" s="272"/>
      <c r="AQ47" s="279"/>
      <c r="AR47" s="279"/>
      <c r="AS47" s="278"/>
      <c r="AT47" s="272"/>
      <c r="AU47" s="278"/>
      <c r="AV47" s="278" t="n">
        <f aca="false">SUMPRODUCT(--(WEEKDAY(C$3:AF$3,2)&gt;5),--ISNUMBER(MATCH(C47:AF47,{"DM","CS1","CS2","SB1","AE","CS/B"},0)))</f>
        <v>0</v>
      </c>
      <c r="AW47" s="272"/>
      <c r="AX47" s="278"/>
      <c r="AY47" s="278"/>
      <c r="AZ47" s="278"/>
      <c r="BA47" s="279"/>
      <c r="BB47" s="278"/>
      <c r="BC47" s="278"/>
      <c r="BD47" s="278"/>
      <c r="BE47" s="278"/>
      <c r="BF47" s="278"/>
      <c r="BG47" s="278"/>
      <c r="BH47" s="278"/>
      <c r="BI47" s="278"/>
      <c r="BJ47" s="278"/>
      <c r="BK47" s="278"/>
      <c r="BL47" s="278"/>
      <c r="BM47" s="278"/>
      <c r="BN47" s="278"/>
      <c r="BO47" s="278"/>
      <c r="BP47" s="272"/>
    </row>
    <row r="48" customFormat="false" ht="19.5" hidden="false" customHeight="true" outlineLevel="0" collapsed="false">
      <c r="A48" s="272"/>
      <c r="B48" s="266" t="s">
        <v>93</v>
      </c>
      <c r="C48" s="358" t="e">
        <f aca="false">INDEX($B$4:$B$41,MATCH($B48,C$4:C$41,0))</f>
        <v>#N/A</v>
      </c>
      <c r="D48" s="358" t="e">
        <f aca="false">INDEX($B$4:$B$41,MATCH($B48,D$4:D$41,0))</f>
        <v>#N/A</v>
      </c>
      <c r="E48" s="358" t="e">
        <f aca="false">INDEX($B$4:$B$41,MATCH($B48,E$4:E$41,0))</f>
        <v>#N/A</v>
      </c>
      <c r="F48" s="292" t="e">
        <f aca="false">INDEX($B$4:$B$41,MATCH($B48,F$4:F$41,0))</f>
        <v>#N/A</v>
      </c>
      <c r="G48" s="292" t="e">
        <f aca="false">INDEX($B$4:$B$41,MATCH($B48,G$4:G$41,0))</f>
        <v>#N/A</v>
      </c>
      <c r="H48" s="358" t="e">
        <f aca="false">INDEX($B$4:$B$41,MATCH($B48,H$4:H$41,0))</f>
        <v>#N/A</v>
      </c>
      <c r="I48" s="358" t="e">
        <f aca="false">INDEX($B$4:$B$41,MATCH($B48,I$4:I$41,0))</f>
        <v>#N/A</v>
      </c>
      <c r="J48" s="358" t="e">
        <f aca="false">INDEX($B$4:$B$41,MATCH($B48,J$4:J$41,0))</f>
        <v>#N/A</v>
      </c>
      <c r="K48" s="358" t="e">
        <f aca="false">INDEX($B$4:$B$41,MATCH($B48,K$4:K$41,0))</f>
        <v>#N/A</v>
      </c>
      <c r="L48" s="358" t="e">
        <f aca="false">INDEX($B$4:$B$41,MATCH($B48,L$4:L$41,0))</f>
        <v>#N/A</v>
      </c>
      <c r="M48" s="292" t="e">
        <f aca="false">INDEX($B$4:$B$41,MATCH($B48,M$4:M$41,0))</f>
        <v>#N/A</v>
      </c>
      <c r="N48" s="292" t="e">
        <f aca="false">INDEX($B$4:$B$41,MATCH($B48,N$4:N$41,0))</f>
        <v>#N/A</v>
      </c>
      <c r="O48" s="358" t="e">
        <f aca="false">INDEX($B$4:$B$41,MATCH($B48,O$4:O$41,0))</f>
        <v>#N/A</v>
      </c>
      <c r="P48" s="358" t="e">
        <f aca="false">INDEX($B$4:$B$41,MATCH($B48,P$4:P$41,0))</f>
        <v>#N/A</v>
      </c>
      <c r="Q48" s="358" t="e">
        <f aca="false">INDEX($B$4:$B$41,MATCH($B48,Q$4:Q$41,0))</f>
        <v>#N/A</v>
      </c>
      <c r="R48" s="358" t="e">
        <f aca="false">INDEX($B$4:$B$41,MATCH($B48,R$4:R$41,0))</f>
        <v>#N/A</v>
      </c>
      <c r="S48" s="358" t="e">
        <f aca="false">INDEX($B$4:$B$41,MATCH($B48,S$4:S$41,0))</f>
        <v>#N/A</v>
      </c>
      <c r="T48" s="292" t="e">
        <f aca="false">INDEX($B$4:$B$41,MATCH($B48,T$4:T$41,0))</f>
        <v>#N/A</v>
      </c>
      <c r="U48" s="292" t="e">
        <f aca="false">INDEX($B$4:$B$41,MATCH($B48,U$4:U$41,0))</f>
        <v>#N/A</v>
      </c>
      <c r="V48" s="358" t="e">
        <f aca="false">INDEX($B$4:$B$41,MATCH($B48,V$4:V$41,0))</f>
        <v>#N/A</v>
      </c>
      <c r="W48" s="358" t="e">
        <f aca="false">INDEX($B$4:$B$41,MATCH($B48,W$4:W$41,0))</f>
        <v>#N/A</v>
      </c>
      <c r="X48" s="358" t="e">
        <f aca="false">INDEX($B$4:$B$41,MATCH($B48,X$4:X$41,0))</f>
        <v>#N/A</v>
      </c>
      <c r="Y48" s="358" t="e">
        <f aca="false">INDEX($B$4:$B$41,MATCH($B48,Y$4:Y$41,0))</f>
        <v>#N/A</v>
      </c>
      <c r="Z48" s="358" t="e">
        <f aca="false">INDEX($B$4:$B$41,MATCH($B48,Z$4:Z$41,0))</f>
        <v>#N/A</v>
      </c>
      <c r="AA48" s="292" t="e">
        <f aca="false">INDEX($B$4:$B$41,MATCH($B48,AA$4:AA$41,0))</f>
        <v>#N/A</v>
      </c>
      <c r="AB48" s="292" t="e">
        <f aca="false">INDEX($B$4:$B$41,MATCH($B48,AB$4:AB$41,0))</f>
        <v>#N/A</v>
      </c>
      <c r="AC48" s="358" t="e">
        <f aca="false">INDEX($B$4:$B$41,MATCH($B48,AC$4:AC$41,0))</f>
        <v>#N/A</v>
      </c>
      <c r="AD48" s="358" t="e">
        <f aca="false">INDEX($B$4:$B$41,MATCH($B48,AD$4:AD$41,0))</f>
        <v>#N/A</v>
      </c>
      <c r="AE48" s="358" t="e">
        <f aca="false">INDEX($B$4:$B$41,MATCH($B48,AE$4:AE$41,0))</f>
        <v>#N/A</v>
      </c>
      <c r="AF48" s="358" t="e">
        <f aca="false">INDEX($B$4:$B$41,MATCH($B48,AF$4:AF$41,0))</f>
        <v>#N/A</v>
      </c>
      <c r="AG48" s="358" t="e">
        <f aca="false">INDEX($B$4:$B$41,MATCH($B48,AG$4:AG$41,0))</f>
        <v>#N/A</v>
      </c>
      <c r="AH48" s="272"/>
      <c r="AI48" s="272"/>
      <c r="AJ48" s="272"/>
      <c r="AK48" s="272"/>
      <c r="AL48" s="272"/>
      <c r="AM48" s="272"/>
      <c r="AN48" s="272"/>
      <c r="AO48" s="272"/>
      <c r="AP48" s="272"/>
      <c r="AQ48" s="279"/>
      <c r="AR48" s="279"/>
      <c r="AS48" s="278"/>
      <c r="AT48" s="272"/>
      <c r="AU48" s="278"/>
      <c r="AV48" s="278" t="n">
        <f aca="false">SUMPRODUCT(--(WEEKDAY(C$3:AF$3,2)&gt;5),--ISNUMBER(MATCH(C48:AF48,{"DM","CS1","CS2","SB1","AE","CS/B"},0)))</f>
        <v>0</v>
      </c>
      <c r="AW48" s="272"/>
      <c r="AX48" s="278"/>
      <c r="AY48" s="278"/>
      <c r="AZ48" s="278"/>
      <c r="BA48" s="279"/>
      <c r="BB48" s="278"/>
      <c r="BC48" s="278"/>
      <c r="BD48" s="278"/>
      <c r="BE48" s="278"/>
      <c r="BF48" s="278"/>
      <c r="BG48" s="278"/>
      <c r="BH48" s="278"/>
      <c r="BI48" s="278"/>
      <c r="BJ48" s="278"/>
      <c r="BK48" s="278"/>
      <c r="BL48" s="278"/>
      <c r="BM48" s="278"/>
      <c r="BN48" s="278"/>
      <c r="BO48" s="278"/>
      <c r="BP48" s="272"/>
    </row>
    <row r="49" customFormat="false" ht="19.5" hidden="false" customHeight="true" outlineLevel="0" collapsed="false">
      <c r="A49" s="272"/>
      <c r="B49" s="266" t="s">
        <v>65</v>
      </c>
      <c r="C49" s="358" t="e">
        <f aca="false">INDEX($B$4:$B$41,MATCH($B49,C$4:C$41,0))</f>
        <v>#N/A</v>
      </c>
      <c r="D49" s="358" t="e">
        <f aca="false">INDEX($B$4:$B$41,MATCH($B49,D$4:D$41,0))</f>
        <v>#N/A</v>
      </c>
      <c r="E49" s="358" t="e">
        <f aca="false">INDEX($B$4:$B$41,MATCH($B49,E$4:E$41,0))</f>
        <v>#N/A</v>
      </c>
      <c r="F49" s="358" t="e">
        <f aca="false">INDEX($B$4:$B$41,MATCH($B49,F$4:F$41,0))</f>
        <v>#N/A</v>
      </c>
      <c r="G49" s="358" t="e">
        <f aca="false">INDEX($B$4:$B$41,MATCH($B49,G$4:G$41,0))</f>
        <v>#N/A</v>
      </c>
      <c r="H49" s="358" t="e">
        <f aca="false">INDEX($B$4:$B$41,MATCH($B49,H$4:H$41,0))</f>
        <v>#N/A</v>
      </c>
      <c r="I49" s="358" t="e">
        <f aca="false">INDEX($B$4:$B$41,MATCH($B49,I$4:I$41,0))</f>
        <v>#N/A</v>
      </c>
      <c r="J49" s="358" t="e">
        <f aca="false">INDEX($B$4:$B$41,MATCH($B49,J$4:J$41,0))</f>
        <v>#N/A</v>
      </c>
      <c r="K49" s="358" t="e">
        <f aca="false">INDEX($B$4:$B$41,MATCH($B49,K$4:K$41,0))</f>
        <v>#N/A</v>
      </c>
      <c r="L49" s="358" t="e">
        <f aca="false">INDEX($B$4:$B$41,MATCH($B49,L$4:L$41,0))</f>
        <v>#N/A</v>
      </c>
      <c r="M49" s="358" t="e">
        <f aca="false">INDEX($B$4:$B$41,MATCH($B49,M$4:M$41,0))</f>
        <v>#N/A</v>
      </c>
      <c r="N49" s="358" t="e">
        <f aca="false">INDEX($B$4:$B$41,MATCH($B49,N$4:N$41,0))</f>
        <v>#N/A</v>
      </c>
      <c r="O49" s="358" t="e">
        <f aca="false">INDEX($B$4:$B$41,MATCH($B49,O$4:O$41,0))</f>
        <v>#N/A</v>
      </c>
      <c r="P49" s="358" t="e">
        <f aca="false">INDEX($B$4:$B$41,MATCH($B49,P$4:P$41,0))</f>
        <v>#N/A</v>
      </c>
      <c r="Q49" s="358" t="e">
        <f aca="false">INDEX($B$4:$B$41,MATCH($B49,Q$4:Q$41,0))</f>
        <v>#N/A</v>
      </c>
      <c r="R49" s="358" t="e">
        <f aca="false">INDEX($B$4:$B$41,MATCH($B49,R$4:R$41,0))</f>
        <v>#N/A</v>
      </c>
      <c r="S49" s="358" t="e">
        <f aca="false">INDEX($B$4:$B$41,MATCH($B49,S$4:S$41,0))</f>
        <v>#N/A</v>
      </c>
      <c r="T49" s="358" t="e">
        <f aca="false">INDEX($B$4:$B$41,MATCH($B49,T$4:T$41,0))</f>
        <v>#N/A</v>
      </c>
      <c r="U49" s="358" t="e">
        <f aca="false">INDEX($B$4:$B$41,MATCH($B49,U$4:U$41,0))</f>
        <v>#N/A</v>
      </c>
      <c r="V49" s="358" t="e">
        <f aca="false">INDEX($B$4:$B$41,MATCH($B49,V$4:V$41,0))</f>
        <v>#N/A</v>
      </c>
      <c r="W49" s="358" t="e">
        <f aca="false">INDEX($B$4:$B$41,MATCH($B49,W$4:W$41,0))</f>
        <v>#N/A</v>
      </c>
      <c r="X49" s="358" t="e">
        <f aca="false">INDEX($B$4:$B$41,MATCH($B49,X$4:X$41,0))</f>
        <v>#N/A</v>
      </c>
      <c r="Y49" s="358" t="e">
        <f aca="false">INDEX($B$4:$B$41,MATCH($B49,Y$4:Y$41,0))</f>
        <v>#N/A</v>
      </c>
      <c r="Z49" s="358" t="e">
        <f aca="false">INDEX($B$4:$B$41,MATCH($B49,Z$4:Z$41,0))</f>
        <v>#N/A</v>
      </c>
      <c r="AA49" s="358" t="e">
        <f aca="false">INDEX($B$4:$B$41,MATCH($B49,AA$4:AA$41,0))</f>
        <v>#N/A</v>
      </c>
      <c r="AB49" s="358" t="e">
        <f aca="false">INDEX($B$4:$B$41,MATCH($B49,AB$4:AB$41,0))</f>
        <v>#N/A</v>
      </c>
      <c r="AC49" s="358" t="e">
        <f aca="false">INDEX($B$4:$B$41,MATCH($B49,AC$4:AC$41,0))</f>
        <v>#N/A</v>
      </c>
      <c r="AD49" s="358" t="e">
        <f aca="false">INDEX($B$4:$B$41,MATCH($B49,AD$4:AD$41,0))</f>
        <v>#N/A</v>
      </c>
      <c r="AE49" s="358" t="e">
        <f aca="false">INDEX($B$4:$B$41,MATCH($B49,AE$4:AE$41,0))</f>
        <v>#N/A</v>
      </c>
      <c r="AF49" s="358" t="e">
        <f aca="false">INDEX($B$4:$B$41,MATCH($B49,AF$4:AF$41,0))</f>
        <v>#N/A</v>
      </c>
      <c r="AG49" s="358" t="e">
        <f aca="false">INDEX($B$4:$B$41,MATCH($B49,AG$4:AG$41,0))</f>
        <v>#N/A</v>
      </c>
      <c r="AH49" s="272"/>
      <c r="AI49" s="272"/>
      <c r="AJ49" s="272"/>
      <c r="AK49" s="272"/>
      <c r="AL49" s="272"/>
      <c r="AM49" s="272"/>
      <c r="AN49" s="272"/>
      <c r="AO49" s="272"/>
      <c r="AP49" s="272"/>
      <c r="AQ49" s="279"/>
      <c r="AR49" s="279"/>
      <c r="AS49" s="278"/>
      <c r="AT49" s="272"/>
      <c r="AU49" s="278"/>
      <c r="AV49" s="278" t="n">
        <f aca="false">SUMPRODUCT(--(WEEKDAY(C$3:AF$3,2)&gt;5),--ISNUMBER(MATCH(C49:AF49,{"DM","CS1","CS2","SB1","AE","CS/B"},0)))</f>
        <v>0</v>
      </c>
      <c r="AW49" s="272"/>
      <c r="AX49" s="278"/>
      <c r="AY49" s="278"/>
      <c r="AZ49" s="278"/>
      <c r="BA49" s="279"/>
      <c r="BB49" s="278"/>
      <c r="BC49" s="278"/>
      <c r="BD49" s="278"/>
      <c r="BE49" s="278"/>
      <c r="BF49" s="278"/>
      <c r="BG49" s="278"/>
      <c r="BH49" s="278"/>
      <c r="BI49" s="278"/>
      <c r="BJ49" s="278"/>
      <c r="BK49" s="278"/>
      <c r="BL49" s="278"/>
      <c r="BM49" s="278"/>
      <c r="BN49" s="278"/>
      <c r="BO49" s="278"/>
      <c r="BP49" s="272"/>
    </row>
    <row r="50" customFormat="false" ht="19.5" hidden="false" customHeight="true" outlineLevel="0" collapsed="false">
      <c r="A50" s="272"/>
      <c r="B50" s="316" t="s">
        <v>350</v>
      </c>
      <c r="C50" s="292" t="e">
        <f aca="false">INDEX($B$4:$B$41,MATCH($B50,C$4:C$41,0))</f>
        <v>#N/A</v>
      </c>
      <c r="D50" s="358" t="e">
        <f aca="false">INDEX($B$4:$B$41,MATCH($B50,D$4:D$41,0))</f>
        <v>#N/A</v>
      </c>
      <c r="E50" s="358" t="e">
        <f aca="false">INDEX($B$4:$B$41,MATCH($B50,E$4:E$41,0))</f>
        <v>#N/A</v>
      </c>
      <c r="F50" s="358" t="e">
        <f aca="false">INDEX($B$4:$B$41,MATCH($B50,F$4:F$41,0))</f>
        <v>#N/A</v>
      </c>
      <c r="G50" s="358" t="e">
        <f aca="false">INDEX($B$4:$B$41,MATCH($B50,G$4:G$41,0))</f>
        <v>#N/A</v>
      </c>
      <c r="H50" s="358" t="e">
        <f aca="false">INDEX($B$4:$B$41,MATCH($B50,H$4:H$41,0))</f>
        <v>#N/A</v>
      </c>
      <c r="I50" s="358" t="e">
        <f aca="false">INDEX($B$4:$B$41,MATCH($B50,I$4:I$41,0))</f>
        <v>#N/A</v>
      </c>
      <c r="J50" s="358" t="e">
        <f aca="false">INDEX($B$4:$B$41,MATCH($B50,J$4:J$41,0))</f>
        <v>#N/A</v>
      </c>
      <c r="K50" s="358" t="e">
        <f aca="false">INDEX($B$4:$B$41,MATCH($B50,K$4:K$41,0))</f>
        <v>#N/A</v>
      </c>
      <c r="L50" s="358" t="e">
        <f aca="false">INDEX($B$4:$B$41,MATCH($B50,L$4:L$41,0))</f>
        <v>#N/A</v>
      </c>
      <c r="M50" s="358" t="e">
        <f aca="false">INDEX($B$4:$B$41,MATCH($B50,M$4:M$41,0))</f>
        <v>#N/A</v>
      </c>
      <c r="N50" s="358" t="e">
        <f aca="false">INDEX($B$4:$B$41,MATCH($B50,N$4:N$41,0))</f>
        <v>#N/A</v>
      </c>
      <c r="O50" s="358" t="e">
        <f aca="false">INDEX($B$4:$B$41,MATCH($B50,O$4:O$41,0))</f>
        <v>#N/A</v>
      </c>
      <c r="P50" s="358" t="e">
        <f aca="false">INDEX($B$4:$B$41,MATCH($B50,P$4:P$41,0))</f>
        <v>#N/A</v>
      </c>
      <c r="Q50" s="358" t="e">
        <f aca="false">INDEX($B$4:$B$41,MATCH($B50,Q$4:Q$41,0))</f>
        <v>#N/A</v>
      </c>
      <c r="R50" s="358" t="e">
        <f aca="false">INDEX($B$4:$B$41,MATCH($B50,R$4:R$41,0))</f>
        <v>#N/A</v>
      </c>
      <c r="S50" s="358" t="e">
        <f aca="false">INDEX($B$4:$B$41,MATCH($B50,S$4:S$41,0))</f>
        <v>#N/A</v>
      </c>
      <c r="T50" s="358" t="e">
        <f aca="false">INDEX($B$4:$B$41,MATCH($B50,T$4:T$41,0))</f>
        <v>#N/A</v>
      </c>
      <c r="U50" s="358" t="e">
        <f aca="false">INDEX($B$4:$B$41,MATCH($B50,U$4:U$41,0))</f>
        <v>#N/A</v>
      </c>
      <c r="V50" s="358" t="e">
        <f aca="false">INDEX($B$4:$B$41,MATCH($B50,V$4:V$41,0))</f>
        <v>#N/A</v>
      </c>
      <c r="W50" s="358" t="e">
        <f aca="false">INDEX($B$4:$B$41,MATCH($B50,W$4:W$41,0))</f>
        <v>#N/A</v>
      </c>
      <c r="X50" s="358" t="e">
        <f aca="false">INDEX($B$4:$B$41,MATCH($B50,X$4:X$41,0))</f>
        <v>#N/A</v>
      </c>
      <c r="Y50" s="358" t="e">
        <f aca="false">INDEX($B$4:$B$41,MATCH($B50,Y$4:Y$41,0))</f>
        <v>#N/A</v>
      </c>
      <c r="Z50" s="358" t="e">
        <f aca="false">INDEX($B$4:$B$41,MATCH($B50,Z$4:Z$41,0))</f>
        <v>#N/A</v>
      </c>
      <c r="AA50" s="358" t="e">
        <f aca="false">INDEX($B$4:$B$41,MATCH($B50,AA$4:AA$41,0))</f>
        <v>#N/A</v>
      </c>
      <c r="AB50" s="358" t="e">
        <f aca="false">INDEX($B$4:$B$41,MATCH($B50,AB$4:AB$41,0))</f>
        <v>#N/A</v>
      </c>
      <c r="AC50" s="358" t="e">
        <f aca="false">INDEX($B$4:$B$41,MATCH($B50,AC$4:AC$41,0))</f>
        <v>#N/A</v>
      </c>
      <c r="AD50" s="358" t="e">
        <f aca="false">INDEX($B$4:$B$41,MATCH($B50,AD$4:AD$41,0))</f>
        <v>#N/A</v>
      </c>
      <c r="AE50" s="358" t="e">
        <f aca="false">INDEX($B$4:$B$41,MATCH($B50,AE$4:AE$41,0))</f>
        <v>#N/A</v>
      </c>
      <c r="AF50" s="358" t="e">
        <f aca="false">INDEX($B$4:$B$41,MATCH($B50,AF$4:AF$41,0))</f>
        <v>#N/A</v>
      </c>
      <c r="AG50" s="358" t="e">
        <f aca="false">INDEX($B$4:$B$41,MATCH($B50,AG$4:AG$41,0))</f>
        <v>#N/A</v>
      </c>
      <c r="AH50" s="272"/>
      <c r="AI50" s="272"/>
      <c r="AJ50" s="272"/>
      <c r="AK50" s="272"/>
      <c r="AL50" s="272"/>
      <c r="AM50" s="272"/>
      <c r="AN50" s="272"/>
      <c r="AO50" s="272"/>
      <c r="AP50" s="272"/>
      <c r="AQ50" s="279"/>
      <c r="AR50" s="279"/>
      <c r="AS50" s="278"/>
      <c r="AT50" s="272"/>
      <c r="AU50" s="278"/>
      <c r="AV50" s="278" t="n">
        <f aca="false">SUMPRODUCT(--(WEEKDAY(C$3:AF$3,2)&gt;5),--ISNUMBER(MATCH(C50:AF50,{"DM","CS1","CS2","SB1","AE","CS/B"},0)))</f>
        <v>0</v>
      </c>
      <c r="AW50" s="272"/>
      <c r="AX50" s="278"/>
      <c r="AY50" s="278"/>
      <c r="AZ50" s="278"/>
      <c r="BA50" s="279"/>
      <c r="BB50" s="278"/>
      <c r="BC50" s="278"/>
      <c r="BD50" s="278"/>
      <c r="BE50" s="278"/>
      <c r="BF50" s="278"/>
      <c r="BG50" s="278"/>
      <c r="BH50" s="278"/>
      <c r="BI50" s="278"/>
      <c r="BJ50" s="278"/>
      <c r="BK50" s="278"/>
      <c r="BL50" s="278"/>
      <c r="BM50" s="278"/>
      <c r="BN50" s="278"/>
      <c r="BO50" s="278"/>
      <c r="BP50" s="272"/>
    </row>
    <row r="51" customFormat="false" ht="19.5" hidden="false" customHeight="true" outlineLevel="0" collapsed="false">
      <c r="A51" s="272"/>
      <c r="B51" s="293"/>
      <c r="C51" s="294"/>
      <c r="D51" s="294"/>
      <c r="E51" s="294"/>
      <c r="F51" s="294"/>
      <c r="G51" s="294"/>
      <c r="H51" s="294"/>
      <c r="I51" s="294"/>
      <c r="J51" s="294"/>
      <c r="K51" s="294"/>
      <c r="L51" s="294"/>
      <c r="M51" s="294"/>
      <c r="N51" s="294"/>
      <c r="O51" s="294"/>
      <c r="P51" s="294"/>
      <c r="Q51" s="294"/>
      <c r="R51" s="294"/>
      <c r="S51" s="294"/>
      <c r="T51" s="294"/>
      <c r="U51" s="294"/>
      <c r="V51" s="294"/>
      <c r="W51" s="294"/>
      <c r="X51" s="294"/>
      <c r="Y51" s="294"/>
      <c r="Z51" s="294"/>
      <c r="AA51" s="294"/>
      <c r="AB51" s="294"/>
      <c r="AC51" s="294"/>
      <c r="AD51" s="294"/>
      <c r="AE51" s="294"/>
      <c r="AF51" s="294"/>
      <c r="AG51" s="294"/>
      <c r="AH51" s="293" t="n">
        <f aca="false">COUNTIF($C51:$AF51,AH$4)</f>
        <v>0</v>
      </c>
      <c r="AI51" s="293" t="n">
        <f aca="false">COUNTIF($C51:$AF51,AI$4)</f>
        <v>0</v>
      </c>
      <c r="AJ51" s="293" t="n">
        <f aca="false">COUNTIF($C51:$AF51,AJ$4)</f>
        <v>0</v>
      </c>
      <c r="AK51" s="293" t="n">
        <f aca="false">COUNTIF($C51:$AF51,AK$4)</f>
        <v>0</v>
      </c>
      <c r="AL51" s="293" t="n">
        <f aca="false">COUNTIF($C51:$AF51,AL$4)</f>
        <v>0</v>
      </c>
      <c r="AM51" s="293" t="n">
        <f aca="false">COUNTIF($C51:$AF51,AM$4)</f>
        <v>0</v>
      </c>
      <c r="AN51" s="293" t="n">
        <f aca="false">COUNTIF($C51:$AF51,AN$4)</f>
        <v>0</v>
      </c>
      <c r="AO51" s="293" t="n">
        <f aca="false">COUNTIF($C51:$AF51,AO$4)</f>
        <v>0</v>
      </c>
      <c r="AP51" s="293" t="n">
        <f aca="false">COUNTIF($C51:$AF51,AP$4)</f>
        <v>0</v>
      </c>
      <c r="AQ51" s="293"/>
      <c r="AR51" s="293"/>
      <c r="AS51" s="293" t="n">
        <f aca="false" t="array" ref="AS51:AS51">SUMPRODUCT(--(WEEKDAY(C$3:AF$3,2)&lt;5),--ISNUMBER(MATCH(C51:AF51,{"DM","CS1","CS2","SB1","AE","CS/B"},0)))</f>
        <v>0</v>
      </c>
      <c r="AT51" s="293"/>
      <c r="AU51" s="293" t="n">
        <f aca="false" t="array" ref="AU51:AU51">SUMPRODUCT(--(WEEKDAY(C$3:AF$3,2)=5),--ISNUMBER(MATCH(C51:AF51,{"DM","CS1","CS2","SB1","AE","CS/B"},0)))</f>
        <v>0</v>
      </c>
      <c r="AV51" s="278" t="n">
        <f aca="false">SUMPRODUCT(--(WEEKDAY(C$3:AF$3,2)&gt;5),--ISNUMBER(MATCH(C51:AF51,{"DM","CS1","CS2","SB1","AE","CS/B"},0)))</f>
        <v>0</v>
      </c>
      <c r="AW51" s="293"/>
      <c r="AX51" s="293" t="n">
        <f aca="false">(AS51-AT51)+AU51*1.5+(AV51-AW51)*2+AM51*0.5+AO51*0.5+AQ51-AR51</f>
        <v>0</v>
      </c>
      <c r="AY51" s="293" t="n">
        <f aca="false">AS51+AU51+AV51</f>
        <v>0</v>
      </c>
      <c r="AZ51" s="293" t="n">
        <f aca="false">BC51+BE51+BG51+BI51+BK51</f>
        <v>0</v>
      </c>
      <c r="BA51" s="293" t="n">
        <f aca="false">AX51+BB51</f>
        <v>0</v>
      </c>
      <c r="BB51" s="293" t="n">
        <f aca="false">BD51+BF51+BH51+BJ51+BL51</f>
        <v>0</v>
      </c>
      <c r="BC51" s="293" t="n">
        <f aca="false">COUNTIF(A51:AH51,"*$BTP*")</f>
        <v>0</v>
      </c>
      <c r="BD51" s="293" t="n">
        <f aca="false">BC51*1.5</f>
        <v>0</v>
      </c>
      <c r="BE51" s="293" t="n">
        <f aca="false">COUNTIF(A51:AH51,"*$M*")</f>
        <v>0</v>
      </c>
      <c r="BF51" s="293" t="n">
        <f aca="false">BE51*1</f>
        <v>0</v>
      </c>
      <c r="BG51" s="293" t="n">
        <f aca="false">COUNTIF(A51:AH51,"*$PM*")</f>
        <v>0</v>
      </c>
      <c r="BH51" s="293" t="n">
        <f aca="false">BG51*0.5</f>
        <v>0</v>
      </c>
      <c r="BI51" s="293" t="n">
        <f aca="false">COUNTIF(A51:AH51,"*$AM*")</f>
        <v>0</v>
      </c>
      <c r="BJ51" s="293" t="n">
        <f aca="false">BI51*0.5</f>
        <v>0</v>
      </c>
      <c r="BK51" s="293" t="n">
        <f aca="false">COUNTIF(A51:AH51,"*$FC*")</f>
        <v>0</v>
      </c>
      <c r="BL51" s="293" t="n">
        <f aca="false">BK51*1</f>
        <v>0</v>
      </c>
      <c r="BM51" s="293" t="n">
        <f aca="false">COUNTIF($D51:$Y51,BM$4)</f>
        <v>0</v>
      </c>
      <c r="BN51" s="293" t="n">
        <f aca="false">COUNTIF($D51:$Y51,BN$4)</f>
        <v>0</v>
      </c>
      <c r="BO51" s="293"/>
      <c r="BP51" s="293"/>
    </row>
    <row r="52" customFormat="false" ht="19.5" hidden="false" customHeight="true" outlineLevel="0" collapsed="false">
      <c r="A52" s="272"/>
      <c r="B52" s="279" t="s">
        <v>814</v>
      </c>
      <c r="C52" s="91"/>
      <c r="D52" s="33"/>
      <c r="E52" s="33"/>
      <c r="F52" s="266"/>
      <c r="G52" s="266"/>
      <c r="H52" s="266"/>
      <c r="I52" s="266"/>
      <c r="J52" s="266"/>
      <c r="K52" s="91"/>
      <c r="L52" s="266"/>
      <c r="M52" s="91"/>
      <c r="N52" s="266"/>
      <c r="O52" s="266"/>
      <c r="P52" s="266"/>
      <c r="Q52" s="91"/>
      <c r="R52" s="91"/>
      <c r="S52" s="266"/>
      <c r="T52" s="91"/>
      <c r="U52" s="266"/>
      <c r="V52" s="266"/>
      <c r="W52" s="266"/>
      <c r="X52" s="266"/>
      <c r="Y52" s="266"/>
      <c r="Z52" s="266"/>
      <c r="AA52" s="91"/>
      <c r="AB52" s="266"/>
      <c r="AC52" s="266"/>
      <c r="AD52" s="280"/>
      <c r="AE52" s="266"/>
      <c r="AF52" s="266"/>
      <c r="AG52" s="266"/>
      <c r="AH52" s="272" t="n">
        <f aca="false">COUNTIF($C52:$AF52,AH$4)</f>
        <v>0</v>
      </c>
      <c r="AI52" s="272" t="n">
        <f aca="false">COUNTIF($C52:$AF52,AI$4)</f>
        <v>0</v>
      </c>
      <c r="AJ52" s="272" t="n">
        <f aca="false">COUNTIF($C52:$AF52,AJ$4)</f>
        <v>0</v>
      </c>
      <c r="AK52" s="272" t="n">
        <f aca="false">COUNTIF($C52:$AF52,AK$4)</f>
        <v>0</v>
      </c>
      <c r="AL52" s="272" t="n">
        <f aca="false">COUNTIF($C52:$AF52,AL$4)</f>
        <v>0</v>
      </c>
      <c r="AM52" s="272" t="n">
        <f aca="false">COUNTIF($C52:$AF52,AM$4)</f>
        <v>0</v>
      </c>
      <c r="AN52" s="272" t="n">
        <f aca="false">COUNTIF($C52:$AF52,AN$4)</f>
        <v>0</v>
      </c>
      <c r="AO52" s="272" t="n">
        <f aca="false">COUNTIF($C52:$AF52,AO$4)</f>
        <v>0</v>
      </c>
      <c r="AP52" s="272" t="n">
        <f aca="false">COUNTIF($C52:$AF52,AP$4)</f>
        <v>0</v>
      </c>
      <c r="AQ52" s="279"/>
      <c r="AR52" s="279"/>
      <c r="AS52" s="278" t="n">
        <f aca="false">SUMPRODUCT(--(WEEKDAY(C$3:AG$3,2)&lt;5),--ISNUMBER(MATCH(C52:AG52,{"SB1","SB2"},0)))</f>
        <v>0</v>
      </c>
      <c r="AT52" s="272"/>
      <c r="AU52" s="278" t="n">
        <f aca="false">SUMPRODUCT(--(WEEKDAY(C$3:AG$3,2)=5),--ISNUMBER(MATCH(C52:AG52,{"SB1","SB2"},0)))</f>
        <v>0</v>
      </c>
      <c r="AV52" s="278" t="n">
        <f aca="false">SUMPRODUCT(--(WEEKDAY(C$3:AG$3,2)&gt;5),--ISNUMBER(MATCH(C52:AG52,{"SB1","SB2"},0)))</f>
        <v>0</v>
      </c>
      <c r="AW52" s="272"/>
      <c r="AX52" s="278" t="n">
        <f aca="false">(AS52-AT52)+AU52*1.5+(AV52-AW52)*2+(AO52+AH52+AI52+AJ52+AK52+AN52)*0.5+AQ52-AR52</f>
        <v>0</v>
      </c>
      <c r="AY52" s="278" t="n">
        <f aca="false">AS52+AU52+AV52</f>
        <v>0</v>
      </c>
      <c r="AZ52" s="278" t="n">
        <f aca="false">BC52+BE52+BG52+BI52+BK52</f>
        <v>0</v>
      </c>
      <c r="BA52" s="279" t="n">
        <f aca="false">AX52+BB52</f>
        <v>0</v>
      </c>
      <c r="BB52" s="278" t="n">
        <f aca="false">BD52+BF52+BH52+BJ52+BL52</f>
        <v>0</v>
      </c>
      <c r="BC52" s="278" t="n">
        <f aca="false">COUNTIF(A52:AH52,"*$BTP*")</f>
        <v>0</v>
      </c>
      <c r="BD52" s="278" t="n">
        <f aca="false">BC52*1.5</f>
        <v>0</v>
      </c>
      <c r="BE52" s="278" t="n">
        <f aca="false">COUNTIF(A52:AH52,"*$M*")</f>
        <v>0</v>
      </c>
      <c r="BF52" s="278" t="n">
        <f aca="false">BE52*1</f>
        <v>0</v>
      </c>
      <c r="BG52" s="278" t="n">
        <f aca="false">COUNTIF(A52:AH52,"*$PM*")</f>
        <v>0</v>
      </c>
      <c r="BH52" s="278" t="n">
        <f aca="false">BG52*0.5</f>
        <v>0</v>
      </c>
      <c r="BI52" s="278" t="n">
        <f aca="false">COUNTIF(A52:AH52,"*$AM*")</f>
        <v>0</v>
      </c>
      <c r="BJ52" s="278" t="n">
        <f aca="false">BI52*0.5</f>
        <v>0</v>
      </c>
      <c r="BK52" s="278" t="n">
        <f aca="false">COUNTIF(A52:AH52,"*$FC*")</f>
        <v>0</v>
      </c>
      <c r="BL52" s="278" t="n">
        <f aca="false">BK52*1</f>
        <v>0</v>
      </c>
      <c r="BM52" s="278" t="n">
        <f aca="false">COUNTIF($E52:$AG52,BM$4)</f>
        <v>0</v>
      </c>
      <c r="BN52" s="278" t="n">
        <f aca="false">COUNTIF($E52:$AG52,BN$4)</f>
        <v>0</v>
      </c>
      <c r="BO52" s="278" t="n">
        <f aca="false">COUNTIF($E52:$Y52,BO$4)</f>
        <v>0</v>
      </c>
      <c r="BP52" s="272"/>
    </row>
    <row r="53" customFormat="false" ht="19.5" hidden="false" customHeight="true" outlineLevel="0" collapsed="false">
      <c r="A53" s="272" t="s">
        <v>487</v>
      </c>
      <c r="B53" s="279" t="s">
        <v>895</v>
      </c>
      <c r="C53" s="266"/>
      <c r="D53" s="91"/>
      <c r="E53" s="266"/>
      <c r="F53" s="280"/>
      <c r="G53" s="280"/>
      <c r="H53" s="266"/>
      <c r="I53" s="266"/>
      <c r="J53" s="266"/>
      <c r="K53" s="266"/>
      <c r="L53" s="266"/>
      <c r="M53" s="266"/>
      <c r="N53" s="266"/>
      <c r="O53" s="266"/>
      <c r="P53" s="266"/>
      <c r="Q53" s="266"/>
      <c r="R53" s="266"/>
      <c r="S53" s="319"/>
      <c r="T53" s="266"/>
      <c r="V53" s="266"/>
      <c r="W53" s="91"/>
      <c r="X53" s="266"/>
      <c r="Y53" s="266"/>
      <c r="Z53" s="266"/>
      <c r="AA53" s="91"/>
      <c r="AB53" s="266"/>
      <c r="AC53" s="266"/>
      <c r="AD53" s="33"/>
      <c r="AE53" s="47"/>
      <c r="AF53" s="266"/>
      <c r="AG53" s="266"/>
      <c r="AH53" s="272" t="n">
        <f aca="false">COUNTIF($C53:$AF53,AH$4)</f>
        <v>0</v>
      </c>
      <c r="AI53" s="272" t="n">
        <f aca="false">COUNTIF($C53:$AF53,AI$4)</f>
        <v>0</v>
      </c>
      <c r="AJ53" s="272" t="n">
        <f aca="false">COUNTIF($C53:$AF53,AJ$4)</f>
        <v>0</v>
      </c>
      <c r="AK53" s="272" t="n">
        <f aca="false">COUNTIF($C53:$AF53,AK$4)</f>
        <v>0</v>
      </c>
      <c r="AL53" s="272" t="n">
        <f aca="false">COUNTIF($C53:$AF53,AL$4)</f>
        <v>0</v>
      </c>
      <c r="AM53" s="272" t="n">
        <f aca="false">COUNTIF($C53:$AF53,AM$4)</f>
        <v>0</v>
      </c>
      <c r="AN53" s="272" t="n">
        <f aca="false">COUNTIF($C53:$AF53,AN$4)</f>
        <v>0</v>
      </c>
      <c r="AO53" s="272" t="n">
        <f aca="false">COUNTIF($C53:$AF53,AO$4)</f>
        <v>0</v>
      </c>
      <c r="AP53" s="272" t="n">
        <f aca="false">COUNTIF($C53:$AF53,AP$4)</f>
        <v>0</v>
      </c>
      <c r="AQ53" s="279"/>
      <c r="AR53" s="279"/>
      <c r="AS53" s="278" t="n">
        <f aca="false">SUMPRODUCT(--(WEEKDAY(C$3:AG$3,2)&lt;5),--ISNUMBER(MATCH(C53:AG53,{"SB1","SB2"},0)))</f>
        <v>0</v>
      </c>
      <c r="AT53" s="272"/>
      <c r="AU53" s="278" t="n">
        <f aca="false">SUMPRODUCT(--(WEEKDAY(C$3:AG$3,2)=5),--ISNUMBER(MATCH(C53:AG53,{"SB1","SB2"},0)))</f>
        <v>0</v>
      </c>
      <c r="AV53" s="278" t="n">
        <f aca="false">SUMPRODUCT(--(WEEKDAY(C$3:AG$3,2)&gt;5),--ISNUMBER(MATCH(C53:AG53,{"SB1","SB2"},0)))</f>
        <v>0</v>
      </c>
      <c r="AW53" s="272"/>
      <c r="AX53" s="278" t="n">
        <f aca="false">(AS53-AT53)+AU53*1.5+(AV53-AW53)*2+(AO53+AH53+AI53+AJ53+AK53+AN53)*0.5+AQ53-AR53</f>
        <v>0</v>
      </c>
      <c r="AY53" s="278" t="n">
        <f aca="false">AS53+AU53+AV53</f>
        <v>0</v>
      </c>
      <c r="AZ53" s="278" t="n">
        <f aca="false">BC53+BE53+BG53+BI53+BK53</f>
        <v>0</v>
      </c>
      <c r="BA53" s="279" t="n">
        <f aca="false">AX53+BB53</f>
        <v>0</v>
      </c>
      <c r="BB53" s="278" t="n">
        <f aca="false">BD53+BF53+BH53+BJ53+BL53</f>
        <v>0</v>
      </c>
      <c r="BC53" s="278" t="n">
        <f aca="false">COUNTIF(A53:AH53,"*$BTP*")</f>
        <v>0</v>
      </c>
      <c r="BD53" s="278" t="n">
        <f aca="false">BC53*1.5</f>
        <v>0</v>
      </c>
      <c r="BE53" s="278" t="n">
        <f aca="false">COUNTIF(A53:AH53,"*$M*")</f>
        <v>0</v>
      </c>
      <c r="BF53" s="278" t="n">
        <f aca="false">BE53*1</f>
        <v>0</v>
      </c>
      <c r="BG53" s="278" t="n">
        <f aca="false">COUNTIF(A53:AH53,"*$PM*")</f>
        <v>0</v>
      </c>
      <c r="BH53" s="278" t="n">
        <f aca="false">BG53*0.5</f>
        <v>0</v>
      </c>
      <c r="BI53" s="278" t="n">
        <f aca="false">COUNTIF(A53:AH53,"*$AM*")</f>
        <v>0</v>
      </c>
      <c r="BJ53" s="278" t="n">
        <f aca="false">BI53*0.5</f>
        <v>0</v>
      </c>
      <c r="BK53" s="278" t="n">
        <f aca="false">COUNTIF(A53:AH53,"*$FC*")</f>
        <v>0</v>
      </c>
      <c r="BL53" s="278" t="n">
        <f aca="false">BK53*1</f>
        <v>0</v>
      </c>
      <c r="BM53" s="278" t="n">
        <f aca="false">COUNTIF($E53:$AG53,BM$4)</f>
        <v>0</v>
      </c>
      <c r="BN53" s="278" t="n">
        <f aca="false">COUNTIF($E53:$AG53,BN$4)</f>
        <v>0</v>
      </c>
      <c r="BO53" s="278" t="n">
        <f aca="false">COUNTIF($D53:$Y53,BO$4)</f>
        <v>0</v>
      </c>
      <c r="BP53" s="272"/>
    </row>
    <row r="54" customFormat="false" ht="19.5" hidden="false" customHeight="true" outlineLevel="0" collapsed="false">
      <c r="A54" s="272"/>
      <c r="B54" s="279" t="s">
        <v>820</v>
      </c>
      <c r="C54" s="266"/>
      <c r="D54" s="266"/>
      <c r="E54" s="266"/>
      <c r="F54" s="266"/>
      <c r="G54" s="91"/>
      <c r="H54" s="266"/>
      <c r="I54" s="266"/>
      <c r="J54" s="280"/>
      <c r="L54" s="266"/>
      <c r="M54" s="266"/>
      <c r="N54" s="266"/>
      <c r="O54" s="266"/>
      <c r="P54" s="266"/>
      <c r="Q54" s="266"/>
      <c r="S54" s="280"/>
      <c r="T54" s="317"/>
      <c r="U54" s="266"/>
      <c r="W54" s="266"/>
      <c r="X54" s="266"/>
      <c r="Y54" s="319"/>
      <c r="Z54" s="266"/>
      <c r="AA54" s="266"/>
      <c r="AB54" s="266"/>
      <c r="AC54" s="280"/>
      <c r="AD54" s="266"/>
      <c r="AE54" s="33"/>
      <c r="AF54" s="266"/>
      <c r="AG54" s="266"/>
      <c r="AH54" s="272" t="n">
        <f aca="false">COUNTIF($C54:$AF54,AH$4)</f>
        <v>0</v>
      </c>
      <c r="AI54" s="272" t="n">
        <f aca="false">COUNTIF($C54:$AF54,AI$4)</f>
        <v>0</v>
      </c>
      <c r="AJ54" s="272" t="n">
        <f aca="false">COUNTIF($C54:$AF54,AJ$4)</f>
        <v>0</v>
      </c>
      <c r="AK54" s="272" t="n">
        <f aca="false">COUNTIF($C54:$AF54,AK$4)</f>
        <v>0</v>
      </c>
      <c r="AL54" s="272" t="n">
        <f aca="false">COUNTIF($C54:$AF54,AL$4)</f>
        <v>0</v>
      </c>
      <c r="AM54" s="272" t="n">
        <f aca="false">COUNTIF($C54:$AF54,AM$4)</f>
        <v>0</v>
      </c>
      <c r="AN54" s="272" t="n">
        <f aca="false">COUNTIF($C54:$AF54,AN$4)</f>
        <v>0</v>
      </c>
      <c r="AO54" s="272" t="n">
        <f aca="false">COUNTIF($C54:$AF54,AO$4)</f>
        <v>0</v>
      </c>
      <c r="AP54" s="272" t="n">
        <f aca="false">COUNTIF($C54:$AF54,AP$4)</f>
        <v>0</v>
      </c>
      <c r="AQ54" s="279"/>
      <c r="AR54" s="279"/>
      <c r="AS54" s="278" t="n">
        <f aca="false">SUMPRODUCT(--(WEEKDAY(C$3:AG$3,2)&lt;5),--ISNUMBER(MATCH(C54:AG54,{"SB1","SB2"},0)))</f>
        <v>0</v>
      </c>
      <c r="AT54" s="272"/>
      <c r="AU54" s="278" t="n">
        <f aca="false">SUMPRODUCT(--(WEEKDAY(C$3:AG$3,2)=5),--ISNUMBER(MATCH(C54:AG54,{"SB1","SB2"},0)))</f>
        <v>0</v>
      </c>
      <c r="AV54" s="278" t="n">
        <f aca="false">SUMPRODUCT(--(WEEKDAY(C$3:AG$3,2)&gt;5),--ISNUMBER(MATCH(C54:AG54,{"SB1","SB2"},0)))</f>
        <v>0</v>
      </c>
      <c r="AW54" s="272"/>
      <c r="AX54" s="278" t="n">
        <f aca="false">(AS54-AT54)+AU54*1.5+(AV54-AW54)*2+(AO54+AH54+AI54+AJ54+AK54+AN54)*0.5+AQ54-AR54</f>
        <v>0</v>
      </c>
      <c r="AY54" s="278" t="n">
        <f aca="false">AS54+AU54+AV54</f>
        <v>0</v>
      </c>
      <c r="AZ54" s="278" t="n">
        <f aca="false">BC54+BE54+BG54+BI54+BK54</f>
        <v>0</v>
      </c>
      <c r="BA54" s="279" t="n">
        <f aca="false">AX54+BB54</f>
        <v>0</v>
      </c>
      <c r="BB54" s="278" t="n">
        <f aca="false">BD54+BF54+BH54+BJ54+BL54</f>
        <v>0</v>
      </c>
      <c r="BC54" s="278" t="n">
        <f aca="false">COUNTIF(A54:AH54,"*$BTP*")</f>
        <v>0</v>
      </c>
      <c r="BD54" s="278" t="n">
        <f aca="false">BC54*1.5</f>
        <v>0</v>
      </c>
      <c r="BE54" s="278" t="n">
        <f aca="false">COUNTIF(A54:AH54,"*$M*")</f>
        <v>0</v>
      </c>
      <c r="BF54" s="278" t="n">
        <f aca="false">BE54*1</f>
        <v>0</v>
      </c>
      <c r="BG54" s="278" t="n">
        <f aca="false">COUNTIF(A54:AH54,"*$PM*")</f>
        <v>0</v>
      </c>
      <c r="BH54" s="278" t="n">
        <f aca="false">BG54*0.5</f>
        <v>0</v>
      </c>
      <c r="BI54" s="278" t="n">
        <f aca="false">COUNTIF(A54:AH54,"*$AM*")</f>
        <v>0</v>
      </c>
      <c r="BJ54" s="278" t="n">
        <f aca="false">BI54*0.5</f>
        <v>0</v>
      </c>
      <c r="BK54" s="278" t="n">
        <f aca="false">COUNTIF(A54:AH54,"*$FC*")</f>
        <v>0</v>
      </c>
      <c r="BL54" s="278" t="n">
        <f aca="false">BK54*1</f>
        <v>0</v>
      </c>
      <c r="BM54" s="278" t="n">
        <f aca="false">COUNTIF($E54:$AG54,BM$4)</f>
        <v>0</v>
      </c>
      <c r="BN54" s="278" t="n">
        <f aca="false">COUNTIF($E54:$AG54,BN$4)</f>
        <v>0</v>
      </c>
      <c r="BO54" s="278" t="n">
        <f aca="false">COUNTIF($D54:$Y54,BO$4)</f>
        <v>0</v>
      </c>
      <c r="BP54" s="272"/>
    </row>
    <row r="55" customFormat="false" ht="19.5" hidden="false" customHeight="true" outlineLevel="0" collapsed="false">
      <c r="A55" s="272"/>
      <c r="B55" s="279" t="s">
        <v>821</v>
      </c>
      <c r="C55" s="266"/>
      <c r="D55" s="266"/>
      <c r="E55" s="317"/>
      <c r="F55" s="266"/>
      <c r="G55" s="266"/>
      <c r="H55" s="266"/>
      <c r="I55" s="266"/>
      <c r="J55" s="280"/>
      <c r="K55" s="266"/>
      <c r="L55" s="266"/>
      <c r="M55" s="266"/>
      <c r="N55" s="266"/>
      <c r="O55" s="266"/>
      <c r="P55" s="266"/>
      <c r="Q55" s="266"/>
      <c r="R55" s="91"/>
      <c r="S55" s="266"/>
      <c r="T55" s="266"/>
      <c r="U55" s="266"/>
      <c r="W55" s="280"/>
      <c r="X55" s="280"/>
      <c r="Y55" s="319"/>
      <c r="Z55" s="266"/>
      <c r="AA55" s="319"/>
      <c r="AB55" s="319"/>
      <c r="AC55" s="319"/>
      <c r="AD55" s="319"/>
      <c r="AE55" s="266"/>
      <c r="AF55" s="266"/>
      <c r="AG55" s="266"/>
      <c r="AH55" s="272" t="n">
        <f aca="false">COUNTIF($C55:$AF55,AH$4)</f>
        <v>0</v>
      </c>
      <c r="AI55" s="272" t="n">
        <f aca="false">COUNTIF($C55:$AF55,AI$4)</f>
        <v>0</v>
      </c>
      <c r="AJ55" s="272" t="n">
        <f aca="false">COUNTIF($C55:$AF55,AJ$4)</f>
        <v>0</v>
      </c>
      <c r="AK55" s="272" t="n">
        <f aca="false">COUNTIF($C55:$AF55,AK$4)</f>
        <v>0</v>
      </c>
      <c r="AL55" s="272" t="n">
        <f aca="false">COUNTIF($C55:$AF55,AL$4)</f>
        <v>0</v>
      </c>
      <c r="AM55" s="272" t="n">
        <f aca="false">COUNTIF($C55:$AF55,AM$4)</f>
        <v>0</v>
      </c>
      <c r="AN55" s="272" t="n">
        <f aca="false">COUNTIF($C55:$AF55,AN$4)</f>
        <v>0</v>
      </c>
      <c r="AO55" s="272" t="n">
        <f aca="false">COUNTIF($C55:$AF55,AO$4)</f>
        <v>0</v>
      </c>
      <c r="AP55" s="272" t="n">
        <f aca="false">COUNTIF($C55:$AF55,AP$4)</f>
        <v>0</v>
      </c>
      <c r="AQ55" s="279"/>
      <c r="AR55" s="279"/>
      <c r="AS55" s="278" t="n">
        <f aca="false">SUMPRODUCT(--(WEEKDAY(C$3:AG$3,2)&lt;5),--ISNUMBER(MATCH(C55:AG55,{"SB1","SB2"},0)))</f>
        <v>0</v>
      </c>
      <c r="AT55" s="272"/>
      <c r="AU55" s="278" t="n">
        <f aca="false">SUMPRODUCT(--(WEEKDAY(C$3:AG$3,2)=5),--ISNUMBER(MATCH(C55:AG55,{"SB1","SB2"},0)))</f>
        <v>0</v>
      </c>
      <c r="AV55" s="278" t="n">
        <f aca="false">SUMPRODUCT(--(WEEKDAY(C$3:AG$3,2)&gt;5),--ISNUMBER(MATCH(C55:AG55,{"SB1","SB2"},0)))</f>
        <v>0</v>
      </c>
      <c r="AW55" s="272"/>
      <c r="AX55" s="278" t="n">
        <f aca="false">(AS55-AT55)+AU55*1.5+(AV55-AW55)*2+(AO55+AH55+AI55+AJ55+AK55+AN55)*0.5+AQ55-AR55</f>
        <v>0</v>
      </c>
      <c r="AY55" s="278" t="n">
        <f aca="false">AS55+AU55+AV55</f>
        <v>0</v>
      </c>
      <c r="AZ55" s="278" t="n">
        <f aca="false">BC55+BE55+BG55+BI55+BK55</f>
        <v>0</v>
      </c>
      <c r="BA55" s="279" t="n">
        <f aca="false">AX55+BB55</f>
        <v>0</v>
      </c>
      <c r="BB55" s="278" t="n">
        <f aca="false">BD55+BF55+BH55+BJ55+BL55</f>
        <v>0</v>
      </c>
      <c r="BC55" s="278" t="n">
        <f aca="false">COUNTIF(A55:AH55,"*$BTP*")</f>
        <v>0</v>
      </c>
      <c r="BD55" s="278" t="n">
        <f aca="false">BC55*1.5</f>
        <v>0</v>
      </c>
      <c r="BE55" s="278" t="n">
        <f aca="false">COUNTIF(A55:AH55,"*$M*")</f>
        <v>0</v>
      </c>
      <c r="BF55" s="278" t="n">
        <f aca="false">BE55*1</f>
        <v>0</v>
      </c>
      <c r="BG55" s="278" t="n">
        <f aca="false">COUNTIF(A55:AH55,"*$PM*")</f>
        <v>0</v>
      </c>
      <c r="BH55" s="278" t="n">
        <f aca="false">BG55*0.5</f>
        <v>0</v>
      </c>
      <c r="BI55" s="278" t="n">
        <f aca="false">COUNTIF(A55:AH55,"*$AM*")</f>
        <v>0</v>
      </c>
      <c r="BJ55" s="278" t="n">
        <f aca="false">BI55*0.5</f>
        <v>0</v>
      </c>
      <c r="BK55" s="278" t="n">
        <f aca="false">COUNTIF(A55:AH55,"*$FC*")</f>
        <v>0</v>
      </c>
      <c r="BL55" s="278" t="n">
        <f aca="false">BK55*1</f>
        <v>0</v>
      </c>
      <c r="BM55" s="278" t="n">
        <f aca="false">COUNTIF($E55:$AG55,BM$4)</f>
        <v>0</v>
      </c>
      <c r="BN55" s="278" t="n">
        <f aca="false">COUNTIF($E55:$AG55,BN$4)</f>
        <v>0</v>
      </c>
      <c r="BO55" s="278" t="n">
        <f aca="false">COUNTIF($D55:$Y55,BO$4)</f>
        <v>0</v>
      </c>
      <c r="BP55" s="272"/>
    </row>
    <row r="56" customFormat="false" ht="24.75" hidden="false" customHeight="true" outlineLevel="0" collapsed="false">
      <c r="A56" s="272"/>
      <c r="B56" s="279" t="s">
        <v>933</v>
      </c>
      <c r="C56" s="266"/>
      <c r="D56" s="266"/>
      <c r="E56" s="266"/>
      <c r="F56" s="266"/>
      <c r="G56" s="266"/>
      <c r="H56" s="266"/>
      <c r="I56" s="266"/>
      <c r="J56" s="266"/>
      <c r="K56" s="266"/>
      <c r="L56" s="266"/>
      <c r="M56" s="266"/>
      <c r="N56" s="266"/>
      <c r="O56" s="266"/>
      <c r="P56" s="266"/>
      <c r="Q56" s="266"/>
      <c r="R56" s="266"/>
      <c r="S56" s="266"/>
      <c r="T56" s="266"/>
      <c r="U56" s="266"/>
      <c r="V56" s="266"/>
      <c r="W56" s="266"/>
      <c r="X56" s="266"/>
      <c r="Y56" s="266"/>
      <c r="Z56" s="317"/>
      <c r="AA56" s="266"/>
      <c r="AB56" s="266"/>
      <c r="AC56" s="266"/>
      <c r="AD56" s="266"/>
      <c r="AE56" s="266"/>
      <c r="AF56" s="266"/>
      <c r="AG56" s="317"/>
      <c r="AH56" s="272" t="n">
        <f aca="false">COUNTIF($C56:$AF56,AH$4)</f>
        <v>0</v>
      </c>
      <c r="AI56" s="272" t="n">
        <f aca="false">COUNTIF($C56:$AF56,AI$4)</f>
        <v>0</v>
      </c>
      <c r="AJ56" s="272" t="n">
        <f aca="false">COUNTIF($C56:$AF56,AJ$4)</f>
        <v>0</v>
      </c>
      <c r="AK56" s="272" t="n">
        <f aca="false">COUNTIF($C56:$AF56,AK$4)</f>
        <v>0</v>
      </c>
      <c r="AL56" s="272" t="n">
        <f aca="false">COUNTIF($C56:$AF56,AL$4)</f>
        <v>0</v>
      </c>
      <c r="AM56" s="272" t="n">
        <f aca="false">COUNTIF($C56:$AF56,AM$4)</f>
        <v>0</v>
      </c>
      <c r="AN56" s="272" t="n">
        <f aca="false">COUNTIF($C56:$AF56,AN$4)</f>
        <v>0</v>
      </c>
      <c r="AO56" s="272" t="n">
        <f aca="false">COUNTIF($C56:$AF56,AO$4)</f>
        <v>0</v>
      </c>
      <c r="AP56" s="272" t="n">
        <f aca="false">COUNTIF($C56:$AF56,AP$4)</f>
        <v>0</v>
      </c>
      <c r="AQ56" s="279"/>
      <c r="AR56" s="279"/>
      <c r="AS56" s="278" t="n">
        <f aca="false">SUMPRODUCT(--(WEEKDAY(C$3:AG$3,2)&lt;5),--ISNUMBER(MATCH(C56:AG56,{"SB1","SB2"},0)))</f>
        <v>0</v>
      </c>
      <c r="AT56" s="272"/>
      <c r="AU56" s="278" t="n">
        <f aca="false">SUMPRODUCT(--(WEEKDAY(C$3:AG$3,2)=5),--ISNUMBER(MATCH(C56:AG56,{"SB1","SB2"},0)))</f>
        <v>0</v>
      </c>
      <c r="AV56" s="278" t="n">
        <f aca="false">SUMPRODUCT(--(WEEKDAY(C$3:AG$3,2)&gt;5),--ISNUMBER(MATCH(C56:AG56,{"SB1","SB2"},0)))</f>
        <v>0</v>
      </c>
      <c r="AW56" s="272"/>
      <c r="AX56" s="278" t="n">
        <f aca="false">(AS56-AT56)+AU56*1.5+(AV56-AW56)*2+(AO56+AH56+AI56+AJ56+AK56+AN56)*0.5+AQ56-AR56</f>
        <v>0</v>
      </c>
      <c r="AY56" s="278" t="n">
        <f aca="false">AS56+AU56+AV56</f>
        <v>0</v>
      </c>
      <c r="AZ56" s="278" t="n">
        <f aca="false">BC56+BE56+BG56+BI56+BK56</f>
        <v>0</v>
      </c>
      <c r="BA56" s="279" t="n">
        <f aca="false">AX56+BB56</f>
        <v>0</v>
      </c>
      <c r="BB56" s="278" t="n">
        <f aca="false">BD56+BF56+BH56+BJ56+BL56</f>
        <v>0</v>
      </c>
      <c r="BC56" s="278" t="n">
        <f aca="false">COUNTIF(A56:AH56,"*$BTP*")</f>
        <v>0</v>
      </c>
      <c r="BD56" s="278" t="n">
        <f aca="false">BC56*1.5</f>
        <v>0</v>
      </c>
      <c r="BE56" s="278" t="n">
        <f aca="false">COUNTIF(A56:AH56,"*$M*")</f>
        <v>0</v>
      </c>
      <c r="BF56" s="278" t="n">
        <f aca="false">BE56*1</f>
        <v>0</v>
      </c>
      <c r="BG56" s="278" t="n">
        <f aca="false">COUNTIF(A56:AH56,"*$PM*")</f>
        <v>0</v>
      </c>
      <c r="BH56" s="278" t="n">
        <f aca="false">BG56*0.5</f>
        <v>0</v>
      </c>
      <c r="BI56" s="278" t="n">
        <f aca="false">COUNTIF(A56:AH56,"*$AM*")</f>
        <v>0</v>
      </c>
      <c r="BJ56" s="278" t="n">
        <f aca="false">BI56*0.5</f>
        <v>0</v>
      </c>
      <c r="BK56" s="278" t="n">
        <f aca="false">COUNTIF(A56:AH56,"*$FC*")</f>
        <v>0</v>
      </c>
      <c r="BL56" s="278" t="n">
        <f aca="false">BK56*1</f>
        <v>0</v>
      </c>
      <c r="BM56" s="278" t="n">
        <f aca="false">COUNTIF($D56:$AA56,BM$4)</f>
        <v>0</v>
      </c>
      <c r="BN56" s="278" t="n">
        <f aca="false">COUNTIF($D56:$AA56,BN$4)</f>
        <v>0</v>
      </c>
      <c r="BO56" s="278" t="n">
        <f aca="false">COUNTIF($D56:$AA56,BO$4)</f>
        <v>0</v>
      </c>
      <c r="BP56" s="278"/>
    </row>
    <row r="57" customFormat="false" ht="24.75" hidden="false" customHeight="true" outlineLevel="0" collapsed="false">
      <c r="A57" s="272"/>
      <c r="B57" s="279" t="s">
        <v>935</v>
      </c>
      <c r="C57" s="266"/>
      <c r="D57" s="266"/>
      <c r="E57" s="266"/>
      <c r="F57" s="266"/>
      <c r="G57" s="266"/>
      <c r="H57" s="266"/>
      <c r="I57" s="266"/>
      <c r="J57" s="266"/>
      <c r="K57" s="266"/>
      <c r="L57" s="266"/>
      <c r="M57" s="266"/>
      <c r="N57" s="266"/>
      <c r="O57" s="266"/>
      <c r="P57" s="266"/>
      <c r="Q57" s="266"/>
      <c r="R57" s="266"/>
      <c r="S57" s="91"/>
      <c r="T57" s="266"/>
      <c r="U57" s="266"/>
      <c r="V57" s="266"/>
      <c r="W57" s="266"/>
      <c r="X57" s="266"/>
      <c r="Y57" s="266"/>
      <c r="Z57" s="266"/>
      <c r="AA57" s="280"/>
      <c r="AB57" s="266"/>
      <c r="AC57" s="266"/>
      <c r="AD57" s="266"/>
      <c r="AE57" s="266"/>
      <c r="AF57" s="319"/>
      <c r="AG57" s="319"/>
      <c r="AH57" s="272" t="n">
        <f aca="false">COUNTIF($C57:$AE57,AH$4)</f>
        <v>0</v>
      </c>
      <c r="AI57" s="272" t="n">
        <f aca="false">COUNTIF($C57:$AE57,AI$4)</f>
        <v>0</v>
      </c>
      <c r="AJ57" s="272" t="n">
        <f aca="false">COUNTIF($C57:$AE57,AJ$4)</f>
        <v>0</v>
      </c>
      <c r="AK57" s="272" t="n">
        <f aca="false">COUNTIF($C57:$AE57,AK$4)</f>
        <v>0</v>
      </c>
      <c r="AL57" s="272" t="n">
        <f aca="false">COUNTIF($C57:$AE57,AL$4)</f>
        <v>0</v>
      </c>
      <c r="AM57" s="272" t="n">
        <f aca="false">COUNTIF($C57:$AE57,AM$4)</f>
        <v>0</v>
      </c>
      <c r="AN57" s="272" t="n">
        <f aca="false">COUNTIF($C57:$AE57,AN$4)</f>
        <v>0</v>
      </c>
      <c r="AO57" s="272" t="n">
        <f aca="false">COUNTIF($C57:$AE57,AO$4)</f>
        <v>0</v>
      </c>
      <c r="AP57" s="272" t="n">
        <f aca="false">COUNTIF($C57:$AE57,AP$4)</f>
        <v>0</v>
      </c>
      <c r="AQ57" s="279"/>
      <c r="AR57" s="279"/>
      <c r="AS57" s="278" t="n">
        <f aca="false">SUMPRODUCT(--(WEEKDAY(C$3:AG$3,2)&lt;5),--ISNUMBER(MATCH(C57:AG57,{"SB1","SB2"},0)))</f>
        <v>0</v>
      </c>
      <c r="AT57" s="272"/>
      <c r="AU57" s="278" t="n">
        <f aca="false">SUMPRODUCT(--(WEEKDAY(C$3:AG$3,2)=5),--ISNUMBER(MATCH(C57:AG57,{"SB1","SB2"},0)))</f>
        <v>0</v>
      </c>
      <c r="AV57" s="278" t="n">
        <f aca="false">SUMPRODUCT(--(WEEKDAY(C$3:AG$3,2)&gt;5),--ISNUMBER(MATCH(C57:AG57,{"SB1","SB2"},0)))</f>
        <v>0</v>
      </c>
      <c r="AW57" s="272"/>
      <c r="AX57" s="278" t="n">
        <f aca="false">(AS57-AT57)+AU57*1.5+(AV57-AW57)*2+(AO57+AH57+AI57+AJ57+AK57+AN57)*0.5+AQ57-AR57</f>
        <v>0</v>
      </c>
      <c r="AY57" s="278" t="n">
        <f aca="false">AS57+AU57+AV57</f>
        <v>0</v>
      </c>
      <c r="AZ57" s="278" t="n">
        <f aca="false">BC57+BE57+BG57+BI57+BK57</f>
        <v>0</v>
      </c>
      <c r="BA57" s="279" t="n">
        <f aca="false">AX57+BB57</f>
        <v>0</v>
      </c>
      <c r="BB57" s="278" t="n">
        <f aca="false">BD57+BF57+BH57+BJ57+BL57</f>
        <v>0</v>
      </c>
      <c r="BC57" s="278" t="n">
        <f aca="false">COUNTIF(A57:AH57,"*$BTP*")</f>
        <v>0</v>
      </c>
      <c r="BD57" s="278" t="n">
        <f aca="false">BC57*1.5</f>
        <v>0</v>
      </c>
      <c r="BE57" s="278" t="n">
        <f aca="false">COUNTIF(A57:AH57,"*$M*")</f>
        <v>0</v>
      </c>
      <c r="BF57" s="278" t="n">
        <f aca="false">BE57*1</f>
        <v>0</v>
      </c>
      <c r="BG57" s="278" t="n">
        <f aca="false">COUNTIF(A57:AH57,"*$PM*")</f>
        <v>0</v>
      </c>
      <c r="BH57" s="278" t="n">
        <f aca="false">BG57*0.5</f>
        <v>0</v>
      </c>
      <c r="BI57" s="278" t="n">
        <f aca="false">COUNTIF(A57:AH57,"*$AM*")</f>
        <v>0</v>
      </c>
      <c r="BJ57" s="278" t="n">
        <f aca="false">BI57*0.5</f>
        <v>0</v>
      </c>
      <c r="BK57" s="278" t="n">
        <f aca="false">COUNTIF(A57:AH57,"*$FC*")</f>
        <v>0</v>
      </c>
      <c r="BL57" s="278" t="n">
        <f aca="false">BK57*1</f>
        <v>0</v>
      </c>
      <c r="BM57" s="278" t="n">
        <f aca="false">COUNTIF($D57:$AA57,BM$4)</f>
        <v>0</v>
      </c>
      <c r="BN57" s="278" t="n">
        <f aca="false">COUNTIF($D57:$AA57,BN$4)</f>
        <v>0</v>
      </c>
      <c r="BO57" s="278" t="n">
        <f aca="false">COUNTIF($D57:$AA57,BO$4)</f>
        <v>0</v>
      </c>
      <c r="BP57" s="278"/>
    </row>
    <row r="58" customFormat="false" ht="19.5" hidden="false" customHeight="true" outlineLevel="0" collapsed="false">
      <c r="A58" s="272"/>
      <c r="B58" s="272" t="s">
        <v>825</v>
      </c>
      <c r="C58" s="319"/>
      <c r="D58" s="351"/>
      <c r="E58" s="351"/>
      <c r="F58" s="351"/>
      <c r="G58" s="351"/>
      <c r="H58" s="351"/>
      <c r="I58" s="319"/>
      <c r="J58" s="319"/>
      <c r="K58" s="319"/>
      <c r="L58" s="319"/>
      <c r="M58" s="319"/>
      <c r="N58" s="319"/>
      <c r="O58" s="319"/>
      <c r="P58" s="319"/>
      <c r="Q58" s="319"/>
      <c r="R58" s="319"/>
      <c r="S58" s="351"/>
      <c r="T58" s="317"/>
      <c r="U58" s="283"/>
      <c r="V58" s="266"/>
      <c r="W58" s="266"/>
      <c r="X58" s="266"/>
      <c r="Y58" s="266"/>
      <c r="Z58" s="266"/>
      <c r="AA58" s="266"/>
      <c r="AB58" s="266"/>
      <c r="AC58" s="266"/>
      <c r="AD58" s="266"/>
      <c r="AE58" s="266"/>
      <c r="AF58" s="266"/>
      <c r="AG58" s="266"/>
      <c r="AH58" s="272" t="n">
        <f aca="false">COUNTIF($C58:$AF58,AH$4)</f>
        <v>0</v>
      </c>
      <c r="AI58" s="272" t="n">
        <f aca="false">COUNTIF($C58:$AF58,AI$4)</f>
        <v>0</v>
      </c>
      <c r="AJ58" s="272" t="n">
        <f aca="false">COUNTIF($C58:$AF58,AJ$4)</f>
        <v>0</v>
      </c>
      <c r="AK58" s="272" t="n">
        <f aca="false">COUNTIF($C58:$AF58,AK$4)</f>
        <v>0</v>
      </c>
      <c r="AL58" s="272" t="n">
        <f aca="false">COUNTIF($C58:$AF58,AL$4)</f>
        <v>0</v>
      </c>
      <c r="AM58" s="272" t="n">
        <f aca="false">COUNTIF($C58:$AF58,AM$4)</f>
        <v>0</v>
      </c>
      <c r="AN58" s="272" t="n">
        <f aca="false">COUNTIF($C58:$AF58,AN$4)</f>
        <v>0</v>
      </c>
      <c r="AO58" s="272" t="n">
        <f aca="false">COUNTIF($C58:$AF58,AO$4)</f>
        <v>0</v>
      </c>
      <c r="AP58" s="272" t="n">
        <f aca="false">COUNTIF($C58:$AF58,AP$4)</f>
        <v>0</v>
      </c>
      <c r="AQ58" s="279"/>
      <c r="AR58" s="279"/>
      <c r="AS58" s="278" t="n">
        <f aca="false">SUMPRODUCT(--(WEEKDAY(C$3:AG$3,2)&lt;5),--ISNUMBER(MATCH(C58:AG58,{"SB1","SB2"},0)))</f>
        <v>0</v>
      </c>
      <c r="AT58" s="272"/>
      <c r="AU58" s="278" t="n">
        <f aca="false">SUMPRODUCT(--(WEEKDAY(C$3:AG$3,2)=5),--ISNUMBER(MATCH(C58:AG58,{"SB1","SB2"},0)))</f>
        <v>0</v>
      </c>
      <c r="AV58" s="278" t="n">
        <f aca="false">SUMPRODUCT(--(WEEKDAY(C$3:AG$3,2)&gt;5),--ISNUMBER(MATCH(C58:AG58,{"SB1","SB2"},0)))</f>
        <v>0</v>
      </c>
      <c r="AW58" s="272"/>
      <c r="AX58" s="278" t="n">
        <f aca="false">(AS58-AT58)+AU58*1.5+(AV58-AW58)*2+(AO58+AH58+AI58+AJ58+AK58+AN58)*0.5+AQ58-AR58</f>
        <v>0</v>
      </c>
      <c r="AY58" s="278" t="n">
        <f aca="false">AS58+AU58+AV58</f>
        <v>0</v>
      </c>
      <c r="AZ58" s="278" t="n">
        <f aca="false">BC58+BE58+BG58+BI58+BK58</f>
        <v>0</v>
      </c>
      <c r="BA58" s="279" t="n">
        <f aca="false">AX58+BB58</f>
        <v>0</v>
      </c>
      <c r="BB58" s="278" t="n">
        <f aca="false">BD58+BF58+BH58+BJ58+BL58</f>
        <v>0</v>
      </c>
      <c r="BC58" s="278" t="n">
        <f aca="false">COUNTIF(A58:AH58,"*$BTP*")</f>
        <v>0</v>
      </c>
      <c r="BD58" s="278" t="n">
        <f aca="false">BC58*1.5</f>
        <v>0</v>
      </c>
      <c r="BE58" s="278" t="n">
        <f aca="false">COUNTIF(A58:AH58,"*$M*")</f>
        <v>0</v>
      </c>
      <c r="BF58" s="278" t="n">
        <f aca="false">BE58*1</f>
        <v>0</v>
      </c>
      <c r="BG58" s="278" t="n">
        <f aca="false">COUNTIF(A58:AH58,"*$PM*")</f>
        <v>0</v>
      </c>
      <c r="BH58" s="278" t="n">
        <f aca="false">BG58*0.5</f>
        <v>0</v>
      </c>
      <c r="BI58" s="278" t="n">
        <f aca="false">COUNTIF(A58:AH58,"*$AM*")</f>
        <v>0</v>
      </c>
      <c r="BJ58" s="278" t="n">
        <f aca="false">BI58*0.5</f>
        <v>0</v>
      </c>
      <c r="BK58" s="278" t="n">
        <f aca="false">COUNTIF(A58:AH58,"*$FC*")</f>
        <v>0</v>
      </c>
      <c r="BL58" s="278" t="n">
        <f aca="false">BK58*1</f>
        <v>0</v>
      </c>
      <c r="BM58" s="278" t="n">
        <f aca="false">COUNTIF($E58:$AG58,BM$4)</f>
        <v>0</v>
      </c>
      <c r="BN58" s="278" t="n">
        <f aca="false">COUNTIF($E58:$AG58,BN$4)</f>
        <v>0</v>
      </c>
      <c r="BO58" s="278" t="n">
        <f aca="false">COUNTIF($D58:$Y58,BO$4)</f>
        <v>0</v>
      </c>
      <c r="BP58" s="272"/>
    </row>
    <row r="59" customFormat="false" ht="19.5" hidden="false" customHeight="true" outlineLevel="0" collapsed="false">
      <c r="A59" s="280"/>
      <c r="B59" s="280" t="s">
        <v>832</v>
      </c>
      <c r="C59" s="317"/>
      <c r="D59" s="91"/>
      <c r="E59" s="317"/>
      <c r="F59" s="266"/>
      <c r="G59" s="280"/>
      <c r="H59" s="280"/>
      <c r="I59" s="319"/>
      <c r="J59" s="280"/>
      <c r="K59" s="91"/>
      <c r="L59" s="319"/>
      <c r="M59" s="280"/>
      <c r="N59" s="280"/>
      <c r="O59" s="319"/>
      <c r="P59" s="266"/>
      <c r="Q59" s="280"/>
      <c r="R59" s="317"/>
      <c r="S59" s="317"/>
      <c r="T59" s="317"/>
      <c r="U59" s="283"/>
      <c r="V59" s="280"/>
      <c r="W59" s="352"/>
      <c r="X59" s="352"/>
      <c r="Y59" s="352"/>
      <c r="Z59" s="352"/>
      <c r="AA59" s="352"/>
      <c r="AB59" s="352"/>
      <c r="AC59" s="352"/>
      <c r="AD59" s="352"/>
      <c r="AE59" s="352"/>
      <c r="AF59" s="352"/>
      <c r="AG59" s="352"/>
      <c r="AH59" s="272" t="n">
        <f aca="false">COUNTIF($C59:$AF59,AH$4)</f>
        <v>0</v>
      </c>
      <c r="AI59" s="272" t="n">
        <f aca="false">COUNTIF($C59:$AF59,AI$4)</f>
        <v>0</v>
      </c>
      <c r="AJ59" s="272" t="n">
        <f aca="false">COUNTIF($C59:$AF59,AJ$4)</f>
        <v>0</v>
      </c>
      <c r="AK59" s="272" t="n">
        <f aca="false">COUNTIF($C59:$AF59,AK$4)</f>
        <v>0</v>
      </c>
      <c r="AL59" s="272" t="n">
        <f aca="false">COUNTIF($C59:$AF59,AL$4)</f>
        <v>0</v>
      </c>
      <c r="AM59" s="272" t="n">
        <f aca="false">COUNTIF($C59:$AF59,AM$4)</f>
        <v>0</v>
      </c>
      <c r="AN59" s="272" t="n">
        <f aca="false">COUNTIF($C59:$AF59,AN$4)</f>
        <v>0</v>
      </c>
      <c r="AO59" s="272" t="n">
        <f aca="false">COUNTIF($C59:$AF59,AO$4)</f>
        <v>0</v>
      </c>
      <c r="AP59" s="272" t="n">
        <f aca="false">COUNTIF($C59:$AF59,AP$4)</f>
        <v>0</v>
      </c>
      <c r="AQ59" s="279"/>
      <c r="AR59" s="279"/>
      <c r="AS59" s="278" t="n">
        <f aca="false">SUMPRODUCT(--(WEEKDAY(C$3:AG$3,2)&lt;5),--ISNUMBER(MATCH(C59:AG59,{"SB1","SB2"},0)))</f>
        <v>0</v>
      </c>
      <c r="AT59" s="272"/>
      <c r="AU59" s="278" t="n">
        <f aca="false">SUMPRODUCT(--(WEEKDAY(C$3:AG$3,2)=5),--ISNUMBER(MATCH(C59:AG59,{"SB1","SB2"},0)))</f>
        <v>0</v>
      </c>
      <c r="AV59" s="278" t="n">
        <f aca="false">SUMPRODUCT(--(WEEKDAY(C$3:AG$3,2)&gt;5),--ISNUMBER(MATCH(C59:AG59,{"SB1","SB2"},0)))</f>
        <v>0</v>
      </c>
      <c r="AW59" s="272"/>
      <c r="AX59" s="278" t="n">
        <f aca="false">(AS59-AT59)+AU59*1.5+(AV59-AW59)*2+(AO59+AH59+AI59+AJ59+AK59+AN59)*0.5+AQ59-AR59</f>
        <v>0</v>
      </c>
      <c r="AY59" s="278" t="n">
        <f aca="false">AS59+AU59+AV59</f>
        <v>0</v>
      </c>
      <c r="AZ59" s="278" t="n">
        <f aca="false">BC59+BE59+BG59+BI59+BK59</f>
        <v>0</v>
      </c>
      <c r="BA59" s="279" t="n">
        <f aca="false">AX59+BB59</f>
        <v>0</v>
      </c>
      <c r="BB59" s="278" t="n">
        <f aca="false">BD59+BF59+BH59+BJ59+BL59</f>
        <v>0</v>
      </c>
      <c r="BC59" s="278" t="n">
        <f aca="false">COUNTIF(A59:AH59,"*$BTP*")</f>
        <v>0</v>
      </c>
      <c r="BD59" s="278" t="n">
        <f aca="false">BC59*1.5</f>
        <v>0</v>
      </c>
      <c r="BE59" s="278" t="n">
        <f aca="false">COUNTIF(A59:AH59,"*$M*")</f>
        <v>0</v>
      </c>
      <c r="BF59" s="278" t="n">
        <f aca="false">BE59*1</f>
        <v>0</v>
      </c>
      <c r="BG59" s="278" t="n">
        <f aca="false">COUNTIF(A59:AH59,"*$PM*")</f>
        <v>0</v>
      </c>
      <c r="BH59" s="278" t="n">
        <f aca="false">BG59*0.5</f>
        <v>0</v>
      </c>
      <c r="BI59" s="278" t="n">
        <f aca="false">COUNTIF(A59:AH59,"*$AM*")</f>
        <v>0</v>
      </c>
      <c r="BJ59" s="278" t="n">
        <f aca="false">BI59*0.5</f>
        <v>0</v>
      </c>
      <c r="BK59" s="278" t="n">
        <f aca="false">COUNTIF(A59:AH59,"*$FC*")</f>
        <v>0</v>
      </c>
      <c r="BL59" s="278" t="n">
        <f aca="false">BK59*1</f>
        <v>0</v>
      </c>
      <c r="BM59" s="278" t="n">
        <f aca="false">COUNTIF($E59:$AG59,BM$4)</f>
        <v>0</v>
      </c>
      <c r="BN59" s="278" t="n">
        <f aca="false">COUNTIF($E59:$AG59,BN$4)</f>
        <v>0</v>
      </c>
      <c r="BO59" s="278" t="n">
        <f aca="false">COUNTIF($E59:$Y59,BO$4)</f>
        <v>0</v>
      </c>
      <c r="BP59" s="280"/>
    </row>
    <row r="60" customFormat="false" ht="19.5" hidden="false" customHeight="true" outlineLevel="0" collapsed="false">
      <c r="A60" s="280"/>
      <c r="B60" s="280" t="s">
        <v>835</v>
      </c>
      <c r="C60" s="317"/>
      <c r="D60" s="317"/>
      <c r="E60" s="317"/>
      <c r="F60" s="266"/>
      <c r="H60" s="317"/>
      <c r="I60" s="319"/>
      <c r="J60" s="266"/>
      <c r="K60" s="317"/>
      <c r="L60" s="319"/>
      <c r="M60" s="280"/>
      <c r="N60" s="280"/>
      <c r="O60" s="266"/>
      <c r="P60" s="280"/>
      <c r="Q60" s="280"/>
      <c r="R60" s="317"/>
      <c r="S60" s="317"/>
      <c r="T60" s="317"/>
      <c r="U60" s="317"/>
      <c r="V60" s="317"/>
      <c r="W60" s="352"/>
      <c r="X60" s="352"/>
      <c r="Y60" s="352"/>
      <c r="Z60" s="91"/>
      <c r="AA60" s="352"/>
      <c r="AB60" s="352"/>
      <c r="AC60" s="352"/>
      <c r="AD60" s="352"/>
      <c r="AE60" s="352"/>
      <c r="AF60" s="352"/>
      <c r="AG60" s="352"/>
      <c r="AH60" s="272" t="n">
        <f aca="false">COUNTIF($C60:$AF60,AH$4)</f>
        <v>0</v>
      </c>
      <c r="AI60" s="272" t="n">
        <f aca="false">COUNTIF($C60:$AF60,AI$4)</f>
        <v>0</v>
      </c>
      <c r="AJ60" s="272" t="n">
        <f aca="false">COUNTIF($C60:$AF60,AJ$4)</f>
        <v>0</v>
      </c>
      <c r="AK60" s="272" t="n">
        <f aca="false">COUNTIF($C60:$AF60,AK$4)</f>
        <v>0</v>
      </c>
      <c r="AL60" s="272" t="n">
        <f aca="false">COUNTIF($C60:$AF60,AL$4)</f>
        <v>0</v>
      </c>
      <c r="AM60" s="272" t="n">
        <f aca="false">COUNTIF($C60:$AF60,AM$4)</f>
        <v>0</v>
      </c>
      <c r="AN60" s="272" t="n">
        <f aca="false">COUNTIF($C60:$AF60,AN$4)</f>
        <v>0</v>
      </c>
      <c r="AO60" s="272" t="n">
        <f aca="false">COUNTIF($C60:$AF60,AO$4)</f>
        <v>0</v>
      </c>
      <c r="AP60" s="272" t="n">
        <f aca="false">COUNTIF($C60:$AF60,AP$4)</f>
        <v>0</v>
      </c>
      <c r="AQ60" s="279"/>
      <c r="AR60" s="279"/>
      <c r="AS60" s="278" t="n">
        <f aca="false">SUMPRODUCT(--(WEEKDAY(C$3:AG$3,2)&lt;5),--ISNUMBER(MATCH(C60:AG60,{"SB1","SB2"},0)))</f>
        <v>0</v>
      </c>
      <c r="AT60" s="272"/>
      <c r="AU60" s="278" t="n">
        <f aca="false">SUMPRODUCT(--(WEEKDAY(C$3:AG$3,2)=5),--ISNUMBER(MATCH(C60:AG60,{"SB1","SB2"},0)))</f>
        <v>0</v>
      </c>
      <c r="AV60" s="278" t="n">
        <f aca="false">SUMPRODUCT(--(WEEKDAY(C$3:AG$3,2)&gt;5),--ISNUMBER(MATCH(C60:AG60,{"SB1","SB2"},0)))</f>
        <v>0</v>
      </c>
      <c r="AW60" s="272"/>
      <c r="AX60" s="278" t="n">
        <f aca="false">(AS60-AT60)+AU60*1.5+(AV60-AW60)*2+(AO60+AH60+AI60+AJ60+AK60+AN60)*0.5+AQ60-AR60</f>
        <v>0</v>
      </c>
      <c r="AY60" s="278" t="n">
        <f aca="false">AS60+AU60+AV60</f>
        <v>0</v>
      </c>
      <c r="AZ60" s="278" t="n">
        <f aca="false">BC60+BE60+BG60+BI60+BK60</f>
        <v>0</v>
      </c>
      <c r="BA60" s="279" t="n">
        <f aca="false">AX60+BB60</f>
        <v>0</v>
      </c>
      <c r="BB60" s="278" t="n">
        <f aca="false">BD60+BF60+BH60+BJ60+BL60</f>
        <v>0</v>
      </c>
      <c r="BC60" s="278" t="n">
        <f aca="false">COUNTIF(A60:AH60,"*$BTP*")</f>
        <v>0</v>
      </c>
      <c r="BD60" s="278" t="n">
        <f aca="false">BC60*1.5</f>
        <v>0</v>
      </c>
      <c r="BE60" s="278" t="n">
        <f aca="false">COUNTIF(A60:AH60,"*$M*")</f>
        <v>0</v>
      </c>
      <c r="BF60" s="278" t="n">
        <f aca="false">BE60*1</f>
        <v>0</v>
      </c>
      <c r="BG60" s="278" t="n">
        <f aca="false">COUNTIF(A60:AH60,"*$PM*")</f>
        <v>0</v>
      </c>
      <c r="BH60" s="278" t="n">
        <f aca="false">BG60*0.5</f>
        <v>0</v>
      </c>
      <c r="BI60" s="278" t="n">
        <f aca="false">COUNTIF(A60:AH60,"*$AM*")</f>
        <v>0</v>
      </c>
      <c r="BJ60" s="278" t="n">
        <f aca="false">BI60*0.5</f>
        <v>0</v>
      </c>
      <c r="BK60" s="278" t="n">
        <f aca="false">COUNTIF(A60:AH60,"*$FC*")</f>
        <v>0</v>
      </c>
      <c r="BL60" s="278" t="n">
        <f aca="false">BK60*1</f>
        <v>0</v>
      </c>
      <c r="BM60" s="278" t="n">
        <f aca="false">COUNTIF($E60:$AG60,BM$4)</f>
        <v>0</v>
      </c>
      <c r="BN60" s="278" t="n">
        <f aca="false">COUNTIF($E60:$AG60,BN$4)</f>
        <v>0</v>
      </c>
      <c r="BO60" s="278" t="n">
        <f aca="false">COUNTIF($D60:$Y60,BO$4)</f>
        <v>0</v>
      </c>
      <c r="BP60" s="280"/>
    </row>
    <row r="61" customFormat="false" ht="19.5" hidden="false" customHeight="true" outlineLevel="0" collapsed="false">
      <c r="A61" s="280"/>
      <c r="B61" s="280" t="s">
        <v>836</v>
      </c>
      <c r="C61" s="266"/>
      <c r="D61" s="91"/>
      <c r="E61" s="91"/>
      <c r="F61" s="91"/>
      <c r="G61" s="91"/>
      <c r="H61" s="91"/>
      <c r="I61" s="91"/>
      <c r="J61" s="280"/>
      <c r="K61" s="317"/>
      <c r="L61" s="317"/>
      <c r="M61" s="280"/>
      <c r="N61" s="280"/>
      <c r="O61" s="280"/>
      <c r="P61" s="280"/>
      <c r="Q61" s="266"/>
      <c r="R61" s="280"/>
      <c r="T61" s="317"/>
      <c r="U61" s="283"/>
      <c r="V61" s="283"/>
      <c r="W61" s="283"/>
      <c r="X61" s="283"/>
      <c r="Y61" s="283"/>
      <c r="Z61" s="283"/>
      <c r="AA61" s="283"/>
      <c r="AB61" s="283"/>
      <c r="AC61" s="280"/>
      <c r="AD61" s="280"/>
      <c r="AE61" s="280"/>
      <c r="AF61" s="280"/>
      <c r="AG61" s="266"/>
      <c r="AH61" s="272" t="n">
        <f aca="false">COUNTIF($C61:$AF61,AH$4)</f>
        <v>0</v>
      </c>
      <c r="AI61" s="272" t="n">
        <f aca="false">COUNTIF($C61:$AF61,AI$4)</f>
        <v>0</v>
      </c>
      <c r="AJ61" s="272" t="n">
        <f aca="false">COUNTIF($C61:$AF61,AJ$4)</f>
        <v>0</v>
      </c>
      <c r="AK61" s="272" t="n">
        <f aca="false">COUNTIF($C61:$AF61,AK$4)</f>
        <v>0</v>
      </c>
      <c r="AL61" s="272" t="n">
        <f aca="false">COUNTIF($C61:$AF61,AL$4)</f>
        <v>0</v>
      </c>
      <c r="AM61" s="272" t="n">
        <f aca="false">COUNTIF($C61:$AF61,AM$4)</f>
        <v>0</v>
      </c>
      <c r="AN61" s="272" t="n">
        <f aca="false">COUNTIF($C61:$AF61,AN$4)</f>
        <v>0</v>
      </c>
      <c r="AO61" s="272" t="n">
        <f aca="false">COUNTIF($C61:$AF61,AO$4)</f>
        <v>0</v>
      </c>
      <c r="AP61" s="272" t="n">
        <f aca="false">COUNTIF($C61:$AF61,AP$4)</f>
        <v>0</v>
      </c>
      <c r="AQ61" s="279"/>
      <c r="AR61" s="279"/>
      <c r="AS61" s="278" t="n">
        <f aca="false">SUMPRODUCT(--(WEEKDAY(C$3:AG$3,2)&lt;5),--ISNUMBER(MATCH(C61:AG61,{"SB1","SB2"},0)))</f>
        <v>0</v>
      </c>
      <c r="AT61" s="272"/>
      <c r="AU61" s="278" t="n">
        <f aca="false">SUMPRODUCT(--(WEEKDAY(C$3:AG$3,2)=5),--ISNUMBER(MATCH(C61:AG61,{"SB1","SB2"},0)))</f>
        <v>0</v>
      </c>
      <c r="AV61" s="278" t="n">
        <f aca="false">SUMPRODUCT(--(WEEKDAY(C$3:AG$3,2)&gt;5),--ISNUMBER(MATCH(C61:AG61,{"SB1","SB2"},0)))</f>
        <v>0</v>
      </c>
      <c r="AW61" s="272"/>
      <c r="AX61" s="278" t="n">
        <f aca="false">(AS61-AT61)+AU61*1.5+(AV61-AW61)*2+(AO61+AH61+AI61+AJ61+AK61+AN61)*0.5+AQ61-AR61</f>
        <v>0</v>
      </c>
      <c r="AY61" s="278" t="n">
        <f aca="false">AS61+AU61+AV61</f>
        <v>0</v>
      </c>
      <c r="AZ61" s="278" t="n">
        <f aca="false">BC61+BE61+BG61+BI61+BK61</f>
        <v>0</v>
      </c>
      <c r="BA61" s="279" t="n">
        <f aca="false">AX61+BB61</f>
        <v>0</v>
      </c>
      <c r="BB61" s="278" t="n">
        <f aca="false">BD61+BF61+BH61+BJ61+BL61</f>
        <v>0</v>
      </c>
      <c r="BC61" s="278" t="n">
        <f aca="false">COUNTIF(A61:AH61,"*$BTP*")</f>
        <v>0</v>
      </c>
      <c r="BD61" s="278" t="n">
        <f aca="false">BC61*1.5</f>
        <v>0</v>
      </c>
      <c r="BE61" s="278" t="n">
        <f aca="false">COUNTIF(A61:AH61,"*$M*")</f>
        <v>0</v>
      </c>
      <c r="BF61" s="278" t="n">
        <f aca="false">BE61*1</f>
        <v>0</v>
      </c>
      <c r="BG61" s="278" t="n">
        <f aca="false">COUNTIF(A61:AH61,"*$PM*")</f>
        <v>0</v>
      </c>
      <c r="BH61" s="278" t="n">
        <f aca="false">BG61*0.5</f>
        <v>0</v>
      </c>
      <c r="BI61" s="278" t="n">
        <f aca="false">COUNTIF(A61:AH61,"*$AM*")</f>
        <v>0</v>
      </c>
      <c r="BJ61" s="278" t="n">
        <f aca="false">BI61*0.5</f>
        <v>0</v>
      </c>
      <c r="BK61" s="278" t="n">
        <f aca="false">COUNTIF(A61:AH61,"*$FC*")</f>
        <v>0</v>
      </c>
      <c r="BL61" s="278" t="n">
        <f aca="false">BK61*1</f>
        <v>0</v>
      </c>
      <c r="BM61" s="278" t="n">
        <f aca="false">COUNTIF($E61:$AG61,BM$4)</f>
        <v>0</v>
      </c>
      <c r="BN61" s="278" t="n">
        <f aca="false">COUNTIF($E61:$AG61,BN$4)</f>
        <v>0</v>
      </c>
      <c r="BO61" s="278" t="n">
        <f aca="false">COUNTIF($E61:$Y61,BO$4)</f>
        <v>0</v>
      </c>
      <c r="BP61" s="280"/>
    </row>
    <row r="62" customFormat="false" ht="19.5" hidden="false" customHeight="true" outlineLevel="0" collapsed="false">
      <c r="A62" s="280"/>
      <c r="B62" s="280" t="s">
        <v>838</v>
      </c>
      <c r="C62" s="91"/>
      <c r="D62" s="317"/>
      <c r="E62" s="317"/>
      <c r="F62" s="91"/>
      <c r="G62" s="280"/>
      <c r="H62" s="317"/>
      <c r="I62" s="266"/>
      <c r="J62" s="280"/>
      <c r="K62" s="266"/>
      <c r="L62" s="91"/>
      <c r="M62" s="280"/>
      <c r="N62" s="280"/>
      <c r="O62" s="280"/>
      <c r="P62" s="33"/>
      <c r="Q62" s="33"/>
      <c r="R62" s="317"/>
      <c r="S62" s="317"/>
      <c r="T62" s="91"/>
      <c r="U62" s="91"/>
      <c r="V62" s="280"/>
      <c r="W62" s="319"/>
      <c r="Y62" s="91"/>
      <c r="Z62" s="91"/>
      <c r="AA62" s="91"/>
      <c r="AB62" s="91"/>
      <c r="AC62" s="91"/>
      <c r="AD62" s="280"/>
      <c r="AE62" s="319"/>
      <c r="AF62" s="319"/>
      <c r="AG62" s="319"/>
      <c r="AH62" s="272" t="n">
        <f aca="false">COUNTIF($C62:$AF62,AH$4)</f>
        <v>0</v>
      </c>
      <c r="AI62" s="272" t="n">
        <f aca="false">COUNTIF($C62:$AF62,AI$4)</f>
        <v>0</v>
      </c>
      <c r="AJ62" s="272" t="n">
        <f aca="false">COUNTIF($C62:$AF62,AJ$4)</f>
        <v>0</v>
      </c>
      <c r="AK62" s="272" t="n">
        <f aca="false">COUNTIF($C62:$AF62,AK$4)</f>
        <v>0</v>
      </c>
      <c r="AL62" s="272" t="n">
        <f aca="false">COUNTIF($C62:$AF62,AL$4)</f>
        <v>0</v>
      </c>
      <c r="AM62" s="272" t="n">
        <f aca="false">COUNTIF($C62:$AF62,AM$4)</f>
        <v>0</v>
      </c>
      <c r="AN62" s="272" t="n">
        <f aca="false">COUNTIF($C62:$AF62,AN$4)</f>
        <v>0</v>
      </c>
      <c r="AO62" s="272" t="n">
        <f aca="false">COUNTIF($C62:$AF62,AO$4)</f>
        <v>0</v>
      </c>
      <c r="AP62" s="272" t="n">
        <f aca="false">COUNTIF($C62:$AF62,AP$4)</f>
        <v>0</v>
      </c>
      <c r="AQ62" s="279"/>
      <c r="AR62" s="279"/>
      <c r="AS62" s="278" t="n">
        <f aca="false">SUMPRODUCT(--(WEEKDAY(C$3:AG$3,2)&lt;5),--ISNUMBER(MATCH(C62:AG62,{"SB1","SB2"},0)))</f>
        <v>0</v>
      </c>
      <c r="AT62" s="272"/>
      <c r="AU62" s="278" t="n">
        <f aca="false">SUMPRODUCT(--(WEEKDAY(C$3:AG$3,2)=5),--ISNUMBER(MATCH(C62:AG62,{"SB1","SB2"},0)))</f>
        <v>0</v>
      </c>
      <c r="AV62" s="278" t="n">
        <f aca="false">SUMPRODUCT(--(WEEKDAY(C$3:AG$3,2)&gt;5),--ISNUMBER(MATCH(C62:AG62,{"SB1","SB2"},0)))</f>
        <v>0</v>
      </c>
      <c r="AW62" s="272"/>
      <c r="AX62" s="278" t="n">
        <f aca="false">(AS62-AT62)+AU62*1.5+(AV62-AW62)*2+(AO62+AH62+AI62+AJ62+AK62+AN62)*0.5+AQ62-AR62</f>
        <v>0</v>
      </c>
      <c r="AY62" s="278" t="n">
        <f aca="false">AS62+AU62+AV62</f>
        <v>0</v>
      </c>
      <c r="AZ62" s="278" t="n">
        <f aca="false">BC62+BE62+BG62+BI62+BK62</f>
        <v>0</v>
      </c>
      <c r="BA62" s="279" t="n">
        <f aca="false">AX62+BB62</f>
        <v>0</v>
      </c>
      <c r="BB62" s="278" t="n">
        <f aca="false">BD62+BF62+BH62+BJ62+BL62</f>
        <v>0</v>
      </c>
      <c r="BC62" s="278" t="n">
        <f aca="false">COUNTIF(A62:AH62,"*$BTP*")</f>
        <v>0</v>
      </c>
      <c r="BD62" s="278" t="n">
        <f aca="false">BC62*1.5</f>
        <v>0</v>
      </c>
      <c r="BE62" s="278" t="n">
        <f aca="false">COUNTIF(A62:AH62,"*$M*")</f>
        <v>0</v>
      </c>
      <c r="BF62" s="278" t="n">
        <f aca="false">BE62*1</f>
        <v>0</v>
      </c>
      <c r="BG62" s="278" t="n">
        <f aca="false">COUNTIF(A62:AH62,"*$PM*")</f>
        <v>0</v>
      </c>
      <c r="BH62" s="278" t="n">
        <f aca="false">BG62*0.5</f>
        <v>0</v>
      </c>
      <c r="BI62" s="278" t="n">
        <f aca="false">COUNTIF(A62:AH62,"*$AM*")</f>
        <v>0</v>
      </c>
      <c r="BJ62" s="278" t="n">
        <f aca="false">BI62*0.5</f>
        <v>0</v>
      </c>
      <c r="BK62" s="278" t="n">
        <f aca="false">COUNTIF(A62:AH62,"*$FC*")</f>
        <v>0</v>
      </c>
      <c r="BL62" s="278" t="n">
        <f aca="false">BK62*1</f>
        <v>0</v>
      </c>
      <c r="BM62" s="278" t="n">
        <f aca="false">COUNTIF($E62:$AG62,BM$4)</f>
        <v>0</v>
      </c>
      <c r="BN62" s="278" t="n">
        <f aca="false">COUNTIF($E62:$AG62,BN$4)</f>
        <v>0</v>
      </c>
      <c r="BO62" s="278" t="n">
        <f aca="false">COUNTIF($D62:$Y62,BO$4)</f>
        <v>0</v>
      </c>
      <c r="BP62" s="280"/>
    </row>
    <row r="63" customFormat="false" ht="19.5" hidden="false" customHeight="true" outlineLevel="0" collapsed="false">
      <c r="A63" s="280"/>
      <c r="B63" s="280" t="s">
        <v>840</v>
      </c>
      <c r="C63" s="317"/>
      <c r="D63" s="317"/>
      <c r="E63" s="317"/>
      <c r="F63" s="317"/>
      <c r="G63" s="317"/>
      <c r="H63" s="280"/>
      <c r="I63" s="280"/>
      <c r="J63" s="280"/>
      <c r="K63" s="317"/>
      <c r="L63" s="91"/>
      <c r="M63" s="280"/>
      <c r="N63" s="280"/>
      <c r="O63" s="319"/>
      <c r="P63" s="280"/>
      <c r="Q63" s="280"/>
      <c r="R63" s="266"/>
      <c r="S63" s="317"/>
      <c r="T63" s="266"/>
      <c r="U63" s="283"/>
      <c r="W63" s="283"/>
      <c r="X63" s="91"/>
      <c r="Y63" s="319"/>
      <c r="Z63" s="317"/>
      <c r="AA63" s="280"/>
      <c r="AB63" s="280"/>
      <c r="AC63" s="280"/>
      <c r="AE63" s="266"/>
      <c r="AG63" s="266"/>
      <c r="AH63" s="272" t="n">
        <f aca="false">COUNTIF($C63:$AF63,AH$4)</f>
        <v>0</v>
      </c>
      <c r="AI63" s="272" t="n">
        <f aca="false">COUNTIF($C63:$AF63,AI$4)</f>
        <v>0</v>
      </c>
      <c r="AJ63" s="272" t="n">
        <f aca="false">COUNTIF($C63:$AF63,AJ$4)</f>
        <v>0</v>
      </c>
      <c r="AK63" s="272" t="n">
        <f aca="false">COUNTIF($C63:$AF63,AK$4)</f>
        <v>0</v>
      </c>
      <c r="AL63" s="272" t="n">
        <f aca="false">COUNTIF($C63:$AF63,AL$4)</f>
        <v>0</v>
      </c>
      <c r="AM63" s="272" t="n">
        <f aca="false">COUNTIF($C63:$AF63,AM$4)</f>
        <v>0</v>
      </c>
      <c r="AN63" s="272" t="n">
        <f aca="false">COUNTIF($C63:$AF63,AN$4)</f>
        <v>0</v>
      </c>
      <c r="AO63" s="272" t="n">
        <f aca="false">COUNTIF($C63:$AF63,AO$4)</f>
        <v>0</v>
      </c>
      <c r="AP63" s="272" t="n">
        <f aca="false">COUNTIF($C63:$AF63,AP$4)</f>
        <v>0</v>
      </c>
      <c r="AQ63" s="279"/>
      <c r="AR63" s="279"/>
      <c r="AS63" s="278" t="n">
        <f aca="false">SUMPRODUCT(--(WEEKDAY(C$3:AG$3,2)&lt;5),--ISNUMBER(MATCH(C63:AG63,{"SB1","SB2"},0)))</f>
        <v>0</v>
      </c>
      <c r="AT63" s="272"/>
      <c r="AU63" s="278" t="n">
        <f aca="false">SUMPRODUCT(--(WEEKDAY(C$3:AG$3,2)=5),--ISNUMBER(MATCH(C63:AG63,{"SB1","SB2"},0)))</f>
        <v>0</v>
      </c>
      <c r="AV63" s="278" t="n">
        <f aca="false">SUMPRODUCT(--(WEEKDAY(C$3:AG$3,2)&gt;5),--ISNUMBER(MATCH(C63:AG63,{"SB1","SB2"},0)))</f>
        <v>0</v>
      </c>
      <c r="AW63" s="272"/>
      <c r="AX63" s="278" t="n">
        <f aca="false">(AS63-AT63)+AU63*1.5+(AV63-AW63)*2+(AO63+AH63+AI63+AJ63+AK63+AN63)*0.5+AQ63-AR63</f>
        <v>0</v>
      </c>
      <c r="AY63" s="278" t="n">
        <f aca="false">AS63+AU63+AV63</f>
        <v>0</v>
      </c>
      <c r="AZ63" s="278" t="n">
        <f aca="false">BC63+BE63+BG63+BI63+BK63</f>
        <v>0</v>
      </c>
      <c r="BA63" s="279" t="n">
        <f aca="false">AX63+BB63</f>
        <v>0</v>
      </c>
      <c r="BB63" s="278" t="n">
        <f aca="false">BD63+BF63+BH63+BJ63+BL63</f>
        <v>0</v>
      </c>
      <c r="BC63" s="278" t="n">
        <f aca="false">COUNTIF(A63:AH63,"*$BTP*")</f>
        <v>0</v>
      </c>
      <c r="BD63" s="278" t="n">
        <f aca="false">BC63*1.5</f>
        <v>0</v>
      </c>
      <c r="BE63" s="278" t="n">
        <f aca="false">COUNTIF(A63:AH63,"*$M*")</f>
        <v>0</v>
      </c>
      <c r="BF63" s="278" t="n">
        <f aca="false">BE63*1</f>
        <v>0</v>
      </c>
      <c r="BG63" s="278" t="n">
        <f aca="false">COUNTIF(A63:AH63,"*$PM*")</f>
        <v>0</v>
      </c>
      <c r="BH63" s="278" t="n">
        <f aca="false">BG63*0.5</f>
        <v>0</v>
      </c>
      <c r="BI63" s="278" t="n">
        <f aca="false">COUNTIF(A63:AH63,"*$AM*")</f>
        <v>0</v>
      </c>
      <c r="BJ63" s="278" t="n">
        <f aca="false">BI63*0.5</f>
        <v>0</v>
      </c>
      <c r="BK63" s="278" t="n">
        <f aca="false">COUNTIF(A63:AH63,"*$FC*")</f>
        <v>0</v>
      </c>
      <c r="BL63" s="278" t="n">
        <f aca="false">BK63*1</f>
        <v>0</v>
      </c>
      <c r="BM63" s="278" t="n">
        <f aca="false">COUNTIF($E63:$AG63,BM$4)</f>
        <v>0</v>
      </c>
      <c r="BN63" s="278" t="n">
        <f aca="false">COUNTIF($E63:$AG63,BN$4)</f>
        <v>0</v>
      </c>
      <c r="BO63" s="278" t="n">
        <f aca="false">COUNTIF($D63:$X63,BO$4)</f>
        <v>0</v>
      </c>
      <c r="BP63" s="280"/>
    </row>
    <row r="64" customFormat="false" ht="84.75" hidden="false" customHeight="true" outlineLevel="0" collapsed="false">
      <c r="A64" s="280"/>
      <c r="B64" s="280" t="s">
        <v>844</v>
      </c>
      <c r="C64" s="280"/>
      <c r="D64" s="317"/>
      <c r="E64" s="317"/>
      <c r="F64" s="280"/>
      <c r="G64" s="280"/>
      <c r="H64" s="317"/>
      <c r="I64" s="280"/>
      <c r="J64" s="280"/>
      <c r="K64" s="317"/>
      <c r="L64" s="319"/>
      <c r="M64" s="91"/>
      <c r="N64" s="280"/>
      <c r="O64" s="319"/>
      <c r="P64" s="280"/>
      <c r="Q64" s="280"/>
      <c r="R64" s="317"/>
      <c r="S64" s="91"/>
      <c r="T64" s="317"/>
      <c r="U64" s="91"/>
      <c r="V64" s="266"/>
      <c r="X64" s="280"/>
      <c r="Y64" s="280"/>
      <c r="Z64" s="280"/>
      <c r="AA64" s="280"/>
      <c r="AB64" s="280"/>
      <c r="AC64" s="280"/>
      <c r="AD64" s="280"/>
      <c r="AE64" s="280"/>
      <c r="AF64" s="280"/>
      <c r="AG64" s="280"/>
      <c r="AH64" s="272" t="n">
        <f aca="false">COUNTIF($C64:$AF64,AH$4)</f>
        <v>0</v>
      </c>
      <c r="AI64" s="272" t="n">
        <f aca="false">COUNTIF($C64:$AF64,AI$4)</f>
        <v>0</v>
      </c>
      <c r="AJ64" s="272" t="n">
        <f aca="false">COUNTIF($C64:$AF64,AJ$4)</f>
        <v>0</v>
      </c>
      <c r="AK64" s="272" t="n">
        <f aca="false">COUNTIF($C64:$AF64,AK$4)</f>
        <v>0</v>
      </c>
      <c r="AL64" s="272" t="n">
        <f aca="false">COUNTIF($C64:$AF64,AL$4)</f>
        <v>0</v>
      </c>
      <c r="AM64" s="272" t="n">
        <f aca="false">COUNTIF($C64:$AF64,AM$4)</f>
        <v>0</v>
      </c>
      <c r="AN64" s="272" t="n">
        <f aca="false">COUNTIF($C64:$AF64,AN$4)</f>
        <v>0</v>
      </c>
      <c r="AO64" s="272" t="n">
        <f aca="false">COUNTIF($C64:$AF64,AO$4)</f>
        <v>0</v>
      </c>
      <c r="AP64" s="272" t="n">
        <f aca="false">COUNTIF($C64:$AF64,AP$4)</f>
        <v>0</v>
      </c>
      <c r="AQ64" s="279"/>
      <c r="AR64" s="279"/>
      <c r="AS64" s="278" t="n">
        <f aca="false">SUMPRODUCT(--(WEEKDAY(C$3:AG$3,2)&lt;5),--ISNUMBER(MATCH(C64:AG64,{"SB1","SB2"},0)))</f>
        <v>0</v>
      </c>
      <c r="AT64" s="272"/>
      <c r="AU64" s="278" t="n">
        <f aca="false">SUMPRODUCT(--(WEEKDAY(C$3:AG$3,2)=5),--ISNUMBER(MATCH(C64:AG64,{"SB1","SB2"},0)))</f>
        <v>0</v>
      </c>
      <c r="AV64" s="278" t="n">
        <f aca="false">SUMPRODUCT(--(WEEKDAY(C$3:AG$3,2)&gt;5),--ISNUMBER(MATCH(C64:AG64,{"SB1","SB2"},0)))</f>
        <v>0</v>
      </c>
      <c r="AW64" s="272"/>
      <c r="AX64" s="278" t="n">
        <f aca="false">(AS64-AT64)+AU64*1.5+(AV64-AW64)*2+(AO64+AH64+AI64+AJ64+AK64+AN64)*0.5+AQ64-AR64</f>
        <v>0</v>
      </c>
      <c r="AY64" s="278" t="n">
        <f aca="false">AS64+AU64+AV64</f>
        <v>0</v>
      </c>
      <c r="AZ64" s="278" t="n">
        <f aca="false">BC64+BE64+BG64+BI64+BK64</f>
        <v>0</v>
      </c>
      <c r="BA64" s="279" t="n">
        <f aca="false">AX64+BB64</f>
        <v>0</v>
      </c>
      <c r="BB64" s="278" t="n">
        <f aca="false">BD64+BF64+BH64+BJ64+BL64</f>
        <v>0</v>
      </c>
      <c r="BC64" s="278" t="n">
        <f aca="false">COUNTIF(A64:AH64,"*$BTP*")</f>
        <v>0</v>
      </c>
      <c r="BD64" s="278" t="n">
        <f aca="false">BC64*1.5</f>
        <v>0</v>
      </c>
      <c r="BE64" s="278" t="n">
        <f aca="false">COUNTIF(A64:AH64,"*$M*")</f>
        <v>0</v>
      </c>
      <c r="BF64" s="278" t="n">
        <f aca="false">BE64*1</f>
        <v>0</v>
      </c>
      <c r="BG64" s="278" t="n">
        <f aca="false">COUNTIF(A64:AH64,"*$PM*")</f>
        <v>0</v>
      </c>
      <c r="BH64" s="278" t="n">
        <f aca="false">BG64*0.5</f>
        <v>0</v>
      </c>
      <c r="BI64" s="278" t="n">
        <f aca="false">COUNTIF(A64:AH64,"*$AM*")</f>
        <v>0</v>
      </c>
      <c r="BJ64" s="278" t="n">
        <f aca="false">BI64*0.5</f>
        <v>0</v>
      </c>
      <c r="BK64" s="278" t="n">
        <f aca="false">COUNTIF(A64:AH64,"*$FC*")</f>
        <v>0</v>
      </c>
      <c r="BL64" s="278" t="n">
        <f aca="false">BK64*1</f>
        <v>0</v>
      </c>
      <c r="BM64" s="278" t="n">
        <f aca="false">COUNTIF($E64:$AG64,BM$4)</f>
        <v>0</v>
      </c>
      <c r="BN64" s="278" t="n">
        <f aca="false">COUNTIF($E64:$AG64,BN$4)</f>
        <v>0</v>
      </c>
      <c r="BO64" s="278" t="n">
        <f aca="false">COUNTIF($D64:$Y64,BO$4)</f>
        <v>0</v>
      </c>
      <c r="BP64" s="280"/>
    </row>
    <row r="65" customFormat="false" ht="19.5" hidden="false" customHeight="true" outlineLevel="0" collapsed="false">
      <c r="A65" s="280"/>
      <c r="B65" s="280" t="s">
        <v>848</v>
      </c>
      <c r="C65" s="317"/>
      <c r="D65" s="91"/>
      <c r="E65" s="317"/>
      <c r="F65" s="280"/>
      <c r="G65" s="280"/>
      <c r="H65" s="317"/>
      <c r="I65" s="280"/>
      <c r="J65" s="280"/>
      <c r="K65" s="317"/>
      <c r="L65" s="317"/>
      <c r="M65" s="280"/>
      <c r="N65" s="280"/>
      <c r="O65" s="280"/>
      <c r="P65" s="280"/>
      <c r="Q65" s="280"/>
      <c r="R65" s="317"/>
      <c r="S65" s="266"/>
      <c r="T65" s="317"/>
      <c r="U65" s="91"/>
      <c r="V65" s="280"/>
      <c r="W65" s="280"/>
      <c r="X65" s="280"/>
      <c r="Y65" s="266"/>
      <c r="Z65" s="317"/>
      <c r="AA65" s="283"/>
      <c r="AB65" s="280"/>
      <c r="AC65" s="266"/>
      <c r="AD65" s="266"/>
      <c r="AE65" s="266"/>
      <c r="AF65" s="317"/>
      <c r="AG65" s="317"/>
      <c r="AH65" s="272" t="n">
        <f aca="false">COUNTIF($C65:$AF65,AH$4)</f>
        <v>0</v>
      </c>
      <c r="AI65" s="272" t="n">
        <f aca="false">COUNTIF($C65:$AF65,AI$4)</f>
        <v>0</v>
      </c>
      <c r="AJ65" s="272" t="n">
        <f aca="false">COUNTIF($C65:$AF65,AJ$4)</f>
        <v>0</v>
      </c>
      <c r="AK65" s="272" t="n">
        <f aca="false">COUNTIF($C65:$AF65,AK$4)</f>
        <v>0</v>
      </c>
      <c r="AL65" s="272" t="n">
        <f aca="false">COUNTIF($C65:$AF65,AL$4)</f>
        <v>0</v>
      </c>
      <c r="AM65" s="272" t="n">
        <f aca="false">COUNTIF($C65:$AF65,AM$4)</f>
        <v>0</v>
      </c>
      <c r="AN65" s="272" t="n">
        <f aca="false">COUNTIF($C65:$AF65,AN$4)</f>
        <v>0</v>
      </c>
      <c r="AO65" s="272" t="n">
        <f aca="false">COUNTIF($C65:$AF65,AO$4)</f>
        <v>0</v>
      </c>
      <c r="AP65" s="272" t="n">
        <f aca="false">COUNTIF($C65:$AF65,AP$4)</f>
        <v>0</v>
      </c>
      <c r="AQ65" s="279"/>
      <c r="AR65" s="279"/>
      <c r="AS65" s="278" t="n">
        <f aca="false">SUMPRODUCT(--(WEEKDAY(C$3:AG$3,2)&lt;5),--ISNUMBER(MATCH(C65:AG65,{"SB1","SB2"},0)))</f>
        <v>0</v>
      </c>
      <c r="AT65" s="272"/>
      <c r="AU65" s="278" t="n">
        <f aca="false">SUMPRODUCT(--(WEEKDAY(C$3:AG$3,2)=5),--ISNUMBER(MATCH(C65:AG65,{"SB1","SB2"},0)))</f>
        <v>0</v>
      </c>
      <c r="AV65" s="278" t="n">
        <f aca="false">SUMPRODUCT(--(WEEKDAY(C$3:AG$3,2)&gt;5),--ISNUMBER(MATCH(C65:AG65,{"SB1","SB2"},0)))</f>
        <v>0</v>
      </c>
      <c r="AW65" s="272"/>
      <c r="AX65" s="278" t="n">
        <f aca="false">(AS65-AT65)+AU65*1.5+(AV65-AW65)*2+(AO65+AH65+AI65+AJ65+AK65+AN65)*0.5+AQ65-AR65</f>
        <v>0</v>
      </c>
      <c r="AY65" s="278" t="n">
        <f aca="false">AS65+AU65+AV65</f>
        <v>0</v>
      </c>
      <c r="AZ65" s="278" t="n">
        <f aca="false">BC65+BE65+BG65+BI65+BK65</f>
        <v>0</v>
      </c>
      <c r="BA65" s="279" t="n">
        <f aca="false">AX65+BB65</f>
        <v>0</v>
      </c>
      <c r="BB65" s="278" t="n">
        <f aca="false">BD65+BF65+BH65+BJ65+BL65</f>
        <v>0</v>
      </c>
      <c r="BC65" s="278" t="n">
        <f aca="false">COUNTIF(A65:AH65,"*$BTP*")</f>
        <v>0</v>
      </c>
      <c r="BD65" s="278" t="n">
        <f aca="false">BC65*1.5</f>
        <v>0</v>
      </c>
      <c r="BE65" s="278" t="n">
        <f aca="false">COUNTIF(A65:AH65,"*$M*")</f>
        <v>0</v>
      </c>
      <c r="BF65" s="278" t="n">
        <f aca="false">BE65*1</f>
        <v>0</v>
      </c>
      <c r="BG65" s="278" t="n">
        <f aca="false">COUNTIF(A65:AH65,"*$PM*")</f>
        <v>0</v>
      </c>
      <c r="BH65" s="278" t="n">
        <f aca="false">BG65*0.5</f>
        <v>0</v>
      </c>
      <c r="BI65" s="278" t="n">
        <f aca="false">COUNTIF(A65:AH65,"*$AM*")</f>
        <v>0</v>
      </c>
      <c r="BJ65" s="278" t="n">
        <f aca="false">BI65*0.5</f>
        <v>0</v>
      </c>
      <c r="BK65" s="278" t="n">
        <f aca="false">COUNTIF(A65:AH65,"*$FC*")</f>
        <v>0</v>
      </c>
      <c r="BL65" s="278" t="n">
        <f aca="false">BK65*1</f>
        <v>0</v>
      </c>
      <c r="BM65" s="278" t="n">
        <f aca="false">COUNTIF($E65:$AG65,BM$4)</f>
        <v>0</v>
      </c>
      <c r="BN65" s="278" t="n">
        <f aca="false">COUNTIF($E65:$AG65,BN$4)</f>
        <v>0</v>
      </c>
      <c r="BO65" s="278" t="n">
        <f aca="false">COUNTIF($D65:$Y65,BO$4)</f>
        <v>0</v>
      </c>
      <c r="BP65" s="280"/>
    </row>
    <row r="66" customFormat="false" ht="19.5" hidden="false" customHeight="true" outlineLevel="0" collapsed="false">
      <c r="A66" s="280"/>
      <c r="B66" s="280" t="s">
        <v>914</v>
      </c>
      <c r="C66" s="317"/>
      <c r="D66" s="91"/>
      <c r="E66" s="317"/>
      <c r="F66" s="91"/>
      <c r="G66" s="280"/>
      <c r="H66" s="317"/>
      <c r="I66" s="280"/>
      <c r="J66" s="280"/>
      <c r="K66" s="280"/>
      <c r="L66" s="280"/>
      <c r="M66" s="280"/>
      <c r="N66" s="280"/>
      <c r="O66" s="280"/>
      <c r="P66" s="280"/>
      <c r="Q66" s="280"/>
      <c r="R66" s="280"/>
      <c r="S66" s="280"/>
      <c r="T66" s="280"/>
      <c r="U66" s="280"/>
      <c r="V66" s="280"/>
      <c r="W66" s="280"/>
      <c r="X66" s="280"/>
      <c r="Y66" s="280"/>
      <c r="Z66" s="280"/>
      <c r="AA66" s="280"/>
      <c r="AB66" s="280"/>
      <c r="AC66" s="280"/>
      <c r="AD66" s="280"/>
      <c r="AE66" s="280"/>
      <c r="AF66" s="280"/>
      <c r="AG66" s="280"/>
      <c r="AH66" s="272" t="n">
        <f aca="false">COUNTIF($C66:$AF66,AH$4)</f>
        <v>0</v>
      </c>
      <c r="AI66" s="272" t="n">
        <f aca="false">COUNTIF($C66:$AF66,AI$4)</f>
        <v>0</v>
      </c>
      <c r="AJ66" s="272" t="n">
        <f aca="false">COUNTIF($C66:$AF66,AJ$4)</f>
        <v>0</v>
      </c>
      <c r="AK66" s="272" t="n">
        <f aca="false">COUNTIF($C66:$AF66,AK$4)</f>
        <v>0</v>
      </c>
      <c r="AL66" s="272" t="n">
        <f aca="false">COUNTIF($C66:$AF66,AL$4)</f>
        <v>0</v>
      </c>
      <c r="AM66" s="272" t="n">
        <f aca="false">COUNTIF($C66:$AF66,AM$4)</f>
        <v>0</v>
      </c>
      <c r="AN66" s="272" t="n">
        <f aca="false">COUNTIF($C66:$AF66,AN$4)</f>
        <v>0</v>
      </c>
      <c r="AO66" s="272" t="n">
        <f aca="false">COUNTIF($C66:$AF66,AO$4)</f>
        <v>0</v>
      </c>
      <c r="AP66" s="272" t="n">
        <f aca="false">COUNTIF($C66:$AF66,AP$4)</f>
        <v>0</v>
      </c>
      <c r="AQ66" s="279"/>
      <c r="AR66" s="279"/>
      <c r="AS66" s="278" t="n">
        <f aca="false">SUMPRODUCT(--(WEEKDAY(C$3:AG$3,2)&lt;5),--ISNUMBER(MATCH(C66:AG66,{"SB1","SB2"},0)))</f>
        <v>0</v>
      </c>
      <c r="AT66" s="272"/>
      <c r="AU66" s="278" t="n">
        <f aca="false">SUMPRODUCT(--(WEEKDAY(C$3:AG$3,2)=5),--ISNUMBER(MATCH(C66:AG66,{"SB1","SB2"},0)))</f>
        <v>0</v>
      </c>
      <c r="AV66" s="278" t="n">
        <f aca="false">SUMPRODUCT(--(WEEKDAY(C$3:AG$3,2)&gt;5),--ISNUMBER(MATCH(C66:AG66,{"SB1","SB2"},0)))</f>
        <v>0</v>
      </c>
      <c r="AW66" s="272"/>
      <c r="AX66" s="278" t="n">
        <f aca="false">(AS66-AT66)+AU66*1.5+(AV66-AW66)*2+(AO66+AH66+AI66+AJ66+AK66+AN66)*0.5+AQ66-AR66</f>
        <v>0</v>
      </c>
      <c r="AY66" s="278" t="n">
        <f aca="false">AS66+AU66+AV66</f>
        <v>0</v>
      </c>
      <c r="AZ66" s="278" t="n">
        <f aca="false">BC66+BE66+BG66+BI66+BK66</f>
        <v>0</v>
      </c>
      <c r="BA66" s="279" t="n">
        <f aca="false">AX66+BB66</f>
        <v>0</v>
      </c>
      <c r="BB66" s="278" t="n">
        <f aca="false">BD66+BF66+BH66+BJ66+BL66</f>
        <v>0</v>
      </c>
      <c r="BC66" s="278" t="n">
        <f aca="false">COUNTIF(A66:AH66,"*$BTP*")</f>
        <v>0</v>
      </c>
      <c r="BD66" s="278" t="n">
        <f aca="false">BC66*1.5</f>
        <v>0</v>
      </c>
      <c r="BE66" s="278" t="n">
        <f aca="false">COUNTIF(A66:AH66,"*$M*")</f>
        <v>0</v>
      </c>
      <c r="BF66" s="278" t="n">
        <f aca="false">BE66*1</f>
        <v>0</v>
      </c>
      <c r="BG66" s="278" t="n">
        <f aca="false">COUNTIF(A66:AH66,"*$PM*")</f>
        <v>0</v>
      </c>
      <c r="BH66" s="278" t="n">
        <f aca="false">BG66*0.5</f>
        <v>0</v>
      </c>
      <c r="BI66" s="278" t="n">
        <f aca="false">COUNTIF(A66:AH66,"*$AM*")</f>
        <v>0</v>
      </c>
      <c r="BJ66" s="278" t="n">
        <f aca="false">BI66*0.5</f>
        <v>0</v>
      </c>
      <c r="BK66" s="278" t="n">
        <f aca="false">COUNTIF(A66:AH66,"*$FC*")</f>
        <v>0</v>
      </c>
      <c r="BL66" s="278" t="n">
        <f aca="false">BK66*1</f>
        <v>0</v>
      </c>
      <c r="BM66" s="278" t="n">
        <f aca="false">COUNTIF($E66:$AG66,BM$4)</f>
        <v>0</v>
      </c>
      <c r="BN66" s="278" t="n">
        <f aca="false">COUNTIF($E66:$AG66,BN$4)</f>
        <v>0</v>
      </c>
      <c r="BO66" s="278" t="n">
        <f aca="false">COUNTIF($D66:$Y66,BO$4)</f>
        <v>0</v>
      </c>
      <c r="BP66" s="280"/>
    </row>
    <row r="67" customFormat="false" ht="19.5" hidden="false" customHeight="true" outlineLevel="0" collapsed="false">
      <c r="A67" s="280"/>
      <c r="B67" s="280" t="s">
        <v>917</v>
      </c>
      <c r="C67" s="266"/>
      <c r="D67" s="91"/>
      <c r="E67" s="317"/>
      <c r="F67" s="91"/>
      <c r="G67" s="280"/>
      <c r="H67" s="317"/>
      <c r="I67" s="280"/>
      <c r="J67" s="280"/>
      <c r="K67" s="317"/>
      <c r="L67" s="266"/>
      <c r="M67" s="91"/>
      <c r="N67" s="280"/>
      <c r="O67" s="266"/>
      <c r="P67" s="280"/>
      <c r="Q67" s="266"/>
      <c r="R67" s="353"/>
      <c r="S67" s="319"/>
      <c r="T67" s="319"/>
      <c r="U67" s="283"/>
      <c r="V67" s="91"/>
      <c r="W67" s="283"/>
      <c r="X67" s="317"/>
      <c r="Y67" s="266"/>
      <c r="Z67" s="317"/>
      <c r="AA67" s="280"/>
      <c r="AB67" s="280"/>
      <c r="AD67" s="280"/>
      <c r="AE67" s="266"/>
      <c r="AF67" s="317"/>
      <c r="AG67" s="317"/>
      <c r="AH67" s="272" t="n">
        <f aca="false">COUNTIF($C67:$AF67,AH$4)</f>
        <v>0</v>
      </c>
      <c r="AI67" s="272" t="n">
        <f aca="false">COUNTIF($C67:$AF67,AI$4)</f>
        <v>0</v>
      </c>
      <c r="AJ67" s="272" t="n">
        <f aca="false">COUNTIF($C67:$AF67,AJ$4)</f>
        <v>0</v>
      </c>
      <c r="AK67" s="272" t="n">
        <f aca="false">COUNTIF($C67:$AF67,AK$4)</f>
        <v>0</v>
      </c>
      <c r="AL67" s="272" t="n">
        <f aca="false">COUNTIF($C67:$AF67,AL$4)</f>
        <v>0</v>
      </c>
      <c r="AM67" s="272" t="n">
        <f aca="false">COUNTIF($C67:$AF67,AM$4)</f>
        <v>0</v>
      </c>
      <c r="AN67" s="272" t="n">
        <f aca="false">COUNTIF($C67:$AF67,AN$4)</f>
        <v>0</v>
      </c>
      <c r="AO67" s="272" t="n">
        <f aca="false">COUNTIF($C67:$AF67,AO$4)</f>
        <v>0</v>
      </c>
      <c r="AP67" s="272" t="n">
        <f aca="false">COUNTIF($C67:$AF67,AP$4)</f>
        <v>0</v>
      </c>
      <c r="AQ67" s="279"/>
      <c r="AR67" s="279"/>
      <c r="AS67" s="278" t="n">
        <f aca="false">SUMPRODUCT(--(WEEKDAY(C$3:AG$3,2)&lt;5),--ISNUMBER(MATCH(C67:AG67,{"SB1","SB2"},0)))</f>
        <v>0</v>
      </c>
      <c r="AT67" s="272"/>
      <c r="AU67" s="278" t="n">
        <f aca="false">SUMPRODUCT(--(WEEKDAY(C$3:AG$3,2)=5),--ISNUMBER(MATCH(C67:AG67,{"SB1","SB2"},0)))</f>
        <v>0</v>
      </c>
      <c r="AV67" s="278" t="n">
        <f aca="false">SUMPRODUCT(--(WEEKDAY(C$3:AG$3,2)&gt;5),--ISNUMBER(MATCH(C67:AG67,{"SB1","SB2"},0)))</f>
        <v>0</v>
      </c>
      <c r="AW67" s="272"/>
      <c r="AX67" s="278" t="n">
        <f aca="false">(AS67-AT67)+AU67*1.5+(AV67-AW67)*2+(AO67+AH67+AI67+AJ67+AK67+AN67)*0.5+AQ67-AR67</f>
        <v>0</v>
      </c>
      <c r="AY67" s="278" t="n">
        <f aca="false">AS67+AU67+AV67</f>
        <v>0</v>
      </c>
      <c r="AZ67" s="278" t="n">
        <f aca="false">BC67+BE67+BG67+BI67+BK67</f>
        <v>0</v>
      </c>
      <c r="BA67" s="279" t="n">
        <f aca="false">AX67+BB67</f>
        <v>0</v>
      </c>
      <c r="BB67" s="278" t="n">
        <f aca="false">BD67+BF67+BH67+BJ67+BL67</f>
        <v>0</v>
      </c>
      <c r="BC67" s="278" t="n">
        <f aca="false">COUNTIF(A67:AH67,"*$BTP*")</f>
        <v>0</v>
      </c>
      <c r="BD67" s="278" t="n">
        <f aca="false">BC67*1.5</f>
        <v>0</v>
      </c>
      <c r="BE67" s="278" t="n">
        <f aca="false">COUNTIF(A67:AH67,"*$M*")</f>
        <v>0</v>
      </c>
      <c r="BF67" s="278" t="n">
        <f aca="false">BE67*1</f>
        <v>0</v>
      </c>
      <c r="BG67" s="278" t="n">
        <f aca="false">COUNTIF(A67:AH67,"*$PM*")</f>
        <v>0</v>
      </c>
      <c r="BH67" s="278" t="n">
        <f aca="false">BG67*0.5</f>
        <v>0</v>
      </c>
      <c r="BI67" s="278" t="n">
        <f aca="false">COUNTIF(A67:AH67,"*$AM*")</f>
        <v>0</v>
      </c>
      <c r="BJ67" s="278" t="n">
        <f aca="false">BI67*0.5</f>
        <v>0</v>
      </c>
      <c r="BK67" s="278" t="n">
        <f aca="false">COUNTIF(A67:AH67,"*$FC*")</f>
        <v>0</v>
      </c>
      <c r="BL67" s="278" t="n">
        <f aca="false">BK67*1</f>
        <v>0</v>
      </c>
      <c r="BM67" s="278" t="n">
        <f aca="false">COUNTIF($E67:$AG67,BM$4)</f>
        <v>0</v>
      </c>
      <c r="BN67" s="278" t="n">
        <f aca="false">COUNTIF($E67:$AG67,BN$4)</f>
        <v>0</v>
      </c>
      <c r="BO67" s="278" t="n">
        <f aca="false">COUNTIF($D67:$Y67,BO$4)</f>
        <v>0</v>
      </c>
      <c r="BP67" s="280"/>
    </row>
    <row r="68" customFormat="false" ht="19.5" hidden="false" customHeight="true" outlineLevel="0" collapsed="false">
      <c r="A68" s="280"/>
      <c r="B68" s="280" t="s">
        <v>921</v>
      </c>
      <c r="C68" s="317"/>
      <c r="D68" s="91"/>
      <c r="E68" s="317"/>
      <c r="F68" s="266"/>
      <c r="G68" s="280"/>
      <c r="H68" s="280"/>
      <c r="I68" s="280"/>
      <c r="J68" s="280"/>
      <c r="K68" s="280"/>
      <c r="L68" s="280"/>
      <c r="M68" s="354"/>
      <c r="N68" s="280"/>
      <c r="O68" s="280"/>
      <c r="Q68" s="266"/>
      <c r="S68" s="317"/>
      <c r="T68" s="317"/>
      <c r="U68" s="299"/>
      <c r="V68" s="317"/>
      <c r="W68" s="283"/>
      <c r="X68" s="317"/>
      <c r="Y68" s="91"/>
      <c r="Z68" s="266"/>
      <c r="AA68" s="266"/>
      <c r="AB68" s="280"/>
      <c r="AC68" s="280"/>
      <c r="AD68" s="280"/>
      <c r="AE68" s="266"/>
      <c r="AF68" s="317"/>
      <c r="AG68" s="317"/>
      <c r="AH68" s="272" t="n">
        <f aca="false">COUNTIF($C68:$AF68,AH$4)</f>
        <v>0</v>
      </c>
      <c r="AI68" s="272" t="n">
        <f aca="false">COUNTIF($C68:$AF68,AI$4)</f>
        <v>0</v>
      </c>
      <c r="AJ68" s="272" t="n">
        <f aca="false">COUNTIF($C68:$AF68,AJ$4)</f>
        <v>0</v>
      </c>
      <c r="AK68" s="272" t="n">
        <f aca="false">COUNTIF($C68:$AF68,AK$4)</f>
        <v>0</v>
      </c>
      <c r="AL68" s="272" t="n">
        <f aca="false">COUNTIF($C68:$AF68,AL$4)</f>
        <v>0</v>
      </c>
      <c r="AM68" s="272" t="n">
        <f aca="false">COUNTIF($C68:$AF68,AM$4)</f>
        <v>0</v>
      </c>
      <c r="AN68" s="272" t="n">
        <f aca="false">COUNTIF($C68:$AF68,AN$4)</f>
        <v>0</v>
      </c>
      <c r="AO68" s="272" t="n">
        <f aca="false">COUNTIF($C68:$AF68,AO$4)</f>
        <v>0</v>
      </c>
      <c r="AP68" s="272" t="n">
        <f aca="false">COUNTIF($C68:$AF68,AP$4)</f>
        <v>0</v>
      </c>
      <c r="AQ68" s="279"/>
      <c r="AR68" s="279"/>
      <c r="AS68" s="278" t="n">
        <f aca="false">SUMPRODUCT(--(WEEKDAY(C$3:AG$3,2)&lt;5),--ISNUMBER(MATCH(C68:AG68,{"SB1","SB2"},0)))</f>
        <v>0</v>
      </c>
      <c r="AT68" s="272"/>
      <c r="AU68" s="278" t="n">
        <f aca="false">SUMPRODUCT(--(WEEKDAY(C$3:AG$3,2)=5),--ISNUMBER(MATCH(C68:AG68,{"SB1","SB2"},0)))</f>
        <v>0</v>
      </c>
      <c r="AV68" s="278" t="n">
        <f aca="false">SUMPRODUCT(--(WEEKDAY(C$3:AG$3,2)&gt;5),--ISNUMBER(MATCH(C68:AG68,{"SB1","SB2"},0)))</f>
        <v>0</v>
      </c>
      <c r="AW68" s="272"/>
      <c r="AX68" s="278" t="n">
        <f aca="false">(AS68-AT68)+AU68*1.5+(AV68-AW68)*2+(AO68+AH68+AI68+AJ68+AK68+AN68)*0.5+AQ68-AR68</f>
        <v>0</v>
      </c>
      <c r="AY68" s="278" t="n">
        <f aca="false">AS68+AU68+AV68</f>
        <v>0</v>
      </c>
      <c r="AZ68" s="278" t="n">
        <f aca="false">BC68+BE68+BG68+BI68+BK68</f>
        <v>0</v>
      </c>
      <c r="BA68" s="279" t="n">
        <f aca="false">AX68+BB68</f>
        <v>0</v>
      </c>
      <c r="BB68" s="278" t="n">
        <f aca="false">BD68+BF68+BH68+BJ68+BL68</f>
        <v>0</v>
      </c>
      <c r="BC68" s="278" t="n">
        <f aca="false">COUNTIF(A68:AH68,"*$BTP*")</f>
        <v>0</v>
      </c>
      <c r="BD68" s="278" t="n">
        <f aca="false">BC68*1.5</f>
        <v>0</v>
      </c>
      <c r="BE68" s="278" t="n">
        <f aca="false">COUNTIF(A68:AH68,"*$M*")</f>
        <v>0</v>
      </c>
      <c r="BF68" s="278" t="n">
        <f aca="false">BE68*1</f>
        <v>0</v>
      </c>
      <c r="BG68" s="278" t="n">
        <f aca="false">COUNTIF(A68:AH68,"*$PM*")</f>
        <v>0</v>
      </c>
      <c r="BH68" s="278" t="n">
        <f aca="false">BG68*0.5</f>
        <v>0</v>
      </c>
      <c r="BI68" s="278" t="n">
        <f aca="false">COUNTIF(A68:AH68,"*$AM*")</f>
        <v>0</v>
      </c>
      <c r="BJ68" s="278" t="n">
        <f aca="false">BI68*0.5</f>
        <v>0</v>
      </c>
      <c r="BK68" s="278" t="n">
        <f aca="false">COUNTIF(A68:AH68,"*$FC*")</f>
        <v>0</v>
      </c>
      <c r="BL68" s="278" t="n">
        <f aca="false">BK68*1</f>
        <v>0</v>
      </c>
      <c r="BM68" s="278" t="n">
        <f aca="false">COUNTIF($E68:$AG68,BM$4)</f>
        <v>0</v>
      </c>
      <c r="BN68" s="278" t="n">
        <f aca="false">COUNTIF($E68:$AG68,BN$4)</f>
        <v>0</v>
      </c>
      <c r="BO68" s="278" t="n">
        <f aca="false">COUNTIF($E68:$Y68,BO$4)</f>
        <v>0</v>
      </c>
      <c r="BP68" s="280"/>
    </row>
    <row r="69" customFormat="false" ht="19.5" hidden="false" customHeight="true" outlineLevel="0" collapsed="false">
      <c r="A69" s="280"/>
      <c r="B69" s="280" t="s">
        <v>857</v>
      </c>
      <c r="C69" s="317"/>
      <c r="D69" s="317"/>
      <c r="E69" s="317"/>
      <c r="F69" s="317"/>
      <c r="G69" s="317"/>
      <c r="H69" s="280"/>
      <c r="I69" s="319"/>
      <c r="J69" s="280"/>
      <c r="K69" s="317"/>
      <c r="L69" s="319"/>
      <c r="M69" s="280"/>
      <c r="N69" s="280"/>
      <c r="O69" s="266"/>
      <c r="P69" s="280"/>
      <c r="Q69" s="280"/>
      <c r="R69" s="317"/>
      <c r="S69" s="319"/>
      <c r="T69" s="266"/>
      <c r="U69" s="283"/>
      <c r="V69" s="280"/>
      <c r="W69" s="283"/>
      <c r="X69" s="280"/>
      <c r="Y69" s="317"/>
      <c r="Z69" s="317"/>
      <c r="AA69" s="91"/>
      <c r="AB69" s="266"/>
      <c r="AC69" s="319"/>
      <c r="AD69" s="319"/>
      <c r="AE69" s="319"/>
      <c r="AF69" s="317"/>
      <c r="AG69" s="317"/>
      <c r="AH69" s="272" t="n">
        <f aca="false">COUNTIF($C69:$AF69,AH$4)</f>
        <v>0</v>
      </c>
      <c r="AI69" s="272" t="n">
        <f aca="false">COUNTIF($C69:$AF69,AI$4)</f>
        <v>0</v>
      </c>
      <c r="AJ69" s="272" t="n">
        <f aca="false">COUNTIF($C69:$AF69,AJ$4)</f>
        <v>0</v>
      </c>
      <c r="AK69" s="272" t="n">
        <f aca="false">COUNTIF($C69:$AF69,AK$4)</f>
        <v>0</v>
      </c>
      <c r="AL69" s="272" t="n">
        <f aca="false">COUNTIF($C69:$AF69,AL$4)</f>
        <v>0</v>
      </c>
      <c r="AM69" s="272" t="n">
        <f aca="false">COUNTIF($C69:$AF69,AM$4)</f>
        <v>0</v>
      </c>
      <c r="AN69" s="272" t="n">
        <f aca="false">COUNTIF($C69:$AF69,AN$4)</f>
        <v>0</v>
      </c>
      <c r="AO69" s="272" t="n">
        <f aca="false">COUNTIF($C69:$AF69,AO$4)</f>
        <v>0</v>
      </c>
      <c r="AP69" s="272" t="n">
        <f aca="false">COUNTIF($C69:$AF69,AP$4)</f>
        <v>0</v>
      </c>
      <c r="AQ69" s="279"/>
      <c r="AR69" s="279"/>
      <c r="AS69" s="278" t="n">
        <f aca="false">SUMPRODUCT(--(WEEKDAY(C$3:AG$3,2)&lt;5),--ISNUMBER(MATCH(C69:AG69,{"SB1","SB2"},0)))</f>
        <v>0</v>
      </c>
      <c r="AT69" s="272"/>
      <c r="AU69" s="278" t="n">
        <f aca="false">SUMPRODUCT(--(WEEKDAY(C$3:AG$3,2)=5),--ISNUMBER(MATCH(C69:AG69,{"SB1","SB2"},0)))</f>
        <v>0</v>
      </c>
      <c r="AV69" s="278" t="n">
        <f aca="false">SUMPRODUCT(--(WEEKDAY(C$3:AG$3,2)&gt;5),--ISNUMBER(MATCH(C69:AG69,{"SB1","SB2"},0)))</f>
        <v>0</v>
      </c>
      <c r="AW69" s="272"/>
      <c r="AX69" s="278" t="n">
        <f aca="false">(AS69-AT69)+AU69*1.5+(AV69-AW69)*2+(AO69+AH69+AI69+AJ69+AK69+AN69)*0.5+AQ69-AR69</f>
        <v>0</v>
      </c>
      <c r="AY69" s="278" t="n">
        <f aca="false">AS69+AU69+AV69</f>
        <v>0</v>
      </c>
      <c r="AZ69" s="278" t="n">
        <f aca="false">BC69+BE69+BG69+BI69+BK69</f>
        <v>0</v>
      </c>
      <c r="BA69" s="279" t="n">
        <f aca="false">AX69+BB69</f>
        <v>0</v>
      </c>
      <c r="BB69" s="278" t="n">
        <f aca="false">BD69+BF69+BH69+BJ69+BL69</f>
        <v>0</v>
      </c>
      <c r="BC69" s="278" t="n">
        <f aca="false">COUNTIF(A69:AH69,"*$BTP*")</f>
        <v>0</v>
      </c>
      <c r="BD69" s="278" t="n">
        <f aca="false">BC69*1.5</f>
        <v>0</v>
      </c>
      <c r="BE69" s="278" t="n">
        <f aca="false">COUNTIF(A69:AH69,"*$M*")</f>
        <v>0</v>
      </c>
      <c r="BF69" s="278" t="n">
        <f aca="false">BE69*1</f>
        <v>0</v>
      </c>
      <c r="BG69" s="278" t="n">
        <f aca="false">COUNTIF(A69:AH69,"*$PM*")</f>
        <v>0</v>
      </c>
      <c r="BH69" s="278" t="n">
        <f aca="false">BG69*0.5</f>
        <v>0</v>
      </c>
      <c r="BI69" s="278" t="n">
        <f aca="false">COUNTIF(A69:AH69,"*$AM*")</f>
        <v>0</v>
      </c>
      <c r="BJ69" s="278" t="n">
        <f aca="false">BI69*0.5</f>
        <v>0</v>
      </c>
      <c r="BK69" s="278" t="n">
        <f aca="false">COUNTIF(A69:AH69,"*$FC*")</f>
        <v>0</v>
      </c>
      <c r="BL69" s="278" t="n">
        <f aca="false">BK69*1</f>
        <v>0</v>
      </c>
      <c r="BM69" s="278" t="n">
        <f aca="false">COUNTIF($E69:$AG69,BM$4)</f>
        <v>0</v>
      </c>
      <c r="BN69" s="278" t="n">
        <f aca="false">COUNTIF($E69:$AG69,BN$4)</f>
        <v>0</v>
      </c>
      <c r="BO69" s="278" t="n">
        <f aca="false">COUNTIF($D69:$Y69,BO$4)</f>
        <v>0</v>
      </c>
      <c r="BP69" s="280"/>
    </row>
    <row r="70" customFormat="false" ht="31.5" hidden="false" customHeight="true" outlineLevel="0" collapsed="false">
      <c r="A70" s="272"/>
      <c r="B70" s="282" t="s">
        <v>987</v>
      </c>
      <c r="C70" s="266"/>
      <c r="D70" s="266"/>
      <c r="E70" s="266"/>
      <c r="F70" s="266"/>
      <c r="G70" s="266"/>
      <c r="H70" s="266"/>
      <c r="I70" s="266"/>
      <c r="J70" s="266"/>
      <c r="K70" s="266"/>
      <c r="L70" s="266"/>
      <c r="M70" s="266"/>
      <c r="N70" s="266"/>
      <c r="O70" s="266"/>
      <c r="P70" s="266"/>
      <c r="Q70" s="280"/>
      <c r="R70" s="266"/>
      <c r="S70" s="266"/>
      <c r="T70" s="266"/>
      <c r="U70" s="299"/>
      <c r="V70" s="266"/>
      <c r="W70" s="266"/>
      <c r="X70" s="266"/>
      <c r="Y70" s="91"/>
      <c r="Z70" s="266"/>
      <c r="AA70" s="266"/>
      <c r="AB70" s="266"/>
      <c r="AC70" s="266"/>
      <c r="AD70" s="266"/>
      <c r="AE70" s="266"/>
      <c r="AF70" s="317"/>
      <c r="AG70" s="266"/>
      <c r="AH70" s="272" t="n">
        <f aca="false">COUNTIF($C70:$AF70,AH$4)</f>
        <v>0</v>
      </c>
      <c r="AI70" s="272" t="n">
        <f aca="false">COUNTIF($C70:$AF70,AI$4)</f>
        <v>0</v>
      </c>
      <c r="AJ70" s="272" t="n">
        <f aca="false">COUNTIF($C70:$AF70,AJ$4)</f>
        <v>0</v>
      </c>
      <c r="AK70" s="272" t="n">
        <f aca="false">COUNTIF($C70:$AF70,AK$4)</f>
        <v>0</v>
      </c>
      <c r="AL70" s="272" t="n">
        <f aca="false">COUNTIF($C70:$AF70,AL$4)</f>
        <v>0</v>
      </c>
      <c r="AM70" s="272" t="n">
        <f aca="false">COUNTIF($C70:$AF70,AM$4)</f>
        <v>0</v>
      </c>
      <c r="AN70" s="272" t="n">
        <f aca="false">COUNTIF($C70:$AF70,AN$4)</f>
        <v>0</v>
      </c>
      <c r="AO70" s="272" t="n">
        <f aca="false">COUNTIF($C70:$AF70,AO$4)</f>
        <v>0</v>
      </c>
      <c r="AP70" s="272" t="n">
        <f aca="false">COUNTIF($C70:$AF70,AP$4)</f>
        <v>0</v>
      </c>
      <c r="AQ70" s="279"/>
      <c r="AR70" s="279"/>
      <c r="AS70" s="278" t="n">
        <f aca="false">SUMPRODUCT(--(WEEKDAY(C$3:AG$3,2)&lt;5),--ISNUMBER(MATCH(C70:AG70,{"SB1","SB2"},0)))</f>
        <v>0</v>
      </c>
      <c r="AT70" s="272"/>
      <c r="AU70" s="278" t="n">
        <f aca="false">SUMPRODUCT(--(WEEKDAY(C$3:AG$3,2)=5),--ISNUMBER(MATCH(C70:AG70,{"SB1","SB2"},0)))</f>
        <v>0</v>
      </c>
      <c r="AV70" s="278" t="n">
        <f aca="false">SUMPRODUCT(--(WEEKDAY(C$3:AG$3,2)&gt;5),--ISNUMBER(MATCH(C70:AG70,{"SB1","SB2"},0)))</f>
        <v>0</v>
      </c>
      <c r="AW70" s="272"/>
      <c r="AX70" s="278" t="n">
        <f aca="false">(AS70-AT70)+AU70*1.5+(AV70-AW70)*2+(AO70+AH70+AI70+AJ70+AK70+AN70)*0.5+AQ70-AR70</f>
        <v>0</v>
      </c>
      <c r="AY70" s="278" t="n">
        <f aca="false">AS70+AU70+AV70</f>
        <v>0</v>
      </c>
      <c r="AZ70" s="278" t="n">
        <f aca="false">BC70+BE70+BG70+BI70+BK70</f>
        <v>0</v>
      </c>
      <c r="BA70" s="279" t="n">
        <f aca="false">AX70+BB70</f>
        <v>0</v>
      </c>
      <c r="BB70" s="278" t="n">
        <f aca="false">BD70+BF70+BH70+BJ70+BL70</f>
        <v>0</v>
      </c>
      <c r="BC70" s="278" t="n">
        <f aca="false">COUNTIF(A70:AH70,"*$BTP*")</f>
        <v>0</v>
      </c>
      <c r="BD70" s="278" t="n">
        <f aca="false">BC70*1.5</f>
        <v>0</v>
      </c>
      <c r="BE70" s="278" t="n">
        <f aca="false">COUNTIF(A70:AH70,"*$M*")</f>
        <v>0</v>
      </c>
      <c r="BF70" s="278" t="n">
        <f aca="false">BE70*1</f>
        <v>0</v>
      </c>
      <c r="BG70" s="278" t="n">
        <f aca="false">COUNTIF(A70:AH70,"*$PM*")</f>
        <v>0</v>
      </c>
      <c r="BH70" s="278" t="n">
        <f aca="false">BG70*0.5</f>
        <v>0</v>
      </c>
      <c r="BI70" s="278" t="n">
        <f aca="false">COUNTIF(A70:AH70,"*$AM*")</f>
        <v>0</v>
      </c>
      <c r="BJ70" s="278" t="n">
        <f aca="false">BI70*0.5</f>
        <v>0</v>
      </c>
      <c r="BK70" s="278" t="n">
        <f aca="false">COUNTIF(A70:AH70,"*$FC*")</f>
        <v>0</v>
      </c>
      <c r="BL70" s="278" t="n">
        <f aca="false">BK70*1</f>
        <v>0</v>
      </c>
      <c r="BM70" s="278" t="n">
        <f aca="false">COUNTIF($D70:$Y70,BM$4)</f>
        <v>0</v>
      </c>
      <c r="BN70" s="278" t="n">
        <f aca="false">COUNTIF($D70:$Y70,BN$4)</f>
        <v>0</v>
      </c>
      <c r="BO70" s="278" t="n">
        <f aca="false">COUNTIF($D70:$Y70,BO$4)</f>
        <v>0</v>
      </c>
      <c r="BP70" s="272"/>
    </row>
    <row r="71" customFormat="false" ht="31.5" hidden="false" customHeight="true" outlineLevel="0" collapsed="false">
      <c r="A71" s="272"/>
      <c r="B71" s="282" t="s">
        <v>988</v>
      </c>
      <c r="C71" s="266" t="s">
        <v>409</v>
      </c>
      <c r="D71" s="266" t="s">
        <v>409</v>
      </c>
      <c r="E71" s="266" t="s">
        <v>409</v>
      </c>
      <c r="F71" s="266" t="s">
        <v>409</v>
      </c>
      <c r="G71" s="266" t="s">
        <v>409</v>
      </c>
      <c r="H71" s="266" t="s">
        <v>409</v>
      </c>
      <c r="I71" s="266" t="s">
        <v>409</v>
      </c>
      <c r="J71" s="266" t="s">
        <v>409</v>
      </c>
      <c r="K71" s="266" t="s">
        <v>409</v>
      </c>
      <c r="L71" s="266" t="s">
        <v>409</v>
      </c>
      <c r="M71" s="266" t="s">
        <v>409</v>
      </c>
      <c r="N71" s="266" t="s">
        <v>409</v>
      </c>
      <c r="O71" s="266" t="s">
        <v>409</v>
      </c>
      <c r="P71" s="266" t="s">
        <v>409</v>
      </c>
      <c r="Q71" s="266" t="s">
        <v>409</v>
      </c>
      <c r="R71" s="266" t="s">
        <v>409</v>
      </c>
      <c r="S71" s="266" t="s">
        <v>409</v>
      </c>
      <c r="T71" s="266" t="s">
        <v>409</v>
      </c>
      <c r="U71" s="266" t="s">
        <v>409</v>
      </c>
      <c r="V71" s="266" t="s">
        <v>409</v>
      </c>
      <c r="W71" s="266" t="s">
        <v>409</v>
      </c>
      <c r="X71" s="266" t="s">
        <v>409</v>
      </c>
      <c r="Y71" s="266" t="s">
        <v>409</v>
      </c>
      <c r="Z71" s="266" t="s">
        <v>409</v>
      </c>
      <c r="AA71" s="266" t="s">
        <v>409</v>
      </c>
      <c r="AB71" s="266" t="s">
        <v>409</v>
      </c>
      <c r="AC71" s="266" t="s">
        <v>409</v>
      </c>
      <c r="AD71" s="266" t="s">
        <v>409</v>
      </c>
      <c r="AE71" s="266" t="s">
        <v>409</v>
      </c>
      <c r="AF71" s="266" t="s">
        <v>409</v>
      </c>
      <c r="AG71" s="266" t="s">
        <v>409</v>
      </c>
      <c r="AH71" s="272" t="n">
        <f aca="false">COUNTIF($C71:$AF71,AH$4)</f>
        <v>0</v>
      </c>
      <c r="AI71" s="272" t="n">
        <f aca="false">COUNTIF($C71:$AF71,AI$4)</f>
        <v>0</v>
      </c>
      <c r="AJ71" s="272" t="n">
        <f aca="false">COUNTIF($C71:$AF71,AJ$4)</f>
        <v>0</v>
      </c>
      <c r="AK71" s="272" t="n">
        <f aca="false">COUNTIF($C71:$AF71,AK$4)</f>
        <v>0</v>
      </c>
      <c r="AL71" s="272" t="n">
        <f aca="false">COUNTIF($C71:$AF71,AL$4)</f>
        <v>0</v>
      </c>
      <c r="AM71" s="272" t="n">
        <f aca="false">COUNTIF($C71:$AF71,AM$4)</f>
        <v>0</v>
      </c>
      <c r="AN71" s="272" t="n">
        <f aca="false">COUNTIF($C71:$AF71,AN$4)</f>
        <v>0</v>
      </c>
      <c r="AO71" s="272" t="n">
        <f aca="false">COUNTIF($C71:$AF71,AO$4)</f>
        <v>0</v>
      </c>
      <c r="AP71" s="272" t="n">
        <f aca="false">COUNTIF($C71:$AF71,AP$4)</f>
        <v>0</v>
      </c>
      <c r="AQ71" s="279"/>
      <c r="AR71" s="279"/>
      <c r="AS71" s="278" t="n">
        <f aca="false">SUMPRODUCT(--(WEEKDAY(C$3:AG$3,2)&lt;5),--ISNUMBER(MATCH(C71:AG71,{"SB1","SB2"},0)))</f>
        <v>0</v>
      </c>
      <c r="AT71" s="272"/>
      <c r="AU71" s="278" t="n">
        <f aca="false">SUMPRODUCT(--(WEEKDAY(C$3:AG$3,2)=5),--ISNUMBER(MATCH(C71:AG71,{"SB1","SB2"},0)))</f>
        <v>0</v>
      </c>
      <c r="AV71" s="278" t="n">
        <f aca="false">SUMPRODUCT(--(WEEKDAY(C$3:AG$3,2)&gt;5),--ISNUMBER(MATCH(C71:AG71,{"SB1","SB2"},0)))</f>
        <v>0</v>
      </c>
      <c r="AW71" s="272"/>
      <c r="AX71" s="278" t="n">
        <f aca="false">(AS71-AT71)+AU71*1.5+(AV71-AW71)*2+(AO71+AH71+AI71+AJ71+AK71+AN71)*0.5+AQ71-AR71</f>
        <v>0</v>
      </c>
      <c r="AY71" s="278" t="n">
        <f aca="false">AS71+AU71+AV71</f>
        <v>0</v>
      </c>
      <c r="AZ71" s="278" t="n">
        <f aca="false">BC71+BE71+BG71+BI71+BK71</f>
        <v>0</v>
      </c>
      <c r="BA71" s="279" t="n">
        <f aca="false">AX71+BB71</f>
        <v>0</v>
      </c>
      <c r="BB71" s="278" t="n">
        <f aca="false">BD71+BF71+BH71+BJ71+BL71</f>
        <v>0</v>
      </c>
      <c r="BC71" s="278" t="n">
        <f aca="false">COUNTIF(A71:AH71,"*$BTP*")</f>
        <v>0</v>
      </c>
      <c r="BD71" s="278" t="n">
        <f aca="false">BC71*1.5</f>
        <v>0</v>
      </c>
      <c r="BE71" s="278" t="n">
        <f aca="false">COUNTIF(A71:AH71,"*$M*")</f>
        <v>0</v>
      </c>
      <c r="BF71" s="278" t="n">
        <f aca="false">BE71*1</f>
        <v>0</v>
      </c>
      <c r="BG71" s="278" t="n">
        <f aca="false">COUNTIF(A71:AH71,"*$PM*")</f>
        <v>0</v>
      </c>
      <c r="BH71" s="278" t="n">
        <f aca="false">BG71*0.5</f>
        <v>0</v>
      </c>
      <c r="BI71" s="278" t="n">
        <f aca="false">COUNTIF(A71:AH71,"*$AM*")</f>
        <v>0</v>
      </c>
      <c r="BJ71" s="278" t="n">
        <f aca="false">BI71*0.5</f>
        <v>0</v>
      </c>
      <c r="BK71" s="278" t="n">
        <f aca="false">COUNTIF(A71:AH71,"*$FC*")</f>
        <v>0</v>
      </c>
      <c r="BL71" s="278" t="n">
        <f aca="false">BK71*1</f>
        <v>0</v>
      </c>
      <c r="BM71" s="278" t="n">
        <f aca="false">COUNTIF($D71:$Y71,BM$4)</f>
        <v>0</v>
      </c>
      <c r="BN71" s="278" t="n">
        <f aca="false">COUNTIF($D71:$Y71,BN$4)</f>
        <v>0</v>
      </c>
      <c r="BO71" s="278" t="n">
        <f aca="false">COUNTIF($D71:$Y71,BO$4)</f>
        <v>0</v>
      </c>
      <c r="BP71" s="272"/>
    </row>
    <row r="72" customFormat="false" ht="19.5" hidden="false" customHeight="true" outlineLevel="0" collapsed="false">
      <c r="A72" s="272"/>
      <c r="B72" s="301" t="s">
        <v>1022</v>
      </c>
      <c r="C72" s="355"/>
      <c r="D72" s="91"/>
      <c r="E72" s="343"/>
      <c r="F72" s="343"/>
      <c r="G72" s="343"/>
      <c r="H72" s="343"/>
      <c r="I72" s="91"/>
      <c r="J72" s="343"/>
      <c r="K72" s="91"/>
      <c r="L72" s="91"/>
      <c r="M72" s="266"/>
      <c r="N72" s="343"/>
      <c r="O72" s="91"/>
      <c r="P72" s="91"/>
      <c r="Q72" s="91"/>
      <c r="R72" s="91"/>
      <c r="S72" s="91"/>
      <c r="T72" s="91"/>
      <c r="U72" s="356"/>
      <c r="V72" s="357"/>
      <c r="W72" s="91"/>
      <c r="X72" s="343" t="s">
        <v>1023</v>
      </c>
      <c r="Y72" s="91"/>
      <c r="Z72" s="91"/>
      <c r="AA72" s="91"/>
      <c r="AB72" s="91"/>
      <c r="AC72" s="91"/>
      <c r="AD72" s="91"/>
      <c r="AE72" s="91"/>
      <c r="AF72" s="91"/>
      <c r="AG72" s="91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8"/>
      <c r="AT72" s="272"/>
      <c r="AU72" s="272"/>
      <c r="AV72" s="278"/>
      <c r="AW72" s="272"/>
      <c r="AX72" s="272"/>
      <c r="AY72" s="278"/>
      <c r="AZ72" s="278"/>
      <c r="BA72" s="278"/>
      <c r="BB72" s="278"/>
      <c r="BC72" s="278"/>
      <c r="BD72" s="278"/>
      <c r="BE72" s="278"/>
      <c r="BF72" s="278"/>
      <c r="BG72" s="278"/>
      <c r="BH72" s="278"/>
      <c r="BI72" s="278"/>
      <c r="BJ72" s="278"/>
      <c r="BK72" s="278"/>
      <c r="BL72" s="278"/>
      <c r="BM72" s="272"/>
      <c r="BN72" s="272"/>
      <c r="BO72" s="272"/>
      <c r="BP72" s="272"/>
    </row>
    <row r="73" customFormat="false" ht="19.5" hidden="false" customHeight="true" outlineLevel="0" collapsed="false">
      <c r="A73" s="272"/>
      <c r="B73" s="301" t="s">
        <v>667</v>
      </c>
      <c r="C73" s="296"/>
      <c r="D73" s="321"/>
      <c r="E73" s="321"/>
      <c r="F73" s="321"/>
      <c r="G73" s="321"/>
      <c r="H73" s="321"/>
      <c r="I73" s="321"/>
      <c r="J73" s="321"/>
      <c r="K73" s="321"/>
      <c r="L73" s="321"/>
      <c r="M73" s="266"/>
      <c r="N73" s="321"/>
      <c r="O73" s="321"/>
      <c r="P73" s="321"/>
      <c r="Q73" s="266"/>
      <c r="R73" s="266"/>
      <c r="S73" s="321"/>
      <c r="T73" s="266"/>
      <c r="U73" s="297" t="s">
        <v>700</v>
      </c>
      <c r="V73" s="322"/>
      <c r="W73" s="321"/>
      <c r="X73" s="321"/>
      <c r="Y73" s="321"/>
      <c r="Z73" s="321"/>
      <c r="AA73" s="321"/>
      <c r="AB73" s="321"/>
      <c r="AC73" s="321"/>
      <c r="AD73" s="321"/>
      <c r="AE73" s="321"/>
      <c r="AF73" s="321"/>
      <c r="AG73" s="321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8"/>
      <c r="AT73" s="272"/>
      <c r="AU73" s="272"/>
      <c r="AV73" s="278"/>
      <c r="AW73" s="272"/>
      <c r="AX73" s="272"/>
      <c r="AY73" s="278"/>
      <c r="AZ73" s="278"/>
      <c r="BA73" s="278"/>
      <c r="BB73" s="278"/>
      <c r="BC73" s="278"/>
      <c r="BD73" s="278"/>
      <c r="BE73" s="278"/>
      <c r="BF73" s="278"/>
      <c r="BG73" s="278"/>
      <c r="BH73" s="278"/>
      <c r="BI73" s="278"/>
      <c r="BJ73" s="278"/>
      <c r="BK73" s="278"/>
      <c r="BL73" s="278"/>
      <c r="BM73" s="272"/>
      <c r="BN73" s="272"/>
      <c r="BO73" s="272"/>
      <c r="BP73" s="272"/>
    </row>
    <row r="74" customFormat="false" ht="19.5" hidden="false" customHeight="true" outlineLevel="0" collapsed="false">
      <c r="A74" s="272"/>
      <c r="B74" s="301" t="s">
        <v>668</v>
      </c>
      <c r="C74" s="296"/>
      <c r="D74" s="321"/>
      <c r="E74" s="321"/>
      <c r="F74" s="321"/>
      <c r="G74" s="321"/>
      <c r="H74" s="321"/>
      <c r="I74" s="321"/>
      <c r="J74" s="321"/>
      <c r="K74" s="321"/>
      <c r="L74" s="321"/>
      <c r="M74" s="266"/>
      <c r="N74" s="321"/>
      <c r="O74" s="321"/>
      <c r="P74" s="321"/>
      <c r="Q74" s="266"/>
      <c r="R74" s="266"/>
      <c r="S74" s="321"/>
      <c r="T74" s="266"/>
      <c r="U74" s="297"/>
      <c r="V74" s="322"/>
      <c r="W74" s="321"/>
      <c r="X74" s="321"/>
      <c r="Y74" s="321"/>
      <c r="Z74" s="321"/>
      <c r="AA74" s="321"/>
      <c r="AB74" s="321"/>
      <c r="AC74" s="321"/>
      <c r="AD74" s="321"/>
      <c r="AE74" s="321"/>
      <c r="AF74" s="321"/>
      <c r="AG74" s="321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8"/>
      <c r="AT74" s="272"/>
      <c r="AU74" s="272"/>
      <c r="AV74" s="278"/>
      <c r="AW74" s="272"/>
      <c r="AX74" s="272"/>
      <c r="AY74" s="278"/>
      <c r="AZ74" s="278"/>
      <c r="BA74" s="278"/>
      <c r="BB74" s="278"/>
      <c r="BC74" s="278"/>
      <c r="BD74" s="278"/>
      <c r="BE74" s="278"/>
      <c r="BF74" s="278"/>
      <c r="BG74" s="278"/>
      <c r="BH74" s="278"/>
      <c r="BI74" s="278"/>
      <c r="BJ74" s="278"/>
      <c r="BK74" s="278"/>
      <c r="BL74" s="278"/>
      <c r="BM74" s="272"/>
      <c r="BN74" s="272"/>
      <c r="BO74" s="272"/>
      <c r="BP74" s="272"/>
    </row>
    <row r="75" customFormat="false" ht="19.5" hidden="false" customHeight="true" outlineLevel="0" collapsed="false">
      <c r="A75" s="272"/>
      <c r="B75" s="293"/>
      <c r="C75" s="305"/>
      <c r="D75" s="305"/>
      <c r="E75" s="305"/>
      <c r="F75" s="305"/>
      <c r="G75" s="305"/>
      <c r="H75" s="305"/>
      <c r="I75" s="305"/>
      <c r="J75" s="305"/>
      <c r="K75" s="305"/>
      <c r="L75" s="305"/>
      <c r="M75" s="305"/>
      <c r="N75" s="305"/>
      <c r="O75" s="305"/>
      <c r="P75" s="305"/>
      <c r="Q75" s="305"/>
      <c r="R75" s="305"/>
      <c r="S75" s="305"/>
      <c r="T75" s="305"/>
      <c r="U75" s="305"/>
      <c r="V75" s="305"/>
      <c r="W75" s="305"/>
      <c r="X75" s="305"/>
      <c r="Y75" s="305"/>
      <c r="Z75" s="305"/>
      <c r="AA75" s="305"/>
      <c r="AB75" s="305"/>
      <c r="AC75" s="305"/>
      <c r="AD75" s="305"/>
      <c r="AE75" s="305"/>
      <c r="AF75" s="305"/>
      <c r="AG75" s="305"/>
      <c r="AH75" s="293"/>
      <c r="AI75" s="293"/>
      <c r="AJ75" s="293"/>
      <c r="AK75" s="293"/>
      <c r="AL75" s="293"/>
      <c r="AM75" s="293"/>
      <c r="AN75" s="293"/>
      <c r="AO75" s="293"/>
      <c r="AP75" s="293"/>
      <c r="AQ75" s="293"/>
      <c r="AR75" s="293"/>
      <c r="AS75" s="293"/>
      <c r="AT75" s="293"/>
      <c r="AU75" s="293"/>
      <c r="AV75" s="293" t="n">
        <f aca="false">SUMPRODUCT(--WEEKDAY(C$3:AF$3,2)&gt;5,--((C75:AF75="DM"))+(C75:AF75="CS1")+((C75:AF75="CS2"))+(C75:AF75="SB1")+(C75:AF75="AE")+(C75:AF75="EM"))</f>
        <v>0</v>
      </c>
      <c r="AW75" s="293"/>
      <c r="AX75" s="293" t="n">
        <f aca="false">(AS75-AT75)/2+(AV75-AW75)</f>
        <v>0</v>
      </c>
      <c r="AY75" s="293"/>
      <c r="AZ75" s="293"/>
      <c r="BA75" s="293"/>
      <c r="BB75" s="293"/>
      <c r="BC75" s="293"/>
      <c r="BD75" s="293"/>
      <c r="BE75" s="293"/>
      <c r="BF75" s="293"/>
      <c r="BG75" s="293"/>
      <c r="BH75" s="293"/>
      <c r="BI75" s="293"/>
      <c r="BJ75" s="293"/>
      <c r="BK75" s="293"/>
      <c r="BL75" s="293"/>
      <c r="BM75" s="293"/>
      <c r="BN75" s="293"/>
      <c r="BO75" s="293"/>
      <c r="BP75" s="293"/>
    </row>
    <row r="76" customFormat="false" ht="19.5" hidden="false" customHeight="true" outlineLevel="0" collapsed="false">
      <c r="A76" s="272"/>
      <c r="B76" s="306" t="s">
        <v>57</v>
      </c>
      <c r="C76" s="307" t="e">
        <f aca="false">INDEX($B$52:$B$69,MATCH($B76,C$52:C$71,0))</f>
        <v>#N/A</v>
      </c>
      <c r="D76" s="307" t="e">
        <f aca="false">INDEX($B$52:$B$69,MATCH($B76,D$52:D$71,0))</f>
        <v>#N/A</v>
      </c>
      <c r="E76" s="307" t="e">
        <f aca="false">INDEX($B$52:$B$69,MATCH($B76,E$52:E$71,0))</f>
        <v>#N/A</v>
      </c>
      <c r="F76" s="307" t="e">
        <f aca="false">INDEX($B$52:$B$69,MATCH($B76,F$52:F$71,0))</f>
        <v>#N/A</v>
      </c>
      <c r="G76" s="307" t="e">
        <f aca="false">INDEX($B$52:$B$69,MATCH($B76,G$52:G$71,0))</f>
        <v>#N/A</v>
      </c>
      <c r="H76" s="307" t="e">
        <f aca="false">INDEX($B$52:$B$69,MATCH($B76,H$52:H$71,0))</f>
        <v>#N/A</v>
      </c>
      <c r="I76" s="307" t="e">
        <f aca="false">INDEX($B$52:$B$69,MATCH($B76,I$52:I$71,0))</f>
        <v>#N/A</v>
      </c>
      <c r="J76" s="307" t="e">
        <f aca="false">INDEX($B$52:$B$69,MATCH($B76,J$52:J$71,0))</f>
        <v>#N/A</v>
      </c>
      <c r="K76" s="307" t="e">
        <f aca="false">INDEX($B$52:$B$69,MATCH($B76,K$52:K$71,0))</f>
        <v>#N/A</v>
      </c>
      <c r="L76" s="307" t="e">
        <f aca="false">INDEX($B$52:$B$69,MATCH($B76,L$52:L$71,0))</f>
        <v>#N/A</v>
      </c>
      <c r="M76" s="307" t="e">
        <f aca="false">INDEX($B$52:$B$69,MATCH($B76,M$52:M$71,0))</f>
        <v>#N/A</v>
      </c>
      <c r="N76" s="307" t="e">
        <f aca="false">INDEX($B$52:$B$69,MATCH($B76,N$52:N$71,0))</f>
        <v>#N/A</v>
      </c>
      <c r="O76" s="307" t="e">
        <f aca="false">INDEX($B$52:$B$69,MATCH($B76,O$52:O$71,0))</f>
        <v>#N/A</v>
      </c>
      <c r="P76" s="307" t="e">
        <f aca="false">INDEX($B$52:$B$69,MATCH($B76,P$52:P$71,0))</f>
        <v>#N/A</v>
      </c>
      <c r="Q76" s="307" t="e">
        <f aca="false">INDEX($B$52:$B$69,MATCH($B76,Q$52:Q$71,0))</f>
        <v>#N/A</v>
      </c>
      <c r="R76" s="307" t="e">
        <f aca="false">INDEX($B$52:$B$69,MATCH($B76,R$52:R$71,0))</f>
        <v>#N/A</v>
      </c>
      <c r="S76" s="307" t="e">
        <f aca="false">INDEX($B$52:$B$69,MATCH($B76,S$52:S$71,0))</f>
        <v>#N/A</v>
      </c>
      <c r="T76" s="307" t="e">
        <f aca="false">INDEX($B$52:$B$69,MATCH($B76,T$52:T$71,0))</f>
        <v>#N/A</v>
      </c>
      <c r="U76" s="307" t="e">
        <f aca="false">INDEX($B$52:$B$69,MATCH($B76,U$52:U$71,0))</f>
        <v>#N/A</v>
      </c>
      <c r="V76" s="307" t="e">
        <f aca="false">INDEX($B$52:$B$69,MATCH($B76,V$52:V$71,0))</f>
        <v>#N/A</v>
      </c>
      <c r="W76" s="307" t="e">
        <f aca="false">INDEX($B$52:$B$69,MATCH($B76,W$52:W$71,0))</f>
        <v>#N/A</v>
      </c>
      <c r="X76" s="307" t="e">
        <f aca="false">INDEX($B$52:$B$69,MATCH($B76,X$52:X$71,0))</f>
        <v>#N/A</v>
      </c>
      <c r="Y76" s="307" t="e">
        <f aca="false">INDEX($B$52:$B$69,MATCH($B76,Y$52:Y$71,0))</f>
        <v>#N/A</v>
      </c>
      <c r="Z76" s="307" t="e">
        <f aca="false">INDEX($B$52:$B$69,MATCH($B76,Z$52:Z$71,0))</f>
        <v>#N/A</v>
      </c>
      <c r="AA76" s="307" t="e">
        <f aca="false">INDEX($B$52:$B$69,MATCH($B76,AA$52:AA$71,0))</f>
        <v>#N/A</v>
      </c>
      <c r="AB76" s="307" t="e">
        <f aca="false">INDEX($B$52:$B$69,MATCH($B76,AB$52:AB$71,0))</f>
        <v>#N/A</v>
      </c>
      <c r="AC76" s="307" t="e">
        <f aca="false">INDEX($B$52:$B$69,MATCH($B76,AC$52:AC$71,0))</f>
        <v>#N/A</v>
      </c>
      <c r="AD76" s="307" t="e">
        <f aca="false">INDEX($B$52:$B$69,MATCH($B76,AD$52:AD$71,0))</f>
        <v>#N/A</v>
      </c>
      <c r="AE76" s="307" t="e">
        <f aca="false">INDEX($B$52:$B$69,MATCH($B76,AE$52:AE$71,0))</f>
        <v>#N/A</v>
      </c>
      <c r="AF76" s="307" t="e">
        <f aca="false">INDEX($B$52:$B$69,MATCH($B76,AF$52:AF$71,0))</f>
        <v>#N/A</v>
      </c>
      <c r="AG76" s="307" t="e">
        <f aca="false">INDEX($B$52:$B$69,MATCH($B76,AG$52:AG$71,0))</f>
        <v>#N/A</v>
      </c>
      <c r="AH76" s="272"/>
      <c r="AI76" s="272"/>
      <c r="AJ76" s="272"/>
      <c r="AK76" s="272"/>
      <c r="AL76" s="278"/>
      <c r="AM76" s="278"/>
      <c r="AN76" s="278"/>
      <c r="AO76" s="278"/>
      <c r="AP76" s="278"/>
      <c r="AQ76" s="278"/>
      <c r="AR76" s="278"/>
      <c r="AS76" s="278"/>
      <c r="AT76" s="278"/>
      <c r="AU76" s="278"/>
      <c r="AV76" s="278"/>
      <c r="AW76" s="278"/>
      <c r="AX76" s="278"/>
      <c r="AY76" s="278"/>
      <c r="AZ76" s="278"/>
      <c r="BA76" s="278"/>
      <c r="BB76" s="278"/>
      <c r="BC76" s="278"/>
      <c r="BD76" s="278"/>
      <c r="BE76" s="278"/>
      <c r="BF76" s="278"/>
      <c r="BG76" s="278"/>
      <c r="BH76" s="278"/>
      <c r="BI76" s="278"/>
      <c r="BJ76" s="278"/>
      <c r="BK76" s="278"/>
      <c r="BL76" s="278"/>
      <c r="BM76" s="278"/>
      <c r="BN76" s="278"/>
      <c r="BO76" s="278"/>
      <c r="BP76" s="278"/>
    </row>
    <row r="77" customFormat="false" ht="19.5" hidden="false" customHeight="true" outlineLevel="0" collapsed="false">
      <c r="A77" s="272"/>
      <c r="B77" s="308" t="s">
        <v>56</v>
      </c>
      <c r="C77" s="307" t="e">
        <f aca="false">INDEX($B$52:$B$69,MATCH($B77,C$52:C$71,0))</f>
        <v>#N/A</v>
      </c>
      <c r="D77" s="307" t="e">
        <f aca="false">INDEX($B$52:$B$69,MATCH($B77,D$52:D$71,0))</f>
        <v>#N/A</v>
      </c>
      <c r="E77" s="307" t="e">
        <f aca="false">INDEX($B$52:$B$69,MATCH($B77,E$52:E$71,0))</f>
        <v>#N/A</v>
      </c>
      <c r="F77" s="307" t="e">
        <f aca="false">INDEX($B$52:$B$69,MATCH($B77,F$52:F$71,0))</f>
        <v>#N/A</v>
      </c>
      <c r="G77" s="307" t="e">
        <f aca="false">INDEX($B$52:$B$69,MATCH($B77,G$52:G$71,0))</f>
        <v>#N/A</v>
      </c>
      <c r="H77" s="307" t="e">
        <f aca="false">INDEX($B$52:$B$69,MATCH($B77,H$52:H$71,0))</f>
        <v>#N/A</v>
      </c>
      <c r="I77" s="307" t="e">
        <f aca="false">INDEX($B$52:$B$69,MATCH($B77,I$52:I$71,0))</f>
        <v>#N/A</v>
      </c>
      <c r="J77" s="307" t="e">
        <f aca="false">INDEX($B$52:$B$69,MATCH($B77,J$52:J$71,0))</f>
        <v>#N/A</v>
      </c>
      <c r="K77" s="307" t="e">
        <f aca="false">INDEX($B$52:$B$69,MATCH($B77,K$52:K$71,0))</f>
        <v>#N/A</v>
      </c>
      <c r="L77" s="307" t="e">
        <f aca="false">INDEX($B$52:$B$69,MATCH($B77,L$52:L$71,0))</f>
        <v>#N/A</v>
      </c>
      <c r="M77" s="307" t="e">
        <f aca="false">INDEX($B$52:$B$69,MATCH($B77,M$52:M$71,0))</f>
        <v>#N/A</v>
      </c>
      <c r="N77" s="307" t="e">
        <f aca="false">INDEX($B$52:$B$69,MATCH($B77,N$52:N$71,0))</f>
        <v>#N/A</v>
      </c>
      <c r="O77" s="307" t="e">
        <f aca="false">INDEX($B$52:$B$69,MATCH($B77,O$52:O$71,0))</f>
        <v>#N/A</v>
      </c>
      <c r="P77" s="307" t="e">
        <f aca="false">INDEX($B$52:$B$69,MATCH($B77,P$52:P$71,0))</f>
        <v>#N/A</v>
      </c>
      <c r="Q77" s="307" t="e">
        <f aca="false">INDEX($B$52:$B$69,MATCH($B77,Q$52:Q$71,0))</f>
        <v>#N/A</v>
      </c>
      <c r="R77" s="307" t="e">
        <f aca="false">INDEX($B$52:$B$69,MATCH($B77,R$52:R$71,0))</f>
        <v>#N/A</v>
      </c>
      <c r="S77" s="307" t="e">
        <f aca="false">INDEX($B$52:$B$69,MATCH($B77,S$52:S$71,0))</f>
        <v>#N/A</v>
      </c>
      <c r="T77" s="307" t="e">
        <f aca="false">INDEX($B$52:$B$69,MATCH($B77,T$52:T$71,0))</f>
        <v>#N/A</v>
      </c>
      <c r="U77" s="307" t="e">
        <f aca="false">INDEX($B$52:$B$69,MATCH($B77,U$52:U$71,0))</f>
        <v>#N/A</v>
      </c>
      <c r="V77" s="307" t="e">
        <f aca="false">INDEX($B$52:$B$69,MATCH($B77,V$52:V$71,0))</f>
        <v>#N/A</v>
      </c>
      <c r="W77" s="307" t="e">
        <f aca="false">INDEX($B$52:$B$69,MATCH($B77,W$52:W$71,0))</f>
        <v>#N/A</v>
      </c>
      <c r="X77" s="307" t="e">
        <f aca="false">INDEX($B$52:$B$69,MATCH($B77,X$52:X$71,0))</f>
        <v>#N/A</v>
      </c>
      <c r="Y77" s="307" t="e">
        <f aca="false">INDEX($B$52:$B$69,MATCH($B77,Y$52:Y$71,0))</f>
        <v>#N/A</v>
      </c>
      <c r="Z77" s="307" t="e">
        <f aca="false">INDEX($B$52:$B$69,MATCH($B77,Z$52:Z$71,0))</f>
        <v>#N/A</v>
      </c>
      <c r="AA77" s="307" t="e">
        <f aca="false">INDEX($B$52:$B$69,MATCH($B77,AA$52:AA$71,0))</f>
        <v>#N/A</v>
      </c>
      <c r="AB77" s="307" t="e">
        <f aca="false">INDEX($B$52:$B$69,MATCH($B77,AB$52:AB$71,0))</f>
        <v>#N/A</v>
      </c>
      <c r="AC77" s="307" t="e">
        <f aca="false">INDEX($B$52:$B$69,MATCH($B77,AC$52:AC$71,0))</f>
        <v>#N/A</v>
      </c>
      <c r="AD77" s="307" t="e">
        <f aca="false">INDEX($B$52:$B$69,MATCH($B77,AD$52:AD$71,0))</f>
        <v>#N/A</v>
      </c>
      <c r="AE77" s="307" t="e">
        <f aca="false">INDEX($B$52:$B$69,MATCH($B77,AE$52:AE$71,0))</f>
        <v>#N/A</v>
      </c>
      <c r="AF77" s="307" t="e">
        <f aca="false">INDEX($B$52:$B$69,MATCH($B77,AF$52:AF$71,0))</f>
        <v>#N/A</v>
      </c>
      <c r="AG77" s="307" t="e">
        <f aca="false">INDEX($B$52:$B$69,MATCH($B77,AG$52:AG$71,0))</f>
        <v>#N/A</v>
      </c>
      <c r="AH77" s="272"/>
      <c r="AI77" s="272"/>
      <c r="AJ77" s="272"/>
      <c r="AK77" s="272"/>
      <c r="AL77" s="278"/>
      <c r="AM77" s="278"/>
      <c r="AN77" s="278"/>
      <c r="AO77" s="278"/>
      <c r="AP77" s="278"/>
      <c r="AQ77" s="278"/>
      <c r="AR77" s="278"/>
      <c r="AS77" s="278"/>
      <c r="AT77" s="278"/>
      <c r="AU77" s="278"/>
      <c r="AV77" s="278"/>
      <c r="AW77" s="278"/>
      <c r="AX77" s="278"/>
      <c r="AY77" s="278"/>
      <c r="AZ77" s="278"/>
      <c r="BA77" s="278"/>
      <c r="BB77" s="278"/>
      <c r="BC77" s="278"/>
      <c r="BD77" s="278"/>
      <c r="BE77" s="278"/>
      <c r="BF77" s="278"/>
      <c r="BG77" s="278"/>
      <c r="BH77" s="278"/>
      <c r="BI77" s="278"/>
      <c r="BJ77" s="278"/>
      <c r="BK77" s="278"/>
      <c r="BL77" s="278"/>
      <c r="BM77" s="278"/>
      <c r="BN77" s="278"/>
      <c r="BO77" s="278"/>
      <c r="BP77" s="278"/>
    </row>
    <row r="78" customFormat="false" ht="19.5" hidden="false" customHeight="true" outlineLevel="0" collapsed="false">
      <c r="A78" s="272"/>
      <c r="B78" s="309" t="s">
        <v>58</v>
      </c>
      <c r="C78" s="307" t="e">
        <f aca="false">INDEX($B$52:$B$69,MATCH($B78,C$52:C$71,0))</f>
        <v>#N/A</v>
      </c>
      <c r="D78" s="307" t="e">
        <f aca="false">INDEX($B$52:$B$69,MATCH($B78,D$52:D$71,0))</f>
        <v>#N/A</v>
      </c>
      <c r="E78" s="307" t="e">
        <f aca="false">INDEX($B$52:$B$69,MATCH($B78,E$52:E$71,0))</f>
        <v>#N/A</v>
      </c>
      <c r="F78" s="307" t="e">
        <f aca="false">INDEX($B$52:$B$69,MATCH($B78,F$52:F$71,0))</f>
        <v>#N/A</v>
      </c>
      <c r="G78" s="307" t="e">
        <f aca="false">INDEX($B$52:$B$69,MATCH($B78,G$52:G$71,0))</f>
        <v>#N/A</v>
      </c>
      <c r="H78" s="307" t="e">
        <f aca="false">INDEX($B$52:$B$69,MATCH($B78,H$52:H$71,0))</f>
        <v>#N/A</v>
      </c>
      <c r="I78" s="307" t="e">
        <f aca="false">INDEX($B$52:$B$69,MATCH($B78,I$52:I$71,0))</f>
        <v>#N/A</v>
      </c>
      <c r="J78" s="307" t="e">
        <f aca="false">INDEX($B$52:$B$69,MATCH($B78,J$52:J$71,0))</f>
        <v>#N/A</v>
      </c>
      <c r="K78" s="307" t="e">
        <f aca="false">INDEX($B$52:$B$69,MATCH($B78,K$52:K$71,0))</f>
        <v>#N/A</v>
      </c>
      <c r="L78" s="307" t="e">
        <f aca="false">INDEX($B$52:$B$69,MATCH($B78,L$52:L$71,0))</f>
        <v>#N/A</v>
      </c>
      <c r="M78" s="307" t="e">
        <f aca="false">INDEX($B$52:$B$69,MATCH($B78,M$52:M$71,0))</f>
        <v>#N/A</v>
      </c>
      <c r="N78" s="307" t="e">
        <f aca="false">INDEX($B$52:$B$69,MATCH($B78,N$52:N$71,0))</f>
        <v>#N/A</v>
      </c>
      <c r="O78" s="307" t="e">
        <f aca="false">INDEX($B$52:$B$69,MATCH($B78,O$52:O$71,0))</f>
        <v>#N/A</v>
      </c>
      <c r="P78" s="307" t="e">
        <f aca="false">INDEX($B$52:$B$69,MATCH($B78,P$52:P$71,0))</f>
        <v>#N/A</v>
      </c>
      <c r="Q78" s="307" t="e">
        <f aca="false">INDEX($B$52:$B$69,MATCH($B78,Q$52:Q$71,0))</f>
        <v>#N/A</v>
      </c>
      <c r="R78" s="307" t="e">
        <f aca="false">INDEX($B$52:$B$69,MATCH($B78,R$52:R$71,0))</f>
        <v>#N/A</v>
      </c>
      <c r="S78" s="307" t="e">
        <f aca="false">INDEX($B$52:$B$69,MATCH($B78,S$52:S$71,0))</f>
        <v>#N/A</v>
      </c>
      <c r="T78" s="307" t="e">
        <f aca="false">INDEX($B$52:$B$69,MATCH($B78,T$52:T$71,0))</f>
        <v>#N/A</v>
      </c>
      <c r="U78" s="307" t="e">
        <f aca="false">INDEX($B$52:$B$69,MATCH($B78,U$52:U$71,0))</f>
        <v>#N/A</v>
      </c>
      <c r="V78" s="307" t="e">
        <f aca="false">INDEX($B$52:$B$69,MATCH($B78,V$52:V$71,0))</f>
        <v>#N/A</v>
      </c>
      <c r="W78" s="307" t="e">
        <f aca="false">INDEX($B$52:$B$69,MATCH($B78,W$52:W$71,0))</f>
        <v>#N/A</v>
      </c>
      <c r="X78" s="307" t="e">
        <f aca="false">INDEX($B$52:$B$69,MATCH($B78,X$52:X$71,0))</f>
        <v>#N/A</v>
      </c>
      <c r="Y78" s="307" t="e">
        <f aca="false">INDEX($B$52:$B$69,MATCH($B78,Y$52:Y$71,0))</f>
        <v>#N/A</v>
      </c>
      <c r="Z78" s="307" t="e">
        <f aca="false">INDEX($B$52:$B$69,MATCH($B78,Z$52:Z$71,0))</f>
        <v>#N/A</v>
      </c>
      <c r="AA78" s="307" t="e">
        <f aca="false">INDEX($B$52:$B$69,MATCH($B78,AA$52:AA$71,0))</f>
        <v>#N/A</v>
      </c>
      <c r="AB78" s="307" t="e">
        <f aca="false">INDEX($B$52:$B$69,MATCH($B78,AB$52:AB$71,0))</f>
        <v>#N/A</v>
      </c>
      <c r="AC78" s="307" t="e">
        <f aca="false">INDEX($B$52:$B$69,MATCH($B78,AC$52:AC$71,0))</f>
        <v>#N/A</v>
      </c>
      <c r="AD78" s="307" t="e">
        <f aca="false">INDEX($B$52:$B$69,MATCH($B78,AD$52:AD$71,0))</f>
        <v>#N/A</v>
      </c>
      <c r="AE78" s="307" t="e">
        <f aca="false">INDEX($B$52:$B$69,MATCH($B78,AE$52:AE$71,0))</f>
        <v>#N/A</v>
      </c>
      <c r="AF78" s="307" t="e">
        <f aca="false">INDEX($B$52:$B$69,MATCH($B78,AF$52:AF$71,0))</f>
        <v>#N/A</v>
      </c>
      <c r="AG78" s="307" t="e">
        <f aca="false">INDEX($B$52:$B$69,MATCH($B78,AG$52:AG$71,0))</f>
        <v>#N/A</v>
      </c>
      <c r="AH78" s="272"/>
      <c r="AI78" s="272"/>
      <c r="AJ78" s="272"/>
      <c r="AK78" s="272"/>
      <c r="AL78" s="278"/>
      <c r="AM78" s="278"/>
      <c r="AN78" s="278"/>
      <c r="AO78" s="278"/>
      <c r="AP78" s="278"/>
      <c r="AQ78" s="278"/>
      <c r="AR78" s="278"/>
      <c r="AS78" s="278"/>
      <c r="AT78" s="278"/>
      <c r="AU78" s="278"/>
      <c r="AV78" s="278"/>
      <c r="AW78" s="278"/>
      <c r="AX78" s="278"/>
      <c r="AY78" s="278"/>
      <c r="AZ78" s="278"/>
      <c r="BA78" s="278"/>
      <c r="BB78" s="278"/>
      <c r="BC78" s="278"/>
      <c r="BD78" s="278"/>
      <c r="BE78" s="278"/>
      <c r="BF78" s="278"/>
      <c r="BG78" s="278"/>
      <c r="BH78" s="278"/>
      <c r="BI78" s="278"/>
      <c r="BJ78" s="278"/>
      <c r="BK78" s="278"/>
      <c r="BL78" s="278"/>
      <c r="BM78" s="278"/>
      <c r="BN78" s="278"/>
      <c r="BO78" s="278"/>
      <c r="BP78" s="278"/>
    </row>
    <row r="79" customFormat="false" ht="14.9" hidden="false" customHeight="false" outlineLevel="0" collapsed="false">
      <c r="A79" s="272"/>
      <c r="B79" s="310" t="s">
        <v>93</v>
      </c>
      <c r="C79" s="307" t="e">
        <f aca="false">INDEX($B$52:$B$69,MATCH($B79,C$52:C$71,0))</f>
        <v>#N/A</v>
      </c>
      <c r="D79" s="307" t="e">
        <f aca="false">INDEX($B$52:$B$69,MATCH($B79,D$52:D$71,0))</f>
        <v>#N/A</v>
      </c>
      <c r="E79" s="307" t="e">
        <f aca="false">INDEX($B$52:$B$69,MATCH($B79,E$52:E$71,0))</f>
        <v>#N/A</v>
      </c>
      <c r="F79" s="307" t="e">
        <f aca="false">INDEX($B$52:$B$69,MATCH($B79,F$52:F$71,0))</f>
        <v>#N/A</v>
      </c>
      <c r="G79" s="307" t="e">
        <f aca="false">INDEX($B$52:$B$69,MATCH($B79,G$52:G$71,0))</f>
        <v>#N/A</v>
      </c>
      <c r="H79" s="307" t="e">
        <f aca="false">INDEX($B$52:$B$69,MATCH($B79,H$52:H$71,0))</f>
        <v>#N/A</v>
      </c>
      <c r="I79" s="307" t="e">
        <f aca="false">INDEX($B$52:$B$69,MATCH($B79,I$52:I$71,0))</f>
        <v>#N/A</v>
      </c>
      <c r="J79" s="307" t="e">
        <f aca="false">INDEX($B$52:$B$69,MATCH($B79,J$52:J$71,0))</f>
        <v>#N/A</v>
      </c>
      <c r="K79" s="307" t="e">
        <f aca="false">INDEX($B$52:$B$69,MATCH($B79,K$52:K$71,0))</f>
        <v>#N/A</v>
      </c>
      <c r="L79" s="307" t="e">
        <f aca="false">INDEX($B$52:$B$69,MATCH($B79,L$52:L$71,0))</f>
        <v>#N/A</v>
      </c>
      <c r="M79" s="307" t="e">
        <f aca="false">INDEX($B$52:$B$69,MATCH($B79,M$52:M$71,0))</f>
        <v>#N/A</v>
      </c>
      <c r="N79" s="307" t="e">
        <f aca="false">INDEX($B$52:$B$69,MATCH($B79,N$52:N$71,0))</f>
        <v>#N/A</v>
      </c>
      <c r="O79" s="307" t="e">
        <f aca="false">INDEX($B$52:$B$69,MATCH($B79,O$52:O$71,0))</f>
        <v>#N/A</v>
      </c>
      <c r="P79" s="307" t="e">
        <f aca="false">INDEX($B$52:$B$69,MATCH($B79,P$52:P$71,0))</f>
        <v>#N/A</v>
      </c>
      <c r="Q79" s="307" t="e">
        <f aca="false">INDEX($B$52:$B$69,MATCH($B79,Q$52:Q$71,0))</f>
        <v>#N/A</v>
      </c>
      <c r="R79" s="307" t="e">
        <f aca="false">INDEX($B$52:$B$69,MATCH($B79,R$52:R$71,0))</f>
        <v>#N/A</v>
      </c>
      <c r="S79" s="307" t="e">
        <f aca="false">INDEX($B$52:$B$69,MATCH($B79,S$52:S$71,0))</f>
        <v>#N/A</v>
      </c>
      <c r="T79" s="307" t="e">
        <f aca="false">INDEX($B$52:$B$69,MATCH($B79,T$52:T$71,0))</f>
        <v>#N/A</v>
      </c>
      <c r="U79" s="307" t="e">
        <f aca="false">INDEX($B$52:$B$69,MATCH($B79,U$52:U$71,0))</f>
        <v>#N/A</v>
      </c>
      <c r="V79" s="307" t="e">
        <f aca="false">INDEX($B$52:$B$69,MATCH($B79,V$52:V$71,0))</f>
        <v>#N/A</v>
      </c>
      <c r="W79" s="307" t="e">
        <f aca="false">INDEX($B$52:$B$69,MATCH($B79,W$52:W$71,0))</f>
        <v>#N/A</v>
      </c>
      <c r="X79" s="307" t="e">
        <f aca="false">INDEX($B$52:$B$69,MATCH($B79,X$52:X$71,0))</f>
        <v>#N/A</v>
      </c>
      <c r="Y79" s="307" t="e">
        <f aca="false">INDEX($B$52:$B$69,MATCH($B79,Y$52:Y$71,0))</f>
        <v>#N/A</v>
      </c>
      <c r="Z79" s="307" t="e">
        <f aca="false">INDEX($B$52:$B$69,MATCH($B79,Z$52:Z$71,0))</f>
        <v>#N/A</v>
      </c>
      <c r="AA79" s="307" t="e">
        <f aca="false">INDEX($B$52:$B$69,MATCH($B79,AA$52:AA$71,0))</f>
        <v>#N/A</v>
      </c>
      <c r="AB79" s="307" t="e">
        <f aca="false">INDEX($B$52:$B$69,MATCH($B79,AB$52:AB$71,0))</f>
        <v>#N/A</v>
      </c>
      <c r="AC79" s="307" t="e">
        <f aca="false">INDEX($B$52:$B$69,MATCH($B79,AC$52:AC$71,0))</f>
        <v>#N/A</v>
      </c>
      <c r="AD79" s="307" t="e">
        <f aca="false">INDEX($B$52:$B$69,MATCH($B79,AD$52:AD$71,0))</f>
        <v>#N/A</v>
      </c>
      <c r="AE79" s="307" t="e">
        <f aca="false">INDEX($B$52:$B$69,MATCH($B79,AE$52:AE$71,0))</f>
        <v>#N/A</v>
      </c>
      <c r="AF79" s="307" t="e">
        <f aca="false">INDEX($B$52:$B$69,MATCH($B79,AF$52:AF$71,0))</f>
        <v>#N/A</v>
      </c>
      <c r="AG79" s="307" t="e">
        <f aca="false">INDEX($B$52:$B$69,MATCH($B79,AG$52:AG$71,0))</f>
        <v>#N/A</v>
      </c>
      <c r="AH79" s="272"/>
      <c r="AI79" s="272"/>
      <c r="AJ79" s="272"/>
      <c r="AK79" s="272"/>
      <c r="AL79" s="278"/>
      <c r="AM79" s="278"/>
      <c r="AN79" s="278"/>
      <c r="AO79" s="278"/>
      <c r="AP79" s="278"/>
      <c r="AQ79" s="278"/>
      <c r="AR79" s="278"/>
      <c r="AS79" s="278"/>
      <c r="AT79" s="278"/>
      <c r="AU79" s="278"/>
      <c r="AV79" s="278"/>
      <c r="AW79" s="278"/>
      <c r="AX79" s="278"/>
      <c r="AY79" s="278"/>
      <c r="AZ79" s="278"/>
      <c r="BA79" s="278"/>
      <c r="BB79" s="278"/>
      <c r="BC79" s="278"/>
      <c r="BD79" s="278"/>
      <c r="BE79" s="278"/>
      <c r="BF79" s="278"/>
      <c r="BG79" s="278"/>
      <c r="BH79" s="278"/>
      <c r="BI79" s="278"/>
      <c r="BJ79" s="278"/>
      <c r="BK79" s="278"/>
      <c r="BL79" s="278"/>
      <c r="BM79" s="278"/>
      <c r="BN79" s="278"/>
      <c r="BO79" s="278"/>
      <c r="BP79" s="278"/>
    </row>
    <row r="80" customFormat="false" ht="19.5" hidden="false" customHeight="true" outlineLevel="0" collapsed="false">
      <c r="A80" s="272"/>
      <c r="B80" s="311" t="s">
        <v>65</v>
      </c>
      <c r="C80" s="307" t="e">
        <f aca="false">INDEX($B$52:$B$69,MATCH($B80,C$52:C$71,0))</f>
        <v>#N/A</v>
      </c>
      <c r="D80" s="307" t="e">
        <f aca="false">INDEX($B$52:$B$69,MATCH($B80,D$52:D$71,0))</f>
        <v>#N/A</v>
      </c>
      <c r="E80" s="307" t="e">
        <f aca="false">INDEX($B$52:$B$69,MATCH($B80,E$52:E$71,0))</f>
        <v>#N/A</v>
      </c>
      <c r="F80" s="307" t="e">
        <f aca="false">INDEX($B$52:$B$69,MATCH($B80,F$52:F$71,0))</f>
        <v>#N/A</v>
      </c>
      <c r="G80" s="307" t="e">
        <f aca="false">INDEX($B$52:$B$69,MATCH($B80,G$52:G$71,0))</f>
        <v>#N/A</v>
      </c>
      <c r="H80" s="307" t="e">
        <f aca="false">INDEX($B$52:$B$69,MATCH($B80,H$52:H$71,0))</f>
        <v>#N/A</v>
      </c>
      <c r="I80" s="307" t="e">
        <f aca="false">INDEX($B$52:$B$69,MATCH($B80,I$52:I$71,0))</f>
        <v>#N/A</v>
      </c>
      <c r="J80" s="307" t="e">
        <f aca="false">INDEX($B$52:$B$69,MATCH($B80,J$52:J$71,0))</f>
        <v>#N/A</v>
      </c>
      <c r="K80" s="307" t="e">
        <f aca="false">INDEX($B$52:$B$69,MATCH($B80,K$52:K$71,0))</f>
        <v>#N/A</v>
      </c>
      <c r="L80" s="307" t="e">
        <f aca="false">INDEX($B$52:$B$69,MATCH($B80,L$52:L$71,0))</f>
        <v>#N/A</v>
      </c>
      <c r="M80" s="307" t="e">
        <f aca="false">INDEX($B$52:$B$69,MATCH($B80,M$52:M$71,0))</f>
        <v>#N/A</v>
      </c>
      <c r="N80" s="307" t="e">
        <f aca="false">INDEX($B$52:$B$69,MATCH($B80,N$52:N$71,0))</f>
        <v>#N/A</v>
      </c>
      <c r="O80" s="307" t="e">
        <f aca="false">INDEX($B$52:$B$69,MATCH($B80,O$52:O$71,0))</f>
        <v>#N/A</v>
      </c>
      <c r="P80" s="307" t="e">
        <f aca="false">INDEX($B$52:$B$69,MATCH($B80,P$52:P$71,0))</f>
        <v>#N/A</v>
      </c>
      <c r="Q80" s="307" t="e">
        <f aca="false">INDEX($B$52:$B$69,MATCH($B80,Q$52:Q$71,0))</f>
        <v>#N/A</v>
      </c>
      <c r="R80" s="307" t="e">
        <f aca="false">INDEX($B$52:$B$69,MATCH($B80,R$52:R$71,0))</f>
        <v>#N/A</v>
      </c>
      <c r="S80" s="307" t="e">
        <f aca="false">INDEX($B$52:$B$69,MATCH($B80,S$52:S$71,0))</f>
        <v>#N/A</v>
      </c>
      <c r="T80" s="307" t="e">
        <f aca="false">INDEX($B$52:$B$69,MATCH($B80,T$52:T$71,0))</f>
        <v>#N/A</v>
      </c>
      <c r="U80" s="307" t="e">
        <f aca="false">INDEX($B$52:$B$69,MATCH($B80,U$52:U$71,0))</f>
        <v>#N/A</v>
      </c>
      <c r="V80" s="307" t="e">
        <f aca="false">INDEX($B$52:$B$69,MATCH($B80,V$52:V$71,0))</f>
        <v>#N/A</v>
      </c>
      <c r="W80" s="307" t="e">
        <f aca="false">INDEX($B$52:$B$69,MATCH($B80,W$52:W$71,0))</f>
        <v>#N/A</v>
      </c>
      <c r="X80" s="307" t="e">
        <f aca="false">INDEX($B$52:$B$69,MATCH($B80,X$52:X$71,0))</f>
        <v>#N/A</v>
      </c>
      <c r="Y80" s="307" t="e">
        <f aca="false">INDEX($B$52:$B$69,MATCH($B80,Y$52:Y$71,0))</f>
        <v>#N/A</v>
      </c>
      <c r="Z80" s="307" t="e">
        <f aca="false">INDEX($B$52:$B$69,MATCH($B80,Z$52:Z$71,0))</f>
        <v>#N/A</v>
      </c>
      <c r="AA80" s="307" t="e">
        <f aca="false">INDEX($B$52:$B$69,MATCH($B80,AA$52:AA$71,0))</f>
        <v>#N/A</v>
      </c>
      <c r="AB80" s="307" t="e">
        <f aca="false">INDEX($B$52:$B$69,MATCH($B80,AB$52:AB$71,0))</f>
        <v>#N/A</v>
      </c>
      <c r="AC80" s="307" t="e">
        <f aca="false">INDEX($B$52:$B$69,MATCH($B80,AC$52:AC$71,0))</f>
        <v>#N/A</v>
      </c>
      <c r="AD80" s="307" t="e">
        <f aca="false">INDEX($B$52:$B$69,MATCH($B80,AD$52:AD$71,0))</f>
        <v>#N/A</v>
      </c>
      <c r="AE80" s="307" t="e">
        <f aca="false">INDEX($B$52:$B$69,MATCH($B80,AE$52:AE$71,0))</f>
        <v>#N/A</v>
      </c>
      <c r="AF80" s="307" t="e">
        <f aca="false">INDEX($B$52:$B$69,MATCH($B80,AF$52:AF$71,0))</f>
        <v>#N/A</v>
      </c>
      <c r="AG80" s="307" t="e">
        <f aca="false">INDEX($B$52:$B$69,MATCH($B80,AG$52:AG$71,0))</f>
        <v>#N/A</v>
      </c>
      <c r="AH80" s="272"/>
      <c r="AI80" s="272"/>
      <c r="AJ80" s="272"/>
      <c r="AK80" s="272"/>
      <c r="AL80" s="278"/>
      <c r="AM80" s="278"/>
      <c r="AN80" s="278"/>
      <c r="AO80" s="278"/>
      <c r="AP80" s="278"/>
      <c r="AQ80" s="278"/>
      <c r="AR80" s="278"/>
      <c r="AS80" s="278"/>
      <c r="AT80" s="278"/>
      <c r="AU80" s="278"/>
      <c r="AV80" s="278"/>
      <c r="AW80" s="278"/>
      <c r="AX80" s="278"/>
      <c r="AY80" s="278"/>
      <c r="AZ80" s="278"/>
      <c r="BA80" s="278"/>
      <c r="BB80" s="278"/>
      <c r="BC80" s="278"/>
      <c r="BD80" s="278"/>
      <c r="BE80" s="278"/>
      <c r="BF80" s="278"/>
      <c r="BG80" s="278"/>
      <c r="BH80" s="278"/>
      <c r="BI80" s="278"/>
      <c r="BJ80" s="278"/>
      <c r="BK80" s="278"/>
      <c r="BL80" s="278"/>
      <c r="BM80" s="278"/>
      <c r="BN80" s="278"/>
      <c r="BO80" s="278"/>
      <c r="BP80" s="278"/>
    </row>
    <row r="81" customFormat="false" ht="19.5" hidden="false" customHeight="true" outlineLevel="0" collapsed="false">
      <c r="A81" s="272"/>
      <c r="B81" s="266" t="s">
        <v>350</v>
      </c>
      <c r="C81" s="266" t="e">
        <f aca="false">INDEX($B$52:$B$69,MATCH($B81,C$52:C$71,0))</f>
        <v>#N/A</v>
      </c>
      <c r="D81" s="266" t="e">
        <f aca="false">INDEX($B$52:$B$69,MATCH($B81,D$52:D$71,0))</f>
        <v>#N/A</v>
      </c>
      <c r="E81" s="266" t="e">
        <f aca="false">INDEX($B$52:$B$69,MATCH($B81,E$52:E$71,0))</f>
        <v>#N/A</v>
      </c>
      <c r="F81" s="266" t="e">
        <f aca="false">INDEX($B$52:$B$69,MATCH($B81,F$52:F$71,0))</f>
        <v>#N/A</v>
      </c>
      <c r="G81" s="266" t="e">
        <f aca="false">INDEX($B$52:$B$69,MATCH($B81,G$52:G$71,0))</f>
        <v>#N/A</v>
      </c>
      <c r="H81" s="266" t="e">
        <f aca="false">INDEX($B$52:$B$69,MATCH($B81,H$52:H$71,0))</f>
        <v>#N/A</v>
      </c>
      <c r="I81" s="266" t="e">
        <f aca="false">INDEX($B$52:$B$69,MATCH($B81,I$52:I$71,0))</f>
        <v>#N/A</v>
      </c>
      <c r="J81" s="266" t="e">
        <f aca="false">INDEX($B$52:$B$69,MATCH($B81,J$52:J$71,0))</f>
        <v>#N/A</v>
      </c>
      <c r="K81" s="266" t="e">
        <f aca="false">INDEX($B$52:$B$69,MATCH($B81,K$52:K$71,0))</f>
        <v>#N/A</v>
      </c>
      <c r="L81" s="266" t="e">
        <f aca="false">INDEX($B$52:$B$69,MATCH($B81,L$52:L$71,0))</f>
        <v>#N/A</v>
      </c>
      <c r="M81" s="266" t="e">
        <f aca="false">INDEX($B$52:$B$69,MATCH($B81,M$52:M$71,0))</f>
        <v>#N/A</v>
      </c>
      <c r="N81" s="266" t="e">
        <f aca="false">INDEX($B$52:$B$69,MATCH($B81,N$52:N$71,0))</f>
        <v>#N/A</v>
      </c>
      <c r="O81" s="266" t="e">
        <f aca="false">INDEX($B$52:$B$69,MATCH($B81,O$52:O$71,0))</f>
        <v>#N/A</v>
      </c>
      <c r="P81" s="266" t="e">
        <f aca="false">INDEX($B$52:$B$69,MATCH($B81,P$52:P$71,0))</f>
        <v>#N/A</v>
      </c>
      <c r="Q81" s="266" t="e">
        <f aca="false">INDEX($B$52:$B$69,MATCH($B81,Q$52:Q$71,0))</f>
        <v>#N/A</v>
      </c>
      <c r="R81" s="266" t="e">
        <f aca="false">INDEX($B$52:$B$69,MATCH($B81,R$52:R$71,0))</f>
        <v>#N/A</v>
      </c>
      <c r="S81" s="266" t="e">
        <f aca="false">INDEX($B$52:$B$69,MATCH($B81,S$52:S$71,0))</f>
        <v>#N/A</v>
      </c>
      <c r="T81" s="266" t="e">
        <f aca="false">INDEX($B$52:$B$69,MATCH($B81,T$52:T$71,0))</f>
        <v>#N/A</v>
      </c>
      <c r="U81" s="266" t="e">
        <f aca="false">INDEX($B$52:$B$69,MATCH($B81,U$52:U$71,0))</f>
        <v>#N/A</v>
      </c>
      <c r="V81" s="266" t="e">
        <f aca="false">INDEX($B$52:$B$69,MATCH($B81,V$52:V$71,0))</f>
        <v>#N/A</v>
      </c>
      <c r="W81" s="266" t="e">
        <f aca="false">INDEX($B$52:$B$69,MATCH($B81,W$52:W$71,0))</f>
        <v>#N/A</v>
      </c>
      <c r="X81" s="266" t="e">
        <f aca="false">INDEX($B$52:$B$69,MATCH($B81,X$52:X$71,0))</f>
        <v>#N/A</v>
      </c>
      <c r="Y81" s="266" t="e">
        <f aca="false">INDEX($B$52:$B$69,MATCH($B81,Y$52:Y$71,0))</f>
        <v>#N/A</v>
      </c>
      <c r="Z81" s="266" t="e">
        <f aca="false">INDEX($B$52:$B$69,MATCH($B81,Z$52:Z$71,0))</f>
        <v>#N/A</v>
      </c>
      <c r="AA81" s="266" t="e">
        <f aca="false">INDEX($B$52:$B$69,MATCH($B81,AA$52:AA$71,0))</f>
        <v>#N/A</v>
      </c>
      <c r="AB81" s="266" t="e">
        <f aca="false">INDEX($B$52:$B$69,MATCH($B81,AB$52:AB$71,0))</f>
        <v>#N/A</v>
      </c>
      <c r="AC81" s="266" t="e">
        <f aca="false">INDEX($B$52:$B$69,MATCH($B81,AC$52:AC$71,0))</f>
        <v>#N/A</v>
      </c>
      <c r="AD81" s="266" t="e">
        <f aca="false">INDEX($B$52:$B$69,MATCH($B81,AD$52:AD$71,0))</f>
        <v>#N/A</v>
      </c>
      <c r="AE81" s="266" t="e">
        <f aca="false">INDEX($B$52:$B$69,MATCH($B81,AE$52:AE$71,0))</f>
        <v>#N/A</v>
      </c>
      <c r="AF81" s="266" t="e">
        <f aca="false">INDEX($B$52:$B$69,MATCH($B81,AF$52:AF$71,0))</f>
        <v>#N/A</v>
      </c>
      <c r="AG81" s="266" t="e">
        <f aca="false">INDEX($B$52:$B$69,MATCH($B81,AG$52:AG$71,0))</f>
        <v>#N/A</v>
      </c>
      <c r="AH81" s="272"/>
      <c r="AI81" s="272"/>
      <c r="AJ81" s="272"/>
      <c r="AK81" s="272"/>
      <c r="AL81" s="278"/>
      <c r="AM81" s="278"/>
      <c r="AN81" s="278"/>
      <c r="AO81" s="278"/>
      <c r="AP81" s="278"/>
      <c r="AQ81" s="278"/>
      <c r="AR81" s="278"/>
      <c r="AS81" s="278"/>
      <c r="AT81" s="278"/>
      <c r="AU81" s="278"/>
      <c r="AV81" s="278"/>
      <c r="AW81" s="278"/>
      <c r="AX81" s="278"/>
      <c r="AY81" s="278"/>
      <c r="AZ81" s="278"/>
      <c r="BA81" s="278"/>
      <c r="BB81" s="278"/>
      <c r="BC81" s="278"/>
      <c r="BD81" s="278"/>
      <c r="BE81" s="278"/>
      <c r="BF81" s="278"/>
      <c r="BG81" s="278"/>
      <c r="BH81" s="278"/>
      <c r="BI81" s="278"/>
      <c r="BJ81" s="278"/>
      <c r="BK81" s="278"/>
      <c r="BL81" s="278"/>
      <c r="BM81" s="278"/>
      <c r="BN81" s="278"/>
      <c r="BO81" s="278"/>
      <c r="BP81" s="278"/>
    </row>
    <row r="82" customFormat="false" ht="19.5" hidden="false" customHeight="true" outlineLevel="0" collapsed="false">
      <c r="A82" s="272"/>
      <c r="B82" s="266" t="s">
        <v>755</v>
      </c>
      <c r="C82" s="266" t="n">
        <f aca="false">COUNTIF(C52:C69,"DM")</f>
        <v>0</v>
      </c>
      <c r="D82" s="266" t="n">
        <f aca="false">COUNTIF(D2:D69,"DM")</f>
        <v>0</v>
      </c>
      <c r="E82" s="266" t="n">
        <f aca="false">COUNTIF(E2:E69,"DM")</f>
        <v>0</v>
      </c>
      <c r="F82" s="266" t="n">
        <f aca="false">COUNTIF(F52:F69,"DM")</f>
        <v>0</v>
      </c>
      <c r="G82" s="266" t="n">
        <f aca="false">COUNTIF(G52:G69,"DM")</f>
        <v>0</v>
      </c>
      <c r="H82" s="266" t="n">
        <f aca="false">COUNTIF(H52:H69,"DM")</f>
        <v>0</v>
      </c>
      <c r="I82" s="266" t="n">
        <f aca="false">COUNTIF(I52:I69,"DM")</f>
        <v>0</v>
      </c>
      <c r="J82" s="266" t="n">
        <f aca="false">COUNTIF(J52:J69,"DM")</f>
        <v>0</v>
      </c>
      <c r="K82" s="266" t="n">
        <f aca="false">COUNTIF(K52:K69,"DM")</f>
        <v>0</v>
      </c>
      <c r="L82" s="266" t="n">
        <f aca="false">COUNTIF(L52:L69,"DM")</f>
        <v>0</v>
      </c>
      <c r="M82" s="266" t="n">
        <f aca="false">COUNTIF(M52:M69,"DM")</f>
        <v>0</v>
      </c>
      <c r="N82" s="266" t="n">
        <f aca="false">COUNTIF(N52:N69,"DM")</f>
        <v>0</v>
      </c>
      <c r="O82" s="266" t="n">
        <f aca="false">COUNTIF(O52:O69,"DM")</f>
        <v>0</v>
      </c>
      <c r="P82" s="266" t="n">
        <f aca="false">COUNTIF(P52:P69,"DM")</f>
        <v>0</v>
      </c>
      <c r="Q82" s="266" t="n">
        <f aca="false">COUNTIF(Q52:Q69,"DM")</f>
        <v>0</v>
      </c>
      <c r="R82" s="266" t="n">
        <f aca="false">COUNTIF(R52:R69,"DM")</f>
        <v>0</v>
      </c>
      <c r="S82" s="266" t="n">
        <f aca="false">COUNTIF(S52:S69,"DM")</f>
        <v>0</v>
      </c>
      <c r="T82" s="266" t="n">
        <f aca="false">COUNTIF(T52:T69,"DM")</f>
        <v>0</v>
      </c>
      <c r="U82" s="266" t="n">
        <f aca="false">COUNTIF(U52:U69,"DM")</f>
        <v>0</v>
      </c>
      <c r="V82" s="266" t="n">
        <f aca="false">COUNTIF(V52:V69,"DM")</f>
        <v>0</v>
      </c>
      <c r="W82" s="266" t="n">
        <f aca="false">COUNTIF(W52:W69,"DM")</f>
        <v>0</v>
      </c>
      <c r="X82" s="266" t="n">
        <f aca="false">COUNTIF(X52:X69,"DM")</f>
        <v>0</v>
      </c>
      <c r="Y82" s="266" t="n">
        <f aca="false">COUNTIF(Y52:Y69,"DM")</f>
        <v>0</v>
      </c>
      <c r="Z82" s="266" t="n">
        <f aca="false">COUNTIF(Z52:Z69,"DM")</f>
        <v>0</v>
      </c>
      <c r="AA82" s="266" t="n">
        <f aca="false">COUNTIF(AA52:AA69,"DM")</f>
        <v>0</v>
      </c>
      <c r="AB82" s="266" t="n">
        <f aca="false">COUNTIF(AB52:AB69,"DM")</f>
        <v>0</v>
      </c>
      <c r="AC82" s="266" t="n">
        <f aca="false">COUNTIF(AC52:AC69,"DM")</f>
        <v>0</v>
      </c>
      <c r="AD82" s="266" t="n">
        <f aca="false">COUNTIF(AD52:AD69,"DM")</f>
        <v>0</v>
      </c>
      <c r="AE82" s="266" t="n">
        <f aca="false">COUNTIF(AE52:AE69,"DM")</f>
        <v>0</v>
      </c>
      <c r="AF82" s="266" t="n">
        <f aca="false">COUNTIF(AF52:AF69,"DM")</f>
        <v>0</v>
      </c>
      <c r="AG82" s="266" t="n">
        <f aca="false">COUNTIF(AG52:AG69,"DM")</f>
        <v>0</v>
      </c>
      <c r="AH82" s="272"/>
      <c r="AI82" s="272"/>
      <c r="AJ82" s="272"/>
      <c r="AK82" s="272"/>
      <c r="AL82" s="278"/>
      <c r="AM82" s="278"/>
      <c r="AN82" s="278"/>
      <c r="AO82" s="278"/>
      <c r="AP82" s="278"/>
      <c r="AQ82" s="278"/>
      <c r="AR82" s="278"/>
      <c r="AS82" s="278"/>
      <c r="AT82" s="278"/>
      <c r="AU82" s="278"/>
      <c r="AV82" s="278"/>
      <c r="AW82" s="278"/>
      <c r="AX82" s="278"/>
      <c r="AY82" s="278"/>
      <c r="AZ82" s="278"/>
      <c r="BA82" s="278"/>
      <c r="BB82" s="278"/>
      <c r="BC82" s="278"/>
      <c r="BD82" s="278"/>
      <c r="BE82" s="278"/>
      <c r="BF82" s="278"/>
      <c r="BG82" s="278"/>
      <c r="BH82" s="278"/>
      <c r="BI82" s="278"/>
      <c r="BJ82" s="278"/>
      <c r="BK82" s="278"/>
      <c r="BL82" s="278"/>
      <c r="BM82" s="278"/>
      <c r="BN82" s="278"/>
      <c r="BO82" s="278"/>
      <c r="BP82" s="278"/>
    </row>
    <row r="83" customFormat="false" ht="19.5" hidden="false" customHeight="true" outlineLevel="0" collapsed="false">
      <c r="A83" s="272"/>
      <c r="B83" s="266" t="s">
        <v>861</v>
      </c>
      <c r="C83" s="266" t="n">
        <f aca="false">COUNTIF(C52:C69,"SB1")+COUNTIF(C52:C69,"SB2")</f>
        <v>0</v>
      </c>
      <c r="D83" s="266" t="n">
        <f aca="false">COUNTIF(D2:D69,"SB1")+COUNTIF(D2:D69,"SB2")</f>
        <v>0</v>
      </c>
      <c r="E83" s="266" t="n">
        <f aca="false">COUNTIF(E2:E69,"SB1")+COUNTIF(E2:E69,"SB2")</f>
        <v>0</v>
      </c>
      <c r="F83" s="266" t="n">
        <f aca="false">COUNTIF(F52:F69,"SB1")+COUNTIF(F52:F69,"SB2")</f>
        <v>0</v>
      </c>
      <c r="G83" s="266" t="n">
        <f aca="false">COUNTIF(G52:G69,"SB1")+COUNTIF(G52:G69,"SB2")</f>
        <v>0</v>
      </c>
      <c r="H83" s="266" t="n">
        <f aca="false">COUNTIF(H52:H69,"SB1")+COUNTIF(H52:H69,"SB2")</f>
        <v>0</v>
      </c>
      <c r="I83" s="266" t="n">
        <f aca="false">COUNTIF(I52:I69,"SB1")+COUNTIF(I52:I69,"SB2")</f>
        <v>0</v>
      </c>
      <c r="J83" s="266" t="n">
        <f aca="false">COUNTIF(J52:J69,"SB1")+COUNTIF(J52:J69,"SB2")</f>
        <v>0</v>
      </c>
      <c r="K83" s="266" t="n">
        <f aca="false">COUNTIF(K52:K69,"SB1")+COUNTIF(K52:K69,"SB2")</f>
        <v>0</v>
      </c>
      <c r="L83" s="266" t="n">
        <f aca="false">COUNTIF(L52:L69,"SB1")+COUNTIF(L52:L69,"SB2")</f>
        <v>0</v>
      </c>
      <c r="M83" s="266" t="n">
        <f aca="false">COUNTIF(M52:M69,"SB1")+COUNTIF(M52:M69,"SB2")</f>
        <v>0</v>
      </c>
      <c r="N83" s="266" t="n">
        <f aca="false">COUNTIF(N52:N69,"SB1")+COUNTIF(N52:N69,"SB2")</f>
        <v>0</v>
      </c>
      <c r="O83" s="266" t="n">
        <f aca="false">COUNTIF(O52:O69,"SB1")+COUNTIF(O52:O69,"SB2")</f>
        <v>0</v>
      </c>
      <c r="P83" s="266" t="n">
        <f aca="false">COUNTIF(P52:P69,"SB1")+COUNTIF(P52:P69,"SB2")</f>
        <v>0</v>
      </c>
      <c r="Q83" s="266" t="n">
        <f aca="false">COUNTIF(Q52:Q69,"SB1")+COUNTIF(Q52:Q69,"SB2")</f>
        <v>0</v>
      </c>
      <c r="R83" s="266" t="n">
        <f aca="false">COUNTIF(R52:R69,"SB1")+COUNTIF(R52:R69,"SB2")</f>
        <v>0</v>
      </c>
      <c r="S83" s="266" t="n">
        <f aca="false">COUNTIF(S52:S69,"SB1")+COUNTIF(S52:S69,"SB2")</f>
        <v>0</v>
      </c>
      <c r="T83" s="266" t="n">
        <f aca="false">COUNTIF(T52:T69,"SB1")+COUNTIF(T52:T69,"SB2")</f>
        <v>0</v>
      </c>
      <c r="U83" s="266" t="n">
        <f aca="false">COUNTIF(U52:U69,"SB1")+COUNTIF(U52:U69,"SB2")</f>
        <v>0</v>
      </c>
      <c r="V83" s="266" t="n">
        <f aca="false">COUNTIF(V52:V69,"SB1")+COUNTIF(V52:V69,"SB2")</f>
        <v>0</v>
      </c>
      <c r="W83" s="266" t="n">
        <f aca="false">COUNTIF(W52:W69,"SB1")+COUNTIF(W52:W69,"SB2")</f>
        <v>0</v>
      </c>
      <c r="X83" s="266" t="n">
        <f aca="false">COUNTIF(X52:X69,"SB1")+COUNTIF(X52:X69,"SB2")</f>
        <v>0</v>
      </c>
      <c r="Y83" s="266" t="n">
        <f aca="false">COUNTIF(Y52:Y69,"SB1")+COUNTIF(Y52:Y69,"SB2")</f>
        <v>0</v>
      </c>
      <c r="Z83" s="266" t="n">
        <f aca="false">COUNTIF(Z52:Z69,"SB1")+COUNTIF(Z52:Z69,"SB2")</f>
        <v>0</v>
      </c>
      <c r="AA83" s="266" t="n">
        <f aca="false">COUNTIF(AA52:AA69,"SB1")+COUNTIF(AA52:AA69,"SB2")</f>
        <v>0</v>
      </c>
      <c r="AB83" s="266" t="n">
        <f aca="false">COUNTIF(AB52:AB69,"SB1")+COUNTIF(AB52:AB69,"SB2")</f>
        <v>0</v>
      </c>
      <c r="AC83" s="266" t="n">
        <f aca="false">COUNTIF(AC52:AC69,"SB1")+COUNTIF(AC52:AC69,"SB2")</f>
        <v>0</v>
      </c>
      <c r="AD83" s="266" t="n">
        <f aca="false">COUNTIF(AD52:AD69,"SB1")+COUNTIF(AD52:AD69,"SB2")</f>
        <v>0</v>
      </c>
      <c r="AE83" s="266" t="n">
        <f aca="false">COUNTIF(AE52:AE69,"SB1")+COUNTIF(AE52:AE69,"SB2")</f>
        <v>0</v>
      </c>
      <c r="AF83" s="266" t="n">
        <f aca="false">COUNTIF(AF52:AF69,"SB1")+COUNTIF(AF52:AF69,"SB2")</f>
        <v>0</v>
      </c>
      <c r="AG83" s="266" t="n">
        <f aca="false">COUNTIF(AG52:AG69,"SB1")+COUNTIF(AG52:AG69,"SB2")</f>
        <v>0</v>
      </c>
      <c r="AH83" s="272"/>
      <c r="AI83" s="272"/>
      <c r="AJ83" s="272"/>
      <c r="AK83" s="272"/>
      <c r="AL83" s="278"/>
      <c r="AM83" s="278"/>
      <c r="AN83" s="278"/>
      <c r="AO83" s="278"/>
      <c r="AP83" s="278"/>
      <c r="AQ83" s="278"/>
      <c r="AR83" s="278"/>
      <c r="AS83" s="278"/>
      <c r="AT83" s="278"/>
      <c r="AU83" s="278"/>
      <c r="AV83" s="278"/>
      <c r="AW83" s="278"/>
      <c r="AX83" s="278"/>
      <c r="AY83" s="278"/>
      <c r="AZ83" s="278"/>
      <c r="BA83" s="278"/>
      <c r="BB83" s="278"/>
      <c r="BC83" s="278"/>
      <c r="BD83" s="278"/>
      <c r="BE83" s="278"/>
      <c r="BF83" s="278"/>
      <c r="BG83" s="278"/>
      <c r="BH83" s="278"/>
      <c r="BI83" s="278"/>
      <c r="BJ83" s="278"/>
      <c r="BK83" s="278"/>
      <c r="BL83" s="278"/>
      <c r="BM83" s="278"/>
      <c r="BN83" s="278"/>
      <c r="BO83" s="278"/>
      <c r="BP83" s="278"/>
    </row>
    <row r="84" customFormat="false" ht="19.5" hidden="false" customHeight="true" outlineLevel="0" collapsed="false">
      <c r="A84" s="272"/>
      <c r="B84" s="266" t="s">
        <v>862</v>
      </c>
      <c r="C84" s="266" t="n">
        <f aca="false">COUNTIF(C52:C69,"CS1")</f>
        <v>0</v>
      </c>
      <c r="D84" s="266" t="n">
        <f aca="false">COUNTIF(D2:D69,"CS1")</f>
        <v>0</v>
      </c>
      <c r="E84" s="266" t="n">
        <f aca="false">COUNTIF(E2:E69,"CS1")</f>
        <v>0</v>
      </c>
      <c r="F84" s="266" t="n">
        <f aca="false">COUNTIF(F52:F69,"CS1")</f>
        <v>0</v>
      </c>
      <c r="G84" s="266" t="n">
        <f aca="false">COUNTIF(G52:G69,"CS1")</f>
        <v>0</v>
      </c>
      <c r="H84" s="266" t="n">
        <f aca="false">COUNTIF(H52:H69,"CS1")</f>
        <v>0</v>
      </c>
      <c r="I84" s="266" t="n">
        <f aca="false">COUNTIF(I52:I69,"CS1")</f>
        <v>0</v>
      </c>
      <c r="J84" s="266" t="n">
        <f aca="false">COUNTIF(J52:J69,"CS1")</f>
        <v>0</v>
      </c>
      <c r="K84" s="266" t="n">
        <f aca="false">COUNTIF(K52:K69,"CS1")</f>
        <v>0</v>
      </c>
      <c r="L84" s="266" t="n">
        <f aca="false">COUNTIF(L52:L69,"CS1")</f>
        <v>0</v>
      </c>
      <c r="M84" s="266" t="n">
        <f aca="false">COUNTIF(M52:M69,"CS1")</f>
        <v>0</v>
      </c>
      <c r="N84" s="266" t="n">
        <f aca="false">COUNTIF(N52:N69,"CS1")</f>
        <v>0</v>
      </c>
      <c r="O84" s="266" t="n">
        <f aca="false">COUNTIF(O52:O69,"CS1")</f>
        <v>0</v>
      </c>
      <c r="P84" s="266" t="n">
        <f aca="false">COUNTIF(P52:P69,"CS1")</f>
        <v>0</v>
      </c>
      <c r="Q84" s="266" t="n">
        <f aca="false">COUNTIF(Q52:Q69,"CS1")</f>
        <v>0</v>
      </c>
      <c r="R84" s="266" t="n">
        <f aca="false">COUNTIF(R52:R69,"CS1")</f>
        <v>0</v>
      </c>
      <c r="S84" s="266" t="n">
        <f aca="false">COUNTIF(S52:S69,"CS1")</f>
        <v>0</v>
      </c>
      <c r="T84" s="266" t="n">
        <f aca="false">COUNTIF(T52:T69,"CS1")</f>
        <v>0</v>
      </c>
      <c r="U84" s="266" t="n">
        <f aca="false">COUNTIF(U52:U69,"CS1")</f>
        <v>0</v>
      </c>
      <c r="V84" s="266" t="n">
        <f aca="false">COUNTIF(V52:V69,"CS1")</f>
        <v>0</v>
      </c>
      <c r="W84" s="266" t="n">
        <f aca="false">COUNTIF(W52:W69,"CS1")</f>
        <v>0</v>
      </c>
      <c r="X84" s="266" t="n">
        <f aca="false">COUNTIF(X52:X69,"CS1")</f>
        <v>0</v>
      </c>
      <c r="Y84" s="266" t="n">
        <f aca="false">COUNTIF(Y52:Y69,"CS1")</f>
        <v>0</v>
      </c>
      <c r="Z84" s="266" t="n">
        <f aca="false">COUNTIF(Z52:Z69,"CS1")</f>
        <v>0</v>
      </c>
      <c r="AA84" s="266" t="n">
        <f aca="false">COUNTIF(AA52:AA69,"CS1")</f>
        <v>0</v>
      </c>
      <c r="AB84" s="266" t="n">
        <f aca="false">COUNTIF(AB52:AB69,"CS1")</f>
        <v>0</v>
      </c>
      <c r="AC84" s="266" t="n">
        <f aca="false">COUNTIF(AC52:AC69,"CS1")</f>
        <v>0</v>
      </c>
      <c r="AD84" s="266" t="n">
        <f aca="false">COUNTIF(AD52:AD69,"CS1")</f>
        <v>0</v>
      </c>
      <c r="AE84" s="266" t="n">
        <f aca="false">COUNTIF(AE52:AE69,"CS1")</f>
        <v>0</v>
      </c>
      <c r="AF84" s="266" t="n">
        <f aca="false">COUNTIF(AF52:AF69,"CS1")</f>
        <v>0</v>
      </c>
      <c r="AG84" s="266" t="n">
        <f aca="false">COUNTIF(AG52:AG69,"CS1")</f>
        <v>0</v>
      </c>
      <c r="AH84" s="272"/>
      <c r="AI84" s="272"/>
      <c r="AJ84" s="272"/>
      <c r="AK84" s="272"/>
      <c r="AL84" s="278"/>
      <c r="AM84" s="278"/>
      <c r="AN84" s="278"/>
      <c r="AO84" s="278"/>
      <c r="AP84" s="278"/>
      <c r="AQ84" s="278"/>
      <c r="AR84" s="278"/>
      <c r="AS84" s="278"/>
      <c r="AT84" s="278"/>
      <c r="AU84" s="278"/>
      <c r="AV84" s="278"/>
      <c r="AW84" s="278"/>
      <c r="AX84" s="278"/>
      <c r="AY84" s="278"/>
      <c r="AZ84" s="278"/>
      <c r="BA84" s="278"/>
      <c r="BB84" s="278"/>
      <c r="BC84" s="278"/>
      <c r="BD84" s="278"/>
      <c r="BE84" s="278"/>
      <c r="BF84" s="278"/>
      <c r="BG84" s="278"/>
      <c r="BH84" s="278"/>
      <c r="BI84" s="278"/>
      <c r="BJ84" s="278"/>
      <c r="BK84" s="278"/>
      <c r="BL84" s="278"/>
      <c r="BM84" s="278"/>
      <c r="BN84" s="278"/>
      <c r="BO84" s="278"/>
      <c r="BP84" s="278"/>
    </row>
    <row r="85" customFormat="false" ht="19.5" hidden="false" customHeight="true" outlineLevel="0" collapsed="false">
      <c r="A85" s="272"/>
      <c r="B85" s="266" t="s">
        <v>863</v>
      </c>
      <c r="C85" s="266" t="n">
        <f aca="false">COUNTIF(C52:C69,"AE")</f>
        <v>0</v>
      </c>
      <c r="D85" s="266" t="n">
        <f aca="false">COUNTIF(D2:D69,"AE")</f>
        <v>0</v>
      </c>
      <c r="E85" s="266" t="n">
        <f aca="false">COUNTIF(E2:E69,"AE")</f>
        <v>0</v>
      </c>
      <c r="F85" s="266" t="n">
        <f aca="false">COUNTIF(F52:F69,"AE")</f>
        <v>0</v>
      </c>
      <c r="G85" s="266" t="n">
        <f aca="false">COUNTIF(G52:G69,"AE")</f>
        <v>0</v>
      </c>
      <c r="H85" s="266" t="n">
        <f aca="false">COUNTIF(H52:H69,"AE")</f>
        <v>0</v>
      </c>
      <c r="I85" s="266" t="n">
        <f aca="false">COUNTIF(I52:I69,"AE")</f>
        <v>0</v>
      </c>
      <c r="J85" s="266" t="n">
        <f aca="false">COUNTIF(J52:J69,"AE")</f>
        <v>0</v>
      </c>
      <c r="K85" s="266" t="n">
        <f aca="false">COUNTIF(K52:K69,"AE")</f>
        <v>0</v>
      </c>
      <c r="L85" s="266" t="n">
        <f aca="false">COUNTIF(L52:L69,"AE")</f>
        <v>0</v>
      </c>
      <c r="M85" s="266" t="n">
        <f aca="false">COUNTIF(M52:M69,"AE")</f>
        <v>0</v>
      </c>
      <c r="N85" s="266" t="n">
        <f aca="false">COUNTIF(N52:N69,"AE")</f>
        <v>0</v>
      </c>
      <c r="O85" s="266" t="n">
        <f aca="false">COUNTIF(O52:O69,"AE")</f>
        <v>0</v>
      </c>
      <c r="P85" s="266" t="n">
        <f aca="false">COUNTIF(P52:P69,"AE")</f>
        <v>0</v>
      </c>
      <c r="Q85" s="266" t="n">
        <f aca="false">COUNTIF(Q52:Q69,"AE")</f>
        <v>0</v>
      </c>
      <c r="R85" s="266" t="n">
        <f aca="false">COUNTIF(R52:R69,"AE")</f>
        <v>0</v>
      </c>
      <c r="S85" s="266" t="n">
        <f aca="false">COUNTIF(S52:S69,"AE")</f>
        <v>0</v>
      </c>
      <c r="T85" s="266" t="n">
        <f aca="false">COUNTIF(T52:T69,"AE")</f>
        <v>0</v>
      </c>
      <c r="U85" s="266" t="n">
        <f aca="false">COUNTIF(U52:U69,"AE")</f>
        <v>0</v>
      </c>
      <c r="V85" s="266" t="n">
        <f aca="false">COUNTIF(V52:V69,"AE")</f>
        <v>0</v>
      </c>
      <c r="W85" s="266" t="n">
        <f aca="false">COUNTIF(W52:W69,"AE")</f>
        <v>0</v>
      </c>
      <c r="X85" s="266" t="n">
        <f aca="false">COUNTIF(X52:X69,"AE")</f>
        <v>0</v>
      </c>
      <c r="Y85" s="266" t="n">
        <f aca="false">COUNTIF(Y52:Y69,"AE")</f>
        <v>0</v>
      </c>
      <c r="Z85" s="266" t="n">
        <f aca="false">COUNTIF(Z52:Z69,"AE")</f>
        <v>0</v>
      </c>
      <c r="AA85" s="266" t="n">
        <f aca="false">COUNTIF(AA52:AA69,"AE")</f>
        <v>0</v>
      </c>
      <c r="AB85" s="266" t="n">
        <f aca="false">COUNTIF(AB52:AB69,"AE")</f>
        <v>0</v>
      </c>
      <c r="AC85" s="266" t="n">
        <f aca="false">COUNTIF(AC52:AC69,"AE")</f>
        <v>0</v>
      </c>
      <c r="AD85" s="266" t="n">
        <f aca="false">COUNTIF(AD52:AD69,"AE")</f>
        <v>0</v>
      </c>
      <c r="AE85" s="266" t="n">
        <f aca="false">COUNTIF(AE52:AE69,"AE")</f>
        <v>0</v>
      </c>
      <c r="AF85" s="266" t="n">
        <f aca="false">COUNTIF(AF52:AF69,"AE")</f>
        <v>0</v>
      </c>
      <c r="AG85" s="266" t="n">
        <f aca="false">COUNTIF(AG52:AG69,"AE")</f>
        <v>0</v>
      </c>
      <c r="AH85" s="272"/>
      <c r="AI85" s="272"/>
      <c r="AJ85" s="272"/>
      <c r="AK85" s="272"/>
      <c r="AL85" s="278"/>
      <c r="AM85" s="278"/>
      <c r="AN85" s="278"/>
      <c r="AO85" s="278"/>
      <c r="AP85" s="278"/>
      <c r="AQ85" s="278"/>
      <c r="AR85" s="278"/>
      <c r="AS85" s="278"/>
      <c r="AT85" s="278"/>
      <c r="AU85" s="278"/>
      <c r="AV85" s="278"/>
      <c r="AW85" s="278"/>
      <c r="AX85" s="278"/>
      <c r="AY85" s="278"/>
      <c r="AZ85" s="278"/>
      <c r="BA85" s="278"/>
      <c r="BB85" s="278"/>
      <c r="BC85" s="278"/>
      <c r="BD85" s="278"/>
      <c r="BE85" s="278"/>
      <c r="BF85" s="278"/>
      <c r="BG85" s="278"/>
      <c r="BH85" s="278"/>
      <c r="BI85" s="278"/>
      <c r="BJ85" s="278"/>
      <c r="BK85" s="278"/>
      <c r="BL85" s="278"/>
      <c r="BM85" s="278"/>
      <c r="BN85" s="278"/>
      <c r="BO85" s="278"/>
      <c r="BP85" s="278"/>
    </row>
    <row r="86" customFormat="false" ht="19.5" hidden="false" customHeight="true" outlineLevel="0" collapsed="false">
      <c r="A86" s="272"/>
      <c r="B86" s="266" t="s">
        <v>864</v>
      </c>
      <c r="C86" s="266" t="n">
        <f aca="false">SUM(C82:C85)</f>
        <v>0</v>
      </c>
      <c r="D86" s="266" t="n">
        <f aca="false">SUM(D82:D85)</f>
        <v>0</v>
      </c>
      <c r="E86" s="266" t="n">
        <f aca="false">SUM(E82:E85)</f>
        <v>0</v>
      </c>
      <c r="F86" s="266" t="n">
        <f aca="false">SUM(F82:F85)</f>
        <v>0</v>
      </c>
      <c r="G86" s="266" t="n">
        <f aca="false">SUM(G82:G85)</f>
        <v>0</v>
      </c>
      <c r="H86" s="266" t="n">
        <f aca="false">SUM(H82:H85)</f>
        <v>0</v>
      </c>
      <c r="I86" s="266" t="n">
        <f aca="false">SUM(I82:I85)</f>
        <v>0</v>
      </c>
      <c r="J86" s="266" t="n">
        <f aca="false">SUM(J82:J85)</f>
        <v>0</v>
      </c>
      <c r="K86" s="266" t="n">
        <f aca="false">SUM(K82:K85)</f>
        <v>0</v>
      </c>
      <c r="L86" s="266" t="n">
        <f aca="false">SUM(L82:L85)</f>
        <v>0</v>
      </c>
      <c r="M86" s="266" t="n">
        <f aca="false">SUM(M82:M85)</f>
        <v>0</v>
      </c>
      <c r="N86" s="266" t="n">
        <f aca="false">SUM(N82:N85)</f>
        <v>0</v>
      </c>
      <c r="O86" s="266" t="n">
        <f aca="false">SUM(O82:O85)</f>
        <v>0</v>
      </c>
      <c r="P86" s="266" t="n">
        <f aca="false">SUM(P82:P85)</f>
        <v>0</v>
      </c>
      <c r="Q86" s="266" t="n">
        <f aca="false">SUM(Q82:Q85)</f>
        <v>0</v>
      </c>
      <c r="R86" s="266" t="n">
        <f aca="false">SUM(R82:R85)</f>
        <v>0</v>
      </c>
      <c r="S86" s="266" t="n">
        <f aca="false">SUM(S82:S85)</f>
        <v>0</v>
      </c>
      <c r="T86" s="266" t="n">
        <f aca="false">SUM(T82:T85)</f>
        <v>0</v>
      </c>
      <c r="U86" s="266" t="n">
        <f aca="false">SUM(U82:U85)</f>
        <v>0</v>
      </c>
      <c r="V86" s="266" t="n">
        <f aca="false">SUM(V82:V85)</f>
        <v>0</v>
      </c>
      <c r="W86" s="266" t="n">
        <f aca="false">SUM(W82:W85)</f>
        <v>0</v>
      </c>
      <c r="X86" s="266" t="n">
        <f aca="false">SUM(X82:X85)</f>
        <v>0</v>
      </c>
      <c r="Y86" s="266" t="n">
        <f aca="false">SUM(Y82:Y85)</f>
        <v>0</v>
      </c>
      <c r="Z86" s="266" t="n">
        <f aca="false">SUM(Z82:Z85)</f>
        <v>0</v>
      </c>
      <c r="AA86" s="266" t="n">
        <f aca="false">SUM(AA82:AA85)</f>
        <v>0</v>
      </c>
      <c r="AB86" s="266" t="n">
        <f aca="false">SUM(AB82:AB85)</f>
        <v>0</v>
      </c>
      <c r="AC86" s="266" t="n">
        <f aca="false">SUM(AC82:AC85)</f>
        <v>0</v>
      </c>
      <c r="AD86" s="266" t="n">
        <f aca="false">SUM(AD82:AD85)</f>
        <v>0</v>
      </c>
      <c r="AE86" s="266" t="n">
        <f aca="false">SUM(AE82:AE85)</f>
        <v>0</v>
      </c>
      <c r="AF86" s="266" t="n">
        <f aca="false">SUM(AF82:AF85)</f>
        <v>0</v>
      </c>
      <c r="AG86" s="266" t="n">
        <f aca="false">SUM(AG82:AG85)</f>
        <v>0</v>
      </c>
      <c r="AH86" s="272"/>
      <c r="AI86" s="272"/>
      <c r="AJ86" s="272"/>
      <c r="AK86" s="272"/>
      <c r="AL86" s="278"/>
      <c r="AM86" s="278"/>
      <c r="AN86" s="278"/>
      <c r="AO86" s="278"/>
      <c r="AP86" s="278"/>
      <c r="AQ86" s="278"/>
      <c r="AR86" s="278"/>
      <c r="AS86" s="278"/>
      <c r="AT86" s="278"/>
      <c r="AU86" s="278"/>
      <c r="AV86" s="278"/>
      <c r="AW86" s="278"/>
      <c r="AX86" s="278"/>
      <c r="AY86" s="278"/>
      <c r="AZ86" s="278"/>
      <c r="BA86" s="278"/>
      <c r="BB86" s="278"/>
      <c r="BC86" s="278"/>
      <c r="BD86" s="278"/>
      <c r="BE86" s="278"/>
      <c r="BF86" s="278"/>
      <c r="BG86" s="278"/>
      <c r="BH86" s="278"/>
      <c r="BI86" s="278"/>
      <c r="BJ86" s="278"/>
      <c r="BK86" s="278"/>
      <c r="BL86" s="278"/>
      <c r="BM86" s="278"/>
      <c r="BN86" s="278"/>
      <c r="BO86" s="278"/>
      <c r="BP86" s="278"/>
    </row>
    <row r="87" customFormat="false" ht="19.5" hidden="false" customHeight="true" outlineLevel="0" collapsed="false">
      <c r="A87" s="272"/>
      <c r="B87" s="266"/>
      <c r="C87" s="266"/>
      <c r="D87" s="266"/>
      <c r="E87" s="266"/>
      <c r="F87" s="266"/>
      <c r="G87" s="266"/>
      <c r="H87" s="266"/>
      <c r="I87" s="266"/>
      <c r="J87" s="266"/>
      <c r="K87" s="266"/>
      <c r="L87" s="266"/>
      <c r="M87" s="266"/>
      <c r="N87" s="266"/>
      <c r="O87" s="266"/>
      <c r="P87" s="266"/>
      <c r="Q87" s="266"/>
      <c r="R87" s="266"/>
      <c r="S87" s="266"/>
      <c r="T87" s="266"/>
      <c r="U87" s="266"/>
      <c r="V87" s="266"/>
      <c r="W87" s="266"/>
      <c r="X87" s="266"/>
      <c r="Y87" s="266"/>
      <c r="Z87" s="266"/>
      <c r="AA87" s="266"/>
      <c r="AB87" s="266"/>
      <c r="AC87" s="266"/>
      <c r="AD87" s="266"/>
      <c r="AE87" s="266"/>
      <c r="AF87" s="266"/>
      <c r="AG87" s="266"/>
      <c r="AH87" s="272"/>
      <c r="AI87" s="272"/>
      <c r="AJ87" s="272"/>
      <c r="AK87" s="272"/>
      <c r="AL87" s="278"/>
      <c r="AM87" s="278"/>
      <c r="AN87" s="278"/>
      <c r="AO87" s="278"/>
      <c r="AP87" s="278"/>
      <c r="AQ87" s="278"/>
      <c r="AR87" s="278"/>
      <c r="AS87" s="278"/>
      <c r="AT87" s="278"/>
      <c r="AU87" s="278"/>
      <c r="AV87" s="278"/>
      <c r="AW87" s="278"/>
      <c r="AX87" s="278"/>
      <c r="AY87" s="278"/>
      <c r="AZ87" s="278"/>
      <c r="BA87" s="278"/>
      <c r="BB87" s="278"/>
      <c r="BC87" s="278"/>
      <c r="BD87" s="278"/>
      <c r="BE87" s="278"/>
      <c r="BF87" s="278"/>
      <c r="BG87" s="278"/>
      <c r="BH87" s="278"/>
      <c r="BI87" s="278"/>
      <c r="BJ87" s="278"/>
      <c r="BK87" s="278"/>
      <c r="BL87" s="278"/>
      <c r="BM87" s="278"/>
      <c r="BN87" s="278"/>
      <c r="BO87" s="278"/>
      <c r="BP87" s="278"/>
    </row>
    <row r="88" customFormat="false" ht="19.5" hidden="false" customHeight="true" outlineLevel="0" collapsed="false">
      <c r="A88" s="272"/>
      <c r="B88" s="266"/>
      <c r="C88" s="266"/>
      <c r="D88" s="266"/>
      <c r="E88" s="266"/>
      <c r="F88" s="266"/>
      <c r="G88" s="266"/>
      <c r="H88" s="266"/>
      <c r="I88" s="266"/>
      <c r="J88" s="266"/>
      <c r="K88" s="266"/>
      <c r="L88" s="266"/>
      <c r="M88" s="266"/>
      <c r="N88" s="266"/>
      <c r="O88" s="266"/>
      <c r="P88" s="266"/>
      <c r="Q88" s="266"/>
      <c r="R88" s="266"/>
      <c r="S88" s="266"/>
      <c r="T88" s="266"/>
      <c r="U88" s="266"/>
      <c r="V88" s="266"/>
      <c r="W88" s="266"/>
      <c r="X88" s="266"/>
      <c r="Y88" s="266"/>
      <c r="Z88" s="266"/>
      <c r="AA88" s="266"/>
      <c r="AB88" s="266"/>
      <c r="AC88" s="266"/>
      <c r="AD88" s="266"/>
      <c r="AE88" s="266"/>
      <c r="AF88" s="266"/>
      <c r="AG88" s="266"/>
      <c r="AH88" s="272"/>
      <c r="AI88" s="272"/>
      <c r="AJ88" s="272"/>
      <c r="AK88" s="272"/>
      <c r="AL88" s="278"/>
      <c r="AM88" s="278"/>
      <c r="AN88" s="278"/>
      <c r="AO88" s="278"/>
      <c r="AP88" s="278"/>
      <c r="AQ88" s="278"/>
      <c r="AR88" s="278"/>
      <c r="AS88" s="278"/>
      <c r="AT88" s="278"/>
      <c r="AU88" s="278"/>
      <c r="AV88" s="278"/>
      <c r="AW88" s="278"/>
      <c r="AX88" s="278"/>
      <c r="AY88" s="278"/>
      <c r="AZ88" s="278"/>
      <c r="BA88" s="278"/>
      <c r="BB88" s="278"/>
      <c r="BC88" s="278"/>
      <c r="BD88" s="278"/>
      <c r="BE88" s="278"/>
      <c r="BF88" s="278"/>
      <c r="BG88" s="278"/>
      <c r="BH88" s="278"/>
      <c r="BI88" s="278"/>
      <c r="BJ88" s="278"/>
      <c r="BK88" s="278"/>
      <c r="BL88" s="278"/>
      <c r="BM88" s="278"/>
      <c r="BN88" s="278"/>
      <c r="BO88" s="278"/>
      <c r="BP88" s="278"/>
    </row>
    <row r="89" customFormat="false" ht="19.5" hidden="false" customHeight="true" outlineLevel="0" collapsed="false">
      <c r="A89" s="272"/>
      <c r="B89" s="266"/>
      <c r="C89" s="266"/>
      <c r="D89" s="266"/>
      <c r="E89" s="266"/>
      <c r="F89" s="266"/>
      <c r="G89" s="266"/>
      <c r="H89" s="266"/>
      <c r="I89" s="266"/>
      <c r="J89" s="266"/>
      <c r="K89" s="266"/>
      <c r="L89" s="266"/>
      <c r="M89" s="266"/>
      <c r="N89" s="266"/>
      <c r="O89" s="266"/>
      <c r="P89" s="266"/>
      <c r="Q89" s="266"/>
      <c r="R89" s="266"/>
      <c r="S89" s="266"/>
      <c r="T89" s="266"/>
      <c r="U89" s="266"/>
      <c r="V89" s="266"/>
      <c r="W89" s="266"/>
      <c r="X89" s="266"/>
      <c r="Y89" s="266"/>
      <c r="Z89" s="266"/>
      <c r="AA89" s="266"/>
      <c r="AB89" s="266"/>
      <c r="AC89" s="266"/>
      <c r="AD89" s="266"/>
      <c r="AE89" s="266"/>
      <c r="AF89" s="266"/>
      <c r="AG89" s="266"/>
      <c r="AH89" s="272"/>
      <c r="AI89" s="272"/>
      <c r="AJ89" s="272"/>
      <c r="AK89" s="272"/>
      <c r="AL89" s="278"/>
      <c r="AM89" s="278"/>
      <c r="AN89" s="278"/>
      <c r="AO89" s="278"/>
      <c r="AP89" s="278"/>
      <c r="AQ89" s="278"/>
      <c r="AR89" s="278"/>
      <c r="AS89" s="278"/>
      <c r="AT89" s="278"/>
      <c r="AU89" s="278"/>
      <c r="AV89" s="278"/>
      <c r="AW89" s="278"/>
      <c r="AX89" s="278"/>
      <c r="AY89" s="278"/>
      <c r="AZ89" s="278"/>
      <c r="BA89" s="278"/>
      <c r="BB89" s="278"/>
      <c r="BC89" s="278"/>
      <c r="BD89" s="278"/>
      <c r="BE89" s="278"/>
      <c r="BF89" s="278"/>
      <c r="BG89" s="278"/>
      <c r="BH89" s="278"/>
      <c r="BI89" s="278"/>
      <c r="BJ89" s="278"/>
      <c r="BK89" s="278"/>
      <c r="BL89" s="278"/>
      <c r="BM89" s="278"/>
      <c r="BN89" s="278"/>
      <c r="BO89" s="278"/>
      <c r="BP89" s="278"/>
    </row>
    <row r="90" customFormat="false" ht="19.5" hidden="false" customHeight="true" outlineLevel="0" collapsed="false">
      <c r="A90" s="272"/>
      <c r="B90" s="266"/>
      <c r="C90" s="266"/>
      <c r="D90" s="266"/>
      <c r="E90" s="266"/>
      <c r="F90" s="266"/>
      <c r="G90" s="266"/>
      <c r="H90" s="266"/>
      <c r="I90" s="266"/>
      <c r="J90" s="266"/>
      <c r="K90" s="266"/>
      <c r="L90" s="266"/>
      <c r="M90" s="266"/>
      <c r="N90" s="266"/>
      <c r="O90" s="266"/>
      <c r="P90" s="266"/>
      <c r="Q90" s="266"/>
      <c r="R90" s="266"/>
      <c r="S90" s="266"/>
      <c r="T90" s="266"/>
      <c r="U90" s="266"/>
      <c r="V90" s="266"/>
      <c r="W90" s="266"/>
      <c r="X90" s="266"/>
      <c r="Y90" s="266"/>
      <c r="Z90" s="266"/>
      <c r="AA90" s="266"/>
      <c r="AB90" s="266"/>
      <c r="AC90" s="266"/>
      <c r="AD90" s="266"/>
      <c r="AE90" s="266"/>
      <c r="AF90" s="266"/>
      <c r="AG90" s="266"/>
      <c r="AH90" s="272"/>
      <c r="AI90" s="272"/>
      <c r="AJ90" s="272"/>
      <c r="AK90" s="272"/>
      <c r="AL90" s="278"/>
      <c r="AM90" s="278"/>
      <c r="AN90" s="278"/>
      <c r="AO90" s="278"/>
      <c r="AP90" s="278"/>
      <c r="AQ90" s="278"/>
      <c r="AR90" s="278"/>
      <c r="AS90" s="278"/>
      <c r="AT90" s="278"/>
      <c r="AU90" s="278"/>
      <c r="AV90" s="278"/>
      <c r="AW90" s="278"/>
      <c r="AX90" s="278"/>
      <c r="AY90" s="278"/>
      <c r="AZ90" s="278"/>
      <c r="BA90" s="278"/>
      <c r="BB90" s="278"/>
      <c r="BC90" s="278"/>
      <c r="BD90" s="278"/>
      <c r="BE90" s="278"/>
      <c r="BF90" s="278"/>
      <c r="BG90" s="278"/>
      <c r="BH90" s="278"/>
      <c r="BI90" s="278"/>
      <c r="BJ90" s="278"/>
      <c r="BK90" s="278"/>
      <c r="BL90" s="278"/>
      <c r="BM90" s="278"/>
      <c r="BN90" s="278"/>
      <c r="BO90" s="278"/>
      <c r="BP90" s="278"/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3">
    <mergeCell ref="C1:S1"/>
    <mergeCell ref="AQ3:AQ4"/>
    <mergeCell ref="AR3:AR4"/>
  </mergeCells>
  <conditionalFormatting sqref="G24">
    <cfRule type="expression" priority="2" aboveAverage="0" equalAverage="0" bottom="0" percent="0" rank="0" text="" dxfId="21">
      <formula>WEEKDAY(G$3,2)&gt;5</formula>
    </cfRule>
  </conditionalFormatting>
  <conditionalFormatting sqref="Q21">
    <cfRule type="expression" priority="3" aboveAverage="0" equalAverage="0" bottom="0" percent="0" rank="0" text="" dxfId="21">
      <formula>WEEKDAY(T$3,2)&gt;5</formula>
    </cfRule>
    <cfRule type="expression" priority="4" aboveAverage="0" equalAverage="0" bottom="0" percent="0" rank="0" text="" dxfId="21">
      <formula>WEEKDAY(U$3,2)&gt;5</formula>
    </cfRule>
  </conditionalFormatting>
  <conditionalFormatting sqref="D25">
    <cfRule type="expression" priority="5" aboveAverage="0" equalAverage="0" bottom="0" percent="0" rank="0" text="" dxfId="21">
      <formula>WEEKDAY(G$3,2)&gt;5</formula>
    </cfRule>
    <cfRule type="expression" priority="6" aboveAverage="0" equalAverage="0" bottom="0" percent="0" rank="0" text="" dxfId="21">
      <formula>WEEKDAY(F$3,2)&gt;5</formula>
    </cfRule>
  </conditionalFormatting>
  <conditionalFormatting sqref="D9 H21 E22 T24 G25:H25 M25 R26 F28 H29 G32">
    <cfRule type="expression" priority="7" aboveAverage="0" equalAverage="0" bottom="0" percent="0" rank="0" text="" dxfId="21">
      <formula>WEEKDAY(E$3,2)&gt;5</formula>
    </cfRule>
  </conditionalFormatting>
  <conditionalFormatting sqref="C5:C7 D5 E5:E9 F5:F12 G5:G11 I5:K5 L5:L6 M5:M9 N5:N7 O5:P6 Q5:R5 V5 W5:W7 Z5 AB5:AB6 AC5:AD5 H6:H25 T6:T7 J7:J8 R7:R11 V7:V12 X7:Z7 AF7:AF8 AG7:AG10 O8 S8:S9 U8:U9 AD8:AE8 C9:C24 D9 N9 Q9:Q11 W9 Z9 I10:I24 J10:J12 T10:T12 Y10:Y23 AA10 AB10:AB11 AC10:AD12 AE10 AF10:AF11 D11:D12 E11:E19 K11:K20 L11:L12 M11 N11:N12 O11:O22 P11 S11 U11:U20 V22:W23 Z11 AA12:AA20 AE12:AE20 AG12:AG19 G13:G19 M13:M19 P14:P19 Q22:Q24 R22:R29 S14:S17 Z13:Z20 AD14:AD20 L17 S19:S22 D20:D27 F20:F24 L20:L25 V20:V21 AB20:AB22 E21:E23 M22:M25 N22 P21:P22 T21:T22 AF21:AG21 AG22:AG23 G22:G27 J22:K22 U22:U24 AD22:AE22 X22 AA23 AC23:AC24 J24:J25 K24 N24 O24:O27 P24:P25 S24:T25 X24 Z24:Z26 AB24 AD24 AE25:AE27 C26:C29 E26 F26:F28 I26 K26 N26 V26:V29 W26 X26:X27 AC26:AC32 AD26 L27:M27 Q27 S27:S29 T27:U27 AF27:AF31 E28:E29 H28:J29 W28:W32 Y28 AB28 AD28 AG28 D29:D31 G29 K29:L29 M29:M31 N29:O29 P29:P31 AA29 AE29 Q30:Q31 AD30 C31 F31 G31:G32 K31:K32 L31 N31:O31 R31:R35 S31 U31 V31:V32 X31 AB31 AE31 I32 J32:J33 T32 C33 E33:E51 F33 H33 L33 M33:M34 S33 X33:X34 AD33 N34:N37 O34:O35 AE34 AF34:AF36 F35:F36 G35:G37 J35:J39 P35 S35:S36 T35:T37 U35:V35 H36:I36 K36:K39 L36:L52 M36:M39 W36:W52 AC36:AE36 AG36 C37:C71 O37:P37 R37:R52 X37:X57 AB37:AB39 H38:H40 I38:I39 S38:S40 Z38 AC38:AC54 AE38 D39 F39:F40 G39 O39:O50 T39:T40 U39 V39:V40 AA39 AD39:AD54 Q40 Y40 AE40:AE41 AF40 K41:K52 M41:M51 Z41:Z51 AB41:AB54 Q42:Q51 AA42:AA51 H42:H54 B43:B49 D43:D50 F43:G50 I43:J50 N43:N50 P43:P50 S43:V50 Y43:Y50 AE43:AG50 S52 AE52 E53:E54 M53:M57 Y53:Y57 Z53:Z71 AA53:AA54 AF53:AF54 L54:L58 Q54:Q57 W54:W57 AG54 K55:K57 R55:R57 AE55:AE58 D56:J57 N56:P57 S56 T56:V57 AA56:AA64 AB56:AD71 AF56:AG56 F60 H60:H62 L60 R61 K62 L63:L64 T63 Y63 AE63:AE65 H64:H67 AF64:AG64 S65 Y65 K66 AA66:AA67 Q67:R67 Y67 AE67:AE71 L69:L71 D70:K71 M70:Y71 AA70:AA71 AF70:AG71 W11:X21 P13:S13 Q14:R21 M21:N21">
    <cfRule type="cellIs" priority="8" operator="equal" aboveAverage="0" equalAverage="0" bottom="0" percent="0" rank="0" text="" dxfId="23">
      <formula>"B"</formula>
    </cfRule>
    <cfRule type="cellIs" priority="9" operator="equal" aboveAverage="0" equalAverage="0" bottom="0" percent="0" rank="0" text="" dxfId="23">
      <formula>"AL"</formula>
    </cfRule>
    <cfRule type="cellIs" priority="10" operator="equal" aboveAverage="0" equalAverage="0" bottom="0" percent="0" rank="0" text="" dxfId="24">
      <formula>"DM"</formula>
    </cfRule>
    <cfRule type="cellIs" priority="11" operator="equal" aboveAverage="0" equalAverage="0" bottom="0" percent="0" rank="0" text="" dxfId="25">
      <formula>"CS1"</formula>
    </cfRule>
    <cfRule type="cellIs" priority="12" operator="equal" aboveAverage="0" equalAverage="0" bottom="0" percent="0" rank="0" text="" dxfId="26">
      <formula>"CS2"</formula>
    </cfRule>
    <cfRule type="cellIs" priority="13" operator="equal" aboveAverage="0" equalAverage="0" bottom="0" percent="0" rank="0" text="" dxfId="27">
      <formula>"SB1"</formula>
    </cfRule>
    <cfRule type="cellIs" priority="14" operator="equal" aboveAverage="0" equalAverage="0" bottom="0" percent="0" rank="0" text="" dxfId="28">
      <formula>"SB2"</formula>
    </cfRule>
    <cfRule type="cellIs" priority="15" operator="equal" aboveAverage="0" equalAverage="0" bottom="0" percent="0" rank="0" text="" dxfId="29">
      <formula>"AE"</formula>
    </cfRule>
    <cfRule type="cellIs" priority="16" operator="equal" aboveAverage="0" equalAverage="0" bottom="0" percent="0" rank="0" text="" dxfId="23">
      <formula>"DB"</formula>
    </cfRule>
    <cfRule type="containsText" priority="17" operator="containsText" aboveAverage="0" equalAverage="0" bottom="0" percent="0" rank="0" text="$AM" dxfId="30">
      <formula>NOT(ISERROR(SEARCH("$AM",B5)))</formula>
    </cfRule>
    <cfRule type="containsText" priority="18" operator="containsText" aboveAverage="0" equalAverage="0" bottom="0" percent="0" rank="0" text="$PM" dxfId="31">
      <formula>NOT(ISERROR(SEARCH("$PM",B5)))</formula>
    </cfRule>
    <cfRule type="containsText" priority="19" operator="containsText" aboveAverage="0" equalAverage="0" bottom="0" percent="0" rank="0" text="$L" dxfId="32">
      <formula>NOT(ISERROR(SEARCH("$L",B5)))</formula>
    </cfRule>
    <cfRule type="containsText" priority="20" operator="containsText" aboveAverage="0" equalAverage="0" bottom="0" percent="0" rank="0" text="$BTP" dxfId="33">
      <formula>NOT(ISERROR(SEARCH("$BTP",B5)))</formula>
    </cfRule>
    <cfRule type="containsText" priority="21" operator="containsText" aboveAverage="0" equalAverage="0" bottom="0" percent="0" rank="0" text="$M" dxfId="34">
      <formula>NOT(ISERROR(SEARCH("$M",B5)))</formula>
    </cfRule>
    <cfRule type="containsText" priority="22" operator="containsText" aboveAverage="0" equalAverage="0" bottom="0" percent="0" rank="0" text="$N" dxfId="35">
      <formula>NOT(ISERROR(SEARCH("$N",B5)))</formula>
    </cfRule>
    <cfRule type="containsText" priority="23" operator="containsText" aboveAverage="0" equalAverage="0" bottom="0" percent="0" rank="0" text="$FC" dxfId="36">
      <formula>NOT(ISERROR(SEARCH("$FC",B5)))</formula>
    </cfRule>
    <cfRule type="containsText" priority="24" operator="containsText" aboveAverage="0" equalAverage="0" bottom="0" percent="0" rank="0" text="OAL" dxfId="37">
      <formula>NOT(ISERROR(SEARCH("OAL",B5)))</formula>
    </cfRule>
    <cfRule type="containsText" priority="25" operator="containsText" aboveAverage="0" equalAverage="0" bottom="0" percent="0" rank="0" text="S+" dxfId="38">
      <formula>NOT(ISERROR(SEARCH("S+",B5)))</formula>
    </cfRule>
    <cfRule type="containsText" priority="26" operator="containsText" aboveAverage="0" equalAverage="0" bottom="0" percent="0" rank="0" text="EX-D" dxfId="39">
      <formula>NOT(ISERROR(SEARCH("EX-D",B5)))</formula>
    </cfRule>
  </conditionalFormatting>
  <conditionalFormatting sqref="D5 E5:E9 F5:F12 G5:G11 I5:L5 M5:M9 N5:N7 O5:P6 Q5 V5 W5:W7 Z5:AA5 AB5:AB6 AC5:AD5 C6:C7 H6:H25 T6:T7 J7:J8 V7:V23 X7:Z7 AA7:AA10 AC7:AC8 AF7:AF8 AG7:AG10 O8 S8:S9 U8:U9 AB8 AD8:AE8 C9:C24 D9 N9 Q9:R11 W9 Y9:Y23 Z9 I10:I24 J10:J12 T10:T12 AB10:AB24 AC10:AD12 AE10:AE20 AF10:AF11 D11:D12 E11:E19 K11:K20 L11:L12 M11 N11:N12 O11:O20 P11 S11 U11:U20 W22:W23 Z11:Z20 AA12:AA20 AG12:AG19 G13:G19 M13:M19 P14:P19 Q14:Q24 R14:R19 S14:S17 AD14:AD20 L17 S19:S22 D20:D27 F20:F24 L20:L27 E21:E23 M22:M31 N22:O22 P21:P25 R21:R29 T21:T22 AF21:AG21 AG22:AG23 G22:G27 K22:K24 U22:U24 AA22:AA24 AC22:AC32 AD22:AE22 J22 X22 J24:J25 N24 O24:O29 S24 T24:T28 X24 Z24:Z26 AD24 E25:E26 AE25:AE29 C26 F26:F28 I26 K26 N26 V26:V32 W26 X26:X27 AA26:AA27 AD26:AD30 AF26:AF31 AG26 J27:J29 Q27:Q28 S27:S29 U27 AB27:AB29 E28:E29 H28:I29 N28:N29 P28:P31 W28:W32 AG28 C29 D29:D31 G29 K29:L29 Z29:AA29 C31 F31 G31:G32 K31:K32 L31 N31:O31 Q31 R31:R34 S31 U31 X31 AB31 AE31 I32 J32:J39 T32 C33 E33:E51 F33 H33 L33 M33:M34 S33 X33:X34 Z33 AA33:AB39 AD33:AD34 N34:N37 O34 V34:V35 Y34 AE34 AF34:AF36 F35:F36 G35:G37 P35 S35:S36 T35:T37 U35 H36:I36 K36:K39 L36:L52 M36:M39 W36:W52 AC36:AC54 AD36 AE36:AE41 AG36 C37:C57 O37:P37 V37 X37:X57 Z37:Z39 H38:H40 I38:I39 R38 S38:S40 D39 F39:F40 G39 O39:O41 T39:T40 U39 V39:V53 Y39:Y40 AD39:AD54 AG39 Q40 R40:R51 AF40 K41:K52 M41:M51 Z42:AA51 AB42:AB54 H42:H54 Q42:Q51 B43:B49 D43:D50 F43:G50 I43:J50 N43:P50 S43:U50 Y43:Y50 AE43:AG50 S52 AE52 E53:E54 M53:M57 Y53:Y57 Z53:Z71 AA53:AA54 AF53:AF54 L54:L58 Q54:Q57 W54:W57 AG54 K55:K57 R55:R57 AE55:AE58 D56:J57 N56:P57 S56 T56:V57 AA56:AA64 AB56:AD71 AF56:AG56 F60 H60:H62 L60 R61 K62 L63:L64 T63 Y63 AE63:AE65 C64 H64:H67 AF64:AG64 S65 Y65 K66 AA66:AA67 Q67:R67 Y67 AE67:AE71 L69:L71 C70:K71 M70:N71 R70:R71 V70:X71 AA70:AA71 O71:Q71 S71:U71 Y71 AF71:AG71 W11:X21 P13:S13 Z41:AB41 M21:N21">
    <cfRule type="expression" priority="27" aboveAverage="0" equalAverage="0" bottom="0" percent="0" rank="0" text="" dxfId="21">
      <formula>WEEKDAY(#REF!,2)&gt;5</formula>
    </cfRule>
  </conditionalFormatting>
  <conditionalFormatting sqref="W7:Z7 U8 G9 T10 Y10 AA10 AA12 AG12 Z13:Z17 Z19 V20 V22 X22 W26 AC26 X27 S29 AE29 AB31 AD33 S36 W37 S39 AF40 S52 Z56:Z57 S65 C9 C21:F21 R21:S21 R22:R23 C31:D31 F31:G31 R32">
    <cfRule type="expression" priority="28" aboveAverage="0" equalAverage="0" bottom="0" percent="0" rank="0" text="" dxfId="21">
      <formula>WEEKDAY(U$3,2)&gt;5</formula>
    </cfRule>
  </conditionalFormatting>
  <conditionalFormatting sqref="W7:Z7 U8 Z9 T10 Y10 AA10 AA12 AG12 Z13:Z17 Z19 V20 V22 X22 W26 AC26 X27 AE29 AB31 AD33 S36 W37 S39 AF40 U53 Z56:Z57 U58:U61 U63 U65:U74">
    <cfRule type="expression" priority="29" aboveAverage="0" equalAverage="0" bottom="0" percent="0" rank="0" text="" dxfId="21">
      <formula>WEEKDAY(X$3,2)&gt;5</formula>
    </cfRule>
  </conditionalFormatting>
  <conditionalFormatting sqref="D5 E5:E9 F5:F12 G5:G11 I5:K5 L5:L6 M5:M9 N5:N7 O5:P6 Q5 S5:S6 V5:V35 W5:W7 Y5:Z7 AA5:AA10 AB5:AB8 AC5 AD5:AD6 C6:C7 H6:H25 T6:T7 U6 X6:X8 J7:J8 K7 AC7:AC8 AF7:AF8 AG7:AG10 O8:P8 Q8:Q11 S8:S9 U8:U9 AD8:AE8 C9:C24 D9 N9 R9:R11 W9 Y22:Y51 Z14:Z20 I14:I24 J14:J19 T10:T12 AB22:AC54 AD22:AD30 AE14:AE20 AF10:AF12 D11:D12 E11:E23 K11:K20 L11:L12 M11 N11:N12 O11:O22 P11 S11 U11:U20 W22:W23 W14:Y21 AA12:AA54 AG12:AG30 G13:G19 M13:M31 P22:P25 Q22:Q24 R14:R19 S14:S17 L17 S19:S29 D20:D27 F20:F24 L20:L27 N20:N22 AF20:AF31 J21:J22 R21:R29 T21:T22 G22:G27 K22:K26 U22:U25 Z22:Z27 AE22:AE31 X22:X24 J24:J29 N24:N26 O24:O29 T24:T28 C26 E26 F26:F28 I26 Q26:Q28 W26 X26:X34 U27 E28:E29 H28:I29 N28:N29 P28:P31 W28:W32 C29 D29:D31 G29 K29:L29 Z29:Z71 T30 U30:U31 C31 F31 G31:G32 K31:K32 L31 N31 O31:O32 Q31:S31 I32 J32:J53 T32 C33 E33:E51 F33 H33 L33 M33:M34 R33:R34 S33 AD33:AD34 N34:N37 O34:O35 AE34 AF34:AF36 F35:F36 G35:G37 K35:K39 P35 S35:S40 T35:T37 U35 H36:I36 L36:L52 M36:M39 W36:W52 AD36 AE36:AE41 AG36 C37:C57 O37:P37 V37:V53 X37:X57 H38:H40 I38:I39 R38 AD38:AD54 AG38:AG39 D39 F39:F40 G39 O39:O50 T39:T40 U39 AF39:AF40 Q40 R40:R52 K41:K52 M41:M51 Q42:Q51 H42:H54 B43:B49 D43:D50 F43:G50 I43:I50 N43:N50 P43:P50 S43:U50 AE43:AG50 N52 S52 AE52 AG52 E53:E54 M53:M57 U53 Y53:Y57 AF53:AF54 L54:L58 Q54:Q57 W54:W57 AG54 J55:K57 R55:R57 AE55:AE58 D56:I57 N56:P57 S56 T56:T57 U56:U61 V56:V57 AA56:AA64 AB56:AD71 AF56:AG56 F60 H60:H62 L60 R61 K62 L63:L64 T63:U63 Y63 AE63:AE65 AG63:AG64 H64:H67 AF64 S65 U65:U74 Y65 K66 AA66:AA71 Q67:R67 Y67:Y68 AE67:AE71 L69:L71 C70:K71 M70:T71 V70:Y71 AF70:AG71 Y9:Z13 I10:J13 AB10:AE13 W11:X13 P13:S13 AB14:AD21 P14:Q21">
    <cfRule type="cellIs" priority="30" operator="equal" aboveAverage="0" equalAverage="0" bottom="0" percent="0" rank="0" text="" dxfId="23">
      <formula>"B"</formula>
    </cfRule>
    <cfRule type="cellIs" priority="31" operator="equal" aboveAverage="0" equalAverage="0" bottom="0" percent="0" rank="0" text="" dxfId="23">
      <formula>"AL"</formula>
    </cfRule>
    <cfRule type="cellIs" priority="32" operator="equal" aboveAverage="0" equalAverage="0" bottom="0" percent="0" rank="0" text="" dxfId="24">
      <formula>"DM"</formula>
    </cfRule>
    <cfRule type="cellIs" priority="33" operator="equal" aboveAverage="0" equalAverage="0" bottom="0" percent="0" rank="0" text="" dxfId="25">
      <formula>"CS1"</formula>
    </cfRule>
    <cfRule type="cellIs" priority="34" operator="equal" aboveAverage="0" equalAverage="0" bottom="0" percent="0" rank="0" text="" dxfId="26">
      <formula>"CS2"</formula>
    </cfRule>
    <cfRule type="cellIs" priority="35" operator="equal" aboveAverage="0" equalAverage="0" bottom="0" percent="0" rank="0" text="" dxfId="27">
      <formula>"SB1"</formula>
    </cfRule>
    <cfRule type="cellIs" priority="36" operator="equal" aboveAverage="0" equalAverage="0" bottom="0" percent="0" rank="0" text="" dxfId="28">
      <formula>"SB2"</formula>
    </cfRule>
    <cfRule type="cellIs" priority="37" operator="equal" aboveAverage="0" equalAverage="0" bottom="0" percent="0" rank="0" text="" dxfId="29">
      <formula>"AE"</formula>
    </cfRule>
    <cfRule type="cellIs" priority="38" operator="equal" aboveAverage="0" equalAverage="0" bottom="0" percent="0" rank="0" text="" dxfId="23">
      <formula>"DB"</formula>
    </cfRule>
    <cfRule type="containsText" priority="39" operator="containsText" aboveAverage="0" equalAverage="0" bottom="0" percent="0" rank="0" text="$AM" dxfId="30">
      <formula>NOT(ISERROR(SEARCH("$AM",B5)))</formula>
    </cfRule>
    <cfRule type="containsText" priority="40" operator="containsText" aboveAverage="0" equalAverage="0" bottom="0" percent="0" rank="0" text="$PM" dxfId="31">
      <formula>NOT(ISERROR(SEARCH("$PM",B5)))</formula>
    </cfRule>
    <cfRule type="containsText" priority="41" operator="containsText" aboveAverage="0" equalAverage="0" bottom="0" percent="0" rank="0" text="$L" dxfId="32">
      <formula>NOT(ISERROR(SEARCH("$L",B5)))</formula>
    </cfRule>
    <cfRule type="containsText" priority="42" operator="containsText" aboveAverage="0" equalAverage="0" bottom="0" percent="0" rank="0" text="$BTP" dxfId="33">
      <formula>NOT(ISERROR(SEARCH("$BTP",B5)))</formula>
    </cfRule>
    <cfRule type="containsText" priority="43" operator="containsText" aboveAverage="0" equalAverage="0" bottom="0" percent="0" rank="0" text="$M" dxfId="34">
      <formula>NOT(ISERROR(SEARCH("$M",B5)))</formula>
    </cfRule>
    <cfRule type="containsText" priority="44" operator="containsText" aboveAverage="0" equalAverage="0" bottom="0" percent="0" rank="0" text="$N" dxfId="35">
      <formula>NOT(ISERROR(SEARCH("$N",B5)))</formula>
    </cfRule>
    <cfRule type="containsText" priority="45" operator="containsText" aboveAverage="0" equalAverage="0" bottom="0" percent="0" rank="0" text="$FC" dxfId="36">
      <formula>NOT(ISERROR(SEARCH("$FC",B5)))</formula>
    </cfRule>
    <cfRule type="containsText" priority="46" operator="containsText" aboveAverage="0" equalAverage="0" bottom="0" percent="0" rank="0" text="OAL" dxfId="37">
      <formula>NOT(ISERROR(SEARCH("OAL",B5)))</formula>
    </cfRule>
    <cfRule type="containsText" priority="47" operator="containsText" aboveAverage="0" equalAverage="0" bottom="0" percent="0" rank="0" text="S+" dxfId="38">
      <formula>NOT(ISERROR(SEARCH("S+",B5)))</formula>
    </cfRule>
    <cfRule type="containsText" priority="48" operator="containsText" aboveAverage="0" equalAverage="0" bottom="0" percent="0" rank="0" text="EX-D" dxfId="39">
      <formula>NOT(ISERROR(SEARCH("EX-D",B5)))</formula>
    </cfRule>
    <cfRule type="expression" priority="49" aboveAverage="0" equalAverage="0" bottom="0" percent="0" rank="0" text="" dxfId="21">
      <formula>WEEKDAY(#REF!,2)&gt;5</formula>
    </cfRule>
  </conditionalFormatting>
  <conditionalFormatting sqref="D2:E2 C42:C90 D42:E51 F42:AG90 B43:B49 D53:E90 C5:AG41">
    <cfRule type="containsText" priority="50" operator="containsText" aboveAverage="0" equalAverage="0" bottom="0" percent="0" rank="0" text="CS/B" dxfId="50">
      <formula>NOT(ISERROR(SEARCH("CS/B",B2)))</formula>
    </cfRule>
  </conditionalFormatting>
  <conditionalFormatting sqref="D2:E2 J4:J90 AA4:AA90 C42:C90 D42:E51 F42:I90 K5:Z90 AB5:AG90 B43:B49 D53:E90 C5:I41">
    <cfRule type="cellIs" priority="51" operator="equal" aboveAverage="0" equalAverage="0" bottom="0" percent="0" rank="0" text="" dxfId="23">
      <formula>"B"</formula>
    </cfRule>
    <cfRule type="cellIs" priority="52" operator="equal" aboveAverage="0" equalAverage="0" bottom="0" percent="0" rank="0" text="" dxfId="23">
      <formula>"AL"</formula>
    </cfRule>
    <cfRule type="cellIs" priority="53" operator="equal" aboveAverage="0" equalAverage="0" bottom="0" percent="0" rank="0" text="" dxfId="24">
      <formula>"DM"</formula>
    </cfRule>
    <cfRule type="cellIs" priority="54" operator="equal" aboveAverage="0" equalAverage="0" bottom="0" percent="0" rank="0" text="" dxfId="25">
      <formula>"CS1"</formula>
    </cfRule>
    <cfRule type="cellIs" priority="55" operator="equal" aboveAverage="0" equalAverage="0" bottom="0" percent="0" rank="0" text="" dxfId="26">
      <formula>"CS2"</formula>
    </cfRule>
    <cfRule type="cellIs" priority="56" operator="equal" aboveAverage="0" equalAverage="0" bottom="0" percent="0" rank="0" text="" dxfId="27">
      <formula>"SB1"</formula>
    </cfRule>
    <cfRule type="cellIs" priority="57" operator="equal" aboveAverage="0" equalAverage="0" bottom="0" percent="0" rank="0" text="" dxfId="28">
      <formula>"SB2"</formula>
    </cfRule>
    <cfRule type="cellIs" priority="58" operator="equal" aboveAverage="0" equalAverage="0" bottom="0" percent="0" rank="0" text="" dxfId="29">
      <formula>"AE"</formula>
    </cfRule>
  </conditionalFormatting>
  <conditionalFormatting sqref="BO5:BP74">
    <cfRule type="cellIs" priority="59" operator="lessThan" aboveAverage="0" equalAverage="0" bottom="0" percent="0" rank="0" text="" dxfId="41">
      <formula>1</formula>
    </cfRule>
  </conditionalFormatting>
  <conditionalFormatting sqref="D2:E2 J4:J74 AA4:AA74 C42:C74 D42:E51 F42:I74 K5:Z74 AB5:AG74 B43:B49 D53:E74 C5:I41">
    <cfRule type="cellIs" priority="60" operator="equal" aboveAverage="0" equalAverage="0" bottom="0" percent="0" rank="0" text="" dxfId="23">
      <formula>"DB"</formula>
    </cfRule>
    <cfRule type="containsText" priority="61" operator="containsText" aboveAverage="0" equalAverage="0" bottom="0" percent="0" rank="0" text="$AM" dxfId="30">
      <formula>NOT(ISERROR(SEARCH("$AM",B2)))</formula>
    </cfRule>
    <cfRule type="containsText" priority="62" operator="containsText" aboveAverage="0" equalAverage="0" bottom="0" percent="0" rank="0" text="$PM" dxfId="31">
      <formula>NOT(ISERROR(SEARCH("$PM",B2)))</formula>
    </cfRule>
    <cfRule type="containsText" priority="63" operator="containsText" aboveAverage="0" equalAverage="0" bottom="0" percent="0" rank="0" text="$L" dxfId="32">
      <formula>NOT(ISERROR(SEARCH("$L",B2)))</formula>
    </cfRule>
    <cfRule type="containsText" priority="64" operator="containsText" aboveAverage="0" equalAverage="0" bottom="0" percent="0" rank="0" text="$BTP" dxfId="33">
      <formula>NOT(ISERROR(SEARCH("$BTP",B2)))</formula>
    </cfRule>
    <cfRule type="containsText" priority="65" operator="containsText" aboveAverage="0" equalAverage="0" bottom="0" percent="0" rank="0" text="$M" dxfId="34">
      <formula>NOT(ISERROR(SEARCH("$M",B2)))</formula>
    </cfRule>
    <cfRule type="containsText" priority="66" operator="containsText" aboveAverage="0" equalAverage="0" bottom="0" percent="0" rank="0" text="$N" dxfId="35">
      <formula>NOT(ISERROR(SEARCH("$N",B2)))</formula>
    </cfRule>
    <cfRule type="containsText" priority="67" operator="containsText" aboveAverage="0" equalAverage="0" bottom="0" percent="0" rank="0" text="$FC" dxfId="36">
      <formula>NOT(ISERROR(SEARCH("$FC",B2)))</formula>
    </cfRule>
    <cfRule type="containsText" priority="68" operator="containsText" aboveAverage="0" equalAverage="0" bottom="0" percent="0" rank="0" text="OAL" dxfId="37">
      <formula>NOT(ISERROR(SEARCH("OAL",B2)))</formula>
    </cfRule>
    <cfRule type="containsText" priority="69" operator="containsText" aboveAverage="0" equalAverage="0" bottom="0" percent="0" rank="0" text="S+" dxfId="38">
      <formula>NOT(ISERROR(SEARCH("S+",B2)))</formula>
    </cfRule>
    <cfRule type="containsText" priority="70" operator="containsText" aboveAverage="0" equalAverage="0" bottom="0" percent="0" rank="0" text="EX-D" dxfId="39">
      <formula>NOT(ISERROR(SEARCH("EX-D",B2)))</formula>
    </cfRule>
  </conditionalFormatting>
  <conditionalFormatting sqref="T2:X74 Y3:AG74 B43:B49 D53:E74 D2:E51 F3:S74 C3:C74">
    <cfRule type="expression" priority="71" aboveAverage="0" equalAverage="0" bottom="0" percent="0" rank="0" text="" dxfId="21">
      <formula>WEEKDAY(D$3,2)&gt;5</formula>
    </cfRule>
  </conditionalFormatting>
  <conditionalFormatting sqref="J4:J5 D5 E5:E9 F5:F12 G5:G11 I5 K5 L5:L6 M5:M9 N5:N7 O5:P6 Q5 S5:S6 V5:V35 W5:W7 Y5:Z7 AA5:AA10 AB5:AB8 AC5 AD5:AD6 C6:C7 H6:H25 T6:T7 U6 X6:X8 J7:J8 K7 AC7:AC8 AF7:AF8 AG7:AG10 O8:P8 Q8:Q11 S8:S9 U8:U9 AD8:AE8 C9:C24 D9 N9 R9:R11 W9 Y22:Y51 Z14:Z20 I14:I24 J14:J19 T10:T12 AB22:AC54 AD22:AD30 AE14:AE20 AF10:AF12 D11:D12 E11:E23 K11:K20 L11:L12 M11 N11:N12 O11:O22 P11 S11 U11:U20 W22:W23 W14:Y21 AA12:AA54 AG12:AG30 G13:G19 M13:M31 P22:P25 Q22:Q24 R14:R19 S14:S17 L17 S19:S29 D20:D27 F20:F24 L20:L27 N20:N22 AF20:AF31 J21:J22 R21:R29 T21:T22 G22:G27 K22:K26 U22:U25 Z22:Z27 AE22:AE31 X22:X24 J24:J29 N24:N26 O24:O29 T24:T28 C26 E26 F26:F28 I26 Q26:Q28 W26 X26:X34 U27 E28:E29 H28:I29 N28:N29 P28:P31 W28:W32 C29 D29:D31 G29 K29:L29 Z29:Z71 T30 U30:U31 C31 F31 G31:G32 K31:K32 L31 N31 O31:O32 Q31 R31:R34 S31 I32 J32:J53 T32 C33 E33:E51 F33 H33 L33 M33:M34 S33 AD33:AD34 N34:N37 O34:O35 AE34 AF34:AF36 F35:F36 G35:G37 K35:K39 P35 S35:S40 T35:T37 U35 H36:I36 L36:L52 M36:M39 W36:W52 AD36 AE36:AE41 AG36 C37:C57 O37:P37 V37:V53 X37:X57 H38:H40 I38:I39 R38 AD38:AD54 AG38:AG39 D39 F39:F40 G39 O39:O50 T39:T40 U39 AF39:AF40 Q40 R40:R52 K41:K52 M41:M51 Q42:Q51 H42:H54 B43:B49 D43:D50 F43:G50 I43:I50 N43:N50 P43:P50 S43:U50 AE43:AG50 N52 S52 AE52 AG52 E53:E54 M53:M57 U53 Y53:Y57 AF53:AF54 L54:L58 Q54:Q57 W54:W57 AG54 J55:K57 R55:R57 AE55:AE58 D56:I57 N56:P57 S56 T56:T57 U56:U61 V56:V57 AA56:AA64 AB56:AD71 AF56:AG56 F60 H60:H62 L60 R61 K62 L63:L64 T63:U63 Y63 AE63:AE65 AG63:AG64 C64 H64:H67 AF64 S65 U65:U74 Y65 K66 AA66:AA71 Q67:R67 Y67:Y68 AE67:AE71 L69:L71 C70:K71 M70:T71 V70:Y71 AF70:AG71 Y9:Z13 I10:J13 AB10:AE13 W11:X13 P13:S13 AB14:AD21 P14:Q21">
    <cfRule type="containsText" priority="72" operator="containsText" aboveAverage="0" equalAverage="0" bottom="0" percent="0" rank="0" text="VACC" dxfId="40">
      <formula>NOT(ISERROR(SEARCH("VACC",B4)))</formula>
    </cfRule>
  </conditionalFormatting>
  <conditionalFormatting sqref="A1:BP90">
    <cfRule type="cellIs" priority="73" operator="equal" aboveAverage="0" equalAverage="0" bottom="0" percent="0" rank="0" text="" dxfId="41">
      <formula>"RESERVE"</formula>
    </cfRule>
  </conditionalFormatting>
  <conditionalFormatting sqref="AC52:AD52 AB60">
    <cfRule type="cellIs" priority="74" operator="equal" aboveAverage="0" equalAverage="0" bottom="0" percent="0" rank="0" text="" dxfId="53">
      <formula>"CS"</formula>
    </cfRule>
  </conditionalFormatting>
  <dataValidations count="4">
    <dataValidation allowBlank="true" errorStyle="stop" operator="equal" showDropDown="true" showErrorMessage="false" showInputMessage="false" sqref="E2 B5:B8 B10:B22 K21 B23 B25:B27 P27 Z28 B29 D37 J37 F53:G53 S53:S54 J54:J55 T54 Y54:Y55 E55 AA55:AD55 B56:B57 AF57:AG57 C58:U58 C59:C60 E59 I59:J59 L59:L60 N59:O59 S59:U59 X59:Y59 AE59:AG59 D60:E60 H60:I60 K60 N60 P60 AF60:AG60 J61:L61 N61:P61 R61 T61:U61 AC61:AF61 D62:E62 G62:H62 J62 M62:O62 S62:S63 W62 AE62:AG62 C63:G63 I63:K63 N63:P65 U63 Y63 D64:L64 T64:T65 X64:AD64 C65:C69 E65:L65 X65 AF65:AG65 E66:E68 G66:AG66 G67:L67 N67 P67 S67:U68 X67:X69 AF67:AG69 I68:L69 N68:O68 V68 D69:G69 N69 P69 S69 U69:U70 Y69:Z69 AC69:AE69 AF70 C72:C74 E72:H72 J72 N72 U72:V74 X72 D73:L74 N73:P74 S73:S74 W73:AG74" type="list">
      <formula1>'Setting key Duty'!$B$7:$B$56</formula1>
      <formula2>0</formula2>
    </dataValidation>
    <dataValidation allowBlank="true" errorStyle="stop" operator="between" showDropDown="false" showErrorMessage="false" showInputMessage="false" sqref="D5 J5 O5:O6 U5 AA5:AE5 L6 AB6 F7:H7 W7:Z7 AG7 C8:C10 S8 V8:V9 AA8:AC8 AF8:AG8 E9:G9 M9:N9 Q9:R10 Y9:Y10 E10 L10 T10 C11:Z11 C12:E12 J12:L12 N12:P12 T12 V12:V20 X12:Z12 AD12 C13:C19 E13:E20 J13:K16 N13:O14 Q13:S14 U13:U19 W13:Y19 AF14:AF19 N15:N19 P15:S15 O16:O24 Q16:S17 J17:L17 J18:K19 Q18:R18 Q19:S19 C20:D20 F20 J20 L20:N20 P20:Q20 S20 W20 Y20:Y23 AF20:AG21 C21:I21 N21 Q21:T21 AA21:AB21 AD21:AE21 C22:D22 G22 J22:J23 T22:V22 X22 Z22:AE22 AG22 D23:F23 L23:M23 P23:Q23 U23:W23 Z23:AA23 AC23:AE23 C24:D24 G24:I24 T24:U24 X24:X26 AA24 AE24:AG24 D25:H25 J25:L25 N25:V25 Y25:AG25 C26:E29 G26:G27 N26:O26 Q26:R26 T26 W26:W27 Y26:Z26 AB26 AD26:AD27 AF26:AG26 I27 Q27 S27:U27 AA27 AE27:AG27 I28:J28 M28:T28 V28 AC28:AC29 AE28:AE30 F29:H29 K29:M29 O29 V29:W29 Z29:AB30 AF29:AG29 C30:D30 G30:H30 J30:N30 P30:Q30 S30 U30:V30 AG30:AG31 E31:H31 J31 O31:O33 U31 AA31 C32:E32 I32:M32 P32 S32:T32 Y32:AB32 AF32 C33 E33:I33 L33:M33 Q33:Q35 T33:U33 Y33:Y35 AA33 AC33:AG33 E34:G34 J34:L35 N34 R34:S34 X34 Z34 AC34:AD34 AF34:AG34 C35 E35:F35 P35 R35:W35 AE35 AG35 E36:G36 J36:M36 R36 W36:Z36 AB36 E37:F37 H37 K37 M37:Q37 T37 Z37:Z38 AG37:AG38 E38:G38 J38:N38 S38:S39 AE38 C39:M39 P39 T39 AF39 C40:F41 H40 J40:K40 O40:O41 Q40:T40 V40:Y40 AG40:AG42 I41 K41:N41 S41:T41 V41 X41:Y41 AA41:AE41 C51:O51 S51:W51 Y51:Y52 AE51:AG52 G52:J52 O52 U52:W52 Z52 C53 E53:E54 H53:O53 T53 V53 Y53:Z53 AG53 D54:D55 F54 H54 L54:Q54 U54:U55 W54 C55 I55 K55:N55 S55 Z55:Z57 AF55:AG55 C56:Y56 AA56:AG56 C57:Q57 T57:U57 W57:Y57 AB57 AE57 F60 C61 Q61 AG61 K62 T63 AG63 Y65 Q67 Y67 AE67:AE68 Z68 T69 C70:N71 S70:S71 AB70:AB71 O71:R71 T71:AA71 AC71:AG71 T73:T74" type="custom">
      <formula1>NOT(ISERROR(SEARCH((#REF!),(D2))))</formula1>
      <formula2>0</formula2>
    </dataValidation>
    <dataValidation allowBlank="true" errorStyle="stop" operator="equal" showDropDown="true" showErrorMessage="false" showInputMessage="false" sqref="J7 V7 D8:D9 U8 T9 AG9 K10 AA10 AB11 AA12:AA17 AG12:AG19 M13:M19 Z13:Z17 AD14:AD20 Z18:AA19 X20:X21 AA20:AB20 AE20 L21 P21 V21 E22 R23:S23 AC24:AD24 AC26 AE26 M27 X27 F28 AD28 AG28 R29:S29 O30 AC30:AC32 AF30 AB31 AD31:AE31 G32 Z33 AE34 AF35 N36 S36 L37 AB37:AB38 W38:X38 AA38:AA39 AC38 O39 Y39 AF40 Z41 Q51 Z51:AD51 S52 AC52 AB53:AC53 AF53 C54 AA54:AB54 AD54 AF54:AG54 Q55 AE55 AC57:AD57 AC59 AB60 AE63 S65 AC65:AE65" type="list">
      <formula1>'Setting key Duty'!$B$7:$B$54</formula1>
      <formula2>0</formula2>
    </dataValidation>
    <dataValidation allowBlank="true" errorStyle="stop" operator="equal" showDropDown="true" showErrorMessage="false" showInputMessage="false" sqref="C42:AF50 AG43:AG50 C75:AG80" type="list">
      <formula1>'Setting key Duty'!$B$7:$B$23</formula1>
      <formula2>0</formula2>
    </dataValidation>
  </dataValidation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4" activeCellId="0" sqref="A14"/>
    </sheetView>
  </sheetViews>
  <sheetFormatPr defaultColWidth="9.1484375" defaultRowHeight="12.75" customHeight="false" zeroHeight="false" outlineLevelRow="0" outlineLevelCol="0"/>
  <cols>
    <col collapsed="false" customWidth="true" hidden="false" outlineLevel="0" max="1" min="1" style="0" width="51"/>
    <col collapsed="false" customWidth="true" hidden="false" outlineLevel="0" max="3" min="3" style="0" width="15"/>
    <col collapsed="false" customWidth="true" hidden="false" outlineLevel="0" max="4" min="4" style="0" width="14.71"/>
    <col collapsed="false" customWidth="true" hidden="false" outlineLevel="0" max="5" min="5" style="359" width="16.29"/>
    <col collapsed="false" customWidth="true" hidden="false" outlineLevel="0" max="8" min="6" style="0" width="19"/>
    <col collapsed="false" customWidth="true" hidden="false" outlineLevel="0" max="9" min="9" style="0" width="46.57"/>
    <col collapsed="false" customWidth="true" hidden="false" outlineLevel="0" max="11" min="11" style="0" width="15"/>
    <col collapsed="false" customWidth="true" hidden="false" outlineLevel="0" max="12" min="12" style="0" width="14.71"/>
    <col collapsed="false" customWidth="true" hidden="false" outlineLevel="0" max="13" min="13" style="359" width="16.29"/>
    <col collapsed="false" customWidth="true" hidden="false" outlineLevel="0" max="14" min="14" style="0" width="19"/>
  </cols>
  <sheetData>
    <row r="1" customFormat="false" ht="14.9" hidden="false" customHeight="false" outlineLevel="0" collapsed="false">
      <c r="A1" s="360" t="s">
        <v>1024</v>
      </c>
      <c r="B1" s="360"/>
      <c r="C1" s="360"/>
      <c r="D1" s="360"/>
      <c r="E1" s="361"/>
      <c r="I1" s="362" t="s">
        <v>1025</v>
      </c>
      <c r="J1" s="362"/>
      <c r="K1" s="362"/>
      <c r="L1" s="362"/>
    </row>
    <row r="2" customFormat="false" ht="14.9" hidden="false" customHeight="false" outlineLevel="0" collapsed="false">
      <c r="A2" s="0" t="s">
        <v>1026</v>
      </c>
      <c r="B2" s="0" t="s">
        <v>1027</v>
      </c>
      <c r="C2" s="0" t="s">
        <v>1028</v>
      </c>
      <c r="D2" s="0" t="s">
        <v>1029</v>
      </c>
      <c r="E2" s="359" t="s">
        <v>1030</v>
      </c>
      <c r="F2" s="0" t="s">
        <v>1031</v>
      </c>
      <c r="G2" s="0" t="s">
        <v>1032</v>
      </c>
      <c r="I2" s="363" t="s">
        <v>1026</v>
      </c>
      <c r="K2" s="0" t="s">
        <v>1028</v>
      </c>
      <c r="L2" s="0" t="s">
        <v>1029</v>
      </c>
      <c r="M2" s="359" t="s">
        <v>1030</v>
      </c>
      <c r="N2" s="0" t="s">
        <v>1031</v>
      </c>
      <c r="O2" s="0" t="s">
        <v>1032</v>
      </c>
    </row>
    <row r="3" customFormat="false" ht="14.9" hidden="false" customHeight="false" outlineLevel="0" collapsed="false">
      <c r="A3" s="364" t="s">
        <v>927</v>
      </c>
      <c r="B3" s="0" t="s">
        <v>1033</v>
      </c>
      <c r="C3" s="0" t="s">
        <v>1034</v>
      </c>
      <c r="D3" s="0" t="s">
        <v>1035</v>
      </c>
      <c r="E3" s="359" t="n">
        <v>46253</v>
      </c>
      <c r="F3" s="0" t="s">
        <v>813</v>
      </c>
      <c r="I3" s="365" t="s">
        <v>895</v>
      </c>
      <c r="K3" s="0" t="s">
        <v>1034</v>
      </c>
      <c r="L3" s="0" t="s">
        <v>1035</v>
      </c>
    </row>
    <row r="4" customFormat="false" ht="14.9" hidden="false" customHeight="false" outlineLevel="0" collapsed="false">
      <c r="A4" s="366" t="s">
        <v>567</v>
      </c>
      <c r="B4" s="0" t="s">
        <v>1033</v>
      </c>
      <c r="C4" s="0" t="s">
        <v>1034</v>
      </c>
      <c r="D4" s="0" t="s">
        <v>1035</v>
      </c>
      <c r="E4" s="359" t="n">
        <v>46252</v>
      </c>
      <c r="F4" s="0" t="s">
        <v>813</v>
      </c>
      <c r="I4" s="367" t="s">
        <v>832</v>
      </c>
      <c r="K4" s="0" t="s">
        <v>1034</v>
      </c>
      <c r="L4" s="0" t="s">
        <v>1036</v>
      </c>
    </row>
    <row r="5" customFormat="false" ht="14.9" hidden="false" customHeight="false" outlineLevel="0" collapsed="false">
      <c r="A5" s="365" t="s">
        <v>718</v>
      </c>
      <c r="B5" s="0" t="s">
        <v>1037</v>
      </c>
      <c r="C5" s="0" t="s">
        <v>1034</v>
      </c>
      <c r="D5" s="0" t="s">
        <v>1035</v>
      </c>
      <c r="F5" s="0" t="s">
        <v>813</v>
      </c>
      <c r="I5" s="365" t="s">
        <v>820</v>
      </c>
      <c r="K5" s="0" t="s">
        <v>1034</v>
      </c>
      <c r="L5" s="0" t="s">
        <v>1036</v>
      </c>
    </row>
    <row r="6" customFormat="false" ht="14.9" hidden="false" customHeight="false" outlineLevel="0" collapsed="false">
      <c r="A6" s="365" t="s">
        <v>592</v>
      </c>
      <c r="B6" s="0" t="s">
        <v>1033</v>
      </c>
      <c r="C6" s="0" t="s">
        <v>1034</v>
      </c>
      <c r="D6" s="0" t="s">
        <v>1035</v>
      </c>
      <c r="E6" s="359" t="n">
        <v>46252</v>
      </c>
      <c r="F6" s="0" t="s">
        <v>813</v>
      </c>
      <c r="I6" s="365" t="s">
        <v>987</v>
      </c>
      <c r="J6" s="0" t="s">
        <v>1038</v>
      </c>
      <c r="K6" s="0" t="s">
        <v>1034</v>
      </c>
      <c r="L6" s="0" t="s">
        <v>1039</v>
      </c>
    </row>
    <row r="7" customFormat="false" ht="14.9" hidden="false" customHeight="false" outlineLevel="0" collapsed="false">
      <c r="A7" s="365" t="s">
        <v>609</v>
      </c>
      <c r="B7" s="0" t="s">
        <v>1040</v>
      </c>
      <c r="C7" s="0" t="s">
        <v>1041</v>
      </c>
      <c r="D7" s="0" t="s">
        <v>1035</v>
      </c>
      <c r="F7" s="0" t="s">
        <v>813</v>
      </c>
      <c r="I7" s="365" t="s">
        <v>988</v>
      </c>
      <c r="J7" s="0" t="s">
        <v>1038</v>
      </c>
      <c r="K7" s="0" t="s">
        <v>1034</v>
      </c>
      <c r="L7" s="0" t="s">
        <v>1039</v>
      </c>
      <c r="M7" s="359" t="n">
        <v>46204</v>
      </c>
      <c r="N7" s="0" t="s">
        <v>409</v>
      </c>
    </row>
    <row r="8" customFormat="false" ht="14.9" hidden="false" customHeight="false" outlineLevel="0" collapsed="false">
      <c r="A8" s="365" t="s">
        <v>610</v>
      </c>
      <c r="B8" s="0" t="s">
        <v>1042</v>
      </c>
      <c r="C8" s="0" t="s">
        <v>1034</v>
      </c>
      <c r="D8" s="0" t="s">
        <v>1035</v>
      </c>
      <c r="F8" s="0" t="s">
        <v>813</v>
      </c>
      <c r="I8" s="365" t="s">
        <v>933</v>
      </c>
      <c r="J8" s="0" t="s">
        <v>1038</v>
      </c>
      <c r="K8" s="0" t="s">
        <v>1034</v>
      </c>
      <c r="L8" s="0" t="s">
        <v>1039</v>
      </c>
    </row>
    <row r="9" customFormat="false" ht="14.9" hidden="false" customHeight="false" outlineLevel="0" collapsed="false">
      <c r="A9" s="365" t="s">
        <v>739</v>
      </c>
      <c r="B9" s="0" t="s">
        <v>1043</v>
      </c>
      <c r="C9" s="0" t="s">
        <v>1034</v>
      </c>
      <c r="D9" s="0" t="s">
        <v>1035</v>
      </c>
      <c r="F9" s="0" t="s">
        <v>813</v>
      </c>
      <c r="I9" s="365" t="s">
        <v>935</v>
      </c>
      <c r="J9" s="0" t="s">
        <v>1038</v>
      </c>
      <c r="K9" s="0" t="s">
        <v>1034</v>
      </c>
      <c r="L9" s="0" t="s">
        <v>1039</v>
      </c>
    </row>
    <row r="10" customFormat="false" ht="14.9" hidden="false" customHeight="false" outlineLevel="0" collapsed="false">
      <c r="A10" s="365" t="s">
        <v>965</v>
      </c>
      <c r="B10" s="0" t="s">
        <v>1043</v>
      </c>
      <c r="C10" s="0" t="s">
        <v>1034</v>
      </c>
      <c r="D10" s="0" t="s">
        <v>1035</v>
      </c>
      <c r="F10" s="0" t="s">
        <v>813</v>
      </c>
      <c r="I10" s="366" t="s">
        <v>825</v>
      </c>
      <c r="K10" s="0" t="s">
        <v>1034</v>
      </c>
      <c r="L10" s="0" t="s">
        <v>1044</v>
      </c>
      <c r="M10" s="359" t="n">
        <v>46220</v>
      </c>
      <c r="N10" s="0" t="s">
        <v>813</v>
      </c>
    </row>
    <row r="11" customFormat="false" ht="14.9" hidden="false" customHeight="false" outlineLevel="0" collapsed="false">
      <c r="A11" s="365" t="s">
        <v>970</v>
      </c>
      <c r="B11" s="0" t="s">
        <v>1045</v>
      </c>
      <c r="C11" s="0" t="s">
        <v>1034</v>
      </c>
      <c r="D11" s="0" t="s">
        <v>1035</v>
      </c>
      <c r="F11" s="0" t="s">
        <v>813</v>
      </c>
      <c r="I11" s="365" t="s">
        <v>814</v>
      </c>
      <c r="K11" s="0" t="s">
        <v>1034</v>
      </c>
      <c r="L11" s="0" t="s">
        <v>1046</v>
      </c>
    </row>
    <row r="12" customFormat="false" ht="14.9" hidden="false" customHeight="false" outlineLevel="0" collapsed="false">
      <c r="A12" s="365" t="s">
        <v>981</v>
      </c>
      <c r="B12" s="0" t="s">
        <v>1037</v>
      </c>
      <c r="C12" s="0" t="s">
        <v>1034</v>
      </c>
      <c r="D12" s="0" t="s">
        <v>1035</v>
      </c>
      <c r="F12" s="0" t="s">
        <v>813</v>
      </c>
      <c r="I12" s="367" t="s">
        <v>835</v>
      </c>
      <c r="K12" s="0" t="s">
        <v>1034</v>
      </c>
    </row>
    <row r="13" customFormat="false" ht="14.9" hidden="false" customHeight="false" outlineLevel="0" collapsed="false">
      <c r="A13" s="364" t="s">
        <v>584</v>
      </c>
      <c r="B13" s="0" t="s">
        <v>1045</v>
      </c>
      <c r="C13" s="0" t="s">
        <v>1034</v>
      </c>
      <c r="D13" s="0" t="s">
        <v>1036</v>
      </c>
      <c r="F13" s="0" t="s">
        <v>813</v>
      </c>
      <c r="I13" s="367" t="s">
        <v>836</v>
      </c>
      <c r="K13" s="0" t="s">
        <v>1034</v>
      </c>
    </row>
    <row r="14" customFormat="false" ht="14.9" hidden="false" customHeight="false" outlineLevel="0" collapsed="false">
      <c r="A14" s="364" t="s">
        <v>717</v>
      </c>
      <c r="B14" s="0" t="s">
        <v>1042</v>
      </c>
      <c r="C14" s="0" t="s">
        <v>1034</v>
      </c>
      <c r="D14" s="0" t="s">
        <v>1036</v>
      </c>
      <c r="F14" s="0" t="s">
        <v>813</v>
      </c>
      <c r="I14" s="367" t="s">
        <v>838</v>
      </c>
      <c r="K14" s="0" t="s">
        <v>1034</v>
      </c>
    </row>
    <row r="15" customFormat="false" ht="14.9" hidden="false" customHeight="false" outlineLevel="0" collapsed="false">
      <c r="A15" s="365" t="s">
        <v>944</v>
      </c>
      <c r="B15" s="0" t="s">
        <v>1033</v>
      </c>
      <c r="C15" s="0" t="s">
        <v>1034</v>
      </c>
      <c r="D15" s="0" t="s">
        <v>1036</v>
      </c>
      <c r="E15" s="359" t="n">
        <v>46234</v>
      </c>
      <c r="F15" s="0" t="s">
        <v>1047</v>
      </c>
      <c r="I15" s="367" t="s">
        <v>840</v>
      </c>
      <c r="K15" s="0" t="s">
        <v>1034</v>
      </c>
    </row>
    <row r="16" customFormat="false" ht="14.9" hidden="false" customHeight="false" outlineLevel="0" collapsed="false">
      <c r="A16" s="365" t="s">
        <v>951</v>
      </c>
      <c r="B16" s="0" t="s">
        <v>1040</v>
      </c>
      <c r="C16" s="0" t="s">
        <v>1034</v>
      </c>
      <c r="D16" s="0" t="s">
        <v>1036</v>
      </c>
      <c r="F16" s="0" t="s">
        <v>813</v>
      </c>
      <c r="I16" s="367" t="s">
        <v>844</v>
      </c>
      <c r="K16" s="0" t="s">
        <v>1034</v>
      </c>
    </row>
    <row r="17" customFormat="false" ht="14.9" hidden="false" customHeight="false" outlineLevel="0" collapsed="false">
      <c r="A17" s="365" t="s">
        <v>954</v>
      </c>
      <c r="B17" s="0" t="s">
        <v>1045</v>
      </c>
      <c r="C17" s="0" t="s">
        <v>1034</v>
      </c>
      <c r="D17" s="0" t="s">
        <v>1036</v>
      </c>
      <c r="F17" s="0" t="s">
        <v>813</v>
      </c>
      <c r="I17" s="367" t="s">
        <v>848</v>
      </c>
      <c r="K17" s="0" t="s">
        <v>1034</v>
      </c>
    </row>
    <row r="18" customFormat="false" ht="14.9" hidden="false" customHeight="false" outlineLevel="0" collapsed="false">
      <c r="A18" s="365" t="s">
        <v>639</v>
      </c>
      <c r="B18" s="0" t="s">
        <v>1042</v>
      </c>
      <c r="C18" s="0" t="s">
        <v>1034</v>
      </c>
      <c r="D18" s="0" t="s">
        <v>1036</v>
      </c>
      <c r="F18" s="0" t="s">
        <v>813</v>
      </c>
      <c r="I18" s="367" t="s">
        <v>914</v>
      </c>
      <c r="K18" s="0" t="s">
        <v>1034</v>
      </c>
    </row>
    <row r="19" customFormat="false" ht="14.9" hidden="false" customHeight="false" outlineLevel="0" collapsed="false">
      <c r="A19" s="365" t="s">
        <v>978</v>
      </c>
      <c r="B19" s="0" t="s">
        <v>1037</v>
      </c>
      <c r="C19" s="0" t="s">
        <v>1034</v>
      </c>
      <c r="D19" s="0" t="s">
        <v>1036</v>
      </c>
      <c r="F19" s="0" t="s">
        <v>813</v>
      </c>
      <c r="I19" s="367" t="s">
        <v>917</v>
      </c>
      <c r="K19" s="0" t="s">
        <v>1034</v>
      </c>
    </row>
    <row r="20" customFormat="false" ht="14.9" hidden="false" customHeight="false" outlineLevel="0" collapsed="false">
      <c r="A20" s="366" t="s">
        <v>715</v>
      </c>
      <c r="B20" s="0" t="s">
        <v>1045</v>
      </c>
      <c r="C20" s="0" t="s">
        <v>1034</v>
      </c>
      <c r="D20" s="0" t="s">
        <v>1044</v>
      </c>
      <c r="F20" s="0" t="s">
        <v>813</v>
      </c>
      <c r="I20" s="367" t="s">
        <v>921</v>
      </c>
      <c r="K20" s="0" t="s">
        <v>1034</v>
      </c>
    </row>
    <row r="21" customFormat="false" ht="14.9" hidden="false" customHeight="false" outlineLevel="0" collapsed="false">
      <c r="A21" s="365" t="s">
        <v>594</v>
      </c>
      <c r="B21" s="0" t="s">
        <v>1040</v>
      </c>
      <c r="C21" s="0" t="s">
        <v>1034</v>
      </c>
      <c r="D21" s="0" t="s">
        <v>1044</v>
      </c>
      <c r="F21" s="0" t="s">
        <v>813</v>
      </c>
      <c r="I21" s="367" t="s">
        <v>857</v>
      </c>
      <c r="K21" s="0" t="s">
        <v>1034</v>
      </c>
    </row>
    <row r="22" customFormat="false" ht="14.9" hidden="false" customHeight="false" outlineLevel="0" collapsed="false">
      <c r="A22" s="366" t="s">
        <v>591</v>
      </c>
      <c r="B22" s="0" t="s">
        <v>1043</v>
      </c>
      <c r="C22" s="0" t="s">
        <v>1034</v>
      </c>
      <c r="D22" s="0" t="s">
        <v>1048</v>
      </c>
      <c r="F22" s="0" t="s">
        <v>813</v>
      </c>
      <c r="I22" s="365" t="s">
        <v>821</v>
      </c>
      <c r="K22" s="0" t="s">
        <v>1034</v>
      </c>
    </row>
    <row r="23" customFormat="false" ht="14.9" hidden="false" customHeight="false" outlineLevel="0" collapsed="false">
      <c r="A23" s="365" t="s">
        <v>936</v>
      </c>
      <c r="C23" s="0" t="s">
        <v>1034</v>
      </c>
      <c r="D23" s="0" t="s">
        <v>1048</v>
      </c>
      <c r="F23" s="0" t="s">
        <v>813</v>
      </c>
    </row>
    <row r="24" customFormat="false" ht="14.9" hidden="false" customHeight="false" outlineLevel="0" collapsed="false">
      <c r="A24" s="365" t="s">
        <v>937</v>
      </c>
      <c r="C24" s="0" t="s">
        <v>1034</v>
      </c>
      <c r="D24" s="0" t="s">
        <v>1048</v>
      </c>
      <c r="F24" s="0" t="s">
        <v>813</v>
      </c>
    </row>
    <row r="25" customFormat="false" ht="14.9" hidden="false" customHeight="false" outlineLevel="0" collapsed="false">
      <c r="A25" s="365" t="s">
        <v>941</v>
      </c>
      <c r="C25" s="0" t="s">
        <v>1034</v>
      </c>
      <c r="D25" s="0" t="s">
        <v>1048</v>
      </c>
      <c r="F25" s="0" t="s">
        <v>813</v>
      </c>
    </row>
    <row r="26" customFormat="false" ht="14.9" hidden="false" customHeight="false" outlineLevel="0" collapsed="false">
      <c r="A26" s="365" t="s">
        <v>942</v>
      </c>
      <c r="C26" s="0" t="s">
        <v>1034</v>
      </c>
      <c r="D26" s="0" t="s">
        <v>1048</v>
      </c>
      <c r="F26" s="0" t="s">
        <v>813</v>
      </c>
    </row>
    <row r="27" customFormat="false" ht="14.9" hidden="false" customHeight="false" outlineLevel="0" collapsed="false">
      <c r="A27" s="365" t="s">
        <v>627</v>
      </c>
      <c r="B27" s="0" t="s">
        <v>1045</v>
      </c>
      <c r="C27" s="0" t="s">
        <v>1034</v>
      </c>
      <c r="D27" s="0" t="s">
        <v>1048</v>
      </c>
      <c r="F27" s="0" t="s">
        <v>813</v>
      </c>
    </row>
    <row r="28" customFormat="false" ht="14.9" hidden="false" customHeight="false" outlineLevel="0" collapsed="false">
      <c r="A28" s="365" t="s">
        <v>633</v>
      </c>
      <c r="B28" s="0" t="s">
        <v>1042</v>
      </c>
      <c r="C28" s="0" t="s">
        <v>1034</v>
      </c>
      <c r="D28" s="0" t="s">
        <v>1048</v>
      </c>
      <c r="F28" s="0" t="s">
        <v>813</v>
      </c>
    </row>
    <row r="29" customFormat="false" ht="14.9" hidden="false" customHeight="false" outlineLevel="0" collapsed="false">
      <c r="A29" s="365" t="s">
        <v>637</v>
      </c>
      <c r="B29" s="0" t="s">
        <v>1042</v>
      </c>
      <c r="C29" s="0" t="s">
        <v>1041</v>
      </c>
      <c r="D29" s="0" t="s">
        <v>1048</v>
      </c>
      <c r="F29" s="0" t="s">
        <v>813</v>
      </c>
    </row>
    <row r="30" customFormat="false" ht="14.9" hidden="false" customHeight="false" outlineLevel="0" collapsed="false">
      <c r="A30" s="365" t="s">
        <v>940</v>
      </c>
      <c r="C30" s="0" t="s">
        <v>1034</v>
      </c>
      <c r="D30" s="0" t="s">
        <v>1049</v>
      </c>
      <c r="F30" s="0" t="s">
        <v>813</v>
      </c>
    </row>
    <row r="31" customFormat="false" ht="14.9" hidden="false" customHeight="false" outlineLevel="0" collapsed="false">
      <c r="A31" s="365" t="s">
        <v>598</v>
      </c>
      <c r="B31" s="0" t="s">
        <v>1033</v>
      </c>
      <c r="C31" s="0" t="s">
        <v>1034</v>
      </c>
      <c r="D31" s="0" t="s">
        <v>1049</v>
      </c>
      <c r="E31" s="359" t="n">
        <v>46238</v>
      </c>
      <c r="F31" s="0" t="s">
        <v>813</v>
      </c>
    </row>
    <row r="32" customFormat="false" ht="14.9" hidden="false" customHeight="false" outlineLevel="0" collapsed="false">
      <c r="A32" s="365" t="s">
        <v>725</v>
      </c>
      <c r="B32" s="0" t="s">
        <v>1040</v>
      </c>
      <c r="C32" s="0" t="s">
        <v>1034</v>
      </c>
      <c r="D32" s="0" t="s">
        <v>1049</v>
      </c>
      <c r="E32" s="359" t="n">
        <v>46234</v>
      </c>
      <c r="F32" s="0" t="s">
        <v>1047</v>
      </c>
    </row>
    <row r="33" customFormat="false" ht="14.9" hidden="false" customHeight="false" outlineLevel="0" collapsed="false">
      <c r="A33" s="365" t="s">
        <v>736</v>
      </c>
      <c r="B33" s="0" t="s">
        <v>1043</v>
      </c>
      <c r="C33" s="0" t="s">
        <v>1034</v>
      </c>
      <c r="D33" s="0" t="s">
        <v>1049</v>
      </c>
      <c r="F33" s="0" t="s">
        <v>813</v>
      </c>
    </row>
    <row r="34" customFormat="false" ht="14.9" hidden="false" customHeight="false" outlineLevel="0" collapsed="false">
      <c r="A34" s="364" t="s">
        <v>930</v>
      </c>
      <c r="B34" s="0" t="s">
        <v>1040</v>
      </c>
      <c r="C34" s="0" t="s">
        <v>1034</v>
      </c>
      <c r="D34" s="0" t="s">
        <v>1046</v>
      </c>
      <c r="F34" s="0" t="s">
        <v>1050</v>
      </c>
    </row>
    <row r="35" customFormat="false" ht="14.9" hidden="false" customHeight="false" outlineLevel="0" collapsed="false">
      <c r="A35" s="366" t="s">
        <v>714</v>
      </c>
      <c r="B35" s="0" t="s">
        <v>1042</v>
      </c>
      <c r="C35" s="0" t="s">
        <v>1034</v>
      </c>
      <c r="D35" s="0" t="s">
        <v>1046</v>
      </c>
      <c r="F35" s="0" t="s">
        <v>813</v>
      </c>
    </row>
    <row r="36" customFormat="false" ht="14.9" hidden="false" customHeight="false" outlineLevel="0" collapsed="false">
      <c r="A36" s="365" t="s">
        <v>614</v>
      </c>
      <c r="B36" s="0" t="s">
        <v>1045</v>
      </c>
      <c r="C36" s="0" t="s">
        <v>1034</v>
      </c>
      <c r="D36" s="0" t="s">
        <v>1046</v>
      </c>
      <c r="F36" s="0" t="s">
        <v>813</v>
      </c>
    </row>
    <row r="37" customFormat="false" ht="14.9" hidden="false" customHeight="false" outlineLevel="0" collapsed="false">
      <c r="A37" s="365" t="s">
        <v>657</v>
      </c>
      <c r="B37" s="0" t="s">
        <v>1045</v>
      </c>
      <c r="C37" s="0" t="s">
        <v>1034</v>
      </c>
      <c r="D37" s="0" t="s">
        <v>1046</v>
      </c>
      <c r="F37" s="0" t="s">
        <v>1047</v>
      </c>
    </row>
    <row r="38" customFormat="false" ht="14.9" hidden="false" customHeight="false" outlineLevel="0" collapsed="false">
      <c r="A38" s="365" t="s">
        <v>974</v>
      </c>
      <c r="B38" s="0" t="s">
        <v>1037</v>
      </c>
      <c r="C38" s="0" t="s">
        <v>1034</v>
      </c>
      <c r="D38" s="0" t="s">
        <v>1046</v>
      </c>
      <c r="F38" s="0" t="s">
        <v>813</v>
      </c>
    </row>
    <row r="39" customFormat="false" ht="14.9" hidden="false" customHeight="false" outlineLevel="0" collapsed="false">
      <c r="A39" s="365" t="s">
        <v>984</v>
      </c>
      <c r="B39" s="0" t="s">
        <v>1037</v>
      </c>
      <c r="C39" s="0" t="s">
        <v>1034</v>
      </c>
      <c r="D39" s="0" t="s">
        <v>1046</v>
      </c>
      <c r="F39" s="0" t="s">
        <v>813</v>
      </c>
    </row>
    <row r="40" customFormat="false" ht="14.9" hidden="false" customHeight="false" outlineLevel="0" collapsed="false">
      <c r="A40" s="365" t="s">
        <v>938</v>
      </c>
      <c r="C40" s="0" t="s">
        <v>1034</v>
      </c>
      <c r="F40" s="0" t="s">
        <v>813</v>
      </c>
    </row>
  </sheetData>
  <mergeCells count="2">
    <mergeCell ref="A1:D1"/>
    <mergeCell ref="I1:L1"/>
  </mergeCells>
  <conditionalFormatting sqref="I1:I22 A3:A40">
    <cfRule type="cellIs" priority="2" operator="equal" aboveAverage="0" equalAverage="0" bottom="0" percent="0" rank="0" text="" dxfId="41">
      <formula>"RESERVE"</formula>
    </cfRule>
  </conditionalFormatting>
  <dataValidations count="1">
    <dataValidation allowBlank="true" errorStyle="stop" operator="equal" showDropDown="true" showErrorMessage="false" showInputMessage="false" sqref="A3:A6 A8:A19 A21:A22 I21:I22 A24:A26 A28" type="list">
      <formula1>'Setting key Duty'!$B$7:$B$56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6"/>
  <sheetViews>
    <sheetView showFormulas="false" showGridLines="false" showRowColHeaders="true" showZeros="true" rightToLeft="false" tabSelected="false" showOutlineSymbols="true" defaultGridColor="true" view="normal" topLeftCell="A35" colorId="64" zoomScale="100" zoomScaleNormal="100" zoomScalePageLayoutView="100" workbookViewId="0">
      <selection pane="topLeft" activeCell="F13" activeCellId="0" sqref="F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5.13"/>
    <col collapsed="false" customWidth="true" hidden="false" outlineLevel="0" max="2" min="2" style="0" width="13.63"/>
    <col collapsed="false" customWidth="true" hidden="false" outlineLevel="0" max="3" min="3" style="0" width="45.13"/>
    <col collapsed="false" customWidth="true" hidden="false" outlineLevel="0" max="5" min="4" style="0" width="5.13"/>
    <col collapsed="false" customWidth="true" hidden="false" outlineLevel="0" max="6" min="6" style="0" width="10.76"/>
    <col collapsed="false" customWidth="true" hidden="false" outlineLevel="0" max="7" min="7" style="0" width="11.63"/>
    <col collapsed="false" customWidth="true" hidden="false" outlineLevel="0" max="8" min="8" style="0" width="5.13"/>
    <col collapsed="false" customWidth="true" hidden="false" outlineLevel="0" max="9" min="9" style="0" width="6.63"/>
    <col collapsed="false" customWidth="true" hidden="false" outlineLevel="0" max="10" min="10" style="0" width="10"/>
  </cols>
  <sheetData>
    <row r="1" customFormat="false" ht="36" hidden="false" customHeight="true" outlineLevel="0" collapsed="false">
      <c r="A1" s="368"/>
      <c r="B1" s="369" t="s">
        <v>1051</v>
      </c>
      <c r="C1" s="369"/>
      <c r="D1" s="368"/>
      <c r="E1" s="368"/>
      <c r="F1" s="368"/>
      <c r="G1" s="368"/>
      <c r="H1" s="368"/>
      <c r="I1" s="368"/>
      <c r="J1" s="368"/>
    </row>
    <row r="2" customFormat="false" ht="36" hidden="false" customHeight="true" outlineLevel="0" collapsed="false">
      <c r="A2" s="370"/>
      <c r="B2" s="371" t="s">
        <v>1052</v>
      </c>
      <c r="C2" s="371"/>
      <c r="D2" s="370"/>
      <c r="E2" s="370"/>
      <c r="F2" s="372"/>
      <c r="G2" s="372"/>
      <c r="H2" s="372"/>
      <c r="I2" s="372"/>
      <c r="J2" s="372"/>
    </row>
    <row r="3" customFormat="false" ht="24" hidden="false" customHeight="true" outlineLevel="0" collapsed="false">
      <c r="A3" s="373"/>
      <c r="B3" s="374" t="s">
        <v>1053</v>
      </c>
      <c r="C3" s="374"/>
      <c r="D3" s="373"/>
      <c r="E3" s="373"/>
      <c r="F3" s="373"/>
      <c r="G3" s="373"/>
      <c r="H3" s="373"/>
      <c r="I3" s="373"/>
      <c r="J3" s="373"/>
    </row>
    <row r="4" customFormat="false" ht="36" hidden="false" customHeight="true" outlineLevel="0" collapsed="false">
      <c r="A4" s="375"/>
      <c r="B4" s="376" t="s">
        <v>1054</v>
      </c>
      <c r="C4" s="376"/>
      <c r="D4" s="375"/>
      <c r="E4" s="375"/>
      <c r="F4" s="375"/>
      <c r="G4" s="375"/>
      <c r="H4" s="375"/>
      <c r="I4" s="375"/>
      <c r="J4" s="375"/>
    </row>
    <row r="5" customFormat="false" ht="18" hidden="false" customHeight="true" outlineLevel="0" collapsed="false">
      <c r="A5" s="377"/>
      <c r="B5" s="378"/>
      <c r="C5" s="377"/>
      <c r="D5" s="377"/>
      <c r="E5" s="377"/>
      <c r="F5" s="377"/>
      <c r="G5" s="377"/>
      <c r="H5" s="377"/>
      <c r="I5" s="377"/>
      <c r="J5" s="377"/>
    </row>
    <row r="6" customFormat="false" ht="24" hidden="false" customHeight="true" outlineLevel="0" collapsed="false">
      <c r="A6" s="377"/>
      <c r="B6" s="379" t="s">
        <v>1055</v>
      </c>
      <c r="C6" s="379"/>
      <c r="D6" s="380" t="s">
        <v>1056</v>
      </c>
      <c r="E6" s="377"/>
      <c r="F6" s="380" t="s">
        <v>1057</v>
      </c>
      <c r="G6" s="377"/>
      <c r="H6" s="377"/>
      <c r="I6" s="377"/>
      <c r="J6" s="377"/>
    </row>
    <row r="7" customFormat="false" ht="19.5" hidden="false" customHeight="true" outlineLevel="0" collapsed="false">
      <c r="A7" s="380"/>
      <c r="B7" s="381" t="s">
        <v>57</v>
      </c>
      <c r="C7" s="382" t="s">
        <v>57</v>
      </c>
      <c r="D7" s="382"/>
      <c r="E7" s="380"/>
      <c r="F7" s="380" t="s">
        <v>1058</v>
      </c>
      <c r="H7" s="377"/>
      <c r="I7" s="380" t="s">
        <v>1059</v>
      </c>
      <c r="J7" s="380"/>
    </row>
    <row r="8" customFormat="false" ht="19.5" hidden="false" customHeight="true" outlineLevel="0" collapsed="false">
      <c r="A8" s="380"/>
      <c r="B8" s="381" t="s">
        <v>56</v>
      </c>
      <c r="C8" s="382" t="s">
        <v>56</v>
      </c>
      <c r="D8" s="382"/>
      <c r="E8" s="380"/>
      <c r="F8" s="46" t="s">
        <v>1060</v>
      </c>
      <c r="H8" s="380"/>
      <c r="I8" s="380" t="n">
        <v>0.125</v>
      </c>
      <c r="J8" s="380"/>
    </row>
    <row r="9" customFormat="false" ht="19.5" hidden="false" customHeight="true" outlineLevel="0" collapsed="false">
      <c r="A9" s="380"/>
      <c r="B9" s="381" t="s">
        <v>59</v>
      </c>
      <c r="C9" s="382" t="s">
        <v>59</v>
      </c>
      <c r="D9" s="382"/>
      <c r="E9" s="380"/>
      <c r="F9" s="46" t="s">
        <v>1061</v>
      </c>
      <c r="H9" s="380"/>
      <c r="I9" s="380" t="n">
        <v>0.125</v>
      </c>
      <c r="J9" s="380"/>
    </row>
    <row r="10" customFormat="false" ht="19.5" hidden="false" customHeight="true" outlineLevel="0" collapsed="false">
      <c r="A10" s="380"/>
      <c r="B10" s="381" t="s">
        <v>566</v>
      </c>
      <c r="C10" s="382" t="s">
        <v>566</v>
      </c>
      <c r="D10" s="382"/>
      <c r="E10" s="380"/>
      <c r="F10" s="46" t="s">
        <v>1062</v>
      </c>
      <c r="H10" s="380"/>
      <c r="I10" s="380" t="n">
        <v>0.5</v>
      </c>
      <c r="J10" s="380"/>
    </row>
    <row r="11" customFormat="false" ht="19.5" hidden="false" customHeight="true" outlineLevel="0" collapsed="false">
      <c r="A11" s="380"/>
      <c r="B11" s="381" t="s">
        <v>58</v>
      </c>
      <c r="C11" s="382" t="s">
        <v>58</v>
      </c>
      <c r="D11" s="382"/>
      <c r="E11" s="380"/>
      <c r="F11" s="46" t="s">
        <v>1063</v>
      </c>
      <c r="H11" s="380"/>
      <c r="I11" s="380" t="n">
        <v>0.0625</v>
      </c>
      <c r="J11" s="380"/>
    </row>
    <row r="12" customFormat="false" ht="19.5" hidden="false" customHeight="true" outlineLevel="0" collapsed="false">
      <c r="A12" s="380"/>
      <c r="B12" s="381" t="s">
        <v>93</v>
      </c>
      <c r="C12" s="382" t="s">
        <v>93</v>
      </c>
      <c r="D12" s="382"/>
      <c r="E12" s="380"/>
      <c r="F12" s="380" t="s">
        <v>1064</v>
      </c>
      <c r="G12" s="380"/>
      <c r="H12" s="380"/>
      <c r="I12" s="380" t="n">
        <v>0.3125</v>
      </c>
      <c r="J12" s="380"/>
    </row>
    <row r="13" customFormat="false" ht="19.5" hidden="false" customHeight="true" outlineLevel="0" collapsed="false">
      <c r="A13" s="380"/>
      <c r="B13" s="381" t="s">
        <v>65</v>
      </c>
      <c r="C13" s="382" t="s">
        <v>65</v>
      </c>
      <c r="D13" s="382"/>
      <c r="E13" s="380"/>
      <c r="F13" s="383" t="s">
        <v>1065</v>
      </c>
      <c r="G13" s="380"/>
      <c r="H13" s="380"/>
      <c r="I13" s="380" t="s">
        <v>1066</v>
      </c>
      <c r="J13" s="380"/>
    </row>
    <row r="14" customFormat="false" ht="19.5" hidden="false" customHeight="true" outlineLevel="0" collapsed="false">
      <c r="A14" s="380"/>
      <c r="B14" s="381" t="s">
        <v>378</v>
      </c>
      <c r="C14" s="382" t="s">
        <v>378</v>
      </c>
      <c r="D14" s="382"/>
      <c r="E14" s="380"/>
      <c r="F14" s="380"/>
      <c r="G14" s="380"/>
      <c r="H14" s="380"/>
      <c r="I14" s="380"/>
      <c r="J14" s="380"/>
    </row>
    <row r="15" customFormat="false" ht="19.5" hidden="false" customHeight="true" outlineLevel="0" collapsed="false">
      <c r="A15" s="380"/>
      <c r="B15" s="381"/>
      <c r="C15" s="382" t="s">
        <v>1067</v>
      </c>
      <c r="D15" s="382"/>
      <c r="E15" s="380"/>
      <c r="F15" s="380"/>
      <c r="G15" s="380"/>
      <c r="H15" s="380"/>
      <c r="I15" s="380"/>
      <c r="J15" s="380"/>
    </row>
    <row r="16" customFormat="false" ht="19.5" hidden="false" customHeight="true" outlineLevel="0" collapsed="false">
      <c r="A16" s="380"/>
      <c r="B16" s="381" t="s">
        <v>576</v>
      </c>
      <c r="C16" s="382" t="s">
        <v>576</v>
      </c>
      <c r="D16" s="382"/>
      <c r="E16" s="380"/>
      <c r="F16" s="380"/>
      <c r="G16" s="380"/>
      <c r="H16" s="380"/>
      <c r="I16" s="380"/>
      <c r="J16" s="380"/>
    </row>
    <row r="17" customFormat="false" ht="19.5" hidden="false" customHeight="true" outlineLevel="0" collapsed="false">
      <c r="A17" s="380"/>
      <c r="B17" s="384" t="s">
        <v>350</v>
      </c>
      <c r="C17" s="382" t="s">
        <v>1068</v>
      </c>
      <c r="D17" s="382"/>
      <c r="E17" s="380"/>
      <c r="F17" s="380"/>
      <c r="G17" s="380"/>
      <c r="H17" s="380"/>
      <c r="I17" s="380"/>
      <c r="J17" s="380"/>
    </row>
    <row r="18" customFormat="false" ht="19.5" hidden="false" customHeight="true" outlineLevel="0" collapsed="false">
      <c r="A18" s="380"/>
      <c r="B18" s="381" t="s">
        <v>1069</v>
      </c>
      <c r="C18" s="382" t="s">
        <v>1070</v>
      </c>
      <c r="D18" s="382"/>
      <c r="E18" s="380"/>
      <c r="F18" s="380"/>
      <c r="G18" s="380"/>
      <c r="H18" s="380"/>
      <c r="I18" s="380"/>
      <c r="J18" s="380"/>
    </row>
    <row r="19" customFormat="false" ht="19.5" hidden="false" customHeight="true" outlineLevel="0" collapsed="false">
      <c r="A19" s="380"/>
      <c r="B19" s="381" t="s">
        <v>1071</v>
      </c>
      <c r="C19" s="382" t="s">
        <v>1072</v>
      </c>
      <c r="D19" s="382"/>
      <c r="E19" s="380"/>
      <c r="F19" s="380"/>
      <c r="G19" s="380"/>
      <c r="H19" s="380"/>
      <c r="I19" s="380"/>
      <c r="J19" s="380"/>
    </row>
    <row r="20" customFormat="false" ht="19.5" hidden="false" customHeight="true" outlineLevel="0" collapsed="false">
      <c r="A20" s="380"/>
      <c r="B20" s="381" t="s">
        <v>1073</v>
      </c>
      <c r="C20" s="382" t="s">
        <v>1074</v>
      </c>
      <c r="D20" s="382"/>
      <c r="E20" s="380"/>
      <c r="F20" s="380"/>
      <c r="G20" s="380"/>
      <c r="H20" s="380"/>
      <c r="I20" s="380"/>
      <c r="J20" s="380"/>
    </row>
    <row r="21" customFormat="false" ht="19.5" hidden="false" customHeight="true" outlineLevel="0" collapsed="false">
      <c r="A21" s="380"/>
      <c r="B21" s="381" t="s">
        <v>54</v>
      </c>
      <c r="C21" s="382" t="s">
        <v>54</v>
      </c>
      <c r="D21" s="382"/>
      <c r="E21" s="380"/>
      <c r="F21" s="380"/>
      <c r="G21" s="380"/>
      <c r="H21" s="380"/>
      <c r="I21" s="380"/>
      <c r="J21" s="380"/>
    </row>
    <row r="22" customFormat="false" ht="19.5" hidden="false" customHeight="true" outlineLevel="0" collapsed="false">
      <c r="A22" s="380"/>
      <c r="B22" s="381" t="s">
        <v>55</v>
      </c>
      <c r="C22" s="382" t="s">
        <v>55</v>
      </c>
      <c r="D22" s="382"/>
      <c r="E22" s="380"/>
      <c r="F22" s="380"/>
      <c r="G22" s="380"/>
      <c r="H22" s="380"/>
      <c r="I22" s="380"/>
      <c r="J22" s="380"/>
    </row>
    <row r="23" customFormat="false" ht="19.5" hidden="true" customHeight="true" outlineLevel="0" collapsed="false">
      <c r="A23" s="380"/>
      <c r="B23" s="385"/>
      <c r="C23" s="382"/>
      <c r="D23" s="382"/>
      <c r="E23" s="380"/>
      <c r="F23" s="380"/>
      <c r="G23" s="380"/>
      <c r="H23" s="380"/>
      <c r="I23" s="380"/>
      <c r="J23" s="380"/>
    </row>
    <row r="24" customFormat="false" ht="19.5" hidden="false" customHeight="true" outlineLevel="0" collapsed="false">
      <c r="A24" s="380"/>
      <c r="B24" s="381" t="s">
        <v>1075</v>
      </c>
      <c r="C24" s="386" t="s">
        <v>1076</v>
      </c>
      <c r="D24" s="386" t="n">
        <v>0.5</v>
      </c>
      <c r="E24" s="380"/>
      <c r="F24" s="380"/>
      <c r="G24" s="380"/>
      <c r="H24" s="380"/>
      <c r="I24" s="380"/>
      <c r="J24" s="380"/>
    </row>
    <row r="25" customFormat="false" ht="19.5" hidden="false" customHeight="true" outlineLevel="0" collapsed="false">
      <c r="A25" s="380"/>
      <c r="B25" s="381" t="s">
        <v>1077</v>
      </c>
      <c r="C25" s="382" t="s">
        <v>1078</v>
      </c>
      <c r="D25" s="386" t="n">
        <v>0.5</v>
      </c>
      <c r="E25" s="380"/>
      <c r="F25" s="380"/>
      <c r="G25" s="380"/>
      <c r="H25" s="380"/>
      <c r="I25" s="380"/>
      <c r="J25" s="380"/>
    </row>
    <row r="26" customFormat="false" ht="19.5" hidden="false" customHeight="true" outlineLevel="0" collapsed="false">
      <c r="A26" s="380"/>
      <c r="B26" s="381" t="s">
        <v>1079</v>
      </c>
      <c r="C26" s="382" t="s">
        <v>1080</v>
      </c>
      <c r="D26" s="386" t="n">
        <v>0.5</v>
      </c>
      <c r="E26" s="380"/>
      <c r="F26" s="380"/>
      <c r="G26" s="380"/>
      <c r="H26" s="380"/>
      <c r="I26" s="380"/>
      <c r="J26" s="380"/>
    </row>
    <row r="27" customFormat="false" ht="19.5" hidden="false" customHeight="true" outlineLevel="0" collapsed="false">
      <c r="A27" s="380"/>
      <c r="B27" s="381" t="s">
        <v>1081</v>
      </c>
      <c r="C27" s="382" t="s">
        <v>1082</v>
      </c>
      <c r="D27" s="386" t="n">
        <v>0.5</v>
      </c>
      <c r="E27" s="380"/>
      <c r="F27" s="380"/>
      <c r="G27" s="380"/>
      <c r="H27" s="380"/>
      <c r="I27" s="380"/>
      <c r="J27" s="380"/>
    </row>
    <row r="28" customFormat="false" ht="19.5" hidden="false" customHeight="true" outlineLevel="0" collapsed="false">
      <c r="A28" s="380"/>
      <c r="B28" s="381" t="s">
        <v>1083</v>
      </c>
      <c r="C28" s="382" t="s">
        <v>1084</v>
      </c>
      <c r="D28" s="386" t="n">
        <v>0.5</v>
      </c>
      <c r="E28" s="380"/>
      <c r="F28" s="380"/>
      <c r="G28" s="380"/>
      <c r="H28" s="380"/>
      <c r="I28" s="380"/>
      <c r="J28" s="380"/>
    </row>
    <row r="29" customFormat="false" ht="19.5" hidden="false" customHeight="true" outlineLevel="0" collapsed="false">
      <c r="A29" s="380"/>
      <c r="B29" s="381" t="s">
        <v>1085</v>
      </c>
      <c r="C29" s="382" t="s">
        <v>1086</v>
      </c>
      <c r="D29" s="386" t="n">
        <v>0.5</v>
      </c>
      <c r="E29" s="380"/>
      <c r="F29" s="380"/>
      <c r="G29" s="380"/>
      <c r="H29" s="380"/>
      <c r="I29" s="380"/>
      <c r="J29" s="380"/>
    </row>
    <row r="30" customFormat="false" ht="19.5" hidden="false" customHeight="true" outlineLevel="0" collapsed="false">
      <c r="A30" s="380"/>
      <c r="B30" s="381" t="s">
        <v>1087</v>
      </c>
      <c r="C30" s="382" t="s">
        <v>1088</v>
      </c>
      <c r="D30" s="386" t="n">
        <v>0.5</v>
      </c>
      <c r="E30" s="380"/>
      <c r="F30" s="380"/>
      <c r="G30" s="380"/>
      <c r="H30" s="380"/>
      <c r="I30" s="380"/>
      <c r="J30" s="380"/>
    </row>
    <row r="31" customFormat="false" ht="19.5" hidden="false" customHeight="true" outlineLevel="0" collapsed="false">
      <c r="A31" s="380"/>
      <c r="B31" s="381" t="s">
        <v>1089</v>
      </c>
      <c r="C31" s="382" t="s">
        <v>1090</v>
      </c>
      <c r="D31" s="386" t="n">
        <v>0.5</v>
      </c>
      <c r="E31" s="380"/>
      <c r="F31" s="380"/>
      <c r="G31" s="380"/>
      <c r="H31" s="380"/>
      <c r="I31" s="380"/>
      <c r="J31" s="380"/>
    </row>
    <row r="32" customFormat="false" ht="19.5" hidden="false" customHeight="true" outlineLevel="0" collapsed="false">
      <c r="A32" s="380"/>
      <c r="B32" s="381" t="s">
        <v>1091</v>
      </c>
      <c r="C32" s="382" t="s">
        <v>1092</v>
      </c>
      <c r="D32" s="386" t="n">
        <v>0.5</v>
      </c>
      <c r="E32" s="380"/>
      <c r="F32" s="380"/>
      <c r="G32" s="380"/>
      <c r="H32" s="380"/>
      <c r="I32" s="380"/>
      <c r="J32" s="380"/>
    </row>
    <row r="33" customFormat="false" ht="19.5" hidden="false" customHeight="true" outlineLevel="0" collapsed="false">
      <c r="A33" s="380"/>
      <c r="B33" s="381" t="s">
        <v>1093</v>
      </c>
      <c r="C33" s="382" t="s">
        <v>1094</v>
      </c>
      <c r="D33" s="386" t="n">
        <v>0.5</v>
      </c>
      <c r="E33" s="380"/>
      <c r="F33" s="380"/>
      <c r="G33" s="380"/>
      <c r="H33" s="380"/>
      <c r="I33" s="380"/>
      <c r="J33" s="380"/>
    </row>
    <row r="34" customFormat="false" ht="19.5" hidden="false" customHeight="true" outlineLevel="0" collapsed="false">
      <c r="A34" s="380"/>
      <c r="B34" s="381" t="s">
        <v>1095</v>
      </c>
      <c r="C34" s="382" t="s">
        <v>1096</v>
      </c>
      <c r="D34" s="386" t="n">
        <v>0.5</v>
      </c>
      <c r="E34" s="380"/>
      <c r="F34" s="380"/>
      <c r="G34" s="380"/>
      <c r="H34" s="380"/>
      <c r="I34" s="380"/>
      <c r="J34" s="380"/>
    </row>
    <row r="35" customFormat="false" ht="19.5" hidden="false" customHeight="true" outlineLevel="0" collapsed="false">
      <c r="A35" s="380"/>
      <c r="B35" s="381" t="s">
        <v>1097</v>
      </c>
      <c r="C35" s="382" t="s">
        <v>1098</v>
      </c>
      <c r="D35" s="386" t="n">
        <v>0.5</v>
      </c>
      <c r="E35" s="380"/>
      <c r="F35" s="380"/>
      <c r="G35" s="380"/>
      <c r="H35" s="380"/>
      <c r="I35" s="380"/>
      <c r="J35" s="380"/>
    </row>
    <row r="36" customFormat="false" ht="19.5" hidden="false" customHeight="true" outlineLevel="0" collapsed="false">
      <c r="A36" s="380"/>
      <c r="B36" s="381" t="s">
        <v>1099</v>
      </c>
      <c r="C36" s="382" t="s">
        <v>1100</v>
      </c>
      <c r="D36" s="386" t="n">
        <v>0.5</v>
      </c>
      <c r="E36" s="380"/>
      <c r="F36" s="380"/>
      <c r="G36" s="380"/>
      <c r="H36" s="380"/>
      <c r="I36" s="380"/>
      <c r="J36" s="380"/>
    </row>
    <row r="37" customFormat="false" ht="19.5" hidden="false" customHeight="true" outlineLevel="0" collapsed="false">
      <c r="A37" s="380"/>
      <c r="B37" s="381" t="s">
        <v>1101</v>
      </c>
      <c r="C37" s="382" t="s">
        <v>1102</v>
      </c>
      <c r="D37" s="386" t="n">
        <v>0.5</v>
      </c>
      <c r="E37" s="380"/>
      <c r="F37" s="380"/>
      <c r="G37" s="380"/>
      <c r="H37" s="380"/>
      <c r="I37" s="380"/>
      <c r="J37" s="380"/>
    </row>
    <row r="38" customFormat="false" ht="19.5" hidden="false" customHeight="true" outlineLevel="0" collapsed="false">
      <c r="A38" s="380"/>
      <c r="B38" s="381" t="s">
        <v>1103</v>
      </c>
      <c r="C38" s="382" t="s">
        <v>1104</v>
      </c>
      <c r="D38" s="386" t="n">
        <v>0.5</v>
      </c>
      <c r="E38" s="380"/>
      <c r="F38" s="380"/>
      <c r="G38" s="380"/>
      <c r="H38" s="380"/>
      <c r="I38" s="380"/>
      <c r="J38" s="380"/>
    </row>
    <row r="39" customFormat="false" ht="19.5" hidden="false" customHeight="true" outlineLevel="0" collapsed="false">
      <c r="A39" s="380"/>
      <c r="B39" s="381" t="s">
        <v>1105</v>
      </c>
      <c r="C39" s="382" t="s">
        <v>1106</v>
      </c>
      <c r="D39" s="386" t="n">
        <v>0.5</v>
      </c>
      <c r="E39" s="380"/>
      <c r="F39" s="380"/>
      <c r="G39" s="380"/>
      <c r="H39" s="380"/>
      <c r="I39" s="380"/>
      <c r="J39" s="380"/>
    </row>
    <row r="40" customFormat="false" ht="19.5" hidden="false" customHeight="true" outlineLevel="0" collapsed="false">
      <c r="A40" s="380"/>
      <c r="B40" s="381" t="s">
        <v>1107</v>
      </c>
      <c r="C40" s="382" t="s">
        <v>1108</v>
      </c>
      <c r="D40" s="386" t="n">
        <v>0.5</v>
      </c>
      <c r="E40" s="380"/>
      <c r="F40" s="380"/>
      <c r="G40" s="380"/>
      <c r="H40" s="380"/>
      <c r="I40" s="380"/>
      <c r="J40" s="380"/>
    </row>
    <row r="41" customFormat="false" ht="19.5" hidden="false" customHeight="true" outlineLevel="0" collapsed="false">
      <c r="A41" s="380"/>
      <c r="B41" s="381" t="s">
        <v>1109</v>
      </c>
      <c r="C41" s="382" t="s">
        <v>1110</v>
      </c>
      <c r="D41" s="386" t="n">
        <v>0.5</v>
      </c>
      <c r="E41" s="380"/>
      <c r="F41" s="380"/>
      <c r="G41" s="380"/>
      <c r="H41" s="380"/>
      <c r="I41" s="380"/>
      <c r="J41" s="380"/>
    </row>
    <row r="42" customFormat="false" ht="19.5" hidden="false" customHeight="true" outlineLevel="0" collapsed="false">
      <c r="A42" s="380"/>
      <c r="B42" s="381" t="s">
        <v>1111</v>
      </c>
      <c r="C42" s="382" t="s">
        <v>1112</v>
      </c>
      <c r="D42" s="386" t="n">
        <v>0.5</v>
      </c>
      <c r="E42" s="380"/>
      <c r="F42" s="380"/>
      <c r="G42" s="380"/>
      <c r="H42" s="380"/>
      <c r="I42" s="380"/>
      <c r="J42" s="380"/>
    </row>
    <row r="43" customFormat="false" ht="19.5" hidden="false" customHeight="true" outlineLevel="0" collapsed="false">
      <c r="A43" s="380"/>
      <c r="B43" s="381" t="s">
        <v>1113</v>
      </c>
      <c r="C43" s="382" t="s">
        <v>1114</v>
      </c>
      <c r="D43" s="386" t="n">
        <v>0.5</v>
      </c>
      <c r="E43" s="380"/>
      <c r="F43" s="380"/>
      <c r="G43" s="380"/>
      <c r="H43" s="380"/>
      <c r="I43" s="380"/>
      <c r="J43" s="380"/>
    </row>
    <row r="44" customFormat="false" ht="19.5" hidden="false" customHeight="true" outlineLevel="0" collapsed="false">
      <c r="A44" s="380"/>
      <c r="B44" s="381" t="s">
        <v>1115</v>
      </c>
      <c r="C44" s="382" t="s">
        <v>1116</v>
      </c>
      <c r="D44" s="386" t="n">
        <v>1</v>
      </c>
      <c r="E44" s="380"/>
      <c r="F44" s="380"/>
      <c r="G44" s="380"/>
      <c r="H44" s="380"/>
      <c r="I44" s="380"/>
      <c r="J44" s="380"/>
    </row>
    <row r="45" customFormat="false" ht="19.5" hidden="false" customHeight="true" outlineLevel="0" collapsed="false">
      <c r="A45" s="380"/>
      <c r="B45" s="381" t="s">
        <v>1117</v>
      </c>
      <c r="C45" s="382" t="s">
        <v>1118</v>
      </c>
      <c r="D45" s="386" t="n">
        <v>1</v>
      </c>
      <c r="E45" s="380"/>
      <c r="F45" s="380"/>
      <c r="G45" s="380"/>
      <c r="H45" s="380"/>
      <c r="I45" s="380"/>
      <c r="J45" s="380"/>
    </row>
    <row r="46" customFormat="false" ht="19.5" hidden="false" customHeight="true" outlineLevel="0" collapsed="false">
      <c r="A46" s="380"/>
      <c r="B46" s="381" t="s">
        <v>1119</v>
      </c>
      <c r="C46" s="382" t="s">
        <v>1120</v>
      </c>
      <c r="D46" s="386" t="n">
        <v>1</v>
      </c>
      <c r="E46" s="380"/>
      <c r="F46" s="380"/>
      <c r="G46" s="380"/>
      <c r="H46" s="380"/>
      <c r="I46" s="380"/>
      <c r="J46" s="380"/>
    </row>
    <row r="47" customFormat="false" ht="19.5" hidden="false" customHeight="true" outlineLevel="0" collapsed="false">
      <c r="A47" s="380"/>
      <c r="B47" s="381" t="s">
        <v>1121</v>
      </c>
      <c r="C47" s="382" t="s">
        <v>1122</v>
      </c>
      <c r="D47" s="386" t="n">
        <v>1</v>
      </c>
      <c r="E47" s="380"/>
      <c r="F47" s="380"/>
      <c r="G47" s="380"/>
      <c r="H47" s="380"/>
      <c r="I47" s="380"/>
      <c r="J47" s="380"/>
    </row>
    <row r="48" customFormat="false" ht="19.5" hidden="false" customHeight="true" outlineLevel="0" collapsed="false">
      <c r="A48" s="380"/>
      <c r="B48" s="381" t="s">
        <v>1123</v>
      </c>
      <c r="C48" s="382" t="s">
        <v>1124</v>
      </c>
      <c r="D48" s="386" t="n">
        <v>1</v>
      </c>
      <c r="E48" s="380"/>
      <c r="J48" s="380"/>
    </row>
    <row r="49" customFormat="false" ht="19.5" hidden="false" customHeight="true" outlineLevel="0" collapsed="false">
      <c r="A49" s="380"/>
      <c r="B49" s="387" t="s">
        <v>1125</v>
      </c>
      <c r="C49" s="388" t="s">
        <v>1126</v>
      </c>
      <c r="D49" s="386" t="n">
        <v>1</v>
      </c>
      <c r="E49" s="380"/>
      <c r="J49" s="380"/>
    </row>
    <row r="50" customFormat="false" ht="19.5" hidden="false" customHeight="true" outlineLevel="0" collapsed="false">
      <c r="A50" s="380"/>
      <c r="B50" s="381" t="s">
        <v>1127</v>
      </c>
      <c r="C50" s="382" t="s">
        <v>1128</v>
      </c>
      <c r="D50" s="386" t="n">
        <v>1</v>
      </c>
      <c r="E50" s="380"/>
      <c r="J50" s="380"/>
    </row>
    <row r="51" customFormat="false" ht="19.5" hidden="false" customHeight="true" outlineLevel="0" collapsed="false">
      <c r="A51" s="380"/>
      <c r="B51" s="381" t="s">
        <v>46</v>
      </c>
      <c r="C51" s="382" t="s">
        <v>32</v>
      </c>
      <c r="D51" s="386" t="n">
        <v>1.5</v>
      </c>
      <c r="E51" s="380"/>
      <c r="J51" s="380"/>
    </row>
    <row r="52" customFormat="false" ht="19.5" hidden="false" customHeight="true" outlineLevel="0" collapsed="false">
      <c r="A52" s="380"/>
      <c r="B52" s="381" t="s">
        <v>1129</v>
      </c>
      <c r="C52" s="382" t="s">
        <v>1130</v>
      </c>
      <c r="D52" s="386" t="n">
        <v>1</v>
      </c>
      <c r="E52" s="380"/>
      <c r="J52" s="380"/>
    </row>
    <row r="53" customFormat="false" ht="19.5" hidden="false" customHeight="true" outlineLevel="0" collapsed="false">
      <c r="A53" s="380"/>
      <c r="B53" s="389"/>
      <c r="C53" s="380"/>
      <c r="D53" s="380"/>
      <c r="E53" s="380"/>
      <c r="J53" s="380"/>
    </row>
    <row r="54" customFormat="false" ht="19.5" hidden="false" customHeight="true" outlineLevel="0" collapsed="false">
      <c r="A54" s="380"/>
      <c r="B54" s="389"/>
      <c r="C54" s="380"/>
      <c r="D54" s="380"/>
      <c r="E54" s="380"/>
      <c r="J54" s="380"/>
    </row>
    <row r="55" customFormat="false" ht="19.5" hidden="false" customHeight="true" outlineLevel="0" collapsed="false">
      <c r="A55" s="380"/>
      <c r="B55" s="389"/>
      <c r="C55" s="380"/>
      <c r="D55" s="380"/>
      <c r="E55" s="380"/>
      <c r="J55" s="380"/>
    </row>
    <row r="56" customFormat="false" ht="19.5" hidden="false" customHeight="true" outlineLevel="0" collapsed="false">
      <c r="A56" s="380"/>
      <c r="B56" s="389"/>
      <c r="C56" s="380"/>
      <c r="D56" s="380"/>
      <c r="E56" s="380"/>
      <c r="J56" s="380"/>
    </row>
  </sheetData>
  <mergeCells count="5">
    <mergeCell ref="B1:C1"/>
    <mergeCell ref="B2:C2"/>
    <mergeCell ref="B3:C3"/>
    <mergeCell ref="B4:C4"/>
    <mergeCell ref="B6: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3.14"/>
    <col collapsed="false" customWidth="true" hidden="false" outlineLevel="0" max="2" min="2" style="0" width="14.38"/>
    <col collapsed="false" customWidth="true" hidden="false" outlineLevel="0" max="3" min="3" style="0" width="37.38"/>
  </cols>
  <sheetData>
    <row r="1" customFormat="false" ht="15.75" hidden="false" customHeight="true" outlineLevel="0" collapsed="false">
      <c r="A1" s="46"/>
      <c r="B1" s="390" t="s">
        <v>1131</v>
      </c>
      <c r="C1" s="390" t="s">
        <v>1026</v>
      </c>
      <c r="D1" s="390" t="s">
        <v>1132</v>
      </c>
      <c r="G1" s="391"/>
    </row>
    <row r="2" customFormat="false" ht="15.75" hidden="false" customHeight="true" outlineLevel="0" collapsed="false">
      <c r="A2" s="46"/>
      <c r="B2" s="47" t="s">
        <v>1133</v>
      </c>
      <c r="C2" s="392" t="s">
        <v>1134</v>
      </c>
      <c r="D2" s="47" t="s">
        <v>995</v>
      </c>
      <c r="G2" s="391"/>
    </row>
    <row r="3" customFormat="false" ht="15.75" hidden="false" customHeight="true" outlineLevel="0" collapsed="false">
      <c r="A3" s="46"/>
      <c r="B3" s="393" t="s">
        <v>1133</v>
      </c>
      <c r="C3" s="394" t="s">
        <v>1135</v>
      </c>
      <c r="D3" s="393" t="s">
        <v>995</v>
      </c>
      <c r="G3" s="391"/>
    </row>
    <row r="4" customFormat="false" ht="15.75" hidden="false" customHeight="true" outlineLevel="0" collapsed="false">
      <c r="A4" s="46"/>
      <c r="B4" s="393" t="s">
        <v>1133</v>
      </c>
      <c r="C4" s="394" t="s">
        <v>1136</v>
      </c>
      <c r="D4" s="393" t="s">
        <v>995</v>
      </c>
      <c r="G4" s="391"/>
    </row>
    <row r="5" customFormat="false" ht="15.75" hidden="false" customHeight="true" outlineLevel="0" collapsed="false">
      <c r="A5" s="46"/>
      <c r="B5" s="393" t="s">
        <v>1137</v>
      </c>
      <c r="C5" s="394" t="s">
        <v>817</v>
      </c>
      <c r="D5" s="395" t="s">
        <v>934</v>
      </c>
      <c r="G5" s="391"/>
    </row>
    <row r="6" customFormat="false" ht="15.75" hidden="false" customHeight="true" outlineLevel="0" collapsed="false">
      <c r="A6" s="46"/>
      <c r="B6" s="46"/>
      <c r="C6" s="46"/>
      <c r="D6" s="46"/>
      <c r="G6" s="391"/>
    </row>
    <row r="7" customFormat="false" ht="15.75" hidden="false" customHeight="true" outlineLevel="0" collapsed="false">
      <c r="A7" s="46"/>
      <c r="B7" s="46"/>
      <c r="C7" s="46"/>
      <c r="D7" s="46"/>
      <c r="G7" s="391"/>
    </row>
    <row r="8" customFormat="false" ht="15.75" hidden="false" customHeight="true" outlineLevel="0" collapsed="false">
      <c r="A8" s="46"/>
      <c r="B8" s="390" t="s">
        <v>1138</v>
      </c>
      <c r="C8" s="390" t="s">
        <v>1026</v>
      </c>
      <c r="D8" s="390" t="s">
        <v>1132</v>
      </c>
    </row>
    <row r="9" customFormat="false" ht="15.75" hidden="false" customHeight="true" outlineLevel="0" collapsed="false">
      <c r="A9" s="46"/>
      <c r="B9" s="47" t="s">
        <v>1139</v>
      </c>
      <c r="C9" s="392" t="s">
        <v>1140</v>
      </c>
      <c r="D9" s="47" t="s">
        <v>995</v>
      </c>
    </row>
    <row r="10" customFormat="false" ht="15.75" hidden="false" customHeight="true" outlineLevel="0" collapsed="false">
      <c r="A10" s="46"/>
      <c r="B10" s="396" t="s">
        <v>1141</v>
      </c>
      <c r="C10" s="397" t="s">
        <v>1142</v>
      </c>
      <c r="D10" s="47" t="s">
        <v>995</v>
      </c>
    </row>
    <row r="11" customFormat="false" ht="15.75" hidden="false" customHeight="true" outlineLevel="0" collapsed="false">
      <c r="A11" s="46"/>
      <c r="B11" s="396" t="s">
        <v>1143</v>
      </c>
      <c r="C11" s="397" t="s">
        <v>1144</v>
      </c>
      <c r="D11" s="47" t="s">
        <v>995</v>
      </c>
    </row>
    <row r="12" customFormat="false" ht="15.75" hidden="false" customHeight="true" outlineLevel="0" collapsed="false">
      <c r="A12" s="46"/>
      <c r="B12" s="47" t="s">
        <v>1145</v>
      </c>
      <c r="C12" s="392" t="s">
        <v>1146</v>
      </c>
      <c r="D12" s="395" t="s">
        <v>934</v>
      </c>
    </row>
    <row r="13" customFormat="false" ht="15.75" hidden="false" customHeight="true" outlineLevel="0" collapsed="false">
      <c r="A13" s="46"/>
      <c r="B13" s="396" t="s">
        <v>1147</v>
      </c>
      <c r="C13" s="397" t="s">
        <v>1148</v>
      </c>
      <c r="D13" s="47" t="s">
        <v>995</v>
      </c>
    </row>
    <row r="14" customFormat="false" ht="15.75" hidden="false" customHeight="true" outlineLevel="0" collapsed="false">
      <c r="A14" s="46"/>
      <c r="B14" s="396" t="s">
        <v>1147</v>
      </c>
      <c r="C14" s="397" t="s">
        <v>725</v>
      </c>
      <c r="D14" s="47" t="s">
        <v>995</v>
      </c>
    </row>
    <row r="15" customFormat="false" ht="15.75" hidden="false" customHeight="true" outlineLevel="0" collapsed="false">
      <c r="A15" s="46"/>
      <c r="B15" s="396" t="s">
        <v>1149</v>
      </c>
      <c r="C15" s="397" t="s">
        <v>1150</v>
      </c>
      <c r="D15" s="47" t="s">
        <v>995</v>
      </c>
    </row>
    <row r="16" customFormat="false" ht="15.75" hidden="false" customHeight="true" outlineLevel="0" collapsed="false">
      <c r="A16" s="46"/>
      <c r="B16" s="47" t="s">
        <v>1151</v>
      </c>
      <c r="C16" s="392" t="s">
        <v>1152</v>
      </c>
      <c r="D16" s="395" t="s">
        <v>934</v>
      </c>
    </row>
    <row r="17" customFormat="false" ht="15.75" hidden="false" customHeight="true" outlineLevel="0" collapsed="false">
      <c r="A17" s="46"/>
      <c r="B17" s="47" t="s">
        <v>1151</v>
      </c>
      <c r="C17" s="392" t="s">
        <v>1153</v>
      </c>
      <c r="D17" s="395" t="s">
        <v>934</v>
      </c>
    </row>
    <row r="18" customFormat="false" ht="15.75" hidden="false" customHeight="true" outlineLevel="0" collapsed="false">
      <c r="A18" s="46"/>
      <c r="B18" s="47" t="s">
        <v>1154</v>
      </c>
      <c r="C18" s="392" t="s">
        <v>1155</v>
      </c>
      <c r="D18" s="395" t="s">
        <v>934</v>
      </c>
    </row>
    <row r="19" customFormat="false" ht="15.75" hidden="false" customHeight="true" outlineLevel="0" collapsed="false">
      <c r="A19" s="46"/>
      <c r="B19" s="396" t="s">
        <v>1156</v>
      </c>
      <c r="C19" s="397" t="s">
        <v>998</v>
      </c>
      <c r="D19" s="47"/>
    </row>
    <row r="20" customFormat="false" ht="15.75" hidden="false" customHeight="true" outlineLevel="0" collapsed="false">
      <c r="A20" s="46"/>
      <c r="B20" s="396" t="s">
        <v>1157</v>
      </c>
      <c r="C20" s="397" t="s">
        <v>1158</v>
      </c>
      <c r="D20" s="47" t="s">
        <v>995</v>
      </c>
    </row>
    <row r="21" customFormat="false" ht="15.75" hidden="false" customHeight="true" outlineLevel="0" collapsed="false">
      <c r="A21" s="46"/>
      <c r="B21" s="396" t="s">
        <v>1159</v>
      </c>
      <c r="C21" s="397" t="s">
        <v>1160</v>
      </c>
      <c r="D21" s="47" t="s">
        <v>995</v>
      </c>
    </row>
    <row r="22" customFormat="false" ht="15.75" hidden="false" customHeight="true" outlineLevel="0" collapsed="false">
      <c r="A22" s="46"/>
      <c r="B22" s="47" t="s">
        <v>1161</v>
      </c>
      <c r="C22" s="392" t="s">
        <v>1162</v>
      </c>
      <c r="D22" s="395" t="s">
        <v>934</v>
      </c>
    </row>
    <row r="27" customFormat="false" ht="15.75" hidden="false" customHeight="true" outlineLevel="0" collapsed="false">
      <c r="B27" s="390" t="s">
        <v>1163</v>
      </c>
      <c r="C27" s="390" t="s">
        <v>1026</v>
      </c>
      <c r="D27" s="390" t="s">
        <v>1132</v>
      </c>
    </row>
    <row r="28" customFormat="false" ht="15.75" hidden="false" customHeight="true" outlineLevel="0" collapsed="false">
      <c r="B28" s="393" t="s">
        <v>1164</v>
      </c>
      <c r="C28" s="398" t="s">
        <v>1165</v>
      </c>
      <c r="D28" s="47" t="s">
        <v>995</v>
      </c>
    </row>
    <row r="29" customFormat="false" ht="15.75" hidden="false" customHeight="true" outlineLevel="0" collapsed="false">
      <c r="B29" s="393" t="s">
        <v>1166</v>
      </c>
      <c r="C29" s="393" t="s">
        <v>1167</v>
      </c>
      <c r="D29" s="47" t="s">
        <v>995</v>
      </c>
    </row>
    <row r="30" customFormat="false" ht="15.75" hidden="false" customHeight="true" outlineLevel="0" collapsed="false">
      <c r="B30" s="393" t="s">
        <v>1168</v>
      </c>
      <c r="C30" s="393" t="s">
        <v>1169</v>
      </c>
      <c r="D30" s="47" t="s">
        <v>995</v>
      </c>
    </row>
    <row r="31" customFormat="false" ht="15.75" hidden="false" customHeight="true" outlineLevel="0" collapsed="false">
      <c r="B31" s="393" t="s">
        <v>1170</v>
      </c>
      <c r="C31" s="393" t="s">
        <v>1171</v>
      </c>
      <c r="D31" s="47" t="s">
        <v>995</v>
      </c>
    </row>
    <row r="32" customFormat="false" ht="15.75" hidden="false" customHeight="true" outlineLevel="0" collapsed="false">
      <c r="B32" s="393" t="s">
        <v>1172</v>
      </c>
      <c r="C32" s="393" t="s">
        <v>1173</v>
      </c>
      <c r="D32" s="395" t="s">
        <v>934</v>
      </c>
    </row>
    <row r="33" customFormat="false" ht="15.75" hidden="false" customHeight="true" outlineLevel="0" collapsed="false">
      <c r="B33" s="393" t="s">
        <v>1172</v>
      </c>
      <c r="C33" s="393" t="s">
        <v>1174</v>
      </c>
      <c r="D33" s="395" t="s">
        <v>934</v>
      </c>
    </row>
    <row r="34" customFormat="false" ht="15.75" hidden="false" customHeight="true" outlineLevel="0" collapsed="false">
      <c r="B34" s="393" t="s">
        <v>1175</v>
      </c>
      <c r="C34" s="393" t="s">
        <v>853</v>
      </c>
      <c r="D34" s="395" t="s">
        <v>934</v>
      </c>
    </row>
    <row r="35" customFormat="false" ht="15.75" hidden="false" customHeight="true" outlineLevel="0" collapsed="false">
      <c r="B35" s="393" t="s">
        <v>1175</v>
      </c>
      <c r="C35" s="393" t="s">
        <v>1176</v>
      </c>
      <c r="D35" s="395" t="s">
        <v>934</v>
      </c>
    </row>
    <row r="36" customFormat="false" ht="15.75" hidden="false" customHeight="true" outlineLevel="0" collapsed="false">
      <c r="B36" s="393" t="s">
        <v>1175</v>
      </c>
      <c r="C36" s="393" t="s">
        <v>1177</v>
      </c>
      <c r="D36" s="395" t="s">
        <v>934</v>
      </c>
    </row>
    <row r="37" customFormat="false" ht="15.75" hidden="false" customHeight="true" outlineLevel="0" collapsed="false">
      <c r="B37" s="393" t="s">
        <v>1175</v>
      </c>
      <c r="C37" s="393" t="s">
        <v>1178</v>
      </c>
      <c r="D37" s="395" t="s">
        <v>934</v>
      </c>
    </row>
    <row r="38" customFormat="false" ht="15.75" hidden="false" customHeight="true" outlineLevel="0" collapsed="false">
      <c r="B38" s="393" t="s">
        <v>1179</v>
      </c>
      <c r="C38" s="393" t="s">
        <v>1180</v>
      </c>
      <c r="D38" s="47" t="s">
        <v>995</v>
      </c>
    </row>
    <row r="39" customFormat="false" ht="15.75" hidden="false" customHeight="true" outlineLevel="0" collapsed="false">
      <c r="B39" s="393" t="s">
        <v>1179</v>
      </c>
      <c r="C39" s="393" t="s">
        <v>1181</v>
      </c>
      <c r="D39" s="47" t="s">
        <v>995</v>
      </c>
    </row>
  </sheetData>
  <conditionalFormatting sqref="C28">
    <cfRule type="cellIs" priority="2" operator="equal" aboveAverage="0" equalAverage="0" bottom="0" percent="0" rank="0" text="" dxfId="41">
      <formula>"RESERVE"</formula>
    </cfRule>
  </conditionalFormatting>
  <dataValidations count="1">
    <dataValidation allowBlank="true" errorStyle="stop" operator="equal" showDropDown="true" showErrorMessage="false" showInputMessage="false" sqref="C28" type="list">
      <formula1>'Setting key Duty'!$B$7:$B$56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2026-07-19T09:53:00Z</dcterms:created>
  <dc:creator/>
  <dc:description/>
  <dc:language>en-SG</dc:language>
  <cp:lastModifiedBy/>
  <dcterms:modified xsi:type="dcterms:W3CDTF">2026-07-20T15:26:48Z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BBE8D4D7984D475FA8A6030F49FCE18D_12</vt:lpwstr>
  </property>
  <property fmtid="{D5CDD505-2E9C-101B-9397-08002B2CF9AE}" pid="4" name="KSOProductBuildVer">
    <vt:lpwstr>1033-12.1.0.27458</vt:lpwstr>
  </property>
  <property fmtid="{D5CDD505-2E9C-101B-9397-08002B2CF9AE}" pid="5" name="KSOReadingLayout">
    <vt:bool>1</vt:bool>
  </property>
</Properties>
</file>